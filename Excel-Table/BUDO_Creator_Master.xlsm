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queryTables/queryTable8.xml" ContentType="application/vnd.openxmlformats-officedocument.spreadsheetml.query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queryTables/queryTable9.xml" ContentType="application/vnd.openxmlformats-officedocument.spreadsheetml.query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queryTables/queryTable10.xml" ContentType="application/vnd.openxmlformats-officedocument.spreadsheetml.query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 defaultThemeVersion="164011"/>
  <mc:AlternateContent xmlns:mc="http://schemas.openxmlformats.org/markup-compatibility/2006">
    <mc:Choice Requires="x15">
      <x15ac:absPath xmlns:x15ac="http://schemas.microsoft.com/office/spreadsheetml/2010/11/ac" url="D:\Sciebo\Programmierung\GIT\BUDO\Excel-Table\"/>
    </mc:Choice>
  </mc:AlternateContent>
  <bookViews>
    <workbookView xWindow="0" yWindow="0" windowWidth="19200" windowHeight="6885"/>
  </bookViews>
  <sheets>
    <sheet name="BUDO Key" sheetId="8" r:id="rId1"/>
    <sheet name="Save" sheetId="10" r:id="rId2"/>
    <sheet name="translation" sheetId="12" r:id="rId3"/>
    <sheet name="abbreviation" sheetId="13" r:id="rId4"/>
    <sheet name="view_ca" sheetId="24" r:id="rId5"/>
    <sheet name="view_pc" sheetId="26" r:id="rId6"/>
    <sheet name="view_cat" sheetId="28" r:id="rId7"/>
    <sheet name="category_assignment" sheetId="3" state="hidden" r:id="rId8"/>
    <sheet name="parent_children" sheetId="4" state="hidden" r:id="rId9"/>
    <sheet name="Leerstellen" sheetId="11" state="veryHidden" r:id="rId10"/>
    <sheet name="changes" sheetId="22" r:id="rId11"/>
    <sheet name="total" sheetId="7" r:id="rId12"/>
  </sheets>
  <functionGroups builtInGroupCount="18"/>
  <definedNames>
    <definedName name="air">OFFSET(Main[[#Headers],[air]],1,0,COUNTIF(Main[air],"&gt;"""),1)</definedName>
    <definedName name="alarm">OFFSET(Main[[#Headers],[malfunction]],1,0,COUNTIF(Main[malfunction],"&gt;"""),1)</definedName>
    <definedName name="Betriebsmeldung">OFFSET(Main[[#Headers],[status message]],1,0,COUNTIF(Main[status message],"&gt;"""),1)</definedName>
    <definedName name="boiler">OFFSET(Main[[#Headers],[boiler]],1,0,COUNTIF(Main[boiler],"&gt;"""),1)</definedName>
    <definedName name="category_name_german">#REF!</definedName>
    <definedName name="chiller">OFFSET(Main[[#Headers],[chiller]],1,0,COUNTIF(Main[chiller],"&gt;"""),1)</definedName>
    <definedName name="ColumnAbbreviation">translation!$U$4</definedName>
    <definedName name="ColumnCategory">translation!$U$9</definedName>
    <definedName name="ColumnLanguage">translation!$U$3</definedName>
    <definedName name="ColumnLanguageCategory">translation!$U$8</definedName>
    <definedName name="ColumnSQL">translation!$W$15:$W$15</definedName>
    <definedName name="damper">OFFSET(Main[[#Headers],[flap]],1,0,COUNTIF(Main[flap],"&gt;"""),1)</definedName>
    <definedName name="Datenpunkt">OFFSET(Main[[#Headers],[Signal type]],1,0,COUNTIF(Main[Signal type],"&gt;"""),1)</definedName>
    <definedName name="Datenpunkt_2_Spezifizierung">OFFSET(Main[[#Headers],[Signal type 2nd specification]],1,0,COUNTIF(Main[Signal type 2nd specification],"&gt;"""),1)</definedName>
    <definedName name="Datenpunkt_Auswerten">EVALUATE(SUBSTITUTE(SUBSTITUTE(SUBSTITUTE('BUDO Key'!$AP1,"-","")," ",""),"/",""))</definedName>
    <definedName name="distributionsystem">OFFSET(Main[[#Headers],[distribution system]],1,0,COUNTIF(Main[distribution system],"&gt;"""),1)</definedName>
    <definedName name="distributor">OFFSET(Main[[#Headers],[distributor]],1,0,COUNTIF(Main[distributor],"&gt;"""),1)</definedName>
    <definedName name="ExterneDaten_1" localSheetId="3" hidden="1">abbreviation!$A$1:$E$263</definedName>
    <definedName name="ExterneDaten_1" localSheetId="7" hidden="1">category_assignment!$M$1:$O$117</definedName>
    <definedName name="ExterneDaten_1" localSheetId="10" hidden="1">changes!$A$1:$G$11</definedName>
    <definedName name="ExterneDaten_1" localSheetId="8" hidden="1">parent_children!$E$1:$G$207</definedName>
    <definedName name="ExterneDaten_1" localSheetId="2" hidden="1">translation!$A$65:$G$69</definedName>
    <definedName name="ExterneDaten_1" localSheetId="4" hidden="1">view_ca!$A$1:$G$117</definedName>
    <definedName name="ExterneDaten_1" localSheetId="6" hidden="1">view_cat!$A$1:$E$43</definedName>
    <definedName name="ExterneDaten_1" localSheetId="5" hidden="1">view_pc!$A$1:$G$207</definedName>
    <definedName name="ExterneDaten_2" localSheetId="2" hidden="1">translation!$A$89:$D$95</definedName>
    <definedName name="ExterneDaten_3" localSheetId="2" hidden="1">translation!$A$1:$C$41</definedName>
    <definedName name="Filter">OFFSET(Main[[#Headers],[filter]],1,0,COUNTIF(Main[filter],"&gt;"""),1)</definedName>
    <definedName name="Funktionsart">OFFSET(Main[[#Headers],[Function type]],1,0,COUNTIF(Main[Function type],"&gt;"""),1)</definedName>
    <definedName name="Gas">OFFSET(Main[[#Headers],[gas]],1,0,COUNTIF(Main[gas],"&gt;"""),1)</definedName>
    <definedName name="heatpump">OFFSET(Main[[#Headers],[heat pump]],1,0,COUNTIF(Main[heat pump],"&gt;"""),1)</definedName>
    <definedName name="Kältemaschine">OFFSET(Main[[#Headers],[chiller]],1,0,COUNTIF(Main[chiller],"&gt;"""),1)</definedName>
    <definedName name="Kessel">OFFSET(Main[[#Headers],[boiler]],1,0,COUNTIF(Main[boiler],"&gt;"""),1)</definedName>
    <definedName name="Klappe">OFFSET(Main[[#Headers],[flap]],1,0,COUNTIF(Main[flap],"&gt;"""),1)</definedName>
    <definedName name="Language1">Save!$B$24</definedName>
    <definedName name="Luft">OFFSET(Main[[#Headers],[air]],1,0,COUNTIF(Main[air],"&gt;"""),1)</definedName>
    <definedName name="measuredvalue">OFFSET(Main[[#Headers],[measured value]],1,0,COUNTIF(Main[measured value],"&gt;"""),1)</definedName>
    <definedName name="Medium_2_Spezifizierung">OFFSET(Main[[#Headers],[Medium 2nd specification]],1,0,COUNTIF(Main[Medium 2nd specification],"&gt;"""),1)</definedName>
    <definedName name="Medium_3_Spezifizierung">OFFSET(Main[[#Headers],[Medium 3rd specification]],1,0,COUNTIF(Main[Medium 3rd specification],"&gt;"""),1)</definedName>
    <definedName name="Medium_Position">OFFSET(Main[[#Headers],[Medium]],1,0,COUNTIF(Main[Medium],"&gt;"""),1)</definedName>
    <definedName name="Medium_Position_Auswerten">EVALUATE(SUBSTITUTE(SUBSTITUTE(SUBSTITUTE('BUDO Key'!$AF1,"-","")," ",""),"/",""))</definedName>
    <definedName name="Messwert">OFFSET(Main[[#Headers],[measured value]],1,0,COUNTIF(Main[measured value],"&gt;"""),1)</definedName>
    <definedName name="NumberDataPoints">Save!$B$23</definedName>
    <definedName name="Ortsbezeichnung">OFFSET(Tab_Ortsbezeichnung[[#Headers],[Ortsbezeichnung]],1,0,COUNTIF(Tab_Ortsbezeichnung[Ortsbezeichnung],"&gt;"""),1)</definedName>
    <definedName name="positioningcommand">OFFSET(Main[[#Headers],[positioning command]],1,0,COUNTIF(Main[positioning command],"&gt;"""),1)</definedName>
    <definedName name="Schaltbefehl">OFFSET(Main[[#Headers],[switching command]],1,0,COUNTIF(Main[switching command],"&gt;"""),1)</definedName>
    <definedName name="Schalter">OFFSET(Main[[#Headers],[switches]],1,0,COUNTIF(Main[switches],"&gt;"""),1)</definedName>
    <definedName name="Sensor">OFFSET(Main[[#Headers],[sensor]],1,0,COUNTIF(Main[sensor],"&gt;"""),1)</definedName>
    <definedName name="SeparatorBUDO">Save!$B$26</definedName>
    <definedName name="SeperatorCategories">Save!$B$27</definedName>
    <definedName name="SeperatorSpecification">Save!$B$28</definedName>
    <definedName name="SepSpec">Save!$B$28</definedName>
    <definedName name="Speicher">OFFSET(Main[[#Headers],[storage]],1,0,COUNTIF(Main[storage],"&gt;"""),1)</definedName>
    <definedName name="Spez2_leer">OFFSET(Leer[[#Headers],[Leerstellen]],1,0,COUNTIF(Leer[Leerstellen],"&gt;"""),1)</definedName>
    <definedName name="Sprache">Save!$B$24</definedName>
    <definedName name="Standard">Save!$B$25</definedName>
    <definedName name="statusmessage">OFFSET(Main[[#Headers],[status message]],1,0,COUNTIF(Main[status message],"&gt;"""),1)</definedName>
    <definedName name="Stellbefehl">OFFSET(Main[[#Headers],[positioning command]],1,0,COUNTIF(Main[positioning command],"&gt;"""),1)</definedName>
    <definedName name="storage">OFFSET(Main[[#Headers],[storage]],1,0,COUNTIF(Main[storage],"&gt;"""),1)</definedName>
    <definedName name="Störung">OFFSET(Main[[#Headers],[malfunction]],1,0,COUNTIF(Main[malfunction],"&gt;"""),1)</definedName>
    <definedName name="subdistributionsystem">OFFSET(Main[[#Headers],[sub-distribution system]],1,0,COUNTIF(Main[sub-distribution system],"&gt;"""),1)</definedName>
    <definedName name="subdistributor">OFFSET(Main[[#Headers],[sub-distributor]],1,0,COUNTIF(Main[sub-distributor],"&gt;"""),1)</definedName>
    <definedName name="SubSystem">OFFSET(Main[[#Headers],[Subsystem]],1,0,COUNTIF(Main[Subsystem],"&gt;"""),1)</definedName>
    <definedName name="SubSystem_Auswerten">EVALUATE(SUBSTITUTE(SUBSTITUTE(SUBSTITUTE('BUDO Key'!$T1,"-","")," ",""),"/",""))</definedName>
    <definedName name="switches">OFFSET(Main[[#Headers],[switches]],1,0,COUNTIF(Main[switches],"&gt;"""),1)</definedName>
    <definedName name="switchingcommand">OFFSET(Main[[#Headers],[switching command]],1,0,COUNTIF(Main[switching command],"&gt;"""),1)</definedName>
    <definedName name="System">OFFSET(Main[[#Headers],[System]],1,0,COUNTIF(Main[System],"&gt;"""),1)</definedName>
    <definedName name="System_Auswerten">EVALUATE(SUBSTITUTE(SUBSTITUTE(SUBSTITUTE('BUDO Key'!$N1,"-","")," ",""),"/",""))</definedName>
    <definedName name="TabelleColumnSQL">translation!$W$15:$W$15</definedName>
    <definedName name="Unterverteiler">OFFSET(Main[[#Headers],[sub-distributor]],1,0,COUNTIF(Main[sub-distributor],"&gt;"""),1)</definedName>
    <definedName name="Unterverteilsystem">OFFSET(Main[[#Headers],[sub-distribution system]],1,0,COUNTIF(Main[sub-distribution system],"&gt;"""),1)</definedName>
    <definedName name="valve">OFFSET(Main[[#Headers],[valve]],1,0,COUNTIF(Main[valve],"&gt;"""),1)</definedName>
    <definedName name="Ventil">OFFSET(Main[[#Headers],[valve]],1,0,COUNTIF(Main[valve],"&gt;"""),1)</definedName>
    <definedName name="Ventilator">OFFSET(Main[[#Headers],[ventilator]],1,0,COUNTIF(Main[ventilator],"&gt;"""),1)</definedName>
    <definedName name="Verteiler">OFFSET(Main[[#Headers],[distributor]],1,0,COUNTIF(Main[distributor],"&gt;"""),1)</definedName>
    <definedName name="Verteilsystem">OFFSET(Main[[#Headers],[distribution system]],1,0,COUNTIF(Main[distribution system],"&gt;"""),1)</definedName>
    <definedName name="Wärmepumpe">OFFSET(Main[[#Headers],[heat pump]],1,0,COUNTIF(Main[heat pump],"&gt;"""),1)</definedName>
    <definedName name="Wasser">OFFSET(Main[[#Headers],[water]],1,0,COUNTIF(Main[water],"&gt;"""),1)</definedName>
    <definedName name="water">OFFSET(Main[[#Headers],[water]],1,0,COUNTIF(Main[water],"&gt;"""),1)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2" i="12" l="1"/>
  <c r="CL1" i="8"/>
  <c r="CK1" i="8"/>
  <c r="CJ1" i="8"/>
  <c r="CI1" i="8"/>
  <c r="CH1" i="8"/>
  <c r="CG1" i="8"/>
  <c r="CF1" i="8"/>
  <c r="CE1" i="8"/>
  <c r="CD1" i="8"/>
  <c r="CC1" i="8"/>
  <c r="CB1" i="8"/>
  <c r="CA1" i="8"/>
  <c r="BZ1" i="8"/>
  <c r="BY1" i="8"/>
  <c r="BX1" i="8"/>
  <c r="BW1" i="8"/>
  <c r="BV1" i="8"/>
  <c r="BU1" i="8"/>
  <c r="BT1" i="8"/>
  <c r="BS1" i="8"/>
  <c r="BR1" i="8"/>
  <c r="BQ1" i="8"/>
  <c r="BP1" i="8"/>
  <c r="BO1" i="8"/>
  <c r="BN1" i="8"/>
  <c r="BM1" i="8"/>
  <c r="BL1" i="8"/>
  <c r="BK1" i="8"/>
  <c r="BJ1" i="8"/>
  <c r="BI1" i="8"/>
  <c r="AX1" i="8"/>
  <c r="AV1" i="8"/>
  <c r="AP1" i="8"/>
  <c r="AF1" i="8"/>
  <c r="Z1" i="8"/>
  <c r="AN1" i="8"/>
  <c r="AD1" i="8"/>
  <c r="X1" i="8"/>
  <c r="R1" i="8"/>
  <c r="T1" i="8"/>
  <c r="AT1" i="8"/>
  <c r="AR1" i="8"/>
  <c r="AL1" i="8"/>
  <c r="AJ1" i="8"/>
  <c r="AH1" i="8"/>
  <c r="AB1" i="8"/>
  <c r="V1" i="8"/>
  <c r="P1" i="8"/>
  <c r="N1" i="8"/>
  <c r="CN1" i="8"/>
  <c r="BG2" i="8"/>
  <c r="BE2" i="8"/>
  <c r="BC2" i="8"/>
  <c r="BA2" i="8"/>
  <c r="AY2" i="8"/>
  <c r="L2" i="8"/>
  <c r="J2" i="8"/>
  <c r="H2" i="8"/>
  <c r="F2" i="8"/>
  <c r="D2" i="8"/>
  <c r="BF2" i="8"/>
  <c r="BD2" i="8"/>
  <c r="BB2" i="8"/>
  <c r="AZ2" i="8"/>
  <c r="AX2" i="8"/>
  <c r="K2" i="8"/>
  <c r="I2" i="8"/>
  <c r="G2" i="8"/>
  <c r="E2" i="8"/>
  <c r="C2" i="8"/>
  <c r="C1" i="8"/>
  <c r="B1" i="8"/>
  <c r="A1" i="8"/>
  <c r="F91" i="12"/>
  <c r="U4" i="12" l="1"/>
  <c r="U3" i="12"/>
  <c r="BI4" i="8" s="1"/>
  <c r="AG7" i="7" l="1"/>
  <c r="V9" i="12"/>
  <c r="V8" i="12"/>
  <c r="K2" i="28"/>
  <c r="K3" i="28"/>
  <c r="K4" i="28"/>
  <c r="K5" i="28"/>
  <c r="K6" i="28"/>
  <c r="K7" i="28"/>
  <c r="K8" i="28"/>
  <c r="K9" i="28"/>
  <c r="K10" i="28"/>
  <c r="K11" i="28"/>
  <c r="K12" i="28"/>
  <c r="K13" i="28"/>
  <c r="K14" i="28"/>
  <c r="K15" i="28"/>
  <c r="K16" i="28"/>
  <c r="K17" i="28"/>
  <c r="K18" i="28"/>
  <c r="K19" i="28"/>
  <c r="K20" i="28"/>
  <c r="K21" i="28"/>
  <c r="K22" i="28"/>
  <c r="K23" i="28"/>
  <c r="K24" i="28"/>
  <c r="K25" i="28"/>
  <c r="K26" i="28"/>
  <c r="K27" i="28"/>
  <c r="K28" i="28"/>
  <c r="K29" i="28"/>
  <c r="K30" i="28"/>
  <c r="K31" i="28"/>
  <c r="K32" i="28"/>
  <c r="K33" i="28"/>
  <c r="K34" i="28"/>
  <c r="K35" i="28"/>
  <c r="K36" i="28"/>
  <c r="K37" i="28"/>
  <c r="K38" i="28"/>
  <c r="K39" i="28"/>
  <c r="K40" i="28"/>
  <c r="K41" i="28"/>
  <c r="K42" i="28"/>
  <c r="K43" i="28"/>
  <c r="K44" i="28"/>
  <c r="K45" i="28"/>
  <c r="K46" i="28"/>
  <c r="K47" i="28"/>
  <c r="K48" i="28"/>
  <c r="K49" i="28"/>
  <c r="K50" i="28"/>
  <c r="K51" i="28"/>
  <c r="K52" i="28"/>
  <c r="K53" i="28"/>
  <c r="K54" i="28"/>
  <c r="K55" i="28"/>
  <c r="K56" i="28"/>
  <c r="K57" i="28"/>
  <c r="K58" i="28"/>
  <c r="K59" i="28"/>
  <c r="K60" i="28"/>
  <c r="K61" i="28"/>
  <c r="K62" i="28"/>
  <c r="K63" i="28"/>
  <c r="K64" i="28"/>
  <c r="K65" i="28"/>
  <c r="K66" i="28"/>
  <c r="K67" i="28"/>
  <c r="K68" i="28"/>
  <c r="K69" i="28"/>
  <c r="K70" i="28"/>
  <c r="K71" i="28"/>
  <c r="K72" i="28"/>
  <c r="K73" i="28"/>
  <c r="K74" i="28"/>
  <c r="K75" i="28"/>
  <c r="K76" i="28"/>
  <c r="K77" i="28"/>
  <c r="K78" i="28"/>
  <c r="K79" i="28"/>
  <c r="K80" i="28"/>
  <c r="K81" i="28"/>
  <c r="K82" i="28"/>
  <c r="K83" i="28"/>
  <c r="K84" i="28"/>
  <c r="K85" i="28"/>
  <c r="K86" i="28"/>
  <c r="K87" i="28"/>
  <c r="K88" i="28"/>
  <c r="K89" i="28"/>
  <c r="K90" i="28"/>
  <c r="K91" i="28"/>
  <c r="K92" i="28"/>
  <c r="K93" i="28"/>
  <c r="K94" i="28"/>
  <c r="K95" i="28"/>
  <c r="K96" i="28"/>
  <c r="K97" i="28"/>
  <c r="K98" i="28"/>
  <c r="K99" i="28"/>
  <c r="K100" i="28"/>
  <c r="K101" i="28"/>
  <c r="K102" i="28"/>
  <c r="K103" i="28"/>
  <c r="K104" i="28"/>
  <c r="K105" i="28"/>
  <c r="K106" i="28"/>
  <c r="K107" i="28"/>
  <c r="K108" i="28"/>
  <c r="K109" i="28"/>
  <c r="K110" i="28"/>
  <c r="K111" i="28"/>
  <c r="K112" i="28"/>
  <c r="K113" i="28"/>
  <c r="K114" i="28"/>
  <c r="K115" i="28"/>
  <c r="K116" i="28"/>
  <c r="K117" i="28"/>
  <c r="K118" i="28"/>
  <c r="K119" i="28"/>
  <c r="K120" i="28"/>
  <c r="K121" i="28"/>
  <c r="K122" i="28"/>
  <c r="K123" i="28"/>
  <c r="K124" i="28"/>
  <c r="K125" i="28"/>
  <c r="K126" i="28"/>
  <c r="K127" i="28"/>
  <c r="K128" i="28"/>
  <c r="K129" i="28"/>
  <c r="K130" i="28"/>
  <c r="K131" i="28"/>
  <c r="K132" i="28"/>
  <c r="K133" i="28"/>
  <c r="K134" i="28"/>
  <c r="K135" i="28"/>
  <c r="K136" i="28"/>
  <c r="K137" i="28"/>
  <c r="K138" i="28"/>
  <c r="K139" i="28"/>
  <c r="K140" i="28"/>
  <c r="K141" i="28"/>
  <c r="K142" i="28"/>
  <c r="K143" i="28"/>
  <c r="K144" i="28"/>
  <c r="K145" i="28"/>
  <c r="K146" i="28"/>
  <c r="K147" i="28"/>
  <c r="K148" i="28"/>
  <c r="K149" i="28"/>
  <c r="K150" i="28"/>
  <c r="K151" i="28"/>
  <c r="K152" i="28"/>
  <c r="K153" i="28"/>
  <c r="K154" i="28"/>
  <c r="K155" i="28"/>
  <c r="K156" i="28"/>
  <c r="K157" i="28"/>
  <c r="K158" i="28"/>
  <c r="K159" i="28"/>
  <c r="K160" i="28"/>
  <c r="K161" i="28"/>
  <c r="K162" i="28"/>
  <c r="K163" i="28"/>
  <c r="K164" i="28"/>
  <c r="K165" i="28"/>
  <c r="K166" i="28"/>
  <c r="K167" i="28"/>
  <c r="K168" i="28"/>
  <c r="K169" i="28"/>
  <c r="K170" i="28"/>
  <c r="K171" i="28"/>
  <c r="K172" i="28"/>
  <c r="K173" i="28"/>
  <c r="K174" i="28"/>
  <c r="K175" i="28"/>
  <c r="K176" i="28"/>
  <c r="K177" i="28"/>
  <c r="K178" i="28"/>
  <c r="K179" i="28"/>
  <c r="K180" i="28"/>
  <c r="K181" i="28"/>
  <c r="K182" i="28"/>
  <c r="K183" i="28"/>
  <c r="K184" i="28"/>
  <c r="K185" i="28"/>
  <c r="K186" i="28"/>
  <c r="K187" i="28"/>
  <c r="K188" i="28"/>
  <c r="K189" i="28"/>
  <c r="K190" i="28"/>
  <c r="K191" i="28"/>
  <c r="K192" i="28"/>
  <c r="K193" i="28"/>
  <c r="K194" i="28"/>
  <c r="K195" i="28"/>
  <c r="K196" i="28"/>
  <c r="K197" i="28"/>
  <c r="K198" i="28"/>
  <c r="K199" i="28"/>
  <c r="K200" i="28"/>
  <c r="K201" i="28"/>
  <c r="K202" i="28"/>
  <c r="K203" i="28"/>
  <c r="K204" i="28"/>
  <c r="K205" i="28"/>
  <c r="K206" i="28"/>
  <c r="K207" i="28"/>
  <c r="K208" i="28"/>
  <c r="K209" i="28"/>
  <c r="K210" i="28"/>
  <c r="K211" i="28"/>
  <c r="K212" i="28"/>
  <c r="K213" i="28"/>
  <c r="K214" i="28"/>
  <c r="K215" i="28"/>
  <c r="K216" i="28"/>
  <c r="K217" i="28"/>
  <c r="K218" i="28"/>
  <c r="K219" i="28"/>
  <c r="K220" i="28"/>
  <c r="K221" i="28"/>
  <c r="K222" i="28"/>
  <c r="K223" i="28"/>
  <c r="K224" i="28"/>
  <c r="K225" i="28"/>
  <c r="K226" i="28"/>
  <c r="K227" i="28"/>
  <c r="K228" i="28"/>
  <c r="K229" i="28"/>
  <c r="K230" i="28"/>
  <c r="K231" i="28"/>
  <c r="K232" i="28"/>
  <c r="K233" i="28"/>
  <c r="K234" i="28"/>
  <c r="K235" i="28"/>
  <c r="K236" i="28"/>
  <c r="K237" i="28"/>
  <c r="K238" i="28"/>
  <c r="K239" i="28"/>
  <c r="K240" i="28"/>
  <c r="K241" i="28"/>
  <c r="K242" i="28"/>
  <c r="K243" i="28"/>
  <c r="K244" i="28"/>
  <c r="K245" i="28"/>
  <c r="K246" i="28"/>
  <c r="K247" i="28"/>
  <c r="K248" i="28"/>
  <c r="K249" i="28"/>
  <c r="K250" i="28"/>
  <c r="K251" i="28"/>
  <c r="K252" i="28"/>
  <c r="K253" i="28"/>
  <c r="K254" i="28"/>
  <c r="K255" i="28"/>
  <c r="K256" i="28"/>
  <c r="K257" i="28"/>
  <c r="K258" i="28"/>
  <c r="K259" i="28"/>
  <c r="K260" i="28"/>
  <c r="K261" i="28"/>
  <c r="K262" i="28"/>
  <c r="K263" i="28"/>
  <c r="K264" i="28"/>
  <c r="K265" i="28"/>
  <c r="K266" i="28"/>
  <c r="K267" i="28"/>
  <c r="K268" i="28"/>
  <c r="K269" i="28"/>
  <c r="K270" i="28"/>
  <c r="K271" i="28"/>
  <c r="K272" i="28"/>
  <c r="K273" i="28"/>
  <c r="K274" i="28"/>
  <c r="K275" i="28"/>
  <c r="K276" i="28"/>
  <c r="K277" i="28"/>
  <c r="K278" i="28"/>
  <c r="K279" i="28"/>
  <c r="K280" i="28"/>
  <c r="K281" i="28"/>
  <c r="K282" i="28"/>
  <c r="K283" i="28"/>
  <c r="K284" i="28"/>
  <c r="K285" i="28"/>
  <c r="K286" i="28"/>
  <c r="K287" i="28"/>
  <c r="K288" i="28"/>
  <c r="K289" i="28"/>
  <c r="K290" i="28"/>
  <c r="K291" i="28"/>
  <c r="K292" i="28"/>
  <c r="K293" i="28"/>
  <c r="K294" i="28"/>
  <c r="K295" i="28"/>
  <c r="K296" i="28"/>
  <c r="K297" i="28"/>
  <c r="K298" i="28"/>
  <c r="K299" i="28"/>
  <c r="K300" i="28"/>
  <c r="K301" i="28"/>
  <c r="K302" i="28"/>
  <c r="K303" i="28"/>
  <c r="K304" i="28"/>
  <c r="K305" i="28"/>
  <c r="K306" i="28"/>
  <c r="K307" i="28"/>
  <c r="K308" i="28"/>
  <c r="K309" i="28"/>
  <c r="K310" i="28"/>
  <c r="K311" i="28"/>
  <c r="K312" i="28"/>
  <c r="K313" i="28"/>
  <c r="K314" i="28"/>
  <c r="K315" i="28"/>
  <c r="K316" i="28"/>
  <c r="K317" i="28"/>
  <c r="K318" i="28"/>
  <c r="K319" i="28"/>
  <c r="K320" i="28"/>
  <c r="K321" i="28"/>
  <c r="K322" i="28"/>
  <c r="K323" i="28"/>
  <c r="K324" i="28"/>
  <c r="K325" i="28"/>
  <c r="K326" i="28"/>
  <c r="K327" i="28"/>
  <c r="K328" i="28"/>
  <c r="K329" i="28"/>
  <c r="K330" i="28"/>
  <c r="K331" i="28"/>
  <c r="K332" i="28"/>
  <c r="K333" i="28"/>
  <c r="K334" i="28"/>
  <c r="K335" i="28"/>
  <c r="K336" i="28"/>
  <c r="K337" i="28"/>
  <c r="K338" i="28"/>
  <c r="K339" i="28"/>
  <c r="K340" i="28"/>
  <c r="K341" i="28"/>
  <c r="K342" i="28"/>
  <c r="K343" i="28"/>
  <c r="K344" i="28"/>
  <c r="K345" i="28"/>
  <c r="K346" i="28"/>
  <c r="K347" i="28"/>
  <c r="K348" i="28"/>
  <c r="K349" i="28"/>
  <c r="K350" i="28"/>
  <c r="K351" i="28"/>
  <c r="K352" i="28"/>
  <c r="K353" i="28"/>
  <c r="K354" i="28"/>
  <c r="K355" i="28"/>
  <c r="K356" i="28"/>
  <c r="K357" i="28"/>
  <c r="K358" i="28"/>
  <c r="K359" i="28"/>
  <c r="K360" i="28"/>
  <c r="K361" i="28"/>
  <c r="K362" i="28"/>
  <c r="K363" i="28"/>
  <c r="K364" i="28"/>
  <c r="K365" i="28"/>
  <c r="K366" i="28"/>
  <c r="K367" i="28"/>
  <c r="K368" i="28"/>
  <c r="K369" i="28"/>
  <c r="K370" i="28"/>
  <c r="K371" i="28"/>
  <c r="K372" i="28"/>
  <c r="K373" i="28"/>
  <c r="K374" i="28"/>
  <c r="K375" i="28"/>
  <c r="K376" i="28"/>
  <c r="K377" i="28"/>
  <c r="K378" i="28"/>
  <c r="K379" i="28"/>
  <c r="K380" i="28"/>
  <c r="K381" i="28"/>
  <c r="K382" i="28"/>
  <c r="K383" i="28"/>
  <c r="K384" i="28"/>
  <c r="K385" i="28"/>
  <c r="K386" i="28"/>
  <c r="K387" i="28"/>
  <c r="K388" i="28"/>
  <c r="K389" i="28"/>
  <c r="K390" i="28"/>
  <c r="K391" i="28"/>
  <c r="K392" i="28"/>
  <c r="K393" i="28"/>
  <c r="K394" i="28"/>
  <c r="K395" i="28"/>
  <c r="K396" i="28"/>
  <c r="K397" i="28"/>
  <c r="K398" i="28"/>
  <c r="K399" i="28"/>
  <c r="K400" i="28"/>
  <c r="K401" i="28"/>
  <c r="K402" i="28"/>
  <c r="K403" i="28"/>
  <c r="K404" i="28"/>
  <c r="K405" i="28"/>
  <c r="K406" i="28"/>
  <c r="K407" i="28"/>
  <c r="K408" i="28"/>
  <c r="K409" i="28"/>
  <c r="K410" i="28"/>
  <c r="K411" i="28"/>
  <c r="K412" i="28"/>
  <c r="K413" i="28"/>
  <c r="K414" i="28"/>
  <c r="K415" i="28"/>
  <c r="K416" i="28"/>
  <c r="K417" i="28"/>
  <c r="K418" i="28"/>
  <c r="K419" i="28"/>
  <c r="K420" i="28"/>
  <c r="K421" i="28"/>
  <c r="K422" i="28"/>
  <c r="K423" i="28"/>
  <c r="K424" i="28"/>
  <c r="K425" i="28"/>
  <c r="K426" i="28"/>
  <c r="K427" i="28"/>
  <c r="K428" i="28"/>
  <c r="K429" i="28"/>
  <c r="K430" i="28"/>
  <c r="K431" i="28"/>
  <c r="K432" i="28"/>
  <c r="K433" i="28"/>
  <c r="K434" i="28"/>
  <c r="K435" i="28"/>
  <c r="K436" i="28"/>
  <c r="K437" i="28"/>
  <c r="K438" i="28"/>
  <c r="K439" i="28"/>
  <c r="K440" i="28"/>
  <c r="K441" i="28"/>
  <c r="K442" i="28"/>
  <c r="K443" i="28"/>
  <c r="K444" i="28"/>
  <c r="K445" i="28"/>
  <c r="K446" i="28"/>
  <c r="K447" i="28"/>
  <c r="K448" i="28"/>
  <c r="K449" i="28"/>
  <c r="K450" i="28"/>
  <c r="K451" i="28"/>
  <c r="K452" i="28"/>
  <c r="K453" i="28"/>
  <c r="K454" i="28"/>
  <c r="K455" i="28"/>
  <c r="K456" i="28"/>
  <c r="K457" i="28"/>
  <c r="K458" i="28"/>
  <c r="K459" i="28"/>
  <c r="K460" i="28"/>
  <c r="K461" i="28"/>
  <c r="K462" i="28"/>
  <c r="K463" i="28"/>
  <c r="K464" i="28"/>
  <c r="K465" i="28"/>
  <c r="K466" i="28"/>
  <c r="K467" i="28"/>
  <c r="K468" i="28"/>
  <c r="K469" i="28"/>
  <c r="K470" i="28"/>
  <c r="K471" i="28"/>
  <c r="K472" i="28"/>
  <c r="K473" i="28"/>
  <c r="K474" i="28"/>
  <c r="K475" i="28"/>
  <c r="K476" i="28"/>
  <c r="K477" i="28"/>
  <c r="K478" i="28"/>
  <c r="K479" i="28"/>
  <c r="K480" i="28"/>
  <c r="K481" i="28"/>
  <c r="K482" i="28"/>
  <c r="K483" i="28"/>
  <c r="K484" i="28"/>
  <c r="K485" i="28"/>
  <c r="K486" i="28"/>
  <c r="K487" i="28"/>
  <c r="K488" i="28"/>
  <c r="K489" i="28"/>
  <c r="K490" i="28"/>
  <c r="K491" i="28"/>
  <c r="K492" i="28"/>
  <c r="K493" i="28"/>
  <c r="K494" i="28"/>
  <c r="K495" i="28"/>
  <c r="K496" i="28"/>
  <c r="K497" i="28"/>
  <c r="K498" i="28"/>
  <c r="K499" i="28"/>
  <c r="K500" i="28"/>
  <c r="K501" i="28"/>
  <c r="K502" i="28"/>
  <c r="K503" i="28"/>
  <c r="K504" i="28"/>
  <c r="K505" i="28"/>
  <c r="K506" i="28"/>
  <c r="K507" i="28"/>
  <c r="K508" i="28"/>
  <c r="K509" i="28"/>
  <c r="K510" i="28"/>
  <c r="K511" i="28"/>
  <c r="K512" i="28"/>
  <c r="K513" i="28"/>
  <c r="K514" i="28"/>
  <c r="K515" i="28"/>
  <c r="K516" i="28"/>
  <c r="K517" i="28"/>
  <c r="K518" i="28"/>
  <c r="K519" i="28"/>
  <c r="K520" i="28"/>
  <c r="K521" i="28"/>
  <c r="K522" i="28"/>
  <c r="K523" i="28"/>
  <c r="K524" i="28"/>
  <c r="K525" i="28"/>
  <c r="K526" i="28"/>
  <c r="K527" i="28"/>
  <c r="K528" i="28"/>
  <c r="K529" i="28"/>
  <c r="K530" i="28"/>
  <c r="K531" i="28"/>
  <c r="K532" i="28"/>
  <c r="K533" i="28"/>
  <c r="K534" i="28"/>
  <c r="K535" i="28"/>
  <c r="K536" i="28"/>
  <c r="K537" i="28"/>
  <c r="K538" i="28"/>
  <c r="K539" i="28"/>
  <c r="K540" i="28"/>
  <c r="K541" i="28"/>
  <c r="K542" i="28"/>
  <c r="K543" i="28"/>
  <c r="K544" i="28"/>
  <c r="K545" i="28"/>
  <c r="K546" i="28"/>
  <c r="K547" i="28"/>
  <c r="K548" i="28"/>
  <c r="K549" i="28"/>
  <c r="K550" i="28"/>
  <c r="K551" i="28"/>
  <c r="K552" i="28"/>
  <c r="K553" i="28"/>
  <c r="K554" i="28"/>
  <c r="K555" i="28"/>
  <c r="K556" i="28"/>
  <c r="K557" i="28"/>
  <c r="K558" i="28"/>
  <c r="K559" i="28"/>
  <c r="K560" i="28"/>
  <c r="K561" i="28"/>
  <c r="K562" i="28"/>
  <c r="K563" i="28"/>
  <c r="K564" i="28"/>
  <c r="K565" i="28"/>
  <c r="K566" i="28"/>
  <c r="K567" i="28"/>
  <c r="K568" i="28"/>
  <c r="K569" i="28"/>
  <c r="K570" i="28"/>
  <c r="K571" i="28"/>
  <c r="K572" i="28"/>
  <c r="K573" i="28"/>
  <c r="K574" i="28"/>
  <c r="K575" i="28"/>
  <c r="K576" i="28"/>
  <c r="K577" i="28"/>
  <c r="K578" i="28"/>
  <c r="K579" i="28"/>
  <c r="K580" i="28"/>
  <c r="K581" i="28"/>
  <c r="K582" i="28"/>
  <c r="K583" i="28"/>
  <c r="K584" i="28"/>
  <c r="K585" i="28"/>
  <c r="K586" i="28"/>
  <c r="K587" i="28"/>
  <c r="K588" i="28"/>
  <c r="K589" i="28"/>
  <c r="K590" i="28"/>
  <c r="K591" i="28"/>
  <c r="K592" i="28"/>
  <c r="K593" i="28"/>
  <c r="K594" i="28"/>
  <c r="K595" i="28"/>
  <c r="K596" i="28"/>
  <c r="K597" i="28"/>
  <c r="K598" i="28"/>
  <c r="K599" i="28"/>
  <c r="K600" i="28"/>
  <c r="K601" i="28"/>
  <c r="K602" i="28"/>
  <c r="K603" i="28"/>
  <c r="K604" i="28"/>
  <c r="K605" i="28"/>
  <c r="K606" i="28"/>
  <c r="K607" i="28"/>
  <c r="K608" i="28"/>
  <c r="K609" i="28"/>
  <c r="K610" i="28"/>
  <c r="K611" i="28"/>
  <c r="K612" i="28"/>
  <c r="K613" i="28"/>
  <c r="K614" i="28"/>
  <c r="K615" i="28"/>
  <c r="K616" i="28"/>
  <c r="K617" i="28"/>
  <c r="K618" i="28"/>
  <c r="K619" i="28"/>
  <c r="K620" i="28"/>
  <c r="K621" i="28"/>
  <c r="K622" i="28"/>
  <c r="K623" i="28"/>
  <c r="K624" i="28"/>
  <c r="K625" i="28"/>
  <c r="K626" i="28"/>
  <c r="K627" i="28"/>
  <c r="K628" i="28"/>
  <c r="K629" i="28"/>
  <c r="K630" i="28"/>
  <c r="K631" i="28"/>
  <c r="K632" i="28"/>
  <c r="K633" i="28"/>
  <c r="K634" i="28"/>
  <c r="K635" i="28"/>
  <c r="K636" i="28"/>
  <c r="K637" i="28"/>
  <c r="K638" i="28"/>
  <c r="K639" i="28"/>
  <c r="K640" i="28"/>
  <c r="K641" i="28"/>
  <c r="K642" i="28"/>
  <c r="K643" i="28"/>
  <c r="K644" i="28"/>
  <c r="K645" i="28"/>
  <c r="K646" i="28"/>
  <c r="K647" i="28"/>
  <c r="K648" i="28"/>
  <c r="K649" i="28"/>
  <c r="K650" i="28"/>
  <c r="K651" i="28"/>
  <c r="K652" i="28"/>
  <c r="K653" i="28"/>
  <c r="K654" i="28"/>
  <c r="K655" i="28"/>
  <c r="K656" i="28"/>
  <c r="K657" i="28"/>
  <c r="K658" i="28"/>
  <c r="K659" i="28"/>
  <c r="K660" i="28"/>
  <c r="K661" i="28"/>
  <c r="K662" i="28"/>
  <c r="K663" i="28"/>
  <c r="K664" i="28"/>
  <c r="K665" i="28"/>
  <c r="K666" i="28"/>
  <c r="K667" i="28"/>
  <c r="K668" i="28"/>
  <c r="K669" i="28"/>
  <c r="K670" i="28"/>
  <c r="K671" i="28"/>
  <c r="K672" i="28"/>
  <c r="K673" i="28"/>
  <c r="K674" i="28"/>
  <c r="K675" i="28"/>
  <c r="K676" i="28"/>
  <c r="K677" i="28"/>
  <c r="K678" i="28"/>
  <c r="K679" i="28"/>
  <c r="K680" i="28"/>
  <c r="K681" i="28"/>
  <c r="K682" i="28"/>
  <c r="K683" i="28"/>
  <c r="K684" i="28"/>
  <c r="K685" i="28"/>
  <c r="K686" i="28"/>
  <c r="K687" i="28"/>
  <c r="K688" i="28"/>
  <c r="K689" i="28"/>
  <c r="K690" i="28"/>
  <c r="K691" i="28"/>
  <c r="K692" i="28"/>
  <c r="K693" i="28"/>
  <c r="K694" i="28"/>
  <c r="K695" i="28"/>
  <c r="K696" i="28"/>
  <c r="K697" i="28"/>
  <c r="K698" i="28"/>
  <c r="K699" i="28"/>
  <c r="K700" i="28"/>
  <c r="K701" i="28"/>
  <c r="K702" i="28"/>
  <c r="K703" i="28"/>
  <c r="K704" i="28"/>
  <c r="K705" i="28"/>
  <c r="K706" i="28"/>
  <c r="K707" i="28"/>
  <c r="K708" i="28"/>
  <c r="K709" i="28"/>
  <c r="K710" i="28"/>
  <c r="K711" i="28"/>
  <c r="K712" i="28"/>
  <c r="K713" i="28"/>
  <c r="K714" i="28"/>
  <c r="K715" i="28"/>
  <c r="K716" i="28"/>
  <c r="K717" i="28"/>
  <c r="K718" i="28"/>
  <c r="K719" i="28"/>
  <c r="K720" i="28"/>
  <c r="K721" i="28"/>
  <c r="K722" i="28"/>
  <c r="K723" i="28"/>
  <c r="K724" i="28"/>
  <c r="K725" i="28"/>
  <c r="K726" i="28"/>
  <c r="K727" i="28"/>
  <c r="K728" i="28"/>
  <c r="K729" i="28"/>
  <c r="K730" i="28"/>
  <c r="K731" i="28"/>
  <c r="K732" i="28"/>
  <c r="K733" i="28"/>
  <c r="K734" i="28"/>
  <c r="K735" i="28"/>
  <c r="K736" i="28"/>
  <c r="K737" i="28"/>
  <c r="K738" i="28"/>
  <c r="K739" i="28"/>
  <c r="K740" i="28"/>
  <c r="K741" i="28"/>
  <c r="K742" i="28"/>
  <c r="K743" i="28"/>
  <c r="K744" i="28"/>
  <c r="K745" i="28"/>
  <c r="K746" i="28"/>
  <c r="K747" i="28"/>
  <c r="K748" i="28"/>
  <c r="K749" i="28"/>
  <c r="K750" i="28"/>
  <c r="K751" i="28"/>
  <c r="K752" i="28"/>
  <c r="K753" i="28"/>
  <c r="K754" i="28"/>
  <c r="K755" i="28"/>
  <c r="K756" i="28"/>
  <c r="K757" i="28"/>
  <c r="K758" i="28"/>
  <c r="K759" i="28"/>
  <c r="K760" i="28"/>
  <c r="K761" i="28"/>
  <c r="K762" i="28"/>
  <c r="K763" i="28"/>
  <c r="K764" i="28"/>
  <c r="K765" i="28"/>
  <c r="K766" i="28"/>
  <c r="K767" i="28"/>
  <c r="K768" i="28"/>
  <c r="K769" i="28"/>
  <c r="K770" i="28"/>
  <c r="K771" i="28"/>
  <c r="K772" i="28"/>
  <c r="K773" i="28"/>
  <c r="K774" i="28"/>
  <c r="K775" i="28"/>
  <c r="K776" i="28"/>
  <c r="K777" i="28"/>
  <c r="K778" i="28"/>
  <c r="K779" i="28"/>
  <c r="K780" i="28"/>
  <c r="K781" i="28"/>
  <c r="K782" i="28"/>
  <c r="K783" i="28"/>
  <c r="K784" i="28"/>
  <c r="K785" i="28"/>
  <c r="K786" i="28"/>
  <c r="K787" i="28"/>
  <c r="K788" i="28"/>
  <c r="K789" i="28"/>
  <c r="K790" i="28"/>
  <c r="K791" i="28"/>
  <c r="K792" i="28"/>
  <c r="K793" i="28"/>
  <c r="K794" i="28"/>
  <c r="K795" i="28"/>
  <c r="K796" i="28"/>
  <c r="K797" i="28"/>
  <c r="K798" i="28"/>
  <c r="K799" i="28"/>
  <c r="K800" i="28"/>
  <c r="K801" i="28"/>
  <c r="K802" i="28"/>
  <c r="K803" i="28"/>
  <c r="K804" i="28"/>
  <c r="K805" i="28"/>
  <c r="K806" i="28"/>
  <c r="K807" i="28"/>
  <c r="K808" i="28"/>
  <c r="K809" i="28"/>
  <c r="K810" i="28"/>
  <c r="K811" i="28"/>
  <c r="K812" i="28"/>
  <c r="K813" i="28"/>
  <c r="K814" i="28"/>
  <c r="K815" i="28"/>
  <c r="K816" i="28"/>
  <c r="K817" i="28"/>
  <c r="K818" i="28"/>
  <c r="K819" i="28"/>
  <c r="K820" i="28"/>
  <c r="K821" i="28"/>
  <c r="K822" i="28"/>
  <c r="K823" i="28"/>
  <c r="K824" i="28"/>
  <c r="K825" i="28"/>
  <c r="K826" i="28"/>
  <c r="K827" i="28"/>
  <c r="K828" i="28"/>
  <c r="K829" i="28"/>
  <c r="K830" i="28"/>
  <c r="K831" i="28"/>
  <c r="K832" i="28"/>
  <c r="K833" i="28"/>
  <c r="K834" i="28"/>
  <c r="K835" i="28"/>
  <c r="K836" i="28"/>
  <c r="K837" i="28"/>
  <c r="K838" i="28"/>
  <c r="K839" i="28"/>
  <c r="K840" i="28"/>
  <c r="K841" i="28"/>
  <c r="K842" i="28"/>
  <c r="K843" i="28"/>
  <c r="K844" i="28"/>
  <c r="K845" i="28"/>
  <c r="K846" i="28"/>
  <c r="K847" i="28"/>
  <c r="K848" i="28"/>
  <c r="K849" i="28"/>
  <c r="K850" i="28"/>
  <c r="K851" i="28"/>
  <c r="K852" i="28"/>
  <c r="K853" i="28"/>
  <c r="K854" i="28"/>
  <c r="K855" i="28"/>
  <c r="K856" i="28"/>
  <c r="K857" i="28"/>
  <c r="K858" i="28"/>
  <c r="K859" i="28"/>
  <c r="K860" i="28"/>
  <c r="K861" i="28"/>
  <c r="K862" i="28"/>
  <c r="K863" i="28"/>
  <c r="K864" i="28"/>
  <c r="K865" i="28"/>
  <c r="K866" i="28"/>
  <c r="K867" i="28"/>
  <c r="K868" i="28"/>
  <c r="K869" i="28"/>
  <c r="K870" i="28"/>
  <c r="K871" i="28"/>
  <c r="K872" i="28"/>
  <c r="K873" i="28"/>
  <c r="K874" i="28"/>
  <c r="K875" i="28"/>
  <c r="K876" i="28"/>
  <c r="K877" i="28"/>
  <c r="K878" i="28"/>
  <c r="K879" i="28"/>
  <c r="K880" i="28"/>
  <c r="K881" i="28"/>
  <c r="K882" i="28"/>
  <c r="K883" i="28"/>
  <c r="K884" i="28"/>
  <c r="K885" i="28"/>
  <c r="K886" i="28"/>
  <c r="K887" i="28"/>
  <c r="K888" i="28"/>
  <c r="K889" i="28"/>
  <c r="K890" i="28"/>
  <c r="K891" i="28"/>
  <c r="K892" i="28"/>
  <c r="K893" i="28"/>
  <c r="K894" i="28"/>
  <c r="K895" i="28"/>
  <c r="K896" i="28"/>
  <c r="K897" i="28"/>
  <c r="K898" i="28"/>
  <c r="K899" i="28"/>
  <c r="K900" i="28"/>
  <c r="K901" i="28"/>
  <c r="K902" i="28"/>
  <c r="K903" i="28"/>
  <c r="K904" i="28"/>
  <c r="K905" i="28"/>
  <c r="K906" i="28"/>
  <c r="K907" i="28"/>
  <c r="K908" i="28"/>
  <c r="K909" i="28"/>
  <c r="K910" i="28"/>
  <c r="K911" i="28"/>
  <c r="K912" i="28"/>
  <c r="K913" i="28"/>
  <c r="K914" i="28"/>
  <c r="K915" i="28"/>
  <c r="K916" i="28"/>
  <c r="K917" i="28"/>
  <c r="K918" i="28"/>
  <c r="K919" i="28"/>
  <c r="K920" i="28"/>
  <c r="K921" i="28"/>
  <c r="K922" i="28"/>
  <c r="K923" i="28"/>
  <c r="K924" i="28"/>
  <c r="K925" i="28"/>
  <c r="K926" i="28"/>
  <c r="K927" i="28"/>
  <c r="K928" i="28"/>
  <c r="K929" i="28"/>
  <c r="K930" i="28"/>
  <c r="K931" i="28"/>
  <c r="K932" i="28"/>
  <c r="K933" i="28"/>
  <c r="K934" i="28"/>
  <c r="K935" i="28"/>
  <c r="K936" i="28"/>
  <c r="K937" i="28"/>
  <c r="K938" i="28"/>
  <c r="K939" i="28"/>
  <c r="K940" i="28"/>
  <c r="K941" i="28"/>
  <c r="K942" i="28"/>
  <c r="K943" i="28"/>
  <c r="K944" i="28"/>
  <c r="K945" i="28"/>
  <c r="K946" i="28"/>
  <c r="K947" i="28"/>
  <c r="K948" i="28"/>
  <c r="K949" i="28"/>
  <c r="K950" i="28"/>
  <c r="K951" i="28"/>
  <c r="K952" i="28"/>
  <c r="K953" i="28"/>
  <c r="K954" i="28"/>
  <c r="K955" i="28"/>
  <c r="K956" i="28"/>
  <c r="K957" i="28"/>
  <c r="K958" i="28"/>
  <c r="K959" i="28"/>
  <c r="K960" i="28"/>
  <c r="K961" i="28"/>
  <c r="K962" i="28"/>
  <c r="K963" i="28"/>
  <c r="K964" i="28"/>
  <c r="K965" i="28"/>
  <c r="K966" i="28"/>
  <c r="K967" i="28"/>
  <c r="K968" i="28"/>
  <c r="K969" i="28"/>
  <c r="K970" i="28"/>
  <c r="K971" i="28"/>
  <c r="K972" i="28"/>
  <c r="K973" i="28"/>
  <c r="K974" i="28"/>
  <c r="K975" i="28"/>
  <c r="K976" i="28"/>
  <c r="K977" i="28"/>
  <c r="K978" i="28"/>
  <c r="K979" i="28"/>
  <c r="K980" i="28"/>
  <c r="K981" i="28"/>
  <c r="K982" i="28"/>
  <c r="K983" i="28"/>
  <c r="K984" i="28"/>
  <c r="K985" i="28"/>
  <c r="K986" i="28"/>
  <c r="K987" i="28"/>
  <c r="K988" i="28"/>
  <c r="K989" i="28"/>
  <c r="K990" i="28"/>
  <c r="K991" i="28"/>
  <c r="K992" i="28"/>
  <c r="K993" i="28"/>
  <c r="K994" i="28"/>
  <c r="K995" i="28"/>
  <c r="K996" i="28"/>
  <c r="K997" i="28"/>
  <c r="K998" i="28"/>
  <c r="K999" i="28"/>
  <c r="AH5" i="7"/>
  <c r="AE10" i="7"/>
  <c r="AE26" i="7"/>
  <c r="AE42" i="7"/>
  <c r="AE58" i="7"/>
  <c r="AE74" i="7"/>
  <c r="AE90" i="7"/>
  <c r="AE106" i="7"/>
  <c r="AE122" i="7"/>
  <c r="AE138" i="7"/>
  <c r="AE154" i="7"/>
  <c r="AE170" i="7"/>
  <c r="AE186" i="7"/>
  <c r="AE202" i="7"/>
  <c r="AE218" i="7"/>
  <c r="AE234" i="7"/>
  <c r="AE250" i="7"/>
  <c r="AE266" i="7"/>
  <c r="AE282" i="7"/>
  <c r="AE298" i="7"/>
  <c r="AE314" i="7"/>
  <c r="AE330" i="7"/>
  <c r="AE346" i="7"/>
  <c r="AE362" i="7"/>
  <c r="AE378" i="7"/>
  <c r="AE394" i="7"/>
  <c r="AE410" i="7"/>
  <c r="AE426" i="7"/>
  <c r="AE442" i="7"/>
  <c r="AE458" i="7"/>
  <c r="AE474" i="7"/>
  <c r="AE490" i="7"/>
  <c r="AE506" i="7"/>
  <c r="AE15" i="7"/>
  <c r="AE31" i="7"/>
  <c r="AE47" i="7"/>
  <c r="AE63" i="7"/>
  <c r="AE79" i="7"/>
  <c r="AE95" i="7"/>
  <c r="AE111" i="7"/>
  <c r="AE127" i="7"/>
  <c r="AE143" i="7"/>
  <c r="AE159" i="7"/>
  <c r="AE175" i="7"/>
  <c r="AE191" i="7"/>
  <c r="AE207" i="7"/>
  <c r="AE223" i="7"/>
  <c r="AE239" i="7"/>
  <c r="AE255" i="7"/>
  <c r="AE271" i="7"/>
  <c r="AE287" i="7"/>
  <c r="AE303" i="7"/>
  <c r="AE319" i="7"/>
  <c r="AE335" i="7"/>
  <c r="AE351" i="7"/>
  <c r="AE367" i="7"/>
  <c r="AE383" i="7"/>
  <c r="AE399" i="7"/>
  <c r="AE415" i="7"/>
  <c r="AE431" i="7"/>
  <c r="AE447" i="7"/>
  <c r="AE463" i="7"/>
  <c r="AE479" i="7"/>
  <c r="AE495" i="7"/>
  <c r="AE4" i="7"/>
  <c r="AE36" i="7"/>
  <c r="AE68" i="7"/>
  <c r="AE100" i="7"/>
  <c r="AE132" i="7"/>
  <c r="AE164" i="7"/>
  <c r="AE196" i="7"/>
  <c r="AE228" i="7"/>
  <c r="AE260" i="7"/>
  <c r="AE292" i="7"/>
  <c r="AE324" i="7"/>
  <c r="AE356" i="7"/>
  <c r="AE388" i="7"/>
  <c r="AE420" i="7"/>
  <c r="AE452" i="7"/>
  <c r="AE484" i="7"/>
  <c r="AE512" i="7"/>
  <c r="AE528" i="7"/>
  <c r="AE544" i="7"/>
  <c r="AE560" i="7"/>
  <c r="AE576" i="7"/>
  <c r="AE592" i="7"/>
  <c r="AE608" i="7"/>
  <c r="AE624" i="7"/>
  <c r="AE640" i="7"/>
  <c r="AE656" i="7"/>
  <c r="AE672" i="7"/>
  <c r="AE688" i="7"/>
  <c r="AE704" i="7"/>
  <c r="AE720" i="7"/>
  <c r="AE736" i="7"/>
  <c r="AE752" i="7"/>
  <c r="AE768" i="7"/>
  <c r="AE784" i="7"/>
  <c r="AE800" i="7"/>
  <c r="AE816" i="7"/>
  <c r="AE832" i="7"/>
  <c r="AE848" i="7"/>
  <c r="AE864" i="7"/>
  <c r="AE880" i="7"/>
  <c r="AE896" i="7"/>
  <c r="AE912" i="7"/>
  <c r="AE928" i="7"/>
  <c r="AE944" i="7"/>
  <c r="AE960" i="7"/>
  <c r="AE976" i="7"/>
  <c r="AE992" i="7"/>
  <c r="AE13" i="7"/>
  <c r="AE45" i="7"/>
  <c r="AE77" i="7"/>
  <c r="AE109" i="7"/>
  <c r="AE141" i="7"/>
  <c r="AE173" i="7"/>
  <c r="AE205" i="7"/>
  <c r="AE237" i="7"/>
  <c r="AE269" i="7"/>
  <c r="AE301" i="7"/>
  <c r="AE333" i="7"/>
  <c r="AE365" i="7"/>
  <c r="AE397" i="7"/>
  <c r="AE429" i="7"/>
  <c r="AE461" i="7"/>
  <c r="AE493" i="7"/>
  <c r="AE517" i="7"/>
  <c r="AE14" i="7"/>
  <c r="AE30" i="7"/>
  <c r="AE46" i="7"/>
  <c r="AE62" i="7"/>
  <c r="AE78" i="7"/>
  <c r="AE94" i="7"/>
  <c r="AE110" i="7"/>
  <c r="AE126" i="7"/>
  <c r="AE142" i="7"/>
  <c r="AE158" i="7"/>
  <c r="AE174" i="7"/>
  <c r="AE190" i="7"/>
  <c r="AE206" i="7"/>
  <c r="AE222" i="7"/>
  <c r="AE238" i="7"/>
  <c r="AE254" i="7"/>
  <c r="AE270" i="7"/>
  <c r="AE286" i="7"/>
  <c r="AE302" i="7"/>
  <c r="AE318" i="7"/>
  <c r="AE334" i="7"/>
  <c r="AE350" i="7"/>
  <c r="AE366" i="7"/>
  <c r="AE382" i="7"/>
  <c r="AE398" i="7"/>
  <c r="AE414" i="7"/>
  <c r="AE430" i="7"/>
  <c r="AE446" i="7"/>
  <c r="AE462" i="7"/>
  <c r="AE478" i="7"/>
  <c r="AE494" i="7"/>
  <c r="AE3" i="7"/>
  <c r="AE19" i="7"/>
  <c r="AE35" i="7"/>
  <c r="AE51" i="7"/>
  <c r="AE67" i="7"/>
  <c r="AE83" i="7"/>
  <c r="AE99" i="7"/>
  <c r="AE115" i="7"/>
  <c r="AE131" i="7"/>
  <c r="AE147" i="7"/>
  <c r="AE163" i="7"/>
  <c r="AE179" i="7"/>
  <c r="AE195" i="7"/>
  <c r="AE211" i="7"/>
  <c r="AE227" i="7"/>
  <c r="AE2" i="7"/>
  <c r="AE34" i="7"/>
  <c r="AE66" i="7"/>
  <c r="AE98" i="7"/>
  <c r="AE130" i="7"/>
  <c r="AE162" i="7"/>
  <c r="AE194" i="7"/>
  <c r="AE226" i="7"/>
  <c r="AE258" i="7"/>
  <c r="AE290" i="7"/>
  <c r="AE322" i="7"/>
  <c r="AE354" i="7"/>
  <c r="AE386" i="7"/>
  <c r="AE418" i="7"/>
  <c r="AE450" i="7"/>
  <c r="AE482" i="7"/>
  <c r="AE7" i="7"/>
  <c r="AE39" i="7"/>
  <c r="AE71" i="7"/>
  <c r="AE103" i="7"/>
  <c r="AE135" i="7"/>
  <c r="AE167" i="7"/>
  <c r="AE199" i="7"/>
  <c r="AE231" i="7"/>
  <c r="AE251" i="7"/>
  <c r="AE275" i="7"/>
  <c r="AE295" i="7"/>
  <c r="AE315" i="7"/>
  <c r="AE339" i="7"/>
  <c r="AE359" i="7"/>
  <c r="AE379" i="7"/>
  <c r="AE403" i="7"/>
  <c r="AE423" i="7"/>
  <c r="AE443" i="7"/>
  <c r="AE467" i="7"/>
  <c r="AE487" i="7"/>
  <c r="AE507" i="7"/>
  <c r="AE44" i="7"/>
  <c r="AE84" i="7"/>
  <c r="AE124" i="7"/>
  <c r="AE172" i="7"/>
  <c r="AE212" i="7"/>
  <c r="AE252" i="7"/>
  <c r="AE300" i="7"/>
  <c r="AE340" i="7"/>
  <c r="AE380" i="7"/>
  <c r="AE428" i="7"/>
  <c r="AE468" i="7"/>
  <c r="AE508" i="7"/>
  <c r="AE532" i="7"/>
  <c r="AE552" i="7"/>
  <c r="AE572" i="7"/>
  <c r="AE596" i="7"/>
  <c r="AE616" i="7"/>
  <c r="AE636" i="7"/>
  <c r="AE660" i="7"/>
  <c r="AE680" i="7"/>
  <c r="AE700" i="7"/>
  <c r="AE724" i="7"/>
  <c r="AE744" i="7"/>
  <c r="AE764" i="7"/>
  <c r="AE788" i="7"/>
  <c r="AE808" i="7"/>
  <c r="AE828" i="7"/>
  <c r="AE852" i="7"/>
  <c r="AE872" i="7"/>
  <c r="AE892" i="7"/>
  <c r="AE916" i="7"/>
  <c r="AE936" i="7"/>
  <c r="AE956" i="7"/>
  <c r="AE980" i="7"/>
  <c r="AE1000" i="7"/>
  <c r="AE37" i="7"/>
  <c r="AE85" i="7"/>
  <c r="AE125" i="7"/>
  <c r="AE165" i="7"/>
  <c r="AE213" i="7"/>
  <c r="AE253" i="7"/>
  <c r="AE293" i="7"/>
  <c r="AE341" i="7"/>
  <c r="AE381" i="7"/>
  <c r="AE421" i="7"/>
  <c r="AE469" i="7"/>
  <c r="AE509" i="7"/>
  <c r="AE8" i="7"/>
  <c r="AE72" i="7"/>
  <c r="AE136" i="7"/>
  <c r="AE200" i="7"/>
  <c r="AE264" i="7"/>
  <c r="AE328" i="7"/>
  <c r="AE392" i="7"/>
  <c r="AE456" i="7"/>
  <c r="AE514" i="7"/>
  <c r="AE539" i="7"/>
  <c r="AE561" i="7"/>
  <c r="AE582" i="7"/>
  <c r="AE603" i="7"/>
  <c r="AE625" i="7"/>
  <c r="AE646" i="7"/>
  <c r="AE667" i="7"/>
  <c r="AE689" i="7"/>
  <c r="AE710" i="7"/>
  <c r="AE731" i="7"/>
  <c r="AE753" i="7"/>
  <c r="AE774" i="7"/>
  <c r="AE795" i="7"/>
  <c r="AE817" i="7"/>
  <c r="AE838" i="7"/>
  <c r="AE859" i="7"/>
  <c r="AE881" i="7"/>
  <c r="AE902" i="7"/>
  <c r="AE923" i="7"/>
  <c r="AE945" i="7"/>
  <c r="AE966" i="7"/>
  <c r="AE987" i="7"/>
  <c r="AE25" i="7"/>
  <c r="AE89" i="7"/>
  <c r="AE153" i="7"/>
  <c r="AE217" i="7"/>
  <c r="AE281" i="7"/>
  <c r="AE345" i="7"/>
  <c r="AE409" i="7"/>
  <c r="AE473" i="7"/>
  <c r="AE523" i="7"/>
  <c r="AE546" i="7"/>
  <c r="AE567" i="7"/>
  <c r="AE589" i="7"/>
  <c r="AE610" i="7"/>
  <c r="AE6" i="7"/>
  <c r="AE38" i="7"/>
  <c r="AE70" i="7"/>
  <c r="AE102" i="7"/>
  <c r="AE134" i="7"/>
  <c r="AE166" i="7"/>
  <c r="AE198" i="7"/>
  <c r="AE230" i="7"/>
  <c r="AE262" i="7"/>
  <c r="AE294" i="7"/>
  <c r="AE326" i="7"/>
  <c r="AE358" i="7"/>
  <c r="AE390" i="7"/>
  <c r="AE422" i="7"/>
  <c r="AE454" i="7"/>
  <c r="AE486" i="7"/>
  <c r="AE11" i="7"/>
  <c r="AE43" i="7"/>
  <c r="AE75" i="7"/>
  <c r="AE107" i="7"/>
  <c r="AE139" i="7"/>
  <c r="AE171" i="7"/>
  <c r="AE203" i="7"/>
  <c r="AE235" i="7"/>
  <c r="AE259" i="7"/>
  <c r="AE279" i="7"/>
  <c r="AE299" i="7"/>
  <c r="AE323" i="7"/>
  <c r="AE343" i="7"/>
  <c r="AE363" i="7"/>
  <c r="AE387" i="7"/>
  <c r="AE407" i="7"/>
  <c r="AE427" i="7"/>
  <c r="AE451" i="7"/>
  <c r="AE471" i="7"/>
  <c r="AE491" i="7"/>
  <c r="AE12" i="7"/>
  <c r="AE52" i="7"/>
  <c r="AE92" i="7"/>
  <c r="AE140" i="7"/>
  <c r="AE180" i="7"/>
  <c r="AE220" i="7"/>
  <c r="AE268" i="7"/>
  <c r="AE308" i="7"/>
  <c r="AE348" i="7"/>
  <c r="AE396" i="7"/>
  <c r="AE436" i="7"/>
  <c r="AE476" i="7"/>
  <c r="AE516" i="7"/>
  <c r="AE536" i="7"/>
  <c r="AE556" i="7"/>
  <c r="AE580" i="7"/>
  <c r="AE600" i="7"/>
  <c r="AE620" i="7"/>
  <c r="AE644" i="7"/>
  <c r="AE664" i="7"/>
  <c r="AE684" i="7"/>
  <c r="AE708" i="7"/>
  <c r="AE728" i="7"/>
  <c r="AE748" i="7"/>
  <c r="AE772" i="7"/>
  <c r="AE792" i="7"/>
  <c r="AE812" i="7"/>
  <c r="AE836" i="7"/>
  <c r="AE856" i="7"/>
  <c r="AE876" i="7"/>
  <c r="AE900" i="7"/>
  <c r="AE920" i="7"/>
  <c r="AE940" i="7"/>
  <c r="AE964" i="7"/>
  <c r="AE984" i="7"/>
  <c r="AE5" i="7"/>
  <c r="AE53" i="7"/>
  <c r="AE93" i="7"/>
  <c r="AE133" i="7"/>
  <c r="AE181" i="7"/>
  <c r="AE221" i="7"/>
  <c r="AE261" i="7"/>
  <c r="AE309" i="7"/>
  <c r="AE349" i="7"/>
  <c r="AE389" i="7"/>
  <c r="AE437" i="7"/>
  <c r="AE477" i="7"/>
  <c r="AE513" i="7"/>
  <c r="AE24" i="7"/>
  <c r="AE88" i="7"/>
  <c r="AE152" i="7"/>
  <c r="AE216" i="7"/>
  <c r="AE280" i="7"/>
  <c r="AE344" i="7"/>
  <c r="AE408" i="7"/>
  <c r="AE472" i="7"/>
  <c r="AE522" i="7"/>
  <c r="AE545" i="7"/>
  <c r="AE566" i="7"/>
  <c r="AE587" i="7"/>
  <c r="AE609" i="7"/>
  <c r="AE630" i="7"/>
  <c r="AE651" i="7"/>
  <c r="AE673" i="7"/>
  <c r="AE694" i="7"/>
  <c r="AE715" i="7"/>
  <c r="AE737" i="7"/>
  <c r="AE758" i="7"/>
  <c r="AE779" i="7"/>
  <c r="AE801" i="7"/>
  <c r="AE822" i="7"/>
  <c r="AE843" i="7"/>
  <c r="AE865" i="7"/>
  <c r="AE886" i="7"/>
  <c r="AE907" i="7"/>
  <c r="AE929" i="7"/>
  <c r="AE950" i="7"/>
  <c r="AE971" i="7"/>
  <c r="AE993" i="7"/>
  <c r="AE41" i="7"/>
  <c r="AE105" i="7"/>
  <c r="AE169" i="7"/>
  <c r="AE233" i="7"/>
  <c r="AE297" i="7"/>
  <c r="AE361" i="7"/>
  <c r="AE425" i="7"/>
  <c r="AE489" i="7"/>
  <c r="AE530" i="7"/>
  <c r="AE551" i="7"/>
  <c r="AE573" i="7"/>
  <c r="AE594" i="7"/>
  <c r="AE18" i="7"/>
  <c r="AE82" i="7"/>
  <c r="AE146" i="7"/>
  <c r="AE210" i="7"/>
  <c r="AE274" i="7"/>
  <c r="AE338" i="7"/>
  <c r="AE402" i="7"/>
  <c r="AE466" i="7"/>
  <c r="AE23" i="7"/>
  <c r="AE87" i="7"/>
  <c r="AE151" i="7"/>
  <c r="AE215" i="7"/>
  <c r="AE263" i="7"/>
  <c r="AE307" i="7"/>
  <c r="AE347" i="7"/>
  <c r="AE391" i="7"/>
  <c r="AE435" i="7"/>
  <c r="AE475" i="7"/>
  <c r="AE20" i="7"/>
  <c r="AE108" i="7"/>
  <c r="AE188" i="7"/>
  <c r="AE276" i="7"/>
  <c r="AE364" i="7"/>
  <c r="AE444" i="7"/>
  <c r="AE520" i="7"/>
  <c r="AE564" i="7"/>
  <c r="AE604" i="7"/>
  <c r="AE648" i="7"/>
  <c r="AE692" i="7"/>
  <c r="AE732" i="7"/>
  <c r="AE776" i="7"/>
  <c r="AE820" i="7"/>
  <c r="AE860" i="7"/>
  <c r="AE904" i="7"/>
  <c r="AE948" i="7"/>
  <c r="AE988" i="7"/>
  <c r="AE61" i="7"/>
  <c r="AE149" i="7"/>
  <c r="AE229" i="7"/>
  <c r="AE317" i="7"/>
  <c r="AE405" i="7"/>
  <c r="AE485" i="7"/>
  <c r="AE40" i="7"/>
  <c r="AE168" i="7"/>
  <c r="AE296" i="7"/>
  <c r="AE424" i="7"/>
  <c r="AE529" i="7"/>
  <c r="AE571" i="7"/>
  <c r="AE614" i="7"/>
  <c r="AE657" i="7"/>
  <c r="AE699" i="7"/>
  <c r="AE742" i="7"/>
  <c r="AE785" i="7"/>
  <c r="AE827" i="7"/>
  <c r="AE870" i="7"/>
  <c r="AE913" i="7"/>
  <c r="AE955" i="7"/>
  <c r="AE998" i="7"/>
  <c r="AE121" i="7"/>
  <c r="AE249" i="7"/>
  <c r="AE377" i="7"/>
  <c r="AE505" i="7"/>
  <c r="AE557" i="7"/>
  <c r="AE599" i="7"/>
  <c r="AE626" i="7"/>
  <c r="AE647" i="7"/>
  <c r="AE669" i="7"/>
  <c r="AE690" i="7"/>
  <c r="AE711" i="7"/>
  <c r="AE733" i="7"/>
  <c r="AE754" i="7"/>
  <c r="AE775" i="7"/>
  <c r="AE797" i="7"/>
  <c r="AE818" i="7"/>
  <c r="AE839" i="7"/>
  <c r="AE861" i="7"/>
  <c r="AE882" i="7"/>
  <c r="AE903" i="7"/>
  <c r="AE925" i="7"/>
  <c r="AE946" i="7"/>
  <c r="AE967" i="7"/>
  <c r="AE989" i="7"/>
  <c r="AE32" i="7"/>
  <c r="AE96" i="7"/>
  <c r="AE160" i="7"/>
  <c r="AE224" i="7"/>
  <c r="AE288" i="7"/>
  <c r="AE352" i="7"/>
  <c r="AE416" i="7"/>
  <c r="AE480" i="7"/>
  <c r="AE526" i="7"/>
  <c r="AE547" i="7"/>
  <c r="AE569" i="7"/>
  <c r="AE590" i="7"/>
  <c r="AE611" i="7"/>
  <c r="AE633" i="7"/>
  <c r="AE654" i="7"/>
  <c r="AE675" i="7"/>
  <c r="AE697" i="7"/>
  <c r="AE718" i="7"/>
  <c r="AE739" i="7"/>
  <c r="AE761" i="7"/>
  <c r="AE782" i="7"/>
  <c r="AE803" i="7"/>
  <c r="AE825" i="7"/>
  <c r="AE846" i="7"/>
  <c r="AE867" i="7"/>
  <c r="AE889" i="7"/>
  <c r="AE910" i="7"/>
  <c r="AE931" i="7"/>
  <c r="AE953" i="7"/>
  <c r="AE974" i="7"/>
  <c r="AE995" i="7"/>
  <c r="AE65" i="7"/>
  <c r="AE129" i="7"/>
  <c r="AE193" i="7"/>
  <c r="AE257" i="7"/>
  <c r="AE321" i="7"/>
  <c r="AE385" i="7"/>
  <c r="AE449" i="7"/>
  <c r="AE511" i="7"/>
  <c r="AE538" i="7"/>
  <c r="AE559" i="7"/>
  <c r="AE581" i="7"/>
  <c r="AE602" i="7"/>
  <c r="AE623" i="7"/>
  <c r="AE645" i="7"/>
  <c r="AE666" i="7"/>
  <c r="AE22" i="7"/>
  <c r="AE86" i="7"/>
  <c r="AE150" i="7"/>
  <c r="AE214" i="7"/>
  <c r="AE278" i="7"/>
  <c r="AE342" i="7"/>
  <c r="AE406" i="7"/>
  <c r="AE470" i="7"/>
  <c r="AE27" i="7"/>
  <c r="AE91" i="7"/>
  <c r="AE155" i="7"/>
  <c r="AE219" i="7"/>
  <c r="AE267" i="7"/>
  <c r="AE311" i="7"/>
  <c r="AE355" i="7"/>
  <c r="AE395" i="7"/>
  <c r="AE439" i="7"/>
  <c r="AE483" i="7"/>
  <c r="AE28" i="7"/>
  <c r="AE116" i="7"/>
  <c r="AE204" i="7"/>
  <c r="AE284" i="7"/>
  <c r="AE372" i="7"/>
  <c r="AE460" i="7"/>
  <c r="AE524" i="7"/>
  <c r="AE568" i="7"/>
  <c r="AE612" i="7"/>
  <c r="AE652" i="7"/>
  <c r="AE696" i="7"/>
  <c r="AE740" i="7"/>
  <c r="AE780" i="7"/>
  <c r="AE824" i="7"/>
  <c r="AE868" i="7"/>
  <c r="AE908" i="7"/>
  <c r="AE952" i="7"/>
  <c r="AE996" i="7"/>
  <c r="AE69" i="7"/>
  <c r="AE157" i="7"/>
  <c r="AE245" i="7"/>
  <c r="AE325" i="7"/>
  <c r="AE413" i="7"/>
  <c r="AE501" i="7"/>
  <c r="AE56" i="7"/>
  <c r="AE184" i="7"/>
  <c r="AE312" i="7"/>
  <c r="AE440" i="7"/>
  <c r="AE534" i="7"/>
  <c r="AE577" i="7"/>
  <c r="AE619" i="7"/>
  <c r="AE662" i="7"/>
  <c r="AE705" i="7"/>
  <c r="AE747" i="7"/>
  <c r="AE790" i="7"/>
  <c r="AE833" i="7"/>
  <c r="AE875" i="7"/>
  <c r="AE918" i="7"/>
  <c r="AE961" i="7"/>
  <c r="AE9" i="7"/>
  <c r="AE137" i="7"/>
  <c r="AE265" i="7"/>
  <c r="AE393" i="7"/>
  <c r="AE515" i="7"/>
  <c r="AE562" i="7"/>
  <c r="AE605" i="7"/>
  <c r="AE631" i="7"/>
  <c r="AE653" i="7"/>
  <c r="AE674" i="7"/>
  <c r="AE695" i="7"/>
  <c r="AE717" i="7"/>
  <c r="AE738" i="7"/>
  <c r="AE759" i="7"/>
  <c r="AE781" i="7"/>
  <c r="AE802" i="7"/>
  <c r="AE823" i="7"/>
  <c r="AE845" i="7"/>
  <c r="AE866" i="7"/>
  <c r="AE887" i="7"/>
  <c r="AE909" i="7"/>
  <c r="AE930" i="7"/>
  <c r="AE951" i="7"/>
  <c r="AE973" i="7"/>
  <c r="AE994" i="7"/>
  <c r="AE48" i="7"/>
  <c r="AE112" i="7"/>
  <c r="AE176" i="7"/>
  <c r="AE240" i="7"/>
  <c r="AE304" i="7"/>
  <c r="AE368" i="7"/>
  <c r="AE432" i="7"/>
  <c r="AE496" i="7"/>
  <c r="AE531" i="7"/>
  <c r="AE553" i="7"/>
  <c r="AE574" i="7"/>
  <c r="AE595" i="7"/>
  <c r="AE617" i="7"/>
  <c r="AE638" i="7"/>
  <c r="AE659" i="7"/>
  <c r="AE681" i="7"/>
  <c r="AE702" i="7"/>
  <c r="AE723" i="7"/>
  <c r="AE745" i="7"/>
  <c r="AE766" i="7"/>
  <c r="AE787" i="7"/>
  <c r="AE809" i="7"/>
  <c r="AE830" i="7"/>
  <c r="AE851" i="7"/>
  <c r="AE873" i="7"/>
  <c r="AE894" i="7"/>
  <c r="AE915" i="7"/>
  <c r="AE937" i="7"/>
  <c r="AE958" i="7"/>
  <c r="AE979" i="7"/>
  <c r="AE17" i="7"/>
  <c r="AE81" i="7"/>
  <c r="AE145" i="7"/>
  <c r="AE209" i="7"/>
  <c r="AE50" i="7"/>
  <c r="AE114" i="7"/>
  <c r="AE178" i="7"/>
  <c r="AE242" i="7"/>
  <c r="AE306" i="7"/>
  <c r="AE370" i="7"/>
  <c r="AE434" i="7"/>
  <c r="AE498" i="7"/>
  <c r="AE55" i="7"/>
  <c r="AE119" i="7"/>
  <c r="AE183" i="7"/>
  <c r="AE243" i="7"/>
  <c r="AE283" i="7"/>
  <c r="AE327" i="7"/>
  <c r="AE371" i="7"/>
  <c r="AE411" i="7"/>
  <c r="AE455" i="7"/>
  <c r="AE499" i="7"/>
  <c r="AE60" i="7"/>
  <c r="AE148" i="7"/>
  <c r="AE236" i="7"/>
  <c r="AE316" i="7"/>
  <c r="AE404" i="7"/>
  <c r="AE492" i="7"/>
  <c r="AE540" i="7"/>
  <c r="AE584" i="7"/>
  <c r="AE628" i="7"/>
  <c r="AE668" i="7"/>
  <c r="AE712" i="7"/>
  <c r="AE756" i="7"/>
  <c r="AE796" i="7"/>
  <c r="AE840" i="7"/>
  <c r="AE884" i="7"/>
  <c r="AE924" i="7"/>
  <c r="AE968" i="7"/>
  <c r="AE21" i="7"/>
  <c r="AE101" i="7"/>
  <c r="AE189" i="7"/>
  <c r="AE277" i="7"/>
  <c r="AE357" i="7"/>
  <c r="AE445" i="7"/>
  <c r="AE521" i="7"/>
  <c r="AE104" i="7"/>
  <c r="AE232" i="7"/>
  <c r="AE360" i="7"/>
  <c r="AE488" i="7"/>
  <c r="AE550" i="7"/>
  <c r="AE593" i="7"/>
  <c r="AE635" i="7"/>
  <c r="AE678" i="7"/>
  <c r="AE721" i="7"/>
  <c r="AE763" i="7"/>
  <c r="AE806" i="7"/>
  <c r="AE849" i="7"/>
  <c r="AE891" i="7"/>
  <c r="AE934" i="7"/>
  <c r="AE977" i="7"/>
  <c r="AE57" i="7"/>
  <c r="AE185" i="7"/>
  <c r="AE313" i="7"/>
  <c r="AE441" i="7"/>
  <c r="AE535" i="7"/>
  <c r="AE578" i="7"/>
  <c r="AE615" i="7"/>
  <c r="AE637" i="7"/>
  <c r="AE658" i="7"/>
  <c r="AE679" i="7"/>
  <c r="AE701" i="7"/>
  <c r="AE722" i="7"/>
  <c r="AE743" i="7"/>
  <c r="AE765" i="7"/>
  <c r="AE786" i="7"/>
  <c r="AE807" i="7"/>
  <c r="AE829" i="7"/>
  <c r="AE850" i="7"/>
  <c r="AE871" i="7"/>
  <c r="AE893" i="7"/>
  <c r="AE914" i="7"/>
  <c r="AE935" i="7"/>
  <c r="AE957" i="7"/>
  <c r="AE978" i="7"/>
  <c r="AE999" i="7"/>
  <c r="AE64" i="7"/>
  <c r="AE128" i="7"/>
  <c r="AE192" i="7"/>
  <c r="AE256" i="7"/>
  <c r="AE320" i="7"/>
  <c r="AE384" i="7"/>
  <c r="AE448" i="7"/>
  <c r="AE510" i="7"/>
  <c r="AE537" i="7"/>
  <c r="AE558" i="7"/>
  <c r="AE579" i="7"/>
  <c r="AE601" i="7"/>
  <c r="AE622" i="7"/>
  <c r="AE643" i="7"/>
  <c r="AE665" i="7"/>
  <c r="AE686" i="7"/>
  <c r="AE707" i="7"/>
  <c r="AE729" i="7"/>
  <c r="AE750" i="7"/>
  <c r="AE771" i="7"/>
  <c r="AE793" i="7"/>
  <c r="AE814" i="7"/>
  <c r="AE835" i="7"/>
  <c r="AE857" i="7"/>
  <c r="AE878" i="7"/>
  <c r="AE899" i="7"/>
  <c r="AE921" i="7"/>
  <c r="AE942" i="7"/>
  <c r="AE963" i="7"/>
  <c r="AE985" i="7"/>
  <c r="AE33" i="7"/>
  <c r="AE97" i="7"/>
  <c r="AE161" i="7"/>
  <c r="AE225" i="7"/>
  <c r="AE289" i="7"/>
  <c r="AE353" i="7"/>
  <c r="AE417" i="7"/>
  <c r="AE481" i="7"/>
  <c r="AE527" i="7"/>
  <c r="AE549" i="7"/>
  <c r="AE570" i="7"/>
  <c r="AE591" i="7"/>
  <c r="AE613" i="7"/>
  <c r="AE634" i="7"/>
  <c r="AE655" i="7"/>
  <c r="AE54" i="7"/>
  <c r="AE310" i="7"/>
  <c r="AE59" i="7"/>
  <c r="AE291" i="7"/>
  <c r="AE459" i="7"/>
  <c r="AE244" i="7"/>
  <c r="AE548" i="7"/>
  <c r="AE716" i="7"/>
  <c r="AE888" i="7"/>
  <c r="AE117" i="7"/>
  <c r="AE453" i="7"/>
  <c r="AE376" i="7"/>
  <c r="AE641" i="7"/>
  <c r="AE811" i="7"/>
  <c r="AE982" i="7"/>
  <c r="AE457" i="7"/>
  <c r="AE642" i="7"/>
  <c r="AE727" i="7"/>
  <c r="AE813" i="7"/>
  <c r="AE898" i="7"/>
  <c r="AE983" i="7"/>
  <c r="AE208" i="7"/>
  <c r="AE464" i="7"/>
  <c r="AE585" i="7"/>
  <c r="AE670" i="7"/>
  <c r="AE755" i="7"/>
  <c r="AE841" i="7"/>
  <c r="AE926" i="7"/>
  <c r="AE49" i="7"/>
  <c r="AE273" i="7"/>
  <c r="AE401" i="7"/>
  <c r="AE519" i="7"/>
  <c r="AE565" i="7"/>
  <c r="AE607" i="7"/>
  <c r="AE650" i="7"/>
  <c r="AE682" i="7"/>
  <c r="AE703" i="7"/>
  <c r="AE725" i="7"/>
  <c r="AE746" i="7"/>
  <c r="AE767" i="7"/>
  <c r="AE789" i="7"/>
  <c r="AE810" i="7"/>
  <c r="AE831" i="7"/>
  <c r="AE853" i="7"/>
  <c r="AE874" i="7"/>
  <c r="AE895" i="7"/>
  <c r="AE917" i="7"/>
  <c r="AE938" i="7"/>
  <c r="AE959" i="7"/>
  <c r="AE981" i="7"/>
  <c r="AD2" i="7"/>
  <c r="AD18" i="7"/>
  <c r="AD34" i="7"/>
  <c r="AD50" i="7"/>
  <c r="AD66" i="7"/>
  <c r="AD82" i="7"/>
  <c r="AD98" i="7"/>
  <c r="AD114" i="7"/>
  <c r="AD130" i="7"/>
  <c r="AD146" i="7"/>
  <c r="AD162" i="7"/>
  <c r="AD178" i="7"/>
  <c r="AD194" i="7"/>
  <c r="AD210" i="7"/>
  <c r="AD226" i="7"/>
  <c r="AD242" i="7"/>
  <c r="AD258" i="7"/>
  <c r="AD274" i="7"/>
  <c r="AD290" i="7"/>
  <c r="AD306" i="7"/>
  <c r="AD322" i="7"/>
  <c r="AD338" i="7"/>
  <c r="AD354" i="7"/>
  <c r="AD370" i="7"/>
  <c r="AD386" i="7"/>
  <c r="AD402" i="7"/>
  <c r="AD418" i="7"/>
  <c r="AD434" i="7"/>
  <c r="AD450" i="7"/>
  <c r="AD466" i="7"/>
  <c r="AD482" i="7"/>
  <c r="AD498" i="7"/>
  <c r="AD11" i="7"/>
  <c r="AD27" i="7"/>
  <c r="AD43" i="7"/>
  <c r="AD59" i="7"/>
  <c r="AD75" i="7"/>
  <c r="AD91" i="7"/>
  <c r="AD107" i="7"/>
  <c r="AD123" i="7"/>
  <c r="AD139" i="7"/>
  <c r="AD155" i="7"/>
  <c r="AD171" i="7"/>
  <c r="AD187" i="7"/>
  <c r="AD203" i="7"/>
  <c r="AD219" i="7"/>
  <c r="AD235" i="7"/>
  <c r="AD251" i="7"/>
  <c r="AD267" i="7"/>
  <c r="AD283" i="7"/>
  <c r="AD299" i="7"/>
  <c r="AD315" i="7"/>
  <c r="AD331" i="7"/>
  <c r="AD347" i="7"/>
  <c r="AD363" i="7"/>
  <c r="AD379" i="7"/>
  <c r="AD395" i="7"/>
  <c r="AD411" i="7"/>
  <c r="AD427" i="7"/>
  <c r="AD443" i="7"/>
  <c r="AD459" i="7"/>
  <c r="AD475" i="7"/>
  <c r="AD491" i="7"/>
  <c r="AD507" i="7"/>
  <c r="AD16" i="7"/>
  <c r="AD32" i="7"/>
  <c r="AD48" i="7"/>
  <c r="AD64" i="7"/>
  <c r="AD80" i="7"/>
  <c r="AD96" i="7"/>
  <c r="AD112" i="7"/>
  <c r="AD128" i="7"/>
  <c r="AD144" i="7"/>
  <c r="AD160" i="7"/>
  <c r="AD176" i="7"/>
  <c r="AD192" i="7"/>
  <c r="AD208" i="7"/>
  <c r="AD224" i="7"/>
  <c r="AD240" i="7"/>
  <c r="AD256" i="7"/>
  <c r="AD272" i="7"/>
  <c r="AD288" i="7"/>
  <c r="AD304" i="7"/>
  <c r="AD320" i="7"/>
  <c r="AD336" i="7"/>
  <c r="AD352" i="7"/>
  <c r="AD368" i="7"/>
  <c r="AD384" i="7"/>
  <c r="AD400" i="7"/>
  <c r="AD416" i="7"/>
  <c r="AD432" i="7"/>
  <c r="AD448" i="7"/>
  <c r="AD464" i="7"/>
  <c r="AD480" i="7"/>
  <c r="AD21" i="7"/>
  <c r="AD85" i="7"/>
  <c r="AD149" i="7"/>
  <c r="AD213" i="7"/>
  <c r="AD277" i="7"/>
  <c r="AD341" i="7"/>
  <c r="AD405" i="7"/>
  <c r="AD469" i="7"/>
  <c r="AD509" i="7"/>
  <c r="AD525" i="7"/>
  <c r="AD541" i="7"/>
  <c r="AD557" i="7"/>
  <c r="AD573" i="7"/>
  <c r="AD589" i="7"/>
  <c r="AD605" i="7"/>
  <c r="AD621" i="7"/>
  <c r="AD637" i="7"/>
  <c r="AD653" i="7"/>
  <c r="AD669" i="7"/>
  <c r="AD685" i="7"/>
  <c r="AD701" i="7"/>
  <c r="AD717" i="7"/>
  <c r="AD733" i="7"/>
  <c r="AD749" i="7"/>
  <c r="AD765" i="7"/>
  <c r="AD781" i="7"/>
  <c r="AD797" i="7"/>
  <c r="AD813" i="7"/>
  <c r="AD829" i="7"/>
  <c r="AD845" i="7"/>
  <c r="AD861" i="7"/>
  <c r="AD877" i="7"/>
  <c r="AD41" i="7"/>
  <c r="AD105" i="7"/>
  <c r="AD169" i="7"/>
  <c r="AD233" i="7"/>
  <c r="AD297" i="7"/>
  <c r="AD361" i="7"/>
  <c r="AD425" i="7"/>
  <c r="AD489" i="7"/>
  <c r="AD514" i="7"/>
  <c r="AD530" i="7"/>
  <c r="AD546" i="7"/>
  <c r="AD562" i="7"/>
  <c r="AD578" i="7"/>
  <c r="AD594" i="7"/>
  <c r="AD610" i="7"/>
  <c r="AD626" i="7"/>
  <c r="AD642" i="7"/>
  <c r="AD658" i="7"/>
  <c r="AD674" i="7"/>
  <c r="AD690" i="7"/>
  <c r="AD706" i="7"/>
  <c r="AD722" i="7"/>
  <c r="AD738" i="7"/>
  <c r="AD754" i="7"/>
  <c r="AD770" i="7"/>
  <c r="AD786" i="7"/>
  <c r="AD802" i="7"/>
  <c r="AD818" i="7"/>
  <c r="AD834" i="7"/>
  <c r="AD850" i="7"/>
  <c r="AD866" i="7"/>
  <c r="AD882" i="7"/>
  <c r="AD898" i="7"/>
  <c r="AD914" i="7"/>
  <c r="AD930" i="7"/>
  <c r="AD946" i="7"/>
  <c r="AD962" i="7"/>
  <c r="AD978" i="7"/>
  <c r="AD109" i="7"/>
  <c r="AD237" i="7"/>
  <c r="AD365" i="7"/>
  <c r="AD492" i="7"/>
  <c r="AD531" i="7"/>
  <c r="AD563" i="7"/>
  <c r="AD595" i="7"/>
  <c r="AD627" i="7"/>
  <c r="AD659" i="7"/>
  <c r="AD691" i="7"/>
  <c r="AD723" i="7"/>
  <c r="AD755" i="7"/>
  <c r="AD787" i="7"/>
  <c r="AD819" i="7"/>
  <c r="AD851" i="7"/>
  <c r="AD883" i="7"/>
  <c r="AD904" i="7"/>
  <c r="AD925" i="7"/>
  <c r="AD947" i="7"/>
  <c r="AD968" i="7"/>
  <c r="AD987" i="7"/>
  <c r="AD61" i="7"/>
  <c r="AD285" i="7"/>
  <c r="AD511" i="7"/>
  <c r="AD583" i="7"/>
  <c r="AD647" i="7"/>
  <c r="AD711" i="7"/>
  <c r="AD767" i="7"/>
  <c r="AD831" i="7"/>
  <c r="AD891" i="7"/>
  <c r="AD933" i="7"/>
  <c r="AD976" i="7"/>
  <c r="AD97" i="7"/>
  <c r="AD353" i="7"/>
  <c r="AD520" i="7"/>
  <c r="AD584" i="7"/>
  <c r="AD648" i="7"/>
  <c r="AD712" i="7"/>
  <c r="AD776" i="7"/>
  <c r="AD840" i="7"/>
  <c r="AD897" i="7"/>
  <c r="AE118" i="7"/>
  <c r="AE374" i="7"/>
  <c r="AE123" i="7"/>
  <c r="AE331" i="7"/>
  <c r="AE503" i="7"/>
  <c r="AE332" i="7"/>
  <c r="AE588" i="7"/>
  <c r="AE760" i="7"/>
  <c r="AE932" i="7"/>
  <c r="AE197" i="7"/>
  <c r="AE525" i="7"/>
  <c r="AE504" i="7"/>
  <c r="AE683" i="7"/>
  <c r="AE854" i="7"/>
  <c r="AE73" i="7"/>
  <c r="AE541" i="7"/>
  <c r="AE663" i="7"/>
  <c r="AE749" i="7"/>
  <c r="AE834" i="7"/>
  <c r="AE919" i="7"/>
  <c r="AE16" i="7"/>
  <c r="AE272" i="7"/>
  <c r="AE518" i="7"/>
  <c r="AE606" i="7"/>
  <c r="AE691" i="7"/>
  <c r="AE777" i="7"/>
  <c r="AE862" i="7"/>
  <c r="AE947" i="7"/>
  <c r="AE113" i="7"/>
  <c r="AE305" i="7"/>
  <c r="AE433" i="7"/>
  <c r="AE533" i="7"/>
  <c r="AE575" i="7"/>
  <c r="AE618" i="7"/>
  <c r="AE661" i="7"/>
  <c r="AE687" i="7"/>
  <c r="AE709" i="7"/>
  <c r="AE730" i="7"/>
  <c r="AE751" i="7"/>
  <c r="AE773" i="7"/>
  <c r="AE794" i="7"/>
  <c r="AE815" i="7"/>
  <c r="AE837" i="7"/>
  <c r="AE858" i="7"/>
  <c r="AE879" i="7"/>
  <c r="AE901" i="7"/>
  <c r="AE922" i="7"/>
  <c r="AE943" i="7"/>
  <c r="AE965" i="7"/>
  <c r="AE986" i="7"/>
  <c r="AD6" i="7"/>
  <c r="AD22" i="7"/>
  <c r="AD38" i="7"/>
  <c r="AD54" i="7"/>
  <c r="AD70" i="7"/>
  <c r="AD86" i="7"/>
  <c r="AD102" i="7"/>
  <c r="AD118" i="7"/>
  <c r="AD134" i="7"/>
  <c r="AD150" i="7"/>
  <c r="AD166" i="7"/>
  <c r="AD182" i="7"/>
  <c r="AD198" i="7"/>
  <c r="AD214" i="7"/>
  <c r="AD230" i="7"/>
  <c r="AD246" i="7"/>
  <c r="AD262" i="7"/>
  <c r="AD278" i="7"/>
  <c r="AD294" i="7"/>
  <c r="AD310" i="7"/>
  <c r="AD326" i="7"/>
  <c r="AD342" i="7"/>
  <c r="AD358" i="7"/>
  <c r="AD374" i="7"/>
  <c r="AD390" i="7"/>
  <c r="AD406" i="7"/>
  <c r="AD422" i="7"/>
  <c r="AD438" i="7"/>
  <c r="AD454" i="7"/>
  <c r="AD470" i="7"/>
  <c r="AD486" i="7"/>
  <c r="AD502" i="7"/>
  <c r="AD15" i="7"/>
  <c r="AD31" i="7"/>
  <c r="AD47" i="7"/>
  <c r="AD63" i="7"/>
  <c r="AD79" i="7"/>
  <c r="AD95" i="7"/>
  <c r="AD111" i="7"/>
  <c r="AD127" i="7"/>
  <c r="AD143" i="7"/>
  <c r="AD159" i="7"/>
  <c r="AD175" i="7"/>
  <c r="AD191" i="7"/>
  <c r="AD207" i="7"/>
  <c r="AD223" i="7"/>
  <c r="AD239" i="7"/>
  <c r="AD255" i="7"/>
  <c r="AD271" i="7"/>
  <c r="AD287" i="7"/>
  <c r="AD303" i="7"/>
  <c r="AD319" i="7"/>
  <c r="AD335" i="7"/>
  <c r="AD351" i="7"/>
  <c r="AD367" i="7"/>
  <c r="AD383" i="7"/>
  <c r="AD399" i="7"/>
  <c r="AD415" i="7"/>
  <c r="AD431" i="7"/>
  <c r="AD447" i="7"/>
  <c r="AD463" i="7"/>
  <c r="AD479" i="7"/>
  <c r="AD495" i="7"/>
  <c r="AD4" i="7"/>
  <c r="AD20" i="7"/>
  <c r="AD36" i="7"/>
  <c r="AD52" i="7"/>
  <c r="AD68" i="7"/>
  <c r="AD84" i="7"/>
  <c r="AD100" i="7"/>
  <c r="AD116" i="7"/>
  <c r="AD132" i="7"/>
  <c r="AD148" i="7"/>
  <c r="AD164" i="7"/>
  <c r="AD180" i="7"/>
  <c r="AD196" i="7"/>
  <c r="AD212" i="7"/>
  <c r="AD228" i="7"/>
  <c r="AD244" i="7"/>
  <c r="AD260" i="7"/>
  <c r="AD276" i="7"/>
  <c r="AD292" i="7"/>
  <c r="AD308" i="7"/>
  <c r="AD324" i="7"/>
  <c r="AD340" i="7"/>
  <c r="AD356" i="7"/>
  <c r="AD372" i="7"/>
  <c r="AD388" i="7"/>
  <c r="AD404" i="7"/>
  <c r="AD420" i="7"/>
  <c r="AD436" i="7"/>
  <c r="AD452" i="7"/>
  <c r="AD468" i="7"/>
  <c r="AD484" i="7"/>
  <c r="AD37" i="7"/>
  <c r="AD101" i="7"/>
  <c r="AD165" i="7"/>
  <c r="AD229" i="7"/>
  <c r="AD293" i="7"/>
  <c r="AD357" i="7"/>
  <c r="AD421" i="7"/>
  <c r="AD485" i="7"/>
  <c r="AD513" i="7"/>
  <c r="AD529" i="7"/>
  <c r="AD545" i="7"/>
  <c r="AD561" i="7"/>
  <c r="AD577" i="7"/>
  <c r="AD593" i="7"/>
  <c r="AD609" i="7"/>
  <c r="AD625" i="7"/>
  <c r="AD641" i="7"/>
  <c r="AD657" i="7"/>
  <c r="AD673" i="7"/>
  <c r="AD689" i="7"/>
  <c r="AD705" i="7"/>
  <c r="AD721" i="7"/>
  <c r="AD737" i="7"/>
  <c r="AD753" i="7"/>
  <c r="AD769" i="7"/>
  <c r="AD785" i="7"/>
  <c r="AD801" i="7"/>
  <c r="AD817" i="7"/>
  <c r="AD833" i="7"/>
  <c r="AD849" i="7"/>
  <c r="AD865" i="7"/>
  <c r="AD881" i="7"/>
  <c r="AD57" i="7"/>
  <c r="AD121" i="7"/>
  <c r="AD185" i="7"/>
  <c r="AD249" i="7"/>
  <c r="AD313" i="7"/>
  <c r="AD377" i="7"/>
  <c r="AD441" i="7"/>
  <c r="AD497" i="7"/>
  <c r="AD518" i="7"/>
  <c r="AD534" i="7"/>
  <c r="AD550" i="7"/>
  <c r="AD566" i="7"/>
  <c r="AD582" i="7"/>
  <c r="AD598" i="7"/>
  <c r="AD614" i="7"/>
  <c r="AD630" i="7"/>
  <c r="AD646" i="7"/>
  <c r="AD662" i="7"/>
  <c r="AD678" i="7"/>
  <c r="AD694" i="7"/>
  <c r="AD710" i="7"/>
  <c r="AD726" i="7"/>
  <c r="AD742" i="7"/>
  <c r="AD758" i="7"/>
  <c r="AD774" i="7"/>
  <c r="AD790" i="7"/>
  <c r="AD806" i="7"/>
  <c r="AD822" i="7"/>
  <c r="AD838" i="7"/>
  <c r="AD854" i="7"/>
  <c r="AD870" i="7"/>
  <c r="AD886" i="7"/>
  <c r="AD902" i="7"/>
  <c r="AD918" i="7"/>
  <c r="AD934" i="7"/>
  <c r="AD950" i="7"/>
  <c r="AD966" i="7"/>
  <c r="AD13" i="7"/>
  <c r="AD141" i="7"/>
  <c r="AD269" i="7"/>
  <c r="AD397" i="7"/>
  <c r="AD506" i="7"/>
  <c r="AD539" i="7"/>
  <c r="AD571" i="7"/>
  <c r="AD603" i="7"/>
  <c r="AD635" i="7"/>
  <c r="AD667" i="7"/>
  <c r="AD699" i="7"/>
  <c r="AD731" i="7"/>
  <c r="AD763" i="7"/>
  <c r="AD795" i="7"/>
  <c r="AD827" i="7"/>
  <c r="AD859" i="7"/>
  <c r="AD888" i="7"/>
  <c r="AD909" i="7"/>
  <c r="AD931" i="7"/>
  <c r="AD952" i="7"/>
  <c r="AD973" i="7"/>
  <c r="AD991" i="7"/>
  <c r="AD93" i="7"/>
  <c r="AD349" i="7"/>
  <c r="AD527" i="7"/>
  <c r="AD599" i="7"/>
  <c r="AD671" i="7"/>
  <c r="AD719" i="7"/>
  <c r="AD783" i="7"/>
  <c r="AD847" i="7"/>
  <c r="AD901" i="7"/>
  <c r="AD944" i="7"/>
  <c r="AD985" i="7"/>
  <c r="AD161" i="7"/>
  <c r="AD417" i="7"/>
  <c r="AD536" i="7"/>
  <c r="AD600" i="7"/>
  <c r="AD664" i="7"/>
  <c r="AD728" i="7"/>
  <c r="AD792" i="7"/>
  <c r="AD856" i="7"/>
  <c r="AD908" i="7"/>
  <c r="AE182" i="7"/>
  <c r="AE438" i="7"/>
  <c r="AE187" i="7"/>
  <c r="AE375" i="7"/>
  <c r="AE76" i="7"/>
  <c r="AE412" i="7"/>
  <c r="AE632" i="7"/>
  <c r="AE804" i="7"/>
  <c r="AE972" i="7"/>
  <c r="AE285" i="7"/>
  <c r="AE120" i="7"/>
  <c r="AE555" i="7"/>
  <c r="AE726" i="7"/>
  <c r="AE897" i="7"/>
  <c r="AE201" i="7"/>
  <c r="AE583" i="7"/>
  <c r="AE685" i="7"/>
  <c r="AE770" i="7"/>
  <c r="AE855" i="7"/>
  <c r="AE941" i="7"/>
  <c r="AE80" i="7"/>
  <c r="AE336" i="7"/>
  <c r="AE542" i="7"/>
  <c r="AE627" i="7"/>
  <c r="AE713" i="7"/>
  <c r="AE798" i="7"/>
  <c r="AE883" i="7"/>
  <c r="AE969" i="7"/>
  <c r="AE177" i="7"/>
  <c r="AE337" i="7"/>
  <c r="AE465" i="7"/>
  <c r="AE543" i="7"/>
  <c r="AE586" i="7"/>
  <c r="AE629" i="7"/>
  <c r="AE671" i="7"/>
  <c r="AE693" i="7"/>
  <c r="AE714" i="7"/>
  <c r="AE735" i="7"/>
  <c r="AE757" i="7"/>
  <c r="AE778" i="7"/>
  <c r="AE799" i="7"/>
  <c r="AE821" i="7"/>
  <c r="AE842" i="7"/>
  <c r="AE863" i="7"/>
  <c r="AE885" i="7"/>
  <c r="AE906" i="7"/>
  <c r="AE927" i="7"/>
  <c r="AE949" i="7"/>
  <c r="AE970" i="7"/>
  <c r="AE991" i="7"/>
  <c r="AD10" i="7"/>
  <c r="AD26" i="7"/>
  <c r="AD42" i="7"/>
  <c r="AD58" i="7"/>
  <c r="AD74" i="7"/>
  <c r="AD90" i="7"/>
  <c r="AD106" i="7"/>
  <c r="AD122" i="7"/>
  <c r="AD138" i="7"/>
  <c r="AD154" i="7"/>
  <c r="AD170" i="7"/>
  <c r="AD186" i="7"/>
  <c r="AD202" i="7"/>
  <c r="AD218" i="7"/>
  <c r="AD234" i="7"/>
  <c r="AD250" i="7"/>
  <c r="AD266" i="7"/>
  <c r="AD282" i="7"/>
  <c r="AD298" i="7"/>
  <c r="AD314" i="7"/>
  <c r="AD330" i="7"/>
  <c r="AD346" i="7"/>
  <c r="AD362" i="7"/>
  <c r="AD378" i="7"/>
  <c r="AD394" i="7"/>
  <c r="AD410" i="7"/>
  <c r="AD426" i="7"/>
  <c r="AD442" i="7"/>
  <c r="AD458" i="7"/>
  <c r="AD474" i="7"/>
  <c r="AD490" i="7"/>
  <c r="AD3" i="7"/>
  <c r="AD19" i="7"/>
  <c r="AD35" i="7"/>
  <c r="AD51" i="7"/>
  <c r="AD67" i="7"/>
  <c r="AD83" i="7"/>
  <c r="AD99" i="7"/>
  <c r="AD115" i="7"/>
  <c r="AD131" i="7"/>
  <c r="AD147" i="7"/>
  <c r="AD163" i="7"/>
  <c r="AD179" i="7"/>
  <c r="AD195" i="7"/>
  <c r="AD211" i="7"/>
  <c r="AD227" i="7"/>
  <c r="AD243" i="7"/>
  <c r="AD259" i="7"/>
  <c r="AD275" i="7"/>
  <c r="AD291" i="7"/>
  <c r="AD307" i="7"/>
  <c r="AD323" i="7"/>
  <c r="AD339" i="7"/>
  <c r="AD355" i="7"/>
  <c r="AD371" i="7"/>
  <c r="AD387" i="7"/>
  <c r="AD403" i="7"/>
  <c r="AD419" i="7"/>
  <c r="AD435" i="7"/>
  <c r="AD451" i="7"/>
  <c r="AD467" i="7"/>
  <c r="AD483" i="7"/>
  <c r="AD499" i="7"/>
  <c r="AD8" i="7"/>
  <c r="AD24" i="7"/>
  <c r="AD40" i="7"/>
  <c r="AD56" i="7"/>
  <c r="AD72" i="7"/>
  <c r="AD88" i="7"/>
  <c r="AD104" i="7"/>
  <c r="AD120" i="7"/>
  <c r="AD136" i="7"/>
  <c r="AD152" i="7"/>
  <c r="AD168" i="7"/>
  <c r="AD184" i="7"/>
  <c r="AD200" i="7"/>
  <c r="AD216" i="7"/>
  <c r="AD232" i="7"/>
  <c r="AD248" i="7"/>
  <c r="AD264" i="7"/>
  <c r="AD280" i="7"/>
  <c r="AD296" i="7"/>
  <c r="AD312" i="7"/>
  <c r="AD328" i="7"/>
  <c r="AD344" i="7"/>
  <c r="AD360" i="7"/>
  <c r="AD376" i="7"/>
  <c r="AD392" i="7"/>
  <c r="AD408" i="7"/>
  <c r="AD424" i="7"/>
  <c r="AD440" i="7"/>
  <c r="AD456" i="7"/>
  <c r="AD472" i="7"/>
  <c r="AD488" i="7"/>
  <c r="AD53" i="7"/>
  <c r="AD117" i="7"/>
  <c r="AD181" i="7"/>
  <c r="AD245" i="7"/>
  <c r="AD309" i="7"/>
  <c r="AD373" i="7"/>
  <c r="AD437" i="7"/>
  <c r="AD496" i="7"/>
  <c r="AD517" i="7"/>
  <c r="AD533" i="7"/>
  <c r="AD549" i="7"/>
  <c r="AD565" i="7"/>
  <c r="AD581" i="7"/>
  <c r="AD597" i="7"/>
  <c r="AD613" i="7"/>
  <c r="AD629" i="7"/>
  <c r="AD645" i="7"/>
  <c r="AD661" i="7"/>
  <c r="AD677" i="7"/>
  <c r="AD693" i="7"/>
  <c r="AD709" i="7"/>
  <c r="AD725" i="7"/>
  <c r="AD741" i="7"/>
  <c r="AD757" i="7"/>
  <c r="AD773" i="7"/>
  <c r="AD789" i="7"/>
  <c r="AD805" i="7"/>
  <c r="AD821" i="7"/>
  <c r="AD837" i="7"/>
  <c r="AD853" i="7"/>
  <c r="AD869" i="7"/>
  <c r="AD9" i="7"/>
  <c r="AD73" i="7"/>
  <c r="AD137" i="7"/>
  <c r="AD201" i="7"/>
  <c r="AD265" i="7"/>
  <c r="AD329" i="7"/>
  <c r="AD393" i="7"/>
  <c r="AD457" i="7"/>
  <c r="AD505" i="7"/>
  <c r="AD522" i="7"/>
  <c r="AD538" i="7"/>
  <c r="AD554" i="7"/>
  <c r="AD570" i="7"/>
  <c r="AD586" i="7"/>
  <c r="AD602" i="7"/>
  <c r="AD618" i="7"/>
  <c r="AD634" i="7"/>
  <c r="AD650" i="7"/>
  <c r="AD666" i="7"/>
  <c r="AD682" i="7"/>
  <c r="AD698" i="7"/>
  <c r="AD714" i="7"/>
  <c r="AD730" i="7"/>
  <c r="AD746" i="7"/>
  <c r="AD762" i="7"/>
  <c r="AD778" i="7"/>
  <c r="AD794" i="7"/>
  <c r="AD810" i="7"/>
  <c r="AD826" i="7"/>
  <c r="AD842" i="7"/>
  <c r="AD858" i="7"/>
  <c r="AD874" i="7"/>
  <c r="AD890" i="7"/>
  <c r="AD906" i="7"/>
  <c r="AD922" i="7"/>
  <c r="AD938" i="7"/>
  <c r="AD954" i="7"/>
  <c r="AD970" i="7"/>
  <c r="AD45" i="7"/>
  <c r="AD173" i="7"/>
  <c r="AD301" i="7"/>
  <c r="AD429" i="7"/>
  <c r="AD515" i="7"/>
  <c r="AD547" i="7"/>
  <c r="AD579" i="7"/>
  <c r="AD611" i="7"/>
  <c r="AD643" i="7"/>
  <c r="AD675" i="7"/>
  <c r="AD707" i="7"/>
  <c r="AD739" i="7"/>
  <c r="AD771" i="7"/>
  <c r="AD803" i="7"/>
  <c r="AD835" i="7"/>
  <c r="AD867" i="7"/>
  <c r="AD893" i="7"/>
  <c r="AD915" i="7"/>
  <c r="AD936" i="7"/>
  <c r="AE246" i="7"/>
  <c r="AE156" i="7"/>
  <c r="AE29" i="7"/>
  <c r="AE769" i="7"/>
  <c r="AE706" i="7"/>
  <c r="AE144" i="7"/>
  <c r="AE734" i="7"/>
  <c r="AE241" i="7"/>
  <c r="AE597" i="7"/>
  <c r="AE719" i="7"/>
  <c r="AE805" i="7"/>
  <c r="AE890" i="7"/>
  <c r="AE975" i="7"/>
  <c r="AD46" i="7"/>
  <c r="AD110" i="7"/>
  <c r="AD174" i="7"/>
  <c r="AD238" i="7"/>
  <c r="AD302" i="7"/>
  <c r="AD366" i="7"/>
  <c r="AD430" i="7"/>
  <c r="AD494" i="7"/>
  <c r="AD55" i="7"/>
  <c r="AD119" i="7"/>
  <c r="AD183" i="7"/>
  <c r="AD247" i="7"/>
  <c r="AD311" i="7"/>
  <c r="AD375" i="7"/>
  <c r="AD439" i="7"/>
  <c r="AD503" i="7"/>
  <c r="AD60" i="7"/>
  <c r="AD124" i="7"/>
  <c r="AD188" i="7"/>
  <c r="AD252" i="7"/>
  <c r="AD316" i="7"/>
  <c r="AD380" i="7"/>
  <c r="AD444" i="7"/>
  <c r="AD69" i="7"/>
  <c r="AD325" i="7"/>
  <c r="AD521" i="7"/>
  <c r="AD585" i="7"/>
  <c r="AD649" i="7"/>
  <c r="AD713" i="7"/>
  <c r="AD777" i="7"/>
  <c r="AD841" i="7"/>
  <c r="AD89" i="7"/>
  <c r="AD345" i="7"/>
  <c r="AD526" i="7"/>
  <c r="AD590" i="7"/>
  <c r="AD654" i="7"/>
  <c r="AD718" i="7"/>
  <c r="AD782" i="7"/>
  <c r="AD846" i="7"/>
  <c r="AD910" i="7"/>
  <c r="AD974" i="7"/>
  <c r="AD461" i="7"/>
  <c r="AD619" i="7"/>
  <c r="AD747" i="7"/>
  <c r="AD875" i="7"/>
  <c r="AD957" i="7"/>
  <c r="AD995" i="7"/>
  <c r="AD413" i="7"/>
  <c r="AD615" i="7"/>
  <c r="AD735" i="7"/>
  <c r="AD863" i="7"/>
  <c r="AD955" i="7"/>
  <c r="AD225" i="7"/>
  <c r="AD552" i="7"/>
  <c r="AD688" i="7"/>
  <c r="AD808" i="7"/>
  <c r="AD919" i="7"/>
  <c r="AD967" i="7"/>
  <c r="AD17" i="7"/>
  <c r="AD145" i="7"/>
  <c r="AD273" i="7"/>
  <c r="AD401" i="7"/>
  <c r="AD508" i="7"/>
  <c r="AD540" i="7"/>
  <c r="AD572" i="7"/>
  <c r="AD604" i="7"/>
  <c r="AD636" i="7"/>
  <c r="AD668" i="7"/>
  <c r="AD700" i="7"/>
  <c r="AD732" i="7"/>
  <c r="AD764" i="7"/>
  <c r="AD796" i="7"/>
  <c r="AD828" i="7"/>
  <c r="AD860" i="7"/>
  <c r="AD889" i="7"/>
  <c r="AD911" i="7"/>
  <c r="AD932" i="7"/>
  <c r="AD953" i="7"/>
  <c r="AD975" i="7"/>
  <c r="AD992" i="7"/>
  <c r="AD125" i="7"/>
  <c r="AD381" i="7"/>
  <c r="AD535" i="7"/>
  <c r="AD591" i="7"/>
  <c r="AD655" i="7"/>
  <c r="AD727" i="7"/>
  <c r="AD791" i="7"/>
  <c r="AD855" i="7"/>
  <c r="AD907" i="7"/>
  <c r="AD949" i="7"/>
  <c r="AD989" i="7"/>
  <c r="AD193" i="7"/>
  <c r="AD449" i="7"/>
  <c r="AD560" i="7"/>
  <c r="AD616" i="7"/>
  <c r="AD680" i="7"/>
  <c r="AD752" i="7"/>
  <c r="AD816" i="7"/>
  <c r="AD880" i="7"/>
  <c r="AD924" i="7"/>
  <c r="AD961" i="7"/>
  <c r="AD998" i="7"/>
  <c r="AC14" i="7"/>
  <c r="AC30" i="7"/>
  <c r="AC46" i="7"/>
  <c r="AC62" i="7"/>
  <c r="AC78" i="7"/>
  <c r="AC94" i="7"/>
  <c r="AC110" i="7"/>
  <c r="AC126" i="7"/>
  <c r="AC142" i="7"/>
  <c r="AC158" i="7"/>
  <c r="AC174" i="7"/>
  <c r="AC190" i="7"/>
  <c r="AC206" i="7"/>
  <c r="AC222" i="7"/>
  <c r="AC238" i="7"/>
  <c r="AC254" i="7"/>
  <c r="AC270" i="7"/>
  <c r="AC286" i="7"/>
  <c r="AC302" i="7"/>
  <c r="AC318" i="7"/>
  <c r="AC334" i="7"/>
  <c r="AC350" i="7"/>
  <c r="AC366" i="7"/>
  <c r="AC382" i="7"/>
  <c r="AC398" i="7"/>
  <c r="AC414" i="7"/>
  <c r="AC430" i="7"/>
  <c r="AC446" i="7"/>
  <c r="AC462" i="7"/>
  <c r="AC478" i="7"/>
  <c r="AC494" i="7"/>
  <c r="AC3" i="7"/>
  <c r="AC19" i="7"/>
  <c r="AC35" i="7"/>
  <c r="AC51" i="7"/>
  <c r="AC67" i="7"/>
  <c r="AC83" i="7"/>
  <c r="AC99" i="7"/>
  <c r="AC115" i="7"/>
  <c r="AC131" i="7"/>
  <c r="AC147" i="7"/>
  <c r="AC163" i="7"/>
  <c r="AC179" i="7"/>
  <c r="AC195" i="7"/>
  <c r="AC211" i="7"/>
  <c r="AC227" i="7"/>
  <c r="AC243" i="7"/>
  <c r="AC259" i="7"/>
  <c r="AC275" i="7"/>
  <c r="AC291" i="7"/>
  <c r="AC307" i="7"/>
  <c r="AC323" i="7"/>
  <c r="AC339" i="7"/>
  <c r="AC355" i="7"/>
  <c r="AC371" i="7"/>
  <c r="AC387" i="7"/>
  <c r="AC403" i="7"/>
  <c r="AC419" i="7"/>
  <c r="AC435" i="7"/>
  <c r="AC451" i="7"/>
  <c r="AC467" i="7"/>
  <c r="AC483" i="7"/>
  <c r="AC499" i="7"/>
  <c r="AC12" i="7"/>
  <c r="AC44" i="7"/>
  <c r="AC76" i="7"/>
  <c r="AC108" i="7"/>
  <c r="AC140" i="7"/>
  <c r="AC172" i="7"/>
  <c r="AC204" i="7"/>
  <c r="AC236" i="7"/>
  <c r="AC268" i="7"/>
  <c r="AC300" i="7"/>
  <c r="AC332" i="7"/>
  <c r="AC364" i="7"/>
  <c r="AC396" i="7"/>
  <c r="AC428" i="7"/>
  <c r="AC460" i="7"/>
  <c r="AC492" i="7"/>
  <c r="AC516" i="7"/>
  <c r="AC532" i="7"/>
  <c r="AC548" i="7"/>
  <c r="AC564" i="7"/>
  <c r="AC580" i="7"/>
  <c r="AC596" i="7"/>
  <c r="AC612" i="7"/>
  <c r="AC628" i="7"/>
  <c r="AC644" i="7"/>
  <c r="AC660" i="7"/>
  <c r="AC676" i="7"/>
  <c r="AC692" i="7"/>
  <c r="AC708" i="7"/>
  <c r="AC724" i="7"/>
  <c r="AC740" i="7"/>
  <c r="AC756" i="7"/>
  <c r="AC772" i="7"/>
  <c r="AC788" i="7"/>
  <c r="AC804" i="7"/>
  <c r="AC820" i="7"/>
  <c r="AC836" i="7"/>
  <c r="AC852" i="7"/>
  <c r="AC868" i="7"/>
  <c r="AC884" i="7"/>
  <c r="AC900" i="7"/>
  <c r="AC916" i="7"/>
  <c r="AC932" i="7"/>
  <c r="AC948" i="7"/>
  <c r="AC964" i="7"/>
  <c r="AC980" i="7"/>
  <c r="AC996" i="7"/>
  <c r="AC21" i="7"/>
  <c r="AC53" i="7"/>
  <c r="AC85" i="7"/>
  <c r="AC117" i="7"/>
  <c r="AC149" i="7"/>
  <c r="AC181" i="7"/>
  <c r="AC213" i="7"/>
  <c r="AC245" i="7"/>
  <c r="AC277" i="7"/>
  <c r="AC309" i="7"/>
  <c r="AC341" i="7"/>
  <c r="AC373" i="7"/>
  <c r="AC405" i="7"/>
  <c r="AC437" i="7"/>
  <c r="AC469" i="7"/>
  <c r="AC501" i="7"/>
  <c r="AC521" i="7"/>
  <c r="AC40" i="7"/>
  <c r="AC104" i="7"/>
  <c r="AC168" i="7"/>
  <c r="AC232" i="7"/>
  <c r="AC296" i="7"/>
  <c r="AC360" i="7"/>
  <c r="AC424" i="7"/>
  <c r="AC488" i="7"/>
  <c r="AC529" i="7"/>
  <c r="AC550" i="7"/>
  <c r="AC571" i="7"/>
  <c r="AC593" i="7"/>
  <c r="AC614" i="7"/>
  <c r="AC635" i="7"/>
  <c r="AE502" i="7"/>
  <c r="AE500" i="7"/>
  <c r="AE373" i="7"/>
  <c r="AE939" i="7"/>
  <c r="AE791" i="7"/>
  <c r="AE400" i="7"/>
  <c r="AE819" i="7"/>
  <c r="AE369" i="7"/>
  <c r="AE639" i="7"/>
  <c r="AE741" i="7"/>
  <c r="AE826" i="7"/>
  <c r="AE911" i="7"/>
  <c r="AE997" i="7"/>
  <c r="AD62" i="7"/>
  <c r="AD126" i="7"/>
  <c r="AD190" i="7"/>
  <c r="AD254" i="7"/>
  <c r="AD318" i="7"/>
  <c r="AD382" i="7"/>
  <c r="AD446" i="7"/>
  <c r="AD7" i="7"/>
  <c r="AD71" i="7"/>
  <c r="AD135" i="7"/>
  <c r="AD199" i="7"/>
  <c r="AD263" i="7"/>
  <c r="AD327" i="7"/>
  <c r="AD391" i="7"/>
  <c r="AD455" i="7"/>
  <c r="AD12" i="7"/>
  <c r="AD76" i="7"/>
  <c r="AD140" i="7"/>
  <c r="AD204" i="7"/>
  <c r="AD268" i="7"/>
  <c r="AD332" i="7"/>
  <c r="AD396" i="7"/>
  <c r="AD460" i="7"/>
  <c r="AD133" i="7"/>
  <c r="AD389" i="7"/>
  <c r="AD537" i="7"/>
  <c r="AD601" i="7"/>
  <c r="AD665" i="7"/>
  <c r="AD729" i="7"/>
  <c r="AD793" i="7"/>
  <c r="AD857" i="7"/>
  <c r="AD153" i="7"/>
  <c r="AD409" i="7"/>
  <c r="AD542" i="7"/>
  <c r="AD606" i="7"/>
  <c r="AD670" i="7"/>
  <c r="AD734" i="7"/>
  <c r="AD798" i="7"/>
  <c r="AD862" i="7"/>
  <c r="AD926" i="7"/>
  <c r="AD77" i="7"/>
  <c r="AD523" i="7"/>
  <c r="AD651" i="7"/>
  <c r="AD779" i="7"/>
  <c r="AD899" i="7"/>
  <c r="AD963" i="7"/>
  <c r="AD999" i="7"/>
  <c r="AD477" i="7"/>
  <c r="AD631" i="7"/>
  <c r="AD751" i="7"/>
  <c r="AD879" i="7"/>
  <c r="AD965" i="7"/>
  <c r="AD289" i="7"/>
  <c r="AD568" i="7"/>
  <c r="AD704" i="7"/>
  <c r="AD824" i="7"/>
  <c r="AD929" i="7"/>
  <c r="AD977" i="7"/>
  <c r="AD49" i="7"/>
  <c r="AD177" i="7"/>
  <c r="AD305" i="7"/>
  <c r="AD433" i="7"/>
  <c r="AD516" i="7"/>
  <c r="AD548" i="7"/>
  <c r="AD580" i="7"/>
  <c r="AD612" i="7"/>
  <c r="AD644" i="7"/>
  <c r="AD676" i="7"/>
  <c r="AD708" i="7"/>
  <c r="AD740" i="7"/>
  <c r="AD772" i="7"/>
  <c r="AD804" i="7"/>
  <c r="AD836" i="7"/>
  <c r="AD868" i="7"/>
  <c r="AD895" i="7"/>
  <c r="AD916" i="7"/>
  <c r="AD937" i="7"/>
  <c r="AD959" i="7"/>
  <c r="AD980" i="7"/>
  <c r="AD996" i="7"/>
  <c r="AD221" i="7"/>
  <c r="AD445" i="7"/>
  <c r="AD551" i="7"/>
  <c r="AD607" i="7"/>
  <c r="AD663" i="7"/>
  <c r="AD743" i="7"/>
  <c r="AD807" i="7"/>
  <c r="AD871" i="7"/>
  <c r="AD917" i="7"/>
  <c r="AD960" i="7"/>
  <c r="AD997" i="7"/>
  <c r="AD257" i="7"/>
  <c r="AD512" i="7"/>
  <c r="AD576" i="7"/>
  <c r="AD640" i="7"/>
  <c r="AD696" i="7"/>
  <c r="AD768" i="7"/>
  <c r="AD832" i="7"/>
  <c r="AD887" i="7"/>
  <c r="AD935" i="7"/>
  <c r="AD972" i="7"/>
  <c r="AC2" i="7"/>
  <c r="AC18" i="7"/>
  <c r="AC34" i="7"/>
  <c r="AC50" i="7"/>
  <c r="AC66" i="7"/>
  <c r="AC82" i="7"/>
  <c r="AC98" i="7"/>
  <c r="AC114" i="7"/>
  <c r="AC130" i="7"/>
  <c r="AC146" i="7"/>
  <c r="AC162" i="7"/>
  <c r="AC178" i="7"/>
  <c r="AC194" i="7"/>
  <c r="AC210" i="7"/>
  <c r="AC226" i="7"/>
  <c r="AC242" i="7"/>
  <c r="AC258" i="7"/>
  <c r="AC274" i="7"/>
  <c r="AC290" i="7"/>
  <c r="AC306" i="7"/>
  <c r="AC322" i="7"/>
  <c r="AC338" i="7"/>
  <c r="AC354" i="7"/>
  <c r="AC370" i="7"/>
  <c r="AC386" i="7"/>
  <c r="AC402" i="7"/>
  <c r="AC418" i="7"/>
  <c r="AC434" i="7"/>
  <c r="AC450" i="7"/>
  <c r="AC466" i="7"/>
  <c r="AC482" i="7"/>
  <c r="AC498" i="7"/>
  <c r="AC7" i="7"/>
  <c r="AC23" i="7"/>
  <c r="AC39" i="7"/>
  <c r="AC55" i="7"/>
  <c r="AC71" i="7"/>
  <c r="AC87" i="7"/>
  <c r="AC103" i="7"/>
  <c r="AC119" i="7"/>
  <c r="AC135" i="7"/>
  <c r="AC151" i="7"/>
  <c r="AC167" i="7"/>
  <c r="AC183" i="7"/>
  <c r="AC199" i="7"/>
  <c r="AC215" i="7"/>
  <c r="AC231" i="7"/>
  <c r="AC247" i="7"/>
  <c r="AC263" i="7"/>
  <c r="AC279" i="7"/>
  <c r="AC295" i="7"/>
  <c r="AC311" i="7"/>
  <c r="AC327" i="7"/>
  <c r="AC343" i="7"/>
  <c r="AC359" i="7"/>
  <c r="AC375" i="7"/>
  <c r="AC391" i="7"/>
  <c r="AC407" i="7"/>
  <c r="AC423" i="7"/>
  <c r="AC439" i="7"/>
  <c r="AC455" i="7"/>
  <c r="AC471" i="7"/>
  <c r="AC487" i="7"/>
  <c r="AC503" i="7"/>
  <c r="AC20" i="7"/>
  <c r="AC52" i="7"/>
  <c r="AC84" i="7"/>
  <c r="AC116" i="7"/>
  <c r="AC148" i="7"/>
  <c r="AC180" i="7"/>
  <c r="AC212" i="7"/>
  <c r="AC244" i="7"/>
  <c r="AC276" i="7"/>
  <c r="AC308" i="7"/>
  <c r="AC340" i="7"/>
  <c r="AC372" i="7"/>
  <c r="AC404" i="7"/>
  <c r="AC436" i="7"/>
  <c r="AC468" i="7"/>
  <c r="AC500" i="7"/>
  <c r="AC520" i="7"/>
  <c r="AC536" i="7"/>
  <c r="AC552" i="7"/>
  <c r="AC568" i="7"/>
  <c r="AC584" i="7"/>
  <c r="AC600" i="7"/>
  <c r="AC616" i="7"/>
  <c r="AC632" i="7"/>
  <c r="AC648" i="7"/>
  <c r="AC664" i="7"/>
  <c r="AC680" i="7"/>
  <c r="AC696" i="7"/>
  <c r="AC712" i="7"/>
  <c r="AC728" i="7"/>
  <c r="AC744" i="7"/>
  <c r="AC760" i="7"/>
  <c r="AC776" i="7"/>
  <c r="AC792" i="7"/>
  <c r="AC808" i="7"/>
  <c r="AC824" i="7"/>
  <c r="AC840" i="7"/>
  <c r="AC856" i="7"/>
  <c r="AC872" i="7"/>
  <c r="AC888" i="7"/>
  <c r="AC904" i="7"/>
  <c r="AC920" i="7"/>
  <c r="AC936" i="7"/>
  <c r="AC952" i="7"/>
  <c r="AC968" i="7"/>
  <c r="AC984" i="7"/>
  <c r="AC1000" i="7"/>
  <c r="AC29" i="7"/>
  <c r="AC61" i="7"/>
  <c r="AC93" i="7"/>
  <c r="AC125" i="7"/>
  <c r="AC157" i="7"/>
  <c r="AC189" i="7"/>
  <c r="AC221" i="7"/>
  <c r="AC253" i="7"/>
  <c r="AC285" i="7"/>
  <c r="AC317" i="7"/>
  <c r="AC349" i="7"/>
  <c r="AC381" i="7"/>
  <c r="AC413" i="7"/>
  <c r="AC445" i="7"/>
  <c r="AC477" i="7"/>
  <c r="AC509" i="7"/>
  <c r="AC525" i="7"/>
  <c r="AC56" i="7"/>
  <c r="AC120" i="7"/>
  <c r="AC184" i="7"/>
  <c r="AC248" i="7"/>
  <c r="AC312" i="7"/>
  <c r="AC376" i="7"/>
  <c r="AC440" i="7"/>
  <c r="AC504" i="7"/>
  <c r="AC534" i="7"/>
  <c r="AC555" i="7"/>
  <c r="AC577" i="7"/>
  <c r="AC598" i="7"/>
  <c r="AC619" i="7"/>
  <c r="AE247" i="7"/>
  <c r="AE676" i="7"/>
  <c r="AE248" i="7"/>
  <c r="AE329" i="7"/>
  <c r="AE877" i="7"/>
  <c r="AE563" i="7"/>
  <c r="AE905" i="7"/>
  <c r="AE497" i="7"/>
  <c r="AE677" i="7"/>
  <c r="AE762" i="7"/>
  <c r="AE847" i="7"/>
  <c r="AE933" i="7"/>
  <c r="AD14" i="7"/>
  <c r="AD78" i="7"/>
  <c r="AD142" i="7"/>
  <c r="AD206" i="7"/>
  <c r="AD270" i="7"/>
  <c r="AD334" i="7"/>
  <c r="AD398" i="7"/>
  <c r="AD462" i="7"/>
  <c r="AD23" i="7"/>
  <c r="AD87" i="7"/>
  <c r="AD151" i="7"/>
  <c r="AD215" i="7"/>
  <c r="AD279" i="7"/>
  <c r="AD343" i="7"/>
  <c r="AD407" i="7"/>
  <c r="AD471" i="7"/>
  <c r="AD28" i="7"/>
  <c r="AD92" i="7"/>
  <c r="AD156" i="7"/>
  <c r="AD220" i="7"/>
  <c r="AD284" i="7"/>
  <c r="AD348" i="7"/>
  <c r="AD412" i="7"/>
  <c r="AD476" i="7"/>
  <c r="AD197" i="7"/>
  <c r="AD453" i="7"/>
  <c r="AD553" i="7"/>
  <c r="AD617" i="7"/>
  <c r="AD681" i="7"/>
  <c r="AD745" i="7"/>
  <c r="AD809" i="7"/>
  <c r="AD873" i="7"/>
  <c r="AD217" i="7"/>
  <c r="AD473" i="7"/>
  <c r="AD558" i="7"/>
  <c r="AD622" i="7"/>
  <c r="AD686" i="7"/>
  <c r="AD750" i="7"/>
  <c r="AD814" i="7"/>
  <c r="AD878" i="7"/>
  <c r="AD942" i="7"/>
  <c r="AD205" i="7"/>
  <c r="AD555" i="7"/>
  <c r="AD683" i="7"/>
  <c r="AD811" i="7"/>
  <c r="AD920" i="7"/>
  <c r="AD979" i="7"/>
  <c r="AD157" i="7"/>
  <c r="AD543" i="7"/>
  <c r="AD687" i="7"/>
  <c r="AD799" i="7"/>
  <c r="AD912" i="7"/>
  <c r="AD993" i="7"/>
  <c r="AD481" i="7"/>
  <c r="AD624" i="7"/>
  <c r="AD744" i="7"/>
  <c r="AD872" i="7"/>
  <c r="AD940" i="7"/>
  <c r="AD986" i="7"/>
  <c r="AD81" i="7"/>
  <c r="AD209" i="7"/>
  <c r="AD337" i="7"/>
  <c r="AD465" i="7"/>
  <c r="AD524" i="7"/>
  <c r="AD556" i="7"/>
  <c r="AD588" i="7"/>
  <c r="AD620" i="7"/>
  <c r="AD652" i="7"/>
  <c r="AD684" i="7"/>
  <c r="AD716" i="7"/>
  <c r="AD748" i="7"/>
  <c r="AD780" i="7"/>
  <c r="AD812" i="7"/>
  <c r="AD844" i="7"/>
  <c r="AD876" i="7"/>
  <c r="AD900" i="7"/>
  <c r="AD921" i="7"/>
  <c r="AD943" i="7"/>
  <c r="AD964" i="7"/>
  <c r="AD984" i="7"/>
  <c r="AD1000" i="7"/>
  <c r="AD253" i="7"/>
  <c r="AD500" i="7"/>
  <c r="AD567" i="7"/>
  <c r="AD623" i="7"/>
  <c r="AD679" i="7"/>
  <c r="AD759" i="7"/>
  <c r="AD823" i="7"/>
  <c r="AD885" i="7"/>
  <c r="AD928" i="7"/>
  <c r="AD971" i="7"/>
  <c r="AD65" i="7"/>
  <c r="AD321" i="7"/>
  <c r="AD528" i="7"/>
  <c r="AD592" i="7"/>
  <c r="AD656" i="7"/>
  <c r="AD720" i="7"/>
  <c r="AD784" i="7"/>
  <c r="AD848" i="7"/>
  <c r="AD903" i="7"/>
  <c r="AD945" i="7"/>
  <c r="AD982" i="7"/>
  <c r="AC6" i="7"/>
  <c r="AC22" i="7"/>
  <c r="AC38" i="7"/>
  <c r="AC54" i="7"/>
  <c r="AC70" i="7"/>
  <c r="AC86" i="7"/>
  <c r="AC102" i="7"/>
  <c r="AC118" i="7"/>
  <c r="AC134" i="7"/>
  <c r="AC150" i="7"/>
  <c r="AC166" i="7"/>
  <c r="AC182" i="7"/>
  <c r="AC198" i="7"/>
  <c r="AC214" i="7"/>
  <c r="AC230" i="7"/>
  <c r="AC246" i="7"/>
  <c r="AC262" i="7"/>
  <c r="AC278" i="7"/>
  <c r="AC294" i="7"/>
  <c r="AC310" i="7"/>
  <c r="AC326" i="7"/>
  <c r="AC342" i="7"/>
  <c r="AC358" i="7"/>
  <c r="AC374" i="7"/>
  <c r="AC390" i="7"/>
  <c r="AC406" i="7"/>
  <c r="AC422" i="7"/>
  <c r="AC438" i="7"/>
  <c r="AC454" i="7"/>
  <c r="AC470" i="7"/>
  <c r="AC486" i="7"/>
  <c r="AC502" i="7"/>
  <c r="AC11" i="7"/>
  <c r="AC27" i="7"/>
  <c r="AC43" i="7"/>
  <c r="AC59" i="7"/>
  <c r="AC75" i="7"/>
  <c r="AC91" i="7"/>
  <c r="AC107" i="7"/>
  <c r="AC123" i="7"/>
  <c r="AC139" i="7"/>
  <c r="AC155" i="7"/>
  <c r="AC171" i="7"/>
  <c r="AC187" i="7"/>
  <c r="AC203" i="7"/>
  <c r="AC219" i="7"/>
  <c r="AC235" i="7"/>
  <c r="AC251" i="7"/>
  <c r="AC267" i="7"/>
  <c r="AC283" i="7"/>
  <c r="AC299" i="7"/>
  <c r="AC315" i="7"/>
  <c r="AC331" i="7"/>
  <c r="AC347" i="7"/>
  <c r="AC363" i="7"/>
  <c r="AC379" i="7"/>
  <c r="AC395" i="7"/>
  <c r="AC411" i="7"/>
  <c r="AC427" i="7"/>
  <c r="AC443" i="7"/>
  <c r="AC459" i="7"/>
  <c r="AC475" i="7"/>
  <c r="AC491" i="7"/>
  <c r="AC507" i="7"/>
  <c r="AC28" i="7"/>
  <c r="AC60" i="7"/>
  <c r="AC92" i="7"/>
  <c r="AC124" i="7"/>
  <c r="AC156" i="7"/>
  <c r="AC188" i="7"/>
  <c r="AC220" i="7"/>
  <c r="AC252" i="7"/>
  <c r="AC284" i="7"/>
  <c r="AC316" i="7"/>
  <c r="AC348" i="7"/>
  <c r="AC380" i="7"/>
  <c r="AC412" i="7"/>
  <c r="AC444" i="7"/>
  <c r="AC476" i="7"/>
  <c r="AC508" i="7"/>
  <c r="AC524" i="7"/>
  <c r="AC540" i="7"/>
  <c r="AC556" i="7"/>
  <c r="AC572" i="7"/>
  <c r="AC588" i="7"/>
  <c r="AC604" i="7"/>
  <c r="AC620" i="7"/>
  <c r="AC636" i="7"/>
  <c r="AC652" i="7"/>
  <c r="AC668" i="7"/>
  <c r="AC684" i="7"/>
  <c r="AC700" i="7"/>
  <c r="AC716" i="7"/>
  <c r="AC732" i="7"/>
  <c r="AC748" i="7"/>
  <c r="AC764" i="7"/>
  <c r="AC780" i="7"/>
  <c r="AC796" i="7"/>
  <c r="AC812" i="7"/>
  <c r="AC828" i="7"/>
  <c r="AC844" i="7"/>
  <c r="AC860" i="7"/>
  <c r="AC876" i="7"/>
  <c r="AC892" i="7"/>
  <c r="AC908" i="7"/>
  <c r="AC924" i="7"/>
  <c r="AC940" i="7"/>
  <c r="AC956" i="7"/>
  <c r="AC972" i="7"/>
  <c r="AC988" i="7"/>
  <c r="AC5" i="7"/>
  <c r="AE419" i="7"/>
  <c r="AE962" i="7"/>
  <c r="AE698" i="7"/>
  <c r="AD30" i="7"/>
  <c r="AD286" i="7"/>
  <c r="AD39" i="7"/>
  <c r="AD295" i="7"/>
  <c r="AD44" i="7"/>
  <c r="AD300" i="7"/>
  <c r="AD261" i="7"/>
  <c r="AD697" i="7"/>
  <c r="AD281" i="7"/>
  <c r="AD702" i="7"/>
  <c r="AD958" i="7"/>
  <c r="AD843" i="7"/>
  <c r="AD559" i="7"/>
  <c r="AD33" i="7"/>
  <c r="AD892" i="7"/>
  <c r="AD241" i="7"/>
  <c r="AD564" i="7"/>
  <c r="AD692" i="7"/>
  <c r="AD820" i="7"/>
  <c r="AD927" i="7"/>
  <c r="AD29" i="7"/>
  <c r="AD639" i="7"/>
  <c r="AD896" i="7"/>
  <c r="AD385" i="7"/>
  <c r="AD736" i="7"/>
  <c r="AD956" i="7"/>
  <c r="AC42" i="7"/>
  <c r="AC106" i="7"/>
  <c r="AC170" i="7"/>
  <c r="AC234" i="7"/>
  <c r="AC298" i="7"/>
  <c r="AC362" i="7"/>
  <c r="AC426" i="7"/>
  <c r="AC490" i="7"/>
  <c r="AC47" i="7"/>
  <c r="AC111" i="7"/>
  <c r="AC175" i="7"/>
  <c r="AC239" i="7"/>
  <c r="AC303" i="7"/>
  <c r="AC367" i="7"/>
  <c r="AC431" i="7"/>
  <c r="AC495" i="7"/>
  <c r="AC100" i="7"/>
  <c r="AC228" i="7"/>
  <c r="AC356" i="7"/>
  <c r="AC484" i="7"/>
  <c r="AC560" i="7"/>
  <c r="AC624" i="7"/>
  <c r="AC688" i="7"/>
  <c r="AC752" i="7"/>
  <c r="AC816" i="7"/>
  <c r="AC880" i="7"/>
  <c r="AC944" i="7"/>
  <c r="AC13" i="7"/>
  <c r="AC77" i="7"/>
  <c r="AC141" i="7"/>
  <c r="AC205" i="7"/>
  <c r="AC269" i="7"/>
  <c r="AC333" i="7"/>
  <c r="AC397" i="7"/>
  <c r="AC461" i="7"/>
  <c r="AC517" i="7"/>
  <c r="AC88" i="7"/>
  <c r="AC216" i="7"/>
  <c r="AC344" i="7"/>
  <c r="AC472" i="7"/>
  <c r="AC545" i="7"/>
  <c r="AC587" i="7"/>
  <c r="AC630" i="7"/>
  <c r="AC657" i="7"/>
  <c r="AC678" i="7"/>
  <c r="AC699" i="7"/>
  <c r="AC721" i="7"/>
  <c r="AC742" i="7"/>
  <c r="AC763" i="7"/>
  <c r="AC785" i="7"/>
  <c r="AC806" i="7"/>
  <c r="AC827" i="7"/>
  <c r="AC849" i="7"/>
  <c r="AC870" i="7"/>
  <c r="AC891" i="7"/>
  <c r="AC913" i="7"/>
  <c r="AC934" i="7"/>
  <c r="AC955" i="7"/>
  <c r="AC977" i="7"/>
  <c r="AC998" i="7"/>
  <c r="AC57" i="7"/>
  <c r="AC121" i="7"/>
  <c r="AC185" i="7"/>
  <c r="AC249" i="7"/>
  <c r="AC313" i="7"/>
  <c r="AC377" i="7"/>
  <c r="AC441" i="7"/>
  <c r="AC505" i="7"/>
  <c r="AC535" i="7"/>
  <c r="AC557" i="7"/>
  <c r="AC578" i="7"/>
  <c r="AC599" i="7"/>
  <c r="AC621" i="7"/>
  <c r="AC642" i="7"/>
  <c r="AC663" i="7"/>
  <c r="AC685" i="7"/>
  <c r="AC706" i="7"/>
  <c r="AC727" i="7"/>
  <c r="AC749" i="7"/>
  <c r="AC770" i="7"/>
  <c r="AC797" i="7"/>
  <c r="AC818" i="7"/>
  <c r="AC839" i="7"/>
  <c r="AC861" i="7"/>
  <c r="AC882" i="7"/>
  <c r="AC909" i="7"/>
  <c r="AC935" i="7"/>
  <c r="AC962" i="7"/>
  <c r="AC16" i="7"/>
  <c r="AC128" i="7"/>
  <c r="AC224" i="7"/>
  <c r="AC336" i="7"/>
  <c r="AC448" i="7"/>
  <c r="AC531" i="7"/>
  <c r="AC563" i="7"/>
  <c r="AC601" i="7"/>
  <c r="AC638" i="7"/>
  <c r="AC675" i="7"/>
  <c r="AC707" i="7"/>
  <c r="AC739" i="7"/>
  <c r="AC771" i="7"/>
  <c r="AC814" i="7"/>
  <c r="AC851" i="7"/>
  <c r="AC889" i="7"/>
  <c r="AC926" i="7"/>
  <c r="AC958" i="7"/>
  <c r="AC995" i="7"/>
  <c r="AC113" i="7"/>
  <c r="AC241" i="7"/>
  <c r="AC353" i="7"/>
  <c r="AC481" i="7"/>
  <c r="AC538" i="7"/>
  <c r="AC570" i="7"/>
  <c r="AC607" i="7"/>
  <c r="AC645" i="7"/>
  <c r="AC682" i="7"/>
  <c r="AC719" i="7"/>
  <c r="AC751" i="7"/>
  <c r="AC789" i="7"/>
  <c r="AC821" i="7"/>
  <c r="AC853" i="7"/>
  <c r="AC890" i="7"/>
  <c r="AC927" i="7"/>
  <c r="AC959" i="7"/>
  <c r="AC997" i="7"/>
  <c r="AC946" i="7"/>
  <c r="AC999" i="7"/>
  <c r="AC160" i="7"/>
  <c r="AC320" i="7"/>
  <c r="AC480" i="7"/>
  <c r="AC558" i="7"/>
  <c r="AC606" i="7"/>
  <c r="AC659" i="7"/>
  <c r="AC713" i="7"/>
  <c r="AC777" i="7"/>
  <c r="AC819" i="7"/>
  <c r="AC873" i="7"/>
  <c r="AC921" i="7"/>
  <c r="AC974" i="7"/>
  <c r="AC97" i="7"/>
  <c r="AC225" i="7"/>
  <c r="AC369" i="7"/>
  <c r="AC511" i="7"/>
  <c r="AC575" i="7"/>
  <c r="AC629" i="7"/>
  <c r="AC677" i="7"/>
  <c r="AC730" i="7"/>
  <c r="AC783" i="7"/>
  <c r="AC842" i="7"/>
  <c r="AC895" i="7"/>
  <c r="AC949" i="7"/>
  <c r="AB2" i="7"/>
  <c r="AB18" i="7"/>
  <c r="AB34" i="7"/>
  <c r="AB50" i="7"/>
  <c r="AB66" i="7"/>
  <c r="AB82" i="7"/>
  <c r="AB98" i="7"/>
  <c r="AB114" i="7"/>
  <c r="AB130" i="7"/>
  <c r="AB146" i="7"/>
  <c r="AB162" i="7"/>
  <c r="AB178" i="7"/>
  <c r="AB194" i="7"/>
  <c r="AB210" i="7"/>
  <c r="AB226" i="7"/>
  <c r="AB242" i="7"/>
  <c r="AB258" i="7"/>
  <c r="AB274" i="7"/>
  <c r="AB290" i="7"/>
  <c r="AB306" i="7"/>
  <c r="AB322" i="7"/>
  <c r="AB338" i="7"/>
  <c r="AB354" i="7"/>
  <c r="AB370" i="7"/>
  <c r="AB386" i="7"/>
  <c r="AB402" i="7"/>
  <c r="AB418" i="7"/>
  <c r="AB434" i="7"/>
  <c r="AB450" i="7"/>
  <c r="AB466" i="7"/>
  <c r="AB482" i="7"/>
  <c r="AB498" i="7"/>
  <c r="AB7" i="7"/>
  <c r="AB23" i="7"/>
  <c r="AB39" i="7"/>
  <c r="AB55" i="7"/>
  <c r="AB71" i="7"/>
  <c r="AB87" i="7"/>
  <c r="AB103" i="7"/>
  <c r="AB119" i="7"/>
  <c r="AB135" i="7"/>
  <c r="AB151" i="7"/>
  <c r="AB167" i="7"/>
  <c r="AB183" i="7"/>
  <c r="AB199" i="7"/>
  <c r="AB215" i="7"/>
  <c r="AB231" i="7"/>
  <c r="AB247" i="7"/>
  <c r="AB263" i="7"/>
  <c r="AB279" i="7"/>
  <c r="AB295" i="7"/>
  <c r="AB311" i="7"/>
  <c r="AB327" i="7"/>
  <c r="AB343" i="7"/>
  <c r="AB359" i="7"/>
  <c r="AB375" i="7"/>
  <c r="AB391" i="7"/>
  <c r="AB407" i="7"/>
  <c r="AB423" i="7"/>
  <c r="AB439" i="7"/>
  <c r="AB455" i="7"/>
  <c r="AB471" i="7"/>
  <c r="AB487" i="7"/>
  <c r="AB8" i="7"/>
  <c r="AB24" i="7"/>
  <c r="AB40" i="7"/>
  <c r="AB56" i="7"/>
  <c r="AB72" i="7"/>
  <c r="AB88" i="7"/>
  <c r="AB104" i="7"/>
  <c r="AB120" i="7"/>
  <c r="AB136" i="7"/>
  <c r="AB152" i="7"/>
  <c r="AB168" i="7"/>
  <c r="AB184" i="7"/>
  <c r="AB200" i="7"/>
  <c r="AE844" i="7"/>
  <c r="AE649" i="7"/>
  <c r="AE783" i="7"/>
  <c r="AD94" i="7"/>
  <c r="AD350" i="7"/>
  <c r="AD103" i="7"/>
  <c r="AD359" i="7"/>
  <c r="AD108" i="7"/>
  <c r="AD364" i="7"/>
  <c r="AD504" i="7"/>
  <c r="AD761" i="7"/>
  <c r="AD510" i="7"/>
  <c r="AD766" i="7"/>
  <c r="AD333" i="7"/>
  <c r="AD941" i="7"/>
  <c r="AD695" i="7"/>
  <c r="AD501" i="7"/>
  <c r="AD951" i="7"/>
  <c r="AD369" i="7"/>
  <c r="AD596" i="7"/>
  <c r="AD724" i="7"/>
  <c r="AD852" i="7"/>
  <c r="AD948" i="7"/>
  <c r="AD317" i="7"/>
  <c r="AD703" i="7"/>
  <c r="AD939" i="7"/>
  <c r="AD544" i="7"/>
  <c r="AD800" i="7"/>
  <c r="AD990" i="7"/>
  <c r="AC58" i="7"/>
  <c r="AC122" i="7"/>
  <c r="AC186" i="7"/>
  <c r="AC250" i="7"/>
  <c r="AC314" i="7"/>
  <c r="AC378" i="7"/>
  <c r="AC442" i="7"/>
  <c r="AC506" i="7"/>
  <c r="AC63" i="7"/>
  <c r="AC127" i="7"/>
  <c r="AC191" i="7"/>
  <c r="AC255" i="7"/>
  <c r="AC319" i="7"/>
  <c r="AC383" i="7"/>
  <c r="AC447" i="7"/>
  <c r="AC4" i="7"/>
  <c r="AC132" i="7"/>
  <c r="AC260" i="7"/>
  <c r="AC388" i="7"/>
  <c r="AC512" i="7"/>
  <c r="AC576" i="7"/>
  <c r="AC640" i="7"/>
  <c r="AC704" i="7"/>
  <c r="AC768" i="7"/>
  <c r="AC832" i="7"/>
  <c r="AC896" i="7"/>
  <c r="AC960" i="7"/>
  <c r="AC37" i="7"/>
  <c r="AC101" i="7"/>
  <c r="AC165" i="7"/>
  <c r="AC229" i="7"/>
  <c r="AC293" i="7"/>
  <c r="AC357" i="7"/>
  <c r="AC421" i="7"/>
  <c r="AC485" i="7"/>
  <c r="AC8" i="7"/>
  <c r="AC136" i="7"/>
  <c r="AC264" i="7"/>
  <c r="AC392" i="7"/>
  <c r="AC514" i="7"/>
  <c r="AC561" i="7"/>
  <c r="AC603" i="7"/>
  <c r="AC641" i="7"/>
  <c r="AC662" i="7"/>
  <c r="AC683" i="7"/>
  <c r="AC705" i="7"/>
  <c r="AC726" i="7"/>
  <c r="AC747" i="7"/>
  <c r="AC769" i="7"/>
  <c r="AC790" i="7"/>
  <c r="AC811" i="7"/>
  <c r="AC833" i="7"/>
  <c r="AC854" i="7"/>
  <c r="AC875" i="7"/>
  <c r="AC897" i="7"/>
  <c r="AC918" i="7"/>
  <c r="AC939" i="7"/>
  <c r="AC961" i="7"/>
  <c r="AC982" i="7"/>
  <c r="AC9" i="7"/>
  <c r="AC73" i="7"/>
  <c r="AC137" i="7"/>
  <c r="AC201" i="7"/>
  <c r="AC265" i="7"/>
  <c r="AC329" i="7"/>
  <c r="AC393" i="7"/>
  <c r="AC457" i="7"/>
  <c r="AC515" i="7"/>
  <c r="AC541" i="7"/>
  <c r="AC562" i="7"/>
  <c r="AC583" i="7"/>
  <c r="AC605" i="7"/>
  <c r="AC626" i="7"/>
  <c r="AC647" i="7"/>
  <c r="AC669" i="7"/>
  <c r="AC690" i="7"/>
  <c r="AC711" i="7"/>
  <c r="AC733" i="7"/>
  <c r="AC754" i="7"/>
  <c r="AC775" i="7"/>
  <c r="AC802" i="7"/>
  <c r="AC823" i="7"/>
  <c r="AC845" i="7"/>
  <c r="AC866" i="7"/>
  <c r="AC887" i="7"/>
  <c r="AC914" i="7"/>
  <c r="AC941" i="7"/>
  <c r="AC973" i="7"/>
  <c r="AC48" i="7"/>
  <c r="AC144" i="7"/>
  <c r="AC256" i="7"/>
  <c r="AC352" i="7"/>
  <c r="AC464" i="7"/>
  <c r="AC537" i="7"/>
  <c r="AC569" i="7"/>
  <c r="AC611" i="7"/>
  <c r="AC649" i="7"/>
  <c r="AC681" i="7"/>
  <c r="AC718" i="7"/>
  <c r="AC750" i="7"/>
  <c r="AC782" i="7"/>
  <c r="AC825" i="7"/>
  <c r="AC862" i="7"/>
  <c r="AC899" i="7"/>
  <c r="AC937" i="7"/>
  <c r="AC969" i="7"/>
  <c r="AC33" i="7"/>
  <c r="AC129" i="7"/>
  <c r="AC273" i="7"/>
  <c r="AC385" i="7"/>
  <c r="AC497" i="7"/>
  <c r="AC543" i="7"/>
  <c r="AC581" i="7"/>
  <c r="AC613" i="7"/>
  <c r="AC650" i="7"/>
  <c r="AC687" i="7"/>
  <c r="AC725" i="7"/>
  <c r="AC762" i="7"/>
  <c r="AC794" i="7"/>
  <c r="AC826" i="7"/>
  <c r="AC863" i="7"/>
  <c r="AC901" i="7"/>
  <c r="AC933" i="7"/>
  <c r="AC970" i="7"/>
  <c r="AC791" i="7"/>
  <c r="AC967" i="7"/>
  <c r="AC32" i="7"/>
  <c r="AC208" i="7"/>
  <c r="AC368" i="7"/>
  <c r="AC518" i="7"/>
  <c r="AC574" i="7"/>
  <c r="AC622" i="7"/>
  <c r="AC670" i="7"/>
  <c r="AC729" i="7"/>
  <c r="AC787" i="7"/>
  <c r="AC830" i="7"/>
  <c r="AC883" i="7"/>
  <c r="AC931" i="7"/>
  <c r="AC990" i="7"/>
  <c r="AC145" i="7"/>
  <c r="AC257" i="7"/>
  <c r="AC401" i="7"/>
  <c r="AC533" i="7"/>
  <c r="AC591" i="7"/>
  <c r="AC639" i="7"/>
  <c r="AC693" i="7"/>
  <c r="AC746" i="7"/>
  <c r="AC799" i="7"/>
  <c r="AC858" i="7"/>
  <c r="AC906" i="7"/>
  <c r="AC965" i="7"/>
  <c r="AB6" i="7"/>
  <c r="AB22" i="7"/>
  <c r="AB38" i="7"/>
  <c r="AB54" i="7"/>
  <c r="AB70" i="7"/>
  <c r="AB86" i="7"/>
  <c r="AB102" i="7"/>
  <c r="AB118" i="7"/>
  <c r="AB134" i="7"/>
  <c r="AB150" i="7"/>
  <c r="AB166" i="7"/>
  <c r="AB182" i="7"/>
  <c r="AB198" i="7"/>
  <c r="AB214" i="7"/>
  <c r="AB230" i="7"/>
  <c r="AB246" i="7"/>
  <c r="AB262" i="7"/>
  <c r="AB278" i="7"/>
  <c r="AB294" i="7"/>
  <c r="AB310" i="7"/>
  <c r="AB326" i="7"/>
  <c r="AB342" i="7"/>
  <c r="AB358" i="7"/>
  <c r="AB374" i="7"/>
  <c r="AB390" i="7"/>
  <c r="AB406" i="7"/>
  <c r="AB422" i="7"/>
  <c r="AB438" i="7"/>
  <c r="AB454" i="7"/>
  <c r="AB470" i="7"/>
  <c r="AB486" i="7"/>
  <c r="AB502" i="7"/>
  <c r="AB11" i="7"/>
  <c r="AB27" i="7"/>
  <c r="AB43" i="7"/>
  <c r="AB59" i="7"/>
  <c r="AB75" i="7"/>
  <c r="AB91" i="7"/>
  <c r="AB107" i="7"/>
  <c r="AB123" i="7"/>
  <c r="AB139" i="7"/>
  <c r="AB155" i="7"/>
  <c r="AB171" i="7"/>
  <c r="AB187" i="7"/>
  <c r="AB203" i="7"/>
  <c r="AB219" i="7"/>
  <c r="AB235" i="7"/>
  <c r="AB251" i="7"/>
  <c r="AB267" i="7"/>
  <c r="AB283" i="7"/>
  <c r="AB299" i="7"/>
  <c r="AB315" i="7"/>
  <c r="AB331" i="7"/>
  <c r="AB347" i="7"/>
  <c r="AB363" i="7"/>
  <c r="AE598" i="7"/>
  <c r="AE990" i="7"/>
  <c r="AE869" i="7"/>
  <c r="AD158" i="7"/>
  <c r="AD414" i="7"/>
  <c r="AD167" i="7"/>
  <c r="AD423" i="7"/>
  <c r="AD172" i="7"/>
  <c r="AD428" i="7"/>
  <c r="AD569" i="7"/>
  <c r="AD825" i="7"/>
  <c r="AD574" i="7"/>
  <c r="AD830" i="7"/>
  <c r="AD587" i="7"/>
  <c r="AD983" i="7"/>
  <c r="AD815" i="7"/>
  <c r="AD632" i="7"/>
  <c r="AD994" i="7"/>
  <c r="AD493" i="7"/>
  <c r="AD628" i="7"/>
  <c r="AD756" i="7"/>
  <c r="AD884" i="7"/>
  <c r="AD969" i="7"/>
  <c r="AD519" i="7"/>
  <c r="AD775" i="7"/>
  <c r="AD981" i="7"/>
  <c r="AD608" i="7"/>
  <c r="AD864" i="7"/>
  <c r="AC10" i="7"/>
  <c r="AC74" i="7"/>
  <c r="AC138" i="7"/>
  <c r="AC202" i="7"/>
  <c r="AC266" i="7"/>
  <c r="AC330" i="7"/>
  <c r="AC394" i="7"/>
  <c r="AC458" i="7"/>
  <c r="AC15" i="7"/>
  <c r="AC79" i="7"/>
  <c r="AC143" i="7"/>
  <c r="AC207" i="7"/>
  <c r="AC271" i="7"/>
  <c r="AC335" i="7"/>
  <c r="AC399" i="7"/>
  <c r="AC463" i="7"/>
  <c r="AC36" i="7"/>
  <c r="AC164" i="7"/>
  <c r="AC292" i="7"/>
  <c r="AC420" i="7"/>
  <c r="AC528" i="7"/>
  <c r="AC592" i="7"/>
  <c r="AC656" i="7"/>
  <c r="AC720" i="7"/>
  <c r="AC784" i="7"/>
  <c r="AC848" i="7"/>
  <c r="AC912" i="7"/>
  <c r="AC976" i="7"/>
  <c r="AC45" i="7"/>
  <c r="AC109" i="7"/>
  <c r="AC173" i="7"/>
  <c r="AC237" i="7"/>
  <c r="AC301" i="7"/>
  <c r="AC365" i="7"/>
  <c r="AC429" i="7"/>
  <c r="AC493" i="7"/>
  <c r="AC24" i="7"/>
  <c r="AC152" i="7"/>
  <c r="AC280" i="7"/>
  <c r="AC408" i="7"/>
  <c r="AC522" i="7"/>
  <c r="AC566" i="7"/>
  <c r="AC609" i="7"/>
  <c r="AC646" i="7"/>
  <c r="AC667" i="7"/>
  <c r="AC689" i="7"/>
  <c r="AC710" i="7"/>
  <c r="AC731" i="7"/>
  <c r="AC753" i="7"/>
  <c r="AC774" i="7"/>
  <c r="AC795" i="7"/>
  <c r="AC817" i="7"/>
  <c r="AC838" i="7"/>
  <c r="AC859" i="7"/>
  <c r="AC881" i="7"/>
  <c r="AC902" i="7"/>
  <c r="AC923" i="7"/>
  <c r="AC945" i="7"/>
  <c r="AC966" i="7"/>
  <c r="AC987" i="7"/>
  <c r="AC25" i="7"/>
  <c r="AC89" i="7"/>
  <c r="AC153" i="7"/>
  <c r="AC217" i="7"/>
  <c r="AC281" i="7"/>
  <c r="AC345" i="7"/>
  <c r="AC409" i="7"/>
  <c r="AC473" i="7"/>
  <c r="AC523" i="7"/>
  <c r="AC546" i="7"/>
  <c r="AC567" i="7"/>
  <c r="AC589" i="7"/>
  <c r="AC610" i="7"/>
  <c r="AC631" i="7"/>
  <c r="AC653" i="7"/>
  <c r="AC674" i="7"/>
  <c r="AC695" i="7"/>
  <c r="AC717" i="7"/>
  <c r="AC738" i="7"/>
  <c r="AC759" i="7"/>
  <c r="AC781" i="7"/>
  <c r="AC807" i="7"/>
  <c r="AC829" i="7"/>
  <c r="AC850" i="7"/>
  <c r="AC871" i="7"/>
  <c r="AC893" i="7"/>
  <c r="AC919" i="7"/>
  <c r="AC951" i="7"/>
  <c r="AC983" i="7"/>
  <c r="AC64" i="7"/>
  <c r="AC176" i="7"/>
  <c r="AC272" i="7"/>
  <c r="AC384" i="7"/>
  <c r="AC496" i="7"/>
  <c r="AC547" i="7"/>
  <c r="AC585" i="7"/>
  <c r="AC617" i="7"/>
  <c r="AC654" i="7"/>
  <c r="AC691" i="7"/>
  <c r="AC723" i="7"/>
  <c r="AC755" i="7"/>
  <c r="AC793" i="7"/>
  <c r="AC835" i="7"/>
  <c r="AC867" i="7"/>
  <c r="AC905" i="7"/>
  <c r="AC942" i="7"/>
  <c r="AC979" i="7"/>
  <c r="AC49" i="7"/>
  <c r="AC161" i="7"/>
  <c r="AC305" i="7"/>
  <c r="AC417" i="7"/>
  <c r="AC519" i="7"/>
  <c r="AC554" i="7"/>
  <c r="AC586" i="7"/>
  <c r="AC623" i="7"/>
  <c r="AC661" i="7"/>
  <c r="AC698" i="7"/>
  <c r="AC735" i="7"/>
  <c r="AC773" i="7"/>
  <c r="AC805" i="7"/>
  <c r="AC837" i="7"/>
  <c r="AC874" i="7"/>
  <c r="AC911" i="7"/>
  <c r="AC943" i="7"/>
  <c r="AC975" i="7"/>
  <c r="AC903" i="7"/>
  <c r="AC978" i="7"/>
  <c r="AC80" i="7"/>
  <c r="AC240" i="7"/>
  <c r="AC400" i="7"/>
  <c r="AC526" i="7"/>
  <c r="AC579" i="7"/>
  <c r="AC633" i="7"/>
  <c r="AC686" i="7"/>
  <c r="AC745" i="7"/>
  <c r="AC798" i="7"/>
  <c r="AC841" i="7"/>
  <c r="AC894" i="7"/>
  <c r="AC947" i="7"/>
  <c r="AC17" i="7"/>
  <c r="AC177" i="7"/>
  <c r="AC289" i="7"/>
  <c r="AC433" i="7"/>
  <c r="AC549" i="7"/>
  <c r="AC602" i="7"/>
  <c r="AC655" i="7"/>
  <c r="AC703" i="7"/>
  <c r="AC757" i="7"/>
  <c r="AC815" i="7"/>
  <c r="AC869" i="7"/>
  <c r="AC922" i="7"/>
  <c r="AC981" i="7"/>
  <c r="AB10" i="7"/>
  <c r="AB26" i="7"/>
  <c r="AB42" i="7"/>
  <c r="AB58" i="7"/>
  <c r="AB74" i="7"/>
  <c r="AB90" i="7"/>
  <c r="AB106" i="7"/>
  <c r="AB122" i="7"/>
  <c r="AB138" i="7"/>
  <c r="AB154" i="7"/>
  <c r="AB170" i="7"/>
  <c r="AB186" i="7"/>
  <c r="AB202" i="7"/>
  <c r="AB218" i="7"/>
  <c r="AB234" i="7"/>
  <c r="AB250" i="7"/>
  <c r="AB266" i="7"/>
  <c r="AB282" i="7"/>
  <c r="AB298" i="7"/>
  <c r="AB314" i="7"/>
  <c r="AB330" i="7"/>
  <c r="AB346" i="7"/>
  <c r="AB362" i="7"/>
  <c r="AB378" i="7"/>
  <c r="AB394" i="7"/>
  <c r="AB410" i="7"/>
  <c r="AB426" i="7"/>
  <c r="AB442" i="7"/>
  <c r="AB458" i="7"/>
  <c r="AB474" i="7"/>
  <c r="AB490" i="7"/>
  <c r="AB506" i="7"/>
  <c r="AB15" i="7"/>
  <c r="AB31" i="7"/>
  <c r="AB47" i="7"/>
  <c r="AB63" i="7"/>
  <c r="AB79" i="7"/>
  <c r="AB95" i="7"/>
  <c r="AB111" i="7"/>
  <c r="AB127" i="7"/>
  <c r="AB143" i="7"/>
  <c r="AB159" i="7"/>
  <c r="AB175" i="7"/>
  <c r="AB191" i="7"/>
  <c r="AB207" i="7"/>
  <c r="AB223" i="7"/>
  <c r="AB239" i="7"/>
  <c r="AB255" i="7"/>
  <c r="AB271" i="7"/>
  <c r="AB287" i="7"/>
  <c r="AB303" i="7"/>
  <c r="AB319" i="7"/>
  <c r="AB335" i="7"/>
  <c r="AB351" i="7"/>
  <c r="AB367" i="7"/>
  <c r="AB383" i="7"/>
  <c r="AB399" i="7"/>
  <c r="AB415" i="7"/>
  <c r="AB431" i="7"/>
  <c r="AB447" i="7"/>
  <c r="AB463" i="7"/>
  <c r="AB479" i="7"/>
  <c r="AB495" i="7"/>
  <c r="AB16" i="7"/>
  <c r="AB32" i="7"/>
  <c r="AB48" i="7"/>
  <c r="AB64" i="7"/>
  <c r="AB80" i="7"/>
  <c r="AB96" i="7"/>
  <c r="AB112" i="7"/>
  <c r="AB128" i="7"/>
  <c r="AB144" i="7"/>
  <c r="AB160" i="7"/>
  <c r="AB176" i="7"/>
  <c r="AB192" i="7"/>
  <c r="AE621" i="7"/>
  <c r="AD478" i="7"/>
  <c r="AD5" i="7"/>
  <c r="AD894" i="7"/>
  <c r="AD760" i="7"/>
  <c r="AD788" i="7"/>
  <c r="AD839" i="7"/>
  <c r="AC26" i="7"/>
  <c r="AC282" i="7"/>
  <c r="AC31" i="7"/>
  <c r="AC287" i="7"/>
  <c r="AC68" i="7"/>
  <c r="AC544" i="7"/>
  <c r="AC800" i="7"/>
  <c r="AC69" i="7"/>
  <c r="AC325" i="7"/>
  <c r="AC72" i="7"/>
  <c r="AC539" i="7"/>
  <c r="AC673" i="7"/>
  <c r="AC758" i="7"/>
  <c r="AC843" i="7"/>
  <c r="AC929" i="7"/>
  <c r="AC41" i="7"/>
  <c r="AC297" i="7"/>
  <c r="AC530" i="7"/>
  <c r="AC615" i="7"/>
  <c r="AC701" i="7"/>
  <c r="AC786" i="7"/>
  <c r="AC877" i="7"/>
  <c r="AC989" i="7"/>
  <c r="AC416" i="7"/>
  <c r="AC627" i="7"/>
  <c r="AC766" i="7"/>
  <c r="AC915" i="7"/>
  <c r="AC193" i="7"/>
  <c r="AC559" i="7"/>
  <c r="AC709" i="7"/>
  <c r="AC847" i="7"/>
  <c r="AC986" i="7"/>
  <c r="AC288" i="7"/>
  <c r="AC643" i="7"/>
  <c r="AC857" i="7"/>
  <c r="AC209" i="7"/>
  <c r="AC618" i="7"/>
  <c r="AC831" i="7"/>
  <c r="AB14" i="7"/>
  <c r="AB78" i="7"/>
  <c r="AB142" i="7"/>
  <c r="AB206" i="7"/>
  <c r="AB270" i="7"/>
  <c r="AB334" i="7"/>
  <c r="AB398" i="7"/>
  <c r="AB462" i="7"/>
  <c r="AB19" i="7"/>
  <c r="AB83" i="7"/>
  <c r="AB147" i="7"/>
  <c r="AB211" i="7"/>
  <c r="AB275" i="7"/>
  <c r="AB339" i="7"/>
  <c r="AB387" i="7"/>
  <c r="AB419" i="7"/>
  <c r="AB451" i="7"/>
  <c r="AB483" i="7"/>
  <c r="AB20" i="7"/>
  <c r="AB52" i="7"/>
  <c r="AB84" i="7"/>
  <c r="AB116" i="7"/>
  <c r="AB148" i="7"/>
  <c r="AB180" i="7"/>
  <c r="AB208" i="7"/>
  <c r="AB224" i="7"/>
  <c r="AB240" i="7"/>
  <c r="AB256" i="7"/>
  <c r="AB272" i="7"/>
  <c r="AB288" i="7"/>
  <c r="AB304" i="7"/>
  <c r="AB320" i="7"/>
  <c r="AB336" i="7"/>
  <c r="AB352" i="7"/>
  <c r="AB368" i="7"/>
  <c r="AB384" i="7"/>
  <c r="AB400" i="7"/>
  <c r="AB416" i="7"/>
  <c r="AB432" i="7"/>
  <c r="AB448" i="7"/>
  <c r="AB464" i="7"/>
  <c r="AB480" i="7"/>
  <c r="AB496" i="7"/>
  <c r="AB5" i="7"/>
  <c r="AB69" i="7"/>
  <c r="AB133" i="7"/>
  <c r="AB197" i="7"/>
  <c r="AB261" i="7"/>
  <c r="AB325" i="7"/>
  <c r="AB389" i="7"/>
  <c r="AB453" i="7"/>
  <c r="AB507" i="7"/>
  <c r="AB524" i="7"/>
  <c r="AB540" i="7"/>
  <c r="AB556" i="7"/>
  <c r="AB572" i="7"/>
  <c r="AB588" i="7"/>
  <c r="AB604" i="7"/>
  <c r="AB620" i="7"/>
  <c r="AB636" i="7"/>
  <c r="AB652" i="7"/>
  <c r="AB668" i="7"/>
  <c r="AB684" i="7"/>
  <c r="AB700" i="7"/>
  <c r="AB716" i="7"/>
  <c r="AB732" i="7"/>
  <c r="AB748" i="7"/>
  <c r="AB764" i="7"/>
  <c r="AB780" i="7"/>
  <c r="AB796" i="7"/>
  <c r="AB812" i="7"/>
  <c r="AB828" i="7"/>
  <c r="AB844" i="7"/>
  <c r="AB860" i="7"/>
  <c r="AB876" i="7"/>
  <c r="AB892" i="7"/>
  <c r="AB908" i="7"/>
  <c r="AB924" i="7"/>
  <c r="AB940" i="7"/>
  <c r="AB956" i="7"/>
  <c r="AB972" i="7"/>
  <c r="AB988" i="7"/>
  <c r="AB57" i="7"/>
  <c r="AB121" i="7"/>
  <c r="AB185" i="7"/>
  <c r="AB249" i="7"/>
  <c r="AB313" i="7"/>
  <c r="AB377" i="7"/>
  <c r="AB441" i="7"/>
  <c r="AB501" i="7"/>
  <c r="AB521" i="7"/>
  <c r="AB537" i="7"/>
  <c r="AB553" i="7"/>
  <c r="AB569" i="7"/>
  <c r="AB585" i="7"/>
  <c r="AB601" i="7"/>
  <c r="AB617" i="7"/>
  <c r="AB633" i="7"/>
  <c r="AB649" i="7"/>
  <c r="AB665" i="7"/>
  <c r="AB681" i="7"/>
  <c r="AB697" i="7"/>
  <c r="AB713" i="7"/>
  <c r="AB729" i="7"/>
  <c r="AB745" i="7"/>
  <c r="AB761" i="7"/>
  <c r="AB777" i="7"/>
  <c r="AB793" i="7"/>
  <c r="AB809" i="7"/>
  <c r="AB825" i="7"/>
  <c r="AB841" i="7"/>
  <c r="AB857" i="7"/>
  <c r="AB873" i="7"/>
  <c r="AB13" i="7"/>
  <c r="AB141" i="7"/>
  <c r="AB269" i="7"/>
  <c r="AB397" i="7"/>
  <c r="AB510" i="7"/>
  <c r="AB542" i="7"/>
  <c r="AB574" i="7"/>
  <c r="AB606" i="7"/>
  <c r="AB638" i="7"/>
  <c r="AB670" i="7"/>
  <c r="AB702" i="7"/>
  <c r="AB734" i="7"/>
  <c r="AB766" i="7"/>
  <c r="AB798" i="7"/>
  <c r="AB830" i="7"/>
  <c r="AB862" i="7"/>
  <c r="AB891" i="7"/>
  <c r="AB913" i="7"/>
  <c r="AB934" i="7"/>
  <c r="AB955" i="7"/>
  <c r="AB977" i="7"/>
  <c r="AB996" i="7"/>
  <c r="AB157" i="7"/>
  <c r="AB413" i="7"/>
  <c r="AB538" i="7"/>
  <c r="AB602" i="7"/>
  <c r="AB674" i="7"/>
  <c r="AB738" i="7"/>
  <c r="AB802" i="7"/>
  <c r="AB858" i="7"/>
  <c r="AB915" i="7"/>
  <c r="AB958" i="7"/>
  <c r="AB998" i="7"/>
  <c r="AB225" i="7"/>
  <c r="AB505" i="7"/>
  <c r="AB571" i="7"/>
  <c r="AB635" i="7"/>
  <c r="AB699" i="7"/>
  <c r="AB755" i="7"/>
  <c r="AB819" i="7"/>
  <c r="AB883" i="7"/>
  <c r="AB927" i="7"/>
  <c r="AB970" i="7"/>
  <c r="AB49" i="7"/>
  <c r="AB177" i="7"/>
  <c r="AB305" i="7"/>
  <c r="AB433" i="7"/>
  <c r="AB519" i="7"/>
  <c r="AB551" i="7"/>
  <c r="AB583" i="7"/>
  <c r="AB615" i="7"/>
  <c r="AB647" i="7"/>
  <c r="AB679" i="7"/>
  <c r="AB711" i="7"/>
  <c r="AB743" i="7"/>
  <c r="AB775" i="7"/>
  <c r="AB807" i="7"/>
  <c r="AB839" i="7"/>
  <c r="AB871" i="7"/>
  <c r="AB898" i="7"/>
  <c r="AB919" i="7"/>
  <c r="AB941" i="7"/>
  <c r="AB962" i="7"/>
  <c r="AB983" i="7"/>
  <c r="AB29" i="7"/>
  <c r="AB317" i="7"/>
  <c r="AB530" i="7"/>
  <c r="AB594" i="7"/>
  <c r="AB658" i="7"/>
  <c r="AB722" i="7"/>
  <c r="AB778" i="7"/>
  <c r="AB842" i="7"/>
  <c r="AB905" i="7"/>
  <c r="AB942" i="7"/>
  <c r="AB990" i="7"/>
  <c r="AB161" i="7"/>
  <c r="AB449" i="7"/>
  <c r="AB555" i="7"/>
  <c r="AB611" i="7"/>
  <c r="AB675" i="7"/>
  <c r="AB739" i="7"/>
  <c r="AB811" i="7"/>
  <c r="AB875" i="7"/>
  <c r="AB922" i="7"/>
  <c r="AB965" i="7"/>
  <c r="AB999" i="7"/>
  <c r="AA14" i="7"/>
  <c r="AA30" i="7"/>
  <c r="AA46" i="7"/>
  <c r="AA62" i="7"/>
  <c r="AA78" i="7"/>
  <c r="AA94" i="7"/>
  <c r="AA110" i="7"/>
  <c r="AA126" i="7"/>
  <c r="AA142" i="7"/>
  <c r="AA158" i="7"/>
  <c r="AA174" i="7"/>
  <c r="AA190" i="7"/>
  <c r="AA206" i="7"/>
  <c r="AA222" i="7"/>
  <c r="AA238" i="7"/>
  <c r="AA254" i="7"/>
  <c r="AA270" i="7"/>
  <c r="AA286" i="7"/>
  <c r="AA302" i="7"/>
  <c r="AA318" i="7"/>
  <c r="AA334" i="7"/>
  <c r="AA350" i="7"/>
  <c r="AA366" i="7"/>
  <c r="AA382" i="7"/>
  <c r="AA398" i="7"/>
  <c r="AA414" i="7"/>
  <c r="AA430" i="7"/>
  <c r="AA446" i="7"/>
  <c r="AA462" i="7"/>
  <c r="AA478" i="7"/>
  <c r="AA494" i="7"/>
  <c r="AA3" i="7"/>
  <c r="AA19" i="7"/>
  <c r="AA35" i="7"/>
  <c r="AA51" i="7"/>
  <c r="AA67" i="7"/>
  <c r="AA83" i="7"/>
  <c r="AA99" i="7"/>
  <c r="AA115" i="7"/>
  <c r="AA131" i="7"/>
  <c r="AA147" i="7"/>
  <c r="AA163" i="7"/>
  <c r="AA179" i="7"/>
  <c r="AA195" i="7"/>
  <c r="AA211" i="7"/>
  <c r="AA227" i="7"/>
  <c r="AA243" i="7"/>
  <c r="AA259" i="7"/>
  <c r="AA275" i="7"/>
  <c r="AA291" i="7"/>
  <c r="AA307" i="7"/>
  <c r="AA323" i="7"/>
  <c r="AA339" i="7"/>
  <c r="AA355" i="7"/>
  <c r="AA371" i="7"/>
  <c r="AA387" i="7"/>
  <c r="AA403" i="7"/>
  <c r="AA419" i="7"/>
  <c r="AA435" i="7"/>
  <c r="AA451" i="7"/>
  <c r="AA467" i="7"/>
  <c r="AA483" i="7"/>
  <c r="AA499" i="7"/>
  <c r="AA12" i="7"/>
  <c r="AA44" i="7"/>
  <c r="AA76" i="7"/>
  <c r="AA108" i="7"/>
  <c r="AA140" i="7"/>
  <c r="AA172" i="7"/>
  <c r="AA204" i="7"/>
  <c r="AA236" i="7"/>
  <c r="AA268" i="7"/>
  <c r="AA300" i="7"/>
  <c r="AA332" i="7"/>
  <c r="AA364" i="7"/>
  <c r="AA396" i="7"/>
  <c r="AA428" i="7"/>
  <c r="AA460" i="7"/>
  <c r="AA492" i="7"/>
  <c r="AA516" i="7"/>
  <c r="AA532" i="7"/>
  <c r="AA548" i="7"/>
  <c r="AA564" i="7"/>
  <c r="AA580" i="7"/>
  <c r="AA596" i="7"/>
  <c r="AA612" i="7"/>
  <c r="AA628" i="7"/>
  <c r="AA644" i="7"/>
  <c r="AA660" i="7"/>
  <c r="AA676" i="7"/>
  <c r="AA692" i="7"/>
  <c r="AA708" i="7"/>
  <c r="AA724" i="7"/>
  <c r="AA740" i="7"/>
  <c r="AA756" i="7"/>
  <c r="AA25" i="7"/>
  <c r="AA69" i="7"/>
  <c r="AA112" i="7"/>
  <c r="AA153" i="7"/>
  <c r="AA197" i="7"/>
  <c r="AA240" i="7"/>
  <c r="AA281" i="7"/>
  <c r="AA325" i="7"/>
  <c r="AA368" i="7"/>
  <c r="AA409" i="7"/>
  <c r="AA453" i="7"/>
  <c r="AA496" i="7"/>
  <c r="AA523" i="7"/>
  <c r="AA545" i="7"/>
  <c r="AA566" i="7"/>
  <c r="AA587" i="7"/>
  <c r="AA609" i="7"/>
  <c r="AA630" i="7"/>
  <c r="AA651" i="7"/>
  <c r="AA673" i="7"/>
  <c r="AA694" i="7"/>
  <c r="AA715" i="7"/>
  <c r="AA737" i="7"/>
  <c r="AA758" i="7"/>
  <c r="AA775" i="7"/>
  <c r="AA791" i="7"/>
  <c r="AA807" i="7"/>
  <c r="AA823" i="7"/>
  <c r="AA839" i="7"/>
  <c r="AA855" i="7"/>
  <c r="AA871" i="7"/>
  <c r="AA887" i="7"/>
  <c r="AA903" i="7"/>
  <c r="AA919" i="7"/>
  <c r="AA935" i="7"/>
  <c r="AA951" i="7"/>
  <c r="AA967" i="7"/>
  <c r="AA983" i="7"/>
  <c r="AA999" i="7"/>
  <c r="AA40" i="7"/>
  <c r="AA81" i="7"/>
  <c r="AA125" i="7"/>
  <c r="AA168" i="7"/>
  <c r="AA209" i="7"/>
  <c r="AA253" i="7"/>
  <c r="AA296" i="7"/>
  <c r="AA337" i="7"/>
  <c r="AA381" i="7"/>
  <c r="AA424" i="7"/>
  <c r="AA465" i="7"/>
  <c r="AA509" i="7"/>
  <c r="AA530" i="7"/>
  <c r="AA551" i="7"/>
  <c r="AA573" i="7"/>
  <c r="AA594" i="7"/>
  <c r="AA615" i="7"/>
  <c r="AA637" i="7"/>
  <c r="AA658" i="7"/>
  <c r="AA679" i="7"/>
  <c r="AA701" i="7"/>
  <c r="AA722" i="7"/>
  <c r="AA743" i="7"/>
  <c r="AA764" i="7"/>
  <c r="AA780" i="7"/>
  <c r="AA73" i="7"/>
  <c r="AA160" i="7"/>
  <c r="AA245" i="7"/>
  <c r="AA329" i="7"/>
  <c r="AA416" i="7"/>
  <c r="AA501" i="7"/>
  <c r="AA547" i="7"/>
  <c r="AA590" i="7"/>
  <c r="AA633" i="7"/>
  <c r="AA675" i="7"/>
  <c r="AA718" i="7"/>
  <c r="AA761" i="7"/>
  <c r="AA789" i="7"/>
  <c r="AA810" i="7"/>
  <c r="AA832" i="7"/>
  <c r="AA853" i="7"/>
  <c r="AA874" i="7"/>
  <c r="AA896" i="7"/>
  <c r="AA917" i="7"/>
  <c r="AA938" i="7"/>
  <c r="AA960" i="7"/>
  <c r="AA981" i="7"/>
  <c r="AA13" i="7"/>
  <c r="AA97" i="7"/>
  <c r="AA184" i="7"/>
  <c r="AA269" i="7"/>
  <c r="AA353" i="7"/>
  <c r="AA440" i="7"/>
  <c r="AA517" i="7"/>
  <c r="AA559" i="7"/>
  <c r="AA602" i="7"/>
  <c r="AA645" i="7"/>
  <c r="AA687" i="7"/>
  <c r="AA730" i="7"/>
  <c r="AA770" i="7"/>
  <c r="AA796" i="7"/>
  <c r="AA817" i="7"/>
  <c r="AA838" i="7"/>
  <c r="AA860" i="7"/>
  <c r="AA881" i="7"/>
  <c r="AA902" i="7"/>
  <c r="AA924" i="7"/>
  <c r="AA945" i="7"/>
  <c r="AA966" i="7"/>
  <c r="AA988" i="7"/>
  <c r="AA41" i="7"/>
  <c r="AA128" i="7"/>
  <c r="AA213" i="7"/>
  <c r="AA297" i="7"/>
  <c r="AA384" i="7"/>
  <c r="AA469" i="7"/>
  <c r="AA531" i="7"/>
  <c r="AA574" i="7"/>
  <c r="AA617" i="7"/>
  <c r="AA659" i="7"/>
  <c r="AA702" i="7"/>
  <c r="AA745" i="7"/>
  <c r="AA781" i="7"/>
  <c r="AA802" i="7"/>
  <c r="AA824" i="7"/>
  <c r="AA845" i="7"/>
  <c r="AA866" i="7"/>
  <c r="AA888" i="7"/>
  <c r="AA909" i="7"/>
  <c r="AA930" i="7"/>
  <c r="AA952" i="7"/>
  <c r="AA973" i="7"/>
  <c r="AA994" i="7"/>
  <c r="AA65" i="7"/>
  <c r="AA152" i="7"/>
  <c r="AA237" i="7"/>
  <c r="AA321" i="7"/>
  <c r="AA408" i="7"/>
  <c r="AA493" i="7"/>
  <c r="AA543" i="7"/>
  <c r="AA586" i="7"/>
  <c r="AA629" i="7"/>
  <c r="AA671" i="7"/>
  <c r="AA714" i="7"/>
  <c r="AA757" i="7"/>
  <c r="AA788" i="7"/>
  <c r="AA809" i="7"/>
  <c r="AA830" i="7"/>
  <c r="AA852" i="7"/>
  <c r="AA873" i="7"/>
  <c r="AA894" i="7"/>
  <c r="AA916" i="7"/>
  <c r="AA937" i="7"/>
  <c r="AA958" i="7"/>
  <c r="AA980" i="7"/>
  <c r="Z2" i="7"/>
  <c r="Z18" i="7"/>
  <c r="Z34" i="7"/>
  <c r="Z50" i="7"/>
  <c r="Z66" i="7"/>
  <c r="Z82" i="7"/>
  <c r="Z98" i="7"/>
  <c r="Z114" i="7"/>
  <c r="Z130" i="7"/>
  <c r="Z146" i="7"/>
  <c r="Z162" i="7"/>
  <c r="Z178" i="7"/>
  <c r="Z194" i="7"/>
  <c r="Z210" i="7"/>
  <c r="Z226" i="7"/>
  <c r="Z242" i="7"/>
  <c r="Z258" i="7"/>
  <c r="Z274" i="7"/>
  <c r="AE554" i="7"/>
  <c r="AD231" i="7"/>
  <c r="AD633" i="7"/>
  <c r="AD715" i="7"/>
  <c r="AD113" i="7"/>
  <c r="AD905" i="7"/>
  <c r="AD129" i="7"/>
  <c r="AC90" i="7"/>
  <c r="AC346" i="7"/>
  <c r="AC95" i="7"/>
  <c r="AC351" i="7"/>
  <c r="AC196" i="7"/>
  <c r="AC608" i="7"/>
  <c r="AC864" i="7"/>
  <c r="AC133" i="7"/>
  <c r="AC389" i="7"/>
  <c r="AC200" i="7"/>
  <c r="AC582" i="7"/>
  <c r="AC694" i="7"/>
  <c r="AC779" i="7"/>
  <c r="AC865" i="7"/>
  <c r="AC950" i="7"/>
  <c r="AC105" i="7"/>
  <c r="AC361" i="7"/>
  <c r="AC551" i="7"/>
  <c r="AC637" i="7"/>
  <c r="AC722" i="7"/>
  <c r="AC813" i="7"/>
  <c r="AC898" i="7"/>
  <c r="AC96" i="7"/>
  <c r="AC510" i="7"/>
  <c r="AC665" i="7"/>
  <c r="AC803" i="7"/>
  <c r="AC953" i="7"/>
  <c r="AC321" i="7"/>
  <c r="AC597" i="7"/>
  <c r="AC741" i="7"/>
  <c r="AC879" i="7"/>
  <c r="AC930" i="7"/>
  <c r="AC432" i="7"/>
  <c r="AC697" i="7"/>
  <c r="AC910" i="7"/>
  <c r="AC337" i="7"/>
  <c r="AC666" i="7"/>
  <c r="AC885" i="7"/>
  <c r="AB30" i="7"/>
  <c r="AB94" i="7"/>
  <c r="AB158" i="7"/>
  <c r="AB222" i="7"/>
  <c r="AB286" i="7"/>
  <c r="AB350" i="7"/>
  <c r="AB414" i="7"/>
  <c r="AB478" i="7"/>
  <c r="AB35" i="7"/>
  <c r="AB99" i="7"/>
  <c r="AB163" i="7"/>
  <c r="AB227" i="7"/>
  <c r="AB291" i="7"/>
  <c r="AB355" i="7"/>
  <c r="AB395" i="7"/>
  <c r="AB427" i="7"/>
  <c r="AB459" i="7"/>
  <c r="AB491" i="7"/>
  <c r="AB28" i="7"/>
  <c r="AB60" i="7"/>
  <c r="AB92" i="7"/>
  <c r="AB124" i="7"/>
  <c r="AB156" i="7"/>
  <c r="AB188" i="7"/>
  <c r="AB212" i="7"/>
  <c r="AB228" i="7"/>
  <c r="AB244" i="7"/>
  <c r="AB260" i="7"/>
  <c r="AB276" i="7"/>
  <c r="AB292" i="7"/>
  <c r="AB308" i="7"/>
  <c r="AB324" i="7"/>
  <c r="AB340" i="7"/>
  <c r="AB356" i="7"/>
  <c r="AB372" i="7"/>
  <c r="AB388" i="7"/>
  <c r="AB404" i="7"/>
  <c r="AB420" i="7"/>
  <c r="AB436" i="7"/>
  <c r="AB452" i="7"/>
  <c r="AB468" i="7"/>
  <c r="AB484" i="7"/>
  <c r="AB500" i="7"/>
  <c r="AB21" i="7"/>
  <c r="AB85" i="7"/>
  <c r="AB149" i="7"/>
  <c r="AB213" i="7"/>
  <c r="AB277" i="7"/>
  <c r="AB341" i="7"/>
  <c r="AB405" i="7"/>
  <c r="AB469" i="7"/>
  <c r="AB512" i="7"/>
  <c r="AB528" i="7"/>
  <c r="AB544" i="7"/>
  <c r="AB560" i="7"/>
  <c r="AB576" i="7"/>
  <c r="AB592" i="7"/>
  <c r="AB608" i="7"/>
  <c r="AB624" i="7"/>
  <c r="AB640" i="7"/>
  <c r="AB656" i="7"/>
  <c r="AB672" i="7"/>
  <c r="AB688" i="7"/>
  <c r="AB704" i="7"/>
  <c r="AB720" i="7"/>
  <c r="AB736" i="7"/>
  <c r="AB752" i="7"/>
  <c r="AB768" i="7"/>
  <c r="AB784" i="7"/>
  <c r="AB800" i="7"/>
  <c r="AB816" i="7"/>
  <c r="AB832" i="7"/>
  <c r="AB848" i="7"/>
  <c r="AB864" i="7"/>
  <c r="AB880" i="7"/>
  <c r="AB896" i="7"/>
  <c r="AB912" i="7"/>
  <c r="AB928" i="7"/>
  <c r="AB944" i="7"/>
  <c r="AB960" i="7"/>
  <c r="AB976" i="7"/>
  <c r="AB9" i="7"/>
  <c r="AB73" i="7"/>
  <c r="AB137" i="7"/>
  <c r="AB201" i="7"/>
  <c r="AB265" i="7"/>
  <c r="AB329" i="7"/>
  <c r="AB393" i="7"/>
  <c r="AB457" i="7"/>
  <c r="AB509" i="7"/>
  <c r="AB525" i="7"/>
  <c r="AB541" i="7"/>
  <c r="AB557" i="7"/>
  <c r="AB573" i="7"/>
  <c r="AB589" i="7"/>
  <c r="AB605" i="7"/>
  <c r="AB621" i="7"/>
  <c r="AB637" i="7"/>
  <c r="AB653" i="7"/>
  <c r="AB669" i="7"/>
  <c r="AB685" i="7"/>
  <c r="AB701" i="7"/>
  <c r="AB717" i="7"/>
  <c r="AB733" i="7"/>
  <c r="AB749" i="7"/>
  <c r="AB765" i="7"/>
  <c r="AB781" i="7"/>
  <c r="AB797" i="7"/>
  <c r="AB813" i="7"/>
  <c r="AB829" i="7"/>
  <c r="AB845" i="7"/>
  <c r="AB861" i="7"/>
  <c r="AB877" i="7"/>
  <c r="AB45" i="7"/>
  <c r="AB173" i="7"/>
  <c r="AB301" i="7"/>
  <c r="AB429" i="7"/>
  <c r="AB518" i="7"/>
  <c r="AB550" i="7"/>
  <c r="AB582" i="7"/>
  <c r="AB614" i="7"/>
  <c r="AB646" i="7"/>
  <c r="AB678" i="7"/>
  <c r="AB710" i="7"/>
  <c r="AB742" i="7"/>
  <c r="AB774" i="7"/>
  <c r="AB806" i="7"/>
  <c r="AB838" i="7"/>
  <c r="AB870" i="7"/>
  <c r="AB897" i="7"/>
  <c r="AB918" i="7"/>
  <c r="AB939" i="7"/>
  <c r="AB961" i="7"/>
  <c r="AB982" i="7"/>
  <c r="AB1000" i="7"/>
  <c r="AB221" i="7"/>
  <c r="AB477" i="7"/>
  <c r="AB554" i="7"/>
  <c r="AB618" i="7"/>
  <c r="AB690" i="7"/>
  <c r="AB754" i="7"/>
  <c r="AB818" i="7"/>
  <c r="AB874" i="7"/>
  <c r="AB921" i="7"/>
  <c r="AB969" i="7"/>
  <c r="AB33" i="7"/>
  <c r="AB289" i="7"/>
  <c r="AB523" i="7"/>
  <c r="AB587" i="7"/>
  <c r="AB651" i="7"/>
  <c r="AB715" i="7"/>
  <c r="AB779" i="7"/>
  <c r="AB835" i="7"/>
  <c r="AB895" i="7"/>
  <c r="AB938" i="7"/>
  <c r="AB981" i="7"/>
  <c r="AB81" i="7"/>
  <c r="AB209" i="7"/>
  <c r="AB337" i="7"/>
  <c r="AB465" i="7"/>
  <c r="AB527" i="7"/>
  <c r="AB559" i="7"/>
  <c r="AB591" i="7"/>
  <c r="AB623" i="7"/>
  <c r="AB655" i="7"/>
  <c r="AB687" i="7"/>
  <c r="AB719" i="7"/>
  <c r="AB751" i="7"/>
  <c r="AB783" i="7"/>
  <c r="AB815" i="7"/>
  <c r="AB847" i="7"/>
  <c r="AB879" i="7"/>
  <c r="AB903" i="7"/>
  <c r="AB925" i="7"/>
  <c r="AB946" i="7"/>
  <c r="AB967" i="7"/>
  <c r="AB989" i="7"/>
  <c r="AB93" i="7"/>
  <c r="AB381" i="7"/>
  <c r="AB546" i="7"/>
  <c r="AB610" i="7"/>
  <c r="AB666" i="7"/>
  <c r="AB730" i="7"/>
  <c r="AB794" i="7"/>
  <c r="AB866" i="7"/>
  <c r="AB910" i="7"/>
  <c r="AB953" i="7"/>
  <c r="AB994" i="7"/>
  <c r="AB257" i="7"/>
  <c r="AB481" i="7"/>
  <c r="AB563" i="7"/>
  <c r="AB627" i="7"/>
  <c r="AB691" i="7"/>
  <c r="AB763" i="7"/>
  <c r="AB827" i="7"/>
  <c r="AB890" i="7"/>
  <c r="AB933" i="7"/>
  <c r="AB975" i="7"/>
  <c r="AA2" i="7"/>
  <c r="AA18" i="7"/>
  <c r="AA34" i="7"/>
  <c r="AA50" i="7"/>
  <c r="AA66" i="7"/>
  <c r="AA82" i="7"/>
  <c r="AA98" i="7"/>
  <c r="AA114" i="7"/>
  <c r="AA130" i="7"/>
  <c r="AA146" i="7"/>
  <c r="AA162" i="7"/>
  <c r="AA178" i="7"/>
  <c r="AA194" i="7"/>
  <c r="AA210" i="7"/>
  <c r="AA226" i="7"/>
  <c r="AA242" i="7"/>
  <c r="AA258" i="7"/>
  <c r="AA274" i="7"/>
  <c r="AA290" i="7"/>
  <c r="AA306" i="7"/>
  <c r="AA322" i="7"/>
  <c r="AA338" i="7"/>
  <c r="AA354" i="7"/>
  <c r="AA370" i="7"/>
  <c r="AA386" i="7"/>
  <c r="AA402" i="7"/>
  <c r="AA418" i="7"/>
  <c r="AA434" i="7"/>
  <c r="AA450" i="7"/>
  <c r="AA466" i="7"/>
  <c r="AA482" i="7"/>
  <c r="AA498" i="7"/>
  <c r="AA7" i="7"/>
  <c r="AA23" i="7"/>
  <c r="AA39" i="7"/>
  <c r="AA55" i="7"/>
  <c r="AA71" i="7"/>
  <c r="AA87" i="7"/>
  <c r="AA103" i="7"/>
  <c r="AA119" i="7"/>
  <c r="AA135" i="7"/>
  <c r="AA151" i="7"/>
  <c r="AA167" i="7"/>
  <c r="AA183" i="7"/>
  <c r="AA199" i="7"/>
  <c r="AA215" i="7"/>
  <c r="AA231" i="7"/>
  <c r="AA247" i="7"/>
  <c r="AA263" i="7"/>
  <c r="AA279" i="7"/>
  <c r="AA295" i="7"/>
  <c r="AA311" i="7"/>
  <c r="AA327" i="7"/>
  <c r="AA343" i="7"/>
  <c r="AA359" i="7"/>
  <c r="AA375" i="7"/>
  <c r="AA391" i="7"/>
  <c r="AA407" i="7"/>
  <c r="AA423" i="7"/>
  <c r="AA439" i="7"/>
  <c r="AA455" i="7"/>
  <c r="AA471" i="7"/>
  <c r="AA487" i="7"/>
  <c r="AA503" i="7"/>
  <c r="AA20" i="7"/>
  <c r="AA52" i="7"/>
  <c r="AA84" i="7"/>
  <c r="AA116" i="7"/>
  <c r="AA148" i="7"/>
  <c r="AA180" i="7"/>
  <c r="AA212" i="7"/>
  <c r="AA244" i="7"/>
  <c r="AA276" i="7"/>
  <c r="AA308" i="7"/>
  <c r="AA340" i="7"/>
  <c r="AA372" i="7"/>
  <c r="AA404" i="7"/>
  <c r="AA436" i="7"/>
  <c r="AA468" i="7"/>
  <c r="AA500" i="7"/>
  <c r="AA520" i="7"/>
  <c r="AA536" i="7"/>
  <c r="AA552" i="7"/>
  <c r="AA568" i="7"/>
  <c r="AA584" i="7"/>
  <c r="AA600" i="7"/>
  <c r="AA616" i="7"/>
  <c r="AA632" i="7"/>
  <c r="AA648" i="7"/>
  <c r="AA664" i="7"/>
  <c r="AA680" i="7"/>
  <c r="AA696" i="7"/>
  <c r="AA712" i="7"/>
  <c r="AA728" i="7"/>
  <c r="AA744" i="7"/>
  <c r="AA760" i="7"/>
  <c r="AA37" i="7"/>
  <c r="AA80" i="7"/>
  <c r="AA121" i="7"/>
  <c r="AA165" i="7"/>
  <c r="AA208" i="7"/>
  <c r="AA249" i="7"/>
  <c r="AA293" i="7"/>
  <c r="AA336" i="7"/>
  <c r="AA377" i="7"/>
  <c r="AA421" i="7"/>
  <c r="AA464" i="7"/>
  <c r="AA505" i="7"/>
  <c r="AA529" i="7"/>
  <c r="AA550" i="7"/>
  <c r="AA571" i="7"/>
  <c r="AA593" i="7"/>
  <c r="AA614" i="7"/>
  <c r="AA635" i="7"/>
  <c r="AA657" i="7"/>
  <c r="AA678" i="7"/>
  <c r="AA699" i="7"/>
  <c r="AA721" i="7"/>
  <c r="AA742" i="7"/>
  <c r="AA763" i="7"/>
  <c r="AA779" i="7"/>
  <c r="AA795" i="7"/>
  <c r="AA811" i="7"/>
  <c r="AA827" i="7"/>
  <c r="AA843" i="7"/>
  <c r="AA859" i="7"/>
  <c r="AA875" i="7"/>
  <c r="AA891" i="7"/>
  <c r="AA907" i="7"/>
  <c r="AA923" i="7"/>
  <c r="AA939" i="7"/>
  <c r="AA955" i="7"/>
  <c r="AA971" i="7"/>
  <c r="AA987" i="7"/>
  <c r="AA8" i="7"/>
  <c r="AA49" i="7"/>
  <c r="AA93" i="7"/>
  <c r="AA136" i="7"/>
  <c r="AA177" i="7"/>
  <c r="AA221" i="7"/>
  <c r="AA264" i="7"/>
  <c r="AA305" i="7"/>
  <c r="AA349" i="7"/>
  <c r="AA392" i="7"/>
  <c r="AA433" i="7"/>
  <c r="AA477" i="7"/>
  <c r="AA514" i="7"/>
  <c r="AA535" i="7"/>
  <c r="AA557" i="7"/>
  <c r="AA578" i="7"/>
  <c r="AA599" i="7"/>
  <c r="AA621" i="7"/>
  <c r="AA642" i="7"/>
  <c r="AA663" i="7"/>
  <c r="AA685" i="7"/>
  <c r="AA706" i="7"/>
  <c r="AA727" i="7"/>
  <c r="AA749" i="7"/>
  <c r="AA768" i="7"/>
  <c r="AA9" i="7"/>
  <c r="AA96" i="7"/>
  <c r="AA181" i="7"/>
  <c r="AA265" i="7"/>
  <c r="AA352" i="7"/>
  <c r="AA437" i="7"/>
  <c r="AA515" i="7"/>
  <c r="AA558" i="7"/>
  <c r="AA601" i="7"/>
  <c r="AA643" i="7"/>
  <c r="AA686" i="7"/>
  <c r="AA729" i="7"/>
  <c r="AA769" i="7"/>
  <c r="AA794" i="7"/>
  <c r="AA816" i="7"/>
  <c r="AA837" i="7"/>
  <c r="AA858" i="7"/>
  <c r="AA880" i="7"/>
  <c r="AA901" i="7"/>
  <c r="AA922" i="7"/>
  <c r="AA944" i="7"/>
  <c r="AA965" i="7"/>
  <c r="AA986" i="7"/>
  <c r="AA33" i="7"/>
  <c r="AA120" i="7"/>
  <c r="AA205" i="7"/>
  <c r="AA289" i="7"/>
  <c r="AA376" i="7"/>
  <c r="AA461" i="7"/>
  <c r="AA527" i="7"/>
  <c r="AA570" i="7"/>
  <c r="AA613" i="7"/>
  <c r="AA655" i="7"/>
  <c r="AA698" i="7"/>
  <c r="AA741" i="7"/>
  <c r="AA778" i="7"/>
  <c r="AA801" i="7"/>
  <c r="AA822" i="7"/>
  <c r="AA844" i="7"/>
  <c r="AA865" i="7"/>
  <c r="AA886" i="7"/>
  <c r="AA908" i="7"/>
  <c r="AA929" i="7"/>
  <c r="AA950" i="7"/>
  <c r="AA972" i="7"/>
  <c r="AA993" i="7"/>
  <c r="AA64" i="7"/>
  <c r="AA149" i="7"/>
  <c r="AA233" i="7"/>
  <c r="AA320" i="7"/>
  <c r="AA405" i="7"/>
  <c r="AA489" i="7"/>
  <c r="AA542" i="7"/>
  <c r="AA585" i="7"/>
  <c r="AA627" i="7"/>
  <c r="AA670" i="7"/>
  <c r="AA713" i="7"/>
  <c r="AA755" i="7"/>
  <c r="AA786" i="7"/>
  <c r="AA808" i="7"/>
  <c r="AA829" i="7"/>
  <c r="AA850" i="7"/>
  <c r="AA872" i="7"/>
  <c r="AA893" i="7"/>
  <c r="AA914" i="7"/>
  <c r="AA936" i="7"/>
  <c r="AA957" i="7"/>
  <c r="AA978" i="7"/>
  <c r="AA1000" i="7"/>
  <c r="AA88" i="7"/>
  <c r="AA173" i="7"/>
  <c r="AA257" i="7"/>
  <c r="AA344" i="7"/>
  <c r="AA429" i="7"/>
  <c r="AA511" i="7"/>
  <c r="AA554" i="7"/>
  <c r="AA597" i="7"/>
  <c r="AA639" i="7"/>
  <c r="AA682" i="7"/>
  <c r="AA725" i="7"/>
  <c r="AA766" i="7"/>
  <c r="AE954" i="7"/>
  <c r="AD487" i="7"/>
  <c r="AD25" i="7"/>
  <c r="AD189" i="7"/>
  <c r="AD532" i="7"/>
  <c r="AD988" i="7"/>
  <c r="AD672" i="7"/>
  <c r="AC154" i="7"/>
  <c r="AC410" i="7"/>
  <c r="AC159" i="7"/>
  <c r="AC415" i="7"/>
  <c r="AC324" i="7"/>
  <c r="AC672" i="7"/>
  <c r="AC928" i="7"/>
  <c r="AC197" i="7"/>
  <c r="AC453" i="7"/>
  <c r="AC328" i="7"/>
  <c r="AC625" i="7"/>
  <c r="AC715" i="7"/>
  <c r="AC801" i="7"/>
  <c r="AC886" i="7"/>
  <c r="AC971" i="7"/>
  <c r="AC169" i="7"/>
  <c r="AC425" i="7"/>
  <c r="AC573" i="7"/>
  <c r="AC658" i="7"/>
  <c r="AC743" i="7"/>
  <c r="AC834" i="7"/>
  <c r="AC925" i="7"/>
  <c r="AC192" i="7"/>
  <c r="AC553" i="7"/>
  <c r="AC702" i="7"/>
  <c r="AC846" i="7"/>
  <c r="AC985" i="7"/>
  <c r="AC449" i="7"/>
  <c r="AC634" i="7"/>
  <c r="AC778" i="7"/>
  <c r="AC917" i="7"/>
  <c r="AC994" i="7"/>
  <c r="AC542" i="7"/>
  <c r="AC761" i="7"/>
  <c r="AC963" i="7"/>
  <c r="AC465" i="7"/>
  <c r="AC714" i="7"/>
  <c r="AC938" i="7"/>
  <c r="AB46" i="7"/>
  <c r="AB110" i="7"/>
  <c r="AB174" i="7"/>
  <c r="AB238" i="7"/>
  <c r="AB302" i="7"/>
  <c r="AB366" i="7"/>
  <c r="AB430" i="7"/>
  <c r="AB494" i="7"/>
  <c r="AB51" i="7"/>
  <c r="AB115" i="7"/>
  <c r="AB179" i="7"/>
  <c r="AB243" i="7"/>
  <c r="AB307" i="7"/>
  <c r="AB371" i="7"/>
  <c r="AB403" i="7"/>
  <c r="AB435" i="7"/>
  <c r="AB467" i="7"/>
  <c r="AB4" i="7"/>
  <c r="AB36" i="7"/>
  <c r="AB68" i="7"/>
  <c r="AB100" i="7"/>
  <c r="AB132" i="7"/>
  <c r="AB164" i="7"/>
  <c r="AB196" i="7"/>
  <c r="AB216" i="7"/>
  <c r="AB232" i="7"/>
  <c r="AB248" i="7"/>
  <c r="AB264" i="7"/>
  <c r="AB280" i="7"/>
  <c r="AB296" i="7"/>
  <c r="AB312" i="7"/>
  <c r="AB328" i="7"/>
  <c r="AB344" i="7"/>
  <c r="AB360" i="7"/>
  <c r="AB376" i="7"/>
  <c r="AB392" i="7"/>
  <c r="AB408" i="7"/>
  <c r="AB424" i="7"/>
  <c r="AB440" i="7"/>
  <c r="AB456" i="7"/>
  <c r="AB472" i="7"/>
  <c r="AB488" i="7"/>
  <c r="AB504" i="7"/>
  <c r="AB37" i="7"/>
  <c r="AB101" i="7"/>
  <c r="AB165" i="7"/>
  <c r="AB229" i="7"/>
  <c r="AB293" i="7"/>
  <c r="AB357" i="7"/>
  <c r="AB421" i="7"/>
  <c r="AB485" i="7"/>
  <c r="AB516" i="7"/>
  <c r="AB532" i="7"/>
  <c r="AB548" i="7"/>
  <c r="AB564" i="7"/>
  <c r="AB580" i="7"/>
  <c r="AB596" i="7"/>
  <c r="AB612" i="7"/>
  <c r="AB628" i="7"/>
  <c r="AB644" i="7"/>
  <c r="AB660" i="7"/>
  <c r="AB676" i="7"/>
  <c r="AB692" i="7"/>
  <c r="AB708" i="7"/>
  <c r="AB724" i="7"/>
  <c r="AB740" i="7"/>
  <c r="AB756" i="7"/>
  <c r="AB772" i="7"/>
  <c r="AB788" i="7"/>
  <c r="AB804" i="7"/>
  <c r="AB820" i="7"/>
  <c r="AB836" i="7"/>
  <c r="AB852" i="7"/>
  <c r="AB868" i="7"/>
  <c r="AB884" i="7"/>
  <c r="AB900" i="7"/>
  <c r="AB916" i="7"/>
  <c r="AB932" i="7"/>
  <c r="AB948" i="7"/>
  <c r="AB964" i="7"/>
  <c r="AB980" i="7"/>
  <c r="AB25" i="7"/>
  <c r="AB89" i="7"/>
  <c r="AB153" i="7"/>
  <c r="AB217" i="7"/>
  <c r="AB281" i="7"/>
  <c r="AB345" i="7"/>
  <c r="AB409" i="7"/>
  <c r="AB473" i="7"/>
  <c r="AB513" i="7"/>
  <c r="AB529" i="7"/>
  <c r="AB545" i="7"/>
  <c r="AB561" i="7"/>
  <c r="AB577" i="7"/>
  <c r="AB593" i="7"/>
  <c r="AB609" i="7"/>
  <c r="AB625" i="7"/>
  <c r="AB641" i="7"/>
  <c r="AB657" i="7"/>
  <c r="AB673" i="7"/>
  <c r="AB689" i="7"/>
  <c r="AB705" i="7"/>
  <c r="AB721" i="7"/>
  <c r="AB737" i="7"/>
  <c r="AB753" i="7"/>
  <c r="AB769" i="7"/>
  <c r="AB785" i="7"/>
  <c r="AB801" i="7"/>
  <c r="AB817" i="7"/>
  <c r="AB833" i="7"/>
  <c r="AB849" i="7"/>
  <c r="AB865" i="7"/>
  <c r="AB881" i="7"/>
  <c r="AB77" i="7"/>
  <c r="AB205" i="7"/>
  <c r="AB333" i="7"/>
  <c r="AB461" i="7"/>
  <c r="AB526" i="7"/>
  <c r="AB558" i="7"/>
  <c r="AB590" i="7"/>
  <c r="AB622" i="7"/>
  <c r="AB654" i="7"/>
  <c r="AB686" i="7"/>
  <c r="AB718" i="7"/>
  <c r="AB750" i="7"/>
  <c r="AB782" i="7"/>
  <c r="AB814" i="7"/>
  <c r="AB846" i="7"/>
  <c r="AB878" i="7"/>
  <c r="AB902" i="7"/>
  <c r="AB923" i="7"/>
  <c r="AB945" i="7"/>
  <c r="AB966" i="7"/>
  <c r="AB987" i="7"/>
  <c r="AB61" i="7"/>
  <c r="AB285" i="7"/>
  <c r="AB514" i="7"/>
  <c r="AB570" i="7"/>
  <c r="AB634" i="7"/>
  <c r="AB706" i="7"/>
  <c r="AB770" i="7"/>
  <c r="AB826" i="7"/>
  <c r="AB894" i="7"/>
  <c r="AB931" i="7"/>
  <c r="AB974" i="7"/>
  <c r="AB97" i="7"/>
  <c r="AB353" i="7"/>
  <c r="AB531" i="7"/>
  <c r="AB603" i="7"/>
  <c r="AB667" i="7"/>
  <c r="AB731" i="7"/>
  <c r="AB787" i="7"/>
  <c r="AB851" i="7"/>
  <c r="AB906" i="7"/>
  <c r="AB949" i="7"/>
  <c r="AB995" i="7"/>
  <c r="AB113" i="7"/>
  <c r="AB241" i="7"/>
  <c r="AB369" i="7"/>
  <c r="AB497" i="7"/>
  <c r="AB535" i="7"/>
  <c r="AB567" i="7"/>
  <c r="AB599" i="7"/>
  <c r="AB631" i="7"/>
  <c r="AB663" i="7"/>
  <c r="AB695" i="7"/>
  <c r="AB727" i="7"/>
  <c r="AB759" i="7"/>
  <c r="AB791" i="7"/>
  <c r="AB823" i="7"/>
  <c r="AB855" i="7"/>
  <c r="AB887" i="7"/>
  <c r="AB909" i="7"/>
  <c r="AB930" i="7"/>
  <c r="AB951" i="7"/>
  <c r="AB973" i="7"/>
  <c r="AB993" i="7"/>
  <c r="AB189" i="7"/>
  <c r="AB445" i="7"/>
  <c r="AB562" i="7"/>
  <c r="AB626" i="7"/>
  <c r="AB682" i="7"/>
  <c r="AB746" i="7"/>
  <c r="AB810" i="7"/>
  <c r="AB882" i="7"/>
  <c r="AB926" i="7"/>
  <c r="AB963" i="7"/>
  <c r="AB65" i="7"/>
  <c r="AB321" i="7"/>
  <c r="AB515" i="7"/>
  <c r="AB579" i="7"/>
  <c r="AB643" i="7"/>
  <c r="AB707" i="7"/>
  <c r="AB771" i="7"/>
  <c r="AB843" i="7"/>
  <c r="AB901" i="7"/>
  <c r="AB943" i="7"/>
  <c r="AB986" i="7"/>
  <c r="AA6" i="7"/>
  <c r="AA22" i="7"/>
  <c r="AA38" i="7"/>
  <c r="AA54" i="7"/>
  <c r="AA70" i="7"/>
  <c r="AA86" i="7"/>
  <c r="AA102" i="7"/>
  <c r="AA118" i="7"/>
  <c r="AA134" i="7"/>
  <c r="AA150" i="7"/>
  <c r="AA166" i="7"/>
  <c r="AA182" i="7"/>
  <c r="AA198" i="7"/>
  <c r="AA214" i="7"/>
  <c r="AA230" i="7"/>
  <c r="AA246" i="7"/>
  <c r="AA262" i="7"/>
  <c r="AA278" i="7"/>
  <c r="AA294" i="7"/>
  <c r="AA310" i="7"/>
  <c r="AA326" i="7"/>
  <c r="AA342" i="7"/>
  <c r="AA358" i="7"/>
  <c r="AA374" i="7"/>
  <c r="AA390" i="7"/>
  <c r="AA406" i="7"/>
  <c r="AA422" i="7"/>
  <c r="AA438" i="7"/>
  <c r="AA454" i="7"/>
  <c r="AA470" i="7"/>
  <c r="AA486" i="7"/>
  <c r="AA502" i="7"/>
  <c r="AA11" i="7"/>
  <c r="AA27" i="7"/>
  <c r="AA43" i="7"/>
  <c r="AA59" i="7"/>
  <c r="AA75" i="7"/>
  <c r="AA91" i="7"/>
  <c r="AA107" i="7"/>
  <c r="AA123" i="7"/>
  <c r="AA139" i="7"/>
  <c r="AA155" i="7"/>
  <c r="AA171" i="7"/>
  <c r="AA187" i="7"/>
  <c r="AA203" i="7"/>
  <c r="AA219" i="7"/>
  <c r="AA235" i="7"/>
  <c r="AA251" i="7"/>
  <c r="AA267" i="7"/>
  <c r="AA283" i="7"/>
  <c r="AA299" i="7"/>
  <c r="AA315" i="7"/>
  <c r="AA331" i="7"/>
  <c r="AA347" i="7"/>
  <c r="AA363" i="7"/>
  <c r="AA379" i="7"/>
  <c r="AA395" i="7"/>
  <c r="AA411" i="7"/>
  <c r="AA427" i="7"/>
  <c r="AA443" i="7"/>
  <c r="AA459" i="7"/>
  <c r="AA475" i="7"/>
  <c r="AA491" i="7"/>
  <c r="AA507" i="7"/>
  <c r="AA28" i="7"/>
  <c r="AA60" i="7"/>
  <c r="AA92" i="7"/>
  <c r="AA124" i="7"/>
  <c r="AA156" i="7"/>
  <c r="AA188" i="7"/>
  <c r="AA220" i="7"/>
  <c r="AA252" i="7"/>
  <c r="AA284" i="7"/>
  <c r="AA316" i="7"/>
  <c r="AA348" i="7"/>
  <c r="AA380" i="7"/>
  <c r="AA412" i="7"/>
  <c r="AA444" i="7"/>
  <c r="AD222" i="7"/>
  <c r="AD660" i="7"/>
  <c r="AC474" i="7"/>
  <c r="AC736" i="7"/>
  <c r="AC456" i="7"/>
  <c r="AC907" i="7"/>
  <c r="AC594" i="7"/>
  <c r="AC957" i="7"/>
  <c r="AC878" i="7"/>
  <c r="AC810" i="7"/>
  <c r="AC809" i="7"/>
  <c r="AC991" i="7"/>
  <c r="AB254" i="7"/>
  <c r="AB3" i="7"/>
  <c r="AB259" i="7"/>
  <c r="AB443" i="7"/>
  <c r="AB76" i="7"/>
  <c r="AB204" i="7"/>
  <c r="AB268" i="7"/>
  <c r="AB332" i="7"/>
  <c r="AB396" i="7"/>
  <c r="AB460" i="7"/>
  <c r="AB53" i="7"/>
  <c r="AB309" i="7"/>
  <c r="AB520" i="7"/>
  <c r="AB584" i="7"/>
  <c r="AB648" i="7"/>
  <c r="AB712" i="7"/>
  <c r="AB776" i="7"/>
  <c r="AB840" i="7"/>
  <c r="AB904" i="7"/>
  <c r="AB968" i="7"/>
  <c r="AB169" i="7"/>
  <c r="AB425" i="7"/>
  <c r="AB549" i="7"/>
  <c r="AB613" i="7"/>
  <c r="AB677" i="7"/>
  <c r="AB741" i="7"/>
  <c r="AB805" i="7"/>
  <c r="AB869" i="7"/>
  <c r="AB365" i="7"/>
  <c r="AB598" i="7"/>
  <c r="AB726" i="7"/>
  <c r="AB854" i="7"/>
  <c r="AB950" i="7"/>
  <c r="AB349" i="7"/>
  <c r="AB714" i="7"/>
  <c r="AB947" i="7"/>
  <c r="AB547" i="7"/>
  <c r="AB803" i="7"/>
  <c r="AB17" i="7"/>
  <c r="AB511" i="7"/>
  <c r="AB639" i="7"/>
  <c r="AB767" i="7"/>
  <c r="AB893" i="7"/>
  <c r="AB978" i="7"/>
  <c r="AB578" i="7"/>
  <c r="AB834" i="7"/>
  <c r="AB129" i="7"/>
  <c r="AB659" i="7"/>
  <c r="AB911" i="7"/>
  <c r="AA26" i="7"/>
  <c r="AA90" i="7"/>
  <c r="AA154" i="7"/>
  <c r="AA218" i="7"/>
  <c r="AA282" i="7"/>
  <c r="AA346" i="7"/>
  <c r="AA410" i="7"/>
  <c r="AA474" i="7"/>
  <c r="AA31" i="7"/>
  <c r="AA95" i="7"/>
  <c r="AA159" i="7"/>
  <c r="AA223" i="7"/>
  <c r="AA287" i="7"/>
  <c r="AA351" i="7"/>
  <c r="AA415" i="7"/>
  <c r="AA479" i="7"/>
  <c r="AA68" i="7"/>
  <c r="AA196" i="7"/>
  <c r="AA324" i="7"/>
  <c r="AA452" i="7"/>
  <c r="AA512" i="7"/>
  <c r="AA544" i="7"/>
  <c r="AA576" i="7"/>
  <c r="AA608" i="7"/>
  <c r="AA640" i="7"/>
  <c r="AA672" i="7"/>
  <c r="AA704" i="7"/>
  <c r="AA736" i="7"/>
  <c r="AA16" i="7"/>
  <c r="AA101" i="7"/>
  <c r="AA185" i="7"/>
  <c r="AA272" i="7"/>
  <c r="AA357" i="7"/>
  <c r="AA441" i="7"/>
  <c r="AA518" i="7"/>
  <c r="AA561" i="7"/>
  <c r="AA603" i="7"/>
  <c r="AA646" i="7"/>
  <c r="AA689" i="7"/>
  <c r="AA731" i="7"/>
  <c r="AA771" i="7"/>
  <c r="AA803" i="7"/>
  <c r="AA835" i="7"/>
  <c r="AA867" i="7"/>
  <c r="AA899" i="7"/>
  <c r="AA931" i="7"/>
  <c r="AA963" i="7"/>
  <c r="AA995" i="7"/>
  <c r="AA72" i="7"/>
  <c r="AA157" i="7"/>
  <c r="AA241" i="7"/>
  <c r="AA328" i="7"/>
  <c r="AA413" i="7"/>
  <c r="AA497" i="7"/>
  <c r="AA546" i="7"/>
  <c r="AA589" i="7"/>
  <c r="AA631" i="7"/>
  <c r="AA674" i="7"/>
  <c r="AA717" i="7"/>
  <c r="AA759" i="7"/>
  <c r="AA53" i="7"/>
  <c r="AA224" i="7"/>
  <c r="AA393" i="7"/>
  <c r="AA537" i="7"/>
  <c r="AA622" i="7"/>
  <c r="AA707" i="7"/>
  <c r="AA784" i="7"/>
  <c r="AA826" i="7"/>
  <c r="AA869" i="7"/>
  <c r="AA912" i="7"/>
  <c r="AA954" i="7"/>
  <c r="AA997" i="7"/>
  <c r="AA161" i="7"/>
  <c r="AA333" i="7"/>
  <c r="AA504" i="7"/>
  <c r="AA591" i="7"/>
  <c r="AA677" i="7"/>
  <c r="AA762" i="7"/>
  <c r="AA812" i="7"/>
  <c r="AA854" i="7"/>
  <c r="AA897" i="7"/>
  <c r="AA940" i="7"/>
  <c r="AA982" i="7"/>
  <c r="AA105" i="7"/>
  <c r="AA277" i="7"/>
  <c r="AA448" i="7"/>
  <c r="AA563" i="7"/>
  <c r="AA649" i="7"/>
  <c r="AA734" i="7"/>
  <c r="AA797" i="7"/>
  <c r="AA840" i="7"/>
  <c r="AA882" i="7"/>
  <c r="AA925" i="7"/>
  <c r="AA968" i="7"/>
  <c r="AA45" i="7"/>
  <c r="AA216" i="7"/>
  <c r="AA385" i="7"/>
  <c r="AA533" i="7"/>
  <c r="AA618" i="7"/>
  <c r="AA703" i="7"/>
  <c r="AA782" i="7"/>
  <c r="AA814" i="7"/>
  <c r="AA841" i="7"/>
  <c r="AA868" i="7"/>
  <c r="AA900" i="7"/>
  <c r="AA926" i="7"/>
  <c r="AA953" i="7"/>
  <c r="AA985" i="7"/>
  <c r="Z10" i="7"/>
  <c r="Z30" i="7"/>
  <c r="Z54" i="7"/>
  <c r="Z74" i="7"/>
  <c r="Z94" i="7"/>
  <c r="Z118" i="7"/>
  <c r="Z138" i="7"/>
  <c r="Z158" i="7"/>
  <c r="Z182" i="7"/>
  <c r="Z202" i="7"/>
  <c r="Z222" i="7"/>
  <c r="Z246" i="7"/>
  <c r="Z266" i="7"/>
  <c r="Z286" i="7"/>
  <c r="Z302" i="7"/>
  <c r="Z318" i="7"/>
  <c r="Z334" i="7"/>
  <c r="Z350" i="7"/>
  <c r="Z366" i="7"/>
  <c r="Z382" i="7"/>
  <c r="Z398" i="7"/>
  <c r="Z414" i="7"/>
  <c r="Z430" i="7"/>
  <c r="Z446" i="7"/>
  <c r="Z462" i="7"/>
  <c r="Z478" i="7"/>
  <c r="Z494" i="7"/>
  <c r="Z3" i="7"/>
  <c r="Z19" i="7"/>
  <c r="Z35" i="7"/>
  <c r="Z51" i="7"/>
  <c r="Z67" i="7"/>
  <c r="Z83" i="7"/>
  <c r="Z99" i="7"/>
  <c r="Z115" i="7"/>
  <c r="Z131" i="7"/>
  <c r="Z147" i="7"/>
  <c r="Z163" i="7"/>
  <c r="Z179" i="7"/>
  <c r="Z195" i="7"/>
  <c r="Z211" i="7"/>
  <c r="Z227" i="7"/>
  <c r="Z243" i="7"/>
  <c r="Z259" i="7"/>
  <c r="Z275" i="7"/>
  <c r="Z291" i="7"/>
  <c r="Z307" i="7"/>
  <c r="Z323" i="7"/>
  <c r="Z339" i="7"/>
  <c r="Z355" i="7"/>
  <c r="Z371" i="7"/>
  <c r="Z387" i="7"/>
  <c r="Z403" i="7"/>
  <c r="Z419" i="7"/>
  <c r="Z435" i="7"/>
  <c r="Z451" i="7"/>
  <c r="Z467" i="7"/>
  <c r="Z483" i="7"/>
  <c r="Z499" i="7"/>
  <c r="Z8" i="7"/>
  <c r="Z24" i="7"/>
  <c r="Z40" i="7"/>
  <c r="Z56" i="7"/>
  <c r="Z72" i="7"/>
  <c r="Z88" i="7"/>
  <c r="Z104" i="7"/>
  <c r="Z120" i="7"/>
  <c r="Z136" i="7"/>
  <c r="Z152" i="7"/>
  <c r="Z168" i="7"/>
  <c r="Z184" i="7"/>
  <c r="Z200" i="7"/>
  <c r="Z216" i="7"/>
  <c r="Z232" i="7"/>
  <c r="Z248" i="7"/>
  <c r="Z264" i="7"/>
  <c r="Z280" i="7"/>
  <c r="Z296" i="7"/>
  <c r="Z312" i="7"/>
  <c r="Z328" i="7"/>
  <c r="Z344" i="7"/>
  <c r="Z360" i="7"/>
  <c r="Z376" i="7"/>
  <c r="Z392" i="7"/>
  <c r="Z408" i="7"/>
  <c r="Z424" i="7"/>
  <c r="Z440" i="7"/>
  <c r="Z456" i="7"/>
  <c r="Z472" i="7"/>
  <c r="Z5" i="7"/>
  <c r="Z69" i="7"/>
  <c r="Z133" i="7"/>
  <c r="Z197" i="7"/>
  <c r="Z261" i="7"/>
  <c r="Z325" i="7"/>
  <c r="Z389" i="7"/>
  <c r="Z453" i="7"/>
  <c r="Z501" i="7"/>
  <c r="Z521" i="7"/>
  <c r="Z537" i="7"/>
  <c r="Z553" i="7"/>
  <c r="Z569" i="7"/>
  <c r="Z585" i="7"/>
  <c r="Z601" i="7"/>
  <c r="Z617" i="7"/>
  <c r="Z633" i="7"/>
  <c r="Z649" i="7"/>
  <c r="Z665" i="7"/>
  <c r="Z681" i="7"/>
  <c r="Z697" i="7"/>
  <c r="Z713" i="7"/>
  <c r="Z729" i="7"/>
  <c r="Z745" i="7"/>
  <c r="Z761" i="7"/>
  <c r="Z777" i="7"/>
  <c r="Z793" i="7"/>
  <c r="Z809" i="7"/>
  <c r="Z825" i="7"/>
  <c r="Z841" i="7"/>
  <c r="Z857" i="7"/>
  <c r="Z873" i="7"/>
  <c r="Z889" i="7"/>
  <c r="Z905" i="7"/>
  <c r="Z921" i="7"/>
  <c r="Z937" i="7"/>
  <c r="Z953" i="7"/>
  <c r="Z969" i="7"/>
  <c r="Z985" i="7"/>
  <c r="Z9" i="7"/>
  <c r="Z73" i="7"/>
  <c r="Z137" i="7"/>
  <c r="Z201" i="7"/>
  <c r="Z265" i="7"/>
  <c r="Z329" i="7"/>
  <c r="Z393" i="7"/>
  <c r="Z457" i="7"/>
  <c r="Z504" i="7"/>
  <c r="Z522" i="7"/>
  <c r="Z538" i="7"/>
  <c r="Z554" i="7"/>
  <c r="Z570" i="7"/>
  <c r="Z586" i="7"/>
  <c r="Z602" i="7"/>
  <c r="Z618" i="7"/>
  <c r="Z634" i="7"/>
  <c r="Z650" i="7"/>
  <c r="Z666" i="7"/>
  <c r="Z682" i="7"/>
  <c r="Z698" i="7"/>
  <c r="Z714" i="7"/>
  <c r="Z730" i="7"/>
  <c r="Z746" i="7"/>
  <c r="Z762" i="7"/>
  <c r="Z45" i="7"/>
  <c r="Z173" i="7"/>
  <c r="Z301" i="7"/>
  <c r="Z429" i="7"/>
  <c r="Z515" i="7"/>
  <c r="Z547" i="7"/>
  <c r="Z579" i="7"/>
  <c r="Z611" i="7"/>
  <c r="Z643" i="7"/>
  <c r="Z675" i="7"/>
  <c r="Z707" i="7"/>
  <c r="Z739" i="7"/>
  <c r="Z771" i="7"/>
  <c r="Z792" i="7"/>
  <c r="Z814" i="7"/>
  <c r="Z835" i="7"/>
  <c r="Z856" i="7"/>
  <c r="Z878" i="7"/>
  <c r="Z899" i="7"/>
  <c r="Z920" i="7"/>
  <c r="Z942" i="7"/>
  <c r="Z963" i="7"/>
  <c r="Z984" i="7"/>
  <c r="Z17" i="7"/>
  <c r="Z145" i="7"/>
  <c r="Z273" i="7"/>
  <c r="Z401" i="7"/>
  <c r="Z508" i="7"/>
  <c r="Z540" i="7"/>
  <c r="Z572" i="7"/>
  <c r="Z604" i="7"/>
  <c r="Z636" i="7"/>
  <c r="Z668" i="7"/>
  <c r="Z700" i="7"/>
  <c r="Z732" i="7"/>
  <c r="Z764" i="7"/>
  <c r="Z788" i="7"/>
  <c r="Z810" i="7"/>
  <c r="Z831" i="7"/>
  <c r="Z852" i="7"/>
  <c r="Z874" i="7"/>
  <c r="Z895" i="7"/>
  <c r="Z916" i="7"/>
  <c r="Z938" i="7"/>
  <c r="Z959" i="7"/>
  <c r="Z980" i="7"/>
  <c r="Z29" i="7"/>
  <c r="Z157" i="7"/>
  <c r="Z285" i="7"/>
  <c r="Z413" i="7"/>
  <c r="Z511" i="7"/>
  <c r="Z543" i="7"/>
  <c r="Z575" i="7"/>
  <c r="Z607" i="7"/>
  <c r="Z639" i="7"/>
  <c r="Z671" i="7"/>
  <c r="Z703" i="7"/>
  <c r="Z735" i="7"/>
  <c r="Z767" i="7"/>
  <c r="Z790" i="7"/>
  <c r="Z811" i="7"/>
  <c r="Z832" i="7"/>
  <c r="Z854" i="7"/>
  <c r="Z875" i="7"/>
  <c r="Z896" i="7"/>
  <c r="Z918" i="7"/>
  <c r="Z939" i="7"/>
  <c r="Z960" i="7"/>
  <c r="Z982" i="7"/>
  <c r="Z33" i="7"/>
  <c r="Z161" i="7"/>
  <c r="Z289" i="7"/>
  <c r="Z417" i="7"/>
  <c r="Z512" i="7"/>
  <c r="Z544" i="7"/>
  <c r="Z576" i="7"/>
  <c r="Z608" i="7"/>
  <c r="Z640" i="7"/>
  <c r="Z672" i="7"/>
  <c r="Z704" i="7"/>
  <c r="Z736" i="7"/>
  <c r="Z768" i="7"/>
  <c r="Z791" i="7"/>
  <c r="Z812" i="7"/>
  <c r="Z834" i="7"/>
  <c r="Z855" i="7"/>
  <c r="Z876" i="7"/>
  <c r="Z898" i="7"/>
  <c r="Z919" i="7"/>
  <c r="Z940" i="7"/>
  <c r="Z962" i="7"/>
  <c r="Z983" i="7"/>
  <c r="Y2" i="7"/>
  <c r="Y18" i="7"/>
  <c r="Y34" i="7"/>
  <c r="Y50" i="7"/>
  <c r="Y66" i="7"/>
  <c r="Y82" i="7"/>
  <c r="Y98" i="7"/>
  <c r="Y114" i="7"/>
  <c r="Y130" i="7"/>
  <c r="Y146" i="7"/>
  <c r="Y162" i="7"/>
  <c r="Y178" i="7"/>
  <c r="Y194" i="7"/>
  <c r="Y210" i="7"/>
  <c r="Y226" i="7"/>
  <c r="Y242" i="7"/>
  <c r="Y258" i="7"/>
  <c r="Y274" i="7"/>
  <c r="Y290" i="7"/>
  <c r="Y306" i="7"/>
  <c r="Y322" i="7"/>
  <c r="Y338" i="7"/>
  <c r="Y354" i="7"/>
  <c r="Y370" i="7"/>
  <c r="Y386" i="7"/>
  <c r="Y402" i="7"/>
  <c r="Y418" i="7"/>
  <c r="Y434" i="7"/>
  <c r="Y450" i="7"/>
  <c r="Y466" i="7"/>
  <c r="Y482" i="7"/>
  <c r="Y498" i="7"/>
  <c r="Y7" i="7"/>
  <c r="Y23" i="7"/>
  <c r="Y39" i="7"/>
  <c r="Y55" i="7"/>
  <c r="Y71" i="7"/>
  <c r="Y87" i="7"/>
  <c r="Y103" i="7"/>
  <c r="Y119" i="7"/>
  <c r="Y135" i="7"/>
  <c r="Y151" i="7"/>
  <c r="Y167" i="7"/>
  <c r="Y183" i="7"/>
  <c r="Y199" i="7"/>
  <c r="Y215" i="7"/>
  <c r="Y231" i="7"/>
  <c r="Y247" i="7"/>
  <c r="Y263" i="7"/>
  <c r="Y279" i="7"/>
  <c r="Y295" i="7"/>
  <c r="Y311" i="7"/>
  <c r="Y327" i="7"/>
  <c r="Y343" i="7"/>
  <c r="Y359" i="7"/>
  <c r="Y375" i="7"/>
  <c r="Y391" i="7"/>
  <c r="Y407" i="7"/>
  <c r="Y423" i="7"/>
  <c r="Y439" i="7"/>
  <c r="Y455" i="7"/>
  <c r="Y471" i="7"/>
  <c r="Y487" i="7"/>
  <c r="Y503" i="7"/>
  <c r="Y20" i="7"/>
  <c r="Y52" i="7"/>
  <c r="Y84" i="7"/>
  <c r="Y116" i="7"/>
  <c r="Y148" i="7"/>
  <c r="Y180" i="7"/>
  <c r="Y212" i="7"/>
  <c r="Y244" i="7"/>
  <c r="Y276" i="7"/>
  <c r="Y308" i="7"/>
  <c r="Y340" i="7"/>
  <c r="Y372" i="7"/>
  <c r="Y404" i="7"/>
  <c r="Y436" i="7"/>
  <c r="Y468" i="7"/>
  <c r="Y500" i="7"/>
  <c r="Y520" i="7"/>
  <c r="Y536" i="7"/>
  <c r="Y552" i="7"/>
  <c r="Y568" i="7"/>
  <c r="Y21" i="7"/>
  <c r="Y53" i="7"/>
  <c r="Y85" i="7"/>
  <c r="Y117" i="7"/>
  <c r="Y149" i="7"/>
  <c r="Y181" i="7"/>
  <c r="Y213" i="7"/>
  <c r="Y245" i="7"/>
  <c r="Y277" i="7"/>
  <c r="Y309" i="7"/>
  <c r="Y341" i="7"/>
  <c r="Y373" i="7"/>
  <c r="Y405" i="7"/>
  <c r="Y437" i="7"/>
  <c r="AD236" i="7"/>
  <c r="AD575" i="7"/>
  <c r="AC223" i="7"/>
  <c r="AC992" i="7"/>
  <c r="AC651" i="7"/>
  <c r="AC993" i="7"/>
  <c r="AC679" i="7"/>
  <c r="AC304" i="7"/>
  <c r="AC81" i="7"/>
  <c r="AC954" i="7"/>
  <c r="AC65" i="7"/>
  <c r="AB62" i="7"/>
  <c r="AB318" i="7"/>
  <c r="AB67" i="7"/>
  <c r="AB323" i="7"/>
  <c r="AB475" i="7"/>
  <c r="AB108" i="7"/>
  <c r="AB220" i="7"/>
  <c r="AB284" i="7"/>
  <c r="AB348" i="7"/>
  <c r="AB412" i="7"/>
  <c r="AB476" i="7"/>
  <c r="AB117" i="7"/>
  <c r="AB373" i="7"/>
  <c r="AB536" i="7"/>
  <c r="AB600" i="7"/>
  <c r="AB664" i="7"/>
  <c r="AB728" i="7"/>
  <c r="AB792" i="7"/>
  <c r="AB856" i="7"/>
  <c r="AB920" i="7"/>
  <c r="AB984" i="7"/>
  <c r="AB233" i="7"/>
  <c r="AB489" i="7"/>
  <c r="AB565" i="7"/>
  <c r="AB629" i="7"/>
  <c r="AB693" i="7"/>
  <c r="AB757" i="7"/>
  <c r="AB821" i="7"/>
  <c r="AB885" i="7"/>
  <c r="AB493" i="7"/>
  <c r="AB630" i="7"/>
  <c r="AB758" i="7"/>
  <c r="AB886" i="7"/>
  <c r="AB971" i="7"/>
  <c r="AB522" i="7"/>
  <c r="AB786" i="7"/>
  <c r="AB985" i="7"/>
  <c r="AB619" i="7"/>
  <c r="AB867" i="7"/>
  <c r="AB145" i="7"/>
  <c r="AB543" i="7"/>
  <c r="AB671" i="7"/>
  <c r="AB799" i="7"/>
  <c r="AB914" i="7"/>
  <c r="AB997" i="7"/>
  <c r="AB642" i="7"/>
  <c r="AB889" i="7"/>
  <c r="AB385" i="7"/>
  <c r="AB723" i="7"/>
  <c r="AB954" i="7"/>
  <c r="AA42" i="7"/>
  <c r="AA106" i="7"/>
  <c r="AA170" i="7"/>
  <c r="AA234" i="7"/>
  <c r="AA298" i="7"/>
  <c r="AA362" i="7"/>
  <c r="AA426" i="7"/>
  <c r="AA490" i="7"/>
  <c r="AA47" i="7"/>
  <c r="AA111" i="7"/>
  <c r="AA175" i="7"/>
  <c r="AA239" i="7"/>
  <c r="AA303" i="7"/>
  <c r="AA367" i="7"/>
  <c r="AA431" i="7"/>
  <c r="AA495" i="7"/>
  <c r="AA100" i="7"/>
  <c r="AA228" i="7"/>
  <c r="AA356" i="7"/>
  <c r="AA476" i="7"/>
  <c r="AA524" i="7"/>
  <c r="AA556" i="7"/>
  <c r="AA588" i="7"/>
  <c r="AA620" i="7"/>
  <c r="AA652" i="7"/>
  <c r="AA684" i="7"/>
  <c r="AA716" i="7"/>
  <c r="AA748" i="7"/>
  <c r="AA48" i="7"/>
  <c r="AA133" i="7"/>
  <c r="AA217" i="7"/>
  <c r="AA304" i="7"/>
  <c r="AA389" i="7"/>
  <c r="AA473" i="7"/>
  <c r="AA534" i="7"/>
  <c r="AA577" i="7"/>
  <c r="AA619" i="7"/>
  <c r="AA662" i="7"/>
  <c r="AA705" i="7"/>
  <c r="AA747" i="7"/>
  <c r="AA783" i="7"/>
  <c r="AA815" i="7"/>
  <c r="AA847" i="7"/>
  <c r="AA879" i="7"/>
  <c r="AA911" i="7"/>
  <c r="AA943" i="7"/>
  <c r="AA975" i="7"/>
  <c r="AA17" i="7"/>
  <c r="AA104" i="7"/>
  <c r="AA189" i="7"/>
  <c r="AA273" i="7"/>
  <c r="AA360" i="7"/>
  <c r="AA445" i="7"/>
  <c r="AA519" i="7"/>
  <c r="AA562" i="7"/>
  <c r="AA605" i="7"/>
  <c r="AA647" i="7"/>
  <c r="AA690" i="7"/>
  <c r="AA733" i="7"/>
  <c r="AA772" i="7"/>
  <c r="AA117" i="7"/>
  <c r="AA288" i="7"/>
  <c r="AA457" i="7"/>
  <c r="AA569" i="7"/>
  <c r="AA654" i="7"/>
  <c r="AA739" i="7"/>
  <c r="AA800" i="7"/>
  <c r="AA842" i="7"/>
  <c r="AA885" i="7"/>
  <c r="AA928" i="7"/>
  <c r="AA970" i="7"/>
  <c r="AA56" i="7"/>
  <c r="AA225" i="7"/>
  <c r="AA397" i="7"/>
  <c r="AA538" i="7"/>
  <c r="AA623" i="7"/>
  <c r="AA709" i="7"/>
  <c r="AA785" i="7"/>
  <c r="AA828" i="7"/>
  <c r="AA870" i="7"/>
  <c r="AA913" i="7"/>
  <c r="AA956" i="7"/>
  <c r="AA998" i="7"/>
  <c r="AA169" i="7"/>
  <c r="AA341" i="7"/>
  <c r="AA510" i="7"/>
  <c r="AA595" i="7"/>
  <c r="AA681" i="7"/>
  <c r="AA765" i="7"/>
  <c r="AA813" i="7"/>
  <c r="AA856" i="7"/>
  <c r="AA898" i="7"/>
  <c r="AA941" i="7"/>
  <c r="AA984" i="7"/>
  <c r="AA109" i="7"/>
  <c r="AA280" i="7"/>
  <c r="AA449" i="7"/>
  <c r="AA565" i="7"/>
  <c r="AA650" i="7"/>
  <c r="AA735" i="7"/>
  <c r="AA793" i="7"/>
  <c r="AA820" i="7"/>
  <c r="AA846" i="7"/>
  <c r="AA878" i="7"/>
  <c r="AA905" i="7"/>
  <c r="AA932" i="7"/>
  <c r="AA964" i="7"/>
  <c r="AA990" i="7"/>
  <c r="Z14" i="7"/>
  <c r="Z38" i="7"/>
  <c r="Z58" i="7"/>
  <c r="Z78" i="7"/>
  <c r="Z102" i="7"/>
  <c r="Z122" i="7"/>
  <c r="Z142" i="7"/>
  <c r="Z166" i="7"/>
  <c r="Z186" i="7"/>
  <c r="Z206" i="7"/>
  <c r="Z230" i="7"/>
  <c r="Z250" i="7"/>
  <c r="Z270" i="7"/>
  <c r="Z290" i="7"/>
  <c r="Z306" i="7"/>
  <c r="Z322" i="7"/>
  <c r="Z338" i="7"/>
  <c r="Z354" i="7"/>
  <c r="Z370" i="7"/>
  <c r="Z386" i="7"/>
  <c r="Z402" i="7"/>
  <c r="Z418" i="7"/>
  <c r="Z434" i="7"/>
  <c r="Z450" i="7"/>
  <c r="Z466" i="7"/>
  <c r="Z482" i="7"/>
  <c r="Z498" i="7"/>
  <c r="Z7" i="7"/>
  <c r="Z23" i="7"/>
  <c r="Z39" i="7"/>
  <c r="Z55" i="7"/>
  <c r="Z71" i="7"/>
  <c r="Z87" i="7"/>
  <c r="Z103" i="7"/>
  <c r="Z119" i="7"/>
  <c r="Z135" i="7"/>
  <c r="Z151" i="7"/>
  <c r="Z167" i="7"/>
  <c r="Z183" i="7"/>
  <c r="Z199" i="7"/>
  <c r="Z215" i="7"/>
  <c r="Z231" i="7"/>
  <c r="Z247" i="7"/>
  <c r="Z263" i="7"/>
  <c r="Z279" i="7"/>
  <c r="Z295" i="7"/>
  <c r="Z311" i="7"/>
  <c r="Z327" i="7"/>
  <c r="Z343" i="7"/>
  <c r="Z359" i="7"/>
  <c r="Z375" i="7"/>
  <c r="Z391" i="7"/>
  <c r="Z407" i="7"/>
  <c r="Z423" i="7"/>
  <c r="Z439" i="7"/>
  <c r="Z455" i="7"/>
  <c r="Z471" i="7"/>
  <c r="Z487" i="7"/>
  <c r="Z503" i="7"/>
  <c r="Z12" i="7"/>
  <c r="Z28" i="7"/>
  <c r="Z44" i="7"/>
  <c r="Z60" i="7"/>
  <c r="Z76" i="7"/>
  <c r="Z92" i="7"/>
  <c r="Z108" i="7"/>
  <c r="Z124" i="7"/>
  <c r="Z140" i="7"/>
  <c r="Z156" i="7"/>
  <c r="Z172" i="7"/>
  <c r="Z188" i="7"/>
  <c r="Z204" i="7"/>
  <c r="Z220" i="7"/>
  <c r="Z236" i="7"/>
  <c r="Z252" i="7"/>
  <c r="Z268" i="7"/>
  <c r="Z284" i="7"/>
  <c r="Z300" i="7"/>
  <c r="Z316" i="7"/>
  <c r="Z332" i="7"/>
  <c r="Z348" i="7"/>
  <c r="Z364" i="7"/>
  <c r="Z380" i="7"/>
  <c r="Z396" i="7"/>
  <c r="Z412" i="7"/>
  <c r="Z428" i="7"/>
  <c r="Z444" i="7"/>
  <c r="Z460" i="7"/>
  <c r="Z476" i="7"/>
  <c r="Z21" i="7"/>
  <c r="Z85" i="7"/>
  <c r="Z149" i="7"/>
  <c r="Z213" i="7"/>
  <c r="Z277" i="7"/>
  <c r="Z341" i="7"/>
  <c r="Z405" i="7"/>
  <c r="Z469" i="7"/>
  <c r="Z509" i="7"/>
  <c r="Z525" i="7"/>
  <c r="Z541" i="7"/>
  <c r="Z557" i="7"/>
  <c r="Z573" i="7"/>
  <c r="Z589" i="7"/>
  <c r="Z605" i="7"/>
  <c r="Z621" i="7"/>
  <c r="Z637" i="7"/>
  <c r="Z653" i="7"/>
  <c r="Z669" i="7"/>
  <c r="Z685" i="7"/>
  <c r="Z701" i="7"/>
  <c r="Z717" i="7"/>
  <c r="Z733" i="7"/>
  <c r="Z749" i="7"/>
  <c r="Z765" i="7"/>
  <c r="Z781" i="7"/>
  <c r="Z797" i="7"/>
  <c r="Z813" i="7"/>
  <c r="Z829" i="7"/>
  <c r="Z845" i="7"/>
  <c r="Z861" i="7"/>
  <c r="Z877" i="7"/>
  <c r="Z893" i="7"/>
  <c r="Z909" i="7"/>
  <c r="Z925" i="7"/>
  <c r="Z941" i="7"/>
  <c r="Z957" i="7"/>
  <c r="Z973" i="7"/>
  <c r="Z989" i="7"/>
  <c r="Z25" i="7"/>
  <c r="Z89" i="7"/>
  <c r="Z153" i="7"/>
  <c r="Z217" i="7"/>
  <c r="Z281" i="7"/>
  <c r="Z345" i="7"/>
  <c r="Z409" i="7"/>
  <c r="Z473" i="7"/>
  <c r="Z510" i="7"/>
  <c r="Z526" i="7"/>
  <c r="Z542" i="7"/>
  <c r="Z558" i="7"/>
  <c r="Z574" i="7"/>
  <c r="Z590" i="7"/>
  <c r="Z606" i="7"/>
  <c r="Z622" i="7"/>
  <c r="Z638" i="7"/>
  <c r="Z654" i="7"/>
  <c r="Z670" i="7"/>
  <c r="Z686" i="7"/>
  <c r="Z702" i="7"/>
  <c r="Z718" i="7"/>
  <c r="Z734" i="7"/>
  <c r="Z750" i="7"/>
  <c r="Z766" i="7"/>
  <c r="Z77" i="7"/>
  <c r="Z205" i="7"/>
  <c r="Z333" i="7"/>
  <c r="Z461" i="7"/>
  <c r="Z523" i="7"/>
  <c r="Z555" i="7"/>
  <c r="Z587" i="7"/>
  <c r="Z619" i="7"/>
  <c r="Z651" i="7"/>
  <c r="Z683" i="7"/>
  <c r="Z715" i="7"/>
  <c r="Z747" i="7"/>
  <c r="Z776" i="7"/>
  <c r="Z798" i="7"/>
  <c r="Z819" i="7"/>
  <c r="Z840" i="7"/>
  <c r="Z862" i="7"/>
  <c r="Z883" i="7"/>
  <c r="Z904" i="7"/>
  <c r="Z926" i="7"/>
  <c r="Z947" i="7"/>
  <c r="Z968" i="7"/>
  <c r="Z990" i="7"/>
  <c r="Z49" i="7"/>
  <c r="Z177" i="7"/>
  <c r="Z305" i="7"/>
  <c r="Z433" i="7"/>
  <c r="Z516" i="7"/>
  <c r="Z548" i="7"/>
  <c r="Z580" i="7"/>
  <c r="Z612" i="7"/>
  <c r="Z644" i="7"/>
  <c r="Z676" i="7"/>
  <c r="Z708" i="7"/>
  <c r="Z740" i="7"/>
  <c r="Z772" i="7"/>
  <c r="Z794" i="7"/>
  <c r="Z815" i="7"/>
  <c r="Z836" i="7"/>
  <c r="Z858" i="7"/>
  <c r="Z879" i="7"/>
  <c r="Z900" i="7"/>
  <c r="Z922" i="7"/>
  <c r="Z943" i="7"/>
  <c r="Z964" i="7"/>
  <c r="Z986" i="7"/>
  <c r="Z61" i="7"/>
  <c r="Z189" i="7"/>
  <c r="Z317" i="7"/>
  <c r="Z445" i="7"/>
  <c r="Z519" i="7"/>
  <c r="Z551" i="7"/>
  <c r="Z583" i="7"/>
  <c r="Z615" i="7"/>
  <c r="Z647" i="7"/>
  <c r="Z679" i="7"/>
  <c r="Z711" i="7"/>
  <c r="Z743" i="7"/>
  <c r="Z774" i="7"/>
  <c r="Z795" i="7"/>
  <c r="Z816" i="7"/>
  <c r="Z838" i="7"/>
  <c r="Z859" i="7"/>
  <c r="Z880" i="7"/>
  <c r="Z902" i="7"/>
  <c r="Z923" i="7"/>
  <c r="Z944" i="7"/>
  <c r="Z966" i="7"/>
  <c r="Z987" i="7"/>
  <c r="Z65" i="7"/>
  <c r="Z193" i="7"/>
  <c r="Z321" i="7"/>
  <c r="Z449" i="7"/>
  <c r="Z520" i="7"/>
  <c r="Z552" i="7"/>
  <c r="Z584" i="7"/>
  <c r="Z616" i="7"/>
  <c r="Z648" i="7"/>
  <c r="Z680" i="7"/>
  <c r="Z712" i="7"/>
  <c r="Z744" i="7"/>
  <c r="Z775" i="7"/>
  <c r="Z796" i="7"/>
  <c r="Z818" i="7"/>
  <c r="Z839" i="7"/>
  <c r="Z860" i="7"/>
  <c r="Z882" i="7"/>
  <c r="Z903" i="7"/>
  <c r="Z924" i="7"/>
  <c r="Z946" i="7"/>
  <c r="Z967" i="7"/>
  <c r="Z988" i="7"/>
  <c r="Y6" i="7"/>
  <c r="Y22" i="7"/>
  <c r="Y38" i="7"/>
  <c r="Y54" i="7"/>
  <c r="Y70" i="7"/>
  <c r="Y86" i="7"/>
  <c r="Y102" i="7"/>
  <c r="Y118" i="7"/>
  <c r="Y134" i="7"/>
  <c r="Y150" i="7"/>
  <c r="Y166" i="7"/>
  <c r="Y182" i="7"/>
  <c r="Y198" i="7"/>
  <c r="Y214" i="7"/>
  <c r="Y230" i="7"/>
  <c r="Y246" i="7"/>
  <c r="Y262" i="7"/>
  <c r="Y278" i="7"/>
  <c r="Y294" i="7"/>
  <c r="Y310" i="7"/>
  <c r="Y326" i="7"/>
  <c r="Y342" i="7"/>
  <c r="Y358" i="7"/>
  <c r="Y374" i="7"/>
  <c r="Y390" i="7"/>
  <c r="Y406" i="7"/>
  <c r="Y422" i="7"/>
  <c r="Y438" i="7"/>
  <c r="Y454" i="7"/>
  <c r="Y470" i="7"/>
  <c r="Y486" i="7"/>
  <c r="Y502" i="7"/>
  <c r="Y11" i="7"/>
  <c r="Y27" i="7"/>
  <c r="Y43" i="7"/>
  <c r="Y59" i="7"/>
  <c r="Y75" i="7"/>
  <c r="Y91" i="7"/>
  <c r="Y107" i="7"/>
  <c r="Y123" i="7"/>
  <c r="Y139" i="7"/>
  <c r="Y155" i="7"/>
  <c r="Y171" i="7"/>
  <c r="Y187" i="7"/>
  <c r="Y203" i="7"/>
  <c r="Y219" i="7"/>
  <c r="Y235" i="7"/>
  <c r="Y251" i="7"/>
  <c r="Y267" i="7"/>
  <c r="Y283" i="7"/>
  <c r="Y299" i="7"/>
  <c r="Y315" i="7"/>
  <c r="Y331" i="7"/>
  <c r="Y347" i="7"/>
  <c r="Y363" i="7"/>
  <c r="Y379" i="7"/>
  <c r="Y395" i="7"/>
  <c r="Y411" i="7"/>
  <c r="Y427" i="7"/>
  <c r="Y443" i="7"/>
  <c r="Y459" i="7"/>
  <c r="Y475" i="7"/>
  <c r="Y491" i="7"/>
  <c r="Y507" i="7"/>
  <c r="Y28" i="7"/>
  <c r="Y60" i="7"/>
  <c r="Y92" i="7"/>
  <c r="Y124" i="7"/>
  <c r="Y156" i="7"/>
  <c r="Y188" i="7"/>
  <c r="Y220" i="7"/>
  <c r="Y252" i="7"/>
  <c r="Y284" i="7"/>
  <c r="Y316" i="7"/>
  <c r="Y348" i="7"/>
  <c r="Y380" i="7"/>
  <c r="Y412" i="7"/>
  <c r="Y444" i="7"/>
  <c r="Y476" i="7"/>
  <c r="Y508" i="7"/>
  <c r="Y524" i="7"/>
  <c r="Y540" i="7"/>
  <c r="Y556" i="7"/>
  <c r="Y572" i="7"/>
  <c r="Y29" i="7"/>
  <c r="Y61" i="7"/>
  <c r="Y93" i="7"/>
  <c r="Y125" i="7"/>
  <c r="Y157" i="7"/>
  <c r="Y189" i="7"/>
  <c r="Y221" i="7"/>
  <c r="Y253" i="7"/>
  <c r="Y285" i="7"/>
  <c r="Y317" i="7"/>
  <c r="Y349" i="7"/>
  <c r="Y381" i="7"/>
  <c r="Y413" i="7"/>
  <c r="AD638" i="7"/>
  <c r="AD913" i="7"/>
  <c r="AC479" i="7"/>
  <c r="AC261" i="7"/>
  <c r="AC737" i="7"/>
  <c r="AC233" i="7"/>
  <c r="AC765" i="7"/>
  <c r="AC590" i="7"/>
  <c r="AC527" i="7"/>
  <c r="AC112" i="7"/>
  <c r="AC565" i="7"/>
  <c r="AB126" i="7"/>
  <c r="AB382" i="7"/>
  <c r="AB131" i="7"/>
  <c r="AB379" i="7"/>
  <c r="AB12" i="7"/>
  <c r="AB140" i="7"/>
  <c r="AB236" i="7"/>
  <c r="AB300" i="7"/>
  <c r="AB364" i="7"/>
  <c r="AB428" i="7"/>
  <c r="AB492" i="7"/>
  <c r="AB181" i="7"/>
  <c r="AB437" i="7"/>
  <c r="AB552" i="7"/>
  <c r="AB616" i="7"/>
  <c r="AB680" i="7"/>
  <c r="AB744" i="7"/>
  <c r="AB808" i="7"/>
  <c r="AB872" i="7"/>
  <c r="AB936" i="7"/>
  <c r="AB41" i="7"/>
  <c r="AB297" i="7"/>
  <c r="AB517" i="7"/>
  <c r="AB581" i="7"/>
  <c r="AB645" i="7"/>
  <c r="AB709" i="7"/>
  <c r="AB773" i="7"/>
  <c r="AB837" i="7"/>
  <c r="AB109" i="7"/>
  <c r="AB534" i="7"/>
  <c r="AB662" i="7"/>
  <c r="AB790" i="7"/>
  <c r="AB907" i="7"/>
  <c r="AB992" i="7"/>
  <c r="AB586" i="7"/>
  <c r="AB850" i="7"/>
  <c r="AB193" i="7"/>
  <c r="AB683" i="7"/>
  <c r="AB917" i="7"/>
  <c r="AB273" i="7"/>
  <c r="AB575" i="7"/>
  <c r="AB703" i="7"/>
  <c r="AB831" i="7"/>
  <c r="AB935" i="7"/>
  <c r="AB253" i="7"/>
  <c r="AB698" i="7"/>
  <c r="AB937" i="7"/>
  <c r="AB539" i="7"/>
  <c r="AB795" i="7"/>
  <c r="AB991" i="7"/>
  <c r="AA58" i="7"/>
  <c r="AA122" i="7"/>
  <c r="AA186" i="7"/>
  <c r="AA250" i="7"/>
  <c r="AA314" i="7"/>
  <c r="AA378" i="7"/>
  <c r="AA442" i="7"/>
  <c r="AA506" i="7"/>
  <c r="AA63" i="7"/>
  <c r="AA127" i="7"/>
  <c r="AA191" i="7"/>
  <c r="AA255" i="7"/>
  <c r="AA319" i="7"/>
  <c r="AA383" i="7"/>
  <c r="AA447" i="7"/>
  <c r="AA4" i="7"/>
  <c r="AA132" i="7"/>
  <c r="AA260" i="7"/>
  <c r="AA388" i="7"/>
  <c r="AA484" i="7"/>
  <c r="AA528" i="7"/>
  <c r="AA560" i="7"/>
  <c r="AA592" i="7"/>
  <c r="AA624" i="7"/>
  <c r="AA656" i="7"/>
  <c r="AA688" i="7"/>
  <c r="AA720" i="7"/>
  <c r="AA752" i="7"/>
  <c r="AA57" i="7"/>
  <c r="AA144" i="7"/>
  <c r="AA229" i="7"/>
  <c r="AA313" i="7"/>
  <c r="AA400" i="7"/>
  <c r="AA485" i="7"/>
  <c r="AA539" i="7"/>
  <c r="AA582" i="7"/>
  <c r="AA625" i="7"/>
  <c r="AA667" i="7"/>
  <c r="AA710" i="7"/>
  <c r="AA753" i="7"/>
  <c r="AA787" i="7"/>
  <c r="AA819" i="7"/>
  <c r="AA851" i="7"/>
  <c r="AA883" i="7"/>
  <c r="AA915" i="7"/>
  <c r="AA947" i="7"/>
  <c r="AA979" i="7"/>
  <c r="AA29" i="7"/>
  <c r="AA113" i="7"/>
  <c r="AA200" i="7"/>
  <c r="AA285" i="7"/>
  <c r="AA369" i="7"/>
  <c r="AA456" i="7"/>
  <c r="AA525" i="7"/>
  <c r="AA567" i="7"/>
  <c r="AA610" i="7"/>
  <c r="AA653" i="7"/>
  <c r="AA695" i="7"/>
  <c r="AA738" i="7"/>
  <c r="AA776" i="7"/>
  <c r="AA137" i="7"/>
  <c r="AA309" i="7"/>
  <c r="AA480" i="7"/>
  <c r="AA579" i="7"/>
  <c r="AA665" i="7"/>
  <c r="AA750" i="7"/>
  <c r="AA805" i="7"/>
  <c r="AA848" i="7"/>
  <c r="AA890" i="7"/>
  <c r="AA933" i="7"/>
  <c r="AA976" i="7"/>
  <c r="AA77" i="7"/>
  <c r="AA248" i="7"/>
  <c r="AA417" i="7"/>
  <c r="AA549" i="7"/>
  <c r="AA634" i="7"/>
  <c r="AA719" i="7"/>
  <c r="AA790" i="7"/>
  <c r="AA833" i="7"/>
  <c r="AA876" i="7"/>
  <c r="AA918" i="7"/>
  <c r="AA961" i="7"/>
  <c r="AA21" i="7"/>
  <c r="AA192" i="7"/>
  <c r="AA361" i="7"/>
  <c r="AA521" i="7"/>
  <c r="AA606" i="7"/>
  <c r="AA691" i="7"/>
  <c r="AA773" i="7"/>
  <c r="AA818" i="7"/>
  <c r="AA861" i="7"/>
  <c r="AA904" i="7"/>
  <c r="AA946" i="7"/>
  <c r="AA989" i="7"/>
  <c r="AA129" i="7"/>
  <c r="AA301" i="7"/>
  <c r="AA472" i="7"/>
  <c r="AA575" i="7"/>
  <c r="AA661" i="7"/>
  <c r="AA746" i="7"/>
  <c r="AA798" i="7"/>
  <c r="AA825" i="7"/>
  <c r="AA857" i="7"/>
  <c r="AA884" i="7"/>
  <c r="AA910" i="7"/>
  <c r="AA942" i="7"/>
  <c r="AA969" i="7"/>
  <c r="AA996" i="7"/>
  <c r="Z22" i="7"/>
  <c r="Z42" i="7"/>
  <c r="Z62" i="7"/>
  <c r="Z86" i="7"/>
  <c r="Z106" i="7"/>
  <c r="Z126" i="7"/>
  <c r="Z150" i="7"/>
  <c r="Z170" i="7"/>
  <c r="Z190" i="7"/>
  <c r="Z214" i="7"/>
  <c r="Z234" i="7"/>
  <c r="Z254" i="7"/>
  <c r="Z278" i="7"/>
  <c r="Z294" i="7"/>
  <c r="Z310" i="7"/>
  <c r="Z326" i="7"/>
  <c r="Z342" i="7"/>
  <c r="Z358" i="7"/>
  <c r="Z374" i="7"/>
  <c r="Z390" i="7"/>
  <c r="Z406" i="7"/>
  <c r="Z422" i="7"/>
  <c r="Z438" i="7"/>
  <c r="Z454" i="7"/>
  <c r="Z470" i="7"/>
  <c r="Z486" i="7"/>
  <c r="Z502" i="7"/>
  <c r="Z11" i="7"/>
  <c r="Z27" i="7"/>
  <c r="Z43" i="7"/>
  <c r="Z59" i="7"/>
  <c r="Z75" i="7"/>
  <c r="Z91" i="7"/>
  <c r="Z107" i="7"/>
  <c r="Z123" i="7"/>
  <c r="Z139" i="7"/>
  <c r="Z155" i="7"/>
  <c r="Z171" i="7"/>
  <c r="Z187" i="7"/>
  <c r="Z203" i="7"/>
  <c r="Z219" i="7"/>
  <c r="Z235" i="7"/>
  <c r="Z251" i="7"/>
  <c r="Z267" i="7"/>
  <c r="Z283" i="7"/>
  <c r="Z299" i="7"/>
  <c r="Z315" i="7"/>
  <c r="Z331" i="7"/>
  <c r="Z347" i="7"/>
  <c r="Z363" i="7"/>
  <c r="Z379" i="7"/>
  <c r="Z395" i="7"/>
  <c r="Z411" i="7"/>
  <c r="Z427" i="7"/>
  <c r="Z443" i="7"/>
  <c r="Z459" i="7"/>
  <c r="Z475" i="7"/>
  <c r="Z491" i="7"/>
  <c r="Z507" i="7"/>
  <c r="Z16" i="7"/>
  <c r="Z32" i="7"/>
  <c r="Z48" i="7"/>
  <c r="Z64" i="7"/>
  <c r="Z80" i="7"/>
  <c r="Z96" i="7"/>
  <c r="Z112" i="7"/>
  <c r="Z128" i="7"/>
  <c r="Z144" i="7"/>
  <c r="Z160" i="7"/>
  <c r="Z176" i="7"/>
  <c r="Z192" i="7"/>
  <c r="Z208" i="7"/>
  <c r="Z224" i="7"/>
  <c r="Z240" i="7"/>
  <c r="Z256" i="7"/>
  <c r="Z272" i="7"/>
  <c r="Z288" i="7"/>
  <c r="Z304" i="7"/>
  <c r="Z320" i="7"/>
  <c r="Z336" i="7"/>
  <c r="Z352" i="7"/>
  <c r="Z368" i="7"/>
  <c r="Z384" i="7"/>
  <c r="Z400" i="7"/>
  <c r="Z416" i="7"/>
  <c r="Z432" i="7"/>
  <c r="Z448" i="7"/>
  <c r="Z464" i="7"/>
  <c r="Z480" i="7"/>
  <c r="Z37" i="7"/>
  <c r="Z101" i="7"/>
  <c r="Z165" i="7"/>
  <c r="Z229" i="7"/>
  <c r="Z293" i="7"/>
  <c r="Z357" i="7"/>
  <c r="Z421" i="7"/>
  <c r="Z485" i="7"/>
  <c r="Z513" i="7"/>
  <c r="Z529" i="7"/>
  <c r="Z545" i="7"/>
  <c r="Z561" i="7"/>
  <c r="Z577" i="7"/>
  <c r="Z593" i="7"/>
  <c r="Z609" i="7"/>
  <c r="Z625" i="7"/>
  <c r="Z641" i="7"/>
  <c r="Z657" i="7"/>
  <c r="Z673" i="7"/>
  <c r="Z689" i="7"/>
  <c r="Z705" i="7"/>
  <c r="Z721" i="7"/>
  <c r="Z737" i="7"/>
  <c r="Z753" i="7"/>
  <c r="Z769" i="7"/>
  <c r="Z785" i="7"/>
  <c r="Z801" i="7"/>
  <c r="Z817" i="7"/>
  <c r="Z833" i="7"/>
  <c r="Z849" i="7"/>
  <c r="Z865" i="7"/>
  <c r="Z881" i="7"/>
  <c r="Z897" i="7"/>
  <c r="Z913" i="7"/>
  <c r="Z929" i="7"/>
  <c r="Z945" i="7"/>
  <c r="Z961" i="7"/>
  <c r="Z977" i="7"/>
  <c r="Z993" i="7"/>
  <c r="Z41" i="7"/>
  <c r="Z105" i="7"/>
  <c r="Z169" i="7"/>
  <c r="Z233" i="7"/>
  <c r="Z297" i="7"/>
  <c r="Z361" i="7"/>
  <c r="Z425" i="7"/>
  <c r="Z488" i="7"/>
  <c r="Z514" i="7"/>
  <c r="Z530" i="7"/>
  <c r="Z546" i="7"/>
  <c r="Z562" i="7"/>
  <c r="Z578" i="7"/>
  <c r="Z594" i="7"/>
  <c r="Z610" i="7"/>
  <c r="Z626" i="7"/>
  <c r="Z642" i="7"/>
  <c r="Z658" i="7"/>
  <c r="Z674" i="7"/>
  <c r="Z690" i="7"/>
  <c r="Z706" i="7"/>
  <c r="Z722" i="7"/>
  <c r="Z738" i="7"/>
  <c r="Z754" i="7"/>
  <c r="Z770" i="7"/>
  <c r="Z109" i="7"/>
  <c r="Z237" i="7"/>
  <c r="Z365" i="7"/>
  <c r="Z489" i="7"/>
  <c r="Z531" i="7"/>
  <c r="Z563" i="7"/>
  <c r="Z595" i="7"/>
  <c r="Z627" i="7"/>
  <c r="Z659" i="7"/>
  <c r="Z691" i="7"/>
  <c r="Z723" i="7"/>
  <c r="Z755" i="7"/>
  <c r="Z782" i="7"/>
  <c r="Z803" i="7"/>
  <c r="Z824" i="7"/>
  <c r="Z846" i="7"/>
  <c r="Z867" i="7"/>
  <c r="Z888" i="7"/>
  <c r="Z910" i="7"/>
  <c r="Z931" i="7"/>
  <c r="Z952" i="7"/>
  <c r="Z974" i="7"/>
  <c r="Z995" i="7"/>
  <c r="Z81" i="7"/>
  <c r="Z209" i="7"/>
  <c r="Z337" i="7"/>
  <c r="Z465" i="7"/>
  <c r="Z524" i="7"/>
  <c r="Z556" i="7"/>
  <c r="Z588" i="7"/>
  <c r="Z620" i="7"/>
  <c r="Z652" i="7"/>
  <c r="Z684" i="7"/>
  <c r="Z716" i="7"/>
  <c r="Z748" i="7"/>
  <c r="Z778" i="7"/>
  <c r="Z799" i="7"/>
  <c r="Z820" i="7"/>
  <c r="Z842" i="7"/>
  <c r="Z863" i="7"/>
  <c r="Z884" i="7"/>
  <c r="Z906" i="7"/>
  <c r="Z927" i="7"/>
  <c r="Z948" i="7"/>
  <c r="Z970" i="7"/>
  <c r="Z991" i="7"/>
  <c r="Z93" i="7"/>
  <c r="Z221" i="7"/>
  <c r="Z349" i="7"/>
  <c r="Z477" i="7"/>
  <c r="Z527" i="7"/>
  <c r="Z559" i="7"/>
  <c r="Z591" i="7"/>
  <c r="Z623" i="7"/>
  <c r="Z655" i="7"/>
  <c r="Z687" i="7"/>
  <c r="Z719" i="7"/>
  <c r="Z751" i="7"/>
  <c r="Z779" i="7"/>
  <c r="Z800" i="7"/>
  <c r="Z822" i="7"/>
  <c r="Z843" i="7"/>
  <c r="Z864" i="7"/>
  <c r="Z886" i="7"/>
  <c r="Z907" i="7"/>
  <c r="Z928" i="7"/>
  <c r="Z950" i="7"/>
  <c r="Z971" i="7"/>
  <c r="Z992" i="7"/>
  <c r="Z97" i="7"/>
  <c r="Z225" i="7"/>
  <c r="Z353" i="7"/>
  <c r="Z481" i="7"/>
  <c r="Z528" i="7"/>
  <c r="Z560" i="7"/>
  <c r="Z592" i="7"/>
  <c r="Z624" i="7"/>
  <c r="Z656" i="7"/>
  <c r="Z688" i="7"/>
  <c r="Z720" i="7"/>
  <c r="Z752" i="7"/>
  <c r="Z780" i="7"/>
  <c r="Z802" i="7"/>
  <c r="Z823" i="7"/>
  <c r="Z844" i="7"/>
  <c r="Z866" i="7"/>
  <c r="Z887" i="7"/>
  <c r="Z908" i="7"/>
  <c r="Z930" i="7"/>
  <c r="Z951" i="7"/>
  <c r="Z972" i="7"/>
  <c r="Z994" i="7"/>
  <c r="Y10" i="7"/>
  <c r="Y26" i="7"/>
  <c r="Y42" i="7"/>
  <c r="Y58" i="7"/>
  <c r="Y74" i="7"/>
  <c r="Y90" i="7"/>
  <c r="Y106" i="7"/>
  <c r="Y122" i="7"/>
  <c r="Y138" i="7"/>
  <c r="Y154" i="7"/>
  <c r="Y170" i="7"/>
  <c r="Y186" i="7"/>
  <c r="Y202" i="7"/>
  <c r="Y218" i="7"/>
  <c r="Y234" i="7"/>
  <c r="Y250" i="7"/>
  <c r="Y266" i="7"/>
  <c r="Y282" i="7"/>
  <c r="Y298" i="7"/>
  <c r="Y314" i="7"/>
  <c r="Y330" i="7"/>
  <c r="Y346" i="7"/>
  <c r="Y362" i="7"/>
  <c r="Y378" i="7"/>
  <c r="Y394" i="7"/>
  <c r="Y410" i="7"/>
  <c r="Y426" i="7"/>
  <c r="Y442" i="7"/>
  <c r="Y458" i="7"/>
  <c r="Y474" i="7"/>
  <c r="Y490" i="7"/>
  <c r="Y506" i="7"/>
  <c r="Y15" i="7"/>
  <c r="Y31" i="7"/>
  <c r="Y47" i="7"/>
  <c r="Y63" i="7"/>
  <c r="Y79" i="7"/>
  <c r="Y95" i="7"/>
  <c r="Y111" i="7"/>
  <c r="Y127" i="7"/>
  <c r="Y143" i="7"/>
  <c r="Y159" i="7"/>
  <c r="Y175" i="7"/>
  <c r="Y191" i="7"/>
  <c r="Y207" i="7"/>
  <c r="Y223" i="7"/>
  <c r="Y239" i="7"/>
  <c r="Y255" i="7"/>
  <c r="Y271" i="7"/>
  <c r="Y287" i="7"/>
  <c r="Y303" i="7"/>
  <c r="Y319" i="7"/>
  <c r="AD923" i="7"/>
  <c r="AC822" i="7"/>
  <c r="AC671" i="7"/>
  <c r="AB446" i="7"/>
  <c r="AB172" i="7"/>
  <c r="AB444" i="7"/>
  <c r="AB568" i="7"/>
  <c r="AB824" i="7"/>
  <c r="AB361" i="7"/>
  <c r="AB725" i="7"/>
  <c r="AB566" i="7"/>
  <c r="AB125" i="7"/>
  <c r="AB747" i="7"/>
  <c r="AB735" i="7"/>
  <c r="AB762" i="7"/>
  <c r="AA10" i="7"/>
  <c r="AA266" i="7"/>
  <c r="AA15" i="7"/>
  <c r="AA271" i="7"/>
  <c r="AA36" i="7"/>
  <c r="AA508" i="7"/>
  <c r="AA636" i="7"/>
  <c r="AA5" i="7"/>
  <c r="AA345" i="7"/>
  <c r="AA598" i="7"/>
  <c r="AA767" i="7"/>
  <c r="AA895" i="7"/>
  <c r="AA61" i="7"/>
  <c r="AA401" i="7"/>
  <c r="AA626" i="7"/>
  <c r="AA32" i="7"/>
  <c r="AA611" i="7"/>
  <c r="AA864" i="7"/>
  <c r="AA141" i="7"/>
  <c r="AA666" i="7"/>
  <c r="AA892" i="7"/>
  <c r="AA256" i="7"/>
  <c r="AA723" i="7"/>
  <c r="AA920" i="7"/>
  <c r="AA365" i="7"/>
  <c r="AA774" i="7"/>
  <c r="AA889" i="7"/>
  <c r="Z6" i="7"/>
  <c r="Z90" i="7"/>
  <c r="Z174" i="7"/>
  <c r="Z262" i="7"/>
  <c r="Z330" i="7"/>
  <c r="Z394" i="7"/>
  <c r="Z458" i="7"/>
  <c r="Z15" i="7"/>
  <c r="Z79" i="7"/>
  <c r="Z143" i="7"/>
  <c r="Z207" i="7"/>
  <c r="Z271" i="7"/>
  <c r="Z335" i="7"/>
  <c r="Z399" i="7"/>
  <c r="Z463" i="7"/>
  <c r="Z20" i="7"/>
  <c r="Z84" i="7"/>
  <c r="Z148" i="7"/>
  <c r="Z212" i="7"/>
  <c r="Z276" i="7"/>
  <c r="Z340" i="7"/>
  <c r="Z404" i="7"/>
  <c r="Z468" i="7"/>
  <c r="Z181" i="7"/>
  <c r="Z437" i="7"/>
  <c r="Z549" i="7"/>
  <c r="Z613" i="7"/>
  <c r="Z677" i="7"/>
  <c r="Z741" i="7"/>
  <c r="Z805" i="7"/>
  <c r="Z869" i="7"/>
  <c r="Z933" i="7"/>
  <c r="Z997" i="7"/>
  <c r="Z249" i="7"/>
  <c r="Z496" i="7"/>
  <c r="Z566" i="7"/>
  <c r="Z630" i="7"/>
  <c r="Z694" i="7"/>
  <c r="Z758" i="7"/>
  <c r="Z397" i="7"/>
  <c r="Z603" i="7"/>
  <c r="Z731" i="7"/>
  <c r="Z830" i="7"/>
  <c r="Z915" i="7"/>
  <c r="Z1000" i="7"/>
  <c r="Z492" i="7"/>
  <c r="Z628" i="7"/>
  <c r="Z756" i="7"/>
  <c r="Z847" i="7"/>
  <c r="Z932" i="7"/>
  <c r="Z125" i="7"/>
  <c r="Z535" i="7"/>
  <c r="Z663" i="7"/>
  <c r="Z784" i="7"/>
  <c r="Z870" i="7"/>
  <c r="Z955" i="7"/>
  <c r="Z257" i="7"/>
  <c r="Z568" i="7"/>
  <c r="Z696" i="7"/>
  <c r="Z807" i="7"/>
  <c r="Z892" i="7"/>
  <c r="Z978" i="7"/>
  <c r="Y46" i="7"/>
  <c r="Y110" i="7"/>
  <c r="Y174" i="7"/>
  <c r="Y238" i="7"/>
  <c r="Y302" i="7"/>
  <c r="Y366" i="7"/>
  <c r="Y430" i="7"/>
  <c r="Y494" i="7"/>
  <c r="Y51" i="7"/>
  <c r="Y115" i="7"/>
  <c r="Y179" i="7"/>
  <c r="Y243" i="7"/>
  <c r="Y307" i="7"/>
  <c r="Y351" i="7"/>
  <c r="Y383" i="7"/>
  <c r="Y415" i="7"/>
  <c r="Y447" i="7"/>
  <c r="Y479" i="7"/>
  <c r="Y4" i="7"/>
  <c r="Y68" i="7"/>
  <c r="Y132" i="7"/>
  <c r="Y196" i="7"/>
  <c r="Y260" i="7"/>
  <c r="Y324" i="7"/>
  <c r="Y388" i="7"/>
  <c r="Y452" i="7"/>
  <c r="Y512" i="7"/>
  <c r="Y544" i="7"/>
  <c r="Y5" i="7"/>
  <c r="Y69" i="7"/>
  <c r="Y133" i="7"/>
  <c r="Y197" i="7"/>
  <c r="Y261" i="7"/>
  <c r="Y325" i="7"/>
  <c r="Y389" i="7"/>
  <c r="Y445" i="7"/>
  <c r="Y477" i="7"/>
  <c r="Y509" i="7"/>
  <c r="Y525" i="7"/>
  <c r="Y541" i="7"/>
  <c r="Y557" i="7"/>
  <c r="Y573" i="7"/>
  <c r="Y589" i="7"/>
  <c r="Y605" i="7"/>
  <c r="Y621" i="7"/>
  <c r="Y637" i="7"/>
  <c r="Y653" i="7"/>
  <c r="Y669" i="7"/>
  <c r="Y685" i="7"/>
  <c r="Y701" i="7"/>
  <c r="Y717" i="7"/>
  <c r="Y733" i="7"/>
  <c r="Y749" i="7"/>
  <c r="Y8" i="7"/>
  <c r="Y72" i="7"/>
  <c r="Y136" i="7"/>
  <c r="Y200" i="7"/>
  <c r="Y264" i="7"/>
  <c r="Y328" i="7"/>
  <c r="Y392" i="7"/>
  <c r="Y456" i="7"/>
  <c r="Y514" i="7"/>
  <c r="Y546" i="7"/>
  <c r="Y576" i="7"/>
  <c r="Y598" i="7"/>
  <c r="Y619" i="7"/>
  <c r="Y640" i="7"/>
  <c r="Y662" i="7"/>
  <c r="Y683" i="7"/>
  <c r="Y704" i="7"/>
  <c r="Y726" i="7"/>
  <c r="Y747" i="7"/>
  <c r="Y767" i="7"/>
  <c r="Y783" i="7"/>
  <c r="Y799" i="7"/>
  <c r="Y815" i="7"/>
  <c r="Y831" i="7"/>
  <c r="Y847" i="7"/>
  <c r="Y863" i="7"/>
  <c r="Y879" i="7"/>
  <c r="Y895" i="7"/>
  <c r="Y911" i="7"/>
  <c r="Y927" i="7"/>
  <c r="Y943" i="7"/>
  <c r="Y959" i="7"/>
  <c r="Y975" i="7"/>
  <c r="Y991" i="7"/>
  <c r="Y765" i="7"/>
  <c r="Y809" i="7"/>
  <c r="Y849" i="7"/>
  <c r="Y893" i="7"/>
  <c r="Y933" i="7"/>
  <c r="Y977" i="7"/>
  <c r="Y65" i="7"/>
  <c r="Y225" i="7"/>
  <c r="Y41" i="7"/>
  <c r="Y105" i="7"/>
  <c r="Y169" i="7"/>
  <c r="Y233" i="7"/>
  <c r="Y297" i="7"/>
  <c r="Y361" i="7"/>
  <c r="Y425" i="7"/>
  <c r="Y489" i="7"/>
  <c r="Y531" i="7"/>
  <c r="Y563" i="7"/>
  <c r="Y588" i="7"/>
  <c r="Y610" i="7"/>
  <c r="Y631" i="7"/>
  <c r="Y652" i="7"/>
  <c r="Y674" i="7"/>
  <c r="Y695" i="7"/>
  <c r="Y716" i="7"/>
  <c r="Y738" i="7"/>
  <c r="Y759" i="7"/>
  <c r="Y776" i="7"/>
  <c r="Y792" i="7"/>
  <c r="Y808" i="7"/>
  <c r="Y824" i="7"/>
  <c r="Y840" i="7"/>
  <c r="Y856" i="7"/>
  <c r="Y872" i="7"/>
  <c r="Y888" i="7"/>
  <c r="Y904" i="7"/>
  <c r="Y920" i="7"/>
  <c r="Y936" i="7"/>
  <c r="Y952" i="7"/>
  <c r="Y968" i="7"/>
  <c r="Y984" i="7"/>
  <c r="Y1000" i="7"/>
  <c r="Y64" i="7"/>
  <c r="Y128" i="7"/>
  <c r="Y192" i="7"/>
  <c r="Y256" i="7"/>
  <c r="Y320" i="7"/>
  <c r="Y384" i="7"/>
  <c r="Y448" i="7"/>
  <c r="Y510" i="7"/>
  <c r="Y542" i="7"/>
  <c r="Y574" i="7"/>
  <c r="Y595" i="7"/>
  <c r="Y616" i="7"/>
  <c r="Y638" i="7"/>
  <c r="Y659" i="7"/>
  <c r="Y680" i="7"/>
  <c r="Y702" i="7"/>
  <c r="Y723" i="7"/>
  <c r="Y750" i="7"/>
  <c r="Y773" i="7"/>
  <c r="Y801" i="7"/>
  <c r="Y825" i="7"/>
  <c r="Y853" i="7"/>
  <c r="Y877" i="7"/>
  <c r="Y901" i="7"/>
  <c r="Y929" i="7"/>
  <c r="Y957" i="7"/>
  <c r="Y985" i="7"/>
  <c r="Y49" i="7"/>
  <c r="Y145" i="7"/>
  <c r="Y257" i="7"/>
  <c r="Y481" i="7"/>
  <c r="Y607" i="7"/>
  <c r="Y692" i="7"/>
  <c r="Y774" i="7"/>
  <c r="Y838" i="7"/>
  <c r="Y902" i="7"/>
  <c r="Y966" i="7"/>
  <c r="Y890" i="7"/>
  <c r="Y321" i="7"/>
  <c r="Y596" i="7"/>
  <c r="Y746" i="7"/>
  <c r="Y846" i="7"/>
  <c r="Y958" i="7"/>
  <c r="Y551" i="7"/>
  <c r="Y687" i="7"/>
  <c r="Y818" i="7"/>
  <c r="Y914" i="7"/>
  <c r="Y369" i="7"/>
  <c r="Y567" i="7"/>
  <c r="Y655" i="7"/>
  <c r="Y740" i="7"/>
  <c r="Y810" i="7"/>
  <c r="Y906" i="7"/>
  <c r="Y543" i="7"/>
  <c r="Y782" i="7"/>
  <c r="Y926" i="7"/>
  <c r="Y602" i="7"/>
  <c r="Y802" i="7"/>
  <c r="Y962" i="7"/>
  <c r="X10" i="7"/>
  <c r="X26" i="7"/>
  <c r="X42" i="7"/>
  <c r="X58" i="7"/>
  <c r="X74" i="7"/>
  <c r="X90" i="7"/>
  <c r="X106" i="7"/>
  <c r="X122" i="7"/>
  <c r="X138" i="7"/>
  <c r="X154" i="7"/>
  <c r="X170" i="7"/>
  <c r="X186" i="7"/>
  <c r="X202" i="7"/>
  <c r="X218" i="7"/>
  <c r="X234" i="7"/>
  <c r="X250" i="7"/>
  <c r="X266" i="7"/>
  <c r="X282" i="7"/>
  <c r="X298" i="7"/>
  <c r="X314" i="7"/>
  <c r="X330" i="7"/>
  <c r="X346" i="7"/>
  <c r="X362" i="7"/>
  <c r="X378" i="7"/>
  <c r="X394" i="7"/>
  <c r="X410" i="7"/>
  <c r="X426" i="7"/>
  <c r="X442" i="7"/>
  <c r="X458" i="7"/>
  <c r="X474" i="7"/>
  <c r="X490" i="7"/>
  <c r="X506" i="7"/>
  <c r="X15" i="7"/>
  <c r="X31" i="7"/>
  <c r="X47" i="7"/>
  <c r="X63" i="7"/>
  <c r="X79" i="7"/>
  <c r="X95" i="7"/>
  <c r="X111" i="7"/>
  <c r="X127" i="7"/>
  <c r="X143" i="7"/>
  <c r="X159" i="7"/>
  <c r="X175" i="7"/>
  <c r="X191" i="7"/>
  <c r="X207" i="7"/>
  <c r="X223" i="7"/>
  <c r="X239" i="7"/>
  <c r="X255" i="7"/>
  <c r="X271" i="7"/>
  <c r="X287" i="7"/>
  <c r="X303" i="7"/>
  <c r="X319" i="7"/>
  <c r="X335" i="7"/>
  <c r="X351" i="7"/>
  <c r="X367" i="7"/>
  <c r="X383" i="7"/>
  <c r="X399" i="7"/>
  <c r="X415" i="7"/>
  <c r="X431" i="7"/>
  <c r="X447" i="7"/>
  <c r="X463" i="7"/>
  <c r="X479" i="7"/>
  <c r="X495" i="7"/>
  <c r="X4" i="7"/>
  <c r="X20" i="7"/>
  <c r="X36" i="7"/>
  <c r="X52" i="7"/>
  <c r="X68" i="7"/>
  <c r="X84" i="7"/>
  <c r="X100" i="7"/>
  <c r="X116" i="7"/>
  <c r="X132" i="7"/>
  <c r="X148" i="7"/>
  <c r="X164" i="7"/>
  <c r="X180" i="7"/>
  <c r="X196" i="7"/>
  <c r="X212" i="7"/>
  <c r="X228" i="7"/>
  <c r="X244" i="7"/>
  <c r="X260" i="7"/>
  <c r="X276" i="7"/>
  <c r="X292" i="7"/>
  <c r="X308" i="7"/>
  <c r="X324" i="7"/>
  <c r="X340" i="7"/>
  <c r="X356" i="7"/>
  <c r="X372" i="7"/>
  <c r="X388" i="7"/>
  <c r="X404" i="7"/>
  <c r="X420" i="7"/>
  <c r="X436" i="7"/>
  <c r="X452" i="7"/>
  <c r="X468" i="7"/>
  <c r="X5" i="7"/>
  <c r="X69" i="7"/>
  <c r="X133" i="7"/>
  <c r="X197" i="7"/>
  <c r="X261" i="7"/>
  <c r="X325" i="7"/>
  <c r="X389" i="7"/>
  <c r="X453" i="7"/>
  <c r="X500" i="7"/>
  <c r="X520" i="7"/>
  <c r="X536" i="7"/>
  <c r="X552" i="7"/>
  <c r="X568" i="7"/>
  <c r="X584" i="7"/>
  <c r="X600" i="7"/>
  <c r="X616" i="7"/>
  <c r="X632" i="7"/>
  <c r="X648" i="7"/>
  <c r="X664" i="7"/>
  <c r="X680" i="7"/>
  <c r="X696" i="7"/>
  <c r="X712" i="7"/>
  <c r="X728" i="7"/>
  <c r="X744" i="7"/>
  <c r="X760" i="7"/>
  <c r="X776" i="7"/>
  <c r="X792" i="7"/>
  <c r="X808" i="7"/>
  <c r="X824" i="7"/>
  <c r="X840" i="7"/>
  <c r="X856" i="7"/>
  <c r="X872" i="7"/>
  <c r="X25" i="7"/>
  <c r="X89" i="7"/>
  <c r="X153" i="7"/>
  <c r="X217" i="7"/>
  <c r="X281" i="7"/>
  <c r="X345" i="7"/>
  <c r="X409" i="7"/>
  <c r="X473" i="7"/>
  <c r="X509" i="7"/>
  <c r="X525" i="7"/>
  <c r="X541" i="7"/>
  <c r="X557" i="7"/>
  <c r="X573" i="7"/>
  <c r="X589" i="7"/>
  <c r="X605" i="7"/>
  <c r="X621" i="7"/>
  <c r="X637" i="7"/>
  <c r="X653" i="7"/>
  <c r="X669" i="7"/>
  <c r="X45" i="7"/>
  <c r="X173" i="7"/>
  <c r="X301" i="7"/>
  <c r="X429" i="7"/>
  <c r="X514" i="7"/>
  <c r="X546" i="7"/>
  <c r="X578" i="7"/>
  <c r="X610" i="7"/>
  <c r="X642" i="7"/>
  <c r="X674" i="7"/>
  <c r="X697" i="7"/>
  <c r="X718" i="7"/>
  <c r="X739" i="7"/>
  <c r="X761" i="7"/>
  <c r="X782" i="7"/>
  <c r="X803" i="7"/>
  <c r="X825" i="7"/>
  <c r="X846" i="7"/>
  <c r="X867" i="7"/>
  <c r="X887" i="7"/>
  <c r="X903" i="7"/>
  <c r="X919" i="7"/>
  <c r="X935" i="7"/>
  <c r="X951" i="7"/>
  <c r="X967" i="7"/>
  <c r="X983" i="7"/>
  <c r="X999" i="7"/>
  <c r="X477" i="7"/>
  <c r="X558" i="7"/>
  <c r="X622" i="7"/>
  <c r="X683" i="7"/>
  <c r="X726" i="7"/>
  <c r="X769" i="7"/>
  <c r="X806" i="7"/>
  <c r="X849" i="7"/>
  <c r="X889" i="7"/>
  <c r="X921" i="7"/>
  <c r="X953" i="7"/>
  <c r="X985" i="7"/>
  <c r="X161" i="7"/>
  <c r="X417" i="7"/>
  <c r="X543" i="7"/>
  <c r="X607" i="7"/>
  <c r="X671" i="7"/>
  <c r="X722" i="7"/>
  <c r="X765" i="7"/>
  <c r="X807" i="7"/>
  <c r="X850" i="7"/>
  <c r="X890" i="7"/>
  <c r="X922" i="7"/>
  <c r="X954" i="7"/>
  <c r="X986" i="7"/>
  <c r="X81" i="7"/>
  <c r="X209" i="7"/>
  <c r="X337" i="7"/>
  <c r="X465" i="7"/>
  <c r="X523" i="7"/>
  <c r="X555" i="7"/>
  <c r="X587" i="7"/>
  <c r="X619" i="7"/>
  <c r="X651" i="7"/>
  <c r="X682" i="7"/>
  <c r="X703" i="7"/>
  <c r="X725" i="7"/>
  <c r="X746" i="7"/>
  <c r="X767" i="7"/>
  <c r="X789" i="7"/>
  <c r="X810" i="7"/>
  <c r="X831" i="7"/>
  <c r="X853" i="7"/>
  <c r="X874" i="7"/>
  <c r="X892" i="7"/>
  <c r="X908" i="7"/>
  <c r="X924" i="7"/>
  <c r="X940" i="7"/>
  <c r="X956" i="7"/>
  <c r="X972" i="7"/>
  <c r="X988" i="7"/>
  <c r="X29" i="7"/>
  <c r="X157" i="7"/>
  <c r="X349" i="7"/>
  <c r="X518" i="7"/>
  <c r="X582" i="7"/>
  <c r="X646" i="7"/>
  <c r="X699" i="7"/>
  <c r="X742" i="7"/>
  <c r="X790" i="7"/>
  <c r="X833" i="7"/>
  <c r="X875" i="7"/>
  <c r="X909" i="7"/>
  <c r="X941" i="7"/>
  <c r="X973" i="7"/>
  <c r="X65" i="7"/>
  <c r="X321" i="7"/>
  <c r="X519" i="7"/>
  <c r="X583" i="7"/>
  <c r="X647" i="7"/>
  <c r="X701" i="7"/>
  <c r="X738" i="7"/>
  <c r="X781" i="7"/>
  <c r="X823" i="7"/>
  <c r="X866" i="7"/>
  <c r="X902" i="7"/>
  <c r="X934" i="7"/>
  <c r="X966" i="7"/>
  <c r="X998" i="7"/>
  <c r="W14" i="7"/>
  <c r="W30" i="7"/>
  <c r="W46" i="7"/>
  <c r="W62" i="7"/>
  <c r="W78" i="7"/>
  <c r="W94" i="7"/>
  <c r="W110" i="7"/>
  <c r="W126" i="7"/>
  <c r="W142" i="7"/>
  <c r="W158" i="7"/>
  <c r="W174" i="7"/>
  <c r="W190" i="7"/>
  <c r="W206" i="7"/>
  <c r="W222" i="7"/>
  <c r="W238" i="7"/>
  <c r="W254" i="7"/>
  <c r="W270" i="7"/>
  <c r="W286" i="7"/>
  <c r="W302" i="7"/>
  <c r="W318" i="7"/>
  <c r="W334" i="7"/>
  <c r="W350" i="7"/>
  <c r="W366" i="7"/>
  <c r="W382" i="7"/>
  <c r="W398" i="7"/>
  <c r="W414" i="7"/>
  <c r="W430" i="7"/>
  <c r="W446" i="7"/>
  <c r="W462" i="7"/>
  <c r="W478" i="7"/>
  <c r="W494" i="7"/>
  <c r="W3" i="7"/>
  <c r="W19" i="7"/>
  <c r="W35" i="7"/>
  <c r="W51" i="7"/>
  <c r="W67" i="7"/>
  <c r="W83" i="7"/>
  <c r="W99" i="7"/>
  <c r="W115" i="7"/>
  <c r="W131" i="7"/>
  <c r="W147" i="7"/>
  <c r="W163" i="7"/>
  <c r="W179" i="7"/>
  <c r="W195" i="7"/>
  <c r="W211" i="7"/>
  <c r="W227" i="7"/>
  <c r="W243" i="7"/>
  <c r="W259" i="7"/>
  <c r="W275" i="7"/>
  <c r="W291" i="7"/>
  <c r="W307" i="7"/>
  <c r="W323" i="7"/>
  <c r="W339" i="7"/>
  <c r="W355" i="7"/>
  <c r="W371" i="7"/>
  <c r="W387" i="7"/>
  <c r="W403" i="7"/>
  <c r="W419" i="7"/>
  <c r="W435" i="7"/>
  <c r="W451" i="7"/>
  <c r="W467" i="7"/>
  <c r="W483" i="7"/>
  <c r="W499" i="7"/>
  <c r="W12" i="7"/>
  <c r="W44" i="7"/>
  <c r="W76" i="7"/>
  <c r="W108" i="7"/>
  <c r="W140" i="7"/>
  <c r="W172" i="7"/>
  <c r="W204" i="7"/>
  <c r="W236" i="7"/>
  <c r="W268" i="7"/>
  <c r="W300" i="7"/>
  <c r="W332" i="7"/>
  <c r="W364" i="7"/>
  <c r="W396" i="7"/>
  <c r="W428" i="7"/>
  <c r="W460" i="7"/>
  <c r="W492" i="7"/>
  <c r="W516" i="7"/>
  <c r="W532" i="7"/>
  <c r="W548" i="7"/>
  <c r="W564" i="7"/>
  <c r="W580" i="7"/>
  <c r="W596" i="7"/>
  <c r="W612" i="7"/>
  <c r="W628" i="7"/>
  <c r="W644" i="7"/>
  <c r="W660" i="7"/>
  <c r="W676" i="7"/>
  <c r="W692" i="7"/>
  <c r="W708" i="7"/>
  <c r="W724" i="7"/>
  <c r="W740" i="7"/>
  <c r="W756" i="7"/>
  <c r="W772" i="7"/>
  <c r="W788" i="7"/>
  <c r="W804" i="7"/>
  <c r="W820" i="7"/>
  <c r="W836" i="7"/>
  <c r="W852" i="7"/>
  <c r="W868" i="7"/>
  <c r="W884" i="7"/>
  <c r="W900" i="7"/>
  <c r="W916" i="7"/>
  <c r="W932" i="7"/>
  <c r="W948" i="7"/>
  <c r="W964" i="7"/>
  <c r="W980" i="7"/>
  <c r="W996" i="7"/>
  <c r="W21" i="7"/>
  <c r="W53" i="7"/>
  <c r="W85" i="7"/>
  <c r="W117" i="7"/>
  <c r="W149" i="7"/>
  <c r="W181" i="7"/>
  <c r="W213" i="7"/>
  <c r="W245" i="7"/>
  <c r="W277" i="7"/>
  <c r="W309" i="7"/>
  <c r="W341" i="7"/>
  <c r="W373" i="7"/>
  <c r="W405" i="7"/>
  <c r="W437" i="7"/>
  <c r="W469" i="7"/>
  <c r="W501" i="7"/>
  <c r="W521" i="7"/>
  <c r="W40" i="7"/>
  <c r="W104" i="7"/>
  <c r="W168" i="7"/>
  <c r="W232" i="7"/>
  <c r="W296" i="7"/>
  <c r="W360" i="7"/>
  <c r="W424" i="7"/>
  <c r="W488" i="7"/>
  <c r="W529" i="7"/>
  <c r="W550" i="7"/>
  <c r="W571" i="7"/>
  <c r="W593" i="7"/>
  <c r="W614" i="7"/>
  <c r="W635" i="7"/>
  <c r="AC218" i="7"/>
  <c r="AC489" i="7"/>
  <c r="AC595" i="7"/>
  <c r="AB195" i="7"/>
  <c r="AB252" i="7"/>
  <c r="AB508" i="7"/>
  <c r="AB632" i="7"/>
  <c r="AB888" i="7"/>
  <c r="AB533" i="7"/>
  <c r="AB789" i="7"/>
  <c r="AB694" i="7"/>
  <c r="AB650" i="7"/>
  <c r="AB959" i="7"/>
  <c r="AB863" i="7"/>
  <c r="AB979" i="7"/>
  <c r="AA74" i="7"/>
  <c r="AA330" i="7"/>
  <c r="AA79" i="7"/>
  <c r="AA335" i="7"/>
  <c r="AA164" i="7"/>
  <c r="AA540" i="7"/>
  <c r="AA668" i="7"/>
  <c r="AA89" i="7"/>
  <c r="AA432" i="7"/>
  <c r="AA641" i="7"/>
  <c r="AA799" i="7"/>
  <c r="AA927" i="7"/>
  <c r="AA145" i="7"/>
  <c r="AA488" i="7"/>
  <c r="AA669" i="7"/>
  <c r="AA201" i="7"/>
  <c r="AA697" i="7"/>
  <c r="AA906" i="7"/>
  <c r="AA312" i="7"/>
  <c r="AA751" i="7"/>
  <c r="AA934" i="7"/>
  <c r="AA425" i="7"/>
  <c r="AA792" i="7"/>
  <c r="AA962" i="7"/>
  <c r="AA522" i="7"/>
  <c r="AA804" i="7"/>
  <c r="AA921" i="7"/>
  <c r="Z26" i="7"/>
  <c r="Z110" i="7"/>
  <c r="Z198" i="7"/>
  <c r="Z282" i="7"/>
  <c r="Z346" i="7"/>
  <c r="Z410" i="7"/>
  <c r="Z474" i="7"/>
  <c r="Z31" i="7"/>
  <c r="Z95" i="7"/>
  <c r="Z159" i="7"/>
  <c r="Z223" i="7"/>
  <c r="Z287" i="7"/>
  <c r="Z351" i="7"/>
  <c r="Z415" i="7"/>
  <c r="Z479" i="7"/>
  <c r="Z36" i="7"/>
  <c r="Z100" i="7"/>
  <c r="Z164" i="7"/>
  <c r="Z228" i="7"/>
  <c r="Z292" i="7"/>
  <c r="Z356" i="7"/>
  <c r="Z420" i="7"/>
  <c r="Z484" i="7"/>
  <c r="Z245" i="7"/>
  <c r="Z493" i="7"/>
  <c r="Z565" i="7"/>
  <c r="Z629" i="7"/>
  <c r="Z693" i="7"/>
  <c r="Z757" i="7"/>
  <c r="Z821" i="7"/>
  <c r="Z885" i="7"/>
  <c r="Z949" i="7"/>
  <c r="Z57" i="7"/>
  <c r="Z313" i="7"/>
  <c r="Z518" i="7"/>
  <c r="Z582" i="7"/>
  <c r="Z646" i="7"/>
  <c r="Z710" i="7"/>
  <c r="Z13" i="7"/>
  <c r="Z505" i="7"/>
  <c r="Z635" i="7"/>
  <c r="Z763" i="7"/>
  <c r="Z851" i="7"/>
  <c r="Z936" i="7"/>
  <c r="Z113" i="7"/>
  <c r="Z532" i="7"/>
  <c r="Z660" i="7"/>
  <c r="Z783" i="7"/>
  <c r="Z868" i="7"/>
  <c r="Z954" i="7"/>
  <c r="Z253" i="7"/>
  <c r="Z567" i="7"/>
  <c r="Z695" i="7"/>
  <c r="Z806" i="7"/>
  <c r="Z891" i="7"/>
  <c r="Z976" i="7"/>
  <c r="Z385" i="7"/>
  <c r="Z600" i="7"/>
  <c r="Z728" i="7"/>
  <c r="Z828" i="7"/>
  <c r="Z914" i="7"/>
  <c r="Z999" i="7"/>
  <c r="Y62" i="7"/>
  <c r="Y126" i="7"/>
  <c r="Y190" i="7"/>
  <c r="Y254" i="7"/>
  <c r="Y318" i="7"/>
  <c r="Y382" i="7"/>
  <c r="Y446" i="7"/>
  <c r="Y3" i="7"/>
  <c r="Y67" i="7"/>
  <c r="Y131" i="7"/>
  <c r="Y195" i="7"/>
  <c r="Y259" i="7"/>
  <c r="Y323" i="7"/>
  <c r="Y355" i="7"/>
  <c r="Y387" i="7"/>
  <c r="Y419" i="7"/>
  <c r="Y451" i="7"/>
  <c r="Y483" i="7"/>
  <c r="Y12" i="7"/>
  <c r="Y76" i="7"/>
  <c r="Y140" i="7"/>
  <c r="Y204" i="7"/>
  <c r="Y268" i="7"/>
  <c r="Y332" i="7"/>
  <c r="Y396" i="7"/>
  <c r="Y460" i="7"/>
  <c r="Y516" i="7"/>
  <c r="Y548" i="7"/>
  <c r="Y13" i="7"/>
  <c r="Y77" i="7"/>
  <c r="Y141" i="7"/>
  <c r="Y205" i="7"/>
  <c r="Y269" i="7"/>
  <c r="Y333" i="7"/>
  <c r="Y397" i="7"/>
  <c r="Y453" i="7"/>
  <c r="Y485" i="7"/>
  <c r="Y513" i="7"/>
  <c r="Y529" i="7"/>
  <c r="Y545" i="7"/>
  <c r="Y561" i="7"/>
  <c r="Y577" i="7"/>
  <c r="Y593" i="7"/>
  <c r="Y609" i="7"/>
  <c r="Y625" i="7"/>
  <c r="Y641" i="7"/>
  <c r="Y657" i="7"/>
  <c r="Y673" i="7"/>
  <c r="Y689" i="7"/>
  <c r="Y705" i="7"/>
  <c r="Y721" i="7"/>
  <c r="Y737" i="7"/>
  <c r="Y753" i="7"/>
  <c r="Y24" i="7"/>
  <c r="Y88" i="7"/>
  <c r="Y152" i="7"/>
  <c r="Y216" i="7"/>
  <c r="Y280" i="7"/>
  <c r="Y344" i="7"/>
  <c r="Y408" i="7"/>
  <c r="Y472" i="7"/>
  <c r="Y522" i="7"/>
  <c r="Y554" i="7"/>
  <c r="Y582" i="7"/>
  <c r="Y603" i="7"/>
  <c r="Y624" i="7"/>
  <c r="Y646" i="7"/>
  <c r="Y667" i="7"/>
  <c r="Y688" i="7"/>
  <c r="Y710" i="7"/>
  <c r="Y731" i="7"/>
  <c r="Y752" i="7"/>
  <c r="Y771" i="7"/>
  <c r="Y787" i="7"/>
  <c r="Y803" i="7"/>
  <c r="Y819" i="7"/>
  <c r="Y835" i="7"/>
  <c r="Y851" i="7"/>
  <c r="Y867" i="7"/>
  <c r="Y883" i="7"/>
  <c r="Y899" i="7"/>
  <c r="Y915" i="7"/>
  <c r="Y931" i="7"/>
  <c r="Y947" i="7"/>
  <c r="Y963" i="7"/>
  <c r="Y979" i="7"/>
  <c r="Y995" i="7"/>
  <c r="Y777" i="7"/>
  <c r="Y817" i="7"/>
  <c r="Y857" i="7"/>
  <c r="Y905" i="7"/>
  <c r="Y945" i="7"/>
  <c r="Y981" i="7"/>
  <c r="Y113" i="7"/>
  <c r="Y273" i="7"/>
  <c r="Y57" i="7"/>
  <c r="Y121" i="7"/>
  <c r="Y185" i="7"/>
  <c r="Y249" i="7"/>
  <c r="Y313" i="7"/>
  <c r="Y377" i="7"/>
  <c r="Y441" i="7"/>
  <c r="Y505" i="7"/>
  <c r="Y539" i="7"/>
  <c r="Y571" i="7"/>
  <c r="Y594" i="7"/>
  <c r="Y615" i="7"/>
  <c r="Y636" i="7"/>
  <c r="Y658" i="7"/>
  <c r="Y679" i="7"/>
  <c r="Y700" i="7"/>
  <c r="Y722" i="7"/>
  <c r="Y743" i="7"/>
  <c r="Y764" i="7"/>
  <c r="Y780" i="7"/>
  <c r="Y796" i="7"/>
  <c r="Y812" i="7"/>
  <c r="Y828" i="7"/>
  <c r="Y844" i="7"/>
  <c r="Y860" i="7"/>
  <c r="Y876" i="7"/>
  <c r="Y892" i="7"/>
  <c r="Y908" i="7"/>
  <c r="Y924" i="7"/>
  <c r="Y940" i="7"/>
  <c r="Y956" i="7"/>
  <c r="Y972" i="7"/>
  <c r="Y988" i="7"/>
  <c r="Y16" i="7"/>
  <c r="Y80" i="7"/>
  <c r="Y144" i="7"/>
  <c r="Y208" i="7"/>
  <c r="Y272" i="7"/>
  <c r="Y336" i="7"/>
  <c r="Y400" i="7"/>
  <c r="Y464" i="7"/>
  <c r="Y518" i="7"/>
  <c r="Y550" i="7"/>
  <c r="Y579" i="7"/>
  <c r="Y600" i="7"/>
  <c r="Y622" i="7"/>
  <c r="Y643" i="7"/>
  <c r="Y664" i="7"/>
  <c r="Y686" i="7"/>
  <c r="Y707" i="7"/>
  <c r="Y728" i="7"/>
  <c r="Y755" i="7"/>
  <c r="Y781" i="7"/>
  <c r="Y805" i="7"/>
  <c r="Y833" i="7"/>
  <c r="Y861" i="7"/>
  <c r="Y885" i="7"/>
  <c r="Y909" i="7"/>
  <c r="Y937" i="7"/>
  <c r="Y961" i="7"/>
  <c r="Y989" i="7"/>
  <c r="Y81" i="7"/>
  <c r="Y177" i="7"/>
  <c r="Y289" i="7"/>
  <c r="Y527" i="7"/>
  <c r="Y628" i="7"/>
  <c r="Y714" i="7"/>
  <c r="Y790" i="7"/>
  <c r="Y854" i="7"/>
  <c r="Y918" i="7"/>
  <c r="Y982" i="7"/>
  <c r="Y922" i="7"/>
  <c r="Y449" i="7"/>
  <c r="Y639" i="7"/>
  <c r="Y766" i="7"/>
  <c r="Y878" i="7"/>
  <c r="Y990" i="7"/>
  <c r="Y580" i="7"/>
  <c r="Y730" i="7"/>
  <c r="Y850" i="7"/>
  <c r="Y946" i="7"/>
  <c r="Y433" i="7"/>
  <c r="Y591" i="7"/>
  <c r="Y676" i="7"/>
  <c r="Y762" i="7"/>
  <c r="Y826" i="7"/>
  <c r="Y938" i="7"/>
  <c r="Y618" i="7"/>
  <c r="Y814" i="7"/>
  <c r="Y974" i="7"/>
  <c r="Y644" i="7"/>
  <c r="Y834" i="7"/>
  <c r="Y994" i="7"/>
  <c r="X14" i="7"/>
  <c r="X30" i="7"/>
  <c r="X46" i="7"/>
  <c r="X62" i="7"/>
  <c r="X78" i="7"/>
  <c r="X94" i="7"/>
  <c r="X110" i="7"/>
  <c r="X126" i="7"/>
  <c r="X142" i="7"/>
  <c r="X158" i="7"/>
  <c r="X174" i="7"/>
  <c r="X190" i="7"/>
  <c r="X206" i="7"/>
  <c r="X222" i="7"/>
  <c r="X238" i="7"/>
  <c r="X254" i="7"/>
  <c r="X270" i="7"/>
  <c r="X286" i="7"/>
  <c r="X302" i="7"/>
  <c r="X318" i="7"/>
  <c r="X334" i="7"/>
  <c r="X350" i="7"/>
  <c r="X366" i="7"/>
  <c r="X382" i="7"/>
  <c r="X398" i="7"/>
  <c r="X414" i="7"/>
  <c r="X430" i="7"/>
  <c r="X446" i="7"/>
  <c r="X462" i="7"/>
  <c r="X478" i="7"/>
  <c r="X494" i="7"/>
  <c r="X3" i="7"/>
  <c r="X19" i="7"/>
  <c r="X35" i="7"/>
  <c r="X51" i="7"/>
  <c r="X67" i="7"/>
  <c r="X83" i="7"/>
  <c r="X99" i="7"/>
  <c r="X115" i="7"/>
  <c r="X131" i="7"/>
  <c r="X147" i="7"/>
  <c r="X163" i="7"/>
  <c r="X179" i="7"/>
  <c r="X195" i="7"/>
  <c r="X211" i="7"/>
  <c r="X227" i="7"/>
  <c r="X243" i="7"/>
  <c r="X259" i="7"/>
  <c r="X275" i="7"/>
  <c r="X291" i="7"/>
  <c r="X307" i="7"/>
  <c r="X323" i="7"/>
  <c r="X339" i="7"/>
  <c r="X355" i="7"/>
  <c r="X371" i="7"/>
  <c r="X387" i="7"/>
  <c r="X403" i="7"/>
  <c r="X419" i="7"/>
  <c r="X435" i="7"/>
  <c r="X451" i="7"/>
  <c r="X467" i="7"/>
  <c r="X483" i="7"/>
  <c r="X499" i="7"/>
  <c r="X8" i="7"/>
  <c r="X24" i="7"/>
  <c r="X40" i="7"/>
  <c r="X56" i="7"/>
  <c r="X72" i="7"/>
  <c r="X88" i="7"/>
  <c r="X104" i="7"/>
  <c r="X120" i="7"/>
  <c r="X136" i="7"/>
  <c r="X152" i="7"/>
  <c r="X168" i="7"/>
  <c r="X184" i="7"/>
  <c r="X200" i="7"/>
  <c r="X216" i="7"/>
  <c r="X232" i="7"/>
  <c r="X248" i="7"/>
  <c r="X264" i="7"/>
  <c r="X280" i="7"/>
  <c r="X296" i="7"/>
  <c r="X312" i="7"/>
  <c r="X328" i="7"/>
  <c r="X344" i="7"/>
  <c r="X360" i="7"/>
  <c r="X376" i="7"/>
  <c r="X392" i="7"/>
  <c r="X408" i="7"/>
  <c r="X424" i="7"/>
  <c r="X440" i="7"/>
  <c r="X456" i="7"/>
  <c r="X472" i="7"/>
  <c r="X21" i="7"/>
  <c r="X85" i="7"/>
  <c r="X149" i="7"/>
  <c r="X213" i="7"/>
  <c r="X277" i="7"/>
  <c r="X341" i="7"/>
  <c r="X405" i="7"/>
  <c r="X469" i="7"/>
  <c r="X508" i="7"/>
  <c r="X524" i="7"/>
  <c r="X540" i="7"/>
  <c r="X556" i="7"/>
  <c r="X572" i="7"/>
  <c r="X588" i="7"/>
  <c r="X604" i="7"/>
  <c r="X620" i="7"/>
  <c r="X636" i="7"/>
  <c r="X652" i="7"/>
  <c r="X668" i="7"/>
  <c r="X684" i="7"/>
  <c r="X700" i="7"/>
  <c r="X716" i="7"/>
  <c r="X732" i="7"/>
  <c r="X748" i="7"/>
  <c r="X764" i="7"/>
  <c r="X780" i="7"/>
  <c r="X796" i="7"/>
  <c r="X812" i="7"/>
  <c r="X828" i="7"/>
  <c r="X844" i="7"/>
  <c r="X860" i="7"/>
  <c r="X876" i="7"/>
  <c r="X41" i="7"/>
  <c r="X105" i="7"/>
  <c r="X169" i="7"/>
  <c r="X233" i="7"/>
  <c r="X297" i="7"/>
  <c r="X361" i="7"/>
  <c r="X425" i="7"/>
  <c r="X485" i="7"/>
  <c r="X513" i="7"/>
  <c r="X529" i="7"/>
  <c r="X545" i="7"/>
  <c r="X561" i="7"/>
  <c r="X577" i="7"/>
  <c r="X593" i="7"/>
  <c r="X609" i="7"/>
  <c r="X625" i="7"/>
  <c r="X641" i="7"/>
  <c r="X657" i="7"/>
  <c r="X673" i="7"/>
  <c r="X77" i="7"/>
  <c r="X205" i="7"/>
  <c r="X333" i="7"/>
  <c r="X461" i="7"/>
  <c r="X522" i="7"/>
  <c r="X554" i="7"/>
  <c r="X586" i="7"/>
  <c r="X618" i="7"/>
  <c r="X650" i="7"/>
  <c r="X681" i="7"/>
  <c r="X702" i="7"/>
  <c r="X723" i="7"/>
  <c r="X745" i="7"/>
  <c r="X766" i="7"/>
  <c r="X787" i="7"/>
  <c r="X809" i="7"/>
  <c r="X830" i="7"/>
  <c r="X851" i="7"/>
  <c r="X873" i="7"/>
  <c r="X891" i="7"/>
  <c r="X907" i="7"/>
  <c r="X923" i="7"/>
  <c r="X939" i="7"/>
  <c r="X955" i="7"/>
  <c r="X971" i="7"/>
  <c r="X987" i="7"/>
  <c r="X253" i="7"/>
  <c r="X510" i="7"/>
  <c r="X574" i="7"/>
  <c r="X638" i="7"/>
  <c r="X694" i="7"/>
  <c r="X737" i="7"/>
  <c r="X779" i="7"/>
  <c r="X817" i="7"/>
  <c r="X859" i="7"/>
  <c r="X897" i="7"/>
  <c r="X929" i="7"/>
  <c r="X961" i="7"/>
  <c r="X993" i="7"/>
  <c r="X225" i="7"/>
  <c r="X481" i="7"/>
  <c r="X559" i="7"/>
  <c r="X623" i="7"/>
  <c r="X685" i="7"/>
  <c r="X733" i="7"/>
  <c r="X775" i="7"/>
  <c r="X818" i="7"/>
  <c r="X861" i="7"/>
  <c r="X898" i="7"/>
  <c r="X930" i="7"/>
  <c r="X962" i="7"/>
  <c r="X994" i="7"/>
  <c r="X113" i="7"/>
  <c r="X241" i="7"/>
  <c r="X369" i="7"/>
  <c r="X489" i="7"/>
  <c r="X531" i="7"/>
  <c r="X563" i="7"/>
  <c r="X595" i="7"/>
  <c r="X627" i="7"/>
  <c r="X659" i="7"/>
  <c r="X687" i="7"/>
  <c r="X709" i="7"/>
  <c r="X730" i="7"/>
  <c r="X751" i="7"/>
  <c r="X773" i="7"/>
  <c r="X794" i="7"/>
  <c r="X815" i="7"/>
  <c r="X837" i="7"/>
  <c r="X858" i="7"/>
  <c r="X879" i="7"/>
  <c r="X896" i="7"/>
  <c r="X912" i="7"/>
  <c r="X928" i="7"/>
  <c r="X944" i="7"/>
  <c r="X960" i="7"/>
  <c r="X976" i="7"/>
  <c r="X992" i="7"/>
  <c r="X61" i="7"/>
  <c r="X189" i="7"/>
  <c r="X381" i="7"/>
  <c r="X534" i="7"/>
  <c r="X598" i="7"/>
  <c r="X662" i="7"/>
  <c r="X710" i="7"/>
  <c r="X753" i="7"/>
  <c r="X801" i="7"/>
  <c r="X843" i="7"/>
  <c r="X885" i="7"/>
  <c r="X917" i="7"/>
  <c r="X949" i="7"/>
  <c r="X981" i="7"/>
  <c r="X97" i="7"/>
  <c r="X385" i="7"/>
  <c r="X535" i="7"/>
  <c r="X599" i="7"/>
  <c r="X663" i="7"/>
  <c r="X706" i="7"/>
  <c r="X749" i="7"/>
  <c r="X791" i="7"/>
  <c r="X834" i="7"/>
  <c r="X877" i="7"/>
  <c r="X910" i="7"/>
  <c r="X942" i="7"/>
  <c r="X974" i="7"/>
  <c r="W2" i="7"/>
  <c r="W18" i="7"/>
  <c r="W34" i="7"/>
  <c r="W50" i="7"/>
  <c r="W66" i="7"/>
  <c r="W82" i="7"/>
  <c r="W98" i="7"/>
  <c r="W114" i="7"/>
  <c r="W130" i="7"/>
  <c r="W146" i="7"/>
  <c r="W162" i="7"/>
  <c r="W178" i="7"/>
  <c r="W194" i="7"/>
  <c r="W210" i="7"/>
  <c r="W226" i="7"/>
  <c r="W242" i="7"/>
  <c r="W258" i="7"/>
  <c r="W274" i="7"/>
  <c r="W290" i="7"/>
  <c r="W306" i="7"/>
  <c r="W322" i="7"/>
  <c r="W338" i="7"/>
  <c r="W354" i="7"/>
  <c r="W370" i="7"/>
  <c r="W386" i="7"/>
  <c r="W402" i="7"/>
  <c r="W418" i="7"/>
  <c r="W434" i="7"/>
  <c r="W450" i="7"/>
  <c r="W466" i="7"/>
  <c r="W482" i="7"/>
  <c r="W498" i="7"/>
  <c r="W7" i="7"/>
  <c r="W23" i="7"/>
  <c r="W39" i="7"/>
  <c r="W55" i="7"/>
  <c r="W71" i="7"/>
  <c r="W87" i="7"/>
  <c r="W103" i="7"/>
  <c r="W119" i="7"/>
  <c r="W135" i="7"/>
  <c r="W151" i="7"/>
  <c r="W167" i="7"/>
  <c r="W183" i="7"/>
  <c r="W199" i="7"/>
  <c r="W215" i="7"/>
  <c r="W231" i="7"/>
  <c r="W247" i="7"/>
  <c r="W263" i="7"/>
  <c r="W279" i="7"/>
  <c r="W295" i="7"/>
  <c r="W311" i="7"/>
  <c r="W327" i="7"/>
  <c r="W343" i="7"/>
  <c r="W359" i="7"/>
  <c r="W375" i="7"/>
  <c r="W391" i="7"/>
  <c r="W407" i="7"/>
  <c r="W423" i="7"/>
  <c r="W439" i="7"/>
  <c r="W455" i="7"/>
  <c r="W471" i="7"/>
  <c r="W487" i="7"/>
  <c r="W503" i="7"/>
  <c r="W20" i="7"/>
  <c r="W52" i="7"/>
  <c r="W84" i="7"/>
  <c r="W116" i="7"/>
  <c r="W148" i="7"/>
  <c r="W180" i="7"/>
  <c r="W212" i="7"/>
  <c r="W244" i="7"/>
  <c r="W276" i="7"/>
  <c r="W308" i="7"/>
  <c r="W340" i="7"/>
  <c r="W372" i="7"/>
  <c r="W404" i="7"/>
  <c r="W436" i="7"/>
  <c r="W468" i="7"/>
  <c r="W500" i="7"/>
  <c r="W520" i="7"/>
  <c r="W536" i="7"/>
  <c r="W552" i="7"/>
  <c r="W568" i="7"/>
  <c r="W584" i="7"/>
  <c r="W600" i="7"/>
  <c r="W616" i="7"/>
  <c r="W632" i="7"/>
  <c r="W648" i="7"/>
  <c r="W664" i="7"/>
  <c r="W680" i="7"/>
  <c r="W696" i="7"/>
  <c r="W712" i="7"/>
  <c r="W728" i="7"/>
  <c r="W744" i="7"/>
  <c r="W760" i="7"/>
  <c r="W776" i="7"/>
  <c r="W792" i="7"/>
  <c r="W808" i="7"/>
  <c r="W824" i="7"/>
  <c r="W840" i="7"/>
  <c r="W856" i="7"/>
  <c r="W872" i="7"/>
  <c r="W888" i="7"/>
  <c r="W904" i="7"/>
  <c r="W920" i="7"/>
  <c r="W936" i="7"/>
  <c r="W952" i="7"/>
  <c r="W968" i="7"/>
  <c r="W984" i="7"/>
  <c r="W1000" i="7"/>
  <c r="W29" i="7"/>
  <c r="W61" i="7"/>
  <c r="AC452" i="7"/>
  <c r="AC855" i="7"/>
  <c r="AC767" i="7"/>
  <c r="AB411" i="7"/>
  <c r="AB316" i="7"/>
  <c r="AB245" i="7"/>
  <c r="AB696" i="7"/>
  <c r="AB952" i="7"/>
  <c r="AB597" i="7"/>
  <c r="AB853" i="7"/>
  <c r="AB822" i="7"/>
  <c r="AB899" i="7"/>
  <c r="AB401" i="7"/>
  <c r="AB957" i="7"/>
  <c r="AB595" i="7"/>
  <c r="AA138" i="7"/>
  <c r="AA394" i="7"/>
  <c r="AA143" i="7"/>
  <c r="AA399" i="7"/>
  <c r="AA292" i="7"/>
  <c r="AA572" i="7"/>
  <c r="AA700" i="7"/>
  <c r="AA176" i="7"/>
  <c r="AA513" i="7"/>
  <c r="AA683" i="7"/>
  <c r="AA831" i="7"/>
  <c r="AA959" i="7"/>
  <c r="AA232" i="7"/>
  <c r="AA541" i="7"/>
  <c r="AA711" i="7"/>
  <c r="AA373" i="7"/>
  <c r="AA777" i="7"/>
  <c r="AA949" i="7"/>
  <c r="AA481" i="7"/>
  <c r="AA806" i="7"/>
  <c r="AA977" i="7"/>
  <c r="AA553" i="7"/>
  <c r="AA834" i="7"/>
  <c r="AA24" i="7"/>
  <c r="AA607" i="7"/>
  <c r="AA836" i="7"/>
  <c r="AA948" i="7"/>
  <c r="Z46" i="7"/>
  <c r="Z134" i="7"/>
  <c r="Z218" i="7"/>
  <c r="Z298" i="7"/>
  <c r="Z362" i="7"/>
  <c r="Z426" i="7"/>
  <c r="Z490" i="7"/>
  <c r="Z47" i="7"/>
  <c r="Z111" i="7"/>
  <c r="Z175" i="7"/>
  <c r="Z239" i="7"/>
  <c r="Z303" i="7"/>
  <c r="Z367" i="7"/>
  <c r="Z431" i="7"/>
  <c r="Z495" i="7"/>
  <c r="Z52" i="7"/>
  <c r="Z116" i="7"/>
  <c r="Z180" i="7"/>
  <c r="Z244" i="7"/>
  <c r="Z308" i="7"/>
  <c r="Z372" i="7"/>
  <c r="Z436" i="7"/>
  <c r="Z53" i="7"/>
  <c r="Z309" i="7"/>
  <c r="Z517" i="7"/>
  <c r="Z581" i="7"/>
  <c r="Z645" i="7"/>
  <c r="Z709" i="7"/>
  <c r="Z773" i="7"/>
  <c r="Z837" i="7"/>
  <c r="Z901" i="7"/>
  <c r="Z965" i="7"/>
  <c r="Z121" i="7"/>
  <c r="Z377" i="7"/>
  <c r="Z534" i="7"/>
  <c r="Z598" i="7"/>
  <c r="Z662" i="7"/>
  <c r="Z726" i="7"/>
  <c r="Z141" i="7"/>
  <c r="Z539" i="7"/>
  <c r="Z667" i="7"/>
  <c r="Z787" i="7"/>
  <c r="Z872" i="7"/>
  <c r="Z958" i="7"/>
  <c r="Z241" i="7"/>
  <c r="Z564" i="7"/>
  <c r="Z692" i="7"/>
  <c r="Z804" i="7"/>
  <c r="Z890" i="7"/>
  <c r="Z975" i="7"/>
  <c r="Z381" i="7"/>
  <c r="Z599" i="7"/>
  <c r="Z727" i="7"/>
  <c r="Z827" i="7"/>
  <c r="Z912" i="7"/>
  <c r="Z998" i="7"/>
  <c r="Z500" i="7"/>
  <c r="Z632" i="7"/>
  <c r="Z760" i="7"/>
  <c r="Z850" i="7"/>
  <c r="Z935" i="7"/>
  <c r="Y14" i="7"/>
  <c r="Y78" i="7"/>
  <c r="Y142" i="7"/>
  <c r="Y206" i="7"/>
  <c r="Y270" i="7"/>
  <c r="Y334" i="7"/>
  <c r="Y398" i="7"/>
  <c r="Y462" i="7"/>
  <c r="Y19" i="7"/>
  <c r="Y83" i="7"/>
  <c r="Y147" i="7"/>
  <c r="Y211" i="7"/>
  <c r="Y275" i="7"/>
  <c r="Y335" i="7"/>
  <c r="Y367" i="7"/>
  <c r="Y399" i="7"/>
  <c r="Y431" i="7"/>
  <c r="Y463" i="7"/>
  <c r="Y495" i="7"/>
  <c r="Y36" i="7"/>
  <c r="Y100" i="7"/>
  <c r="Y164" i="7"/>
  <c r="Y228" i="7"/>
  <c r="Y292" i="7"/>
  <c r="Y356" i="7"/>
  <c r="Y420" i="7"/>
  <c r="Y484" i="7"/>
  <c r="Y528" i="7"/>
  <c r="Y560" i="7"/>
  <c r="Y37" i="7"/>
  <c r="Y101" i="7"/>
  <c r="Y165" i="7"/>
  <c r="Y229" i="7"/>
  <c r="Y293" i="7"/>
  <c r="Y357" i="7"/>
  <c r="Y421" i="7"/>
  <c r="Y461" i="7"/>
  <c r="Y493" i="7"/>
  <c r="Y517" i="7"/>
  <c r="Y533" i="7"/>
  <c r="Y549" i="7"/>
  <c r="Y565" i="7"/>
  <c r="Y581" i="7"/>
  <c r="Y597" i="7"/>
  <c r="Y613" i="7"/>
  <c r="Y629" i="7"/>
  <c r="Y645" i="7"/>
  <c r="Y661" i="7"/>
  <c r="Y677" i="7"/>
  <c r="Y693" i="7"/>
  <c r="Y709" i="7"/>
  <c r="Y725" i="7"/>
  <c r="Y741" i="7"/>
  <c r="Y757" i="7"/>
  <c r="Y40" i="7"/>
  <c r="Y104" i="7"/>
  <c r="Y168" i="7"/>
  <c r="Y232" i="7"/>
  <c r="Y296" i="7"/>
  <c r="Y360" i="7"/>
  <c r="Y424" i="7"/>
  <c r="Y488" i="7"/>
  <c r="Y530" i="7"/>
  <c r="Y562" i="7"/>
  <c r="Y587" i="7"/>
  <c r="Y608" i="7"/>
  <c r="Y630" i="7"/>
  <c r="Y651" i="7"/>
  <c r="Y672" i="7"/>
  <c r="Y694" i="7"/>
  <c r="Y715" i="7"/>
  <c r="Y736" i="7"/>
  <c r="Y758" i="7"/>
  <c r="Y775" i="7"/>
  <c r="Y791" i="7"/>
  <c r="Y807" i="7"/>
  <c r="Y823" i="7"/>
  <c r="Y839" i="7"/>
  <c r="Y855" i="7"/>
  <c r="Y871" i="7"/>
  <c r="Y887" i="7"/>
  <c r="Y903" i="7"/>
  <c r="Y919" i="7"/>
  <c r="Y935" i="7"/>
  <c r="Y951" i="7"/>
  <c r="Y967" i="7"/>
  <c r="Y983" i="7"/>
  <c r="Y999" i="7"/>
  <c r="Y785" i="7"/>
  <c r="Y829" i="7"/>
  <c r="Y869" i="7"/>
  <c r="Y913" i="7"/>
  <c r="Y953" i="7"/>
  <c r="Y993" i="7"/>
  <c r="Y161" i="7"/>
  <c r="Y9" i="7"/>
  <c r="Y73" i="7"/>
  <c r="Y137" i="7"/>
  <c r="Y201" i="7"/>
  <c r="Y265" i="7"/>
  <c r="Y329" i="7"/>
  <c r="Y393" i="7"/>
  <c r="Y457" i="7"/>
  <c r="Y515" i="7"/>
  <c r="Y547" i="7"/>
  <c r="Y578" i="7"/>
  <c r="Y599" i="7"/>
  <c r="Y620" i="7"/>
  <c r="Y642" i="7"/>
  <c r="Y663" i="7"/>
  <c r="Y684" i="7"/>
  <c r="Y706" i="7"/>
  <c r="Y727" i="7"/>
  <c r="Y748" i="7"/>
  <c r="Y768" i="7"/>
  <c r="Y784" i="7"/>
  <c r="Y800" i="7"/>
  <c r="Y816" i="7"/>
  <c r="Y832" i="7"/>
  <c r="Y848" i="7"/>
  <c r="Y864" i="7"/>
  <c r="Y880" i="7"/>
  <c r="Y896" i="7"/>
  <c r="Y912" i="7"/>
  <c r="Y928" i="7"/>
  <c r="Y944" i="7"/>
  <c r="Y960" i="7"/>
  <c r="Y976" i="7"/>
  <c r="Y992" i="7"/>
  <c r="Y32" i="7"/>
  <c r="Y96" i="7"/>
  <c r="Y160" i="7"/>
  <c r="Y224" i="7"/>
  <c r="Y288" i="7"/>
  <c r="Y352" i="7"/>
  <c r="Y416" i="7"/>
  <c r="Y480" i="7"/>
  <c r="Y526" i="7"/>
  <c r="Y558" i="7"/>
  <c r="Y584" i="7"/>
  <c r="Y606" i="7"/>
  <c r="Y627" i="7"/>
  <c r="Y648" i="7"/>
  <c r="Y670" i="7"/>
  <c r="Y691" i="7"/>
  <c r="Y712" i="7"/>
  <c r="Y734" i="7"/>
  <c r="Y760" i="7"/>
  <c r="Y789" i="7"/>
  <c r="Y813" i="7"/>
  <c r="Y837" i="7"/>
  <c r="Y865" i="7"/>
  <c r="Y889" i="7"/>
  <c r="Y917" i="7"/>
  <c r="Y941" i="7"/>
  <c r="Y969" i="7"/>
  <c r="Y997" i="7"/>
  <c r="Y97" i="7"/>
  <c r="Y209" i="7"/>
  <c r="Y353" i="7"/>
  <c r="Y559" i="7"/>
  <c r="Y650" i="7"/>
  <c r="Y735" i="7"/>
  <c r="Y806" i="7"/>
  <c r="Y870" i="7"/>
  <c r="Y934" i="7"/>
  <c r="Y998" i="7"/>
  <c r="Y954" i="7"/>
  <c r="Y511" i="7"/>
  <c r="Y682" i="7"/>
  <c r="Y798" i="7"/>
  <c r="Y910" i="7"/>
  <c r="Y337" i="7"/>
  <c r="Y623" i="7"/>
  <c r="Y770" i="7"/>
  <c r="Y866" i="7"/>
  <c r="Y978" i="7"/>
  <c r="Y497" i="7"/>
  <c r="Y612" i="7"/>
  <c r="Y698" i="7"/>
  <c r="Y778" i="7"/>
  <c r="Y842" i="7"/>
  <c r="Y986" i="7"/>
  <c r="Y660" i="7"/>
  <c r="Y862" i="7"/>
  <c r="Y401" i="7"/>
  <c r="Y708" i="7"/>
  <c r="Y882" i="7"/>
  <c r="X2" i="7"/>
  <c r="X18" i="7"/>
  <c r="X34" i="7"/>
  <c r="X50" i="7"/>
  <c r="X66" i="7"/>
  <c r="X82" i="7"/>
  <c r="X98" i="7"/>
  <c r="X114" i="7"/>
  <c r="X130" i="7"/>
  <c r="X146" i="7"/>
  <c r="X162" i="7"/>
  <c r="X178" i="7"/>
  <c r="X194" i="7"/>
  <c r="X210" i="7"/>
  <c r="X226" i="7"/>
  <c r="X242" i="7"/>
  <c r="X258" i="7"/>
  <c r="X274" i="7"/>
  <c r="X290" i="7"/>
  <c r="X306" i="7"/>
  <c r="X322" i="7"/>
  <c r="X338" i="7"/>
  <c r="X354" i="7"/>
  <c r="X370" i="7"/>
  <c r="X386" i="7"/>
  <c r="X402" i="7"/>
  <c r="X418" i="7"/>
  <c r="X434" i="7"/>
  <c r="X450" i="7"/>
  <c r="X466" i="7"/>
  <c r="X482" i="7"/>
  <c r="X498" i="7"/>
  <c r="X7" i="7"/>
  <c r="X23" i="7"/>
  <c r="X39" i="7"/>
  <c r="X55" i="7"/>
  <c r="X71" i="7"/>
  <c r="X87" i="7"/>
  <c r="X103" i="7"/>
  <c r="X119" i="7"/>
  <c r="X135" i="7"/>
  <c r="X151" i="7"/>
  <c r="X167" i="7"/>
  <c r="X183" i="7"/>
  <c r="X199" i="7"/>
  <c r="X215" i="7"/>
  <c r="X231" i="7"/>
  <c r="X247" i="7"/>
  <c r="X263" i="7"/>
  <c r="X279" i="7"/>
  <c r="X295" i="7"/>
  <c r="X311" i="7"/>
  <c r="X327" i="7"/>
  <c r="X343" i="7"/>
  <c r="X359" i="7"/>
  <c r="X375" i="7"/>
  <c r="X391" i="7"/>
  <c r="X407" i="7"/>
  <c r="X423" i="7"/>
  <c r="X439" i="7"/>
  <c r="X455" i="7"/>
  <c r="X471" i="7"/>
  <c r="X487" i="7"/>
  <c r="X503" i="7"/>
  <c r="X12" i="7"/>
  <c r="X28" i="7"/>
  <c r="X44" i="7"/>
  <c r="X60" i="7"/>
  <c r="X76" i="7"/>
  <c r="X92" i="7"/>
  <c r="X108" i="7"/>
  <c r="X124" i="7"/>
  <c r="X140" i="7"/>
  <c r="X156" i="7"/>
  <c r="X172" i="7"/>
  <c r="X188" i="7"/>
  <c r="X204" i="7"/>
  <c r="X220" i="7"/>
  <c r="X236" i="7"/>
  <c r="X252" i="7"/>
  <c r="X268" i="7"/>
  <c r="X284" i="7"/>
  <c r="X300" i="7"/>
  <c r="X316" i="7"/>
  <c r="X332" i="7"/>
  <c r="X348" i="7"/>
  <c r="X364" i="7"/>
  <c r="X380" i="7"/>
  <c r="X396" i="7"/>
  <c r="X412" i="7"/>
  <c r="X428" i="7"/>
  <c r="X444" i="7"/>
  <c r="X460" i="7"/>
  <c r="X476" i="7"/>
  <c r="X37" i="7"/>
  <c r="X101" i="7"/>
  <c r="X165" i="7"/>
  <c r="X229" i="7"/>
  <c r="X293" i="7"/>
  <c r="X357" i="7"/>
  <c r="X421" i="7"/>
  <c r="X484" i="7"/>
  <c r="X512" i="7"/>
  <c r="X528" i="7"/>
  <c r="X544" i="7"/>
  <c r="X560" i="7"/>
  <c r="X576" i="7"/>
  <c r="X592" i="7"/>
  <c r="X608" i="7"/>
  <c r="X624" i="7"/>
  <c r="X640" i="7"/>
  <c r="X656" i="7"/>
  <c r="X672" i="7"/>
  <c r="X688" i="7"/>
  <c r="X704" i="7"/>
  <c r="X720" i="7"/>
  <c r="X736" i="7"/>
  <c r="X752" i="7"/>
  <c r="X768" i="7"/>
  <c r="X784" i="7"/>
  <c r="X800" i="7"/>
  <c r="X816" i="7"/>
  <c r="X832" i="7"/>
  <c r="X848" i="7"/>
  <c r="X864" i="7"/>
  <c r="X880" i="7"/>
  <c r="X57" i="7"/>
  <c r="X121" i="7"/>
  <c r="X185" i="7"/>
  <c r="X249" i="7"/>
  <c r="X313" i="7"/>
  <c r="X377" i="7"/>
  <c r="X441" i="7"/>
  <c r="X493" i="7"/>
  <c r="X517" i="7"/>
  <c r="X533" i="7"/>
  <c r="X549" i="7"/>
  <c r="X565" i="7"/>
  <c r="X581" i="7"/>
  <c r="X597" i="7"/>
  <c r="X613" i="7"/>
  <c r="X629" i="7"/>
  <c r="X645" i="7"/>
  <c r="X661" i="7"/>
  <c r="X677" i="7"/>
  <c r="X109" i="7"/>
  <c r="X237" i="7"/>
  <c r="X365" i="7"/>
  <c r="X488" i="7"/>
  <c r="X530" i="7"/>
  <c r="X562" i="7"/>
  <c r="X594" i="7"/>
  <c r="X626" i="7"/>
  <c r="X658" i="7"/>
  <c r="X686" i="7"/>
  <c r="X707" i="7"/>
  <c r="X729" i="7"/>
  <c r="X750" i="7"/>
  <c r="X771" i="7"/>
  <c r="X793" i="7"/>
  <c r="X814" i="7"/>
  <c r="X835" i="7"/>
  <c r="X857" i="7"/>
  <c r="X878" i="7"/>
  <c r="X895" i="7"/>
  <c r="X911" i="7"/>
  <c r="X927" i="7"/>
  <c r="X943" i="7"/>
  <c r="X959" i="7"/>
  <c r="X975" i="7"/>
  <c r="X991" i="7"/>
  <c r="X317" i="7"/>
  <c r="X526" i="7"/>
  <c r="X590" i="7"/>
  <c r="X654" i="7"/>
  <c r="X705" i="7"/>
  <c r="X747" i="7"/>
  <c r="X785" i="7"/>
  <c r="X827" i="7"/>
  <c r="X870" i="7"/>
  <c r="X905" i="7"/>
  <c r="X937" i="7"/>
  <c r="X969" i="7"/>
  <c r="X33" i="7"/>
  <c r="X289" i="7"/>
  <c r="X511" i="7"/>
  <c r="X575" i="7"/>
  <c r="X639" i="7"/>
  <c r="X695" i="7"/>
  <c r="X743" i="7"/>
  <c r="X786" i="7"/>
  <c r="X829" i="7"/>
  <c r="X871" i="7"/>
  <c r="X906" i="7"/>
  <c r="X938" i="7"/>
  <c r="X970" i="7"/>
  <c r="X17" i="7"/>
  <c r="X145" i="7"/>
  <c r="X273" i="7"/>
  <c r="X401" i="7"/>
  <c r="X505" i="7"/>
  <c r="X539" i="7"/>
  <c r="X571" i="7"/>
  <c r="X603" i="7"/>
  <c r="X635" i="7"/>
  <c r="X667" i="7"/>
  <c r="X693" i="7"/>
  <c r="X714" i="7"/>
  <c r="X735" i="7"/>
  <c r="X757" i="7"/>
  <c r="X778" i="7"/>
  <c r="X799" i="7"/>
  <c r="X821" i="7"/>
  <c r="X842" i="7"/>
  <c r="X863" i="7"/>
  <c r="X884" i="7"/>
  <c r="X900" i="7"/>
  <c r="X916" i="7"/>
  <c r="X932" i="7"/>
  <c r="X948" i="7"/>
  <c r="AC513" i="7"/>
  <c r="AB380" i="7"/>
  <c r="AB661" i="7"/>
  <c r="AB607" i="7"/>
  <c r="AA458" i="7"/>
  <c r="AA604" i="7"/>
  <c r="AA726" i="7"/>
  <c r="AA583" i="7"/>
  <c r="AA992" i="7"/>
  <c r="AA638" i="7"/>
  <c r="AA862" i="7"/>
  <c r="Z238" i="7"/>
  <c r="Z506" i="7"/>
  <c r="Z255" i="7"/>
  <c r="Z4" i="7"/>
  <c r="Z260" i="7"/>
  <c r="Z117" i="7"/>
  <c r="Z661" i="7"/>
  <c r="Z917" i="7"/>
  <c r="Z550" i="7"/>
  <c r="Z269" i="7"/>
  <c r="Z894" i="7"/>
  <c r="Z724" i="7"/>
  <c r="Z497" i="7"/>
  <c r="Z934" i="7"/>
  <c r="Z786" i="7"/>
  <c r="Y94" i="7"/>
  <c r="Y350" i="7"/>
  <c r="Y99" i="7"/>
  <c r="Y339" i="7"/>
  <c r="Y467" i="7"/>
  <c r="Y172" i="7"/>
  <c r="Y428" i="7"/>
  <c r="Y45" i="7"/>
  <c r="Y301" i="7"/>
  <c r="Y501" i="7"/>
  <c r="Y569" i="7"/>
  <c r="Y633" i="7"/>
  <c r="Y697" i="7"/>
  <c r="Y761" i="7"/>
  <c r="Y248" i="7"/>
  <c r="Y504" i="7"/>
  <c r="Y614" i="7"/>
  <c r="Y699" i="7"/>
  <c r="Y779" i="7"/>
  <c r="Y843" i="7"/>
  <c r="Y907" i="7"/>
  <c r="Y971" i="7"/>
  <c r="Y841" i="7"/>
  <c r="Y17" i="7"/>
  <c r="Y153" i="7"/>
  <c r="Y409" i="7"/>
  <c r="Y583" i="7"/>
  <c r="Y668" i="7"/>
  <c r="Y754" i="7"/>
  <c r="Y820" i="7"/>
  <c r="Y884" i="7"/>
  <c r="Y948" i="7"/>
  <c r="Y48" i="7"/>
  <c r="Y304" i="7"/>
  <c r="Y534" i="7"/>
  <c r="Y632" i="7"/>
  <c r="Y718" i="7"/>
  <c r="Y821" i="7"/>
  <c r="Y921" i="7"/>
  <c r="Y129" i="7"/>
  <c r="Y671" i="7"/>
  <c r="Y950" i="7"/>
  <c r="Y703" i="7"/>
  <c r="Y666" i="7"/>
  <c r="Y535" i="7"/>
  <c r="Y874" i="7"/>
  <c r="Y519" i="7"/>
  <c r="X22" i="7"/>
  <c r="X86" i="7"/>
  <c r="X150" i="7"/>
  <c r="X214" i="7"/>
  <c r="X278" i="7"/>
  <c r="X342" i="7"/>
  <c r="X406" i="7"/>
  <c r="X470" i="7"/>
  <c r="X27" i="7"/>
  <c r="X91" i="7"/>
  <c r="X155" i="7"/>
  <c r="X219" i="7"/>
  <c r="X283" i="7"/>
  <c r="X347" i="7"/>
  <c r="X411" i="7"/>
  <c r="X475" i="7"/>
  <c r="X32" i="7"/>
  <c r="X96" i="7"/>
  <c r="X160" i="7"/>
  <c r="X224" i="7"/>
  <c r="X288" i="7"/>
  <c r="X352" i="7"/>
  <c r="X416" i="7"/>
  <c r="X480" i="7"/>
  <c r="X245" i="7"/>
  <c r="X492" i="7"/>
  <c r="X564" i="7"/>
  <c r="X628" i="7"/>
  <c r="X692" i="7"/>
  <c r="X756" i="7"/>
  <c r="X820" i="7"/>
  <c r="X9" i="7"/>
  <c r="X265" i="7"/>
  <c r="X501" i="7"/>
  <c r="X569" i="7"/>
  <c r="X633" i="7"/>
  <c r="X141" i="7"/>
  <c r="X538" i="7"/>
  <c r="X666" i="7"/>
  <c r="X755" i="7"/>
  <c r="X841" i="7"/>
  <c r="X915" i="7"/>
  <c r="X979" i="7"/>
  <c r="X606" i="7"/>
  <c r="X795" i="7"/>
  <c r="X945" i="7"/>
  <c r="X527" i="7"/>
  <c r="X754" i="7"/>
  <c r="X914" i="7"/>
  <c r="X177" i="7"/>
  <c r="X547" i="7"/>
  <c r="X675" i="7"/>
  <c r="X762" i="7"/>
  <c r="X847" i="7"/>
  <c r="X920" i="7"/>
  <c r="X968" i="7"/>
  <c r="X1000" i="7"/>
  <c r="X285" i="7"/>
  <c r="X566" i="7"/>
  <c r="X689" i="7"/>
  <c r="X774" i="7"/>
  <c r="X865" i="7"/>
  <c r="X933" i="7"/>
  <c r="X997" i="7"/>
  <c r="X497" i="7"/>
  <c r="X631" i="7"/>
  <c r="X727" i="7"/>
  <c r="X813" i="7"/>
  <c r="X894" i="7"/>
  <c r="X958" i="7"/>
  <c r="W10" i="7"/>
  <c r="W42" i="7"/>
  <c r="W74" i="7"/>
  <c r="W106" i="7"/>
  <c r="W138" i="7"/>
  <c r="W170" i="7"/>
  <c r="W202" i="7"/>
  <c r="W234" i="7"/>
  <c r="W266" i="7"/>
  <c r="W298" i="7"/>
  <c r="W330" i="7"/>
  <c r="W362" i="7"/>
  <c r="W394" i="7"/>
  <c r="W426" i="7"/>
  <c r="W458" i="7"/>
  <c r="W490" i="7"/>
  <c r="W15" i="7"/>
  <c r="W47" i="7"/>
  <c r="W79" i="7"/>
  <c r="W111" i="7"/>
  <c r="W143" i="7"/>
  <c r="W175" i="7"/>
  <c r="W207" i="7"/>
  <c r="W239" i="7"/>
  <c r="W271" i="7"/>
  <c r="W303" i="7"/>
  <c r="W335" i="7"/>
  <c r="W367" i="7"/>
  <c r="W399" i="7"/>
  <c r="W431" i="7"/>
  <c r="W463" i="7"/>
  <c r="W495" i="7"/>
  <c r="W36" i="7"/>
  <c r="W100" i="7"/>
  <c r="W164" i="7"/>
  <c r="W228" i="7"/>
  <c r="W292" i="7"/>
  <c r="W356" i="7"/>
  <c r="W420" i="7"/>
  <c r="W484" i="7"/>
  <c r="W528" i="7"/>
  <c r="W560" i="7"/>
  <c r="W592" i="7"/>
  <c r="W624" i="7"/>
  <c r="W656" i="7"/>
  <c r="W688" i="7"/>
  <c r="W720" i="7"/>
  <c r="W752" i="7"/>
  <c r="W784" i="7"/>
  <c r="W816" i="7"/>
  <c r="W848" i="7"/>
  <c r="W880" i="7"/>
  <c r="W912" i="7"/>
  <c r="W944" i="7"/>
  <c r="W976" i="7"/>
  <c r="W13" i="7"/>
  <c r="W77" i="7"/>
  <c r="W125" i="7"/>
  <c r="W165" i="7"/>
  <c r="W205" i="7"/>
  <c r="W253" i="7"/>
  <c r="W293" i="7"/>
  <c r="W333" i="7"/>
  <c r="W381" i="7"/>
  <c r="W421" i="7"/>
  <c r="W461" i="7"/>
  <c r="W509" i="7"/>
  <c r="W8" i="7"/>
  <c r="W88" i="7"/>
  <c r="W184" i="7"/>
  <c r="W264" i="7"/>
  <c r="W344" i="7"/>
  <c r="W440" i="7"/>
  <c r="W514" i="7"/>
  <c r="W545" i="7"/>
  <c r="W577" i="7"/>
  <c r="W603" i="7"/>
  <c r="W630" i="7"/>
  <c r="W657" i="7"/>
  <c r="W678" i="7"/>
  <c r="W699" i="7"/>
  <c r="W721" i="7"/>
  <c r="W742" i="7"/>
  <c r="W763" i="7"/>
  <c r="W785" i="7"/>
  <c r="W806" i="7"/>
  <c r="W827" i="7"/>
  <c r="W849" i="7"/>
  <c r="W870" i="7"/>
  <c r="W891" i="7"/>
  <c r="W913" i="7"/>
  <c r="W934" i="7"/>
  <c r="W955" i="7"/>
  <c r="W977" i="7"/>
  <c r="W998" i="7"/>
  <c r="W57" i="7"/>
  <c r="W121" i="7"/>
  <c r="W185" i="7"/>
  <c r="W249" i="7"/>
  <c r="W313" i="7"/>
  <c r="W377" i="7"/>
  <c r="W441" i="7"/>
  <c r="W505" i="7"/>
  <c r="W535" i="7"/>
  <c r="W557" i="7"/>
  <c r="W578" i="7"/>
  <c r="W599" i="7"/>
  <c r="W621" i="7"/>
  <c r="W642" i="7"/>
  <c r="W663" i="7"/>
  <c r="W685" i="7"/>
  <c r="W706" i="7"/>
  <c r="W727" i="7"/>
  <c r="W749" i="7"/>
  <c r="W770" i="7"/>
  <c r="W791" i="7"/>
  <c r="W813" i="7"/>
  <c r="W834" i="7"/>
  <c r="W855" i="7"/>
  <c r="W877" i="7"/>
  <c r="W898" i="7"/>
  <c r="W919" i="7"/>
  <c r="W941" i="7"/>
  <c r="W962" i="7"/>
  <c r="W983" i="7"/>
  <c r="W16" i="7"/>
  <c r="W80" i="7"/>
  <c r="W144" i="7"/>
  <c r="W208" i="7"/>
  <c r="W272" i="7"/>
  <c r="W336" i="7"/>
  <c r="W400" i="7"/>
  <c r="W464" i="7"/>
  <c r="W518" i="7"/>
  <c r="W542" i="7"/>
  <c r="W563" i="7"/>
  <c r="W585" i="7"/>
  <c r="W606" i="7"/>
  <c r="W627" i="7"/>
  <c r="W649" i="7"/>
  <c r="W670" i="7"/>
  <c r="W691" i="7"/>
  <c r="W713" i="7"/>
  <c r="W734" i="7"/>
  <c r="W755" i="7"/>
  <c r="W777" i="7"/>
  <c r="W798" i="7"/>
  <c r="W819" i="7"/>
  <c r="W841" i="7"/>
  <c r="W862" i="7"/>
  <c r="W883" i="7"/>
  <c r="W905" i="7"/>
  <c r="W926" i="7"/>
  <c r="W947" i="7"/>
  <c r="W969" i="7"/>
  <c r="W990" i="7"/>
  <c r="W49" i="7"/>
  <c r="W113" i="7"/>
  <c r="W177" i="7"/>
  <c r="W241" i="7"/>
  <c r="W305" i="7"/>
  <c r="W369" i="7"/>
  <c r="W433" i="7"/>
  <c r="W497" i="7"/>
  <c r="W533" i="7"/>
  <c r="W554" i="7"/>
  <c r="W575" i="7"/>
  <c r="W597" i="7"/>
  <c r="W618" i="7"/>
  <c r="W639" i="7"/>
  <c r="W661" i="7"/>
  <c r="W682" i="7"/>
  <c r="W703" i="7"/>
  <c r="W725" i="7"/>
  <c r="W746" i="7"/>
  <c r="W767" i="7"/>
  <c r="W789" i="7"/>
  <c r="W810" i="7"/>
  <c r="W831" i="7"/>
  <c r="W853" i="7"/>
  <c r="W874" i="7"/>
  <c r="W895" i="7"/>
  <c r="W917" i="7"/>
  <c r="W938" i="7"/>
  <c r="W959" i="7"/>
  <c r="W981" i="7"/>
  <c r="V2" i="7"/>
  <c r="V18" i="7"/>
  <c r="V34" i="7"/>
  <c r="V50" i="7"/>
  <c r="V66" i="7"/>
  <c r="V82" i="7"/>
  <c r="V98" i="7"/>
  <c r="V114" i="7"/>
  <c r="V130" i="7"/>
  <c r="V146" i="7"/>
  <c r="V162" i="7"/>
  <c r="V178" i="7"/>
  <c r="V194" i="7"/>
  <c r="V210" i="7"/>
  <c r="V226" i="7"/>
  <c r="V242" i="7"/>
  <c r="V258" i="7"/>
  <c r="V274" i="7"/>
  <c r="V290" i="7"/>
  <c r="V306" i="7"/>
  <c r="V322" i="7"/>
  <c r="V338" i="7"/>
  <c r="V354" i="7"/>
  <c r="V370" i="7"/>
  <c r="V386" i="7"/>
  <c r="V402" i="7"/>
  <c r="V418" i="7"/>
  <c r="V434" i="7"/>
  <c r="V450" i="7"/>
  <c r="V466" i="7"/>
  <c r="V482" i="7"/>
  <c r="V11" i="7"/>
  <c r="V27" i="7"/>
  <c r="V43" i="7"/>
  <c r="V59" i="7"/>
  <c r="V75" i="7"/>
  <c r="V91" i="7"/>
  <c r="V107" i="7"/>
  <c r="V123" i="7"/>
  <c r="V139" i="7"/>
  <c r="V155" i="7"/>
  <c r="V171" i="7"/>
  <c r="V187" i="7"/>
  <c r="V203" i="7"/>
  <c r="V219" i="7"/>
  <c r="V235" i="7"/>
  <c r="V251" i="7"/>
  <c r="V267" i="7"/>
  <c r="V283" i="7"/>
  <c r="V299" i="7"/>
  <c r="V315" i="7"/>
  <c r="V331" i="7"/>
  <c r="V347" i="7"/>
  <c r="V363" i="7"/>
  <c r="V379" i="7"/>
  <c r="V395" i="7"/>
  <c r="V411" i="7"/>
  <c r="V427" i="7"/>
  <c r="V443" i="7"/>
  <c r="V459" i="7"/>
  <c r="V475" i="7"/>
  <c r="V491" i="7"/>
  <c r="V507" i="7"/>
  <c r="V28" i="7"/>
  <c r="V60" i="7"/>
  <c r="V92" i="7"/>
  <c r="V124" i="7"/>
  <c r="V156" i="7"/>
  <c r="V188" i="7"/>
  <c r="V220" i="7"/>
  <c r="V252" i="7"/>
  <c r="V284" i="7"/>
  <c r="V316" i="7"/>
  <c r="V348" i="7"/>
  <c r="V380" i="7"/>
  <c r="V412" i="7"/>
  <c r="V444" i="7"/>
  <c r="V476" i="7"/>
  <c r="V501" i="7"/>
  <c r="V519" i="7"/>
  <c r="V535" i="7"/>
  <c r="V551" i="7"/>
  <c r="V567" i="7"/>
  <c r="V583" i="7"/>
  <c r="V599" i="7"/>
  <c r="V615" i="7"/>
  <c r="V631" i="7"/>
  <c r="V647" i="7"/>
  <c r="V663" i="7"/>
  <c r="V679" i="7"/>
  <c r="V695" i="7"/>
  <c r="V711" i="7"/>
  <c r="V727" i="7"/>
  <c r="V743" i="7"/>
  <c r="V5" i="7"/>
  <c r="V37" i="7"/>
  <c r="V69" i="7"/>
  <c r="V101" i="7"/>
  <c r="V133" i="7"/>
  <c r="V165" i="7"/>
  <c r="V8" i="7"/>
  <c r="V72" i="7"/>
  <c r="V136" i="7"/>
  <c r="V197" i="7"/>
  <c r="V240" i="7"/>
  <c r="V281" i="7"/>
  <c r="V325" i="7"/>
  <c r="V368" i="7"/>
  <c r="V409" i="7"/>
  <c r="V453" i="7"/>
  <c r="V493" i="7"/>
  <c r="V518" i="7"/>
  <c r="V540" i="7"/>
  <c r="V561" i="7"/>
  <c r="V582" i="7"/>
  <c r="V604" i="7"/>
  <c r="V625" i="7"/>
  <c r="V646" i="7"/>
  <c r="V668" i="7"/>
  <c r="V689" i="7"/>
  <c r="V710" i="7"/>
  <c r="V732" i="7"/>
  <c r="V753" i="7"/>
  <c r="V770" i="7"/>
  <c r="V786" i="7"/>
  <c r="V802" i="7"/>
  <c r="V818" i="7"/>
  <c r="V834" i="7"/>
  <c r="V850" i="7"/>
  <c r="V866" i="7"/>
  <c r="V882" i="7"/>
  <c r="V898" i="7"/>
  <c r="V914" i="7"/>
  <c r="V930" i="7"/>
  <c r="V946" i="7"/>
  <c r="V962" i="7"/>
  <c r="V978" i="7"/>
  <c r="V994" i="7"/>
  <c r="V617" i="7"/>
  <c r="V670" i="7"/>
  <c r="V729" i="7"/>
  <c r="V764" i="7"/>
  <c r="V796" i="7"/>
  <c r="V840" i="7"/>
  <c r="V880" i="7"/>
  <c r="V924" i="7"/>
  <c r="V9" i="7"/>
  <c r="V73" i="7"/>
  <c r="V137" i="7"/>
  <c r="V200" i="7"/>
  <c r="V241" i="7"/>
  <c r="V285" i="7"/>
  <c r="V328" i="7"/>
  <c r="V369" i="7"/>
  <c r="V413" i="7"/>
  <c r="V456" i="7"/>
  <c r="V494" i="7"/>
  <c r="V520" i="7"/>
  <c r="V541" i="7"/>
  <c r="V562" i="7"/>
  <c r="V584" i="7"/>
  <c r="V605" i="7"/>
  <c r="V626" i="7"/>
  <c r="V648" i="7"/>
  <c r="V669" i="7"/>
  <c r="V690" i="7"/>
  <c r="V712" i="7"/>
  <c r="V733" i="7"/>
  <c r="V754" i="7"/>
  <c r="V771" i="7"/>
  <c r="V787" i="7"/>
  <c r="V803" i="7"/>
  <c r="V819" i="7"/>
  <c r="V835" i="7"/>
  <c r="V851" i="7"/>
  <c r="V867" i="7"/>
  <c r="V883" i="7"/>
  <c r="V899" i="7"/>
  <c r="V915" i="7"/>
  <c r="V931" i="7"/>
  <c r="V947" i="7"/>
  <c r="V963" i="7"/>
  <c r="V979" i="7"/>
  <c r="V995" i="7"/>
  <c r="V48" i="7"/>
  <c r="V112" i="7"/>
  <c r="V176" i="7"/>
  <c r="V224" i="7"/>
  <c r="V265" i="7"/>
  <c r="V309" i="7"/>
  <c r="V352" i="7"/>
  <c r="V393" i="7"/>
  <c r="V437" i="7"/>
  <c r="V480" i="7"/>
  <c r="V510" i="7"/>
  <c r="V532" i="7"/>
  <c r="V553" i="7"/>
  <c r="V574" i="7"/>
  <c r="V606" i="7"/>
  <c r="V638" i="7"/>
  <c r="V676" i="7"/>
  <c r="V708" i="7"/>
  <c r="V750" i="7"/>
  <c r="V784" i="7"/>
  <c r="V812" i="7"/>
  <c r="V836" i="7"/>
  <c r="V864" i="7"/>
  <c r="V888" i="7"/>
  <c r="V916" i="7"/>
  <c r="V940" i="7"/>
  <c r="V81" i="7"/>
  <c r="V289" i="7"/>
  <c r="V461" i="7"/>
  <c r="V565" i="7"/>
  <c r="V650" i="7"/>
  <c r="V736" i="7"/>
  <c r="V805" i="7"/>
  <c r="V869" i="7"/>
  <c r="V933" i="7"/>
  <c r="V977" i="7"/>
  <c r="V841" i="7"/>
  <c r="V953" i="7"/>
  <c r="V49" i="7"/>
  <c r="V397" i="7"/>
  <c r="V576" i="7"/>
  <c r="V725" i="7"/>
  <c r="V829" i="7"/>
  <c r="V941" i="7"/>
  <c r="V65" i="7"/>
  <c r="V365" i="7"/>
  <c r="V581" i="7"/>
  <c r="V709" i="7"/>
  <c r="V817" i="7"/>
  <c r="V929" i="7"/>
  <c r="V992" i="7"/>
  <c r="V161" i="7"/>
  <c r="V344" i="7"/>
  <c r="V505" i="7"/>
  <c r="V592" i="7"/>
  <c r="V677" i="7"/>
  <c r="V761" i="7"/>
  <c r="V857" i="7"/>
  <c r="V988" i="7"/>
  <c r="V481" i="7"/>
  <c r="V704" i="7"/>
  <c r="V893" i="7"/>
  <c r="V997" i="7"/>
  <c r="V517" i="7"/>
  <c r="V752" i="7"/>
  <c r="V913" i="7"/>
  <c r="U6" i="7"/>
  <c r="U22" i="7"/>
  <c r="U38" i="7"/>
  <c r="U54" i="7"/>
  <c r="U70" i="7"/>
  <c r="U86" i="7"/>
  <c r="U102" i="7"/>
  <c r="U118" i="7"/>
  <c r="U134" i="7"/>
  <c r="U150" i="7"/>
  <c r="U166" i="7"/>
  <c r="U182" i="7"/>
  <c r="U198" i="7"/>
  <c r="U214" i="7"/>
  <c r="U230" i="7"/>
  <c r="U246" i="7"/>
  <c r="U262" i="7"/>
  <c r="U278" i="7"/>
  <c r="U294" i="7"/>
  <c r="U310" i="7"/>
  <c r="U326" i="7"/>
  <c r="U342" i="7"/>
  <c r="U358" i="7"/>
  <c r="U374" i="7"/>
  <c r="U390" i="7"/>
  <c r="U406" i="7"/>
  <c r="U422" i="7"/>
  <c r="U438" i="7"/>
  <c r="U454" i="7"/>
  <c r="U470" i="7"/>
  <c r="U486" i="7"/>
  <c r="U3" i="7"/>
  <c r="U19" i="7"/>
  <c r="U35" i="7"/>
  <c r="U51" i="7"/>
  <c r="U67" i="7"/>
  <c r="U83" i="7"/>
  <c r="U99" i="7"/>
  <c r="U115" i="7"/>
  <c r="U131" i="7"/>
  <c r="U147" i="7"/>
  <c r="U163" i="7"/>
  <c r="U179" i="7"/>
  <c r="U195" i="7"/>
  <c r="U211" i="7"/>
  <c r="U227" i="7"/>
  <c r="U243" i="7"/>
  <c r="U259" i="7"/>
  <c r="U275" i="7"/>
  <c r="U291" i="7"/>
  <c r="U307" i="7"/>
  <c r="U323" i="7"/>
  <c r="U339" i="7"/>
  <c r="U355" i="7"/>
  <c r="U371" i="7"/>
  <c r="U387" i="7"/>
  <c r="U403" i="7"/>
  <c r="U419" i="7"/>
  <c r="U435" i="7"/>
  <c r="U451" i="7"/>
  <c r="U467" i="7"/>
  <c r="U483" i="7"/>
  <c r="U499" i="7"/>
  <c r="U12" i="7"/>
  <c r="U44" i="7"/>
  <c r="U76" i="7"/>
  <c r="U108" i="7"/>
  <c r="U140" i="7"/>
  <c r="U172" i="7"/>
  <c r="U204" i="7"/>
  <c r="U236" i="7"/>
  <c r="U268" i="7"/>
  <c r="U300" i="7"/>
  <c r="U332" i="7"/>
  <c r="U364" i="7"/>
  <c r="U396" i="7"/>
  <c r="U428" i="7"/>
  <c r="U460" i="7"/>
  <c r="U492" i="7"/>
  <c r="U514" i="7"/>
  <c r="U530" i="7"/>
  <c r="U546" i="7"/>
  <c r="U562" i="7"/>
  <c r="U13" i="7"/>
  <c r="U45" i="7"/>
  <c r="U77" i="7"/>
  <c r="U109" i="7"/>
  <c r="U141" i="7"/>
  <c r="U173" i="7"/>
  <c r="U205" i="7"/>
  <c r="U237" i="7"/>
  <c r="U269" i="7"/>
  <c r="U301" i="7"/>
  <c r="U333" i="7"/>
  <c r="U365" i="7"/>
  <c r="U397" i="7"/>
  <c r="U429" i="7"/>
  <c r="U461" i="7"/>
  <c r="U493" i="7"/>
  <c r="U515" i="7"/>
  <c r="U531" i="7"/>
  <c r="U547" i="7"/>
  <c r="U563" i="7"/>
  <c r="U579" i="7"/>
  <c r="U595" i="7"/>
  <c r="U611" i="7"/>
  <c r="U627" i="7"/>
  <c r="U643" i="7"/>
  <c r="U659" i="7"/>
  <c r="U675" i="7"/>
  <c r="U691" i="7"/>
  <c r="U707" i="7"/>
  <c r="U723" i="7"/>
  <c r="U739" i="7"/>
  <c r="U755" i="7"/>
  <c r="U24" i="7"/>
  <c r="U56" i="7"/>
  <c r="U88" i="7"/>
  <c r="U120" i="7"/>
  <c r="U152" i="7"/>
  <c r="U184" i="7"/>
  <c r="U216" i="7"/>
  <c r="U248" i="7"/>
  <c r="U280" i="7"/>
  <c r="U312" i="7"/>
  <c r="U344" i="7"/>
  <c r="U376" i="7"/>
  <c r="U408" i="7"/>
  <c r="U440" i="7"/>
  <c r="U472" i="7"/>
  <c r="U502" i="7"/>
  <c r="U520" i="7"/>
  <c r="U536" i="7"/>
  <c r="U552" i="7"/>
  <c r="U568" i="7"/>
  <c r="U584" i="7"/>
  <c r="U600" i="7"/>
  <c r="U616" i="7"/>
  <c r="U632" i="7"/>
  <c r="U648" i="7"/>
  <c r="U664" i="7"/>
  <c r="U680" i="7"/>
  <c r="U696" i="7"/>
  <c r="U712" i="7"/>
  <c r="U728" i="7"/>
  <c r="U744" i="7"/>
  <c r="U760" i="7"/>
  <c r="U105" i="7"/>
  <c r="U233" i="7"/>
  <c r="U361" i="7"/>
  <c r="U489" i="7"/>
  <c r="U561" i="7"/>
  <c r="U598" i="7"/>
  <c r="U630" i="7"/>
  <c r="U662" i="7"/>
  <c r="U694" i="7"/>
  <c r="U726" i="7"/>
  <c r="U758" i="7"/>
  <c r="U776" i="7"/>
  <c r="U792" i="7"/>
  <c r="U808" i="7"/>
  <c r="U824" i="7"/>
  <c r="U840" i="7"/>
  <c r="U856" i="7"/>
  <c r="U872" i="7"/>
  <c r="U888" i="7"/>
  <c r="U904" i="7"/>
  <c r="U920" i="7"/>
  <c r="U936" i="7"/>
  <c r="U952" i="7"/>
  <c r="U968" i="7"/>
  <c r="U984" i="7"/>
  <c r="U1000" i="7"/>
  <c r="U890" i="7"/>
  <c r="U934" i="7"/>
  <c r="U974" i="7"/>
  <c r="U161" i="7"/>
  <c r="U481" i="7"/>
  <c r="U17" i="7"/>
  <c r="U145" i="7"/>
  <c r="U273" i="7"/>
  <c r="U401" i="7"/>
  <c r="U517" i="7"/>
  <c r="U577" i="7"/>
  <c r="U609" i="7"/>
  <c r="U641" i="7"/>
  <c r="U673" i="7"/>
  <c r="U705" i="7"/>
  <c r="U737" i="7"/>
  <c r="U765" i="7"/>
  <c r="U781" i="7"/>
  <c r="U797" i="7"/>
  <c r="U813" i="7"/>
  <c r="U829" i="7"/>
  <c r="U845" i="7"/>
  <c r="U861" i="7"/>
  <c r="U877" i="7"/>
  <c r="U893" i="7"/>
  <c r="U909" i="7"/>
  <c r="U925" i="7"/>
  <c r="U941" i="7"/>
  <c r="U957" i="7"/>
  <c r="U973" i="7"/>
  <c r="U989" i="7"/>
  <c r="U862" i="7"/>
  <c r="U898" i="7"/>
  <c r="U938" i="7"/>
  <c r="U982" i="7"/>
  <c r="U193" i="7"/>
  <c r="U509" i="7"/>
  <c r="U25" i="7"/>
  <c r="U153" i="7"/>
  <c r="U281" i="7"/>
  <c r="U409" i="7"/>
  <c r="U521" i="7"/>
  <c r="U578" i="7"/>
  <c r="U610" i="7"/>
  <c r="U642" i="7"/>
  <c r="U674" i="7"/>
  <c r="U706" i="7"/>
  <c r="U738" i="7"/>
  <c r="U766" i="7"/>
  <c r="U782" i="7"/>
  <c r="U798" i="7"/>
  <c r="U814" i="7"/>
  <c r="U830" i="7"/>
  <c r="U846" i="7"/>
  <c r="U906" i="7"/>
  <c r="U978" i="7"/>
  <c r="U417" i="7"/>
  <c r="U645" i="7"/>
  <c r="U767" i="7"/>
  <c r="U831" i="7"/>
  <c r="U895" i="7"/>
  <c r="U959" i="7"/>
  <c r="U685" i="7"/>
  <c r="U787" i="7"/>
  <c r="U851" i="7"/>
  <c r="U915" i="7"/>
  <c r="U979" i="7"/>
  <c r="U733" i="7"/>
  <c r="U875" i="7"/>
  <c r="U987" i="7"/>
  <c r="U725" i="7"/>
  <c r="U807" i="7"/>
  <c r="U871" i="7"/>
  <c r="U935" i="7"/>
  <c r="U637" i="7"/>
  <c r="U827" i="7"/>
  <c r="U971" i="7"/>
  <c r="T10" i="7"/>
  <c r="T26" i="7"/>
  <c r="T42" i="7"/>
  <c r="T58" i="7"/>
  <c r="T74" i="7"/>
  <c r="AC734" i="7"/>
  <c r="AB499" i="7"/>
  <c r="AB237" i="7"/>
  <c r="AB503" i="7"/>
  <c r="AA207" i="7"/>
  <c r="AA732" i="7"/>
  <c r="AA863" i="7"/>
  <c r="AA754" i="7"/>
  <c r="AA581" i="7"/>
  <c r="AA877" i="7"/>
  <c r="AA974" i="7"/>
  <c r="Z314" i="7"/>
  <c r="Z63" i="7"/>
  <c r="Z319" i="7"/>
  <c r="Z68" i="7"/>
  <c r="Z324" i="7"/>
  <c r="Z373" i="7"/>
  <c r="Z725" i="7"/>
  <c r="Z981" i="7"/>
  <c r="Z614" i="7"/>
  <c r="Z571" i="7"/>
  <c r="Z979" i="7"/>
  <c r="Z826" i="7"/>
  <c r="Z631" i="7"/>
  <c r="Z129" i="7"/>
  <c r="Z871" i="7"/>
  <c r="Y158" i="7"/>
  <c r="Y414" i="7"/>
  <c r="Y163" i="7"/>
  <c r="Y371" i="7"/>
  <c r="Y499" i="7"/>
  <c r="Y236" i="7"/>
  <c r="Y492" i="7"/>
  <c r="Y109" i="7"/>
  <c r="Y365" i="7"/>
  <c r="Y521" i="7"/>
  <c r="Y585" i="7"/>
  <c r="Y649" i="7"/>
  <c r="Y713" i="7"/>
  <c r="Y56" i="7"/>
  <c r="Y312" i="7"/>
  <c r="Y538" i="7"/>
  <c r="Y635" i="7"/>
  <c r="Y720" i="7"/>
  <c r="Y795" i="7"/>
  <c r="Y859" i="7"/>
  <c r="Y923" i="7"/>
  <c r="Y987" i="7"/>
  <c r="Y881" i="7"/>
  <c r="Y193" i="7"/>
  <c r="Y217" i="7"/>
  <c r="Y473" i="7"/>
  <c r="Y604" i="7"/>
  <c r="Y690" i="7"/>
  <c r="Y772" i="7"/>
  <c r="Y836" i="7"/>
  <c r="Y900" i="7"/>
  <c r="Y964" i="7"/>
  <c r="Y112" i="7"/>
  <c r="Y368" i="7"/>
  <c r="Y566" i="7"/>
  <c r="Y654" i="7"/>
  <c r="Y739" i="7"/>
  <c r="Y845" i="7"/>
  <c r="Y949" i="7"/>
  <c r="Y241" i="7"/>
  <c r="Y756" i="7"/>
  <c r="Y858" i="7"/>
  <c r="Y830" i="7"/>
  <c r="Y786" i="7"/>
  <c r="Y634" i="7"/>
  <c r="Y385" i="7"/>
  <c r="Y751" i="7"/>
  <c r="X38" i="7"/>
  <c r="X102" i="7"/>
  <c r="X166" i="7"/>
  <c r="X230" i="7"/>
  <c r="X294" i="7"/>
  <c r="X358" i="7"/>
  <c r="X422" i="7"/>
  <c r="X486" i="7"/>
  <c r="X43" i="7"/>
  <c r="X107" i="7"/>
  <c r="X171" i="7"/>
  <c r="X235" i="7"/>
  <c r="X299" i="7"/>
  <c r="X363" i="7"/>
  <c r="X427" i="7"/>
  <c r="X491" i="7"/>
  <c r="X48" i="7"/>
  <c r="X112" i="7"/>
  <c r="X176" i="7"/>
  <c r="X240" i="7"/>
  <c r="X304" i="7"/>
  <c r="X368" i="7"/>
  <c r="X432" i="7"/>
  <c r="X53" i="7"/>
  <c r="X309" i="7"/>
  <c r="X516" i="7"/>
  <c r="X580" i="7"/>
  <c r="X644" i="7"/>
  <c r="X708" i="7"/>
  <c r="X772" i="7"/>
  <c r="X836" i="7"/>
  <c r="X73" i="7"/>
  <c r="X329" i="7"/>
  <c r="X521" i="7"/>
  <c r="X585" i="7"/>
  <c r="X649" i="7"/>
  <c r="X269" i="7"/>
  <c r="X570" i="7"/>
  <c r="X691" i="7"/>
  <c r="X777" i="7"/>
  <c r="X862" i="7"/>
  <c r="X931" i="7"/>
  <c r="X995" i="7"/>
  <c r="X670" i="7"/>
  <c r="X838" i="7"/>
  <c r="X977" i="7"/>
  <c r="X591" i="7"/>
  <c r="X797" i="7"/>
  <c r="X946" i="7"/>
  <c r="X305" i="7"/>
  <c r="X579" i="7"/>
  <c r="X698" i="7"/>
  <c r="X783" i="7"/>
  <c r="X869" i="7"/>
  <c r="X936" i="7"/>
  <c r="X980" i="7"/>
  <c r="X93" i="7"/>
  <c r="X445" i="7"/>
  <c r="X614" i="7"/>
  <c r="X721" i="7"/>
  <c r="X811" i="7"/>
  <c r="X893" i="7"/>
  <c r="X957" i="7"/>
  <c r="X193" i="7"/>
  <c r="X551" i="7"/>
  <c r="X679" i="7"/>
  <c r="X759" i="7"/>
  <c r="X845" i="7"/>
  <c r="X918" i="7"/>
  <c r="X982" i="7"/>
  <c r="W22" i="7"/>
  <c r="W54" i="7"/>
  <c r="W86" i="7"/>
  <c r="W118" i="7"/>
  <c r="W150" i="7"/>
  <c r="W182" i="7"/>
  <c r="W214" i="7"/>
  <c r="W246" i="7"/>
  <c r="W278" i="7"/>
  <c r="W310" i="7"/>
  <c r="W342" i="7"/>
  <c r="W374" i="7"/>
  <c r="W406" i="7"/>
  <c r="W438" i="7"/>
  <c r="W470" i="7"/>
  <c r="W502" i="7"/>
  <c r="W27" i="7"/>
  <c r="W59" i="7"/>
  <c r="W91" i="7"/>
  <c r="W123" i="7"/>
  <c r="W155" i="7"/>
  <c r="W187" i="7"/>
  <c r="W219" i="7"/>
  <c r="W251" i="7"/>
  <c r="W283" i="7"/>
  <c r="W315" i="7"/>
  <c r="W347" i="7"/>
  <c r="W379" i="7"/>
  <c r="W411" i="7"/>
  <c r="W443" i="7"/>
  <c r="W475" i="7"/>
  <c r="W507" i="7"/>
  <c r="W60" i="7"/>
  <c r="W124" i="7"/>
  <c r="W188" i="7"/>
  <c r="W252" i="7"/>
  <c r="W316" i="7"/>
  <c r="W380" i="7"/>
  <c r="W444" i="7"/>
  <c r="W508" i="7"/>
  <c r="W540" i="7"/>
  <c r="W572" i="7"/>
  <c r="W604" i="7"/>
  <c r="W636" i="7"/>
  <c r="W668" i="7"/>
  <c r="W700" i="7"/>
  <c r="W732" i="7"/>
  <c r="W764" i="7"/>
  <c r="W796" i="7"/>
  <c r="W828" i="7"/>
  <c r="W860" i="7"/>
  <c r="W892" i="7"/>
  <c r="W924" i="7"/>
  <c r="W956" i="7"/>
  <c r="W988" i="7"/>
  <c r="W37" i="7"/>
  <c r="W93" i="7"/>
  <c r="W133" i="7"/>
  <c r="W173" i="7"/>
  <c r="W221" i="7"/>
  <c r="W261" i="7"/>
  <c r="W301" i="7"/>
  <c r="W349" i="7"/>
  <c r="W389" i="7"/>
  <c r="W429" i="7"/>
  <c r="W477" i="7"/>
  <c r="W513" i="7"/>
  <c r="W24" i="7"/>
  <c r="W120" i="7"/>
  <c r="W200" i="7"/>
  <c r="W280" i="7"/>
  <c r="W376" i="7"/>
  <c r="W456" i="7"/>
  <c r="W522" i="7"/>
  <c r="W555" i="7"/>
  <c r="W582" i="7"/>
  <c r="W609" i="7"/>
  <c r="W641" i="7"/>
  <c r="W662" i="7"/>
  <c r="W683" i="7"/>
  <c r="W705" i="7"/>
  <c r="W726" i="7"/>
  <c r="W747" i="7"/>
  <c r="W769" i="7"/>
  <c r="W790" i="7"/>
  <c r="W811" i="7"/>
  <c r="W833" i="7"/>
  <c r="W854" i="7"/>
  <c r="W875" i="7"/>
  <c r="W897" i="7"/>
  <c r="W918" i="7"/>
  <c r="W939" i="7"/>
  <c r="W961" i="7"/>
  <c r="W982" i="7"/>
  <c r="W9" i="7"/>
  <c r="W73" i="7"/>
  <c r="W137" i="7"/>
  <c r="W201" i="7"/>
  <c r="W265" i="7"/>
  <c r="W329" i="7"/>
  <c r="W393" i="7"/>
  <c r="W457" i="7"/>
  <c r="W515" i="7"/>
  <c r="W541" i="7"/>
  <c r="W562" i="7"/>
  <c r="W583" i="7"/>
  <c r="W605" i="7"/>
  <c r="W626" i="7"/>
  <c r="W647" i="7"/>
  <c r="W669" i="7"/>
  <c r="W690" i="7"/>
  <c r="W711" i="7"/>
  <c r="W733" i="7"/>
  <c r="W754" i="7"/>
  <c r="W775" i="7"/>
  <c r="W797" i="7"/>
  <c r="W818" i="7"/>
  <c r="W839" i="7"/>
  <c r="W861" i="7"/>
  <c r="W882" i="7"/>
  <c r="W903" i="7"/>
  <c r="W925" i="7"/>
  <c r="W946" i="7"/>
  <c r="W967" i="7"/>
  <c r="W989" i="7"/>
  <c r="W32" i="7"/>
  <c r="W96" i="7"/>
  <c r="W160" i="7"/>
  <c r="W224" i="7"/>
  <c r="W288" i="7"/>
  <c r="W352" i="7"/>
  <c r="W416" i="7"/>
  <c r="W480" i="7"/>
  <c r="W526" i="7"/>
  <c r="W547" i="7"/>
  <c r="W569" i="7"/>
  <c r="W590" i="7"/>
  <c r="W611" i="7"/>
  <c r="W633" i="7"/>
  <c r="W654" i="7"/>
  <c r="W675" i="7"/>
  <c r="W697" i="7"/>
  <c r="W718" i="7"/>
  <c r="W739" i="7"/>
  <c r="W761" i="7"/>
  <c r="W782" i="7"/>
  <c r="W803" i="7"/>
  <c r="W825" i="7"/>
  <c r="W846" i="7"/>
  <c r="W867" i="7"/>
  <c r="W889" i="7"/>
  <c r="W910" i="7"/>
  <c r="W931" i="7"/>
  <c r="W953" i="7"/>
  <c r="W974" i="7"/>
  <c r="W995" i="7"/>
  <c r="W65" i="7"/>
  <c r="W129" i="7"/>
  <c r="W193" i="7"/>
  <c r="W257" i="7"/>
  <c r="W321" i="7"/>
  <c r="W385" i="7"/>
  <c r="W449" i="7"/>
  <c r="W511" i="7"/>
  <c r="W538" i="7"/>
  <c r="W559" i="7"/>
  <c r="W581" i="7"/>
  <c r="W602" i="7"/>
  <c r="W623" i="7"/>
  <c r="W645" i="7"/>
  <c r="W666" i="7"/>
  <c r="W687" i="7"/>
  <c r="W709" i="7"/>
  <c r="W730" i="7"/>
  <c r="W751" i="7"/>
  <c r="W773" i="7"/>
  <c r="W794" i="7"/>
  <c r="W815" i="7"/>
  <c r="W837" i="7"/>
  <c r="W858" i="7"/>
  <c r="W879" i="7"/>
  <c r="W901" i="7"/>
  <c r="W922" i="7"/>
  <c r="W943" i="7"/>
  <c r="W965" i="7"/>
  <c r="W986" i="7"/>
  <c r="V6" i="7"/>
  <c r="V22" i="7"/>
  <c r="V38" i="7"/>
  <c r="V54" i="7"/>
  <c r="V70" i="7"/>
  <c r="V86" i="7"/>
  <c r="V102" i="7"/>
  <c r="V118" i="7"/>
  <c r="V134" i="7"/>
  <c r="V150" i="7"/>
  <c r="V166" i="7"/>
  <c r="V182" i="7"/>
  <c r="V198" i="7"/>
  <c r="V214" i="7"/>
  <c r="V230" i="7"/>
  <c r="V246" i="7"/>
  <c r="V262" i="7"/>
  <c r="V278" i="7"/>
  <c r="V294" i="7"/>
  <c r="V310" i="7"/>
  <c r="V326" i="7"/>
  <c r="V342" i="7"/>
  <c r="V358" i="7"/>
  <c r="V374" i="7"/>
  <c r="V390" i="7"/>
  <c r="V406" i="7"/>
  <c r="V422" i="7"/>
  <c r="V438" i="7"/>
  <c r="V454" i="7"/>
  <c r="V470" i="7"/>
  <c r="V486" i="7"/>
  <c r="V15" i="7"/>
  <c r="V31" i="7"/>
  <c r="V47" i="7"/>
  <c r="V63" i="7"/>
  <c r="V79" i="7"/>
  <c r="V95" i="7"/>
  <c r="V111" i="7"/>
  <c r="V127" i="7"/>
  <c r="V143" i="7"/>
  <c r="V159" i="7"/>
  <c r="V175" i="7"/>
  <c r="V191" i="7"/>
  <c r="V207" i="7"/>
  <c r="V223" i="7"/>
  <c r="V239" i="7"/>
  <c r="V255" i="7"/>
  <c r="V271" i="7"/>
  <c r="V287" i="7"/>
  <c r="V303" i="7"/>
  <c r="V319" i="7"/>
  <c r="V335" i="7"/>
  <c r="V351" i="7"/>
  <c r="V367" i="7"/>
  <c r="V383" i="7"/>
  <c r="V399" i="7"/>
  <c r="V415" i="7"/>
  <c r="V431" i="7"/>
  <c r="V447" i="7"/>
  <c r="V463" i="7"/>
  <c r="V479" i="7"/>
  <c r="V495" i="7"/>
  <c r="V4" i="7"/>
  <c r="V36" i="7"/>
  <c r="V68" i="7"/>
  <c r="V100" i="7"/>
  <c r="V132" i="7"/>
  <c r="V164" i="7"/>
  <c r="V196" i="7"/>
  <c r="V228" i="7"/>
  <c r="V260" i="7"/>
  <c r="V292" i="7"/>
  <c r="V324" i="7"/>
  <c r="V356" i="7"/>
  <c r="V388" i="7"/>
  <c r="V420" i="7"/>
  <c r="V452" i="7"/>
  <c r="V484" i="7"/>
  <c r="V506" i="7"/>
  <c r="V523" i="7"/>
  <c r="V539" i="7"/>
  <c r="V555" i="7"/>
  <c r="V571" i="7"/>
  <c r="V587" i="7"/>
  <c r="V603" i="7"/>
  <c r="V619" i="7"/>
  <c r="V635" i="7"/>
  <c r="V651" i="7"/>
  <c r="V667" i="7"/>
  <c r="V683" i="7"/>
  <c r="V699" i="7"/>
  <c r="V715" i="7"/>
  <c r="V731" i="7"/>
  <c r="V747" i="7"/>
  <c r="V13" i="7"/>
  <c r="V45" i="7"/>
  <c r="V77" i="7"/>
  <c r="V109" i="7"/>
  <c r="V141" i="7"/>
  <c r="V173" i="7"/>
  <c r="V24" i="7"/>
  <c r="V88" i="7"/>
  <c r="V152" i="7"/>
  <c r="V208" i="7"/>
  <c r="V249" i="7"/>
  <c r="V293" i="7"/>
  <c r="V336" i="7"/>
  <c r="V377" i="7"/>
  <c r="V421" i="7"/>
  <c r="V464" i="7"/>
  <c r="V500" i="7"/>
  <c r="V524" i="7"/>
  <c r="V545" i="7"/>
  <c r="V566" i="7"/>
  <c r="V588" i="7"/>
  <c r="V609" i="7"/>
  <c r="V630" i="7"/>
  <c r="V652" i="7"/>
  <c r="V673" i="7"/>
  <c r="V694" i="7"/>
  <c r="V716" i="7"/>
  <c r="V737" i="7"/>
  <c r="V758" i="7"/>
  <c r="V774" i="7"/>
  <c r="V790" i="7"/>
  <c r="V806" i="7"/>
  <c r="V822" i="7"/>
  <c r="V838" i="7"/>
  <c r="V854" i="7"/>
  <c r="V870" i="7"/>
  <c r="V886" i="7"/>
  <c r="V902" i="7"/>
  <c r="V918" i="7"/>
  <c r="V934" i="7"/>
  <c r="V950" i="7"/>
  <c r="V966" i="7"/>
  <c r="V982" i="7"/>
  <c r="V998" i="7"/>
  <c r="V628" i="7"/>
  <c r="V686" i="7"/>
  <c r="V740" i="7"/>
  <c r="V772" i="7"/>
  <c r="V804" i="7"/>
  <c r="V852" i="7"/>
  <c r="V892" i="7"/>
  <c r="V936" i="7"/>
  <c r="V25" i="7"/>
  <c r="V89" i="7"/>
  <c r="V153" i="7"/>
  <c r="V209" i="7"/>
  <c r="V253" i="7"/>
  <c r="V296" i="7"/>
  <c r="V337" i="7"/>
  <c r="V381" i="7"/>
  <c r="V424" i="7"/>
  <c r="V465" i="7"/>
  <c r="V502" i="7"/>
  <c r="V525" i="7"/>
  <c r="V546" i="7"/>
  <c r="V568" i="7"/>
  <c r="V589" i="7"/>
  <c r="V610" i="7"/>
  <c r="V632" i="7"/>
  <c r="V653" i="7"/>
  <c r="V674" i="7"/>
  <c r="V696" i="7"/>
  <c r="V717" i="7"/>
  <c r="V738" i="7"/>
  <c r="V759" i="7"/>
  <c r="V775" i="7"/>
  <c r="V791" i="7"/>
  <c r="V807" i="7"/>
  <c r="V823" i="7"/>
  <c r="V839" i="7"/>
  <c r="V855" i="7"/>
  <c r="V871" i="7"/>
  <c r="V887" i="7"/>
  <c r="V903" i="7"/>
  <c r="V919" i="7"/>
  <c r="V935" i="7"/>
  <c r="V951" i="7"/>
  <c r="V967" i="7"/>
  <c r="V983" i="7"/>
  <c r="V999" i="7"/>
  <c r="V64" i="7"/>
  <c r="V128" i="7"/>
  <c r="V192" i="7"/>
  <c r="V233" i="7"/>
  <c r="V277" i="7"/>
  <c r="V320" i="7"/>
  <c r="V361" i="7"/>
  <c r="V405" i="7"/>
  <c r="V448" i="7"/>
  <c r="V489" i="7"/>
  <c r="V516" i="7"/>
  <c r="V537" i="7"/>
  <c r="V558" i="7"/>
  <c r="V580" i="7"/>
  <c r="V612" i="7"/>
  <c r="V649" i="7"/>
  <c r="V681" i="7"/>
  <c r="V718" i="7"/>
  <c r="V760" i="7"/>
  <c r="V792" i="7"/>
  <c r="V820" i="7"/>
  <c r="V844" i="7"/>
  <c r="V868" i="7"/>
  <c r="V896" i="7"/>
  <c r="V920" i="7"/>
  <c r="V944" i="7"/>
  <c r="V145" i="7"/>
  <c r="V333" i="7"/>
  <c r="V498" i="7"/>
  <c r="V586" i="7"/>
  <c r="V672" i="7"/>
  <c r="V757" i="7"/>
  <c r="V821" i="7"/>
  <c r="V885" i="7"/>
  <c r="V949" i="7"/>
  <c r="V985" i="7"/>
  <c r="V873" i="7"/>
  <c r="V964" i="7"/>
  <c r="V177" i="7"/>
  <c r="V440" i="7"/>
  <c r="V618" i="7"/>
  <c r="V765" i="7"/>
  <c r="V861" i="7"/>
  <c r="V965" i="7"/>
  <c r="V193" i="7"/>
  <c r="V408" i="7"/>
  <c r="V602" i="7"/>
  <c r="V730" i="7"/>
  <c r="V849" i="7"/>
  <c r="V945" i="7"/>
  <c r="V1000" i="7"/>
  <c r="V216" i="7"/>
  <c r="V385" i="7"/>
  <c r="V528" i="7"/>
  <c r="V613" i="7"/>
  <c r="V698" i="7"/>
  <c r="V777" i="7"/>
  <c r="V889" i="7"/>
  <c r="V113" i="7"/>
  <c r="V554" i="7"/>
  <c r="V746" i="7"/>
  <c r="V925" i="7"/>
  <c r="V129" i="7"/>
  <c r="V560" i="7"/>
  <c r="V785" i="7"/>
  <c r="V960" i="7"/>
  <c r="U10" i="7"/>
  <c r="U26" i="7"/>
  <c r="U42" i="7"/>
  <c r="U58" i="7"/>
  <c r="U74" i="7"/>
  <c r="U90" i="7"/>
  <c r="U106" i="7"/>
  <c r="U122" i="7"/>
  <c r="U138" i="7"/>
  <c r="U154" i="7"/>
  <c r="U170" i="7"/>
  <c r="U186" i="7"/>
  <c r="U202" i="7"/>
  <c r="U218" i="7"/>
  <c r="U234" i="7"/>
  <c r="U250" i="7"/>
  <c r="U266" i="7"/>
  <c r="U282" i="7"/>
  <c r="U298" i="7"/>
  <c r="U314" i="7"/>
  <c r="U330" i="7"/>
  <c r="U346" i="7"/>
  <c r="U362" i="7"/>
  <c r="U378" i="7"/>
  <c r="U394" i="7"/>
  <c r="U410" i="7"/>
  <c r="U426" i="7"/>
  <c r="U442" i="7"/>
  <c r="U458" i="7"/>
  <c r="U474" i="7"/>
  <c r="U490" i="7"/>
  <c r="U7" i="7"/>
  <c r="U23" i="7"/>
  <c r="U39" i="7"/>
  <c r="U55" i="7"/>
  <c r="U71" i="7"/>
  <c r="U87" i="7"/>
  <c r="U103" i="7"/>
  <c r="U119" i="7"/>
  <c r="U135" i="7"/>
  <c r="U151" i="7"/>
  <c r="U167" i="7"/>
  <c r="U183" i="7"/>
  <c r="U199" i="7"/>
  <c r="U215" i="7"/>
  <c r="U231" i="7"/>
  <c r="U247" i="7"/>
  <c r="U263" i="7"/>
  <c r="U279" i="7"/>
  <c r="U295" i="7"/>
  <c r="U311" i="7"/>
  <c r="U327" i="7"/>
  <c r="U343" i="7"/>
  <c r="U359" i="7"/>
  <c r="U375" i="7"/>
  <c r="U391" i="7"/>
  <c r="U407" i="7"/>
  <c r="U423" i="7"/>
  <c r="U439" i="7"/>
  <c r="U455" i="7"/>
  <c r="U471" i="7"/>
  <c r="U487" i="7"/>
  <c r="U503" i="7"/>
  <c r="U20" i="7"/>
  <c r="U52" i="7"/>
  <c r="U84" i="7"/>
  <c r="U116" i="7"/>
  <c r="U148" i="7"/>
  <c r="U180" i="7"/>
  <c r="U212" i="7"/>
  <c r="U244" i="7"/>
  <c r="U276" i="7"/>
  <c r="U308" i="7"/>
  <c r="U340" i="7"/>
  <c r="U372" i="7"/>
  <c r="U404" i="7"/>
  <c r="U436" i="7"/>
  <c r="U468" i="7"/>
  <c r="U500" i="7"/>
  <c r="U518" i="7"/>
  <c r="U534" i="7"/>
  <c r="U550" i="7"/>
  <c r="U566" i="7"/>
  <c r="U21" i="7"/>
  <c r="U53" i="7"/>
  <c r="U85" i="7"/>
  <c r="U117" i="7"/>
  <c r="U149" i="7"/>
  <c r="U181" i="7"/>
  <c r="U213" i="7"/>
  <c r="U245" i="7"/>
  <c r="U277" i="7"/>
  <c r="U309" i="7"/>
  <c r="U341" i="7"/>
  <c r="U373" i="7"/>
  <c r="U405" i="7"/>
  <c r="U437" i="7"/>
  <c r="U469" i="7"/>
  <c r="U501" i="7"/>
  <c r="U519" i="7"/>
  <c r="U535" i="7"/>
  <c r="U551" i="7"/>
  <c r="U567" i="7"/>
  <c r="U583" i="7"/>
  <c r="U599" i="7"/>
  <c r="U615" i="7"/>
  <c r="U631" i="7"/>
  <c r="U647" i="7"/>
  <c r="U663" i="7"/>
  <c r="U679" i="7"/>
  <c r="U695" i="7"/>
  <c r="U711" i="7"/>
  <c r="U727" i="7"/>
  <c r="U743" i="7"/>
  <c r="U759" i="7"/>
  <c r="U32" i="7"/>
  <c r="U64" i="7"/>
  <c r="U96" i="7"/>
  <c r="U128" i="7"/>
  <c r="U160" i="7"/>
  <c r="U192" i="7"/>
  <c r="U224" i="7"/>
  <c r="U256" i="7"/>
  <c r="U288" i="7"/>
  <c r="U320" i="7"/>
  <c r="U352" i="7"/>
  <c r="U384" i="7"/>
  <c r="U416" i="7"/>
  <c r="U448" i="7"/>
  <c r="U480" i="7"/>
  <c r="U508" i="7"/>
  <c r="U524" i="7"/>
  <c r="U540" i="7"/>
  <c r="U556" i="7"/>
  <c r="U572" i="7"/>
  <c r="U588" i="7"/>
  <c r="U604" i="7"/>
  <c r="U620" i="7"/>
  <c r="U636" i="7"/>
  <c r="U652" i="7"/>
  <c r="U668" i="7"/>
  <c r="U684" i="7"/>
  <c r="U700" i="7"/>
  <c r="U716" i="7"/>
  <c r="U732" i="7"/>
  <c r="U748" i="7"/>
  <c r="U9" i="7"/>
  <c r="U137" i="7"/>
  <c r="U265" i="7"/>
  <c r="U393" i="7"/>
  <c r="U513" i="7"/>
  <c r="U574" i="7"/>
  <c r="U606" i="7"/>
  <c r="U638" i="7"/>
  <c r="U670" i="7"/>
  <c r="U702" i="7"/>
  <c r="U734" i="7"/>
  <c r="U764" i="7"/>
  <c r="U780" i="7"/>
  <c r="U796" i="7"/>
  <c r="U812" i="7"/>
  <c r="U828" i="7"/>
  <c r="U844" i="7"/>
  <c r="U860" i="7"/>
  <c r="U876" i="7"/>
  <c r="U892" i="7"/>
  <c r="U908" i="7"/>
  <c r="U924" i="7"/>
  <c r="U940" i="7"/>
  <c r="U956" i="7"/>
  <c r="U972" i="7"/>
  <c r="U988" i="7"/>
  <c r="U858" i="7"/>
  <c r="U902" i="7"/>
  <c r="U942" i="7"/>
  <c r="U986" i="7"/>
  <c r="U225" i="7"/>
  <c r="U525" i="7"/>
  <c r="U49" i="7"/>
  <c r="U177" i="7"/>
  <c r="U305" i="7"/>
  <c r="U433" i="7"/>
  <c r="U533" i="7"/>
  <c r="U585" i="7"/>
  <c r="U617" i="7"/>
  <c r="U649" i="7"/>
  <c r="U681" i="7"/>
  <c r="U713" i="7"/>
  <c r="U745" i="7"/>
  <c r="U769" i="7"/>
  <c r="U785" i="7"/>
  <c r="U801" i="7"/>
  <c r="U817" i="7"/>
  <c r="U833" i="7"/>
  <c r="U849" i="7"/>
  <c r="U865" i="7"/>
  <c r="U881" i="7"/>
  <c r="U897" i="7"/>
  <c r="U913" i="7"/>
  <c r="U929" i="7"/>
  <c r="U945" i="7"/>
  <c r="U961" i="7"/>
  <c r="U977" i="7"/>
  <c r="U993" i="7"/>
  <c r="U870" i="7"/>
  <c r="U914" i="7"/>
  <c r="U950" i="7"/>
  <c r="U994" i="7"/>
  <c r="U289" i="7"/>
  <c r="U557" i="7"/>
  <c r="U57" i="7"/>
  <c r="U185" i="7"/>
  <c r="U313" i="7"/>
  <c r="U441" i="7"/>
  <c r="U537" i="7"/>
  <c r="U586" i="7"/>
  <c r="U618" i="7"/>
  <c r="U650" i="7"/>
  <c r="U682" i="7"/>
  <c r="U714" i="7"/>
  <c r="U746" i="7"/>
  <c r="U770" i="7"/>
  <c r="U786" i="7"/>
  <c r="U802" i="7"/>
  <c r="U818" i="7"/>
  <c r="U834" i="7"/>
  <c r="U854" i="7"/>
  <c r="U926" i="7"/>
  <c r="U998" i="7"/>
  <c r="U541" i="7"/>
  <c r="U677" i="7"/>
  <c r="U783" i="7"/>
  <c r="U847" i="7"/>
  <c r="U911" i="7"/>
  <c r="U975" i="7"/>
  <c r="U717" i="7"/>
  <c r="U803" i="7"/>
  <c r="U867" i="7"/>
  <c r="U931" i="7"/>
  <c r="U995" i="7"/>
  <c r="U779" i="7"/>
  <c r="U891" i="7"/>
  <c r="U629" i="7"/>
  <c r="U757" i="7"/>
  <c r="U823" i="7"/>
  <c r="U887" i="7"/>
  <c r="U951" i="7"/>
  <c r="U701" i="7"/>
  <c r="U859" i="7"/>
  <c r="U991" i="7"/>
  <c r="T14" i="7"/>
  <c r="T30" i="7"/>
  <c r="T46" i="7"/>
  <c r="T62" i="7"/>
  <c r="T78" i="7"/>
  <c r="T94" i="7"/>
  <c r="T110" i="7"/>
  <c r="T126" i="7"/>
  <c r="T142" i="7"/>
  <c r="T158" i="7"/>
  <c r="T174" i="7"/>
  <c r="T190" i="7"/>
  <c r="T206" i="7"/>
  <c r="T222" i="7"/>
  <c r="T238" i="7"/>
  <c r="T254" i="7"/>
  <c r="T270" i="7"/>
  <c r="T286" i="7"/>
  <c r="T302" i="7"/>
  <c r="T318" i="7"/>
  <c r="T334" i="7"/>
  <c r="T350" i="7"/>
  <c r="T7" i="7"/>
  <c r="T23" i="7"/>
  <c r="T39" i="7"/>
  <c r="T55" i="7"/>
  <c r="T71" i="7"/>
  <c r="T87" i="7"/>
  <c r="T103" i="7"/>
  <c r="T119" i="7"/>
  <c r="T135" i="7"/>
  <c r="T151" i="7"/>
  <c r="T167" i="7"/>
  <c r="T183" i="7"/>
  <c r="T199" i="7"/>
  <c r="T215" i="7"/>
  <c r="T231" i="7"/>
  <c r="T247" i="7"/>
  <c r="T263" i="7"/>
  <c r="T279" i="7"/>
  <c r="T295" i="7"/>
  <c r="T311" i="7"/>
  <c r="T327" i="7"/>
  <c r="T343" i="7"/>
  <c r="T359" i="7"/>
  <c r="T375" i="7"/>
  <c r="T391" i="7"/>
  <c r="T407" i="7"/>
  <c r="T423" i="7"/>
  <c r="T439" i="7"/>
  <c r="T455" i="7"/>
  <c r="T471" i="7"/>
  <c r="T487" i="7"/>
  <c r="T503" i="7"/>
  <c r="T12" i="7"/>
  <c r="T28" i="7"/>
  <c r="T44" i="7"/>
  <c r="T60" i="7"/>
  <c r="T76" i="7"/>
  <c r="T92" i="7"/>
  <c r="T108" i="7"/>
  <c r="T124" i="7"/>
  <c r="T140" i="7"/>
  <c r="T156" i="7"/>
  <c r="T172" i="7"/>
  <c r="T188" i="7"/>
  <c r="T204" i="7"/>
  <c r="T220" i="7"/>
  <c r="T236" i="7"/>
  <c r="T252" i="7"/>
  <c r="T268" i="7"/>
  <c r="T284" i="7"/>
  <c r="T300" i="7"/>
  <c r="T316" i="7"/>
  <c r="T332" i="7"/>
  <c r="T348" i="7"/>
  <c r="T364" i="7"/>
  <c r="T380" i="7"/>
  <c r="T396" i="7"/>
  <c r="T412" i="7"/>
  <c r="T428" i="7"/>
  <c r="T444" i="7"/>
  <c r="T460" i="7"/>
  <c r="T476" i="7"/>
  <c r="T492" i="7"/>
  <c r="T5" i="7"/>
  <c r="T69" i="7"/>
  <c r="T133" i="7"/>
  <c r="T197" i="7"/>
  <c r="T261" i="7"/>
  <c r="T325" i="7"/>
  <c r="T374" i="7"/>
  <c r="T406" i="7"/>
  <c r="T438" i="7"/>
  <c r="T470" i="7"/>
  <c r="T502" i="7"/>
  <c r="T521" i="7"/>
  <c r="T537" i="7"/>
  <c r="T553" i="7"/>
  <c r="T569" i="7"/>
  <c r="T585" i="7"/>
  <c r="T601" i="7"/>
  <c r="T617" i="7"/>
  <c r="T633" i="7"/>
  <c r="T649" i="7"/>
  <c r="T665" i="7"/>
  <c r="T681" i="7"/>
  <c r="T697" i="7"/>
  <c r="T713" i="7"/>
  <c r="T729" i="7"/>
  <c r="T745" i="7"/>
  <c r="T761" i="7"/>
  <c r="T777" i="7"/>
  <c r="T793" i="7"/>
  <c r="T809" i="7"/>
  <c r="T825" i="7"/>
  <c r="T841" i="7"/>
  <c r="T29" i="7"/>
  <c r="T113" i="7"/>
  <c r="T201" i="7"/>
  <c r="T285" i="7"/>
  <c r="T365" i="7"/>
  <c r="T409" i="7"/>
  <c r="T450" i="7"/>
  <c r="T493" i="7"/>
  <c r="T522" i="7"/>
  <c r="T543" i="7"/>
  <c r="T564" i="7"/>
  <c r="T586" i="7"/>
  <c r="T607" i="7"/>
  <c r="T628" i="7"/>
  <c r="T650" i="7"/>
  <c r="T671" i="7"/>
  <c r="T692" i="7"/>
  <c r="T714" i="7"/>
  <c r="T735" i="7"/>
  <c r="T756" i="7"/>
  <c r="T778" i="7"/>
  <c r="T799" i="7"/>
  <c r="T820" i="7"/>
  <c r="T842" i="7"/>
  <c r="T860" i="7"/>
  <c r="T876" i="7"/>
  <c r="T892" i="7"/>
  <c r="T908" i="7"/>
  <c r="T924" i="7"/>
  <c r="T940" i="7"/>
  <c r="T956" i="7"/>
  <c r="T972" i="7"/>
  <c r="T988" i="7"/>
  <c r="T13" i="7"/>
  <c r="T97" i="7"/>
  <c r="T185" i="7"/>
  <c r="T269" i="7"/>
  <c r="T353" i="7"/>
  <c r="T401" i="7"/>
  <c r="T442" i="7"/>
  <c r="T485" i="7"/>
  <c r="T518" i="7"/>
  <c r="AB190" i="7"/>
  <c r="AB760" i="7"/>
  <c r="AB929" i="7"/>
  <c r="AB859" i="7"/>
  <c r="AA463" i="7"/>
  <c r="AA261" i="7"/>
  <c r="AA991" i="7"/>
  <c r="AA526" i="7"/>
  <c r="AA849" i="7"/>
  <c r="AA193" i="7"/>
  <c r="Z70" i="7"/>
  <c r="Z378" i="7"/>
  <c r="Z127" i="7"/>
  <c r="Z383" i="7"/>
  <c r="Z132" i="7"/>
  <c r="Z388" i="7"/>
  <c r="Z533" i="7"/>
  <c r="Z789" i="7"/>
  <c r="Z185" i="7"/>
  <c r="Z678" i="7"/>
  <c r="Z699" i="7"/>
  <c r="Z369" i="7"/>
  <c r="Z911" i="7"/>
  <c r="Z759" i="7"/>
  <c r="Z536" i="7"/>
  <c r="Z956" i="7"/>
  <c r="Y222" i="7"/>
  <c r="Y478" i="7"/>
  <c r="Y227" i="7"/>
  <c r="Y403" i="7"/>
  <c r="Y44" i="7"/>
  <c r="Y300" i="7"/>
  <c r="Y532" i="7"/>
  <c r="Y173" i="7"/>
  <c r="Y429" i="7"/>
  <c r="Y537" i="7"/>
  <c r="Y601" i="7"/>
  <c r="Y665" i="7"/>
  <c r="Y729" i="7"/>
  <c r="Y120" i="7"/>
  <c r="Y376" i="7"/>
  <c r="Y570" i="7"/>
  <c r="Y656" i="7"/>
  <c r="Y742" i="7"/>
  <c r="Y811" i="7"/>
  <c r="Y875" i="7"/>
  <c r="Y939" i="7"/>
  <c r="Y744" i="7"/>
  <c r="Y925" i="7"/>
  <c r="Y25" i="7"/>
  <c r="Y281" i="7"/>
  <c r="Y523" i="7"/>
  <c r="Y626" i="7"/>
  <c r="Y711" i="7"/>
  <c r="Y788" i="7"/>
  <c r="Y852" i="7"/>
  <c r="Y916" i="7"/>
  <c r="Y980" i="7"/>
  <c r="Y176" i="7"/>
  <c r="Y432" i="7"/>
  <c r="Y590" i="7"/>
  <c r="Y675" i="7"/>
  <c r="Y769" i="7"/>
  <c r="Y873" i="7"/>
  <c r="Y973" i="7"/>
  <c r="Y417" i="7"/>
  <c r="Y822" i="7"/>
  <c r="Y970" i="7"/>
  <c r="Y942" i="7"/>
  <c r="Y898" i="7"/>
  <c r="Y719" i="7"/>
  <c r="Y724" i="7"/>
  <c r="Y930" i="7"/>
  <c r="X54" i="7"/>
  <c r="X118" i="7"/>
  <c r="X182" i="7"/>
  <c r="X246" i="7"/>
  <c r="X310" i="7"/>
  <c r="X374" i="7"/>
  <c r="X438" i="7"/>
  <c r="X502" i="7"/>
  <c r="X59" i="7"/>
  <c r="X123" i="7"/>
  <c r="X187" i="7"/>
  <c r="X251" i="7"/>
  <c r="X315" i="7"/>
  <c r="X379" i="7"/>
  <c r="X443" i="7"/>
  <c r="X507" i="7"/>
  <c r="X64" i="7"/>
  <c r="X128" i="7"/>
  <c r="X192" i="7"/>
  <c r="X256" i="7"/>
  <c r="X320" i="7"/>
  <c r="X384" i="7"/>
  <c r="X448" i="7"/>
  <c r="X117" i="7"/>
  <c r="X373" i="7"/>
  <c r="X532" i="7"/>
  <c r="X596" i="7"/>
  <c r="X660" i="7"/>
  <c r="X724" i="7"/>
  <c r="X788" i="7"/>
  <c r="X852" i="7"/>
  <c r="X137" i="7"/>
  <c r="X393" i="7"/>
  <c r="X537" i="7"/>
  <c r="X601" i="7"/>
  <c r="X665" i="7"/>
  <c r="X397" i="7"/>
  <c r="X602" i="7"/>
  <c r="X713" i="7"/>
  <c r="X798" i="7"/>
  <c r="X883" i="7"/>
  <c r="X947" i="7"/>
  <c r="X413" i="7"/>
  <c r="X715" i="7"/>
  <c r="X881" i="7"/>
  <c r="X129" i="7"/>
  <c r="X655" i="7"/>
  <c r="X839" i="7"/>
  <c r="X978" i="7"/>
  <c r="X433" i="7"/>
  <c r="X611" i="7"/>
  <c r="X719" i="7"/>
  <c r="X805" i="7"/>
  <c r="X888" i="7"/>
  <c r="X952" i="7"/>
  <c r="X984" i="7"/>
  <c r="X125" i="7"/>
  <c r="X496" i="7"/>
  <c r="X630" i="7"/>
  <c r="X731" i="7"/>
  <c r="X822" i="7"/>
  <c r="X901" i="7"/>
  <c r="X965" i="7"/>
  <c r="X257" i="7"/>
  <c r="X567" i="7"/>
  <c r="X690" i="7"/>
  <c r="X770" i="7"/>
  <c r="X855" i="7"/>
  <c r="X926" i="7"/>
  <c r="X990" i="7"/>
  <c r="W26" i="7"/>
  <c r="W58" i="7"/>
  <c r="W90" i="7"/>
  <c r="W122" i="7"/>
  <c r="W154" i="7"/>
  <c r="W186" i="7"/>
  <c r="W218" i="7"/>
  <c r="W250" i="7"/>
  <c r="W282" i="7"/>
  <c r="W314" i="7"/>
  <c r="W346" i="7"/>
  <c r="W378" i="7"/>
  <c r="W410" i="7"/>
  <c r="W442" i="7"/>
  <c r="W474" i="7"/>
  <c r="W506" i="7"/>
  <c r="W31" i="7"/>
  <c r="W63" i="7"/>
  <c r="W95" i="7"/>
  <c r="W127" i="7"/>
  <c r="W159" i="7"/>
  <c r="W191" i="7"/>
  <c r="W223" i="7"/>
  <c r="W255" i="7"/>
  <c r="W287" i="7"/>
  <c r="W319" i="7"/>
  <c r="W351" i="7"/>
  <c r="W383" i="7"/>
  <c r="W415" i="7"/>
  <c r="W447" i="7"/>
  <c r="W479" i="7"/>
  <c r="W4" i="7"/>
  <c r="W68" i="7"/>
  <c r="W132" i="7"/>
  <c r="W196" i="7"/>
  <c r="W260" i="7"/>
  <c r="W324" i="7"/>
  <c r="W388" i="7"/>
  <c r="W452" i="7"/>
  <c r="W512" i="7"/>
  <c r="W544" i="7"/>
  <c r="W576" i="7"/>
  <c r="W608" i="7"/>
  <c r="W640" i="7"/>
  <c r="W672" i="7"/>
  <c r="W704" i="7"/>
  <c r="W736" i="7"/>
  <c r="W768" i="7"/>
  <c r="W800" i="7"/>
  <c r="W832" i="7"/>
  <c r="W864" i="7"/>
  <c r="W896" i="7"/>
  <c r="W928" i="7"/>
  <c r="W960" i="7"/>
  <c r="W992" i="7"/>
  <c r="W45" i="7"/>
  <c r="W101" i="7"/>
  <c r="W141" i="7"/>
  <c r="W189" i="7"/>
  <c r="W229" i="7"/>
  <c r="W269" i="7"/>
  <c r="W317" i="7"/>
  <c r="W357" i="7"/>
  <c r="W397" i="7"/>
  <c r="W445" i="7"/>
  <c r="W485" i="7"/>
  <c r="W517" i="7"/>
  <c r="W56" i="7"/>
  <c r="W136" i="7"/>
  <c r="W216" i="7"/>
  <c r="W312" i="7"/>
  <c r="W392" i="7"/>
  <c r="W472" i="7"/>
  <c r="W534" i="7"/>
  <c r="W561" i="7"/>
  <c r="W587" i="7"/>
  <c r="W619" i="7"/>
  <c r="W646" i="7"/>
  <c r="W667" i="7"/>
  <c r="W689" i="7"/>
  <c r="W710" i="7"/>
  <c r="W731" i="7"/>
  <c r="W753" i="7"/>
  <c r="W774" i="7"/>
  <c r="W795" i="7"/>
  <c r="W817" i="7"/>
  <c r="W838" i="7"/>
  <c r="W859" i="7"/>
  <c r="W881" i="7"/>
  <c r="W902" i="7"/>
  <c r="W923" i="7"/>
  <c r="W945" i="7"/>
  <c r="W966" i="7"/>
  <c r="W987" i="7"/>
  <c r="W25" i="7"/>
  <c r="W89" i="7"/>
  <c r="W153" i="7"/>
  <c r="W217" i="7"/>
  <c r="W281" i="7"/>
  <c r="W345" i="7"/>
  <c r="W409" i="7"/>
  <c r="W473" i="7"/>
  <c r="W523" i="7"/>
  <c r="W546" i="7"/>
  <c r="W567" i="7"/>
  <c r="W589" i="7"/>
  <c r="W610" i="7"/>
  <c r="W631" i="7"/>
  <c r="W653" i="7"/>
  <c r="W674" i="7"/>
  <c r="W695" i="7"/>
  <c r="W717" i="7"/>
  <c r="W738" i="7"/>
  <c r="W759" i="7"/>
  <c r="W781" i="7"/>
  <c r="W802" i="7"/>
  <c r="W823" i="7"/>
  <c r="W845" i="7"/>
  <c r="W866" i="7"/>
  <c r="W887" i="7"/>
  <c r="W909" i="7"/>
  <c r="W930" i="7"/>
  <c r="W951" i="7"/>
  <c r="W973" i="7"/>
  <c r="W994" i="7"/>
  <c r="W48" i="7"/>
  <c r="W112" i="7"/>
  <c r="W176" i="7"/>
  <c r="W240" i="7"/>
  <c r="W304" i="7"/>
  <c r="W368" i="7"/>
  <c r="W432" i="7"/>
  <c r="W496" i="7"/>
  <c r="W531" i="7"/>
  <c r="W553" i="7"/>
  <c r="W574" i="7"/>
  <c r="W595" i="7"/>
  <c r="W617" i="7"/>
  <c r="W638" i="7"/>
  <c r="W659" i="7"/>
  <c r="W681" i="7"/>
  <c r="W702" i="7"/>
  <c r="W723" i="7"/>
  <c r="W745" i="7"/>
  <c r="W766" i="7"/>
  <c r="W787" i="7"/>
  <c r="W809" i="7"/>
  <c r="W830" i="7"/>
  <c r="W851" i="7"/>
  <c r="W873" i="7"/>
  <c r="W894" i="7"/>
  <c r="W915" i="7"/>
  <c r="W937" i="7"/>
  <c r="W958" i="7"/>
  <c r="W979" i="7"/>
  <c r="W17" i="7"/>
  <c r="W81" i="7"/>
  <c r="W145" i="7"/>
  <c r="W209" i="7"/>
  <c r="W273" i="7"/>
  <c r="W337" i="7"/>
  <c r="W401" i="7"/>
  <c r="W465" i="7"/>
  <c r="W519" i="7"/>
  <c r="W543" i="7"/>
  <c r="W565" i="7"/>
  <c r="W586" i="7"/>
  <c r="W607" i="7"/>
  <c r="W629" i="7"/>
  <c r="W650" i="7"/>
  <c r="W671" i="7"/>
  <c r="W693" i="7"/>
  <c r="W714" i="7"/>
  <c r="W735" i="7"/>
  <c r="W757" i="7"/>
  <c r="W778" i="7"/>
  <c r="W799" i="7"/>
  <c r="W821" i="7"/>
  <c r="W842" i="7"/>
  <c r="W863" i="7"/>
  <c r="W885" i="7"/>
  <c r="W906" i="7"/>
  <c r="W927" i="7"/>
  <c r="W949" i="7"/>
  <c r="W970" i="7"/>
  <c r="W991" i="7"/>
  <c r="V10" i="7"/>
  <c r="V26" i="7"/>
  <c r="V42" i="7"/>
  <c r="V58" i="7"/>
  <c r="V74" i="7"/>
  <c r="V90" i="7"/>
  <c r="V106" i="7"/>
  <c r="V122" i="7"/>
  <c r="V138" i="7"/>
  <c r="V154" i="7"/>
  <c r="V170" i="7"/>
  <c r="V186" i="7"/>
  <c r="V202" i="7"/>
  <c r="V218" i="7"/>
  <c r="V234" i="7"/>
  <c r="V250" i="7"/>
  <c r="V266" i="7"/>
  <c r="V282" i="7"/>
  <c r="V298" i="7"/>
  <c r="V314" i="7"/>
  <c r="V330" i="7"/>
  <c r="V346" i="7"/>
  <c r="V362" i="7"/>
  <c r="V378" i="7"/>
  <c r="V394" i="7"/>
  <c r="V410" i="7"/>
  <c r="V426" i="7"/>
  <c r="V442" i="7"/>
  <c r="V458" i="7"/>
  <c r="V474" i="7"/>
  <c r="V3" i="7"/>
  <c r="V19" i="7"/>
  <c r="V35" i="7"/>
  <c r="V51" i="7"/>
  <c r="V67" i="7"/>
  <c r="V83" i="7"/>
  <c r="V99" i="7"/>
  <c r="V115" i="7"/>
  <c r="V131" i="7"/>
  <c r="V147" i="7"/>
  <c r="V163" i="7"/>
  <c r="V179" i="7"/>
  <c r="V195" i="7"/>
  <c r="V211" i="7"/>
  <c r="V227" i="7"/>
  <c r="V243" i="7"/>
  <c r="V259" i="7"/>
  <c r="V275" i="7"/>
  <c r="V291" i="7"/>
  <c r="V307" i="7"/>
  <c r="V323" i="7"/>
  <c r="V339" i="7"/>
  <c r="V355" i="7"/>
  <c r="V371" i="7"/>
  <c r="V387" i="7"/>
  <c r="V403" i="7"/>
  <c r="V419" i="7"/>
  <c r="V435" i="7"/>
  <c r="V451" i="7"/>
  <c r="V467" i="7"/>
  <c r="V483" i="7"/>
  <c r="V499" i="7"/>
  <c r="V12" i="7"/>
  <c r="V44" i="7"/>
  <c r="V76" i="7"/>
  <c r="V108" i="7"/>
  <c r="V140" i="7"/>
  <c r="V172" i="7"/>
  <c r="V204" i="7"/>
  <c r="V236" i="7"/>
  <c r="V268" i="7"/>
  <c r="V300" i="7"/>
  <c r="V332" i="7"/>
  <c r="V364" i="7"/>
  <c r="V396" i="7"/>
  <c r="V428" i="7"/>
  <c r="V460" i="7"/>
  <c r="V490" i="7"/>
  <c r="V511" i="7"/>
  <c r="V527" i="7"/>
  <c r="V543" i="7"/>
  <c r="V559" i="7"/>
  <c r="V575" i="7"/>
  <c r="V591" i="7"/>
  <c r="V607" i="7"/>
  <c r="V623" i="7"/>
  <c r="V639" i="7"/>
  <c r="V655" i="7"/>
  <c r="V671" i="7"/>
  <c r="V687" i="7"/>
  <c r="V703" i="7"/>
  <c r="V719" i="7"/>
  <c r="V735" i="7"/>
  <c r="V751" i="7"/>
  <c r="V21" i="7"/>
  <c r="V53" i="7"/>
  <c r="V85" i="7"/>
  <c r="V117" i="7"/>
  <c r="V149" i="7"/>
  <c r="V181" i="7"/>
  <c r="V40" i="7"/>
  <c r="V104" i="7"/>
  <c r="V168" i="7"/>
  <c r="V217" i="7"/>
  <c r="V261" i="7"/>
  <c r="V304" i="7"/>
  <c r="V345" i="7"/>
  <c r="V389" i="7"/>
  <c r="V432" i="7"/>
  <c r="V473" i="7"/>
  <c r="V508" i="7"/>
  <c r="V529" i="7"/>
  <c r="V550" i="7"/>
  <c r="V572" i="7"/>
  <c r="V593" i="7"/>
  <c r="V614" i="7"/>
  <c r="V636" i="7"/>
  <c r="V657" i="7"/>
  <c r="V678" i="7"/>
  <c r="V700" i="7"/>
  <c r="V721" i="7"/>
  <c r="V742" i="7"/>
  <c r="V762" i="7"/>
  <c r="V778" i="7"/>
  <c r="V794" i="7"/>
  <c r="V810" i="7"/>
  <c r="V826" i="7"/>
  <c r="V842" i="7"/>
  <c r="V858" i="7"/>
  <c r="V874" i="7"/>
  <c r="V890" i="7"/>
  <c r="V906" i="7"/>
  <c r="V922" i="7"/>
  <c r="V938" i="7"/>
  <c r="V954" i="7"/>
  <c r="V970" i="7"/>
  <c r="V986" i="7"/>
  <c r="V585" i="7"/>
  <c r="V644" i="7"/>
  <c r="V697" i="7"/>
  <c r="V745" i="7"/>
  <c r="V780" i="7"/>
  <c r="V816" i="7"/>
  <c r="V860" i="7"/>
  <c r="V900" i="7"/>
  <c r="V948" i="7"/>
  <c r="V41" i="7"/>
  <c r="V105" i="7"/>
  <c r="V169" i="7"/>
  <c r="V221" i="7"/>
  <c r="V264" i="7"/>
  <c r="V305" i="7"/>
  <c r="V349" i="7"/>
  <c r="V392" i="7"/>
  <c r="V433" i="7"/>
  <c r="V477" i="7"/>
  <c r="V509" i="7"/>
  <c r="V530" i="7"/>
  <c r="V552" i="7"/>
  <c r="V573" i="7"/>
  <c r="V594" i="7"/>
  <c r="V616" i="7"/>
  <c r="V637" i="7"/>
  <c r="V658" i="7"/>
  <c r="V680" i="7"/>
  <c r="V701" i="7"/>
  <c r="V722" i="7"/>
  <c r="V744" i="7"/>
  <c r="V763" i="7"/>
  <c r="V779" i="7"/>
  <c r="V795" i="7"/>
  <c r="V811" i="7"/>
  <c r="V827" i="7"/>
  <c r="V843" i="7"/>
  <c r="V859" i="7"/>
  <c r="V875" i="7"/>
  <c r="V891" i="7"/>
  <c r="V907" i="7"/>
  <c r="V923" i="7"/>
  <c r="V939" i="7"/>
  <c r="V955" i="7"/>
  <c r="V971" i="7"/>
  <c r="V987" i="7"/>
  <c r="V16" i="7"/>
  <c r="V80" i="7"/>
  <c r="V144" i="7"/>
  <c r="V201" i="7"/>
  <c r="V245" i="7"/>
  <c r="V288" i="7"/>
  <c r="V329" i="7"/>
  <c r="V373" i="7"/>
  <c r="V416" i="7"/>
  <c r="V457" i="7"/>
  <c r="V497" i="7"/>
  <c r="V521" i="7"/>
  <c r="V542" i="7"/>
  <c r="V564" i="7"/>
  <c r="V590" i="7"/>
  <c r="V622" i="7"/>
  <c r="V660" i="7"/>
  <c r="V692" i="7"/>
  <c r="V724" i="7"/>
  <c r="V768" i="7"/>
  <c r="V800" i="7"/>
  <c r="V824" i="7"/>
  <c r="V848" i="7"/>
  <c r="V876" i="7"/>
  <c r="V904" i="7"/>
  <c r="V928" i="7"/>
  <c r="V952" i="7"/>
  <c r="V205" i="7"/>
  <c r="V376" i="7"/>
  <c r="V522" i="7"/>
  <c r="V608" i="7"/>
  <c r="V693" i="7"/>
  <c r="V773" i="7"/>
  <c r="V837" i="7"/>
  <c r="V901" i="7"/>
  <c r="V961" i="7"/>
  <c r="V993" i="7"/>
  <c r="V905" i="7"/>
  <c r="V980" i="7"/>
  <c r="V225" i="7"/>
  <c r="V512" i="7"/>
  <c r="V640" i="7"/>
  <c r="V781" i="7"/>
  <c r="V877" i="7"/>
  <c r="V973" i="7"/>
  <c r="V237" i="7"/>
  <c r="V492" i="7"/>
  <c r="V645" i="7"/>
  <c r="V769" i="7"/>
  <c r="V865" i="7"/>
  <c r="V968" i="7"/>
  <c r="V33" i="7"/>
  <c r="V257" i="7"/>
  <c r="V429" i="7"/>
  <c r="V549" i="7"/>
  <c r="V634" i="7"/>
  <c r="V720" i="7"/>
  <c r="V793" i="7"/>
  <c r="V937" i="7"/>
  <c r="V269" i="7"/>
  <c r="V597" i="7"/>
  <c r="V797" i="7"/>
  <c r="V957" i="7"/>
  <c r="V280" i="7"/>
  <c r="V624" i="7"/>
  <c r="V833" i="7"/>
  <c r="V984" i="7"/>
  <c r="U14" i="7"/>
  <c r="U30" i="7"/>
  <c r="U46" i="7"/>
  <c r="U62" i="7"/>
  <c r="U78" i="7"/>
  <c r="U94" i="7"/>
  <c r="U110" i="7"/>
  <c r="U126" i="7"/>
  <c r="U142" i="7"/>
  <c r="U158" i="7"/>
  <c r="U174" i="7"/>
  <c r="U190" i="7"/>
  <c r="U206" i="7"/>
  <c r="U222" i="7"/>
  <c r="U238" i="7"/>
  <c r="U254" i="7"/>
  <c r="U270" i="7"/>
  <c r="U286" i="7"/>
  <c r="U302" i="7"/>
  <c r="U318" i="7"/>
  <c r="U334" i="7"/>
  <c r="U350" i="7"/>
  <c r="U366" i="7"/>
  <c r="U382" i="7"/>
  <c r="U398" i="7"/>
  <c r="U414" i="7"/>
  <c r="U430" i="7"/>
  <c r="U446" i="7"/>
  <c r="U462" i="7"/>
  <c r="U478" i="7"/>
  <c r="U494" i="7"/>
  <c r="U11" i="7"/>
  <c r="U27" i="7"/>
  <c r="U43" i="7"/>
  <c r="U59" i="7"/>
  <c r="U75" i="7"/>
  <c r="U91" i="7"/>
  <c r="U107" i="7"/>
  <c r="U123" i="7"/>
  <c r="U139" i="7"/>
  <c r="U155" i="7"/>
  <c r="U171" i="7"/>
  <c r="U187" i="7"/>
  <c r="U203" i="7"/>
  <c r="U219" i="7"/>
  <c r="U235" i="7"/>
  <c r="U251" i="7"/>
  <c r="U267" i="7"/>
  <c r="U283" i="7"/>
  <c r="U299" i="7"/>
  <c r="U315" i="7"/>
  <c r="U331" i="7"/>
  <c r="U347" i="7"/>
  <c r="U363" i="7"/>
  <c r="U379" i="7"/>
  <c r="U395" i="7"/>
  <c r="U411" i="7"/>
  <c r="U427" i="7"/>
  <c r="U443" i="7"/>
  <c r="U459" i="7"/>
  <c r="U475" i="7"/>
  <c r="U491" i="7"/>
  <c r="U507" i="7"/>
  <c r="U28" i="7"/>
  <c r="U60" i="7"/>
  <c r="U92" i="7"/>
  <c r="U124" i="7"/>
  <c r="U156" i="7"/>
  <c r="U188" i="7"/>
  <c r="U220" i="7"/>
  <c r="U252" i="7"/>
  <c r="U284" i="7"/>
  <c r="U316" i="7"/>
  <c r="U348" i="7"/>
  <c r="U380" i="7"/>
  <c r="U412" i="7"/>
  <c r="U444" i="7"/>
  <c r="U476" i="7"/>
  <c r="U505" i="7"/>
  <c r="U522" i="7"/>
  <c r="U538" i="7"/>
  <c r="U554" i="7"/>
  <c r="U570" i="7"/>
  <c r="U29" i="7"/>
  <c r="U61" i="7"/>
  <c r="U93" i="7"/>
  <c r="U125" i="7"/>
  <c r="U157" i="7"/>
  <c r="U189" i="7"/>
  <c r="U221" i="7"/>
  <c r="U253" i="7"/>
  <c r="U285" i="7"/>
  <c r="U317" i="7"/>
  <c r="U349" i="7"/>
  <c r="U381" i="7"/>
  <c r="U413" i="7"/>
  <c r="U445" i="7"/>
  <c r="U477" i="7"/>
  <c r="U506" i="7"/>
  <c r="U523" i="7"/>
  <c r="U539" i="7"/>
  <c r="U555" i="7"/>
  <c r="U571" i="7"/>
  <c r="U587" i="7"/>
  <c r="U603" i="7"/>
  <c r="U619" i="7"/>
  <c r="U635" i="7"/>
  <c r="U651" i="7"/>
  <c r="U667" i="7"/>
  <c r="U683" i="7"/>
  <c r="U699" i="7"/>
  <c r="U715" i="7"/>
  <c r="U731" i="7"/>
  <c r="U747" i="7"/>
  <c r="U8" i="7"/>
  <c r="U40" i="7"/>
  <c r="U72" i="7"/>
  <c r="U104" i="7"/>
  <c r="U136" i="7"/>
  <c r="U168" i="7"/>
  <c r="U200" i="7"/>
  <c r="U232" i="7"/>
  <c r="U264" i="7"/>
  <c r="U296" i="7"/>
  <c r="U328" i="7"/>
  <c r="U360" i="7"/>
  <c r="U392" i="7"/>
  <c r="U424" i="7"/>
  <c r="U456" i="7"/>
  <c r="U488" i="7"/>
  <c r="U512" i="7"/>
  <c r="U528" i="7"/>
  <c r="U544" i="7"/>
  <c r="U560" i="7"/>
  <c r="U576" i="7"/>
  <c r="U592" i="7"/>
  <c r="U608" i="7"/>
  <c r="U624" i="7"/>
  <c r="U640" i="7"/>
  <c r="U656" i="7"/>
  <c r="U672" i="7"/>
  <c r="U688" i="7"/>
  <c r="U704" i="7"/>
  <c r="U720" i="7"/>
  <c r="U736" i="7"/>
  <c r="U752" i="7"/>
  <c r="U41" i="7"/>
  <c r="U169" i="7"/>
  <c r="U297" i="7"/>
  <c r="U425" i="7"/>
  <c r="U529" i="7"/>
  <c r="U582" i="7"/>
  <c r="U614" i="7"/>
  <c r="U646" i="7"/>
  <c r="U678" i="7"/>
  <c r="U710" i="7"/>
  <c r="U742" i="7"/>
  <c r="U768" i="7"/>
  <c r="U784" i="7"/>
  <c r="U800" i="7"/>
  <c r="U816" i="7"/>
  <c r="U832" i="7"/>
  <c r="U848" i="7"/>
  <c r="U864" i="7"/>
  <c r="U880" i="7"/>
  <c r="U896" i="7"/>
  <c r="U912" i="7"/>
  <c r="U928" i="7"/>
  <c r="U944" i="7"/>
  <c r="U960" i="7"/>
  <c r="U976" i="7"/>
  <c r="U992" i="7"/>
  <c r="U866" i="7"/>
  <c r="U910" i="7"/>
  <c r="U954" i="7"/>
  <c r="U990" i="7"/>
  <c r="U321" i="7"/>
  <c r="U573" i="7"/>
  <c r="U81" i="7"/>
  <c r="U209" i="7"/>
  <c r="U337" i="7"/>
  <c r="U465" i="7"/>
  <c r="U549" i="7"/>
  <c r="U593" i="7"/>
  <c r="U625" i="7"/>
  <c r="U657" i="7"/>
  <c r="U689" i="7"/>
  <c r="U721" i="7"/>
  <c r="U753" i="7"/>
  <c r="U773" i="7"/>
  <c r="U789" i="7"/>
  <c r="U805" i="7"/>
  <c r="U821" i="7"/>
  <c r="U837" i="7"/>
  <c r="U853" i="7"/>
  <c r="U869" i="7"/>
  <c r="U885" i="7"/>
  <c r="U901" i="7"/>
  <c r="U917" i="7"/>
  <c r="U933" i="7"/>
  <c r="U949" i="7"/>
  <c r="U965" i="7"/>
  <c r="U981" i="7"/>
  <c r="U997" i="7"/>
  <c r="U878" i="7"/>
  <c r="U918" i="7"/>
  <c r="U962" i="7"/>
  <c r="U33" i="7"/>
  <c r="U353" i="7"/>
  <c r="U597" i="7"/>
  <c r="U89" i="7"/>
  <c r="U217" i="7"/>
  <c r="U345" i="7"/>
  <c r="U473" i="7"/>
  <c r="U553" i="7"/>
  <c r="U594" i="7"/>
  <c r="U626" i="7"/>
  <c r="U658" i="7"/>
  <c r="U690" i="7"/>
  <c r="U722" i="7"/>
  <c r="U754" i="7"/>
  <c r="U774" i="7"/>
  <c r="U790" i="7"/>
  <c r="U806" i="7"/>
  <c r="U822" i="7"/>
  <c r="U838" i="7"/>
  <c r="U874" i="7"/>
  <c r="U946" i="7"/>
  <c r="U97" i="7"/>
  <c r="U581" i="7"/>
  <c r="U709" i="7"/>
  <c r="U799" i="7"/>
  <c r="U863" i="7"/>
  <c r="U927" i="7"/>
  <c r="U621" i="7"/>
  <c r="U749" i="7"/>
  <c r="U819" i="7"/>
  <c r="U883" i="7"/>
  <c r="U947" i="7"/>
  <c r="U999" i="7"/>
  <c r="U811" i="7"/>
  <c r="U923" i="7"/>
  <c r="U661" i="7"/>
  <c r="U775" i="7"/>
  <c r="U839" i="7"/>
  <c r="U903" i="7"/>
  <c r="U967" i="7"/>
  <c r="U763" i="7"/>
  <c r="U907" i="7"/>
  <c r="T2" i="7"/>
  <c r="T18" i="7"/>
  <c r="T34" i="7"/>
  <c r="T50" i="7"/>
  <c r="T66" i="7"/>
  <c r="T82" i="7"/>
  <c r="T98" i="7"/>
  <c r="T114" i="7"/>
  <c r="T130" i="7"/>
  <c r="T146" i="7"/>
  <c r="T162" i="7"/>
  <c r="T178" i="7"/>
  <c r="T194" i="7"/>
  <c r="T210" i="7"/>
  <c r="T226" i="7"/>
  <c r="T242" i="7"/>
  <c r="T258" i="7"/>
  <c r="T274" i="7"/>
  <c r="T290" i="7"/>
  <c r="T306" i="7"/>
  <c r="T322" i="7"/>
  <c r="T338" i="7"/>
  <c r="T354" i="7"/>
  <c r="T11" i="7"/>
  <c r="T27" i="7"/>
  <c r="T43" i="7"/>
  <c r="T59" i="7"/>
  <c r="T75" i="7"/>
  <c r="T91" i="7"/>
  <c r="T107" i="7"/>
  <c r="T123" i="7"/>
  <c r="T139" i="7"/>
  <c r="T155" i="7"/>
  <c r="T171" i="7"/>
  <c r="T187" i="7"/>
  <c r="T203" i="7"/>
  <c r="T219" i="7"/>
  <c r="T235" i="7"/>
  <c r="T251" i="7"/>
  <c r="T267" i="7"/>
  <c r="T283" i="7"/>
  <c r="T299" i="7"/>
  <c r="T315" i="7"/>
  <c r="T331" i="7"/>
  <c r="T347" i="7"/>
  <c r="T363" i="7"/>
  <c r="T379" i="7"/>
  <c r="T395" i="7"/>
  <c r="T411" i="7"/>
  <c r="T427" i="7"/>
  <c r="T443" i="7"/>
  <c r="T459" i="7"/>
  <c r="T475" i="7"/>
  <c r="T491" i="7"/>
  <c r="T507" i="7"/>
  <c r="T16" i="7"/>
  <c r="T32" i="7"/>
  <c r="T48" i="7"/>
  <c r="T64" i="7"/>
  <c r="T80" i="7"/>
  <c r="T96" i="7"/>
  <c r="T112" i="7"/>
  <c r="T128" i="7"/>
  <c r="T144" i="7"/>
  <c r="T160" i="7"/>
  <c r="T176" i="7"/>
  <c r="T192" i="7"/>
  <c r="T208" i="7"/>
  <c r="T224" i="7"/>
  <c r="T240" i="7"/>
  <c r="T256" i="7"/>
  <c r="T272" i="7"/>
  <c r="T288" i="7"/>
  <c r="T304" i="7"/>
  <c r="T320" i="7"/>
  <c r="T336" i="7"/>
  <c r="T352" i="7"/>
  <c r="T368" i="7"/>
  <c r="T384" i="7"/>
  <c r="T400" i="7"/>
  <c r="T416" i="7"/>
  <c r="T432" i="7"/>
  <c r="T448" i="7"/>
  <c r="T464" i="7"/>
  <c r="T480" i="7"/>
  <c r="T496" i="7"/>
  <c r="T21" i="7"/>
  <c r="T85" i="7"/>
  <c r="T149" i="7"/>
  <c r="T213" i="7"/>
  <c r="T277" i="7"/>
  <c r="T341" i="7"/>
  <c r="T382" i="7"/>
  <c r="T414" i="7"/>
  <c r="T446" i="7"/>
  <c r="T478" i="7"/>
  <c r="T509" i="7"/>
  <c r="T525" i="7"/>
  <c r="T541" i="7"/>
  <c r="T557" i="7"/>
  <c r="T573" i="7"/>
  <c r="T589" i="7"/>
  <c r="T605" i="7"/>
  <c r="T621" i="7"/>
  <c r="T637" i="7"/>
  <c r="T653" i="7"/>
  <c r="T669" i="7"/>
  <c r="T685" i="7"/>
  <c r="T701" i="7"/>
  <c r="T717" i="7"/>
  <c r="T733" i="7"/>
  <c r="T749" i="7"/>
  <c r="T765" i="7"/>
  <c r="T781" i="7"/>
  <c r="T797" i="7"/>
  <c r="T813" i="7"/>
  <c r="T829" i="7"/>
  <c r="T845" i="7"/>
  <c r="T49" i="7"/>
  <c r="T137" i="7"/>
  <c r="T221" i="7"/>
  <c r="T305" i="7"/>
  <c r="T377" i="7"/>
  <c r="T418" i="7"/>
  <c r="T461" i="7"/>
  <c r="T505" i="7"/>
  <c r="T527" i="7"/>
  <c r="T548" i="7"/>
  <c r="T570" i="7"/>
  <c r="T591" i="7"/>
  <c r="T612" i="7"/>
  <c r="T634" i="7"/>
  <c r="T655" i="7"/>
  <c r="T676" i="7"/>
  <c r="T698" i="7"/>
  <c r="T719" i="7"/>
  <c r="T740" i="7"/>
  <c r="T762" i="7"/>
  <c r="T783" i="7"/>
  <c r="T804" i="7"/>
  <c r="T826" i="7"/>
  <c r="T847" i="7"/>
  <c r="T864" i="7"/>
  <c r="T880" i="7"/>
  <c r="T896" i="7"/>
  <c r="T912" i="7"/>
  <c r="T928" i="7"/>
  <c r="T944" i="7"/>
  <c r="T960" i="7"/>
  <c r="T976" i="7"/>
  <c r="T992" i="7"/>
  <c r="T33" i="7"/>
  <c r="T121" i="7"/>
  <c r="T205" i="7"/>
  <c r="T289" i="7"/>
  <c r="T369" i="7"/>
  <c r="T410" i="7"/>
  <c r="T453" i="7"/>
  <c r="T497" i="7"/>
  <c r="T523" i="7"/>
  <c r="T544" i="7"/>
  <c r="T566" i="7"/>
  <c r="T587" i="7"/>
  <c r="T608" i="7"/>
  <c r="T630" i="7"/>
  <c r="T651" i="7"/>
  <c r="T672" i="7"/>
  <c r="T694" i="7"/>
  <c r="T715" i="7"/>
  <c r="T736" i="7"/>
  <c r="T758" i="7"/>
  <c r="T779" i="7"/>
  <c r="T800" i="7"/>
  <c r="T822" i="7"/>
  <c r="T843" i="7"/>
  <c r="T861" i="7"/>
  <c r="T877" i="7"/>
  <c r="T893" i="7"/>
  <c r="T909" i="7"/>
  <c r="T925" i="7"/>
  <c r="T941" i="7"/>
  <c r="T957" i="7"/>
  <c r="T145" i="7"/>
  <c r="T317" i="7"/>
  <c r="T425" i="7"/>
  <c r="T508" i="7"/>
  <c r="T551" i="7"/>
  <c r="T594" i="7"/>
  <c r="T636" i="7"/>
  <c r="T679" i="7"/>
  <c r="T722" i="7"/>
  <c r="T764" i="7"/>
  <c r="T807" i="7"/>
  <c r="T850" i="7"/>
  <c r="T882" i="7"/>
  <c r="AB44" i="7"/>
  <c r="AA420" i="7"/>
  <c r="AA85" i="7"/>
  <c r="Z191" i="7"/>
  <c r="Z597" i="7"/>
  <c r="Z808" i="7"/>
  <c r="Z664" i="7"/>
  <c r="Y291" i="7"/>
  <c r="Y564" i="7"/>
  <c r="Y617" i="7"/>
  <c r="Y440" i="7"/>
  <c r="Y827" i="7"/>
  <c r="Y965" i="7"/>
  <c r="Y647" i="7"/>
  <c r="Y932" i="7"/>
  <c r="Y611" i="7"/>
  <c r="Y33" i="7"/>
  <c r="Y465" i="7"/>
  <c r="X6" i="7"/>
  <c r="X262" i="7"/>
  <c r="X11" i="7"/>
  <c r="X267" i="7"/>
  <c r="X16" i="7"/>
  <c r="X272" i="7"/>
  <c r="X181" i="7"/>
  <c r="X676" i="7"/>
  <c r="X201" i="7"/>
  <c r="X13" i="7"/>
  <c r="X819" i="7"/>
  <c r="X758" i="7"/>
  <c r="X882" i="7"/>
  <c r="X741" i="7"/>
  <c r="X996" i="7"/>
  <c r="X763" i="7"/>
  <c r="X449" i="7"/>
  <c r="X886" i="7"/>
  <c r="W70" i="7"/>
  <c r="W198" i="7"/>
  <c r="W326" i="7"/>
  <c r="W454" i="7"/>
  <c r="W75" i="7"/>
  <c r="W203" i="7"/>
  <c r="W331" i="7"/>
  <c r="W459" i="7"/>
  <c r="W156" i="7"/>
  <c r="W412" i="7"/>
  <c r="W588" i="7"/>
  <c r="W716" i="7"/>
  <c r="W844" i="7"/>
  <c r="W972" i="7"/>
  <c r="W157" i="7"/>
  <c r="W325" i="7"/>
  <c r="W493" i="7"/>
  <c r="W248" i="7"/>
  <c r="W539" i="7"/>
  <c r="W651" i="7"/>
  <c r="W737" i="7"/>
  <c r="W822" i="7"/>
  <c r="W907" i="7"/>
  <c r="W993" i="7"/>
  <c r="W233" i="7"/>
  <c r="W489" i="7"/>
  <c r="W594" i="7"/>
  <c r="W679" i="7"/>
  <c r="W765" i="7"/>
  <c r="W850" i="7"/>
  <c r="W935" i="7"/>
  <c r="W64" i="7"/>
  <c r="W320" i="7"/>
  <c r="W537" i="7"/>
  <c r="W622" i="7"/>
  <c r="W707" i="7"/>
  <c r="W793" i="7"/>
  <c r="W878" i="7"/>
  <c r="W963" i="7"/>
  <c r="W161" i="7"/>
  <c r="W417" i="7"/>
  <c r="W570" i="7"/>
  <c r="W655" i="7"/>
  <c r="W741" i="7"/>
  <c r="W826" i="7"/>
  <c r="W911" i="7"/>
  <c r="W997" i="7"/>
  <c r="V62" i="7"/>
  <c r="V126" i="7"/>
  <c r="V190" i="7"/>
  <c r="V254" i="7"/>
  <c r="V318" i="7"/>
  <c r="V382" i="7"/>
  <c r="V446" i="7"/>
  <c r="V23" i="7"/>
  <c r="V87" i="7"/>
  <c r="V151" i="7"/>
  <c r="V215" i="7"/>
  <c r="V279" i="7"/>
  <c r="V343" i="7"/>
  <c r="V407" i="7"/>
  <c r="V471" i="7"/>
  <c r="V52" i="7"/>
  <c r="V180" i="7"/>
  <c r="V308" i="7"/>
  <c r="V436" i="7"/>
  <c r="V531" i="7"/>
  <c r="V595" i="7"/>
  <c r="V659" i="7"/>
  <c r="V723" i="7"/>
  <c r="V61" i="7"/>
  <c r="V189" i="7"/>
  <c r="V229" i="7"/>
  <c r="V400" i="7"/>
  <c r="V534" i="7"/>
  <c r="V620" i="7"/>
  <c r="V705" i="7"/>
  <c r="V782" i="7"/>
  <c r="V846" i="7"/>
  <c r="V910" i="7"/>
  <c r="V974" i="7"/>
  <c r="V713" i="7"/>
  <c r="V872" i="7"/>
  <c r="V121" i="7"/>
  <c r="V317" i="7"/>
  <c r="V488" i="7"/>
  <c r="V578" i="7"/>
  <c r="V664" i="7"/>
  <c r="V749" i="7"/>
  <c r="V815" i="7"/>
  <c r="V879" i="7"/>
  <c r="V943" i="7"/>
  <c r="V32" i="7"/>
  <c r="V256" i="7"/>
  <c r="V425" i="7"/>
  <c r="V548" i="7"/>
  <c r="V665" i="7"/>
  <c r="V808" i="7"/>
  <c r="V908" i="7"/>
  <c r="V417" i="7"/>
  <c r="V789" i="7"/>
  <c r="V825" i="7"/>
  <c r="V533" i="7"/>
  <c r="V989" i="7"/>
  <c r="V801" i="7"/>
  <c r="V301" i="7"/>
  <c r="V741" i="7"/>
  <c r="V661" i="7"/>
  <c r="V666" i="7"/>
  <c r="U34" i="7"/>
  <c r="U98" i="7"/>
  <c r="U162" i="7"/>
  <c r="U226" i="7"/>
  <c r="U290" i="7"/>
  <c r="U354" i="7"/>
  <c r="U418" i="7"/>
  <c r="U482" i="7"/>
  <c r="U47" i="7"/>
  <c r="U111" i="7"/>
  <c r="U175" i="7"/>
  <c r="U239" i="7"/>
  <c r="U303" i="7"/>
  <c r="U367" i="7"/>
  <c r="U431" i="7"/>
  <c r="U495" i="7"/>
  <c r="U100" i="7"/>
  <c r="U228" i="7"/>
  <c r="U356" i="7"/>
  <c r="U484" i="7"/>
  <c r="U558" i="7"/>
  <c r="U101" i="7"/>
  <c r="U229" i="7"/>
  <c r="U357" i="7"/>
  <c r="U485" i="7"/>
  <c r="U559" i="7"/>
  <c r="U623" i="7"/>
  <c r="U687" i="7"/>
  <c r="U751" i="7"/>
  <c r="U112" i="7"/>
  <c r="U240" i="7"/>
  <c r="U368" i="7"/>
  <c r="U496" i="7"/>
  <c r="U564" i="7"/>
  <c r="U628" i="7"/>
  <c r="U692" i="7"/>
  <c r="U756" i="7"/>
  <c r="U457" i="7"/>
  <c r="U654" i="7"/>
  <c r="U772" i="7"/>
  <c r="U836" i="7"/>
  <c r="U900" i="7"/>
  <c r="U964" i="7"/>
  <c r="U922" i="7"/>
  <c r="U589" i="7"/>
  <c r="U497" i="7"/>
  <c r="U665" i="7"/>
  <c r="U777" i="7"/>
  <c r="U841" i="7"/>
  <c r="U905" i="7"/>
  <c r="U969" i="7"/>
  <c r="U930" i="7"/>
  <c r="U605" i="7"/>
  <c r="U504" i="7"/>
  <c r="U666" i="7"/>
  <c r="U778" i="7"/>
  <c r="U842" i="7"/>
  <c r="U613" i="7"/>
  <c r="U943" i="7"/>
  <c r="U899" i="7"/>
  <c r="U955" i="7"/>
  <c r="U919" i="7"/>
  <c r="T6" i="7"/>
  <c r="T70" i="7"/>
  <c r="T106" i="7"/>
  <c r="T138" i="7"/>
  <c r="T170" i="7"/>
  <c r="T202" i="7"/>
  <c r="T234" i="7"/>
  <c r="T266" i="7"/>
  <c r="T298" i="7"/>
  <c r="T330" i="7"/>
  <c r="T3" i="7"/>
  <c r="T35" i="7"/>
  <c r="T67" i="7"/>
  <c r="T99" i="7"/>
  <c r="T131" i="7"/>
  <c r="T163" i="7"/>
  <c r="T195" i="7"/>
  <c r="T227" i="7"/>
  <c r="T259" i="7"/>
  <c r="T291" i="7"/>
  <c r="T323" i="7"/>
  <c r="T355" i="7"/>
  <c r="T387" i="7"/>
  <c r="T419" i="7"/>
  <c r="T451" i="7"/>
  <c r="T483" i="7"/>
  <c r="T8" i="7"/>
  <c r="T40" i="7"/>
  <c r="T72" i="7"/>
  <c r="T104" i="7"/>
  <c r="T136" i="7"/>
  <c r="T168" i="7"/>
  <c r="T200" i="7"/>
  <c r="T232" i="7"/>
  <c r="T264" i="7"/>
  <c r="T296" i="7"/>
  <c r="T328" i="7"/>
  <c r="T360" i="7"/>
  <c r="T392" i="7"/>
  <c r="T424" i="7"/>
  <c r="T456" i="7"/>
  <c r="T488" i="7"/>
  <c r="T53" i="7"/>
  <c r="T181" i="7"/>
  <c r="T309" i="7"/>
  <c r="T398" i="7"/>
  <c r="T462" i="7"/>
  <c r="T517" i="7"/>
  <c r="T549" i="7"/>
  <c r="T581" i="7"/>
  <c r="T613" i="7"/>
  <c r="T645" i="7"/>
  <c r="T677" i="7"/>
  <c r="T709" i="7"/>
  <c r="T741" i="7"/>
  <c r="T773" i="7"/>
  <c r="T805" i="7"/>
  <c r="T837" i="7"/>
  <c r="T93" i="7"/>
  <c r="T265" i="7"/>
  <c r="T397" i="7"/>
  <c r="T482" i="7"/>
  <c r="T538" i="7"/>
  <c r="T580" i="7"/>
  <c r="T623" i="7"/>
  <c r="T666" i="7"/>
  <c r="T708" i="7"/>
  <c r="T751" i="7"/>
  <c r="T794" i="7"/>
  <c r="T836" i="7"/>
  <c r="T872" i="7"/>
  <c r="T904" i="7"/>
  <c r="T936" i="7"/>
  <c r="T968" i="7"/>
  <c r="T1000" i="7"/>
  <c r="T161" i="7"/>
  <c r="T333" i="7"/>
  <c r="T433" i="7"/>
  <c r="T512" i="7"/>
  <c r="T550" i="7"/>
  <c r="T576" i="7"/>
  <c r="T603" i="7"/>
  <c r="T635" i="7"/>
  <c r="T662" i="7"/>
  <c r="T688" i="7"/>
  <c r="T720" i="7"/>
  <c r="T747" i="7"/>
  <c r="T774" i="7"/>
  <c r="T806" i="7"/>
  <c r="T832" i="7"/>
  <c r="T857" i="7"/>
  <c r="T881" i="7"/>
  <c r="T901" i="7"/>
  <c r="T921" i="7"/>
  <c r="T945" i="7"/>
  <c r="T61" i="7"/>
  <c r="T273" i="7"/>
  <c r="T445" i="7"/>
  <c r="T530" i="7"/>
  <c r="T583" i="7"/>
  <c r="T647" i="7"/>
  <c r="T700" i="7"/>
  <c r="T754" i="7"/>
  <c r="T818" i="7"/>
  <c r="T866" i="7"/>
  <c r="T906" i="7"/>
  <c r="T938" i="7"/>
  <c r="T966" i="7"/>
  <c r="T987" i="7"/>
  <c r="T973" i="7"/>
  <c r="T169" i="7"/>
  <c r="T477" i="7"/>
  <c r="T578" i="7"/>
  <c r="T684" i="7"/>
  <c r="T791" i="7"/>
  <c r="T894" i="7"/>
  <c r="T969" i="7"/>
  <c r="T257" i="7"/>
  <c r="T501" i="7"/>
  <c r="T611" i="7"/>
  <c r="T718" i="7"/>
  <c r="T824" i="7"/>
  <c r="T919" i="7"/>
  <c r="T991" i="7"/>
  <c r="T109" i="7"/>
  <c r="T281" i="7"/>
  <c r="T405" i="7"/>
  <c r="T490" i="7"/>
  <c r="T542" i="7"/>
  <c r="T584" i="7"/>
  <c r="T627" i="7"/>
  <c r="T670" i="7"/>
  <c r="T712" i="7"/>
  <c r="T755" i="7"/>
  <c r="T798" i="7"/>
  <c r="T840" i="7"/>
  <c r="T875" i="7"/>
  <c r="T907" i="7"/>
  <c r="T939" i="7"/>
  <c r="T978" i="7"/>
  <c r="T125" i="7"/>
  <c r="T393" i="7"/>
  <c r="T535" i="7"/>
  <c r="T599" i="7"/>
  <c r="T674" i="7"/>
  <c r="T748" i="7"/>
  <c r="T812" i="7"/>
  <c r="T878" i="7"/>
  <c r="T926" i="7"/>
  <c r="T974" i="7"/>
  <c r="T129" i="7"/>
  <c r="T373" i="7"/>
  <c r="T515" i="7"/>
  <c r="T590" i="7"/>
  <c r="T654" i="7"/>
  <c r="T728" i="7"/>
  <c r="T792" i="7"/>
  <c r="T863" i="7"/>
  <c r="T911" i="7"/>
  <c r="T959" i="7"/>
  <c r="S2" i="7"/>
  <c r="S18" i="7"/>
  <c r="S34" i="7"/>
  <c r="S50" i="7"/>
  <c r="S66" i="7"/>
  <c r="S82" i="7"/>
  <c r="S98" i="7"/>
  <c r="S114" i="7"/>
  <c r="S130" i="7"/>
  <c r="S146" i="7"/>
  <c r="S162" i="7"/>
  <c r="S178" i="7"/>
  <c r="S194" i="7"/>
  <c r="S210" i="7"/>
  <c r="S226" i="7"/>
  <c r="S242" i="7"/>
  <c r="S258" i="7"/>
  <c r="S274" i="7"/>
  <c r="S290" i="7"/>
  <c r="S306" i="7"/>
  <c r="S322" i="7"/>
  <c r="S338" i="7"/>
  <c r="S354" i="7"/>
  <c r="S370" i="7"/>
  <c r="S386" i="7"/>
  <c r="S402" i="7"/>
  <c r="S418" i="7"/>
  <c r="S434" i="7"/>
  <c r="S450" i="7"/>
  <c r="S466" i="7"/>
  <c r="S482" i="7"/>
  <c r="S498" i="7"/>
  <c r="S7" i="7"/>
  <c r="S23" i="7"/>
  <c r="S39" i="7"/>
  <c r="S55" i="7"/>
  <c r="S71" i="7"/>
  <c r="S87" i="7"/>
  <c r="S103" i="7"/>
  <c r="S119" i="7"/>
  <c r="S135" i="7"/>
  <c r="S151" i="7"/>
  <c r="S167" i="7"/>
  <c r="S183" i="7"/>
  <c r="S199" i="7"/>
  <c r="S215" i="7"/>
  <c r="S231" i="7"/>
  <c r="S247" i="7"/>
  <c r="S263" i="7"/>
  <c r="S279" i="7"/>
  <c r="S295" i="7"/>
  <c r="S311" i="7"/>
  <c r="S327" i="7"/>
  <c r="S343" i="7"/>
  <c r="S359" i="7"/>
  <c r="S375" i="7"/>
  <c r="S391" i="7"/>
  <c r="S407" i="7"/>
  <c r="S423" i="7"/>
  <c r="S439" i="7"/>
  <c r="S455" i="7"/>
  <c r="S471" i="7"/>
  <c r="S487" i="7"/>
  <c r="S503" i="7"/>
  <c r="S16" i="7"/>
  <c r="S32" i="7"/>
  <c r="S48" i="7"/>
  <c r="S64" i="7"/>
  <c r="S80" i="7"/>
  <c r="S96" i="7"/>
  <c r="S112" i="7"/>
  <c r="S128" i="7"/>
  <c r="S144" i="7"/>
  <c r="S160" i="7"/>
  <c r="S176" i="7"/>
  <c r="S192" i="7"/>
  <c r="S208" i="7"/>
  <c r="S224" i="7"/>
  <c r="S240" i="7"/>
  <c r="S256" i="7"/>
  <c r="S272" i="7"/>
  <c r="S288" i="7"/>
  <c r="S304" i="7"/>
  <c r="S320" i="7"/>
  <c r="S336" i="7"/>
  <c r="S352" i="7"/>
  <c r="S368" i="7"/>
  <c r="S384" i="7"/>
  <c r="S400" i="7"/>
  <c r="S416" i="7"/>
  <c r="S432" i="7"/>
  <c r="S448" i="7"/>
  <c r="S464" i="7"/>
  <c r="S5" i="7"/>
  <c r="S69" i="7"/>
  <c r="S133" i="7"/>
  <c r="S197" i="7"/>
  <c r="S261" i="7"/>
  <c r="S325" i="7"/>
  <c r="S389" i="7"/>
  <c r="S453" i="7"/>
  <c r="S497" i="7"/>
  <c r="S518" i="7"/>
  <c r="S534" i="7"/>
  <c r="S550" i="7"/>
  <c r="S566" i="7"/>
  <c r="S582" i="7"/>
  <c r="S598" i="7"/>
  <c r="S614" i="7"/>
  <c r="S630" i="7"/>
  <c r="S646" i="7"/>
  <c r="S662" i="7"/>
  <c r="S678" i="7"/>
  <c r="S694" i="7"/>
  <c r="S710" i="7"/>
  <c r="S41" i="7"/>
  <c r="S105" i="7"/>
  <c r="S169" i="7"/>
  <c r="S233" i="7"/>
  <c r="S297" i="7"/>
  <c r="S361" i="7"/>
  <c r="S425" i="7"/>
  <c r="S484" i="7"/>
  <c r="S511" i="7"/>
  <c r="S527" i="7"/>
  <c r="S543" i="7"/>
  <c r="S559" i="7"/>
  <c r="S575" i="7"/>
  <c r="S591" i="7"/>
  <c r="S607" i="7"/>
  <c r="S623" i="7"/>
  <c r="S639" i="7"/>
  <c r="S655" i="7"/>
  <c r="S671" i="7"/>
  <c r="S687" i="7"/>
  <c r="S703" i="7"/>
  <c r="S719" i="7"/>
  <c r="S735" i="7"/>
  <c r="S751" i="7"/>
  <c r="S767" i="7"/>
  <c r="S783" i="7"/>
  <c r="S799" i="7"/>
  <c r="S815" i="7"/>
  <c r="S831" i="7"/>
  <c r="S847" i="7"/>
  <c r="S863" i="7"/>
  <c r="S879" i="7"/>
  <c r="S109" i="7"/>
  <c r="S237" i="7"/>
  <c r="S365" i="7"/>
  <c r="S485" i="7"/>
  <c r="S528" i="7"/>
  <c r="S560" i="7"/>
  <c r="S592" i="7"/>
  <c r="S624" i="7"/>
  <c r="S656" i="7"/>
  <c r="S688" i="7"/>
  <c r="S718" i="7"/>
  <c r="S740" i="7"/>
  <c r="S761" i="7"/>
  <c r="S782" i="7"/>
  <c r="S804" i="7"/>
  <c r="S825" i="7"/>
  <c r="S846" i="7"/>
  <c r="S868" i="7"/>
  <c r="S887" i="7"/>
  <c r="S903" i="7"/>
  <c r="S919" i="7"/>
  <c r="S935" i="7"/>
  <c r="S951" i="7"/>
  <c r="S967" i="7"/>
  <c r="S983" i="7"/>
  <c r="S999" i="7"/>
  <c r="S113" i="7"/>
  <c r="S241" i="7"/>
  <c r="S369" i="7"/>
  <c r="S488" i="7"/>
  <c r="S529" i="7"/>
  <c r="S561" i="7"/>
  <c r="S593" i="7"/>
  <c r="S625" i="7"/>
  <c r="S657" i="7"/>
  <c r="S689" i="7"/>
  <c r="S720" i="7"/>
  <c r="S741" i="7"/>
  <c r="S762" i="7"/>
  <c r="S784" i="7"/>
  <c r="S805" i="7"/>
  <c r="S826" i="7"/>
  <c r="S848" i="7"/>
  <c r="S869" i="7"/>
  <c r="S888" i="7"/>
  <c r="S904" i="7"/>
  <c r="S920" i="7"/>
  <c r="S936" i="7"/>
  <c r="S952" i="7"/>
  <c r="S968" i="7"/>
  <c r="S984" i="7"/>
  <c r="S1000" i="7"/>
  <c r="S125" i="7"/>
  <c r="S253" i="7"/>
  <c r="S381" i="7"/>
  <c r="S493" i="7"/>
  <c r="S532" i="7"/>
  <c r="S564" i="7"/>
  <c r="S596" i="7"/>
  <c r="S628" i="7"/>
  <c r="S660" i="7"/>
  <c r="S692" i="7"/>
  <c r="S721" i="7"/>
  <c r="S33" i="7"/>
  <c r="S509" i="7"/>
  <c r="S637" i="7"/>
  <c r="S744" i="7"/>
  <c r="S786" i="7"/>
  <c r="S829" i="7"/>
  <c r="S872" i="7"/>
  <c r="S906" i="7"/>
  <c r="S938" i="7"/>
  <c r="S970" i="7"/>
  <c r="S65" i="7"/>
  <c r="S517" i="7"/>
  <c r="S645" i="7"/>
  <c r="S748" i="7"/>
  <c r="S790" i="7"/>
  <c r="S833" i="7"/>
  <c r="S876" i="7"/>
  <c r="S909" i="7"/>
  <c r="S941" i="7"/>
  <c r="S973" i="7"/>
  <c r="S97" i="7"/>
  <c r="S525" i="7"/>
  <c r="S653" i="7"/>
  <c r="S749" i="7"/>
  <c r="S792" i="7"/>
  <c r="S834" i="7"/>
  <c r="S877" i="7"/>
  <c r="S910" i="7"/>
  <c r="S942" i="7"/>
  <c r="S974" i="7"/>
  <c r="S129" i="7"/>
  <c r="S533" i="7"/>
  <c r="S661" i="7"/>
  <c r="S753" i="7"/>
  <c r="S796" i="7"/>
  <c r="S838" i="7"/>
  <c r="S881" i="7"/>
  <c r="S913" i="7"/>
  <c r="S945" i="7"/>
  <c r="S977" i="7"/>
  <c r="R6" i="7"/>
  <c r="R22" i="7"/>
  <c r="R38" i="7"/>
  <c r="R54" i="7"/>
  <c r="R70" i="7"/>
  <c r="R86" i="7"/>
  <c r="R102" i="7"/>
  <c r="R118" i="7"/>
  <c r="R134" i="7"/>
  <c r="R150" i="7"/>
  <c r="R166" i="7"/>
  <c r="R182" i="7"/>
  <c r="R198" i="7"/>
  <c r="R214" i="7"/>
  <c r="R230" i="7"/>
  <c r="R246" i="7"/>
  <c r="R262" i="7"/>
  <c r="R278" i="7"/>
  <c r="R294" i="7"/>
  <c r="R310" i="7"/>
  <c r="R326" i="7"/>
  <c r="R342" i="7"/>
  <c r="R358" i="7"/>
  <c r="R374" i="7"/>
  <c r="R390" i="7"/>
  <c r="R406" i="7"/>
  <c r="R422" i="7"/>
  <c r="R438" i="7"/>
  <c r="R454" i="7"/>
  <c r="R11" i="7"/>
  <c r="R27" i="7"/>
  <c r="R43" i="7"/>
  <c r="R59" i="7"/>
  <c r="R75" i="7"/>
  <c r="R91" i="7"/>
  <c r="R107" i="7"/>
  <c r="R123" i="7"/>
  <c r="R139" i="7"/>
  <c r="R155" i="7"/>
  <c r="R171" i="7"/>
  <c r="R187" i="7"/>
  <c r="R203" i="7"/>
  <c r="R219" i="7"/>
  <c r="R235" i="7"/>
  <c r="R251" i="7"/>
  <c r="R267" i="7"/>
  <c r="R283" i="7"/>
  <c r="R299" i="7"/>
  <c r="R315" i="7"/>
  <c r="R331" i="7"/>
  <c r="R347" i="7"/>
  <c r="R363" i="7"/>
  <c r="R379" i="7"/>
  <c r="R395" i="7"/>
  <c r="R411" i="7"/>
  <c r="R427" i="7"/>
  <c r="R443" i="7"/>
  <c r="R459" i="7"/>
  <c r="R475" i="7"/>
  <c r="R491" i="7"/>
  <c r="R507" i="7"/>
  <c r="R28" i="7"/>
  <c r="R60" i="7"/>
  <c r="R92" i="7"/>
  <c r="R124" i="7"/>
  <c r="R156" i="7"/>
  <c r="R188" i="7"/>
  <c r="R220" i="7"/>
  <c r="R252" i="7"/>
  <c r="R284" i="7"/>
  <c r="R316" i="7"/>
  <c r="R348" i="7"/>
  <c r="R380" i="7"/>
  <c r="R412" i="7"/>
  <c r="R444" i="7"/>
  <c r="R470" i="7"/>
  <c r="R492" i="7"/>
  <c r="R512" i="7"/>
  <c r="R528" i="7"/>
  <c r="R544" i="7"/>
  <c r="R560" i="7"/>
  <c r="R576" i="7"/>
  <c r="R592" i="7"/>
  <c r="R608" i="7"/>
  <c r="R624" i="7"/>
  <c r="R640" i="7"/>
  <c r="R656" i="7"/>
  <c r="R672" i="7"/>
  <c r="R688" i="7"/>
  <c r="R704" i="7"/>
  <c r="R720" i="7"/>
  <c r="R736" i="7"/>
  <c r="R5" i="7"/>
  <c r="R37" i="7"/>
  <c r="R69" i="7"/>
  <c r="R101" i="7"/>
  <c r="R133" i="7"/>
  <c r="R165" i="7"/>
  <c r="R197" i="7"/>
  <c r="R229" i="7"/>
  <c r="R261" i="7"/>
  <c r="R293" i="7"/>
  <c r="R325" i="7"/>
  <c r="R357" i="7"/>
  <c r="R389" i="7"/>
  <c r="R421" i="7"/>
  <c r="R453" i="7"/>
  <c r="R477" i="7"/>
  <c r="R498" i="7"/>
  <c r="R517" i="7"/>
  <c r="R533" i="7"/>
  <c r="R549" i="7"/>
  <c r="R565" i="7"/>
  <c r="R581" i="7"/>
  <c r="R597" i="7"/>
  <c r="R613" i="7"/>
  <c r="R629" i="7"/>
  <c r="R645" i="7"/>
  <c r="R661" i="7"/>
  <c r="R677" i="7"/>
  <c r="R693" i="7"/>
  <c r="R709" i="7"/>
  <c r="R725" i="7"/>
  <c r="R741" i="7"/>
  <c r="R757" i="7"/>
  <c r="R773" i="7"/>
  <c r="R789" i="7"/>
  <c r="R805" i="7"/>
  <c r="R821" i="7"/>
  <c r="R837" i="7"/>
  <c r="R853" i="7"/>
  <c r="R869" i="7"/>
  <c r="R885" i="7"/>
  <c r="R901" i="7"/>
  <c r="R917" i="7"/>
  <c r="R933" i="7"/>
  <c r="R949" i="7"/>
  <c r="R965" i="7"/>
  <c r="R981" i="7"/>
  <c r="R997" i="7"/>
  <c r="R32" i="7"/>
  <c r="R72" i="7"/>
  <c r="R136" i="7"/>
  <c r="R200" i="7"/>
  <c r="R264" i="7"/>
  <c r="R328" i="7"/>
  <c r="R392" i="7"/>
  <c r="R456" i="7"/>
  <c r="R500" i="7"/>
  <c r="R534" i="7"/>
  <c r="R566" i="7"/>
  <c r="R598" i="7"/>
  <c r="R630" i="7"/>
  <c r="R662" i="7"/>
  <c r="R694" i="7"/>
  <c r="R726" i="7"/>
  <c r="R755" i="7"/>
  <c r="R776" i="7"/>
  <c r="R798" i="7"/>
  <c r="R819" i="7"/>
  <c r="R840" i="7"/>
  <c r="R862" i="7"/>
  <c r="R883" i="7"/>
  <c r="R904" i="7"/>
  <c r="R926" i="7"/>
  <c r="R947" i="7"/>
  <c r="R968" i="7"/>
  <c r="R990" i="7"/>
  <c r="R763" i="7"/>
  <c r="R816" i="7"/>
  <c r="R875" i="7"/>
  <c r="R928" i="7"/>
  <c r="R976" i="7"/>
  <c r="R113" i="7"/>
  <c r="R273" i="7"/>
  <c r="R449" i="7"/>
  <c r="R547" i="7"/>
  <c r="R627" i="7"/>
  <c r="R707" i="7"/>
  <c r="R775" i="7"/>
  <c r="R834" i="7"/>
  <c r="R887" i="7"/>
  <c r="R41" i="7"/>
  <c r="R105" i="7"/>
  <c r="R169" i="7"/>
  <c r="R233" i="7"/>
  <c r="R297" i="7"/>
  <c r="R361" i="7"/>
  <c r="R425" i="7"/>
  <c r="R480" i="7"/>
  <c r="R519" i="7"/>
  <c r="R551" i="7"/>
  <c r="R583" i="7"/>
  <c r="R615" i="7"/>
  <c r="R647" i="7"/>
  <c r="R679" i="7"/>
  <c r="R711" i="7"/>
  <c r="R743" i="7"/>
  <c r="R767" i="7"/>
  <c r="R788" i="7"/>
  <c r="R810" i="7"/>
  <c r="R831" i="7"/>
  <c r="R852" i="7"/>
  <c r="R874" i="7"/>
  <c r="R895" i="7"/>
  <c r="R916" i="7"/>
  <c r="R938" i="7"/>
  <c r="R959" i="7"/>
  <c r="R980" i="7"/>
  <c r="R25" i="7"/>
  <c r="R96" i="7"/>
  <c r="R160" i="7"/>
  <c r="R224" i="7"/>
  <c r="R288" i="7"/>
  <c r="R352" i="7"/>
  <c r="R416" i="7"/>
  <c r="R473" i="7"/>
  <c r="R514" i="7"/>
  <c r="R546" i="7"/>
  <c r="R578" i="7"/>
  <c r="R610" i="7"/>
  <c r="R642" i="7"/>
  <c r="R674" i="7"/>
  <c r="R706" i="7"/>
  <c r="R738" i="7"/>
  <c r="R774" i="7"/>
  <c r="R811" i="7"/>
  <c r="R843" i="7"/>
  <c r="R880" i="7"/>
  <c r="R912" i="7"/>
  <c r="R955" i="7"/>
  <c r="R992" i="7"/>
  <c r="R97" i="7"/>
  <c r="R209" i="7"/>
  <c r="R305" i="7"/>
  <c r="R417" i="7"/>
  <c r="R496" i="7"/>
  <c r="R555" i="7"/>
  <c r="R603" i="7"/>
  <c r="R659" i="7"/>
  <c r="R715" i="7"/>
  <c r="R759" i="7"/>
  <c r="R796" i="7"/>
  <c r="R828" i="7"/>
  <c r="R866" i="7"/>
  <c r="R898" i="7"/>
  <c r="R962" i="7"/>
  <c r="R978" i="7"/>
  <c r="R988" i="7"/>
  <c r="R956" i="7"/>
  <c r="Q10" i="7"/>
  <c r="Q26" i="7"/>
  <c r="Q42" i="7"/>
  <c r="Q58" i="7"/>
  <c r="Q74" i="7"/>
  <c r="Q90" i="7"/>
  <c r="Q106" i="7"/>
  <c r="Q122" i="7"/>
  <c r="Q138" i="7"/>
  <c r="Q154" i="7"/>
  <c r="Q170" i="7"/>
  <c r="Q186" i="7"/>
  <c r="Q202" i="7"/>
  <c r="Q218" i="7"/>
  <c r="Q234" i="7"/>
  <c r="Q250" i="7"/>
  <c r="Q266" i="7"/>
  <c r="Q282" i="7"/>
  <c r="Q298" i="7"/>
  <c r="Q314" i="7"/>
  <c r="Q330" i="7"/>
  <c r="Q346" i="7"/>
  <c r="Q362" i="7"/>
  <c r="Q378" i="7"/>
  <c r="Q394" i="7"/>
  <c r="Q410" i="7"/>
  <c r="Q426" i="7"/>
  <c r="Q442" i="7"/>
  <c r="Q458" i="7"/>
  <c r="Q474" i="7"/>
  <c r="Q490" i="7"/>
  <c r="Q3" i="7"/>
  <c r="Q19" i="7"/>
  <c r="Q35" i="7"/>
  <c r="Q51" i="7"/>
  <c r="Q67" i="7"/>
  <c r="Q83" i="7"/>
  <c r="Q99" i="7"/>
  <c r="Q115" i="7"/>
  <c r="Q131" i="7"/>
  <c r="Q147" i="7"/>
  <c r="Q163" i="7"/>
  <c r="Q179" i="7"/>
  <c r="Q195" i="7"/>
  <c r="Q211" i="7"/>
  <c r="Q227" i="7"/>
  <c r="Q243" i="7"/>
  <c r="Q259" i="7"/>
  <c r="Q275" i="7"/>
  <c r="Q291" i="7"/>
  <c r="Q307" i="7"/>
  <c r="Q323" i="7"/>
  <c r="Q339" i="7"/>
  <c r="Q355" i="7"/>
  <c r="Q371" i="7"/>
  <c r="Q387" i="7"/>
  <c r="Q403" i="7"/>
  <c r="Q419" i="7"/>
  <c r="Q435" i="7"/>
  <c r="Q451" i="7"/>
  <c r="Q467" i="7"/>
  <c r="Q483" i="7"/>
  <c r="Q499" i="7"/>
  <c r="Q8" i="7"/>
  <c r="Q24" i="7"/>
  <c r="Q40" i="7"/>
  <c r="Q56" i="7"/>
  <c r="Q72" i="7"/>
  <c r="Q88" i="7"/>
  <c r="Q104" i="7"/>
  <c r="Q120" i="7"/>
  <c r="Q136" i="7"/>
  <c r="Q152" i="7"/>
  <c r="Q168" i="7"/>
  <c r="Q184" i="7"/>
  <c r="Q200" i="7"/>
  <c r="Q216" i="7"/>
  <c r="Q232" i="7"/>
  <c r="Q248" i="7"/>
  <c r="Q264" i="7"/>
  <c r="Q280" i="7"/>
  <c r="Q296" i="7"/>
  <c r="Q312" i="7"/>
  <c r="Q328" i="7"/>
  <c r="Q344" i="7"/>
  <c r="Q360" i="7"/>
  <c r="Q376" i="7"/>
  <c r="Q392" i="7"/>
  <c r="Q408" i="7"/>
  <c r="Q424" i="7"/>
  <c r="Q440" i="7"/>
  <c r="Q456" i="7"/>
  <c r="Q472" i="7"/>
  <c r="Q488" i="7"/>
  <c r="Q21" i="7"/>
  <c r="Q85" i="7"/>
  <c r="Q149" i="7"/>
  <c r="Q213" i="7"/>
  <c r="Q277" i="7"/>
  <c r="Q341" i="7"/>
  <c r="Q405" i="7"/>
  <c r="Q469" i="7"/>
  <c r="Q511" i="7"/>
  <c r="Q527" i="7"/>
  <c r="Q543" i="7"/>
  <c r="Q559" i="7"/>
  <c r="Q575" i="7"/>
  <c r="Q591" i="7"/>
  <c r="Q607" i="7"/>
  <c r="Q623" i="7"/>
  <c r="Q639" i="7"/>
  <c r="Q655" i="7"/>
  <c r="Q671" i="7"/>
  <c r="Q687" i="7"/>
  <c r="Q703" i="7"/>
  <c r="Q719" i="7"/>
  <c r="Q735" i="7"/>
  <c r="Q751" i="7"/>
  <c r="Q767" i="7"/>
  <c r="Q783" i="7"/>
  <c r="Q799" i="7"/>
  <c r="Q815" i="7"/>
  <c r="Q831" i="7"/>
  <c r="Q847" i="7"/>
  <c r="Q863" i="7"/>
  <c r="Q879" i="7"/>
  <c r="Q41" i="7"/>
  <c r="Q105" i="7"/>
  <c r="Q169" i="7"/>
  <c r="Q233" i="7"/>
  <c r="Q297" i="7"/>
  <c r="Q361" i="7"/>
  <c r="Q425" i="7"/>
  <c r="Q489" i="7"/>
  <c r="Q516" i="7"/>
  <c r="Q532" i="7"/>
  <c r="Q548" i="7"/>
  <c r="Q564" i="7"/>
  <c r="Q580" i="7"/>
  <c r="Q596" i="7"/>
  <c r="Q612" i="7"/>
  <c r="Q628" i="7"/>
  <c r="Q644" i="7"/>
  <c r="Q660" i="7"/>
  <c r="Q676" i="7"/>
  <c r="Q692" i="7"/>
  <c r="Q708" i="7"/>
  <c r="Q724" i="7"/>
  <c r="Q740" i="7"/>
  <c r="Q756" i="7"/>
  <c r="Q772" i="7"/>
  <c r="Q788" i="7"/>
  <c r="Q804" i="7"/>
  <c r="Q820" i="7"/>
  <c r="Q836" i="7"/>
  <c r="Q852" i="7"/>
  <c r="AB105" i="7"/>
  <c r="AA555" i="7"/>
  <c r="AA693" i="7"/>
  <c r="Z447" i="7"/>
  <c r="Z853" i="7"/>
  <c r="Z596" i="7"/>
  <c r="Y30" i="7"/>
  <c r="Y435" i="7"/>
  <c r="Y237" i="7"/>
  <c r="Y681" i="7"/>
  <c r="Y592" i="7"/>
  <c r="Y891" i="7"/>
  <c r="Y89" i="7"/>
  <c r="Y732" i="7"/>
  <c r="Y996" i="7"/>
  <c r="Y696" i="7"/>
  <c r="Y586" i="7"/>
  <c r="Y305" i="7"/>
  <c r="X70" i="7"/>
  <c r="X326" i="7"/>
  <c r="X75" i="7"/>
  <c r="X331" i="7"/>
  <c r="X80" i="7"/>
  <c r="X336" i="7"/>
  <c r="X437" i="7"/>
  <c r="X740" i="7"/>
  <c r="X457" i="7"/>
  <c r="X504" i="7"/>
  <c r="X899" i="7"/>
  <c r="X913" i="7"/>
  <c r="X49" i="7"/>
  <c r="X826" i="7"/>
  <c r="X221" i="7"/>
  <c r="X854" i="7"/>
  <c r="X615" i="7"/>
  <c r="X950" i="7"/>
  <c r="W102" i="7"/>
  <c r="W230" i="7"/>
  <c r="W358" i="7"/>
  <c r="W486" i="7"/>
  <c r="W107" i="7"/>
  <c r="W235" i="7"/>
  <c r="W363" i="7"/>
  <c r="W491" i="7"/>
  <c r="W220" i="7"/>
  <c r="W476" i="7"/>
  <c r="W620" i="7"/>
  <c r="W748" i="7"/>
  <c r="W876" i="7"/>
  <c r="W5" i="7"/>
  <c r="W197" i="7"/>
  <c r="W365" i="7"/>
  <c r="W525" i="7"/>
  <c r="W328" i="7"/>
  <c r="W566" i="7"/>
  <c r="W673" i="7"/>
  <c r="W758" i="7"/>
  <c r="W843" i="7"/>
  <c r="W929" i="7"/>
  <c r="W41" i="7"/>
  <c r="W297" i="7"/>
  <c r="W530" i="7"/>
  <c r="W615" i="7"/>
  <c r="W701" i="7"/>
  <c r="W786" i="7"/>
  <c r="W871" i="7"/>
  <c r="W957" i="7"/>
  <c r="W128" i="7"/>
  <c r="W384" i="7"/>
  <c r="W558" i="7"/>
  <c r="W643" i="7"/>
  <c r="W729" i="7"/>
  <c r="W814" i="7"/>
  <c r="W899" i="7"/>
  <c r="W985" i="7"/>
  <c r="W225" i="7"/>
  <c r="W481" i="7"/>
  <c r="W591" i="7"/>
  <c r="W677" i="7"/>
  <c r="W762" i="7"/>
  <c r="W847" i="7"/>
  <c r="W933" i="7"/>
  <c r="V14" i="7"/>
  <c r="V78" i="7"/>
  <c r="V142" i="7"/>
  <c r="V206" i="7"/>
  <c r="V270" i="7"/>
  <c r="V334" i="7"/>
  <c r="V398" i="7"/>
  <c r="V462" i="7"/>
  <c r="V39" i="7"/>
  <c r="V103" i="7"/>
  <c r="V167" i="7"/>
  <c r="V231" i="7"/>
  <c r="V295" i="7"/>
  <c r="V359" i="7"/>
  <c r="V423" i="7"/>
  <c r="V487" i="7"/>
  <c r="V84" i="7"/>
  <c r="V212" i="7"/>
  <c r="V340" i="7"/>
  <c r="V468" i="7"/>
  <c r="V547" i="7"/>
  <c r="V611" i="7"/>
  <c r="V675" i="7"/>
  <c r="V739" i="7"/>
  <c r="V93" i="7"/>
  <c r="V56" i="7"/>
  <c r="V272" i="7"/>
  <c r="V441" i="7"/>
  <c r="V556" i="7"/>
  <c r="V641" i="7"/>
  <c r="V726" i="7"/>
  <c r="V798" i="7"/>
  <c r="V862" i="7"/>
  <c r="V926" i="7"/>
  <c r="V990" i="7"/>
  <c r="V756" i="7"/>
  <c r="V912" i="7"/>
  <c r="V185" i="7"/>
  <c r="V360" i="7"/>
  <c r="V514" i="7"/>
  <c r="V600" i="7"/>
  <c r="V685" i="7"/>
  <c r="V767" i="7"/>
  <c r="V831" i="7"/>
  <c r="V895" i="7"/>
  <c r="V959" i="7"/>
  <c r="V96" i="7"/>
  <c r="V297" i="7"/>
  <c r="V469" i="7"/>
  <c r="V569" i="7"/>
  <c r="V702" i="7"/>
  <c r="V832" i="7"/>
  <c r="V932" i="7"/>
  <c r="V544" i="7"/>
  <c r="V853" i="7"/>
  <c r="V921" i="7"/>
  <c r="V682" i="7"/>
  <c r="V321" i="7"/>
  <c r="V897" i="7"/>
  <c r="V472" i="7"/>
  <c r="V809" i="7"/>
  <c r="V845" i="7"/>
  <c r="V881" i="7"/>
  <c r="U50" i="7"/>
  <c r="U114" i="7"/>
  <c r="U178" i="7"/>
  <c r="U242" i="7"/>
  <c r="U306" i="7"/>
  <c r="U370" i="7"/>
  <c r="U434" i="7"/>
  <c r="U498" i="7"/>
  <c r="U63" i="7"/>
  <c r="U127" i="7"/>
  <c r="U191" i="7"/>
  <c r="U255" i="7"/>
  <c r="U319" i="7"/>
  <c r="U383" i="7"/>
  <c r="U447" i="7"/>
  <c r="U4" i="7"/>
  <c r="U132" i="7"/>
  <c r="U260" i="7"/>
  <c r="U388" i="7"/>
  <c r="U510" i="7"/>
  <c r="U5" i="7"/>
  <c r="U133" i="7"/>
  <c r="U261" i="7"/>
  <c r="U389" i="7"/>
  <c r="U511" i="7"/>
  <c r="U575" i="7"/>
  <c r="U639" i="7"/>
  <c r="U703" i="7"/>
  <c r="U16" i="7"/>
  <c r="U144" i="7"/>
  <c r="U272" i="7"/>
  <c r="U400" i="7"/>
  <c r="U516" i="7"/>
  <c r="U580" i="7"/>
  <c r="U644" i="7"/>
  <c r="U708" i="7"/>
  <c r="U73" i="7"/>
  <c r="U545" i="7"/>
  <c r="U686" i="7"/>
  <c r="U788" i="7"/>
  <c r="U852" i="7"/>
  <c r="U916" i="7"/>
  <c r="U980" i="7"/>
  <c r="U966" i="7"/>
  <c r="U113" i="7"/>
  <c r="U565" i="7"/>
  <c r="U697" i="7"/>
  <c r="U793" i="7"/>
  <c r="U857" i="7"/>
  <c r="U921" i="7"/>
  <c r="U985" i="7"/>
  <c r="U970" i="7"/>
  <c r="U121" i="7"/>
  <c r="U569" i="7"/>
  <c r="U698" i="7"/>
  <c r="U794" i="7"/>
  <c r="U894" i="7"/>
  <c r="U741" i="7"/>
  <c r="U653" i="7"/>
  <c r="U963" i="7"/>
  <c r="U693" i="7"/>
  <c r="U983" i="7"/>
  <c r="T22" i="7"/>
  <c r="T86" i="7"/>
  <c r="T118" i="7"/>
  <c r="T150" i="7"/>
  <c r="T182" i="7"/>
  <c r="T214" i="7"/>
  <c r="T246" i="7"/>
  <c r="T278" i="7"/>
  <c r="T310" i="7"/>
  <c r="T342" i="7"/>
  <c r="T15" i="7"/>
  <c r="T47" i="7"/>
  <c r="T79" i="7"/>
  <c r="T111" i="7"/>
  <c r="T143" i="7"/>
  <c r="T175" i="7"/>
  <c r="T207" i="7"/>
  <c r="T239" i="7"/>
  <c r="T271" i="7"/>
  <c r="T303" i="7"/>
  <c r="T335" i="7"/>
  <c r="T367" i="7"/>
  <c r="T399" i="7"/>
  <c r="T431" i="7"/>
  <c r="T463" i="7"/>
  <c r="T495" i="7"/>
  <c r="T20" i="7"/>
  <c r="T52" i="7"/>
  <c r="T84" i="7"/>
  <c r="T116" i="7"/>
  <c r="T148" i="7"/>
  <c r="T180" i="7"/>
  <c r="T212" i="7"/>
  <c r="T244" i="7"/>
  <c r="T276" i="7"/>
  <c r="T308" i="7"/>
  <c r="T340" i="7"/>
  <c r="T372" i="7"/>
  <c r="T404" i="7"/>
  <c r="T436" i="7"/>
  <c r="T468" i="7"/>
  <c r="T500" i="7"/>
  <c r="T101" i="7"/>
  <c r="T229" i="7"/>
  <c r="T357" i="7"/>
  <c r="T422" i="7"/>
  <c r="T486" i="7"/>
  <c r="T529" i="7"/>
  <c r="T561" i="7"/>
  <c r="T593" i="7"/>
  <c r="T625" i="7"/>
  <c r="T657" i="7"/>
  <c r="T689" i="7"/>
  <c r="T721" i="7"/>
  <c r="T753" i="7"/>
  <c r="T785" i="7"/>
  <c r="T817" i="7"/>
  <c r="T849" i="7"/>
  <c r="T157" i="7"/>
  <c r="T329" i="7"/>
  <c r="T429" i="7"/>
  <c r="T511" i="7"/>
  <c r="T554" i="7"/>
  <c r="T596" i="7"/>
  <c r="T639" i="7"/>
  <c r="T682" i="7"/>
  <c r="T724" i="7"/>
  <c r="T767" i="7"/>
  <c r="T810" i="7"/>
  <c r="T852" i="7"/>
  <c r="T884" i="7"/>
  <c r="T916" i="7"/>
  <c r="T948" i="7"/>
  <c r="T980" i="7"/>
  <c r="T57" i="7"/>
  <c r="T225" i="7"/>
  <c r="T378" i="7"/>
  <c r="T465" i="7"/>
  <c r="T528" i="7"/>
  <c r="T555" i="7"/>
  <c r="T582" i="7"/>
  <c r="T614" i="7"/>
  <c r="T640" i="7"/>
  <c r="T667" i="7"/>
  <c r="T699" i="7"/>
  <c r="T726" i="7"/>
  <c r="T752" i="7"/>
  <c r="T784" i="7"/>
  <c r="T811" i="7"/>
  <c r="T838" i="7"/>
  <c r="T865" i="7"/>
  <c r="T885" i="7"/>
  <c r="T905" i="7"/>
  <c r="T929" i="7"/>
  <c r="T949" i="7"/>
  <c r="T105" i="7"/>
  <c r="T361" i="7"/>
  <c r="T466" i="7"/>
  <c r="T540" i="7"/>
  <c r="T604" i="7"/>
  <c r="T658" i="7"/>
  <c r="T711" i="7"/>
  <c r="T775" i="7"/>
  <c r="T828" i="7"/>
  <c r="T874" i="7"/>
  <c r="T914" i="7"/>
  <c r="T946" i="7"/>
  <c r="T971" i="7"/>
  <c r="T993" i="7"/>
  <c r="T983" i="7"/>
  <c r="T253" i="7"/>
  <c r="T498" i="7"/>
  <c r="T610" i="7"/>
  <c r="T716" i="7"/>
  <c r="T823" i="7"/>
  <c r="T910" i="7"/>
  <c r="T985" i="7"/>
  <c r="T345" i="7"/>
  <c r="T536" i="7"/>
  <c r="T632" i="7"/>
  <c r="T750" i="7"/>
  <c r="T855" i="7"/>
  <c r="T943" i="7"/>
  <c r="T997" i="7"/>
  <c r="T153" i="7"/>
  <c r="T321" i="7"/>
  <c r="T426" i="7"/>
  <c r="T510" i="7"/>
  <c r="T552" i="7"/>
  <c r="T595" i="7"/>
  <c r="T638" i="7"/>
  <c r="T680" i="7"/>
  <c r="T723" i="7"/>
  <c r="T766" i="7"/>
  <c r="T808" i="7"/>
  <c r="T851" i="7"/>
  <c r="T883" i="7"/>
  <c r="T915" i="7"/>
  <c r="T947" i="7"/>
  <c r="T989" i="7"/>
  <c r="T209" i="7"/>
  <c r="T434" i="7"/>
  <c r="T546" i="7"/>
  <c r="T620" i="7"/>
  <c r="T695" i="7"/>
  <c r="T759" i="7"/>
  <c r="T834" i="7"/>
  <c r="T886" i="7"/>
  <c r="T942" i="7"/>
  <c r="T979" i="7"/>
  <c r="T173" i="7"/>
  <c r="T417" i="7"/>
  <c r="T526" i="7"/>
  <c r="T600" i="7"/>
  <c r="T675" i="7"/>
  <c r="T739" i="7"/>
  <c r="T814" i="7"/>
  <c r="T879" i="7"/>
  <c r="T927" i="7"/>
  <c r="T970" i="7"/>
  <c r="S6" i="7"/>
  <c r="S22" i="7"/>
  <c r="S38" i="7"/>
  <c r="S54" i="7"/>
  <c r="S70" i="7"/>
  <c r="S86" i="7"/>
  <c r="S102" i="7"/>
  <c r="S118" i="7"/>
  <c r="S134" i="7"/>
  <c r="S150" i="7"/>
  <c r="S166" i="7"/>
  <c r="S182" i="7"/>
  <c r="S198" i="7"/>
  <c r="S214" i="7"/>
  <c r="S230" i="7"/>
  <c r="S246" i="7"/>
  <c r="S262" i="7"/>
  <c r="S278" i="7"/>
  <c r="S294" i="7"/>
  <c r="S310" i="7"/>
  <c r="S326" i="7"/>
  <c r="S342" i="7"/>
  <c r="S358" i="7"/>
  <c r="S374" i="7"/>
  <c r="S390" i="7"/>
  <c r="S406" i="7"/>
  <c r="S422" i="7"/>
  <c r="S438" i="7"/>
  <c r="S454" i="7"/>
  <c r="S470" i="7"/>
  <c r="S486" i="7"/>
  <c r="S502" i="7"/>
  <c r="S11" i="7"/>
  <c r="S27" i="7"/>
  <c r="S43" i="7"/>
  <c r="S59" i="7"/>
  <c r="S75" i="7"/>
  <c r="S91" i="7"/>
  <c r="S107" i="7"/>
  <c r="S123" i="7"/>
  <c r="S139" i="7"/>
  <c r="S155" i="7"/>
  <c r="S171" i="7"/>
  <c r="S187" i="7"/>
  <c r="S203" i="7"/>
  <c r="S219" i="7"/>
  <c r="S235" i="7"/>
  <c r="S251" i="7"/>
  <c r="S267" i="7"/>
  <c r="S283" i="7"/>
  <c r="S299" i="7"/>
  <c r="S315" i="7"/>
  <c r="S331" i="7"/>
  <c r="S347" i="7"/>
  <c r="S363" i="7"/>
  <c r="S379" i="7"/>
  <c r="S395" i="7"/>
  <c r="S411" i="7"/>
  <c r="S427" i="7"/>
  <c r="S443" i="7"/>
  <c r="S459" i="7"/>
  <c r="S475" i="7"/>
  <c r="S491" i="7"/>
  <c r="S4" i="7"/>
  <c r="S20" i="7"/>
  <c r="S36" i="7"/>
  <c r="S52" i="7"/>
  <c r="S68" i="7"/>
  <c r="S84" i="7"/>
  <c r="S100" i="7"/>
  <c r="S116" i="7"/>
  <c r="S132" i="7"/>
  <c r="S148" i="7"/>
  <c r="S164" i="7"/>
  <c r="S180" i="7"/>
  <c r="S196" i="7"/>
  <c r="S212" i="7"/>
  <c r="S228" i="7"/>
  <c r="S244" i="7"/>
  <c r="S260" i="7"/>
  <c r="S276" i="7"/>
  <c r="S292" i="7"/>
  <c r="S308" i="7"/>
  <c r="S324" i="7"/>
  <c r="S340" i="7"/>
  <c r="S356" i="7"/>
  <c r="S372" i="7"/>
  <c r="S388" i="7"/>
  <c r="S404" i="7"/>
  <c r="S420" i="7"/>
  <c r="S436" i="7"/>
  <c r="S452" i="7"/>
  <c r="S468" i="7"/>
  <c r="S21" i="7"/>
  <c r="S85" i="7"/>
  <c r="S149" i="7"/>
  <c r="S213" i="7"/>
  <c r="S277" i="7"/>
  <c r="S341" i="7"/>
  <c r="S405" i="7"/>
  <c r="S469" i="7"/>
  <c r="S505" i="7"/>
  <c r="S522" i="7"/>
  <c r="S538" i="7"/>
  <c r="S554" i="7"/>
  <c r="S570" i="7"/>
  <c r="S586" i="7"/>
  <c r="S602" i="7"/>
  <c r="S618" i="7"/>
  <c r="S634" i="7"/>
  <c r="S650" i="7"/>
  <c r="S666" i="7"/>
  <c r="S682" i="7"/>
  <c r="S698" i="7"/>
  <c r="S714" i="7"/>
  <c r="S57" i="7"/>
  <c r="S121" i="7"/>
  <c r="S185" i="7"/>
  <c r="S249" i="7"/>
  <c r="S313" i="7"/>
  <c r="S377" i="7"/>
  <c r="S441" i="7"/>
  <c r="S492" i="7"/>
  <c r="S515" i="7"/>
  <c r="S531" i="7"/>
  <c r="S547" i="7"/>
  <c r="S563" i="7"/>
  <c r="S579" i="7"/>
  <c r="S595" i="7"/>
  <c r="S611" i="7"/>
  <c r="S627" i="7"/>
  <c r="S643" i="7"/>
  <c r="S659" i="7"/>
  <c r="S675" i="7"/>
  <c r="S691" i="7"/>
  <c r="S707" i="7"/>
  <c r="S723" i="7"/>
  <c r="S739" i="7"/>
  <c r="S755" i="7"/>
  <c r="S771" i="7"/>
  <c r="S787" i="7"/>
  <c r="S803" i="7"/>
  <c r="S819" i="7"/>
  <c r="S835" i="7"/>
  <c r="S851" i="7"/>
  <c r="S867" i="7"/>
  <c r="S13" i="7"/>
  <c r="S141" i="7"/>
  <c r="S269" i="7"/>
  <c r="S397" i="7"/>
  <c r="S501" i="7"/>
  <c r="S536" i="7"/>
  <c r="S568" i="7"/>
  <c r="S600" i="7"/>
  <c r="S632" i="7"/>
  <c r="S664" i="7"/>
  <c r="S696" i="7"/>
  <c r="S724" i="7"/>
  <c r="S745" i="7"/>
  <c r="S766" i="7"/>
  <c r="S788" i="7"/>
  <c r="S809" i="7"/>
  <c r="S830" i="7"/>
  <c r="S852" i="7"/>
  <c r="S873" i="7"/>
  <c r="S891" i="7"/>
  <c r="S907" i="7"/>
  <c r="S923" i="7"/>
  <c r="S939" i="7"/>
  <c r="S955" i="7"/>
  <c r="S971" i="7"/>
  <c r="S987" i="7"/>
  <c r="S17" i="7"/>
  <c r="S145" i="7"/>
  <c r="S273" i="7"/>
  <c r="S401" i="7"/>
  <c r="S504" i="7"/>
  <c r="S537" i="7"/>
  <c r="S569" i="7"/>
  <c r="S601" i="7"/>
  <c r="S633" i="7"/>
  <c r="S665" i="7"/>
  <c r="S697" i="7"/>
  <c r="S725" i="7"/>
  <c r="S746" i="7"/>
  <c r="S768" i="7"/>
  <c r="S789" i="7"/>
  <c r="S810" i="7"/>
  <c r="S832" i="7"/>
  <c r="S853" i="7"/>
  <c r="S874" i="7"/>
  <c r="S892" i="7"/>
  <c r="S908" i="7"/>
  <c r="S924" i="7"/>
  <c r="S940" i="7"/>
  <c r="S956" i="7"/>
  <c r="S972" i="7"/>
  <c r="S988" i="7"/>
  <c r="S29" i="7"/>
  <c r="S157" i="7"/>
  <c r="S285" i="7"/>
  <c r="S413" i="7"/>
  <c r="S508" i="7"/>
  <c r="S540" i="7"/>
  <c r="S572" i="7"/>
  <c r="S604" i="7"/>
  <c r="S636" i="7"/>
  <c r="S668" i="7"/>
  <c r="S700" i="7"/>
  <c r="S726" i="7"/>
  <c r="S161" i="7"/>
  <c r="S541" i="7"/>
  <c r="S669" i="7"/>
  <c r="S754" i="7"/>
  <c r="S797" i="7"/>
  <c r="S840" i="7"/>
  <c r="S882" i="7"/>
  <c r="S914" i="7"/>
  <c r="S946" i="7"/>
  <c r="S978" i="7"/>
  <c r="S193" i="7"/>
  <c r="S549" i="7"/>
  <c r="S677" i="7"/>
  <c r="S758" i="7"/>
  <c r="S801" i="7"/>
  <c r="S844" i="7"/>
  <c r="S885" i="7"/>
  <c r="S917" i="7"/>
  <c r="S949" i="7"/>
  <c r="S981" i="7"/>
  <c r="S225" i="7"/>
  <c r="S557" i="7"/>
  <c r="S685" i="7"/>
  <c r="S760" i="7"/>
  <c r="S802" i="7"/>
  <c r="S845" i="7"/>
  <c r="S886" i="7"/>
  <c r="S918" i="7"/>
  <c r="S950" i="7"/>
  <c r="S982" i="7"/>
  <c r="S257" i="7"/>
  <c r="S565" i="7"/>
  <c r="S693" i="7"/>
  <c r="S764" i="7"/>
  <c r="S806" i="7"/>
  <c r="S849" i="7"/>
  <c r="S889" i="7"/>
  <c r="S921" i="7"/>
  <c r="S953" i="7"/>
  <c r="S985" i="7"/>
  <c r="R10" i="7"/>
  <c r="R26" i="7"/>
  <c r="R42" i="7"/>
  <c r="R58" i="7"/>
  <c r="R74" i="7"/>
  <c r="R90" i="7"/>
  <c r="R106" i="7"/>
  <c r="R122" i="7"/>
  <c r="R138" i="7"/>
  <c r="R154" i="7"/>
  <c r="R170" i="7"/>
  <c r="R186" i="7"/>
  <c r="R202" i="7"/>
  <c r="R218" i="7"/>
  <c r="R234" i="7"/>
  <c r="R250" i="7"/>
  <c r="R266" i="7"/>
  <c r="R282" i="7"/>
  <c r="R298" i="7"/>
  <c r="R314" i="7"/>
  <c r="R330" i="7"/>
  <c r="R346" i="7"/>
  <c r="R362" i="7"/>
  <c r="R378" i="7"/>
  <c r="R394" i="7"/>
  <c r="R410" i="7"/>
  <c r="R426" i="7"/>
  <c r="R442" i="7"/>
  <c r="R458" i="7"/>
  <c r="R15" i="7"/>
  <c r="R31" i="7"/>
  <c r="R47" i="7"/>
  <c r="R63" i="7"/>
  <c r="R79" i="7"/>
  <c r="R95" i="7"/>
  <c r="R111" i="7"/>
  <c r="R127" i="7"/>
  <c r="R143" i="7"/>
  <c r="R159" i="7"/>
  <c r="R175" i="7"/>
  <c r="R191" i="7"/>
  <c r="R207" i="7"/>
  <c r="R223" i="7"/>
  <c r="R239" i="7"/>
  <c r="R255" i="7"/>
  <c r="R271" i="7"/>
  <c r="R287" i="7"/>
  <c r="R303" i="7"/>
  <c r="R319" i="7"/>
  <c r="R335" i="7"/>
  <c r="R351" i="7"/>
  <c r="R367" i="7"/>
  <c r="R383" i="7"/>
  <c r="R399" i="7"/>
  <c r="R415" i="7"/>
  <c r="R431" i="7"/>
  <c r="R447" i="7"/>
  <c r="R463" i="7"/>
  <c r="R479" i="7"/>
  <c r="R495" i="7"/>
  <c r="R4" i="7"/>
  <c r="R36" i="7"/>
  <c r="R68" i="7"/>
  <c r="R100" i="7"/>
  <c r="R132" i="7"/>
  <c r="R164" i="7"/>
  <c r="R196" i="7"/>
  <c r="R228" i="7"/>
  <c r="R260" i="7"/>
  <c r="R292" i="7"/>
  <c r="R324" i="7"/>
  <c r="R356" i="7"/>
  <c r="R388" i="7"/>
  <c r="R420" i="7"/>
  <c r="R452" i="7"/>
  <c r="R476" i="7"/>
  <c r="R497" i="7"/>
  <c r="R516" i="7"/>
  <c r="R532" i="7"/>
  <c r="R548" i="7"/>
  <c r="R564" i="7"/>
  <c r="R580" i="7"/>
  <c r="R596" i="7"/>
  <c r="R612" i="7"/>
  <c r="R628" i="7"/>
  <c r="R644" i="7"/>
  <c r="R660" i="7"/>
  <c r="R676" i="7"/>
  <c r="R692" i="7"/>
  <c r="R708" i="7"/>
  <c r="R724" i="7"/>
  <c r="R740" i="7"/>
  <c r="R13" i="7"/>
  <c r="R45" i="7"/>
  <c r="R77" i="7"/>
  <c r="R109" i="7"/>
  <c r="R141" i="7"/>
  <c r="R173" i="7"/>
  <c r="R205" i="7"/>
  <c r="R237" i="7"/>
  <c r="R269" i="7"/>
  <c r="R301" i="7"/>
  <c r="R333" i="7"/>
  <c r="R365" i="7"/>
  <c r="R397" i="7"/>
  <c r="R429" i="7"/>
  <c r="R461" i="7"/>
  <c r="R482" i="7"/>
  <c r="R504" i="7"/>
  <c r="R521" i="7"/>
  <c r="R537" i="7"/>
  <c r="R553" i="7"/>
  <c r="R569" i="7"/>
  <c r="R585" i="7"/>
  <c r="R601" i="7"/>
  <c r="R617" i="7"/>
  <c r="R633" i="7"/>
  <c r="R649" i="7"/>
  <c r="R665" i="7"/>
  <c r="R681" i="7"/>
  <c r="R697" i="7"/>
  <c r="R713" i="7"/>
  <c r="R729" i="7"/>
  <c r="R745" i="7"/>
  <c r="R761" i="7"/>
  <c r="R777" i="7"/>
  <c r="R793" i="7"/>
  <c r="R809" i="7"/>
  <c r="R825" i="7"/>
  <c r="R841" i="7"/>
  <c r="R857" i="7"/>
  <c r="R873" i="7"/>
  <c r="R889" i="7"/>
  <c r="R905" i="7"/>
  <c r="R921" i="7"/>
  <c r="R937" i="7"/>
  <c r="R953" i="7"/>
  <c r="R969" i="7"/>
  <c r="R985" i="7"/>
  <c r="R8" i="7"/>
  <c r="R9" i="7"/>
  <c r="R88" i="7"/>
  <c r="R152" i="7"/>
  <c r="R216" i="7"/>
  <c r="R280" i="7"/>
  <c r="R344" i="7"/>
  <c r="R408" i="7"/>
  <c r="R468" i="7"/>
  <c r="R510" i="7"/>
  <c r="R542" i="7"/>
  <c r="R574" i="7"/>
  <c r="R606" i="7"/>
  <c r="R638" i="7"/>
  <c r="R670" i="7"/>
  <c r="R702" i="7"/>
  <c r="R734" i="7"/>
  <c r="R760" i="7"/>
  <c r="R782" i="7"/>
  <c r="R803" i="7"/>
  <c r="R824" i="7"/>
  <c r="R846" i="7"/>
  <c r="R867" i="7"/>
  <c r="R888" i="7"/>
  <c r="R910" i="7"/>
  <c r="R931" i="7"/>
  <c r="R952" i="7"/>
  <c r="R974" i="7"/>
  <c r="R995" i="7"/>
  <c r="R779" i="7"/>
  <c r="R832" i="7"/>
  <c r="R886" i="7"/>
  <c r="R939" i="7"/>
  <c r="R987" i="7"/>
  <c r="R145" i="7"/>
  <c r="R321" i="7"/>
  <c r="R474" i="7"/>
  <c r="R563" i="7"/>
  <c r="R651" i="7"/>
  <c r="R731" i="7"/>
  <c r="R791" i="7"/>
  <c r="R850" i="7"/>
  <c r="R903" i="7"/>
  <c r="R57" i="7"/>
  <c r="R121" i="7"/>
  <c r="R185" i="7"/>
  <c r="R249" i="7"/>
  <c r="R313" i="7"/>
  <c r="R377" i="7"/>
  <c r="R441" i="7"/>
  <c r="R490" i="7"/>
  <c r="R527" i="7"/>
  <c r="R559" i="7"/>
  <c r="R591" i="7"/>
  <c r="R623" i="7"/>
  <c r="R655" i="7"/>
  <c r="R687" i="7"/>
  <c r="R719" i="7"/>
  <c r="R751" i="7"/>
  <c r="R772" i="7"/>
  <c r="R794" i="7"/>
  <c r="R815" i="7"/>
  <c r="R836" i="7"/>
  <c r="R858" i="7"/>
  <c r="R879" i="7"/>
  <c r="R900" i="7"/>
  <c r="R922" i="7"/>
  <c r="R943" i="7"/>
  <c r="R964" i="7"/>
  <c r="R986" i="7"/>
  <c r="R48" i="7"/>
  <c r="R112" i="7"/>
  <c r="R176" i="7"/>
  <c r="R240" i="7"/>
  <c r="R304" i="7"/>
  <c r="R368" i="7"/>
  <c r="R432" i="7"/>
  <c r="R484" i="7"/>
  <c r="R522" i="7"/>
  <c r="R554" i="7"/>
  <c r="R586" i="7"/>
  <c r="R618" i="7"/>
  <c r="R650" i="7"/>
  <c r="R682" i="7"/>
  <c r="R714" i="7"/>
  <c r="R752" i="7"/>
  <c r="R784" i="7"/>
  <c r="R822" i="7"/>
  <c r="R854" i="7"/>
  <c r="R891" i="7"/>
  <c r="R923" i="7"/>
  <c r="R966" i="7"/>
  <c r="R998" i="7"/>
  <c r="R129" i="7"/>
  <c r="R225" i="7"/>
  <c r="R337" i="7"/>
  <c r="R433" i="7"/>
  <c r="R515" i="7"/>
  <c r="R571" i="7"/>
  <c r="R619" i="7"/>
  <c r="R675" i="7"/>
  <c r="R723" i="7"/>
  <c r="R770" i="7"/>
  <c r="R807" i="7"/>
  <c r="R839" i="7"/>
  <c r="R871" i="7"/>
  <c r="R908" i="7"/>
  <c r="R983" i="7"/>
  <c r="R924" i="7"/>
  <c r="R930" i="7"/>
  <c r="R999" i="7"/>
  <c r="Q14" i="7"/>
  <c r="Q30" i="7"/>
  <c r="Q46" i="7"/>
  <c r="Q62" i="7"/>
  <c r="Q78" i="7"/>
  <c r="Q94" i="7"/>
  <c r="Q110" i="7"/>
  <c r="Q126" i="7"/>
  <c r="Q142" i="7"/>
  <c r="Q158" i="7"/>
  <c r="Q174" i="7"/>
  <c r="Q190" i="7"/>
  <c r="Q206" i="7"/>
  <c r="Q222" i="7"/>
  <c r="Q238" i="7"/>
  <c r="Q254" i="7"/>
  <c r="Q270" i="7"/>
  <c r="Q286" i="7"/>
  <c r="Q302" i="7"/>
  <c r="Q318" i="7"/>
  <c r="Q334" i="7"/>
  <c r="Q350" i="7"/>
  <c r="Q366" i="7"/>
  <c r="Q382" i="7"/>
  <c r="Q398" i="7"/>
  <c r="Q414" i="7"/>
  <c r="Q430" i="7"/>
  <c r="Q446" i="7"/>
  <c r="Q462" i="7"/>
  <c r="Q478" i="7"/>
  <c r="Q494" i="7"/>
  <c r="Q7" i="7"/>
  <c r="Q23" i="7"/>
  <c r="Q39" i="7"/>
  <c r="Q55" i="7"/>
  <c r="Q71" i="7"/>
  <c r="Q87" i="7"/>
  <c r="Q103" i="7"/>
  <c r="Q119" i="7"/>
  <c r="Q135" i="7"/>
  <c r="Q151" i="7"/>
  <c r="Q167" i="7"/>
  <c r="Q183" i="7"/>
  <c r="Q199" i="7"/>
  <c r="Q215" i="7"/>
  <c r="Q231" i="7"/>
  <c r="Q247" i="7"/>
  <c r="Q263" i="7"/>
  <c r="Q279" i="7"/>
  <c r="Q295" i="7"/>
  <c r="Q311" i="7"/>
  <c r="Q327" i="7"/>
  <c r="Q343" i="7"/>
  <c r="Q359" i="7"/>
  <c r="Q375" i="7"/>
  <c r="Q391" i="7"/>
  <c r="Q407" i="7"/>
  <c r="Q423" i="7"/>
  <c r="Q439" i="7"/>
  <c r="Q455" i="7"/>
  <c r="Q471" i="7"/>
  <c r="Q487" i="7"/>
  <c r="Q503" i="7"/>
  <c r="Q12" i="7"/>
  <c r="Q28" i="7"/>
  <c r="Q44" i="7"/>
  <c r="Q60" i="7"/>
  <c r="Q76" i="7"/>
  <c r="Q92" i="7"/>
  <c r="Q108" i="7"/>
  <c r="Q124" i="7"/>
  <c r="Q140" i="7"/>
  <c r="Q156" i="7"/>
  <c r="Q172" i="7"/>
  <c r="Q188" i="7"/>
  <c r="Q204" i="7"/>
  <c r="Q220" i="7"/>
  <c r="Q236" i="7"/>
  <c r="Q252" i="7"/>
  <c r="Q268" i="7"/>
  <c r="Q284" i="7"/>
  <c r="Q300" i="7"/>
  <c r="Q316" i="7"/>
  <c r="Q332" i="7"/>
  <c r="Q348" i="7"/>
  <c r="Q364" i="7"/>
  <c r="Q380" i="7"/>
  <c r="Q396" i="7"/>
  <c r="Q412" i="7"/>
  <c r="Q428" i="7"/>
  <c r="Q444" i="7"/>
  <c r="Q460" i="7"/>
  <c r="Q476" i="7"/>
  <c r="Q492" i="7"/>
  <c r="Q37" i="7"/>
  <c r="Q101" i="7"/>
  <c r="Q165" i="7"/>
  <c r="Q229" i="7"/>
  <c r="Q293" i="7"/>
  <c r="Q357" i="7"/>
  <c r="Q421" i="7"/>
  <c r="Q485" i="7"/>
  <c r="Q515" i="7"/>
  <c r="Q531" i="7"/>
  <c r="Q547" i="7"/>
  <c r="Q563" i="7"/>
  <c r="Q579" i="7"/>
  <c r="Q595" i="7"/>
  <c r="Q611" i="7"/>
  <c r="Q627" i="7"/>
  <c r="Q643" i="7"/>
  <c r="Q659" i="7"/>
  <c r="Q675" i="7"/>
  <c r="Q691" i="7"/>
  <c r="Q707" i="7"/>
  <c r="Q723" i="7"/>
  <c r="Q739" i="7"/>
  <c r="Q755" i="7"/>
  <c r="Q771" i="7"/>
  <c r="Q787" i="7"/>
  <c r="Q803" i="7"/>
  <c r="Q819" i="7"/>
  <c r="Q835" i="7"/>
  <c r="Q851" i="7"/>
  <c r="Q867" i="7"/>
  <c r="Q883" i="7"/>
  <c r="Q57" i="7"/>
  <c r="Q121" i="7"/>
  <c r="Q185" i="7"/>
  <c r="Q249" i="7"/>
  <c r="Q313" i="7"/>
  <c r="Q377" i="7"/>
  <c r="Q441" i="7"/>
  <c r="Q501" i="7"/>
  <c r="Q520" i="7"/>
  <c r="Q536" i="7"/>
  <c r="Q552" i="7"/>
  <c r="Q568" i="7"/>
  <c r="Q584" i="7"/>
  <c r="Q600" i="7"/>
  <c r="Q616" i="7"/>
  <c r="Q632" i="7"/>
  <c r="Q648" i="7"/>
  <c r="Q664" i="7"/>
  <c r="Q680" i="7"/>
  <c r="Q696" i="7"/>
  <c r="Q712" i="7"/>
  <c r="Q728" i="7"/>
  <c r="Q744" i="7"/>
  <c r="Q760" i="7"/>
  <c r="Q776" i="7"/>
  <c r="Q792" i="7"/>
  <c r="Q808" i="7"/>
  <c r="Q824" i="7"/>
  <c r="Q840" i="7"/>
  <c r="Q856" i="7"/>
  <c r="AB417" i="7"/>
  <c r="AA317" i="7"/>
  <c r="Z154" i="7"/>
  <c r="Z196" i="7"/>
  <c r="Z441" i="7"/>
  <c r="Z996" i="7"/>
  <c r="Y286" i="7"/>
  <c r="Y108" i="7"/>
  <c r="Y469" i="7"/>
  <c r="Y745" i="7"/>
  <c r="Y678" i="7"/>
  <c r="Y955" i="7"/>
  <c r="Y345" i="7"/>
  <c r="Y804" i="7"/>
  <c r="Y240" i="7"/>
  <c r="Y793" i="7"/>
  <c r="Y886" i="7"/>
  <c r="Y794" i="7"/>
  <c r="X134" i="7"/>
  <c r="X390" i="7"/>
  <c r="X139" i="7"/>
  <c r="X395" i="7"/>
  <c r="X144" i="7"/>
  <c r="X400" i="7"/>
  <c r="X548" i="7"/>
  <c r="X804" i="7"/>
  <c r="X553" i="7"/>
  <c r="X634" i="7"/>
  <c r="X963" i="7"/>
  <c r="X353" i="7"/>
  <c r="X515" i="7"/>
  <c r="X904" i="7"/>
  <c r="X550" i="7"/>
  <c r="X925" i="7"/>
  <c r="X717" i="7"/>
  <c r="W6" i="7"/>
  <c r="W134" i="7"/>
  <c r="W262" i="7"/>
  <c r="W390" i="7"/>
  <c r="W11" i="7"/>
  <c r="W139" i="7"/>
  <c r="W267" i="7"/>
  <c r="W395" i="7"/>
  <c r="W28" i="7"/>
  <c r="W284" i="7"/>
  <c r="W524" i="7"/>
  <c r="W652" i="7"/>
  <c r="W780" i="7"/>
  <c r="W908" i="7"/>
  <c r="W69" i="7"/>
  <c r="W237" i="7"/>
  <c r="W413" i="7"/>
  <c r="W72" i="7"/>
  <c r="W408" i="7"/>
  <c r="W598" i="7"/>
  <c r="W694" i="7"/>
  <c r="W779" i="7"/>
  <c r="W865" i="7"/>
  <c r="W950" i="7"/>
  <c r="W105" i="7"/>
  <c r="W361" i="7"/>
  <c r="W551" i="7"/>
  <c r="W637" i="7"/>
  <c r="W722" i="7"/>
  <c r="W807" i="7"/>
  <c r="W893" i="7"/>
  <c r="W978" i="7"/>
  <c r="W192" i="7"/>
  <c r="W448" i="7"/>
  <c r="W579" i="7"/>
  <c r="W665" i="7"/>
  <c r="W750" i="7"/>
  <c r="W835" i="7"/>
  <c r="W921" i="7"/>
  <c r="W33" i="7"/>
  <c r="W289" i="7"/>
  <c r="W527" i="7"/>
  <c r="W613" i="7"/>
  <c r="W698" i="7"/>
  <c r="W783" i="7"/>
  <c r="W869" i="7"/>
  <c r="W954" i="7"/>
  <c r="V30" i="7"/>
  <c r="V94" i="7"/>
  <c r="V158" i="7"/>
  <c r="V222" i="7"/>
  <c r="V286" i="7"/>
  <c r="V350" i="7"/>
  <c r="V414" i="7"/>
  <c r="V478" i="7"/>
  <c r="V55" i="7"/>
  <c r="V119" i="7"/>
  <c r="V183" i="7"/>
  <c r="V247" i="7"/>
  <c r="V311" i="7"/>
  <c r="V375" i="7"/>
  <c r="V439" i="7"/>
  <c r="V503" i="7"/>
  <c r="V116" i="7"/>
  <c r="V244" i="7"/>
  <c r="V372" i="7"/>
  <c r="V496" i="7"/>
  <c r="V563" i="7"/>
  <c r="V627" i="7"/>
  <c r="V691" i="7"/>
  <c r="V755" i="7"/>
  <c r="V125" i="7"/>
  <c r="V120" i="7"/>
  <c r="V313" i="7"/>
  <c r="V485" i="7"/>
  <c r="V577" i="7"/>
  <c r="V662" i="7"/>
  <c r="V748" i="7"/>
  <c r="V814" i="7"/>
  <c r="V878" i="7"/>
  <c r="V942" i="7"/>
  <c r="V601" i="7"/>
  <c r="V788" i="7"/>
  <c r="V956" i="7"/>
  <c r="V232" i="7"/>
  <c r="V401" i="7"/>
  <c r="V536" i="7"/>
  <c r="V621" i="7"/>
  <c r="V706" i="7"/>
  <c r="V783" i="7"/>
  <c r="V847" i="7"/>
  <c r="V911" i="7"/>
  <c r="V975" i="7"/>
  <c r="V160" i="7"/>
  <c r="V341" i="7"/>
  <c r="V504" i="7"/>
  <c r="V596" i="7"/>
  <c r="V734" i="7"/>
  <c r="V856" i="7"/>
  <c r="V17" i="7"/>
  <c r="V629" i="7"/>
  <c r="V917" i="7"/>
  <c r="V996" i="7"/>
  <c r="V813" i="7"/>
  <c r="V538" i="7"/>
  <c r="V976" i="7"/>
  <c r="V570" i="7"/>
  <c r="V972" i="7"/>
  <c r="V981" i="7"/>
  <c r="U2" i="7"/>
  <c r="U66" i="7"/>
  <c r="U130" i="7"/>
  <c r="U194" i="7"/>
  <c r="U258" i="7"/>
  <c r="U322" i="7"/>
  <c r="U386" i="7"/>
  <c r="U450" i="7"/>
  <c r="U15" i="7"/>
  <c r="U79" i="7"/>
  <c r="U143" i="7"/>
  <c r="U207" i="7"/>
  <c r="U271" i="7"/>
  <c r="U335" i="7"/>
  <c r="U399" i="7"/>
  <c r="U463" i="7"/>
  <c r="U36" i="7"/>
  <c r="U164" i="7"/>
  <c r="U292" i="7"/>
  <c r="U420" i="7"/>
  <c r="U526" i="7"/>
  <c r="U37" i="7"/>
  <c r="U165" i="7"/>
  <c r="U293" i="7"/>
  <c r="U421" i="7"/>
  <c r="U527" i="7"/>
  <c r="U591" i="7"/>
  <c r="U655" i="7"/>
  <c r="U719" i="7"/>
  <c r="U48" i="7"/>
  <c r="U176" i="7"/>
  <c r="U304" i="7"/>
  <c r="U432" i="7"/>
  <c r="U532" i="7"/>
  <c r="U596" i="7"/>
  <c r="U660" i="7"/>
  <c r="U724" i="7"/>
  <c r="U201" i="7"/>
  <c r="U590" i="7"/>
  <c r="U718" i="7"/>
  <c r="U804" i="7"/>
  <c r="U868" i="7"/>
  <c r="U932" i="7"/>
  <c r="U996" i="7"/>
  <c r="U65" i="7"/>
  <c r="U241" i="7"/>
  <c r="U601" i="7"/>
  <c r="U729" i="7"/>
  <c r="U809" i="7"/>
  <c r="U873" i="7"/>
  <c r="U937" i="7"/>
  <c r="U850" i="7"/>
  <c r="U129" i="7"/>
  <c r="U249" i="7"/>
  <c r="U602" i="7"/>
  <c r="U730" i="7"/>
  <c r="U810" i="7"/>
  <c r="U958" i="7"/>
  <c r="U815" i="7"/>
  <c r="U771" i="7"/>
  <c r="U669" i="7"/>
  <c r="U791" i="7"/>
  <c r="U795" i="7"/>
  <c r="T38" i="7"/>
  <c r="T90" i="7"/>
  <c r="T122" i="7"/>
  <c r="T154" i="7"/>
  <c r="T186" i="7"/>
  <c r="T218" i="7"/>
  <c r="T250" i="7"/>
  <c r="T282" i="7"/>
  <c r="T314" i="7"/>
  <c r="T346" i="7"/>
  <c r="T19" i="7"/>
  <c r="T51" i="7"/>
  <c r="T83" i="7"/>
  <c r="T115" i="7"/>
  <c r="T147" i="7"/>
  <c r="T179" i="7"/>
  <c r="T211" i="7"/>
  <c r="T243" i="7"/>
  <c r="T275" i="7"/>
  <c r="T307" i="7"/>
  <c r="T339" i="7"/>
  <c r="T371" i="7"/>
  <c r="T403" i="7"/>
  <c r="T435" i="7"/>
  <c r="T467" i="7"/>
  <c r="T499" i="7"/>
  <c r="T24" i="7"/>
  <c r="T56" i="7"/>
  <c r="T88" i="7"/>
  <c r="T120" i="7"/>
  <c r="T152" i="7"/>
  <c r="T184" i="7"/>
  <c r="T216" i="7"/>
  <c r="T248" i="7"/>
  <c r="T280" i="7"/>
  <c r="T312" i="7"/>
  <c r="T344" i="7"/>
  <c r="T376" i="7"/>
  <c r="T408" i="7"/>
  <c r="T440" i="7"/>
  <c r="T472" i="7"/>
  <c r="T504" i="7"/>
  <c r="T117" i="7"/>
  <c r="T245" i="7"/>
  <c r="T366" i="7"/>
  <c r="T430" i="7"/>
  <c r="T494" i="7"/>
  <c r="T533" i="7"/>
  <c r="T565" i="7"/>
  <c r="T597" i="7"/>
  <c r="T629" i="7"/>
  <c r="T661" i="7"/>
  <c r="T693" i="7"/>
  <c r="T725" i="7"/>
  <c r="T757" i="7"/>
  <c r="T789" i="7"/>
  <c r="T821" i="7"/>
  <c r="T9" i="7"/>
  <c r="T177" i="7"/>
  <c r="T349" i="7"/>
  <c r="T441" i="7"/>
  <c r="T516" i="7"/>
  <c r="T559" i="7"/>
  <c r="T602" i="7"/>
  <c r="T644" i="7"/>
  <c r="T687" i="7"/>
  <c r="T730" i="7"/>
  <c r="T772" i="7"/>
  <c r="T815" i="7"/>
  <c r="T856" i="7"/>
  <c r="T888" i="7"/>
  <c r="T920" i="7"/>
  <c r="T952" i="7"/>
  <c r="T984" i="7"/>
  <c r="T77" i="7"/>
  <c r="T249" i="7"/>
  <c r="T389" i="7"/>
  <c r="T474" i="7"/>
  <c r="T534" i="7"/>
  <c r="T560" i="7"/>
  <c r="T592" i="7"/>
  <c r="T619" i="7"/>
  <c r="T646" i="7"/>
  <c r="T678" i="7"/>
  <c r="T704" i="7"/>
  <c r="T731" i="7"/>
  <c r="T763" i="7"/>
  <c r="T790" i="7"/>
  <c r="T816" i="7"/>
  <c r="T848" i="7"/>
  <c r="T869" i="7"/>
  <c r="T889" i="7"/>
  <c r="T913" i="7"/>
  <c r="T933" i="7"/>
  <c r="T953" i="7"/>
  <c r="T189" i="7"/>
  <c r="T381" i="7"/>
  <c r="T489" i="7"/>
  <c r="T562" i="7"/>
  <c r="T615" i="7"/>
  <c r="T668" i="7"/>
  <c r="T732" i="7"/>
  <c r="T786" i="7"/>
  <c r="T839" i="7"/>
  <c r="T890" i="7"/>
  <c r="T922" i="7"/>
  <c r="T954" i="7"/>
  <c r="T977" i="7"/>
  <c r="T998" i="7"/>
  <c r="T999" i="7"/>
  <c r="T337" i="7"/>
  <c r="T524" i="7"/>
  <c r="T642" i="7"/>
  <c r="T738" i="7"/>
  <c r="T844" i="7"/>
  <c r="T934" i="7"/>
  <c r="T995" i="7"/>
  <c r="T394" i="7"/>
  <c r="T558" i="7"/>
  <c r="T664" i="7"/>
  <c r="T771" i="7"/>
  <c r="T871" i="7"/>
  <c r="T965" i="7"/>
  <c r="T25" i="7"/>
  <c r="T193" i="7"/>
  <c r="T362" i="7"/>
  <c r="T449" i="7"/>
  <c r="T520" i="7"/>
  <c r="T563" i="7"/>
  <c r="T606" i="7"/>
  <c r="T648" i="7"/>
  <c r="T691" i="7"/>
  <c r="T734" i="7"/>
  <c r="T776" i="7"/>
  <c r="T819" i="7"/>
  <c r="T859" i="7"/>
  <c r="T891" i="7"/>
  <c r="T923" i="7"/>
  <c r="T955" i="7"/>
  <c r="T994" i="7"/>
  <c r="T297" i="7"/>
  <c r="T457" i="7"/>
  <c r="T567" i="7"/>
  <c r="T631" i="7"/>
  <c r="T706" i="7"/>
  <c r="T780" i="7"/>
  <c r="T854" i="7"/>
  <c r="T902" i="7"/>
  <c r="T950" i="7"/>
  <c r="T990" i="7"/>
  <c r="T217" i="7"/>
  <c r="T437" i="7"/>
  <c r="T547" i="7"/>
  <c r="T622" i="7"/>
  <c r="T696" i="7"/>
  <c r="T760" i="7"/>
  <c r="T835" i="7"/>
  <c r="T887" i="7"/>
  <c r="T935" i="7"/>
  <c r="T975" i="7"/>
  <c r="S10" i="7"/>
  <c r="S26" i="7"/>
  <c r="S42" i="7"/>
  <c r="S58" i="7"/>
  <c r="S74" i="7"/>
  <c r="S90" i="7"/>
  <c r="S106" i="7"/>
  <c r="S122" i="7"/>
  <c r="S138" i="7"/>
  <c r="S154" i="7"/>
  <c r="S170" i="7"/>
  <c r="S186" i="7"/>
  <c r="S202" i="7"/>
  <c r="S218" i="7"/>
  <c r="S234" i="7"/>
  <c r="S250" i="7"/>
  <c r="S266" i="7"/>
  <c r="S282" i="7"/>
  <c r="S298" i="7"/>
  <c r="S314" i="7"/>
  <c r="S330" i="7"/>
  <c r="S346" i="7"/>
  <c r="S362" i="7"/>
  <c r="S378" i="7"/>
  <c r="S394" i="7"/>
  <c r="S410" i="7"/>
  <c r="S426" i="7"/>
  <c r="S442" i="7"/>
  <c r="S458" i="7"/>
  <c r="S474" i="7"/>
  <c r="S490" i="7"/>
  <c r="S506" i="7"/>
  <c r="S15" i="7"/>
  <c r="S31" i="7"/>
  <c r="S47" i="7"/>
  <c r="S63" i="7"/>
  <c r="S79" i="7"/>
  <c r="S95" i="7"/>
  <c r="S111" i="7"/>
  <c r="S127" i="7"/>
  <c r="S143" i="7"/>
  <c r="S159" i="7"/>
  <c r="S175" i="7"/>
  <c r="S191" i="7"/>
  <c r="S207" i="7"/>
  <c r="S223" i="7"/>
  <c r="S239" i="7"/>
  <c r="S255" i="7"/>
  <c r="S271" i="7"/>
  <c r="S287" i="7"/>
  <c r="S303" i="7"/>
  <c r="S319" i="7"/>
  <c r="S335" i="7"/>
  <c r="S351" i="7"/>
  <c r="S367" i="7"/>
  <c r="S383" i="7"/>
  <c r="S399" i="7"/>
  <c r="S415" i="7"/>
  <c r="S431" i="7"/>
  <c r="S447" i="7"/>
  <c r="S463" i="7"/>
  <c r="S479" i="7"/>
  <c r="S495" i="7"/>
  <c r="S8" i="7"/>
  <c r="S24" i="7"/>
  <c r="S40" i="7"/>
  <c r="S56" i="7"/>
  <c r="S72" i="7"/>
  <c r="S88" i="7"/>
  <c r="S104" i="7"/>
  <c r="S120" i="7"/>
  <c r="S136" i="7"/>
  <c r="S152" i="7"/>
  <c r="S168" i="7"/>
  <c r="S184" i="7"/>
  <c r="S200" i="7"/>
  <c r="S216" i="7"/>
  <c r="S232" i="7"/>
  <c r="S248" i="7"/>
  <c r="S264" i="7"/>
  <c r="S280" i="7"/>
  <c r="S296" i="7"/>
  <c r="S312" i="7"/>
  <c r="S328" i="7"/>
  <c r="S344" i="7"/>
  <c r="S360" i="7"/>
  <c r="S376" i="7"/>
  <c r="S392" i="7"/>
  <c r="S408" i="7"/>
  <c r="S424" i="7"/>
  <c r="S440" i="7"/>
  <c r="S456" i="7"/>
  <c r="S472" i="7"/>
  <c r="S37" i="7"/>
  <c r="S101" i="7"/>
  <c r="S165" i="7"/>
  <c r="S229" i="7"/>
  <c r="S293" i="7"/>
  <c r="S357" i="7"/>
  <c r="S421" i="7"/>
  <c r="S481" i="7"/>
  <c r="S510" i="7"/>
  <c r="S526" i="7"/>
  <c r="S542" i="7"/>
  <c r="S558" i="7"/>
  <c r="S574" i="7"/>
  <c r="S590" i="7"/>
  <c r="S606" i="7"/>
  <c r="S622" i="7"/>
  <c r="S638" i="7"/>
  <c r="S654" i="7"/>
  <c r="S670" i="7"/>
  <c r="S686" i="7"/>
  <c r="S702" i="7"/>
  <c r="S9" i="7"/>
  <c r="S73" i="7"/>
  <c r="S137" i="7"/>
  <c r="S201" i="7"/>
  <c r="S265" i="7"/>
  <c r="S329" i="7"/>
  <c r="S393" i="7"/>
  <c r="S457" i="7"/>
  <c r="S500" i="7"/>
  <c r="S519" i="7"/>
  <c r="S535" i="7"/>
  <c r="S551" i="7"/>
  <c r="S567" i="7"/>
  <c r="S583" i="7"/>
  <c r="S599" i="7"/>
  <c r="S615" i="7"/>
  <c r="S631" i="7"/>
  <c r="S647" i="7"/>
  <c r="S663" i="7"/>
  <c r="S679" i="7"/>
  <c r="S695" i="7"/>
  <c r="S711" i="7"/>
  <c r="S727" i="7"/>
  <c r="S743" i="7"/>
  <c r="S759" i="7"/>
  <c r="S775" i="7"/>
  <c r="S791" i="7"/>
  <c r="S807" i="7"/>
  <c r="S823" i="7"/>
  <c r="S839" i="7"/>
  <c r="S855" i="7"/>
  <c r="S871" i="7"/>
  <c r="S45" i="7"/>
  <c r="S173" i="7"/>
  <c r="S301" i="7"/>
  <c r="S429" i="7"/>
  <c r="S512" i="7"/>
  <c r="S544" i="7"/>
  <c r="S576" i="7"/>
  <c r="S608" i="7"/>
  <c r="S640" i="7"/>
  <c r="S672" i="7"/>
  <c r="S704" i="7"/>
  <c r="S729" i="7"/>
  <c r="S750" i="7"/>
  <c r="S772" i="7"/>
  <c r="S793" i="7"/>
  <c r="S814" i="7"/>
  <c r="S836" i="7"/>
  <c r="S857" i="7"/>
  <c r="S878" i="7"/>
  <c r="S895" i="7"/>
  <c r="S911" i="7"/>
  <c r="S927" i="7"/>
  <c r="S943" i="7"/>
  <c r="S959" i="7"/>
  <c r="S975" i="7"/>
  <c r="S991" i="7"/>
  <c r="S49" i="7"/>
  <c r="S177" i="7"/>
  <c r="S305" i="7"/>
  <c r="S433" i="7"/>
  <c r="S513" i="7"/>
  <c r="S545" i="7"/>
  <c r="S577" i="7"/>
  <c r="S609" i="7"/>
  <c r="S641" i="7"/>
  <c r="S673" i="7"/>
  <c r="S705" i="7"/>
  <c r="S730" i="7"/>
  <c r="S752" i="7"/>
  <c r="S773" i="7"/>
  <c r="S794" i="7"/>
  <c r="S816" i="7"/>
  <c r="S837" i="7"/>
  <c r="S858" i="7"/>
  <c r="S880" i="7"/>
  <c r="S896" i="7"/>
  <c r="S912" i="7"/>
  <c r="S928" i="7"/>
  <c r="S944" i="7"/>
  <c r="S960" i="7"/>
  <c r="S976" i="7"/>
  <c r="S992" i="7"/>
  <c r="S61" i="7"/>
  <c r="S189" i="7"/>
  <c r="S317" i="7"/>
  <c r="S445" i="7"/>
  <c r="S516" i="7"/>
  <c r="S548" i="7"/>
  <c r="S580" i="7"/>
  <c r="S612" i="7"/>
  <c r="S644" i="7"/>
  <c r="S676" i="7"/>
  <c r="S708" i="7"/>
  <c r="S732" i="7"/>
  <c r="S289" i="7"/>
  <c r="S573" i="7"/>
  <c r="S701" i="7"/>
  <c r="S765" i="7"/>
  <c r="S808" i="7"/>
  <c r="S850" i="7"/>
  <c r="S890" i="7"/>
  <c r="S922" i="7"/>
  <c r="S954" i="7"/>
  <c r="S986" i="7"/>
  <c r="S321" i="7"/>
  <c r="S581" i="7"/>
  <c r="S709" i="7"/>
  <c r="S769" i="7"/>
  <c r="S812" i="7"/>
  <c r="S854" i="7"/>
  <c r="S893" i="7"/>
  <c r="S925" i="7"/>
  <c r="S957" i="7"/>
  <c r="S989" i="7"/>
  <c r="S353" i="7"/>
  <c r="S589" i="7"/>
  <c r="S717" i="7"/>
  <c r="S770" i="7"/>
  <c r="S813" i="7"/>
  <c r="S856" i="7"/>
  <c r="S894" i="7"/>
  <c r="S926" i="7"/>
  <c r="S958" i="7"/>
  <c r="S990" i="7"/>
  <c r="S385" i="7"/>
  <c r="S597" i="7"/>
  <c r="S722" i="7"/>
  <c r="S774" i="7"/>
  <c r="S817" i="7"/>
  <c r="S860" i="7"/>
  <c r="S897" i="7"/>
  <c r="S929" i="7"/>
  <c r="S961" i="7"/>
  <c r="S993" i="7"/>
  <c r="R14" i="7"/>
  <c r="R30" i="7"/>
  <c r="R46" i="7"/>
  <c r="R62" i="7"/>
  <c r="R78" i="7"/>
  <c r="R94" i="7"/>
  <c r="R110" i="7"/>
  <c r="R126" i="7"/>
  <c r="R142" i="7"/>
  <c r="R158" i="7"/>
  <c r="R174" i="7"/>
  <c r="R190" i="7"/>
  <c r="R206" i="7"/>
  <c r="R222" i="7"/>
  <c r="R238" i="7"/>
  <c r="R254" i="7"/>
  <c r="R270" i="7"/>
  <c r="R286" i="7"/>
  <c r="R302" i="7"/>
  <c r="R318" i="7"/>
  <c r="R334" i="7"/>
  <c r="R350" i="7"/>
  <c r="R366" i="7"/>
  <c r="R382" i="7"/>
  <c r="R398" i="7"/>
  <c r="R414" i="7"/>
  <c r="R430" i="7"/>
  <c r="R446" i="7"/>
  <c r="R3" i="7"/>
  <c r="R19" i="7"/>
  <c r="R35" i="7"/>
  <c r="R51" i="7"/>
  <c r="R67" i="7"/>
  <c r="R83" i="7"/>
  <c r="R99" i="7"/>
  <c r="R115" i="7"/>
  <c r="R131" i="7"/>
  <c r="R147" i="7"/>
  <c r="R163" i="7"/>
  <c r="R179" i="7"/>
  <c r="R195" i="7"/>
  <c r="R211" i="7"/>
  <c r="R227" i="7"/>
  <c r="R243" i="7"/>
  <c r="R259" i="7"/>
  <c r="R275" i="7"/>
  <c r="R291" i="7"/>
  <c r="R307" i="7"/>
  <c r="R323" i="7"/>
  <c r="R339" i="7"/>
  <c r="R355" i="7"/>
  <c r="R371" i="7"/>
  <c r="R387" i="7"/>
  <c r="R403" i="7"/>
  <c r="R419" i="7"/>
  <c r="R435" i="7"/>
  <c r="R451" i="7"/>
  <c r="R467" i="7"/>
  <c r="R483" i="7"/>
  <c r="R499" i="7"/>
  <c r="R12" i="7"/>
  <c r="R44" i="7"/>
  <c r="R76" i="7"/>
  <c r="R108" i="7"/>
  <c r="R140" i="7"/>
  <c r="R172" i="7"/>
  <c r="R204" i="7"/>
  <c r="R236" i="7"/>
  <c r="R268" i="7"/>
  <c r="R300" i="7"/>
  <c r="R332" i="7"/>
  <c r="R364" i="7"/>
  <c r="R396" i="7"/>
  <c r="R428" i="7"/>
  <c r="R460" i="7"/>
  <c r="R481" i="7"/>
  <c r="R502" i="7"/>
  <c r="R520" i="7"/>
  <c r="R536" i="7"/>
  <c r="R552" i="7"/>
  <c r="R568" i="7"/>
  <c r="R584" i="7"/>
  <c r="R600" i="7"/>
  <c r="R616" i="7"/>
  <c r="R632" i="7"/>
  <c r="R648" i="7"/>
  <c r="R664" i="7"/>
  <c r="R680" i="7"/>
  <c r="R696" i="7"/>
  <c r="R712" i="7"/>
  <c r="R728" i="7"/>
  <c r="R744" i="7"/>
  <c r="R21" i="7"/>
  <c r="R53" i="7"/>
  <c r="R85" i="7"/>
  <c r="R117" i="7"/>
  <c r="R149" i="7"/>
  <c r="R181" i="7"/>
  <c r="R213" i="7"/>
  <c r="R245" i="7"/>
  <c r="R277" i="7"/>
  <c r="R309" i="7"/>
  <c r="R341" i="7"/>
  <c r="R373" i="7"/>
  <c r="R405" i="7"/>
  <c r="R437" i="7"/>
  <c r="R466" i="7"/>
  <c r="R488" i="7"/>
  <c r="R509" i="7"/>
  <c r="R525" i="7"/>
  <c r="R541" i="7"/>
  <c r="R557" i="7"/>
  <c r="R573" i="7"/>
  <c r="R589" i="7"/>
  <c r="R605" i="7"/>
  <c r="R621" i="7"/>
  <c r="R637" i="7"/>
  <c r="R653" i="7"/>
  <c r="R669" i="7"/>
  <c r="R685" i="7"/>
  <c r="R701" i="7"/>
  <c r="R717" i="7"/>
  <c r="R733" i="7"/>
  <c r="R749" i="7"/>
  <c r="R765" i="7"/>
  <c r="R781" i="7"/>
  <c r="R797" i="7"/>
  <c r="R813" i="7"/>
  <c r="R829" i="7"/>
  <c r="R845" i="7"/>
  <c r="R861" i="7"/>
  <c r="R877" i="7"/>
  <c r="R893" i="7"/>
  <c r="R909" i="7"/>
  <c r="R925" i="7"/>
  <c r="R941" i="7"/>
  <c r="R957" i="7"/>
  <c r="R973" i="7"/>
  <c r="R989" i="7"/>
  <c r="R16" i="7"/>
  <c r="R40" i="7"/>
  <c r="R104" i="7"/>
  <c r="R168" i="7"/>
  <c r="R232" i="7"/>
  <c r="R296" i="7"/>
  <c r="R360" i="7"/>
  <c r="R424" i="7"/>
  <c r="R478" i="7"/>
  <c r="R518" i="7"/>
  <c r="R550" i="7"/>
  <c r="R582" i="7"/>
  <c r="R614" i="7"/>
  <c r="R646" i="7"/>
  <c r="R678" i="7"/>
  <c r="R710" i="7"/>
  <c r="R742" i="7"/>
  <c r="R766" i="7"/>
  <c r="R787" i="7"/>
  <c r="AA202" i="7"/>
  <c r="Z742" i="7"/>
  <c r="Y553" i="7"/>
  <c r="Y555" i="7"/>
  <c r="Y575" i="7"/>
  <c r="X203" i="7"/>
  <c r="X612" i="7"/>
  <c r="X542" i="7"/>
  <c r="X678" i="7"/>
  <c r="W166" i="7"/>
  <c r="W171" i="7"/>
  <c r="W348" i="7"/>
  <c r="W940" i="7"/>
  <c r="W152" i="7"/>
  <c r="W801" i="7"/>
  <c r="W425" i="7"/>
  <c r="W829" i="7"/>
  <c r="W510" i="7"/>
  <c r="W857" i="7"/>
  <c r="W549" i="7"/>
  <c r="W890" i="7"/>
  <c r="V174" i="7"/>
  <c r="V430" i="7"/>
  <c r="V199" i="7"/>
  <c r="V455" i="7"/>
  <c r="V404" i="7"/>
  <c r="V707" i="7"/>
  <c r="V357" i="7"/>
  <c r="V766" i="7"/>
  <c r="V654" i="7"/>
  <c r="V445" i="7"/>
  <c r="V799" i="7"/>
  <c r="V213" i="7"/>
  <c r="V776" i="7"/>
  <c r="V969" i="7"/>
  <c r="V97" i="7"/>
  <c r="U18" i="7"/>
  <c r="U274" i="7"/>
  <c r="U31" i="7"/>
  <c r="U287" i="7"/>
  <c r="U68" i="7"/>
  <c r="U542" i="7"/>
  <c r="U453" i="7"/>
  <c r="U735" i="7"/>
  <c r="U464" i="7"/>
  <c r="U740" i="7"/>
  <c r="U820" i="7"/>
  <c r="U385" i="7"/>
  <c r="U825" i="7"/>
  <c r="U449" i="7"/>
  <c r="U826" i="7"/>
  <c r="U843" i="7"/>
  <c r="T102" i="7"/>
  <c r="T230" i="7"/>
  <c r="T358" i="7"/>
  <c r="T127" i="7"/>
  <c r="T255" i="7"/>
  <c r="T383" i="7"/>
  <c r="T4" i="7"/>
  <c r="T132" i="7"/>
  <c r="T260" i="7"/>
  <c r="T388" i="7"/>
  <c r="T37" i="7"/>
  <c r="T454" i="7"/>
  <c r="T609" i="7"/>
  <c r="T737" i="7"/>
  <c r="T73" i="7"/>
  <c r="T532" i="7"/>
  <c r="T703" i="7"/>
  <c r="T868" i="7"/>
  <c r="T996" i="7"/>
  <c r="T506" i="7"/>
  <c r="T624" i="7"/>
  <c r="T742" i="7"/>
  <c r="T853" i="7"/>
  <c r="T937" i="7"/>
  <c r="T519" i="7"/>
  <c r="T743" i="7"/>
  <c r="T930" i="7"/>
  <c r="T81" i="7"/>
  <c r="T770" i="7"/>
  <c r="T458" i="7"/>
  <c r="T895" i="7"/>
  <c r="T385" i="7"/>
  <c r="T616" i="7"/>
  <c r="T787" i="7"/>
  <c r="T931" i="7"/>
  <c r="T514" i="7"/>
  <c r="T802" i="7"/>
  <c r="T45" i="7"/>
  <c r="T643" i="7"/>
  <c r="T903" i="7"/>
  <c r="S30" i="7"/>
  <c r="S94" i="7"/>
  <c r="S158" i="7"/>
  <c r="S222" i="7"/>
  <c r="S286" i="7"/>
  <c r="S350" i="7"/>
  <c r="S414" i="7"/>
  <c r="S478" i="7"/>
  <c r="S35" i="7"/>
  <c r="S99" i="7"/>
  <c r="S163" i="7"/>
  <c r="S227" i="7"/>
  <c r="S291" i="7"/>
  <c r="S355" i="7"/>
  <c r="S419" i="7"/>
  <c r="S483" i="7"/>
  <c r="S44" i="7"/>
  <c r="S108" i="7"/>
  <c r="S172" i="7"/>
  <c r="S236" i="7"/>
  <c r="S300" i="7"/>
  <c r="S364" i="7"/>
  <c r="S428" i="7"/>
  <c r="S53" i="7"/>
  <c r="S309" i="7"/>
  <c r="S514" i="7"/>
  <c r="S578" i="7"/>
  <c r="S642" i="7"/>
  <c r="S706" i="7"/>
  <c r="S217" i="7"/>
  <c r="S473" i="7"/>
  <c r="S555" i="7"/>
  <c r="S619" i="7"/>
  <c r="S683" i="7"/>
  <c r="S747" i="7"/>
  <c r="S811" i="7"/>
  <c r="S875" i="7"/>
  <c r="S461" i="7"/>
  <c r="S616" i="7"/>
  <c r="S734" i="7"/>
  <c r="S820" i="7"/>
  <c r="S899" i="7"/>
  <c r="S963" i="7"/>
  <c r="S209" i="7"/>
  <c r="S553" i="7"/>
  <c r="S681" i="7"/>
  <c r="S778" i="7"/>
  <c r="S864" i="7"/>
  <c r="S932" i="7"/>
  <c r="S996" i="7"/>
  <c r="S477" i="7"/>
  <c r="S620" i="7"/>
  <c r="S737" i="7"/>
  <c r="S776" i="7"/>
  <c r="S930" i="7"/>
  <c r="S613" i="7"/>
  <c r="S865" i="7"/>
  <c r="S997" i="7"/>
  <c r="S781" i="7"/>
  <c r="S934" i="7"/>
  <c r="S629" i="7"/>
  <c r="S870" i="7"/>
  <c r="R2" i="7"/>
  <c r="R66" i="7"/>
  <c r="R130" i="7"/>
  <c r="R194" i="7"/>
  <c r="R258" i="7"/>
  <c r="R322" i="7"/>
  <c r="R386" i="7"/>
  <c r="R450" i="7"/>
  <c r="R55" i="7"/>
  <c r="R119" i="7"/>
  <c r="R183" i="7"/>
  <c r="R247" i="7"/>
  <c r="R311" i="7"/>
  <c r="R375" i="7"/>
  <c r="R439" i="7"/>
  <c r="R503" i="7"/>
  <c r="R116" i="7"/>
  <c r="R244" i="7"/>
  <c r="R372" i="7"/>
  <c r="R486" i="7"/>
  <c r="R556" i="7"/>
  <c r="R620" i="7"/>
  <c r="R684" i="7"/>
  <c r="R748" i="7"/>
  <c r="R125" i="7"/>
  <c r="R253" i="7"/>
  <c r="R381" i="7"/>
  <c r="R493" i="7"/>
  <c r="R561" i="7"/>
  <c r="R625" i="7"/>
  <c r="R689" i="7"/>
  <c r="R753" i="7"/>
  <c r="R817" i="7"/>
  <c r="R881" i="7"/>
  <c r="R945" i="7"/>
  <c r="R24" i="7"/>
  <c r="R248" i="7"/>
  <c r="R489" i="7"/>
  <c r="R622" i="7"/>
  <c r="R750" i="7"/>
  <c r="R814" i="7"/>
  <c r="R856" i="7"/>
  <c r="R899" i="7"/>
  <c r="R942" i="7"/>
  <c r="R984" i="7"/>
  <c r="R806" i="7"/>
  <c r="R918" i="7"/>
  <c r="R65" i="7"/>
  <c r="R401" i="7"/>
  <c r="R611" i="7"/>
  <c r="R764" i="7"/>
  <c r="R876" i="7"/>
  <c r="R89" i="7"/>
  <c r="R217" i="7"/>
  <c r="R345" i="7"/>
  <c r="R469" i="7"/>
  <c r="R543" i="7"/>
  <c r="R607" i="7"/>
  <c r="R671" i="7"/>
  <c r="R735" i="7"/>
  <c r="R783" i="7"/>
  <c r="R826" i="7"/>
  <c r="R868" i="7"/>
  <c r="R911" i="7"/>
  <c r="R954" i="7"/>
  <c r="R996" i="7"/>
  <c r="R144" i="7"/>
  <c r="R272" i="7"/>
  <c r="R400" i="7"/>
  <c r="R505" i="7"/>
  <c r="R570" i="7"/>
  <c r="R634" i="7"/>
  <c r="R698" i="7"/>
  <c r="R768" i="7"/>
  <c r="R838" i="7"/>
  <c r="R907" i="7"/>
  <c r="R982" i="7"/>
  <c r="R177" i="7"/>
  <c r="R385" i="7"/>
  <c r="R539" i="7"/>
  <c r="R643" i="7"/>
  <c r="R754" i="7"/>
  <c r="R823" i="7"/>
  <c r="R892" i="7"/>
  <c r="R935" i="7"/>
  <c r="R994" i="7"/>
  <c r="Q22" i="7"/>
  <c r="Q54" i="7"/>
  <c r="Q86" i="7"/>
  <c r="Q118" i="7"/>
  <c r="Q150" i="7"/>
  <c r="Q182" i="7"/>
  <c r="Q214" i="7"/>
  <c r="Q246" i="7"/>
  <c r="Q278" i="7"/>
  <c r="Q310" i="7"/>
  <c r="Q342" i="7"/>
  <c r="Q374" i="7"/>
  <c r="Q406" i="7"/>
  <c r="Q438" i="7"/>
  <c r="Q470" i="7"/>
  <c r="Q502" i="7"/>
  <c r="Q31" i="7"/>
  <c r="Q63" i="7"/>
  <c r="Q95" i="7"/>
  <c r="Q127" i="7"/>
  <c r="Q159" i="7"/>
  <c r="Q191" i="7"/>
  <c r="Q223" i="7"/>
  <c r="Q255" i="7"/>
  <c r="Q287" i="7"/>
  <c r="Q319" i="7"/>
  <c r="Q351" i="7"/>
  <c r="Q383" i="7"/>
  <c r="Q415" i="7"/>
  <c r="Q447" i="7"/>
  <c r="Q479" i="7"/>
  <c r="Q4" i="7"/>
  <c r="Q36" i="7"/>
  <c r="Q68" i="7"/>
  <c r="Q100" i="7"/>
  <c r="Q132" i="7"/>
  <c r="Q164" i="7"/>
  <c r="Q196" i="7"/>
  <c r="Q228" i="7"/>
  <c r="Q260" i="7"/>
  <c r="Q292" i="7"/>
  <c r="Q324" i="7"/>
  <c r="Q356" i="7"/>
  <c r="Q388" i="7"/>
  <c r="Q420" i="7"/>
  <c r="Q452" i="7"/>
  <c r="Q484" i="7"/>
  <c r="Q69" i="7"/>
  <c r="Q197" i="7"/>
  <c r="Q325" i="7"/>
  <c r="Q453" i="7"/>
  <c r="Q523" i="7"/>
  <c r="Q555" i="7"/>
  <c r="Q587" i="7"/>
  <c r="Q619" i="7"/>
  <c r="Q651" i="7"/>
  <c r="Q683" i="7"/>
  <c r="Q715" i="7"/>
  <c r="Q747" i="7"/>
  <c r="Q779" i="7"/>
  <c r="Q811" i="7"/>
  <c r="Q843" i="7"/>
  <c r="Q875" i="7"/>
  <c r="Q89" i="7"/>
  <c r="Q217" i="7"/>
  <c r="Q345" i="7"/>
  <c r="Q473" i="7"/>
  <c r="Q528" i="7"/>
  <c r="Q560" i="7"/>
  <c r="Q592" i="7"/>
  <c r="Q624" i="7"/>
  <c r="Q656" i="7"/>
  <c r="Q688" i="7"/>
  <c r="Q720" i="7"/>
  <c r="Q752" i="7"/>
  <c r="Q784" i="7"/>
  <c r="Q816" i="7"/>
  <c r="Q848" i="7"/>
  <c r="Q872" i="7"/>
  <c r="Q13" i="7"/>
  <c r="Q141" i="7"/>
  <c r="Q269" i="7"/>
  <c r="Q397" i="7"/>
  <c r="Q509" i="7"/>
  <c r="Q541" i="7"/>
  <c r="Q573" i="7"/>
  <c r="Q605" i="7"/>
  <c r="Q637" i="7"/>
  <c r="Q669" i="7"/>
  <c r="Q701" i="7"/>
  <c r="Q733" i="7"/>
  <c r="Q765" i="7"/>
  <c r="Q797" i="7"/>
  <c r="Q829" i="7"/>
  <c r="Q861" i="7"/>
  <c r="Q889" i="7"/>
  <c r="Q905" i="7"/>
  <c r="Q921" i="7"/>
  <c r="Q937" i="7"/>
  <c r="Q953" i="7"/>
  <c r="Q969" i="7"/>
  <c r="Q985" i="7"/>
  <c r="Q61" i="7"/>
  <c r="Q317" i="7"/>
  <c r="Q521" i="7"/>
  <c r="Q577" i="7"/>
  <c r="Q649" i="7"/>
  <c r="Q713" i="7"/>
  <c r="Q777" i="7"/>
  <c r="Q841" i="7"/>
  <c r="Q895" i="7"/>
  <c r="Q927" i="7"/>
  <c r="Q959" i="7"/>
  <c r="Q991" i="7"/>
  <c r="Q225" i="7"/>
  <c r="Q481" i="7"/>
  <c r="Q562" i="7"/>
  <c r="Q626" i="7"/>
  <c r="Q690" i="7"/>
  <c r="Q754" i="7"/>
  <c r="Q818" i="7"/>
  <c r="Q882" i="7"/>
  <c r="Q916" i="7"/>
  <c r="Q952" i="7"/>
  <c r="Q984" i="7"/>
  <c r="Q49" i="7"/>
  <c r="Q177" i="7"/>
  <c r="Q305" i="7"/>
  <c r="Q433" i="7"/>
  <c r="Q518" i="7"/>
  <c r="Q550" i="7"/>
  <c r="Q582" i="7"/>
  <c r="Q614" i="7"/>
  <c r="Q646" i="7"/>
  <c r="Q678" i="7"/>
  <c r="Q710" i="7"/>
  <c r="Q742" i="7"/>
  <c r="Q774" i="7"/>
  <c r="Q806" i="7"/>
  <c r="Q838" i="7"/>
  <c r="Q870" i="7"/>
  <c r="Q894" i="7"/>
  <c r="Q910" i="7"/>
  <c r="Q926" i="7"/>
  <c r="Q942" i="7"/>
  <c r="Q958" i="7"/>
  <c r="Q974" i="7"/>
  <c r="Q990" i="7"/>
  <c r="Q125" i="7"/>
  <c r="Q349" i="7"/>
  <c r="Q529" i="7"/>
  <c r="Q601" i="7"/>
  <c r="Q657" i="7"/>
  <c r="Q721" i="7"/>
  <c r="Q785" i="7"/>
  <c r="Q849" i="7"/>
  <c r="Q899" i="7"/>
  <c r="Q931" i="7"/>
  <c r="Q963" i="7"/>
  <c r="Q995" i="7"/>
  <c r="Q193" i="7"/>
  <c r="Q449" i="7"/>
  <c r="Q554" i="7"/>
  <c r="Q618" i="7"/>
  <c r="Q682" i="7"/>
  <c r="Q746" i="7"/>
  <c r="Q810" i="7"/>
  <c r="Q874" i="7"/>
  <c r="Q912" i="7"/>
  <c r="Q940" i="7"/>
  <c r="Q972" i="7"/>
  <c r="P2" i="7"/>
  <c r="P18" i="7"/>
  <c r="P34" i="7"/>
  <c r="P50" i="7"/>
  <c r="P66" i="7"/>
  <c r="P82" i="7"/>
  <c r="P98" i="7"/>
  <c r="P114" i="7"/>
  <c r="P130" i="7"/>
  <c r="P146" i="7"/>
  <c r="P162" i="7"/>
  <c r="P178" i="7"/>
  <c r="P194" i="7"/>
  <c r="P210" i="7"/>
  <c r="P226" i="7"/>
  <c r="P242" i="7"/>
  <c r="P258" i="7"/>
  <c r="P274" i="7"/>
  <c r="P290" i="7"/>
  <c r="P306" i="7"/>
  <c r="P322" i="7"/>
  <c r="P338" i="7"/>
  <c r="P354" i="7"/>
  <c r="P370" i="7"/>
  <c r="P386" i="7"/>
  <c r="P402" i="7"/>
  <c r="P418" i="7"/>
  <c r="P434" i="7"/>
  <c r="P450" i="7"/>
  <c r="P466" i="7"/>
  <c r="P482" i="7"/>
  <c r="P498" i="7"/>
  <c r="P7" i="7"/>
  <c r="P23" i="7"/>
  <c r="P39" i="7"/>
  <c r="P55" i="7"/>
  <c r="P71" i="7"/>
  <c r="P87" i="7"/>
  <c r="P103" i="7"/>
  <c r="P119" i="7"/>
  <c r="P135" i="7"/>
  <c r="P151" i="7"/>
  <c r="P167" i="7"/>
  <c r="P183" i="7"/>
  <c r="P199" i="7"/>
  <c r="P215" i="7"/>
  <c r="P231" i="7"/>
  <c r="P247" i="7"/>
  <c r="P263" i="7"/>
  <c r="P279" i="7"/>
  <c r="P295" i="7"/>
  <c r="P311" i="7"/>
  <c r="P327" i="7"/>
  <c r="P343" i="7"/>
  <c r="P359" i="7"/>
  <c r="P375" i="7"/>
  <c r="P391" i="7"/>
  <c r="P407" i="7"/>
  <c r="P423" i="7"/>
  <c r="P439" i="7"/>
  <c r="P455" i="7"/>
  <c r="P471" i="7"/>
  <c r="P487" i="7"/>
  <c r="P12" i="7"/>
  <c r="P28" i="7"/>
  <c r="P44" i="7"/>
  <c r="P60" i="7"/>
  <c r="P76" i="7"/>
  <c r="P92" i="7"/>
  <c r="P108" i="7"/>
  <c r="P124" i="7"/>
  <c r="P140" i="7"/>
  <c r="P156" i="7"/>
  <c r="P172" i="7"/>
  <c r="P188" i="7"/>
  <c r="P204" i="7"/>
  <c r="P220" i="7"/>
  <c r="P236" i="7"/>
  <c r="P252" i="7"/>
  <c r="P268" i="7"/>
  <c r="P284" i="7"/>
  <c r="P300" i="7"/>
  <c r="P316" i="7"/>
  <c r="P332" i="7"/>
  <c r="P348" i="7"/>
  <c r="P364" i="7"/>
  <c r="P380" i="7"/>
  <c r="P396" i="7"/>
  <c r="P412" i="7"/>
  <c r="P428" i="7"/>
  <c r="P444" i="7"/>
  <c r="P460" i="7"/>
  <c r="P476" i="7"/>
  <c r="P492" i="7"/>
  <c r="P508" i="7"/>
  <c r="P53" i="7"/>
  <c r="P117" i="7"/>
  <c r="P181" i="7"/>
  <c r="P245" i="7"/>
  <c r="P309" i="7"/>
  <c r="P373" i="7"/>
  <c r="P437" i="7"/>
  <c r="P497" i="7"/>
  <c r="P519" i="7"/>
  <c r="P535" i="7"/>
  <c r="P551" i="7"/>
  <c r="P567" i="7"/>
  <c r="P583" i="7"/>
  <c r="P599" i="7"/>
  <c r="P615" i="7"/>
  <c r="P631" i="7"/>
  <c r="P647" i="7"/>
  <c r="P663" i="7"/>
  <c r="P679" i="7"/>
  <c r="P695" i="7"/>
  <c r="P711" i="7"/>
  <c r="P727" i="7"/>
  <c r="P743" i="7"/>
  <c r="P759" i="7"/>
  <c r="P775" i="7"/>
  <c r="P791" i="7"/>
  <c r="P807" i="7"/>
  <c r="P823" i="7"/>
  <c r="P839" i="7"/>
  <c r="P855" i="7"/>
  <c r="P871" i="7"/>
  <c r="P887" i="7"/>
  <c r="P903" i="7"/>
  <c r="P919" i="7"/>
  <c r="P935" i="7"/>
  <c r="P951" i="7"/>
  <c r="P967" i="7"/>
  <c r="P983" i="7"/>
  <c r="P999" i="7"/>
  <c r="P860" i="7"/>
  <c r="P888" i="7"/>
  <c r="P912" i="7"/>
  <c r="P936" i="7"/>
  <c r="P964" i="7"/>
  <c r="P57" i="7"/>
  <c r="P121" i="7"/>
  <c r="P185" i="7"/>
  <c r="P249" i="7"/>
  <c r="P313" i="7"/>
  <c r="P377" i="7"/>
  <c r="P441" i="7"/>
  <c r="P499" i="7"/>
  <c r="P520" i="7"/>
  <c r="P536" i="7"/>
  <c r="P552" i="7"/>
  <c r="P568" i="7"/>
  <c r="P584" i="7"/>
  <c r="P600" i="7"/>
  <c r="P616" i="7"/>
  <c r="P632" i="7"/>
  <c r="P648" i="7"/>
  <c r="P664" i="7"/>
  <c r="P680" i="7"/>
  <c r="P696" i="7"/>
  <c r="P712" i="7"/>
  <c r="P728" i="7"/>
  <c r="P744" i="7"/>
  <c r="P760" i="7"/>
  <c r="P776" i="7"/>
  <c r="P792" i="7"/>
  <c r="P808" i="7"/>
  <c r="P824" i="7"/>
  <c r="P844" i="7"/>
  <c r="P884" i="7"/>
  <c r="P928" i="7"/>
  <c r="P13" i="7"/>
  <c r="P141" i="7"/>
  <c r="P269" i="7"/>
  <c r="P397" i="7"/>
  <c r="P509" i="7"/>
  <c r="P541" i="7"/>
  <c r="P573" i="7"/>
  <c r="P605" i="7"/>
  <c r="P637" i="7"/>
  <c r="P669" i="7"/>
  <c r="P701" i="7"/>
  <c r="P733" i="7"/>
  <c r="P765" i="7"/>
  <c r="P797" i="7"/>
  <c r="P829" i="7"/>
  <c r="P861" i="7"/>
  <c r="P893" i="7"/>
  <c r="P925" i="7"/>
  <c r="P957" i="7"/>
  <c r="P981" i="7"/>
  <c r="P782" i="7"/>
  <c r="P838" i="7"/>
  <c r="P886" i="7"/>
  <c r="P934" i="7"/>
  <c r="P982" i="7"/>
  <c r="P93" i="7"/>
  <c r="P317" i="7"/>
  <c r="P501" i="7"/>
  <c r="P553" i="7"/>
  <c r="P609" i="7"/>
  <c r="P665" i="7"/>
  <c r="P713" i="7"/>
  <c r="P761" i="7"/>
  <c r="P809" i="7"/>
  <c r="P865" i="7"/>
  <c r="P921" i="7"/>
  <c r="P968" i="7"/>
  <c r="P1000" i="7"/>
  <c r="P225" i="7"/>
  <c r="P417" i="7"/>
  <c r="P538" i="7"/>
  <c r="P586" i="7"/>
  <c r="P642" i="7"/>
  <c r="P690" i="7"/>
  <c r="P738" i="7"/>
  <c r="P794" i="7"/>
  <c r="P842" i="7"/>
  <c r="P898" i="7"/>
  <c r="P946" i="7"/>
  <c r="P985" i="7"/>
  <c r="P81" i="7"/>
  <c r="P209" i="7"/>
  <c r="P337" i="7"/>
  <c r="P465" i="7"/>
  <c r="P526" i="7"/>
  <c r="P558" i="7"/>
  <c r="P590" i="7"/>
  <c r="P622" i="7"/>
  <c r="P654" i="7"/>
  <c r="P686" i="7"/>
  <c r="P718" i="7"/>
  <c r="P750" i="7"/>
  <c r="P790" i="7"/>
  <c r="P878" i="7"/>
  <c r="P958" i="7"/>
  <c r="P125" i="7"/>
  <c r="P477" i="7"/>
  <c r="P577" i="7"/>
  <c r="P657" i="7"/>
  <c r="P745" i="7"/>
  <c r="P833" i="7"/>
  <c r="P913" i="7"/>
  <c r="P989" i="7"/>
  <c r="P289" i="7"/>
  <c r="P530" i="7"/>
  <c r="P618" i="7"/>
  <c r="P698" i="7"/>
  <c r="P786" i="7"/>
  <c r="P866" i="7"/>
  <c r="P954" i="7"/>
  <c r="O6" i="7"/>
  <c r="O22" i="7"/>
  <c r="O38" i="7"/>
  <c r="O54" i="7"/>
  <c r="O70" i="7"/>
  <c r="O86" i="7"/>
  <c r="O102" i="7"/>
  <c r="O118" i="7"/>
  <c r="O134" i="7"/>
  <c r="O150" i="7"/>
  <c r="O166" i="7"/>
  <c r="O182" i="7"/>
  <c r="O198" i="7"/>
  <c r="O214" i="7"/>
  <c r="O230" i="7"/>
  <c r="O246" i="7"/>
  <c r="O262" i="7"/>
  <c r="O278" i="7"/>
  <c r="O294" i="7"/>
  <c r="O310" i="7"/>
  <c r="O326" i="7"/>
  <c r="O342" i="7"/>
  <c r="O358" i="7"/>
  <c r="O374" i="7"/>
  <c r="O390" i="7"/>
  <c r="O406" i="7"/>
  <c r="O422" i="7"/>
  <c r="O438" i="7"/>
  <c r="O454" i="7"/>
  <c r="O470" i="7"/>
  <c r="O486" i="7"/>
  <c r="O502" i="7"/>
  <c r="O11" i="7"/>
  <c r="O27" i="7"/>
  <c r="O43" i="7"/>
  <c r="O59" i="7"/>
  <c r="O75" i="7"/>
  <c r="O91" i="7"/>
  <c r="O107" i="7"/>
  <c r="O123" i="7"/>
  <c r="O139" i="7"/>
  <c r="O155" i="7"/>
  <c r="O171" i="7"/>
  <c r="O187" i="7"/>
  <c r="O203" i="7"/>
  <c r="O219" i="7"/>
  <c r="O235" i="7"/>
  <c r="O251" i="7"/>
  <c r="O267" i="7"/>
  <c r="O283" i="7"/>
  <c r="O299" i="7"/>
  <c r="O315" i="7"/>
  <c r="O331" i="7"/>
  <c r="O347" i="7"/>
  <c r="O363" i="7"/>
  <c r="O379" i="7"/>
  <c r="O395" i="7"/>
  <c r="O411" i="7"/>
  <c r="O427" i="7"/>
  <c r="O443" i="7"/>
  <c r="O459" i="7"/>
  <c r="O475" i="7"/>
  <c r="O491" i="7"/>
  <c r="O4" i="7"/>
  <c r="O20" i="7"/>
  <c r="O36" i="7"/>
  <c r="O52" i="7"/>
  <c r="O68" i="7"/>
  <c r="O84" i="7"/>
  <c r="O100" i="7"/>
  <c r="O116" i="7"/>
  <c r="O132" i="7"/>
  <c r="O148" i="7"/>
  <c r="O164" i="7"/>
  <c r="O180" i="7"/>
  <c r="O196" i="7"/>
  <c r="O212" i="7"/>
  <c r="O228" i="7"/>
  <c r="O244" i="7"/>
  <c r="O260" i="7"/>
  <c r="O276" i="7"/>
  <c r="O292" i="7"/>
  <c r="O308" i="7"/>
  <c r="O324" i="7"/>
  <c r="O340" i="7"/>
  <c r="O356" i="7"/>
  <c r="O372" i="7"/>
  <c r="O388" i="7"/>
  <c r="O404" i="7"/>
  <c r="O420" i="7"/>
  <c r="O436" i="7"/>
  <c r="O452" i="7"/>
  <c r="O468" i="7"/>
  <c r="O484" i="7"/>
  <c r="O500" i="7"/>
  <c r="O37" i="7"/>
  <c r="O101" i="7"/>
  <c r="O165" i="7"/>
  <c r="O229" i="7"/>
  <c r="O293" i="7"/>
  <c r="O357" i="7"/>
  <c r="O421" i="7"/>
  <c r="O485" i="7"/>
  <c r="O517" i="7"/>
  <c r="O533" i="7"/>
  <c r="O549" i="7"/>
  <c r="O565" i="7"/>
  <c r="O581" i="7"/>
  <c r="O597" i="7"/>
  <c r="O613" i="7"/>
  <c r="O629" i="7"/>
  <c r="O645" i="7"/>
  <c r="O661" i="7"/>
  <c r="O677" i="7"/>
  <c r="O693" i="7"/>
  <c r="O709" i="7"/>
  <c r="O725" i="7"/>
  <c r="O741" i="7"/>
  <c r="O757" i="7"/>
  <c r="O773" i="7"/>
  <c r="O789" i="7"/>
  <c r="O805" i="7"/>
  <c r="O821" i="7"/>
  <c r="O837" i="7"/>
  <c r="O853" i="7"/>
  <c r="O869" i="7"/>
  <c r="O885" i="7"/>
  <c r="O901" i="7"/>
  <c r="O917" i="7"/>
  <c r="O933" i="7"/>
  <c r="O949" i="7"/>
  <c r="O965" i="7"/>
  <c r="O981" i="7"/>
  <c r="O997" i="7"/>
  <c r="O782" i="7"/>
  <c r="O810" i="7"/>
  <c r="O838" i="7"/>
  <c r="O870" i="7"/>
  <c r="O902" i="7"/>
  <c r="O934" i="7"/>
  <c r="O966" i="7"/>
  <c r="O13" i="7"/>
  <c r="O41" i="7"/>
  <c r="O105" i="7"/>
  <c r="O169" i="7"/>
  <c r="O233" i="7"/>
  <c r="O297" i="7"/>
  <c r="O361" i="7"/>
  <c r="O425" i="7"/>
  <c r="O489" i="7"/>
  <c r="O518" i="7"/>
  <c r="O534" i="7"/>
  <c r="O550" i="7"/>
  <c r="O566" i="7"/>
  <c r="O582" i="7"/>
  <c r="O598" i="7"/>
  <c r="O614" i="7"/>
  <c r="O630" i="7"/>
  <c r="O646" i="7"/>
  <c r="O662" i="7"/>
  <c r="O678" i="7"/>
  <c r="O694" i="7"/>
  <c r="O710" i="7"/>
  <c r="O726" i="7"/>
  <c r="O742" i="7"/>
  <c r="O758" i="7"/>
  <c r="O794" i="7"/>
  <c r="O834" i="7"/>
  <c r="O866" i="7"/>
  <c r="O898" i="7"/>
  <c r="O930" i="7"/>
  <c r="O962" i="7"/>
  <c r="O990" i="7"/>
  <c r="O77" i="7"/>
  <c r="O145" i="7"/>
  <c r="O273" i="7"/>
  <c r="O401" i="7"/>
  <c r="O512" i="7"/>
  <c r="O544" i="7"/>
  <c r="O576" i="7"/>
  <c r="O608" i="7"/>
  <c r="O640" i="7"/>
  <c r="O672" i="7"/>
  <c r="O704" i="7"/>
  <c r="O736" i="7"/>
  <c r="O768" i="7"/>
  <c r="O800" i="7"/>
  <c r="O832" i="7"/>
  <c r="O864" i="7"/>
  <c r="O896" i="7"/>
  <c r="O928" i="7"/>
  <c r="O960" i="7"/>
  <c r="O992" i="7"/>
  <c r="O923" i="7"/>
  <c r="O979" i="7"/>
  <c r="O193" i="7"/>
  <c r="O417" i="7"/>
  <c r="O532" i="7"/>
  <c r="O580" i="7"/>
  <c r="O628" i="7"/>
  <c r="O692" i="7"/>
  <c r="O740" i="7"/>
  <c r="O796" i="7"/>
  <c r="O852" i="7"/>
  <c r="O900" i="7"/>
  <c r="O948" i="7"/>
  <c r="O988" i="7"/>
  <c r="O237" i="7"/>
  <c r="O397" i="7"/>
  <c r="O535" i="7"/>
  <c r="O591" i="7"/>
  <c r="O639" i="7"/>
  <c r="O687" i="7"/>
  <c r="O735" i="7"/>
  <c r="O783" i="7"/>
  <c r="O823" i="7"/>
  <c r="O871" i="7"/>
  <c r="O919" i="7"/>
  <c r="O967" i="7"/>
  <c r="O93" i="7"/>
  <c r="O221" i="7"/>
  <c r="O349" i="7"/>
  <c r="O477" i="7"/>
  <c r="O531" i="7"/>
  <c r="O563" i="7"/>
  <c r="O595" i="7"/>
  <c r="O627" i="7"/>
  <c r="O659" i="7"/>
  <c r="O691" i="7"/>
  <c r="O723" i="7"/>
  <c r="O755" i="7"/>
  <c r="O787" i="7"/>
  <c r="O819" i="7"/>
  <c r="O851" i="7"/>
  <c r="O883" i="7"/>
  <c r="O947" i="7"/>
  <c r="O129" i="7"/>
  <c r="O481" i="7"/>
  <c r="O588" i="7"/>
  <c r="O668" i="7"/>
  <c r="O748" i="7"/>
  <c r="O820" i="7"/>
  <c r="O916" i="7"/>
  <c r="O109" i="7"/>
  <c r="O493" i="7"/>
  <c r="O575" i="7"/>
  <c r="O679" i="7"/>
  <c r="O775" i="7"/>
  <c r="O879" i="7"/>
  <c r="O975" i="7"/>
  <c r="N10" i="7"/>
  <c r="N26" i="7"/>
  <c r="N42" i="7"/>
  <c r="N58" i="7"/>
  <c r="N74" i="7"/>
  <c r="N90" i="7"/>
  <c r="N106" i="7"/>
  <c r="N122" i="7"/>
  <c r="N138" i="7"/>
  <c r="N154" i="7"/>
  <c r="N170" i="7"/>
  <c r="N186" i="7"/>
  <c r="N202" i="7"/>
  <c r="N218" i="7"/>
  <c r="N234" i="7"/>
  <c r="N250" i="7"/>
  <c r="N266" i="7"/>
  <c r="N282" i="7"/>
  <c r="N298" i="7"/>
  <c r="N314" i="7"/>
  <c r="N330" i="7"/>
  <c r="N346" i="7"/>
  <c r="N362" i="7"/>
  <c r="N378" i="7"/>
  <c r="N394" i="7"/>
  <c r="N410" i="7"/>
  <c r="N426" i="7"/>
  <c r="N442" i="7"/>
  <c r="N458" i="7"/>
  <c r="N474" i="7"/>
  <c r="N490" i="7"/>
  <c r="N506" i="7"/>
  <c r="N15" i="7"/>
  <c r="N31" i="7"/>
  <c r="N47" i="7"/>
  <c r="N63" i="7"/>
  <c r="N79" i="7"/>
  <c r="N95" i="7"/>
  <c r="N111" i="7"/>
  <c r="N127" i="7"/>
  <c r="N143" i="7"/>
  <c r="N159" i="7"/>
  <c r="N175" i="7"/>
  <c r="N191" i="7"/>
  <c r="N207" i="7"/>
  <c r="N223" i="7"/>
  <c r="N239" i="7"/>
  <c r="N255" i="7"/>
  <c r="N271" i="7"/>
  <c r="N287" i="7"/>
  <c r="N303" i="7"/>
  <c r="N319" i="7"/>
  <c r="N335" i="7"/>
  <c r="N351" i="7"/>
  <c r="N367" i="7"/>
  <c r="N383" i="7"/>
  <c r="N399" i="7"/>
  <c r="N415" i="7"/>
  <c r="N431" i="7"/>
  <c r="N4" i="7"/>
  <c r="N36" i="7"/>
  <c r="N68" i="7"/>
  <c r="N100" i="7"/>
  <c r="N132" i="7"/>
  <c r="N164" i="7"/>
  <c r="N196" i="7"/>
  <c r="N228" i="7"/>
  <c r="N260" i="7"/>
  <c r="N292" i="7"/>
  <c r="N324" i="7"/>
  <c r="N356" i="7"/>
  <c r="N388" i="7"/>
  <c r="N420" i="7"/>
  <c r="N449" i="7"/>
  <c r="N471" i="7"/>
  <c r="N492" i="7"/>
  <c r="N512" i="7"/>
  <c r="N528" i="7"/>
  <c r="N544" i="7"/>
  <c r="N560" i="7"/>
  <c r="N576" i="7"/>
  <c r="N592" i="7"/>
  <c r="N608" i="7"/>
  <c r="N624" i="7"/>
  <c r="N640" i="7"/>
  <c r="N656" i="7"/>
  <c r="N672" i="7"/>
  <c r="N688" i="7"/>
  <c r="N704" i="7"/>
  <c r="N720" i="7"/>
  <c r="N736" i="7"/>
  <c r="N752" i="7"/>
  <c r="N29" i="7"/>
  <c r="N61" i="7"/>
  <c r="N93" i="7"/>
  <c r="N125" i="7"/>
  <c r="N157" i="7"/>
  <c r="N189" i="7"/>
  <c r="N221" i="7"/>
  <c r="N253" i="7"/>
  <c r="N285" i="7"/>
  <c r="N317" i="7"/>
  <c r="N349" i="7"/>
  <c r="N381" i="7"/>
  <c r="N413" i="7"/>
  <c r="N445" i="7"/>
  <c r="N467" i="7"/>
  <c r="N488" i="7"/>
  <c r="N509" i="7"/>
  <c r="N525" i="7"/>
  <c r="N541" i="7"/>
  <c r="N557" i="7"/>
  <c r="N573" i="7"/>
  <c r="N589" i="7"/>
  <c r="N605" i="7"/>
  <c r="N621" i="7"/>
  <c r="N637" i="7"/>
  <c r="N653" i="7"/>
  <c r="N669" i="7"/>
  <c r="N685" i="7"/>
  <c r="N701" i="7"/>
  <c r="N717" i="7"/>
  <c r="N733" i="7"/>
  <c r="N8" i="7"/>
  <c r="N72" i="7"/>
  <c r="N136" i="7"/>
  <c r="N200" i="7"/>
  <c r="N264" i="7"/>
  <c r="N328" i="7"/>
  <c r="N392" i="7"/>
  <c r="N452" i="7"/>
  <c r="N495" i="7"/>
  <c r="N530" i="7"/>
  <c r="N562" i="7"/>
  <c r="N594" i="7"/>
  <c r="N626" i="7"/>
  <c r="N658" i="7"/>
  <c r="N690" i="7"/>
  <c r="N722" i="7"/>
  <c r="N751" i="7"/>
  <c r="N768" i="7"/>
  <c r="N784" i="7"/>
  <c r="N800" i="7"/>
  <c r="N816" i="7"/>
  <c r="N832" i="7"/>
  <c r="N848" i="7"/>
  <c r="N864" i="7"/>
  <c r="N880" i="7"/>
  <c r="N896" i="7"/>
  <c r="N912" i="7"/>
  <c r="N928" i="7"/>
  <c r="N944" i="7"/>
  <c r="N960" i="7"/>
  <c r="N976" i="7"/>
  <c r="N992" i="7"/>
  <c r="N861" i="7"/>
  <c r="N889" i="7"/>
  <c r="N913" i="7"/>
  <c r="N937" i="7"/>
  <c r="N965" i="7"/>
  <c r="N989" i="7"/>
  <c r="N80" i="7"/>
  <c r="N176" i="7"/>
  <c r="N272" i="7"/>
  <c r="N384" i="7"/>
  <c r="N468" i="7"/>
  <c r="N526" i="7"/>
  <c r="N590" i="7"/>
  <c r="N638" i="7"/>
  <c r="N686" i="7"/>
  <c r="N734" i="7"/>
  <c r="N770" i="7"/>
  <c r="N794" i="7"/>
  <c r="N818" i="7"/>
  <c r="N842" i="7"/>
  <c r="N870" i="7"/>
  <c r="N894" i="7"/>
  <c r="N922" i="7"/>
  <c r="N950" i="7"/>
  <c r="N974" i="7"/>
  <c r="N998" i="7"/>
  <c r="N113" i="7"/>
  <c r="N209" i="7"/>
  <c r="N305" i="7"/>
  <c r="N417" i="7"/>
  <c r="N491" i="7"/>
  <c r="N543" i="7"/>
  <c r="N25" i="7"/>
  <c r="N89" i="7"/>
  <c r="N153" i="7"/>
  <c r="N217" i="7"/>
  <c r="N281" i="7"/>
  <c r="N345" i="7"/>
  <c r="N409" i="7"/>
  <c r="N464" i="7"/>
  <c r="N507" i="7"/>
  <c r="N539" i="7"/>
  <c r="N571" i="7"/>
  <c r="N603" i="7"/>
  <c r="N635" i="7"/>
  <c r="N667" i="7"/>
  <c r="N699" i="7"/>
  <c r="N731" i="7"/>
  <c r="N757" i="7"/>
  <c r="N773" i="7"/>
  <c r="N789" i="7"/>
  <c r="N805" i="7"/>
  <c r="N821" i="7"/>
  <c r="N837" i="7"/>
  <c r="N853" i="7"/>
  <c r="N897" i="7"/>
  <c r="N941" i="7"/>
  <c r="N981" i="7"/>
  <c r="N112" i="7"/>
  <c r="N288" i="7"/>
  <c r="N457" i="7"/>
  <c r="N550" i="7"/>
  <c r="N630" i="7"/>
  <c r="N718" i="7"/>
  <c r="N778" i="7"/>
  <c r="N826" i="7"/>
  <c r="N866" i="7"/>
  <c r="N906" i="7"/>
  <c r="N946" i="7"/>
  <c r="N994" i="7"/>
  <c r="N129" i="7"/>
  <c r="N321" i="7"/>
  <c r="N469" i="7"/>
  <c r="N575" i="7"/>
  <c r="N679" i="7"/>
  <c r="N779" i="7"/>
  <c r="N843" i="7"/>
  <c r="N907" i="7"/>
  <c r="N971" i="7"/>
  <c r="N911" i="7"/>
  <c r="N599" i="7"/>
  <c r="N787" i="7"/>
  <c r="N883" i="7"/>
  <c r="N979" i="7"/>
  <c r="N759" i="7"/>
  <c r="N855" i="7"/>
  <c r="N967" i="7"/>
  <c r="N655" i="7"/>
  <c r="N767" i="7"/>
  <c r="N831" i="7"/>
  <c r="N975" i="7"/>
  <c r="N819" i="7"/>
  <c r="N995" i="7"/>
  <c r="N823" i="7"/>
  <c r="N999" i="7"/>
  <c r="M14" i="7"/>
  <c r="M30" i="7"/>
  <c r="M46" i="7"/>
  <c r="M62" i="7"/>
  <c r="M78" i="7"/>
  <c r="M94" i="7"/>
  <c r="M110" i="7"/>
  <c r="M126" i="7"/>
  <c r="M142" i="7"/>
  <c r="M158" i="7"/>
  <c r="M174" i="7"/>
  <c r="M190" i="7"/>
  <c r="M206" i="7"/>
  <c r="M222" i="7"/>
  <c r="M238" i="7"/>
  <c r="M254" i="7"/>
  <c r="M270" i="7"/>
  <c r="M286" i="7"/>
  <c r="M302" i="7"/>
  <c r="M318" i="7"/>
  <c r="M334" i="7"/>
  <c r="M350" i="7"/>
  <c r="M366" i="7"/>
  <c r="M382" i="7"/>
  <c r="M398" i="7"/>
  <c r="M414" i="7"/>
  <c r="M430" i="7"/>
  <c r="M446" i="7"/>
  <c r="M462" i="7"/>
  <c r="M478" i="7"/>
  <c r="M494" i="7"/>
  <c r="M3" i="7"/>
  <c r="M19" i="7"/>
  <c r="M35" i="7"/>
  <c r="M51" i="7"/>
  <c r="M67" i="7"/>
  <c r="M83" i="7"/>
  <c r="M99" i="7"/>
  <c r="M115" i="7"/>
  <c r="M131" i="7"/>
  <c r="M147" i="7"/>
  <c r="M163" i="7"/>
  <c r="M179" i="7"/>
  <c r="M195" i="7"/>
  <c r="M211" i="7"/>
  <c r="M227" i="7"/>
  <c r="M243" i="7"/>
  <c r="M259" i="7"/>
  <c r="M275" i="7"/>
  <c r="M291" i="7"/>
  <c r="M307" i="7"/>
  <c r="M323" i="7"/>
  <c r="M339" i="7"/>
  <c r="M355" i="7"/>
  <c r="M371" i="7"/>
  <c r="M387" i="7"/>
  <c r="M403" i="7"/>
  <c r="M419" i="7"/>
  <c r="M435" i="7"/>
  <c r="M451" i="7"/>
  <c r="M467" i="7"/>
  <c r="M483" i="7"/>
  <c r="M499" i="7"/>
  <c r="M12" i="7"/>
  <c r="M44" i="7"/>
  <c r="M76" i="7"/>
  <c r="M108" i="7"/>
  <c r="M140" i="7"/>
  <c r="M172" i="7"/>
  <c r="M204" i="7"/>
  <c r="M236" i="7"/>
  <c r="M268" i="7"/>
  <c r="M300" i="7"/>
  <c r="M332" i="7"/>
  <c r="M364" i="7"/>
  <c r="M396" i="7"/>
  <c r="M428" i="7"/>
  <c r="M460" i="7"/>
  <c r="M492" i="7"/>
  <c r="M516" i="7"/>
  <c r="M532" i="7"/>
  <c r="M548" i="7"/>
  <c r="M564" i="7"/>
  <c r="M580" i="7"/>
  <c r="M596" i="7"/>
  <c r="M612" i="7"/>
  <c r="M628" i="7"/>
  <c r="M644" i="7"/>
  <c r="M660" i="7"/>
  <c r="M676" i="7"/>
  <c r="M692" i="7"/>
  <c r="M708" i="7"/>
  <c r="M724" i="7"/>
  <c r="M740" i="7"/>
  <c r="M756" i="7"/>
  <c r="M21" i="7"/>
  <c r="M53" i="7"/>
  <c r="M85" i="7"/>
  <c r="M117" i="7"/>
  <c r="M149" i="7"/>
  <c r="M181" i="7"/>
  <c r="M213" i="7"/>
  <c r="M245" i="7"/>
  <c r="M277" i="7"/>
  <c r="M309" i="7"/>
  <c r="M341" i="7"/>
  <c r="M373" i="7"/>
  <c r="M405" i="7"/>
  <c r="M437" i="7"/>
  <c r="M469" i="7"/>
  <c r="M501" i="7"/>
  <c r="M521" i="7"/>
  <c r="M537" i="7"/>
  <c r="M553" i="7"/>
  <c r="M569" i="7"/>
  <c r="M585" i="7"/>
  <c r="M601" i="7"/>
  <c r="M617" i="7"/>
  <c r="M633" i="7"/>
  <c r="M649" i="7"/>
  <c r="M665" i="7"/>
  <c r="M681" i="7"/>
  <c r="M697" i="7"/>
  <c r="M713" i="7"/>
  <c r="M729" i="7"/>
  <c r="M745" i="7"/>
  <c r="M761" i="7"/>
  <c r="M777" i="7"/>
  <c r="M793" i="7"/>
  <c r="M809" i="7"/>
  <c r="M825" i="7"/>
  <c r="M841" i="7"/>
  <c r="M8" i="7"/>
  <c r="M72" i="7"/>
  <c r="M136" i="7"/>
  <c r="M200" i="7"/>
  <c r="M264" i="7"/>
  <c r="M328" i="7"/>
  <c r="M392" i="7"/>
  <c r="M456" i="7"/>
  <c r="M514" i="7"/>
  <c r="M546" i="7"/>
  <c r="M578" i="7"/>
  <c r="M610" i="7"/>
  <c r="M642" i="7"/>
  <c r="M674" i="7"/>
  <c r="M706" i="7"/>
  <c r="M738" i="7"/>
  <c r="M767" i="7"/>
  <c r="M788" i="7"/>
  <c r="M810" i="7"/>
  <c r="M831" i="7"/>
  <c r="M852" i="7"/>
  <c r="M869" i="7"/>
  <c r="M885" i="7"/>
  <c r="M901" i="7"/>
  <c r="M917" i="7"/>
  <c r="M933" i="7"/>
  <c r="M949" i="7"/>
  <c r="M965" i="7"/>
  <c r="M981" i="7"/>
  <c r="M997" i="7"/>
  <c r="M938" i="7"/>
  <c r="M962" i="7"/>
  <c r="M990" i="7"/>
  <c r="M80" i="7"/>
  <c r="M192" i="7"/>
  <c r="M288" i="7"/>
  <c r="M400" i="7"/>
  <c r="M510" i="7"/>
  <c r="M574" i="7"/>
  <c r="M622" i="7"/>
  <c r="M678" i="7"/>
  <c r="M734" i="7"/>
  <c r="M775" i="7"/>
  <c r="M812" i="7"/>
  <c r="M850" i="7"/>
  <c r="M875" i="7"/>
  <c r="M903" i="7"/>
  <c r="M935" i="7"/>
  <c r="M963" i="7"/>
  <c r="M991" i="7"/>
  <c r="M81" i="7"/>
  <c r="M193" i="7"/>
  <c r="M289" i="7"/>
  <c r="M385" i="7"/>
  <c r="M511" i="7"/>
  <c r="M567" i="7"/>
  <c r="M623" i="7"/>
  <c r="M679" i="7"/>
  <c r="M727" i="7"/>
  <c r="M771" i="7"/>
  <c r="M808" i="7"/>
  <c r="M846" i="7"/>
  <c r="M872" i="7"/>
  <c r="M900" i="7"/>
  <c r="M25" i="7"/>
  <c r="M89" i="7"/>
  <c r="M153" i="7"/>
  <c r="M217" i="7"/>
  <c r="M281" i="7"/>
  <c r="M345" i="7"/>
  <c r="M409" i="7"/>
  <c r="M473" i="7"/>
  <c r="M523" i="7"/>
  <c r="M555" i="7"/>
  <c r="M587" i="7"/>
  <c r="M619" i="7"/>
  <c r="M651" i="7"/>
  <c r="M683" i="7"/>
  <c r="M715" i="7"/>
  <c r="M747" i="7"/>
  <c r="M774" i="7"/>
  <c r="M795" i="7"/>
  <c r="M816" i="7"/>
  <c r="M838" i="7"/>
  <c r="M858" i="7"/>
  <c r="M874" i="7"/>
  <c r="M890" i="7"/>
  <c r="M906" i="7"/>
  <c r="M934" i="7"/>
  <c r="M978" i="7"/>
  <c r="M64" i="7"/>
  <c r="M224" i="7"/>
  <c r="M368" i="7"/>
  <c r="M518" i="7"/>
  <c r="M590" i="7"/>
  <c r="M670" i="7"/>
  <c r="M750" i="7"/>
  <c r="M807" i="7"/>
  <c r="M859" i="7"/>
  <c r="M899" i="7"/>
  <c r="M931" i="7"/>
  <c r="M967" i="7"/>
  <c r="M33" i="7"/>
  <c r="M177" i="7"/>
  <c r="M353" i="7"/>
  <c r="M481" i="7"/>
  <c r="M575" i="7"/>
  <c r="M655" i="7"/>
  <c r="M735" i="7"/>
  <c r="M803" i="7"/>
  <c r="M856" i="7"/>
  <c r="M896" i="7"/>
  <c r="M936" i="7"/>
  <c r="M1000" i="7"/>
  <c r="M976" i="7"/>
  <c r="M996" i="7"/>
  <c r="M928" i="7"/>
  <c r="L2" i="7"/>
  <c r="L18" i="7"/>
  <c r="L34" i="7"/>
  <c r="L50" i="7"/>
  <c r="L66" i="7"/>
  <c r="L82" i="7"/>
  <c r="L98" i="7"/>
  <c r="L114" i="7"/>
  <c r="L130" i="7"/>
  <c r="L146" i="7"/>
  <c r="L162" i="7"/>
  <c r="L178" i="7"/>
  <c r="L194" i="7"/>
  <c r="L210" i="7"/>
  <c r="L226" i="7"/>
  <c r="L242" i="7"/>
  <c r="L258" i="7"/>
  <c r="L274" i="7"/>
  <c r="L290" i="7"/>
  <c r="L306" i="7"/>
  <c r="L322" i="7"/>
  <c r="L338" i="7"/>
  <c r="L354" i="7"/>
  <c r="L370" i="7"/>
  <c r="L386" i="7"/>
  <c r="L402" i="7"/>
  <c r="L418" i="7"/>
  <c r="L434" i="7"/>
  <c r="L450" i="7"/>
  <c r="L466" i="7"/>
  <c r="L482" i="7"/>
  <c r="L498" i="7"/>
  <c r="L7" i="7"/>
  <c r="L23" i="7"/>
  <c r="L39" i="7"/>
  <c r="L55" i="7"/>
  <c r="L71" i="7"/>
  <c r="L87" i="7"/>
  <c r="L103" i="7"/>
  <c r="L119" i="7"/>
  <c r="L135" i="7"/>
  <c r="L151" i="7"/>
  <c r="L167" i="7"/>
  <c r="L183" i="7"/>
  <c r="L199" i="7"/>
  <c r="L215" i="7"/>
  <c r="L231" i="7"/>
  <c r="L247" i="7"/>
  <c r="L263" i="7"/>
  <c r="L279" i="7"/>
  <c r="L295" i="7"/>
  <c r="L311" i="7"/>
  <c r="L327" i="7"/>
  <c r="L343" i="7"/>
  <c r="L359" i="7"/>
  <c r="L375" i="7"/>
  <c r="L391" i="7"/>
  <c r="L407" i="7"/>
  <c r="L423" i="7"/>
  <c r="L439" i="7"/>
  <c r="L455" i="7"/>
  <c r="L471" i="7"/>
  <c r="L487" i="7"/>
  <c r="L503" i="7"/>
  <c r="L12" i="7"/>
  <c r="L28" i="7"/>
  <c r="L44" i="7"/>
  <c r="L60" i="7"/>
  <c r="L76" i="7"/>
  <c r="L92" i="7"/>
  <c r="L108" i="7"/>
  <c r="L124" i="7"/>
  <c r="L140" i="7"/>
  <c r="L156" i="7"/>
  <c r="L172" i="7"/>
  <c r="L188" i="7"/>
  <c r="L204" i="7"/>
  <c r="L220" i="7"/>
  <c r="L236" i="7"/>
  <c r="L252" i="7"/>
  <c r="L268" i="7"/>
  <c r="L284" i="7"/>
  <c r="L300" i="7"/>
  <c r="L316" i="7"/>
  <c r="L332" i="7"/>
  <c r="L348" i="7"/>
  <c r="L364" i="7"/>
  <c r="L380" i="7"/>
  <c r="L396" i="7"/>
  <c r="L412" i="7"/>
  <c r="L428" i="7"/>
  <c r="L444" i="7"/>
  <c r="L460" i="7"/>
  <c r="L476" i="7"/>
  <c r="L5" i="7"/>
  <c r="L69" i="7"/>
  <c r="L133" i="7"/>
  <c r="L197" i="7"/>
  <c r="L261" i="7"/>
  <c r="L325" i="7"/>
  <c r="L389" i="7"/>
  <c r="L453" i="7"/>
  <c r="L504" i="7"/>
  <c r="L522" i="7"/>
  <c r="L538" i="7"/>
  <c r="L554" i="7"/>
  <c r="L570" i="7"/>
  <c r="L586" i="7"/>
  <c r="L602" i="7"/>
  <c r="L618" i="7"/>
  <c r="L634" i="7"/>
  <c r="L650" i="7"/>
  <c r="L666" i="7"/>
  <c r="L682" i="7"/>
  <c r="L698" i="7"/>
  <c r="L714" i="7"/>
  <c r="L730" i="7"/>
  <c r="L746" i="7"/>
  <c r="L762" i="7"/>
  <c r="L778" i="7"/>
  <c r="L794" i="7"/>
  <c r="L810" i="7"/>
  <c r="L826" i="7"/>
  <c r="L842" i="7"/>
  <c r="L858" i="7"/>
  <c r="L874" i="7"/>
  <c r="L890" i="7"/>
  <c r="L25" i="7"/>
  <c r="L89" i="7"/>
  <c r="L153" i="7"/>
  <c r="L217" i="7"/>
  <c r="L281" i="7"/>
  <c r="L345" i="7"/>
  <c r="L409" i="7"/>
  <c r="L473" i="7"/>
  <c r="L511" i="7"/>
  <c r="L527" i="7"/>
  <c r="L543" i="7"/>
  <c r="L559" i="7"/>
  <c r="L575" i="7"/>
  <c r="L591" i="7"/>
  <c r="L607" i="7"/>
  <c r="L623" i="7"/>
  <c r="L639" i="7"/>
  <c r="L655" i="7"/>
  <c r="L671" i="7"/>
  <c r="L687" i="7"/>
  <c r="L703" i="7"/>
  <c r="L719" i="7"/>
  <c r="L735" i="7"/>
  <c r="L751" i="7"/>
  <c r="L767" i="7"/>
  <c r="L783" i="7"/>
  <c r="L799" i="7"/>
  <c r="L815" i="7"/>
  <c r="L831" i="7"/>
  <c r="L847" i="7"/>
  <c r="L61" i="7"/>
  <c r="L125" i="7"/>
  <c r="L189" i="7"/>
  <c r="L253" i="7"/>
  <c r="L317" i="7"/>
  <c r="L381" i="7"/>
  <c r="L445" i="7"/>
  <c r="L500" i="7"/>
  <c r="L520" i="7"/>
  <c r="L536" i="7"/>
  <c r="L552" i="7"/>
  <c r="L568" i="7"/>
  <c r="L584" i="7"/>
  <c r="L600" i="7"/>
  <c r="L616" i="7"/>
  <c r="L632" i="7"/>
  <c r="L648" i="7"/>
  <c r="L664" i="7"/>
  <c r="L680" i="7"/>
  <c r="L696" i="7"/>
  <c r="L712" i="7"/>
  <c r="L728" i="7"/>
  <c r="L744" i="7"/>
  <c r="L760" i="7"/>
  <c r="L776" i="7"/>
  <c r="L792" i="7"/>
  <c r="L808" i="7"/>
  <c r="L824" i="7"/>
  <c r="L840" i="7"/>
  <c r="L856" i="7"/>
  <c r="L872" i="7"/>
  <c r="L17" i="7"/>
  <c r="L273" i="7"/>
  <c r="L509" i="7"/>
  <c r="L573" i="7"/>
  <c r="L637" i="7"/>
  <c r="L701" i="7"/>
  <c r="L765" i="7"/>
  <c r="L829" i="7"/>
  <c r="L871" i="7"/>
  <c r="L897" i="7"/>
  <c r="L914" i="7"/>
  <c r="L930" i="7"/>
  <c r="L946" i="7"/>
  <c r="L962" i="7"/>
  <c r="L978" i="7"/>
  <c r="L994" i="7"/>
  <c r="L983" i="7"/>
  <c r="L904" i="7"/>
  <c r="L932" i="7"/>
  <c r="L968" i="7"/>
  <c r="L996" i="7"/>
  <c r="L449" i="7"/>
  <c r="L585" i="7"/>
  <c r="L713" i="7"/>
  <c r="L825" i="7"/>
  <c r="L885" i="7"/>
  <c r="L917" i="7"/>
  <c r="L941" i="7"/>
  <c r="L969" i="7"/>
  <c r="L993" i="7"/>
  <c r="L161" i="7"/>
  <c r="L417" i="7"/>
  <c r="L545" i="7"/>
  <c r="L609" i="7"/>
  <c r="L673" i="7"/>
  <c r="L737" i="7"/>
  <c r="L801" i="7"/>
  <c r="L857" i="7"/>
  <c r="L888" i="7"/>
  <c r="L907" i="7"/>
  <c r="L923" i="7"/>
  <c r="L939" i="7"/>
  <c r="L955" i="7"/>
  <c r="L979" i="7"/>
  <c r="L908" i="7"/>
  <c r="L944" i="7"/>
  <c r="L976" i="7"/>
  <c r="L129" i="7"/>
  <c r="L553" i="7"/>
  <c r="L697" i="7"/>
  <c r="L841" i="7"/>
  <c r="L909" i="7"/>
  <c r="L957" i="7"/>
  <c r="L49" i="7"/>
  <c r="L305" i="7"/>
  <c r="L517" i="7"/>
  <c r="L581" i="7"/>
  <c r="L645" i="7"/>
  <c r="L709" i="7"/>
  <c r="L773" i="7"/>
  <c r="AA821" i="7"/>
  <c r="Z848" i="7"/>
  <c r="Y184" i="7"/>
  <c r="Y868" i="7"/>
  <c r="Y894" i="7"/>
  <c r="X459" i="7"/>
  <c r="X868" i="7"/>
  <c r="X711" i="7"/>
  <c r="X989" i="7"/>
  <c r="W294" i="7"/>
  <c r="W299" i="7"/>
  <c r="W556" i="7"/>
  <c r="W109" i="7"/>
  <c r="W504" i="7"/>
  <c r="W886" i="7"/>
  <c r="W573" i="7"/>
  <c r="W914" i="7"/>
  <c r="W601" i="7"/>
  <c r="W942" i="7"/>
  <c r="W634" i="7"/>
  <c r="W975" i="7"/>
  <c r="V238" i="7"/>
  <c r="V7" i="7"/>
  <c r="V263" i="7"/>
  <c r="V20" i="7"/>
  <c r="V515" i="7"/>
  <c r="V29" i="7"/>
  <c r="V513" i="7"/>
  <c r="V830" i="7"/>
  <c r="V828" i="7"/>
  <c r="V557" i="7"/>
  <c r="V863" i="7"/>
  <c r="V384" i="7"/>
  <c r="V884" i="7"/>
  <c r="V312" i="7"/>
  <c r="V656" i="7"/>
  <c r="U82" i="7"/>
  <c r="U338" i="7"/>
  <c r="U95" i="7"/>
  <c r="U351" i="7"/>
  <c r="U196" i="7"/>
  <c r="U69" i="7"/>
  <c r="U543" i="7"/>
  <c r="U80" i="7"/>
  <c r="U548" i="7"/>
  <c r="U329" i="7"/>
  <c r="U884" i="7"/>
  <c r="U369" i="7"/>
  <c r="U889" i="7"/>
  <c r="U377" i="7"/>
  <c r="U257" i="7"/>
  <c r="U855" i="7"/>
  <c r="T134" i="7"/>
  <c r="T262" i="7"/>
  <c r="T31" i="7"/>
  <c r="T159" i="7"/>
  <c r="T287" i="7"/>
  <c r="T415" i="7"/>
  <c r="T36" i="7"/>
  <c r="T164" i="7"/>
  <c r="T292" i="7"/>
  <c r="T420" i="7"/>
  <c r="T165" i="7"/>
  <c r="T513" i="7"/>
  <c r="T641" i="7"/>
  <c r="T769" i="7"/>
  <c r="T241" i="7"/>
  <c r="T575" i="7"/>
  <c r="T746" i="7"/>
  <c r="T900" i="7"/>
  <c r="T141" i="7"/>
  <c r="T539" i="7"/>
  <c r="T656" i="7"/>
  <c r="T768" i="7"/>
  <c r="T873" i="7"/>
  <c r="T17" i="7"/>
  <c r="T572" i="7"/>
  <c r="T796" i="7"/>
  <c r="T961" i="7"/>
  <c r="T413" i="7"/>
  <c r="T870" i="7"/>
  <c r="T579" i="7"/>
  <c r="T981" i="7"/>
  <c r="T469" i="7"/>
  <c r="T659" i="7"/>
  <c r="T830" i="7"/>
  <c r="T967" i="7"/>
  <c r="T588" i="7"/>
  <c r="T862" i="7"/>
  <c r="T301" i="7"/>
  <c r="T707" i="7"/>
  <c r="T951" i="7"/>
  <c r="S46" i="7"/>
  <c r="S110" i="7"/>
  <c r="S174" i="7"/>
  <c r="S238" i="7"/>
  <c r="S302" i="7"/>
  <c r="S366" i="7"/>
  <c r="S430" i="7"/>
  <c r="S494" i="7"/>
  <c r="S51" i="7"/>
  <c r="S115" i="7"/>
  <c r="S179" i="7"/>
  <c r="S243" i="7"/>
  <c r="S307" i="7"/>
  <c r="S371" i="7"/>
  <c r="S435" i="7"/>
  <c r="S499" i="7"/>
  <c r="S60" i="7"/>
  <c r="S124" i="7"/>
  <c r="S188" i="7"/>
  <c r="S252" i="7"/>
  <c r="S316" i="7"/>
  <c r="S380" i="7"/>
  <c r="S444" i="7"/>
  <c r="S117" i="7"/>
  <c r="S373" i="7"/>
  <c r="S530" i="7"/>
  <c r="S594" i="7"/>
  <c r="S658" i="7"/>
  <c r="S25" i="7"/>
  <c r="S281" i="7"/>
  <c r="S507" i="7"/>
  <c r="S571" i="7"/>
  <c r="S635" i="7"/>
  <c r="S699" i="7"/>
  <c r="S763" i="7"/>
  <c r="S827" i="7"/>
  <c r="S77" i="7"/>
  <c r="S520" i="7"/>
  <c r="S648" i="7"/>
  <c r="S756" i="7"/>
  <c r="S841" i="7"/>
  <c r="S915" i="7"/>
  <c r="S979" i="7"/>
  <c r="S337" i="7"/>
  <c r="S585" i="7"/>
  <c r="S713" i="7"/>
  <c r="S800" i="7"/>
  <c r="S884" i="7"/>
  <c r="S948" i="7"/>
  <c r="S93" i="7"/>
  <c r="S524" i="7"/>
  <c r="S652" i="7"/>
  <c r="S417" i="7"/>
  <c r="S818" i="7"/>
  <c r="S962" i="7"/>
  <c r="S733" i="7"/>
  <c r="S901" i="7"/>
  <c r="S480" i="7"/>
  <c r="S824" i="7"/>
  <c r="S966" i="7"/>
  <c r="S742" i="7"/>
  <c r="S905" i="7"/>
  <c r="R18" i="7"/>
  <c r="R82" i="7"/>
  <c r="R146" i="7"/>
  <c r="R210" i="7"/>
  <c r="R274" i="7"/>
  <c r="R338" i="7"/>
  <c r="R402" i="7"/>
  <c r="R7" i="7"/>
  <c r="R71" i="7"/>
  <c r="R135" i="7"/>
  <c r="R199" i="7"/>
  <c r="R263" i="7"/>
  <c r="R327" i="7"/>
  <c r="R391" i="7"/>
  <c r="R455" i="7"/>
  <c r="R20" i="7"/>
  <c r="R148" i="7"/>
  <c r="R276" i="7"/>
  <c r="R404" i="7"/>
  <c r="R508" i="7"/>
  <c r="R572" i="7"/>
  <c r="R636" i="7"/>
  <c r="R700" i="7"/>
  <c r="R29" i="7"/>
  <c r="R157" i="7"/>
  <c r="R285" i="7"/>
  <c r="R413" i="7"/>
  <c r="R513" i="7"/>
  <c r="R577" i="7"/>
  <c r="R641" i="7"/>
  <c r="R705" i="7"/>
  <c r="R769" i="7"/>
  <c r="R833" i="7"/>
  <c r="R897" i="7"/>
  <c r="R961" i="7"/>
  <c r="R56" i="7"/>
  <c r="R312" i="7"/>
  <c r="R526" i="7"/>
  <c r="R654" i="7"/>
  <c r="R771" i="7"/>
  <c r="R830" i="7"/>
  <c r="R872" i="7"/>
  <c r="R915" i="7"/>
  <c r="R958" i="7"/>
  <c r="R1000" i="7"/>
  <c r="R848" i="7"/>
  <c r="R950" i="7"/>
  <c r="R193" i="7"/>
  <c r="R506" i="7"/>
  <c r="R667" i="7"/>
  <c r="R802" i="7"/>
  <c r="R914" i="7"/>
  <c r="R137" i="7"/>
  <c r="R265" i="7"/>
  <c r="R393" i="7"/>
  <c r="R501" i="7"/>
  <c r="R567" i="7"/>
  <c r="R631" i="7"/>
  <c r="R695" i="7"/>
  <c r="R756" i="7"/>
  <c r="R799" i="7"/>
  <c r="R842" i="7"/>
  <c r="R884" i="7"/>
  <c r="R927" i="7"/>
  <c r="R970" i="7"/>
  <c r="R64" i="7"/>
  <c r="R192" i="7"/>
  <c r="R320" i="7"/>
  <c r="R448" i="7"/>
  <c r="R530" i="7"/>
  <c r="R594" i="7"/>
  <c r="R658" i="7"/>
  <c r="R722" i="7"/>
  <c r="R795" i="7"/>
  <c r="R864" i="7"/>
  <c r="R934" i="7"/>
  <c r="R49" i="7"/>
  <c r="R257" i="7"/>
  <c r="R464" i="7"/>
  <c r="R579" i="7"/>
  <c r="R683" i="7"/>
  <c r="R780" i="7"/>
  <c r="R844" i="7"/>
  <c r="R919" i="7"/>
  <c r="R946" i="7"/>
  <c r="Q2" i="7"/>
  <c r="Q34" i="7"/>
  <c r="Q66" i="7"/>
  <c r="Q98" i="7"/>
  <c r="Q130" i="7"/>
  <c r="Q162" i="7"/>
  <c r="Q194" i="7"/>
  <c r="Q226" i="7"/>
  <c r="Q258" i="7"/>
  <c r="Q290" i="7"/>
  <c r="Q322" i="7"/>
  <c r="Q354" i="7"/>
  <c r="Q386" i="7"/>
  <c r="Q418" i="7"/>
  <c r="Q450" i="7"/>
  <c r="Q482" i="7"/>
  <c r="Q11" i="7"/>
  <c r="Q43" i="7"/>
  <c r="Q75" i="7"/>
  <c r="Q107" i="7"/>
  <c r="Q139" i="7"/>
  <c r="Q171" i="7"/>
  <c r="Q203" i="7"/>
  <c r="Q235" i="7"/>
  <c r="Q267" i="7"/>
  <c r="Q299" i="7"/>
  <c r="Q331" i="7"/>
  <c r="Q363" i="7"/>
  <c r="Q395" i="7"/>
  <c r="Q427" i="7"/>
  <c r="Q459" i="7"/>
  <c r="Q491" i="7"/>
  <c r="Q16" i="7"/>
  <c r="Q48" i="7"/>
  <c r="Q80" i="7"/>
  <c r="Q112" i="7"/>
  <c r="Q144" i="7"/>
  <c r="Q176" i="7"/>
  <c r="Q208" i="7"/>
  <c r="Q240" i="7"/>
  <c r="Q272" i="7"/>
  <c r="Q304" i="7"/>
  <c r="Q336" i="7"/>
  <c r="Q368" i="7"/>
  <c r="Q400" i="7"/>
  <c r="Q432" i="7"/>
  <c r="Q464" i="7"/>
  <c r="Q496" i="7"/>
  <c r="Q117" i="7"/>
  <c r="Q245" i="7"/>
  <c r="Q373" i="7"/>
  <c r="Q500" i="7"/>
  <c r="Q535" i="7"/>
  <c r="Q567" i="7"/>
  <c r="Q599" i="7"/>
  <c r="Q631" i="7"/>
  <c r="Q663" i="7"/>
  <c r="Q695" i="7"/>
  <c r="Q727" i="7"/>
  <c r="Q759" i="7"/>
  <c r="Q791" i="7"/>
  <c r="Q823" i="7"/>
  <c r="Q855" i="7"/>
  <c r="Q9" i="7"/>
  <c r="Q137" i="7"/>
  <c r="Q265" i="7"/>
  <c r="Q393" i="7"/>
  <c r="Q508" i="7"/>
  <c r="Q540" i="7"/>
  <c r="Q572" i="7"/>
  <c r="Q604" i="7"/>
  <c r="Q636" i="7"/>
  <c r="Q668" i="7"/>
  <c r="Q700" i="7"/>
  <c r="Q732" i="7"/>
  <c r="Q764" i="7"/>
  <c r="Q796" i="7"/>
  <c r="Q828" i="7"/>
  <c r="Q860" i="7"/>
  <c r="Q876" i="7"/>
  <c r="Q45" i="7"/>
  <c r="Q173" i="7"/>
  <c r="Q301" i="7"/>
  <c r="Q429" i="7"/>
  <c r="Q517" i="7"/>
  <c r="Q549" i="7"/>
  <c r="Q581" i="7"/>
  <c r="Q613" i="7"/>
  <c r="Q645" i="7"/>
  <c r="Q677" i="7"/>
  <c r="Q709" i="7"/>
  <c r="Q741" i="7"/>
  <c r="Q773" i="7"/>
  <c r="Q805" i="7"/>
  <c r="Q837" i="7"/>
  <c r="Q869" i="7"/>
  <c r="Q893" i="7"/>
  <c r="Q909" i="7"/>
  <c r="Q925" i="7"/>
  <c r="Q941" i="7"/>
  <c r="Q957" i="7"/>
  <c r="Q973" i="7"/>
  <c r="Q989" i="7"/>
  <c r="Q93" i="7"/>
  <c r="Q381" i="7"/>
  <c r="Q537" i="7"/>
  <c r="Q593" i="7"/>
  <c r="Q665" i="7"/>
  <c r="Q729" i="7"/>
  <c r="Q793" i="7"/>
  <c r="Q857" i="7"/>
  <c r="Q903" i="7"/>
  <c r="Q939" i="7"/>
  <c r="Q967" i="7"/>
  <c r="Q33" i="7"/>
  <c r="Q257" i="7"/>
  <c r="Q514" i="7"/>
  <c r="Q578" i="7"/>
  <c r="Q642" i="7"/>
  <c r="Q706" i="7"/>
  <c r="Q770" i="7"/>
  <c r="Q834" i="7"/>
  <c r="Q892" i="7"/>
  <c r="Q928" i="7"/>
  <c r="Q960" i="7"/>
  <c r="Q992" i="7"/>
  <c r="Q81" i="7"/>
  <c r="Q209" i="7"/>
  <c r="Q337" i="7"/>
  <c r="Q465" i="7"/>
  <c r="Q526" i="7"/>
  <c r="Q558" i="7"/>
  <c r="Q590" i="7"/>
  <c r="Q622" i="7"/>
  <c r="Q654" i="7"/>
  <c r="Q686" i="7"/>
  <c r="Q718" i="7"/>
  <c r="Q750" i="7"/>
  <c r="Q782" i="7"/>
  <c r="Q814" i="7"/>
  <c r="Q846" i="7"/>
  <c r="Q878" i="7"/>
  <c r="Q898" i="7"/>
  <c r="Q914" i="7"/>
  <c r="Q930" i="7"/>
  <c r="Q946" i="7"/>
  <c r="Q962" i="7"/>
  <c r="Q978" i="7"/>
  <c r="Q994" i="7"/>
  <c r="Q157" i="7"/>
  <c r="Q413" i="7"/>
  <c r="Q553" i="7"/>
  <c r="Q617" i="7"/>
  <c r="Q673" i="7"/>
  <c r="Q737" i="7"/>
  <c r="Q801" i="7"/>
  <c r="Q865" i="7"/>
  <c r="Q907" i="7"/>
  <c r="Q935" i="7"/>
  <c r="Q971" i="7"/>
  <c r="Q999" i="7"/>
  <c r="Q289" i="7"/>
  <c r="Q505" i="7"/>
  <c r="Q570" i="7"/>
  <c r="Q634" i="7"/>
  <c r="Q698" i="7"/>
  <c r="Q762" i="7"/>
  <c r="Q826" i="7"/>
  <c r="Q888" i="7"/>
  <c r="Q920" i="7"/>
  <c r="Q948" i="7"/>
  <c r="Q980" i="7"/>
  <c r="P6" i="7"/>
  <c r="P22" i="7"/>
  <c r="P38" i="7"/>
  <c r="P54" i="7"/>
  <c r="P70" i="7"/>
  <c r="P86" i="7"/>
  <c r="P102" i="7"/>
  <c r="P118" i="7"/>
  <c r="P134" i="7"/>
  <c r="P150" i="7"/>
  <c r="P166" i="7"/>
  <c r="P182" i="7"/>
  <c r="P198" i="7"/>
  <c r="P214" i="7"/>
  <c r="P230" i="7"/>
  <c r="P246" i="7"/>
  <c r="P262" i="7"/>
  <c r="P278" i="7"/>
  <c r="P294" i="7"/>
  <c r="P310" i="7"/>
  <c r="P326" i="7"/>
  <c r="P342" i="7"/>
  <c r="P358" i="7"/>
  <c r="P374" i="7"/>
  <c r="P390" i="7"/>
  <c r="P406" i="7"/>
  <c r="P422" i="7"/>
  <c r="P438" i="7"/>
  <c r="P454" i="7"/>
  <c r="P470" i="7"/>
  <c r="P486" i="7"/>
  <c r="P502" i="7"/>
  <c r="P11" i="7"/>
  <c r="P27" i="7"/>
  <c r="P43" i="7"/>
  <c r="P59" i="7"/>
  <c r="P75" i="7"/>
  <c r="P91" i="7"/>
  <c r="P107" i="7"/>
  <c r="P123" i="7"/>
  <c r="P139" i="7"/>
  <c r="P155" i="7"/>
  <c r="P171" i="7"/>
  <c r="P187" i="7"/>
  <c r="P203" i="7"/>
  <c r="P219" i="7"/>
  <c r="P235" i="7"/>
  <c r="P251" i="7"/>
  <c r="P267" i="7"/>
  <c r="P283" i="7"/>
  <c r="P299" i="7"/>
  <c r="P315" i="7"/>
  <c r="P331" i="7"/>
  <c r="P347" i="7"/>
  <c r="P363" i="7"/>
  <c r="P379" i="7"/>
  <c r="P395" i="7"/>
  <c r="P411" i="7"/>
  <c r="P427" i="7"/>
  <c r="P443" i="7"/>
  <c r="P459" i="7"/>
  <c r="P475" i="7"/>
  <c r="P491" i="7"/>
  <c r="P16" i="7"/>
  <c r="P32" i="7"/>
  <c r="P48" i="7"/>
  <c r="P64" i="7"/>
  <c r="P80" i="7"/>
  <c r="P96" i="7"/>
  <c r="P112" i="7"/>
  <c r="P128" i="7"/>
  <c r="P144" i="7"/>
  <c r="P160" i="7"/>
  <c r="P176" i="7"/>
  <c r="P192" i="7"/>
  <c r="P208" i="7"/>
  <c r="P224" i="7"/>
  <c r="P240" i="7"/>
  <c r="P256" i="7"/>
  <c r="P272" i="7"/>
  <c r="P288" i="7"/>
  <c r="P304" i="7"/>
  <c r="P320" i="7"/>
  <c r="P336" i="7"/>
  <c r="P352" i="7"/>
  <c r="P368" i="7"/>
  <c r="P384" i="7"/>
  <c r="P400" i="7"/>
  <c r="P416" i="7"/>
  <c r="P432" i="7"/>
  <c r="P448" i="7"/>
  <c r="P464" i="7"/>
  <c r="P480" i="7"/>
  <c r="P496" i="7"/>
  <c r="P5" i="7"/>
  <c r="P69" i="7"/>
  <c r="P133" i="7"/>
  <c r="P197" i="7"/>
  <c r="P261" i="7"/>
  <c r="P325" i="7"/>
  <c r="P389" i="7"/>
  <c r="P453" i="7"/>
  <c r="P505" i="7"/>
  <c r="P523" i="7"/>
  <c r="P539" i="7"/>
  <c r="P555" i="7"/>
  <c r="P571" i="7"/>
  <c r="P587" i="7"/>
  <c r="P603" i="7"/>
  <c r="P619" i="7"/>
  <c r="P635" i="7"/>
  <c r="P651" i="7"/>
  <c r="P667" i="7"/>
  <c r="P683" i="7"/>
  <c r="P699" i="7"/>
  <c r="P715" i="7"/>
  <c r="P731" i="7"/>
  <c r="P747" i="7"/>
  <c r="P763" i="7"/>
  <c r="P779" i="7"/>
  <c r="P795" i="7"/>
  <c r="P811" i="7"/>
  <c r="P827" i="7"/>
  <c r="P843" i="7"/>
  <c r="P859" i="7"/>
  <c r="P875" i="7"/>
  <c r="P891" i="7"/>
  <c r="P907" i="7"/>
  <c r="P923" i="7"/>
  <c r="P939" i="7"/>
  <c r="P955" i="7"/>
  <c r="P971" i="7"/>
  <c r="P987" i="7"/>
  <c r="P840" i="7"/>
  <c r="P868" i="7"/>
  <c r="P892" i="7"/>
  <c r="P920" i="7"/>
  <c r="P944" i="7"/>
  <c r="P9" i="7"/>
  <c r="P73" i="7"/>
  <c r="P137" i="7"/>
  <c r="P201" i="7"/>
  <c r="P265" i="7"/>
  <c r="P329" i="7"/>
  <c r="P393" i="7"/>
  <c r="P457" i="7"/>
  <c r="P507" i="7"/>
  <c r="P524" i="7"/>
  <c r="P540" i="7"/>
  <c r="P556" i="7"/>
  <c r="P572" i="7"/>
  <c r="P588" i="7"/>
  <c r="P604" i="7"/>
  <c r="P620" i="7"/>
  <c r="P636" i="7"/>
  <c r="P652" i="7"/>
  <c r="P668" i="7"/>
  <c r="P684" i="7"/>
  <c r="P700" i="7"/>
  <c r="P716" i="7"/>
  <c r="P732" i="7"/>
  <c r="P748" i="7"/>
  <c r="P764" i="7"/>
  <c r="P780" i="7"/>
  <c r="P796" i="7"/>
  <c r="P812" i="7"/>
  <c r="P828" i="7"/>
  <c r="P852" i="7"/>
  <c r="P896" i="7"/>
  <c r="P940" i="7"/>
  <c r="P45" i="7"/>
  <c r="P173" i="7"/>
  <c r="P301" i="7"/>
  <c r="P429" i="7"/>
  <c r="P517" i="7"/>
  <c r="P549" i="7"/>
  <c r="P581" i="7"/>
  <c r="P613" i="7"/>
  <c r="P645" i="7"/>
  <c r="P677" i="7"/>
  <c r="P709" i="7"/>
  <c r="P741" i="7"/>
  <c r="P773" i="7"/>
  <c r="P805" i="7"/>
  <c r="P837" i="7"/>
  <c r="P869" i="7"/>
  <c r="P901" i="7"/>
  <c r="P933" i="7"/>
  <c r="P965" i="7"/>
  <c r="P986" i="7"/>
  <c r="P798" i="7"/>
  <c r="P846" i="7"/>
  <c r="P902" i="7"/>
  <c r="P950" i="7"/>
  <c r="P993" i="7"/>
  <c r="P157" i="7"/>
  <c r="P349" i="7"/>
  <c r="P521" i="7"/>
  <c r="P569" i="7"/>
  <c r="P625" i="7"/>
  <c r="P673" i="7"/>
  <c r="P729" i="7"/>
  <c r="P777" i="7"/>
  <c r="P825" i="7"/>
  <c r="P881" i="7"/>
  <c r="P929" i="7"/>
  <c r="P978" i="7"/>
  <c r="P65" i="7"/>
  <c r="P257" i="7"/>
  <c r="P481" i="7"/>
  <c r="P546" i="7"/>
  <c r="P602" i="7"/>
  <c r="P650" i="7"/>
  <c r="P706" i="7"/>
  <c r="P754" i="7"/>
  <c r="P802" i="7"/>
  <c r="P858" i="7"/>
  <c r="P906" i="7"/>
  <c r="P962" i="7"/>
  <c r="P996" i="7"/>
  <c r="P113" i="7"/>
  <c r="P241" i="7"/>
  <c r="P369" i="7"/>
  <c r="P495" i="7"/>
  <c r="P534" i="7"/>
  <c r="P566" i="7"/>
  <c r="P598" i="7"/>
  <c r="P630" i="7"/>
  <c r="P662" i="7"/>
  <c r="P694" i="7"/>
  <c r="P726" i="7"/>
  <c r="P758" i="7"/>
  <c r="P806" i="7"/>
  <c r="P894" i="7"/>
  <c r="P977" i="7"/>
  <c r="P189" i="7"/>
  <c r="P513" i="7"/>
  <c r="P593" i="7"/>
  <c r="P681" i="7"/>
  <c r="P769" i="7"/>
  <c r="P857" i="7"/>
  <c r="P937" i="7"/>
  <c r="P33" i="7"/>
  <c r="P385" i="7"/>
  <c r="P554" i="7"/>
  <c r="P634" i="7"/>
  <c r="P722" i="7"/>
  <c r="P810" i="7"/>
  <c r="P890" i="7"/>
  <c r="P974" i="7"/>
  <c r="O10" i="7"/>
  <c r="O26" i="7"/>
  <c r="O42" i="7"/>
  <c r="O58" i="7"/>
  <c r="O74" i="7"/>
  <c r="O90" i="7"/>
  <c r="O106" i="7"/>
  <c r="O122" i="7"/>
  <c r="O138" i="7"/>
  <c r="O154" i="7"/>
  <c r="O170" i="7"/>
  <c r="O186" i="7"/>
  <c r="O202" i="7"/>
  <c r="O218" i="7"/>
  <c r="O234" i="7"/>
  <c r="O250" i="7"/>
  <c r="O266" i="7"/>
  <c r="O282" i="7"/>
  <c r="O298" i="7"/>
  <c r="O314" i="7"/>
  <c r="O330" i="7"/>
  <c r="O346" i="7"/>
  <c r="O362" i="7"/>
  <c r="O378" i="7"/>
  <c r="O394" i="7"/>
  <c r="O410" i="7"/>
  <c r="O426" i="7"/>
  <c r="O442" i="7"/>
  <c r="O458" i="7"/>
  <c r="O474" i="7"/>
  <c r="O490" i="7"/>
  <c r="O506" i="7"/>
  <c r="O15" i="7"/>
  <c r="O31" i="7"/>
  <c r="O47" i="7"/>
  <c r="O63" i="7"/>
  <c r="O79" i="7"/>
  <c r="O95" i="7"/>
  <c r="O111" i="7"/>
  <c r="O127" i="7"/>
  <c r="O143" i="7"/>
  <c r="O159" i="7"/>
  <c r="O175" i="7"/>
  <c r="O191" i="7"/>
  <c r="O207" i="7"/>
  <c r="O223" i="7"/>
  <c r="O239" i="7"/>
  <c r="O255" i="7"/>
  <c r="O271" i="7"/>
  <c r="O287" i="7"/>
  <c r="O303" i="7"/>
  <c r="O319" i="7"/>
  <c r="O335" i="7"/>
  <c r="O351" i="7"/>
  <c r="O367" i="7"/>
  <c r="O383" i="7"/>
  <c r="O399" i="7"/>
  <c r="O415" i="7"/>
  <c r="O431" i="7"/>
  <c r="O447" i="7"/>
  <c r="O463" i="7"/>
  <c r="O479" i="7"/>
  <c r="O495" i="7"/>
  <c r="O8" i="7"/>
  <c r="O24" i="7"/>
  <c r="O40" i="7"/>
  <c r="O56" i="7"/>
  <c r="O72" i="7"/>
  <c r="O88" i="7"/>
  <c r="O104" i="7"/>
  <c r="O120" i="7"/>
  <c r="O136" i="7"/>
  <c r="O152" i="7"/>
  <c r="O168" i="7"/>
  <c r="O184" i="7"/>
  <c r="O200" i="7"/>
  <c r="O216" i="7"/>
  <c r="O232" i="7"/>
  <c r="O248" i="7"/>
  <c r="O264" i="7"/>
  <c r="O280" i="7"/>
  <c r="O296" i="7"/>
  <c r="O312" i="7"/>
  <c r="O328" i="7"/>
  <c r="O344" i="7"/>
  <c r="O360" i="7"/>
  <c r="O376" i="7"/>
  <c r="O392" i="7"/>
  <c r="O408" i="7"/>
  <c r="O424" i="7"/>
  <c r="O440" i="7"/>
  <c r="O456" i="7"/>
  <c r="O472" i="7"/>
  <c r="O488" i="7"/>
  <c r="O504" i="7"/>
  <c r="O53" i="7"/>
  <c r="O117" i="7"/>
  <c r="O181" i="7"/>
  <c r="O245" i="7"/>
  <c r="O309" i="7"/>
  <c r="O373" i="7"/>
  <c r="O437" i="7"/>
  <c r="O501" i="7"/>
  <c r="O521" i="7"/>
  <c r="O537" i="7"/>
  <c r="O553" i="7"/>
  <c r="O569" i="7"/>
  <c r="O585" i="7"/>
  <c r="O601" i="7"/>
  <c r="O617" i="7"/>
  <c r="O633" i="7"/>
  <c r="O649" i="7"/>
  <c r="O665" i="7"/>
  <c r="O681" i="7"/>
  <c r="O697" i="7"/>
  <c r="O713" i="7"/>
  <c r="O729" i="7"/>
  <c r="O745" i="7"/>
  <c r="O761" i="7"/>
  <c r="O777" i="7"/>
  <c r="O793" i="7"/>
  <c r="O809" i="7"/>
  <c r="O825" i="7"/>
  <c r="O841" i="7"/>
  <c r="O857" i="7"/>
  <c r="O873" i="7"/>
  <c r="O889" i="7"/>
  <c r="O905" i="7"/>
  <c r="O921" i="7"/>
  <c r="O937" i="7"/>
  <c r="O953" i="7"/>
  <c r="O969" i="7"/>
  <c r="O985" i="7"/>
  <c r="O762" i="7"/>
  <c r="O790" i="7"/>
  <c r="O818" i="7"/>
  <c r="O846" i="7"/>
  <c r="O878" i="7"/>
  <c r="O910" i="7"/>
  <c r="O942" i="7"/>
  <c r="O974" i="7"/>
  <c r="O61" i="7"/>
  <c r="O57" i="7"/>
  <c r="O121" i="7"/>
  <c r="O185" i="7"/>
  <c r="O249" i="7"/>
  <c r="O313" i="7"/>
  <c r="O377" i="7"/>
  <c r="O441" i="7"/>
  <c r="O505" i="7"/>
  <c r="O522" i="7"/>
  <c r="O538" i="7"/>
  <c r="O554" i="7"/>
  <c r="O570" i="7"/>
  <c r="O586" i="7"/>
  <c r="O602" i="7"/>
  <c r="O618" i="7"/>
  <c r="O634" i="7"/>
  <c r="O650" i="7"/>
  <c r="O666" i="7"/>
  <c r="O682" i="7"/>
  <c r="O698" i="7"/>
  <c r="O714" i="7"/>
  <c r="O730" i="7"/>
  <c r="O746" i="7"/>
  <c r="O766" i="7"/>
  <c r="O806" i="7"/>
  <c r="O842" i="7"/>
  <c r="O874" i="7"/>
  <c r="O906" i="7"/>
  <c r="O938" i="7"/>
  <c r="O970" i="7"/>
  <c r="O998" i="7"/>
  <c r="O17" i="7"/>
  <c r="O177" i="7"/>
  <c r="O305" i="7"/>
  <c r="O433" i="7"/>
  <c r="O520" i="7"/>
  <c r="O552" i="7"/>
  <c r="O584" i="7"/>
  <c r="O616" i="7"/>
  <c r="O648" i="7"/>
  <c r="O680" i="7"/>
  <c r="O712" i="7"/>
  <c r="O744" i="7"/>
  <c r="O776" i="7"/>
  <c r="O808" i="7"/>
  <c r="O840" i="7"/>
  <c r="O872" i="7"/>
  <c r="O904" i="7"/>
  <c r="O936" i="7"/>
  <c r="O968" i="7"/>
  <c r="O1000" i="7"/>
  <c r="O939" i="7"/>
  <c r="O995" i="7"/>
  <c r="O257" i="7"/>
  <c r="O449" i="7"/>
  <c r="O548" i="7"/>
  <c r="O596" i="7"/>
  <c r="O644" i="7"/>
  <c r="O708" i="7"/>
  <c r="O756" i="7"/>
  <c r="O812" i="7"/>
  <c r="O860" i="7"/>
  <c r="O908" i="7"/>
  <c r="O956" i="7"/>
  <c r="O65" i="7"/>
  <c r="O269" i="7"/>
  <c r="O461" i="7"/>
  <c r="O551" i="7"/>
  <c r="O599" i="7"/>
  <c r="O647" i="7"/>
  <c r="O695" i="7"/>
  <c r="O743" i="7"/>
  <c r="O791" i="7"/>
  <c r="O839" i="7"/>
  <c r="O887" i="7"/>
  <c r="O935" i="7"/>
  <c r="O983" i="7"/>
  <c r="O125" i="7"/>
  <c r="O253" i="7"/>
  <c r="O381" i="7"/>
  <c r="O507" i="7"/>
  <c r="O539" i="7"/>
  <c r="O571" i="7"/>
  <c r="O603" i="7"/>
  <c r="O635" i="7"/>
  <c r="O667" i="7"/>
  <c r="O699" i="7"/>
  <c r="O731" i="7"/>
  <c r="O763" i="7"/>
  <c r="O795" i="7"/>
  <c r="O827" i="7"/>
  <c r="O859" i="7"/>
  <c r="O891" i="7"/>
  <c r="O963" i="7"/>
  <c r="O225" i="7"/>
  <c r="O516" i="7"/>
  <c r="O612" i="7"/>
  <c r="O684" i="7"/>
  <c r="O764" i="7"/>
  <c r="O844" i="7"/>
  <c r="O940" i="7"/>
  <c r="O205" i="7"/>
  <c r="O527" i="7"/>
  <c r="O607" i="7"/>
  <c r="O703" i="7"/>
  <c r="O799" i="7"/>
  <c r="O903" i="7"/>
  <c r="O991" i="7"/>
  <c r="N14" i="7"/>
  <c r="N30" i="7"/>
  <c r="N46" i="7"/>
  <c r="N62" i="7"/>
  <c r="N78" i="7"/>
  <c r="N94" i="7"/>
  <c r="N110" i="7"/>
  <c r="N126" i="7"/>
  <c r="N142" i="7"/>
  <c r="N158" i="7"/>
  <c r="N174" i="7"/>
  <c r="N190" i="7"/>
  <c r="N206" i="7"/>
  <c r="N222" i="7"/>
  <c r="N238" i="7"/>
  <c r="N254" i="7"/>
  <c r="N270" i="7"/>
  <c r="N286" i="7"/>
  <c r="N302" i="7"/>
  <c r="N318" i="7"/>
  <c r="N334" i="7"/>
  <c r="N350" i="7"/>
  <c r="N366" i="7"/>
  <c r="N382" i="7"/>
  <c r="N398" i="7"/>
  <c r="N414" i="7"/>
  <c r="N430" i="7"/>
  <c r="N446" i="7"/>
  <c r="N462" i="7"/>
  <c r="N478" i="7"/>
  <c r="N494" i="7"/>
  <c r="N3" i="7"/>
  <c r="N19" i="7"/>
  <c r="N35" i="7"/>
  <c r="N51" i="7"/>
  <c r="N67" i="7"/>
  <c r="N83" i="7"/>
  <c r="N99" i="7"/>
  <c r="N115" i="7"/>
  <c r="N131" i="7"/>
  <c r="N147" i="7"/>
  <c r="N163" i="7"/>
  <c r="N179" i="7"/>
  <c r="N195" i="7"/>
  <c r="N211" i="7"/>
  <c r="N227" i="7"/>
  <c r="N243" i="7"/>
  <c r="N259" i="7"/>
  <c r="N275" i="7"/>
  <c r="N291" i="7"/>
  <c r="N307" i="7"/>
  <c r="N323" i="7"/>
  <c r="N339" i="7"/>
  <c r="N355" i="7"/>
  <c r="N371" i="7"/>
  <c r="N387" i="7"/>
  <c r="N403" i="7"/>
  <c r="N419" i="7"/>
  <c r="N435" i="7"/>
  <c r="N12" i="7"/>
  <c r="N44" i="7"/>
  <c r="N76" i="7"/>
  <c r="N108" i="7"/>
  <c r="N140" i="7"/>
  <c r="N172" i="7"/>
  <c r="N204" i="7"/>
  <c r="N236" i="7"/>
  <c r="N268" i="7"/>
  <c r="N300" i="7"/>
  <c r="N332" i="7"/>
  <c r="N364" i="7"/>
  <c r="N396" i="7"/>
  <c r="N428" i="7"/>
  <c r="N455" i="7"/>
  <c r="N476" i="7"/>
  <c r="N497" i="7"/>
  <c r="N516" i="7"/>
  <c r="N532" i="7"/>
  <c r="N548" i="7"/>
  <c r="N564" i="7"/>
  <c r="N580" i="7"/>
  <c r="N596" i="7"/>
  <c r="N612" i="7"/>
  <c r="N628" i="7"/>
  <c r="N644" i="7"/>
  <c r="N660" i="7"/>
  <c r="N676" i="7"/>
  <c r="N692" i="7"/>
  <c r="N708" i="7"/>
  <c r="N724" i="7"/>
  <c r="N740" i="7"/>
  <c r="N5" i="7"/>
  <c r="N37" i="7"/>
  <c r="N69" i="7"/>
  <c r="N101" i="7"/>
  <c r="N133" i="7"/>
  <c r="N165" i="7"/>
  <c r="N197" i="7"/>
  <c r="N229" i="7"/>
  <c r="N261" i="7"/>
  <c r="N293" i="7"/>
  <c r="N325" i="7"/>
  <c r="N357" i="7"/>
  <c r="N389" i="7"/>
  <c r="N421" i="7"/>
  <c r="N451" i="7"/>
  <c r="N472" i="7"/>
  <c r="N493" i="7"/>
  <c r="N513" i="7"/>
  <c r="N529" i="7"/>
  <c r="N545" i="7"/>
  <c r="N561" i="7"/>
  <c r="Z442" i="7"/>
  <c r="Y35" i="7"/>
  <c r="Y763" i="7"/>
  <c r="Y496" i="7"/>
  <c r="X198" i="7"/>
  <c r="X208" i="7"/>
  <c r="X617" i="7"/>
  <c r="X643" i="7"/>
  <c r="X802" i="7"/>
  <c r="W422" i="7"/>
  <c r="W427" i="7"/>
  <c r="W684" i="7"/>
  <c r="W285" i="7"/>
  <c r="W625" i="7"/>
  <c r="W971" i="7"/>
  <c r="W658" i="7"/>
  <c r="W999" i="7"/>
  <c r="W686" i="7"/>
  <c r="W97" i="7"/>
  <c r="W719" i="7"/>
  <c r="V46" i="7"/>
  <c r="V302" i="7"/>
  <c r="V71" i="7"/>
  <c r="V327" i="7"/>
  <c r="V148" i="7"/>
  <c r="V579" i="7"/>
  <c r="V157" i="7"/>
  <c r="V598" i="7"/>
  <c r="V894" i="7"/>
  <c r="V57" i="7"/>
  <c r="V642" i="7"/>
  <c r="V927" i="7"/>
  <c r="V526" i="7"/>
  <c r="V248" i="7"/>
  <c r="V909" i="7"/>
  <c r="V353" i="7"/>
  <c r="U146" i="7"/>
  <c r="U402" i="7"/>
  <c r="U159" i="7"/>
  <c r="U415" i="7"/>
  <c r="U324" i="7"/>
  <c r="U197" i="7"/>
  <c r="U607" i="7"/>
  <c r="U208" i="7"/>
  <c r="U612" i="7"/>
  <c r="U622" i="7"/>
  <c r="U948" i="7"/>
  <c r="U633" i="7"/>
  <c r="U953" i="7"/>
  <c r="U634" i="7"/>
  <c r="U879" i="7"/>
  <c r="U939" i="7"/>
  <c r="T166" i="7"/>
  <c r="T294" i="7"/>
  <c r="T63" i="7"/>
  <c r="T191" i="7"/>
  <c r="T319" i="7"/>
  <c r="T447" i="7"/>
  <c r="T68" i="7"/>
  <c r="T196" i="7"/>
  <c r="T324" i="7"/>
  <c r="T452" i="7"/>
  <c r="T293" i="7"/>
  <c r="T545" i="7"/>
  <c r="T673" i="7"/>
  <c r="T801" i="7"/>
  <c r="T386" i="7"/>
  <c r="T618" i="7"/>
  <c r="T788" i="7"/>
  <c r="T932" i="7"/>
  <c r="T313" i="7"/>
  <c r="T571" i="7"/>
  <c r="T683" i="7"/>
  <c r="T795" i="7"/>
  <c r="T897" i="7"/>
  <c r="T233" i="7"/>
  <c r="T626" i="7"/>
  <c r="T858" i="7"/>
  <c r="T982" i="7"/>
  <c r="T556" i="7"/>
  <c r="T958" i="7"/>
  <c r="T686" i="7"/>
  <c r="T65" i="7"/>
  <c r="T531" i="7"/>
  <c r="T702" i="7"/>
  <c r="T867" i="7"/>
  <c r="T41" i="7"/>
  <c r="T652" i="7"/>
  <c r="T918" i="7"/>
  <c r="T481" i="7"/>
  <c r="T782" i="7"/>
  <c r="T986" i="7"/>
  <c r="S62" i="7"/>
  <c r="S126" i="7"/>
  <c r="S190" i="7"/>
  <c r="S254" i="7"/>
  <c r="S318" i="7"/>
  <c r="S382" i="7"/>
  <c r="S446" i="7"/>
  <c r="S3" i="7"/>
  <c r="S67" i="7"/>
  <c r="S131" i="7"/>
  <c r="S195" i="7"/>
  <c r="S259" i="7"/>
  <c r="S323" i="7"/>
  <c r="S387" i="7"/>
  <c r="S451" i="7"/>
  <c r="S12" i="7"/>
  <c r="S76" i="7"/>
  <c r="S140" i="7"/>
  <c r="S204" i="7"/>
  <c r="S268" i="7"/>
  <c r="S332" i="7"/>
  <c r="S396" i="7"/>
  <c r="S460" i="7"/>
  <c r="S181" i="7"/>
  <c r="S437" i="7"/>
  <c r="S546" i="7"/>
  <c r="S610" i="7"/>
  <c r="S674" i="7"/>
  <c r="S89" i="7"/>
  <c r="S345" i="7"/>
  <c r="S523" i="7"/>
  <c r="S587" i="7"/>
  <c r="S651" i="7"/>
  <c r="S715" i="7"/>
  <c r="S779" i="7"/>
  <c r="S843" i="7"/>
  <c r="S205" i="7"/>
  <c r="S552" i="7"/>
  <c r="S680" i="7"/>
  <c r="S777" i="7"/>
  <c r="S862" i="7"/>
  <c r="S931" i="7"/>
  <c r="S995" i="7"/>
  <c r="S465" i="7"/>
  <c r="S617" i="7"/>
  <c r="S736" i="7"/>
  <c r="S821" i="7"/>
  <c r="S900" i="7"/>
  <c r="S964" i="7"/>
  <c r="S221" i="7"/>
  <c r="S556" i="7"/>
  <c r="S684" i="7"/>
  <c r="S605" i="7"/>
  <c r="S861" i="7"/>
  <c r="S994" i="7"/>
  <c r="S780" i="7"/>
  <c r="S933" i="7"/>
  <c r="S621" i="7"/>
  <c r="S866" i="7"/>
  <c r="S998" i="7"/>
  <c r="S785" i="7"/>
  <c r="S937" i="7"/>
  <c r="R34" i="7"/>
  <c r="R98" i="7"/>
  <c r="R162" i="7"/>
  <c r="R226" i="7"/>
  <c r="R290" i="7"/>
  <c r="R354" i="7"/>
  <c r="R418" i="7"/>
  <c r="R23" i="7"/>
  <c r="R87" i="7"/>
  <c r="R151" i="7"/>
  <c r="R215" i="7"/>
  <c r="R279" i="7"/>
  <c r="R343" i="7"/>
  <c r="R407" i="7"/>
  <c r="R471" i="7"/>
  <c r="R52" i="7"/>
  <c r="R180" i="7"/>
  <c r="R308" i="7"/>
  <c r="R436" i="7"/>
  <c r="R524" i="7"/>
  <c r="R588" i="7"/>
  <c r="R652" i="7"/>
  <c r="R716" i="7"/>
  <c r="R61" i="7"/>
  <c r="R189" i="7"/>
  <c r="R317" i="7"/>
  <c r="R445" i="7"/>
  <c r="R529" i="7"/>
  <c r="R593" i="7"/>
  <c r="R657" i="7"/>
  <c r="R721" i="7"/>
  <c r="R785" i="7"/>
  <c r="R849" i="7"/>
  <c r="R913" i="7"/>
  <c r="R977" i="7"/>
  <c r="R120" i="7"/>
  <c r="R376" i="7"/>
  <c r="R558" i="7"/>
  <c r="R686" i="7"/>
  <c r="R792" i="7"/>
  <c r="R835" i="7"/>
  <c r="R878" i="7"/>
  <c r="R920" i="7"/>
  <c r="R963" i="7"/>
  <c r="R746" i="7"/>
  <c r="R859" i="7"/>
  <c r="R960" i="7"/>
  <c r="R241" i="7"/>
  <c r="R523" i="7"/>
  <c r="R691" i="7"/>
  <c r="R818" i="7"/>
  <c r="R17" i="7"/>
  <c r="R153" i="7"/>
  <c r="R281" i="7"/>
  <c r="R409" i="7"/>
  <c r="R511" i="7"/>
  <c r="R575" i="7"/>
  <c r="R639" i="7"/>
  <c r="R703" i="7"/>
  <c r="R762" i="7"/>
  <c r="R804" i="7"/>
  <c r="R847" i="7"/>
  <c r="R890" i="7"/>
  <c r="R932" i="7"/>
  <c r="R975" i="7"/>
  <c r="R80" i="7"/>
  <c r="R208" i="7"/>
  <c r="R336" i="7"/>
  <c r="R462" i="7"/>
  <c r="R538" i="7"/>
  <c r="R602" i="7"/>
  <c r="R666" i="7"/>
  <c r="R730" i="7"/>
  <c r="R800" i="7"/>
  <c r="R870" i="7"/>
  <c r="R944" i="7"/>
  <c r="R81" i="7"/>
  <c r="R289" i="7"/>
  <c r="R485" i="7"/>
  <c r="R595" i="7"/>
  <c r="R699" i="7"/>
  <c r="R786" i="7"/>
  <c r="R855" i="7"/>
  <c r="R940" i="7"/>
  <c r="R967" i="7"/>
  <c r="Q6" i="7"/>
  <c r="Q38" i="7"/>
  <c r="Q70" i="7"/>
  <c r="Q102" i="7"/>
  <c r="Q134" i="7"/>
  <c r="Q166" i="7"/>
  <c r="Q198" i="7"/>
  <c r="Q230" i="7"/>
  <c r="Q262" i="7"/>
  <c r="Q294" i="7"/>
  <c r="Q326" i="7"/>
  <c r="Q358" i="7"/>
  <c r="Q390" i="7"/>
  <c r="Q422" i="7"/>
  <c r="Q454" i="7"/>
  <c r="Q486" i="7"/>
  <c r="Q15" i="7"/>
  <c r="Q47" i="7"/>
  <c r="Q79" i="7"/>
  <c r="Q111" i="7"/>
  <c r="Q143" i="7"/>
  <c r="Q175" i="7"/>
  <c r="Q207" i="7"/>
  <c r="Q239" i="7"/>
  <c r="Q271" i="7"/>
  <c r="Q303" i="7"/>
  <c r="Q335" i="7"/>
  <c r="Q367" i="7"/>
  <c r="Q399" i="7"/>
  <c r="Q431" i="7"/>
  <c r="Q463" i="7"/>
  <c r="Q495" i="7"/>
  <c r="Q20" i="7"/>
  <c r="Q52" i="7"/>
  <c r="Q84" i="7"/>
  <c r="Q116" i="7"/>
  <c r="Q148" i="7"/>
  <c r="Q180" i="7"/>
  <c r="Q212" i="7"/>
  <c r="Q244" i="7"/>
  <c r="Q276" i="7"/>
  <c r="Q308" i="7"/>
  <c r="Q340" i="7"/>
  <c r="Q372" i="7"/>
  <c r="Q404" i="7"/>
  <c r="Q436" i="7"/>
  <c r="Q468" i="7"/>
  <c r="Q5" i="7"/>
  <c r="Q133" i="7"/>
  <c r="Q261" i="7"/>
  <c r="Q389" i="7"/>
  <c r="Q506" i="7"/>
  <c r="Q539" i="7"/>
  <c r="Q571" i="7"/>
  <c r="Q603" i="7"/>
  <c r="Q635" i="7"/>
  <c r="Q667" i="7"/>
  <c r="Q699" i="7"/>
  <c r="Q731" i="7"/>
  <c r="Q763" i="7"/>
  <c r="Q795" i="7"/>
  <c r="Q827" i="7"/>
  <c r="Q859" i="7"/>
  <c r="Q25" i="7"/>
  <c r="Q153" i="7"/>
  <c r="Q281" i="7"/>
  <c r="Q409" i="7"/>
  <c r="Q512" i="7"/>
  <c r="Q544" i="7"/>
  <c r="Q576" i="7"/>
  <c r="Q608" i="7"/>
  <c r="Q640" i="7"/>
  <c r="Q672" i="7"/>
  <c r="Q704" i="7"/>
  <c r="Q736" i="7"/>
  <c r="Q768" i="7"/>
  <c r="Q800" i="7"/>
  <c r="Q832" i="7"/>
  <c r="Q864" i="7"/>
  <c r="Q880" i="7"/>
  <c r="Q77" i="7"/>
  <c r="Q205" i="7"/>
  <c r="Q333" i="7"/>
  <c r="Q461" i="7"/>
  <c r="Q525" i="7"/>
  <c r="Q557" i="7"/>
  <c r="Q589" i="7"/>
  <c r="Q621" i="7"/>
  <c r="Q653" i="7"/>
  <c r="Q685" i="7"/>
  <c r="Q717" i="7"/>
  <c r="Q749" i="7"/>
  <c r="Q781" i="7"/>
  <c r="Q813" i="7"/>
  <c r="Q845" i="7"/>
  <c r="Q877" i="7"/>
  <c r="Q897" i="7"/>
  <c r="Q913" i="7"/>
  <c r="Q929" i="7"/>
  <c r="Q945" i="7"/>
  <c r="Q961" i="7"/>
  <c r="Q977" i="7"/>
  <c r="Q993" i="7"/>
  <c r="Q189" i="7"/>
  <c r="Q445" i="7"/>
  <c r="Q545" i="7"/>
  <c r="Q609" i="7"/>
  <c r="Q681" i="7"/>
  <c r="Q745" i="7"/>
  <c r="Q809" i="7"/>
  <c r="Q881" i="7"/>
  <c r="Q911" i="7"/>
  <c r="Q943" i="7"/>
  <c r="Q975" i="7"/>
  <c r="Q97" i="7"/>
  <c r="Q353" i="7"/>
  <c r="Q530" i="7"/>
  <c r="Q594" i="7"/>
  <c r="Q658" i="7"/>
  <c r="Q722" i="7"/>
  <c r="Q786" i="7"/>
  <c r="Q850" i="7"/>
  <c r="Q900" i="7"/>
  <c r="Q936" i="7"/>
  <c r="Q968" i="7"/>
  <c r="Q1000" i="7"/>
  <c r="Q113" i="7"/>
  <c r="Q241" i="7"/>
  <c r="Q369" i="7"/>
  <c r="Q497" i="7"/>
  <c r="Q534" i="7"/>
  <c r="Q566" i="7"/>
  <c r="Q598" i="7"/>
  <c r="Q630" i="7"/>
  <c r="Q662" i="7"/>
  <c r="Q694" i="7"/>
  <c r="Q726" i="7"/>
  <c r="Q758" i="7"/>
  <c r="Q790" i="7"/>
  <c r="Q822" i="7"/>
  <c r="Q854" i="7"/>
  <c r="Q886" i="7"/>
  <c r="Q902" i="7"/>
  <c r="Q918" i="7"/>
  <c r="Q934" i="7"/>
  <c r="Q950" i="7"/>
  <c r="Q966" i="7"/>
  <c r="Q982" i="7"/>
  <c r="Q998" i="7"/>
  <c r="Q253" i="7"/>
  <c r="Q477" i="7"/>
  <c r="Q569" i="7"/>
  <c r="Q625" i="7"/>
  <c r="Q689" i="7"/>
  <c r="Q753" i="7"/>
  <c r="Q817" i="7"/>
  <c r="Q873" i="7"/>
  <c r="Q915" i="7"/>
  <c r="Q947" i="7"/>
  <c r="Q979" i="7"/>
  <c r="Q65" i="7"/>
  <c r="Q321" i="7"/>
  <c r="Q522" i="7"/>
  <c r="Q586" i="7"/>
  <c r="Q650" i="7"/>
  <c r="Q714" i="7"/>
  <c r="Q778" i="7"/>
  <c r="Q842" i="7"/>
  <c r="Q896" i="7"/>
  <c r="Q924" i="7"/>
  <c r="Q956" i="7"/>
  <c r="Q988" i="7"/>
  <c r="P10" i="7"/>
  <c r="P26" i="7"/>
  <c r="P42" i="7"/>
  <c r="P58" i="7"/>
  <c r="P74" i="7"/>
  <c r="P90" i="7"/>
  <c r="P106" i="7"/>
  <c r="P122" i="7"/>
  <c r="P138" i="7"/>
  <c r="P154" i="7"/>
  <c r="P170" i="7"/>
  <c r="P186" i="7"/>
  <c r="P202" i="7"/>
  <c r="P218" i="7"/>
  <c r="P234" i="7"/>
  <c r="P250" i="7"/>
  <c r="P266" i="7"/>
  <c r="P282" i="7"/>
  <c r="P298" i="7"/>
  <c r="P314" i="7"/>
  <c r="P330" i="7"/>
  <c r="P346" i="7"/>
  <c r="P362" i="7"/>
  <c r="P378" i="7"/>
  <c r="P394" i="7"/>
  <c r="P410" i="7"/>
  <c r="P426" i="7"/>
  <c r="P442" i="7"/>
  <c r="P458" i="7"/>
  <c r="P474" i="7"/>
  <c r="P490" i="7"/>
  <c r="P506" i="7"/>
  <c r="P15" i="7"/>
  <c r="P31" i="7"/>
  <c r="P47" i="7"/>
  <c r="P63" i="7"/>
  <c r="P79" i="7"/>
  <c r="P95" i="7"/>
  <c r="P111" i="7"/>
  <c r="P127" i="7"/>
  <c r="P143" i="7"/>
  <c r="P159" i="7"/>
  <c r="P175" i="7"/>
  <c r="P191" i="7"/>
  <c r="P207" i="7"/>
  <c r="P223" i="7"/>
  <c r="P239" i="7"/>
  <c r="P255" i="7"/>
  <c r="P271" i="7"/>
  <c r="P287" i="7"/>
  <c r="P303" i="7"/>
  <c r="P319" i="7"/>
  <c r="P335" i="7"/>
  <c r="P351" i="7"/>
  <c r="P367" i="7"/>
  <c r="P383" i="7"/>
  <c r="P399" i="7"/>
  <c r="P415" i="7"/>
  <c r="P431" i="7"/>
  <c r="P447" i="7"/>
  <c r="P463" i="7"/>
  <c r="P479" i="7"/>
  <c r="P4" i="7"/>
  <c r="P20" i="7"/>
  <c r="P36" i="7"/>
  <c r="P52" i="7"/>
  <c r="P68" i="7"/>
  <c r="P84" i="7"/>
  <c r="P100" i="7"/>
  <c r="P116" i="7"/>
  <c r="P132" i="7"/>
  <c r="P148" i="7"/>
  <c r="P164" i="7"/>
  <c r="P180" i="7"/>
  <c r="P196" i="7"/>
  <c r="P212" i="7"/>
  <c r="P228" i="7"/>
  <c r="P244" i="7"/>
  <c r="P260" i="7"/>
  <c r="P276" i="7"/>
  <c r="P292" i="7"/>
  <c r="P308" i="7"/>
  <c r="P324" i="7"/>
  <c r="P340" i="7"/>
  <c r="P356" i="7"/>
  <c r="P372" i="7"/>
  <c r="P388" i="7"/>
  <c r="P404" i="7"/>
  <c r="P420" i="7"/>
  <c r="P436" i="7"/>
  <c r="P452" i="7"/>
  <c r="P468" i="7"/>
  <c r="P484" i="7"/>
  <c r="P500" i="7"/>
  <c r="P21" i="7"/>
  <c r="P85" i="7"/>
  <c r="P149" i="7"/>
  <c r="P213" i="7"/>
  <c r="P277" i="7"/>
  <c r="P341" i="7"/>
  <c r="P405" i="7"/>
  <c r="P469" i="7"/>
  <c r="P511" i="7"/>
  <c r="P527" i="7"/>
  <c r="P543" i="7"/>
  <c r="P559" i="7"/>
  <c r="P575" i="7"/>
  <c r="P591" i="7"/>
  <c r="P607" i="7"/>
  <c r="P623" i="7"/>
  <c r="P639" i="7"/>
  <c r="P655" i="7"/>
  <c r="P671" i="7"/>
  <c r="P687" i="7"/>
  <c r="P703" i="7"/>
  <c r="P719" i="7"/>
  <c r="P735" i="7"/>
  <c r="P751" i="7"/>
  <c r="P767" i="7"/>
  <c r="P783" i="7"/>
  <c r="P799" i="7"/>
  <c r="P815" i="7"/>
  <c r="P831" i="7"/>
  <c r="P847" i="7"/>
  <c r="P863" i="7"/>
  <c r="P879" i="7"/>
  <c r="P895" i="7"/>
  <c r="P911" i="7"/>
  <c r="P927" i="7"/>
  <c r="P943" i="7"/>
  <c r="P959" i="7"/>
  <c r="P975" i="7"/>
  <c r="P991" i="7"/>
  <c r="P848" i="7"/>
  <c r="P876" i="7"/>
  <c r="P900" i="7"/>
  <c r="P924" i="7"/>
  <c r="P952" i="7"/>
  <c r="P25" i="7"/>
  <c r="P89" i="7"/>
  <c r="P153" i="7"/>
  <c r="P217" i="7"/>
  <c r="P281" i="7"/>
  <c r="P345" i="7"/>
  <c r="P409" i="7"/>
  <c r="P473" i="7"/>
  <c r="P512" i="7"/>
  <c r="P528" i="7"/>
  <c r="P544" i="7"/>
  <c r="P560" i="7"/>
  <c r="P576" i="7"/>
  <c r="P592" i="7"/>
  <c r="P608" i="7"/>
  <c r="P624" i="7"/>
  <c r="P640" i="7"/>
  <c r="P656" i="7"/>
  <c r="P672" i="7"/>
  <c r="P688" i="7"/>
  <c r="P704" i="7"/>
  <c r="P720" i="7"/>
  <c r="P736" i="7"/>
  <c r="P752" i="7"/>
  <c r="P768" i="7"/>
  <c r="P784" i="7"/>
  <c r="P800" i="7"/>
  <c r="P816" i="7"/>
  <c r="P832" i="7"/>
  <c r="P864" i="7"/>
  <c r="P904" i="7"/>
  <c r="P948" i="7"/>
  <c r="P77" i="7"/>
  <c r="P205" i="7"/>
  <c r="P333" i="7"/>
  <c r="P461" i="7"/>
  <c r="P525" i="7"/>
  <c r="P557" i="7"/>
  <c r="P589" i="7"/>
  <c r="P621" i="7"/>
  <c r="P653" i="7"/>
  <c r="P685" i="7"/>
  <c r="P717" i="7"/>
  <c r="P749" i="7"/>
  <c r="P781" i="7"/>
  <c r="P813" i="7"/>
  <c r="P845" i="7"/>
  <c r="P877" i="7"/>
  <c r="P909" i="7"/>
  <c r="P941" i="7"/>
  <c r="P970" i="7"/>
  <c r="P992" i="7"/>
  <c r="P814" i="7"/>
  <c r="P862" i="7"/>
  <c r="P910" i="7"/>
  <c r="P966" i="7"/>
  <c r="P998" i="7"/>
  <c r="P221" i="7"/>
  <c r="P413" i="7"/>
  <c r="P529" i="7"/>
  <c r="P585" i="7"/>
  <c r="P633" i="7"/>
  <c r="P689" i="7"/>
  <c r="P737" i="7"/>
  <c r="P785" i="7"/>
  <c r="P841" i="7"/>
  <c r="P889" i="7"/>
  <c r="P945" i="7"/>
  <c r="P984" i="7"/>
  <c r="P97" i="7"/>
  <c r="P321" i="7"/>
  <c r="P503" i="7"/>
  <c r="P562" i="7"/>
  <c r="P610" i="7"/>
  <c r="P666" i="7"/>
  <c r="P714" i="7"/>
  <c r="P770" i="7"/>
  <c r="P818" i="7"/>
  <c r="P874" i="7"/>
  <c r="P922" i="7"/>
  <c r="P969" i="7"/>
  <c r="P17" i="7"/>
  <c r="P145" i="7"/>
  <c r="P273" i="7"/>
  <c r="P401" i="7"/>
  <c r="P510" i="7"/>
  <c r="P542" i="7"/>
  <c r="P574" i="7"/>
  <c r="P606" i="7"/>
  <c r="P638" i="7"/>
  <c r="P670" i="7"/>
  <c r="P702" i="7"/>
  <c r="P734" i="7"/>
  <c r="P766" i="7"/>
  <c r="P830" i="7"/>
  <c r="P918" i="7"/>
  <c r="P988" i="7"/>
  <c r="P285" i="7"/>
  <c r="P537" i="7"/>
  <c r="P617" i="7"/>
  <c r="P697" i="7"/>
  <c r="P793" i="7"/>
  <c r="P873" i="7"/>
  <c r="P961" i="7"/>
  <c r="P129" i="7"/>
  <c r="P449" i="7"/>
  <c r="P570" i="7"/>
  <c r="P658" i="7"/>
  <c r="P746" i="7"/>
  <c r="P826" i="7"/>
  <c r="P914" i="7"/>
  <c r="P990" i="7"/>
  <c r="O14" i="7"/>
  <c r="O30" i="7"/>
  <c r="O46" i="7"/>
  <c r="O62" i="7"/>
  <c r="O78" i="7"/>
  <c r="O94" i="7"/>
  <c r="O110" i="7"/>
  <c r="O126" i="7"/>
  <c r="O142" i="7"/>
  <c r="O158" i="7"/>
  <c r="O174" i="7"/>
  <c r="O190" i="7"/>
  <c r="O206" i="7"/>
  <c r="O222" i="7"/>
  <c r="O238" i="7"/>
  <c r="O254" i="7"/>
  <c r="O270" i="7"/>
  <c r="O286" i="7"/>
  <c r="O302" i="7"/>
  <c r="O318" i="7"/>
  <c r="O334" i="7"/>
  <c r="O350" i="7"/>
  <c r="O366" i="7"/>
  <c r="O382" i="7"/>
  <c r="O398" i="7"/>
  <c r="O414" i="7"/>
  <c r="O430" i="7"/>
  <c r="O446" i="7"/>
  <c r="O462" i="7"/>
  <c r="O478" i="7"/>
  <c r="O494" i="7"/>
  <c r="O3" i="7"/>
  <c r="O19" i="7"/>
  <c r="O35" i="7"/>
  <c r="O51" i="7"/>
  <c r="O67" i="7"/>
  <c r="O83" i="7"/>
  <c r="O99" i="7"/>
  <c r="O115" i="7"/>
  <c r="O131" i="7"/>
  <c r="O147" i="7"/>
  <c r="O163" i="7"/>
  <c r="O179" i="7"/>
  <c r="O195" i="7"/>
  <c r="O211" i="7"/>
  <c r="O227" i="7"/>
  <c r="O243" i="7"/>
  <c r="O259" i="7"/>
  <c r="O275" i="7"/>
  <c r="O291" i="7"/>
  <c r="O307" i="7"/>
  <c r="O323" i="7"/>
  <c r="O339" i="7"/>
  <c r="O355" i="7"/>
  <c r="O371" i="7"/>
  <c r="O387" i="7"/>
  <c r="O403" i="7"/>
  <c r="O419" i="7"/>
  <c r="O435" i="7"/>
  <c r="O451" i="7"/>
  <c r="O467" i="7"/>
  <c r="O483" i="7"/>
  <c r="O499" i="7"/>
  <c r="O12" i="7"/>
  <c r="O28" i="7"/>
  <c r="O44" i="7"/>
  <c r="O60" i="7"/>
  <c r="O76" i="7"/>
  <c r="O92" i="7"/>
  <c r="O108" i="7"/>
  <c r="O124" i="7"/>
  <c r="O140" i="7"/>
  <c r="O156" i="7"/>
  <c r="O172" i="7"/>
  <c r="O188" i="7"/>
  <c r="O204" i="7"/>
  <c r="O220" i="7"/>
  <c r="O236" i="7"/>
  <c r="O252" i="7"/>
  <c r="O268" i="7"/>
  <c r="O284" i="7"/>
  <c r="O300" i="7"/>
  <c r="O316" i="7"/>
  <c r="O332" i="7"/>
  <c r="O348" i="7"/>
  <c r="O364" i="7"/>
  <c r="O380" i="7"/>
  <c r="O396" i="7"/>
  <c r="O412" i="7"/>
  <c r="O428" i="7"/>
  <c r="O444" i="7"/>
  <c r="O460" i="7"/>
  <c r="O476" i="7"/>
  <c r="O492" i="7"/>
  <c r="O5" i="7"/>
  <c r="O69" i="7"/>
  <c r="O133" i="7"/>
  <c r="O197" i="7"/>
  <c r="O261" i="7"/>
  <c r="O325" i="7"/>
  <c r="O389" i="7"/>
  <c r="O453" i="7"/>
  <c r="O509" i="7"/>
  <c r="O525" i="7"/>
  <c r="O541" i="7"/>
  <c r="O557" i="7"/>
  <c r="O573" i="7"/>
  <c r="O589" i="7"/>
  <c r="O605" i="7"/>
  <c r="O621" i="7"/>
  <c r="O637" i="7"/>
  <c r="O653" i="7"/>
  <c r="O669" i="7"/>
  <c r="O685" i="7"/>
  <c r="O701" i="7"/>
  <c r="O717" i="7"/>
  <c r="O733" i="7"/>
  <c r="O749" i="7"/>
  <c r="O765" i="7"/>
  <c r="O781" i="7"/>
  <c r="O797" i="7"/>
  <c r="O813" i="7"/>
  <c r="O829" i="7"/>
  <c r="O845" i="7"/>
  <c r="O861" i="7"/>
  <c r="O877" i="7"/>
  <c r="O893" i="7"/>
  <c r="O909" i="7"/>
  <c r="O925" i="7"/>
  <c r="O941" i="7"/>
  <c r="O957" i="7"/>
  <c r="O973" i="7"/>
  <c r="O989" i="7"/>
  <c r="O770" i="7"/>
  <c r="O798" i="7"/>
  <c r="O822" i="7"/>
  <c r="O854" i="7"/>
  <c r="O886" i="7"/>
  <c r="O918" i="7"/>
  <c r="O950" i="7"/>
  <c r="O982" i="7"/>
  <c r="O9" i="7"/>
  <c r="O73" i="7"/>
  <c r="O137" i="7"/>
  <c r="O201" i="7"/>
  <c r="O265" i="7"/>
  <c r="O329" i="7"/>
  <c r="O393" i="7"/>
  <c r="O457" i="7"/>
  <c r="O510" i="7"/>
  <c r="O526" i="7"/>
  <c r="O542" i="7"/>
  <c r="O558" i="7"/>
  <c r="O574" i="7"/>
  <c r="O590" i="7"/>
  <c r="O606" i="7"/>
  <c r="O622" i="7"/>
  <c r="O638" i="7"/>
  <c r="O654" i="7"/>
  <c r="O670" i="7"/>
  <c r="O686" i="7"/>
  <c r="O702" i="7"/>
  <c r="O718" i="7"/>
  <c r="O734" i="7"/>
  <c r="O750" i="7"/>
  <c r="O774" i="7"/>
  <c r="O814" i="7"/>
  <c r="O850" i="7"/>
  <c r="O882" i="7"/>
  <c r="O914" i="7"/>
  <c r="O946" i="7"/>
  <c r="O978" i="7"/>
  <c r="O29" i="7"/>
  <c r="O81" i="7"/>
  <c r="O209" i="7"/>
  <c r="O337" i="7"/>
  <c r="O465" i="7"/>
  <c r="O528" i="7"/>
  <c r="O560" i="7"/>
  <c r="O592" i="7"/>
  <c r="O624" i="7"/>
  <c r="O656" i="7"/>
  <c r="O688" i="7"/>
  <c r="O720" i="7"/>
  <c r="O752" i="7"/>
  <c r="O784" i="7"/>
  <c r="O816" i="7"/>
  <c r="O848" i="7"/>
  <c r="O880" i="7"/>
  <c r="O912" i="7"/>
  <c r="O944" i="7"/>
  <c r="O976" i="7"/>
  <c r="O899" i="7"/>
  <c r="O955" i="7"/>
  <c r="O97" i="7"/>
  <c r="O289" i="7"/>
  <c r="O508" i="7"/>
  <c r="O556" i="7"/>
  <c r="O604" i="7"/>
  <c r="O660" i="7"/>
  <c r="O716" i="7"/>
  <c r="O772" i="7"/>
  <c r="O828" i="7"/>
  <c r="O876" i="7"/>
  <c r="O924" i="7"/>
  <c r="O972" i="7"/>
  <c r="O141" i="7"/>
  <c r="O301" i="7"/>
  <c r="O511" i="7"/>
  <c r="O567" i="7"/>
  <c r="O615" i="7"/>
  <c r="O663" i="7"/>
  <c r="O711" i="7"/>
  <c r="O759" i="7"/>
  <c r="O807" i="7"/>
  <c r="O847" i="7"/>
  <c r="O895" i="7"/>
  <c r="O943" i="7"/>
  <c r="O999" i="7"/>
  <c r="O157" i="7"/>
  <c r="O285" i="7"/>
  <c r="O413" i="7"/>
  <c r="O515" i="7"/>
  <c r="O547" i="7"/>
  <c r="O579" i="7"/>
  <c r="O611" i="7"/>
  <c r="O643" i="7"/>
  <c r="O675" i="7"/>
  <c r="O707" i="7"/>
  <c r="O739" i="7"/>
  <c r="O771" i="7"/>
  <c r="O803" i="7"/>
  <c r="O835" i="7"/>
  <c r="O867" i="7"/>
  <c r="O907" i="7"/>
  <c r="O987" i="7"/>
  <c r="O321" i="7"/>
  <c r="O540" i="7"/>
  <c r="O636" i="7"/>
  <c r="O700" i="7"/>
  <c r="O788" i="7"/>
  <c r="O868" i="7"/>
  <c r="O964" i="7"/>
  <c r="O333" i="7"/>
  <c r="O543" i="7"/>
  <c r="O631" i="7"/>
  <c r="O727" i="7"/>
  <c r="O831" i="7"/>
  <c r="O927" i="7"/>
  <c r="N2" i="7"/>
  <c r="N18" i="7"/>
  <c r="N34" i="7"/>
  <c r="N50" i="7"/>
  <c r="N66" i="7"/>
  <c r="N82" i="7"/>
  <c r="N98" i="7"/>
  <c r="N114" i="7"/>
  <c r="N130" i="7"/>
  <c r="N146" i="7"/>
  <c r="N162" i="7"/>
  <c r="N178" i="7"/>
  <c r="N194" i="7"/>
  <c r="N210" i="7"/>
  <c r="N226" i="7"/>
  <c r="N242" i="7"/>
  <c r="N258" i="7"/>
  <c r="N274" i="7"/>
  <c r="N290" i="7"/>
  <c r="N306" i="7"/>
  <c r="N322" i="7"/>
  <c r="N338" i="7"/>
  <c r="N354" i="7"/>
  <c r="N370" i="7"/>
  <c r="N386" i="7"/>
  <c r="N402" i="7"/>
  <c r="N418" i="7"/>
  <c r="N434" i="7"/>
  <c r="N450" i="7"/>
  <c r="N466" i="7"/>
  <c r="N482" i="7"/>
  <c r="N498" i="7"/>
  <c r="N7" i="7"/>
  <c r="N23" i="7"/>
  <c r="N39" i="7"/>
  <c r="N55" i="7"/>
  <c r="N71" i="7"/>
  <c r="N87" i="7"/>
  <c r="N103" i="7"/>
  <c r="N119" i="7"/>
  <c r="N135" i="7"/>
  <c r="N151" i="7"/>
  <c r="N167" i="7"/>
  <c r="N183" i="7"/>
  <c r="N199" i="7"/>
  <c r="N215" i="7"/>
  <c r="N231" i="7"/>
  <c r="N247" i="7"/>
  <c r="N263" i="7"/>
  <c r="N279" i="7"/>
  <c r="N295" i="7"/>
  <c r="N311" i="7"/>
  <c r="N327" i="7"/>
  <c r="N343" i="7"/>
  <c r="N359" i="7"/>
  <c r="N375" i="7"/>
  <c r="N391" i="7"/>
  <c r="N407" i="7"/>
  <c r="N423" i="7"/>
  <c r="N439" i="7"/>
  <c r="N20" i="7"/>
  <c r="N52" i="7"/>
  <c r="N84" i="7"/>
  <c r="N116" i="7"/>
  <c r="N148" i="7"/>
  <c r="N180" i="7"/>
  <c r="N212" i="7"/>
  <c r="N244" i="7"/>
  <c r="N276" i="7"/>
  <c r="N308" i="7"/>
  <c r="N340" i="7"/>
  <c r="N372" i="7"/>
  <c r="N404" i="7"/>
  <c r="N436" i="7"/>
  <c r="N460" i="7"/>
  <c r="N481" i="7"/>
  <c r="N503" i="7"/>
  <c r="N520" i="7"/>
  <c r="N536" i="7"/>
  <c r="N552" i="7"/>
  <c r="N568" i="7"/>
  <c r="N584" i="7"/>
  <c r="N600" i="7"/>
  <c r="N616" i="7"/>
  <c r="N632" i="7"/>
  <c r="N648" i="7"/>
  <c r="N664" i="7"/>
  <c r="N680" i="7"/>
  <c r="N696" i="7"/>
  <c r="N712" i="7"/>
  <c r="N728" i="7"/>
  <c r="N744" i="7"/>
  <c r="N13" i="7"/>
  <c r="N45" i="7"/>
  <c r="N77" i="7"/>
  <c r="N109" i="7"/>
  <c r="N141" i="7"/>
  <c r="N173" i="7"/>
  <c r="N205" i="7"/>
  <c r="N237" i="7"/>
  <c r="N269" i="7"/>
  <c r="N301" i="7"/>
  <c r="N333" i="7"/>
  <c r="N365" i="7"/>
  <c r="N397" i="7"/>
  <c r="N429" i="7"/>
  <c r="N456" i="7"/>
  <c r="N477" i="7"/>
  <c r="N499" i="7"/>
  <c r="N517" i="7"/>
  <c r="N533" i="7"/>
  <c r="N549" i="7"/>
  <c r="N565" i="7"/>
  <c r="N581" i="7"/>
  <c r="N597" i="7"/>
  <c r="N613" i="7"/>
  <c r="N629" i="7"/>
  <c r="N645" i="7"/>
  <c r="N661" i="7"/>
  <c r="N677" i="7"/>
  <c r="N693" i="7"/>
  <c r="N709" i="7"/>
  <c r="N725" i="7"/>
  <c r="N741" i="7"/>
  <c r="N40" i="7"/>
  <c r="N104" i="7"/>
  <c r="N168" i="7"/>
  <c r="N232" i="7"/>
  <c r="N296" i="7"/>
  <c r="N360" i="7"/>
  <c r="N424" i="7"/>
  <c r="N473" i="7"/>
  <c r="N514" i="7"/>
  <c r="N546" i="7"/>
  <c r="N578" i="7"/>
  <c r="N610" i="7"/>
  <c r="N642" i="7"/>
  <c r="N674" i="7"/>
  <c r="N706" i="7"/>
  <c r="N738" i="7"/>
  <c r="N760" i="7"/>
  <c r="N776" i="7"/>
  <c r="N792" i="7"/>
  <c r="N808" i="7"/>
  <c r="N824" i="7"/>
  <c r="N840" i="7"/>
  <c r="N856" i="7"/>
  <c r="N872" i="7"/>
  <c r="N888" i="7"/>
  <c r="N904" i="7"/>
  <c r="N920" i="7"/>
  <c r="N936" i="7"/>
  <c r="N952" i="7"/>
  <c r="N968" i="7"/>
  <c r="N984" i="7"/>
  <c r="N1000" i="7"/>
  <c r="N873" i="7"/>
  <c r="N901" i="7"/>
  <c r="N925" i="7"/>
  <c r="N953" i="7"/>
  <c r="N977" i="7"/>
  <c r="N32" i="7"/>
  <c r="N128" i="7"/>
  <c r="N224" i="7"/>
  <c r="N320" i="7"/>
  <c r="N432" i="7"/>
  <c r="N500" i="7"/>
  <c r="N558" i="7"/>
  <c r="N614" i="7"/>
  <c r="N662" i="7"/>
  <c r="N710" i="7"/>
  <c r="N754" i="7"/>
  <c r="N782" i="7"/>
  <c r="N806" i="7"/>
  <c r="N830" i="7"/>
  <c r="N858" i="7"/>
  <c r="N882" i="7"/>
  <c r="N910" i="7"/>
  <c r="N934" i="7"/>
  <c r="N962" i="7"/>
  <c r="N986" i="7"/>
  <c r="N49" i="7"/>
  <c r="N161" i="7"/>
  <c r="N257" i="7"/>
  <c r="N369" i="7"/>
  <c r="N459" i="7"/>
  <c r="N527" i="7"/>
  <c r="N567" i="7"/>
  <c r="N57" i="7"/>
  <c r="N121" i="7"/>
  <c r="N185" i="7"/>
  <c r="N249" i="7"/>
  <c r="N313" i="7"/>
  <c r="N377" i="7"/>
  <c r="N441" i="7"/>
  <c r="N485" i="7"/>
  <c r="N523" i="7"/>
  <c r="N555" i="7"/>
  <c r="N587" i="7"/>
  <c r="N619" i="7"/>
  <c r="N651" i="7"/>
  <c r="N683" i="7"/>
  <c r="N715" i="7"/>
  <c r="N747" i="7"/>
  <c r="N765" i="7"/>
  <c r="N781" i="7"/>
  <c r="N797" i="7"/>
  <c r="N813" i="7"/>
  <c r="N829" i="7"/>
  <c r="N845" i="7"/>
  <c r="N877" i="7"/>
  <c r="N917" i="7"/>
  <c r="N961" i="7"/>
  <c r="N16" i="7"/>
  <c r="N208" i="7"/>
  <c r="N368" i="7"/>
  <c r="N510" i="7"/>
  <c r="N582" i="7"/>
  <c r="N678" i="7"/>
  <c r="N758" i="7"/>
  <c r="N802" i="7"/>
  <c r="N846" i="7"/>
  <c r="N886" i="7"/>
  <c r="N930" i="7"/>
  <c r="N970" i="7"/>
  <c r="N65" i="7"/>
  <c r="N225" i="7"/>
  <c r="N401" i="7"/>
  <c r="N519" i="7"/>
  <c r="N615" i="7"/>
  <c r="N743" i="7"/>
  <c r="N811" i="7"/>
  <c r="N875" i="7"/>
  <c r="N939" i="7"/>
  <c r="N847" i="7"/>
  <c r="N959" i="7"/>
  <c r="N727" i="7"/>
  <c r="N835" i="7"/>
  <c r="N931" i="7"/>
  <c r="N671" i="7"/>
  <c r="N807" i="7"/>
  <c r="N919" i="7"/>
  <c r="N591" i="7"/>
  <c r="N719" i="7"/>
  <c r="N799" i="7"/>
  <c r="N895" i="7"/>
  <c r="N695" i="7"/>
  <c r="N899" i="7"/>
  <c r="N735" i="7"/>
  <c r="N903" i="7"/>
  <c r="M6" i="7"/>
  <c r="M22" i="7"/>
  <c r="M38" i="7"/>
  <c r="M54" i="7"/>
  <c r="M70" i="7"/>
  <c r="M86" i="7"/>
  <c r="M102" i="7"/>
  <c r="M118" i="7"/>
  <c r="M134" i="7"/>
  <c r="M150" i="7"/>
  <c r="M166" i="7"/>
  <c r="M182" i="7"/>
  <c r="M198" i="7"/>
  <c r="M214" i="7"/>
  <c r="M230" i="7"/>
  <c r="M246" i="7"/>
  <c r="M262" i="7"/>
  <c r="M278" i="7"/>
  <c r="M294" i="7"/>
  <c r="M310" i="7"/>
  <c r="M326" i="7"/>
  <c r="M342" i="7"/>
  <c r="M358" i="7"/>
  <c r="M374" i="7"/>
  <c r="M390" i="7"/>
  <c r="M406" i="7"/>
  <c r="M422" i="7"/>
  <c r="M438" i="7"/>
  <c r="M454" i="7"/>
  <c r="M470" i="7"/>
  <c r="M486" i="7"/>
  <c r="M502" i="7"/>
  <c r="M11" i="7"/>
  <c r="M27" i="7"/>
  <c r="M43" i="7"/>
  <c r="M59" i="7"/>
  <c r="M75" i="7"/>
  <c r="M91" i="7"/>
  <c r="M107" i="7"/>
  <c r="M123" i="7"/>
  <c r="M139" i="7"/>
  <c r="M155" i="7"/>
  <c r="M171" i="7"/>
  <c r="M187" i="7"/>
  <c r="M203" i="7"/>
  <c r="M219" i="7"/>
  <c r="M235" i="7"/>
  <c r="M251" i="7"/>
  <c r="M267" i="7"/>
  <c r="M283" i="7"/>
  <c r="M299" i="7"/>
  <c r="M315" i="7"/>
  <c r="M331" i="7"/>
  <c r="M347" i="7"/>
  <c r="M363" i="7"/>
  <c r="M379" i="7"/>
  <c r="M395" i="7"/>
  <c r="M411" i="7"/>
  <c r="M427" i="7"/>
  <c r="M443" i="7"/>
  <c r="M459" i="7"/>
  <c r="M475" i="7"/>
  <c r="M491" i="7"/>
  <c r="M507" i="7"/>
  <c r="M28" i="7"/>
  <c r="M60" i="7"/>
  <c r="M92" i="7"/>
  <c r="M124" i="7"/>
  <c r="M156" i="7"/>
  <c r="M188" i="7"/>
  <c r="M220" i="7"/>
  <c r="M252" i="7"/>
  <c r="M284" i="7"/>
  <c r="M316" i="7"/>
  <c r="M348" i="7"/>
  <c r="M380" i="7"/>
  <c r="M412" i="7"/>
  <c r="M444" i="7"/>
  <c r="M476" i="7"/>
  <c r="M508" i="7"/>
  <c r="M524" i="7"/>
  <c r="M540" i="7"/>
  <c r="M556" i="7"/>
  <c r="M572" i="7"/>
  <c r="M588" i="7"/>
  <c r="M604" i="7"/>
  <c r="M620" i="7"/>
  <c r="M636" i="7"/>
  <c r="M652" i="7"/>
  <c r="M668" i="7"/>
  <c r="M684" i="7"/>
  <c r="M700" i="7"/>
  <c r="M716" i="7"/>
  <c r="M732" i="7"/>
  <c r="M748" i="7"/>
  <c r="M5" i="7"/>
  <c r="M37" i="7"/>
  <c r="M69" i="7"/>
  <c r="M101" i="7"/>
  <c r="M133" i="7"/>
  <c r="M165" i="7"/>
  <c r="M197" i="7"/>
  <c r="M229" i="7"/>
  <c r="M261" i="7"/>
  <c r="M293" i="7"/>
  <c r="M325" i="7"/>
  <c r="M357" i="7"/>
  <c r="M389" i="7"/>
  <c r="M421" i="7"/>
  <c r="M453" i="7"/>
  <c r="M485" i="7"/>
  <c r="M513" i="7"/>
  <c r="M529" i="7"/>
  <c r="M545" i="7"/>
  <c r="M561" i="7"/>
  <c r="M577" i="7"/>
  <c r="M593" i="7"/>
  <c r="M609" i="7"/>
  <c r="M625" i="7"/>
  <c r="M641" i="7"/>
  <c r="M657" i="7"/>
  <c r="M673" i="7"/>
  <c r="M689" i="7"/>
  <c r="M705" i="7"/>
  <c r="M721" i="7"/>
  <c r="M737" i="7"/>
  <c r="M753" i="7"/>
  <c r="M769" i="7"/>
  <c r="M785" i="7"/>
  <c r="M801" i="7"/>
  <c r="M817" i="7"/>
  <c r="M833" i="7"/>
  <c r="M849" i="7"/>
  <c r="M40" i="7"/>
  <c r="M104" i="7"/>
  <c r="M168" i="7"/>
  <c r="M232" i="7"/>
  <c r="M296" i="7"/>
  <c r="M360" i="7"/>
  <c r="M424" i="7"/>
  <c r="M488" i="7"/>
  <c r="M530" i="7"/>
  <c r="M562" i="7"/>
  <c r="M594" i="7"/>
  <c r="M626" i="7"/>
  <c r="M658" i="7"/>
  <c r="M690" i="7"/>
  <c r="M722" i="7"/>
  <c r="M754" i="7"/>
  <c r="M778" i="7"/>
  <c r="M799" i="7"/>
  <c r="M820" i="7"/>
  <c r="M842" i="7"/>
  <c r="M861" i="7"/>
  <c r="M877" i="7"/>
  <c r="M893" i="7"/>
  <c r="M909" i="7"/>
  <c r="M925" i="7"/>
  <c r="M941" i="7"/>
  <c r="M957" i="7"/>
  <c r="M973" i="7"/>
  <c r="M989" i="7"/>
  <c r="M922" i="7"/>
  <c r="M950" i="7"/>
  <c r="M974" i="7"/>
  <c r="M16" i="7"/>
  <c r="M144" i="7"/>
  <c r="M240" i="7"/>
  <c r="M352" i="7"/>
  <c r="M464" i="7"/>
  <c r="M542" i="7"/>
  <c r="M598" i="7"/>
  <c r="M646" i="7"/>
  <c r="M702" i="7"/>
  <c r="M758" i="7"/>
  <c r="M796" i="7"/>
  <c r="M828" i="7"/>
  <c r="M863" i="7"/>
  <c r="M891" i="7"/>
  <c r="M915" i="7"/>
  <c r="M947" i="7"/>
  <c r="M979" i="7"/>
  <c r="M17" i="7"/>
  <c r="M129" i="7"/>
  <c r="M241" i="7"/>
  <c r="M337" i="7"/>
  <c r="M449" i="7"/>
  <c r="M543" i="7"/>
  <c r="M599" i="7"/>
  <c r="M647" i="7"/>
  <c r="M703" i="7"/>
  <c r="M751" i="7"/>
  <c r="M787" i="7"/>
  <c r="M824" i="7"/>
  <c r="M860" i="7"/>
  <c r="M884" i="7"/>
  <c r="M912" i="7"/>
  <c r="M57" i="7"/>
  <c r="M121" i="7"/>
  <c r="M185" i="7"/>
  <c r="M249" i="7"/>
  <c r="M313" i="7"/>
  <c r="M377" i="7"/>
  <c r="M441" i="7"/>
  <c r="M505" i="7"/>
  <c r="M539" i="7"/>
  <c r="M571" i="7"/>
  <c r="M603" i="7"/>
  <c r="M635" i="7"/>
  <c r="M667" i="7"/>
  <c r="M699" i="7"/>
  <c r="M731" i="7"/>
  <c r="M763" i="7"/>
  <c r="M784" i="7"/>
  <c r="M806" i="7"/>
  <c r="M827" i="7"/>
  <c r="M848" i="7"/>
  <c r="M866" i="7"/>
  <c r="M882" i="7"/>
  <c r="M898" i="7"/>
  <c r="M918" i="7"/>
  <c r="M958" i="7"/>
  <c r="M998" i="7"/>
  <c r="M128" i="7"/>
  <c r="M304" i="7"/>
  <c r="M448" i="7"/>
  <c r="M550" i="7"/>
  <c r="M630" i="7"/>
  <c r="M710" i="7"/>
  <c r="M780" i="7"/>
  <c r="M834" i="7"/>
  <c r="M879" i="7"/>
  <c r="M919" i="7"/>
  <c r="M951" i="7"/>
  <c r="M987" i="7"/>
  <c r="M113" i="7"/>
  <c r="M273" i="7"/>
  <c r="M433" i="7"/>
  <c r="M535" i="7"/>
  <c r="M615" i="7"/>
  <c r="M695" i="7"/>
  <c r="M776" i="7"/>
  <c r="M830" i="7"/>
  <c r="M876" i="7"/>
  <c r="M916" i="7"/>
  <c r="M968" i="7"/>
  <c r="M988" i="7"/>
  <c r="M948" i="7"/>
  <c r="M940" i="7"/>
  <c r="M932" i="7"/>
  <c r="L10" i="7"/>
  <c r="L26" i="7"/>
  <c r="L42" i="7"/>
  <c r="L58" i="7"/>
  <c r="L74" i="7"/>
  <c r="L90" i="7"/>
  <c r="L106" i="7"/>
  <c r="L122" i="7"/>
  <c r="L138" i="7"/>
  <c r="L154" i="7"/>
  <c r="L170" i="7"/>
  <c r="L186" i="7"/>
  <c r="L202" i="7"/>
  <c r="L218" i="7"/>
  <c r="L234" i="7"/>
  <c r="L250" i="7"/>
  <c r="L266" i="7"/>
  <c r="L282" i="7"/>
  <c r="L298" i="7"/>
  <c r="L314" i="7"/>
  <c r="L330" i="7"/>
  <c r="L346" i="7"/>
  <c r="L362" i="7"/>
  <c r="L378" i="7"/>
  <c r="L394" i="7"/>
  <c r="L410" i="7"/>
  <c r="L426" i="7"/>
  <c r="L442" i="7"/>
  <c r="L458" i="7"/>
  <c r="L474" i="7"/>
  <c r="L490" i="7"/>
  <c r="L506" i="7"/>
  <c r="L15" i="7"/>
  <c r="L31" i="7"/>
  <c r="L47" i="7"/>
  <c r="L63" i="7"/>
  <c r="L79" i="7"/>
  <c r="L95" i="7"/>
  <c r="L111" i="7"/>
  <c r="L127" i="7"/>
  <c r="L143" i="7"/>
  <c r="L159" i="7"/>
  <c r="L175" i="7"/>
  <c r="L191" i="7"/>
  <c r="L207" i="7"/>
  <c r="L223" i="7"/>
  <c r="L239" i="7"/>
  <c r="L255" i="7"/>
  <c r="L271" i="7"/>
  <c r="L287" i="7"/>
  <c r="L303" i="7"/>
  <c r="L319" i="7"/>
  <c r="L335" i="7"/>
  <c r="L351" i="7"/>
  <c r="L367" i="7"/>
  <c r="L383" i="7"/>
  <c r="L399" i="7"/>
  <c r="L415" i="7"/>
  <c r="L431" i="7"/>
  <c r="L447" i="7"/>
  <c r="L463" i="7"/>
  <c r="L479" i="7"/>
  <c r="L495" i="7"/>
  <c r="L4" i="7"/>
  <c r="L20" i="7"/>
  <c r="L36" i="7"/>
  <c r="L52" i="7"/>
  <c r="L68" i="7"/>
  <c r="L84" i="7"/>
  <c r="L100" i="7"/>
  <c r="L116" i="7"/>
  <c r="L132" i="7"/>
  <c r="L148" i="7"/>
  <c r="L164" i="7"/>
  <c r="L180" i="7"/>
  <c r="L196" i="7"/>
  <c r="L212" i="7"/>
  <c r="L228" i="7"/>
  <c r="L244" i="7"/>
  <c r="L260" i="7"/>
  <c r="L276" i="7"/>
  <c r="L292" i="7"/>
  <c r="L308" i="7"/>
  <c r="L324" i="7"/>
  <c r="L340" i="7"/>
  <c r="L356" i="7"/>
  <c r="L372" i="7"/>
  <c r="L388" i="7"/>
  <c r="L404" i="7"/>
  <c r="L420" i="7"/>
  <c r="L436" i="7"/>
  <c r="L452" i="7"/>
  <c r="L468" i="7"/>
  <c r="L484" i="7"/>
  <c r="L37" i="7"/>
  <c r="L101" i="7"/>
  <c r="L165" i="7"/>
  <c r="L229" i="7"/>
  <c r="L293" i="7"/>
  <c r="L357" i="7"/>
  <c r="L421" i="7"/>
  <c r="L485" i="7"/>
  <c r="L514" i="7"/>
  <c r="L530" i="7"/>
  <c r="L546" i="7"/>
  <c r="L562" i="7"/>
  <c r="L578" i="7"/>
  <c r="L594" i="7"/>
  <c r="L610" i="7"/>
  <c r="L626" i="7"/>
  <c r="L642" i="7"/>
  <c r="L658" i="7"/>
  <c r="L674" i="7"/>
  <c r="L690" i="7"/>
  <c r="L706" i="7"/>
  <c r="L722" i="7"/>
  <c r="L738" i="7"/>
  <c r="L754" i="7"/>
  <c r="L770" i="7"/>
  <c r="L786" i="7"/>
  <c r="L802" i="7"/>
  <c r="L818" i="7"/>
  <c r="L834" i="7"/>
  <c r="L850" i="7"/>
  <c r="L866" i="7"/>
  <c r="L882" i="7"/>
  <c r="L898" i="7"/>
  <c r="L57" i="7"/>
  <c r="L121" i="7"/>
  <c r="L185" i="7"/>
  <c r="L249" i="7"/>
  <c r="L313" i="7"/>
  <c r="L377" i="7"/>
  <c r="L441" i="7"/>
  <c r="L497" i="7"/>
  <c r="L519" i="7"/>
  <c r="L535" i="7"/>
  <c r="L551" i="7"/>
  <c r="L567" i="7"/>
  <c r="L583" i="7"/>
  <c r="L599" i="7"/>
  <c r="L615" i="7"/>
  <c r="L631" i="7"/>
  <c r="L647" i="7"/>
  <c r="L663" i="7"/>
  <c r="L679" i="7"/>
  <c r="L695" i="7"/>
  <c r="L711" i="7"/>
  <c r="L727" i="7"/>
  <c r="L743" i="7"/>
  <c r="L759" i="7"/>
  <c r="L775" i="7"/>
  <c r="L791" i="7"/>
  <c r="L807" i="7"/>
  <c r="L823" i="7"/>
  <c r="L839" i="7"/>
  <c r="L29" i="7"/>
  <c r="L93" i="7"/>
  <c r="L157" i="7"/>
  <c r="L221" i="7"/>
  <c r="L285" i="7"/>
  <c r="L349" i="7"/>
  <c r="L413" i="7"/>
  <c r="L477" i="7"/>
  <c r="L512" i="7"/>
  <c r="L528" i="7"/>
  <c r="L544" i="7"/>
  <c r="L560" i="7"/>
  <c r="L576" i="7"/>
  <c r="L592" i="7"/>
  <c r="L608" i="7"/>
  <c r="L624" i="7"/>
  <c r="L640" i="7"/>
  <c r="L656" i="7"/>
  <c r="L672" i="7"/>
  <c r="L688" i="7"/>
  <c r="L704" i="7"/>
  <c r="L720" i="7"/>
  <c r="L736" i="7"/>
  <c r="L752" i="7"/>
  <c r="L768" i="7"/>
  <c r="L784" i="7"/>
  <c r="L800" i="7"/>
  <c r="L816" i="7"/>
  <c r="L832" i="7"/>
  <c r="L848" i="7"/>
  <c r="L864" i="7"/>
  <c r="L880" i="7"/>
  <c r="L145" i="7"/>
  <c r="L401" i="7"/>
  <c r="L541" i="7"/>
  <c r="L605" i="7"/>
  <c r="L669" i="7"/>
  <c r="L733" i="7"/>
  <c r="L797" i="7"/>
  <c r="L855" i="7"/>
  <c r="L887" i="7"/>
  <c r="L906" i="7"/>
  <c r="L922" i="7"/>
  <c r="L938" i="7"/>
  <c r="L954" i="7"/>
  <c r="L970" i="7"/>
  <c r="L986" i="7"/>
  <c r="L967" i="7"/>
  <c r="L995" i="7"/>
  <c r="L920" i="7"/>
  <c r="L948" i="7"/>
  <c r="L980" i="7"/>
  <c r="L193" i="7"/>
  <c r="L537" i="7"/>
  <c r="L633" i="7"/>
  <c r="L761" i="7"/>
  <c r="L861" i="7"/>
  <c r="L905" i="7"/>
  <c r="L929" i="7"/>
  <c r="L953" i="7"/>
  <c r="L981" i="7"/>
  <c r="L33" i="7"/>
  <c r="L289" i="7"/>
  <c r="L513" i="7"/>
  <c r="L577" i="7"/>
  <c r="L641" i="7"/>
  <c r="L705" i="7"/>
  <c r="L769" i="7"/>
  <c r="L833" i="7"/>
  <c r="L873" i="7"/>
  <c r="L899" i="7"/>
  <c r="L915" i="7"/>
  <c r="L931" i="7"/>
  <c r="L947" i="7"/>
  <c r="L963" i="7"/>
  <c r="L999" i="7"/>
  <c r="L924" i="7"/>
  <c r="L956" i="7"/>
  <c r="L992" i="7"/>
  <c r="L385" i="7"/>
  <c r="L649" i="7"/>
  <c r="L777" i="7"/>
  <c r="L891" i="7"/>
  <c r="L933" i="7"/>
  <c r="L977" i="7"/>
  <c r="L177" i="7"/>
  <c r="L433" i="7"/>
  <c r="L549" i="7"/>
  <c r="L613" i="7"/>
  <c r="L677" i="7"/>
  <c r="L741" i="7"/>
  <c r="L805" i="7"/>
  <c r="Z452" i="7"/>
  <c r="X454" i="7"/>
  <c r="W38" i="7"/>
  <c r="W453" i="7"/>
  <c r="W256" i="7"/>
  <c r="V110" i="7"/>
  <c r="V276" i="7"/>
  <c r="V958" i="7"/>
  <c r="V633" i="7"/>
  <c r="U210" i="7"/>
  <c r="U452" i="7"/>
  <c r="U676" i="7"/>
  <c r="U886" i="7"/>
  <c r="T198" i="7"/>
  <c r="T351" i="7"/>
  <c r="T356" i="7"/>
  <c r="T705" i="7"/>
  <c r="T831" i="7"/>
  <c r="T710" i="7"/>
  <c r="T690" i="7"/>
  <c r="T89" i="7"/>
  <c r="T744" i="7"/>
  <c r="T963" i="7"/>
  <c r="S78" i="7"/>
  <c r="S334" i="7"/>
  <c r="S83" i="7"/>
  <c r="S339" i="7"/>
  <c r="S92" i="7"/>
  <c r="S348" i="7"/>
  <c r="S489" i="7"/>
  <c r="S153" i="7"/>
  <c r="S667" i="7"/>
  <c r="S333" i="7"/>
  <c r="S883" i="7"/>
  <c r="S649" i="7"/>
  <c r="S980" i="7"/>
  <c r="S728" i="7"/>
  <c r="S965" i="7"/>
  <c r="S828" i="7"/>
  <c r="R178" i="7"/>
  <c r="R434" i="7"/>
  <c r="R231" i="7"/>
  <c r="R487" i="7"/>
  <c r="R465" i="7"/>
  <c r="R732" i="7"/>
  <c r="R472" i="7"/>
  <c r="R737" i="7"/>
  <c r="R993" i="7"/>
  <c r="R718" i="7"/>
  <c r="R936" i="7"/>
  <c r="R33" i="7"/>
  <c r="R860" i="7"/>
  <c r="R457" i="7"/>
  <c r="R727" i="7"/>
  <c r="R906" i="7"/>
  <c r="R256" i="7"/>
  <c r="R626" i="7"/>
  <c r="R896" i="7"/>
  <c r="R531" i="7"/>
  <c r="R882" i="7"/>
  <c r="Q50" i="7"/>
  <c r="Q178" i="7"/>
  <c r="Q306" i="7"/>
  <c r="Q434" i="7"/>
  <c r="Q59" i="7"/>
  <c r="Q187" i="7"/>
  <c r="Q315" i="7"/>
  <c r="Q443" i="7"/>
  <c r="Q64" i="7"/>
  <c r="Q192" i="7"/>
  <c r="Q320" i="7"/>
  <c r="Q448" i="7"/>
  <c r="Q309" i="7"/>
  <c r="Q583" i="7"/>
  <c r="Q711" i="7"/>
  <c r="Q839" i="7"/>
  <c r="Q329" i="7"/>
  <c r="Q588" i="7"/>
  <c r="Q716" i="7"/>
  <c r="Q844" i="7"/>
  <c r="Q237" i="7"/>
  <c r="Q565" i="7"/>
  <c r="Q693" i="7"/>
  <c r="Q821" i="7"/>
  <c r="Q917" i="7"/>
  <c r="Q981" i="7"/>
  <c r="Q561" i="7"/>
  <c r="Q825" i="7"/>
  <c r="Q983" i="7"/>
  <c r="Q610" i="7"/>
  <c r="Q866" i="7"/>
  <c r="Q17" i="7"/>
  <c r="Q510" i="7"/>
  <c r="Q638" i="7"/>
  <c r="Q766" i="7"/>
  <c r="Q890" i="7"/>
  <c r="Q954" i="7"/>
  <c r="Q285" i="7"/>
  <c r="Q705" i="7"/>
  <c r="Q923" i="7"/>
  <c r="Q385" i="7"/>
  <c r="Q738" i="7"/>
  <c r="Q932" i="7"/>
  <c r="P30" i="7"/>
  <c r="P94" i="7"/>
  <c r="P158" i="7"/>
  <c r="P222" i="7"/>
  <c r="P286" i="7"/>
  <c r="P350" i="7"/>
  <c r="P414" i="7"/>
  <c r="P478" i="7"/>
  <c r="P35" i="7"/>
  <c r="P99" i="7"/>
  <c r="P163" i="7"/>
  <c r="P227" i="7"/>
  <c r="P291" i="7"/>
  <c r="P355" i="7"/>
  <c r="P419" i="7"/>
  <c r="P483" i="7"/>
  <c r="P56" i="7"/>
  <c r="P120" i="7"/>
  <c r="P184" i="7"/>
  <c r="P248" i="7"/>
  <c r="P312" i="7"/>
  <c r="P376" i="7"/>
  <c r="P440" i="7"/>
  <c r="P504" i="7"/>
  <c r="P229" i="7"/>
  <c r="P485" i="7"/>
  <c r="P563" i="7"/>
  <c r="P627" i="7"/>
  <c r="P691" i="7"/>
  <c r="P755" i="7"/>
  <c r="P819" i="7"/>
  <c r="P883" i="7"/>
  <c r="P947" i="7"/>
  <c r="P856" i="7"/>
  <c r="P956" i="7"/>
  <c r="P233" i="7"/>
  <c r="P489" i="7"/>
  <c r="P564" i="7"/>
  <c r="P628" i="7"/>
  <c r="P692" i="7"/>
  <c r="P756" i="7"/>
  <c r="P820" i="7"/>
  <c r="P960" i="7"/>
  <c r="P493" i="7"/>
  <c r="P629" i="7"/>
  <c r="P757" i="7"/>
  <c r="P885" i="7"/>
  <c r="P997" i="7"/>
  <c r="P972" i="7"/>
  <c r="P545" i="7"/>
  <c r="P753" i="7"/>
  <c r="P953" i="7"/>
  <c r="P522" i="7"/>
  <c r="P730" i="7"/>
  <c r="P938" i="7"/>
  <c r="P305" i="7"/>
  <c r="P582" i="7"/>
  <c r="P710" i="7"/>
  <c r="P942" i="7"/>
  <c r="P641" i="7"/>
  <c r="P973" i="7"/>
  <c r="P682" i="7"/>
  <c r="O2" i="7"/>
  <c r="O66" i="7"/>
  <c r="O130" i="7"/>
  <c r="O194" i="7"/>
  <c r="O258" i="7"/>
  <c r="O322" i="7"/>
  <c r="O386" i="7"/>
  <c r="O450" i="7"/>
  <c r="O7" i="7"/>
  <c r="O71" i="7"/>
  <c r="O135" i="7"/>
  <c r="O199" i="7"/>
  <c r="O263" i="7"/>
  <c r="O327" i="7"/>
  <c r="O391" i="7"/>
  <c r="O455" i="7"/>
  <c r="O16" i="7"/>
  <c r="O80" i="7"/>
  <c r="O144" i="7"/>
  <c r="O208" i="7"/>
  <c r="O272" i="7"/>
  <c r="O336" i="7"/>
  <c r="O400" i="7"/>
  <c r="O464" i="7"/>
  <c r="O85" i="7"/>
  <c r="O341" i="7"/>
  <c r="O529" i="7"/>
  <c r="O593" i="7"/>
  <c r="O657" i="7"/>
  <c r="O721" i="7"/>
  <c r="O785" i="7"/>
  <c r="O849" i="7"/>
  <c r="O913" i="7"/>
  <c r="O977" i="7"/>
  <c r="O830" i="7"/>
  <c r="O958" i="7"/>
  <c r="O153" i="7"/>
  <c r="O409" i="7"/>
  <c r="O546" i="7"/>
  <c r="O610" i="7"/>
  <c r="O674" i="7"/>
  <c r="O738" i="7"/>
  <c r="O858" i="7"/>
  <c r="O986" i="7"/>
  <c r="O369" i="7"/>
  <c r="O600" i="7"/>
  <c r="O728" i="7"/>
  <c r="O856" i="7"/>
  <c r="O984" i="7"/>
  <c r="O353" i="7"/>
  <c r="O676" i="7"/>
  <c r="O884" i="7"/>
  <c r="O365" i="7"/>
  <c r="O671" i="7"/>
  <c r="O863" i="7"/>
  <c r="O189" i="7"/>
  <c r="O555" i="7"/>
  <c r="O683" i="7"/>
  <c r="O811" i="7"/>
  <c r="O49" i="7"/>
  <c r="O724" i="7"/>
  <c r="O429" i="7"/>
  <c r="O855" i="7"/>
  <c r="N38" i="7"/>
  <c r="N102" i="7"/>
  <c r="N166" i="7"/>
  <c r="N230" i="7"/>
  <c r="N294" i="7"/>
  <c r="N358" i="7"/>
  <c r="N422" i="7"/>
  <c r="N486" i="7"/>
  <c r="N43" i="7"/>
  <c r="N107" i="7"/>
  <c r="N171" i="7"/>
  <c r="N235" i="7"/>
  <c r="N299" i="7"/>
  <c r="N363" i="7"/>
  <c r="N427" i="7"/>
  <c r="N92" i="7"/>
  <c r="N220" i="7"/>
  <c r="N348" i="7"/>
  <c r="N465" i="7"/>
  <c r="N540" i="7"/>
  <c r="N604" i="7"/>
  <c r="N668" i="7"/>
  <c r="N732" i="7"/>
  <c r="N85" i="7"/>
  <c r="N213" i="7"/>
  <c r="N341" i="7"/>
  <c r="N461" i="7"/>
  <c r="N537" i="7"/>
  <c r="N585" i="7"/>
  <c r="N617" i="7"/>
  <c r="N649" i="7"/>
  <c r="N681" i="7"/>
  <c r="N713" i="7"/>
  <c r="N745" i="7"/>
  <c r="N120" i="7"/>
  <c r="N248" i="7"/>
  <c r="N376" i="7"/>
  <c r="N484" i="7"/>
  <c r="N554" i="7"/>
  <c r="N618" i="7"/>
  <c r="N682" i="7"/>
  <c r="N746" i="7"/>
  <c r="N780" i="7"/>
  <c r="N812" i="7"/>
  <c r="N844" i="7"/>
  <c r="N876" i="7"/>
  <c r="N908" i="7"/>
  <c r="N940" i="7"/>
  <c r="N972" i="7"/>
  <c r="N857" i="7"/>
  <c r="N905" i="7"/>
  <c r="N957" i="7"/>
  <c r="N48" i="7"/>
  <c r="N256" i="7"/>
  <c r="N447" i="7"/>
  <c r="N574" i="7"/>
  <c r="N670" i="7"/>
  <c r="N762" i="7"/>
  <c r="N810" i="7"/>
  <c r="N862" i="7"/>
  <c r="N914" i="7"/>
  <c r="N966" i="7"/>
  <c r="N81" i="7"/>
  <c r="N289" i="7"/>
  <c r="N480" i="7"/>
  <c r="N9" i="7"/>
  <c r="N137" i="7"/>
  <c r="N265" i="7"/>
  <c r="N393" i="7"/>
  <c r="N496" i="7"/>
  <c r="N563" i="7"/>
  <c r="N627" i="7"/>
  <c r="N691" i="7"/>
  <c r="N753" i="7"/>
  <c r="N785" i="7"/>
  <c r="N817" i="7"/>
  <c r="N849" i="7"/>
  <c r="N929" i="7"/>
  <c r="N64" i="7"/>
  <c r="N416" i="7"/>
  <c r="N606" i="7"/>
  <c r="N766" i="7"/>
  <c r="N854" i="7"/>
  <c r="N938" i="7"/>
  <c r="N97" i="7"/>
  <c r="N433" i="7"/>
  <c r="N647" i="7"/>
  <c r="N827" i="7"/>
  <c r="N955" i="7"/>
  <c r="N991" i="7"/>
  <c r="N851" i="7"/>
  <c r="N703" i="7"/>
  <c r="N935" i="7"/>
  <c r="N750" i="7"/>
  <c r="N927" i="7"/>
  <c r="N947" i="7"/>
  <c r="N951" i="7"/>
  <c r="M26" i="7"/>
  <c r="M58" i="7"/>
  <c r="M90" i="7"/>
  <c r="M122" i="7"/>
  <c r="M154" i="7"/>
  <c r="M186" i="7"/>
  <c r="M218" i="7"/>
  <c r="M250" i="7"/>
  <c r="M282" i="7"/>
  <c r="M314" i="7"/>
  <c r="M346" i="7"/>
  <c r="M378" i="7"/>
  <c r="M410" i="7"/>
  <c r="M442" i="7"/>
  <c r="M474" i="7"/>
  <c r="M506" i="7"/>
  <c r="M31" i="7"/>
  <c r="M63" i="7"/>
  <c r="M95" i="7"/>
  <c r="M127" i="7"/>
  <c r="M159" i="7"/>
  <c r="M191" i="7"/>
  <c r="M223" i="7"/>
  <c r="M255" i="7"/>
  <c r="M287" i="7"/>
  <c r="M319" i="7"/>
  <c r="M351" i="7"/>
  <c r="M383" i="7"/>
  <c r="M415" i="7"/>
  <c r="M447" i="7"/>
  <c r="M479" i="7"/>
  <c r="M4" i="7"/>
  <c r="M68" i="7"/>
  <c r="M132" i="7"/>
  <c r="M196" i="7"/>
  <c r="M260" i="7"/>
  <c r="M324" i="7"/>
  <c r="M388" i="7"/>
  <c r="M452" i="7"/>
  <c r="M512" i="7"/>
  <c r="M544" i="7"/>
  <c r="M576" i="7"/>
  <c r="M608" i="7"/>
  <c r="M640" i="7"/>
  <c r="M672" i="7"/>
  <c r="M704" i="7"/>
  <c r="M736" i="7"/>
  <c r="M13" i="7"/>
  <c r="M77" i="7"/>
  <c r="M141" i="7"/>
  <c r="M205" i="7"/>
  <c r="M269" i="7"/>
  <c r="M333" i="7"/>
  <c r="M397" i="7"/>
  <c r="M461" i="7"/>
  <c r="M517" i="7"/>
  <c r="M549" i="7"/>
  <c r="M581" i="7"/>
  <c r="M613" i="7"/>
  <c r="M645" i="7"/>
  <c r="M677" i="7"/>
  <c r="M709" i="7"/>
  <c r="M741" i="7"/>
  <c r="M773" i="7"/>
  <c r="M805" i="7"/>
  <c r="M837" i="7"/>
  <c r="M56" i="7"/>
  <c r="M184" i="7"/>
  <c r="M312" i="7"/>
  <c r="M440" i="7"/>
  <c r="M538" i="7"/>
  <c r="M602" i="7"/>
  <c r="M666" i="7"/>
  <c r="M730" i="7"/>
  <c r="M783" i="7"/>
  <c r="M826" i="7"/>
  <c r="M865" i="7"/>
  <c r="M897" i="7"/>
  <c r="M929" i="7"/>
  <c r="M961" i="7"/>
  <c r="M993" i="7"/>
  <c r="M954" i="7"/>
  <c r="M48" i="7"/>
  <c r="M272" i="7"/>
  <c r="M496" i="7"/>
  <c r="M606" i="7"/>
  <c r="M718" i="7"/>
  <c r="M802" i="7"/>
  <c r="M871" i="7"/>
  <c r="M923" i="7"/>
  <c r="M983" i="7"/>
  <c r="M161" i="7"/>
  <c r="M369" i="7"/>
  <c r="M559" i="7"/>
  <c r="M663" i="7"/>
  <c r="M766" i="7"/>
  <c r="M835" i="7"/>
  <c r="M892" i="7"/>
  <c r="M73" i="7"/>
  <c r="M201" i="7"/>
  <c r="M329" i="7"/>
  <c r="M457" i="7"/>
  <c r="M547" i="7"/>
  <c r="M611" i="7"/>
  <c r="M675" i="7"/>
  <c r="M739" i="7"/>
  <c r="M790" i="7"/>
  <c r="M832" i="7"/>
  <c r="M870" i="7"/>
  <c r="M902" i="7"/>
  <c r="M970" i="7"/>
  <c r="M176" i="7"/>
  <c r="M480" i="7"/>
  <c r="M654" i="7"/>
  <c r="M791" i="7"/>
  <c r="M887" i="7"/>
  <c r="M959" i="7"/>
  <c r="M145" i="7"/>
  <c r="M465" i="7"/>
  <c r="M631" i="7"/>
  <c r="M792" i="7"/>
  <c r="M888" i="7"/>
  <c r="M984" i="7"/>
  <c r="M964" i="7"/>
  <c r="M980" i="7"/>
  <c r="L30" i="7"/>
  <c r="L62" i="7"/>
  <c r="L94" i="7"/>
  <c r="L126" i="7"/>
  <c r="L158" i="7"/>
  <c r="L190" i="7"/>
  <c r="L222" i="7"/>
  <c r="L254" i="7"/>
  <c r="L286" i="7"/>
  <c r="L318" i="7"/>
  <c r="L350" i="7"/>
  <c r="L382" i="7"/>
  <c r="L414" i="7"/>
  <c r="L446" i="7"/>
  <c r="L478" i="7"/>
  <c r="L3" i="7"/>
  <c r="L35" i="7"/>
  <c r="L67" i="7"/>
  <c r="L99" i="7"/>
  <c r="L131" i="7"/>
  <c r="L163" i="7"/>
  <c r="L195" i="7"/>
  <c r="L227" i="7"/>
  <c r="L259" i="7"/>
  <c r="L291" i="7"/>
  <c r="L323" i="7"/>
  <c r="L355" i="7"/>
  <c r="L387" i="7"/>
  <c r="L419" i="7"/>
  <c r="L451" i="7"/>
  <c r="L483" i="7"/>
  <c r="L8" i="7"/>
  <c r="L40" i="7"/>
  <c r="L72" i="7"/>
  <c r="L104" i="7"/>
  <c r="L136" i="7"/>
  <c r="L168" i="7"/>
  <c r="L200" i="7"/>
  <c r="L232" i="7"/>
  <c r="L264" i="7"/>
  <c r="L296" i="7"/>
  <c r="L328" i="7"/>
  <c r="L360" i="7"/>
  <c r="L392" i="7"/>
  <c r="L424" i="7"/>
  <c r="L456" i="7"/>
  <c r="L488" i="7"/>
  <c r="L117" i="7"/>
  <c r="L245" i="7"/>
  <c r="L373" i="7"/>
  <c r="L496" i="7"/>
  <c r="L534" i="7"/>
  <c r="L566" i="7"/>
  <c r="L598" i="7"/>
  <c r="L630" i="7"/>
  <c r="L662" i="7"/>
  <c r="L694" i="7"/>
  <c r="L726" i="7"/>
  <c r="L758" i="7"/>
  <c r="L790" i="7"/>
  <c r="L822" i="7"/>
  <c r="L854" i="7"/>
  <c r="L886" i="7"/>
  <c r="L73" i="7"/>
  <c r="L201" i="7"/>
  <c r="L329" i="7"/>
  <c r="L457" i="7"/>
  <c r="L523" i="7"/>
  <c r="L555" i="7"/>
  <c r="L587" i="7"/>
  <c r="L619" i="7"/>
  <c r="L651" i="7"/>
  <c r="L683" i="7"/>
  <c r="L715" i="7"/>
  <c r="L747" i="7"/>
  <c r="L779" i="7"/>
  <c r="L811" i="7"/>
  <c r="L843" i="7"/>
  <c r="L109" i="7"/>
  <c r="L237" i="7"/>
  <c r="L365" i="7"/>
  <c r="L492" i="7"/>
  <c r="L532" i="7"/>
  <c r="L564" i="7"/>
  <c r="L596" i="7"/>
  <c r="L628" i="7"/>
  <c r="L660" i="7"/>
  <c r="L692" i="7"/>
  <c r="L724" i="7"/>
  <c r="L756" i="7"/>
  <c r="L788" i="7"/>
  <c r="L820" i="7"/>
  <c r="L852" i="7"/>
  <c r="L884" i="7"/>
  <c r="L465" i="7"/>
  <c r="L621" i="7"/>
  <c r="L749" i="7"/>
  <c r="L863" i="7"/>
  <c r="L910" i="7"/>
  <c r="L942" i="7"/>
  <c r="L974" i="7"/>
  <c r="L975" i="7"/>
  <c r="L928" i="7"/>
  <c r="L988" i="7"/>
  <c r="L569" i="7"/>
  <c r="L793" i="7"/>
  <c r="L913" i="7"/>
  <c r="L961" i="7"/>
  <c r="L97" i="7"/>
  <c r="L529" i="7"/>
  <c r="L657" i="7"/>
  <c r="L785" i="7"/>
  <c r="L881" i="7"/>
  <c r="L919" i="7"/>
  <c r="L951" i="7"/>
  <c r="L900" i="7"/>
  <c r="L964" i="7"/>
  <c r="L501" i="7"/>
  <c r="L809" i="7"/>
  <c r="L945" i="7"/>
  <c r="L241" i="7"/>
  <c r="L565" i="7"/>
  <c r="L693" i="7"/>
  <c r="L821" i="7"/>
  <c r="L867" i="7"/>
  <c r="K2" i="7"/>
  <c r="K18" i="7"/>
  <c r="K34" i="7"/>
  <c r="K50" i="7"/>
  <c r="K66" i="7"/>
  <c r="K82" i="7"/>
  <c r="K98" i="7"/>
  <c r="K114" i="7"/>
  <c r="K130" i="7"/>
  <c r="K146" i="7"/>
  <c r="K162" i="7"/>
  <c r="K178" i="7"/>
  <c r="K194" i="7"/>
  <c r="K210" i="7"/>
  <c r="K226" i="7"/>
  <c r="K242" i="7"/>
  <c r="K258" i="7"/>
  <c r="K274" i="7"/>
  <c r="K290" i="7"/>
  <c r="K306" i="7"/>
  <c r="K15" i="7"/>
  <c r="K31" i="7"/>
  <c r="K47" i="7"/>
  <c r="K63" i="7"/>
  <c r="K79" i="7"/>
  <c r="K95" i="7"/>
  <c r="K111" i="7"/>
  <c r="K127" i="7"/>
  <c r="K143" i="7"/>
  <c r="K159" i="7"/>
  <c r="K175" i="7"/>
  <c r="K191" i="7"/>
  <c r="K207" i="7"/>
  <c r="K223" i="7"/>
  <c r="K239" i="7"/>
  <c r="K255" i="7"/>
  <c r="K271" i="7"/>
  <c r="K287" i="7"/>
  <c r="K303" i="7"/>
  <c r="K319" i="7"/>
  <c r="K335" i="7"/>
  <c r="K351" i="7"/>
  <c r="K367" i="7"/>
  <c r="K383" i="7"/>
  <c r="K399" i="7"/>
  <c r="K415" i="7"/>
  <c r="K431" i="7"/>
  <c r="K447" i="7"/>
  <c r="K463" i="7"/>
  <c r="K479" i="7"/>
  <c r="K495" i="7"/>
  <c r="K4" i="7"/>
  <c r="K36" i="7"/>
  <c r="K68" i="7"/>
  <c r="K100" i="7"/>
  <c r="K132" i="7"/>
  <c r="K164" i="7"/>
  <c r="K196" i="7"/>
  <c r="K228" i="7"/>
  <c r="K260" i="7"/>
  <c r="K292" i="7"/>
  <c r="K318" i="7"/>
  <c r="K340" i="7"/>
  <c r="K361" i="7"/>
  <c r="K382" i="7"/>
  <c r="K404" i="7"/>
  <c r="K425" i="7"/>
  <c r="K446" i="7"/>
  <c r="K468" i="7"/>
  <c r="K489" i="7"/>
  <c r="K510" i="7"/>
  <c r="K526" i="7"/>
  <c r="K542" i="7"/>
  <c r="K558" i="7"/>
  <c r="K574" i="7"/>
  <c r="K590" i="7"/>
  <c r="K606" i="7"/>
  <c r="K622" i="7"/>
  <c r="K638" i="7"/>
  <c r="K654" i="7"/>
  <c r="K670" i="7"/>
  <c r="K686" i="7"/>
  <c r="K702" i="7"/>
  <c r="K16" i="7"/>
  <c r="K57" i="7"/>
  <c r="K101" i="7"/>
  <c r="K144" i="7"/>
  <c r="K185" i="7"/>
  <c r="K229" i="7"/>
  <c r="K272" i="7"/>
  <c r="K312" i="7"/>
  <c r="K341" i="7"/>
  <c r="K369" i="7"/>
  <c r="K397" i="7"/>
  <c r="K426" i="7"/>
  <c r="K454" i="7"/>
  <c r="K482" i="7"/>
  <c r="K511" i="7"/>
  <c r="K532" i="7"/>
  <c r="K553" i="7"/>
  <c r="K575" i="7"/>
  <c r="K596" i="7"/>
  <c r="K617" i="7"/>
  <c r="K639" i="7"/>
  <c r="K660" i="7"/>
  <c r="K681" i="7"/>
  <c r="K703" i="7"/>
  <c r="K721" i="7"/>
  <c r="K737" i="7"/>
  <c r="K753" i="7"/>
  <c r="K769" i="7"/>
  <c r="K785" i="7"/>
  <c r="K801" i="7"/>
  <c r="K817" i="7"/>
  <c r="K833" i="7"/>
  <c r="K849" i="7"/>
  <c r="K865" i="7"/>
  <c r="K881" i="7"/>
  <c r="K897" i="7"/>
  <c r="K913" i="7"/>
  <c r="K929" i="7"/>
  <c r="K945" i="7"/>
  <c r="K961" i="7"/>
  <c r="K977" i="7"/>
  <c r="K993" i="7"/>
  <c r="K29" i="7"/>
  <c r="K72" i="7"/>
  <c r="K113" i="7"/>
  <c r="K157" i="7"/>
  <c r="K200" i="7"/>
  <c r="K241" i="7"/>
  <c r="K285" i="7"/>
  <c r="K321" i="7"/>
  <c r="K349" i="7"/>
  <c r="K378" i="7"/>
  <c r="K406" i="7"/>
  <c r="K434" i="7"/>
  <c r="K464" i="7"/>
  <c r="K492" i="7"/>
  <c r="K517" i="7"/>
  <c r="K539" i="7"/>
  <c r="K560" i="7"/>
  <c r="K581" i="7"/>
  <c r="K603" i="7"/>
  <c r="K624" i="7"/>
  <c r="K645" i="7"/>
  <c r="K667" i="7"/>
  <c r="K53" i="7"/>
  <c r="K137" i="7"/>
  <c r="K224" i="7"/>
  <c r="K309" i="7"/>
  <c r="K365" i="7"/>
  <c r="K422" i="7"/>
  <c r="K480" i="7"/>
  <c r="K529" i="7"/>
  <c r="K572" i="7"/>
  <c r="K615" i="7"/>
  <c r="K657" i="7"/>
  <c r="K691" i="7"/>
  <c r="K718" i="7"/>
  <c r="K739" i="7"/>
  <c r="K760" i="7"/>
  <c r="K782" i="7"/>
  <c r="K803" i="7"/>
  <c r="K824" i="7"/>
  <c r="K846" i="7"/>
  <c r="K867" i="7"/>
  <c r="K888" i="7"/>
  <c r="K910" i="7"/>
  <c r="K931" i="7"/>
  <c r="K952" i="7"/>
  <c r="K974" i="7"/>
  <c r="K995" i="7"/>
  <c r="K991" i="7"/>
  <c r="K192" i="7"/>
  <c r="K344" i="7"/>
  <c r="K501" i="7"/>
  <c r="K599" i="7"/>
  <c r="K695" i="7"/>
  <c r="K747" i="7"/>
  <c r="K800" i="7"/>
  <c r="K854" i="7"/>
  <c r="K907" i="7"/>
  <c r="K966" i="7"/>
  <c r="K65" i="7"/>
  <c r="K301" i="7"/>
  <c r="K432" i="7"/>
  <c r="K579" i="7"/>
  <c r="K675" i="7"/>
  <c r="K743" i="7"/>
  <c r="K791" i="7"/>
  <c r="K839" i="7"/>
  <c r="K882" i="7"/>
  <c r="K935" i="7"/>
  <c r="K988" i="7"/>
  <c r="K77" i="7"/>
  <c r="K161" i="7"/>
  <c r="K248" i="7"/>
  <c r="K325" i="7"/>
  <c r="K381" i="7"/>
  <c r="K438" i="7"/>
  <c r="K496" i="7"/>
  <c r="K541" i="7"/>
  <c r="K584" i="7"/>
  <c r="K627" i="7"/>
  <c r="K669" i="7"/>
  <c r="K700" i="7"/>
  <c r="K724" i="7"/>
  <c r="K746" i="7"/>
  <c r="K767" i="7"/>
  <c r="K788" i="7"/>
  <c r="K810" i="7"/>
  <c r="K831" i="7"/>
  <c r="K852" i="7"/>
  <c r="K874" i="7"/>
  <c r="K895" i="7"/>
  <c r="K916" i="7"/>
  <c r="K938" i="7"/>
  <c r="K964" i="7"/>
  <c r="K996" i="7"/>
  <c r="K128" i="7"/>
  <c r="K297" i="7"/>
  <c r="K386" i="7"/>
  <c r="K486" i="7"/>
  <c r="K567" i="7"/>
  <c r="K641" i="7"/>
  <c r="K701" i="7"/>
  <c r="K742" i="7"/>
  <c r="K779" i="7"/>
  <c r="K816" i="7"/>
  <c r="K848" i="7"/>
  <c r="K886" i="7"/>
  <c r="K923" i="7"/>
  <c r="K955" i="7"/>
  <c r="K987" i="7"/>
  <c r="K109" i="7"/>
  <c r="K257" i="7"/>
  <c r="K360" i="7"/>
  <c r="K460" i="7"/>
  <c r="K536" i="7"/>
  <c r="K600" i="7"/>
  <c r="K683" i="7"/>
  <c r="K722" i="7"/>
  <c r="K759" i="7"/>
  <c r="K796" i="7"/>
  <c r="K834" i="7"/>
  <c r="K876" i="7"/>
  <c r="K914" i="7"/>
  <c r="K951" i="7"/>
  <c r="K983" i="7"/>
  <c r="J6" i="7"/>
  <c r="J22" i="7"/>
  <c r="J38" i="7"/>
  <c r="J54" i="7"/>
  <c r="J70" i="7"/>
  <c r="J86" i="7"/>
  <c r="J102" i="7"/>
  <c r="J118" i="7"/>
  <c r="J134" i="7"/>
  <c r="J150" i="7"/>
  <c r="J166" i="7"/>
  <c r="J182" i="7"/>
  <c r="J198" i="7"/>
  <c r="J214" i="7"/>
  <c r="J230" i="7"/>
  <c r="J246" i="7"/>
  <c r="J262" i="7"/>
  <c r="J278" i="7"/>
  <c r="J294" i="7"/>
  <c r="J310" i="7"/>
  <c r="J326" i="7"/>
  <c r="J342" i="7"/>
  <c r="J358" i="7"/>
  <c r="J374" i="7"/>
  <c r="J390" i="7"/>
  <c r="J406" i="7"/>
  <c r="J422" i="7"/>
  <c r="J438" i="7"/>
  <c r="J454" i="7"/>
  <c r="J470" i="7"/>
  <c r="J486" i="7"/>
  <c r="J7" i="7"/>
  <c r="J23" i="7"/>
  <c r="J39" i="7"/>
  <c r="J55" i="7"/>
  <c r="J71" i="7"/>
  <c r="J87" i="7"/>
  <c r="J103" i="7"/>
  <c r="J119" i="7"/>
  <c r="J135" i="7"/>
  <c r="J151" i="7"/>
  <c r="J167" i="7"/>
  <c r="J183" i="7"/>
  <c r="J199" i="7"/>
  <c r="J215" i="7"/>
  <c r="J231" i="7"/>
  <c r="J247" i="7"/>
  <c r="J263" i="7"/>
  <c r="J279" i="7"/>
  <c r="J295" i="7"/>
  <c r="J311" i="7"/>
  <c r="J327" i="7"/>
  <c r="J343" i="7"/>
  <c r="J359" i="7"/>
  <c r="J375" i="7"/>
  <c r="J391" i="7"/>
  <c r="J407" i="7"/>
  <c r="J423" i="7"/>
  <c r="J439" i="7"/>
  <c r="J455" i="7"/>
  <c r="J471" i="7"/>
  <c r="J487" i="7"/>
  <c r="J503" i="7"/>
  <c r="J12" i="7"/>
  <c r="J28" i="7"/>
  <c r="J44" i="7"/>
  <c r="J60" i="7"/>
  <c r="J76" i="7"/>
  <c r="J92" i="7"/>
  <c r="J108" i="7"/>
  <c r="J124" i="7"/>
  <c r="J140" i="7"/>
  <c r="J156" i="7"/>
  <c r="J172" i="7"/>
  <c r="J188" i="7"/>
  <c r="J204" i="7"/>
  <c r="J220" i="7"/>
  <c r="J236" i="7"/>
  <c r="J252" i="7"/>
  <c r="J268" i="7"/>
  <c r="J284" i="7"/>
  <c r="J300" i="7"/>
  <c r="J316" i="7"/>
  <c r="J332" i="7"/>
  <c r="J348" i="7"/>
  <c r="J364" i="7"/>
  <c r="J380" i="7"/>
  <c r="J396" i="7"/>
  <c r="J412" i="7"/>
  <c r="J428" i="7"/>
  <c r="J444" i="7"/>
  <c r="J460" i="7"/>
  <c r="J476" i="7"/>
  <c r="J492" i="7"/>
  <c r="J508" i="7"/>
  <c r="J53" i="7"/>
  <c r="J117" i="7"/>
  <c r="J181" i="7"/>
  <c r="J245" i="7"/>
  <c r="J309" i="7"/>
  <c r="J373" i="7"/>
  <c r="J437" i="7"/>
  <c r="J498" i="7"/>
  <c r="J520" i="7"/>
  <c r="J536" i="7"/>
  <c r="J552" i="7"/>
  <c r="J568" i="7"/>
  <c r="J584" i="7"/>
  <c r="J600" i="7"/>
  <c r="J616" i="7"/>
  <c r="J632" i="7"/>
  <c r="J648" i="7"/>
  <c r="J664" i="7"/>
  <c r="J680" i="7"/>
  <c r="J696" i="7"/>
  <c r="J712" i="7"/>
  <c r="J728" i="7"/>
  <c r="J744" i="7"/>
  <c r="J760" i="7"/>
  <c r="J776" i="7"/>
  <c r="J792" i="7"/>
  <c r="J808" i="7"/>
  <c r="J824" i="7"/>
  <c r="J840" i="7"/>
  <c r="J856" i="7"/>
  <c r="J872" i="7"/>
  <c r="J9" i="7"/>
  <c r="J73" i="7"/>
  <c r="J137" i="7"/>
  <c r="J201" i="7"/>
  <c r="J265" i="7"/>
  <c r="J329" i="7"/>
  <c r="J393" i="7"/>
  <c r="J457" i="7"/>
  <c r="J509" i="7"/>
  <c r="J525" i="7"/>
  <c r="J541" i="7"/>
  <c r="J557" i="7"/>
  <c r="J573" i="7"/>
  <c r="J589" i="7"/>
  <c r="J605" i="7"/>
  <c r="J621" i="7"/>
  <c r="J637" i="7"/>
  <c r="J653" i="7"/>
  <c r="J669" i="7"/>
  <c r="J685" i="7"/>
  <c r="J701" i="7"/>
  <c r="J717" i="7"/>
  <c r="J733" i="7"/>
  <c r="J749" i="7"/>
  <c r="J765" i="7"/>
  <c r="J781" i="7"/>
  <c r="J797" i="7"/>
  <c r="J813" i="7"/>
  <c r="J829" i="7"/>
  <c r="J845" i="7"/>
  <c r="J861" i="7"/>
  <c r="J877" i="7"/>
  <c r="J893" i="7"/>
  <c r="J909" i="7"/>
  <c r="J925" i="7"/>
  <c r="J941" i="7"/>
  <c r="J957" i="7"/>
  <c r="J973" i="7"/>
  <c r="J989" i="7"/>
  <c r="J29" i="7"/>
  <c r="J93" i="7"/>
  <c r="J157" i="7"/>
  <c r="J221" i="7"/>
  <c r="J285" i="7"/>
  <c r="J349" i="7"/>
  <c r="J413" i="7"/>
  <c r="J477" i="7"/>
  <c r="J514" i="7"/>
  <c r="J530" i="7"/>
  <c r="J209" i="7"/>
  <c r="J465" i="7"/>
  <c r="J546" i="7"/>
  <c r="J578" i="7"/>
  <c r="J610" i="7"/>
  <c r="J642" i="7"/>
  <c r="J674" i="7"/>
  <c r="J706" i="7"/>
  <c r="J738" i="7"/>
  <c r="J770" i="7"/>
  <c r="J802" i="7"/>
  <c r="J834" i="7"/>
  <c r="J866" i="7"/>
  <c r="J894" i="7"/>
  <c r="J915" i="7"/>
  <c r="J936" i="7"/>
  <c r="J958" i="7"/>
  <c r="J979" i="7"/>
  <c r="J1000" i="7"/>
  <c r="J806" i="7"/>
  <c r="J891" i="7"/>
  <c r="J944" i="7"/>
  <c r="J998" i="7"/>
  <c r="J523" i="7"/>
  <c r="J599" i="7"/>
  <c r="J679" i="7"/>
  <c r="J759" i="7"/>
  <c r="J839" i="7"/>
  <c r="J914" i="7"/>
  <c r="J967" i="7"/>
  <c r="J97" i="7"/>
  <c r="J353" i="7"/>
  <c r="J531" i="7"/>
  <c r="J563" i="7"/>
  <c r="J595" i="7"/>
  <c r="J627" i="7"/>
  <c r="J659" i="7"/>
  <c r="J691" i="7"/>
  <c r="J723" i="7"/>
  <c r="J755" i="7"/>
  <c r="J787" i="7"/>
  <c r="J819" i="7"/>
  <c r="J851" i="7"/>
  <c r="J883" i="7"/>
  <c r="J906" i="7"/>
  <c r="J927" i="7"/>
  <c r="J948" i="7"/>
  <c r="J970" i="7"/>
  <c r="J991" i="7"/>
  <c r="J177" i="7"/>
  <c r="J433" i="7"/>
  <c r="J542" i="7"/>
  <c r="J574" i="7"/>
  <c r="J606" i="7"/>
  <c r="J638" i="7"/>
  <c r="J670" i="7"/>
  <c r="J702" i="7"/>
  <c r="J734" i="7"/>
  <c r="J782" i="7"/>
  <c r="J838" i="7"/>
  <c r="J886" i="7"/>
  <c r="J923" i="7"/>
  <c r="J960" i="7"/>
  <c r="J992" i="7"/>
  <c r="J385" i="7"/>
  <c r="J567" i="7"/>
  <c r="J623" i="7"/>
  <c r="J671" i="7"/>
  <c r="J727" i="7"/>
  <c r="J775" i="7"/>
  <c r="J831" i="7"/>
  <c r="J887" i="7"/>
  <c r="J919" i="7"/>
  <c r="J956" i="7"/>
  <c r="J988" i="7"/>
  <c r="I10" i="7"/>
  <c r="I26" i="7"/>
  <c r="I42" i="7"/>
  <c r="I58" i="7"/>
  <c r="I74" i="7"/>
  <c r="I90" i="7"/>
  <c r="I106" i="7"/>
  <c r="I122" i="7"/>
  <c r="I138" i="7"/>
  <c r="I154" i="7"/>
  <c r="I170" i="7"/>
  <c r="I186" i="7"/>
  <c r="I202" i="7"/>
  <c r="I218" i="7"/>
  <c r="I234" i="7"/>
  <c r="I250" i="7"/>
  <c r="I266" i="7"/>
  <c r="I282" i="7"/>
  <c r="I298" i="7"/>
  <c r="I314" i="7"/>
  <c r="I330" i="7"/>
  <c r="I346" i="7"/>
  <c r="I362" i="7"/>
  <c r="I378" i="7"/>
  <c r="I394" i="7"/>
  <c r="I410" i="7"/>
  <c r="I426" i="7"/>
  <c r="I442" i="7"/>
  <c r="I458" i="7"/>
  <c r="I474" i="7"/>
  <c r="I490" i="7"/>
  <c r="I506" i="7"/>
  <c r="I15" i="7"/>
  <c r="I31" i="7"/>
  <c r="I47" i="7"/>
  <c r="I63" i="7"/>
  <c r="I79" i="7"/>
  <c r="I95" i="7"/>
  <c r="I111" i="7"/>
  <c r="I127" i="7"/>
  <c r="I143" i="7"/>
  <c r="I159" i="7"/>
  <c r="I175" i="7"/>
  <c r="I191" i="7"/>
  <c r="I207" i="7"/>
  <c r="I223" i="7"/>
  <c r="I239" i="7"/>
  <c r="I255" i="7"/>
  <c r="I271" i="7"/>
  <c r="I287" i="7"/>
  <c r="I303" i="7"/>
  <c r="I319" i="7"/>
  <c r="I335" i="7"/>
  <c r="I351" i="7"/>
  <c r="I367" i="7"/>
  <c r="I383" i="7"/>
  <c r="I399" i="7"/>
  <c r="I415" i="7"/>
  <c r="I431" i="7"/>
  <c r="I447" i="7"/>
  <c r="I463" i="7"/>
  <c r="I479" i="7"/>
  <c r="I495" i="7"/>
  <c r="I4" i="7"/>
  <c r="I36" i="7"/>
  <c r="I68" i="7"/>
  <c r="I100" i="7"/>
  <c r="I132" i="7"/>
  <c r="I164" i="7"/>
  <c r="I196" i="7"/>
  <c r="I228" i="7"/>
  <c r="I260" i="7"/>
  <c r="I292" i="7"/>
  <c r="I324" i="7"/>
  <c r="I356" i="7"/>
  <c r="I388" i="7"/>
  <c r="I420" i="7"/>
  <c r="I452" i="7"/>
  <c r="I484" i="7"/>
  <c r="I512" i="7"/>
  <c r="I528" i="7"/>
  <c r="I544" i="7"/>
  <c r="I560" i="7"/>
  <c r="I576" i="7"/>
  <c r="I592" i="7"/>
  <c r="I608" i="7"/>
  <c r="I624" i="7"/>
  <c r="I640" i="7"/>
  <c r="I656" i="7"/>
  <c r="I672" i="7"/>
  <c r="I688" i="7"/>
  <c r="I704" i="7"/>
  <c r="I720" i="7"/>
  <c r="I736" i="7"/>
  <c r="I752" i="7"/>
  <c r="I768" i="7"/>
  <c r="I784" i="7"/>
  <c r="I800" i="7"/>
  <c r="I816" i="7"/>
  <c r="I832" i="7"/>
  <c r="I848" i="7"/>
  <c r="I864" i="7"/>
  <c r="I13" i="7"/>
  <c r="I45" i="7"/>
  <c r="I77" i="7"/>
  <c r="I109" i="7"/>
  <c r="I141" i="7"/>
  <c r="I173" i="7"/>
  <c r="I205" i="7"/>
  <c r="I237" i="7"/>
  <c r="I269" i="7"/>
  <c r="I301" i="7"/>
  <c r="I333" i="7"/>
  <c r="I365" i="7"/>
  <c r="I397" i="7"/>
  <c r="I429" i="7"/>
  <c r="I461" i="7"/>
  <c r="I493" i="7"/>
  <c r="I517" i="7"/>
  <c r="I533" i="7"/>
  <c r="I549" i="7"/>
  <c r="I565" i="7"/>
  <c r="I581" i="7"/>
  <c r="I597" i="7"/>
  <c r="I613" i="7"/>
  <c r="I629" i="7"/>
  <c r="I645" i="7"/>
  <c r="I661" i="7"/>
  <c r="I677" i="7"/>
  <c r="I693" i="7"/>
  <c r="I709" i="7"/>
  <c r="I725" i="7"/>
  <c r="I741" i="7"/>
  <c r="I757" i="7"/>
  <c r="I40" i="7"/>
  <c r="I104" i="7"/>
  <c r="I168" i="7"/>
  <c r="I232" i="7"/>
  <c r="I296" i="7"/>
  <c r="I360" i="7"/>
  <c r="I424" i="7"/>
  <c r="I488" i="7"/>
  <c r="I530" i="7"/>
  <c r="I562" i="7"/>
  <c r="I594" i="7"/>
  <c r="I626" i="7"/>
  <c r="I658" i="7"/>
  <c r="I690" i="7"/>
  <c r="I722" i="7"/>
  <c r="I754" i="7"/>
  <c r="I778" i="7"/>
  <c r="I799" i="7"/>
  <c r="I821" i="7"/>
  <c r="I842" i="7"/>
  <c r="I863" i="7"/>
  <c r="I882" i="7"/>
  <c r="I898" i="7"/>
  <c r="I914" i="7"/>
  <c r="I930" i="7"/>
  <c r="I946" i="7"/>
  <c r="I962" i="7"/>
  <c r="I978" i="7"/>
  <c r="I994" i="7"/>
  <c r="I774" i="7"/>
  <c r="I795" i="7"/>
  <c r="I817" i="7"/>
  <c r="I838" i="7"/>
  <c r="I859" i="7"/>
  <c r="I879" i="7"/>
  <c r="I895" i="7"/>
  <c r="I911" i="7"/>
  <c r="I927" i="7"/>
  <c r="I943" i="7"/>
  <c r="I959" i="7"/>
  <c r="I975" i="7"/>
  <c r="I991" i="7"/>
  <c r="I48" i="7"/>
  <c r="I144" i="7"/>
  <c r="I256" i="7"/>
  <c r="I352" i="7"/>
  <c r="I464" i="7"/>
  <c r="I542" i="7"/>
  <c r="I598" i="7"/>
  <c r="I646" i="7"/>
  <c r="I702" i="7"/>
  <c r="I750" i="7"/>
  <c r="I786" i="7"/>
  <c r="I829" i="7"/>
  <c r="I866" i="7"/>
  <c r="I892" i="7"/>
  <c r="I916" i="7"/>
  <c r="I944" i="7"/>
  <c r="I968" i="7"/>
  <c r="I996" i="7"/>
  <c r="I97" i="7"/>
  <c r="I209" i="7"/>
  <c r="I337" i="7"/>
  <c r="I433" i="7"/>
  <c r="I57" i="7"/>
  <c r="I121" i="7"/>
  <c r="I185" i="7"/>
  <c r="I249" i="7"/>
  <c r="I313" i="7"/>
  <c r="I377" i="7"/>
  <c r="I441" i="7"/>
  <c r="I505" i="7"/>
  <c r="I539" i="7"/>
  <c r="I571" i="7"/>
  <c r="I603" i="7"/>
  <c r="I635" i="7"/>
  <c r="I667" i="7"/>
  <c r="I699" i="7"/>
  <c r="I731" i="7"/>
  <c r="I32" i="7"/>
  <c r="I208" i="7"/>
  <c r="I368" i="7"/>
  <c r="I518" i="7"/>
  <c r="I590" i="7"/>
  <c r="I670" i="7"/>
  <c r="I758" i="7"/>
  <c r="I807" i="7"/>
  <c r="I861" i="7"/>
  <c r="I912" i="7"/>
  <c r="I952" i="7"/>
  <c r="I992" i="7"/>
  <c r="I113" i="7"/>
  <c r="I257" i="7"/>
  <c r="I417" i="7"/>
  <c r="I551" i="7"/>
  <c r="I679" i="7"/>
  <c r="I793" i="7"/>
  <c r="I877" i="7"/>
  <c r="I941" i="7"/>
  <c r="I825" i="7"/>
  <c r="I997" i="7"/>
  <c r="I809" i="7"/>
  <c r="I481" i="7"/>
  <c r="I623" i="7"/>
  <c r="I751" i="7"/>
  <c r="I841" i="7"/>
  <c r="I913" i="7"/>
  <c r="I977" i="7"/>
  <c r="I567" i="7"/>
  <c r="I695" i="7"/>
  <c r="I803" i="7"/>
  <c r="I933" i="7"/>
  <c r="I575" i="7"/>
  <c r="I766" i="7"/>
  <c r="I889" i="7"/>
  <c r="I985" i="7"/>
  <c r="H14" i="7"/>
  <c r="H30" i="7"/>
  <c r="H46" i="7"/>
  <c r="H62" i="7"/>
  <c r="H78" i="7"/>
  <c r="H94" i="7"/>
  <c r="H110" i="7"/>
  <c r="H126" i="7"/>
  <c r="H142" i="7"/>
  <c r="H158" i="7"/>
  <c r="H174" i="7"/>
  <c r="H190" i="7"/>
  <c r="H206" i="7"/>
  <c r="H222" i="7"/>
  <c r="H238" i="7"/>
  <c r="H254" i="7"/>
  <c r="H270" i="7"/>
  <c r="H286" i="7"/>
  <c r="H302" i="7"/>
  <c r="H318" i="7"/>
  <c r="H334" i="7"/>
  <c r="H350" i="7"/>
  <c r="H366" i="7"/>
  <c r="H382" i="7"/>
  <c r="H398" i="7"/>
  <c r="H414" i="7"/>
  <c r="H430" i="7"/>
  <c r="H446" i="7"/>
  <c r="H462" i="7"/>
  <c r="H478" i="7"/>
  <c r="H15" i="7"/>
  <c r="H31" i="7"/>
  <c r="H47" i="7"/>
  <c r="H63" i="7"/>
  <c r="H79" i="7"/>
  <c r="H95" i="7"/>
  <c r="H111" i="7"/>
  <c r="H127" i="7"/>
  <c r="H143" i="7"/>
  <c r="H159" i="7"/>
  <c r="H175" i="7"/>
  <c r="H191" i="7"/>
  <c r="H207" i="7"/>
  <c r="H223" i="7"/>
  <c r="H239" i="7"/>
  <c r="H255" i="7"/>
  <c r="H271" i="7"/>
  <c r="H287" i="7"/>
  <c r="H303" i="7"/>
  <c r="H319" i="7"/>
  <c r="H335" i="7"/>
  <c r="H351" i="7"/>
  <c r="H367" i="7"/>
  <c r="H383" i="7"/>
  <c r="H399" i="7"/>
  <c r="H415" i="7"/>
  <c r="H431" i="7"/>
  <c r="H447" i="7"/>
  <c r="H463" i="7"/>
  <c r="H479" i="7"/>
  <c r="H495" i="7"/>
  <c r="H4" i="7"/>
  <c r="H36" i="7"/>
  <c r="H68" i="7"/>
  <c r="H100" i="7"/>
  <c r="H132" i="7"/>
  <c r="H164" i="7"/>
  <c r="H196" i="7"/>
  <c r="H228" i="7"/>
  <c r="H260" i="7"/>
  <c r="H292" i="7"/>
  <c r="H324" i="7"/>
  <c r="H356" i="7"/>
  <c r="H388" i="7"/>
  <c r="H420" i="7"/>
  <c r="H452" i="7"/>
  <c r="H482" i="7"/>
  <c r="H504" i="7"/>
  <c r="H521" i="7"/>
  <c r="H537" i="7"/>
  <c r="H553" i="7"/>
  <c r="H569" i="7"/>
  <c r="H585" i="7"/>
  <c r="H601" i="7"/>
  <c r="H617" i="7"/>
  <c r="H633" i="7"/>
  <c r="H649" i="7"/>
  <c r="H665" i="7"/>
  <c r="H681" i="7"/>
  <c r="H697" i="7"/>
  <c r="H713" i="7"/>
  <c r="H729" i="7"/>
  <c r="H745" i="7"/>
  <c r="H13" i="7"/>
  <c r="H45" i="7"/>
  <c r="H77" i="7"/>
  <c r="H109" i="7"/>
  <c r="H141" i="7"/>
  <c r="H173" i="7"/>
  <c r="H205" i="7"/>
  <c r="H237" i="7"/>
  <c r="H269" i="7"/>
  <c r="H301" i="7"/>
  <c r="H333" i="7"/>
  <c r="H365" i="7"/>
  <c r="H397" i="7"/>
  <c r="H429" i="7"/>
  <c r="H461" i="7"/>
  <c r="H489" i="7"/>
  <c r="H510" i="7"/>
  <c r="H526" i="7"/>
  <c r="H542" i="7"/>
  <c r="H558" i="7"/>
  <c r="H574" i="7"/>
  <c r="H590" i="7"/>
  <c r="H606" i="7"/>
  <c r="H622" i="7"/>
  <c r="H638" i="7"/>
  <c r="H654" i="7"/>
  <c r="H670" i="7"/>
  <c r="H686" i="7"/>
  <c r="H702" i="7"/>
  <c r="H718" i="7"/>
  <c r="H734" i="7"/>
  <c r="H750" i="7"/>
  <c r="H24" i="7"/>
  <c r="H88" i="7"/>
  <c r="H152" i="7"/>
  <c r="H216" i="7"/>
  <c r="H280" i="7"/>
  <c r="H344" i="7"/>
  <c r="H408" i="7"/>
  <c r="H472" i="7"/>
  <c r="H515" i="7"/>
  <c r="H547" i="7"/>
  <c r="H579" i="7"/>
  <c r="H611" i="7"/>
  <c r="H643" i="7"/>
  <c r="H675" i="7"/>
  <c r="H707" i="7"/>
  <c r="H739" i="7"/>
  <c r="H764" i="7"/>
  <c r="H780" i="7"/>
  <c r="H796" i="7"/>
  <c r="H812" i="7"/>
  <c r="H828" i="7"/>
  <c r="H844" i="7"/>
  <c r="H860" i="7"/>
  <c r="H876" i="7"/>
  <c r="H892" i="7"/>
  <c r="H908" i="7"/>
  <c r="H924" i="7"/>
  <c r="H940" i="7"/>
  <c r="H956" i="7"/>
  <c r="H972" i="7"/>
  <c r="H988" i="7"/>
  <c r="H993" i="7"/>
  <c r="H112" i="7"/>
  <c r="H240" i="7"/>
  <c r="H352" i="7"/>
  <c r="H480" i="7"/>
  <c r="H551" i="7"/>
  <c r="H607" i="7"/>
  <c r="H671" i="7"/>
  <c r="H735" i="7"/>
  <c r="H778" i="7"/>
  <c r="H806" i="7"/>
  <c r="H838" i="7"/>
  <c r="H870" i="7"/>
  <c r="H902" i="7"/>
  <c r="H930" i="7"/>
  <c r="H958" i="7"/>
  <c r="H994" i="7"/>
  <c r="H97" i="7"/>
  <c r="H225" i="7"/>
  <c r="H369" i="7"/>
  <c r="H481" i="7"/>
  <c r="H552" i="7"/>
  <c r="H616" i="7"/>
  <c r="H680" i="7"/>
  <c r="H736" i="7"/>
  <c r="H779" i="7"/>
  <c r="H811" i="7"/>
  <c r="H843" i="7"/>
  <c r="H871" i="7"/>
  <c r="H903" i="7"/>
  <c r="H935" i="7"/>
  <c r="H967" i="7"/>
  <c r="H995" i="7"/>
  <c r="H57" i="7"/>
  <c r="H121" i="7"/>
  <c r="H185" i="7"/>
  <c r="H249" i="7"/>
  <c r="H313" i="7"/>
  <c r="H377" i="7"/>
  <c r="H441" i="7"/>
  <c r="H497" i="7"/>
  <c r="H532" i="7"/>
  <c r="H564" i="7"/>
  <c r="H596" i="7"/>
  <c r="H628" i="7"/>
  <c r="H660" i="7"/>
  <c r="H692" i="7"/>
  <c r="H724" i="7"/>
  <c r="H756" i="7"/>
  <c r="H773" i="7"/>
  <c r="H789" i="7"/>
  <c r="H805" i="7"/>
  <c r="H821" i="7"/>
  <c r="H837" i="7"/>
  <c r="H853" i="7"/>
  <c r="H869" i="7"/>
  <c r="H885" i="7"/>
  <c r="H901" i="7"/>
  <c r="H917" i="7"/>
  <c r="H933" i="7"/>
  <c r="H949" i="7"/>
  <c r="H965" i="7"/>
  <c r="H981" i="7"/>
  <c r="H32" i="7"/>
  <c r="H160" i="7"/>
  <c r="H304" i="7"/>
  <c r="H432" i="7"/>
  <c r="H527" i="7"/>
  <c r="H591" i="7"/>
  <c r="H663" i="7"/>
  <c r="H727" i="7"/>
  <c r="H774" i="7"/>
  <c r="H810" i="7"/>
  <c r="H842" i="7"/>
  <c r="H874" i="7"/>
  <c r="H910" i="7"/>
  <c r="H942" i="7"/>
  <c r="H978" i="7"/>
  <c r="H33" i="7"/>
  <c r="H177" i="7"/>
  <c r="H289" i="7"/>
  <c r="H417" i="7"/>
  <c r="H528" i="7"/>
  <c r="H592" i="7"/>
  <c r="H656" i="7"/>
  <c r="H728" i="7"/>
  <c r="H775" i="7"/>
  <c r="H807" i="7"/>
  <c r="H839" i="7"/>
  <c r="H875" i="7"/>
  <c r="H907" i="7"/>
  <c r="H939" i="7"/>
  <c r="H975" i="7"/>
  <c r="G2" i="7"/>
  <c r="G18" i="7"/>
  <c r="G34" i="7"/>
  <c r="G50" i="7"/>
  <c r="G66" i="7"/>
  <c r="G82" i="7"/>
  <c r="G98" i="7"/>
  <c r="G114" i="7"/>
  <c r="G130" i="7"/>
  <c r="G146" i="7"/>
  <c r="G162" i="7"/>
  <c r="G178" i="7"/>
  <c r="G194" i="7"/>
  <c r="G210" i="7"/>
  <c r="G226" i="7"/>
  <c r="G242" i="7"/>
  <c r="G258" i="7"/>
  <c r="G274" i="7"/>
  <c r="G290" i="7"/>
  <c r="G306" i="7"/>
  <c r="G322" i="7"/>
  <c r="G338" i="7"/>
  <c r="G354" i="7"/>
  <c r="G370" i="7"/>
  <c r="G386" i="7"/>
  <c r="G402" i="7"/>
  <c r="G418" i="7"/>
  <c r="G434" i="7"/>
  <c r="G450" i="7"/>
  <c r="G466" i="7"/>
  <c r="G482" i="7"/>
  <c r="G498" i="7"/>
  <c r="G7" i="7"/>
  <c r="G23" i="7"/>
  <c r="G39" i="7"/>
  <c r="G55" i="7"/>
  <c r="G71" i="7"/>
  <c r="G87" i="7"/>
  <c r="G103" i="7"/>
  <c r="G119" i="7"/>
  <c r="G135" i="7"/>
  <c r="G151" i="7"/>
  <c r="G167" i="7"/>
  <c r="G183" i="7"/>
  <c r="G199" i="7"/>
  <c r="G215" i="7"/>
  <c r="G231" i="7"/>
  <c r="G247" i="7"/>
  <c r="G263" i="7"/>
  <c r="G279" i="7"/>
  <c r="G295" i="7"/>
  <c r="G311" i="7"/>
  <c r="G327" i="7"/>
  <c r="G343" i="7"/>
  <c r="G359" i="7"/>
  <c r="G375" i="7"/>
  <c r="G391" i="7"/>
  <c r="G407" i="7"/>
  <c r="G423" i="7"/>
  <c r="G439" i="7"/>
  <c r="G455" i="7"/>
  <c r="G471" i="7"/>
  <c r="G487" i="7"/>
  <c r="G8" i="7"/>
  <c r="G24" i="7"/>
  <c r="G40" i="7"/>
  <c r="G56" i="7"/>
  <c r="G72" i="7"/>
  <c r="G88" i="7"/>
  <c r="G104" i="7"/>
  <c r="G120" i="7"/>
  <c r="G136" i="7"/>
  <c r="G152" i="7"/>
  <c r="G168" i="7"/>
  <c r="G184" i="7"/>
  <c r="G200" i="7"/>
  <c r="G216" i="7"/>
  <c r="G232" i="7"/>
  <c r="G248" i="7"/>
  <c r="G264" i="7"/>
  <c r="G280" i="7"/>
  <c r="G296" i="7"/>
  <c r="G312" i="7"/>
  <c r="G328" i="7"/>
  <c r="G344" i="7"/>
  <c r="G360" i="7"/>
  <c r="G376" i="7"/>
  <c r="G392" i="7"/>
  <c r="G408" i="7"/>
  <c r="G424" i="7"/>
  <c r="G440" i="7"/>
  <c r="G456" i="7"/>
  <c r="G472" i="7"/>
  <c r="G488" i="7"/>
  <c r="G504" i="7"/>
  <c r="G37" i="7"/>
  <c r="G101" i="7"/>
  <c r="G165" i="7"/>
  <c r="G229" i="7"/>
  <c r="G293" i="7"/>
  <c r="G357" i="7"/>
  <c r="G421" i="7"/>
  <c r="G485" i="7"/>
  <c r="G516" i="7"/>
  <c r="G532" i="7"/>
  <c r="G548" i="7"/>
  <c r="G564" i="7"/>
  <c r="G580" i="7"/>
  <c r="G596" i="7"/>
  <c r="G612" i="7"/>
  <c r="G628" i="7"/>
  <c r="G644" i="7"/>
  <c r="G660" i="7"/>
  <c r="G676" i="7"/>
  <c r="G692" i="7"/>
  <c r="G708" i="7"/>
  <c r="G724" i="7"/>
  <c r="G740" i="7"/>
  <c r="G756" i="7"/>
  <c r="G772" i="7"/>
  <c r="G788" i="7"/>
  <c r="G804" i="7"/>
  <c r="G820" i="7"/>
  <c r="G836" i="7"/>
  <c r="G852" i="7"/>
  <c r="G868" i="7"/>
  <c r="G884" i="7"/>
  <c r="G41" i="7"/>
  <c r="G105" i="7"/>
  <c r="G169" i="7"/>
  <c r="G233" i="7"/>
  <c r="G297" i="7"/>
  <c r="G361" i="7"/>
  <c r="G425" i="7"/>
  <c r="G489" i="7"/>
  <c r="G517" i="7"/>
  <c r="G533" i="7"/>
  <c r="G549" i="7"/>
  <c r="G565" i="7"/>
  <c r="G581" i="7"/>
  <c r="G597" i="7"/>
  <c r="G613" i="7"/>
  <c r="G629" i="7"/>
  <c r="G645" i="7"/>
  <c r="G661" i="7"/>
  <c r="G677" i="7"/>
  <c r="G693" i="7"/>
  <c r="G709" i="7"/>
  <c r="G725" i="7"/>
  <c r="G741" i="7"/>
  <c r="G757" i="7"/>
  <c r="G773" i="7"/>
  <c r="G789" i="7"/>
  <c r="G805" i="7"/>
  <c r="G821" i="7"/>
  <c r="G837" i="7"/>
  <c r="G853" i="7"/>
  <c r="G869" i="7"/>
  <c r="G885" i="7"/>
  <c r="G109" i="7"/>
  <c r="G237" i="7"/>
  <c r="G365" i="7"/>
  <c r="G493" i="7"/>
  <c r="G534" i="7"/>
  <c r="G566" i="7"/>
  <c r="G598" i="7"/>
  <c r="G630" i="7"/>
  <c r="G662" i="7"/>
  <c r="G694" i="7"/>
  <c r="G726" i="7"/>
  <c r="G758" i="7"/>
  <c r="G790" i="7"/>
  <c r="G822" i="7"/>
  <c r="G854" i="7"/>
  <c r="G886" i="7"/>
  <c r="G903" i="7"/>
  <c r="G919" i="7"/>
  <c r="G935" i="7"/>
  <c r="G951" i="7"/>
  <c r="G967" i="7"/>
  <c r="G983" i="7"/>
  <c r="G999" i="7"/>
  <c r="G253" i="7"/>
  <c r="G477" i="7"/>
  <c r="G562" i="7"/>
  <c r="G626" i="7"/>
  <c r="G698" i="7"/>
  <c r="G754" i="7"/>
  <c r="G818" i="7"/>
  <c r="G882" i="7"/>
  <c r="G917" i="7"/>
  <c r="G949" i="7"/>
  <c r="G985" i="7"/>
  <c r="G129" i="7"/>
  <c r="G417" i="7"/>
  <c r="G547" i="7"/>
  <c r="G603" i="7"/>
  <c r="G667" i="7"/>
  <c r="G739" i="7"/>
  <c r="G795" i="7"/>
  <c r="G859" i="7"/>
  <c r="G906" i="7"/>
  <c r="G938" i="7"/>
  <c r="G970" i="7"/>
  <c r="G17" i="7"/>
  <c r="G145" i="7"/>
  <c r="G273" i="7"/>
  <c r="G401" i="7"/>
  <c r="G511" i="7"/>
  <c r="G543" i="7"/>
  <c r="G575" i="7"/>
  <c r="G607" i="7"/>
  <c r="G639" i="7"/>
  <c r="G671" i="7"/>
  <c r="G703" i="7"/>
  <c r="G735" i="7"/>
  <c r="G767" i="7"/>
  <c r="G799" i="7"/>
  <c r="G831" i="7"/>
  <c r="G863" i="7"/>
  <c r="G892" i="7"/>
  <c r="G908" i="7"/>
  <c r="G924" i="7"/>
  <c r="G940" i="7"/>
  <c r="G956" i="7"/>
  <c r="G972" i="7"/>
  <c r="G988" i="7"/>
  <c r="G29" i="7"/>
  <c r="G285" i="7"/>
  <c r="G522" i="7"/>
  <c r="G586" i="7"/>
  <c r="G642" i="7"/>
  <c r="G706" i="7"/>
  <c r="G778" i="7"/>
  <c r="G842" i="7"/>
  <c r="G897" i="7"/>
  <c r="G929" i="7"/>
  <c r="G957" i="7"/>
  <c r="G993" i="7"/>
  <c r="G225" i="7"/>
  <c r="G449" i="7"/>
  <c r="G555" i="7"/>
  <c r="G627" i="7"/>
  <c r="G691" i="7"/>
  <c r="G755" i="7"/>
  <c r="G819" i="7"/>
  <c r="G883" i="7"/>
  <c r="G918" i="7"/>
  <c r="G950" i="7"/>
  <c r="G982" i="7"/>
  <c r="F6" i="7"/>
  <c r="F22" i="7"/>
  <c r="F38" i="7"/>
  <c r="F54" i="7"/>
  <c r="F70" i="7"/>
  <c r="F86" i="7"/>
  <c r="F102" i="7"/>
  <c r="F118" i="7"/>
  <c r="F134" i="7"/>
  <c r="F150" i="7"/>
  <c r="F166" i="7"/>
  <c r="F182" i="7"/>
  <c r="F198" i="7"/>
  <c r="F214" i="7"/>
  <c r="F230" i="7"/>
  <c r="F246" i="7"/>
  <c r="F262" i="7"/>
  <c r="F278" i="7"/>
  <c r="F294" i="7"/>
  <c r="F310" i="7"/>
  <c r="F326" i="7"/>
  <c r="F342" i="7"/>
  <c r="F358" i="7"/>
  <c r="F374" i="7"/>
  <c r="F390" i="7"/>
  <c r="F406" i="7"/>
  <c r="F422" i="7"/>
  <c r="F438" i="7"/>
  <c r="F454" i="7"/>
  <c r="F470" i="7"/>
  <c r="F486" i="7"/>
  <c r="F502" i="7"/>
  <c r="F11" i="7"/>
  <c r="F27" i="7"/>
  <c r="F43" i="7"/>
  <c r="F59" i="7"/>
  <c r="F75" i="7"/>
  <c r="F91" i="7"/>
  <c r="F107" i="7"/>
  <c r="F123" i="7"/>
  <c r="F139" i="7"/>
  <c r="F155" i="7"/>
  <c r="F171" i="7"/>
  <c r="F187" i="7"/>
  <c r="F203" i="7"/>
  <c r="F219" i="7"/>
  <c r="F235" i="7"/>
  <c r="F251" i="7"/>
  <c r="F267" i="7"/>
  <c r="F283" i="7"/>
  <c r="F299" i="7"/>
  <c r="F315" i="7"/>
  <c r="F331" i="7"/>
  <c r="F347" i="7"/>
  <c r="F363" i="7"/>
  <c r="F379" i="7"/>
  <c r="F395" i="7"/>
  <c r="F411" i="7"/>
  <c r="F427" i="7"/>
  <c r="F443" i="7"/>
  <c r="F459" i="7"/>
  <c r="F475" i="7"/>
  <c r="F491" i="7"/>
  <c r="F507" i="7"/>
  <c r="F16" i="7"/>
  <c r="F32" i="7"/>
  <c r="F48" i="7"/>
  <c r="F64" i="7"/>
  <c r="F80" i="7"/>
  <c r="F96" i="7"/>
  <c r="F112" i="7"/>
  <c r="F128" i="7"/>
  <c r="F144" i="7"/>
  <c r="F160" i="7"/>
  <c r="F176" i="7"/>
  <c r="F192" i="7"/>
  <c r="F208" i="7"/>
  <c r="F224" i="7"/>
  <c r="F240" i="7"/>
  <c r="F256" i="7"/>
  <c r="F272" i="7"/>
  <c r="F288" i="7"/>
  <c r="F304" i="7"/>
  <c r="F320" i="7"/>
  <c r="F336" i="7"/>
  <c r="F352" i="7"/>
  <c r="F368" i="7"/>
  <c r="F384" i="7"/>
  <c r="F400" i="7"/>
  <c r="F416" i="7"/>
  <c r="F432" i="7"/>
  <c r="F448" i="7"/>
  <c r="F464" i="7"/>
  <c r="F480" i="7"/>
  <c r="F496" i="7"/>
  <c r="F5" i="7"/>
  <c r="F69" i="7"/>
  <c r="F133" i="7"/>
  <c r="F197" i="7"/>
  <c r="F261" i="7"/>
  <c r="F325" i="7"/>
  <c r="F389" i="7"/>
  <c r="F453" i="7"/>
  <c r="F511" i="7"/>
  <c r="F527" i="7"/>
  <c r="F543" i="7"/>
  <c r="F559" i="7"/>
  <c r="F575" i="7"/>
  <c r="F591" i="7"/>
  <c r="F607" i="7"/>
  <c r="F623" i="7"/>
  <c r="F639" i="7"/>
  <c r="F655" i="7"/>
  <c r="F671" i="7"/>
  <c r="F687" i="7"/>
  <c r="F703" i="7"/>
  <c r="F719" i="7"/>
  <c r="F735" i="7"/>
  <c r="F751" i="7"/>
  <c r="F767" i="7"/>
  <c r="F783" i="7"/>
  <c r="F799" i="7"/>
  <c r="F815" i="7"/>
  <c r="F831" i="7"/>
  <c r="F847" i="7"/>
  <c r="F863" i="7"/>
  <c r="F879" i="7"/>
  <c r="F9" i="7"/>
  <c r="F73" i="7"/>
  <c r="F137" i="7"/>
  <c r="F201" i="7"/>
  <c r="F265" i="7"/>
  <c r="F329" i="7"/>
  <c r="F393" i="7"/>
  <c r="F457" i="7"/>
  <c r="F512" i="7"/>
  <c r="F528" i="7"/>
  <c r="F544" i="7"/>
  <c r="F560" i="7"/>
  <c r="F576" i="7"/>
  <c r="F592" i="7"/>
  <c r="F608" i="7"/>
  <c r="F624" i="7"/>
  <c r="F640" i="7"/>
  <c r="F656" i="7"/>
  <c r="F672" i="7"/>
  <c r="F688" i="7"/>
  <c r="F704" i="7"/>
  <c r="F720" i="7"/>
  <c r="F736" i="7"/>
  <c r="F752" i="7"/>
  <c r="F768" i="7"/>
  <c r="F784" i="7"/>
  <c r="F800" i="7"/>
  <c r="F816" i="7"/>
  <c r="F832" i="7"/>
  <c r="F848" i="7"/>
  <c r="F864" i="7"/>
  <c r="F880" i="7"/>
  <c r="F29" i="7"/>
  <c r="F93" i="7"/>
  <c r="F157" i="7"/>
  <c r="F221" i="7"/>
  <c r="F285" i="7"/>
  <c r="F349" i="7"/>
  <c r="F413" i="7"/>
  <c r="F477" i="7"/>
  <c r="F517" i="7"/>
  <c r="F533" i="7"/>
  <c r="F549" i="7"/>
  <c r="F565" i="7"/>
  <c r="F581" i="7"/>
  <c r="F597" i="7"/>
  <c r="F613" i="7"/>
  <c r="F629" i="7"/>
  <c r="F645" i="7"/>
  <c r="F661" i="7"/>
  <c r="F677" i="7"/>
  <c r="F693" i="7"/>
  <c r="F709" i="7"/>
  <c r="F725" i="7"/>
  <c r="F741" i="7"/>
  <c r="F757" i="7"/>
  <c r="F773" i="7"/>
  <c r="F789" i="7"/>
  <c r="F81" i="7"/>
  <c r="F337" i="7"/>
  <c r="F530" i="7"/>
  <c r="F594" i="7"/>
  <c r="F658" i="7"/>
  <c r="F722" i="7"/>
  <c r="F786" i="7"/>
  <c r="F825" i="7"/>
  <c r="F857" i="7"/>
  <c r="F889" i="7"/>
  <c r="F906" i="7"/>
  <c r="F922" i="7"/>
  <c r="F938" i="7"/>
  <c r="F954" i="7"/>
  <c r="F970" i="7"/>
  <c r="F986" i="7"/>
  <c r="F915" i="7"/>
  <c r="F939" i="7"/>
  <c r="F963" i="7"/>
  <c r="F991" i="7"/>
  <c r="F686" i="7"/>
  <c r="F814" i="7"/>
  <c r="F897" i="7"/>
  <c r="F937" i="7"/>
  <c r="F977" i="7"/>
  <c r="F97" i="7"/>
  <c r="F353" i="7"/>
  <c r="F534" i="7"/>
  <c r="F598" i="7"/>
  <c r="F662" i="7"/>
  <c r="F726" i="7"/>
  <c r="F790" i="7"/>
  <c r="F826" i="7"/>
  <c r="F858" i="7"/>
  <c r="F890" i="7"/>
  <c r="F907" i="7"/>
  <c r="F943" i="7"/>
  <c r="F987" i="7"/>
  <c r="Y364" i="7"/>
  <c r="X464" i="7"/>
  <c r="W43" i="7"/>
  <c r="W715" i="7"/>
  <c r="W771" i="7"/>
  <c r="V366" i="7"/>
  <c r="V643" i="7"/>
  <c r="V273" i="7"/>
  <c r="V714" i="7"/>
  <c r="U466" i="7"/>
  <c r="U325" i="7"/>
  <c r="U750" i="7"/>
  <c r="U762" i="7"/>
  <c r="T326" i="7"/>
  <c r="T479" i="7"/>
  <c r="T484" i="7"/>
  <c r="T833" i="7"/>
  <c r="T964" i="7"/>
  <c r="T827" i="7"/>
  <c r="T898" i="7"/>
  <c r="T803" i="7"/>
  <c r="T899" i="7"/>
  <c r="T568" i="7"/>
  <c r="S142" i="7"/>
  <c r="S398" i="7"/>
  <c r="S147" i="7"/>
  <c r="S403" i="7"/>
  <c r="S156" i="7"/>
  <c r="S412" i="7"/>
  <c r="S562" i="7"/>
  <c r="S409" i="7"/>
  <c r="S731" i="7"/>
  <c r="S584" i="7"/>
  <c r="S947" i="7"/>
  <c r="S757" i="7"/>
  <c r="S349" i="7"/>
  <c r="S898" i="7"/>
  <c r="S738" i="7"/>
  <c r="S969" i="7"/>
  <c r="R242" i="7"/>
  <c r="R39" i="7"/>
  <c r="R295" i="7"/>
  <c r="R84" i="7"/>
  <c r="R540" i="7"/>
  <c r="R93" i="7"/>
  <c r="R545" i="7"/>
  <c r="R801" i="7"/>
  <c r="R184" i="7"/>
  <c r="R808" i="7"/>
  <c r="R979" i="7"/>
  <c r="R353" i="7"/>
  <c r="R73" i="7"/>
  <c r="R535" i="7"/>
  <c r="R778" i="7"/>
  <c r="R948" i="7"/>
  <c r="R384" i="7"/>
  <c r="R690" i="7"/>
  <c r="R971" i="7"/>
  <c r="R635" i="7"/>
  <c r="R951" i="7"/>
  <c r="Q82" i="7"/>
  <c r="Q210" i="7"/>
  <c r="Q338" i="7"/>
  <c r="Q466" i="7"/>
  <c r="Q91" i="7"/>
  <c r="Q219" i="7"/>
  <c r="Q347" i="7"/>
  <c r="Q475" i="7"/>
  <c r="Q96" i="7"/>
  <c r="Q224" i="7"/>
  <c r="Q352" i="7"/>
  <c r="Q480" i="7"/>
  <c r="Q437" i="7"/>
  <c r="Q615" i="7"/>
  <c r="Q743" i="7"/>
  <c r="Q871" i="7"/>
  <c r="Q457" i="7"/>
  <c r="Q620" i="7"/>
  <c r="Q748" i="7"/>
  <c r="Q868" i="7"/>
  <c r="Q365" i="7"/>
  <c r="Q597" i="7"/>
  <c r="Q725" i="7"/>
  <c r="Q853" i="7"/>
  <c r="Q933" i="7"/>
  <c r="Q997" i="7"/>
  <c r="Q633" i="7"/>
  <c r="Q891" i="7"/>
  <c r="Q161" i="7"/>
  <c r="Q674" i="7"/>
  <c r="Q908" i="7"/>
  <c r="Q145" i="7"/>
  <c r="Q542" i="7"/>
  <c r="Q670" i="7"/>
  <c r="Q798" i="7"/>
  <c r="Q906" i="7"/>
  <c r="Q970" i="7"/>
  <c r="Q513" i="7"/>
  <c r="Q769" i="7"/>
  <c r="Q955" i="7"/>
  <c r="Q538" i="7"/>
  <c r="Q794" i="7"/>
  <c r="Q964" i="7"/>
  <c r="P46" i="7"/>
  <c r="P110" i="7"/>
  <c r="P174" i="7"/>
  <c r="P238" i="7"/>
  <c r="P302" i="7"/>
  <c r="P366" i="7"/>
  <c r="P430" i="7"/>
  <c r="P494" i="7"/>
  <c r="P51" i="7"/>
  <c r="P115" i="7"/>
  <c r="P179" i="7"/>
  <c r="P243" i="7"/>
  <c r="P307" i="7"/>
  <c r="P371" i="7"/>
  <c r="P435" i="7"/>
  <c r="P8" i="7"/>
  <c r="P72" i="7"/>
  <c r="P136" i="7"/>
  <c r="P200" i="7"/>
  <c r="P264" i="7"/>
  <c r="P328" i="7"/>
  <c r="P392" i="7"/>
  <c r="P456" i="7"/>
  <c r="P37" i="7"/>
  <c r="P293" i="7"/>
  <c r="P515" i="7"/>
  <c r="P579" i="7"/>
  <c r="P643" i="7"/>
  <c r="P707" i="7"/>
  <c r="P771" i="7"/>
  <c r="P835" i="7"/>
  <c r="P899" i="7"/>
  <c r="P963" i="7"/>
  <c r="P880" i="7"/>
  <c r="P41" i="7"/>
  <c r="P297" i="7"/>
  <c r="P516" i="7"/>
  <c r="P580" i="7"/>
  <c r="P644" i="7"/>
  <c r="P708" i="7"/>
  <c r="P772" i="7"/>
  <c r="P836" i="7"/>
  <c r="P109" i="7"/>
  <c r="P533" i="7"/>
  <c r="P661" i="7"/>
  <c r="P789" i="7"/>
  <c r="P917" i="7"/>
  <c r="P822" i="7"/>
  <c r="P61" i="7"/>
  <c r="P601" i="7"/>
  <c r="P801" i="7"/>
  <c r="P994" i="7"/>
  <c r="P578" i="7"/>
  <c r="P778" i="7"/>
  <c r="P980" i="7"/>
  <c r="P433" i="7"/>
  <c r="P614" i="7"/>
  <c r="P742" i="7"/>
  <c r="P29" i="7"/>
  <c r="P721" i="7"/>
  <c r="P193" i="7"/>
  <c r="P762" i="7"/>
  <c r="O18" i="7"/>
  <c r="O82" i="7"/>
  <c r="O146" i="7"/>
  <c r="O210" i="7"/>
  <c r="O274" i="7"/>
  <c r="O338" i="7"/>
  <c r="O402" i="7"/>
  <c r="O466" i="7"/>
  <c r="O23" i="7"/>
  <c r="O87" i="7"/>
  <c r="O151" i="7"/>
  <c r="O215" i="7"/>
  <c r="O279" i="7"/>
  <c r="O343" i="7"/>
  <c r="O407" i="7"/>
  <c r="O471" i="7"/>
  <c r="O32" i="7"/>
  <c r="O96" i="7"/>
  <c r="O160" i="7"/>
  <c r="O224" i="7"/>
  <c r="O288" i="7"/>
  <c r="O352" i="7"/>
  <c r="O416" i="7"/>
  <c r="O480" i="7"/>
  <c r="O149" i="7"/>
  <c r="O405" i="7"/>
  <c r="O545" i="7"/>
  <c r="O609" i="7"/>
  <c r="O673" i="7"/>
  <c r="O737" i="7"/>
  <c r="O801" i="7"/>
  <c r="O865" i="7"/>
  <c r="O929" i="7"/>
  <c r="O993" i="7"/>
  <c r="O862" i="7"/>
  <c r="O994" i="7"/>
  <c r="O217" i="7"/>
  <c r="O473" i="7"/>
  <c r="O562" i="7"/>
  <c r="O626" i="7"/>
  <c r="O690" i="7"/>
  <c r="O754" i="7"/>
  <c r="O890" i="7"/>
  <c r="O45" i="7"/>
  <c r="O497" i="7"/>
  <c r="O632" i="7"/>
  <c r="O760" i="7"/>
  <c r="O888" i="7"/>
  <c r="O915" i="7"/>
  <c r="O524" i="7"/>
  <c r="O732" i="7"/>
  <c r="O932" i="7"/>
  <c r="O519" i="7"/>
  <c r="O719" i="7"/>
  <c r="O911" i="7"/>
  <c r="O317" i="7"/>
  <c r="O587" i="7"/>
  <c r="O715" i="7"/>
  <c r="O843" i="7"/>
  <c r="O385" i="7"/>
  <c r="O804" i="7"/>
  <c r="O559" i="7"/>
  <c r="O951" i="7"/>
  <c r="N54" i="7"/>
  <c r="N118" i="7"/>
  <c r="N182" i="7"/>
  <c r="N246" i="7"/>
  <c r="N310" i="7"/>
  <c r="N374" i="7"/>
  <c r="N438" i="7"/>
  <c r="N502" i="7"/>
  <c r="N59" i="7"/>
  <c r="N123" i="7"/>
  <c r="N187" i="7"/>
  <c r="N251" i="7"/>
  <c r="N315" i="7"/>
  <c r="N379" i="7"/>
  <c r="N443" i="7"/>
  <c r="N124" i="7"/>
  <c r="N252" i="7"/>
  <c r="N380" i="7"/>
  <c r="N487" i="7"/>
  <c r="N556" i="7"/>
  <c r="N620" i="7"/>
  <c r="N684" i="7"/>
  <c r="N748" i="7"/>
  <c r="N117" i="7"/>
  <c r="N245" i="7"/>
  <c r="N373" i="7"/>
  <c r="N483" i="7"/>
  <c r="N553" i="7"/>
  <c r="N593" i="7"/>
  <c r="N625" i="7"/>
  <c r="N657" i="7"/>
  <c r="N689" i="7"/>
  <c r="N721" i="7"/>
  <c r="N24" i="7"/>
  <c r="N152" i="7"/>
  <c r="N280" i="7"/>
  <c r="N408" i="7"/>
  <c r="N505" i="7"/>
  <c r="N570" i="7"/>
  <c r="N634" i="7"/>
  <c r="N698" i="7"/>
  <c r="N756" i="7"/>
  <c r="N788" i="7"/>
  <c r="N820" i="7"/>
  <c r="N852" i="7"/>
  <c r="N884" i="7"/>
  <c r="N916" i="7"/>
  <c r="N948" i="7"/>
  <c r="N980" i="7"/>
  <c r="N869" i="7"/>
  <c r="N921" i="7"/>
  <c r="N969" i="7"/>
  <c r="N96" i="7"/>
  <c r="N304" i="7"/>
  <c r="N479" i="7"/>
  <c r="N598" i="7"/>
  <c r="N694" i="7"/>
  <c r="N774" i="7"/>
  <c r="N822" i="7"/>
  <c r="N874" i="7"/>
  <c r="N926" i="7"/>
  <c r="N978" i="7"/>
  <c r="N145" i="7"/>
  <c r="N337" i="7"/>
  <c r="N511" i="7"/>
  <c r="N41" i="7"/>
  <c r="N169" i="7"/>
  <c r="N297" i="7"/>
  <c r="N425" i="7"/>
  <c r="N515" i="7"/>
  <c r="N579" i="7"/>
  <c r="N643" i="7"/>
  <c r="N707" i="7"/>
  <c r="N761" i="7"/>
  <c r="N793" i="7"/>
  <c r="N825" i="7"/>
  <c r="N865" i="7"/>
  <c r="N949" i="7"/>
  <c r="N160" i="7"/>
  <c r="N489" i="7"/>
  <c r="N654" i="7"/>
  <c r="N790" i="7"/>
  <c r="N878" i="7"/>
  <c r="N958" i="7"/>
  <c r="N177" i="7"/>
  <c r="N501" i="7"/>
  <c r="N711" i="7"/>
  <c r="N859" i="7"/>
  <c r="N987" i="7"/>
  <c r="N663" i="7"/>
  <c r="N915" i="7"/>
  <c r="N791" i="7"/>
  <c r="N983" i="7"/>
  <c r="N783" i="7"/>
  <c r="N631" i="7"/>
  <c r="N639" i="7"/>
  <c r="M2" i="7"/>
  <c r="M34" i="7"/>
  <c r="M66" i="7"/>
  <c r="M98" i="7"/>
  <c r="M130" i="7"/>
  <c r="M162" i="7"/>
  <c r="M194" i="7"/>
  <c r="M226" i="7"/>
  <c r="M258" i="7"/>
  <c r="M290" i="7"/>
  <c r="M322" i="7"/>
  <c r="M354" i="7"/>
  <c r="M386" i="7"/>
  <c r="M418" i="7"/>
  <c r="M450" i="7"/>
  <c r="M482" i="7"/>
  <c r="M7" i="7"/>
  <c r="M39" i="7"/>
  <c r="M71" i="7"/>
  <c r="M103" i="7"/>
  <c r="M135" i="7"/>
  <c r="M167" i="7"/>
  <c r="M199" i="7"/>
  <c r="M231" i="7"/>
  <c r="M263" i="7"/>
  <c r="M295" i="7"/>
  <c r="M327" i="7"/>
  <c r="M359" i="7"/>
  <c r="M391" i="7"/>
  <c r="M423" i="7"/>
  <c r="M455" i="7"/>
  <c r="M487" i="7"/>
  <c r="M20" i="7"/>
  <c r="M84" i="7"/>
  <c r="M148" i="7"/>
  <c r="M212" i="7"/>
  <c r="M276" i="7"/>
  <c r="M340" i="7"/>
  <c r="M404" i="7"/>
  <c r="M468" i="7"/>
  <c r="M520" i="7"/>
  <c r="M552" i="7"/>
  <c r="M584" i="7"/>
  <c r="M616" i="7"/>
  <c r="M648" i="7"/>
  <c r="M680" i="7"/>
  <c r="M712" i="7"/>
  <c r="M744" i="7"/>
  <c r="M29" i="7"/>
  <c r="M93" i="7"/>
  <c r="M157" i="7"/>
  <c r="M221" i="7"/>
  <c r="M285" i="7"/>
  <c r="M349" i="7"/>
  <c r="M413" i="7"/>
  <c r="M477" i="7"/>
  <c r="M525" i="7"/>
  <c r="M557" i="7"/>
  <c r="M589" i="7"/>
  <c r="M621" i="7"/>
  <c r="M653" i="7"/>
  <c r="M685" i="7"/>
  <c r="M717" i="7"/>
  <c r="M749" i="7"/>
  <c r="M781" i="7"/>
  <c r="M813" i="7"/>
  <c r="M845" i="7"/>
  <c r="M88" i="7"/>
  <c r="M216" i="7"/>
  <c r="M344" i="7"/>
  <c r="M472" i="7"/>
  <c r="M554" i="7"/>
  <c r="M618" i="7"/>
  <c r="M682" i="7"/>
  <c r="M746" i="7"/>
  <c r="M794" i="7"/>
  <c r="M836" i="7"/>
  <c r="M873" i="7"/>
  <c r="M905" i="7"/>
  <c r="M937" i="7"/>
  <c r="M969" i="7"/>
  <c r="M914" i="7"/>
  <c r="M966" i="7"/>
  <c r="M112" i="7"/>
  <c r="M320" i="7"/>
  <c r="M526" i="7"/>
  <c r="M638" i="7"/>
  <c r="M742" i="7"/>
  <c r="M823" i="7"/>
  <c r="M883" i="7"/>
  <c r="M939" i="7"/>
  <c r="M999" i="7"/>
  <c r="M209" i="7"/>
  <c r="M417" i="7"/>
  <c r="M583" i="7"/>
  <c r="M687" i="7"/>
  <c r="M782" i="7"/>
  <c r="M851" i="7"/>
  <c r="M904" i="7"/>
  <c r="M105" i="7"/>
  <c r="M233" i="7"/>
  <c r="M361" i="7"/>
  <c r="M489" i="7"/>
  <c r="M563" i="7"/>
  <c r="M627" i="7"/>
  <c r="M691" i="7"/>
  <c r="M755" i="7"/>
  <c r="M800" i="7"/>
  <c r="M843" i="7"/>
  <c r="M878" i="7"/>
  <c r="M910" i="7"/>
  <c r="M986" i="7"/>
  <c r="M256" i="7"/>
  <c r="M534" i="7"/>
  <c r="M694" i="7"/>
  <c r="M818" i="7"/>
  <c r="M907" i="7"/>
  <c r="M975" i="7"/>
  <c r="M225" i="7"/>
  <c r="M519" i="7"/>
  <c r="M671" i="7"/>
  <c r="M819" i="7"/>
  <c r="M908" i="7"/>
  <c r="M972" i="7"/>
  <c r="M924" i="7"/>
  <c r="L6" i="7"/>
  <c r="L38" i="7"/>
  <c r="L70" i="7"/>
  <c r="L102" i="7"/>
  <c r="L134" i="7"/>
  <c r="L166" i="7"/>
  <c r="L198" i="7"/>
  <c r="L230" i="7"/>
  <c r="L262" i="7"/>
  <c r="L294" i="7"/>
  <c r="L326" i="7"/>
  <c r="L358" i="7"/>
  <c r="L390" i="7"/>
  <c r="L422" i="7"/>
  <c r="L454" i="7"/>
  <c r="L486" i="7"/>
  <c r="L11" i="7"/>
  <c r="L43" i="7"/>
  <c r="L75" i="7"/>
  <c r="L107" i="7"/>
  <c r="L139" i="7"/>
  <c r="L171" i="7"/>
  <c r="L203" i="7"/>
  <c r="L235" i="7"/>
  <c r="L267" i="7"/>
  <c r="L299" i="7"/>
  <c r="L331" i="7"/>
  <c r="L363" i="7"/>
  <c r="L395" i="7"/>
  <c r="L427" i="7"/>
  <c r="L459" i="7"/>
  <c r="L491" i="7"/>
  <c r="L16" i="7"/>
  <c r="L48" i="7"/>
  <c r="L80" i="7"/>
  <c r="L112" i="7"/>
  <c r="L144" i="7"/>
  <c r="L176" i="7"/>
  <c r="L208" i="7"/>
  <c r="L240" i="7"/>
  <c r="L272" i="7"/>
  <c r="L304" i="7"/>
  <c r="L336" i="7"/>
  <c r="L368" i="7"/>
  <c r="L400" i="7"/>
  <c r="L432" i="7"/>
  <c r="L464" i="7"/>
  <c r="L21" i="7"/>
  <c r="L149" i="7"/>
  <c r="L277" i="7"/>
  <c r="L405" i="7"/>
  <c r="L510" i="7"/>
  <c r="L542" i="7"/>
  <c r="L574" i="7"/>
  <c r="L606" i="7"/>
  <c r="L638" i="7"/>
  <c r="L670" i="7"/>
  <c r="L702" i="7"/>
  <c r="L734" i="7"/>
  <c r="L766" i="7"/>
  <c r="L798" i="7"/>
  <c r="L830" i="7"/>
  <c r="L862" i="7"/>
  <c r="L894" i="7"/>
  <c r="L105" i="7"/>
  <c r="L233" i="7"/>
  <c r="L361" i="7"/>
  <c r="L489" i="7"/>
  <c r="L531" i="7"/>
  <c r="L563" i="7"/>
  <c r="L595" i="7"/>
  <c r="L627" i="7"/>
  <c r="L659" i="7"/>
  <c r="L691" i="7"/>
  <c r="L723" i="7"/>
  <c r="L755" i="7"/>
  <c r="L787" i="7"/>
  <c r="L819" i="7"/>
  <c r="L13" i="7"/>
  <c r="L141" i="7"/>
  <c r="L269" i="7"/>
  <c r="L397" i="7"/>
  <c r="L508" i="7"/>
  <c r="L540" i="7"/>
  <c r="L572" i="7"/>
  <c r="L604" i="7"/>
  <c r="L636" i="7"/>
  <c r="L668" i="7"/>
  <c r="L700" i="7"/>
  <c r="L732" i="7"/>
  <c r="L764" i="7"/>
  <c r="L796" i="7"/>
  <c r="L828" i="7"/>
  <c r="L860" i="7"/>
  <c r="L81" i="7"/>
  <c r="L525" i="7"/>
  <c r="L653" i="7"/>
  <c r="L781" i="7"/>
  <c r="L879" i="7"/>
  <c r="L918" i="7"/>
  <c r="L950" i="7"/>
  <c r="L982" i="7"/>
  <c r="L991" i="7"/>
  <c r="L940" i="7"/>
  <c r="L65" i="7"/>
  <c r="L617" i="7"/>
  <c r="L853" i="7"/>
  <c r="L925" i="7"/>
  <c r="L973" i="7"/>
  <c r="L225" i="7"/>
  <c r="L561" i="7"/>
  <c r="L689" i="7"/>
  <c r="L817" i="7"/>
  <c r="L893" i="7"/>
  <c r="L927" i="7"/>
  <c r="L959" i="7"/>
  <c r="L916" i="7"/>
  <c r="L984" i="7"/>
  <c r="L601" i="7"/>
  <c r="L869" i="7"/>
  <c r="L965" i="7"/>
  <c r="L369" i="7"/>
  <c r="L597" i="7"/>
  <c r="L725" i="7"/>
  <c r="L837" i="7"/>
  <c r="L875" i="7"/>
  <c r="K6" i="7"/>
  <c r="K22" i="7"/>
  <c r="K38" i="7"/>
  <c r="K54" i="7"/>
  <c r="K70" i="7"/>
  <c r="K86" i="7"/>
  <c r="K102" i="7"/>
  <c r="K118" i="7"/>
  <c r="K134" i="7"/>
  <c r="K150" i="7"/>
  <c r="K166" i="7"/>
  <c r="K182" i="7"/>
  <c r="K198" i="7"/>
  <c r="K214" i="7"/>
  <c r="K230" i="7"/>
  <c r="K246" i="7"/>
  <c r="K262" i="7"/>
  <c r="K278" i="7"/>
  <c r="K294" i="7"/>
  <c r="K3" i="7"/>
  <c r="K19" i="7"/>
  <c r="K35" i="7"/>
  <c r="K51" i="7"/>
  <c r="K67" i="7"/>
  <c r="K83" i="7"/>
  <c r="K99" i="7"/>
  <c r="K115" i="7"/>
  <c r="K131" i="7"/>
  <c r="K147" i="7"/>
  <c r="K163" i="7"/>
  <c r="K179" i="7"/>
  <c r="K195" i="7"/>
  <c r="K211" i="7"/>
  <c r="K227" i="7"/>
  <c r="K243" i="7"/>
  <c r="K259" i="7"/>
  <c r="K275" i="7"/>
  <c r="K291" i="7"/>
  <c r="K307" i="7"/>
  <c r="K323" i="7"/>
  <c r="K339" i="7"/>
  <c r="K355" i="7"/>
  <c r="K371" i="7"/>
  <c r="K387" i="7"/>
  <c r="K403" i="7"/>
  <c r="K419" i="7"/>
  <c r="K435" i="7"/>
  <c r="K451" i="7"/>
  <c r="K467" i="7"/>
  <c r="K483" i="7"/>
  <c r="K499" i="7"/>
  <c r="K12" i="7"/>
  <c r="K44" i="7"/>
  <c r="K76" i="7"/>
  <c r="K108" i="7"/>
  <c r="K140" i="7"/>
  <c r="K172" i="7"/>
  <c r="K204" i="7"/>
  <c r="K236" i="7"/>
  <c r="K268" i="7"/>
  <c r="K300" i="7"/>
  <c r="K324" i="7"/>
  <c r="K345" i="7"/>
  <c r="K366" i="7"/>
  <c r="K388" i="7"/>
  <c r="K409" i="7"/>
  <c r="K430" i="7"/>
  <c r="K452" i="7"/>
  <c r="K473" i="7"/>
  <c r="K494" i="7"/>
  <c r="K514" i="7"/>
  <c r="K530" i="7"/>
  <c r="K546" i="7"/>
  <c r="K562" i="7"/>
  <c r="K578" i="7"/>
  <c r="K594" i="7"/>
  <c r="K610" i="7"/>
  <c r="K626" i="7"/>
  <c r="K642" i="7"/>
  <c r="K658" i="7"/>
  <c r="K674" i="7"/>
  <c r="K690" i="7"/>
  <c r="K706" i="7"/>
  <c r="K25" i="7"/>
  <c r="K69" i="7"/>
  <c r="K112" i="7"/>
  <c r="K153" i="7"/>
  <c r="K197" i="7"/>
  <c r="K240" i="7"/>
  <c r="K281" i="7"/>
  <c r="K320" i="7"/>
  <c r="K348" i="7"/>
  <c r="K376" i="7"/>
  <c r="K405" i="7"/>
  <c r="K433" i="7"/>
  <c r="K461" i="7"/>
  <c r="K490" i="7"/>
  <c r="K516" i="7"/>
  <c r="K537" i="7"/>
  <c r="K559" i="7"/>
  <c r="K580" i="7"/>
  <c r="K601" i="7"/>
  <c r="K623" i="7"/>
  <c r="K644" i="7"/>
  <c r="K665" i="7"/>
  <c r="K687" i="7"/>
  <c r="K708" i="7"/>
  <c r="K725" i="7"/>
  <c r="K741" i="7"/>
  <c r="K757" i="7"/>
  <c r="K773" i="7"/>
  <c r="K789" i="7"/>
  <c r="K805" i="7"/>
  <c r="K821" i="7"/>
  <c r="K837" i="7"/>
  <c r="K853" i="7"/>
  <c r="K869" i="7"/>
  <c r="K885" i="7"/>
  <c r="K901" i="7"/>
  <c r="K917" i="7"/>
  <c r="K933" i="7"/>
  <c r="K949" i="7"/>
  <c r="K965" i="7"/>
  <c r="K981" i="7"/>
  <c r="K997" i="7"/>
  <c r="K40" i="7"/>
  <c r="K81" i="7"/>
  <c r="K125" i="7"/>
  <c r="K168" i="7"/>
  <c r="K209" i="7"/>
  <c r="K253" i="7"/>
  <c r="K296" i="7"/>
  <c r="K328" i="7"/>
  <c r="K357" i="7"/>
  <c r="K385" i="7"/>
  <c r="K413" i="7"/>
  <c r="K442" i="7"/>
  <c r="K470" i="7"/>
  <c r="K498" i="7"/>
  <c r="K523" i="7"/>
  <c r="K544" i="7"/>
  <c r="K565" i="7"/>
  <c r="K587" i="7"/>
  <c r="K608" i="7"/>
  <c r="K629" i="7"/>
  <c r="K651" i="7"/>
  <c r="K672" i="7"/>
  <c r="K73" i="7"/>
  <c r="K160" i="7"/>
  <c r="K245" i="7"/>
  <c r="K322" i="7"/>
  <c r="K380" i="7"/>
  <c r="K437" i="7"/>
  <c r="K493" i="7"/>
  <c r="K540" i="7"/>
  <c r="K583" i="7"/>
  <c r="K625" i="7"/>
  <c r="K668" i="7"/>
  <c r="K699" i="7"/>
  <c r="K723" i="7"/>
  <c r="K744" i="7"/>
  <c r="K766" i="7"/>
  <c r="K787" i="7"/>
  <c r="K808" i="7"/>
  <c r="K830" i="7"/>
  <c r="K851" i="7"/>
  <c r="K872" i="7"/>
  <c r="K894" i="7"/>
  <c r="K915" i="7"/>
  <c r="K936" i="7"/>
  <c r="K958" i="7"/>
  <c r="K979" i="7"/>
  <c r="K1000" i="7"/>
  <c r="K21" i="7"/>
  <c r="K256" i="7"/>
  <c r="K401" i="7"/>
  <c r="K535" i="7"/>
  <c r="K631" i="7"/>
  <c r="K715" i="7"/>
  <c r="K763" i="7"/>
  <c r="K811" i="7"/>
  <c r="K864" i="7"/>
  <c r="K918" i="7"/>
  <c r="K982" i="7"/>
  <c r="K129" i="7"/>
  <c r="K346" i="7"/>
  <c r="K488" i="7"/>
  <c r="K611" i="7"/>
  <c r="K696" i="7"/>
  <c r="K754" i="7"/>
  <c r="K802" i="7"/>
  <c r="K844" i="7"/>
  <c r="K898" i="7"/>
  <c r="K946" i="7"/>
  <c r="K13" i="7"/>
  <c r="K97" i="7"/>
  <c r="K184" i="7"/>
  <c r="K269" i="7"/>
  <c r="K338" i="7"/>
  <c r="K396" i="7"/>
  <c r="K453" i="7"/>
  <c r="K509" i="7"/>
  <c r="K552" i="7"/>
  <c r="K595" i="7"/>
  <c r="K637" i="7"/>
  <c r="K679" i="7"/>
  <c r="K707" i="7"/>
  <c r="K730" i="7"/>
  <c r="K751" i="7"/>
  <c r="K772" i="7"/>
  <c r="K794" i="7"/>
  <c r="K815" i="7"/>
  <c r="K836" i="7"/>
  <c r="K858" i="7"/>
  <c r="K879" i="7"/>
  <c r="K900" i="7"/>
  <c r="K922" i="7"/>
  <c r="K943" i="7"/>
  <c r="K970" i="7"/>
  <c r="K41" i="7"/>
  <c r="K169" i="7"/>
  <c r="K330" i="7"/>
  <c r="K416" i="7"/>
  <c r="K513" i="7"/>
  <c r="K588" i="7"/>
  <c r="K663" i="7"/>
  <c r="K709" i="7"/>
  <c r="K752" i="7"/>
  <c r="K790" i="7"/>
  <c r="K822" i="7"/>
  <c r="K859" i="7"/>
  <c r="K896" i="7"/>
  <c r="K928" i="7"/>
  <c r="K960" i="7"/>
  <c r="K992" i="7"/>
  <c r="K152" i="7"/>
  <c r="K280" i="7"/>
  <c r="K389" i="7"/>
  <c r="K474" i="7"/>
  <c r="K557" i="7"/>
  <c r="K621" i="7"/>
  <c r="K689" i="7"/>
  <c r="K732" i="7"/>
  <c r="K770" i="7"/>
  <c r="K807" i="7"/>
  <c r="K850" i="7"/>
  <c r="K887" i="7"/>
  <c r="K919" i="7"/>
  <c r="K956" i="7"/>
  <c r="K994" i="7"/>
  <c r="J10" i="7"/>
  <c r="J26" i="7"/>
  <c r="J42" i="7"/>
  <c r="J58" i="7"/>
  <c r="J74" i="7"/>
  <c r="J90" i="7"/>
  <c r="J106" i="7"/>
  <c r="J122" i="7"/>
  <c r="J138" i="7"/>
  <c r="J154" i="7"/>
  <c r="J170" i="7"/>
  <c r="J186" i="7"/>
  <c r="J202" i="7"/>
  <c r="J218" i="7"/>
  <c r="J234" i="7"/>
  <c r="J250" i="7"/>
  <c r="J266" i="7"/>
  <c r="J282" i="7"/>
  <c r="J298" i="7"/>
  <c r="J314" i="7"/>
  <c r="J330" i="7"/>
  <c r="J346" i="7"/>
  <c r="J362" i="7"/>
  <c r="J378" i="7"/>
  <c r="J394" i="7"/>
  <c r="J410" i="7"/>
  <c r="J426" i="7"/>
  <c r="J442" i="7"/>
  <c r="J458" i="7"/>
  <c r="J474" i="7"/>
  <c r="J490" i="7"/>
  <c r="J11" i="7"/>
  <c r="J27" i="7"/>
  <c r="J43" i="7"/>
  <c r="J59" i="7"/>
  <c r="J75" i="7"/>
  <c r="J91" i="7"/>
  <c r="J107" i="7"/>
  <c r="J123" i="7"/>
  <c r="J139" i="7"/>
  <c r="J155" i="7"/>
  <c r="J171" i="7"/>
  <c r="J187" i="7"/>
  <c r="J203" i="7"/>
  <c r="J219" i="7"/>
  <c r="J235" i="7"/>
  <c r="J251" i="7"/>
  <c r="J267" i="7"/>
  <c r="J283" i="7"/>
  <c r="J299" i="7"/>
  <c r="J315" i="7"/>
  <c r="J331" i="7"/>
  <c r="J347" i="7"/>
  <c r="J363" i="7"/>
  <c r="J379" i="7"/>
  <c r="J395" i="7"/>
  <c r="J411" i="7"/>
  <c r="J427" i="7"/>
  <c r="J443" i="7"/>
  <c r="J459" i="7"/>
  <c r="J475" i="7"/>
  <c r="J491" i="7"/>
  <c r="J507" i="7"/>
  <c r="J16" i="7"/>
  <c r="J32" i="7"/>
  <c r="J48" i="7"/>
  <c r="J64" i="7"/>
  <c r="J80" i="7"/>
  <c r="J96" i="7"/>
  <c r="J112" i="7"/>
  <c r="J128" i="7"/>
  <c r="J144" i="7"/>
  <c r="J160" i="7"/>
  <c r="J176" i="7"/>
  <c r="J192" i="7"/>
  <c r="J208" i="7"/>
  <c r="J224" i="7"/>
  <c r="J240" i="7"/>
  <c r="J256" i="7"/>
  <c r="J272" i="7"/>
  <c r="J288" i="7"/>
  <c r="J304" i="7"/>
  <c r="J320" i="7"/>
  <c r="J336" i="7"/>
  <c r="J352" i="7"/>
  <c r="J368" i="7"/>
  <c r="J384" i="7"/>
  <c r="J400" i="7"/>
  <c r="J416" i="7"/>
  <c r="J432" i="7"/>
  <c r="J448" i="7"/>
  <c r="J464" i="7"/>
  <c r="J480" i="7"/>
  <c r="J496" i="7"/>
  <c r="J5" i="7"/>
  <c r="J69" i="7"/>
  <c r="J133" i="7"/>
  <c r="J197" i="7"/>
  <c r="J261" i="7"/>
  <c r="J325" i="7"/>
  <c r="J389" i="7"/>
  <c r="J453" i="7"/>
  <c r="J506" i="7"/>
  <c r="J524" i="7"/>
  <c r="J540" i="7"/>
  <c r="J556" i="7"/>
  <c r="J572" i="7"/>
  <c r="J588" i="7"/>
  <c r="J604" i="7"/>
  <c r="J620" i="7"/>
  <c r="J636" i="7"/>
  <c r="J652" i="7"/>
  <c r="J668" i="7"/>
  <c r="J684" i="7"/>
  <c r="J700" i="7"/>
  <c r="J716" i="7"/>
  <c r="J732" i="7"/>
  <c r="J748" i="7"/>
  <c r="J764" i="7"/>
  <c r="J780" i="7"/>
  <c r="J796" i="7"/>
  <c r="J812" i="7"/>
  <c r="J828" i="7"/>
  <c r="J844" i="7"/>
  <c r="J860" i="7"/>
  <c r="J876" i="7"/>
  <c r="J25" i="7"/>
  <c r="J89" i="7"/>
  <c r="J153" i="7"/>
  <c r="J217" i="7"/>
  <c r="J281" i="7"/>
  <c r="J345" i="7"/>
  <c r="J409" i="7"/>
  <c r="J473" i="7"/>
  <c r="J513" i="7"/>
  <c r="J529" i="7"/>
  <c r="J545" i="7"/>
  <c r="J561" i="7"/>
  <c r="J577" i="7"/>
  <c r="J593" i="7"/>
  <c r="J609" i="7"/>
  <c r="J625" i="7"/>
  <c r="J641" i="7"/>
  <c r="J657" i="7"/>
  <c r="J673" i="7"/>
  <c r="J689" i="7"/>
  <c r="J705" i="7"/>
  <c r="J721" i="7"/>
  <c r="J737" i="7"/>
  <c r="J753" i="7"/>
  <c r="J769" i="7"/>
  <c r="J785" i="7"/>
  <c r="J801" i="7"/>
  <c r="J817" i="7"/>
  <c r="J833" i="7"/>
  <c r="J849" i="7"/>
  <c r="J865" i="7"/>
  <c r="J881" i="7"/>
  <c r="J897" i="7"/>
  <c r="J913" i="7"/>
  <c r="J929" i="7"/>
  <c r="J945" i="7"/>
  <c r="J961" i="7"/>
  <c r="J977" i="7"/>
  <c r="J993" i="7"/>
  <c r="J45" i="7"/>
  <c r="J109" i="7"/>
  <c r="J173" i="7"/>
  <c r="J237" i="7"/>
  <c r="J301" i="7"/>
  <c r="J365" i="7"/>
  <c r="J429" i="7"/>
  <c r="J493" i="7"/>
  <c r="J518" i="7"/>
  <c r="J17" i="7"/>
  <c r="J273" i="7"/>
  <c r="J511" i="7"/>
  <c r="J554" i="7"/>
  <c r="J586" i="7"/>
  <c r="J618" i="7"/>
  <c r="J650" i="7"/>
  <c r="J682" i="7"/>
  <c r="J714" i="7"/>
  <c r="J746" i="7"/>
  <c r="J778" i="7"/>
  <c r="J810" i="7"/>
  <c r="J842" i="7"/>
  <c r="J874" i="7"/>
  <c r="J899" i="7"/>
  <c r="J920" i="7"/>
  <c r="J942" i="7"/>
  <c r="J963" i="7"/>
  <c r="J984" i="7"/>
  <c r="J750" i="7"/>
  <c r="J830" i="7"/>
  <c r="J902" i="7"/>
  <c r="J955" i="7"/>
  <c r="J129" i="7"/>
  <c r="J543" i="7"/>
  <c r="J615" i="7"/>
  <c r="J703" i="7"/>
  <c r="J783" i="7"/>
  <c r="J863" i="7"/>
  <c r="J924" i="7"/>
  <c r="J978" i="7"/>
  <c r="J161" i="7"/>
  <c r="J417" i="7"/>
  <c r="J539" i="7"/>
  <c r="J571" i="7"/>
  <c r="J603" i="7"/>
  <c r="J635" i="7"/>
  <c r="J667" i="7"/>
  <c r="J699" i="7"/>
  <c r="J731" i="7"/>
  <c r="J763" i="7"/>
  <c r="J795" i="7"/>
  <c r="J827" i="7"/>
  <c r="J859" i="7"/>
  <c r="J890" i="7"/>
  <c r="J911" i="7"/>
  <c r="J932" i="7"/>
  <c r="J954" i="7"/>
  <c r="J975" i="7"/>
  <c r="J996" i="7"/>
  <c r="J241" i="7"/>
  <c r="J497" i="7"/>
  <c r="J550" i="7"/>
  <c r="J582" i="7"/>
  <c r="J614" i="7"/>
  <c r="J646" i="7"/>
  <c r="J678" i="7"/>
  <c r="J710" i="7"/>
  <c r="J742" i="7"/>
  <c r="J798" i="7"/>
  <c r="J846" i="7"/>
  <c r="J896" i="7"/>
  <c r="J934" i="7"/>
  <c r="J966" i="7"/>
  <c r="J65" i="7"/>
  <c r="J505" i="7"/>
  <c r="J583" i="7"/>
  <c r="J631" i="7"/>
  <c r="J687" i="7"/>
  <c r="J735" i="7"/>
  <c r="J791" i="7"/>
  <c r="J847" i="7"/>
  <c r="J892" i="7"/>
  <c r="J930" i="7"/>
  <c r="J962" i="7"/>
  <c r="J999" i="7"/>
  <c r="I14" i="7"/>
  <c r="I30" i="7"/>
  <c r="I46" i="7"/>
  <c r="I62" i="7"/>
  <c r="I78" i="7"/>
  <c r="I94" i="7"/>
  <c r="I110" i="7"/>
  <c r="I126" i="7"/>
  <c r="I142" i="7"/>
  <c r="I158" i="7"/>
  <c r="I174" i="7"/>
  <c r="I190" i="7"/>
  <c r="I206" i="7"/>
  <c r="I222" i="7"/>
  <c r="I238" i="7"/>
  <c r="I254" i="7"/>
  <c r="I270" i="7"/>
  <c r="I286" i="7"/>
  <c r="I302" i="7"/>
  <c r="I318" i="7"/>
  <c r="I334" i="7"/>
  <c r="I350" i="7"/>
  <c r="I366" i="7"/>
  <c r="I382" i="7"/>
  <c r="I398" i="7"/>
  <c r="I414" i="7"/>
  <c r="I430" i="7"/>
  <c r="I446" i="7"/>
  <c r="I462" i="7"/>
  <c r="I478" i="7"/>
  <c r="I494" i="7"/>
  <c r="I3" i="7"/>
  <c r="I19" i="7"/>
  <c r="I35" i="7"/>
  <c r="I51" i="7"/>
  <c r="I67" i="7"/>
  <c r="I83" i="7"/>
  <c r="I99" i="7"/>
  <c r="I115" i="7"/>
  <c r="I131" i="7"/>
  <c r="I147" i="7"/>
  <c r="I163" i="7"/>
  <c r="I179" i="7"/>
  <c r="I195" i="7"/>
  <c r="I211" i="7"/>
  <c r="I227" i="7"/>
  <c r="I243" i="7"/>
  <c r="I259" i="7"/>
  <c r="I275" i="7"/>
  <c r="I291" i="7"/>
  <c r="I307" i="7"/>
  <c r="I323" i="7"/>
  <c r="I339" i="7"/>
  <c r="I355" i="7"/>
  <c r="I371" i="7"/>
  <c r="I387" i="7"/>
  <c r="I403" i="7"/>
  <c r="I419" i="7"/>
  <c r="I435" i="7"/>
  <c r="I451" i="7"/>
  <c r="I467" i="7"/>
  <c r="I483" i="7"/>
  <c r="I499" i="7"/>
  <c r="I12" i="7"/>
  <c r="I44" i="7"/>
  <c r="I76" i="7"/>
  <c r="I108" i="7"/>
  <c r="I140" i="7"/>
  <c r="I172" i="7"/>
  <c r="I204" i="7"/>
  <c r="I236" i="7"/>
  <c r="I268" i="7"/>
  <c r="I300" i="7"/>
  <c r="I332" i="7"/>
  <c r="I364" i="7"/>
  <c r="I396" i="7"/>
  <c r="I428" i="7"/>
  <c r="I460" i="7"/>
  <c r="I492" i="7"/>
  <c r="I516" i="7"/>
  <c r="I532" i="7"/>
  <c r="I548" i="7"/>
  <c r="I564" i="7"/>
  <c r="I580" i="7"/>
  <c r="I596" i="7"/>
  <c r="I612" i="7"/>
  <c r="I628" i="7"/>
  <c r="I644" i="7"/>
  <c r="I660" i="7"/>
  <c r="I676" i="7"/>
  <c r="I692" i="7"/>
  <c r="I708" i="7"/>
  <c r="I724" i="7"/>
  <c r="I740" i="7"/>
  <c r="I756" i="7"/>
  <c r="I772" i="7"/>
  <c r="I788" i="7"/>
  <c r="I804" i="7"/>
  <c r="I820" i="7"/>
  <c r="I836" i="7"/>
  <c r="I852" i="7"/>
  <c r="I868" i="7"/>
  <c r="I21" i="7"/>
  <c r="I53" i="7"/>
  <c r="I85" i="7"/>
  <c r="I117" i="7"/>
  <c r="I149" i="7"/>
  <c r="I181" i="7"/>
  <c r="I213" i="7"/>
  <c r="I245" i="7"/>
  <c r="I277" i="7"/>
  <c r="I309" i="7"/>
  <c r="I341" i="7"/>
  <c r="I373" i="7"/>
  <c r="I405" i="7"/>
  <c r="I437" i="7"/>
  <c r="I469" i="7"/>
  <c r="I501" i="7"/>
  <c r="I521" i="7"/>
  <c r="I537" i="7"/>
  <c r="I553" i="7"/>
  <c r="I569" i="7"/>
  <c r="I585" i="7"/>
  <c r="I601" i="7"/>
  <c r="I617" i="7"/>
  <c r="I633" i="7"/>
  <c r="I649" i="7"/>
  <c r="I665" i="7"/>
  <c r="I681" i="7"/>
  <c r="I697" i="7"/>
  <c r="I713" i="7"/>
  <c r="I729" i="7"/>
  <c r="I745" i="7"/>
  <c r="I761" i="7"/>
  <c r="I56" i="7"/>
  <c r="I120" i="7"/>
  <c r="I184" i="7"/>
  <c r="I248" i="7"/>
  <c r="I312" i="7"/>
  <c r="I376" i="7"/>
  <c r="I440" i="7"/>
  <c r="I504" i="7"/>
  <c r="I538" i="7"/>
  <c r="I570" i="7"/>
  <c r="I602" i="7"/>
  <c r="I634" i="7"/>
  <c r="I666" i="7"/>
  <c r="I698" i="7"/>
  <c r="I730" i="7"/>
  <c r="I762" i="7"/>
  <c r="I783" i="7"/>
  <c r="I805" i="7"/>
  <c r="I826" i="7"/>
  <c r="I847" i="7"/>
  <c r="I869" i="7"/>
  <c r="I886" i="7"/>
  <c r="I902" i="7"/>
  <c r="I918" i="7"/>
  <c r="I934" i="7"/>
  <c r="I950" i="7"/>
  <c r="I966" i="7"/>
  <c r="I982" i="7"/>
  <c r="I998" i="7"/>
  <c r="I779" i="7"/>
  <c r="I801" i="7"/>
  <c r="I822" i="7"/>
  <c r="I843" i="7"/>
  <c r="I865" i="7"/>
  <c r="I883" i="7"/>
  <c r="I899" i="7"/>
  <c r="I915" i="7"/>
  <c r="I931" i="7"/>
  <c r="I947" i="7"/>
  <c r="I963" i="7"/>
  <c r="I979" i="7"/>
  <c r="I995" i="7"/>
  <c r="I64" i="7"/>
  <c r="I176" i="7"/>
  <c r="I272" i="7"/>
  <c r="I384" i="7"/>
  <c r="I480" i="7"/>
  <c r="I558" i="7"/>
  <c r="I614" i="7"/>
  <c r="I662" i="7"/>
  <c r="I710" i="7"/>
  <c r="I765" i="7"/>
  <c r="I802" i="7"/>
  <c r="I839" i="7"/>
  <c r="I871" i="7"/>
  <c r="I896" i="7"/>
  <c r="I924" i="7"/>
  <c r="I948" i="7"/>
  <c r="I976" i="7"/>
  <c r="I17" i="7"/>
  <c r="I129" i="7"/>
  <c r="I241" i="7"/>
  <c r="I353" i="7"/>
  <c r="I9" i="7"/>
  <c r="I73" i="7"/>
  <c r="I137" i="7"/>
  <c r="I201" i="7"/>
  <c r="I265" i="7"/>
  <c r="I329" i="7"/>
  <c r="I393" i="7"/>
  <c r="I457" i="7"/>
  <c r="I515" i="7"/>
  <c r="I547" i="7"/>
  <c r="I579" i="7"/>
  <c r="I611" i="7"/>
  <c r="I643" i="7"/>
  <c r="I675" i="7"/>
  <c r="I707" i="7"/>
  <c r="I739" i="7"/>
  <c r="I80" i="7"/>
  <c r="I240" i="7"/>
  <c r="I416" i="7"/>
  <c r="I534" i="7"/>
  <c r="I606" i="7"/>
  <c r="I694" i="7"/>
  <c r="I775" i="7"/>
  <c r="I823" i="7"/>
  <c r="I880" i="7"/>
  <c r="I920" i="7"/>
  <c r="I964" i="7"/>
  <c r="I1000" i="7"/>
  <c r="I161" i="7"/>
  <c r="I289" i="7"/>
  <c r="I449" i="7"/>
  <c r="I583" i="7"/>
  <c r="I711" i="7"/>
  <c r="I814" i="7"/>
  <c r="I893" i="7"/>
  <c r="I957" i="7"/>
  <c r="I885" i="7"/>
  <c r="I543" i="7"/>
  <c r="I851" i="7"/>
  <c r="I527" i="7"/>
  <c r="I655" i="7"/>
  <c r="I777" i="7"/>
  <c r="I862" i="7"/>
  <c r="I929" i="7"/>
  <c r="I993" i="7"/>
  <c r="I599" i="7"/>
  <c r="I727" i="7"/>
  <c r="I846" i="7"/>
  <c r="I949" i="7"/>
  <c r="I607" i="7"/>
  <c r="I787" i="7"/>
  <c r="I921" i="7"/>
  <c r="H2" i="7"/>
  <c r="H18" i="7"/>
  <c r="H34" i="7"/>
  <c r="H50" i="7"/>
  <c r="H66" i="7"/>
  <c r="H82" i="7"/>
  <c r="H98" i="7"/>
  <c r="H114" i="7"/>
  <c r="H130" i="7"/>
  <c r="H146" i="7"/>
  <c r="H162" i="7"/>
  <c r="H178" i="7"/>
  <c r="H194" i="7"/>
  <c r="H210" i="7"/>
  <c r="H226" i="7"/>
  <c r="H242" i="7"/>
  <c r="H258" i="7"/>
  <c r="H274" i="7"/>
  <c r="H290" i="7"/>
  <c r="H306" i="7"/>
  <c r="H322" i="7"/>
  <c r="H338" i="7"/>
  <c r="H354" i="7"/>
  <c r="H370" i="7"/>
  <c r="H386" i="7"/>
  <c r="H402" i="7"/>
  <c r="H418" i="7"/>
  <c r="H434" i="7"/>
  <c r="H450" i="7"/>
  <c r="H466" i="7"/>
  <c r="H3" i="7"/>
  <c r="H19" i="7"/>
  <c r="H35" i="7"/>
  <c r="H51" i="7"/>
  <c r="H67" i="7"/>
  <c r="H83" i="7"/>
  <c r="H99" i="7"/>
  <c r="H115" i="7"/>
  <c r="H131" i="7"/>
  <c r="H147" i="7"/>
  <c r="H163" i="7"/>
  <c r="H179" i="7"/>
  <c r="H195" i="7"/>
  <c r="H211" i="7"/>
  <c r="H227" i="7"/>
  <c r="H243" i="7"/>
  <c r="H259" i="7"/>
  <c r="H275" i="7"/>
  <c r="H291" i="7"/>
  <c r="H307" i="7"/>
  <c r="H323" i="7"/>
  <c r="H339" i="7"/>
  <c r="H355" i="7"/>
  <c r="H371" i="7"/>
  <c r="H387" i="7"/>
  <c r="H403" i="7"/>
  <c r="H419" i="7"/>
  <c r="H435" i="7"/>
  <c r="H451" i="7"/>
  <c r="H467" i="7"/>
  <c r="H483" i="7"/>
  <c r="H499" i="7"/>
  <c r="H12" i="7"/>
  <c r="H44" i="7"/>
  <c r="H76" i="7"/>
  <c r="H108" i="7"/>
  <c r="H140" i="7"/>
  <c r="H172" i="7"/>
  <c r="H204" i="7"/>
  <c r="H236" i="7"/>
  <c r="H268" i="7"/>
  <c r="H300" i="7"/>
  <c r="H332" i="7"/>
  <c r="H364" i="7"/>
  <c r="H396" i="7"/>
  <c r="H428" i="7"/>
  <c r="H460" i="7"/>
  <c r="H488" i="7"/>
  <c r="H509" i="7"/>
  <c r="H525" i="7"/>
  <c r="H541" i="7"/>
  <c r="H557" i="7"/>
  <c r="H573" i="7"/>
  <c r="H589" i="7"/>
  <c r="H605" i="7"/>
  <c r="H621" i="7"/>
  <c r="H637" i="7"/>
  <c r="H653" i="7"/>
  <c r="H669" i="7"/>
  <c r="H685" i="7"/>
  <c r="H701" i="7"/>
  <c r="H717" i="7"/>
  <c r="H733" i="7"/>
  <c r="H749" i="7"/>
  <c r="H21" i="7"/>
  <c r="H53" i="7"/>
  <c r="H85" i="7"/>
  <c r="H117" i="7"/>
  <c r="H149" i="7"/>
  <c r="H181" i="7"/>
  <c r="H213" i="7"/>
  <c r="H245" i="7"/>
  <c r="H277" i="7"/>
  <c r="H309" i="7"/>
  <c r="H341" i="7"/>
  <c r="H373" i="7"/>
  <c r="H405" i="7"/>
  <c r="H437" i="7"/>
  <c r="H469" i="7"/>
  <c r="H494" i="7"/>
  <c r="H514" i="7"/>
  <c r="H530" i="7"/>
  <c r="H546" i="7"/>
  <c r="H562" i="7"/>
  <c r="H578" i="7"/>
  <c r="H594" i="7"/>
  <c r="H610" i="7"/>
  <c r="H626" i="7"/>
  <c r="H642" i="7"/>
  <c r="H658" i="7"/>
  <c r="H674" i="7"/>
  <c r="H690" i="7"/>
  <c r="H706" i="7"/>
  <c r="H722" i="7"/>
  <c r="H738" i="7"/>
  <c r="H754" i="7"/>
  <c r="H40" i="7"/>
  <c r="H104" i="7"/>
  <c r="H168" i="7"/>
  <c r="H232" i="7"/>
  <c r="H296" i="7"/>
  <c r="H360" i="7"/>
  <c r="H424" i="7"/>
  <c r="H485" i="7"/>
  <c r="H523" i="7"/>
  <c r="H555" i="7"/>
  <c r="H587" i="7"/>
  <c r="H619" i="7"/>
  <c r="H651" i="7"/>
  <c r="H683" i="7"/>
  <c r="H715" i="7"/>
  <c r="H747" i="7"/>
  <c r="H768" i="7"/>
  <c r="H784" i="7"/>
  <c r="H800" i="7"/>
  <c r="H816" i="7"/>
  <c r="H832" i="7"/>
  <c r="H848" i="7"/>
  <c r="H864" i="7"/>
  <c r="H880" i="7"/>
  <c r="H896" i="7"/>
  <c r="H912" i="7"/>
  <c r="H928" i="7"/>
  <c r="H944" i="7"/>
  <c r="H960" i="7"/>
  <c r="H976" i="7"/>
  <c r="H992" i="7"/>
  <c r="H16" i="7"/>
  <c r="H144" i="7"/>
  <c r="H256" i="7"/>
  <c r="H384" i="7"/>
  <c r="H501" i="7"/>
  <c r="H567" i="7"/>
  <c r="H623" i="7"/>
  <c r="H687" i="7"/>
  <c r="H751" i="7"/>
  <c r="H786" i="7"/>
  <c r="H814" i="7"/>
  <c r="H846" i="7"/>
  <c r="H878" i="7"/>
  <c r="H906" i="7"/>
  <c r="H938" i="7"/>
  <c r="H966" i="7"/>
  <c r="H17" i="7"/>
  <c r="H129" i="7"/>
  <c r="H257" i="7"/>
  <c r="H401" i="7"/>
  <c r="H502" i="7"/>
  <c r="H568" i="7"/>
  <c r="H632" i="7"/>
  <c r="H696" i="7"/>
  <c r="H752" i="7"/>
  <c r="H787" i="7"/>
  <c r="H819" i="7"/>
  <c r="H847" i="7"/>
  <c r="H879" i="7"/>
  <c r="H911" i="7"/>
  <c r="H943" i="7"/>
  <c r="H971" i="7"/>
  <c r="H9" i="7"/>
  <c r="H73" i="7"/>
  <c r="H137" i="7"/>
  <c r="H201" i="7"/>
  <c r="H265" i="7"/>
  <c r="H329" i="7"/>
  <c r="H393" i="7"/>
  <c r="H457" i="7"/>
  <c r="H508" i="7"/>
  <c r="H540" i="7"/>
  <c r="H572" i="7"/>
  <c r="H604" i="7"/>
  <c r="H636" i="7"/>
  <c r="H668" i="7"/>
  <c r="H700" i="7"/>
  <c r="H732" i="7"/>
  <c r="H761" i="7"/>
  <c r="H777" i="7"/>
  <c r="H793" i="7"/>
  <c r="H809" i="7"/>
  <c r="H825" i="7"/>
  <c r="H841" i="7"/>
  <c r="H857" i="7"/>
  <c r="H873" i="7"/>
  <c r="H889" i="7"/>
  <c r="H905" i="7"/>
  <c r="H921" i="7"/>
  <c r="H937" i="7"/>
  <c r="H953" i="7"/>
  <c r="H969" i="7"/>
  <c r="H985" i="7"/>
  <c r="H64" i="7"/>
  <c r="H192" i="7"/>
  <c r="Y797" i="7"/>
  <c r="X734" i="7"/>
  <c r="W92" i="7"/>
  <c r="W169" i="7"/>
  <c r="W353" i="7"/>
  <c r="V135" i="7"/>
  <c r="V184" i="7"/>
  <c r="V728" i="7"/>
  <c r="V688" i="7"/>
  <c r="U223" i="7"/>
  <c r="U671" i="7"/>
  <c r="U882" i="7"/>
  <c r="U835" i="7"/>
  <c r="T95" i="7"/>
  <c r="T100" i="7"/>
  <c r="T390" i="7"/>
  <c r="T473" i="7"/>
  <c r="T421" i="7"/>
  <c r="T917" i="7"/>
  <c r="T962" i="7"/>
  <c r="T237" i="7"/>
  <c r="T370" i="7"/>
  <c r="T846" i="7"/>
  <c r="S206" i="7"/>
  <c r="S462" i="7"/>
  <c r="S211" i="7"/>
  <c r="S467" i="7"/>
  <c r="S220" i="7"/>
  <c r="S476" i="7"/>
  <c r="S626" i="7"/>
  <c r="S539" i="7"/>
  <c r="S795" i="7"/>
  <c r="S712" i="7"/>
  <c r="S81" i="7"/>
  <c r="S842" i="7"/>
  <c r="S588" i="7"/>
  <c r="S449" i="7"/>
  <c r="S902" i="7"/>
  <c r="R50" i="7"/>
  <c r="R306" i="7"/>
  <c r="R103" i="7"/>
  <c r="R359" i="7"/>
  <c r="R212" i="7"/>
  <c r="R604" i="7"/>
  <c r="R221" i="7"/>
  <c r="R609" i="7"/>
  <c r="R865" i="7"/>
  <c r="R440" i="7"/>
  <c r="R851" i="7"/>
  <c r="R790" i="7"/>
  <c r="R587" i="7"/>
  <c r="R201" i="7"/>
  <c r="R599" i="7"/>
  <c r="R820" i="7"/>
  <c r="R991" i="7"/>
  <c r="R494" i="7"/>
  <c r="R758" i="7"/>
  <c r="R161" i="7"/>
  <c r="R739" i="7"/>
  <c r="R972" i="7"/>
  <c r="Q114" i="7"/>
  <c r="Q242" i="7"/>
  <c r="Q370" i="7"/>
  <c r="Q498" i="7"/>
  <c r="Q123" i="7"/>
  <c r="Q251" i="7"/>
  <c r="Q379" i="7"/>
  <c r="Q507" i="7"/>
  <c r="Q128" i="7"/>
  <c r="Q256" i="7"/>
  <c r="Q384" i="7"/>
  <c r="Q53" i="7"/>
  <c r="Q519" i="7"/>
  <c r="Q647" i="7"/>
  <c r="Q775" i="7"/>
  <c r="Q73" i="7"/>
  <c r="Q524" i="7"/>
  <c r="Q652" i="7"/>
  <c r="Q780" i="7"/>
  <c r="Q884" i="7"/>
  <c r="Q493" i="7"/>
  <c r="Q629" i="7"/>
  <c r="Q757" i="7"/>
  <c r="Q885" i="7"/>
  <c r="Q949" i="7"/>
  <c r="Q221" i="7"/>
  <c r="Q697" i="7"/>
  <c r="Q919" i="7"/>
  <c r="Q417" i="7"/>
  <c r="Q730" i="7"/>
  <c r="Q944" i="7"/>
  <c r="Q273" i="7"/>
  <c r="Q574" i="7"/>
  <c r="Q702" i="7"/>
  <c r="Q830" i="7"/>
  <c r="Q922" i="7"/>
  <c r="Q986" i="7"/>
  <c r="Q585" i="7"/>
  <c r="Q833" i="7"/>
  <c r="Q987" i="7"/>
  <c r="Q602" i="7"/>
  <c r="Q858" i="7"/>
  <c r="Q996" i="7"/>
  <c r="P62" i="7"/>
  <c r="P126" i="7"/>
  <c r="P190" i="7"/>
  <c r="P254" i="7"/>
  <c r="P318" i="7"/>
  <c r="P382" i="7"/>
  <c r="P446" i="7"/>
  <c r="P3" i="7"/>
  <c r="P67" i="7"/>
  <c r="P131" i="7"/>
  <c r="P195" i="7"/>
  <c r="P259" i="7"/>
  <c r="P323" i="7"/>
  <c r="P387" i="7"/>
  <c r="P451" i="7"/>
  <c r="P24" i="7"/>
  <c r="P88" i="7"/>
  <c r="P152" i="7"/>
  <c r="P216" i="7"/>
  <c r="P280" i="7"/>
  <c r="P344" i="7"/>
  <c r="P408" i="7"/>
  <c r="P472" i="7"/>
  <c r="P101" i="7"/>
  <c r="P357" i="7"/>
  <c r="P531" i="7"/>
  <c r="P595" i="7"/>
  <c r="P659" i="7"/>
  <c r="P723" i="7"/>
  <c r="P787" i="7"/>
  <c r="P851" i="7"/>
  <c r="P915" i="7"/>
  <c r="P979" i="7"/>
  <c r="P908" i="7"/>
  <c r="P105" i="7"/>
  <c r="P361" i="7"/>
  <c r="P532" i="7"/>
  <c r="P596" i="7"/>
  <c r="P660" i="7"/>
  <c r="P724" i="7"/>
  <c r="P788" i="7"/>
  <c r="P872" i="7"/>
  <c r="P237" i="7"/>
  <c r="P565" i="7"/>
  <c r="P693" i="7"/>
  <c r="P821" i="7"/>
  <c r="P949" i="7"/>
  <c r="P870" i="7"/>
  <c r="P253" i="7"/>
  <c r="P649" i="7"/>
  <c r="P849" i="7"/>
  <c r="P161" i="7"/>
  <c r="P626" i="7"/>
  <c r="P834" i="7"/>
  <c r="P49" i="7"/>
  <c r="P518" i="7"/>
  <c r="P646" i="7"/>
  <c r="P774" i="7"/>
  <c r="P381" i="7"/>
  <c r="P817" i="7"/>
  <c r="P514" i="7"/>
  <c r="P850" i="7"/>
  <c r="O34" i="7"/>
  <c r="O98" i="7"/>
  <c r="O162" i="7"/>
  <c r="O226" i="7"/>
  <c r="O290" i="7"/>
  <c r="O354" i="7"/>
  <c r="O418" i="7"/>
  <c r="O482" i="7"/>
  <c r="O39" i="7"/>
  <c r="O103" i="7"/>
  <c r="O167" i="7"/>
  <c r="O231" i="7"/>
  <c r="O295" i="7"/>
  <c r="O359" i="7"/>
  <c r="O423" i="7"/>
  <c r="O487" i="7"/>
  <c r="O48" i="7"/>
  <c r="O112" i="7"/>
  <c r="O176" i="7"/>
  <c r="O240" i="7"/>
  <c r="O304" i="7"/>
  <c r="O368" i="7"/>
  <c r="O432" i="7"/>
  <c r="O496" i="7"/>
  <c r="O213" i="7"/>
  <c r="O469" i="7"/>
  <c r="O561" i="7"/>
  <c r="O625" i="7"/>
  <c r="O689" i="7"/>
  <c r="O753" i="7"/>
  <c r="O817" i="7"/>
  <c r="O881" i="7"/>
  <c r="O945" i="7"/>
  <c r="O778" i="7"/>
  <c r="O894" i="7"/>
  <c r="O25" i="7"/>
  <c r="O281" i="7"/>
  <c r="O514" i="7"/>
  <c r="O578" i="7"/>
  <c r="O642" i="7"/>
  <c r="O706" i="7"/>
  <c r="O786" i="7"/>
  <c r="O922" i="7"/>
  <c r="O113" i="7"/>
  <c r="O536" i="7"/>
  <c r="O664" i="7"/>
  <c r="O792" i="7"/>
  <c r="O920" i="7"/>
  <c r="O971" i="7"/>
  <c r="O572" i="7"/>
  <c r="O780" i="7"/>
  <c r="O980" i="7"/>
  <c r="O583" i="7"/>
  <c r="O767" i="7"/>
  <c r="O959" i="7"/>
  <c r="O445" i="7"/>
  <c r="O619" i="7"/>
  <c r="O747" i="7"/>
  <c r="O875" i="7"/>
  <c r="O564" i="7"/>
  <c r="O892" i="7"/>
  <c r="O655" i="7"/>
  <c r="N6" i="7"/>
  <c r="N70" i="7"/>
  <c r="N134" i="7"/>
  <c r="N198" i="7"/>
  <c r="N262" i="7"/>
  <c r="N326" i="7"/>
  <c r="N390" i="7"/>
  <c r="N454" i="7"/>
  <c r="N11" i="7"/>
  <c r="N75" i="7"/>
  <c r="N139" i="7"/>
  <c r="N203" i="7"/>
  <c r="N267" i="7"/>
  <c r="N331" i="7"/>
  <c r="N395" i="7"/>
  <c r="N28" i="7"/>
  <c r="N156" i="7"/>
  <c r="N284" i="7"/>
  <c r="N412" i="7"/>
  <c r="N508" i="7"/>
  <c r="N572" i="7"/>
  <c r="N636" i="7"/>
  <c r="N700" i="7"/>
  <c r="N21" i="7"/>
  <c r="N149" i="7"/>
  <c r="N277" i="7"/>
  <c r="N405" i="7"/>
  <c r="N504" i="7"/>
  <c r="N569" i="7"/>
  <c r="N601" i="7"/>
  <c r="N633" i="7"/>
  <c r="N665" i="7"/>
  <c r="N697" i="7"/>
  <c r="N729" i="7"/>
  <c r="N56" i="7"/>
  <c r="N184" i="7"/>
  <c r="N312" i="7"/>
  <c r="N440" i="7"/>
  <c r="N522" i="7"/>
  <c r="N586" i="7"/>
  <c r="N650" i="7"/>
  <c r="N714" i="7"/>
  <c r="N764" i="7"/>
  <c r="N796" i="7"/>
  <c r="N828" i="7"/>
  <c r="N860" i="7"/>
  <c r="N892" i="7"/>
  <c r="N924" i="7"/>
  <c r="N956" i="7"/>
  <c r="N988" i="7"/>
  <c r="N881" i="7"/>
  <c r="N933" i="7"/>
  <c r="N985" i="7"/>
  <c r="N144" i="7"/>
  <c r="N352" i="7"/>
  <c r="N518" i="7"/>
  <c r="N622" i="7"/>
  <c r="N726" i="7"/>
  <c r="N786" i="7"/>
  <c r="N834" i="7"/>
  <c r="N890" i="7"/>
  <c r="N942" i="7"/>
  <c r="N990" i="7"/>
  <c r="N193" i="7"/>
  <c r="N385" i="7"/>
  <c r="N535" i="7"/>
  <c r="N73" i="7"/>
  <c r="N201" i="7"/>
  <c r="N329" i="7"/>
  <c r="N453" i="7"/>
  <c r="N531" i="7"/>
  <c r="N595" i="7"/>
  <c r="N659" i="7"/>
  <c r="N723" i="7"/>
  <c r="N769" i="7"/>
  <c r="N801" i="7"/>
  <c r="N833" i="7"/>
  <c r="N885" i="7"/>
  <c r="N973" i="7"/>
  <c r="N240" i="7"/>
  <c r="N534" i="7"/>
  <c r="N702" i="7"/>
  <c r="N814" i="7"/>
  <c r="N898" i="7"/>
  <c r="N982" i="7"/>
  <c r="N273" i="7"/>
  <c r="N551" i="7"/>
  <c r="N763" i="7"/>
  <c r="N891" i="7"/>
  <c r="N879" i="7"/>
  <c r="N755" i="7"/>
  <c r="N963" i="7"/>
  <c r="N839" i="7"/>
  <c r="N623" i="7"/>
  <c r="N815" i="7"/>
  <c r="N771" i="7"/>
  <c r="N775" i="7"/>
  <c r="M10" i="7"/>
  <c r="M42" i="7"/>
  <c r="M74" i="7"/>
  <c r="M106" i="7"/>
  <c r="M138" i="7"/>
  <c r="M170" i="7"/>
  <c r="M202" i="7"/>
  <c r="M234" i="7"/>
  <c r="M266" i="7"/>
  <c r="M298" i="7"/>
  <c r="M330" i="7"/>
  <c r="M362" i="7"/>
  <c r="M394" i="7"/>
  <c r="M426" i="7"/>
  <c r="M458" i="7"/>
  <c r="M490" i="7"/>
  <c r="M15" i="7"/>
  <c r="M47" i="7"/>
  <c r="M79" i="7"/>
  <c r="M111" i="7"/>
  <c r="M143" i="7"/>
  <c r="M175" i="7"/>
  <c r="M207" i="7"/>
  <c r="M239" i="7"/>
  <c r="M271" i="7"/>
  <c r="M303" i="7"/>
  <c r="M335" i="7"/>
  <c r="M367" i="7"/>
  <c r="M399" i="7"/>
  <c r="M431" i="7"/>
  <c r="M463" i="7"/>
  <c r="M495" i="7"/>
  <c r="M36" i="7"/>
  <c r="M100" i="7"/>
  <c r="M164" i="7"/>
  <c r="M228" i="7"/>
  <c r="M292" i="7"/>
  <c r="M356" i="7"/>
  <c r="M420" i="7"/>
  <c r="M484" i="7"/>
  <c r="M528" i="7"/>
  <c r="M560" i="7"/>
  <c r="M592" i="7"/>
  <c r="M624" i="7"/>
  <c r="M656" i="7"/>
  <c r="M688" i="7"/>
  <c r="M720" i="7"/>
  <c r="M752" i="7"/>
  <c r="M45" i="7"/>
  <c r="M109" i="7"/>
  <c r="M173" i="7"/>
  <c r="M237" i="7"/>
  <c r="M301" i="7"/>
  <c r="M365" i="7"/>
  <c r="M429" i="7"/>
  <c r="M493" i="7"/>
  <c r="M533" i="7"/>
  <c r="M565" i="7"/>
  <c r="M597" i="7"/>
  <c r="M629" i="7"/>
  <c r="M661" i="7"/>
  <c r="M693" i="7"/>
  <c r="M725" i="7"/>
  <c r="M757" i="7"/>
  <c r="M789" i="7"/>
  <c r="M821" i="7"/>
  <c r="M853" i="7"/>
  <c r="M120" i="7"/>
  <c r="M248" i="7"/>
  <c r="M376" i="7"/>
  <c r="M504" i="7"/>
  <c r="M570" i="7"/>
  <c r="M634" i="7"/>
  <c r="M698" i="7"/>
  <c r="M762" i="7"/>
  <c r="M804" i="7"/>
  <c r="M847" i="7"/>
  <c r="M881" i="7"/>
  <c r="M913" i="7"/>
  <c r="M945" i="7"/>
  <c r="M977" i="7"/>
  <c r="M930" i="7"/>
  <c r="M982" i="7"/>
  <c r="M160" i="7"/>
  <c r="M384" i="7"/>
  <c r="M558" i="7"/>
  <c r="M662" i="7"/>
  <c r="M770" i="7"/>
  <c r="M839" i="7"/>
  <c r="M895" i="7"/>
  <c r="M955" i="7"/>
  <c r="M49" i="7"/>
  <c r="M257" i="7"/>
  <c r="M497" i="7"/>
  <c r="M607" i="7"/>
  <c r="M719" i="7"/>
  <c r="M798" i="7"/>
  <c r="M868" i="7"/>
  <c r="M9" i="7"/>
  <c r="M137" i="7"/>
  <c r="M265" i="7"/>
  <c r="M393" i="7"/>
  <c r="M515" i="7"/>
  <c r="M579" i="7"/>
  <c r="M643" i="7"/>
  <c r="M707" i="7"/>
  <c r="M768" i="7"/>
  <c r="M811" i="7"/>
  <c r="M854" i="7"/>
  <c r="M886" i="7"/>
  <c r="M926" i="7"/>
  <c r="M32" i="7"/>
  <c r="M336" i="7"/>
  <c r="M566" i="7"/>
  <c r="M726" i="7"/>
  <c r="M844" i="7"/>
  <c r="M927" i="7"/>
  <c r="M995" i="7"/>
  <c r="M305" i="7"/>
  <c r="M551" i="7"/>
  <c r="M711" i="7"/>
  <c r="M840" i="7"/>
  <c r="M920" i="7"/>
  <c r="M944" i="7"/>
  <c r="M956" i="7"/>
  <c r="L14" i="7"/>
  <c r="L46" i="7"/>
  <c r="L78" i="7"/>
  <c r="L110" i="7"/>
  <c r="L142" i="7"/>
  <c r="L174" i="7"/>
  <c r="L206" i="7"/>
  <c r="L238" i="7"/>
  <c r="L270" i="7"/>
  <c r="L302" i="7"/>
  <c r="L334" i="7"/>
  <c r="L366" i="7"/>
  <c r="L398" i="7"/>
  <c r="L430" i="7"/>
  <c r="L462" i="7"/>
  <c r="L494" i="7"/>
  <c r="L19" i="7"/>
  <c r="L51" i="7"/>
  <c r="L83" i="7"/>
  <c r="L115" i="7"/>
  <c r="L147" i="7"/>
  <c r="L179" i="7"/>
  <c r="L211" i="7"/>
  <c r="L243" i="7"/>
  <c r="L275" i="7"/>
  <c r="L307" i="7"/>
  <c r="L339" i="7"/>
  <c r="L371" i="7"/>
  <c r="L403" i="7"/>
  <c r="L435" i="7"/>
  <c r="L467" i="7"/>
  <c r="L499" i="7"/>
  <c r="L24" i="7"/>
  <c r="L56" i="7"/>
  <c r="L88" i="7"/>
  <c r="L120" i="7"/>
  <c r="L152" i="7"/>
  <c r="L184" i="7"/>
  <c r="L216" i="7"/>
  <c r="L248" i="7"/>
  <c r="L280" i="7"/>
  <c r="L312" i="7"/>
  <c r="L344" i="7"/>
  <c r="L376" i="7"/>
  <c r="L408" i="7"/>
  <c r="L440" i="7"/>
  <c r="L472" i="7"/>
  <c r="L53" i="7"/>
  <c r="L181" i="7"/>
  <c r="L309" i="7"/>
  <c r="L437" i="7"/>
  <c r="L518" i="7"/>
  <c r="L550" i="7"/>
  <c r="L582" i="7"/>
  <c r="L614" i="7"/>
  <c r="L646" i="7"/>
  <c r="L678" i="7"/>
  <c r="L710" i="7"/>
  <c r="L742" i="7"/>
  <c r="L774" i="7"/>
  <c r="L806" i="7"/>
  <c r="L838" i="7"/>
  <c r="L870" i="7"/>
  <c r="L9" i="7"/>
  <c r="L137" i="7"/>
  <c r="L265" i="7"/>
  <c r="L393" i="7"/>
  <c r="L505" i="7"/>
  <c r="L539" i="7"/>
  <c r="L571" i="7"/>
  <c r="L603" i="7"/>
  <c r="L635" i="7"/>
  <c r="L667" i="7"/>
  <c r="L699" i="7"/>
  <c r="L731" i="7"/>
  <c r="L763" i="7"/>
  <c r="L795" i="7"/>
  <c r="L827" i="7"/>
  <c r="L45" i="7"/>
  <c r="L173" i="7"/>
  <c r="L301" i="7"/>
  <c r="L429" i="7"/>
  <c r="L516" i="7"/>
  <c r="L548" i="7"/>
  <c r="L580" i="7"/>
  <c r="L612" i="7"/>
  <c r="L644" i="7"/>
  <c r="L676" i="7"/>
  <c r="L708" i="7"/>
  <c r="L740" i="7"/>
  <c r="L772" i="7"/>
  <c r="L804" i="7"/>
  <c r="L836" i="7"/>
  <c r="L868" i="7"/>
  <c r="L209" i="7"/>
  <c r="L557" i="7"/>
  <c r="L685" i="7"/>
  <c r="L813" i="7"/>
  <c r="L892" i="7"/>
  <c r="L926" i="7"/>
  <c r="L958" i="7"/>
  <c r="L990" i="7"/>
  <c r="L895" i="7"/>
  <c r="L960" i="7"/>
  <c r="L321" i="7"/>
  <c r="L665" i="7"/>
  <c r="L877" i="7"/>
  <c r="L937" i="7"/>
  <c r="L985" i="7"/>
  <c r="L353" i="7"/>
  <c r="L593" i="7"/>
  <c r="L721" i="7"/>
  <c r="L849" i="7"/>
  <c r="L903" i="7"/>
  <c r="L935" i="7"/>
  <c r="L971" i="7"/>
  <c r="L936" i="7"/>
  <c r="L1000" i="7"/>
  <c r="L681" i="7"/>
  <c r="L901" i="7"/>
  <c r="L989" i="7"/>
  <c r="L493" i="7"/>
  <c r="L629" i="7"/>
  <c r="L757" i="7"/>
  <c r="L851" i="7"/>
  <c r="L883" i="7"/>
  <c r="K10" i="7"/>
  <c r="K26" i="7"/>
  <c r="K42" i="7"/>
  <c r="K58" i="7"/>
  <c r="K74" i="7"/>
  <c r="K90" i="7"/>
  <c r="K106" i="7"/>
  <c r="K122" i="7"/>
  <c r="K138" i="7"/>
  <c r="K154" i="7"/>
  <c r="K170" i="7"/>
  <c r="K186" i="7"/>
  <c r="K202" i="7"/>
  <c r="K218" i="7"/>
  <c r="K234" i="7"/>
  <c r="K250" i="7"/>
  <c r="K266" i="7"/>
  <c r="K282" i="7"/>
  <c r="K298" i="7"/>
  <c r="K7" i="7"/>
  <c r="K23" i="7"/>
  <c r="K39" i="7"/>
  <c r="K55" i="7"/>
  <c r="K71" i="7"/>
  <c r="K87" i="7"/>
  <c r="K103" i="7"/>
  <c r="K119" i="7"/>
  <c r="K135" i="7"/>
  <c r="K151" i="7"/>
  <c r="K167" i="7"/>
  <c r="K183" i="7"/>
  <c r="K199" i="7"/>
  <c r="K215" i="7"/>
  <c r="K231" i="7"/>
  <c r="K247" i="7"/>
  <c r="K263" i="7"/>
  <c r="K279" i="7"/>
  <c r="K295" i="7"/>
  <c r="K311" i="7"/>
  <c r="K327" i="7"/>
  <c r="K343" i="7"/>
  <c r="K359" i="7"/>
  <c r="K375" i="7"/>
  <c r="K391" i="7"/>
  <c r="K407" i="7"/>
  <c r="K423" i="7"/>
  <c r="K439" i="7"/>
  <c r="K455" i="7"/>
  <c r="K471" i="7"/>
  <c r="K487" i="7"/>
  <c r="K503" i="7"/>
  <c r="K20" i="7"/>
  <c r="K52" i="7"/>
  <c r="K84" i="7"/>
  <c r="K116" i="7"/>
  <c r="K148" i="7"/>
  <c r="K180" i="7"/>
  <c r="K212" i="7"/>
  <c r="K244" i="7"/>
  <c r="K276" i="7"/>
  <c r="K308" i="7"/>
  <c r="K329" i="7"/>
  <c r="K350" i="7"/>
  <c r="K372" i="7"/>
  <c r="K393" i="7"/>
  <c r="K414" i="7"/>
  <c r="K436" i="7"/>
  <c r="K457" i="7"/>
  <c r="K478" i="7"/>
  <c r="K500" i="7"/>
  <c r="K518" i="7"/>
  <c r="K534" i="7"/>
  <c r="K550" i="7"/>
  <c r="K566" i="7"/>
  <c r="K582" i="7"/>
  <c r="K598" i="7"/>
  <c r="K614" i="7"/>
  <c r="K630" i="7"/>
  <c r="K646" i="7"/>
  <c r="K662" i="7"/>
  <c r="K678" i="7"/>
  <c r="K694" i="7"/>
  <c r="K710" i="7"/>
  <c r="K37" i="7"/>
  <c r="K80" i="7"/>
  <c r="K121" i="7"/>
  <c r="K165" i="7"/>
  <c r="K208" i="7"/>
  <c r="K249" i="7"/>
  <c r="K293" i="7"/>
  <c r="K326" i="7"/>
  <c r="K354" i="7"/>
  <c r="K384" i="7"/>
  <c r="K412" i="7"/>
  <c r="K440" i="7"/>
  <c r="K469" i="7"/>
  <c r="K497" i="7"/>
  <c r="K521" i="7"/>
  <c r="K543" i="7"/>
  <c r="K564" i="7"/>
  <c r="K585" i="7"/>
  <c r="K607" i="7"/>
  <c r="K628" i="7"/>
  <c r="K649" i="7"/>
  <c r="K671" i="7"/>
  <c r="K692" i="7"/>
  <c r="K713" i="7"/>
  <c r="K729" i="7"/>
  <c r="K745" i="7"/>
  <c r="K761" i="7"/>
  <c r="K777" i="7"/>
  <c r="K793" i="7"/>
  <c r="K809" i="7"/>
  <c r="K825" i="7"/>
  <c r="K841" i="7"/>
  <c r="K857" i="7"/>
  <c r="K873" i="7"/>
  <c r="K889" i="7"/>
  <c r="K905" i="7"/>
  <c r="K921" i="7"/>
  <c r="K937" i="7"/>
  <c r="K953" i="7"/>
  <c r="K969" i="7"/>
  <c r="K985" i="7"/>
  <c r="K8" i="7"/>
  <c r="K49" i="7"/>
  <c r="K93" i="7"/>
  <c r="K136" i="7"/>
  <c r="K177" i="7"/>
  <c r="K221" i="7"/>
  <c r="K264" i="7"/>
  <c r="K305" i="7"/>
  <c r="K336" i="7"/>
  <c r="K364" i="7"/>
  <c r="K392" i="7"/>
  <c r="K421" i="7"/>
  <c r="K449" i="7"/>
  <c r="K477" i="7"/>
  <c r="K506" i="7"/>
  <c r="K528" i="7"/>
  <c r="K549" i="7"/>
  <c r="K571" i="7"/>
  <c r="K592" i="7"/>
  <c r="K613" i="7"/>
  <c r="K635" i="7"/>
  <c r="K656" i="7"/>
  <c r="K9" i="7"/>
  <c r="K96" i="7"/>
  <c r="K181" i="7"/>
  <c r="K265" i="7"/>
  <c r="K337" i="7"/>
  <c r="K394" i="7"/>
  <c r="K450" i="7"/>
  <c r="K508" i="7"/>
  <c r="K551" i="7"/>
  <c r="K593" i="7"/>
  <c r="K636" i="7"/>
  <c r="K677" i="7"/>
  <c r="K705" i="7"/>
  <c r="K728" i="7"/>
  <c r="K750" i="7"/>
  <c r="K771" i="7"/>
  <c r="K792" i="7"/>
  <c r="K814" i="7"/>
  <c r="K835" i="7"/>
  <c r="K856" i="7"/>
  <c r="K878" i="7"/>
  <c r="K899" i="7"/>
  <c r="K920" i="7"/>
  <c r="K942" i="7"/>
  <c r="K963" i="7"/>
  <c r="K984" i="7"/>
  <c r="K959" i="7"/>
  <c r="K85" i="7"/>
  <c r="K277" i="7"/>
  <c r="K429" i="7"/>
  <c r="K556" i="7"/>
  <c r="K652" i="7"/>
  <c r="K726" i="7"/>
  <c r="K774" i="7"/>
  <c r="K827" i="7"/>
  <c r="K880" i="7"/>
  <c r="K934" i="7"/>
  <c r="K998" i="7"/>
  <c r="K193" i="7"/>
  <c r="K374" i="7"/>
  <c r="K525" i="7"/>
  <c r="K632" i="7"/>
  <c r="K711" i="7"/>
  <c r="K764" i="7"/>
  <c r="K818" i="7"/>
  <c r="K860" i="7"/>
  <c r="K908" i="7"/>
  <c r="K962" i="7"/>
  <c r="K33" i="7"/>
  <c r="K120" i="7"/>
  <c r="K205" i="7"/>
  <c r="K289" i="7"/>
  <c r="K353" i="7"/>
  <c r="K410" i="7"/>
  <c r="K466" i="7"/>
  <c r="K520" i="7"/>
  <c r="K563" i="7"/>
  <c r="K605" i="7"/>
  <c r="K648" i="7"/>
  <c r="K685" i="7"/>
  <c r="K714" i="7"/>
  <c r="K735" i="7"/>
  <c r="K756" i="7"/>
  <c r="K778" i="7"/>
  <c r="K799" i="7"/>
  <c r="K820" i="7"/>
  <c r="K842" i="7"/>
  <c r="K863" i="7"/>
  <c r="K884" i="7"/>
  <c r="K906" i="7"/>
  <c r="K927" i="7"/>
  <c r="K948" i="7"/>
  <c r="K980" i="7"/>
  <c r="K64" i="7"/>
  <c r="K213" i="7"/>
  <c r="K358" i="7"/>
  <c r="K444" i="7"/>
  <c r="K524" i="7"/>
  <c r="K609" i="7"/>
  <c r="K680" i="7"/>
  <c r="K720" i="7"/>
  <c r="K758" i="7"/>
  <c r="K795" i="7"/>
  <c r="K832" i="7"/>
  <c r="K870" i="7"/>
  <c r="K902" i="7"/>
  <c r="K939" i="7"/>
  <c r="K971" i="7"/>
  <c r="K24" i="7"/>
  <c r="K173" i="7"/>
  <c r="K317" i="7"/>
  <c r="K417" i="7"/>
  <c r="K502" i="7"/>
  <c r="K568" i="7"/>
  <c r="K643" i="7"/>
  <c r="K704" i="7"/>
  <c r="K738" i="7"/>
  <c r="K780" i="7"/>
  <c r="K812" i="7"/>
  <c r="K855" i="7"/>
  <c r="K892" i="7"/>
  <c r="K930" i="7"/>
  <c r="K967" i="7"/>
  <c r="K999" i="7"/>
  <c r="J14" i="7"/>
  <c r="J30" i="7"/>
  <c r="J46" i="7"/>
  <c r="J62" i="7"/>
  <c r="J78" i="7"/>
  <c r="J94" i="7"/>
  <c r="J110" i="7"/>
  <c r="J126" i="7"/>
  <c r="J142" i="7"/>
  <c r="J158" i="7"/>
  <c r="J174" i="7"/>
  <c r="J190" i="7"/>
  <c r="J206" i="7"/>
  <c r="J222" i="7"/>
  <c r="J238" i="7"/>
  <c r="J254" i="7"/>
  <c r="J270" i="7"/>
  <c r="J286" i="7"/>
  <c r="J302" i="7"/>
  <c r="J318" i="7"/>
  <c r="J334" i="7"/>
  <c r="J350" i="7"/>
  <c r="J366" i="7"/>
  <c r="J382" i="7"/>
  <c r="J398" i="7"/>
  <c r="J414" i="7"/>
  <c r="J430" i="7"/>
  <c r="J446" i="7"/>
  <c r="J462" i="7"/>
  <c r="J478" i="7"/>
  <c r="J494" i="7"/>
  <c r="J15" i="7"/>
  <c r="J31" i="7"/>
  <c r="J47" i="7"/>
  <c r="J63" i="7"/>
  <c r="J79" i="7"/>
  <c r="J95" i="7"/>
  <c r="J111" i="7"/>
  <c r="J127" i="7"/>
  <c r="J143" i="7"/>
  <c r="J159" i="7"/>
  <c r="J175" i="7"/>
  <c r="J191" i="7"/>
  <c r="J207" i="7"/>
  <c r="J223" i="7"/>
  <c r="J239" i="7"/>
  <c r="J255" i="7"/>
  <c r="J271" i="7"/>
  <c r="J287" i="7"/>
  <c r="J303" i="7"/>
  <c r="J319" i="7"/>
  <c r="J335" i="7"/>
  <c r="J351" i="7"/>
  <c r="J367" i="7"/>
  <c r="J383" i="7"/>
  <c r="J399" i="7"/>
  <c r="J415" i="7"/>
  <c r="J431" i="7"/>
  <c r="J447" i="7"/>
  <c r="J463" i="7"/>
  <c r="J479" i="7"/>
  <c r="J495" i="7"/>
  <c r="J4" i="7"/>
  <c r="J20" i="7"/>
  <c r="J36" i="7"/>
  <c r="J52" i="7"/>
  <c r="J68" i="7"/>
  <c r="J84" i="7"/>
  <c r="J100" i="7"/>
  <c r="J116" i="7"/>
  <c r="J132" i="7"/>
  <c r="J148" i="7"/>
  <c r="J164" i="7"/>
  <c r="J180" i="7"/>
  <c r="J196" i="7"/>
  <c r="J212" i="7"/>
  <c r="J228" i="7"/>
  <c r="J244" i="7"/>
  <c r="J260" i="7"/>
  <c r="J276" i="7"/>
  <c r="J292" i="7"/>
  <c r="J308" i="7"/>
  <c r="J324" i="7"/>
  <c r="J340" i="7"/>
  <c r="J356" i="7"/>
  <c r="J372" i="7"/>
  <c r="J388" i="7"/>
  <c r="J404" i="7"/>
  <c r="J420" i="7"/>
  <c r="J436" i="7"/>
  <c r="J452" i="7"/>
  <c r="J468" i="7"/>
  <c r="J484" i="7"/>
  <c r="J500" i="7"/>
  <c r="J21" i="7"/>
  <c r="J85" i="7"/>
  <c r="J149" i="7"/>
  <c r="J213" i="7"/>
  <c r="J277" i="7"/>
  <c r="J341" i="7"/>
  <c r="J405" i="7"/>
  <c r="J469" i="7"/>
  <c r="J512" i="7"/>
  <c r="J528" i="7"/>
  <c r="J544" i="7"/>
  <c r="J560" i="7"/>
  <c r="J576" i="7"/>
  <c r="J592" i="7"/>
  <c r="J608" i="7"/>
  <c r="J624" i="7"/>
  <c r="J640" i="7"/>
  <c r="J656" i="7"/>
  <c r="J672" i="7"/>
  <c r="J688" i="7"/>
  <c r="J704" i="7"/>
  <c r="J720" i="7"/>
  <c r="J736" i="7"/>
  <c r="J752" i="7"/>
  <c r="J768" i="7"/>
  <c r="J784" i="7"/>
  <c r="J800" i="7"/>
  <c r="J816" i="7"/>
  <c r="J832" i="7"/>
  <c r="J848" i="7"/>
  <c r="J864" i="7"/>
  <c r="J880" i="7"/>
  <c r="J41" i="7"/>
  <c r="J105" i="7"/>
  <c r="J169" i="7"/>
  <c r="J233" i="7"/>
  <c r="J297" i="7"/>
  <c r="J361" i="7"/>
  <c r="J425" i="7"/>
  <c r="J489" i="7"/>
  <c r="J517" i="7"/>
  <c r="J533" i="7"/>
  <c r="J549" i="7"/>
  <c r="J565" i="7"/>
  <c r="J581" i="7"/>
  <c r="J597" i="7"/>
  <c r="J613" i="7"/>
  <c r="J629" i="7"/>
  <c r="J645" i="7"/>
  <c r="J661" i="7"/>
  <c r="J677" i="7"/>
  <c r="J693" i="7"/>
  <c r="J709" i="7"/>
  <c r="J725" i="7"/>
  <c r="J741" i="7"/>
  <c r="J757" i="7"/>
  <c r="J773" i="7"/>
  <c r="J789" i="7"/>
  <c r="J805" i="7"/>
  <c r="J821" i="7"/>
  <c r="J837" i="7"/>
  <c r="J853" i="7"/>
  <c r="J869" i="7"/>
  <c r="J885" i="7"/>
  <c r="J901" i="7"/>
  <c r="J917" i="7"/>
  <c r="J933" i="7"/>
  <c r="J949" i="7"/>
  <c r="J965" i="7"/>
  <c r="J981" i="7"/>
  <c r="J997" i="7"/>
  <c r="J61" i="7"/>
  <c r="J125" i="7"/>
  <c r="J189" i="7"/>
  <c r="J253" i="7"/>
  <c r="J317" i="7"/>
  <c r="J381" i="7"/>
  <c r="J445" i="7"/>
  <c r="J502" i="7"/>
  <c r="J522" i="7"/>
  <c r="J81" i="7"/>
  <c r="J337" i="7"/>
  <c r="J527" i="7"/>
  <c r="J562" i="7"/>
  <c r="J594" i="7"/>
  <c r="J626" i="7"/>
  <c r="J658" i="7"/>
  <c r="J690" i="7"/>
  <c r="J722" i="7"/>
  <c r="J754" i="7"/>
  <c r="J786" i="7"/>
  <c r="J818" i="7"/>
  <c r="J850" i="7"/>
  <c r="J882" i="7"/>
  <c r="J904" i="7"/>
  <c r="J926" i="7"/>
  <c r="J947" i="7"/>
  <c r="J968" i="7"/>
  <c r="J990" i="7"/>
  <c r="J774" i="7"/>
  <c r="J854" i="7"/>
  <c r="J918" i="7"/>
  <c r="J971" i="7"/>
  <c r="J321" i="7"/>
  <c r="J559" i="7"/>
  <c r="J639" i="7"/>
  <c r="J719" i="7"/>
  <c r="J799" i="7"/>
  <c r="J879" i="7"/>
  <c r="J940" i="7"/>
  <c r="J994" i="7"/>
  <c r="J225" i="7"/>
  <c r="J481" i="7"/>
  <c r="J547" i="7"/>
  <c r="J579" i="7"/>
  <c r="J611" i="7"/>
  <c r="J643" i="7"/>
  <c r="J675" i="7"/>
  <c r="J707" i="7"/>
  <c r="J739" i="7"/>
  <c r="J771" i="7"/>
  <c r="J803" i="7"/>
  <c r="J835" i="7"/>
  <c r="J867" i="7"/>
  <c r="J895" i="7"/>
  <c r="J916" i="7"/>
  <c r="J938" i="7"/>
  <c r="J959" i="7"/>
  <c r="J980" i="7"/>
  <c r="J49" i="7"/>
  <c r="J305" i="7"/>
  <c r="J519" i="7"/>
  <c r="J558" i="7"/>
  <c r="J590" i="7"/>
  <c r="J622" i="7"/>
  <c r="J654" i="7"/>
  <c r="J686" i="7"/>
  <c r="J718" i="7"/>
  <c r="J758" i="7"/>
  <c r="J814" i="7"/>
  <c r="J862" i="7"/>
  <c r="J907" i="7"/>
  <c r="J939" i="7"/>
  <c r="J976" i="7"/>
  <c r="J193" i="7"/>
  <c r="J535" i="7"/>
  <c r="J591" i="7"/>
  <c r="J647" i="7"/>
  <c r="J695" i="7"/>
  <c r="J751" i="7"/>
  <c r="J807" i="7"/>
  <c r="J855" i="7"/>
  <c r="J903" i="7"/>
  <c r="J935" i="7"/>
  <c r="J972" i="7"/>
  <c r="I2" i="7"/>
  <c r="I18" i="7"/>
  <c r="I34" i="7"/>
  <c r="I50" i="7"/>
  <c r="I66" i="7"/>
  <c r="I82" i="7"/>
  <c r="I98" i="7"/>
  <c r="I114" i="7"/>
  <c r="I130" i="7"/>
  <c r="I146" i="7"/>
  <c r="I162" i="7"/>
  <c r="I178" i="7"/>
  <c r="I194" i="7"/>
  <c r="I210" i="7"/>
  <c r="I226" i="7"/>
  <c r="I242" i="7"/>
  <c r="I258" i="7"/>
  <c r="I274" i="7"/>
  <c r="I290" i="7"/>
  <c r="I306" i="7"/>
  <c r="I322" i="7"/>
  <c r="I338" i="7"/>
  <c r="I354" i="7"/>
  <c r="I370" i="7"/>
  <c r="I386" i="7"/>
  <c r="I402" i="7"/>
  <c r="I418" i="7"/>
  <c r="I434" i="7"/>
  <c r="I450" i="7"/>
  <c r="I466" i="7"/>
  <c r="I482" i="7"/>
  <c r="I498" i="7"/>
  <c r="I7" i="7"/>
  <c r="I23" i="7"/>
  <c r="I39" i="7"/>
  <c r="I55" i="7"/>
  <c r="I71" i="7"/>
  <c r="I87" i="7"/>
  <c r="I103" i="7"/>
  <c r="I119" i="7"/>
  <c r="I135" i="7"/>
  <c r="I151" i="7"/>
  <c r="I167" i="7"/>
  <c r="I183" i="7"/>
  <c r="I199" i="7"/>
  <c r="I215" i="7"/>
  <c r="I231" i="7"/>
  <c r="I247" i="7"/>
  <c r="I263" i="7"/>
  <c r="I279" i="7"/>
  <c r="I295" i="7"/>
  <c r="I311" i="7"/>
  <c r="I327" i="7"/>
  <c r="I343" i="7"/>
  <c r="I359" i="7"/>
  <c r="I375" i="7"/>
  <c r="I391" i="7"/>
  <c r="I407" i="7"/>
  <c r="I423" i="7"/>
  <c r="I439" i="7"/>
  <c r="I455" i="7"/>
  <c r="I471" i="7"/>
  <c r="I487" i="7"/>
  <c r="I503" i="7"/>
  <c r="I20" i="7"/>
  <c r="I52" i="7"/>
  <c r="I84" i="7"/>
  <c r="I116" i="7"/>
  <c r="I148" i="7"/>
  <c r="I180" i="7"/>
  <c r="I212" i="7"/>
  <c r="I244" i="7"/>
  <c r="I276" i="7"/>
  <c r="I308" i="7"/>
  <c r="I340" i="7"/>
  <c r="I372" i="7"/>
  <c r="I404" i="7"/>
  <c r="I436" i="7"/>
  <c r="I468" i="7"/>
  <c r="I500" i="7"/>
  <c r="I520" i="7"/>
  <c r="I536" i="7"/>
  <c r="I552" i="7"/>
  <c r="I568" i="7"/>
  <c r="I584" i="7"/>
  <c r="I600" i="7"/>
  <c r="I616" i="7"/>
  <c r="I632" i="7"/>
  <c r="I648" i="7"/>
  <c r="I664" i="7"/>
  <c r="I680" i="7"/>
  <c r="I696" i="7"/>
  <c r="I712" i="7"/>
  <c r="I728" i="7"/>
  <c r="I744" i="7"/>
  <c r="I760" i="7"/>
  <c r="I776" i="7"/>
  <c r="I792" i="7"/>
  <c r="I808" i="7"/>
  <c r="I824" i="7"/>
  <c r="I840" i="7"/>
  <c r="I856" i="7"/>
  <c r="I872" i="7"/>
  <c r="I29" i="7"/>
  <c r="I61" i="7"/>
  <c r="I93" i="7"/>
  <c r="I125" i="7"/>
  <c r="I157" i="7"/>
  <c r="I189" i="7"/>
  <c r="I221" i="7"/>
  <c r="I253" i="7"/>
  <c r="I285" i="7"/>
  <c r="I317" i="7"/>
  <c r="I349" i="7"/>
  <c r="I381" i="7"/>
  <c r="I413" i="7"/>
  <c r="I445" i="7"/>
  <c r="I477" i="7"/>
  <c r="I509" i="7"/>
  <c r="I525" i="7"/>
  <c r="I541" i="7"/>
  <c r="I557" i="7"/>
  <c r="I573" i="7"/>
  <c r="I589" i="7"/>
  <c r="I605" i="7"/>
  <c r="I621" i="7"/>
  <c r="I637" i="7"/>
  <c r="I653" i="7"/>
  <c r="I669" i="7"/>
  <c r="I685" i="7"/>
  <c r="I701" i="7"/>
  <c r="I717" i="7"/>
  <c r="I733" i="7"/>
  <c r="I749" i="7"/>
  <c r="I8" i="7"/>
  <c r="I72" i="7"/>
  <c r="I136" i="7"/>
  <c r="I200" i="7"/>
  <c r="I264" i="7"/>
  <c r="I328" i="7"/>
  <c r="I392" i="7"/>
  <c r="I456" i="7"/>
  <c r="I514" i="7"/>
  <c r="I546" i="7"/>
  <c r="I578" i="7"/>
  <c r="I610" i="7"/>
  <c r="I642" i="7"/>
  <c r="I674" i="7"/>
  <c r="I706" i="7"/>
  <c r="I738" i="7"/>
  <c r="I767" i="7"/>
  <c r="I789" i="7"/>
  <c r="I810" i="7"/>
  <c r="I831" i="7"/>
  <c r="I853" i="7"/>
  <c r="I874" i="7"/>
  <c r="I890" i="7"/>
  <c r="I906" i="7"/>
  <c r="I922" i="7"/>
  <c r="I938" i="7"/>
  <c r="I954" i="7"/>
  <c r="I970" i="7"/>
  <c r="I986" i="7"/>
  <c r="I763" i="7"/>
  <c r="I785" i="7"/>
  <c r="I806" i="7"/>
  <c r="I827" i="7"/>
  <c r="I849" i="7"/>
  <c r="I870" i="7"/>
  <c r="I887" i="7"/>
  <c r="I903" i="7"/>
  <c r="I919" i="7"/>
  <c r="I935" i="7"/>
  <c r="I951" i="7"/>
  <c r="I967" i="7"/>
  <c r="I983" i="7"/>
  <c r="I999" i="7"/>
  <c r="I96" i="7"/>
  <c r="I192" i="7"/>
  <c r="I304" i="7"/>
  <c r="I400" i="7"/>
  <c r="I510" i="7"/>
  <c r="I574" i="7"/>
  <c r="I622" i="7"/>
  <c r="I678" i="7"/>
  <c r="I726" i="7"/>
  <c r="I770" i="7"/>
  <c r="I813" i="7"/>
  <c r="I850" i="7"/>
  <c r="I876" i="7"/>
  <c r="I904" i="7"/>
  <c r="I928" i="7"/>
  <c r="I956" i="7"/>
  <c r="I980" i="7"/>
  <c r="I49" i="7"/>
  <c r="I145" i="7"/>
  <c r="I273" i="7"/>
  <c r="I385" i="7"/>
  <c r="I25" i="7"/>
  <c r="I89" i="7"/>
  <c r="I153" i="7"/>
  <c r="I217" i="7"/>
  <c r="I281" i="7"/>
  <c r="I345" i="7"/>
  <c r="I409" i="7"/>
  <c r="I473" i="7"/>
  <c r="I523" i="7"/>
  <c r="I555" i="7"/>
  <c r="I587" i="7"/>
  <c r="I619" i="7"/>
  <c r="I651" i="7"/>
  <c r="I683" i="7"/>
  <c r="I715" i="7"/>
  <c r="I747" i="7"/>
  <c r="I128" i="7"/>
  <c r="I288" i="7"/>
  <c r="I448" i="7"/>
  <c r="I550" i="7"/>
  <c r="I630" i="7"/>
  <c r="I718" i="7"/>
  <c r="I791" i="7"/>
  <c r="I834" i="7"/>
  <c r="I888" i="7"/>
  <c r="I932" i="7"/>
  <c r="I972" i="7"/>
  <c r="I33" i="7"/>
  <c r="I193" i="7"/>
  <c r="I321" i="7"/>
  <c r="I465" i="7"/>
  <c r="I615" i="7"/>
  <c r="I743" i="7"/>
  <c r="I835" i="7"/>
  <c r="I909" i="7"/>
  <c r="I973" i="7"/>
  <c r="I917" i="7"/>
  <c r="I639" i="7"/>
  <c r="I905" i="7"/>
  <c r="I559" i="7"/>
  <c r="I687" i="7"/>
  <c r="I798" i="7"/>
  <c r="I881" i="7"/>
  <c r="I945" i="7"/>
  <c r="I497" i="7"/>
  <c r="I631" i="7"/>
  <c r="I759" i="7"/>
  <c r="I867" i="7"/>
  <c r="I981" i="7"/>
  <c r="I671" i="7"/>
  <c r="I830" i="7"/>
  <c r="I937" i="7"/>
  <c r="H6" i="7"/>
  <c r="H22" i="7"/>
  <c r="H38" i="7"/>
  <c r="H54" i="7"/>
  <c r="H70" i="7"/>
  <c r="H86" i="7"/>
  <c r="H102" i="7"/>
  <c r="H118" i="7"/>
  <c r="H134" i="7"/>
  <c r="H150" i="7"/>
  <c r="H166" i="7"/>
  <c r="H182" i="7"/>
  <c r="H198" i="7"/>
  <c r="H214" i="7"/>
  <c r="H230" i="7"/>
  <c r="H246" i="7"/>
  <c r="H262" i="7"/>
  <c r="H278" i="7"/>
  <c r="H294" i="7"/>
  <c r="H310" i="7"/>
  <c r="H326" i="7"/>
  <c r="H342" i="7"/>
  <c r="H358" i="7"/>
  <c r="H374" i="7"/>
  <c r="H390" i="7"/>
  <c r="H406" i="7"/>
  <c r="H422" i="7"/>
  <c r="H438" i="7"/>
  <c r="H454" i="7"/>
  <c r="H470" i="7"/>
  <c r="H7" i="7"/>
  <c r="H23" i="7"/>
  <c r="H39" i="7"/>
  <c r="H55" i="7"/>
  <c r="H71" i="7"/>
  <c r="H87" i="7"/>
  <c r="H103" i="7"/>
  <c r="H119" i="7"/>
  <c r="H135" i="7"/>
  <c r="H151" i="7"/>
  <c r="H167" i="7"/>
  <c r="H183" i="7"/>
  <c r="H199" i="7"/>
  <c r="H215" i="7"/>
  <c r="H231" i="7"/>
  <c r="H247" i="7"/>
  <c r="H263" i="7"/>
  <c r="H279" i="7"/>
  <c r="H295" i="7"/>
  <c r="H311" i="7"/>
  <c r="H327" i="7"/>
  <c r="H343" i="7"/>
  <c r="H359" i="7"/>
  <c r="H375" i="7"/>
  <c r="H391" i="7"/>
  <c r="H407" i="7"/>
  <c r="H423" i="7"/>
  <c r="H439" i="7"/>
  <c r="H455" i="7"/>
  <c r="H471" i="7"/>
  <c r="H487" i="7"/>
  <c r="H503" i="7"/>
  <c r="H20" i="7"/>
  <c r="H52" i="7"/>
  <c r="H84" i="7"/>
  <c r="H116" i="7"/>
  <c r="H148" i="7"/>
  <c r="H180" i="7"/>
  <c r="H212" i="7"/>
  <c r="H244" i="7"/>
  <c r="H276" i="7"/>
  <c r="H308" i="7"/>
  <c r="H340" i="7"/>
  <c r="H372" i="7"/>
  <c r="H404" i="7"/>
  <c r="H436" i="7"/>
  <c r="H468" i="7"/>
  <c r="H493" i="7"/>
  <c r="H513" i="7"/>
  <c r="H529" i="7"/>
  <c r="H545" i="7"/>
  <c r="H561" i="7"/>
  <c r="H577" i="7"/>
  <c r="H593" i="7"/>
  <c r="H609" i="7"/>
  <c r="H625" i="7"/>
  <c r="H641" i="7"/>
  <c r="H657" i="7"/>
  <c r="H673" i="7"/>
  <c r="H689" i="7"/>
  <c r="H705" i="7"/>
  <c r="H721" i="7"/>
  <c r="H737" i="7"/>
  <c r="H753" i="7"/>
  <c r="H29" i="7"/>
  <c r="H61" i="7"/>
  <c r="H93" i="7"/>
  <c r="H125" i="7"/>
  <c r="H157" i="7"/>
  <c r="H189" i="7"/>
  <c r="H221" i="7"/>
  <c r="H253" i="7"/>
  <c r="H285" i="7"/>
  <c r="H317" i="7"/>
  <c r="H349" i="7"/>
  <c r="H381" i="7"/>
  <c r="H413" i="7"/>
  <c r="H445" i="7"/>
  <c r="H477" i="7"/>
  <c r="H500" i="7"/>
  <c r="H518" i="7"/>
  <c r="H534" i="7"/>
  <c r="H550" i="7"/>
  <c r="H566" i="7"/>
  <c r="H582" i="7"/>
  <c r="H598" i="7"/>
  <c r="H614" i="7"/>
  <c r="H630" i="7"/>
  <c r="H646" i="7"/>
  <c r="H662" i="7"/>
  <c r="H678" i="7"/>
  <c r="H694" i="7"/>
  <c r="H710" i="7"/>
  <c r="H726" i="7"/>
  <c r="H742" i="7"/>
  <c r="H758" i="7"/>
  <c r="H56" i="7"/>
  <c r="H120" i="7"/>
  <c r="H184" i="7"/>
  <c r="H248" i="7"/>
  <c r="H312" i="7"/>
  <c r="H376" i="7"/>
  <c r="H440" i="7"/>
  <c r="H496" i="7"/>
  <c r="H531" i="7"/>
  <c r="H563" i="7"/>
  <c r="H595" i="7"/>
  <c r="H627" i="7"/>
  <c r="H659" i="7"/>
  <c r="H691" i="7"/>
  <c r="H723" i="7"/>
  <c r="H755" i="7"/>
  <c r="H772" i="7"/>
  <c r="H788" i="7"/>
  <c r="H804" i="7"/>
  <c r="H820" i="7"/>
  <c r="H836" i="7"/>
  <c r="H852" i="7"/>
  <c r="H868" i="7"/>
  <c r="H884" i="7"/>
  <c r="H900" i="7"/>
  <c r="H916" i="7"/>
  <c r="H932" i="7"/>
  <c r="H948" i="7"/>
  <c r="H964" i="7"/>
  <c r="H980" i="7"/>
  <c r="H996" i="7"/>
  <c r="H48" i="7"/>
  <c r="H176" i="7"/>
  <c r="H288" i="7"/>
  <c r="H416" i="7"/>
  <c r="H519" i="7"/>
  <c r="H583" i="7"/>
  <c r="H639" i="7"/>
  <c r="H703" i="7"/>
  <c r="H762" i="7"/>
  <c r="H794" i="7"/>
  <c r="H822" i="7"/>
  <c r="H854" i="7"/>
  <c r="H886" i="7"/>
  <c r="H914" i="7"/>
  <c r="H946" i="7"/>
  <c r="H974" i="7"/>
  <c r="H49" i="7"/>
  <c r="H161" i="7"/>
  <c r="H305" i="7"/>
  <c r="H433" i="7"/>
  <c r="H520" i="7"/>
  <c r="H584" i="7"/>
  <c r="H648" i="7"/>
  <c r="H712" i="7"/>
  <c r="H763" i="7"/>
  <c r="H795" i="7"/>
  <c r="H827" i="7"/>
  <c r="H855" i="7"/>
  <c r="H887" i="7"/>
  <c r="H919" i="7"/>
  <c r="H951" i="7"/>
  <c r="H979" i="7"/>
  <c r="H25" i="7"/>
  <c r="H89" i="7"/>
  <c r="H153" i="7"/>
  <c r="H217" i="7"/>
  <c r="H281" i="7"/>
  <c r="H345" i="7"/>
  <c r="H409" i="7"/>
  <c r="H473" i="7"/>
  <c r="H516" i="7"/>
  <c r="H548" i="7"/>
  <c r="H580" i="7"/>
  <c r="H612" i="7"/>
  <c r="H644" i="7"/>
  <c r="H676" i="7"/>
  <c r="H708" i="7"/>
  <c r="H740" i="7"/>
  <c r="H765" i="7"/>
  <c r="H781" i="7"/>
  <c r="H797" i="7"/>
  <c r="H813" i="7"/>
  <c r="H829" i="7"/>
  <c r="H845" i="7"/>
  <c r="H861" i="7"/>
  <c r="H877" i="7"/>
  <c r="H893" i="7"/>
  <c r="H909" i="7"/>
  <c r="H925" i="7"/>
  <c r="H941" i="7"/>
  <c r="H957" i="7"/>
  <c r="H973" i="7"/>
  <c r="H989" i="7"/>
  <c r="H96" i="7"/>
  <c r="H224" i="7"/>
  <c r="H368" i="7"/>
  <c r="H490" i="7"/>
  <c r="H559" i="7"/>
  <c r="H631" i="7"/>
  <c r="H695" i="7"/>
  <c r="H757" i="7"/>
  <c r="H790" i="7"/>
  <c r="H826" i="7"/>
  <c r="H858" i="7"/>
  <c r="H890" i="7"/>
  <c r="H926" i="7"/>
  <c r="H962" i="7"/>
  <c r="H990" i="7"/>
  <c r="H113" i="7"/>
  <c r="H241" i="7"/>
  <c r="H353" i="7"/>
  <c r="H492" i="7"/>
  <c r="H560" i="7"/>
  <c r="H624" i="7"/>
  <c r="H688" i="7"/>
  <c r="H759" i="7"/>
  <c r="H791" i="7"/>
  <c r="H823" i="7"/>
  <c r="H859" i="7"/>
  <c r="H891" i="7"/>
  <c r="H923" i="7"/>
  <c r="H955" i="7"/>
  <c r="H991" i="7"/>
  <c r="G10" i="7"/>
  <c r="G26" i="7"/>
  <c r="G42" i="7"/>
  <c r="G58" i="7"/>
  <c r="G74" i="7"/>
  <c r="G90" i="7"/>
  <c r="G106" i="7"/>
  <c r="G122" i="7"/>
  <c r="G138" i="7"/>
  <c r="G154" i="7"/>
  <c r="G170" i="7"/>
  <c r="G186" i="7"/>
  <c r="G202" i="7"/>
  <c r="G218" i="7"/>
  <c r="G234" i="7"/>
  <c r="G250" i="7"/>
  <c r="G266" i="7"/>
  <c r="G282" i="7"/>
  <c r="G298" i="7"/>
  <c r="G314" i="7"/>
  <c r="G330" i="7"/>
  <c r="G346" i="7"/>
  <c r="G362" i="7"/>
  <c r="G378" i="7"/>
  <c r="G394" i="7"/>
  <c r="G410" i="7"/>
  <c r="G426" i="7"/>
  <c r="G442" i="7"/>
  <c r="G458" i="7"/>
  <c r="G474" i="7"/>
  <c r="G490" i="7"/>
  <c r="G506" i="7"/>
  <c r="G15" i="7"/>
  <c r="G31" i="7"/>
  <c r="G47" i="7"/>
  <c r="G63" i="7"/>
  <c r="G79" i="7"/>
  <c r="G95" i="7"/>
  <c r="G111" i="7"/>
  <c r="G127" i="7"/>
  <c r="G143" i="7"/>
  <c r="G159" i="7"/>
  <c r="G175" i="7"/>
  <c r="G191" i="7"/>
  <c r="G207" i="7"/>
  <c r="G223" i="7"/>
  <c r="G239" i="7"/>
  <c r="G255" i="7"/>
  <c r="G271" i="7"/>
  <c r="G287" i="7"/>
  <c r="G303" i="7"/>
  <c r="G319" i="7"/>
  <c r="G335" i="7"/>
  <c r="G351" i="7"/>
  <c r="G367" i="7"/>
  <c r="G383" i="7"/>
  <c r="G399" i="7"/>
  <c r="G415" i="7"/>
  <c r="G431" i="7"/>
  <c r="G447" i="7"/>
  <c r="G463" i="7"/>
  <c r="G479" i="7"/>
  <c r="G495" i="7"/>
  <c r="G16" i="7"/>
  <c r="G32" i="7"/>
  <c r="G48" i="7"/>
  <c r="G64" i="7"/>
  <c r="G80" i="7"/>
  <c r="G96" i="7"/>
  <c r="G112" i="7"/>
  <c r="G128" i="7"/>
  <c r="G144" i="7"/>
  <c r="G160" i="7"/>
  <c r="G176" i="7"/>
  <c r="G192" i="7"/>
  <c r="G208" i="7"/>
  <c r="G224" i="7"/>
  <c r="G240" i="7"/>
  <c r="G256" i="7"/>
  <c r="G272" i="7"/>
  <c r="G288" i="7"/>
  <c r="G304" i="7"/>
  <c r="G320" i="7"/>
  <c r="G336" i="7"/>
  <c r="G352" i="7"/>
  <c r="G368" i="7"/>
  <c r="G384" i="7"/>
  <c r="G400" i="7"/>
  <c r="G416" i="7"/>
  <c r="G432" i="7"/>
  <c r="G448" i="7"/>
  <c r="G464" i="7"/>
  <c r="G480" i="7"/>
  <c r="G496" i="7"/>
  <c r="G5" i="7"/>
  <c r="G69" i="7"/>
  <c r="G133" i="7"/>
  <c r="G197" i="7"/>
  <c r="G261" i="7"/>
  <c r="G325" i="7"/>
  <c r="G389" i="7"/>
  <c r="G453" i="7"/>
  <c r="G507" i="7"/>
  <c r="G524" i="7"/>
  <c r="G540" i="7"/>
  <c r="G556" i="7"/>
  <c r="G572" i="7"/>
  <c r="G588" i="7"/>
  <c r="G604" i="7"/>
  <c r="G620" i="7"/>
  <c r="G636" i="7"/>
  <c r="G652" i="7"/>
  <c r="G668" i="7"/>
  <c r="G684" i="7"/>
  <c r="G700" i="7"/>
  <c r="G716" i="7"/>
  <c r="G732" i="7"/>
  <c r="G748" i="7"/>
  <c r="G764" i="7"/>
  <c r="G780" i="7"/>
  <c r="G796" i="7"/>
  <c r="G812" i="7"/>
  <c r="G828" i="7"/>
  <c r="G844" i="7"/>
  <c r="G860" i="7"/>
  <c r="G876" i="7"/>
  <c r="G9" i="7"/>
  <c r="G73" i="7"/>
  <c r="G137" i="7"/>
  <c r="G201" i="7"/>
  <c r="G265" i="7"/>
  <c r="G329" i="7"/>
  <c r="G393" i="7"/>
  <c r="G457" i="7"/>
  <c r="G509" i="7"/>
  <c r="G525" i="7"/>
  <c r="G541" i="7"/>
  <c r="G557" i="7"/>
  <c r="G573" i="7"/>
  <c r="G589" i="7"/>
  <c r="G605" i="7"/>
  <c r="G621" i="7"/>
  <c r="G637" i="7"/>
  <c r="G653" i="7"/>
  <c r="G669" i="7"/>
  <c r="G685" i="7"/>
  <c r="G701" i="7"/>
  <c r="G717" i="7"/>
  <c r="G733" i="7"/>
  <c r="G749" i="7"/>
  <c r="G765" i="7"/>
  <c r="G781" i="7"/>
  <c r="G797" i="7"/>
  <c r="G813" i="7"/>
  <c r="G829" i="7"/>
  <c r="G845" i="7"/>
  <c r="G861" i="7"/>
  <c r="G877" i="7"/>
  <c r="G45" i="7"/>
  <c r="G173" i="7"/>
  <c r="G301" i="7"/>
  <c r="G429" i="7"/>
  <c r="G518" i="7"/>
  <c r="G550" i="7"/>
  <c r="G582" i="7"/>
  <c r="G614" i="7"/>
  <c r="G646" i="7"/>
  <c r="G678" i="7"/>
  <c r="G710" i="7"/>
  <c r="G742" i="7"/>
  <c r="G774" i="7"/>
  <c r="G806" i="7"/>
  <c r="G838" i="7"/>
  <c r="G870" i="7"/>
  <c r="G895" i="7"/>
  <c r="G911" i="7"/>
  <c r="G927" i="7"/>
  <c r="G943" i="7"/>
  <c r="G959" i="7"/>
  <c r="G975" i="7"/>
  <c r="G991" i="7"/>
  <c r="G93" i="7"/>
  <c r="G349" i="7"/>
  <c r="G530" i="7"/>
  <c r="G594" i="7"/>
  <c r="G666" i="7"/>
  <c r="G730" i="7"/>
  <c r="G786" i="7"/>
  <c r="G850" i="7"/>
  <c r="G901" i="7"/>
  <c r="G933" i="7"/>
  <c r="G969" i="7"/>
  <c r="G997" i="7"/>
  <c r="G257" i="7"/>
  <c r="G515" i="7"/>
  <c r="G579" i="7"/>
  <c r="G635" i="7"/>
  <c r="G707" i="7"/>
  <c r="G763" i="7"/>
  <c r="G827" i="7"/>
  <c r="G890" i="7"/>
  <c r="G922" i="7"/>
  <c r="G954" i="7"/>
  <c r="G986" i="7"/>
  <c r="G81" i="7"/>
  <c r="G209" i="7"/>
  <c r="G337" i="7"/>
  <c r="G465" i="7"/>
  <c r="G527" i="7"/>
  <c r="G559" i="7"/>
  <c r="G591" i="7"/>
  <c r="G623" i="7"/>
  <c r="G655" i="7"/>
  <c r="G687" i="7"/>
  <c r="G719" i="7"/>
  <c r="G751" i="7"/>
  <c r="G783" i="7"/>
  <c r="G815" i="7"/>
  <c r="G847" i="7"/>
  <c r="G879" i="7"/>
  <c r="G900" i="7"/>
  <c r="G916" i="7"/>
  <c r="G932" i="7"/>
  <c r="G948" i="7"/>
  <c r="G964" i="7"/>
  <c r="G980" i="7"/>
  <c r="G996" i="7"/>
  <c r="G157" i="7"/>
  <c r="G445" i="7"/>
  <c r="G554" i="7"/>
  <c r="G618" i="7"/>
  <c r="G674" i="7"/>
  <c r="G738" i="7"/>
  <c r="G810" i="7"/>
  <c r="G874" i="7"/>
  <c r="G913" i="7"/>
  <c r="G941" i="7"/>
  <c r="G973" i="7"/>
  <c r="G97" i="7"/>
  <c r="G321" i="7"/>
  <c r="G523" i="7"/>
  <c r="G595" i="7"/>
  <c r="G659" i="7"/>
  <c r="G715" i="7"/>
  <c r="G787" i="7"/>
  <c r="G851" i="7"/>
  <c r="G902" i="7"/>
  <c r="G934" i="7"/>
  <c r="G966" i="7"/>
  <c r="G998" i="7"/>
  <c r="F14" i="7"/>
  <c r="F30" i="7"/>
  <c r="F46" i="7"/>
  <c r="F62" i="7"/>
  <c r="F78" i="7"/>
  <c r="F94" i="7"/>
  <c r="F110" i="7"/>
  <c r="Y897" i="7"/>
  <c r="W805" i="7"/>
  <c r="V449" i="7"/>
  <c r="T54" i="7"/>
  <c r="T660" i="7"/>
  <c r="T574" i="7"/>
  <c r="S19" i="7"/>
  <c r="S245" i="7"/>
  <c r="S798" i="7"/>
  <c r="S822" i="7"/>
  <c r="R167" i="7"/>
  <c r="R349" i="7"/>
  <c r="R894" i="7"/>
  <c r="R663" i="7"/>
  <c r="R827" i="7"/>
  <c r="Q146" i="7"/>
  <c r="Q155" i="7"/>
  <c r="Q160" i="7"/>
  <c r="Q551" i="7"/>
  <c r="Q556" i="7"/>
  <c r="Q533" i="7"/>
  <c r="Q965" i="7"/>
  <c r="Q546" i="7"/>
  <c r="Q606" i="7"/>
  <c r="Q29" i="7"/>
  <c r="Q666" i="7"/>
  <c r="P142" i="7"/>
  <c r="P398" i="7"/>
  <c r="P147" i="7"/>
  <c r="P403" i="7"/>
  <c r="P168" i="7"/>
  <c r="P424" i="7"/>
  <c r="P547" i="7"/>
  <c r="P803" i="7"/>
  <c r="P932" i="7"/>
  <c r="P612" i="7"/>
  <c r="P916" i="7"/>
  <c r="P853" i="7"/>
  <c r="P705" i="7"/>
  <c r="P882" i="7"/>
  <c r="P854" i="7"/>
  <c r="P930" i="7"/>
  <c r="O242" i="7"/>
  <c r="O498" i="7"/>
  <c r="O247" i="7"/>
  <c r="O503" i="7"/>
  <c r="O256" i="7"/>
  <c r="O21" i="7"/>
  <c r="O641" i="7"/>
  <c r="O897" i="7"/>
  <c r="O89" i="7"/>
  <c r="O658" i="7"/>
  <c r="O241" i="7"/>
  <c r="O952" i="7"/>
  <c r="O173" i="7"/>
  <c r="O523" i="7"/>
  <c r="O652" i="7"/>
  <c r="N86" i="7"/>
  <c r="N342" i="7"/>
  <c r="N91" i="7"/>
  <c r="N347" i="7"/>
  <c r="N316" i="7"/>
  <c r="N652" i="7"/>
  <c r="N309" i="7"/>
  <c r="N609" i="7"/>
  <c r="N737" i="7"/>
  <c r="N463" i="7"/>
  <c r="N730" i="7"/>
  <c r="N868" i="7"/>
  <c r="N996" i="7"/>
  <c r="N192" i="7"/>
  <c r="N749" i="7"/>
  <c r="N954" i="7"/>
  <c r="N559" i="7"/>
  <c r="N475" i="7"/>
  <c r="N739" i="7"/>
  <c r="N909" i="7"/>
  <c r="N742" i="7"/>
  <c r="N353" i="7"/>
  <c r="N943" i="7"/>
  <c r="N687" i="7"/>
  <c r="M18" i="7"/>
  <c r="M146" i="7"/>
  <c r="M274" i="7"/>
  <c r="M402" i="7"/>
  <c r="M23" i="7"/>
  <c r="M151" i="7"/>
  <c r="M279" i="7"/>
  <c r="M407" i="7"/>
  <c r="M52" i="7"/>
  <c r="M308" i="7"/>
  <c r="M536" i="7"/>
  <c r="M664" i="7"/>
  <c r="M61" i="7"/>
  <c r="M317" i="7"/>
  <c r="M541" i="7"/>
  <c r="M669" i="7"/>
  <c r="M797" i="7"/>
  <c r="M280" i="7"/>
  <c r="M650" i="7"/>
  <c r="M857" i="7"/>
  <c r="M985" i="7"/>
  <c r="M432" i="7"/>
  <c r="M855" i="7"/>
  <c r="M321" i="7"/>
  <c r="M814" i="7"/>
  <c r="M297" i="7"/>
  <c r="M659" i="7"/>
  <c r="M862" i="7"/>
  <c r="M416" i="7"/>
  <c r="M943" i="7"/>
  <c r="M759" i="7"/>
  <c r="M960" i="7"/>
  <c r="L118" i="7"/>
  <c r="L246" i="7"/>
  <c r="L374" i="7"/>
  <c r="L502" i="7"/>
  <c r="L123" i="7"/>
  <c r="L251" i="7"/>
  <c r="L379" i="7"/>
  <c r="L507" i="7"/>
  <c r="L128" i="7"/>
  <c r="L256" i="7"/>
  <c r="L384" i="7"/>
  <c r="L85" i="7"/>
  <c r="L526" i="7"/>
  <c r="L654" i="7"/>
  <c r="L782" i="7"/>
  <c r="L41" i="7"/>
  <c r="L515" i="7"/>
  <c r="L643" i="7"/>
  <c r="L771" i="7"/>
  <c r="L205" i="7"/>
  <c r="L556" i="7"/>
  <c r="L684" i="7"/>
  <c r="L812" i="7"/>
  <c r="L589" i="7"/>
  <c r="L934" i="7"/>
  <c r="L972" i="7"/>
  <c r="L949" i="7"/>
  <c r="L753" i="7"/>
  <c r="L987" i="7"/>
  <c r="L921" i="7"/>
  <c r="L789" i="7"/>
  <c r="K30" i="7"/>
  <c r="K94" i="7"/>
  <c r="K158" i="7"/>
  <c r="K222" i="7"/>
  <c r="K286" i="7"/>
  <c r="K43" i="7"/>
  <c r="K107" i="7"/>
  <c r="K171" i="7"/>
  <c r="K235" i="7"/>
  <c r="K299" i="7"/>
  <c r="K363" i="7"/>
  <c r="K427" i="7"/>
  <c r="K491" i="7"/>
  <c r="K92" i="7"/>
  <c r="K220" i="7"/>
  <c r="K334" i="7"/>
  <c r="K420" i="7"/>
  <c r="K505" i="7"/>
  <c r="K570" i="7"/>
  <c r="K634" i="7"/>
  <c r="K698" i="7"/>
  <c r="K133" i="7"/>
  <c r="K304" i="7"/>
  <c r="K418" i="7"/>
  <c r="K527" i="7"/>
  <c r="K612" i="7"/>
  <c r="K697" i="7"/>
  <c r="K765" i="7"/>
  <c r="K829" i="7"/>
  <c r="K893" i="7"/>
  <c r="K957" i="7"/>
  <c r="K61" i="7"/>
  <c r="K232" i="7"/>
  <c r="K370" i="7"/>
  <c r="K485" i="7"/>
  <c r="K576" i="7"/>
  <c r="K661" i="7"/>
  <c r="K288" i="7"/>
  <c r="K519" i="7"/>
  <c r="K684" i="7"/>
  <c r="K776" i="7"/>
  <c r="K862" i="7"/>
  <c r="K947" i="7"/>
  <c r="K149" i="7"/>
  <c r="K673" i="7"/>
  <c r="K891" i="7"/>
  <c r="K402" i="7"/>
  <c r="K775" i="7"/>
  <c r="K978" i="7"/>
  <c r="K310" i="7"/>
  <c r="K531" i="7"/>
  <c r="K693" i="7"/>
  <c r="K783" i="7"/>
  <c r="K868" i="7"/>
  <c r="K954" i="7"/>
  <c r="K373" i="7"/>
  <c r="K688" i="7"/>
  <c r="K843" i="7"/>
  <c r="K976" i="7"/>
  <c r="K445" i="7"/>
  <c r="K716" i="7"/>
  <c r="K871" i="7"/>
  <c r="J2" i="7"/>
  <c r="J66" i="7"/>
  <c r="J130" i="7"/>
  <c r="J194" i="7"/>
  <c r="J258" i="7"/>
  <c r="J322" i="7"/>
  <c r="J386" i="7"/>
  <c r="J450" i="7"/>
  <c r="J19" i="7"/>
  <c r="J83" i="7"/>
  <c r="J147" i="7"/>
  <c r="J211" i="7"/>
  <c r="J275" i="7"/>
  <c r="J339" i="7"/>
  <c r="J403" i="7"/>
  <c r="J467" i="7"/>
  <c r="J24" i="7"/>
  <c r="J88" i="7"/>
  <c r="J152" i="7"/>
  <c r="J216" i="7"/>
  <c r="J280" i="7"/>
  <c r="J344" i="7"/>
  <c r="J408" i="7"/>
  <c r="J472" i="7"/>
  <c r="J101" i="7"/>
  <c r="J357" i="7"/>
  <c r="J532" i="7"/>
  <c r="J596" i="7"/>
  <c r="J660" i="7"/>
  <c r="J724" i="7"/>
  <c r="J788" i="7"/>
  <c r="J852" i="7"/>
  <c r="J121" i="7"/>
  <c r="J377" i="7"/>
  <c r="J537" i="7"/>
  <c r="J601" i="7"/>
  <c r="J665" i="7"/>
  <c r="J729" i="7"/>
  <c r="J793" i="7"/>
  <c r="J857" i="7"/>
  <c r="J921" i="7"/>
  <c r="J985" i="7"/>
  <c r="J205" i="7"/>
  <c r="J461" i="7"/>
  <c r="J401" i="7"/>
  <c r="J634" i="7"/>
  <c r="J762" i="7"/>
  <c r="J888" i="7"/>
  <c r="J974" i="7"/>
  <c r="J928" i="7"/>
  <c r="J655" i="7"/>
  <c r="J951" i="7"/>
  <c r="J555" i="7"/>
  <c r="J683" i="7"/>
  <c r="J811" i="7"/>
  <c r="J922" i="7"/>
  <c r="J113" i="7"/>
  <c r="J598" i="7"/>
  <c r="J726" i="7"/>
  <c r="J912" i="7"/>
  <c r="J551" i="7"/>
  <c r="J767" i="7"/>
  <c r="J946" i="7"/>
  <c r="I38" i="7"/>
  <c r="I102" i="7"/>
  <c r="I166" i="7"/>
  <c r="I230" i="7"/>
  <c r="I294" i="7"/>
  <c r="I358" i="7"/>
  <c r="I422" i="7"/>
  <c r="I486" i="7"/>
  <c r="I43" i="7"/>
  <c r="I107" i="7"/>
  <c r="I171" i="7"/>
  <c r="I235" i="7"/>
  <c r="I299" i="7"/>
  <c r="I363" i="7"/>
  <c r="I427" i="7"/>
  <c r="I491" i="7"/>
  <c r="I92" i="7"/>
  <c r="I220" i="7"/>
  <c r="I348" i="7"/>
  <c r="I476" i="7"/>
  <c r="I556" i="7"/>
  <c r="I620" i="7"/>
  <c r="I684" i="7"/>
  <c r="I748" i="7"/>
  <c r="I812" i="7"/>
  <c r="I5" i="7"/>
  <c r="I133" i="7"/>
  <c r="I261" i="7"/>
  <c r="I389" i="7"/>
  <c r="I513" i="7"/>
  <c r="I577" i="7"/>
  <c r="I641" i="7"/>
  <c r="I705" i="7"/>
  <c r="I24" i="7"/>
  <c r="I280" i="7"/>
  <c r="I522" i="7"/>
  <c r="I650" i="7"/>
  <c r="I773" i="7"/>
  <c r="I858" i="7"/>
  <c r="I926" i="7"/>
  <c r="I990" i="7"/>
  <c r="I833" i="7"/>
  <c r="I907" i="7"/>
  <c r="I971" i="7"/>
  <c r="I224" i="7"/>
  <c r="I582" i="7"/>
  <c r="I781" i="7"/>
  <c r="I908" i="7"/>
  <c r="I65" i="7"/>
  <c r="I41" i="7"/>
  <c r="I297" i="7"/>
  <c r="I531" i="7"/>
  <c r="I659" i="7"/>
  <c r="I160" i="7"/>
  <c r="I654" i="7"/>
  <c r="I900" i="7"/>
  <c r="I225" i="7"/>
  <c r="I771" i="7"/>
  <c r="I965" i="7"/>
  <c r="I719" i="7"/>
  <c r="I535" i="7"/>
  <c r="I511" i="7"/>
  <c r="H10" i="7"/>
  <c r="H74" i="7"/>
  <c r="H138" i="7"/>
  <c r="H202" i="7"/>
  <c r="H266" i="7"/>
  <c r="H330" i="7"/>
  <c r="H394" i="7"/>
  <c r="H458" i="7"/>
  <c r="H43" i="7"/>
  <c r="H107" i="7"/>
  <c r="H171" i="7"/>
  <c r="H235" i="7"/>
  <c r="H299" i="7"/>
  <c r="H363" i="7"/>
  <c r="H427" i="7"/>
  <c r="H491" i="7"/>
  <c r="H92" i="7"/>
  <c r="H220" i="7"/>
  <c r="H348" i="7"/>
  <c r="H476" i="7"/>
  <c r="H549" i="7"/>
  <c r="H613" i="7"/>
  <c r="H677" i="7"/>
  <c r="H741" i="7"/>
  <c r="H101" i="7"/>
  <c r="H229" i="7"/>
  <c r="H357" i="7"/>
  <c r="H484" i="7"/>
  <c r="H554" i="7"/>
  <c r="H618" i="7"/>
  <c r="H682" i="7"/>
  <c r="H746" i="7"/>
  <c r="H200" i="7"/>
  <c r="H456" i="7"/>
  <c r="H603" i="7"/>
  <c r="H731" i="7"/>
  <c r="H808" i="7"/>
  <c r="H872" i="7"/>
  <c r="H936" i="7"/>
  <c r="H1000" i="7"/>
  <c r="H448" i="7"/>
  <c r="H719" i="7"/>
  <c r="H862" i="7"/>
  <c r="H982" i="7"/>
  <c r="H449" i="7"/>
  <c r="H720" i="7"/>
  <c r="H863" i="7"/>
  <c r="H987" i="7"/>
  <c r="H233" i="7"/>
  <c r="H486" i="7"/>
  <c r="H620" i="7"/>
  <c r="H748" i="7"/>
  <c r="H817" i="7"/>
  <c r="H881" i="7"/>
  <c r="H945" i="7"/>
  <c r="H128" i="7"/>
  <c r="H464" i="7"/>
  <c r="H615" i="7"/>
  <c r="H743" i="7"/>
  <c r="H818" i="7"/>
  <c r="H882" i="7"/>
  <c r="H950" i="7"/>
  <c r="H65" i="7"/>
  <c r="H321" i="7"/>
  <c r="H544" i="7"/>
  <c r="H672" i="7"/>
  <c r="H783" i="7"/>
  <c r="H851" i="7"/>
  <c r="H915" i="7"/>
  <c r="H983" i="7"/>
  <c r="G22" i="7"/>
  <c r="G54" i="7"/>
  <c r="G86" i="7"/>
  <c r="G118" i="7"/>
  <c r="G150" i="7"/>
  <c r="G182" i="7"/>
  <c r="G214" i="7"/>
  <c r="G246" i="7"/>
  <c r="G278" i="7"/>
  <c r="G310" i="7"/>
  <c r="G342" i="7"/>
  <c r="G374" i="7"/>
  <c r="G406" i="7"/>
  <c r="G438" i="7"/>
  <c r="G470" i="7"/>
  <c r="G502" i="7"/>
  <c r="G27" i="7"/>
  <c r="G59" i="7"/>
  <c r="G91" i="7"/>
  <c r="G123" i="7"/>
  <c r="G155" i="7"/>
  <c r="G187" i="7"/>
  <c r="G219" i="7"/>
  <c r="G251" i="7"/>
  <c r="G283" i="7"/>
  <c r="G315" i="7"/>
  <c r="G347" i="7"/>
  <c r="G379" i="7"/>
  <c r="G411" i="7"/>
  <c r="G443" i="7"/>
  <c r="G475" i="7"/>
  <c r="G12" i="7"/>
  <c r="G44" i="7"/>
  <c r="G76" i="7"/>
  <c r="G108" i="7"/>
  <c r="G140" i="7"/>
  <c r="G172" i="7"/>
  <c r="G204" i="7"/>
  <c r="G236" i="7"/>
  <c r="G268" i="7"/>
  <c r="G300" i="7"/>
  <c r="G332" i="7"/>
  <c r="G364" i="7"/>
  <c r="G396" i="7"/>
  <c r="G428" i="7"/>
  <c r="G460" i="7"/>
  <c r="G492" i="7"/>
  <c r="G53" i="7"/>
  <c r="G181" i="7"/>
  <c r="G309" i="7"/>
  <c r="G437" i="7"/>
  <c r="G520" i="7"/>
  <c r="G552" i="7"/>
  <c r="G584" i="7"/>
  <c r="G616" i="7"/>
  <c r="G648" i="7"/>
  <c r="G680" i="7"/>
  <c r="G712" i="7"/>
  <c r="G744" i="7"/>
  <c r="G776" i="7"/>
  <c r="G808" i="7"/>
  <c r="G840" i="7"/>
  <c r="G872" i="7"/>
  <c r="G57" i="7"/>
  <c r="G185" i="7"/>
  <c r="G313" i="7"/>
  <c r="G441" i="7"/>
  <c r="G521" i="7"/>
  <c r="G553" i="7"/>
  <c r="G585" i="7"/>
  <c r="G617" i="7"/>
  <c r="G649" i="7"/>
  <c r="G681" i="7"/>
  <c r="G713" i="7"/>
  <c r="G745" i="7"/>
  <c r="G777" i="7"/>
  <c r="G809" i="7"/>
  <c r="G841" i="7"/>
  <c r="G873" i="7"/>
  <c r="G141" i="7"/>
  <c r="G397" i="7"/>
  <c r="G542" i="7"/>
  <c r="G606" i="7"/>
  <c r="G670" i="7"/>
  <c r="G734" i="7"/>
  <c r="G798" i="7"/>
  <c r="G862" i="7"/>
  <c r="G907" i="7"/>
  <c r="G939" i="7"/>
  <c r="G971" i="7"/>
  <c r="G61" i="7"/>
  <c r="G514" i="7"/>
  <c r="G650" i="7"/>
  <c r="G770" i="7"/>
  <c r="G893" i="7"/>
  <c r="G961" i="7"/>
  <c r="G193" i="7"/>
  <c r="G563" i="7"/>
  <c r="G683" i="7"/>
  <c r="G811" i="7"/>
  <c r="G914" i="7"/>
  <c r="G978" i="7"/>
  <c r="G177" i="7"/>
  <c r="G433" i="7"/>
  <c r="G551" i="7"/>
  <c r="G615" i="7"/>
  <c r="G679" i="7"/>
  <c r="G743" i="7"/>
  <c r="G807" i="7"/>
  <c r="G871" i="7"/>
  <c r="G912" i="7"/>
  <c r="G944" i="7"/>
  <c r="G976" i="7"/>
  <c r="G125" i="7"/>
  <c r="G538" i="7"/>
  <c r="G658" i="7"/>
  <c r="G794" i="7"/>
  <c r="G905" i="7"/>
  <c r="G965" i="7"/>
  <c r="G289" i="7"/>
  <c r="G571" i="7"/>
  <c r="G699" i="7"/>
  <c r="G835" i="7"/>
  <c r="G926" i="7"/>
  <c r="G990" i="7"/>
  <c r="F26" i="7"/>
  <c r="F58" i="7"/>
  <c r="F90" i="7"/>
  <c r="F122" i="7"/>
  <c r="F142" i="7"/>
  <c r="F162" i="7"/>
  <c r="F186" i="7"/>
  <c r="F206" i="7"/>
  <c r="F226" i="7"/>
  <c r="F250" i="7"/>
  <c r="F270" i="7"/>
  <c r="F290" i="7"/>
  <c r="F314" i="7"/>
  <c r="F334" i="7"/>
  <c r="F354" i="7"/>
  <c r="F378" i="7"/>
  <c r="F398" i="7"/>
  <c r="F418" i="7"/>
  <c r="F442" i="7"/>
  <c r="F462" i="7"/>
  <c r="F482" i="7"/>
  <c r="F506" i="7"/>
  <c r="F19" i="7"/>
  <c r="F39" i="7"/>
  <c r="F63" i="7"/>
  <c r="F83" i="7"/>
  <c r="F103" i="7"/>
  <c r="F127" i="7"/>
  <c r="F147" i="7"/>
  <c r="F167" i="7"/>
  <c r="F191" i="7"/>
  <c r="F211" i="7"/>
  <c r="F231" i="7"/>
  <c r="F255" i="7"/>
  <c r="F275" i="7"/>
  <c r="F295" i="7"/>
  <c r="F319" i="7"/>
  <c r="F339" i="7"/>
  <c r="F359" i="7"/>
  <c r="F383" i="7"/>
  <c r="F403" i="7"/>
  <c r="F423" i="7"/>
  <c r="F447" i="7"/>
  <c r="F467" i="7"/>
  <c r="F487" i="7"/>
  <c r="F4" i="7"/>
  <c r="F24" i="7"/>
  <c r="F44" i="7"/>
  <c r="F68" i="7"/>
  <c r="F88" i="7"/>
  <c r="F108" i="7"/>
  <c r="F132" i="7"/>
  <c r="F152" i="7"/>
  <c r="F172" i="7"/>
  <c r="F196" i="7"/>
  <c r="F216" i="7"/>
  <c r="F236" i="7"/>
  <c r="F260" i="7"/>
  <c r="F280" i="7"/>
  <c r="F300" i="7"/>
  <c r="F324" i="7"/>
  <c r="F344" i="7"/>
  <c r="F364" i="7"/>
  <c r="F388" i="7"/>
  <c r="F408" i="7"/>
  <c r="F428" i="7"/>
  <c r="F452" i="7"/>
  <c r="F472" i="7"/>
  <c r="F492" i="7"/>
  <c r="F21" i="7"/>
  <c r="F101" i="7"/>
  <c r="F181" i="7"/>
  <c r="F277" i="7"/>
  <c r="F357" i="7"/>
  <c r="F437" i="7"/>
  <c r="F515" i="7"/>
  <c r="F535" i="7"/>
  <c r="F555" i="7"/>
  <c r="F579" i="7"/>
  <c r="F599" i="7"/>
  <c r="F619" i="7"/>
  <c r="F643" i="7"/>
  <c r="F663" i="7"/>
  <c r="F683" i="7"/>
  <c r="F707" i="7"/>
  <c r="F727" i="7"/>
  <c r="F747" i="7"/>
  <c r="F771" i="7"/>
  <c r="F791" i="7"/>
  <c r="F811" i="7"/>
  <c r="F835" i="7"/>
  <c r="F855" i="7"/>
  <c r="F875" i="7"/>
  <c r="F25" i="7"/>
  <c r="F105" i="7"/>
  <c r="F185" i="7"/>
  <c r="F281" i="7"/>
  <c r="F361" i="7"/>
  <c r="F441" i="7"/>
  <c r="F516" i="7"/>
  <c r="F536" i="7"/>
  <c r="F556" i="7"/>
  <c r="F580" i="7"/>
  <c r="F600" i="7"/>
  <c r="F620" i="7"/>
  <c r="F644" i="7"/>
  <c r="F664" i="7"/>
  <c r="F684" i="7"/>
  <c r="F708" i="7"/>
  <c r="F728" i="7"/>
  <c r="F748" i="7"/>
  <c r="F772" i="7"/>
  <c r="F792" i="7"/>
  <c r="F812" i="7"/>
  <c r="F836" i="7"/>
  <c r="F856" i="7"/>
  <c r="F876" i="7"/>
  <c r="F45" i="7"/>
  <c r="F125" i="7"/>
  <c r="F205" i="7"/>
  <c r="F301" i="7"/>
  <c r="F381" i="7"/>
  <c r="F461" i="7"/>
  <c r="F521" i="7"/>
  <c r="F541" i="7"/>
  <c r="F561" i="7"/>
  <c r="F585" i="7"/>
  <c r="F605" i="7"/>
  <c r="F625" i="7"/>
  <c r="F649" i="7"/>
  <c r="F669" i="7"/>
  <c r="F689" i="7"/>
  <c r="F713" i="7"/>
  <c r="F733" i="7"/>
  <c r="F753" i="7"/>
  <c r="F777" i="7"/>
  <c r="F797" i="7"/>
  <c r="F273" i="7"/>
  <c r="F546" i="7"/>
  <c r="F626" i="7"/>
  <c r="F706" i="7"/>
  <c r="F801" i="7"/>
  <c r="F841" i="7"/>
  <c r="F881" i="7"/>
  <c r="F910" i="7"/>
  <c r="F930" i="7"/>
  <c r="F950" i="7"/>
  <c r="F974" i="7"/>
  <c r="F994" i="7"/>
  <c r="F931" i="7"/>
  <c r="F971" i="7"/>
  <c r="F606" i="7"/>
  <c r="F798" i="7"/>
  <c r="F905" i="7"/>
  <c r="F957" i="7"/>
  <c r="F33" i="7"/>
  <c r="F417" i="7"/>
  <c r="F566" i="7"/>
  <c r="F646" i="7"/>
  <c r="F742" i="7"/>
  <c r="F810" i="7"/>
  <c r="F850" i="7"/>
  <c r="F895" i="7"/>
  <c r="F919" i="7"/>
  <c r="F979" i="7"/>
  <c r="F822" i="7"/>
  <c r="F929" i="7"/>
  <c r="F49" i="7"/>
  <c r="F305" i="7"/>
  <c r="F522" i="7"/>
  <c r="F586" i="7"/>
  <c r="F650" i="7"/>
  <c r="F714" i="7"/>
  <c r="F778" i="7"/>
  <c r="F821" i="7"/>
  <c r="F853" i="7"/>
  <c r="F885" i="7"/>
  <c r="F904" i="7"/>
  <c r="F920" i="7"/>
  <c r="F936" i="7"/>
  <c r="F952" i="7"/>
  <c r="F968" i="7"/>
  <c r="F984" i="7"/>
  <c r="F1000" i="7"/>
  <c r="F257" i="7"/>
  <c r="F510" i="7"/>
  <c r="F574" i="7"/>
  <c r="F702" i="7"/>
  <c r="F830" i="7"/>
  <c r="F901" i="7"/>
  <c r="F941" i="7"/>
  <c r="F981" i="7"/>
  <c r="E10" i="7"/>
  <c r="E26" i="7"/>
  <c r="E42" i="7"/>
  <c r="E58" i="7"/>
  <c r="E74" i="7"/>
  <c r="E90" i="7"/>
  <c r="E106" i="7"/>
  <c r="E122" i="7"/>
  <c r="E138" i="7"/>
  <c r="E154" i="7"/>
  <c r="E170" i="7"/>
  <c r="E186" i="7"/>
  <c r="E202" i="7"/>
  <c r="E218" i="7"/>
  <c r="E234" i="7"/>
  <c r="E250" i="7"/>
  <c r="E266" i="7"/>
  <c r="E282" i="7"/>
  <c r="E298" i="7"/>
  <c r="E314" i="7"/>
  <c r="E330" i="7"/>
  <c r="E346" i="7"/>
  <c r="E362" i="7"/>
  <c r="E378" i="7"/>
  <c r="E394" i="7"/>
  <c r="E410" i="7"/>
  <c r="E426" i="7"/>
  <c r="E442" i="7"/>
  <c r="E458" i="7"/>
  <c r="E474" i="7"/>
  <c r="E490" i="7"/>
  <c r="E506" i="7"/>
  <c r="E15" i="7"/>
  <c r="E31" i="7"/>
  <c r="E47" i="7"/>
  <c r="E63" i="7"/>
  <c r="E79" i="7"/>
  <c r="E95" i="7"/>
  <c r="E111" i="7"/>
  <c r="E127" i="7"/>
  <c r="E143" i="7"/>
  <c r="E159" i="7"/>
  <c r="E175" i="7"/>
  <c r="E191" i="7"/>
  <c r="E207" i="7"/>
  <c r="E223" i="7"/>
  <c r="E239" i="7"/>
  <c r="E255" i="7"/>
  <c r="E271" i="7"/>
  <c r="E287" i="7"/>
  <c r="E303" i="7"/>
  <c r="E319" i="7"/>
  <c r="E335" i="7"/>
  <c r="E351" i="7"/>
  <c r="E367" i="7"/>
  <c r="E383" i="7"/>
  <c r="E399" i="7"/>
  <c r="E415" i="7"/>
  <c r="E8" i="7"/>
  <c r="E24" i="7"/>
  <c r="E40" i="7"/>
  <c r="E56" i="7"/>
  <c r="E72" i="7"/>
  <c r="E88" i="7"/>
  <c r="E104" i="7"/>
  <c r="E120" i="7"/>
  <c r="E136" i="7"/>
  <c r="E152" i="7"/>
  <c r="E168" i="7"/>
  <c r="E184" i="7"/>
  <c r="E200" i="7"/>
  <c r="E216" i="7"/>
  <c r="E232" i="7"/>
  <c r="E248" i="7"/>
  <c r="E264" i="7"/>
  <c r="E280" i="7"/>
  <c r="E296" i="7"/>
  <c r="E312" i="7"/>
  <c r="E328" i="7"/>
  <c r="E344" i="7"/>
  <c r="E360" i="7"/>
  <c r="E376" i="7"/>
  <c r="E392" i="7"/>
  <c r="E408" i="7"/>
  <c r="E424" i="7"/>
  <c r="E440" i="7"/>
  <c r="E456" i="7"/>
  <c r="E472" i="7"/>
  <c r="E21" i="7"/>
  <c r="E85" i="7"/>
  <c r="E149" i="7"/>
  <c r="E213" i="7"/>
  <c r="E277" i="7"/>
  <c r="E341" i="7"/>
  <c r="E405" i="7"/>
  <c r="E447" i="7"/>
  <c r="E479" i="7"/>
  <c r="E501" i="7"/>
  <c r="E519" i="7"/>
  <c r="E535" i="7"/>
  <c r="E551" i="7"/>
  <c r="E567" i="7"/>
  <c r="E583" i="7"/>
  <c r="E599" i="7"/>
  <c r="E615" i="7"/>
  <c r="E631" i="7"/>
  <c r="E647" i="7"/>
  <c r="E663" i="7"/>
  <c r="E679" i="7"/>
  <c r="E695" i="7"/>
  <c r="E711" i="7"/>
  <c r="E727" i="7"/>
  <c r="E25" i="7"/>
  <c r="E89" i="7"/>
  <c r="E153" i="7"/>
  <c r="E217" i="7"/>
  <c r="E281" i="7"/>
  <c r="E345" i="7"/>
  <c r="E409" i="7"/>
  <c r="E449" i="7"/>
  <c r="E481" i="7"/>
  <c r="E503" i="7"/>
  <c r="E520" i="7"/>
  <c r="E536" i="7"/>
  <c r="E552" i="7"/>
  <c r="E568" i="7"/>
  <c r="E584" i="7"/>
  <c r="E600" i="7"/>
  <c r="E616" i="7"/>
  <c r="E632" i="7"/>
  <c r="E648" i="7"/>
  <c r="E664" i="7"/>
  <c r="E680" i="7"/>
  <c r="E696" i="7"/>
  <c r="E712" i="7"/>
  <c r="E728" i="7"/>
  <c r="E744" i="7"/>
  <c r="E760" i="7"/>
  <c r="E776" i="7"/>
  <c r="E792" i="7"/>
  <c r="E808" i="7"/>
  <c r="E824" i="7"/>
  <c r="E840" i="7"/>
  <c r="E856" i="7"/>
  <c r="E77" i="7"/>
  <c r="E205" i="7"/>
  <c r="E333" i="7"/>
  <c r="E443" i="7"/>
  <c r="E499" i="7"/>
  <c r="E533" i="7"/>
  <c r="E565" i="7"/>
  <c r="E597" i="7"/>
  <c r="E629" i="7"/>
  <c r="E661" i="7"/>
  <c r="E693" i="7"/>
  <c r="E725" i="7"/>
  <c r="E750" i="7"/>
  <c r="E771" i="7"/>
  <c r="E793" i="7"/>
  <c r="E814" i="7"/>
  <c r="E835" i="7"/>
  <c r="E857" i="7"/>
  <c r="E874" i="7"/>
  <c r="E890" i="7"/>
  <c r="E906" i="7"/>
  <c r="E922" i="7"/>
  <c r="E938" i="7"/>
  <c r="E954" i="7"/>
  <c r="E970" i="7"/>
  <c r="E986" i="7"/>
  <c r="E795" i="7"/>
  <c r="E854" i="7"/>
  <c r="E896" i="7"/>
  <c r="E936" i="7"/>
  <c r="E980" i="7"/>
  <c r="E161" i="7"/>
  <c r="E469" i="7"/>
  <c r="E562" i="7"/>
  <c r="E650" i="7"/>
  <c r="E738" i="7"/>
  <c r="E791" i="7"/>
  <c r="E845" i="7"/>
  <c r="E893" i="7"/>
  <c r="E933" i="7"/>
  <c r="E973" i="7"/>
  <c r="E113" i="7"/>
  <c r="E241" i="7"/>
  <c r="E369" i="7"/>
  <c r="E461" i="7"/>
  <c r="E510" i="7"/>
  <c r="E542" i="7"/>
  <c r="E574" i="7"/>
  <c r="E606" i="7"/>
  <c r="E638" i="7"/>
  <c r="E670" i="7"/>
  <c r="E702" i="7"/>
  <c r="E734" i="7"/>
  <c r="E757" i="7"/>
  <c r="E778" i="7"/>
  <c r="E799" i="7"/>
  <c r="E821" i="7"/>
  <c r="E842" i="7"/>
  <c r="E863" i="7"/>
  <c r="E879" i="7"/>
  <c r="E895" i="7"/>
  <c r="E911" i="7"/>
  <c r="E927" i="7"/>
  <c r="E943" i="7"/>
  <c r="E959" i="7"/>
  <c r="E975" i="7"/>
  <c r="E991" i="7"/>
  <c r="E61" i="7"/>
  <c r="E189" i="7"/>
  <c r="E317" i="7"/>
  <c r="E435" i="7"/>
  <c r="E493" i="7"/>
  <c r="E529" i="7"/>
  <c r="E561" i="7"/>
  <c r="E593" i="7"/>
  <c r="E625" i="7"/>
  <c r="E657" i="7"/>
  <c r="E689" i="7"/>
  <c r="E721" i="7"/>
  <c r="E747" i="7"/>
  <c r="E769" i="7"/>
  <c r="E790" i="7"/>
  <c r="E822" i="7"/>
  <c r="E859" i="7"/>
  <c r="E884" i="7"/>
  <c r="E912" i="7"/>
  <c r="E940" i="7"/>
  <c r="E964" i="7"/>
  <c r="E988" i="7"/>
  <c r="E129" i="7"/>
  <c r="E321" i="7"/>
  <c r="E484" i="7"/>
  <c r="E538" i="7"/>
  <c r="E594" i="7"/>
  <c r="E642" i="7"/>
  <c r="E690" i="7"/>
  <c r="E743" i="7"/>
  <c r="E775" i="7"/>
  <c r="E813" i="7"/>
  <c r="E850" i="7"/>
  <c r="E877" i="7"/>
  <c r="E905" i="7"/>
  <c r="E929" i="7"/>
  <c r="E957" i="7"/>
  <c r="E981" i="7"/>
  <c r="E993" i="7"/>
  <c r="D14" i="7"/>
  <c r="D30" i="7"/>
  <c r="D46" i="7"/>
  <c r="D62" i="7"/>
  <c r="D78" i="7"/>
  <c r="D94" i="7"/>
  <c r="D110" i="7"/>
  <c r="D126" i="7"/>
  <c r="D142" i="7"/>
  <c r="D158" i="7"/>
  <c r="D174" i="7"/>
  <c r="D190" i="7"/>
  <c r="D206" i="7"/>
  <c r="D222" i="7"/>
  <c r="D238" i="7"/>
  <c r="D254" i="7"/>
  <c r="D270" i="7"/>
  <c r="D286" i="7"/>
  <c r="D302" i="7"/>
  <c r="D318" i="7"/>
  <c r="D334" i="7"/>
  <c r="D350" i="7"/>
  <c r="D366" i="7"/>
  <c r="D382" i="7"/>
  <c r="D398" i="7"/>
  <c r="D414" i="7"/>
  <c r="D430" i="7"/>
  <c r="D446" i="7"/>
  <c r="D3" i="7"/>
  <c r="D19" i="7"/>
  <c r="D35" i="7"/>
  <c r="D51" i="7"/>
  <c r="D67" i="7"/>
  <c r="D83" i="7"/>
  <c r="D99" i="7"/>
  <c r="D115" i="7"/>
  <c r="D131" i="7"/>
  <c r="D147" i="7"/>
  <c r="D163" i="7"/>
  <c r="D179" i="7"/>
  <c r="D195" i="7"/>
  <c r="D211" i="7"/>
  <c r="D227" i="7"/>
  <c r="D243" i="7"/>
  <c r="D259" i="7"/>
  <c r="D275" i="7"/>
  <c r="D291" i="7"/>
  <c r="D307" i="7"/>
  <c r="D323" i="7"/>
  <c r="D339" i="7"/>
  <c r="D355" i="7"/>
  <c r="D371" i="7"/>
  <c r="D387" i="7"/>
  <c r="D403" i="7"/>
  <c r="D419" i="7"/>
  <c r="D435" i="7"/>
  <c r="D451" i="7"/>
  <c r="D467" i="7"/>
  <c r="D483" i="7"/>
  <c r="D499" i="7"/>
  <c r="D12" i="7"/>
  <c r="D44" i="7"/>
  <c r="D76" i="7"/>
  <c r="D108" i="7"/>
  <c r="D140" i="7"/>
  <c r="D172" i="7"/>
  <c r="D204" i="7"/>
  <c r="D236" i="7"/>
  <c r="D268" i="7"/>
  <c r="D300" i="7"/>
  <c r="D332" i="7"/>
  <c r="D364" i="7"/>
  <c r="D396" i="7"/>
  <c r="D428" i="7"/>
  <c r="D460" i="7"/>
  <c r="D481" i="7"/>
  <c r="D502" i="7"/>
  <c r="D520" i="7"/>
  <c r="D536" i="7"/>
  <c r="D552" i="7"/>
  <c r="D568" i="7"/>
  <c r="D584" i="7"/>
  <c r="D600" i="7"/>
  <c r="D616" i="7"/>
  <c r="D632" i="7"/>
  <c r="D648" i="7"/>
  <c r="D664" i="7"/>
  <c r="D680" i="7"/>
  <c r="D696" i="7"/>
  <c r="D712" i="7"/>
  <c r="D728" i="7"/>
  <c r="D744" i="7"/>
  <c r="D25" i="7"/>
  <c r="D69" i="7"/>
  <c r="D112" i="7"/>
  <c r="D153" i="7"/>
  <c r="D197" i="7"/>
  <c r="D240" i="7"/>
  <c r="D281" i="7"/>
  <c r="D325" i="7"/>
  <c r="D368" i="7"/>
  <c r="D409" i="7"/>
  <c r="D453" i="7"/>
  <c r="D484" i="7"/>
  <c r="D511" i="7"/>
  <c r="D533" i="7"/>
  <c r="D554" i="7"/>
  <c r="D575" i="7"/>
  <c r="D597" i="7"/>
  <c r="D618" i="7"/>
  <c r="D639" i="7"/>
  <c r="D661" i="7"/>
  <c r="D682" i="7"/>
  <c r="D703" i="7"/>
  <c r="D725" i="7"/>
  <c r="D746" i="7"/>
  <c r="D763" i="7"/>
  <c r="D779" i="7"/>
  <c r="D795" i="7"/>
  <c r="D811" i="7"/>
  <c r="D827" i="7"/>
  <c r="D843" i="7"/>
  <c r="D859" i="7"/>
  <c r="D875" i="7"/>
  <c r="D891" i="7"/>
  <c r="D907" i="7"/>
  <c r="D923" i="7"/>
  <c r="D939" i="7"/>
  <c r="D955" i="7"/>
  <c r="D971" i="7"/>
  <c r="D987" i="7"/>
  <c r="D8" i="7"/>
  <c r="D49" i="7"/>
  <c r="D93" i="7"/>
  <c r="D136" i="7"/>
  <c r="D177" i="7"/>
  <c r="D221" i="7"/>
  <c r="D264" i="7"/>
  <c r="D305" i="7"/>
  <c r="D349" i="7"/>
  <c r="D392" i="7"/>
  <c r="D433" i="7"/>
  <c r="D472" i="7"/>
  <c r="D500" i="7"/>
  <c r="D523" i="7"/>
  <c r="D545" i="7"/>
  <c r="D566" i="7"/>
  <c r="D587" i="7"/>
  <c r="D609" i="7"/>
  <c r="D630" i="7"/>
  <c r="D651" i="7"/>
  <c r="D673" i="7"/>
  <c r="D694" i="7"/>
  <c r="D715" i="7"/>
  <c r="D737" i="7"/>
  <c r="D756" i="7"/>
  <c r="D73" i="7"/>
  <c r="D160" i="7"/>
  <c r="D245" i="7"/>
  <c r="D329" i="7"/>
  <c r="D416" i="7"/>
  <c r="D488" i="7"/>
  <c r="D535" i="7"/>
  <c r="D578" i="7"/>
  <c r="D621" i="7"/>
  <c r="D663" i="7"/>
  <c r="D706" i="7"/>
  <c r="D749" i="7"/>
  <c r="D773" i="7"/>
  <c r="D794" i="7"/>
  <c r="D816" i="7"/>
  <c r="D837" i="7"/>
  <c r="D858" i="7"/>
  <c r="D880" i="7"/>
  <c r="D901" i="7"/>
  <c r="D922" i="7"/>
  <c r="D944" i="7"/>
  <c r="D965" i="7"/>
  <c r="D986" i="7"/>
  <c r="D33" i="7"/>
  <c r="D120" i="7"/>
  <c r="D205" i="7"/>
  <c r="D289" i="7"/>
  <c r="D376" i="7"/>
  <c r="D461" i="7"/>
  <c r="D515" i="7"/>
  <c r="D558" i="7"/>
  <c r="D601" i="7"/>
  <c r="D643" i="7"/>
  <c r="D697" i="7"/>
  <c r="D739" i="7"/>
  <c r="D769" i="7"/>
  <c r="D796" i="7"/>
  <c r="D822" i="7"/>
  <c r="D860" i="7"/>
  <c r="D897" i="7"/>
  <c r="D929" i="7"/>
  <c r="D961" i="7"/>
  <c r="D993" i="7"/>
  <c r="D105" i="7"/>
  <c r="D233" i="7"/>
  <c r="D384" i="7"/>
  <c r="D494" i="7"/>
  <c r="D573" i="7"/>
  <c r="D637" i="7"/>
  <c r="D711" i="7"/>
  <c r="D765" i="7"/>
  <c r="D802" i="7"/>
  <c r="D840" i="7"/>
  <c r="D877" i="7"/>
  <c r="D909" i="7"/>
  <c r="D941" i="7"/>
  <c r="D978" i="7"/>
  <c r="D45" i="7"/>
  <c r="D173" i="7"/>
  <c r="D321" i="7"/>
  <c r="D449" i="7"/>
  <c r="D542" i="7"/>
  <c r="D606" i="7"/>
  <c r="D681" i="7"/>
  <c r="D745" i="7"/>
  <c r="D788" i="7"/>
  <c r="D820" i="7"/>
  <c r="D857" i="7"/>
  <c r="D889" i="7"/>
  <c r="D921" i="7"/>
  <c r="D953" i="7"/>
  <c r="D990" i="7"/>
  <c r="D812" i="7"/>
  <c r="D865" i="7"/>
  <c r="D924" i="7"/>
  <c r="D988" i="7"/>
  <c r="D213" i="7"/>
  <c r="D405" i="7"/>
  <c r="D562" i="7"/>
  <c r="D679" i="7"/>
  <c r="D770" i="7"/>
  <c r="D824" i="7"/>
  <c r="D872" i="7"/>
  <c r="D930" i="7"/>
  <c r="D989" i="7"/>
  <c r="D193" i="7"/>
  <c r="D429" i="7"/>
  <c r="D563" i="7"/>
  <c r="D670" i="7"/>
  <c r="D766" i="7"/>
  <c r="D825" i="7"/>
  <c r="D878" i="7"/>
  <c r="D942" i="7"/>
  <c r="C2" i="7"/>
  <c r="C18" i="7"/>
  <c r="C34" i="7"/>
  <c r="C50" i="7"/>
  <c r="C66" i="7"/>
  <c r="C82" i="7"/>
  <c r="C98" i="7"/>
  <c r="C114" i="7"/>
  <c r="C130" i="7"/>
  <c r="C146" i="7"/>
  <c r="C162" i="7"/>
  <c r="C178" i="7"/>
  <c r="C194" i="7"/>
  <c r="C210" i="7"/>
  <c r="C226" i="7"/>
  <c r="C242" i="7"/>
  <c r="C258" i="7"/>
  <c r="C274" i="7"/>
  <c r="C290" i="7"/>
  <c r="C306" i="7"/>
  <c r="C322" i="7"/>
  <c r="C338" i="7"/>
  <c r="C354" i="7"/>
  <c r="C370" i="7"/>
  <c r="C386" i="7"/>
  <c r="C402" i="7"/>
  <c r="C418" i="7"/>
  <c r="C434" i="7"/>
  <c r="C450" i="7"/>
  <c r="C466" i="7"/>
  <c r="C482" i="7"/>
  <c r="C498" i="7"/>
  <c r="C7" i="7"/>
  <c r="C23" i="7"/>
  <c r="C39" i="7"/>
  <c r="C55" i="7"/>
  <c r="C71" i="7"/>
  <c r="C87" i="7"/>
  <c r="C103" i="7"/>
  <c r="C119" i="7"/>
  <c r="C135" i="7"/>
  <c r="C151" i="7"/>
  <c r="C167" i="7"/>
  <c r="C183" i="7"/>
  <c r="C199" i="7"/>
  <c r="C215" i="7"/>
  <c r="C231" i="7"/>
  <c r="C247" i="7"/>
  <c r="C263" i="7"/>
  <c r="C279" i="7"/>
  <c r="C295" i="7"/>
  <c r="C311" i="7"/>
  <c r="C327" i="7"/>
  <c r="C343" i="7"/>
  <c r="C359" i="7"/>
  <c r="C375" i="7"/>
  <c r="C391" i="7"/>
  <c r="C407" i="7"/>
  <c r="C423" i="7"/>
  <c r="C8" i="7"/>
  <c r="C24" i="7"/>
  <c r="C40" i="7"/>
  <c r="C56" i="7"/>
  <c r="C72" i="7"/>
  <c r="C88" i="7"/>
  <c r="C104" i="7"/>
  <c r="C120" i="7"/>
  <c r="C136" i="7"/>
  <c r="C152" i="7"/>
  <c r="C168" i="7"/>
  <c r="C184" i="7"/>
  <c r="C200" i="7"/>
  <c r="C216" i="7"/>
  <c r="C232" i="7"/>
  <c r="C248" i="7"/>
  <c r="C264" i="7"/>
  <c r="C280" i="7"/>
  <c r="C296" i="7"/>
  <c r="C312" i="7"/>
  <c r="C328" i="7"/>
  <c r="C344" i="7"/>
  <c r="C360" i="7"/>
  <c r="C376" i="7"/>
  <c r="C392" i="7"/>
  <c r="C408" i="7"/>
  <c r="C424" i="7"/>
  <c r="C440" i="7"/>
  <c r="C456" i="7"/>
  <c r="C472" i="7"/>
  <c r="C488" i="7"/>
  <c r="C21" i="7"/>
  <c r="C85" i="7"/>
  <c r="C149" i="7"/>
  <c r="C213" i="7"/>
  <c r="C277" i="7"/>
  <c r="C341" i="7"/>
  <c r="C405" i="7"/>
  <c r="C451" i="7"/>
  <c r="C483" i="7"/>
  <c r="C509" i="7"/>
  <c r="C525" i="7"/>
  <c r="C541" i="7"/>
  <c r="C557" i="7"/>
  <c r="C573" i="7"/>
  <c r="C589" i="7"/>
  <c r="C605" i="7"/>
  <c r="C621" i="7"/>
  <c r="C637" i="7"/>
  <c r="C653" i="7"/>
  <c r="C669" i="7"/>
  <c r="C685" i="7"/>
  <c r="C701" i="7"/>
  <c r="C717" i="7"/>
  <c r="C733" i="7"/>
  <c r="C749" i="7"/>
  <c r="C765" i="7"/>
  <c r="C781" i="7"/>
  <c r="C797" i="7"/>
  <c r="C813" i="7"/>
  <c r="C829" i="7"/>
  <c r="C845" i="7"/>
  <c r="C861" i="7"/>
  <c r="C877" i="7"/>
  <c r="C893" i="7"/>
  <c r="C909" i="7"/>
  <c r="C925" i="7"/>
  <c r="C941" i="7"/>
  <c r="C957" i="7"/>
  <c r="C973" i="7"/>
  <c r="C989" i="7"/>
  <c r="C754" i="7"/>
  <c r="C786" i="7"/>
  <c r="C822" i="7"/>
  <c r="C854" i="7"/>
  <c r="C886" i="7"/>
  <c r="C922" i="7"/>
  <c r="C954" i="7"/>
  <c r="C986" i="7"/>
  <c r="C57" i="7"/>
  <c r="C121" i="7"/>
  <c r="C185" i="7"/>
  <c r="C249" i="7"/>
  <c r="C313" i="7"/>
  <c r="C377" i="7"/>
  <c r="C437" i="7"/>
  <c r="C469" i="7"/>
  <c r="C500" i="7"/>
  <c r="C518" i="7"/>
  <c r="C534" i="7"/>
  <c r="C550" i="7"/>
  <c r="C566" i="7"/>
  <c r="C582" i="7"/>
  <c r="C598" i="7"/>
  <c r="C614" i="7"/>
  <c r="C630" i="7"/>
  <c r="C646" i="7"/>
  <c r="C662" i="7"/>
  <c r="C678" i="7"/>
  <c r="C694" i="7"/>
  <c r="C710" i="7"/>
  <c r="C726" i="7"/>
  <c r="C742" i="7"/>
  <c r="C774" i="7"/>
  <c r="C806" i="7"/>
  <c r="C834" i="7"/>
  <c r="C866" i="7"/>
  <c r="C898" i="7"/>
  <c r="C926" i="7"/>
  <c r="C958" i="7"/>
  <c r="C13" i="7"/>
  <c r="C141" i="7"/>
  <c r="C269" i="7"/>
  <c r="C397" i="7"/>
  <c r="C479" i="7"/>
  <c r="C523" i="7"/>
  <c r="C555" i="7"/>
  <c r="C587" i="7"/>
  <c r="C619" i="7"/>
  <c r="C651" i="7"/>
  <c r="C683" i="7"/>
  <c r="C715" i="7"/>
  <c r="C747" i="7"/>
  <c r="C779" i="7"/>
  <c r="C811" i="7"/>
  <c r="C843" i="7"/>
  <c r="C875" i="7"/>
  <c r="C907" i="7"/>
  <c r="C939" i="7"/>
  <c r="C971" i="7"/>
  <c r="C998" i="7"/>
  <c r="C221" i="7"/>
  <c r="C455" i="7"/>
  <c r="C543" i="7"/>
  <c r="C607" i="7"/>
  <c r="C671" i="7"/>
  <c r="C735" i="7"/>
  <c r="C799" i="7"/>
  <c r="C863" i="7"/>
  <c r="C927" i="7"/>
  <c r="C990" i="7"/>
  <c r="C161" i="7"/>
  <c r="C417" i="7"/>
  <c r="C528" i="7"/>
  <c r="C592" i="7"/>
  <c r="C656" i="7"/>
  <c r="C728" i="7"/>
  <c r="C784" i="7"/>
  <c r="C848" i="7"/>
  <c r="C920" i="7"/>
  <c r="C984" i="7"/>
  <c r="C81" i="7"/>
  <c r="C209" i="7"/>
  <c r="C337" i="7"/>
  <c r="C449" i="7"/>
  <c r="C508" i="7"/>
  <c r="C540" i="7"/>
  <c r="C572" i="7"/>
  <c r="C604" i="7"/>
  <c r="C636" i="7"/>
  <c r="C668" i="7"/>
  <c r="C700" i="7"/>
  <c r="C732" i="7"/>
  <c r="C764" i="7"/>
  <c r="C796" i="7"/>
  <c r="C828" i="7"/>
  <c r="C860" i="7"/>
  <c r="C892" i="7"/>
  <c r="C924" i="7"/>
  <c r="C956" i="7"/>
  <c r="C988" i="7"/>
  <c r="C125" i="7"/>
  <c r="C381" i="7"/>
  <c r="C519" i="7"/>
  <c r="C583" i="7"/>
  <c r="C647" i="7"/>
  <c r="C711" i="7"/>
  <c r="C775" i="7"/>
  <c r="C839" i="7"/>
  <c r="C903" i="7"/>
  <c r="C967" i="7"/>
  <c r="C97" i="7"/>
  <c r="C385" i="7"/>
  <c r="C520" i="7"/>
  <c r="C584" i="7"/>
  <c r="C648" i="7"/>
  <c r="C712" i="7"/>
  <c r="C776" i="7"/>
  <c r="C840" i="7"/>
  <c r="C896" i="7"/>
  <c r="C960" i="7"/>
  <c r="B6" i="7"/>
  <c r="B22" i="7"/>
  <c r="B38" i="7"/>
  <c r="B54" i="7"/>
  <c r="B70" i="7"/>
  <c r="B86" i="7"/>
  <c r="B102" i="7"/>
  <c r="B118" i="7"/>
  <c r="B134" i="7"/>
  <c r="B150" i="7"/>
  <c r="B166" i="7"/>
  <c r="B182" i="7"/>
  <c r="B198" i="7"/>
  <c r="B214" i="7"/>
  <c r="B230" i="7"/>
  <c r="B246" i="7"/>
  <c r="B262" i="7"/>
  <c r="B278" i="7"/>
  <c r="B294" i="7"/>
  <c r="B310" i="7"/>
  <c r="B11" i="7"/>
  <c r="B27" i="7"/>
  <c r="B43" i="7"/>
  <c r="B59" i="7"/>
  <c r="B75" i="7"/>
  <c r="B91" i="7"/>
  <c r="B107" i="7"/>
  <c r="B123" i="7"/>
  <c r="B139" i="7"/>
  <c r="B155" i="7"/>
  <c r="B171" i="7"/>
  <c r="B187" i="7"/>
  <c r="B203" i="7"/>
  <c r="B219" i="7"/>
  <c r="B235" i="7"/>
  <c r="B251" i="7"/>
  <c r="B267" i="7"/>
  <c r="B283" i="7"/>
  <c r="B299" i="7"/>
  <c r="B315" i="7"/>
  <c r="B331" i="7"/>
  <c r="B347" i="7"/>
  <c r="B363" i="7"/>
  <c r="B379" i="7"/>
  <c r="B395" i="7"/>
  <c r="B411" i="7"/>
  <c r="B427" i="7"/>
  <c r="B443" i="7"/>
  <c r="B459" i="7"/>
  <c r="B475" i="7"/>
  <c r="B491" i="7"/>
  <c r="B507" i="7"/>
  <c r="B16" i="7"/>
  <c r="B32" i="7"/>
  <c r="B48" i="7"/>
  <c r="B64" i="7"/>
  <c r="B80" i="7"/>
  <c r="B96" i="7"/>
  <c r="B112" i="7"/>
  <c r="B128" i="7"/>
  <c r="B144" i="7"/>
  <c r="B160" i="7"/>
  <c r="B176" i="7"/>
  <c r="B192" i="7"/>
  <c r="B208" i="7"/>
  <c r="B224" i="7"/>
  <c r="B240" i="7"/>
  <c r="B256" i="7"/>
  <c r="B272" i="7"/>
  <c r="B288" i="7"/>
  <c r="B304" i="7"/>
  <c r="B320" i="7"/>
  <c r="B336" i="7"/>
  <c r="B352" i="7"/>
  <c r="B368" i="7"/>
  <c r="B384" i="7"/>
  <c r="B400" i="7"/>
  <c r="B416" i="7"/>
  <c r="B432" i="7"/>
  <c r="B448" i="7"/>
  <c r="B464" i="7"/>
  <c r="B480" i="7"/>
  <c r="B496" i="7"/>
  <c r="B5" i="7"/>
  <c r="B69" i="7"/>
  <c r="B133" i="7"/>
  <c r="B197" i="7"/>
  <c r="B261" i="7"/>
  <c r="B321" i="7"/>
  <c r="B353" i="7"/>
  <c r="B385" i="7"/>
  <c r="B417" i="7"/>
  <c r="B449" i="7"/>
  <c r="B481" i="7"/>
  <c r="B511" i="7"/>
  <c r="B527" i="7"/>
  <c r="B543" i="7"/>
  <c r="B559" i="7"/>
  <c r="B575" i="7"/>
  <c r="B591" i="7"/>
  <c r="B607" i="7"/>
  <c r="B623" i="7"/>
  <c r="B639" i="7"/>
  <c r="B655" i="7"/>
  <c r="B671" i="7"/>
  <c r="B687" i="7"/>
  <c r="B703" i="7"/>
  <c r="B719" i="7"/>
  <c r="B735" i="7"/>
  <c r="B751" i="7"/>
  <c r="B767" i="7"/>
  <c r="B783" i="7"/>
  <c r="B799" i="7"/>
  <c r="B815" i="7"/>
  <c r="B831" i="7"/>
  <c r="B25" i="7"/>
  <c r="B89" i="7"/>
  <c r="B153" i="7"/>
  <c r="B217" i="7"/>
  <c r="B281" i="7"/>
  <c r="B330" i="7"/>
  <c r="B362" i="7"/>
  <c r="B394" i="7"/>
  <c r="B426" i="7"/>
  <c r="B458" i="7"/>
  <c r="B490" i="7"/>
  <c r="B516" i="7"/>
  <c r="B532" i="7"/>
  <c r="B548" i="7"/>
  <c r="B564" i="7"/>
  <c r="B580" i="7"/>
  <c r="B596" i="7"/>
  <c r="B612" i="7"/>
  <c r="B628" i="7"/>
  <c r="B644" i="7"/>
  <c r="B660" i="7"/>
  <c r="B676" i="7"/>
  <c r="B692" i="7"/>
  <c r="B708" i="7"/>
  <c r="B724" i="7"/>
  <c r="B740" i="7"/>
  <c r="B756" i="7"/>
  <c r="B772" i="7"/>
  <c r="B788" i="7"/>
  <c r="B804" i="7"/>
  <c r="B820" i="7"/>
  <c r="B836" i="7"/>
  <c r="B852" i="7"/>
  <c r="B868" i="7"/>
  <c r="B884" i="7"/>
  <c r="B900" i="7"/>
  <c r="B916" i="7"/>
  <c r="B932" i="7"/>
  <c r="B948" i="7"/>
  <c r="B964" i="7"/>
  <c r="B980" i="7"/>
  <c r="B996" i="7"/>
  <c r="B45" i="7"/>
  <c r="B109" i="7"/>
  <c r="B173" i="7"/>
  <c r="B145" i="7"/>
  <c r="B301" i="7"/>
  <c r="B373" i="7"/>
  <c r="B437" i="7"/>
  <c r="B501" i="7"/>
  <c r="B537" i="7"/>
  <c r="B569" i="7"/>
  <c r="B601" i="7"/>
  <c r="B633" i="7"/>
  <c r="B665" i="7"/>
  <c r="B697" i="7"/>
  <c r="B729" i="7"/>
  <c r="B761" i="7"/>
  <c r="B793" i="7"/>
  <c r="B825" i="7"/>
  <c r="B851" i="7"/>
  <c r="B873" i="7"/>
  <c r="B894" i="7"/>
  <c r="B915" i="7"/>
  <c r="B937" i="7"/>
  <c r="B958" i="7"/>
  <c r="B979" i="7"/>
  <c r="B981" i="7"/>
  <c r="B285" i="7"/>
  <c r="B413" i="7"/>
  <c r="B525" i="7"/>
  <c r="B597" i="7"/>
  <c r="B661" i="7"/>
  <c r="B733" i="7"/>
  <c r="B797" i="7"/>
  <c r="B854" i="7"/>
  <c r="B891" i="7"/>
  <c r="B939" i="7"/>
  <c r="B987" i="7"/>
  <c r="B289" i="7"/>
  <c r="B414" i="7"/>
  <c r="B542" i="7"/>
  <c r="B606" i="7"/>
  <c r="B678" i="7"/>
  <c r="B750" i="7"/>
  <c r="B838" i="7"/>
  <c r="B893" i="7"/>
  <c r="B946" i="7"/>
  <c r="X964" i="7"/>
  <c r="V391" i="7"/>
  <c r="U479" i="7"/>
  <c r="T223" i="7"/>
  <c r="T598" i="7"/>
  <c r="T727" i="7"/>
  <c r="S275" i="7"/>
  <c r="S690" i="7"/>
  <c r="S521" i="7"/>
  <c r="S496" i="7"/>
  <c r="R423" i="7"/>
  <c r="R673" i="7"/>
  <c r="R902" i="7"/>
  <c r="R863" i="7"/>
  <c r="R369" i="7"/>
  <c r="Q274" i="7"/>
  <c r="Q283" i="7"/>
  <c r="Q288" i="7"/>
  <c r="Q679" i="7"/>
  <c r="Q684" i="7"/>
  <c r="Q661" i="7"/>
  <c r="Q504" i="7"/>
  <c r="Q802" i="7"/>
  <c r="Q734" i="7"/>
  <c r="Q641" i="7"/>
  <c r="Q904" i="7"/>
  <c r="P206" i="7"/>
  <c r="P462" i="7"/>
  <c r="P211" i="7"/>
  <c r="P467" i="7"/>
  <c r="P232" i="7"/>
  <c r="P488" i="7"/>
  <c r="P611" i="7"/>
  <c r="P867" i="7"/>
  <c r="P169" i="7"/>
  <c r="P676" i="7"/>
  <c r="P365" i="7"/>
  <c r="P976" i="7"/>
  <c r="P905" i="7"/>
  <c r="P177" i="7"/>
  <c r="P561" i="7"/>
  <c r="O50" i="7"/>
  <c r="O306" i="7"/>
  <c r="O55" i="7"/>
  <c r="O311" i="7"/>
  <c r="O64" i="7"/>
  <c r="O320" i="7"/>
  <c r="O277" i="7"/>
  <c r="O705" i="7"/>
  <c r="O961" i="7"/>
  <c r="O345" i="7"/>
  <c r="O722" i="7"/>
  <c r="O568" i="7"/>
  <c r="O161" i="7"/>
  <c r="O623" i="7"/>
  <c r="O651" i="7"/>
  <c r="O996" i="7"/>
  <c r="N150" i="7"/>
  <c r="N406" i="7"/>
  <c r="N155" i="7"/>
  <c r="N411" i="7"/>
  <c r="N444" i="7"/>
  <c r="N716" i="7"/>
  <c r="N437" i="7"/>
  <c r="N641" i="7"/>
  <c r="N88" i="7"/>
  <c r="N538" i="7"/>
  <c r="N772" i="7"/>
  <c r="N900" i="7"/>
  <c r="N893" i="7"/>
  <c r="N400" i="7"/>
  <c r="N798" i="7"/>
  <c r="N33" i="7"/>
  <c r="N105" i="7"/>
  <c r="N547" i="7"/>
  <c r="N777" i="7"/>
  <c r="N993" i="7"/>
  <c r="N838" i="7"/>
  <c r="N583" i="7"/>
  <c r="N803" i="7"/>
  <c r="N863" i="7"/>
  <c r="M50" i="7"/>
  <c r="M178" i="7"/>
  <c r="M306" i="7"/>
  <c r="M434" i="7"/>
  <c r="M55" i="7"/>
  <c r="M183" i="7"/>
  <c r="M311" i="7"/>
  <c r="M439" i="7"/>
  <c r="M116" i="7"/>
  <c r="M372" i="7"/>
  <c r="M568" i="7"/>
  <c r="M696" i="7"/>
  <c r="M125" i="7"/>
  <c r="M381" i="7"/>
  <c r="M573" i="7"/>
  <c r="M701" i="7"/>
  <c r="M829" i="7"/>
  <c r="M408" i="7"/>
  <c r="M714" i="7"/>
  <c r="M889" i="7"/>
  <c r="M942" i="7"/>
  <c r="M582" i="7"/>
  <c r="M911" i="7"/>
  <c r="M527" i="7"/>
  <c r="M880" i="7"/>
  <c r="M425" i="7"/>
  <c r="M723" i="7"/>
  <c r="M894" i="7"/>
  <c r="M614" i="7"/>
  <c r="M65" i="7"/>
  <c r="M864" i="7"/>
  <c r="L22" i="7"/>
  <c r="L150" i="7"/>
  <c r="L278" i="7"/>
  <c r="L406" i="7"/>
  <c r="L27" i="7"/>
  <c r="L155" i="7"/>
  <c r="L283" i="7"/>
  <c r="L411" i="7"/>
  <c r="L32" i="7"/>
  <c r="L160" i="7"/>
  <c r="L288" i="7"/>
  <c r="L416" i="7"/>
  <c r="L213" i="7"/>
  <c r="L558" i="7"/>
  <c r="L686" i="7"/>
  <c r="L814" i="7"/>
  <c r="L169" i="7"/>
  <c r="L547" i="7"/>
  <c r="L675" i="7"/>
  <c r="L803" i="7"/>
  <c r="L333" i="7"/>
  <c r="L588" i="7"/>
  <c r="L716" i="7"/>
  <c r="L844" i="7"/>
  <c r="L717" i="7"/>
  <c r="L966" i="7"/>
  <c r="L521" i="7"/>
  <c r="L997" i="7"/>
  <c r="L865" i="7"/>
  <c r="L952" i="7"/>
  <c r="L113" i="7"/>
  <c r="L859" i="7"/>
  <c r="K46" i="7"/>
  <c r="K110" i="7"/>
  <c r="K174" i="7"/>
  <c r="K238" i="7"/>
  <c r="K302" i="7"/>
  <c r="K59" i="7"/>
  <c r="K123" i="7"/>
  <c r="K187" i="7"/>
  <c r="K251" i="7"/>
  <c r="K315" i="7"/>
  <c r="K379" i="7"/>
  <c r="K443" i="7"/>
  <c r="K507" i="7"/>
  <c r="K124" i="7"/>
  <c r="K252" i="7"/>
  <c r="K356" i="7"/>
  <c r="K441" i="7"/>
  <c r="K522" i="7"/>
  <c r="K586" i="7"/>
  <c r="K650" i="7"/>
  <c r="K5" i="7"/>
  <c r="K176" i="7"/>
  <c r="K333" i="7"/>
  <c r="K448" i="7"/>
  <c r="K548" i="7"/>
  <c r="K633" i="7"/>
  <c r="K717" i="7"/>
  <c r="K781" i="7"/>
  <c r="K845" i="7"/>
  <c r="K909" i="7"/>
  <c r="K973" i="7"/>
  <c r="K104" i="7"/>
  <c r="K273" i="7"/>
  <c r="K400" i="7"/>
  <c r="K512" i="7"/>
  <c r="K597" i="7"/>
  <c r="K32" i="7"/>
  <c r="K352" i="7"/>
  <c r="K561" i="7"/>
  <c r="K712" i="7"/>
  <c r="K798" i="7"/>
  <c r="K883" i="7"/>
  <c r="K968" i="7"/>
  <c r="K316" i="7"/>
  <c r="K736" i="7"/>
  <c r="K950" i="7"/>
  <c r="K547" i="7"/>
  <c r="K823" i="7"/>
  <c r="K56" i="7"/>
  <c r="K368" i="7"/>
  <c r="K573" i="7"/>
  <c r="K719" i="7"/>
  <c r="K804" i="7"/>
  <c r="K890" i="7"/>
  <c r="K986" i="7"/>
  <c r="K472" i="7"/>
  <c r="K731" i="7"/>
  <c r="K875" i="7"/>
  <c r="K88" i="7"/>
  <c r="K515" i="7"/>
  <c r="K748" i="7"/>
  <c r="K903" i="7"/>
  <c r="J18" i="7"/>
  <c r="J82" i="7"/>
  <c r="J146" i="7"/>
  <c r="J210" i="7"/>
  <c r="J274" i="7"/>
  <c r="J338" i="7"/>
  <c r="J402" i="7"/>
  <c r="J466" i="7"/>
  <c r="J35" i="7"/>
  <c r="J99" i="7"/>
  <c r="J163" i="7"/>
  <c r="J227" i="7"/>
  <c r="J291" i="7"/>
  <c r="J355" i="7"/>
  <c r="J419" i="7"/>
  <c r="J483" i="7"/>
  <c r="J40" i="7"/>
  <c r="J104" i="7"/>
  <c r="J168" i="7"/>
  <c r="J232" i="7"/>
  <c r="J296" i="7"/>
  <c r="J360" i="7"/>
  <c r="J424" i="7"/>
  <c r="J488" i="7"/>
  <c r="J165" i="7"/>
  <c r="J421" i="7"/>
  <c r="J548" i="7"/>
  <c r="J612" i="7"/>
  <c r="J676" i="7"/>
  <c r="J740" i="7"/>
  <c r="J804" i="7"/>
  <c r="J868" i="7"/>
  <c r="J185" i="7"/>
  <c r="J441" i="7"/>
  <c r="J553" i="7"/>
  <c r="J617" i="7"/>
  <c r="J681" i="7"/>
  <c r="J745" i="7"/>
  <c r="J809" i="7"/>
  <c r="J873" i="7"/>
  <c r="J937" i="7"/>
  <c r="J13" i="7"/>
  <c r="J269" i="7"/>
  <c r="J510" i="7"/>
  <c r="J538" i="7"/>
  <c r="J666" i="7"/>
  <c r="J794" i="7"/>
  <c r="J910" i="7"/>
  <c r="J995" i="7"/>
  <c r="J982" i="7"/>
  <c r="J743" i="7"/>
  <c r="J33" i="7"/>
  <c r="J587" i="7"/>
  <c r="J715" i="7"/>
  <c r="J843" i="7"/>
  <c r="J943" i="7"/>
  <c r="J369" i="7"/>
  <c r="J630" i="7"/>
  <c r="J766" i="7"/>
  <c r="J950" i="7"/>
  <c r="J607" i="7"/>
  <c r="J815" i="7"/>
  <c r="J983" i="7"/>
  <c r="I54" i="7"/>
  <c r="I118" i="7"/>
  <c r="I182" i="7"/>
  <c r="I246" i="7"/>
  <c r="I310" i="7"/>
  <c r="I374" i="7"/>
  <c r="I438" i="7"/>
  <c r="I502" i="7"/>
  <c r="I59" i="7"/>
  <c r="I123" i="7"/>
  <c r="I187" i="7"/>
  <c r="I251" i="7"/>
  <c r="I315" i="7"/>
  <c r="I379" i="7"/>
  <c r="I443" i="7"/>
  <c r="I507" i="7"/>
  <c r="I124" i="7"/>
  <c r="I252" i="7"/>
  <c r="I380" i="7"/>
  <c r="I508" i="7"/>
  <c r="I572" i="7"/>
  <c r="I636" i="7"/>
  <c r="I700" i="7"/>
  <c r="I764" i="7"/>
  <c r="I828" i="7"/>
  <c r="I37" i="7"/>
  <c r="I165" i="7"/>
  <c r="I293" i="7"/>
  <c r="I421" i="7"/>
  <c r="I529" i="7"/>
  <c r="I593" i="7"/>
  <c r="I657" i="7"/>
  <c r="I721" i="7"/>
  <c r="I88" i="7"/>
  <c r="I344" i="7"/>
  <c r="I554" i="7"/>
  <c r="I682" i="7"/>
  <c r="I794" i="7"/>
  <c r="I878" i="7"/>
  <c r="I942" i="7"/>
  <c r="I769" i="7"/>
  <c r="I854" i="7"/>
  <c r="I923" i="7"/>
  <c r="I987" i="7"/>
  <c r="I336" i="7"/>
  <c r="I638" i="7"/>
  <c r="I818" i="7"/>
  <c r="I936" i="7"/>
  <c r="I177" i="7"/>
  <c r="I105" i="7"/>
  <c r="I361" i="7"/>
  <c r="I563" i="7"/>
  <c r="I691" i="7"/>
  <c r="I320" i="7"/>
  <c r="I742" i="7"/>
  <c r="I940" i="7"/>
  <c r="I369" i="7"/>
  <c r="I857" i="7"/>
  <c r="I735" i="7"/>
  <c r="I819" i="7"/>
  <c r="I663" i="7"/>
  <c r="I703" i="7"/>
  <c r="H26" i="7"/>
  <c r="H90" i="7"/>
  <c r="H154" i="7"/>
  <c r="H218" i="7"/>
  <c r="H282" i="7"/>
  <c r="H346" i="7"/>
  <c r="H410" i="7"/>
  <c r="H474" i="7"/>
  <c r="H59" i="7"/>
  <c r="H123" i="7"/>
  <c r="H187" i="7"/>
  <c r="H251" i="7"/>
  <c r="H315" i="7"/>
  <c r="H379" i="7"/>
  <c r="H443" i="7"/>
  <c r="H507" i="7"/>
  <c r="H124" i="7"/>
  <c r="H252" i="7"/>
  <c r="H380" i="7"/>
  <c r="H498" i="7"/>
  <c r="H565" i="7"/>
  <c r="H629" i="7"/>
  <c r="H693" i="7"/>
  <c r="H5" i="7"/>
  <c r="H133" i="7"/>
  <c r="H261" i="7"/>
  <c r="H389" i="7"/>
  <c r="H505" i="7"/>
  <c r="H570" i="7"/>
  <c r="H634" i="7"/>
  <c r="H698" i="7"/>
  <c r="H8" i="7"/>
  <c r="H264" i="7"/>
  <c r="H506" i="7"/>
  <c r="H635" i="7"/>
  <c r="H760" i="7"/>
  <c r="H824" i="7"/>
  <c r="H888" i="7"/>
  <c r="H952" i="7"/>
  <c r="H80" i="7"/>
  <c r="H535" i="7"/>
  <c r="H770" i="7"/>
  <c r="H894" i="7"/>
  <c r="H81" i="7"/>
  <c r="H536" i="7"/>
  <c r="H771" i="7"/>
  <c r="H895" i="7"/>
  <c r="H41" i="7"/>
  <c r="H297" i="7"/>
  <c r="H524" i="7"/>
  <c r="H652" i="7"/>
  <c r="H769" i="7"/>
  <c r="H833" i="7"/>
  <c r="H897" i="7"/>
  <c r="H961" i="7"/>
  <c r="H272" i="7"/>
  <c r="H511" i="7"/>
  <c r="H647" i="7"/>
  <c r="H766" i="7"/>
  <c r="H834" i="7"/>
  <c r="H898" i="7"/>
  <c r="H970" i="7"/>
  <c r="H145" i="7"/>
  <c r="H385" i="7"/>
  <c r="H576" i="7"/>
  <c r="H704" i="7"/>
  <c r="H799" i="7"/>
  <c r="H867" i="7"/>
  <c r="H931" i="7"/>
  <c r="H999" i="7"/>
  <c r="G30" i="7"/>
  <c r="G62" i="7"/>
  <c r="G94" i="7"/>
  <c r="G126" i="7"/>
  <c r="G158" i="7"/>
  <c r="G190" i="7"/>
  <c r="G222" i="7"/>
  <c r="G254" i="7"/>
  <c r="G286" i="7"/>
  <c r="G318" i="7"/>
  <c r="G350" i="7"/>
  <c r="G382" i="7"/>
  <c r="G414" i="7"/>
  <c r="G446" i="7"/>
  <c r="G478" i="7"/>
  <c r="G3" i="7"/>
  <c r="G35" i="7"/>
  <c r="G67" i="7"/>
  <c r="G99" i="7"/>
  <c r="G131" i="7"/>
  <c r="G163" i="7"/>
  <c r="G195" i="7"/>
  <c r="G227" i="7"/>
  <c r="G259" i="7"/>
  <c r="G291" i="7"/>
  <c r="G323" i="7"/>
  <c r="G355" i="7"/>
  <c r="G387" i="7"/>
  <c r="G419" i="7"/>
  <c r="G451" i="7"/>
  <c r="G483" i="7"/>
  <c r="G20" i="7"/>
  <c r="G52" i="7"/>
  <c r="G84" i="7"/>
  <c r="G116" i="7"/>
  <c r="G148" i="7"/>
  <c r="G180" i="7"/>
  <c r="G212" i="7"/>
  <c r="G244" i="7"/>
  <c r="G276" i="7"/>
  <c r="G308" i="7"/>
  <c r="G340" i="7"/>
  <c r="G372" i="7"/>
  <c r="G404" i="7"/>
  <c r="G436" i="7"/>
  <c r="G468" i="7"/>
  <c r="G500" i="7"/>
  <c r="G85" i="7"/>
  <c r="G213" i="7"/>
  <c r="G341" i="7"/>
  <c r="G469" i="7"/>
  <c r="G528" i="7"/>
  <c r="G560" i="7"/>
  <c r="G592" i="7"/>
  <c r="G624" i="7"/>
  <c r="G656" i="7"/>
  <c r="G688" i="7"/>
  <c r="G720" i="7"/>
  <c r="G752" i="7"/>
  <c r="G784" i="7"/>
  <c r="G816" i="7"/>
  <c r="G848" i="7"/>
  <c r="G880" i="7"/>
  <c r="G89" i="7"/>
  <c r="G217" i="7"/>
  <c r="G345" i="7"/>
  <c r="G473" i="7"/>
  <c r="G529" i="7"/>
  <c r="G561" i="7"/>
  <c r="G593" i="7"/>
  <c r="G625" i="7"/>
  <c r="G657" i="7"/>
  <c r="G689" i="7"/>
  <c r="G721" i="7"/>
  <c r="G753" i="7"/>
  <c r="G785" i="7"/>
  <c r="G817" i="7"/>
  <c r="G849" i="7"/>
  <c r="G881" i="7"/>
  <c r="G205" i="7"/>
  <c r="G461" i="7"/>
  <c r="G558" i="7"/>
  <c r="G622" i="7"/>
  <c r="G686" i="7"/>
  <c r="G750" i="7"/>
  <c r="G814" i="7"/>
  <c r="G878" i="7"/>
  <c r="G915" i="7"/>
  <c r="G947" i="7"/>
  <c r="G979" i="7"/>
  <c r="G189" i="7"/>
  <c r="G546" i="7"/>
  <c r="G682" i="7"/>
  <c r="G802" i="7"/>
  <c r="G909" i="7"/>
  <c r="G977" i="7"/>
  <c r="G353" i="7"/>
  <c r="G587" i="7"/>
  <c r="G723" i="7"/>
  <c r="G843" i="7"/>
  <c r="G930" i="7"/>
  <c r="G994" i="7"/>
  <c r="G241" i="7"/>
  <c r="G497" i="7"/>
  <c r="G567" i="7"/>
  <c r="G631" i="7"/>
  <c r="G695" i="7"/>
  <c r="G759" i="7"/>
  <c r="G823" i="7"/>
  <c r="G887" i="7"/>
  <c r="G920" i="7"/>
  <c r="G952" i="7"/>
  <c r="G984" i="7"/>
  <c r="G221" i="7"/>
  <c r="G570" i="7"/>
  <c r="G690" i="7"/>
  <c r="G826" i="7"/>
  <c r="G921" i="7"/>
  <c r="G981" i="7"/>
  <c r="G385" i="7"/>
  <c r="G611" i="7"/>
  <c r="G731" i="7"/>
  <c r="G867" i="7"/>
  <c r="G942" i="7"/>
  <c r="F2" i="7"/>
  <c r="F34" i="7"/>
  <c r="F66" i="7"/>
  <c r="F98" i="7"/>
  <c r="F126" i="7"/>
  <c r="F146" i="7"/>
  <c r="F170" i="7"/>
  <c r="F190" i="7"/>
  <c r="F210" i="7"/>
  <c r="F234" i="7"/>
  <c r="F254" i="7"/>
  <c r="F274" i="7"/>
  <c r="F298" i="7"/>
  <c r="F318" i="7"/>
  <c r="F338" i="7"/>
  <c r="F362" i="7"/>
  <c r="F382" i="7"/>
  <c r="F402" i="7"/>
  <c r="F426" i="7"/>
  <c r="F446" i="7"/>
  <c r="F466" i="7"/>
  <c r="F490" i="7"/>
  <c r="F3" i="7"/>
  <c r="F23" i="7"/>
  <c r="F47" i="7"/>
  <c r="F67" i="7"/>
  <c r="F87" i="7"/>
  <c r="F111" i="7"/>
  <c r="F131" i="7"/>
  <c r="F151" i="7"/>
  <c r="F175" i="7"/>
  <c r="F195" i="7"/>
  <c r="F215" i="7"/>
  <c r="F239" i="7"/>
  <c r="F259" i="7"/>
  <c r="F279" i="7"/>
  <c r="F303" i="7"/>
  <c r="F323" i="7"/>
  <c r="F343" i="7"/>
  <c r="F367" i="7"/>
  <c r="F387" i="7"/>
  <c r="F407" i="7"/>
  <c r="F431" i="7"/>
  <c r="F451" i="7"/>
  <c r="F471" i="7"/>
  <c r="F495" i="7"/>
  <c r="F8" i="7"/>
  <c r="F28" i="7"/>
  <c r="F52" i="7"/>
  <c r="F72" i="7"/>
  <c r="F92" i="7"/>
  <c r="F116" i="7"/>
  <c r="F136" i="7"/>
  <c r="F156" i="7"/>
  <c r="F180" i="7"/>
  <c r="F200" i="7"/>
  <c r="F220" i="7"/>
  <c r="F244" i="7"/>
  <c r="F264" i="7"/>
  <c r="F284" i="7"/>
  <c r="F308" i="7"/>
  <c r="F328" i="7"/>
  <c r="F348" i="7"/>
  <c r="F372" i="7"/>
  <c r="F392" i="7"/>
  <c r="F412" i="7"/>
  <c r="F436" i="7"/>
  <c r="F456" i="7"/>
  <c r="F476" i="7"/>
  <c r="F500" i="7"/>
  <c r="F37" i="7"/>
  <c r="F117" i="7"/>
  <c r="F213" i="7"/>
  <c r="F293" i="7"/>
  <c r="F373" i="7"/>
  <c r="F469" i="7"/>
  <c r="F519" i="7"/>
  <c r="F539" i="7"/>
  <c r="F563" i="7"/>
  <c r="F583" i="7"/>
  <c r="F603" i="7"/>
  <c r="F627" i="7"/>
  <c r="F647" i="7"/>
  <c r="F667" i="7"/>
  <c r="F691" i="7"/>
  <c r="F711" i="7"/>
  <c r="F731" i="7"/>
  <c r="F755" i="7"/>
  <c r="F775" i="7"/>
  <c r="F795" i="7"/>
  <c r="F819" i="7"/>
  <c r="F839" i="7"/>
  <c r="F859" i="7"/>
  <c r="F883" i="7"/>
  <c r="F41" i="7"/>
  <c r="F121" i="7"/>
  <c r="F217" i="7"/>
  <c r="F297" i="7"/>
  <c r="F377" i="7"/>
  <c r="F473" i="7"/>
  <c r="F520" i="7"/>
  <c r="F540" i="7"/>
  <c r="F564" i="7"/>
  <c r="F584" i="7"/>
  <c r="F604" i="7"/>
  <c r="F628" i="7"/>
  <c r="F648" i="7"/>
  <c r="F668" i="7"/>
  <c r="F692" i="7"/>
  <c r="F712" i="7"/>
  <c r="F732" i="7"/>
  <c r="F756" i="7"/>
  <c r="F776" i="7"/>
  <c r="F796" i="7"/>
  <c r="F820" i="7"/>
  <c r="F840" i="7"/>
  <c r="F860" i="7"/>
  <c r="F884" i="7"/>
  <c r="F61" i="7"/>
  <c r="F141" i="7"/>
  <c r="F237" i="7"/>
  <c r="F317" i="7"/>
  <c r="F397" i="7"/>
  <c r="F493" i="7"/>
  <c r="F525" i="7"/>
  <c r="F545" i="7"/>
  <c r="F569" i="7"/>
  <c r="F589" i="7"/>
  <c r="F609" i="7"/>
  <c r="F633" i="7"/>
  <c r="F653" i="7"/>
  <c r="F673" i="7"/>
  <c r="F697" i="7"/>
  <c r="F717" i="7"/>
  <c r="F737" i="7"/>
  <c r="F761" i="7"/>
  <c r="F781" i="7"/>
  <c r="F17" i="7"/>
  <c r="F401" i="7"/>
  <c r="F562" i="7"/>
  <c r="F642" i="7"/>
  <c r="F738" i="7"/>
  <c r="F809" i="7"/>
  <c r="F849" i="7"/>
  <c r="F894" i="7"/>
  <c r="F914" i="7"/>
  <c r="F934" i="7"/>
  <c r="F958" i="7"/>
  <c r="F978" i="7"/>
  <c r="F998" i="7"/>
  <c r="F947" i="7"/>
  <c r="F975" i="7"/>
  <c r="F654" i="7"/>
  <c r="F838" i="7"/>
  <c r="F917" i="7"/>
  <c r="F969" i="7"/>
  <c r="F161" i="7"/>
  <c r="F481" i="7"/>
  <c r="F582" i="7"/>
  <c r="F678" i="7"/>
  <c r="F758" i="7"/>
  <c r="F818" i="7"/>
  <c r="F866" i="7"/>
  <c r="F899" i="7"/>
  <c r="F935" i="7"/>
  <c r="F999" i="7"/>
  <c r="F854" i="7"/>
  <c r="F949" i="7"/>
  <c r="F113" i="7"/>
  <c r="F369" i="7"/>
  <c r="F538" i="7"/>
  <c r="F602" i="7"/>
  <c r="F666" i="7"/>
  <c r="F730" i="7"/>
  <c r="F794" i="7"/>
  <c r="F829" i="7"/>
  <c r="F861" i="7"/>
  <c r="F892" i="7"/>
  <c r="F908" i="7"/>
  <c r="F924" i="7"/>
  <c r="F940" i="7"/>
  <c r="F956" i="7"/>
  <c r="F972" i="7"/>
  <c r="F988" i="7"/>
  <c r="F65" i="7"/>
  <c r="F321" i="7"/>
  <c r="F526" i="7"/>
  <c r="F590" i="7"/>
  <c r="F734" i="7"/>
  <c r="F846" i="7"/>
  <c r="F913" i="7"/>
  <c r="F953" i="7"/>
  <c r="F993" i="7"/>
  <c r="E14" i="7"/>
  <c r="E30" i="7"/>
  <c r="E46" i="7"/>
  <c r="E62" i="7"/>
  <c r="E78" i="7"/>
  <c r="E94" i="7"/>
  <c r="E110" i="7"/>
  <c r="E126" i="7"/>
  <c r="E142" i="7"/>
  <c r="E158" i="7"/>
  <c r="E174" i="7"/>
  <c r="E190" i="7"/>
  <c r="E206" i="7"/>
  <c r="E222" i="7"/>
  <c r="E238" i="7"/>
  <c r="E254" i="7"/>
  <c r="E270" i="7"/>
  <c r="E286" i="7"/>
  <c r="E302" i="7"/>
  <c r="E318" i="7"/>
  <c r="E334" i="7"/>
  <c r="E350" i="7"/>
  <c r="E366" i="7"/>
  <c r="E382" i="7"/>
  <c r="E398" i="7"/>
  <c r="E414" i="7"/>
  <c r="E430" i="7"/>
  <c r="E446" i="7"/>
  <c r="E462" i="7"/>
  <c r="E478" i="7"/>
  <c r="E494" i="7"/>
  <c r="E3" i="7"/>
  <c r="E19" i="7"/>
  <c r="E35" i="7"/>
  <c r="E51" i="7"/>
  <c r="E67" i="7"/>
  <c r="E83" i="7"/>
  <c r="E99" i="7"/>
  <c r="E115" i="7"/>
  <c r="E131" i="7"/>
  <c r="E147" i="7"/>
  <c r="E163" i="7"/>
  <c r="E179" i="7"/>
  <c r="E195" i="7"/>
  <c r="E211" i="7"/>
  <c r="E227" i="7"/>
  <c r="E243" i="7"/>
  <c r="E259" i="7"/>
  <c r="E275" i="7"/>
  <c r="E291" i="7"/>
  <c r="E307" i="7"/>
  <c r="E323" i="7"/>
  <c r="E339" i="7"/>
  <c r="E355" i="7"/>
  <c r="E371" i="7"/>
  <c r="E387" i="7"/>
  <c r="E403" i="7"/>
  <c r="E419" i="7"/>
  <c r="E12" i="7"/>
  <c r="E28" i="7"/>
  <c r="E44" i="7"/>
  <c r="E60" i="7"/>
  <c r="E76" i="7"/>
  <c r="E92" i="7"/>
  <c r="E108" i="7"/>
  <c r="E124" i="7"/>
  <c r="E140" i="7"/>
  <c r="E156" i="7"/>
  <c r="E172" i="7"/>
  <c r="E188" i="7"/>
  <c r="E204" i="7"/>
  <c r="E220" i="7"/>
  <c r="E236" i="7"/>
  <c r="E252" i="7"/>
  <c r="E268" i="7"/>
  <c r="E284" i="7"/>
  <c r="E300" i="7"/>
  <c r="E316" i="7"/>
  <c r="E332" i="7"/>
  <c r="E348" i="7"/>
  <c r="E364" i="7"/>
  <c r="E380" i="7"/>
  <c r="E396" i="7"/>
  <c r="E412" i="7"/>
  <c r="E428" i="7"/>
  <c r="E444" i="7"/>
  <c r="E460" i="7"/>
  <c r="E476" i="7"/>
  <c r="E37" i="7"/>
  <c r="E101" i="7"/>
  <c r="E165" i="7"/>
  <c r="E229" i="7"/>
  <c r="E293" i="7"/>
  <c r="E357" i="7"/>
  <c r="E421" i="7"/>
  <c r="E455" i="7"/>
  <c r="E485" i="7"/>
  <c r="E507" i="7"/>
  <c r="E523" i="7"/>
  <c r="E539" i="7"/>
  <c r="E555" i="7"/>
  <c r="E571" i="7"/>
  <c r="E587" i="7"/>
  <c r="E603" i="7"/>
  <c r="E619" i="7"/>
  <c r="E635" i="7"/>
  <c r="E651" i="7"/>
  <c r="E667" i="7"/>
  <c r="E683" i="7"/>
  <c r="E699" i="7"/>
  <c r="E715" i="7"/>
  <c r="E731" i="7"/>
  <c r="E41" i="7"/>
  <c r="E105" i="7"/>
  <c r="E169" i="7"/>
  <c r="E233" i="7"/>
  <c r="E297" i="7"/>
  <c r="E361" i="7"/>
  <c r="E425" i="7"/>
  <c r="E457" i="7"/>
  <c r="E487" i="7"/>
  <c r="E508" i="7"/>
  <c r="E524" i="7"/>
  <c r="E540" i="7"/>
  <c r="E556" i="7"/>
  <c r="E572" i="7"/>
  <c r="E588" i="7"/>
  <c r="E604" i="7"/>
  <c r="E620" i="7"/>
  <c r="E636" i="7"/>
  <c r="E652" i="7"/>
  <c r="E668" i="7"/>
  <c r="E684" i="7"/>
  <c r="E700" i="7"/>
  <c r="E716" i="7"/>
  <c r="E732" i="7"/>
  <c r="E748" i="7"/>
  <c r="E764" i="7"/>
  <c r="E780" i="7"/>
  <c r="E796" i="7"/>
  <c r="E812" i="7"/>
  <c r="E828" i="7"/>
  <c r="E844" i="7"/>
  <c r="E860" i="7"/>
  <c r="E109" i="7"/>
  <c r="E237" i="7"/>
  <c r="E365" i="7"/>
  <c r="E459" i="7"/>
  <c r="E509" i="7"/>
  <c r="E541" i="7"/>
  <c r="E573" i="7"/>
  <c r="E605" i="7"/>
  <c r="E637" i="7"/>
  <c r="E669" i="7"/>
  <c r="E701" i="7"/>
  <c r="E733" i="7"/>
  <c r="E755" i="7"/>
  <c r="E777" i="7"/>
  <c r="E798" i="7"/>
  <c r="E819" i="7"/>
  <c r="E841" i="7"/>
  <c r="E862" i="7"/>
  <c r="E878" i="7"/>
  <c r="E894" i="7"/>
  <c r="E910" i="7"/>
  <c r="E926" i="7"/>
  <c r="E942" i="7"/>
  <c r="E958" i="7"/>
  <c r="E974" i="7"/>
  <c r="E990" i="7"/>
  <c r="E811" i="7"/>
  <c r="E868" i="7"/>
  <c r="E908" i="7"/>
  <c r="E948" i="7"/>
  <c r="E992" i="7"/>
  <c r="E257" i="7"/>
  <c r="E505" i="7"/>
  <c r="E586" i="7"/>
  <c r="E674" i="7"/>
  <c r="E749" i="7"/>
  <c r="E807" i="7"/>
  <c r="E861" i="7"/>
  <c r="E901" i="7"/>
  <c r="E945" i="7"/>
  <c r="E17" i="7"/>
  <c r="E145" i="7"/>
  <c r="E273" i="7"/>
  <c r="E401" i="7"/>
  <c r="E477" i="7"/>
  <c r="E518" i="7"/>
  <c r="E550" i="7"/>
  <c r="E582" i="7"/>
  <c r="E614" i="7"/>
  <c r="E646" i="7"/>
  <c r="E678" i="7"/>
  <c r="E710" i="7"/>
  <c r="E741" i="7"/>
  <c r="E762" i="7"/>
  <c r="E783" i="7"/>
  <c r="E805" i="7"/>
  <c r="E826" i="7"/>
  <c r="E847" i="7"/>
  <c r="E867" i="7"/>
  <c r="E883" i="7"/>
  <c r="E899" i="7"/>
  <c r="E915" i="7"/>
  <c r="E931" i="7"/>
  <c r="E947" i="7"/>
  <c r="E963" i="7"/>
  <c r="E979" i="7"/>
  <c r="E995" i="7"/>
  <c r="E93" i="7"/>
  <c r="E221" i="7"/>
  <c r="E349" i="7"/>
  <c r="E451" i="7"/>
  <c r="E504" i="7"/>
  <c r="E537" i="7"/>
  <c r="E569" i="7"/>
  <c r="E601" i="7"/>
  <c r="E633" i="7"/>
  <c r="E665" i="7"/>
  <c r="E697" i="7"/>
  <c r="E729" i="7"/>
  <c r="E753" i="7"/>
  <c r="E774" i="7"/>
  <c r="E801" i="7"/>
  <c r="E833" i="7"/>
  <c r="E864" i="7"/>
  <c r="E892" i="7"/>
  <c r="E920" i="7"/>
  <c r="E944" i="7"/>
  <c r="E972" i="7"/>
  <c r="E996" i="7"/>
  <c r="E193" i="7"/>
  <c r="E385" i="7"/>
  <c r="E495" i="7"/>
  <c r="E554" i="7"/>
  <c r="E602" i="7"/>
  <c r="E658" i="7"/>
  <c r="E706" i="7"/>
  <c r="E754" i="7"/>
  <c r="E786" i="7"/>
  <c r="E823" i="7"/>
  <c r="E855" i="7"/>
  <c r="E885" i="7"/>
  <c r="E909" i="7"/>
  <c r="E937" i="7"/>
  <c r="E961" i="7"/>
  <c r="E997" i="7"/>
  <c r="D2" i="7"/>
  <c r="D18" i="7"/>
  <c r="D34" i="7"/>
  <c r="D50" i="7"/>
  <c r="D66" i="7"/>
  <c r="D82" i="7"/>
  <c r="D98" i="7"/>
  <c r="D114" i="7"/>
  <c r="D130" i="7"/>
  <c r="D146" i="7"/>
  <c r="D162" i="7"/>
  <c r="D178" i="7"/>
  <c r="D194" i="7"/>
  <c r="D210" i="7"/>
  <c r="D226" i="7"/>
  <c r="D242" i="7"/>
  <c r="D258" i="7"/>
  <c r="D274" i="7"/>
  <c r="D290" i="7"/>
  <c r="D306" i="7"/>
  <c r="D322" i="7"/>
  <c r="D338" i="7"/>
  <c r="D354" i="7"/>
  <c r="D370" i="7"/>
  <c r="D386" i="7"/>
  <c r="D402" i="7"/>
  <c r="D418" i="7"/>
  <c r="D434" i="7"/>
  <c r="D450" i="7"/>
  <c r="D7" i="7"/>
  <c r="D23" i="7"/>
  <c r="D39" i="7"/>
  <c r="D55" i="7"/>
  <c r="D71" i="7"/>
  <c r="D87" i="7"/>
  <c r="D103" i="7"/>
  <c r="D119" i="7"/>
  <c r="D135" i="7"/>
  <c r="D151" i="7"/>
  <c r="D167" i="7"/>
  <c r="D183" i="7"/>
  <c r="D199" i="7"/>
  <c r="D215" i="7"/>
  <c r="D231" i="7"/>
  <c r="D247" i="7"/>
  <c r="D263" i="7"/>
  <c r="D279" i="7"/>
  <c r="D295" i="7"/>
  <c r="D311" i="7"/>
  <c r="D327" i="7"/>
  <c r="D343" i="7"/>
  <c r="D359" i="7"/>
  <c r="D375" i="7"/>
  <c r="D391" i="7"/>
  <c r="D407" i="7"/>
  <c r="D423" i="7"/>
  <c r="D439" i="7"/>
  <c r="D455" i="7"/>
  <c r="D471" i="7"/>
  <c r="D487" i="7"/>
  <c r="D503" i="7"/>
  <c r="D20" i="7"/>
  <c r="D52" i="7"/>
  <c r="D84" i="7"/>
  <c r="D116" i="7"/>
  <c r="D148" i="7"/>
  <c r="D180" i="7"/>
  <c r="D212" i="7"/>
  <c r="D244" i="7"/>
  <c r="D276" i="7"/>
  <c r="D308" i="7"/>
  <c r="D340" i="7"/>
  <c r="D372" i="7"/>
  <c r="D404" i="7"/>
  <c r="D436" i="7"/>
  <c r="D465" i="7"/>
  <c r="D486" i="7"/>
  <c r="D508" i="7"/>
  <c r="D524" i="7"/>
  <c r="D540" i="7"/>
  <c r="D556" i="7"/>
  <c r="D572" i="7"/>
  <c r="D588" i="7"/>
  <c r="D604" i="7"/>
  <c r="D620" i="7"/>
  <c r="D636" i="7"/>
  <c r="D652" i="7"/>
  <c r="D668" i="7"/>
  <c r="D684" i="7"/>
  <c r="D700" i="7"/>
  <c r="D716" i="7"/>
  <c r="D732" i="7"/>
  <c r="D748" i="7"/>
  <c r="D37" i="7"/>
  <c r="D80" i="7"/>
  <c r="D121" i="7"/>
  <c r="D165" i="7"/>
  <c r="D208" i="7"/>
  <c r="D249" i="7"/>
  <c r="D293" i="7"/>
  <c r="D336" i="7"/>
  <c r="D377" i="7"/>
  <c r="D421" i="7"/>
  <c r="D462" i="7"/>
  <c r="D490" i="7"/>
  <c r="D517" i="7"/>
  <c r="D538" i="7"/>
  <c r="D559" i="7"/>
  <c r="D581" i="7"/>
  <c r="D602" i="7"/>
  <c r="D623" i="7"/>
  <c r="D645" i="7"/>
  <c r="D666" i="7"/>
  <c r="D687" i="7"/>
  <c r="D709" i="7"/>
  <c r="D730" i="7"/>
  <c r="D751" i="7"/>
  <c r="D767" i="7"/>
  <c r="D783" i="7"/>
  <c r="D799" i="7"/>
  <c r="D815" i="7"/>
  <c r="D831" i="7"/>
  <c r="D847" i="7"/>
  <c r="D863" i="7"/>
  <c r="D879" i="7"/>
  <c r="D895" i="7"/>
  <c r="D911" i="7"/>
  <c r="D927" i="7"/>
  <c r="D943" i="7"/>
  <c r="D959" i="7"/>
  <c r="D975" i="7"/>
  <c r="D991" i="7"/>
  <c r="D17" i="7"/>
  <c r="D61" i="7"/>
  <c r="D104" i="7"/>
  <c r="D145" i="7"/>
  <c r="D189" i="7"/>
  <c r="D232" i="7"/>
  <c r="D273" i="7"/>
  <c r="D317" i="7"/>
  <c r="D360" i="7"/>
  <c r="D401" i="7"/>
  <c r="D445" i="7"/>
  <c r="D478" i="7"/>
  <c r="D506" i="7"/>
  <c r="D529" i="7"/>
  <c r="D550" i="7"/>
  <c r="D571" i="7"/>
  <c r="D593" i="7"/>
  <c r="D614" i="7"/>
  <c r="D635" i="7"/>
  <c r="D657" i="7"/>
  <c r="D678" i="7"/>
  <c r="D699" i="7"/>
  <c r="D721" i="7"/>
  <c r="D742" i="7"/>
  <c r="D9" i="7"/>
  <c r="D96" i="7"/>
  <c r="D181" i="7"/>
  <c r="D265" i="7"/>
  <c r="D352" i="7"/>
  <c r="D437" i="7"/>
  <c r="D501" i="7"/>
  <c r="D546" i="7"/>
  <c r="D589" i="7"/>
  <c r="D631" i="7"/>
  <c r="D674" i="7"/>
  <c r="D717" i="7"/>
  <c r="D757" i="7"/>
  <c r="D778" i="7"/>
  <c r="D800" i="7"/>
  <c r="D821" i="7"/>
  <c r="D842" i="7"/>
  <c r="D864" i="7"/>
  <c r="D885" i="7"/>
  <c r="D906" i="7"/>
  <c r="D928" i="7"/>
  <c r="D949" i="7"/>
  <c r="D970" i="7"/>
  <c r="D992" i="7"/>
  <c r="D56" i="7"/>
  <c r="D141" i="7"/>
  <c r="D225" i="7"/>
  <c r="D312" i="7"/>
  <c r="D397" i="7"/>
  <c r="D474" i="7"/>
  <c r="D526" i="7"/>
  <c r="D569" i="7"/>
  <c r="D611" i="7"/>
  <c r="D654" i="7"/>
  <c r="D707" i="7"/>
  <c r="D750" i="7"/>
  <c r="D774" i="7"/>
  <c r="D801" i="7"/>
  <c r="D833" i="7"/>
  <c r="D870" i="7"/>
  <c r="D902" i="7"/>
  <c r="D934" i="7"/>
  <c r="D966" i="7"/>
  <c r="D998" i="7"/>
  <c r="D128" i="7"/>
  <c r="D277" i="7"/>
  <c r="D425" i="7"/>
  <c r="D519" i="7"/>
  <c r="D583" i="7"/>
  <c r="D658" i="7"/>
  <c r="D722" i="7"/>
  <c r="D776" i="7"/>
  <c r="D808" i="7"/>
  <c r="D850" i="7"/>
  <c r="D882" i="7"/>
  <c r="D920" i="7"/>
  <c r="D952" i="7"/>
  <c r="D984" i="7"/>
  <c r="D65" i="7"/>
  <c r="D216" i="7"/>
  <c r="D344" i="7"/>
  <c r="D482" i="7"/>
  <c r="D553" i="7"/>
  <c r="D627" i="7"/>
  <c r="D691" i="7"/>
  <c r="D761" i="7"/>
  <c r="D798" i="7"/>
  <c r="D830" i="7"/>
  <c r="D862" i="7"/>
  <c r="D900" i="7"/>
  <c r="D932" i="7"/>
  <c r="D964" i="7"/>
  <c r="D996" i="7"/>
  <c r="D828" i="7"/>
  <c r="D881" i="7"/>
  <c r="D940" i="7"/>
  <c r="D21" i="7"/>
  <c r="D256" i="7"/>
  <c r="D466" i="7"/>
  <c r="D594" i="7"/>
  <c r="D701" i="7"/>
  <c r="D781" i="7"/>
  <c r="D834" i="7"/>
  <c r="D888" i="7"/>
  <c r="D946" i="7"/>
  <c r="D24" i="7"/>
  <c r="D257" i="7"/>
  <c r="D468" i="7"/>
  <c r="D585" i="7"/>
  <c r="D702" i="7"/>
  <c r="D777" i="7"/>
  <c r="D841" i="7"/>
  <c r="D894" i="7"/>
  <c r="D958" i="7"/>
  <c r="C6" i="7"/>
  <c r="C22" i="7"/>
  <c r="C38" i="7"/>
  <c r="C54" i="7"/>
  <c r="C70" i="7"/>
  <c r="C86" i="7"/>
  <c r="C102" i="7"/>
  <c r="C118" i="7"/>
  <c r="C134" i="7"/>
  <c r="C150" i="7"/>
  <c r="C166" i="7"/>
  <c r="C182" i="7"/>
  <c r="C198" i="7"/>
  <c r="C214" i="7"/>
  <c r="C230" i="7"/>
  <c r="C246" i="7"/>
  <c r="C262" i="7"/>
  <c r="C278" i="7"/>
  <c r="C294" i="7"/>
  <c r="C310" i="7"/>
  <c r="C326" i="7"/>
  <c r="C342" i="7"/>
  <c r="C358" i="7"/>
  <c r="C374" i="7"/>
  <c r="C390" i="7"/>
  <c r="C406" i="7"/>
  <c r="C422" i="7"/>
  <c r="C438" i="7"/>
  <c r="C454" i="7"/>
  <c r="C470" i="7"/>
  <c r="C486" i="7"/>
  <c r="C502" i="7"/>
  <c r="C11" i="7"/>
  <c r="C27" i="7"/>
  <c r="C43" i="7"/>
  <c r="C59" i="7"/>
  <c r="C75" i="7"/>
  <c r="C91" i="7"/>
  <c r="C107" i="7"/>
  <c r="C123" i="7"/>
  <c r="C139" i="7"/>
  <c r="C155" i="7"/>
  <c r="C171" i="7"/>
  <c r="C187" i="7"/>
  <c r="C203" i="7"/>
  <c r="C219" i="7"/>
  <c r="C235" i="7"/>
  <c r="C251" i="7"/>
  <c r="C267" i="7"/>
  <c r="C283" i="7"/>
  <c r="C299" i="7"/>
  <c r="C315" i="7"/>
  <c r="C331" i="7"/>
  <c r="C347" i="7"/>
  <c r="C363" i="7"/>
  <c r="C379" i="7"/>
  <c r="C395" i="7"/>
  <c r="C411" i="7"/>
  <c r="C427" i="7"/>
  <c r="C12" i="7"/>
  <c r="C28" i="7"/>
  <c r="C44" i="7"/>
  <c r="C60" i="7"/>
  <c r="C76" i="7"/>
  <c r="C92" i="7"/>
  <c r="C108" i="7"/>
  <c r="C124" i="7"/>
  <c r="C140" i="7"/>
  <c r="C156" i="7"/>
  <c r="C172" i="7"/>
  <c r="C188" i="7"/>
  <c r="C204" i="7"/>
  <c r="C220" i="7"/>
  <c r="C236" i="7"/>
  <c r="C252" i="7"/>
  <c r="C268" i="7"/>
  <c r="C284" i="7"/>
  <c r="C300" i="7"/>
  <c r="C316" i="7"/>
  <c r="C332" i="7"/>
  <c r="C348" i="7"/>
  <c r="C364" i="7"/>
  <c r="C380" i="7"/>
  <c r="C396" i="7"/>
  <c r="C412" i="7"/>
  <c r="C428" i="7"/>
  <c r="C444" i="7"/>
  <c r="C460" i="7"/>
  <c r="C476" i="7"/>
  <c r="C492" i="7"/>
  <c r="C37" i="7"/>
  <c r="C101" i="7"/>
  <c r="C165" i="7"/>
  <c r="C229" i="7"/>
  <c r="C293" i="7"/>
  <c r="C357" i="7"/>
  <c r="C421" i="7"/>
  <c r="C459" i="7"/>
  <c r="C491" i="7"/>
  <c r="C513" i="7"/>
  <c r="C529" i="7"/>
  <c r="C545" i="7"/>
  <c r="C561" i="7"/>
  <c r="C577" i="7"/>
  <c r="C593" i="7"/>
  <c r="C609" i="7"/>
  <c r="C625" i="7"/>
  <c r="C641" i="7"/>
  <c r="C657" i="7"/>
  <c r="C673" i="7"/>
  <c r="C689" i="7"/>
  <c r="C705" i="7"/>
  <c r="C721" i="7"/>
  <c r="C737" i="7"/>
  <c r="C753" i="7"/>
  <c r="C769" i="7"/>
  <c r="C785" i="7"/>
  <c r="C801" i="7"/>
  <c r="C817" i="7"/>
  <c r="C833" i="7"/>
  <c r="C849" i="7"/>
  <c r="C865" i="7"/>
  <c r="C881" i="7"/>
  <c r="C897" i="7"/>
  <c r="C913" i="7"/>
  <c r="C929" i="7"/>
  <c r="C945" i="7"/>
  <c r="C961" i="7"/>
  <c r="C977" i="7"/>
  <c r="C993" i="7"/>
  <c r="C762" i="7"/>
  <c r="C794" i="7"/>
  <c r="C830" i="7"/>
  <c r="C862" i="7"/>
  <c r="C894" i="7"/>
  <c r="C930" i="7"/>
  <c r="C962" i="7"/>
  <c r="C9" i="7"/>
  <c r="C73" i="7"/>
  <c r="C137" i="7"/>
  <c r="C201" i="7"/>
  <c r="C265" i="7"/>
  <c r="C329" i="7"/>
  <c r="C393" i="7"/>
  <c r="C445" i="7"/>
  <c r="C477" i="7"/>
  <c r="C505" i="7"/>
  <c r="C522" i="7"/>
  <c r="C538" i="7"/>
  <c r="C554" i="7"/>
  <c r="C570" i="7"/>
  <c r="C586" i="7"/>
  <c r="C602" i="7"/>
  <c r="C618" i="7"/>
  <c r="C634" i="7"/>
  <c r="C650" i="7"/>
  <c r="C666" i="7"/>
  <c r="C682" i="7"/>
  <c r="C698" i="7"/>
  <c r="C714" i="7"/>
  <c r="C730" i="7"/>
  <c r="C750" i="7"/>
  <c r="C782" i="7"/>
  <c r="C814" i="7"/>
  <c r="C842" i="7"/>
  <c r="C874" i="7"/>
  <c r="C906" i="7"/>
  <c r="C934" i="7"/>
  <c r="C966" i="7"/>
  <c r="C45" i="7"/>
  <c r="C173" i="7"/>
  <c r="C301" i="7"/>
  <c r="C429" i="7"/>
  <c r="C495" i="7"/>
  <c r="C531" i="7"/>
  <c r="C563" i="7"/>
  <c r="C595" i="7"/>
  <c r="C627" i="7"/>
  <c r="C659" i="7"/>
  <c r="C691" i="7"/>
  <c r="C723" i="7"/>
  <c r="C755" i="7"/>
  <c r="C787" i="7"/>
  <c r="C819" i="7"/>
  <c r="C851" i="7"/>
  <c r="C883" i="7"/>
  <c r="C915" i="7"/>
  <c r="C947" i="7"/>
  <c r="C979" i="7"/>
  <c r="C29" i="7"/>
  <c r="C285" i="7"/>
  <c r="C487" i="7"/>
  <c r="C559" i="7"/>
  <c r="C623" i="7"/>
  <c r="C687" i="7"/>
  <c r="C751" i="7"/>
  <c r="C815" i="7"/>
  <c r="C879" i="7"/>
  <c r="C943" i="7"/>
  <c r="C1000" i="7"/>
  <c r="C225" i="7"/>
  <c r="C457" i="7"/>
  <c r="C552" i="7"/>
  <c r="C608" i="7"/>
  <c r="C672" i="7"/>
  <c r="C736" i="7"/>
  <c r="C800" i="7"/>
  <c r="C864" i="7"/>
  <c r="C936" i="7"/>
  <c r="C996" i="7"/>
  <c r="C113" i="7"/>
  <c r="C241" i="7"/>
  <c r="C369" i="7"/>
  <c r="C465" i="7"/>
  <c r="C516" i="7"/>
  <c r="C548" i="7"/>
  <c r="C580" i="7"/>
  <c r="C612" i="7"/>
  <c r="C644" i="7"/>
  <c r="C676" i="7"/>
  <c r="C708" i="7"/>
  <c r="C740" i="7"/>
  <c r="C772" i="7"/>
  <c r="C804" i="7"/>
  <c r="C836" i="7"/>
  <c r="C868" i="7"/>
  <c r="C900" i="7"/>
  <c r="C932" i="7"/>
  <c r="C964" i="7"/>
  <c r="C994" i="7"/>
  <c r="C189" i="7"/>
  <c r="C439" i="7"/>
  <c r="C535" i="7"/>
  <c r="C599" i="7"/>
  <c r="C663" i="7"/>
  <c r="C727" i="7"/>
  <c r="C791" i="7"/>
  <c r="C855" i="7"/>
  <c r="C919" i="7"/>
  <c r="C983" i="7"/>
  <c r="C193" i="7"/>
  <c r="C441" i="7"/>
  <c r="C536" i="7"/>
  <c r="C600" i="7"/>
  <c r="C664" i="7"/>
  <c r="C720" i="7"/>
  <c r="C792" i="7"/>
  <c r="C856" i="7"/>
  <c r="C912" i="7"/>
  <c r="C976" i="7"/>
  <c r="B10" i="7"/>
  <c r="B26" i="7"/>
  <c r="B42" i="7"/>
  <c r="B58" i="7"/>
  <c r="B74" i="7"/>
  <c r="B90" i="7"/>
  <c r="B106" i="7"/>
  <c r="B122" i="7"/>
  <c r="B138" i="7"/>
  <c r="B154" i="7"/>
  <c r="B170" i="7"/>
  <c r="B186" i="7"/>
  <c r="B202" i="7"/>
  <c r="B218" i="7"/>
  <c r="B234" i="7"/>
  <c r="B250" i="7"/>
  <c r="B266" i="7"/>
  <c r="B282" i="7"/>
  <c r="B298" i="7"/>
  <c r="B314" i="7"/>
  <c r="B15" i="7"/>
  <c r="B31" i="7"/>
  <c r="B47" i="7"/>
  <c r="B63" i="7"/>
  <c r="B79" i="7"/>
  <c r="B95" i="7"/>
  <c r="B111" i="7"/>
  <c r="B127" i="7"/>
  <c r="B143" i="7"/>
  <c r="B159" i="7"/>
  <c r="B175" i="7"/>
  <c r="B191" i="7"/>
  <c r="B207" i="7"/>
  <c r="B223" i="7"/>
  <c r="B239" i="7"/>
  <c r="B255" i="7"/>
  <c r="B271" i="7"/>
  <c r="B287" i="7"/>
  <c r="B303" i="7"/>
  <c r="B319" i="7"/>
  <c r="B335" i="7"/>
  <c r="B351" i="7"/>
  <c r="B367" i="7"/>
  <c r="B383" i="7"/>
  <c r="B399" i="7"/>
  <c r="B415" i="7"/>
  <c r="B431" i="7"/>
  <c r="B447" i="7"/>
  <c r="B463" i="7"/>
  <c r="B479" i="7"/>
  <c r="B495" i="7"/>
  <c r="B4" i="7"/>
  <c r="B20" i="7"/>
  <c r="B36" i="7"/>
  <c r="B52" i="7"/>
  <c r="B68" i="7"/>
  <c r="B84" i="7"/>
  <c r="B100" i="7"/>
  <c r="B116" i="7"/>
  <c r="B132" i="7"/>
  <c r="B148" i="7"/>
  <c r="B164" i="7"/>
  <c r="B180" i="7"/>
  <c r="B196" i="7"/>
  <c r="B212" i="7"/>
  <c r="B228" i="7"/>
  <c r="B244" i="7"/>
  <c r="B260" i="7"/>
  <c r="B276" i="7"/>
  <c r="B292" i="7"/>
  <c r="B308" i="7"/>
  <c r="B324" i="7"/>
  <c r="B340" i="7"/>
  <c r="B356" i="7"/>
  <c r="B372" i="7"/>
  <c r="B388" i="7"/>
  <c r="B404" i="7"/>
  <c r="B420" i="7"/>
  <c r="B436" i="7"/>
  <c r="B452" i="7"/>
  <c r="B468" i="7"/>
  <c r="B484" i="7"/>
  <c r="B500" i="7"/>
  <c r="B21" i="7"/>
  <c r="B85" i="7"/>
  <c r="B149" i="7"/>
  <c r="B213" i="7"/>
  <c r="B277" i="7"/>
  <c r="B329" i="7"/>
  <c r="B361" i="7"/>
  <c r="B393" i="7"/>
  <c r="B425" i="7"/>
  <c r="B457" i="7"/>
  <c r="B489" i="7"/>
  <c r="B515" i="7"/>
  <c r="B531" i="7"/>
  <c r="B547" i="7"/>
  <c r="B563" i="7"/>
  <c r="B579" i="7"/>
  <c r="B595" i="7"/>
  <c r="B611" i="7"/>
  <c r="B627" i="7"/>
  <c r="B643" i="7"/>
  <c r="B659" i="7"/>
  <c r="B675" i="7"/>
  <c r="B691" i="7"/>
  <c r="B707" i="7"/>
  <c r="B723" i="7"/>
  <c r="B739" i="7"/>
  <c r="B755" i="7"/>
  <c r="B771" i="7"/>
  <c r="B787" i="7"/>
  <c r="B803" i="7"/>
  <c r="B819" i="7"/>
  <c r="B835" i="7"/>
  <c r="B41" i="7"/>
  <c r="B105" i="7"/>
  <c r="B169" i="7"/>
  <c r="B233" i="7"/>
  <c r="B297" i="7"/>
  <c r="B338" i="7"/>
  <c r="B370" i="7"/>
  <c r="B402" i="7"/>
  <c r="B434" i="7"/>
  <c r="B466" i="7"/>
  <c r="B498" i="7"/>
  <c r="B520" i="7"/>
  <c r="B536" i="7"/>
  <c r="B552" i="7"/>
  <c r="B568" i="7"/>
  <c r="B584" i="7"/>
  <c r="B600" i="7"/>
  <c r="B616" i="7"/>
  <c r="B632" i="7"/>
  <c r="B648" i="7"/>
  <c r="B664" i="7"/>
  <c r="B680" i="7"/>
  <c r="B696" i="7"/>
  <c r="B712" i="7"/>
  <c r="B728" i="7"/>
  <c r="B744" i="7"/>
  <c r="B760" i="7"/>
  <c r="B776" i="7"/>
  <c r="B792" i="7"/>
  <c r="B808" i="7"/>
  <c r="B824" i="7"/>
  <c r="B840" i="7"/>
  <c r="B856" i="7"/>
  <c r="B872" i="7"/>
  <c r="B888" i="7"/>
  <c r="B904" i="7"/>
  <c r="B920" i="7"/>
  <c r="B936" i="7"/>
  <c r="B952" i="7"/>
  <c r="B968" i="7"/>
  <c r="B984" i="7"/>
  <c r="B1000" i="7"/>
  <c r="B61" i="7"/>
  <c r="B125" i="7"/>
  <c r="B189" i="7"/>
  <c r="B205" i="7"/>
  <c r="B325" i="7"/>
  <c r="B389" i="7"/>
  <c r="B453" i="7"/>
  <c r="B513" i="7"/>
  <c r="B545" i="7"/>
  <c r="B577" i="7"/>
  <c r="B609" i="7"/>
  <c r="B641" i="7"/>
  <c r="B673" i="7"/>
  <c r="B705" i="7"/>
  <c r="B737" i="7"/>
  <c r="B769" i="7"/>
  <c r="B801" i="7"/>
  <c r="B833" i="7"/>
  <c r="B857" i="7"/>
  <c r="B878" i="7"/>
  <c r="B899" i="7"/>
  <c r="B921" i="7"/>
  <c r="B942" i="7"/>
  <c r="B963" i="7"/>
  <c r="B985" i="7"/>
  <c r="B991" i="7"/>
  <c r="B333" i="7"/>
  <c r="B461" i="7"/>
  <c r="B541" i="7"/>
  <c r="B621" i="7"/>
  <c r="B677" i="7"/>
  <c r="B741" i="7"/>
  <c r="B813" i="7"/>
  <c r="B865" i="7"/>
  <c r="B902" i="7"/>
  <c r="B950" i="7"/>
  <c r="B993" i="7"/>
  <c r="B334" i="7"/>
  <c r="B446" i="7"/>
  <c r="B558" i="7"/>
  <c r="B622" i="7"/>
  <c r="B694" i="7"/>
  <c r="B774" i="7"/>
  <c r="B850" i="7"/>
  <c r="B909" i="7"/>
  <c r="B962" i="7"/>
  <c r="B97" i="7"/>
  <c r="B273" i="7"/>
  <c r="B358" i="7"/>
  <c r="B422" i="7"/>
  <c r="B486" i="7"/>
  <c r="B530" i="7"/>
  <c r="B562" i="7"/>
  <c r="B594" i="7"/>
  <c r="B626" i="7"/>
  <c r="B658" i="7"/>
  <c r="B690" i="7"/>
  <c r="B722" i="7"/>
  <c r="B754" i="7"/>
  <c r="B786" i="7"/>
  <c r="B818" i="7"/>
  <c r="B847" i="7"/>
  <c r="B869" i="7"/>
  <c r="B890" i="7"/>
  <c r="B911" i="7"/>
  <c r="B933" i="7"/>
  <c r="B954" i="7"/>
  <c r="B975" i="7"/>
  <c r="B177" i="7"/>
  <c r="B397" i="7"/>
  <c r="B517" i="7"/>
  <c r="B573" i="7"/>
  <c r="B629" i="7"/>
  <c r="B693" i="7"/>
  <c r="B765" i="7"/>
  <c r="B829" i="7"/>
  <c r="B870" i="7"/>
  <c r="B913" i="7"/>
  <c r="B955" i="7"/>
  <c r="B998" i="7"/>
  <c r="B318" i="7"/>
  <c r="B462" i="7"/>
  <c r="B550" i="7"/>
  <c r="B614" i="7"/>
  <c r="B686" i="7"/>
  <c r="B766" i="7"/>
  <c r="B845" i="7"/>
  <c r="B898" i="7"/>
  <c r="B957" i="7"/>
  <c r="B526" i="7"/>
  <c r="B790" i="7"/>
  <c r="B903" i="7"/>
  <c r="B999" i="7"/>
  <c r="A14" i="7"/>
  <c r="A30" i="7"/>
  <c r="A46" i="7"/>
  <c r="A62" i="7"/>
  <c r="A78" i="7"/>
  <c r="A94" i="7"/>
  <c r="A110" i="7"/>
  <c r="A126" i="7"/>
  <c r="A142" i="7"/>
  <c r="A158" i="7"/>
  <c r="A174" i="7"/>
  <c r="A190" i="7"/>
  <c r="A206" i="7"/>
  <c r="A222" i="7"/>
  <c r="A238" i="7"/>
  <c r="A254" i="7"/>
  <c r="A270" i="7"/>
  <c r="A286" i="7"/>
  <c r="A302" i="7"/>
  <c r="A318" i="7"/>
  <c r="A334" i="7"/>
  <c r="A350" i="7"/>
  <c r="A366" i="7"/>
  <c r="A382" i="7"/>
  <c r="A398" i="7"/>
  <c r="A414" i="7"/>
  <c r="A430" i="7"/>
  <c r="A446" i="7"/>
  <c r="A462" i="7"/>
  <c r="A478" i="7"/>
  <c r="A494" i="7"/>
  <c r="A3" i="7"/>
  <c r="A19" i="7"/>
  <c r="A35" i="7"/>
  <c r="A51" i="7"/>
  <c r="A67" i="7"/>
  <c r="A83" i="7"/>
  <c r="A99" i="7"/>
  <c r="A115" i="7"/>
  <c r="A131" i="7"/>
  <c r="A147" i="7"/>
  <c r="A163" i="7"/>
  <c r="A179" i="7"/>
  <c r="A195" i="7"/>
  <c r="A211" i="7"/>
  <c r="A227" i="7"/>
  <c r="A243" i="7"/>
  <c r="A259" i="7"/>
  <c r="A275" i="7"/>
  <c r="A291" i="7"/>
  <c r="A307" i="7"/>
  <c r="A323" i="7"/>
  <c r="A339" i="7"/>
  <c r="A355" i="7"/>
  <c r="A371" i="7"/>
  <c r="A387" i="7"/>
  <c r="A403" i="7"/>
  <c r="A419" i="7"/>
  <c r="A435" i="7"/>
  <c r="A451" i="7"/>
  <c r="A467" i="7"/>
  <c r="A483" i="7"/>
  <c r="A4" i="7"/>
  <c r="A20" i="7"/>
  <c r="A36" i="7"/>
  <c r="A52" i="7"/>
  <c r="A68" i="7"/>
  <c r="A84" i="7"/>
  <c r="A100" i="7"/>
  <c r="A116" i="7"/>
  <c r="A132" i="7"/>
  <c r="A148" i="7"/>
  <c r="A164" i="7"/>
  <c r="A180" i="7"/>
  <c r="A196" i="7"/>
  <c r="A212" i="7"/>
  <c r="A228" i="7"/>
  <c r="A244" i="7"/>
  <c r="A260" i="7"/>
  <c r="A276" i="7"/>
  <c r="A292" i="7"/>
  <c r="A308" i="7"/>
  <c r="A324" i="7"/>
  <c r="A340" i="7"/>
  <c r="A356" i="7"/>
  <c r="A372" i="7"/>
  <c r="A388" i="7"/>
  <c r="A404" i="7"/>
  <c r="A420" i="7"/>
  <c r="A436" i="7"/>
  <c r="A452" i="7"/>
  <c r="A468" i="7"/>
  <c r="A484" i="7"/>
  <c r="A500" i="7"/>
  <c r="A21" i="7"/>
  <c r="A85" i="7"/>
  <c r="A149" i="7"/>
  <c r="A213" i="7"/>
  <c r="A277" i="7"/>
  <c r="A341" i="7"/>
  <c r="A405" i="7"/>
  <c r="A469" i="7"/>
  <c r="A512" i="7"/>
  <c r="A528" i="7"/>
  <c r="A544" i="7"/>
  <c r="A560" i="7"/>
  <c r="A576" i="7"/>
  <c r="A592" i="7"/>
  <c r="A608" i="7"/>
  <c r="A624" i="7"/>
  <c r="A640" i="7"/>
  <c r="A656" i="7"/>
  <c r="A672" i="7"/>
  <c r="A688" i="7"/>
  <c r="A704" i="7"/>
  <c r="A720" i="7"/>
  <c r="A736" i="7"/>
  <c r="A41" i="7"/>
  <c r="A105" i="7"/>
  <c r="A169" i="7"/>
  <c r="A233" i="7"/>
  <c r="A297" i="7"/>
  <c r="A361" i="7"/>
  <c r="A425" i="7"/>
  <c r="A489" i="7"/>
  <c r="A517" i="7"/>
  <c r="A533" i="7"/>
  <c r="A549" i="7"/>
  <c r="A565" i="7"/>
  <c r="A581" i="7"/>
  <c r="A597" i="7"/>
  <c r="A613" i="7"/>
  <c r="A629" i="7"/>
  <c r="A645" i="7"/>
  <c r="A661" i="7"/>
  <c r="A677" i="7"/>
  <c r="A693" i="7"/>
  <c r="A709" i="7"/>
  <c r="A725" i="7"/>
  <c r="A741" i="7"/>
  <c r="A757" i="7"/>
  <c r="A773" i="7"/>
  <c r="A789" i="7"/>
  <c r="A805" i="7"/>
  <c r="A821" i="7"/>
  <c r="A837" i="7"/>
  <c r="A853" i="7"/>
  <c r="A869" i="7"/>
  <c r="A885" i="7"/>
  <c r="A109" i="7"/>
  <c r="A237" i="7"/>
  <c r="A365" i="7"/>
  <c r="A493" i="7"/>
  <c r="A534" i="7"/>
  <c r="A566" i="7"/>
  <c r="A598" i="7"/>
  <c r="A630" i="7"/>
  <c r="A662" i="7"/>
  <c r="A694" i="7"/>
  <c r="A726" i="7"/>
  <c r="A752" i="7"/>
  <c r="A774" i="7"/>
  <c r="A795" i="7"/>
  <c r="A816" i="7"/>
  <c r="A838" i="7"/>
  <c r="A859" i="7"/>
  <c r="A880" i="7"/>
  <c r="A898" i="7"/>
  <c r="A914" i="7"/>
  <c r="A930" i="7"/>
  <c r="A946" i="7"/>
  <c r="A962" i="7"/>
  <c r="A978" i="7"/>
  <c r="A994" i="7"/>
  <c r="A830" i="7"/>
  <c r="A883" i="7"/>
  <c r="A924" i="7"/>
  <c r="A964" i="7"/>
  <c r="A65" i="7"/>
  <c r="A417" i="7"/>
  <c r="A563" i="7"/>
  <c r="A643" i="7"/>
  <c r="A731" i="7"/>
  <c r="A788" i="7"/>
  <c r="A847" i="7"/>
  <c r="A897" i="7"/>
  <c r="A941" i="7"/>
  <c r="A981" i="7"/>
  <c r="A81" i="7"/>
  <c r="A209" i="7"/>
  <c r="A337" i="7"/>
  <c r="A465" i="7"/>
  <c r="A527" i="7"/>
  <c r="A559" i="7"/>
  <c r="A591" i="7"/>
  <c r="A623" i="7"/>
  <c r="A655" i="7"/>
  <c r="A687" i="7"/>
  <c r="A719" i="7"/>
  <c r="A748" i="7"/>
  <c r="A770" i="7"/>
  <c r="A791" i="7"/>
  <c r="A812" i="7"/>
  <c r="A834" i="7"/>
  <c r="A855" i="7"/>
  <c r="A876" i="7"/>
  <c r="A895" i="7"/>
  <c r="A911" i="7"/>
  <c r="A927" i="7"/>
  <c r="A943" i="7"/>
  <c r="A959" i="7"/>
  <c r="A975" i="7"/>
  <c r="A991" i="7"/>
  <c r="A61" i="7"/>
  <c r="A189" i="7"/>
  <c r="A317" i="7"/>
  <c r="A445" i="7"/>
  <c r="A522" i="7"/>
  <c r="A554" i="7"/>
  <c r="A586" i="7"/>
  <c r="A618" i="7"/>
  <c r="A650" i="7"/>
  <c r="A682" i="7"/>
  <c r="A714" i="7"/>
  <c r="A744" i="7"/>
  <c r="A766" i="7"/>
  <c r="A787" i="7"/>
  <c r="A819" i="7"/>
  <c r="A851" i="7"/>
  <c r="A888" i="7"/>
  <c r="A916" i="7"/>
  <c r="A940" i="7"/>
  <c r="A968" i="7"/>
  <c r="A992" i="7"/>
  <c r="A129" i="7"/>
  <c r="A353" i="7"/>
  <c r="A515" i="7"/>
  <c r="A571" i="7"/>
  <c r="A619" i="7"/>
  <c r="A675" i="7"/>
  <c r="A723" i="7"/>
  <c r="A767" i="7"/>
  <c r="A799" i="7"/>
  <c r="A836" i="7"/>
  <c r="A874" i="7"/>
  <c r="A901" i="7"/>
  <c r="A925" i="7"/>
  <c r="A949" i="7"/>
  <c r="A977" i="7"/>
  <c r="A644" i="7"/>
  <c r="A501" i="7"/>
  <c r="A553" i="7"/>
  <c r="A585" i="7"/>
  <c r="A617" i="7"/>
  <c r="A665" i="7"/>
  <c r="A713" i="7"/>
  <c r="A745" i="7"/>
  <c r="A777" i="7"/>
  <c r="A809" i="7"/>
  <c r="A841" i="7"/>
  <c r="A873" i="7"/>
  <c r="A269" i="7"/>
  <c r="A510" i="7"/>
  <c r="A574" i="7"/>
  <c r="A670" i="7"/>
  <c r="A734" i="7"/>
  <c r="A779" i="7"/>
  <c r="A822" i="7"/>
  <c r="A864" i="7"/>
  <c r="A902" i="7"/>
  <c r="A934" i="7"/>
  <c r="A966" i="7"/>
  <c r="A998" i="7"/>
  <c r="A892" i="7"/>
  <c r="A976" i="7"/>
  <c r="A587" i="7"/>
  <c r="A746" i="7"/>
  <c r="A858" i="7"/>
  <c r="A953" i="7"/>
  <c r="A113" i="7"/>
  <c r="A369" i="7"/>
  <c r="A567" i="7"/>
  <c r="A631" i="7"/>
  <c r="A695" i="7"/>
  <c r="A754" i="7"/>
  <c r="A796" i="7"/>
  <c r="A839" i="7"/>
  <c r="A882" i="7"/>
  <c r="A915" i="7"/>
  <c r="A963" i="7"/>
  <c r="A995" i="7"/>
  <c r="A221" i="7"/>
  <c r="A477" i="7"/>
  <c r="A562" i="7"/>
  <c r="A626" i="7"/>
  <c r="A722" i="7"/>
  <c r="A771" i="7"/>
  <c r="A824" i="7"/>
  <c r="A896" i="7"/>
  <c r="A948" i="7"/>
  <c r="A1000" i="7"/>
  <c r="A531" i="7"/>
  <c r="A635" i="7"/>
  <c r="A739" i="7"/>
  <c r="A772" i="7"/>
  <c r="A879" i="7"/>
  <c r="A933" i="7"/>
  <c r="A985" i="7"/>
  <c r="W812" i="7"/>
  <c r="V684" i="7"/>
  <c r="U336" i="7"/>
  <c r="T228" i="7"/>
  <c r="T402" i="7"/>
  <c r="S14" i="7"/>
  <c r="S28" i="7"/>
  <c r="S603" i="7"/>
  <c r="S916" i="7"/>
  <c r="R114" i="7"/>
  <c r="R340" i="7"/>
  <c r="R929" i="7"/>
  <c r="R747" i="7"/>
  <c r="R128" i="7"/>
  <c r="R812" i="7"/>
  <c r="Q402" i="7"/>
  <c r="Q411" i="7"/>
  <c r="Q416" i="7"/>
  <c r="Q807" i="7"/>
  <c r="Q812" i="7"/>
  <c r="Q789" i="7"/>
  <c r="Q761" i="7"/>
  <c r="Q976" i="7"/>
  <c r="Q862" i="7"/>
  <c r="Q887" i="7"/>
  <c r="P14" i="7"/>
  <c r="P270" i="7"/>
  <c r="P19" i="7"/>
  <c r="P275" i="7"/>
  <c r="P40" i="7"/>
  <c r="P296" i="7"/>
  <c r="P165" i="7"/>
  <c r="P675" i="7"/>
  <c r="P931" i="7"/>
  <c r="P425" i="7"/>
  <c r="P740" i="7"/>
  <c r="P597" i="7"/>
  <c r="P926" i="7"/>
  <c r="P353" i="7"/>
  <c r="P550" i="7"/>
  <c r="P897" i="7"/>
  <c r="O114" i="7"/>
  <c r="O370" i="7"/>
  <c r="O119" i="7"/>
  <c r="O375" i="7"/>
  <c r="O128" i="7"/>
  <c r="O384" i="7"/>
  <c r="O513" i="7"/>
  <c r="O769" i="7"/>
  <c r="O802" i="7"/>
  <c r="O530" i="7"/>
  <c r="O826" i="7"/>
  <c r="O696" i="7"/>
  <c r="O620" i="7"/>
  <c r="O815" i="7"/>
  <c r="O779" i="7"/>
  <c r="O751" i="7"/>
  <c r="N214" i="7"/>
  <c r="N470" i="7"/>
  <c r="N219" i="7"/>
  <c r="N60" i="7"/>
  <c r="N524" i="7"/>
  <c r="N53" i="7"/>
  <c r="N521" i="7"/>
  <c r="N673" i="7"/>
  <c r="N216" i="7"/>
  <c r="N602" i="7"/>
  <c r="N804" i="7"/>
  <c r="N932" i="7"/>
  <c r="N945" i="7"/>
  <c r="N542" i="7"/>
  <c r="N850" i="7"/>
  <c r="N241" i="7"/>
  <c r="N233" i="7"/>
  <c r="N611" i="7"/>
  <c r="N809" i="7"/>
  <c r="N336" i="7"/>
  <c r="N918" i="7"/>
  <c r="N795" i="7"/>
  <c r="N607" i="7"/>
  <c r="N867" i="7"/>
  <c r="M82" i="7"/>
  <c r="M210" i="7"/>
  <c r="M338" i="7"/>
  <c r="M466" i="7"/>
  <c r="M87" i="7"/>
  <c r="M215" i="7"/>
  <c r="M343" i="7"/>
  <c r="M471" i="7"/>
  <c r="M180" i="7"/>
  <c r="M436" i="7"/>
  <c r="M600" i="7"/>
  <c r="M728" i="7"/>
  <c r="M189" i="7"/>
  <c r="M445" i="7"/>
  <c r="M605" i="7"/>
  <c r="M733" i="7"/>
  <c r="M24" i="7"/>
  <c r="M522" i="7"/>
  <c r="M772" i="7"/>
  <c r="M921" i="7"/>
  <c r="M994" i="7"/>
  <c r="M686" i="7"/>
  <c r="M971" i="7"/>
  <c r="M639" i="7"/>
  <c r="M41" i="7"/>
  <c r="M531" i="7"/>
  <c r="M779" i="7"/>
  <c r="M946" i="7"/>
  <c r="M764" i="7"/>
  <c r="M401" i="7"/>
  <c r="M952" i="7"/>
  <c r="L54" i="7"/>
  <c r="L182" i="7"/>
  <c r="L310" i="7"/>
  <c r="L438" i="7"/>
  <c r="L59" i="7"/>
  <c r="L187" i="7"/>
  <c r="L315" i="7"/>
  <c r="L443" i="7"/>
  <c r="L64" i="7"/>
  <c r="L192" i="7"/>
  <c r="L320" i="7"/>
  <c r="L448" i="7"/>
  <c r="L341" i="7"/>
  <c r="L590" i="7"/>
  <c r="L718" i="7"/>
  <c r="L846" i="7"/>
  <c r="L297" i="7"/>
  <c r="L579" i="7"/>
  <c r="L707" i="7"/>
  <c r="L835" i="7"/>
  <c r="L461" i="7"/>
  <c r="L620" i="7"/>
  <c r="L748" i="7"/>
  <c r="L876" i="7"/>
  <c r="L845" i="7"/>
  <c r="L998" i="7"/>
  <c r="L729" i="7"/>
  <c r="L481" i="7"/>
  <c r="L911" i="7"/>
  <c r="L257" i="7"/>
  <c r="L533" i="7"/>
  <c r="L889" i="7"/>
  <c r="K62" i="7"/>
  <c r="K126" i="7"/>
  <c r="K190" i="7"/>
  <c r="K254" i="7"/>
  <c r="K11" i="7"/>
  <c r="K75" i="7"/>
  <c r="K139" i="7"/>
  <c r="K203" i="7"/>
  <c r="K267" i="7"/>
  <c r="K331" i="7"/>
  <c r="K395" i="7"/>
  <c r="K459" i="7"/>
  <c r="K28" i="7"/>
  <c r="K156" i="7"/>
  <c r="K284" i="7"/>
  <c r="K377" i="7"/>
  <c r="K462" i="7"/>
  <c r="K538" i="7"/>
  <c r="K602" i="7"/>
  <c r="K666" i="7"/>
  <c r="K48" i="7"/>
  <c r="K217" i="7"/>
  <c r="K362" i="7"/>
  <c r="K476" i="7"/>
  <c r="K569" i="7"/>
  <c r="K655" i="7"/>
  <c r="K733" i="7"/>
  <c r="K797" i="7"/>
  <c r="K861" i="7"/>
  <c r="K925" i="7"/>
  <c r="K989" i="7"/>
  <c r="K145" i="7"/>
  <c r="K314" i="7"/>
  <c r="K428" i="7"/>
  <c r="K533" i="7"/>
  <c r="K619" i="7"/>
  <c r="K117" i="7"/>
  <c r="K408" i="7"/>
  <c r="K604" i="7"/>
  <c r="K734" i="7"/>
  <c r="K819" i="7"/>
  <c r="K904" i="7"/>
  <c r="K990" i="7"/>
  <c r="K458" i="7"/>
  <c r="K784" i="7"/>
  <c r="K45" i="7"/>
  <c r="K653" i="7"/>
  <c r="K866" i="7"/>
  <c r="K141" i="7"/>
  <c r="K424" i="7"/>
  <c r="K616" i="7"/>
  <c r="K740" i="7"/>
  <c r="K826" i="7"/>
  <c r="K911" i="7"/>
  <c r="K105" i="7"/>
  <c r="K545" i="7"/>
  <c r="K768" i="7"/>
  <c r="K912" i="7"/>
  <c r="K216" i="7"/>
  <c r="K589" i="7"/>
  <c r="K786" i="7"/>
  <c r="K940" i="7"/>
  <c r="J34" i="7"/>
  <c r="J98" i="7"/>
  <c r="J162" i="7"/>
  <c r="J226" i="7"/>
  <c r="J290" i="7"/>
  <c r="J354" i="7"/>
  <c r="J418" i="7"/>
  <c r="J482" i="7"/>
  <c r="J51" i="7"/>
  <c r="J115" i="7"/>
  <c r="J179" i="7"/>
  <c r="J243" i="7"/>
  <c r="J307" i="7"/>
  <c r="J371" i="7"/>
  <c r="J435" i="7"/>
  <c r="J499" i="7"/>
  <c r="J56" i="7"/>
  <c r="J120" i="7"/>
  <c r="J184" i="7"/>
  <c r="J248" i="7"/>
  <c r="J312" i="7"/>
  <c r="J376" i="7"/>
  <c r="J440" i="7"/>
  <c r="J504" i="7"/>
  <c r="J229" i="7"/>
  <c r="J485" i="7"/>
  <c r="J564" i="7"/>
  <c r="J628" i="7"/>
  <c r="J692" i="7"/>
  <c r="J756" i="7"/>
  <c r="J820" i="7"/>
  <c r="J884" i="7"/>
  <c r="J249" i="7"/>
  <c r="J501" i="7"/>
  <c r="J569" i="7"/>
  <c r="J633" i="7"/>
  <c r="J697" i="7"/>
  <c r="J761" i="7"/>
  <c r="J825" i="7"/>
  <c r="J889" i="7"/>
  <c r="J953" i="7"/>
  <c r="J77" i="7"/>
  <c r="J333" i="7"/>
  <c r="J526" i="7"/>
  <c r="J570" i="7"/>
  <c r="J698" i="7"/>
  <c r="J826" i="7"/>
  <c r="J931" i="7"/>
  <c r="J790" i="7"/>
  <c r="J449" i="7"/>
  <c r="J823" i="7"/>
  <c r="J289" i="7"/>
  <c r="J619" i="7"/>
  <c r="J747" i="7"/>
  <c r="J875" i="7"/>
  <c r="J964" i="7"/>
  <c r="J534" i="7"/>
  <c r="J662" i="7"/>
  <c r="J822" i="7"/>
  <c r="J987" i="7"/>
  <c r="J663" i="7"/>
  <c r="J871" i="7"/>
  <c r="I6" i="7"/>
  <c r="I70" i="7"/>
  <c r="I134" i="7"/>
  <c r="I198" i="7"/>
  <c r="I262" i="7"/>
  <c r="I326" i="7"/>
  <c r="I390" i="7"/>
  <c r="I454" i="7"/>
  <c r="I11" i="7"/>
  <c r="I75" i="7"/>
  <c r="I139" i="7"/>
  <c r="I203" i="7"/>
  <c r="I267" i="7"/>
  <c r="I331" i="7"/>
  <c r="I395" i="7"/>
  <c r="I459" i="7"/>
  <c r="I28" i="7"/>
  <c r="I156" i="7"/>
  <c r="I284" i="7"/>
  <c r="I412" i="7"/>
  <c r="I524" i="7"/>
  <c r="I588" i="7"/>
  <c r="I652" i="7"/>
  <c r="I716" i="7"/>
  <c r="I780" i="7"/>
  <c r="I844" i="7"/>
  <c r="I69" i="7"/>
  <c r="I197" i="7"/>
  <c r="I325" i="7"/>
  <c r="I453" i="7"/>
  <c r="I545" i="7"/>
  <c r="I609" i="7"/>
  <c r="I673" i="7"/>
  <c r="I737" i="7"/>
  <c r="I152" i="7"/>
  <c r="I408" i="7"/>
  <c r="I586" i="7"/>
  <c r="I714" i="7"/>
  <c r="I815" i="7"/>
  <c r="I894" i="7"/>
  <c r="I958" i="7"/>
  <c r="I790" i="7"/>
  <c r="I875" i="7"/>
  <c r="I939" i="7"/>
  <c r="I16" i="7"/>
  <c r="I432" i="7"/>
  <c r="I686" i="7"/>
  <c r="I855" i="7"/>
  <c r="I960" i="7"/>
  <c r="I305" i="7"/>
  <c r="I169" i="7"/>
  <c r="I425" i="7"/>
  <c r="I595" i="7"/>
  <c r="I723" i="7"/>
  <c r="I496" i="7"/>
  <c r="I797" i="7"/>
  <c r="I984" i="7"/>
  <c r="I519" i="7"/>
  <c r="I925" i="7"/>
  <c r="I953" i="7"/>
  <c r="I897" i="7"/>
  <c r="I782" i="7"/>
  <c r="I873" i="7"/>
  <c r="H42" i="7"/>
  <c r="H106" i="7"/>
  <c r="H170" i="7"/>
  <c r="H234" i="7"/>
  <c r="H298" i="7"/>
  <c r="H362" i="7"/>
  <c r="H426" i="7"/>
  <c r="H11" i="7"/>
  <c r="H75" i="7"/>
  <c r="H139" i="7"/>
  <c r="H203" i="7"/>
  <c r="H267" i="7"/>
  <c r="H331" i="7"/>
  <c r="H395" i="7"/>
  <c r="H459" i="7"/>
  <c r="H28" i="7"/>
  <c r="H156" i="7"/>
  <c r="H284" i="7"/>
  <c r="H412" i="7"/>
  <c r="H517" i="7"/>
  <c r="H581" i="7"/>
  <c r="H645" i="7"/>
  <c r="H709" i="7"/>
  <c r="H37" i="7"/>
  <c r="H165" i="7"/>
  <c r="H293" i="7"/>
  <c r="H421" i="7"/>
  <c r="H522" i="7"/>
  <c r="H586" i="7"/>
  <c r="H650" i="7"/>
  <c r="H714" i="7"/>
  <c r="H72" i="7"/>
  <c r="H328" i="7"/>
  <c r="H539" i="7"/>
  <c r="H667" i="7"/>
  <c r="H776" i="7"/>
  <c r="H840" i="7"/>
  <c r="H904" i="7"/>
  <c r="H968" i="7"/>
  <c r="H208" i="7"/>
  <c r="H599" i="7"/>
  <c r="H798" i="7"/>
  <c r="H922" i="7"/>
  <c r="H193" i="7"/>
  <c r="H600" i="7"/>
  <c r="H803" i="7"/>
  <c r="H927" i="7"/>
  <c r="H105" i="7"/>
  <c r="H361" i="7"/>
  <c r="H556" i="7"/>
  <c r="H684" i="7"/>
  <c r="H785" i="7"/>
  <c r="H849" i="7"/>
  <c r="H913" i="7"/>
  <c r="H977" i="7"/>
  <c r="H336" i="7"/>
  <c r="H543" i="7"/>
  <c r="H679" i="7"/>
  <c r="H782" i="7"/>
  <c r="H850" i="7"/>
  <c r="H918" i="7"/>
  <c r="H986" i="7"/>
  <c r="H209" i="7"/>
  <c r="H465" i="7"/>
  <c r="H608" i="7"/>
  <c r="H744" i="7"/>
  <c r="H815" i="7"/>
  <c r="H883" i="7"/>
  <c r="H947" i="7"/>
  <c r="G6" i="7"/>
  <c r="G38" i="7"/>
  <c r="G70" i="7"/>
  <c r="G102" i="7"/>
  <c r="G134" i="7"/>
  <c r="G166" i="7"/>
  <c r="G198" i="7"/>
  <c r="G230" i="7"/>
  <c r="G262" i="7"/>
  <c r="G294" i="7"/>
  <c r="G326" i="7"/>
  <c r="G358" i="7"/>
  <c r="G390" i="7"/>
  <c r="G422" i="7"/>
  <c r="G454" i="7"/>
  <c r="G486" i="7"/>
  <c r="G11" i="7"/>
  <c r="G43" i="7"/>
  <c r="G75" i="7"/>
  <c r="G107" i="7"/>
  <c r="G139" i="7"/>
  <c r="G171" i="7"/>
  <c r="G203" i="7"/>
  <c r="G235" i="7"/>
  <c r="G267" i="7"/>
  <c r="G299" i="7"/>
  <c r="G331" i="7"/>
  <c r="G363" i="7"/>
  <c r="G395" i="7"/>
  <c r="G427" i="7"/>
  <c r="G459" i="7"/>
  <c r="G491" i="7"/>
  <c r="G28" i="7"/>
  <c r="G60" i="7"/>
  <c r="G92" i="7"/>
  <c r="G124" i="7"/>
  <c r="G156" i="7"/>
  <c r="G188" i="7"/>
  <c r="G220" i="7"/>
  <c r="G252" i="7"/>
  <c r="G284" i="7"/>
  <c r="G316" i="7"/>
  <c r="G348" i="7"/>
  <c r="G380" i="7"/>
  <c r="G412" i="7"/>
  <c r="G444" i="7"/>
  <c r="G476" i="7"/>
  <c r="G508" i="7"/>
  <c r="G117" i="7"/>
  <c r="G245" i="7"/>
  <c r="G373" i="7"/>
  <c r="G499" i="7"/>
  <c r="G536" i="7"/>
  <c r="G568" i="7"/>
  <c r="G600" i="7"/>
  <c r="G632" i="7"/>
  <c r="G664" i="7"/>
  <c r="G696" i="7"/>
  <c r="G728" i="7"/>
  <c r="G760" i="7"/>
  <c r="G792" i="7"/>
  <c r="G824" i="7"/>
  <c r="G856" i="7"/>
  <c r="G888" i="7"/>
  <c r="G121" i="7"/>
  <c r="G249" i="7"/>
  <c r="G377" i="7"/>
  <c r="G501" i="7"/>
  <c r="G537" i="7"/>
  <c r="G569" i="7"/>
  <c r="G601" i="7"/>
  <c r="G633" i="7"/>
  <c r="G665" i="7"/>
  <c r="G697" i="7"/>
  <c r="G729" i="7"/>
  <c r="G761" i="7"/>
  <c r="G793" i="7"/>
  <c r="G825" i="7"/>
  <c r="G857" i="7"/>
  <c r="G13" i="7"/>
  <c r="G269" i="7"/>
  <c r="G510" i="7"/>
  <c r="G574" i="7"/>
  <c r="G638" i="7"/>
  <c r="G702" i="7"/>
  <c r="G766" i="7"/>
  <c r="G830" i="7"/>
  <c r="G891" i="7"/>
  <c r="G923" i="7"/>
  <c r="G955" i="7"/>
  <c r="G987" i="7"/>
  <c r="G317" i="7"/>
  <c r="G578" i="7"/>
  <c r="G714" i="7"/>
  <c r="G834" i="7"/>
  <c r="G925" i="7"/>
  <c r="G989" i="7"/>
  <c r="G481" i="7"/>
  <c r="G619" i="7"/>
  <c r="G747" i="7"/>
  <c r="G875" i="7"/>
  <c r="G946" i="7"/>
  <c r="G49" i="7"/>
  <c r="G305" i="7"/>
  <c r="G519" i="7"/>
  <c r="G583" i="7"/>
  <c r="G647" i="7"/>
  <c r="G711" i="7"/>
  <c r="G775" i="7"/>
  <c r="G839" i="7"/>
  <c r="G896" i="7"/>
  <c r="G928" i="7"/>
  <c r="G960" i="7"/>
  <c r="G992" i="7"/>
  <c r="G381" i="7"/>
  <c r="G602" i="7"/>
  <c r="G722" i="7"/>
  <c r="G858" i="7"/>
  <c r="G937" i="7"/>
  <c r="G33" i="7"/>
  <c r="G505" i="7"/>
  <c r="G643" i="7"/>
  <c r="G771" i="7"/>
  <c r="G894" i="7"/>
  <c r="G958" i="7"/>
  <c r="F10" i="7"/>
  <c r="F42" i="7"/>
  <c r="F74" i="7"/>
  <c r="F106" i="7"/>
  <c r="F130" i="7"/>
  <c r="F154" i="7"/>
  <c r="F174" i="7"/>
  <c r="F194" i="7"/>
  <c r="F218" i="7"/>
  <c r="F238" i="7"/>
  <c r="F258" i="7"/>
  <c r="F282" i="7"/>
  <c r="F302" i="7"/>
  <c r="F322" i="7"/>
  <c r="F346" i="7"/>
  <c r="F366" i="7"/>
  <c r="F386" i="7"/>
  <c r="F410" i="7"/>
  <c r="F430" i="7"/>
  <c r="F450" i="7"/>
  <c r="F474" i="7"/>
  <c r="F494" i="7"/>
  <c r="F7" i="7"/>
  <c r="F31" i="7"/>
  <c r="F51" i="7"/>
  <c r="F71" i="7"/>
  <c r="F95" i="7"/>
  <c r="F115" i="7"/>
  <c r="F135" i="7"/>
  <c r="F159" i="7"/>
  <c r="F179" i="7"/>
  <c r="F199" i="7"/>
  <c r="F223" i="7"/>
  <c r="F243" i="7"/>
  <c r="F263" i="7"/>
  <c r="F287" i="7"/>
  <c r="F307" i="7"/>
  <c r="F327" i="7"/>
  <c r="F351" i="7"/>
  <c r="F371" i="7"/>
  <c r="F391" i="7"/>
  <c r="F415" i="7"/>
  <c r="F435" i="7"/>
  <c r="F455" i="7"/>
  <c r="F479" i="7"/>
  <c r="F499" i="7"/>
  <c r="F12" i="7"/>
  <c r="F36" i="7"/>
  <c r="F56" i="7"/>
  <c r="F76" i="7"/>
  <c r="F100" i="7"/>
  <c r="F120" i="7"/>
  <c r="F140" i="7"/>
  <c r="F164" i="7"/>
  <c r="F184" i="7"/>
  <c r="F204" i="7"/>
  <c r="F228" i="7"/>
  <c r="F248" i="7"/>
  <c r="F268" i="7"/>
  <c r="F292" i="7"/>
  <c r="F312" i="7"/>
  <c r="F332" i="7"/>
  <c r="F356" i="7"/>
  <c r="F376" i="7"/>
  <c r="F396" i="7"/>
  <c r="F420" i="7"/>
  <c r="F440" i="7"/>
  <c r="F460" i="7"/>
  <c r="F484" i="7"/>
  <c r="F504" i="7"/>
  <c r="F53" i="7"/>
  <c r="F149" i="7"/>
  <c r="F229" i="7"/>
  <c r="F309" i="7"/>
  <c r="F405" i="7"/>
  <c r="F485" i="7"/>
  <c r="F523" i="7"/>
  <c r="F547" i="7"/>
  <c r="F567" i="7"/>
  <c r="F587" i="7"/>
  <c r="F611" i="7"/>
  <c r="F631" i="7"/>
  <c r="F651" i="7"/>
  <c r="F675" i="7"/>
  <c r="F695" i="7"/>
  <c r="F715" i="7"/>
  <c r="F739" i="7"/>
  <c r="F759" i="7"/>
  <c r="F779" i="7"/>
  <c r="F803" i="7"/>
  <c r="F823" i="7"/>
  <c r="F843" i="7"/>
  <c r="F867" i="7"/>
  <c r="F887" i="7"/>
  <c r="F57" i="7"/>
  <c r="F153" i="7"/>
  <c r="F233" i="7"/>
  <c r="F313" i="7"/>
  <c r="F409" i="7"/>
  <c r="F489" i="7"/>
  <c r="F524" i="7"/>
  <c r="F548" i="7"/>
  <c r="F568" i="7"/>
  <c r="F588" i="7"/>
  <c r="F612" i="7"/>
  <c r="F632" i="7"/>
  <c r="F652" i="7"/>
  <c r="F676" i="7"/>
  <c r="F696" i="7"/>
  <c r="F716" i="7"/>
  <c r="F740" i="7"/>
  <c r="F760" i="7"/>
  <c r="F780" i="7"/>
  <c r="F804" i="7"/>
  <c r="F824" i="7"/>
  <c r="F844" i="7"/>
  <c r="F868" i="7"/>
  <c r="F888" i="7"/>
  <c r="F77" i="7"/>
  <c r="F173" i="7"/>
  <c r="F253" i="7"/>
  <c r="F333" i="7"/>
  <c r="F429" i="7"/>
  <c r="F509" i="7"/>
  <c r="F529" i="7"/>
  <c r="F553" i="7"/>
  <c r="F573" i="7"/>
  <c r="F593" i="7"/>
  <c r="F617" i="7"/>
  <c r="F637" i="7"/>
  <c r="F657" i="7"/>
  <c r="F681" i="7"/>
  <c r="F701" i="7"/>
  <c r="F721" i="7"/>
  <c r="F745" i="7"/>
  <c r="F765" i="7"/>
  <c r="F785" i="7"/>
  <c r="F145" i="7"/>
  <c r="F465" i="7"/>
  <c r="F578" i="7"/>
  <c r="F674" i="7"/>
  <c r="F754" i="7"/>
  <c r="F817" i="7"/>
  <c r="F865" i="7"/>
  <c r="F898" i="7"/>
  <c r="F918" i="7"/>
  <c r="F942" i="7"/>
  <c r="F962" i="7"/>
  <c r="F982" i="7"/>
  <c r="F923" i="7"/>
  <c r="F951" i="7"/>
  <c r="F983" i="7"/>
  <c r="F718" i="7"/>
  <c r="F862" i="7"/>
  <c r="F925" i="7"/>
  <c r="F989" i="7"/>
  <c r="F225" i="7"/>
  <c r="F518" i="7"/>
  <c r="F614" i="7"/>
  <c r="F694" i="7"/>
  <c r="F774" i="7"/>
  <c r="F834" i="7"/>
  <c r="F874" i="7"/>
  <c r="F903" i="7"/>
  <c r="F955" i="7"/>
  <c r="F638" i="7"/>
  <c r="F893" i="7"/>
  <c r="F965" i="7"/>
  <c r="F177" i="7"/>
  <c r="F433" i="7"/>
  <c r="F554" i="7"/>
  <c r="F618" i="7"/>
  <c r="F682" i="7"/>
  <c r="F746" i="7"/>
  <c r="F805" i="7"/>
  <c r="F837" i="7"/>
  <c r="F869" i="7"/>
  <c r="F896" i="7"/>
  <c r="F912" i="7"/>
  <c r="F928" i="7"/>
  <c r="F944" i="7"/>
  <c r="F960" i="7"/>
  <c r="F976" i="7"/>
  <c r="F992" i="7"/>
  <c r="F129" i="7"/>
  <c r="F385" i="7"/>
  <c r="F542" i="7"/>
  <c r="F622" i="7"/>
  <c r="F782" i="7"/>
  <c r="F870" i="7"/>
  <c r="F921" i="7"/>
  <c r="F961" i="7"/>
  <c r="E2" i="7"/>
  <c r="E18" i="7"/>
  <c r="E34" i="7"/>
  <c r="E50" i="7"/>
  <c r="E66" i="7"/>
  <c r="E82" i="7"/>
  <c r="E98" i="7"/>
  <c r="E114" i="7"/>
  <c r="E130" i="7"/>
  <c r="E146" i="7"/>
  <c r="E162" i="7"/>
  <c r="E178" i="7"/>
  <c r="E194" i="7"/>
  <c r="E210" i="7"/>
  <c r="E226" i="7"/>
  <c r="E242" i="7"/>
  <c r="E258" i="7"/>
  <c r="E274" i="7"/>
  <c r="E290" i="7"/>
  <c r="E306" i="7"/>
  <c r="E322" i="7"/>
  <c r="E338" i="7"/>
  <c r="E354" i="7"/>
  <c r="E370" i="7"/>
  <c r="E386" i="7"/>
  <c r="E402" i="7"/>
  <c r="E418" i="7"/>
  <c r="E434" i="7"/>
  <c r="E450" i="7"/>
  <c r="E466" i="7"/>
  <c r="E482" i="7"/>
  <c r="E498" i="7"/>
  <c r="E7" i="7"/>
  <c r="E23" i="7"/>
  <c r="E39" i="7"/>
  <c r="E55" i="7"/>
  <c r="E71" i="7"/>
  <c r="E87" i="7"/>
  <c r="E103" i="7"/>
  <c r="E119" i="7"/>
  <c r="E135" i="7"/>
  <c r="E151" i="7"/>
  <c r="E167" i="7"/>
  <c r="E183" i="7"/>
  <c r="E199" i="7"/>
  <c r="E215" i="7"/>
  <c r="E231" i="7"/>
  <c r="E247" i="7"/>
  <c r="E263" i="7"/>
  <c r="E279" i="7"/>
  <c r="E295" i="7"/>
  <c r="E311" i="7"/>
  <c r="E327" i="7"/>
  <c r="E343" i="7"/>
  <c r="E359" i="7"/>
  <c r="E375" i="7"/>
  <c r="E391" i="7"/>
  <c r="E407" i="7"/>
  <c r="E423" i="7"/>
  <c r="E16" i="7"/>
  <c r="E32" i="7"/>
  <c r="E48" i="7"/>
  <c r="E64" i="7"/>
  <c r="E80" i="7"/>
  <c r="E96" i="7"/>
  <c r="E112" i="7"/>
  <c r="E128" i="7"/>
  <c r="E144" i="7"/>
  <c r="E160" i="7"/>
  <c r="E176" i="7"/>
  <c r="E192" i="7"/>
  <c r="E208" i="7"/>
  <c r="E224" i="7"/>
  <c r="E240" i="7"/>
  <c r="E256" i="7"/>
  <c r="E272" i="7"/>
  <c r="E288" i="7"/>
  <c r="E304" i="7"/>
  <c r="E320" i="7"/>
  <c r="E336" i="7"/>
  <c r="E352" i="7"/>
  <c r="E368" i="7"/>
  <c r="E384" i="7"/>
  <c r="E400" i="7"/>
  <c r="E416" i="7"/>
  <c r="E432" i="7"/>
  <c r="E448" i="7"/>
  <c r="E464" i="7"/>
  <c r="E480" i="7"/>
  <c r="E53" i="7"/>
  <c r="E117" i="7"/>
  <c r="E181" i="7"/>
  <c r="E245" i="7"/>
  <c r="E309" i="7"/>
  <c r="E373" i="7"/>
  <c r="E431" i="7"/>
  <c r="E463" i="7"/>
  <c r="E491" i="7"/>
  <c r="E511" i="7"/>
  <c r="E527" i="7"/>
  <c r="E543" i="7"/>
  <c r="E559" i="7"/>
  <c r="E575" i="7"/>
  <c r="E591" i="7"/>
  <c r="E607" i="7"/>
  <c r="E623" i="7"/>
  <c r="E639" i="7"/>
  <c r="E655" i="7"/>
  <c r="E671" i="7"/>
  <c r="E687" i="7"/>
  <c r="E703" i="7"/>
  <c r="E719" i="7"/>
  <c r="E735" i="7"/>
  <c r="E57" i="7"/>
  <c r="E121" i="7"/>
  <c r="E185" i="7"/>
  <c r="E249" i="7"/>
  <c r="E313" i="7"/>
  <c r="E377" i="7"/>
  <c r="E433" i="7"/>
  <c r="E465" i="7"/>
  <c r="E492" i="7"/>
  <c r="E512" i="7"/>
  <c r="E528" i="7"/>
  <c r="E544" i="7"/>
  <c r="E560" i="7"/>
  <c r="E576" i="7"/>
  <c r="E592" i="7"/>
  <c r="E608" i="7"/>
  <c r="E624" i="7"/>
  <c r="E640" i="7"/>
  <c r="E656" i="7"/>
  <c r="E672" i="7"/>
  <c r="E688" i="7"/>
  <c r="E704" i="7"/>
  <c r="E720" i="7"/>
  <c r="E736" i="7"/>
  <c r="E752" i="7"/>
  <c r="E768" i="7"/>
  <c r="E784" i="7"/>
  <c r="E800" i="7"/>
  <c r="E816" i="7"/>
  <c r="E832" i="7"/>
  <c r="E848" i="7"/>
  <c r="E13" i="7"/>
  <c r="E141" i="7"/>
  <c r="E269" i="7"/>
  <c r="E397" i="7"/>
  <c r="E475" i="7"/>
  <c r="E517" i="7"/>
  <c r="E549" i="7"/>
  <c r="E581" i="7"/>
  <c r="E613" i="7"/>
  <c r="E645" i="7"/>
  <c r="E677" i="7"/>
  <c r="E709" i="7"/>
  <c r="E739" i="7"/>
  <c r="E761" i="7"/>
  <c r="E782" i="7"/>
  <c r="E803" i="7"/>
  <c r="E825" i="7"/>
  <c r="E846" i="7"/>
  <c r="E866" i="7"/>
  <c r="E882" i="7"/>
  <c r="E898" i="7"/>
  <c r="E914" i="7"/>
  <c r="E930" i="7"/>
  <c r="E946" i="7"/>
  <c r="E962" i="7"/>
  <c r="E978" i="7"/>
  <c r="E994" i="7"/>
  <c r="E827" i="7"/>
  <c r="E876" i="7"/>
  <c r="E916" i="7"/>
  <c r="E960" i="7"/>
  <c r="E1000" i="7"/>
  <c r="E353" i="7"/>
  <c r="E522" i="7"/>
  <c r="E610" i="7"/>
  <c r="E698" i="7"/>
  <c r="E765" i="7"/>
  <c r="E818" i="7"/>
  <c r="E873" i="7"/>
  <c r="E913" i="7"/>
  <c r="E953" i="7"/>
  <c r="E49" i="7"/>
  <c r="E177" i="7"/>
  <c r="E305" i="7"/>
  <c r="E429" i="7"/>
  <c r="E489" i="7"/>
  <c r="E526" i="7"/>
  <c r="E558" i="7"/>
  <c r="E590" i="7"/>
  <c r="E622" i="7"/>
  <c r="E654" i="7"/>
  <c r="E686" i="7"/>
  <c r="E718" i="7"/>
  <c r="E746" i="7"/>
  <c r="E767" i="7"/>
  <c r="E789" i="7"/>
  <c r="E810" i="7"/>
  <c r="E831" i="7"/>
  <c r="E853" i="7"/>
  <c r="E871" i="7"/>
  <c r="E887" i="7"/>
  <c r="E903" i="7"/>
  <c r="E919" i="7"/>
  <c r="E935" i="7"/>
  <c r="E951" i="7"/>
  <c r="E967" i="7"/>
  <c r="E983" i="7"/>
  <c r="E999" i="7"/>
  <c r="E125" i="7"/>
  <c r="E253" i="7"/>
  <c r="E381" i="7"/>
  <c r="E467" i="7"/>
  <c r="E513" i="7"/>
  <c r="E545" i="7"/>
  <c r="E577" i="7"/>
  <c r="E609" i="7"/>
  <c r="E641" i="7"/>
  <c r="E673" i="7"/>
  <c r="E705" i="7"/>
  <c r="E737" i="7"/>
  <c r="E758" i="7"/>
  <c r="E779" i="7"/>
  <c r="E806" i="7"/>
  <c r="E843" i="7"/>
  <c r="E872" i="7"/>
  <c r="E900" i="7"/>
  <c r="E924" i="7"/>
  <c r="E952" i="7"/>
  <c r="E976" i="7"/>
  <c r="E33" i="7"/>
  <c r="E225" i="7"/>
  <c r="E437" i="7"/>
  <c r="E514" i="7"/>
  <c r="E570" i="7"/>
  <c r="E618" i="7"/>
  <c r="E666" i="7"/>
  <c r="E722" i="7"/>
  <c r="E759" i="7"/>
  <c r="E797" i="7"/>
  <c r="E829" i="7"/>
  <c r="E865" i="7"/>
  <c r="E889" i="7"/>
  <c r="E917" i="7"/>
  <c r="E941" i="7"/>
  <c r="E969" i="7"/>
  <c r="E989" i="7"/>
  <c r="D6" i="7"/>
  <c r="D22" i="7"/>
  <c r="D38" i="7"/>
  <c r="D54" i="7"/>
  <c r="D70" i="7"/>
  <c r="D86" i="7"/>
  <c r="D102" i="7"/>
  <c r="D118" i="7"/>
  <c r="D134" i="7"/>
  <c r="D150" i="7"/>
  <c r="D166" i="7"/>
  <c r="D182" i="7"/>
  <c r="D198" i="7"/>
  <c r="D214" i="7"/>
  <c r="D230" i="7"/>
  <c r="D246" i="7"/>
  <c r="D262" i="7"/>
  <c r="D278" i="7"/>
  <c r="D294" i="7"/>
  <c r="D310" i="7"/>
  <c r="D326" i="7"/>
  <c r="D342" i="7"/>
  <c r="D358" i="7"/>
  <c r="D374" i="7"/>
  <c r="D390" i="7"/>
  <c r="D406" i="7"/>
  <c r="D422" i="7"/>
  <c r="D438" i="7"/>
  <c r="D454" i="7"/>
  <c r="D11" i="7"/>
  <c r="D27" i="7"/>
  <c r="D43" i="7"/>
  <c r="D59" i="7"/>
  <c r="D75" i="7"/>
  <c r="D91" i="7"/>
  <c r="D107" i="7"/>
  <c r="D123" i="7"/>
  <c r="D139" i="7"/>
  <c r="D155" i="7"/>
  <c r="D171" i="7"/>
  <c r="D187" i="7"/>
  <c r="D203" i="7"/>
  <c r="D219" i="7"/>
  <c r="D235" i="7"/>
  <c r="D251" i="7"/>
  <c r="D267" i="7"/>
  <c r="D283" i="7"/>
  <c r="D299" i="7"/>
  <c r="D315" i="7"/>
  <c r="D331" i="7"/>
  <c r="D347" i="7"/>
  <c r="D363" i="7"/>
  <c r="D379" i="7"/>
  <c r="D395" i="7"/>
  <c r="D411" i="7"/>
  <c r="D427" i="7"/>
  <c r="D443" i="7"/>
  <c r="D459" i="7"/>
  <c r="D475" i="7"/>
  <c r="D491" i="7"/>
  <c r="D507" i="7"/>
  <c r="D28" i="7"/>
  <c r="D60" i="7"/>
  <c r="D92" i="7"/>
  <c r="D124" i="7"/>
  <c r="D156" i="7"/>
  <c r="D188" i="7"/>
  <c r="D220" i="7"/>
  <c r="D252" i="7"/>
  <c r="D284" i="7"/>
  <c r="D316" i="7"/>
  <c r="D348" i="7"/>
  <c r="D380" i="7"/>
  <c r="D412" i="7"/>
  <c r="D444" i="7"/>
  <c r="D470" i="7"/>
  <c r="D492" i="7"/>
  <c r="D512" i="7"/>
  <c r="D528" i="7"/>
  <c r="D544" i="7"/>
  <c r="D560" i="7"/>
  <c r="D576" i="7"/>
  <c r="D592" i="7"/>
  <c r="D608" i="7"/>
  <c r="D624" i="7"/>
  <c r="D640" i="7"/>
  <c r="D656" i="7"/>
  <c r="D672" i="7"/>
  <c r="D688" i="7"/>
  <c r="D704" i="7"/>
  <c r="D720" i="7"/>
  <c r="D736" i="7"/>
  <c r="D5" i="7"/>
  <c r="D48" i="7"/>
  <c r="D89" i="7"/>
  <c r="D133" i="7"/>
  <c r="D176" i="7"/>
  <c r="D217" i="7"/>
  <c r="D261" i="7"/>
  <c r="D304" i="7"/>
  <c r="D345" i="7"/>
  <c r="D389" i="7"/>
  <c r="D432" i="7"/>
  <c r="D469" i="7"/>
  <c r="D498" i="7"/>
  <c r="D522" i="7"/>
  <c r="D543" i="7"/>
  <c r="D565" i="7"/>
  <c r="D586" i="7"/>
  <c r="D607" i="7"/>
  <c r="D629" i="7"/>
  <c r="D650" i="7"/>
  <c r="D671" i="7"/>
  <c r="D693" i="7"/>
  <c r="D714" i="7"/>
  <c r="D735" i="7"/>
  <c r="D755" i="7"/>
  <c r="D771" i="7"/>
  <c r="D787" i="7"/>
  <c r="D803" i="7"/>
  <c r="D819" i="7"/>
  <c r="D835" i="7"/>
  <c r="D851" i="7"/>
  <c r="D867" i="7"/>
  <c r="D883" i="7"/>
  <c r="D899" i="7"/>
  <c r="D915" i="7"/>
  <c r="D931" i="7"/>
  <c r="D947" i="7"/>
  <c r="D963" i="7"/>
  <c r="D979" i="7"/>
  <c r="D995" i="7"/>
  <c r="D29" i="7"/>
  <c r="D72" i="7"/>
  <c r="D113" i="7"/>
  <c r="D157" i="7"/>
  <c r="D200" i="7"/>
  <c r="D241" i="7"/>
  <c r="D285" i="7"/>
  <c r="D328" i="7"/>
  <c r="D369" i="7"/>
  <c r="D413" i="7"/>
  <c r="D456" i="7"/>
  <c r="D485" i="7"/>
  <c r="D513" i="7"/>
  <c r="D534" i="7"/>
  <c r="D555" i="7"/>
  <c r="D577" i="7"/>
  <c r="D598" i="7"/>
  <c r="D619" i="7"/>
  <c r="D641" i="7"/>
  <c r="D662" i="7"/>
  <c r="D683" i="7"/>
  <c r="D705" i="7"/>
  <c r="D726" i="7"/>
  <c r="D747" i="7"/>
  <c r="D32" i="7"/>
  <c r="D117" i="7"/>
  <c r="D201" i="7"/>
  <c r="D288" i="7"/>
  <c r="D373" i="7"/>
  <c r="D457" i="7"/>
  <c r="D514" i="7"/>
  <c r="D557" i="7"/>
  <c r="D599" i="7"/>
  <c r="D642" i="7"/>
  <c r="D685" i="7"/>
  <c r="D727" i="7"/>
  <c r="D762" i="7"/>
  <c r="D784" i="7"/>
  <c r="D805" i="7"/>
  <c r="D826" i="7"/>
  <c r="D848" i="7"/>
  <c r="D869" i="7"/>
  <c r="D890" i="7"/>
  <c r="D912" i="7"/>
  <c r="D933" i="7"/>
  <c r="D954" i="7"/>
  <c r="D976" i="7"/>
  <c r="D997" i="7"/>
  <c r="D77" i="7"/>
  <c r="D161" i="7"/>
  <c r="D248" i="7"/>
  <c r="D333" i="7"/>
  <c r="D417" i="7"/>
  <c r="D489" i="7"/>
  <c r="D537" i="7"/>
  <c r="D579" i="7"/>
  <c r="D622" i="7"/>
  <c r="D665" i="7"/>
  <c r="D718" i="7"/>
  <c r="D758" i="7"/>
  <c r="D780" i="7"/>
  <c r="D806" i="7"/>
  <c r="D844" i="7"/>
  <c r="D876" i="7"/>
  <c r="D913" i="7"/>
  <c r="D945" i="7"/>
  <c r="D972" i="7"/>
  <c r="D41" i="7"/>
  <c r="D169" i="7"/>
  <c r="D320" i="7"/>
  <c r="D448" i="7"/>
  <c r="D541" i="7"/>
  <c r="D605" i="7"/>
  <c r="D669" i="7"/>
  <c r="D743" i="7"/>
  <c r="D786" i="7"/>
  <c r="D818" i="7"/>
  <c r="D856" i="7"/>
  <c r="D893" i="7"/>
  <c r="D925" i="7"/>
  <c r="D957" i="7"/>
  <c r="D994" i="7"/>
  <c r="D109" i="7"/>
  <c r="D237" i="7"/>
  <c r="D385" i="7"/>
  <c r="D510" i="7"/>
  <c r="D574" i="7"/>
  <c r="D638" i="7"/>
  <c r="D713" i="7"/>
  <c r="D772" i="7"/>
  <c r="D804" i="7"/>
  <c r="D836" i="7"/>
  <c r="D873" i="7"/>
  <c r="D905" i="7"/>
  <c r="D937" i="7"/>
  <c r="D974" i="7"/>
  <c r="D686" i="7"/>
  <c r="D838" i="7"/>
  <c r="D892" i="7"/>
  <c r="D950" i="7"/>
  <c r="D85" i="7"/>
  <c r="D297" i="7"/>
  <c r="D509" i="7"/>
  <c r="D626" i="7"/>
  <c r="D733" i="7"/>
  <c r="D797" i="7"/>
  <c r="D845" i="7"/>
  <c r="D904" i="7"/>
  <c r="D962" i="7"/>
  <c r="D88" i="7"/>
  <c r="D301" i="7"/>
  <c r="D496" i="7"/>
  <c r="D617" i="7"/>
  <c r="D723" i="7"/>
  <c r="D793" i="7"/>
  <c r="D852" i="7"/>
  <c r="D910" i="7"/>
  <c r="D969" i="7"/>
  <c r="C10" i="7"/>
  <c r="C26" i="7"/>
  <c r="C42" i="7"/>
  <c r="C58" i="7"/>
  <c r="C74" i="7"/>
  <c r="C90" i="7"/>
  <c r="C106" i="7"/>
  <c r="C122" i="7"/>
  <c r="C138" i="7"/>
  <c r="C154" i="7"/>
  <c r="C170" i="7"/>
  <c r="C186" i="7"/>
  <c r="C202" i="7"/>
  <c r="C218" i="7"/>
  <c r="C234" i="7"/>
  <c r="C250" i="7"/>
  <c r="C266" i="7"/>
  <c r="C282" i="7"/>
  <c r="C298" i="7"/>
  <c r="C314" i="7"/>
  <c r="C330" i="7"/>
  <c r="C346" i="7"/>
  <c r="C362" i="7"/>
  <c r="C378" i="7"/>
  <c r="C394" i="7"/>
  <c r="C410" i="7"/>
  <c r="C426" i="7"/>
  <c r="C442" i="7"/>
  <c r="C458" i="7"/>
  <c r="C474" i="7"/>
  <c r="C490" i="7"/>
  <c r="C506" i="7"/>
  <c r="C15" i="7"/>
  <c r="C31" i="7"/>
  <c r="C47" i="7"/>
  <c r="C63" i="7"/>
  <c r="C79" i="7"/>
  <c r="C95" i="7"/>
  <c r="C111" i="7"/>
  <c r="C127" i="7"/>
  <c r="C143" i="7"/>
  <c r="C159" i="7"/>
  <c r="C175" i="7"/>
  <c r="C191" i="7"/>
  <c r="C207" i="7"/>
  <c r="C223" i="7"/>
  <c r="C239" i="7"/>
  <c r="C255" i="7"/>
  <c r="C271" i="7"/>
  <c r="C287" i="7"/>
  <c r="C303" i="7"/>
  <c r="C319" i="7"/>
  <c r="C335" i="7"/>
  <c r="C351" i="7"/>
  <c r="C367" i="7"/>
  <c r="C383" i="7"/>
  <c r="C399" i="7"/>
  <c r="C415" i="7"/>
  <c r="C431" i="7"/>
  <c r="C16" i="7"/>
  <c r="C32" i="7"/>
  <c r="C48" i="7"/>
  <c r="C64" i="7"/>
  <c r="C80" i="7"/>
  <c r="C96" i="7"/>
  <c r="C112" i="7"/>
  <c r="C128" i="7"/>
  <c r="C144" i="7"/>
  <c r="C160" i="7"/>
  <c r="C176" i="7"/>
  <c r="C192" i="7"/>
  <c r="C208" i="7"/>
  <c r="C224" i="7"/>
  <c r="C240" i="7"/>
  <c r="C256" i="7"/>
  <c r="C272" i="7"/>
  <c r="C288" i="7"/>
  <c r="C304" i="7"/>
  <c r="C320" i="7"/>
  <c r="C336" i="7"/>
  <c r="C352" i="7"/>
  <c r="C368" i="7"/>
  <c r="C384" i="7"/>
  <c r="C400" i="7"/>
  <c r="C416" i="7"/>
  <c r="C432" i="7"/>
  <c r="C448" i="7"/>
  <c r="C464" i="7"/>
  <c r="C480" i="7"/>
  <c r="C496" i="7"/>
  <c r="C53" i="7"/>
  <c r="C117" i="7"/>
  <c r="C181" i="7"/>
  <c r="C245" i="7"/>
  <c r="C309" i="7"/>
  <c r="C373" i="7"/>
  <c r="C435" i="7"/>
  <c r="C467" i="7"/>
  <c r="C499" i="7"/>
  <c r="C517" i="7"/>
  <c r="C533" i="7"/>
  <c r="C549" i="7"/>
  <c r="C565" i="7"/>
  <c r="C581" i="7"/>
  <c r="C597" i="7"/>
  <c r="C613" i="7"/>
  <c r="C629" i="7"/>
  <c r="C645" i="7"/>
  <c r="C661" i="7"/>
  <c r="C677" i="7"/>
  <c r="C693" i="7"/>
  <c r="C709" i="7"/>
  <c r="C725" i="7"/>
  <c r="C741" i="7"/>
  <c r="C757" i="7"/>
  <c r="C773" i="7"/>
  <c r="C789" i="7"/>
  <c r="C805" i="7"/>
  <c r="C821" i="7"/>
  <c r="C837" i="7"/>
  <c r="C853" i="7"/>
  <c r="C869" i="7"/>
  <c r="C885" i="7"/>
  <c r="C901" i="7"/>
  <c r="C917" i="7"/>
  <c r="C933" i="7"/>
  <c r="C949" i="7"/>
  <c r="C965" i="7"/>
  <c r="C981" i="7"/>
  <c r="C997" i="7"/>
  <c r="C770" i="7"/>
  <c r="C802" i="7"/>
  <c r="C838" i="7"/>
  <c r="C870" i="7"/>
  <c r="C902" i="7"/>
  <c r="C938" i="7"/>
  <c r="C970" i="7"/>
  <c r="C25" i="7"/>
  <c r="C89" i="7"/>
  <c r="C153" i="7"/>
  <c r="C217" i="7"/>
  <c r="C281" i="7"/>
  <c r="C345" i="7"/>
  <c r="C409" i="7"/>
  <c r="C453" i="7"/>
  <c r="C485" i="7"/>
  <c r="C510" i="7"/>
  <c r="C526" i="7"/>
  <c r="C542" i="7"/>
  <c r="C558" i="7"/>
  <c r="C574" i="7"/>
  <c r="C590" i="7"/>
  <c r="C606" i="7"/>
  <c r="C622" i="7"/>
  <c r="C638" i="7"/>
  <c r="C654" i="7"/>
  <c r="C670" i="7"/>
  <c r="C686" i="7"/>
  <c r="C702" i="7"/>
  <c r="C718" i="7"/>
  <c r="C734" i="7"/>
  <c r="C758" i="7"/>
  <c r="C790" i="7"/>
  <c r="C818" i="7"/>
  <c r="C850" i="7"/>
  <c r="C882" i="7"/>
  <c r="C914" i="7"/>
  <c r="C942" i="7"/>
  <c r="C974" i="7"/>
  <c r="C77" i="7"/>
  <c r="C205" i="7"/>
  <c r="C333" i="7"/>
  <c r="C447" i="7"/>
  <c r="C507" i="7"/>
  <c r="C539" i="7"/>
  <c r="C571" i="7"/>
  <c r="C603" i="7"/>
  <c r="C635" i="7"/>
  <c r="C667" i="7"/>
  <c r="C699" i="7"/>
  <c r="C731" i="7"/>
  <c r="C763" i="7"/>
  <c r="C795" i="7"/>
  <c r="C827" i="7"/>
  <c r="C859" i="7"/>
  <c r="C891" i="7"/>
  <c r="C923" i="7"/>
  <c r="C955" i="7"/>
  <c r="C987" i="7"/>
  <c r="C93" i="7"/>
  <c r="C349" i="7"/>
  <c r="C511" i="7"/>
  <c r="C575" i="7"/>
  <c r="C639" i="7"/>
  <c r="C703" i="7"/>
  <c r="C767" i="7"/>
  <c r="C831" i="7"/>
  <c r="C895" i="7"/>
  <c r="C959" i="7"/>
  <c r="C65" i="7"/>
  <c r="C289" i="7"/>
  <c r="C489" i="7"/>
  <c r="C560" i="7"/>
  <c r="C624" i="7"/>
  <c r="C688" i="7"/>
  <c r="C752" i="7"/>
  <c r="C816" i="7"/>
  <c r="C888" i="7"/>
  <c r="C952" i="7"/>
  <c r="C17" i="7"/>
  <c r="C145" i="7"/>
  <c r="C273" i="7"/>
  <c r="C401" i="7"/>
  <c r="C481" i="7"/>
  <c r="C524" i="7"/>
  <c r="C556" i="7"/>
  <c r="C588" i="7"/>
  <c r="C620" i="7"/>
  <c r="C652" i="7"/>
  <c r="C684" i="7"/>
  <c r="C716" i="7"/>
  <c r="C748" i="7"/>
  <c r="C780" i="7"/>
  <c r="C812" i="7"/>
  <c r="C844" i="7"/>
  <c r="C876" i="7"/>
  <c r="C908" i="7"/>
  <c r="C940" i="7"/>
  <c r="C972" i="7"/>
  <c r="C999" i="7"/>
  <c r="C253" i="7"/>
  <c r="C471" i="7"/>
  <c r="C551" i="7"/>
  <c r="C615" i="7"/>
  <c r="C679" i="7"/>
  <c r="C743" i="7"/>
  <c r="C807" i="7"/>
  <c r="C871" i="7"/>
  <c r="C935" i="7"/>
  <c r="C995" i="7"/>
  <c r="C257" i="7"/>
  <c r="C473" i="7"/>
  <c r="C544" i="7"/>
  <c r="C616" i="7"/>
  <c r="C680" i="7"/>
  <c r="C744" i="7"/>
  <c r="C808" i="7"/>
  <c r="C872" i="7"/>
  <c r="C928" i="7"/>
  <c r="C991" i="7"/>
  <c r="B14" i="7"/>
  <c r="B30" i="7"/>
  <c r="B46" i="7"/>
  <c r="B62" i="7"/>
  <c r="B78" i="7"/>
  <c r="B94" i="7"/>
  <c r="B110" i="7"/>
  <c r="B126" i="7"/>
  <c r="B142" i="7"/>
  <c r="B158" i="7"/>
  <c r="B174" i="7"/>
  <c r="B190" i="7"/>
  <c r="B206" i="7"/>
  <c r="B222" i="7"/>
  <c r="B238" i="7"/>
  <c r="B254" i="7"/>
  <c r="B270" i="7"/>
  <c r="B286" i="7"/>
  <c r="B302" i="7"/>
  <c r="B3" i="7"/>
  <c r="B19" i="7"/>
  <c r="B35" i="7"/>
  <c r="B51" i="7"/>
  <c r="B67" i="7"/>
  <c r="B83" i="7"/>
  <c r="B99" i="7"/>
  <c r="B115" i="7"/>
  <c r="B131" i="7"/>
  <c r="B147" i="7"/>
  <c r="B163" i="7"/>
  <c r="B179" i="7"/>
  <c r="B195" i="7"/>
  <c r="B211" i="7"/>
  <c r="B227" i="7"/>
  <c r="B243" i="7"/>
  <c r="B259" i="7"/>
  <c r="B275" i="7"/>
  <c r="B291" i="7"/>
  <c r="B307" i="7"/>
  <c r="B323" i="7"/>
  <c r="B339" i="7"/>
  <c r="B355" i="7"/>
  <c r="B371" i="7"/>
  <c r="B387" i="7"/>
  <c r="B403" i="7"/>
  <c r="B419" i="7"/>
  <c r="B435" i="7"/>
  <c r="B451" i="7"/>
  <c r="B467" i="7"/>
  <c r="B483" i="7"/>
  <c r="B499" i="7"/>
  <c r="B8" i="7"/>
  <c r="B24" i="7"/>
  <c r="B40" i="7"/>
  <c r="B56" i="7"/>
  <c r="B72" i="7"/>
  <c r="B88" i="7"/>
  <c r="B104" i="7"/>
  <c r="B120" i="7"/>
  <c r="B136" i="7"/>
  <c r="B152" i="7"/>
  <c r="B168" i="7"/>
  <c r="B184" i="7"/>
  <c r="B200" i="7"/>
  <c r="B216" i="7"/>
  <c r="B232" i="7"/>
  <c r="B248" i="7"/>
  <c r="B264" i="7"/>
  <c r="B280" i="7"/>
  <c r="B296" i="7"/>
  <c r="B312" i="7"/>
  <c r="B328" i="7"/>
  <c r="B344" i="7"/>
  <c r="B360" i="7"/>
  <c r="B376" i="7"/>
  <c r="B392" i="7"/>
  <c r="B408" i="7"/>
  <c r="B424" i="7"/>
  <c r="B440" i="7"/>
  <c r="B456" i="7"/>
  <c r="B472" i="7"/>
  <c r="B488" i="7"/>
  <c r="B504" i="7"/>
  <c r="B37" i="7"/>
  <c r="B101" i="7"/>
  <c r="B165" i="7"/>
  <c r="B229" i="7"/>
  <c r="B293" i="7"/>
  <c r="B337" i="7"/>
  <c r="B369" i="7"/>
  <c r="B401" i="7"/>
  <c r="B433" i="7"/>
  <c r="B465" i="7"/>
  <c r="B497" i="7"/>
  <c r="B519" i="7"/>
  <c r="B535" i="7"/>
  <c r="B551" i="7"/>
  <c r="B567" i="7"/>
  <c r="B583" i="7"/>
  <c r="B599" i="7"/>
  <c r="B615" i="7"/>
  <c r="B631" i="7"/>
  <c r="B647" i="7"/>
  <c r="B663" i="7"/>
  <c r="B679" i="7"/>
  <c r="B695" i="7"/>
  <c r="B711" i="7"/>
  <c r="B727" i="7"/>
  <c r="B743" i="7"/>
  <c r="B759" i="7"/>
  <c r="B775" i="7"/>
  <c r="B791" i="7"/>
  <c r="B807" i="7"/>
  <c r="B823" i="7"/>
  <c r="B839" i="7"/>
  <c r="B57" i="7"/>
  <c r="B121" i="7"/>
  <c r="B185" i="7"/>
  <c r="B249" i="7"/>
  <c r="B313" i="7"/>
  <c r="B346" i="7"/>
  <c r="B378" i="7"/>
  <c r="B410" i="7"/>
  <c r="B442" i="7"/>
  <c r="B474" i="7"/>
  <c r="B506" i="7"/>
  <c r="B524" i="7"/>
  <c r="B540" i="7"/>
  <c r="B556" i="7"/>
  <c r="B572" i="7"/>
  <c r="B588" i="7"/>
  <c r="B604" i="7"/>
  <c r="B620" i="7"/>
  <c r="B636" i="7"/>
  <c r="B652" i="7"/>
  <c r="B668" i="7"/>
  <c r="B684" i="7"/>
  <c r="B700" i="7"/>
  <c r="B716" i="7"/>
  <c r="B732" i="7"/>
  <c r="B748" i="7"/>
  <c r="B764" i="7"/>
  <c r="B780" i="7"/>
  <c r="B796" i="7"/>
  <c r="B812" i="7"/>
  <c r="B828" i="7"/>
  <c r="B844" i="7"/>
  <c r="B860" i="7"/>
  <c r="B876" i="7"/>
  <c r="B892" i="7"/>
  <c r="B908" i="7"/>
  <c r="B924" i="7"/>
  <c r="B940" i="7"/>
  <c r="B956" i="7"/>
  <c r="B972" i="7"/>
  <c r="B988" i="7"/>
  <c r="B13" i="7"/>
  <c r="B77" i="7"/>
  <c r="B141" i="7"/>
  <c r="B17" i="7"/>
  <c r="B237" i="7"/>
  <c r="B341" i="7"/>
  <c r="B405" i="7"/>
  <c r="B469" i="7"/>
  <c r="B521" i="7"/>
  <c r="B553" i="7"/>
  <c r="B585" i="7"/>
  <c r="B617" i="7"/>
  <c r="B649" i="7"/>
  <c r="B681" i="7"/>
  <c r="B713" i="7"/>
  <c r="B745" i="7"/>
  <c r="B777" i="7"/>
  <c r="B809" i="7"/>
  <c r="B841" i="7"/>
  <c r="B862" i="7"/>
  <c r="B883" i="7"/>
  <c r="B905" i="7"/>
  <c r="B926" i="7"/>
  <c r="B947" i="7"/>
  <c r="B969" i="7"/>
  <c r="B990" i="7"/>
  <c r="B49" i="7"/>
  <c r="B349" i="7"/>
  <c r="B477" i="7"/>
  <c r="B557" i="7"/>
  <c r="B637" i="7"/>
  <c r="B701" i="7"/>
  <c r="B757" i="7"/>
  <c r="B821" i="7"/>
  <c r="B875" i="7"/>
  <c r="B918" i="7"/>
  <c r="B961" i="7"/>
  <c r="B65" i="7"/>
  <c r="B350" i="7"/>
  <c r="B494" i="7"/>
  <c r="B574" i="7"/>
  <c r="B638" i="7"/>
  <c r="B710" i="7"/>
  <c r="B798" i="7"/>
  <c r="B866" i="7"/>
  <c r="B919" i="7"/>
  <c r="B983" i="7"/>
  <c r="B161" i="7"/>
  <c r="B305" i="7"/>
  <c r="B374" i="7"/>
  <c r="B438" i="7"/>
  <c r="B502" i="7"/>
  <c r="B538" i="7"/>
  <c r="B570" i="7"/>
  <c r="B602" i="7"/>
  <c r="B634" i="7"/>
  <c r="B666" i="7"/>
  <c r="B698" i="7"/>
  <c r="B730" i="7"/>
  <c r="B762" i="7"/>
  <c r="B794" i="7"/>
  <c r="B826" i="7"/>
  <c r="B853" i="7"/>
  <c r="B874" i="7"/>
  <c r="B895" i="7"/>
  <c r="B917" i="7"/>
  <c r="B938" i="7"/>
  <c r="B959" i="7"/>
  <c r="B986" i="7"/>
  <c r="B253" i="7"/>
  <c r="B429" i="7"/>
  <c r="B533" i="7"/>
  <c r="B589" i="7"/>
  <c r="B653" i="7"/>
  <c r="B717" i="7"/>
  <c r="B773" i="7"/>
  <c r="B843" i="7"/>
  <c r="B886" i="7"/>
  <c r="B923" i="7"/>
  <c r="B966" i="7"/>
  <c r="B129" i="7"/>
  <c r="B366" i="7"/>
  <c r="B478" i="7"/>
  <c r="B566" i="7"/>
  <c r="B630" i="7"/>
  <c r="B702" i="7"/>
  <c r="B782" i="7"/>
  <c r="B861" i="7"/>
  <c r="B914" i="7"/>
  <c r="B967" i="7"/>
  <c r="B662" i="7"/>
  <c r="B830" i="7"/>
  <c r="B930" i="7"/>
  <c r="A2" i="7"/>
  <c r="A18" i="7"/>
  <c r="A34" i="7"/>
  <c r="A50" i="7"/>
  <c r="A66" i="7"/>
  <c r="A82" i="7"/>
  <c r="A98" i="7"/>
  <c r="A114" i="7"/>
  <c r="A130" i="7"/>
  <c r="A146" i="7"/>
  <c r="A162" i="7"/>
  <c r="A178" i="7"/>
  <c r="A194" i="7"/>
  <c r="A210" i="7"/>
  <c r="A226" i="7"/>
  <c r="A242" i="7"/>
  <c r="A258" i="7"/>
  <c r="A274" i="7"/>
  <c r="A290" i="7"/>
  <c r="A306" i="7"/>
  <c r="A322" i="7"/>
  <c r="A338" i="7"/>
  <c r="A354" i="7"/>
  <c r="A370" i="7"/>
  <c r="A386" i="7"/>
  <c r="A402" i="7"/>
  <c r="A418" i="7"/>
  <c r="A434" i="7"/>
  <c r="A450" i="7"/>
  <c r="A466" i="7"/>
  <c r="A482" i="7"/>
  <c r="A498" i="7"/>
  <c r="A7" i="7"/>
  <c r="A23" i="7"/>
  <c r="A39" i="7"/>
  <c r="A55" i="7"/>
  <c r="A71" i="7"/>
  <c r="A87" i="7"/>
  <c r="A103" i="7"/>
  <c r="A119" i="7"/>
  <c r="A135" i="7"/>
  <c r="A151" i="7"/>
  <c r="A167" i="7"/>
  <c r="A183" i="7"/>
  <c r="A199" i="7"/>
  <c r="A215" i="7"/>
  <c r="A231" i="7"/>
  <c r="A247" i="7"/>
  <c r="A263" i="7"/>
  <c r="A279" i="7"/>
  <c r="A295" i="7"/>
  <c r="A311" i="7"/>
  <c r="A327" i="7"/>
  <c r="A343" i="7"/>
  <c r="A359" i="7"/>
  <c r="A375" i="7"/>
  <c r="A391" i="7"/>
  <c r="A407" i="7"/>
  <c r="A423" i="7"/>
  <c r="A439" i="7"/>
  <c r="A455" i="7"/>
  <c r="A471" i="7"/>
  <c r="A487" i="7"/>
  <c r="A8" i="7"/>
  <c r="A24" i="7"/>
  <c r="A40" i="7"/>
  <c r="A56" i="7"/>
  <c r="A72" i="7"/>
  <c r="A88" i="7"/>
  <c r="A104" i="7"/>
  <c r="A120" i="7"/>
  <c r="A136" i="7"/>
  <c r="A152" i="7"/>
  <c r="A168" i="7"/>
  <c r="A184" i="7"/>
  <c r="A200" i="7"/>
  <c r="A216" i="7"/>
  <c r="A232" i="7"/>
  <c r="A248" i="7"/>
  <c r="A264" i="7"/>
  <c r="A280" i="7"/>
  <c r="A296" i="7"/>
  <c r="A312" i="7"/>
  <c r="A328" i="7"/>
  <c r="A344" i="7"/>
  <c r="A360" i="7"/>
  <c r="A376" i="7"/>
  <c r="A392" i="7"/>
  <c r="A408" i="7"/>
  <c r="A424" i="7"/>
  <c r="A440" i="7"/>
  <c r="A456" i="7"/>
  <c r="A472" i="7"/>
  <c r="A488" i="7"/>
  <c r="A504" i="7"/>
  <c r="A37" i="7"/>
  <c r="A101" i="7"/>
  <c r="A165" i="7"/>
  <c r="A229" i="7"/>
  <c r="A293" i="7"/>
  <c r="A357" i="7"/>
  <c r="A421" i="7"/>
  <c r="A485" i="7"/>
  <c r="A516" i="7"/>
  <c r="A532" i="7"/>
  <c r="A548" i="7"/>
  <c r="A564" i="7"/>
  <c r="A580" i="7"/>
  <c r="A596" i="7"/>
  <c r="A612" i="7"/>
  <c r="A628" i="7"/>
  <c r="A660" i="7"/>
  <c r="A676" i="7"/>
  <c r="A692" i="7"/>
  <c r="A708" i="7"/>
  <c r="A724" i="7"/>
  <c r="A740" i="7"/>
  <c r="A57" i="7"/>
  <c r="A121" i="7"/>
  <c r="A185" i="7"/>
  <c r="A249" i="7"/>
  <c r="A313" i="7"/>
  <c r="A377" i="7"/>
  <c r="A441" i="7"/>
  <c r="A521" i="7"/>
  <c r="A537" i="7"/>
  <c r="A569" i="7"/>
  <c r="A601" i="7"/>
  <c r="A633" i="7"/>
  <c r="A649" i="7"/>
  <c r="A681" i="7"/>
  <c r="A697" i="7"/>
  <c r="A729" i="7"/>
  <c r="A761" i="7"/>
  <c r="A793" i="7"/>
  <c r="A825" i="7"/>
  <c r="A857" i="7"/>
  <c r="A13" i="7"/>
  <c r="A141" i="7"/>
  <c r="A397" i="7"/>
  <c r="A542" i="7"/>
  <c r="A606" i="7"/>
  <c r="A638" i="7"/>
  <c r="A702" i="7"/>
  <c r="A758" i="7"/>
  <c r="A800" i="7"/>
  <c r="A843" i="7"/>
  <c r="A886" i="7"/>
  <c r="A918" i="7"/>
  <c r="A950" i="7"/>
  <c r="A982" i="7"/>
  <c r="A840" i="7"/>
  <c r="A936" i="7"/>
  <c r="A161" i="7"/>
  <c r="A481" i="7"/>
  <c r="A667" i="7"/>
  <c r="A804" i="7"/>
  <c r="A909" i="7"/>
  <c r="A993" i="7"/>
  <c r="A241" i="7"/>
  <c r="A497" i="7"/>
  <c r="A535" i="7"/>
  <c r="A599" i="7"/>
  <c r="A663" i="7"/>
  <c r="A727" i="7"/>
  <c r="A775" i="7"/>
  <c r="A818" i="7"/>
  <c r="A860" i="7"/>
  <c r="A899" i="7"/>
  <c r="A931" i="7"/>
  <c r="A947" i="7"/>
  <c r="A979" i="7"/>
  <c r="A93" i="7"/>
  <c r="A349" i="7"/>
  <c r="A530" i="7"/>
  <c r="A594" i="7"/>
  <c r="A658" i="7"/>
  <c r="A690" i="7"/>
  <c r="A750" i="7"/>
  <c r="A792" i="7"/>
  <c r="A862" i="7"/>
  <c r="A920" i="7"/>
  <c r="A972" i="7"/>
  <c r="A193" i="7"/>
  <c r="A385" i="7"/>
  <c r="A579" i="7"/>
  <c r="A683" i="7"/>
  <c r="A810" i="7"/>
  <c r="A842" i="7"/>
  <c r="A905" i="7"/>
  <c r="A957" i="7"/>
  <c r="W743" i="7"/>
  <c r="U761" i="7"/>
  <c r="T577" i="7"/>
  <c r="T663" i="7"/>
  <c r="S270" i="7"/>
  <c r="S284" i="7"/>
  <c r="S859" i="7"/>
  <c r="S716" i="7"/>
  <c r="R370" i="7"/>
  <c r="R668" i="7"/>
  <c r="R590" i="7"/>
  <c r="R329" i="7"/>
  <c r="R562" i="7"/>
  <c r="Q18" i="7"/>
  <c r="Q27" i="7"/>
  <c r="Q32" i="7"/>
  <c r="Q181" i="7"/>
  <c r="Q201" i="7"/>
  <c r="Q109" i="7"/>
  <c r="Q901" i="7"/>
  <c r="Q951" i="7"/>
  <c r="Q401" i="7"/>
  <c r="Q938" i="7"/>
  <c r="Q129" i="7"/>
  <c r="P78" i="7"/>
  <c r="P334" i="7"/>
  <c r="P83" i="7"/>
  <c r="P339" i="7"/>
  <c r="P104" i="7"/>
  <c r="P360" i="7"/>
  <c r="P421" i="7"/>
  <c r="P739" i="7"/>
  <c r="P995" i="7"/>
  <c r="P548" i="7"/>
  <c r="P804" i="7"/>
  <c r="P725" i="7"/>
  <c r="P445" i="7"/>
  <c r="P674" i="7"/>
  <c r="P678" i="7"/>
  <c r="P594" i="7"/>
  <c r="O178" i="7"/>
  <c r="O434" i="7"/>
  <c r="O183" i="7"/>
  <c r="O439" i="7"/>
  <c r="O192" i="7"/>
  <c r="O448" i="7"/>
  <c r="O577" i="7"/>
  <c r="O833" i="7"/>
  <c r="O926" i="7"/>
  <c r="O594" i="7"/>
  <c r="O954" i="7"/>
  <c r="O824" i="7"/>
  <c r="O836" i="7"/>
  <c r="O33" i="7"/>
  <c r="O931" i="7"/>
  <c r="N22" i="7"/>
  <c r="N278" i="7"/>
  <c r="N27" i="7"/>
  <c r="N283" i="7"/>
  <c r="N188" i="7"/>
  <c r="N588" i="7"/>
  <c r="N181" i="7"/>
  <c r="N577" i="7"/>
  <c r="N705" i="7"/>
  <c r="N344" i="7"/>
  <c r="N666" i="7"/>
  <c r="N836" i="7"/>
  <c r="N964" i="7"/>
  <c r="N997" i="7"/>
  <c r="N646" i="7"/>
  <c r="N902" i="7"/>
  <c r="N448" i="7"/>
  <c r="N361" i="7"/>
  <c r="N675" i="7"/>
  <c r="N841" i="7"/>
  <c r="N566" i="7"/>
  <c r="N17" i="7"/>
  <c r="N923" i="7"/>
  <c r="N887" i="7"/>
  <c r="N871" i="7"/>
  <c r="M114" i="7"/>
  <c r="M242" i="7"/>
  <c r="M370" i="7"/>
  <c r="M498" i="7"/>
  <c r="M119" i="7"/>
  <c r="M247" i="7"/>
  <c r="M375" i="7"/>
  <c r="M503" i="7"/>
  <c r="M244" i="7"/>
  <c r="M500" i="7"/>
  <c r="M632" i="7"/>
  <c r="M760" i="7"/>
  <c r="M253" i="7"/>
  <c r="M509" i="7"/>
  <c r="M637" i="7"/>
  <c r="M765" i="7"/>
  <c r="M152" i="7"/>
  <c r="M586" i="7"/>
  <c r="M815" i="7"/>
  <c r="M953" i="7"/>
  <c r="M208" i="7"/>
  <c r="M786" i="7"/>
  <c r="M97" i="7"/>
  <c r="M743" i="7"/>
  <c r="M595" i="7"/>
  <c r="M822" i="7"/>
  <c r="M96" i="7"/>
  <c r="M867" i="7"/>
  <c r="M591" i="7"/>
  <c r="M992" i="7"/>
  <c r="L86" i="7"/>
  <c r="L214" i="7"/>
  <c r="L342" i="7"/>
  <c r="L470" i="7"/>
  <c r="L91" i="7"/>
  <c r="L219" i="7"/>
  <c r="L347" i="7"/>
  <c r="L475" i="7"/>
  <c r="L96" i="7"/>
  <c r="L224" i="7"/>
  <c r="L352" i="7"/>
  <c r="L480" i="7"/>
  <c r="L469" i="7"/>
  <c r="L622" i="7"/>
  <c r="L750" i="7"/>
  <c r="L878" i="7"/>
  <c r="L425" i="7"/>
  <c r="L611" i="7"/>
  <c r="L77" i="7"/>
  <c r="L652" i="7"/>
  <c r="L337" i="7"/>
  <c r="L896" i="7"/>
  <c r="L625" i="7"/>
  <c r="L745" i="7"/>
  <c r="K14" i="7"/>
  <c r="K142" i="7"/>
  <c r="K270" i="7"/>
  <c r="K91" i="7"/>
  <c r="K219" i="7"/>
  <c r="K347" i="7"/>
  <c r="M169" i="7"/>
  <c r="L739" i="7"/>
  <c r="L524" i="7"/>
  <c r="L780" i="7"/>
  <c r="L902" i="7"/>
  <c r="L912" i="7"/>
  <c r="L943" i="7"/>
  <c r="L661" i="7"/>
  <c r="K78" i="7"/>
  <c r="K206" i="7"/>
  <c r="K27" i="7"/>
  <c r="K155" i="7"/>
  <c r="K283" i="7"/>
  <c r="K411" i="7"/>
  <c r="V991" i="7"/>
  <c r="K313" i="7"/>
  <c r="K618" i="7"/>
  <c r="K390" i="7"/>
  <c r="K749" i="7"/>
  <c r="K17" i="7"/>
  <c r="K555" i="7"/>
  <c r="K647" i="7"/>
  <c r="K975" i="7"/>
  <c r="K727" i="7"/>
  <c r="K659" i="7"/>
  <c r="K233" i="7"/>
  <c r="K332" i="7"/>
  <c r="J50" i="7"/>
  <c r="J306" i="7"/>
  <c r="J67" i="7"/>
  <c r="J323" i="7"/>
  <c r="J72" i="7"/>
  <c r="J328" i="7"/>
  <c r="J293" i="7"/>
  <c r="J708" i="7"/>
  <c r="J313" i="7"/>
  <c r="J713" i="7"/>
  <c r="J969" i="7"/>
  <c r="J602" i="7"/>
  <c r="J870" i="7"/>
  <c r="J651" i="7"/>
  <c r="J566" i="7"/>
  <c r="J711" i="7"/>
  <c r="I150" i="7"/>
  <c r="I406" i="7"/>
  <c r="I155" i="7"/>
  <c r="I411" i="7"/>
  <c r="I316" i="7"/>
  <c r="I668" i="7"/>
  <c r="I101" i="7"/>
  <c r="I561" i="7"/>
  <c r="I216" i="7"/>
  <c r="I837" i="7"/>
  <c r="I891" i="7"/>
  <c r="I734" i="7"/>
  <c r="I233" i="7"/>
  <c r="I566" i="7"/>
  <c r="I989" i="7"/>
  <c r="I969" i="7"/>
  <c r="H250" i="7"/>
  <c r="H27" i="7"/>
  <c r="H283" i="7"/>
  <c r="H60" i="7"/>
  <c r="H533" i="7"/>
  <c r="H69" i="7"/>
  <c r="H538" i="7"/>
  <c r="H136" i="7"/>
  <c r="H792" i="7"/>
  <c r="H320" i="7"/>
  <c r="H337" i="7"/>
  <c r="H169" i="7"/>
  <c r="H801" i="7"/>
  <c r="H400" i="7"/>
  <c r="H866" i="7"/>
  <c r="H512" i="7"/>
  <c r="H899" i="7"/>
  <c r="G78" i="7"/>
  <c r="G206" i="7"/>
  <c r="G334" i="7"/>
  <c r="G462" i="7"/>
  <c r="G83" i="7"/>
  <c r="G211" i="7"/>
  <c r="G339" i="7"/>
  <c r="G467" i="7"/>
  <c r="G100" i="7"/>
  <c r="G228" i="7"/>
  <c r="G356" i="7"/>
  <c r="G484" i="7"/>
  <c r="G405" i="7"/>
  <c r="G608" i="7"/>
  <c r="G736" i="7"/>
  <c r="G864" i="7"/>
  <c r="G409" i="7"/>
  <c r="G609" i="7"/>
  <c r="G737" i="7"/>
  <c r="G865" i="7"/>
  <c r="G590" i="7"/>
  <c r="G846" i="7"/>
  <c r="G995" i="7"/>
  <c r="G866" i="7"/>
  <c r="G651" i="7"/>
  <c r="G113" i="7"/>
  <c r="G663" i="7"/>
  <c r="G904" i="7"/>
  <c r="G503" i="7"/>
  <c r="G953" i="7"/>
  <c r="G803" i="7"/>
  <c r="F50" i="7"/>
  <c r="F158" i="7"/>
  <c r="F242" i="7"/>
  <c r="F330" i="7"/>
  <c r="F414" i="7"/>
  <c r="F498" i="7"/>
  <c r="F79" i="7"/>
  <c r="F163" i="7"/>
  <c r="F247" i="7"/>
  <c r="F335" i="7"/>
  <c r="F419" i="7"/>
  <c r="F503" i="7"/>
  <c r="F84" i="7"/>
  <c r="F168" i="7"/>
  <c r="F252" i="7"/>
  <c r="F340" i="7"/>
  <c r="F424" i="7"/>
  <c r="F508" i="7"/>
  <c r="F341" i="7"/>
  <c r="F551" i="7"/>
  <c r="F635" i="7"/>
  <c r="F723" i="7"/>
  <c r="F807" i="7"/>
  <c r="F891" i="7"/>
  <c r="F345" i="7"/>
  <c r="F552" i="7"/>
  <c r="F636" i="7"/>
  <c r="F724" i="7"/>
  <c r="F808" i="7"/>
  <c r="F13" i="7"/>
  <c r="F365" i="7"/>
  <c r="F557" i="7"/>
  <c r="F641" i="7"/>
  <c r="F729" i="7"/>
  <c r="F209" i="7"/>
  <c r="F770" i="7"/>
  <c r="F926" i="7"/>
  <c r="F927" i="7"/>
  <c r="F878" i="7"/>
  <c r="F550" i="7"/>
  <c r="F842" i="7"/>
  <c r="F766" i="7"/>
  <c r="F497" i="7"/>
  <c r="F762" i="7"/>
  <c r="F900" i="7"/>
  <c r="F964" i="7"/>
  <c r="F449" i="7"/>
  <c r="F886" i="7"/>
  <c r="E22" i="7"/>
  <c r="E86" i="7"/>
  <c r="E150" i="7"/>
  <c r="E214" i="7"/>
  <c r="E278" i="7"/>
  <c r="E342" i="7"/>
  <c r="E406" i="7"/>
  <c r="E470" i="7"/>
  <c r="E27" i="7"/>
  <c r="E91" i="7"/>
  <c r="E155" i="7"/>
  <c r="E219" i="7"/>
  <c r="E283" i="7"/>
  <c r="E347" i="7"/>
  <c r="E411" i="7"/>
  <c r="E52" i="7"/>
  <c r="E116" i="7"/>
  <c r="E180" i="7"/>
  <c r="E244" i="7"/>
  <c r="E308" i="7"/>
  <c r="E372" i="7"/>
  <c r="E436" i="7"/>
  <c r="E69" i="7"/>
  <c r="E325" i="7"/>
  <c r="E496" i="7"/>
  <c r="E563" i="7"/>
  <c r="E627" i="7"/>
  <c r="E691" i="7"/>
  <c r="E73" i="7"/>
  <c r="E329" i="7"/>
  <c r="E497" i="7"/>
  <c r="E564" i="7"/>
  <c r="E628" i="7"/>
  <c r="E692" i="7"/>
  <c r="E756" i="7"/>
  <c r="E820" i="7"/>
  <c r="E173" i="7"/>
  <c r="E525" i="7"/>
  <c r="E653" i="7"/>
  <c r="E766" i="7"/>
  <c r="E851" i="7"/>
  <c r="E918" i="7"/>
  <c r="E982" i="7"/>
  <c r="E928" i="7"/>
  <c r="E546" i="7"/>
  <c r="E834" i="7"/>
  <c r="E81" i="7"/>
  <c r="E500" i="7"/>
  <c r="E630" i="7"/>
  <c r="E751" i="7"/>
  <c r="E837" i="7"/>
  <c r="E907" i="7"/>
  <c r="E971" i="7"/>
  <c r="E285" i="7"/>
  <c r="E553" i="7"/>
  <c r="E681" i="7"/>
  <c r="E785" i="7"/>
  <c r="E904" i="7"/>
  <c r="E97" i="7"/>
  <c r="E578" i="7"/>
  <c r="E770" i="7"/>
  <c r="E897" i="7"/>
  <c r="E985" i="7"/>
  <c r="D58" i="7"/>
  <c r="D122" i="7"/>
  <c r="D186" i="7"/>
  <c r="D250" i="7"/>
  <c r="D314" i="7"/>
  <c r="D378" i="7"/>
  <c r="D442" i="7"/>
  <c r="D47" i="7"/>
  <c r="D111" i="7"/>
  <c r="D175" i="7"/>
  <c r="D239" i="7"/>
  <c r="D303" i="7"/>
  <c r="D367" i="7"/>
  <c r="D431" i="7"/>
  <c r="D495" i="7"/>
  <c r="D100" i="7"/>
  <c r="D228" i="7"/>
  <c r="D356" i="7"/>
  <c r="D476" i="7"/>
  <c r="D548" i="7"/>
  <c r="D612" i="7"/>
  <c r="D676" i="7"/>
  <c r="D740" i="7"/>
  <c r="D144" i="7"/>
  <c r="D313" i="7"/>
  <c r="D477" i="7"/>
  <c r="D570" i="7"/>
  <c r="D655" i="7"/>
  <c r="D741" i="7"/>
  <c r="D807" i="7"/>
  <c r="D871" i="7"/>
  <c r="D935" i="7"/>
  <c r="D999" i="7"/>
  <c r="D168" i="7"/>
  <c r="D337" i="7"/>
  <c r="D493" i="7"/>
  <c r="D582" i="7"/>
  <c r="D667" i="7"/>
  <c r="D752" i="7"/>
  <c r="D309" i="7"/>
  <c r="D567" i="7"/>
  <c r="D738" i="7"/>
  <c r="D832" i="7"/>
  <c r="D917" i="7"/>
  <c r="D13" i="7"/>
  <c r="D353" i="7"/>
  <c r="D590" i="7"/>
  <c r="D764" i="7"/>
  <c r="D886" i="7"/>
  <c r="D64" i="7"/>
  <c r="D551" i="7"/>
  <c r="D792" i="7"/>
  <c r="D936" i="7"/>
  <c r="D280" i="7"/>
  <c r="D659" i="7"/>
  <c r="D846" i="7"/>
  <c r="D980" i="7"/>
  <c r="D977" i="7"/>
  <c r="D647" i="7"/>
  <c r="D914" i="7"/>
  <c r="D531" i="7"/>
  <c r="D868" i="7"/>
  <c r="C30" i="7"/>
  <c r="C94" i="7"/>
  <c r="C158" i="7"/>
  <c r="C222" i="7"/>
  <c r="C286" i="7"/>
  <c r="C350" i="7"/>
  <c r="C414" i="7"/>
  <c r="C478" i="7"/>
  <c r="C35" i="7"/>
  <c r="C99" i="7"/>
  <c r="C163" i="7"/>
  <c r="C227" i="7"/>
  <c r="C291" i="7"/>
  <c r="C355" i="7"/>
  <c r="C419" i="7"/>
  <c r="C52" i="7"/>
  <c r="C116" i="7"/>
  <c r="C180" i="7"/>
  <c r="C244" i="7"/>
  <c r="C308" i="7"/>
  <c r="C372" i="7"/>
  <c r="C436" i="7"/>
  <c r="C5" i="7"/>
  <c r="C261" i="7"/>
  <c r="C475" i="7"/>
  <c r="C553" i="7"/>
  <c r="C617" i="7"/>
  <c r="C681" i="7"/>
  <c r="C745" i="7"/>
  <c r="C809" i="7"/>
  <c r="C873" i="7"/>
  <c r="C937" i="7"/>
  <c r="C746" i="7"/>
  <c r="C878" i="7"/>
  <c r="C41" i="7"/>
  <c r="C297" i="7"/>
  <c r="C493" i="7"/>
  <c r="C562" i="7"/>
  <c r="C626" i="7"/>
  <c r="C690" i="7"/>
  <c r="C766" i="7"/>
  <c r="C890" i="7"/>
  <c r="C109" i="7"/>
  <c r="C515" i="7"/>
  <c r="C643" i="7"/>
  <c r="C771" i="7"/>
  <c r="C899" i="7"/>
  <c r="C157" i="7"/>
  <c r="C655" i="7"/>
  <c r="C911" i="7"/>
  <c r="C512" i="7"/>
  <c r="C768" i="7"/>
  <c r="C49" i="7"/>
  <c r="C497" i="7"/>
  <c r="C628" i="7"/>
  <c r="C756" i="7"/>
  <c r="C884" i="7"/>
  <c r="C61" i="7"/>
  <c r="C631" i="7"/>
  <c r="C887" i="7"/>
  <c r="C503" i="7"/>
  <c r="C760" i="7"/>
  <c r="B2" i="7"/>
  <c r="B66" i="7"/>
  <c r="B130" i="7"/>
  <c r="B194" i="7"/>
  <c r="B258" i="7"/>
  <c r="B7" i="7"/>
  <c r="B71" i="7"/>
  <c r="B135" i="7"/>
  <c r="B199" i="7"/>
  <c r="B263" i="7"/>
  <c r="B327" i="7"/>
  <c r="B391" i="7"/>
  <c r="B455" i="7"/>
  <c r="B12" i="7"/>
  <c r="B76" i="7"/>
  <c r="B140" i="7"/>
  <c r="B204" i="7"/>
  <c r="B268" i="7"/>
  <c r="B332" i="7"/>
  <c r="B396" i="7"/>
  <c r="B460" i="7"/>
  <c r="B53" i="7"/>
  <c r="B309" i="7"/>
  <c r="B441" i="7"/>
  <c r="B539" i="7"/>
  <c r="B603" i="7"/>
  <c r="B667" i="7"/>
  <c r="B731" i="7"/>
  <c r="B795" i="7"/>
  <c r="B73" i="7"/>
  <c r="B322" i="7"/>
  <c r="B450" i="7"/>
  <c r="B544" i="7"/>
  <c r="B608" i="7"/>
  <c r="B672" i="7"/>
  <c r="B736" i="7"/>
  <c r="B800" i="7"/>
  <c r="B864" i="7"/>
  <c r="B928" i="7"/>
  <c r="B992" i="7"/>
  <c r="B81" i="7"/>
  <c r="B485" i="7"/>
  <c r="B625" i="7"/>
  <c r="B753" i="7"/>
  <c r="B867" i="7"/>
  <c r="B953" i="7"/>
  <c r="B381" i="7"/>
  <c r="B709" i="7"/>
  <c r="B929" i="7"/>
  <c r="B518" i="7"/>
  <c r="B814" i="7"/>
  <c r="B33" i="7"/>
  <c r="B342" i="7"/>
  <c r="B470" i="7"/>
  <c r="B554" i="7"/>
  <c r="B618" i="7"/>
  <c r="B682" i="7"/>
  <c r="B746" i="7"/>
  <c r="B810" i="7"/>
  <c r="K475" i="7"/>
  <c r="K398" i="7"/>
  <c r="K682" i="7"/>
  <c r="K504" i="7"/>
  <c r="K813" i="7"/>
  <c r="K189" i="7"/>
  <c r="K640" i="7"/>
  <c r="K755" i="7"/>
  <c r="K577" i="7"/>
  <c r="K924" i="7"/>
  <c r="K762" i="7"/>
  <c r="K620" i="7"/>
  <c r="K664" i="7"/>
  <c r="J114" i="7"/>
  <c r="J370" i="7"/>
  <c r="J131" i="7"/>
  <c r="J387" i="7"/>
  <c r="J136" i="7"/>
  <c r="J392" i="7"/>
  <c r="J516" i="7"/>
  <c r="J772" i="7"/>
  <c r="J521" i="7"/>
  <c r="J777" i="7"/>
  <c r="J141" i="7"/>
  <c r="J730" i="7"/>
  <c r="J575" i="7"/>
  <c r="J779" i="7"/>
  <c r="J694" i="7"/>
  <c r="J908" i="7"/>
  <c r="I214" i="7"/>
  <c r="I470" i="7"/>
  <c r="I219" i="7"/>
  <c r="I475" i="7"/>
  <c r="I444" i="7"/>
  <c r="I732" i="7"/>
  <c r="I229" i="7"/>
  <c r="I625" i="7"/>
  <c r="I472" i="7"/>
  <c r="I910" i="7"/>
  <c r="I955" i="7"/>
  <c r="I884" i="7"/>
  <c r="I489" i="7"/>
  <c r="I845" i="7"/>
  <c r="I591" i="7"/>
  <c r="H58" i="7"/>
  <c r="H314" i="7"/>
  <c r="H91" i="7"/>
  <c r="H347" i="7"/>
  <c r="H188" i="7"/>
  <c r="H597" i="7"/>
  <c r="H197" i="7"/>
  <c r="H602" i="7"/>
  <c r="H392" i="7"/>
  <c r="H856" i="7"/>
  <c r="H655" i="7"/>
  <c r="H664" i="7"/>
  <c r="H425" i="7"/>
  <c r="H865" i="7"/>
  <c r="H575" i="7"/>
  <c r="H934" i="7"/>
  <c r="H640" i="7"/>
  <c r="H963" i="7"/>
  <c r="G110" i="7"/>
  <c r="G238" i="7"/>
  <c r="G366" i="7"/>
  <c r="G494" i="7"/>
  <c r="G115" i="7"/>
  <c r="G243" i="7"/>
  <c r="G371" i="7"/>
  <c r="G4" i="7"/>
  <c r="G132" i="7"/>
  <c r="G260" i="7"/>
  <c r="G388" i="7"/>
  <c r="G21" i="7"/>
  <c r="G512" i="7"/>
  <c r="G640" i="7"/>
  <c r="G768" i="7"/>
  <c r="G25" i="7"/>
  <c r="G513" i="7"/>
  <c r="G641" i="7"/>
  <c r="G769" i="7"/>
  <c r="G77" i="7"/>
  <c r="G654" i="7"/>
  <c r="G899" i="7"/>
  <c r="G413" i="7"/>
  <c r="G945" i="7"/>
  <c r="G779" i="7"/>
  <c r="G369" i="7"/>
  <c r="G727" i="7"/>
  <c r="G936" i="7"/>
  <c r="G634" i="7"/>
  <c r="G161" i="7"/>
  <c r="G910" i="7"/>
  <c r="F82" i="7"/>
  <c r="F178" i="7"/>
  <c r="F266" i="7"/>
  <c r="F350" i="7"/>
  <c r="F434" i="7"/>
  <c r="F15" i="7"/>
  <c r="F99" i="7"/>
  <c r="F183" i="7"/>
  <c r="F271" i="7"/>
  <c r="F355" i="7"/>
  <c r="F439" i="7"/>
  <c r="F20" i="7"/>
  <c r="F104" i="7"/>
  <c r="F188" i="7"/>
  <c r="F276" i="7"/>
  <c r="F360" i="7"/>
  <c r="F444" i="7"/>
  <c r="F85" i="7"/>
  <c r="F421" i="7"/>
  <c r="F571" i="7"/>
  <c r="F659" i="7"/>
  <c r="F743" i="7"/>
  <c r="F827" i="7"/>
  <c r="F89" i="7"/>
  <c r="F425" i="7"/>
  <c r="F572" i="7"/>
  <c r="F660" i="7"/>
  <c r="F744" i="7"/>
  <c r="F828" i="7"/>
  <c r="F109" i="7"/>
  <c r="F445" i="7"/>
  <c r="F577" i="7"/>
  <c r="F665" i="7"/>
  <c r="F749" i="7"/>
  <c r="F514" i="7"/>
  <c r="F833" i="7"/>
  <c r="F946" i="7"/>
  <c r="F959" i="7"/>
  <c r="F945" i="7"/>
  <c r="F630" i="7"/>
  <c r="F882" i="7"/>
  <c r="F909" i="7"/>
  <c r="F570" i="7"/>
  <c r="F813" i="7"/>
  <c r="F916" i="7"/>
  <c r="F980" i="7"/>
  <c r="F558" i="7"/>
  <c r="F933" i="7"/>
  <c r="E38" i="7"/>
  <c r="E102" i="7"/>
  <c r="E166" i="7"/>
  <c r="E230" i="7"/>
  <c r="E294" i="7"/>
  <c r="E358" i="7"/>
  <c r="E422" i="7"/>
  <c r="E486" i="7"/>
  <c r="E43" i="7"/>
  <c r="E107" i="7"/>
  <c r="E171" i="7"/>
  <c r="E235" i="7"/>
  <c r="E299" i="7"/>
  <c r="E363" i="7"/>
  <c r="E4" i="7"/>
  <c r="E68" i="7"/>
  <c r="E132" i="7"/>
  <c r="E196" i="7"/>
  <c r="E260" i="7"/>
  <c r="E324" i="7"/>
  <c r="E388" i="7"/>
  <c r="E452" i="7"/>
  <c r="E133" i="7"/>
  <c r="E389" i="7"/>
  <c r="E515" i="7"/>
  <c r="E579" i="7"/>
  <c r="E643" i="7"/>
  <c r="E707" i="7"/>
  <c r="E137" i="7"/>
  <c r="E393" i="7"/>
  <c r="E516" i="7"/>
  <c r="E580" i="7"/>
  <c r="E644" i="7"/>
  <c r="E708" i="7"/>
  <c r="E772" i="7"/>
  <c r="E836" i="7"/>
  <c r="E301" i="7"/>
  <c r="E557" i="7"/>
  <c r="E685" i="7"/>
  <c r="E787" i="7"/>
  <c r="E870" i="7"/>
  <c r="E934" i="7"/>
  <c r="E998" i="7"/>
  <c r="E968" i="7"/>
  <c r="E626" i="7"/>
  <c r="E881" i="7"/>
  <c r="E209" i="7"/>
  <c r="E534" i="7"/>
  <c r="E662" i="7"/>
  <c r="E773" i="7"/>
  <c r="E858" i="7"/>
  <c r="E923" i="7"/>
  <c r="E987" i="7"/>
  <c r="E413" i="7"/>
  <c r="E585" i="7"/>
  <c r="E713" i="7"/>
  <c r="E817" i="7"/>
  <c r="E932" i="7"/>
  <c r="E289" i="7"/>
  <c r="E634" i="7"/>
  <c r="E802" i="7"/>
  <c r="E925" i="7"/>
  <c r="D10" i="7"/>
  <c r="D74" i="7"/>
  <c r="D138" i="7"/>
  <c r="D202" i="7"/>
  <c r="D266" i="7"/>
  <c r="D330" i="7"/>
  <c r="D394" i="7"/>
  <c r="D458" i="7"/>
  <c r="D63" i="7"/>
  <c r="D127" i="7"/>
  <c r="D191" i="7"/>
  <c r="D255" i="7"/>
  <c r="D319" i="7"/>
  <c r="D383" i="7"/>
  <c r="D447" i="7"/>
  <c r="D4" i="7"/>
  <c r="D132" i="7"/>
  <c r="D260" i="7"/>
  <c r="D388" i="7"/>
  <c r="D497" i="7"/>
  <c r="D564" i="7"/>
  <c r="D628" i="7"/>
  <c r="D692" i="7"/>
  <c r="D16" i="7"/>
  <c r="D185" i="7"/>
  <c r="D357" i="7"/>
  <c r="D505" i="7"/>
  <c r="D591" i="7"/>
  <c r="D677" i="7"/>
  <c r="D759" i="7"/>
  <c r="D823" i="7"/>
  <c r="D887" i="7"/>
  <c r="D951" i="7"/>
  <c r="D40" i="7"/>
  <c r="D209" i="7"/>
  <c r="D381" i="7"/>
  <c r="D518" i="7"/>
  <c r="D603" i="7"/>
  <c r="D689" i="7"/>
  <c r="D53" i="7"/>
  <c r="D393" i="7"/>
  <c r="D610" i="7"/>
  <c r="D768" i="7"/>
  <c r="D853" i="7"/>
  <c r="D938" i="7"/>
  <c r="D97" i="7"/>
  <c r="D440" i="7"/>
  <c r="D633" i="7"/>
  <c r="D785" i="7"/>
  <c r="D918" i="7"/>
  <c r="D192" i="7"/>
  <c r="D615" i="7"/>
  <c r="D829" i="7"/>
  <c r="D968" i="7"/>
  <c r="D408" i="7"/>
  <c r="D734" i="7"/>
  <c r="D884" i="7"/>
  <c r="D790" i="7"/>
  <c r="D149" i="7"/>
  <c r="D753" i="7"/>
  <c r="D973" i="7"/>
  <c r="D649" i="7"/>
  <c r="D926" i="7"/>
  <c r="C46" i="7"/>
  <c r="C110" i="7"/>
  <c r="C174" i="7"/>
  <c r="C238" i="7"/>
  <c r="C302" i="7"/>
  <c r="C366" i="7"/>
  <c r="C430" i="7"/>
  <c r="C494" i="7"/>
  <c r="C51" i="7"/>
  <c r="C115" i="7"/>
  <c r="C179" i="7"/>
  <c r="C243" i="7"/>
  <c r="C307" i="7"/>
  <c r="C371" i="7"/>
  <c r="C4" i="7"/>
  <c r="C68" i="7"/>
  <c r="C132" i="7"/>
  <c r="C196" i="7"/>
  <c r="C260" i="7"/>
  <c r="C324" i="7"/>
  <c r="C388" i="7"/>
  <c r="C452" i="7"/>
  <c r="C69" i="7"/>
  <c r="C325" i="7"/>
  <c r="C504" i="7"/>
  <c r="C569" i="7"/>
  <c r="C633" i="7"/>
  <c r="C697" i="7"/>
  <c r="C761" i="7"/>
  <c r="C825" i="7"/>
  <c r="C889" i="7"/>
  <c r="C953" i="7"/>
  <c r="C778" i="7"/>
  <c r="C910" i="7"/>
  <c r="C105" i="7"/>
  <c r="C361" i="7"/>
  <c r="C514" i="7"/>
  <c r="C578" i="7"/>
  <c r="C642" i="7"/>
  <c r="C706" i="7"/>
  <c r="C798" i="7"/>
  <c r="C918" i="7"/>
  <c r="C237" i="7"/>
  <c r="C547" i="7"/>
  <c r="C675" i="7"/>
  <c r="C803" i="7"/>
  <c r="C931" i="7"/>
  <c r="C413" i="7"/>
  <c r="C719" i="7"/>
  <c r="C975" i="7"/>
  <c r="C576" i="7"/>
  <c r="C832" i="7"/>
  <c r="C177" i="7"/>
  <c r="C532" i="7"/>
  <c r="C660" i="7"/>
  <c r="C788" i="7"/>
  <c r="C916" i="7"/>
  <c r="C317" i="7"/>
  <c r="C695" i="7"/>
  <c r="C951" i="7"/>
  <c r="C568" i="7"/>
  <c r="C824" i="7"/>
  <c r="B18" i="7"/>
  <c r="B82" i="7"/>
  <c r="B146" i="7"/>
  <c r="B210" i="7"/>
  <c r="B274" i="7"/>
  <c r="B23" i="7"/>
  <c r="B87" i="7"/>
  <c r="B151" i="7"/>
  <c r="B215" i="7"/>
  <c r="B279" i="7"/>
  <c r="K60" i="7"/>
  <c r="K484" i="7"/>
  <c r="K89" i="7"/>
  <c r="K591" i="7"/>
  <c r="K877" i="7"/>
  <c r="K342" i="7"/>
  <c r="K201" i="7"/>
  <c r="K840" i="7"/>
  <c r="K838" i="7"/>
  <c r="K225" i="7"/>
  <c r="K847" i="7"/>
  <c r="K806" i="7"/>
  <c r="K828" i="7"/>
  <c r="J178" i="7"/>
  <c r="J434" i="7"/>
  <c r="J195" i="7"/>
  <c r="J451" i="7"/>
  <c r="J200" i="7"/>
  <c r="J456" i="7"/>
  <c r="J580" i="7"/>
  <c r="J836" i="7"/>
  <c r="J585" i="7"/>
  <c r="J841" i="7"/>
  <c r="J397" i="7"/>
  <c r="J858" i="7"/>
  <c r="J898" i="7"/>
  <c r="J900" i="7"/>
  <c r="J878" i="7"/>
  <c r="I22" i="7"/>
  <c r="I278" i="7"/>
  <c r="I27" i="7"/>
  <c r="I283" i="7"/>
  <c r="I60" i="7"/>
  <c r="I540" i="7"/>
  <c r="I796" i="7"/>
  <c r="I357" i="7"/>
  <c r="I689" i="7"/>
  <c r="I618" i="7"/>
  <c r="I974" i="7"/>
  <c r="I112" i="7"/>
  <c r="I988" i="7"/>
  <c r="I627" i="7"/>
  <c r="I81" i="7"/>
  <c r="I961" i="7"/>
  <c r="H122" i="7"/>
  <c r="H378" i="7"/>
  <c r="H155" i="7"/>
  <c r="H411" i="7"/>
  <c r="H316" i="7"/>
  <c r="H661" i="7"/>
  <c r="H325" i="7"/>
  <c r="H666" i="7"/>
  <c r="H571" i="7"/>
  <c r="H920" i="7"/>
  <c r="H830" i="7"/>
  <c r="H835" i="7"/>
  <c r="H588" i="7"/>
  <c r="H929" i="7"/>
  <c r="H711" i="7"/>
  <c r="H998" i="7"/>
  <c r="H767" i="7"/>
  <c r="G14" i="7"/>
  <c r="G142" i="7"/>
  <c r="G270" i="7"/>
  <c r="G398" i="7"/>
  <c r="G19" i="7"/>
  <c r="G147" i="7"/>
  <c r="G275" i="7"/>
  <c r="G403" i="7"/>
  <c r="G36" i="7"/>
  <c r="G164" i="7"/>
  <c r="G292" i="7"/>
  <c r="G420" i="7"/>
  <c r="G149" i="7"/>
  <c r="G544" i="7"/>
  <c r="G672" i="7"/>
  <c r="G800" i="7"/>
  <c r="G153" i="7"/>
  <c r="G545" i="7"/>
  <c r="G673" i="7"/>
  <c r="G801" i="7"/>
  <c r="G333" i="7"/>
  <c r="G718" i="7"/>
  <c r="G931" i="7"/>
  <c r="G610" i="7"/>
  <c r="G65" i="7"/>
  <c r="G898" i="7"/>
  <c r="G535" i="7"/>
  <c r="G791" i="7"/>
  <c r="G968" i="7"/>
  <c r="G762" i="7"/>
  <c r="G539" i="7"/>
  <c r="G974" i="7"/>
  <c r="F114" i="7"/>
  <c r="F202" i="7"/>
  <c r="F286" i="7"/>
  <c r="F370" i="7"/>
  <c r="F458" i="7"/>
  <c r="F35" i="7"/>
  <c r="F119" i="7"/>
  <c r="F207" i="7"/>
  <c r="F291" i="7"/>
  <c r="F375" i="7"/>
  <c r="F463" i="7"/>
  <c r="F40" i="7"/>
  <c r="F124" i="7"/>
  <c r="F212" i="7"/>
  <c r="F296" i="7"/>
  <c r="F380" i="7"/>
  <c r="F468" i="7"/>
  <c r="F165" i="7"/>
  <c r="F501" i="7"/>
  <c r="F595" i="7"/>
  <c r="F679" i="7"/>
  <c r="F763" i="7"/>
  <c r="F851" i="7"/>
  <c r="F169" i="7"/>
  <c r="F505" i="7"/>
  <c r="F596" i="7"/>
  <c r="F680" i="7"/>
  <c r="F764" i="7"/>
  <c r="F852" i="7"/>
  <c r="F189" i="7"/>
  <c r="F513" i="7"/>
  <c r="F601" i="7"/>
  <c r="F685" i="7"/>
  <c r="F769" i="7"/>
  <c r="F610" i="7"/>
  <c r="F873" i="7"/>
  <c r="F966" i="7"/>
  <c r="F995" i="7"/>
  <c r="F997" i="7"/>
  <c r="F710" i="7"/>
  <c r="F911" i="7"/>
  <c r="F985" i="7"/>
  <c r="F634" i="7"/>
  <c r="F845" i="7"/>
  <c r="F932" i="7"/>
  <c r="F996" i="7"/>
  <c r="F670" i="7"/>
  <c r="F973" i="7"/>
  <c r="E54" i="7"/>
  <c r="E118" i="7"/>
  <c r="E182" i="7"/>
  <c r="E246" i="7"/>
  <c r="E310" i="7"/>
  <c r="E374" i="7"/>
  <c r="E438" i="7"/>
  <c r="E502" i="7"/>
  <c r="E59" i="7"/>
  <c r="E123" i="7"/>
  <c r="E187" i="7"/>
  <c r="E251" i="7"/>
  <c r="E315" i="7"/>
  <c r="E379" i="7"/>
  <c r="E20" i="7"/>
  <c r="E84" i="7"/>
  <c r="E148" i="7"/>
  <c r="E212" i="7"/>
  <c r="E276" i="7"/>
  <c r="E340" i="7"/>
  <c r="E404" i="7"/>
  <c r="E468" i="7"/>
  <c r="E197" i="7"/>
  <c r="E439" i="7"/>
  <c r="E531" i="7"/>
  <c r="E595" i="7"/>
  <c r="E659" i="7"/>
  <c r="E723" i="7"/>
  <c r="E201" i="7"/>
  <c r="E441" i="7"/>
  <c r="E532" i="7"/>
  <c r="E596" i="7"/>
  <c r="E660" i="7"/>
  <c r="E724" i="7"/>
  <c r="E788" i="7"/>
  <c r="E852" i="7"/>
  <c r="E427" i="7"/>
  <c r="E589" i="7"/>
  <c r="E717" i="7"/>
  <c r="E809" i="7"/>
  <c r="E886" i="7"/>
  <c r="E950" i="7"/>
  <c r="E838" i="7"/>
  <c r="E65" i="7"/>
  <c r="E714" i="7"/>
  <c r="E921" i="7"/>
  <c r="E337" i="7"/>
  <c r="E566" i="7"/>
  <c r="E694" i="7"/>
  <c r="E794" i="7"/>
  <c r="E875" i="7"/>
  <c r="E939" i="7"/>
  <c r="E29" i="7"/>
  <c r="E483" i="7"/>
  <c r="E617" i="7"/>
  <c r="E742" i="7"/>
  <c r="E849" i="7"/>
  <c r="E956" i="7"/>
  <c r="E453" i="7"/>
  <c r="E682" i="7"/>
  <c r="E839" i="7"/>
  <c r="E949" i="7"/>
  <c r="D26" i="7"/>
  <c r="D90" i="7"/>
  <c r="D154" i="7"/>
  <c r="D218" i="7"/>
  <c r="D282" i="7"/>
  <c r="D346" i="7"/>
  <c r="D410" i="7"/>
  <c r="D15" i="7"/>
  <c r="D79" i="7"/>
  <c r="D143" i="7"/>
  <c r="D207" i="7"/>
  <c r="D271" i="7"/>
  <c r="D335" i="7"/>
  <c r="K188" i="7"/>
  <c r="K554" i="7"/>
  <c r="K261" i="7"/>
  <c r="K676" i="7"/>
  <c r="K941" i="7"/>
  <c r="K456" i="7"/>
  <c r="K465" i="7"/>
  <c r="K926" i="7"/>
  <c r="K237" i="7"/>
  <c r="K481" i="7"/>
  <c r="K932" i="7"/>
  <c r="K944" i="7"/>
  <c r="K972" i="7"/>
  <c r="J242" i="7"/>
  <c r="J3" i="7"/>
  <c r="J259" i="7"/>
  <c r="J8" i="7"/>
  <c r="J264" i="7"/>
  <c r="J37" i="7"/>
  <c r="J644" i="7"/>
  <c r="J57" i="7"/>
  <c r="J649" i="7"/>
  <c r="J905" i="7"/>
  <c r="J145" i="7"/>
  <c r="J952" i="7"/>
  <c r="J515" i="7"/>
  <c r="J986" i="7"/>
  <c r="J257" i="7"/>
  <c r="I86" i="7"/>
  <c r="I342" i="7"/>
  <c r="I91" i="7"/>
  <c r="I347" i="7"/>
  <c r="I188" i="7"/>
  <c r="I604" i="7"/>
  <c r="I860" i="7"/>
  <c r="I485" i="7"/>
  <c r="I753" i="7"/>
  <c r="I746" i="7"/>
  <c r="I811" i="7"/>
  <c r="I526" i="7"/>
  <c r="I401" i="7"/>
  <c r="I755" i="7"/>
  <c r="I647" i="7"/>
  <c r="I901" i="7"/>
  <c r="H186" i="7"/>
  <c r="H442" i="7"/>
  <c r="H219" i="7"/>
  <c r="H475" i="7"/>
  <c r="H444" i="7"/>
  <c r="H725" i="7"/>
  <c r="H453" i="7"/>
  <c r="H730" i="7"/>
  <c r="H699" i="7"/>
  <c r="H984" i="7"/>
  <c r="H954" i="7"/>
  <c r="H959" i="7"/>
  <c r="H716" i="7"/>
  <c r="H997" i="7"/>
  <c r="H802" i="7"/>
  <c r="H273" i="7"/>
  <c r="H831" i="7"/>
  <c r="G46" i="7"/>
  <c r="G174" i="7"/>
  <c r="G302" i="7"/>
  <c r="G430" i="7"/>
  <c r="G51" i="7"/>
  <c r="G179" i="7"/>
  <c r="G307" i="7"/>
  <c r="G435" i="7"/>
  <c r="G68" i="7"/>
  <c r="G196" i="7"/>
  <c r="G324" i="7"/>
  <c r="G452" i="7"/>
  <c r="G277" i="7"/>
  <c r="G576" i="7"/>
  <c r="G704" i="7"/>
  <c r="G832" i="7"/>
  <c r="G281" i="7"/>
  <c r="G577" i="7"/>
  <c r="G705" i="7"/>
  <c r="G833" i="7"/>
  <c r="G526" i="7"/>
  <c r="G782" i="7"/>
  <c r="G963" i="7"/>
  <c r="G746" i="7"/>
  <c r="G531" i="7"/>
  <c r="G962" i="7"/>
  <c r="G599" i="7"/>
  <c r="G855" i="7"/>
  <c r="G1000" i="7"/>
  <c r="G889" i="7"/>
  <c r="G675" i="7"/>
  <c r="F18" i="7"/>
  <c r="F138" i="7"/>
  <c r="F222" i="7"/>
  <c r="F306" i="7"/>
  <c r="F394" i="7"/>
  <c r="F478" i="7"/>
  <c r="F55" i="7"/>
  <c r="F143" i="7"/>
  <c r="F227" i="7"/>
  <c r="F311" i="7"/>
  <c r="F399" i="7"/>
  <c r="F483" i="7"/>
  <c r="F60" i="7"/>
  <c r="F148" i="7"/>
  <c r="F232" i="7"/>
  <c r="F316" i="7"/>
  <c r="F404" i="7"/>
  <c r="F488" i="7"/>
  <c r="F245" i="7"/>
  <c r="F531" i="7"/>
  <c r="F615" i="7"/>
  <c r="F699" i="7"/>
  <c r="F787" i="7"/>
  <c r="F871" i="7"/>
  <c r="F249" i="7"/>
  <c r="F532" i="7"/>
  <c r="F616" i="7"/>
  <c r="F700" i="7"/>
  <c r="F788" i="7"/>
  <c r="F872" i="7"/>
  <c r="F269" i="7"/>
  <c r="F537" i="7"/>
  <c r="F621" i="7"/>
  <c r="F705" i="7"/>
  <c r="F793" i="7"/>
  <c r="F690" i="7"/>
  <c r="F289" i="7"/>
  <c r="F698" i="7"/>
  <c r="F806" i="7"/>
  <c r="E198" i="7"/>
  <c r="E454" i="7"/>
  <c r="E203" i="7"/>
  <c r="E36" i="7"/>
  <c r="E292" i="7"/>
  <c r="E261" i="7"/>
  <c r="E675" i="7"/>
  <c r="E548" i="7"/>
  <c r="E804" i="7"/>
  <c r="E745" i="7"/>
  <c r="E888" i="7"/>
  <c r="E445" i="7"/>
  <c r="E891" i="7"/>
  <c r="E649" i="7"/>
  <c r="E530" i="7"/>
  <c r="D42" i="7"/>
  <c r="D298" i="7"/>
  <c r="D95" i="7"/>
  <c r="D351" i="7"/>
  <c r="D479" i="7"/>
  <c r="D196" i="7"/>
  <c r="D452" i="7"/>
  <c r="D596" i="7"/>
  <c r="D724" i="7"/>
  <c r="D272" i="7"/>
  <c r="D549" i="7"/>
  <c r="D719" i="7"/>
  <c r="D855" i="7"/>
  <c r="D983" i="7"/>
  <c r="D296" i="7"/>
  <c r="D561" i="7"/>
  <c r="D731" i="7"/>
  <c r="D525" i="7"/>
  <c r="D810" i="7"/>
  <c r="D981" i="7"/>
  <c r="D547" i="7"/>
  <c r="D849" i="7"/>
  <c r="D480" i="7"/>
  <c r="D898" i="7"/>
  <c r="D595" i="7"/>
  <c r="D948" i="7"/>
  <c r="D530" i="7"/>
  <c r="D365" i="7"/>
  <c r="C14" i="7"/>
  <c r="C142" i="7"/>
  <c r="C270" i="7"/>
  <c r="C398" i="7"/>
  <c r="C19" i="7"/>
  <c r="C147" i="7"/>
  <c r="C275" i="7"/>
  <c r="C403" i="7"/>
  <c r="C100" i="7"/>
  <c r="C228" i="7"/>
  <c r="C356" i="7"/>
  <c r="C484" i="7"/>
  <c r="C443" i="7"/>
  <c r="C601" i="7"/>
  <c r="C729" i="7"/>
  <c r="C857" i="7"/>
  <c r="C985" i="7"/>
  <c r="C978" i="7"/>
  <c r="C461" i="7"/>
  <c r="C610" i="7"/>
  <c r="C738" i="7"/>
  <c r="C982" i="7"/>
  <c r="C611" i="7"/>
  <c r="C867" i="7"/>
  <c r="C591" i="7"/>
  <c r="C353" i="7"/>
  <c r="C968" i="7"/>
  <c r="C596" i="7"/>
  <c r="C852" i="7"/>
  <c r="C567" i="7"/>
  <c r="C321" i="7"/>
  <c r="C944" i="7"/>
  <c r="B114" i="7"/>
  <c r="B242" i="7"/>
  <c r="B55" i="7"/>
  <c r="B183" i="7"/>
  <c r="B311" i="7"/>
  <c r="B407" i="7"/>
  <c r="B487" i="7"/>
  <c r="B60" i="7"/>
  <c r="B156" i="7"/>
  <c r="B236" i="7"/>
  <c r="B316" i="7"/>
  <c r="B412" i="7"/>
  <c r="B492" i="7"/>
  <c r="B245" i="7"/>
  <c r="B473" i="7"/>
  <c r="B571" i="7"/>
  <c r="B651" i="7"/>
  <c r="B747" i="7"/>
  <c r="B827" i="7"/>
  <c r="B265" i="7"/>
  <c r="B482" i="7"/>
  <c r="B576" i="7"/>
  <c r="B656" i="7"/>
  <c r="B752" i="7"/>
  <c r="B832" i="7"/>
  <c r="B912" i="7"/>
  <c r="B29" i="7"/>
  <c r="B357" i="7"/>
  <c r="B593" i="7"/>
  <c r="B785" i="7"/>
  <c r="B910" i="7"/>
  <c r="B221" i="7"/>
  <c r="B781" i="7"/>
  <c r="B225" i="7"/>
  <c r="B734" i="7"/>
  <c r="B209" i="7"/>
  <c r="B406" i="7"/>
  <c r="B546" i="7"/>
  <c r="B642" i="7"/>
  <c r="B714" i="7"/>
  <c r="B802" i="7"/>
  <c r="B863" i="7"/>
  <c r="B906" i="7"/>
  <c r="B949" i="7"/>
  <c r="B113" i="7"/>
  <c r="B493" i="7"/>
  <c r="B613" i="7"/>
  <c r="B749" i="7"/>
  <c r="B859" i="7"/>
  <c r="B945" i="7"/>
  <c r="B257" i="7"/>
  <c r="B534" i="7"/>
  <c r="B670" i="7"/>
  <c r="B822" i="7"/>
  <c r="B941" i="7"/>
  <c r="B758" i="7"/>
  <c r="B973" i="7"/>
  <c r="A26" i="7"/>
  <c r="A58" i="7"/>
  <c r="A90" i="7"/>
  <c r="A122" i="7"/>
  <c r="A154" i="7"/>
  <c r="A186" i="7"/>
  <c r="A218" i="7"/>
  <c r="A250" i="7"/>
  <c r="A282" i="7"/>
  <c r="A314" i="7"/>
  <c r="A346" i="7"/>
  <c r="A378" i="7"/>
  <c r="A410" i="7"/>
  <c r="A442" i="7"/>
  <c r="A474" i="7"/>
  <c r="A506" i="7"/>
  <c r="A31" i="7"/>
  <c r="A63" i="7"/>
  <c r="A95" i="7"/>
  <c r="A127" i="7"/>
  <c r="A159" i="7"/>
  <c r="A191" i="7"/>
  <c r="A223" i="7"/>
  <c r="A255" i="7"/>
  <c r="A287" i="7"/>
  <c r="A319" i="7"/>
  <c r="A351" i="7"/>
  <c r="A383" i="7"/>
  <c r="A415" i="7"/>
  <c r="A447" i="7"/>
  <c r="A479" i="7"/>
  <c r="A16" i="7"/>
  <c r="A48" i="7"/>
  <c r="A80" i="7"/>
  <c r="A112" i="7"/>
  <c r="A144" i="7"/>
  <c r="A176" i="7"/>
  <c r="A208" i="7"/>
  <c r="A240" i="7"/>
  <c r="A272" i="7"/>
  <c r="A304" i="7"/>
  <c r="A336" i="7"/>
  <c r="A368" i="7"/>
  <c r="A400" i="7"/>
  <c r="A432" i="7"/>
  <c r="A464" i="7"/>
  <c r="A496" i="7"/>
  <c r="A69" i="7"/>
  <c r="A197" i="7"/>
  <c r="A325" i="7"/>
  <c r="A453" i="7"/>
  <c r="A524" i="7"/>
  <c r="A556" i="7"/>
  <c r="A588" i="7"/>
  <c r="A620" i="7"/>
  <c r="A652" i="7"/>
  <c r="A684" i="7"/>
  <c r="A716" i="7"/>
  <c r="A25" i="7"/>
  <c r="A153" i="7"/>
  <c r="A281" i="7"/>
  <c r="A409" i="7"/>
  <c r="A513" i="7"/>
  <c r="A545" i="7"/>
  <c r="A577" i="7"/>
  <c r="A609" i="7"/>
  <c r="A641" i="7"/>
  <c r="A673" i="7"/>
  <c r="A705" i="7"/>
  <c r="A737" i="7"/>
  <c r="A769" i="7"/>
  <c r="A801" i="7"/>
  <c r="A833" i="7"/>
  <c r="A865" i="7"/>
  <c r="A77" i="7"/>
  <c r="A333" i="7"/>
  <c r="A526" i="7"/>
  <c r="A590" i="7"/>
  <c r="A654" i="7"/>
  <c r="A718" i="7"/>
  <c r="A768" i="7"/>
  <c r="A811" i="7"/>
  <c r="A854" i="7"/>
  <c r="A894" i="7"/>
  <c r="A926" i="7"/>
  <c r="A958" i="7"/>
  <c r="A990" i="7"/>
  <c r="A872" i="7"/>
  <c r="A956" i="7"/>
  <c r="A321" i="7"/>
  <c r="A627" i="7"/>
  <c r="A778" i="7"/>
  <c r="A884" i="7"/>
  <c r="A973" i="7"/>
  <c r="A177" i="7"/>
  <c r="A433" i="7"/>
  <c r="A551" i="7"/>
  <c r="A615" i="7"/>
  <c r="A679" i="7"/>
  <c r="A743" i="7"/>
  <c r="A786" i="7"/>
  <c r="A828" i="7"/>
  <c r="A871" i="7"/>
  <c r="A907" i="7"/>
  <c r="A939" i="7"/>
  <c r="A971" i="7"/>
  <c r="A29" i="7"/>
  <c r="A285" i="7"/>
  <c r="A514" i="7"/>
  <c r="A578" i="7"/>
  <c r="A642" i="7"/>
  <c r="A706" i="7"/>
  <c r="A760" i="7"/>
  <c r="A808" i="7"/>
  <c r="A878" i="7"/>
  <c r="A932" i="7"/>
  <c r="A984" i="7"/>
  <c r="A289" i="7"/>
  <c r="A555" i="7"/>
  <c r="A659" i="7"/>
  <c r="F902" i="7"/>
  <c r="F802" i="7"/>
  <c r="F877" i="7"/>
  <c r="E6" i="7"/>
  <c r="E262" i="7"/>
  <c r="E11" i="7"/>
  <c r="E267" i="7"/>
  <c r="E100" i="7"/>
  <c r="E356" i="7"/>
  <c r="E471" i="7"/>
  <c r="E9" i="7"/>
  <c r="E612" i="7"/>
  <c r="E45" i="7"/>
  <c r="E830" i="7"/>
  <c r="E417" i="7"/>
  <c r="E598" i="7"/>
  <c r="E955" i="7"/>
  <c r="E763" i="7"/>
  <c r="E730" i="7"/>
  <c r="D106" i="7"/>
  <c r="D362" i="7"/>
  <c r="D159" i="7"/>
  <c r="D399" i="7"/>
  <c r="D36" i="7"/>
  <c r="D292" i="7"/>
  <c r="D516" i="7"/>
  <c r="D644" i="7"/>
  <c r="D57" i="7"/>
  <c r="D400" i="7"/>
  <c r="D613" i="7"/>
  <c r="D775" i="7"/>
  <c r="D903" i="7"/>
  <c r="D81" i="7"/>
  <c r="D424" i="7"/>
  <c r="D625" i="7"/>
  <c r="D137" i="7"/>
  <c r="D653" i="7"/>
  <c r="D874" i="7"/>
  <c r="D184" i="7"/>
  <c r="D675" i="7"/>
  <c r="D956" i="7"/>
  <c r="D690" i="7"/>
  <c r="D1000" i="7"/>
  <c r="D782" i="7"/>
  <c r="D854" i="7"/>
  <c r="D813" i="7"/>
  <c r="D754" i="7"/>
  <c r="C62" i="7"/>
  <c r="C190" i="7"/>
  <c r="C318" i="7"/>
  <c r="C446" i="7"/>
  <c r="C67" i="7"/>
  <c r="C195" i="7"/>
  <c r="C323" i="7"/>
  <c r="C20" i="7"/>
  <c r="C148" i="7"/>
  <c r="C276" i="7"/>
  <c r="C404" i="7"/>
  <c r="C133" i="7"/>
  <c r="C521" i="7"/>
  <c r="C649" i="7"/>
  <c r="C777" i="7"/>
  <c r="C905" i="7"/>
  <c r="C810" i="7"/>
  <c r="C169" i="7"/>
  <c r="C530" i="7"/>
  <c r="C658" i="7"/>
  <c r="C826" i="7"/>
  <c r="C365" i="7"/>
  <c r="C707" i="7"/>
  <c r="C963" i="7"/>
  <c r="C783" i="7"/>
  <c r="C640" i="7"/>
  <c r="C305" i="7"/>
  <c r="C692" i="7"/>
  <c r="C948" i="7"/>
  <c r="C759" i="7"/>
  <c r="C632" i="7"/>
  <c r="B34" i="7"/>
  <c r="B162" i="7"/>
  <c r="B290" i="7"/>
  <c r="B103" i="7"/>
  <c r="B231" i="7"/>
  <c r="B343" i="7"/>
  <c r="B423" i="7"/>
  <c r="B503" i="7"/>
  <c r="B92" i="7"/>
  <c r="B172" i="7"/>
  <c r="B252" i="7"/>
  <c r="B348" i="7"/>
  <c r="B428" i="7"/>
  <c r="B508" i="7"/>
  <c r="B345" i="7"/>
  <c r="B505" i="7"/>
  <c r="B587" i="7"/>
  <c r="B683" i="7"/>
  <c r="B763" i="7"/>
  <c r="B9" i="7"/>
  <c r="B354" i="7"/>
  <c r="B512" i="7"/>
  <c r="B592" i="7"/>
  <c r="B688" i="7"/>
  <c r="B768" i="7"/>
  <c r="B848" i="7"/>
  <c r="B944" i="7"/>
  <c r="B93" i="7"/>
  <c r="B421" i="7"/>
  <c r="B657" i="7"/>
  <c r="B817" i="7"/>
  <c r="B931" i="7"/>
  <c r="B509" i="7"/>
  <c r="B837" i="7"/>
  <c r="B382" i="7"/>
  <c r="B882" i="7"/>
  <c r="B241" i="7"/>
  <c r="B454" i="7"/>
  <c r="B578" i="7"/>
  <c r="B650" i="7"/>
  <c r="B738" i="7"/>
  <c r="B834" i="7"/>
  <c r="B879" i="7"/>
  <c r="B922" i="7"/>
  <c r="B965" i="7"/>
  <c r="B317" i="7"/>
  <c r="B549" i="7"/>
  <c r="B669" i="7"/>
  <c r="B789" i="7"/>
  <c r="B897" i="7"/>
  <c r="B971" i="7"/>
  <c r="B398" i="7"/>
  <c r="B582" i="7"/>
  <c r="B726" i="7"/>
  <c r="B871" i="7"/>
  <c r="B978" i="7"/>
  <c r="B855" i="7"/>
  <c r="A6" i="7"/>
  <c r="A38" i="7"/>
  <c r="A70" i="7"/>
  <c r="A102" i="7"/>
  <c r="A134" i="7"/>
  <c r="A166" i="7"/>
  <c r="A198" i="7"/>
  <c r="A230" i="7"/>
  <c r="A262" i="7"/>
  <c r="A294" i="7"/>
  <c r="A326" i="7"/>
  <c r="A358" i="7"/>
  <c r="A390" i="7"/>
  <c r="A422" i="7"/>
  <c r="A454" i="7"/>
  <c r="A486" i="7"/>
  <c r="A11" i="7"/>
  <c r="A43" i="7"/>
  <c r="A75" i="7"/>
  <c r="A107" i="7"/>
  <c r="A139" i="7"/>
  <c r="A171" i="7"/>
  <c r="A203" i="7"/>
  <c r="A235" i="7"/>
  <c r="A267" i="7"/>
  <c r="A299" i="7"/>
  <c r="A331" i="7"/>
  <c r="A363" i="7"/>
  <c r="A395" i="7"/>
  <c r="A427" i="7"/>
  <c r="A459" i="7"/>
  <c r="A491" i="7"/>
  <c r="A28" i="7"/>
  <c r="A60" i="7"/>
  <c r="A92" i="7"/>
  <c r="A124" i="7"/>
  <c r="A156" i="7"/>
  <c r="A188" i="7"/>
  <c r="A220" i="7"/>
  <c r="A252" i="7"/>
  <c r="A284" i="7"/>
  <c r="A316" i="7"/>
  <c r="A348" i="7"/>
  <c r="A380" i="7"/>
  <c r="A412" i="7"/>
  <c r="A444" i="7"/>
  <c r="A476" i="7"/>
  <c r="A508" i="7"/>
  <c r="A117" i="7"/>
  <c r="A245" i="7"/>
  <c r="A373" i="7"/>
  <c r="A499" i="7"/>
  <c r="A536" i="7"/>
  <c r="A568" i="7"/>
  <c r="A600" i="7"/>
  <c r="A632" i="7"/>
  <c r="A664" i="7"/>
  <c r="A696" i="7"/>
  <c r="A728" i="7"/>
  <c r="A73" i="7"/>
  <c r="A201" i="7"/>
  <c r="A329" i="7"/>
  <c r="A457" i="7"/>
  <c r="A525" i="7"/>
  <c r="A557" i="7"/>
  <c r="A589" i="7"/>
  <c r="A621" i="7"/>
  <c r="A653" i="7"/>
  <c r="A685" i="7"/>
  <c r="A717" i="7"/>
  <c r="A749" i="7"/>
  <c r="A781" i="7"/>
  <c r="A813" i="7"/>
  <c r="A845" i="7"/>
  <c r="A877" i="7"/>
  <c r="A173" i="7"/>
  <c r="A429" i="7"/>
  <c r="A550" i="7"/>
  <c r="A614" i="7"/>
  <c r="A678" i="7"/>
  <c r="A742" i="7"/>
  <c r="A784" i="7"/>
  <c r="A827" i="7"/>
  <c r="A870" i="7"/>
  <c r="A906" i="7"/>
  <c r="A938" i="7"/>
  <c r="A970" i="7"/>
  <c r="A798" i="7"/>
  <c r="A904" i="7"/>
  <c r="A988" i="7"/>
  <c r="A523" i="7"/>
  <c r="A691" i="7"/>
  <c r="A815" i="7"/>
  <c r="A921" i="7"/>
  <c r="A17" i="7"/>
  <c r="A273" i="7"/>
  <c r="A511" i="7"/>
  <c r="A575" i="7"/>
  <c r="A639" i="7"/>
  <c r="A703" i="7"/>
  <c r="A759" i="7"/>
  <c r="A802" i="7"/>
  <c r="A844" i="7"/>
  <c r="A887" i="7"/>
  <c r="A919" i="7"/>
  <c r="A951" i="7"/>
  <c r="A983" i="7"/>
  <c r="A125" i="7"/>
  <c r="A381" i="7"/>
  <c r="A538" i="7"/>
  <c r="A602" i="7"/>
  <c r="A666" i="7"/>
  <c r="A730" i="7"/>
  <c r="A776" i="7"/>
  <c r="A835" i="7"/>
  <c r="A900" i="7"/>
  <c r="A952" i="7"/>
  <c r="A33" i="7"/>
  <c r="A449" i="7"/>
  <c r="A595" i="7"/>
  <c r="A699" i="7"/>
  <c r="F990" i="7"/>
  <c r="F967" i="7"/>
  <c r="F948" i="7"/>
  <c r="E70" i="7"/>
  <c r="E326" i="7"/>
  <c r="E75" i="7"/>
  <c r="E331" i="7"/>
  <c r="E164" i="7"/>
  <c r="E420" i="7"/>
  <c r="E547" i="7"/>
  <c r="E265" i="7"/>
  <c r="E676" i="7"/>
  <c r="E488" i="7"/>
  <c r="E902" i="7"/>
  <c r="E781" i="7"/>
  <c r="E726" i="7"/>
  <c r="E157" i="7"/>
  <c r="E880" i="7"/>
  <c r="E869" i="7"/>
  <c r="D170" i="7"/>
  <c r="D426" i="7"/>
  <c r="D223" i="7"/>
  <c r="D415" i="7"/>
  <c r="D68" i="7"/>
  <c r="D324" i="7"/>
  <c r="D532" i="7"/>
  <c r="D660" i="7"/>
  <c r="D101" i="7"/>
  <c r="D441" i="7"/>
  <c r="D634" i="7"/>
  <c r="D791" i="7"/>
  <c r="D919" i="7"/>
  <c r="D125" i="7"/>
  <c r="D464" i="7"/>
  <c r="D646" i="7"/>
  <c r="D224" i="7"/>
  <c r="D695" i="7"/>
  <c r="D896" i="7"/>
  <c r="D269" i="7"/>
  <c r="D729" i="7"/>
  <c r="D982" i="7"/>
  <c r="D760" i="7"/>
  <c r="D129" i="7"/>
  <c r="D814" i="7"/>
  <c r="D908" i="7"/>
  <c r="D861" i="7"/>
  <c r="D809" i="7"/>
  <c r="C78" i="7"/>
  <c r="C206" i="7"/>
  <c r="C334" i="7"/>
  <c r="C462" i="7"/>
  <c r="C83" i="7"/>
  <c r="C211" i="7"/>
  <c r="C339" i="7"/>
  <c r="C36" i="7"/>
  <c r="C164" i="7"/>
  <c r="C292" i="7"/>
  <c r="C420" i="7"/>
  <c r="C197" i="7"/>
  <c r="C537" i="7"/>
  <c r="C665" i="7"/>
  <c r="C793" i="7"/>
  <c r="C921" i="7"/>
  <c r="C846" i="7"/>
  <c r="C233" i="7"/>
  <c r="C546" i="7"/>
  <c r="C674" i="7"/>
  <c r="C858" i="7"/>
  <c r="C463" i="7"/>
  <c r="C739" i="7"/>
  <c r="C992" i="7"/>
  <c r="C847" i="7"/>
  <c r="C704" i="7"/>
  <c r="C433" i="7"/>
  <c r="C724" i="7"/>
  <c r="C980" i="7"/>
  <c r="C823" i="7"/>
  <c r="C696" i="7"/>
  <c r="B50" i="7"/>
  <c r="B178" i="7"/>
  <c r="B306" i="7"/>
  <c r="B119" i="7"/>
  <c r="B247" i="7"/>
  <c r="B359" i="7"/>
  <c r="B439" i="7"/>
  <c r="B28" i="7"/>
  <c r="B108" i="7"/>
  <c r="B188" i="7"/>
  <c r="B284" i="7"/>
  <c r="B364" i="7"/>
  <c r="B444" i="7"/>
  <c r="B117" i="7"/>
  <c r="B377" i="7"/>
  <c r="B523" i="7"/>
  <c r="B619" i="7"/>
  <c r="B699" i="7"/>
  <c r="B779" i="7"/>
  <c r="B137" i="7"/>
  <c r="B386" i="7"/>
  <c r="B528" i="7"/>
  <c r="B624" i="7"/>
  <c r="B704" i="7"/>
  <c r="B784" i="7"/>
  <c r="B880" i="7"/>
  <c r="B960" i="7"/>
  <c r="B157" i="7"/>
  <c r="B529" i="7"/>
  <c r="B689" i="7"/>
  <c r="B846" i="7"/>
  <c r="B974" i="7"/>
  <c r="B581" i="7"/>
  <c r="B881" i="7"/>
  <c r="B590" i="7"/>
  <c r="B935" i="7"/>
  <c r="B326" i="7"/>
  <c r="B514" i="7"/>
  <c r="B586" i="7"/>
  <c r="B674" i="7"/>
  <c r="B770" i="7"/>
  <c r="B842" i="7"/>
  <c r="B885" i="7"/>
  <c r="B927" i="7"/>
  <c r="B970" i="7"/>
  <c r="B365" i="7"/>
  <c r="B565" i="7"/>
  <c r="B685" i="7"/>
  <c r="B805" i="7"/>
  <c r="B907" i="7"/>
  <c r="B982" i="7"/>
  <c r="B430" i="7"/>
  <c r="B598" i="7"/>
  <c r="B742" i="7"/>
  <c r="B887" i="7"/>
  <c r="B989" i="7"/>
  <c r="B877" i="7"/>
  <c r="A10" i="7"/>
  <c r="A42" i="7"/>
  <c r="A74" i="7"/>
  <c r="A106" i="7"/>
  <c r="A138" i="7"/>
  <c r="A170" i="7"/>
  <c r="A202" i="7"/>
  <c r="A234" i="7"/>
  <c r="A266" i="7"/>
  <c r="A298" i="7"/>
  <c r="A330" i="7"/>
  <c r="A362" i="7"/>
  <c r="A394" i="7"/>
  <c r="A426" i="7"/>
  <c r="A458" i="7"/>
  <c r="A490" i="7"/>
  <c r="A15" i="7"/>
  <c r="A47" i="7"/>
  <c r="A79" i="7"/>
  <c r="A111" i="7"/>
  <c r="A143" i="7"/>
  <c r="A175" i="7"/>
  <c r="A207" i="7"/>
  <c r="A239" i="7"/>
  <c r="A271" i="7"/>
  <c r="A303" i="7"/>
  <c r="A335" i="7"/>
  <c r="A367" i="7"/>
  <c r="A399" i="7"/>
  <c r="A431" i="7"/>
  <c r="A463" i="7"/>
  <c r="A495" i="7"/>
  <c r="A32" i="7"/>
  <c r="A64" i="7"/>
  <c r="A96" i="7"/>
  <c r="A128" i="7"/>
  <c r="A160" i="7"/>
  <c r="A192" i="7"/>
  <c r="A224" i="7"/>
  <c r="A256" i="7"/>
  <c r="A288" i="7"/>
  <c r="A320" i="7"/>
  <c r="A352" i="7"/>
  <c r="A384" i="7"/>
  <c r="A416" i="7"/>
  <c r="A448" i="7"/>
  <c r="A480" i="7"/>
  <c r="A5" i="7"/>
  <c r="A133" i="7"/>
  <c r="A261" i="7"/>
  <c r="A389" i="7"/>
  <c r="A507" i="7"/>
  <c r="A540" i="7"/>
  <c r="A572" i="7"/>
  <c r="A604" i="7"/>
  <c r="A636" i="7"/>
  <c r="A668" i="7"/>
  <c r="A700" i="7"/>
  <c r="A732" i="7"/>
  <c r="A89" i="7"/>
  <c r="A217" i="7"/>
  <c r="A345" i="7"/>
  <c r="A473" i="7"/>
  <c r="A529" i="7"/>
  <c r="A561" i="7"/>
  <c r="A593" i="7"/>
  <c r="A625" i="7"/>
  <c r="A657" i="7"/>
  <c r="A689" i="7"/>
  <c r="A721" i="7"/>
  <c r="A753" i="7"/>
  <c r="A785" i="7"/>
  <c r="A817" i="7"/>
  <c r="A849" i="7"/>
  <c r="A881" i="7"/>
  <c r="A205" i="7"/>
  <c r="A461" i="7"/>
  <c r="A558" i="7"/>
  <c r="A622" i="7"/>
  <c r="A686" i="7"/>
  <c r="A747" i="7"/>
  <c r="A790" i="7"/>
  <c r="A832" i="7"/>
  <c r="A875" i="7"/>
  <c r="A910" i="7"/>
  <c r="A942" i="7"/>
  <c r="A974" i="7"/>
  <c r="A814" i="7"/>
  <c r="A912" i="7"/>
  <c r="A996" i="7"/>
  <c r="A547" i="7"/>
  <c r="A715" i="7"/>
  <c r="A831" i="7"/>
  <c r="A929" i="7"/>
  <c r="A49" i="7"/>
  <c r="A305" i="7"/>
  <c r="A519" i="7"/>
  <c r="A583" i="7"/>
  <c r="A647" i="7"/>
  <c r="A711" i="7"/>
  <c r="A764" i="7"/>
  <c r="A807" i="7"/>
  <c r="A850" i="7"/>
  <c r="A891" i="7"/>
  <c r="A923" i="7"/>
  <c r="A955" i="7"/>
  <c r="A987" i="7"/>
  <c r="A157" i="7"/>
  <c r="A413" i="7"/>
  <c r="A546" i="7"/>
  <c r="A610" i="7"/>
  <c r="A674" i="7"/>
  <c r="A738" i="7"/>
  <c r="A782" i="7"/>
  <c r="A846" i="7"/>
  <c r="A908" i="7"/>
  <c r="A960" i="7"/>
  <c r="A97" i="7"/>
  <c r="A505" i="7"/>
  <c r="A603" i="7"/>
  <c r="A707" i="7"/>
  <c r="F750" i="7"/>
  <c r="F241" i="7"/>
  <c r="F193" i="7"/>
  <c r="E134" i="7"/>
  <c r="E390" i="7"/>
  <c r="E139" i="7"/>
  <c r="E395" i="7"/>
  <c r="E228" i="7"/>
  <c r="E5" i="7"/>
  <c r="E611" i="7"/>
  <c r="E473" i="7"/>
  <c r="E740" i="7"/>
  <c r="E621" i="7"/>
  <c r="E966" i="7"/>
  <c r="E965" i="7"/>
  <c r="E815" i="7"/>
  <c r="E521" i="7"/>
  <c r="E984" i="7"/>
  <c r="E977" i="7"/>
  <c r="D234" i="7"/>
  <c r="D31" i="7"/>
  <c r="D287" i="7"/>
  <c r="D463" i="7"/>
  <c r="D164" i="7"/>
  <c r="D420" i="7"/>
  <c r="D580" i="7"/>
  <c r="D708" i="7"/>
  <c r="D229" i="7"/>
  <c r="D527" i="7"/>
  <c r="D698" i="7"/>
  <c r="D839" i="7"/>
  <c r="D967" i="7"/>
  <c r="D253" i="7"/>
  <c r="D539" i="7"/>
  <c r="D710" i="7"/>
  <c r="D473" i="7"/>
  <c r="D789" i="7"/>
  <c r="D960" i="7"/>
  <c r="D504" i="7"/>
  <c r="D817" i="7"/>
  <c r="D341" i="7"/>
  <c r="D866" i="7"/>
  <c r="D521" i="7"/>
  <c r="D916" i="7"/>
  <c r="D361" i="7"/>
  <c r="D152" i="7"/>
  <c r="D985" i="7"/>
  <c r="C126" i="7"/>
  <c r="C254" i="7"/>
  <c r="C382" i="7"/>
  <c r="C3" i="7"/>
  <c r="C131" i="7"/>
  <c r="C259" i="7"/>
  <c r="C387" i="7"/>
  <c r="C84" i="7"/>
  <c r="C212" i="7"/>
  <c r="C340" i="7"/>
  <c r="C468" i="7"/>
  <c r="C389" i="7"/>
  <c r="C585" i="7"/>
  <c r="C713" i="7"/>
  <c r="C841" i="7"/>
  <c r="C969" i="7"/>
  <c r="C946" i="7"/>
  <c r="C425" i="7"/>
  <c r="C594" i="7"/>
  <c r="C722" i="7"/>
  <c r="C950" i="7"/>
  <c r="C579" i="7"/>
  <c r="C835" i="7"/>
  <c r="C527" i="7"/>
  <c r="C129" i="7"/>
  <c r="C904" i="7"/>
  <c r="C564" i="7"/>
  <c r="C820" i="7"/>
  <c r="C501" i="7"/>
  <c r="C33" i="7"/>
  <c r="C880" i="7"/>
  <c r="B98" i="7"/>
  <c r="B226" i="7"/>
  <c r="B39" i="7"/>
  <c r="B167" i="7"/>
  <c r="B295" i="7"/>
  <c r="B375" i="7"/>
  <c r="B471" i="7"/>
  <c r="B44" i="7"/>
  <c r="B124" i="7"/>
  <c r="B220" i="7"/>
  <c r="B300" i="7"/>
  <c r="B380" i="7"/>
  <c r="B476" i="7"/>
  <c r="B181" i="7"/>
  <c r="B409" i="7"/>
  <c r="B555" i="7"/>
  <c r="B635" i="7"/>
  <c r="B715" i="7"/>
  <c r="B811" i="7"/>
  <c r="B201" i="7"/>
  <c r="B418" i="7"/>
  <c r="B560" i="7"/>
  <c r="B640" i="7"/>
  <c r="B720" i="7"/>
  <c r="B816" i="7"/>
  <c r="B896" i="7"/>
  <c r="B976" i="7"/>
  <c r="B269" i="7"/>
  <c r="B561" i="7"/>
  <c r="B721" i="7"/>
  <c r="B889" i="7"/>
  <c r="B995" i="7"/>
  <c r="B645" i="7"/>
  <c r="B977" i="7"/>
  <c r="B654" i="7"/>
  <c r="B994" i="7"/>
  <c r="B390" i="7"/>
  <c r="B522" i="7"/>
  <c r="B610" i="7"/>
  <c r="B706" i="7"/>
  <c r="B778" i="7"/>
  <c r="B858" i="7"/>
  <c r="B901" i="7"/>
  <c r="B943" i="7"/>
  <c r="B997" i="7"/>
  <c r="B445" i="7"/>
  <c r="B605" i="7"/>
  <c r="B725" i="7"/>
  <c r="B849" i="7"/>
  <c r="B934" i="7"/>
  <c r="B193" i="7"/>
  <c r="B510" i="7"/>
  <c r="B646" i="7"/>
  <c r="B806" i="7"/>
  <c r="B925" i="7"/>
  <c r="B718" i="7"/>
  <c r="B951" i="7"/>
  <c r="A22" i="7"/>
  <c r="A54" i="7"/>
  <c r="A86" i="7"/>
  <c r="A118" i="7"/>
  <c r="A150" i="7"/>
  <c r="A182" i="7"/>
  <c r="A214" i="7"/>
  <c r="A246" i="7"/>
  <c r="A278" i="7"/>
  <c r="A310" i="7"/>
  <c r="A342" i="7"/>
  <c r="A374" i="7"/>
  <c r="A406" i="7"/>
  <c r="A438" i="7"/>
  <c r="A470" i="7"/>
  <c r="A502" i="7"/>
  <c r="A27" i="7"/>
  <c r="A59" i="7"/>
  <c r="A91" i="7"/>
  <c r="A123" i="7"/>
  <c r="A155" i="7"/>
  <c r="A187" i="7"/>
  <c r="A219" i="7"/>
  <c r="A251" i="7"/>
  <c r="A283" i="7"/>
  <c r="A315" i="7"/>
  <c r="A347" i="7"/>
  <c r="A379" i="7"/>
  <c r="A411" i="7"/>
  <c r="A443" i="7"/>
  <c r="A475" i="7"/>
  <c r="A12" i="7"/>
  <c r="A44" i="7"/>
  <c r="A76" i="7"/>
  <c r="A108" i="7"/>
  <c r="A140" i="7"/>
  <c r="A172" i="7"/>
  <c r="A204" i="7"/>
  <c r="A236" i="7"/>
  <c r="A268" i="7"/>
  <c r="A300" i="7"/>
  <c r="A332" i="7"/>
  <c r="A364" i="7"/>
  <c r="A396" i="7"/>
  <c r="A428" i="7"/>
  <c r="A460" i="7"/>
  <c r="A492" i="7"/>
  <c r="A53" i="7"/>
  <c r="A181" i="7"/>
  <c r="A309" i="7"/>
  <c r="A437" i="7"/>
  <c r="A520" i="7"/>
  <c r="A552" i="7"/>
  <c r="A584" i="7"/>
  <c r="A616" i="7"/>
  <c r="A648" i="7"/>
  <c r="A680" i="7"/>
  <c r="A712" i="7"/>
  <c r="A9" i="7"/>
  <c r="A137" i="7"/>
  <c r="A265" i="7"/>
  <c r="A393" i="7"/>
  <c r="A509" i="7"/>
  <c r="A541" i="7"/>
  <c r="A573" i="7"/>
  <c r="A605" i="7"/>
  <c r="A637" i="7"/>
  <c r="A669" i="7"/>
  <c r="A701" i="7"/>
  <c r="A733" i="7"/>
  <c r="A765" i="7"/>
  <c r="A797" i="7"/>
  <c r="A829" i="7"/>
  <c r="A861" i="7"/>
  <c r="A45" i="7"/>
  <c r="A301" i="7"/>
  <c r="A518" i="7"/>
  <c r="A582" i="7"/>
  <c r="A646" i="7"/>
  <c r="A710" i="7"/>
  <c r="A763" i="7"/>
  <c r="A806" i="7"/>
  <c r="A848" i="7"/>
  <c r="A890" i="7"/>
  <c r="A922" i="7"/>
  <c r="A954" i="7"/>
  <c r="A986" i="7"/>
  <c r="A856" i="7"/>
  <c r="A944" i="7"/>
  <c r="A257" i="7"/>
  <c r="A611" i="7"/>
  <c r="A762" i="7"/>
  <c r="A868" i="7"/>
  <c r="A961" i="7"/>
  <c r="A145" i="7"/>
  <c r="A401" i="7"/>
  <c r="A543" i="7"/>
  <c r="A607" i="7"/>
  <c r="A671" i="7"/>
  <c r="A735" i="7"/>
  <c r="A780" i="7"/>
  <c r="A823" i="7"/>
  <c r="A866" i="7"/>
  <c r="A903" i="7"/>
  <c r="A935" i="7"/>
  <c r="A967" i="7"/>
  <c r="A999" i="7"/>
  <c r="A253" i="7"/>
  <c r="A503" i="7"/>
  <c r="A570" i="7"/>
  <c r="A634" i="7"/>
  <c r="A698" i="7"/>
  <c r="A755" i="7"/>
  <c r="A803" i="7"/>
  <c r="A867" i="7"/>
  <c r="A928" i="7"/>
  <c r="A980" i="7"/>
  <c r="A225" i="7"/>
  <c r="A539" i="7"/>
  <c r="A651" i="7"/>
  <c r="A751" i="7"/>
  <c r="A820" i="7"/>
  <c r="A889" i="7"/>
  <c r="A937" i="7"/>
  <c r="A989" i="7"/>
  <c r="A756" i="7"/>
  <c r="A826" i="7"/>
  <c r="A893" i="7"/>
  <c r="A945" i="7"/>
  <c r="A997" i="7"/>
  <c r="A783" i="7"/>
  <c r="A852" i="7"/>
  <c r="A913" i="7"/>
  <c r="A965" i="7"/>
  <c r="A794" i="7"/>
  <c r="A863" i="7"/>
  <c r="A917" i="7"/>
  <c r="A969" i="7"/>
  <c r="CL1006" i="8" l="1"/>
  <c r="CN1006" i="8" s="1"/>
  <c r="CN1005" i="8"/>
  <c r="CL1005" i="8"/>
  <c r="CL1004" i="8"/>
  <c r="CN1004" i="8" s="1"/>
  <c r="CL1003" i="8"/>
  <c r="CN1003" i="8" s="1"/>
  <c r="CL1002" i="8"/>
  <c r="CN1002" i="8" s="1"/>
  <c r="CN1001" i="8"/>
  <c r="CL1001" i="8"/>
  <c r="CL1000" i="8"/>
  <c r="CN1000" i="8" s="1"/>
  <c r="CL999" i="8"/>
  <c r="CN999" i="8" s="1"/>
  <c r="CN998" i="8"/>
  <c r="CL998" i="8"/>
  <c r="CN997" i="8"/>
  <c r="CL997" i="8"/>
  <c r="CL996" i="8"/>
  <c r="CN996" i="8" s="1"/>
  <c r="CL995" i="8"/>
  <c r="CN995" i="8" s="1"/>
  <c r="CN994" i="8"/>
  <c r="CL994" i="8"/>
  <c r="CN993" i="8"/>
  <c r="CL993" i="8"/>
  <c r="CL992" i="8"/>
  <c r="CN992" i="8" s="1"/>
  <c r="CL991" i="8"/>
  <c r="CN991" i="8" s="1"/>
  <c r="CN990" i="8"/>
  <c r="CL990" i="8"/>
  <c r="CN989" i="8"/>
  <c r="CL989" i="8"/>
  <c r="CL988" i="8"/>
  <c r="CN988" i="8" s="1"/>
  <c r="CL987" i="8"/>
  <c r="CN987" i="8" s="1"/>
  <c r="CN986" i="8"/>
  <c r="CL986" i="8"/>
  <c r="CN985" i="8"/>
  <c r="CL985" i="8"/>
  <c r="CL984" i="8"/>
  <c r="CN984" i="8" s="1"/>
  <c r="CL983" i="8"/>
  <c r="CN983" i="8" s="1"/>
  <c r="CN982" i="8"/>
  <c r="CL982" i="8"/>
  <c r="CN981" i="8"/>
  <c r="CL981" i="8"/>
  <c r="CL980" i="8"/>
  <c r="CN980" i="8" s="1"/>
  <c r="CL979" i="8"/>
  <c r="CN979" i="8" s="1"/>
  <c r="CN978" i="8"/>
  <c r="CL978" i="8"/>
  <c r="CN977" i="8"/>
  <c r="CL977" i="8"/>
  <c r="CL976" i="8"/>
  <c r="CN976" i="8" s="1"/>
  <c r="CL975" i="8"/>
  <c r="CN975" i="8" s="1"/>
  <c r="CL974" i="8"/>
  <c r="CN974" i="8" s="1"/>
  <c r="CN973" i="8"/>
  <c r="CL973" i="8"/>
  <c r="CL972" i="8"/>
  <c r="CN972" i="8" s="1"/>
  <c r="CL971" i="8"/>
  <c r="CN971" i="8" s="1"/>
  <c r="CL970" i="8"/>
  <c r="CN970" i="8" s="1"/>
  <c r="CN969" i="8"/>
  <c r="CL969" i="8"/>
  <c r="CL968" i="8"/>
  <c r="CN968" i="8" s="1"/>
  <c r="CL967" i="8"/>
  <c r="CN967" i="8" s="1"/>
  <c r="CL966" i="8"/>
  <c r="CN966" i="8" s="1"/>
  <c r="CN965" i="8"/>
  <c r="CL965" i="8"/>
  <c r="CL964" i="8"/>
  <c r="CN964" i="8" s="1"/>
  <c r="CL963" i="8"/>
  <c r="CN963" i="8" s="1"/>
  <c r="CL962" i="8"/>
  <c r="CN962" i="8" s="1"/>
  <c r="CN961" i="8"/>
  <c r="CL961" i="8"/>
  <c r="CL960" i="8"/>
  <c r="CN960" i="8" s="1"/>
  <c r="CL959" i="8"/>
  <c r="CN959" i="8" s="1"/>
  <c r="CN958" i="8"/>
  <c r="CL958" i="8"/>
  <c r="CN957" i="8"/>
  <c r="CL957" i="8"/>
  <c r="CL956" i="8"/>
  <c r="CN956" i="8" s="1"/>
  <c r="CL955" i="8"/>
  <c r="CN955" i="8" s="1"/>
  <c r="CN954" i="8"/>
  <c r="CL954" i="8"/>
  <c r="CN953" i="8"/>
  <c r="CL953" i="8"/>
  <c r="CL952" i="8"/>
  <c r="CN952" i="8" s="1"/>
  <c r="CL951" i="8"/>
  <c r="CN951" i="8" s="1"/>
  <c r="CN950" i="8"/>
  <c r="CL950" i="8"/>
  <c r="CL949" i="8"/>
  <c r="CN949" i="8" s="1"/>
  <c r="CL948" i="8"/>
  <c r="CN948" i="8" s="1"/>
  <c r="CN947" i="8"/>
  <c r="CL947" i="8"/>
  <c r="CL946" i="8"/>
  <c r="CN946" i="8" s="1"/>
  <c r="CL945" i="8"/>
  <c r="CN945" i="8" s="1"/>
  <c r="CL944" i="8"/>
  <c r="CN944" i="8" s="1"/>
  <c r="CN943" i="8"/>
  <c r="CL943" i="8"/>
  <c r="CL942" i="8"/>
  <c r="CN942" i="8" s="1"/>
  <c r="CL941" i="8"/>
  <c r="CN941" i="8" s="1"/>
  <c r="CL940" i="8"/>
  <c r="CN940" i="8" s="1"/>
  <c r="CN939" i="8"/>
  <c r="CL939" i="8"/>
  <c r="CL938" i="8"/>
  <c r="CN938" i="8" s="1"/>
  <c r="CL937" i="8"/>
  <c r="CN937" i="8" s="1"/>
  <c r="CL936" i="8"/>
  <c r="CN936" i="8" s="1"/>
  <c r="CN935" i="8"/>
  <c r="CL935" i="8"/>
  <c r="CL934" i="8"/>
  <c r="CN934" i="8" s="1"/>
  <c r="CL933" i="8"/>
  <c r="CN933" i="8" s="1"/>
  <c r="CL932" i="8"/>
  <c r="CN932" i="8" s="1"/>
  <c r="CN931" i="8"/>
  <c r="CL931" i="8"/>
  <c r="CL930" i="8"/>
  <c r="CN930" i="8" s="1"/>
  <c r="CL929" i="8"/>
  <c r="CN929" i="8" s="1"/>
  <c r="CL928" i="8"/>
  <c r="CN928" i="8" s="1"/>
  <c r="CN927" i="8"/>
  <c r="CL927" i="8"/>
  <c r="CL926" i="8"/>
  <c r="CN926" i="8" s="1"/>
  <c r="CL925" i="8"/>
  <c r="CN925" i="8" s="1"/>
  <c r="CL924" i="8"/>
  <c r="CN924" i="8" s="1"/>
  <c r="CN923" i="8"/>
  <c r="CL923" i="8"/>
  <c r="CL922" i="8"/>
  <c r="CN922" i="8" s="1"/>
  <c r="CL921" i="8"/>
  <c r="CN921" i="8" s="1"/>
  <c r="CL920" i="8"/>
  <c r="CN920" i="8" s="1"/>
  <c r="CN919" i="8"/>
  <c r="CL919" i="8"/>
  <c r="CL918" i="8"/>
  <c r="CN918" i="8" s="1"/>
  <c r="CN917" i="8"/>
  <c r="CL917" i="8"/>
  <c r="CL916" i="8"/>
  <c r="CN916" i="8" s="1"/>
  <c r="CN915" i="8"/>
  <c r="CL915" i="8"/>
  <c r="CL914" i="8"/>
  <c r="CN914" i="8" s="1"/>
  <c r="CL913" i="8"/>
  <c r="CN913" i="8" s="1"/>
  <c r="CL912" i="8"/>
  <c r="CN912" i="8" s="1"/>
  <c r="CN911" i="8"/>
  <c r="CL911" i="8"/>
  <c r="CL910" i="8"/>
  <c r="CN910" i="8" s="1"/>
  <c r="CL909" i="8"/>
  <c r="CN909" i="8" s="1"/>
  <c r="CL908" i="8"/>
  <c r="CN908" i="8" s="1"/>
  <c r="CN907" i="8"/>
  <c r="CL907" i="8"/>
  <c r="CN906" i="8"/>
  <c r="CL906" i="8"/>
  <c r="CL905" i="8"/>
  <c r="CN905" i="8" s="1"/>
  <c r="CL904" i="8"/>
  <c r="CN904" i="8" s="1"/>
  <c r="CN903" i="8"/>
  <c r="CL903" i="8"/>
  <c r="CN902" i="8"/>
  <c r="CL902" i="8"/>
  <c r="CL901" i="8"/>
  <c r="CN901" i="8" s="1"/>
  <c r="CL900" i="8"/>
  <c r="CN900" i="8" s="1"/>
  <c r="CN899" i="8"/>
  <c r="CL899" i="8"/>
  <c r="CN898" i="8"/>
  <c r="CL898" i="8"/>
  <c r="CL897" i="8"/>
  <c r="CN897" i="8" s="1"/>
  <c r="CL896" i="8"/>
  <c r="CN896" i="8" s="1"/>
  <c r="CN895" i="8"/>
  <c r="CL895" i="8"/>
  <c r="CN894" i="8"/>
  <c r="CL894" i="8"/>
  <c r="CL893" i="8"/>
  <c r="CN893" i="8" s="1"/>
  <c r="CL892" i="8"/>
  <c r="CN892" i="8" s="1"/>
  <c r="CN891" i="8"/>
  <c r="CL891" i="8"/>
  <c r="CN890" i="8"/>
  <c r="CL890" i="8"/>
  <c r="CL889" i="8"/>
  <c r="CN889" i="8" s="1"/>
  <c r="CL888" i="8"/>
  <c r="CN888" i="8" s="1"/>
  <c r="CN887" i="8"/>
  <c r="CL887" i="8"/>
  <c r="CN886" i="8"/>
  <c r="CL886" i="8"/>
  <c r="CL885" i="8"/>
  <c r="CN885" i="8" s="1"/>
  <c r="CL884" i="8"/>
  <c r="CN884" i="8" s="1"/>
  <c r="CN883" i="8"/>
  <c r="CL883" i="8"/>
  <c r="CN882" i="8"/>
  <c r="CL882" i="8"/>
  <c r="CL881" i="8"/>
  <c r="CN881" i="8" s="1"/>
  <c r="CL880" i="8"/>
  <c r="CN880" i="8" s="1"/>
  <c r="CN879" i="8"/>
  <c r="CL879" i="8"/>
  <c r="CN878" i="8"/>
  <c r="CL878" i="8"/>
  <c r="CL877" i="8"/>
  <c r="CN877" i="8" s="1"/>
  <c r="CL876" i="8"/>
  <c r="CN876" i="8" s="1"/>
  <c r="CN875" i="8"/>
  <c r="CL875" i="8"/>
  <c r="CN874" i="8"/>
  <c r="CL874" i="8"/>
  <c r="CL873" i="8"/>
  <c r="CN873" i="8" s="1"/>
  <c r="CL872" i="8"/>
  <c r="CN872" i="8" s="1"/>
  <c r="CN871" i="8"/>
  <c r="CL871" i="8"/>
  <c r="CL868" i="8"/>
  <c r="CN868" i="8" s="1"/>
  <c r="CL867" i="8"/>
  <c r="CN867" i="8" s="1"/>
  <c r="CL77" i="8"/>
  <c r="CN77" i="8" s="1"/>
  <c r="CL104" i="8" l="1"/>
  <c r="CN104" i="8" s="1"/>
  <c r="CL105" i="8"/>
  <c r="CN105" i="8" s="1"/>
  <c r="B2" i="4" l="1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B523" i="4"/>
  <c r="B524" i="4"/>
  <c r="B525" i="4"/>
  <c r="B526" i="4"/>
  <c r="B527" i="4"/>
  <c r="B528" i="4"/>
  <c r="B529" i="4"/>
  <c r="B530" i="4"/>
  <c r="B531" i="4"/>
  <c r="B532" i="4"/>
  <c r="B533" i="4"/>
  <c r="B534" i="4"/>
  <c r="B535" i="4"/>
  <c r="B536" i="4"/>
  <c r="B537" i="4"/>
  <c r="B538" i="4"/>
  <c r="B539" i="4"/>
  <c r="B540" i="4"/>
  <c r="B541" i="4"/>
  <c r="B542" i="4"/>
  <c r="B543" i="4"/>
  <c r="B544" i="4"/>
  <c r="B545" i="4"/>
  <c r="B546" i="4"/>
  <c r="B547" i="4"/>
  <c r="B548" i="4"/>
  <c r="B549" i="4"/>
  <c r="B550" i="4"/>
  <c r="B551" i="4"/>
  <c r="B552" i="4"/>
  <c r="B553" i="4"/>
  <c r="B554" i="4"/>
  <c r="B555" i="4"/>
  <c r="B556" i="4"/>
  <c r="B557" i="4"/>
  <c r="B558" i="4"/>
  <c r="B559" i="4"/>
  <c r="B560" i="4"/>
  <c r="B561" i="4"/>
  <c r="B562" i="4"/>
  <c r="B563" i="4"/>
  <c r="B564" i="4"/>
  <c r="B565" i="4"/>
  <c r="B566" i="4"/>
  <c r="B567" i="4"/>
  <c r="B568" i="4"/>
  <c r="B569" i="4"/>
  <c r="B570" i="4"/>
  <c r="B571" i="4"/>
  <c r="B572" i="4"/>
  <c r="B573" i="4"/>
  <c r="B574" i="4"/>
  <c r="B575" i="4"/>
  <c r="B576" i="4"/>
  <c r="B577" i="4"/>
  <c r="B578" i="4"/>
  <c r="B579" i="4"/>
  <c r="B580" i="4"/>
  <c r="B581" i="4"/>
  <c r="B582" i="4"/>
  <c r="B583" i="4"/>
  <c r="B584" i="4"/>
  <c r="B585" i="4"/>
  <c r="B586" i="4"/>
  <c r="B587" i="4"/>
  <c r="B588" i="4"/>
  <c r="B589" i="4"/>
  <c r="B590" i="4"/>
  <c r="B591" i="4"/>
  <c r="B592" i="4"/>
  <c r="B593" i="4"/>
  <c r="B594" i="4"/>
  <c r="B595" i="4"/>
  <c r="B596" i="4"/>
  <c r="B597" i="4"/>
  <c r="B598" i="4"/>
  <c r="B599" i="4"/>
  <c r="B600" i="4"/>
  <c r="B601" i="4"/>
  <c r="B602" i="4"/>
  <c r="B603" i="4"/>
  <c r="B604" i="4"/>
  <c r="B605" i="4"/>
  <c r="B606" i="4"/>
  <c r="B607" i="4"/>
  <c r="B608" i="4"/>
  <c r="B609" i="4"/>
  <c r="B610" i="4"/>
  <c r="B611" i="4"/>
  <c r="B612" i="4"/>
  <c r="B613" i="4"/>
  <c r="B614" i="4"/>
  <c r="B615" i="4"/>
  <c r="B616" i="4"/>
  <c r="B617" i="4"/>
  <c r="B618" i="4"/>
  <c r="B619" i="4"/>
  <c r="B620" i="4"/>
  <c r="B621" i="4"/>
  <c r="B622" i="4"/>
  <c r="B623" i="4"/>
  <c r="B624" i="4"/>
  <c r="B625" i="4"/>
  <c r="B626" i="4"/>
  <c r="B627" i="4"/>
  <c r="B628" i="4"/>
  <c r="B629" i="4"/>
  <c r="B630" i="4"/>
  <c r="B631" i="4"/>
  <c r="B632" i="4"/>
  <c r="B633" i="4"/>
  <c r="B634" i="4"/>
  <c r="B635" i="4"/>
  <c r="B636" i="4"/>
  <c r="B637" i="4"/>
  <c r="B638" i="4"/>
  <c r="B639" i="4"/>
  <c r="B640" i="4"/>
  <c r="B641" i="4"/>
  <c r="B642" i="4"/>
  <c r="B643" i="4"/>
  <c r="B644" i="4"/>
  <c r="B645" i="4"/>
  <c r="B646" i="4"/>
  <c r="B647" i="4"/>
  <c r="B648" i="4"/>
  <c r="B649" i="4"/>
  <c r="B650" i="4"/>
  <c r="B651" i="4"/>
  <c r="B652" i="4"/>
  <c r="B653" i="4"/>
  <c r="B654" i="4"/>
  <c r="B655" i="4"/>
  <c r="B656" i="4"/>
  <c r="B657" i="4"/>
  <c r="B658" i="4"/>
  <c r="B659" i="4"/>
  <c r="B660" i="4"/>
  <c r="B661" i="4"/>
  <c r="B662" i="4"/>
  <c r="B663" i="4"/>
  <c r="B664" i="4"/>
  <c r="B665" i="4"/>
  <c r="B666" i="4"/>
  <c r="B667" i="4"/>
  <c r="B668" i="4"/>
  <c r="B669" i="4"/>
  <c r="B670" i="4"/>
  <c r="B671" i="4"/>
  <c r="B672" i="4"/>
  <c r="B673" i="4"/>
  <c r="B674" i="4"/>
  <c r="B675" i="4"/>
  <c r="B676" i="4"/>
  <c r="B677" i="4"/>
  <c r="B678" i="4"/>
  <c r="B679" i="4"/>
  <c r="B680" i="4"/>
  <c r="B681" i="4"/>
  <c r="B682" i="4"/>
  <c r="B683" i="4"/>
  <c r="B684" i="4"/>
  <c r="B685" i="4"/>
  <c r="B686" i="4"/>
  <c r="B687" i="4"/>
  <c r="B688" i="4"/>
  <c r="B689" i="4"/>
  <c r="B690" i="4"/>
  <c r="B691" i="4"/>
  <c r="B692" i="4"/>
  <c r="B693" i="4"/>
  <c r="B694" i="4"/>
  <c r="B695" i="4"/>
  <c r="B696" i="4"/>
  <c r="B697" i="4"/>
  <c r="B698" i="4"/>
  <c r="B699" i="4"/>
  <c r="B700" i="4"/>
  <c r="B701" i="4"/>
  <c r="B702" i="4"/>
  <c r="B703" i="4"/>
  <c r="B704" i="4"/>
  <c r="B705" i="4"/>
  <c r="B706" i="4"/>
  <c r="B707" i="4"/>
  <c r="B708" i="4"/>
  <c r="B709" i="4"/>
  <c r="B710" i="4"/>
  <c r="B711" i="4"/>
  <c r="B712" i="4"/>
  <c r="B713" i="4"/>
  <c r="B714" i="4"/>
  <c r="B715" i="4"/>
  <c r="B716" i="4"/>
  <c r="B717" i="4"/>
  <c r="B718" i="4"/>
  <c r="B719" i="4"/>
  <c r="B720" i="4"/>
  <c r="B721" i="4"/>
  <c r="B722" i="4"/>
  <c r="B723" i="4"/>
  <c r="B724" i="4"/>
  <c r="B725" i="4"/>
  <c r="B726" i="4"/>
  <c r="B727" i="4"/>
  <c r="B728" i="4"/>
  <c r="B729" i="4"/>
  <c r="B730" i="4"/>
  <c r="B731" i="4"/>
  <c r="B732" i="4"/>
  <c r="B733" i="4"/>
  <c r="B734" i="4"/>
  <c r="B735" i="4"/>
  <c r="B736" i="4"/>
  <c r="B737" i="4"/>
  <c r="B738" i="4"/>
  <c r="B739" i="4"/>
  <c r="B740" i="4"/>
  <c r="B741" i="4"/>
  <c r="B742" i="4"/>
  <c r="B743" i="4"/>
  <c r="B744" i="4"/>
  <c r="B745" i="4"/>
  <c r="B746" i="4"/>
  <c r="B747" i="4"/>
  <c r="B748" i="4"/>
  <c r="B749" i="4"/>
  <c r="B750" i="4"/>
  <c r="B751" i="4"/>
  <c r="B752" i="4"/>
  <c r="B753" i="4"/>
  <c r="B754" i="4"/>
  <c r="B755" i="4"/>
  <c r="B756" i="4"/>
  <c r="B757" i="4"/>
  <c r="B758" i="4"/>
  <c r="B759" i="4"/>
  <c r="B760" i="4"/>
  <c r="B761" i="4"/>
  <c r="B762" i="4"/>
  <c r="B763" i="4"/>
  <c r="B764" i="4"/>
  <c r="B765" i="4"/>
  <c r="B766" i="4"/>
  <c r="B767" i="4"/>
  <c r="B768" i="4"/>
  <c r="B769" i="4"/>
  <c r="B770" i="4"/>
  <c r="B771" i="4"/>
  <c r="B772" i="4"/>
  <c r="B773" i="4"/>
  <c r="B774" i="4"/>
  <c r="B775" i="4"/>
  <c r="B776" i="4"/>
  <c r="B777" i="4"/>
  <c r="B778" i="4"/>
  <c r="B779" i="4"/>
  <c r="B780" i="4"/>
  <c r="B781" i="4"/>
  <c r="B782" i="4"/>
  <c r="B783" i="4"/>
  <c r="B784" i="4"/>
  <c r="B785" i="4"/>
  <c r="B786" i="4"/>
  <c r="B787" i="4"/>
  <c r="B788" i="4"/>
  <c r="B789" i="4"/>
  <c r="B790" i="4"/>
  <c r="B791" i="4"/>
  <c r="B792" i="4"/>
  <c r="B793" i="4"/>
  <c r="B794" i="4"/>
  <c r="B795" i="4"/>
  <c r="B796" i="4"/>
  <c r="B797" i="4"/>
  <c r="B798" i="4"/>
  <c r="B799" i="4"/>
  <c r="B800" i="4"/>
  <c r="B801" i="4"/>
  <c r="B802" i="4"/>
  <c r="B803" i="4"/>
  <c r="B804" i="4"/>
  <c r="B805" i="4"/>
  <c r="B806" i="4"/>
  <c r="B807" i="4"/>
  <c r="B808" i="4"/>
  <c r="B809" i="4"/>
  <c r="B810" i="4"/>
  <c r="B811" i="4"/>
  <c r="B812" i="4"/>
  <c r="B813" i="4"/>
  <c r="B814" i="4"/>
  <c r="B815" i="4"/>
  <c r="B816" i="4"/>
  <c r="B817" i="4"/>
  <c r="B818" i="4"/>
  <c r="B819" i="4"/>
  <c r="B820" i="4"/>
  <c r="B821" i="4"/>
  <c r="B822" i="4"/>
  <c r="B823" i="4"/>
  <c r="B824" i="4"/>
  <c r="B825" i="4"/>
  <c r="B826" i="4"/>
  <c r="B827" i="4"/>
  <c r="B828" i="4"/>
  <c r="B829" i="4"/>
  <c r="B830" i="4"/>
  <c r="B831" i="4"/>
  <c r="B832" i="4"/>
  <c r="B833" i="4"/>
  <c r="B834" i="4"/>
  <c r="B835" i="4"/>
  <c r="B836" i="4"/>
  <c r="B837" i="4"/>
  <c r="B838" i="4"/>
  <c r="B839" i="4"/>
  <c r="B840" i="4"/>
  <c r="B841" i="4"/>
  <c r="B842" i="4"/>
  <c r="B843" i="4"/>
  <c r="B844" i="4"/>
  <c r="B845" i="4"/>
  <c r="B846" i="4"/>
  <c r="B847" i="4"/>
  <c r="B848" i="4"/>
  <c r="B849" i="4"/>
  <c r="B850" i="4"/>
  <c r="B851" i="4"/>
  <c r="B852" i="4"/>
  <c r="B853" i="4"/>
  <c r="B854" i="4"/>
  <c r="B855" i="4"/>
  <c r="B856" i="4"/>
  <c r="B857" i="4"/>
  <c r="B858" i="4"/>
  <c r="B859" i="4"/>
  <c r="B860" i="4"/>
  <c r="B861" i="4"/>
  <c r="B862" i="4"/>
  <c r="B863" i="4"/>
  <c r="B864" i="4"/>
  <c r="B865" i="4"/>
  <c r="B866" i="4"/>
  <c r="B867" i="4"/>
  <c r="B868" i="4"/>
  <c r="B869" i="4"/>
  <c r="B870" i="4"/>
  <c r="B871" i="4"/>
  <c r="B872" i="4"/>
  <c r="B873" i="4"/>
  <c r="B874" i="4"/>
  <c r="B875" i="4"/>
  <c r="B876" i="4"/>
  <c r="B877" i="4"/>
  <c r="B878" i="4"/>
  <c r="B879" i="4"/>
  <c r="B880" i="4"/>
  <c r="B881" i="4"/>
  <c r="B882" i="4"/>
  <c r="B883" i="4"/>
  <c r="B884" i="4"/>
  <c r="B885" i="4"/>
  <c r="B886" i="4"/>
  <c r="B887" i="4"/>
  <c r="B888" i="4"/>
  <c r="B889" i="4"/>
  <c r="B890" i="4"/>
  <c r="B891" i="4"/>
  <c r="B892" i="4"/>
  <c r="B893" i="4"/>
  <c r="B894" i="4"/>
  <c r="B895" i="4"/>
  <c r="B896" i="4"/>
  <c r="B897" i="4"/>
  <c r="B898" i="4"/>
  <c r="B899" i="4"/>
  <c r="B900" i="4"/>
  <c r="B901" i="4"/>
  <c r="B902" i="4"/>
  <c r="B903" i="4"/>
  <c r="B904" i="4"/>
  <c r="B905" i="4"/>
  <c r="B906" i="4"/>
  <c r="B907" i="4"/>
  <c r="B908" i="4"/>
  <c r="B909" i="4"/>
  <c r="B910" i="4"/>
  <c r="B911" i="4"/>
  <c r="B912" i="4"/>
  <c r="B913" i="4"/>
  <c r="B914" i="4"/>
  <c r="B915" i="4"/>
  <c r="B916" i="4"/>
  <c r="B917" i="4"/>
  <c r="B918" i="4"/>
  <c r="B919" i="4"/>
  <c r="B920" i="4"/>
  <c r="B921" i="4"/>
  <c r="B922" i="4"/>
  <c r="B923" i="4"/>
  <c r="B924" i="4"/>
  <c r="B925" i="4"/>
  <c r="B926" i="4"/>
  <c r="B927" i="4"/>
  <c r="B928" i="4"/>
  <c r="B929" i="4"/>
  <c r="B930" i="4"/>
  <c r="B931" i="4"/>
  <c r="B932" i="4"/>
  <c r="B933" i="4"/>
  <c r="B934" i="4"/>
  <c r="B935" i="4"/>
  <c r="B936" i="4"/>
  <c r="B937" i="4"/>
  <c r="B938" i="4"/>
  <c r="B939" i="4"/>
  <c r="B940" i="4"/>
  <c r="B941" i="4"/>
  <c r="B942" i="4"/>
  <c r="B943" i="4"/>
  <c r="B944" i="4"/>
  <c r="B945" i="4"/>
  <c r="B946" i="4"/>
  <c r="B947" i="4"/>
  <c r="B948" i="4"/>
  <c r="B949" i="4"/>
  <c r="B950" i="4"/>
  <c r="B951" i="4"/>
  <c r="B952" i="4"/>
  <c r="B953" i="4"/>
  <c r="B954" i="4"/>
  <c r="B955" i="4"/>
  <c r="B956" i="4"/>
  <c r="B957" i="4"/>
  <c r="B958" i="4"/>
  <c r="B959" i="4"/>
  <c r="B960" i="4"/>
  <c r="B961" i="4"/>
  <c r="B962" i="4"/>
  <c r="B963" i="4"/>
  <c r="B964" i="4"/>
  <c r="B965" i="4"/>
  <c r="B966" i="4"/>
  <c r="B967" i="4"/>
  <c r="B968" i="4"/>
  <c r="B969" i="4"/>
  <c r="B970" i="4"/>
  <c r="B971" i="4"/>
  <c r="B972" i="4"/>
  <c r="B973" i="4"/>
  <c r="B974" i="4"/>
  <c r="B975" i="4"/>
  <c r="B976" i="4"/>
  <c r="B977" i="4"/>
  <c r="B978" i="4"/>
  <c r="B979" i="4"/>
  <c r="B980" i="4"/>
  <c r="B981" i="4"/>
  <c r="B982" i="4"/>
  <c r="B983" i="4"/>
  <c r="B984" i="4"/>
  <c r="B985" i="4"/>
  <c r="B986" i="4"/>
  <c r="B987" i="4"/>
  <c r="B988" i="4"/>
  <c r="B989" i="4"/>
  <c r="B990" i="4"/>
  <c r="B991" i="4"/>
  <c r="B992" i="4"/>
  <c r="B993" i="4"/>
  <c r="B994" i="4"/>
  <c r="B995" i="4"/>
  <c r="B996" i="4"/>
  <c r="B997" i="4"/>
  <c r="B998" i="4"/>
  <c r="B999" i="4"/>
  <c r="B1000" i="4"/>
  <c r="B1001" i="4"/>
  <c r="B1002" i="4"/>
  <c r="B1003" i="4"/>
  <c r="B1004" i="4"/>
  <c r="B1005" i="4"/>
  <c r="B1006" i="4"/>
  <c r="B1007" i="4"/>
  <c r="B1008" i="4"/>
  <c r="B1009" i="4"/>
  <c r="B1010" i="4"/>
  <c r="B1011" i="4"/>
  <c r="B1012" i="4"/>
  <c r="B1013" i="4"/>
  <c r="B1014" i="4"/>
  <c r="B1015" i="4"/>
  <c r="B1016" i="4"/>
  <c r="B1017" i="4"/>
  <c r="B1018" i="4"/>
  <c r="B1019" i="4"/>
  <c r="B1020" i="4"/>
  <c r="B1021" i="4"/>
  <c r="B1022" i="4"/>
  <c r="B1023" i="4"/>
  <c r="B1024" i="4"/>
  <c r="B1025" i="4"/>
  <c r="B1026" i="4"/>
  <c r="B1027" i="4"/>
  <c r="B1028" i="4"/>
  <c r="B1029" i="4"/>
  <c r="B1030" i="4"/>
  <c r="B1031" i="4"/>
  <c r="B1032" i="4"/>
  <c r="B1033" i="4"/>
  <c r="B1034" i="4"/>
  <c r="B1035" i="4"/>
  <c r="B1036" i="4"/>
  <c r="B1037" i="4"/>
  <c r="B1038" i="4"/>
  <c r="B1039" i="4"/>
  <c r="B1040" i="4"/>
  <c r="B1041" i="4"/>
  <c r="B1042" i="4"/>
  <c r="B1043" i="4"/>
  <c r="B1044" i="4"/>
  <c r="B1045" i="4"/>
  <c r="B1046" i="4"/>
  <c r="B1047" i="4"/>
  <c r="B1048" i="4"/>
  <c r="B1049" i="4"/>
  <c r="B1050" i="4"/>
  <c r="B1051" i="4"/>
  <c r="B1052" i="4"/>
  <c r="B1053" i="4"/>
  <c r="B1054" i="4"/>
  <c r="B1055" i="4"/>
  <c r="B1056" i="4"/>
  <c r="B1057" i="4"/>
  <c r="B1058" i="4"/>
  <c r="B1059" i="4"/>
  <c r="B1060" i="4"/>
  <c r="B1061" i="4"/>
  <c r="B1062" i="4"/>
  <c r="B1063" i="4"/>
  <c r="B1064" i="4"/>
  <c r="B1065" i="4"/>
  <c r="B1066" i="4"/>
  <c r="B1067" i="4"/>
  <c r="B1068" i="4"/>
  <c r="B1069" i="4"/>
  <c r="B1070" i="4"/>
  <c r="B1071" i="4"/>
  <c r="B1072" i="4"/>
  <c r="B1073" i="4"/>
  <c r="B1074" i="4"/>
  <c r="B1075" i="4"/>
  <c r="B1076" i="4"/>
  <c r="B1077" i="4"/>
  <c r="B1078" i="4"/>
  <c r="B1079" i="4"/>
  <c r="B1080" i="4"/>
  <c r="B1081" i="4"/>
  <c r="B1082" i="4"/>
  <c r="B1083" i="4"/>
  <c r="B1084" i="4"/>
  <c r="B1085" i="4"/>
  <c r="B1086" i="4"/>
  <c r="B1087" i="4"/>
  <c r="B1088" i="4"/>
  <c r="B1089" i="4"/>
  <c r="B1090" i="4"/>
  <c r="B1091" i="4"/>
  <c r="B1092" i="4"/>
  <c r="B1093" i="4"/>
  <c r="B1094" i="4"/>
  <c r="B1095" i="4"/>
  <c r="B1096" i="4"/>
  <c r="B1097" i="4"/>
  <c r="B1098" i="4"/>
  <c r="B1099" i="4"/>
  <c r="B1100" i="4"/>
  <c r="B1101" i="4"/>
  <c r="B1102" i="4"/>
  <c r="B1103" i="4"/>
  <c r="B1104" i="4"/>
  <c r="B1105" i="4"/>
  <c r="B1106" i="4"/>
  <c r="B1107" i="4"/>
  <c r="B1108" i="4"/>
  <c r="B1109" i="4"/>
  <c r="B1110" i="4"/>
  <c r="B1111" i="4"/>
  <c r="B1112" i="4"/>
  <c r="B1113" i="4"/>
  <c r="B1114" i="4"/>
  <c r="B1115" i="4"/>
  <c r="B1116" i="4"/>
  <c r="B1117" i="4"/>
  <c r="B1118" i="4"/>
  <c r="B1119" i="4"/>
  <c r="B1120" i="4"/>
  <c r="B1121" i="4"/>
  <c r="B1122" i="4"/>
  <c r="B1123" i="4"/>
  <c r="B1124" i="4"/>
  <c r="B1125" i="4"/>
  <c r="B1126" i="4"/>
  <c r="B1127" i="4"/>
  <c r="B1128" i="4"/>
  <c r="B1129" i="4"/>
  <c r="B1130" i="4"/>
  <c r="B1131" i="4"/>
  <c r="B1132" i="4"/>
  <c r="B1133" i="4"/>
  <c r="B1134" i="4"/>
  <c r="B1135" i="4"/>
  <c r="B1136" i="4"/>
  <c r="B1137" i="4"/>
  <c r="B1138" i="4"/>
  <c r="B1139" i="4"/>
  <c r="B1140" i="4"/>
  <c r="B1141" i="4"/>
  <c r="B1142" i="4"/>
  <c r="B1143" i="4"/>
  <c r="B1144" i="4"/>
  <c r="B1145" i="4"/>
  <c r="B1146" i="4"/>
  <c r="B1147" i="4"/>
  <c r="B1148" i="4"/>
  <c r="B1149" i="4"/>
  <c r="B1150" i="4"/>
  <c r="B1151" i="4"/>
  <c r="B1152" i="4"/>
  <c r="B1153" i="4"/>
  <c r="B1154" i="4"/>
  <c r="B1155" i="4"/>
  <c r="B1156" i="4"/>
  <c r="B1157" i="4"/>
  <c r="B1158" i="4"/>
  <c r="B1159" i="4"/>
  <c r="B1160" i="4"/>
  <c r="B1161" i="4"/>
  <c r="B1162" i="4"/>
  <c r="B1163" i="4"/>
  <c r="B1164" i="4"/>
  <c r="B1165" i="4"/>
  <c r="B1166" i="4"/>
  <c r="B1167" i="4"/>
  <c r="B1168" i="4"/>
  <c r="B1169" i="4"/>
  <c r="B1170" i="4"/>
  <c r="B1171" i="4"/>
  <c r="B1172" i="4"/>
  <c r="B1173" i="4"/>
  <c r="B1174" i="4"/>
  <c r="B1175" i="4"/>
  <c r="B1176" i="4"/>
  <c r="B1177" i="4"/>
  <c r="B1178" i="4"/>
  <c r="B1179" i="4"/>
  <c r="B1180" i="4"/>
  <c r="B1181" i="4"/>
  <c r="B1182" i="4"/>
  <c r="B1183" i="4"/>
  <c r="B1184" i="4"/>
  <c r="B1185" i="4"/>
  <c r="B1186" i="4"/>
  <c r="B1187" i="4"/>
  <c r="B1188" i="4"/>
  <c r="B1189" i="4"/>
  <c r="B1190" i="4"/>
  <c r="B1191" i="4"/>
  <c r="B1192" i="4"/>
  <c r="B1193" i="4"/>
  <c r="B1194" i="4"/>
  <c r="B1195" i="4"/>
  <c r="B1196" i="4"/>
  <c r="B1197" i="4"/>
  <c r="B1198" i="4"/>
  <c r="B1199" i="4"/>
  <c r="B1200" i="4"/>
  <c r="B1201" i="4"/>
  <c r="B1202" i="4"/>
  <c r="B1203" i="4"/>
  <c r="B1204" i="4"/>
  <c r="B1205" i="4"/>
  <c r="B1206" i="4"/>
  <c r="B1207" i="4"/>
  <c r="B1208" i="4"/>
  <c r="B1209" i="4"/>
  <c r="B1210" i="4"/>
  <c r="B1211" i="4"/>
  <c r="B1212" i="4"/>
  <c r="B1213" i="4"/>
  <c r="B1214" i="4"/>
  <c r="B1215" i="4"/>
  <c r="B1216" i="4"/>
  <c r="B1217" i="4"/>
  <c r="B1218" i="4"/>
  <c r="B1219" i="4"/>
  <c r="B1220" i="4"/>
  <c r="B1221" i="4"/>
  <c r="B1222" i="4"/>
  <c r="B1223" i="4"/>
  <c r="B1224" i="4"/>
  <c r="B1225" i="4"/>
  <c r="B1226" i="4"/>
  <c r="B1227" i="4"/>
  <c r="B1228" i="4"/>
  <c r="B1229" i="4"/>
  <c r="B1230" i="4"/>
  <c r="B1231" i="4"/>
  <c r="B1232" i="4"/>
  <c r="B1233" i="4"/>
  <c r="B1234" i="4"/>
  <c r="B1235" i="4"/>
  <c r="B1236" i="4"/>
  <c r="B1237" i="4"/>
  <c r="B1238" i="4"/>
  <c r="B1239" i="4"/>
  <c r="B1240" i="4"/>
  <c r="B1241" i="4"/>
  <c r="B1242" i="4"/>
  <c r="B1243" i="4"/>
  <c r="B1244" i="4"/>
  <c r="B1245" i="4"/>
  <c r="B1246" i="4"/>
  <c r="B1247" i="4"/>
  <c r="B1248" i="4"/>
  <c r="B1249" i="4"/>
  <c r="B1250" i="4"/>
  <c r="B1251" i="4"/>
  <c r="B1252" i="4"/>
  <c r="B1253" i="4"/>
  <c r="B1254" i="4"/>
  <c r="B1255" i="4"/>
  <c r="B1256" i="4"/>
  <c r="B1257" i="4"/>
  <c r="B1258" i="4"/>
  <c r="B1259" i="4"/>
  <c r="B1260" i="4"/>
  <c r="B1261" i="4"/>
  <c r="B1262" i="4"/>
  <c r="B1263" i="4"/>
  <c r="B1264" i="4"/>
  <c r="B1265" i="4"/>
  <c r="B1266" i="4"/>
  <c r="B1267" i="4"/>
  <c r="B1268" i="4"/>
  <c r="B1269" i="4"/>
  <c r="B1270" i="4"/>
  <c r="B1271" i="4"/>
  <c r="B1272" i="4"/>
  <c r="B1273" i="4"/>
  <c r="B1274" i="4"/>
  <c r="B1275" i="4"/>
  <c r="B1276" i="4"/>
  <c r="B1277" i="4"/>
  <c r="B1278" i="4"/>
  <c r="B1279" i="4"/>
  <c r="B1280" i="4"/>
  <c r="B1281" i="4"/>
  <c r="B1282" i="4"/>
  <c r="B1283" i="4"/>
  <c r="B1284" i="4"/>
  <c r="B1285" i="4"/>
  <c r="B1286" i="4"/>
  <c r="B1287" i="4"/>
  <c r="B1288" i="4"/>
  <c r="B1289" i="4"/>
  <c r="B1290" i="4"/>
  <c r="B1291" i="4"/>
  <c r="B1292" i="4"/>
  <c r="B1293" i="4"/>
  <c r="B1294" i="4"/>
  <c r="B1295" i="4"/>
  <c r="B1296" i="4"/>
  <c r="B1297" i="4"/>
  <c r="B1298" i="4"/>
  <c r="B1299" i="4"/>
  <c r="B1300" i="4"/>
  <c r="B1301" i="4"/>
  <c r="B1302" i="4"/>
  <c r="B1303" i="4"/>
  <c r="B1304" i="4"/>
  <c r="B1305" i="4"/>
  <c r="B1306" i="4"/>
  <c r="B1307" i="4"/>
  <c r="B1308" i="4"/>
  <c r="B1309" i="4"/>
  <c r="B1310" i="4"/>
  <c r="B1311" i="4"/>
  <c r="B1312" i="4"/>
  <c r="B1313" i="4"/>
  <c r="B1314" i="4"/>
  <c r="B1315" i="4"/>
  <c r="B1316" i="4"/>
  <c r="B1317" i="4"/>
  <c r="B1318" i="4"/>
  <c r="B1319" i="4"/>
  <c r="B1320" i="4"/>
  <c r="B1321" i="4"/>
  <c r="B1322" i="4"/>
  <c r="B1323" i="4"/>
  <c r="B1324" i="4"/>
  <c r="B1325" i="4"/>
  <c r="B1326" i="4"/>
  <c r="B1327" i="4"/>
  <c r="B1328" i="4"/>
  <c r="B1329" i="4"/>
  <c r="B1330" i="4"/>
  <c r="B1331" i="4"/>
  <c r="B1332" i="4"/>
  <c r="B1333" i="4"/>
  <c r="B1334" i="4"/>
  <c r="B1335" i="4"/>
  <c r="B1336" i="4"/>
  <c r="B1337" i="4"/>
  <c r="B1338" i="4"/>
  <c r="B1339" i="4"/>
  <c r="B1340" i="4"/>
  <c r="B1341" i="4"/>
  <c r="B1342" i="4"/>
  <c r="B1343" i="4"/>
  <c r="B1344" i="4"/>
  <c r="B1345" i="4"/>
  <c r="B1346" i="4"/>
  <c r="B1347" i="4"/>
  <c r="B1348" i="4"/>
  <c r="B1349" i="4"/>
  <c r="B1350" i="4"/>
  <c r="B1351" i="4"/>
  <c r="B1352" i="4"/>
  <c r="B1353" i="4"/>
  <c r="B1354" i="4"/>
  <c r="B1355" i="4"/>
  <c r="B1356" i="4"/>
  <c r="B1357" i="4"/>
  <c r="B1358" i="4"/>
  <c r="B1359" i="4"/>
  <c r="B1360" i="4"/>
  <c r="B1361" i="4"/>
  <c r="B1362" i="4"/>
  <c r="B1363" i="4"/>
  <c r="B1364" i="4"/>
  <c r="B1365" i="4"/>
  <c r="B1366" i="4"/>
  <c r="B1367" i="4"/>
  <c r="B1368" i="4"/>
  <c r="B1369" i="4"/>
  <c r="B1370" i="4"/>
  <c r="B1371" i="4"/>
  <c r="B1372" i="4"/>
  <c r="B1373" i="4"/>
  <c r="B1374" i="4"/>
  <c r="B1375" i="4"/>
  <c r="B1376" i="4"/>
  <c r="B1377" i="4"/>
  <c r="B1378" i="4"/>
  <c r="B1379" i="4"/>
  <c r="B1380" i="4"/>
  <c r="B1381" i="4"/>
  <c r="B1382" i="4"/>
  <c r="B1383" i="4"/>
  <c r="B1384" i="4"/>
  <c r="B1385" i="4"/>
  <c r="B1386" i="4"/>
  <c r="B1387" i="4"/>
  <c r="B1388" i="4"/>
  <c r="B1389" i="4"/>
  <c r="B1390" i="4"/>
  <c r="B1391" i="4"/>
  <c r="B1392" i="4"/>
  <c r="B1393" i="4"/>
  <c r="B1394" i="4"/>
  <c r="B1395" i="4"/>
  <c r="B1396" i="4"/>
  <c r="B1397" i="4"/>
  <c r="B1398" i="4"/>
  <c r="B1399" i="4"/>
  <c r="B1400" i="4"/>
  <c r="B1401" i="4"/>
  <c r="B1402" i="4"/>
  <c r="B1403" i="4"/>
  <c r="B1404" i="4"/>
  <c r="B1405" i="4"/>
  <c r="B1406" i="4"/>
  <c r="B1407" i="4"/>
  <c r="B1408" i="4"/>
  <c r="B1409" i="4"/>
  <c r="B1410" i="4"/>
  <c r="B1411" i="4"/>
  <c r="B1412" i="4"/>
  <c r="B1413" i="4"/>
  <c r="B1414" i="4"/>
  <c r="B1415" i="4"/>
  <c r="B1416" i="4"/>
  <c r="B1417" i="4"/>
  <c r="B1418" i="4"/>
  <c r="B1419" i="4"/>
  <c r="B1420" i="4"/>
  <c r="B1421" i="4"/>
  <c r="B1422" i="4"/>
  <c r="B1423" i="4"/>
  <c r="B1424" i="4"/>
  <c r="B1425" i="4"/>
  <c r="B1426" i="4"/>
  <c r="B1427" i="4"/>
  <c r="B1428" i="4"/>
  <c r="B1429" i="4"/>
  <c r="B1430" i="4"/>
  <c r="B1431" i="4"/>
  <c r="B1432" i="4"/>
  <c r="B1433" i="4"/>
  <c r="B1434" i="4"/>
  <c r="B1435" i="4"/>
  <c r="B1436" i="4"/>
  <c r="B1437" i="4"/>
  <c r="B1438" i="4"/>
  <c r="B1439" i="4"/>
  <c r="B1440" i="4"/>
  <c r="B1441" i="4"/>
  <c r="B1442" i="4"/>
  <c r="B1443" i="4"/>
  <c r="B1444" i="4"/>
  <c r="B1445" i="4"/>
  <c r="B1446" i="4"/>
  <c r="B1447" i="4"/>
  <c r="B1448" i="4"/>
  <c r="B1449" i="4"/>
  <c r="B1450" i="4"/>
  <c r="B1451" i="4"/>
  <c r="B1452" i="4"/>
  <c r="B1453" i="4"/>
  <c r="B1454" i="4"/>
  <c r="B1455" i="4"/>
  <c r="B1456" i="4"/>
  <c r="B1457" i="4"/>
  <c r="B1458" i="4"/>
  <c r="B1459" i="4"/>
  <c r="B1460" i="4"/>
  <c r="B1461" i="4"/>
  <c r="B1462" i="4"/>
  <c r="B1463" i="4"/>
  <c r="B1464" i="4"/>
  <c r="B1465" i="4"/>
  <c r="B1466" i="4"/>
  <c r="B1467" i="4"/>
  <c r="B1468" i="4"/>
  <c r="B1469" i="4"/>
  <c r="B1470" i="4"/>
  <c r="B1471" i="4"/>
  <c r="B1472" i="4"/>
  <c r="B1473" i="4"/>
  <c r="B1474" i="4"/>
  <c r="B1475" i="4"/>
  <c r="B1476" i="4"/>
  <c r="B1477" i="4"/>
  <c r="B1478" i="4"/>
  <c r="B1479" i="4"/>
  <c r="B1480" i="4"/>
  <c r="B1481" i="4"/>
  <c r="B1482" i="4"/>
  <c r="B1483" i="4"/>
  <c r="B1484" i="4"/>
  <c r="B1485" i="4"/>
  <c r="B1486" i="4"/>
  <c r="B1487" i="4"/>
  <c r="B1488" i="4"/>
  <c r="B1489" i="4"/>
  <c r="B1490" i="4"/>
  <c r="B1491" i="4"/>
  <c r="B1492" i="4"/>
  <c r="B1493" i="4"/>
  <c r="B1494" i="4"/>
  <c r="B1495" i="4"/>
  <c r="B1496" i="4"/>
  <c r="B1497" i="4"/>
  <c r="B1498" i="4"/>
  <c r="B1499" i="4"/>
  <c r="B1233" i="3"/>
  <c r="B1155" i="3"/>
  <c r="B1160" i="3"/>
  <c r="B1163" i="3"/>
  <c r="B1176" i="3"/>
  <c r="B1177" i="3"/>
  <c r="B1179" i="3"/>
  <c r="B1181" i="3"/>
  <c r="B1183" i="3"/>
  <c r="B1185" i="3"/>
  <c r="B1186" i="3"/>
  <c r="B1196" i="3"/>
  <c r="B1197" i="3"/>
  <c r="B1201" i="3"/>
  <c r="B1203" i="3"/>
  <c r="B1205" i="3"/>
  <c r="B1217" i="3"/>
  <c r="B1220" i="3"/>
  <c r="B1232" i="3"/>
  <c r="B1235" i="3"/>
  <c r="B1242" i="3"/>
  <c r="B1244" i="3"/>
  <c r="B1248" i="3"/>
  <c r="B1250" i="3"/>
  <c r="B1261" i="3"/>
  <c r="B1263" i="3"/>
  <c r="B1265" i="3"/>
  <c r="B1222" i="3"/>
  <c r="B1187" i="3"/>
  <c r="B1180" i="3"/>
  <c r="B1168" i="3"/>
  <c r="B1158" i="3"/>
  <c r="B1159" i="3"/>
  <c r="B1161" i="3"/>
  <c r="B1166" i="3"/>
  <c r="B1167" i="3"/>
  <c r="B1169" i="3"/>
  <c r="B1173" i="3"/>
  <c r="B1174" i="3"/>
  <c r="B1184" i="3"/>
  <c r="B1193" i="3"/>
  <c r="B1194" i="3"/>
  <c r="B1198" i="3"/>
  <c r="B1199" i="3"/>
  <c r="B1200" i="3"/>
  <c r="B1212" i="3"/>
  <c r="B1213" i="3"/>
  <c r="B1214" i="3"/>
  <c r="B1202" i="3"/>
  <c r="B1219" i="3"/>
  <c r="B1225" i="3"/>
  <c r="B1227" i="3"/>
  <c r="B1240" i="3"/>
  <c r="B1243" i="3"/>
  <c r="B1245" i="3"/>
  <c r="B1246" i="3"/>
  <c r="B1249" i="3"/>
  <c r="B1255" i="3"/>
  <c r="B1257" i="3"/>
  <c r="B1258" i="3"/>
  <c r="B1259" i="3"/>
  <c r="B1262" i="3"/>
  <c r="B1264" i="3"/>
  <c r="B1238" i="3"/>
  <c r="B1164" i="3"/>
  <c r="B1178" i="3"/>
  <c r="B1182" i="3"/>
  <c r="B1188" i="3"/>
  <c r="B1195" i="3"/>
  <c r="B1204" i="3"/>
  <c r="B1216" i="3"/>
  <c r="B1236" i="3"/>
  <c r="B1247" i="3"/>
  <c r="B1266" i="3"/>
  <c r="B1165" i="3"/>
  <c r="B1209" i="3"/>
  <c r="B1211" i="3"/>
  <c r="B1215" i="3"/>
  <c r="B1223" i="3"/>
  <c r="B1241" i="3"/>
  <c r="B1256" i="3"/>
  <c r="B1260" i="3"/>
  <c r="B1157" i="3"/>
  <c r="B1172" i="3"/>
  <c r="B1218" i="3"/>
  <c r="B1226" i="3"/>
  <c r="B1152" i="3"/>
  <c r="B1162" i="3"/>
  <c r="B1207" i="3"/>
  <c r="B1224" i="3"/>
  <c r="B1237" i="3"/>
  <c r="B1239" i="3"/>
  <c r="B1175" i="3"/>
  <c r="B1192" i="3"/>
  <c r="B1221" i="3"/>
  <c r="B1189" i="3"/>
  <c r="B1190" i="3"/>
  <c r="B1191" i="3"/>
  <c r="B1210" i="3"/>
  <c r="B1156" i="3"/>
  <c r="B1206" i="3"/>
  <c r="B1208" i="3"/>
  <c r="B1234" i="3"/>
  <c r="B1267" i="3"/>
  <c r="B1154" i="3"/>
  <c r="B1153" i="3"/>
  <c r="B1171" i="3"/>
  <c r="B1170" i="3"/>
  <c r="B1252" i="3"/>
  <c r="B1251" i="3"/>
  <c r="B1254" i="3"/>
  <c r="B1253" i="3"/>
  <c r="B1229" i="3"/>
  <c r="B1228" i="3"/>
  <c r="B1231" i="3"/>
  <c r="B1230" i="3"/>
  <c r="B1383" i="3"/>
  <c r="B1382" i="3"/>
  <c r="B1381" i="3"/>
  <c r="B1380" i="3"/>
  <c r="B1379" i="3"/>
  <c r="B1378" i="3"/>
  <c r="B1377" i="3"/>
  <c r="B1376" i="3"/>
  <c r="B1375" i="3"/>
  <c r="B1374" i="3"/>
  <c r="B1373" i="3"/>
  <c r="B1372" i="3"/>
  <c r="B1371" i="3"/>
  <c r="B1370" i="3"/>
  <c r="B1369" i="3"/>
  <c r="B1368" i="3"/>
  <c r="B1367" i="3"/>
  <c r="B1366" i="3"/>
  <c r="B1365" i="3"/>
  <c r="B1364" i="3"/>
  <c r="B1363" i="3"/>
  <c r="B1362" i="3"/>
  <c r="B1361" i="3"/>
  <c r="B1360" i="3"/>
  <c r="B1359" i="3"/>
  <c r="B1358" i="3"/>
  <c r="B1357" i="3"/>
  <c r="B1356" i="3"/>
  <c r="B1355" i="3"/>
  <c r="B1354" i="3"/>
  <c r="B1353" i="3"/>
  <c r="B1352" i="3"/>
  <c r="B1351" i="3"/>
  <c r="B1350" i="3"/>
  <c r="B1349" i="3"/>
  <c r="B1348" i="3"/>
  <c r="B1347" i="3"/>
  <c r="B1346" i="3"/>
  <c r="B1345" i="3"/>
  <c r="B1344" i="3"/>
  <c r="B1343" i="3"/>
  <c r="B1342" i="3"/>
  <c r="B1341" i="3"/>
  <c r="B1340" i="3"/>
  <c r="B1339" i="3"/>
  <c r="B1338" i="3"/>
  <c r="B1337" i="3"/>
  <c r="B1336" i="3"/>
  <c r="B1335" i="3"/>
  <c r="B1334" i="3"/>
  <c r="B1333" i="3"/>
  <c r="B1332" i="3"/>
  <c r="B1331" i="3"/>
  <c r="B1330" i="3"/>
  <c r="B1329" i="3"/>
  <c r="B1328" i="3"/>
  <c r="B1327" i="3"/>
  <c r="B1326" i="3"/>
  <c r="B1325" i="3"/>
  <c r="B1324" i="3"/>
  <c r="B1323" i="3"/>
  <c r="B1322" i="3"/>
  <c r="B1321" i="3"/>
  <c r="B1289" i="3"/>
  <c r="B1288" i="3"/>
  <c r="B1287" i="3"/>
  <c r="B1286" i="3"/>
  <c r="B1285" i="3"/>
  <c r="B1284" i="3"/>
  <c r="B1283" i="3"/>
  <c r="B1282" i="3"/>
  <c r="B1281" i="3"/>
  <c r="B1280" i="3"/>
  <c r="B1297" i="3"/>
  <c r="B1296" i="3"/>
  <c r="B1295" i="3"/>
  <c r="B1294" i="3"/>
  <c r="B1293" i="3"/>
  <c r="B1292" i="3"/>
  <c r="B1291" i="3"/>
  <c r="B1290" i="3"/>
  <c r="B1301" i="3"/>
  <c r="B1300" i="3"/>
  <c r="B1299" i="3"/>
  <c r="B1298" i="3"/>
  <c r="B1307" i="3"/>
  <c r="B1306" i="3"/>
  <c r="B1305" i="3"/>
  <c r="B1304" i="3"/>
  <c r="B1303" i="3"/>
  <c r="B1302" i="3"/>
  <c r="B1320" i="3"/>
  <c r="B1319" i="3"/>
  <c r="B1318" i="3"/>
  <c r="B1317" i="3"/>
  <c r="B1316" i="3"/>
  <c r="B1315" i="3"/>
  <c r="B1314" i="3"/>
  <c r="B1313" i="3"/>
  <c r="B1312" i="3"/>
  <c r="B1311" i="3"/>
  <c r="B1310" i="3"/>
  <c r="B1309" i="3"/>
  <c r="B1308" i="3"/>
  <c r="B1279" i="3"/>
  <c r="B1278" i="3"/>
  <c r="B1277" i="3"/>
  <c r="B1276" i="3"/>
  <c r="B1275" i="3"/>
  <c r="B1274" i="3"/>
  <c r="B1273" i="3"/>
  <c r="B1272" i="3"/>
  <c r="B1271" i="3"/>
  <c r="B1270" i="3"/>
  <c r="B1269" i="3"/>
  <c r="B1268" i="3"/>
  <c r="B1470" i="3"/>
  <c r="B1471" i="3"/>
  <c r="B1472" i="3"/>
  <c r="B1474" i="3"/>
  <c r="B1475" i="3"/>
  <c r="B1476" i="3"/>
  <c r="B1478" i="3"/>
  <c r="B1479" i="3"/>
  <c r="B1480" i="3"/>
  <c r="B1481" i="3"/>
  <c r="B1483" i="3"/>
  <c r="B1484" i="3"/>
  <c r="B1485" i="3"/>
  <c r="B1486" i="3"/>
  <c r="B1487" i="3"/>
  <c r="B1488" i="3"/>
  <c r="B1489" i="3"/>
  <c r="B1491" i="3"/>
  <c r="B1492" i="3"/>
  <c r="B1493" i="3"/>
  <c r="B1494" i="3"/>
  <c r="B1495" i="3"/>
  <c r="B1496" i="3"/>
  <c r="B1497" i="3"/>
  <c r="B1498" i="3"/>
  <c r="B1499" i="3"/>
  <c r="B1490" i="3"/>
  <c r="B1482" i="3"/>
  <c r="B1477" i="3"/>
  <c r="B1473" i="3"/>
  <c r="B1437" i="3"/>
  <c r="B1438" i="3"/>
  <c r="B1439" i="3"/>
  <c r="B1440" i="3"/>
  <c r="B1441" i="3"/>
  <c r="B1442" i="3"/>
  <c r="B1443" i="3"/>
  <c r="B1444" i="3"/>
  <c r="B1445" i="3"/>
  <c r="B1446" i="3"/>
  <c r="B1447" i="3"/>
  <c r="B1448" i="3"/>
  <c r="B1449" i="3"/>
  <c r="B1450" i="3"/>
  <c r="B1452" i="3"/>
  <c r="B1453" i="3"/>
  <c r="B1454" i="3"/>
  <c r="B1451" i="3"/>
  <c r="B1455" i="3"/>
  <c r="B1456" i="3"/>
  <c r="B1457" i="3"/>
  <c r="B1459" i="3"/>
  <c r="B1460" i="3"/>
  <c r="B1461" i="3"/>
  <c r="B1462" i="3"/>
  <c r="B1463" i="3"/>
  <c r="B1464" i="3"/>
  <c r="B1465" i="3"/>
  <c r="B1466" i="3"/>
  <c r="B1467" i="3"/>
  <c r="B1468" i="3"/>
  <c r="B1469" i="3"/>
  <c r="B1458" i="3"/>
  <c r="B1396" i="3"/>
  <c r="B1397" i="3"/>
  <c r="B1398" i="3"/>
  <c r="B1399" i="3"/>
  <c r="B1400" i="3"/>
  <c r="B1401" i="3"/>
  <c r="B1402" i="3"/>
  <c r="B1403" i="3"/>
  <c r="B1404" i="3"/>
  <c r="B1405" i="3"/>
  <c r="B1406" i="3"/>
  <c r="B1407" i="3"/>
  <c r="B1408" i="3"/>
  <c r="B1409" i="3"/>
  <c r="B1410" i="3"/>
  <c r="B1411" i="3"/>
  <c r="B1412" i="3"/>
  <c r="B1413" i="3"/>
  <c r="B1414" i="3"/>
  <c r="B1415" i="3"/>
  <c r="B1416" i="3"/>
  <c r="B1417" i="3"/>
  <c r="B1418" i="3"/>
  <c r="B1419" i="3"/>
  <c r="B1420" i="3"/>
  <c r="B1421" i="3"/>
  <c r="B1422" i="3"/>
  <c r="B1423" i="3"/>
  <c r="B1425" i="3"/>
  <c r="B1429" i="3"/>
  <c r="B1433" i="3"/>
  <c r="B1426" i="3"/>
  <c r="B1427" i="3"/>
  <c r="B1428" i="3"/>
  <c r="B1432" i="3"/>
  <c r="B1434" i="3"/>
  <c r="B1424" i="3"/>
  <c r="B1430" i="3"/>
  <c r="B1431" i="3"/>
  <c r="B1435" i="3"/>
  <c r="B1436" i="3"/>
  <c r="B1385" i="3"/>
  <c r="B1384" i="3"/>
  <c r="B1387" i="3"/>
  <c r="B1386" i="3"/>
  <c r="B1393" i="3"/>
  <c r="B1392" i="3"/>
  <c r="B1395" i="3"/>
  <c r="B1394" i="3"/>
  <c r="B1389" i="3"/>
  <c r="B1388" i="3"/>
  <c r="B1391" i="3"/>
  <c r="B1390" i="3"/>
  <c r="B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1001" i="3"/>
  <c r="B1002" i="3"/>
  <c r="B1003" i="3"/>
  <c r="B1004" i="3"/>
  <c r="B1005" i="3"/>
  <c r="B1006" i="3"/>
  <c r="B1007" i="3"/>
  <c r="B1008" i="3"/>
  <c r="B1009" i="3"/>
  <c r="B1010" i="3"/>
  <c r="B1011" i="3"/>
  <c r="B1012" i="3"/>
  <c r="B1013" i="3"/>
  <c r="B1014" i="3"/>
  <c r="B1015" i="3"/>
  <c r="B1016" i="3"/>
  <c r="B1017" i="3"/>
  <c r="B1018" i="3"/>
  <c r="B1019" i="3"/>
  <c r="B1020" i="3"/>
  <c r="B1021" i="3"/>
  <c r="B1022" i="3"/>
  <c r="B1023" i="3"/>
  <c r="B1024" i="3"/>
  <c r="B1025" i="3"/>
  <c r="B1026" i="3"/>
  <c r="B1027" i="3"/>
  <c r="B1028" i="3"/>
  <c r="B1029" i="3"/>
  <c r="B1030" i="3"/>
  <c r="B1031" i="3"/>
  <c r="B1032" i="3"/>
  <c r="B1033" i="3"/>
  <c r="B1034" i="3"/>
  <c r="B1035" i="3"/>
  <c r="B1036" i="3"/>
  <c r="B1037" i="3"/>
  <c r="B1038" i="3"/>
  <c r="B1039" i="3"/>
  <c r="B1040" i="3"/>
  <c r="B1041" i="3"/>
  <c r="B1042" i="3"/>
  <c r="B1043" i="3"/>
  <c r="B1044" i="3"/>
  <c r="B1045" i="3"/>
  <c r="B1046" i="3"/>
  <c r="B1047" i="3"/>
  <c r="B1048" i="3"/>
  <c r="B1049" i="3"/>
  <c r="B1050" i="3"/>
  <c r="B1051" i="3"/>
  <c r="B1052" i="3"/>
  <c r="B1053" i="3"/>
  <c r="B1054" i="3"/>
  <c r="B1055" i="3"/>
  <c r="B1056" i="3"/>
  <c r="B1057" i="3"/>
  <c r="B1058" i="3"/>
  <c r="B1059" i="3"/>
  <c r="B1060" i="3"/>
  <c r="B1061" i="3"/>
  <c r="B1062" i="3"/>
  <c r="B1063" i="3"/>
  <c r="B1064" i="3"/>
  <c r="B1065" i="3"/>
  <c r="B1066" i="3"/>
  <c r="B1067" i="3"/>
  <c r="B1068" i="3"/>
  <c r="B1069" i="3"/>
  <c r="B1070" i="3"/>
  <c r="B1071" i="3"/>
  <c r="B1072" i="3"/>
  <c r="B1073" i="3"/>
  <c r="B1074" i="3"/>
  <c r="B1075" i="3"/>
  <c r="B1076" i="3"/>
  <c r="B1077" i="3"/>
  <c r="B1078" i="3"/>
  <c r="B1079" i="3"/>
  <c r="B1080" i="3"/>
  <c r="B1081" i="3"/>
  <c r="B1082" i="3"/>
  <c r="B1083" i="3"/>
  <c r="B1084" i="3"/>
  <c r="B1085" i="3"/>
  <c r="B1086" i="3"/>
  <c r="B1087" i="3"/>
  <c r="B1088" i="3"/>
  <c r="B1089" i="3"/>
  <c r="B1090" i="3"/>
  <c r="B1091" i="3"/>
  <c r="B1092" i="3"/>
  <c r="B1093" i="3"/>
  <c r="B1094" i="3"/>
  <c r="B1095" i="3"/>
  <c r="B1096" i="3"/>
  <c r="B1097" i="3"/>
  <c r="B1098" i="3"/>
  <c r="B1099" i="3"/>
  <c r="B1100" i="3"/>
  <c r="B1101" i="3"/>
  <c r="B1102" i="3"/>
  <c r="B1103" i="3"/>
  <c r="B1104" i="3"/>
  <c r="B1105" i="3"/>
  <c r="B1106" i="3"/>
  <c r="B1107" i="3"/>
  <c r="B1108" i="3"/>
  <c r="B1109" i="3"/>
  <c r="B1110" i="3"/>
  <c r="B1111" i="3"/>
  <c r="B1112" i="3"/>
  <c r="B1113" i="3"/>
  <c r="B1114" i="3"/>
  <c r="B1115" i="3"/>
  <c r="B1116" i="3"/>
  <c r="B1117" i="3"/>
  <c r="B1118" i="3"/>
  <c r="B1119" i="3"/>
  <c r="B1120" i="3"/>
  <c r="B1121" i="3"/>
  <c r="B1122" i="3"/>
  <c r="B1123" i="3"/>
  <c r="B1124" i="3"/>
  <c r="B1125" i="3"/>
  <c r="B1126" i="3"/>
  <c r="B1127" i="3"/>
  <c r="B1128" i="3"/>
  <c r="B1129" i="3"/>
  <c r="B1130" i="3"/>
  <c r="B1131" i="3"/>
  <c r="B1132" i="3"/>
  <c r="B1133" i="3"/>
  <c r="B1134" i="3"/>
  <c r="B1135" i="3"/>
  <c r="B1136" i="3"/>
  <c r="B1137" i="3"/>
  <c r="B1138" i="3"/>
  <c r="B1139" i="3"/>
  <c r="B1140" i="3"/>
  <c r="B1141" i="3"/>
  <c r="B1142" i="3"/>
  <c r="B1143" i="3"/>
  <c r="B1144" i="3"/>
  <c r="B1145" i="3"/>
  <c r="B1146" i="3"/>
  <c r="B1147" i="3"/>
  <c r="B1148" i="3"/>
  <c r="B1149" i="3"/>
  <c r="B1150" i="3"/>
  <c r="B1151" i="3"/>
  <c r="C532" i="4" l="1"/>
  <c r="C548" i="4"/>
  <c r="C564" i="4"/>
  <c r="C584" i="4"/>
  <c r="C588" i="4"/>
  <c r="C600" i="4"/>
  <c r="C604" i="4"/>
  <c r="C616" i="4"/>
  <c r="C620" i="4"/>
  <c r="C632" i="4"/>
  <c r="C636" i="4"/>
  <c r="C640" i="4"/>
  <c r="C648" i="4"/>
  <c r="C652" i="4"/>
  <c r="C656" i="4"/>
  <c r="C664" i="4"/>
  <c r="C336" i="4"/>
  <c r="C341" i="4"/>
  <c r="C345" i="4"/>
  <c r="C349" i="4"/>
  <c r="C353" i="4"/>
  <c r="C357" i="4"/>
  <c r="C361" i="4"/>
  <c r="C365" i="4"/>
  <c r="C369" i="4"/>
  <c r="C373" i="4"/>
  <c r="C377" i="4"/>
  <c r="C381" i="4"/>
  <c r="C385" i="4"/>
  <c r="C389" i="4"/>
  <c r="C393" i="4"/>
  <c r="C397" i="4"/>
  <c r="C401" i="4"/>
  <c r="C405" i="4"/>
  <c r="C409" i="4"/>
  <c r="C413" i="4"/>
  <c r="C417" i="4"/>
  <c r="C421" i="4"/>
  <c r="C425" i="4"/>
  <c r="C429" i="4"/>
  <c r="C433" i="4"/>
  <c r="C437" i="4"/>
  <c r="C441" i="4"/>
  <c r="C445" i="4"/>
  <c r="C449" i="4"/>
  <c r="C453" i="4"/>
  <c r="C457" i="4"/>
  <c r="C461" i="4"/>
  <c r="C465" i="4"/>
  <c r="C469" i="4"/>
  <c r="C473" i="4"/>
  <c r="C477" i="4"/>
  <c r="C481" i="4"/>
  <c r="C485" i="4"/>
  <c r="C489" i="4"/>
  <c r="C493" i="4"/>
  <c r="C497" i="4"/>
  <c r="C501" i="4"/>
  <c r="C505" i="4"/>
  <c r="C509" i="4"/>
  <c r="C513" i="4"/>
  <c r="C517" i="4"/>
  <c r="C521" i="4"/>
  <c r="C525" i="4"/>
  <c r="C529" i="4"/>
  <c r="C533" i="4"/>
  <c r="C537" i="4"/>
  <c r="C541" i="4"/>
  <c r="C545" i="4"/>
  <c r="C549" i="4"/>
  <c r="C553" i="4"/>
  <c r="C557" i="4"/>
  <c r="C561" i="4"/>
  <c r="C565" i="4"/>
  <c r="C569" i="4"/>
  <c r="C573" i="4"/>
  <c r="C577" i="4"/>
  <c r="C581" i="4"/>
  <c r="C585" i="4"/>
  <c r="C589" i="4"/>
  <c r="C593" i="4"/>
  <c r="C597" i="4"/>
  <c r="C601" i="4"/>
  <c r="C605" i="4"/>
  <c r="C609" i="4"/>
  <c r="C613" i="4"/>
  <c r="C617" i="4"/>
  <c r="C621" i="4"/>
  <c r="C625" i="4"/>
  <c r="C629" i="4"/>
  <c r="C633" i="4"/>
  <c r="C637" i="4"/>
  <c r="C641" i="4"/>
  <c r="C645" i="4"/>
  <c r="C649" i="4"/>
  <c r="C653" i="4"/>
  <c r="C657" i="4"/>
  <c r="C661" i="4"/>
  <c r="C665" i="4"/>
  <c r="C669" i="4"/>
  <c r="C673" i="4"/>
  <c r="C668" i="4"/>
  <c r="C677" i="4"/>
  <c r="C681" i="4"/>
  <c r="C685" i="4"/>
  <c r="C689" i="4"/>
  <c r="C693" i="4"/>
  <c r="C697" i="4"/>
  <c r="C701" i="4"/>
  <c r="C705" i="4"/>
  <c r="C709" i="4"/>
  <c r="C713" i="4"/>
  <c r="C717" i="4"/>
  <c r="C721" i="4"/>
  <c r="C725" i="4"/>
  <c r="C729" i="4"/>
  <c r="C733" i="4"/>
  <c r="C737" i="4"/>
  <c r="C741" i="4"/>
  <c r="C745" i="4"/>
  <c r="C749" i="4"/>
  <c r="C753" i="4"/>
  <c r="C757" i="4"/>
  <c r="C761" i="4"/>
  <c r="C765" i="4"/>
  <c r="C769" i="4"/>
  <c r="C773" i="4"/>
  <c r="C777" i="4"/>
  <c r="C781" i="4"/>
  <c r="C785" i="4"/>
  <c r="C789" i="4"/>
  <c r="C793" i="4"/>
  <c r="C797" i="4"/>
  <c r="C801" i="4"/>
  <c r="C805" i="4"/>
  <c r="C809" i="4"/>
  <c r="C813" i="4"/>
  <c r="C817" i="4"/>
  <c r="C821" i="4"/>
  <c r="C825" i="4"/>
  <c r="C829" i="4"/>
  <c r="C833" i="4"/>
  <c r="C837" i="4"/>
  <c r="C841" i="4"/>
  <c r="C845" i="4"/>
  <c r="C849" i="4"/>
  <c r="C853" i="4"/>
  <c r="C857" i="4"/>
  <c r="C861" i="4"/>
  <c r="C865" i="4"/>
  <c r="C869" i="4"/>
  <c r="C873" i="4"/>
  <c r="C877" i="4"/>
  <c r="C881" i="4"/>
  <c r="C885" i="4"/>
  <c r="C889" i="4"/>
  <c r="C893" i="4"/>
  <c r="C897" i="4"/>
  <c r="C901" i="4"/>
  <c r="C905" i="4"/>
  <c r="C909" i="4"/>
  <c r="C913" i="4"/>
  <c r="C917" i="4"/>
  <c r="C921" i="4"/>
  <c r="C925" i="4"/>
  <c r="C929" i="4"/>
  <c r="C933" i="4"/>
  <c r="C937" i="4"/>
  <c r="C941" i="4"/>
  <c r="C945" i="4"/>
  <c r="C949" i="4"/>
  <c r="C953" i="4"/>
  <c r="C957" i="4"/>
  <c r="C961" i="4"/>
  <c r="C965" i="4"/>
  <c r="C969" i="4"/>
  <c r="C973" i="4"/>
  <c r="C977" i="4"/>
  <c r="C981" i="4"/>
  <c r="C985" i="4"/>
  <c r="C989" i="4"/>
  <c r="C993" i="4"/>
  <c r="C997" i="4"/>
  <c r="C1001" i="4"/>
  <c r="C1005" i="4"/>
  <c r="C1009" i="4"/>
  <c r="C1013" i="4"/>
  <c r="C1017" i="4"/>
  <c r="C672" i="4"/>
  <c r="C678" i="4"/>
  <c r="C682" i="4"/>
  <c r="C686" i="4"/>
  <c r="C690" i="4"/>
  <c r="C694" i="4"/>
  <c r="C698" i="4"/>
  <c r="C702" i="4"/>
  <c r="C706" i="4"/>
  <c r="C710" i="4"/>
  <c r="C714" i="4"/>
  <c r="C718" i="4"/>
  <c r="C722" i="4"/>
  <c r="C726" i="4"/>
  <c r="C730" i="4"/>
  <c r="C734" i="4"/>
  <c r="C738" i="4"/>
  <c r="C742" i="4"/>
  <c r="C746" i="4"/>
  <c r="C750" i="4"/>
  <c r="C754" i="4"/>
  <c r="C758" i="4"/>
  <c r="C762" i="4"/>
  <c r="C766" i="4"/>
  <c r="C770" i="4"/>
  <c r="C774" i="4"/>
  <c r="C778" i="4"/>
  <c r="C782" i="4"/>
  <c r="C786" i="4"/>
  <c r="C790" i="4"/>
  <c r="C794" i="4"/>
  <c r="C798" i="4"/>
  <c r="C802" i="4"/>
  <c r="C806" i="4"/>
  <c r="C810" i="4"/>
  <c r="C814" i="4"/>
  <c r="C818" i="4"/>
  <c r="C822" i="4"/>
  <c r="C826" i="4"/>
  <c r="C830" i="4"/>
  <c r="C834" i="4"/>
  <c r="C838" i="4"/>
  <c r="C842" i="4"/>
  <c r="C846" i="4"/>
  <c r="C850" i="4"/>
  <c r="C854" i="4"/>
  <c r="C858" i="4"/>
  <c r="C862" i="4"/>
  <c r="C866" i="4"/>
  <c r="C870" i="4"/>
  <c r="C874" i="4"/>
  <c r="C878" i="4"/>
  <c r="C882" i="4"/>
  <c r="C886" i="4"/>
  <c r="C890" i="4"/>
  <c r="C894" i="4"/>
  <c r="C898" i="4"/>
  <c r="C902" i="4"/>
  <c r="C906" i="4"/>
  <c r="C910" i="4"/>
  <c r="C914" i="4"/>
  <c r="C918" i="4"/>
  <c r="C922" i="4"/>
  <c r="C926" i="4"/>
  <c r="C930" i="4"/>
  <c r="C934" i="4"/>
  <c r="C938" i="4"/>
  <c r="C942" i="4"/>
  <c r="C946" i="4"/>
  <c r="C950" i="4"/>
  <c r="C954" i="4"/>
  <c r="C958" i="4"/>
  <c r="C962" i="4"/>
  <c r="C966" i="4"/>
  <c r="C970" i="4"/>
  <c r="C974" i="4"/>
  <c r="C978" i="4"/>
  <c r="C982" i="4"/>
  <c r="C986" i="4"/>
  <c r="C990" i="4"/>
  <c r="C994" i="4"/>
  <c r="C998" i="4"/>
  <c r="C1002" i="4"/>
  <c r="C1006" i="4"/>
  <c r="C1010" i="4"/>
  <c r="C1014" i="4"/>
  <c r="C1018" i="4"/>
  <c r="C674" i="4"/>
  <c r="C679" i="4"/>
  <c r="C683" i="4"/>
  <c r="C687" i="4"/>
  <c r="C691" i="4"/>
  <c r="C695" i="4"/>
  <c r="C699" i="4"/>
  <c r="C703" i="4"/>
  <c r="C707" i="4"/>
  <c r="C711" i="4"/>
  <c r="C715" i="4"/>
  <c r="C719" i="4"/>
  <c r="C723" i="4"/>
  <c r="C727" i="4"/>
  <c r="C731" i="4"/>
  <c r="C735" i="4"/>
  <c r="C739" i="4"/>
  <c r="C743" i="4"/>
  <c r="C747" i="4"/>
  <c r="C751" i="4"/>
  <c r="C755" i="4"/>
  <c r="C759" i="4"/>
  <c r="C763" i="4"/>
  <c r="C767" i="4"/>
  <c r="C771" i="4"/>
  <c r="C775" i="4"/>
  <c r="C779" i="4"/>
  <c r="C783" i="4"/>
  <c r="C787" i="4"/>
  <c r="C791" i="4"/>
  <c r="C795" i="4"/>
  <c r="C799" i="4"/>
  <c r="C803" i="4"/>
  <c r="C807" i="4"/>
  <c r="C811" i="4"/>
  <c r="C815" i="4"/>
  <c r="C819" i="4"/>
  <c r="C823" i="4"/>
  <c r="C827" i="4"/>
  <c r="C831" i="4"/>
  <c r="C835" i="4"/>
  <c r="C839" i="4"/>
  <c r="C843" i="4"/>
  <c r="C847" i="4"/>
  <c r="C851" i="4"/>
  <c r="C855" i="4"/>
  <c r="C859" i="4"/>
  <c r="C863" i="4"/>
  <c r="C867" i="4"/>
  <c r="C871" i="4"/>
  <c r="C875" i="4"/>
  <c r="C879" i="4"/>
  <c r="C883" i="4"/>
  <c r="C887" i="4"/>
  <c r="C891" i="4"/>
  <c r="C895" i="4"/>
  <c r="C899" i="4"/>
  <c r="C903" i="4"/>
  <c r="C907" i="4"/>
  <c r="C911" i="4"/>
  <c r="C915" i="4"/>
  <c r="C919" i="4"/>
  <c r="C923" i="4"/>
  <c r="C927" i="4"/>
  <c r="C931" i="4"/>
  <c r="C935" i="4"/>
  <c r="C939" i="4"/>
  <c r="C943" i="4"/>
  <c r="C947" i="4"/>
  <c r="C951" i="4"/>
  <c r="C955" i="4"/>
  <c r="C959" i="4"/>
  <c r="C963" i="4"/>
  <c r="C967" i="4"/>
  <c r="C971" i="4"/>
  <c r="C975" i="4"/>
  <c r="C979" i="4"/>
  <c r="C983" i="4"/>
  <c r="C987" i="4"/>
  <c r="C991" i="4"/>
  <c r="C995" i="4"/>
  <c r="C999" i="4"/>
  <c r="C676" i="4"/>
  <c r="C680" i="4"/>
  <c r="C684" i="4"/>
  <c r="C688" i="4"/>
  <c r="C692" i="4"/>
  <c r="C696" i="4"/>
  <c r="C700" i="4"/>
  <c r="C704" i="4"/>
  <c r="C708" i="4"/>
  <c r="C712" i="4"/>
  <c r="C716" i="4"/>
  <c r="C720" i="4"/>
  <c r="C724" i="4"/>
  <c r="C728" i="4"/>
  <c r="C732" i="4"/>
  <c r="C736" i="4"/>
  <c r="C740" i="4"/>
  <c r="C744" i="4"/>
  <c r="C748" i="4"/>
  <c r="C752" i="4"/>
  <c r="C756" i="4"/>
  <c r="C760" i="4"/>
  <c r="C764" i="4"/>
  <c r="C768" i="4"/>
  <c r="C772" i="4"/>
  <c r="C776" i="4"/>
  <c r="C780" i="4"/>
  <c r="C784" i="4"/>
  <c r="C788" i="4"/>
  <c r="C792" i="4"/>
  <c r="C796" i="4"/>
  <c r="C800" i="4"/>
  <c r="C804" i="4"/>
  <c r="C808" i="4"/>
  <c r="C812" i="4"/>
  <c r="C816" i="4"/>
  <c r="C820" i="4"/>
  <c r="C824" i="4"/>
  <c r="C828" i="4"/>
  <c r="C832" i="4"/>
  <c r="C836" i="4"/>
  <c r="C840" i="4"/>
  <c r="C844" i="4"/>
  <c r="C848" i="4"/>
  <c r="C852" i="4"/>
  <c r="C856" i="4"/>
  <c r="C860" i="4"/>
  <c r="C864" i="4"/>
  <c r="C868" i="4"/>
  <c r="C872" i="4"/>
  <c r="C876" i="4"/>
  <c r="C880" i="4"/>
  <c r="C884" i="4"/>
  <c r="C888" i="4"/>
  <c r="C892" i="4"/>
  <c r="C896" i="4"/>
  <c r="C900" i="4"/>
  <c r="C904" i="4"/>
  <c r="C908" i="4"/>
  <c r="C912" i="4"/>
  <c r="C916" i="4"/>
  <c r="C920" i="4"/>
  <c r="C924" i="4"/>
  <c r="C928" i="4"/>
  <c r="C932" i="4"/>
  <c r="C936" i="4"/>
  <c r="C940" i="4"/>
  <c r="C944" i="4"/>
  <c r="C948" i="4"/>
  <c r="C952" i="4"/>
  <c r="C956" i="4"/>
  <c r="C960" i="4"/>
  <c r="C964" i="4"/>
  <c r="C968" i="4"/>
  <c r="C972" i="4"/>
  <c r="C976" i="4"/>
  <c r="C980" i="4"/>
  <c r="C984" i="4"/>
  <c r="C988" i="4"/>
  <c r="C992" i="4"/>
  <c r="C996" i="4"/>
  <c r="C1000" i="4"/>
  <c r="C1004" i="4"/>
  <c r="C1008" i="4"/>
  <c r="C1012" i="4"/>
  <c r="C1003" i="4"/>
  <c r="C1016" i="4"/>
  <c r="C1022" i="4"/>
  <c r="C1026" i="4"/>
  <c r="C1030" i="4"/>
  <c r="C1034" i="4"/>
  <c r="C1038" i="4"/>
  <c r="C1042" i="4"/>
  <c r="C1046" i="4"/>
  <c r="C1050" i="4"/>
  <c r="C1054" i="4"/>
  <c r="C1058" i="4"/>
  <c r="C1062" i="4"/>
  <c r="C1066" i="4"/>
  <c r="C1070" i="4"/>
  <c r="C1074" i="4"/>
  <c r="C1078" i="4"/>
  <c r="C1082" i="4"/>
  <c r="C1086" i="4"/>
  <c r="C1090" i="4"/>
  <c r="C1094" i="4"/>
  <c r="C1098" i="4"/>
  <c r="C1102" i="4"/>
  <c r="C1106" i="4"/>
  <c r="C1110" i="4"/>
  <c r="C1114" i="4"/>
  <c r="C1118" i="4"/>
  <c r="C1122" i="4"/>
  <c r="C1126" i="4"/>
  <c r="C1130" i="4"/>
  <c r="C1134" i="4"/>
  <c r="C1138" i="4"/>
  <c r="C1142" i="4"/>
  <c r="C1146" i="4"/>
  <c r="C1150" i="4"/>
  <c r="C1154" i="4"/>
  <c r="C1158" i="4"/>
  <c r="C1162" i="4"/>
  <c r="C1166" i="4"/>
  <c r="C1170" i="4"/>
  <c r="C1174" i="4"/>
  <c r="C1178" i="4"/>
  <c r="C1182" i="4"/>
  <c r="C1186" i="4"/>
  <c r="C1190" i="4"/>
  <c r="C1194" i="4"/>
  <c r="C1198" i="4"/>
  <c r="C1202" i="4"/>
  <c r="C1206" i="4"/>
  <c r="C1210" i="4"/>
  <c r="C1214" i="4"/>
  <c r="C1218" i="4"/>
  <c r="C1222" i="4"/>
  <c r="C1226" i="4"/>
  <c r="C1230" i="4"/>
  <c r="C1234" i="4"/>
  <c r="C1238" i="4"/>
  <c r="C1242" i="4"/>
  <c r="C1246" i="4"/>
  <c r="C1250" i="4"/>
  <c r="C1254" i="4"/>
  <c r="C1258" i="4"/>
  <c r="C1262" i="4"/>
  <c r="C1266" i="4"/>
  <c r="C1270" i="4"/>
  <c r="C1274" i="4"/>
  <c r="C1278" i="4"/>
  <c r="C1282" i="4"/>
  <c r="C1286" i="4"/>
  <c r="C1290" i="4"/>
  <c r="C1294" i="4"/>
  <c r="C1298" i="4"/>
  <c r="C1302" i="4"/>
  <c r="C1306" i="4"/>
  <c r="C1310" i="4"/>
  <c r="C1314" i="4"/>
  <c r="C1318" i="4"/>
  <c r="C1322" i="4"/>
  <c r="C1326" i="4"/>
  <c r="C1330" i="4"/>
  <c r="C1334" i="4"/>
  <c r="C1338" i="4"/>
  <c r="C1342" i="4"/>
  <c r="C1346" i="4"/>
  <c r="C1350" i="4"/>
  <c r="C1354" i="4"/>
  <c r="C1358" i="4"/>
  <c r="C1362" i="4"/>
  <c r="C1366" i="4"/>
  <c r="C1007" i="4"/>
  <c r="C1019" i="4"/>
  <c r="C1023" i="4"/>
  <c r="C1027" i="4"/>
  <c r="C1031" i="4"/>
  <c r="C1035" i="4"/>
  <c r="C1039" i="4"/>
  <c r="C1043" i="4"/>
  <c r="C1047" i="4"/>
  <c r="C1051" i="4"/>
  <c r="C1055" i="4"/>
  <c r="C1059" i="4"/>
  <c r="C1063" i="4"/>
  <c r="C1067" i="4"/>
  <c r="C1071" i="4"/>
  <c r="C1075" i="4"/>
  <c r="C1079" i="4"/>
  <c r="C1083" i="4"/>
  <c r="C1087" i="4"/>
  <c r="C1091" i="4"/>
  <c r="C1095" i="4"/>
  <c r="C1099" i="4"/>
  <c r="C1103" i="4"/>
  <c r="C1107" i="4"/>
  <c r="C1111" i="4"/>
  <c r="C1115" i="4"/>
  <c r="C1119" i="4"/>
  <c r="C1123" i="4"/>
  <c r="C1127" i="4"/>
  <c r="C1131" i="4"/>
  <c r="C1135" i="4"/>
  <c r="C1139" i="4"/>
  <c r="C1143" i="4"/>
  <c r="C1147" i="4"/>
  <c r="C1151" i="4"/>
  <c r="C1155" i="4"/>
  <c r="C1159" i="4"/>
  <c r="C1163" i="4"/>
  <c r="C1167" i="4"/>
  <c r="C1171" i="4"/>
  <c r="C1175" i="4"/>
  <c r="C1179" i="4"/>
  <c r="C1183" i="4"/>
  <c r="C1187" i="4"/>
  <c r="C1191" i="4"/>
  <c r="C1195" i="4"/>
  <c r="C1199" i="4"/>
  <c r="C1203" i="4"/>
  <c r="C1207" i="4"/>
  <c r="C1211" i="4"/>
  <c r="C1215" i="4"/>
  <c r="C1219" i="4"/>
  <c r="C1223" i="4"/>
  <c r="C1227" i="4"/>
  <c r="C1231" i="4"/>
  <c r="C1235" i="4"/>
  <c r="C1239" i="4"/>
  <c r="C1243" i="4"/>
  <c r="C1247" i="4"/>
  <c r="C1251" i="4"/>
  <c r="C1255" i="4"/>
  <c r="C1259" i="4"/>
  <c r="C1263" i="4"/>
  <c r="C1267" i="4"/>
  <c r="C1271" i="4"/>
  <c r="C1275" i="4"/>
  <c r="C1279" i="4"/>
  <c r="C1283" i="4"/>
  <c r="C1287" i="4"/>
  <c r="C1291" i="4"/>
  <c r="C1295" i="4"/>
  <c r="C1299" i="4"/>
  <c r="C1303" i="4"/>
  <c r="C1307" i="4"/>
  <c r="C1311" i="4"/>
  <c r="C1315" i="4"/>
  <c r="C1319" i="4"/>
  <c r="C1323" i="4"/>
  <c r="C1327" i="4"/>
  <c r="C1331" i="4"/>
  <c r="C1335" i="4"/>
  <c r="C1339" i="4"/>
  <c r="C1343" i="4"/>
  <c r="C1347" i="4"/>
  <c r="C1351" i="4"/>
  <c r="C1355" i="4"/>
  <c r="C1359" i="4"/>
  <c r="C1363" i="4"/>
  <c r="C1367" i="4"/>
  <c r="C1371" i="4"/>
  <c r="C1011" i="4"/>
  <c r="C1020" i="4"/>
  <c r="C1024" i="4"/>
  <c r="C1028" i="4"/>
  <c r="C1032" i="4"/>
  <c r="C1036" i="4"/>
  <c r="C1040" i="4"/>
  <c r="C1044" i="4"/>
  <c r="C1048" i="4"/>
  <c r="C1052" i="4"/>
  <c r="C1056" i="4"/>
  <c r="C1060" i="4"/>
  <c r="C1064" i="4"/>
  <c r="C1068" i="4"/>
  <c r="C1072" i="4"/>
  <c r="C1076" i="4"/>
  <c r="C1080" i="4"/>
  <c r="C1084" i="4"/>
  <c r="C1088" i="4"/>
  <c r="C1092" i="4"/>
  <c r="C1096" i="4"/>
  <c r="C1100" i="4"/>
  <c r="C1104" i="4"/>
  <c r="C1108" i="4"/>
  <c r="C1112" i="4"/>
  <c r="C1116" i="4"/>
  <c r="C1120" i="4"/>
  <c r="C1124" i="4"/>
  <c r="C1128" i="4"/>
  <c r="C1132" i="4"/>
  <c r="C1136" i="4"/>
  <c r="C1140" i="4"/>
  <c r="C1144" i="4"/>
  <c r="C1148" i="4"/>
  <c r="C1152" i="4"/>
  <c r="C1156" i="4"/>
  <c r="C1160" i="4"/>
  <c r="C1164" i="4"/>
  <c r="C1168" i="4"/>
  <c r="C1172" i="4"/>
  <c r="C1176" i="4"/>
  <c r="C1180" i="4"/>
  <c r="C1184" i="4"/>
  <c r="C1188" i="4"/>
  <c r="C1192" i="4"/>
  <c r="C1196" i="4"/>
  <c r="C1200" i="4"/>
  <c r="C1204" i="4"/>
  <c r="C1208" i="4"/>
  <c r="C1212" i="4"/>
  <c r="C1216" i="4"/>
  <c r="C1220" i="4"/>
  <c r="C1224" i="4"/>
  <c r="C1228" i="4"/>
  <c r="C1232" i="4"/>
  <c r="C1236" i="4"/>
  <c r="C1240" i="4"/>
  <c r="C1244" i="4"/>
  <c r="C1248" i="4"/>
  <c r="C1252" i="4"/>
  <c r="C1256" i="4"/>
  <c r="C1260" i="4"/>
  <c r="C1264" i="4"/>
  <c r="C1268" i="4"/>
  <c r="C1272" i="4"/>
  <c r="C1276" i="4"/>
  <c r="C1280" i="4"/>
  <c r="C1284" i="4"/>
  <c r="C1288" i="4"/>
  <c r="C1292" i="4"/>
  <c r="C1296" i="4"/>
  <c r="C1300" i="4"/>
  <c r="C1304" i="4"/>
  <c r="C1308" i="4"/>
  <c r="C1312" i="4"/>
  <c r="C1316" i="4"/>
  <c r="C1320" i="4"/>
  <c r="C1324" i="4"/>
  <c r="C1328" i="4"/>
  <c r="C1332" i="4"/>
  <c r="C1336" i="4"/>
  <c r="C1340" i="4"/>
  <c r="C1344" i="4"/>
  <c r="C1348" i="4"/>
  <c r="C1352" i="4"/>
  <c r="C1015" i="4"/>
  <c r="C1021" i="4"/>
  <c r="C1025" i="4"/>
  <c r="C1029" i="4"/>
  <c r="C1033" i="4"/>
  <c r="C1037" i="4"/>
  <c r="C1041" i="4"/>
  <c r="C1045" i="4"/>
  <c r="C1049" i="4"/>
  <c r="C1053" i="4"/>
  <c r="C1057" i="4"/>
  <c r="C1061" i="4"/>
  <c r="C1065" i="4"/>
  <c r="C1069" i="4"/>
  <c r="C1073" i="4"/>
  <c r="C1077" i="4"/>
  <c r="C1081" i="4"/>
  <c r="C1085" i="4"/>
  <c r="C1089" i="4"/>
  <c r="C1093" i="4"/>
  <c r="C1097" i="4"/>
  <c r="C1101" i="4"/>
  <c r="C1105" i="4"/>
  <c r="C1109" i="4"/>
  <c r="C1113" i="4"/>
  <c r="C1117" i="4"/>
  <c r="C1121" i="4"/>
  <c r="C1125" i="4"/>
  <c r="C1129" i="4"/>
  <c r="C1133" i="4"/>
  <c r="C1137" i="4"/>
  <c r="C1141" i="4"/>
  <c r="C1145" i="4"/>
  <c r="C1149" i="4"/>
  <c r="C1153" i="4"/>
  <c r="C1157" i="4"/>
  <c r="C1161" i="4"/>
  <c r="C1165" i="4"/>
  <c r="C1169" i="4"/>
  <c r="C1173" i="4"/>
  <c r="C1177" i="4"/>
  <c r="C1181" i="4"/>
  <c r="C1185" i="4"/>
  <c r="C1189" i="4"/>
  <c r="C1193" i="4"/>
  <c r="C1197" i="4"/>
  <c r="C1201" i="4"/>
  <c r="C1205" i="4"/>
  <c r="C1209" i="4"/>
  <c r="C1213" i="4"/>
  <c r="C1217" i="4"/>
  <c r="C1221" i="4"/>
  <c r="C1225" i="4"/>
  <c r="C1229" i="4"/>
  <c r="C1233" i="4"/>
  <c r="C1237" i="4"/>
  <c r="C1241" i="4"/>
  <c r="C1245" i="4"/>
  <c r="C1249" i="4"/>
  <c r="C1253" i="4"/>
  <c r="C1257" i="4"/>
  <c r="C1261" i="4"/>
  <c r="C1265" i="4"/>
  <c r="C1269" i="4"/>
  <c r="C1273" i="4"/>
  <c r="C1277" i="4"/>
  <c r="C1281" i="4"/>
  <c r="C1285" i="4"/>
  <c r="C1289" i="4"/>
  <c r="C1293" i="4"/>
  <c r="C1297" i="4"/>
  <c r="C1301" i="4"/>
  <c r="C1305" i="4"/>
  <c r="C1309" i="4"/>
  <c r="C1313" i="4"/>
  <c r="C1317" i="4"/>
  <c r="C1321" i="4"/>
  <c r="C1325" i="4"/>
  <c r="C1329" i="4"/>
  <c r="C1333" i="4"/>
  <c r="C1337" i="4"/>
  <c r="C1341" i="4"/>
  <c r="C1345" i="4"/>
  <c r="C1349" i="4"/>
  <c r="C1353" i="4"/>
  <c r="C1357" i="4"/>
  <c r="C1356" i="4"/>
  <c r="C1365" i="4"/>
  <c r="C1372" i="4"/>
  <c r="C1376" i="4"/>
  <c r="C1380" i="4"/>
  <c r="C1384" i="4"/>
  <c r="C1388" i="4"/>
  <c r="C1392" i="4"/>
  <c r="C1396" i="4"/>
  <c r="C1400" i="4"/>
  <c r="C1404" i="4"/>
  <c r="C1408" i="4"/>
  <c r="C1412" i="4"/>
  <c r="C1416" i="4"/>
  <c r="C1420" i="4"/>
  <c r="C1424" i="4"/>
  <c r="C1428" i="4"/>
  <c r="C1432" i="4"/>
  <c r="C1436" i="4"/>
  <c r="C1440" i="4"/>
  <c r="C1444" i="4"/>
  <c r="C1448" i="4"/>
  <c r="C1452" i="4"/>
  <c r="C1456" i="4"/>
  <c r="C1460" i="4"/>
  <c r="C1464" i="4"/>
  <c r="C1468" i="4"/>
  <c r="C1472" i="4"/>
  <c r="C1476" i="4"/>
  <c r="C1480" i="4"/>
  <c r="C1484" i="4"/>
  <c r="C1488" i="4"/>
  <c r="C1492" i="4"/>
  <c r="C1496" i="4"/>
  <c r="C1360" i="4"/>
  <c r="C1368" i="4"/>
  <c r="C1373" i="4"/>
  <c r="C1377" i="4"/>
  <c r="C1381" i="4"/>
  <c r="C1385" i="4"/>
  <c r="C1389" i="4"/>
  <c r="C1393" i="4"/>
  <c r="C1397" i="4"/>
  <c r="C1401" i="4"/>
  <c r="C1405" i="4"/>
  <c r="C1409" i="4"/>
  <c r="C1413" i="4"/>
  <c r="C1417" i="4"/>
  <c r="C1421" i="4"/>
  <c r="C1425" i="4"/>
  <c r="C1429" i="4"/>
  <c r="C1433" i="4"/>
  <c r="C1437" i="4"/>
  <c r="C1441" i="4"/>
  <c r="C1445" i="4"/>
  <c r="C1449" i="4"/>
  <c r="C1453" i="4"/>
  <c r="C1457" i="4"/>
  <c r="C1461" i="4"/>
  <c r="C1465" i="4"/>
  <c r="C1469" i="4"/>
  <c r="C1473" i="4"/>
  <c r="C1477" i="4"/>
  <c r="C1481" i="4"/>
  <c r="C1485" i="4"/>
  <c r="C1489" i="4"/>
  <c r="C1493" i="4"/>
  <c r="C1497" i="4"/>
  <c r="C1361" i="4"/>
  <c r="C1369" i="4"/>
  <c r="C1374" i="4"/>
  <c r="C1378" i="4"/>
  <c r="C1382" i="4"/>
  <c r="C1386" i="4"/>
  <c r="C1390" i="4"/>
  <c r="C1394" i="4"/>
  <c r="C1398" i="4"/>
  <c r="C1402" i="4"/>
  <c r="C1406" i="4"/>
  <c r="C1410" i="4"/>
  <c r="C1414" i="4"/>
  <c r="C1418" i="4"/>
  <c r="C1422" i="4"/>
  <c r="C1426" i="4"/>
  <c r="C1430" i="4"/>
  <c r="C1434" i="4"/>
  <c r="C1438" i="4"/>
  <c r="C1442" i="4"/>
  <c r="C1446" i="4"/>
  <c r="C1450" i="4"/>
  <c r="C1454" i="4"/>
  <c r="C1458" i="4"/>
  <c r="C1462" i="4"/>
  <c r="C1466" i="4"/>
  <c r="C1470" i="4"/>
  <c r="C1474" i="4"/>
  <c r="C1478" i="4"/>
  <c r="C1482" i="4"/>
  <c r="C1486" i="4"/>
  <c r="C1490" i="4"/>
  <c r="C1494" i="4"/>
  <c r="C1498" i="4"/>
  <c r="C1364" i="4"/>
  <c r="C1370" i="4"/>
  <c r="C1375" i="4"/>
  <c r="C1379" i="4"/>
  <c r="C1383" i="4"/>
  <c r="C1387" i="4"/>
  <c r="C1391" i="4"/>
  <c r="C1395" i="4"/>
  <c r="C1399" i="4"/>
  <c r="C1403" i="4"/>
  <c r="C1407" i="4"/>
  <c r="C1411" i="4"/>
  <c r="C1415" i="4"/>
  <c r="C1419" i="4"/>
  <c r="C1423" i="4"/>
  <c r="C1427" i="4"/>
  <c r="C1431" i="4"/>
  <c r="C1435" i="4"/>
  <c r="C1439" i="4"/>
  <c r="C1443" i="4"/>
  <c r="C1447" i="4"/>
  <c r="C1451" i="4"/>
  <c r="C1455" i="4"/>
  <c r="C1459" i="4"/>
  <c r="C1463" i="4"/>
  <c r="C1467" i="4"/>
  <c r="C1471" i="4"/>
  <c r="C1475" i="4"/>
  <c r="C1479" i="4"/>
  <c r="C1483" i="4"/>
  <c r="C1487" i="4"/>
  <c r="C1491" i="4"/>
  <c r="C1495" i="4"/>
  <c r="C1499" i="4"/>
  <c r="C1160" i="3"/>
  <c r="C1179" i="3"/>
  <c r="C1186" i="3"/>
  <c r="C1203" i="3"/>
  <c r="C1232" i="3"/>
  <c r="C1248" i="3"/>
  <c r="C1265" i="3"/>
  <c r="C1168" i="3"/>
  <c r="C1166" i="3"/>
  <c r="C1174" i="3"/>
  <c r="C1198" i="3"/>
  <c r="C1213" i="3"/>
  <c r="C1225" i="3"/>
  <c r="C1245" i="3"/>
  <c r="C1257" i="3"/>
  <c r="C1264" i="3"/>
  <c r="C1182" i="3"/>
  <c r="C1216" i="3"/>
  <c r="C1165" i="3"/>
  <c r="C1223" i="3"/>
  <c r="C1157" i="3"/>
  <c r="C1152" i="3"/>
  <c r="C1237" i="3"/>
  <c r="C1221" i="3"/>
  <c r="C1210" i="3"/>
  <c r="C1208" i="3"/>
  <c r="C1153" i="3"/>
  <c r="C1251" i="3"/>
  <c r="C1228" i="3"/>
  <c r="C1382" i="3"/>
  <c r="C1378" i="3"/>
  <c r="C1374" i="3"/>
  <c r="C1370" i="3"/>
  <c r="C1366" i="3"/>
  <c r="C1362" i="3"/>
  <c r="C1358" i="3"/>
  <c r="C1354" i="3"/>
  <c r="C1350" i="3"/>
  <c r="C1346" i="3"/>
  <c r="C1342" i="3"/>
  <c r="C1338" i="3"/>
  <c r="C1334" i="3"/>
  <c r="C1330" i="3"/>
  <c r="C1326" i="3"/>
  <c r="C1322" i="3"/>
  <c r="C1287" i="3"/>
  <c r="C1283" i="3"/>
  <c r="C1297" i="3"/>
  <c r="C1293" i="3"/>
  <c r="C1301" i="3"/>
  <c r="C1307" i="3"/>
  <c r="C1303" i="3"/>
  <c r="C1318" i="3"/>
  <c r="C1314" i="3"/>
  <c r="C1310" i="3"/>
  <c r="C1278" i="3"/>
  <c r="C1274" i="3"/>
  <c r="C1270" i="3"/>
  <c r="C1471" i="3"/>
  <c r="C1476" i="3"/>
  <c r="C1481" i="3"/>
  <c r="C1486" i="3"/>
  <c r="C1491" i="3"/>
  <c r="C1495" i="3"/>
  <c r="C1499" i="3"/>
  <c r="C1473" i="3"/>
  <c r="C1440" i="3"/>
  <c r="C1444" i="3"/>
  <c r="C1448" i="3"/>
  <c r="C1453" i="3"/>
  <c r="C1456" i="3"/>
  <c r="C1461" i="3"/>
  <c r="C1465" i="3"/>
  <c r="C1469" i="3"/>
  <c r="C1163" i="3"/>
  <c r="C1181" i="3"/>
  <c r="C1196" i="3"/>
  <c r="C1205" i="3"/>
  <c r="C1235" i="3"/>
  <c r="C1250" i="3"/>
  <c r="C1222" i="3"/>
  <c r="C1158" i="3"/>
  <c r="C1167" i="3"/>
  <c r="C1184" i="3"/>
  <c r="C1199" i="3"/>
  <c r="C1214" i="3"/>
  <c r="C1227" i="3"/>
  <c r="C1246" i="3"/>
  <c r="C1258" i="3"/>
  <c r="C1238" i="3"/>
  <c r="C1188" i="3"/>
  <c r="C1236" i="3"/>
  <c r="C1209" i="3"/>
  <c r="C1241" i="3"/>
  <c r="C1172" i="3"/>
  <c r="C1162" i="3"/>
  <c r="C1239" i="3"/>
  <c r="C1189" i="3"/>
  <c r="C1233" i="3"/>
  <c r="C1234" i="3"/>
  <c r="C1171" i="3"/>
  <c r="C1254" i="3"/>
  <c r="C1231" i="3"/>
  <c r="C1381" i="3"/>
  <c r="C1377" i="3"/>
  <c r="C1373" i="3"/>
  <c r="C1369" i="3"/>
  <c r="C1365" i="3"/>
  <c r="C1361" i="3"/>
  <c r="C1357" i="3"/>
  <c r="C1353" i="3"/>
  <c r="C1349" i="3"/>
  <c r="C1345" i="3"/>
  <c r="C1341" i="3"/>
  <c r="C1337" i="3"/>
  <c r="C1333" i="3"/>
  <c r="C1329" i="3"/>
  <c r="C1325" i="3"/>
  <c r="C1321" i="3"/>
  <c r="C1286" i="3"/>
  <c r="C1282" i="3"/>
  <c r="C1296" i="3"/>
  <c r="C1292" i="3"/>
  <c r="C1300" i="3"/>
  <c r="C1306" i="3"/>
  <c r="C1302" i="3"/>
  <c r="C1317" i="3"/>
  <c r="C1313" i="3"/>
  <c r="C1309" i="3"/>
  <c r="C1277" i="3"/>
  <c r="C1273" i="3"/>
  <c r="C1269" i="3"/>
  <c r="C1472" i="3"/>
  <c r="C1478" i="3"/>
  <c r="C1483" i="3"/>
  <c r="C1487" i="3"/>
  <c r="C1492" i="3"/>
  <c r="C1496" i="3"/>
  <c r="C1490" i="3"/>
  <c r="C1437" i="3"/>
  <c r="C1441" i="3"/>
  <c r="C1445" i="3"/>
  <c r="C1449" i="3"/>
  <c r="C1454" i="3"/>
  <c r="C1457" i="3"/>
  <c r="C1462" i="3"/>
  <c r="C1466" i="3"/>
  <c r="C1458" i="3"/>
  <c r="C1399" i="3"/>
  <c r="C1403" i="3"/>
  <c r="C1407" i="3"/>
  <c r="C1411" i="3"/>
  <c r="C1415" i="3"/>
  <c r="C1419" i="3"/>
  <c r="C1423" i="3"/>
  <c r="C1426" i="3"/>
  <c r="C1434" i="3"/>
  <c r="C1435" i="3"/>
  <c r="C1387" i="3"/>
  <c r="C1395" i="3"/>
  <c r="C1391" i="3"/>
  <c r="C4" i="3"/>
  <c r="C8" i="3"/>
  <c r="C12" i="3"/>
  <c r="C16" i="3"/>
  <c r="C20" i="3"/>
  <c r="C24" i="3"/>
  <c r="C28" i="3"/>
  <c r="C32" i="3"/>
  <c r="C36" i="3"/>
  <c r="C40" i="3"/>
  <c r="C44" i="3"/>
  <c r="C48" i="3"/>
  <c r="C1176" i="3"/>
  <c r="C1183" i="3"/>
  <c r="C1197" i="3"/>
  <c r="C1217" i="3"/>
  <c r="C1242" i="3"/>
  <c r="C1261" i="3"/>
  <c r="C1187" i="3"/>
  <c r="C1159" i="3"/>
  <c r="C1169" i="3"/>
  <c r="C1193" i="3"/>
  <c r="C1200" i="3"/>
  <c r="C1202" i="3"/>
  <c r="C1240" i="3"/>
  <c r="C1249" i="3"/>
  <c r="C1259" i="3"/>
  <c r="C1164" i="3"/>
  <c r="C1195" i="3"/>
  <c r="C1247" i="3"/>
  <c r="C1211" i="3"/>
  <c r="C1256" i="3"/>
  <c r="C1218" i="3"/>
  <c r="C1207" i="3"/>
  <c r="C1175" i="3"/>
  <c r="C1190" i="3"/>
  <c r="C1156" i="3"/>
  <c r="C1267" i="3"/>
  <c r="C1170" i="3"/>
  <c r="C1253" i="3"/>
  <c r="C1230" i="3"/>
  <c r="C1380" i="3"/>
  <c r="C1376" i="3"/>
  <c r="C1372" i="3"/>
  <c r="C1368" i="3"/>
  <c r="C1364" i="3"/>
  <c r="C1360" i="3"/>
  <c r="C1356" i="3"/>
  <c r="C1352" i="3"/>
  <c r="C1348" i="3"/>
  <c r="C1344" i="3"/>
  <c r="C1340" i="3"/>
  <c r="C1336" i="3"/>
  <c r="C1332" i="3"/>
  <c r="C1328" i="3"/>
  <c r="C1324" i="3"/>
  <c r="C1289" i="3"/>
  <c r="C1285" i="3"/>
  <c r="C1281" i="3"/>
  <c r="C1295" i="3"/>
  <c r="C1291" i="3"/>
  <c r="C1299" i="3"/>
  <c r="C1305" i="3"/>
  <c r="C1320" i="3"/>
  <c r="C1316" i="3"/>
  <c r="C1312" i="3"/>
  <c r="C1308" i="3"/>
  <c r="C1276" i="3"/>
  <c r="C1155" i="3"/>
  <c r="C1177" i="3"/>
  <c r="C1185" i="3"/>
  <c r="C1201" i="3"/>
  <c r="C1220" i="3"/>
  <c r="C1244" i="3"/>
  <c r="C1263" i="3"/>
  <c r="C1180" i="3"/>
  <c r="C1161" i="3"/>
  <c r="C1173" i="3"/>
  <c r="C1194" i="3"/>
  <c r="C1212" i="3"/>
  <c r="C1219" i="3"/>
  <c r="C1243" i="3"/>
  <c r="C1255" i="3"/>
  <c r="C1262" i="3"/>
  <c r="C1178" i="3"/>
  <c r="C1204" i="3"/>
  <c r="C1266" i="3"/>
  <c r="C1215" i="3"/>
  <c r="C1260" i="3"/>
  <c r="C1226" i="3"/>
  <c r="C1224" i="3"/>
  <c r="C1192" i="3"/>
  <c r="C1191" i="3"/>
  <c r="C1206" i="3"/>
  <c r="C1154" i="3"/>
  <c r="C1252" i="3"/>
  <c r="C1229" i="3"/>
  <c r="C1383" i="3"/>
  <c r="C1379" i="3"/>
  <c r="C1375" i="3"/>
  <c r="C1371" i="3"/>
  <c r="C1367" i="3"/>
  <c r="C1363" i="3"/>
  <c r="C1359" i="3"/>
  <c r="C1355" i="3"/>
  <c r="C1351" i="3"/>
  <c r="C1347" i="3"/>
  <c r="C1343" i="3"/>
  <c r="C1339" i="3"/>
  <c r="C1335" i="3"/>
  <c r="C1331" i="3"/>
  <c r="C1327" i="3"/>
  <c r="C1323" i="3"/>
  <c r="C1288" i="3"/>
  <c r="C1284" i="3"/>
  <c r="C1280" i="3"/>
  <c r="C1294" i="3"/>
  <c r="C1290" i="3"/>
  <c r="C1298" i="3"/>
  <c r="C1304" i="3"/>
  <c r="C1319" i="3"/>
  <c r="C1315" i="3"/>
  <c r="C1311" i="3"/>
  <c r="C1279" i="3"/>
  <c r="C1275" i="3"/>
  <c r="C1271" i="3"/>
  <c r="C1470" i="3"/>
  <c r="C1475" i="3"/>
  <c r="C1480" i="3"/>
  <c r="C1485" i="3"/>
  <c r="C1489" i="3"/>
  <c r="C1494" i="3"/>
  <c r="C1498" i="3"/>
  <c r="C1477" i="3"/>
  <c r="C1439" i="3"/>
  <c r="C1443" i="3"/>
  <c r="C1447" i="3"/>
  <c r="C1452" i="3"/>
  <c r="C1455" i="3"/>
  <c r="C1460" i="3"/>
  <c r="C1464" i="3"/>
  <c r="C1468" i="3"/>
  <c r="C1397" i="3"/>
  <c r="C1401" i="3"/>
  <c r="C1405" i="3"/>
  <c r="C1409" i="3"/>
  <c r="C1413" i="3"/>
  <c r="C1417" i="3"/>
  <c r="C1421" i="3"/>
  <c r="C1429" i="3"/>
  <c r="C1428" i="3"/>
  <c r="C1430" i="3"/>
  <c r="C1385" i="3"/>
  <c r="C1393" i="3"/>
  <c r="C1389" i="3"/>
  <c r="C2" i="3"/>
  <c r="C6" i="3"/>
  <c r="C10" i="3"/>
  <c r="C14" i="3"/>
  <c r="C18" i="3"/>
  <c r="C22" i="3"/>
  <c r="C26" i="3"/>
  <c r="C30" i="3"/>
  <c r="C34" i="3"/>
  <c r="C38" i="3"/>
  <c r="C42" i="3"/>
  <c r="C46" i="3"/>
  <c r="C1272" i="3"/>
  <c r="C1484" i="3"/>
  <c r="C1482" i="3"/>
  <c r="C1450" i="3"/>
  <c r="C1467" i="3"/>
  <c r="C1402" i="3"/>
  <c r="C1410" i="3"/>
  <c r="C1418" i="3"/>
  <c r="C1433" i="3"/>
  <c r="C1431" i="3"/>
  <c r="C1392" i="3"/>
  <c r="C3" i="3"/>
  <c r="C11" i="3"/>
  <c r="C19" i="3"/>
  <c r="C27" i="3"/>
  <c r="C35" i="3"/>
  <c r="C43" i="3"/>
  <c r="C50" i="3"/>
  <c r="C54" i="3"/>
  <c r="C58" i="3"/>
  <c r="C62" i="3"/>
  <c r="C66" i="3"/>
  <c r="C70" i="3"/>
  <c r="C74" i="3"/>
  <c r="C78" i="3"/>
  <c r="C82" i="3"/>
  <c r="C86" i="3"/>
  <c r="C90" i="3"/>
  <c r="C94" i="3"/>
  <c r="C98" i="3"/>
  <c r="C102" i="3"/>
  <c r="C106" i="3"/>
  <c r="C110" i="3"/>
  <c r="C114" i="3"/>
  <c r="C118" i="3"/>
  <c r="C122" i="3"/>
  <c r="C126" i="3"/>
  <c r="C130" i="3"/>
  <c r="C134" i="3"/>
  <c r="C138" i="3"/>
  <c r="C142" i="3"/>
  <c r="C146" i="3"/>
  <c r="C150" i="3"/>
  <c r="C154" i="3"/>
  <c r="C158" i="3"/>
  <c r="C162" i="3"/>
  <c r="C166" i="3"/>
  <c r="C170" i="3"/>
  <c r="C174" i="3"/>
  <c r="C178" i="3"/>
  <c r="C182" i="3"/>
  <c r="C186" i="3"/>
  <c r="C190" i="3"/>
  <c r="C194" i="3"/>
  <c r="C198" i="3"/>
  <c r="C202" i="3"/>
  <c r="C206" i="3"/>
  <c r="C210" i="3"/>
  <c r="C214" i="3"/>
  <c r="C218" i="3"/>
  <c r="C222" i="3"/>
  <c r="C226" i="3"/>
  <c r="C230" i="3"/>
  <c r="C234" i="3"/>
  <c r="C238" i="3"/>
  <c r="C242" i="3"/>
  <c r="C246" i="3"/>
  <c r="C250" i="3"/>
  <c r="C254" i="3"/>
  <c r="C258" i="3"/>
  <c r="C262" i="3"/>
  <c r="C266" i="3"/>
  <c r="C270" i="3"/>
  <c r="C274" i="3"/>
  <c r="C278" i="3"/>
  <c r="C282" i="3"/>
  <c r="C286" i="3"/>
  <c r="C290" i="3"/>
  <c r="C294" i="3"/>
  <c r="C298" i="3"/>
  <c r="C302" i="3"/>
  <c r="C306" i="3"/>
  <c r="C310" i="3"/>
  <c r="C314" i="3"/>
  <c r="C318" i="3"/>
  <c r="C322" i="3"/>
  <c r="C326" i="3"/>
  <c r="C330" i="3"/>
  <c r="C334" i="3"/>
  <c r="C338" i="3"/>
  <c r="C342" i="3"/>
  <c r="C346" i="3"/>
  <c r="C350" i="3"/>
  <c r="C354" i="3"/>
  <c r="C358" i="3"/>
  <c r="C362" i="3"/>
  <c r="C366" i="3"/>
  <c r="C370" i="3"/>
  <c r="C374" i="3"/>
  <c r="C378" i="3"/>
  <c r="C382" i="3"/>
  <c r="C386" i="3"/>
  <c r="C390" i="3"/>
  <c r="C394" i="3"/>
  <c r="C398" i="3"/>
  <c r="C402" i="3"/>
  <c r="C406" i="3"/>
  <c r="C410" i="3"/>
  <c r="C414" i="3"/>
  <c r="C418" i="3"/>
  <c r="C422" i="3"/>
  <c r="C426" i="3"/>
  <c r="C430" i="3"/>
  <c r="C434" i="3"/>
  <c r="C438" i="3"/>
  <c r="C442" i="3"/>
  <c r="C446" i="3"/>
  <c r="C450" i="3"/>
  <c r="C454" i="3"/>
  <c r="C458" i="3"/>
  <c r="C462" i="3"/>
  <c r="C466" i="3"/>
  <c r="C470" i="3"/>
  <c r="C474" i="3"/>
  <c r="C478" i="3"/>
  <c r="C482" i="3"/>
  <c r="C486" i="3"/>
  <c r="C490" i="3"/>
  <c r="C494" i="3"/>
  <c r="C498" i="3"/>
  <c r="C502" i="3"/>
  <c r="C506" i="3"/>
  <c r="C510" i="3"/>
  <c r="C514" i="3"/>
  <c r="C518" i="3"/>
  <c r="C522" i="3"/>
  <c r="C526" i="3"/>
  <c r="C530" i="3"/>
  <c r="C534" i="3"/>
  <c r="C538" i="3"/>
  <c r="C542" i="3"/>
  <c r="C546" i="3"/>
  <c r="C550" i="3"/>
  <c r="C554" i="3"/>
  <c r="C558" i="3"/>
  <c r="C562" i="3"/>
  <c r="C566" i="3"/>
  <c r="C570" i="3"/>
  <c r="C574" i="3"/>
  <c r="C578" i="3"/>
  <c r="C582" i="3"/>
  <c r="C586" i="3"/>
  <c r="C590" i="3"/>
  <c r="C594" i="3"/>
  <c r="C598" i="3"/>
  <c r="C602" i="3"/>
  <c r="C606" i="3"/>
  <c r="C610" i="3"/>
  <c r="C614" i="3"/>
  <c r="C618" i="3"/>
  <c r="C622" i="3"/>
  <c r="C626" i="3"/>
  <c r="C630" i="3"/>
  <c r="C634" i="3"/>
  <c r="C638" i="3"/>
  <c r="C642" i="3"/>
  <c r="C646" i="3"/>
  <c r="C650" i="3"/>
  <c r="C654" i="3"/>
  <c r="C658" i="3"/>
  <c r="C662" i="3"/>
  <c r="C666" i="3"/>
  <c r="C670" i="3"/>
  <c r="C674" i="3"/>
  <c r="C678" i="3"/>
  <c r="C682" i="3"/>
  <c r="C686" i="3"/>
  <c r="C690" i="3"/>
  <c r="C694" i="3"/>
  <c r="C698" i="3"/>
  <c r="C702" i="3"/>
  <c r="C706" i="3"/>
  <c r="C710" i="3"/>
  <c r="C714" i="3"/>
  <c r="C718" i="3"/>
  <c r="C722" i="3"/>
  <c r="C1268" i="3"/>
  <c r="C1488" i="3"/>
  <c r="C1438" i="3"/>
  <c r="C1451" i="3"/>
  <c r="C1396" i="3"/>
  <c r="C1404" i="3"/>
  <c r="C1412" i="3"/>
  <c r="C1420" i="3"/>
  <c r="C1427" i="3"/>
  <c r="C1436" i="3"/>
  <c r="C1394" i="3"/>
  <c r="C5" i="3"/>
  <c r="C13" i="3"/>
  <c r="C21" i="3"/>
  <c r="C29" i="3"/>
  <c r="C37" i="3"/>
  <c r="C45" i="3"/>
  <c r="C51" i="3"/>
  <c r="C55" i="3"/>
  <c r="C59" i="3"/>
  <c r="C63" i="3"/>
  <c r="C67" i="3"/>
  <c r="C71" i="3"/>
  <c r="C75" i="3"/>
  <c r="C79" i="3"/>
  <c r="C83" i="3"/>
  <c r="C87" i="3"/>
  <c r="C91" i="3"/>
  <c r="C95" i="3"/>
  <c r="C99" i="3"/>
  <c r="C103" i="3"/>
  <c r="C107" i="3"/>
  <c r="C111" i="3"/>
  <c r="C115" i="3"/>
  <c r="C119" i="3"/>
  <c r="C123" i="3"/>
  <c r="C127" i="3"/>
  <c r="C131" i="3"/>
  <c r="C135" i="3"/>
  <c r="C139" i="3"/>
  <c r="C143" i="3"/>
  <c r="C147" i="3"/>
  <c r="C151" i="3"/>
  <c r="C155" i="3"/>
  <c r="C159" i="3"/>
  <c r="C163" i="3"/>
  <c r="C167" i="3"/>
  <c r="C171" i="3"/>
  <c r="C175" i="3"/>
  <c r="C179" i="3"/>
  <c r="C183" i="3"/>
  <c r="C187" i="3"/>
  <c r="C191" i="3"/>
  <c r="C195" i="3"/>
  <c r="C199" i="3"/>
  <c r="C203" i="3"/>
  <c r="C207" i="3"/>
  <c r="C211" i="3"/>
  <c r="C215" i="3"/>
  <c r="C219" i="3"/>
  <c r="C223" i="3"/>
  <c r="C227" i="3"/>
  <c r="C231" i="3"/>
  <c r="C235" i="3"/>
  <c r="C239" i="3"/>
  <c r="C243" i="3"/>
  <c r="C247" i="3"/>
  <c r="C251" i="3"/>
  <c r="C255" i="3"/>
  <c r="C259" i="3"/>
  <c r="C263" i="3"/>
  <c r="C267" i="3"/>
  <c r="C271" i="3"/>
  <c r="C275" i="3"/>
  <c r="C279" i="3"/>
  <c r="C283" i="3"/>
  <c r="C287" i="3"/>
  <c r="C291" i="3"/>
  <c r="C295" i="3"/>
  <c r="C299" i="3"/>
  <c r="C303" i="3"/>
  <c r="C307" i="3"/>
  <c r="C311" i="3"/>
  <c r="C315" i="3"/>
  <c r="C319" i="3"/>
  <c r="C323" i="3"/>
  <c r="C327" i="3"/>
  <c r="C331" i="3"/>
  <c r="C335" i="3"/>
  <c r="C339" i="3"/>
  <c r="C343" i="3"/>
  <c r="C347" i="3"/>
  <c r="C351" i="3"/>
  <c r="C355" i="3"/>
  <c r="C359" i="3"/>
  <c r="C363" i="3"/>
  <c r="C367" i="3"/>
  <c r="C371" i="3"/>
  <c r="C375" i="3"/>
  <c r="C379" i="3"/>
  <c r="C383" i="3"/>
  <c r="C387" i="3"/>
  <c r="C391" i="3"/>
  <c r="C395" i="3"/>
  <c r="C399" i="3"/>
  <c r="C403" i="3"/>
  <c r="C407" i="3"/>
  <c r="C411" i="3"/>
  <c r="C415" i="3"/>
  <c r="C419" i="3"/>
  <c r="C423" i="3"/>
  <c r="C427" i="3"/>
  <c r="C431" i="3"/>
  <c r="C435" i="3"/>
  <c r="C439" i="3"/>
  <c r="C443" i="3"/>
  <c r="C447" i="3"/>
  <c r="C451" i="3"/>
  <c r="C455" i="3"/>
  <c r="C459" i="3"/>
  <c r="C463" i="3"/>
  <c r="C467" i="3"/>
  <c r="C471" i="3"/>
  <c r="C475" i="3"/>
  <c r="C479" i="3"/>
  <c r="C483" i="3"/>
  <c r="C487" i="3"/>
  <c r="C491" i="3"/>
  <c r="C495" i="3"/>
  <c r="C499" i="3"/>
  <c r="C503" i="3"/>
  <c r="C507" i="3"/>
  <c r="C511" i="3"/>
  <c r="C515" i="3"/>
  <c r="C519" i="3"/>
  <c r="C523" i="3"/>
  <c r="C527" i="3"/>
  <c r="C531" i="3"/>
  <c r="C535" i="3"/>
  <c r="C539" i="3"/>
  <c r="C543" i="3"/>
  <c r="C547" i="3"/>
  <c r="C551" i="3"/>
  <c r="C555" i="3"/>
  <c r="C559" i="3"/>
  <c r="C563" i="3"/>
  <c r="C567" i="3"/>
  <c r="C571" i="3"/>
  <c r="C575" i="3"/>
  <c r="C579" i="3"/>
  <c r="C583" i="3"/>
  <c r="C587" i="3"/>
  <c r="C591" i="3"/>
  <c r="C595" i="3"/>
  <c r="C599" i="3"/>
  <c r="C603" i="3"/>
  <c r="C607" i="3"/>
  <c r="C611" i="3"/>
  <c r="C615" i="3"/>
  <c r="C619" i="3"/>
  <c r="C623" i="3"/>
  <c r="C627" i="3"/>
  <c r="C631" i="3"/>
  <c r="C635" i="3"/>
  <c r="C639" i="3"/>
  <c r="C643" i="3"/>
  <c r="C647" i="3"/>
  <c r="C651" i="3"/>
  <c r="C655" i="3"/>
  <c r="C659" i="3"/>
  <c r="C663" i="3"/>
  <c r="C667" i="3"/>
  <c r="C671" i="3"/>
  <c r="C675" i="3"/>
  <c r="C679" i="3"/>
  <c r="C683" i="3"/>
  <c r="C687" i="3"/>
  <c r="C691" i="3"/>
  <c r="C695" i="3"/>
  <c r="C699" i="3"/>
  <c r="C703" i="3"/>
  <c r="C707" i="3"/>
  <c r="C711" i="3"/>
  <c r="C715" i="3"/>
  <c r="C719" i="3"/>
  <c r="C723" i="3"/>
  <c r="C727" i="3"/>
  <c r="C731" i="3"/>
  <c r="C735" i="3"/>
  <c r="C739" i="3"/>
  <c r="C743" i="3"/>
  <c r="C747" i="3"/>
  <c r="C751" i="3"/>
  <c r="C755" i="3"/>
  <c r="C759" i="3"/>
  <c r="C763" i="3"/>
  <c r="C767" i="3"/>
  <c r="C771" i="3"/>
  <c r="C775" i="3"/>
  <c r="C779" i="3"/>
  <c r="C783" i="3"/>
  <c r="C787" i="3"/>
  <c r="C791" i="3"/>
  <c r="C795" i="3"/>
  <c r="C799" i="3"/>
  <c r="C803" i="3"/>
  <c r="C807" i="3"/>
  <c r="C811" i="3"/>
  <c r="C815" i="3"/>
  <c r="C819" i="3"/>
  <c r="C823" i="3"/>
  <c r="C827" i="3"/>
  <c r="C831" i="3"/>
  <c r="C835" i="3"/>
  <c r="C839" i="3"/>
  <c r="C843" i="3"/>
  <c r="C847" i="3"/>
  <c r="C851" i="3"/>
  <c r="C855" i="3"/>
  <c r="C859" i="3"/>
  <c r="C863" i="3"/>
  <c r="C867" i="3"/>
  <c r="C871" i="3"/>
  <c r="C875" i="3"/>
  <c r="C1474" i="3"/>
  <c r="C1493" i="3"/>
  <c r="C1442" i="3"/>
  <c r="C1459" i="3"/>
  <c r="C1398" i="3"/>
  <c r="C1406" i="3"/>
  <c r="C1414" i="3"/>
  <c r="C1422" i="3"/>
  <c r="C1432" i="3"/>
  <c r="C1384" i="3"/>
  <c r="C1388" i="3"/>
  <c r="C7" i="3"/>
  <c r="C15" i="3"/>
  <c r="C23" i="3"/>
  <c r="C31" i="3"/>
  <c r="C39" i="3"/>
  <c r="C47" i="3"/>
  <c r="C52" i="3"/>
  <c r="C56" i="3"/>
  <c r="C60" i="3"/>
  <c r="C64" i="3"/>
  <c r="C68" i="3"/>
  <c r="C72" i="3"/>
  <c r="C76" i="3"/>
  <c r="C80" i="3"/>
  <c r="C84" i="3"/>
  <c r="C88" i="3"/>
  <c r="C92" i="3"/>
  <c r="C96" i="3"/>
  <c r="C100" i="3"/>
  <c r="C104" i="3"/>
  <c r="C108" i="3"/>
  <c r="C112" i="3"/>
  <c r="C116" i="3"/>
  <c r="C120" i="3"/>
  <c r="C124" i="3"/>
  <c r="C128" i="3"/>
  <c r="C132" i="3"/>
  <c r="C136" i="3"/>
  <c r="C140" i="3"/>
  <c r="C144" i="3"/>
  <c r="C148" i="3"/>
  <c r="C152" i="3"/>
  <c r="C156" i="3"/>
  <c r="C160" i="3"/>
  <c r="C164" i="3"/>
  <c r="C168" i="3"/>
  <c r="C172" i="3"/>
  <c r="C176" i="3"/>
  <c r="C180" i="3"/>
  <c r="C184" i="3"/>
  <c r="C188" i="3"/>
  <c r="C192" i="3"/>
  <c r="C196" i="3"/>
  <c r="C200" i="3"/>
  <c r="C204" i="3"/>
  <c r="C208" i="3"/>
  <c r="C212" i="3"/>
  <c r="C216" i="3"/>
  <c r="C220" i="3"/>
  <c r="C224" i="3"/>
  <c r="C228" i="3"/>
  <c r="C232" i="3"/>
  <c r="C236" i="3"/>
  <c r="C240" i="3"/>
  <c r="C244" i="3"/>
  <c r="C248" i="3"/>
  <c r="C252" i="3"/>
  <c r="C256" i="3"/>
  <c r="C260" i="3"/>
  <c r="C264" i="3"/>
  <c r="C268" i="3"/>
  <c r="C272" i="3"/>
  <c r="C276" i="3"/>
  <c r="C280" i="3"/>
  <c r="C284" i="3"/>
  <c r="C288" i="3"/>
  <c r="C292" i="3"/>
  <c r="C296" i="3"/>
  <c r="C300" i="3"/>
  <c r="C304" i="3"/>
  <c r="C308" i="3"/>
  <c r="C312" i="3"/>
  <c r="C316" i="3"/>
  <c r="C320" i="3"/>
  <c r="C324" i="3"/>
  <c r="C328" i="3"/>
  <c r="C332" i="3"/>
  <c r="C336" i="3"/>
  <c r="C340" i="3"/>
  <c r="C344" i="3"/>
  <c r="C348" i="3"/>
  <c r="C352" i="3"/>
  <c r="C356" i="3"/>
  <c r="C360" i="3"/>
  <c r="C364" i="3"/>
  <c r="C368" i="3"/>
  <c r="C372" i="3"/>
  <c r="C376" i="3"/>
  <c r="C380" i="3"/>
  <c r="C384" i="3"/>
  <c r="C388" i="3"/>
  <c r="C392" i="3"/>
  <c r="C396" i="3"/>
  <c r="C400" i="3"/>
  <c r="C404" i="3"/>
  <c r="C408" i="3"/>
  <c r="C412" i="3"/>
  <c r="C416" i="3"/>
  <c r="C420" i="3"/>
  <c r="C424" i="3"/>
  <c r="C428" i="3"/>
  <c r="C432" i="3"/>
  <c r="C436" i="3"/>
  <c r="C440" i="3"/>
  <c r="C444" i="3"/>
  <c r="C448" i="3"/>
  <c r="C452" i="3"/>
  <c r="C456" i="3"/>
  <c r="C460" i="3"/>
  <c r="C464" i="3"/>
  <c r="C468" i="3"/>
  <c r="C472" i="3"/>
  <c r="C476" i="3"/>
  <c r="C480" i="3"/>
  <c r="C484" i="3"/>
  <c r="C488" i="3"/>
  <c r="C492" i="3"/>
  <c r="C496" i="3"/>
  <c r="C500" i="3"/>
  <c r="C504" i="3"/>
  <c r="C508" i="3"/>
  <c r="C512" i="3"/>
  <c r="C516" i="3"/>
  <c r="C520" i="3"/>
  <c r="C524" i="3"/>
  <c r="C528" i="3"/>
  <c r="C532" i="3"/>
  <c r="C536" i="3"/>
  <c r="C540" i="3"/>
  <c r="C544" i="3"/>
  <c r="C548" i="3"/>
  <c r="C552" i="3"/>
  <c r="C556" i="3"/>
  <c r="C560" i="3"/>
  <c r="C564" i="3"/>
  <c r="C568" i="3"/>
  <c r="C572" i="3"/>
  <c r="C576" i="3"/>
  <c r="C580" i="3"/>
  <c r="C584" i="3"/>
  <c r="C588" i="3"/>
  <c r="C592" i="3"/>
  <c r="C596" i="3"/>
  <c r="C600" i="3"/>
  <c r="C604" i="3"/>
  <c r="C608" i="3"/>
  <c r="C612" i="3"/>
  <c r="C616" i="3"/>
  <c r="C620" i="3"/>
  <c r="C624" i="3"/>
  <c r="C628" i="3"/>
  <c r="C632" i="3"/>
  <c r="C636" i="3"/>
  <c r="C640" i="3"/>
  <c r="C644" i="3"/>
  <c r="C648" i="3"/>
  <c r="C652" i="3"/>
  <c r="C656" i="3"/>
  <c r="C660" i="3"/>
  <c r="C1479" i="3"/>
  <c r="C1497" i="3"/>
  <c r="C1446" i="3"/>
  <c r="C1463" i="3"/>
  <c r="C1400" i="3"/>
  <c r="C1408" i="3"/>
  <c r="C1416" i="3"/>
  <c r="C1425" i="3"/>
  <c r="C1424" i="3"/>
  <c r="C1386" i="3"/>
  <c r="C1390" i="3"/>
  <c r="C9" i="3"/>
  <c r="C17" i="3"/>
  <c r="C25" i="3"/>
  <c r="C33" i="3"/>
  <c r="C41" i="3"/>
  <c r="C49" i="3"/>
  <c r="C53" i="3"/>
  <c r="C57" i="3"/>
  <c r="C61" i="3"/>
  <c r="C65" i="3"/>
  <c r="C69" i="3"/>
  <c r="C73" i="3"/>
  <c r="C77" i="3"/>
  <c r="C81" i="3"/>
  <c r="C85" i="3"/>
  <c r="C89" i="3"/>
  <c r="C93" i="3"/>
  <c r="C97" i="3"/>
  <c r="C101" i="3"/>
  <c r="C105" i="3"/>
  <c r="C109" i="3"/>
  <c r="C113" i="3"/>
  <c r="C117" i="3"/>
  <c r="C121" i="3"/>
  <c r="C125" i="3"/>
  <c r="C129" i="3"/>
  <c r="C133" i="3"/>
  <c r="C137" i="3"/>
  <c r="C141" i="3"/>
  <c r="C145" i="3"/>
  <c r="C149" i="3"/>
  <c r="C153" i="3"/>
  <c r="C157" i="3"/>
  <c r="C161" i="3"/>
  <c r="C165" i="3"/>
  <c r="C169" i="3"/>
  <c r="C173" i="3"/>
  <c r="C177" i="3"/>
  <c r="C181" i="3"/>
  <c r="C185" i="3"/>
  <c r="C189" i="3"/>
  <c r="C193" i="3"/>
  <c r="C197" i="3"/>
  <c r="C201" i="3"/>
  <c r="C205" i="3"/>
  <c r="C209" i="3"/>
  <c r="C213" i="3"/>
  <c r="C217" i="3"/>
  <c r="C221" i="3"/>
  <c r="C225" i="3"/>
  <c r="C229" i="3"/>
  <c r="C233" i="3"/>
  <c r="C237" i="3"/>
  <c r="C241" i="3"/>
  <c r="C245" i="3"/>
  <c r="C249" i="3"/>
  <c r="C253" i="3"/>
  <c r="C257" i="3"/>
  <c r="C261" i="3"/>
  <c r="C265" i="3"/>
  <c r="C269" i="3"/>
  <c r="C273" i="3"/>
  <c r="C277" i="3"/>
  <c r="C281" i="3"/>
  <c r="C285" i="3"/>
  <c r="C289" i="3"/>
  <c r="C293" i="3"/>
  <c r="C297" i="3"/>
  <c r="C301" i="3"/>
  <c r="C305" i="3"/>
  <c r="C309" i="3"/>
  <c r="C313" i="3"/>
  <c r="C317" i="3"/>
  <c r="C321" i="3"/>
  <c r="C325" i="3"/>
  <c r="C329" i="3"/>
  <c r="C333" i="3"/>
  <c r="C337" i="3"/>
  <c r="C341" i="3"/>
  <c r="C345" i="3"/>
  <c r="C349" i="3"/>
  <c r="C353" i="3"/>
  <c r="C357" i="3"/>
  <c r="C361" i="3"/>
  <c r="C365" i="3"/>
  <c r="C369" i="3"/>
  <c r="C373" i="3"/>
  <c r="C377" i="3"/>
  <c r="C381" i="3"/>
  <c r="C385" i="3"/>
  <c r="C389" i="3"/>
  <c r="C393" i="3"/>
  <c r="C397" i="3"/>
  <c r="C401" i="3"/>
  <c r="C405" i="3"/>
  <c r="C409" i="3"/>
  <c r="C413" i="3"/>
  <c r="C417" i="3"/>
  <c r="C421" i="3"/>
  <c r="C425" i="3"/>
  <c r="C429" i="3"/>
  <c r="C433" i="3"/>
  <c r="C437" i="3"/>
  <c r="C441" i="3"/>
  <c r="C445" i="3"/>
  <c r="C449" i="3"/>
  <c r="C453" i="3"/>
  <c r="C457" i="3"/>
  <c r="C461" i="3"/>
  <c r="C465" i="3"/>
  <c r="C469" i="3"/>
  <c r="C473" i="3"/>
  <c r="C477" i="3"/>
  <c r="C481" i="3"/>
  <c r="C485" i="3"/>
  <c r="C489" i="3"/>
  <c r="C493" i="3"/>
  <c r="C497" i="3"/>
  <c r="C501" i="3"/>
  <c r="C505" i="3"/>
  <c r="C509" i="3"/>
  <c r="C513" i="3"/>
  <c r="C517" i="3"/>
  <c r="C521" i="3"/>
  <c r="C525" i="3"/>
  <c r="C529" i="3"/>
  <c r="C533" i="3"/>
  <c r="C537" i="3"/>
  <c r="C541" i="3"/>
  <c r="C545" i="3"/>
  <c r="C549" i="3"/>
  <c r="C553" i="3"/>
  <c r="C557" i="3"/>
  <c r="C561" i="3"/>
  <c r="C565" i="3"/>
  <c r="C569" i="3"/>
  <c r="C573" i="3"/>
  <c r="C577" i="3"/>
  <c r="C581" i="3"/>
  <c r="C585" i="3"/>
  <c r="C589" i="3"/>
  <c r="C593" i="3"/>
  <c r="C597" i="3"/>
  <c r="C601" i="3"/>
  <c r="C605" i="3"/>
  <c r="C609" i="3"/>
  <c r="C613" i="3"/>
  <c r="C617" i="3"/>
  <c r="C621" i="3"/>
  <c r="C625" i="3"/>
  <c r="C629" i="3"/>
  <c r="C633" i="3"/>
  <c r="C637" i="3"/>
  <c r="C641" i="3"/>
  <c r="C645" i="3"/>
  <c r="C649" i="3"/>
  <c r="C653" i="3"/>
  <c r="C657" i="3"/>
  <c r="C661" i="3"/>
  <c r="C665" i="3"/>
  <c r="C669" i="3"/>
  <c r="C673" i="3"/>
  <c r="C677" i="3"/>
  <c r="C681" i="3"/>
  <c r="C685" i="3"/>
  <c r="C689" i="3"/>
  <c r="C693" i="3"/>
  <c r="C697" i="3"/>
  <c r="C701" i="3"/>
  <c r="C705" i="3"/>
  <c r="C709" i="3"/>
  <c r="C713" i="3"/>
  <c r="C717" i="3"/>
  <c r="C721" i="3"/>
  <c r="C725" i="3"/>
  <c r="C729" i="3"/>
  <c r="C733" i="3"/>
  <c r="C737" i="3"/>
  <c r="C741" i="3"/>
  <c r="C745" i="3"/>
  <c r="C749" i="3"/>
  <c r="C753" i="3"/>
  <c r="C757" i="3"/>
  <c r="C761" i="3"/>
  <c r="C765" i="3"/>
  <c r="C769" i="3"/>
  <c r="C773" i="3"/>
  <c r="C777" i="3"/>
  <c r="C781" i="3"/>
  <c r="C785" i="3"/>
  <c r="C789" i="3"/>
  <c r="C793" i="3"/>
  <c r="C797" i="3"/>
  <c r="C801" i="3"/>
  <c r="C805" i="3"/>
  <c r="C809" i="3"/>
  <c r="C813" i="3"/>
  <c r="C817" i="3"/>
  <c r="C821" i="3"/>
  <c r="C825" i="3"/>
  <c r="C829" i="3"/>
  <c r="C833" i="3"/>
  <c r="C837" i="3"/>
  <c r="C841" i="3"/>
  <c r="C845" i="3"/>
  <c r="C849" i="3"/>
  <c r="C853" i="3"/>
  <c r="C857" i="3"/>
  <c r="C664" i="3"/>
  <c r="C680" i="3"/>
  <c r="C696" i="3"/>
  <c r="C712" i="3"/>
  <c r="C726" i="3"/>
  <c r="C734" i="3"/>
  <c r="C742" i="3"/>
  <c r="C750" i="3"/>
  <c r="C758" i="3"/>
  <c r="C766" i="3"/>
  <c r="C774" i="3"/>
  <c r="C782" i="3"/>
  <c r="C790" i="3"/>
  <c r="C798" i="3"/>
  <c r="C806" i="3"/>
  <c r="C814" i="3"/>
  <c r="C822" i="3"/>
  <c r="C830" i="3"/>
  <c r="C838" i="3"/>
  <c r="C846" i="3"/>
  <c r="C854" i="3"/>
  <c r="C861" i="3"/>
  <c r="C866" i="3"/>
  <c r="C872" i="3"/>
  <c r="C877" i="3"/>
  <c r="C881" i="3"/>
  <c r="C885" i="3"/>
  <c r="C889" i="3"/>
  <c r="C893" i="3"/>
  <c r="C897" i="3"/>
  <c r="C901" i="3"/>
  <c r="C905" i="3"/>
  <c r="C909" i="3"/>
  <c r="C913" i="3"/>
  <c r="C917" i="3"/>
  <c r="C921" i="3"/>
  <c r="C925" i="3"/>
  <c r="C929" i="3"/>
  <c r="C933" i="3"/>
  <c r="C937" i="3"/>
  <c r="C941" i="3"/>
  <c r="C945" i="3"/>
  <c r="C949" i="3"/>
  <c r="C953" i="3"/>
  <c r="C957" i="3"/>
  <c r="C961" i="3"/>
  <c r="C965" i="3"/>
  <c r="C969" i="3"/>
  <c r="C973" i="3"/>
  <c r="C977" i="3"/>
  <c r="C981" i="3"/>
  <c r="C985" i="3"/>
  <c r="C989" i="3"/>
  <c r="C993" i="3"/>
  <c r="C997" i="3"/>
  <c r="C1001" i="3"/>
  <c r="C1005" i="3"/>
  <c r="C1009" i="3"/>
  <c r="C1013" i="3"/>
  <c r="C1017" i="3"/>
  <c r="C1021" i="3"/>
  <c r="C1025" i="3"/>
  <c r="C1029" i="3"/>
  <c r="C1033" i="3"/>
  <c r="C1037" i="3"/>
  <c r="C1041" i="3"/>
  <c r="C1045" i="3"/>
  <c r="C1049" i="3"/>
  <c r="C1053" i="3"/>
  <c r="C1057" i="3"/>
  <c r="C1061" i="3"/>
  <c r="C1065" i="3"/>
  <c r="C1069" i="3"/>
  <c r="C1073" i="3"/>
  <c r="C1077" i="3"/>
  <c r="C1081" i="3"/>
  <c r="C1085" i="3"/>
  <c r="C1089" i="3"/>
  <c r="C1093" i="3"/>
  <c r="C1097" i="3"/>
  <c r="C1101" i="3"/>
  <c r="C1105" i="3"/>
  <c r="C1109" i="3"/>
  <c r="C1113" i="3"/>
  <c r="C1117" i="3"/>
  <c r="C1121" i="3"/>
  <c r="C1125" i="3"/>
  <c r="C1129" i="3"/>
  <c r="C1133" i="3"/>
  <c r="C1137" i="3"/>
  <c r="C1141" i="3"/>
  <c r="C1145" i="3"/>
  <c r="C1149" i="3"/>
  <c r="C668" i="3"/>
  <c r="C684" i="3"/>
  <c r="C700" i="3"/>
  <c r="C716" i="3"/>
  <c r="C728" i="3"/>
  <c r="C736" i="3"/>
  <c r="C744" i="3"/>
  <c r="C752" i="3"/>
  <c r="C760" i="3"/>
  <c r="C768" i="3"/>
  <c r="C776" i="3"/>
  <c r="C784" i="3"/>
  <c r="C792" i="3"/>
  <c r="C800" i="3"/>
  <c r="C808" i="3"/>
  <c r="C816" i="3"/>
  <c r="C824" i="3"/>
  <c r="C832" i="3"/>
  <c r="C840" i="3"/>
  <c r="C848" i="3"/>
  <c r="C856" i="3"/>
  <c r="C862" i="3"/>
  <c r="C868" i="3"/>
  <c r="C873" i="3"/>
  <c r="C878" i="3"/>
  <c r="C882" i="3"/>
  <c r="C886" i="3"/>
  <c r="C890" i="3"/>
  <c r="C894" i="3"/>
  <c r="C898" i="3"/>
  <c r="C902" i="3"/>
  <c r="C906" i="3"/>
  <c r="C910" i="3"/>
  <c r="C914" i="3"/>
  <c r="C918" i="3"/>
  <c r="C922" i="3"/>
  <c r="C926" i="3"/>
  <c r="C930" i="3"/>
  <c r="C934" i="3"/>
  <c r="C938" i="3"/>
  <c r="C942" i="3"/>
  <c r="C946" i="3"/>
  <c r="C950" i="3"/>
  <c r="C954" i="3"/>
  <c r="C958" i="3"/>
  <c r="C962" i="3"/>
  <c r="C966" i="3"/>
  <c r="C970" i="3"/>
  <c r="C974" i="3"/>
  <c r="C978" i="3"/>
  <c r="C982" i="3"/>
  <c r="C986" i="3"/>
  <c r="C990" i="3"/>
  <c r="C994" i="3"/>
  <c r="C998" i="3"/>
  <c r="C1002" i="3"/>
  <c r="C1006" i="3"/>
  <c r="C1010" i="3"/>
  <c r="C1014" i="3"/>
  <c r="C1018" i="3"/>
  <c r="C1022" i="3"/>
  <c r="C1026" i="3"/>
  <c r="C1030" i="3"/>
  <c r="C1034" i="3"/>
  <c r="C1038" i="3"/>
  <c r="C1042" i="3"/>
  <c r="C1046" i="3"/>
  <c r="C1050" i="3"/>
  <c r="C1054" i="3"/>
  <c r="C1058" i="3"/>
  <c r="C1062" i="3"/>
  <c r="C1066" i="3"/>
  <c r="C1070" i="3"/>
  <c r="C1074" i="3"/>
  <c r="C1078" i="3"/>
  <c r="C1082" i="3"/>
  <c r="C1086" i="3"/>
  <c r="C1090" i="3"/>
  <c r="C1094" i="3"/>
  <c r="C1098" i="3"/>
  <c r="C1102" i="3"/>
  <c r="C1106" i="3"/>
  <c r="C1110" i="3"/>
  <c r="C1114" i="3"/>
  <c r="C1118" i="3"/>
  <c r="C1122" i="3"/>
  <c r="C1126" i="3"/>
  <c r="C1130" i="3"/>
  <c r="C1134" i="3"/>
  <c r="C1138" i="3"/>
  <c r="C1142" i="3"/>
  <c r="C1146" i="3"/>
  <c r="C1150" i="3"/>
  <c r="C672" i="3"/>
  <c r="C688" i="3"/>
  <c r="C704" i="3"/>
  <c r="C720" i="3"/>
  <c r="C730" i="3"/>
  <c r="C738" i="3"/>
  <c r="C746" i="3"/>
  <c r="C754" i="3"/>
  <c r="C762" i="3"/>
  <c r="C770" i="3"/>
  <c r="C778" i="3"/>
  <c r="C786" i="3"/>
  <c r="C794" i="3"/>
  <c r="C802" i="3"/>
  <c r="C810" i="3"/>
  <c r="C818" i="3"/>
  <c r="C826" i="3"/>
  <c r="C834" i="3"/>
  <c r="C842" i="3"/>
  <c r="C850" i="3"/>
  <c r="C858" i="3"/>
  <c r="C864" i="3"/>
  <c r="C869" i="3"/>
  <c r="C874" i="3"/>
  <c r="C879" i="3"/>
  <c r="C883" i="3"/>
  <c r="C887" i="3"/>
  <c r="C891" i="3"/>
  <c r="C895" i="3"/>
  <c r="C899" i="3"/>
  <c r="C903" i="3"/>
  <c r="C907" i="3"/>
  <c r="C911" i="3"/>
  <c r="C915" i="3"/>
  <c r="C919" i="3"/>
  <c r="C923" i="3"/>
  <c r="C927" i="3"/>
  <c r="C931" i="3"/>
  <c r="C935" i="3"/>
  <c r="C939" i="3"/>
  <c r="C943" i="3"/>
  <c r="C947" i="3"/>
  <c r="C951" i="3"/>
  <c r="C955" i="3"/>
  <c r="C959" i="3"/>
  <c r="C963" i="3"/>
  <c r="C967" i="3"/>
  <c r="C971" i="3"/>
  <c r="C975" i="3"/>
  <c r="C979" i="3"/>
  <c r="C983" i="3"/>
  <c r="C987" i="3"/>
  <c r="C991" i="3"/>
  <c r="C995" i="3"/>
  <c r="C999" i="3"/>
  <c r="C1003" i="3"/>
  <c r="C1007" i="3"/>
  <c r="C1011" i="3"/>
  <c r="C1015" i="3"/>
  <c r="C1019" i="3"/>
  <c r="C1023" i="3"/>
  <c r="C1027" i="3"/>
  <c r="C1031" i="3"/>
  <c r="C1035" i="3"/>
  <c r="C1039" i="3"/>
  <c r="C1043" i="3"/>
  <c r="C1047" i="3"/>
  <c r="C1051" i="3"/>
  <c r="C1055" i="3"/>
  <c r="C1059" i="3"/>
  <c r="C1063" i="3"/>
  <c r="C1067" i="3"/>
  <c r="C1071" i="3"/>
  <c r="C1075" i="3"/>
  <c r="C1079" i="3"/>
  <c r="C1083" i="3"/>
  <c r="C1087" i="3"/>
  <c r="C1091" i="3"/>
  <c r="C1095" i="3"/>
  <c r="C1099" i="3"/>
  <c r="C1103" i="3"/>
  <c r="C1107" i="3"/>
  <c r="C1111" i="3"/>
  <c r="C1115" i="3"/>
  <c r="C1119" i="3"/>
  <c r="C1123" i="3"/>
  <c r="C1127" i="3"/>
  <c r="C1131" i="3"/>
  <c r="C1135" i="3"/>
  <c r="C1139" i="3"/>
  <c r="C1143" i="3"/>
  <c r="C1147" i="3"/>
  <c r="C1151" i="3"/>
  <c r="C676" i="3"/>
  <c r="C692" i="3"/>
  <c r="C708" i="3"/>
  <c r="C724" i="3"/>
  <c r="C732" i="3"/>
  <c r="C740" i="3"/>
  <c r="C748" i="3"/>
  <c r="C756" i="3"/>
  <c r="C764" i="3"/>
  <c r="C772" i="3"/>
  <c r="C780" i="3"/>
  <c r="C788" i="3"/>
  <c r="C796" i="3"/>
  <c r="C804" i="3"/>
  <c r="C812" i="3"/>
  <c r="C820" i="3"/>
  <c r="C828" i="3"/>
  <c r="C836" i="3"/>
  <c r="C844" i="3"/>
  <c r="C852" i="3"/>
  <c r="C860" i="3"/>
  <c r="C865" i="3"/>
  <c r="C870" i="3"/>
  <c r="C876" i="3"/>
  <c r="C880" i="3"/>
  <c r="C884" i="3"/>
  <c r="C888" i="3"/>
  <c r="C892" i="3"/>
  <c r="C896" i="3"/>
  <c r="C900" i="3"/>
  <c r="C904" i="3"/>
  <c r="C908" i="3"/>
  <c r="C912" i="3"/>
  <c r="C916" i="3"/>
  <c r="C920" i="3"/>
  <c r="C924" i="3"/>
  <c r="C928" i="3"/>
  <c r="C932" i="3"/>
  <c r="C936" i="3"/>
  <c r="C940" i="3"/>
  <c r="C944" i="3"/>
  <c r="C948" i="3"/>
  <c r="C952" i="3"/>
  <c r="C956" i="3"/>
  <c r="C960" i="3"/>
  <c r="C964" i="3"/>
  <c r="C968" i="3"/>
  <c r="C972" i="3"/>
  <c r="C976" i="3"/>
  <c r="C980" i="3"/>
  <c r="C984" i="3"/>
  <c r="C988" i="3"/>
  <c r="C992" i="3"/>
  <c r="C996" i="3"/>
  <c r="C1000" i="3"/>
  <c r="C1004" i="3"/>
  <c r="C1008" i="3"/>
  <c r="C1012" i="3"/>
  <c r="C1016" i="3"/>
  <c r="C1020" i="3"/>
  <c r="C1024" i="3"/>
  <c r="C1028" i="3"/>
  <c r="C1032" i="3"/>
  <c r="C1036" i="3"/>
  <c r="C1040" i="3"/>
  <c r="C1044" i="3"/>
  <c r="C1048" i="3"/>
  <c r="C1052" i="3"/>
  <c r="C1056" i="3"/>
  <c r="C1060" i="3"/>
  <c r="C1064" i="3"/>
  <c r="C1068" i="3"/>
  <c r="C1072" i="3"/>
  <c r="C1076" i="3"/>
  <c r="C1080" i="3"/>
  <c r="C1084" i="3"/>
  <c r="C1088" i="3"/>
  <c r="C1092" i="3"/>
  <c r="C1096" i="3"/>
  <c r="C1100" i="3"/>
  <c r="C1104" i="3"/>
  <c r="C1108" i="3"/>
  <c r="C1112" i="3"/>
  <c r="C1116" i="3"/>
  <c r="C1120" i="3"/>
  <c r="C1124" i="3"/>
  <c r="C1128" i="3"/>
  <c r="C1132" i="3"/>
  <c r="C1136" i="3"/>
  <c r="C1140" i="3"/>
  <c r="C1144" i="3"/>
  <c r="C1148" i="3"/>
  <c r="BL3" i="8"/>
  <c r="BJ3" i="8"/>
  <c r="BI3" i="8"/>
  <c r="BK3" i="8"/>
  <c r="BR3" i="8"/>
  <c r="BW3" i="8"/>
  <c r="CB3" i="8"/>
  <c r="CG3" i="8"/>
  <c r="BS3" i="8"/>
  <c r="BX3" i="8"/>
  <c r="CC3" i="8"/>
  <c r="CH3" i="8"/>
  <c r="BP3" i="8"/>
  <c r="BT3" i="8"/>
  <c r="BY3" i="8"/>
  <c r="CD3" i="8"/>
  <c r="CI3" i="8"/>
  <c r="BV3" i="8"/>
  <c r="CA3" i="8"/>
  <c r="CF3" i="8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1001" i="4"/>
  <c r="A1002" i="4"/>
  <c r="A1003" i="4"/>
  <c r="A1004" i="4"/>
  <c r="A1005" i="4"/>
  <c r="A1006" i="4"/>
  <c r="A1007" i="4"/>
  <c r="A1008" i="4"/>
  <c r="A1009" i="4"/>
  <c r="A1010" i="4"/>
  <c r="A1011" i="4"/>
  <c r="A1012" i="4"/>
  <c r="A1013" i="4"/>
  <c r="A1014" i="4"/>
  <c r="A1015" i="4"/>
  <c r="A1016" i="4"/>
  <c r="A1017" i="4"/>
  <c r="A1018" i="4"/>
  <c r="A1019" i="4"/>
  <c r="A1020" i="4"/>
  <c r="A1021" i="4"/>
  <c r="A1022" i="4"/>
  <c r="A1023" i="4"/>
  <c r="A1024" i="4"/>
  <c r="A1025" i="4"/>
  <c r="A1026" i="4"/>
  <c r="A1027" i="4"/>
  <c r="A1028" i="4"/>
  <c r="A1029" i="4"/>
  <c r="A1030" i="4"/>
  <c r="A1031" i="4"/>
  <c r="A1032" i="4"/>
  <c r="A1033" i="4"/>
  <c r="A1034" i="4"/>
  <c r="A1035" i="4"/>
  <c r="A1036" i="4"/>
  <c r="A1037" i="4"/>
  <c r="A1038" i="4"/>
  <c r="A1039" i="4"/>
  <c r="A1040" i="4"/>
  <c r="A1041" i="4"/>
  <c r="A1042" i="4"/>
  <c r="A1043" i="4"/>
  <c r="A1044" i="4"/>
  <c r="A1045" i="4"/>
  <c r="A1046" i="4"/>
  <c r="A1047" i="4"/>
  <c r="A1048" i="4"/>
  <c r="A1049" i="4"/>
  <c r="A1050" i="4"/>
  <c r="A1051" i="4"/>
  <c r="A1052" i="4"/>
  <c r="A1053" i="4"/>
  <c r="A1054" i="4"/>
  <c r="A1055" i="4"/>
  <c r="A1056" i="4"/>
  <c r="A1057" i="4"/>
  <c r="A1058" i="4"/>
  <c r="A1059" i="4"/>
  <c r="A1060" i="4"/>
  <c r="A1061" i="4"/>
  <c r="A1062" i="4"/>
  <c r="A1063" i="4"/>
  <c r="A1064" i="4"/>
  <c r="A1065" i="4"/>
  <c r="A1066" i="4"/>
  <c r="A1067" i="4"/>
  <c r="A1068" i="4"/>
  <c r="A1069" i="4"/>
  <c r="A1070" i="4"/>
  <c r="A1071" i="4"/>
  <c r="A1072" i="4"/>
  <c r="A1073" i="4"/>
  <c r="A1074" i="4"/>
  <c r="A1075" i="4"/>
  <c r="A1076" i="4"/>
  <c r="A1077" i="4"/>
  <c r="A1078" i="4"/>
  <c r="A1079" i="4"/>
  <c r="A1080" i="4"/>
  <c r="A1081" i="4"/>
  <c r="A1082" i="4"/>
  <c r="A1083" i="4"/>
  <c r="A1084" i="4"/>
  <c r="A1085" i="4"/>
  <c r="A1086" i="4"/>
  <c r="A1087" i="4"/>
  <c r="A1088" i="4"/>
  <c r="A1089" i="4"/>
  <c r="A1090" i="4"/>
  <c r="A1091" i="4"/>
  <c r="A1092" i="4"/>
  <c r="A1093" i="4"/>
  <c r="A1094" i="4"/>
  <c r="A1095" i="4"/>
  <c r="A1096" i="4"/>
  <c r="A1097" i="4"/>
  <c r="A1098" i="4"/>
  <c r="A1099" i="4"/>
  <c r="A1100" i="4"/>
  <c r="A1101" i="4"/>
  <c r="A1102" i="4"/>
  <c r="A1103" i="4"/>
  <c r="A1104" i="4"/>
  <c r="A1105" i="4"/>
  <c r="A1106" i="4"/>
  <c r="A1107" i="4"/>
  <c r="A1108" i="4"/>
  <c r="A1109" i="4"/>
  <c r="A1110" i="4"/>
  <c r="A1111" i="4"/>
  <c r="A1112" i="4"/>
  <c r="A1113" i="4"/>
  <c r="A1114" i="4"/>
  <c r="A1115" i="4"/>
  <c r="A1116" i="4"/>
  <c r="A1117" i="4"/>
  <c r="A1118" i="4"/>
  <c r="A1119" i="4"/>
  <c r="A1120" i="4"/>
  <c r="A1121" i="4"/>
  <c r="A1122" i="4"/>
  <c r="A1123" i="4"/>
  <c r="A1124" i="4"/>
  <c r="A1125" i="4"/>
  <c r="A1126" i="4"/>
  <c r="A1127" i="4"/>
  <c r="A1128" i="4"/>
  <c r="A1129" i="4"/>
  <c r="A1130" i="4"/>
  <c r="A1131" i="4"/>
  <c r="A1132" i="4"/>
  <c r="A1133" i="4"/>
  <c r="A1134" i="4"/>
  <c r="A1135" i="4"/>
  <c r="A1136" i="4"/>
  <c r="A1137" i="4"/>
  <c r="A1138" i="4"/>
  <c r="A1139" i="4"/>
  <c r="A1140" i="4"/>
  <c r="A1141" i="4"/>
  <c r="A1142" i="4"/>
  <c r="A1143" i="4"/>
  <c r="A1144" i="4"/>
  <c r="A1145" i="4"/>
  <c r="A1146" i="4"/>
  <c r="A1147" i="4"/>
  <c r="A1148" i="4"/>
  <c r="A1149" i="4"/>
  <c r="A1150" i="4"/>
  <c r="A1151" i="4"/>
  <c r="A1152" i="4"/>
  <c r="A1153" i="4"/>
  <c r="A1154" i="4"/>
  <c r="A1155" i="4"/>
  <c r="A1156" i="4"/>
  <c r="A1157" i="4"/>
  <c r="A1158" i="4"/>
  <c r="A1159" i="4"/>
  <c r="A1160" i="4"/>
  <c r="A1161" i="4"/>
  <c r="A1162" i="4"/>
  <c r="A1163" i="4"/>
  <c r="A1164" i="4"/>
  <c r="A1165" i="4"/>
  <c r="A1166" i="4"/>
  <c r="A1167" i="4"/>
  <c r="A1168" i="4"/>
  <c r="A1169" i="4"/>
  <c r="A1170" i="4"/>
  <c r="A1171" i="4"/>
  <c r="A1172" i="4"/>
  <c r="A1173" i="4"/>
  <c r="A1174" i="4"/>
  <c r="A1175" i="4"/>
  <c r="A1176" i="4"/>
  <c r="A1177" i="4"/>
  <c r="A1178" i="4"/>
  <c r="A1179" i="4"/>
  <c r="A1180" i="4"/>
  <c r="A1181" i="4"/>
  <c r="A1182" i="4"/>
  <c r="A1183" i="4"/>
  <c r="A1184" i="4"/>
  <c r="A1185" i="4"/>
  <c r="A1186" i="4"/>
  <c r="A1187" i="4"/>
  <c r="A1188" i="4"/>
  <c r="A1189" i="4"/>
  <c r="A1190" i="4"/>
  <c r="A1191" i="4"/>
  <c r="A1192" i="4"/>
  <c r="A1193" i="4"/>
  <c r="A1194" i="4"/>
  <c r="A1195" i="4"/>
  <c r="A1196" i="4"/>
  <c r="A1197" i="4"/>
  <c r="A1198" i="4"/>
  <c r="A1199" i="4"/>
  <c r="A1200" i="4"/>
  <c r="A1201" i="4"/>
  <c r="A1202" i="4"/>
  <c r="A1203" i="4"/>
  <c r="A1204" i="4"/>
  <c r="A1205" i="4"/>
  <c r="A1206" i="4"/>
  <c r="A1207" i="4"/>
  <c r="A1208" i="4"/>
  <c r="A1209" i="4"/>
  <c r="A1210" i="4"/>
  <c r="A1211" i="4"/>
  <c r="A1212" i="4"/>
  <c r="A1213" i="4"/>
  <c r="A1214" i="4"/>
  <c r="A1215" i="4"/>
  <c r="A1216" i="4"/>
  <c r="A1217" i="4"/>
  <c r="A1218" i="4"/>
  <c r="A1219" i="4"/>
  <c r="A1220" i="4"/>
  <c r="A1221" i="4"/>
  <c r="A1222" i="4"/>
  <c r="A1223" i="4"/>
  <c r="A1224" i="4"/>
  <c r="A1225" i="4"/>
  <c r="A1226" i="4"/>
  <c r="A1227" i="4"/>
  <c r="A1228" i="4"/>
  <c r="A1229" i="4"/>
  <c r="A1230" i="4"/>
  <c r="A1231" i="4"/>
  <c r="A1232" i="4"/>
  <c r="A1233" i="4"/>
  <c r="A1234" i="4"/>
  <c r="A1235" i="4"/>
  <c r="A1236" i="4"/>
  <c r="A1237" i="4"/>
  <c r="A1238" i="4"/>
  <c r="A1239" i="4"/>
  <c r="A1240" i="4"/>
  <c r="A1241" i="4"/>
  <c r="A1242" i="4"/>
  <c r="A1243" i="4"/>
  <c r="A1244" i="4"/>
  <c r="A1245" i="4"/>
  <c r="A1246" i="4"/>
  <c r="A1247" i="4"/>
  <c r="A1248" i="4"/>
  <c r="A1249" i="4"/>
  <c r="A1250" i="4"/>
  <c r="A1251" i="4"/>
  <c r="A1252" i="4"/>
  <c r="A1253" i="4"/>
  <c r="A1254" i="4"/>
  <c r="A1255" i="4"/>
  <c r="A1256" i="4"/>
  <c r="A1257" i="4"/>
  <c r="A1258" i="4"/>
  <c r="A1259" i="4"/>
  <c r="A1260" i="4"/>
  <c r="A1261" i="4"/>
  <c r="A1262" i="4"/>
  <c r="A1263" i="4"/>
  <c r="A1264" i="4"/>
  <c r="A1265" i="4"/>
  <c r="A1266" i="4"/>
  <c r="A1267" i="4"/>
  <c r="A1268" i="4"/>
  <c r="A1269" i="4"/>
  <c r="A1270" i="4"/>
  <c r="A1271" i="4"/>
  <c r="A1272" i="4"/>
  <c r="A1273" i="4"/>
  <c r="A1274" i="4"/>
  <c r="A1275" i="4"/>
  <c r="A1276" i="4"/>
  <c r="A1277" i="4"/>
  <c r="A1278" i="4"/>
  <c r="A1279" i="4"/>
  <c r="A1280" i="4"/>
  <c r="A1281" i="4"/>
  <c r="A1282" i="4"/>
  <c r="A1283" i="4"/>
  <c r="A1284" i="4"/>
  <c r="A1285" i="4"/>
  <c r="A1286" i="4"/>
  <c r="A1287" i="4"/>
  <c r="A1288" i="4"/>
  <c r="A1289" i="4"/>
  <c r="A1290" i="4"/>
  <c r="A1291" i="4"/>
  <c r="A1292" i="4"/>
  <c r="A1293" i="4"/>
  <c r="A1294" i="4"/>
  <c r="A1295" i="4"/>
  <c r="A1296" i="4"/>
  <c r="A1297" i="4"/>
  <c r="A1298" i="4"/>
  <c r="A1299" i="4"/>
  <c r="A1300" i="4"/>
  <c r="A1301" i="4"/>
  <c r="A1302" i="4"/>
  <c r="A1303" i="4"/>
  <c r="A1304" i="4"/>
  <c r="A1305" i="4"/>
  <c r="A1306" i="4"/>
  <c r="A1307" i="4"/>
  <c r="A1308" i="4"/>
  <c r="A1309" i="4"/>
  <c r="A1310" i="4"/>
  <c r="A1311" i="4"/>
  <c r="A1312" i="4"/>
  <c r="A1313" i="4"/>
  <c r="A1314" i="4"/>
  <c r="A1315" i="4"/>
  <c r="A1316" i="4"/>
  <c r="A1317" i="4"/>
  <c r="A1318" i="4"/>
  <c r="A1319" i="4"/>
  <c r="A1320" i="4"/>
  <c r="A1321" i="4"/>
  <c r="A1322" i="4"/>
  <c r="A1323" i="4"/>
  <c r="A1324" i="4"/>
  <c r="A1325" i="4"/>
  <c r="A1326" i="4"/>
  <c r="A1327" i="4"/>
  <c r="A1328" i="4"/>
  <c r="A1329" i="4"/>
  <c r="A1330" i="4"/>
  <c r="A1331" i="4"/>
  <c r="A1332" i="4"/>
  <c r="A1333" i="4"/>
  <c r="A1334" i="4"/>
  <c r="A1335" i="4"/>
  <c r="A1336" i="4"/>
  <c r="A1337" i="4"/>
  <c r="A1338" i="4"/>
  <c r="A1339" i="4"/>
  <c r="A1340" i="4"/>
  <c r="A1341" i="4"/>
  <c r="A1342" i="4"/>
  <c r="A1343" i="4"/>
  <c r="A1344" i="4"/>
  <c r="A1345" i="4"/>
  <c r="A1346" i="4"/>
  <c r="A1347" i="4"/>
  <c r="A1348" i="4"/>
  <c r="A1349" i="4"/>
  <c r="A1350" i="4"/>
  <c r="A1351" i="4"/>
  <c r="A1352" i="4"/>
  <c r="A1353" i="4"/>
  <c r="A1354" i="4"/>
  <c r="A1355" i="4"/>
  <c r="A1356" i="4"/>
  <c r="A1357" i="4"/>
  <c r="A1358" i="4"/>
  <c r="A1359" i="4"/>
  <c r="A1360" i="4"/>
  <c r="A1361" i="4"/>
  <c r="A1362" i="4"/>
  <c r="A1363" i="4"/>
  <c r="A1364" i="4"/>
  <c r="A1365" i="4"/>
  <c r="A1366" i="4"/>
  <c r="A1367" i="4"/>
  <c r="A1368" i="4"/>
  <c r="A1369" i="4"/>
  <c r="A1370" i="4"/>
  <c r="A1371" i="4"/>
  <c r="A1372" i="4"/>
  <c r="A1373" i="4"/>
  <c r="A1374" i="4"/>
  <c r="A1375" i="4"/>
  <c r="A1376" i="4"/>
  <c r="A1377" i="4"/>
  <c r="A1378" i="4"/>
  <c r="A1379" i="4"/>
  <c r="A1380" i="4"/>
  <c r="A1381" i="4"/>
  <c r="A1382" i="4"/>
  <c r="A1383" i="4"/>
  <c r="A1384" i="4"/>
  <c r="A1385" i="4"/>
  <c r="A1386" i="4"/>
  <c r="A1387" i="4"/>
  <c r="A1388" i="4"/>
  <c r="A1389" i="4"/>
  <c r="A1390" i="4"/>
  <c r="A1391" i="4"/>
  <c r="A1392" i="4"/>
  <c r="A1393" i="4"/>
  <c r="A1394" i="4"/>
  <c r="A1395" i="4"/>
  <c r="A1396" i="4"/>
  <c r="A1397" i="4"/>
  <c r="A1398" i="4"/>
  <c r="A1399" i="4"/>
  <c r="A1400" i="4"/>
  <c r="A1401" i="4"/>
  <c r="A1402" i="4"/>
  <c r="A1403" i="4"/>
  <c r="A1404" i="4"/>
  <c r="A1405" i="4"/>
  <c r="A1406" i="4"/>
  <c r="A1407" i="4"/>
  <c r="A1408" i="4"/>
  <c r="A1409" i="4"/>
  <c r="A1410" i="4"/>
  <c r="A1411" i="4"/>
  <c r="A1412" i="4"/>
  <c r="A1413" i="4"/>
  <c r="A1414" i="4"/>
  <c r="A1415" i="4"/>
  <c r="A1416" i="4"/>
  <c r="A1417" i="4"/>
  <c r="A1418" i="4"/>
  <c r="A1419" i="4"/>
  <c r="A1420" i="4"/>
  <c r="A1421" i="4"/>
  <c r="A1422" i="4"/>
  <c r="A1423" i="4"/>
  <c r="A1424" i="4"/>
  <c r="A1425" i="4"/>
  <c r="A1426" i="4"/>
  <c r="A1427" i="4"/>
  <c r="A1428" i="4"/>
  <c r="A1429" i="4"/>
  <c r="A1430" i="4"/>
  <c r="A1431" i="4"/>
  <c r="A1432" i="4"/>
  <c r="A1433" i="4"/>
  <c r="A1434" i="4"/>
  <c r="A1435" i="4"/>
  <c r="A1436" i="4"/>
  <c r="A1437" i="4"/>
  <c r="A1438" i="4"/>
  <c r="A1439" i="4"/>
  <c r="A1440" i="4"/>
  <c r="A1441" i="4"/>
  <c r="A1442" i="4"/>
  <c r="A1443" i="4"/>
  <c r="A1444" i="4"/>
  <c r="A1445" i="4"/>
  <c r="A1446" i="4"/>
  <c r="A1447" i="4"/>
  <c r="A1448" i="4"/>
  <c r="A1449" i="4"/>
  <c r="A1450" i="4"/>
  <c r="A1451" i="4"/>
  <c r="A1452" i="4"/>
  <c r="A1453" i="4"/>
  <c r="A1454" i="4"/>
  <c r="A1455" i="4"/>
  <c r="A1456" i="4"/>
  <c r="A1457" i="4"/>
  <c r="A1458" i="4"/>
  <c r="A1459" i="4"/>
  <c r="A1460" i="4"/>
  <c r="A1461" i="4"/>
  <c r="A1462" i="4"/>
  <c r="A1463" i="4"/>
  <c r="A1464" i="4"/>
  <c r="A1465" i="4"/>
  <c r="A1466" i="4"/>
  <c r="A1467" i="4"/>
  <c r="A1468" i="4"/>
  <c r="A1469" i="4"/>
  <c r="A1470" i="4"/>
  <c r="A1471" i="4"/>
  <c r="A1472" i="4"/>
  <c r="A1473" i="4"/>
  <c r="A1474" i="4"/>
  <c r="A1475" i="4"/>
  <c r="A1476" i="4"/>
  <c r="A1477" i="4"/>
  <c r="A1478" i="4"/>
  <c r="A1479" i="4"/>
  <c r="A1480" i="4"/>
  <c r="A1481" i="4"/>
  <c r="A1482" i="4"/>
  <c r="A1483" i="4"/>
  <c r="A1484" i="4"/>
  <c r="A1485" i="4"/>
  <c r="A1486" i="4"/>
  <c r="A1487" i="4"/>
  <c r="A1488" i="4"/>
  <c r="A1489" i="4"/>
  <c r="A1490" i="4"/>
  <c r="A1491" i="4"/>
  <c r="A1492" i="4"/>
  <c r="A1493" i="4"/>
  <c r="A1494" i="4"/>
  <c r="A1495" i="4"/>
  <c r="A1496" i="4"/>
  <c r="A1497" i="4"/>
  <c r="A1498" i="4"/>
  <c r="A1499" i="4"/>
  <c r="A1155" i="3"/>
  <c r="A1160" i="3"/>
  <c r="A1163" i="3"/>
  <c r="A1176" i="3"/>
  <c r="A1177" i="3"/>
  <c r="A1179" i="3"/>
  <c r="A1181" i="3"/>
  <c r="A1183" i="3"/>
  <c r="A1185" i="3"/>
  <c r="A1186" i="3"/>
  <c r="A1196" i="3"/>
  <c r="A1197" i="3"/>
  <c r="A1201" i="3"/>
  <c r="A1203" i="3"/>
  <c r="A1205" i="3"/>
  <c r="A1217" i="3"/>
  <c r="A1220" i="3"/>
  <c r="A1232" i="3"/>
  <c r="A1235" i="3"/>
  <c r="A1242" i="3"/>
  <c r="A1244" i="3"/>
  <c r="A1248" i="3"/>
  <c r="A1250" i="3"/>
  <c r="A1261" i="3"/>
  <c r="A1263" i="3"/>
  <c r="A1265" i="3"/>
  <c r="A1222" i="3"/>
  <c r="A1187" i="3"/>
  <c r="A1180" i="3"/>
  <c r="A1168" i="3"/>
  <c r="A1158" i="3"/>
  <c r="A1159" i="3"/>
  <c r="A1161" i="3"/>
  <c r="A1166" i="3"/>
  <c r="A1167" i="3"/>
  <c r="A1169" i="3"/>
  <c r="A1173" i="3"/>
  <c r="A1174" i="3"/>
  <c r="A1184" i="3"/>
  <c r="A1193" i="3"/>
  <c r="A1194" i="3"/>
  <c r="A1198" i="3"/>
  <c r="A1199" i="3"/>
  <c r="A1200" i="3"/>
  <c r="A1212" i="3"/>
  <c r="A1213" i="3"/>
  <c r="A1214" i="3"/>
  <c r="A1202" i="3"/>
  <c r="A1219" i="3"/>
  <c r="A1225" i="3"/>
  <c r="A1227" i="3"/>
  <c r="A1240" i="3"/>
  <c r="A1243" i="3"/>
  <c r="A1245" i="3"/>
  <c r="A1246" i="3"/>
  <c r="A1249" i="3"/>
  <c r="A1255" i="3"/>
  <c r="A1257" i="3"/>
  <c r="A1258" i="3"/>
  <c r="A1259" i="3"/>
  <c r="A1262" i="3"/>
  <c r="A1264" i="3"/>
  <c r="A1238" i="3"/>
  <c r="A1164" i="3"/>
  <c r="A1178" i="3"/>
  <c r="A1182" i="3"/>
  <c r="A1188" i="3"/>
  <c r="A1195" i="3"/>
  <c r="A1204" i="3"/>
  <c r="A1216" i="3"/>
  <c r="A1236" i="3"/>
  <c r="A1247" i="3"/>
  <c r="A1266" i="3"/>
  <c r="A1165" i="3"/>
  <c r="A1209" i="3"/>
  <c r="A1211" i="3"/>
  <c r="A1215" i="3"/>
  <c r="A1223" i="3"/>
  <c r="A1241" i="3"/>
  <c r="A1256" i="3"/>
  <c r="A1260" i="3"/>
  <c r="A1157" i="3"/>
  <c r="A1172" i="3"/>
  <c r="A1218" i="3"/>
  <c r="A1226" i="3"/>
  <c r="A1152" i="3"/>
  <c r="A1162" i="3"/>
  <c r="A1207" i="3"/>
  <c r="A1224" i="3"/>
  <c r="A1237" i="3"/>
  <c r="A1239" i="3"/>
  <c r="A1175" i="3"/>
  <c r="A1192" i="3"/>
  <c r="A1221" i="3"/>
  <c r="A1189" i="3"/>
  <c r="A1190" i="3"/>
  <c r="A1191" i="3"/>
  <c r="A1210" i="3"/>
  <c r="A1233" i="3"/>
  <c r="A1156" i="3"/>
  <c r="A1206" i="3"/>
  <c r="A1208" i="3"/>
  <c r="A1234" i="3"/>
  <c r="A1267" i="3"/>
  <c r="A1154" i="3"/>
  <c r="A1153" i="3"/>
  <c r="A1171" i="3"/>
  <c r="A1170" i="3"/>
  <c r="A1252" i="3"/>
  <c r="A1251" i="3"/>
  <c r="A1254" i="3"/>
  <c r="A1253" i="3"/>
  <c r="A1229" i="3"/>
  <c r="A1228" i="3"/>
  <c r="A1231" i="3"/>
  <c r="A1230" i="3"/>
  <c r="A1383" i="3"/>
  <c r="A1382" i="3"/>
  <c r="A1381" i="3"/>
  <c r="A1380" i="3"/>
  <c r="A1379" i="3"/>
  <c r="A1378" i="3"/>
  <c r="A1377" i="3"/>
  <c r="A1376" i="3"/>
  <c r="A1375" i="3"/>
  <c r="A1374" i="3"/>
  <c r="A1373" i="3"/>
  <c r="A1372" i="3"/>
  <c r="A1371" i="3"/>
  <c r="A1370" i="3"/>
  <c r="A1369" i="3"/>
  <c r="A1368" i="3"/>
  <c r="A1367" i="3"/>
  <c r="A1366" i="3"/>
  <c r="A1365" i="3"/>
  <c r="A1364" i="3"/>
  <c r="A1363" i="3"/>
  <c r="A1362" i="3"/>
  <c r="A1361" i="3"/>
  <c r="A1360" i="3"/>
  <c r="A1359" i="3"/>
  <c r="A1358" i="3"/>
  <c r="A1357" i="3"/>
  <c r="A1356" i="3"/>
  <c r="A1355" i="3"/>
  <c r="A1354" i="3"/>
  <c r="A1353" i="3"/>
  <c r="A1352" i="3"/>
  <c r="A1351" i="3"/>
  <c r="A1350" i="3"/>
  <c r="A1349" i="3"/>
  <c r="A1348" i="3"/>
  <c r="A1347" i="3"/>
  <c r="A1346" i="3"/>
  <c r="A1345" i="3"/>
  <c r="A1344" i="3"/>
  <c r="A1343" i="3"/>
  <c r="A1342" i="3"/>
  <c r="A1341" i="3"/>
  <c r="A1340" i="3"/>
  <c r="A1339" i="3"/>
  <c r="A1338" i="3"/>
  <c r="A1337" i="3"/>
  <c r="A1336" i="3"/>
  <c r="A1335" i="3"/>
  <c r="A1334" i="3"/>
  <c r="A1333" i="3"/>
  <c r="A1332" i="3"/>
  <c r="A1331" i="3"/>
  <c r="A1330" i="3"/>
  <c r="A1329" i="3"/>
  <c r="A1328" i="3"/>
  <c r="A1327" i="3"/>
  <c r="A1326" i="3"/>
  <c r="A1325" i="3"/>
  <c r="A1324" i="3"/>
  <c r="A1323" i="3"/>
  <c r="A1322" i="3"/>
  <c r="A1321" i="3"/>
  <c r="A1289" i="3"/>
  <c r="A1288" i="3"/>
  <c r="A1287" i="3"/>
  <c r="A1286" i="3"/>
  <c r="A1285" i="3"/>
  <c r="A1284" i="3"/>
  <c r="A1283" i="3"/>
  <c r="A1282" i="3"/>
  <c r="A1281" i="3"/>
  <c r="A1280" i="3"/>
  <c r="A1297" i="3"/>
  <c r="A1296" i="3"/>
  <c r="A1295" i="3"/>
  <c r="A1294" i="3"/>
  <c r="A1293" i="3"/>
  <c r="A1292" i="3"/>
  <c r="A1291" i="3"/>
  <c r="A1290" i="3"/>
  <c r="A1301" i="3"/>
  <c r="A1300" i="3"/>
  <c r="A1299" i="3"/>
  <c r="A1298" i="3"/>
  <c r="A1307" i="3"/>
  <c r="A1306" i="3"/>
  <c r="A1305" i="3"/>
  <c r="A1304" i="3"/>
  <c r="A1303" i="3"/>
  <c r="A1302" i="3"/>
  <c r="A1320" i="3"/>
  <c r="A1319" i="3"/>
  <c r="A1318" i="3"/>
  <c r="A1317" i="3"/>
  <c r="A1316" i="3"/>
  <c r="A1315" i="3"/>
  <c r="A1314" i="3"/>
  <c r="A1313" i="3"/>
  <c r="A1312" i="3"/>
  <c r="A1311" i="3"/>
  <c r="A1310" i="3"/>
  <c r="A1309" i="3"/>
  <c r="A1308" i="3"/>
  <c r="A1279" i="3"/>
  <c r="A1278" i="3"/>
  <c r="A1277" i="3"/>
  <c r="A1276" i="3"/>
  <c r="A1275" i="3"/>
  <c r="A1274" i="3"/>
  <c r="A1273" i="3"/>
  <c r="A1272" i="3"/>
  <c r="A1271" i="3"/>
  <c r="A1270" i="3"/>
  <c r="A1269" i="3"/>
  <c r="A1268" i="3"/>
  <c r="A1470" i="3"/>
  <c r="A1471" i="3"/>
  <c r="A1472" i="3"/>
  <c r="A1474" i="3"/>
  <c r="A1475" i="3"/>
  <c r="A1476" i="3"/>
  <c r="A1478" i="3"/>
  <c r="A1479" i="3"/>
  <c r="A1480" i="3"/>
  <c r="A1481" i="3"/>
  <c r="A1483" i="3"/>
  <c r="A1484" i="3"/>
  <c r="A1485" i="3"/>
  <c r="A1486" i="3"/>
  <c r="A1487" i="3"/>
  <c r="A1488" i="3"/>
  <c r="A1489" i="3"/>
  <c r="A1491" i="3"/>
  <c r="A1492" i="3"/>
  <c r="A1493" i="3"/>
  <c r="A1494" i="3"/>
  <c r="A1495" i="3"/>
  <c r="A1496" i="3"/>
  <c r="A1497" i="3"/>
  <c r="A1498" i="3"/>
  <c r="A1499" i="3"/>
  <c r="A1490" i="3"/>
  <c r="A1482" i="3"/>
  <c r="A1477" i="3"/>
  <c r="A1473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2" i="3"/>
  <c r="A1453" i="3"/>
  <c r="A1454" i="3"/>
  <c r="A1451" i="3"/>
  <c r="A1455" i="3"/>
  <c r="A1456" i="3"/>
  <c r="A1457" i="3"/>
  <c r="A1459" i="3"/>
  <c r="A1460" i="3"/>
  <c r="A1461" i="3"/>
  <c r="A1462" i="3"/>
  <c r="A1463" i="3"/>
  <c r="A1464" i="3"/>
  <c r="A1465" i="3"/>
  <c r="A1466" i="3"/>
  <c r="A1467" i="3"/>
  <c r="A1468" i="3"/>
  <c r="A1469" i="3"/>
  <c r="A1458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5" i="3"/>
  <c r="A1429" i="3"/>
  <c r="A1433" i="3"/>
  <c r="A1426" i="3"/>
  <c r="A1427" i="3"/>
  <c r="A1428" i="3"/>
  <c r="A1432" i="3"/>
  <c r="A1434" i="3"/>
  <c r="A1424" i="3"/>
  <c r="A1430" i="3"/>
  <c r="A1431" i="3"/>
  <c r="A1435" i="3"/>
  <c r="A1436" i="3"/>
  <c r="A1385" i="3"/>
  <c r="A1384" i="3"/>
  <c r="A1387" i="3"/>
  <c r="A1386" i="3"/>
  <c r="A1393" i="3"/>
  <c r="A1392" i="3"/>
  <c r="A1395" i="3"/>
  <c r="A1394" i="3"/>
  <c r="A1389" i="3"/>
  <c r="A1388" i="3"/>
  <c r="A1391" i="3"/>
  <c r="A1390" i="3"/>
  <c r="A2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A514" i="3"/>
  <c r="A515" i="3"/>
  <c r="A516" i="3"/>
  <c r="A517" i="3"/>
  <c r="A518" i="3"/>
  <c r="A519" i="3"/>
  <c r="A520" i="3"/>
  <c r="A521" i="3"/>
  <c r="A522" i="3"/>
  <c r="A523" i="3"/>
  <c r="A524" i="3"/>
  <c r="A525" i="3"/>
  <c r="A526" i="3"/>
  <c r="A527" i="3"/>
  <c r="A528" i="3"/>
  <c r="A529" i="3"/>
  <c r="A530" i="3"/>
  <c r="A531" i="3"/>
  <c r="A532" i="3"/>
  <c r="A533" i="3"/>
  <c r="A534" i="3"/>
  <c r="A535" i="3"/>
  <c r="A536" i="3"/>
  <c r="A537" i="3"/>
  <c r="A538" i="3"/>
  <c r="A539" i="3"/>
  <c r="A540" i="3"/>
  <c r="A541" i="3"/>
  <c r="A542" i="3"/>
  <c r="A543" i="3"/>
  <c r="A544" i="3"/>
  <c r="A545" i="3"/>
  <c r="A546" i="3"/>
  <c r="A547" i="3"/>
  <c r="A548" i="3"/>
  <c r="A549" i="3"/>
  <c r="A550" i="3"/>
  <c r="A551" i="3"/>
  <c r="A552" i="3"/>
  <c r="A553" i="3"/>
  <c r="A554" i="3"/>
  <c r="A555" i="3"/>
  <c r="A556" i="3"/>
  <c r="A557" i="3"/>
  <c r="A558" i="3"/>
  <c r="A559" i="3"/>
  <c r="A560" i="3"/>
  <c r="A561" i="3"/>
  <c r="A562" i="3"/>
  <c r="A563" i="3"/>
  <c r="A564" i="3"/>
  <c r="A565" i="3"/>
  <c r="A566" i="3"/>
  <c r="A567" i="3"/>
  <c r="A568" i="3"/>
  <c r="A569" i="3"/>
  <c r="A570" i="3"/>
  <c r="A571" i="3"/>
  <c r="A572" i="3"/>
  <c r="A573" i="3"/>
  <c r="A574" i="3"/>
  <c r="A575" i="3"/>
  <c r="A576" i="3"/>
  <c r="A577" i="3"/>
  <c r="A578" i="3"/>
  <c r="A579" i="3"/>
  <c r="A580" i="3"/>
  <c r="A581" i="3"/>
  <c r="A582" i="3"/>
  <c r="A583" i="3"/>
  <c r="A584" i="3"/>
  <c r="A585" i="3"/>
  <c r="A586" i="3"/>
  <c r="A587" i="3"/>
  <c r="A588" i="3"/>
  <c r="A589" i="3"/>
  <c r="A590" i="3"/>
  <c r="A591" i="3"/>
  <c r="A592" i="3"/>
  <c r="A593" i="3"/>
  <c r="A594" i="3"/>
  <c r="A595" i="3"/>
  <c r="A596" i="3"/>
  <c r="A597" i="3"/>
  <c r="A598" i="3"/>
  <c r="A599" i="3"/>
  <c r="A600" i="3"/>
  <c r="A601" i="3"/>
  <c r="A602" i="3"/>
  <c r="A603" i="3"/>
  <c r="A604" i="3"/>
  <c r="A605" i="3"/>
  <c r="A606" i="3"/>
  <c r="A607" i="3"/>
  <c r="A608" i="3"/>
  <c r="A609" i="3"/>
  <c r="A610" i="3"/>
  <c r="A611" i="3"/>
  <c r="A612" i="3"/>
  <c r="A613" i="3"/>
  <c r="A614" i="3"/>
  <c r="A615" i="3"/>
  <c r="A616" i="3"/>
  <c r="A617" i="3"/>
  <c r="A618" i="3"/>
  <c r="A619" i="3"/>
  <c r="A620" i="3"/>
  <c r="A621" i="3"/>
  <c r="A622" i="3"/>
  <c r="A623" i="3"/>
  <c r="A624" i="3"/>
  <c r="A625" i="3"/>
  <c r="A626" i="3"/>
  <c r="A627" i="3"/>
  <c r="A628" i="3"/>
  <c r="A629" i="3"/>
  <c r="A630" i="3"/>
  <c r="A631" i="3"/>
  <c r="A632" i="3"/>
  <c r="A633" i="3"/>
  <c r="A634" i="3"/>
  <c r="A635" i="3"/>
  <c r="A636" i="3"/>
  <c r="A637" i="3"/>
  <c r="A638" i="3"/>
  <c r="A639" i="3"/>
  <c r="A640" i="3"/>
  <c r="A641" i="3"/>
  <c r="A642" i="3"/>
  <c r="A643" i="3"/>
  <c r="A644" i="3"/>
  <c r="A645" i="3"/>
  <c r="A646" i="3"/>
  <c r="A647" i="3"/>
  <c r="A648" i="3"/>
  <c r="A649" i="3"/>
  <c r="A650" i="3"/>
  <c r="A651" i="3"/>
  <c r="A652" i="3"/>
  <c r="A653" i="3"/>
  <c r="A654" i="3"/>
  <c r="A655" i="3"/>
  <c r="A656" i="3"/>
  <c r="A657" i="3"/>
  <c r="A658" i="3"/>
  <c r="A659" i="3"/>
  <c r="A660" i="3"/>
  <c r="A661" i="3"/>
  <c r="A662" i="3"/>
  <c r="A663" i="3"/>
  <c r="A664" i="3"/>
  <c r="A665" i="3"/>
  <c r="A666" i="3"/>
  <c r="A667" i="3"/>
  <c r="A668" i="3"/>
  <c r="A669" i="3"/>
  <c r="A670" i="3"/>
  <c r="A671" i="3"/>
  <c r="A672" i="3"/>
  <c r="A673" i="3"/>
  <c r="A674" i="3"/>
  <c r="A675" i="3"/>
  <c r="A676" i="3"/>
  <c r="A677" i="3"/>
  <c r="A678" i="3"/>
  <c r="A679" i="3"/>
  <c r="A680" i="3"/>
  <c r="A681" i="3"/>
  <c r="A682" i="3"/>
  <c r="A683" i="3"/>
  <c r="A684" i="3"/>
  <c r="A685" i="3"/>
  <c r="A686" i="3"/>
  <c r="A687" i="3"/>
  <c r="A688" i="3"/>
  <c r="A689" i="3"/>
  <c r="A690" i="3"/>
  <c r="A691" i="3"/>
  <c r="A692" i="3"/>
  <c r="A693" i="3"/>
  <c r="A694" i="3"/>
  <c r="A695" i="3"/>
  <c r="A696" i="3"/>
  <c r="A697" i="3"/>
  <c r="A698" i="3"/>
  <c r="A699" i="3"/>
  <c r="A700" i="3"/>
  <c r="A701" i="3"/>
  <c r="A702" i="3"/>
  <c r="A703" i="3"/>
  <c r="A704" i="3"/>
  <c r="A705" i="3"/>
  <c r="A706" i="3"/>
  <c r="A707" i="3"/>
  <c r="A708" i="3"/>
  <c r="A709" i="3"/>
  <c r="A710" i="3"/>
  <c r="A711" i="3"/>
  <c r="A712" i="3"/>
  <c r="A713" i="3"/>
  <c r="A714" i="3"/>
  <c r="A715" i="3"/>
  <c r="A716" i="3"/>
  <c r="A717" i="3"/>
  <c r="A718" i="3"/>
  <c r="A719" i="3"/>
  <c r="A720" i="3"/>
  <c r="A721" i="3"/>
  <c r="A722" i="3"/>
  <c r="A723" i="3"/>
  <c r="A724" i="3"/>
  <c r="A725" i="3"/>
  <c r="A726" i="3"/>
  <c r="A727" i="3"/>
  <c r="A728" i="3"/>
  <c r="A729" i="3"/>
  <c r="A730" i="3"/>
  <c r="A731" i="3"/>
  <c r="A732" i="3"/>
  <c r="A733" i="3"/>
  <c r="A734" i="3"/>
  <c r="A735" i="3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C660" i="4" l="1"/>
  <c r="C644" i="4"/>
  <c r="C628" i="4"/>
  <c r="C612" i="4"/>
  <c r="C596" i="4"/>
  <c r="C576" i="4"/>
  <c r="C544" i="4"/>
  <c r="C624" i="4"/>
  <c r="C608" i="4"/>
  <c r="C592" i="4"/>
  <c r="C572" i="4"/>
  <c r="C383" i="4"/>
  <c r="BI16" i="8"/>
  <c r="C516" i="4"/>
  <c r="C512" i="4"/>
  <c r="C492" i="4"/>
  <c r="C580" i="4"/>
  <c r="C560" i="4"/>
  <c r="C528" i="4"/>
  <c r="C488" i="4"/>
  <c r="C460" i="4"/>
  <c r="C452" i="4"/>
  <c r="C556" i="4"/>
  <c r="C540" i="4"/>
  <c r="C524" i="4"/>
  <c r="C508" i="4"/>
  <c r="C476" i="4"/>
  <c r="C436" i="4"/>
  <c r="C568" i="4"/>
  <c r="C552" i="4"/>
  <c r="C536" i="4"/>
  <c r="C520" i="4"/>
  <c r="C504" i="4"/>
  <c r="C472" i="4"/>
  <c r="C432" i="4"/>
  <c r="C500" i="4"/>
  <c r="C484" i="4"/>
  <c r="C468" i="4"/>
  <c r="C448" i="4"/>
  <c r="C416" i="4"/>
  <c r="C496" i="4"/>
  <c r="C480" i="4"/>
  <c r="C464" i="4"/>
  <c r="C444" i="4"/>
  <c r="C400" i="4"/>
  <c r="C396" i="4"/>
  <c r="C420" i="4"/>
  <c r="C340" i="4"/>
  <c r="C428" i="4"/>
  <c r="C412" i="4"/>
  <c r="C388" i="4"/>
  <c r="C655" i="4"/>
  <c r="C456" i="4"/>
  <c r="C440" i="4"/>
  <c r="C424" i="4"/>
  <c r="C404" i="4"/>
  <c r="C372" i="4"/>
  <c r="C623" i="4"/>
  <c r="C356" i="4"/>
  <c r="C384" i="4"/>
  <c r="C368" i="4"/>
  <c r="C352" i="4"/>
  <c r="C675" i="4"/>
  <c r="C643" i="4"/>
  <c r="C607" i="4"/>
  <c r="C380" i="4"/>
  <c r="C364" i="4"/>
  <c r="C348" i="4"/>
  <c r="C671" i="4"/>
  <c r="C639" i="4"/>
  <c r="C527" i="4"/>
  <c r="C408" i="4"/>
  <c r="C392" i="4"/>
  <c r="C376" i="4"/>
  <c r="C360" i="4"/>
  <c r="C344" i="4"/>
  <c r="C659" i="4"/>
  <c r="C627" i="4"/>
  <c r="C667" i="4"/>
  <c r="C651" i="4"/>
  <c r="C635" i="4"/>
  <c r="C619" i="4"/>
  <c r="C591" i="4"/>
  <c r="C495" i="4"/>
  <c r="C332" i="4"/>
  <c r="C663" i="4"/>
  <c r="C647" i="4"/>
  <c r="C631" i="4"/>
  <c r="C615" i="4"/>
  <c r="C571" i="4"/>
  <c r="C463" i="4"/>
  <c r="C611" i="4"/>
  <c r="C547" i="4"/>
  <c r="C603" i="4"/>
  <c r="C587" i="4"/>
  <c r="C563" i="4"/>
  <c r="C543" i="4"/>
  <c r="C515" i="4"/>
  <c r="C483" i="4"/>
  <c r="C443" i="4"/>
  <c r="C599" i="4"/>
  <c r="C579" i="4"/>
  <c r="C559" i="4"/>
  <c r="C539" i="4"/>
  <c r="C511" i="4"/>
  <c r="C479" i="4"/>
  <c r="C351" i="4"/>
  <c r="C595" i="4"/>
  <c r="C575" i="4"/>
  <c r="C555" i="4"/>
  <c r="C531" i="4"/>
  <c r="C499" i="4"/>
  <c r="C467" i="4"/>
  <c r="C523" i="4"/>
  <c r="C507" i="4"/>
  <c r="C491" i="4"/>
  <c r="C475" i="4"/>
  <c r="C459" i="4"/>
  <c r="C435" i="4"/>
  <c r="C658" i="4"/>
  <c r="C583" i="4"/>
  <c r="C567" i="4"/>
  <c r="C551" i="4"/>
  <c r="C535" i="4"/>
  <c r="C519" i="4"/>
  <c r="C503" i="4"/>
  <c r="C487" i="4"/>
  <c r="C471" i="4"/>
  <c r="C451" i="4"/>
  <c r="C415" i="4"/>
  <c r="C610" i="4"/>
  <c r="C447" i="4"/>
  <c r="BI34" i="8"/>
  <c r="C431" i="4"/>
  <c r="C403" i="4"/>
  <c r="C371" i="4"/>
  <c r="C338" i="4"/>
  <c r="C646" i="4"/>
  <c r="C578" i="4"/>
  <c r="C427" i="4"/>
  <c r="C399" i="4"/>
  <c r="C367" i="4"/>
  <c r="C328" i="4"/>
  <c r="C642" i="4"/>
  <c r="C546" i="4"/>
  <c r="C419" i="4"/>
  <c r="C387" i="4"/>
  <c r="C355" i="4"/>
  <c r="C662" i="4"/>
  <c r="C626" i="4"/>
  <c r="C411" i="4"/>
  <c r="C395" i="4"/>
  <c r="C379" i="4"/>
  <c r="C363" i="4"/>
  <c r="C347" i="4"/>
  <c r="C670" i="4"/>
  <c r="C654" i="4"/>
  <c r="C638" i="4"/>
  <c r="C622" i="4"/>
  <c r="C598" i="4"/>
  <c r="C566" i="4"/>
  <c r="C530" i="4"/>
  <c r="C455" i="4"/>
  <c r="C439" i="4"/>
  <c r="C423" i="4"/>
  <c r="C407" i="4"/>
  <c r="C391" i="4"/>
  <c r="C375" i="4"/>
  <c r="C359" i="4"/>
  <c r="C343" i="4"/>
  <c r="C666" i="4"/>
  <c r="C650" i="4"/>
  <c r="C634" i="4"/>
  <c r="C618" i="4"/>
  <c r="C594" i="4"/>
  <c r="C562" i="4"/>
  <c r="C474" i="4"/>
  <c r="C630" i="4"/>
  <c r="C614" i="4"/>
  <c r="C582" i="4"/>
  <c r="C550" i="4"/>
  <c r="C606" i="4"/>
  <c r="C590" i="4"/>
  <c r="C574" i="4"/>
  <c r="C558" i="4"/>
  <c r="C542" i="4"/>
  <c r="C526" i="4"/>
  <c r="C450" i="4"/>
  <c r="C602" i="4"/>
  <c r="C586" i="4"/>
  <c r="C570" i="4"/>
  <c r="C554" i="4"/>
  <c r="C538" i="4"/>
  <c r="C510" i="4"/>
  <c r="C394" i="4"/>
  <c r="C534" i="4"/>
  <c r="C494" i="4"/>
  <c r="C522" i="4"/>
  <c r="C506" i="4"/>
  <c r="C490" i="4"/>
  <c r="C466" i="4"/>
  <c r="C446" i="4"/>
  <c r="C358" i="4"/>
  <c r="C518" i="4"/>
  <c r="C502" i="4"/>
  <c r="C482" i="4"/>
  <c r="C462" i="4"/>
  <c r="C430" i="4"/>
  <c r="C197" i="4"/>
  <c r="C514" i="4"/>
  <c r="C498" i="4"/>
  <c r="C478" i="4"/>
  <c r="C458" i="4"/>
  <c r="C414" i="4"/>
  <c r="C442" i="4"/>
  <c r="C426" i="4"/>
  <c r="C410" i="4"/>
  <c r="C386" i="4"/>
  <c r="C337" i="4"/>
  <c r="C121" i="4"/>
  <c r="C486" i="4"/>
  <c r="C470" i="4"/>
  <c r="C454" i="4"/>
  <c r="C438" i="4"/>
  <c r="C422" i="4"/>
  <c r="C402" i="4"/>
  <c r="C382" i="4"/>
  <c r="C325" i="4"/>
  <c r="C312" i="4"/>
  <c r="C434" i="4"/>
  <c r="C418" i="4"/>
  <c r="C398" i="4"/>
  <c r="C370" i="4"/>
  <c r="C261" i="4"/>
  <c r="C378" i="4"/>
  <c r="C354" i="4"/>
  <c r="C309" i="4"/>
  <c r="C245" i="4"/>
  <c r="C181" i="4"/>
  <c r="C89" i="4"/>
  <c r="C248" i="4"/>
  <c r="C406" i="4"/>
  <c r="C390" i="4"/>
  <c r="C374" i="4"/>
  <c r="C342" i="4"/>
  <c r="C293" i="4"/>
  <c r="C229" i="4"/>
  <c r="C165" i="4"/>
  <c r="C57" i="4"/>
  <c r="C184" i="4"/>
  <c r="C277" i="4"/>
  <c r="C213" i="4"/>
  <c r="C149" i="4"/>
  <c r="C25" i="4"/>
  <c r="C170" i="4"/>
  <c r="C120" i="4"/>
  <c r="C280" i="4"/>
  <c r="C56" i="4"/>
  <c r="C216" i="4"/>
  <c r="C315" i="4"/>
  <c r="C313" i="4"/>
  <c r="C281" i="4"/>
  <c r="C249" i="4"/>
  <c r="C217" i="4"/>
  <c r="C185" i="4"/>
  <c r="C153" i="4"/>
  <c r="C105" i="4"/>
  <c r="C41" i="4"/>
  <c r="C296" i="4"/>
  <c r="C232" i="4"/>
  <c r="C168" i="4"/>
  <c r="C104" i="4"/>
  <c r="C40" i="4"/>
  <c r="C219" i="4"/>
  <c r="C152" i="4"/>
  <c r="C88" i="4"/>
  <c r="C24" i="4"/>
  <c r="C139" i="4"/>
  <c r="C329" i="4"/>
  <c r="C297" i="4"/>
  <c r="C265" i="4"/>
  <c r="C233" i="4"/>
  <c r="C201" i="4"/>
  <c r="C169" i="4"/>
  <c r="C137" i="4"/>
  <c r="C73" i="4"/>
  <c r="C9" i="4"/>
  <c r="C264" i="4"/>
  <c r="C200" i="4"/>
  <c r="C136" i="4"/>
  <c r="C72" i="4"/>
  <c r="C331" i="4"/>
  <c r="C107" i="4"/>
  <c r="C283" i="4"/>
  <c r="C11" i="4"/>
  <c r="C203" i="4"/>
  <c r="C330" i="4"/>
  <c r="C8" i="4"/>
  <c r="C251" i="4"/>
  <c r="C123" i="4"/>
  <c r="C266" i="4"/>
  <c r="C267" i="4"/>
  <c r="C187" i="4"/>
  <c r="C59" i="4"/>
  <c r="C250" i="4"/>
  <c r="C218" i="4"/>
  <c r="C299" i="4"/>
  <c r="C235" i="4"/>
  <c r="C171" i="4"/>
  <c r="C75" i="4"/>
  <c r="C314" i="4"/>
  <c r="C42" i="4"/>
  <c r="BM5" i="8"/>
  <c r="BM9" i="8"/>
  <c r="BM13" i="8"/>
  <c r="BM17" i="8"/>
  <c r="BM21" i="8"/>
  <c r="BM25" i="8"/>
  <c r="BM29" i="8"/>
  <c r="BM33" i="8"/>
  <c r="BM37" i="8"/>
  <c r="BM41" i="8"/>
  <c r="BM45" i="8"/>
  <c r="BM49" i="8"/>
  <c r="BM53" i="8"/>
  <c r="BM57" i="8"/>
  <c r="BM61" i="8"/>
  <c r="BM65" i="8"/>
  <c r="BM69" i="8"/>
  <c r="BM73" i="8"/>
  <c r="BM77" i="8"/>
  <c r="BM81" i="8"/>
  <c r="BM85" i="8"/>
  <c r="BM89" i="8"/>
  <c r="BM93" i="8"/>
  <c r="BM97" i="8"/>
  <c r="BM101" i="8"/>
  <c r="BM105" i="8"/>
  <c r="BM109" i="8"/>
  <c r="BM113" i="8"/>
  <c r="BM117" i="8"/>
  <c r="BM121" i="8"/>
  <c r="BM125" i="8"/>
  <c r="BM129" i="8"/>
  <c r="BM133" i="8"/>
  <c r="BM137" i="8"/>
  <c r="BM141" i="8"/>
  <c r="BM145" i="8"/>
  <c r="BM149" i="8"/>
  <c r="BM153" i="8"/>
  <c r="BM157" i="8"/>
  <c r="BM161" i="8"/>
  <c r="BM165" i="8"/>
  <c r="BM169" i="8"/>
  <c r="BM173" i="8"/>
  <c r="BM177" i="8"/>
  <c r="BM181" i="8"/>
  <c r="BM185" i="8"/>
  <c r="BM189" i="8"/>
  <c r="BM193" i="8"/>
  <c r="BM197" i="8"/>
  <c r="BM201" i="8"/>
  <c r="BM205" i="8"/>
  <c r="BM209" i="8"/>
  <c r="BM213" i="8"/>
  <c r="BM217" i="8"/>
  <c r="BM221" i="8"/>
  <c r="BM225" i="8"/>
  <c r="BM229" i="8"/>
  <c r="BM233" i="8"/>
  <c r="BM237" i="8"/>
  <c r="BM241" i="8"/>
  <c r="BM245" i="8"/>
  <c r="BM249" i="8"/>
  <c r="BM253" i="8"/>
  <c r="BM257" i="8"/>
  <c r="BM261" i="8"/>
  <c r="BM265" i="8"/>
  <c r="BM269" i="8"/>
  <c r="BM273" i="8"/>
  <c r="BM277" i="8"/>
  <c r="BM281" i="8"/>
  <c r="BM285" i="8"/>
  <c r="BM289" i="8"/>
  <c r="BM293" i="8"/>
  <c r="BM297" i="8"/>
  <c r="BM301" i="8"/>
  <c r="BM305" i="8"/>
  <c r="BM309" i="8"/>
  <c r="BM313" i="8"/>
  <c r="BM317" i="8"/>
  <c r="BM321" i="8"/>
  <c r="BM325" i="8"/>
  <c r="BM329" i="8"/>
  <c r="BM333" i="8"/>
  <c r="BM337" i="8"/>
  <c r="BM341" i="8"/>
  <c r="BM6" i="8"/>
  <c r="BM11" i="8"/>
  <c r="BM16" i="8"/>
  <c r="BM22" i="8"/>
  <c r="BM27" i="8"/>
  <c r="BM32" i="8"/>
  <c r="BM38" i="8"/>
  <c r="BM43" i="8"/>
  <c r="BM48" i="8"/>
  <c r="BM54" i="8"/>
  <c r="BM59" i="8"/>
  <c r="BM64" i="8"/>
  <c r="BM70" i="8"/>
  <c r="BM75" i="8"/>
  <c r="BM80" i="8"/>
  <c r="BM86" i="8"/>
  <c r="BM91" i="8"/>
  <c r="BM96" i="8"/>
  <c r="BM102" i="8"/>
  <c r="BM107" i="8"/>
  <c r="BM112" i="8"/>
  <c r="BM118" i="8"/>
  <c r="BM123" i="8"/>
  <c r="BM128" i="8"/>
  <c r="BM134" i="8"/>
  <c r="BM139" i="8"/>
  <c r="BM144" i="8"/>
  <c r="BM150" i="8"/>
  <c r="BM155" i="8"/>
  <c r="BM160" i="8"/>
  <c r="BM166" i="8"/>
  <c r="BM171" i="8"/>
  <c r="BM176" i="8"/>
  <c r="BM182" i="8"/>
  <c r="BM187" i="8"/>
  <c r="BM192" i="8"/>
  <c r="BM198" i="8"/>
  <c r="BM203" i="8"/>
  <c r="BM208" i="8"/>
  <c r="BM214" i="8"/>
  <c r="BM219" i="8"/>
  <c r="BM224" i="8"/>
  <c r="BM230" i="8"/>
  <c r="BM235" i="8"/>
  <c r="BM240" i="8"/>
  <c r="BM246" i="8"/>
  <c r="BM251" i="8"/>
  <c r="BM256" i="8"/>
  <c r="BM262" i="8"/>
  <c r="BM267" i="8"/>
  <c r="BM272" i="8"/>
  <c r="BM278" i="8"/>
  <c r="BM283" i="8"/>
  <c r="BM288" i="8"/>
  <c r="BM294" i="8"/>
  <c r="BM299" i="8"/>
  <c r="BM304" i="8"/>
  <c r="BM310" i="8"/>
  <c r="BM315" i="8"/>
  <c r="BM320" i="8"/>
  <c r="BM326" i="8"/>
  <c r="BM331" i="8"/>
  <c r="BM336" i="8"/>
  <c r="BM342" i="8"/>
  <c r="BM346" i="8"/>
  <c r="BM350" i="8"/>
  <c r="BM354" i="8"/>
  <c r="BM358" i="8"/>
  <c r="BM362" i="8"/>
  <c r="BM366" i="8"/>
  <c r="BM370" i="8"/>
  <c r="BM374" i="8"/>
  <c r="BM378" i="8"/>
  <c r="BM382" i="8"/>
  <c r="BM386" i="8"/>
  <c r="BM390" i="8"/>
  <c r="BM394" i="8"/>
  <c r="BM398" i="8"/>
  <c r="BM402" i="8"/>
  <c r="BM406" i="8"/>
  <c r="BM410" i="8"/>
  <c r="BM414" i="8"/>
  <c r="BM418" i="8"/>
  <c r="BM422" i="8"/>
  <c r="BM426" i="8"/>
  <c r="BM7" i="8"/>
  <c r="BM12" i="8"/>
  <c r="BM18" i="8"/>
  <c r="BM23" i="8"/>
  <c r="BM28" i="8"/>
  <c r="BM34" i="8"/>
  <c r="BM39" i="8"/>
  <c r="BM44" i="8"/>
  <c r="BM50" i="8"/>
  <c r="BM55" i="8"/>
  <c r="BM60" i="8"/>
  <c r="BM66" i="8"/>
  <c r="BM71" i="8"/>
  <c r="BM76" i="8"/>
  <c r="BM82" i="8"/>
  <c r="BM87" i="8"/>
  <c r="BM92" i="8"/>
  <c r="BM98" i="8"/>
  <c r="BM103" i="8"/>
  <c r="BM108" i="8"/>
  <c r="BM114" i="8"/>
  <c r="BM119" i="8"/>
  <c r="BM124" i="8"/>
  <c r="BM130" i="8"/>
  <c r="BM135" i="8"/>
  <c r="BM140" i="8"/>
  <c r="BM146" i="8"/>
  <c r="BM151" i="8"/>
  <c r="BM156" i="8"/>
  <c r="BM162" i="8"/>
  <c r="BM167" i="8"/>
  <c r="BM172" i="8"/>
  <c r="BM178" i="8"/>
  <c r="BM183" i="8"/>
  <c r="BM188" i="8"/>
  <c r="BM194" i="8"/>
  <c r="BM199" i="8"/>
  <c r="BM204" i="8"/>
  <c r="BM210" i="8"/>
  <c r="BM215" i="8"/>
  <c r="BM220" i="8"/>
  <c r="BM226" i="8"/>
  <c r="BM231" i="8"/>
  <c r="BM236" i="8"/>
  <c r="BM242" i="8"/>
  <c r="BM247" i="8"/>
  <c r="BM252" i="8"/>
  <c r="BM258" i="8"/>
  <c r="BM263" i="8"/>
  <c r="BM268" i="8"/>
  <c r="BM274" i="8"/>
  <c r="BM279" i="8"/>
  <c r="BM284" i="8"/>
  <c r="BM290" i="8"/>
  <c r="BM295" i="8"/>
  <c r="BM300" i="8"/>
  <c r="BM306" i="8"/>
  <c r="BM311" i="8"/>
  <c r="BM316" i="8"/>
  <c r="BM322" i="8"/>
  <c r="BM327" i="8"/>
  <c r="BM332" i="8"/>
  <c r="BM338" i="8"/>
  <c r="BM343" i="8"/>
  <c r="BM347" i="8"/>
  <c r="BM351" i="8"/>
  <c r="BM355" i="8"/>
  <c r="BM359" i="8"/>
  <c r="BM363" i="8"/>
  <c r="BM367" i="8"/>
  <c r="BM371" i="8"/>
  <c r="BM375" i="8"/>
  <c r="BM379" i="8"/>
  <c r="BM383" i="8"/>
  <c r="BM387" i="8"/>
  <c r="BM391" i="8"/>
  <c r="BM395" i="8"/>
  <c r="BM399" i="8"/>
  <c r="BM403" i="8"/>
  <c r="BM407" i="8"/>
  <c r="BM411" i="8"/>
  <c r="BM415" i="8"/>
  <c r="BM419" i="8"/>
  <c r="BM423" i="8"/>
  <c r="BM427" i="8"/>
  <c r="BM8" i="8"/>
  <c r="BM14" i="8"/>
  <c r="BM19" i="8"/>
  <c r="BM24" i="8"/>
  <c r="BM30" i="8"/>
  <c r="BM35" i="8"/>
  <c r="BM40" i="8"/>
  <c r="BM46" i="8"/>
  <c r="BM51" i="8"/>
  <c r="BM56" i="8"/>
  <c r="BM62" i="8"/>
  <c r="BM67" i="8"/>
  <c r="BM72" i="8"/>
  <c r="BM78" i="8"/>
  <c r="BM83" i="8"/>
  <c r="BM88" i="8"/>
  <c r="BM94" i="8"/>
  <c r="BM99" i="8"/>
  <c r="BM104" i="8"/>
  <c r="BM110" i="8"/>
  <c r="BM115" i="8"/>
  <c r="BM120" i="8"/>
  <c r="BM126" i="8"/>
  <c r="BM131" i="8"/>
  <c r="BM136" i="8"/>
  <c r="BM142" i="8"/>
  <c r="BM147" i="8"/>
  <c r="BM152" i="8"/>
  <c r="BM158" i="8"/>
  <c r="BM163" i="8"/>
  <c r="BM168" i="8"/>
  <c r="BM174" i="8"/>
  <c r="BM179" i="8"/>
  <c r="BM184" i="8"/>
  <c r="BM190" i="8"/>
  <c r="BM195" i="8"/>
  <c r="BM200" i="8"/>
  <c r="BM206" i="8"/>
  <c r="BM211" i="8"/>
  <c r="BM216" i="8"/>
  <c r="BM222" i="8"/>
  <c r="BM227" i="8"/>
  <c r="BM232" i="8"/>
  <c r="BM238" i="8"/>
  <c r="BM243" i="8"/>
  <c r="BM248" i="8"/>
  <c r="BM254" i="8"/>
  <c r="BM259" i="8"/>
  <c r="BM264" i="8"/>
  <c r="BM270" i="8"/>
  <c r="BM275" i="8"/>
  <c r="BM280" i="8"/>
  <c r="BM286" i="8"/>
  <c r="BM291" i="8"/>
  <c r="BM296" i="8"/>
  <c r="BM302" i="8"/>
  <c r="BM307" i="8"/>
  <c r="BM312" i="8"/>
  <c r="BM318" i="8"/>
  <c r="BM323" i="8"/>
  <c r="BM328" i="8"/>
  <c r="BM334" i="8"/>
  <c r="BM339" i="8"/>
  <c r="BM344" i="8"/>
  <c r="BM348" i="8"/>
  <c r="BM352" i="8"/>
  <c r="BM356" i="8"/>
  <c r="BM360" i="8"/>
  <c r="BM364" i="8"/>
  <c r="BM368" i="8"/>
  <c r="BM372" i="8"/>
  <c r="BM10" i="8"/>
  <c r="BM31" i="8"/>
  <c r="BM52" i="8"/>
  <c r="BM74" i="8"/>
  <c r="BM95" i="8"/>
  <c r="BM116" i="8"/>
  <c r="BM138" i="8"/>
  <c r="BM159" i="8"/>
  <c r="BM180" i="8"/>
  <c r="BM202" i="8"/>
  <c r="BM223" i="8"/>
  <c r="BM244" i="8"/>
  <c r="BM266" i="8"/>
  <c r="BM287" i="8"/>
  <c r="BM308" i="8"/>
  <c r="BM330" i="8"/>
  <c r="BM349" i="8"/>
  <c r="BM365" i="8"/>
  <c r="BM377" i="8"/>
  <c r="BM385" i="8"/>
  <c r="BM393" i="8"/>
  <c r="BM401" i="8"/>
  <c r="BM409" i="8"/>
  <c r="BM417" i="8"/>
  <c r="BM425" i="8"/>
  <c r="BM431" i="8"/>
  <c r="BM435" i="8"/>
  <c r="BM439" i="8"/>
  <c r="BM443" i="8"/>
  <c r="BM447" i="8"/>
  <c r="BM451" i="8"/>
  <c r="BM455" i="8"/>
  <c r="BM459" i="8"/>
  <c r="BM463" i="8"/>
  <c r="BM467" i="8"/>
  <c r="BM471" i="8"/>
  <c r="BM475" i="8"/>
  <c r="BM479" i="8"/>
  <c r="BM483" i="8"/>
  <c r="BM487" i="8"/>
  <c r="BM491" i="8"/>
  <c r="BM495" i="8"/>
  <c r="BM499" i="8"/>
  <c r="BM503" i="8"/>
  <c r="BM507" i="8"/>
  <c r="BM511" i="8"/>
  <c r="BM515" i="8"/>
  <c r="BM519" i="8"/>
  <c r="BM523" i="8"/>
  <c r="BM527" i="8"/>
  <c r="BM531" i="8"/>
  <c r="BM535" i="8"/>
  <c r="BM539" i="8"/>
  <c r="BM543" i="8"/>
  <c r="BM547" i="8"/>
  <c r="BM551" i="8"/>
  <c r="BM555" i="8"/>
  <c r="BM559" i="8"/>
  <c r="BM563" i="8"/>
  <c r="BM567" i="8"/>
  <c r="BM571" i="8"/>
  <c r="BM575" i="8"/>
  <c r="BM579" i="8"/>
  <c r="BM583" i="8"/>
  <c r="BM587" i="8"/>
  <c r="BM591" i="8"/>
  <c r="BM595" i="8"/>
  <c r="BM15" i="8"/>
  <c r="BM36" i="8"/>
  <c r="BM58" i="8"/>
  <c r="BM79" i="8"/>
  <c r="BM100" i="8"/>
  <c r="BM122" i="8"/>
  <c r="BM143" i="8"/>
  <c r="BM164" i="8"/>
  <c r="BM186" i="8"/>
  <c r="BM207" i="8"/>
  <c r="BM228" i="8"/>
  <c r="BM250" i="8"/>
  <c r="BM271" i="8"/>
  <c r="BM292" i="8"/>
  <c r="BM314" i="8"/>
  <c r="BM335" i="8"/>
  <c r="BM353" i="8"/>
  <c r="BM369" i="8"/>
  <c r="BM380" i="8"/>
  <c r="BM388" i="8"/>
  <c r="BM396" i="8"/>
  <c r="BM404" i="8"/>
  <c r="BM412" i="8"/>
  <c r="BM420" i="8"/>
  <c r="BM428" i="8"/>
  <c r="BM432" i="8"/>
  <c r="BM436" i="8"/>
  <c r="BM440" i="8"/>
  <c r="BM444" i="8"/>
  <c r="BM448" i="8"/>
  <c r="BM452" i="8"/>
  <c r="BM456" i="8"/>
  <c r="BM460" i="8"/>
  <c r="BM464" i="8"/>
  <c r="BM468" i="8"/>
  <c r="BM472" i="8"/>
  <c r="BM476" i="8"/>
  <c r="BM480" i="8"/>
  <c r="BM484" i="8"/>
  <c r="BM488" i="8"/>
  <c r="BM492" i="8"/>
  <c r="BM496" i="8"/>
  <c r="BM500" i="8"/>
  <c r="BM504" i="8"/>
  <c r="BM508" i="8"/>
  <c r="BM512" i="8"/>
  <c r="BM516" i="8"/>
  <c r="BM520" i="8"/>
  <c r="BM524" i="8"/>
  <c r="BM528" i="8"/>
  <c r="BM532" i="8"/>
  <c r="BM536" i="8"/>
  <c r="BM540" i="8"/>
  <c r="BM544" i="8"/>
  <c r="BM548" i="8"/>
  <c r="BM552" i="8"/>
  <c r="BM556" i="8"/>
  <c r="BM560" i="8"/>
  <c r="BM564" i="8"/>
  <c r="BM568" i="8"/>
  <c r="BM572" i="8"/>
  <c r="BM576" i="8"/>
  <c r="BM580" i="8"/>
  <c r="BM584" i="8"/>
  <c r="BM588" i="8"/>
  <c r="BM592" i="8"/>
  <c r="BM596" i="8"/>
  <c r="BM600" i="8"/>
  <c r="BM604" i="8"/>
  <c r="BM608" i="8"/>
  <c r="BM612" i="8"/>
  <c r="BM616" i="8"/>
  <c r="BM620" i="8"/>
  <c r="BM624" i="8"/>
  <c r="BM628" i="8"/>
  <c r="BM632" i="8"/>
  <c r="BM636" i="8"/>
  <c r="BM640" i="8"/>
  <c r="BM644" i="8"/>
  <c r="BM648" i="8"/>
  <c r="BM652" i="8"/>
  <c r="BM656" i="8"/>
  <c r="BM660" i="8"/>
  <c r="BM664" i="8"/>
  <c r="BM668" i="8"/>
  <c r="BM20" i="8"/>
  <c r="BM42" i="8"/>
  <c r="BM63" i="8"/>
  <c r="BM84" i="8"/>
  <c r="BM106" i="8"/>
  <c r="BM127" i="8"/>
  <c r="BM148" i="8"/>
  <c r="BM170" i="8"/>
  <c r="BM191" i="8"/>
  <c r="BM212" i="8"/>
  <c r="BM234" i="8"/>
  <c r="BM255" i="8"/>
  <c r="BM276" i="8"/>
  <c r="BM298" i="8"/>
  <c r="BM319" i="8"/>
  <c r="BM340" i="8"/>
  <c r="BM357" i="8"/>
  <c r="BM373" i="8"/>
  <c r="BM381" i="8"/>
  <c r="BM389" i="8"/>
  <c r="BM397" i="8"/>
  <c r="BM405" i="8"/>
  <c r="BM413" i="8"/>
  <c r="BM421" i="8"/>
  <c r="BM429" i="8"/>
  <c r="BM433" i="8"/>
  <c r="BM437" i="8"/>
  <c r="BM441" i="8"/>
  <c r="BM445" i="8"/>
  <c r="BM449" i="8"/>
  <c r="BM453" i="8"/>
  <c r="BM457" i="8"/>
  <c r="BM461" i="8"/>
  <c r="BM465" i="8"/>
  <c r="BM469" i="8"/>
  <c r="BM473" i="8"/>
  <c r="BM477" i="8"/>
  <c r="BM481" i="8"/>
  <c r="BM485" i="8"/>
  <c r="BM489" i="8"/>
  <c r="BM493" i="8"/>
  <c r="BM497" i="8"/>
  <c r="BM501" i="8"/>
  <c r="BM505" i="8"/>
  <c r="BM509" i="8"/>
  <c r="BM513" i="8"/>
  <c r="BM517" i="8"/>
  <c r="BM521" i="8"/>
  <c r="BM525" i="8"/>
  <c r="BM529" i="8"/>
  <c r="BM533" i="8"/>
  <c r="BM537" i="8"/>
  <c r="BM541" i="8"/>
  <c r="BM545" i="8"/>
  <c r="BM549" i="8"/>
  <c r="BM553" i="8"/>
  <c r="BM557" i="8"/>
  <c r="BM561" i="8"/>
  <c r="BM565" i="8"/>
  <c r="BM569" i="8"/>
  <c r="BM573" i="8"/>
  <c r="BM577" i="8"/>
  <c r="BM581" i="8"/>
  <c r="BM585" i="8"/>
  <c r="BM589" i="8"/>
  <c r="BM593" i="8"/>
  <c r="BM597" i="8"/>
  <c r="BM601" i="8"/>
  <c r="BM605" i="8"/>
  <c r="BM609" i="8"/>
  <c r="BM613" i="8"/>
  <c r="BM617" i="8"/>
  <c r="BM621" i="8"/>
  <c r="BM625" i="8"/>
  <c r="BM629" i="8"/>
  <c r="BM633" i="8"/>
  <c r="BM637" i="8"/>
  <c r="BM641" i="8"/>
  <c r="BM645" i="8"/>
  <c r="BM649" i="8"/>
  <c r="BM653" i="8"/>
  <c r="BM657" i="8"/>
  <c r="BM661" i="8"/>
  <c r="BM665" i="8"/>
  <c r="BM669" i="8"/>
  <c r="BM26" i="8"/>
  <c r="BM111" i="8"/>
  <c r="BM196" i="8"/>
  <c r="BM282" i="8"/>
  <c r="BM361" i="8"/>
  <c r="BM400" i="8"/>
  <c r="BM430" i="8"/>
  <c r="BM446" i="8"/>
  <c r="BM462" i="8"/>
  <c r="BM478" i="8"/>
  <c r="BM494" i="8"/>
  <c r="BM510" i="8"/>
  <c r="BM526" i="8"/>
  <c r="BM542" i="8"/>
  <c r="BM558" i="8"/>
  <c r="BM574" i="8"/>
  <c r="BM590" i="8"/>
  <c r="BM602" i="8"/>
  <c r="BM610" i="8"/>
  <c r="BM618" i="8"/>
  <c r="BM626" i="8"/>
  <c r="BM634" i="8"/>
  <c r="BM642" i="8"/>
  <c r="BM650" i="8"/>
  <c r="BM658" i="8"/>
  <c r="BM666" i="8"/>
  <c r="BM672" i="8"/>
  <c r="BM676" i="8"/>
  <c r="BM680" i="8"/>
  <c r="BM684" i="8"/>
  <c r="BM688" i="8"/>
  <c r="BM692" i="8"/>
  <c r="BM696" i="8"/>
  <c r="BM700" i="8"/>
  <c r="BM704" i="8"/>
  <c r="BM708" i="8"/>
  <c r="BM712" i="8"/>
  <c r="BM716" i="8"/>
  <c r="BM720" i="8"/>
  <c r="BM724" i="8"/>
  <c r="BM728" i="8"/>
  <c r="BM732" i="8"/>
  <c r="BM736" i="8"/>
  <c r="BM740" i="8"/>
  <c r="BM744" i="8"/>
  <c r="BM748" i="8"/>
  <c r="BM752" i="8"/>
  <c r="BM756" i="8"/>
  <c r="BM760" i="8"/>
  <c r="BM764" i="8"/>
  <c r="BM768" i="8"/>
  <c r="BM772" i="8"/>
  <c r="BM776" i="8"/>
  <c r="BM780" i="8"/>
  <c r="BM784" i="8"/>
  <c r="BM788" i="8"/>
  <c r="BM792" i="8"/>
  <c r="BM796" i="8"/>
  <c r="BM800" i="8"/>
  <c r="BM804" i="8"/>
  <c r="BM808" i="8"/>
  <c r="BM812" i="8"/>
  <c r="BM816" i="8"/>
  <c r="BM820" i="8"/>
  <c r="BM824" i="8"/>
  <c r="BM828" i="8"/>
  <c r="BM832" i="8"/>
  <c r="BM836" i="8"/>
  <c r="BM840" i="8"/>
  <c r="BM844" i="8"/>
  <c r="BM848" i="8"/>
  <c r="BM852" i="8"/>
  <c r="BM856" i="8"/>
  <c r="BM860" i="8"/>
  <c r="BM864" i="8"/>
  <c r="BM868" i="8"/>
  <c r="BM872" i="8"/>
  <c r="BM876" i="8"/>
  <c r="BM880" i="8"/>
  <c r="BM884" i="8"/>
  <c r="BM888" i="8"/>
  <c r="BM892" i="8"/>
  <c r="BM896" i="8"/>
  <c r="BM900" i="8"/>
  <c r="BM904" i="8"/>
  <c r="BM908" i="8"/>
  <c r="BM912" i="8"/>
  <c r="BM916" i="8"/>
  <c r="BM920" i="8"/>
  <c r="BM924" i="8"/>
  <c r="BM928" i="8"/>
  <c r="BM932" i="8"/>
  <c r="BM936" i="8"/>
  <c r="BM940" i="8"/>
  <c r="BM944" i="8"/>
  <c r="BM948" i="8"/>
  <c r="BM952" i="8"/>
  <c r="BM956" i="8"/>
  <c r="BM960" i="8"/>
  <c r="BM964" i="8"/>
  <c r="BM968" i="8"/>
  <c r="BM972" i="8"/>
  <c r="BM976" i="8"/>
  <c r="BM980" i="8"/>
  <c r="BM984" i="8"/>
  <c r="BM988" i="8"/>
  <c r="BM992" i="8"/>
  <c r="BM996" i="8"/>
  <c r="BM1000" i="8"/>
  <c r="CJ1006" i="8"/>
  <c r="CF1006" i="8"/>
  <c r="CA1006" i="8"/>
  <c r="BV1006" i="8"/>
  <c r="BZ1006" i="8" s="1"/>
  <c r="BQ1006" i="8"/>
  <c r="BL1006" i="8"/>
  <c r="CH1005" i="8"/>
  <c r="CC1005" i="8"/>
  <c r="BX1005" i="8"/>
  <c r="BS1005" i="8"/>
  <c r="BO1005" i="8"/>
  <c r="BJ1005" i="8"/>
  <c r="CI1004" i="8"/>
  <c r="CD1004" i="8"/>
  <c r="BY1004" i="8"/>
  <c r="BT1004" i="8"/>
  <c r="BP1004" i="8"/>
  <c r="BK1004" i="8"/>
  <c r="CJ1003" i="8"/>
  <c r="BM47" i="8"/>
  <c r="BM132" i="8"/>
  <c r="BM218" i="8"/>
  <c r="BM303" i="8"/>
  <c r="BM376" i="8"/>
  <c r="BM408" i="8"/>
  <c r="BM434" i="8"/>
  <c r="BM450" i="8"/>
  <c r="BM466" i="8"/>
  <c r="BM482" i="8"/>
  <c r="BM498" i="8"/>
  <c r="BM514" i="8"/>
  <c r="BM530" i="8"/>
  <c r="BM546" i="8"/>
  <c r="BM562" i="8"/>
  <c r="BM578" i="8"/>
  <c r="BM594" i="8"/>
  <c r="BM603" i="8"/>
  <c r="BM611" i="8"/>
  <c r="BM619" i="8"/>
  <c r="BM627" i="8"/>
  <c r="BM635" i="8"/>
  <c r="BM643" i="8"/>
  <c r="BM651" i="8"/>
  <c r="BM659" i="8"/>
  <c r="BM667" i="8"/>
  <c r="BM673" i="8"/>
  <c r="BM677" i="8"/>
  <c r="BM681" i="8"/>
  <c r="BM685" i="8"/>
  <c r="BM689" i="8"/>
  <c r="BM693" i="8"/>
  <c r="BM697" i="8"/>
  <c r="BM701" i="8"/>
  <c r="BM705" i="8"/>
  <c r="BM709" i="8"/>
  <c r="BM713" i="8"/>
  <c r="BM717" i="8"/>
  <c r="BM721" i="8"/>
  <c r="BM725" i="8"/>
  <c r="BM729" i="8"/>
  <c r="BM733" i="8"/>
  <c r="BM737" i="8"/>
  <c r="BM741" i="8"/>
  <c r="BM745" i="8"/>
  <c r="BM749" i="8"/>
  <c r="BM753" i="8"/>
  <c r="BM757" i="8"/>
  <c r="BM761" i="8"/>
  <c r="BM765" i="8"/>
  <c r="BM769" i="8"/>
  <c r="BM773" i="8"/>
  <c r="BM777" i="8"/>
  <c r="BM781" i="8"/>
  <c r="BM785" i="8"/>
  <c r="BM789" i="8"/>
  <c r="BM793" i="8"/>
  <c r="BM797" i="8"/>
  <c r="BM801" i="8"/>
  <c r="BM805" i="8"/>
  <c r="BM809" i="8"/>
  <c r="BM813" i="8"/>
  <c r="BM817" i="8"/>
  <c r="BM821" i="8"/>
  <c r="BM825" i="8"/>
  <c r="BM829" i="8"/>
  <c r="BM833" i="8"/>
  <c r="BM837" i="8"/>
  <c r="BM841" i="8"/>
  <c r="BM845" i="8"/>
  <c r="BM849" i="8"/>
  <c r="BM853" i="8"/>
  <c r="BM857" i="8"/>
  <c r="BM861" i="8"/>
  <c r="BM865" i="8"/>
  <c r="BM869" i="8"/>
  <c r="BM873" i="8"/>
  <c r="BM877" i="8"/>
  <c r="BM881" i="8"/>
  <c r="BM885" i="8"/>
  <c r="BM889" i="8"/>
  <c r="BM893" i="8"/>
  <c r="BM897" i="8"/>
  <c r="BM901" i="8"/>
  <c r="BM905" i="8"/>
  <c r="BM909" i="8"/>
  <c r="BM913" i="8"/>
  <c r="BM917" i="8"/>
  <c r="BM921" i="8"/>
  <c r="BM925" i="8"/>
  <c r="BM929" i="8"/>
  <c r="BM933" i="8"/>
  <c r="BM937" i="8"/>
  <c r="BM941" i="8"/>
  <c r="BM945" i="8"/>
  <c r="BM949" i="8"/>
  <c r="BM953" i="8"/>
  <c r="BM957" i="8"/>
  <c r="BM961" i="8"/>
  <c r="BM965" i="8"/>
  <c r="BM969" i="8"/>
  <c r="BM973" i="8"/>
  <c r="BM977" i="8"/>
  <c r="BM981" i="8"/>
  <c r="BM985" i="8"/>
  <c r="BM989" i="8"/>
  <c r="BM993" i="8"/>
  <c r="BM997" i="8"/>
  <c r="BM3" i="8"/>
  <c r="CI1006" i="8"/>
  <c r="CD1006" i="8"/>
  <c r="BY1006" i="8"/>
  <c r="BT1006" i="8"/>
  <c r="BP1006" i="8"/>
  <c r="BK1006" i="8"/>
  <c r="CG1005" i="8"/>
  <c r="CB1005" i="8"/>
  <c r="BW1005" i="8"/>
  <c r="BR1005" i="8"/>
  <c r="BM1005" i="8"/>
  <c r="BI1005" i="8"/>
  <c r="CH1004" i="8"/>
  <c r="CC1004" i="8"/>
  <c r="BX1004" i="8"/>
  <c r="BS1004" i="8"/>
  <c r="BO1004" i="8"/>
  <c r="BJ1004" i="8"/>
  <c r="CI1003" i="8"/>
  <c r="CD1003" i="8"/>
  <c r="BY1003" i="8"/>
  <c r="BT1003" i="8"/>
  <c r="BP1003" i="8"/>
  <c r="BK1003" i="8"/>
  <c r="CJ1002" i="8"/>
  <c r="CF1002" i="8"/>
  <c r="CA1002" i="8"/>
  <c r="BV1002" i="8"/>
  <c r="BZ1002" i="8" s="1"/>
  <c r="BQ1002" i="8"/>
  <c r="BL1002" i="8"/>
  <c r="CH1001" i="8"/>
  <c r="CC1001" i="8"/>
  <c r="BX1001" i="8"/>
  <c r="BS1001" i="8"/>
  <c r="BO1001" i="8"/>
  <c r="BJ1001" i="8"/>
  <c r="CI1000" i="8"/>
  <c r="CD1000" i="8"/>
  <c r="BY1000" i="8"/>
  <c r="BT1000" i="8"/>
  <c r="BP1000" i="8"/>
  <c r="BJ1000" i="8"/>
  <c r="CI999" i="8"/>
  <c r="CD999" i="8"/>
  <c r="BY999" i="8"/>
  <c r="BT999" i="8"/>
  <c r="BP999" i="8"/>
  <c r="BJ999" i="8"/>
  <c r="CJ998" i="8"/>
  <c r="CF998" i="8"/>
  <c r="CA998" i="8"/>
  <c r="BV998" i="8"/>
  <c r="BZ998" i="8" s="1"/>
  <c r="BQ998" i="8"/>
  <c r="BK998" i="8"/>
  <c r="CG997" i="8"/>
  <c r="CB997" i="8"/>
  <c r="BW997" i="8"/>
  <c r="BR997" i="8"/>
  <c r="BL997" i="8"/>
  <c r="CG996" i="8"/>
  <c r="CB996" i="8"/>
  <c r="BM68" i="8"/>
  <c r="BM154" i="8"/>
  <c r="BM239" i="8"/>
  <c r="BM324" i="8"/>
  <c r="BM384" i="8"/>
  <c r="BM416" i="8"/>
  <c r="BM438" i="8"/>
  <c r="BM454" i="8"/>
  <c r="BM470" i="8"/>
  <c r="BM486" i="8"/>
  <c r="BM502" i="8"/>
  <c r="BM518" i="8"/>
  <c r="BM534" i="8"/>
  <c r="BM550" i="8"/>
  <c r="BM566" i="8"/>
  <c r="BM582" i="8"/>
  <c r="BM598" i="8"/>
  <c r="BM606" i="8"/>
  <c r="BM614" i="8"/>
  <c r="BM622" i="8"/>
  <c r="BM630" i="8"/>
  <c r="BM638" i="8"/>
  <c r="BM646" i="8"/>
  <c r="BM654" i="8"/>
  <c r="BM662" i="8"/>
  <c r="BM670" i="8"/>
  <c r="BM674" i="8"/>
  <c r="BM678" i="8"/>
  <c r="BM682" i="8"/>
  <c r="BM686" i="8"/>
  <c r="BM690" i="8"/>
  <c r="BM694" i="8"/>
  <c r="BM698" i="8"/>
  <c r="BM702" i="8"/>
  <c r="BM706" i="8"/>
  <c r="BM710" i="8"/>
  <c r="BM714" i="8"/>
  <c r="BM718" i="8"/>
  <c r="BM722" i="8"/>
  <c r="BM726" i="8"/>
  <c r="BM730" i="8"/>
  <c r="BM734" i="8"/>
  <c r="BM738" i="8"/>
  <c r="BM742" i="8"/>
  <c r="BM746" i="8"/>
  <c r="BM750" i="8"/>
  <c r="BM754" i="8"/>
  <c r="BM758" i="8"/>
  <c r="BM762" i="8"/>
  <c r="BM766" i="8"/>
  <c r="BM770" i="8"/>
  <c r="BM774" i="8"/>
  <c r="BM778" i="8"/>
  <c r="BM782" i="8"/>
  <c r="BM786" i="8"/>
  <c r="BM790" i="8"/>
  <c r="BM794" i="8"/>
  <c r="BM798" i="8"/>
  <c r="BM802" i="8"/>
  <c r="BM806" i="8"/>
  <c r="BM810" i="8"/>
  <c r="BM814" i="8"/>
  <c r="BM818" i="8"/>
  <c r="BM822" i="8"/>
  <c r="BM826" i="8"/>
  <c r="BM830" i="8"/>
  <c r="BM834" i="8"/>
  <c r="BM838" i="8"/>
  <c r="BM842" i="8"/>
  <c r="BM846" i="8"/>
  <c r="BM850" i="8"/>
  <c r="BM854" i="8"/>
  <c r="BM858" i="8"/>
  <c r="BM862" i="8"/>
  <c r="BM866" i="8"/>
  <c r="BM870" i="8"/>
  <c r="BM874" i="8"/>
  <c r="BM878" i="8"/>
  <c r="BM882" i="8"/>
  <c r="BM886" i="8"/>
  <c r="BM890" i="8"/>
  <c r="BM894" i="8"/>
  <c r="BM898" i="8"/>
  <c r="BM902" i="8"/>
  <c r="BM906" i="8"/>
  <c r="BM910" i="8"/>
  <c r="BM914" i="8"/>
  <c r="BM918" i="8"/>
  <c r="BM922" i="8"/>
  <c r="BM926" i="8"/>
  <c r="BM930" i="8"/>
  <c r="BM934" i="8"/>
  <c r="BM938" i="8"/>
  <c r="BM942" i="8"/>
  <c r="BM946" i="8"/>
  <c r="BM950" i="8"/>
  <c r="BM954" i="8"/>
  <c r="BM958" i="8"/>
  <c r="BM962" i="8"/>
  <c r="BM966" i="8"/>
  <c r="BM970" i="8"/>
  <c r="BM974" i="8"/>
  <c r="BM978" i="8"/>
  <c r="BM982" i="8"/>
  <c r="BM986" i="8"/>
  <c r="BM990" i="8"/>
  <c r="BM994" i="8"/>
  <c r="BM998" i="8"/>
  <c r="BM4" i="8"/>
  <c r="CH1006" i="8"/>
  <c r="CC1006" i="8"/>
  <c r="BX1006" i="8"/>
  <c r="BS1006" i="8"/>
  <c r="BO1006" i="8"/>
  <c r="BJ1006" i="8"/>
  <c r="CJ1005" i="8"/>
  <c r="CF1005" i="8"/>
  <c r="CA1005" i="8"/>
  <c r="BV1005" i="8"/>
  <c r="BZ1005" i="8" s="1"/>
  <c r="BQ1005" i="8"/>
  <c r="BL1005" i="8"/>
  <c r="CG1004" i="8"/>
  <c r="CB1004" i="8"/>
  <c r="BW1004" i="8"/>
  <c r="BR1004" i="8"/>
  <c r="BM1004" i="8"/>
  <c r="BI1004" i="8"/>
  <c r="CH1003" i="8"/>
  <c r="CC1003" i="8"/>
  <c r="BX1003" i="8"/>
  <c r="BS1003" i="8"/>
  <c r="BO1003" i="8"/>
  <c r="BJ1003" i="8"/>
  <c r="CI1002" i="8"/>
  <c r="CD1002" i="8"/>
  <c r="BY1002" i="8"/>
  <c r="BT1002" i="8"/>
  <c r="BP1002" i="8"/>
  <c r="BK1002" i="8"/>
  <c r="CG1001" i="8"/>
  <c r="CB1001" i="8"/>
  <c r="BW1001" i="8"/>
  <c r="BR1001" i="8"/>
  <c r="BM1001" i="8"/>
  <c r="BI1001" i="8"/>
  <c r="CH1000" i="8"/>
  <c r="CC1000" i="8"/>
  <c r="BX1000" i="8"/>
  <c r="BS1000" i="8"/>
  <c r="BO1000" i="8"/>
  <c r="BI1000" i="8"/>
  <c r="CH999" i="8"/>
  <c r="CC999" i="8"/>
  <c r="BX999" i="8"/>
  <c r="BS999" i="8"/>
  <c r="BO999" i="8"/>
  <c r="BI999" i="8"/>
  <c r="CI998" i="8"/>
  <c r="CD998" i="8"/>
  <c r="BY998" i="8"/>
  <c r="BT998" i="8"/>
  <c r="BP998" i="8"/>
  <c r="BJ998" i="8"/>
  <c r="CJ997" i="8"/>
  <c r="CF997" i="8"/>
  <c r="CA997" i="8"/>
  <c r="BV997" i="8"/>
  <c r="BZ997" i="8" s="1"/>
  <c r="BQ997" i="8"/>
  <c r="BK997" i="8"/>
  <c r="CJ996" i="8"/>
  <c r="BM90" i="8"/>
  <c r="BM392" i="8"/>
  <c r="BM474" i="8"/>
  <c r="BM538" i="8"/>
  <c r="BM599" i="8"/>
  <c r="BM631" i="8"/>
  <c r="BM663" i="8"/>
  <c r="BM683" i="8"/>
  <c r="BM699" i="8"/>
  <c r="BM715" i="8"/>
  <c r="BM731" i="8"/>
  <c r="BM747" i="8"/>
  <c r="BM763" i="8"/>
  <c r="BM779" i="8"/>
  <c r="BM795" i="8"/>
  <c r="BM811" i="8"/>
  <c r="BM827" i="8"/>
  <c r="BM843" i="8"/>
  <c r="BM859" i="8"/>
  <c r="BM875" i="8"/>
  <c r="BM891" i="8"/>
  <c r="BM907" i="8"/>
  <c r="BM923" i="8"/>
  <c r="BM939" i="8"/>
  <c r="BM955" i="8"/>
  <c r="BM971" i="8"/>
  <c r="BM987" i="8"/>
  <c r="BR1006" i="8"/>
  <c r="BT1005" i="8"/>
  <c r="CJ1004" i="8"/>
  <c r="BQ1004" i="8"/>
  <c r="CF1003" i="8"/>
  <c r="BV1003" i="8"/>
  <c r="BZ1003" i="8" s="1"/>
  <c r="BL1003" i="8"/>
  <c r="CG1002" i="8"/>
  <c r="BW1002" i="8"/>
  <c r="BM1002" i="8"/>
  <c r="CD1001" i="8"/>
  <c r="BT1001" i="8"/>
  <c r="BK1001" i="8"/>
  <c r="CF1000" i="8"/>
  <c r="BV1000" i="8"/>
  <c r="BZ1000" i="8" s="1"/>
  <c r="BK1000" i="8"/>
  <c r="CF999" i="8"/>
  <c r="BV999" i="8"/>
  <c r="BZ999" i="8" s="1"/>
  <c r="BK999" i="8"/>
  <c r="CG998" i="8"/>
  <c r="BW998" i="8"/>
  <c r="BL998" i="8"/>
  <c r="CI997" i="8"/>
  <c r="BY997" i="8"/>
  <c r="BP997" i="8"/>
  <c r="CD996" i="8"/>
  <c r="BX996" i="8"/>
  <c r="BS996" i="8"/>
  <c r="BO996" i="8"/>
  <c r="BI996" i="8"/>
  <c r="CH995" i="8"/>
  <c r="CC995" i="8"/>
  <c r="BX995" i="8"/>
  <c r="BS995" i="8"/>
  <c r="BO995" i="8"/>
  <c r="BI995" i="8"/>
  <c r="CI994" i="8"/>
  <c r="CD994" i="8"/>
  <c r="BY994" i="8"/>
  <c r="BT994" i="8"/>
  <c r="BP994" i="8"/>
  <c r="BJ994" i="8"/>
  <c r="CJ993" i="8"/>
  <c r="CF993" i="8"/>
  <c r="CA993" i="8"/>
  <c r="BV993" i="8"/>
  <c r="BZ993" i="8" s="1"/>
  <c r="BQ993" i="8"/>
  <c r="BK993" i="8"/>
  <c r="CJ992" i="8"/>
  <c r="CF992" i="8"/>
  <c r="CA992" i="8"/>
  <c r="BV992" i="8"/>
  <c r="BZ992" i="8" s="1"/>
  <c r="BQ992" i="8"/>
  <c r="BK992" i="8"/>
  <c r="CJ991" i="8"/>
  <c r="CF991" i="8"/>
  <c r="CA991" i="8"/>
  <c r="BV991" i="8"/>
  <c r="BZ991" i="8" s="1"/>
  <c r="BQ991" i="8"/>
  <c r="BK991" i="8"/>
  <c r="CG990" i="8"/>
  <c r="CB990" i="8"/>
  <c r="BW990" i="8"/>
  <c r="BR990" i="8"/>
  <c r="BL990" i="8"/>
  <c r="CH989" i="8"/>
  <c r="CC989" i="8"/>
  <c r="BX989" i="8"/>
  <c r="BS989" i="8"/>
  <c r="BO989" i="8"/>
  <c r="BI989" i="8"/>
  <c r="CH988" i="8"/>
  <c r="CC988" i="8"/>
  <c r="BX988" i="8"/>
  <c r="BS988" i="8"/>
  <c r="BO988" i="8"/>
  <c r="BI988" i="8"/>
  <c r="CH987" i="8"/>
  <c r="CC987" i="8"/>
  <c r="BX987" i="8"/>
  <c r="BS987" i="8"/>
  <c r="BO987" i="8"/>
  <c r="BI987" i="8"/>
  <c r="CI986" i="8"/>
  <c r="CD986" i="8"/>
  <c r="BY986" i="8"/>
  <c r="BT986" i="8"/>
  <c r="BP986" i="8"/>
  <c r="BJ986" i="8"/>
  <c r="CJ985" i="8"/>
  <c r="CF985" i="8"/>
  <c r="CA985" i="8"/>
  <c r="BV985" i="8"/>
  <c r="BZ985" i="8" s="1"/>
  <c r="BQ985" i="8"/>
  <c r="BK985" i="8"/>
  <c r="CJ984" i="8"/>
  <c r="CF984" i="8"/>
  <c r="CA984" i="8"/>
  <c r="BV984" i="8"/>
  <c r="BZ984" i="8" s="1"/>
  <c r="BQ984" i="8"/>
  <c r="BK984" i="8"/>
  <c r="BM175" i="8"/>
  <c r="BM424" i="8"/>
  <c r="BM490" i="8"/>
  <c r="BM554" i="8"/>
  <c r="BM607" i="8"/>
  <c r="BM639" i="8"/>
  <c r="BM671" i="8"/>
  <c r="BM687" i="8"/>
  <c r="BM703" i="8"/>
  <c r="BM719" i="8"/>
  <c r="BM735" i="8"/>
  <c r="BM751" i="8"/>
  <c r="BM767" i="8"/>
  <c r="BM783" i="8"/>
  <c r="BM799" i="8"/>
  <c r="BM815" i="8"/>
  <c r="BM831" i="8"/>
  <c r="BM847" i="8"/>
  <c r="BM863" i="8"/>
  <c r="BM879" i="8"/>
  <c r="BM895" i="8"/>
  <c r="BM911" i="8"/>
  <c r="BM927" i="8"/>
  <c r="BM943" i="8"/>
  <c r="BM959" i="8"/>
  <c r="BM975" i="8"/>
  <c r="BM991" i="8"/>
  <c r="CG1006" i="8"/>
  <c r="BM1006" i="8"/>
  <c r="CI1005" i="8"/>
  <c r="BP1005" i="8"/>
  <c r="CF1004" i="8"/>
  <c r="BL1004" i="8"/>
  <c r="CB1003" i="8"/>
  <c r="BR1003" i="8"/>
  <c r="BI1003" i="8"/>
  <c r="CC1002" i="8"/>
  <c r="BS1002" i="8"/>
  <c r="BJ1002" i="8"/>
  <c r="CJ1001" i="8"/>
  <c r="CA1001" i="8"/>
  <c r="BQ1001" i="8"/>
  <c r="CB1000" i="8"/>
  <c r="BR1000" i="8"/>
  <c r="CB999" i="8"/>
  <c r="BR999" i="8"/>
  <c r="CC998" i="8"/>
  <c r="BS998" i="8"/>
  <c r="BI998" i="8"/>
  <c r="CH997" i="8"/>
  <c r="BX997" i="8"/>
  <c r="BO997" i="8"/>
  <c r="CI996" i="8"/>
  <c r="CC996" i="8"/>
  <c r="BW996" i="8"/>
  <c r="BR996" i="8"/>
  <c r="BL996" i="8"/>
  <c r="CG995" i="8"/>
  <c r="CB995" i="8"/>
  <c r="BW995" i="8"/>
  <c r="BR995" i="8"/>
  <c r="BL995" i="8"/>
  <c r="CH994" i="8"/>
  <c r="CC994" i="8"/>
  <c r="BX994" i="8"/>
  <c r="BS994" i="8"/>
  <c r="BO994" i="8"/>
  <c r="BI994" i="8"/>
  <c r="CI993" i="8"/>
  <c r="CD993" i="8"/>
  <c r="BY993" i="8"/>
  <c r="BT993" i="8"/>
  <c r="BP993" i="8"/>
  <c r="BJ993" i="8"/>
  <c r="CI992" i="8"/>
  <c r="CD992" i="8"/>
  <c r="BY992" i="8"/>
  <c r="BT992" i="8"/>
  <c r="BP992" i="8"/>
  <c r="BJ992" i="8"/>
  <c r="CI991" i="8"/>
  <c r="CD991" i="8"/>
  <c r="BY991" i="8"/>
  <c r="BT991" i="8"/>
  <c r="BP991" i="8"/>
  <c r="BJ991" i="8"/>
  <c r="CJ990" i="8"/>
  <c r="CF990" i="8"/>
  <c r="CA990" i="8"/>
  <c r="BV990" i="8"/>
  <c r="BZ990" i="8" s="1"/>
  <c r="BQ990" i="8"/>
  <c r="BK990" i="8"/>
  <c r="CG989" i="8"/>
  <c r="CB989" i="8"/>
  <c r="BW989" i="8"/>
  <c r="BR989" i="8"/>
  <c r="BL989" i="8"/>
  <c r="CG988" i="8"/>
  <c r="CB988" i="8"/>
  <c r="BW988" i="8"/>
  <c r="BR988" i="8"/>
  <c r="BL988" i="8"/>
  <c r="CG987" i="8"/>
  <c r="CB987" i="8"/>
  <c r="BW987" i="8"/>
  <c r="BR987" i="8"/>
  <c r="BL987" i="8"/>
  <c r="CH986" i="8"/>
  <c r="CC986" i="8"/>
  <c r="BX986" i="8"/>
  <c r="BS986" i="8"/>
  <c r="BO986" i="8"/>
  <c r="BI986" i="8"/>
  <c r="CI985" i="8"/>
  <c r="CD985" i="8"/>
  <c r="BY985" i="8"/>
  <c r="BT985" i="8"/>
  <c r="BP985" i="8"/>
  <c r="BJ985" i="8"/>
  <c r="CI984" i="8"/>
  <c r="CD984" i="8"/>
  <c r="BY984" i="8"/>
  <c r="BT984" i="8"/>
  <c r="BP984" i="8"/>
  <c r="BJ984" i="8"/>
  <c r="CI983" i="8"/>
  <c r="CD983" i="8"/>
  <c r="BY983" i="8"/>
  <c r="BT983" i="8"/>
  <c r="BP983" i="8"/>
  <c r="BJ983" i="8"/>
  <c r="CJ982" i="8"/>
  <c r="CF982" i="8"/>
  <c r="CA982" i="8"/>
  <c r="BV982" i="8"/>
  <c r="BZ982" i="8" s="1"/>
  <c r="BQ982" i="8"/>
  <c r="BK982" i="8"/>
  <c r="CG981" i="8"/>
  <c r="CB981" i="8"/>
  <c r="BW981" i="8"/>
  <c r="BR981" i="8"/>
  <c r="BL981" i="8"/>
  <c r="CG980" i="8"/>
  <c r="CB980" i="8"/>
  <c r="BW980" i="8"/>
  <c r="BR980" i="8"/>
  <c r="BL980" i="8"/>
  <c r="CG979" i="8"/>
  <c r="CB979" i="8"/>
  <c r="BW979" i="8"/>
  <c r="BR979" i="8"/>
  <c r="BL979" i="8"/>
  <c r="CH978" i="8"/>
  <c r="CC978" i="8"/>
  <c r="BX978" i="8"/>
  <c r="BS978" i="8"/>
  <c r="BO978" i="8"/>
  <c r="BI978" i="8"/>
  <c r="CI977" i="8"/>
  <c r="CD977" i="8"/>
  <c r="BY977" i="8"/>
  <c r="BT977" i="8"/>
  <c r="BP977" i="8"/>
  <c r="BJ977" i="8"/>
  <c r="CI976" i="8"/>
  <c r="CD976" i="8"/>
  <c r="BY976" i="8"/>
  <c r="BT976" i="8"/>
  <c r="BP976" i="8"/>
  <c r="BJ976" i="8"/>
  <c r="BM260" i="8"/>
  <c r="BM442" i="8"/>
  <c r="BM506" i="8"/>
  <c r="BM570" i="8"/>
  <c r="BM615" i="8"/>
  <c r="BM647" i="8"/>
  <c r="BM675" i="8"/>
  <c r="BM691" i="8"/>
  <c r="BM707" i="8"/>
  <c r="BM723" i="8"/>
  <c r="BM739" i="8"/>
  <c r="BM755" i="8"/>
  <c r="BM771" i="8"/>
  <c r="BM787" i="8"/>
  <c r="BM803" i="8"/>
  <c r="BM819" i="8"/>
  <c r="BM835" i="8"/>
  <c r="BM851" i="8"/>
  <c r="BM867" i="8"/>
  <c r="BM883" i="8"/>
  <c r="BM899" i="8"/>
  <c r="BM915" i="8"/>
  <c r="BM931" i="8"/>
  <c r="BM947" i="8"/>
  <c r="BM963" i="8"/>
  <c r="BM979" i="8"/>
  <c r="BM995" i="8"/>
  <c r="CB1006" i="8"/>
  <c r="BI1006" i="8"/>
  <c r="CD1005" i="8"/>
  <c r="BK1005" i="8"/>
  <c r="CA1004" i="8"/>
  <c r="CA1003" i="8"/>
  <c r="BQ1003" i="8"/>
  <c r="CB1002" i="8"/>
  <c r="BR1002" i="8"/>
  <c r="BI1002" i="8"/>
  <c r="CI1001" i="8"/>
  <c r="BY1001" i="8"/>
  <c r="BP1001" i="8"/>
  <c r="CJ1000" i="8"/>
  <c r="CA1000" i="8"/>
  <c r="BQ1000" i="8"/>
  <c r="CJ999" i="8"/>
  <c r="CA999" i="8"/>
  <c r="BQ999" i="8"/>
  <c r="CB998" i="8"/>
  <c r="BR998" i="8"/>
  <c r="CD997" i="8"/>
  <c r="BT997" i="8"/>
  <c r="BJ997" i="8"/>
  <c r="CH996" i="8"/>
  <c r="CA996" i="8"/>
  <c r="BV996" i="8"/>
  <c r="BZ996" i="8" s="1"/>
  <c r="BQ996" i="8"/>
  <c r="BK996" i="8"/>
  <c r="CJ995" i="8"/>
  <c r="CF995" i="8"/>
  <c r="CA995" i="8"/>
  <c r="BV995" i="8"/>
  <c r="BZ995" i="8" s="1"/>
  <c r="BQ995" i="8"/>
  <c r="BK995" i="8"/>
  <c r="CG994" i="8"/>
  <c r="CB994" i="8"/>
  <c r="BW994" i="8"/>
  <c r="BR994" i="8"/>
  <c r="BL994" i="8"/>
  <c r="CH993" i="8"/>
  <c r="CC993" i="8"/>
  <c r="BX993" i="8"/>
  <c r="BS993" i="8"/>
  <c r="BO993" i="8"/>
  <c r="BI993" i="8"/>
  <c r="CH992" i="8"/>
  <c r="CC992" i="8"/>
  <c r="BX992" i="8"/>
  <c r="BS992" i="8"/>
  <c r="BO992" i="8"/>
  <c r="BI992" i="8"/>
  <c r="CH991" i="8"/>
  <c r="CC991" i="8"/>
  <c r="BX991" i="8"/>
  <c r="BS991" i="8"/>
  <c r="BO991" i="8"/>
  <c r="BI991" i="8"/>
  <c r="CI990" i="8"/>
  <c r="CD990" i="8"/>
  <c r="BY990" i="8"/>
  <c r="BT990" i="8"/>
  <c r="BP990" i="8"/>
  <c r="BJ990" i="8"/>
  <c r="CJ989" i="8"/>
  <c r="CF989" i="8"/>
  <c r="CA989" i="8"/>
  <c r="BV989" i="8"/>
  <c r="BZ989" i="8" s="1"/>
  <c r="BQ989" i="8"/>
  <c r="BK989" i="8"/>
  <c r="CJ988" i="8"/>
  <c r="CF988" i="8"/>
  <c r="CA988" i="8"/>
  <c r="BV988" i="8"/>
  <c r="BZ988" i="8" s="1"/>
  <c r="BQ988" i="8"/>
  <c r="BK988" i="8"/>
  <c r="CJ987" i="8"/>
  <c r="CF987" i="8"/>
  <c r="CA987" i="8"/>
  <c r="BV987" i="8"/>
  <c r="BZ987" i="8" s="1"/>
  <c r="BQ987" i="8"/>
  <c r="BK987" i="8"/>
  <c r="CG986" i="8"/>
  <c r="CB986" i="8"/>
  <c r="BW986" i="8"/>
  <c r="BR986" i="8"/>
  <c r="BL986" i="8"/>
  <c r="CH985" i="8"/>
  <c r="CC985" i="8"/>
  <c r="BX985" i="8"/>
  <c r="BS985" i="8"/>
  <c r="BO985" i="8"/>
  <c r="BI985" i="8"/>
  <c r="CH984" i="8"/>
  <c r="CC984" i="8"/>
  <c r="BX984" i="8"/>
  <c r="BS984" i="8"/>
  <c r="BO984" i="8"/>
  <c r="BI984" i="8"/>
  <c r="CH983" i="8"/>
  <c r="CC983" i="8"/>
  <c r="BX983" i="8"/>
  <c r="BS983" i="8"/>
  <c r="BO983" i="8"/>
  <c r="BI983" i="8"/>
  <c r="CI982" i="8"/>
  <c r="CD982" i="8"/>
  <c r="BY982" i="8"/>
  <c r="BT982" i="8"/>
  <c r="BP982" i="8"/>
  <c r="BJ982" i="8"/>
  <c r="CJ981" i="8"/>
  <c r="CF981" i="8"/>
  <c r="CA981" i="8"/>
  <c r="BV981" i="8"/>
  <c r="BZ981" i="8" s="1"/>
  <c r="BQ981" i="8"/>
  <c r="BK981" i="8"/>
  <c r="CJ980" i="8"/>
  <c r="CF980" i="8"/>
  <c r="CA980" i="8"/>
  <c r="BV980" i="8"/>
  <c r="BZ980" i="8" s="1"/>
  <c r="BQ980" i="8"/>
  <c r="BK980" i="8"/>
  <c r="CJ979" i="8"/>
  <c r="CF979" i="8"/>
  <c r="CA979" i="8"/>
  <c r="BV979" i="8"/>
  <c r="BZ979" i="8" s="1"/>
  <c r="BQ979" i="8"/>
  <c r="BK979" i="8"/>
  <c r="CG978" i="8"/>
  <c r="CB978" i="8"/>
  <c r="BW978" i="8"/>
  <c r="BR978" i="8"/>
  <c r="BL978" i="8"/>
  <c r="CH977" i="8"/>
  <c r="CC977" i="8"/>
  <c r="BX977" i="8"/>
  <c r="BS977" i="8"/>
  <c r="BO977" i="8"/>
  <c r="BI977" i="8"/>
  <c r="CH976" i="8"/>
  <c r="CC976" i="8"/>
  <c r="BX976" i="8"/>
  <c r="BS976" i="8"/>
  <c r="BO976" i="8"/>
  <c r="BI976" i="8"/>
  <c r="CH975" i="8"/>
  <c r="CC975" i="8"/>
  <c r="BM345" i="8"/>
  <c r="BM623" i="8"/>
  <c r="BM711" i="8"/>
  <c r="BM775" i="8"/>
  <c r="BM839" i="8"/>
  <c r="BM903" i="8"/>
  <c r="BM967" i="8"/>
  <c r="BW1006" i="8"/>
  <c r="BW1003" i="8"/>
  <c r="BX1002" i="8"/>
  <c r="CF1001" i="8"/>
  <c r="CG1000" i="8"/>
  <c r="CG999" i="8"/>
  <c r="BI997" i="8"/>
  <c r="BT996" i="8"/>
  <c r="CI995" i="8"/>
  <c r="BP995" i="8"/>
  <c r="CJ994" i="8"/>
  <c r="BQ994" i="8"/>
  <c r="CG993" i="8"/>
  <c r="BL993" i="8"/>
  <c r="BW992" i="8"/>
  <c r="CG991" i="8"/>
  <c r="BL991" i="8"/>
  <c r="CC990" i="8"/>
  <c r="BI990" i="8"/>
  <c r="CD989" i="8"/>
  <c r="BJ989" i="8"/>
  <c r="BY988" i="8"/>
  <c r="BT987" i="8"/>
  <c r="BV986" i="8"/>
  <c r="BZ986" i="8" s="1"/>
  <c r="BR985" i="8"/>
  <c r="CB984" i="8"/>
  <c r="CB983" i="8"/>
  <c r="BR983" i="8"/>
  <c r="CC982" i="8"/>
  <c r="BS982" i="8"/>
  <c r="BI982" i="8"/>
  <c r="CH981" i="8"/>
  <c r="BX981" i="8"/>
  <c r="BO981" i="8"/>
  <c r="CI980" i="8"/>
  <c r="BY980" i="8"/>
  <c r="BP980" i="8"/>
  <c r="CC979" i="8"/>
  <c r="BS979" i="8"/>
  <c r="BI979" i="8"/>
  <c r="CI978" i="8"/>
  <c r="BY978" i="8"/>
  <c r="BP978" i="8"/>
  <c r="CB977" i="8"/>
  <c r="BR977" i="8"/>
  <c r="CB976" i="8"/>
  <c r="BR976" i="8"/>
  <c r="CF975" i="8"/>
  <c r="BY975" i="8"/>
  <c r="BT975" i="8"/>
  <c r="BP975" i="8"/>
  <c r="BJ975" i="8"/>
  <c r="CI974" i="8"/>
  <c r="CD974" i="8"/>
  <c r="BY974" i="8"/>
  <c r="BT974" i="8"/>
  <c r="BP974" i="8"/>
  <c r="BJ974" i="8"/>
  <c r="CJ973" i="8"/>
  <c r="CF973" i="8"/>
  <c r="CA973" i="8"/>
  <c r="BV973" i="8"/>
  <c r="BZ973" i="8" s="1"/>
  <c r="BQ973" i="8"/>
  <c r="BK973" i="8"/>
  <c r="CJ972" i="8"/>
  <c r="CF972" i="8"/>
  <c r="CA972" i="8"/>
  <c r="BV972" i="8"/>
  <c r="BZ972" i="8" s="1"/>
  <c r="BQ972" i="8"/>
  <c r="BK972" i="8"/>
  <c r="CJ971" i="8"/>
  <c r="CF971" i="8"/>
  <c r="CA971" i="8"/>
  <c r="BV971" i="8"/>
  <c r="BZ971" i="8" s="1"/>
  <c r="BQ971" i="8"/>
  <c r="BK971" i="8"/>
  <c r="CJ970" i="8"/>
  <c r="CF970" i="8"/>
  <c r="CA970" i="8"/>
  <c r="BV970" i="8"/>
  <c r="BZ970" i="8" s="1"/>
  <c r="BQ970" i="8"/>
  <c r="BK970" i="8"/>
  <c r="CG969" i="8"/>
  <c r="CB969" i="8"/>
  <c r="BW969" i="8"/>
  <c r="BR969" i="8"/>
  <c r="BL969" i="8"/>
  <c r="CG968" i="8"/>
  <c r="CB968" i="8"/>
  <c r="BW968" i="8"/>
  <c r="BR968" i="8"/>
  <c r="BL968" i="8"/>
  <c r="CG967" i="8"/>
  <c r="CB967" i="8"/>
  <c r="BW967" i="8"/>
  <c r="BR967" i="8"/>
  <c r="BL967" i="8"/>
  <c r="CG966" i="8"/>
  <c r="CB966" i="8"/>
  <c r="BW966" i="8"/>
  <c r="BR966" i="8"/>
  <c r="BL966" i="8"/>
  <c r="CH965" i="8"/>
  <c r="CC965" i="8"/>
  <c r="BX965" i="8"/>
  <c r="BS965" i="8"/>
  <c r="BO965" i="8"/>
  <c r="BI965" i="8"/>
  <c r="CH964" i="8"/>
  <c r="CC964" i="8"/>
  <c r="BX964" i="8"/>
  <c r="BS964" i="8"/>
  <c r="BO964" i="8"/>
  <c r="BI964" i="8"/>
  <c r="CH963" i="8"/>
  <c r="CC963" i="8"/>
  <c r="BX963" i="8"/>
  <c r="BS963" i="8"/>
  <c r="BO963" i="8"/>
  <c r="BI963" i="8"/>
  <c r="CH962" i="8"/>
  <c r="CC962" i="8"/>
  <c r="BX962" i="8"/>
  <c r="BS962" i="8"/>
  <c r="BO962" i="8"/>
  <c r="BI962" i="8"/>
  <c r="CI961" i="8"/>
  <c r="CD961" i="8"/>
  <c r="BY961" i="8"/>
  <c r="BT961" i="8"/>
  <c r="BP961" i="8"/>
  <c r="BJ961" i="8"/>
  <c r="CI960" i="8"/>
  <c r="CD960" i="8"/>
  <c r="BY960" i="8"/>
  <c r="BT960" i="8"/>
  <c r="BP960" i="8"/>
  <c r="BJ960" i="8"/>
  <c r="CI959" i="8"/>
  <c r="CD959" i="8"/>
  <c r="BY959" i="8"/>
  <c r="BT959" i="8"/>
  <c r="BP959" i="8"/>
  <c r="BJ959" i="8"/>
  <c r="CJ958" i="8"/>
  <c r="CF958" i="8"/>
  <c r="CA958" i="8"/>
  <c r="BV958" i="8"/>
  <c r="BZ958" i="8" s="1"/>
  <c r="BQ958" i="8"/>
  <c r="BK958" i="8"/>
  <c r="CG957" i="8"/>
  <c r="CB957" i="8"/>
  <c r="BW957" i="8"/>
  <c r="BR957" i="8"/>
  <c r="BL957" i="8"/>
  <c r="CG956" i="8"/>
  <c r="CB956" i="8"/>
  <c r="BW956" i="8"/>
  <c r="BR956" i="8"/>
  <c r="BL956" i="8"/>
  <c r="CG955" i="8"/>
  <c r="CB955" i="8"/>
  <c r="BW955" i="8"/>
  <c r="BM458" i="8"/>
  <c r="BM655" i="8"/>
  <c r="BM727" i="8"/>
  <c r="BM791" i="8"/>
  <c r="BM855" i="8"/>
  <c r="BM919" i="8"/>
  <c r="BM983" i="8"/>
  <c r="BV1004" i="8"/>
  <c r="BZ1004" i="8" s="1"/>
  <c r="BM1003" i="8"/>
  <c r="BO1002" i="8"/>
  <c r="BV1001" i="8"/>
  <c r="BZ1001" i="8" s="1"/>
  <c r="BW1000" i="8"/>
  <c r="BW999" i="8"/>
  <c r="CH998" i="8"/>
  <c r="BP996" i="8"/>
  <c r="CD995" i="8"/>
  <c r="BJ995" i="8"/>
  <c r="CF994" i="8"/>
  <c r="BK994" i="8"/>
  <c r="CB993" i="8"/>
  <c r="BR992" i="8"/>
  <c r="CB991" i="8"/>
  <c r="BX990" i="8"/>
  <c r="BY989" i="8"/>
  <c r="BT988" i="8"/>
  <c r="CI987" i="8"/>
  <c r="BP987" i="8"/>
  <c r="CJ986" i="8"/>
  <c r="BQ986" i="8"/>
  <c r="CG985" i="8"/>
  <c r="BL985" i="8"/>
  <c r="BW984" i="8"/>
  <c r="CJ983" i="8"/>
  <c r="CA983" i="8"/>
  <c r="BQ983" i="8"/>
  <c r="CB982" i="8"/>
  <c r="BR982" i="8"/>
  <c r="CD981" i="8"/>
  <c r="BT981" i="8"/>
  <c r="BJ981" i="8"/>
  <c r="CH980" i="8"/>
  <c r="BX980" i="8"/>
  <c r="BO980" i="8"/>
  <c r="CI979" i="8"/>
  <c r="BY979" i="8"/>
  <c r="BP979" i="8"/>
  <c r="CF978" i="8"/>
  <c r="BV978" i="8"/>
  <c r="BZ978" i="8" s="1"/>
  <c r="BK978" i="8"/>
  <c r="CJ977" i="8"/>
  <c r="CA977" i="8"/>
  <c r="BQ977" i="8"/>
  <c r="CJ976" i="8"/>
  <c r="CA976" i="8"/>
  <c r="BQ976" i="8"/>
  <c r="CJ975" i="8"/>
  <c r="CD975" i="8"/>
  <c r="BX975" i="8"/>
  <c r="BS975" i="8"/>
  <c r="BO975" i="8"/>
  <c r="BI975" i="8"/>
  <c r="CH974" i="8"/>
  <c r="CC974" i="8"/>
  <c r="BX974" i="8"/>
  <c r="BS974" i="8"/>
  <c r="BO974" i="8"/>
  <c r="BI974" i="8"/>
  <c r="CI973" i="8"/>
  <c r="CD973" i="8"/>
  <c r="BY973" i="8"/>
  <c r="BT973" i="8"/>
  <c r="BP973" i="8"/>
  <c r="BJ973" i="8"/>
  <c r="CI972" i="8"/>
  <c r="CD972" i="8"/>
  <c r="BY972" i="8"/>
  <c r="BT972" i="8"/>
  <c r="BP972" i="8"/>
  <c r="BJ972" i="8"/>
  <c r="CI971" i="8"/>
  <c r="CD971" i="8"/>
  <c r="BY971" i="8"/>
  <c r="BT971" i="8"/>
  <c r="BP971" i="8"/>
  <c r="BJ971" i="8"/>
  <c r="CI970" i="8"/>
  <c r="CD970" i="8"/>
  <c r="BY970" i="8"/>
  <c r="BT970" i="8"/>
  <c r="BP970" i="8"/>
  <c r="BJ970" i="8"/>
  <c r="CJ969" i="8"/>
  <c r="CF969" i="8"/>
  <c r="CA969" i="8"/>
  <c r="BV969" i="8"/>
  <c r="BZ969" i="8" s="1"/>
  <c r="BQ969" i="8"/>
  <c r="BK969" i="8"/>
  <c r="CJ968" i="8"/>
  <c r="CF968" i="8"/>
  <c r="CA968" i="8"/>
  <c r="BV968" i="8"/>
  <c r="BZ968" i="8" s="1"/>
  <c r="BQ968" i="8"/>
  <c r="BK968" i="8"/>
  <c r="CJ967" i="8"/>
  <c r="CF967" i="8"/>
  <c r="CA967" i="8"/>
  <c r="BV967" i="8"/>
  <c r="BZ967" i="8" s="1"/>
  <c r="BQ967" i="8"/>
  <c r="BK967" i="8"/>
  <c r="CJ966" i="8"/>
  <c r="CF966" i="8"/>
  <c r="CA966" i="8"/>
  <c r="BV966" i="8"/>
  <c r="BZ966" i="8" s="1"/>
  <c r="BQ966" i="8"/>
  <c r="BK966" i="8"/>
  <c r="CG965" i="8"/>
  <c r="CB965" i="8"/>
  <c r="BW965" i="8"/>
  <c r="BR965" i="8"/>
  <c r="BL965" i="8"/>
  <c r="CG964" i="8"/>
  <c r="CB964" i="8"/>
  <c r="BW964" i="8"/>
  <c r="BR964" i="8"/>
  <c r="BL964" i="8"/>
  <c r="CG963" i="8"/>
  <c r="CB963" i="8"/>
  <c r="BW963" i="8"/>
  <c r="BR963" i="8"/>
  <c r="BL963" i="8"/>
  <c r="CG962" i="8"/>
  <c r="CB962" i="8"/>
  <c r="BW962" i="8"/>
  <c r="BR962" i="8"/>
  <c r="BL962" i="8"/>
  <c r="CH961" i="8"/>
  <c r="CC961" i="8"/>
  <c r="BX961" i="8"/>
  <c r="BS961" i="8"/>
  <c r="BO961" i="8"/>
  <c r="BI961" i="8"/>
  <c r="CH960" i="8"/>
  <c r="CC960" i="8"/>
  <c r="BX960" i="8"/>
  <c r="BS960" i="8"/>
  <c r="BO960" i="8"/>
  <c r="BI960" i="8"/>
  <c r="CH959" i="8"/>
  <c r="CC959" i="8"/>
  <c r="BX959" i="8"/>
  <c r="BS959" i="8"/>
  <c r="BO959" i="8"/>
  <c r="BI959" i="8"/>
  <c r="CI958" i="8"/>
  <c r="CD958" i="8"/>
  <c r="BY958" i="8"/>
  <c r="BT958" i="8"/>
  <c r="BP958" i="8"/>
  <c r="BJ958" i="8"/>
  <c r="CJ957" i="8"/>
  <c r="CF957" i="8"/>
  <c r="CA957" i="8"/>
  <c r="BV957" i="8"/>
  <c r="BZ957" i="8" s="1"/>
  <c r="BQ957" i="8"/>
  <c r="BK957" i="8"/>
  <c r="CJ956" i="8"/>
  <c r="CF956" i="8"/>
  <c r="CA956" i="8"/>
  <c r="BV956" i="8"/>
  <c r="BZ956" i="8" s="1"/>
  <c r="BQ956" i="8"/>
  <c r="BK956" i="8"/>
  <c r="CJ955" i="8"/>
  <c r="CF955" i="8"/>
  <c r="CA955" i="8"/>
  <c r="BV955" i="8"/>
  <c r="BZ955" i="8" s="1"/>
  <c r="BQ955" i="8"/>
  <c r="BK955" i="8"/>
  <c r="CG954" i="8"/>
  <c r="CB954" i="8"/>
  <c r="BW954" i="8"/>
  <c r="BR954" i="8"/>
  <c r="BL954" i="8"/>
  <c r="CH953" i="8"/>
  <c r="CC953" i="8"/>
  <c r="BX953" i="8"/>
  <c r="BS953" i="8"/>
  <c r="BO953" i="8"/>
  <c r="BI953" i="8"/>
  <c r="CH952" i="8"/>
  <c r="CC952" i="8"/>
  <c r="BX952" i="8"/>
  <c r="BS952" i="8"/>
  <c r="BO952" i="8"/>
  <c r="BI952" i="8"/>
  <c r="CH951" i="8"/>
  <c r="CC951" i="8"/>
  <c r="BX951" i="8"/>
  <c r="BS951" i="8"/>
  <c r="BO951" i="8"/>
  <c r="BI951" i="8"/>
  <c r="CI950" i="8"/>
  <c r="CD950" i="8"/>
  <c r="BY950" i="8"/>
  <c r="BT950" i="8"/>
  <c r="BP950" i="8"/>
  <c r="BJ950" i="8"/>
  <c r="CI949" i="8"/>
  <c r="CD949" i="8"/>
  <c r="BY949" i="8"/>
  <c r="BT949" i="8"/>
  <c r="BP949" i="8"/>
  <c r="BJ949" i="8"/>
  <c r="CI948" i="8"/>
  <c r="CD948" i="8"/>
  <c r="BY948" i="8"/>
  <c r="BT948" i="8"/>
  <c r="BP948" i="8"/>
  <c r="BJ948" i="8"/>
  <c r="CJ947" i="8"/>
  <c r="CF947" i="8"/>
  <c r="CA947" i="8"/>
  <c r="BV947" i="8"/>
  <c r="BZ947" i="8" s="1"/>
  <c r="BQ947" i="8"/>
  <c r="BK947" i="8"/>
  <c r="CJ946" i="8"/>
  <c r="CF946" i="8"/>
  <c r="CA946" i="8"/>
  <c r="BV946" i="8"/>
  <c r="BZ946" i="8" s="1"/>
  <c r="BQ946" i="8"/>
  <c r="BK946" i="8"/>
  <c r="CJ945" i="8"/>
  <c r="CF945" i="8"/>
  <c r="CA945" i="8"/>
  <c r="BV945" i="8"/>
  <c r="BZ945" i="8" s="1"/>
  <c r="BQ945" i="8"/>
  <c r="BK945" i="8"/>
  <c r="BM522" i="8"/>
  <c r="BM679" i="8"/>
  <c r="BM743" i="8"/>
  <c r="BM807" i="8"/>
  <c r="BM871" i="8"/>
  <c r="BM935" i="8"/>
  <c r="BM999" i="8"/>
  <c r="BL1001" i="8"/>
  <c r="BL1000" i="8"/>
  <c r="BL999" i="8"/>
  <c r="BX998" i="8"/>
  <c r="CC997" i="8"/>
  <c r="CF996" i="8"/>
  <c r="BJ996" i="8"/>
  <c r="BY995" i="8"/>
  <c r="CA994" i="8"/>
  <c r="BW993" i="8"/>
  <c r="CG992" i="8"/>
  <c r="BL992" i="8"/>
  <c r="BW991" i="8"/>
  <c r="BS990" i="8"/>
  <c r="BT989" i="8"/>
  <c r="CI988" i="8"/>
  <c r="BP988" i="8"/>
  <c r="CD987" i="8"/>
  <c r="BJ987" i="8"/>
  <c r="CF986" i="8"/>
  <c r="BK986" i="8"/>
  <c r="CB985" i="8"/>
  <c r="BR984" i="8"/>
  <c r="CG983" i="8"/>
  <c r="BW983" i="8"/>
  <c r="BL983" i="8"/>
  <c r="CH982" i="8"/>
  <c r="BX982" i="8"/>
  <c r="BO982" i="8"/>
  <c r="CC981" i="8"/>
  <c r="BS981" i="8"/>
  <c r="BI981" i="8"/>
  <c r="CD980" i="8"/>
  <c r="BT980" i="8"/>
  <c r="BJ980" i="8"/>
  <c r="CH979" i="8"/>
  <c r="BX979" i="8"/>
  <c r="BO979" i="8"/>
  <c r="CD978" i="8"/>
  <c r="BT978" i="8"/>
  <c r="BJ978" i="8"/>
  <c r="CG977" i="8"/>
  <c r="BW977" i="8"/>
  <c r="BL977" i="8"/>
  <c r="CG976" i="8"/>
  <c r="BW976" i="8"/>
  <c r="BL976" i="8"/>
  <c r="CI975" i="8"/>
  <c r="CB975" i="8"/>
  <c r="BW975" i="8"/>
  <c r="BR975" i="8"/>
  <c r="BL975" i="8"/>
  <c r="CG974" i="8"/>
  <c r="CB974" i="8"/>
  <c r="BW974" i="8"/>
  <c r="BR974" i="8"/>
  <c r="BL974" i="8"/>
  <c r="CH973" i="8"/>
  <c r="CC973" i="8"/>
  <c r="BX973" i="8"/>
  <c r="BS973" i="8"/>
  <c r="BO973" i="8"/>
  <c r="BI973" i="8"/>
  <c r="CH972" i="8"/>
  <c r="CC972" i="8"/>
  <c r="BX972" i="8"/>
  <c r="BS972" i="8"/>
  <c r="BO972" i="8"/>
  <c r="BI972" i="8"/>
  <c r="CH971" i="8"/>
  <c r="CC971" i="8"/>
  <c r="BX971" i="8"/>
  <c r="BS971" i="8"/>
  <c r="BO971" i="8"/>
  <c r="BI971" i="8"/>
  <c r="CH970" i="8"/>
  <c r="CC970" i="8"/>
  <c r="BX970" i="8"/>
  <c r="BS970" i="8"/>
  <c r="BO970" i="8"/>
  <c r="BI970" i="8"/>
  <c r="CI969" i="8"/>
  <c r="CD969" i="8"/>
  <c r="BY969" i="8"/>
  <c r="BT969" i="8"/>
  <c r="BP969" i="8"/>
  <c r="BJ969" i="8"/>
  <c r="CI968" i="8"/>
  <c r="CD968" i="8"/>
  <c r="BY968" i="8"/>
  <c r="BT968" i="8"/>
  <c r="BP968" i="8"/>
  <c r="BJ968" i="8"/>
  <c r="CI967" i="8"/>
  <c r="CD967" i="8"/>
  <c r="BY967" i="8"/>
  <c r="BT967" i="8"/>
  <c r="BP967" i="8"/>
  <c r="BJ967" i="8"/>
  <c r="CI966" i="8"/>
  <c r="CD966" i="8"/>
  <c r="BY966" i="8"/>
  <c r="BT966" i="8"/>
  <c r="BP966" i="8"/>
  <c r="BJ966" i="8"/>
  <c r="CJ965" i="8"/>
  <c r="CF965" i="8"/>
  <c r="CA965" i="8"/>
  <c r="BV965" i="8"/>
  <c r="BZ965" i="8" s="1"/>
  <c r="BQ965" i="8"/>
  <c r="BK965" i="8"/>
  <c r="CJ964" i="8"/>
  <c r="CF964" i="8"/>
  <c r="CA964" i="8"/>
  <c r="BV964" i="8"/>
  <c r="BZ964" i="8" s="1"/>
  <c r="BQ964" i="8"/>
  <c r="BK964" i="8"/>
  <c r="CJ963" i="8"/>
  <c r="CF963" i="8"/>
  <c r="CA963" i="8"/>
  <c r="BV963" i="8"/>
  <c r="BZ963" i="8" s="1"/>
  <c r="BQ963" i="8"/>
  <c r="BK963" i="8"/>
  <c r="CJ962" i="8"/>
  <c r="CF962" i="8"/>
  <c r="CA962" i="8"/>
  <c r="BV962" i="8"/>
  <c r="BZ962" i="8" s="1"/>
  <c r="BQ962" i="8"/>
  <c r="BK962" i="8"/>
  <c r="CG961" i="8"/>
  <c r="CB961" i="8"/>
  <c r="BW961" i="8"/>
  <c r="BR961" i="8"/>
  <c r="BL961" i="8"/>
  <c r="CG960" i="8"/>
  <c r="CB960" i="8"/>
  <c r="BW960" i="8"/>
  <c r="BR960" i="8"/>
  <c r="BL960" i="8"/>
  <c r="CG959" i="8"/>
  <c r="CB959" i="8"/>
  <c r="BW959" i="8"/>
  <c r="BR959" i="8"/>
  <c r="BL959" i="8"/>
  <c r="CH958" i="8"/>
  <c r="CC958" i="8"/>
  <c r="BX958" i="8"/>
  <c r="BS958" i="8"/>
  <c r="BO958" i="8"/>
  <c r="BI958" i="8"/>
  <c r="CI957" i="8"/>
  <c r="CD957" i="8"/>
  <c r="BY957" i="8"/>
  <c r="BT957" i="8"/>
  <c r="BP957" i="8"/>
  <c r="BJ957" i="8"/>
  <c r="CI956" i="8"/>
  <c r="CD956" i="8"/>
  <c r="BY956" i="8"/>
  <c r="BT956" i="8"/>
  <c r="BP956" i="8"/>
  <c r="BJ956" i="8"/>
  <c r="CI955" i="8"/>
  <c r="CD955" i="8"/>
  <c r="BY955" i="8"/>
  <c r="BT955" i="8"/>
  <c r="BP955" i="8"/>
  <c r="BJ955" i="8"/>
  <c r="CJ954" i="8"/>
  <c r="CF954" i="8"/>
  <c r="CA954" i="8"/>
  <c r="BV954" i="8"/>
  <c r="BZ954" i="8" s="1"/>
  <c r="BQ954" i="8"/>
  <c r="BK954" i="8"/>
  <c r="CG953" i="8"/>
  <c r="CB953" i="8"/>
  <c r="BW953" i="8"/>
  <c r="BR953" i="8"/>
  <c r="BL953" i="8"/>
  <c r="CG952" i="8"/>
  <c r="CB952" i="8"/>
  <c r="BW952" i="8"/>
  <c r="BR952" i="8"/>
  <c r="BL952" i="8"/>
  <c r="CG951" i="8"/>
  <c r="CB951" i="8"/>
  <c r="BW951" i="8"/>
  <c r="BR951" i="8"/>
  <c r="BL951" i="8"/>
  <c r="CH950" i="8"/>
  <c r="CC950" i="8"/>
  <c r="BX950" i="8"/>
  <c r="BS950" i="8"/>
  <c r="BO950" i="8"/>
  <c r="BI950" i="8"/>
  <c r="CH949" i="8"/>
  <c r="CC949" i="8"/>
  <c r="BX949" i="8"/>
  <c r="BS949" i="8"/>
  <c r="BO949" i="8"/>
  <c r="BI949" i="8"/>
  <c r="CH948" i="8"/>
  <c r="CC948" i="8"/>
  <c r="BX948" i="8"/>
  <c r="BS948" i="8"/>
  <c r="BO948" i="8"/>
  <c r="BI948" i="8"/>
  <c r="CI947" i="8"/>
  <c r="CD947" i="8"/>
  <c r="BY947" i="8"/>
  <c r="BT947" i="8"/>
  <c r="BP947" i="8"/>
  <c r="BJ947" i="8"/>
  <c r="CI946" i="8"/>
  <c r="CD946" i="8"/>
  <c r="BY946" i="8"/>
  <c r="BT946" i="8"/>
  <c r="BP946" i="8"/>
  <c r="BJ946" i="8"/>
  <c r="CI945" i="8"/>
  <c r="CD945" i="8"/>
  <c r="BY945" i="8"/>
  <c r="BT945" i="8"/>
  <c r="BP945" i="8"/>
  <c r="BJ945" i="8"/>
  <c r="BM586" i="8"/>
  <c r="BM887" i="8"/>
  <c r="CG1003" i="8"/>
  <c r="BS997" i="8"/>
  <c r="BT995" i="8"/>
  <c r="CB992" i="8"/>
  <c r="CD988" i="8"/>
  <c r="BL984" i="8"/>
  <c r="BK983" i="8"/>
  <c r="BW982" i="8"/>
  <c r="CI981" i="8"/>
  <c r="CC980" i="8"/>
  <c r="CD979" i="8"/>
  <c r="BK977" i="8"/>
  <c r="BK976" i="8"/>
  <c r="BV975" i="8"/>
  <c r="BZ975" i="8" s="1"/>
  <c r="CJ974" i="8"/>
  <c r="BQ974" i="8"/>
  <c r="CG973" i="8"/>
  <c r="BL973" i="8"/>
  <c r="BW972" i="8"/>
  <c r="CG971" i="8"/>
  <c r="BL971" i="8"/>
  <c r="BW970" i="8"/>
  <c r="BS969" i="8"/>
  <c r="CH968" i="8"/>
  <c r="BO968" i="8"/>
  <c r="CC967" i="8"/>
  <c r="BI967" i="8"/>
  <c r="BX966" i="8"/>
  <c r="BY965" i="8"/>
  <c r="BT964" i="8"/>
  <c r="CI963" i="8"/>
  <c r="BP963" i="8"/>
  <c r="CD962" i="8"/>
  <c r="BJ962" i="8"/>
  <c r="CF961" i="8"/>
  <c r="BK961" i="8"/>
  <c r="CA960" i="8"/>
  <c r="CE960" i="8" s="1"/>
  <c r="BV959" i="8"/>
  <c r="BZ959" i="8" s="1"/>
  <c r="BR958" i="8"/>
  <c r="CH957" i="8"/>
  <c r="BO957" i="8"/>
  <c r="CC956" i="8"/>
  <c r="BI956" i="8"/>
  <c r="BX955" i="8"/>
  <c r="BL955" i="8"/>
  <c r="CI954" i="8"/>
  <c r="BY954" i="8"/>
  <c r="BP954" i="8"/>
  <c r="CF953" i="8"/>
  <c r="BV953" i="8"/>
  <c r="BZ953" i="8" s="1"/>
  <c r="BK953" i="8"/>
  <c r="CI952" i="8"/>
  <c r="BY952" i="8"/>
  <c r="BP952" i="8"/>
  <c r="CJ951" i="8"/>
  <c r="CA951" i="8"/>
  <c r="BQ951" i="8"/>
  <c r="CF950" i="8"/>
  <c r="BV950" i="8"/>
  <c r="BZ950" i="8" s="1"/>
  <c r="BK950" i="8"/>
  <c r="CF949" i="8"/>
  <c r="BV949" i="8"/>
  <c r="BZ949" i="8" s="1"/>
  <c r="BK949" i="8"/>
  <c r="CF948" i="8"/>
  <c r="BV948" i="8"/>
  <c r="BZ948" i="8" s="1"/>
  <c r="BK948" i="8"/>
  <c r="CG947" i="8"/>
  <c r="BW947" i="8"/>
  <c r="BL947" i="8"/>
  <c r="CG946" i="8"/>
  <c r="BW946" i="8"/>
  <c r="BL946" i="8"/>
  <c r="CG945" i="8"/>
  <c r="BW945" i="8"/>
  <c r="BL945" i="8"/>
  <c r="CI944" i="8"/>
  <c r="CD944" i="8"/>
  <c r="BY944" i="8"/>
  <c r="BT944" i="8"/>
  <c r="BP944" i="8"/>
  <c r="BJ944" i="8"/>
  <c r="CJ943" i="8"/>
  <c r="CF943" i="8"/>
  <c r="CA943" i="8"/>
  <c r="BV943" i="8"/>
  <c r="BZ943" i="8" s="1"/>
  <c r="BQ943" i="8"/>
  <c r="BK943" i="8"/>
  <c r="CJ942" i="8"/>
  <c r="CF942" i="8"/>
  <c r="CA942" i="8"/>
  <c r="BV942" i="8"/>
  <c r="BZ942" i="8" s="1"/>
  <c r="BQ942" i="8"/>
  <c r="BK942" i="8"/>
  <c r="CJ941" i="8"/>
  <c r="CF941" i="8"/>
  <c r="CA941" i="8"/>
  <c r="BV941" i="8"/>
  <c r="BZ941" i="8" s="1"/>
  <c r="BQ941" i="8"/>
  <c r="BK941" i="8"/>
  <c r="CJ940" i="8"/>
  <c r="CF940" i="8"/>
  <c r="CA940" i="8"/>
  <c r="BV940" i="8"/>
  <c r="BZ940" i="8" s="1"/>
  <c r="BQ940" i="8"/>
  <c r="BK940" i="8"/>
  <c r="CG939" i="8"/>
  <c r="CB939" i="8"/>
  <c r="BW939" i="8"/>
  <c r="BR939" i="8"/>
  <c r="BL939" i="8"/>
  <c r="CG938" i="8"/>
  <c r="CB938" i="8"/>
  <c r="BW938" i="8"/>
  <c r="BR938" i="8"/>
  <c r="BL938" i="8"/>
  <c r="CG937" i="8"/>
  <c r="CB937" i="8"/>
  <c r="BW937" i="8"/>
  <c r="BR937" i="8"/>
  <c r="BL937" i="8"/>
  <c r="CG936" i="8"/>
  <c r="CB936" i="8"/>
  <c r="BW936" i="8"/>
  <c r="BR936" i="8"/>
  <c r="BL936" i="8"/>
  <c r="CH935" i="8"/>
  <c r="CC935" i="8"/>
  <c r="BX935" i="8"/>
  <c r="BS935" i="8"/>
  <c r="BO935" i="8"/>
  <c r="BI935" i="8"/>
  <c r="CH934" i="8"/>
  <c r="CC934" i="8"/>
  <c r="BX934" i="8"/>
  <c r="BS934" i="8"/>
  <c r="BO934" i="8"/>
  <c r="BI934" i="8"/>
  <c r="CH933" i="8"/>
  <c r="CC933" i="8"/>
  <c r="BX933" i="8"/>
  <c r="BS933" i="8"/>
  <c r="BO933" i="8"/>
  <c r="BI933" i="8"/>
  <c r="CH932" i="8"/>
  <c r="CC932" i="8"/>
  <c r="BX932" i="8"/>
  <c r="BS932" i="8"/>
  <c r="BO932" i="8"/>
  <c r="BI932" i="8"/>
  <c r="CI931" i="8"/>
  <c r="CD931" i="8"/>
  <c r="BY931" i="8"/>
  <c r="BT931" i="8"/>
  <c r="BP931" i="8"/>
  <c r="BJ931" i="8"/>
  <c r="CI930" i="8"/>
  <c r="CD930" i="8"/>
  <c r="BY930" i="8"/>
  <c r="BT930" i="8"/>
  <c r="BP930" i="8"/>
  <c r="BJ930" i="8"/>
  <c r="CI929" i="8"/>
  <c r="CD929" i="8"/>
  <c r="BY929" i="8"/>
  <c r="BT929" i="8"/>
  <c r="BP929" i="8"/>
  <c r="BJ929" i="8"/>
  <c r="CI928" i="8"/>
  <c r="CD928" i="8"/>
  <c r="BY928" i="8"/>
  <c r="BT928" i="8"/>
  <c r="BP928" i="8"/>
  <c r="BJ928" i="8"/>
  <c r="CJ927" i="8"/>
  <c r="CF927" i="8"/>
  <c r="CA927" i="8"/>
  <c r="BV927" i="8"/>
  <c r="BZ927" i="8" s="1"/>
  <c r="BQ927" i="8"/>
  <c r="BK927" i="8"/>
  <c r="CJ926" i="8"/>
  <c r="CF926" i="8"/>
  <c r="CA926" i="8"/>
  <c r="BV926" i="8"/>
  <c r="BZ926" i="8" s="1"/>
  <c r="BQ926" i="8"/>
  <c r="BK926" i="8"/>
  <c r="CJ925" i="8"/>
  <c r="CF925" i="8"/>
  <c r="CA925" i="8"/>
  <c r="BV925" i="8"/>
  <c r="BZ925" i="8" s="1"/>
  <c r="BQ925" i="8"/>
  <c r="BK925" i="8"/>
  <c r="CJ924" i="8"/>
  <c r="CF924" i="8"/>
  <c r="CA924" i="8"/>
  <c r="BV924" i="8"/>
  <c r="BZ924" i="8" s="1"/>
  <c r="BQ924" i="8"/>
  <c r="BK924" i="8"/>
  <c r="CG923" i="8"/>
  <c r="CB923" i="8"/>
  <c r="BW923" i="8"/>
  <c r="BR923" i="8"/>
  <c r="BL923" i="8"/>
  <c r="CG922" i="8"/>
  <c r="CB922" i="8"/>
  <c r="BW922" i="8"/>
  <c r="BR922" i="8"/>
  <c r="BL922" i="8"/>
  <c r="CG921" i="8"/>
  <c r="CB921" i="8"/>
  <c r="BW921" i="8"/>
  <c r="BR921" i="8"/>
  <c r="BL921" i="8"/>
  <c r="CG920" i="8"/>
  <c r="CB920" i="8"/>
  <c r="BW920" i="8"/>
  <c r="BR920" i="8"/>
  <c r="BL920" i="8"/>
  <c r="CH919" i="8"/>
  <c r="CC919" i="8"/>
  <c r="BX919" i="8"/>
  <c r="BS919" i="8"/>
  <c r="BO919" i="8"/>
  <c r="BI919" i="8"/>
  <c r="CH918" i="8"/>
  <c r="CC918" i="8"/>
  <c r="BX918" i="8"/>
  <c r="BS918" i="8"/>
  <c r="BO918" i="8"/>
  <c r="BI918" i="8"/>
  <c r="CI917" i="8"/>
  <c r="CD917" i="8"/>
  <c r="BY917" i="8"/>
  <c r="BT917" i="8"/>
  <c r="BP917" i="8"/>
  <c r="BJ917" i="8"/>
  <c r="CI916" i="8"/>
  <c r="CD916" i="8"/>
  <c r="BY916" i="8"/>
  <c r="BT916" i="8"/>
  <c r="BP916" i="8"/>
  <c r="BJ916" i="8"/>
  <c r="CJ915" i="8"/>
  <c r="CF915" i="8"/>
  <c r="CA915" i="8"/>
  <c r="BV915" i="8"/>
  <c r="BZ915" i="8" s="1"/>
  <c r="BQ915" i="8"/>
  <c r="BK915" i="8"/>
  <c r="CJ914" i="8"/>
  <c r="CF914" i="8"/>
  <c r="CA914" i="8"/>
  <c r="BV914" i="8"/>
  <c r="BZ914" i="8" s="1"/>
  <c r="BQ914" i="8"/>
  <c r="BK914" i="8"/>
  <c r="CJ913" i="8"/>
  <c r="CF913" i="8"/>
  <c r="BM695" i="8"/>
  <c r="BM951" i="8"/>
  <c r="BY1005" i="8"/>
  <c r="BO998" i="8"/>
  <c r="CH990" i="8"/>
  <c r="CI989" i="8"/>
  <c r="BJ988" i="8"/>
  <c r="BW985" i="8"/>
  <c r="BL982" i="8"/>
  <c r="BY981" i="8"/>
  <c r="BS980" i="8"/>
  <c r="BT979" i="8"/>
  <c r="CJ978" i="8"/>
  <c r="BQ975" i="8"/>
  <c r="CF974" i="8"/>
  <c r="BK974" i="8"/>
  <c r="CB973" i="8"/>
  <c r="BR972" i="8"/>
  <c r="CB971" i="8"/>
  <c r="BR970" i="8"/>
  <c r="CH969" i="8"/>
  <c r="BO969" i="8"/>
  <c r="CC968" i="8"/>
  <c r="BI968" i="8"/>
  <c r="BX967" i="8"/>
  <c r="BS966" i="8"/>
  <c r="BT965" i="8"/>
  <c r="CI964" i="8"/>
  <c r="BP964" i="8"/>
  <c r="CD963" i="8"/>
  <c r="BJ963" i="8"/>
  <c r="BY962" i="8"/>
  <c r="CA961" i="8"/>
  <c r="BV960" i="8"/>
  <c r="BZ960" i="8" s="1"/>
  <c r="CJ959" i="8"/>
  <c r="BQ959" i="8"/>
  <c r="CG958" i="8"/>
  <c r="BL958" i="8"/>
  <c r="CC957" i="8"/>
  <c r="BI957" i="8"/>
  <c r="BX956" i="8"/>
  <c r="BS955" i="8"/>
  <c r="BI955" i="8"/>
  <c r="CH954" i="8"/>
  <c r="BX954" i="8"/>
  <c r="BO954" i="8"/>
  <c r="CD953" i="8"/>
  <c r="BT953" i="8"/>
  <c r="BJ953" i="8"/>
  <c r="CF952" i="8"/>
  <c r="BV952" i="8"/>
  <c r="BZ952" i="8" s="1"/>
  <c r="BK952" i="8"/>
  <c r="CI951" i="8"/>
  <c r="BY951" i="8"/>
  <c r="BP951" i="8"/>
  <c r="CB950" i="8"/>
  <c r="BR950" i="8"/>
  <c r="CB949" i="8"/>
  <c r="BR949" i="8"/>
  <c r="CB948" i="8"/>
  <c r="BR948" i="8"/>
  <c r="CC947" i="8"/>
  <c r="BS947" i="8"/>
  <c r="BI947" i="8"/>
  <c r="CC946" i="8"/>
  <c r="BS946" i="8"/>
  <c r="BI946" i="8"/>
  <c r="CC945" i="8"/>
  <c r="BS945" i="8"/>
  <c r="BI945" i="8"/>
  <c r="CH944" i="8"/>
  <c r="CC944" i="8"/>
  <c r="BX944" i="8"/>
  <c r="BS944" i="8"/>
  <c r="BO944" i="8"/>
  <c r="BI944" i="8"/>
  <c r="CI943" i="8"/>
  <c r="CD943" i="8"/>
  <c r="BY943" i="8"/>
  <c r="BT943" i="8"/>
  <c r="BP943" i="8"/>
  <c r="BJ943" i="8"/>
  <c r="CI942" i="8"/>
  <c r="CD942" i="8"/>
  <c r="BY942" i="8"/>
  <c r="BT942" i="8"/>
  <c r="BP942" i="8"/>
  <c r="BJ942" i="8"/>
  <c r="CI941" i="8"/>
  <c r="CD941" i="8"/>
  <c r="BY941" i="8"/>
  <c r="BT941" i="8"/>
  <c r="BP941" i="8"/>
  <c r="BJ941" i="8"/>
  <c r="CI940" i="8"/>
  <c r="CD940" i="8"/>
  <c r="BY940" i="8"/>
  <c r="BT940" i="8"/>
  <c r="BP940" i="8"/>
  <c r="BJ940" i="8"/>
  <c r="CJ939" i="8"/>
  <c r="CF939" i="8"/>
  <c r="CA939" i="8"/>
  <c r="BV939" i="8"/>
  <c r="BZ939" i="8" s="1"/>
  <c r="BQ939" i="8"/>
  <c r="BK939" i="8"/>
  <c r="CJ938" i="8"/>
  <c r="CF938" i="8"/>
  <c r="CA938" i="8"/>
  <c r="BV938" i="8"/>
  <c r="BZ938" i="8" s="1"/>
  <c r="BQ938" i="8"/>
  <c r="BK938" i="8"/>
  <c r="CJ937" i="8"/>
  <c r="CF937" i="8"/>
  <c r="CA937" i="8"/>
  <c r="BV937" i="8"/>
  <c r="BZ937" i="8" s="1"/>
  <c r="BQ937" i="8"/>
  <c r="BK937" i="8"/>
  <c r="CJ936" i="8"/>
  <c r="CF936" i="8"/>
  <c r="CA936" i="8"/>
  <c r="BV936" i="8"/>
  <c r="BZ936" i="8" s="1"/>
  <c r="BQ936" i="8"/>
  <c r="BK936" i="8"/>
  <c r="CG935" i="8"/>
  <c r="CB935" i="8"/>
  <c r="BW935" i="8"/>
  <c r="BR935" i="8"/>
  <c r="BL935" i="8"/>
  <c r="CG934" i="8"/>
  <c r="CB934" i="8"/>
  <c r="BW934" i="8"/>
  <c r="BR934" i="8"/>
  <c r="BL934" i="8"/>
  <c r="CG933" i="8"/>
  <c r="CB933" i="8"/>
  <c r="BW933" i="8"/>
  <c r="BR933" i="8"/>
  <c r="BL933" i="8"/>
  <c r="CG932" i="8"/>
  <c r="CB932" i="8"/>
  <c r="BW932" i="8"/>
  <c r="BR932" i="8"/>
  <c r="BL932" i="8"/>
  <c r="CH931" i="8"/>
  <c r="CC931" i="8"/>
  <c r="BX931" i="8"/>
  <c r="BS931" i="8"/>
  <c r="BO931" i="8"/>
  <c r="BI931" i="8"/>
  <c r="CH930" i="8"/>
  <c r="CC930" i="8"/>
  <c r="BX930" i="8"/>
  <c r="BS930" i="8"/>
  <c r="BO930" i="8"/>
  <c r="BI930" i="8"/>
  <c r="CH929" i="8"/>
  <c r="CC929" i="8"/>
  <c r="BX929" i="8"/>
  <c r="BS929" i="8"/>
  <c r="BO929" i="8"/>
  <c r="BI929" i="8"/>
  <c r="CH928" i="8"/>
  <c r="CC928" i="8"/>
  <c r="BX928" i="8"/>
  <c r="BS928" i="8"/>
  <c r="BO928" i="8"/>
  <c r="BI928" i="8"/>
  <c r="CI927" i="8"/>
  <c r="CD927" i="8"/>
  <c r="BY927" i="8"/>
  <c r="BT927" i="8"/>
  <c r="BP927" i="8"/>
  <c r="BJ927" i="8"/>
  <c r="CI926" i="8"/>
  <c r="CD926" i="8"/>
  <c r="BY926" i="8"/>
  <c r="BT926" i="8"/>
  <c r="BP926" i="8"/>
  <c r="BJ926" i="8"/>
  <c r="CI925" i="8"/>
  <c r="CD925" i="8"/>
  <c r="BY925" i="8"/>
  <c r="BT925" i="8"/>
  <c r="BP925" i="8"/>
  <c r="BJ925" i="8"/>
  <c r="CI924" i="8"/>
  <c r="CD924" i="8"/>
  <c r="BY924" i="8"/>
  <c r="BT924" i="8"/>
  <c r="BP924" i="8"/>
  <c r="BJ924" i="8"/>
  <c r="CJ923" i="8"/>
  <c r="CF923" i="8"/>
  <c r="CA923" i="8"/>
  <c r="BV923" i="8"/>
  <c r="BZ923" i="8" s="1"/>
  <c r="BQ923" i="8"/>
  <c r="BK923" i="8"/>
  <c r="CJ922" i="8"/>
  <c r="CF922" i="8"/>
  <c r="CA922" i="8"/>
  <c r="BV922" i="8"/>
  <c r="BZ922" i="8" s="1"/>
  <c r="BQ922" i="8"/>
  <c r="BK922" i="8"/>
  <c r="CJ921" i="8"/>
  <c r="CF921" i="8"/>
  <c r="CA921" i="8"/>
  <c r="BV921" i="8"/>
  <c r="BZ921" i="8" s="1"/>
  <c r="BQ921" i="8"/>
  <c r="BK921" i="8"/>
  <c r="CJ920" i="8"/>
  <c r="CF920" i="8"/>
  <c r="CA920" i="8"/>
  <c r="BV920" i="8"/>
  <c r="BZ920" i="8" s="1"/>
  <c r="BQ920" i="8"/>
  <c r="BK920" i="8"/>
  <c r="CG919" i="8"/>
  <c r="CB919" i="8"/>
  <c r="BW919" i="8"/>
  <c r="BR919" i="8"/>
  <c r="BL919" i="8"/>
  <c r="CG918" i="8"/>
  <c r="CB918" i="8"/>
  <c r="BW918" i="8"/>
  <c r="BR918" i="8"/>
  <c r="BL918" i="8"/>
  <c r="CH917" i="8"/>
  <c r="CC917" i="8"/>
  <c r="BX917" i="8"/>
  <c r="BS917" i="8"/>
  <c r="BO917" i="8"/>
  <c r="BI917" i="8"/>
  <c r="CH916" i="8"/>
  <c r="CC916" i="8"/>
  <c r="BX916" i="8"/>
  <c r="BS916" i="8"/>
  <c r="BO916" i="8"/>
  <c r="BI916" i="8"/>
  <c r="CI915" i="8"/>
  <c r="CD915" i="8"/>
  <c r="BY915" i="8"/>
  <c r="BT915" i="8"/>
  <c r="BP915" i="8"/>
  <c r="BJ915" i="8"/>
  <c r="CI914" i="8"/>
  <c r="CD914" i="8"/>
  <c r="BY914" i="8"/>
  <c r="BT914" i="8"/>
  <c r="BP914" i="8"/>
  <c r="BJ914" i="8"/>
  <c r="CI913" i="8"/>
  <c r="CD913" i="8"/>
  <c r="BY913" i="8"/>
  <c r="BT913" i="8"/>
  <c r="BP913" i="8"/>
  <c r="BJ913" i="8"/>
  <c r="CI912" i="8"/>
  <c r="CD912" i="8"/>
  <c r="BY912" i="8"/>
  <c r="BT912" i="8"/>
  <c r="BP912" i="8"/>
  <c r="BJ912" i="8"/>
  <c r="CJ911" i="8"/>
  <c r="CF911" i="8"/>
  <c r="CA911" i="8"/>
  <c r="BV911" i="8"/>
  <c r="BZ911" i="8" s="1"/>
  <c r="BQ911" i="8"/>
  <c r="BK911" i="8"/>
  <c r="CJ910" i="8"/>
  <c r="CF910" i="8"/>
  <c r="CA910" i="8"/>
  <c r="BV910" i="8"/>
  <c r="BZ910" i="8" s="1"/>
  <c r="BQ910" i="8"/>
  <c r="BK910" i="8"/>
  <c r="CJ909" i="8"/>
  <c r="CF909" i="8"/>
  <c r="CA909" i="8"/>
  <c r="BV909" i="8"/>
  <c r="BZ909" i="8" s="1"/>
  <c r="BQ909" i="8"/>
  <c r="BK909" i="8"/>
  <c r="CJ908" i="8"/>
  <c r="CF908" i="8"/>
  <c r="CA908" i="8"/>
  <c r="BV908" i="8"/>
  <c r="BZ908" i="8" s="1"/>
  <c r="BQ908" i="8"/>
  <c r="BK908" i="8"/>
  <c r="CG907" i="8"/>
  <c r="CB907" i="8"/>
  <c r="BW907" i="8"/>
  <c r="BR907" i="8"/>
  <c r="BL907" i="8"/>
  <c r="CH906" i="8"/>
  <c r="CC906" i="8"/>
  <c r="BX906" i="8"/>
  <c r="BS906" i="8"/>
  <c r="BO906" i="8"/>
  <c r="BI906" i="8"/>
  <c r="CH905" i="8"/>
  <c r="CC905" i="8"/>
  <c r="BX905" i="8"/>
  <c r="BS905" i="8"/>
  <c r="BO905" i="8"/>
  <c r="BI905" i="8"/>
  <c r="CH904" i="8"/>
  <c r="CC904" i="8"/>
  <c r="BX904" i="8"/>
  <c r="BS904" i="8"/>
  <c r="BO904" i="8"/>
  <c r="BI904" i="8"/>
  <c r="CI903" i="8"/>
  <c r="CD903" i="8"/>
  <c r="BY903" i="8"/>
  <c r="BT903" i="8"/>
  <c r="BP903" i="8"/>
  <c r="BJ903" i="8"/>
  <c r="CJ902" i="8"/>
  <c r="CF902" i="8"/>
  <c r="CA902" i="8"/>
  <c r="BV902" i="8"/>
  <c r="BZ902" i="8" s="1"/>
  <c r="BQ902" i="8"/>
  <c r="BK902" i="8"/>
  <c r="CJ901" i="8"/>
  <c r="CF901" i="8"/>
  <c r="CA901" i="8"/>
  <c r="BV901" i="8"/>
  <c r="BZ901" i="8" s="1"/>
  <c r="BQ901" i="8"/>
  <c r="BK901" i="8"/>
  <c r="CJ900" i="8"/>
  <c r="CF900" i="8"/>
  <c r="CA900" i="8"/>
  <c r="BV900" i="8"/>
  <c r="BZ900" i="8" s="1"/>
  <c r="BQ900" i="8"/>
  <c r="BK900" i="8"/>
  <c r="CG899" i="8"/>
  <c r="CB899" i="8"/>
  <c r="BW899" i="8"/>
  <c r="BR899" i="8"/>
  <c r="BL899" i="8"/>
  <c r="CH898" i="8"/>
  <c r="CC898" i="8"/>
  <c r="BX898" i="8"/>
  <c r="BM759" i="8"/>
  <c r="CH1002" i="8"/>
  <c r="BY996" i="8"/>
  <c r="BR993" i="8"/>
  <c r="BR991" i="8"/>
  <c r="BO990" i="8"/>
  <c r="BP989" i="8"/>
  <c r="CA986" i="8"/>
  <c r="CF983" i="8"/>
  <c r="BP981" i="8"/>
  <c r="BI980" i="8"/>
  <c r="BJ979" i="8"/>
  <c r="CA978" i="8"/>
  <c r="CF977" i="8"/>
  <c r="CF976" i="8"/>
  <c r="CG975" i="8"/>
  <c r="BK975" i="8"/>
  <c r="CA974" i="8"/>
  <c r="BW973" i="8"/>
  <c r="CG972" i="8"/>
  <c r="BL972" i="8"/>
  <c r="BW971" i="8"/>
  <c r="CG970" i="8"/>
  <c r="BL970" i="8"/>
  <c r="CC969" i="8"/>
  <c r="BI969" i="8"/>
  <c r="BX968" i="8"/>
  <c r="BS967" i="8"/>
  <c r="CH966" i="8"/>
  <c r="BO966" i="8"/>
  <c r="CI965" i="8"/>
  <c r="BP965" i="8"/>
  <c r="CD964" i="8"/>
  <c r="BJ964" i="8"/>
  <c r="BY963" i="8"/>
  <c r="BT962" i="8"/>
  <c r="BV961" i="8"/>
  <c r="BZ961" i="8" s="1"/>
  <c r="CJ960" i="8"/>
  <c r="BQ960" i="8"/>
  <c r="CF959" i="8"/>
  <c r="BK959" i="8"/>
  <c r="CB958" i="8"/>
  <c r="BX957" i="8"/>
  <c r="BS956" i="8"/>
  <c r="CH955" i="8"/>
  <c r="BR955" i="8"/>
  <c r="CD954" i="8"/>
  <c r="BT954" i="8"/>
  <c r="BJ954" i="8"/>
  <c r="CJ953" i="8"/>
  <c r="CA953" i="8"/>
  <c r="BQ953" i="8"/>
  <c r="CD952" i="8"/>
  <c r="BT952" i="8"/>
  <c r="BJ952" i="8"/>
  <c r="CF951" i="8"/>
  <c r="BV951" i="8"/>
  <c r="BZ951" i="8" s="1"/>
  <c r="BK951" i="8"/>
  <c r="CJ950" i="8"/>
  <c r="CA950" i="8"/>
  <c r="CE950" i="8" s="1"/>
  <c r="BQ950" i="8"/>
  <c r="CJ949" i="8"/>
  <c r="CA949" i="8"/>
  <c r="BQ949" i="8"/>
  <c r="CJ948" i="8"/>
  <c r="CA948" i="8"/>
  <c r="BQ948" i="8"/>
  <c r="CB947" i="8"/>
  <c r="BR947" i="8"/>
  <c r="CB946" i="8"/>
  <c r="BR946" i="8"/>
  <c r="CB945" i="8"/>
  <c r="BR945" i="8"/>
  <c r="CG944" i="8"/>
  <c r="CB944" i="8"/>
  <c r="BW944" i="8"/>
  <c r="BR944" i="8"/>
  <c r="BL944" i="8"/>
  <c r="CH943" i="8"/>
  <c r="CC943" i="8"/>
  <c r="BX943" i="8"/>
  <c r="BS943" i="8"/>
  <c r="BO943" i="8"/>
  <c r="BI943" i="8"/>
  <c r="CH942" i="8"/>
  <c r="CC942" i="8"/>
  <c r="BX942" i="8"/>
  <c r="BS942" i="8"/>
  <c r="BO942" i="8"/>
  <c r="BI942" i="8"/>
  <c r="CH941" i="8"/>
  <c r="CC941" i="8"/>
  <c r="BX941" i="8"/>
  <c r="BS941" i="8"/>
  <c r="BO941" i="8"/>
  <c r="BI941" i="8"/>
  <c r="CH940" i="8"/>
  <c r="CC940" i="8"/>
  <c r="BX940" i="8"/>
  <c r="BS940" i="8"/>
  <c r="BO940" i="8"/>
  <c r="BI940" i="8"/>
  <c r="CI939" i="8"/>
  <c r="CD939" i="8"/>
  <c r="BY939" i="8"/>
  <c r="BT939" i="8"/>
  <c r="BP939" i="8"/>
  <c r="BJ939" i="8"/>
  <c r="CI938" i="8"/>
  <c r="CD938" i="8"/>
  <c r="BY938" i="8"/>
  <c r="BT938" i="8"/>
  <c r="BP938" i="8"/>
  <c r="BJ938" i="8"/>
  <c r="CI937" i="8"/>
  <c r="CD937" i="8"/>
  <c r="BY937" i="8"/>
  <c r="BT937" i="8"/>
  <c r="BP937" i="8"/>
  <c r="BJ937" i="8"/>
  <c r="CI936" i="8"/>
  <c r="CD936" i="8"/>
  <c r="BY936" i="8"/>
  <c r="BT936" i="8"/>
  <c r="BP936" i="8"/>
  <c r="BJ936" i="8"/>
  <c r="CJ935" i="8"/>
  <c r="CF935" i="8"/>
  <c r="CA935" i="8"/>
  <c r="BV935" i="8"/>
  <c r="BZ935" i="8" s="1"/>
  <c r="BQ935" i="8"/>
  <c r="BK935" i="8"/>
  <c r="CJ934" i="8"/>
  <c r="CF934" i="8"/>
  <c r="CA934" i="8"/>
  <c r="BV934" i="8"/>
  <c r="BZ934" i="8" s="1"/>
  <c r="BQ934" i="8"/>
  <c r="BK934" i="8"/>
  <c r="CJ933" i="8"/>
  <c r="CF933" i="8"/>
  <c r="CA933" i="8"/>
  <c r="BV933" i="8"/>
  <c r="BZ933" i="8" s="1"/>
  <c r="BQ933" i="8"/>
  <c r="BK933" i="8"/>
  <c r="CJ932" i="8"/>
  <c r="CF932" i="8"/>
  <c r="CA932" i="8"/>
  <c r="BV932" i="8"/>
  <c r="BZ932" i="8" s="1"/>
  <c r="BQ932" i="8"/>
  <c r="BK932" i="8"/>
  <c r="CG931" i="8"/>
  <c r="CB931" i="8"/>
  <c r="BW931" i="8"/>
  <c r="BR931" i="8"/>
  <c r="BL931" i="8"/>
  <c r="CG930" i="8"/>
  <c r="CB930" i="8"/>
  <c r="BW930" i="8"/>
  <c r="BR930" i="8"/>
  <c r="BL930" i="8"/>
  <c r="CG929" i="8"/>
  <c r="CB929" i="8"/>
  <c r="BW929" i="8"/>
  <c r="BR929" i="8"/>
  <c r="BL929" i="8"/>
  <c r="CG928" i="8"/>
  <c r="CB928" i="8"/>
  <c r="BW928" i="8"/>
  <c r="BR928" i="8"/>
  <c r="BL928" i="8"/>
  <c r="CH927" i="8"/>
  <c r="CC927" i="8"/>
  <c r="BX927" i="8"/>
  <c r="BS927" i="8"/>
  <c r="BO927" i="8"/>
  <c r="BI927" i="8"/>
  <c r="CH926" i="8"/>
  <c r="CC926" i="8"/>
  <c r="BX926" i="8"/>
  <c r="BS926" i="8"/>
  <c r="BO926" i="8"/>
  <c r="BI926" i="8"/>
  <c r="CH925" i="8"/>
  <c r="CC925" i="8"/>
  <c r="BX925" i="8"/>
  <c r="BS925" i="8"/>
  <c r="BO925" i="8"/>
  <c r="BI925" i="8"/>
  <c r="CH924" i="8"/>
  <c r="CC924" i="8"/>
  <c r="BX924" i="8"/>
  <c r="BS924" i="8"/>
  <c r="BO924" i="8"/>
  <c r="BI924" i="8"/>
  <c r="CI923" i="8"/>
  <c r="CD923" i="8"/>
  <c r="BY923" i="8"/>
  <c r="BT923" i="8"/>
  <c r="BP923" i="8"/>
  <c r="BJ923" i="8"/>
  <c r="CI922" i="8"/>
  <c r="CD922" i="8"/>
  <c r="BY922" i="8"/>
  <c r="BT922" i="8"/>
  <c r="BP922" i="8"/>
  <c r="BJ922" i="8"/>
  <c r="CI921" i="8"/>
  <c r="CD921" i="8"/>
  <c r="BY921" i="8"/>
  <c r="BT921" i="8"/>
  <c r="BP921" i="8"/>
  <c r="BJ921" i="8"/>
  <c r="CI920" i="8"/>
  <c r="CD920" i="8"/>
  <c r="BY920" i="8"/>
  <c r="BT920" i="8"/>
  <c r="BP920" i="8"/>
  <c r="BJ920" i="8"/>
  <c r="CJ919" i="8"/>
  <c r="CF919" i="8"/>
  <c r="CA919" i="8"/>
  <c r="BV919" i="8"/>
  <c r="BZ919" i="8" s="1"/>
  <c r="BQ919" i="8"/>
  <c r="BK919" i="8"/>
  <c r="CJ918" i="8"/>
  <c r="CF918" i="8"/>
  <c r="CA918" i="8"/>
  <c r="BV918" i="8"/>
  <c r="BZ918" i="8" s="1"/>
  <c r="BQ918" i="8"/>
  <c r="BK918" i="8"/>
  <c r="CG917" i="8"/>
  <c r="CB917" i="8"/>
  <c r="BW917" i="8"/>
  <c r="BR917" i="8"/>
  <c r="BL917" i="8"/>
  <c r="CG916" i="8"/>
  <c r="CB916" i="8"/>
  <c r="BW916" i="8"/>
  <c r="BR916" i="8"/>
  <c r="BL916" i="8"/>
  <c r="CH915" i="8"/>
  <c r="CC915" i="8"/>
  <c r="BX915" i="8"/>
  <c r="BS915" i="8"/>
  <c r="BO915" i="8"/>
  <c r="BI915" i="8"/>
  <c r="CH914" i="8"/>
  <c r="CC914" i="8"/>
  <c r="BX914" i="8"/>
  <c r="BS914" i="8"/>
  <c r="BO914" i="8"/>
  <c r="BI914" i="8"/>
  <c r="CH913" i="8"/>
  <c r="CC913" i="8"/>
  <c r="BX913" i="8"/>
  <c r="BS913" i="8"/>
  <c r="BO913" i="8"/>
  <c r="BI913" i="8"/>
  <c r="CH912" i="8"/>
  <c r="CC912" i="8"/>
  <c r="BX912" i="8"/>
  <c r="BS912" i="8"/>
  <c r="BO912" i="8"/>
  <c r="BI912" i="8"/>
  <c r="CI911" i="8"/>
  <c r="CD911" i="8"/>
  <c r="BY911" i="8"/>
  <c r="BT911" i="8"/>
  <c r="BP911" i="8"/>
  <c r="BJ911" i="8"/>
  <c r="CI910" i="8"/>
  <c r="CD910" i="8"/>
  <c r="BY910" i="8"/>
  <c r="BT910" i="8"/>
  <c r="BP910" i="8"/>
  <c r="BJ910" i="8"/>
  <c r="CI909" i="8"/>
  <c r="CD909" i="8"/>
  <c r="BY909" i="8"/>
  <c r="BT909" i="8"/>
  <c r="BP909" i="8"/>
  <c r="BJ909" i="8"/>
  <c r="CI908" i="8"/>
  <c r="CD908" i="8"/>
  <c r="BY908" i="8"/>
  <c r="BT908" i="8"/>
  <c r="BP908" i="8"/>
  <c r="BJ908" i="8"/>
  <c r="CJ907" i="8"/>
  <c r="CF907" i="8"/>
  <c r="CA907" i="8"/>
  <c r="BV907" i="8"/>
  <c r="BZ907" i="8" s="1"/>
  <c r="BQ907" i="8"/>
  <c r="BK907" i="8"/>
  <c r="CG906" i="8"/>
  <c r="CB906" i="8"/>
  <c r="BW906" i="8"/>
  <c r="BR906" i="8"/>
  <c r="BL906" i="8"/>
  <c r="CG905" i="8"/>
  <c r="CB905" i="8"/>
  <c r="BW905" i="8"/>
  <c r="BR905" i="8"/>
  <c r="BL905" i="8"/>
  <c r="CG904" i="8"/>
  <c r="CB904" i="8"/>
  <c r="BW904" i="8"/>
  <c r="BR904" i="8"/>
  <c r="BL904" i="8"/>
  <c r="CH903" i="8"/>
  <c r="CC903" i="8"/>
  <c r="BX903" i="8"/>
  <c r="BS903" i="8"/>
  <c r="BO903" i="8"/>
  <c r="BI903" i="8"/>
  <c r="CI902" i="8"/>
  <c r="CD902" i="8"/>
  <c r="BY902" i="8"/>
  <c r="BT902" i="8"/>
  <c r="BP902" i="8"/>
  <c r="BJ902" i="8"/>
  <c r="CI901" i="8"/>
  <c r="CD901" i="8"/>
  <c r="BY901" i="8"/>
  <c r="BT901" i="8"/>
  <c r="BP901" i="8"/>
  <c r="BJ901" i="8"/>
  <c r="CI900" i="8"/>
  <c r="CD900" i="8"/>
  <c r="BY900" i="8"/>
  <c r="BT900" i="8"/>
  <c r="BP900" i="8"/>
  <c r="BJ900" i="8"/>
  <c r="CJ899" i="8"/>
  <c r="CF899" i="8"/>
  <c r="CA899" i="8"/>
  <c r="BV899" i="8"/>
  <c r="BZ899" i="8" s="1"/>
  <c r="BQ899" i="8"/>
  <c r="BK899" i="8"/>
  <c r="CG898" i="8"/>
  <c r="CB898" i="8"/>
  <c r="BM823" i="8"/>
  <c r="CG984" i="8"/>
  <c r="BQ978" i="8"/>
  <c r="BR973" i="8"/>
  <c r="BR971" i="8"/>
  <c r="CC966" i="8"/>
  <c r="CD965" i="8"/>
  <c r="BP962" i="8"/>
  <c r="BQ961" i="8"/>
  <c r="BW958" i="8"/>
  <c r="CC955" i="8"/>
  <c r="CC954" i="8"/>
  <c r="BL950" i="8"/>
  <c r="BL949" i="8"/>
  <c r="BL948" i="8"/>
  <c r="BX947" i="8"/>
  <c r="BX946" i="8"/>
  <c r="BX945" i="8"/>
  <c r="CF944" i="8"/>
  <c r="BK944" i="8"/>
  <c r="CB943" i="8"/>
  <c r="BR942" i="8"/>
  <c r="CB941" i="8"/>
  <c r="BR940" i="8"/>
  <c r="CH939" i="8"/>
  <c r="BO939" i="8"/>
  <c r="CC938" i="8"/>
  <c r="BI938" i="8"/>
  <c r="BX937" i="8"/>
  <c r="BS936" i="8"/>
  <c r="BT935" i="8"/>
  <c r="CI934" i="8"/>
  <c r="BP934" i="8"/>
  <c r="CD933" i="8"/>
  <c r="BJ933" i="8"/>
  <c r="BY932" i="8"/>
  <c r="CA931" i="8"/>
  <c r="BV930" i="8"/>
  <c r="BZ930" i="8" s="1"/>
  <c r="CJ929" i="8"/>
  <c r="BQ929" i="8"/>
  <c r="CF928" i="8"/>
  <c r="BK928" i="8"/>
  <c r="CB927" i="8"/>
  <c r="BR926" i="8"/>
  <c r="CB925" i="8"/>
  <c r="BR924" i="8"/>
  <c r="CH923" i="8"/>
  <c r="BO923" i="8"/>
  <c r="CC922" i="8"/>
  <c r="BI922" i="8"/>
  <c r="BX921" i="8"/>
  <c r="BS920" i="8"/>
  <c r="BT919" i="8"/>
  <c r="CI918" i="8"/>
  <c r="BP918" i="8"/>
  <c r="CJ917" i="8"/>
  <c r="BQ917" i="8"/>
  <c r="CF916" i="8"/>
  <c r="BK916" i="8"/>
  <c r="CB915" i="8"/>
  <c r="BR914" i="8"/>
  <c r="CB913" i="8"/>
  <c r="BR913" i="8"/>
  <c r="CB912" i="8"/>
  <c r="BR912" i="8"/>
  <c r="CC911" i="8"/>
  <c r="BS911" i="8"/>
  <c r="BI911" i="8"/>
  <c r="CC910" i="8"/>
  <c r="BS910" i="8"/>
  <c r="BI910" i="8"/>
  <c r="CC909" i="8"/>
  <c r="BS909" i="8"/>
  <c r="BI909" i="8"/>
  <c r="CC908" i="8"/>
  <c r="BS908" i="8"/>
  <c r="BI908" i="8"/>
  <c r="CH907" i="8"/>
  <c r="BX907" i="8"/>
  <c r="BO907" i="8"/>
  <c r="CD906" i="8"/>
  <c r="BT906" i="8"/>
  <c r="BJ906" i="8"/>
  <c r="CF905" i="8"/>
  <c r="BV905" i="8"/>
  <c r="BZ905" i="8" s="1"/>
  <c r="BK905" i="8"/>
  <c r="CI904" i="8"/>
  <c r="BY904" i="8"/>
  <c r="BP904" i="8"/>
  <c r="CB903" i="8"/>
  <c r="BR903" i="8"/>
  <c r="CC902" i="8"/>
  <c r="BS902" i="8"/>
  <c r="BI902" i="8"/>
  <c r="CC901" i="8"/>
  <c r="BS901" i="8"/>
  <c r="BI901" i="8"/>
  <c r="CC900" i="8"/>
  <c r="BS900" i="8"/>
  <c r="BI900" i="8"/>
  <c r="CH899" i="8"/>
  <c r="BX899" i="8"/>
  <c r="BO899" i="8"/>
  <c r="CD898" i="8"/>
  <c r="BV898" i="8"/>
  <c r="BZ898" i="8" s="1"/>
  <c r="BQ898" i="8"/>
  <c r="BK898" i="8"/>
  <c r="CJ897" i="8"/>
  <c r="CF897" i="8"/>
  <c r="CA897" i="8"/>
  <c r="BV897" i="8"/>
  <c r="BZ897" i="8" s="1"/>
  <c r="BQ897" i="8"/>
  <c r="BK897" i="8"/>
  <c r="CJ896" i="8"/>
  <c r="CF896" i="8"/>
  <c r="CA896" i="8"/>
  <c r="BV896" i="8"/>
  <c r="BZ896" i="8" s="1"/>
  <c r="BQ896" i="8"/>
  <c r="BK896" i="8"/>
  <c r="CG895" i="8"/>
  <c r="CB895" i="8"/>
  <c r="BW895" i="8"/>
  <c r="BR895" i="8"/>
  <c r="BL895" i="8"/>
  <c r="CH894" i="8"/>
  <c r="CC894" i="8"/>
  <c r="BX894" i="8"/>
  <c r="BS894" i="8"/>
  <c r="BO894" i="8"/>
  <c r="BI894" i="8"/>
  <c r="CH893" i="8"/>
  <c r="CC893" i="8"/>
  <c r="BX893" i="8"/>
  <c r="BS893" i="8"/>
  <c r="BO893" i="8"/>
  <c r="BI893" i="8"/>
  <c r="CH892" i="8"/>
  <c r="CC892" i="8"/>
  <c r="BX892" i="8"/>
  <c r="BS892" i="8"/>
  <c r="BO892" i="8"/>
  <c r="BI892" i="8"/>
  <c r="CI891" i="8"/>
  <c r="CD891" i="8"/>
  <c r="BY891" i="8"/>
  <c r="BT891" i="8"/>
  <c r="BP891" i="8"/>
  <c r="BJ891" i="8"/>
  <c r="CJ890" i="8"/>
  <c r="CF890" i="8"/>
  <c r="CA890" i="8"/>
  <c r="BV890" i="8"/>
  <c r="BZ890" i="8" s="1"/>
  <c r="BQ890" i="8"/>
  <c r="BK890" i="8"/>
  <c r="CJ889" i="8"/>
  <c r="CF889" i="8"/>
  <c r="CA889" i="8"/>
  <c r="BV889" i="8"/>
  <c r="BZ889" i="8" s="1"/>
  <c r="BQ889" i="8"/>
  <c r="BK889" i="8"/>
  <c r="CJ888" i="8"/>
  <c r="CF888" i="8"/>
  <c r="CA888" i="8"/>
  <c r="BV888" i="8"/>
  <c r="BZ888" i="8" s="1"/>
  <c r="BQ888" i="8"/>
  <c r="BK888" i="8"/>
  <c r="CG887" i="8"/>
  <c r="CB887" i="8"/>
  <c r="BW887" i="8"/>
  <c r="BR887" i="8"/>
  <c r="BL887" i="8"/>
  <c r="CH886" i="8"/>
  <c r="CC886" i="8"/>
  <c r="BX886" i="8"/>
  <c r="BS886" i="8"/>
  <c r="BO886" i="8"/>
  <c r="BI886" i="8"/>
  <c r="CH885" i="8"/>
  <c r="CC885" i="8"/>
  <c r="BX885" i="8"/>
  <c r="BS885" i="8"/>
  <c r="BO885" i="8"/>
  <c r="BI885" i="8"/>
  <c r="CH884" i="8"/>
  <c r="CC884" i="8"/>
  <c r="BX884" i="8"/>
  <c r="BS884" i="8"/>
  <c r="BO884" i="8"/>
  <c r="BI884" i="8"/>
  <c r="CI883" i="8"/>
  <c r="CD883" i="8"/>
  <c r="BY883" i="8"/>
  <c r="BT883" i="8"/>
  <c r="BP883" i="8"/>
  <c r="BJ883" i="8"/>
  <c r="CJ882" i="8"/>
  <c r="CF882" i="8"/>
  <c r="CA882" i="8"/>
  <c r="BV882" i="8"/>
  <c r="BZ882" i="8" s="1"/>
  <c r="BQ882" i="8"/>
  <c r="BK882" i="8"/>
  <c r="CJ881" i="8"/>
  <c r="CF881" i="8"/>
  <c r="CA881" i="8"/>
  <c r="BV881" i="8"/>
  <c r="BZ881" i="8" s="1"/>
  <c r="BQ881" i="8"/>
  <c r="BK881" i="8"/>
  <c r="CJ880" i="8"/>
  <c r="CF880" i="8"/>
  <c r="CA880" i="8"/>
  <c r="BV880" i="8"/>
  <c r="BZ880" i="8" s="1"/>
  <c r="BQ880" i="8"/>
  <c r="BK880" i="8"/>
  <c r="CG879" i="8"/>
  <c r="CB879" i="8"/>
  <c r="BW879" i="8"/>
  <c r="BR879" i="8"/>
  <c r="BL879" i="8"/>
  <c r="CH878" i="8"/>
  <c r="CC878" i="8"/>
  <c r="BX878" i="8"/>
  <c r="BS878" i="8"/>
  <c r="BO878" i="8"/>
  <c r="BI878" i="8"/>
  <c r="CH877" i="8"/>
  <c r="CC877" i="8"/>
  <c r="BX877" i="8"/>
  <c r="BS877" i="8"/>
  <c r="BO877" i="8"/>
  <c r="BI877" i="8"/>
  <c r="CH876" i="8"/>
  <c r="CC876" i="8"/>
  <c r="BX876" i="8"/>
  <c r="BS876" i="8"/>
  <c r="BO876" i="8"/>
  <c r="BI876" i="8"/>
  <c r="CI875" i="8"/>
  <c r="CD875" i="8"/>
  <c r="BY875" i="8"/>
  <c r="BT875" i="8"/>
  <c r="BP875" i="8"/>
  <c r="BJ875" i="8"/>
  <c r="CJ874" i="8"/>
  <c r="CF874" i="8"/>
  <c r="CA874" i="8"/>
  <c r="BV874" i="8"/>
  <c r="BZ874" i="8" s="1"/>
  <c r="BQ874" i="8"/>
  <c r="BK874" i="8"/>
  <c r="CJ873" i="8"/>
  <c r="CF873" i="8"/>
  <c r="CA873" i="8"/>
  <c r="BV873" i="8"/>
  <c r="BZ873" i="8" s="1"/>
  <c r="BQ873" i="8"/>
  <c r="CG982" i="8"/>
  <c r="BV976" i="8"/>
  <c r="BZ976" i="8" s="1"/>
  <c r="BV974" i="8"/>
  <c r="BZ974" i="8" s="1"/>
  <c r="BX969" i="8"/>
  <c r="CH967" i="8"/>
  <c r="BI966" i="8"/>
  <c r="BJ965" i="8"/>
  <c r="BT963" i="8"/>
  <c r="CA959" i="8"/>
  <c r="CE959" i="8" s="1"/>
  <c r="CH956" i="8"/>
  <c r="BO955" i="8"/>
  <c r="BS954" i="8"/>
  <c r="CI953" i="8"/>
  <c r="CJ952" i="8"/>
  <c r="CD951" i="8"/>
  <c r="BO947" i="8"/>
  <c r="BO946" i="8"/>
  <c r="BO945" i="8"/>
  <c r="CA944" i="8"/>
  <c r="CE944" i="8" s="1"/>
  <c r="BW943" i="8"/>
  <c r="CG942" i="8"/>
  <c r="BL942" i="8"/>
  <c r="BW941" i="8"/>
  <c r="CG940" i="8"/>
  <c r="BL940" i="8"/>
  <c r="CC939" i="8"/>
  <c r="BI939" i="8"/>
  <c r="BX938" i="8"/>
  <c r="BS937" i="8"/>
  <c r="CH936" i="8"/>
  <c r="BO936" i="8"/>
  <c r="CI935" i="8"/>
  <c r="BP935" i="8"/>
  <c r="CD934" i="8"/>
  <c r="BJ934" i="8"/>
  <c r="BY933" i="8"/>
  <c r="BT932" i="8"/>
  <c r="BV931" i="8"/>
  <c r="BZ931" i="8" s="1"/>
  <c r="CJ930" i="8"/>
  <c r="BQ930" i="8"/>
  <c r="CF929" i="8"/>
  <c r="BK929" i="8"/>
  <c r="CA928" i="8"/>
  <c r="CE928" i="8" s="1"/>
  <c r="BW927" i="8"/>
  <c r="CG926" i="8"/>
  <c r="BL926" i="8"/>
  <c r="BW925" i="8"/>
  <c r="CG924" i="8"/>
  <c r="BL924" i="8"/>
  <c r="CC923" i="8"/>
  <c r="BI923" i="8"/>
  <c r="BX922" i="8"/>
  <c r="BS921" i="8"/>
  <c r="CH920" i="8"/>
  <c r="BO920" i="8"/>
  <c r="CI919" i="8"/>
  <c r="BP919" i="8"/>
  <c r="CD918" i="8"/>
  <c r="BJ918" i="8"/>
  <c r="CF917" i="8"/>
  <c r="BK917" i="8"/>
  <c r="CA916" i="8"/>
  <c r="BW915" i="8"/>
  <c r="CG914" i="8"/>
  <c r="BL914" i="8"/>
  <c r="CA913" i="8"/>
  <c r="BQ913" i="8"/>
  <c r="CJ912" i="8"/>
  <c r="CA912" i="8"/>
  <c r="BQ912" i="8"/>
  <c r="CB911" i="8"/>
  <c r="BR911" i="8"/>
  <c r="CB910" i="8"/>
  <c r="BR910" i="8"/>
  <c r="CB909" i="8"/>
  <c r="BR909" i="8"/>
  <c r="CB908" i="8"/>
  <c r="BR908" i="8"/>
  <c r="CD907" i="8"/>
  <c r="BT907" i="8"/>
  <c r="BJ907" i="8"/>
  <c r="CJ906" i="8"/>
  <c r="CA906" i="8"/>
  <c r="BQ906" i="8"/>
  <c r="CD905" i="8"/>
  <c r="BT905" i="8"/>
  <c r="BJ905" i="8"/>
  <c r="CF904" i="8"/>
  <c r="BV904" i="8"/>
  <c r="BZ904" i="8" s="1"/>
  <c r="BK904" i="8"/>
  <c r="CJ903" i="8"/>
  <c r="CA903" i="8"/>
  <c r="CE903" i="8" s="1"/>
  <c r="BQ903" i="8"/>
  <c r="CB902" i="8"/>
  <c r="BR902" i="8"/>
  <c r="CB901" i="8"/>
  <c r="BR901" i="8"/>
  <c r="CB900" i="8"/>
  <c r="BR900" i="8"/>
  <c r="CD899" i="8"/>
  <c r="BT899" i="8"/>
  <c r="BJ899" i="8"/>
  <c r="CJ898" i="8"/>
  <c r="CA898" i="8"/>
  <c r="BT898" i="8"/>
  <c r="BP898" i="8"/>
  <c r="BJ898" i="8"/>
  <c r="CI897" i="8"/>
  <c r="CD897" i="8"/>
  <c r="BY897" i="8"/>
  <c r="BT897" i="8"/>
  <c r="BP897" i="8"/>
  <c r="BJ897" i="8"/>
  <c r="CI896" i="8"/>
  <c r="CD896" i="8"/>
  <c r="BY896" i="8"/>
  <c r="BT896" i="8"/>
  <c r="BP896" i="8"/>
  <c r="BJ896" i="8"/>
  <c r="CJ895" i="8"/>
  <c r="CF895" i="8"/>
  <c r="CA895" i="8"/>
  <c r="BV895" i="8"/>
  <c r="BZ895" i="8" s="1"/>
  <c r="BQ895" i="8"/>
  <c r="BK895" i="8"/>
  <c r="CG894" i="8"/>
  <c r="CB894" i="8"/>
  <c r="BW894" i="8"/>
  <c r="BR894" i="8"/>
  <c r="BL894" i="8"/>
  <c r="CG893" i="8"/>
  <c r="CB893" i="8"/>
  <c r="BW893" i="8"/>
  <c r="BR893" i="8"/>
  <c r="BL893" i="8"/>
  <c r="CG892" i="8"/>
  <c r="CB892" i="8"/>
  <c r="BW892" i="8"/>
  <c r="BR892" i="8"/>
  <c r="BL892" i="8"/>
  <c r="CH891" i="8"/>
  <c r="CC891" i="8"/>
  <c r="BX891" i="8"/>
  <c r="BS891" i="8"/>
  <c r="BO891" i="8"/>
  <c r="BI891" i="8"/>
  <c r="CI890" i="8"/>
  <c r="CD890" i="8"/>
  <c r="BY890" i="8"/>
  <c r="BT890" i="8"/>
  <c r="BP890" i="8"/>
  <c r="BJ890" i="8"/>
  <c r="CI889" i="8"/>
  <c r="CD889" i="8"/>
  <c r="BY889" i="8"/>
  <c r="BT889" i="8"/>
  <c r="BP889" i="8"/>
  <c r="BJ889" i="8"/>
  <c r="CI888" i="8"/>
  <c r="CD888" i="8"/>
  <c r="BY888" i="8"/>
  <c r="BT888" i="8"/>
  <c r="BP888" i="8"/>
  <c r="BJ888" i="8"/>
  <c r="CJ887" i="8"/>
  <c r="CF887" i="8"/>
  <c r="CA887" i="8"/>
  <c r="BV887" i="8"/>
  <c r="BZ887" i="8" s="1"/>
  <c r="BQ887" i="8"/>
  <c r="BK887" i="8"/>
  <c r="CG886" i="8"/>
  <c r="CB886" i="8"/>
  <c r="BW886" i="8"/>
  <c r="BR886" i="8"/>
  <c r="BL886" i="8"/>
  <c r="CG885" i="8"/>
  <c r="CB885" i="8"/>
  <c r="BW885" i="8"/>
  <c r="BR885" i="8"/>
  <c r="BL885" i="8"/>
  <c r="CG884" i="8"/>
  <c r="CB884" i="8"/>
  <c r="BW884" i="8"/>
  <c r="BR884" i="8"/>
  <c r="BL884" i="8"/>
  <c r="CH883" i="8"/>
  <c r="CC883" i="8"/>
  <c r="BX883" i="8"/>
  <c r="BS883" i="8"/>
  <c r="BO883" i="8"/>
  <c r="BI883" i="8"/>
  <c r="CI882" i="8"/>
  <c r="CD882" i="8"/>
  <c r="BY882" i="8"/>
  <c r="BT882" i="8"/>
  <c r="BP882" i="8"/>
  <c r="BJ882" i="8"/>
  <c r="CI881" i="8"/>
  <c r="CD881" i="8"/>
  <c r="BY881" i="8"/>
  <c r="BT881" i="8"/>
  <c r="BP881" i="8"/>
  <c r="BJ881" i="8"/>
  <c r="CI880" i="8"/>
  <c r="CD880" i="8"/>
  <c r="BY880" i="8"/>
  <c r="BT880" i="8"/>
  <c r="BP880" i="8"/>
  <c r="BJ880" i="8"/>
  <c r="CJ879" i="8"/>
  <c r="CF879" i="8"/>
  <c r="CA879" i="8"/>
  <c r="BV879" i="8"/>
  <c r="BZ879" i="8" s="1"/>
  <c r="BQ879" i="8"/>
  <c r="BK879" i="8"/>
  <c r="CG878" i="8"/>
  <c r="CB878" i="8"/>
  <c r="BW878" i="8"/>
  <c r="BR878" i="8"/>
  <c r="BL878" i="8"/>
  <c r="CG877" i="8"/>
  <c r="CB877" i="8"/>
  <c r="BW877" i="8"/>
  <c r="BR877" i="8"/>
  <c r="BL877" i="8"/>
  <c r="CG876" i="8"/>
  <c r="CB876" i="8"/>
  <c r="BW876" i="8"/>
  <c r="BR876" i="8"/>
  <c r="BL876" i="8"/>
  <c r="CH875" i="8"/>
  <c r="CC875" i="8"/>
  <c r="BX875" i="8"/>
  <c r="BS875" i="8"/>
  <c r="BO875" i="8"/>
  <c r="BI875" i="8"/>
  <c r="CI874" i="8"/>
  <c r="CD874" i="8"/>
  <c r="BY874" i="8"/>
  <c r="BT874" i="8"/>
  <c r="BP874" i="8"/>
  <c r="BJ874" i="8"/>
  <c r="CI873" i="8"/>
  <c r="CD873" i="8"/>
  <c r="BY873" i="8"/>
  <c r="BT873" i="8"/>
  <c r="BP873" i="8"/>
  <c r="BJ873" i="8"/>
  <c r="CI872" i="8"/>
  <c r="CD872" i="8"/>
  <c r="BY872" i="8"/>
  <c r="BT872" i="8"/>
  <c r="BP872" i="8"/>
  <c r="BJ872" i="8"/>
  <c r="CJ871" i="8"/>
  <c r="CF871" i="8"/>
  <c r="CA871" i="8"/>
  <c r="BV871" i="8"/>
  <c r="BZ871" i="8" s="1"/>
  <c r="BQ871" i="8"/>
  <c r="BK871" i="8"/>
  <c r="CI870" i="8"/>
  <c r="CD870" i="8"/>
  <c r="BY870" i="8"/>
  <c r="BT870" i="8"/>
  <c r="BP870" i="8"/>
  <c r="BJ870" i="8"/>
  <c r="CH869" i="8"/>
  <c r="CC869" i="8"/>
  <c r="BX869" i="8"/>
  <c r="BS869" i="8"/>
  <c r="BO869" i="8"/>
  <c r="BI869" i="8"/>
  <c r="CH868" i="8"/>
  <c r="CC868" i="8"/>
  <c r="BX868" i="8"/>
  <c r="BS868" i="8"/>
  <c r="BO868" i="8"/>
  <c r="BI868" i="8"/>
  <c r="CH867" i="8"/>
  <c r="CC867" i="8"/>
  <c r="BX867" i="8"/>
  <c r="BS867" i="8"/>
  <c r="BO867" i="8"/>
  <c r="BI867" i="8"/>
  <c r="CG866" i="8"/>
  <c r="CB866" i="8"/>
  <c r="BW866" i="8"/>
  <c r="BR866" i="8"/>
  <c r="BL866" i="8"/>
  <c r="CJ865" i="8"/>
  <c r="CF865" i="8"/>
  <c r="CA865" i="8"/>
  <c r="BV865" i="8"/>
  <c r="BZ865" i="8" s="1"/>
  <c r="BQ865" i="8"/>
  <c r="BK865" i="8"/>
  <c r="CI864" i="8"/>
  <c r="CD864" i="8"/>
  <c r="BY864" i="8"/>
  <c r="BT864" i="8"/>
  <c r="BP864" i="8"/>
  <c r="BJ864" i="8"/>
  <c r="CH863" i="8"/>
  <c r="CC863" i="8"/>
  <c r="BX863" i="8"/>
  <c r="BS863" i="8"/>
  <c r="BO863" i="8"/>
  <c r="BI863" i="8"/>
  <c r="CG862" i="8"/>
  <c r="CB862" i="8"/>
  <c r="BW862" i="8"/>
  <c r="BR862" i="8"/>
  <c r="BL862" i="8"/>
  <c r="CJ861" i="8"/>
  <c r="CF861" i="8"/>
  <c r="CA861" i="8"/>
  <c r="BV861" i="8"/>
  <c r="BZ861" i="8" s="1"/>
  <c r="BQ861" i="8"/>
  <c r="BK861" i="8"/>
  <c r="CI860" i="8"/>
  <c r="CD860" i="8"/>
  <c r="BY860" i="8"/>
  <c r="BT860" i="8"/>
  <c r="BP860" i="8"/>
  <c r="BJ860" i="8"/>
  <c r="CH859" i="8"/>
  <c r="CC859" i="8"/>
  <c r="BX859" i="8"/>
  <c r="BS859" i="8"/>
  <c r="BO859" i="8"/>
  <c r="BI859" i="8"/>
  <c r="CG858" i="8"/>
  <c r="CB858" i="8"/>
  <c r="BW858" i="8"/>
  <c r="BR858" i="8"/>
  <c r="BL858" i="8"/>
  <c r="CJ857" i="8"/>
  <c r="CF857" i="8"/>
  <c r="CA857" i="8"/>
  <c r="BV857" i="8"/>
  <c r="BQ857" i="8"/>
  <c r="BK857" i="8"/>
  <c r="BY987" i="8"/>
  <c r="BV983" i="8"/>
  <c r="BZ983" i="8" s="1"/>
  <c r="CB972" i="8"/>
  <c r="CB970" i="8"/>
  <c r="BO967" i="8"/>
  <c r="CF960" i="8"/>
  <c r="BO956" i="8"/>
  <c r="BI954" i="8"/>
  <c r="BY953" i="8"/>
  <c r="CA952" i="8"/>
  <c r="CE952" i="8" s="1"/>
  <c r="BT951" i="8"/>
  <c r="CG950" i="8"/>
  <c r="CG949" i="8"/>
  <c r="CG948" i="8"/>
  <c r="BV944" i="8"/>
  <c r="BZ944" i="8" s="1"/>
  <c r="BR943" i="8"/>
  <c r="CB942" i="8"/>
  <c r="BR941" i="8"/>
  <c r="CB940" i="8"/>
  <c r="BX939" i="8"/>
  <c r="BS938" i="8"/>
  <c r="CH937" i="8"/>
  <c r="BO937" i="8"/>
  <c r="CC936" i="8"/>
  <c r="BI936" i="8"/>
  <c r="CD935" i="8"/>
  <c r="BJ935" i="8"/>
  <c r="BY934" i="8"/>
  <c r="BT933" i="8"/>
  <c r="CI932" i="8"/>
  <c r="BP932" i="8"/>
  <c r="CJ931" i="8"/>
  <c r="BQ931" i="8"/>
  <c r="CF930" i="8"/>
  <c r="BK930" i="8"/>
  <c r="CA929" i="8"/>
  <c r="CE929" i="8" s="1"/>
  <c r="BV928" i="8"/>
  <c r="BZ928" i="8" s="1"/>
  <c r="BR927" i="8"/>
  <c r="CB926" i="8"/>
  <c r="BR925" i="8"/>
  <c r="CB924" i="8"/>
  <c r="BX923" i="8"/>
  <c r="BS922" i="8"/>
  <c r="CH921" i="8"/>
  <c r="BO921" i="8"/>
  <c r="CC920" i="8"/>
  <c r="BI920" i="8"/>
  <c r="CD919" i="8"/>
  <c r="BJ919" i="8"/>
  <c r="BY918" i="8"/>
  <c r="CA917" i="8"/>
  <c r="BV916" i="8"/>
  <c r="BZ916" i="8" s="1"/>
  <c r="BR915" i="8"/>
  <c r="CB914" i="8"/>
  <c r="BW913" i="8"/>
  <c r="BL913" i="8"/>
  <c r="CG912" i="8"/>
  <c r="BW912" i="8"/>
  <c r="BL912" i="8"/>
  <c r="CH911" i="8"/>
  <c r="BX911" i="8"/>
  <c r="BO911" i="8"/>
  <c r="CH910" i="8"/>
  <c r="BX910" i="8"/>
  <c r="BO910" i="8"/>
  <c r="CH909" i="8"/>
  <c r="BX909" i="8"/>
  <c r="BO909" i="8"/>
  <c r="CH908" i="8"/>
  <c r="BX908" i="8"/>
  <c r="BO908" i="8"/>
  <c r="CC907" i="8"/>
  <c r="BS907" i="8"/>
  <c r="BI907" i="8"/>
  <c r="CI906" i="8"/>
  <c r="BY906" i="8"/>
  <c r="BP906" i="8"/>
  <c r="CJ905" i="8"/>
  <c r="CA905" i="8"/>
  <c r="BQ905" i="8"/>
  <c r="CD904" i="8"/>
  <c r="BT904" i="8"/>
  <c r="BJ904" i="8"/>
  <c r="CG903" i="8"/>
  <c r="BW903" i="8"/>
  <c r="BL903" i="8"/>
  <c r="CH902" i="8"/>
  <c r="BX902" i="8"/>
  <c r="BO902" i="8"/>
  <c r="CH901" i="8"/>
  <c r="BX901" i="8"/>
  <c r="BO901" i="8"/>
  <c r="CH900" i="8"/>
  <c r="BX900" i="8"/>
  <c r="BO900" i="8"/>
  <c r="CC899" i="8"/>
  <c r="BS899" i="8"/>
  <c r="BI899" i="8"/>
  <c r="CI898" i="8"/>
  <c r="BY898" i="8"/>
  <c r="BS898" i="8"/>
  <c r="BO898" i="8"/>
  <c r="BI898" i="8"/>
  <c r="CH897" i="8"/>
  <c r="CC897" i="8"/>
  <c r="BX897" i="8"/>
  <c r="BS897" i="8"/>
  <c r="BO897" i="8"/>
  <c r="BI897" i="8"/>
  <c r="CH896" i="8"/>
  <c r="CC896" i="8"/>
  <c r="BX896" i="8"/>
  <c r="BS896" i="8"/>
  <c r="BO896" i="8"/>
  <c r="BI896" i="8"/>
  <c r="CI895" i="8"/>
  <c r="CD895" i="8"/>
  <c r="BY895" i="8"/>
  <c r="BT895" i="8"/>
  <c r="BP895" i="8"/>
  <c r="BJ895" i="8"/>
  <c r="CJ894" i="8"/>
  <c r="CF894" i="8"/>
  <c r="CA894" i="8"/>
  <c r="BV894" i="8"/>
  <c r="BZ894" i="8" s="1"/>
  <c r="BQ894" i="8"/>
  <c r="BK894" i="8"/>
  <c r="CJ893" i="8"/>
  <c r="CF893" i="8"/>
  <c r="CA893" i="8"/>
  <c r="BV893" i="8"/>
  <c r="BZ893" i="8" s="1"/>
  <c r="BQ893" i="8"/>
  <c r="BK893" i="8"/>
  <c r="CJ892" i="8"/>
  <c r="CF892" i="8"/>
  <c r="CA892" i="8"/>
  <c r="BV892" i="8"/>
  <c r="BZ892" i="8" s="1"/>
  <c r="BQ892" i="8"/>
  <c r="BK892" i="8"/>
  <c r="CG891" i="8"/>
  <c r="CB891" i="8"/>
  <c r="BW891" i="8"/>
  <c r="BR891" i="8"/>
  <c r="BL891" i="8"/>
  <c r="CH890" i="8"/>
  <c r="CC890" i="8"/>
  <c r="BX890" i="8"/>
  <c r="BS890" i="8"/>
  <c r="BO890" i="8"/>
  <c r="BI890" i="8"/>
  <c r="CH889" i="8"/>
  <c r="CC889" i="8"/>
  <c r="BX889" i="8"/>
  <c r="BS889" i="8"/>
  <c r="BO889" i="8"/>
  <c r="BI889" i="8"/>
  <c r="CH888" i="8"/>
  <c r="CC888" i="8"/>
  <c r="BX888" i="8"/>
  <c r="BS888" i="8"/>
  <c r="BO888" i="8"/>
  <c r="BI888" i="8"/>
  <c r="CI887" i="8"/>
  <c r="CD887" i="8"/>
  <c r="BY887" i="8"/>
  <c r="BT887" i="8"/>
  <c r="BP887" i="8"/>
  <c r="BJ887" i="8"/>
  <c r="CJ886" i="8"/>
  <c r="CF886" i="8"/>
  <c r="CA886" i="8"/>
  <c r="BV886" i="8"/>
  <c r="BZ886" i="8" s="1"/>
  <c r="BQ886" i="8"/>
  <c r="BK886" i="8"/>
  <c r="CJ885" i="8"/>
  <c r="CF885" i="8"/>
  <c r="CA885" i="8"/>
  <c r="BV885" i="8"/>
  <c r="BZ885" i="8" s="1"/>
  <c r="BQ885" i="8"/>
  <c r="BK885" i="8"/>
  <c r="CJ884" i="8"/>
  <c r="CF884" i="8"/>
  <c r="CA884" i="8"/>
  <c r="BV884" i="8"/>
  <c r="BZ884" i="8" s="1"/>
  <c r="BQ884" i="8"/>
  <c r="BK884" i="8"/>
  <c r="CG883" i="8"/>
  <c r="CB883" i="8"/>
  <c r="BW883" i="8"/>
  <c r="BR883" i="8"/>
  <c r="BL883" i="8"/>
  <c r="CH882" i="8"/>
  <c r="CC882" i="8"/>
  <c r="BX882" i="8"/>
  <c r="BS882" i="8"/>
  <c r="BO882" i="8"/>
  <c r="BI882" i="8"/>
  <c r="CH881" i="8"/>
  <c r="CC881" i="8"/>
  <c r="BX881" i="8"/>
  <c r="BS881" i="8"/>
  <c r="BO881" i="8"/>
  <c r="BI881" i="8"/>
  <c r="CH880" i="8"/>
  <c r="CC880" i="8"/>
  <c r="BX880" i="8"/>
  <c r="BS880" i="8"/>
  <c r="BO880" i="8"/>
  <c r="BI880" i="8"/>
  <c r="CI879" i="8"/>
  <c r="CD879" i="8"/>
  <c r="BY879" i="8"/>
  <c r="BT879" i="8"/>
  <c r="BP879" i="8"/>
  <c r="BJ879" i="8"/>
  <c r="CJ878" i="8"/>
  <c r="CF878" i="8"/>
  <c r="CA878" i="8"/>
  <c r="BV878" i="8"/>
  <c r="BZ878" i="8" s="1"/>
  <c r="BQ878" i="8"/>
  <c r="BK878" i="8"/>
  <c r="CJ877" i="8"/>
  <c r="CF877" i="8"/>
  <c r="CA877" i="8"/>
  <c r="BV877" i="8"/>
  <c r="BZ877" i="8" s="1"/>
  <c r="BQ877" i="8"/>
  <c r="BK877" i="8"/>
  <c r="CJ876" i="8"/>
  <c r="CF876" i="8"/>
  <c r="CA876" i="8"/>
  <c r="BV876" i="8"/>
  <c r="BZ876" i="8" s="1"/>
  <c r="BQ876" i="8"/>
  <c r="BK876" i="8"/>
  <c r="CG875" i="8"/>
  <c r="CB875" i="8"/>
  <c r="BW875" i="8"/>
  <c r="BR875" i="8"/>
  <c r="BL875" i="8"/>
  <c r="CH874" i="8"/>
  <c r="CC874" i="8"/>
  <c r="BX874" i="8"/>
  <c r="BS874" i="8"/>
  <c r="BO874" i="8"/>
  <c r="BI874" i="8"/>
  <c r="CH873" i="8"/>
  <c r="CC873" i="8"/>
  <c r="BX873" i="8"/>
  <c r="BS873" i="8"/>
  <c r="BO873" i="8"/>
  <c r="BI873" i="8"/>
  <c r="CH872" i="8"/>
  <c r="CC872" i="8"/>
  <c r="BX872" i="8"/>
  <c r="BS872" i="8"/>
  <c r="BO872" i="8"/>
  <c r="BI872" i="8"/>
  <c r="CI871" i="8"/>
  <c r="CD871" i="8"/>
  <c r="BY871" i="8"/>
  <c r="BT871" i="8"/>
  <c r="BP871" i="8"/>
  <c r="BJ871" i="8"/>
  <c r="CH870" i="8"/>
  <c r="CC870" i="8"/>
  <c r="BX870" i="8"/>
  <c r="BS870" i="8"/>
  <c r="BO870" i="8"/>
  <c r="BI870" i="8"/>
  <c r="CG869" i="8"/>
  <c r="CB869" i="8"/>
  <c r="BW869" i="8"/>
  <c r="BR869" i="8"/>
  <c r="BL869" i="8"/>
  <c r="CG868" i="8"/>
  <c r="CB868" i="8"/>
  <c r="BW868" i="8"/>
  <c r="BR868" i="8"/>
  <c r="BL868" i="8"/>
  <c r="CG867" i="8"/>
  <c r="CB867" i="8"/>
  <c r="BW867" i="8"/>
  <c r="BR867" i="8"/>
  <c r="BL867" i="8"/>
  <c r="CJ866" i="8"/>
  <c r="CF866" i="8"/>
  <c r="CA866" i="8"/>
  <c r="BV866" i="8"/>
  <c r="BZ866" i="8" s="1"/>
  <c r="BQ866" i="8"/>
  <c r="BK866" i="8"/>
  <c r="CI865" i="8"/>
  <c r="CD865" i="8"/>
  <c r="BY865" i="8"/>
  <c r="BT865" i="8"/>
  <c r="BP865" i="8"/>
  <c r="BJ865" i="8"/>
  <c r="CH864" i="8"/>
  <c r="CC864" i="8"/>
  <c r="BX864" i="8"/>
  <c r="BS864" i="8"/>
  <c r="BO864" i="8"/>
  <c r="BI864" i="8"/>
  <c r="CG863" i="8"/>
  <c r="CB863" i="8"/>
  <c r="BW863" i="8"/>
  <c r="BR863" i="8"/>
  <c r="BL863" i="8"/>
  <c r="CJ862" i="8"/>
  <c r="CF862" i="8"/>
  <c r="CA862" i="8"/>
  <c r="BV862" i="8"/>
  <c r="BZ862" i="8" s="1"/>
  <c r="BQ862" i="8"/>
  <c r="BK862" i="8"/>
  <c r="CI861" i="8"/>
  <c r="CD861" i="8"/>
  <c r="BY861" i="8"/>
  <c r="BT861" i="8"/>
  <c r="BP861" i="8"/>
  <c r="BJ861" i="8"/>
  <c r="CH860" i="8"/>
  <c r="CC860" i="8"/>
  <c r="BX860" i="8"/>
  <c r="BS860" i="8"/>
  <c r="BO860" i="8"/>
  <c r="BI860" i="8"/>
  <c r="CG859" i="8"/>
  <c r="CB859" i="8"/>
  <c r="BW859" i="8"/>
  <c r="BR859" i="8"/>
  <c r="BL859" i="8"/>
  <c r="CJ858" i="8"/>
  <c r="CF858" i="8"/>
  <c r="CA858" i="8"/>
  <c r="BV858" i="8"/>
  <c r="BQ858" i="8"/>
  <c r="BK858" i="8"/>
  <c r="CI857" i="8"/>
  <c r="CD857" i="8"/>
  <c r="BY857" i="8"/>
  <c r="BT857" i="8"/>
  <c r="BP857" i="8"/>
  <c r="BJ857" i="8"/>
  <c r="CA975" i="8"/>
  <c r="BY964" i="8"/>
  <c r="BK960" i="8"/>
  <c r="BW950" i="8"/>
  <c r="BW948" i="8"/>
  <c r="BW942" i="8"/>
  <c r="BS939" i="8"/>
  <c r="BX936" i="8"/>
  <c r="BP933" i="8"/>
  <c r="BW926" i="8"/>
  <c r="BS923" i="8"/>
  <c r="BX920" i="8"/>
  <c r="BV917" i="8"/>
  <c r="BZ917" i="8" s="1"/>
  <c r="BV913" i="8"/>
  <c r="BZ913" i="8" s="1"/>
  <c r="BV912" i="8"/>
  <c r="BZ912" i="8" s="1"/>
  <c r="CG911" i="8"/>
  <c r="CG910" i="8"/>
  <c r="CG909" i="8"/>
  <c r="CG908" i="8"/>
  <c r="BK906" i="8"/>
  <c r="BP905" i="8"/>
  <c r="BQ904" i="8"/>
  <c r="BV903" i="8"/>
  <c r="BZ903" i="8" s="1"/>
  <c r="CG902" i="8"/>
  <c r="CG901" i="8"/>
  <c r="CG900" i="8"/>
  <c r="BR898" i="8"/>
  <c r="CB897" i="8"/>
  <c r="BR896" i="8"/>
  <c r="CH895" i="8"/>
  <c r="BO895" i="8"/>
  <c r="CI894" i="8"/>
  <c r="BP894" i="8"/>
  <c r="CD893" i="8"/>
  <c r="BJ893" i="8"/>
  <c r="BY892" i="8"/>
  <c r="CA891" i="8"/>
  <c r="CE891" i="8" s="1"/>
  <c r="BW890" i="8"/>
  <c r="CG889" i="8"/>
  <c r="BL889" i="8"/>
  <c r="BW888" i="8"/>
  <c r="BS887" i="8"/>
  <c r="BT886" i="8"/>
  <c r="CI885" i="8"/>
  <c r="BP885" i="8"/>
  <c r="CD884" i="8"/>
  <c r="BJ884" i="8"/>
  <c r="CF883" i="8"/>
  <c r="BK883" i="8"/>
  <c r="CB882" i="8"/>
  <c r="BR881" i="8"/>
  <c r="CB880" i="8"/>
  <c r="BX879" i="8"/>
  <c r="BY878" i="8"/>
  <c r="BT877" i="8"/>
  <c r="CI876" i="8"/>
  <c r="BP876" i="8"/>
  <c r="CJ875" i="8"/>
  <c r="BQ875" i="8"/>
  <c r="CG874" i="8"/>
  <c r="BL874" i="8"/>
  <c r="BW873" i="8"/>
  <c r="CB872" i="8"/>
  <c r="BR872" i="8"/>
  <c r="CC871" i="8"/>
  <c r="BS871" i="8"/>
  <c r="BI871" i="8"/>
  <c r="CB870" i="8"/>
  <c r="BR870" i="8"/>
  <c r="CJ869" i="8"/>
  <c r="CA869" i="8"/>
  <c r="BQ869" i="8"/>
  <c r="CD868" i="8"/>
  <c r="BT868" i="8"/>
  <c r="BJ868" i="8"/>
  <c r="CF867" i="8"/>
  <c r="BV867" i="8"/>
  <c r="BZ867" i="8" s="1"/>
  <c r="BK867" i="8"/>
  <c r="CD866" i="8"/>
  <c r="BT866" i="8"/>
  <c r="BJ866" i="8"/>
  <c r="CC865" i="8"/>
  <c r="BS865" i="8"/>
  <c r="BI865" i="8"/>
  <c r="CB864" i="8"/>
  <c r="BR864" i="8"/>
  <c r="CJ863" i="8"/>
  <c r="CA863" i="8"/>
  <c r="BQ863" i="8"/>
  <c r="CI862" i="8"/>
  <c r="BY862" i="8"/>
  <c r="BP862" i="8"/>
  <c r="CH861" i="8"/>
  <c r="BX861" i="8"/>
  <c r="BO861" i="8"/>
  <c r="CG860" i="8"/>
  <c r="BW860" i="8"/>
  <c r="BL860" i="8"/>
  <c r="CF859" i="8"/>
  <c r="BV859" i="8"/>
  <c r="BK859" i="8"/>
  <c r="CD858" i="8"/>
  <c r="BT858" i="8"/>
  <c r="BJ858" i="8"/>
  <c r="CC857" i="8"/>
  <c r="BS857" i="8"/>
  <c r="BI857" i="8"/>
  <c r="CG856" i="8"/>
  <c r="CB856" i="8"/>
  <c r="BW856" i="8"/>
  <c r="BR856" i="8"/>
  <c r="BL856" i="8"/>
  <c r="CJ855" i="8"/>
  <c r="CF855" i="8"/>
  <c r="CA855" i="8"/>
  <c r="BV855" i="8"/>
  <c r="BQ855" i="8"/>
  <c r="BK855" i="8"/>
  <c r="CI854" i="8"/>
  <c r="CD854" i="8"/>
  <c r="BY854" i="8"/>
  <c r="BT854" i="8"/>
  <c r="BP854" i="8"/>
  <c r="BJ854" i="8"/>
  <c r="CH853" i="8"/>
  <c r="CC853" i="8"/>
  <c r="BX853" i="8"/>
  <c r="BS853" i="8"/>
  <c r="BO853" i="8"/>
  <c r="BI853" i="8"/>
  <c r="CG852" i="8"/>
  <c r="CB852" i="8"/>
  <c r="BW852" i="8"/>
  <c r="BR852" i="8"/>
  <c r="BL852" i="8"/>
  <c r="CJ851" i="8"/>
  <c r="CF851" i="8"/>
  <c r="CA851" i="8"/>
  <c r="BV851" i="8"/>
  <c r="BQ851" i="8"/>
  <c r="BK851" i="8"/>
  <c r="CI850" i="8"/>
  <c r="CD850" i="8"/>
  <c r="BY850" i="8"/>
  <c r="BT850" i="8"/>
  <c r="BP850" i="8"/>
  <c r="BJ850" i="8"/>
  <c r="CH849" i="8"/>
  <c r="CC849" i="8"/>
  <c r="BX849" i="8"/>
  <c r="BS849" i="8"/>
  <c r="BO849" i="8"/>
  <c r="BI849" i="8"/>
  <c r="CG848" i="8"/>
  <c r="CB848" i="8"/>
  <c r="BW848" i="8"/>
  <c r="BR848" i="8"/>
  <c r="BL848" i="8"/>
  <c r="CJ847" i="8"/>
  <c r="CF847" i="8"/>
  <c r="CA847" i="8"/>
  <c r="BV847" i="8"/>
  <c r="BZ847" i="8" s="1"/>
  <c r="BQ847" i="8"/>
  <c r="BK847" i="8"/>
  <c r="CI846" i="8"/>
  <c r="CD846" i="8"/>
  <c r="BY846" i="8"/>
  <c r="BT846" i="8"/>
  <c r="BP846" i="8"/>
  <c r="BJ846" i="8"/>
  <c r="CH845" i="8"/>
  <c r="CC845" i="8"/>
  <c r="BX845" i="8"/>
  <c r="BS845" i="8"/>
  <c r="BO845" i="8"/>
  <c r="BI845" i="8"/>
  <c r="CG844" i="8"/>
  <c r="CB844" i="8"/>
  <c r="BW844" i="8"/>
  <c r="BR844" i="8"/>
  <c r="BL844" i="8"/>
  <c r="CJ843" i="8"/>
  <c r="CF843" i="8"/>
  <c r="CA843" i="8"/>
  <c r="BV843" i="8"/>
  <c r="BQ843" i="8"/>
  <c r="BK843" i="8"/>
  <c r="CI842" i="8"/>
  <c r="CD842" i="8"/>
  <c r="BY842" i="8"/>
  <c r="BT842" i="8"/>
  <c r="BP842" i="8"/>
  <c r="BJ842" i="8"/>
  <c r="CH841" i="8"/>
  <c r="CC841" i="8"/>
  <c r="BX841" i="8"/>
  <c r="BS841" i="8"/>
  <c r="BO841" i="8"/>
  <c r="BI841" i="8"/>
  <c r="CG840" i="8"/>
  <c r="CB840" i="8"/>
  <c r="BW840" i="8"/>
  <c r="BR840" i="8"/>
  <c r="BL840" i="8"/>
  <c r="CJ839" i="8"/>
  <c r="CF839" i="8"/>
  <c r="CA839" i="8"/>
  <c r="BV839" i="8"/>
  <c r="BQ839" i="8"/>
  <c r="BK839" i="8"/>
  <c r="CI838" i="8"/>
  <c r="CD838" i="8"/>
  <c r="BY838" i="8"/>
  <c r="BT838" i="8"/>
  <c r="BP838" i="8"/>
  <c r="BJ838" i="8"/>
  <c r="CH837" i="8"/>
  <c r="CC837" i="8"/>
  <c r="BX837" i="8"/>
  <c r="BS837" i="8"/>
  <c r="BO837" i="8"/>
  <c r="BI837" i="8"/>
  <c r="CG836" i="8"/>
  <c r="CB836" i="8"/>
  <c r="BW836" i="8"/>
  <c r="BR836" i="8"/>
  <c r="BL836" i="8"/>
  <c r="CJ835" i="8"/>
  <c r="CF835" i="8"/>
  <c r="CA835" i="8"/>
  <c r="BV835" i="8"/>
  <c r="BQ835" i="8"/>
  <c r="BK835" i="8"/>
  <c r="CI834" i="8"/>
  <c r="CD834" i="8"/>
  <c r="BY834" i="8"/>
  <c r="BT834" i="8"/>
  <c r="BP834" i="8"/>
  <c r="BJ834" i="8"/>
  <c r="CH833" i="8"/>
  <c r="CC833" i="8"/>
  <c r="BX833" i="8"/>
  <c r="BS833" i="8"/>
  <c r="BO833" i="8"/>
  <c r="BI833" i="8"/>
  <c r="CG832" i="8"/>
  <c r="CB832" i="8"/>
  <c r="BW832" i="8"/>
  <c r="BR832" i="8"/>
  <c r="BL832" i="8"/>
  <c r="CJ831" i="8"/>
  <c r="CF831" i="8"/>
  <c r="CA831" i="8"/>
  <c r="BV831" i="8"/>
  <c r="BZ831" i="8" s="1"/>
  <c r="BQ831" i="8"/>
  <c r="BK831" i="8"/>
  <c r="CI830" i="8"/>
  <c r="CD830" i="8"/>
  <c r="BY830" i="8"/>
  <c r="BT830" i="8"/>
  <c r="BP830" i="8"/>
  <c r="BJ830" i="8"/>
  <c r="CH829" i="8"/>
  <c r="CC829" i="8"/>
  <c r="BX829" i="8"/>
  <c r="BS829" i="8"/>
  <c r="BO829" i="8"/>
  <c r="BI829" i="8"/>
  <c r="CG828" i="8"/>
  <c r="CB828" i="8"/>
  <c r="BW828" i="8"/>
  <c r="BR828" i="8"/>
  <c r="BL828" i="8"/>
  <c r="CJ827" i="8"/>
  <c r="CF827" i="8"/>
  <c r="CA827" i="8"/>
  <c r="BV827" i="8"/>
  <c r="BQ827" i="8"/>
  <c r="BK827" i="8"/>
  <c r="CI826" i="8"/>
  <c r="CD826" i="8"/>
  <c r="BY826" i="8"/>
  <c r="BT826" i="8"/>
  <c r="BP826" i="8"/>
  <c r="BJ826" i="8"/>
  <c r="CH825" i="8"/>
  <c r="CC825" i="8"/>
  <c r="BX825" i="8"/>
  <c r="BS825" i="8"/>
  <c r="BO825" i="8"/>
  <c r="BI825" i="8"/>
  <c r="CG824" i="8"/>
  <c r="CB824" i="8"/>
  <c r="BW824" i="8"/>
  <c r="BR824" i="8"/>
  <c r="BL824" i="8"/>
  <c r="CJ823" i="8"/>
  <c r="CF823" i="8"/>
  <c r="CA823" i="8"/>
  <c r="BV823" i="8"/>
  <c r="BZ823" i="8" s="1"/>
  <c r="BQ823" i="8"/>
  <c r="BK823" i="8"/>
  <c r="CI822" i="8"/>
  <c r="CD822" i="8"/>
  <c r="BY822" i="8"/>
  <c r="BT822" i="8"/>
  <c r="BP822" i="8"/>
  <c r="BJ822" i="8"/>
  <c r="CH821" i="8"/>
  <c r="CC821" i="8"/>
  <c r="BX821" i="8"/>
  <c r="BS821" i="8"/>
  <c r="BO821" i="8"/>
  <c r="BI821" i="8"/>
  <c r="CG820" i="8"/>
  <c r="CB820" i="8"/>
  <c r="BW820" i="8"/>
  <c r="BR820" i="8"/>
  <c r="BL820" i="8"/>
  <c r="CJ819" i="8"/>
  <c r="CF819" i="8"/>
  <c r="CA819" i="8"/>
  <c r="BV819" i="8"/>
  <c r="BZ819" i="8" s="1"/>
  <c r="BQ819" i="8"/>
  <c r="BK819" i="8"/>
  <c r="CI818" i="8"/>
  <c r="CD818" i="8"/>
  <c r="BY818" i="8"/>
  <c r="BT818" i="8"/>
  <c r="BP818" i="8"/>
  <c r="BJ818" i="8"/>
  <c r="CH817" i="8"/>
  <c r="CC817" i="8"/>
  <c r="BX817" i="8"/>
  <c r="BS817" i="8"/>
  <c r="BO817" i="8"/>
  <c r="BI817" i="8"/>
  <c r="CG816" i="8"/>
  <c r="CB816" i="8"/>
  <c r="BW816" i="8"/>
  <c r="BR816" i="8"/>
  <c r="BV977" i="8"/>
  <c r="BZ977" i="8" s="1"/>
  <c r="BP953" i="8"/>
  <c r="BJ951" i="8"/>
  <c r="CH946" i="8"/>
  <c r="CJ944" i="8"/>
  <c r="CG943" i="8"/>
  <c r="BW940" i="8"/>
  <c r="CC937" i="8"/>
  <c r="BT934" i="8"/>
  <c r="CA930" i="8"/>
  <c r="CJ928" i="8"/>
  <c r="CG927" i="8"/>
  <c r="BW924" i="8"/>
  <c r="CC921" i="8"/>
  <c r="BT918" i="8"/>
  <c r="BW914" i="8"/>
  <c r="BK913" i="8"/>
  <c r="BK912" i="8"/>
  <c r="BW911" i="8"/>
  <c r="BW910" i="8"/>
  <c r="BW909" i="8"/>
  <c r="BW908" i="8"/>
  <c r="CI907" i="8"/>
  <c r="BK903" i="8"/>
  <c r="BW902" i="8"/>
  <c r="BW901" i="8"/>
  <c r="BW900" i="8"/>
  <c r="CI899" i="8"/>
  <c r="BL898" i="8"/>
  <c r="BW897" i="8"/>
  <c r="CG896" i="8"/>
  <c r="BL896" i="8"/>
  <c r="CC895" i="8"/>
  <c r="BI895" i="8"/>
  <c r="CD894" i="8"/>
  <c r="BJ894" i="8"/>
  <c r="BY893" i="8"/>
  <c r="BT892" i="8"/>
  <c r="BV891" i="8"/>
  <c r="BZ891" i="8" s="1"/>
  <c r="BR890" i="8"/>
  <c r="CB889" i="8"/>
  <c r="BR888" i="8"/>
  <c r="CH887" i="8"/>
  <c r="BO887" i="8"/>
  <c r="CI886" i="8"/>
  <c r="BP886" i="8"/>
  <c r="CD885" i="8"/>
  <c r="BJ885" i="8"/>
  <c r="BY884" i="8"/>
  <c r="CA883" i="8"/>
  <c r="BW882" i="8"/>
  <c r="CG881" i="8"/>
  <c r="BL881" i="8"/>
  <c r="BW880" i="8"/>
  <c r="BS879" i="8"/>
  <c r="BT878" i="8"/>
  <c r="CI877" i="8"/>
  <c r="BP877" i="8"/>
  <c r="CD876" i="8"/>
  <c r="BJ876" i="8"/>
  <c r="CF875" i="8"/>
  <c r="BK875" i="8"/>
  <c r="CB874" i="8"/>
  <c r="BR873" i="8"/>
  <c r="CJ872" i="8"/>
  <c r="CA872" i="8"/>
  <c r="BQ872" i="8"/>
  <c r="CB871" i="8"/>
  <c r="BR871" i="8"/>
  <c r="CJ870" i="8"/>
  <c r="CA870" i="8"/>
  <c r="CE870" i="8" s="1"/>
  <c r="BQ870" i="8"/>
  <c r="CI869" i="8"/>
  <c r="BY869" i="8"/>
  <c r="BP869" i="8"/>
  <c r="CJ868" i="8"/>
  <c r="CA868" i="8"/>
  <c r="BQ868" i="8"/>
  <c r="CD867" i="8"/>
  <c r="BT867" i="8"/>
  <c r="BJ867" i="8"/>
  <c r="CC866" i="8"/>
  <c r="BS866" i="8"/>
  <c r="BI866" i="8"/>
  <c r="CB865" i="8"/>
  <c r="BR865" i="8"/>
  <c r="CJ864" i="8"/>
  <c r="CA864" i="8"/>
  <c r="BQ864" i="8"/>
  <c r="CI863" i="8"/>
  <c r="BY863" i="8"/>
  <c r="BP863" i="8"/>
  <c r="CH862" i="8"/>
  <c r="BX862" i="8"/>
  <c r="BO862" i="8"/>
  <c r="CG861" i="8"/>
  <c r="BW861" i="8"/>
  <c r="BL861" i="8"/>
  <c r="CF860" i="8"/>
  <c r="BV860" i="8"/>
  <c r="BK860" i="8"/>
  <c r="CD859" i="8"/>
  <c r="BT859" i="8"/>
  <c r="BJ859" i="8"/>
  <c r="CC858" i="8"/>
  <c r="BS858" i="8"/>
  <c r="BI858" i="8"/>
  <c r="CB857" i="8"/>
  <c r="BR857" i="8"/>
  <c r="CJ856" i="8"/>
  <c r="CF856" i="8"/>
  <c r="CA856" i="8"/>
  <c r="BV856" i="8"/>
  <c r="BZ856" i="8" s="1"/>
  <c r="BQ856" i="8"/>
  <c r="BK856" i="8"/>
  <c r="CI855" i="8"/>
  <c r="CD855" i="8"/>
  <c r="BY855" i="8"/>
  <c r="BT855" i="8"/>
  <c r="BP855" i="8"/>
  <c r="BJ855" i="8"/>
  <c r="CH854" i="8"/>
  <c r="CC854" i="8"/>
  <c r="BX854" i="8"/>
  <c r="BS854" i="8"/>
  <c r="BO854" i="8"/>
  <c r="BI854" i="8"/>
  <c r="CG853" i="8"/>
  <c r="CB853" i="8"/>
  <c r="BW853" i="8"/>
  <c r="BR853" i="8"/>
  <c r="BL853" i="8"/>
  <c r="CJ852" i="8"/>
  <c r="CF852" i="8"/>
  <c r="CA852" i="8"/>
  <c r="BV852" i="8"/>
  <c r="BQ852" i="8"/>
  <c r="BK852" i="8"/>
  <c r="CI851" i="8"/>
  <c r="CD851" i="8"/>
  <c r="BY851" i="8"/>
  <c r="BT851" i="8"/>
  <c r="BP851" i="8"/>
  <c r="BJ851" i="8"/>
  <c r="CH850" i="8"/>
  <c r="CC850" i="8"/>
  <c r="BX850" i="8"/>
  <c r="BS850" i="8"/>
  <c r="BO850" i="8"/>
  <c r="BI850" i="8"/>
  <c r="CG849" i="8"/>
  <c r="CB849" i="8"/>
  <c r="BW849" i="8"/>
  <c r="BR849" i="8"/>
  <c r="BL849" i="8"/>
  <c r="CJ848" i="8"/>
  <c r="CF848" i="8"/>
  <c r="CA848" i="8"/>
  <c r="BV848" i="8"/>
  <c r="BQ848" i="8"/>
  <c r="BK848" i="8"/>
  <c r="CI847" i="8"/>
  <c r="CD847" i="8"/>
  <c r="BY847" i="8"/>
  <c r="BT847" i="8"/>
  <c r="BP847" i="8"/>
  <c r="BJ847" i="8"/>
  <c r="CH846" i="8"/>
  <c r="CC846" i="8"/>
  <c r="BX846" i="8"/>
  <c r="BS846" i="8"/>
  <c r="BO846" i="8"/>
  <c r="BI846" i="8"/>
  <c r="CG845" i="8"/>
  <c r="CB845" i="8"/>
  <c r="BW845" i="8"/>
  <c r="BR845" i="8"/>
  <c r="BL845" i="8"/>
  <c r="CJ844" i="8"/>
  <c r="CF844" i="8"/>
  <c r="CA844" i="8"/>
  <c r="BV844" i="8"/>
  <c r="BQ844" i="8"/>
  <c r="BK844" i="8"/>
  <c r="CI843" i="8"/>
  <c r="CD843" i="8"/>
  <c r="BY843" i="8"/>
  <c r="BT843" i="8"/>
  <c r="BP843" i="8"/>
  <c r="BJ843" i="8"/>
  <c r="CH842" i="8"/>
  <c r="CC842" i="8"/>
  <c r="BX842" i="8"/>
  <c r="BS842" i="8"/>
  <c r="BO842" i="8"/>
  <c r="BI842" i="8"/>
  <c r="CG841" i="8"/>
  <c r="CB841" i="8"/>
  <c r="BW841" i="8"/>
  <c r="BR841" i="8"/>
  <c r="BL841" i="8"/>
  <c r="CJ840" i="8"/>
  <c r="CF840" i="8"/>
  <c r="CA840" i="8"/>
  <c r="BV840" i="8"/>
  <c r="BQ840" i="8"/>
  <c r="BK840" i="8"/>
  <c r="CI839" i="8"/>
  <c r="CD839" i="8"/>
  <c r="BY839" i="8"/>
  <c r="BT839" i="8"/>
  <c r="BP839" i="8"/>
  <c r="BJ839" i="8"/>
  <c r="CH838" i="8"/>
  <c r="CC838" i="8"/>
  <c r="BX838" i="8"/>
  <c r="BS838" i="8"/>
  <c r="BO838" i="8"/>
  <c r="BI838" i="8"/>
  <c r="CG837" i="8"/>
  <c r="CB837" i="8"/>
  <c r="BW837" i="8"/>
  <c r="BR837" i="8"/>
  <c r="BL837" i="8"/>
  <c r="CJ836" i="8"/>
  <c r="CF836" i="8"/>
  <c r="CA836" i="8"/>
  <c r="BV836" i="8"/>
  <c r="BQ836" i="8"/>
  <c r="BK836" i="8"/>
  <c r="CI835" i="8"/>
  <c r="CD835" i="8"/>
  <c r="BY835" i="8"/>
  <c r="BT835" i="8"/>
  <c r="BP835" i="8"/>
  <c r="BJ835" i="8"/>
  <c r="CH834" i="8"/>
  <c r="CC834" i="8"/>
  <c r="BX834" i="8"/>
  <c r="BS834" i="8"/>
  <c r="BO834" i="8"/>
  <c r="BI834" i="8"/>
  <c r="CG833" i="8"/>
  <c r="CB833" i="8"/>
  <c r="BW833" i="8"/>
  <c r="BR833" i="8"/>
  <c r="BL833" i="8"/>
  <c r="CJ832" i="8"/>
  <c r="CF832" i="8"/>
  <c r="CA832" i="8"/>
  <c r="BV832" i="8"/>
  <c r="BZ832" i="8" s="1"/>
  <c r="BQ832" i="8"/>
  <c r="BK832" i="8"/>
  <c r="CI831" i="8"/>
  <c r="CD831" i="8"/>
  <c r="BY831" i="8"/>
  <c r="BT831" i="8"/>
  <c r="BP831" i="8"/>
  <c r="BJ831" i="8"/>
  <c r="CH830" i="8"/>
  <c r="CC830" i="8"/>
  <c r="BX830" i="8"/>
  <c r="BS830" i="8"/>
  <c r="BO830" i="8"/>
  <c r="BI830" i="8"/>
  <c r="CG829" i="8"/>
  <c r="CB829" i="8"/>
  <c r="BW829" i="8"/>
  <c r="BR829" i="8"/>
  <c r="BL829" i="8"/>
  <c r="CJ828" i="8"/>
  <c r="CF828" i="8"/>
  <c r="CA828" i="8"/>
  <c r="BV828" i="8"/>
  <c r="BQ828" i="8"/>
  <c r="BK828" i="8"/>
  <c r="CI827" i="8"/>
  <c r="CD827" i="8"/>
  <c r="BY827" i="8"/>
  <c r="BT827" i="8"/>
  <c r="BP827" i="8"/>
  <c r="BJ827" i="8"/>
  <c r="CH826" i="8"/>
  <c r="CC826" i="8"/>
  <c r="BX826" i="8"/>
  <c r="BS826" i="8"/>
  <c r="BO826" i="8"/>
  <c r="BI826" i="8"/>
  <c r="CG825" i="8"/>
  <c r="CB825" i="8"/>
  <c r="BW825" i="8"/>
  <c r="BR825" i="8"/>
  <c r="BL825" i="8"/>
  <c r="CJ824" i="8"/>
  <c r="CF824" i="8"/>
  <c r="CA824" i="8"/>
  <c r="BV824" i="8"/>
  <c r="BQ824" i="8"/>
  <c r="BK824" i="8"/>
  <c r="CI823" i="8"/>
  <c r="CD823" i="8"/>
  <c r="BY823" i="8"/>
  <c r="BT823" i="8"/>
  <c r="BP823" i="8"/>
  <c r="BJ823" i="8"/>
  <c r="CH822" i="8"/>
  <c r="CC822" i="8"/>
  <c r="BX822" i="8"/>
  <c r="BS822" i="8"/>
  <c r="BO822" i="8"/>
  <c r="BI822" i="8"/>
  <c r="CG821" i="8"/>
  <c r="CB821" i="8"/>
  <c r="BW821" i="8"/>
  <c r="BR821" i="8"/>
  <c r="BL821" i="8"/>
  <c r="CJ820" i="8"/>
  <c r="CF820" i="8"/>
  <c r="CA820" i="8"/>
  <c r="BV820" i="8"/>
  <c r="BZ820" i="8" s="1"/>
  <c r="BQ820" i="8"/>
  <c r="BK820" i="8"/>
  <c r="CI819" i="8"/>
  <c r="CD819" i="8"/>
  <c r="BY819" i="8"/>
  <c r="BT819" i="8"/>
  <c r="BP819" i="8"/>
  <c r="BJ819" i="8"/>
  <c r="CH818" i="8"/>
  <c r="CC818" i="8"/>
  <c r="BX818" i="8"/>
  <c r="BS818" i="8"/>
  <c r="BO818" i="8"/>
  <c r="BI818" i="8"/>
  <c r="CG817" i="8"/>
  <c r="CB817" i="8"/>
  <c r="BW817" i="8"/>
  <c r="BR817" i="8"/>
  <c r="BL817" i="8"/>
  <c r="CJ816" i="8"/>
  <c r="CF816" i="8"/>
  <c r="CA816" i="8"/>
  <c r="BV816" i="8"/>
  <c r="BQ816" i="8"/>
  <c r="BK816" i="8"/>
  <c r="CI815" i="8"/>
  <c r="CD815" i="8"/>
  <c r="BY815" i="8"/>
  <c r="BT815" i="8"/>
  <c r="BP815" i="8"/>
  <c r="BJ815" i="8"/>
  <c r="CH814" i="8"/>
  <c r="CC814" i="8"/>
  <c r="BX814" i="8"/>
  <c r="BS814" i="8"/>
  <c r="BO814" i="8"/>
  <c r="BI814" i="8"/>
  <c r="CG813" i="8"/>
  <c r="CB813" i="8"/>
  <c r="BW813" i="8"/>
  <c r="BR813" i="8"/>
  <c r="BL813" i="8"/>
  <c r="CJ812" i="8"/>
  <c r="CF812" i="8"/>
  <c r="CA812" i="8"/>
  <c r="BV812" i="8"/>
  <c r="BQ812" i="8"/>
  <c r="BK812" i="8"/>
  <c r="CI811" i="8"/>
  <c r="CD811" i="8"/>
  <c r="BY811" i="8"/>
  <c r="BT811" i="8"/>
  <c r="BP811" i="8"/>
  <c r="BJ811" i="8"/>
  <c r="CH810" i="8"/>
  <c r="CC810" i="8"/>
  <c r="BX810" i="8"/>
  <c r="BS810" i="8"/>
  <c r="BO810" i="8"/>
  <c r="BI810" i="8"/>
  <c r="CG809" i="8"/>
  <c r="CB809" i="8"/>
  <c r="BW809" i="8"/>
  <c r="BR809" i="8"/>
  <c r="BL809" i="8"/>
  <c r="CJ808" i="8"/>
  <c r="CF808" i="8"/>
  <c r="CA808" i="8"/>
  <c r="BV808" i="8"/>
  <c r="BQ808" i="8"/>
  <c r="BK808" i="8"/>
  <c r="CI807" i="8"/>
  <c r="CD807" i="8"/>
  <c r="BY807" i="8"/>
  <c r="BT807" i="8"/>
  <c r="BP807" i="8"/>
  <c r="BJ807" i="8"/>
  <c r="CH806" i="8"/>
  <c r="CC806" i="8"/>
  <c r="BX806" i="8"/>
  <c r="BS806" i="8"/>
  <c r="BO806" i="8"/>
  <c r="BI806" i="8"/>
  <c r="CG805" i="8"/>
  <c r="CB805" i="8"/>
  <c r="BW805" i="8"/>
  <c r="BR805" i="8"/>
  <c r="BL805" i="8"/>
  <c r="CJ804" i="8"/>
  <c r="CF804" i="8"/>
  <c r="CA804" i="8"/>
  <c r="BV804" i="8"/>
  <c r="BQ804" i="8"/>
  <c r="BK804" i="8"/>
  <c r="CI803" i="8"/>
  <c r="CD803" i="8"/>
  <c r="BY803" i="8"/>
  <c r="BT803" i="8"/>
  <c r="BP803" i="8"/>
  <c r="BJ803" i="8"/>
  <c r="CH802" i="8"/>
  <c r="CC802" i="8"/>
  <c r="BX802" i="8"/>
  <c r="BS802" i="8"/>
  <c r="BO802" i="8"/>
  <c r="BI802" i="8"/>
  <c r="CG801" i="8"/>
  <c r="CB801" i="8"/>
  <c r="BW801" i="8"/>
  <c r="BR801" i="8"/>
  <c r="BL801" i="8"/>
  <c r="CJ800" i="8"/>
  <c r="CF800" i="8"/>
  <c r="CA800" i="8"/>
  <c r="BV800" i="8"/>
  <c r="BQ800" i="8"/>
  <c r="BK800" i="8"/>
  <c r="CI799" i="8"/>
  <c r="CD799" i="8"/>
  <c r="BY799" i="8"/>
  <c r="BT799" i="8"/>
  <c r="BP799" i="8"/>
  <c r="BJ799" i="8"/>
  <c r="CH798" i="8"/>
  <c r="CC798" i="8"/>
  <c r="BX798" i="8"/>
  <c r="BS798" i="8"/>
  <c r="BO798" i="8"/>
  <c r="BI798" i="8"/>
  <c r="CG797" i="8"/>
  <c r="CB797" i="8"/>
  <c r="BW797" i="8"/>
  <c r="BR797" i="8"/>
  <c r="BL797" i="8"/>
  <c r="CJ796" i="8"/>
  <c r="CF796" i="8"/>
  <c r="CA796" i="8"/>
  <c r="BV796" i="8"/>
  <c r="BZ796" i="8" s="1"/>
  <c r="BQ796" i="8"/>
  <c r="BK796" i="8"/>
  <c r="CI795" i="8"/>
  <c r="CD795" i="8"/>
  <c r="BY795" i="8"/>
  <c r="BT795" i="8"/>
  <c r="BP795" i="8"/>
  <c r="BJ795" i="8"/>
  <c r="CH794" i="8"/>
  <c r="CC794" i="8"/>
  <c r="BX794" i="8"/>
  <c r="BS794" i="8"/>
  <c r="BV994" i="8"/>
  <c r="BZ994" i="8" s="1"/>
  <c r="BS968" i="8"/>
  <c r="CJ961" i="8"/>
  <c r="BS957" i="8"/>
  <c r="BW949" i="8"/>
  <c r="BQ944" i="8"/>
  <c r="BL943" i="8"/>
  <c r="CG941" i="8"/>
  <c r="CH938" i="8"/>
  <c r="BI937" i="8"/>
  <c r="CD932" i="8"/>
  <c r="CF931" i="8"/>
  <c r="BQ928" i="8"/>
  <c r="BL927" i="8"/>
  <c r="CG925" i="8"/>
  <c r="CH922" i="8"/>
  <c r="BI921" i="8"/>
  <c r="CJ916" i="8"/>
  <c r="CG915" i="8"/>
  <c r="BL911" i="8"/>
  <c r="BL910" i="8"/>
  <c r="BL909" i="8"/>
  <c r="BL908" i="8"/>
  <c r="BY907" i="8"/>
  <c r="CF906" i="8"/>
  <c r="CI905" i="8"/>
  <c r="CJ904" i="8"/>
  <c r="BL902" i="8"/>
  <c r="BL901" i="8"/>
  <c r="BL900" i="8"/>
  <c r="BY899" i="8"/>
  <c r="CF898" i="8"/>
  <c r="BR897" i="8"/>
  <c r="CB896" i="8"/>
  <c r="BX895" i="8"/>
  <c r="BY894" i="8"/>
  <c r="BT893" i="8"/>
  <c r="CI892" i="8"/>
  <c r="BP892" i="8"/>
  <c r="CJ891" i="8"/>
  <c r="BQ891" i="8"/>
  <c r="CG890" i="8"/>
  <c r="BL890" i="8"/>
  <c r="BW889" i="8"/>
  <c r="CG888" i="8"/>
  <c r="BL888" i="8"/>
  <c r="CC887" i="8"/>
  <c r="BI887" i="8"/>
  <c r="CD886" i="8"/>
  <c r="BJ886" i="8"/>
  <c r="BY885" i="8"/>
  <c r="BT884" i="8"/>
  <c r="BV883" i="8"/>
  <c r="BZ883" i="8" s="1"/>
  <c r="BR882" i="8"/>
  <c r="CB881" i="8"/>
  <c r="BR880" i="8"/>
  <c r="CH879" i="8"/>
  <c r="BO879" i="8"/>
  <c r="CI878" i="8"/>
  <c r="BP878" i="8"/>
  <c r="CD877" i="8"/>
  <c r="BJ877" i="8"/>
  <c r="BY876" i="8"/>
  <c r="CA875" i="8"/>
  <c r="CE875" i="8" s="1"/>
  <c r="BW874" i="8"/>
  <c r="CG873" i="8"/>
  <c r="BL873" i="8"/>
  <c r="CG872" i="8"/>
  <c r="BW872" i="8"/>
  <c r="BL872" i="8"/>
  <c r="CH871" i="8"/>
  <c r="BX871" i="8"/>
  <c r="BO871" i="8"/>
  <c r="CG870" i="8"/>
  <c r="BW870" i="8"/>
  <c r="BL870" i="8"/>
  <c r="CF869" i="8"/>
  <c r="BV869" i="8"/>
  <c r="BZ869" i="8" s="1"/>
  <c r="BK869" i="8"/>
  <c r="CI868" i="8"/>
  <c r="BY868" i="8"/>
  <c r="BP868" i="8"/>
  <c r="CJ867" i="8"/>
  <c r="CA867" i="8"/>
  <c r="BQ867" i="8"/>
  <c r="CI866" i="8"/>
  <c r="BY866" i="8"/>
  <c r="BP866" i="8"/>
  <c r="CH865" i="8"/>
  <c r="BX865" i="8"/>
  <c r="BO865" i="8"/>
  <c r="CG864" i="8"/>
  <c r="BW864" i="8"/>
  <c r="BL864" i="8"/>
  <c r="CF863" i="8"/>
  <c r="BV863" i="8"/>
  <c r="BZ863" i="8" s="1"/>
  <c r="BK863" i="8"/>
  <c r="CD862" i="8"/>
  <c r="BT862" i="8"/>
  <c r="BJ862" i="8"/>
  <c r="CC861" i="8"/>
  <c r="BS861" i="8"/>
  <c r="BI861" i="8"/>
  <c r="CB860" i="8"/>
  <c r="BR860" i="8"/>
  <c r="CJ859" i="8"/>
  <c r="CA859" i="8"/>
  <c r="BQ859" i="8"/>
  <c r="CI858" i="8"/>
  <c r="BY858" i="8"/>
  <c r="BP858" i="8"/>
  <c r="CH857" i="8"/>
  <c r="BX857" i="8"/>
  <c r="BO857" i="8"/>
  <c r="CI856" i="8"/>
  <c r="CD856" i="8"/>
  <c r="BY856" i="8"/>
  <c r="BT856" i="8"/>
  <c r="BP856" i="8"/>
  <c r="BJ856" i="8"/>
  <c r="CH855" i="8"/>
  <c r="CC855" i="8"/>
  <c r="BX855" i="8"/>
  <c r="BS855" i="8"/>
  <c r="BO855" i="8"/>
  <c r="BI855" i="8"/>
  <c r="CG854" i="8"/>
  <c r="CB854" i="8"/>
  <c r="BW854" i="8"/>
  <c r="BR854" i="8"/>
  <c r="BL854" i="8"/>
  <c r="CJ853" i="8"/>
  <c r="CF853" i="8"/>
  <c r="CA853" i="8"/>
  <c r="BV853" i="8"/>
  <c r="BQ853" i="8"/>
  <c r="BK853" i="8"/>
  <c r="CI852" i="8"/>
  <c r="CD852" i="8"/>
  <c r="BY852" i="8"/>
  <c r="BT852" i="8"/>
  <c r="BP852" i="8"/>
  <c r="BJ852" i="8"/>
  <c r="CH851" i="8"/>
  <c r="CC851" i="8"/>
  <c r="BX851" i="8"/>
  <c r="BS851" i="8"/>
  <c r="BO851" i="8"/>
  <c r="BI851" i="8"/>
  <c r="CG850" i="8"/>
  <c r="CB850" i="8"/>
  <c r="BW850" i="8"/>
  <c r="BR850" i="8"/>
  <c r="BL850" i="8"/>
  <c r="CJ849" i="8"/>
  <c r="CF849" i="8"/>
  <c r="CA849" i="8"/>
  <c r="BV849" i="8"/>
  <c r="BQ849" i="8"/>
  <c r="BK849" i="8"/>
  <c r="CI848" i="8"/>
  <c r="CD848" i="8"/>
  <c r="BY848" i="8"/>
  <c r="BT848" i="8"/>
  <c r="BP848" i="8"/>
  <c r="BJ848" i="8"/>
  <c r="CH847" i="8"/>
  <c r="CC847" i="8"/>
  <c r="BX847" i="8"/>
  <c r="BS847" i="8"/>
  <c r="BO847" i="8"/>
  <c r="BI847" i="8"/>
  <c r="CG846" i="8"/>
  <c r="CB846" i="8"/>
  <c r="BW846" i="8"/>
  <c r="BR846" i="8"/>
  <c r="BL846" i="8"/>
  <c r="CJ845" i="8"/>
  <c r="CF845" i="8"/>
  <c r="CA845" i="8"/>
  <c r="BV845" i="8"/>
  <c r="BQ845" i="8"/>
  <c r="BK845" i="8"/>
  <c r="CI844" i="8"/>
  <c r="CD844" i="8"/>
  <c r="BY844" i="8"/>
  <c r="BT844" i="8"/>
  <c r="BP844" i="8"/>
  <c r="BJ844" i="8"/>
  <c r="CH843" i="8"/>
  <c r="CC843" i="8"/>
  <c r="BX843" i="8"/>
  <c r="BS843" i="8"/>
  <c r="BO843" i="8"/>
  <c r="BI843" i="8"/>
  <c r="CG842" i="8"/>
  <c r="CB842" i="8"/>
  <c r="BW842" i="8"/>
  <c r="BR842" i="8"/>
  <c r="BL842" i="8"/>
  <c r="CJ841" i="8"/>
  <c r="CF841" i="8"/>
  <c r="CA841" i="8"/>
  <c r="BV841" i="8"/>
  <c r="BZ841" i="8" s="1"/>
  <c r="BQ841" i="8"/>
  <c r="BK841" i="8"/>
  <c r="CI840" i="8"/>
  <c r="CD840" i="8"/>
  <c r="BY840" i="8"/>
  <c r="BT840" i="8"/>
  <c r="BP840" i="8"/>
  <c r="BJ840" i="8"/>
  <c r="CH839" i="8"/>
  <c r="CC839" i="8"/>
  <c r="BX839" i="8"/>
  <c r="BS839" i="8"/>
  <c r="BO839" i="8"/>
  <c r="BI839" i="8"/>
  <c r="CG838" i="8"/>
  <c r="CB838" i="8"/>
  <c r="BW838" i="8"/>
  <c r="BR838" i="8"/>
  <c r="BL838" i="8"/>
  <c r="CJ837" i="8"/>
  <c r="CF837" i="8"/>
  <c r="CA837" i="8"/>
  <c r="BV837" i="8"/>
  <c r="BZ837" i="8" s="1"/>
  <c r="BQ837" i="8"/>
  <c r="BK837" i="8"/>
  <c r="CI836" i="8"/>
  <c r="CD836" i="8"/>
  <c r="BY836" i="8"/>
  <c r="BT836" i="8"/>
  <c r="BP836" i="8"/>
  <c r="BJ836" i="8"/>
  <c r="CH835" i="8"/>
  <c r="CC835" i="8"/>
  <c r="BX835" i="8"/>
  <c r="BS835" i="8"/>
  <c r="BO835" i="8"/>
  <c r="BI835" i="8"/>
  <c r="CG834" i="8"/>
  <c r="CB834" i="8"/>
  <c r="BW834" i="8"/>
  <c r="BR834" i="8"/>
  <c r="BL834" i="8"/>
  <c r="CJ833" i="8"/>
  <c r="CF833" i="8"/>
  <c r="CA833" i="8"/>
  <c r="BV833" i="8"/>
  <c r="BQ833" i="8"/>
  <c r="BK833" i="8"/>
  <c r="CI832" i="8"/>
  <c r="CD832" i="8"/>
  <c r="BY832" i="8"/>
  <c r="BT832" i="8"/>
  <c r="BP832" i="8"/>
  <c r="BJ832" i="8"/>
  <c r="CH831" i="8"/>
  <c r="CC831" i="8"/>
  <c r="BX831" i="8"/>
  <c r="BS831" i="8"/>
  <c r="BO831" i="8"/>
  <c r="BI831" i="8"/>
  <c r="CG830" i="8"/>
  <c r="CB830" i="8"/>
  <c r="BW830" i="8"/>
  <c r="BR830" i="8"/>
  <c r="BL830" i="8"/>
  <c r="CJ829" i="8"/>
  <c r="CF829" i="8"/>
  <c r="CA829" i="8"/>
  <c r="BV829" i="8"/>
  <c r="BQ829" i="8"/>
  <c r="BK829" i="8"/>
  <c r="CI828" i="8"/>
  <c r="CD828" i="8"/>
  <c r="BY828" i="8"/>
  <c r="BT828" i="8"/>
  <c r="BP828" i="8"/>
  <c r="BJ828" i="8"/>
  <c r="CH827" i="8"/>
  <c r="CC827" i="8"/>
  <c r="BX827" i="8"/>
  <c r="BS827" i="8"/>
  <c r="BO827" i="8"/>
  <c r="BI827" i="8"/>
  <c r="CG826" i="8"/>
  <c r="CB826" i="8"/>
  <c r="BW826" i="8"/>
  <c r="BR826" i="8"/>
  <c r="BL826" i="8"/>
  <c r="CJ825" i="8"/>
  <c r="CF825" i="8"/>
  <c r="CA825" i="8"/>
  <c r="BV825" i="8"/>
  <c r="BQ825" i="8"/>
  <c r="BK825" i="8"/>
  <c r="CI824" i="8"/>
  <c r="CD824" i="8"/>
  <c r="BY824" i="8"/>
  <c r="BT824" i="8"/>
  <c r="BP824" i="8"/>
  <c r="BJ824" i="8"/>
  <c r="CH823" i="8"/>
  <c r="CC823" i="8"/>
  <c r="BX823" i="8"/>
  <c r="BS823" i="8"/>
  <c r="BO823" i="8"/>
  <c r="BI823" i="8"/>
  <c r="CG822" i="8"/>
  <c r="CB822" i="8"/>
  <c r="BW822" i="8"/>
  <c r="BR822" i="8"/>
  <c r="BL822" i="8"/>
  <c r="CJ821" i="8"/>
  <c r="CF821" i="8"/>
  <c r="CA821" i="8"/>
  <c r="BV821" i="8"/>
  <c r="BZ821" i="8" s="1"/>
  <c r="BQ821" i="8"/>
  <c r="BK821" i="8"/>
  <c r="CI820" i="8"/>
  <c r="CD820" i="8"/>
  <c r="BY820" i="8"/>
  <c r="BT820" i="8"/>
  <c r="BP820" i="8"/>
  <c r="BJ820" i="8"/>
  <c r="CH819" i="8"/>
  <c r="CC819" i="8"/>
  <c r="BX819" i="8"/>
  <c r="BS819" i="8"/>
  <c r="BO819" i="8"/>
  <c r="BI819" i="8"/>
  <c r="CG818" i="8"/>
  <c r="CB818" i="8"/>
  <c r="BW818" i="8"/>
  <c r="BR818" i="8"/>
  <c r="BL818" i="8"/>
  <c r="CJ817" i="8"/>
  <c r="CF817" i="8"/>
  <c r="CA817" i="8"/>
  <c r="BV817" i="8"/>
  <c r="BQ817" i="8"/>
  <c r="BK817" i="8"/>
  <c r="CI816" i="8"/>
  <c r="CD816" i="8"/>
  <c r="BY816" i="8"/>
  <c r="BT816" i="8"/>
  <c r="BP816" i="8"/>
  <c r="BJ816" i="8"/>
  <c r="CH815" i="8"/>
  <c r="CC815" i="8"/>
  <c r="BX815" i="8"/>
  <c r="BS815" i="8"/>
  <c r="BO815" i="8"/>
  <c r="BI815" i="8"/>
  <c r="CG814" i="8"/>
  <c r="CB814" i="8"/>
  <c r="BW814" i="8"/>
  <c r="BR814" i="8"/>
  <c r="BL814" i="8"/>
  <c r="CJ813" i="8"/>
  <c r="CF813" i="8"/>
  <c r="CA813" i="8"/>
  <c r="BV813" i="8"/>
  <c r="BQ813" i="8"/>
  <c r="BK813" i="8"/>
  <c r="CI812" i="8"/>
  <c r="CD812" i="8"/>
  <c r="BY812" i="8"/>
  <c r="BT812" i="8"/>
  <c r="BP812" i="8"/>
  <c r="BJ812" i="8"/>
  <c r="CH811" i="8"/>
  <c r="CC811" i="8"/>
  <c r="BX811" i="8"/>
  <c r="BS811" i="8"/>
  <c r="BO811" i="8"/>
  <c r="BI811" i="8"/>
  <c r="CG810" i="8"/>
  <c r="CB810" i="8"/>
  <c r="BW810" i="8"/>
  <c r="BR810" i="8"/>
  <c r="BL810" i="8"/>
  <c r="CJ809" i="8"/>
  <c r="CF809" i="8"/>
  <c r="CA809" i="8"/>
  <c r="BV809" i="8"/>
  <c r="BQ809" i="8"/>
  <c r="BK809" i="8"/>
  <c r="CI808" i="8"/>
  <c r="CD808" i="8"/>
  <c r="BY808" i="8"/>
  <c r="BT808" i="8"/>
  <c r="BP808" i="8"/>
  <c r="BJ808" i="8"/>
  <c r="CH807" i="8"/>
  <c r="CC807" i="8"/>
  <c r="BX807" i="8"/>
  <c r="BS807" i="8"/>
  <c r="BO807" i="8"/>
  <c r="BI807" i="8"/>
  <c r="CG806" i="8"/>
  <c r="CB806" i="8"/>
  <c r="BW806" i="8"/>
  <c r="BR806" i="8"/>
  <c r="BL806" i="8"/>
  <c r="CJ805" i="8"/>
  <c r="CF805" i="8"/>
  <c r="CA805" i="8"/>
  <c r="BV805" i="8"/>
  <c r="BZ805" i="8" s="1"/>
  <c r="BQ805" i="8"/>
  <c r="BK805" i="8"/>
  <c r="CI804" i="8"/>
  <c r="CD804" i="8"/>
  <c r="BY804" i="8"/>
  <c r="BT804" i="8"/>
  <c r="BP804" i="8"/>
  <c r="BJ804" i="8"/>
  <c r="CH803" i="8"/>
  <c r="CC803" i="8"/>
  <c r="BX803" i="8"/>
  <c r="BS803" i="8"/>
  <c r="BO803" i="8"/>
  <c r="BI803" i="8"/>
  <c r="CG802" i="8"/>
  <c r="CB802" i="8"/>
  <c r="BW802" i="8"/>
  <c r="BR802" i="8"/>
  <c r="BL802" i="8"/>
  <c r="CJ801" i="8"/>
  <c r="CF801" i="8"/>
  <c r="CA801" i="8"/>
  <c r="BV801" i="8"/>
  <c r="BQ801" i="8"/>
  <c r="BK801" i="8"/>
  <c r="CI800" i="8"/>
  <c r="CD800" i="8"/>
  <c r="BY800" i="8"/>
  <c r="BT800" i="8"/>
  <c r="BP800" i="8"/>
  <c r="BJ800" i="8"/>
  <c r="CH799" i="8"/>
  <c r="CC799" i="8"/>
  <c r="BX799" i="8"/>
  <c r="BS799" i="8"/>
  <c r="BO799" i="8"/>
  <c r="BI799" i="8"/>
  <c r="CG798" i="8"/>
  <c r="CB798" i="8"/>
  <c r="BW798" i="8"/>
  <c r="BR798" i="8"/>
  <c r="BL798" i="8"/>
  <c r="CJ797" i="8"/>
  <c r="CF797" i="8"/>
  <c r="CA797" i="8"/>
  <c r="BV797" i="8"/>
  <c r="BQ797" i="8"/>
  <c r="BK797" i="8"/>
  <c r="CI796" i="8"/>
  <c r="CD796" i="8"/>
  <c r="BY796" i="8"/>
  <c r="BT796" i="8"/>
  <c r="BP796" i="8"/>
  <c r="BJ796" i="8"/>
  <c r="CH795" i="8"/>
  <c r="CC795" i="8"/>
  <c r="BX795" i="8"/>
  <c r="BS795" i="8"/>
  <c r="BO795" i="8"/>
  <c r="BI795" i="8"/>
  <c r="CG794" i="8"/>
  <c r="CB794" i="8"/>
  <c r="BW794" i="8"/>
  <c r="BR794" i="8"/>
  <c r="BO938" i="8"/>
  <c r="CI933" i="8"/>
  <c r="BV929" i="8"/>
  <c r="BZ929" i="8" s="1"/>
  <c r="BY919" i="8"/>
  <c r="BL915" i="8"/>
  <c r="BV906" i="8"/>
  <c r="BZ906" i="8" s="1"/>
  <c r="CA904" i="8"/>
  <c r="BL897" i="8"/>
  <c r="BT894" i="8"/>
  <c r="BX887" i="8"/>
  <c r="BP884" i="8"/>
  <c r="BQ883" i="8"/>
  <c r="BL882" i="8"/>
  <c r="CG880" i="8"/>
  <c r="CC879" i="8"/>
  <c r="CD878" i="8"/>
  <c r="BV875" i="8"/>
  <c r="BZ875" i="8" s="1"/>
  <c r="CF872" i="8"/>
  <c r="CF870" i="8"/>
  <c r="BT869" i="8"/>
  <c r="BV868" i="8"/>
  <c r="BZ868" i="8" s="1"/>
  <c r="BY867" i="8"/>
  <c r="BO866" i="8"/>
  <c r="CF864" i="8"/>
  <c r="BT863" i="8"/>
  <c r="BI862" i="8"/>
  <c r="CA860" i="8"/>
  <c r="BP859" i="8"/>
  <c r="CG857" i="8"/>
  <c r="CC856" i="8"/>
  <c r="BI856" i="8"/>
  <c r="BR855" i="8"/>
  <c r="CA854" i="8"/>
  <c r="CI853" i="8"/>
  <c r="BP853" i="8"/>
  <c r="BX852" i="8"/>
  <c r="CG851" i="8"/>
  <c r="BL851" i="8"/>
  <c r="BV850" i="8"/>
  <c r="CD849" i="8"/>
  <c r="BJ849" i="8"/>
  <c r="BS848" i="8"/>
  <c r="CB847" i="8"/>
  <c r="CJ846" i="8"/>
  <c r="BQ846" i="8"/>
  <c r="BY845" i="8"/>
  <c r="CH844" i="8"/>
  <c r="BO844" i="8"/>
  <c r="BW843" i="8"/>
  <c r="CF842" i="8"/>
  <c r="BK842" i="8"/>
  <c r="BT841" i="8"/>
  <c r="CC840" i="8"/>
  <c r="BI840" i="8"/>
  <c r="BR839" i="8"/>
  <c r="CA838" i="8"/>
  <c r="CI837" i="8"/>
  <c r="BP837" i="8"/>
  <c r="BX836" i="8"/>
  <c r="CG835" i="8"/>
  <c r="BL835" i="8"/>
  <c r="BV834" i="8"/>
  <c r="BZ834" i="8" s="1"/>
  <c r="CD833" i="8"/>
  <c r="BJ833" i="8"/>
  <c r="BS832" i="8"/>
  <c r="CB831" i="8"/>
  <c r="CJ830" i="8"/>
  <c r="BQ830" i="8"/>
  <c r="BY829" i="8"/>
  <c r="CH828" i="8"/>
  <c r="BO828" i="8"/>
  <c r="BW827" i="8"/>
  <c r="CF826" i="8"/>
  <c r="BK826" i="8"/>
  <c r="BT825" i="8"/>
  <c r="CC824" i="8"/>
  <c r="BI824" i="8"/>
  <c r="BR823" i="8"/>
  <c r="CA822" i="8"/>
  <c r="CI821" i="8"/>
  <c r="BP821" i="8"/>
  <c r="BX820" i="8"/>
  <c r="CG819" i="8"/>
  <c r="BL819" i="8"/>
  <c r="BV818" i="8"/>
  <c r="CD817" i="8"/>
  <c r="BJ817" i="8"/>
  <c r="BS816" i="8"/>
  <c r="CJ815" i="8"/>
  <c r="CA815" i="8"/>
  <c r="CE815" i="8" s="1"/>
  <c r="BQ815" i="8"/>
  <c r="CI814" i="8"/>
  <c r="BY814" i="8"/>
  <c r="BP814" i="8"/>
  <c r="CH813" i="8"/>
  <c r="BX813" i="8"/>
  <c r="BO813" i="8"/>
  <c r="CG812" i="8"/>
  <c r="BW812" i="8"/>
  <c r="BL812" i="8"/>
  <c r="CF811" i="8"/>
  <c r="BV811" i="8"/>
  <c r="BK811" i="8"/>
  <c r="CD810" i="8"/>
  <c r="BT810" i="8"/>
  <c r="BJ810" i="8"/>
  <c r="CC809" i="8"/>
  <c r="BS809" i="8"/>
  <c r="BI809" i="8"/>
  <c r="CB808" i="8"/>
  <c r="BR808" i="8"/>
  <c r="CJ807" i="8"/>
  <c r="CA807" i="8"/>
  <c r="BQ807" i="8"/>
  <c r="CI806" i="8"/>
  <c r="BY806" i="8"/>
  <c r="BP806" i="8"/>
  <c r="CH805" i="8"/>
  <c r="BX805" i="8"/>
  <c r="BO805" i="8"/>
  <c r="CG804" i="8"/>
  <c r="BW804" i="8"/>
  <c r="BL804" i="8"/>
  <c r="CF803" i="8"/>
  <c r="BV803" i="8"/>
  <c r="BK803" i="8"/>
  <c r="CD802" i="8"/>
  <c r="BT802" i="8"/>
  <c r="BJ802" i="8"/>
  <c r="CC801" i="8"/>
  <c r="BS801" i="8"/>
  <c r="BI801" i="8"/>
  <c r="CB800" i="8"/>
  <c r="BR800" i="8"/>
  <c r="CJ799" i="8"/>
  <c r="CA799" i="8"/>
  <c r="BQ799" i="8"/>
  <c r="CI798" i="8"/>
  <c r="BY798" i="8"/>
  <c r="BP798" i="8"/>
  <c r="CH797" i="8"/>
  <c r="BX797" i="8"/>
  <c r="BO797" i="8"/>
  <c r="CG796" i="8"/>
  <c r="BW796" i="8"/>
  <c r="BL796" i="8"/>
  <c r="CF795" i="8"/>
  <c r="BV795" i="8"/>
  <c r="BZ795" i="8" s="1"/>
  <c r="BK795" i="8"/>
  <c r="CD794" i="8"/>
  <c r="BT794" i="8"/>
  <c r="BL794" i="8"/>
  <c r="CJ793" i="8"/>
  <c r="CF793" i="8"/>
  <c r="CA793" i="8"/>
  <c r="BV793" i="8"/>
  <c r="BZ793" i="8" s="1"/>
  <c r="BQ793" i="8"/>
  <c r="BK793" i="8"/>
  <c r="CI792" i="8"/>
  <c r="CD792" i="8"/>
  <c r="BY792" i="8"/>
  <c r="BT792" i="8"/>
  <c r="BP792" i="8"/>
  <c r="BJ792" i="8"/>
  <c r="CH791" i="8"/>
  <c r="CC791" i="8"/>
  <c r="BX791" i="8"/>
  <c r="BS791" i="8"/>
  <c r="BO791" i="8"/>
  <c r="BI791" i="8"/>
  <c r="CG790" i="8"/>
  <c r="CB790" i="8"/>
  <c r="BW790" i="8"/>
  <c r="BR790" i="8"/>
  <c r="BL790" i="8"/>
  <c r="CJ789" i="8"/>
  <c r="CF789" i="8"/>
  <c r="CA789" i="8"/>
  <c r="BV789" i="8"/>
  <c r="BZ789" i="8" s="1"/>
  <c r="BQ789" i="8"/>
  <c r="BK789" i="8"/>
  <c r="CI788" i="8"/>
  <c r="CD788" i="8"/>
  <c r="BY788" i="8"/>
  <c r="BT788" i="8"/>
  <c r="BP788" i="8"/>
  <c r="BJ788" i="8"/>
  <c r="CH787" i="8"/>
  <c r="CC787" i="8"/>
  <c r="BX787" i="8"/>
  <c r="BS787" i="8"/>
  <c r="BO787" i="8"/>
  <c r="BI787" i="8"/>
  <c r="CG786" i="8"/>
  <c r="CB786" i="8"/>
  <c r="BW786" i="8"/>
  <c r="BR786" i="8"/>
  <c r="BL786" i="8"/>
  <c r="CJ785" i="8"/>
  <c r="CF785" i="8"/>
  <c r="CA785" i="8"/>
  <c r="BV785" i="8"/>
  <c r="BQ785" i="8"/>
  <c r="BK785" i="8"/>
  <c r="CI784" i="8"/>
  <c r="CD784" i="8"/>
  <c r="BY784" i="8"/>
  <c r="BT784" i="8"/>
  <c r="BP784" i="8"/>
  <c r="BJ784" i="8"/>
  <c r="CH783" i="8"/>
  <c r="CC783" i="8"/>
  <c r="BX783" i="8"/>
  <c r="BS783" i="8"/>
  <c r="BO783" i="8"/>
  <c r="BI783" i="8"/>
  <c r="CG782" i="8"/>
  <c r="CB782" i="8"/>
  <c r="BW782" i="8"/>
  <c r="BR782" i="8"/>
  <c r="BL782" i="8"/>
  <c r="CJ781" i="8"/>
  <c r="CF781" i="8"/>
  <c r="CA781" i="8"/>
  <c r="BV781" i="8"/>
  <c r="BQ781" i="8"/>
  <c r="BK781" i="8"/>
  <c r="CI780" i="8"/>
  <c r="CD780" i="8"/>
  <c r="BY780" i="8"/>
  <c r="BT780" i="8"/>
  <c r="BP780" i="8"/>
  <c r="BJ780" i="8"/>
  <c r="CH779" i="8"/>
  <c r="CC779" i="8"/>
  <c r="BX779" i="8"/>
  <c r="BS779" i="8"/>
  <c r="BO779" i="8"/>
  <c r="BI779" i="8"/>
  <c r="CG778" i="8"/>
  <c r="CB778" i="8"/>
  <c r="BW778" i="8"/>
  <c r="BR778" i="8"/>
  <c r="BL778" i="8"/>
  <c r="CJ777" i="8"/>
  <c r="CF777" i="8"/>
  <c r="CA777" i="8"/>
  <c r="BV777" i="8"/>
  <c r="BQ777" i="8"/>
  <c r="BK777" i="8"/>
  <c r="CI776" i="8"/>
  <c r="CD776" i="8"/>
  <c r="BY776" i="8"/>
  <c r="BT776" i="8"/>
  <c r="BP776" i="8"/>
  <c r="BJ776" i="8"/>
  <c r="CH775" i="8"/>
  <c r="CC775" i="8"/>
  <c r="BX775" i="8"/>
  <c r="BS775" i="8"/>
  <c r="BO775" i="8"/>
  <c r="BI775" i="8"/>
  <c r="CG774" i="8"/>
  <c r="CB774" i="8"/>
  <c r="BW774" i="8"/>
  <c r="BR774" i="8"/>
  <c r="BL774" i="8"/>
  <c r="CJ773" i="8"/>
  <c r="CF773" i="8"/>
  <c r="CA773" i="8"/>
  <c r="BV773" i="8"/>
  <c r="BQ773" i="8"/>
  <c r="BK773" i="8"/>
  <c r="CI772" i="8"/>
  <c r="CD772" i="8"/>
  <c r="BY772" i="8"/>
  <c r="BT772" i="8"/>
  <c r="BP772" i="8"/>
  <c r="BJ772" i="8"/>
  <c r="CH771" i="8"/>
  <c r="CC771" i="8"/>
  <c r="BX771" i="8"/>
  <c r="BS771" i="8"/>
  <c r="BO771" i="8"/>
  <c r="BI771" i="8"/>
  <c r="CG770" i="8"/>
  <c r="CB770" i="8"/>
  <c r="BW770" i="8"/>
  <c r="BR770" i="8"/>
  <c r="BL770" i="8"/>
  <c r="CJ769" i="8"/>
  <c r="CF769" i="8"/>
  <c r="CA769" i="8"/>
  <c r="BV769" i="8"/>
  <c r="BQ769" i="8"/>
  <c r="BK769" i="8"/>
  <c r="CI768" i="8"/>
  <c r="CD768" i="8"/>
  <c r="BY768" i="8"/>
  <c r="BT768" i="8"/>
  <c r="BP768" i="8"/>
  <c r="BJ768" i="8"/>
  <c r="CH767" i="8"/>
  <c r="CC767" i="8"/>
  <c r="BX767" i="8"/>
  <c r="BS767" i="8"/>
  <c r="BO767" i="8"/>
  <c r="BI767" i="8"/>
  <c r="CG766" i="8"/>
  <c r="CB766" i="8"/>
  <c r="BW766" i="8"/>
  <c r="BR766" i="8"/>
  <c r="BL766" i="8"/>
  <c r="CJ765" i="8"/>
  <c r="CF765" i="8"/>
  <c r="CA765" i="8"/>
  <c r="BV765" i="8"/>
  <c r="BZ765" i="8" s="1"/>
  <c r="BQ765" i="8"/>
  <c r="BK765" i="8"/>
  <c r="CI764" i="8"/>
  <c r="CD764" i="8"/>
  <c r="BY764" i="8"/>
  <c r="BT764" i="8"/>
  <c r="BP764" i="8"/>
  <c r="BJ764" i="8"/>
  <c r="CH763" i="8"/>
  <c r="CC763" i="8"/>
  <c r="BX763" i="8"/>
  <c r="BS763" i="8"/>
  <c r="BO763" i="8"/>
  <c r="BI763" i="8"/>
  <c r="CG762" i="8"/>
  <c r="CB762" i="8"/>
  <c r="BW762" i="8"/>
  <c r="BR762" i="8"/>
  <c r="BL762" i="8"/>
  <c r="CJ761" i="8"/>
  <c r="CF761" i="8"/>
  <c r="CA761" i="8"/>
  <c r="BV761" i="8"/>
  <c r="BQ761" i="8"/>
  <c r="BK761" i="8"/>
  <c r="CI760" i="8"/>
  <c r="CD760" i="8"/>
  <c r="BY760" i="8"/>
  <c r="BT760" i="8"/>
  <c r="BP760" i="8"/>
  <c r="BJ760" i="8"/>
  <c r="CH759" i="8"/>
  <c r="CC759" i="8"/>
  <c r="BX759" i="8"/>
  <c r="BS759" i="8"/>
  <c r="BO759" i="8"/>
  <c r="BI759" i="8"/>
  <c r="CG758" i="8"/>
  <c r="CB758" i="8"/>
  <c r="BW758" i="8"/>
  <c r="BR758" i="8"/>
  <c r="BL758" i="8"/>
  <c r="CJ757" i="8"/>
  <c r="CF757" i="8"/>
  <c r="CA757" i="8"/>
  <c r="BV757" i="8"/>
  <c r="BQ757" i="8"/>
  <c r="BK757" i="8"/>
  <c r="CI756" i="8"/>
  <c r="CD756" i="8"/>
  <c r="BY756" i="8"/>
  <c r="BT756" i="8"/>
  <c r="BP756" i="8"/>
  <c r="BJ756" i="8"/>
  <c r="CH755" i="8"/>
  <c r="CC755" i="8"/>
  <c r="BX755" i="8"/>
  <c r="BS755" i="8"/>
  <c r="BO755" i="8"/>
  <c r="BI755" i="8"/>
  <c r="CG754" i="8"/>
  <c r="CB754" i="8"/>
  <c r="BW754" i="8"/>
  <c r="BR754" i="8"/>
  <c r="BL754" i="8"/>
  <c r="CJ753" i="8"/>
  <c r="CF753" i="8"/>
  <c r="CA753" i="8"/>
  <c r="BV753" i="8"/>
  <c r="BQ753" i="8"/>
  <c r="BK753" i="8"/>
  <c r="CI752" i="8"/>
  <c r="CD752" i="8"/>
  <c r="BY752" i="8"/>
  <c r="BT752" i="8"/>
  <c r="BP752" i="8"/>
  <c r="BJ752" i="8"/>
  <c r="CH751" i="8"/>
  <c r="CC751" i="8"/>
  <c r="BX751" i="8"/>
  <c r="BS751" i="8"/>
  <c r="BO751" i="8"/>
  <c r="BI751" i="8"/>
  <c r="CG750" i="8"/>
  <c r="CB750" i="8"/>
  <c r="BW750" i="8"/>
  <c r="BR750" i="8"/>
  <c r="BL750" i="8"/>
  <c r="CJ749" i="8"/>
  <c r="CF749" i="8"/>
  <c r="CA749" i="8"/>
  <c r="BV749" i="8"/>
  <c r="BQ749" i="8"/>
  <c r="BK749" i="8"/>
  <c r="CI748" i="8"/>
  <c r="CD748" i="8"/>
  <c r="BY748" i="8"/>
  <c r="BT748" i="8"/>
  <c r="BP748" i="8"/>
  <c r="BJ748" i="8"/>
  <c r="CH747" i="8"/>
  <c r="CC747" i="8"/>
  <c r="BX747" i="8"/>
  <c r="BS747" i="8"/>
  <c r="BO747" i="8"/>
  <c r="BI747" i="8"/>
  <c r="CG746" i="8"/>
  <c r="CB746" i="8"/>
  <c r="BW746" i="8"/>
  <c r="BR746" i="8"/>
  <c r="BL746" i="8"/>
  <c r="CJ745" i="8"/>
  <c r="CF745" i="8"/>
  <c r="CA745" i="8"/>
  <c r="BV745" i="8"/>
  <c r="BZ745" i="8" s="1"/>
  <c r="BQ745" i="8"/>
  <c r="BK745" i="8"/>
  <c r="CI744" i="8"/>
  <c r="CD744" i="8"/>
  <c r="BY744" i="8"/>
  <c r="BT744" i="8"/>
  <c r="BP744" i="8"/>
  <c r="BJ744" i="8"/>
  <c r="CH743" i="8"/>
  <c r="CC743" i="8"/>
  <c r="BX743" i="8"/>
  <c r="BS743" i="8"/>
  <c r="BO743" i="8"/>
  <c r="BI743" i="8"/>
  <c r="CG742" i="8"/>
  <c r="CB742" i="8"/>
  <c r="BW742" i="8"/>
  <c r="BR742" i="8"/>
  <c r="BL742" i="8"/>
  <c r="CJ741" i="8"/>
  <c r="CF741" i="8"/>
  <c r="CA741" i="8"/>
  <c r="BV741" i="8"/>
  <c r="BQ741" i="8"/>
  <c r="BK741" i="8"/>
  <c r="CI740" i="8"/>
  <c r="CD740" i="8"/>
  <c r="BY740" i="8"/>
  <c r="BT740" i="8"/>
  <c r="BP740" i="8"/>
  <c r="BJ740" i="8"/>
  <c r="CH739" i="8"/>
  <c r="CC739" i="8"/>
  <c r="BX739" i="8"/>
  <c r="BS739" i="8"/>
  <c r="BO739" i="8"/>
  <c r="BI739" i="8"/>
  <c r="CG738" i="8"/>
  <c r="CB738" i="8"/>
  <c r="BW738" i="8"/>
  <c r="BR738" i="8"/>
  <c r="BL738" i="8"/>
  <c r="CJ737" i="8"/>
  <c r="CF737" i="8"/>
  <c r="CA737" i="8"/>
  <c r="BV737" i="8"/>
  <c r="BQ737" i="8"/>
  <c r="BK737" i="8"/>
  <c r="CI736" i="8"/>
  <c r="CD736" i="8"/>
  <c r="BY736" i="8"/>
  <c r="BT736" i="8"/>
  <c r="BP736" i="8"/>
  <c r="BJ736" i="8"/>
  <c r="CH735" i="8"/>
  <c r="CC735" i="8"/>
  <c r="BX735" i="8"/>
  <c r="BS735" i="8"/>
  <c r="BO735" i="8"/>
  <c r="BI735" i="8"/>
  <c r="CG734" i="8"/>
  <c r="CH945" i="8"/>
  <c r="BY935" i="8"/>
  <c r="BK931" i="8"/>
  <c r="BQ916" i="8"/>
  <c r="CF912" i="8"/>
  <c r="BP907" i="8"/>
  <c r="BW898" i="8"/>
  <c r="BS895" i="8"/>
  <c r="CD892" i="8"/>
  <c r="CF891" i="8"/>
  <c r="CB890" i="8"/>
  <c r="CB888" i="8"/>
  <c r="BT885" i="8"/>
  <c r="BL880" i="8"/>
  <c r="BI879" i="8"/>
  <c r="BJ878" i="8"/>
  <c r="BT876" i="8"/>
  <c r="CB873" i="8"/>
  <c r="BV872" i="8"/>
  <c r="BZ872" i="8" s="1"/>
  <c r="CG871" i="8"/>
  <c r="BV870" i="8"/>
  <c r="BZ870" i="8" s="1"/>
  <c r="BJ869" i="8"/>
  <c r="BK868" i="8"/>
  <c r="BP867" i="8"/>
  <c r="CG865" i="8"/>
  <c r="BV864" i="8"/>
  <c r="BZ864" i="8" s="1"/>
  <c r="BJ863" i="8"/>
  <c r="CB861" i="8"/>
  <c r="BQ860" i="8"/>
  <c r="CH858" i="8"/>
  <c r="BW857" i="8"/>
  <c r="BX856" i="8"/>
  <c r="CG855" i="8"/>
  <c r="BL855" i="8"/>
  <c r="BV854" i="8"/>
  <c r="CD853" i="8"/>
  <c r="BJ853" i="8"/>
  <c r="BS852" i="8"/>
  <c r="CB851" i="8"/>
  <c r="CJ850" i="8"/>
  <c r="BQ850" i="8"/>
  <c r="BY849" i="8"/>
  <c r="CH848" i="8"/>
  <c r="BO848" i="8"/>
  <c r="BW847" i="8"/>
  <c r="CF846" i="8"/>
  <c r="BK846" i="8"/>
  <c r="BT845" i="8"/>
  <c r="CC844" i="8"/>
  <c r="BI844" i="8"/>
  <c r="BR843" i="8"/>
  <c r="CA842" i="8"/>
  <c r="CI841" i="8"/>
  <c r="BP841" i="8"/>
  <c r="BX840" i="8"/>
  <c r="CG839" i="8"/>
  <c r="BL839" i="8"/>
  <c r="BV838" i="8"/>
  <c r="BZ838" i="8" s="1"/>
  <c r="CD837" i="8"/>
  <c r="BJ837" i="8"/>
  <c r="BS836" i="8"/>
  <c r="CB835" i="8"/>
  <c r="CJ834" i="8"/>
  <c r="BQ834" i="8"/>
  <c r="BY833" i="8"/>
  <c r="CH832" i="8"/>
  <c r="BO832" i="8"/>
  <c r="BW831" i="8"/>
  <c r="CF830" i="8"/>
  <c r="BK830" i="8"/>
  <c r="BT829" i="8"/>
  <c r="CC828" i="8"/>
  <c r="BI828" i="8"/>
  <c r="BR827" i="8"/>
  <c r="CA826" i="8"/>
  <c r="CI825" i="8"/>
  <c r="BP825" i="8"/>
  <c r="BX824" i="8"/>
  <c r="CG823" i="8"/>
  <c r="BL823" i="8"/>
  <c r="BV822" i="8"/>
  <c r="BZ822" i="8" s="1"/>
  <c r="CD821" i="8"/>
  <c r="BJ821" i="8"/>
  <c r="BS820" i="8"/>
  <c r="CB819" i="8"/>
  <c r="CJ818" i="8"/>
  <c r="BQ818" i="8"/>
  <c r="BY817" i="8"/>
  <c r="CH816" i="8"/>
  <c r="BO816" i="8"/>
  <c r="CG815" i="8"/>
  <c r="BW815" i="8"/>
  <c r="BL815" i="8"/>
  <c r="CF814" i="8"/>
  <c r="BV814" i="8"/>
  <c r="BK814" i="8"/>
  <c r="CD813" i="8"/>
  <c r="BT813" i="8"/>
  <c r="BJ813" i="8"/>
  <c r="CC812" i="8"/>
  <c r="BS812" i="8"/>
  <c r="BI812" i="8"/>
  <c r="CB811" i="8"/>
  <c r="BR811" i="8"/>
  <c r="CJ810" i="8"/>
  <c r="CA810" i="8"/>
  <c r="BQ810" i="8"/>
  <c r="CI809" i="8"/>
  <c r="BY809" i="8"/>
  <c r="BP809" i="8"/>
  <c r="CH808" i="8"/>
  <c r="BX808" i="8"/>
  <c r="BO808" i="8"/>
  <c r="CG807" i="8"/>
  <c r="BW807" i="8"/>
  <c r="BL807" i="8"/>
  <c r="CF806" i="8"/>
  <c r="BV806" i="8"/>
  <c r="BZ806" i="8" s="1"/>
  <c r="BK806" i="8"/>
  <c r="CD805" i="8"/>
  <c r="BT805" i="8"/>
  <c r="BJ805" i="8"/>
  <c r="CC804" i="8"/>
  <c r="BS804" i="8"/>
  <c r="BI804" i="8"/>
  <c r="CB803" i="8"/>
  <c r="BR803" i="8"/>
  <c r="CJ802" i="8"/>
  <c r="CA802" i="8"/>
  <c r="BQ802" i="8"/>
  <c r="CI801" i="8"/>
  <c r="BY801" i="8"/>
  <c r="BP801" i="8"/>
  <c r="CH800" i="8"/>
  <c r="BX800" i="8"/>
  <c r="BO800" i="8"/>
  <c r="CG799" i="8"/>
  <c r="BW799" i="8"/>
  <c r="BL799" i="8"/>
  <c r="CF798" i="8"/>
  <c r="BV798" i="8"/>
  <c r="BK798" i="8"/>
  <c r="CD797" i="8"/>
  <c r="BT797" i="8"/>
  <c r="BJ797" i="8"/>
  <c r="CC796" i="8"/>
  <c r="BS796" i="8"/>
  <c r="BI796" i="8"/>
  <c r="CB795" i="8"/>
  <c r="BR795" i="8"/>
  <c r="CJ794" i="8"/>
  <c r="CA794" i="8"/>
  <c r="BQ794" i="8"/>
  <c r="BK794" i="8"/>
  <c r="CI793" i="8"/>
  <c r="CD793" i="8"/>
  <c r="BY793" i="8"/>
  <c r="BT793" i="8"/>
  <c r="BP793" i="8"/>
  <c r="BJ793" i="8"/>
  <c r="CH792" i="8"/>
  <c r="CC792" i="8"/>
  <c r="BX792" i="8"/>
  <c r="BS792" i="8"/>
  <c r="BO792" i="8"/>
  <c r="BI792" i="8"/>
  <c r="CG791" i="8"/>
  <c r="CB791" i="8"/>
  <c r="BW791" i="8"/>
  <c r="BR791" i="8"/>
  <c r="BL791" i="8"/>
  <c r="CJ790" i="8"/>
  <c r="CF790" i="8"/>
  <c r="CA790" i="8"/>
  <c r="BV790" i="8"/>
  <c r="BZ790" i="8" s="1"/>
  <c r="BQ790" i="8"/>
  <c r="BK790" i="8"/>
  <c r="CI789" i="8"/>
  <c r="CD789" i="8"/>
  <c r="BY789" i="8"/>
  <c r="BT789" i="8"/>
  <c r="BP789" i="8"/>
  <c r="BJ789" i="8"/>
  <c r="CH788" i="8"/>
  <c r="CC788" i="8"/>
  <c r="BX788" i="8"/>
  <c r="BS788" i="8"/>
  <c r="BO788" i="8"/>
  <c r="BI788" i="8"/>
  <c r="CG787" i="8"/>
  <c r="CB787" i="8"/>
  <c r="BW787" i="8"/>
  <c r="BR787" i="8"/>
  <c r="BL787" i="8"/>
  <c r="CJ786" i="8"/>
  <c r="CF786" i="8"/>
  <c r="CA786" i="8"/>
  <c r="BV786" i="8"/>
  <c r="BQ786" i="8"/>
  <c r="BK786" i="8"/>
  <c r="CI785" i="8"/>
  <c r="CD785" i="8"/>
  <c r="BY785" i="8"/>
  <c r="BT785" i="8"/>
  <c r="BP785" i="8"/>
  <c r="BJ785" i="8"/>
  <c r="CH784" i="8"/>
  <c r="CC784" i="8"/>
  <c r="BX784" i="8"/>
  <c r="BS784" i="8"/>
  <c r="BO784" i="8"/>
  <c r="BI784" i="8"/>
  <c r="CG783" i="8"/>
  <c r="CB783" i="8"/>
  <c r="BW783" i="8"/>
  <c r="BR783" i="8"/>
  <c r="BL783" i="8"/>
  <c r="CJ782" i="8"/>
  <c r="CF782" i="8"/>
  <c r="CA782" i="8"/>
  <c r="BV782" i="8"/>
  <c r="BQ782" i="8"/>
  <c r="BK782" i="8"/>
  <c r="CI781" i="8"/>
  <c r="CD781" i="8"/>
  <c r="BY781" i="8"/>
  <c r="BT781" i="8"/>
  <c r="BP781" i="8"/>
  <c r="BJ781" i="8"/>
  <c r="CH780" i="8"/>
  <c r="CC780" i="8"/>
  <c r="BX780" i="8"/>
  <c r="BS780" i="8"/>
  <c r="BO780" i="8"/>
  <c r="BI780" i="8"/>
  <c r="CG779" i="8"/>
  <c r="CB779" i="8"/>
  <c r="BW779" i="8"/>
  <c r="BR779" i="8"/>
  <c r="BL779" i="8"/>
  <c r="CJ778" i="8"/>
  <c r="CF778" i="8"/>
  <c r="CA778" i="8"/>
  <c r="BV778" i="8"/>
  <c r="BQ778" i="8"/>
  <c r="BK778" i="8"/>
  <c r="CI777" i="8"/>
  <c r="CD777" i="8"/>
  <c r="BY777" i="8"/>
  <c r="BT777" i="8"/>
  <c r="BP777" i="8"/>
  <c r="BJ777" i="8"/>
  <c r="CH776" i="8"/>
  <c r="CC776" i="8"/>
  <c r="BX776" i="8"/>
  <c r="BS776" i="8"/>
  <c r="BO776" i="8"/>
  <c r="BI776" i="8"/>
  <c r="CG775" i="8"/>
  <c r="CB775" i="8"/>
  <c r="BW775" i="8"/>
  <c r="BR775" i="8"/>
  <c r="BL775" i="8"/>
  <c r="CJ774" i="8"/>
  <c r="CF774" i="8"/>
  <c r="CA774" i="8"/>
  <c r="BV774" i="8"/>
  <c r="BQ774" i="8"/>
  <c r="BK774" i="8"/>
  <c r="CI773" i="8"/>
  <c r="CD773" i="8"/>
  <c r="BY773" i="8"/>
  <c r="BT773" i="8"/>
  <c r="BP773" i="8"/>
  <c r="BJ773" i="8"/>
  <c r="CH772" i="8"/>
  <c r="CC772" i="8"/>
  <c r="BX772" i="8"/>
  <c r="BS772" i="8"/>
  <c r="BO772" i="8"/>
  <c r="BI772" i="8"/>
  <c r="CG771" i="8"/>
  <c r="CB771" i="8"/>
  <c r="BW771" i="8"/>
  <c r="BR771" i="8"/>
  <c r="BL771" i="8"/>
  <c r="CJ770" i="8"/>
  <c r="CF770" i="8"/>
  <c r="CA770" i="8"/>
  <c r="BV770" i="8"/>
  <c r="BQ770" i="8"/>
  <c r="BK770" i="8"/>
  <c r="CI769" i="8"/>
  <c r="CD769" i="8"/>
  <c r="BY769" i="8"/>
  <c r="BT769" i="8"/>
  <c r="BP769" i="8"/>
  <c r="BJ769" i="8"/>
  <c r="CH768" i="8"/>
  <c r="CC768" i="8"/>
  <c r="BX768" i="8"/>
  <c r="BS768" i="8"/>
  <c r="BO768" i="8"/>
  <c r="BI768" i="8"/>
  <c r="CG767" i="8"/>
  <c r="CB767" i="8"/>
  <c r="BW767" i="8"/>
  <c r="BR767" i="8"/>
  <c r="BL767" i="8"/>
  <c r="CJ766" i="8"/>
  <c r="CF766" i="8"/>
  <c r="CA766" i="8"/>
  <c r="BV766" i="8"/>
  <c r="BQ766" i="8"/>
  <c r="BK766" i="8"/>
  <c r="CI765" i="8"/>
  <c r="CD765" i="8"/>
  <c r="BY765" i="8"/>
  <c r="BT765" i="8"/>
  <c r="BP765" i="8"/>
  <c r="BJ765" i="8"/>
  <c r="CH764" i="8"/>
  <c r="CC764" i="8"/>
  <c r="BX764" i="8"/>
  <c r="BS764" i="8"/>
  <c r="BO764" i="8"/>
  <c r="BI764" i="8"/>
  <c r="CG763" i="8"/>
  <c r="CB763" i="8"/>
  <c r="BW763" i="8"/>
  <c r="BR763" i="8"/>
  <c r="BL763" i="8"/>
  <c r="CJ762" i="8"/>
  <c r="CF762" i="8"/>
  <c r="CA762" i="8"/>
  <c r="BV762" i="8"/>
  <c r="BZ762" i="8" s="1"/>
  <c r="BQ762" i="8"/>
  <c r="BK762" i="8"/>
  <c r="CI761" i="8"/>
  <c r="CD761" i="8"/>
  <c r="BY761" i="8"/>
  <c r="BT761" i="8"/>
  <c r="BP761" i="8"/>
  <c r="BJ761" i="8"/>
  <c r="CH760" i="8"/>
  <c r="CC760" i="8"/>
  <c r="BX760" i="8"/>
  <c r="BS760" i="8"/>
  <c r="BO760" i="8"/>
  <c r="BI760" i="8"/>
  <c r="CG759" i="8"/>
  <c r="CB759" i="8"/>
  <c r="BW759" i="8"/>
  <c r="BR759" i="8"/>
  <c r="BL759" i="8"/>
  <c r="CJ758" i="8"/>
  <c r="CF758" i="8"/>
  <c r="CA758" i="8"/>
  <c r="BV758" i="8"/>
  <c r="BQ758" i="8"/>
  <c r="BK758" i="8"/>
  <c r="CI757" i="8"/>
  <c r="CD757" i="8"/>
  <c r="BY757" i="8"/>
  <c r="BT757" i="8"/>
  <c r="BP757" i="8"/>
  <c r="BJ757" i="8"/>
  <c r="CH756" i="8"/>
  <c r="CC756" i="8"/>
  <c r="BX756" i="8"/>
  <c r="BS756" i="8"/>
  <c r="BO756" i="8"/>
  <c r="BI756" i="8"/>
  <c r="CG755" i="8"/>
  <c r="CB755" i="8"/>
  <c r="BW755" i="8"/>
  <c r="BR755" i="8"/>
  <c r="BL755" i="8"/>
  <c r="CJ754" i="8"/>
  <c r="CF754" i="8"/>
  <c r="CA754" i="8"/>
  <c r="BV754" i="8"/>
  <c r="BQ754" i="8"/>
  <c r="BK754" i="8"/>
  <c r="CI753" i="8"/>
  <c r="CD753" i="8"/>
  <c r="BY753" i="8"/>
  <c r="BT753" i="8"/>
  <c r="BP753" i="8"/>
  <c r="BJ753" i="8"/>
  <c r="CH752" i="8"/>
  <c r="CC752" i="8"/>
  <c r="BX752" i="8"/>
  <c r="BS752" i="8"/>
  <c r="BO752" i="8"/>
  <c r="BI752" i="8"/>
  <c r="CG751" i="8"/>
  <c r="CB751" i="8"/>
  <c r="BW751" i="8"/>
  <c r="BR751" i="8"/>
  <c r="BL751" i="8"/>
  <c r="CJ750" i="8"/>
  <c r="CF750" i="8"/>
  <c r="CA750" i="8"/>
  <c r="BV750" i="8"/>
  <c r="BQ750" i="8"/>
  <c r="BK750" i="8"/>
  <c r="CI749" i="8"/>
  <c r="CD749" i="8"/>
  <c r="BY749" i="8"/>
  <c r="BT749" i="8"/>
  <c r="BP749" i="8"/>
  <c r="BJ749" i="8"/>
  <c r="CH748" i="8"/>
  <c r="CC748" i="8"/>
  <c r="BX748" i="8"/>
  <c r="BS748" i="8"/>
  <c r="BO748" i="8"/>
  <c r="BI748" i="8"/>
  <c r="CG747" i="8"/>
  <c r="CB747" i="8"/>
  <c r="BW747" i="8"/>
  <c r="BR747" i="8"/>
  <c r="BL747" i="8"/>
  <c r="CJ746" i="8"/>
  <c r="CF746" i="8"/>
  <c r="CA746" i="8"/>
  <c r="BV746" i="8"/>
  <c r="BZ746" i="8" s="1"/>
  <c r="BQ746" i="8"/>
  <c r="BK746" i="8"/>
  <c r="CI745" i="8"/>
  <c r="CD745" i="8"/>
  <c r="BY745" i="8"/>
  <c r="BT745" i="8"/>
  <c r="BP745" i="8"/>
  <c r="BJ745" i="8"/>
  <c r="CH744" i="8"/>
  <c r="CC744" i="8"/>
  <c r="BX744" i="8"/>
  <c r="BS744" i="8"/>
  <c r="BO744" i="8"/>
  <c r="BI744" i="8"/>
  <c r="CG743" i="8"/>
  <c r="CB743" i="8"/>
  <c r="BW743" i="8"/>
  <c r="BR743" i="8"/>
  <c r="BL743" i="8"/>
  <c r="CJ742" i="8"/>
  <c r="CF742" i="8"/>
  <c r="CA742" i="8"/>
  <c r="BV742" i="8"/>
  <c r="BQ742" i="8"/>
  <c r="BK742" i="8"/>
  <c r="CI741" i="8"/>
  <c r="CD741" i="8"/>
  <c r="BY741" i="8"/>
  <c r="BT741" i="8"/>
  <c r="BP741" i="8"/>
  <c r="BJ741" i="8"/>
  <c r="CH740" i="8"/>
  <c r="CC740" i="8"/>
  <c r="BX740" i="8"/>
  <c r="BS740" i="8"/>
  <c r="BO740" i="8"/>
  <c r="BI740" i="8"/>
  <c r="CG739" i="8"/>
  <c r="CB739" i="8"/>
  <c r="BW739" i="8"/>
  <c r="BR739" i="8"/>
  <c r="BL739" i="8"/>
  <c r="CJ738" i="8"/>
  <c r="CF738" i="8"/>
  <c r="CA738" i="8"/>
  <c r="BV738" i="8"/>
  <c r="BQ738" i="8"/>
  <c r="BK738" i="8"/>
  <c r="CI737" i="8"/>
  <c r="CD737" i="8"/>
  <c r="BY737" i="8"/>
  <c r="BT737" i="8"/>
  <c r="BP737" i="8"/>
  <c r="BJ737" i="8"/>
  <c r="CH736" i="8"/>
  <c r="CC736" i="8"/>
  <c r="BX736" i="8"/>
  <c r="BS736" i="8"/>
  <c r="BO736" i="8"/>
  <c r="BI736" i="8"/>
  <c r="CG735" i="8"/>
  <c r="CB735" i="8"/>
  <c r="BW735" i="8"/>
  <c r="BR735" i="8"/>
  <c r="BL735" i="8"/>
  <c r="CJ734" i="8"/>
  <c r="CF734" i="8"/>
  <c r="CA734" i="8"/>
  <c r="BV734" i="8"/>
  <c r="BZ734" i="8" s="1"/>
  <c r="BQ734" i="8"/>
  <c r="BK734" i="8"/>
  <c r="CI733" i="8"/>
  <c r="CD733" i="8"/>
  <c r="BY733" i="8"/>
  <c r="BT733" i="8"/>
  <c r="BP733" i="8"/>
  <c r="BJ733" i="8"/>
  <c r="CH732" i="8"/>
  <c r="CC732" i="8"/>
  <c r="BX732" i="8"/>
  <c r="BS732" i="8"/>
  <c r="BO732" i="8"/>
  <c r="BI732" i="8"/>
  <c r="CG731" i="8"/>
  <c r="CB731" i="8"/>
  <c r="BW731" i="8"/>
  <c r="BR731" i="8"/>
  <c r="BL731" i="8"/>
  <c r="CJ730" i="8"/>
  <c r="CF730" i="8"/>
  <c r="CA730" i="8"/>
  <c r="BV730" i="8"/>
  <c r="BQ730" i="8"/>
  <c r="BK730" i="8"/>
  <c r="CI729" i="8"/>
  <c r="CD729" i="8"/>
  <c r="BY729" i="8"/>
  <c r="BT729" i="8"/>
  <c r="BP729" i="8"/>
  <c r="BJ729" i="8"/>
  <c r="CH728" i="8"/>
  <c r="CC728" i="8"/>
  <c r="BX728" i="8"/>
  <c r="BS728" i="8"/>
  <c r="BO728" i="8"/>
  <c r="BI728" i="8"/>
  <c r="CG727" i="8"/>
  <c r="CB727" i="8"/>
  <c r="BW727" i="8"/>
  <c r="BR727" i="8"/>
  <c r="BL727" i="8"/>
  <c r="CJ726" i="8"/>
  <c r="CF726" i="8"/>
  <c r="CA726" i="8"/>
  <c r="BV726" i="8"/>
  <c r="BQ726" i="8"/>
  <c r="BK726" i="8"/>
  <c r="CI725" i="8"/>
  <c r="CD725" i="8"/>
  <c r="BY725" i="8"/>
  <c r="BT725" i="8"/>
  <c r="BP725" i="8"/>
  <c r="BJ725" i="8"/>
  <c r="CH724" i="8"/>
  <c r="CC724" i="8"/>
  <c r="BX724" i="8"/>
  <c r="BS724" i="8"/>
  <c r="BO724" i="8"/>
  <c r="BI724" i="8"/>
  <c r="CG723" i="8"/>
  <c r="CB723" i="8"/>
  <c r="BW723" i="8"/>
  <c r="BR723" i="8"/>
  <c r="BL723" i="8"/>
  <c r="CJ722" i="8"/>
  <c r="CF722" i="8"/>
  <c r="CA722" i="8"/>
  <c r="BV722" i="8"/>
  <c r="BZ722" i="8" s="1"/>
  <c r="BQ722" i="8"/>
  <c r="BK722" i="8"/>
  <c r="CI721" i="8"/>
  <c r="CD721" i="8"/>
  <c r="BY721" i="8"/>
  <c r="BT721" i="8"/>
  <c r="BP721" i="8"/>
  <c r="BJ721" i="8"/>
  <c r="CH720" i="8"/>
  <c r="CC720" i="8"/>
  <c r="BX720" i="8"/>
  <c r="BS720" i="8"/>
  <c r="BO720" i="8"/>
  <c r="BI720" i="8"/>
  <c r="CG719" i="8"/>
  <c r="CB719" i="8"/>
  <c r="BW719" i="8"/>
  <c r="BR719" i="8"/>
  <c r="BL719" i="8"/>
  <c r="CJ718" i="8"/>
  <c r="CF718" i="8"/>
  <c r="CA718" i="8"/>
  <c r="BV718" i="8"/>
  <c r="BQ718" i="8"/>
  <c r="BK718" i="8"/>
  <c r="CI717" i="8"/>
  <c r="CD717" i="8"/>
  <c r="BY717" i="8"/>
  <c r="BT717" i="8"/>
  <c r="BP717" i="8"/>
  <c r="BJ717" i="8"/>
  <c r="CH716" i="8"/>
  <c r="CC716" i="8"/>
  <c r="BX716" i="8"/>
  <c r="BS716" i="8"/>
  <c r="BO716" i="8"/>
  <c r="BI716" i="8"/>
  <c r="CG715" i="8"/>
  <c r="CB715" i="8"/>
  <c r="BW715" i="8"/>
  <c r="BR715" i="8"/>
  <c r="BL715" i="8"/>
  <c r="CJ714" i="8"/>
  <c r="CF714" i="8"/>
  <c r="CA714" i="8"/>
  <c r="BV714" i="8"/>
  <c r="BQ714" i="8"/>
  <c r="BK714" i="8"/>
  <c r="CI713" i="8"/>
  <c r="CD713" i="8"/>
  <c r="BY713" i="8"/>
  <c r="BT713" i="8"/>
  <c r="BP713" i="8"/>
  <c r="BJ713" i="8"/>
  <c r="CH712" i="8"/>
  <c r="CC712" i="8"/>
  <c r="BX712" i="8"/>
  <c r="BS712" i="8"/>
  <c r="BO712" i="8"/>
  <c r="BI712" i="8"/>
  <c r="CG711" i="8"/>
  <c r="CB711" i="8"/>
  <c r="BW711" i="8"/>
  <c r="BR711" i="8"/>
  <c r="BL711" i="8"/>
  <c r="CJ710" i="8"/>
  <c r="CF710" i="8"/>
  <c r="CA710" i="8"/>
  <c r="BV710" i="8"/>
  <c r="BQ710" i="8"/>
  <c r="BK710" i="8"/>
  <c r="CI709" i="8"/>
  <c r="CD709" i="8"/>
  <c r="BY709" i="8"/>
  <c r="BT709" i="8"/>
  <c r="BP709" i="8"/>
  <c r="BJ709" i="8"/>
  <c r="CH708" i="8"/>
  <c r="CC708" i="8"/>
  <c r="BX708" i="8"/>
  <c r="BS708" i="8"/>
  <c r="BO708" i="8"/>
  <c r="BI708" i="8"/>
  <c r="CG707" i="8"/>
  <c r="CB707" i="8"/>
  <c r="BW707" i="8"/>
  <c r="BR707" i="8"/>
  <c r="BL707" i="8"/>
  <c r="CJ706" i="8"/>
  <c r="CF706" i="8"/>
  <c r="CA706" i="8"/>
  <c r="BV706" i="8"/>
  <c r="BQ706" i="8"/>
  <c r="BK706" i="8"/>
  <c r="CI705" i="8"/>
  <c r="CD705" i="8"/>
  <c r="BY705" i="8"/>
  <c r="BT705" i="8"/>
  <c r="BP705" i="8"/>
  <c r="BJ705" i="8"/>
  <c r="CH704" i="8"/>
  <c r="CC704" i="8"/>
  <c r="BX704" i="8"/>
  <c r="BS704" i="8"/>
  <c r="BO704" i="8"/>
  <c r="BI704" i="8"/>
  <c r="CG703" i="8"/>
  <c r="CB703" i="8"/>
  <c r="BW703" i="8"/>
  <c r="BR703" i="8"/>
  <c r="BL703" i="8"/>
  <c r="CJ702" i="8"/>
  <c r="CF702" i="8"/>
  <c r="CA702" i="8"/>
  <c r="BV702" i="8"/>
  <c r="BQ702" i="8"/>
  <c r="CI962" i="8"/>
  <c r="BQ952" i="8"/>
  <c r="CH947" i="8"/>
  <c r="BJ932" i="8"/>
  <c r="BL925" i="8"/>
  <c r="BY905" i="8"/>
  <c r="BP899" i="8"/>
  <c r="BW896" i="8"/>
  <c r="CI893" i="8"/>
  <c r="BJ892" i="8"/>
  <c r="BK891" i="8"/>
  <c r="BW881" i="8"/>
  <c r="BK873" i="8"/>
  <c r="BK872" i="8"/>
  <c r="BW871" i="8"/>
  <c r="BK870" i="8"/>
  <c r="CH866" i="8"/>
  <c r="BW865" i="8"/>
  <c r="BK864" i="8"/>
  <c r="CC862" i="8"/>
  <c r="BR861" i="8"/>
  <c r="CI859" i="8"/>
  <c r="BX858" i="8"/>
  <c r="BL857" i="8"/>
  <c r="BS856" i="8"/>
  <c r="CB855" i="8"/>
  <c r="CJ854" i="8"/>
  <c r="BQ854" i="8"/>
  <c r="BY853" i="8"/>
  <c r="CH852" i="8"/>
  <c r="BO852" i="8"/>
  <c r="BW851" i="8"/>
  <c r="CF850" i="8"/>
  <c r="BK850" i="8"/>
  <c r="BT849" i="8"/>
  <c r="CC848" i="8"/>
  <c r="BI848" i="8"/>
  <c r="BR847" i="8"/>
  <c r="CA846" i="8"/>
  <c r="CI845" i="8"/>
  <c r="BP845" i="8"/>
  <c r="BX844" i="8"/>
  <c r="CG843" i="8"/>
  <c r="BL843" i="8"/>
  <c r="BV842" i="8"/>
  <c r="BZ842" i="8" s="1"/>
  <c r="CD841" i="8"/>
  <c r="BJ841" i="8"/>
  <c r="BS840" i="8"/>
  <c r="CB839" i="8"/>
  <c r="CJ838" i="8"/>
  <c r="BQ838" i="8"/>
  <c r="BY837" i="8"/>
  <c r="CH836" i="8"/>
  <c r="BO836" i="8"/>
  <c r="BW835" i="8"/>
  <c r="CF834" i="8"/>
  <c r="BK834" i="8"/>
  <c r="BT833" i="8"/>
  <c r="CC832" i="8"/>
  <c r="BI832" i="8"/>
  <c r="BR831" i="8"/>
  <c r="CA830" i="8"/>
  <c r="CI829" i="8"/>
  <c r="BP829" i="8"/>
  <c r="BX828" i="8"/>
  <c r="CG827" i="8"/>
  <c r="BL827" i="8"/>
  <c r="BV826" i="8"/>
  <c r="BZ826" i="8" s="1"/>
  <c r="CD825" i="8"/>
  <c r="BJ825" i="8"/>
  <c r="BS824" i="8"/>
  <c r="CB823" i="8"/>
  <c r="CJ822" i="8"/>
  <c r="BQ822" i="8"/>
  <c r="BY821" i="8"/>
  <c r="CH820" i="8"/>
  <c r="BO820" i="8"/>
  <c r="BW819" i="8"/>
  <c r="CF818" i="8"/>
  <c r="BK818" i="8"/>
  <c r="BT817" i="8"/>
  <c r="CC816" i="8"/>
  <c r="BL816" i="8"/>
  <c r="CF815" i="8"/>
  <c r="BV815" i="8"/>
  <c r="BK815" i="8"/>
  <c r="CD814" i="8"/>
  <c r="BT814" i="8"/>
  <c r="BJ814" i="8"/>
  <c r="CC813" i="8"/>
  <c r="BS813" i="8"/>
  <c r="BI813" i="8"/>
  <c r="CB812" i="8"/>
  <c r="BR812" i="8"/>
  <c r="CJ811" i="8"/>
  <c r="CA811" i="8"/>
  <c r="BQ811" i="8"/>
  <c r="CI810" i="8"/>
  <c r="BY810" i="8"/>
  <c r="BP810" i="8"/>
  <c r="CH809" i="8"/>
  <c r="BX809" i="8"/>
  <c r="BO809" i="8"/>
  <c r="CG808" i="8"/>
  <c r="BW808" i="8"/>
  <c r="BL808" i="8"/>
  <c r="CF807" i="8"/>
  <c r="BV807" i="8"/>
  <c r="BK807" i="8"/>
  <c r="CD806" i="8"/>
  <c r="BT806" i="8"/>
  <c r="BJ806" i="8"/>
  <c r="CC805" i="8"/>
  <c r="BS805" i="8"/>
  <c r="BI805" i="8"/>
  <c r="CB804" i="8"/>
  <c r="BR804" i="8"/>
  <c r="CJ803" i="8"/>
  <c r="CA803" i="8"/>
  <c r="BQ803" i="8"/>
  <c r="CI802" i="8"/>
  <c r="BY802" i="8"/>
  <c r="BP802" i="8"/>
  <c r="CH801" i="8"/>
  <c r="BX801" i="8"/>
  <c r="BO801" i="8"/>
  <c r="CG800" i="8"/>
  <c r="BW800" i="8"/>
  <c r="BL800" i="8"/>
  <c r="CF799" i="8"/>
  <c r="BV799" i="8"/>
  <c r="BZ799" i="8" s="1"/>
  <c r="BK799" i="8"/>
  <c r="CD798" i="8"/>
  <c r="BT798" i="8"/>
  <c r="BJ798" i="8"/>
  <c r="CC797" i="8"/>
  <c r="BS797" i="8"/>
  <c r="BI797" i="8"/>
  <c r="CB796" i="8"/>
  <c r="BR796" i="8"/>
  <c r="CJ795" i="8"/>
  <c r="CA795" i="8"/>
  <c r="CE795" i="8" s="1"/>
  <c r="BQ795" i="8"/>
  <c r="CI794" i="8"/>
  <c r="BY794" i="8"/>
  <c r="BP794" i="8"/>
  <c r="BJ794" i="8"/>
  <c r="CH793" i="8"/>
  <c r="CC793" i="8"/>
  <c r="BX793" i="8"/>
  <c r="BS793" i="8"/>
  <c r="BO793" i="8"/>
  <c r="BI793" i="8"/>
  <c r="CG792" i="8"/>
  <c r="CB792" i="8"/>
  <c r="BW792" i="8"/>
  <c r="BR792" i="8"/>
  <c r="BL792" i="8"/>
  <c r="CJ791" i="8"/>
  <c r="CF791" i="8"/>
  <c r="CA791" i="8"/>
  <c r="BV791" i="8"/>
  <c r="BZ791" i="8" s="1"/>
  <c r="BQ791" i="8"/>
  <c r="BK791" i="8"/>
  <c r="CI790" i="8"/>
  <c r="CD790" i="8"/>
  <c r="BY790" i="8"/>
  <c r="BT790" i="8"/>
  <c r="BP790" i="8"/>
  <c r="BJ790" i="8"/>
  <c r="CH789" i="8"/>
  <c r="CC789" i="8"/>
  <c r="BX789" i="8"/>
  <c r="BS789" i="8"/>
  <c r="BO789" i="8"/>
  <c r="BI789" i="8"/>
  <c r="CG788" i="8"/>
  <c r="CB788" i="8"/>
  <c r="BW788" i="8"/>
  <c r="BR788" i="8"/>
  <c r="BL788" i="8"/>
  <c r="CJ787" i="8"/>
  <c r="CF787" i="8"/>
  <c r="CA787" i="8"/>
  <c r="BV787" i="8"/>
  <c r="BQ787" i="8"/>
  <c r="BK787" i="8"/>
  <c r="CI786" i="8"/>
  <c r="CD786" i="8"/>
  <c r="BY786" i="8"/>
  <c r="BT786" i="8"/>
  <c r="BP786" i="8"/>
  <c r="BJ786" i="8"/>
  <c r="CH785" i="8"/>
  <c r="CC785" i="8"/>
  <c r="BX785" i="8"/>
  <c r="BS785" i="8"/>
  <c r="BO785" i="8"/>
  <c r="BI785" i="8"/>
  <c r="CG784" i="8"/>
  <c r="CB784" i="8"/>
  <c r="BW784" i="8"/>
  <c r="BR784" i="8"/>
  <c r="BL784" i="8"/>
  <c r="CJ783" i="8"/>
  <c r="CF783" i="8"/>
  <c r="CA783" i="8"/>
  <c r="BV783" i="8"/>
  <c r="BQ783" i="8"/>
  <c r="BK783" i="8"/>
  <c r="CI782" i="8"/>
  <c r="CD782" i="8"/>
  <c r="BY782" i="8"/>
  <c r="BT782" i="8"/>
  <c r="BP782" i="8"/>
  <c r="BJ782" i="8"/>
  <c r="CH781" i="8"/>
  <c r="CC781" i="8"/>
  <c r="BX781" i="8"/>
  <c r="BS781" i="8"/>
  <c r="BO781" i="8"/>
  <c r="BI781" i="8"/>
  <c r="CG780" i="8"/>
  <c r="CB780" i="8"/>
  <c r="BW780" i="8"/>
  <c r="BR780" i="8"/>
  <c r="BL780" i="8"/>
  <c r="CJ779" i="8"/>
  <c r="CF779" i="8"/>
  <c r="CA779" i="8"/>
  <c r="BV779" i="8"/>
  <c r="BQ779" i="8"/>
  <c r="BK779" i="8"/>
  <c r="CI778" i="8"/>
  <c r="CD778" i="8"/>
  <c r="BY778" i="8"/>
  <c r="BT778" i="8"/>
  <c r="BP778" i="8"/>
  <c r="BJ778" i="8"/>
  <c r="CH777" i="8"/>
  <c r="CC777" i="8"/>
  <c r="BX777" i="8"/>
  <c r="BS777" i="8"/>
  <c r="BO777" i="8"/>
  <c r="BI777" i="8"/>
  <c r="CG776" i="8"/>
  <c r="CB776" i="8"/>
  <c r="BW776" i="8"/>
  <c r="BR776" i="8"/>
  <c r="BL776" i="8"/>
  <c r="CJ775" i="8"/>
  <c r="CF775" i="8"/>
  <c r="CA775" i="8"/>
  <c r="BV775" i="8"/>
  <c r="BQ775" i="8"/>
  <c r="BK775" i="8"/>
  <c r="CI774" i="8"/>
  <c r="CD774" i="8"/>
  <c r="BY774" i="8"/>
  <c r="BT774" i="8"/>
  <c r="BP774" i="8"/>
  <c r="BJ774" i="8"/>
  <c r="CH773" i="8"/>
  <c r="CC773" i="8"/>
  <c r="BX773" i="8"/>
  <c r="BS773" i="8"/>
  <c r="BO773" i="8"/>
  <c r="BI773" i="8"/>
  <c r="CG772" i="8"/>
  <c r="CB772" i="8"/>
  <c r="BW772" i="8"/>
  <c r="BR772" i="8"/>
  <c r="BL772" i="8"/>
  <c r="CJ771" i="8"/>
  <c r="CF771" i="8"/>
  <c r="CA771" i="8"/>
  <c r="BV771" i="8"/>
  <c r="BZ771" i="8" s="1"/>
  <c r="BQ771" i="8"/>
  <c r="BK771" i="8"/>
  <c r="CI770" i="8"/>
  <c r="CD770" i="8"/>
  <c r="BY770" i="8"/>
  <c r="BT770" i="8"/>
  <c r="BP770" i="8"/>
  <c r="BJ770" i="8"/>
  <c r="CH769" i="8"/>
  <c r="CC769" i="8"/>
  <c r="BX769" i="8"/>
  <c r="BS769" i="8"/>
  <c r="BO769" i="8"/>
  <c r="BI769" i="8"/>
  <c r="CG768" i="8"/>
  <c r="CB768" i="8"/>
  <c r="BW768" i="8"/>
  <c r="BR768" i="8"/>
  <c r="BL768" i="8"/>
  <c r="CJ767" i="8"/>
  <c r="CF767" i="8"/>
  <c r="CA767" i="8"/>
  <c r="BV767" i="8"/>
  <c r="BQ767" i="8"/>
  <c r="BK767" i="8"/>
  <c r="CI766" i="8"/>
  <c r="CD766" i="8"/>
  <c r="BY766" i="8"/>
  <c r="BT766" i="8"/>
  <c r="BP766" i="8"/>
  <c r="BJ766" i="8"/>
  <c r="CH765" i="8"/>
  <c r="CC765" i="8"/>
  <c r="BX765" i="8"/>
  <c r="BS765" i="8"/>
  <c r="BO765" i="8"/>
  <c r="BI765" i="8"/>
  <c r="CG764" i="8"/>
  <c r="CB764" i="8"/>
  <c r="BW764" i="8"/>
  <c r="BR764" i="8"/>
  <c r="BL764" i="8"/>
  <c r="CJ763" i="8"/>
  <c r="CF763" i="8"/>
  <c r="CA763" i="8"/>
  <c r="BV763" i="8"/>
  <c r="BQ763" i="8"/>
  <c r="BK763" i="8"/>
  <c r="CI762" i="8"/>
  <c r="CD762" i="8"/>
  <c r="BY762" i="8"/>
  <c r="BT762" i="8"/>
  <c r="BP762" i="8"/>
  <c r="BJ762" i="8"/>
  <c r="CH761" i="8"/>
  <c r="CC761" i="8"/>
  <c r="BX761" i="8"/>
  <c r="BS761" i="8"/>
  <c r="BO761" i="8"/>
  <c r="BI761" i="8"/>
  <c r="CG760" i="8"/>
  <c r="CB760" i="8"/>
  <c r="BW760" i="8"/>
  <c r="BR760" i="8"/>
  <c r="BL760" i="8"/>
  <c r="CJ759" i="8"/>
  <c r="CF759" i="8"/>
  <c r="CA759" i="8"/>
  <c r="BV759" i="8"/>
  <c r="BZ759" i="8" s="1"/>
  <c r="BQ759" i="8"/>
  <c r="BK759" i="8"/>
  <c r="CI758" i="8"/>
  <c r="CD758" i="8"/>
  <c r="BY758" i="8"/>
  <c r="BT758" i="8"/>
  <c r="BP758" i="8"/>
  <c r="BJ758" i="8"/>
  <c r="CH757" i="8"/>
  <c r="CC757" i="8"/>
  <c r="BX757" i="8"/>
  <c r="BS757" i="8"/>
  <c r="BO757" i="8"/>
  <c r="BI757" i="8"/>
  <c r="CG756" i="8"/>
  <c r="CB756" i="8"/>
  <c r="BW756" i="8"/>
  <c r="BR756" i="8"/>
  <c r="BL756" i="8"/>
  <c r="CJ755" i="8"/>
  <c r="CF755" i="8"/>
  <c r="CA755" i="8"/>
  <c r="BV755" i="8"/>
  <c r="BQ755" i="8"/>
  <c r="BK755" i="8"/>
  <c r="CI754" i="8"/>
  <c r="CD754" i="8"/>
  <c r="BY754" i="8"/>
  <c r="BT754" i="8"/>
  <c r="BP754" i="8"/>
  <c r="BJ754" i="8"/>
  <c r="CH753" i="8"/>
  <c r="CC753" i="8"/>
  <c r="BX753" i="8"/>
  <c r="BS753" i="8"/>
  <c r="BO753" i="8"/>
  <c r="BI753" i="8"/>
  <c r="CG752" i="8"/>
  <c r="CB752" i="8"/>
  <c r="BW752" i="8"/>
  <c r="BR752" i="8"/>
  <c r="BL752" i="8"/>
  <c r="CJ751" i="8"/>
  <c r="CF751" i="8"/>
  <c r="CA751" i="8"/>
  <c r="BV751" i="8"/>
  <c r="BZ751" i="8" s="1"/>
  <c r="BQ751" i="8"/>
  <c r="BK751" i="8"/>
  <c r="CI750" i="8"/>
  <c r="CD750" i="8"/>
  <c r="BY750" i="8"/>
  <c r="BT750" i="8"/>
  <c r="BP750" i="8"/>
  <c r="BJ750" i="8"/>
  <c r="CH749" i="8"/>
  <c r="CC749" i="8"/>
  <c r="BX749" i="8"/>
  <c r="BS749" i="8"/>
  <c r="BO749" i="8"/>
  <c r="BI749" i="8"/>
  <c r="CG748" i="8"/>
  <c r="CB748" i="8"/>
  <c r="BW748" i="8"/>
  <c r="BR748" i="8"/>
  <c r="BL748" i="8"/>
  <c r="CJ747" i="8"/>
  <c r="CF747" i="8"/>
  <c r="CA747" i="8"/>
  <c r="BV747" i="8"/>
  <c r="BZ747" i="8" s="1"/>
  <c r="BQ747" i="8"/>
  <c r="BK747" i="8"/>
  <c r="CI746" i="8"/>
  <c r="CD746" i="8"/>
  <c r="BY746" i="8"/>
  <c r="BT746" i="8"/>
  <c r="BP746" i="8"/>
  <c r="BJ746" i="8"/>
  <c r="CH745" i="8"/>
  <c r="CC745" i="8"/>
  <c r="BX745" i="8"/>
  <c r="BS745" i="8"/>
  <c r="BO745" i="8"/>
  <c r="BI745" i="8"/>
  <c r="CG744" i="8"/>
  <c r="CB744" i="8"/>
  <c r="BW744" i="8"/>
  <c r="BR744" i="8"/>
  <c r="BL744" i="8"/>
  <c r="CJ743" i="8"/>
  <c r="CF743" i="8"/>
  <c r="CA743" i="8"/>
  <c r="BV743" i="8"/>
  <c r="BQ743" i="8"/>
  <c r="BK743" i="8"/>
  <c r="CI742" i="8"/>
  <c r="CD742" i="8"/>
  <c r="BY742" i="8"/>
  <c r="BT742" i="8"/>
  <c r="BP742" i="8"/>
  <c r="BJ742" i="8"/>
  <c r="CH741" i="8"/>
  <c r="CC741" i="8"/>
  <c r="BX741" i="8"/>
  <c r="BS741" i="8"/>
  <c r="BO741" i="8"/>
  <c r="BI741" i="8"/>
  <c r="CG740" i="8"/>
  <c r="CB740" i="8"/>
  <c r="BW740" i="8"/>
  <c r="BR740" i="8"/>
  <c r="BL740" i="8"/>
  <c r="CJ739" i="8"/>
  <c r="CF739" i="8"/>
  <c r="CA739" i="8"/>
  <c r="BV739" i="8"/>
  <c r="BZ739" i="8" s="1"/>
  <c r="BQ739" i="8"/>
  <c r="BK739" i="8"/>
  <c r="CI738" i="8"/>
  <c r="CD738" i="8"/>
  <c r="BY738" i="8"/>
  <c r="BT738" i="8"/>
  <c r="BP738" i="8"/>
  <c r="BJ738" i="8"/>
  <c r="CH737" i="8"/>
  <c r="CC737" i="8"/>
  <c r="BX737" i="8"/>
  <c r="BS737" i="8"/>
  <c r="BO737" i="8"/>
  <c r="BI737" i="8"/>
  <c r="CG736" i="8"/>
  <c r="CB736" i="8"/>
  <c r="BW736" i="8"/>
  <c r="BR736" i="8"/>
  <c r="BL736" i="8"/>
  <c r="CJ735" i="8"/>
  <c r="CF735" i="8"/>
  <c r="CA735" i="8"/>
  <c r="BV735" i="8"/>
  <c r="BQ735" i="8"/>
  <c r="BK735" i="8"/>
  <c r="CI734" i="8"/>
  <c r="CD734" i="8"/>
  <c r="BY734" i="8"/>
  <c r="BT734" i="8"/>
  <c r="BP734" i="8"/>
  <c r="BJ734" i="8"/>
  <c r="CH733" i="8"/>
  <c r="CC733" i="8"/>
  <c r="BX733" i="8"/>
  <c r="BS733" i="8"/>
  <c r="BO733" i="8"/>
  <c r="BI733" i="8"/>
  <c r="CG732" i="8"/>
  <c r="CB732" i="8"/>
  <c r="BW732" i="8"/>
  <c r="BR732" i="8"/>
  <c r="BL732" i="8"/>
  <c r="CJ731" i="8"/>
  <c r="CF731" i="8"/>
  <c r="CA731" i="8"/>
  <c r="BV731" i="8"/>
  <c r="BQ731" i="8"/>
  <c r="BK731" i="8"/>
  <c r="CI730" i="8"/>
  <c r="CD730" i="8"/>
  <c r="BY730" i="8"/>
  <c r="BT730" i="8"/>
  <c r="BP730" i="8"/>
  <c r="BJ730" i="8"/>
  <c r="CH729" i="8"/>
  <c r="CC729" i="8"/>
  <c r="BX729" i="8"/>
  <c r="BS729" i="8"/>
  <c r="BO729" i="8"/>
  <c r="BI729" i="8"/>
  <c r="CG728" i="8"/>
  <c r="CB728" i="8"/>
  <c r="BW728" i="8"/>
  <c r="BR728" i="8"/>
  <c r="BL728" i="8"/>
  <c r="CJ727" i="8"/>
  <c r="CF727" i="8"/>
  <c r="CA727" i="8"/>
  <c r="BV727" i="8"/>
  <c r="BZ727" i="8" s="1"/>
  <c r="BQ727" i="8"/>
  <c r="BK727" i="8"/>
  <c r="CI726" i="8"/>
  <c r="CD726" i="8"/>
  <c r="BY726" i="8"/>
  <c r="BT726" i="8"/>
  <c r="BP726" i="8"/>
  <c r="BJ726" i="8"/>
  <c r="CH725" i="8"/>
  <c r="CC725" i="8"/>
  <c r="BX725" i="8"/>
  <c r="BS725" i="8"/>
  <c r="BO725" i="8"/>
  <c r="BI725" i="8"/>
  <c r="CG724" i="8"/>
  <c r="CB724" i="8"/>
  <c r="BW724" i="8"/>
  <c r="BR724" i="8"/>
  <c r="BL724" i="8"/>
  <c r="CJ723" i="8"/>
  <c r="CF723" i="8"/>
  <c r="CA723" i="8"/>
  <c r="BV723" i="8"/>
  <c r="BQ723" i="8"/>
  <c r="BK723" i="8"/>
  <c r="CI722" i="8"/>
  <c r="CD722" i="8"/>
  <c r="BY722" i="8"/>
  <c r="BT722" i="8"/>
  <c r="BP722" i="8"/>
  <c r="BJ722" i="8"/>
  <c r="CH721" i="8"/>
  <c r="CC721" i="8"/>
  <c r="BX721" i="8"/>
  <c r="BS721" i="8"/>
  <c r="BO721" i="8"/>
  <c r="BI721" i="8"/>
  <c r="CG720" i="8"/>
  <c r="CB720" i="8"/>
  <c r="BW720" i="8"/>
  <c r="BR720" i="8"/>
  <c r="BL720" i="8"/>
  <c r="CJ719" i="8"/>
  <c r="CF719" i="8"/>
  <c r="CA719" i="8"/>
  <c r="BV719" i="8"/>
  <c r="BQ719" i="8"/>
  <c r="BK719" i="8"/>
  <c r="CI718" i="8"/>
  <c r="CD718" i="8"/>
  <c r="BY718" i="8"/>
  <c r="BT718" i="8"/>
  <c r="BP718" i="8"/>
  <c r="BJ718" i="8"/>
  <c r="CH717" i="8"/>
  <c r="CC717" i="8"/>
  <c r="BX717" i="8"/>
  <c r="BS717" i="8"/>
  <c r="BO717" i="8"/>
  <c r="BI717" i="8"/>
  <c r="CG716" i="8"/>
  <c r="CB716" i="8"/>
  <c r="BW716" i="8"/>
  <c r="BR716" i="8"/>
  <c r="BL716" i="8"/>
  <c r="CJ715" i="8"/>
  <c r="CF715" i="8"/>
  <c r="CA715" i="8"/>
  <c r="BV715" i="8"/>
  <c r="BZ715" i="8" s="1"/>
  <c r="BQ715" i="8"/>
  <c r="BK715" i="8"/>
  <c r="CI714" i="8"/>
  <c r="CD714" i="8"/>
  <c r="BY714" i="8"/>
  <c r="BT714" i="8"/>
  <c r="BP714" i="8"/>
  <c r="BJ714" i="8"/>
  <c r="CH713" i="8"/>
  <c r="CC713" i="8"/>
  <c r="BX713" i="8"/>
  <c r="BS713" i="8"/>
  <c r="BO713" i="8"/>
  <c r="BI713" i="8"/>
  <c r="CG712" i="8"/>
  <c r="CB712" i="8"/>
  <c r="BW712" i="8"/>
  <c r="BR712" i="8"/>
  <c r="BL712" i="8"/>
  <c r="CJ711" i="8"/>
  <c r="CF711" i="8"/>
  <c r="CA711" i="8"/>
  <c r="BV711" i="8"/>
  <c r="BQ711" i="8"/>
  <c r="BK711" i="8"/>
  <c r="CI710" i="8"/>
  <c r="CD710" i="8"/>
  <c r="BY710" i="8"/>
  <c r="BT710" i="8"/>
  <c r="BP710" i="8"/>
  <c r="BJ710" i="8"/>
  <c r="CH709" i="8"/>
  <c r="CC709" i="8"/>
  <c r="BX709" i="8"/>
  <c r="BS709" i="8"/>
  <c r="BO709" i="8"/>
  <c r="BI709" i="8"/>
  <c r="CG708" i="8"/>
  <c r="CB708" i="8"/>
  <c r="BW708" i="8"/>
  <c r="BR708" i="8"/>
  <c r="BL708" i="8"/>
  <c r="CJ707" i="8"/>
  <c r="CF707" i="8"/>
  <c r="CA707" i="8"/>
  <c r="BV707" i="8"/>
  <c r="BZ707" i="8" s="1"/>
  <c r="BQ707" i="8"/>
  <c r="BK707" i="8"/>
  <c r="CI706" i="8"/>
  <c r="CD706" i="8"/>
  <c r="BY706" i="8"/>
  <c r="BT706" i="8"/>
  <c r="BP706" i="8"/>
  <c r="BJ706" i="8"/>
  <c r="CH705" i="8"/>
  <c r="CC705" i="8"/>
  <c r="BX705" i="8"/>
  <c r="BS705" i="8"/>
  <c r="BO705" i="8"/>
  <c r="BI705" i="8"/>
  <c r="CG704" i="8"/>
  <c r="CB704" i="8"/>
  <c r="BW704" i="8"/>
  <c r="BR704" i="8"/>
  <c r="BL704" i="8"/>
  <c r="CJ703" i="8"/>
  <c r="CF703" i="8"/>
  <c r="CA703" i="8"/>
  <c r="BV703" i="8"/>
  <c r="BQ703" i="8"/>
  <c r="BK703" i="8"/>
  <c r="CI702" i="8"/>
  <c r="CD702" i="8"/>
  <c r="BY702" i="8"/>
  <c r="BT702" i="8"/>
  <c r="BP702" i="8"/>
  <c r="BO922" i="8"/>
  <c r="CF903" i="8"/>
  <c r="BR889" i="8"/>
  <c r="CJ883" i="8"/>
  <c r="BX866" i="8"/>
  <c r="CJ860" i="8"/>
  <c r="BO856" i="8"/>
  <c r="BT853" i="8"/>
  <c r="CA850" i="8"/>
  <c r="CG847" i="8"/>
  <c r="BJ845" i="8"/>
  <c r="BQ842" i="8"/>
  <c r="BW839" i="8"/>
  <c r="CC836" i="8"/>
  <c r="CI833" i="8"/>
  <c r="BL831" i="8"/>
  <c r="BS828" i="8"/>
  <c r="BY825" i="8"/>
  <c r="CF822" i="8"/>
  <c r="BI820" i="8"/>
  <c r="BP817" i="8"/>
  <c r="BR815" i="8"/>
  <c r="CI813" i="8"/>
  <c r="BX812" i="8"/>
  <c r="BL811" i="8"/>
  <c r="CD809" i="8"/>
  <c r="BS808" i="8"/>
  <c r="CJ806" i="8"/>
  <c r="BY805" i="8"/>
  <c r="BO804" i="8"/>
  <c r="CF802" i="8"/>
  <c r="BT801" i="8"/>
  <c r="BI800" i="8"/>
  <c r="CA798" i="8"/>
  <c r="CE798" i="8" s="1"/>
  <c r="BP797" i="8"/>
  <c r="CG795" i="8"/>
  <c r="BV794" i="8"/>
  <c r="BZ794" i="8" s="1"/>
  <c r="CB793" i="8"/>
  <c r="CJ792" i="8"/>
  <c r="BQ792" i="8"/>
  <c r="BY791" i="8"/>
  <c r="CH790" i="8"/>
  <c r="BO790" i="8"/>
  <c r="BW789" i="8"/>
  <c r="CF788" i="8"/>
  <c r="BK788" i="8"/>
  <c r="BT787" i="8"/>
  <c r="CC786" i="8"/>
  <c r="BI786" i="8"/>
  <c r="BR785" i="8"/>
  <c r="CA784" i="8"/>
  <c r="CI783" i="8"/>
  <c r="BP783" i="8"/>
  <c r="BX782" i="8"/>
  <c r="CG781" i="8"/>
  <c r="BL781" i="8"/>
  <c r="BV780" i="8"/>
  <c r="CD779" i="8"/>
  <c r="BJ779" i="8"/>
  <c r="BS778" i="8"/>
  <c r="CB777" i="8"/>
  <c r="CJ776" i="8"/>
  <c r="BQ776" i="8"/>
  <c r="BY775" i="8"/>
  <c r="CH774" i="8"/>
  <c r="BO774" i="8"/>
  <c r="BW773" i="8"/>
  <c r="CF772" i="8"/>
  <c r="BK772" i="8"/>
  <c r="BT771" i="8"/>
  <c r="CC770" i="8"/>
  <c r="BI770" i="8"/>
  <c r="BR769" i="8"/>
  <c r="CA768" i="8"/>
  <c r="CI767" i="8"/>
  <c r="BP767" i="8"/>
  <c r="BX766" i="8"/>
  <c r="CG765" i="8"/>
  <c r="BL765" i="8"/>
  <c r="BV764" i="8"/>
  <c r="CD763" i="8"/>
  <c r="BJ763" i="8"/>
  <c r="BS762" i="8"/>
  <c r="CB761" i="8"/>
  <c r="CJ760" i="8"/>
  <c r="BQ760" i="8"/>
  <c r="BY759" i="8"/>
  <c r="CH758" i="8"/>
  <c r="BO758" i="8"/>
  <c r="BW757" i="8"/>
  <c r="CF756" i="8"/>
  <c r="BK756" i="8"/>
  <c r="BT755" i="8"/>
  <c r="CC754" i="8"/>
  <c r="BI754" i="8"/>
  <c r="BR753" i="8"/>
  <c r="CA752" i="8"/>
  <c r="CI751" i="8"/>
  <c r="BP751" i="8"/>
  <c r="BX750" i="8"/>
  <c r="CG749" i="8"/>
  <c r="BL749" i="8"/>
  <c r="BV748" i="8"/>
  <c r="BZ748" i="8" s="1"/>
  <c r="CD747" i="8"/>
  <c r="BJ747" i="8"/>
  <c r="BS746" i="8"/>
  <c r="CB745" i="8"/>
  <c r="CJ744" i="8"/>
  <c r="BQ744" i="8"/>
  <c r="BY743" i="8"/>
  <c r="CH742" i="8"/>
  <c r="BO742" i="8"/>
  <c r="BW741" i="8"/>
  <c r="CF740" i="8"/>
  <c r="BK740" i="8"/>
  <c r="BT739" i="8"/>
  <c r="CC738" i="8"/>
  <c r="BI738" i="8"/>
  <c r="BR737" i="8"/>
  <c r="CA736" i="8"/>
  <c r="CE736" i="8" s="1"/>
  <c r="CI735" i="8"/>
  <c r="BP735" i="8"/>
  <c r="CB734" i="8"/>
  <c r="BR734" i="8"/>
  <c r="CJ733" i="8"/>
  <c r="CA733" i="8"/>
  <c r="BQ733" i="8"/>
  <c r="CI732" i="8"/>
  <c r="BY732" i="8"/>
  <c r="BP732" i="8"/>
  <c r="CH731" i="8"/>
  <c r="BX731" i="8"/>
  <c r="BO731" i="8"/>
  <c r="CG730" i="8"/>
  <c r="BW730" i="8"/>
  <c r="BL730" i="8"/>
  <c r="CF729" i="8"/>
  <c r="BV729" i="8"/>
  <c r="BK729" i="8"/>
  <c r="CD728" i="8"/>
  <c r="BT728" i="8"/>
  <c r="BJ728" i="8"/>
  <c r="CC727" i="8"/>
  <c r="BS727" i="8"/>
  <c r="BI727" i="8"/>
  <c r="CB726" i="8"/>
  <c r="BR726" i="8"/>
  <c r="CJ725" i="8"/>
  <c r="CA725" i="8"/>
  <c r="BQ725" i="8"/>
  <c r="CI724" i="8"/>
  <c r="BY724" i="8"/>
  <c r="BP724" i="8"/>
  <c r="CH723" i="8"/>
  <c r="BX723" i="8"/>
  <c r="BO723" i="8"/>
  <c r="CG722" i="8"/>
  <c r="BW722" i="8"/>
  <c r="BL722" i="8"/>
  <c r="CF721" i="8"/>
  <c r="BV721" i="8"/>
  <c r="BZ721" i="8" s="1"/>
  <c r="BK721" i="8"/>
  <c r="CD720" i="8"/>
  <c r="BT720" i="8"/>
  <c r="BJ720" i="8"/>
  <c r="CC719" i="8"/>
  <c r="BS719" i="8"/>
  <c r="BI719" i="8"/>
  <c r="CB718" i="8"/>
  <c r="BR718" i="8"/>
  <c r="CJ717" i="8"/>
  <c r="CA717" i="8"/>
  <c r="CE717" i="8" s="1"/>
  <c r="BQ717" i="8"/>
  <c r="CI716" i="8"/>
  <c r="BY716" i="8"/>
  <c r="BP716" i="8"/>
  <c r="CH715" i="8"/>
  <c r="BX715" i="8"/>
  <c r="BO715" i="8"/>
  <c r="CG714" i="8"/>
  <c r="BW714" i="8"/>
  <c r="BL714" i="8"/>
  <c r="CF713" i="8"/>
  <c r="BV713" i="8"/>
  <c r="BK713" i="8"/>
  <c r="CD712" i="8"/>
  <c r="BT712" i="8"/>
  <c r="BJ712" i="8"/>
  <c r="CC711" i="8"/>
  <c r="BS711" i="8"/>
  <c r="BI711" i="8"/>
  <c r="CB710" i="8"/>
  <c r="BR710" i="8"/>
  <c r="CJ709" i="8"/>
  <c r="CA709" i="8"/>
  <c r="BQ709" i="8"/>
  <c r="CI708" i="8"/>
  <c r="BY708" i="8"/>
  <c r="BP708" i="8"/>
  <c r="CH707" i="8"/>
  <c r="BX707" i="8"/>
  <c r="BO707" i="8"/>
  <c r="CG706" i="8"/>
  <c r="BW706" i="8"/>
  <c r="BL706" i="8"/>
  <c r="CF705" i="8"/>
  <c r="BV705" i="8"/>
  <c r="BK705" i="8"/>
  <c r="CD704" i="8"/>
  <c r="BT704" i="8"/>
  <c r="BJ704" i="8"/>
  <c r="CC703" i="8"/>
  <c r="BS703" i="8"/>
  <c r="BI703" i="8"/>
  <c r="CB702" i="8"/>
  <c r="BR702" i="8"/>
  <c r="BJ702" i="8"/>
  <c r="CH701" i="8"/>
  <c r="CC701" i="8"/>
  <c r="BX701" i="8"/>
  <c r="BS701" i="8"/>
  <c r="BO701" i="8"/>
  <c r="BI701" i="8"/>
  <c r="CG700" i="8"/>
  <c r="CB700" i="8"/>
  <c r="BW700" i="8"/>
  <c r="BR700" i="8"/>
  <c r="BL700" i="8"/>
  <c r="CJ699" i="8"/>
  <c r="CF699" i="8"/>
  <c r="CA699" i="8"/>
  <c r="BV699" i="8"/>
  <c r="BQ699" i="8"/>
  <c r="BK699" i="8"/>
  <c r="CI698" i="8"/>
  <c r="CD698" i="8"/>
  <c r="BY698" i="8"/>
  <c r="BT698" i="8"/>
  <c r="BP698" i="8"/>
  <c r="BJ698" i="8"/>
  <c r="CH697" i="8"/>
  <c r="CC697" i="8"/>
  <c r="BX697" i="8"/>
  <c r="BS697" i="8"/>
  <c r="BO697" i="8"/>
  <c r="BI697" i="8"/>
  <c r="CG696" i="8"/>
  <c r="CB696" i="8"/>
  <c r="BW696" i="8"/>
  <c r="BR696" i="8"/>
  <c r="BL696" i="8"/>
  <c r="CJ695" i="8"/>
  <c r="CF695" i="8"/>
  <c r="CA695" i="8"/>
  <c r="BV695" i="8"/>
  <c r="BZ695" i="8" s="1"/>
  <c r="BQ695" i="8"/>
  <c r="BK695" i="8"/>
  <c r="CI694" i="8"/>
  <c r="CD694" i="8"/>
  <c r="BY694" i="8"/>
  <c r="BT694" i="8"/>
  <c r="BP694" i="8"/>
  <c r="BJ694" i="8"/>
  <c r="CH693" i="8"/>
  <c r="CC693" i="8"/>
  <c r="BX693" i="8"/>
  <c r="BS693" i="8"/>
  <c r="BO693" i="8"/>
  <c r="BI693" i="8"/>
  <c r="CG692" i="8"/>
  <c r="CB692" i="8"/>
  <c r="BW692" i="8"/>
  <c r="BR692" i="8"/>
  <c r="BL692" i="8"/>
  <c r="CJ691" i="8"/>
  <c r="CF691" i="8"/>
  <c r="CA691" i="8"/>
  <c r="BV691" i="8"/>
  <c r="BQ691" i="8"/>
  <c r="BK691" i="8"/>
  <c r="CI690" i="8"/>
  <c r="CD690" i="8"/>
  <c r="BY690" i="8"/>
  <c r="BT690" i="8"/>
  <c r="BP690" i="8"/>
  <c r="BJ690" i="8"/>
  <c r="CH689" i="8"/>
  <c r="CC689" i="8"/>
  <c r="BX689" i="8"/>
  <c r="BS689" i="8"/>
  <c r="BO689" i="8"/>
  <c r="BI689" i="8"/>
  <c r="CG688" i="8"/>
  <c r="CB688" i="8"/>
  <c r="BW688" i="8"/>
  <c r="BR688" i="8"/>
  <c r="BL688" i="8"/>
  <c r="CJ687" i="8"/>
  <c r="CF687" i="8"/>
  <c r="CA687" i="8"/>
  <c r="BV687" i="8"/>
  <c r="BQ687" i="8"/>
  <c r="BK687" i="8"/>
  <c r="CI686" i="8"/>
  <c r="CD686" i="8"/>
  <c r="BY686" i="8"/>
  <c r="BT686" i="8"/>
  <c r="BP686" i="8"/>
  <c r="BJ686" i="8"/>
  <c r="CH685" i="8"/>
  <c r="CC685" i="8"/>
  <c r="BX685" i="8"/>
  <c r="BS685" i="8"/>
  <c r="BO685" i="8"/>
  <c r="BI685" i="8"/>
  <c r="CG684" i="8"/>
  <c r="CB684" i="8"/>
  <c r="BW684" i="8"/>
  <c r="BR684" i="8"/>
  <c r="BL684" i="8"/>
  <c r="CJ683" i="8"/>
  <c r="CF683" i="8"/>
  <c r="CA683" i="8"/>
  <c r="BV683" i="8"/>
  <c r="BZ683" i="8" s="1"/>
  <c r="BQ683" i="8"/>
  <c r="BK683" i="8"/>
  <c r="CI682" i="8"/>
  <c r="CD682" i="8"/>
  <c r="BY682" i="8"/>
  <c r="BT682" i="8"/>
  <c r="BP682" i="8"/>
  <c r="BJ682" i="8"/>
  <c r="CH681" i="8"/>
  <c r="CC681" i="8"/>
  <c r="BX681" i="8"/>
  <c r="BS681" i="8"/>
  <c r="BO681" i="8"/>
  <c r="BI681" i="8"/>
  <c r="CG680" i="8"/>
  <c r="CB680" i="8"/>
  <c r="BW680" i="8"/>
  <c r="BR680" i="8"/>
  <c r="BL680" i="8"/>
  <c r="CJ679" i="8"/>
  <c r="CF679" i="8"/>
  <c r="CA679" i="8"/>
  <c r="BV679" i="8"/>
  <c r="BQ679" i="8"/>
  <c r="BK679" i="8"/>
  <c r="CI678" i="8"/>
  <c r="CD678" i="8"/>
  <c r="BY678" i="8"/>
  <c r="BT678" i="8"/>
  <c r="BP678" i="8"/>
  <c r="BJ678" i="8"/>
  <c r="CH677" i="8"/>
  <c r="CC677" i="8"/>
  <c r="BX677" i="8"/>
  <c r="BS677" i="8"/>
  <c r="BO677" i="8"/>
  <c r="BI677" i="8"/>
  <c r="CG676" i="8"/>
  <c r="CB676" i="8"/>
  <c r="BW676" i="8"/>
  <c r="BR676" i="8"/>
  <c r="BL676" i="8"/>
  <c r="CJ675" i="8"/>
  <c r="CF675" i="8"/>
  <c r="CA675" i="8"/>
  <c r="BV675" i="8"/>
  <c r="BZ675" i="8" s="1"/>
  <c r="BQ675" i="8"/>
  <c r="BK675" i="8"/>
  <c r="CI674" i="8"/>
  <c r="CD674" i="8"/>
  <c r="BY674" i="8"/>
  <c r="BT674" i="8"/>
  <c r="BP674" i="8"/>
  <c r="BJ674" i="8"/>
  <c r="CH673" i="8"/>
  <c r="CC673" i="8"/>
  <c r="BX673" i="8"/>
  <c r="BS673" i="8"/>
  <c r="BO673" i="8"/>
  <c r="BI673" i="8"/>
  <c r="CG672" i="8"/>
  <c r="CB672" i="8"/>
  <c r="BW672" i="8"/>
  <c r="BR672" i="8"/>
  <c r="BL672" i="8"/>
  <c r="CJ671" i="8"/>
  <c r="CF671" i="8"/>
  <c r="CA671" i="8"/>
  <c r="BV671" i="8"/>
  <c r="BZ671" i="8" s="1"/>
  <c r="BQ671" i="8"/>
  <c r="BK671" i="8"/>
  <c r="CI670" i="8"/>
  <c r="CD670" i="8"/>
  <c r="BY670" i="8"/>
  <c r="BT670" i="8"/>
  <c r="BP670" i="8"/>
  <c r="BJ670" i="8"/>
  <c r="CH669" i="8"/>
  <c r="CC669" i="8"/>
  <c r="BX669" i="8"/>
  <c r="BS669" i="8"/>
  <c r="BO669" i="8"/>
  <c r="BI669" i="8"/>
  <c r="CG668" i="8"/>
  <c r="CB668" i="8"/>
  <c r="BW668" i="8"/>
  <c r="BR668" i="8"/>
  <c r="BL668" i="8"/>
  <c r="CJ667" i="8"/>
  <c r="CF667" i="8"/>
  <c r="CA667" i="8"/>
  <c r="BV667" i="8"/>
  <c r="BZ667" i="8" s="1"/>
  <c r="BQ667" i="8"/>
  <c r="BK667" i="8"/>
  <c r="CI666" i="8"/>
  <c r="CD666" i="8"/>
  <c r="BY666" i="8"/>
  <c r="BT666" i="8"/>
  <c r="BP666" i="8"/>
  <c r="BJ666" i="8"/>
  <c r="CH665" i="8"/>
  <c r="CC665" i="8"/>
  <c r="BX665" i="8"/>
  <c r="BS665" i="8"/>
  <c r="BO665" i="8"/>
  <c r="BI665" i="8"/>
  <c r="CG664" i="8"/>
  <c r="CB664" i="8"/>
  <c r="BW664" i="8"/>
  <c r="BR664" i="8"/>
  <c r="BL664" i="8"/>
  <c r="CJ663" i="8"/>
  <c r="CF663" i="8"/>
  <c r="CA663" i="8"/>
  <c r="BV663" i="8"/>
  <c r="BZ663" i="8" s="1"/>
  <c r="BQ663" i="8"/>
  <c r="BK663" i="8"/>
  <c r="CI662" i="8"/>
  <c r="CD662" i="8"/>
  <c r="BY662" i="8"/>
  <c r="BT662" i="8"/>
  <c r="BP662" i="8"/>
  <c r="BJ662" i="8"/>
  <c r="CH661" i="8"/>
  <c r="CC661" i="8"/>
  <c r="BX661" i="8"/>
  <c r="BS661" i="8"/>
  <c r="BO661" i="8"/>
  <c r="BI661" i="8"/>
  <c r="CG660" i="8"/>
  <c r="CB660" i="8"/>
  <c r="BW660" i="8"/>
  <c r="BR660" i="8"/>
  <c r="BL660" i="8"/>
  <c r="CJ659" i="8"/>
  <c r="CF659" i="8"/>
  <c r="CA659" i="8"/>
  <c r="BV659" i="8"/>
  <c r="BZ659" i="8" s="1"/>
  <c r="BQ659" i="8"/>
  <c r="BK659" i="8"/>
  <c r="CI658" i="8"/>
  <c r="CD658" i="8"/>
  <c r="BY658" i="8"/>
  <c r="BT658" i="8"/>
  <c r="BP658" i="8"/>
  <c r="BJ658" i="8"/>
  <c r="CH657" i="8"/>
  <c r="CC657" i="8"/>
  <c r="BX657" i="8"/>
  <c r="BS657" i="8"/>
  <c r="BO657" i="8"/>
  <c r="BI657" i="8"/>
  <c r="CG656" i="8"/>
  <c r="CB656" i="8"/>
  <c r="BW656" i="8"/>
  <c r="BR656" i="8"/>
  <c r="BL656" i="8"/>
  <c r="CJ655" i="8"/>
  <c r="CF655" i="8"/>
  <c r="CA655" i="8"/>
  <c r="BV655" i="8"/>
  <c r="BZ655" i="8" s="1"/>
  <c r="BQ655" i="8"/>
  <c r="BK655" i="8"/>
  <c r="CI654" i="8"/>
  <c r="CD654" i="8"/>
  <c r="BY654" i="8"/>
  <c r="BT654" i="8"/>
  <c r="BP654" i="8"/>
  <c r="BJ654" i="8"/>
  <c r="CH653" i="8"/>
  <c r="CC653" i="8"/>
  <c r="BX653" i="8"/>
  <c r="BS653" i="8"/>
  <c r="BO653" i="8"/>
  <c r="CG913" i="8"/>
  <c r="BP893" i="8"/>
  <c r="CI884" i="8"/>
  <c r="BR874" i="8"/>
  <c r="CF868" i="8"/>
  <c r="BL865" i="8"/>
  <c r="BY859" i="8"/>
  <c r="BW855" i="8"/>
  <c r="CC852" i="8"/>
  <c r="CI849" i="8"/>
  <c r="BL847" i="8"/>
  <c r="BS844" i="8"/>
  <c r="BY841" i="8"/>
  <c r="CF838" i="8"/>
  <c r="BI836" i="8"/>
  <c r="BP833" i="8"/>
  <c r="BV830" i="8"/>
  <c r="BZ830" i="8" s="1"/>
  <c r="CB827" i="8"/>
  <c r="CH824" i="8"/>
  <c r="BK822" i="8"/>
  <c r="BR819" i="8"/>
  <c r="BX816" i="8"/>
  <c r="CJ814" i="8"/>
  <c r="BY813" i="8"/>
  <c r="BO812" i="8"/>
  <c r="CF810" i="8"/>
  <c r="BT809" i="8"/>
  <c r="BI808" i="8"/>
  <c r="CA806" i="8"/>
  <c r="CE806" i="8" s="1"/>
  <c r="BP805" i="8"/>
  <c r="CG803" i="8"/>
  <c r="BV802" i="8"/>
  <c r="BJ801" i="8"/>
  <c r="CB799" i="8"/>
  <c r="BQ798" i="8"/>
  <c r="CH796" i="8"/>
  <c r="BW795" i="8"/>
  <c r="BO794" i="8"/>
  <c r="BW793" i="8"/>
  <c r="CF792" i="8"/>
  <c r="BK792" i="8"/>
  <c r="BT791" i="8"/>
  <c r="CC790" i="8"/>
  <c r="BI790" i="8"/>
  <c r="BR789" i="8"/>
  <c r="CA788" i="8"/>
  <c r="CI787" i="8"/>
  <c r="BP787" i="8"/>
  <c r="BX786" i="8"/>
  <c r="CG785" i="8"/>
  <c r="BL785" i="8"/>
  <c r="BV784" i="8"/>
  <c r="CD783" i="8"/>
  <c r="BJ783" i="8"/>
  <c r="BS782" i="8"/>
  <c r="CB781" i="8"/>
  <c r="CJ780" i="8"/>
  <c r="BQ780" i="8"/>
  <c r="BY779" i="8"/>
  <c r="CH778" i="8"/>
  <c r="BO778" i="8"/>
  <c r="BW777" i="8"/>
  <c r="CF776" i="8"/>
  <c r="BK776" i="8"/>
  <c r="BT775" i="8"/>
  <c r="CC774" i="8"/>
  <c r="BI774" i="8"/>
  <c r="BR773" i="8"/>
  <c r="CA772" i="8"/>
  <c r="CI771" i="8"/>
  <c r="BP771" i="8"/>
  <c r="BX770" i="8"/>
  <c r="CG769" i="8"/>
  <c r="BL769" i="8"/>
  <c r="BV768" i="8"/>
  <c r="BZ768" i="8" s="1"/>
  <c r="CD767" i="8"/>
  <c r="BJ767" i="8"/>
  <c r="BS766" i="8"/>
  <c r="CB765" i="8"/>
  <c r="CJ764" i="8"/>
  <c r="BQ764" i="8"/>
  <c r="BY763" i="8"/>
  <c r="CH762" i="8"/>
  <c r="BO762" i="8"/>
  <c r="BW761" i="8"/>
  <c r="CF760" i="8"/>
  <c r="BK760" i="8"/>
  <c r="BT759" i="8"/>
  <c r="CC758" i="8"/>
  <c r="BI758" i="8"/>
  <c r="BR757" i="8"/>
  <c r="CA756" i="8"/>
  <c r="CI755" i="8"/>
  <c r="BP755" i="8"/>
  <c r="BX754" i="8"/>
  <c r="CG753" i="8"/>
  <c r="BL753" i="8"/>
  <c r="BV752" i="8"/>
  <c r="BZ752" i="8" s="1"/>
  <c r="CD751" i="8"/>
  <c r="BJ751" i="8"/>
  <c r="BS750" i="8"/>
  <c r="CB749" i="8"/>
  <c r="CJ748" i="8"/>
  <c r="BQ748" i="8"/>
  <c r="BY747" i="8"/>
  <c r="CH746" i="8"/>
  <c r="BO746" i="8"/>
  <c r="BW745" i="8"/>
  <c r="CF744" i="8"/>
  <c r="BK744" i="8"/>
  <c r="BT743" i="8"/>
  <c r="CC742" i="8"/>
  <c r="BI742" i="8"/>
  <c r="BR741" i="8"/>
  <c r="CA740" i="8"/>
  <c r="CE740" i="8" s="1"/>
  <c r="CI739" i="8"/>
  <c r="BP739" i="8"/>
  <c r="BX738" i="8"/>
  <c r="CG737" i="8"/>
  <c r="BL737" i="8"/>
  <c r="BV736" i="8"/>
  <c r="CD735" i="8"/>
  <c r="BJ735" i="8"/>
  <c r="BX734" i="8"/>
  <c r="BO734" i="8"/>
  <c r="CG733" i="8"/>
  <c r="BW733" i="8"/>
  <c r="BL733" i="8"/>
  <c r="CF732" i="8"/>
  <c r="BV732" i="8"/>
  <c r="BK732" i="8"/>
  <c r="CD731" i="8"/>
  <c r="BT731" i="8"/>
  <c r="BJ731" i="8"/>
  <c r="CC730" i="8"/>
  <c r="BS730" i="8"/>
  <c r="BI730" i="8"/>
  <c r="CB729" i="8"/>
  <c r="BR729" i="8"/>
  <c r="CJ728" i="8"/>
  <c r="CA728" i="8"/>
  <c r="BQ728" i="8"/>
  <c r="CI727" i="8"/>
  <c r="BY727" i="8"/>
  <c r="BP727" i="8"/>
  <c r="CH726" i="8"/>
  <c r="BX726" i="8"/>
  <c r="BO726" i="8"/>
  <c r="CG725" i="8"/>
  <c r="BW725" i="8"/>
  <c r="BL725" i="8"/>
  <c r="CF724" i="8"/>
  <c r="BV724" i="8"/>
  <c r="BK724" i="8"/>
  <c r="CD723" i="8"/>
  <c r="BT723" i="8"/>
  <c r="BJ723" i="8"/>
  <c r="CC722" i="8"/>
  <c r="BS722" i="8"/>
  <c r="BI722" i="8"/>
  <c r="CB721" i="8"/>
  <c r="BR721" i="8"/>
  <c r="CJ720" i="8"/>
  <c r="CA720" i="8"/>
  <c r="BQ720" i="8"/>
  <c r="CI719" i="8"/>
  <c r="BY719" i="8"/>
  <c r="BP719" i="8"/>
  <c r="CH718" i="8"/>
  <c r="BX718" i="8"/>
  <c r="BO718" i="8"/>
  <c r="CG717" i="8"/>
  <c r="BW717" i="8"/>
  <c r="BL717" i="8"/>
  <c r="CF716" i="8"/>
  <c r="BV716" i="8"/>
  <c r="BZ716" i="8" s="1"/>
  <c r="BK716" i="8"/>
  <c r="CD715" i="8"/>
  <c r="BT715" i="8"/>
  <c r="BJ715" i="8"/>
  <c r="CC714" i="8"/>
  <c r="BS714" i="8"/>
  <c r="BI714" i="8"/>
  <c r="CB713" i="8"/>
  <c r="BR713" i="8"/>
  <c r="CJ712" i="8"/>
  <c r="CA712" i="8"/>
  <c r="BQ712" i="8"/>
  <c r="CI711" i="8"/>
  <c r="BY711" i="8"/>
  <c r="BP711" i="8"/>
  <c r="CH710" i="8"/>
  <c r="BX710" i="8"/>
  <c r="BO710" i="8"/>
  <c r="CG709" i="8"/>
  <c r="BW709" i="8"/>
  <c r="BL709" i="8"/>
  <c r="CF708" i="8"/>
  <c r="BV708" i="8"/>
  <c r="BZ708" i="8" s="1"/>
  <c r="BK708" i="8"/>
  <c r="CD707" i="8"/>
  <c r="BT707" i="8"/>
  <c r="BJ707" i="8"/>
  <c r="CC706" i="8"/>
  <c r="BS706" i="8"/>
  <c r="BI706" i="8"/>
  <c r="CB705" i="8"/>
  <c r="BR705" i="8"/>
  <c r="CJ704" i="8"/>
  <c r="CA704" i="8"/>
  <c r="BQ704" i="8"/>
  <c r="CI703" i="8"/>
  <c r="BY703" i="8"/>
  <c r="BP703" i="8"/>
  <c r="CH702" i="8"/>
  <c r="BX702" i="8"/>
  <c r="BO702" i="8"/>
  <c r="BI702" i="8"/>
  <c r="CG701" i="8"/>
  <c r="CB701" i="8"/>
  <c r="BW701" i="8"/>
  <c r="BR701" i="8"/>
  <c r="BL701" i="8"/>
  <c r="CJ700" i="8"/>
  <c r="CF700" i="8"/>
  <c r="CA700" i="8"/>
  <c r="BV700" i="8"/>
  <c r="BQ700" i="8"/>
  <c r="BK700" i="8"/>
  <c r="CI699" i="8"/>
  <c r="CD699" i="8"/>
  <c r="BY699" i="8"/>
  <c r="BT699" i="8"/>
  <c r="BP699" i="8"/>
  <c r="BJ699" i="8"/>
  <c r="CH698" i="8"/>
  <c r="CC698" i="8"/>
  <c r="BX698" i="8"/>
  <c r="BS698" i="8"/>
  <c r="BO698" i="8"/>
  <c r="BI698" i="8"/>
  <c r="CG697" i="8"/>
  <c r="CB697" i="8"/>
  <c r="BW697" i="8"/>
  <c r="BR697" i="8"/>
  <c r="BL697" i="8"/>
  <c r="CJ696" i="8"/>
  <c r="CF696" i="8"/>
  <c r="CA696" i="8"/>
  <c r="BV696" i="8"/>
  <c r="BZ696" i="8" s="1"/>
  <c r="BQ696" i="8"/>
  <c r="BK696" i="8"/>
  <c r="CI695" i="8"/>
  <c r="CD695" i="8"/>
  <c r="BY695" i="8"/>
  <c r="BT695" i="8"/>
  <c r="BP695" i="8"/>
  <c r="BJ695" i="8"/>
  <c r="CH694" i="8"/>
  <c r="CC694" i="8"/>
  <c r="BX694" i="8"/>
  <c r="BS694" i="8"/>
  <c r="BO694" i="8"/>
  <c r="BI694" i="8"/>
  <c r="CG693" i="8"/>
  <c r="CB693" i="8"/>
  <c r="BW693" i="8"/>
  <c r="BR693" i="8"/>
  <c r="BL693" i="8"/>
  <c r="CJ692" i="8"/>
  <c r="CF692" i="8"/>
  <c r="CA692" i="8"/>
  <c r="BV692" i="8"/>
  <c r="BQ692" i="8"/>
  <c r="BK692" i="8"/>
  <c r="CI691" i="8"/>
  <c r="CD691" i="8"/>
  <c r="BY691" i="8"/>
  <c r="BT691" i="8"/>
  <c r="BP691" i="8"/>
  <c r="BJ691" i="8"/>
  <c r="CH690" i="8"/>
  <c r="CC690" i="8"/>
  <c r="BX690" i="8"/>
  <c r="BS690" i="8"/>
  <c r="BO690" i="8"/>
  <c r="BI690" i="8"/>
  <c r="CG689" i="8"/>
  <c r="CB689" i="8"/>
  <c r="BW689" i="8"/>
  <c r="BR689" i="8"/>
  <c r="BL689" i="8"/>
  <c r="CJ688" i="8"/>
  <c r="CF688" i="8"/>
  <c r="CA688" i="8"/>
  <c r="BV688" i="8"/>
  <c r="BZ688" i="8" s="1"/>
  <c r="BQ688" i="8"/>
  <c r="BK688" i="8"/>
  <c r="CI687" i="8"/>
  <c r="CD687" i="8"/>
  <c r="BY687" i="8"/>
  <c r="BT687" i="8"/>
  <c r="BP687" i="8"/>
  <c r="BJ687" i="8"/>
  <c r="CH686" i="8"/>
  <c r="CC686" i="8"/>
  <c r="BX686" i="8"/>
  <c r="BS686" i="8"/>
  <c r="BO686" i="8"/>
  <c r="BI686" i="8"/>
  <c r="CG685" i="8"/>
  <c r="CB685" i="8"/>
  <c r="BW685" i="8"/>
  <c r="BR685" i="8"/>
  <c r="BL685" i="8"/>
  <c r="CJ684" i="8"/>
  <c r="CF684" i="8"/>
  <c r="CA684" i="8"/>
  <c r="BV684" i="8"/>
  <c r="BZ684" i="8" s="1"/>
  <c r="BQ684" i="8"/>
  <c r="BK684" i="8"/>
  <c r="CI683" i="8"/>
  <c r="CD683" i="8"/>
  <c r="BY683" i="8"/>
  <c r="BT683" i="8"/>
  <c r="BP683" i="8"/>
  <c r="BJ683" i="8"/>
  <c r="CH682" i="8"/>
  <c r="CC682" i="8"/>
  <c r="BX682" i="8"/>
  <c r="BS682" i="8"/>
  <c r="BO682" i="8"/>
  <c r="BI682" i="8"/>
  <c r="CG681" i="8"/>
  <c r="CB681" i="8"/>
  <c r="BW681" i="8"/>
  <c r="BR681" i="8"/>
  <c r="BL681" i="8"/>
  <c r="CJ680" i="8"/>
  <c r="CF680" i="8"/>
  <c r="CA680" i="8"/>
  <c r="BV680" i="8"/>
  <c r="BQ680" i="8"/>
  <c r="BK680" i="8"/>
  <c r="CI679" i="8"/>
  <c r="CD679" i="8"/>
  <c r="BY679" i="8"/>
  <c r="BT679" i="8"/>
  <c r="BP679" i="8"/>
  <c r="BJ679" i="8"/>
  <c r="CH678" i="8"/>
  <c r="CC678" i="8"/>
  <c r="BX678" i="8"/>
  <c r="BS678" i="8"/>
  <c r="BO678" i="8"/>
  <c r="BI678" i="8"/>
  <c r="CG677" i="8"/>
  <c r="CB677" i="8"/>
  <c r="BW677" i="8"/>
  <c r="BR677" i="8"/>
  <c r="BL677" i="8"/>
  <c r="CJ676" i="8"/>
  <c r="CF676" i="8"/>
  <c r="CA676" i="8"/>
  <c r="BV676" i="8"/>
  <c r="BZ676" i="8" s="1"/>
  <c r="BQ676" i="8"/>
  <c r="BK676" i="8"/>
  <c r="CI675" i="8"/>
  <c r="CD675" i="8"/>
  <c r="BY675" i="8"/>
  <c r="BT675" i="8"/>
  <c r="BP675" i="8"/>
  <c r="BJ675" i="8"/>
  <c r="CH674" i="8"/>
  <c r="CC674" i="8"/>
  <c r="BX674" i="8"/>
  <c r="BS674" i="8"/>
  <c r="BO674" i="8"/>
  <c r="BI674" i="8"/>
  <c r="CG673" i="8"/>
  <c r="CB673" i="8"/>
  <c r="BW673" i="8"/>
  <c r="BR673" i="8"/>
  <c r="BL673" i="8"/>
  <c r="CJ672" i="8"/>
  <c r="CF672" i="8"/>
  <c r="CA672" i="8"/>
  <c r="BV672" i="8"/>
  <c r="BZ672" i="8" s="1"/>
  <c r="BQ672" i="8"/>
  <c r="BK672" i="8"/>
  <c r="CI671" i="8"/>
  <c r="CD671" i="8"/>
  <c r="BY671" i="8"/>
  <c r="BT671" i="8"/>
  <c r="BP671" i="8"/>
  <c r="BJ671" i="8"/>
  <c r="CH670" i="8"/>
  <c r="CC670" i="8"/>
  <c r="BX670" i="8"/>
  <c r="BS670" i="8"/>
  <c r="BO670" i="8"/>
  <c r="BI670" i="8"/>
  <c r="CG669" i="8"/>
  <c r="CB669" i="8"/>
  <c r="BW669" i="8"/>
  <c r="BR669" i="8"/>
  <c r="BL669" i="8"/>
  <c r="CJ668" i="8"/>
  <c r="CF668" i="8"/>
  <c r="CA668" i="8"/>
  <c r="BV668" i="8"/>
  <c r="BZ668" i="8" s="1"/>
  <c r="BQ668" i="8"/>
  <c r="BK668" i="8"/>
  <c r="CI667" i="8"/>
  <c r="CD667" i="8"/>
  <c r="BY667" i="8"/>
  <c r="BT667" i="8"/>
  <c r="BP667" i="8"/>
  <c r="BJ667" i="8"/>
  <c r="CH666" i="8"/>
  <c r="CC666" i="8"/>
  <c r="BX666" i="8"/>
  <c r="BS666" i="8"/>
  <c r="BO666" i="8"/>
  <c r="BI666" i="8"/>
  <c r="CG665" i="8"/>
  <c r="CB665" i="8"/>
  <c r="BW665" i="8"/>
  <c r="BR665" i="8"/>
  <c r="BL665" i="8"/>
  <c r="CJ664" i="8"/>
  <c r="CF664" i="8"/>
  <c r="CA664" i="8"/>
  <c r="BV664" i="8"/>
  <c r="BZ664" i="8" s="1"/>
  <c r="BQ664" i="8"/>
  <c r="BK664" i="8"/>
  <c r="CI663" i="8"/>
  <c r="CD663" i="8"/>
  <c r="BY663" i="8"/>
  <c r="BT663" i="8"/>
  <c r="BP663" i="8"/>
  <c r="BJ663" i="8"/>
  <c r="CH662" i="8"/>
  <c r="CC662" i="8"/>
  <c r="BX662" i="8"/>
  <c r="BS662" i="8"/>
  <c r="BO662" i="8"/>
  <c r="BI662" i="8"/>
  <c r="CG661" i="8"/>
  <c r="CB661" i="8"/>
  <c r="BW661" i="8"/>
  <c r="BR661" i="8"/>
  <c r="BL661" i="8"/>
  <c r="CJ660" i="8"/>
  <c r="CF660" i="8"/>
  <c r="CA660" i="8"/>
  <c r="BV660" i="8"/>
  <c r="BZ660" i="8" s="1"/>
  <c r="BQ660" i="8"/>
  <c r="BK660" i="8"/>
  <c r="CI659" i="8"/>
  <c r="CD659" i="8"/>
  <c r="BY659" i="8"/>
  <c r="BT659" i="8"/>
  <c r="BP659" i="8"/>
  <c r="BJ659" i="8"/>
  <c r="CH658" i="8"/>
  <c r="CC658" i="8"/>
  <c r="BX658" i="8"/>
  <c r="BS658" i="8"/>
  <c r="BO658" i="8"/>
  <c r="BI658" i="8"/>
  <c r="CG657" i="8"/>
  <c r="CB657" i="8"/>
  <c r="BW657" i="8"/>
  <c r="BR657" i="8"/>
  <c r="BL657" i="8"/>
  <c r="CJ656" i="8"/>
  <c r="CF656" i="8"/>
  <c r="CA656" i="8"/>
  <c r="BV656" i="8"/>
  <c r="BZ656" i="8" s="1"/>
  <c r="BQ656" i="8"/>
  <c r="BK656" i="8"/>
  <c r="CI655" i="8"/>
  <c r="CD655" i="8"/>
  <c r="BY655" i="8"/>
  <c r="BT655" i="8"/>
  <c r="BP655" i="8"/>
  <c r="BJ655" i="8"/>
  <c r="CH654" i="8"/>
  <c r="CC654" i="8"/>
  <c r="BX654" i="8"/>
  <c r="BS654" i="8"/>
  <c r="BO654" i="8"/>
  <c r="BI654" i="8"/>
  <c r="CG653" i="8"/>
  <c r="CB653" i="8"/>
  <c r="BW653" i="8"/>
  <c r="BR653" i="8"/>
  <c r="BL653" i="8"/>
  <c r="CJ652" i="8"/>
  <c r="CF652" i="8"/>
  <c r="CA652" i="8"/>
  <c r="BV652" i="8"/>
  <c r="BZ652" i="8" s="1"/>
  <c r="BQ652" i="8"/>
  <c r="BK652" i="8"/>
  <c r="CI651" i="8"/>
  <c r="CD651" i="8"/>
  <c r="BY651" i="8"/>
  <c r="BT651" i="8"/>
  <c r="BP651" i="8"/>
  <c r="BJ651" i="8"/>
  <c r="CH650" i="8"/>
  <c r="CC650" i="8"/>
  <c r="BX650" i="8"/>
  <c r="BS650" i="8"/>
  <c r="BO650" i="8"/>
  <c r="BI650" i="8"/>
  <c r="CG649" i="8"/>
  <c r="CB649" i="8"/>
  <c r="BW649" i="8"/>
  <c r="BR649" i="8"/>
  <c r="BL649" i="8"/>
  <c r="CJ648" i="8"/>
  <c r="CF648" i="8"/>
  <c r="CA648" i="8"/>
  <c r="BV648" i="8"/>
  <c r="BZ648" i="8" s="1"/>
  <c r="BQ648" i="8"/>
  <c r="BK648" i="8"/>
  <c r="CI647" i="8"/>
  <c r="CD647" i="8"/>
  <c r="BY647" i="8"/>
  <c r="BT647" i="8"/>
  <c r="BP647" i="8"/>
  <c r="BJ647" i="8"/>
  <c r="CH646" i="8"/>
  <c r="CC646" i="8"/>
  <c r="BX646" i="8"/>
  <c r="BS646" i="8"/>
  <c r="BO646" i="8"/>
  <c r="BI646" i="8"/>
  <c r="CG645" i="8"/>
  <c r="CB645" i="8"/>
  <c r="BW645" i="8"/>
  <c r="BR645" i="8"/>
  <c r="BL645" i="8"/>
  <c r="CJ644" i="8"/>
  <c r="CF644" i="8"/>
  <c r="CA644" i="8"/>
  <c r="BV644" i="8"/>
  <c r="BZ644" i="8" s="1"/>
  <c r="BQ644" i="8"/>
  <c r="BK644" i="8"/>
  <c r="CI643" i="8"/>
  <c r="CD643" i="8"/>
  <c r="BY643" i="8"/>
  <c r="BT643" i="8"/>
  <c r="BP643" i="8"/>
  <c r="BJ643" i="8"/>
  <c r="CH642" i="8"/>
  <c r="CC642" i="8"/>
  <c r="BX642" i="8"/>
  <c r="BS642" i="8"/>
  <c r="BO642" i="8"/>
  <c r="BI642" i="8"/>
  <c r="CG641" i="8"/>
  <c r="CB641" i="8"/>
  <c r="BW641" i="8"/>
  <c r="BR641" i="8"/>
  <c r="BL641" i="8"/>
  <c r="CJ640" i="8"/>
  <c r="CF640" i="8"/>
  <c r="CA640" i="8"/>
  <c r="BV640" i="8"/>
  <c r="BQ640" i="8"/>
  <c r="BK640" i="8"/>
  <c r="CI639" i="8"/>
  <c r="CD639" i="8"/>
  <c r="BY639" i="8"/>
  <c r="BT639" i="8"/>
  <c r="BP639" i="8"/>
  <c r="BJ639" i="8"/>
  <c r="CH638" i="8"/>
  <c r="CC638" i="8"/>
  <c r="BX638" i="8"/>
  <c r="BS638" i="8"/>
  <c r="BO638" i="8"/>
  <c r="BI638" i="8"/>
  <c r="CG637" i="8"/>
  <c r="CB637" i="8"/>
  <c r="BW637" i="8"/>
  <c r="BR637" i="8"/>
  <c r="BL637" i="8"/>
  <c r="CJ636" i="8"/>
  <c r="CF636" i="8"/>
  <c r="CA636" i="8"/>
  <c r="BV636" i="8"/>
  <c r="BQ636" i="8"/>
  <c r="BK636" i="8"/>
  <c r="CI635" i="8"/>
  <c r="CD635" i="8"/>
  <c r="BY635" i="8"/>
  <c r="BT635" i="8"/>
  <c r="BP635" i="8"/>
  <c r="BJ635" i="8"/>
  <c r="CH634" i="8"/>
  <c r="CC634" i="8"/>
  <c r="BX634" i="8"/>
  <c r="BS634" i="8"/>
  <c r="BO634" i="8"/>
  <c r="BI634" i="8"/>
  <c r="CG633" i="8"/>
  <c r="CB633" i="8"/>
  <c r="BW633" i="8"/>
  <c r="BR633" i="8"/>
  <c r="BL633" i="8"/>
  <c r="CJ632" i="8"/>
  <c r="CF632" i="8"/>
  <c r="CA632" i="8"/>
  <c r="BV632" i="8"/>
  <c r="BQ632" i="8"/>
  <c r="BK632" i="8"/>
  <c r="CI631" i="8"/>
  <c r="CD631" i="8"/>
  <c r="BY631" i="8"/>
  <c r="BT631" i="8"/>
  <c r="BP631" i="8"/>
  <c r="BJ631" i="8"/>
  <c r="CH630" i="8"/>
  <c r="CC630" i="8"/>
  <c r="BX630" i="8"/>
  <c r="BS630" i="8"/>
  <c r="BO630" i="8"/>
  <c r="BI630" i="8"/>
  <c r="CG629" i="8"/>
  <c r="CB629" i="8"/>
  <c r="BW629" i="8"/>
  <c r="BR629" i="8"/>
  <c r="BL629" i="8"/>
  <c r="CJ628" i="8"/>
  <c r="CF628" i="8"/>
  <c r="CA628" i="8"/>
  <c r="BV628" i="8"/>
  <c r="BQ628" i="8"/>
  <c r="BK628" i="8"/>
  <c r="CI627" i="8"/>
  <c r="CD627" i="8"/>
  <c r="BY627" i="8"/>
  <c r="BT627" i="8"/>
  <c r="BP627" i="8"/>
  <c r="BJ627" i="8"/>
  <c r="CH626" i="8"/>
  <c r="CC626" i="8"/>
  <c r="BX626" i="8"/>
  <c r="BS626" i="8"/>
  <c r="BO626" i="8"/>
  <c r="BI626" i="8"/>
  <c r="CG625" i="8"/>
  <c r="CB625" i="8"/>
  <c r="BW625" i="8"/>
  <c r="BR625" i="8"/>
  <c r="BL625" i="8"/>
  <c r="CJ624" i="8"/>
  <c r="CF624" i="8"/>
  <c r="CA624" i="8"/>
  <c r="BV624" i="8"/>
  <c r="BZ624" i="8" s="1"/>
  <c r="BQ624" i="8"/>
  <c r="BK624" i="8"/>
  <c r="CI623" i="8"/>
  <c r="CD623" i="8"/>
  <c r="BY623" i="8"/>
  <c r="BT623" i="8"/>
  <c r="BP623" i="8"/>
  <c r="BJ623" i="8"/>
  <c r="CH622" i="8"/>
  <c r="CC622" i="8"/>
  <c r="BX622" i="8"/>
  <c r="BS622" i="8"/>
  <c r="BO622" i="8"/>
  <c r="BI622" i="8"/>
  <c r="CG621" i="8"/>
  <c r="CB621" i="8"/>
  <c r="BW621" i="8"/>
  <c r="BR621" i="8"/>
  <c r="BL621" i="8"/>
  <c r="CJ620" i="8"/>
  <c r="CG897" i="8"/>
  <c r="BY886" i="8"/>
  <c r="BL871" i="8"/>
  <c r="CD863" i="8"/>
  <c r="BO858" i="8"/>
  <c r="CF854" i="8"/>
  <c r="BI852" i="8"/>
  <c r="BP849" i="8"/>
  <c r="BV846" i="8"/>
  <c r="BZ846" i="8" s="1"/>
  <c r="CB843" i="8"/>
  <c r="CH840" i="8"/>
  <c r="BK838" i="8"/>
  <c r="BR835" i="8"/>
  <c r="BX832" i="8"/>
  <c r="CD829" i="8"/>
  <c r="CJ826" i="8"/>
  <c r="BO824" i="8"/>
  <c r="BT821" i="8"/>
  <c r="CA818" i="8"/>
  <c r="BI816" i="8"/>
  <c r="CA814" i="8"/>
  <c r="BP813" i="8"/>
  <c r="CG811" i="8"/>
  <c r="BV810" i="8"/>
  <c r="BJ809" i="8"/>
  <c r="CB807" i="8"/>
  <c r="BQ806" i="8"/>
  <c r="CH804" i="8"/>
  <c r="BW803" i="8"/>
  <c r="BK802" i="8"/>
  <c r="CC800" i="8"/>
  <c r="BR799" i="8"/>
  <c r="CI797" i="8"/>
  <c r="BX796" i="8"/>
  <c r="BL795" i="8"/>
  <c r="BI794" i="8"/>
  <c r="BR793" i="8"/>
  <c r="CA792" i="8"/>
  <c r="CI791" i="8"/>
  <c r="BP791" i="8"/>
  <c r="BX790" i="8"/>
  <c r="CG789" i="8"/>
  <c r="BL789" i="8"/>
  <c r="BV788" i="8"/>
  <c r="CD787" i="8"/>
  <c r="BJ787" i="8"/>
  <c r="BS786" i="8"/>
  <c r="CB785" i="8"/>
  <c r="CJ784" i="8"/>
  <c r="BQ784" i="8"/>
  <c r="BY783" i="8"/>
  <c r="CH782" i="8"/>
  <c r="BO782" i="8"/>
  <c r="BW781" i="8"/>
  <c r="CF780" i="8"/>
  <c r="BK780" i="8"/>
  <c r="BT779" i="8"/>
  <c r="CC778" i="8"/>
  <c r="BI778" i="8"/>
  <c r="BR777" i="8"/>
  <c r="CA776" i="8"/>
  <c r="CI775" i="8"/>
  <c r="BP775" i="8"/>
  <c r="BX774" i="8"/>
  <c r="CG773" i="8"/>
  <c r="BL773" i="8"/>
  <c r="BV772" i="8"/>
  <c r="BZ772" i="8" s="1"/>
  <c r="CD771" i="8"/>
  <c r="BJ771" i="8"/>
  <c r="BS770" i="8"/>
  <c r="CB769" i="8"/>
  <c r="CJ768" i="8"/>
  <c r="BQ768" i="8"/>
  <c r="BY767" i="8"/>
  <c r="CH766" i="8"/>
  <c r="BO766" i="8"/>
  <c r="BW765" i="8"/>
  <c r="CF764" i="8"/>
  <c r="BK764" i="8"/>
  <c r="BT763" i="8"/>
  <c r="CC762" i="8"/>
  <c r="BI762" i="8"/>
  <c r="BR761" i="8"/>
  <c r="CA760" i="8"/>
  <c r="CE760" i="8" s="1"/>
  <c r="CI759" i="8"/>
  <c r="BP759" i="8"/>
  <c r="BX758" i="8"/>
  <c r="CG757" i="8"/>
  <c r="BL757" i="8"/>
  <c r="BV756" i="8"/>
  <c r="BZ756" i="8" s="1"/>
  <c r="CD755" i="8"/>
  <c r="BJ755" i="8"/>
  <c r="BS754" i="8"/>
  <c r="CB753" i="8"/>
  <c r="CJ752" i="8"/>
  <c r="BQ752" i="8"/>
  <c r="BY751" i="8"/>
  <c r="CH750" i="8"/>
  <c r="BO750" i="8"/>
  <c r="BW749" i="8"/>
  <c r="CF748" i="8"/>
  <c r="BK748" i="8"/>
  <c r="BT747" i="8"/>
  <c r="CC746" i="8"/>
  <c r="BI746" i="8"/>
  <c r="BR745" i="8"/>
  <c r="CA744" i="8"/>
  <c r="CI743" i="8"/>
  <c r="BP743" i="8"/>
  <c r="BX742" i="8"/>
  <c r="CG741" i="8"/>
  <c r="BL741" i="8"/>
  <c r="BV740" i="8"/>
  <c r="BZ740" i="8" s="1"/>
  <c r="CD739" i="8"/>
  <c r="BJ739" i="8"/>
  <c r="BS738" i="8"/>
  <c r="CB737" i="8"/>
  <c r="CJ736" i="8"/>
  <c r="BQ736" i="8"/>
  <c r="BY735" i="8"/>
  <c r="CH734" i="8"/>
  <c r="BW734" i="8"/>
  <c r="BL734" i="8"/>
  <c r="CF733" i="8"/>
  <c r="BV733" i="8"/>
  <c r="BZ733" i="8" s="1"/>
  <c r="BK733" i="8"/>
  <c r="CD732" i="8"/>
  <c r="BT732" i="8"/>
  <c r="BJ732" i="8"/>
  <c r="CC731" i="8"/>
  <c r="BS731" i="8"/>
  <c r="BI731" i="8"/>
  <c r="CB730" i="8"/>
  <c r="BR730" i="8"/>
  <c r="CJ729" i="8"/>
  <c r="CA729" i="8"/>
  <c r="BQ729" i="8"/>
  <c r="CI728" i="8"/>
  <c r="BY728" i="8"/>
  <c r="BP728" i="8"/>
  <c r="CH727" i="8"/>
  <c r="BX727" i="8"/>
  <c r="BO727" i="8"/>
  <c r="CG726" i="8"/>
  <c r="BW726" i="8"/>
  <c r="BL726" i="8"/>
  <c r="CF725" i="8"/>
  <c r="BV725" i="8"/>
  <c r="BZ725" i="8" s="1"/>
  <c r="BK725" i="8"/>
  <c r="CD724" i="8"/>
  <c r="BT724" i="8"/>
  <c r="BJ724" i="8"/>
  <c r="CC723" i="8"/>
  <c r="BS723" i="8"/>
  <c r="BI723" i="8"/>
  <c r="CB722" i="8"/>
  <c r="BR722" i="8"/>
  <c r="CJ721" i="8"/>
  <c r="CA721" i="8"/>
  <c r="CE721" i="8" s="1"/>
  <c r="BQ721" i="8"/>
  <c r="CI720" i="8"/>
  <c r="BY720" i="8"/>
  <c r="BP720" i="8"/>
  <c r="CH719" i="8"/>
  <c r="BX719" i="8"/>
  <c r="BO719" i="8"/>
  <c r="CG718" i="8"/>
  <c r="BW718" i="8"/>
  <c r="BL718" i="8"/>
  <c r="CF717" i="8"/>
  <c r="BV717" i="8"/>
  <c r="BK717" i="8"/>
  <c r="CD716" i="8"/>
  <c r="BT716" i="8"/>
  <c r="BJ716" i="8"/>
  <c r="CC715" i="8"/>
  <c r="BS715" i="8"/>
  <c r="BI715" i="8"/>
  <c r="CB714" i="8"/>
  <c r="BR714" i="8"/>
  <c r="CJ713" i="8"/>
  <c r="CA713" i="8"/>
  <c r="BQ713" i="8"/>
  <c r="CI712" i="8"/>
  <c r="BY712" i="8"/>
  <c r="BP712" i="8"/>
  <c r="CH711" i="8"/>
  <c r="BX711" i="8"/>
  <c r="BO711" i="8"/>
  <c r="CG710" i="8"/>
  <c r="BW710" i="8"/>
  <c r="BL710" i="8"/>
  <c r="CF709" i="8"/>
  <c r="BV709" i="8"/>
  <c r="BK709" i="8"/>
  <c r="CD708" i="8"/>
  <c r="BT708" i="8"/>
  <c r="BJ708" i="8"/>
  <c r="CC707" i="8"/>
  <c r="BS707" i="8"/>
  <c r="BI707" i="8"/>
  <c r="CB706" i="8"/>
  <c r="BR706" i="8"/>
  <c r="CJ705" i="8"/>
  <c r="CA705" i="8"/>
  <c r="BQ705" i="8"/>
  <c r="CI704" i="8"/>
  <c r="BY704" i="8"/>
  <c r="BP704" i="8"/>
  <c r="CH703" i="8"/>
  <c r="BX703" i="8"/>
  <c r="BO703" i="8"/>
  <c r="CG702" i="8"/>
  <c r="BW702" i="8"/>
  <c r="BL702" i="8"/>
  <c r="CJ701" i="8"/>
  <c r="CF701" i="8"/>
  <c r="CA701" i="8"/>
  <c r="BV701" i="8"/>
  <c r="BQ701" i="8"/>
  <c r="BK701" i="8"/>
  <c r="CI700" i="8"/>
  <c r="CD700" i="8"/>
  <c r="BY700" i="8"/>
  <c r="BT700" i="8"/>
  <c r="BP700" i="8"/>
  <c r="BJ700" i="8"/>
  <c r="CH699" i="8"/>
  <c r="CC699" i="8"/>
  <c r="BX699" i="8"/>
  <c r="BS699" i="8"/>
  <c r="BO699" i="8"/>
  <c r="BI699" i="8"/>
  <c r="CG698" i="8"/>
  <c r="CB698" i="8"/>
  <c r="BW698" i="8"/>
  <c r="BR698" i="8"/>
  <c r="BL698" i="8"/>
  <c r="CJ697" i="8"/>
  <c r="CF697" i="8"/>
  <c r="CA697" i="8"/>
  <c r="BV697" i="8"/>
  <c r="BZ697" i="8" s="1"/>
  <c r="BQ697" i="8"/>
  <c r="BK697" i="8"/>
  <c r="CI696" i="8"/>
  <c r="CD696" i="8"/>
  <c r="BY696" i="8"/>
  <c r="BT696" i="8"/>
  <c r="BP696" i="8"/>
  <c r="BJ696" i="8"/>
  <c r="CH695" i="8"/>
  <c r="CC695" i="8"/>
  <c r="BX695" i="8"/>
  <c r="BS695" i="8"/>
  <c r="BO695" i="8"/>
  <c r="BI695" i="8"/>
  <c r="CG694" i="8"/>
  <c r="CB694" i="8"/>
  <c r="BW694" i="8"/>
  <c r="BR694" i="8"/>
  <c r="BL694" i="8"/>
  <c r="CJ693" i="8"/>
  <c r="CF693" i="8"/>
  <c r="CA693" i="8"/>
  <c r="BV693" i="8"/>
  <c r="BQ693" i="8"/>
  <c r="BK693" i="8"/>
  <c r="CI692" i="8"/>
  <c r="CD692" i="8"/>
  <c r="BY692" i="8"/>
  <c r="BT692" i="8"/>
  <c r="BP692" i="8"/>
  <c r="BJ692" i="8"/>
  <c r="CH691" i="8"/>
  <c r="CC691" i="8"/>
  <c r="BX691" i="8"/>
  <c r="BS691" i="8"/>
  <c r="BO691" i="8"/>
  <c r="BI691" i="8"/>
  <c r="CG690" i="8"/>
  <c r="CB690" i="8"/>
  <c r="BW690" i="8"/>
  <c r="BR690" i="8"/>
  <c r="BL690" i="8"/>
  <c r="CJ689" i="8"/>
  <c r="CF689" i="8"/>
  <c r="CA689" i="8"/>
  <c r="BV689" i="8"/>
  <c r="BZ689" i="8" s="1"/>
  <c r="BQ689" i="8"/>
  <c r="BK689" i="8"/>
  <c r="CI688" i="8"/>
  <c r="CD688" i="8"/>
  <c r="BY688" i="8"/>
  <c r="BT688" i="8"/>
  <c r="BP688" i="8"/>
  <c r="BJ688" i="8"/>
  <c r="CH687" i="8"/>
  <c r="CC687" i="8"/>
  <c r="BX687" i="8"/>
  <c r="BS687" i="8"/>
  <c r="BO687" i="8"/>
  <c r="BI687" i="8"/>
  <c r="CG686" i="8"/>
  <c r="CB686" i="8"/>
  <c r="BW686" i="8"/>
  <c r="BR686" i="8"/>
  <c r="BL686" i="8"/>
  <c r="CJ685" i="8"/>
  <c r="CF685" i="8"/>
  <c r="CA685" i="8"/>
  <c r="BV685" i="8"/>
  <c r="BQ685" i="8"/>
  <c r="BK685" i="8"/>
  <c r="CI684" i="8"/>
  <c r="CD684" i="8"/>
  <c r="BY684" i="8"/>
  <c r="BT684" i="8"/>
  <c r="BP684" i="8"/>
  <c r="BJ684" i="8"/>
  <c r="CH683" i="8"/>
  <c r="CC683" i="8"/>
  <c r="BX683" i="8"/>
  <c r="BS683" i="8"/>
  <c r="BO683" i="8"/>
  <c r="BI683" i="8"/>
  <c r="CG682" i="8"/>
  <c r="CB682" i="8"/>
  <c r="BW682" i="8"/>
  <c r="BR682" i="8"/>
  <c r="BL682" i="8"/>
  <c r="CJ681" i="8"/>
  <c r="CF681" i="8"/>
  <c r="CA681" i="8"/>
  <c r="BV681" i="8"/>
  <c r="BQ681" i="8"/>
  <c r="BK681" i="8"/>
  <c r="CI680" i="8"/>
  <c r="CD680" i="8"/>
  <c r="BY680" i="8"/>
  <c r="BT680" i="8"/>
  <c r="BP680" i="8"/>
  <c r="BJ680" i="8"/>
  <c r="CH679" i="8"/>
  <c r="CC679" i="8"/>
  <c r="BX679" i="8"/>
  <c r="BS679" i="8"/>
  <c r="BO679" i="8"/>
  <c r="BI679" i="8"/>
  <c r="CG678" i="8"/>
  <c r="CB678" i="8"/>
  <c r="BW678" i="8"/>
  <c r="BR678" i="8"/>
  <c r="BL678" i="8"/>
  <c r="CJ677" i="8"/>
  <c r="CF677" i="8"/>
  <c r="CA677" i="8"/>
  <c r="BV677" i="8"/>
  <c r="BQ677" i="8"/>
  <c r="BK677" i="8"/>
  <c r="CI676" i="8"/>
  <c r="CD676" i="8"/>
  <c r="BY676" i="8"/>
  <c r="BT676" i="8"/>
  <c r="BP676" i="8"/>
  <c r="BJ676" i="8"/>
  <c r="CH675" i="8"/>
  <c r="CC675" i="8"/>
  <c r="BX675" i="8"/>
  <c r="BS675" i="8"/>
  <c r="BO675" i="8"/>
  <c r="BI675" i="8"/>
  <c r="CG674" i="8"/>
  <c r="CB674" i="8"/>
  <c r="BW674" i="8"/>
  <c r="BR674" i="8"/>
  <c r="BL674" i="8"/>
  <c r="CJ673" i="8"/>
  <c r="CF673" i="8"/>
  <c r="CA673" i="8"/>
  <c r="BV673" i="8"/>
  <c r="BZ673" i="8" s="1"/>
  <c r="BQ673" i="8"/>
  <c r="BK673" i="8"/>
  <c r="CI672" i="8"/>
  <c r="CD672" i="8"/>
  <c r="BY672" i="8"/>
  <c r="BT672" i="8"/>
  <c r="BP672" i="8"/>
  <c r="BJ672" i="8"/>
  <c r="CH671" i="8"/>
  <c r="CC671" i="8"/>
  <c r="BX671" i="8"/>
  <c r="BS671" i="8"/>
  <c r="BO671" i="8"/>
  <c r="BI671" i="8"/>
  <c r="CG670" i="8"/>
  <c r="CB670" i="8"/>
  <c r="BW670" i="8"/>
  <c r="BR670" i="8"/>
  <c r="BL670" i="8"/>
  <c r="CJ669" i="8"/>
  <c r="CF669" i="8"/>
  <c r="CA669" i="8"/>
  <c r="BV669" i="8"/>
  <c r="BZ669" i="8" s="1"/>
  <c r="BQ669" i="8"/>
  <c r="BK669" i="8"/>
  <c r="CI668" i="8"/>
  <c r="CD668" i="8"/>
  <c r="BY668" i="8"/>
  <c r="BT668" i="8"/>
  <c r="BP668" i="8"/>
  <c r="BJ668" i="8"/>
  <c r="CH667" i="8"/>
  <c r="CC667" i="8"/>
  <c r="BX667" i="8"/>
  <c r="BS667" i="8"/>
  <c r="BO667" i="8"/>
  <c r="BI667" i="8"/>
  <c r="CG666" i="8"/>
  <c r="CB666" i="8"/>
  <c r="BW666" i="8"/>
  <c r="BR666" i="8"/>
  <c r="BL666" i="8"/>
  <c r="CJ665" i="8"/>
  <c r="CF665" i="8"/>
  <c r="CA665" i="8"/>
  <c r="BV665" i="8"/>
  <c r="BZ665" i="8" s="1"/>
  <c r="BQ665" i="8"/>
  <c r="BK665" i="8"/>
  <c r="CI664" i="8"/>
  <c r="CD664" i="8"/>
  <c r="BY664" i="8"/>
  <c r="BT664" i="8"/>
  <c r="BP664" i="8"/>
  <c r="BJ664" i="8"/>
  <c r="CH663" i="8"/>
  <c r="CC663" i="8"/>
  <c r="BX663" i="8"/>
  <c r="BS663" i="8"/>
  <c r="BO663" i="8"/>
  <c r="BI663" i="8"/>
  <c r="CG662" i="8"/>
  <c r="CB662" i="8"/>
  <c r="BW662" i="8"/>
  <c r="BR662" i="8"/>
  <c r="BL662" i="8"/>
  <c r="CJ661" i="8"/>
  <c r="CF661" i="8"/>
  <c r="CA661" i="8"/>
  <c r="BV661" i="8"/>
  <c r="BZ661" i="8" s="1"/>
  <c r="BQ661" i="8"/>
  <c r="BK661" i="8"/>
  <c r="CI660" i="8"/>
  <c r="CD660" i="8"/>
  <c r="BY660" i="8"/>
  <c r="BT660" i="8"/>
  <c r="BP660" i="8"/>
  <c r="BJ660" i="8"/>
  <c r="CH659" i="8"/>
  <c r="CC659" i="8"/>
  <c r="BX659" i="8"/>
  <c r="BS659" i="8"/>
  <c r="BO659" i="8"/>
  <c r="BI659" i="8"/>
  <c r="CG658" i="8"/>
  <c r="CB658" i="8"/>
  <c r="BW658" i="8"/>
  <c r="BR658" i="8"/>
  <c r="BL658" i="8"/>
  <c r="CJ657" i="8"/>
  <c r="CF657" i="8"/>
  <c r="CA657" i="8"/>
  <c r="BV657" i="8"/>
  <c r="BZ657" i="8" s="1"/>
  <c r="BQ657" i="8"/>
  <c r="BK657" i="8"/>
  <c r="CI656" i="8"/>
  <c r="CD656" i="8"/>
  <c r="BY656" i="8"/>
  <c r="BT656" i="8"/>
  <c r="BP656" i="8"/>
  <c r="BJ656" i="8"/>
  <c r="CH655" i="8"/>
  <c r="CC655" i="8"/>
  <c r="BX655" i="8"/>
  <c r="BS655" i="8"/>
  <c r="BO655" i="8"/>
  <c r="BI655" i="8"/>
  <c r="CG654" i="8"/>
  <c r="CB654" i="8"/>
  <c r="BW654" i="8"/>
  <c r="BR654" i="8"/>
  <c r="BL654" i="8"/>
  <c r="CJ653" i="8"/>
  <c r="CF653" i="8"/>
  <c r="CA653" i="8"/>
  <c r="BV653" i="8"/>
  <c r="BZ653" i="8" s="1"/>
  <c r="BQ653" i="8"/>
  <c r="BK653" i="8"/>
  <c r="CI652" i="8"/>
  <c r="CD652" i="8"/>
  <c r="BY652" i="8"/>
  <c r="BT652" i="8"/>
  <c r="BP652" i="8"/>
  <c r="BJ652" i="8"/>
  <c r="CH651" i="8"/>
  <c r="CC651" i="8"/>
  <c r="BX651" i="8"/>
  <c r="BS651" i="8"/>
  <c r="BO651" i="8"/>
  <c r="BI651" i="8"/>
  <c r="CG650" i="8"/>
  <c r="CB650" i="8"/>
  <c r="BW650" i="8"/>
  <c r="BR650" i="8"/>
  <c r="BL650" i="8"/>
  <c r="CJ649" i="8"/>
  <c r="CF649" i="8"/>
  <c r="CA649" i="8"/>
  <c r="BV649" i="8"/>
  <c r="BZ649" i="8" s="1"/>
  <c r="BQ649" i="8"/>
  <c r="BK649" i="8"/>
  <c r="CI648" i="8"/>
  <c r="CD648" i="8"/>
  <c r="BY648" i="8"/>
  <c r="BT648" i="8"/>
  <c r="BP648" i="8"/>
  <c r="BJ648" i="8"/>
  <c r="CH647" i="8"/>
  <c r="CC647" i="8"/>
  <c r="BX647" i="8"/>
  <c r="BS647" i="8"/>
  <c r="BO647" i="8"/>
  <c r="BI647" i="8"/>
  <c r="CG646" i="8"/>
  <c r="CB646" i="8"/>
  <c r="BW646" i="8"/>
  <c r="BR646" i="8"/>
  <c r="BL646" i="8"/>
  <c r="CJ645" i="8"/>
  <c r="CF645" i="8"/>
  <c r="CA645" i="8"/>
  <c r="BV645" i="8"/>
  <c r="BZ645" i="8" s="1"/>
  <c r="BQ645" i="8"/>
  <c r="BK645" i="8"/>
  <c r="CI644" i="8"/>
  <c r="CD644" i="8"/>
  <c r="BY644" i="8"/>
  <c r="BT644" i="8"/>
  <c r="BP644" i="8"/>
  <c r="BJ644" i="8"/>
  <c r="CH643" i="8"/>
  <c r="CC643" i="8"/>
  <c r="BX643" i="8"/>
  <c r="BS643" i="8"/>
  <c r="BO643" i="8"/>
  <c r="BI643" i="8"/>
  <c r="CG642" i="8"/>
  <c r="CB642" i="8"/>
  <c r="BW642" i="8"/>
  <c r="BR642" i="8"/>
  <c r="BL642" i="8"/>
  <c r="CJ641" i="8"/>
  <c r="CF641" i="8"/>
  <c r="CA641" i="8"/>
  <c r="BV641" i="8"/>
  <c r="BQ641" i="8"/>
  <c r="BK641" i="8"/>
  <c r="CI640" i="8"/>
  <c r="CD640" i="8"/>
  <c r="BY640" i="8"/>
  <c r="BT640" i="8"/>
  <c r="BP640" i="8"/>
  <c r="BJ640" i="8"/>
  <c r="CH639" i="8"/>
  <c r="CC639" i="8"/>
  <c r="BX639" i="8"/>
  <c r="BS639" i="8"/>
  <c r="BO639" i="8"/>
  <c r="BI639" i="8"/>
  <c r="CG638" i="8"/>
  <c r="CB638" i="8"/>
  <c r="BW638" i="8"/>
  <c r="BR638" i="8"/>
  <c r="BL638" i="8"/>
  <c r="CJ637" i="8"/>
  <c r="CF637" i="8"/>
  <c r="CA637" i="8"/>
  <c r="BV637" i="8"/>
  <c r="BQ637" i="8"/>
  <c r="BK637" i="8"/>
  <c r="CI636" i="8"/>
  <c r="CD636" i="8"/>
  <c r="BY636" i="8"/>
  <c r="BT636" i="8"/>
  <c r="BP636" i="8"/>
  <c r="BJ636" i="8"/>
  <c r="CH635" i="8"/>
  <c r="CC635" i="8"/>
  <c r="BX635" i="8"/>
  <c r="BS635" i="8"/>
  <c r="BO635" i="8"/>
  <c r="BI635" i="8"/>
  <c r="CG634" i="8"/>
  <c r="CB634" i="8"/>
  <c r="BW634" i="8"/>
  <c r="BR634" i="8"/>
  <c r="BL634" i="8"/>
  <c r="CJ633" i="8"/>
  <c r="CF633" i="8"/>
  <c r="CA633" i="8"/>
  <c r="BV633" i="8"/>
  <c r="BQ633" i="8"/>
  <c r="BK633" i="8"/>
  <c r="CI632" i="8"/>
  <c r="CD632" i="8"/>
  <c r="BY632" i="8"/>
  <c r="BT632" i="8"/>
  <c r="BP632" i="8"/>
  <c r="BJ632" i="8"/>
  <c r="CH631" i="8"/>
  <c r="CC631" i="8"/>
  <c r="BX631" i="8"/>
  <c r="BS631" i="8"/>
  <c r="BO631" i="8"/>
  <c r="BI631" i="8"/>
  <c r="CG630" i="8"/>
  <c r="CB630" i="8"/>
  <c r="BW630" i="8"/>
  <c r="BR630" i="8"/>
  <c r="BL630" i="8"/>
  <c r="CJ629" i="8"/>
  <c r="CF629" i="8"/>
  <c r="CA629" i="8"/>
  <c r="BV629" i="8"/>
  <c r="BQ629" i="8"/>
  <c r="BK629" i="8"/>
  <c r="CI628" i="8"/>
  <c r="CD628" i="8"/>
  <c r="BY628" i="8"/>
  <c r="BT628" i="8"/>
  <c r="BP628" i="8"/>
  <c r="BJ628" i="8"/>
  <c r="CH627" i="8"/>
  <c r="CC627" i="8"/>
  <c r="BX627" i="8"/>
  <c r="BS627" i="8"/>
  <c r="BO627" i="8"/>
  <c r="BI627" i="8"/>
  <c r="CG626" i="8"/>
  <c r="CB626" i="8"/>
  <c r="BW626" i="8"/>
  <c r="BR626" i="8"/>
  <c r="BL626" i="8"/>
  <c r="CJ625" i="8"/>
  <c r="CF625" i="8"/>
  <c r="CA625" i="8"/>
  <c r="BV625" i="8"/>
  <c r="BZ625" i="8" s="1"/>
  <c r="BQ625" i="8"/>
  <c r="BK625" i="8"/>
  <c r="CI624" i="8"/>
  <c r="CD624" i="8"/>
  <c r="BY624" i="8"/>
  <c r="BT624" i="8"/>
  <c r="BP624" i="8"/>
  <c r="BJ624" i="8"/>
  <c r="CH623" i="8"/>
  <c r="CC623" i="8"/>
  <c r="BX623" i="8"/>
  <c r="BS623" i="8"/>
  <c r="BO623" i="8"/>
  <c r="BI623" i="8"/>
  <c r="CG622" i="8"/>
  <c r="CB622" i="8"/>
  <c r="BW622" i="8"/>
  <c r="BR622" i="8"/>
  <c r="BL622" i="8"/>
  <c r="CJ621" i="8"/>
  <c r="CF621" i="8"/>
  <c r="CA621" i="8"/>
  <c r="BV621" i="8"/>
  <c r="BQ621" i="8"/>
  <c r="BK621" i="8"/>
  <c r="CI620" i="8"/>
  <c r="CD869" i="8"/>
  <c r="BS862" i="8"/>
  <c r="BX848" i="8"/>
  <c r="BT837" i="8"/>
  <c r="BQ826" i="8"/>
  <c r="CB815" i="8"/>
  <c r="BK810" i="8"/>
  <c r="BX804" i="8"/>
  <c r="CJ798" i="8"/>
  <c r="CG793" i="8"/>
  <c r="BJ791" i="8"/>
  <c r="BQ788" i="8"/>
  <c r="BW785" i="8"/>
  <c r="CC782" i="8"/>
  <c r="CI779" i="8"/>
  <c r="BL777" i="8"/>
  <c r="BS774" i="8"/>
  <c r="BY771" i="8"/>
  <c r="CF768" i="8"/>
  <c r="BI766" i="8"/>
  <c r="BP763" i="8"/>
  <c r="BV760" i="8"/>
  <c r="BZ760" i="8" s="1"/>
  <c r="CB757" i="8"/>
  <c r="CH754" i="8"/>
  <c r="BK752" i="8"/>
  <c r="BR749" i="8"/>
  <c r="BX746" i="8"/>
  <c r="CD743" i="8"/>
  <c r="CJ740" i="8"/>
  <c r="BO738" i="8"/>
  <c r="BT735" i="8"/>
  <c r="CB733" i="8"/>
  <c r="BQ732" i="8"/>
  <c r="CH730" i="8"/>
  <c r="BW729" i="8"/>
  <c r="BK728" i="8"/>
  <c r="CC726" i="8"/>
  <c r="BR725" i="8"/>
  <c r="CI723" i="8"/>
  <c r="BX722" i="8"/>
  <c r="BL721" i="8"/>
  <c r="CD719" i="8"/>
  <c r="BS718" i="8"/>
  <c r="CJ716" i="8"/>
  <c r="BY715" i="8"/>
  <c r="BO714" i="8"/>
  <c r="CF712" i="8"/>
  <c r="BT711" i="8"/>
  <c r="BI710" i="8"/>
  <c r="CA708" i="8"/>
  <c r="CE708" i="8" s="1"/>
  <c r="BP707" i="8"/>
  <c r="CG705" i="8"/>
  <c r="BV704" i="8"/>
  <c r="BJ703" i="8"/>
  <c r="CI701" i="8"/>
  <c r="BP701" i="8"/>
  <c r="BX700" i="8"/>
  <c r="CG699" i="8"/>
  <c r="BL699" i="8"/>
  <c r="BV698" i="8"/>
  <c r="CD697" i="8"/>
  <c r="BJ697" i="8"/>
  <c r="BS696" i="8"/>
  <c r="CB695" i="8"/>
  <c r="CJ694" i="8"/>
  <c r="BQ694" i="8"/>
  <c r="BY693" i="8"/>
  <c r="CH692" i="8"/>
  <c r="BO692" i="8"/>
  <c r="BW691" i="8"/>
  <c r="CF690" i="8"/>
  <c r="BK690" i="8"/>
  <c r="BT689" i="8"/>
  <c r="CC688" i="8"/>
  <c r="BI688" i="8"/>
  <c r="BR687" i="8"/>
  <c r="CA686" i="8"/>
  <c r="CE686" i="8" s="1"/>
  <c r="CI685" i="8"/>
  <c r="BP685" i="8"/>
  <c r="BX684" i="8"/>
  <c r="CG683" i="8"/>
  <c r="BL683" i="8"/>
  <c r="BV682" i="8"/>
  <c r="CD681" i="8"/>
  <c r="BJ681" i="8"/>
  <c r="BS680" i="8"/>
  <c r="CB679" i="8"/>
  <c r="CJ678" i="8"/>
  <c r="BQ678" i="8"/>
  <c r="BY677" i="8"/>
  <c r="CH676" i="8"/>
  <c r="BO676" i="8"/>
  <c r="BW675" i="8"/>
  <c r="CF674" i="8"/>
  <c r="BK674" i="8"/>
  <c r="BT673" i="8"/>
  <c r="CC672" i="8"/>
  <c r="BI672" i="8"/>
  <c r="BR671" i="8"/>
  <c r="CA670" i="8"/>
  <c r="CI669" i="8"/>
  <c r="BP669" i="8"/>
  <c r="BX668" i="8"/>
  <c r="CG667" i="8"/>
  <c r="BL667" i="8"/>
  <c r="BV666" i="8"/>
  <c r="BZ666" i="8" s="1"/>
  <c r="CD665" i="8"/>
  <c r="BJ665" i="8"/>
  <c r="BS664" i="8"/>
  <c r="CB663" i="8"/>
  <c r="CJ662" i="8"/>
  <c r="BQ662" i="8"/>
  <c r="BY661" i="8"/>
  <c r="CH660" i="8"/>
  <c r="BO660" i="8"/>
  <c r="BW659" i="8"/>
  <c r="CF658" i="8"/>
  <c r="BK658" i="8"/>
  <c r="BT657" i="8"/>
  <c r="CC656" i="8"/>
  <c r="BI656" i="8"/>
  <c r="BR655" i="8"/>
  <c r="CA654" i="8"/>
  <c r="CI653" i="8"/>
  <c r="BP653" i="8"/>
  <c r="CG652" i="8"/>
  <c r="BW652" i="8"/>
  <c r="BL652" i="8"/>
  <c r="CF651" i="8"/>
  <c r="BV651" i="8"/>
  <c r="BZ651" i="8" s="1"/>
  <c r="BK651" i="8"/>
  <c r="CD650" i="8"/>
  <c r="BT650" i="8"/>
  <c r="BJ650" i="8"/>
  <c r="CC649" i="8"/>
  <c r="BS649" i="8"/>
  <c r="BI649" i="8"/>
  <c r="CB648" i="8"/>
  <c r="BR648" i="8"/>
  <c r="CJ647" i="8"/>
  <c r="CA647" i="8"/>
  <c r="BQ647" i="8"/>
  <c r="CI646" i="8"/>
  <c r="BY646" i="8"/>
  <c r="BP646" i="8"/>
  <c r="CH645" i="8"/>
  <c r="BX645" i="8"/>
  <c r="BO645" i="8"/>
  <c r="CG644" i="8"/>
  <c r="BW644" i="8"/>
  <c r="BL644" i="8"/>
  <c r="CF643" i="8"/>
  <c r="BV643" i="8"/>
  <c r="BZ643" i="8" s="1"/>
  <c r="BK643" i="8"/>
  <c r="CD642" i="8"/>
  <c r="BT642" i="8"/>
  <c r="BJ642" i="8"/>
  <c r="CC641" i="8"/>
  <c r="BS641" i="8"/>
  <c r="BI641" i="8"/>
  <c r="CB640" i="8"/>
  <c r="BR640" i="8"/>
  <c r="CJ639" i="8"/>
  <c r="CA639" i="8"/>
  <c r="BQ639" i="8"/>
  <c r="CI638" i="8"/>
  <c r="BY638" i="8"/>
  <c r="BP638" i="8"/>
  <c r="CH637" i="8"/>
  <c r="BX637" i="8"/>
  <c r="BO637" i="8"/>
  <c r="CG636" i="8"/>
  <c r="BW636" i="8"/>
  <c r="BL636" i="8"/>
  <c r="CF635" i="8"/>
  <c r="BV635" i="8"/>
  <c r="BK635" i="8"/>
  <c r="CD634" i="8"/>
  <c r="BT634" i="8"/>
  <c r="BJ634" i="8"/>
  <c r="CC633" i="8"/>
  <c r="BS633" i="8"/>
  <c r="BI633" i="8"/>
  <c r="CB632" i="8"/>
  <c r="BR632" i="8"/>
  <c r="CJ631" i="8"/>
  <c r="CA631" i="8"/>
  <c r="BQ631" i="8"/>
  <c r="CI630" i="8"/>
  <c r="BY630" i="8"/>
  <c r="BP630" i="8"/>
  <c r="CH629" i="8"/>
  <c r="BX629" i="8"/>
  <c r="BO629" i="8"/>
  <c r="CG628" i="8"/>
  <c r="BW628" i="8"/>
  <c r="BL628" i="8"/>
  <c r="CF627" i="8"/>
  <c r="BV627" i="8"/>
  <c r="BK627" i="8"/>
  <c r="CD626" i="8"/>
  <c r="BT626" i="8"/>
  <c r="BJ626" i="8"/>
  <c r="CC625" i="8"/>
  <c r="BS625" i="8"/>
  <c r="BI625" i="8"/>
  <c r="CB624" i="8"/>
  <c r="BR624" i="8"/>
  <c r="CJ623" i="8"/>
  <c r="CA623" i="8"/>
  <c r="CE623" i="8" s="1"/>
  <c r="BQ623" i="8"/>
  <c r="CI622" i="8"/>
  <c r="BY622" i="8"/>
  <c r="BP622" i="8"/>
  <c r="CH621" i="8"/>
  <c r="BX621" i="8"/>
  <c r="BO621" i="8"/>
  <c r="CG620" i="8"/>
  <c r="CB620" i="8"/>
  <c r="BW620" i="8"/>
  <c r="BR620" i="8"/>
  <c r="BL620" i="8"/>
  <c r="CJ619" i="8"/>
  <c r="CF619" i="8"/>
  <c r="CA619" i="8"/>
  <c r="BV619" i="8"/>
  <c r="BZ619" i="8" s="1"/>
  <c r="BQ619" i="8"/>
  <c r="BK619" i="8"/>
  <c r="CI618" i="8"/>
  <c r="CD618" i="8"/>
  <c r="BY618" i="8"/>
  <c r="BT618" i="8"/>
  <c r="BP618" i="8"/>
  <c r="BJ618" i="8"/>
  <c r="CH617" i="8"/>
  <c r="CC617" i="8"/>
  <c r="BX617" i="8"/>
  <c r="BS617" i="8"/>
  <c r="BO617" i="8"/>
  <c r="BI617" i="8"/>
  <c r="CG616" i="8"/>
  <c r="CB616" i="8"/>
  <c r="BW616" i="8"/>
  <c r="BR616" i="8"/>
  <c r="BL616" i="8"/>
  <c r="CJ615" i="8"/>
  <c r="CF615" i="8"/>
  <c r="CA615" i="8"/>
  <c r="BV615" i="8"/>
  <c r="BZ615" i="8" s="1"/>
  <c r="BQ615" i="8"/>
  <c r="BK615" i="8"/>
  <c r="CI614" i="8"/>
  <c r="CD614" i="8"/>
  <c r="BY614" i="8"/>
  <c r="BT614" i="8"/>
  <c r="BP614" i="8"/>
  <c r="BJ614" i="8"/>
  <c r="CH613" i="8"/>
  <c r="CC613" i="8"/>
  <c r="BX613" i="8"/>
  <c r="BS613" i="8"/>
  <c r="BO613" i="8"/>
  <c r="BI613" i="8"/>
  <c r="CG612" i="8"/>
  <c r="CB612" i="8"/>
  <c r="BW612" i="8"/>
  <c r="BR612" i="8"/>
  <c r="BL612" i="8"/>
  <c r="CJ611" i="8"/>
  <c r="CF611" i="8"/>
  <c r="CA611" i="8"/>
  <c r="BV611" i="8"/>
  <c r="BZ611" i="8" s="1"/>
  <c r="BQ611" i="8"/>
  <c r="BK611" i="8"/>
  <c r="CI610" i="8"/>
  <c r="CD610" i="8"/>
  <c r="BY610" i="8"/>
  <c r="BT610" i="8"/>
  <c r="BP610" i="8"/>
  <c r="BJ610" i="8"/>
  <c r="CH609" i="8"/>
  <c r="CC609" i="8"/>
  <c r="BX609" i="8"/>
  <c r="BS609" i="8"/>
  <c r="BO609" i="8"/>
  <c r="BI609" i="8"/>
  <c r="CG608" i="8"/>
  <c r="CB608" i="8"/>
  <c r="BW608" i="8"/>
  <c r="BR608" i="8"/>
  <c r="BL608" i="8"/>
  <c r="CJ607" i="8"/>
  <c r="CF607" i="8"/>
  <c r="CA607" i="8"/>
  <c r="BV607" i="8"/>
  <c r="BZ607" i="8" s="1"/>
  <c r="BQ607" i="8"/>
  <c r="BK607" i="8"/>
  <c r="CI606" i="8"/>
  <c r="CD606" i="8"/>
  <c r="BY606" i="8"/>
  <c r="BT606" i="8"/>
  <c r="BP606" i="8"/>
  <c r="BJ606" i="8"/>
  <c r="CH605" i="8"/>
  <c r="CC605" i="8"/>
  <c r="BX605" i="8"/>
  <c r="BS605" i="8"/>
  <c r="BO605" i="8"/>
  <c r="BI605" i="8"/>
  <c r="CG604" i="8"/>
  <c r="CB604" i="8"/>
  <c r="BW604" i="8"/>
  <c r="BR604" i="8"/>
  <c r="BL604" i="8"/>
  <c r="CJ603" i="8"/>
  <c r="CF603" i="8"/>
  <c r="CA603" i="8"/>
  <c r="BV603" i="8"/>
  <c r="BZ603" i="8" s="1"/>
  <c r="BQ603" i="8"/>
  <c r="BK603" i="8"/>
  <c r="CI602" i="8"/>
  <c r="CD602" i="8"/>
  <c r="BY602" i="8"/>
  <c r="BT602" i="8"/>
  <c r="BP602" i="8"/>
  <c r="BJ602" i="8"/>
  <c r="CH601" i="8"/>
  <c r="CC601" i="8"/>
  <c r="BX601" i="8"/>
  <c r="BS601" i="8"/>
  <c r="BO601" i="8"/>
  <c r="BI601" i="8"/>
  <c r="CG600" i="8"/>
  <c r="CB600" i="8"/>
  <c r="BW600" i="8"/>
  <c r="BR600" i="8"/>
  <c r="BL600" i="8"/>
  <c r="CJ599" i="8"/>
  <c r="CF599" i="8"/>
  <c r="CA599" i="8"/>
  <c r="BV599" i="8"/>
  <c r="BZ599" i="8" s="1"/>
  <c r="BQ599" i="8"/>
  <c r="BK599" i="8"/>
  <c r="CI598" i="8"/>
  <c r="CD598" i="8"/>
  <c r="BY598" i="8"/>
  <c r="BT598" i="8"/>
  <c r="BP598" i="8"/>
  <c r="BJ598" i="8"/>
  <c r="CH597" i="8"/>
  <c r="CC597" i="8"/>
  <c r="BX597" i="8"/>
  <c r="BS597" i="8"/>
  <c r="BO597" i="8"/>
  <c r="BI597" i="8"/>
  <c r="CG596" i="8"/>
  <c r="CB596" i="8"/>
  <c r="BW596" i="8"/>
  <c r="BR596" i="8"/>
  <c r="BL596" i="8"/>
  <c r="CJ595" i="8"/>
  <c r="CF595" i="8"/>
  <c r="CA595" i="8"/>
  <c r="BV595" i="8"/>
  <c r="BZ595" i="8" s="1"/>
  <c r="BQ595" i="8"/>
  <c r="BK595" i="8"/>
  <c r="CI594" i="8"/>
  <c r="CD594" i="8"/>
  <c r="BY594" i="8"/>
  <c r="BT594" i="8"/>
  <c r="BP594" i="8"/>
  <c r="BJ594" i="8"/>
  <c r="CH593" i="8"/>
  <c r="CC593" i="8"/>
  <c r="BX593" i="8"/>
  <c r="BS593" i="8"/>
  <c r="BO593" i="8"/>
  <c r="BI593" i="8"/>
  <c r="CG592" i="8"/>
  <c r="CB592" i="8"/>
  <c r="BW592" i="8"/>
  <c r="BR592" i="8"/>
  <c r="BL592" i="8"/>
  <c r="CJ591" i="8"/>
  <c r="CF591" i="8"/>
  <c r="CA591" i="8"/>
  <c r="BV591" i="8"/>
  <c r="BZ591" i="8" s="1"/>
  <c r="BQ591" i="8"/>
  <c r="BK591" i="8"/>
  <c r="CI590" i="8"/>
  <c r="CD590" i="8"/>
  <c r="BY590" i="8"/>
  <c r="BT590" i="8"/>
  <c r="BP590" i="8"/>
  <c r="BJ590" i="8"/>
  <c r="CH589" i="8"/>
  <c r="CC589" i="8"/>
  <c r="BX589" i="8"/>
  <c r="BS589" i="8"/>
  <c r="BO589" i="8"/>
  <c r="BI589" i="8"/>
  <c r="CG588" i="8"/>
  <c r="CB588" i="8"/>
  <c r="BW588" i="8"/>
  <c r="BR588" i="8"/>
  <c r="BL588" i="8"/>
  <c r="CJ587" i="8"/>
  <c r="CF587" i="8"/>
  <c r="CA587" i="8"/>
  <c r="BV587" i="8"/>
  <c r="BZ587" i="8" s="1"/>
  <c r="BQ587" i="8"/>
  <c r="BK587" i="8"/>
  <c r="CI586" i="8"/>
  <c r="CD586" i="8"/>
  <c r="BY586" i="8"/>
  <c r="BT586" i="8"/>
  <c r="BP586" i="8"/>
  <c r="BJ586" i="8"/>
  <c r="CH585" i="8"/>
  <c r="CC585" i="8"/>
  <c r="BX585" i="8"/>
  <c r="BS585" i="8"/>
  <c r="BO585" i="8"/>
  <c r="BI585" i="8"/>
  <c r="CG584" i="8"/>
  <c r="CB584" i="8"/>
  <c r="BW584" i="8"/>
  <c r="BR584" i="8"/>
  <c r="BL584" i="8"/>
  <c r="CJ583" i="8"/>
  <c r="CF583" i="8"/>
  <c r="CA583" i="8"/>
  <c r="BV583" i="8"/>
  <c r="BZ583" i="8" s="1"/>
  <c r="BQ583" i="8"/>
  <c r="BK583" i="8"/>
  <c r="CI582" i="8"/>
  <c r="CD582" i="8"/>
  <c r="BY582" i="8"/>
  <c r="BT582" i="8"/>
  <c r="BP582" i="8"/>
  <c r="BJ582" i="8"/>
  <c r="CH581" i="8"/>
  <c r="CC581" i="8"/>
  <c r="BX581" i="8"/>
  <c r="BS581" i="8"/>
  <c r="BO581" i="8"/>
  <c r="BI581" i="8"/>
  <c r="CG580" i="8"/>
  <c r="CB580" i="8"/>
  <c r="BW580" i="8"/>
  <c r="BR580" i="8"/>
  <c r="BL580" i="8"/>
  <c r="CJ579" i="8"/>
  <c r="CF579" i="8"/>
  <c r="CA579" i="8"/>
  <c r="BV579" i="8"/>
  <c r="BZ579" i="8" s="1"/>
  <c r="BQ579" i="8"/>
  <c r="BK579" i="8"/>
  <c r="CI578" i="8"/>
  <c r="CD578" i="8"/>
  <c r="BY578" i="8"/>
  <c r="BT578" i="8"/>
  <c r="BP578" i="8"/>
  <c r="BJ578" i="8"/>
  <c r="CH577" i="8"/>
  <c r="CC577" i="8"/>
  <c r="BX577" i="8"/>
  <c r="BS577" i="8"/>
  <c r="BO577" i="8"/>
  <c r="BI577" i="8"/>
  <c r="CG576" i="8"/>
  <c r="CB576" i="8"/>
  <c r="BW576" i="8"/>
  <c r="BR576" i="8"/>
  <c r="BL576" i="8"/>
  <c r="CJ575" i="8"/>
  <c r="CF575" i="8"/>
  <c r="CA575" i="8"/>
  <c r="BV575" i="8"/>
  <c r="BZ575" i="8" s="1"/>
  <c r="BQ575" i="8"/>
  <c r="BK575" i="8"/>
  <c r="CI574" i="8"/>
  <c r="CD574" i="8"/>
  <c r="BY574" i="8"/>
  <c r="BT574" i="8"/>
  <c r="BP574" i="8"/>
  <c r="BJ574" i="8"/>
  <c r="CH573" i="8"/>
  <c r="CC573" i="8"/>
  <c r="BX573" i="8"/>
  <c r="BS573" i="8"/>
  <c r="BO573" i="8"/>
  <c r="BI573" i="8"/>
  <c r="CG572" i="8"/>
  <c r="CB572" i="8"/>
  <c r="BW572" i="8"/>
  <c r="BR572" i="8"/>
  <c r="BL572" i="8"/>
  <c r="CJ571" i="8"/>
  <c r="CF571" i="8"/>
  <c r="CA571" i="8"/>
  <c r="BV571" i="8"/>
  <c r="BZ571" i="8" s="1"/>
  <c r="BQ571" i="8"/>
  <c r="BK571" i="8"/>
  <c r="CI570" i="8"/>
  <c r="CD570" i="8"/>
  <c r="BY570" i="8"/>
  <c r="BT570" i="8"/>
  <c r="BP570" i="8"/>
  <c r="BJ570" i="8"/>
  <c r="CH569" i="8"/>
  <c r="CC569" i="8"/>
  <c r="BX569" i="8"/>
  <c r="BS569" i="8"/>
  <c r="BO569" i="8"/>
  <c r="BI569" i="8"/>
  <c r="CG568" i="8"/>
  <c r="CB568" i="8"/>
  <c r="BW568" i="8"/>
  <c r="BR568" i="8"/>
  <c r="BL568" i="8"/>
  <c r="CJ567" i="8"/>
  <c r="CF567" i="8"/>
  <c r="CA567" i="8"/>
  <c r="BV567" i="8"/>
  <c r="BZ567" i="8" s="1"/>
  <c r="BQ567" i="8"/>
  <c r="BK567" i="8"/>
  <c r="CI566" i="8"/>
  <c r="CD566" i="8"/>
  <c r="BY566" i="8"/>
  <c r="BT566" i="8"/>
  <c r="BP566" i="8"/>
  <c r="BJ566" i="8"/>
  <c r="CH565" i="8"/>
  <c r="CC565" i="8"/>
  <c r="BX565" i="8"/>
  <c r="BS565" i="8"/>
  <c r="BO565" i="8"/>
  <c r="BI565" i="8"/>
  <c r="CG564" i="8"/>
  <c r="CB564" i="8"/>
  <c r="BW564" i="8"/>
  <c r="BR564" i="8"/>
  <c r="BL564" i="8"/>
  <c r="CJ563" i="8"/>
  <c r="CF563" i="8"/>
  <c r="CA563" i="8"/>
  <c r="BV563" i="8"/>
  <c r="BZ563" i="8" s="1"/>
  <c r="BQ563" i="8"/>
  <c r="BK563" i="8"/>
  <c r="CI562" i="8"/>
  <c r="CD562" i="8"/>
  <c r="BY562" i="8"/>
  <c r="BT562" i="8"/>
  <c r="BP562" i="8"/>
  <c r="BJ562" i="8"/>
  <c r="CH561" i="8"/>
  <c r="CC561" i="8"/>
  <c r="BX561" i="8"/>
  <c r="BS561" i="8"/>
  <c r="BO561" i="8"/>
  <c r="BI561" i="8"/>
  <c r="CG560" i="8"/>
  <c r="CB560" i="8"/>
  <c r="BW560" i="8"/>
  <c r="BR560" i="8"/>
  <c r="BL560" i="8"/>
  <c r="CJ559" i="8"/>
  <c r="CF559" i="8"/>
  <c r="CA559" i="8"/>
  <c r="BV559" i="8"/>
  <c r="BZ559" i="8" s="1"/>
  <c r="BQ559" i="8"/>
  <c r="BK559" i="8"/>
  <c r="CI558" i="8"/>
  <c r="CD558" i="8"/>
  <c r="BY558" i="8"/>
  <c r="BT558" i="8"/>
  <c r="BP558" i="8"/>
  <c r="BJ558" i="8"/>
  <c r="CH557" i="8"/>
  <c r="CC557" i="8"/>
  <c r="BX557" i="8"/>
  <c r="BS557" i="8"/>
  <c r="BO557" i="8"/>
  <c r="BI557" i="8"/>
  <c r="CG556" i="8"/>
  <c r="CB556" i="8"/>
  <c r="BW556" i="8"/>
  <c r="BR556" i="8"/>
  <c r="BL556" i="8"/>
  <c r="CJ555" i="8"/>
  <c r="CF555" i="8"/>
  <c r="CA555" i="8"/>
  <c r="BV555" i="8"/>
  <c r="BZ555" i="8" s="1"/>
  <c r="BQ555" i="8"/>
  <c r="BK555" i="8"/>
  <c r="CI554" i="8"/>
  <c r="CD554" i="8"/>
  <c r="BY554" i="8"/>
  <c r="BT554" i="8"/>
  <c r="BP554" i="8"/>
  <c r="BJ554" i="8"/>
  <c r="CH553" i="8"/>
  <c r="CC553" i="8"/>
  <c r="BX553" i="8"/>
  <c r="BS553" i="8"/>
  <c r="BO553" i="8"/>
  <c r="BI553" i="8"/>
  <c r="CG552" i="8"/>
  <c r="CB552" i="8"/>
  <c r="BW552" i="8"/>
  <c r="BR552" i="8"/>
  <c r="BL552" i="8"/>
  <c r="CJ551" i="8"/>
  <c r="CF551" i="8"/>
  <c r="CA551" i="8"/>
  <c r="BV551" i="8"/>
  <c r="BZ551" i="8" s="1"/>
  <c r="BQ551" i="8"/>
  <c r="BK551" i="8"/>
  <c r="CI550" i="8"/>
  <c r="CD550" i="8"/>
  <c r="BY550" i="8"/>
  <c r="BT550" i="8"/>
  <c r="BP550" i="8"/>
  <c r="BJ550" i="8"/>
  <c r="CH549" i="8"/>
  <c r="CC549" i="8"/>
  <c r="BX549" i="8"/>
  <c r="BS549" i="8"/>
  <c r="BO549" i="8"/>
  <c r="BI549" i="8"/>
  <c r="CG548" i="8"/>
  <c r="CB548" i="8"/>
  <c r="BW548" i="8"/>
  <c r="BR548" i="8"/>
  <c r="BL548" i="8"/>
  <c r="CJ547" i="8"/>
  <c r="CF547" i="8"/>
  <c r="CA547" i="8"/>
  <c r="BV547" i="8"/>
  <c r="BZ547" i="8" s="1"/>
  <c r="BQ547" i="8"/>
  <c r="BK547" i="8"/>
  <c r="CI546" i="8"/>
  <c r="CD546" i="8"/>
  <c r="BY546" i="8"/>
  <c r="BT546" i="8"/>
  <c r="BP546" i="8"/>
  <c r="BJ546" i="8"/>
  <c r="CH545" i="8"/>
  <c r="CC545" i="8"/>
  <c r="BX545" i="8"/>
  <c r="BS545" i="8"/>
  <c r="BO545" i="8"/>
  <c r="BI545" i="8"/>
  <c r="CG544" i="8"/>
  <c r="CB544" i="8"/>
  <c r="BW544" i="8"/>
  <c r="BR544" i="8"/>
  <c r="BL544" i="8"/>
  <c r="CJ543" i="8"/>
  <c r="CF543" i="8"/>
  <c r="CA543" i="8"/>
  <c r="BV543" i="8"/>
  <c r="BZ543" i="8" s="1"/>
  <c r="BQ543" i="8"/>
  <c r="BK543" i="8"/>
  <c r="CI542" i="8"/>
  <c r="CD542" i="8"/>
  <c r="BY542" i="8"/>
  <c r="BT542" i="8"/>
  <c r="BP542" i="8"/>
  <c r="BJ542" i="8"/>
  <c r="CH541" i="8"/>
  <c r="CC541" i="8"/>
  <c r="BX541" i="8"/>
  <c r="BS541" i="8"/>
  <c r="BO541" i="8"/>
  <c r="BI541" i="8"/>
  <c r="CG540" i="8"/>
  <c r="CB540" i="8"/>
  <c r="BW540" i="8"/>
  <c r="BR540" i="8"/>
  <c r="BL540" i="8"/>
  <c r="CH856" i="8"/>
  <c r="CD845" i="8"/>
  <c r="CA834" i="8"/>
  <c r="BW823" i="8"/>
  <c r="BQ814" i="8"/>
  <c r="CC808" i="8"/>
  <c r="BL803" i="8"/>
  <c r="BY797" i="8"/>
  <c r="BL793" i="8"/>
  <c r="BS790" i="8"/>
  <c r="BY787" i="8"/>
  <c r="CF784" i="8"/>
  <c r="BI782" i="8"/>
  <c r="BP779" i="8"/>
  <c r="BV776" i="8"/>
  <c r="CB773" i="8"/>
  <c r="CH770" i="8"/>
  <c r="BK768" i="8"/>
  <c r="BR765" i="8"/>
  <c r="BX762" i="8"/>
  <c r="CD759" i="8"/>
  <c r="CJ756" i="8"/>
  <c r="BO754" i="8"/>
  <c r="BT751" i="8"/>
  <c r="CA748" i="8"/>
  <c r="CE748" i="8" s="1"/>
  <c r="CG745" i="8"/>
  <c r="BJ743" i="8"/>
  <c r="BQ740" i="8"/>
  <c r="BW737" i="8"/>
  <c r="CC734" i="8"/>
  <c r="BR733" i="8"/>
  <c r="CI731" i="8"/>
  <c r="BX730" i="8"/>
  <c r="BL729" i="8"/>
  <c r="CD727" i="8"/>
  <c r="BS726" i="8"/>
  <c r="CJ724" i="8"/>
  <c r="BY723" i="8"/>
  <c r="BO722" i="8"/>
  <c r="CF720" i="8"/>
  <c r="BT719" i="8"/>
  <c r="BI718" i="8"/>
  <c r="CA716" i="8"/>
  <c r="BP715" i="8"/>
  <c r="CG713" i="8"/>
  <c r="BV712" i="8"/>
  <c r="BJ711" i="8"/>
  <c r="CB709" i="8"/>
  <c r="BQ708" i="8"/>
  <c r="CH706" i="8"/>
  <c r="BW705" i="8"/>
  <c r="BK704" i="8"/>
  <c r="CC702" i="8"/>
  <c r="CD701" i="8"/>
  <c r="BJ701" i="8"/>
  <c r="BS700" i="8"/>
  <c r="CB699" i="8"/>
  <c r="CJ698" i="8"/>
  <c r="BQ698" i="8"/>
  <c r="BY697" i="8"/>
  <c r="CH696" i="8"/>
  <c r="BO696" i="8"/>
  <c r="BW695" i="8"/>
  <c r="CF694" i="8"/>
  <c r="BK694" i="8"/>
  <c r="BT693" i="8"/>
  <c r="CC692" i="8"/>
  <c r="BI692" i="8"/>
  <c r="BR691" i="8"/>
  <c r="CA690" i="8"/>
  <c r="CI689" i="8"/>
  <c r="BP689" i="8"/>
  <c r="BX688" i="8"/>
  <c r="CG687" i="8"/>
  <c r="BL687" i="8"/>
  <c r="BV686" i="8"/>
  <c r="CD685" i="8"/>
  <c r="BJ685" i="8"/>
  <c r="BS684" i="8"/>
  <c r="CB683" i="8"/>
  <c r="CJ682" i="8"/>
  <c r="BQ682" i="8"/>
  <c r="BY681" i="8"/>
  <c r="CH680" i="8"/>
  <c r="BO680" i="8"/>
  <c r="BW679" i="8"/>
  <c r="CF678" i="8"/>
  <c r="BK678" i="8"/>
  <c r="BT677" i="8"/>
  <c r="CC676" i="8"/>
  <c r="BI676" i="8"/>
  <c r="BR675" i="8"/>
  <c r="CA674" i="8"/>
  <c r="CI673" i="8"/>
  <c r="BP673" i="8"/>
  <c r="BX672" i="8"/>
  <c r="CG671" i="8"/>
  <c r="BL671" i="8"/>
  <c r="BV670" i="8"/>
  <c r="BZ670" i="8" s="1"/>
  <c r="CD669" i="8"/>
  <c r="BJ669" i="8"/>
  <c r="BS668" i="8"/>
  <c r="CB667" i="8"/>
  <c r="CJ666" i="8"/>
  <c r="BQ666" i="8"/>
  <c r="BY665" i="8"/>
  <c r="CH664" i="8"/>
  <c r="BO664" i="8"/>
  <c r="BW663" i="8"/>
  <c r="CF662" i="8"/>
  <c r="BK662" i="8"/>
  <c r="BT661" i="8"/>
  <c r="CC660" i="8"/>
  <c r="BI660" i="8"/>
  <c r="BR659" i="8"/>
  <c r="CA658" i="8"/>
  <c r="CE658" i="8" s="1"/>
  <c r="CI657" i="8"/>
  <c r="BP657" i="8"/>
  <c r="BX656" i="8"/>
  <c r="CG655" i="8"/>
  <c r="BL655" i="8"/>
  <c r="BV654" i="8"/>
  <c r="BZ654" i="8" s="1"/>
  <c r="CD653" i="8"/>
  <c r="BJ653" i="8"/>
  <c r="CC652" i="8"/>
  <c r="BS652" i="8"/>
  <c r="BI652" i="8"/>
  <c r="CB651" i="8"/>
  <c r="BR651" i="8"/>
  <c r="CJ650" i="8"/>
  <c r="CA650" i="8"/>
  <c r="BQ650" i="8"/>
  <c r="CI649" i="8"/>
  <c r="BY649" i="8"/>
  <c r="BP649" i="8"/>
  <c r="CH648" i="8"/>
  <c r="BX648" i="8"/>
  <c r="BO648" i="8"/>
  <c r="CG647" i="8"/>
  <c r="BW647" i="8"/>
  <c r="BL647" i="8"/>
  <c r="CF646" i="8"/>
  <c r="BV646" i="8"/>
  <c r="BZ646" i="8" s="1"/>
  <c r="BK646" i="8"/>
  <c r="CD645" i="8"/>
  <c r="BT645" i="8"/>
  <c r="BJ645" i="8"/>
  <c r="CC644" i="8"/>
  <c r="BS644" i="8"/>
  <c r="BI644" i="8"/>
  <c r="CB643" i="8"/>
  <c r="BR643" i="8"/>
  <c r="CJ642" i="8"/>
  <c r="CA642" i="8"/>
  <c r="BQ642" i="8"/>
  <c r="CI641" i="8"/>
  <c r="BY641" i="8"/>
  <c r="BP641" i="8"/>
  <c r="CH640" i="8"/>
  <c r="BX640" i="8"/>
  <c r="BO640" i="8"/>
  <c r="CG639" i="8"/>
  <c r="BW639" i="8"/>
  <c r="BL639" i="8"/>
  <c r="CF638" i="8"/>
  <c r="BV638" i="8"/>
  <c r="BK638" i="8"/>
  <c r="CD637" i="8"/>
  <c r="BT637" i="8"/>
  <c r="BJ637" i="8"/>
  <c r="CC636" i="8"/>
  <c r="BS636" i="8"/>
  <c r="BI636" i="8"/>
  <c r="CB635" i="8"/>
  <c r="BR635" i="8"/>
  <c r="CJ634" i="8"/>
  <c r="CA634" i="8"/>
  <c r="BQ634" i="8"/>
  <c r="CI633" i="8"/>
  <c r="BY633" i="8"/>
  <c r="BP633" i="8"/>
  <c r="CH632" i="8"/>
  <c r="BX632" i="8"/>
  <c r="BO632" i="8"/>
  <c r="CG631" i="8"/>
  <c r="BW631" i="8"/>
  <c r="BL631" i="8"/>
  <c r="CF630" i="8"/>
  <c r="BV630" i="8"/>
  <c r="BK630" i="8"/>
  <c r="CD629" i="8"/>
  <c r="BT629" i="8"/>
  <c r="BJ629" i="8"/>
  <c r="CC628" i="8"/>
  <c r="BS628" i="8"/>
  <c r="BI628" i="8"/>
  <c r="CB627" i="8"/>
  <c r="BR627" i="8"/>
  <c r="CJ626" i="8"/>
  <c r="CA626" i="8"/>
  <c r="BQ626" i="8"/>
  <c r="CI625" i="8"/>
  <c r="BY625" i="8"/>
  <c r="BP625" i="8"/>
  <c r="CH624" i="8"/>
  <c r="BX624" i="8"/>
  <c r="BO624" i="8"/>
  <c r="CG623" i="8"/>
  <c r="BW623" i="8"/>
  <c r="BL623" i="8"/>
  <c r="CF622" i="8"/>
  <c r="BV622" i="8"/>
  <c r="BK622" i="8"/>
  <c r="CD621" i="8"/>
  <c r="BT621" i="8"/>
  <c r="BJ621" i="8"/>
  <c r="CF620" i="8"/>
  <c r="CA620" i="8"/>
  <c r="BV620" i="8"/>
  <c r="BZ620" i="8" s="1"/>
  <c r="BQ620" i="8"/>
  <c r="BK620" i="8"/>
  <c r="CI619" i="8"/>
  <c r="CD619" i="8"/>
  <c r="BY619" i="8"/>
  <c r="BT619" i="8"/>
  <c r="BP619" i="8"/>
  <c r="BJ619" i="8"/>
  <c r="CH618" i="8"/>
  <c r="CC618" i="8"/>
  <c r="BX618" i="8"/>
  <c r="BS618" i="8"/>
  <c r="BO618" i="8"/>
  <c r="BI618" i="8"/>
  <c r="CG617" i="8"/>
  <c r="CB617" i="8"/>
  <c r="BW617" i="8"/>
  <c r="BR617" i="8"/>
  <c r="BL617" i="8"/>
  <c r="CJ616" i="8"/>
  <c r="CF616" i="8"/>
  <c r="CA616" i="8"/>
  <c r="BV616" i="8"/>
  <c r="BZ616" i="8" s="1"/>
  <c r="BQ616" i="8"/>
  <c r="BK616" i="8"/>
  <c r="CI615" i="8"/>
  <c r="CD615" i="8"/>
  <c r="BY615" i="8"/>
  <c r="BT615" i="8"/>
  <c r="BP615" i="8"/>
  <c r="BJ615" i="8"/>
  <c r="CH614" i="8"/>
  <c r="CC614" i="8"/>
  <c r="BX614" i="8"/>
  <c r="BS614" i="8"/>
  <c r="BO614" i="8"/>
  <c r="BI614" i="8"/>
  <c r="CG613" i="8"/>
  <c r="CB613" i="8"/>
  <c r="BW613" i="8"/>
  <c r="BR613" i="8"/>
  <c r="BL613" i="8"/>
  <c r="CJ612" i="8"/>
  <c r="CF612" i="8"/>
  <c r="CA612" i="8"/>
  <c r="BV612" i="8"/>
  <c r="BZ612" i="8" s="1"/>
  <c r="BQ612" i="8"/>
  <c r="BK612" i="8"/>
  <c r="CI611" i="8"/>
  <c r="CD611" i="8"/>
  <c r="BY611" i="8"/>
  <c r="BT611" i="8"/>
  <c r="BP611" i="8"/>
  <c r="BJ611" i="8"/>
  <c r="CH610" i="8"/>
  <c r="CC610" i="8"/>
  <c r="BX610" i="8"/>
  <c r="BS610" i="8"/>
  <c r="BO610" i="8"/>
  <c r="BI610" i="8"/>
  <c r="CG609" i="8"/>
  <c r="CB609" i="8"/>
  <c r="BW609" i="8"/>
  <c r="BR609" i="8"/>
  <c r="BL609" i="8"/>
  <c r="CJ608" i="8"/>
  <c r="CF608" i="8"/>
  <c r="CA608" i="8"/>
  <c r="BV608" i="8"/>
  <c r="BZ608" i="8" s="1"/>
  <c r="BQ608" i="8"/>
  <c r="BK608" i="8"/>
  <c r="CI607" i="8"/>
  <c r="CD607" i="8"/>
  <c r="BY607" i="8"/>
  <c r="BT607" i="8"/>
  <c r="BP607" i="8"/>
  <c r="BJ607" i="8"/>
  <c r="CH606" i="8"/>
  <c r="CC606" i="8"/>
  <c r="BX606" i="8"/>
  <c r="BS606" i="8"/>
  <c r="BO606" i="8"/>
  <c r="BI606" i="8"/>
  <c r="CG605" i="8"/>
  <c r="CB605" i="8"/>
  <c r="BW605" i="8"/>
  <c r="BR605" i="8"/>
  <c r="BL605" i="8"/>
  <c r="CJ604" i="8"/>
  <c r="CF604" i="8"/>
  <c r="CA604" i="8"/>
  <c r="BV604" i="8"/>
  <c r="BZ604" i="8" s="1"/>
  <c r="BQ604" i="8"/>
  <c r="BK604" i="8"/>
  <c r="CI603" i="8"/>
  <c r="CD603" i="8"/>
  <c r="BY603" i="8"/>
  <c r="BT603" i="8"/>
  <c r="BP603" i="8"/>
  <c r="BJ603" i="8"/>
  <c r="CH602" i="8"/>
  <c r="CC602" i="8"/>
  <c r="BX602" i="8"/>
  <c r="BS602" i="8"/>
  <c r="BO602" i="8"/>
  <c r="BI602" i="8"/>
  <c r="CG601" i="8"/>
  <c r="CB601" i="8"/>
  <c r="BW601" i="8"/>
  <c r="BR601" i="8"/>
  <c r="BL601" i="8"/>
  <c r="CJ600" i="8"/>
  <c r="CF600" i="8"/>
  <c r="CA600" i="8"/>
  <c r="BV600" i="8"/>
  <c r="BZ600" i="8" s="1"/>
  <c r="BQ600" i="8"/>
  <c r="BK600" i="8"/>
  <c r="CI599" i="8"/>
  <c r="CD599" i="8"/>
  <c r="BY599" i="8"/>
  <c r="BT599" i="8"/>
  <c r="BP599" i="8"/>
  <c r="BJ599" i="8"/>
  <c r="CH598" i="8"/>
  <c r="CC598" i="8"/>
  <c r="BX598" i="8"/>
  <c r="BS598" i="8"/>
  <c r="BO598" i="8"/>
  <c r="BI598" i="8"/>
  <c r="CG597" i="8"/>
  <c r="CB597" i="8"/>
  <c r="BW597" i="8"/>
  <c r="BR597" i="8"/>
  <c r="BL597" i="8"/>
  <c r="CJ596" i="8"/>
  <c r="CF596" i="8"/>
  <c r="CA596" i="8"/>
  <c r="BV596" i="8"/>
  <c r="BZ596" i="8" s="1"/>
  <c r="BQ596" i="8"/>
  <c r="BK596" i="8"/>
  <c r="CI595" i="8"/>
  <c r="CD595" i="8"/>
  <c r="BY595" i="8"/>
  <c r="BT595" i="8"/>
  <c r="BP595" i="8"/>
  <c r="BJ595" i="8"/>
  <c r="CH594" i="8"/>
  <c r="CC594" i="8"/>
  <c r="BX594" i="8"/>
  <c r="BS594" i="8"/>
  <c r="BO594" i="8"/>
  <c r="BI594" i="8"/>
  <c r="CG593" i="8"/>
  <c r="CB593" i="8"/>
  <c r="BW593" i="8"/>
  <c r="BR593" i="8"/>
  <c r="BL593" i="8"/>
  <c r="CJ592" i="8"/>
  <c r="CF592" i="8"/>
  <c r="CA592" i="8"/>
  <c r="BV592" i="8"/>
  <c r="BZ592" i="8" s="1"/>
  <c r="BQ592" i="8"/>
  <c r="BK592" i="8"/>
  <c r="CI591" i="8"/>
  <c r="CD591" i="8"/>
  <c r="BY591" i="8"/>
  <c r="BT591" i="8"/>
  <c r="BP591" i="8"/>
  <c r="BJ591" i="8"/>
  <c r="CH590" i="8"/>
  <c r="CC590" i="8"/>
  <c r="BX590" i="8"/>
  <c r="BS590" i="8"/>
  <c r="BO590" i="8"/>
  <c r="BI590" i="8"/>
  <c r="CG589" i="8"/>
  <c r="CB589" i="8"/>
  <c r="BW589" i="8"/>
  <c r="BR589" i="8"/>
  <c r="BL589" i="8"/>
  <c r="CJ588" i="8"/>
  <c r="CF588" i="8"/>
  <c r="CA588" i="8"/>
  <c r="BV588" i="8"/>
  <c r="BZ588" i="8" s="1"/>
  <c r="BQ588" i="8"/>
  <c r="BK588" i="8"/>
  <c r="CI587" i="8"/>
  <c r="CD587" i="8"/>
  <c r="BY587" i="8"/>
  <c r="BT587" i="8"/>
  <c r="BP587" i="8"/>
  <c r="BJ587" i="8"/>
  <c r="CH586" i="8"/>
  <c r="CC586" i="8"/>
  <c r="BX586" i="8"/>
  <c r="BS586" i="8"/>
  <c r="BO586" i="8"/>
  <c r="BI586" i="8"/>
  <c r="CG585" i="8"/>
  <c r="CB585" i="8"/>
  <c r="BW585" i="8"/>
  <c r="BR585" i="8"/>
  <c r="BL585" i="8"/>
  <c r="CJ584" i="8"/>
  <c r="CF584" i="8"/>
  <c r="CA584" i="8"/>
  <c r="BV584" i="8"/>
  <c r="BZ584" i="8" s="1"/>
  <c r="BQ584" i="8"/>
  <c r="BK584" i="8"/>
  <c r="CI583" i="8"/>
  <c r="CD583" i="8"/>
  <c r="BY583" i="8"/>
  <c r="BT583" i="8"/>
  <c r="BP583" i="8"/>
  <c r="BJ583" i="8"/>
  <c r="CH582" i="8"/>
  <c r="CC582" i="8"/>
  <c r="BX582" i="8"/>
  <c r="BS582" i="8"/>
  <c r="BO582" i="8"/>
  <c r="BI582" i="8"/>
  <c r="CG581" i="8"/>
  <c r="CB581" i="8"/>
  <c r="BW581" i="8"/>
  <c r="BR581" i="8"/>
  <c r="BL581" i="8"/>
  <c r="CJ580" i="8"/>
  <c r="CF580" i="8"/>
  <c r="CA580" i="8"/>
  <c r="BV580" i="8"/>
  <c r="BZ580" i="8" s="1"/>
  <c r="BQ580" i="8"/>
  <c r="BK580" i="8"/>
  <c r="CI579" i="8"/>
  <c r="CD579" i="8"/>
  <c r="BY579" i="8"/>
  <c r="BT579" i="8"/>
  <c r="BP579" i="8"/>
  <c r="BJ579" i="8"/>
  <c r="CH578" i="8"/>
  <c r="CC578" i="8"/>
  <c r="BX578" i="8"/>
  <c r="BS578" i="8"/>
  <c r="BO578" i="8"/>
  <c r="BI578" i="8"/>
  <c r="CG577" i="8"/>
  <c r="CB577" i="8"/>
  <c r="BW577" i="8"/>
  <c r="BR577" i="8"/>
  <c r="BL577" i="8"/>
  <c r="CJ576" i="8"/>
  <c r="CF576" i="8"/>
  <c r="CA576" i="8"/>
  <c r="BV576" i="8"/>
  <c r="BZ576" i="8" s="1"/>
  <c r="BQ576" i="8"/>
  <c r="BK576" i="8"/>
  <c r="CI575" i="8"/>
  <c r="CD575" i="8"/>
  <c r="BY575" i="8"/>
  <c r="BT575" i="8"/>
  <c r="BP575" i="8"/>
  <c r="BJ575" i="8"/>
  <c r="CH574" i="8"/>
  <c r="CC574" i="8"/>
  <c r="BX574" i="8"/>
  <c r="BS574" i="8"/>
  <c r="BO574" i="8"/>
  <c r="BI574" i="8"/>
  <c r="CG573" i="8"/>
  <c r="CB573" i="8"/>
  <c r="BW573" i="8"/>
  <c r="BR573" i="8"/>
  <c r="BL573" i="8"/>
  <c r="CJ572" i="8"/>
  <c r="CF572" i="8"/>
  <c r="CA572" i="8"/>
  <c r="BV572" i="8"/>
  <c r="BZ572" i="8" s="1"/>
  <c r="BQ572" i="8"/>
  <c r="BK572" i="8"/>
  <c r="CI571" i="8"/>
  <c r="CD571" i="8"/>
  <c r="BY571" i="8"/>
  <c r="BT571" i="8"/>
  <c r="BP571" i="8"/>
  <c r="BJ571" i="8"/>
  <c r="CH570" i="8"/>
  <c r="CC570" i="8"/>
  <c r="BX570" i="8"/>
  <c r="BS570" i="8"/>
  <c r="BO570" i="8"/>
  <c r="BI570" i="8"/>
  <c r="CG569" i="8"/>
  <c r="CB569" i="8"/>
  <c r="BW569" i="8"/>
  <c r="BR569" i="8"/>
  <c r="BL569" i="8"/>
  <c r="CJ568" i="8"/>
  <c r="CF568" i="8"/>
  <c r="CA568" i="8"/>
  <c r="BV568" i="8"/>
  <c r="BZ568" i="8" s="1"/>
  <c r="BQ568" i="8"/>
  <c r="BK568" i="8"/>
  <c r="CI567" i="8"/>
  <c r="CD567" i="8"/>
  <c r="BY567" i="8"/>
  <c r="BT567" i="8"/>
  <c r="BP567" i="8"/>
  <c r="BJ567" i="8"/>
  <c r="CH566" i="8"/>
  <c r="CC566" i="8"/>
  <c r="BX566" i="8"/>
  <c r="BS566" i="8"/>
  <c r="BO566" i="8"/>
  <c r="BI566" i="8"/>
  <c r="CG565" i="8"/>
  <c r="CB565" i="8"/>
  <c r="BW565" i="8"/>
  <c r="BR565" i="8"/>
  <c r="BL565" i="8"/>
  <c r="CJ564" i="8"/>
  <c r="CF564" i="8"/>
  <c r="CA564" i="8"/>
  <c r="BV564" i="8"/>
  <c r="BZ564" i="8" s="1"/>
  <c r="BQ564" i="8"/>
  <c r="BK564" i="8"/>
  <c r="CI563" i="8"/>
  <c r="CD563" i="8"/>
  <c r="BY563" i="8"/>
  <c r="BT563" i="8"/>
  <c r="BP563" i="8"/>
  <c r="BJ563" i="8"/>
  <c r="CH562" i="8"/>
  <c r="CC562" i="8"/>
  <c r="BX562" i="8"/>
  <c r="BS562" i="8"/>
  <c r="BO562" i="8"/>
  <c r="BI562" i="8"/>
  <c r="CG561" i="8"/>
  <c r="CB561" i="8"/>
  <c r="BW561" i="8"/>
  <c r="BR561" i="8"/>
  <c r="BL561" i="8"/>
  <c r="CJ560" i="8"/>
  <c r="CF560" i="8"/>
  <c r="CA560" i="8"/>
  <c r="BV560" i="8"/>
  <c r="BZ560" i="8" s="1"/>
  <c r="BQ560" i="8"/>
  <c r="BK560" i="8"/>
  <c r="CI559" i="8"/>
  <c r="CD559" i="8"/>
  <c r="BY559" i="8"/>
  <c r="BT559" i="8"/>
  <c r="BP559" i="8"/>
  <c r="BJ559" i="8"/>
  <c r="CH558" i="8"/>
  <c r="CC558" i="8"/>
  <c r="BX558" i="8"/>
  <c r="BS558" i="8"/>
  <c r="BO558" i="8"/>
  <c r="BI558" i="8"/>
  <c r="CG557" i="8"/>
  <c r="CB557" i="8"/>
  <c r="BW557" i="8"/>
  <c r="BR557" i="8"/>
  <c r="BL557" i="8"/>
  <c r="CJ556" i="8"/>
  <c r="CF556" i="8"/>
  <c r="CA556" i="8"/>
  <c r="BV556" i="8"/>
  <c r="BZ556" i="8" s="1"/>
  <c r="BQ556" i="8"/>
  <c r="BK556" i="8"/>
  <c r="CI555" i="8"/>
  <c r="CD555" i="8"/>
  <c r="BY555" i="8"/>
  <c r="BT555" i="8"/>
  <c r="BP555" i="8"/>
  <c r="BJ555" i="8"/>
  <c r="CH554" i="8"/>
  <c r="CC554" i="8"/>
  <c r="BX554" i="8"/>
  <c r="BS554" i="8"/>
  <c r="BO554" i="8"/>
  <c r="BI554" i="8"/>
  <c r="CG553" i="8"/>
  <c r="CB553" i="8"/>
  <c r="BW553" i="8"/>
  <c r="BR553" i="8"/>
  <c r="BL553" i="8"/>
  <c r="CJ552" i="8"/>
  <c r="CF552" i="8"/>
  <c r="CA552" i="8"/>
  <c r="BV552" i="8"/>
  <c r="BZ552" i="8" s="1"/>
  <c r="BQ552" i="8"/>
  <c r="BK552" i="8"/>
  <c r="CI551" i="8"/>
  <c r="CD551" i="8"/>
  <c r="BY551" i="8"/>
  <c r="BT551" i="8"/>
  <c r="BP551" i="8"/>
  <c r="BJ551" i="8"/>
  <c r="CH550" i="8"/>
  <c r="CC550" i="8"/>
  <c r="BX550" i="8"/>
  <c r="BS550" i="8"/>
  <c r="BO550" i="8"/>
  <c r="BI550" i="8"/>
  <c r="CG549" i="8"/>
  <c r="CB549" i="8"/>
  <c r="BW549" i="8"/>
  <c r="BR549" i="8"/>
  <c r="BL549" i="8"/>
  <c r="CJ548" i="8"/>
  <c r="CF548" i="8"/>
  <c r="CA548" i="8"/>
  <c r="BV548" i="8"/>
  <c r="BZ548" i="8" s="1"/>
  <c r="BQ548" i="8"/>
  <c r="BK548" i="8"/>
  <c r="CI547" i="8"/>
  <c r="CD547" i="8"/>
  <c r="BY547" i="8"/>
  <c r="BT547" i="8"/>
  <c r="BP547" i="8"/>
  <c r="BJ547" i="8"/>
  <c r="CH546" i="8"/>
  <c r="CC546" i="8"/>
  <c r="BX546" i="8"/>
  <c r="BS546" i="8"/>
  <c r="BO546" i="8"/>
  <c r="BI546" i="8"/>
  <c r="CG545" i="8"/>
  <c r="CB545" i="8"/>
  <c r="BW545" i="8"/>
  <c r="BR545" i="8"/>
  <c r="BL545" i="8"/>
  <c r="CJ544" i="8"/>
  <c r="CF544" i="8"/>
  <c r="CA544" i="8"/>
  <c r="BV544" i="8"/>
  <c r="BZ544" i="8" s="1"/>
  <c r="BQ544" i="8"/>
  <c r="BK544" i="8"/>
  <c r="CI543" i="8"/>
  <c r="CD543" i="8"/>
  <c r="BY543" i="8"/>
  <c r="BT543" i="8"/>
  <c r="BP543" i="8"/>
  <c r="BJ543" i="8"/>
  <c r="CH542" i="8"/>
  <c r="CC542" i="8"/>
  <c r="BX542" i="8"/>
  <c r="BS542" i="8"/>
  <c r="BO542" i="8"/>
  <c r="BI542" i="8"/>
  <c r="CG541" i="8"/>
  <c r="CB541" i="8"/>
  <c r="BW541" i="8"/>
  <c r="BR541" i="8"/>
  <c r="BL541" i="8"/>
  <c r="CJ540" i="8"/>
  <c r="CF540" i="8"/>
  <c r="CA540" i="8"/>
  <c r="BV540" i="8"/>
  <c r="BZ540" i="8" s="1"/>
  <c r="BQ540" i="8"/>
  <c r="BK540" i="8"/>
  <c r="CI539" i="8"/>
  <c r="CD539" i="8"/>
  <c r="BY539" i="8"/>
  <c r="BT539" i="8"/>
  <c r="BP539" i="8"/>
  <c r="BJ539" i="8"/>
  <c r="CH538" i="8"/>
  <c r="CC538" i="8"/>
  <c r="BX538" i="8"/>
  <c r="BS538" i="8"/>
  <c r="BO538" i="8"/>
  <c r="BI538" i="8"/>
  <c r="CG537" i="8"/>
  <c r="CB537" i="8"/>
  <c r="BW537" i="8"/>
  <c r="BR537" i="8"/>
  <c r="BL537" i="8"/>
  <c r="CJ536" i="8"/>
  <c r="CF536" i="8"/>
  <c r="CA536" i="8"/>
  <c r="BV536" i="8"/>
  <c r="BZ536" i="8" s="1"/>
  <c r="BQ536" i="8"/>
  <c r="BK536" i="8"/>
  <c r="CI535" i="8"/>
  <c r="CD535" i="8"/>
  <c r="BY535" i="8"/>
  <c r="BT535" i="8"/>
  <c r="BP535" i="8"/>
  <c r="BJ535" i="8"/>
  <c r="CH534" i="8"/>
  <c r="CC534" i="8"/>
  <c r="BX534" i="8"/>
  <c r="BS534" i="8"/>
  <c r="BO534" i="8"/>
  <c r="BI534" i="8"/>
  <c r="CG533" i="8"/>
  <c r="CB533" i="8"/>
  <c r="BW533" i="8"/>
  <c r="BR533" i="8"/>
  <c r="BL533" i="8"/>
  <c r="CJ532" i="8"/>
  <c r="CF532" i="8"/>
  <c r="CA532" i="8"/>
  <c r="BV532" i="8"/>
  <c r="BZ532" i="8" s="1"/>
  <c r="BQ532" i="8"/>
  <c r="BK532" i="8"/>
  <c r="CI531" i="8"/>
  <c r="CD531" i="8"/>
  <c r="BY531" i="8"/>
  <c r="BT531" i="8"/>
  <c r="BP531" i="8"/>
  <c r="BJ531" i="8"/>
  <c r="CH530" i="8"/>
  <c r="CC530" i="8"/>
  <c r="BX530" i="8"/>
  <c r="BS530" i="8"/>
  <c r="BO530" i="8"/>
  <c r="BI530" i="8"/>
  <c r="CG529" i="8"/>
  <c r="CB529" i="8"/>
  <c r="BW529" i="8"/>
  <c r="BR529" i="8"/>
  <c r="BL529" i="8"/>
  <c r="CJ528" i="8"/>
  <c r="CF528" i="8"/>
  <c r="CA528" i="8"/>
  <c r="BV528" i="8"/>
  <c r="BZ528" i="8" s="1"/>
  <c r="BQ528" i="8"/>
  <c r="BK528" i="8"/>
  <c r="CI527" i="8"/>
  <c r="CD527" i="8"/>
  <c r="BY527" i="8"/>
  <c r="BT527" i="8"/>
  <c r="BP527" i="8"/>
  <c r="BJ527" i="8"/>
  <c r="CH526" i="8"/>
  <c r="CC526" i="8"/>
  <c r="BX526" i="8"/>
  <c r="BS526" i="8"/>
  <c r="BO526" i="8"/>
  <c r="BI526" i="8"/>
  <c r="CG525" i="8"/>
  <c r="CB525" i="8"/>
  <c r="BW525" i="8"/>
  <c r="BR525" i="8"/>
  <c r="BL525" i="8"/>
  <c r="CJ524" i="8"/>
  <c r="CF524" i="8"/>
  <c r="CA524" i="8"/>
  <c r="BV524" i="8"/>
  <c r="BZ524" i="8" s="1"/>
  <c r="BQ524" i="8"/>
  <c r="BK524" i="8"/>
  <c r="CI523" i="8"/>
  <c r="CD523" i="8"/>
  <c r="BY523" i="8"/>
  <c r="BT523" i="8"/>
  <c r="BP523" i="8"/>
  <c r="BJ523" i="8"/>
  <c r="CH522" i="8"/>
  <c r="CC522" i="8"/>
  <c r="BX522" i="8"/>
  <c r="BS522" i="8"/>
  <c r="BO522" i="8"/>
  <c r="BI522" i="8"/>
  <c r="CG521" i="8"/>
  <c r="CB521" i="8"/>
  <c r="BW521" i="8"/>
  <c r="BR521" i="8"/>
  <c r="BL521" i="8"/>
  <c r="CJ520" i="8"/>
  <c r="CF520" i="8"/>
  <c r="CA520" i="8"/>
  <c r="BV520" i="8"/>
  <c r="BZ520" i="8" s="1"/>
  <c r="BQ520" i="8"/>
  <c r="BK520" i="8"/>
  <c r="CI519" i="8"/>
  <c r="CD519" i="8"/>
  <c r="BY519" i="8"/>
  <c r="BT519" i="8"/>
  <c r="BP519" i="8"/>
  <c r="BJ519" i="8"/>
  <c r="CH518" i="8"/>
  <c r="CC518" i="8"/>
  <c r="BX518" i="8"/>
  <c r="BS518" i="8"/>
  <c r="BO518" i="8"/>
  <c r="BI518" i="8"/>
  <c r="CG517" i="8"/>
  <c r="CB517" i="8"/>
  <c r="BW517" i="8"/>
  <c r="BR517" i="8"/>
  <c r="BL517" i="8"/>
  <c r="CJ516" i="8"/>
  <c r="CF516" i="8"/>
  <c r="CA516" i="8"/>
  <c r="BV516" i="8"/>
  <c r="BZ516" i="8" s="1"/>
  <c r="BQ516" i="8"/>
  <c r="BK516" i="8"/>
  <c r="CI515" i="8"/>
  <c r="CD515" i="8"/>
  <c r="BY515" i="8"/>
  <c r="BT515" i="8"/>
  <c r="BP515" i="8"/>
  <c r="BJ515" i="8"/>
  <c r="CH514" i="8"/>
  <c r="CC514" i="8"/>
  <c r="BX514" i="8"/>
  <c r="BS514" i="8"/>
  <c r="BO514" i="8"/>
  <c r="BI514" i="8"/>
  <c r="CG513" i="8"/>
  <c r="CB513" i="8"/>
  <c r="BW513" i="8"/>
  <c r="BR513" i="8"/>
  <c r="BL513" i="8"/>
  <c r="CJ512" i="8"/>
  <c r="CF512" i="8"/>
  <c r="CA512" i="8"/>
  <c r="BV512" i="8"/>
  <c r="BZ512" i="8" s="1"/>
  <c r="BQ512" i="8"/>
  <c r="BK512" i="8"/>
  <c r="CI511" i="8"/>
  <c r="CD511" i="8"/>
  <c r="BY511" i="8"/>
  <c r="BT511" i="8"/>
  <c r="BP511" i="8"/>
  <c r="BJ511" i="8"/>
  <c r="CH510" i="8"/>
  <c r="CC510" i="8"/>
  <c r="BX510" i="8"/>
  <c r="BS510" i="8"/>
  <c r="BO510" i="8"/>
  <c r="BI510" i="8"/>
  <c r="CG509" i="8"/>
  <c r="CB509" i="8"/>
  <c r="BW509" i="8"/>
  <c r="BR509" i="8"/>
  <c r="BL509" i="8"/>
  <c r="CJ508" i="8"/>
  <c r="CF508" i="8"/>
  <c r="CA508" i="8"/>
  <c r="BV508" i="8"/>
  <c r="BZ508" i="8" s="1"/>
  <c r="BQ508" i="8"/>
  <c r="BK508" i="8"/>
  <c r="CI507" i="8"/>
  <c r="CD507" i="8"/>
  <c r="BY507" i="8"/>
  <c r="BT507" i="8"/>
  <c r="BP507" i="8"/>
  <c r="BJ507" i="8"/>
  <c r="CH506" i="8"/>
  <c r="CC506" i="8"/>
  <c r="BX506" i="8"/>
  <c r="BS506" i="8"/>
  <c r="BO506" i="8"/>
  <c r="BI506" i="8"/>
  <c r="CG505" i="8"/>
  <c r="CB505" i="8"/>
  <c r="BW505" i="8"/>
  <c r="BR505" i="8"/>
  <c r="BL505" i="8"/>
  <c r="CJ504" i="8"/>
  <c r="CF504" i="8"/>
  <c r="CA504" i="8"/>
  <c r="BV504" i="8"/>
  <c r="BZ504" i="8" s="1"/>
  <c r="BQ504" i="8"/>
  <c r="BK504" i="8"/>
  <c r="CI503" i="8"/>
  <c r="CD503" i="8"/>
  <c r="BY503" i="8"/>
  <c r="BT503" i="8"/>
  <c r="BP503" i="8"/>
  <c r="BJ503" i="8"/>
  <c r="CH502" i="8"/>
  <c r="CC502" i="8"/>
  <c r="BX502" i="8"/>
  <c r="BS502" i="8"/>
  <c r="BO502" i="8"/>
  <c r="BI502" i="8"/>
  <c r="CG501" i="8"/>
  <c r="CB501" i="8"/>
  <c r="BW501" i="8"/>
  <c r="BR501" i="8"/>
  <c r="BL501" i="8"/>
  <c r="CJ500" i="8"/>
  <c r="CF500" i="8"/>
  <c r="CA500" i="8"/>
  <c r="BV500" i="8"/>
  <c r="BZ500" i="8" s="1"/>
  <c r="BQ500" i="8"/>
  <c r="BK500" i="8"/>
  <c r="CI499" i="8"/>
  <c r="CD499" i="8"/>
  <c r="CG882" i="8"/>
  <c r="BY877" i="8"/>
  <c r="BK854" i="8"/>
  <c r="CJ842" i="8"/>
  <c r="CG831" i="8"/>
  <c r="CC820" i="8"/>
  <c r="CH812" i="8"/>
  <c r="BR807" i="8"/>
  <c r="CD801" i="8"/>
  <c r="BO796" i="8"/>
  <c r="BV792" i="8"/>
  <c r="BZ792" i="8" s="1"/>
  <c r="CB789" i="8"/>
  <c r="CH786" i="8"/>
  <c r="BK784" i="8"/>
  <c r="BR781" i="8"/>
  <c r="BX778" i="8"/>
  <c r="CD775" i="8"/>
  <c r="CJ772" i="8"/>
  <c r="BO770" i="8"/>
  <c r="BT767" i="8"/>
  <c r="CA764" i="8"/>
  <c r="CG761" i="8"/>
  <c r="BJ759" i="8"/>
  <c r="BQ756" i="8"/>
  <c r="BW753" i="8"/>
  <c r="CC750" i="8"/>
  <c r="CI747" i="8"/>
  <c r="BL745" i="8"/>
  <c r="BS742" i="8"/>
  <c r="BY739" i="8"/>
  <c r="CF736" i="8"/>
  <c r="BS734" i="8"/>
  <c r="CJ732" i="8"/>
  <c r="BY731" i="8"/>
  <c r="BO730" i="8"/>
  <c r="CF728" i="8"/>
  <c r="BT727" i="8"/>
  <c r="BI726" i="8"/>
  <c r="CA724" i="8"/>
  <c r="BP723" i="8"/>
  <c r="CG721" i="8"/>
  <c r="BV720" i="8"/>
  <c r="BJ719" i="8"/>
  <c r="CB717" i="8"/>
  <c r="BQ716" i="8"/>
  <c r="CH714" i="8"/>
  <c r="BW713" i="8"/>
  <c r="BK712" i="8"/>
  <c r="CC710" i="8"/>
  <c r="BR709" i="8"/>
  <c r="CI707" i="8"/>
  <c r="BX706" i="8"/>
  <c r="BL705" i="8"/>
  <c r="CD703" i="8"/>
  <c r="BS702" i="8"/>
  <c r="BY701" i="8"/>
  <c r="CH700" i="8"/>
  <c r="BO700" i="8"/>
  <c r="BW699" i="8"/>
  <c r="CF698" i="8"/>
  <c r="BK698" i="8"/>
  <c r="BT697" i="8"/>
  <c r="CC696" i="8"/>
  <c r="BI696" i="8"/>
  <c r="BR695" i="8"/>
  <c r="CA694" i="8"/>
  <c r="CI693" i="8"/>
  <c r="BP693" i="8"/>
  <c r="BX692" i="8"/>
  <c r="CG691" i="8"/>
  <c r="BL691" i="8"/>
  <c r="BV690" i="8"/>
  <c r="CD689" i="8"/>
  <c r="BJ689" i="8"/>
  <c r="BS688" i="8"/>
  <c r="CB687" i="8"/>
  <c r="CJ686" i="8"/>
  <c r="BQ686" i="8"/>
  <c r="BY685" i="8"/>
  <c r="CH684" i="8"/>
  <c r="BO684" i="8"/>
  <c r="BW683" i="8"/>
  <c r="CF682" i="8"/>
  <c r="BK682" i="8"/>
  <c r="BT681" i="8"/>
  <c r="CC680" i="8"/>
  <c r="BI680" i="8"/>
  <c r="BR679" i="8"/>
  <c r="CA678" i="8"/>
  <c r="CI677" i="8"/>
  <c r="BP677" i="8"/>
  <c r="BX676" i="8"/>
  <c r="CG675" i="8"/>
  <c r="BL675" i="8"/>
  <c r="BV674" i="8"/>
  <c r="BZ674" i="8" s="1"/>
  <c r="CD673" i="8"/>
  <c r="BJ673" i="8"/>
  <c r="BS672" i="8"/>
  <c r="CB671" i="8"/>
  <c r="CJ670" i="8"/>
  <c r="BQ670" i="8"/>
  <c r="BY669" i="8"/>
  <c r="CH668" i="8"/>
  <c r="BO668" i="8"/>
  <c r="BW667" i="8"/>
  <c r="CF666" i="8"/>
  <c r="BK666" i="8"/>
  <c r="BT665" i="8"/>
  <c r="CC664" i="8"/>
  <c r="BI664" i="8"/>
  <c r="BR663" i="8"/>
  <c r="CA662" i="8"/>
  <c r="CE662" i="8" s="1"/>
  <c r="CI661" i="8"/>
  <c r="BP661" i="8"/>
  <c r="BX660" i="8"/>
  <c r="CG659" i="8"/>
  <c r="BL659" i="8"/>
  <c r="BV658" i="8"/>
  <c r="BZ658" i="8" s="1"/>
  <c r="CD657" i="8"/>
  <c r="BJ657" i="8"/>
  <c r="BS656" i="8"/>
  <c r="CB655" i="8"/>
  <c r="CJ654" i="8"/>
  <c r="BQ654" i="8"/>
  <c r="BY653" i="8"/>
  <c r="BI653" i="8"/>
  <c r="CB652" i="8"/>
  <c r="BR652" i="8"/>
  <c r="CJ651" i="8"/>
  <c r="CA651" i="8"/>
  <c r="CE651" i="8" s="1"/>
  <c r="BQ651" i="8"/>
  <c r="CI650" i="8"/>
  <c r="BY650" i="8"/>
  <c r="BP650" i="8"/>
  <c r="CH649" i="8"/>
  <c r="BX649" i="8"/>
  <c r="BO649" i="8"/>
  <c r="CG648" i="8"/>
  <c r="BW648" i="8"/>
  <c r="BL648" i="8"/>
  <c r="CF647" i="8"/>
  <c r="BV647" i="8"/>
  <c r="BZ647" i="8" s="1"/>
  <c r="BK647" i="8"/>
  <c r="CD646" i="8"/>
  <c r="BT646" i="8"/>
  <c r="BJ646" i="8"/>
  <c r="CC645" i="8"/>
  <c r="BS645" i="8"/>
  <c r="BI645" i="8"/>
  <c r="CB644" i="8"/>
  <c r="BR644" i="8"/>
  <c r="CJ643" i="8"/>
  <c r="CA643" i="8"/>
  <c r="BQ643" i="8"/>
  <c r="CI642" i="8"/>
  <c r="BY642" i="8"/>
  <c r="BP642" i="8"/>
  <c r="CH641" i="8"/>
  <c r="BX641" i="8"/>
  <c r="BO641" i="8"/>
  <c r="BU641" i="8" s="1"/>
  <c r="CG640" i="8"/>
  <c r="BW640" i="8"/>
  <c r="BL640" i="8"/>
  <c r="CF639" i="8"/>
  <c r="BV639" i="8"/>
  <c r="BK639" i="8"/>
  <c r="CD638" i="8"/>
  <c r="BT638" i="8"/>
  <c r="BJ638" i="8"/>
  <c r="CC637" i="8"/>
  <c r="BS637" i="8"/>
  <c r="BI637" i="8"/>
  <c r="CB636" i="8"/>
  <c r="BR636" i="8"/>
  <c r="CJ635" i="8"/>
  <c r="CA635" i="8"/>
  <c r="BQ635" i="8"/>
  <c r="CI634" i="8"/>
  <c r="BY634" i="8"/>
  <c r="BP634" i="8"/>
  <c r="CH633" i="8"/>
  <c r="BX633" i="8"/>
  <c r="BO633" i="8"/>
  <c r="CG632" i="8"/>
  <c r="BW632" i="8"/>
  <c r="BL632" i="8"/>
  <c r="CF631" i="8"/>
  <c r="BV631" i="8"/>
  <c r="BK631" i="8"/>
  <c r="CD630" i="8"/>
  <c r="BT630" i="8"/>
  <c r="BJ630" i="8"/>
  <c r="CC629" i="8"/>
  <c r="BS629" i="8"/>
  <c r="BI629" i="8"/>
  <c r="CB628" i="8"/>
  <c r="BR628" i="8"/>
  <c r="CJ627" i="8"/>
  <c r="CA627" i="8"/>
  <c r="BQ627" i="8"/>
  <c r="CI626" i="8"/>
  <c r="BY626" i="8"/>
  <c r="BP626" i="8"/>
  <c r="CH625" i="8"/>
  <c r="BX625" i="8"/>
  <c r="BO625" i="8"/>
  <c r="CG624" i="8"/>
  <c r="BW624" i="8"/>
  <c r="BL624" i="8"/>
  <c r="CF623" i="8"/>
  <c r="BV623" i="8"/>
  <c r="BK623" i="8"/>
  <c r="CD622" i="8"/>
  <c r="BT622" i="8"/>
  <c r="BJ622" i="8"/>
  <c r="CC621" i="8"/>
  <c r="BS621" i="8"/>
  <c r="BI621" i="8"/>
  <c r="CD620" i="8"/>
  <c r="BY620" i="8"/>
  <c r="BT620" i="8"/>
  <c r="BP620" i="8"/>
  <c r="BJ620" i="8"/>
  <c r="CH619" i="8"/>
  <c r="CC619" i="8"/>
  <c r="BX619" i="8"/>
  <c r="BS619" i="8"/>
  <c r="BO619" i="8"/>
  <c r="BI619" i="8"/>
  <c r="CG618" i="8"/>
  <c r="CB618" i="8"/>
  <c r="BW618" i="8"/>
  <c r="BR618" i="8"/>
  <c r="BL618" i="8"/>
  <c r="CJ617" i="8"/>
  <c r="CF617" i="8"/>
  <c r="CA617" i="8"/>
  <c r="BV617" i="8"/>
  <c r="BZ617" i="8" s="1"/>
  <c r="BQ617" i="8"/>
  <c r="BK617" i="8"/>
  <c r="CI616" i="8"/>
  <c r="CD616" i="8"/>
  <c r="BY616" i="8"/>
  <c r="BT616" i="8"/>
  <c r="BP616" i="8"/>
  <c r="BJ616" i="8"/>
  <c r="CH615" i="8"/>
  <c r="CC615" i="8"/>
  <c r="BX615" i="8"/>
  <c r="BS615" i="8"/>
  <c r="BO615" i="8"/>
  <c r="BI615" i="8"/>
  <c r="CG614" i="8"/>
  <c r="CB614" i="8"/>
  <c r="BW614" i="8"/>
  <c r="BR614" i="8"/>
  <c r="BL614" i="8"/>
  <c r="CJ613" i="8"/>
  <c r="CF613" i="8"/>
  <c r="CA613" i="8"/>
  <c r="BV613" i="8"/>
  <c r="BZ613" i="8" s="1"/>
  <c r="BQ613" i="8"/>
  <c r="BK613" i="8"/>
  <c r="CI612" i="8"/>
  <c r="CD612" i="8"/>
  <c r="BY612" i="8"/>
  <c r="BT612" i="8"/>
  <c r="BP612" i="8"/>
  <c r="BJ612" i="8"/>
  <c r="CH611" i="8"/>
  <c r="CC611" i="8"/>
  <c r="BX611" i="8"/>
  <c r="BS611" i="8"/>
  <c r="BO611" i="8"/>
  <c r="BI611" i="8"/>
  <c r="CG610" i="8"/>
  <c r="CB610" i="8"/>
  <c r="BW610" i="8"/>
  <c r="BR610" i="8"/>
  <c r="BL610" i="8"/>
  <c r="CJ609" i="8"/>
  <c r="CF609" i="8"/>
  <c r="CA609" i="8"/>
  <c r="BV609" i="8"/>
  <c r="BZ609" i="8" s="1"/>
  <c r="BQ609" i="8"/>
  <c r="BK609" i="8"/>
  <c r="CI608" i="8"/>
  <c r="CD608" i="8"/>
  <c r="BY608" i="8"/>
  <c r="BT608" i="8"/>
  <c r="BP608" i="8"/>
  <c r="BJ608" i="8"/>
  <c r="CH607" i="8"/>
  <c r="CC607" i="8"/>
  <c r="BX607" i="8"/>
  <c r="BS607" i="8"/>
  <c r="BO607" i="8"/>
  <c r="BI607" i="8"/>
  <c r="CG606" i="8"/>
  <c r="CB606" i="8"/>
  <c r="BW606" i="8"/>
  <c r="BR606" i="8"/>
  <c r="BL606" i="8"/>
  <c r="CJ605" i="8"/>
  <c r="CF605" i="8"/>
  <c r="CA605" i="8"/>
  <c r="BV605" i="8"/>
  <c r="BZ605" i="8" s="1"/>
  <c r="BQ605" i="8"/>
  <c r="BK605" i="8"/>
  <c r="CI604" i="8"/>
  <c r="CD604" i="8"/>
  <c r="BY604" i="8"/>
  <c r="BT604" i="8"/>
  <c r="BP604" i="8"/>
  <c r="BJ604" i="8"/>
  <c r="CH603" i="8"/>
  <c r="CC603" i="8"/>
  <c r="BX603" i="8"/>
  <c r="BS603" i="8"/>
  <c r="BO603" i="8"/>
  <c r="BI603" i="8"/>
  <c r="CG602" i="8"/>
  <c r="CB602" i="8"/>
  <c r="BW602" i="8"/>
  <c r="BR602" i="8"/>
  <c r="BL602" i="8"/>
  <c r="CJ601" i="8"/>
  <c r="CF601" i="8"/>
  <c r="CA601" i="8"/>
  <c r="BV601" i="8"/>
  <c r="BZ601" i="8" s="1"/>
  <c r="BQ601" i="8"/>
  <c r="BK601" i="8"/>
  <c r="CI600" i="8"/>
  <c r="CD600" i="8"/>
  <c r="BY600" i="8"/>
  <c r="BT600" i="8"/>
  <c r="BP600" i="8"/>
  <c r="BJ600" i="8"/>
  <c r="CH599" i="8"/>
  <c r="CC599" i="8"/>
  <c r="BX599" i="8"/>
  <c r="BS599" i="8"/>
  <c r="BO599" i="8"/>
  <c r="BI599" i="8"/>
  <c r="CG598" i="8"/>
  <c r="CB598" i="8"/>
  <c r="BW598" i="8"/>
  <c r="BR598" i="8"/>
  <c r="BL598" i="8"/>
  <c r="CJ597" i="8"/>
  <c r="CF597" i="8"/>
  <c r="CA597" i="8"/>
  <c r="BV597" i="8"/>
  <c r="BZ597" i="8" s="1"/>
  <c r="BQ597" i="8"/>
  <c r="BK597" i="8"/>
  <c r="CI596" i="8"/>
  <c r="CD596" i="8"/>
  <c r="BY596" i="8"/>
  <c r="BT596" i="8"/>
  <c r="BP596" i="8"/>
  <c r="BJ596" i="8"/>
  <c r="CH595" i="8"/>
  <c r="CC595" i="8"/>
  <c r="BX595" i="8"/>
  <c r="BS595" i="8"/>
  <c r="BO595" i="8"/>
  <c r="BI595" i="8"/>
  <c r="CG594" i="8"/>
  <c r="CB594" i="8"/>
  <c r="BW594" i="8"/>
  <c r="BR594" i="8"/>
  <c r="BL594" i="8"/>
  <c r="CJ593" i="8"/>
  <c r="CF593" i="8"/>
  <c r="CA593" i="8"/>
  <c r="BV593" i="8"/>
  <c r="BZ593" i="8" s="1"/>
  <c r="BQ593" i="8"/>
  <c r="BK593" i="8"/>
  <c r="CI592" i="8"/>
  <c r="CD592" i="8"/>
  <c r="BY592" i="8"/>
  <c r="BT592" i="8"/>
  <c r="BP592" i="8"/>
  <c r="BJ592" i="8"/>
  <c r="CH591" i="8"/>
  <c r="CC591" i="8"/>
  <c r="BX591" i="8"/>
  <c r="BS591" i="8"/>
  <c r="BO591" i="8"/>
  <c r="BI591" i="8"/>
  <c r="CG590" i="8"/>
  <c r="CB590" i="8"/>
  <c r="BW590" i="8"/>
  <c r="BR590" i="8"/>
  <c r="BL590" i="8"/>
  <c r="CJ589" i="8"/>
  <c r="CF589" i="8"/>
  <c r="CA589" i="8"/>
  <c r="BV589" i="8"/>
  <c r="BZ589" i="8" s="1"/>
  <c r="BQ589" i="8"/>
  <c r="BK589" i="8"/>
  <c r="CI588" i="8"/>
  <c r="CD588" i="8"/>
  <c r="BY588" i="8"/>
  <c r="BT588" i="8"/>
  <c r="BP588" i="8"/>
  <c r="BJ588" i="8"/>
  <c r="CH587" i="8"/>
  <c r="CC587" i="8"/>
  <c r="BX587" i="8"/>
  <c r="BS587" i="8"/>
  <c r="BO587" i="8"/>
  <c r="BI587" i="8"/>
  <c r="CG586" i="8"/>
  <c r="CB586" i="8"/>
  <c r="BW586" i="8"/>
  <c r="BR586" i="8"/>
  <c r="BL586" i="8"/>
  <c r="CJ585" i="8"/>
  <c r="CF585" i="8"/>
  <c r="CA585" i="8"/>
  <c r="BV585" i="8"/>
  <c r="BZ585" i="8" s="1"/>
  <c r="BQ585" i="8"/>
  <c r="BK585" i="8"/>
  <c r="CI584" i="8"/>
  <c r="CD584" i="8"/>
  <c r="BY584" i="8"/>
  <c r="BT584" i="8"/>
  <c r="BP584" i="8"/>
  <c r="BJ584" i="8"/>
  <c r="CH583" i="8"/>
  <c r="CC583" i="8"/>
  <c r="BX583" i="8"/>
  <c r="BS583" i="8"/>
  <c r="BO583" i="8"/>
  <c r="BI583" i="8"/>
  <c r="CG582" i="8"/>
  <c r="CB582" i="8"/>
  <c r="BW582" i="8"/>
  <c r="BR582" i="8"/>
  <c r="BL582" i="8"/>
  <c r="CJ581" i="8"/>
  <c r="CF581" i="8"/>
  <c r="CA581" i="8"/>
  <c r="BV581" i="8"/>
  <c r="BZ581" i="8" s="1"/>
  <c r="BQ581" i="8"/>
  <c r="BK581" i="8"/>
  <c r="CI580" i="8"/>
  <c r="CD580" i="8"/>
  <c r="BY580" i="8"/>
  <c r="BT580" i="8"/>
  <c r="BP580" i="8"/>
  <c r="BJ580" i="8"/>
  <c r="CH579" i="8"/>
  <c r="CC579" i="8"/>
  <c r="BX579" i="8"/>
  <c r="BS579" i="8"/>
  <c r="BO579" i="8"/>
  <c r="BI579" i="8"/>
  <c r="CG578" i="8"/>
  <c r="CB578" i="8"/>
  <c r="BW578" i="8"/>
  <c r="BR578" i="8"/>
  <c r="BL578" i="8"/>
  <c r="CJ577" i="8"/>
  <c r="CF577" i="8"/>
  <c r="CA577" i="8"/>
  <c r="BV577" i="8"/>
  <c r="BZ577" i="8" s="1"/>
  <c r="BQ577" i="8"/>
  <c r="BK577" i="8"/>
  <c r="CI576" i="8"/>
  <c r="CD576" i="8"/>
  <c r="BY576" i="8"/>
  <c r="BT576" i="8"/>
  <c r="BP576" i="8"/>
  <c r="BJ576" i="8"/>
  <c r="CH575" i="8"/>
  <c r="CC575" i="8"/>
  <c r="BX575" i="8"/>
  <c r="BS575" i="8"/>
  <c r="BO575" i="8"/>
  <c r="BI575" i="8"/>
  <c r="CG574" i="8"/>
  <c r="CB574" i="8"/>
  <c r="BW574" i="8"/>
  <c r="BR574" i="8"/>
  <c r="BL574" i="8"/>
  <c r="CJ573" i="8"/>
  <c r="CF573" i="8"/>
  <c r="CA573" i="8"/>
  <c r="BV573" i="8"/>
  <c r="BZ573" i="8" s="1"/>
  <c r="BQ573" i="8"/>
  <c r="BK573" i="8"/>
  <c r="CI572" i="8"/>
  <c r="CD572" i="8"/>
  <c r="BY572" i="8"/>
  <c r="BT572" i="8"/>
  <c r="BP572" i="8"/>
  <c r="BJ572" i="8"/>
  <c r="CH571" i="8"/>
  <c r="CC571" i="8"/>
  <c r="BX571" i="8"/>
  <c r="BS571" i="8"/>
  <c r="BO571" i="8"/>
  <c r="BI571" i="8"/>
  <c r="CG570" i="8"/>
  <c r="CB570" i="8"/>
  <c r="BW570" i="8"/>
  <c r="BR570" i="8"/>
  <c r="BL570" i="8"/>
  <c r="CJ569" i="8"/>
  <c r="CF569" i="8"/>
  <c r="CA569" i="8"/>
  <c r="BV569" i="8"/>
  <c r="BZ569" i="8" s="1"/>
  <c r="BQ569" i="8"/>
  <c r="BK569" i="8"/>
  <c r="CI568" i="8"/>
  <c r="CD568" i="8"/>
  <c r="BY568" i="8"/>
  <c r="BT568" i="8"/>
  <c r="BP568" i="8"/>
  <c r="BJ568" i="8"/>
  <c r="CH567" i="8"/>
  <c r="CC567" i="8"/>
  <c r="BX567" i="8"/>
  <c r="BS567" i="8"/>
  <c r="BO567" i="8"/>
  <c r="BI567" i="8"/>
  <c r="CG566" i="8"/>
  <c r="CB566" i="8"/>
  <c r="BW566" i="8"/>
  <c r="BR566" i="8"/>
  <c r="BL566" i="8"/>
  <c r="CJ565" i="8"/>
  <c r="CF565" i="8"/>
  <c r="CA565" i="8"/>
  <c r="BV565" i="8"/>
  <c r="BZ565" i="8" s="1"/>
  <c r="BQ565" i="8"/>
  <c r="BK565" i="8"/>
  <c r="CI564" i="8"/>
  <c r="CD564" i="8"/>
  <c r="BY564" i="8"/>
  <c r="BT564" i="8"/>
  <c r="BP564" i="8"/>
  <c r="BJ564" i="8"/>
  <c r="CH563" i="8"/>
  <c r="CC563" i="8"/>
  <c r="BX563" i="8"/>
  <c r="BS563" i="8"/>
  <c r="BO563" i="8"/>
  <c r="BI563" i="8"/>
  <c r="CG562" i="8"/>
  <c r="CB562" i="8"/>
  <c r="BW562" i="8"/>
  <c r="BR562" i="8"/>
  <c r="BL562" i="8"/>
  <c r="CJ561" i="8"/>
  <c r="CF561" i="8"/>
  <c r="CA561" i="8"/>
  <c r="BV561" i="8"/>
  <c r="BZ561" i="8" s="1"/>
  <c r="BQ561" i="8"/>
  <c r="BK561" i="8"/>
  <c r="CI560" i="8"/>
  <c r="CD560" i="8"/>
  <c r="BY560" i="8"/>
  <c r="BT560" i="8"/>
  <c r="BP560" i="8"/>
  <c r="BJ560" i="8"/>
  <c r="CH559" i="8"/>
  <c r="CC559" i="8"/>
  <c r="BX559" i="8"/>
  <c r="BS559" i="8"/>
  <c r="BO559" i="8"/>
  <c r="BI559" i="8"/>
  <c r="CG558" i="8"/>
  <c r="CB558" i="8"/>
  <c r="BW558" i="8"/>
  <c r="BR558" i="8"/>
  <c r="BL558" i="8"/>
  <c r="CJ557" i="8"/>
  <c r="CF557" i="8"/>
  <c r="CA557" i="8"/>
  <c r="BV557" i="8"/>
  <c r="BZ557" i="8" s="1"/>
  <c r="BQ557" i="8"/>
  <c r="BK557" i="8"/>
  <c r="CI556" i="8"/>
  <c r="CD556" i="8"/>
  <c r="BY556" i="8"/>
  <c r="BT556" i="8"/>
  <c r="BP556" i="8"/>
  <c r="BJ556" i="8"/>
  <c r="CH555" i="8"/>
  <c r="CC555" i="8"/>
  <c r="BX555" i="8"/>
  <c r="BS555" i="8"/>
  <c r="BO555" i="8"/>
  <c r="BI555" i="8"/>
  <c r="CG554" i="8"/>
  <c r="CB554" i="8"/>
  <c r="BW554" i="8"/>
  <c r="BR554" i="8"/>
  <c r="BL554" i="8"/>
  <c r="CJ553" i="8"/>
  <c r="CF553" i="8"/>
  <c r="CA553" i="8"/>
  <c r="BV553" i="8"/>
  <c r="BZ553" i="8" s="1"/>
  <c r="BQ553" i="8"/>
  <c r="BK553" i="8"/>
  <c r="CI552" i="8"/>
  <c r="CD552" i="8"/>
  <c r="BY552" i="8"/>
  <c r="BT552" i="8"/>
  <c r="BP552" i="8"/>
  <c r="BJ552" i="8"/>
  <c r="CH551" i="8"/>
  <c r="CC551" i="8"/>
  <c r="BX551" i="8"/>
  <c r="BS551" i="8"/>
  <c r="BO551" i="8"/>
  <c r="BI551" i="8"/>
  <c r="CG550" i="8"/>
  <c r="CB550" i="8"/>
  <c r="BW550" i="8"/>
  <c r="BR550" i="8"/>
  <c r="BL550" i="8"/>
  <c r="CJ549" i="8"/>
  <c r="CF549" i="8"/>
  <c r="CA549" i="8"/>
  <c r="BV549" i="8"/>
  <c r="BZ549" i="8" s="1"/>
  <c r="BQ549" i="8"/>
  <c r="BK549" i="8"/>
  <c r="CI548" i="8"/>
  <c r="CD548" i="8"/>
  <c r="BY548" i="8"/>
  <c r="BT548" i="8"/>
  <c r="BP548" i="8"/>
  <c r="BJ548" i="8"/>
  <c r="CH547" i="8"/>
  <c r="CC547" i="8"/>
  <c r="BX547" i="8"/>
  <c r="BS547" i="8"/>
  <c r="BO547" i="8"/>
  <c r="BI547" i="8"/>
  <c r="CG546" i="8"/>
  <c r="CB546" i="8"/>
  <c r="BW546" i="8"/>
  <c r="BR546" i="8"/>
  <c r="BL546" i="8"/>
  <c r="CJ545" i="8"/>
  <c r="CF545" i="8"/>
  <c r="CA545" i="8"/>
  <c r="BV545" i="8"/>
  <c r="BZ545" i="8" s="1"/>
  <c r="BQ545" i="8"/>
  <c r="BK545" i="8"/>
  <c r="CI544" i="8"/>
  <c r="CD544" i="8"/>
  <c r="BY544" i="8"/>
  <c r="BT544" i="8"/>
  <c r="BP544" i="8"/>
  <c r="BJ544" i="8"/>
  <c r="CH543" i="8"/>
  <c r="CC543" i="8"/>
  <c r="BX543" i="8"/>
  <c r="BS543" i="8"/>
  <c r="BO543" i="8"/>
  <c r="BI543" i="8"/>
  <c r="CG542" i="8"/>
  <c r="CB542" i="8"/>
  <c r="BW542" i="8"/>
  <c r="BR542" i="8"/>
  <c r="BL542" i="8"/>
  <c r="CJ541" i="8"/>
  <c r="CF541" i="8"/>
  <c r="CA541" i="8"/>
  <c r="BV541" i="8"/>
  <c r="BZ541" i="8" s="1"/>
  <c r="BQ541" i="8"/>
  <c r="BK541" i="8"/>
  <c r="CI540" i="8"/>
  <c r="CD540" i="8"/>
  <c r="BY540" i="8"/>
  <c r="BT540" i="8"/>
  <c r="BP540" i="8"/>
  <c r="BJ540" i="8"/>
  <c r="CH539" i="8"/>
  <c r="CC539" i="8"/>
  <c r="BX539" i="8"/>
  <c r="BS539" i="8"/>
  <c r="BO539" i="8"/>
  <c r="BI539" i="8"/>
  <c r="CG538" i="8"/>
  <c r="CB538" i="8"/>
  <c r="BW538" i="8"/>
  <c r="BR538" i="8"/>
  <c r="BL538" i="8"/>
  <c r="CJ537" i="8"/>
  <c r="CF537" i="8"/>
  <c r="CA537" i="8"/>
  <c r="BV537" i="8"/>
  <c r="BZ537" i="8" s="1"/>
  <c r="BQ537" i="8"/>
  <c r="BK537" i="8"/>
  <c r="CI536" i="8"/>
  <c r="CD536" i="8"/>
  <c r="BY536" i="8"/>
  <c r="BT536" i="8"/>
  <c r="BP536" i="8"/>
  <c r="BJ536" i="8"/>
  <c r="CH535" i="8"/>
  <c r="CC535" i="8"/>
  <c r="BX535" i="8"/>
  <c r="BS535" i="8"/>
  <c r="BO535" i="8"/>
  <c r="BI535" i="8"/>
  <c r="CG534" i="8"/>
  <c r="CB534" i="8"/>
  <c r="BW534" i="8"/>
  <c r="BR534" i="8"/>
  <c r="BL534" i="8"/>
  <c r="CJ533" i="8"/>
  <c r="CF533" i="8"/>
  <c r="CA533" i="8"/>
  <c r="BV533" i="8"/>
  <c r="BZ533" i="8" s="1"/>
  <c r="BQ533" i="8"/>
  <c r="BK533" i="8"/>
  <c r="CI532" i="8"/>
  <c r="CD532" i="8"/>
  <c r="BY532" i="8"/>
  <c r="BT532" i="8"/>
  <c r="BP532" i="8"/>
  <c r="BJ532" i="8"/>
  <c r="CH531" i="8"/>
  <c r="CC531" i="8"/>
  <c r="BX531" i="8"/>
  <c r="BS531" i="8"/>
  <c r="BO531" i="8"/>
  <c r="BI531" i="8"/>
  <c r="CG530" i="8"/>
  <c r="CB530" i="8"/>
  <c r="BW530" i="8"/>
  <c r="BR530" i="8"/>
  <c r="BL530" i="8"/>
  <c r="CJ529" i="8"/>
  <c r="CF529" i="8"/>
  <c r="CA529" i="8"/>
  <c r="BV529" i="8"/>
  <c r="BZ529" i="8" s="1"/>
  <c r="BQ529" i="8"/>
  <c r="BK529" i="8"/>
  <c r="CI528" i="8"/>
  <c r="CD528" i="8"/>
  <c r="BY528" i="8"/>
  <c r="BT528" i="8"/>
  <c r="BP528" i="8"/>
  <c r="BJ528" i="8"/>
  <c r="CH527" i="8"/>
  <c r="CC527" i="8"/>
  <c r="BX527" i="8"/>
  <c r="BS527" i="8"/>
  <c r="BO527" i="8"/>
  <c r="BI527" i="8"/>
  <c r="CG526" i="8"/>
  <c r="CB526" i="8"/>
  <c r="BW526" i="8"/>
  <c r="BR526" i="8"/>
  <c r="BL526" i="8"/>
  <c r="CJ525" i="8"/>
  <c r="CF525" i="8"/>
  <c r="CA525" i="8"/>
  <c r="BV525" i="8"/>
  <c r="BZ525" i="8" s="1"/>
  <c r="BQ525" i="8"/>
  <c r="BK525" i="8"/>
  <c r="CI524" i="8"/>
  <c r="CD524" i="8"/>
  <c r="BY524" i="8"/>
  <c r="BT524" i="8"/>
  <c r="BP524" i="8"/>
  <c r="BJ524" i="8"/>
  <c r="CH523" i="8"/>
  <c r="CC523" i="8"/>
  <c r="BX523" i="8"/>
  <c r="BS523" i="8"/>
  <c r="BO523" i="8"/>
  <c r="BI523" i="8"/>
  <c r="CG522" i="8"/>
  <c r="CB522" i="8"/>
  <c r="BW522" i="8"/>
  <c r="BR522" i="8"/>
  <c r="BL522" i="8"/>
  <c r="CJ521" i="8"/>
  <c r="CF521" i="8"/>
  <c r="CA521" i="8"/>
  <c r="BV521" i="8"/>
  <c r="BZ521" i="8" s="1"/>
  <c r="BQ521" i="8"/>
  <c r="BK521" i="8"/>
  <c r="CI520" i="8"/>
  <c r="CD520" i="8"/>
  <c r="BY520" i="8"/>
  <c r="BT520" i="8"/>
  <c r="BP520" i="8"/>
  <c r="BJ520" i="8"/>
  <c r="CH519" i="8"/>
  <c r="CC519" i="8"/>
  <c r="BX519" i="8"/>
  <c r="BS519" i="8"/>
  <c r="BO519" i="8"/>
  <c r="BI519" i="8"/>
  <c r="CG518" i="8"/>
  <c r="CB518" i="8"/>
  <c r="BW518" i="8"/>
  <c r="BR518" i="8"/>
  <c r="BL518" i="8"/>
  <c r="CJ517" i="8"/>
  <c r="CF517" i="8"/>
  <c r="CA517" i="8"/>
  <c r="BV517" i="8"/>
  <c r="BZ517" i="8" s="1"/>
  <c r="BQ517" i="8"/>
  <c r="BK517" i="8"/>
  <c r="CI516" i="8"/>
  <c r="CD516" i="8"/>
  <c r="BY516" i="8"/>
  <c r="BT516" i="8"/>
  <c r="BP516" i="8"/>
  <c r="BJ516" i="8"/>
  <c r="CH515" i="8"/>
  <c r="CC515" i="8"/>
  <c r="BX515" i="8"/>
  <c r="BS515" i="8"/>
  <c r="BO515" i="8"/>
  <c r="BI515" i="8"/>
  <c r="CG514" i="8"/>
  <c r="CB514" i="8"/>
  <c r="BW514" i="8"/>
  <c r="BR514" i="8"/>
  <c r="BL514" i="8"/>
  <c r="CJ513" i="8"/>
  <c r="CF513" i="8"/>
  <c r="CA513" i="8"/>
  <c r="BV513" i="8"/>
  <c r="BZ513" i="8" s="1"/>
  <c r="BQ513" i="8"/>
  <c r="BK513" i="8"/>
  <c r="CI512" i="8"/>
  <c r="CD512" i="8"/>
  <c r="BY512" i="8"/>
  <c r="BT512" i="8"/>
  <c r="BP512" i="8"/>
  <c r="BJ512" i="8"/>
  <c r="CH511" i="8"/>
  <c r="CC511" i="8"/>
  <c r="BX511" i="8"/>
  <c r="BS511" i="8"/>
  <c r="BO511" i="8"/>
  <c r="BI511" i="8"/>
  <c r="CG510" i="8"/>
  <c r="CB510" i="8"/>
  <c r="BW510" i="8"/>
  <c r="BR510" i="8"/>
  <c r="BL510" i="8"/>
  <c r="CJ509" i="8"/>
  <c r="CF509" i="8"/>
  <c r="CA509" i="8"/>
  <c r="BV509" i="8"/>
  <c r="BZ509" i="8" s="1"/>
  <c r="BQ509" i="8"/>
  <c r="BK509" i="8"/>
  <c r="CI508" i="8"/>
  <c r="CD508" i="8"/>
  <c r="BY508" i="8"/>
  <c r="BT508" i="8"/>
  <c r="BP508" i="8"/>
  <c r="BJ508" i="8"/>
  <c r="CH507" i="8"/>
  <c r="CC507" i="8"/>
  <c r="BX507" i="8"/>
  <c r="BS507" i="8"/>
  <c r="BO507" i="8"/>
  <c r="BI507" i="8"/>
  <c r="CG506" i="8"/>
  <c r="CB506" i="8"/>
  <c r="BW506" i="8"/>
  <c r="BR506" i="8"/>
  <c r="BL506" i="8"/>
  <c r="CJ505" i="8"/>
  <c r="CF505" i="8"/>
  <c r="CA505" i="8"/>
  <c r="BV505" i="8"/>
  <c r="BZ505" i="8" s="1"/>
  <c r="BQ505" i="8"/>
  <c r="BK505" i="8"/>
  <c r="CI504" i="8"/>
  <c r="CD504" i="8"/>
  <c r="BY504" i="8"/>
  <c r="BT504" i="8"/>
  <c r="BP504" i="8"/>
  <c r="BJ504" i="8"/>
  <c r="CH503" i="8"/>
  <c r="CC503" i="8"/>
  <c r="BX503" i="8"/>
  <c r="BS503" i="8"/>
  <c r="BO503" i="8"/>
  <c r="BI503" i="8"/>
  <c r="CG502" i="8"/>
  <c r="CB502" i="8"/>
  <c r="BW502" i="8"/>
  <c r="BR502" i="8"/>
  <c r="BL502" i="8"/>
  <c r="CJ501" i="8"/>
  <c r="CF501" i="8"/>
  <c r="CA501" i="8"/>
  <c r="BV501" i="8"/>
  <c r="BZ501" i="8" s="1"/>
  <c r="BQ501" i="8"/>
  <c r="BK501" i="8"/>
  <c r="CI500" i="8"/>
  <c r="CD500" i="8"/>
  <c r="BY500" i="8"/>
  <c r="BT500" i="8"/>
  <c r="BP500" i="8"/>
  <c r="BJ500" i="8"/>
  <c r="CH499" i="8"/>
  <c r="CC499" i="8"/>
  <c r="CI867" i="8"/>
  <c r="CI817" i="8"/>
  <c r="CF794" i="8"/>
  <c r="BT783" i="8"/>
  <c r="BQ772" i="8"/>
  <c r="BL761" i="8"/>
  <c r="BI750" i="8"/>
  <c r="CH738" i="8"/>
  <c r="BP731" i="8"/>
  <c r="CB725" i="8"/>
  <c r="BK720" i="8"/>
  <c r="BX714" i="8"/>
  <c r="CJ708" i="8"/>
  <c r="BT703" i="8"/>
  <c r="BI700" i="8"/>
  <c r="BP697" i="8"/>
  <c r="BV694" i="8"/>
  <c r="BZ694" i="8" s="1"/>
  <c r="CB691" i="8"/>
  <c r="CH688" i="8"/>
  <c r="BK686" i="8"/>
  <c r="BR683" i="8"/>
  <c r="BX680" i="8"/>
  <c r="CD677" i="8"/>
  <c r="CJ674" i="8"/>
  <c r="BO672" i="8"/>
  <c r="BT669" i="8"/>
  <c r="CA666" i="8"/>
  <c r="CG663" i="8"/>
  <c r="BJ661" i="8"/>
  <c r="BQ658" i="8"/>
  <c r="BW655" i="8"/>
  <c r="CH652" i="8"/>
  <c r="BW651" i="8"/>
  <c r="BK650" i="8"/>
  <c r="CC648" i="8"/>
  <c r="BR647" i="8"/>
  <c r="CI645" i="8"/>
  <c r="BX644" i="8"/>
  <c r="BL643" i="8"/>
  <c r="CD641" i="8"/>
  <c r="BS640" i="8"/>
  <c r="CJ638" i="8"/>
  <c r="BY637" i="8"/>
  <c r="BO636" i="8"/>
  <c r="BU636" i="8" s="1"/>
  <c r="CF634" i="8"/>
  <c r="BT633" i="8"/>
  <c r="BI632" i="8"/>
  <c r="CA630" i="8"/>
  <c r="BP629" i="8"/>
  <c r="CG627" i="8"/>
  <c r="BV626" i="8"/>
  <c r="BJ625" i="8"/>
  <c r="CB623" i="8"/>
  <c r="BQ622" i="8"/>
  <c r="CH620" i="8"/>
  <c r="BO620" i="8"/>
  <c r="BW619" i="8"/>
  <c r="CF618" i="8"/>
  <c r="BK618" i="8"/>
  <c r="BT617" i="8"/>
  <c r="CC616" i="8"/>
  <c r="BI616" i="8"/>
  <c r="BR615" i="8"/>
  <c r="CA614" i="8"/>
  <c r="CI613" i="8"/>
  <c r="BP613" i="8"/>
  <c r="BX612" i="8"/>
  <c r="CG611" i="8"/>
  <c r="BL611" i="8"/>
  <c r="BV610" i="8"/>
  <c r="BZ610" i="8" s="1"/>
  <c r="CD609" i="8"/>
  <c r="BJ609" i="8"/>
  <c r="BS608" i="8"/>
  <c r="CB607" i="8"/>
  <c r="CJ606" i="8"/>
  <c r="BQ606" i="8"/>
  <c r="BY605" i="8"/>
  <c r="CH604" i="8"/>
  <c r="BO604" i="8"/>
  <c r="BW603" i="8"/>
  <c r="CF602" i="8"/>
  <c r="BK602" i="8"/>
  <c r="BT601" i="8"/>
  <c r="CC600" i="8"/>
  <c r="BI600" i="8"/>
  <c r="BR599" i="8"/>
  <c r="CA598" i="8"/>
  <c r="CE598" i="8" s="1"/>
  <c r="CI597" i="8"/>
  <c r="BP597" i="8"/>
  <c r="BX596" i="8"/>
  <c r="CG595" i="8"/>
  <c r="BL595" i="8"/>
  <c r="BV594" i="8"/>
  <c r="BZ594" i="8" s="1"/>
  <c r="CD593" i="8"/>
  <c r="BJ593" i="8"/>
  <c r="BS592" i="8"/>
  <c r="CB591" i="8"/>
  <c r="CJ590" i="8"/>
  <c r="BQ590" i="8"/>
  <c r="BY589" i="8"/>
  <c r="CH588" i="8"/>
  <c r="BO588" i="8"/>
  <c r="BW587" i="8"/>
  <c r="CF586" i="8"/>
  <c r="BK586" i="8"/>
  <c r="BT585" i="8"/>
  <c r="CC584" i="8"/>
  <c r="BI584" i="8"/>
  <c r="BR583" i="8"/>
  <c r="CA582" i="8"/>
  <c r="CI581" i="8"/>
  <c r="BP581" i="8"/>
  <c r="BX580" i="8"/>
  <c r="CG579" i="8"/>
  <c r="BL579" i="8"/>
  <c r="BV578" i="8"/>
  <c r="BZ578" i="8" s="1"/>
  <c r="CD577" i="8"/>
  <c r="BJ577" i="8"/>
  <c r="BS576" i="8"/>
  <c r="CB575" i="8"/>
  <c r="CJ574" i="8"/>
  <c r="BQ574" i="8"/>
  <c r="BY573" i="8"/>
  <c r="CH572" i="8"/>
  <c r="BO572" i="8"/>
  <c r="BW571" i="8"/>
  <c r="CF570" i="8"/>
  <c r="BK570" i="8"/>
  <c r="BT569" i="8"/>
  <c r="CC568" i="8"/>
  <c r="BI568" i="8"/>
  <c r="BR567" i="8"/>
  <c r="CA566" i="8"/>
  <c r="CI565" i="8"/>
  <c r="BP565" i="8"/>
  <c r="BX564" i="8"/>
  <c r="CG563" i="8"/>
  <c r="BL563" i="8"/>
  <c r="BV562" i="8"/>
  <c r="BZ562" i="8" s="1"/>
  <c r="CD561" i="8"/>
  <c r="BJ561" i="8"/>
  <c r="BS560" i="8"/>
  <c r="CB559" i="8"/>
  <c r="CJ558" i="8"/>
  <c r="BQ558" i="8"/>
  <c r="BY557" i="8"/>
  <c r="CH556" i="8"/>
  <c r="BO556" i="8"/>
  <c r="BW555" i="8"/>
  <c r="CF554" i="8"/>
  <c r="BK554" i="8"/>
  <c r="BT553" i="8"/>
  <c r="CC552" i="8"/>
  <c r="BI552" i="8"/>
  <c r="BR551" i="8"/>
  <c r="CA550" i="8"/>
  <c r="CI549" i="8"/>
  <c r="BP549" i="8"/>
  <c r="BX548" i="8"/>
  <c r="CG547" i="8"/>
  <c r="BL547" i="8"/>
  <c r="BV546" i="8"/>
  <c r="BZ546" i="8" s="1"/>
  <c r="CD545" i="8"/>
  <c r="BJ545" i="8"/>
  <c r="BS544" i="8"/>
  <c r="CB543" i="8"/>
  <c r="CJ542" i="8"/>
  <c r="BQ542" i="8"/>
  <c r="BY541" i="8"/>
  <c r="CH540" i="8"/>
  <c r="BO540" i="8"/>
  <c r="CF539" i="8"/>
  <c r="BV539" i="8"/>
  <c r="BZ539" i="8" s="1"/>
  <c r="BK539" i="8"/>
  <c r="CD538" i="8"/>
  <c r="BT538" i="8"/>
  <c r="BJ538" i="8"/>
  <c r="CC537" i="8"/>
  <c r="BS537" i="8"/>
  <c r="BI537" i="8"/>
  <c r="CB536" i="8"/>
  <c r="BR536" i="8"/>
  <c r="CJ535" i="8"/>
  <c r="CA535" i="8"/>
  <c r="BQ535" i="8"/>
  <c r="CI534" i="8"/>
  <c r="BY534" i="8"/>
  <c r="BP534" i="8"/>
  <c r="CH533" i="8"/>
  <c r="BX533" i="8"/>
  <c r="BO533" i="8"/>
  <c r="CG532" i="8"/>
  <c r="BW532" i="8"/>
  <c r="BL532" i="8"/>
  <c r="CF531" i="8"/>
  <c r="BV531" i="8"/>
  <c r="BZ531" i="8" s="1"/>
  <c r="BK531" i="8"/>
  <c r="CD530" i="8"/>
  <c r="BT530" i="8"/>
  <c r="BJ530" i="8"/>
  <c r="CC529" i="8"/>
  <c r="BS529" i="8"/>
  <c r="BI529" i="8"/>
  <c r="CB528" i="8"/>
  <c r="BR528" i="8"/>
  <c r="CJ527" i="8"/>
  <c r="CA527" i="8"/>
  <c r="BQ527" i="8"/>
  <c r="CI526" i="8"/>
  <c r="BY526" i="8"/>
  <c r="BP526" i="8"/>
  <c r="CH525" i="8"/>
  <c r="BX525" i="8"/>
  <c r="BO525" i="8"/>
  <c r="CG524" i="8"/>
  <c r="BW524" i="8"/>
  <c r="BL524" i="8"/>
  <c r="CF523" i="8"/>
  <c r="BV523" i="8"/>
  <c r="BZ523" i="8" s="1"/>
  <c r="BK523" i="8"/>
  <c r="CD522" i="8"/>
  <c r="BT522" i="8"/>
  <c r="BJ522" i="8"/>
  <c r="CC521" i="8"/>
  <c r="BS521" i="8"/>
  <c r="BI521" i="8"/>
  <c r="CB520" i="8"/>
  <c r="BR520" i="8"/>
  <c r="CJ519" i="8"/>
  <c r="CA519" i="8"/>
  <c r="CE519" i="8" s="1"/>
  <c r="BQ519" i="8"/>
  <c r="CI518" i="8"/>
  <c r="BY518" i="8"/>
  <c r="BP518" i="8"/>
  <c r="CH517" i="8"/>
  <c r="BX517" i="8"/>
  <c r="BO517" i="8"/>
  <c r="CG516" i="8"/>
  <c r="BW516" i="8"/>
  <c r="BL516" i="8"/>
  <c r="CF515" i="8"/>
  <c r="BV515" i="8"/>
  <c r="BZ515" i="8" s="1"/>
  <c r="BK515" i="8"/>
  <c r="CD514" i="8"/>
  <c r="BT514" i="8"/>
  <c r="BJ514" i="8"/>
  <c r="CC513" i="8"/>
  <c r="BS513" i="8"/>
  <c r="BI513" i="8"/>
  <c r="CB512" i="8"/>
  <c r="BR512" i="8"/>
  <c r="CJ511" i="8"/>
  <c r="CA511" i="8"/>
  <c r="BQ511" i="8"/>
  <c r="CI510" i="8"/>
  <c r="BY510" i="8"/>
  <c r="BP510" i="8"/>
  <c r="CH509" i="8"/>
  <c r="BX509" i="8"/>
  <c r="BO509" i="8"/>
  <c r="CG508" i="8"/>
  <c r="BW508" i="8"/>
  <c r="BL508" i="8"/>
  <c r="CF507" i="8"/>
  <c r="BV507" i="8"/>
  <c r="BZ507" i="8" s="1"/>
  <c r="BK507" i="8"/>
  <c r="CD506" i="8"/>
  <c r="BT506" i="8"/>
  <c r="BJ506" i="8"/>
  <c r="CC505" i="8"/>
  <c r="BS505" i="8"/>
  <c r="BI505" i="8"/>
  <c r="CB504" i="8"/>
  <c r="BR504" i="8"/>
  <c r="CJ503" i="8"/>
  <c r="CA503" i="8"/>
  <c r="BQ503" i="8"/>
  <c r="CI502" i="8"/>
  <c r="BY502" i="8"/>
  <c r="BP502" i="8"/>
  <c r="CH501" i="8"/>
  <c r="BX501" i="8"/>
  <c r="BO501" i="8"/>
  <c r="CG500" i="8"/>
  <c r="BW500" i="8"/>
  <c r="BL500" i="8"/>
  <c r="CF499" i="8"/>
  <c r="BX499" i="8"/>
  <c r="BS499" i="8"/>
  <c r="BO499" i="8"/>
  <c r="BI499" i="8"/>
  <c r="CG498" i="8"/>
  <c r="CB498" i="8"/>
  <c r="BW498" i="8"/>
  <c r="BR498" i="8"/>
  <c r="BL498" i="8"/>
  <c r="CJ497" i="8"/>
  <c r="CF497" i="8"/>
  <c r="CA497" i="8"/>
  <c r="BV497" i="8"/>
  <c r="BZ497" i="8" s="1"/>
  <c r="BQ497" i="8"/>
  <c r="BK497" i="8"/>
  <c r="CI496" i="8"/>
  <c r="CD496" i="8"/>
  <c r="BY496" i="8"/>
  <c r="BT496" i="8"/>
  <c r="BP496" i="8"/>
  <c r="BJ496" i="8"/>
  <c r="CH495" i="8"/>
  <c r="CC495" i="8"/>
  <c r="BX495" i="8"/>
  <c r="BS495" i="8"/>
  <c r="BO495" i="8"/>
  <c r="BI495" i="8"/>
  <c r="CG494" i="8"/>
  <c r="CB494" i="8"/>
  <c r="BW494" i="8"/>
  <c r="BR494" i="8"/>
  <c r="BL494" i="8"/>
  <c r="CJ493" i="8"/>
  <c r="CF493" i="8"/>
  <c r="CA493" i="8"/>
  <c r="BV493" i="8"/>
  <c r="BZ493" i="8" s="1"/>
  <c r="BQ493" i="8"/>
  <c r="BK493" i="8"/>
  <c r="CI492" i="8"/>
  <c r="CD492" i="8"/>
  <c r="BY492" i="8"/>
  <c r="BT492" i="8"/>
  <c r="BP492" i="8"/>
  <c r="BJ492" i="8"/>
  <c r="CH491" i="8"/>
  <c r="CC491" i="8"/>
  <c r="BX491" i="8"/>
  <c r="BS491" i="8"/>
  <c r="BO491" i="8"/>
  <c r="BI491" i="8"/>
  <c r="CG490" i="8"/>
  <c r="CB490" i="8"/>
  <c r="BW490" i="8"/>
  <c r="BR490" i="8"/>
  <c r="BL490" i="8"/>
  <c r="CJ489" i="8"/>
  <c r="CF489" i="8"/>
  <c r="CA489" i="8"/>
  <c r="BV489" i="8"/>
  <c r="BZ489" i="8" s="1"/>
  <c r="BQ489" i="8"/>
  <c r="BK489" i="8"/>
  <c r="CI488" i="8"/>
  <c r="CD488" i="8"/>
  <c r="BY488" i="8"/>
  <c r="BT488" i="8"/>
  <c r="BP488" i="8"/>
  <c r="BJ488" i="8"/>
  <c r="CH487" i="8"/>
  <c r="CC487" i="8"/>
  <c r="BX487" i="8"/>
  <c r="BS487" i="8"/>
  <c r="BO487" i="8"/>
  <c r="BI487" i="8"/>
  <c r="CG486" i="8"/>
  <c r="CB486" i="8"/>
  <c r="BW486" i="8"/>
  <c r="BR486" i="8"/>
  <c r="BL486" i="8"/>
  <c r="CJ485" i="8"/>
  <c r="CF485" i="8"/>
  <c r="CA485" i="8"/>
  <c r="BV485" i="8"/>
  <c r="BZ485" i="8" s="1"/>
  <c r="BQ485" i="8"/>
  <c r="BK485" i="8"/>
  <c r="CI484" i="8"/>
  <c r="CD484" i="8"/>
  <c r="BY484" i="8"/>
  <c r="BT484" i="8"/>
  <c r="BP484" i="8"/>
  <c r="BJ484" i="8"/>
  <c r="CH483" i="8"/>
  <c r="CC483" i="8"/>
  <c r="BX483" i="8"/>
  <c r="BS483" i="8"/>
  <c r="BO483" i="8"/>
  <c r="BI483" i="8"/>
  <c r="CG482" i="8"/>
  <c r="CB482" i="8"/>
  <c r="BW482" i="8"/>
  <c r="BR482" i="8"/>
  <c r="BL482" i="8"/>
  <c r="CJ481" i="8"/>
  <c r="CF481" i="8"/>
  <c r="CA481" i="8"/>
  <c r="BV481" i="8"/>
  <c r="BZ481" i="8" s="1"/>
  <c r="BQ481" i="8"/>
  <c r="BK481" i="8"/>
  <c r="CI480" i="8"/>
  <c r="CD480" i="8"/>
  <c r="BY480" i="8"/>
  <c r="BT480" i="8"/>
  <c r="BP480" i="8"/>
  <c r="BJ480" i="8"/>
  <c r="CH479" i="8"/>
  <c r="CC479" i="8"/>
  <c r="BX479" i="8"/>
  <c r="BS479" i="8"/>
  <c r="BO479" i="8"/>
  <c r="BI479" i="8"/>
  <c r="CG478" i="8"/>
  <c r="CB478" i="8"/>
  <c r="BW478" i="8"/>
  <c r="BR478" i="8"/>
  <c r="BL478" i="8"/>
  <c r="CJ477" i="8"/>
  <c r="CF477" i="8"/>
  <c r="CA477" i="8"/>
  <c r="BV477" i="8"/>
  <c r="BZ477" i="8" s="1"/>
  <c r="BQ477" i="8"/>
  <c r="BK477" i="8"/>
  <c r="CI476" i="8"/>
  <c r="CD476" i="8"/>
  <c r="BY476" i="8"/>
  <c r="BT476" i="8"/>
  <c r="BP476" i="8"/>
  <c r="BJ476" i="8"/>
  <c r="CH475" i="8"/>
  <c r="CC475" i="8"/>
  <c r="BX475" i="8"/>
  <c r="BS475" i="8"/>
  <c r="BO475" i="8"/>
  <c r="BI475" i="8"/>
  <c r="CG474" i="8"/>
  <c r="CB474" i="8"/>
  <c r="BW474" i="8"/>
  <c r="BR474" i="8"/>
  <c r="BL474" i="8"/>
  <c r="CJ473" i="8"/>
  <c r="CF473" i="8"/>
  <c r="CA473" i="8"/>
  <c r="BV473" i="8"/>
  <c r="BZ473" i="8" s="1"/>
  <c r="BQ473" i="8"/>
  <c r="BK473" i="8"/>
  <c r="CI472" i="8"/>
  <c r="CD472" i="8"/>
  <c r="BY472" i="8"/>
  <c r="BT472" i="8"/>
  <c r="BP472" i="8"/>
  <c r="BJ472" i="8"/>
  <c r="CH471" i="8"/>
  <c r="CC471" i="8"/>
  <c r="BX471" i="8"/>
  <c r="BS471" i="8"/>
  <c r="BO471" i="8"/>
  <c r="BI471" i="8"/>
  <c r="CG470" i="8"/>
  <c r="CB470" i="8"/>
  <c r="BW470" i="8"/>
  <c r="BR470" i="8"/>
  <c r="BL470" i="8"/>
  <c r="CJ469" i="8"/>
  <c r="CF469" i="8"/>
  <c r="CA469" i="8"/>
  <c r="BV469" i="8"/>
  <c r="BZ469" i="8" s="1"/>
  <c r="BQ469" i="8"/>
  <c r="BK469" i="8"/>
  <c r="CI468" i="8"/>
  <c r="CD468" i="8"/>
  <c r="BY468" i="8"/>
  <c r="BT468" i="8"/>
  <c r="BP468" i="8"/>
  <c r="BJ468" i="8"/>
  <c r="CH467" i="8"/>
  <c r="CC467" i="8"/>
  <c r="BX467" i="8"/>
  <c r="BS467" i="8"/>
  <c r="BO467" i="8"/>
  <c r="BI467" i="8"/>
  <c r="CG466" i="8"/>
  <c r="CB466" i="8"/>
  <c r="BW466" i="8"/>
  <c r="BR466" i="8"/>
  <c r="BL466" i="8"/>
  <c r="CJ465" i="8"/>
  <c r="CF465" i="8"/>
  <c r="CA465" i="8"/>
  <c r="BV465" i="8"/>
  <c r="BQ465" i="8"/>
  <c r="BK465" i="8"/>
  <c r="CI464" i="8"/>
  <c r="CD464" i="8"/>
  <c r="BY464" i="8"/>
  <c r="BT464" i="8"/>
  <c r="BP464" i="8"/>
  <c r="BJ464" i="8"/>
  <c r="CH463" i="8"/>
  <c r="CC463" i="8"/>
  <c r="BX463" i="8"/>
  <c r="BS463" i="8"/>
  <c r="BO463" i="8"/>
  <c r="BI463" i="8"/>
  <c r="CG462" i="8"/>
  <c r="CB462" i="8"/>
  <c r="BW462" i="8"/>
  <c r="BR462" i="8"/>
  <c r="BL462" i="8"/>
  <c r="CJ461" i="8"/>
  <c r="CF461" i="8"/>
  <c r="CA461" i="8"/>
  <c r="BV461" i="8"/>
  <c r="BZ461" i="8" s="1"/>
  <c r="BQ461" i="8"/>
  <c r="BK461" i="8"/>
  <c r="CI460" i="8"/>
  <c r="CD460" i="8"/>
  <c r="BY460" i="8"/>
  <c r="BT460" i="8"/>
  <c r="BP460" i="8"/>
  <c r="BJ460" i="8"/>
  <c r="CH459" i="8"/>
  <c r="CC459" i="8"/>
  <c r="BX459" i="8"/>
  <c r="BS459" i="8"/>
  <c r="BO459" i="8"/>
  <c r="BI459" i="8"/>
  <c r="CG458" i="8"/>
  <c r="CB458" i="8"/>
  <c r="BW458" i="8"/>
  <c r="BR458" i="8"/>
  <c r="BL458" i="8"/>
  <c r="CJ457" i="8"/>
  <c r="CF457" i="8"/>
  <c r="CA457" i="8"/>
  <c r="BV457" i="8"/>
  <c r="BZ457" i="8" s="1"/>
  <c r="BQ457" i="8"/>
  <c r="BK457" i="8"/>
  <c r="CI456" i="8"/>
  <c r="CD456" i="8"/>
  <c r="BY456" i="8"/>
  <c r="BT456" i="8"/>
  <c r="BP456" i="8"/>
  <c r="BJ456" i="8"/>
  <c r="CH455" i="8"/>
  <c r="CC455" i="8"/>
  <c r="BX455" i="8"/>
  <c r="BS455" i="8"/>
  <c r="BO455" i="8"/>
  <c r="BI455" i="8"/>
  <c r="CG454" i="8"/>
  <c r="CB454" i="8"/>
  <c r="BW454" i="8"/>
  <c r="BR454" i="8"/>
  <c r="BL454" i="8"/>
  <c r="CJ453" i="8"/>
  <c r="CF453" i="8"/>
  <c r="CA453" i="8"/>
  <c r="BV453" i="8"/>
  <c r="BZ453" i="8" s="1"/>
  <c r="BQ453" i="8"/>
  <c r="BK453" i="8"/>
  <c r="CI452" i="8"/>
  <c r="CD452" i="8"/>
  <c r="BY452" i="8"/>
  <c r="BT452" i="8"/>
  <c r="BP452" i="8"/>
  <c r="BJ452" i="8"/>
  <c r="CH451" i="8"/>
  <c r="CC451" i="8"/>
  <c r="BX451" i="8"/>
  <c r="BS451" i="8"/>
  <c r="BO451" i="8"/>
  <c r="BI451" i="8"/>
  <c r="CG450" i="8"/>
  <c r="CB450" i="8"/>
  <c r="BW450" i="8"/>
  <c r="BR450" i="8"/>
  <c r="BL450" i="8"/>
  <c r="CJ449" i="8"/>
  <c r="CF449" i="8"/>
  <c r="CA449" i="8"/>
  <c r="BV449" i="8"/>
  <c r="BZ449" i="8" s="1"/>
  <c r="BQ449" i="8"/>
  <c r="BK449" i="8"/>
  <c r="CI448" i="8"/>
  <c r="CD448" i="8"/>
  <c r="BY448" i="8"/>
  <c r="BT448" i="8"/>
  <c r="BP448" i="8"/>
  <c r="BJ448" i="8"/>
  <c r="CH447" i="8"/>
  <c r="CC447" i="8"/>
  <c r="BX447" i="8"/>
  <c r="BS447" i="8"/>
  <c r="BO447" i="8"/>
  <c r="BI447" i="8"/>
  <c r="CG446" i="8"/>
  <c r="CB446" i="8"/>
  <c r="BW446" i="8"/>
  <c r="BR446" i="8"/>
  <c r="BL446" i="8"/>
  <c r="CJ445" i="8"/>
  <c r="CF445" i="8"/>
  <c r="CA445" i="8"/>
  <c r="BV445" i="8"/>
  <c r="BZ445" i="8" s="1"/>
  <c r="BQ445" i="8"/>
  <c r="BK445" i="8"/>
  <c r="CI444" i="8"/>
  <c r="CD444" i="8"/>
  <c r="BY444" i="8"/>
  <c r="BT444" i="8"/>
  <c r="BP444" i="8"/>
  <c r="BJ444" i="8"/>
  <c r="CH443" i="8"/>
  <c r="CC443" i="8"/>
  <c r="BX443" i="8"/>
  <c r="BS443" i="8"/>
  <c r="BO443" i="8"/>
  <c r="BI443" i="8"/>
  <c r="CG442" i="8"/>
  <c r="CB442" i="8"/>
  <c r="BW442" i="8"/>
  <c r="BR442" i="8"/>
  <c r="BL442" i="8"/>
  <c r="CJ441" i="8"/>
  <c r="CF441" i="8"/>
  <c r="CA441" i="8"/>
  <c r="BV441" i="8"/>
  <c r="BZ441" i="8" s="1"/>
  <c r="BQ441" i="8"/>
  <c r="BK441" i="8"/>
  <c r="CI440" i="8"/>
  <c r="CD440" i="8"/>
  <c r="BY440" i="8"/>
  <c r="BT440" i="8"/>
  <c r="BP440" i="8"/>
  <c r="BJ440" i="8"/>
  <c r="CH439" i="8"/>
  <c r="CC439" i="8"/>
  <c r="BX439" i="8"/>
  <c r="BS439" i="8"/>
  <c r="BO439" i="8"/>
  <c r="BI439" i="8"/>
  <c r="CG438" i="8"/>
  <c r="CB438" i="8"/>
  <c r="BW438" i="8"/>
  <c r="BR438" i="8"/>
  <c r="BL438" i="8"/>
  <c r="CJ437" i="8"/>
  <c r="CF437" i="8"/>
  <c r="CA437" i="8"/>
  <c r="BV437" i="8"/>
  <c r="BZ437" i="8" s="1"/>
  <c r="BQ437" i="8"/>
  <c r="BK437" i="8"/>
  <c r="CI436" i="8"/>
  <c r="CD436" i="8"/>
  <c r="BY436" i="8"/>
  <c r="BT436" i="8"/>
  <c r="BP436" i="8"/>
  <c r="BJ436" i="8"/>
  <c r="CH435" i="8"/>
  <c r="CC435" i="8"/>
  <c r="BX435" i="8"/>
  <c r="BS435" i="8"/>
  <c r="BO435" i="8"/>
  <c r="BI435" i="8"/>
  <c r="CG434" i="8"/>
  <c r="CB434" i="8"/>
  <c r="BW434" i="8"/>
  <c r="BR434" i="8"/>
  <c r="BL434" i="8"/>
  <c r="CJ433" i="8"/>
  <c r="CF433" i="8"/>
  <c r="CA433" i="8"/>
  <c r="BV433" i="8"/>
  <c r="BZ433" i="8" s="1"/>
  <c r="BQ433" i="8"/>
  <c r="BK433" i="8"/>
  <c r="CI432" i="8"/>
  <c r="CD432" i="8"/>
  <c r="BY432" i="8"/>
  <c r="BT432" i="8"/>
  <c r="BP432" i="8"/>
  <c r="BJ432" i="8"/>
  <c r="CH431" i="8"/>
  <c r="CC431" i="8"/>
  <c r="BX431" i="8"/>
  <c r="BS431" i="8"/>
  <c r="BO431" i="8"/>
  <c r="BI431" i="8"/>
  <c r="CG430" i="8"/>
  <c r="CB430" i="8"/>
  <c r="BW430" i="8"/>
  <c r="BR430" i="8"/>
  <c r="BL430" i="8"/>
  <c r="CJ429" i="8"/>
  <c r="CF429" i="8"/>
  <c r="CA429" i="8"/>
  <c r="BV429" i="8"/>
  <c r="BZ429" i="8" s="1"/>
  <c r="BQ429" i="8"/>
  <c r="BK429" i="8"/>
  <c r="CI428" i="8"/>
  <c r="CD428" i="8"/>
  <c r="BY428" i="8"/>
  <c r="BT428" i="8"/>
  <c r="BP428" i="8"/>
  <c r="BJ428" i="8"/>
  <c r="CH427" i="8"/>
  <c r="CC427" i="8"/>
  <c r="BX427" i="8"/>
  <c r="BS427" i="8"/>
  <c r="BO427" i="8"/>
  <c r="BI427" i="8"/>
  <c r="CG426" i="8"/>
  <c r="CB426" i="8"/>
  <c r="BW426" i="8"/>
  <c r="BR426" i="8"/>
  <c r="BL426" i="8"/>
  <c r="CJ425" i="8"/>
  <c r="CF425" i="8"/>
  <c r="CA425" i="8"/>
  <c r="BV425" i="8"/>
  <c r="BZ425" i="8" s="1"/>
  <c r="BQ425" i="8"/>
  <c r="BK425" i="8"/>
  <c r="CI424" i="8"/>
  <c r="CD424" i="8"/>
  <c r="BY424" i="8"/>
  <c r="BT424" i="8"/>
  <c r="BP424" i="8"/>
  <c r="BJ424" i="8"/>
  <c r="CH423" i="8"/>
  <c r="CC423" i="8"/>
  <c r="BX423" i="8"/>
  <c r="BS423" i="8"/>
  <c r="BO423" i="8"/>
  <c r="BI423" i="8"/>
  <c r="CG422" i="8"/>
  <c r="CB422" i="8"/>
  <c r="BW422" i="8"/>
  <c r="BR422" i="8"/>
  <c r="BL422" i="8"/>
  <c r="CJ421" i="8"/>
  <c r="CF421" i="8"/>
  <c r="CA421" i="8"/>
  <c r="BV421" i="8"/>
  <c r="BQ421" i="8"/>
  <c r="BK421" i="8"/>
  <c r="CI420" i="8"/>
  <c r="CD420" i="8"/>
  <c r="BY420" i="8"/>
  <c r="BT420" i="8"/>
  <c r="BP420" i="8"/>
  <c r="BJ420" i="8"/>
  <c r="CH419" i="8"/>
  <c r="CC419" i="8"/>
  <c r="BX419" i="8"/>
  <c r="BS419" i="8"/>
  <c r="BO419" i="8"/>
  <c r="BI419" i="8"/>
  <c r="CG418" i="8"/>
  <c r="CB418" i="8"/>
  <c r="BW418" i="8"/>
  <c r="BR418" i="8"/>
  <c r="BL418" i="8"/>
  <c r="CJ417" i="8"/>
  <c r="CF417" i="8"/>
  <c r="CA417" i="8"/>
  <c r="BV417" i="8"/>
  <c r="BQ417" i="8"/>
  <c r="BK417" i="8"/>
  <c r="CI416" i="8"/>
  <c r="CD416" i="8"/>
  <c r="BY416" i="8"/>
  <c r="BT416" i="8"/>
  <c r="BP416" i="8"/>
  <c r="BJ416" i="8"/>
  <c r="CH415" i="8"/>
  <c r="CC415" i="8"/>
  <c r="BX415" i="8"/>
  <c r="BS415" i="8"/>
  <c r="BO415" i="8"/>
  <c r="BI415" i="8"/>
  <c r="CG414" i="8"/>
  <c r="CB414" i="8"/>
  <c r="BW414" i="8"/>
  <c r="BR414" i="8"/>
  <c r="BL414" i="8"/>
  <c r="CJ413" i="8"/>
  <c r="CF413" i="8"/>
  <c r="CA413" i="8"/>
  <c r="BV413" i="8"/>
  <c r="BQ413" i="8"/>
  <c r="BK413" i="8"/>
  <c r="CI412" i="8"/>
  <c r="CD412" i="8"/>
  <c r="BY412" i="8"/>
  <c r="BT412" i="8"/>
  <c r="BP412" i="8"/>
  <c r="BJ412" i="8"/>
  <c r="CH411" i="8"/>
  <c r="CC411" i="8"/>
  <c r="BX411" i="8"/>
  <c r="BS411" i="8"/>
  <c r="BO411" i="8"/>
  <c r="BI411" i="8"/>
  <c r="CG410" i="8"/>
  <c r="CB410" i="8"/>
  <c r="BW410" i="8"/>
  <c r="BR410" i="8"/>
  <c r="BL410" i="8"/>
  <c r="CJ409" i="8"/>
  <c r="CF409" i="8"/>
  <c r="CA409" i="8"/>
  <c r="BV409" i="8"/>
  <c r="BQ409" i="8"/>
  <c r="BK409" i="8"/>
  <c r="CI408" i="8"/>
  <c r="CD408" i="8"/>
  <c r="BY408" i="8"/>
  <c r="BT408" i="8"/>
  <c r="BP408" i="8"/>
  <c r="BJ408" i="8"/>
  <c r="CH407" i="8"/>
  <c r="CC407" i="8"/>
  <c r="BX407" i="8"/>
  <c r="BS407" i="8"/>
  <c r="BO407" i="8"/>
  <c r="BI407" i="8"/>
  <c r="CG406" i="8"/>
  <c r="CB406" i="8"/>
  <c r="BW406" i="8"/>
  <c r="BR406" i="8"/>
  <c r="BL406" i="8"/>
  <c r="CJ405" i="8"/>
  <c r="CF405" i="8"/>
  <c r="CA405" i="8"/>
  <c r="BV405" i="8"/>
  <c r="BQ405" i="8"/>
  <c r="BK405" i="8"/>
  <c r="CI404" i="8"/>
  <c r="CD404" i="8"/>
  <c r="BY404" i="8"/>
  <c r="BT404" i="8"/>
  <c r="BP404" i="8"/>
  <c r="BJ404" i="8"/>
  <c r="CH403" i="8"/>
  <c r="CC403" i="8"/>
  <c r="BX403" i="8"/>
  <c r="BS403" i="8"/>
  <c r="BO403" i="8"/>
  <c r="BI403" i="8"/>
  <c r="CG402" i="8"/>
  <c r="CB402" i="8"/>
  <c r="BW402" i="8"/>
  <c r="BR402" i="8"/>
  <c r="BL402" i="8"/>
  <c r="CJ401" i="8"/>
  <c r="CF401" i="8"/>
  <c r="CA401" i="8"/>
  <c r="BV401" i="8"/>
  <c r="BQ401" i="8"/>
  <c r="BK401" i="8"/>
  <c r="CI400" i="8"/>
  <c r="CD400" i="8"/>
  <c r="BY400" i="8"/>
  <c r="BT400" i="8"/>
  <c r="BP400" i="8"/>
  <c r="BJ400" i="8"/>
  <c r="CH399" i="8"/>
  <c r="CC399" i="8"/>
  <c r="BX399" i="8"/>
  <c r="BS399" i="8"/>
  <c r="BO399" i="8"/>
  <c r="BI399" i="8"/>
  <c r="CG398" i="8"/>
  <c r="CB398" i="8"/>
  <c r="BW398" i="8"/>
  <c r="BR398" i="8"/>
  <c r="BL398" i="8"/>
  <c r="CJ397" i="8"/>
  <c r="CF397" i="8"/>
  <c r="CA397" i="8"/>
  <c r="BV397" i="8"/>
  <c r="BQ397" i="8"/>
  <c r="BK397" i="8"/>
  <c r="CI396" i="8"/>
  <c r="CD396" i="8"/>
  <c r="BY396" i="8"/>
  <c r="BT396" i="8"/>
  <c r="BP396" i="8"/>
  <c r="BJ396" i="8"/>
  <c r="CH395" i="8"/>
  <c r="CC395" i="8"/>
  <c r="BX395" i="8"/>
  <c r="BS395" i="8"/>
  <c r="BO395" i="8"/>
  <c r="BI395" i="8"/>
  <c r="CG394" i="8"/>
  <c r="CB394" i="8"/>
  <c r="BW394" i="8"/>
  <c r="BR394" i="8"/>
  <c r="BL394" i="8"/>
  <c r="CJ393" i="8"/>
  <c r="CF393" i="8"/>
  <c r="CA393" i="8"/>
  <c r="BV393" i="8"/>
  <c r="BQ393" i="8"/>
  <c r="BK393" i="8"/>
  <c r="CI392" i="8"/>
  <c r="CD392" i="8"/>
  <c r="BY392" i="8"/>
  <c r="BT392" i="8"/>
  <c r="BP392" i="8"/>
  <c r="BJ392" i="8"/>
  <c r="CH391" i="8"/>
  <c r="CC391" i="8"/>
  <c r="BX391" i="8"/>
  <c r="BS391" i="8"/>
  <c r="BO391" i="8"/>
  <c r="BI391" i="8"/>
  <c r="CG390" i="8"/>
  <c r="CB390" i="8"/>
  <c r="BW390" i="8"/>
  <c r="BR390" i="8"/>
  <c r="BL390" i="8"/>
  <c r="CJ389" i="8"/>
  <c r="CF389" i="8"/>
  <c r="CA389" i="8"/>
  <c r="BV389" i="8"/>
  <c r="BZ389" i="8" s="1"/>
  <c r="BQ389" i="8"/>
  <c r="BK389" i="8"/>
  <c r="CI388" i="8"/>
  <c r="CD388" i="8"/>
  <c r="BY388" i="8"/>
  <c r="BT388" i="8"/>
  <c r="BP388" i="8"/>
  <c r="BJ388" i="8"/>
  <c r="CH387" i="8"/>
  <c r="CC387" i="8"/>
  <c r="BX387" i="8"/>
  <c r="BS387" i="8"/>
  <c r="BO387" i="8"/>
  <c r="BI387" i="8"/>
  <c r="CG386" i="8"/>
  <c r="CB386" i="8"/>
  <c r="BW386" i="8"/>
  <c r="BR386" i="8"/>
  <c r="BL386" i="8"/>
  <c r="CJ385" i="8"/>
  <c r="CF385" i="8"/>
  <c r="CA385" i="8"/>
  <c r="BV385" i="8"/>
  <c r="BQ385" i="8"/>
  <c r="BK385" i="8"/>
  <c r="CI384" i="8"/>
  <c r="CD384" i="8"/>
  <c r="BY384" i="8"/>
  <c r="BT384" i="8"/>
  <c r="BP384" i="8"/>
  <c r="BJ384" i="8"/>
  <c r="CH383" i="8"/>
  <c r="CC383" i="8"/>
  <c r="BX383" i="8"/>
  <c r="BS383" i="8"/>
  <c r="BO383" i="8"/>
  <c r="BI383" i="8"/>
  <c r="CG382" i="8"/>
  <c r="CB382" i="8"/>
  <c r="BW382" i="8"/>
  <c r="BR382" i="8"/>
  <c r="BL382" i="8"/>
  <c r="CJ381" i="8"/>
  <c r="CF381" i="8"/>
  <c r="CA381" i="8"/>
  <c r="BV381" i="8"/>
  <c r="BQ381" i="8"/>
  <c r="BK381" i="8"/>
  <c r="CI380" i="8"/>
  <c r="CD380" i="8"/>
  <c r="BY380" i="8"/>
  <c r="BT380" i="8"/>
  <c r="BP380" i="8"/>
  <c r="BJ380" i="8"/>
  <c r="CH379" i="8"/>
  <c r="CC379" i="8"/>
  <c r="BX379" i="8"/>
  <c r="BS379" i="8"/>
  <c r="BO379" i="8"/>
  <c r="BI379" i="8"/>
  <c r="CG378" i="8"/>
  <c r="CB378" i="8"/>
  <c r="BW378" i="8"/>
  <c r="BR378" i="8"/>
  <c r="BL378" i="8"/>
  <c r="CJ377" i="8"/>
  <c r="CF377" i="8"/>
  <c r="CA377" i="8"/>
  <c r="BV377" i="8"/>
  <c r="BZ377" i="8" s="1"/>
  <c r="BQ377" i="8"/>
  <c r="BK377" i="8"/>
  <c r="CI376" i="8"/>
  <c r="CD376" i="8"/>
  <c r="BY376" i="8"/>
  <c r="BT376" i="8"/>
  <c r="BP376" i="8"/>
  <c r="BJ376" i="8"/>
  <c r="CH375" i="8"/>
  <c r="CC375" i="8"/>
  <c r="BX375" i="8"/>
  <c r="BS375" i="8"/>
  <c r="BO375" i="8"/>
  <c r="BI375" i="8"/>
  <c r="CG374" i="8"/>
  <c r="CB374" i="8"/>
  <c r="BW374" i="8"/>
  <c r="BR374" i="8"/>
  <c r="BL374" i="8"/>
  <c r="CJ373" i="8"/>
  <c r="CF373" i="8"/>
  <c r="CA373" i="8"/>
  <c r="BV373" i="8"/>
  <c r="BZ373" i="8" s="1"/>
  <c r="BQ373" i="8"/>
  <c r="BK373" i="8"/>
  <c r="CI372" i="8"/>
  <c r="CD372" i="8"/>
  <c r="BY372" i="8"/>
  <c r="BT372" i="8"/>
  <c r="BP372" i="8"/>
  <c r="BJ372" i="8"/>
  <c r="CH371" i="8"/>
  <c r="CC371" i="8"/>
  <c r="BX371" i="8"/>
  <c r="BS371" i="8"/>
  <c r="BO371" i="8"/>
  <c r="BI371" i="8"/>
  <c r="CG370" i="8"/>
  <c r="CB370" i="8"/>
  <c r="BW370" i="8"/>
  <c r="BR370" i="8"/>
  <c r="BL370" i="8"/>
  <c r="CJ369" i="8"/>
  <c r="CF369" i="8"/>
  <c r="CA369" i="8"/>
  <c r="BV369" i="8"/>
  <c r="BZ369" i="8" s="1"/>
  <c r="BQ369" i="8"/>
  <c r="BK369" i="8"/>
  <c r="CI368" i="8"/>
  <c r="CD368" i="8"/>
  <c r="BY368" i="8"/>
  <c r="BT368" i="8"/>
  <c r="BP368" i="8"/>
  <c r="BJ368" i="8"/>
  <c r="CH367" i="8"/>
  <c r="CC367" i="8"/>
  <c r="BX367" i="8"/>
  <c r="BS367" i="8"/>
  <c r="BO367" i="8"/>
  <c r="BI367" i="8"/>
  <c r="CG366" i="8"/>
  <c r="CB366" i="8"/>
  <c r="BW366" i="8"/>
  <c r="BR366" i="8"/>
  <c r="BL366" i="8"/>
  <c r="CJ365" i="8"/>
  <c r="CF365" i="8"/>
  <c r="CA365" i="8"/>
  <c r="BV365" i="8"/>
  <c r="BZ365" i="8" s="1"/>
  <c r="BQ365" i="8"/>
  <c r="BK365" i="8"/>
  <c r="CI364" i="8"/>
  <c r="CD364" i="8"/>
  <c r="BY364" i="8"/>
  <c r="BT364" i="8"/>
  <c r="BP364" i="8"/>
  <c r="BJ364" i="8"/>
  <c r="CH363" i="8"/>
  <c r="CC363" i="8"/>
  <c r="BX363" i="8"/>
  <c r="BS363" i="8"/>
  <c r="BO363" i="8"/>
  <c r="BI363" i="8"/>
  <c r="CG362" i="8"/>
  <c r="CB362" i="8"/>
  <c r="BW362" i="8"/>
  <c r="BR362" i="8"/>
  <c r="BL362" i="8"/>
  <c r="CJ361" i="8"/>
  <c r="CF361" i="8"/>
  <c r="CA361" i="8"/>
  <c r="BV361" i="8"/>
  <c r="BZ361" i="8" s="1"/>
  <c r="BQ361" i="8"/>
  <c r="BK361" i="8"/>
  <c r="CI360" i="8"/>
  <c r="CD360" i="8"/>
  <c r="BY360" i="8"/>
  <c r="BT360" i="8"/>
  <c r="BP360" i="8"/>
  <c r="BJ360" i="8"/>
  <c r="CH359" i="8"/>
  <c r="CC359" i="8"/>
  <c r="BX359" i="8"/>
  <c r="BS359" i="8"/>
  <c r="BO359" i="8"/>
  <c r="BI359" i="8"/>
  <c r="CG358" i="8"/>
  <c r="CB358" i="8"/>
  <c r="BW358" i="8"/>
  <c r="BR358" i="8"/>
  <c r="BL358" i="8"/>
  <c r="CJ357" i="8"/>
  <c r="CF357" i="8"/>
  <c r="CA357" i="8"/>
  <c r="BV357" i="8"/>
  <c r="BZ357" i="8" s="1"/>
  <c r="BQ357" i="8"/>
  <c r="BK357" i="8"/>
  <c r="CI356" i="8"/>
  <c r="CD356" i="8"/>
  <c r="BY356" i="8"/>
  <c r="BT356" i="8"/>
  <c r="BP356" i="8"/>
  <c r="BJ356" i="8"/>
  <c r="CH355" i="8"/>
  <c r="CC355" i="8"/>
  <c r="BX355" i="8"/>
  <c r="BS355" i="8"/>
  <c r="BO355" i="8"/>
  <c r="BI355" i="8"/>
  <c r="CG354" i="8"/>
  <c r="CB354" i="8"/>
  <c r="BW354" i="8"/>
  <c r="BR354" i="8"/>
  <c r="BL354" i="8"/>
  <c r="CJ353" i="8"/>
  <c r="CF353" i="8"/>
  <c r="CA353" i="8"/>
  <c r="BV353" i="8"/>
  <c r="BZ353" i="8" s="1"/>
  <c r="BQ353" i="8"/>
  <c r="BK353" i="8"/>
  <c r="CI352" i="8"/>
  <c r="CD352" i="8"/>
  <c r="BY352" i="8"/>
  <c r="BT352" i="8"/>
  <c r="BP352" i="8"/>
  <c r="BJ352" i="8"/>
  <c r="CH351" i="8"/>
  <c r="CC351" i="8"/>
  <c r="BX351" i="8"/>
  <c r="BS351" i="8"/>
  <c r="BO351" i="8"/>
  <c r="BI351" i="8"/>
  <c r="CG350" i="8"/>
  <c r="CB350" i="8"/>
  <c r="BW350" i="8"/>
  <c r="BR350" i="8"/>
  <c r="BL350" i="8"/>
  <c r="CJ349" i="8"/>
  <c r="CF349" i="8"/>
  <c r="CA349" i="8"/>
  <c r="BV349" i="8"/>
  <c r="BZ349" i="8" s="1"/>
  <c r="BQ349" i="8"/>
  <c r="BK349" i="8"/>
  <c r="CI348" i="8"/>
  <c r="CD348" i="8"/>
  <c r="BY348" i="8"/>
  <c r="BT348" i="8"/>
  <c r="BP348" i="8"/>
  <c r="BJ348" i="8"/>
  <c r="CH347" i="8"/>
  <c r="CC347" i="8"/>
  <c r="BX347" i="8"/>
  <c r="BS347" i="8"/>
  <c r="BO347" i="8"/>
  <c r="BI347" i="8"/>
  <c r="CG346" i="8"/>
  <c r="CB346" i="8"/>
  <c r="BW346" i="8"/>
  <c r="BR346" i="8"/>
  <c r="BL346" i="8"/>
  <c r="CJ345" i="8"/>
  <c r="CF345" i="8"/>
  <c r="CA345" i="8"/>
  <c r="BV345" i="8"/>
  <c r="BZ345" i="8" s="1"/>
  <c r="BQ345" i="8"/>
  <c r="BK345" i="8"/>
  <c r="CI344" i="8"/>
  <c r="CD344" i="8"/>
  <c r="BY344" i="8"/>
  <c r="BT344" i="8"/>
  <c r="BP344" i="8"/>
  <c r="BJ344" i="8"/>
  <c r="CH343" i="8"/>
  <c r="CC343" i="8"/>
  <c r="BX343" i="8"/>
  <c r="BS343" i="8"/>
  <c r="BO343" i="8"/>
  <c r="BI343" i="8"/>
  <c r="CG342" i="8"/>
  <c r="CB342" i="8"/>
  <c r="BW342" i="8"/>
  <c r="BR342" i="8"/>
  <c r="BL342" i="8"/>
  <c r="CJ341" i="8"/>
  <c r="CF341" i="8"/>
  <c r="CA341" i="8"/>
  <c r="BV341" i="8"/>
  <c r="BZ341" i="8" s="1"/>
  <c r="BQ341" i="8"/>
  <c r="BK341" i="8"/>
  <c r="CI340" i="8"/>
  <c r="CD340" i="8"/>
  <c r="BY340" i="8"/>
  <c r="BT340" i="8"/>
  <c r="BP340" i="8"/>
  <c r="BJ340" i="8"/>
  <c r="CH339" i="8"/>
  <c r="CC339" i="8"/>
  <c r="BX339" i="8"/>
  <c r="BS339" i="8"/>
  <c r="BO339" i="8"/>
  <c r="BI339" i="8"/>
  <c r="CG338" i="8"/>
  <c r="CB338" i="8"/>
  <c r="BW338" i="8"/>
  <c r="BR338" i="8"/>
  <c r="BL338" i="8"/>
  <c r="CJ337" i="8"/>
  <c r="CF337" i="8"/>
  <c r="CA337" i="8"/>
  <c r="BV337" i="8"/>
  <c r="BZ337" i="8" s="1"/>
  <c r="BQ337" i="8"/>
  <c r="BK337" i="8"/>
  <c r="CI336" i="8"/>
  <c r="CD336" i="8"/>
  <c r="BY336" i="8"/>
  <c r="BT336" i="8"/>
  <c r="BP336" i="8"/>
  <c r="BJ336" i="8"/>
  <c r="CH335" i="8"/>
  <c r="CC335" i="8"/>
  <c r="BX335" i="8"/>
  <c r="BS335" i="8"/>
  <c r="BO335" i="8"/>
  <c r="BI335" i="8"/>
  <c r="CG334" i="8"/>
  <c r="CB334" i="8"/>
  <c r="BW334" i="8"/>
  <c r="BR334" i="8"/>
  <c r="BL334" i="8"/>
  <c r="CJ333" i="8"/>
  <c r="CF333" i="8"/>
  <c r="CA333" i="8"/>
  <c r="BV333" i="8"/>
  <c r="BZ333" i="8" s="1"/>
  <c r="BQ333" i="8"/>
  <c r="BK333" i="8"/>
  <c r="CI332" i="8"/>
  <c r="CD332" i="8"/>
  <c r="BY332" i="8"/>
  <c r="BT332" i="8"/>
  <c r="BP332" i="8"/>
  <c r="BJ332" i="8"/>
  <c r="CH331" i="8"/>
  <c r="CC331" i="8"/>
  <c r="BX331" i="8"/>
  <c r="BS331" i="8"/>
  <c r="BO331" i="8"/>
  <c r="BI331" i="8"/>
  <c r="CG330" i="8"/>
  <c r="CB330" i="8"/>
  <c r="BW330" i="8"/>
  <c r="BR330" i="8"/>
  <c r="BL330" i="8"/>
  <c r="CJ329" i="8"/>
  <c r="CF329" i="8"/>
  <c r="CA329" i="8"/>
  <c r="BV329" i="8"/>
  <c r="BZ329" i="8" s="1"/>
  <c r="BQ329" i="8"/>
  <c r="BK329" i="8"/>
  <c r="CI328" i="8"/>
  <c r="CD328" i="8"/>
  <c r="BY328" i="8"/>
  <c r="BT328" i="8"/>
  <c r="BP328" i="8"/>
  <c r="BJ328" i="8"/>
  <c r="CH327" i="8"/>
  <c r="CC327" i="8"/>
  <c r="BX327" i="8"/>
  <c r="BS327" i="8"/>
  <c r="BO327" i="8"/>
  <c r="BI327" i="8"/>
  <c r="CG326" i="8"/>
  <c r="CB326" i="8"/>
  <c r="BW326" i="8"/>
  <c r="BR326" i="8"/>
  <c r="BL326" i="8"/>
  <c r="CJ325" i="8"/>
  <c r="CF325" i="8"/>
  <c r="CA325" i="8"/>
  <c r="BV325" i="8"/>
  <c r="BZ325" i="8" s="1"/>
  <c r="BQ325" i="8"/>
  <c r="BK325" i="8"/>
  <c r="CI324" i="8"/>
  <c r="CD324" i="8"/>
  <c r="BY324" i="8"/>
  <c r="BT324" i="8"/>
  <c r="BP324" i="8"/>
  <c r="BJ324" i="8"/>
  <c r="CH323" i="8"/>
  <c r="CC323" i="8"/>
  <c r="BX323" i="8"/>
  <c r="BS323" i="8"/>
  <c r="BO323" i="8"/>
  <c r="BI323" i="8"/>
  <c r="CG322" i="8"/>
  <c r="CB322" i="8"/>
  <c r="BW322" i="8"/>
  <c r="BR322" i="8"/>
  <c r="BL322" i="8"/>
  <c r="CJ321" i="8"/>
  <c r="CF321" i="8"/>
  <c r="CA321" i="8"/>
  <c r="BV321" i="8"/>
  <c r="BZ321" i="8" s="1"/>
  <c r="BQ321" i="8"/>
  <c r="BK321" i="8"/>
  <c r="CI320" i="8"/>
  <c r="CD320" i="8"/>
  <c r="BY320" i="8"/>
  <c r="BT320" i="8"/>
  <c r="BP320" i="8"/>
  <c r="BJ320" i="8"/>
  <c r="CH319" i="8"/>
  <c r="CC319" i="8"/>
  <c r="BX319" i="8"/>
  <c r="BS319" i="8"/>
  <c r="BO319" i="8"/>
  <c r="BI319" i="8"/>
  <c r="CG318" i="8"/>
  <c r="CB318" i="8"/>
  <c r="BW318" i="8"/>
  <c r="BR851" i="8"/>
  <c r="BW811" i="8"/>
  <c r="CD791" i="8"/>
  <c r="CA780" i="8"/>
  <c r="CE780" i="8" s="1"/>
  <c r="BW769" i="8"/>
  <c r="BS758" i="8"/>
  <c r="BP747" i="8"/>
  <c r="BK736" i="8"/>
  <c r="CG729" i="8"/>
  <c r="BQ724" i="8"/>
  <c r="CC718" i="8"/>
  <c r="BL713" i="8"/>
  <c r="BY707" i="8"/>
  <c r="BK702" i="8"/>
  <c r="BR699" i="8"/>
  <c r="BX696" i="8"/>
  <c r="CD693" i="8"/>
  <c r="CJ690" i="8"/>
  <c r="BO688" i="8"/>
  <c r="BT685" i="8"/>
  <c r="CA682" i="8"/>
  <c r="CE682" i="8" s="1"/>
  <c r="CG679" i="8"/>
  <c r="BJ677" i="8"/>
  <c r="BQ674" i="8"/>
  <c r="BW671" i="8"/>
  <c r="CC668" i="8"/>
  <c r="CI665" i="8"/>
  <c r="BL663" i="8"/>
  <c r="BS660" i="8"/>
  <c r="BY657" i="8"/>
  <c r="CF654" i="8"/>
  <c r="BX652" i="8"/>
  <c r="BL651" i="8"/>
  <c r="CD649" i="8"/>
  <c r="BS648" i="8"/>
  <c r="CJ646" i="8"/>
  <c r="BY645" i="8"/>
  <c r="BO644" i="8"/>
  <c r="CF642" i="8"/>
  <c r="BT641" i="8"/>
  <c r="BI640" i="8"/>
  <c r="CA638" i="8"/>
  <c r="BP637" i="8"/>
  <c r="CG635" i="8"/>
  <c r="BV634" i="8"/>
  <c r="BJ633" i="8"/>
  <c r="CB631" i="8"/>
  <c r="BQ630" i="8"/>
  <c r="CH628" i="8"/>
  <c r="BW627" i="8"/>
  <c r="BK626" i="8"/>
  <c r="CC624" i="8"/>
  <c r="BR623" i="8"/>
  <c r="CI621" i="8"/>
  <c r="CC620" i="8"/>
  <c r="BI620" i="8"/>
  <c r="BR619" i="8"/>
  <c r="CA618" i="8"/>
  <c r="CI617" i="8"/>
  <c r="BP617" i="8"/>
  <c r="BX616" i="8"/>
  <c r="CG615" i="8"/>
  <c r="BL615" i="8"/>
  <c r="BV614" i="8"/>
  <c r="BZ614" i="8" s="1"/>
  <c r="CD613" i="8"/>
  <c r="BJ613" i="8"/>
  <c r="BS612" i="8"/>
  <c r="CB611" i="8"/>
  <c r="CJ610" i="8"/>
  <c r="BQ610" i="8"/>
  <c r="BY609" i="8"/>
  <c r="CH608" i="8"/>
  <c r="BO608" i="8"/>
  <c r="BW607" i="8"/>
  <c r="CF606" i="8"/>
  <c r="BK606" i="8"/>
  <c r="BT605" i="8"/>
  <c r="CC604" i="8"/>
  <c r="BI604" i="8"/>
  <c r="BR603" i="8"/>
  <c r="CA602" i="8"/>
  <c r="CI601" i="8"/>
  <c r="BP601" i="8"/>
  <c r="BX600" i="8"/>
  <c r="CG599" i="8"/>
  <c r="BL599" i="8"/>
  <c r="BV598" i="8"/>
  <c r="BZ598" i="8" s="1"/>
  <c r="CD597" i="8"/>
  <c r="BJ597" i="8"/>
  <c r="BS596" i="8"/>
  <c r="CB595" i="8"/>
  <c r="CJ594" i="8"/>
  <c r="BQ594" i="8"/>
  <c r="BY593" i="8"/>
  <c r="CH592" i="8"/>
  <c r="BO592" i="8"/>
  <c r="BW591" i="8"/>
  <c r="CF590" i="8"/>
  <c r="BK590" i="8"/>
  <c r="BT589" i="8"/>
  <c r="CC588" i="8"/>
  <c r="BI588" i="8"/>
  <c r="BR587" i="8"/>
  <c r="CA586" i="8"/>
  <c r="CI585" i="8"/>
  <c r="BP585" i="8"/>
  <c r="BX584" i="8"/>
  <c r="CG583" i="8"/>
  <c r="BL583" i="8"/>
  <c r="BV582" i="8"/>
  <c r="BZ582" i="8" s="1"/>
  <c r="CD581" i="8"/>
  <c r="BJ581" i="8"/>
  <c r="BS580" i="8"/>
  <c r="CB579" i="8"/>
  <c r="CJ578" i="8"/>
  <c r="BQ578" i="8"/>
  <c r="BY577" i="8"/>
  <c r="CH576" i="8"/>
  <c r="BO576" i="8"/>
  <c r="BW575" i="8"/>
  <c r="CF574" i="8"/>
  <c r="BK574" i="8"/>
  <c r="BT573" i="8"/>
  <c r="CC572" i="8"/>
  <c r="BI572" i="8"/>
  <c r="BR571" i="8"/>
  <c r="CA570" i="8"/>
  <c r="CE570" i="8" s="1"/>
  <c r="CI569" i="8"/>
  <c r="BP569" i="8"/>
  <c r="BX568" i="8"/>
  <c r="CG567" i="8"/>
  <c r="BL567" i="8"/>
  <c r="BV566" i="8"/>
  <c r="BZ566" i="8" s="1"/>
  <c r="CD565" i="8"/>
  <c r="BJ565" i="8"/>
  <c r="BS564" i="8"/>
  <c r="CB563" i="8"/>
  <c r="CJ562" i="8"/>
  <c r="BQ562" i="8"/>
  <c r="BY561" i="8"/>
  <c r="CH560" i="8"/>
  <c r="BO560" i="8"/>
  <c r="BW559" i="8"/>
  <c r="CF558" i="8"/>
  <c r="BK558" i="8"/>
  <c r="BT557" i="8"/>
  <c r="CC556" i="8"/>
  <c r="BI556" i="8"/>
  <c r="BR555" i="8"/>
  <c r="CA554" i="8"/>
  <c r="CI553" i="8"/>
  <c r="BP553" i="8"/>
  <c r="BX552" i="8"/>
  <c r="CG551" i="8"/>
  <c r="BL551" i="8"/>
  <c r="BV550" i="8"/>
  <c r="BZ550" i="8" s="1"/>
  <c r="CD549" i="8"/>
  <c r="BJ549" i="8"/>
  <c r="BS548" i="8"/>
  <c r="CB547" i="8"/>
  <c r="CJ546" i="8"/>
  <c r="BQ546" i="8"/>
  <c r="BY545" i="8"/>
  <c r="CH544" i="8"/>
  <c r="BO544" i="8"/>
  <c r="BW543" i="8"/>
  <c r="CF542" i="8"/>
  <c r="BK542" i="8"/>
  <c r="BT541" i="8"/>
  <c r="CC540" i="8"/>
  <c r="BI540" i="8"/>
  <c r="BO840" i="8"/>
  <c r="CI805" i="8"/>
  <c r="CJ788" i="8"/>
  <c r="CG777" i="8"/>
  <c r="CC766" i="8"/>
  <c r="BY755" i="8"/>
  <c r="BV744" i="8"/>
  <c r="BI734" i="8"/>
  <c r="BV728" i="8"/>
  <c r="BZ728" i="8" s="1"/>
  <c r="CH722" i="8"/>
  <c r="BR717" i="8"/>
  <c r="CD711" i="8"/>
  <c r="BO706" i="8"/>
  <c r="BT701" i="8"/>
  <c r="CA698" i="8"/>
  <c r="CG695" i="8"/>
  <c r="BJ693" i="8"/>
  <c r="BQ690" i="8"/>
  <c r="BW687" i="8"/>
  <c r="CC684" i="8"/>
  <c r="CI681" i="8"/>
  <c r="BL679" i="8"/>
  <c r="BS676" i="8"/>
  <c r="BY673" i="8"/>
  <c r="CF670" i="8"/>
  <c r="BI668" i="8"/>
  <c r="BP665" i="8"/>
  <c r="BV662" i="8"/>
  <c r="BZ662" i="8" s="1"/>
  <c r="CB659" i="8"/>
  <c r="CH656" i="8"/>
  <c r="BK654" i="8"/>
  <c r="BO652" i="8"/>
  <c r="CF650" i="8"/>
  <c r="BT649" i="8"/>
  <c r="BI648" i="8"/>
  <c r="CA646" i="8"/>
  <c r="BP645" i="8"/>
  <c r="CG643" i="8"/>
  <c r="BV642" i="8"/>
  <c r="BJ641" i="8"/>
  <c r="CB639" i="8"/>
  <c r="BQ638" i="8"/>
  <c r="CH636" i="8"/>
  <c r="BW635" i="8"/>
  <c r="BK634" i="8"/>
  <c r="CC632" i="8"/>
  <c r="BR631" i="8"/>
  <c r="CI629" i="8"/>
  <c r="BX628" i="8"/>
  <c r="BL627" i="8"/>
  <c r="CD625" i="8"/>
  <c r="BS624" i="8"/>
  <c r="CJ622" i="8"/>
  <c r="BY621" i="8"/>
  <c r="BX620" i="8"/>
  <c r="CG619" i="8"/>
  <c r="BL619" i="8"/>
  <c r="BV618" i="8"/>
  <c r="BZ618" i="8" s="1"/>
  <c r="CD617" i="8"/>
  <c r="BJ617" i="8"/>
  <c r="BS616" i="8"/>
  <c r="CB615" i="8"/>
  <c r="CJ614" i="8"/>
  <c r="BQ614" i="8"/>
  <c r="BY613" i="8"/>
  <c r="CH612" i="8"/>
  <c r="BO612" i="8"/>
  <c r="BW611" i="8"/>
  <c r="CF610" i="8"/>
  <c r="BK610" i="8"/>
  <c r="BT609" i="8"/>
  <c r="CC608" i="8"/>
  <c r="BI608" i="8"/>
  <c r="BR607" i="8"/>
  <c r="CA606" i="8"/>
  <c r="CI605" i="8"/>
  <c r="BP605" i="8"/>
  <c r="BX604" i="8"/>
  <c r="CG603" i="8"/>
  <c r="BL603" i="8"/>
  <c r="BV602" i="8"/>
  <c r="BZ602" i="8" s="1"/>
  <c r="CD601" i="8"/>
  <c r="BJ601" i="8"/>
  <c r="BS600" i="8"/>
  <c r="CB599" i="8"/>
  <c r="CJ598" i="8"/>
  <c r="BQ598" i="8"/>
  <c r="BY597" i="8"/>
  <c r="CH596" i="8"/>
  <c r="BO596" i="8"/>
  <c r="BW595" i="8"/>
  <c r="CF594" i="8"/>
  <c r="BK594" i="8"/>
  <c r="BT593" i="8"/>
  <c r="CC592" i="8"/>
  <c r="BI592" i="8"/>
  <c r="BR591" i="8"/>
  <c r="CA590" i="8"/>
  <c r="CI589" i="8"/>
  <c r="BP589" i="8"/>
  <c r="BX588" i="8"/>
  <c r="CG587" i="8"/>
  <c r="BL587" i="8"/>
  <c r="BV586" i="8"/>
  <c r="BZ586" i="8" s="1"/>
  <c r="CD585" i="8"/>
  <c r="BJ585" i="8"/>
  <c r="BS584" i="8"/>
  <c r="CB583" i="8"/>
  <c r="CJ582" i="8"/>
  <c r="BQ582" i="8"/>
  <c r="BY581" i="8"/>
  <c r="CH580" i="8"/>
  <c r="BO580" i="8"/>
  <c r="BW579" i="8"/>
  <c r="CF578" i="8"/>
  <c r="BK578" i="8"/>
  <c r="BT577" i="8"/>
  <c r="CC576" i="8"/>
  <c r="BI576" i="8"/>
  <c r="BR575" i="8"/>
  <c r="CA574" i="8"/>
  <c r="CE574" i="8" s="1"/>
  <c r="CI573" i="8"/>
  <c r="BP573" i="8"/>
  <c r="BX572" i="8"/>
  <c r="CG571" i="8"/>
  <c r="BL571" i="8"/>
  <c r="BV570" i="8"/>
  <c r="BZ570" i="8" s="1"/>
  <c r="CD569" i="8"/>
  <c r="BJ569" i="8"/>
  <c r="BS568" i="8"/>
  <c r="CB567" i="8"/>
  <c r="CJ566" i="8"/>
  <c r="BQ566" i="8"/>
  <c r="BY565" i="8"/>
  <c r="CH564" i="8"/>
  <c r="BO564" i="8"/>
  <c r="BW563" i="8"/>
  <c r="CF562" i="8"/>
  <c r="BK562" i="8"/>
  <c r="BT561" i="8"/>
  <c r="CC560" i="8"/>
  <c r="BI560" i="8"/>
  <c r="BR559" i="8"/>
  <c r="CA558" i="8"/>
  <c r="CI557" i="8"/>
  <c r="BP557" i="8"/>
  <c r="BX556" i="8"/>
  <c r="CG555" i="8"/>
  <c r="BL555" i="8"/>
  <c r="BV554" i="8"/>
  <c r="BZ554" i="8" s="1"/>
  <c r="CD553" i="8"/>
  <c r="BJ553" i="8"/>
  <c r="BS552" i="8"/>
  <c r="CB551" i="8"/>
  <c r="CJ550" i="8"/>
  <c r="BQ550" i="8"/>
  <c r="BY549" i="8"/>
  <c r="CH548" i="8"/>
  <c r="BO548" i="8"/>
  <c r="BW547" i="8"/>
  <c r="CF546" i="8"/>
  <c r="BK546" i="8"/>
  <c r="BT545" i="8"/>
  <c r="CC544" i="8"/>
  <c r="BI544" i="8"/>
  <c r="BR543" i="8"/>
  <c r="CA542" i="8"/>
  <c r="CI541" i="8"/>
  <c r="BP541" i="8"/>
  <c r="BX540" i="8"/>
  <c r="CJ539" i="8"/>
  <c r="CA539" i="8"/>
  <c r="BQ539" i="8"/>
  <c r="CI538" i="8"/>
  <c r="BY538" i="8"/>
  <c r="BP538" i="8"/>
  <c r="CH537" i="8"/>
  <c r="BX537" i="8"/>
  <c r="BO537" i="8"/>
  <c r="CG536" i="8"/>
  <c r="BW536" i="8"/>
  <c r="BL536" i="8"/>
  <c r="CF535" i="8"/>
  <c r="BV535" i="8"/>
  <c r="BZ535" i="8" s="1"/>
  <c r="BK535" i="8"/>
  <c r="CD534" i="8"/>
  <c r="BT534" i="8"/>
  <c r="BJ534" i="8"/>
  <c r="CC533" i="8"/>
  <c r="BS533" i="8"/>
  <c r="BI533" i="8"/>
  <c r="CB532" i="8"/>
  <c r="BR532" i="8"/>
  <c r="CJ531" i="8"/>
  <c r="CA531" i="8"/>
  <c r="BQ531" i="8"/>
  <c r="CI530" i="8"/>
  <c r="BY530" i="8"/>
  <c r="BP530" i="8"/>
  <c r="CH529" i="8"/>
  <c r="BX529" i="8"/>
  <c r="BO529" i="8"/>
  <c r="BU529" i="8" s="1"/>
  <c r="CG528" i="8"/>
  <c r="BW528" i="8"/>
  <c r="BL528" i="8"/>
  <c r="CF527" i="8"/>
  <c r="BV527" i="8"/>
  <c r="BZ527" i="8" s="1"/>
  <c r="BK527" i="8"/>
  <c r="CD526" i="8"/>
  <c r="BT526" i="8"/>
  <c r="BJ526" i="8"/>
  <c r="CC525" i="8"/>
  <c r="BS525" i="8"/>
  <c r="BI525" i="8"/>
  <c r="CB524" i="8"/>
  <c r="BR524" i="8"/>
  <c r="CJ523" i="8"/>
  <c r="CA523" i="8"/>
  <c r="BQ523" i="8"/>
  <c r="CI522" i="8"/>
  <c r="BY522" i="8"/>
  <c r="BP522" i="8"/>
  <c r="CH521" i="8"/>
  <c r="BX521" i="8"/>
  <c r="BO521" i="8"/>
  <c r="CG520" i="8"/>
  <c r="BW520" i="8"/>
  <c r="BL520" i="8"/>
  <c r="CF519" i="8"/>
  <c r="BV519" i="8"/>
  <c r="BZ519" i="8" s="1"/>
  <c r="BK519" i="8"/>
  <c r="CD518" i="8"/>
  <c r="BT518" i="8"/>
  <c r="BJ518" i="8"/>
  <c r="CC517" i="8"/>
  <c r="BS517" i="8"/>
  <c r="BI517" i="8"/>
  <c r="CB516" i="8"/>
  <c r="BR516" i="8"/>
  <c r="CJ515" i="8"/>
  <c r="CA515" i="8"/>
  <c r="CE515" i="8" s="1"/>
  <c r="BQ515" i="8"/>
  <c r="CI514" i="8"/>
  <c r="BY514" i="8"/>
  <c r="BP514" i="8"/>
  <c r="CH513" i="8"/>
  <c r="BX513" i="8"/>
  <c r="BO513" i="8"/>
  <c r="CG512" i="8"/>
  <c r="BW512" i="8"/>
  <c r="BL512" i="8"/>
  <c r="CF511" i="8"/>
  <c r="BV511" i="8"/>
  <c r="BZ511" i="8" s="1"/>
  <c r="BK511" i="8"/>
  <c r="CD510" i="8"/>
  <c r="BT510" i="8"/>
  <c r="BJ510" i="8"/>
  <c r="CC509" i="8"/>
  <c r="BS509" i="8"/>
  <c r="BI509" i="8"/>
  <c r="CB508" i="8"/>
  <c r="BR508" i="8"/>
  <c r="CJ507" i="8"/>
  <c r="CA507" i="8"/>
  <c r="BQ507" i="8"/>
  <c r="CI506" i="8"/>
  <c r="BY506" i="8"/>
  <c r="BP506" i="8"/>
  <c r="CH505" i="8"/>
  <c r="BX505" i="8"/>
  <c r="BO505" i="8"/>
  <c r="CG504" i="8"/>
  <c r="BW504" i="8"/>
  <c r="BL504" i="8"/>
  <c r="CF503" i="8"/>
  <c r="BV503" i="8"/>
  <c r="BZ503" i="8" s="1"/>
  <c r="BK503" i="8"/>
  <c r="CD502" i="8"/>
  <c r="BT502" i="8"/>
  <c r="BJ502" i="8"/>
  <c r="CC501" i="8"/>
  <c r="BS501" i="8"/>
  <c r="BI501" i="8"/>
  <c r="CB500" i="8"/>
  <c r="BR500" i="8"/>
  <c r="CJ499" i="8"/>
  <c r="CA499" i="8"/>
  <c r="BV499" i="8"/>
  <c r="BZ499" i="8" s="1"/>
  <c r="BQ499" i="8"/>
  <c r="BK499" i="8"/>
  <c r="CI498" i="8"/>
  <c r="CD498" i="8"/>
  <c r="BY498" i="8"/>
  <c r="BT498" i="8"/>
  <c r="BP498" i="8"/>
  <c r="BJ498" i="8"/>
  <c r="CH497" i="8"/>
  <c r="CC497" i="8"/>
  <c r="BX497" i="8"/>
  <c r="BS497" i="8"/>
  <c r="BO497" i="8"/>
  <c r="BI497" i="8"/>
  <c r="CG496" i="8"/>
  <c r="CB496" i="8"/>
  <c r="BW496" i="8"/>
  <c r="BR496" i="8"/>
  <c r="BL496" i="8"/>
  <c r="CJ495" i="8"/>
  <c r="CF495" i="8"/>
  <c r="CA495" i="8"/>
  <c r="BV495" i="8"/>
  <c r="BZ495" i="8" s="1"/>
  <c r="BQ495" i="8"/>
  <c r="BK495" i="8"/>
  <c r="CI494" i="8"/>
  <c r="CD494" i="8"/>
  <c r="BY494" i="8"/>
  <c r="BT494" i="8"/>
  <c r="BP494" i="8"/>
  <c r="BJ494" i="8"/>
  <c r="CH493" i="8"/>
  <c r="CC493" i="8"/>
  <c r="BX493" i="8"/>
  <c r="BS493" i="8"/>
  <c r="BO493" i="8"/>
  <c r="BI493" i="8"/>
  <c r="CG492" i="8"/>
  <c r="CB492" i="8"/>
  <c r="BW492" i="8"/>
  <c r="BR492" i="8"/>
  <c r="BL492" i="8"/>
  <c r="CJ491" i="8"/>
  <c r="CF491" i="8"/>
  <c r="CA491" i="8"/>
  <c r="BV491" i="8"/>
  <c r="BZ491" i="8" s="1"/>
  <c r="BQ491" i="8"/>
  <c r="BK491" i="8"/>
  <c r="CI490" i="8"/>
  <c r="CD490" i="8"/>
  <c r="BY490" i="8"/>
  <c r="BT490" i="8"/>
  <c r="BP490" i="8"/>
  <c r="BJ490" i="8"/>
  <c r="CH489" i="8"/>
  <c r="CC489" i="8"/>
  <c r="BX489" i="8"/>
  <c r="BS489" i="8"/>
  <c r="BO489" i="8"/>
  <c r="BI489" i="8"/>
  <c r="CG488" i="8"/>
  <c r="CB488" i="8"/>
  <c r="BW488" i="8"/>
  <c r="BR488" i="8"/>
  <c r="BL488" i="8"/>
  <c r="CJ487" i="8"/>
  <c r="CF487" i="8"/>
  <c r="CA487" i="8"/>
  <c r="BV487" i="8"/>
  <c r="BZ487" i="8" s="1"/>
  <c r="BQ487" i="8"/>
  <c r="BK487" i="8"/>
  <c r="CI486" i="8"/>
  <c r="CD486" i="8"/>
  <c r="BY486" i="8"/>
  <c r="BT486" i="8"/>
  <c r="BP486" i="8"/>
  <c r="BJ486" i="8"/>
  <c r="CH485" i="8"/>
  <c r="CC485" i="8"/>
  <c r="BX485" i="8"/>
  <c r="BS485" i="8"/>
  <c r="BO485" i="8"/>
  <c r="BI485" i="8"/>
  <c r="CG484" i="8"/>
  <c r="CB484" i="8"/>
  <c r="BW484" i="8"/>
  <c r="BR484" i="8"/>
  <c r="BL484" i="8"/>
  <c r="CJ483" i="8"/>
  <c r="CF483" i="8"/>
  <c r="CA483" i="8"/>
  <c r="BV483" i="8"/>
  <c r="BZ483" i="8" s="1"/>
  <c r="BQ483" i="8"/>
  <c r="BK483" i="8"/>
  <c r="CI482" i="8"/>
  <c r="CD482" i="8"/>
  <c r="BY482" i="8"/>
  <c r="BT482" i="8"/>
  <c r="BP482" i="8"/>
  <c r="BJ482" i="8"/>
  <c r="CH481" i="8"/>
  <c r="CC481" i="8"/>
  <c r="BX481" i="8"/>
  <c r="BS481" i="8"/>
  <c r="BO481" i="8"/>
  <c r="BI481" i="8"/>
  <c r="CG480" i="8"/>
  <c r="CB480" i="8"/>
  <c r="BW480" i="8"/>
  <c r="BR480" i="8"/>
  <c r="BL480" i="8"/>
  <c r="CJ479" i="8"/>
  <c r="CF479" i="8"/>
  <c r="CA479" i="8"/>
  <c r="BV479" i="8"/>
  <c r="BZ479" i="8" s="1"/>
  <c r="BQ479" i="8"/>
  <c r="BK479" i="8"/>
  <c r="CI478" i="8"/>
  <c r="CD478" i="8"/>
  <c r="BY478" i="8"/>
  <c r="BT478" i="8"/>
  <c r="BP478" i="8"/>
  <c r="BJ478" i="8"/>
  <c r="CH477" i="8"/>
  <c r="CC477" i="8"/>
  <c r="BX477" i="8"/>
  <c r="BS477" i="8"/>
  <c r="BO477" i="8"/>
  <c r="BI477" i="8"/>
  <c r="CG476" i="8"/>
  <c r="CB476" i="8"/>
  <c r="BW476" i="8"/>
  <c r="BR476" i="8"/>
  <c r="BL476" i="8"/>
  <c r="CJ475" i="8"/>
  <c r="CF475" i="8"/>
  <c r="CA475" i="8"/>
  <c r="BV475" i="8"/>
  <c r="BZ475" i="8" s="1"/>
  <c r="BQ475" i="8"/>
  <c r="BK475" i="8"/>
  <c r="CI474" i="8"/>
  <c r="CD474" i="8"/>
  <c r="BY474" i="8"/>
  <c r="BT474" i="8"/>
  <c r="BP474" i="8"/>
  <c r="BJ474" i="8"/>
  <c r="CH473" i="8"/>
  <c r="CC473" i="8"/>
  <c r="BX473" i="8"/>
  <c r="BS473" i="8"/>
  <c r="BO473" i="8"/>
  <c r="BI473" i="8"/>
  <c r="CG472" i="8"/>
  <c r="CB472" i="8"/>
  <c r="BW472" i="8"/>
  <c r="BR472" i="8"/>
  <c r="BL472" i="8"/>
  <c r="CJ471" i="8"/>
  <c r="CF471" i="8"/>
  <c r="CA471" i="8"/>
  <c r="BV471" i="8"/>
  <c r="BZ471" i="8" s="1"/>
  <c r="BQ471" i="8"/>
  <c r="BK471" i="8"/>
  <c r="CI470" i="8"/>
  <c r="CD470" i="8"/>
  <c r="BY470" i="8"/>
  <c r="BT470" i="8"/>
  <c r="BP470" i="8"/>
  <c r="BJ470" i="8"/>
  <c r="CH469" i="8"/>
  <c r="CC469" i="8"/>
  <c r="BX469" i="8"/>
  <c r="BS469" i="8"/>
  <c r="BO469" i="8"/>
  <c r="BI469" i="8"/>
  <c r="CG468" i="8"/>
  <c r="CB468" i="8"/>
  <c r="BW468" i="8"/>
  <c r="BR468" i="8"/>
  <c r="BL468" i="8"/>
  <c r="CJ467" i="8"/>
  <c r="CF467" i="8"/>
  <c r="CA467" i="8"/>
  <c r="BV467" i="8"/>
  <c r="BZ467" i="8" s="1"/>
  <c r="BQ467" i="8"/>
  <c r="BK467" i="8"/>
  <c r="CI466" i="8"/>
  <c r="CD466" i="8"/>
  <c r="BY466" i="8"/>
  <c r="BT466" i="8"/>
  <c r="BP466" i="8"/>
  <c r="BJ466" i="8"/>
  <c r="CH465" i="8"/>
  <c r="CC465" i="8"/>
  <c r="BX465" i="8"/>
  <c r="BS465" i="8"/>
  <c r="BO465" i="8"/>
  <c r="BI465" i="8"/>
  <c r="CG464" i="8"/>
  <c r="CB464" i="8"/>
  <c r="BW464" i="8"/>
  <c r="BR464" i="8"/>
  <c r="BL464" i="8"/>
  <c r="CJ463" i="8"/>
  <c r="CF463" i="8"/>
  <c r="CA463" i="8"/>
  <c r="BV463" i="8"/>
  <c r="BZ463" i="8" s="1"/>
  <c r="BQ463" i="8"/>
  <c r="BK463" i="8"/>
  <c r="CI462" i="8"/>
  <c r="CD462" i="8"/>
  <c r="BY462" i="8"/>
  <c r="BT462" i="8"/>
  <c r="BP462" i="8"/>
  <c r="BJ462" i="8"/>
  <c r="CH461" i="8"/>
  <c r="CC461" i="8"/>
  <c r="BX461" i="8"/>
  <c r="BS461" i="8"/>
  <c r="BO461" i="8"/>
  <c r="BI461" i="8"/>
  <c r="CG460" i="8"/>
  <c r="CB460" i="8"/>
  <c r="BW460" i="8"/>
  <c r="BR460" i="8"/>
  <c r="BL460" i="8"/>
  <c r="CJ459" i="8"/>
  <c r="CF459" i="8"/>
  <c r="CA459" i="8"/>
  <c r="BV459" i="8"/>
  <c r="BQ459" i="8"/>
  <c r="BK459" i="8"/>
  <c r="CI458" i="8"/>
  <c r="CD458" i="8"/>
  <c r="BY458" i="8"/>
  <c r="BT458" i="8"/>
  <c r="BP458" i="8"/>
  <c r="BJ458" i="8"/>
  <c r="CH457" i="8"/>
  <c r="CC457" i="8"/>
  <c r="BX457" i="8"/>
  <c r="BS457" i="8"/>
  <c r="BO457" i="8"/>
  <c r="BI457" i="8"/>
  <c r="CG456" i="8"/>
  <c r="CB456" i="8"/>
  <c r="BW456" i="8"/>
  <c r="BR456" i="8"/>
  <c r="BL456" i="8"/>
  <c r="CJ455" i="8"/>
  <c r="CF455" i="8"/>
  <c r="CA455" i="8"/>
  <c r="BV455" i="8"/>
  <c r="BZ455" i="8" s="1"/>
  <c r="BQ455" i="8"/>
  <c r="BK455" i="8"/>
  <c r="CI454" i="8"/>
  <c r="CD454" i="8"/>
  <c r="BY454" i="8"/>
  <c r="BT454" i="8"/>
  <c r="BP454" i="8"/>
  <c r="BJ454" i="8"/>
  <c r="CH453" i="8"/>
  <c r="CC453" i="8"/>
  <c r="BX453" i="8"/>
  <c r="BS453" i="8"/>
  <c r="BO453" i="8"/>
  <c r="BI453" i="8"/>
  <c r="CG452" i="8"/>
  <c r="CB452" i="8"/>
  <c r="BW452" i="8"/>
  <c r="BR452" i="8"/>
  <c r="BL452" i="8"/>
  <c r="CJ451" i="8"/>
  <c r="CF451" i="8"/>
  <c r="CA451" i="8"/>
  <c r="BV451" i="8"/>
  <c r="BZ451" i="8" s="1"/>
  <c r="BQ451" i="8"/>
  <c r="BK451" i="8"/>
  <c r="CI450" i="8"/>
  <c r="CD450" i="8"/>
  <c r="BY450" i="8"/>
  <c r="BT450" i="8"/>
  <c r="BP450" i="8"/>
  <c r="BJ450" i="8"/>
  <c r="CH449" i="8"/>
  <c r="CC449" i="8"/>
  <c r="BX449" i="8"/>
  <c r="BS449" i="8"/>
  <c r="BO449" i="8"/>
  <c r="BI449" i="8"/>
  <c r="CG448" i="8"/>
  <c r="CB448" i="8"/>
  <c r="BW448" i="8"/>
  <c r="BR448" i="8"/>
  <c r="BL448" i="8"/>
  <c r="CJ447" i="8"/>
  <c r="CF447" i="8"/>
  <c r="CA447" i="8"/>
  <c r="BV447" i="8"/>
  <c r="BZ447" i="8" s="1"/>
  <c r="BQ447" i="8"/>
  <c r="BK447" i="8"/>
  <c r="CI446" i="8"/>
  <c r="CD446" i="8"/>
  <c r="BY446" i="8"/>
  <c r="BT446" i="8"/>
  <c r="BP446" i="8"/>
  <c r="BJ446" i="8"/>
  <c r="CH445" i="8"/>
  <c r="CC445" i="8"/>
  <c r="BX445" i="8"/>
  <c r="BS445" i="8"/>
  <c r="BO445" i="8"/>
  <c r="BI445" i="8"/>
  <c r="CG444" i="8"/>
  <c r="CB444" i="8"/>
  <c r="BW444" i="8"/>
  <c r="BR444" i="8"/>
  <c r="BL444" i="8"/>
  <c r="CJ443" i="8"/>
  <c r="CF443" i="8"/>
  <c r="CA443" i="8"/>
  <c r="BV443" i="8"/>
  <c r="BZ443" i="8" s="1"/>
  <c r="BQ443" i="8"/>
  <c r="BK443" i="8"/>
  <c r="CI442" i="8"/>
  <c r="CD442" i="8"/>
  <c r="BY442" i="8"/>
  <c r="BT442" i="8"/>
  <c r="BP442" i="8"/>
  <c r="BJ442" i="8"/>
  <c r="CH441" i="8"/>
  <c r="CC441" i="8"/>
  <c r="BX441" i="8"/>
  <c r="BS441" i="8"/>
  <c r="BO441" i="8"/>
  <c r="BI441" i="8"/>
  <c r="CG440" i="8"/>
  <c r="CB440" i="8"/>
  <c r="BW440" i="8"/>
  <c r="BR440" i="8"/>
  <c r="BL440" i="8"/>
  <c r="CJ439" i="8"/>
  <c r="CF439" i="8"/>
  <c r="CA439" i="8"/>
  <c r="BV439" i="8"/>
  <c r="BZ439" i="8" s="1"/>
  <c r="BQ439" i="8"/>
  <c r="BK439" i="8"/>
  <c r="CI438" i="8"/>
  <c r="CD438" i="8"/>
  <c r="BY438" i="8"/>
  <c r="BT438" i="8"/>
  <c r="BP438" i="8"/>
  <c r="BJ438" i="8"/>
  <c r="CH437" i="8"/>
  <c r="CC437" i="8"/>
  <c r="BX437" i="8"/>
  <c r="BS437" i="8"/>
  <c r="BO437" i="8"/>
  <c r="BI437" i="8"/>
  <c r="CG436" i="8"/>
  <c r="CB436" i="8"/>
  <c r="BW436" i="8"/>
  <c r="BR436" i="8"/>
  <c r="BL436" i="8"/>
  <c r="CJ435" i="8"/>
  <c r="CF435" i="8"/>
  <c r="CA435" i="8"/>
  <c r="BV435" i="8"/>
  <c r="BZ435" i="8" s="1"/>
  <c r="BQ435" i="8"/>
  <c r="BK435" i="8"/>
  <c r="CI434" i="8"/>
  <c r="CD434" i="8"/>
  <c r="BY434" i="8"/>
  <c r="BT434" i="8"/>
  <c r="BP434" i="8"/>
  <c r="BJ434" i="8"/>
  <c r="CH433" i="8"/>
  <c r="CC433" i="8"/>
  <c r="BX433" i="8"/>
  <c r="BS433" i="8"/>
  <c r="BO433" i="8"/>
  <c r="BI433" i="8"/>
  <c r="CG432" i="8"/>
  <c r="CB432" i="8"/>
  <c r="BW432" i="8"/>
  <c r="BR432" i="8"/>
  <c r="BL432" i="8"/>
  <c r="CJ431" i="8"/>
  <c r="CF431" i="8"/>
  <c r="CA431" i="8"/>
  <c r="BV431" i="8"/>
  <c r="BZ431" i="8" s="1"/>
  <c r="BQ431" i="8"/>
  <c r="BK431" i="8"/>
  <c r="CI430" i="8"/>
  <c r="CD430" i="8"/>
  <c r="BY430" i="8"/>
  <c r="BT430" i="8"/>
  <c r="BP430" i="8"/>
  <c r="BJ430" i="8"/>
  <c r="CH429" i="8"/>
  <c r="CC429" i="8"/>
  <c r="BX429" i="8"/>
  <c r="BS429" i="8"/>
  <c r="BO429" i="8"/>
  <c r="BI429" i="8"/>
  <c r="CG428" i="8"/>
  <c r="CB428" i="8"/>
  <c r="BW428" i="8"/>
  <c r="BR428" i="8"/>
  <c r="BL428" i="8"/>
  <c r="CJ427" i="8"/>
  <c r="CF427" i="8"/>
  <c r="CA427" i="8"/>
  <c r="BV427" i="8"/>
  <c r="BZ427" i="8" s="1"/>
  <c r="BQ427" i="8"/>
  <c r="BK427" i="8"/>
  <c r="CI426" i="8"/>
  <c r="CD426" i="8"/>
  <c r="BY426" i="8"/>
  <c r="BT426" i="8"/>
  <c r="BP426" i="8"/>
  <c r="BJ426" i="8"/>
  <c r="CH425" i="8"/>
  <c r="CC425" i="8"/>
  <c r="BX425" i="8"/>
  <c r="BS425" i="8"/>
  <c r="BO425" i="8"/>
  <c r="BI425" i="8"/>
  <c r="CG424" i="8"/>
  <c r="CB424" i="8"/>
  <c r="BW424" i="8"/>
  <c r="BR424" i="8"/>
  <c r="BL424" i="8"/>
  <c r="CJ423" i="8"/>
  <c r="CF423" i="8"/>
  <c r="CA423" i="8"/>
  <c r="BV423" i="8"/>
  <c r="BQ423" i="8"/>
  <c r="BK423" i="8"/>
  <c r="CI422" i="8"/>
  <c r="CD422" i="8"/>
  <c r="BY422" i="8"/>
  <c r="BT422" i="8"/>
  <c r="BP422" i="8"/>
  <c r="BJ422" i="8"/>
  <c r="CH421" i="8"/>
  <c r="CC421" i="8"/>
  <c r="BX421" i="8"/>
  <c r="BS421" i="8"/>
  <c r="BO421" i="8"/>
  <c r="BI421" i="8"/>
  <c r="CG420" i="8"/>
  <c r="CB420" i="8"/>
  <c r="BW420" i="8"/>
  <c r="BR420" i="8"/>
  <c r="BL420" i="8"/>
  <c r="CJ419" i="8"/>
  <c r="CF419" i="8"/>
  <c r="CA419" i="8"/>
  <c r="BV419" i="8"/>
  <c r="BQ419" i="8"/>
  <c r="BK419" i="8"/>
  <c r="CI418" i="8"/>
  <c r="CD418" i="8"/>
  <c r="BY418" i="8"/>
  <c r="BT418" i="8"/>
  <c r="BP418" i="8"/>
  <c r="BJ418" i="8"/>
  <c r="CH417" i="8"/>
  <c r="CC417" i="8"/>
  <c r="BX417" i="8"/>
  <c r="BS417" i="8"/>
  <c r="BO417" i="8"/>
  <c r="BI417" i="8"/>
  <c r="CG416" i="8"/>
  <c r="CB416" i="8"/>
  <c r="BW416" i="8"/>
  <c r="BR416" i="8"/>
  <c r="BL416" i="8"/>
  <c r="CJ415" i="8"/>
  <c r="CF415" i="8"/>
  <c r="CA415" i="8"/>
  <c r="BV415" i="8"/>
  <c r="BQ415" i="8"/>
  <c r="BK415" i="8"/>
  <c r="CI414" i="8"/>
  <c r="CD414" i="8"/>
  <c r="BY414" i="8"/>
  <c r="BT414" i="8"/>
  <c r="BP414" i="8"/>
  <c r="BJ414" i="8"/>
  <c r="CH413" i="8"/>
  <c r="CC413" i="8"/>
  <c r="BX413" i="8"/>
  <c r="BS413" i="8"/>
  <c r="BO413" i="8"/>
  <c r="BI413" i="8"/>
  <c r="CG412" i="8"/>
  <c r="CB412" i="8"/>
  <c r="BW412" i="8"/>
  <c r="BR412" i="8"/>
  <c r="BL412" i="8"/>
  <c r="CJ411" i="8"/>
  <c r="CF411" i="8"/>
  <c r="CA411" i="8"/>
  <c r="BV411" i="8"/>
  <c r="BQ411" i="8"/>
  <c r="BK411" i="8"/>
  <c r="CI410" i="8"/>
  <c r="CD410" i="8"/>
  <c r="BY410" i="8"/>
  <c r="BT410" i="8"/>
  <c r="BP410" i="8"/>
  <c r="BJ410" i="8"/>
  <c r="CH409" i="8"/>
  <c r="CC409" i="8"/>
  <c r="BX409" i="8"/>
  <c r="BS409" i="8"/>
  <c r="BO409" i="8"/>
  <c r="BI409" i="8"/>
  <c r="CG408" i="8"/>
  <c r="CB408" i="8"/>
  <c r="BW408" i="8"/>
  <c r="BR408" i="8"/>
  <c r="BL408" i="8"/>
  <c r="CJ407" i="8"/>
  <c r="CF407" i="8"/>
  <c r="CA407" i="8"/>
  <c r="BV407" i="8"/>
  <c r="BQ407" i="8"/>
  <c r="BK407" i="8"/>
  <c r="CI406" i="8"/>
  <c r="CD406" i="8"/>
  <c r="BY406" i="8"/>
  <c r="BT406" i="8"/>
  <c r="BP406" i="8"/>
  <c r="BJ406" i="8"/>
  <c r="CH405" i="8"/>
  <c r="CC405" i="8"/>
  <c r="BX405" i="8"/>
  <c r="BS405" i="8"/>
  <c r="BO405" i="8"/>
  <c r="BI405" i="8"/>
  <c r="CG404" i="8"/>
  <c r="CB404" i="8"/>
  <c r="BW404" i="8"/>
  <c r="BR404" i="8"/>
  <c r="BL404" i="8"/>
  <c r="CJ403" i="8"/>
  <c r="CF403" i="8"/>
  <c r="CA403" i="8"/>
  <c r="BV403" i="8"/>
  <c r="BQ403" i="8"/>
  <c r="BK403" i="8"/>
  <c r="CI402" i="8"/>
  <c r="CD402" i="8"/>
  <c r="BY402" i="8"/>
  <c r="BT402" i="8"/>
  <c r="BP402" i="8"/>
  <c r="BJ402" i="8"/>
  <c r="CH401" i="8"/>
  <c r="CC401" i="8"/>
  <c r="BX401" i="8"/>
  <c r="BS401" i="8"/>
  <c r="BO401" i="8"/>
  <c r="BI401" i="8"/>
  <c r="CG400" i="8"/>
  <c r="CB400" i="8"/>
  <c r="BW400" i="8"/>
  <c r="BR400" i="8"/>
  <c r="BL400" i="8"/>
  <c r="CJ399" i="8"/>
  <c r="CF399" i="8"/>
  <c r="CA399" i="8"/>
  <c r="BV399" i="8"/>
  <c r="BQ399" i="8"/>
  <c r="BK399" i="8"/>
  <c r="CI398" i="8"/>
  <c r="CD398" i="8"/>
  <c r="BY398" i="8"/>
  <c r="BT398" i="8"/>
  <c r="BP398" i="8"/>
  <c r="BJ398" i="8"/>
  <c r="CH397" i="8"/>
  <c r="CC397" i="8"/>
  <c r="BX397" i="8"/>
  <c r="BS397" i="8"/>
  <c r="BO397" i="8"/>
  <c r="BI397" i="8"/>
  <c r="CG396" i="8"/>
  <c r="CB396" i="8"/>
  <c r="BW396" i="8"/>
  <c r="BR396" i="8"/>
  <c r="BL396" i="8"/>
  <c r="CJ395" i="8"/>
  <c r="CF395" i="8"/>
  <c r="CA395" i="8"/>
  <c r="BV395" i="8"/>
  <c r="BQ395" i="8"/>
  <c r="BK395" i="8"/>
  <c r="CI394" i="8"/>
  <c r="CD394" i="8"/>
  <c r="BY394" i="8"/>
  <c r="BT394" i="8"/>
  <c r="BP394" i="8"/>
  <c r="BJ394" i="8"/>
  <c r="CH393" i="8"/>
  <c r="CC393" i="8"/>
  <c r="BX393" i="8"/>
  <c r="BS393" i="8"/>
  <c r="BO393" i="8"/>
  <c r="BI393" i="8"/>
  <c r="CG392" i="8"/>
  <c r="CB392" i="8"/>
  <c r="BW392" i="8"/>
  <c r="BR392" i="8"/>
  <c r="BL392" i="8"/>
  <c r="CJ391" i="8"/>
  <c r="CF391" i="8"/>
  <c r="CA391" i="8"/>
  <c r="BV391" i="8"/>
  <c r="BQ391" i="8"/>
  <c r="BK391" i="8"/>
  <c r="CI390" i="8"/>
  <c r="CD390" i="8"/>
  <c r="BY390" i="8"/>
  <c r="BT390" i="8"/>
  <c r="BP390" i="8"/>
  <c r="BJ390" i="8"/>
  <c r="CH389" i="8"/>
  <c r="CC389" i="8"/>
  <c r="BX389" i="8"/>
  <c r="BS389" i="8"/>
  <c r="BO389" i="8"/>
  <c r="BI389" i="8"/>
  <c r="CG388" i="8"/>
  <c r="CB388" i="8"/>
  <c r="BW388" i="8"/>
  <c r="BR388" i="8"/>
  <c r="BL388" i="8"/>
  <c r="CJ387" i="8"/>
  <c r="CF387" i="8"/>
  <c r="CA387" i="8"/>
  <c r="BV387" i="8"/>
  <c r="BZ387" i="8" s="1"/>
  <c r="BQ387" i="8"/>
  <c r="BK387" i="8"/>
  <c r="CI386" i="8"/>
  <c r="CD386" i="8"/>
  <c r="BY386" i="8"/>
  <c r="BT386" i="8"/>
  <c r="BP386" i="8"/>
  <c r="BJ386" i="8"/>
  <c r="CH385" i="8"/>
  <c r="CC385" i="8"/>
  <c r="BX385" i="8"/>
  <c r="BS385" i="8"/>
  <c r="BO385" i="8"/>
  <c r="BI385" i="8"/>
  <c r="CG384" i="8"/>
  <c r="CB384" i="8"/>
  <c r="BW384" i="8"/>
  <c r="BR384" i="8"/>
  <c r="BL384" i="8"/>
  <c r="CJ383" i="8"/>
  <c r="CF383" i="8"/>
  <c r="CA383" i="8"/>
  <c r="BV383" i="8"/>
  <c r="BQ383" i="8"/>
  <c r="BK383" i="8"/>
  <c r="CI382" i="8"/>
  <c r="CD382" i="8"/>
  <c r="BY382" i="8"/>
  <c r="BT382" i="8"/>
  <c r="BP382" i="8"/>
  <c r="BJ382" i="8"/>
  <c r="CH381" i="8"/>
  <c r="CC381" i="8"/>
  <c r="BX381" i="8"/>
  <c r="BS381" i="8"/>
  <c r="BO381" i="8"/>
  <c r="BI381" i="8"/>
  <c r="CG380" i="8"/>
  <c r="CB380" i="8"/>
  <c r="BW380" i="8"/>
  <c r="BR380" i="8"/>
  <c r="BL380" i="8"/>
  <c r="CJ379" i="8"/>
  <c r="CF379" i="8"/>
  <c r="CA379" i="8"/>
  <c r="BV379" i="8"/>
  <c r="BZ379" i="8" s="1"/>
  <c r="BQ379" i="8"/>
  <c r="BK379" i="8"/>
  <c r="CI378" i="8"/>
  <c r="CD378" i="8"/>
  <c r="BY378" i="8"/>
  <c r="BT378" i="8"/>
  <c r="BP378" i="8"/>
  <c r="BJ378" i="8"/>
  <c r="CH377" i="8"/>
  <c r="CC377" i="8"/>
  <c r="BX377" i="8"/>
  <c r="BS377" i="8"/>
  <c r="BO377" i="8"/>
  <c r="BI377" i="8"/>
  <c r="CG376" i="8"/>
  <c r="CB376" i="8"/>
  <c r="BW376" i="8"/>
  <c r="BR376" i="8"/>
  <c r="BL376" i="8"/>
  <c r="CJ375" i="8"/>
  <c r="CF375" i="8"/>
  <c r="CA375" i="8"/>
  <c r="BV375" i="8"/>
  <c r="BZ375" i="8" s="1"/>
  <c r="BQ375" i="8"/>
  <c r="BK375" i="8"/>
  <c r="CI374" i="8"/>
  <c r="CD374" i="8"/>
  <c r="BY374" i="8"/>
  <c r="BT374" i="8"/>
  <c r="BP374" i="8"/>
  <c r="BJ374" i="8"/>
  <c r="CH373" i="8"/>
  <c r="CC373" i="8"/>
  <c r="BX373" i="8"/>
  <c r="BS373" i="8"/>
  <c r="BO373" i="8"/>
  <c r="BI373" i="8"/>
  <c r="CG372" i="8"/>
  <c r="CB372" i="8"/>
  <c r="BW372" i="8"/>
  <c r="BR372" i="8"/>
  <c r="BL372" i="8"/>
  <c r="CJ371" i="8"/>
  <c r="CF371" i="8"/>
  <c r="CA371" i="8"/>
  <c r="BV371" i="8"/>
  <c r="BZ371" i="8" s="1"/>
  <c r="BQ371" i="8"/>
  <c r="BK371" i="8"/>
  <c r="CI370" i="8"/>
  <c r="CD370" i="8"/>
  <c r="BY370" i="8"/>
  <c r="BT370" i="8"/>
  <c r="BP370" i="8"/>
  <c r="BJ370" i="8"/>
  <c r="CH369" i="8"/>
  <c r="CC369" i="8"/>
  <c r="BX369" i="8"/>
  <c r="BS369" i="8"/>
  <c r="BO369" i="8"/>
  <c r="BI369" i="8"/>
  <c r="CG368" i="8"/>
  <c r="CB368" i="8"/>
  <c r="BW368" i="8"/>
  <c r="BR368" i="8"/>
  <c r="BL368" i="8"/>
  <c r="CJ367" i="8"/>
  <c r="CF367" i="8"/>
  <c r="CA367" i="8"/>
  <c r="BV367" i="8"/>
  <c r="BZ367" i="8" s="1"/>
  <c r="BQ367" i="8"/>
  <c r="BK367" i="8"/>
  <c r="CI366" i="8"/>
  <c r="CD366" i="8"/>
  <c r="BY366" i="8"/>
  <c r="BT366" i="8"/>
  <c r="BP366" i="8"/>
  <c r="BJ366" i="8"/>
  <c r="CH365" i="8"/>
  <c r="CC365" i="8"/>
  <c r="BX365" i="8"/>
  <c r="BS365" i="8"/>
  <c r="BO365" i="8"/>
  <c r="BI365" i="8"/>
  <c r="CG364" i="8"/>
  <c r="CB364" i="8"/>
  <c r="BW364" i="8"/>
  <c r="BR364" i="8"/>
  <c r="BL364" i="8"/>
  <c r="CJ363" i="8"/>
  <c r="CF363" i="8"/>
  <c r="CA363" i="8"/>
  <c r="BV363" i="8"/>
  <c r="BZ363" i="8" s="1"/>
  <c r="BQ363" i="8"/>
  <c r="BK363" i="8"/>
  <c r="CI362" i="8"/>
  <c r="CD362" i="8"/>
  <c r="BY362" i="8"/>
  <c r="BT362" i="8"/>
  <c r="BP362" i="8"/>
  <c r="BJ362" i="8"/>
  <c r="CH361" i="8"/>
  <c r="CC361" i="8"/>
  <c r="BX361" i="8"/>
  <c r="BS361" i="8"/>
  <c r="BO361" i="8"/>
  <c r="BI361" i="8"/>
  <c r="CG360" i="8"/>
  <c r="CB360" i="8"/>
  <c r="BW360" i="8"/>
  <c r="BR360" i="8"/>
  <c r="BL360" i="8"/>
  <c r="CJ359" i="8"/>
  <c r="CF359" i="8"/>
  <c r="CA359" i="8"/>
  <c r="BV359" i="8"/>
  <c r="BZ359" i="8" s="1"/>
  <c r="BQ359" i="8"/>
  <c r="BK359" i="8"/>
  <c r="CI358" i="8"/>
  <c r="CD358" i="8"/>
  <c r="BY358" i="8"/>
  <c r="BT358" i="8"/>
  <c r="BP358" i="8"/>
  <c r="BJ358" i="8"/>
  <c r="CH357" i="8"/>
  <c r="CC357" i="8"/>
  <c r="BX357" i="8"/>
  <c r="BS357" i="8"/>
  <c r="BO357" i="8"/>
  <c r="BI357" i="8"/>
  <c r="CG356" i="8"/>
  <c r="CB356" i="8"/>
  <c r="BW356" i="8"/>
  <c r="BR356" i="8"/>
  <c r="BL356" i="8"/>
  <c r="CJ355" i="8"/>
  <c r="CF355" i="8"/>
  <c r="CA355" i="8"/>
  <c r="BV355" i="8"/>
  <c r="BZ355" i="8" s="1"/>
  <c r="BQ355" i="8"/>
  <c r="BK355" i="8"/>
  <c r="CI354" i="8"/>
  <c r="CD354" i="8"/>
  <c r="BY354" i="8"/>
  <c r="BT354" i="8"/>
  <c r="BP354" i="8"/>
  <c r="BJ354" i="8"/>
  <c r="CH353" i="8"/>
  <c r="CC353" i="8"/>
  <c r="BX353" i="8"/>
  <c r="BS353" i="8"/>
  <c r="BO353" i="8"/>
  <c r="BI353" i="8"/>
  <c r="CG352" i="8"/>
  <c r="CB352" i="8"/>
  <c r="BW352" i="8"/>
  <c r="BR352" i="8"/>
  <c r="BL352" i="8"/>
  <c r="CJ351" i="8"/>
  <c r="CF351" i="8"/>
  <c r="CA351" i="8"/>
  <c r="BV351" i="8"/>
  <c r="BZ351" i="8" s="1"/>
  <c r="BQ351" i="8"/>
  <c r="BK351" i="8"/>
  <c r="CI350" i="8"/>
  <c r="CD350" i="8"/>
  <c r="BY350" i="8"/>
  <c r="BT350" i="8"/>
  <c r="BP350" i="8"/>
  <c r="BJ350" i="8"/>
  <c r="CH349" i="8"/>
  <c r="CC349" i="8"/>
  <c r="BX349" i="8"/>
  <c r="BS349" i="8"/>
  <c r="BO349" i="8"/>
  <c r="BI349" i="8"/>
  <c r="CG348" i="8"/>
  <c r="CB348" i="8"/>
  <c r="BW348" i="8"/>
  <c r="BR348" i="8"/>
  <c r="BL348" i="8"/>
  <c r="CJ347" i="8"/>
  <c r="CF347" i="8"/>
  <c r="CA347" i="8"/>
  <c r="BV347" i="8"/>
  <c r="BZ347" i="8" s="1"/>
  <c r="BQ347" i="8"/>
  <c r="BK347" i="8"/>
  <c r="CI346" i="8"/>
  <c r="CD346" i="8"/>
  <c r="BY346" i="8"/>
  <c r="BT346" i="8"/>
  <c r="BP346" i="8"/>
  <c r="BJ346" i="8"/>
  <c r="CH345" i="8"/>
  <c r="CC345" i="8"/>
  <c r="BX345" i="8"/>
  <c r="BS345" i="8"/>
  <c r="BO345" i="8"/>
  <c r="BI345" i="8"/>
  <c r="CG344" i="8"/>
  <c r="CB344" i="8"/>
  <c r="BW344" i="8"/>
  <c r="BR344" i="8"/>
  <c r="BL344" i="8"/>
  <c r="CJ343" i="8"/>
  <c r="CF343" i="8"/>
  <c r="CA343" i="8"/>
  <c r="BV343" i="8"/>
  <c r="BZ343" i="8" s="1"/>
  <c r="BQ343" i="8"/>
  <c r="BK343" i="8"/>
  <c r="CI342" i="8"/>
  <c r="CD342" i="8"/>
  <c r="BY342" i="8"/>
  <c r="BT342" i="8"/>
  <c r="BP342" i="8"/>
  <c r="BJ342" i="8"/>
  <c r="CH341" i="8"/>
  <c r="CC341" i="8"/>
  <c r="BX341" i="8"/>
  <c r="BS341" i="8"/>
  <c r="BO341" i="8"/>
  <c r="BI341" i="8"/>
  <c r="CG340" i="8"/>
  <c r="CB340" i="8"/>
  <c r="BW340" i="8"/>
  <c r="BR340" i="8"/>
  <c r="BL340" i="8"/>
  <c r="CJ339" i="8"/>
  <c r="CF339" i="8"/>
  <c r="CA339" i="8"/>
  <c r="BV339" i="8"/>
  <c r="BZ339" i="8" s="1"/>
  <c r="BQ339" i="8"/>
  <c r="BK339" i="8"/>
  <c r="CI338" i="8"/>
  <c r="CD338" i="8"/>
  <c r="BY338" i="8"/>
  <c r="BT338" i="8"/>
  <c r="BP338" i="8"/>
  <c r="BJ338" i="8"/>
  <c r="CH337" i="8"/>
  <c r="CC337" i="8"/>
  <c r="BX337" i="8"/>
  <c r="BS337" i="8"/>
  <c r="BO337" i="8"/>
  <c r="BI337" i="8"/>
  <c r="CG336" i="8"/>
  <c r="CB336" i="8"/>
  <c r="BW336" i="8"/>
  <c r="BR336" i="8"/>
  <c r="BL336" i="8"/>
  <c r="CJ335" i="8"/>
  <c r="CF335" i="8"/>
  <c r="CA335" i="8"/>
  <c r="BV335" i="8"/>
  <c r="BZ335" i="8" s="1"/>
  <c r="BQ335" i="8"/>
  <c r="BK335" i="8"/>
  <c r="CI334" i="8"/>
  <c r="CD334" i="8"/>
  <c r="BY334" i="8"/>
  <c r="BT334" i="8"/>
  <c r="BP334" i="8"/>
  <c r="BJ334" i="8"/>
  <c r="CH333" i="8"/>
  <c r="CC333" i="8"/>
  <c r="BX333" i="8"/>
  <c r="BS333" i="8"/>
  <c r="BO333" i="8"/>
  <c r="BI333" i="8"/>
  <c r="CG332" i="8"/>
  <c r="CB332" i="8"/>
  <c r="BW332" i="8"/>
  <c r="BR332" i="8"/>
  <c r="BL332" i="8"/>
  <c r="CJ331" i="8"/>
  <c r="CF331" i="8"/>
  <c r="CA331" i="8"/>
  <c r="BV331" i="8"/>
  <c r="BZ331" i="8" s="1"/>
  <c r="BQ331" i="8"/>
  <c r="BK331" i="8"/>
  <c r="CI330" i="8"/>
  <c r="CD330" i="8"/>
  <c r="BY330" i="8"/>
  <c r="BT330" i="8"/>
  <c r="BP330" i="8"/>
  <c r="BJ330" i="8"/>
  <c r="CH329" i="8"/>
  <c r="CC329" i="8"/>
  <c r="BX329" i="8"/>
  <c r="BS329" i="8"/>
  <c r="BO329" i="8"/>
  <c r="BI329" i="8"/>
  <c r="CG328" i="8"/>
  <c r="CB328" i="8"/>
  <c r="BW328" i="8"/>
  <c r="BR328" i="8"/>
  <c r="BL328" i="8"/>
  <c r="CJ327" i="8"/>
  <c r="CF327" i="8"/>
  <c r="CA327" i="8"/>
  <c r="BV327" i="8"/>
  <c r="BZ327" i="8" s="1"/>
  <c r="BQ327" i="8"/>
  <c r="BK327" i="8"/>
  <c r="CI326" i="8"/>
  <c r="CD326" i="8"/>
  <c r="BY326" i="8"/>
  <c r="BT326" i="8"/>
  <c r="BP326" i="8"/>
  <c r="BJ326" i="8"/>
  <c r="CH325" i="8"/>
  <c r="CC325" i="8"/>
  <c r="BX325" i="8"/>
  <c r="BS325" i="8"/>
  <c r="BO325" i="8"/>
  <c r="BI325" i="8"/>
  <c r="CG324" i="8"/>
  <c r="CB324" i="8"/>
  <c r="BW324" i="8"/>
  <c r="BR324" i="8"/>
  <c r="BL324" i="8"/>
  <c r="CJ323" i="8"/>
  <c r="CF323" i="8"/>
  <c r="CA323" i="8"/>
  <c r="BV323" i="8"/>
  <c r="BZ323" i="8" s="1"/>
  <c r="BQ323" i="8"/>
  <c r="BK323" i="8"/>
  <c r="CI322" i="8"/>
  <c r="CD322" i="8"/>
  <c r="BY322" i="8"/>
  <c r="BT322" i="8"/>
  <c r="BP322" i="8"/>
  <c r="BJ322" i="8"/>
  <c r="CH321" i="8"/>
  <c r="CC321" i="8"/>
  <c r="BX321" i="8"/>
  <c r="BS321" i="8"/>
  <c r="BO321" i="8"/>
  <c r="BI321" i="8"/>
  <c r="CG320" i="8"/>
  <c r="CB320" i="8"/>
  <c r="BW320" i="8"/>
  <c r="BR320" i="8"/>
  <c r="BL320" i="8"/>
  <c r="CJ319" i="8"/>
  <c r="CF319" i="8"/>
  <c r="CA319" i="8"/>
  <c r="BV319" i="8"/>
  <c r="BZ319" i="8" s="1"/>
  <c r="BQ319" i="8"/>
  <c r="BK319" i="8"/>
  <c r="CI318" i="8"/>
  <c r="CD318" i="8"/>
  <c r="BY318" i="8"/>
  <c r="BT318" i="8"/>
  <c r="BP318" i="8"/>
  <c r="BJ318" i="8"/>
  <c r="CH317" i="8"/>
  <c r="CC317" i="8"/>
  <c r="BX317" i="8"/>
  <c r="BS317" i="8"/>
  <c r="BO317" i="8"/>
  <c r="BI317" i="8"/>
  <c r="CG316" i="8"/>
  <c r="CB316" i="8"/>
  <c r="BW316" i="8"/>
  <c r="BR316" i="8"/>
  <c r="BL316" i="8"/>
  <c r="CJ315" i="8"/>
  <c r="CF315" i="8"/>
  <c r="CA315" i="8"/>
  <c r="BV315" i="8"/>
  <c r="BZ315" i="8" s="1"/>
  <c r="BQ315" i="8"/>
  <c r="BK315" i="8"/>
  <c r="CI314" i="8"/>
  <c r="CD314" i="8"/>
  <c r="BY314" i="8"/>
  <c r="BT314" i="8"/>
  <c r="BP314" i="8"/>
  <c r="BJ314" i="8"/>
  <c r="CH313" i="8"/>
  <c r="CC313" i="8"/>
  <c r="BX313" i="8"/>
  <c r="BS313" i="8"/>
  <c r="BO313" i="8"/>
  <c r="BI313" i="8"/>
  <c r="CG312" i="8"/>
  <c r="CB312" i="8"/>
  <c r="BW312" i="8"/>
  <c r="BR312" i="8"/>
  <c r="BL312" i="8"/>
  <c r="BJ829" i="8"/>
  <c r="CI763" i="8"/>
  <c r="BJ727" i="8"/>
  <c r="CF704" i="8"/>
  <c r="BS692" i="8"/>
  <c r="BP681" i="8"/>
  <c r="BK670" i="8"/>
  <c r="CJ658" i="8"/>
  <c r="BV650" i="8"/>
  <c r="BZ650" i="8" s="1"/>
  <c r="CH644" i="8"/>
  <c r="BR639" i="8"/>
  <c r="CD633" i="8"/>
  <c r="BO628" i="8"/>
  <c r="CA622" i="8"/>
  <c r="CJ618" i="8"/>
  <c r="BO616" i="8"/>
  <c r="BT613" i="8"/>
  <c r="CA610" i="8"/>
  <c r="CG607" i="8"/>
  <c r="BJ605" i="8"/>
  <c r="BQ602" i="8"/>
  <c r="BW599" i="8"/>
  <c r="CC596" i="8"/>
  <c r="CI593" i="8"/>
  <c r="BL591" i="8"/>
  <c r="BS588" i="8"/>
  <c r="BY585" i="8"/>
  <c r="CF582" i="8"/>
  <c r="BI580" i="8"/>
  <c r="BP577" i="8"/>
  <c r="BV574" i="8"/>
  <c r="BZ574" i="8" s="1"/>
  <c r="CB571" i="8"/>
  <c r="CH568" i="8"/>
  <c r="BK566" i="8"/>
  <c r="BR563" i="8"/>
  <c r="BX560" i="8"/>
  <c r="CD557" i="8"/>
  <c r="CJ554" i="8"/>
  <c r="BO552" i="8"/>
  <c r="BT549" i="8"/>
  <c r="CA546" i="8"/>
  <c r="CE546" i="8" s="1"/>
  <c r="CG543" i="8"/>
  <c r="BJ541" i="8"/>
  <c r="BW539" i="8"/>
  <c r="CF538" i="8"/>
  <c r="BK538" i="8"/>
  <c r="BT537" i="8"/>
  <c r="CC536" i="8"/>
  <c r="BI536" i="8"/>
  <c r="BR535" i="8"/>
  <c r="CA534" i="8"/>
  <c r="CI533" i="8"/>
  <c r="BP533" i="8"/>
  <c r="BX532" i="8"/>
  <c r="CG531" i="8"/>
  <c r="BL531" i="8"/>
  <c r="BV530" i="8"/>
  <c r="BZ530" i="8" s="1"/>
  <c r="CD529" i="8"/>
  <c r="BJ529" i="8"/>
  <c r="BS528" i="8"/>
  <c r="CB527" i="8"/>
  <c r="CJ526" i="8"/>
  <c r="BQ526" i="8"/>
  <c r="BY525" i="8"/>
  <c r="CH524" i="8"/>
  <c r="BO524" i="8"/>
  <c r="BW523" i="8"/>
  <c r="CF522" i="8"/>
  <c r="BK522" i="8"/>
  <c r="BT521" i="8"/>
  <c r="CC520" i="8"/>
  <c r="BI520" i="8"/>
  <c r="BR519" i="8"/>
  <c r="CA518" i="8"/>
  <c r="CI517" i="8"/>
  <c r="BP517" i="8"/>
  <c r="BX516" i="8"/>
  <c r="CG515" i="8"/>
  <c r="BL515" i="8"/>
  <c r="BV514" i="8"/>
  <c r="BZ514" i="8" s="1"/>
  <c r="CD513" i="8"/>
  <c r="BJ513" i="8"/>
  <c r="BS512" i="8"/>
  <c r="CB511" i="8"/>
  <c r="CJ510" i="8"/>
  <c r="BQ510" i="8"/>
  <c r="BY509" i="8"/>
  <c r="CH508" i="8"/>
  <c r="BO508" i="8"/>
  <c r="BW507" i="8"/>
  <c r="CF506" i="8"/>
  <c r="BK506" i="8"/>
  <c r="BT505" i="8"/>
  <c r="CC504" i="8"/>
  <c r="BI504" i="8"/>
  <c r="BR503" i="8"/>
  <c r="CA502" i="8"/>
  <c r="CE502" i="8" s="1"/>
  <c r="CI501" i="8"/>
  <c r="BP501" i="8"/>
  <c r="BX500" i="8"/>
  <c r="CG499" i="8"/>
  <c r="BT499" i="8"/>
  <c r="BJ499" i="8"/>
  <c r="CC498" i="8"/>
  <c r="BS498" i="8"/>
  <c r="BI498" i="8"/>
  <c r="CB497" i="8"/>
  <c r="BR497" i="8"/>
  <c r="CJ496" i="8"/>
  <c r="CA496" i="8"/>
  <c r="BQ496" i="8"/>
  <c r="CI495" i="8"/>
  <c r="BY495" i="8"/>
  <c r="BP495" i="8"/>
  <c r="CH494" i="8"/>
  <c r="BX494" i="8"/>
  <c r="BO494" i="8"/>
  <c r="CG493" i="8"/>
  <c r="BW493" i="8"/>
  <c r="BL493" i="8"/>
  <c r="CF492" i="8"/>
  <c r="BV492" i="8"/>
  <c r="BZ492" i="8" s="1"/>
  <c r="BK492" i="8"/>
  <c r="CD491" i="8"/>
  <c r="BT491" i="8"/>
  <c r="BJ491" i="8"/>
  <c r="CC490" i="8"/>
  <c r="BS490" i="8"/>
  <c r="BI490" i="8"/>
  <c r="CB489" i="8"/>
  <c r="BR489" i="8"/>
  <c r="CJ488" i="8"/>
  <c r="CA488" i="8"/>
  <c r="CE488" i="8" s="1"/>
  <c r="BQ488" i="8"/>
  <c r="CI487" i="8"/>
  <c r="BY487" i="8"/>
  <c r="BP487" i="8"/>
  <c r="CH486" i="8"/>
  <c r="BX486" i="8"/>
  <c r="BO486" i="8"/>
  <c r="CG485" i="8"/>
  <c r="BW485" i="8"/>
  <c r="BL485" i="8"/>
  <c r="CF484" i="8"/>
  <c r="BV484" i="8"/>
  <c r="BZ484" i="8" s="1"/>
  <c r="BK484" i="8"/>
  <c r="CD483" i="8"/>
  <c r="BT483" i="8"/>
  <c r="BJ483" i="8"/>
  <c r="CC482" i="8"/>
  <c r="BS482" i="8"/>
  <c r="BI482" i="8"/>
  <c r="CB481" i="8"/>
  <c r="BR481" i="8"/>
  <c r="CJ480" i="8"/>
  <c r="CA480" i="8"/>
  <c r="BQ480" i="8"/>
  <c r="CI479" i="8"/>
  <c r="BY479" i="8"/>
  <c r="BP479" i="8"/>
  <c r="CH478" i="8"/>
  <c r="BX478" i="8"/>
  <c r="BO478" i="8"/>
  <c r="CG477" i="8"/>
  <c r="BW477" i="8"/>
  <c r="BL477" i="8"/>
  <c r="CF476" i="8"/>
  <c r="BV476" i="8"/>
  <c r="BZ476" i="8" s="1"/>
  <c r="BK476" i="8"/>
  <c r="CD475" i="8"/>
  <c r="BT475" i="8"/>
  <c r="BJ475" i="8"/>
  <c r="CC474" i="8"/>
  <c r="BS474" i="8"/>
  <c r="BI474" i="8"/>
  <c r="CB473" i="8"/>
  <c r="BR473" i="8"/>
  <c r="CJ472" i="8"/>
  <c r="CA472" i="8"/>
  <c r="BQ472" i="8"/>
  <c r="CI471" i="8"/>
  <c r="BY471" i="8"/>
  <c r="BP471" i="8"/>
  <c r="CH470" i="8"/>
  <c r="BX470" i="8"/>
  <c r="BO470" i="8"/>
  <c r="CG469" i="8"/>
  <c r="BW469" i="8"/>
  <c r="BL469" i="8"/>
  <c r="CF468" i="8"/>
  <c r="BV468" i="8"/>
  <c r="BZ468" i="8" s="1"/>
  <c r="BK468" i="8"/>
  <c r="CD467" i="8"/>
  <c r="BT467" i="8"/>
  <c r="BJ467" i="8"/>
  <c r="CC466" i="8"/>
  <c r="BS466" i="8"/>
  <c r="BI466" i="8"/>
  <c r="CB465" i="8"/>
  <c r="BR465" i="8"/>
  <c r="CJ464" i="8"/>
  <c r="CA464" i="8"/>
  <c r="BQ464" i="8"/>
  <c r="CI463" i="8"/>
  <c r="BY463" i="8"/>
  <c r="BP463" i="8"/>
  <c r="CH462" i="8"/>
  <c r="BX462" i="8"/>
  <c r="BO462" i="8"/>
  <c r="CG461" i="8"/>
  <c r="BW461" i="8"/>
  <c r="BL461" i="8"/>
  <c r="CF460" i="8"/>
  <c r="BV460" i="8"/>
  <c r="BK460" i="8"/>
  <c r="CD459" i="8"/>
  <c r="BT459" i="8"/>
  <c r="BJ459" i="8"/>
  <c r="CC458" i="8"/>
  <c r="BS458" i="8"/>
  <c r="BI458" i="8"/>
  <c r="CB457" i="8"/>
  <c r="BR457" i="8"/>
  <c r="CJ456" i="8"/>
  <c r="CA456" i="8"/>
  <c r="CE456" i="8" s="1"/>
  <c r="BQ456" i="8"/>
  <c r="CI455" i="8"/>
  <c r="BY455" i="8"/>
  <c r="BP455" i="8"/>
  <c r="CH454" i="8"/>
  <c r="BX454" i="8"/>
  <c r="BO454" i="8"/>
  <c r="CG453" i="8"/>
  <c r="BW453" i="8"/>
  <c r="BL453" i="8"/>
  <c r="CF452" i="8"/>
  <c r="BV452" i="8"/>
  <c r="BZ452" i="8" s="1"/>
  <c r="BK452" i="8"/>
  <c r="CD451" i="8"/>
  <c r="BT451" i="8"/>
  <c r="BJ451" i="8"/>
  <c r="CC450" i="8"/>
  <c r="BS450" i="8"/>
  <c r="BI450" i="8"/>
  <c r="CB449" i="8"/>
  <c r="BR449" i="8"/>
  <c r="CJ448" i="8"/>
  <c r="CA448" i="8"/>
  <c r="BQ448" i="8"/>
  <c r="CI447" i="8"/>
  <c r="BY447" i="8"/>
  <c r="BP447" i="8"/>
  <c r="CH446" i="8"/>
  <c r="BX446" i="8"/>
  <c r="BO446" i="8"/>
  <c r="CG445" i="8"/>
  <c r="BW445" i="8"/>
  <c r="BL445" i="8"/>
  <c r="CF444" i="8"/>
  <c r="BV444" i="8"/>
  <c r="BZ444" i="8" s="1"/>
  <c r="BK444" i="8"/>
  <c r="CD443" i="8"/>
  <c r="BT443" i="8"/>
  <c r="BJ443" i="8"/>
  <c r="CC442" i="8"/>
  <c r="BS442" i="8"/>
  <c r="BI442" i="8"/>
  <c r="CB441" i="8"/>
  <c r="BR441" i="8"/>
  <c r="CJ440" i="8"/>
  <c r="CA440" i="8"/>
  <c r="BQ440" i="8"/>
  <c r="CI439" i="8"/>
  <c r="BY439" i="8"/>
  <c r="BP439" i="8"/>
  <c r="CH438" i="8"/>
  <c r="BX438" i="8"/>
  <c r="BO438" i="8"/>
  <c r="CG437" i="8"/>
  <c r="BW437" i="8"/>
  <c r="BL437" i="8"/>
  <c r="CF436" i="8"/>
  <c r="BV436" i="8"/>
  <c r="BZ436" i="8" s="1"/>
  <c r="BK436" i="8"/>
  <c r="CD435" i="8"/>
  <c r="BT435" i="8"/>
  <c r="BJ435" i="8"/>
  <c r="CC434" i="8"/>
  <c r="BS434" i="8"/>
  <c r="BI434" i="8"/>
  <c r="CB433" i="8"/>
  <c r="BR433" i="8"/>
  <c r="CJ432" i="8"/>
  <c r="CA432" i="8"/>
  <c r="BQ432" i="8"/>
  <c r="CI431" i="8"/>
  <c r="BY431" i="8"/>
  <c r="BP431" i="8"/>
  <c r="CH430" i="8"/>
  <c r="BX430" i="8"/>
  <c r="BO430" i="8"/>
  <c r="CG429" i="8"/>
  <c r="BW429" i="8"/>
  <c r="BL429" i="8"/>
  <c r="CF428" i="8"/>
  <c r="BV428" i="8"/>
  <c r="BZ428" i="8" s="1"/>
  <c r="BK428" i="8"/>
  <c r="CD427" i="8"/>
  <c r="BT427" i="8"/>
  <c r="BJ427" i="8"/>
  <c r="CC426" i="8"/>
  <c r="BS426" i="8"/>
  <c r="BI426" i="8"/>
  <c r="CB425" i="8"/>
  <c r="BR425" i="8"/>
  <c r="CJ424" i="8"/>
  <c r="CA424" i="8"/>
  <c r="CE424" i="8" s="1"/>
  <c r="BQ424" i="8"/>
  <c r="CI423" i="8"/>
  <c r="BY423" i="8"/>
  <c r="BP423" i="8"/>
  <c r="CH422" i="8"/>
  <c r="BX422" i="8"/>
  <c r="BO422" i="8"/>
  <c r="CG421" i="8"/>
  <c r="BW421" i="8"/>
  <c r="BL421" i="8"/>
  <c r="CF420" i="8"/>
  <c r="BV420" i="8"/>
  <c r="BZ420" i="8" s="1"/>
  <c r="BK420" i="8"/>
  <c r="CD419" i="8"/>
  <c r="BT419" i="8"/>
  <c r="BJ419" i="8"/>
  <c r="CC418" i="8"/>
  <c r="BS418" i="8"/>
  <c r="BI418" i="8"/>
  <c r="CB417" i="8"/>
  <c r="BR417" i="8"/>
  <c r="CJ416" i="8"/>
  <c r="CA416" i="8"/>
  <c r="BQ416" i="8"/>
  <c r="CI415" i="8"/>
  <c r="BY415" i="8"/>
  <c r="BP415" i="8"/>
  <c r="CH414" i="8"/>
  <c r="BX414" i="8"/>
  <c r="BO414" i="8"/>
  <c r="CG413" i="8"/>
  <c r="BW413" i="8"/>
  <c r="BL413" i="8"/>
  <c r="CF412" i="8"/>
  <c r="BV412" i="8"/>
  <c r="BK412" i="8"/>
  <c r="CD411" i="8"/>
  <c r="BT411" i="8"/>
  <c r="BJ411" i="8"/>
  <c r="CC410" i="8"/>
  <c r="BS410" i="8"/>
  <c r="BI410" i="8"/>
  <c r="CB409" i="8"/>
  <c r="BR409" i="8"/>
  <c r="CJ408" i="8"/>
  <c r="CA408" i="8"/>
  <c r="BQ408" i="8"/>
  <c r="CI407" i="8"/>
  <c r="BY407" i="8"/>
  <c r="BP407" i="8"/>
  <c r="CH406" i="8"/>
  <c r="BX406" i="8"/>
  <c r="BO406" i="8"/>
  <c r="CG405" i="8"/>
  <c r="BW405" i="8"/>
  <c r="BL405" i="8"/>
  <c r="CF404" i="8"/>
  <c r="BV404" i="8"/>
  <c r="BK404" i="8"/>
  <c r="CD403" i="8"/>
  <c r="BT403" i="8"/>
  <c r="BJ403" i="8"/>
  <c r="CC402" i="8"/>
  <c r="BS402" i="8"/>
  <c r="BI402" i="8"/>
  <c r="CB401" i="8"/>
  <c r="BR401" i="8"/>
  <c r="CJ400" i="8"/>
  <c r="CA400" i="8"/>
  <c r="BQ400" i="8"/>
  <c r="CI399" i="8"/>
  <c r="BY399" i="8"/>
  <c r="BP399" i="8"/>
  <c r="CH398" i="8"/>
  <c r="BX398" i="8"/>
  <c r="BO398" i="8"/>
  <c r="CG397" i="8"/>
  <c r="BW397" i="8"/>
  <c r="BL397" i="8"/>
  <c r="CF396" i="8"/>
  <c r="BV396" i="8"/>
  <c r="BK396" i="8"/>
  <c r="CD395" i="8"/>
  <c r="BT395" i="8"/>
  <c r="BJ395" i="8"/>
  <c r="CC394" i="8"/>
  <c r="BS394" i="8"/>
  <c r="BI394" i="8"/>
  <c r="CB393" i="8"/>
  <c r="BR393" i="8"/>
  <c r="CJ392" i="8"/>
  <c r="CA392" i="8"/>
  <c r="CE392" i="8" s="1"/>
  <c r="BQ392" i="8"/>
  <c r="CI391" i="8"/>
  <c r="BY391" i="8"/>
  <c r="BP391" i="8"/>
  <c r="CH390" i="8"/>
  <c r="BX390" i="8"/>
  <c r="BO390" i="8"/>
  <c r="CG389" i="8"/>
  <c r="BW389" i="8"/>
  <c r="BL389" i="8"/>
  <c r="CF388" i="8"/>
  <c r="BV388" i="8"/>
  <c r="BK388" i="8"/>
  <c r="CD387" i="8"/>
  <c r="BT387" i="8"/>
  <c r="BJ387" i="8"/>
  <c r="CC386" i="8"/>
  <c r="BS386" i="8"/>
  <c r="BI386" i="8"/>
  <c r="CB385" i="8"/>
  <c r="BR385" i="8"/>
  <c r="CJ384" i="8"/>
  <c r="CA384" i="8"/>
  <c r="BQ384" i="8"/>
  <c r="CI383" i="8"/>
  <c r="BY383" i="8"/>
  <c r="BP383" i="8"/>
  <c r="CH382" i="8"/>
  <c r="BX382" i="8"/>
  <c r="BO382" i="8"/>
  <c r="CG381" i="8"/>
  <c r="BW381" i="8"/>
  <c r="BL381" i="8"/>
  <c r="CF380" i="8"/>
  <c r="BV380" i="8"/>
  <c r="BK380" i="8"/>
  <c r="CD379" i="8"/>
  <c r="BT379" i="8"/>
  <c r="BJ379" i="8"/>
  <c r="CC378" i="8"/>
  <c r="BS378" i="8"/>
  <c r="BI378" i="8"/>
  <c r="CB377" i="8"/>
  <c r="BR377" i="8"/>
  <c r="CJ376" i="8"/>
  <c r="CA376" i="8"/>
  <c r="BQ376" i="8"/>
  <c r="CI375" i="8"/>
  <c r="BY375" i="8"/>
  <c r="BP375" i="8"/>
  <c r="CH374" i="8"/>
  <c r="BX374" i="8"/>
  <c r="BO374" i="8"/>
  <c r="CG373" i="8"/>
  <c r="BW373" i="8"/>
  <c r="BL373" i="8"/>
  <c r="CF372" i="8"/>
  <c r="BV372" i="8"/>
  <c r="BZ372" i="8" s="1"/>
  <c r="BK372" i="8"/>
  <c r="CD371" i="8"/>
  <c r="BT371" i="8"/>
  <c r="BJ371" i="8"/>
  <c r="CC370" i="8"/>
  <c r="BS370" i="8"/>
  <c r="BI370" i="8"/>
  <c r="CB369" i="8"/>
  <c r="BR369" i="8"/>
  <c r="CJ368" i="8"/>
  <c r="CA368" i="8"/>
  <c r="BQ368" i="8"/>
  <c r="CI367" i="8"/>
  <c r="BY367" i="8"/>
  <c r="BP367" i="8"/>
  <c r="CH366" i="8"/>
  <c r="BX366" i="8"/>
  <c r="BO366" i="8"/>
  <c r="CG365" i="8"/>
  <c r="BW365" i="8"/>
  <c r="BL365" i="8"/>
  <c r="CF364" i="8"/>
  <c r="BV364" i="8"/>
  <c r="BZ364" i="8" s="1"/>
  <c r="BK364" i="8"/>
  <c r="CD363" i="8"/>
  <c r="BT363" i="8"/>
  <c r="BJ363" i="8"/>
  <c r="CC362" i="8"/>
  <c r="BS362" i="8"/>
  <c r="BI362" i="8"/>
  <c r="CB361" i="8"/>
  <c r="BR361" i="8"/>
  <c r="CJ360" i="8"/>
  <c r="CA360" i="8"/>
  <c r="CE360" i="8" s="1"/>
  <c r="BQ360" i="8"/>
  <c r="CI359" i="8"/>
  <c r="BY359" i="8"/>
  <c r="BP359" i="8"/>
  <c r="CH358" i="8"/>
  <c r="BX358" i="8"/>
  <c r="BO358" i="8"/>
  <c r="CG357" i="8"/>
  <c r="BW357" i="8"/>
  <c r="BL357" i="8"/>
  <c r="CF356" i="8"/>
  <c r="BV356" i="8"/>
  <c r="BZ356" i="8" s="1"/>
  <c r="BK356" i="8"/>
  <c r="CD355" i="8"/>
  <c r="BT355" i="8"/>
  <c r="BJ355" i="8"/>
  <c r="CC354" i="8"/>
  <c r="BS354" i="8"/>
  <c r="BI354" i="8"/>
  <c r="CB353" i="8"/>
  <c r="BR353" i="8"/>
  <c r="CJ352" i="8"/>
  <c r="CA352" i="8"/>
  <c r="BQ352" i="8"/>
  <c r="CI351" i="8"/>
  <c r="BY351" i="8"/>
  <c r="BP351" i="8"/>
  <c r="CH350" i="8"/>
  <c r="BX350" i="8"/>
  <c r="BO350" i="8"/>
  <c r="CG349" i="8"/>
  <c r="BW349" i="8"/>
  <c r="BL349" i="8"/>
  <c r="CF348" i="8"/>
  <c r="BV348" i="8"/>
  <c r="BZ348" i="8" s="1"/>
  <c r="BK348" i="8"/>
  <c r="CD347" i="8"/>
  <c r="BT347" i="8"/>
  <c r="BJ347" i="8"/>
  <c r="CC346" i="8"/>
  <c r="BS346" i="8"/>
  <c r="BI346" i="8"/>
  <c r="CB345" i="8"/>
  <c r="BR345" i="8"/>
  <c r="CJ344" i="8"/>
  <c r="CA344" i="8"/>
  <c r="BQ344" i="8"/>
  <c r="CI343" i="8"/>
  <c r="BY343" i="8"/>
  <c r="BP343" i="8"/>
  <c r="CH342" i="8"/>
  <c r="BX342" i="8"/>
  <c r="BO342" i="8"/>
  <c r="CG341" i="8"/>
  <c r="BW341" i="8"/>
  <c r="BL341" i="8"/>
  <c r="CF340" i="8"/>
  <c r="BV340" i="8"/>
  <c r="BK340" i="8"/>
  <c r="CD339" i="8"/>
  <c r="BT339" i="8"/>
  <c r="BJ339" i="8"/>
  <c r="CC338" i="8"/>
  <c r="BS338" i="8"/>
  <c r="BI338" i="8"/>
  <c r="CB337" i="8"/>
  <c r="BR337" i="8"/>
  <c r="CJ336" i="8"/>
  <c r="CA336" i="8"/>
  <c r="BQ336" i="8"/>
  <c r="CI335" i="8"/>
  <c r="BY335" i="8"/>
  <c r="BP335" i="8"/>
  <c r="CH334" i="8"/>
  <c r="BX334" i="8"/>
  <c r="BO334" i="8"/>
  <c r="CG333" i="8"/>
  <c r="BW333" i="8"/>
  <c r="BL333" i="8"/>
  <c r="CF332" i="8"/>
  <c r="BV332" i="8"/>
  <c r="BZ332" i="8" s="1"/>
  <c r="BK332" i="8"/>
  <c r="CD331" i="8"/>
  <c r="BT331" i="8"/>
  <c r="BJ331" i="8"/>
  <c r="CC330" i="8"/>
  <c r="BS330" i="8"/>
  <c r="BI330" i="8"/>
  <c r="CB329" i="8"/>
  <c r="BR329" i="8"/>
  <c r="CJ328" i="8"/>
  <c r="CA328" i="8"/>
  <c r="CE328" i="8" s="1"/>
  <c r="BQ328" i="8"/>
  <c r="CI327" i="8"/>
  <c r="BY327" i="8"/>
  <c r="BP327" i="8"/>
  <c r="CH326" i="8"/>
  <c r="BX326" i="8"/>
  <c r="BO326" i="8"/>
  <c r="CG325" i="8"/>
  <c r="BW325" i="8"/>
  <c r="BL325" i="8"/>
  <c r="CF324" i="8"/>
  <c r="BV324" i="8"/>
  <c r="BZ324" i="8" s="1"/>
  <c r="BK324" i="8"/>
  <c r="CD323" i="8"/>
  <c r="BT323" i="8"/>
  <c r="BJ323" i="8"/>
  <c r="CC322" i="8"/>
  <c r="BS322" i="8"/>
  <c r="BI322" i="8"/>
  <c r="CB321" i="8"/>
  <c r="BR321" i="8"/>
  <c r="CJ320" i="8"/>
  <c r="CA320" i="8"/>
  <c r="BQ320" i="8"/>
  <c r="CI319" i="8"/>
  <c r="BY319" i="8"/>
  <c r="BP319" i="8"/>
  <c r="CH318" i="8"/>
  <c r="BX318" i="8"/>
  <c r="BQ318" i="8"/>
  <c r="BI318" i="8"/>
  <c r="CF317" i="8"/>
  <c r="BY317" i="8"/>
  <c r="BR317" i="8"/>
  <c r="BK317" i="8"/>
  <c r="CH316" i="8"/>
  <c r="CA316" i="8"/>
  <c r="BT316" i="8"/>
  <c r="BO316" i="8"/>
  <c r="CI315" i="8"/>
  <c r="CC315" i="8"/>
  <c r="BW315" i="8"/>
  <c r="BP315" i="8"/>
  <c r="BI315" i="8"/>
  <c r="CF314" i="8"/>
  <c r="BX314" i="8"/>
  <c r="BR314" i="8"/>
  <c r="BK314" i="8"/>
  <c r="CG313" i="8"/>
  <c r="CA313" i="8"/>
  <c r="BT313" i="8"/>
  <c r="BL313" i="8"/>
  <c r="CI312" i="8"/>
  <c r="CC312" i="8"/>
  <c r="BV312" i="8"/>
  <c r="BZ312" i="8" s="1"/>
  <c r="BP312" i="8"/>
  <c r="BI312" i="8"/>
  <c r="CG311" i="8"/>
  <c r="CB311" i="8"/>
  <c r="BW311" i="8"/>
  <c r="BR311" i="8"/>
  <c r="BL311" i="8"/>
  <c r="CJ310" i="8"/>
  <c r="CF310" i="8"/>
  <c r="CA310" i="8"/>
  <c r="BV310" i="8"/>
  <c r="BZ310" i="8" s="1"/>
  <c r="BQ310" i="8"/>
  <c r="BK310" i="8"/>
  <c r="CI309" i="8"/>
  <c r="CD309" i="8"/>
  <c r="BY309" i="8"/>
  <c r="BT309" i="8"/>
  <c r="BP309" i="8"/>
  <c r="BJ309" i="8"/>
  <c r="CH308" i="8"/>
  <c r="CC308" i="8"/>
  <c r="BX308" i="8"/>
  <c r="BS308" i="8"/>
  <c r="BO308" i="8"/>
  <c r="BI308" i="8"/>
  <c r="CG307" i="8"/>
  <c r="CB307" i="8"/>
  <c r="BW307" i="8"/>
  <c r="BR307" i="8"/>
  <c r="BL307" i="8"/>
  <c r="CJ306" i="8"/>
  <c r="CF306" i="8"/>
  <c r="CA306" i="8"/>
  <c r="BV306" i="8"/>
  <c r="BZ306" i="8" s="1"/>
  <c r="BQ306" i="8"/>
  <c r="BK306" i="8"/>
  <c r="CI305" i="8"/>
  <c r="CD305" i="8"/>
  <c r="BY305" i="8"/>
  <c r="BT305" i="8"/>
  <c r="BP305" i="8"/>
  <c r="BJ305" i="8"/>
  <c r="CH304" i="8"/>
  <c r="CC304" i="8"/>
  <c r="BX304" i="8"/>
  <c r="BS304" i="8"/>
  <c r="BO304" i="8"/>
  <c r="BI304" i="8"/>
  <c r="CG303" i="8"/>
  <c r="CB303" i="8"/>
  <c r="BW303" i="8"/>
  <c r="BR303" i="8"/>
  <c r="BL303" i="8"/>
  <c r="CJ302" i="8"/>
  <c r="CF302" i="8"/>
  <c r="CA302" i="8"/>
  <c r="BV302" i="8"/>
  <c r="BZ302" i="8" s="1"/>
  <c r="BQ302" i="8"/>
  <c r="BK302" i="8"/>
  <c r="CI301" i="8"/>
  <c r="CD301" i="8"/>
  <c r="BY301" i="8"/>
  <c r="BT301" i="8"/>
  <c r="BP301" i="8"/>
  <c r="BJ301" i="8"/>
  <c r="CH300" i="8"/>
  <c r="CC300" i="8"/>
  <c r="BX300" i="8"/>
  <c r="BS300" i="8"/>
  <c r="BO300" i="8"/>
  <c r="BI300" i="8"/>
  <c r="CG299" i="8"/>
  <c r="CB299" i="8"/>
  <c r="BW299" i="8"/>
  <c r="BR299" i="8"/>
  <c r="BL299" i="8"/>
  <c r="CJ298" i="8"/>
  <c r="CF298" i="8"/>
  <c r="CA298" i="8"/>
  <c r="BV298" i="8"/>
  <c r="BZ298" i="8" s="1"/>
  <c r="BQ298" i="8"/>
  <c r="BK298" i="8"/>
  <c r="CI297" i="8"/>
  <c r="CD297" i="8"/>
  <c r="BY297" i="8"/>
  <c r="BT297" i="8"/>
  <c r="BP297" i="8"/>
  <c r="BJ297" i="8"/>
  <c r="CH296" i="8"/>
  <c r="CC296" i="8"/>
  <c r="BX296" i="8"/>
  <c r="BS296" i="8"/>
  <c r="BO296" i="8"/>
  <c r="BI296" i="8"/>
  <c r="CG295" i="8"/>
  <c r="CB295" i="8"/>
  <c r="BW295" i="8"/>
  <c r="BR295" i="8"/>
  <c r="BL295" i="8"/>
  <c r="CJ294" i="8"/>
  <c r="CF294" i="8"/>
  <c r="CA294" i="8"/>
  <c r="BV294" i="8"/>
  <c r="BZ294" i="8" s="1"/>
  <c r="BQ294" i="8"/>
  <c r="BK294" i="8"/>
  <c r="CI293" i="8"/>
  <c r="CD293" i="8"/>
  <c r="BY293" i="8"/>
  <c r="BT293" i="8"/>
  <c r="BP293" i="8"/>
  <c r="BJ293" i="8"/>
  <c r="CH292" i="8"/>
  <c r="CC292" i="8"/>
  <c r="BX292" i="8"/>
  <c r="BS292" i="8"/>
  <c r="BO292" i="8"/>
  <c r="BI292" i="8"/>
  <c r="CG291" i="8"/>
  <c r="CB291" i="8"/>
  <c r="BW291" i="8"/>
  <c r="BR291" i="8"/>
  <c r="BL291" i="8"/>
  <c r="CJ290" i="8"/>
  <c r="CF290" i="8"/>
  <c r="CA290" i="8"/>
  <c r="BV290" i="8"/>
  <c r="BZ290" i="8" s="1"/>
  <c r="BQ290" i="8"/>
  <c r="BK290" i="8"/>
  <c r="CI289" i="8"/>
  <c r="CD289" i="8"/>
  <c r="BY289" i="8"/>
  <c r="BT289" i="8"/>
  <c r="BP289" i="8"/>
  <c r="BJ289" i="8"/>
  <c r="CH288" i="8"/>
  <c r="CC288" i="8"/>
  <c r="BX288" i="8"/>
  <c r="BS288" i="8"/>
  <c r="BO288" i="8"/>
  <c r="BI288" i="8"/>
  <c r="CG287" i="8"/>
  <c r="CB287" i="8"/>
  <c r="BW287" i="8"/>
  <c r="BR287" i="8"/>
  <c r="BL287" i="8"/>
  <c r="CJ286" i="8"/>
  <c r="CF286" i="8"/>
  <c r="CA286" i="8"/>
  <c r="BV286" i="8"/>
  <c r="BZ286" i="8" s="1"/>
  <c r="BQ286" i="8"/>
  <c r="BK286" i="8"/>
  <c r="CI285" i="8"/>
  <c r="CD285" i="8"/>
  <c r="BY285" i="8"/>
  <c r="BT285" i="8"/>
  <c r="BP285" i="8"/>
  <c r="BJ285" i="8"/>
  <c r="CH284" i="8"/>
  <c r="CC284" i="8"/>
  <c r="BX284" i="8"/>
  <c r="BS284" i="8"/>
  <c r="BO284" i="8"/>
  <c r="BI284" i="8"/>
  <c r="CG283" i="8"/>
  <c r="CB283" i="8"/>
  <c r="BW283" i="8"/>
  <c r="BR283" i="8"/>
  <c r="BL283" i="8"/>
  <c r="CJ282" i="8"/>
  <c r="CF282" i="8"/>
  <c r="CA282" i="8"/>
  <c r="BV282" i="8"/>
  <c r="BZ282" i="8" s="1"/>
  <c r="BQ282" i="8"/>
  <c r="BK282" i="8"/>
  <c r="CI281" i="8"/>
  <c r="CD281" i="8"/>
  <c r="BY281" i="8"/>
  <c r="BT281" i="8"/>
  <c r="BP281" i="8"/>
  <c r="BJ281" i="8"/>
  <c r="CH280" i="8"/>
  <c r="CC280" i="8"/>
  <c r="BX280" i="8"/>
  <c r="BS280" i="8"/>
  <c r="BO280" i="8"/>
  <c r="BI280" i="8"/>
  <c r="CG279" i="8"/>
  <c r="CB279" i="8"/>
  <c r="BW279" i="8"/>
  <c r="BR279" i="8"/>
  <c r="BL279" i="8"/>
  <c r="CJ278" i="8"/>
  <c r="CF278" i="8"/>
  <c r="CA278" i="8"/>
  <c r="BV278" i="8"/>
  <c r="BQ278" i="8"/>
  <c r="BK278" i="8"/>
  <c r="CI277" i="8"/>
  <c r="CD277" i="8"/>
  <c r="BY277" i="8"/>
  <c r="BT277" i="8"/>
  <c r="BP277" i="8"/>
  <c r="BJ277" i="8"/>
  <c r="CH276" i="8"/>
  <c r="CC276" i="8"/>
  <c r="BX276" i="8"/>
  <c r="BS276" i="8"/>
  <c r="BO276" i="8"/>
  <c r="BI276" i="8"/>
  <c r="CG275" i="8"/>
  <c r="CB275" i="8"/>
  <c r="BW275" i="8"/>
  <c r="BR275" i="8"/>
  <c r="BL275" i="8"/>
  <c r="CJ274" i="8"/>
  <c r="CF274" i="8"/>
  <c r="CA274" i="8"/>
  <c r="BV274" i="8"/>
  <c r="BQ274" i="8"/>
  <c r="BK274" i="8"/>
  <c r="CI273" i="8"/>
  <c r="CD273" i="8"/>
  <c r="BY273" i="8"/>
  <c r="BT273" i="8"/>
  <c r="BP273" i="8"/>
  <c r="BJ273" i="8"/>
  <c r="CH272" i="8"/>
  <c r="CC272" i="8"/>
  <c r="BX272" i="8"/>
  <c r="BS272" i="8"/>
  <c r="BO272" i="8"/>
  <c r="BI272" i="8"/>
  <c r="CG271" i="8"/>
  <c r="CB271" i="8"/>
  <c r="BW271" i="8"/>
  <c r="BR271" i="8"/>
  <c r="BL271" i="8"/>
  <c r="CJ270" i="8"/>
  <c r="CF270" i="8"/>
  <c r="CA270" i="8"/>
  <c r="BV270" i="8"/>
  <c r="BQ270" i="8"/>
  <c r="BK270" i="8"/>
  <c r="CI269" i="8"/>
  <c r="CD269" i="8"/>
  <c r="BY269" i="8"/>
  <c r="BT269" i="8"/>
  <c r="BP269" i="8"/>
  <c r="BJ269" i="8"/>
  <c r="CH268" i="8"/>
  <c r="CC268" i="8"/>
  <c r="BX268" i="8"/>
  <c r="BS268" i="8"/>
  <c r="BO268" i="8"/>
  <c r="BI268" i="8"/>
  <c r="CG267" i="8"/>
  <c r="CB267" i="8"/>
  <c r="BW267" i="8"/>
  <c r="BR267" i="8"/>
  <c r="BL267" i="8"/>
  <c r="CJ266" i="8"/>
  <c r="CF266" i="8"/>
  <c r="CA266" i="8"/>
  <c r="BV266" i="8"/>
  <c r="BQ266" i="8"/>
  <c r="BK266" i="8"/>
  <c r="CI265" i="8"/>
  <c r="CD265" i="8"/>
  <c r="BY265" i="8"/>
  <c r="BT265" i="8"/>
  <c r="BP265" i="8"/>
  <c r="BJ265" i="8"/>
  <c r="CH264" i="8"/>
  <c r="CC264" i="8"/>
  <c r="BX264" i="8"/>
  <c r="BS264" i="8"/>
  <c r="BO264" i="8"/>
  <c r="BI264" i="8"/>
  <c r="CG263" i="8"/>
  <c r="CB263" i="8"/>
  <c r="BW263" i="8"/>
  <c r="BR263" i="8"/>
  <c r="BL263" i="8"/>
  <c r="CJ262" i="8"/>
  <c r="CF262" i="8"/>
  <c r="CA262" i="8"/>
  <c r="BV262" i="8"/>
  <c r="BQ262" i="8"/>
  <c r="BK262" i="8"/>
  <c r="CI261" i="8"/>
  <c r="CD261" i="8"/>
  <c r="BY261" i="8"/>
  <c r="BT261" i="8"/>
  <c r="BP261" i="8"/>
  <c r="BJ261" i="8"/>
  <c r="CH260" i="8"/>
  <c r="CC260" i="8"/>
  <c r="BX260" i="8"/>
  <c r="BS260" i="8"/>
  <c r="BO260" i="8"/>
  <c r="BI260" i="8"/>
  <c r="CG259" i="8"/>
  <c r="CB259" i="8"/>
  <c r="BW259" i="8"/>
  <c r="BR259" i="8"/>
  <c r="BL259" i="8"/>
  <c r="CJ258" i="8"/>
  <c r="CF258" i="8"/>
  <c r="CA258" i="8"/>
  <c r="BV258" i="8"/>
  <c r="BZ258" i="8" s="1"/>
  <c r="BQ258" i="8"/>
  <c r="BK258" i="8"/>
  <c r="CI257" i="8"/>
  <c r="CD257" i="8"/>
  <c r="BY257" i="8"/>
  <c r="BT257" i="8"/>
  <c r="BP257" i="8"/>
  <c r="BJ257" i="8"/>
  <c r="CH256" i="8"/>
  <c r="CC256" i="8"/>
  <c r="BX256" i="8"/>
  <c r="BS256" i="8"/>
  <c r="BO256" i="8"/>
  <c r="BI256" i="8"/>
  <c r="CG255" i="8"/>
  <c r="CB255" i="8"/>
  <c r="BW255" i="8"/>
  <c r="BR255" i="8"/>
  <c r="BL255" i="8"/>
  <c r="CJ254" i="8"/>
  <c r="CF254" i="8"/>
  <c r="CA254" i="8"/>
  <c r="BV254" i="8"/>
  <c r="BQ254" i="8"/>
  <c r="BK254" i="8"/>
  <c r="CI253" i="8"/>
  <c r="CD253" i="8"/>
  <c r="BY253" i="8"/>
  <c r="BT253" i="8"/>
  <c r="BP253" i="8"/>
  <c r="BJ253" i="8"/>
  <c r="CH252" i="8"/>
  <c r="CC252" i="8"/>
  <c r="BX252" i="8"/>
  <c r="BS252" i="8"/>
  <c r="BO252" i="8"/>
  <c r="BI252" i="8"/>
  <c r="CG251" i="8"/>
  <c r="CB251" i="8"/>
  <c r="BW251" i="8"/>
  <c r="BR251" i="8"/>
  <c r="BL251" i="8"/>
  <c r="CJ250" i="8"/>
  <c r="CF250" i="8"/>
  <c r="CA250" i="8"/>
  <c r="BV250" i="8"/>
  <c r="BQ250" i="8"/>
  <c r="BK250" i="8"/>
  <c r="CI249" i="8"/>
  <c r="CD249" i="8"/>
  <c r="BY249" i="8"/>
  <c r="BT249" i="8"/>
  <c r="BP249" i="8"/>
  <c r="BJ249" i="8"/>
  <c r="CH248" i="8"/>
  <c r="CC248" i="8"/>
  <c r="BX248" i="8"/>
  <c r="BS248" i="8"/>
  <c r="BO248" i="8"/>
  <c r="BI248" i="8"/>
  <c r="CG247" i="8"/>
  <c r="CB247" i="8"/>
  <c r="BW247" i="8"/>
  <c r="BR247" i="8"/>
  <c r="BL247" i="8"/>
  <c r="CJ246" i="8"/>
  <c r="CF246" i="8"/>
  <c r="CA246" i="8"/>
  <c r="BV246" i="8"/>
  <c r="BQ246" i="8"/>
  <c r="BK246" i="8"/>
  <c r="CI245" i="8"/>
  <c r="CD245" i="8"/>
  <c r="BY245" i="8"/>
  <c r="BT245" i="8"/>
  <c r="BP245" i="8"/>
  <c r="BJ245" i="8"/>
  <c r="CH244" i="8"/>
  <c r="CC244" i="8"/>
  <c r="BX244" i="8"/>
  <c r="BS244" i="8"/>
  <c r="BO244" i="8"/>
  <c r="BI244" i="8"/>
  <c r="CG243" i="8"/>
  <c r="CB243" i="8"/>
  <c r="BW243" i="8"/>
  <c r="BR243" i="8"/>
  <c r="BL243" i="8"/>
  <c r="CJ242" i="8"/>
  <c r="CF242" i="8"/>
  <c r="CA242" i="8"/>
  <c r="BV242" i="8"/>
  <c r="BZ242" i="8" s="1"/>
  <c r="BQ242" i="8"/>
  <c r="BK242" i="8"/>
  <c r="CI241" i="8"/>
  <c r="CD241" i="8"/>
  <c r="BY241" i="8"/>
  <c r="BT241" i="8"/>
  <c r="BP241" i="8"/>
  <c r="BJ241" i="8"/>
  <c r="CH240" i="8"/>
  <c r="CC240" i="8"/>
  <c r="BX240" i="8"/>
  <c r="BS240" i="8"/>
  <c r="BO240" i="8"/>
  <c r="BI240" i="8"/>
  <c r="CG239" i="8"/>
  <c r="CB239" i="8"/>
  <c r="BW239" i="8"/>
  <c r="BR239" i="8"/>
  <c r="BL239" i="8"/>
  <c r="CJ238" i="8"/>
  <c r="CF238" i="8"/>
  <c r="CA238" i="8"/>
  <c r="BV238" i="8"/>
  <c r="BZ238" i="8" s="1"/>
  <c r="BQ238" i="8"/>
  <c r="BK238" i="8"/>
  <c r="CI237" i="8"/>
  <c r="CD237" i="8"/>
  <c r="BY237" i="8"/>
  <c r="BT237" i="8"/>
  <c r="BP237" i="8"/>
  <c r="BJ237" i="8"/>
  <c r="CH236" i="8"/>
  <c r="CC236" i="8"/>
  <c r="BX236" i="8"/>
  <c r="BS236" i="8"/>
  <c r="BO236" i="8"/>
  <c r="BI236" i="8"/>
  <c r="CG235" i="8"/>
  <c r="CB235" i="8"/>
  <c r="BW235" i="8"/>
  <c r="BR235" i="8"/>
  <c r="BL235" i="8"/>
  <c r="CJ234" i="8"/>
  <c r="CF234" i="8"/>
  <c r="CA234" i="8"/>
  <c r="BV234" i="8"/>
  <c r="BZ234" i="8" s="1"/>
  <c r="BQ234" i="8"/>
  <c r="BK234" i="8"/>
  <c r="CI233" i="8"/>
  <c r="CD233" i="8"/>
  <c r="BY233" i="8"/>
  <c r="BT233" i="8"/>
  <c r="BP233" i="8"/>
  <c r="BJ233" i="8"/>
  <c r="CH232" i="8"/>
  <c r="CC232" i="8"/>
  <c r="BX232" i="8"/>
  <c r="BS232" i="8"/>
  <c r="BO232" i="8"/>
  <c r="BI232" i="8"/>
  <c r="CG231" i="8"/>
  <c r="CB231" i="8"/>
  <c r="BW231" i="8"/>
  <c r="BR231" i="8"/>
  <c r="BL231" i="8"/>
  <c r="CJ230" i="8"/>
  <c r="CF230" i="8"/>
  <c r="CA230" i="8"/>
  <c r="BV230" i="8"/>
  <c r="BZ230" i="8" s="1"/>
  <c r="BQ230" i="8"/>
  <c r="BK230" i="8"/>
  <c r="CI229" i="8"/>
  <c r="CD229" i="8"/>
  <c r="BY229" i="8"/>
  <c r="BT229" i="8"/>
  <c r="BP229" i="8"/>
  <c r="BJ229" i="8"/>
  <c r="CH228" i="8"/>
  <c r="CC228" i="8"/>
  <c r="BX228" i="8"/>
  <c r="BS228" i="8"/>
  <c r="BO228" i="8"/>
  <c r="BI228" i="8"/>
  <c r="CG227" i="8"/>
  <c r="CB227" i="8"/>
  <c r="BW227" i="8"/>
  <c r="BR227" i="8"/>
  <c r="BL227" i="8"/>
  <c r="CJ226" i="8"/>
  <c r="CF226" i="8"/>
  <c r="CA226" i="8"/>
  <c r="BV226" i="8"/>
  <c r="BZ226" i="8" s="1"/>
  <c r="BQ226" i="8"/>
  <c r="BK226" i="8"/>
  <c r="CI225" i="8"/>
  <c r="CD225" i="8"/>
  <c r="BY225" i="8"/>
  <c r="BT225" i="8"/>
  <c r="BP225" i="8"/>
  <c r="BJ225" i="8"/>
  <c r="CH224" i="8"/>
  <c r="CC224" i="8"/>
  <c r="BX224" i="8"/>
  <c r="BS224" i="8"/>
  <c r="BO224" i="8"/>
  <c r="BI224" i="8"/>
  <c r="CG223" i="8"/>
  <c r="CB223" i="8"/>
  <c r="BW223" i="8"/>
  <c r="BR223" i="8"/>
  <c r="BL223" i="8"/>
  <c r="CJ222" i="8"/>
  <c r="CF222" i="8"/>
  <c r="CA222" i="8"/>
  <c r="BV222" i="8"/>
  <c r="BZ222" i="8" s="1"/>
  <c r="BQ222" i="8"/>
  <c r="BK222" i="8"/>
  <c r="CI221" i="8"/>
  <c r="CD221" i="8"/>
  <c r="BY221" i="8"/>
  <c r="BT221" i="8"/>
  <c r="BP221" i="8"/>
  <c r="BJ221" i="8"/>
  <c r="CH220" i="8"/>
  <c r="CC220" i="8"/>
  <c r="BX220" i="8"/>
  <c r="BS220" i="8"/>
  <c r="BO220" i="8"/>
  <c r="BI220" i="8"/>
  <c r="CG219" i="8"/>
  <c r="CB219" i="8"/>
  <c r="BW219" i="8"/>
  <c r="BR219" i="8"/>
  <c r="BL219" i="8"/>
  <c r="CJ218" i="8"/>
  <c r="CF218" i="8"/>
  <c r="CA218" i="8"/>
  <c r="BV218" i="8"/>
  <c r="BZ218" i="8" s="1"/>
  <c r="BQ218" i="8"/>
  <c r="BK218" i="8"/>
  <c r="CI217" i="8"/>
  <c r="CD217" i="8"/>
  <c r="BY217" i="8"/>
  <c r="BT217" i="8"/>
  <c r="BP217" i="8"/>
  <c r="BJ217" i="8"/>
  <c r="CH216" i="8"/>
  <c r="CC216" i="8"/>
  <c r="BX216" i="8"/>
  <c r="BS216" i="8"/>
  <c r="BO216" i="8"/>
  <c r="BI216" i="8"/>
  <c r="CG215" i="8"/>
  <c r="CB215" i="8"/>
  <c r="BW215" i="8"/>
  <c r="BR215" i="8"/>
  <c r="BL215" i="8"/>
  <c r="CJ214" i="8"/>
  <c r="CF214" i="8"/>
  <c r="CA214" i="8"/>
  <c r="BV214" i="8"/>
  <c r="BZ214" i="8" s="1"/>
  <c r="BQ214" i="8"/>
  <c r="BK214" i="8"/>
  <c r="CI213" i="8"/>
  <c r="CD213" i="8"/>
  <c r="BY213" i="8"/>
  <c r="BT213" i="8"/>
  <c r="BP213" i="8"/>
  <c r="BJ213" i="8"/>
  <c r="CH212" i="8"/>
  <c r="CC212" i="8"/>
  <c r="BX212" i="8"/>
  <c r="BS212" i="8"/>
  <c r="BO212" i="8"/>
  <c r="BI212" i="8"/>
  <c r="CG211" i="8"/>
  <c r="CB211" i="8"/>
  <c r="BW211" i="8"/>
  <c r="BR211" i="8"/>
  <c r="BL211" i="8"/>
  <c r="CJ210" i="8"/>
  <c r="CF210" i="8"/>
  <c r="CA210" i="8"/>
  <c r="BV210" i="8"/>
  <c r="BZ210" i="8" s="1"/>
  <c r="BQ210" i="8"/>
  <c r="BK210" i="8"/>
  <c r="CI209" i="8"/>
  <c r="CD209" i="8"/>
  <c r="BY209" i="8"/>
  <c r="BT209" i="8"/>
  <c r="BP209" i="8"/>
  <c r="BJ209" i="8"/>
  <c r="CH208" i="8"/>
  <c r="CC208" i="8"/>
  <c r="BX208" i="8"/>
  <c r="BS208" i="8"/>
  <c r="BO208" i="8"/>
  <c r="BI208" i="8"/>
  <c r="CG207" i="8"/>
  <c r="CB207" i="8"/>
  <c r="BW207" i="8"/>
  <c r="BR207" i="8"/>
  <c r="BL207" i="8"/>
  <c r="CJ206" i="8"/>
  <c r="CF206" i="8"/>
  <c r="CA206" i="8"/>
  <c r="BV206" i="8"/>
  <c r="BZ206" i="8" s="1"/>
  <c r="BQ206" i="8"/>
  <c r="BK206" i="8"/>
  <c r="CI205" i="8"/>
  <c r="CD205" i="8"/>
  <c r="BY205" i="8"/>
  <c r="BT205" i="8"/>
  <c r="BP205" i="8"/>
  <c r="BJ205" i="8"/>
  <c r="CH204" i="8"/>
  <c r="CC204" i="8"/>
  <c r="BX204" i="8"/>
  <c r="BS204" i="8"/>
  <c r="BO204" i="8"/>
  <c r="BI204" i="8"/>
  <c r="CG203" i="8"/>
  <c r="CB203" i="8"/>
  <c r="BW203" i="8"/>
  <c r="BR203" i="8"/>
  <c r="BL203" i="8"/>
  <c r="CJ202" i="8"/>
  <c r="CF202" i="8"/>
  <c r="CA202" i="8"/>
  <c r="BV202" i="8"/>
  <c r="BQ202" i="8"/>
  <c r="BK202" i="8"/>
  <c r="CI201" i="8"/>
  <c r="CD201" i="8"/>
  <c r="BY201" i="8"/>
  <c r="BT201" i="8"/>
  <c r="BP201" i="8"/>
  <c r="BJ201" i="8"/>
  <c r="CH200" i="8"/>
  <c r="CC200" i="8"/>
  <c r="BX200" i="8"/>
  <c r="BS200" i="8"/>
  <c r="BO200" i="8"/>
  <c r="BI200" i="8"/>
  <c r="CG199" i="8"/>
  <c r="CB199" i="8"/>
  <c r="BW199" i="8"/>
  <c r="BR199" i="8"/>
  <c r="BL199" i="8"/>
  <c r="CJ198" i="8"/>
  <c r="CF198" i="8"/>
  <c r="CA198" i="8"/>
  <c r="BV198" i="8"/>
  <c r="BZ198" i="8" s="1"/>
  <c r="BQ198" i="8"/>
  <c r="BK198" i="8"/>
  <c r="CI197" i="8"/>
  <c r="CD197" i="8"/>
  <c r="BY197" i="8"/>
  <c r="BT197" i="8"/>
  <c r="BP197" i="8"/>
  <c r="BJ197" i="8"/>
  <c r="CH196" i="8"/>
  <c r="CC196" i="8"/>
  <c r="BX196" i="8"/>
  <c r="BS196" i="8"/>
  <c r="BO196" i="8"/>
  <c r="BI196" i="8"/>
  <c r="CG195" i="8"/>
  <c r="CB195" i="8"/>
  <c r="BW195" i="8"/>
  <c r="BR195" i="8"/>
  <c r="BL195" i="8"/>
  <c r="CJ194" i="8"/>
  <c r="CF194" i="8"/>
  <c r="CA194" i="8"/>
  <c r="BV194" i="8"/>
  <c r="BZ194" i="8" s="1"/>
  <c r="BQ194" i="8"/>
  <c r="BK194" i="8"/>
  <c r="CI193" i="8"/>
  <c r="CD193" i="8"/>
  <c r="BY193" i="8"/>
  <c r="BT193" i="8"/>
  <c r="BP193" i="8"/>
  <c r="BJ193" i="8"/>
  <c r="CH192" i="8"/>
  <c r="CC192" i="8"/>
  <c r="BX192" i="8"/>
  <c r="BS192" i="8"/>
  <c r="BO192" i="8"/>
  <c r="BI192" i="8"/>
  <c r="CG191" i="8"/>
  <c r="CB191" i="8"/>
  <c r="BW191" i="8"/>
  <c r="BR191" i="8"/>
  <c r="BL191" i="8"/>
  <c r="CJ190" i="8"/>
  <c r="CF190" i="8"/>
  <c r="CA190" i="8"/>
  <c r="BV190" i="8"/>
  <c r="BZ190" i="8" s="1"/>
  <c r="BQ190" i="8"/>
  <c r="BK190" i="8"/>
  <c r="CI189" i="8"/>
  <c r="CD189" i="8"/>
  <c r="BY189" i="8"/>
  <c r="BT189" i="8"/>
  <c r="BP189" i="8"/>
  <c r="BJ189" i="8"/>
  <c r="CH188" i="8"/>
  <c r="CC188" i="8"/>
  <c r="BX188" i="8"/>
  <c r="BS188" i="8"/>
  <c r="BO188" i="8"/>
  <c r="BI188" i="8"/>
  <c r="CG187" i="8"/>
  <c r="CB187" i="8"/>
  <c r="BS800" i="8"/>
  <c r="CF752" i="8"/>
  <c r="BW721" i="8"/>
  <c r="CC700" i="8"/>
  <c r="BY689" i="8"/>
  <c r="BV678" i="8"/>
  <c r="BR667" i="8"/>
  <c r="BO656" i="8"/>
  <c r="BJ649" i="8"/>
  <c r="BW643" i="8"/>
  <c r="CI637" i="8"/>
  <c r="BS632" i="8"/>
  <c r="CF626" i="8"/>
  <c r="BP621" i="8"/>
  <c r="BQ618" i="8"/>
  <c r="BW615" i="8"/>
  <c r="CC612" i="8"/>
  <c r="CI609" i="8"/>
  <c r="BL607" i="8"/>
  <c r="BS604" i="8"/>
  <c r="BY601" i="8"/>
  <c r="CF598" i="8"/>
  <c r="BI596" i="8"/>
  <c r="BP593" i="8"/>
  <c r="BV590" i="8"/>
  <c r="BZ590" i="8" s="1"/>
  <c r="CB587" i="8"/>
  <c r="CH584" i="8"/>
  <c r="BK582" i="8"/>
  <c r="BR579" i="8"/>
  <c r="BX576" i="8"/>
  <c r="CD573" i="8"/>
  <c r="CJ570" i="8"/>
  <c r="BO568" i="8"/>
  <c r="BT565" i="8"/>
  <c r="CA562" i="8"/>
  <c r="CG559" i="8"/>
  <c r="BJ557" i="8"/>
  <c r="BQ554" i="8"/>
  <c r="BW551" i="8"/>
  <c r="CC548" i="8"/>
  <c r="CI545" i="8"/>
  <c r="BL543" i="8"/>
  <c r="BS540" i="8"/>
  <c r="BR539" i="8"/>
  <c r="CA538" i="8"/>
  <c r="CE538" i="8" s="1"/>
  <c r="CI537" i="8"/>
  <c r="BP537" i="8"/>
  <c r="BX536" i="8"/>
  <c r="CG535" i="8"/>
  <c r="BL535" i="8"/>
  <c r="BV534" i="8"/>
  <c r="BZ534" i="8" s="1"/>
  <c r="CD533" i="8"/>
  <c r="BJ533" i="8"/>
  <c r="BS532" i="8"/>
  <c r="CB531" i="8"/>
  <c r="CJ530" i="8"/>
  <c r="BQ530" i="8"/>
  <c r="BY529" i="8"/>
  <c r="CH528" i="8"/>
  <c r="BO528" i="8"/>
  <c r="BW527" i="8"/>
  <c r="CF526" i="8"/>
  <c r="BK526" i="8"/>
  <c r="BT525" i="8"/>
  <c r="CC524" i="8"/>
  <c r="BI524" i="8"/>
  <c r="BR523" i="8"/>
  <c r="CA522" i="8"/>
  <c r="CI521" i="8"/>
  <c r="BP521" i="8"/>
  <c r="BX520" i="8"/>
  <c r="CG519" i="8"/>
  <c r="BL519" i="8"/>
  <c r="BV518" i="8"/>
  <c r="BZ518" i="8" s="1"/>
  <c r="CD517" i="8"/>
  <c r="BJ517" i="8"/>
  <c r="BS516" i="8"/>
  <c r="CB515" i="8"/>
  <c r="CJ514" i="8"/>
  <c r="BQ514" i="8"/>
  <c r="BY513" i="8"/>
  <c r="CH512" i="8"/>
  <c r="BO512" i="8"/>
  <c r="BW511" i="8"/>
  <c r="CF510" i="8"/>
  <c r="BK510" i="8"/>
  <c r="BT509" i="8"/>
  <c r="CC508" i="8"/>
  <c r="BI508" i="8"/>
  <c r="BR507" i="8"/>
  <c r="CA506" i="8"/>
  <c r="CI505" i="8"/>
  <c r="BP505" i="8"/>
  <c r="BX504" i="8"/>
  <c r="CG503" i="8"/>
  <c r="BL503" i="8"/>
  <c r="BV502" i="8"/>
  <c r="BZ502" i="8" s="1"/>
  <c r="CD501" i="8"/>
  <c r="BJ501" i="8"/>
  <c r="BS500" i="8"/>
  <c r="CB499" i="8"/>
  <c r="BR499" i="8"/>
  <c r="CJ498" i="8"/>
  <c r="CA498" i="8"/>
  <c r="BQ498" i="8"/>
  <c r="CI497" i="8"/>
  <c r="BY497" i="8"/>
  <c r="BP497" i="8"/>
  <c r="CH496" i="8"/>
  <c r="BX496" i="8"/>
  <c r="BO496" i="8"/>
  <c r="CG495" i="8"/>
  <c r="BW495" i="8"/>
  <c r="BL495" i="8"/>
  <c r="CF494" i="8"/>
  <c r="BV494" i="8"/>
  <c r="BZ494" i="8" s="1"/>
  <c r="BK494" i="8"/>
  <c r="CD493" i="8"/>
  <c r="BT493" i="8"/>
  <c r="BJ493" i="8"/>
  <c r="CC492" i="8"/>
  <c r="BS492" i="8"/>
  <c r="BI492" i="8"/>
  <c r="CB491" i="8"/>
  <c r="BR491" i="8"/>
  <c r="CJ490" i="8"/>
  <c r="CA490" i="8"/>
  <c r="BQ490" i="8"/>
  <c r="CI489" i="8"/>
  <c r="BY489" i="8"/>
  <c r="BP489" i="8"/>
  <c r="CH488" i="8"/>
  <c r="BX488" i="8"/>
  <c r="BO488" i="8"/>
  <c r="CG487" i="8"/>
  <c r="BW487" i="8"/>
  <c r="BL487" i="8"/>
  <c r="CF486" i="8"/>
  <c r="BV486" i="8"/>
  <c r="BZ486" i="8" s="1"/>
  <c r="BK486" i="8"/>
  <c r="CD485" i="8"/>
  <c r="BT485" i="8"/>
  <c r="BJ485" i="8"/>
  <c r="CC484" i="8"/>
  <c r="BS484" i="8"/>
  <c r="BI484" i="8"/>
  <c r="CB483" i="8"/>
  <c r="BR483" i="8"/>
  <c r="CJ482" i="8"/>
  <c r="CA482" i="8"/>
  <c r="CE482" i="8" s="1"/>
  <c r="BQ482" i="8"/>
  <c r="CI481" i="8"/>
  <c r="BY481" i="8"/>
  <c r="BP481" i="8"/>
  <c r="CH480" i="8"/>
  <c r="BX480" i="8"/>
  <c r="BO480" i="8"/>
  <c r="CG479" i="8"/>
  <c r="BW479" i="8"/>
  <c r="BL479" i="8"/>
  <c r="CF478" i="8"/>
  <c r="BV478" i="8"/>
  <c r="BZ478" i="8" s="1"/>
  <c r="BK478" i="8"/>
  <c r="CD477" i="8"/>
  <c r="BT477" i="8"/>
  <c r="BJ477" i="8"/>
  <c r="CC476" i="8"/>
  <c r="BS476" i="8"/>
  <c r="BI476" i="8"/>
  <c r="CB475" i="8"/>
  <c r="BR475" i="8"/>
  <c r="CJ474" i="8"/>
  <c r="CA474" i="8"/>
  <c r="BQ474" i="8"/>
  <c r="CI473" i="8"/>
  <c r="BY473" i="8"/>
  <c r="BP473" i="8"/>
  <c r="CH472" i="8"/>
  <c r="BX472" i="8"/>
  <c r="BO472" i="8"/>
  <c r="CG471" i="8"/>
  <c r="BW471" i="8"/>
  <c r="BL471" i="8"/>
  <c r="CF470" i="8"/>
  <c r="BV470" i="8"/>
  <c r="BZ470" i="8" s="1"/>
  <c r="BK470" i="8"/>
  <c r="CD469" i="8"/>
  <c r="BT469" i="8"/>
  <c r="BJ469" i="8"/>
  <c r="CC468" i="8"/>
  <c r="BS468" i="8"/>
  <c r="BI468" i="8"/>
  <c r="CB467" i="8"/>
  <c r="BR467" i="8"/>
  <c r="CJ466" i="8"/>
  <c r="CA466" i="8"/>
  <c r="BQ466" i="8"/>
  <c r="CI465" i="8"/>
  <c r="BY465" i="8"/>
  <c r="BP465" i="8"/>
  <c r="CH464" i="8"/>
  <c r="BX464" i="8"/>
  <c r="BO464" i="8"/>
  <c r="CG463" i="8"/>
  <c r="BW463" i="8"/>
  <c r="BL463" i="8"/>
  <c r="CF462" i="8"/>
  <c r="BV462" i="8"/>
  <c r="BK462" i="8"/>
  <c r="CD461" i="8"/>
  <c r="BT461" i="8"/>
  <c r="BJ461" i="8"/>
  <c r="CC460" i="8"/>
  <c r="BS460" i="8"/>
  <c r="BI460" i="8"/>
  <c r="CB459" i="8"/>
  <c r="BR459" i="8"/>
  <c r="CJ458" i="8"/>
  <c r="CA458" i="8"/>
  <c r="BQ458" i="8"/>
  <c r="CI457" i="8"/>
  <c r="BY457" i="8"/>
  <c r="BP457" i="8"/>
  <c r="CH456" i="8"/>
  <c r="BX456" i="8"/>
  <c r="BO456" i="8"/>
  <c r="CG455" i="8"/>
  <c r="BW455" i="8"/>
  <c r="BL455" i="8"/>
  <c r="CF454" i="8"/>
  <c r="BV454" i="8"/>
  <c r="BZ454" i="8" s="1"/>
  <c r="BK454" i="8"/>
  <c r="CD453" i="8"/>
  <c r="BT453" i="8"/>
  <c r="BJ453" i="8"/>
  <c r="CC452" i="8"/>
  <c r="BS452" i="8"/>
  <c r="BI452" i="8"/>
  <c r="CB451" i="8"/>
  <c r="BR451" i="8"/>
  <c r="CJ450" i="8"/>
  <c r="CA450" i="8"/>
  <c r="CE450" i="8" s="1"/>
  <c r="BQ450" i="8"/>
  <c r="CI449" i="8"/>
  <c r="BY449" i="8"/>
  <c r="BP449" i="8"/>
  <c r="CH448" i="8"/>
  <c r="BX448" i="8"/>
  <c r="BO448" i="8"/>
  <c r="CG447" i="8"/>
  <c r="BW447" i="8"/>
  <c r="BL447" i="8"/>
  <c r="CF446" i="8"/>
  <c r="BV446" i="8"/>
  <c r="BZ446" i="8" s="1"/>
  <c r="BK446" i="8"/>
  <c r="CD445" i="8"/>
  <c r="BT445" i="8"/>
  <c r="BJ445" i="8"/>
  <c r="CC444" i="8"/>
  <c r="BS444" i="8"/>
  <c r="BI444" i="8"/>
  <c r="CB443" i="8"/>
  <c r="BR443" i="8"/>
  <c r="CJ442" i="8"/>
  <c r="CA442" i="8"/>
  <c r="BQ442" i="8"/>
  <c r="CI441" i="8"/>
  <c r="BY441" i="8"/>
  <c r="BP441" i="8"/>
  <c r="CH440" i="8"/>
  <c r="BX440" i="8"/>
  <c r="BO440" i="8"/>
  <c r="CG439" i="8"/>
  <c r="BW439" i="8"/>
  <c r="BL439" i="8"/>
  <c r="CF438" i="8"/>
  <c r="BV438" i="8"/>
  <c r="BZ438" i="8" s="1"/>
  <c r="BK438" i="8"/>
  <c r="CD437" i="8"/>
  <c r="BT437" i="8"/>
  <c r="BJ437" i="8"/>
  <c r="CC436" i="8"/>
  <c r="BS436" i="8"/>
  <c r="BI436" i="8"/>
  <c r="CB435" i="8"/>
  <c r="BR435" i="8"/>
  <c r="CJ434" i="8"/>
  <c r="CA434" i="8"/>
  <c r="BQ434" i="8"/>
  <c r="CI433" i="8"/>
  <c r="BY433" i="8"/>
  <c r="BP433" i="8"/>
  <c r="CH432" i="8"/>
  <c r="BX432" i="8"/>
  <c r="BO432" i="8"/>
  <c r="CG431" i="8"/>
  <c r="BW431" i="8"/>
  <c r="BL431" i="8"/>
  <c r="CF430" i="8"/>
  <c r="BV430" i="8"/>
  <c r="BZ430" i="8" s="1"/>
  <c r="BK430" i="8"/>
  <c r="CD429" i="8"/>
  <c r="BT429" i="8"/>
  <c r="BJ429" i="8"/>
  <c r="CC428" i="8"/>
  <c r="BS428" i="8"/>
  <c r="BI428" i="8"/>
  <c r="CB427" i="8"/>
  <c r="BR427" i="8"/>
  <c r="CJ426" i="8"/>
  <c r="CA426" i="8"/>
  <c r="BQ426" i="8"/>
  <c r="CI425" i="8"/>
  <c r="BY425" i="8"/>
  <c r="BP425" i="8"/>
  <c r="CH424" i="8"/>
  <c r="BX424" i="8"/>
  <c r="BO424" i="8"/>
  <c r="CG423" i="8"/>
  <c r="BW423" i="8"/>
  <c r="BL423" i="8"/>
  <c r="CF422" i="8"/>
  <c r="BV422" i="8"/>
  <c r="BK422" i="8"/>
  <c r="CD421" i="8"/>
  <c r="BT421" i="8"/>
  <c r="BJ421" i="8"/>
  <c r="CC420" i="8"/>
  <c r="BS420" i="8"/>
  <c r="BI420" i="8"/>
  <c r="CB419" i="8"/>
  <c r="BR419" i="8"/>
  <c r="CJ418" i="8"/>
  <c r="CA418" i="8"/>
  <c r="CE418" i="8" s="1"/>
  <c r="BQ418" i="8"/>
  <c r="CI417" i="8"/>
  <c r="BY417" i="8"/>
  <c r="BP417" i="8"/>
  <c r="CH416" i="8"/>
  <c r="BX416" i="8"/>
  <c r="BO416" i="8"/>
  <c r="CG415" i="8"/>
  <c r="BW415" i="8"/>
  <c r="BL415" i="8"/>
  <c r="CF414" i="8"/>
  <c r="BV414" i="8"/>
  <c r="BK414" i="8"/>
  <c r="CD413" i="8"/>
  <c r="BT413" i="8"/>
  <c r="BJ413" i="8"/>
  <c r="CC412" i="8"/>
  <c r="BS412" i="8"/>
  <c r="BI412" i="8"/>
  <c r="CB411" i="8"/>
  <c r="BR411" i="8"/>
  <c r="CJ410" i="8"/>
  <c r="CA410" i="8"/>
  <c r="BQ410" i="8"/>
  <c r="CI409" i="8"/>
  <c r="BY409" i="8"/>
  <c r="BP409" i="8"/>
  <c r="CH408" i="8"/>
  <c r="BX408" i="8"/>
  <c r="BO408" i="8"/>
  <c r="CG407" i="8"/>
  <c r="BW407" i="8"/>
  <c r="BL407" i="8"/>
  <c r="CF406" i="8"/>
  <c r="BV406" i="8"/>
  <c r="BK406" i="8"/>
  <c r="CD405" i="8"/>
  <c r="BT405" i="8"/>
  <c r="BJ405" i="8"/>
  <c r="CC404" i="8"/>
  <c r="BS404" i="8"/>
  <c r="BI404" i="8"/>
  <c r="CB403" i="8"/>
  <c r="BR403" i="8"/>
  <c r="CJ402" i="8"/>
  <c r="CA402" i="8"/>
  <c r="BQ402" i="8"/>
  <c r="CI401" i="8"/>
  <c r="BY401" i="8"/>
  <c r="BP401" i="8"/>
  <c r="CH400" i="8"/>
  <c r="BX400" i="8"/>
  <c r="BO400" i="8"/>
  <c r="CG399" i="8"/>
  <c r="BW399" i="8"/>
  <c r="BL399" i="8"/>
  <c r="CF398" i="8"/>
  <c r="BV398" i="8"/>
  <c r="BK398" i="8"/>
  <c r="CD397" i="8"/>
  <c r="BT397" i="8"/>
  <c r="BJ397" i="8"/>
  <c r="CC396" i="8"/>
  <c r="BS396" i="8"/>
  <c r="BI396" i="8"/>
  <c r="CB395" i="8"/>
  <c r="BR395" i="8"/>
  <c r="CJ394" i="8"/>
  <c r="CA394" i="8"/>
  <c r="BQ394" i="8"/>
  <c r="CI393" i="8"/>
  <c r="BY393" i="8"/>
  <c r="BP393" i="8"/>
  <c r="CH392" i="8"/>
  <c r="BX392" i="8"/>
  <c r="BO392" i="8"/>
  <c r="CG391" i="8"/>
  <c r="BW391" i="8"/>
  <c r="BL391" i="8"/>
  <c r="CF390" i="8"/>
  <c r="BV390" i="8"/>
  <c r="BZ390" i="8" s="1"/>
  <c r="BK390" i="8"/>
  <c r="CD389" i="8"/>
  <c r="BT389" i="8"/>
  <c r="BJ389" i="8"/>
  <c r="CC388" i="8"/>
  <c r="BS388" i="8"/>
  <c r="BI388" i="8"/>
  <c r="CB387" i="8"/>
  <c r="BR387" i="8"/>
  <c r="CJ386" i="8"/>
  <c r="CA386" i="8"/>
  <c r="CE386" i="8" s="1"/>
  <c r="BQ386" i="8"/>
  <c r="CI385" i="8"/>
  <c r="BY385" i="8"/>
  <c r="BP385" i="8"/>
  <c r="CH384" i="8"/>
  <c r="BX384" i="8"/>
  <c r="BO384" i="8"/>
  <c r="CG383" i="8"/>
  <c r="BW383" i="8"/>
  <c r="BL383" i="8"/>
  <c r="CF382" i="8"/>
  <c r="BV382" i="8"/>
  <c r="BK382" i="8"/>
  <c r="CD381" i="8"/>
  <c r="BT381" i="8"/>
  <c r="BJ381" i="8"/>
  <c r="CC380" i="8"/>
  <c r="BS380" i="8"/>
  <c r="BI380" i="8"/>
  <c r="CB379" i="8"/>
  <c r="BR379" i="8"/>
  <c r="CJ378" i="8"/>
  <c r="CA378" i="8"/>
  <c r="BQ378" i="8"/>
  <c r="CI377" i="8"/>
  <c r="BY377" i="8"/>
  <c r="BP377" i="8"/>
  <c r="CH376" i="8"/>
  <c r="BX376" i="8"/>
  <c r="BO376" i="8"/>
  <c r="CG375" i="8"/>
  <c r="BW375" i="8"/>
  <c r="BL375" i="8"/>
  <c r="CF374" i="8"/>
  <c r="BV374" i="8"/>
  <c r="BZ374" i="8" s="1"/>
  <c r="BK374" i="8"/>
  <c r="CD373" i="8"/>
  <c r="BT373" i="8"/>
  <c r="BJ373" i="8"/>
  <c r="CC372" i="8"/>
  <c r="BS372" i="8"/>
  <c r="BI372" i="8"/>
  <c r="CB371" i="8"/>
  <c r="BR371" i="8"/>
  <c r="CJ370" i="8"/>
  <c r="CA370" i="8"/>
  <c r="BQ370" i="8"/>
  <c r="CI369" i="8"/>
  <c r="BY369" i="8"/>
  <c r="BP369" i="8"/>
  <c r="CH368" i="8"/>
  <c r="BX368" i="8"/>
  <c r="BO368" i="8"/>
  <c r="CG367" i="8"/>
  <c r="BW367" i="8"/>
  <c r="BL367" i="8"/>
  <c r="CF366" i="8"/>
  <c r="BV366" i="8"/>
  <c r="BZ366" i="8" s="1"/>
  <c r="BK366" i="8"/>
  <c r="CD365" i="8"/>
  <c r="BT365" i="8"/>
  <c r="BJ365" i="8"/>
  <c r="CC364" i="8"/>
  <c r="BS364" i="8"/>
  <c r="BI364" i="8"/>
  <c r="CB363" i="8"/>
  <c r="BR363" i="8"/>
  <c r="CJ362" i="8"/>
  <c r="CA362" i="8"/>
  <c r="BQ362" i="8"/>
  <c r="CI361" i="8"/>
  <c r="BY361" i="8"/>
  <c r="BP361" i="8"/>
  <c r="CH360" i="8"/>
  <c r="BX360" i="8"/>
  <c r="BO360" i="8"/>
  <c r="CG359" i="8"/>
  <c r="BW359" i="8"/>
  <c r="BL359" i="8"/>
  <c r="CF358" i="8"/>
  <c r="BV358" i="8"/>
  <c r="BZ358" i="8" s="1"/>
  <c r="BK358" i="8"/>
  <c r="CD357" i="8"/>
  <c r="BT357" i="8"/>
  <c r="BJ357" i="8"/>
  <c r="CC356" i="8"/>
  <c r="BS356" i="8"/>
  <c r="BI356" i="8"/>
  <c r="CB355" i="8"/>
  <c r="BR355" i="8"/>
  <c r="CJ354" i="8"/>
  <c r="CA354" i="8"/>
  <c r="CE354" i="8" s="1"/>
  <c r="BQ354" i="8"/>
  <c r="CI353" i="8"/>
  <c r="BY353" i="8"/>
  <c r="BP353" i="8"/>
  <c r="CH352" i="8"/>
  <c r="BX352" i="8"/>
  <c r="BO352" i="8"/>
  <c r="CG351" i="8"/>
  <c r="BW351" i="8"/>
  <c r="BL351" i="8"/>
  <c r="CF350" i="8"/>
  <c r="BV350" i="8"/>
  <c r="BZ350" i="8" s="1"/>
  <c r="BK350" i="8"/>
  <c r="CD349" i="8"/>
  <c r="BT349" i="8"/>
  <c r="BJ349" i="8"/>
  <c r="CC348" i="8"/>
  <c r="BS348" i="8"/>
  <c r="BI348" i="8"/>
  <c r="CB347" i="8"/>
  <c r="BR347" i="8"/>
  <c r="CJ346" i="8"/>
  <c r="CA346" i="8"/>
  <c r="BQ346" i="8"/>
  <c r="CI345" i="8"/>
  <c r="BY345" i="8"/>
  <c r="BP345" i="8"/>
  <c r="CH344" i="8"/>
  <c r="BX344" i="8"/>
  <c r="BO344" i="8"/>
  <c r="CG343" i="8"/>
  <c r="BW343" i="8"/>
  <c r="BL343" i="8"/>
  <c r="CF342" i="8"/>
  <c r="BV342" i="8"/>
  <c r="BZ342" i="8" s="1"/>
  <c r="BK342" i="8"/>
  <c r="CD341" i="8"/>
  <c r="BT341" i="8"/>
  <c r="BJ341" i="8"/>
  <c r="CC340" i="8"/>
  <c r="BS340" i="8"/>
  <c r="BI340" i="8"/>
  <c r="CB339" i="8"/>
  <c r="BR339" i="8"/>
  <c r="CJ338" i="8"/>
  <c r="CA338" i="8"/>
  <c r="BQ338" i="8"/>
  <c r="CI337" i="8"/>
  <c r="BY337" i="8"/>
  <c r="BP337" i="8"/>
  <c r="CH336" i="8"/>
  <c r="BX336" i="8"/>
  <c r="BO336" i="8"/>
  <c r="CG335" i="8"/>
  <c r="BW335" i="8"/>
  <c r="BL335" i="8"/>
  <c r="CF334" i="8"/>
  <c r="BV334" i="8"/>
  <c r="BZ334" i="8" s="1"/>
  <c r="BK334" i="8"/>
  <c r="CD333" i="8"/>
  <c r="BT333" i="8"/>
  <c r="BJ333" i="8"/>
  <c r="CC332" i="8"/>
  <c r="BS332" i="8"/>
  <c r="BI332" i="8"/>
  <c r="CB331" i="8"/>
  <c r="BR331" i="8"/>
  <c r="CJ330" i="8"/>
  <c r="CA330" i="8"/>
  <c r="BQ330" i="8"/>
  <c r="CI329" i="8"/>
  <c r="BY329" i="8"/>
  <c r="BP329" i="8"/>
  <c r="CH328" i="8"/>
  <c r="BX328" i="8"/>
  <c r="BO328" i="8"/>
  <c r="CG327" i="8"/>
  <c r="BW327" i="8"/>
  <c r="BL327" i="8"/>
  <c r="CF326" i="8"/>
  <c r="BV326" i="8"/>
  <c r="BZ326" i="8" s="1"/>
  <c r="BK326" i="8"/>
  <c r="CD325" i="8"/>
  <c r="BT325" i="8"/>
  <c r="BJ325" i="8"/>
  <c r="CC324" i="8"/>
  <c r="BS324" i="8"/>
  <c r="BI324" i="8"/>
  <c r="CB323" i="8"/>
  <c r="BR323" i="8"/>
  <c r="CJ322" i="8"/>
  <c r="CA322" i="8"/>
  <c r="CE322" i="8" s="1"/>
  <c r="BQ322" i="8"/>
  <c r="CI321" i="8"/>
  <c r="BY321" i="8"/>
  <c r="BP321" i="8"/>
  <c r="CH320" i="8"/>
  <c r="BX320" i="8"/>
  <c r="BO320" i="8"/>
  <c r="CG319" i="8"/>
  <c r="BW319" i="8"/>
  <c r="BL319" i="8"/>
  <c r="CF318" i="8"/>
  <c r="BV318" i="8"/>
  <c r="BZ318" i="8" s="1"/>
  <c r="BO318" i="8"/>
  <c r="CJ317" i="8"/>
  <c r="CD317" i="8"/>
  <c r="BW317" i="8"/>
  <c r="BQ317" i="8"/>
  <c r="BJ317" i="8"/>
  <c r="CF316" i="8"/>
  <c r="BY316" i="8"/>
  <c r="BS316" i="8"/>
  <c r="BK316" i="8"/>
  <c r="CH315" i="8"/>
  <c r="CB315" i="8"/>
  <c r="BT315" i="8"/>
  <c r="BO315" i="8"/>
  <c r="CJ314" i="8"/>
  <c r="CC314" i="8"/>
  <c r="BW314" i="8"/>
  <c r="BQ314" i="8"/>
  <c r="BI314" i="8"/>
  <c r="CF313" i="8"/>
  <c r="BY313" i="8"/>
  <c r="BR313" i="8"/>
  <c r="BK313" i="8"/>
  <c r="CH312" i="8"/>
  <c r="CA312" i="8"/>
  <c r="BT312" i="8"/>
  <c r="BO312" i="8"/>
  <c r="CJ311" i="8"/>
  <c r="CF311" i="8"/>
  <c r="CA311" i="8"/>
  <c r="BV311" i="8"/>
  <c r="BZ311" i="8" s="1"/>
  <c r="BQ311" i="8"/>
  <c r="BK311" i="8"/>
  <c r="CI310" i="8"/>
  <c r="CD310" i="8"/>
  <c r="BY310" i="8"/>
  <c r="BT310" i="8"/>
  <c r="BP310" i="8"/>
  <c r="BJ310" i="8"/>
  <c r="CH309" i="8"/>
  <c r="CC309" i="8"/>
  <c r="BX309" i="8"/>
  <c r="BS309" i="8"/>
  <c r="BO309" i="8"/>
  <c r="BI309" i="8"/>
  <c r="CG308" i="8"/>
  <c r="CB308" i="8"/>
  <c r="BW308" i="8"/>
  <c r="BR308" i="8"/>
  <c r="BL308" i="8"/>
  <c r="CJ307" i="8"/>
  <c r="CF307" i="8"/>
  <c r="CA307" i="8"/>
  <c r="BV307" i="8"/>
  <c r="BZ307" i="8" s="1"/>
  <c r="BQ307" i="8"/>
  <c r="BK307" i="8"/>
  <c r="CI306" i="8"/>
  <c r="CD306" i="8"/>
  <c r="BY306" i="8"/>
  <c r="BT306" i="8"/>
  <c r="BP306" i="8"/>
  <c r="BJ306" i="8"/>
  <c r="CH305" i="8"/>
  <c r="CC305" i="8"/>
  <c r="BX305" i="8"/>
  <c r="BS305" i="8"/>
  <c r="BO305" i="8"/>
  <c r="BI305" i="8"/>
  <c r="CG304" i="8"/>
  <c r="CB304" i="8"/>
  <c r="BW304" i="8"/>
  <c r="BR304" i="8"/>
  <c r="BL304" i="8"/>
  <c r="CJ303" i="8"/>
  <c r="CF303" i="8"/>
  <c r="CA303" i="8"/>
  <c r="BV303" i="8"/>
  <c r="BZ303" i="8" s="1"/>
  <c r="BQ303" i="8"/>
  <c r="BK303" i="8"/>
  <c r="CI302" i="8"/>
  <c r="CD302" i="8"/>
  <c r="BY302" i="8"/>
  <c r="BT302" i="8"/>
  <c r="BP302" i="8"/>
  <c r="BJ302" i="8"/>
  <c r="CH301" i="8"/>
  <c r="CC301" i="8"/>
  <c r="BX301" i="8"/>
  <c r="BS301" i="8"/>
  <c r="BO301" i="8"/>
  <c r="BI301" i="8"/>
  <c r="CG300" i="8"/>
  <c r="CB300" i="8"/>
  <c r="BW300" i="8"/>
  <c r="BR300" i="8"/>
  <c r="BL300" i="8"/>
  <c r="CJ299" i="8"/>
  <c r="CF299" i="8"/>
  <c r="CA299" i="8"/>
  <c r="BV299" i="8"/>
  <c r="BZ299" i="8" s="1"/>
  <c r="BQ299" i="8"/>
  <c r="BK299" i="8"/>
  <c r="CI298" i="8"/>
  <c r="CD298" i="8"/>
  <c r="BY298" i="8"/>
  <c r="BT298" i="8"/>
  <c r="BP298" i="8"/>
  <c r="BJ298" i="8"/>
  <c r="CH297" i="8"/>
  <c r="CC297" i="8"/>
  <c r="BX297" i="8"/>
  <c r="BS297" i="8"/>
  <c r="BO297" i="8"/>
  <c r="BI297" i="8"/>
  <c r="CG296" i="8"/>
  <c r="CB296" i="8"/>
  <c r="BW296" i="8"/>
  <c r="BR296" i="8"/>
  <c r="BL296" i="8"/>
  <c r="CJ295" i="8"/>
  <c r="CF295" i="8"/>
  <c r="CA295" i="8"/>
  <c r="BV295" i="8"/>
  <c r="BZ295" i="8" s="1"/>
  <c r="BQ295" i="8"/>
  <c r="BK295" i="8"/>
  <c r="CI294" i="8"/>
  <c r="CD294" i="8"/>
  <c r="BY294" i="8"/>
  <c r="BT294" i="8"/>
  <c r="BP294" i="8"/>
  <c r="BJ294" i="8"/>
  <c r="CH293" i="8"/>
  <c r="CC293" i="8"/>
  <c r="BX293" i="8"/>
  <c r="BS293" i="8"/>
  <c r="BO293" i="8"/>
  <c r="BI293" i="8"/>
  <c r="CG292" i="8"/>
  <c r="CB292" i="8"/>
  <c r="BW292" i="8"/>
  <c r="BR292" i="8"/>
  <c r="BL292" i="8"/>
  <c r="CJ291" i="8"/>
  <c r="CF291" i="8"/>
  <c r="CA291" i="8"/>
  <c r="BV291" i="8"/>
  <c r="BZ291" i="8" s="1"/>
  <c r="BQ291" i="8"/>
  <c r="BK291" i="8"/>
  <c r="CI290" i="8"/>
  <c r="CD290" i="8"/>
  <c r="BY290" i="8"/>
  <c r="BT290" i="8"/>
  <c r="BP290" i="8"/>
  <c r="BJ290" i="8"/>
  <c r="CH289" i="8"/>
  <c r="CC289" i="8"/>
  <c r="BX289" i="8"/>
  <c r="BS289" i="8"/>
  <c r="BO289" i="8"/>
  <c r="BI289" i="8"/>
  <c r="CG288" i="8"/>
  <c r="CB288" i="8"/>
  <c r="BW288" i="8"/>
  <c r="BR288" i="8"/>
  <c r="BL288" i="8"/>
  <c r="CJ287" i="8"/>
  <c r="CF287" i="8"/>
  <c r="CA287" i="8"/>
  <c r="BV287" i="8"/>
  <c r="BZ287" i="8" s="1"/>
  <c r="BQ287" i="8"/>
  <c r="BK287" i="8"/>
  <c r="CI286" i="8"/>
  <c r="CD286" i="8"/>
  <c r="BY286" i="8"/>
  <c r="BT286" i="8"/>
  <c r="BP286" i="8"/>
  <c r="BJ286" i="8"/>
  <c r="CH285" i="8"/>
  <c r="CC285" i="8"/>
  <c r="BX285" i="8"/>
  <c r="BS285" i="8"/>
  <c r="BO285" i="8"/>
  <c r="BI285" i="8"/>
  <c r="CG284" i="8"/>
  <c r="CB284" i="8"/>
  <c r="BW284" i="8"/>
  <c r="BR284" i="8"/>
  <c r="BL284" i="8"/>
  <c r="CJ283" i="8"/>
  <c r="CF283" i="8"/>
  <c r="CA283" i="8"/>
  <c r="BV283" i="8"/>
  <c r="BZ283" i="8" s="1"/>
  <c r="BQ283" i="8"/>
  <c r="BK283" i="8"/>
  <c r="CI282" i="8"/>
  <c r="CD282" i="8"/>
  <c r="BY282" i="8"/>
  <c r="BT282" i="8"/>
  <c r="BP282" i="8"/>
  <c r="BJ282" i="8"/>
  <c r="CH281" i="8"/>
  <c r="CC281" i="8"/>
  <c r="BX281" i="8"/>
  <c r="BS281" i="8"/>
  <c r="BO281" i="8"/>
  <c r="BI281" i="8"/>
  <c r="CG280" i="8"/>
  <c r="CB280" i="8"/>
  <c r="BW280" i="8"/>
  <c r="BR280" i="8"/>
  <c r="BL280" i="8"/>
  <c r="CJ279" i="8"/>
  <c r="CF279" i="8"/>
  <c r="CA279" i="8"/>
  <c r="BV279" i="8"/>
  <c r="BQ279" i="8"/>
  <c r="BK279" i="8"/>
  <c r="CI278" i="8"/>
  <c r="CD278" i="8"/>
  <c r="BY278" i="8"/>
  <c r="BT278" i="8"/>
  <c r="BP278" i="8"/>
  <c r="BJ278" i="8"/>
  <c r="CH277" i="8"/>
  <c r="CC277" i="8"/>
  <c r="BX277" i="8"/>
  <c r="BS277" i="8"/>
  <c r="BO277" i="8"/>
  <c r="BI277" i="8"/>
  <c r="CG276" i="8"/>
  <c r="CB276" i="8"/>
  <c r="BW276" i="8"/>
  <c r="BR276" i="8"/>
  <c r="BL276" i="8"/>
  <c r="CJ275" i="8"/>
  <c r="CF275" i="8"/>
  <c r="CA275" i="8"/>
  <c r="BV275" i="8"/>
  <c r="BZ275" i="8" s="1"/>
  <c r="BQ275" i="8"/>
  <c r="BK275" i="8"/>
  <c r="CI274" i="8"/>
  <c r="CD274" i="8"/>
  <c r="BY274" i="8"/>
  <c r="BT274" i="8"/>
  <c r="BP274" i="8"/>
  <c r="BJ274" i="8"/>
  <c r="CH273" i="8"/>
  <c r="CC273" i="8"/>
  <c r="BX273" i="8"/>
  <c r="BS273" i="8"/>
  <c r="BO273" i="8"/>
  <c r="BI273" i="8"/>
  <c r="CG272" i="8"/>
  <c r="CB272" i="8"/>
  <c r="BW272" i="8"/>
  <c r="BR272" i="8"/>
  <c r="BL272" i="8"/>
  <c r="CJ271" i="8"/>
  <c r="CF271" i="8"/>
  <c r="CA271" i="8"/>
  <c r="BV271" i="8"/>
  <c r="BQ271" i="8"/>
  <c r="BK271" i="8"/>
  <c r="CI270" i="8"/>
  <c r="CD270" i="8"/>
  <c r="BY270" i="8"/>
  <c r="BT270" i="8"/>
  <c r="BP270" i="8"/>
  <c r="BJ270" i="8"/>
  <c r="CH269" i="8"/>
  <c r="CC269" i="8"/>
  <c r="BX269" i="8"/>
  <c r="BS269" i="8"/>
  <c r="BO269" i="8"/>
  <c r="BI269" i="8"/>
  <c r="CG268" i="8"/>
  <c r="CB268" i="8"/>
  <c r="BW268" i="8"/>
  <c r="BR268" i="8"/>
  <c r="BL268" i="8"/>
  <c r="CJ267" i="8"/>
  <c r="CF267" i="8"/>
  <c r="CA267" i="8"/>
  <c r="BV267" i="8"/>
  <c r="BZ267" i="8" s="1"/>
  <c r="BQ267" i="8"/>
  <c r="BK267" i="8"/>
  <c r="CI266" i="8"/>
  <c r="CD266" i="8"/>
  <c r="BY266" i="8"/>
  <c r="BT266" i="8"/>
  <c r="BP266" i="8"/>
  <c r="BJ266" i="8"/>
  <c r="CH265" i="8"/>
  <c r="CC265" i="8"/>
  <c r="BX265" i="8"/>
  <c r="BS265" i="8"/>
  <c r="BO265" i="8"/>
  <c r="BI265" i="8"/>
  <c r="CG264" i="8"/>
  <c r="CB264" i="8"/>
  <c r="BW264" i="8"/>
  <c r="BR264" i="8"/>
  <c r="BL264" i="8"/>
  <c r="CJ263" i="8"/>
  <c r="CF263" i="8"/>
  <c r="CA263" i="8"/>
  <c r="BV263" i="8"/>
  <c r="BQ263" i="8"/>
  <c r="BK263" i="8"/>
  <c r="CI262" i="8"/>
  <c r="CD262" i="8"/>
  <c r="BY262" i="8"/>
  <c r="BT262" i="8"/>
  <c r="BP262" i="8"/>
  <c r="BJ262" i="8"/>
  <c r="CH261" i="8"/>
  <c r="CC261" i="8"/>
  <c r="BX261" i="8"/>
  <c r="BS261" i="8"/>
  <c r="BO261" i="8"/>
  <c r="BI261" i="8"/>
  <c r="CG260" i="8"/>
  <c r="CB260" i="8"/>
  <c r="BW260" i="8"/>
  <c r="BR260" i="8"/>
  <c r="BL260" i="8"/>
  <c r="CJ259" i="8"/>
  <c r="CF259" i="8"/>
  <c r="CA259" i="8"/>
  <c r="BV259" i="8"/>
  <c r="BQ259" i="8"/>
  <c r="BK259" i="8"/>
  <c r="CI258" i="8"/>
  <c r="CD258" i="8"/>
  <c r="BY258" i="8"/>
  <c r="BT258" i="8"/>
  <c r="BP258" i="8"/>
  <c r="BJ258" i="8"/>
  <c r="CH257" i="8"/>
  <c r="CC257" i="8"/>
  <c r="BX257" i="8"/>
  <c r="BS257" i="8"/>
  <c r="BO257" i="8"/>
  <c r="BI257" i="8"/>
  <c r="CG256" i="8"/>
  <c r="CB256" i="8"/>
  <c r="BW256" i="8"/>
  <c r="BR256" i="8"/>
  <c r="BL256" i="8"/>
  <c r="CJ255" i="8"/>
  <c r="CF255" i="8"/>
  <c r="CA255" i="8"/>
  <c r="BV255" i="8"/>
  <c r="BQ255" i="8"/>
  <c r="BK255" i="8"/>
  <c r="CI254" i="8"/>
  <c r="CD254" i="8"/>
  <c r="BY254" i="8"/>
  <c r="BT254" i="8"/>
  <c r="BP254" i="8"/>
  <c r="BJ254" i="8"/>
  <c r="CH253" i="8"/>
  <c r="CC253" i="8"/>
  <c r="BX253" i="8"/>
  <c r="BS253" i="8"/>
  <c r="BO253" i="8"/>
  <c r="BI253" i="8"/>
  <c r="CG252" i="8"/>
  <c r="CB252" i="8"/>
  <c r="BW252" i="8"/>
  <c r="BR252" i="8"/>
  <c r="BL252" i="8"/>
  <c r="CJ251" i="8"/>
  <c r="CF251" i="8"/>
  <c r="CA251" i="8"/>
  <c r="BV251" i="8"/>
  <c r="BQ251" i="8"/>
  <c r="BK251" i="8"/>
  <c r="CI250" i="8"/>
  <c r="CD250" i="8"/>
  <c r="BY250" i="8"/>
  <c r="BT250" i="8"/>
  <c r="BP250" i="8"/>
  <c r="BJ250" i="8"/>
  <c r="CH249" i="8"/>
  <c r="CC249" i="8"/>
  <c r="BX249" i="8"/>
  <c r="BS249" i="8"/>
  <c r="BO249" i="8"/>
  <c r="BI249" i="8"/>
  <c r="CG248" i="8"/>
  <c r="CB248" i="8"/>
  <c r="BW248" i="8"/>
  <c r="BR248" i="8"/>
  <c r="BL248" i="8"/>
  <c r="CJ247" i="8"/>
  <c r="CF247" i="8"/>
  <c r="CA247" i="8"/>
  <c r="BV247" i="8"/>
  <c r="BQ247" i="8"/>
  <c r="BK247" i="8"/>
  <c r="CI246" i="8"/>
  <c r="CD246" i="8"/>
  <c r="BY246" i="8"/>
  <c r="BT246" i="8"/>
  <c r="BP246" i="8"/>
  <c r="BJ246" i="8"/>
  <c r="CH245" i="8"/>
  <c r="CC245" i="8"/>
  <c r="BX245" i="8"/>
  <c r="BS245" i="8"/>
  <c r="BO245" i="8"/>
  <c r="BI245" i="8"/>
  <c r="CG244" i="8"/>
  <c r="CB244" i="8"/>
  <c r="BW244" i="8"/>
  <c r="BR244" i="8"/>
  <c r="BL244" i="8"/>
  <c r="CJ243" i="8"/>
  <c r="CF243" i="8"/>
  <c r="CA243" i="8"/>
  <c r="BV243" i="8"/>
  <c r="BZ243" i="8" s="1"/>
  <c r="BQ243" i="8"/>
  <c r="BK243" i="8"/>
  <c r="CI242" i="8"/>
  <c r="CD242" i="8"/>
  <c r="BY242" i="8"/>
  <c r="BT242" i="8"/>
  <c r="BP242" i="8"/>
  <c r="BJ242" i="8"/>
  <c r="CH241" i="8"/>
  <c r="CC241" i="8"/>
  <c r="BX241" i="8"/>
  <c r="BS241" i="8"/>
  <c r="BO241" i="8"/>
  <c r="BI241" i="8"/>
  <c r="CG240" i="8"/>
  <c r="CB240" i="8"/>
  <c r="BW240" i="8"/>
  <c r="BR240" i="8"/>
  <c r="BL240" i="8"/>
  <c r="CJ239" i="8"/>
  <c r="CF239" i="8"/>
  <c r="CA239" i="8"/>
  <c r="BV239" i="8"/>
  <c r="BZ239" i="8" s="1"/>
  <c r="BQ239" i="8"/>
  <c r="BK239" i="8"/>
  <c r="CI238" i="8"/>
  <c r="CD238" i="8"/>
  <c r="BY238" i="8"/>
  <c r="BT238" i="8"/>
  <c r="BP238" i="8"/>
  <c r="BJ238" i="8"/>
  <c r="CH237" i="8"/>
  <c r="CC237" i="8"/>
  <c r="BX237" i="8"/>
  <c r="BS237" i="8"/>
  <c r="BO237" i="8"/>
  <c r="BI237" i="8"/>
  <c r="CG236" i="8"/>
  <c r="CB236" i="8"/>
  <c r="BW236" i="8"/>
  <c r="BR236" i="8"/>
  <c r="BL236" i="8"/>
  <c r="CJ235" i="8"/>
  <c r="CF235" i="8"/>
  <c r="CA235" i="8"/>
  <c r="BV235" i="8"/>
  <c r="BZ235" i="8" s="1"/>
  <c r="BQ235" i="8"/>
  <c r="BK235" i="8"/>
  <c r="CI234" i="8"/>
  <c r="CD234" i="8"/>
  <c r="BY234" i="8"/>
  <c r="BT234" i="8"/>
  <c r="BP234" i="8"/>
  <c r="BJ234" i="8"/>
  <c r="CH233" i="8"/>
  <c r="CC233" i="8"/>
  <c r="BX233" i="8"/>
  <c r="BS233" i="8"/>
  <c r="BO233" i="8"/>
  <c r="BI233" i="8"/>
  <c r="CG232" i="8"/>
  <c r="CB232" i="8"/>
  <c r="BW232" i="8"/>
  <c r="BR232" i="8"/>
  <c r="BL232" i="8"/>
  <c r="CJ231" i="8"/>
  <c r="CF231" i="8"/>
  <c r="CA231" i="8"/>
  <c r="BV231" i="8"/>
  <c r="BZ231" i="8" s="1"/>
  <c r="BQ231" i="8"/>
  <c r="BK231" i="8"/>
  <c r="CI230" i="8"/>
  <c r="CD230" i="8"/>
  <c r="BY230" i="8"/>
  <c r="BT230" i="8"/>
  <c r="BP230" i="8"/>
  <c r="BJ230" i="8"/>
  <c r="CH229" i="8"/>
  <c r="CC229" i="8"/>
  <c r="BX229" i="8"/>
  <c r="BS229" i="8"/>
  <c r="BO229" i="8"/>
  <c r="BI229" i="8"/>
  <c r="CG228" i="8"/>
  <c r="CB228" i="8"/>
  <c r="BW228" i="8"/>
  <c r="BR228" i="8"/>
  <c r="BL228" i="8"/>
  <c r="CJ227" i="8"/>
  <c r="CF227" i="8"/>
  <c r="CA227" i="8"/>
  <c r="BV227" i="8"/>
  <c r="BZ227" i="8" s="1"/>
  <c r="BQ227" i="8"/>
  <c r="BK227" i="8"/>
  <c r="CI226" i="8"/>
  <c r="CD226" i="8"/>
  <c r="BY226" i="8"/>
  <c r="BT226" i="8"/>
  <c r="BP226" i="8"/>
  <c r="BJ226" i="8"/>
  <c r="CH225" i="8"/>
  <c r="CC225" i="8"/>
  <c r="BX225" i="8"/>
  <c r="BS225" i="8"/>
  <c r="BO225" i="8"/>
  <c r="BI225" i="8"/>
  <c r="CG224" i="8"/>
  <c r="CB224" i="8"/>
  <c r="BW224" i="8"/>
  <c r="BR224" i="8"/>
  <c r="BL224" i="8"/>
  <c r="CJ223" i="8"/>
  <c r="CF223" i="8"/>
  <c r="CA223" i="8"/>
  <c r="BV223" i="8"/>
  <c r="BZ223" i="8" s="1"/>
  <c r="BQ223" i="8"/>
  <c r="BK223" i="8"/>
  <c r="CI222" i="8"/>
  <c r="CD222" i="8"/>
  <c r="BY222" i="8"/>
  <c r="BT222" i="8"/>
  <c r="BP222" i="8"/>
  <c r="BJ222" i="8"/>
  <c r="CH221" i="8"/>
  <c r="CC221" i="8"/>
  <c r="BX221" i="8"/>
  <c r="BS221" i="8"/>
  <c r="BO221" i="8"/>
  <c r="BI221" i="8"/>
  <c r="CG220" i="8"/>
  <c r="CB220" i="8"/>
  <c r="BW220" i="8"/>
  <c r="BR220" i="8"/>
  <c r="BL220" i="8"/>
  <c r="CJ219" i="8"/>
  <c r="CF219" i="8"/>
  <c r="CA219" i="8"/>
  <c r="BV219" i="8"/>
  <c r="BZ219" i="8" s="1"/>
  <c r="BQ219" i="8"/>
  <c r="BK219" i="8"/>
  <c r="CI218" i="8"/>
  <c r="CD218" i="8"/>
  <c r="BY218" i="8"/>
  <c r="BT218" i="8"/>
  <c r="BP218" i="8"/>
  <c r="BJ218" i="8"/>
  <c r="CH217" i="8"/>
  <c r="CC217" i="8"/>
  <c r="BX217" i="8"/>
  <c r="BS217" i="8"/>
  <c r="BO217" i="8"/>
  <c r="BI217" i="8"/>
  <c r="CG216" i="8"/>
  <c r="CB216" i="8"/>
  <c r="BW216" i="8"/>
  <c r="BR216" i="8"/>
  <c r="BL216" i="8"/>
  <c r="CJ215" i="8"/>
  <c r="CF215" i="8"/>
  <c r="CA215" i="8"/>
  <c r="BV215" i="8"/>
  <c r="BZ215" i="8" s="1"/>
  <c r="BQ215" i="8"/>
  <c r="BK215" i="8"/>
  <c r="CI214" i="8"/>
  <c r="CD214" i="8"/>
  <c r="BY214" i="8"/>
  <c r="BT214" i="8"/>
  <c r="BP214" i="8"/>
  <c r="BJ214" i="8"/>
  <c r="CH213" i="8"/>
  <c r="CC213" i="8"/>
  <c r="BX213" i="8"/>
  <c r="BS213" i="8"/>
  <c r="BO213" i="8"/>
  <c r="BI213" i="8"/>
  <c r="CG212" i="8"/>
  <c r="CB212" i="8"/>
  <c r="BW212" i="8"/>
  <c r="BR212" i="8"/>
  <c r="BL212" i="8"/>
  <c r="CJ211" i="8"/>
  <c r="CF211" i="8"/>
  <c r="CA211" i="8"/>
  <c r="BV211" i="8"/>
  <c r="BZ211" i="8" s="1"/>
  <c r="BQ211" i="8"/>
  <c r="BK211" i="8"/>
  <c r="CI210" i="8"/>
  <c r="CD210" i="8"/>
  <c r="BY210" i="8"/>
  <c r="BT210" i="8"/>
  <c r="BP210" i="8"/>
  <c r="BJ210" i="8"/>
  <c r="CH209" i="8"/>
  <c r="CC209" i="8"/>
  <c r="BX209" i="8"/>
  <c r="BS209" i="8"/>
  <c r="BO209" i="8"/>
  <c r="BI209" i="8"/>
  <c r="CG208" i="8"/>
  <c r="CB208" i="8"/>
  <c r="BW208" i="8"/>
  <c r="BR208" i="8"/>
  <c r="BL208" i="8"/>
  <c r="CJ207" i="8"/>
  <c r="CF207" i="8"/>
  <c r="CA207" i="8"/>
  <c r="BV207" i="8"/>
  <c r="BZ207" i="8" s="1"/>
  <c r="BQ207" i="8"/>
  <c r="BK207" i="8"/>
  <c r="CI206" i="8"/>
  <c r="CD206" i="8"/>
  <c r="BY206" i="8"/>
  <c r="BT206" i="8"/>
  <c r="BP206" i="8"/>
  <c r="BJ206" i="8"/>
  <c r="CH205" i="8"/>
  <c r="CC205" i="8"/>
  <c r="BX205" i="8"/>
  <c r="BS205" i="8"/>
  <c r="BO205" i="8"/>
  <c r="BI205" i="8"/>
  <c r="CG204" i="8"/>
  <c r="CB204" i="8"/>
  <c r="BW204" i="8"/>
  <c r="BR204" i="8"/>
  <c r="BL204" i="8"/>
  <c r="CJ203" i="8"/>
  <c r="CF203" i="8"/>
  <c r="CA203" i="8"/>
  <c r="BV203" i="8"/>
  <c r="BQ203" i="8"/>
  <c r="BK203" i="8"/>
  <c r="CI202" i="8"/>
  <c r="CD202" i="8"/>
  <c r="BY202" i="8"/>
  <c r="BT202" i="8"/>
  <c r="BP202" i="8"/>
  <c r="BJ202" i="8"/>
  <c r="CH201" i="8"/>
  <c r="CC201" i="8"/>
  <c r="BX201" i="8"/>
  <c r="BS201" i="8"/>
  <c r="BO201" i="8"/>
  <c r="BI201" i="8"/>
  <c r="CG200" i="8"/>
  <c r="CB200" i="8"/>
  <c r="BW200" i="8"/>
  <c r="BR200" i="8"/>
  <c r="BL200" i="8"/>
  <c r="CJ199" i="8"/>
  <c r="CF199" i="8"/>
  <c r="CA199" i="8"/>
  <c r="BV199" i="8"/>
  <c r="BZ199" i="8" s="1"/>
  <c r="BQ199" i="8"/>
  <c r="BK199" i="8"/>
  <c r="CI198" i="8"/>
  <c r="CD198" i="8"/>
  <c r="BY198" i="8"/>
  <c r="BT198" i="8"/>
  <c r="BP198" i="8"/>
  <c r="BJ198" i="8"/>
  <c r="CH197" i="8"/>
  <c r="CC197" i="8"/>
  <c r="BX197" i="8"/>
  <c r="BS197" i="8"/>
  <c r="BO197" i="8"/>
  <c r="BI197" i="8"/>
  <c r="CG196" i="8"/>
  <c r="CB196" i="8"/>
  <c r="BW196" i="8"/>
  <c r="BR196" i="8"/>
  <c r="BL196" i="8"/>
  <c r="CJ195" i="8"/>
  <c r="CF195" i="8"/>
  <c r="CA195" i="8"/>
  <c r="BV195" i="8"/>
  <c r="BZ195" i="8" s="1"/>
  <c r="BQ195" i="8"/>
  <c r="BK195" i="8"/>
  <c r="CI194" i="8"/>
  <c r="CD194" i="8"/>
  <c r="BY194" i="8"/>
  <c r="BT194" i="8"/>
  <c r="BP194" i="8"/>
  <c r="BJ194" i="8"/>
  <c r="CH193" i="8"/>
  <c r="CC193" i="8"/>
  <c r="BX193" i="8"/>
  <c r="BS193" i="8"/>
  <c r="BO193" i="8"/>
  <c r="BI193" i="8"/>
  <c r="CG192" i="8"/>
  <c r="CB192" i="8"/>
  <c r="BW192" i="8"/>
  <c r="BR192" i="8"/>
  <c r="BL192" i="8"/>
  <c r="CJ191" i="8"/>
  <c r="CF191" i="8"/>
  <c r="CA191" i="8"/>
  <c r="BV191" i="8"/>
  <c r="BZ191" i="8" s="1"/>
  <c r="BQ191" i="8"/>
  <c r="BK191" i="8"/>
  <c r="CI190" i="8"/>
  <c r="CD190" i="8"/>
  <c r="BY190" i="8"/>
  <c r="BT190" i="8"/>
  <c r="BP190" i="8"/>
  <c r="BJ190" i="8"/>
  <c r="CH189" i="8"/>
  <c r="CC189" i="8"/>
  <c r="BX189" i="8"/>
  <c r="BS189" i="8"/>
  <c r="BO189" i="8"/>
  <c r="BI189" i="8"/>
  <c r="CG188" i="8"/>
  <c r="CB188" i="8"/>
  <c r="BW188" i="8"/>
  <c r="BR188" i="8"/>
  <c r="BL188" i="8"/>
  <c r="CJ187" i="8"/>
  <c r="CF187" i="8"/>
  <c r="CA187" i="8"/>
  <c r="BO786" i="8"/>
  <c r="CB741" i="8"/>
  <c r="CI715" i="8"/>
  <c r="CI697" i="8"/>
  <c r="CF686" i="8"/>
  <c r="CB675" i="8"/>
  <c r="BX664" i="8"/>
  <c r="BT653" i="8"/>
  <c r="CB647" i="8"/>
  <c r="BK642" i="8"/>
  <c r="BX636" i="8"/>
  <c r="CJ630" i="8"/>
  <c r="BT625" i="8"/>
  <c r="BS620" i="8"/>
  <c r="BY617" i="8"/>
  <c r="CF614" i="8"/>
  <c r="BI612" i="8"/>
  <c r="BP609" i="8"/>
  <c r="BV606" i="8"/>
  <c r="BZ606" i="8" s="1"/>
  <c r="CB603" i="8"/>
  <c r="CH600" i="8"/>
  <c r="BK598" i="8"/>
  <c r="BR595" i="8"/>
  <c r="BX592" i="8"/>
  <c r="CD589" i="8"/>
  <c r="CJ586" i="8"/>
  <c r="BO584" i="8"/>
  <c r="BT581" i="8"/>
  <c r="CA578" i="8"/>
  <c r="CG575" i="8"/>
  <c r="BJ573" i="8"/>
  <c r="BQ570" i="8"/>
  <c r="BW567" i="8"/>
  <c r="CC564" i="8"/>
  <c r="CI561" i="8"/>
  <c r="BL559" i="8"/>
  <c r="BS556" i="8"/>
  <c r="BY553" i="8"/>
  <c r="CF550" i="8"/>
  <c r="BI548" i="8"/>
  <c r="BP545" i="8"/>
  <c r="BV542" i="8"/>
  <c r="BZ542" i="8" s="1"/>
  <c r="CG539" i="8"/>
  <c r="BL539" i="8"/>
  <c r="BV538" i="8"/>
  <c r="BZ538" i="8" s="1"/>
  <c r="CD537" i="8"/>
  <c r="BJ537" i="8"/>
  <c r="BS536" i="8"/>
  <c r="CB535" i="8"/>
  <c r="CJ534" i="8"/>
  <c r="BQ534" i="8"/>
  <c r="BY533" i="8"/>
  <c r="CH532" i="8"/>
  <c r="BO532" i="8"/>
  <c r="BW531" i="8"/>
  <c r="CF530" i="8"/>
  <c r="BK530" i="8"/>
  <c r="BT529" i="8"/>
  <c r="CC528" i="8"/>
  <c r="BI528" i="8"/>
  <c r="BR527" i="8"/>
  <c r="CA526" i="8"/>
  <c r="CE526" i="8" s="1"/>
  <c r="CI525" i="8"/>
  <c r="BP525" i="8"/>
  <c r="BX524" i="8"/>
  <c r="CG523" i="8"/>
  <c r="BL523" i="8"/>
  <c r="BV522" i="8"/>
  <c r="BZ522" i="8" s="1"/>
  <c r="CD521" i="8"/>
  <c r="BJ521" i="8"/>
  <c r="BS520" i="8"/>
  <c r="CB519" i="8"/>
  <c r="CJ518" i="8"/>
  <c r="BQ518" i="8"/>
  <c r="BY517" i="8"/>
  <c r="CH516" i="8"/>
  <c r="BO516" i="8"/>
  <c r="BW515" i="8"/>
  <c r="CF514" i="8"/>
  <c r="BK514" i="8"/>
  <c r="BT513" i="8"/>
  <c r="CC512" i="8"/>
  <c r="BI512" i="8"/>
  <c r="BR511" i="8"/>
  <c r="CA510" i="8"/>
  <c r="CI509" i="8"/>
  <c r="BP509" i="8"/>
  <c r="BX508" i="8"/>
  <c r="CG507" i="8"/>
  <c r="BL507" i="8"/>
  <c r="BV506" i="8"/>
  <c r="BZ506" i="8" s="1"/>
  <c r="CD505" i="8"/>
  <c r="BJ505" i="8"/>
  <c r="BS504" i="8"/>
  <c r="CB503" i="8"/>
  <c r="CJ502" i="8"/>
  <c r="BQ502" i="8"/>
  <c r="BY501" i="8"/>
  <c r="CH500" i="8"/>
  <c r="BO500" i="8"/>
  <c r="BY499" i="8"/>
  <c r="BP499" i="8"/>
  <c r="CH498" i="8"/>
  <c r="BX498" i="8"/>
  <c r="BO498" i="8"/>
  <c r="CG497" i="8"/>
  <c r="BW497" i="8"/>
  <c r="BL497" i="8"/>
  <c r="CF496" i="8"/>
  <c r="BV496" i="8"/>
  <c r="BZ496" i="8" s="1"/>
  <c r="BK496" i="8"/>
  <c r="CD495" i="8"/>
  <c r="BT495" i="8"/>
  <c r="BJ495" i="8"/>
  <c r="CC494" i="8"/>
  <c r="BS494" i="8"/>
  <c r="BI494" i="8"/>
  <c r="CB493" i="8"/>
  <c r="BR493" i="8"/>
  <c r="CJ492" i="8"/>
  <c r="CA492" i="8"/>
  <c r="BQ492" i="8"/>
  <c r="CI491" i="8"/>
  <c r="BY491" i="8"/>
  <c r="BP491" i="8"/>
  <c r="CH490" i="8"/>
  <c r="BX490" i="8"/>
  <c r="BO490" i="8"/>
  <c r="CG489" i="8"/>
  <c r="BW489" i="8"/>
  <c r="BL489" i="8"/>
  <c r="CF488" i="8"/>
  <c r="BV488" i="8"/>
  <c r="BZ488" i="8" s="1"/>
  <c r="BK488" i="8"/>
  <c r="CD487" i="8"/>
  <c r="BT487" i="8"/>
  <c r="BJ487" i="8"/>
  <c r="CC486" i="8"/>
  <c r="BS486" i="8"/>
  <c r="BI486" i="8"/>
  <c r="CB485" i="8"/>
  <c r="BR485" i="8"/>
  <c r="CJ484" i="8"/>
  <c r="CA484" i="8"/>
  <c r="BQ484" i="8"/>
  <c r="CI483" i="8"/>
  <c r="BY483" i="8"/>
  <c r="BP483" i="8"/>
  <c r="CH482" i="8"/>
  <c r="BX482" i="8"/>
  <c r="BO482" i="8"/>
  <c r="CG481" i="8"/>
  <c r="BW481" i="8"/>
  <c r="BL481" i="8"/>
  <c r="CF480" i="8"/>
  <c r="BV480" i="8"/>
  <c r="BZ480" i="8" s="1"/>
  <c r="BK480" i="8"/>
  <c r="CD479" i="8"/>
  <c r="BT479" i="8"/>
  <c r="BJ479" i="8"/>
  <c r="CC478" i="8"/>
  <c r="BS478" i="8"/>
  <c r="BI478" i="8"/>
  <c r="CB477" i="8"/>
  <c r="BR477" i="8"/>
  <c r="CJ476" i="8"/>
  <c r="CA476" i="8"/>
  <c r="BQ476" i="8"/>
  <c r="CI475" i="8"/>
  <c r="BY475" i="8"/>
  <c r="BP475" i="8"/>
  <c r="CH474" i="8"/>
  <c r="BX474" i="8"/>
  <c r="BO474" i="8"/>
  <c r="CG473" i="8"/>
  <c r="BW473" i="8"/>
  <c r="BL473" i="8"/>
  <c r="CF472" i="8"/>
  <c r="BV472" i="8"/>
  <c r="BZ472" i="8" s="1"/>
  <c r="BK472" i="8"/>
  <c r="CD471" i="8"/>
  <c r="BT471" i="8"/>
  <c r="BJ471" i="8"/>
  <c r="CC470" i="8"/>
  <c r="BS470" i="8"/>
  <c r="BI470" i="8"/>
  <c r="CB469" i="8"/>
  <c r="BR469" i="8"/>
  <c r="CJ468" i="8"/>
  <c r="CA468" i="8"/>
  <c r="CE468" i="8" s="1"/>
  <c r="BQ468" i="8"/>
  <c r="CI467" i="8"/>
  <c r="BY467" i="8"/>
  <c r="BP467" i="8"/>
  <c r="CH466" i="8"/>
  <c r="BX466" i="8"/>
  <c r="BO466" i="8"/>
  <c r="CG465" i="8"/>
  <c r="BW465" i="8"/>
  <c r="BL465" i="8"/>
  <c r="CF464" i="8"/>
  <c r="BV464" i="8"/>
  <c r="BK464" i="8"/>
  <c r="CD463" i="8"/>
  <c r="BT463" i="8"/>
  <c r="BJ463" i="8"/>
  <c r="CC462" i="8"/>
  <c r="BS462" i="8"/>
  <c r="BI462" i="8"/>
  <c r="CB461" i="8"/>
  <c r="BR461" i="8"/>
  <c r="CJ460" i="8"/>
  <c r="CA460" i="8"/>
  <c r="BQ460" i="8"/>
  <c r="CI459" i="8"/>
  <c r="BY459" i="8"/>
  <c r="BP459" i="8"/>
  <c r="CH458" i="8"/>
  <c r="BX458" i="8"/>
  <c r="BO458" i="8"/>
  <c r="CG457" i="8"/>
  <c r="BW457" i="8"/>
  <c r="BL457" i="8"/>
  <c r="CF456" i="8"/>
  <c r="BV456" i="8"/>
  <c r="BZ456" i="8" s="1"/>
  <c r="BK456" i="8"/>
  <c r="CD455" i="8"/>
  <c r="BT455" i="8"/>
  <c r="BJ455" i="8"/>
  <c r="CC454" i="8"/>
  <c r="BS454" i="8"/>
  <c r="BI454" i="8"/>
  <c r="CB453" i="8"/>
  <c r="BR453" i="8"/>
  <c r="CJ452" i="8"/>
  <c r="CA452" i="8"/>
  <c r="BQ452" i="8"/>
  <c r="CI451" i="8"/>
  <c r="BY451" i="8"/>
  <c r="BP451" i="8"/>
  <c r="CH450" i="8"/>
  <c r="BX450" i="8"/>
  <c r="BO450" i="8"/>
  <c r="CG449" i="8"/>
  <c r="BW449" i="8"/>
  <c r="BL449" i="8"/>
  <c r="CF448" i="8"/>
  <c r="BV448" i="8"/>
  <c r="BZ448" i="8" s="1"/>
  <c r="BK448" i="8"/>
  <c r="CD447" i="8"/>
  <c r="BT447" i="8"/>
  <c r="BJ447" i="8"/>
  <c r="CC446" i="8"/>
  <c r="BS446" i="8"/>
  <c r="BI446" i="8"/>
  <c r="CB445" i="8"/>
  <c r="BR445" i="8"/>
  <c r="CJ444" i="8"/>
  <c r="CA444" i="8"/>
  <c r="BQ444" i="8"/>
  <c r="CI443" i="8"/>
  <c r="BY443" i="8"/>
  <c r="BP443" i="8"/>
  <c r="CH442" i="8"/>
  <c r="BX442" i="8"/>
  <c r="BO442" i="8"/>
  <c r="CG441" i="8"/>
  <c r="BW441" i="8"/>
  <c r="BL441" i="8"/>
  <c r="CF440" i="8"/>
  <c r="BV440" i="8"/>
  <c r="BZ440" i="8" s="1"/>
  <c r="BK440" i="8"/>
  <c r="CD439" i="8"/>
  <c r="BT439" i="8"/>
  <c r="BJ439" i="8"/>
  <c r="CC438" i="8"/>
  <c r="BS438" i="8"/>
  <c r="BI438" i="8"/>
  <c r="CB437" i="8"/>
  <c r="BR437" i="8"/>
  <c r="CJ436" i="8"/>
  <c r="CA436" i="8"/>
  <c r="CE436" i="8" s="1"/>
  <c r="BQ436" i="8"/>
  <c r="CI435" i="8"/>
  <c r="BY435" i="8"/>
  <c r="BP435" i="8"/>
  <c r="CH434" i="8"/>
  <c r="BX434" i="8"/>
  <c r="BO434" i="8"/>
  <c r="CG433" i="8"/>
  <c r="BW433" i="8"/>
  <c r="BL433" i="8"/>
  <c r="CF432" i="8"/>
  <c r="BV432" i="8"/>
  <c r="BZ432" i="8" s="1"/>
  <c r="BK432" i="8"/>
  <c r="CD431" i="8"/>
  <c r="BT431" i="8"/>
  <c r="BJ431" i="8"/>
  <c r="CC430" i="8"/>
  <c r="BS430" i="8"/>
  <c r="BI430" i="8"/>
  <c r="CB429" i="8"/>
  <c r="BR429" i="8"/>
  <c r="CJ428" i="8"/>
  <c r="CA428" i="8"/>
  <c r="BQ428" i="8"/>
  <c r="CI427" i="8"/>
  <c r="BY427" i="8"/>
  <c r="BP427" i="8"/>
  <c r="CH426" i="8"/>
  <c r="BX426" i="8"/>
  <c r="BO426" i="8"/>
  <c r="CG425" i="8"/>
  <c r="BW425" i="8"/>
  <c r="BL425" i="8"/>
  <c r="CF424" i="8"/>
  <c r="BV424" i="8"/>
  <c r="BK424" i="8"/>
  <c r="CD423" i="8"/>
  <c r="BT423" i="8"/>
  <c r="BJ423" i="8"/>
  <c r="CC422" i="8"/>
  <c r="BS422" i="8"/>
  <c r="BI422" i="8"/>
  <c r="CB421" i="8"/>
  <c r="BR421" i="8"/>
  <c r="CJ420" i="8"/>
  <c r="CA420" i="8"/>
  <c r="BQ420" i="8"/>
  <c r="CI419" i="8"/>
  <c r="BY419" i="8"/>
  <c r="BP419" i="8"/>
  <c r="CH418" i="8"/>
  <c r="BX418" i="8"/>
  <c r="BO418" i="8"/>
  <c r="CG417" i="8"/>
  <c r="BW417" i="8"/>
  <c r="BL417" i="8"/>
  <c r="CF416" i="8"/>
  <c r="BV416" i="8"/>
  <c r="BK416" i="8"/>
  <c r="CD415" i="8"/>
  <c r="BT415" i="8"/>
  <c r="BJ415" i="8"/>
  <c r="CC414" i="8"/>
  <c r="BS414" i="8"/>
  <c r="BI414" i="8"/>
  <c r="CB413" i="8"/>
  <c r="BR413" i="8"/>
  <c r="CJ412" i="8"/>
  <c r="CA412" i="8"/>
  <c r="BQ412" i="8"/>
  <c r="CI411" i="8"/>
  <c r="BY411" i="8"/>
  <c r="BP411" i="8"/>
  <c r="CH410" i="8"/>
  <c r="BX410" i="8"/>
  <c r="BO410" i="8"/>
  <c r="CG409" i="8"/>
  <c r="BW409" i="8"/>
  <c r="BL409" i="8"/>
  <c r="CF408" i="8"/>
  <c r="BV408" i="8"/>
  <c r="BK408" i="8"/>
  <c r="CD407" i="8"/>
  <c r="BT407" i="8"/>
  <c r="BJ407" i="8"/>
  <c r="CC406" i="8"/>
  <c r="BS406" i="8"/>
  <c r="BI406" i="8"/>
  <c r="CB405" i="8"/>
  <c r="BR405" i="8"/>
  <c r="CJ404" i="8"/>
  <c r="CA404" i="8"/>
  <c r="CE404" i="8" s="1"/>
  <c r="BQ404" i="8"/>
  <c r="CI403" i="8"/>
  <c r="BY403" i="8"/>
  <c r="BP403" i="8"/>
  <c r="CH402" i="8"/>
  <c r="BX402" i="8"/>
  <c r="BO402" i="8"/>
  <c r="CG401" i="8"/>
  <c r="BW401" i="8"/>
  <c r="BL401" i="8"/>
  <c r="CF400" i="8"/>
  <c r="BV400" i="8"/>
  <c r="BZ400" i="8" s="1"/>
  <c r="BK400" i="8"/>
  <c r="CD399" i="8"/>
  <c r="BT399" i="8"/>
  <c r="BJ399" i="8"/>
  <c r="CC398" i="8"/>
  <c r="BS398" i="8"/>
  <c r="BI398" i="8"/>
  <c r="CB397" i="8"/>
  <c r="BR397" i="8"/>
  <c r="CJ396" i="8"/>
  <c r="CA396" i="8"/>
  <c r="BQ396" i="8"/>
  <c r="CI395" i="8"/>
  <c r="BY395" i="8"/>
  <c r="BP395" i="8"/>
  <c r="CH394" i="8"/>
  <c r="BX394" i="8"/>
  <c r="BO394" i="8"/>
  <c r="CG393" i="8"/>
  <c r="BW393" i="8"/>
  <c r="BL393" i="8"/>
  <c r="CF392" i="8"/>
  <c r="BV392" i="8"/>
  <c r="BK392" i="8"/>
  <c r="CD391" i="8"/>
  <c r="BT391" i="8"/>
  <c r="BJ391" i="8"/>
  <c r="CC390" i="8"/>
  <c r="BS390" i="8"/>
  <c r="BI390" i="8"/>
  <c r="CB389" i="8"/>
  <c r="BR389" i="8"/>
  <c r="CJ388" i="8"/>
  <c r="CA388" i="8"/>
  <c r="BQ388" i="8"/>
  <c r="CI387" i="8"/>
  <c r="BY387" i="8"/>
  <c r="BP387" i="8"/>
  <c r="CH386" i="8"/>
  <c r="BX386" i="8"/>
  <c r="BO386" i="8"/>
  <c r="CG385" i="8"/>
  <c r="BW385" i="8"/>
  <c r="BL385" i="8"/>
  <c r="CF384" i="8"/>
  <c r="BV384" i="8"/>
  <c r="BK384" i="8"/>
  <c r="CD383" i="8"/>
  <c r="BT383" i="8"/>
  <c r="BJ383" i="8"/>
  <c r="CC382" i="8"/>
  <c r="BS382" i="8"/>
  <c r="BI382" i="8"/>
  <c r="CB381" i="8"/>
  <c r="BR381" i="8"/>
  <c r="CJ380" i="8"/>
  <c r="CA380" i="8"/>
  <c r="BQ380" i="8"/>
  <c r="CI379" i="8"/>
  <c r="BY379" i="8"/>
  <c r="BP379" i="8"/>
  <c r="CH378" i="8"/>
  <c r="BX378" i="8"/>
  <c r="BO378" i="8"/>
  <c r="CG377" i="8"/>
  <c r="BW377" i="8"/>
  <c r="BL377" i="8"/>
  <c r="CF376" i="8"/>
  <c r="BV376" i="8"/>
  <c r="BZ376" i="8" s="1"/>
  <c r="BK376" i="8"/>
  <c r="CD375" i="8"/>
  <c r="BT375" i="8"/>
  <c r="BJ375" i="8"/>
  <c r="CC374" i="8"/>
  <c r="BS374" i="8"/>
  <c r="BI374" i="8"/>
  <c r="CB373" i="8"/>
  <c r="BR373" i="8"/>
  <c r="CJ372" i="8"/>
  <c r="CA372" i="8"/>
  <c r="CE372" i="8" s="1"/>
  <c r="BQ372" i="8"/>
  <c r="CI371" i="8"/>
  <c r="BY371" i="8"/>
  <c r="BP371" i="8"/>
  <c r="CH370" i="8"/>
  <c r="BX370" i="8"/>
  <c r="BO370" i="8"/>
  <c r="CG369" i="8"/>
  <c r="BW369" i="8"/>
  <c r="BL369" i="8"/>
  <c r="CF368" i="8"/>
  <c r="BV368" i="8"/>
  <c r="BZ368" i="8" s="1"/>
  <c r="BK368" i="8"/>
  <c r="CD367" i="8"/>
  <c r="BT367" i="8"/>
  <c r="BJ367" i="8"/>
  <c r="CC366" i="8"/>
  <c r="BS366" i="8"/>
  <c r="BI366" i="8"/>
  <c r="CB365" i="8"/>
  <c r="BR365" i="8"/>
  <c r="CJ364" i="8"/>
  <c r="CA364" i="8"/>
  <c r="BQ364" i="8"/>
  <c r="CI363" i="8"/>
  <c r="BY363" i="8"/>
  <c r="BP363" i="8"/>
  <c r="CH362" i="8"/>
  <c r="BX362" i="8"/>
  <c r="BO362" i="8"/>
  <c r="CG361" i="8"/>
  <c r="BW361" i="8"/>
  <c r="BL361" i="8"/>
  <c r="CF360" i="8"/>
  <c r="BV360" i="8"/>
  <c r="BZ360" i="8" s="1"/>
  <c r="BK360" i="8"/>
  <c r="CD359" i="8"/>
  <c r="BT359" i="8"/>
  <c r="BJ359" i="8"/>
  <c r="CC358" i="8"/>
  <c r="BS358" i="8"/>
  <c r="BI358" i="8"/>
  <c r="CB357" i="8"/>
  <c r="BR357" i="8"/>
  <c r="CJ356" i="8"/>
  <c r="CA356" i="8"/>
  <c r="BQ356" i="8"/>
  <c r="CI355" i="8"/>
  <c r="BY355" i="8"/>
  <c r="BP355" i="8"/>
  <c r="CH354" i="8"/>
  <c r="BX354" i="8"/>
  <c r="BO354" i="8"/>
  <c r="CG353" i="8"/>
  <c r="BW353" i="8"/>
  <c r="BL353" i="8"/>
  <c r="CF352" i="8"/>
  <c r="BV352" i="8"/>
  <c r="BZ352" i="8" s="1"/>
  <c r="BK352" i="8"/>
  <c r="CD351" i="8"/>
  <c r="BT351" i="8"/>
  <c r="BJ351" i="8"/>
  <c r="CC350" i="8"/>
  <c r="BS350" i="8"/>
  <c r="BI350" i="8"/>
  <c r="CB349" i="8"/>
  <c r="BR349" i="8"/>
  <c r="CJ348" i="8"/>
  <c r="CA348" i="8"/>
  <c r="BQ348" i="8"/>
  <c r="CI347" i="8"/>
  <c r="BY347" i="8"/>
  <c r="BP347" i="8"/>
  <c r="CH346" i="8"/>
  <c r="BX346" i="8"/>
  <c r="BO346" i="8"/>
  <c r="CG345" i="8"/>
  <c r="BW345" i="8"/>
  <c r="BL345" i="8"/>
  <c r="CF344" i="8"/>
  <c r="BV344" i="8"/>
  <c r="BK344" i="8"/>
  <c r="CD343" i="8"/>
  <c r="BT343" i="8"/>
  <c r="BJ343" i="8"/>
  <c r="CC342" i="8"/>
  <c r="BS342" i="8"/>
  <c r="BI342" i="8"/>
  <c r="CB341" i="8"/>
  <c r="BR341" i="8"/>
  <c r="CJ340" i="8"/>
  <c r="CA340" i="8"/>
  <c r="CE340" i="8" s="1"/>
  <c r="BQ340" i="8"/>
  <c r="CI339" i="8"/>
  <c r="BY339" i="8"/>
  <c r="BP339" i="8"/>
  <c r="CH338" i="8"/>
  <c r="BX338" i="8"/>
  <c r="BO338" i="8"/>
  <c r="CG337" i="8"/>
  <c r="BW337" i="8"/>
  <c r="BL337" i="8"/>
  <c r="CF336" i="8"/>
  <c r="BV336" i="8"/>
  <c r="BZ336" i="8" s="1"/>
  <c r="BK336" i="8"/>
  <c r="CD335" i="8"/>
  <c r="BT335" i="8"/>
  <c r="BJ335" i="8"/>
  <c r="CC334" i="8"/>
  <c r="BS334" i="8"/>
  <c r="BI334" i="8"/>
  <c r="CB333" i="8"/>
  <c r="BR333" i="8"/>
  <c r="CJ332" i="8"/>
  <c r="CA332" i="8"/>
  <c r="BQ332" i="8"/>
  <c r="CI331" i="8"/>
  <c r="BY331" i="8"/>
  <c r="BP331" i="8"/>
  <c r="CH330" i="8"/>
  <c r="BX330" i="8"/>
  <c r="BO330" i="8"/>
  <c r="CG329" i="8"/>
  <c r="BW329" i="8"/>
  <c r="BL329" i="8"/>
  <c r="CF328" i="8"/>
  <c r="BV328" i="8"/>
  <c r="BZ328" i="8" s="1"/>
  <c r="BK328" i="8"/>
  <c r="CD327" i="8"/>
  <c r="BT327" i="8"/>
  <c r="BJ327" i="8"/>
  <c r="CC326" i="8"/>
  <c r="BS326" i="8"/>
  <c r="BI326" i="8"/>
  <c r="CB325" i="8"/>
  <c r="BR325" i="8"/>
  <c r="CJ324" i="8"/>
  <c r="CA324" i="8"/>
  <c r="BQ324" i="8"/>
  <c r="CI323" i="8"/>
  <c r="BY323" i="8"/>
  <c r="BP323" i="8"/>
  <c r="CH322" i="8"/>
  <c r="BX322" i="8"/>
  <c r="BO322" i="8"/>
  <c r="CG321" i="8"/>
  <c r="BW321" i="8"/>
  <c r="BL321" i="8"/>
  <c r="CF320" i="8"/>
  <c r="BV320" i="8"/>
  <c r="BZ320" i="8" s="1"/>
  <c r="BK320" i="8"/>
  <c r="CD319" i="8"/>
  <c r="BT319" i="8"/>
  <c r="BJ319" i="8"/>
  <c r="CC318" i="8"/>
  <c r="BJ775" i="8"/>
  <c r="BI684" i="8"/>
  <c r="BQ646" i="8"/>
  <c r="BI624" i="8"/>
  <c r="BR611" i="8"/>
  <c r="BO600" i="8"/>
  <c r="BJ589" i="8"/>
  <c r="CI577" i="8"/>
  <c r="CF566" i="8"/>
  <c r="CB555" i="8"/>
  <c r="BX544" i="8"/>
  <c r="BQ538" i="8"/>
  <c r="BW535" i="8"/>
  <c r="CC532" i="8"/>
  <c r="CI529" i="8"/>
  <c r="BL527" i="8"/>
  <c r="BS524" i="8"/>
  <c r="BY521" i="8"/>
  <c r="CF518" i="8"/>
  <c r="BI516" i="8"/>
  <c r="BP513" i="8"/>
  <c r="BV510" i="8"/>
  <c r="BZ510" i="8" s="1"/>
  <c r="CB507" i="8"/>
  <c r="CH504" i="8"/>
  <c r="BK502" i="8"/>
  <c r="BW499" i="8"/>
  <c r="BK498" i="8"/>
  <c r="CC496" i="8"/>
  <c r="BR495" i="8"/>
  <c r="CI493" i="8"/>
  <c r="BX492" i="8"/>
  <c r="BL491" i="8"/>
  <c r="CD489" i="8"/>
  <c r="BS488" i="8"/>
  <c r="CJ486" i="8"/>
  <c r="BY485" i="8"/>
  <c r="BO484" i="8"/>
  <c r="CF482" i="8"/>
  <c r="BT481" i="8"/>
  <c r="BI480" i="8"/>
  <c r="CA478" i="8"/>
  <c r="BP477" i="8"/>
  <c r="CG475" i="8"/>
  <c r="BV474" i="8"/>
  <c r="BZ474" i="8" s="1"/>
  <c r="BJ473" i="8"/>
  <c r="CB471" i="8"/>
  <c r="BQ470" i="8"/>
  <c r="CH468" i="8"/>
  <c r="BW467" i="8"/>
  <c r="BK466" i="8"/>
  <c r="CC464" i="8"/>
  <c r="BR463" i="8"/>
  <c r="CI461" i="8"/>
  <c r="BX460" i="8"/>
  <c r="BL459" i="8"/>
  <c r="CD457" i="8"/>
  <c r="BS456" i="8"/>
  <c r="CJ454" i="8"/>
  <c r="BY453" i="8"/>
  <c r="BO452" i="8"/>
  <c r="CF450" i="8"/>
  <c r="BT449" i="8"/>
  <c r="BI448" i="8"/>
  <c r="CA446" i="8"/>
  <c r="BP445" i="8"/>
  <c r="CG443" i="8"/>
  <c r="BV442" i="8"/>
  <c r="BZ442" i="8" s="1"/>
  <c r="BJ441" i="8"/>
  <c r="CB439" i="8"/>
  <c r="BQ438" i="8"/>
  <c r="CH436" i="8"/>
  <c r="BW435" i="8"/>
  <c r="BK434" i="8"/>
  <c r="CC432" i="8"/>
  <c r="BR431" i="8"/>
  <c r="CI429" i="8"/>
  <c r="BX428" i="8"/>
  <c r="BL427" i="8"/>
  <c r="CD425" i="8"/>
  <c r="BS424" i="8"/>
  <c r="CJ422" i="8"/>
  <c r="BY421" i="8"/>
  <c r="BO420" i="8"/>
  <c r="CF418" i="8"/>
  <c r="BT417" i="8"/>
  <c r="BI416" i="8"/>
  <c r="CA414" i="8"/>
  <c r="CE414" i="8" s="1"/>
  <c r="BP413" i="8"/>
  <c r="CG411" i="8"/>
  <c r="BV410" i="8"/>
  <c r="BJ409" i="8"/>
  <c r="CB407" i="8"/>
  <c r="BQ406" i="8"/>
  <c r="CH404" i="8"/>
  <c r="BW403" i="8"/>
  <c r="BK402" i="8"/>
  <c r="CC400" i="8"/>
  <c r="BR399" i="8"/>
  <c r="CI397" i="8"/>
  <c r="BX396" i="8"/>
  <c r="BL395" i="8"/>
  <c r="CD393" i="8"/>
  <c r="BS392" i="8"/>
  <c r="CJ390" i="8"/>
  <c r="BY389" i="8"/>
  <c r="BO388" i="8"/>
  <c r="CF386" i="8"/>
  <c r="BT385" i="8"/>
  <c r="BI384" i="8"/>
  <c r="CA382" i="8"/>
  <c r="BP381" i="8"/>
  <c r="CG379" i="8"/>
  <c r="BV378" i="8"/>
  <c r="BZ378" i="8" s="1"/>
  <c r="BJ377" i="8"/>
  <c r="CB375" i="8"/>
  <c r="BQ374" i="8"/>
  <c r="CH372" i="8"/>
  <c r="BW371" i="8"/>
  <c r="BK370" i="8"/>
  <c r="CC368" i="8"/>
  <c r="BR367" i="8"/>
  <c r="CI365" i="8"/>
  <c r="BX364" i="8"/>
  <c r="BL363" i="8"/>
  <c r="CD361" i="8"/>
  <c r="BS360" i="8"/>
  <c r="CJ358" i="8"/>
  <c r="BY357" i="8"/>
  <c r="BO356" i="8"/>
  <c r="CF354" i="8"/>
  <c r="BT353" i="8"/>
  <c r="BI352" i="8"/>
  <c r="CA350" i="8"/>
  <c r="BP349" i="8"/>
  <c r="CG347" i="8"/>
  <c r="BV346" i="8"/>
  <c r="BZ346" i="8" s="1"/>
  <c r="BJ345" i="8"/>
  <c r="CB343" i="8"/>
  <c r="BQ342" i="8"/>
  <c r="CH340" i="8"/>
  <c r="BW339" i="8"/>
  <c r="BK338" i="8"/>
  <c r="CC336" i="8"/>
  <c r="BR335" i="8"/>
  <c r="CI333" i="8"/>
  <c r="BX332" i="8"/>
  <c r="BL331" i="8"/>
  <c r="CD329" i="8"/>
  <c r="BS328" i="8"/>
  <c r="CJ326" i="8"/>
  <c r="BY325" i="8"/>
  <c r="BO324" i="8"/>
  <c r="CF322" i="8"/>
  <c r="BT321" i="8"/>
  <c r="BI320" i="8"/>
  <c r="CA318" i="8"/>
  <c r="BK318" i="8"/>
  <c r="CA317" i="8"/>
  <c r="BL317" i="8"/>
  <c r="CC316" i="8"/>
  <c r="BP316" i="8"/>
  <c r="CD315" i="8"/>
  <c r="BR315" i="8"/>
  <c r="CG314" i="8"/>
  <c r="BS314" i="8"/>
  <c r="CI313" i="8"/>
  <c r="BV313" i="8"/>
  <c r="BZ313" i="8" s="1"/>
  <c r="CJ312" i="8"/>
  <c r="BX312" i="8"/>
  <c r="BJ312" i="8"/>
  <c r="CC311" i="8"/>
  <c r="BS311" i="8"/>
  <c r="BI311" i="8"/>
  <c r="CB310" i="8"/>
  <c r="BR310" i="8"/>
  <c r="CJ309" i="8"/>
  <c r="CA309" i="8"/>
  <c r="BQ309" i="8"/>
  <c r="CI308" i="8"/>
  <c r="BY308" i="8"/>
  <c r="BP308" i="8"/>
  <c r="CH307" i="8"/>
  <c r="BX307" i="8"/>
  <c r="BO307" i="8"/>
  <c r="CG306" i="8"/>
  <c r="BW306" i="8"/>
  <c r="BL306" i="8"/>
  <c r="CF305" i="8"/>
  <c r="BV305" i="8"/>
  <c r="BZ305" i="8" s="1"/>
  <c r="BK305" i="8"/>
  <c r="CD304" i="8"/>
  <c r="BT304" i="8"/>
  <c r="BJ304" i="8"/>
  <c r="CC303" i="8"/>
  <c r="BS303" i="8"/>
  <c r="BI303" i="8"/>
  <c r="CB302" i="8"/>
  <c r="BR302" i="8"/>
  <c r="CJ301" i="8"/>
  <c r="CA301" i="8"/>
  <c r="BQ301" i="8"/>
  <c r="CI300" i="8"/>
  <c r="BY300" i="8"/>
  <c r="BP300" i="8"/>
  <c r="CH299" i="8"/>
  <c r="BX299" i="8"/>
  <c r="BO299" i="8"/>
  <c r="CG298" i="8"/>
  <c r="BW298" i="8"/>
  <c r="BL298" i="8"/>
  <c r="CF297" i="8"/>
  <c r="BV297" i="8"/>
  <c r="BZ297" i="8" s="1"/>
  <c r="BK297" i="8"/>
  <c r="CD296" i="8"/>
  <c r="BT296" i="8"/>
  <c r="BJ296" i="8"/>
  <c r="CC295" i="8"/>
  <c r="BS295" i="8"/>
  <c r="BI295" i="8"/>
  <c r="CB294" i="8"/>
  <c r="BR294" i="8"/>
  <c r="CJ293" i="8"/>
  <c r="CA293" i="8"/>
  <c r="BQ293" i="8"/>
  <c r="CI292" i="8"/>
  <c r="BY292" i="8"/>
  <c r="BP292" i="8"/>
  <c r="CH291" i="8"/>
  <c r="BX291" i="8"/>
  <c r="BO291" i="8"/>
  <c r="CG290" i="8"/>
  <c r="BW290" i="8"/>
  <c r="BL290" i="8"/>
  <c r="CF289" i="8"/>
  <c r="BV289" i="8"/>
  <c r="BZ289" i="8" s="1"/>
  <c r="BK289" i="8"/>
  <c r="CD288" i="8"/>
  <c r="BT288" i="8"/>
  <c r="BJ288" i="8"/>
  <c r="CC287" i="8"/>
  <c r="BS287" i="8"/>
  <c r="BI287" i="8"/>
  <c r="CB286" i="8"/>
  <c r="BR286" i="8"/>
  <c r="CJ285" i="8"/>
  <c r="CA285" i="8"/>
  <c r="CE285" i="8" s="1"/>
  <c r="BQ285" i="8"/>
  <c r="CI284" i="8"/>
  <c r="BY284" i="8"/>
  <c r="BP284" i="8"/>
  <c r="CH283" i="8"/>
  <c r="BX283" i="8"/>
  <c r="BO283" i="8"/>
  <c r="CG282" i="8"/>
  <c r="BW282" i="8"/>
  <c r="BL282" i="8"/>
  <c r="CF281" i="8"/>
  <c r="BV281" i="8"/>
  <c r="BZ281" i="8" s="1"/>
  <c r="BK281" i="8"/>
  <c r="CD280" i="8"/>
  <c r="BT280" i="8"/>
  <c r="BJ280" i="8"/>
  <c r="CC279" i="8"/>
  <c r="BS279" i="8"/>
  <c r="BI279" i="8"/>
  <c r="CB278" i="8"/>
  <c r="BR278" i="8"/>
  <c r="CJ277" i="8"/>
  <c r="CA277" i="8"/>
  <c r="BQ277" i="8"/>
  <c r="CI276" i="8"/>
  <c r="BY276" i="8"/>
  <c r="BP276" i="8"/>
  <c r="CH275" i="8"/>
  <c r="BX275" i="8"/>
  <c r="BO275" i="8"/>
  <c r="CG274" i="8"/>
  <c r="BW274" i="8"/>
  <c r="BL274" i="8"/>
  <c r="CF273" i="8"/>
  <c r="BV273" i="8"/>
  <c r="BK273" i="8"/>
  <c r="CD272" i="8"/>
  <c r="BT272" i="8"/>
  <c r="BJ272" i="8"/>
  <c r="CC271" i="8"/>
  <c r="BS271" i="8"/>
  <c r="BI271" i="8"/>
  <c r="CB270" i="8"/>
  <c r="BR270" i="8"/>
  <c r="CJ269" i="8"/>
  <c r="CA269" i="8"/>
  <c r="BQ269" i="8"/>
  <c r="CI268" i="8"/>
  <c r="BY268" i="8"/>
  <c r="BP268" i="8"/>
  <c r="CH267" i="8"/>
  <c r="BX267" i="8"/>
  <c r="BO267" i="8"/>
  <c r="CG266" i="8"/>
  <c r="BW266" i="8"/>
  <c r="BL266" i="8"/>
  <c r="CF265" i="8"/>
  <c r="BV265" i="8"/>
  <c r="BK265" i="8"/>
  <c r="CD264" i="8"/>
  <c r="BT264" i="8"/>
  <c r="BJ264" i="8"/>
  <c r="CC263" i="8"/>
  <c r="BS263" i="8"/>
  <c r="BI263" i="8"/>
  <c r="CB262" i="8"/>
  <c r="BR262" i="8"/>
  <c r="CJ261" i="8"/>
  <c r="CA261" i="8"/>
  <c r="BQ261" i="8"/>
  <c r="CI260" i="8"/>
  <c r="BY260" i="8"/>
  <c r="BP260" i="8"/>
  <c r="CH259" i="8"/>
  <c r="BX259" i="8"/>
  <c r="BO259" i="8"/>
  <c r="CG258" i="8"/>
  <c r="BW258" i="8"/>
  <c r="BL258" i="8"/>
  <c r="CF257" i="8"/>
  <c r="BV257" i="8"/>
  <c r="BK257" i="8"/>
  <c r="CD256" i="8"/>
  <c r="BT256" i="8"/>
  <c r="BJ256" i="8"/>
  <c r="CC255" i="8"/>
  <c r="BS255" i="8"/>
  <c r="BI255" i="8"/>
  <c r="CB254" i="8"/>
  <c r="BR254" i="8"/>
  <c r="CJ253" i="8"/>
  <c r="CA253" i="8"/>
  <c r="CE253" i="8" s="1"/>
  <c r="BQ253" i="8"/>
  <c r="CI252" i="8"/>
  <c r="BY252" i="8"/>
  <c r="BP252" i="8"/>
  <c r="CH251" i="8"/>
  <c r="BX251" i="8"/>
  <c r="BO251" i="8"/>
  <c r="CG250" i="8"/>
  <c r="BW250" i="8"/>
  <c r="BL250" i="8"/>
  <c r="CF249" i="8"/>
  <c r="BV249" i="8"/>
  <c r="BK249" i="8"/>
  <c r="CD248" i="8"/>
  <c r="BT248" i="8"/>
  <c r="BJ248" i="8"/>
  <c r="CC247" i="8"/>
  <c r="BS247" i="8"/>
  <c r="BI247" i="8"/>
  <c r="CB246" i="8"/>
  <c r="BR246" i="8"/>
  <c r="CJ245" i="8"/>
  <c r="CA245" i="8"/>
  <c r="BQ245" i="8"/>
  <c r="CI244" i="8"/>
  <c r="BY244" i="8"/>
  <c r="BP244" i="8"/>
  <c r="CH243" i="8"/>
  <c r="BX243" i="8"/>
  <c r="BO243" i="8"/>
  <c r="CG242" i="8"/>
  <c r="BW242" i="8"/>
  <c r="BL242" i="8"/>
  <c r="CF241" i="8"/>
  <c r="BV241" i="8"/>
  <c r="BZ241" i="8" s="1"/>
  <c r="BK241" i="8"/>
  <c r="CD240" i="8"/>
  <c r="BT240" i="8"/>
  <c r="BJ240" i="8"/>
  <c r="CC239" i="8"/>
  <c r="BS239" i="8"/>
  <c r="BI239" i="8"/>
  <c r="CB238" i="8"/>
  <c r="BR238" i="8"/>
  <c r="CJ237" i="8"/>
  <c r="CA237" i="8"/>
  <c r="BQ237" i="8"/>
  <c r="CI236" i="8"/>
  <c r="BY236" i="8"/>
  <c r="BP236" i="8"/>
  <c r="CH235" i="8"/>
  <c r="BX235" i="8"/>
  <c r="BO235" i="8"/>
  <c r="CG234" i="8"/>
  <c r="BW234" i="8"/>
  <c r="BL234" i="8"/>
  <c r="CF233" i="8"/>
  <c r="BV233" i="8"/>
  <c r="BZ233" i="8" s="1"/>
  <c r="BK233" i="8"/>
  <c r="CD232" i="8"/>
  <c r="BT232" i="8"/>
  <c r="BJ232" i="8"/>
  <c r="CC231" i="8"/>
  <c r="BS231" i="8"/>
  <c r="BI231" i="8"/>
  <c r="CB230" i="8"/>
  <c r="BR230" i="8"/>
  <c r="CJ229" i="8"/>
  <c r="CA229" i="8"/>
  <c r="BQ229" i="8"/>
  <c r="CI228" i="8"/>
  <c r="BY228" i="8"/>
  <c r="BP228" i="8"/>
  <c r="CH227" i="8"/>
  <c r="BX227" i="8"/>
  <c r="BO227" i="8"/>
  <c r="CG226" i="8"/>
  <c r="BW226" i="8"/>
  <c r="BL226" i="8"/>
  <c r="CF225" i="8"/>
  <c r="BV225" i="8"/>
  <c r="BZ225" i="8" s="1"/>
  <c r="BK225" i="8"/>
  <c r="CD224" i="8"/>
  <c r="BT224" i="8"/>
  <c r="BJ224" i="8"/>
  <c r="CC223" i="8"/>
  <c r="BS223" i="8"/>
  <c r="BI223" i="8"/>
  <c r="CB222" i="8"/>
  <c r="BR222" i="8"/>
  <c r="CJ221" i="8"/>
  <c r="CA221" i="8"/>
  <c r="CE221" i="8" s="1"/>
  <c r="BQ221" i="8"/>
  <c r="CI220" i="8"/>
  <c r="BY220" i="8"/>
  <c r="BP220" i="8"/>
  <c r="CH219" i="8"/>
  <c r="BX219" i="8"/>
  <c r="BO219" i="8"/>
  <c r="CG218" i="8"/>
  <c r="BW218" i="8"/>
  <c r="BL218" i="8"/>
  <c r="CF217" i="8"/>
  <c r="BV217" i="8"/>
  <c r="BZ217" i="8" s="1"/>
  <c r="BK217" i="8"/>
  <c r="CD216" i="8"/>
  <c r="BT216" i="8"/>
  <c r="BJ216" i="8"/>
  <c r="CC215" i="8"/>
  <c r="BS215" i="8"/>
  <c r="BI215" i="8"/>
  <c r="CB214" i="8"/>
  <c r="BR214" i="8"/>
  <c r="CJ213" i="8"/>
  <c r="CA213" i="8"/>
  <c r="BQ213" i="8"/>
  <c r="CI212" i="8"/>
  <c r="BY212" i="8"/>
  <c r="BP212" i="8"/>
  <c r="CH211" i="8"/>
  <c r="BX211" i="8"/>
  <c r="BO211" i="8"/>
  <c r="CG210" i="8"/>
  <c r="BW210" i="8"/>
  <c r="BL210" i="8"/>
  <c r="CF209" i="8"/>
  <c r="BV209" i="8"/>
  <c r="BZ209" i="8" s="1"/>
  <c r="BK209" i="8"/>
  <c r="CD208" i="8"/>
  <c r="BT208" i="8"/>
  <c r="BJ208" i="8"/>
  <c r="CC207" i="8"/>
  <c r="BS207" i="8"/>
  <c r="BI207" i="8"/>
  <c r="CB206" i="8"/>
  <c r="BR206" i="8"/>
  <c r="CJ205" i="8"/>
  <c r="CA205" i="8"/>
  <c r="BQ205" i="8"/>
  <c r="CI204" i="8"/>
  <c r="BY204" i="8"/>
  <c r="BP204" i="8"/>
  <c r="CH203" i="8"/>
  <c r="BX203" i="8"/>
  <c r="BO203" i="8"/>
  <c r="CG202" i="8"/>
  <c r="BW202" i="8"/>
  <c r="BL202" i="8"/>
  <c r="CF201" i="8"/>
  <c r="BV201" i="8"/>
  <c r="BK201" i="8"/>
  <c r="CD200" i="8"/>
  <c r="BT200" i="8"/>
  <c r="BJ200" i="8"/>
  <c r="CC199" i="8"/>
  <c r="BS199" i="8"/>
  <c r="BI199" i="8"/>
  <c r="CB198" i="8"/>
  <c r="BR198" i="8"/>
  <c r="CJ197" i="8"/>
  <c r="CA197" i="8"/>
  <c r="BQ197" i="8"/>
  <c r="CI196" i="8"/>
  <c r="BY196" i="8"/>
  <c r="BP196" i="8"/>
  <c r="CH195" i="8"/>
  <c r="BX195" i="8"/>
  <c r="BO195" i="8"/>
  <c r="CG194" i="8"/>
  <c r="BW194" i="8"/>
  <c r="BL194" i="8"/>
  <c r="CF193" i="8"/>
  <c r="BV193" i="8"/>
  <c r="BZ193" i="8" s="1"/>
  <c r="BK193" i="8"/>
  <c r="CD192" i="8"/>
  <c r="BT192" i="8"/>
  <c r="BJ192" i="8"/>
  <c r="CC191" i="8"/>
  <c r="BS191" i="8"/>
  <c r="BI191" i="8"/>
  <c r="CB190" i="8"/>
  <c r="BR190" i="8"/>
  <c r="CJ189" i="8"/>
  <c r="CA189" i="8"/>
  <c r="CE189" i="8" s="1"/>
  <c r="BQ189" i="8"/>
  <c r="CI188" i="8"/>
  <c r="BY188" i="8"/>
  <c r="BP188" i="8"/>
  <c r="CH187" i="8"/>
  <c r="BX187" i="8"/>
  <c r="BS187" i="8"/>
  <c r="BO187" i="8"/>
  <c r="BI187" i="8"/>
  <c r="CG186" i="8"/>
  <c r="CB186" i="8"/>
  <c r="BW186" i="8"/>
  <c r="BR186" i="8"/>
  <c r="BL186" i="8"/>
  <c r="CJ185" i="8"/>
  <c r="CF185" i="8"/>
  <c r="CA185" i="8"/>
  <c r="BV185" i="8"/>
  <c r="BZ185" i="8" s="1"/>
  <c r="BQ185" i="8"/>
  <c r="BK185" i="8"/>
  <c r="CI184" i="8"/>
  <c r="CD184" i="8"/>
  <c r="BY184" i="8"/>
  <c r="BT184" i="8"/>
  <c r="BP184" i="8"/>
  <c r="BJ184" i="8"/>
  <c r="CH183" i="8"/>
  <c r="CC183" i="8"/>
  <c r="BX183" i="8"/>
  <c r="BS183" i="8"/>
  <c r="BO183" i="8"/>
  <c r="BI183" i="8"/>
  <c r="CG182" i="8"/>
  <c r="CB182" i="8"/>
  <c r="BW182" i="8"/>
  <c r="BR182" i="8"/>
  <c r="BL182" i="8"/>
  <c r="CJ181" i="8"/>
  <c r="CF181" i="8"/>
  <c r="CA181" i="8"/>
  <c r="BV181" i="8"/>
  <c r="BQ181" i="8"/>
  <c r="BK181" i="8"/>
  <c r="CI180" i="8"/>
  <c r="CD180" i="8"/>
  <c r="BY180" i="8"/>
  <c r="BT180" i="8"/>
  <c r="BP180" i="8"/>
  <c r="BJ180" i="8"/>
  <c r="CH179" i="8"/>
  <c r="CC179" i="8"/>
  <c r="BX179" i="8"/>
  <c r="BS179" i="8"/>
  <c r="BO179" i="8"/>
  <c r="BI179" i="8"/>
  <c r="CG178" i="8"/>
  <c r="CB178" i="8"/>
  <c r="BW178" i="8"/>
  <c r="BR178" i="8"/>
  <c r="BL178" i="8"/>
  <c r="CJ177" i="8"/>
  <c r="CF177" i="8"/>
  <c r="CA177" i="8"/>
  <c r="BV177" i="8"/>
  <c r="BQ177" i="8"/>
  <c r="BK177" i="8"/>
  <c r="CI176" i="8"/>
  <c r="CD176" i="8"/>
  <c r="BY176" i="8"/>
  <c r="BT176" i="8"/>
  <c r="BP176" i="8"/>
  <c r="BJ176" i="8"/>
  <c r="CH175" i="8"/>
  <c r="CC175" i="8"/>
  <c r="BX175" i="8"/>
  <c r="BS175" i="8"/>
  <c r="BO175" i="8"/>
  <c r="BI175" i="8"/>
  <c r="CG174" i="8"/>
  <c r="CB174" i="8"/>
  <c r="BW174" i="8"/>
  <c r="BR174" i="8"/>
  <c r="BL174" i="8"/>
  <c r="CJ173" i="8"/>
  <c r="CF173" i="8"/>
  <c r="CA173" i="8"/>
  <c r="BV173" i="8"/>
  <c r="BQ173" i="8"/>
  <c r="BK173" i="8"/>
  <c r="CI172" i="8"/>
  <c r="CD172" i="8"/>
  <c r="BY172" i="8"/>
  <c r="BT172" i="8"/>
  <c r="BP172" i="8"/>
  <c r="BJ172" i="8"/>
  <c r="CH171" i="8"/>
  <c r="CC171" i="8"/>
  <c r="BX171" i="8"/>
  <c r="BS171" i="8"/>
  <c r="BO171" i="8"/>
  <c r="BI171" i="8"/>
  <c r="CG170" i="8"/>
  <c r="CB170" i="8"/>
  <c r="BW170" i="8"/>
  <c r="BR170" i="8"/>
  <c r="BL170" i="8"/>
  <c r="CJ169" i="8"/>
  <c r="CF169" i="8"/>
  <c r="CA169" i="8"/>
  <c r="BV169" i="8"/>
  <c r="BQ169" i="8"/>
  <c r="BK169" i="8"/>
  <c r="CI168" i="8"/>
  <c r="CD168" i="8"/>
  <c r="BY168" i="8"/>
  <c r="BT168" i="8"/>
  <c r="BP168" i="8"/>
  <c r="BJ168" i="8"/>
  <c r="CH167" i="8"/>
  <c r="CC167" i="8"/>
  <c r="BX167" i="8"/>
  <c r="BS167" i="8"/>
  <c r="BO167" i="8"/>
  <c r="BI167" i="8"/>
  <c r="CG166" i="8"/>
  <c r="CB166" i="8"/>
  <c r="BW166" i="8"/>
  <c r="BR166" i="8"/>
  <c r="BL166" i="8"/>
  <c r="CJ165" i="8"/>
  <c r="CF165" i="8"/>
  <c r="CA165" i="8"/>
  <c r="BV165" i="8"/>
  <c r="BQ165" i="8"/>
  <c r="BK165" i="8"/>
  <c r="CI164" i="8"/>
  <c r="CD164" i="8"/>
  <c r="BY164" i="8"/>
  <c r="BT164" i="8"/>
  <c r="BP164" i="8"/>
  <c r="BJ164" i="8"/>
  <c r="CH163" i="8"/>
  <c r="CC163" i="8"/>
  <c r="BX163" i="8"/>
  <c r="BS163" i="8"/>
  <c r="BO163" i="8"/>
  <c r="BI163" i="8"/>
  <c r="CG162" i="8"/>
  <c r="CB162" i="8"/>
  <c r="BW162" i="8"/>
  <c r="BR162" i="8"/>
  <c r="BL162" i="8"/>
  <c r="CJ161" i="8"/>
  <c r="CF161" i="8"/>
  <c r="CA161" i="8"/>
  <c r="BV161" i="8"/>
  <c r="BQ161" i="8"/>
  <c r="BK161" i="8"/>
  <c r="CI160" i="8"/>
  <c r="CD160" i="8"/>
  <c r="BY160" i="8"/>
  <c r="BT160" i="8"/>
  <c r="BP160" i="8"/>
  <c r="BJ160" i="8"/>
  <c r="CH159" i="8"/>
  <c r="CC159" i="8"/>
  <c r="BX159" i="8"/>
  <c r="BS159" i="8"/>
  <c r="BO159" i="8"/>
  <c r="BI159" i="8"/>
  <c r="CG158" i="8"/>
  <c r="CB158" i="8"/>
  <c r="BW158" i="8"/>
  <c r="BR158" i="8"/>
  <c r="BL158" i="8"/>
  <c r="CJ157" i="8"/>
  <c r="CF157" i="8"/>
  <c r="CA157" i="8"/>
  <c r="BV157" i="8"/>
  <c r="BQ157" i="8"/>
  <c r="BK157" i="8"/>
  <c r="CI156" i="8"/>
  <c r="CD156" i="8"/>
  <c r="BY156" i="8"/>
  <c r="BT156" i="8"/>
  <c r="BP156" i="8"/>
  <c r="BJ156" i="8"/>
  <c r="CH155" i="8"/>
  <c r="CC155" i="8"/>
  <c r="BX155" i="8"/>
  <c r="BS155" i="8"/>
  <c r="BO155" i="8"/>
  <c r="BI155" i="8"/>
  <c r="CG154" i="8"/>
  <c r="CB154" i="8"/>
  <c r="BW154" i="8"/>
  <c r="BR154" i="8"/>
  <c r="BL154" i="8"/>
  <c r="CJ153" i="8"/>
  <c r="CF153" i="8"/>
  <c r="CA153" i="8"/>
  <c r="BV153" i="8"/>
  <c r="BZ153" i="8" s="1"/>
  <c r="BQ153" i="8"/>
  <c r="BK153" i="8"/>
  <c r="CI152" i="8"/>
  <c r="CD152" i="8"/>
  <c r="BY152" i="8"/>
  <c r="BT152" i="8"/>
  <c r="BP152" i="8"/>
  <c r="BJ152" i="8"/>
  <c r="CH151" i="8"/>
  <c r="CC151" i="8"/>
  <c r="BX151" i="8"/>
  <c r="BS151" i="8"/>
  <c r="BO151" i="8"/>
  <c r="BI151" i="8"/>
  <c r="CG150" i="8"/>
  <c r="CB150" i="8"/>
  <c r="BW150" i="8"/>
  <c r="BR150" i="8"/>
  <c r="BL150" i="8"/>
  <c r="CJ149" i="8"/>
  <c r="CF149" i="8"/>
  <c r="CA149" i="8"/>
  <c r="BV149" i="8"/>
  <c r="BZ149" i="8" s="1"/>
  <c r="BQ149" i="8"/>
  <c r="BK149" i="8"/>
  <c r="CI148" i="8"/>
  <c r="CD148" i="8"/>
  <c r="BY148" i="8"/>
  <c r="BT148" i="8"/>
  <c r="BP148" i="8"/>
  <c r="BJ148" i="8"/>
  <c r="CH147" i="8"/>
  <c r="CC147" i="8"/>
  <c r="BX147" i="8"/>
  <c r="BS147" i="8"/>
  <c r="BO147" i="8"/>
  <c r="BI147" i="8"/>
  <c r="CG146" i="8"/>
  <c r="CB146" i="8"/>
  <c r="BW146" i="8"/>
  <c r="BR146" i="8"/>
  <c r="BL146" i="8"/>
  <c r="CJ145" i="8"/>
  <c r="CF145" i="8"/>
  <c r="CA145" i="8"/>
  <c r="BV145" i="8"/>
  <c r="BZ145" i="8" s="1"/>
  <c r="BQ145" i="8"/>
  <c r="BK145" i="8"/>
  <c r="CI144" i="8"/>
  <c r="CD144" i="8"/>
  <c r="BY144" i="8"/>
  <c r="BT144" i="8"/>
  <c r="BP144" i="8"/>
  <c r="BJ144" i="8"/>
  <c r="CH143" i="8"/>
  <c r="CC143" i="8"/>
  <c r="BX143" i="8"/>
  <c r="BS143" i="8"/>
  <c r="BO143" i="8"/>
  <c r="BI143" i="8"/>
  <c r="CG142" i="8"/>
  <c r="CB142" i="8"/>
  <c r="BW142" i="8"/>
  <c r="BR142" i="8"/>
  <c r="BL142" i="8"/>
  <c r="CJ141" i="8"/>
  <c r="CF141" i="8"/>
  <c r="CA141" i="8"/>
  <c r="BV141" i="8"/>
  <c r="BZ141" i="8" s="1"/>
  <c r="BQ141" i="8"/>
  <c r="BK141" i="8"/>
  <c r="CI140" i="8"/>
  <c r="CD140" i="8"/>
  <c r="BY140" i="8"/>
  <c r="BT140" i="8"/>
  <c r="BP140" i="8"/>
  <c r="BJ140" i="8"/>
  <c r="CH139" i="8"/>
  <c r="CC139" i="8"/>
  <c r="BX139" i="8"/>
  <c r="BS139" i="8"/>
  <c r="BO139" i="8"/>
  <c r="BI139" i="8"/>
  <c r="CG138" i="8"/>
  <c r="CB138" i="8"/>
  <c r="BW138" i="8"/>
  <c r="BR138" i="8"/>
  <c r="BL138" i="8"/>
  <c r="CJ137" i="8"/>
  <c r="CF137" i="8"/>
  <c r="CA137" i="8"/>
  <c r="BV137" i="8"/>
  <c r="BZ137" i="8" s="1"/>
  <c r="BQ137" i="8"/>
  <c r="BK137" i="8"/>
  <c r="CI136" i="8"/>
  <c r="CD136" i="8"/>
  <c r="BY136" i="8"/>
  <c r="BT136" i="8"/>
  <c r="BP136" i="8"/>
  <c r="BJ136" i="8"/>
  <c r="CH135" i="8"/>
  <c r="CC135" i="8"/>
  <c r="BX135" i="8"/>
  <c r="BS135" i="8"/>
  <c r="BO135" i="8"/>
  <c r="BI135" i="8"/>
  <c r="CG134" i="8"/>
  <c r="CB134" i="8"/>
  <c r="BW134" i="8"/>
  <c r="BR134" i="8"/>
  <c r="BL134" i="8"/>
  <c r="CJ133" i="8"/>
  <c r="CF133" i="8"/>
  <c r="CA133" i="8"/>
  <c r="BV133" i="8"/>
  <c r="BQ133" i="8"/>
  <c r="BK133" i="8"/>
  <c r="CI132" i="8"/>
  <c r="CD132" i="8"/>
  <c r="BY132" i="8"/>
  <c r="BT132" i="8"/>
  <c r="BP132" i="8"/>
  <c r="BJ132" i="8"/>
  <c r="CH131" i="8"/>
  <c r="CC131" i="8"/>
  <c r="BX131" i="8"/>
  <c r="BS131" i="8"/>
  <c r="BO131" i="8"/>
  <c r="BI131" i="8"/>
  <c r="CG130" i="8"/>
  <c r="CB130" i="8"/>
  <c r="BW130" i="8"/>
  <c r="BR130" i="8"/>
  <c r="BL130" i="8"/>
  <c r="CJ129" i="8"/>
  <c r="CF129" i="8"/>
  <c r="CA129" i="8"/>
  <c r="BV129" i="8"/>
  <c r="BZ129" i="8" s="1"/>
  <c r="BQ129" i="8"/>
  <c r="BK129" i="8"/>
  <c r="CI128" i="8"/>
  <c r="CD128" i="8"/>
  <c r="BY128" i="8"/>
  <c r="BT128" i="8"/>
  <c r="BP128" i="8"/>
  <c r="BJ128" i="8"/>
  <c r="CH127" i="8"/>
  <c r="CC127" i="8"/>
  <c r="BX127" i="8"/>
  <c r="BS127" i="8"/>
  <c r="BO127" i="8"/>
  <c r="BI127" i="8"/>
  <c r="CG126" i="8"/>
  <c r="CB126" i="8"/>
  <c r="BW126" i="8"/>
  <c r="BR126" i="8"/>
  <c r="BL126" i="8"/>
  <c r="CJ125" i="8"/>
  <c r="CF125" i="8"/>
  <c r="CA125" i="8"/>
  <c r="BV125" i="8"/>
  <c r="BZ125" i="8" s="1"/>
  <c r="BQ125" i="8"/>
  <c r="BK125" i="8"/>
  <c r="CI124" i="8"/>
  <c r="CD124" i="8"/>
  <c r="BY124" i="8"/>
  <c r="BT124" i="8"/>
  <c r="BP124" i="8"/>
  <c r="BJ124" i="8"/>
  <c r="CH123" i="8"/>
  <c r="CC123" i="8"/>
  <c r="BX123" i="8"/>
  <c r="BS123" i="8"/>
  <c r="BO123" i="8"/>
  <c r="BI123" i="8"/>
  <c r="CG122" i="8"/>
  <c r="CB122" i="8"/>
  <c r="BW122" i="8"/>
  <c r="BR122" i="8"/>
  <c r="BL122" i="8"/>
  <c r="CJ121" i="8"/>
  <c r="CF121" i="8"/>
  <c r="CA121" i="8"/>
  <c r="BV121" i="8"/>
  <c r="BQ121" i="8"/>
  <c r="BK121" i="8"/>
  <c r="CI120" i="8"/>
  <c r="CD120" i="8"/>
  <c r="BY120" i="8"/>
  <c r="BT120" i="8"/>
  <c r="BP120" i="8"/>
  <c r="BJ120" i="8"/>
  <c r="CH119" i="8"/>
  <c r="CC119" i="8"/>
  <c r="BX119" i="8"/>
  <c r="BS119" i="8"/>
  <c r="BO119" i="8"/>
  <c r="BI119" i="8"/>
  <c r="CG118" i="8"/>
  <c r="CB118" i="8"/>
  <c r="BW118" i="8"/>
  <c r="BR118" i="8"/>
  <c r="BL118" i="8"/>
  <c r="CJ117" i="8"/>
  <c r="CF117" i="8"/>
  <c r="CA117" i="8"/>
  <c r="BV117" i="8"/>
  <c r="BZ117" i="8" s="1"/>
  <c r="BQ117" i="8"/>
  <c r="BK117" i="8"/>
  <c r="CI116" i="8"/>
  <c r="CD116" i="8"/>
  <c r="BY116" i="8"/>
  <c r="BT116" i="8"/>
  <c r="BP116" i="8"/>
  <c r="BJ116" i="8"/>
  <c r="CH115" i="8"/>
  <c r="CC115" i="8"/>
  <c r="BX115" i="8"/>
  <c r="BS115" i="8"/>
  <c r="BO115" i="8"/>
  <c r="BI115" i="8"/>
  <c r="CG114" i="8"/>
  <c r="CB114" i="8"/>
  <c r="BW114" i="8"/>
  <c r="BR114" i="8"/>
  <c r="BL114" i="8"/>
  <c r="CJ113" i="8"/>
  <c r="CF113" i="8"/>
  <c r="CA113" i="8"/>
  <c r="BV113" i="8"/>
  <c r="BQ113" i="8"/>
  <c r="BK113" i="8"/>
  <c r="CI112" i="8"/>
  <c r="CD112" i="8"/>
  <c r="BY112" i="8"/>
  <c r="BT112" i="8"/>
  <c r="BP112" i="8"/>
  <c r="BJ112" i="8"/>
  <c r="CH111" i="8"/>
  <c r="CC111" i="8"/>
  <c r="BX111" i="8"/>
  <c r="BS111" i="8"/>
  <c r="BO111" i="8"/>
  <c r="BI111" i="8"/>
  <c r="CG110" i="8"/>
  <c r="CB110" i="8"/>
  <c r="BW110" i="8"/>
  <c r="BR110" i="8"/>
  <c r="BL110" i="8"/>
  <c r="CJ109" i="8"/>
  <c r="CF109" i="8"/>
  <c r="CA109" i="8"/>
  <c r="BV109" i="8"/>
  <c r="BQ109" i="8"/>
  <c r="BK109" i="8"/>
  <c r="CI108" i="8"/>
  <c r="CD108" i="8"/>
  <c r="BY108" i="8"/>
  <c r="BT108" i="8"/>
  <c r="BP108" i="8"/>
  <c r="BJ108" i="8"/>
  <c r="CH107" i="8"/>
  <c r="CC107" i="8"/>
  <c r="BX107" i="8"/>
  <c r="BS107" i="8"/>
  <c r="BO107" i="8"/>
  <c r="BI107" i="8"/>
  <c r="CG106" i="8"/>
  <c r="CB106" i="8"/>
  <c r="BW106" i="8"/>
  <c r="BR106" i="8"/>
  <c r="BL106" i="8"/>
  <c r="CJ105" i="8"/>
  <c r="CF105" i="8"/>
  <c r="CA105" i="8"/>
  <c r="BV105" i="8"/>
  <c r="BZ105" i="8" s="1"/>
  <c r="BQ105" i="8"/>
  <c r="BK105" i="8"/>
  <c r="CI104" i="8"/>
  <c r="CD104" i="8"/>
  <c r="BY104" i="8"/>
  <c r="BT104" i="8"/>
  <c r="BP104" i="8"/>
  <c r="BJ104" i="8"/>
  <c r="CH103" i="8"/>
  <c r="CC103" i="8"/>
  <c r="BX103" i="8"/>
  <c r="BS103" i="8"/>
  <c r="BO103" i="8"/>
  <c r="BI103" i="8"/>
  <c r="CG102" i="8"/>
  <c r="CB102" i="8"/>
  <c r="BW102" i="8"/>
  <c r="BR102" i="8"/>
  <c r="BL102" i="8"/>
  <c r="CJ101" i="8"/>
  <c r="CF101" i="8"/>
  <c r="CA101" i="8"/>
  <c r="BV101" i="8"/>
  <c r="BQ101" i="8"/>
  <c r="BK101" i="8"/>
  <c r="CI100" i="8"/>
  <c r="CD100" i="8"/>
  <c r="BY100" i="8"/>
  <c r="BT100" i="8"/>
  <c r="BP100" i="8"/>
  <c r="BJ100" i="8"/>
  <c r="CH99" i="8"/>
  <c r="CC99" i="8"/>
  <c r="BX99" i="8"/>
  <c r="BS99" i="8"/>
  <c r="BO99" i="8"/>
  <c r="BI99" i="8"/>
  <c r="CG98" i="8"/>
  <c r="CB98" i="8"/>
  <c r="BW98" i="8"/>
  <c r="BR98" i="8"/>
  <c r="BL98" i="8"/>
  <c r="CJ97" i="8"/>
  <c r="CF97" i="8"/>
  <c r="CA97" i="8"/>
  <c r="BV97" i="8"/>
  <c r="BQ97" i="8"/>
  <c r="BK97" i="8"/>
  <c r="CI96" i="8"/>
  <c r="CD96" i="8"/>
  <c r="BY96" i="8"/>
  <c r="BT96" i="8"/>
  <c r="BP96" i="8"/>
  <c r="BJ96" i="8"/>
  <c r="CH95" i="8"/>
  <c r="CC95" i="8"/>
  <c r="BX95" i="8"/>
  <c r="BS95" i="8"/>
  <c r="BO95" i="8"/>
  <c r="BI95" i="8"/>
  <c r="CG94" i="8"/>
  <c r="CB94" i="8"/>
  <c r="BW94" i="8"/>
  <c r="BR94" i="8"/>
  <c r="BL94" i="8"/>
  <c r="CJ93" i="8"/>
  <c r="CF93" i="8"/>
  <c r="CA93" i="8"/>
  <c r="BV93" i="8"/>
  <c r="BZ93" i="8" s="1"/>
  <c r="BQ93" i="8"/>
  <c r="BK93" i="8"/>
  <c r="CI92" i="8"/>
  <c r="CD92" i="8"/>
  <c r="BY92" i="8"/>
  <c r="BT92" i="8"/>
  <c r="BP92" i="8"/>
  <c r="BJ92" i="8"/>
  <c r="CH91" i="8"/>
  <c r="CC91" i="8"/>
  <c r="BX91" i="8"/>
  <c r="BS91" i="8"/>
  <c r="BO91" i="8"/>
  <c r="BI91" i="8"/>
  <c r="CG90" i="8"/>
  <c r="CB90" i="8"/>
  <c r="BW90" i="8"/>
  <c r="BR90" i="8"/>
  <c r="BL90" i="8"/>
  <c r="CJ89" i="8"/>
  <c r="CF89" i="8"/>
  <c r="CA89" i="8"/>
  <c r="BV89" i="8"/>
  <c r="BZ89" i="8" s="1"/>
  <c r="BQ89" i="8"/>
  <c r="BK89" i="8"/>
  <c r="CI88" i="8"/>
  <c r="CD88" i="8"/>
  <c r="BY88" i="8"/>
  <c r="BT88" i="8"/>
  <c r="BP88" i="8"/>
  <c r="BJ88" i="8"/>
  <c r="CH87" i="8"/>
  <c r="CC87" i="8"/>
  <c r="BX87" i="8"/>
  <c r="BS87" i="8"/>
  <c r="BO87" i="8"/>
  <c r="BI87" i="8"/>
  <c r="CG86" i="8"/>
  <c r="CB86" i="8"/>
  <c r="BW86" i="8"/>
  <c r="BR86" i="8"/>
  <c r="BL86" i="8"/>
  <c r="CJ85" i="8"/>
  <c r="CF85" i="8"/>
  <c r="CA85" i="8"/>
  <c r="BV85" i="8"/>
  <c r="BZ85" i="8" s="1"/>
  <c r="BQ85" i="8"/>
  <c r="BK85" i="8"/>
  <c r="CI84" i="8"/>
  <c r="CD84" i="8"/>
  <c r="BY84" i="8"/>
  <c r="BT84" i="8"/>
  <c r="BP84" i="8"/>
  <c r="BJ84" i="8"/>
  <c r="CH83" i="8"/>
  <c r="CC83" i="8"/>
  <c r="BX83" i="8"/>
  <c r="BS83" i="8"/>
  <c r="BO83" i="8"/>
  <c r="BI83" i="8"/>
  <c r="CG82" i="8"/>
  <c r="CB82" i="8"/>
  <c r="BW82" i="8"/>
  <c r="BR82" i="8"/>
  <c r="BL82" i="8"/>
  <c r="CJ81" i="8"/>
  <c r="CF81" i="8"/>
  <c r="CA81" i="8"/>
  <c r="BV81" i="8"/>
  <c r="BQ81" i="8"/>
  <c r="BK81" i="8"/>
  <c r="CI80" i="8"/>
  <c r="CD80" i="8"/>
  <c r="BY80" i="8"/>
  <c r="BT80" i="8"/>
  <c r="BP80" i="8"/>
  <c r="BJ80" i="8"/>
  <c r="CH79" i="8"/>
  <c r="CC79" i="8"/>
  <c r="BX79" i="8"/>
  <c r="BS79" i="8"/>
  <c r="BO79" i="8"/>
  <c r="BI79" i="8"/>
  <c r="CG78" i="8"/>
  <c r="CB78" i="8"/>
  <c r="BW78" i="8"/>
  <c r="BR78" i="8"/>
  <c r="BL78" i="8"/>
  <c r="CH77" i="8"/>
  <c r="CC77" i="8"/>
  <c r="BX77" i="8"/>
  <c r="BS77" i="8"/>
  <c r="BO77" i="8"/>
  <c r="BI77" i="8"/>
  <c r="CG76" i="8"/>
  <c r="CB76" i="8"/>
  <c r="BW76" i="8"/>
  <c r="BR76" i="8"/>
  <c r="BL76" i="8"/>
  <c r="CJ75" i="8"/>
  <c r="CF75" i="8"/>
  <c r="CA75" i="8"/>
  <c r="BV75" i="8"/>
  <c r="BQ75" i="8"/>
  <c r="BK75" i="8"/>
  <c r="CI74" i="8"/>
  <c r="CD74" i="8"/>
  <c r="BY74" i="8"/>
  <c r="BT74" i="8"/>
  <c r="BP74" i="8"/>
  <c r="BJ74" i="8"/>
  <c r="CH73" i="8"/>
  <c r="CC73" i="8"/>
  <c r="BX73" i="8"/>
  <c r="BS73" i="8"/>
  <c r="BO73" i="8"/>
  <c r="BI73" i="8"/>
  <c r="CG72" i="8"/>
  <c r="CB72" i="8"/>
  <c r="BW72" i="8"/>
  <c r="BR72" i="8"/>
  <c r="BL72" i="8"/>
  <c r="CJ71" i="8"/>
  <c r="CF71" i="8"/>
  <c r="CA71" i="8"/>
  <c r="BV71" i="8"/>
  <c r="BQ71" i="8"/>
  <c r="BK71" i="8"/>
  <c r="CI70" i="8"/>
  <c r="CD70" i="8"/>
  <c r="BY70" i="8"/>
  <c r="BT70" i="8"/>
  <c r="BP70" i="8"/>
  <c r="BJ70" i="8"/>
  <c r="CH69" i="8"/>
  <c r="CC69" i="8"/>
  <c r="BX69" i="8"/>
  <c r="BS69" i="8"/>
  <c r="BO69" i="8"/>
  <c r="BI69" i="8"/>
  <c r="CG68" i="8"/>
  <c r="CB68" i="8"/>
  <c r="BW68" i="8"/>
  <c r="BR68" i="8"/>
  <c r="BL68" i="8"/>
  <c r="CJ67" i="8"/>
  <c r="CF67" i="8"/>
  <c r="CA67" i="8"/>
  <c r="BV67" i="8"/>
  <c r="BQ67" i="8"/>
  <c r="BK67" i="8"/>
  <c r="CI66" i="8"/>
  <c r="CD66" i="8"/>
  <c r="BY66" i="8"/>
  <c r="BT66" i="8"/>
  <c r="BP66" i="8"/>
  <c r="BJ66" i="8"/>
  <c r="CH65" i="8"/>
  <c r="CC65" i="8"/>
  <c r="BX65" i="8"/>
  <c r="BS65" i="8"/>
  <c r="BO65" i="8"/>
  <c r="BI65" i="8"/>
  <c r="CG64" i="8"/>
  <c r="CB64" i="8"/>
  <c r="BW64" i="8"/>
  <c r="BR64" i="8"/>
  <c r="BL64" i="8"/>
  <c r="CJ63" i="8"/>
  <c r="CF63" i="8"/>
  <c r="CA63" i="8"/>
  <c r="BV63" i="8"/>
  <c r="BQ63" i="8"/>
  <c r="BK63" i="8"/>
  <c r="CI62" i="8"/>
  <c r="CD62" i="8"/>
  <c r="BY62" i="8"/>
  <c r="BT62" i="8"/>
  <c r="BP62" i="8"/>
  <c r="BJ62" i="8"/>
  <c r="CH61" i="8"/>
  <c r="CC61" i="8"/>
  <c r="BX61" i="8"/>
  <c r="BS61" i="8"/>
  <c r="BO61" i="8"/>
  <c r="BI61" i="8"/>
  <c r="CG60" i="8"/>
  <c r="CB60" i="8"/>
  <c r="BW60" i="8"/>
  <c r="BR60" i="8"/>
  <c r="BL60" i="8"/>
  <c r="CJ59" i="8"/>
  <c r="CF59" i="8"/>
  <c r="CA59" i="8"/>
  <c r="BV59" i="8"/>
  <c r="BQ59" i="8"/>
  <c r="BK59" i="8"/>
  <c r="CI58" i="8"/>
  <c r="CD58" i="8"/>
  <c r="BY58" i="8"/>
  <c r="BT58" i="8"/>
  <c r="BP58" i="8"/>
  <c r="BJ58" i="8"/>
  <c r="CH57" i="8"/>
  <c r="CC57" i="8"/>
  <c r="BX57" i="8"/>
  <c r="BS57" i="8"/>
  <c r="BO57" i="8"/>
  <c r="BI57" i="8"/>
  <c r="CG56" i="8"/>
  <c r="CB56" i="8"/>
  <c r="BW56" i="8"/>
  <c r="BR56" i="8"/>
  <c r="BL56" i="8"/>
  <c r="CJ55" i="8"/>
  <c r="CF55" i="8"/>
  <c r="CA55" i="8"/>
  <c r="BV55" i="8"/>
  <c r="BQ55" i="8"/>
  <c r="BK55" i="8"/>
  <c r="CI54" i="8"/>
  <c r="CD54" i="8"/>
  <c r="BY54" i="8"/>
  <c r="BT54" i="8"/>
  <c r="BP54" i="8"/>
  <c r="BJ54" i="8"/>
  <c r="CH53" i="8"/>
  <c r="CC53" i="8"/>
  <c r="BX53" i="8"/>
  <c r="BS53" i="8"/>
  <c r="BO53" i="8"/>
  <c r="BI53" i="8"/>
  <c r="CG52" i="8"/>
  <c r="CB52" i="8"/>
  <c r="BW52" i="8"/>
  <c r="BR52" i="8"/>
  <c r="BL52" i="8"/>
  <c r="CJ51" i="8"/>
  <c r="CF51" i="8"/>
  <c r="CA51" i="8"/>
  <c r="BV51" i="8"/>
  <c r="BQ51" i="8"/>
  <c r="BK51" i="8"/>
  <c r="CI50" i="8"/>
  <c r="CD50" i="8"/>
  <c r="BY50" i="8"/>
  <c r="BT50" i="8"/>
  <c r="BP50" i="8"/>
  <c r="BJ50" i="8"/>
  <c r="CH49" i="8"/>
  <c r="CC49" i="8"/>
  <c r="BX49" i="8"/>
  <c r="BS49" i="8"/>
  <c r="BO49" i="8"/>
  <c r="BI49" i="8"/>
  <c r="CG48" i="8"/>
  <c r="CB48" i="8"/>
  <c r="BW48" i="8"/>
  <c r="BR48" i="8"/>
  <c r="BL48" i="8"/>
  <c r="CJ47" i="8"/>
  <c r="CF47" i="8"/>
  <c r="CA47" i="8"/>
  <c r="BV47" i="8"/>
  <c r="BQ47" i="8"/>
  <c r="BK47" i="8"/>
  <c r="CI46" i="8"/>
  <c r="CD46" i="8"/>
  <c r="BY46" i="8"/>
  <c r="BT46" i="8"/>
  <c r="BP46" i="8"/>
  <c r="BJ46" i="8"/>
  <c r="CH45" i="8"/>
  <c r="CC45" i="8"/>
  <c r="BX45" i="8"/>
  <c r="BS45" i="8"/>
  <c r="BO45" i="8"/>
  <c r="BI45" i="8"/>
  <c r="CG44" i="8"/>
  <c r="CB44" i="8"/>
  <c r="BW44" i="8"/>
  <c r="BR44" i="8"/>
  <c r="BL44" i="8"/>
  <c r="CJ43" i="8"/>
  <c r="CF43" i="8"/>
  <c r="CA43" i="8"/>
  <c r="BV43" i="8"/>
  <c r="BQ43" i="8"/>
  <c r="BK43" i="8"/>
  <c r="CI42" i="8"/>
  <c r="CD42" i="8"/>
  <c r="BY42" i="8"/>
  <c r="BT42" i="8"/>
  <c r="BP42" i="8"/>
  <c r="BJ42" i="8"/>
  <c r="CH41" i="8"/>
  <c r="CC41" i="8"/>
  <c r="BX41" i="8"/>
  <c r="BS41" i="8"/>
  <c r="BO41" i="8"/>
  <c r="BI41" i="8"/>
  <c r="CG40" i="8"/>
  <c r="CB40" i="8"/>
  <c r="BW40" i="8"/>
  <c r="BR40" i="8"/>
  <c r="BL40" i="8"/>
  <c r="CJ39" i="8"/>
  <c r="CF39" i="8"/>
  <c r="CA39" i="8"/>
  <c r="BV39" i="8"/>
  <c r="BQ39" i="8"/>
  <c r="BK39" i="8"/>
  <c r="CI38" i="8"/>
  <c r="CD38" i="8"/>
  <c r="BY38" i="8"/>
  <c r="BT38" i="8"/>
  <c r="BP38" i="8"/>
  <c r="BJ38" i="8"/>
  <c r="CH37" i="8"/>
  <c r="CC37" i="8"/>
  <c r="BX37" i="8"/>
  <c r="BS37" i="8"/>
  <c r="BO37" i="8"/>
  <c r="BI37" i="8"/>
  <c r="CG36" i="8"/>
  <c r="CB36" i="8"/>
  <c r="BW36" i="8"/>
  <c r="BR36" i="8"/>
  <c r="BL36" i="8"/>
  <c r="CJ35" i="8"/>
  <c r="CF35" i="8"/>
  <c r="CA35" i="8"/>
  <c r="BV35" i="8"/>
  <c r="BQ35" i="8"/>
  <c r="BK35" i="8"/>
  <c r="CI34" i="8"/>
  <c r="CD34" i="8"/>
  <c r="BY34" i="8"/>
  <c r="BT34" i="8"/>
  <c r="BP34" i="8"/>
  <c r="BJ34" i="8"/>
  <c r="CH33" i="8"/>
  <c r="CC33" i="8"/>
  <c r="BX33" i="8"/>
  <c r="BS33" i="8"/>
  <c r="BO33" i="8"/>
  <c r="BI33" i="8"/>
  <c r="CG32" i="8"/>
  <c r="CB32" i="8"/>
  <c r="BW32" i="8"/>
  <c r="BR32" i="8"/>
  <c r="BL32" i="8"/>
  <c r="CJ31" i="8"/>
  <c r="CF31" i="8"/>
  <c r="CA31" i="8"/>
  <c r="BV31" i="8"/>
  <c r="BQ31" i="8"/>
  <c r="BK31" i="8"/>
  <c r="CI30" i="8"/>
  <c r="CD30" i="8"/>
  <c r="BY30" i="8"/>
  <c r="BT30" i="8"/>
  <c r="BP30" i="8"/>
  <c r="BJ30" i="8"/>
  <c r="CH29" i="8"/>
  <c r="CC29" i="8"/>
  <c r="BX29" i="8"/>
  <c r="BS29" i="8"/>
  <c r="BO29" i="8"/>
  <c r="BI29" i="8"/>
  <c r="CG28" i="8"/>
  <c r="CB28" i="8"/>
  <c r="BW28" i="8"/>
  <c r="BR28" i="8"/>
  <c r="BL28" i="8"/>
  <c r="CJ27" i="8"/>
  <c r="CF27" i="8"/>
  <c r="CA27" i="8"/>
  <c r="BV27" i="8"/>
  <c r="BQ27" i="8"/>
  <c r="BK27" i="8"/>
  <c r="CI26" i="8"/>
  <c r="CD26" i="8"/>
  <c r="BY26" i="8"/>
  <c r="BT26" i="8"/>
  <c r="BP26" i="8"/>
  <c r="BJ26" i="8"/>
  <c r="CH25" i="8"/>
  <c r="CC25" i="8"/>
  <c r="BX25" i="8"/>
  <c r="BS25" i="8"/>
  <c r="BO25" i="8"/>
  <c r="BI25" i="8"/>
  <c r="CG24" i="8"/>
  <c r="CB24" i="8"/>
  <c r="BW24" i="8"/>
  <c r="BR24" i="8"/>
  <c r="BL24" i="8"/>
  <c r="CJ23" i="8"/>
  <c r="CF23" i="8"/>
  <c r="CA23" i="8"/>
  <c r="BV23" i="8"/>
  <c r="BQ23" i="8"/>
  <c r="BK23" i="8"/>
  <c r="CI22" i="8"/>
  <c r="CD22" i="8"/>
  <c r="BY22" i="8"/>
  <c r="BT22" i="8"/>
  <c r="BP22" i="8"/>
  <c r="BJ22" i="8"/>
  <c r="CH21" i="8"/>
  <c r="CC21" i="8"/>
  <c r="BX21" i="8"/>
  <c r="BS21" i="8"/>
  <c r="BO21" i="8"/>
  <c r="BI21" i="8"/>
  <c r="CG20" i="8"/>
  <c r="CB20" i="8"/>
  <c r="BW20" i="8"/>
  <c r="BR20" i="8"/>
  <c r="BL20" i="8"/>
  <c r="CJ19" i="8"/>
  <c r="CF19" i="8"/>
  <c r="CA19" i="8"/>
  <c r="BV19" i="8"/>
  <c r="BQ19" i="8"/>
  <c r="BK19" i="8"/>
  <c r="CI18" i="8"/>
  <c r="CD18" i="8"/>
  <c r="BY18" i="8"/>
  <c r="BT18" i="8"/>
  <c r="BP18" i="8"/>
  <c r="BJ18" i="8"/>
  <c r="CH17" i="8"/>
  <c r="CC17" i="8"/>
  <c r="BX17" i="8"/>
  <c r="BS17" i="8"/>
  <c r="BO17" i="8"/>
  <c r="BI17" i="8"/>
  <c r="CG16" i="8"/>
  <c r="CB16" i="8"/>
  <c r="BW16" i="8"/>
  <c r="BR16" i="8"/>
  <c r="BL16" i="8"/>
  <c r="CJ15" i="8"/>
  <c r="CF15" i="8"/>
  <c r="CA15" i="8"/>
  <c r="BV15" i="8"/>
  <c r="BQ15" i="8"/>
  <c r="BK15" i="8"/>
  <c r="CI14" i="8"/>
  <c r="CD14" i="8"/>
  <c r="BY14" i="8"/>
  <c r="BT14" i="8"/>
  <c r="BP14" i="8"/>
  <c r="BJ14" i="8"/>
  <c r="CH13" i="8"/>
  <c r="CC13" i="8"/>
  <c r="BX13" i="8"/>
  <c r="BS13" i="8"/>
  <c r="BO13" i="8"/>
  <c r="BI13" i="8"/>
  <c r="CG12" i="8"/>
  <c r="CB12" i="8"/>
  <c r="BW12" i="8"/>
  <c r="BR12" i="8"/>
  <c r="BL12" i="8"/>
  <c r="CJ11" i="8"/>
  <c r="CF11" i="8"/>
  <c r="CA11" i="8"/>
  <c r="BV11" i="8"/>
  <c r="BQ11" i="8"/>
  <c r="BK11" i="8"/>
  <c r="CI10" i="8"/>
  <c r="CD10" i="8"/>
  <c r="BY10" i="8"/>
  <c r="BT10" i="8"/>
  <c r="BP10" i="8"/>
  <c r="BJ10" i="8"/>
  <c r="CH9" i="8"/>
  <c r="CC9" i="8"/>
  <c r="BX9" i="8"/>
  <c r="BS9" i="8"/>
  <c r="BO9" i="8"/>
  <c r="BI9" i="8"/>
  <c r="CG8" i="8"/>
  <c r="CB8" i="8"/>
  <c r="BW8" i="8"/>
  <c r="BR8" i="8"/>
  <c r="BL8" i="8"/>
  <c r="CJ7" i="8"/>
  <c r="CF7" i="8"/>
  <c r="CA7" i="8"/>
  <c r="BV7" i="8"/>
  <c r="BQ7" i="8"/>
  <c r="BK7" i="8"/>
  <c r="CI6" i="8"/>
  <c r="CD6" i="8"/>
  <c r="BY6" i="8"/>
  <c r="BT6" i="8"/>
  <c r="BP6" i="8"/>
  <c r="BJ6" i="8"/>
  <c r="CH5" i="8"/>
  <c r="CC5" i="8"/>
  <c r="BX5" i="8"/>
  <c r="BS5" i="8"/>
  <c r="BO5" i="8"/>
  <c r="BI5" i="8"/>
  <c r="CG4" i="8"/>
  <c r="CB4" i="8"/>
  <c r="BW4" i="8"/>
  <c r="BR4" i="8"/>
  <c r="BL4" i="8"/>
  <c r="BV60" i="8"/>
  <c r="BP59" i="8"/>
  <c r="CH58" i="8"/>
  <c r="BX58" i="8"/>
  <c r="BO58" i="8"/>
  <c r="BI58" i="8"/>
  <c r="CB57" i="8"/>
  <c r="BR57" i="8"/>
  <c r="BL57" i="8"/>
  <c r="CF56" i="8"/>
  <c r="BV56" i="8"/>
  <c r="BZ56" i="8" s="1"/>
  <c r="BQ56" i="8"/>
  <c r="CI55" i="8"/>
  <c r="CD55" i="8"/>
  <c r="BT55" i="8"/>
  <c r="BJ55" i="8"/>
  <c r="CH54" i="8"/>
  <c r="BX54" i="8"/>
  <c r="BO54" i="8"/>
  <c r="BI54" i="8"/>
  <c r="CB53" i="8"/>
  <c r="BR53" i="8"/>
  <c r="CJ52" i="8"/>
  <c r="CF52" i="8"/>
  <c r="BV52" i="8"/>
  <c r="BQ52" i="8"/>
  <c r="CI51" i="8"/>
  <c r="BY51" i="8"/>
  <c r="BP51" i="8"/>
  <c r="CH50" i="8"/>
  <c r="CC50" i="8"/>
  <c r="BS50" i="8"/>
  <c r="BI50" i="8"/>
  <c r="CG49" i="8"/>
  <c r="BW49" i="8"/>
  <c r="BL49" i="8"/>
  <c r="CF48" i="8"/>
  <c r="BV48" i="8"/>
  <c r="BQ48" i="8"/>
  <c r="CI47" i="8"/>
  <c r="CD47" i="8"/>
  <c r="BT47" i="8"/>
  <c r="BJ47" i="8"/>
  <c r="CC46" i="8"/>
  <c r="BX46" i="8"/>
  <c r="BO46" i="8"/>
  <c r="BI46" i="8"/>
  <c r="CB45" i="8"/>
  <c r="BR45" i="8"/>
  <c r="BL45" i="8"/>
  <c r="CF44" i="8"/>
  <c r="BV44" i="8"/>
  <c r="BZ44" i="8" s="1"/>
  <c r="BQ44" i="8"/>
  <c r="CI43" i="8"/>
  <c r="BY43" i="8"/>
  <c r="BP43" i="8"/>
  <c r="BJ43" i="8"/>
  <c r="CC42" i="8"/>
  <c r="BX42" i="8"/>
  <c r="BO42" i="8"/>
  <c r="CG41" i="8"/>
  <c r="CB41" i="8"/>
  <c r="BR41" i="8"/>
  <c r="CJ40" i="8"/>
  <c r="CF40" i="8"/>
  <c r="BV40" i="8"/>
  <c r="BK40" i="8"/>
  <c r="CI39" i="8"/>
  <c r="BY39" i="8"/>
  <c r="BP39" i="8"/>
  <c r="CH38" i="8"/>
  <c r="CC38" i="8"/>
  <c r="BS38" i="8"/>
  <c r="BO38" i="8"/>
  <c r="CG37" i="8"/>
  <c r="BW37" i="8"/>
  <c r="BL37" i="8"/>
  <c r="CJ36" i="8"/>
  <c r="CA36" i="8"/>
  <c r="BV36" i="8"/>
  <c r="BK36" i="8"/>
  <c r="CD35" i="8"/>
  <c r="BY35" i="8"/>
  <c r="BP35" i="8"/>
  <c r="CH34" i="8"/>
  <c r="CC34" i="8"/>
  <c r="BS34" i="8"/>
  <c r="CG33" i="8"/>
  <c r="BW33" i="8"/>
  <c r="CJ32" i="8"/>
  <c r="CA32" i="8"/>
  <c r="BV32" i="8"/>
  <c r="BK32" i="8"/>
  <c r="CD31" i="8"/>
  <c r="BY31" i="8"/>
  <c r="BP31" i="8"/>
  <c r="CH30" i="8"/>
  <c r="CC30" i="8"/>
  <c r="BS30" i="8"/>
  <c r="BI30" i="8"/>
  <c r="CG29" i="8"/>
  <c r="BW29" i="8"/>
  <c r="BL29" i="8"/>
  <c r="CJ28" i="8"/>
  <c r="CA28" i="8"/>
  <c r="BV28" i="8"/>
  <c r="BK28" i="8"/>
  <c r="CD27" i="8"/>
  <c r="BT27" i="8"/>
  <c r="BP27" i="8"/>
  <c r="CH26" i="8"/>
  <c r="CC26" i="8"/>
  <c r="BS26" i="8"/>
  <c r="BI26" i="8"/>
  <c r="CB25" i="8"/>
  <c r="BW25" i="8"/>
  <c r="BL25" i="8"/>
  <c r="CF24" i="8"/>
  <c r="CA24" i="8"/>
  <c r="BQ24" i="8"/>
  <c r="CI23" i="8"/>
  <c r="CD23" i="8"/>
  <c r="BT23" i="8"/>
  <c r="BP23" i="8"/>
  <c r="CH22" i="8"/>
  <c r="BX22" i="8"/>
  <c r="BS22" i="8"/>
  <c r="BI22" i="8"/>
  <c r="CG21" i="8"/>
  <c r="BW21" i="8"/>
  <c r="BL21" i="8"/>
  <c r="CJ20" i="8"/>
  <c r="CA20" i="8"/>
  <c r="BV20" i="8"/>
  <c r="BQ20" i="8"/>
  <c r="CI19" i="8"/>
  <c r="CD19" i="8"/>
  <c r="BT19" i="8"/>
  <c r="BJ19" i="8"/>
  <c r="CH18" i="8"/>
  <c r="BX18" i="8"/>
  <c r="BO18" i="8"/>
  <c r="CG17" i="8"/>
  <c r="BW17" i="8"/>
  <c r="BR17" i="8"/>
  <c r="CF16" i="8"/>
  <c r="CA16" i="8"/>
  <c r="BQ16" i="8"/>
  <c r="CI15" i="8"/>
  <c r="CD15" i="8"/>
  <c r="BT15" i="8"/>
  <c r="BP15" i="8"/>
  <c r="CA732" i="8"/>
  <c r="CE732" i="8" s="1"/>
  <c r="CH672" i="8"/>
  <c r="CC640" i="8"/>
  <c r="CB619" i="8"/>
  <c r="BX608" i="8"/>
  <c r="BT597" i="8"/>
  <c r="BQ586" i="8"/>
  <c r="BL575" i="8"/>
  <c r="BI564" i="8"/>
  <c r="CH552" i="8"/>
  <c r="CD541" i="8"/>
  <c r="BY537" i="8"/>
  <c r="CF534" i="8"/>
  <c r="BI532" i="8"/>
  <c r="BP529" i="8"/>
  <c r="BV526" i="8"/>
  <c r="BZ526" i="8" s="1"/>
  <c r="CB523" i="8"/>
  <c r="CH520" i="8"/>
  <c r="BK518" i="8"/>
  <c r="BR515" i="8"/>
  <c r="BX512" i="8"/>
  <c r="CD509" i="8"/>
  <c r="CJ506" i="8"/>
  <c r="BO504" i="8"/>
  <c r="BT501" i="8"/>
  <c r="BL499" i="8"/>
  <c r="CD497" i="8"/>
  <c r="BS496" i="8"/>
  <c r="CJ494" i="8"/>
  <c r="BY493" i="8"/>
  <c r="BO492" i="8"/>
  <c r="CF490" i="8"/>
  <c r="BT489" i="8"/>
  <c r="BI488" i="8"/>
  <c r="CA486" i="8"/>
  <c r="BP485" i="8"/>
  <c r="CG483" i="8"/>
  <c r="BV482" i="8"/>
  <c r="BZ482" i="8" s="1"/>
  <c r="BJ481" i="8"/>
  <c r="CB479" i="8"/>
  <c r="BQ478" i="8"/>
  <c r="CH476" i="8"/>
  <c r="BW475" i="8"/>
  <c r="BK474" i="8"/>
  <c r="CC472" i="8"/>
  <c r="BR471" i="8"/>
  <c r="CI469" i="8"/>
  <c r="BX468" i="8"/>
  <c r="BL467" i="8"/>
  <c r="CD465" i="8"/>
  <c r="BS464" i="8"/>
  <c r="CJ462" i="8"/>
  <c r="BY461" i="8"/>
  <c r="BO460" i="8"/>
  <c r="CF458" i="8"/>
  <c r="BT457" i="8"/>
  <c r="BI456" i="8"/>
  <c r="CA454" i="8"/>
  <c r="BP453" i="8"/>
  <c r="CG451" i="8"/>
  <c r="BV450" i="8"/>
  <c r="BZ450" i="8" s="1"/>
  <c r="BJ449" i="8"/>
  <c r="CB447" i="8"/>
  <c r="BQ446" i="8"/>
  <c r="CH444" i="8"/>
  <c r="BW443" i="8"/>
  <c r="BK442" i="8"/>
  <c r="CC440" i="8"/>
  <c r="BR439" i="8"/>
  <c r="CI437" i="8"/>
  <c r="BX436" i="8"/>
  <c r="BL435" i="8"/>
  <c r="CD433" i="8"/>
  <c r="BS432" i="8"/>
  <c r="CJ430" i="8"/>
  <c r="BY429" i="8"/>
  <c r="BO428" i="8"/>
  <c r="CF426" i="8"/>
  <c r="BT425" i="8"/>
  <c r="BI424" i="8"/>
  <c r="CA422" i="8"/>
  <c r="BP421" i="8"/>
  <c r="CG419" i="8"/>
  <c r="BV418" i="8"/>
  <c r="BJ417" i="8"/>
  <c r="CB415" i="8"/>
  <c r="BQ414" i="8"/>
  <c r="CH412" i="8"/>
  <c r="BW411" i="8"/>
  <c r="BK410" i="8"/>
  <c r="CC408" i="8"/>
  <c r="BR407" i="8"/>
  <c r="CI405" i="8"/>
  <c r="BX404" i="8"/>
  <c r="BL403" i="8"/>
  <c r="CD401" i="8"/>
  <c r="BS400" i="8"/>
  <c r="CJ398" i="8"/>
  <c r="BY397" i="8"/>
  <c r="BO396" i="8"/>
  <c r="CF394" i="8"/>
  <c r="BT393" i="8"/>
  <c r="BI392" i="8"/>
  <c r="CA390" i="8"/>
  <c r="BP389" i="8"/>
  <c r="CG387" i="8"/>
  <c r="BV386" i="8"/>
  <c r="BJ385" i="8"/>
  <c r="CB383" i="8"/>
  <c r="BQ382" i="8"/>
  <c r="CH380" i="8"/>
  <c r="BW379" i="8"/>
  <c r="BK378" i="8"/>
  <c r="CC376" i="8"/>
  <c r="BR375" i="8"/>
  <c r="CI373" i="8"/>
  <c r="BX372" i="8"/>
  <c r="BL371" i="8"/>
  <c r="CD369" i="8"/>
  <c r="BS368" i="8"/>
  <c r="CJ366" i="8"/>
  <c r="BY365" i="8"/>
  <c r="BO364" i="8"/>
  <c r="CF362" i="8"/>
  <c r="BT361" i="8"/>
  <c r="BI360" i="8"/>
  <c r="CA358" i="8"/>
  <c r="BP357" i="8"/>
  <c r="CG355" i="8"/>
  <c r="BV354" i="8"/>
  <c r="BZ354" i="8" s="1"/>
  <c r="BJ353" i="8"/>
  <c r="CB351" i="8"/>
  <c r="BQ350" i="8"/>
  <c r="CH348" i="8"/>
  <c r="BW347" i="8"/>
  <c r="BK346" i="8"/>
  <c r="CC344" i="8"/>
  <c r="BR343" i="8"/>
  <c r="CI341" i="8"/>
  <c r="BX340" i="8"/>
  <c r="BL339" i="8"/>
  <c r="CD337" i="8"/>
  <c r="BS336" i="8"/>
  <c r="CJ334" i="8"/>
  <c r="BY333" i="8"/>
  <c r="BO332" i="8"/>
  <c r="CF330" i="8"/>
  <c r="BT329" i="8"/>
  <c r="BI328" i="8"/>
  <c r="CA326" i="8"/>
  <c r="BP325" i="8"/>
  <c r="CG323" i="8"/>
  <c r="BV322" i="8"/>
  <c r="BZ322" i="8" s="1"/>
  <c r="BJ321" i="8"/>
  <c r="CB319" i="8"/>
  <c r="BS318" i="8"/>
  <c r="CI317" i="8"/>
  <c r="BV317" i="8"/>
  <c r="BZ317" i="8" s="1"/>
  <c r="CJ316" i="8"/>
  <c r="BX316" i="8"/>
  <c r="BJ316" i="8"/>
  <c r="BY315" i="8"/>
  <c r="BL315" i="8"/>
  <c r="CB314" i="8"/>
  <c r="BO314" i="8"/>
  <c r="CD313" i="8"/>
  <c r="BQ313" i="8"/>
  <c r="CF312" i="8"/>
  <c r="BS312" i="8"/>
  <c r="CI311" i="8"/>
  <c r="BY311" i="8"/>
  <c r="BP311" i="8"/>
  <c r="CH310" i="8"/>
  <c r="BX310" i="8"/>
  <c r="BO310" i="8"/>
  <c r="CG309" i="8"/>
  <c r="BW309" i="8"/>
  <c r="BL309" i="8"/>
  <c r="CF308" i="8"/>
  <c r="BV308" i="8"/>
  <c r="BZ308" i="8" s="1"/>
  <c r="BK308" i="8"/>
  <c r="CD307" i="8"/>
  <c r="BT307" i="8"/>
  <c r="BJ307" i="8"/>
  <c r="CC306" i="8"/>
  <c r="BS306" i="8"/>
  <c r="BI306" i="8"/>
  <c r="CB305" i="8"/>
  <c r="BR305" i="8"/>
  <c r="CJ304" i="8"/>
  <c r="CA304" i="8"/>
  <c r="BQ304" i="8"/>
  <c r="CI303" i="8"/>
  <c r="BY303" i="8"/>
  <c r="BP303" i="8"/>
  <c r="CH302" i="8"/>
  <c r="BX302" i="8"/>
  <c r="BO302" i="8"/>
  <c r="CG301" i="8"/>
  <c r="BW301" i="8"/>
  <c r="BL301" i="8"/>
  <c r="CF300" i="8"/>
  <c r="BV300" i="8"/>
  <c r="BZ300" i="8" s="1"/>
  <c r="BK300" i="8"/>
  <c r="CD299" i="8"/>
  <c r="BT299" i="8"/>
  <c r="BJ299" i="8"/>
  <c r="CC298" i="8"/>
  <c r="BS298" i="8"/>
  <c r="BI298" i="8"/>
  <c r="CB297" i="8"/>
  <c r="BR297" i="8"/>
  <c r="CJ296" i="8"/>
  <c r="CA296" i="8"/>
  <c r="BQ296" i="8"/>
  <c r="CI295" i="8"/>
  <c r="BY295" i="8"/>
  <c r="BP295" i="8"/>
  <c r="CH294" i="8"/>
  <c r="BX294" i="8"/>
  <c r="BO294" i="8"/>
  <c r="CG293" i="8"/>
  <c r="BW293" i="8"/>
  <c r="BL293" i="8"/>
  <c r="CF292" i="8"/>
  <c r="BV292" i="8"/>
  <c r="BZ292" i="8" s="1"/>
  <c r="BK292" i="8"/>
  <c r="CD291" i="8"/>
  <c r="BT291" i="8"/>
  <c r="BJ291" i="8"/>
  <c r="CC290" i="8"/>
  <c r="BS290" i="8"/>
  <c r="BI290" i="8"/>
  <c r="CB289" i="8"/>
  <c r="BR289" i="8"/>
  <c r="CJ288" i="8"/>
  <c r="CA288" i="8"/>
  <c r="BQ288" i="8"/>
  <c r="CI287" i="8"/>
  <c r="BY287" i="8"/>
  <c r="BP287" i="8"/>
  <c r="CH286" i="8"/>
  <c r="BX286" i="8"/>
  <c r="BO286" i="8"/>
  <c r="CG285" i="8"/>
  <c r="BW285" i="8"/>
  <c r="BL285" i="8"/>
  <c r="CF284" i="8"/>
  <c r="BV284" i="8"/>
  <c r="BZ284" i="8" s="1"/>
  <c r="BK284" i="8"/>
  <c r="CD283" i="8"/>
  <c r="BT283" i="8"/>
  <c r="BJ283" i="8"/>
  <c r="CC282" i="8"/>
  <c r="BS282" i="8"/>
  <c r="BI282" i="8"/>
  <c r="CB281" i="8"/>
  <c r="BR281" i="8"/>
  <c r="CJ280" i="8"/>
  <c r="CA280" i="8"/>
  <c r="BQ280" i="8"/>
  <c r="CI279" i="8"/>
  <c r="BY279" i="8"/>
  <c r="BP279" i="8"/>
  <c r="CH278" i="8"/>
  <c r="BX278" i="8"/>
  <c r="BO278" i="8"/>
  <c r="CG277" i="8"/>
  <c r="BW277" i="8"/>
  <c r="BL277" i="8"/>
  <c r="CF276" i="8"/>
  <c r="BV276" i="8"/>
  <c r="BZ276" i="8" s="1"/>
  <c r="BK276" i="8"/>
  <c r="CD275" i="8"/>
  <c r="BT275" i="8"/>
  <c r="BJ275" i="8"/>
  <c r="CC274" i="8"/>
  <c r="BS274" i="8"/>
  <c r="BI274" i="8"/>
  <c r="CB273" i="8"/>
  <c r="BR273" i="8"/>
  <c r="CJ272" i="8"/>
  <c r="CA272" i="8"/>
  <c r="BQ272" i="8"/>
  <c r="CI271" i="8"/>
  <c r="BY271" i="8"/>
  <c r="BP271" i="8"/>
  <c r="CH270" i="8"/>
  <c r="BX270" i="8"/>
  <c r="BO270" i="8"/>
  <c r="CG269" i="8"/>
  <c r="BW269" i="8"/>
  <c r="BL269" i="8"/>
  <c r="CF268" i="8"/>
  <c r="BV268" i="8"/>
  <c r="BZ268" i="8" s="1"/>
  <c r="BK268" i="8"/>
  <c r="CD267" i="8"/>
  <c r="BT267" i="8"/>
  <c r="BJ267" i="8"/>
  <c r="CC266" i="8"/>
  <c r="BS266" i="8"/>
  <c r="BI266" i="8"/>
  <c r="CB265" i="8"/>
  <c r="BR265" i="8"/>
  <c r="CJ264" i="8"/>
  <c r="CA264" i="8"/>
  <c r="BQ264" i="8"/>
  <c r="CI263" i="8"/>
  <c r="BY263" i="8"/>
  <c r="BP263" i="8"/>
  <c r="CH262" i="8"/>
  <c r="BX262" i="8"/>
  <c r="BO262" i="8"/>
  <c r="CG261" i="8"/>
  <c r="BW261" i="8"/>
  <c r="BL261" i="8"/>
  <c r="CF260" i="8"/>
  <c r="BV260" i="8"/>
  <c r="BK260" i="8"/>
  <c r="CD259" i="8"/>
  <c r="BT259" i="8"/>
  <c r="BJ259" i="8"/>
  <c r="CC258" i="8"/>
  <c r="BS258" i="8"/>
  <c r="BI258" i="8"/>
  <c r="CB257" i="8"/>
  <c r="BR257" i="8"/>
  <c r="CJ256" i="8"/>
  <c r="CA256" i="8"/>
  <c r="BQ256" i="8"/>
  <c r="CI255" i="8"/>
  <c r="BY255" i="8"/>
  <c r="BP255" i="8"/>
  <c r="CH254" i="8"/>
  <c r="BX254" i="8"/>
  <c r="BO254" i="8"/>
  <c r="CG253" i="8"/>
  <c r="BW253" i="8"/>
  <c r="BL253" i="8"/>
  <c r="CF252" i="8"/>
  <c r="BV252" i="8"/>
  <c r="BK252" i="8"/>
  <c r="CD251" i="8"/>
  <c r="BT251" i="8"/>
  <c r="BJ251" i="8"/>
  <c r="CC250" i="8"/>
  <c r="BS250" i="8"/>
  <c r="BI250" i="8"/>
  <c r="CB249" i="8"/>
  <c r="BR249" i="8"/>
  <c r="CJ248" i="8"/>
  <c r="CA248" i="8"/>
  <c r="BQ248" i="8"/>
  <c r="CI247" i="8"/>
  <c r="BY247" i="8"/>
  <c r="BP247" i="8"/>
  <c r="CH246" i="8"/>
  <c r="BX246" i="8"/>
  <c r="BO246" i="8"/>
  <c r="CG245" i="8"/>
  <c r="BW245" i="8"/>
  <c r="BL245" i="8"/>
  <c r="CF244" i="8"/>
  <c r="BV244" i="8"/>
  <c r="BZ244" i="8" s="1"/>
  <c r="BK244" i="8"/>
  <c r="CD243" i="8"/>
  <c r="BT243" i="8"/>
  <c r="BJ243" i="8"/>
  <c r="CC242" i="8"/>
  <c r="BS242" i="8"/>
  <c r="BI242" i="8"/>
  <c r="CB241" i="8"/>
  <c r="BR241" i="8"/>
  <c r="CJ240" i="8"/>
  <c r="CA240" i="8"/>
  <c r="BQ240" i="8"/>
  <c r="CI239" i="8"/>
  <c r="BY239" i="8"/>
  <c r="BP239" i="8"/>
  <c r="CH238" i="8"/>
  <c r="BX238" i="8"/>
  <c r="BO238" i="8"/>
  <c r="CG237" i="8"/>
  <c r="BW237" i="8"/>
  <c r="BL237" i="8"/>
  <c r="CF236" i="8"/>
  <c r="BV236" i="8"/>
  <c r="BZ236" i="8" s="1"/>
  <c r="BK236" i="8"/>
  <c r="CD235" i="8"/>
  <c r="BT235" i="8"/>
  <c r="BJ235" i="8"/>
  <c r="CC234" i="8"/>
  <c r="BS234" i="8"/>
  <c r="BI234" i="8"/>
  <c r="CB233" i="8"/>
  <c r="BR233" i="8"/>
  <c r="CJ232" i="8"/>
  <c r="CA232" i="8"/>
  <c r="BQ232" i="8"/>
  <c r="CI231" i="8"/>
  <c r="BY231" i="8"/>
  <c r="BP231" i="8"/>
  <c r="CH230" i="8"/>
  <c r="BX230" i="8"/>
  <c r="BO230" i="8"/>
  <c r="CG229" i="8"/>
  <c r="BW229" i="8"/>
  <c r="BL229" i="8"/>
  <c r="CF228" i="8"/>
  <c r="BV228" i="8"/>
  <c r="BZ228" i="8" s="1"/>
  <c r="BK228" i="8"/>
  <c r="CD227" i="8"/>
  <c r="BT227" i="8"/>
  <c r="BJ227" i="8"/>
  <c r="CC226" i="8"/>
  <c r="BS226" i="8"/>
  <c r="BI226" i="8"/>
  <c r="CB225" i="8"/>
  <c r="BR225" i="8"/>
  <c r="CJ224" i="8"/>
  <c r="CA224" i="8"/>
  <c r="BQ224" i="8"/>
  <c r="CI223" i="8"/>
  <c r="BY223" i="8"/>
  <c r="BP223" i="8"/>
  <c r="CH222" i="8"/>
  <c r="BX222" i="8"/>
  <c r="BO222" i="8"/>
  <c r="CG221" i="8"/>
  <c r="BW221" i="8"/>
  <c r="BL221" i="8"/>
  <c r="CF220" i="8"/>
  <c r="BV220" i="8"/>
  <c r="BZ220" i="8" s="1"/>
  <c r="BK220" i="8"/>
  <c r="CD219" i="8"/>
  <c r="BT219" i="8"/>
  <c r="BJ219" i="8"/>
  <c r="CC218" i="8"/>
  <c r="BS218" i="8"/>
  <c r="BI218" i="8"/>
  <c r="CB217" i="8"/>
  <c r="BR217" i="8"/>
  <c r="CJ216" i="8"/>
  <c r="CA216" i="8"/>
  <c r="BQ216" i="8"/>
  <c r="CI215" i="8"/>
  <c r="BY215" i="8"/>
  <c r="BP215" i="8"/>
  <c r="CH214" i="8"/>
  <c r="BX214" i="8"/>
  <c r="BO214" i="8"/>
  <c r="CG213" i="8"/>
  <c r="BW213" i="8"/>
  <c r="BL213" i="8"/>
  <c r="CF212" i="8"/>
  <c r="BV212" i="8"/>
  <c r="BZ212" i="8" s="1"/>
  <c r="BK212" i="8"/>
  <c r="CD211" i="8"/>
  <c r="BT211" i="8"/>
  <c r="BJ211" i="8"/>
  <c r="CC210" i="8"/>
  <c r="BS210" i="8"/>
  <c r="BI210" i="8"/>
  <c r="CB209" i="8"/>
  <c r="BR209" i="8"/>
  <c r="CJ208" i="8"/>
  <c r="CA208" i="8"/>
  <c r="BQ208" i="8"/>
  <c r="CI207" i="8"/>
  <c r="BY207" i="8"/>
  <c r="BP207" i="8"/>
  <c r="CH206" i="8"/>
  <c r="BX206" i="8"/>
  <c r="BO206" i="8"/>
  <c r="CG205" i="8"/>
  <c r="BW205" i="8"/>
  <c r="BL205" i="8"/>
  <c r="CF204" i="8"/>
  <c r="BV204" i="8"/>
  <c r="BK204" i="8"/>
  <c r="CD203" i="8"/>
  <c r="BT203" i="8"/>
  <c r="BJ203" i="8"/>
  <c r="CC202" i="8"/>
  <c r="BS202" i="8"/>
  <c r="BI202" i="8"/>
  <c r="CB201" i="8"/>
  <c r="BR201" i="8"/>
  <c r="CJ200" i="8"/>
  <c r="CA200" i="8"/>
  <c r="BQ200" i="8"/>
  <c r="CI199" i="8"/>
  <c r="BY199" i="8"/>
  <c r="BP199" i="8"/>
  <c r="CH198" i="8"/>
  <c r="BX198" i="8"/>
  <c r="BO198" i="8"/>
  <c r="CG197" i="8"/>
  <c r="BW197" i="8"/>
  <c r="BL197" i="8"/>
  <c r="CF196" i="8"/>
  <c r="BV196" i="8"/>
  <c r="BZ196" i="8" s="1"/>
  <c r="BK196" i="8"/>
  <c r="CD195" i="8"/>
  <c r="BT195" i="8"/>
  <c r="BJ195" i="8"/>
  <c r="CC194" i="8"/>
  <c r="BS194" i="8"/>
  <c r="BI194" i="8"/>
  <c r="CB193" i="8"/>
  <c r="BR193" i="8"/>
  <c r="CJ192" i="8"/>
  <c r="CA192" i="8"/>
  <c r="BQ192" i="8"/>
  <c r="CI191" i="8"/>
  <c r="BY191" i="8"/>
  <c r="BP191" i="8"/>
  <c r="CH190" i="8"/>
  <c r="BX190" i="8"/>
  <c r="BO190" i="8"/>
  <c r="CG189" i="8"/>
  <c r="BW189" i="8"/>
  <c r="BL189" i="8"/>
  <c r="CF188" i="8"/>
  <c r="BV188" i="8"/>
  <c r="BZ188" i="8" s="1"/>
  <c r="BK188" i="8"/>
  <c r="CD187" i="8"/>
  <c r="BW187" i="8"/>
  <c r="BR187" i="8"/>
  <c r="BL187" i="8"/>
  <c r="CJ186" i="8"/>
  <c r="CF186" i="8"/>
  <c r="CA186" i="8"/>
  <c r="BV186" i="8"/>
  <c r="BZ186" i="8" s="1"/>
  <c r="BQ186" i="8"/>
  <c r="BK186" i="8"/>
  <c r="CI185" i="8"/>
  <c r="CD185" i="8"/>
  <c r="BY185" i="8"/>
  <c r="BT185" i="8"/>
  <c r="BP185" i="8"/>
  <c r="BJ185" i="8"/>
  <c r="CH184" i="8"/>
  <c r="CC184" i="8"/>
  <c r="BX184" i="8"/>
  <c r="BS184" i="8"/>
  <c r="BO184" i="8"/>
  <c r="BI184" i="8"/>
  <c r="CG183" i="8"/>
  <c r="CB183" i="8"/>
  <c r="BW183" i="8"/>
  <c r="BR183" i="8"/>
  <c r="BL183" i="8"/>
  <c r="CJ182" i="8"/>
  <c r="CF182" i="8"/>
  <c r="CA182" i="8"/>
  <c r="BV182" i="8"/>
  <c r="BQ182" i="8"/>
  <c r="BK182" i="8"/>
  <c r="CI181" i="8"/>
  <c r="CD181" i="8"/>
  <c r="BY181" i="8"/>
  <c r="BT181" i="8"/>
  <c r="BP181" i="8"/>
  <c r="BJ181" i="8"/>
  <c r="CH180" i="8"/>
  <c r="CC180" i="8"/>
  <c r="BX180" i="8"/>
  <c r="BS180" i="8"/>
  <c r="BO180" i="8"/>
  <c r="BI180" i="8"/>
  <c r="CG179" i="8"/>
  <c r="CB179" i="8"/>
  <c r="BW179" i="8"/>
  <c r="BR179" i="8"/>
  <c r="BL179" i="8"/>
  <c r="CJ178" i="8"/>
  <c r="CF178" i="8"/>
  <c r="CA178" i="8"/>
  <c r="BV178" i="8"/>
  <c r="BQ178" i="8"/>
  <c r="BK178" i="8"/>
  <c r="CI177" i="8"/>
  <c r="CD177" i="8"/>
  <c r="BY177" i="8"/>
  <c r="BT177" i="8"/>
  <c r="BP177" i="8"/>
  <c r="BJ177" i="8"/>
  <c r="CH176" i="8"/>
  <c r="CC176" i="8"/>
  <c r="BX176" i="8"/>
  <c r="BS176" i="8"/>
  <c r="BO176" i="8"/>
  <c r="BI176" i="8"/>
  <c r="CG175" i="8"/>
  <c r="CB175" i="8"/>
  <c r="BW175" i="8"/>
  <c r="BR175" i="8"/>
  <c r="BL175" i="8"/>
  <c r="CJ174" i="8"/>
  <c r="CF174" i="8"/>
  <c r="CA174" i="8"/>
  <c r="BV174" i="8"/>
  <c r="BQ174" i="8"/>
  <c r="BK174" i="8"/>
  <c r="CI173" i="8"/>
  <c r="CD173" i="8"/>
  <c r="BY173" i="8"/>
  <c r="BT173" i="8"/>
  <c r="BP173" i="8"/>
  <c r="BJ173" i="8"/>
  <c r="CH172" i="8"/>
  <c r="CC172" i="8"/>
  <c r="BX172" i="8"/>
  <c r="BS172" i="8"/>
  <c r="BO172" i="8"/>
  <c r="BI172" i="8"/>
  <c r="CG171" i="8"/>
  <c r="CB171" i="8"/>
  <c r="BW171" i="8"/>
  <c r="BR171" i="8"/>
  <c r="BL171" i="8"/>
  <c r="CJ170" i="8"/>
  <c r="CF170" i="8"/>
  <c r="CA170" i="8"/>
  <c r="BV170" i="8"/>
  <c r="BZ170" i="8" s="1"/>
  <c r="BQ170" i="8"/>
  <c r="BK170" i="8"/>
  <c r="CI169" i="8"/>
  <c r="CD169" i="8"/>
  <c r="BY169" i="8"/>
  <c r="BT169" i="8"/>
  <c r="BP169" i="8"/>
  <c r="BJ169" i="8"/>
  <c r="CH168" i="8"/>
  <c r="CC168" i="8"/>
  <c r="BX168" i="8"/>
  <c r="BS168" i="8"/>
  <c r="BO168" i="8"/>
  <c r="BI168" i="8"/>
  <c r="CG167" i="8"/>
  <c r="CB167" i="8"/>
  <c r="BW167" i="8"/>
  <c r="BR167" i="8"/>
  <c r="BL167" i="8"/>
  <c r="CJ166" i="8"/>
  <c r="CF166" i="8"/>
  <c r="CA166" i="8"/>
  <c r="BV166" i="8"/>
  <c r="BQ166" i="8"/>
  <c r="BK166" i="8"/>
  <c r="CI165" i="8"/>
  <c r="CD165" i="8"/>
  <c r="BY165" i="8"/>
  <c r="BT165" i="8"/>
  <c r="BP165" i="8"/>
  <c r="BJ165" i="8"/>
  <c r="CH164" i="8"/>
  <c r="CC164" i="8"/>
  <c r="BX164" i="8"/>
  <c r="BS164" i="8"/>
  <c r="BO164" i="8"/>
  <c r="BI164" i="8"/>
  <c r="CG163" i="8"/>
  <c r="CB163" i="8"/>
  <c r="BW163" i="8"/>
  <c r="BR163" i="8"/>
  <c r="BL163" i="8"/>
  <c r="CJ162" i="8"/>
  <c r="CF162" i="8"/>
  <c r="CA162" i="8"/>
  <c r="BV162" i="8"/>
  <c r="BQ162" i="8"/>
  <c r="BK162" i="8"/>
  <c r="CI161" i="8"/>
  <c r="CD161" i="8"/>
  <c r="BY161" i="8"/>
  <c r="BT161" i="8"/>
  <c r="BP161" i="8"/>
  <c r="BJ161" i="8"/>
  <c r="CH160" i="8"/>
  <c r="CC160" i="8"/>
  <c r="BX160" i="8"/>
  <c r="BS160" i="8"/>
  <c r="BO160" i="8"/>
  <c r="BI160" i="8"/>
  <c r="CG159" i="8"/>
  <c r="CB159" i="8"/>
  <c r="BW159" i="8"/>
  <c r="BR159" i="8"/>
  <c r="BL159" i="8"/>
  <c r="CJ158" i="8"/>
  <c r="CF158" i="8"/>
  <c r="CA158" i="8"/>
  <c r="BV158" i="8"/>
  <c r="BQ158" i="8"/>
  <c r="BK158" i="8"/>
  <c r="CI157" i="8"/>
  <c r="CD157" i="8"/>
  <c r="BY157" i="8"/>
  <c r="BT157" i="8"/>
  <c r="BP157" i="8"/>
  <c r="BJ157" i="8"/>
  <c r="CH156" i="8"/>
  <c r="CC156" i="8"/>
  <c r="BX156" i="8"/>
  <c r="BS156" i="8"/>
  <c r="BO156" i="8"/>
  <c r="BI156" i="8"/>
  <c r="CG155" i="8"/>
  <c r="CB155" i="8"/>
  <c r="BW155" i="8"/>
  <c r="BR155" i="8"/>
  <c r="BL155" i="8"/>
  <c r="CJ154" i="8"/>
  <c r="CF154" i="8"/>
  <c r="CA154" i="8"/>
  <c r="BV154" i="8"/>
  <c r="BZ154" i="8" s="1"/>
  <c r="BQ154" i="8"/>
  <c r="BK154" i="8"/>
  <c r="CI153" i="8"/>
  <c r="CD153" i="8"/>
  <c r="BY153" i="8"/>
  <c r="BT153" i="8"/>
  <c r="BP153" i="8"/>
  <c r="BJ153" i="8"/>
  <c r="CH152" i="8"/>
  <c r="CC152" i="8"/>
  <c r="BX152" i="8"/>
  <c r="BS152" i="8"/>
  <c r="BO152" i="8"/>
  <c r="BI152" i="8"/>
  <c r="CG151" i="8"/>
  <c r="CB151" i="8"/>
  <c r="BW151" i="8"/>
  <c r="BR151" i="8"/>
  <c r="BL151" i="8"/>
  <c r="CJ150" i="8"/>
  <c r="CF150" i="8"/>
  <c r="CA150" i="8"/>
  <c r="BV150" i="8"/>
  <c r="BZ150" i="8" s="1"/>
  <c r="BQ150" i="8"/>
  <c r="BK150" i="8"/>
  <c r="CI149" i="8"/>
  <c r="CD149" i="8"/>
  <c r="BY149" i="8"/>
  <c r="BT149" i="8"/>
  <c r="BP149" i="8"/>
  <c r="BJ149" i="8"/>
  <c r="CH148" i="8"/>
  <c r="CC148" i="8"/>
  <c r="BX148" i="8"/>
  <c r="BS148" i="8"/>
  <c r="BO148" i="8"/>
  <c r="BI148" i="8"/>
  <c r="CG147" i="8"/>
  <c r="CB147" i="8"/>
  <c r="BW147" i="8"/>
  <c r="BR147" i="8"/>
  <c r="BL147" i="8"/>
  <c r="CJ146" i="8"/>
  <c r="CF146" i="8"/>
  <c r="CA146" i="8"/>
  <c r="BV146" i="8"/>
  <c r="BZ146" i="8" s="1"/>
  <c r="BQ146" i="8"/>
  <c r="BK146" i="8"/>
  <c r="CI145" i="8"/>
  <c r="CD145" i="8"/>
  <c r="BY145" i="8"/>
  <c r="BT145" i="8"/>
  <c r="BP145" i="8"/>
  <c r="BJ145" i="8"/>
  <c r="CH144" i="8"/>
  <c r="CC144" i="8"/>
  <c r="BX144" i="8"/>
  <c r="BS144" i="8"/>
  <c r="BO144" i="8"/>
  <c r="BI144" i="8"/>
  <c r="CG143" i="8"/>
  <c r="CB143" i="8"/>
  <c r="BW143" i="8"/>
  <c r="BR143" i="8"/>
  <c r="BL143" i="8"/>
  <c r="CJ142" i="8"/>
  <c r="CF142" i="8"/>
  <c r="CA142" i="8"/>
  <c r="BV142" i="8"/>
  <c r="BZ142" i="8" s="1"/>
  <c r="BQ142" i="8"/>
  <c r="BK142" i="8"/>
  <c r="CI141" i="8"/>
  <c r="CD141" i="8"/>
  <c r="BY141" i="8"/>
  <c r="BT141" i="8"/>
  <c r="BP141" i="8"/>
  <c r="BJ141" i="8"/>
  <c r="CH140" i="8"/>
  <c r="CC140" i="8"/>
  <c r="BX140" i="8"/>
  <c r="BS140" i="8"/>
  <c r="BO140" i="8"/>
  <c r="BI140" i="8"/>
  <c r="CG139" i="8"/>
  <c r="CB139" i="8"/>
  <c r="BW139" i="8"/>
  <c r="BR139" i="8"/>
  <c r="BL139" i="8"/>
  <c r="CJ138" i="8"/>
  <c r="CF138" i="8"/>
  <c r="CA138" i="8"/>
  <c r="BV138" i="8"/>
  <c r="BZ138" i="8" s="1"/>
  <c r="BQ138" i="8"/>
  <c r="BK138" i="8"/>
  <c r="CI137" i="8"/>
  <c r="CD137" i="8"/>
  <c r="BY137" i="8"/>
  <c r="BT137" i="8"/>
  <c r="BP137" i="8"/>
  <c r="BJ137" i="8"/>
  <c r="CH136" i="8"/>
  <c r="CC136" i="8"/>
  <c r="BX136" i="8"/>
  <c r="BS136" i="8"/>
  <c r="BO136" i="8"/>
  <c r="BI136" i="8"/>
  <c r="CG135" i="8"/>
  <c r="CB135" i="8"/>
  <c r="BW135" i="8"/>
  <c r="BR135" i="8"/>
  <c r="BL135" i="8"/>
  <c r="CJ134" i="8"/>
  <c r="CF134" i="8"/>
  <c r="CA134" i="8"/>
  <c r="BV134" i="8"/>
  <c r="BQ134" i="8"/>
  <c r="BK134" i="8"/>
  <c r="CI133" i="8"/>
  <c r="CD133" i="8"/>
  <c r="BY133" i="8"/>
  <c r="BT133" i="8"/>
  <c r="BP133" i="8"/>
  <c r="BJ133" i="8"/>
  <c r="CH132" i="8"/>
  <c r="CC132" i="8"/>
  <c r="BX132" i="8"/>
  <c r="BS132" i="8"/>
  <c r="BO132" i="8"/>
  <c r="BI132" i="8"/>
  <c r="CG131" i="8"/>
  <c r="CB131" i="8"/>
  <c r="BW131" i="8"/>
  <c r="BR131" i="8"/>
  <c r="BL131" i="8"/>
  <c r="CJ130" i="8"/>
  <c r="CF130" i="8"/>
  <c r="CA130" i="8"/>
  <c r="BV130" i="8"/>
  <c r="BZ130" i="8" s="1"/>
  <c r="BQ130" i="8"/>
  <c r="BK130" i="8"/>
  <c r="CI129" i="8"/>
  <c r="CD129" i="8"/>
  <c r="BY129" i="8"/>
  <c r="BT129" i="8"/>
  <c r="BP129" i="8"/>
  <c r="BJ129" i="8"/>
  <c r="CH128" i="8"/>
  <c r="CC128" i="8"/>
  <c r="BX128" i="8"/>
  <c r="BS128" i="8"/>
  <c r="BO128" i="8"/>
  <c r="BI128" i="8"/>
  <c r="CG127" i="8"/>
  <c r="CB127" i="8"/>
  <c r="BW127" i="8"/>
  <c r="BR127" i="8"/>
  <c r="BL127" i="8"/>
  <c r="CJ126" i="8"/>
  <c r="CF126" i="8"/>
  <c r="CA126" i="8"/>
  <c r="BV126" i="8"/>
  <c r="BQ126" i="8"/>
  <c r="BK126" i="8"/>
  <c r="CI125" i="8"/>
  <c r="CD125" i="8"/>
  <c r="BY125" i="8"/>
  <c r="BT125" i="8"/>
  <c r="BP125" i="8"/>
  <c r="BJ125" i="8"/>
  <c r="CH124" i="8"/>
  <c r="CC124" i="8"/>
  <c r="BX124" i="8"/>
  <c r="BS124" i="8"/>
  <c r="BO124" i="8"/>
  <c r="BI124" i="8"/>
  <c r="CG123" i="8"/>
  <c r="CB123" i="8"/>
  <c r="BW123" i="8"/>
  <c r="BR123" i="8"/>
  <c r="BL123" i="8"/>
  <c r="CJ122" i="8"/>
  <c r="CF122" i="8"/>
  <c r="CA122" i="8"/>
  <c r="BV122" i="8"/>
  <c r="BQ122" i="8"/>
  <c r="BK122" i="8"/>
  <c r="CI121" i="8"/>
  <c r="CD121" i="8"/>
  <c r="BY121" i="8"/>
  <c r="BT121" i="8"/>
  <c r="BP121" i="8"/>
  <c r="BJ121" i="8"/>
  <c r="CH120" i="8"/>
  <c r="CC120" i="8"/>
  <c r="BX120" i="8"/>
  <c r="BS120" i="8"/>
  <c r="BO120" i="8"/>
  <c r="BI120" i="8"/>
  <c r="CG119" i="8"/>
  <c r="CB119" i="8"/>
  <c r="BW119" i="8"/>
  <c r="BR119" i="8"/>
  <c r="BL119" i="8"/>
  <c r="CJ118" i="8"/>
  <c r="CF118" i="8"/>
  <c r="CA118" i="8"/>
  <c r="BV118" i="8"/>
  <c r="BZ118" i="8" s="1"/>
  <c r="BQ118" i="8"/>
  <c r="BK118" i="8"/>
  <c r="CI117" i="8"/>
  <c r="CD117" i="8"/>
  <c r="BY117" i="8"/>
  <c r="BT117" i="8"/>
  <c r="BP117" i="8"/>
  <c r="BJ117" i="8"/>
  <c r="CH116" i="8"/>
  <c r="CC116" i="8"/>
  <c r="BX116" i="8"/>
  <c r="BS116" i="8"/>
  <c r="BO116" i="8"/>
  <c r="BI116" i="8"/>
  <c r="CG115" i="8"/>
  <c r="CB115" i="8"/>
  <c r="BW115" i="8"/>
  <c r="BR115" i="8"/>
  <c r="BL115" i="8"/>
  <c r="CJ114" i="8"/>
  <c r="CF114" i="8"/>
  <c r="CA114" i="8"/>
  <c r="BV114" i="8"/>
  <c r="BZ114" i="8" s="1"/>
  <c r="BQ114" i="8"/>
  <c r="BK114" i="8"/>
  <c r="CI113" i="8"/>
  <c r="CD113" i="8"/>
  <c r="BY113" i="8"/>
  <c r="BT113" i="8"/>
  <c r="BP113" i="8"/>
  <c r="BJ113" i="8"/>
  <c r="CH112" i="8"/>
  <c r="CC112" i="8"/>
  <c r="BX112" i="8"/>
  <c r="BS112" i="8"/>
  <c r="BO112" i="8"/>
  <c r="BI112" i="8"/>
  <c r="CG111" i="8"/>
  <c r="CB111" i="8"/>
  <c r="BW111" i="8"/>
  <c r="BR111" i="8"/>
  <c r="BL111" i="8"/>
  <c r="CJ110" i="8"/>
  <c r="CF110" i="8"/>
  <c r="CA110" i="8"/>
  <c r="BV110" i="8"/>
  <c r="BQ110" i="8"/>
  <c r="BK110" i="8"/>
  <c r="CI109" i="8"/>
  <c r="CD109" i="8"/>
  <c r="BY109" i="8"/>
  <c r="BT109" i="8"/>
  <c r="BP109" i="8"/>
  <c r="BJ109" i="8"/>
  <c r="CH108" i="8"/>
  <c r="CC108" i="8"/>
  <c r="BX108" i="8"/>
  <c r="BS108" i="8"/>
  <c r="BO108" i="8"/>
  <c r="BI108" i="8"/>
  <c r="CG107" i="8"/>
  <c r="CB107" i="8"/>
  <c r="BW107" i="8"/>
  <c r="BR107" i="8"/>
  <c r="BL107" i="8"/>
  <c r="CJ106" i="8"/>
  <c r="CF106" i="8"/>
  <c r="CA106" i="8"/>
  <c r="BV106" i="8"/>
  <c r="BZ106" i="8" s="1"/>
  <c r="BQ106" i="8"/>
  <c r="BK106" i="8"/>
  <c r="CI105" i="8"/>
  <c r="CD105" i="8"/>
  <c r="BY105" i="8"/>
  <c r="BT105" i="8"/>
  <c r="BP105" i="8"/>
  <c r="BJ105" i="8"/>
  <c r="CH104" i="8"/>
  <c r="CC104" i="8"/>
  <c r="BX104" i="8"/>
  <c r="BS104" i="8"/>
  <c r="BO104" i="8"/>
  <c r="BI104" i="8"/>
  <c r="CG103" i="8"/>
  <c r="CB103" i="8"/>
  <c r="BW103" i="8"/>
  <c r="BR103" i="8"/>
  <c r="BL103" i="8"/>
  <c r="CJ102" i="8"/>
  <c r="CF102" i="8"/>
  <c r="CA102" i="8"/>
  <c r="BV102" i="8"/>
  <c r="BQ102" i="8"/>
  <c r="BK102" i="8"/>
  <c r="CI101" i="8"/>
  <c r="CD101" i="8"/>
  <c r="BY101" i="8"/>
  <c r="BT101" i="8"/>
  <c r="BP101" i="8"/>
  <c r="BJ101" i="8"/>
  <c r="CH100" i="8"/>
  <c r="CC100" i="8"/>
  <c r="BX100" i="8"/>
  <c r="BS100" i="8"/>
  <c r="BO100" i="8"/>
  <c r="BI100" i="8"/>
  <c r="CG99" i="8"/>
  <c r="CB99" i="8"/>
  <c r="BW99" i="8"/>
  <c r="BR99" i="8"/>
  <c r="BL99" i="8"/>
  <c r="CJ98" i="8"/>
  <c r="CF98" i="8"/>
  <c r="CA98" i="8"/>
  <c r="BV98" i="8"/>
  <c r="BQ98" i="8"/>
  <c r="BK98" i="8"/>
  <c r="CI97" i="8"/>
  <c r="CD97" i="8"/>
  <c r="BY97" i="8"/>
  <c r="BT97" i="8"/>
  <c r="BP97" i="8"/>
  <c r="BJ97" i="8"/>
  <c r="CH96" i="8"/>
  <c r="CC96" i="8"/>
  <c r="BX96" i="8"/>
  <c r="BS96" i="8"/>
  <c r="BO96" i="8"/>
  <c r="BI96" i="8"/>
  <c r="CG95" i="8"/>
  <c r="CB95" i="8"/>
  <c r="BW95" i="8"/>
  <c r="BR95" i="8"/>
  <c r="BL95" i="8"/>
  <c r="CJ94" i="8"/>
  <c r="CF94" i="8"/>
  <c r="CA94" i="8"/>
  <c r="BV94" i="8"/>
  <c r="BZ94" i="8" s="1"/>
  <c r="BQ94" i="8"/>
  <c r="BK94" i="8"/>
  <c r="CI93" i="8"/>
  <c r="CD93" i="8"/>
  <c r="BY93" i="8"/>
  <c r="BT93" i="8"/>
  <c r="BP93" i="8"/>
  <c r="BJ93" i="8"/>
  <c r="CH92" i="8"/>
  <c r="CC92" i="8"/>
  <c r="BX92" i="8"/>
  <c r="BS92" i="8"/>
  <c r="BO92" i="8"/>
  <c r="BI92" i="8"/>
  <c r="CG91" i="8"/>
  <c r="CB91" i="8"/>
  <c r="BW91" i="8"/>
  <c r="BR91" i="8"/>
  <c r="BL91" i="8"/>
  <c r="CJ90" i="8"/>
  <c r="CF90" i="8"/>
  <c r="CA90" i="8"/>
  <c r="BV90" i="8"/>
  <c r="BZ90" i="8" s="1"/>
  <c r="BQ90" i="8"/>
  <c r="BK90" i="8"/>
  <c r="CI89" i="8"/>
  <c r="CD89" i="8"/>
  <c r="BY89" i="8"/>
  <c r="BT89" i="8"/>
  <c r="BP89" i="8"/>
  <c r="BJ89" i="8"/>
  <c r="CH88" i="8"/>
  <c r="CC88" i="8"/>
  <c r="BX88" i="8"/>
  <c r="BS88" i="8"/>
  <c r="BO88" i="8"/>
  <c r="BI88" i="8"/>
  <c r="CG87" i="8"/>
  <c r="CB87" i="8"/>
  <c r="BW87" i="8"/>
  <c r="BR87" i="8"/>
  <c r="BL87" i="8"/>
  <c r="CJ86" i="8"/>
  <c r="CF86" i="8"/>
  <c r="CA86" i="8"/>
  <c r="BV86" i="8"/>
  <c r="BZ86" i="8" s="1"/>
  <c r="BQ86" i="8"/>
  <c r="BK86" i="8"/>
  <c r="CI85" i="8"/>
  <c r="CD85" i="8"/>
  <c r="BY85" i="8"/>
  <c r="BT85" i="8"/>
  <c r="BP85" i="8"/>
  <c r="BJ85" i="8"/>
  <c r="CH84" i="8"/>
  <c r="CC84" i="8"/>
  <c r="BX84" i="8"/>
  <c r="BS84" i="8"/>
  <c r="BO84" i="8"/>
  <c r="BI84" i="8"/>
  <c r="CG83" i="8"/>
  <c r="CB83" i="8"/>
  <c r="BW83" i="8"/>
  <c r="BR83" i="8"/>
  <c r="BL83" i="8"/>
  <c r="CJ82" i="8"/>
  <c r="CF82" i="8"/>
  <c r="CA82" i="8"/>
  <c r="BV82" i="8"/>
  <c r="BQ82" i="8"/>
  <c r="BK82" i="8"/>
  <c r="CI81" i="8"/>
  <c r="CD81" i="8"/>
  <c r="BY81" i="8"/>
  <c r="BT81" i="8"/>
  <c r="BP81" i="8"/>
  <c r="BJ81" i="8"/>
  <c r="CH80" i="8"/>
  <c r="CC80" i="8"/>
  <c r="BX80" i="8"/>
  <c r="BS80" i="8"/>
  <c r="BO80" i="8"/>
  <c r="BI80" i="8"/>
  <c r="CG79" i="8"/>
  <c r="CB79" i="8"/>
  <c r="BW79" i="8"/>
  <c r="BR79" i="8"/>
  <c r="BL79" i="8"/>
  <c r="CJ78" i="8"/>
  <c r="CF78" i="8"/>
  <c r="CA78" i="8"/>
  <c r="BV78" i="8"/>
  <c r="BZ78" i="8" s="1"/>
  <c r="BQ78" i="8"/>
  <c r="BK78" i="8"/>
  <c r="CG77" i="8"/>
  <c r="CB77" i="8"/>
  <c r="BW77" i="8"/>
  <c r="BR77" i="8"/>
  <c r="BL77" i="8"/>
  <c r="CJ76" i="8"/>
  <c r="CF76" i="8"/>
  <c r="CA76" i="8"/>
  <c r="BV76" i="8"/>
  <c r="BQ76" i="8"/>
  <c r="BK76" i="8"/>
  <c r="CI75" i="8"/>
  <c r="CD75" i="8"/>
  <c r="BY75" i="8"/>
  <c r="BT75" i="8"/>
  <c r="BP75" i="8"/>
  <c r="BJ75" i="8"/>
  <c r="CH74" i="8"/>
  <c r="CC74" i="8"/>
  <c r="BX74" i="8"/>
  <c r="BS74" i="8"/>
  <c r="BO74" i="8"/>
  <c r="BI74" i="8"/>
  <c r="CG73" i="8"/>
  <c r="CB73" i="8"/>
  <c r="BW73" i="8"/>
  <c r="BR73" i="8"/>
  <c r="BL73" i="8"/>
  <c r="CJ72" i="8"/>
  <c r="CF72" i="8"/>
  <c r="CA72" i="8"/>
  <c r="BV72" i="8"/>
  <c r="BQ72" i="8"/>
  <c r="BK72" i="8"/>
  <c r="CI71" i="8"/>
  <c r="CD71" i="8"/>
  <c r="BY71" i="8"/>
  <c r="BT71" i="8"/>
  <c r="BP71" i="8"/>
  <c r="BJ71" i="8"/>
  <c r="CH70" i="8"/>
  <c r="CC70" i="8"/>
  <c r="BX70" i="8"/>
  <c r="BS70" i="8"/>
  <c r="BO70" i="8"/>
  <c r="BI70" i="8"/>
  <c r="CG69" i="8"/>
  <c r="CB69" i="8"/>
  <c r="BW69" i="8"/>
  <c r="BR69" i="8"/>
  <c r="BL69" i="8"/>
  <c r="CJ68" i="8"/>
  <c r="CF68" i="8"/>
  <c r="CA68" i="8"/>
  <c r="BV68" i="8"/>
  <c r="BQ68" i="8"/>
  <c r="BK68" i="8"/>
  <c r="CI67" i="8"/>
  <c r="CD67" i="8"/>
  <c r="BY67" i="8"/>
  <c r="BT67" i="8"/>
  <c r="BP67" i="8"/>
  <c r="BJ67" i="8"/>
  <c r="CH66" i="8"/>
  <c r="CC66" i="8"/>
  <c r="BX66" i="8"/>
  <c r="BS66" i="8"/>
  <c r="BO66" i="8"/>
  <c r="BI66" i="8"/>
  <c r="CG65" i="8"/>
  <c r="CB65" i="8"/>
  <c r="BW65" i="8"/>
  <c r="BR65" i="8"/>
  <c r="BL65" i="8"/>
  <c r="CJ64" i="8"/>
  <c r="CF64" i="8"/>
  <c r="CA64" i="8"/>
  <c r="BV64" i="8"/>
  <c r="BQ64" i="8"/>
  <c r="BK64" i="8"/>
  <c r="CI63" i="8"/>
  <c r="CD63" i="8"/>
  <c r="BY63" i="8"/>
  <c r="BT63" i="8"/>
  <c r="BP63" i="8"/>
  <c r="BJ63" i="8"/>
  <c r="CH62" i="8"/>
  <c r="CC62" i="8"/>
  <c r="BX62" i="8"/>
  <c r="BS62" i="8"/>
  <c r="BO62" i="8"/>
  <c r="BI62" i="8"/>
  <c r="CG61" i="8"/>
  <c r="CB61" i="8"/>
  <c r="BW61" i="8"/>
  <c r="BR61" i="8"/>
  <c r="BL61" i="8"/>
  <c r="CJ60" i="8"/>
  <c r="CF60" i="8"/>
  <c r="CA60" i="8"/>
  <c r="BQ60" i="8"/>
  <c r="BK60" i="8"/>
  <c r="CI59" i="8"/>
  <c r="CD59" i="8"/>
  <c r="BY59" i="8"/>
  <c r="BT59" i="8"/>
  <c r="BJ59" i="8"/>
  <c r="CC58" i="8"/>
  <c r="BS58" i="8"/>
  <c r="CG57" i="8"/>
  <c r="BW57" i="8"/>
  <c r="CJ56" i="8"/>
  <c r="CA56" i="8"/>
  <c r="BK56" i="8"/>
  <c r="BY55" i="8"/>
  <c r="BP55" i="8"/>
  <c r="CC54" i="8"/>
  <c r="BS54" i="8"/>
  <c r="CG53" i="8"/>
  <c r="BW53" i="8"/>
  <c r="BL53" i="8"/>
  <c r="CA52" i="8"/>
  <c r="BK52" i="8"/>
  <c r="CD51" i="8"/>
  <c r="BT51" i="8"/>
  <c r="BJ51" i="8"/>
  <c r="BX50" i="8"/>
  <c r="BO50" i="8"/>
  <c r="CB49" i="8"/>
  <c r="BR49" i="8"/>
  <c r="CJ48" i="8"/>
  <c r="CA48" i="8"/>
  <c r="BK48" i="8"/>
  <c r="BY47" i="8"/>
  <c r="BP47" i="8"/>
  <c r="CH46" i="8"/>
  <c r="BS46" i="8"/>
  <c r="CG45" i="8"/>
  <c r="BW45" i="8"/>
  <c r="CJ44" i="8"/>
  <c r="CA44" i="8"/>
  <c r="BK44" i="8"/>
  <c r="CD43" i="8"/>
  <c r="BT43" i="8"/>
  <c r="CH42" i="8"/>
  <c r="BS42" i="8"/>
  <c r="BI42" i="8"/>
  <c r="BW41" i="8"/>
  <c r="BL41" i="8"/>
  <c r="CA40" i="8"/>
  <c r="BQ40" i="8"/>
  <c r="CD39" i="8"/>
  <c r="BT39" i="8"/>
  <c r="BJ39" i="8"/>
  <c r="BX38" i="8"/>
  <c r="BI38" i="8"/>
  <c r="CB37" i="8"/>
  <c r="BR37" i="8"/>
  <c r="CF36" i="8"/>
  <c r="BQ36" i="8"/>
  <c r="CI35" i="8"/>
  <c r="BT35" i="8"/>
  <c r="BJ35" i="8"/>
  <c r="BX34" i="8"/>
  <c r="BO34" i="8"/>
  <c r="CB33" i="8"/>
  <c r="BR33" i="8"/>
  <c r="BL33" i="8"/>
  <c r="CF32" i="8"/>
  <c r="BQ32" i="8"/>
  <c r="CI31" i="8"/>
  <c r="BT31" i="8"/>
  <c r="BJ31" i="8"/>
  <c r="BX30" i="8"/>
  <c r="BO30" i="8"/>
  <c r="CB29" i="8"/>
  <c r="BR29" i="8"/>
  <c r="CF28" i="8"/>
  <c r="BQ28" i="8"/>
  <c r="CI27" i="8"/>
  <c r="BY27" i="8"/>
  <c r="BJ27" i="8"/>
  <c r="BX26" i="8"/>
  <c r="BO26" i="8"/>
  <c r="CG25" i="8"/>
  <c r="BR25" i="8"/>
  <c r="CJ24" i="8"/>
  <c r="BV24" i="8"/>
  <c r="BK24" i="8"/>
  <c r="BY23" i="8"/>
  <c r="BJ23" i="8"/>
  <c r="CC22" i="8"/>
  <c r="BO22" i="8"/>
  <c r="CB21" i="8"/>
  <c r="BR21" i="8"/>
  <c r="CF20" i="8"/>
  <c r="BK20" i="8"/>
  <c r="BY19" i="8"/>
  <c r="BP19" i="8"/>
  <c r="CC18" i="8"/>
  <c r="BS18" i="8"/>
  <c r="BI18" i="8"/>
  <c r="CB17" i="8"/>
  <c r="BL17" i="8"/>
  <c r="CJ16" i="8"/>
  <c r="BV16" i="8"/>
  <c r="BK16" i="8"/>
  <c r="BY15" i="8"/>
  <c r="BS710" i="8"/>
  <c r="CD661" i="8"/>
  <c r="BL635" i="8"/>
  <c r="CH616" i="8"/>
  <c r="CD605" i="8"/>
  <c r="CA594" i="8"/>
  <c r="BW583" i="8"/>
  <c r="BS572" i="8"/>
  <c r="BP561" i="8"/>
  <c r="BK550" i="8"/>
  <c r="CB539" i="8"/>
  <c r="CH536" i="8"/>
  <c r="BK534" i="8"/>
  <c r="BR531" i="8"/>
  <c r="BX528" i="8"/>
  <c r="CD525" i="8"/>
  <c r="CJ522" i="8"/>
  <c r="BO520" i="8"/>
  <c r="BT517" i="8"/>
  <c r="CA514" i="8"/>
  <c r="CG511" i="8"/>
  <c r="BJ509" i="8"/>
  <c r="BQ506" i="8"/>
  <c r="BW503" i="8"/>
  <c r="CC500" i="8"/>
  <c r="CF498" i="8"/>
  <c r="BT497" i="8"/>
  <c r="BI496" i="8"/>
  <c r="CA494" i="8"/>
  <c r="BP493" i="8"/>
  <c r="CG491" i="8"/>
  <c r="BV490" i="8"/>
  <c r="BZ490" i="8" s="1"/>
  <c r="BJ489" i="8"/>
  <c r="CB487" i="8"/>
  <c r="BQ486" i="8"/>
  <c r="CH484" i="8"/>
  <c r="BW483" i="8"/>
  <c r="BK482" i="8"/>
  <c r="CC480" i="8"/>
  <c r="BR479" i="8"/>
  <c r="CI477" i="8"/>
  <c r="BX476" i="8"/>
  <c r="BL475" i="8"/>
  <c r="CD473" i="8"/>
  <c r="BS472" i="8"/>
  <c r="CJ470" i="8"/>
  <c r="BY469" i="8"/>
  <c r="BO468" i="8"/>
  <c r="CF466" i="8"/>
  <c r="BT465" i="8"/>
  <c r="BI464" i="8"/>
  <c r="CA462" i="8"/>
  <c r="CE462" i="8" s="1"/>
  <c r="BP461" i="8"/>
  <c r="CG459" i="8"/>
  <c r="BV458" i="8"/>
  <c r="BZ458" i="8" s="1"/>
  <c r="BJ457" i="8"/>
  <c r="CB455" i="8"/>
  <c r="BQ454" i="8"/>
  <c r="CH452" i="8"/>
  <c r="BW451" i="8"/>
  <c r="BK450" i="8"/>
  <c r="CC448" i="8"/>
  <c r="BR447" i="8"/>
  <c r="CI445" i="8"/>
  <c r="BX444" i="8"/>
  <c r="BL443" i="8"/>
  <c r="CD441" i="8"/>
  <c r="BS440" i="8"/>
  <c r="CJ438" i="8"/>
  <c r="BY437" i="8"/>
  <c r="BO436" i="8"/>
  <c r="CF434" i="8"/>
  <c r="BT433" i="8"/>
  <c r="BI432" i="8"/>
  <c r="CA430" i="8"/>
  <c r="BP429" i="8"/>
  <c r="CG427" i="8"/>
  <c r="BV426" i="8"/>
  <c r="BZ426" i="8" s="1"/>
  <c r="BJ425" i="8"/>
  <c r="CB423" i="8"/>
  <c r="BQ422" i="8"/>
  <c r="CH420" i="8"/>
  <c r="BW419" i="8"/>
  <c r="BK418" i="8"/>
  <c r="CC416" i="8"/>
  <c r="BR415" i="8"/>
  <c r="CI413" i="8"/>
  <c r="BX412" i="8"/>
  <c r="BL411" i="8"/>
  <c r="CD409" i="8"/>
  <c r="BS408" i="8"/>
  <c r="CJ406" i="8"/>
  <c r="BY405" i="8"/>
  <c r="BO404" i="8"/>
  <c r="CF402" i="8"/>
  <c r="BT401" i="8"/>
  <c r="BI400" i="8"/>
  <c r="CA398" i="8"/>
  <c r="BP397" i="8"/>
  <c r="CG395" i="8"/>
  <c r="BV394" i="8"/>
  <c r="BJ393" i="8"/>
  <c r="CB391" i="8"/>
  <c r="BQ390" i="8"/>
  <c r="CH388" i="8"/>
  <c r="BW387" i="8"/>
  <c r="BK386" i="8"/>
  <c r="CC384" i="8"/>
  <c r="BR383" i="8"/>
  <c r="CI381" i="8"/>
  <c r="BX380" i="8"/>
  <c r="BL379" i="8"/>
  <c r="CD377" i="8"/>
  <c r="BS376" i="8"/>
  <c r="CJ374" i="8"/>
  <c r="BY373" i="8"/>
  <c r="BO372" i="8"/>
  <c r="CF370" i="8"/>
  <c r="BT369" i="8"/>
  <c r="BI368" i="8"/>
  <c r="CA366" i="8"/>
  <c r="BP365" i="8"/>
  <c r="CG363" i="8"/>
  <c r="BV362" i="8"/>
  <c r="BZ362" i="8" s="1"/>
  <c r="BJ361" i="8"/>
  <c r="CB359" i="8"/>
  <c r="BQ358" i="8"/>
  <c r="CH356" i="8"/>
  <c r="BW355" i="8"/>
  <c r="BK354" i="8"/>
  <c r="CC352" i="8"/>
  <c r="BR351" i="8"/>
  <c r="CI349" i="8"/>
  <c r="BX348" i="8"/>
  <c r="BL347" i="8"/>
  <c r="CD345" i="8"/>
  <c r="BS344" i="8"/>
  <c r="CJ342" i="8"/>
  <c r="BY341" i="8"/>
  <c r="BO340" i="8"/>
  <c r="CF338" i="8"/>
  <c r="BT337" i="8"/>
  <c r="BI336" i="8"/>
  <c r="CA334" i="8"/>
  <c r="BP333" i="8"/>
  <c r="CG331" i="8"/>
  <c r="BV330" i="8"/>
  <c r="BZ330" i="8" s="1"/>
  <c r="BJ329" i="8"/>
  <c r="CB327" i="8"/>
  <c r="BQ326" i="8"/>
  <c r="CH324" i="8"/>
  <c r="BW323" i="8"/>
  <c r="BK322" i="8"/>
  <c r="CC320" i="8"/>
  <c r="BR319" i="8"/>
  <c r="BR318" i="8"/>
  <c r="CG317" i="8"/>
  <c r="BT317" i="8"/>
  <c r="CI316" i="8"/>
  <c r="BV316" i="8"/>
  <c r="BZ316" i="8" s="1"/>
  <c r="BI316" i="8"/>
  <c r="BX315" i="8"/>
  <c r="BJ315" i="8"/>
  <c r="CA314" i="8"/>
  <c r="BL314" i="8"/>
  <c r="CB313" i="8"/>
  <c r="BP313" i="8"/>
  <c r="CD312" i="8"/>
  <c r="BQ312" i="8"/>
  <c r="CH311" i="8"/>
  <c r="BX311" i="8"/>
  <c r="BO311" i="8"/>
  <c r="CG310" i="8"/>
  <c r="BW310" i="8"/>
  <c r="BL310" i="8"/>
  <c r="CF309" i="8"/>
  <c r="BV309" i="8"/>
  <c r="BZ309" i="8" s="1"/>
  <c r="BK309" i="8"/>
  <c r="CD308" i="8"/>
  <c r="BT308" i="8"/>
  <c r="BJ308" i="8"/>
  <c r="CC307" i="8"/>
  <c r="BS307" i="8"/>
  <c r="BI307" i="8"/>
  <c r="CB306" i="8"/>
  <c r="BR306" i="8"/>
  <c r="CJ305" i="8"/>
  <c r="CA305" i="8"/>
  <c r="BQ305" i="8"/>
  <c r="CI304" i="8"/>
  <c r="BY304" i="8"/>
  <c r="BP304" i="8"/>
  <c r="CH303" i="8"/>
  <c r="BX303" i="8"/>
  <c r="BO303" i="8"/>
  <c r="CG302" i="8"/>
  <c r="BW302" i="8"/>
  <c r="BL302" i="8"/>
  <c r="CF301" i="8"/>
  <c r="BV301" i="8"/>
  <c r="BZ301" i="8" s="1"/>
  <c r="BK301" i="8"/>
  <c r="CD300" i="8"/>
  <c r="BT300" i="8"/>
  <c r="BJ300" i="8"/>
  <c r="CC299" i="8"/>
  <c r="BS299" i="8"/>
  <c r="BI299" i="8"/>
  <c r="CB298" i="8"/>
  <c r="BR298" i="8"/>
  <c r="CJ297" i="8"/>
  <c r="CA297" i="8"/>
  <c r="BQ297" i="8"/>
  <c r="CI296" i="8"/>
  <c r="BY296" i="8"/>
  <c r="BP296" i="8"/>
  <c r="CH295" i="8"/>
  <c r="BX295" i="8"/>
  <c r="BO295" i="8"/>
  <c r="CG294" i="8"/>
  <c r="BW294" i="8"/>
  <c r="BL294" i="8"/>
  <c r="CF293" i="8"/>
  <c r="BV293" i="8"/>
  <c r="BZ293" i="8" s="1"/>
  <c r="BK293" i="8"/>
  <c r="CD292" i="8"/>
  <c r="BT292" i="8"/>
  <c r="BJ292" i="8"/>
  <c r="CC291" i="8"/>
  <c r="BS291" i="8"/>
  <c r="BI291" i="8"/>
  <c r="CB290" i="8"/>
  <c r="BR290" i="8"/>
  <c r="CJ289" i="8"/>
  <c r="CA289" i="8"/>
  <c r="BQ289" i="8"/>
  <c r="CI288" i="8"/>
  <c r="BY288" i="8"/>
  <c r="BP288" i="8"/>
  <c r="CH287" i="8"/>
  <c r="BX287" i="8"/>
  <c r="BO287" i="8"/>
  <c r="CG286" i="8"/>
  <c r="BW286" i="8"/>
  <c r="BL286" i="8"/>
  <c r="CF285" i="8"/>
  <c r="BV285" i="8"/>
  <c r="BZ285" i="8" s="1"/>
  <c r="BK285" i="8"/>
  <c r="CD284" i="8"/>
  <c r="BT284" i="8"/>
  <c r="BJ284" i="8"/>
  <c r="CC283" i="8"/>
  <c r="BS283" i="8"/>
  <c r="BI283" i="8"/>
  <c r="CB282" i="8"/>
  <c r="BR282" i="8"/>
  <c r="CJ281" i="8"/>
  <c r="CA281" i="8"/>
  <c r="BQ281" i="8"/>
  <c r="CI280" i="8"/>
  <c r="BY280" i="8"/>
  <c r="BP280" i="8"/>
  <c r="CH279" i="8"/>
  <c r="BX279" i="8"/>
  <c r="BO279" i="8"/>
  <c r="CG278" i="8"/>
  <c r="BW278" i="8"/>
  <c r="BL278" i="8"/>
  <c r="CF277" i="8"/>
  <c r="BV277" i="8"/>
  <c r="BZ277" i="8" s="1"/>
  <c r="BK277" i="8"/>
  <c r="CD276" i="8"/>
  <c r="BT276" i="8"/>
  <c r="BJ276" i="8"/>
  <c r="CC275" i="8"/>
  <c r="BS275" i="8"/>
  <c r="BI275" i="8"/>
  <c r="CB274" i="8"/>
  <c r="BR274" i="8"/>
  <c r="CJ273" i="8"/>
  <c r="CA273" i="8"/>
  <c r="BQ273" i="8"/>
  <c r="CI272" i="8"/>
  <c r="BY272" i="8"/>
  <c r="BP272" i="8"/>
  <c r="CH271" i="8"/>
  <c r="BX271" i="8"/>
  <c r="BO271" i="8"/>
  <c r="CG270" i="8"/>
  <c r="BW270" i="8"/>
  <c r="BL270" i="8"/>
  <c r="CF269" i="8"/>
  <c r="BV269" i="8"/>
  <c r="BK269" i="8"/>
  <c r="CD268" i="8"/>
  <c r="BT268" i="8"/>
  <c r="BJ268" i="8"/>
  <c r="CC267" i="8"/>
  <c r="BS267" i="8"/>
  <c r="BI267" i="8"/>
  <c r="CB266" i="8"/>
  <c r="BR266" i="8"/>
  <c r="CJ265" i="8"/>
  <c r="CA265" i="8"/>
  <c r="BQ265" i="8"/>
  <c r="CI264" i="8"/>
  <c r="BY264" i="8"/>
  <c r="BP264" i="8"/>
  <c r="CH263" i="8"/>
  <c r="BX263" i="8"/>
  <c r="BO263" i="8"/>
  <c r="CG262" i="8"/>
  <c r="BW262" i="8"/>
  <c r="BL262" i="8"/>
  <c r="CF261" i="8"/>
  <c r="BV261" i="8"/>
  <c r="BK261" i="8"/>
  <c r="CD260" i="8"/>
  <c r="BT260" i="8"/>
  <c r="BJ260" i="8"/>
  <c r="CC259" i="8"/>
  <c r="BS259" i="8"/>
  <c r="BI259" i="8"/>
  <c r="CB258" i="8"/>
  <c r="BR258" i="8"/>
  <c r="CJ257" i="8"/>
  <c r="CA257" i="8"/>
  <c r="BQ257" i="8"/>
  <c r="CI256" i="8"/>
  <c r="BY256" i="8"/>
  <c r="BP256" i="8"/>
  <c r="CH255" i="8"/>
  <c r="BX255" i="8"/>
  <c r="BO255" i="8"/>
  <c r="CG254" i="8"/>
  <c r="BW254" i="8"/>
  <c r="BL254" i="8"/>
  <c r="CF253" i="8"/>
  <c r="BV253" i="8"/>
  <c r="BK253" i="8"/>
  <c r="CD252" i="8"/>
  <c r="BT252" i="8"/>
  <c r="BJ252" i="8"/>
  <c r="CC251" i="8"/>
  <c r="BS251" i="8"/>
  <c r="BI251" i="8"/>
  <c r="CB250" i="8"/>
  <c r="BR250" i="8"/>
  <c r="CJ249" i="8"/>
  <c r="CA249" i="8"/>
  <c r="BQ249" i="8"/>
  <c r="CI248" i="8"/>
  <c r="BY248" i="8"/>
  <c r="BP248" i="8"/>
  <c r="CH247" i="8"/>
  <c r="BX247" i="8"/>
  <c r="BO247" i="8"/>
  <c r="CG246" i="8"/>
  <c r="BW246" i="8"/>
  <c r="BL246" i="8"/>
  <c r="CF245" i="8"/>
  <c r="BV245" i="8"/>
  <c r="BK245" i="8"/>
  <c r="CD244" i="8"/>
  <c r="BT244" i="8"/>
  <c r="BJ244" i="8"/>
  <c r="CC243" i="8"/>
  <c r="BS243" i="8"/>
  <c r="BI243" i="8"/>
  <c r="CB242" i="8"/>
  <c r="BR242" i="8"/>
  <c r="CJ241" i="8"/>
  <c r="CA241" i="8"/>
  <c r="BQ241" i="8"/>
  <c r="CI240" i="8"/>
  <c r="BY240" i="8"/>
  <c r="BP240" i="8"/>
  <c r="CH239" i="8"/>
  <c r="BX239" i="8"/>
  <c r="BO239" i="8"/>
  <c r="CG238" i="8"/>
  <c r="BW238" i="8"/>
  <c r="BL238" i="8"/>
  <c r="CF237" i="8"/>
  <c r="BV237" i="8"/>
  <c r="BZ237" i="8" s="1"/>
  <c r="BK237" i="8"/>
  <c r="CD236" i="8"/>
  <c r="BT236" i="8"/>
  <c r="BJ236" i="8"/>
  <c r="CC235" i="8"/>
  <c r="BS235" i="8"/>
  <c r="BI235" i="8"/>
  <c r="CB234" i="8"/>
  <c r="BR234" i="8"/>
  <c r="CJ233" i="8"/>
  <c r="CA233" i="8"/>
  <c r="BQ233" i="8"/>
  <c r="CI232" i="8"/>
  <c r="BY232" i="8"/>
  <c r="BP232" i="8"/>
  <c r="CH231" i="8"/>
  <c r="BX231" i="8"/>
  <c r="BO231" i="8"/>
  <c r="CG230" i="8"/>
  <c r="BW230" i="8"/>
  <c r="BL230" i="8"/>
  <c r="CF229" i="8"/>
  <c r="BV229" i="8"/>
  <c r="BZ229" i="8" s="1"/>
  <c r="BK229" i="8"/>
  <c r="CD228" i="8"/>
  <c r="BT228" i="8"/>
  <c r="BJ228" i="8"/>
  <c r="CC227" i="8"/>
  <c r="BS227" i="8"/>
  <c r="BI227" i="8"/>
  <c r="CB226" i="8"/>
  <c r="BR226" i="8"/>
  <c r="CJ225" i="8"/>
  <c r="CA225" i="8"/>
  <c r="BQ225" i="8"/>
  <c r="CI224" i="8"/>
  <c r="BY224" i="8"/>
  <c r="BP224" i="8"/>
  <c r="CH223" i="8"/>
  <c r="BX223" i="8"/>
  <c r="BO223" i="8"/>
  <c r="CG222" i="8"/>
  <c r="BW222" i="8"/>
  <c r="BL222" i="8"/>
  <c r="CF221" i="8"/>
  <c r="BV221" i="8"/>
  <c r="BZ221" i="8" s="1"/>
  <c r="BK221" i="8"/>
  <c r="CD220" i="8"/>
  <c r="BT220" i="8"/>
  <c r="BJ220" i="8"/>
  <c r="CC219" i="8"/>
  <c r="BS219" i="8"/>
  <c r="BI219" i="8"/>
  <c r="CB218" i="8"/>
  <c r="BR218" i="8"/>
  <c r="CJ217" i="8"/>
  <c r="CA217" i="8"/>
  <c r="BQ217" i="8"/>
  <c r="CI216" i="8"/>
  <c r="BY216" i="8"/>
  <c r="BP216" i="8"/>
  <c r="CH215" i="8"/>
  <c r="BX215" i="8"/>
  <c r="BO215" i="8"/>
  <c r="CG214" i="8"/>
  <c r="BW214" i="8"/>
  <c r="BL214" i="8"/>
  <c r="CF213" i="8"/>
  <c r="BV213" i="8"/>
  <c r="BZ213" i="8" s="1"/>
  <c r="BK213" i="8"/>
  <c r="CD212" i="8"/>
  <c r="BT212" i="8"/>
  <c r="BJ212" i="8"/>
  <c r="CC211" i="8"/>
  <c r="BS211" i="8"/>
  <c r="BI211" i="8"/>
  <c r="CB210" i="8"/>
  <c r="BR210" i="8"/>
  <c r="CJ209" i="8"/>
  <c r="CA209" i="8"/>
  <c r="BQ209" i="8"/>
  <c r="CI208" i="8"/>
  <c r="BY208" i="8"/>
  <c r="BP208" i="8"/>
  <c r="CH207" i="8"/>
  <c r="BX207" i="8"/>
  <c r="BO207" i="8"/>
  <c r="CG206" i="8"/>
  <c r="BW206" i="8"/>
  <c r="BL206" i="8"/>
  <c r="CF205" i="8"/>
  <c r="BV205" i="8"/>
  <c r="BZ205" i="8" s="1"/>
  <c r="BK205" i="8"/>
  <c r="CD204" i="8"/>
  <c r="BT204" i="8"/>
  <c r="BJ204" i="8"/>
  <c r="CC203" i="8"/>
  <c r="BS203" i="8"/>
  <c r="BI203" i="8"/>
  <c r="CB202" i="8"/>
  <c r="BR202" i="8"/>
  <c r="CJ201" i="8"/>
  <c r="CA201" i="8"/>
  <c r="BQ201" i="8"/>
  <c r="CI200" i="8"/>
  <c r="BY200" i="8"/>
  <c r="BP200" i="8"/>
  <c r="CH199" i="8"/>
  <c r="BX199" i="8"/>
  <c r="BO199" i="8"/>
  <c r="CG198" i="8"/>
  <c r="BW198" i="8"/>
  <c r="BL198" i="8"/>
  <c r="CF197" i="8"/>
  <c r="BV197" i="8"/>
  <c r="BZ197" i="8" s="1"/>
  <c r="BK197" i="8"/>
  <c r="CD196" i="8"/>
  <c r="BT196" i="8"/>
  <c r="BJ196" i="8"/>
  <c r="CC195" i="8"/>
  <c r="BS195" i="8"/>
  <c r="BI195" i="8"/>
  <c r="CB194" i="8"/>
  <c r="BR194" i="8"/>
  <c r="CJ193" i="8"/>
  <c r="CA193" i="8"/>
  <c r="BQ193" i="8"/>
  <c r="CI192" i="8"/>
  <c r="BY192" i="8"/>
  <c r="BP192" i="8"/>
  <c r="CH191" i="8"/>
  <c r="BX191" i="8"/>
  <c r="BO191" i="8"/>
  <c r="CG190" i="8"/>
  <c r="BW190" i="8"/>
  <c r="BL190" i="8"/>
  <c r="CF189" i="8"/>
  <c r="BV189" i="8"/>
  <c r="BZ189" i="8" s="1"/>
  <c r="BK189" i="8"/>
  <c r="CD188" i="8"/>
  <c r="BT188" i="8"/>
  <c r="BJ188" i="8"/>
  <c r="CC187" i="8"/>
  <c r="BV187" i="8"/>
  <c r="BZ187" i="8" s="1"/>
  <c r="BQ187" i="8"/>
  <c r="BK187" i="8"/>
  <c r="CI186" i="8"/>
  <c r="CD186" i="8"/>
  <c r="BY186" i="8"/>
  <c r="BT186" i="8"/>
  <c r="BP186" i="8"/>
  <c r="BJ186" i="8"/>
  <c r="CH185" i="8"/>
  <c r="CC185" i="8"/>
  <c r="BX185" i="8"/>
  <c r="BS185" i="8"/>
  <c r="BO185" i="8"/>
  <c r="BI185" i="8"/>
  <c r="CG184" i="8"/>
  <c r="CB184" i="8"/>
  <c r="BW184" i="8"/>
  <c r="BR184" i="8"/>
  <c r="BL184" i="8"/>
  <c r="CJ183" i="8"/>
  <c r="CF183" i="8"/>
  <c r="CA183" i="8"/>
  <c r="BV183" i="8"/>
  <c r="BQ183" i="8"/>
  <c r="BK183" i="8"/>
  <c r="CI182" i="8"/>
  <c r="CD182" i="8"/>
  <c r="BY182" i="8"/>
  <c r="BT182" i="8"/>
  <c r="BP182" i="8"/>
  <c r="BJ182" i="8"/>
  <c r="CH181" i="8"/>
  <c r="CC181" i="8"/>
  <c r="BX181" i="8"/>
  <c r="BS181" i="8"/>
  <c r="BO181" i="8"/>
  <c r="BI181" i="8"/>
  <c r="CG180" i="8"/>
  <c r="CB180" i="8"/>
  <c r="BW180" i="8"/>
  <c r="BR180" i="8"/>
  <c r="BL180" i="8"/>
  <c r="CJ179" i="8"/>
  <c r="CF179" i="8"/>
  <c r="CA179" i="8"/>
  <c r="BV179" i="8"/>
  <c r="BQ179" i="8"/>
  <c r="BK179" i="8"/>
  <c r="CI178" i="8"/>
  <c r="CD178" i="8"/>
  <c r="BY178" i="8"/>
  <c r="BT178" i="8"/>
  <c r="BP178" i="8"/>
  <c r="BJ178" i="8"/>
  <c r="CH177" i="8"/>
  <c r="CC177" i="8"/>
  <c r="BX177" i="8"/>
  <c r="BS177" i="8"/>
  <c r="BO177" i="8"/>
  <c r="BI177" i="8"/>
  <c r="CG176" i="8"/>
  <c r="CB176" i="8"/>
  <c r="BW176" i="8"/>
  <c r="BR176" i="8"/>
  <c r="BL176" i="8"/>
  <c r="CJ175" i="8"/>
  <c r="CF175" i="8"/>
  <c r="CA175" i="8"/>
  <c r="BV175" i="8"/>
  <c r="BQ175" i="8"/>
  <c r="BK175" i="8"/>
  <c r="CI174" i="8"/>
  <c r="CD174" i="8"/>
  <c r="BY174" i="8"/>
  <c r="BT174" i="8"/>
  <c r="BP174" i="8"/>
  <c r="BJ174" i="8"/>
  <c r="CH173" i="8"/>
  <c r="CC173" i="8"/>
  <c r="BX173" i="8"/>
  <c r="BS173" i="8"/>
  <c r="BO173" i="8"/>
  <c r="BI173" i="8"/>
  <c r="CG172" i="8"/>
  <c r="CB172" i="8"/>
  <c r="BW172" i="8"/>
  <c r="BR172" i="8"/>
  <c r="BL172" i="8"/>
  <c r="CJ171" i="8"/>
  <c r="CF171" i="8"/>
  <c r="CA171" i="8"/>
  <c r="BV171" i="8"/>
  <c r="BZ171" i="8" s="1"/>
  <c r="BQ171" i="8"/>
  <c r="BK171" i="8"/>
  <c r="CI170" i="8"/>
  <c r="CD170" i="8"/>
  <c r="BY170" i="8"/>
  <c r="BT170" i="8"/>
  <c r="BP170" i="8"/>
  <c r="BJ170" i="8"/>
  <c r="CH169" i="8"/>
  <c r="CC169" i="8"/>
  <c r="BX169" i="8"/>
  <c r="BS169" i="8"/>
  <c r="BO169" i="8"/>
  <c r="BI169" i="8"/>
  <c r="CG168" i="8"/>
  <c r="CB168" i="8"/>
  <c r="BW168" i="8"/>
  <c r="BR168" i="8"/>
  <c r="BL168" i="8"/>
  <c r="CJ167" i="8"/>
  <c r="CF167" i="8"/>
  <c r="CA167" i="8"/>
  <c r="BV167" i="8"/>
  <c r="BQ167" i="8"/>
  <c r="BK167" i="8"/>
  <c r="CI166" i="8"/>
  <c r="CD166" i="8"/>
  <c r="BY166" i="8"/>
  <c r="BT166" i="8"/>
  <c r="BP166" i="8"/>
  <c r="BJ166" i="8"/>
  <c r="CH165" i="8"/>
  <c r="CC165" i="8"/>
  <c r="BX165" i="8"/>
  <c r="BS165" i="8"/>
  <c r="BO165" i="8"/>
  <c r="BI165" i="8"/>
  <c r="CG164" i="8"/>
  <c r="CB164" i="8"/>
  <c r="BW164" i="8"/>
  <c r="BR164" i="8"/>
  <c r="BL164" i="8"/>
  <c r="CJ163" i="8"/>
  <c r="CF163" i="8"/>
  <c r="CA163" i="8"/>
  <c r="BV163" i="8"/>
  <c r="BQ163" i="8"/>
  <c r="BK163" i="8"/>
  <c r="CI162" i="8"/>
  <c r="CD162" i="8"/>
  <c r="BY162" i="8"/>
  <c r="BT162" i="8"/>
  <c r="BP162" i="8"/>
  <c r="BJ162" i="8"/>
  <c r="CH161" i="8"/>
  <c r="CC161" i="8"/>
  <c r="BX161" i="8"/>
  <c r="BS161" i="8"/>
  <c r="BO161" i="8"/>
  <c r="BI161" i="8"/>
  <c r="CG160" i="8"/>
  <c r="CB160" i="8"/>
  <c r="BW160" i="8"/>
  <c r="BR160" i="8"/>
  <c r="BL160" i="8"/>
  <c r="CJ159" i="8"/>
  <c r="CF159" i="8"/>
  <c r="CA159" i="8"/>
  <c r="BV159" i="8"/>
  <c r="BQ159" i="8"/>
  <c r="BK159" i="8"/>
  <c r="CI158" i="8"/>
  <c r="CD158" i="8"/>
  <c r="BY158" i="8"/>
  <c r="BT158" i="8"/>
  <c r="BP158" i="8"/>
  <c r="BJ158" i="8"/>
  <c r="CH157" i="8"/>
  <c r="CC157" i="8"/>
  <c r="BX157" i="8"/>
  <c r="BS157" i="8"/>
  <c r="BO157" i="8"/>
  <c r="BI157" i="8"/>
  <c r="CG156" i="8"/>
  <c r="CB156" i="8"/>
  <c r="BW156" i="8"/>
  <c r="BR156" i="8"/>
  <c r="BL156" i="8"/>
  <c r="CJ155" i="8"/>
  <c r="CF155" i="8"/>
  <c r="CA155" i="8"/>
  <c r="BV155" i="8"/>
  <c r="BZ155" i="8" s="1"/>
  <c r="BQ155" i="8"/>
  <c r="BK155" i="8"/>
  <c r="CI154" i="8"/>
  <c r="CD154" i="8"/>
  <c r="BY154" i="8"/>
  <c r="BT154" i="8"/>
  <c r="BP154" i="8"/>
  <c r="BJ154" i="8"/>
  <c r="CH153" i="8"/>
  <c r="CC153" i="8"/>
  <c r="BX153" i="8"/>
  <c r="BS153" i="8"/>
  <c r="BO153" i="8"/>
  <c r="BI153" i="8"/>
  <c r="CG152" i="8"/>
  <c r="CB152" i="8"/>
  <c r="BW152" i="8"/>
  <c r="BR152" i="8"/>
  <c r="BL152" i="8"/>
  <c r="CJ151" i="8"/>
  <c r="CF151" i="8"/>
  <c r="CA151" i="8"/>
  <c r="BV151" i="8"/>
  <c r="BZ151" i="8" s="1"/>
  <c r="BQ151" i="8"/>
  <c r="BK151" i="8"/>
  <c r="CI150" i="8"/>
  <c r="CD150" i="8"/>
  <c r="BY150" i="8"/>
  <c r="BT150" i="8"/>
  <c r="BP150" i="8"/>
  <c r="BJ150" i="8"/>
  <c r="CH149" i="8"/>
  <c r="CC149" i="8"/>
  <c r="BX149" i="8"/>
  <c r="BS149" i="8"/>
  <c r="BO149" i="8"/>
  <c r="BI149" i="8"/>
  <c r="CG148" i="8"/>
  <c r="CB148" i="8"/>
  <c r="BW148" i="8"/>
  <c r="BR148" i="8"/>
  <c r="BL148" i="8"/>
  <c r="CJ147" i="8"/>
  <c r="CF147" i="8"/>
  <c r="CA147" i="8"/>
  <c r="BV147" i="8"/>
  <c r="BZ147" i="8" s="1"/>
  <c r="BQ147" i="8"/>
  <c r="BK147" i="8"/>
  <c r="CI146" i="8"/>
  <c r="CD146" i="8"/>
  <c r="BY146" i="8"/>
  <c r="BT146" i="8"/>
  <c r="BP146" i="8"/>
  <c r="BJ146" i="8"/>
  <c r="CH145" i="8"/>
  <c r="CC145" i="8"/>
  <c r="BX145" i="8"/>
  <c r="BS145" i="8"/>
  <c r="BO145" i="8"/>
  <c r="BI145" i="8"/>
  <c r="CG144" i="8"/>
  <c r="CB144" i="8"/>
  <c r="BW144" i="8"/>
  <c r="BR144" i="8"/>
  <c r="BL144" i="8"/>
  <c r="CJ143" i="8"/>
  <c r="CF143" i="8"/>
  <c r="CA143" i="8"/>
  <c r="BV143" i="8"/>
  <c r="BZ143" i="8" s="1"/>
  <c r="BQ143" i="8"/>
  <c r="BK143" i="8"/>
  <c r="CI142" i="8"/>
  <c r="CD142" i="8"/>
  <c r="BY142" i="8"/>
  <c r="BT142" i="8"/>
  <c r="BP142" i="8"/>
  <c r="BJ142" i="8"/>
  <c r="CH141" i="8"/>
  <c r="CC141" i="8"/>
  <c r="BX141" i="8"/>
  <c r="BS141" i="8"/>
  <c r="BO141" i="8"/>
  <c r="BI141" i="8"/>
  <c r="CG140" i="8"/>
  <c r="CB140" i="8"/>
  <c r="BW140" i="8"/>
  <c r="BR140" i="8"/>
  <c r="BL140" i="8"/>
  <c r="CJ139" i="8"/>
  <c r="CF139" i="8"/>
  <c r="CA139" i="8"/>
  <c r="BV139" i="8"/>
  <c r="BZ139" i="8" s="1"/>
  <c r="BQ139" i="8"/>
  <c r="BK139" i="8"/>
  <c r="CI138" i="8"/>
  <c r="CD138" i="8"/>
  <c r="BY138" i="8"/>
  <c r="BT138" i="8"/>
  <c r="BP138" i="8"/>
  <c r="BJ138" i="8"/>
  <c r="CH137" i="8"/>
  <c r="CC137" i="8"/>
  <c r="BX137" i="8"/>
  <c r="BS137" i="8"/>
  <c r="BO137" i="8"/>
  <c r="BI137" i="8"/>
  <c r="CG136" i="8"/>
  <c r="CB136" i="8"/>
  <c r="BW136" i="8"/>
  <c r="BR136" i="8"/>
  <c r="BL136" i="8"/>
  <c r="CJ135" i="8"/>
  <c r="CF135" i="8"/>
  <c r="CA135" i="8"/>
  <c r="BV135" i="8"/>
  <c r="BZ135" i="8" s="1"/>
  <c r="BQ135" i="8"/>
  <c r="BK135" i="8"/>
  <c r="CI134" i="8"/>
  <c r="CD134" i="8"/>
  <c r="BY134" i="8"/>
  <c r="BT134" i="8"/>
  <c r="BP134" i="8"/>
  <c r="BJ134" i="8"/>
  <c r="CH133" i="8"/>
  <c r="CC133" i="8"/>
  <c r="BX133" i="8"/>
  <c r="BS133" i="8"/>
  <c r="BO133" i="8"/>
  <c r="BI133" i="8"/>
  <c r="CG132" i="8"/>
  <c r="CB132" i="8"/>
  <c r="BW132" i="8"/>
  <c r="BR132" i="8"/>
  <c r="BL132" i="8"/>
  <c r="CJ131" i="8"/>
  <c r="CF131" i="8"/>
  <c r="CA131" i="8"/>
  <c r="BV131" i="8"/>
  <c r="BQ131" i="8"/>
  <c r="BK131" i="8"/>
  <c r="CI130" i="8"/>
  <c r="CD130" i="8"/>
  <c r="BY130" i="8"/>
  <c r="BT130" i="8"/>
  <c r="BP130" i="8"/>
  <c r="BJ130" i="8"/>
  <c r="CH129" i="8"/>
  <c r="CC129" i="8"/>
  <c r="BX129" i="8"/>
  <c r="BS129" i="8"/>
  <c r="BO129" i="8"/>
  <c r="BI129" i="8"/>
  <c r="CG128" i="8"/>
  <c r="CB128" i="8"/>
  <c r="BW128" i="8"/>
  <c r="BR128" i="8"/>
  <c r="BL128" i="8"/>
  <c r="CJ127" i="8"/>
  <c r="CF127" i="8"/>
  <c r="CA127" i="8"/>
  <c r="BV127" i="8"/>
  <c r="BQ127" i="8"/>
  <c r="BK127" i="8"/>
  <c r="CI126" i="8"/>
  <c r="CD126" i="8"/>
  <c r="BY126" i="8"/>
  <c r="BT126" i="8"/>
  <c r="BP126" i="8"/>
  <c r="BJ126" i="8"/>
  <c r="CH125" i="8"/>
  <c r="CC125" i="8"/>
  <c r="BX125" i="8"/>
  <c r="BS125" i="8"/>
  <c r="BO125" i="8"/>
  <c r="BI125" i="8"/>
  <c r="CG124" i="8"/>
  <c r="CB124" i="8"/>
  <c r="BW124" i="8"/>
  <c r="BR124" i="8"/>
  <c r="BL124" i="8"/>
  <c r="CJ123" i="8"/>
  <c r="CF123" i="8"/>
  <c r="CA123" i="8"/>
  <c r="BV123" i="8"/>
  <c r="BQ123" i="8"/>
  <c r="BK123" i="8"/>
  <c r="CI122" i="8"/>
  <c r="CD122" i="8"/>
  <c r="BY122" i="8"/>
  <c r="BT122" i="8"/>
  <c r="BP122" i="8"/>
  <c r="BJ122" i="8"/>
  <c r="CH121" i="8"/>
  <c r="CC121" i="8"/>
  <c r="BX121" i="8"/>
  <c r="BS121" i="8"/>
  <c r="BO121" i="8"/>
  <c r="BI121" i="8"/>
  <c r="CG120" i="8"/>
  <c r="CB120" i="8"/>
  <c r="BW120" i="8"/>
  <c r="BR120" i="8"/>
  <c r="BL120" i="8"/>
  <c r="CJ119" i="8"/>
  <c r="CF119" i="8"/>
  <c r="CA119" i="8"/>
  <c r="BV119" i="8"/>
  <c r="BZ119" i="8" s="1"/>
  <c r="BQ119" i="8"/>
  <c r="BK119" i="8"/>
  <c r="CI118" i="8"/>
  <c r="CD118" i="8"/>
  <c r="BY118" i="8"/>
  <c r="BT118" i="8"/>
  <c r="BP118" i="8"/>
  <c r="BJ118" i="8"/>
  <c r="CH117" i="8"/>
  <c r="CC117" i="8"/>
  <c r="BX117" i="8"/>
  <c r="BS117" i="8"/>
  <c r="BO117" i="8"/>
  <c r="BI117" i="8"/>
  <c r="CG116" i="8"/>
  <c r="CB116" i="8"/>
  <c r="BW116" i="8"/>
  <c r="BR116" i="8"/>
  <c r="BL116" i="8"/>
  <c r="CJ115" i="8"/>
  <c r="CF115" i="8"/>
  <c r="CA115" i="8"/>
  <c r="BV115" i="8"/>
  <c r="BQ115" i="8"/>
  <c r="BK115" i="8"/>
  <c r="CI114" i="8"/>
  <c r="CD114" i="8"/>
  <c r="BY114" i="8"/>
  <c r="BT114" i="8"/>
  <c r="BP114" i="8"/>
  <c r="BJ114" i="8"/>
  <c r="CH113" i="8"/>
  <c r="CC113" i="8"/>
  <c r="BX113" i="8"/>
  <c r="BS113" i="8"/>
  <c r="BO113" i="8"/>
  <c r="BI113" i="8"/>
  <c r="CG112" i="8"/>
  <c r="CB112" i="8"/>
  <c r="BW112" i="8"/>
  <c r="BR112" i="8"/>
  <c r="BL112" i="8"/>
  <c r="CJ111" i="8"/>
  <c r="CF111" i="8"/>
  <c r="CA111" i="8"/>
  <c r="BV111" i="8"/>
  <c r="BZ111" i="8" s="1"/>
  <c r="BQ111" i="8"/>
  <c r="BK111" i="8"/>
  <c r="CI110" i="8"/>
  <c r="CD110" i="8"/>
  <c r="BY110" i="8"/>
  <c r="BT110" i="8"/>
  <c r="BP110" i="8"/>
  <c r="BJ110" i="8"/>
  <c r="CH109" i="8"/>
  <c r="CC109" i="8"/>
  <c r="BX109" i="8"/>
  <c r="BS109" i="8"/>
  <c r="BO109" i="8"/>
  <c r="BI109" i="8"/>
  <c r="CG108" i="8"/>
  <c r="CB108" i="8"/>
  <c r="BW108" i="8"/>
  <c r="BR108" i="8"/>
  <c r="BL108" i="8"/>
  <c r="CJ107" i="8"/>
  <c r="CF107" i="8"/>
  <c r="CA107" i="8"/>
  <c r="BV107" i="8"/>
  <c r="BQ107" i="8"/>
  <c r="BK107" i="8"/>
  <c r="CI106" i="8"/>
  <c r="CD106" i="8"/>
  <c r="BY106" i="8"/>
  <c r="BT106" i="8"/>
  <c r="BP106" i="8"/>
  <c r="BJ106" i="8"/>
  <c r="CH105" i="8"/>
  <c r="CC105" i="8"/>
  <c r="BX105" i="8"/>
  <c r="BS105" i="8"/>
  <c r="BO105" i="8"/>
  <c r="BI105" i="8"/>
  <c r="CG104" i="8"/>
  <c r="CB104" i="8"/>
  <c r="BW104" i="8"/>
  <c r="BR104" i="8"/>
  <c r="BL104" i="8"/>
  <c r="CJ103" i="8"/>
  <c r="CF103" i="8"/>
  <c r="CA103" i="8"/>
  <c r="BV103" i="8"/>
  <c r="BZ103" i="8" s="1"/>
  <c r="BQ103" i="8"/>
  <c r="BK103" i="8"/>
  <c r="CI102" i="8"/>
  <c r="CD102" i="8"/>
  <c r="BY102" i="8"/>
  <c r="BT102" i="8"/>
  <c r="BP102" i="8"/>
  <c r="BJ102" i="8"/>
  <c r="CH101" i="8"/>
  <c r="CC101" i="8"/>
  <c r="BX101" i="8"/>
  <c r="BS101" i="8"/>
  <c r="BO101" i="8"/>
  <c r="BI101" i="8"/>
  <c r="CG100" i="8"/>
  <c r="CB100" i="8"/>
  <c r="BW100" i="8"/>
  <c r="BR100" i="8"/>
  <c r="BL100" i="8"/>
  <c r="CJ99" i="8"/>
  <c r="CF99" i="8"/>
  <c r="CA99" i="8"/>
  <c r="BV99" i="8"/>
  <c r="BQ99" i="8"/>
  <c r="BK99" i="8"/>
  <c r="CI98" i="8"/>
  <c r="CD98" i="8"/>
  <c r="BY98" i="8"/>
  <c r="BT98" i="8"/>
  <c r="BP98" i="8"/>
  <c r="BJ98" i="8"/>
  <c r="CH97" i="8"/>
  <c r="CC97" i="8"/>
  <c r="BX97" i="8"/>
  <c r="BS97" i="8"/>
  <c r="BO97" i="8"/>
  <c r="BI97" i="8"/>
  <c r="CG96" i="8"/>
  <c r="CB96" i="8"/>
  <c r="BW96" i="8"/>
  <c r="BR96" i="8"/>
  <c r="BL96" i="8"/>
  <c r="CJ95" i="8"/>
  <c r="CF95" i="8"/>
  <c r="CA95" i="8"/>
  <c r="BV95" i="8"/>
  <c r="BZ95" i="8" s="1"/>
  <c r="BQ95" i="8"/>
  <c r="BK95" i="8"/>
  <c r="CI94" i="8"/>
  <c r="CD94" i="8"/>
  <c r="BY94" i="8"/>
  <c r="BT94" i="8"/>
  <c r="BP94" i="8"/>
  <c r="BJ94" i="8"/>
  <c r="CH93" i="8"/>
  <c r="CC93" i="8"/>
  <c r="BX93" i="8"/>
  <c r="BS93" i="8"/>
  <c r="BO93" i="8"/>
  <c r="BI93" i="8"/>
  <c r="CG92" i="8"/>
  <c r="CB92" i="8"/>
  <c r="BW92" i="8"/>
  <c r="BR92" i="8"/>
  <c r="BL92" i="8"/>
  <c r="CJ91" i="8"/>
  <c r="CF91" i="8"/>
  <c r="CA91" i="8"/>
  <c r="BV91" i="8"/>
  <c r="BQ91" i="8"/>
  <c r="BK91" i="8"/>
  <c r="CI90" i="8"/>
  <c r="CD90" i="8"/>
  <c r="BY90" i="8"/>
  <c r="BT90" i="8"/>
  <c r="BP90" i="8"/>
  <c r="BJ90" i="8"/>
  <c r="CH89" i="8"/>
  <c r="CC89" i="8"/>
  <c r="BX89" i="8"/>
  <c r="BS89" i="8"/>
  <c r="BO89" i="8"/>
  <c r="BI89" i="8"/>
  <c r="CG88" i="8"/>
  <c r="CB88" i="8"/>
  <c r="BW88" i="8"/>
  <c r="BR88" i="8"/>
  <c r="BL88" i="8"/>
  <c r="CJ87" i="8"/>
  <c r="CF87" i="8"/>
  <c r="CA87" i="8"/>
  <c r="BV87" i="8"/>
  <c r="BZ87" i="8" s="1"/>
  <c r="BQ87" i="8"/>
  <c r="BK87" i="8"/>
  <c r="CI86" i="8"/>
  <c r="CD86" i="8"/>
  <c r="BY86" i="8"/>
  <c r="BT86" i="8"/>
  <c r="BP86" i="8"/>
  <c r="BJ86" i="8"/>
  <c r="CH85" i="8"/>
  <c r="CC85" i="8"/>
  <c r="BX85" i="8"/>
  <c r="BS85" i="8"/>
  <c r="BO85" i="8"/>
  <c r="BI85" i="8"/>
  <c r="CG84" i="8"/>
  <c r="CB84" i="8"/>
  <c r="BW84" i="8"/>
  <c r="BR84" i="8"/>
  <c r="BL84" i="8"/>
  <c r="CJ83" i="8"/>
  <c r="CF83" i="8"/>
  <c r="CA83" i="8"/>
  <c r="BV83" i="8"/>
  <c r="BQ83" i="8"/>
  <c r="BK83" i="8"/>
  <c r="CI82" i="8"/>
  <c r="CD82" i="8"/>
  <c r="BY82" i="8"/>
  <c r="BT82" i="8"/>
  <c r="BP82" i="8"/>
  <c r="BJ82" i="8"/>
  <c r="CH81" i="8"/>
  <c r="CC81" i="8"/>
  <c r="BX81" i="8"/>
  <c r="BS81" i="8"/>
  <c r="BO81" i="8"/>
  <c r="BI81" i="8"/>
  <c r="CG80" i="8"/>
  <c r="CB80" i="8"/>
  <c r="BW80" i="8"/>
  <c r="BR80" i="8"/>
  <c r="BL80" i="8"/>
  <c r="CJ79" i="8"/>
  <c r="CF79" i="8"/>
  <c r="CA79" i="8"/>
  <c r="BV79" i="8"/>
  <c r="BQ79" i="8"/>
  <c r="BK79" i="8"/>
  <c r="CI78" i="8"/>
  <c r="CD78" i="8"/>
  <c r="BY78" i="8"/>
  <c r="BT78" i="8"/>
  <c r="BP78" i="8"/>
  <c r="BJ78" i="8"/>
  <c r="CJ77" i="8"/>
  <c r="CF77" i="8"/>
  <c r="CA77" i="8"/>
  <c r="BV77" i="8"/>
  <c r="BZ77" i="8" s="1"/>
  <c r="BQ77" i="8"/>
  <c r="BK77" i="8"/>
  <c r="CI76" i="8"/>
  <c r="CD76" i="8"/>
  <c r="BY76" i="8"/>
  <c r="BT76" i="8"/>
  <c r="BP76" i="8"/>
  <c r="BJ76" i="8"/>
  <c r="CH75" i="8"/>
  <c r="CC75" i="8"/>
  <c r="BX75" i="8"/>
  <c r="BS75" i="8"/>
  <c r="BO75" i="8"/>
  <c r="BI75" i="8"/>
  <c r="CG74" i="8"/>
  <c r="CB74" i="8"/>
  <c r="BW74" i="8"/>
  <c r="BR74" i="8"/>
  <c r="BL74" i="8"/>
  <c r="CJ73" i="8"/>
  <c r="CF73" i="8"/>
  <c r="CA73" i="8"/>
  <c r="BV73" i="8"/>
  <c r="BQ73" i="8"/>
  <c r="BK73" i="8"/>
  <c r="CI72" i="8"/>
  <c r="CD72" i="8"/>
  <c r="BY72" i="8"/>
  <c r="BT72" i="8"/>
  <c r="BP72" i="8"/>
  <c r="BJ72" i="8"/>
  <c r="CH71" i="8"/>
  <c r="CC71" i="8"/>
  <c r="BX71" i="8"/>
  <c r="BS71" i="8"/>
  <c r="BO71" i="8"/>
  <c r="BI71" i="8"/>
  <c r="CG70" i="8"/>
  <c r="CB70" i="8"/>
  <c r="BW70" i="8"/>
  <c r="BR70" i="8"/>
  <c r="BL70" i="8"/>
  <c r="CJ69" i="8"/>
  <c r="CF69" i="8"/>
  <c r="CA69" i="8"/>
  <c r="BV69" i="8"/>
  <c r="BQ69" i="8"/>
  <c r="BK69" i="8"/>
  <c r="CI68" i="8"/>
  <c r="CD68" i="8"/>
  <c r="BY68" i="8"/>
  <c r="BT68" i="8"/>
  <c r="BP68" i="8"/>
  <c r="BJ68" i="8"/>
  <c r="CH67" i="8"/>
  <c r="CC67" i="8"/>
  <c r="BX67" i="8"/>
  <c r="BS67" i="8"/>
  <c r="BO67" i="8"/>
  <c r="BI67" i="8"/>
  <c r="CG66" i="8"/>
  <c r="CB66" i="8"/>
  <c r="BW66" i="8"/>
  <c r="BR66" i="8"/>
  <c r="BL66" i="8"/>
  <c r="CJ65" i="8"/>
  <c r="CF65" i="8"/>
  <c r="CA65" i="8"/>
  <c r="BV65" i="8"/>
  <c r="BQ65" i="8"/>
  <c r="BK65" i="8"/>
  <c r="CI64" i="8"/>
  <c r="CD64" i="8"/>
  <c r="BY64" i="8"/>
  <c r="BT64" i="8"/>
  <c r="BP64" i="8"/>
  <c r="BJ64" i="8"/>
  <c r="CH63" i="8"/>
  <c r="CC63" i="8"/>
  <c r="BX63" i="8"/>
  <c r="BS63" i="8"/>
  <c r="BO63" i="8"/>
  <c r="BI63" i="8"/>
  <c r="CG62" i="8"/>
  <c r="CB62" i="8"/>
  <c r="BW62" i="8"/>
  <c r="BR62" i="8"/>
  <c r="BL62" i="8"/>
  <c r="CJ61" i="8"/>
  <c r="CF61" i="8"/>
  <c r="CA61" i="8"/>
  <c r="BV61" i="8"/>
  <c r="BQ61" i="8"/>
  <c r="BK61" i="8"/>
  <c r="CI60" i="8"/>
  <c r="CD60" i="8"/>
  <c r="BY60" i="8"/>
  <c r="BT60" i="8"/>
  <c r="BP60" i="8"/>
  <c r="BJ60" i="8"/>
  <c r="CH59" i="8"/>
  <c r="CC59" i="8"/>
  <c r="BX59" i="8"/>
  <c r="BS59" i="8"/>
  <c r="BO59" i="8"/>
  <c r="BI59" i="8"/>
  <c r="CG58" i="8"/>
  <c r="CB58" i="8"/>
  <c r="BW58" i="8"/>
  <c r="BR58" i="8"/>
  <c r="BL58" i="8"/>
  <c r="CJ57" i="8"/>
  <c r="CF57" i="8"/>
  <c r="CA57" i="8"/>
  <c r="BV57" i="8"/>
  <c r="BQ57" i="8"/>
  <c r="BK57" i="8"/>
  <c r="CI56" i="8"/>
  <c r="CD56" i="8"/>
  <c r="BY56" i="8"/>
  <c r="BT56" i="8"/>
  <c r="BP56" i="8"/>
  <c r="BJ56" i="8"/>
  <c r="CH55" i="8"/>
  <c r="CC55" i="8"/>
  <c r="BX55" i="8"/>
  <c r="BS55" i="8"/>
  <c r="BO55" i="8"/>
  <c r="BI55" i="8"/>
  <c r="CG54" i="8"/>
  <c r="CB54" i="8"/>
  <c r="BW54" i="8"/>
  <c r="BR54" i="8"/>
  <c r="BL54" i="8"/>
  <c r="CJ53" i="8"/>
  <c r="CF53" i="8"/>
  <c r="CA53" i="8"/>
  <c r="BV53" i="8"/>
  <c r="BQ53" i="8"/>
  <c r="BK53" i="8"/>
  <c r="CI52" i="8"/>
  <c r="CD52" i="8"/>
  <c r="BY52" i="8"/>
  <c r="BT52" i="8"/>
  <c r="BP52" i="8"/>
  <c r="BJ52" i="8"/>
  <c r="CH51" i="8"/>
  <c r="CC51" i="8"/>
  <c r="BX51" i="8"/>
  <c r="BS51" i="8"/>
  <c r="BO51" i="8"/>
  <c r="BI51" i="8"/>
  <c r="CG50" i="8"/>
  <c r="CB50" i="8"/>
  <c r="BW50" i="8"/>
  <c r="BR50" i="8"/>
  <c r="BL50" i="8"/>
  <c r="CJ49" i="8"/>
  <c r="CF49" i="8"/>
  <c r="CA49" i="8"/>
  <c r="BV49" i="8"/>
  <c r="BQ49" i="8"/>
  <c r="BK49" i="8"/>
  <c r="CI48" i="8"/>
  <c r="CD48" i="8"/>
  <c r="BY48" i="8"/>
  <c r="BT48" i="8"/>
  <c r="BP48" i="8"/>
  <c r="BJ48" i="8"/>
  <c r="CH47" i="8"/>
  <c r="CC47" i="8"/>
  <c r="BX47" i="8"/>
  <c r="BS47" i="8"/>
  <c r="BO47" i="8"/>
  <c r="BI47" i="8"/>
  <c r="CG46" i="8"/>
  <c r="CB46" i="8"/>
  <c r="BW46" i="8"/>
  <c r="BR46" i="8"/>
  <c r="BL46" i="8"/>
  <c r="CJ45" i="8"/>
  <c r="CF45" i="8"/>
  <c r="CA45" i="8"/>
  <c r="BV45" i="8"/>
  <c r="BQ45" i="8"/>
  <c r="BK45" i="8"/>
  <c r="CI44" i="8"/>
  <c r="CD44" i="8"/>
  <c r="BY44" i="8"/>
  <c r="BT44" i="8"/>
  <c r="BP44" i="8"/>
  <c r="BJ44" i="8"/>
  <c r="CH43" i="8"/>
  <c r="CC43" i="8"/>
  <c r="BX43" i="8"/>
  <c r="BS43" i="8"/>
  <c r="BO43" i="8"/>
  <c r="BI43" i="8"/>
  <c r="CG42" i="8"/>
  <c r="CB42" i="8"/>
  <c r="BW42" i="8"/>
  <c r="BR42" i="8"/>
  <c r="BL42" i="8"/>
  <c r="CJ41" i="8"/>
  <c r="CF41" i="8"/>
  <c r="CA41" i="8"/>
  <c r="BV41" i="8"/>
  <c r="BZ41" i="8" s="1"/>
  <c r="BQ41" i="8"/>
  <c r="BK41" i="8"/>
  <c r="CI40" i="8"/>
  <c r="CD40" i="8"/>
  <c r="BY40" i="8"/>
  <c r="BT40" i="8"/>
  <c r="BP40" i="8"/>
  <c r="BJ40" i="8"/>
  <c r="CH39" i="8"/>
  <c r="CC39" i="8"/>
  <c r="BX39" i="8"/>
  <c r="BS39" i="8"/>
  <c r="BO39" i="8"/>
  <c r="BI39" i="8"/>
  <c r="CG38" i="8"/>
  <c r="CB38" i="8"/>
  <c r="BW38" i="8"/>
  <c r="BR38" i="8"/>
  <c r="BL38" i="8"/>
  <c r="CJ37" i="8"/>
  <c r="CF37" i="8"/>
  <c r="CA37" i="8"/>
  <c r="BV37" i="8"/>
  <c r="BQ37" i="8"/>
  <c r="BK37" i="8"/>
  <c r="CI36" i="8"/>
  <c r="CD36" i="8"/>
  <c r="BY36" i="8"/>
  <c r="BT36" i="8"/>
  <c r="BP36" i="8"/>
  <c r="BJ36" i="8"/>
  <c r="CH35" i="8"/>
  <c r="CC35" i="8"/>
  <c r="BX35" i="8"/>
  <c r="BS35" i="8"/>
  <c r="BO35" i="8"/>
  <c r="BI35" i="8"/>
  <c r="CG34" i="8"/>
  <c r="CB34" i="8"/>
  <c r="BW34" i="8"/>
  <c r="BR34" i="8"/>
  <c r="BL34" i="8"/>
  <c r="CJ33" i="8"/>
  <c r="CF33" i="8"/>
  <c r="CA33" i="8"/>
  <c r="BV33" i="8"/>
  <c r="BQ33" i="8"/>
  <c r="BK33" i="8"/>
  <c r="CI32" i="8"/>
  <c r="CD32" i="8"/>
  <c r="BY32" i="8"/>
  <c r="BT32" i="8"/>
  <c r="BP32" i="8"/>
  <c r="BJ32" i="8"/>
  <c r="CH31" i="8"/>
  <c r="CC31" i="8"/>
  <c r="BX31" i="8"/>
  <c r="BS31" i="8"/>
  <c r="BO31" i="8"/>
  <c r="BI31" i="8"/>
  <c r="CG30" i="8"/>
  <c r="CB30" i="8"/>
  <c r="BW30" i="8"/>
  <c r="BR30" i="8"/>
  <c r="BL30" i="8"/>
  <c r="CJ29" i="8"/>
  <c r="CF29" i="8"/>
  <c r="CA29" i="8"/>
  <c r="BV29" i="8"/>
  <c r="BZ29" i="8" s="1"/>
  <c r="BQ29" i="8"/>
  <c r="BK29" i="8"/>
  <c r="CI28" i="8"/>
  <c r="CD28" i="8"/>
  <c r="BY28" i="8"/>
  <c r="BT28" i="8"/>
  <c r="BP28" i="8"/>
  <c r="BJ28" i="8"/>
  <c r="CH27" i="8"/>
  <c r="CC27" i="8"/>
  <c r="BX27" i="8"/>
  <c r="BS27" i="8"/>
  <c r="BO27" i="8"/>
  <c r="BI27" i="8"/>
  <c r="CG26" i="8"/>
  <c r="CB26" i="8"/>
  <c r="BW26" i="8"/>
  <c r="BR26" i="8"/>
  <c r="BL26" i="8"/>
  <c r="CJ25" i="8"/>
  <c r="CF25" i="8"/>
  <c r="CA25" i="8"/>
  <c r="BV25" i="8"/>
  <c r="BQ25" i="8"/>
  <c r="BK25" i="8"/>
  <c r="CI24" i="8"/>
  <c r="CD24" i="8"/>
  <c r="BY24" i="8"/>
  <c r="BT24" i="8"/>
  <c r="BP24" i="8"/>
  <c r="BJ24" i="8"/>
  <c r="CH23" i="8"/>
  <c r="CC23" i="8"/>
  <c r="BX23" i="8"/>
  <c r="BS23" i="8"/>
  <c r="BO23" i="8"/>
  <c r="BI23" i="8"/>
  <c r="CG22" i="8"/>
  <c r="CB22" i="8"/>
  <c r="BW22" i="8"/>
  <c r="BR22" i="8"/>
  <c r="BL22" i="8"/>
  <c r="CJ21" i="8"/>
  <c r="CF21" i="8"/>
  <c r="CA21" i="8"/>
  <c r="BV21" i="8"/>
  <c r="BQ21" i="8"/>
  <c r="BK21" i="8"/>
  <c r="CI20" i="8"/>
  <c r="CD20" i="8"/>
  <c r="BY20" i="8"/>
  <c r="BT20" i="8"/>
  <c r="BP20" i="8"/>
  <c r="BJ20" i="8"/>
  <c r="CH19" i="8"/>
  <c r="CC19" i="8"/>
  <c r="BX19" i="8"/>
  <c r="BS19" i="8"/>
  <c r="BO19" i="8"/>
  <c r="BI19" i="8"/>
  <c r="CG18" i="8"/>
  <c r="CB18" i="8"/>
  <c r="BW18" i="8"/>
  <c r="BR18" i="8"/>
  <c r="BL18" i="8"/>
  <c r="CJ17" i="8"/>
  <c r="CF17" i="8"/>
  <c r="CA17" i="8"/>
  <c r="BV17" i="8"/>
  <c r="BQ17" i="8"/>
  <c r="BK17" i="8"/>
  <c r="CI16" i="8"/>
  <c r="CD16" i="8"/>
  <c r="BY16" i="8"/>
  <c r="BT16" i="8"/>
  <c r="BP16" i="8"/>
  <c r="BJ16" i="8"/>
  <c r="CH15" i="8"/>
  <c r="CC15" i="8"/>
  <c r="BX15" i="8"/>
  <c r="BS15" i="8"/>
  <c r="BO15" i="8"/>
  <c r="BI15" i="8"/>
  <c r="CG14" i="8"/>
  <c r="CB14" i="8"/>
  <c r="BW14" i="8"/>
  <c r="BR14" i="8"/>
  <c r="BL14" i="8"/>
  <c r="CJ13" i="8"/>
  <c r="CF13" i="8"/>
  <c r="CA13" i="8"/>
  <c r="BV13" i="8"/>
  <c r="BQ13" i="8"/>
  <c r="BK13" i="8"/>
  <c r="CI12" i="8"/>
  <c r="CD12" i="8"/>
  <c r="BY12" i="8"/>
  <c r="BT12" i="8"/>
  <c r="BP12" i="8"/>
  <c r="BJ12" i="8"/>
  <c r="CH11" i="8"/>
  <c r="CC11" i="8"/>
  <c r="BX11" i="8"/>
  <c r="BS11" i="8"/>
  <c r="BO11" i="8"/>
  <c r="BI11" i="8"/>
  <c r="CG10" i="8"/>
  <c r="CB10" i="8"/>
  <c r="BW10" i="8"/>
  <c r="BR10" i="8"/>
  <c r="BL10" i="8"/>
  <c r="CJ9" i="8"/>
  <c r="CF9" i="8"/>
  <c r="CA9" i="8"/>
  <c r="BV9" i="8"/>
  <c r="BQ9" i="8"/>
  <c r="BK9" i="8"/>
  <c r="CI8" i="8"/>
  <c r="CD8" i="8"/>
  <c r="BY8" i="8"/>
  <c r="BT8" i="8"/>
  <c r="BP8" i="8"/>
  <c r="BJ8" i="8"/>
  <c r="CH7" i="8"/>
  <c r="CC7" i="8"/>
  <c r="BX7" i="8"/>
  <c r="BS7" i="8"/>
  <c r="BO7" i="8"/>
  <c r="BI7" i="8"/>
  <c r="CG6" i="8"/>
  <c r="CB6" i="8"/>
  <c r="BW6" i="8"/>
  <c r="BR6" i="8"/>
  <c r="BL6" i="8"/>
  <c r="CJ5" i="8"/>
  <c r="CF5" i="8"/>
  <c r="CA5" i="8"/>
  <c r="BV5" i="8"/>
  <c r="BQ5" i="8"/>
  <c r="BK5" i="8"/>
  <c r="CI4" i="8"/>
  <c r="CD4" i="8"/>
  <c r="BY4" i="8"/>
  <c r="BT4" i="8"/>
  <c r="BP4" i="8"/>
  <c r="BJ4" i="8"/>
  <c r="BL695" i="8"/>
  <c r="CJ602" i="8"/>
  <c r="BV558" i="8"/>
  <c r="BZ558" i="8" s="1"/>
  <c r="BT533" i="8"/>
  <c r="BQ522" i="8"/>
  <c r="BL511" i="8"/>
  <c r="BI500" i="8"/>
  <c r="BQ494" i="8"/>
  <c r="CC488" i="8"/>
  <c r="BL483" i="8"/>
  <c r="BY477" i="8"/>
  <c r="BI472" i="8"/>
  <c r="BV466" i="8"/>
  <c r="BZ466" i="8" s="1"/>
  <c r="CH460" i="8"/>
  <c r="BR455" i="8"/>
  <c r="CD449" i="8"/>
  <c r="BO444" i="8"/>
  <c r="CA438" i="8"/>
  <c r="BJ433" i="8"/>
  <c r="BW427" i="8"/>
  <c r="CI421" i="8"/>
  <c r="BS416" i="8"/>
  <c r="CF410" i="8"/>
  <c r="BP405" i="8"/>
  <c r="CB399" i="8"/>
  <c r="BK394" i="8"/>
  <c r="BX388" i="8"/>
  <c r="CJ382" i="8"/>
  <c r="BT377" i="8"/>
  <c r="CG371" i="8"/>
  <c r="BQ366" i="8"/>
  <c r="CC360" i="8"/>
  <c r="BL355" i="8"/>
  <c r="BY349" i="8"/>
  <c r="BI344" i="8"/>
  <c r="BV338" i="8"/>
  <c r="BZ338" i="8" s="1"/>
  <c r="CH332" i="8"/>
  <c r="BR327" i="8"/>
  <c r="CD321" i="8"/>
  <c r="CB317" i="8"/>
  <c r="CG315" i="8"/>
  <c r="CJ313" i="8"/>
  <c r="BK312" i="8"/>
  <c r="CC310" i="8"/>
  <c r="BR309" i="8"/>
  <c r="CI307" i="8"/>
  <c r="BX306" i="8"/>
  <c r="BL305" i="8"/>
  <c r="CD303" i="8"/>
  <c r="BS302" i="8"/>
  <c r="CJ300" i="8"/>
  <c r="BY299" i="8"/>
  <c r="BO298" i="8"/>
  <c r="CF296" i="8"/>
  <c r="BT295" i="8"/>
  <c r="BI294" i="8"/>
  <c r="CA292" i="8"/>
  <c r="BP291" i="8"/>
  <c r="CG289" i="8"/>
  <c r="BV288" i="8"/>
  <c r="BZ288" i="8" s="1"/>
  <c r="BJ287" i="8"/>
  <c r="CB285" i="8"/>
  <c r="BQ284" i="8"/>
  <c r="CH282" i="8"/>
  <c r="BW281" i="8"/>
  <c r="BK280" i="8"/>
  <c r="CC278" i="8"/>
  <c r="BR277" i="8"/>
  <c r="CI275" i="8"/>
  <c r="BX274" i="8"/>
  <c r="BL273" i="8"/>
  <c r="CD271" i="8"/>
  <c r="BS270" i="8"/>
  <c r="CJ268" i="8"/>
  <c r="BY267" i="8"/>
  <c r="BO266" i="8"/>
  <c r="CF264" i="8"/>
  <c r="BT263" i="8"/>
  <c r="BI262" i="8"/>
  <c r="CA260" i="8"/>
  <c r="BP259" i="8"/>
  <c r="CG257" i="8"/>
  <c r="BV256" i="8"/>
  <c r="BJ255" i="8"/>
  <c r="CB253" i="8"/>
  <c r="BQ252" i="8"/>
  <c r="CH250" i="8"/>
  <c r="BW249" i="8"/>
  <c r="BK248" i="8"/>
  <c r="CC246" i="8"/>
  <c r="BR245" i="8"/>
  <c r="CI243" i="8"/>
  <c r="BX242" i="8"/>
  <c r="BL241" i="8"/>
  <c r="CD239" i="8"/>
  <c r="BS238" i="8"/>
  <c r="CJ236" i="8"/>
  <c r="BY235" i="8"/>
  <c r="BO234" i="8"/>
  <c r="CF232" i="8"/>
  <c r="BT231" i="8"/>
  <c r="BI230" i="8"/>
  <c r="CA228" i="8"/>
  <c r="BP227" i="8"/>
  <c r="CG225" i="8"/>
  <c r="BV224" i="8"/>
  <c r="BZ224" i="8" s="1"/>
  <c r="BJ223" i="8"/>
  <c r="CB221" i="8"/>
  <c r="BQ220" i="8"/>
  <c r="CH218" i="8"/>
  <c r="BW217" i="8"/>
  <c r="BK216" i="8"/>
  <c r="CC214" i="8"/>
  <c r="BR213" i="8"/>
  <c r="CI211" i="8"/>
  <c r="BX210" i="8"/>
  <c r="BL209" i="8"/>
  <c r="CD207" i="8"/>
  <c r="BS206" i="8"/>
  <c r="CJ204" i="8"/>
  <c r="BY203" i="8"/>
  <c r="BO202" i="8"/>
  <c r="CF200" i="8"/>
  <c r="BT199" i="8"/>
  <c r="BI198" i="8"/>
  <c r="CA196" i="8"/>
  <c r="CE196" i="8" s="1"/>
  <c r="BP195" i="8"/>
  <c r="CG193" i="8"/>
  <c r="BV192" i="8"/>
  <c r="BZ192" i="8" s="1"/>
  <c r="BJ191" i="8"/>
  <c r="CB189" i="8"/>
  <c r="BQ188" i="8"/>
  <c r="BP187" i="8"/>
  <c r="BX186" i="8"/>
  <c r="CG185" i="8"/>
  <c r="BL185" i="8"/>
  <c r="BV184" i="8"/>
  <c r="CD183" i="8"/>
  <c r="BJ183" i="8"/>
  <c r="BS182" i="8"/>
  <c r="CB181" i="8"/>
  <c r="CJ180" i="8"/>
  <c r="BQ180" i="8"/>
  <c r="BY179" i="8"/>
  <c r="CH178" i="8"/>
  <c r="BO178" i="8"/>
  <c r="BW177" i="8"/>
  <c r="CF176" i="8"/>
  <c r="BK176" i="8"/>
  <c r="BT175" i="8"/>
  <c r="CC174" i="8"/>
  <c r="BI174" i="8"/>
  <c r="BR173" i="8"/>
  <c r="CA172" i="8"/>
  <c r="CI171" i="8"/>
  <c r="BP171" i="8"/>
  <c r="BX170" i="8"/>
  <c r="CG169" i="8"/>
  <c r="BL169" i="8"/>
  <c r="BV168" i="8"/>
  <c r="CD167" i="8"/>
  <c r="BJ167" i="8"/>
  <c r="BS166" i="8"/>
  <c r="CB165" i="8"/>
  <c r="CJ164" i="8"/>
  <c r="BQ164" i="8"/>
  <c r="BY163" i="8"/>
  <c r="CH162" i="8"/>
  <c r="BO162" i="8"/>
  <c r="BW161" i="8"/>
  <c r="CF160" i="8"/>
  <c r="BK160" i="8"/>
  <c r="BT159" i="8"/>
  <c r="CC158" i="8"/>
  <c r="BI158" i="8"/>
  <c r="BR157" i="8"/>
  <c r="CA156" i="8"/>
  <c r="CI155" i="8"/>
  <c r="BP155" i="8"/>
  <c r="BX154" i="8"/>
  <c r="CG153" i="8"/>
  <c r="BL153" i="8"/>
  <c r="BV152" i="8"/>
  <c r="BZ152" i="8" s="1"/>
  <c r="CD151" i="8"/>
  <c r="BJ151" i="8"/>
  <c r="BS150" i="8"/>
  <c r="CB149" i="8"/>
  <c r="CJ148" i="8"/>
  <c r="BQ148" i="8"/>
  <c r="BY147" i="8"/>
  <c r="CH146" i="8"/>
  <c r="BO146" i="8"/>
  <c r="BW145" i="8"/>
  <c r="CF144" i="8"/>
  <c r="BK144" i="8"/>
  <c r="BT143" i="8"/>
  <c r="CC142" i="8"/>
  <c r="BI142" i="8"/>
  <c r="BR141" i="8"/>
  <c r="CA140" i="8"/>
  <c r="CI139" i="8"/>
  <c r="BP139" i="8"/>
  <c r="BX138" i="8"/>
  <c r="CG137" i="8"/>
  <c r="BL137" i="8"/>
  <c r="BV136" i="8"/>
  <c r="BZ136" i="8" s="1"/>
  <c r="CD135" i="8"/>
  <c r="BJ135" i="8"/>
  <c r="BS134" i="8"/>
  <c r="CB133" i="8"/>
  <c r="CJ132" i="8"/>
  <c r="BQ132" i="8"/>
  <c r="BY131" i="8"/>
  <c r="CH130" i="8"/>
  <c r="BO130" i="8"/>
  <c r="BW129" i="8"/>
  <c r="CF128" i="8"/>
  <c r="BK128" i="8"/>
  <c r="BT127" i="8"/>
  <c r="CC126" i="8"/>
  <c r="BI126" i="8"/>
  <c r="BR125" i="8"/>
  <c r="CA124" i="8"/>
  <c r="CI123" i="8"/>
  <c r="BP123" i="8"/>
  <c r="BX122" i="8"/>
  <c r="CG121" i="8"/>
  <c r="BL121" i="8"/>
  <c r="BV120" i="8"/>
  <c r="BZ120" i="8" s="1"/>
  <c r="CD119" i="8"/>
  <c r="BJ119" i="8"/>
  <c r="BS118" i="8"/>
  <c r="CB117" i="8"/>
  <c r="CJ116" i="8"/>
  <c r="BQ116" i="8"/>
  <c r="BY115" i="8"/>
  <c r="CH114" i="8"/>
  <c r="BO114" i="8"/>
  <c r="BW113" i="8"/>
  <c r="CF112" i="8"/>
  <c r="BK112" i="8"/>
  <c r="BT111" i="8"/>
  <c r="CC110" i="8"/>
  <c r="BI110" i="8"/>
  <c r="BR109" i="8"/>
  <c r="CA108" i="8"/>
  <c r="CI107" i="8"/>
  <c r="BP107" i="8"/>
  <c r="BX106" i="8"/>
  <c r="CG105" i="8"/>
  <c r="BL105" i="8"/>
  <c r="BV104" i="8"/>
  <c r="BZ104" i="8" s="1"/>
  <c r="CD103" i="8"/>
  <c r="BJ103" i="8"/>
  <c r="BS102" i="8"/>
  <c r="CB101" i="8"/>
  <c r="CJ100" i="8"/>
  <c r="BQ100" i="8"/>
  <c r="BY99" i="8"/>
  <c r="CH98" i="8"/>
  <c r="BO98" i="8"/>
  <c r="BW97" i="8"/>
  <c r="CF96" i="8"/>
  <c r="BK96" i="8"/>
  <c r="BT95" i="8"/>
  <c r="CC94" i="8"/>
  <c r="BI94" i="8"/>
  <c r="BR93" i="8"/>
  <c r="CA92" i="8"/>
  <c r="CI91" i="8"/>
  <c r="BP91" i="8"/>
  <c r="BX90" i="8"/>
  <c r="CG89" i="8"/>
  <c r="BL89" i="8"/>
  <c r="BV88" i="8"/>
  <c r="BZ88" i="8" s="1"/>
  <c r="CD87" i="8"/>
  <c r="BJ87" i="8"/>
  <c r="BS86" i="8"/>
  <c r="CB85" i="8"/>
  <c r="CJ84" i="8"/>
  <c r="BQ84" i="8"/>
  <c r="BY83" i="8"/>
  <c r="CH82" i="8"/>
  <c r="BO82" i="8"/>
  <c r="BW81" i="8"/>
  <c r="CF80" i="8"/>
  <c r="BK80" i="8"/>
  <c r="BT79" i="8"/>
  <c r="CC78" i="8"/>
  <c r="BI78" i="8"/>
  <c r="CD77" i="8"/>
  <c r="BJ77" i="8"/>
  <c r="BS76" i="8"/>
  <c r="CB75" i="8"/>
  <c r="CJ74" i="8"/>
  <c r="BQ74" i="8"/>
  <c r="BY73" i="8"/>
  <c r="CH72" i="8"/>
  <c r="BO72" i="8"/>
  <c r="BW71" i="8"/>
  <c r="CF70" i="8"/>
  <c r="BK70" i="8"/>
  <c r="BT69" i="8"/>
  <c r="CC68" i="8"/>
  <c r="BI68" i="8"/>
  <c r="BR67" i="8"/>
  <c r="CA66" i="8"/>
  <c r="CI65" i="8"/>
  <c r="BP65" i="8"/>
  <c r="BX64" i="8"/>
  <c r="CG63" i="8"/>
  <c r="BL63" i="8"/>
  <c r="BV62" i="8"/>
  <c r="CD61" i="8"/>
  <c r="BJ61" i="8"/>
  <c r="BS60" i="8"/>
  <c r="CB59" i="8"/>
  <c r="CJ58" i="8"/>
  <c r="BQ58" i="8"/>
  <c r="BY57" i="8"/>
  <c r="CH56" i="8"/>
  <c r="BO56" i="8"/>
  <c r="BW55" i="8"/>
  <c r="CF54" i="8"/>
  <c r="BK54" i="8"/>
  <c r="BT53" i="8"/>
  <c r="CC52" i="8"/>
  <c r="BI52" i="8"/>
  <c r="BR51" i="8"/>
  <c r="CA50" i="8"/>
  <c r="CI49" i="8"/>
  <c r="BP49" i="8"/>
  <c r="BX48" i="8"/>
  <c r="CG47" i="8"/>
  <c r="BL47" i="8"/>
  <c r="BV46" i="8"/>
  <c r="BZ46" i="8" s="1"/>
  <c r="CD45" i="8"/>
  <c r="BJ45" i="8"/>
  <c r="BS44" i="8"/>
  <c r="CB43" i="8"/>
  <c r="CJ42" i="8"/>
  <c r="BQ42" i="8"/>
  <c r="BY41" i="8"/>
  <c r="CH40" i="8"/>
  <c r="BO40" i="8"/>
  <c r="BW39" i="8"/>
  <c r="CF38" i="8"/>
  <c r="BK38" i="8"/>
  <c r="BT37" i="8"/>
  <c r="CC36" i="8"/>
  <c r="BI36" i="8"/>
  <c r="BR35" i="8"/>
  <c r="CA34" i="8"/>
  <c r="CI33" i="8"/>
  <c r="BP33" i="8"/>
  <c r="BX32" i="8"/>
  <c r="CG31" i="8"/>
  <c r="BL31" i="8"/>
  <c r="BV30" i="8"/>
  <c r="CD29" i="8"/>
  <c r="BJ29" i="8"/>
  <c r="BS28" i="8"/>
  <c r="CB27" i="8"/>
  <c r="CJ26" i="8"/>
  <c r="BQ26" i="8"/>
  <c r="BY25" i="8"/>
  <c r="CH24" i="8"/>
  <c r="BO24" i="8"/>
  <c r="BW23" i="8"/>
  <c r="CF22" i="8"/>
  <c r="BK22" i="8"/>
  <c r="BT21" i="8"/>
  <c r="CC20" i="8"/>
  <c r="BI20" i="8"/>
  <c r="BR19" i="8"/>
  <c r="CA18" i="8"/>
  <c r="CI17" i="8"/>
  <c r="BP17" i="8"/>
  <c r="BX16" i="8"/>
  <c r="CG15" i="8"/>
  <c r="BL15" i="8"/>
  <c r="CF14" i="8"/>
  <c r="BV14" i="8"/>
  <c r="BK14" i="8"/>
  <c r="CD13" i="8"/>
  <c r="BT13" i="8"/>
  <c r="BJ13" i="8"/>
  <c r="CC12" i="8"/>
  <c r="BS12" i="8"/>
  <c r="BI12" i="8"/>
  <c r="CB11" i="8"/>
  <c r="BR11" i="8"/>
  <c r="CJ10" i="8"/>
  <c r="CA10" i="8"/>
  <c r="BQ10" i="8"/>
  <c r="CI9" i="8"/>
  <c r="BY9" i="8"/>
  <c r="BP9" i="8"/>
  <c r="CH8" i="8"/>
  <c r="BX8" i="8"/>
  <c r="BO8" i="8"/>
  <c r="CG7" i="8"/>
  <c r="BW7" i="8"/>
  <c r="BL7" i="8"/>
  <c r="CF6" i="8"/>
  <c r="BV6" i="8"/>
  <c r="BZ6" i="8" s="1"/>
  <c r="BK6" i="8"/>
  <c r="CD5" i="8"/>
  <c r="BT5" i="8"/>
  <c r="BJ5" i="8"/>
  <c r="CC4" i="8"/>
  <c r="BS4" i="8"/>
  <c r="BV144" i="8"/>
  <c r="BZ144" i="8" s="1"/>
  <c r="BY139" i="8"/>
  <c r="BO138" i="8"/>
  <c r="BK136" i="8"/>
  <c r="BI134" i="8"/>
  <c r="CI131" i="8"/>
  <c r="BX130" i="8"/>
  <c r="BV128" i="8"/>
  <c r="BZ128" i="8" s="1"/>
  <c r="BJ127" i="8"/>
  <c r="CJ124" i="8"/>
  <c r="BY123" i="8"/>
  <c r="BO122" i="8"/>
  <c r="BK120" i="8"/>
  <c r="CC118" i="8"/>
  <c r="CA116" i="8"/>
  <c r="BP115" i="8"/>
  <c r="BL113" i="8"/>
  <c r="CD111" i="8"/>
  <c r="CB109" i="8"/>
  <c r="CJ108" i="8"/>
  <c r="BO106" i="8"/>
  <c r="CF104" i="8"/>
  <c r="BT103" i="8"/>
  <c r="BI102" i="8"/>
  <c r="CI99" i="8"/>
  <c r="BL97" i="8"/>
  <c r="BV96" i="8"/>
  <c r="BZ96" i="8" s="1"/>
  <c r="BJ95" i="8"/>
  <c r="CJ92" i="8"/>
  <c r="CH90" i="8"/>
  <c r="BW89" i="8"/>
  <c r="CC86" i="8"/>
  <c r="BR85" i="8"/>
  <c r="BP83" i="8"/>
  <c r="BV80" i="8"/>
  <c r="CD79" i="8"/>
  <c r="CC76" i="8"/>
  <c r="BR75" i="8"/>
  <c r="BX72" i="8"/>
  <c r="BV70" i="8"/>
  <c r="BJ69" i="8"/>
  <c r="CJ66" i="8"/>
  <c r="BY65" i="8"/>
  <c r="BW63" i="8"/>
  <c r="BK62" i="8"/>
  <c r="CC60" i="8"/>
  <c r="CA58" i="8"/>
  <c r="BP57" i="8"/>
  <c r="BX56" i="8"/>
  <c r="BL55" i="8"/>
  <c r="BJ53" i="8"/>
  <c r="CB51" i="8"/>
  <c r="BY49" i="8"/>
  <c r="BO48" i="8"/>
  <c r="BK46" i="8"/>
  <c r="CC44" i="8"/>
  <c r="CA42" i="8"/>
  <c r="BP41" i="8"/>
  <c r="BV38" i="8"/>
  <c r="BJ37" i="8"/>
  <c r="CJ34" i="8"/>
  <c r="BY33" i="8"/>
  <c r="BW31" i="8"/>
  <c r="BK30" i="8"/>
  <c r="BI28" i="8"/>
  <c r="CA26" i="8"/>
  <c r="BP25" i="8"/>
  <c r="CG23" i="8"/>
  <c r="CD21" i="8"/>
  <c r="BS20" i="8"/>
  <c r="BQ18" i="8"/>
  <c r="CH16" i="8"/>
  <c r="CJ14" i="8"/>
  <c r="BQ14" i="8"/>
  <c r="BP13" i="8"/>
  <c r="BX12" i="8"/>
  <c r="BW11" i="8"/>
  <c r="BV10" i="8"/>
  <c r="CD9" i="8"/>
  <c r="CC8" i="8"/>
  <c r="BI8" i="8"/>
  <c r="CA6" i="8"/>
  <c r="CI5" i="8"/>
  <c r="CH4" i="8"/>
  <c r="BL941" i="8"/>
  <c r="BK614" i="8"/>
  <c r="BY569" i="8"/>
  <c r="BJ525" i="8"/>
  <c r="CF502" i="8"/>
  <c r="CB495" i="8"/>
  <c r="BX484" i="8"/>
  <c r="CJ478" i="8"/>
  <c r="BQ462" i="8"/>
  <c r="BY445" i="8"/>
  <c r="CH428" i="8"/>
  <c r="CD417" i="8"/>
  <c r="BJ401" i="8"/>
  <c r="CI389" i="8"/>
  <c r="CF378" i="8"/>
  <c r="BK362" i="8"/>
  <c r="CJ350" i="8"/>
  <c r="BQ334" i="8"/>
  <c r="BL318" i="8"/>
  <c r="BV314" i="8"/>
  <c r="BZ314" i="8" s="1"/>
  <c r="CB309" i="8"/>
  <c r="BW305" i="8"/>
  <c r="BR301" i="8"/>
  <c r="BL297" i="8"/>
  <c r="CJ292" i="8"/>
  <c r="BO290" i="8"/>
  <c r="BI286" i="8"/>
  <c r="CG281" i="8"/>
  <c r="BJ279" i="8"/>
  <c r="CH274" i="8"/>
  <c r="CC270" i="8"/>
  <c r="CI267" i="8"/>
  <c r="CD263" i="8"/>
  <c r="CJ260" i="8"/>
  <c r="CF256" i="8"/>
  <c r="BI254" i="8"/>
  <c r="CG249" i="8"/>
  <c r="CB245" i="8"/>
  <c r="CH242" i="8"/>
  <c r="CC238" i="8"/>
  <c r="CI235" i="8"/>
  <c r="CD231" i="8"/>
  <c r="BY227" i="8"/>
  <c r="CF224" i="8"/>
  <c r="CA220" i="8"/>
  <c r="CG217" i="8"/>
  <c r="CB213" i="8"/>
  <c r="BW209" i="8"/>
  <c r="BR205" i="8"/>
  <c r="BX202" i="8"/>
  <c r="BS198" i="8"/>
  <c r="BO194" i="8"/>
  <c r="BT191" i="8"/>
  <c r="BT187" i="8"/>
  <c r="BI186" i="8"/>
  <c r="CI183" i="8"/>
  <c r="BX182" i="8"/>
  <c r="BV180" i="8"/>
  <c r="BS178" i="8"/>
  <c r="CJ176" i="8"/>
  <c r="CH174" i="8"/>
  <c r="BW173" i="8"/>
  <c r="BT171" i="8"/>
  <c r="BR169" i="8"/>
  <c r="CI167" i="8"/>
  <c r="CG165" i="8"/>
  <c r="BV164" i="8"/>
  <c r="BJ163" i="8"/>
  <c r="BQ160" i="8"/>
  <c r="CH158" i="8"/>
  <c r="CF156" i="8"/>
  <c r="BT155" i="8"/>
  <c r="BI154" i="8"/>
  <c r="CI151" i="8"/>
  <c r="CG149" i="8"/>
  <c r="BV148" i="8"/>
  <c r="BZ148" i="8" s="1"/>
  <c r="BS146" i="8"/>
  <c r="BY143" i="8"/>
  <c r="BO142" i="8"/>
  <c r="CF140" i="8"/>
  <c r="CC138" i="8"/>
  <c r="BR137" i="8"/>
  <c r="BP135" i="8"/>
  <c r="BL133" i="8"/>
  <c r="CD131" i="8"/>
  <c r="CB129" i="8"/>
  <c r="BQ128" i="8"/>
  <c r="BO126" i="8"/>
  <c r="BK124" i="8"/>
  <c r="CC122" i="8"/>
  <c r="CA120" i="8"/>
  <c r="BP119" i="8"/>
  <c r="BL117" i="8"/>
  <c r="CD115" i="8"/>
  <c r="CB113" i="8"/>
  <c r="BQ112" i="8"/>
  <c r="BO110" i="8"/>
  <c r="BK108" i="8"/>
  <c r="CC106" i="8"/>
  <c r="BR105" i="8"/>
  <c r="BP103" i="8"/>
  <c r="CG101" i="8"/>
  <c r="BV100" i="8"/>
  <c r="BJ99" i="8"/>
  <c r="CB97" i="8"/>
  <c r="BQ96" i="8"/>
  <c r="BY95" i="8"/>
  <c r="BO94" i="8"/>
  <c r="CF92" i="8"/>
  <c r="BT91" i="8"/>
  <c r="BI90" i="8"/>
  <c r="CA88" i="8"/>
  <c r="CI87" i="8"/>
  <c r="BX86" i="8"/>
  <c r="BL85" i="8"/>
  <c r="CD83" i="8"/>
  <c r="BS82" i="8"/>
  <c r="CJ80" i="8"/>
  <c r="BY79" i="8"/>
  <c r="BO78" i="8"/>
  <c r="BX76" i="8"/>
  <c r="BV74" i="8"/>
  <c r="BJ73" i="8"/>
  <c r="BS72" i="8"/>
  <c r="CJ70" i="8"/>
  <c r="BQ70" i="8"/>
  <c r="CH68" i="8"/>
  <c r="BO68" i="8"/>
  <c r="CF66" i="8"/>
  <c r="BK66" i="8"/>
  <c r="CC64" i="8"/>
  <c r="BR63" i="8"/>
  <c r="CI61" i="8"/>
  <c r="BX60" i="8"/>
  <c r="CG59" i="8"/>
  <c r="BV58" i="8"/>
  <c r="CD57" i="8"/>
  <c r="BS56" i="8"/>
  <c r="CB55" i="8"/>
  <c r="BQ54" i="8"/>
  <c r="BY53" i="8"/>
  <c r="BO52" i="8"/>
  <c r="BW51" i="8"/>
  <c r="CF50" i="8"/>
  <c r="BT49" i="8"/>
  <c r="CC48" i="8"/>
  <c r="BR47" i="8"/>
  <c r="CA46" i="8"/>
  <c r="BP45" i="8"/>
  <c r="BX44" i="8"/>
  <c r="BL43" i="8"/>
  <c r="BV42" i="8"/>
  <c r="BJ41" i="8"/>
  <c r="CB39" i="8"/>
  <c r="BQ38" i="8"/>
  <c r="BY37" i="8"/>
  <c r="BO36" i="8"/>
  <c r="BW35" i="8"/>
  <c r="BK34" i="8"/>
  <c r="BT33" i="8"/>
  <c r="BI32" i="8"/>
  <c r="BR31" i="8"/>
  <c r="CI29" i="8"/>
  <c r="BP29" i="8"/>
  <c r="CG27" i="8"/>
  <c r="BV26" i="8"/>
  <c r="BJ25" i="8"/>
  <c r="CB23" i="8"/>
  <c r="CJ22" i="8"/>
  <c r="BY21" i="8"/>
  <c r="BO20" i="8"/>
  <c r="BW19" i="8"/>
  <c r="BK18" i="8"/>
  <c r="BT17" i="8"/>
  <c r="CH14" i="8"/>
  <c r="BX14" i="8"/>
  <c r="CG13" i="8"/>
  <c r="BW13" i="8"/>
  <c r="CF12" i="8"/>
  <c r="BK12" i="8"/>
  <c r="CD11" i="8"/>
  <c r="BJ11" i="8"/>
  <c r="CC10" i="8"/>
  <c r="BI10" i="8"/>
  <c r="CB9" i="8"/>
  <c r="CJ8" i="8"/>
  <c r="CA8" i="8"/>
  <c r="CI7" i="8"/>
  <c r="BP7" i="8"/>
  <c r="BX6" i="8"/>
  <c r="BO6" i="8"/>
  <c r="BW5" i="8"/>
  <c r="BL5" i="8"/>
  <c r="BV4" i="8"/>
  <c r="BK4" i="8"/>
  <c r="CG651" i="8"/>
  <c r="CG591" i="8"/>
  <c r="BR547" i="8"/>
  <c r="CA530" i="8"/>
  <c r="BW519" i="8"/>
  <c r="BS508" i="8"/>
  <c r="BV498" i="8"/>
  <c r="BZ498" i="8" s="1"/>
  <c r="CH492" i="8"/>
  <c r="BR487" i="8"/>
  <c r="CD481" i="8"/>
  <c r="BO476" i="8"/>
  <c r="CA470" i="8"/>
  <c r="BJ465" i="8"/>
  <c r="BW459" i="8"/>
  <c r="CI453" i="8"/>
  <c r="BS448" i="8"/>
  <c r="CF442" i="8"/>
  <c r="BP437" i="8"/>
  <c r="CB431" i="8"/>
  <c r="BK426" i="8"/>
  <c r="BX420" i="8"/>
  <c r="CJ414" i="8"/>
  <c r="BT409" i="8"/>
  <c r="CG403" i="8"/>
  <c r="BQ398" i="8"/>
  <c r="CC392" i="8"/>
  <c r="BL387" i="8"/>
  <c r="BY381" i="8"/>
  <c r="BI376" i="8"/>
  <c r="BV370" i="8"/>
  <c r="BZ370" i="8" s="1"/>
  <c r="CH364" i="8"/>
  <c r="BR359" i="8"/>
  <c r="CD353" i="8"/>
  <c r="BO348" i="8"/>
  <c r="CA342" i="8"/>
  <c r="BJ337" i="8"/>
  <c r="BW331" i="8"/>
  <c r="CI325" i="8"/>
  <c r="BS320" i="8"/>
  <c r="BP317" i="8"/>
  <c r="BS315" i="8"/>
  <c r="BW313" i="8"/>
  <c r="CD311" i="8"/>
  <c r="BS310" i="8"/>
  <c r="CJ308" i="8"/>
  <c r="BY307" i="8"/>
  <c r="BO306" i="8"/>
  <c r="CF304" i="8"/>
  <c r="BT303" i="8"/>
  <c r="BI302" i="8"/>
  <c r="CA300" i="8"/>
  <c r="BP299" i="8"/>
  <c r="CG297" i="8"/>
  <c r="BV296" i="8"/>
  <c r="BZ296" i="8" s="1"/>
  <c r="BJ295" i="8"/>
  <c r="CB293" i="8"/>
  <c r="BQ292" i="8"/>
  <c r="CH290" i="8"/>
  <c r="BW289" i="8"/>
  <c r="BK288" i="8"/>
  <c r="CC286" i="8"/>
  <c r="BR285" i="8"/>
  <c r="CI283" i="8"/>
  <c r="BX282" i="8"/>
  <c r="BL281" i="8"/>
  <c r="CD279" i="8"/>
  <c r="BS278" i="8"/>
  <c r="CJ276" i="8"/>
  <c r="BY275" i="8"/>
  <c r="BO274" i="8"/>
  <c r="CF272" i="8"/>
  <c r="BT271" i="8"/>
  <c r="BI270" i="8"/>
  <c r="CA268" i="8"/>
  <c r="BP267" i="8"/>
  <c r="CG265" i="8"/>
  <c r="BV264" i="8"/>
  <c r="BJ263" i="8"/>
  <c r="CB261" i="8"/>
  <c r="BQ260" i="8"/>
  <c r="CH258" i="8"/>
  <c r="BW257" i="8"/>
  <c r="BK256" i="8"/>
  <c r="CC254" i="8"/>
  <c r="BR253" i="8"/>
  <c r="CI251" i="8"/>
  <c r="BX250" i="8"/>
  <c r="BL249" i="8"/>
  <c r="CD247" i="8"/>
  <c r="BS246" i="8"/>
  <c r="CJ244" i="8"/>
  <c r="BY243" i="8"/>
  <c r="BO242" i="8"/>
  <c r="CF240" i="8"/>
  <c r="BT239" i="8"/>
  <c r="BI238" i="8"/>
  <c r="CA236" i="8"/>
  <c r="BP235" i="8"/>
  <c r="CG233" i="8"/>
  <c r="BV232" i="8"/>
  <c r="BZ232" i="8" s="1"/>
  <c r="BJ231" i="8"/>
  <c r="CB229" i="8"/>
  <c r="BQ228" i="8"/>
  <c r="CH226" i="8"/>
  <c r="BW225" i="8"/>
  <c r="BK224" i="8"/>
  <c r="CC222" i="8"/>
  <c r="BR221" i="8"/>
  <c r="CI219" i="8"/>
  <c r="BX218" i="8"/>
  <c r="BL217" i="8"/>
  <c r="CD215" i="8"/>
  <c r="BS214" i="8"/>
  <c r="CJ212" i="8"/>
  <c r="BY211" i="8"/>
  <c r="BO210" i="8"/>
  <c r="CF208" i="8"/>
  <c r="BT207" i="8"/>
  <c r="BI206" i="8"/>
  <c r="CA204" i="8"/>
  <c r="BP203" i="8"/>
  <c r="CG201" i="8"/>
  <c r="BV200" i="8"/>
  <c r="BJ199" i="8"/>
  <c r="CB197" i="8"/>
  <c r="BQ196" i="8"/>
  <c r="CH194" i="8"/>
  <c r="BW193" i="8"/>
  <c r="BK192" i="8"/>
  <c r="CC190" i="8"/>
  <c r="BR189" i="8"/>
  <c r="CI187" i="8"/>
  <c r="BJ187" i="8"/>
  <c r="BS186" i="8"/>
  <c r="CB185" i="8"/>
  <c r="CJ184" i="8"/>
  <c r="BQ184" i="8"/>
  <c r="BY183" i="8"/>
  <c r="CH182" i="8"/>
  <c r="BO182" i="8"/>
  <c r="BW181" i="8"/>
  <c r="CF180" i="8"/>
  <c r="BK180" i="8"/>
  <c r="BT179" i="8"/>
  <c r="CC178" i="8"/>
  <c r="BI178" i="8"/>
  <c r="BR177" i="8"/>
  <c r="CA176" i="8"/>
  <c r="CI175" i="8"/>
  <c r="BP175" i="8"/>
  <c r="BX174" i="8"/>
  <c r="CG173" i="8"/>
  <c r="BL173" i="8"/>
  <c r="BV172" i="8"/>
  <c r="CD171" i="8"/>
  <c r="BJ171" i="8"/>
  <c r="BS170" i="8"/>
  <c r="CB169" i="8"/>
  <c r="CJ168" i="8"/>
  <c r="BQ168" i="8"/>
  <c r="BY167" i="8"/>
  <c r="CH166" i="8"/>
  <c r="BO166" i="8"/>
  <c r="BW165" i="8"/>
  <c r="CF164" i="8"/>
  <c r="BK164" i="8"/>
  <c r="BT163" i="8"/>
  <c r="CC162" i="8"/>
  <c r="BI162" i="8"/>
  <c r="BR161" i="8"/>
  <c r="CA160" i="8"/>
  <c r="CI159" i="8"/>
  <c r="BP159" i="8"/>
  <c r="BX158" i="8"/>
  <c r="CG157" i="8"/>
  <c r="BL157" i="8"/>
  <c r="BV156" i="8"/>
  <c r="BZ156" i="8" s="1"/>
  <c r="CD155" i="8"/>
  <c r="BJ155" i="8"/>
  <c r="BS154" i="8"/>
  <c r="CB153" i="8"/>
  <c r="CJ152" i="8"/>
  <c r="BQ152" i="8"/>
  <c r="BY151" i="8"/>
  <c r="CH150" i="8"/>
  <c r="BO150" i="8"/>
  <c r="BW149" i="8"/>
  <c r="CF148" i="8"/>
  <c r="BK148" i="8"/>
  <c r="BT147" i="8"/>
  <c r="CC146" i="8"/>
  <c r="BI146" i="8"/>
  <c r="BR145" i="8"/>
  <c r="CA144" i="8"/>
  <c r="CI143" i="8"/>
  <c r="BP143" i="8"/>
  <c r="BX142" i="8"/>
  <c r="CG141" i="8"/>
  <c r="BL141" i="8"/>
  <c r="BV140" i="8"/>
  <c r="BZ140" i="8" s="1"/>
  <c r="CD139" i="8"/>
  <c r="BJ139" i="8"/>
  <c r="BS138" i="8"/>
  <c r="CB137" i="8"/>
  <c r="CJ136" i="8"/>
  <c r="BQ136" i="8"/>
  <c r="BY135" i="8"/>
  <c r="CH134" i="8"/>
  <c r="BO134" i="8"/>
  <c r="BW133" i="8"/>
  <c r="CF132" i="8"/>
  <c r="BK132" i="8"/>
  <c r="BT131" i="8"/>
  <c r="CC130" i="8"/>
  <c r="BI130" i="8"/>
  <c r="BR129" i="8"/>
  <c r="CA128" i="8"/>
  <c r="CI127" i="8"/>
  <c r="BP127" i="8"/>
  <c r="BX126" i="8"/>
  <c r="CG125" i="8"/>
  <c r="BL125" i="8"/>
  <c r="BV124" i="8"/>
  <c r="CD123" i="8"/>
  <c r="BJ123" i="8"/>
  <c r="BS122" i="8"/>
  <c r="CB121" i="8"/>
  <c r="CJ120" i="8"/>
  <c r="BQ120" i="8"/>
  <c r="BY119" i="8"/>
  <c r="CH118" i="8"/>
  <c r="BO118" i="8"/>
  <c r="BW117" i="8"/>
  <c r="CF116" i="8"/>
  <c r="BK116" i="8"/>
  <c r="BT115" i="8"/>
  <c r="CC114" i="8"/>
  <c r="BI114" i="8"/>
  <c r="BR113" i="8"/>
  <c r="CA112" i="8"/>
  <c r="CI111" i="8"/>
  <c r="BP111" i="8"/>
  <c r="BX110" i="8"/>
  <c r="CG109" i="8"/>
  <c r="BL109" i="8"/>
  <c r="BV108" i="8"/>
  <c r="CD107" i="8"/>
  <c r="BJ107" i="8"/>
  <c r="BS106" i="8"/>
  <c r="CB105" i="8"/>
  <c r="CJ104" i="8"/>
  <c r="BQ104" i="8"/>
  <c r="BY103" i="8"/>
  <c r="CH102" i="8"/>
  <c r="BO102" i="8"/>
  <c r="BW101" i="8"/>
  <c r="CF100" i="8"/>
  <c r="BK100" i="8"/>
  <c r="BT99" i="8"/>
  <c r="CC98" i="8"/>
  <c r="BI98" i="8"/>
  <c r="BR97" i="8"/>
  <c r="CA96" i="8"/>
  <c r="CI95" i="8"/>
  <c r="BP95" i="8"/>
  <c r="BX94" i="8"/>
  <c r="CG93" i="8"/>
  <c r="BL93" i="8"/>
  <c r="BV92" i="8"/>
  <c r="BZ92" i="8" s="1"/>
  <c r="CD91" i="8"/>
  <c r="BJ91" i="8"/>
  <c r="BS90" i="8"/>
  <c r="CB89" i="8"/>
  <c r="CJ88" i="8"/>
  <c r="BQ88" i="8"/>
  <c r="BY87" i="8"/>
  <c r="CH86" i="8"/>
  <c r="BO86" i="8"/>
  <c r="BW85" i="8"/>
  <c r="CF84" i="8"/>
  <c r="BK84" i="8"/>
  <c r="BT83" i="8"/>
  <c r="CC82" i="8"/>
  <c r="BI82" i="8"/>
  <c r="BR81" i="8"/>
  <c r="CA80" i="8"/>
  <c r="CI79" i="8"/>
  <c r="BP79" i="8"/>
  <c r="BX78" i="8"/>
  <c r="BY77" i="8"/>
  <c r="CH76" i="8"/>
  <c r="BO76" i="8"/>
  <c r="BW75" i="8"/>
  <c r="CF74" i="8"/>
  <c r="BK74" i="8"/>
  <c r="BT73" i="8"/>
  <c r="CC72" i="8"/>
  <c r="BI72" i="8"/>
  <c r="BR71" i="8"/>
  <c r="CA70" i="8"/>
  <c r="CI69" i="8"/>
  <c r="BP69" i="8"/>
  <c r="BX68" i="8"/>
  <c r="CG67" i="8"/>
  <c r="BL67" i="8"/>
  <c r="BV66" i="8"/>
  <c r="CD65" i="8"/>
  <c r="BJ65" i="8"/>
  <c r="BS64" i="8"/>
  <c r="CB63" i="8"/>
  <c r="CJ62" i="8"/>
  <c r="BQ62" i="8"/>
  <c r="BY61" i="8"/>
  <c r="CH60" i="8"/>
  <c r="BO60" i="8"/>
  <c r="BW59" i="8"/>
  <c r="CF58" i="8"/>
  <c r="BK58" i="8"/>
  <c r="BT57" i="8"/>
  <c r="CC56" i="8"/>
  <c r="BI56" i="8"/>
  <c r="BR55" i="8"/>
  <c r="CA54" i="8"/>
  <c r="CI53" i="8"/>
  <c r="BP53" i="8"/>
  <c r="BX52" i="8"/>
  <c r="CG51" i="8"/>
  <c r="BL51" i="8"/>
  <c r="BV50" i="8"/>
  <c r="CD49" i="8"/>
  <c r="BJ49" i="8"/>
  <c r="BS48" i="8"/>
  <c r="CB47" i="8"/>
  <c r="CJ46" i="8"/>
  <c r="BQ46" i="8"/>
  <c r="BY45" i="8"/>
  <c r="CH44" i="8"/>
  <c r="BO44" i="8"/>
  <c r="BW43" i="8"/>
  <c r="CF42" i="8"/>
  <c r="BK42" i="8"/>
  <c r="BT41" i="8"/>
  <c r="CC40" i="8"/>
  <c r="BI40" i="8"/>
  <c r="BR39" i="8"/>
  <c r="CA38" i="8"/>
  <c r="CI37" i="8"/>
  <c r="BP37" i="8"/>
  <c r="BX36" i="8"/>
  <c r="CG35" i="8"/>
  <c r="BL35" i="8"/>
  <c r="BV34" i="8"/>
  <c r="CD33" i="8"/>
  <c r="BJ33" i="8"/>
  <c r="BS32" i="8"/>
  <c r="CB31" i="8"/>
  <c r="CJ30" i="8"/>
  <c r="BQ30" i="8"/>
  <c r="BY29" i="8"/>
  <c r="CH28" i="8"/>
  <c r="BO28" i="8"/>
  <c r="BW27" i="8"/>
  <c r="CF26" i="8"/>
  <c r="BK26" i="8"/>
  <c r="BT25" i="8"/>
  <c r="CC24" i="8"/>
  <c r="BI24" i="8"/>
  <c r="BR23" i="8"/>
  <c r="CA22" i="8"/>
  <c r="CI21" i="8"/>
  <c r="BP21" i="8"/>
  <c r="BX20" i="8"/>
  <c r="CG19" i="8"/>
  <c r="BL19" i="8"/>
  <c r="BV18" i="8"/>
  <c r="CD17" i="8"/>
  <c r="BJ17" i="8"/>
  <c r="BS16" i="8"/>
  <c r="CB15" i="8"/>
  <c r="BJ15" i="8"/>
  <c r="CC14" i="8"/>
  <c r="BS14" i="8"/>
  <c r="BI14" i="8"/>
  <c r="CB13" i="8"/>
  <c r="BR13" i="8"/>
  <c r="CJ12" i="8"/>
  <c r="CA12" i="8"/>
  <c r="BQ12" i="8"/>
  <c r="CI11" i="8"/>
  <c r="BY11" i="8"/>
  <c r="BP11" i="8"/>
  <c r="CH10" i="8"/>
  <c r="BX10" i="8"/>
  <c r="BO10" i="8"/>
  <c r="CG9" i="8"/>
  <c r="BW9" i="8"/>
  <c r="BL9" i="8"/>
  <c r="CF8" i="8"/>
  <c r="BV8" i="8"/>
  <c r="BK8" i="8"/>
  <c r="CD7" i="8"/>
  <c r="BT7" i="8"/>
  <c r="BJ7" i="8"/>
  <c r="CC6" i="8"/>
  <c r="BS6" i="8"/>
  <c r="BI6" i="8"/>
  <c r="CB5" i="8"/>
  <c r="BR5" i="8"/>
  <c r="CJ4" i="8"/>
  <c r="CA4" i="8"/>
  <c r="BQ4" i="8"/>
  <c r="CG145" i="8"/>
  <c r="BQ140" i="8"/>
  <c r="BW137" i="8"/>
  <c r="BT135" i="8"/>
  <c r="CC134" i="8"/>
  <c r="CA132" i="8"/>
  <c r="BP131" i="8"/>
  <c r="BL129" i="8"/>
  <c r="CD127" i="8"/>
  <c r="BS126" i="8"/>
  <c r="BQ124" i="8"/>
  <c r="CH122" i="8"/>
  <c r="CF120" i="8"/>
  <c r="BT119" i="8"/>
  <c r="BI118" i="8"/>
  <c r="CI115" i="8"/>
  <c r="BX114" i="8"/>
  <c r="BV112" i="8"/>
  <c r="BS110" i="8"/>
  <c r="BQ108" i="8"/>
  <c r="CH106" i="8"/>
  <c r="BK104" i="8"/>
  <c r="BR101" i="8"/>
  <c r="BP99" i="8"/>
  <c r="CG97" i="8"/>
  <c r="CD95" i="8"/>
  <c r="BS94" i="8"/>
  <c r="CB93" i="8"/>
  <c r="BQ92" i="8"/>
  <c r="BO90" i="8"/>
  <c r="CF88" i="8"/>
  <c r="BT87" i="8"/>
  <c r="BI86" i="8"/>
  <c r="CA84" i="8"/>
  <c r="BX82" i="8"/>
  <c r="CG81" i="8"/>
  <c r="BJ79" i="8"/>
  <c r="BT77" i="8"/>
  <c r="BI76" i="8"/>
  <c r="CI73" i="8"/>
  <c r="BL71" i="8"/>
  <c r="CD69" i="8"/>
  <c r="BS68" i="8"/>
  <c r="BQ66" i="8"/>
  <c r="CH64" i="8"/>
  <c r="CF62" i="8"/>
  <c r="BI60" i="8"/>
  <c r="CI57" i="8"/>
  <c r="CG55" i="8"/>
  <c r="BV54" i="8"/>
  <c r="BS52" i="8"/>
  <c r="BQ50" i="8"/>
  <c r="CH48" i="8"/>
  <c r="CF46" i="8"/>
  <c r="BT45" i="8"/>
  <c r="BI44" i="8"/>
  <c r="CI41" i="8"/>
  <c r="BX40" i="8"/>
  <c r="BL39" i="8"/>
  <c r="CD37" i="8"/>
  <c r="CB35" i="8"/>
  <c r="BQ34" i="8"/>
  <c r="BO32" i="8"/>
  <c r="CF30" i="8"/>
  <c r="CC28" i="8"/>
  <c r="BR27" i="8"/>
  <c r="BX24" i="8"/>
  <c r="BL23" i="8"/>
  <c r="BJ21" i="8"/>
  <c r="CB19" i="8"/>
  <c r="BY17" i="8"/>
  <c r="BO16" i="8"/>
  <c r="CA14" i="8"/>
  <c r="CI13" i="8"/>
  <c r="CH12" i="8"/>
  <c r="BO12" i="8"/>
  <c r="BL11" i="8"/>
  <c r="BK10" i="8"/>
  <c r="BT9" i="8"/>
  <c r="BS8" i="8"/>
  <c r="CB7" i="8"/>
  <c r="CJ6" i="8"/>
  <c r="BQ6" i="8"/>
  <c r="BP5" i="8"/>
  <c r="BO4" i="8"/>
  <c r="CI513" i="8"/>
  <c r="BT473" i="8"/>
  <c r="CC456" i="8"/>
  <c r="BI440" i="8"/>
  <c r="BR423" i="8"/>
  <c r="CA406" i="8"/>
  <c r="BW395" i="8"/>
  <c r="BP373" i="8"/>
  <c r="BX356" i="8"/>
  <c r="BT345" i="8"/>
  <c r="CC328" i="8"/>
  <c r="BQ316" i="8"/>
  <c r="BY312" i="8"/>
  <c r="BQ308" i="8"/>
  <c r="BK304" i="8"/>
  <c r="CI299" i="8"/>
  <c r="BX298" i="8"/>
  <c r="BS294" i="8"/>
  <c r="BY291" i="8"/>
  <c r="BT287" i="8"/>
  <c r="CA284" i="8"/>
  <c r="BV280" i="8"/>
  <c r="BZ280" i="8" s="1"/>
  <c r="CB277" i="8"/>
  <c r="BW273" i="8"/>
  <c r="BR269" i="8"/>
  <c r="BX266" i="8"/>
  <c r="BS262" i="8"/>
  <c r="BY259" i="8"/>
  <c r="BT255" i="8"/>
  <c r="CA252" i="8"/>
  <c r="BV248" i="8"/>
  <c r="BQ244" i="8"/>
  <c r="BW241" i="8"/>
  <c r="BR237" i="8"/>
  <c r="BX234" i="8"/>
  <c r="BS230" i="8"/>
  <c r="BO226" i="8"/>
  <c r="BT223" i="8"/>
  <c r="BP219" i="8"/>
  <c r="BJ215" i="8"/>
  <c r="BQ212" i="8"/>
  <c r="BK208" i="8"/>
  <c r="CI203" i="8"/>
  <c r="BL201" i="8"/>
  <c r="CJ196" i="8"/>
  <c r="CF192" i="8"/>
  <c r="CA188" i="8"/>
  <c r="CC186" i="8"/>
  <c r="CA184" i="8"/>
  <c r="BP183" i="8"/>
  <c r="BL181" i="8"/>
  <c r="CD179" i="8"/>
  <c r="CB177" i="8"/>
  <c r="BQ176" i="8"/>
  <c r="BO174" i="8"/>
  <c r="BK172" i="8"/>
  <c r="CC170" i="8"/>
  <c r="CA168" i="8"/>
  <c r="BX166" i="8"/>
  <c r="BL165" i="8"/>
  <c r="BS162" i="8"/>
  <c r="CJ160" i="8"/>
  <c r="BY159" i="8"/>
  <c r="BW157" i="8"/>
  <c r="CC154" i="8"/>
  <c r="BR153" i="8"/>
  <c r="BP151" i="8"/>
  <c r="BL149" i="8"/>
  <c r="CD147" i="8"/>
  <c r="CB145" i="8"/>
  <c r="BQ144" i="8"/>
  <c r="BW141" i="8"/>
  <c r="BK140" i="8"/>
  <c r="BI138" i="8"/>
  <c r="CI135" i="8"/>
  <c r="BX134" i="8"/>
  <c r="BV132" i="8"/>
  <c r="BS130" i="8"/>
  <c r="CJ128" i="8"/>
  <c r="CH126" i="8"/>
  <c r="BW125" i="8"/>
  <c r="BT123" i="8"/>
  <c r="BR121" i="8"/>
  <c r="CI119" i="8"/>
  <c r="CG117" i="8"/>
  <c r="BV116" i="8"/>
  <c r="BS114" i="8"/>
  <c r="CJ112" i="8"/>
  <c r="CH110" i="8"/>
  <c r="BW109" i="8"/>
  <c r="BT107" i="8"/>
  <c r="CA104" i="8"/>
  <c r="CI103" i="8"/>
  <c r="BY629" i="8"/>
  <c r="CC580" i="8"/>
  <c r="CJ538" i="8"/>
  <c r="CG527" i="8"/>
  <c r="CC516" i="8"/>
  <c r="BY505" i="8"/>
  <c r="BJ497" i="8"/>
  <c r="BW491" i="8"/>
  <c r="CI485" i="8"/>
  <c r="BS480" i="8"/>
  <c r="CF474" i="8"/>
  <c r="BP469" i="8"/>
  <c r="CB463" i="8"/>
  <c r="BK458" i="8"/>
  <c r="BX452" i="8"/>
  <c r="CJ446" i="8"/>
  <c r="BT441" i="8"/>
  <c r="CG435" i="8"/>
  <c r="BQ430" i="8"/>
  <c r="CC424" i="8"/>
  <c r="BL419" i="8"/>
  <c r="BY413" i="8"/>
  <c r="BI408" i="8"/>
  <c r="BV402" i="8"/>
  <c r="CH396" i="8"/>
  <c r="BR391" i="8"/>
  <c r="CD385" i="8"/>
  <c r="BO380" i="8"/>
  <c r="CA374" i="8"/>
  <c r="BJ369" i="8"/>
  <c r="BW363" i="8"/>
  <c r="CI357" i="8"/>
  <c r="BS352" i="8"/>
  <c r="CF346" i="8"/>
  <c r="BP341" i="8"/>
  <c r="CB335" i="8"/>
  <c r="BK330" i="8"/>
  <c r="BX324" i="8"/>
  <c r="CJ318" i="8"/>
  <c r="CD316" i="8"/>
  <c r="CH314" i="8"/>
  <c r="BJ313" i="8"/>
  <c r="BT311" i="8"/>
  <c r="BI310" i="8"/>
  <c r="CA308" i="8"/>
  <c r="BP307" i="8"/>
  <c r="CG305" i="8"/>
  <c r="BV304" i="8"/>
  <c r="BZ304" i="8" s="1"/>
  <c r="BJ303" i="8"/>
  <c r="CB301" i="8"/>
  <c r="BQ300" i="8"/>
  <c r="CH298" i="8"/>
  <c r="BW297" i="8"/>
  <c r="BK296" i="8"/>
  <c r="CC294" i="8"/>
  <c r="BR293" i="8"/>
  <c r="CI291" i="8"/>
  <c r="BX290" i="8"/>
  <c r="BL289" i="8"/>
  <c r="CD287" i="8"/>
  <c r="BS286" i="8"/>
  <c r="CJ284" i="8"/>
  <c r="BY283" i="8"/>
  <c r="BO282" i="8"/>
  <c r="CF280" i="8"/>
  <c r="BT279" i="8"/>
  <c r="BI278" i="8"/>
  <c r="CA276" i="8"/>
  <c r="BP275" i="8"/>
  <c r="CG273" i="8"/>
  <c r="BV272" i="8"/>
  <c r="BJ271" i="8"/>
  <c r="CB269" i="8"/>
  <c r="BQ268" i="8"/>
  <c r="CH266" i="8"/>
  <c r="BW265" i="8"/>
  <c r="BK264" i="8"/>
  <c r="CC262" i="8"/>
  <c r="BR261" i="8"/>
  <c r="CI259" i="8"/>
  <c r="BX258" i="8"/>
  <c r="BL257" i="8"/>
  <c r="CD255" i="8"/>
  <c r="BS254" i="8"/>
  <c r="CJ252" i="8"/>
  <c r="BY251" i="8"/>
  <c r="BO250" i="8"/>
  <c r="CF248" i="8"/>
  <c r="BT247" i="8"/>
  <c r="BI246" i="8"/>
  <c r="CA244" i="8"/>
  <c r="BP243" i="8"/>
  <c r="CG241" i="8"/>
  <c r="BV240" i="8"/>
  <c r="BZ240" i="8" s="1"/>
  <c r="BJ239" i="8"/>
  <c r="CB237" i="8"/>
  <c r="BQ236" i="8"/>
  <c r="CH234" i="8"/>
  <c r="BW233" i="8"/>
  <c r="BK232" i="8"/>
  <c r="CC230" i="8"/>
  <c r="BR229" i="8"/>
  <c r="CI227" i="8"/>
  <c r="BX226" i="8"/>
  <c r="BL225" i="8"/>
  <c r="CD223" i="8"/>
  <c r="BS222" i="8"/>
  <c r="CJ220" i="8"/>
  <c r="BY219" i="8"/>
  <c r="BO218" i="8"/>
  <c r="CF216" i="8"/>
  <c r="BT215" i="8"/>
  <c r="BI214" i="8"/>
  <c r="CA212" i="8"/>
  <c r="BP211" i="8"/>
  <c r="CG209" i="8"/>
  <c r="BV208" i="8"/>
  <c r="BZ208" i="8" s="1"/>
  <c r="BJ207" i="8"/>
  <c r="CB205" i="8"/>
  <c r="BQ204" i="8"/>
  <c r="CH202" i="8"/>
  <c r="BW201" i="8"/>
  <c r="BK200" i="8"/>
  <c r="CC198" i="8"/>
  <c r="BR197" i="8"/>
  <c r="CI195" i="8"/>
  <c r="BX194" i="8"/>
  <c r="BL193" i="8"/>
  <c r="CD191" i="8"/>
  <c r="BS190" i="8"/>
  <c r="CJ188" i="8"/>
  <c r="BY187" i="8"/>
  <c r="CH186" i="8"/>
  <c r="BO186" i="8"/>
  <c r="BW185" i="8"/>
  <c r="CF184" i="8"/>
  <c r="BK184" i="8"/>
  <c r="BT183" i="8"/>
  <c r="CC182" i="8"/>
  <c r="BI182" i="8"/>
  <c r="BR181" i="8"/>
  <c r="CA180" i="8"/>
  <c r="CI179" i="8"/>
  <c r="BP179" i="8"/>
  <c r="BX178" i="8"/>
  <c r="CG177" i="8"/>
  <c r="BL177" i="8"/>
  <c r="BV176" i="8"/>
  <c r="CD175" i="8"/>
  <c r="BJ175" i="8"/>
  <c r="BS174" i="8"/>
  <c r="CB173" i="8"/>
  <c r="CJ172" i="8"/>
  <c r="BQ172" i="8"/>
  <c r="BY171" i="8"/>
  <c r="CH170" i="8"/>
  <c r="BO170" i="8"/>
  <c r="BW169" i="8"/>
  <c r="CF168" i="8"/>
  <c r="BK168" i="8"/>
  <c r="BT167" i="8"/>
  <c r="CC166" i="8"/>
  <c r="BI166" i="8"/>
  <c r="BR165" i="8"/>
  <c r="CA164" i="8"/>
  <c r="CI163" i="8"/>
  <c r="BP163" i="8"/>
  <c r="BX162" i="8"/>
  <c r="CG161" i="8"/>
  <c r="BL161" i="8"/>
  <c r="BV160" i="8"/>
  <c r="CD159" i="8"/>
  <c r="BJ159" i="8"/>
  <c r="BS158" i="8"/>
  <c r="CB157" i="8"/>
  <c r="CJ156" i="8"/>
  <c r="BQ156" i="8"/>
  <c r="BY155" i="8"/>
  <c r="CH154" i="8"/>
  <c r="BO154" i="8"/>
  <c r="BW153" i="8"/>
  <c r="CF152" i="8"/>
  <c r="BK152" i="8"/>
  <c r="BT151" i="8"/>
  <c r="CC150" i="8"/>
  <c r="BI150" i="8"/>
  <c r="BR149" i="8"/>
  <c r="CA148" i="8"/>
  <c r="CI147" i="8"/>
  <c r="BP147" i="8"/>
  <c r="BX146" i="8"/>
  <c r="BL145" i="8"/>
  <c r="CD143" i="8"/>
  <c r="BJ143" i="8"/>
  <c r="BS142" i="8"/>
  <c r="CB141" i="8"/>
  <c r="CJ140" i="8"/>
  <c r="CH138" i="8"/>
  <c r="CF136" i="8"/>
  <c r="BR133" i="8"/>
  <c r="CG129" i="8"/>
  <c r="CB125" i="8"/>
  <c r="BW121" i="8"/>
  <c r="BR117" i="8"/>
  <c r="CG113" i="8"/>
  <c r="BJ111" i="8"/>
  <c r="BY107" i="8"/>
  <c r="BW105" i="8"/>
  <c r="CC102" i="8"/>
  <c r="CA100" i="8"/>
  <c r="BX98" i="8"/>
  <c r="BY91" i="8"/>
  <c r="BK88" i="8"/>
  <c r="CI83" i="8"/>
  <c r="BL81" i="8"/>
  <c r="BS78" i="8"/>
  <c r="CA74" i="8"/>
  <c r="BP73" i="8"/>
  <c r="CG71" i="8"/>
  <c r="CB67" i="8"/>
  <c r="BO64" i="8"/>
  <c r="BT61" i="8"/>
  <c r="BR59" i="8"/>
  <c r="CD53" i="8"/>
  <c r="CJ50" i="8"/>
  <c r="BW47" i="8"/>
  <c r="BR43" i="8"/>
  <c r="CG39" i="8"/>
  <c r="BS36" i="8"/>
  <c r="CH32" i="8"/>
  <c r="BT29" i="8"/>
  <c r="CI25" i="8"/>
  <c r="BV22" i="8"/>
  <c r="CJ18" i="8"/>
  <c r="BW15" i="8"/>
  <c r="BY13" i="8"/>
  <c r="CG11" i="8"/>
  <c r="CF10" i="8"/>
  <c r="BJ9" i="8"/>
  <c r="BR7" i="8"/>
  <c r="BY5" i="8"/>
  <c r="BX4" i="8"/>
  <c r="BO536" i="8"/>
  <c r="BK490" i="8"/>
  <c r="CG467" i="8"/>
  <c r="BL451" i="8"/>
  <c r="BV434" i="8"/>
  <c r="BZ434" i="8" s="1"/>
  <c r="BO412" i="8"/>
  <c r="BS384" i="8"/>
  <c r="CB367" i="8"/>
  <c r="CG339" i="8"/>
  <c r="BL323" i="8"/>
  <c r="BJ311" i="8"/>
  <c r="CH306" i="8"/>
  <c r="CC302" i="8"/>
  <c r="CD295" i="8"/>
  <c r="CF288" i="8"/>
  <c r="BP283" i="8"/>
  <c r="BQ276" i="8"/>
  <c r="BK272" i="8"/>
  <c r="BL265" i="8"/>
  <c r="BO258" i="8"/>
  <c r="BP251" i="8"/>
  <c r="BJ247" i="8"/>
  <c r="BK240" i="8"/>
  <c r="BL233" i="8"/>
  <c r="CJ228" i="8"/>
  <c r="BI222" i="8"/>
  <c r="BV216" i="8"/>
  <c r="BZ216" i="8" s="1"/>
  <c r="CH210" i="8"/>
  <c r="CC206" i="8"/>
  <c r="CD199" i="8"/>
  <c r="BY195" i="8"/>
  <c r="BI190" i="8"/>
  <c r="BR185" i="8"/>
  <c r="CG181" i="8"/>
  <c r="BJ179" i="8"/>
  <c r="BY175" i="8"/>
  <c r="CF172" i="8"/>
  <c r="BI170" i="8"/>
  <c r="BP167" i="8"/>
  <c r="CD163" i="8"/>
  <c r="CB161" i="8"/>
  <c r="BO158" i="8"/>
  <c r="BK156" i="8"/>
  <c r="CA152" i="8"/>
  <c r="BX150" i="8"/>
  <c r="BJ147" i="8"/>
  <c r="CJ144" i="8"/>
  <c r="CH142" i="8"/>
  <c r="BT139" i="8"/>
  <c r="CA136" i="8"/>
  <c r="CG133" i="8"/>
  <c r="BJ131" i="8"/>
  <c r="BY127" i="8"/>
  <c r="CF124" i="8"/>
  <c r="BI122" i="8"/>
  <c r="BX118" i="8"/>
  <c r="BJ115" i="8"/>
  <c r="BY111" i="8"/>
  <c r="CF108" i="8"/>
  <c r="BI106" i="8"/>
  <c r="BX102" i="8"/>
  <c r="BL101" i="8"/>
  <c r="CD99" i="8"/>
  <c r="BS98" i="8"/>
  <c r="CJ96" i="8"/>
  <c r="CH94" i="8"/>
  <c r="BW93" i="8"/>
  <c r="BK92" i="8"/>
  <c r="CC90" i="8"/>
  <c r="BR89" i="8"/>
  <c r="BP87" i="8"/>
  <c r="CG85" i="8"/>
  <c r="BV84" i="8"/>
  <c r="BZ84" i="8" s="1"/>
  <c r="BJ83" i="8"/>
  <c r="CB81" i="8"/>
  <c r="BQ80" i="8"/>
  <c r="CH78" i="8"/>
  <c r="CI77" i="8"/>
  <c r="BP77" i="8"/>
  <c r="CG75" i="8"/>
  <c r="BL75" i="8"/>
  <c r="CD73" i="8"/>
  <c r="CB71" i="8"/>
  <c r="BY69" i="8"/>
  <c r="BW67" i="8"/>
  <c r="BT65" i="8"/>
  <c r="BI64" i="8"/>
  <c r="CA62" i="8"/>
  <c r="BP61" i="8"/>
  <c r="BL59" i="8"/>
  <c r="BJ57" i="8"/>
  <c r="CJ54" i="8"/>
  <c r="CH52" i="8"/>
  <c r="BK50" i="8"/>
  <c r="BI48" i="8"/>
  <c r="CI45" i="8"/>
  <c r="CG43" i="8"/>
  <c r="CD41" i="8"/>
  <c r="BS40" i="8"/>
  <c r="CJ38" i="8"/>
  <c r="CH36" i="8"/>
  <c r="CF34" i="8"/>
  <c r="CC32" i="8"/>
  <c r="CA30" i="8"/>
  <c r="BX28" i="8"/>
  <c r="BL27" i="8"/>
  <c r="CD25" i="8"/>
  <c r="BS24" i="8"/>
  <c r="BQ22" i="8"/>
  <c r="CH20" i="8"/>
  <c r="CF18" i="8"/>
  <c r="CC16" i="8"/>
  <c r="BR15" i="8"/>
  <c r="BO14" i="8"/>
  <c r="BL13" i="8"/>
  <c r="BV12" i="8"/>
  <c r="BT11" i="8"/>
  <c r="BS10" i="8"/>
  <c r="BR9" i="8"/>
  <c r="BQ8" i="8"/>
  <c r="BY7" i="8"/>
  <c r="CH6" i="8"/>
  <c r="CG5" i="8"/>
  <c r="CF4" i="8"/>
  <c r="C138" i="4"/>
  <c r="C90" i="4"/>
  <c r="C43" i="4"/>
  <c r="C282" i="4"/>
  <c r="C202" i="4"/>
  <c r="C74" i="4"/>
  <c r="C155" i="4"/>
  <c r="C91" i="4"/>
  <c r="C27" i="4"/>
  <c r="C298" i="4"/>
  <c r="C234" i="4"/>
  <c r="C154" i="4"/>
  <c r="C26" i="4"/>
  <c r="C6" i="4"/>
  <c r="C186" i="4"/>
  <c r="C122" i="4"/>
  <c r="C58" i="4"/>
  <c r="C106" i="4"/>
  <c r="CJ3" i="8"/>
  <c r="C14" i="4"/>
  <c r="C30" i="4"/>
  <c r="C46" i="4"/>
  <c r="C62" i="4"/>
  <c r="C78" i="4"/>
  <c r="C94" i="4"/>
  <c r="C110" i="4"/>
  <c r="C126" i="4"/>
  <c r="C142" i="4"/>
  <c r="C158" i="4"/>
  <c r="C174" i="4"/>
  <c r="C190" i="4"/>
  <c r="C206" i="4"/>
  <c r="C222" i="4"/>
  <c r="C238" i="4"/>
  <c r="C254" i="4"/>
  <c r="C270" i="4"/>
  <c r="C286" i="4"/>
  <c r="C302" i="4"/>
  <c r="C318" i="4"/>
  <c r="C334" i="4"/>
  <c r="C15" i="4"/>
  <c r="C31" i="4"/>
  <c r="C47" i="4"/>
  <c r="C63" i="4"/>
  <c r="C79" i="4"/>
  <c r="C95" i="4"/>
  <c r="C111" i="4"/>
  <c r="C127" i="4"/>
  <c r="C143" i="4"/>
  <c r="C159" i="4"/>
  <c r="C175" i="4"/>
  <c r="C191" i="4"/>
  <c r="C207" i="4"/>
  <c r="C223" i="4"/>
  <c r="C239" i="4"/>
  <c r="C255" i="4"/>
  <c r="C271" i="4"/>
  <c r="C287" i="4"/>
  <c r="C303" i="4"/>
  <c r="C319" i="4"/>
  <c r="C335" i="4"/>
  <c r="C12" i="4"/>
  <c r="C28" i="4"/>
  <c r="C44" i="4"/>
  <c r="C60" i="4"/>
  <c r="C76" i="4"/>
  <c r="C92" i="4"/>
  <c r="C108" i="4"/>
  <c r="C124" i="4"/>
  <c r="C140" i="4"/>
  <c r="C156" i="4"/>
  <c r="C172" i="4"/>
  <c r="C188" i="4"/>
  <c r="C204" i="4"/>
  <c r="C220" i="4"/>
  <c r="C236" i="4"/>
  <c r="C252" i="4"/>
  <c r="C268" i="4"/>
  <c r="C284" i="4"/>
  <c r="C300" i="4"/>
  <c r="C316" i="4"/>
  <c r="C13" i="4"/>
  <c r="C29" i="4"/>
  <c r="C45" i="4"/>
  <c r="C61" i="4"/>
  <c r="C77" i="4"/>
  <c r="C93" i="4"/>
  <c r="C109" i="4"/>
  <c r="C125" i="4"/>
  <c r="C141" i="4"/>
  <c r="C157" i="4"/>
  <c r="C173" i="4"/>
  <c r="C189" i="4"/>
  <c r="C205" i="4"/>
  <c r="C221" i="4"/>
  <c r="C237" i="4"/>
  <c r="C253" i="4"/>
  <c r="C269" i="4"/>
  <c r="C285" i="4"/>
  <c r="C301" i="4"/>
  <c r="C317" i="4"/>
  <c r="C333" i="4"/>
  <c r="C346" i="4"/>
  <c r="C362" i="4"/>
  <c r="C18" i="4"/>
  <c r="C34" i="4"/>
  <c r="C50" i="4"/>
  <c r="C66" i="4"/>
  <c r="C82" i="4"/>
  <c r="C98" i="4"/>
  <c r="C114" i="4"/>
  <c r="C130" i="4"/>
  <c r="C146" i="4"/>
  <c r="C162" i="4"/>
  <c r="C178" i="4"/>
  <c r="C194" i="4"/>
  <c r="C210" i="4"/>
  <c r="C226" i="4"/>
  <c r="C242" i="4"/>
  <c r="C258" i="4"/>
  <c r="C274" i="4"/>
  <c r="C290" i="4"/>
  <c r="C306" i="4"/>
  <c r="C322" i="4"/>
  <c r="C3" i="4"/>
  <c r="C19" i="4"/>
  <c r="C35" i="4"/>
  <c r="C51" i="4"/>
  <c r="C67" i="4"/>
  <c r="C83" i="4"/>
  <c r="C99" i="4"/>
  <c r="C115" i="4"/>
  <c r="C131" i="4"/>
  <c r="C147" i="4"/>
  <c r="C163" i="4"/>
  <c r="C179" i="4"/>
  <c r="C195" i="4"/>
  <c r="C211" i="4"/>
  <c r="C227" i="4"/>
  <c r="C243" i="4"/>
  <c r="C259" i="4"/>
  <c r="C275" i="4"/>
  <c r="C291" i="4"/>
  <c r="C307" i="4"/>
  <c r="C323" i="4"/>
  <c r="C339" i="4"/>
  <c r="C16" i="4"/>
  <c r="C32" i="4"/>
  <c r="C48" i="4"/>
  <c r="C64" i="4"/>
  <c r="C80" i="4"/>
  <c r="C96" i="4"/>
  <c r="C112" i="4"/>
  <c r="C128" i="4"/>
  <c r="C144" i="4"/>
  <c r="C160" i="4"/>
  <c r="C176" i="4"/>
  <c r="C192" i="4"/>
  <c r="C208" i="4"/>
  <c r="C224" i="4"/>
  <c r="C240" i="4"/>
  <c r="C256" i="4"/>
  <c r="C272" i="4"/>
  <c r="C288" i="4"/>
  <c r="C304" i="4"/>
  <c r="C320" i="4"/>
  <c r="C17" i="4"/>
  <c r="C33" i="4"/>
  <c r="C49" i="4"/>
  <c r="C65" i="4"/>
  <c r="C81" i="4"/>
  <c r="C97" i="4"/>
  <c r="C113" i="4"/>
  <c r="C129" i="4"/>
  <c r="C145" i="4"/>
  <c r="C161" i="4"/>
  <c r="C177" i="4"/>
  <c r="C193" i="4"/>
  <c r="C209" i="4"/>
  <c r="C225" i="4"/>
  <c r="C241" i="4"/>
  <c r="C257" i="4"/>
  <c r="C273" i="4"/>
  <c r="C289" i="4"/>
  <c r="C305" i="4"/>
  <c r="C321" i="4"/>
  <c r="C324" i="4"/>
  <c r="C350" i="4"/>
  <c r="C366" i="4"/>
  <c r="C2" i="4"/>
  <c r="C22" i="4"/>
  <c r="C38" i="4"/>
  <c r="C54" i="4"/>
  <c r="C70" i="4"/>
  <c r="C86" i="4"/>
  <c r="C102" i="4"/>
  <c r="C118" i="4"/>
  <c r="C134" i="4"/>
  <c r="C150" i="4"/>
  <c r="C166" i="4"/>
  <c r="C182" i="4"/>
  <c r="C198" i="4"/>
  <c r="C214" i="4"/>
  <c r="C230" i="4"/>
  <c r="C246" i="4"/>
  <c r="C262" i="4"/>
  <c r="C278" i="4"/>
  <c r="C294" i="4"/>
  <c r="C310" i="4"/>
  <c r="C326" i="4"/>
  <c r="C7" i="4"/>
  <c r="C23" i="4"/>
  <c r="C39" i="4"/>
  <c r="C55" i="4"/>
  <c r="C71" i="4"/>
  <c r="C87" i="4"/>
  <c r="C103" i="4"/>
  <c r="C119" i="4"/>
  <c r="C135" i="4"/>
  <c r="C151" i="4"/>
  <c r="C167" i="4"/>
  <c r="C183" i="4"/>
  <c r="C199" i="4"/>
  <c r="C215" i="4"/>
  <c r="C231" i="4"/>
  <c r="C247" i="4"/>
  <c r="C263" i="4"/>
  <c r="C279" i="4"/>
  <c r="C295" i="4"/>
  <c r="C311" i="4"/>
  <c r="C327" i="4"/>
  <c r="C4" i="4"/>
  <c r="C20" i="4"/>
  <c r="C36" i="4"/>
  <c r="C52" i="4"/>
  <c r="C68" i="4"/>
  <c r="C84" i="4"/>
  <c r="C100" i="4"/>
  <c r="C116" i="4"/>
  <c r="C132" i="4"/>
  <c r="C148" i="4"/>
  <c r="C164" i="4"/>
  <c r="C180" i="4"/>
  <c r="C196" i="4"/>
  <c r="C212" i="4"/>
  <c r="C228" i="4"/>
  <c r="C244" i="4"/>
  <c r="C260" i="4"/>
  <c r="C276" i="4"/>
  <c r="C292" i="4"/>
  <c r="C308" i="4"/>
  <c r="C5" i="4"/>
  <c r="C21" i="4"/>
  <c r="C37" i="4"/>
  <c r="C53" i="4"/>
  <c r="C69" i="4"/>
  <c r="C85" i="4"/>
  <c r="C101" i="4"/>
  <c r="C117" i="4"/>
  <c r="C133" i="4"/>
  <c r="BQ3" i="8"/>
  <c r="C10" i="4"/>
  <c r="AG21" i="7"/>
  <c r="AG25" i="7"/>
  <c r="AG22" i="7"/>
  <c r="AG19" i="7"/>
  <c r="AG23" i="7"/>
  <c r="AG20" i="7"/>
  <c r="AG24" i="7"/>
  <c r="BO3" i="8"/>
  <c r="CE430" i="8" l="1"/>
  <c r="CE438" i="8"/>
  <c r="CE374" i="8"/>
  <c r="CE406" i="8"/>
  <c r="BN684" i="8"/>
  <c r="BU298" i="8"/>
  <c r="BN564" i="8"/>
  <c r="CE514" i="8"/>
  <c r="CE494" i="8"/>
  <c r="BN532" i="8"/>
  <c r="CE578" i="8"/>
  <c r="BU536" i="8"/>
  <c r="CE530" i="8"/>
  <c r="BN500" i="8"/>
  <c r="CE594" i="8"/>
  <c r="CE66" i="8"/>
  <c r="BU520" i="8"/>
  <c r="CE104" i="8"/>
  <c r="CE80" i="8"/>
  <c r="CE144" i="8"/>
  <c r="BU247" i="8"/>
  <c r="BU279" i="8"/>
  <c r="BU311" i="8"/>
  <c r="CE88" i="8"/>
  <c r="BZ172" i="8"/>
  <c r="CE268" i="8"/>
  <c r="CE108" i="8"/>
  <c r="CE172" i="8"/>
  <c r="CE217" i="8"/>
  <c r="CE249" i="8"/>
  <c r="CE281" i="8"/>
  <c r="CE326" i="8"/>
  <c r="BN360" i="8"/>
  <c r="CE454" i="8"/>
  <c r="BN488" i="8"/>
  <c r="BZ32" i="8"/>
  <c r="BU258" i="8"/>
  <c r="CE100" i="8"/>
  <c r="CE180" i="8"/>
  <c r="CE212" i="8"/>
  <c r="BN246" i="8"/>
  <c r="CE54" i="8"/>
  <c r="BU476" i="8"/>
  <c r="CE116" i="8"/>
  <c r="CE470" i="8"/>
  <c r="BN472" i="8"/>
  <c r="CE201" i="8"/>
  <c r="CE233" i="8"/>
  <c r="CE265" i="8"/>
  <c r="CE297" i="8"/>
  <c r="CE62" i="8"/>
  <c r="CK346" i="8"/>
  <c r="BZ200" i="8"/>
  <c r="CE342" i="8"/>
  <c r="CK378" i="8"/>
  <c r="BZ402" i="8"/>
  <c r="BZ54" i="8"/>
  <c r="BZ34" i="8"/>
  <c r="BN254" i="8"/>
  <c r="BZ74" i="8"/>
  <c r="BZ26" i="8"/>
  <c r="BZ10" i="8"/>
  <c r="CE8" i="8"/>
  <c r="CE834" i="8"/>
  <c r="CE486" i="8"/>
  <c r="BU656" i="8"/>
  <c r="CE818" i="8"/>
  <c r="CE850" i="8"/>
  <c r="CE358" i="8"/>
  <c r="CE764" i="8"/>
  <c r="BN408" i="8"/>
  <c r="CK474" i="8"/>
  <c r="BN440" i="8"/>
  <c r="BZ802" i="8"/>
  <c r="CK868" i="8"/>
  <c r="BZ12" i="8"/>
  <c r="CE96" i="8"/>
  <c r="CE160" i="8"/>
  <c r="BU271" i="8"/>
  <c r="BU303" i="8"/>
  <c r="BN464" i="8"/>
  <c r="BN548" i="8"/>
  <c r="CK614" i="8"/>
  <c r="CE610" i="8"/>
  <c r="CE30" i="8"/>
  <c r="CE152" i="8"/>
  <c r="BZ8" i="8"/>
  <c r="CK402" i="8"/>
  <c r="BU436" i="8"/>
  <c r="CE390" i="8"/>
  <c r="CE420" i="8"/>
  <c r="CE452" i="8"/>
  <c r="CE484" i="8"/>
  <c r="CK626" i="8"/>
  <c r="BZ744" i="8"/>
  <c r="BN750" i="8"/>
  <c r="CK794" i="8"/>
  <c r="BU404" i="8"/>
  <c r="BZ204" i="8"/>
  <c r="BU786" i="8"/>
  <c r="BU840" i="8"/>
  <c r="CE698" i="8"/>
  <c r="CE666" i="8"/>
  <c r="BZ720" i="8"/>
  <c r="BZ704" i="8"/>
  <c r="CE752" i="8"/>
  <c r="BN844" i="8"/>
  <c r="CE822" i="8"/>
  <c r="BZ850" i="8"/>
  <c r="BN937" i="8"/>
  <c r="BU796" i="8"/>
  <c r="BN852" i="8"/>
  <c r="BU922" i="8"/>
  <c r="CE562" i="8"/>
  <c r="BU706" i="8"/>
  <c r="CE74" i="8"/>
  <c r="CE164" i="8"/>
  <c r="CE168" i="8"/>
  <c r="BN302" i="8"/>
  <c r="BU348" i="8"/>
  <c r="CK370" i="8"/>
  <c r="CE398" i="8"/>
  <c r="BN432" i="8"/>
  <c r="CK498" i="8"/>
  <c r="CE120" i="8"/>
  <c r="CE136" i="8"/>
  <c r="BU412" i="8"/>
  <c r="CE148" i="8"/>
  <c r="BU380" i="8"/>
  <c r="CE184" i="8"/>
  <c r="BU242" i="8"/>
  <c r="CE42" i="8"/>
  <c r="CE366" i="8"/>
  <c r="CE10" i="8"/>
  <c r="CE975" i="8"/>
  <c r="CK983" i="8"/>
  <c r="CE917" i="8"/>
  <c r="BU955" i="8"/>
  <c r="CE1004" i="8"/>
  <c r="CK854" i="8"/>
  <c r="CK704" i="8"/>
  <c r="CE860" i="8"/>
  <c r="CK931" i="8"/>
  <c r="CE38" i="8"/>
  <c r="BU44" i="8"/>
  <c r="BN344" i="8"/>
  <c r="CK410" i="8"/>
  <c r="CE193" i="8"/>
  <c r="CE225" i="8"/>
  <c r="CE257" i="8"/>
  <c r="CE289" i="8"/>
  <c r="CE412" i="8"/>
  <c r="CE444" i="8"/>
  <c r="CE476" i="8"/>
  <c r="CE478" i="8"/>
  <c r="CE348" i="8"/>
  <c r="CE380" i="8"/>
  <c r="BN782" i="8"/>
  <c r="CE931" i="8"/>
  <c r="BU990" i="8"/>
  <c r="CE864" i="8"/>
  <c r="CK912" i="8"/>
  <c r="CE14" i="8"/>
  <c r="CE46" i="8"/>
  <c r="CE92" i="8"/>
  <c r="CE156" i="8"/>
  <c r="BU444" i="8"/>
  <c r="CE209" i="8"/>
  <c r="BU215" i="8"/>
  <c r="CE241" i="8"/>
  <c r="CE273" i="8"/>
  <c r="CE305" i="8"/>
  <c r="CE314" i="8"/>
  <c r="CE334" i="8"/>
  <c r="BN368" i="8"/>
  <c r="CK434" i="8"/>
  <c r="BU468" i="8"/>
  <c r="BN496" i="8"/>
  <c r="CE422" i="8"/>
  <c r="BN516" i="8"/>
  <c r="BN624" i="8"/>
  <c r="BN612" i="8"/>
  <c r="CK686" i="8"/>
  <c r="BZ678" i="8"/>
  <c r="CK752" i="8"/>
  <c r="BU688" i="8"/>
  <c r="BZ810" i="8"/>
  <c r="CK903" i="8"/>
  <c r="BN879" i="8"/>
  <c r="CE811" i="8"/>
  <c r="BU866" i="8"/>
  <c r="BZ4" i="8"/>
  <c r="CE58" i="8"/>
  <c r="BN508" i="8"/>
  <c r="BZ642" i="8"/>
  <c r="CE554" i="8"/>
  <c r="CE618" i="8"/>
  <c r="BZ776" i="8"/>
  <c r="CE744" i="8"/>
  <c r="BN836" i="8"/>
  <c r="BN832" i="8"/>
  <c r="BN64" i="8"/>
  <c r="CK288" i="8"/>
  <c r="BU600" i="8"/>
  <c r="CE434" i="8"/>
  <c r="CE466" i="8"/>
  <c r="CE498" i="8"/>
  <c r="BZ712" i="8"/>
  <c r="CE792" i="8"/>
  <c r="BN820" i="8"/>
  <c r="CE846" i="8"/>
  <c r="CE309" i="8"/>
  <c r="CE416" i="8"/>
  <c r="CE448" i="8"/>
  <c r="CE480" i="8"/>
  <c r="CE586" i="8"/>
  <c r="BZ690" i="8"/>
  <c r="CE674" i="8"/>
  <c r="CE830" i="8"/>
  <c r="BU290" i="8"/>
  <c r="CE6" i="8"/>
  <c r="BZ17" i="8"/>
  <c r="CE382" i="8"/>
  <c r="BZ408" i="8"/>
  <c r="BN512" i="8"/>
  <c r="CK550" i="8"/>
  <c r="BU584" i="8"/>
  <c r="BN580" i="8"/>
  <c r="BU628" i="8"/>
  <c r="CE803" i="8"/>
  <c r="CE826" i="8"/>
  <c r="BZ854" i="8"/>
  <c r="BN778" i="8"/>
  <c r="BN921" i="8"/>
  <c r="CE986" i="8"/>
  <c r="CE913" i="8"/>
  <c r="CE961" i="8"/>
  <c r="BU332" i="8"/>
  <c r="CK426" i="8"/>
  <c r="BU460" i="8"/>
  <c r="CE245" i="8"/>
  <c r="CE277" i="8"/>
  <c r="CE724" i="8"/>
  <c r="BU730" i="8"/>
  <c r="BU770" i="8"/>
  <c r="CE338" i="8"/>
  <c r="CE370" i="8"/>
  <c r="CE402" i="8"/>
  <c r="CE320" i="8"/>
  <c r="CE352" i="8"/>
  <c r="CE384" i="8"/>
  <c r="BU521" i="8"/>
  <c r="BN556" i="8"/>
  <c r="BN620" i="8"/>
  <c r="BN536" i="8"/>
  <c r="CE523" i="8"/>
  <c r="CE350" i="8"/>
  <c r="CE506" i="8"/>
  <c r="BU616" i="8"/>
  <c r="CK670" i="8"/>
  <c r="CE635" i="8"/>
  <c r="CE318" i="8"/>
  <c r="BN352" i="8"/>
  <c r="CE446" i="8"/>
  <c r="BN480" i="8"/>
  <c r="CE332" i="8"/>
  <c r="CE364" i="8"/>
  <c r="BZ392" i="8"/>
  <c r="CE396" i="8"/>
  <c r="BZ424" i="8"/>
  <c r="CE428" i="8"/>
  <c r="CE460" i="8"/>
  <c r="CE492" i="8"/>
  <c r="CE510" i="8"/>
  <c r="CE507" i="8"/>
  <c r="CE539" i="8"/>
  <c r="BN734" i="8"/>
  <c r="CE213" i="8"/>
  <c r="BN222" i="8"/>
  <c r="CE284" i="8"/>
  <c r="BN78" i="8"/>
  <c r="BN142" i="8"/>
  <c r="CE324" i="8"/>
  <c r="CE356" i="8"/>
  <c r="CE388" i="8"/>
  <c r="CE400" i="8"/>
  <c r="CE432" i="8"/>
  <c r="CE464" i="8"/>
  <c r="CE496" i="8"/>
  <c r="BN828" i="8"/>
  <c r="BZ829" i="8"/>
  <c r="BZ845" i="8"/>
  <c r="CK930" i="8"/>
  <c r="CK960" i="8"/>
  <c r="BU920" i="8"/>
  <c r="BU871" i="8"/>
  <c r="CK906" i="8"/>
  <c r="BU967" i="8"/>
  <c r="CE949" i="8"/>
  <c r="BN150" i="8"/>
  <c r="BU218" i="8"/>
  <c r="CE18" i="8"/>
  <c r="BN52" i="8"/>
  <c r="BN336" i="8"/>
  <c r="BZ807" i="8"/>
  <c r="BZ833" i="8"/>
  <c r="BZ849" i="8"/>
  <c r="CE602" i="8"/>
  <c r="BZ634" i="8"/>
  <c r="CE690" i="8"/>
  <c r="BZ709" i="8"/>
  <c r="BZ763" i="8"/>
  <c r="BZ779" i="8"/>
  <c r="BU809" i="8"/>
  <c r="CK869" i="8"/>
  <c r="BN936" i="8"/>
  <c r="CE176" i="8"/>
  <c r="BU340" i="8"/>
  <c r="CE904" i="8"/>
  <c r="BU945" i="8"/>
  <c r="BN966" i="8"/>
  <c r="CE983" i="8"/>
  <c r="CE308" i="8"/>
  <c r="BN170" i="8"/>
  <c r="BZ176" i="8"/>
  <c r="BN182" i="8"/>
  <c r="CK248" i="8"/>
  <c r="CE276" i="8"/>
  <c r="BU282" i="8"/>
  <c r="BN310" i="8"/>
  <c r="BZ132" i="8"/>
  <c r="BU226" i="8"/>
  <c r="CE84" i="8"/>
  <c r="BZ112" i="8"/>
  <c r="CE132" i="8"/>
  <c r="CE22" i="8"/>
  <c r="BU28" i="8"/>
  <c r="CE128" i="8"/>
  <c r="BN376" i="8"/>
  <c r="CK442" i="8"/>
  <c r="CE220" i="8"/>
  <c r="CK502" i="8"/>
  <c r="BN28" i="8"/>
  <c r="CE50" i="8"/>
  <c r="BU202" i="8"/>
  <c r="BN230" i="8"/>
  <c r="CK296" i="8"/>
  <c r="BU255" i="8"/>
  <c r="BU287" i="8"/>
  <c r="CK338" i="8"/>
  <c r="BU372" i="8"/>
  <c r="BZ394" i="8"/>
  <c r="BN400" i="8"/>
  <c r="CK466" i="8"/>
  <c r="BZ260" i="8"/>
  <c r="CK566" i="8"/>
  <c r="BN596" i="8"/>
  <c r="CE566" i="8"/>
  <c r="BN696" i="8"/>
  <c r="CK728" i="8"/>
  <c r="CE1000" i="8"/>
  <c r="BN214" i="8"/>
  <c r="CK280" i="8"/>
  <c r="CK216" i="8"/>
  <c r="CE244" i="8"/>
  <c r="BU250" i="8"/>
  <c r="BZ272" i="8"/>
  <c r="BN278" i="8"/>
  <c r="BN40" i="8"/>
  <c r="CE70" i="8"/>
  <c r="BU76" i="8"/>
  <c r="CE112" i="8"/>
  <c r="CE34" i="8"/>
  <c r="BZ252" i="8"/>
  <c r="BU738" i="8"/>
  <c r="BN816" i="8"/>
  <c r="BZ784" i="8"/>
  <c r="CE733" i="8"/>
  <c r="CE768" i="8"/>
  <c r="BZ755" i="8"/>
  <c r="BZ787" i="8"/>
  <c r="CE799" i="8"/>
  <c r="CE838" i="8"/>
  <c r="BZ853" i="8"/>
  <c r="BZ860" i="8"/>
  <c r="BN866" i="8"/>
  <c r="CE582" i="8"/>
  <c r="BU649" i="8"/>
  <c r="CE670" i="8"/>
  <c r="BN766" i="8"/>
  <c r="BN762" i="8"/>
  <c r="CE788" i="8"/>
  <c r="BU794" i="8"/>
  <c r="CK208" i="8"/>
  <c r="CE236" i="8"/>
  <c r="BZ264" i="8"/>
  <c r="BN270" i="8"/>
  <c r="CE654" i="8"/>
  <c r="BZ682" i="8"/>
  <c r="BZ693" i="8"/>
  <c r="CE705" i="8"/>
  <c r="BN746" i="8"/>
  <c r="CE776" i="8"/>
  <c r="CE814" i="8"/>
  <c r="BU824" i="8"/>
  <c r="BU858" i="8"/>
  <c r="BZ724" i="8"/>
  <c r="BZ736" i="8"/>
  <c r="BN742" i="8"/>
  <c r="CE772" i="8"/>
  <c r="BU812" i="8"/>
  <c r="CE709" i="8"/>
  <c r="CE784" i="8"/>
  <c r="BZ743" i="8"/>
  <c r="BZ775" i="8"/>
  <c r="BN797" i="8"/>
  <c r="CK799" i="8"/>
  <c r="BU836" i="8"/>
  <c r="CE794" i="8"/>
  <c r="BN796" i="8"/>
  <c r="CE842" i="8"/>
  <c r="CE807" i="8"/>
  <c r="BZ818" i="8"/>
  <c r="BN824" i="8"/>
  <c r="CE854" i="8"/>
  <c r="BU938" i="8"/>
  <c r="BZ825" i="8"/>
  <c r="BN887" i="8"/>
  <c r="CK898" i="8"/>
  <c r="CE872" i="8"/>
  <c r="CE883" i="8"/>
  <c r="BN895" i="8"/>
  <c r="CE930" i="8"/>
  <c r="BN980" i="8"/>
  <c r="BU998" i="8"/>
  <c r="BU194" i="8"/>
  <c r="CK224" i="8"/>
  <c r="BZ25" i="8"/>
  <c r="CK654" i="8"/>
  <c r="CK736" i="8"/>
  <c r="BZ788" i="8"/>
  <c r="BN794" i="8"/>
  <c r="CE756" i="8"/>
  <c r="BN848" i="8"/>
  <c r="BN920" i="8"/>
  <c r="BU956" i="8"/>
  <c r="BU947" i="8"/>
  <c r="CK977" i="8"/>
  <c r="CE994" i="8"/>
  <c r="CE999" i="8"/>
  <c r="CE1003" i="8"/>
  <c r="BN190" i="8"/>
  <c r="CE188" i="8"/>
  <c r="BZ248" i="8"/>
  <c r="BU306" i="8"/>
  <c r="BN286" i="8"/>
  <c r="CE140" i="8"/>
  <c r="BU266" i="8"/>
  <c r="CE197" i="8"/>
  <c r="CE229" i="8"/>
  <c r="CE261" i="8"/>
  <c r="CE293" i="8"/>
  <c r="BZ626" i="8"/>
  <c r="BN632" i="8"/>
  <c r="BN726" i="8"/>
  <c r="CE647" i="8"/>
  <c r="BZ717" i="8"/>
  <c r="BU727" i="8"/>
  <c r="CE725" i="8"/>
  <c r="BN813" i="8"/>
  <c r="CK834" i="8"/>
  <c r="CE810" i="8"/>
  <c r="BN812" i="8"/>
  <c r="BU816" i="8"/>
  <c r="CK846" i="8"/>
  <c r="BU879" i="8"/>
  <c r="BU911" i="8"/>
  <c r="BN923" i="8"/>
  <c r="BN939" i="8"/>
  <c r="CE978" i="8"/>
  <c r="CE977" i="8"/>
  <c r="BN48" i="8"/>
  <c r="BN122" i="8"/>
  <c r="BN138" i="8"/>
  <c r="CK192" i="8"/>
  <c r="CE252" i="8"/>
  <c r="BZ108" i="8"/>
  <c r="BN114" i="8"/>
  <c r="BN178" i="8"/>
  <c r="CK240" i="8"/>
  <c r="BU274" i="8"/>
  <c r="CE26" i="8"/>
  <c r="CE124" i="8"/>
  <c r="BU234" i="8"/>
  <c r="BZ33" i="8"/>
  <c r="BU231" i="8"/>
  <c r="BU263" i="8"/>
  <c r="BU295" i="8"/>
  <c r="CE522" i="8"/>
  <c r="BN668" i="8"/>
  <c r="BN640" i="8"/>
  <c r="CE678" i="8"/>
  <c r="CE713" i="8"/>
  <c r="BU848" i="8"/>
  <c r="CE867" i="8"/>
  <c r="BU900" i="8"/>
  <c r="CE948" i="8"/>
  <c r="BN969" i="8"/>
  <c r="BN946" i="8"/>
  <c r="CE996" i="8"/>
  <c r="BN1002" i="8"/>
  <c r="CK34" i="8"/>
  <c r="CK124" i="8"/>
  <c r="BN98" i="8"/>
  <c r="BN162" i="8"/>
  <c r="BU910" i="8"/>
  <c r="CE916" i="8"/>
  <c r="CK951" i="8"/>
  <c r="CE976" i="8"/>
  <c r="BU1002" i="8"/>
  <c r="CE631" i="8"/>
  <c r="CE728" i="8"/>
  <c r="BN730" i="8"/>
  <c r="CK744" i="8"/>
  <c r="BU778" i="8"/>
  <c r="BU901" i="8"/>
  <c r="BN954" i="8"/>
  <c r="CE912" i="8"/>
  <c r="BU946" i="8"/>
  <c r="CK976" i="8"/>
  <c r="BN957" i="8"/>
  <c r="BN956" i="8"/>
  <c r="BN967" i="8"/>
  <c r="CK996" i="8"/>
  <c r="CK1001" i="8"/>
  <c r="BU766" i="8"/>
  <c r="CE868" i="8"/>
  <c r="CK875" i="8"/>
  <c r="BU908" i="8"/>
  <c r="CE974" i="8"/>
  <c r="BN997" i="8"/>
  <c r="BN1006" i="8"/>
  <c r="BN106" i="8"/>
  <c r="CK256" i="8"/>
  <c r="CE606" i="8"/>
  <c r="BN700" i="8"/>
  <c r="BN664" i="8"/>
  <c r="CE694" i="8"/>
  <c r="BZ780" i="8"/>
  <c r="BZ735" i="8"/>
  <c r="BZ767" i="8"/>
  <c r="BZ783" i="8"/>
  <c r="CK815" i="8"/>
  <c r="CK891" i="8"/>
  <c r="CK870" i="8"/>
  <c r="BZ116" i="8"/>
  <c r="BZ180" i="8"/>
  <c r="CE590" i="8"/>
  <c r="CE643" i="8"/>
  <c r="BZ732" i="8"/>
  <c r="BZ798" i="8"/>
  <c r="CE627" i="8"/>
  <c r="BN680" i="8"/>
  <c r="BU714" i="8"/>
  <c r="CE729" i="8"/>
  <c r="BU804" i="8"/>
  <c r="BZ814" i="8"/>
  <c r="CE859" i="8"/>
  <c r="BN861" i="8"/>
  <c r="CK863" i="8"/>
  <c r="BU865" i="8"/>
  <c r="BZ66" i="8"/>
  <c r="BN72" i="8"/>
  <c r="CK74" i="8"/>
  <c r="BZ817" i="8"/>
  <c r="BZ64" i="8"/>
  <c r="CE208" i="8"/>
  <c r="BN210" i="8"/>
  <c r="CE240" i="8"/>
  <c r="BN242" i="8"/>
  <c r="CE272" i="8"/>
  <c r="BN274" i="8"/>
  <c r="CE304" i="8"/>
  <c r="BN306" i="8"/>
  <c r="BZ45" i="8"/>
  <c r="BZ61" i="8"/>
  <c r="BZ160" i="8"/>
  <c r="BN166" i="8"/>
  <c r="CK418" i="8"/>
  <c r="BU452" i="8"/>
  <c r="BZ859" i="8"/>
  <c r="BU982" i="8"/>
  <c r="CK822" i="8"/>
  <c r="BU856" i="8"/>
  <c r="BN731" i="8"/>
  <c r="CK88" i="8"/>
  <c r="BN118" i="8"/>
  <c r="BZ16" i="8"/>
  <c r="BN86" i="8"/>
  <c r="CK120" i="8"/>
  <c r="BZ57" i="8"/>
  <c r="BZ91" i="8"/>
  <c r="BN211" i="8"/>
  <c r="CK213" i="8"/>
  <c r="BN243" i="8"/>
  <c r="CK245" i="8"/>
  <c r="BZ269" i="8"/>
  <c r="BN275" i="8"/>
  <c r="CK277" i="8"/>
  <c r="BN307" i="8"/>
  <c r="CK309" i="8"/>
  <c r="CK272" i="8"/>
  <c r="CE300" i="8"/>
  <c r="BZ80" i="8"/>
  <c r="BZ37" i="8"/>
  <c r="CE622" i="8"/>
  <c r="BN899" i="8"/>
  <c r="BN32" i="8"/>
  <c r="CE906" i="8"/>
  <c r="BN938" i="8"/>
  <c r="CE4" i="8"/>
  <c r="BN6" i="8"/>
  <c r="CE317" i="8"/>
  <c r="BU902" i="8"/>
  <c r="CK959" i="8"/>
  <c r="BN134" i="8"/>
  <c r="BU672" i="8"/>
  <c r="BZ630" i="8"/>
  <c r="BZ677" i="8"/>
  <c r="BN707" i="8"/>
  <c r="CK709" i="8"/>
  <c r="BU711" i="8"/>
  <c r="CK748" i="8"/>
  <c r="BU782" i="8"/>
  <c r="BU909" i="8"/>
  <c r="BN922" i="8"/>
  <c r="CE953" i="8"/>
  <c r="BN968" i="8"/>
  <c r="BU979" i="8"/>
  <c r="BZ398" i="8"/>
  <c r="BN990" i="8"/>
  <c r="BN206" i="8"/>
  <c r="BN203" i="8"/>
  <c r="CK205" i="8"/>
  <c r="BU207" i="8"/>
  <c r="BN235" i="8"/>
  <c r="CK237" i="8"/>
  <c r="BU239" i="8"/>
  <c r="BZ261" i="8"/>
  <c r="BN267" i="8"/>
  <c r="CK269" i="8"/>
  <c r="BN299" i="8"/>
  <c r="CK301" i="8"/>
  <c r="BU500" i="8"/>
  <c r="CE346" i="8"/>
  <c r="BN348" i="8"/>
  <c r="CE378" i="8"/>
  <c r="BN380" i="8"/>
  <c r="BZ406" i="8"/>
  <c r="CE410" i="8"/>
  <c r="BN412" i="8"/>
  <c r="CE442" i="8"/>
  <c r="BN444" i="8"/>
  <c r="CE474" i="8"/>
  <c r="BN476" i="8"/>
  <c r="CK510" i="8"/>
  <c r="BU568" i="8"/>
  <c r="BU14" i="8"/>
  <c r="BZ76" i="8"/>
  <c r="CE200" i="8"/>
  <c r="BN202" i="8"/>
  <c r="CE232" i="8"/>
  <c r="BN234" i="8"/>
  <c r="CE264" i="8"/>
  <c r="BN266" i="8"/>
  <c r="CE296" i="8"/>
  <c r="BN298" i="8"/>
  <c r="BZ28" i="8"/>
  <c r="CE330" i="8"/>
  <c r="CE362" i="8"/>
  <c r="CE394" i="8"/>
  <c r="CE426" i="8"/>
  <c r="CE458" i="8"/>
  <c r="CE490" i="8"/>
  <c r="CK582" i="8"/>
  <c r="BN544" i="8"/>
  <c r="BN608" i="8"/>
  <c r="CK650" i="8"/>
  <c r="BZ631" i="8"/>
  <c r="BN637" i="8"/>
  <c r="CK639" i="8"/>
  <c r="BU668" i="8"/>
  <c r="CK698" i="8"/>
  <c r="CE204" i="8"/>
  <c r="BN238" i="8"/>
  <c r="BZ58" i="8"/>
  <c r="BZ73" i="8"/>
  <c r="CE205" i="8"/>
  <c r="CE237" i="8"/>
  <c r="CE269" i="8"/>
  <c r="CE301" i="8"/>
  <c r="CK598" i="8"/>
  <c r="CE344" i="8"/>
  <c r="CE376" i="8"/>
  <c r="CE408" i="8"/>
  <c r="CE440" i="8"/>
  <c r="CE472" i="8"/>
  <c r="BN504" i="8"/>
  <c r="CE534" i="8"/>
  <c r="BU513" i="8"/>
  <c r="BU652" i="8"/>
  <c r="CE503" i="8"/>
  <c r="CE535" i="8"/>
  <c r="BU60" i="8"/>
  <c r="BZ124" i="8"/>
  <c r="BN130" i="8"/>
  <c r="BZ21" i="8"/>
  <c r="BU396" i="8"/>
  <c r="BZ418" i="8"/>
  <c r="BN424" i="8"/>
  <c r="CK490" i="8"/>
  <c r="BU504" i="8"/>
  <c r="BN326" i="8"/>
  <c r="CK328" i="8"/>
  <c r="BU330" i="8"/>
  <c r="BN358" i="8"/>
  <c r="CK360" i="8"/>
  <c r="BU362" i="8"/>
  <c r="BZ384" i="8"/>
  <c r="BN390" i="8"/>
  <c r="CK392" i="8"/>
  <c r="BU394" i="8"/>
  <c r="BZ416" i="8"/>
  <c r="BN422" i="8"/>
  <c r="CK424" i="8"/>
  <c r="BU426" i="8"/>
  <c r="BN454" i="8"/>
  <c r="CK456" i="8"/>
  <c r="BU458" i="8"/>
  <c r="BN486" i="8"/>
  <c r="CK488" i="8"/>
  <c r="BU490" i="8"/>
  <c r="BN528" i="8"/>
  <c r="CK530" i="8"/>
  <c r="CE499" i="8"/>
  <c r="CE531" i="8"/>
  <c r="CE542" i="8"/>
  <c r="BU560" i="8"/>
  <c r="BU644" i="8"/>
  <c r="BZ49" i="8"/>
  <c r="CK458" i="8"/>
  <c r="BU492" i="8"/>
  <c r="BN572" i="8"/>
  <c r="CK42" i="8"/>
  <c r="BN82" i="8"/>
  <c r="BN146" i="8"/>
  <c r="BU210" i="8"/>
  <c r="CK304" i="8"/>
  <c r="BU428" i="8"/>
  <c r="BN456" i="8"/>
  <c r="CK534" i="8"/>
  <c r="BN524" i="8"/>
  <c r="CE558" i="8"/>
  <c r="BN540" i="8"/>
  <c r="BN604" i="8"/>
  <c r="CK642" i="8"/>
  <c r="BN44" i="8"/>
  <c r="CE12" i="8"/>
  <c r="BN14" i="8"/>
  <c r="CK362" i="8"/>
  <c r="BZ22" i="8"/>
  <c r="CK330" i="8"/>
  <c r="BU364" i="8"/>
  <c r="BZ386" i="8"/>
  <c r="BN392" i="8"/>
  <c r="BZ184" i="8"/>
  <c r="BN198" i="8"/>
  <c r="CK264" i="8"/>
  <c r="CE292" i="8"/>
  <c r="BZ24" i="8"/>
  <c r="BZ72" i="8"/>
  <c r="BZ134" i="8"/>
  <c r="CE192" i="8"/>
  <c r="BN194" i="8"/>
  <c r="CE224" i="8"/>
  <c r="BN226" i="8"/>
  <c r="CE256" i="8"/>
  <c r="BN258" i="8"/>
  <c r="CE288" i="8"/>
  <c r="BN290" i="8"/>
  <c r="BU314" i="8"/>
  <c r="BN328" i="8"/>
  <c r="CK394" i="8"/>
  <c r="BN981" i="8"/>
  <c r="CK986" i="8"/>
  <c r="CK994" i="8"/>
  <c r="BN945" i="8"/>
  <c r="BU969" i="8"/>
  <c r="CE905" i="8"/>
  <c r="BU937" i="8"/>
  <c r="CK974" i="8"/>
  <c r="BN16" i="8"/>
  <c r="BZ42" i="8"/>
  <c r="CK546" i="8"/>
  <c r="BU580" i="8"/>
  <c r="CK610" i="8"/>
  <c r="BN799" i="8"/>
  <c r="CK929" i="8"/>
  <c r="CK10" i="8"/>
  <c r="BZ18" i="8"/>
  <c r="BN24" i="8"/>
  <c r="CK26" i="8"/>
  <c r="BN90" i="8"/>
  <c r="BZ100" i="8"/>
  <c r="BZ164" i="8"/>
  <c r="BN186" i="8"/>
  <c r="BZ53" i="8"/>
  <c r="BZ68" i="8"/>
  <c r="CE216" i="8"/>
  <c r="BN218" i="8"/>
  <c r="CE248" i="8"/>
  <c r="BN250" i="8"/>
  <c r="CE280" i="8"/>
  <c r="BN282" i="8"/>
  <c r="CK312" i="8"/>
  <c r="BZ52" i="8"/>
  <c r="CK518" i="8"/>
  <c r="CE336" i="8"/>
  <c r="CE368" i="8"/>
  <c r="BZ396" i="8"/>
  <c r="CE518" i="8"/>
  <c r="BU505" i="8"/>
  <c r="BU537" i="8"/>
  <c r="BN588" i="8"/>
  <c r="CK590" i="8"/>
  <c r="CE638" i="8"/>
  <c r="CE527" i="8"/>
  <c r="BN568" i="8"/>
  <c r="CK666" i="8"/>
  <c r="BU700" i="8"/>
  <c r="BN710" i="8"/>
  <c r="BZ700" i="8"/>
  <c r="CE712" i="8"/>
  <c r="BN714" i="8"/>
  <c r="BU746" i="8"/>
  <c r="BN786" i="8"/>
  <c r="BN800" i="8"/>
  <c r="BZ703" i="8"/>
  <c r="BU857" i="8"/>
  <c r="BU887" i="8"/>
  <c r="CK108" i="8"/>
  <c r="BZ65" i="8"/>
  <c r="CE639" i="8"/>
  <c r="BZ698" i="8"/>
  <c r="BN715" i="8"/>
  <c r="CK764" i="8"/>
  <c r="BN858" i="8"/>
  <c r="BU154" i="8"/>
  <c r="CK184" i="8"/>
  <c r="CK46" i="8"/>
  <c r="BU90" i="8"/>
  <c r="BZ50" i="8"/>
  <c r="BN56" i="8"/>
  <c r="CK58" i="8"/>
  <c r="CK100" i="8"/>
  <c r="BU134" i="8"/>
  <c r="CK164" i="8"/>
  <c r="CK66" i="8"/>
  <c r="CK92" i="8"/>
  <c r="BN154" i="8"/>
  <c r="BN8" i="8"/>
  <c r="BU89" i="8"/>
  <c r="BU105" i="8"/>
  <c r="BU121" i="8"/>
  <c r="BU137" i="8"/>
  <c r="BU153" i="8"/>
  <c r="BU169" i="8"/>
  <c r="BU185" i="8"/>
  <c r="CK189" i="8"/>
  <c r="BU191" i="8"/>
  <c r="BN219" i="8"/>
  <c r="CK221" i="8"/>
  <c r="BU223" i="8"/>
  <c r="BZ245" i="8"/>
  <c r="BN251" i="8"/>
  <c r="CK253" i="8"/>
  <c r="BN283" i="8"/>
  <c r="CK285" i="8"/>
  <c r="BN316" i="8"/>
  <c r="BZ20" i="8"/>
  <c r="CE19" i="8"/>
  <c r="CE35" i="8"/>
  <c r="CK322" i="8"/>
  <c r="BU356" i="8"/>
  <c r="BN384" i="8"/>
  <c r="CK450" i="8"/>
  <c r="BU484" i="8"/>
  <c r="BN342" i="8"/>
  <c r="CK344" i="8"/>
  <c r="BU346" i="8"/>
  <c r="BN374" i="8"/>
  <c r="CK376" i="8"/>
  <c r="BU378" i="8"/>
  <c r="BN406" i="8"/>
  <c r="CK408" i="8"/>
  <c r="BU410" i="8"/>
  <c r="BN438" i="8"/>
  <c r="CK440" i="8"/>
  <c r="BU442" i="8"/>
  <c r="BZ464" i="8"/>
  <c r="BN470" i="8"/>
  <c r="CK472" i="8"/>
  <c r="BU474" i="8"/>
  <c r="BU532" i="8"/>
  <c r="BN332" i="8"/>
  <c r="BN364" i="8"/>
  <c r="BN396" i="8"/>
  <c r="BZ422" i="8"/>
  <c r="BN428" i="8"/>
  <c r="BN460" i="8"/>
  <c r="BN492" i="8"/>
  <c r="BU512" i="8"/>
  <c r="BN520" i="8"/>
  <c r="CK558" i="8"/>
  <c r="BU592" i="8"/>
  <c r="CE511" i="8"/>
  <c r="BN600" i="8"/>
  <c r="CK634" i="8"/>
  <c r="CE634" i="8"/>
  <c r="BN636" i="8"/>
  <c r="BU680" i="8"/>
  <c r="BN688" i="8"/>
  <c r="CK712" i="8"/>
  <c r="CK768" i="8"/>
  <c r="BN754" i="8"/>
  <c r="CK802" i="8"/>
  <c r="BU880" i="8"/>
  <c r="BU882" i="8"/>
  <c r="BU420" i="8"/>
  <c r="BN448" i="8"/>
  <c r="BN656" i="8"/>
  <c r="BU64" i="8"/>
  <c r="BU170" i="8"/>
  <c r="BN60" i="8"/>
  <c r="BN76" i="8"/>
  <c r="BU86" i="8"/>
  <c r="CK116" i="8"/>
  <c r="BU150" i="8"/>
  <c r="CK180" i="8"/>
  <c r="BN94" i="8"/>
  <c r="BN158" i="8"/>
  <c r="CK200" i="8"/>
  <c r="CE228" i="8"/>
  <c r="BZ256" i="8"/>
  <c r="BN262" i="8"/>
  <c r="BU321" i="8"/>
  <c r="BU337" i="8"/>
  <c r="BU353" i="8"/>
  <c r="BU369" i="8"/>
  <c r="BU385" i="8"/>
  <c r="BU401" i="8"/>
  <c r="BU417" i="8"/>
  <c r="BU433" i="8"/>
  <c r="BU449" i="8"/>
  <c r="BU465" i="8"/>
  <c r="BU481" i="8"/>
  <c r="BU497" i="8"/>
  <c r="BU555" i="8"/>
  <c r="BU571" i="8"/>
  <c r="BU587" i="8"/>
  <c r="BU603" i="8"/>
  <c r="BU619" i="8"/>
  <c r="BU655" i="8"/>
  <c r="BU671" i="8"/>
  <c r="BU785" i="8"/>
  <c r="BU897" i="8"/>
  <c r="BU914" i="8"/>
  <c r="BU925" i="8"/>
  <c r="BN126" i="8"/>
  <c r="CK18" i="8"/>
  <c r="BU32" i="8"/>
  <c r="CK8" i="8"/>
  <c r="BZ30" i="8"/>
  <c r="BN36" i="8"/>
  <c r="BN616" i="8"/>
  <c r="BZ639" i="8"/>
  <c r="BN645" i="8"/>
  <c r="CK647" i="8"/>
  <c r="BU684" i="8"/>
  <c r="CE704" i="8"/>
  <c r="BN706" i="8"/>
  <c r="BN805" i="8"/>
  <c r="CK807" i="8"/>
  <c r="CK818" i="8"/>
  <c r="BU852" i="8"/>
  <c r="CE802" i="8"/>
  <c r="BN804" i="8"/>
  <c r="CK830" i="8"/>
  <c r="BU158" i="8"/>
  <c r="CK62" i="8"/>
  <c r="BN20" i="8"/>
  <c r="BU56" i="8"/>
  <c r="CK80" i="8"/>
  <c r="BU178" i="8"/>
  <c r="BZ705" i="8"/>
  <c r="BZ803" i="8"/>
  <c r="BU927" i="8"/>
  <c r="BU941" i="8"/>
  <c r="BU943" i="8"/>
  <c r="BU971" i="8"/>
  <c r="BU973" i="8"/>
  <c r="BU992" i="8"/>
  <c r="BU1006" i="8"/>
  <c r="CK168" i="8"/>
  <c r="BU4" i="8"/>
  <c r="CK84" i="8"/>
  <c r="BU118" i="8"/>
  <c r="CK148" i="8"/>
  <c r="BU182" i="8"/>
  <c r="BN102" i="8"/>
  <c r="BZ62" i="8"/>
  <c r="BN68" i="8"/>
  <c r="BU324" i="8"/>
  <c r="BN334" i="8"/>
  <c r="CK336" i="8"/>
  <c r="BU338" i="8"/>
  <c r="BN366" i="8"/>
  <c r="CK368" i="8"/>
  <c r="BU370" i="8"/>
  <c r="BN398" i="8"/>
  <c r="CK400" i="8"/>
  <c r="BU402" i="8"/>
  <c r="BN430" i="8"/>
  <c r="CK432" i="8"/>
  <c r="BU434" i="8"/>
  <c r="BN462" i="8"/>
  <c r="CK464" i="8"/>
  <c r="BU466" i="8"/>
  <c r="BN494" i="8"/>
  <c r="CK496" i="8"/>
  <c r="BU498" i="8"/>
  <c r="BU516" i="8"/>
  <c r="BN324" i="8"/>
  <c r="BN356" i="8"/>
  <c r="BZ382" i="8"/>
  <c r="BN388" i="8"/>
  <c r="BZ414" i="8"/>
  <c r="BN420" i="8"/>
  <c r="BN452" i="8"/>
  <c r="BN484" i="8"/>
  <c r="CK526" i="8"/>
  <c r="CK542" i="8"/>
  <c r="BU576" i="8"/>
  <c r="CK606" i="8"/>
  <c r="CE550" i="8"/>
  <c r="CE614" i="8"/>
  <c r="BU633" i="8"/>
  <c r="CE626" i="8"/>
  <c r="BU664" i="8"/>
  <c r="BN672" i="8"/>
  <c r="BU703" i="8"/>
  <c r="CK733" i="8"/>
  <c r="CK4" i="8"/>
  <c r="CK152" i="8"/>
  <c r="BU186" i="8"/>
  <c r="BU174" i="8"/>
  <c r="BU12" i="8"/>
  <c r="BU16" i="8"/>
  <c r="CK30" i="8"/>
  <c r="BU102" i="8"/>
  <c r="CK132" i="8"/>
  <c r="BU166" i="8"/>
  <c r="BU20" i="8"/>
  <c r="BU142" i="8"/>
  <c r="CK156" i="8"/>
  <c r="BZ38" i="8"/>
  <c r="BU138" i="8"/>
  <c r="BU24" i="8"/>
  <c r="CK54" i="8"/>
  <c r="BU82" i="8"/>
  <c r="BN110" i="8"/>
  <c r="CK112" i="8"/>
  <c r="BZ168" i="8"/>
  <c r="BN174" i="8"/>
  <c r="CK232" i="8"/>
  <c r="CE260" i="8"/>
  <c r="BN294" i="8"/>
  <c r="BZ69" i="8"/>
  <c r="BU81" i="8"/>
  <c r="BU97" i="8"/>
  <c r="BU113" i="8"/>
  <c r="BU129" i="8"/>
  <c r="BU145" i="8"/>
  <c r="BU161" i="8"/>
  <c r="BU177" i="8"/>
  <c r="BN907" i="8"/>
  <c r="BU10" i="8"/>
  <c r="BU921" i="8"/>
  <c r="BN10" i="8"/>
  <c r="BU36" i="8"/>
  <c r="BU110" i="8"/>
  <c r="BU106" i="8"/>
  <c r="BN12" i="8"/>
  <c r="CK14" i="8"/>
  <c r="CK22" i="8"/>
  <c r="BU114" i="8"/>
  <c r="CK144" i="8"/>
  <c r="CK5" i="8"/>
  <c r="BU7" i="8"/>
  <c r="CK172" i="8"/>
  <c r="CK136" i="8"/>
  <c r="BU6" i="8"/>
  <c r="CK12" i="8"/>
  <c r="BZ70" i="8"/>
  <c r="BU146" i="8"/>
  <c r="CK176" i="8"/>
  <c r="BZ5" i="8"/>
  <c r="CE9" i="8"/>
  <c r="BN11" i="8"/>
  <c r="CK13" i="8"/>
  <c r="BU15" i="8"/>
  <c r="CE25" i="8"/>
  <c r="BN27" i="8"/>
  <c r="CK29" i="8"/>
  <c r="BU31" i="8"/>
  <c r="CE41" i="8"/>
  <c r="BN43" i="8"/>
  <c r="CK45" i="8"/>
  <c r="BU47" i="8"/>
  <c r="CE57" i="8"/>
  <c r="BN59" i="8"/>
  <c r="CK61" i="8"/>
  <c r="BU63" i="8"/>
  <c r="CE73" i="8"/>
  <c r="BN75" i="8"/>
  <c r="CK77" i="8"/>
  <c r="CK79" i="8"/>
  <c r="CE91" i="8"/>
  <c r="BN93" i="8"/>
  <c r="CK95" i="8"/>
  <c r="CE107" i="8"/>
  <c r="BN109" i="8"/>
  <c r="CK111" i="8"/>
  <c r="CE123" i="8"/>
  <c r="BN125" i="8"/>
  <c r="CK127" i="8"/>
  <c r="CE139" i="8"/>
  <c r="BN141" i="8"/>
  <c r="CK143" i="8"/>
  <c r="CE155" i="8"/>
  <c r="BN157" i="8"/>
  <c r="CK159" i="8"/>
  <c r="BZ167" i="8"/>
  <c r="CE171" i="8"/>
  <c r="BN173" i="8"/>
  <c r="CK175" i="8"/>
  <c r="BZ183" i="8"/>
  <c r="BU52" i="8"/>
  <c r="BU48" i="8"/>
  <c r="CK104" i="8"/>
  <c r="BZ14" i="8"/>
  <c r="CK38" i="8"/>
  <c r="BU72" i="8"/>
  <c r="CK96" i="8"/>
  <c r="BU130" i="8"/>
  <c r="CK160" i="8"/>
  <c r="CE5" i="8"/>
  <c r="BN7" i="8"/>
  <c r="CK9" i="8"/>
  <c r="BU11" i="8"/>
  <c r="CE21" i="8"/>
  <c r="BN23" i="8"/>
  <c r="CK25" i="8"/>
  <c r="BU27" i="8"/>
  <c r="BU596" i="8"/>
  <c r="BN552" i="8"/>
  <c r="BN998" i="8"/>
  <c r="CE1001" i="8"/>
  <c r="BZ13" i="8"/>
  <c r="CE17" i="8"/>
  <c r="BN19" i="8"/>
  <c r="CK21" i="8"/>
  <c r="BU23" i="8"/>
  <c r="CE33" i="8"/>
  <c r="BN35" i="8"/>
  <c r="CK37" i="8"/>
  <c r="BU39" i="8"/>
  <c r="CE49" i="8"/>
  <c r="BN51" i="8"/>
  <c r="CK53" i="8"/>
  <c r="BU55" i="8"/>
  <c r="CE65" i="8"/>
  <c r="BN67" i="8"/>
  <c r="CK69" i="8"/>
  <c r="BU71" i="8"/>
  <c r="BZ79" i="8"/>
  <c r="CE83" i="8"/>
  <c r="BN85" i="8"/>
  <c r="CK87" i="8"/>
  <c r="CE99" i="8"/>
  <c r="BN101" i="8"/>
  <c r="CK103" i="8"/>
  <c r="CE115" i="8"/>
  <c r="BN117" i="8"/>
  <c r="CK119" i="8"/>
  <c r="BZ127" i="8"/>
  <c r="CE131" i="8"/>
  <c r="BN133" i="8"/>
  <c r="CK135" i="8"/>
  <c r="CE147" i="8"/>
  <c r="BN149" i="8"/>
  <c r="CK151" i="8"/>
  <c r="BZ159" i="8"/>
  <c r="CE163" i="8"/>
  <c r="BN165" i="8"/>
  <c r="CK167" i="8"/>
  <c r="BZ175" i="8"/>
  <c r="CE179" i="8"/>
  <c r="BN181" i="8"/>
  <c r="CK183" i="8"/>
  <c r="BU22" i="8"/>
  <c r="CK32" i="8"/>
  <c r="BU34" i="8"/>
  <c r="CE44" i="8"/>
  <c r="CE56" i="8"/>
  <c r="CE64" i="8"/>
  <c r="BN66" i="8"/>
  <c r="CK68" i="8"/>
  <c r="BU70" i="8"/>
  <c r="CE78" i="8"/>
  <c r="CE347" i="8"/>
  <c r="CE379" i="8"/>
  <c r="CE411" i="8"/>
  <c r="CE443" i="8"/>
  <c r="CE475" i="8"/>
  <c r="CE504" i="8"/>
  <c r="CE520" i="8"/>
  <c r="CE536" i="8"/>
  <c r="CE552" i="8"/>
  <c r="BN554" i="8"/>
  <c r="CK556" i="8"/>
  <c r="CE568" i="8"/>
  <c r="CE584" i="8"/>
  <c r="CE600" i="8"/>
  <c r="CE616" i="8"/>
  <c r="BZ629" i="8"/>
  <c r="BU639" i="8"/>
  <c r="BN667" i="8"/>
  <c r="CK669" i="8"/>
  <c r="BN683" i="8"/>
  <c r="CK685" i="8"/>
  <c r="CE697" i="8"/>
  <c r="CE667" i="8"/>
  <c r="CE683" i="8"/>
  <c r="CE699" i="8"/>
  <c r="CK735" i="8"/>
  <c r="BN947" i="8"/>
  <c r="CK1004" i="8"/>
  <c r="CK50" i="8"/>
  <c r="BU68" i="8"/>
  <c r="BU78" i="8"/>
  <c r="BU94" i="8"/>
  <c r="BU126" i="8"/>
  <c r="CK140" i="8"/>
  <c r="BU122" i="8"/>
  <c r="BN4" i="8"/>
  <c r="CK6" i="8"/>
  <c r="BU8" i="8"/>
  <c r="BU40" i="8"/>
  <c r="CK70" i="8"/>
  <c r="BU98" i="8"/>
  <c r="CK128" i="8"/>
  <c r="BU162" i="8"/>
  <c r="BZ9" i="8"/>
  <c r="CE13" i="8"/>
  <c r="BN15" i="8"/>
  <c r="CK17" i="8"/>
  <c r="BU19" i="8"/>
  <c r="CE29" i="8"/>
  <c r="BN31" i="8"/>
  <c r="CK33" i="8"/>
  <c r="BU35" i="8"/>
  <c r="CE45" i="8"/>
  <c r="BN47" i="8"/>
  <c r="CK49" i="8"/>
  <c r="BU51" i="8"/>
  <c r="CE61" i="8"/>
  <c r="BN63" i="8"/>
  <c r="CK65" i="8"/>
  <c r="BU67" i="8"/>
  <c r="CE77" i="8"/>
  <c r="CE79" i="8"/>
  <c r="BN81" i="8"/>
  <c r="CK83" i="8"/>
  <c r="BU85" i="8"/>
  <c r="CE95" i="8"/>
  <c r="BN97" i="8"/>
  <c r="CK99" i="8"/>
  <c r="BU101" i="8"/>
  <c r="BZ107" i="8"/>
  <c r="BU333" i="8"/>
  <c r="BU349" i="8"/>
  <c r="BU365" i="8"/>
  <c r="BU381" i="8"/>
  <c r="BU397" i="8"/>
  <c r="BU461" i="8"/>
  <c r="BU477" i="8"/>
  <c r="BU493" i="8"/>
  <c r="BN584" i="8"/>
  <c r="CE630" i="8"/>
  <c r="BU551" i="8"/>
  <c r="BU567" i="8"/>
  <c r="BU583" i="8"/>
  <c r="BU599" i="8"/>
  <c r="BU615" i="8"/>
  <c r="BU781" i="8"/>
  <c r="CE898" i="8"/>
  <c r="CK917" i="8"/>
  <c r="BU966" i="8"/>
  <c r="BN955" i="8"/>
  <c r="BU984" i="8"/>
  <c r="BU30" i="8"/>
  <c r="CK36" i="8"/>
  <c r="BN42" i="8"/>
  <c r="CK60" i="8"/>
  <c r="BU62" i="8"/>
  <c r="CE72" i="8"/>
  <c r="BN74" i="8"/>
  <c r="CK76" i="8"/>
  <c r="BZ82" i="8"/>
  <c r="CE86" i="8"/>
  <c r="BN88" i="8"/>
  <c r="CK90" i="8"/>
  <c r="BU92" i="8"/>
  <c r="BZ98" i="8"/>
  <c r="CE102" i="8"/>
  <c r="BN104" i="8"/>
  <c r="CK106" i="8"/>
  <c r="BU108" i="8"/>
  <c r="CE118" i="8"/>
  <c r="BN120" i="8"/>
  <c r="CK122" i="8"/>
  <c r="BU124" i="8"/>
  <c r="CE134" i="8"/>
  <c r="BN136" i="8"/>
  <c r="CK138" i="8"/>
  <c r="BU140" i="8"/>
  <c r="CE150" i="8"/>
  <c r="BN152" i="8"/>
  <c r="CK154" i="8"/>
  <c r="BU156" i="8"/>
  <c r="BZ162" i="8"/>
  <c r="CE166" i="8"/>
  <c r="BN168" i="8"/>
  <c r="CK170" i="8"/>
  <c r="BU172" i="8"/>
  <c r="BZ178" i="8"/>
  <c r="CE37" i="8"/>
  <c r="BN39" i="8"/>
  <c r="CK41" i="8"/>
  <c r="BU43" i="8"/>
  <c r="CE53" i="8"/>
  <c r="BN55" i="8"/>
  <c r="CK57" i="8"/>
  <c r="BU59" i="8"/>
  <c r="CE69" i="8"/>
  <c r="BN71" i="8"/>
  <c r="CK73" i="8"/>
  <c r="BU75" i="8"/>
  <c r="BZ83" i="8"/>
  <c r="CE87" i="8"/>
  <c r="BN89" i="8"/>
  <c r="CK91" i="8"/>
  <c r="BU93" i="8"/>
  <c r="BZ99" i="8"/>
  <c r="CE103" i="8"/>
  <c r="BN105" i="8"/>
  <c r="CK107" i="8"/>
  <c r="BU109" i="8"/>
  <c r="BZ115" i="8"/>
  <c r="CE119" i="8"/>
  <c r="BN121" i="8"/>
  <c r="CK123" i="8"/>
  <c r="BU125" i="8"/>
  <c r="BZ131" i="8"/>
  <c r="CE135" i="8"/>
  <c r="BN137" i="8"/>
  <c r="CK139" i="8"/>
  <c r="BU141" i="8"/>
  <c r="CE151" i="8"/>
  <c r="BN153" i="8"/>
  <c r="CK155" i="8"/>
  <c r="BU157" i="8"/>
  <c r="BZ163" i="8"/>
  <c r="CE167" i="8"/>
  <c r="BN169" i="8"/>
  <c r="CK171" i="8"/>
  <c r="BU173" i="8"/>
  <c r="BZ179" i="8"/>
  <c r="CE183" i="8"/>
  <c r="BN185" i="8"/>
  <c r="BN195" i="8"/>
  <c r="CK197" i="8"/>
  <c r="BU199" i="8"/>
  <c r="BN227" i="8"/>
  <c r="CK229" i="8"/>
  <c r="BZ253" i="8"/>
  <c r="BN259" i="8"/>
  <c r="CK261" i="8"/>
  <c r="BN291" i="8"/>
  <c r="CK293" i="8"/>
  <c r="BN18" i="8"/>
  <c r="CK28" i="8"/>
  <c r="CE40" i="8"/>
  <c r="CE52" i="8"/>
  <c r="CE68" i="8"/>
  <c r="BN70" i="8"/>
  <c r="CK72" i="8"/>
  <c r="BU74" i="8"/>
  <c r="CE82" i="8"/>
  <c r="BN84" i="8"/>
  <c r="CK86" i="8"/>
  <c r="BU88" i="8"/>
  <c r="CE98" i="8"/>
  <c r="BN100" i="8"/>
  <c r="CK102" i="8"/>
  <c r="BU104" i="8"/>
  <c r="BZ110" i="8"/>
  <c r="CE114" i="8"/>
  <c r="BN116" i="8"/>
  <c r="CK118" i="8"/>
  <c r="BU120" i="8"/>
  <c r="BZ126" i="8"/>
  <c r="CE130" i="8"/>
  <c r="BN132" i="8"/>
  <c r="CK134" i="8"/>
  <c r="BU136" i="8"/>
  <c r="CE146" i="8"/>
  <c r="BN148" i="8"/>
  <c r="CK150" i="8"/>
  <c r="BU152" i="8"/>
  <c r="BZ158" i="8"/>
  <c r="CE162" i="8"/>
  <c r="BN164" i="8"/>
  <c r="CK166" i="8"/>
  <c r="BU168" i="8"/>
  <c r="BZ174" i="8"/>
  <c r="CE178" i="8"/>
  <c r="BN180" i="8"/>
  <c r="CK182" i="8"/>
  <c r="BU184" i="8"/>
  <c r="CK212" i="8"/>
  <c r="BU214" i="8"/>
  <c r="CK244" i="8"/>
  <c r="BU246" i="8"/>
  <c r="CK276" i="8"/>
  <c r="BU278" i="8"/>
  <c r="CK308" i="8"/>
  <c r="BU310" i="8"/>
  <c r="CE16" i="8"/>
  <c r="CE24" i="8"/>
  <c r="CE32" i="8"/>
  <c r="BN34" i="8"/>
  <c r="BZ36" i="8"/>
  <c r="BU42" i="8"/>
  <c r="CK52" i="8"/>
  <c r="BN54" i="8"/>
  <c r="CE7" i="8"/>
  <c r="BN9" i="8"/>
  <c r="CK11" i="8"/>
  <c r="BU13" i="8"/>
  <c r="BZ19" i="8"/>
  <c r="CE23" i="8"/>
  <c r="BN80" i="8"/>
  <c r="CK82" i="8"/>
  <c r="BU84" i="8"/>
  <c r="CE94" i="8"/>
  <c r="BN96" i="8"/>
  <c r="CK98" i="8"/>
  <c r="BU100" i="8"/>
  <c r="CE110" i="8"/>
  <c r="BN112" i="8"/>
  <c r="CK114" i="8"/>
  <c r="BU116" i="8"/>
  <c r="BZ122" i="8"/>
  <c r="CE126" i="8"/>
  <c r="BN128" i="8"/>
  <c r="CK130" i="8"/>
  <c r="BU132" i="8"/>
  <c r="CE142" i="8"/>
  <c r="BN144" i="8"/>
  <c r="CK146" i="8"/>
  <c r="BU148" i="8"/>
  <c r="CE158" i="8"/>
  <c r="BN160" i="8"/>
  <c r="CK162" i="8"/>
  <c r="BU164" i="8"/>
  <c r="CE174" i="8"/>
  <c r="BN176" i="8"/>
  <c r="CK178" i="8"/>
  <c r="BU180" i="8"/>
  <c r="CK204" i="8"/>
  <c r="BU206" i="8"/>
  <c r="CK236" i="8"/>
  <c r="BU238" i="8"/>
  <c r="CK268" i="8"/>
  <c r="BU270" i="8"/>
  <c r="CK300" i="8"/>
  <c r="BU302" i="8"/>
  <c r="CK16" i="8"/>
  <c r="BU18" i="8"/>
  <c r="CK24" i="8"/>
  <c r="BN26" i="8"/>
  <c r="CE36" i="8"/>
  <c r="CK44" i="8"/>
  <c r="BN46" i="8"/>
  <c r="BU54" i="8"/>
  <c r="BN5" i="8"/>
  <c r="CK7" i="8"/>
  <c r="BU9" i="8"/>
  <c r="BZ15" i="8"/>
  <c r="BN21" i="8"/>
  <c r="CK23" i="8"/>
  <c r="BU25" i="8"/>
  <c r="BZ31" i="8"/>
  <c r="BN37" i="8"/>
  <c r="CK39" i="8"/>
  <c r="BU41" i="8"/>
  <c r="BZ47" i="8"/>
  <c r="CE51" i="8"/>
  <c r="BN53" i="8"/>
  <c r="CK55" i="8"/>
  <c r="BU57" i="8"/>
  <c r="BZ63" i="8"/>
  <c r="CE67" i="8"/>
  <c r="BN69" i="8"/>
  <c r="CK71" i="8"/>
  <c r="BU73" i="8"/>
  <c r="CE81" i="8"/>
  <c r="BN83" i="8"/>
  <c r="CK85" i="8"/>
  <c r="BU87" i="8"/>
  <c r="CE97" i="8"/>
  <c r="BN99" i="8"/>
  <c r="CK101" i="8"/>
  <c r="BU103" i="8"/>
  <c r="BZ109" i="8"/>
  <c r="CE113" i="8"/>
  <c r="BN115" i="8"/>
  <c r="CK117" i="8"/>
  <c r="BU119" i="8"/>
  <c r="CE111" i="8"/>
  <c r="BN113" i="8"/>
  <c r="CK115" i="8"/>
  <c r="BU117" i="8"/>
  <c r="BZ123" i="8"/>
  <c r="CE127" i="8"/>
  <c r="BN129" i="8"/>
  <c r="CK131" i="8"/>
  <c r="BU133" i="8"/>
  <c r="CE143" i="8"/>
  <c r="BN145" i="8"/>
  <c r="CK147" i="8"/>
  <c r="BU149" i="8"/>
  <c r="CE159" i="8"/>
  <c r="BN161" i="8"/>
  <c r="CK163" i="8"/>
  <c r="BU165" i="8"/>
  <c r="CE175" i="8"/>
  <c r="BN177" i="8"/>
  <c r="CK179" i="8"/>
  <c r="BU181" i="8"/>
  <c r="CK20" i="8"/>
  <c r="BU26" i="8"/>
  <c r="BN38" i="8"/>
  <c r="CE48" i="8"/>
  <c r="BU50" i="8"/>
  <c r="CE60" i="8"/>
  <c r="BN62" i="8"/>
  <c r="CK64" i="8"/>
  <c r="BU66" i="8"/>
  <c r="CE76" i="8"/>
  <c r="CK78" i="8"/>
  <c r="BU80" i="8"/>
  <c r="CE90" i="8"/>
  <c r="CL90" i="8" s="1"/>
  <c r="CN90" i="8" s="1"/>
  <c r="BN92" i="8"/>
  <c r="CK94" i="8"/>
  <c r="BU96" i="8"/>
  <c r="BZ102" i="8"/>
  <c r="CE106" i="8"/>
  <c r="BN108" i="8"/>
  <c r="CK110" i="8"/>
  <c r="BU112" i="8"/>
  <c r="CE122" i="8"/>
  <c r="BN124" i="8"/>
  <c r="CK126" i="8"/>
  <c r="BU128" i="8"/>
  <c r="CE138" i="8"/>
  <c r="BN140" i="8"/>
  <c r="CK142" i="8"/>
  <c r="BU144" i="8"/>
  <c r="CE154" i="8"/>
  <c r="CL154" i="8" s="1"/>
  <c r="CN154" i="8" s="1"/>
  <c r="BN156" i="8"/>
  <c r="CK158" i="8"/>
  <c r="BU160" i="8"/>
  <c r="BZ166" i="8"/>
  <c r="CE170" i="8"/>
  <c r="BN172" i="8"/>
  <c r="CK174" i="8"/>
  <c r="BU176" i="8"/>
  <c r="BZ182" i="8"/>
  <c r="CE186" i="8"/>
  <c r="CK196" i="8"/>
  <c r="BU198" i="8"/>
  <c r="CK228" i="8"/>
  <c r="BZ48" i="8"/>
  <c r="BN576" i="8"/>
  <c r="BN648" i="8"/>
  <c r="BN621" i="8"/>
  <c r="CK623" i="8"/>
  <c r="BU625" i="8"/>
  <c r="BN653" i="8"/>
  <c r="BN676" i="8"/>
  <c r="CE716" i="8"/>
  <c r="BU722" i="8"/>
  <c r="BU754" i="8"/>
  <c r="BN774" i="8"/>
  <c r="CK776" i="8"/>
  <c r="BN856" i="8"/>
  <c r="BN25" i="8"/>
  <c r="CK27" i="8"/>
  <c r="BU29" i="8"/>
  <c r="BZ35" i="8"/>
  <c r="CE39" i="8"/>
  <c r="BN41" i="8"/>
  <c r="CK43" i="8"/>
  <c r="BU45" i="8"/>
  <c r="BZ51" i="8"/>
  <c r="CE55" i="8"/>
  <c r="BN57" i="8"/>
  <c r="CK59" i="8"/>
  <c r="BU61" i="8"/>
  <c r="BZ67" i="8"/>
  <c r="CK354" i="8"/>
  <c r="BU388" i="8"/>
  <c r="BZ410" i="8"/>
  <c r="BN416" i="8"/>
  <c r="CK482" i="8"/>
  <c r="CK320" i="8"/>
  <c r="BU322" i="8"/>
  <c r="BZ344" i="8"/>
  <c r="BN350" i="8"/>
  <c r="CK352" i="8"/>
  <c r="BU354" i="8"/>
  <c r="BN382" i="8"/>
  <c r="CK384" i="8"/>
  <c r="BU386" i="8"/>
  <c r="BN414" i="8"/>
  <c r="CK416" i="8"/>
  <c r="BU418" i="8"/>
  <c r="BN446" i="8"/>
  <c r="CK448" i="8"/>
  <c r="BU450" i="8"/>
  <c r="BN478" i="8"/>
  <c r="CK480" i="8"/>
  <c r="BU482" i="8"/>
  <c r="CK514" i="8"/>
  <c r="BN340" i="8"/>
  <c r="BN372" i="8"/>
  <c r="BN404" i="8"/>
  <c r="BN436" i="8"/>
  <c r="BZ462" i="8"/>
  <c r="BN468" i="8"/>
  <c r="BU528" i="8"/>
  <c r="BN560" i="8"/>
  <c r="CK562" i="8"/>
  <c r="BU544" i="8"/>
  <c r="CK574" i="8"/>
  <c r="BU608" i="8"/>
  <c r="BZ638" i="8"/>
  <c r="CE642" i="8"/>
  <c r="BN644" i="8"/>
  <c r="BN660" i="8"/>
  <c r="CK662" i="8"/>
  <c r="BU696" i="8"/>
  <c r="BN718" i="8"/>
  <c r="BZ681" i="8"/>
  <c r="CK717" i="8"/>
  <c r="BU719" i="8"/>
  <c r="CE636" i="8"/>
  <c r="CE652" i="8"/>
  <c r="CE668" i="8"/>
  <c r="CE684" i="8"/>
  <c r="CE700" i="8"/>
  <c r="BN758" i="8"/>
  <c r="CK760" i="8"/>
  <c r="CK810" i="8"/>
  <c r="CK838" i="8"/>
  <c r="CE655" i="8"/>
  <c r="CE671" i="8"/>
  <c r="CE687" i="8"/>
  <c r="BZ713" i="8"/>
  <c r="BZ764" i="8"/>
  <c r="BN770" i="8"/>
  <c r="BU773" i="8"/>
  <c r="BU789" i="8"/>
  <c r="BZ811" i="8"/>
  <c r="BN840" i="8"/>
  <c r="BN862" i="8"/>
  <c r="CK872" i="8"/>
  <c r="BZ813" i="8"/>
  <c r="BU873" i="8"/>
  <c r="BU888" i="8"/>
  <c r="BU890" i="8"/>
  <c r="CE858" i="8"/>
  <c r="BN874" i="8"/>
  <c r="BU552" i="8"/>
  <c r="BU413" i="8"/>
  <c r="BU429" i="8"/>
  <c r="BU445" i="8"/>
  <c r="BN592" i="8"/>
  <c r="CE646" i="8"/>
  <c r="BU519" i="8"/>
  <c r="CE545" i="8"/>
  <c r="BZ623" i="8"/>
  <c r="BN629" i="8"/>
  <c r="CK631" i="8"/>
  <c r="CK682" i="8"/>
  <c r="BZ622" i="8"/>
  <c r="BN628" i="8"/>
  <c r="BZ686" i="8"/>
  <c r="BN692" i="8"/>
  <c r="CK694" i="8"/>
  <c r="CK720" i="8"/>
  <c r="CK784" i="8"/>
  <c r="BU667" i="8"/>
  <c r="BU683" i="8"/>
  <c r="BU699" i="8"/>
  <c r="CE720" i="8"/>
  <c r="BN722" i="8"/>
  <c r="BU762" i="8"/>
  <c r="BN790" i="8"/>
  <c r="CK792" i="8"/>
  <c r="BN808" i="8"/>
  <c r="BN738" i="8"/>
  <c r="BZ815" i="8"/>
  <c r="BU820" i="8"/>
  <c r="CK850" i="8"/>
  <c r="BU832" i="8"/>
  <c r="CK864" i="8"/>
  <c r="BU958" i="8"/>
  <c r="BU230" i="8"/>
  <c r="CK260" i="8"/>
  <c r="BU262" i="8"/>
  <c r="CK292" i="8"/>
  <c r="BU294" i="8"/>
  <c r="CE20" i="8"/>
  <c r="CE28" i="8"/>
  <c r="BU38" i="8"/>
  <c r="BZ40" i="8"/>
  <c r="BU46" i="8"/>
  <c r="CK56" i="8"/>
  <c r="BN58" i="8"/>
  <c r="BU5" i="8"/>
  <c r="BZ11" i="8"/>
  <c r="CE15" i="8"/>
  <c r="BN17" i="8"/>
  <c r="CK19" i="8"/>
  <c r="BU21" i="8"/>
  <c r="BZ27" i="8"/>
  <c r="CE31" i="8"/>
  <c r="BN33" i="8"/>
  <c r="CK35" i="8"/>
  <c r="BU37" i="8"/>
  <c r="BZ43" i="8"/>
  <c r="CE47" i="8"/>
  <c r="BN49" i="8"/>
  <c r="CK51" i="8"/>
  <c r="BU53" i="8"/>
  <c r="BZ59" i="8"/>
  <c r="CE63" i="8"/>
  <c r="BN65" i="8"/>
  <c r="CK67" i="8"/>
  <c r="BU69" i="8"/>
  <c r="BZ75" i="8"/>
  <c r="BN79" i="8"/>
  <c r="CK81" i="8"/>
  <c r="BU83" i="8"/>
  <c r="CE93" i="8"/>
  <c r="BN95" i="8"/>
  <c r="CK97" i="8"/>
  <c r="BU99" i="8"/>
  <c r="CE109" i="8"/>
  <c r="BN111" i="8"/>
  <c r="CK113" i="8"/>
  <c r="BU115" i="8"/>
  <c r="BZ121" i="8"/>
  <c r="CE125" i="8"/>
  <c r="BN127" i="8"/>
  <c r="CK129" i="8"/>
  <c r="BU131" i="8"/>
  <c r="CE141" i="8"/>
  <c r="BN143" i="8"/>
  <c r="CK145" i="8"/>
  <c r="BU147" i="8"/>
  <c r="CE157" i="8"/>
  <c r="BN159" i="8"/>
  <c r="CK161" i="8"/>
  <c r="BU163" i="8"/>
  <c r="BZ169" i="8"/>
  <c r="CE173" i="8"/>
  <c r="BN175" i="8"/>
  <c r="CK177" i="8"/>
  <c r="BU179" i="8"/>
  <c r="BZ201" i="8"/>
  <c r="BN207" i="8"/>
  <c r="CK209" i="8"/>
  <c r="BU211" i="8"/>
  <c r="BN239" i="8"/>
  <c r="CK241" i="8"/>
  <c r="BU243" i="8"/>
  <c r="BZ265" i="8"/>
  <c r="BN271" i="8"/>
  <c r="CK273" i="8"/>
  <c r="BU275" i="8"/>
  <c r="BN303" i="8"/>
  <c r="CK305" i="8"/>
  <c r="BU307" i="8"/>
  <c r="CE191" i="8"/>
  <c r="BN193" i="8"/>
  <c r="CK195" i="8"/>
  <c r="BU197" i="8"/>
  <c r="BZ203" i="8"/>
  <c r="CE207" i="8"/>
  <c r="BN209" i="8"/>
  <c r="CK211" i="8"/>
  <c r="BU213" i="8"/>
  <c r="CE223" i="8"/>
  <c r="BN225" i="8"/>
  <c r="CK227" i="8"/>
  <c r="BU229" i="8"/>
  <c r="CE239" i="8"/>
  <c r="BN241" i="8"/>
  <c r="CK243" i="8"/>
  <c r="BU245" i="8"/>
  <c r="BZ251" i="8"/>
  <c r="CE255" i="8"/>
  <c r="BN257" i="8"/>
  <c r="CK259" i="8"/>
  <c r="BU261" i="8"/>
  <c r="CE271" i="8"/>
  <c r="BN273" i="8"/>
  <c r="CK275" i="8"/>
  <c r="BU277" i="8"/>
  <c r="CE287" i="8"/>
  <c r="BN289" i="8"/>
  <c r="CK291" i="8"/>
  <c r="BU293" i="8"/>
  <c r="CE303" i="8"/>
  <c r="BN305" i="8"/>
  <c r="CK307" i="8"/>
  <c r="BU309" i="8"/>
  <c r="CK313" i="8"/>
  <c r="CK326" i="8"/>
  <c r="BU328" i="8"/>
  <c r="CK358" i="8"/>
  <c r="BU360" i="8"/>
  <c r="CK390" i="8"/>
  <c r="BU392" i="8"/>
  <c r="CK422" i="8"/>
  <c r="BU424" i="8"/>
  <c r="CK454" i="8"/>
  <c r="BU456" i="8"/>
  <c r="CK486" i="8"/>
  <c r="BU488" i="8"/>
  <c r="BN188" i="8"/>
  <c r="CK190" i="8"/>
  <c r="BU192" i="8"/>
  <c r="CE202" i="8"/>
  <c r="BN204" i="8"/>
  <c r="CK206" i="8"/>
  <c r="BU208" i="8"/>
  <c r="CE218" i="8"/>
  <c r="BN220" i="8"/>
  <c r="CK222" i="8"/>
  <c r="BU224" i="8"/>
  <c r="CE234" i="8"/>
  <c r="BN236" i="8"/>
  <c r="CK238" i="8"/>
  <c r="BU240" i="8"/>
  <c r="BZ246" i="8"/>
  <c r="CE250" i="8"/>
  <c r="BN252" i="8"/>
  <c r="CK254" i="8"/>
  <c r="BU256" i="8"/>
  <c r="BZ262" i="8"/>
  <c r="CE266" i="8"/>
  <c r="BN268" i="8"/>
  <c r="CK270" i="8"/>
  <c r="BU272" i="8"/>
  <c r="BZ278" i="8"/>
  <c r="CE282" i="8"/>
  <c r="BN284" i="8"/>
  <c r="CK286" i="8"/>
  <c r="BU288" i="8"/>
  <c r="CE298" i="8"/>
  <c r="BN300" i="8"/>
  <c r="CK302" i="8"/>
  <c r="BU304" i="8"/>
  <c r="CE313" i="8"/>
  <c r="BZ340" i="8"/>
  <c r="BN346" i="8"/>
  <c r="CK348" i="8"/>
  <c r="BU350" i="8"/>
  <c r="BN378" i="8"/>
  <c r="CK380" i="8"/>
  <c r="BU382" i="8"/>
  <c r="BZ404" i="8"/>
  <c r="BN410" i="8"/>
  <c r="CK412" i="8"/>
  <c r="BU414" i="8"/>
  <c r="BN442" i="8"/>
  <c r="CK444" i="8"/>
  <c r="BU446" i="8"/>
  <c r="BN474" i="8"/>
  <c r="CK476" i="8"/>
  <c r="BU478" i="8"/>
  <c r="CK506" i="8"/>
  <c r="BN313" i="8"/>
  <c r="CK315" i="8"/>
  <c r="BU317" i="8"/>
  <c r="CE327" i="8"/>
  <c r="BN329" i="8"/>
  <c r="CK331" i="8"/>
  <c r="CE343" i="8"/>
  <c r="BN345" i="8"/>
  <c r="CK347" i="8"/>
  <c r="CE359" i="8"/>
  <c r="BN361" i="8"/>
  <c r="CK363" i="8"/>
  <c r="CE375" i="8"/>
  <c r="BN377" i="8"/>
  <c r="CK379" i="8"/>
  <c r="CE391" i="8"/>
  <c r="BN393" i="8"/>
  <c r="CK395" i="8"/>
  <c r="BZ403" i="8"/>
  <c r="CE407" i="8"/>
  <c r="BN409" i="8"/>
  <c r="CK411" i="8"/>
  <c r="BZ419" i="8"/>
  <c r="CE423" i="8"/>
  <c r="BN425" i="8"/>
  <c r="CK427" i="8"/>
  <c r="CE439" i="8"/>
  <c r="BN441" i="8"/>
  <c r="CK443" i="8"/>
  <c r="CE455" i="8"/>
  <c r="BN457" i="8"/>
  <c r="CK459" i="8"/>
  <c r="CE471" i="8"/>
  <c r="BN473" i="8"/>
  <c r="CK475" i="8"/>
  <c r="CE487" i="8"/>
  <c r="BN489" i="8"/>
  <c r="CK491" i="8"/>
  <c r="BN509" i="8"/>
  <c r="CK511" i="8"/>
  <c r="BU564" i="8"/>
  <c r="CK594" i="8"/>
  <c r="CE325" i="8"/>
  <c r="BN327" i="8"/>
  <c r="CK329" i="8"/>
  <c r="BU331" i="8"/>
  <c r="CE341" i="8"/>
  <c r="BN343" i="8"/>
  <c r="CK345" i="8"/>
  <c r="BU347" i="8"/>
  <c r="CE357" i="8"/>
  <c r="BN359" i="8"/>
  <c r="CK361" i="8"/>
  <c r="BU363" i="8"/>
  <c r="CE373" i="8"/>
  <c r="BN375" i="8"/>
  <c r="CK377" i="8"/>
  <c r="BU379" i="8"/>
  <c r="BZ385" i="8"/>
  <c r="CE389" i="8"/>
  <c r="BN391" i="8"/>
  <c r="CK393" i="8"/>
  <c r="BU395" i="8"/>
  <c r="BZ401" i="8"/>
  <c r="CE405" i="8"/>
  <c r="BN407" i="8"/>
  <c r="CK409" i="8"/>
  <c r="BU411" i="8"/>
  <c r="BZ417" i="8"/>
  <c r="CE421" i="8"/>
  <c r="BN423" i="8"/>
  <c r="CK425" i="8"/>
  <c r="BU427" i="8"/>
  <c r="CE437" i="8"/>
  <c r="BN439" i="8"/>
  <c r="CK441" i="8"/>
  <c r="BU443" i="8"/>
  <c r="CE453" i="8"/>
  <c r="BN455" i="8"/>
  <c r="CK457" i="8"/>
  <c r="BU459" i="8"/>
  <c r="BZ465" i="8"/>
  <c r="CE469" i="8"/>
  <c r="BN471" i="8"/>
  <c r="CK473" i="8"/>
  <c r="BU475" i="8"/>
  <c r="CE485" i="8"/>
  <c r="BN487" i="8"/>
  <c r="CK489" i="8"/>
  <c r="BU491" i="8"/>
  <c r="BN505" i="8"/>
  <c r="CK507" i="8"/>
  <c r="BU509" i="8"/>
  <c r="BN537" i="8"/>
  <c r="CK539" i="8"/>
  <c r="BU556" i="8"/>
  <c r="CK586" i="8"/>
  <c r="BU620" i="8"/>
  <c r="CK501" i="8"/>
  <c r="BU503" i="8"/>
  <c r="CE513" i="8"/>
  <c r="BN515" i="8"/>
  <c r="CK517" i="8"/>
  <c r="CE529" i="8"/>
  <c r="BN531" i="8"/>
  <c r="CK533" i="8"/>
  <c r="BU535" i="8"/>
  <c r="BN547" i="8"/>
  <c r="CK549" i="8"/>
  <c r="CE561" i="8"/>
  <c r="BN563" i="8"/>
  <c r="CK565" i="8"/>
  <c r="CE577" i="8"/>
  <c r="BN579" i="8"/>
  <c r="CK581" i="8"/>
  <c r="CE593" i="8"/>
  <c r="BN595" i="8"/>
  <c r="CK597" i="8"/>
  <c r="CE609" i="8"/>
  <c r="BN611" i="8"/>
  <c r="CK613" i="8"/>
  <c r="CE500" i="8"/>
  <c r="BN502" i="8"/>
  <c r="CK504" i="8"/>
  <c r="BU506" i="8"/>
  <c r="CE516" i="8"/>
  <c r="BN518" i="8"/>
  <c r="CK520" i="8"/>
  <c r="BU522" i="8"/>
  <c r="CE532" i="8"/>
  <c r="BN534" i="8"/>
  <c r="CK536" i="8"/>
  <c r="BU538" i="8"/>
  <c r="CE548" i="8"/>
  <c r="BN550" i="8"/>
  <c r="CK552" i="8"/>
  <c r="BU554" i="8"/>
  <c r="CE564" i="8"/>
  <c r="BN566" i="8"/>
  <c r="CK568" i="8"/>
  <c r="BU570" i="8"/>
  <c r="CE580" i="8"/>
  <c r="BN582" i="8"/>
  <c r="CK584" i="8"/>
  <c r="BU586" i="8"/>
  <c r="CE596" i="8"/>
  <c r="BN598" i="8"/>
  <c r="CK600" i="8"/>
  <c r="BU602" i="8"/>
  <c r="CE612" i="8"/>
  <c r="BN614" i="8"/>
  <c r="CK616" i="8"/>
  <c r="BU618" i="8"/>
  <c r="CK630" i="8"/>
  <c r="BU632" i="8"/>
  <c r="CE543" i="8"/>
  <c r="BN545" i="8"/>
  <c r="CK547" i="8"/>
  <c r="BU549" i="8"/>
  <c r="CE559" i="8"/>
  <c r="BN561" i="8"/>
  <c r="CK563" i="8"/>
  <c r="BU565" i="8"/>
  <c r="CE575" i="8"/>
  <c r="BN577" i="8"/>
  <c r="CK579" i="8"/>
  <c r="BU581" i="8"/>
  <c r="CE591" i="8"/>
  <c r="BN593" i="8"/>
  <c r="CK595" i="8"/>
  <c r="BU597" i="8"/>
  <c r="CE607" i="8"/>
  <c r="BN609" i="8"/>
  <c r="CK611" i="8"/>
  <c r="BU613" i="8"/>
  <c r="BN625" i="8"/>
  <c r="CK627" i="8"/>
  <c r="BU629" i="8"/>
  <c r="CK674" i="8"/>
  <c r="CE629" i="8"/>
  <c r="BN631" i="8"/>
  <c r="CK633" i="8"/>
  <c r="BU635" i="8"/>
  <c r="BZ641" i="8"/>
  <c r="CE645" i="8"/>
  <c r="BN647" i="8"/>
  <c r="CK649" i="8"/>
  <c r="BU651" i="8"/>
  <c r="CE661" i="8"/>
  <c r="BN663" i="8"/>
  <c r="CK665" i="8"/>
  <c r="CE677" i="8"/>
  <c r="BN679" i="8"/>
  <c r="CK681" i="8"/>
  <c r="CE693" i="8"/>
  <c r="BN695" i="8"/>
  <c r="CK697" i="8"/>
  <c r="CE628" i="8"/>
  <c r="BN630" i="8"/>
  <c r="CK632" i="8"/>
  <c r="BU634" i="8"/>
  <c r="BZ640" i="8"/>
  <c r="CE644" i="8"/>
  <c r="BN646" i="8"/>
  <c r="CK648" i="8"/>
  <c r="BU650" i="8"/>
  <c r="CE660" i="8"/>
  <c r="BN662" i="8"/>
  <c r="CK664" i="8"/>
  <c r="BU666" i="8"/>
  <c r="CE676" i="8"/>
  <c r="BN678" i="8"/>
  <c r="CK680" i="8"/>
  <c r="BU682" i="8"/>
  <c r="CE692" i="8"/>
  <c r="BN694" i="8"/>
  <c r="CK696" i="8"/>
  <c r="BU698" i="8"/>
  <c r="CK724" i="8"/>
  <c r="BU726" i="8"/>
  <c r="BU653" i="8"/>
  <c r="CE663" i="8"/>
  <c r="BN665" i="8"/>
  <c r="CK667" i="8"/>
  <c r="BU669" i="8"/>
  <c r="CE679" i="8"/>
  <c r="BN681" i="8"/>
  <c r="CK683" i="8"/>
  <c r="BU685" i="8"/>
  <c r="BZ691" i="8"/>
  <c r="CE695" i="8"/>
  <c r="BN697" i="8"/>
  <c r="CK699" i="8"/>
  <c r="BU701" i="8"/>
  <c r="BN703" i="8"/>
  <c r="CK705" i="8"/>
  <c r="BU707" i="8"/>
  <c r="BZ729" i="8"/>
  <c r="CK740" i="8"/>
  <c r="BU774" i="8"/>
  <c r="CE711" i="8"/>
  <c r="BN713" i="8"/>
  <c r="CK715" i="8"/>
  <c r="BU717" i="8"/>
  <c r="BZ723" i="8"/>
  <c r="CE727" i="8"/>
  <c r="BN729" i="8"/>
  <c r="CK731" i="8"/>
  <c r="BU733" i="8"/>
  <c r="CE743" i="8"/>
  <c r="BN745" i="8"/>
  <c r="CK747" i="8"/>
  <c r="BU749" i="8"/>
  <c r="CE759" i="8"/>
  <c r="BN761" i="8"/>
  <c r="CK763" i="8"/>
  <c r="BU765" i="8"/>
  <c r="CE775" i="8"/>
  <c r="BN777" i="8"/>
  <c r="CK779" i="8"/>
  <c r="CE791" i="8"/>
  <c r="BN793" i="8"/>
  <c r="CK702" i="8"/>
  <c r="BU704" i="8"/>
  <c r="BZ710" i="8"/>
  <c r="CE714" i="8"/>
  <c r="BN716" i="8"/>
  <c r="CK718" i="8"/>
  <c r="BU720" i="8"/>
  <c r="BZ726" i="8"/>
  <c r="CE730" i="8"/>
  <c r="BN732" i="8"/>
  <c r="CK734" i="8"/>
  <c r="BU736" i="8"/>
  <c r="BZ742" i="8"/>
  <c r="CE746" i="8"/>
  <c r="BN748" i="8"/>
  <c r="CK750" i="8"/>
  <c r="BU752" i="8"/>
  <c r="BZ758" i="8"/>
  <c r="CE762" i="8"/>
  <c r="BN764" i="8"/>
  <c r="CK766" i="8"/>
  <c r="BU768" i="8"/>
  <c r="BZ774" i="8"/>
  <c r="CE778" i="8"/>
  <c r="BN780" i="8"/>
  <c r="CK782" i="8"/>
  <c r="BU784" i="8"/>
  <c r="BN735" i="8"/>
  <c r="CK737" i="8"/>
  <c r="BU739" i="8"/>
  <c r="CE749" i="8"/>
  <c r="BN751" i="8"/>
  <c r="CK753" i="8"/>
  <c r="BU755" i="8"/>
  <c r="BZ761" i="8"/>
  <c r="CE765" i="8"/>
  <c r="BN767" i="8"/>
  <c r="CK769" i="8"/>
  <c r="BU771" i="8"/>
  <c r="BZ777" i="8"/>
  <c r="CE781" i="8"/>
  <c r="BN783" i="8"/>
  <c r="CK785" i="8"/>
  <c r="BU787" i="8"/>
  <c r="BN801" i="8"/>
  <c r="CK803" i="8"/>
  <c r="BU805" i="8"/>
  <c r="BU844" i="8"/>
  <c r="BN795" i="8"/>
  <c r="CK797" i="8"/>
  <c r="BU799" i="8"/>
  <c r="CE809" i="8"/>
  <c r="BN811" i="8"/>
  <c r="CK813" i="8"/>
  <c r="BU815" i="8"/>
  <c r="CE825" i="8"/>
  <c r="BN827" i="8"/>
  <c r="CK829" i="8"/>
  <c r="BU831" i="8"/>
  <c r="CE841" i="8"/>
  <c r="BN843" i="8"/>
  <c r="CK845" i="8"/>
  <c r="BU847" i="8"/>
  <c r="CE796" i="8"/>
  <c r="BN798" i="8"/>
  <c r="CK800" i="8"/>
  <c r="BU802" i="8"/>
  <c r="BZ808" i="8"/>
  <c r="CE812" i="8"/>
  <c r="BN814" i="8"/>
  <c r="CK816" i="8"/>
  <c r="BU818" i="8"/>
  <c r="BZ824" i="8"/>
  <c r="CE828" i="8"/>
  <c r="BN830" i="8"/>
  <c r="CK832" i="8"/>
  <c r="BU834" i="8"/>
  <c r="BZ840" i="8"/>
  <c r="CE844" i="8"/>
  <c r="BN846" i="8"/>
  <c r="CK848" i="8"/>
  <c r="BU850" i="8"/>
  <c r="CE819" i="8"/>
  <c r="BN821" i="8"/>
  <c r="CK823" i="8"/>
  <c r="BU825" i="8"/>
  <c r="CE835" i="8"/>
  <c r="BN837" i="8"/>
  <c r="CK839" i="8"/>
  <c r="BU841" i="8"/>
  <c r="CE851" i="8"/>
  <c r="BN853" i="8"/>
  <c r="CK855" i="8"/>
  <c r="CK858" i="8"/>
  <c r="BU860" i="8"/>
  <c r="BU870" i="8"/>
  <c r="BU872" i="8"/>
  <c r="BU874" i="8"/>
  <c r="CK877" i="8"/>
  <c r="BN881" i="8"/>
  <c r="CE884" i="8"/>
  <c r="CE886" i="8"/>
  <c r="BU889" i="8"/>
  <c r="CK892" i="8"/>
  <c r="CK894" i="8"/>
  <c r="BN896" i="8"/>
  <c r="BN898" i="8"/>
  <c r="CE865" i="8"/>
  <c r="BN867" i="8"/>
  <c r="BN869" i="8"/>
  <c r="CK871" i="8"/>
  <c r="BN875" i="8"/>
  <c r="CE879" i="8"/>
  <c r="CK904" i="8"/>
  <c r="CE874" i="8"/>
  <c r="BU877" i="8"/>
  <c r="CK880" i="8"/>
  <c r="CK882" i="8"/>
  <c r="BN884" i="8"/>
  <c r="BN886" i="8"/>
  <c r="CE889" i="8"/>
  <c r="BU892" i="8"/>
  <c r="BU894" i="8"/>
  <c r="CK897" i="8"/>
  <c r="BN901" i="8"/>
  <c r="BN908" i="8"/>
  <c r="CK928" i="8"/>
  <c r="BU903" i="8"/>
  <c r="CK907" i="8"/>
  <c r="BN913" i="8"/>
  <c r="BN915" i="8"/>
  <c r="CK918" i="8"/>
  <c r="BN924" i="8"/>
  <c r="BN926" i="8"/>
  <c r="CK932" i="8"/>
  <c r="CK934" i="8"/>
  <c r="BN940" i="8"/>
  <c r="BN942" i="8"/>
  <c r="CK901" i="8"/>
  <c r="BN905" i="8"/>
  <c r="CE908" i="8"/>
  <c r="CE910" i="8"/>
  <c r="BU917" i="8"/>
  <c r="CE921" i="8"/>
  <c r="CE923" i="8"/>
  <c r="BU928" i="8"/>
  <c r="BU930" i="8"/>
  <c r="CE937" i="8"/>
  <c r="CE939" i="8"/>
  <c r="BU944" i="8"/>
  <c r="CE914" i="8"/>
  <c r="BU919" i="8"/>
  <c r="CE924" i="8"/>
  <c r="CE926" i="8"/>
  <c r="BU933" i="8"/>
  <c r="BU935" i="8"/>
  <c r="CE940" i="8"/>
  <c r="CE942" i="8"/>
  <c r="CK950" i="8"/>
  <c r="BN949" i="8"/>
  <c r="CK962" i="8"/>
  <c r="CK964" i="8"/>
  <c r="BN970" i="8"/>
  <c r="BN972" i="8"/>
  <c r="CK945" i="8"/>
  <c r="CK947" i="8"/>
  <c r="BN951" i="8"/>
  <c r="BN953" i="8"/>
  <c r="CE956" i="8"/>
  <c r="BU959" i="8"/>
  <c r="BU961" i="8"/>
  <c r="CE966" i="8"/>
  <c r="CE968" i="8"/>
  <c r="BU975" i="8"/>
  <c r="CE958" i="8"/>
  <c r="BU963" i="8"/>
  <c r="BU965" i="8"/>
  <c r="CE970" i="8"/>
  <c r="CE972" i="8"/>
  <c r="BN982" i="8"/>
  <c r="BN976" i="8"/>
  <c r="CE979" i="8"/>
  <c r="CE981" i="8"/>
  <c r="CK987" i="8"/>
  <c r="CK989" i="8"/>
  <c r="BN991" i="8"/>
  <c r="BN993" i="8"/>
  <c r="BU994" i="8"/>
  <c r="CE985" i="8"/>
  <c r="BU988" i="8"/>
  <c r="CK991" i="8"/>
  <c r="CK993" i="8"/>
  <c r="BN995" i="8"/>
  <c r="CK997" i="8"/>
  <c r="BN999" i="8"/>
  <c r="BN1001" i="8"/>
  <c r="CK1005" i="8"/>
  <c r="CK998" i="8"/>
  <c r="CK1002" i="8"/>
  <c r="CK1006" i="8"/>
  <c r="CE182" i="8"/>
  <c r="BN184" i="8"/>
  <c r="CK186" i="8"/>
  <c r="CK188" i="8"/>
  <c r="BU190" i="8"/>
  <c r="CK220" i="8"/>
  <c r="BU222" i="8"/>
  <c r="CK252" i="8"/>
  <c r="BU254" i="8"/>
  <c r="CK284" i="8"/>
  <c r="BU286" i="8"/>
  <c r="BN22" i="8"/>
  <c r="BN30" i="8"/>
  <c r="CK40" i="8"/>
  <c r="CK48" i="8"/>
  <c r="BN50" i="8"/>
  <c r="BU58" i="8"/>
  <c r="BZ60" i="8"/>
  <c r="BZ7" i="8"/>
  <c r="CE11" i="8"/>
  <c r="BN13" i="8"/>
  <c r="CK15" i="8"/>
  <c r="BU17" i="8"/>
  <c r="BZ23" i="8"/>
  <c r="CE27" i="8"/>
  <c r="BN29" i="8"/>
  <c r="CK31" i="8"/>
  <c r="BU33" i="8"/>
  <c r="BZ39" i="8"/>
  <c r="CE43" i="8"/>
  <c r="BN45" i="8"/>
  <c r="CK47" i="8"/>
  <c r="BU49" i="8"/>
  <c r="BZ55" i="8"/>
  <c r="CE59" i="8"/>
  <c r="BN61" i="8"/>
  <c r="CK63" i="8"/>
  <c r="BU65" i="8"/>
  <c r="BZ71" i="8"/>
  <c r="CE75" i="8"/>
  <c r="BN77" i="8"/>
  <c r="BU79" i="8"/>
  <c r="CE89" i="8"/>
  <c r="BN91" i="8"/>
  <c r="CK93" i="8"/>
  <c r="BU95" i="8"/>
  <c r="BZ101" i="8"/>
  <c r="CE105" i="8"/>
  <c r="BN107" i="8"/>
  <c r="CK109" i="8"/>
  <c r="BU111" i="8"/>
  <c r="CE121" i="8"/>
  <c r="BN123" i="8"/>
  <c r="CK125" i="8"/>
  <c r="BU127" i="8"/>
  <c r="BZ133" i="8"/>
  <c r="CE137" i="8"/>
  <c r="BN139" i="8"/>
  <c r="CK141" i="8"/>
  <c r="BU143" i="8"/>
  <c r="CE153" i="8"/>
  <c r="BN155" i="8"/>
  <c r="CK157" i="8"/>
  <c r="BU159" i="8"/>
  <c r="BZ165" i="8"/>
  <c r="CE169" i="8"/>
  <c r="BN171" i="8"/>
  <c r="CK173" i="8"/>
  <c r="BU175" i="8"/>
  <c r="BZ181" i="8"/>
  <c r="CE185" i="8"/>
  <c r="BN187" i="8"/>
  <c r="BN199" i="8"/>
  <c r="CK201" i="8"/>
  <c r="BU203" i="8"/>
  <c r="BN231" i="8"/>
  <c r="CK233" i="8"/>
  <c r="BU235" i="8"/>
  <c r="BZ257" i="8"/>
  <c r="BN263" i="8"/>
  <c r="CK265" i="8"/>
  <c r="BU267" i="8"/>
  <c r="BN295" i="8"/>
  <c r="CK297" i="8"/>
  <c r="BU299" i="8"/>
  <c r="BN320" i="8"/>
  <c r="CK386" i="8"/>
  <c r="CE187" i="8"/>
  <c r="BN189" i="8"/>
  <c r="CK191" i="8"/>
  <c r="BU193" i="8"/>
  <c r="CE203" i="8"/>
  <c r="BN205" i="8"/>
  <c r="CK207" i="8"/>
  <c r="BU209" i="8"/>
  <c r="CE219" i="8"/>
  <c r="BN221" i="8"/>
  <c r="CK223" i="8"/>
  <c r="BU225" i="8"/>
  <c r="CE235" i="8"/>
  <c r="BN237" i="8"/>
  <c r="CK239" i="8"/>
  <c r="BU241" i="8"/>
  <c r="BZ247" i="8"/>
  <c r="CE251" i="8"/>
  <c r="BN253" i="8"/>
  <c r="CK255" i="8"/>
  <c r="BU257" i="8"/>
  <c r="BZ263" i="8"/>
  <c r="CE267" i="8"/>
  <c r="BN269" i="8"/>
  <c r="CK271" i="8"/>
  <c r="BU273" i="8"/>
  <c r="BZ279" i="8"/>
  <c r="CE283" i="8"/>
  <c r="BN285" i="8"/>
  <c r="CK287" i="8"/>
  <c r="BU289" i="8"/>
  <c r="CE299" i="8"/>
  <c r="BN301" i="8"/>
  <c r="CK303" i="8"/>
  <c r="BU305" i="8"/>
  <c r="BU312" i="8"/>
  <c r="BN314" i="8"/>
  <c r="CK316" i="8"/>
  <c r="CK318" i="8"/>
  <c r="BU320" i="8"/>
  <c r="CK350" i="8"/>
  <c r="BU352" i="8"/>
  <c r="CK382" i="8"/>
  <c r="BU384" i="8"/>
  <c r="CK414" i="8"/>
  <c r="BU416" i="8"/>
  <c r="CK446" i="8"/>
  <c r="BU448" i="8"/>
  <c r="CK478" i="8"/>
  <c r="BU480" i="8"/>
  <c r="BU188" i="8"/>
  <c r="CE198" i="8"/>
  <c r="BN200" i="8"/>
  <c r="CK202" i="8"/>
  <c r="BU204" i="8"/>
  <c r="CE214" i="8"/>
  <c r="BN216" i="8"/>
  <c r="CK218" i="8"/>
  <c r="BU220" i="8"/>
  <c r="CE230" i="8"/>
  <c r="BN232" i="8"/>
  <c r="CK234" i="8"/>
  <c r="BU236" i="8"/>
  <c r="CE246" i="8"/>
  <c r="BN248" i="8"/>
  <c r="CK250" i="8"/>
  <c r="BU252" i="8"/>
  <c r="CE262" i="8"/>
  <c r="BN264" i="8"/>
  <c r="CK266" i="8"/>
  <c r="BU268" i="8"/>
  <c r="BZ274" i="8"/>
  <c r="CE278" i="8"/>
  <c r="BN280" i="8"/>
  <c r="CK282" i="8"/>
  <c r="BU284" i="8"/>
  <c r="CE294" i="8"/>
  <c r="BN296" i="8"/>
  <c r="CK298" i="8"/>
  <c r="BU300" i="8"/>
  <c r="CE310" i="8"/>
  <c r="BN312" i="8"/>
  <c r="CK314" i="8"/>
  <c r="CE316" i="8"/>
  <c r="BN338" i="8"/>
  <c r="CL338" i="8" s="1"/>
  <c r="CN338" i="8" s="1"/>
  <c r="CK340" i="8"/>
  <c r="BU342" i="8"/>
  <c r="BN370" i="8"/>
  <c r="CK372" i="8"/>
  <c r="BU374" i="8"/>
  <c r="BN402" i="8"/>
  <c r="CK404" i="8"/>
  <c r="BU406" i="8"/>
  <c r="BN434" i="8"/>
  <c r="CK436" i="8"/>
  <c r="BU438" i="8"/>
  <c r="BZ460" i="8"/>
  <c r="BN466" i="8"/>
  <c r="CK468" i="8"/>
  <c r="BU470" i="8"/>
  <c r="BN498" i="8"/>
  <c r="BU524" i="8"/>
  <c r="BU313" i="8"/>
  <c r="CE323" i="8"/>
  <c r="BN325" i="8"/>
  <c r="CK327" i="8"/>
  <c r="BU329" i="8"/>
  <c r="CE339" i="8"/>
  <c r="BN341" i="8"/>
  <c r="CK343" i="8"/>
  <c r="BU345" i="8"/>
  <c r="CE355" i="8"/>
  <c r="BN357" i="8"/>
  <c r="CK359" i="8"/>
  <c r="BU361" i="8"/>
  <c r="CE371" i="8"/>
  <c r="BN373" i="8"/>
  <c r="CK375" i="8"/>
  <c r="BU377" i="8"/>
  <c r="BZ383" i="8"/>
  <c r="CE387" i="8"/>
  <c r="BN389" i="8"/>
  <c r="CK391" i="8"/>
  <c r="BU393" i="8"/>
  <c r="BZ399" i="8"/>
  <c r="CE403" i="8"/>
  <c r="BN405" i="8"/>
  <c r="CK407" i="8"/>
  <c r="BU409" i="8"/>
  <c r="BZ415" i="8"/>
  <c r="CE419" i="8"/>
  <c r="BN421" i="8"/>
  <c r="CK423" i="8"/>
  <c r="BU425" i="8"/>
  <c r="CE435" i="8"/>
  <c r="BN437" i="8"/>
  <c r="CK439" i="8"/>
  <c r="BU441" i="8"/>
  <c r="CE451" i="8"/>
  <c r="BN453" i="8"/>
  <c r="CK455" i="8"/>
  <c r="BU457" i="8"/>
  <c r="CE467" i="8"/>
  <c r="BN469" i="8"/>
  <c r="CK471" i="8"/>
  <c r="BU473" i="8"/>
  <c r="CE483" i="8"/>
  <c r="BN485" i="8"/>
  <c r="CK487" i="8"/>
  <c r="BU489" i="8"/>
  <c r="BN501" i="8"/>
  <c r="CK503" i="8"/>
  <c r="BN533" i="8"/>
  <c r="CK535" i="8"/>
  <c r="BU548" i="8"/>
  <c r="CK578" i="8"/>
  <c r="BU612" i="8"/>
  <c r="CE321" i="8"/>
  <c r="BN323" i="8"/>
  <c r="CK325" i="8"/>
  <c r="BU327" i="8"/>
  <c r="CE337" i="8"/>
  <c r="BN339" i="8"/>
  <c r="CK341" i="8"/>
  <c r="BU343" i="8"/>
  <c r="CE353" i="8"/>
  <c r="BN355" i="8"/>
  <c r="CK357" i="8"/>
  <c r="BU359" i="8"/>
  <c r="CE369" i="8"/>
  <c r="BN371" i="8"/>
  <c r="CK373" i="8"/>
  <c r="BU375" i="8"/>
  <c r="BZ381" i="8"/>
  <c r="CE385" i="8"/>
  <c r="BN387" i="8"/>
  <c r="CK389" i="8"/>
  <c r="BU391" i="8"/>
  <c r="BZ397" i="8"/>
  <c r="CE401" i="8"/>
  <c r="BN403" i="8"/>
  <c r="CK405" i="8"/>
  <c r="BU407" i="8"/>
  <c r="BZ413" i="8"/>
  <c r="CE417" i="8"/>
  <c r="BN419" i="8"/>
  <c r="CK421" i="8"/>
  <c r="BU423" i="8"/>
  <c r="CE433" i="8"/>
  <c r="BN435" i="8"/>
  <c r="CK437" i="8"/>
  <c r="BU439" i="8"/>
  <c r="CE449" i="8"/>
  <c r="BN451" i="8"/>
  <c r="CK453" i="8"/>
  <c r="BU455" i="8"/>
  <c r="CE465" i="8"/>
  <c r="BN467" i="8"/>
  <c r="CK469" i="8"/>
  <c r="BU471" i="8"/>
  <c r="CE481" i="8"/>
  <c r="BN483" i="8"/>
  <c r="CK485" i="8"/>
  <c r="BU487" i="8"/>
  <c r="CE497" i="8"/>
  <c r="BN499" i="8"/>
  <c r="CK499" i="8"/>
  <c r="BU501" i="8"/>
  <c r="BN529" i="8"/>
  <c r="CK531" i="8"/>
  <c r="BU533" i="8"/>
  <c r="BU540" i="8"/>
  <c r="CK570" i="8"/>
  <c r="BU604" i="8"/>
  <c r="CE509" i="8"/>
  <c r="BN511" i="8"/>
  <c r="CK513" i="8"/>
  <c r="BU515" i="8"/>
  <c r="CE525" i="8"/>
  <c r="BN527" i="8"/>
  <c r="CK529" i="8"/>
  <c r="BU531" i="8"/>
  <c r="CE541" i="8"/>
  <c r="BN543" i="8"/>
  <c r="CK545" i="8"/>
  <c r="BU547" i="8"/>
  <c r="CE557" i="8"/>
  <c r="BN559" i="8"/>
  <c r="CK561" i="8"/>
  <c r="BU563" i="8"/>
  <c r="CE573" i="8"/>
  <c r="BN575" i="8"/>
  <c r="CK577" i="8"/>
  <c r="BU579" i="8"/>
  <c r="CE589" i="8"/>
  <c r="BN591" i="8"/>
  <c r="CK593" i="8"/>
  <c r="BU595" i="8"/>
  <c r="CE605" i="8"/>
  <c r="BN607" i="8"/>
  <c r="CK609" i="8"/>
  <c r="BU611" i="8"/>
  <c r="CK500" i="8"/>
  <c r="BU502" i="8"/>
  <c r="CE512" i="8"/>
  <c r="BN514" i="8"/>
  <c r="CK516" i="8"/>
  <c r="BU518" i="8"/>
  <c r="CE528" i="8"/>
  <c r="BN530" i="8"/>
  <c r="CK532" i="8"/>
  <c r="BU534" i="8"/>
  <c r="CE544" i="8"/>
  <c r="BN546" i="8"/>
  <c r="CK548" i="8"/>
  <c r="BU550" i="8"/>
  <c r="CE560" i="8"/>
  <c r="BN562" i="8"/>
  <c r="CK564" i="8"/>
  <c r="BU566" i="8"/>
  <c r="CE576" i="8"/>
  <c r="BN578" i="8"/>
  <c r="CK580" i="8"/>
  <c r="BU582" i="8"/>
  <c r="CE592" i="8"/>
  <c r="BN594" i="8"/>
  <c r="CK596" i="8"/>
  <c r="BU598" i="8"/>
  <c r="CE608" i="8"/>
  <c r="BN610" i="8"/>
  <c r="CK612" i="8"/>
  <c r="BU614" i="8"/>
  <c r="CK622" i="8"/>
  <c r="BU624" i="8"/>
  <c r="CE650" i="8"/>
  <c r="BN652" i="8"/>
  <c r="CK678" i="8"/>
  <c r="BN541" i="8"/>
  <c r="CK543" i="8"/>
  <c r="BU545" i="8"/>
  <c r="CE555" i="8"/>
  <c r="BN557" i="8"/>
  <c r="CK559" i="8"/>
  <c r="BU561" i="8"/>
  <c r="CE571" i="8"/>
  <c r="BN573" i="8"/>
  <c r="CK575" i="8"/>
  <c r="BU577" i="8"/>
  <c r="CE587" i="8"/>
  <c r="BN589" i="8"/>
  <c r="CK591" i="8"/>
  <c r="BU593" i="8"/>
  <c r="CE603" i="8"/>
  <c r="BN605" i="8"/>
  <c r="CK607" i="8"/>
  <c r="BU609" i="8"/>
  <c r="CE619" i="8"/>
  <c r="BU621" i="8"/>
  <c r="BN649" i="8"/>
  <c r="CK651" i="8"/>
  <c r="CK658" i="8"/>
  <c r="BU692" i="8"/>
  <c r="BZ621" i="8"/>
  <c r="CE625" i="8"/>
  <c r="BN627" i="8"/>
  <c r="CK629" i="8"/>
  <c r="BU631" i="8"/>
  <c r="BZ637" i="8"/>
  <c r="CE641" i="8"/>
  <c r="BN643" i="8"/>
  <c r="CK645" i="8"/>
  <c r="BU647" i="8"/>
  <c r="CE657" i="8"/>
  <c r="BN659" i="8"/>
  <c r="CK661" i="8"/>
  <c r="BU663" i="8"/>
  <c r="CE673" i="8"/>
  <c r="BN675" i="8"/>
  <c r="CK677" i="8"/>
  <c r="BU679" i="8"/>
  <c r="BZ685" i="8"/>
  <c r="CE689" i="8"/>
  <c r="BN691" i="8"/>
  <c r="CK693" i="8"/>
  <c r="BU695" i="8"/>
  <c r="BZ701" i="8"/>
  <c r="BN723" i="8"/>
  <c r="CK725" i="8"/>
  <c r="BU750" i="8"/>
  <c r="CK780" i="8"/>
  <c r="CE624" i="8"/>
  <c r="BN626" i="8"/>
  <c r="CK628" i="8"/>
  <c r="BU630" i="8"/>
  <c r="BZ636" i="8"/>
  <c r="CE640" i="8"/>
  <c r="BN642" i="8"/>
  <c r="CK644" i="8"/>
  <c r="BU646" i="8"/>
  <c r="CE656" i="8"/>
  <c r="BN658" i="8"/>
  <c r="CK660" i="8"/>
  <c r="BU662" i="8"/>
  <c r="CE672" i="8"/>
  <c r="BN674" i="8"/>
  <c r="CK676" i="8"/>
  <c r="BU678" i="8"/>
  <c r="CE688" i="8"/>
  <c r="BN690" i="8"/>
  <c r="CK692" i="8"/>
  <c r="BU694" i="8"/>
  <c r="CK716" i="8"/>
  <c r="BU718" i="8"/>
  <c r="CE659" i="8"/>
  <c r="BN661" i="8"/>
  <c r="CK663" i="8"/>
  <c r="BU665" i="8"/>
  <c r="CE675" i="8"/>
  <c r="BN677" i="8"/>
  <c r="CK679" i="8"/>
  <c r="BU681" i="8"/>
  <c r="BZ687" i="8"/>
  <c r="CE691" i="8"/>
  <c r="BN693" i="8"/>
  <c r="CK695" i="8"/>
  <c r="BU697" i="8"/>
  <c r="BN727" i="8"/>
  <c r="CK729" i="8"/>
  <c r="BU731" i="8"/>
  <c r="BU758" i="8"/>
  <c r="CK788" i="8"/>
  <c r="CE707" i="8"/>
  <c r="BN709" i="8"/>
  <c r="CK711" i="8"/>
  <c r="BU713" i="8"/>
  <c r="BZ719" i="8"/>
  <c r="CE723" i="8"/>
  <c r="BN725" i="8"/>
  <c r="CK727" i="8"/>
  <c r="BU729" i="8"/>
  <c r="CE739" i="8"/>
  <c r="BN741" i="8"/>
  <c r="CK743" i="8"/>
  <c r="BU745" i="8"/>
  <c r="CE755" i="8"/>
  <c r="BN757" i="8"/>
  <c r="CK759" i="8"/>
  <c r="BU761" i="8"/>
  <c r="CE771" i="8"/>
  <c r="BN773" i="8"/>
  <c r="CK775" i="8"/>
  <c r="BU777" i="8"/>
  <c r="CE787" i="8"/>
  <c r="BN789" i="8"/>
  <c r="CK791" i="8"/>
  <c r="BU793" i="8"/>
  <c r="BZ706" i="8"/>
  <c r="CE710" i="8"/>
  <c r="BN712" i="8"/>
  <c r="CK714" i="8"/>
  <c r="BU716" i="8"/>
  <c r="CE726" i="8"/>
  <c r="BN728" i="8"/>
  <c r="CK730" i="8"/>
  <c r="BU732" i="8"/>
  <c r="BZ738" i="8"/>
  <c r="CE742" i="8"/>
  <c r="BN744" i="8"/>
  <c r="CK746" i="8"/>
  <c r="BU748" i="8"/>
  <c r="BZ754" i="8"/>
  <c r="CE758" i="8"/>
  <c r="BN760" i="8"/>
  <c r="CK762" i="8"/>
  <c r="BU764" i="8"/>
  <c r="BZ770" i="8"/>
  <c r="CE774" i="8"/>
  <c r="BN776" i="8"/>
  <c r="CK778" i="8"/>
  <c r="BU780" i="8"/>
  <c r="BZ786" i="8"/>
  <c r="CE790" i="8"/>
  <c r="BN792" i="8"/>
  <c r="CK814" i="8"/>
  <c r="BU735" i="8"/>
  <c r="BZ741" i="8"/>
  <c r="CE745" i="8"/>
  <c r="BN747" i="8"/>
  <c r="CK749" i="8"/>
  <c r="BU751" i="8"/>
  <c r="BZ757" i="8"/>
  <c r="CE761" i="8"/>
  <c r="BN763" i="8"/>
  <c r="CK765" i="8"/>
  <c r="BU767" i="8"/>
  <c r="BZ773" i="8"/>
  <c r="CE777" i="8"/>
  <c r="BN779" i="8"/>
  <c r="CK781" i="8"/>
  <c r="BU783" i="8"/>
  <c r="CE793" i="8"/>
  <c r="CK795" i="8"/>
  <c r="BU797" i="8"/>
  <c r="BU828" i="8"/>
  <c r="BU795" i="8"/>
  <c r="BZ801" i="8"/>
  <c r="CE805" i="8"/>
  <c r="BN807" i="8"/>
  <c r="CK809" i="8"/>
  <c r="BU811" i="8"/>
  <c r="CE821" i="8"/>
  <c r="BN823" i="8"/>
  <c r="CK825" i="8"/>
  <c r="BU827" i="8"/>
  <c r="CE837" i="8"/>
  <c r="BN839" i="8"/>
  <c r="CK841" i="8"/>
  <c r="BU843" i="8"/>
  <c r="CE853" i="8"/>
  <c r="BN855" i="8"/>
  <c r="CK796" i="8"/>
  <c r="BU798" i="8"/>
  <c r="BZ804" i="8"/>
  <c r="CE808" i="8"/>
  <c r="BN810" i="8"/>
  <c r="CK812" i="8"/>
  <c r="BU814" i="8"/>
  <c r="CE824" i="8"/>
  <c r="BN826" i="8"/>
  <c r="CK828" i="8"/>
  <c r="BU830" i="8"/>
  <c r="BZ836" i="8"/>
  <c r="CE840" i="8"/>
  <c r="BN842" i="8"/>
  <c r="CK844" i="8"/>
  <c r="BU846" i="8"/>
  <c r="BZ852" i="8"/>
  <c r="CE856" i="8"/>
  <c r="BN817" i="8"/>
  <c r="CK819" i="8"/>
  <c r="BU821" i="8"/>
  <c r="BZ827" i="8"/>
  <c r="CE831" i="8"/>
  <c r="BN833" i="8"/>
  <c r="CK835" i="8"/>
  <c r="BU837" i="8"/>
  <c r="BZ843" i="8"/>
  <c r="CE847" i="8"/>
  <c r="BN849" i="8"/>
  <c r="CK851" i="8"/>
  <c r="BU853" i="8"/>
  <c r="CE866" i="8"/>
  <c r="BN873" i="8"/>
  <c r="CE876" i="8"/>
  <c r="CE878" i="8"/>
  <c r="BU881" i="8"/>
  <c r="CK884" i="8"/>
  <c r="CK886" i="8"/>
  <c r="BN888" i="8"/>
  <c r="BN890" i="8"/>
  <c r="CE893" i="8"/>
  <c r="BU896" i="8"/>
  <c r="BU898" i="8"/>
  <c r="BZ857" i="8"/>
  <c r="CE861" i="8"/>
  <c r="BN863" i="8"/>
  <c r="CK865" i="8"/>
  <c r="BU867" i="8"/>
  <c r="BU869" i="8"/>
  <c r="BU875" i="8"/>
  <c r="CK879" i="8"/>
  <c r="BN883" i="8"/>
  <c r="CE887" i="8"/>
  <c r="BU936" i="8"/>
  <c r="CK874" i="8"/>
  <c r="BN876" i="8"/>
  <c r="BN878" i="8"/>
  <c r="CE881" i="8"/>
  <c r="BU884" i="8"/>
  <c r="BU886" i="8"/>
  <c r="CK889" i="8"/>
  <c r="BN893" i="8"/>
  <c r="CE896" i="8"/>
  <c r="BN900" i="8"/>
  <c r="CK905" i="8"/>
  <c r="BU907" i="8"/>
  <c r="BN911" i="8"/>
  <c r="BU923" i="8"/>
  <c r="BU913" i="8"/>
  <c r="BU915" i="8"/>
  <c r="CE919" i="8"/>
  <c r="BU924" i="8"/>
  <c r="BU926" i="8"/>
  <c r="CE933" i="8"/>
  <c r="CE935" i="8"/>
  <c r="BU940" i="8"/>
  <c r="BU942" i="8"/>
  <c r="CE900" i="8"/>
  <c r="CE902" i="8"/>
  <c r="BU905" i="8"/>
  <c r="CK908" i="8"/>
  <c r="CK910" i="8"/>
  <c r="BN916" i="8"/>
  <c r="CK921" i="8"/>
  <c r="CK923" i="8"/>
  <c r="BN929" i="8"/>
  <c r="BN931" i="8"/>
  <c r="CK937" i="8"/>
  <c r="CK939" i="8"/>
  <c r="CK952" i="8"/>
  <c r="BU954" i="8"/>
  <c r="CK914" i="8"/>
  <c r="BN918" i="8"/>
  <c r="CK924" i="8"/>
  <c r="CK926" i="8"/>
  <c r="BN932" i="8"/>
  <c r="BN934" i="8"/>
  <c r="CK940" i="8"/>
  <c r="CK942" i="8"/>
  <c r="CK949" i="8"/>
  <c r="CK953" i="8"/>
  <c r="BU957" i="8"/>
  <c r="BU968" i="8"/>
  <c r="BU949" i="8"/>
  <c r="CE963" i="8"/>
  <c r="CE965" i="8"/>
  <c r="BU970" i="8"/>
  <c r="BU972" i="8"/>
  <c r="CE946" i="8"/>
  <c r="BU951" i="8"/>
  <c r="BU953" i="8"/>
  <c r="CK956" i="8"/>
  <c r="BN960" i="8"/>
  <c r="CK966" i="8"/>
  <c r="CK968" i="8"/>
  <c r="BN974" i="8"/>
  <c r="CK978" i="8"/>
  <c r="BU980" i="8"/>
  <c r="CK958" i="8"/>
  <c r="BN962" i="8"/>
  <c r="BN964" i="8"/>
  <c r="CK970" i="8"/>
  <c r="CK972" i="8"/>
  <c r="BU981" i="8"/>
  <c r="BU976" i="8"/>
  <c r="CK979" i="8"/>
  <c r="CK981" i="8"/>
  <c r="BN983" i="8"/>
  <c r="BN985" i="8"/>
  <c r="CE988" i="8"/>
  <c r="BU991" i="8"/>
  <c r="BU993" i="8"/>
  <c r="BN978" i="8"/>
  <c r="CE982" i="8"/>
  <c r="CK985" i="8"/>
  <c r="BN987" i="8"/>
  <c r="BN989" i="8"/>
  <c r="CE992" i="8"/>
  <c r="BU995" i="8"/>
  <c r="BU999" i="8"/>
  <c r="BU1003" i="8"/>
  <c r="BU1004" i="8"/>
  <c r="CE71" i="8"/>
  <c r="BN73" i="8"/>
  <c r="CK75" i="8"/>
  <c r="BU77" i="8"/>
  <c r="BZ81" i="8"/>
  <c r="CE85" i="8"/>
  <c r="BN87" i="8"/>
  <c r="CK89" i="8"/>
  <c r="BU91" i="8"/>
  <c r="BZ97" i="8"/>
  <c r="CE101" i="8"/>
  <c r="BN103" i="8"/>
  <c r="CK105" i="8"/>
  <c r="BU107" i="8"/>
  <c r="BZ113" i="8"/>
  <c r="CE117" i="8"/>
  <c r="BN119" i="8"/>
  <c r="CK121" i="8"/>
  <c r="BU123" i="8"/>
  <c r="CE133" i="8"/>
  <c r="BN135" i="8"/>
  <c r="CK137" i="8"/>
  <c r="BU139" i="8"/>
  <c r="CE149" i="8"/>
  <c r="BN151" i="8"/>
  <c r="CK153" i="8"/>
  <c r="BU155" i="8"/>
  <c r="BZ161" i="8"/>
  <c r="CE165" i="8"/>
  <c r="BN167" i="8"/>
  <c r="CK169" i="8"/>
  <c r="BU171" i="8"/>
  <c r="BZ177" i="8"/>
  <c r="CE181" i="8"/>
  <c r="BN183" i="8"/>
  <c r="CK185" i="8"/>
  <c r="BU187" i="8"/>
  <c r="BN191" i="8"/>
  <c r="CK193" i="8"/>
  <c r="BU195" i="8"/>
  <c r="BN223" i="8"/>
  <c r="CK225" i="8"/>
  <c r="BU227" i="8"/>
  <c r="BZ249" i="8"/>
  <c r="BN255" i="8"/>
  <c r="CK257" i="8"/>
  <c r="BU259" i="8"/>
  <c r="BN287" i="8"/>
  <c r="CK289" i="8"/>
  <c r="BU291" i="8"/>
  <c r="CK187" i="8"/>
  <c r="BU189" i="8"/>
  <c r="CE199" i="8"/>
  <c r="BN201" i="8"/>
  <c r="CK203" i="8"/>
  <c r="BU205" i="8"/>
  <c r="CE215" i="8"/>
  <c r="BN217" i="8"/>
  <c r="CK219" i="8"/>
  <c r="BU221" i="8"/>
  <c r="CE231" i="8"/>
  <c r="BN233" i="8"/>
  <c r="CK235" i="8"/>
  <c r="BU237" i="8"/>
  <c r="CE247" i="8"/>
  <c r="BN249" i="8"/>
  <c r="CK251" i="8"/>
  <c r="BU253" i="8"/>
  <c r="BZ259" i="8"/>
  <c r="CE263" i="8"/>
  <c r="BN265" i="8"/>
  <c r="CK267" i="8"/>
  <c r="BU269" i="8"/>
  <c r="CE279" i="8"/>
  <c r="BN281" i="8"/>
  <c r="CK283" i="8"/>
  <c r="BU285" i="8"/>
  <c r="CE295" i="8"/>
  <c r="BN297" i="8"/>
  <c r="CK299" i="8"/>
  <c r="BU301" i="8"/>
  <c r="CE311" i="8"/>
  <c r="BU315" i="8"/>
  <c r="CK342" i="8"/>
  <c r="BU344" i="8"/>
  <c r="CK374" i="8"/>
  <c r="BU376" i="8"/>
  <c r="CK406" i="8"/>
  <c r="BU408" i="8"/>
  <c r="CK438" i="8"/>
  <c r="BU440" i="8"/>
  <c r="CK470" i="8"/>
  <c r="BU472" i="8"/>
  <c r="CE194" i="8"/>
  <c r="BN196" i="8"/>
  <c r="CK198" i="8"/>
  <c r="BU200" i="8"/>
  <c r="CE210" i="8"/>
  <c r="BN212" i="8"/>
  <c r="CK214" i="8"/>
  <c r="BU216" i="8"/>
  <c r="CE226" i="8"/>
  <c r="BN228" i="8"/>
  <c r="CK230" i="8"/>
  <c r="BU232" i="8"/>
  <c r="CE242" i="8"/>
  <c r="BN244" i="8"/>
  <c r="CK246" i="8"/>
  <c r="BU248" i="8"/>
  <c r="BZ254" i="8"/>
  <c r="CE258" i="8"/>
  <c r="BN260" i="8"/>
  <c r="CK262" i="8"/>
  <c r="BU264" i="8"/>
  <c r="BZ270" i="8"/>
  <c r="CE274" i="8"/>
  <c r="BN276" i="8"/>
  <c r="CK278" i="8"/>
  <c r="BU280" i="8"/>
  <c r="CE290" i="8"/>
  <c r="BN292" i="8"/>
  <c r="CK294" i="8"/>
  <c r="BU296" i="8"/>
  <c r="CE306" i="8"/>
  <c r="BN308" i="8"/>
  <c r="CK310" i="8"/>
  <c r="BN315" i="8"/>
  <c r="CK317" i="8"/>
  <c r="BN330" i="8"/>
  <c r="CK332" i="8"/>
  <c r="BU334" i="8"/>
  <c r="BN362" i="8"/>
  <c r="CK364" i="8"/>
  <c r="BU366" i="8"/>
  <c r="BZ388" i="8"/>
  <c r="BN394" i="8"/>
  <c r="CK396" i="8"/>
  <c r="BU398" i="8"/>
  <c r="BN426" i="8"/>
  <c r="CK428" i="8"/>
  <c r="BU430" i="8"/>
  <c r="BN458" i="8"/>
  <c r="CK460" i="8"/>
  <c r="BU462" i="8"/>
  <c r="BN490" i="8"/>
  <c r="CK492" i="8"/>
  <c r="BU494" i="8"/>
  <c r="BU508" i="8"/>
  <c r="CK538" i="8"/>
  <c r="CE319" i="8"/>
  <c r="BN321" i="8"/>
  <c r="CK323" i="8"/>
  <c r="BU325" i="8"/>
  <c r="CE335" i="8"/>
  <c r="BN337" i="8"/>
  <c r="CK339" i="8"/>
  <c r="BU341" i="8"/>
  <c r="CE351" i="8"/>
  <c r="BN353" i="8"/>
  <c r="CK355" i="8"/>
  <c r="BU357" i="8"/>
  <c r="CE367" i="8"/>
  <c r="BN369" i="8"/>
  <c r="CK371" i="8"/>
  <c r="BU373" i="8"/>
  <c r="CE383" i="8"/>
  <c r="BN385" i="8"/>
  <c r="CK387" i="8"/>
  <c r="BU389" i="8"/>
  <c r="BZ395" i="8"/>
  <c r="CE399" i="8"/>
  <c r="BN401" i="8"/>
  <c r="CK403" i="8"/>
  <c r="BU405" i="8"/>
  <c r="BZ411" i="8"/>
  <c r="CE415" i="8"/>
  <c r="BN417" i="8"/>
  <c r="CK419" i="8"/>
  <c r="BU421" i="8"/>
  <c r="CE431" i="8"/>
  <c r="BN433" i="8"/>
  <c r="CK435" i="8"/>
  <c r="BU437" i="8"/>
  <c r="CE447" i="8"/>
  <c r="BN449" i="8"/>
  <c r="CK451" i="8"/>
  <c r="BU453" i="8"/>
  <c r="BZ459" i="8"/>
  <c r="CE463" i="8"/>
  <c r="BN465" i="8"/>
  <c r="CK467" i="8"/>
  <c r="BU469" i="8"/>
  <c r="CE479" i="8"/>
  <c r="BN481" i="8"/>
  <c r="CK483" i="8"/>
  <c r="BU485" i="8"/>
  <c r="CE495" i="8"/>
  <c r="BN497" i="8"/>
  <c r="BN525" i="8"/>
  <c r="CK527" i="8"/>
  <c r="BN319" i="8"/>
  <c r="CK321" i="8"/>
  <c r="BU323" i="8"/>
  <c r="CE333" i="8"/>
  <c r="BN335" i="8"/>
  <c r="CK337" i="8"/>
  <c r="BU339" i="8"/>
  <c r="CE349" i="8"/>
  <c r="BN351" i="8"/>
  <c r="CK353" i="8"/>
  <c r="BU355" i="8"/>
  <c r="CE365" i="8"/>
  <c r="BN367" i="8"/>
  <c r="CK369" i="8"/>
  <c r="BU371" i="8"/>
  <c r="CE381" i="8"/>
  <c r="BN383" i="8"/>
  <c r="CK385" i="8"/>
  <c r="BU387" i="8"/>
  <c r="BZ393" i="8"/>
  <c r="CE397" i="8"/>
  <c r="BN399" i="8"/>
  <c r="CK401" i="8"/>
  <c r="BU403" i="8"/>
  <c r="BZ409" i="8"/>
  <c r="CE413" i="8"/>
  <c r="BN415" i="8"/>
  <c r="CK417" i="8"/>
  <c r="BU419" i="8"/>
  <c r="CE429" i="8"/>
  <c r="BN431" i="8"/>
  <c r="CK433" i="8"/>
  <c r="BU435" i="8"/>
  <c r="CE445" i="8"/>
  <c r="BN447" i="8"/>
  <c r="CK449" i="8"/>
  <c r="BU451" i="8"/>
  <c r="CE461" i="8"/>
  <c r="BN463" i="8"/>
  <c r="CK465" i="8"/>
  <c r="BU467" i="8"/>
  <c r="CE477" i="8"/>
  <c r="BN479" i="8"/>
  <c r="CK481" i="8"/>
  <c r="BU483" i="8"/>
  <c r="CE493" i="8"/>
  <c r="BN495" i="8"/>
  <c r="CK497" i="8"/>
  <c r="BU499" i="8"/>
  <c r="BN521" i="8"/>
  <c r="CK523" i="8"/>
  <c r="BU525" i="8"/>
  <c r="CK554" i="8"/>
  <c r="BU588" i="8"/>
  <c r="CK618" i="8"/>
  <c r="CE505" i="8"/>
  <c r="BN507" i="8"/>
  <c r="CK509" i="8"/>
  <c r="BU511" i="8"/>
  <c r="CE521" i="8"/>
  <c r="BN523" i="8"/>
  <c r="CK525" i="8"/>
  <c r="BU527" i="8"/>
  <c r="CE537" i="8"/>
  <c r="BN539" i="8"/>
  <c r="CK541" i="8"/>
  <c r="BU543" i="8"/>
  <c r="CE553" i="8"/>
  <c r="BN555" i="8"/>
  <c r="CK557" i="8"/>
  <c r="BU559" i="8"/>
  <c r="CE569" i="8"/>
  <c r="BN571" i="8"/>
  <c r="CK573" i="8"/>
  <c r="BU575" i="8"/>
  <c r="CE585" i="8"/>
  <c r="BN587" i="8"/>
  <c r="CK589" i="8"/>
  <c r="BU591" i="8"/>
  <c r="CE601" i="8"/>
  <c r="BN603" i="8"/>
  <c r="CK605" i="8"/>
  <c r="BU607" i="8"/>
  <c r="CE617" i="8"/>
  <c r="BN619" i="8"/>
  <c r="CE508" i="8"/>
  <c r="BN510" i="8"/>
  <c r="CK512" i="8"/>
  <c r="BU514" i="8"/>
  <c r="CE524" i="8"/>
  <c r="BN526" i="8"/>
  <c r="CK528" i="8"/>
  <c r="BU530" i="8"/>
  <c r="CE540" i="8"/>
  <c r="BN542" i="8"/>
  <c r="CK544" i="8"/>
  <c r="BU546" i="8"/>
  <c r="CE556" i="8"/>
  <c r="BN558" i="8"/>
  <c r="CK560" i="8"/>
  <c r="BU562" i="8"/>
  <c r="CE572" i="8"/>
  <c r="BN574" i="8"/>
  <c r="CK576" i="8"/>
  <c r="BU578" i="8"/>
  <c r="CE588" i="8"/>
  <c r="BN590" i="8"/>
  <c r="CK592" i="8"/>
  <c r="BU594" i="8"/>
  <c r="CE604" i="8"/>
  <c r="BN606" i="8"/>
  <c r="CK608" i="8"/>
  <c r="BU610" i="8"/>
  <c r="CE620" i="8"/>
  <c r="CK646" i="8"/>
  <c r="BU648" i="8"/>
  <c r="BU541" i="8"/>
  <c r="CE551" i="8"/>
  <c r="BN553" i="8"/>
  <c r="CK555" i="8"/>
  <c r="BU557" i="8"/>
  <c r="CE567" i="8"/>
  <c r="BN569" i="8"/>
  <c r="CK571" i="8"/>
  <c r="BU573" i="8"/>
  <c r="CE583" i="8"/>
  <c r="BN585" i="8"/>
  <c r="CK587" i="8"/>
  <c r="BU589" i="8"/>
  <c r="CE599" i="8"/>
  <c r="BN601" i="8"/>
  <c r="CK603" i="8"/>
  <c r="BU605" i="8"/>
  <c r="CE615" i="8"/>
  <c r="BN617" i="8"/>
  <c r="CK619" i="8"/>
  <c r="BZ635" i="8"/>
  <c r="BN641" i="8"/>
  <c r="CK643" i="8"/>
  <c r="BU645" i="8"/>
  <c r="BU676" i="8"/>
  <c r="CE621" i="8"/>
  <c r="BN623" i="8"/>
  <c r="CK625" i="8"/>
  <c r="BU627" i="8"/>
  <c r="BZ633" i="8"/>
  <c r="CE637" i="8"/>
  <c r="BN639" i="8"/>
  <c r="CK641" i="8"/>
  <c r="BU643" i="8"/>
  <c r="CE653" i="8"/>
  <c r="BN655" i="8"/>
  <c r="CK657" i="8"/>
  <c r="BU659" i="8"/>
  <c r="CE669" i="8"/>
  <c r="BN671" i="8"/>
  <c r="CK673" i="8"/>
  <c r="BU675" i="8"/>
  <c r="CE685" i="8"/>
  <c r="BN687" i="8"/>
  <c r="CK689" i="8"/>
  <c r="BU691" i="8"/>
  <c r="CE701" i="8"/>
  <c r="BN622" i="8"/>
  <c r="CK624" i="8"/>
  <c r="BU626" i="8"/>
  <c r="BZ632" i="8"/>
  <c r="BN638" i="8"/>
  <c r="CK640" i="8"/>
  <c r="BU642" i="8"/>
  <c r="BN654" i="8"/>
  <c r="CK656" i="8"/>
  <c r="BU658" i="8"/>
  <c r="BN670" i="8"/>
  <c r="CK672" i="8"/>
  <c r="BU674" i="8"/>
  <c r="BZ680" i="8"/>
  <c r="BN686" i="8"/>
  <c r="CK688" i="8"/>
  <c r="BU690" i="8"/>
  <c r="BN702" i="8"/>
  <c r="CK708" i="8"/>
  <c r="BU710" i="8"/>
  <c r="BN657" i="8"/>
  <c r="CK659" i="8"/>
  <c r="BU661" i="8"/>
  <c r="BN673" i="8"/>
  <c r="CK675" i="8"/>
  <c r="BU677" i="8"/>
  <c r="BN689" i="8"/>
  <c r="CK691" i="8"/>
  <c r="BU693" i="8"/>
  <c r="BZ699" i="8"/>
  <c r="BN719" i="8"/>
  <c r="CK721" i="8"/>
  <c r="BU723" i="8"/>
  <c r="BU742" i="8"/>
  <c r="CK772" i="8"/>
  <c r="CE703" i="8"/>
  <c r="BN705" i="8"/>
  <c r="CK707" i="8"/>
  <c r="BU709" i="8"/>
  <c r="CE719" i="8"/>
  <c r="BN721" i="8"/>
  <c r="CK723" i="8"/>
  <c r="BU725" i="8"/>
  <c r="BZ731" i="8"/>
  <c r="CE735" i="8"/>
  <c r="BN737" i="8"/>
  <c r="CK739" i="8"/>
  <c r="BU741" i="8"/>
  <c r="CE751" i="8"/>
  <c r="BN753" i="8"/>
  <c r="CK755" i="8"/>
  <c r="BU757" i="8"/>
  <c r="CE767" i="8"/>
  <c r="BN769" i="8"/>
  <c r="CK771" i="8"/>
  <c r="CE783" i="8"/>
  <c r="BN785" i="8"/>
  <c r="CK787" i="8"/>
  <c r="BZ702" i="8"/>
  <c r="CE706" i="8"/>
  <c r="BN708" i="8"/>
  <c r="CK710" i="8"/>
  <c r="BU712" i="8"/>
  <c r="BZ718" i="8"/>
  <c r="CE722" i="8"/>
  <c r="BN724" i="8"/>
  <c r="CK726" i="8"/>
  <c r="BU728" i="8"/>
  <c r="CE738" i="8"/>
  <c r="BN740" i="8"/>
  <c r="CK742" i="8"/>
  <c r="BU744" i="8"/>
  <c r="BZ750" i="8"/>
  <c r="CE754" i="8"/>
  <c r="BN756" i="8"/>
  <c r="CK758" i="8"/>
  <c r="BU760" i="8"/>
  <c r="BZ766" i="8"/>
  <c r="CE770" i="8"/>
  <c r="BN772" i="8"/>
  <c r="CK774" i="8"/>
  <c r="BU776" i="8"/>
  <c r="BZ782" i="8"/>
  <c r="CE786" i="8"/>
  <c r="BN788" i="8"/>
  <c r="CK790" i="8"/>
  <c r="BU792" i="8"/>
  <c r="CK806" i="8"/>
  <c r="BU808" i="8"/>
  <c r="BZ737" i="8"/>
  <c r="CE741" i="8"/>
  <c r="BN743" i="8"/>
  <c r="CK745" i="8"/>
  <c r="BU747" i="8"/>
  <c r="BZ753" i="8"/>
  <c r="CE757" i="8"/>
  <c r="BN759" i="8"/>
  <c r="CK761" i="8"/>
  <c r="BU763" i="8"/>
  <c r="BZ769" i="8"/>
  <c r="CE773" i="8"/>
  <c r="BN775" i="8"/>
  <c r="CK777" i="8"/>
  <c r="BU779" i="8"/>
  <c r="BZ785" i="8"/>
  <c r="CE789" i="8"/>
  <c r="BN791" i="8"/>
  <c r="CK793" i="8"/>
  <c r="CK842" i="8"/>
  <c r="BZ797" i="8"/>
  <c r="CE801" i="8"/>
  <c r="BN803" i="8"/>
  <c r="CK805" i="8"/>
  <c r="BU807" i="8"/>
  <c r="CE817" i="8"/>
  <c r="BN819" i="8"/>
  <c r="CK821" i="8"/>
  <c r="BU823" i="8"/>
  <c r="CE833" i="8"/>
  <c r="BN835" i="8"/>
  <c r="CK837" i="8"/>
  <c r="BU839" i="8"/>
  <c r="CE849" i="8"/>
  <c r="BN851" i="8"/>
  <c r="CK853" i="8"/>
  <c r="BU855" i="8"/>
  <c r="BZ800" i="8"/>
  <c r="CE804" i="8"/>
  <c r="BN806" i="8"/>
  <c r="CK808" i="8"/>
  <c r="BU810" i="8"/>
  <c r="BZ816" i="8"/>
  <c r="CE820" i="8"/>
  <c r="BN822" i="8"/>
  <c r="CK824" i="8"/>
  <c r="BU826" i="8"/>
  <c r="CE836" i="8"/>
  <c r="BN838" i="8"/>
  <c r="CK840" i="8"/>
  <c r="BU842" i="8"/>
  <c r="BZ848" i="8"/>
  <c r="CE852" i="8"/>
  <c r="BN854" i="8"/>
  <c r="CK856" i="8"/>
  <c r="CK860" i="8"/>
  <c r="BU862" i="8"/>
  <c r="BU817" i="8"/>
  <c r="CE827" i="8"/>
  <c r="BN829" i="8"/>
  <c r="CK831" i="8"/>
  <c r="BU833" i="8"/>
  <c r="BZ839" i="8"/>
  <c r="CE843" i="8"/>
  <c r="BN845" i="8"/>
  <c r="CK847" i="8"/>
  <c r="BU849" i="8"/>
  <c r="BZ855" i="8"/>
  <c r="CE863" i="8"/>
  <c r="BN865" i="8"/>
  <c r="CK867" i="8"/>
  <c r="CK883" i="8"/>
  <c r="BZ858" i="8"/>
  <c r="CE862" i="8"/>
  <c r="BN864" i="8"/>
  <c r="CK866" i="8"/>
  <c r="CK876" i="8"/>
  <c r="CK878" i="8"/>
  <c r="BN880" i="8"/>
  <c r="BN882" i="8"/>
  <c r="CE885" i="8"/>
  <c r="CK893" i="8"/>
  <c r="BN897" i="8"/>
  <c r="CE857" i="8"/>
  <c r="BN859" i="8"/>
  <c r="CK861" i="8"/>
  <c r="BU863" i="8"/>
  <c r="BN868" i="8"/>
  <c r="BU883" i="8"/>
  <c r="CK887" i="8"/>
  <c r="BN891" i="8"/>
  <c r="CE895" i="8"/>
  <c r="CE873" i="8"/>
  <c r="BU876" i="8"/>
  <c r="BU878" i="8"/>
  <c r="CK881" i="8"/>
  <c r="BN885" i="8"/>
  <c r="CE888" i="8"/>
  <c r="CE890" i="8"/>
  <c r="BU893" i="8"/>
  <c r="CK896" i="8"/>
  <c r="BU899" i="8"/>
  <c r="BN910" i="8"/>
  <c r="CK944" i="8"/>
  <c r="CE899" i="8"/>
  <c r="BN912" i="8"/>
  <c r="BN914" i="8"/>
  <c r="CK919" i="8"/>
  <c r="BN925" i="8"/>
  <c r="BN927" i="8"/>
  <c r="CK933" i="8"/>
  <c r="CK935" i="8"/>
  <c r="BN941" i="8"/>
  <c r="BN943" i="8"/>
  <c r="CK900" i="8"/>
  <c r="CK902" i="8"/>
  <c r="BN904" i="8"/>
  <c r="BN906" i="8"/>
  <c r="CE909" i="8"/>
  <c r="CE911" i="8"/>
  <c r="BU916" i="8"/>
  <c r="CE920" i="8"/>
  <c r="CE922" i="8"/>
  <c r="BU929" i="8"/>
  <c r="BU931" i="8"/>
  <c r="CE936" i="8"/>
  <c r="CE938" i="8"/>
  <c r="CE915" i="8"/>
  <c r="BU918" i="8"/>
  <c r="CE925" i="8"/>
  <c r="CE927" i="8"/>
  <c r="BU932" i="8"/>
  <c r="BU934" i="8"/>
  <c r="CE941" i="8"/>
  <c r="CE943" i="8"/>
  <c r="CK948" i="8"/>
  <c r="CE951" i="8"/>
  <c r="BN948" i="8"/>
  <c r="BN950" i="8"/>
  <c r="CE954" i="8"/>
  <c r="CK963" i="8"/>
  <c r="CK965" i="8"/>
  <c r="BN971" i="8"/>
  <c r="BN973" i="8"/>
  <c r="CK946" i="8"/>
  <c r="BN952" i="8"/>
  <c r="CE955" i="8"/>
  <c r="CE957" i="8"/>
  <c r="BU960" i="8"/>
  <c r="CE967" i="8"/>
  <c r="CE969" i="8"/>
  <c r="BU974" i="8"/>
  <c r="BU962" i="8"/>
  <c r="BU964" i="8"/>
  <c r="CE971" i="8"/>
  <c r="CE973" i="8"/>
  <c r="BN977" i="8"/>
  <c r="CE980" i="8"/>
  <c r="BU983" i="8"/>
  <c r="BU985" i="8"/>
  <c r="CK988" i="8"/>
  <c r="BN992" i="8"/>
  <c r="CE995" i="8"/>
  <c r="BU978" i="8"/>
  <c r="CK982" i="8"/>
  <c r="BN986" i="8"/>
  <c r="CE990" i="8"/>
  <c r="CE984" i="8"/>
  <c r="BU987" i="8"/>
  <c r="BU989" i="8"/>
  <c r="CK992" i="8"/>
  <c r="BN996" i="8"/>
  <c r="CK1000" i="8"/>
  <c r="BN1000" i="8"/>
  <c r="BN1004" i="8"/>
  <c r="BN1005" i="8"/>
  <c r="CE129" i="8"/>
  <c r="BN131" i="8"/>
  <c r="CK133" i="8"/>
  <c r="BU135" i="8"/>
  <c r="CE145" i="8"/>
  <c r="BN147" i="8"/>
  <c r="CK149" i="8"/>
  <c r="BU151" i="8"/>
  <c r="BZ157" i="8"/>
  <c r="CE161" i="8"/>
  <c r="BN163" i="8"/>
  <c r="CK165" i="8"/>
  <c r="BU167" i="8"/>
  <c r="BZ173" i="8"/>
  <c r="CE177" i="8"/>
  <c r="BN179" i="8"/>
  <c r="CK181" i="8"/>
  <c r="BU183" i="8"/>
  <c r="BN215" i="8"/>
  <c r="CK217" i="8"/>
  <c r="BU219" i="8"/>
  <c r="BN247" i="8"/>
  <c r="CK249" i="8"/>
  <c r="BU251" i="8"/>
  <c r="BZ273" i="8"/>
  <c r="BN279" i="8"/>
  <c r="CK281" i="8"/>
  <c r="BU283" i="8"/>
  <c r="BN311" i="8"/>
  <c r="CE195" i="8"/>
  <c r="BN197" i="8"/>
  <c r="CK199" i="8"/>
  <c r="BU201" i="8"/>
  <c r="CE211" i="8"/>
  <c r="BN213" i="8"/>
  <c r="CK215" i="8"/>
  <c r="BU217" i="8"/>
  <c r="CE227" i="8"/>
  <c r="BN229" i="8"/>
  <c r="CK231" i="8"/>
  <c r="BU233" i="8"/>
  <c r="CE243" i="8"/>
  <c r="BN245" i="8"/>
  <c r="CK247" i="8"/>
  <c r="BU249" i="8"/>
  <c r="BZ255" i="8"/>
  <c r="CE259" i="8"/>
  <c r="BN261" i="8"/>
  <c r="CK263" i="8"/>
  <c r="BU265" i="8"/>
  <c r="BZ271" i="8"/>
  <c r="CE275" i="8"/>
  <c r="BN277" i="8"/>
  <c r="CK279" i="8"/>
  <c r="BU281" i="8"/>
  <c r="CE291" i="8"/>
  <c r="BN293" i="8"/>
  <c r="CK295" i="8"/>
  <c r="BU297" i="8"/>
  <c r="CE307" i="8"/>
  <c r="BN309" i="8"/>
  <c r="CK311" i="8"/>
  <c r="CE312" i="8"/>
  <c r="BU318" i="8"/>
  <c r="CK334" i="8"/>
  <c r="BU336" i="8"/>
  <c r="CK366" i="8"/>
  <c r="BU368" i="8"/>
  <c r="CK398" i="8"/>
  <c r="BU400" i="8"/>
  <c r="CK430" i="8"/>
  <c r="BU432" i="8"/>
  <c r="CK462" i="8"/>
  <c r="BU464" i="8"/>
  <c r="CK494" i="8"/>
  <c r="BU496" i="8"/>
  <c r="CE190" i="8"/>
  <c r="BN192" i="8"/>
  <c r="CK194" i="8"/>
  <c r="BU196" i="8"/>
  <c r="BZ202" i="8"/>
  <c r="CE206" i="8"/>
  <c r="BN208" i="8"/>
  <c r="CK210" i="8"/>
  <c r="BU212" i="8"/>
  <c r="CE222" i="8"/>
  <c r="BN224" i="8"/>
  <c r="CK226" i="8"/>
  <c r="BU228" i="8"/>
  <c r="CE238" i="8"/>
  <c r="BN240" i="8"/>
  <c r="CK242" i="8"/>
  <c r="BU244" i="8"/>
  <c r="BZ250" i="8"/>
  <c r="CE254" i="8"/>
  <c r="BN256" i="8"/>
  <c r="CK258" i="8"/>
  <c r="BU260" i="8"/>
  <c r="BZ266" i="8"/>
  <c r="CE270" i="8"/>
  <c r="BN272" i="8"/>
  <c r="CK274" i="8"/>
  <c r="BU276" i="8"/>
  <c r="CE286" i="8"/>
  <c r="BN288" i="8"/>
  <c r="CK290" i="8"/>
  <c r="BU292" i="8"/>
  <c r="CE302" i="8"/>
  <c r="BN304" i="8"/>
  <c r="CK306" i="8"/>
  <c r="BU308" i="8"/>
  <c r="BU316" i="8"/>
  <c r="BN318" i="8"/>
  <c r="BN322" i="8"/>
  <c r="CK324" i="8"/>
  <c r="BU326" i="8"/>
  <c r="BN354" i="8"/>
  <c r="CK356" i="8"/>
  <c r="BU358" i="8"/>
  <c r="BZ380" i="8"/>
  <c r="BN386" i="8"/>
  <c r="CK388" i="8"/>
  <c r="BU390" i="8"/>
  <c r="BZ412" i="8"/>
  <c r="BN418" i="8"/>
  <c r="CK420" i="8"/>
  <c r="BU422" i="8"/>
  <c r="BN450" i="8"/>
  <c r="CK452" i="8"/>
  <c r="BU454" i="8"/>
  <c r="BN482" i="8"/>
  <c r="CK484" i="8"/>
  <c r="BU486" i="8"/>
  <c r="CK522" i="8"/>
  <c r="CE315" i="8"/>
  <c r="BN317" i="8"/>
  <c r="CK319" i="8"/>
  <c r="CE331" i="8"/>
  <c r="BN333" i="8"/>
  <c r="CK335" i="8"/>
  <c r="BN349" i="8"/>
  <c r="CK351" i="8"/>
  <c r="CE363" i="8"/>
  <c r="BN365" i="8"/>
  <c r="CK367" i="8"/>
  <c r="BN381" i="8"/>
  <c r="CK383" i="8"/>
  <c r="BZ391" i="8"/>
  <c r="CE395" i="8"/>
  <c r="BN397" i="8"/>
  <c r="CK399" i="8"/>
  <c r="BZ407" i="8"/>
  <c r="BN413" i="8"/>
  <c r="CK415" i="8"/>
  <c r="BZ423" i="8"/>
  <c r="CE427" i="8"/>
  <c r="BN429" i="8"/>
  <c r="CK431" i="8"/>
  <c r="BN445" i="8"/>
  <c r="CK447" i="8"/>
  <c r="CE459" i="8"/>
  <c r="BN461" i="8"/>
  <c r="CK463" i="8"/>
  <c r="BN477" i="8"/>
  <c r="CK479" i="8"/>
  <c r="CE491" i="8"/>
  <c r="BN493" i="8"/>
  <c r="CK495" i="8"/>
  <c r="BN517" i="8"/>
  <c r="CK519" i="8"/>
  <c r="BU319" i="8"/>
  <c r="CE329" i="8"/>
  <c r="BN331" i="8"/>
  <c r="CK333" i="8"/>
  <c r="BU335" i="8"/>
  <c r="CE345" i="8"/>
  <c r="BN347" i="8"/>
  <c r="CK349" i="8"/>
  <c r="BU351" i="8"/>
  <c r="CE361" i="8"/>
  <c r="BN363" i="8"/>
  <c r="CK365" i="8"/>
  <c r="BU367" i="8"/>
  <c r="CE377" i="8"/>
  <c r="BN379" i="8"/>
  <c r="CK381" i="8"/>
  <c r="BU383" i="8"/>
  <c r="CE393" i="8"/>
  <c r="BN395" i="8"/>
  <c r="CK397" i="8"/>
  <c r="BU399" i="8"/>
  <c r="BZ405" i="8"/>
  <c r="CE409" i="8"/>
  <c r="BN411" i="8"/>
  <c r="CK413" i="8"/>
  <c r="BU415" i="8"/>
  <c r="BZ421" i="8"/>
  <c r="CE425" i="8"/>
  <c r="BN427" i="8"/>
  <c r="CK429" i="8"/>
  <c r="BU431" i="8"/>
  <c r="CE441" i="8"/>
  <c r="BN443" i="8"/>
  <c r="CK445" i="8"/>
  <c r="BU447" i="8"/>
  <c r="CE457" i="8"/>
  <c r="BN459" i="8"/>
  <c r="CK461" i="8"/>
  <c r="BU463" i="8"/>
  <c r="CE473" i="8"/>
  <c r="BN475" i="8"/>
  <c r="CK477" i="8"/>
  <c r="BU479" i="8"/>
  <c r="CE489" i="8"/>
  <c r="BN491" i="8"/>
  <c r="CK493" i="8"/>
  <c r="BU495" i="8"/>
  <c r="BN513" i="8"/>
  <c r="CK515" i="8"/>
  <c r="BU517" i="8"/>
  <c r="BU572" i="8"/>
  <c r="CK602" i="8"/>
  <c r="CE501" i="8"/>
  <c r="BN503" i="8"/>
  <c r="CK505" i="8"/>
  <c r="BU507" i="8"/>
  <c r="CE517" i="8"/>
  <c r="BN519" i="8"/>
  <c r="CK521" i="8"/>
  <c r="BU523" i="8"/>
  <c r="CE533" i="8"/>
  <c r="BN535" i="8"/>
  <c r="CK537" i="8"/>
  <c r="BU539" i="8"/>
  <c r="CE549" i="8"/>
  <c r="BN551" i="8"/>
  <c r="CK553" i="8"/>
  <c r="CE565" i="8"/>
  <c r="BN567" i="8"/>
  <c r="CK569" i="8"/>
  <c r="CE581" i="8"/>
  <c r="BN583" i="8"/>
  <c r="CK585" i="8"/>
  <c r="CE597" i="8"/>
  <c r="BN599" i="8"/>
  <c r="CK601" i="8"/>
  <c r="CE613" i="8"/>
  <c r="BN615" i="8"/>
  <c r="CK617" i="8"/>
  <c r="BN506" i="8"/>
  <c r="CK508" i="8"/>
  <c r="BU510" i="8"/>
  <c r="BN522" i="8"/>
  <c r="CK524" i="8"/>
  <c r="BU526" i="8"/>
  <c r="BN538" i="8"/>
  <c r="CK540" i="8"/>
  <c r="BU542" i="8"/>
  <c r="BU558" i="8"/>
  <c r="BN570" i="8"/>
  <c r="CK572" i="8"/>
  <c r="BU574" i="8"/>
  <c r="BN586" i="8"/>
  <c r="CK588" i="8"/>
  <c r="BU590" i="8"/>
  <c r="BN602" i="8"/>
  <c r="CK604" i="8"/>
  <c r="BU606" i="8"/>
  <c r="BN618" i="8"/>
  <c r="CK620" i="8"/>
  <c r="CK638" i="8"/>
  <c r="BU640" i="8"/>
  <c r="CE547" i="8"/>
  <c r="BN549" i="8"/>
  <c r="CK551" i="8"/>
  <c r="BU553" i="8"/>
  <c r="CE563" i="8"/>
  <c r="BN565" i="8"/>
  <c r="CK567" i="8"/>
  <c r="BU569" i="8"/>
  <c r="CE579" i="8"/>
  <c r="BN581" i="8"/>
  <c r="CK583" i="8"/>
  <c r="BU585" i="8"/>
  <c r="CE595" i="8"/>
  <c r="BN597" i="8"/>
  <c r="CK599" i="8"/>
  <c r="BU601" i="8"/>
  <c r="CE611" i="8"/>
  <c r="BN613" i="8"/>
  <c r="CK615" i="8"/>
  <c r="BU617" i="8"/>
  <c r="BZ627" i="8"/>
  <c r="BN633" i="8"/>
  <c r="CK635" i="8"/>
  <c r="BU637" i="8"/>
  <c r="BU660" i="8"/>
  <c r="CK690" i="8"/>
  <c r="CK621" i="8"/>
  <c r="BU623" i="8"/>
  <c r="CE633" i="8"/>
  <c r="BN635" i="8"/>
  <c r="CK637" i="8"/>
  <c r="CE649" i="8"/>
  <c r="BN651" i="8"/>
  <c r="CK653" i="8"/>
  <c r="CE665" i="8"/>
  <c r="CE681" i="8"/>
  <c r="BU687" i="8"/>
  <c r="BN699" i="8"/>
  <c r="CK701" i="8"/>
  <c r="BU622" i="8"/>
  <c r="BZ628" i="8"/>
  <c r="CE632" i="8"/>
  <c r="BN634" i="8"/>
  <c r="CK636" i="8"/>
  <c r="BU638" i="8"/>
  <c r="CE648" i="8"/>
  <c r="BN650" i="8"/>
  <c r="CK652" i="8"/>
  <c r="BU654" i="8"/>
  <c r="CE664" i="8"/>
  <c r="BN666" i="8"/>
  <c r="CK668" i="8"/>
  <c r="BU670" i="8"/>
  <c r="CE680" i="8"/>
  <c r="BN682" i="8"/>
  <c r="CK684" i="8"/>
  <c r="BU686" i="8"/>
  <c r="BZ692" i="8"/>
  <c r="CE696" i="8"/>
  <c r="BN698" i="8"/>
  <c r="CK700" i="8"/>
  <c r="BU702" i="8"/>
  <c r="CK732" i="8"/>
  <c r="BU734" i="8"/>
  <c r="CK655" i="8"/>
  <c r="BU657" i="8"/>
  <c r="BN669" i="8"/>
  <c r="CK671" i="8"/>
  <c r="BU673" i="8"/>
  <c r="BZ679" i="8"/>
  <c r="BN685" i="8"/>
  <c r="CK687" i="8"/>
  <c r="BU689" i="8"/>
  <c r="BN701" i="8"/>
  <c r="BN711" i="8"/>
  <c r="CK713" i="8"/>
  <c r="BU715" i="8"/>
  <c r="CK756" i="8"/>
  <c r="BU790" i="8"/>
  <c r="CK703" i="8"/>
  <c r="BU705" i="8"/>
  <c r="BZ711" i="8"/>
  <c r="CE715" i="8"/>
  <c r="BN717" i="8"/>
  <c r="CK719" i="8"/>
  <c r="BU721" i="8"/>
  <c r="CE731" i="8"/>
  <c r="BN733" i="8"/>
  <c r="BU737" i="8"/>
  <c r="CE747" i="8"/>
  <c r="BN749" i="8"/>
  <c r="CK751" i="8"/>
  <c r="BU753" i="8"/>
  <c r="CE763" i="8"/>
  <c r="BN765" i="8"/>
  <c r="CK767" i="8"/>
  <c r="BU769" i="8"/>
  <c r="CE779" i="8"/>
  <c r="BN781" i="8"/>
  <c r="CK783" i="8"/>
  <c r="BU801" i="8"/>
  <c r="CE702" i="8"/>
  <c r="BN704" i="8"/>
  <c r="CK706" i="8"/>
  <c r="BU708" i="8"/>
  <c r="BZ714" i="8"/>
  <c r="CE718" i="8"/>
  <c r="BN720" i="8"/>
  <c r="CK722" i="8"/>
  <c r="BU724" i="8"/>
  <c r="BZ730" i="8"/>
  <c r="CE734" i="8"/>
  <c r="BN736" i="8"/>
  <c r="CK738" i="8"/>
  <c r="BU740" i="8"/>
  <c r="CE750" i="8"/>
  <c r="BN752" i="8"/>
  <c r="CK754" i="8"/>
  <c r="BU756" i="8"/>
  <c r="CE766" i="8"/>
  <c r="BN768" i="8"/>
  <c r="CK770" i="8"/>
  <c r="BU772" i="8"/>
  <c r="BZ778" i="8"/>
  <c r="CE782" i="8"/>
  <c r="BN784" i="8"/>
  <c r="CK786" i="8"/>
  <c r="BU788" i="8"/>
  <c r="CK798" i="8"/>
  <c r="BU800" i="8"/>
  <c r="CE737" i="8"/>
  <c r="BN739" i="8"/>
  <c r="CK741" i="8"/>
  <c r="BU743" i="8"/>
  <c r="BZ749" i="8"/>
  <c r="CE753" i="8"/>
  <c r="BN755" i="8"/>
  <c r="CK757" i="8"/>
  <c r="BU759" i="8"/>
  <c r="CE769" i="8"/>
  <c r="BN771" i="8"/>
  <c r="CK773" i="8"/>
  <c r="BU775" i="8"/>
  <c r="BZ781" i="8"/>
  <c r="CE785" i="8"/>
  <c r="BN787" i="8"/>
  <c r="CK789" i="8"/>
  <c r="BU791" i="8"/>
  <c r="BN809" i="8"/>
  <c r="CK811" i="8"/>
  <c r="BU813" i="8"/>
  <c r="CK826" i="8"/>
  <c r="CE797" i="8"/>
  <c r="CK801" i="8"/>
  <c r="BU803" i="8"/>
  <c r="BZ809" i="8"/>
  <c r="CE813" i="8"/>
  <c r="BN815" i="8"/>
  <c r="CK817" i="8"/>
  <c r="BU819" i="8"/>
  <c r="CE829" i="8"/>
  <c r="BN831" i="8"/>
  <c r="CK833" i="8"/>
  <c r="BU835" i="8"/>
  <c r="CE845" i="8"/>
  <c r="BN847" i="8"/>
  <c r="CK849" i="8"/>
  <c r="BU851" i="8"/>
  <c r="CE800" i="8"/>
  <c r="BN802" i="8"/>
  <c r="CK804" i="8"/>
  <c r="BU806" i="8"/>
  <c r="BZ812" i="8"/>
  <c r="CE816" i="8"/>
  <c r="BN818" i="8"/>
  <c r="CK820" i="8"/>
  <c r="BU822" i="8"/>
  <c r="BZ828" i="8"/>
  <c r="CE832" i="8"/>
  <c r="BN834" i="8"/>
  <c r="CK836" i="8"/>
  <c r="BU838" i="8"/>
  <c r="BZ844" i="8"/>
  <c r="CE848" i="8"/>
  <c r="BN850" i="8"/>
  <c r="CK852" i="8"/>
  <c r="BU854" i="8"/>
  <c r="CE823" i="8"/>
  <c r="BN825" i="8"/>
  <c r="CK827" i="8"/>
  <c r="BU829" i="8"/>
  <c r="BZ835" i="8"/>
  <c r="CE839" i="8"/>
  <c r="BN841" i="8"/>
  <c r="CK843" i="8"/>
  <c r="BU845" i="8"/>
  <c r="BZ851" i="8"/>
  <c r="CE855" i="8"/>
  <c r="BN857" i="8"/>
  <c r="CK859" i="8"/>
  <c r="BU861" i="8"/>
  <c r="CE869" i="8"/>
  <c r="BN871" i="8"/>
  <c r="BU895" i="8"/>
  <c r="BN860" i="8"/>
  <c r="CK862" i="8"/>
  <c r="BU864" i="8"/>
  <c r="BN870" i="8"/>
  <c r="BN872" i="8"/>
  <c r="CE877" i="8"/>
  <c r="CK885" i="8"/>
  <c r="BN889" i="8"/>
  <c r="CE892" i="8"/>
  <c r="CE894" i="8"/>
  <c r="CK857" i="8"/>
  <c r="BU859" i="8"/>
  <c r="BU868" i="8"/>
  <c r="CE871" i="8"/>
  <c r="BU891" i="8"/>
  <c r="CK895" i="8"/>
  <c r="CK873" i="8"/>
  <c r="BN877" i="8"/>
  <c r="CE880" i="8"/>
  <c r="CE882" i="8"/>
  <c r="BU885" i="8"/>
  <c r="CK888" i="8"/>
  <c r="CK890" i="8"/>
  <c r="BN892" i="8"/>
  <c r="BN894" i="8"/>
  <c r="CE897" i="8"/>
  <c r="BN902" i="8"/>
  <c r="BN909" i="8"/>
  <c r="CK916" i="8"/>
  <c r="BU939" i="8"/>
  <c r="CK899" i="8"/>
  <c r="BN903" i="8"/>
  <c r="CE907" i="8"/>
  <c r="BU912" i="8"/>
  <c r="CE918" i="8"/>
  <c r="CE932" i="8"/>
  <c r="CE934" i="8"/>
  <c r="CE901" i="8"/>
  <c r="BU904" i="8"/>
  <c r="BU906" i="8"/>
  <c r="CK909" i="8"/>
  <c r="CK911" i="8"/>
  <c r="BN917" i="8"/>
  <c r="CK920" i="8"/>
  <c r="CK922" i="8"/>
  <c r="BN928" i="8"/>
  <c r="BN930" i="8"/>
  <c r="CK936" i="8"/>
  <c r="CK938" i="8"/>
  <c r="BN944" i="8"/>
  <c r="CK913" i="8"/>
  <c r="CK915" i="8"/>
  <c r="BN919" i="8"/>
  <c r="CK925" i="8"/>
  <c r="CK927" i="8"/>
  <c r="BN933" i="8"/>
  <c r="BN935" i="8"/>
  <c r="CK941" i="8"/>
  <c r="CK943" i="8"/>
  <c r="CK961" i="8"/>
  <c r="BU948" i="8"/>
  <c r="BU950" i="8"/>
  <c r="CK954" i="8"/>
  <c r="BN958" i="8"/>
  <c r="CE962" i="8"/>
  <c r="CE964" i="8"/>
  <c r="CE945" i="8"/>
  <c r="CE947" i="8"/>
  <c r="BU952" i="8"/>
  <c r="CK955" i="8"/>
  <c r="CK957" i="8"/>
  <c r="BN959" i="8"/>
  <c r="BN961" i="8"/>
  <c r="CK967" i="8"/>
  <c r="CK969" i="8"/>
  <c r="BN975" i="8"/>
  <c r="BN963" i="8"/>
  <c r="BN965" i="8"/>
  <c r="CK971" i="8"/>
  <c r="CK973" i="8"/>
  <c r="CK975" i="8"/>
  <c r="BN979" i="8"/>
  <c r="BU977" i="8"/>
  <c r="CK980" i="8"/>
  <c r="BN984" i="8"/>
  <c r="CE987" i="8"/>
  <c r="CE989" i="8"/>
  <c r="CK995" i="8"/>
  <c r="BU986" i="8"/>
  <c r="CK990" i="8"/>
  <c r="BN994" i="8"/>
  <c r="BU997" i="8"/>
  <c r="BN1003" i="8"/>
  <c r="CK984" i="8"/>
  <c r="BN988" i="8"/>
  <c r="CE991" i="8"/>
  <c r="CE993" i="8"/>
  <c r="BU996" i="8"/>
  <c r="CK999" i="8"/>
  <c r="CK1003" i="8"/>
  <c r="CE997" i="8"/>
  <c r="BU1000" i="8"/>
  <c r="CE1005" i="8"/>
  <c r="CE998" i="8"/>
  <c r="BU1001" i="8"/>
  <c r="CE1002" i="8"/>
  <c r="BU1005" i="8"/>
  <c r="CE1006" i="8"/>
  <c r="BZ3" i="8"/>
  <c r="CL360" i="8" l="1"/>
  <c r="CN360" i="8" s="1"/>
  <c r="CL454" i="8"/>
  <c r="CN454" i="8" s="1"/>
  <c r="CL336" i="8"/>
  <c r="CN336" i="8" s="1"/>
  <c r="CL492" i="8"/>
  <c r="CN492" i="8" s="1"/>
  <c r="CL408" i="8"/>
  <c r="CN408" i="8" s="1"/>
  <c r="CL444" i="8"/>
  <c r="CN444" i="8" s="1"/>
  <c r="CL554" i="8"/>
  <c r="CN554" i="8" s="1"/>
  <c r="CL443" i="8"/>
  <c r="CN443" i="8" s="1"/>
  <c r="CL684" i="8"/>
  <c r="CN684" i="8" s="1"/>
  <c r="CL668" i="8"/>
  <c r="CN668" i="8" s="1"/>
  <c r="CL498" i="8"/>
  <c r="CN498" i="8" s="1"/>
  <c r="CL370" i="8"/>
  <c r="CN370" i="8" s="1"/>
  <c r="CL752" i="8"/>
  <c r="CN752" i="8" s="1"/>
  <c r="CL364" i="8"/>
  <c r="CN364" i="8" s="1"/>
  <c r="CL616" i="8"/>
  <c r="CN616" i="8" s="1"/>
  <c r="CL480" i="8"/>
  <c r="CN480" i="8" s="1"/>
  <c r="CL378" i="8"/>
  <c r="CN378" i="8" s="1"/>
  <c r="CL488" i="8"/>
  <c r="CN488" i="8" s="1"/>
  <c r="CL476" i="8"/>
  <c r="CN476" i="8" s="1"/>
  <c r="CL92" i="8"/>
  <c r="CN92" i="8" s="1"/>
  <c r="CL32" i="8"/>
  <c r="CN32" i="8" s="1"/>
  <c r="CL683" i="8"/>
  <c r="CN683" i="8" s="1"/>
  <c r="CL464" i="8"/>
  <c r="CN464" i="8" s="1"/>
  <c r="CL20" i="8"/>
  <c r="CN20" i="8" s="1"/>
  <c r="CL452" i="8"/>
  <c r="CN452" i="8" s="1"/>
  <c r="CL580" i="8"/>
  <c r="CN580" i="8" s="1"/>
  <c r="CL536" i="8"/>
  <c r="CN536" i="8" s="1"/>
  <c r="CL504" i="8"/>
  <c r="CN504" i="8" s="1"/>
  <c r="CL356" i="8"/>
  <c r="CN356" i="8" s="1"/>
  <c r="CL486" i="8"/>
  <c r="CN486" i="8" s="1"/>
  <c r="CL277" i="8"/>
  <c r="CN277" i="8" s="1"/>
  <c r="CL490" i="8"/>
  <c r="CN490" i="8" s="1"/>
  <c r="CL396" i="8"/>
  <c r="CN396" i="8" s="1"/>
  <c r="CL484" i="8"/>
  <c r="CN484" i="8" s="1"/>
  <c r="CL432" i="8"/>
  <c r="CN432" i="8" s="1"/>
  <c r="CL466" i="8"/>
  <c r="CN466" i="8" s="1"/>
  <c r="CL394" i="8"/>
  <c r="CN394" i="8" s="1"/>
  <c r="CL362" i="8"/>
  <c r="CN362" i="8" s="1"/>
  <c r="CL170" i="8"/>
  <c r="CN170" i="8" s="1"/>
  <c r="CL34" i="8"/>
  <c r="CN34" i="8" s="1"/>
  <c r="CL704" i="8"/>
  <c r="CN704" i="8" s="1"/>
  <c r="CL496" i="8"/>
  <c r="CN496" i="8" s="1"/>
  <c r="CL368" i="8"/>
  <c r="CN368" i="8" s="1"/>
  <c r="CL802" i="8"/>
  <c r="CN802" i="8" s="1"/>
  <c r="CL815" i="8"/>
  <c r="CN815" i="8" s="1"/>
  <c r="CL245" i="8"/>
  <c r="CN245" i="8" s="1"/>
  <c r="CL213" i="8"/>
  <c r="CN213" i="8" s="1"/>
  <c r="CL426" i="8"/>
  <c r="CN426" i="8" s="1"/>
  <c r="CL440" i="8"/>
  <c r="CN440" i="8" s="1"/>
  <c r="CL376" i="8"/>
  <c r="CN376" i="8" s="1"/>
  <c r="CL22" i="8"/>
  <c r="CN22" i="8" s="1"/>
  <c r="CL442" i="8"/>
  <c r="CN442" i="8" s="1"/>
  <c r="CL520" i="8"/>
  <c r="CN520" i="8" s="1"/>
  <c r="CL794" i="8"/>
  <c r="CN794" i="8" s="1"/>
  <c r="CL458" i="8"/>
  <c r="CN458" i="8" s="1"/>
  <c r="CL332" i="8"/>
  <c r="CN332" i="8" s="1"/>
  <c r="CL420" i="8"/>
  <c r="CN420" i="8" s="1"/>
  <c r="CL700" i="8"/>
  <c r="CN700" i="8" s="1"/>
  <c r="CL261" i="8"/>
  <c r="CN261" i="8" s="1"/>
  <c r="CL762" i="8"/>
  <c r="CN762" i="8" s="1"/>
  <c r="CL422" i="8"/>
  <c r="CN422" i="8" s="1"/>
  <c r="CL224" i="8"/>
  <c r="CN224" i="8" s="1"/>
  <c r="CL208" i="8"/>
  <c r="CN208" i="8" s="1"/>
  <c r="CL229" i="8"/>
  <c r="CN229" i="8" s="1"/>
  <c r="CL733" i="8"/>
  <c r="CN733" i="8" s="1"/>
  <c r="CL358" i="8"/>
  <c r="CN358" i="8" s="1"/>
  <c r="CL696" i="8"/>
  <c r="CN696" i="8" s="1"/>
  <c r="CL634" i="8"/>
  <c r="CN634" i="8" s="1"/>
  <c r="CL322" i="8"/>
  <c r="CN322" i="8" s="1"/>
  <c r="CL192" i="8"/>
  <c r="CN192" i="8" s="1"/>
  <c r="CL73" i="8"/>
  <c r="CN73" i="8" s="1"/>
  <c r="CL404" i="8"/>
  <c r="CN404" i="8" s="1"/>
  <c r="CL350" i="8"/>
  <c r="CN350" i="8" s="1"/>
  <c r="CL799" i="8"/>
  <c r="CN799" i="8" s="1"/>
  <c r="CL667" i="8"/>
  <c r="CN667" i="8" s="1"/>
  <c r="CL330" i="8"/>
  <c r="CN330" i="8" s="1"/>
  <c r="CL472" i="8"/>
  <c r="CN472" i="8" s="1"/>
  <c r="CL503" i="8"/>
  <c r="CN503" i="8" s="1"/>
  <c r="CL834" i="8"/>
  <c r="CN834" i="8" s="1"/>
  <c r="CL613" i="8"/>
  <c r="CN613" i="8" s="1"/>
  <c r="CL549" i="8"/>
  <c r="CN549" i="8" s="1"/>
  <c r="CL179" i="8"/>
  <c r="CN179" i="8" s="1"/>
  <c r="CL639" i="8"/>
  <c r="CN639" i="8" s="1"/>
  <c r="CL428" i="8"/>
  <c r="CN428" i="8" s="1"/>
  <c r="CL434" i="8"/>
  <c r="CN434" i="8" s="1"/>
  <c r="CL392" i="8"/>
  <c r="CN392" i="8" s="1"/>
  <c r="CL309" i="8"/>
  <c r="CN309" i="8" s="1"/>
  <c r="CL832" i="8"/>
  <c r="CN832" i="8" s="1"/>
  <c r="CL818" i="8"/>
  <c r="CN818" i="8" s="1"/>
  <c r="CL720" i="8"/>
  <c r="CN720" i="8" s="1"/>
  <c r="CL717" i="8"/>
  <c r="CN717" i="8" s="1"/>
  <c r="CL698" i="8"/>
  <c r="CN698" i="8" s="1"/>
  <c r="CL240" i="8"/>
  <c r="CN240" i="8" s="1"/>
  <c r="CL197" i="8"/>
  <c r="CN197" i="8" s="1"/>
  <c r="CL30" i="8"/>
  <c r="CN30" i="8" s="1"/>
  <c r="CL600" i="8"/>
  <c r="CN600" i="8" s="1"/>
  <c r="CL568" i="8"/>
  <c r="CN568" i="8" s="1"/>
  <c r="CL346" i="8"/>
  <c r="CN346" i="8" s="1"/>
  <c r="CL172" i="8"/>
  <c r="CN172" i="8" s="1"/>
  <c r="CL372" i="8"/>
  <c r="CN372" i="8" s="1"/>
  <c r="CL352" i="8"/>
  <c r="CN352" i="8" s="1"/>
  <c r="CL850" i="8"/>
  <c r="CN850" i="8" s="1"/>
  <c r="CL768" i="8"/>
  <c r="CN768" i="8" s="1"/>
  <c r="CL586" i="8"/>
  <c r="CN586" i="8" s="1"/>
  <c r="CL304" i="8"/>
  <c r="CN304" i="8" s="1"/>
  <c r="CL288" i="8"/>
  <c r="CN288" i="8" s="1"/>
  <c r="CL223" i="8"/>
  <c r="CN223" i="8" s="1"/>
  <c r="CL468" i="8"/>
  <c r="CN468" i="8" s="1"/>
  <c r="CL28" i="8"/>
  <c r="CN28" i="8" s="1"/>
  <c r="CL620" i="8"/>
  <c r="CN620" i="8" s="1"/>
  <c r="CL191" i="8"/>
  <c r="CN191" i="8" s="1"/>
  <c r="CL68" i="8"/>
  <c r="CN68" i="8" s="1"/>
  <c r="CL8" i="8"/>
  <c r="CN8" i="8" s="1"/>
  <c r="CL424" i="8"/>
  <c r="CN424" i="8" s="1"/>
  <c r="CL418" i="8"/>
  <c r="CN418" i="8" s="1"/>
  <c r="CL354" i="8"/>
  <c r="CN354" i="8" s="1"/>
  <c r="CL272" i="8"/>
  <c r="CN272" i="8" s="1"/>
  <c r="CL556" i="8"/>
  <c r="CN556" i="8" s="1"/>
  <c r="CL470" i="8"/>
  <c r="CN470" i="8" s="1"/>
  <c r="CL402" i="8"/>
  <c r="CN402" i="8" s="1"/>
  <c r="CL282" i="8"/>
  <c r="CN282" i="8" s="1"/>
  <c r="CL448" i="8"/>
  <c r="CN448" i="8" s="1"/>
  <c r="CL384" i="8"/>
  <c r="CN384" i="8" s="1"/>
  <c r="CL45" i="8"/>
  <c r="CN45" i="8" s="1"/>
  <c r="CL410" i="8"/>
  <c r="CN410" i="8" s="1"/>
  <c r="CL62" i="8"/>
  <c r="CN62" i="8" s="1"/>
  <c r="CL44" i="8"/>
  <c r="CN44" i="8" s="1"/>
  <c r="CL506" i="8"/>
  <c r="CN506" i="8" s="1"/>
  <c r="CL412" i="8"/>
  <c r="CN412" i="8" s="1"/>
  <c r="CL380" i="8"/>
  <c r="CN380" i="8" s="1"/>
  <c r="CL326" i="8"/>
  <c r="CN326" i="8" s="1"/>
  <c r="CL316" i="8"/>
  <c r="CN316" i="8" s="1"/>
  <c r="CL707" i="8"/>
  <c r="CN707" i="8" s="1"/>
  <c r="CL103" i="8"/>
  <c r="CN103" i="8" s="1"/>
  <c r="CL644" i="8"/>
  <c r="CN644" i="8" s="1"/>
  <c r="CL446" i="8"/>
  <c r="CN446" i="8" s="1"/>
  <c r="CL60" i="8"/>
  <c r="CN60" i="8" s="1"/>
  <c r="CL482" i="8"/>
  <c r="CN482" i="8" s="1"/>
  <c r="CL390" i="8"/>
  <c r="CN390" i="8" s="1"/>
  <c r="CL866" i="8"/>
  <c r="CN866" i="8" s="1"/>
  <c r="CL656" i="8"/>
  <c r="CN656" i="8" s="1"/>
  <c r="CL438" i="8"/>
  <c r="CN438" i="8" s="1"/>
  <c r="CL474" i="8"/>
  <c r="CN474" i="8" s="1"/>
  <c r="CL348" i="8"/>
  <c r="CN348" i="8" s="1"/>
  <c r="CL456" i="8"/>
  <c r="CN456" i="8" s="1"/>
  <c r="CL328" i="8"/>
  <c r="CN328" i="8" s="1"/>
  <c r="CL552" i="8"/>
  <c r="CN552" i="8" s="1"/>
  <c r="CL596" i="8"/>
  <c r="CN596" i="8" s="1"/>
  <c r="CL765" i="8"/>
  <c r="CN765" i="8" s="1"/>
  <c r="CL682" i="8"/>
  <c r="CN682" i="8" s="1"/>
  <c r="CL87" i="8"/>
  <c r="CN87" i="8" s="1"/>
  <c r="CL796" i="8"/>
  <c r="CN796" i="8" s="1"/>
  <c r="CL29" i="8"/>
  <c r="CN29" i="8" s="1"/>
  <c r="CL650" i="8"/>
  <c r="CN650" i="8" s="1"/>
  <c r="CL400" i="8"/>
  <c r="CN400" i="8" s="1"/>
  <c r="CL825" i="8"/>
  <c r="CN825" i="8" s="1"/>
  <c r="CL812" i="8"/>
  <c r="CN812" i="8" s="1"/>
  <c r="CL784" i="8"/>
  <c r="CN784" i="8" s="1"/>
  <c r="CL714" i="8"/>
  <c r="CN714" i="8" s="1"/>
  <c r="CL664" i="8"/>
  <c r="CN664" i="8" s="1"/>
  <c r="CL324" i="8"/>
  <c r="CN324" i="8" s="1"/>
  <c r="CL266" i="8"/>
  <c r="CN266" i="8" s="1"/>
  <c r="CL293" i="8"/>
  <c r="CN293" i="8" s="1"/>
  <c r="CL147" i="8"/>
  <c r="CN147" i="8" s="1"/>
  <c r="CL131" i="8"/>
  <c r="CN131" i="8" s="1"/>
  <c r="CL666" i="8"/>
  <c r="CN666" i="8" s="1"/>
  <c r="CL475" i="8"/>
  <c r="CN475" i="8" s="1"/>
  <c r="CL450" i="8"/>
  <c r="CN450" i="8" s="1"/>
  <c r="CL256" i="8"/>
  <c r="CN256" i="8" s="1"/>
  <c r="CL163" i="8"/>
  <c r="CN163" i="8" s="1"/>
  <c r="CL870" i="8"/>
  <c r="CN870" i="8" s="1"/>
  <c r="CL736" i="8"/>
  <c r="CN736" i="8" s="1"/>
  <c r="CL538" i="8"/>
  <c r="CN538" i="8" s="1"/>
  <c r="CL535" i="8"/>
  <c r="CN535" i="8" s="1"/>
  <c r="CL379" i="8"/>
  <c r="CN379" i="8" s="1"/>
  <c r="CL347" i="8"/>
  <c r="CN347" i="8" s="1"/>
  <c r="CL219" i="8"/>
  <c r="CN219" i="8" s="1"/>
  <c r="CL858" i="8"/>
  <c r="CN858" i="8" s="1"/>
  <c r="CL414" i="8"/>
  <c r="CN414" i="8" s="1"/>
  <c r="CL61" i="8"/>
  <c r="CN61" i="8" s="1"/>
  <c r="CL50" i="8"/>
  <c r="CN50" i="8" s="1"/>
  <c r="CL584" i="8"/>
  <c r="CN584" i="8" s="1"/>
  <c r="CL844" i="8"/>
  <c r="CN844" i="8" s="1"/>
  <c r="CL778" i="8"/>
  <c r="CN778" i="8" s="1"/>
  <c r="CL636" i="8"/>
  <c r="CN636" i="8" s="1"/>
  <c r="CL746" i="8"/>
  <c r="CN746" i="8" s="1"/>
  <c r="CL382" i="8"/>
  <c r="CN382" i="8" s="1"/>
  <c r="CL787" i="8"/>
  <c r="CN787" i="8" s="1"/>
  <c r="CL342" i="8"/>
  <c r="CN342" i="8" s="1"/>
  <c r="CL790" i="8"/>
  <c r="CN790" i="8" s="1"/>
  <c r="CL4" i="8"/>
  <c r="CN4" i="8" s="1"/>
  <c r="CL102" i="8"/>
  <c r="CN102" i="8" s="1"/>
  <c r="CL14" i="8"/>
  <c r="CN14" i="8" s="1"/>
  <c r="CL41" i="8"/>
  <c r="CN41" i="8" s="1"/>
  <c r="CL754" i="8"/>
  <c r="CN754" i="8" s="1"/>
  <c r="CL797" i="8"/>
  <c r="CN797" i="8" s="1"/>
  <c r="CL840" i="8"/>
  <c r="CN840" i="8" s="1"/>
  <c r="CL685" i="8"/>
  <c r="CN685" i="8" s="1"/>
  <c r="CL669" i="8"/>
  <c r="CN669" i="8" s="1"/>
  <c r="CL13" i="8"/>
  <c r="CN13" i="8" s="1"/>
  <c r="CL184" i="8"/>
  <c r="CN184" i="8" s="1"/>
  <c r="CL544" i="8"/>
  <c r="CN544" i="8" s="1"/>
  <c r="CL374" i="8"/>
  <c r="CN374" i="8" s="1"/>
  <c r="CL739" i="8"/>
  <c r="CN739" i="8" s="1"/>
  <c r="CL782" i="8"/>
  <c r="CN782" i="8" s="1"/>
  <c r="CL628" i="8"/>
  <c r="CN628" i="8" s="1"/>
  <c r="CL660" i="8"/>
  <c r="CN660" i="8" s="1"/>
  <c r="CL618" i="8"/>
  <c r="CN618" i="8" s="1"/>
  <c r="CL250" i="8"/>
  <c r="CN250" i="8" s="1"/>
  <c r="CL283" i="8"/>
  <c r="CN283" i="8" s="1"/>
  <c r="CL251" i="8"/>
  <c r="CN251" i="8" s="1"/>
  <c r="CL841" i="8"/>
  <c r="CN841" i="8" s="1"/>
  <c r="CL831" i="8"/>
  <c r="CN831" i="8" s="1"/>
  <c r="CL699" i="8"/>
  <c r="CN699" i="8" s="1"/>
  <c r="CL570" i="8"/>
  <c r="CN570" i="8" s="1"/>
  <c r="CL513" i="8"/>
  <c r="CN513" i="8" s="1"/>
  <c r="CL202" i="8"/>
  <c r="CN202" i="8" s="1"/>
  <c r="CL856" i="8"/>
  <c r="CN856" i="8" s="1"/>
  <c r="CL645" i="8"/>
  <c r="CN645" i="8" s="1"/>
  <c r="CL608" i="8"/>
  <c r="CN608" i="8" s="1"/>
  <c r="CL528" i="8"/>
  <c r="CN528" i="8" s="1"/>
  <c r="CL512" i="8"/>
  <c r="CN512" i="8" s="1"/>
  <c r="CL25" i="8"/>
  <c r="CN25" i="8" s="1"/>
  <c r="CL317" i="8"/>
  <c r="CN317" i="8" s="1"/>
  <c r="CL805" i="8"/>
  <c r="CN805" i="8" s="1"/>
  <c r="CL824" i="8"/>
  <c r="CN824" i="8" s="1"/>
  <c r="CL460" i="8"/>
  <c r="CN460" i="8" s="1"/>
  <c r="CL406" i="8"/>
  <c r="CN406" i="8" s="1"/>
  <c r="CL478" i="8"/>
  <c r="CN478" i="8" s="1"/>
  <c r="CL340" i="8"/>
  <c r="CN340" i="8" s="1"/>
  <c r="CL436" i="8"/>
  <c r="CN436" i="8" s="1"/>
  <c r="CL416" i="8"/>
  <c r="CN416" i="8" s="1"/>
  <c r="CL860" i="8"/>
  <c r="CN860" i="8" s="1"/>
  <c r="CL640" i="8"/>
  <c r="CN640" i="8" s="1"/>
  <c r="CL411" i="8"/>
  <c r="CN411" i="8" s="1"/>
  <c r="CL865" i="8"/>
  <c r="CN865" i="8" s="1"/>
  <c r="CL287" i="8"/>
  <c r="CN287" i="8" s="1"/>
  <c r="CL730" i="8"/>
  <c r="CN730" i="8" s="1"/>
  <c r="CL386" i="8"/>
  <c r="CN386" i="8" s="1"/>
  <c r="CL344" i="8"/>
  <c r="CN344" i="8" s="1"/>
  <c r="CL218" i="8"/>
  <c r="CN218" i="8" s="1"/>
  <c r="CL828" i="8"/>
  <c r="CN828" i="8" s="1"/>
  <c r="CL847" i="8"/>
  <c r="CN847" i="8" s="1"/>
  <c r="CL651" i="8"/>
  <c r="CN651" i="8" s="1"/>
  <c r="CL758" i="8"/>
  <c r="CN758" i="8" s="1"/>
  <c r="CL688" i="8"/>
  <c r="CN688" i="8" s="1"/>
  <c r="CL560" i="8"/>
  <c r="CN560" i="8" s="1"/>
  <c r="CL119" i="8"/>
  <c r="CN119" i="8" s="1"/>
  <c r="CL742" i="8"/>
  <c r="CN742" i="8" s="1"/>
  <c r="CL771" i="8"/>
  <c r="CN771" i="8" s="1"/>
  <c r="CL755" i="8"/>
  <c r="CN755" i="8" s="1"/>
  <c r="CL770" i="8"/>
  <c r="CN770" i="8" s="1"/>
  <c r="CL318" i="8"/>
  <c r="CN318" i="8" s="1"/>
  <c r="CL76" i="8"/>
  <c r="CN76" i="8" s="1"/>
  <c r="CL861" i="8"/>
  <c r="CN861" i="8" s="1"/>
  <c r="CL522" i="8"/>
  <c r="CN522" i="8" s="1"/>
  <c r="CL635" i="8"/>
  <c r="CN635" i="8" s="1"/>
  <c r="CL565" i="8"/>
  <c r="CN565" i="8" s="1"/>
  <c r="CL602" i="8"/>
  <c r="CN602" i="8" s="1"/>
  <c r="CL395" i="8"/>
  <c r="CN395" i="8" s="1"/>
  <c r="CL57" i="8"/>
  <c r="CN57" i="8" s="1"/>
  <c r="CL581" i="8"/>
  <c r="CN581" i="8" s="1"/>
  <c r="CL676" i="8"/>
  <c r="CN676" i="8" s="1"/>
  <c r="CL166" i="8"/>
  <c r="CN166" i="8" s="1"/>
  <c r="CL710" i="8"/>
  <c r="CN710" i="8" s="1"/>
  <c r="CL715" i="8"/>
  <c r="CN715" i="8" s="1"/>
  <c r="CL519" i="8"/>
  <c r="CN519" i="8" s="1"/>
  <c r="CL572" i="8"/>
  <c r="CN572" i="8" s="1"/>
  <c r="CL363" i="8"/>
  <c r="CN363" i="8" s="1"/>
  <c r="CL331" i="8"/>
  <c r="CN331" i="8" s="1"/>
  <c r="CL365" i="8"/>
  <c r="CN365" i="8" s="1"/>
  <c r="CL279" i="8"/>
  <c r="CN279" i="8" s="1"/>
  <c r="CL497" i="8"/>
  <c r="CN497" i="8" s="1"/>
  <c r="CL481" i="8"/>
  <c r="CN481" i="8" s="1"/>
  <c r="CL465" i="8"/>
  <c r="CN465" i="8" s="1"/>
  <c r="CL114" i="8"/>
  <c r="CN114" i="8" s="1"/>
  <c r="CL10" i="8"/>
  <c r="CN10" i="8" s="1"/>
  <c r="CL862" i="8"/>
  <c r="CN862" i="8" s="1"/>
  <c r="CL804" i="8"/>
  <c r="CN804" i="8" s="1"/>
  <c r="CL718" i="8"/>
  <c r="CN718" i="8" s="1"/>
  <c r="CL706" i="8"/>
  <c r="CN706" i="8" s="1"/>
  <c r="CL548" i="8"/>
  <c r="CN548" i="8" s="1"/>
  <c r="CL53" i="8"/>
  <c r="CN53" i="8" s="1"/>
  <c r="CL174" i="8"/>
  <c r="CN174" i="8" s="1"/>
  <c r="CL86" i="8"/>
  <c r="CN86" i="8" s="1"/>
  <c r="CL98" i="8"/>
  <c r="CN98" i="8" s="1"/>
  <c r="CL72" i="8"/>
  <c r="CN72" i="8" s="1"/>
  <c r="CL146" i="8"/>
  <c r="CN146" i="8" s="1"/>
  <c r="CL597" i="8"/>
  <c r="CN597" i="8" s="1"/>
  <c r="CL5" i="8"/>
  <c r="CN5" i="8" s="1"/>
  <c r="CL142" i="8"/>
  <c r="CN142" i="8" s="1"/>
  <c r="CL158" i="8"/>
  <c r="CN158" i="8" s="1"/>
  <c r="CL130" i="8"/>
  <c r="CN130" i="8" s="1"/>
  <c r="CL116" i="8"/>
  <c r="CN116" i="8" s="1"/>
  <c r="CL94" i="8"/>
  <c r="CN94" i="8" s="1"/>
  <c r="CL64" i="8"/>
  <c r="CN64" i="8" s="1"/>
  <c r="CL52" i="8"/>
  <c r="CN52" i="8" s="1"/>
  <c r="CL106" i="8"/>
  <c r="CN106" i="8" s="1"/>
  <c r="CL24" i="8"/>
  <c r="CN24" i="8" s="1"/>
  <c r="CL800" i="8"/>
  <c r="CN800" i="8" s="1"/>
  <c r="CL749" i="8"/>
  <c r="CN749" i="8" s="1"/>
  <c r="CL734" i="8"/>
  <c r="CN734" i="8" s="1"/>
  <c r="CL766" i="8"/>
  <c r="CN766" i="8" s="1"/>
  <c r="CL449" i="8"/>
  <c r="CN449" i="8" s="1"/>
  <c r="CL433" i="8"/>
  <c r="CN433" i="8" s="1"/>
  <c r="CL417" i="8"/>
  <c r="CN417" i="8" s="1"/>
  <c r="CL9" i="8"/>
  <c r="CN9" i="8" s="1"/>
  <c r="CL126" i="8"/>
  <c r="CN126" i="8" s="1"/>
  <c r="CL178" i="8"/>
  <c r="CN178" i="8" s="1"/>
  <c r="CL162" i="8"/>
  <c r="CN162" i="8" s="1"/>
  <c r="CL122" i="8"/>
  <c r="CN122" i="8" s="1"/>
  <c r="CL78" i="8"/>
  <c r="CN78" i="8" s="1"/>
  <c r="CL138" i="8"/>
  <c r="CN138" i="8" s="1"/>
  <c r="CL809" i="8"/>
  <c r="CN809" i="8" s="1"/>
  <c r="CL637" i="8"/>
  <c r="CN637" i="8" s="1"/>
  <c r="CL413" i="8"/>
  <c r="CN413" i="8" s="1"/>
  <c r="CL820" i="8"/>
  <c r="CN820" i="8" s="1"/>
  <c r="CL727" i="8"/>
  <c r="CN727" i="8" s="1"/>
  <c r="CL629" i="8"/>
  <c r="CN629" i="8" s="1"/>
  <c r="CL36" i="8"/>
  <c r="CN36" i="8" s="1"/>
  <c r="CL16" i="8"/>
  <c r="CN16" i="8" s="1"/>
  <c r="CL150" i="8"/>
  <c r="CN150" i="8" s="1"/>
  <c r="CL134" i="8"/>
  <c r="CN134" i="8" s="1"/>
  <c r="CL118" i="8"/>
  <c r="CN118" i="8" s="1"/>
  <c r="CL6" i="8"/>
  <c r="CN6" i="8" s="1"/>
  <c r="CL82" i="8"/>
  <c r="CN82" i="8" s="1"/>
  <c r="CL857" i="8"/>
  <c r="CN857" i="8" s="1"/>
  <c r="CL781" i="8"/>
  <c r="CN781" i="8" s="1"/>
  <c r="CL615" i="8"/>
  <c r="CN615" i="8" s="1"/>
  <c r="CL551" i="8"/>
  <c r="CN551" i="8" s="1"/>
  <c r="CL517" i="8"/>
  <c r="CN517" i="8" s="1"/>
  <c r="CL429" i="8"/>
  <c r="CN429" i="8" s="1"/>
  <c r="CL349" i="8"/>
  <c r="CN349" i="8" s="1"/>
  <c r="CL215" i="8"/>
  <c r="CN215" i="8" s="1"/>
  <c r="CL864" i="8"/>
  <c r="CN864" i="8" s="1"/>
  <c r="CL848" i="8"/>
  <c r="CN848" i="8" s="1"/>
  <c r="CL806" i="8"/>
  <c r="CN806" i="8" s="1"/>
  <c r="CL791" i="8"/>
  <c r="CN791" i="8" s="1"/>
  <c r="CL788" i="8"/>
  <c r="CN788" i="8" s="1"/>
  <c r="CL750" i="8"/>
  <c r="CN750" i="8" s="1"/>
  <c r="CL722" i="8"/>
  <c r="CN722" i="8" s="1"/>
  <c r="CL708" i="8"/>
  <c r="CN708" i="8" s="1"/>
  <c r="CL769" i="8"/>
  <c r="CN769" i="8" s="1"/>
  <c r="CL753" i="8"/>
  <c r="CN753" i="8" s="1"/>
  <c r="CL737" i="8"/>
  <c r="CN737" i="8" s="1"/>
  <c r="CL673" i="8"/>
  <c r="CN673" i="8" s="1"/>
  <c r="CL702" i="8"/>
  <c r="CN702" i="8" s="1"/>
  <c r="CL680" i="8"/>
  <c r="CN680" i="8" s="1"/>
  <c r="CL653" i="8"/>
  <c r="CN653" i="8" s="1"/>
  <c r="CL623" i="8"/>
  <c r="CN623" i="8" s="1"/>
  <c r="CL606" i="8"/>
  <c r="CN606" i="8" s="1"/>
  <c r="CL590" i="8"/>
  <c r="CN590" i="8" s="1"/>
  <c r="CL574" i="8"/>
  <c r="CN574" i="8" s="1"/>
  <c r="CL558" i="8"/>
  <c r="CN558" i="8" s="1"/>
  <c r="CL542" i="8"/>
  <c r="CN542" i="8" s="1"/>
  <c r="CL526" i="8"/>
  <c r="CN526" i="8" s="1"/>
  <c r="CL510" i="8"/>
  <c r="CN510" i="8" s="1"/>
  <c r="CL521" i="8"/>
  <c r="CN521" i="8" s="1"/>
  <c r="CL399" i="8"/>
  <c r="CN399" i="8" s="1"/>
  <c r="CL508" i="8"/>
  <c r="CN508" i="8" s="1"/>
  <c r="CL462" i="8"/>
  <c r="CN462" i="8" s="1"/>
  <c r="CL306" i="8"/>
  <c r="CN306" i="8" s="1"/>
  <c r="CL290" i="8"/>
  <c r="CN290" i="8" s="1"/>
  <c r="CL260" i="8"/>
  <c r="CN260" i="8" s="1"/>
  <c r="CL255" i="8"/>
  <c r="CN255" i="8" s="1"/>
  <c r="CL151" i="8"/>
  <c r="CN151" i="8" s="1"/>
  <c r="CL135" i="8"/>
  <c r="CN135" i="8" s="1"/>
  <c r="CL817" i="8"/>
  <c r="CN817" i="8" s="1"/>
  <c r="CL836" i="8"/>
  <c r="CN836" i="8" s="1"/>
  <c r="CL855" i="8"/>
  <c r="CN855" i="8" s="1"/>
  <c r="CL839" i="8"/>
  <c r="CN839" i="8" s="1"/>
  <c r="CL747" i="8"/>
  <c r="CN747" i="8" s="1"/>
  <c r="CL774" i="8"/>
  <c r="CN774" i="8" s="1"/>
  <c r="CL731" i="8"/>
  <c r="CN731" i="8" s="1"/>
  <c r="CL690" i="8"/>
  <c r="CN690" i="8" s="1"/>
  <c r="CL674" i="8"/>
  <c r="CN674" i="8" s="1"/>
  <c r="CL658" i="8"/>
  <c r="CN658" i="8" s="1"/>
  <c r="CL642" i="8"/>
  <c r="CN642" i="8" s="1"/>
  <c r="CL592" i="8"/>
  <c r="CN592" i="8" s="1"/>
  <c r="CL576" i="8"/>
  <c r="CN576" i="8" s="1"/>
  <c r="CL524" i="8"/>
  <c r="CN524" i="8" s="1"/>
  <c r="CL711" i="8"/>
  <c r="CN711" i="8" s="1"/>
  <c r="CL633" i="8"/>
  <c r="CN633" i="8" s="1"/>
  <c r="CL567" i="8"/>
  <c r="CN567" i="8" s="1"/>
  <c r="CL477" i="8"/>
  <c r="CN477" i="8" s="1"/>
  <c r="CL247" i="8"/>
  <c r="CN247" i="8" s="1"/>
  <c r="CL816" i="8"/>
  <c r="CN816" i="8" s="1"/>
  <c r="CL851" i="8"/>
  <c r="CN851" i="8" s="1"/>
  <c r="CL835" i="8"/>
  <c r="CN835" i="8" s="1"/>
  <c r="CL819" i="8"/>
  <c r="CN819" i="8" s="1"/>
  <c r="CL803" i="8"/>
  <c r="CN803" i="8" s="1"/>
  <c r="CL775" i="8"/>
  <c r="CN775" i="8" s="1"/>
  <c r="CL786" i="8"/>
  <c r="CN786" i="8" s="1"/>
  <c r="CL772" i="8"/>
  <c r="CN772" i="8" s="1"/>
  <c r="CL785" i="8"/>
  <c r="CN785" i="8" s="1"/>
  <c r="CL721" i="8"/>
  <c r="CN721" i="8" s="1"/>
  <c r="CL705" i="8"/>
  <c r="CN705" i="8" s="1"/>
  <c r="CL719" i="8"/>
  <c r="CN719" i="8" s="1"/>
  <c r="CL689" i="8"/>
  <c r="CN689" i="8" s="1"/>
  <c r="CL638" i="8"/>
  <c r="CN638" i="8" s="1"/>
  <c r="CL622" i="8"/>
  <c r="CN622" i="8" s="1"/>
  <c r="CL617" i="8"/>
  <c r="CN617" i="8" s="1"/>
  <c r="CL601" i="8"/>
  <c r="CN601" i="8" s="1"/>
  <c r="CL585" i="8"/>
  <c r="CN585" i="8" s="1"/>
  <c r="CL569" i="8"/>
  <c r="CN569" i="8" s="1"/>
  <c r="CL553" i="8"/>
  <c r="CN553" i="8" s="1"/>
  <c r="CL383" i="8"/>
  <c r="CN383" i="8" s="1"/>
  <c r="CL367" i="8"/>
  <c r="CN367" i="8" s="1"/>
  <c r="CL351" i="8"/>
  <c r="CN351" i="8" s="1"/>
  <c r="CL335" i="8"/>
  <c r="CN335" i="8" s="1"/>
  <c r="CL319" i="8"/>
  <c r="CN319" i="8" s="1"/>
  <c r="CL494" i="8"/>
  <c r="CN494" i="8" s="1"/>
  <c r="CL388" i="8"/>
  <c r="CN388" i="8" s="1"/>
  <c r="CL334" i="8"/>
  <c r="CN334" i="8" s="1"/>
  <c r="CL315" i="8"/>
  <c r="CN315" i="8" s="1"/>
  <c r="CL258" i="8"/>
  <c r="CN258" i="8" s="1"/>
  <c r="CL244" i="8"/>
  <c r="CN244" i="8" s="1"/>
  <c r="CL228" i="8"/>
  <c r="CN228" i="8" s="1"/>
  <c r="CL212" i="8"/>
  <c r="CN212" i="8" s="1"/>
  <c r="CL196" i="8"/>
  <c r="CN196" i="8" s="1"/>
  <c r="CL863" i="8"/>
  <c r="CN863" i="8" s="1"/>
  <c r="CL672" i="8"/>
  <c r="CN672" i="8" s="1"/>
  <c r="CL813" i="8"/>
  <c r="CN813" i="8" s="1"/>
  <c r="CL701" i="8"/>
  <c r="CN701" i="8" s="1"/>
  <c r="CL583" i="8"/>
  <c r="CN583" i="8" s="1"/>
  <c r="CL491" i="8"/>
  <c r="CN491" i="8" s="1"/>
  <c r="CL459" i="8"/>
  <c r="CN459" i="8" s="1"/>
  <c r="CL427" i="8"/>
  <c r="CN427" i="8" s="1"/>
  <c r="CL493" i="8"/>
  <c r="CN493" i="8" s="1"/>
  <c r="CL445" i="8"/>
  <c r="CN445" i="8" s="1"/>
  <c r="CL333" i="8"/>
  <c r="CN333" i="8" s="1"/>
  <c r="CL311" i="8"/>
  <c r="CN311" i="8" s="1"/>
  <c r="CL859" i="8"/>
  <c r="CN859" i="8" s="1"/>
  <c r="CL845" i="8"/>
  <c r="CN845" i="8" s="1"/>
  <c r="CL854" i="8"/>
  <c r="CN854" i="8" s="1"/>
  <c r="CL759" i="8"/>
  <c r="CN759" i="8" s="1"/>
  <c r="CL756" i="8"/>
  <c r="CN756" i="8" s="1"/>
  <c r="CL654" i="8"/>
  <c r="CN654" i="8" s="1"/>
  <c r="CL632" i="8"/>
  <c r="CN632" i="8" s="1"/>
  <c r="CL641" i="8"/>
  <c r="CN641" i="8" s="1"/>
  <c r="CL648" i="8"/>
  <c r="CN648" i="8" s="1"/>
  <c r="CL401" i="8"/>
  <c r="CN401" i="8" s="1"/>
  <c r="CL398" i="8"/>
  <c r="CN398" i="8" s="1"/>
  <c r="CL366" i="8"/>
  <c r="CN366" i="8" s="1"/>
  <c r="CL242" i="8"/>
  <c r="CN242" i="8" s="1"/>
  <c r="CL226" i="8"/>
  <c r="CN226" i="8" s="1"/>
  <c r="CL210" i="8"/>
  <c r="CN210" i="8" s="1"/>
  <c r="CL194" i="8"/>
  <c r="CN194" i="8" s="1"/>
  <c r="CL297" i="8"/>
  <c r="CN297" i="8" s="1"/>
  <c r="CL281" i="8"/>
  <c r="CN281" i="8" s="1"/>
  <c r="CL265" i="8"/>
  <c r="CN265" i="8" s="1"/>
  <c r="CL183" i="8"/>
  <c r="CN183" i="8" s="1"/>
  <c r="CL723" i="8"/>
  <c r="CN723" i="8" s="1"/>
  <c r="CL691" i="8"/>
  <c r="CN691" i="8" s="1"/>
  <c r="CL599" i="8"/>
  <c r="CN599" i="8" s="1"/>
  <c r="CL461" i="8"/>
  <c r="CN461" i="8" s="1"/>
  <c r="CL397" i="8"/>
  <c r="CN397" i="8" s="1"/>
  <c r="CL381" i="8"/>
  <c r="CN381" i="8" s="1"/>
  <c r="CL829" i="8"/>
  <c r="CN829" i="8" s="1"/>
  <c r="CL838" i="8"/>
  <c r="CN838" i="8" s="1"/>
  <c r="CL822" i="8"/>
  <c r="CN822" i="8" s="1"/>
  <c r="CL743" i="8"/>
  <c r="CN743" i="8" s="1"/>
  <c r="CL808" i="8"/>
  <c r="CN808" i="8" s="1"/>
  <c r="CL740" i="8"/>
  <c r="CN740" i="8" s="1"/>
  <c r="CL724" i="8"/>
  <c r="CN724" i="8" s="1"/>
  <c r="CL657" i="8"/>
  <c r="CN657" i="8" s="1"/>
  <c r="CL686" i="8"/>
  <c r="CN686" i="8" s="1"/>
  <c r="CL670" i="8"/>
  <c r="CN670" i="8" s="1"/>
  <c r="CL687" i="8"/>
  <c r="CN687" i="8" s="1"/>
  <c r="CL671" i="8"/>
  <c r="CN671" i="8" s="1"/>
  <c r="CL655" i="8"/>
  <c r="CN655" i="8" s="1"/>
  <c r="CL619" i="8"/>
  <c r="CN619" i="8" s="1"/>
  <c r="CL603" i="8"/>
  <c r="CN603" i="8" s="1"/>
  <c r="CL587" i="8"/>
  <c r="CN587" i="8" s="1"/>
  <c r="CL571" i="8"/>
  <c r="CN571" i="8" s="1"/>
  <c r="CL555" i="8"/>
  <c r="CN555" i="8" s="1"/>
  <c r="CL539" i="8"/>
  <c r="CN539" i="8" s="1"/>
  <c r="CL523" i="8"/>
  <c r="CN523" i="8" s="1"/>
  <c r="CL507" i="8"/>
  <c r="CN507" i="8" s="1"/>
  <c r="CL588" i="8"/>
  <c r="CN588" i="8" s="1"/>
  <c r="CL495" i="8"/>
  <c r="CN495" i="8" s="1"/>
  <c r="CL479" i="8"/>
  <c r="CN479" i="8" s="1"/>
  <c r="CL463" i="8"/>
  <c r="CN463" i="8" s="1"/>
  <c r="CL447" i="8"/>
  <c r="CN447" i="8" s="1"/>
  <c r="CL431" i="8"/>
  <c r="CN431" i="8" s="1"/>
  <c r="CL415" i="8"/>
  <c r="CN415" i="8" s="1"/>
  <c r="CL525" i="8"/>
  <c r="CN525" i="8" s="1"/>
  <c r="CL385" i="8"/>
  <c r="CN385" i="8" s="1"/>
  <c r="CL369" i="8"/>
  <c r="CN369" i="8" s="1"/>
  <c r="CL353" i="8"/>
  <c r="CN353" i="8" s="1"/>
  <c r="CL337" i="8"/>
  <c r="CN337" i="8" s="1"/>
  <c r="CL321" i="8"/>
  <c r="CN321" i="8" s="1"/>
  <c r="CL430" i="8"/>
  <c r="CN430" i="8" s="1"/>
  <c r="CL308" i="8"/>
  <c r="CN308" i="8" s="1"/>
  <c r="CL292" i="8"/>
  <c r="CN292" i="8" s="1"/>
  <c r="CL276" i="8"/>
  <c r="CN276" i="8" s="1"/>
  <c r="CL249" i="8"/>
  <c r="CN249" i="8" s="1"/>
  <c r="CL233" i="8"/>
  <c r="CN233" i="8" s="1"/>
  <c r="CL217" i="8"/>
  <c r="CN217" i="8" s="1"/>
  <c r="CL201" i="8"/>
  <c r="CN201" i="8" s="1"/>
  <c r="CL167" i="8"/>
  <c r="CN167" i="8" s="1"/>
  <c r="CL852" i="8"/>
  <c r="CN852" i="8" s="1"/>
  <c r="CL776" i="8"/>
  <c r="CN776" i="8" s="1"/>
  <c r="CL738" i="8"/>
  <c r="CN738" i="8" s="1"/>
  <c r="CL726" i="8"/>
  <c r="CN726" i="8" s="1"/>
  <c r="CL692" i="8"/>
  <c r="CN692" i="8" s="1"/>
  <c r="CL621" i="8"/>
  <c r="CN621" i="8" s="1"/>
  <c r="CL604" i="8"/>
  <c r="CN604" i="8" s="1"/>
  <c r="CL624" i="8"/>
  <c r="CN624" i="8" s="1"/>
  <c r="CL610" i="8"/>
  <c r="CN610" i="8" s="1"/>
  <c r="CL594" i="8"/>
  <c r="CN594" i="8" s="1"/>
  <c r="CL578" i="8"/>
  <c r="CN578" i="8" s="1"/>
  <c r="CL562" i="8"/>
  <c r="CN562" i="8" s="1"/>
  <c r="CL546" i="8"/>
  <c r="CN546" i="8" s="1"/>
  <c r="CL530" i="8"/>
  <c r="CN530" i="8" s="1"/>
  <c r="CL514" i="8"/>
  <c r="CN514" i="8" s="1"/>
  <c r="CL499" i="8"/>
  <c r="CN499" i="8" s="1"/>
  <c r="CL483" i="8"/>
  <c r="CN483" i="8" s="1"/>
  <c r="CL467" i="8"/>
  <c r="CN467" i="8" s="1"/>
  <c r="CL451" i="8"/>
  <c r="CN451" i="8" s="1"/>
  <c r="CL435" i="8"/>
  <c r="CN435" i="8" s="1"/>
  <c r="CL419" i="8"/>
  <c r="CN419" i="8" s="1"/>
  <c r="CL533" i="8"/>
  <c r="CN533" i="8" s="1"/>
  <c r="CL373" i="8"/>
  <c r="CN373" i="8" s="1"/>
  <c r="CL357" i="8"/>
  <c r="CN357" i="8" s="1"/>
  <c r="CL341" i="8"/>
  <c r="CN341" i="8" s="1"/>
  <c r="CL325" i="8"/>
  <c r="CN325" i="8" s="1"/>
  <c r="CL264" i="8"/>
  <c r="CN264" i="8" s="1"/>
  <c r="CL248" i="8"/>
  <c r="CN248" i="8" s="1"/>
  <c r="CL232" i="8"/>
  <c r="CN232" i="8" s="1"/>
  <c r="CL216" i="8"/>
  <c r="CN216" i="8" s="1"/>
  <c r="CL200" i="8"/>
  <c r="CN200" i="8" s="1"/>
  <c r="CL253" i="8"/>
  <c r="CN253" i="8" s="1"/>
  <c r="CL295" i="8"/>
  <c r="CN295" i="8" s="1"/>
  <c r="CL203" i="8"/>
  <c r="CN203" i="8" s="1"/>
  <c r="CL171" i="8"/>
  <c r="CN171" i="8" s="1"/>
  <c r="CL254" i="8"/>
  <c r="CN254" i="8" s="1"/>
  <c r="CL830" i="8"/>
  <c r="CN830" i="8" s="1"/>
  <c r="CL751" i="8"/>
  <c r="CN751" i="8" s="1"/>
  <c r="CL735" i="8"/>
  <c r="CN735" i="8" s="1"/>
  <c r="CL764" i="8"/>
  <c r="CN764" i="8" s="1"/>
  <c r="CL777" i="8"/>
  <c r="CN777" i="8" s="1"/>
  <c r="CL761" i="8"/>
  <c r="CN761" i="8" s="1"/>
  <c r="CL745" i="8"/>
  <c r="CN745" i="8" s="1"/>
  <c r="CL729" i="8"/>
  <c r="CN729" i="8" s="1"/>
  <c r="CL697" i="8"/>
  <c r="CN697" i="8" s="1"/>
  <c r="CL630" i="8"/>
  <c r="CN630" i="8" s="1"/>
  <c r="CL663" i="8"/>
  <c r="CN663" i="8" s="1"/>
  <c r="CL647" i="8"/>
  <c r="CN647" i="8" s="1"/>
  <c r="CL563" i="8"/>
  <c r="CN563" i="8" s="1"/>
  <c r="CL487" i="8"/>
  <c r="CN487" i="8" s="1"/>
  <c r="CL473" i="8"/>
  <c r="CN473" i="8" s="1"/>
  <c r="CL377" i="8"/>
  <c r="CN377" i="8" s="1"/>
  <c r="CL300" i="8"/>
  <c r="CN300" i="8" s="1"/>
  <c r="CL284" i="8"/>
  <c r="CN284" i="8" s="1"/>
  <c r="CL234" i="8"/>
  <c r="CN234" i="8" s="1"/>
  <c r="CL241" i="8"/>
  <c r="CN241" i="8" s="1"/>
  <c r="CL225" i="8"/>
  <c r="CN225" i="8" s="1"/>
  <c r="CL209" i="8"/>
  <c r="CN209" i="8" s="1"/>
  <c r="CL275" i="8"/>
  <c r="CN275" i="8" s="1"/>
  <c r="CL243" i="8"/>
  <c r="CN243" i="8" s="1"/>
  <c r="CL49" i="8"/>
  <c r="CN49" i="8" s="1"/>
  <c r="CL262" i="8"/>
  <c r="CN262" i="8" s="1"/>
  <c r="CL198" i="8"/>
  <c r="CN198" i="8" s="1"/>
  <c r="CL849" i="8"/>
  <c r="CN849" i="8" s="1"/>
  <c r="CL842" i="8"/>
  <c r="CN842" i="8" s="1"/>
  <c r="CL760" i="8"/>
  <c r="CN760" i="8" s="1"/>
  <c r="CL626" i="8"/>
  <c r="CN626" i="8" s="1"/>
  <c r="CL675" i="8"/>
  <c r="CN675" i="8" s="1"/>
  <c r="CL659" i="8"/>
  <c r="CN659" i="8" s="1"/>
  <c r="CL643" i="8"/>
  <c r="CN643" i="8" s="1"/>
  <c r="CL529" i="8"/>
  <c r="CN529" i="8" s="1"/>
  <c r="CL403" i="8"/>
  <c r="CN403" i="8" s="1"/>
  <c r="CL485" i="8"/>
  <c r="CN485" i="8" s="1"/>
  <c r="CL469" i="8"/>
  <c r="CN469" i="8" s="1"/>
  <c r="CL453" i="8"/>
  <c r="CN453" i="8" s="1"/>
  <c r="CL437" i="8"/>
  <c r="CN437" i="8" s="1"/>
  <c r="CL421" i="8"/>
  <c r="CN421" i="8" s="1"/>
  <c r="CL274" i="8"/>
  <c r="CN274" i="8" s="1"/>
  <c r="CL237" i="8"/>
  <c r="CN237" i="8" s="1"/>
  <c r="CL221" i="8"/>
  <c r="CN221" i="8" s="1"/>
  <c r="CL205" i="8"/>
  <c r="CN205" i="8" s="1"/>
  <c r="CL189" i="8"/>
  <c r="CN189" i="8" s="1"/>
  <c r="CL320" i="8"/>
  <c r="CN320" i="8" s="1"/>
  <c r="CL267" i="8"/>
  <c r="CN267" i="8" s="1"/>
  <c r="CL235" i="8"/>
  <c r="CN235" i="8" s="1"/>
  <c r="CL155" i="8"/>
  <c r="CN155" i="8" s="1"/>
  <c r="CL139" i="8"/>
  <c r="CN139" i="8" s="1"/>
  <c r="CL286" i="8"/>
  <c r="CN286" i="8" s="1"/>
  <c r="CL869" i="8"/>
  <c r="CN869" i="8" s="1"/>
  <c r="CL814" i="8"/>
  <c r="CN814" i="8" s="1"/>
  <c r="CL748" i="8"/>
  <c r="CN748" i="8" s="1"/>
  <c r="CL793" i="8"/>
  <c r="CN793" i="8" s="1"/>
  <c r="CL713" i="8"/>
  <c r="CN713" i="8" s="1"/>
  <c r="CL703" i="8"/>
  <c r="CN703" i="8" s="1"/>
  <c r="CL681" i="8"/>
  <c r="CN681" i="8" s="1"/>
  <c r="CL665" i="8"/>
  <c r="CN665" i="8" s="1"/>
  <c r="CL679" i="8"/>
  <c r="CN679" i="8" s="1"/>
  <c r="CL631" i="8"/>
  <c r="CN631" i="8" s="1"/>
  <c r="CL579" i="8"/>
  <c r="CN579" i="8" s="1"/>
  <c r="CL515" i="8"/>
  <c r="CN515" i="8" s="1"/>
  <c r="CL505" i="8"/>
  <c r="CN505" i="8" s="1"/>
  <c r="CL455" i="8"/>
  <c r="CN455" i="8" s="1"/>
  <c r="CL439" i="8"/>
  <c r="CN439" i="8" s="1"/>
  <c r="CL423" i="8"/>
  <c r="CN423" i="8" s="1"/>
  <c r="CL564" i="8"/>
  <c r="CN564" i="8" s="1"/>
  <c r="CL298" i="8"/>
  <c r="CN298" i="8" s="1"/>
  <c r="CL193" i="8"/>
  <c r="CN193" i="8" s="1"/>
  <c r="CL307" i="8"/>
  <c r="CN307" i="8" s="1"/>
  <c r="CL40" i="8"/>
  <c r="CN40" i="8" s="1"/>
  <c r="CL302" i="8"/>
  <c r="CN302" i="8" s="1"/>
  <c r="CL238" i="8"/>
  <c r="CN238" i="8" s="1"/>
  <c r="CL214" i="8"/>
  <c r="CN214" i="8" s="1"/>
  <c r="CL56" i="8"/>
  <c r="CN56" i="8" s="1"/>
  <c r="CL833" i="8"/>
  <c r="CN833" i="8" s="1"/>
  <c r="CL826" i="8"/>
  <c r="CN826" i="8" s="1"/>
  <c r="CL810" i="8"/>
  <c r="CN810" i="8" s="1"/>
  <c r="CL779" i="8"/>
  <c r="CN779" i="8" s="1"/>
  <c r="CL744" i="8"/>
  <c r="CN744" i="8" s="1"/>
  <c r="CL789" i="8"/>
  <c r="CN789" i="8" s="1"/>
  <c r="CL773" i="8"/>
  <c r="CN773" i="8" s="1"/>
  <c r="CL757" i="8"/>
  <c r="CN757" i="8" s="1"/>
  <c r="CL741" i="8"/>
  <c r="CN741" i="8" s="1"/>
  <c r="CL725" i="8"/>
  <c r="CN725" i="8" s="1"/>
  <c r="CL693" i="8"/>
  <c r="CN693" i="8" s="1"/>
  <c r="CL627" i="8"/>
  <c r="CN627" i="8" s="1"/>
  <c r="CL649" i="8"/>
  <c r="CN649" i="8" s="1"/>
  <c r="CL652" i="8"/>
  <c r="CN652" i="8" s="1"/>
  <c r="CL607" i="8"/>
  <c r="CN607" i="8" s="1"/>
  <c r="CL591" i="8"/>
  <c r="CN591" i="8" s="1"/>
  <c r="CL575" i="8"/>
  <c r="CN575" i="8" s="1"/>
  <c r="CL559" i="8"/>
  <c r="CN559" i="8" s="1"/>
  <c r="CL543" i="8"/>
  <c r="CN543" i="8" s="1"/>
  <c r="CL527" i="8"/>
  <c r="CN527" i="8" s="1"/>
  <c r="CL511" i="8"/>
  <c r="CN511" i="8" s="1"/>
  <c r="CL540" i="8"/>
  <c r="CN540" i="8" s="1"/>
  <c r="CL387" i="8"/>
  <c r="CN387" i="8" s="1"/>
  <c r="CL501" i="8"/>
  <c r="CN501" i="8" s="1"/>
  <c r="CL405" i="8"/>
  <c r="CN405" i="8" s="1"/>
  <c r="CL314" i="8"/>
  <c r="CN314" i="8" s="1"/>
  <c r="CL301" i="8"/>
  <c r="CN301" i="8" s="1"/>
  <c r="CL285" i="8"/>
  <c r="CN285" i="8" s="1"/>
  <c r="CL299" i="8"/>
  <c r="CN299" i="8" s="1"/>
  <c r="CL199" i="8"/>
  <c r="CN199" i="8" s="1"/>
  <c r="CL123" i="8"/>
  <c r="CN123" i="8" s="1"/>
  <c r="CL107" i="8"/>
  <c r="CN107" i="8" s="1"/>
  <c r="CL190" i="8"/>
  <c r="CN190" i="8" s="1"/>
  <c r="CL798" i="8"/>
  <c r="CN798" i="8" s="1"/>
  <c r="CL783" i="8"/>
  <c r="CN783" i="8" s="1"/>
  <c r="CL732" i="8"/>
  <c r="CN732" i="8" s="1"/>
  <c r="CL695" i="8"/>
  <c r="CN695" i="8" s="1"/>
  <c r="CL609" i="8"/>
  <c r="CN609" i="8" s="1"/>
  <c r="CL593" i="8"/>
  <c r="CN593" i="8" s="1"/>
  <c r="CL577" i="8"/>
  <c r="CN577" i="8" s="1"/>
  <c r="CL561" i="8"/>
  <c r="CN561" i="8" s="1"/>
  <c r="CL545" i="8"/>
  <c r="CN545" i="8" s="1"/>
  <c r="CL614" i="8"/>
  <c r="CN614" i="8" s="1"/>
  <c r="CL598" i="8"/>
  <c r="CN598" i="8" s="1"/>
  <c r="CL582" i="8"/>
  <c r="CN582" i="8" s="1"/>
  <c r="CL566" i="8"/>
  <c r="CN566" i="8" s="1"/>
  <c r="CL550" i="8"/>
  <c r="CN550" i="8" s="1"/>
  <c r="CL534" i="8"/>
  <c r="CN534" i="8" s="1"/>
  <c r="CL518" i="8"/>
  <c r="CN518" i="8" s="1"/>
  <c r="CL502" i="8"/>
  <c r="CN502" i="8" s="1"/>
  <c r="CL595" i="8"/>
  <c r="CN595" i="8" s="1"/>
  <c r="CL531" i="8"/>
  <c r="CN531" i="8" s="1"/>
  <c r="CL537" i="8"/>
  <c r="CN537" i="8" s="1"/>
  <c r="CL407" i="8"/>
  <c r="CN407" i="8" s="1"/>
  <c r="CL278" i="8"/>
  <c r="CN278" i="8" s="1"/>
  <c r="CL294" i="8"/>
  <c r="CN294" i="8" s="1"/>
  <c r="CL230" i="8"/>
  <c r="CN230" i="8" s="1"/>
  <c r="CL186" i="8"/>
  <c r="CN186" i="8" s="1"/>
  <c r="CL823" i="8"/>
  <c r="CN823" i="8" s="1"/>
  <c r="CL807" i="8"/>
  <c r="CN807" i="8" s="1"/>
  <c r="CL763" i="8"/>
  <c r="CN763" i="8" s="1"/>
  <c r="CL792" i="8"/>
  <c r="CN792" i="8" s="1"/>
  <c r="CL728" i="8"/>
  <c r="CN728" i="8" s="1"/>
  <c r="CL712" i="8"/>
  <c r="CN712" i="8" s="1"/>
  <c r="CL709" i="8"/>
  <c r="CN709" i="8" s="1"/>
  <c r="CL677" i="8"/>
  <c r="CN677" i="8" s="1"/>
  <c r="CL661" i="8"/>
  <c r="CN661" i="8" s="1"/>
  <c r="CL605" i="8"/>
  <c r="CN605" i="8" s="1"/>
  <c r="CL589" i="8"/>
  <c r="CN589" i="8" s="1"/>
  <c r="CL573" i="8"/>
  <c r="CN573" i="8" s="1"/>
  <c r="CL557" i="8"/>
  <c r="CN557" i="8" s="1"/>
  <c r="CL541" i="8"/>
  <c r="CN541" i="8" s="1"/>
  <c r="CL371" i="8"/>
  <c r="CN371" i="8" s="1"/>
  <c r="CL355" i="8"/>
  <c r="CN355" i="8" s="1"/>
  <c r="CL339" i="8"/>
  <c r="CN339" i="8" s="1"/>
  <c r="CL323" i="8"/>
  <c r="CN323" i="8" s="1"/>
  <c r="CL612" i="8"/>
  <c r="CN612" i="8" s="1"/>
  <c r="CL389" i="8"/>
  <c r="CN389" i="8" s="1"/>
  <c r="CL312" i="8"/>
  <c r="CN312" i="8" s="1"/>
  <c r="CL296" i="8"/>
  <c r="CN296" i="8" s="1"/>
  <c r="CL280" i="8"/>
  <c r="CN280" i="8" s="1"/>
  <c r="CL269" i="8"/>
  <c r="CN269" i="8" s="1"/>
  <c r="CL263" i="8"/>
  <c r="CN263" i="8" s="1"/>
  <c r="CL231" i="8"/>
  <c r="CN231" i="8" s="1"/>
  <c r="CL187" i="8"/>
  <c r="CN187" i="8" s="1"/>
  <c r="CL91" i="8"/>
  <c r="CN91" i="8" s="1"/>
  <c r="CL222" i="8"/>
  <c r="CN222" i="8" s="1"/>
  <c r="CL853" i="8"/>
  <c r="CN853" i="8" s="1"/>
  <c r="CL837" i="8"/>
  <c r="CN837" i="8" s="1"/>
  <c r="CL821" i="8"/>
  <c r="CN821" i="8" s="1"/>
  <c r="CL846" i="8"/>
  <c r="CN846" i="8" s="1"/>
  <c r="CL843" i="8"/>
  <c r="CN843" i="8" s="1"/>
  <c r="CL827" i="8"/>
  <c r="CN827" i="8" s="1"/>
  <c r="CL811" i="8"/>
  <c r="CN811" i="8" s="1"/>
  <c r="CL795" i="8"/>
  <c r="CN795" i="8" s="1"/>
  <c r="CL801" i="8"/>
  <c r="CN801" i="8" s="1"/>
  <c r="CL767" i="8"/>
  <c r="CN767" i="8" s="1"/>
  <c r="CL780" i="8"/>
  <c r="CN780" i="8" s="1"/>
  <c r="CL716" i="8"/>
  <c r="CN716" i="8" s="1"/>
  <c r="CL694" i="8"/>
  <c r="CN694" i="8" s="1"/>
  <c r="CL678" i="8"/>
  <c r="CN678" i="8" s="1"/>
  <c r="CL662" i="8"/>
  <c r="CN662" i="8" s="1"/>
  <c r="CL646" i="8"/>
  <c r="CN646" i="8" s="1"/>
  <c r="CL625" i="8"/>
  <c r="CN625" i="8" s="1"/>
  <c r="CL532" i="8"/>
  <c r="CN532" i="8" s="1"/>
  <c r="CL516" i="8"/>
  <c r="CN516" i="8" s="1"/>
  <c r="CL500" i="8"/>
  <c r="CN500" i="8" s="1"/>
  <c r="CL611" i="8"/>
  <c r="CN611" i="8" s="1"/>
  <c r="CL547" i="8"/>
  <c r="CN547" i="8" s="1"/>
  <c r="CL509" i="8"/>
  <c r="CN509" i="8" s="1"/>
  <c r="CL457" i="8"/>
  <c r="CN457" i="8" s="1"/>
  <c r="CL361" i="8"/>
  <c r="CN361" i="8" s="1"/>
  <c r="CL236" i="8"/>
  <c r="CN236" i="8" s="1"/>
  <c r="CL220" i="8"/>
  <c r="CN220" i="8" s="1"/>
  <c r="CL204" i="8"/>
  <c r="CN204" i="8" s="1"/>
  <c r="CL188" i="8"/>
  <c r="CN188" i="8" s="1"/>
  <c r="CL303" i="8"/>
  <c r="CN303" i="8" s="1"/>
  <c r="CL211" i="8"/>
  <c r="CN211" i="8" s="1"/>
  <c r="CL111" i="8"/>
  <c r="CN111" i="8" s="1"/>
  <c r="CL95" i="8"/>
  <c r="CN95" i="8" s="1"/>
  <c r="CL79" i="8"/>
  <c r="CN79" i="8" s="1"/>
  <c r="CL65" i="8"/>
  <c r="CN65" i="8" s="1"/>
  <c r="CL182" i="8"/>
  <c r="CN182" i="8" s="1"/>
  <c r="CL270" i="8"/>
  <c r="CN270" i="8" s="1"/>
  <c r="CL206" i="8"/>
  <c r="CN206" i="8" s="1"/>
  <c r="CL310" i="8"/>
  <c r="CN310" i="8" s="1"/>
  <c r="CL246" i="8"/>
  <c r="CN246" i="8" s="1"/>
  <c r="CL48" i="8"/>
  <c r="CN48" i="8" s="1"/>
  <c r="CL177" i="8"/>
  <c r="CN177" i="8" s="1"/>
  <c r="CL161" i="8"/>
  <c r="CN161" i="8" s="1"/>
  <c r="CL145" i="8"/>
  <c r="CN145" i="8" s="1"/>
  <c r="CL129" i="8"/>
  <c r="CN129" i="8" s="1"/>
  <c r="CL37" i="8"/>
  <c r="CN37" i="8" s="1"/>
  <c r="CL21" i="8"/>
  <c r="CN21" i="8" s="1"/>
  <c r="CL153" i="8"/>
  <c r="CN153" i="8" s="1"/>
  <c r="CL137" i="8"/>
  <c r="CN137" i="8" s="1"/>
  <c r="CL71" i="8"/>
  <c r="CN71" i="8" s="1"/>
  <c r="CL55" i="8"/>
  <c r="CN55" i="8" s="1"/>
  <c r="CL39" i="8"/>
  <c r="CN39" i="8" s="1"/>
  <c r="CL63" i="8"/>
  <c r="CN63" i="8" s="1"/>
  <c r="CL47" i="8"/>
  <c r="CN47" i="8" s="1"/>
  <c r="CL31" i="8"/>
  <c r="CN31" i="8" s="1"/>
  <c r="CL15" i="8"/>
  <c r="CN15" i="8" s="1"/>
  <c r="CL85" i="8"/>
  <c r="CN85" i="8" s="1"/>
  <c r="CL125" i="8"/>
  <c r="CN125" i="8" s="1"/>
  <c r="CL391" i="8"/>
  <c r="CN391" i="8" s="1"/>
  <c r="CL489" i="8"/>
  <c r="CN489" i="8" s="1"/>
  <c r="CL425" i="8"/>
  <c r="CN425" i="8" s="1"/>
  <c r="CL409" i="8"/>
  <c r="CN409" i="8" s="1"/>
  <c r="CL393" i="8"/>
  <c r="CN393" i="8" s="1"/>
  <c r="CL329" i="8"/>
  <c r="CN329" i="8" s="1"/>
  <c r="CL313" i="8"/>
  <c r="CN313" i="8" s="1"/>
  <c r="CL268" i="8"/>
  <c r="CN268" i="8" s="1"/>
  <c r="CL207" i="8"/>
  <c r="CN207" i="8" s="1"/>
  <c r="CL175" i="8"/>
  <c r="CN175" i="8" s="1"/>
  <c r="CL33" i="8"/>
  <c r="CN33" i="8" s="1"/>
  <c r="CL156" i="8"/>
  <c r="CN156" i="8" s="1"/>
  <c r="CL140" i="8"/>
  <c r="CN140" i="8" s="1"/>
  <c r="CL124" i="8"/>
  <c r="CN124" i="8" s="1"/>
  <c r="CL108" i="8"/>
  <c r="CN108" i="8" s="1"/>
  <c r="CL38" i="8"/>
  <c r="CN38" i="8" s="1"/>
  <c r="CL113" i="8"/>
  <c r="CN113" i="8" s="1"/>
  <c r="CL115" i="8"/>
  <c r="CN115" i="8" s="1"/>
  <c r="CL26" i="8"/>
  <c r="CN26" i="8" s="1"/>
  <c r="CL180" i="8"/>
  <c r="CN180" i="8" s="1"/>
  <c r="CL100" i="8"/>
  <c r="CN100" i="8" s="1"/>
  <c r="CL84" i="8"/>
  <c r="CN84" i="8" s="1"/>
  <c r="CL70" i="8"/>
  <c r="CN70" i="8" s="1"/>
  <c r="CL291" i="8"/>
  <c r="CN291" i="8" s="1"/>
  <c r="CL195" i="8"/>
  <c r="CN195" i="8" s="1"/>
  <c r="CL121" i="8"/>
  <c r="CN121" i="8" s="1"/>
  <c r="CL168" i="8"/>
  <c r="CN168" i="8" s="1"/>
  <c r="CL101" i="8"/>
  <c r="CN101" i="8" s="1"/>
  <c r="CL67" i="8"/>
  <c r="CN67" i="8" s="1"/>
  <c r="CL51" i="8"/>
  <c r="CN51" i="8" s="1"/>
  <c r="CL35" i="8"/>
  <c r="CN35" i="8" s="1"/>
  <c r="CL19" i="8"/>
  <c r="CN19" i="8" s="1"/>
  <c r="CL141" i="8"/>
  <c r="CN141" i="8" s="1"/>
  <c r="CL471" i="8"/>
  <c r="CN471" i="8" s="1"/>
  <c r="CL375" i="8"/>
  <c r="CN375" i="8" s="1"/>
  <c r="CL359" i="8"/>
  <c r="CN359" i="8" s="1"/>
  <c r="CL343" i="8"/>
  <c r="CN343" i="8" s="1"/>
  <c r="CL327" i="8"/>
  <c r="CN327" i="8" s="1"/>
  <c r="CL441" i="8"/>
  <c r="CN441" i="8" s="1"/>
  <c r="CL345" i="8"/>
  <c r="CN345" i="8" s="1"/>
  <c r="CL252" i="8"/>
  <c r="CN252" i="8" s="1"/>
  <c r="CL305" i="8"/>
  <c r="CN305" i="8" s="1"/>
  <c r="CL289" i="8"/>
  <c r="CN289" i="8" s="1"/>
  <c r="CL273" i="8"/>
  <c r="CN273" i="8" s="1"/>
  <c r="CL257" i="8"/>
  <c r="CN257" i="8" s="1"/>
  <c r="CL271" i="8"/>
  <c r="CN271" i="8" s="1"/>
  <c r="CL239" i="8"/>
  <c r="CN239" i="8" s="1"/>
  <c r="CL159" i="8"/>
  <c r="CN159" i="8" s="1"/>
  <c r="CL143" i="8"/>
  <c r="CN143" i="8" s="1"/>
  <c r="CL127" i="8"/>
  <c r="CN127" i="8" s="1"/>
  <c r="CL17" i="8"/>
  <c r="CN17" i="8" s="1"/>
  <c r="CL58" i="8"/>
  <c r="CN58" i="8" s="1"/>
  <c r="CL99" i="8"/>
  <c r="CN99" i="8" s="1"/>
  <c r="CL83" i="8"/>
  <c r="CN83" i="8" s="1"/>
  <c r="CL69" i="8"/>
  <c r="CN69" i="8" s="1"/>
  <c r="CL46" i="8"/>
  <c r="CN46" i="8" s="1"/>
  <c r="CL176" i="8"/>
  <c r="CN176" i="8" s="1"/>
  <c r="CL160" i="8"/>
  <c r="CN160" i="8" s="1"/>
  <c r="CL144" i="8"/>
  <c r="CN144" i="8" s="1"/>
  <c r="CL128" i="8"/>
  <c r="CN128" i="8" s="1"/>
  <c r="CL54" i="8"/>
  <c r="CN54" i="8" s="1"/>
  <c r="CL164" i="8"/>
  <c r="CN164" i="8" s="1"/>
  <c r="CL18" i="8"/>
  <c r="CN18" i="8" s="1"/>
  <c r="CL227" i="8"/>
  <c r="CN227" i="8" s="1"/>
  <c r="CL185" i="8"/>
  <c r="CN185" i="8" s="1"/>
  <c r="CL152" i="8"/>
  <c r="CN152" i="8" s="1"/>
  <c r="CL136" i="8"/>
  <c r="CN136" i="8" s="1"/>
  <c r="CL120" i="8"/>
  <c r="CN120" i="8" s="1"/>
  <c r="CL66" i="8"/>
  <c r="CN66" i="8" s="1"/>
  <c r="CL133" i="8"/>
  <c r="CN133" i="8" s="1"/>
  <c r="CL117" i="8"/>
  <c r="CN117" i="8" s="1"/>
  <c r="CL23" i="8"/>
  <c r="CN23" i="8" s="1"/>
  <c r="CL7" i="8"/>
  <c r="CN7" i="8" s="1"/>
  <c r="CL173" i="8"/>
  <c r="CN173" i="8" s="1"/>
  <c r="CL157" i="8"/>
  <c r="CN157" i="8" s="1"/>
  <c r="CL93" i="8"/>
  <c r="CN93" i="8" s="1"/>
  <c r="CL75" i="8"/>
  <c r="CN75" i="8" s="1"/>
  <c r="CL59" i="8"/>
  <c r="CN59" i="8" s="1"/>
  <c r="CL43" i="8"/>
  <c r="CN43" i="8" s="1"/>
  <c r="CL27" i="8"/>
  <c r="CN27" i="8" s="1"/>
  <c r="CL11" i="8"/>
  <c r="CN11" i="8" s="1"/>
  <c r="CL12" i="8"/>
  <c r="CN12" i="8" s="1"/>
  <c r="CL112" i="8"/>
  <c r="CN112" i="8" s="1"/>
  <c r="CL96" i="8"/>
  <c r="CN96" i="8" s="1"/>
  <c r="CL80" i="8"/>
  <c r="CN80" i="8" s="1"/>
  <c r="CL148" i="8"/>
  <c r="CN148" i="8" s="1"/>
  <c r="CL132" i="8"/>
  <c r="CN132" i="8" s="1"/>
  <c r="CL259" i="8"/>
  <c r="CN259" i="8" s="1"/>
  <c r="CL169" i="8"/>
  <c r="CN169" i="8" s="1"/>
  <c r="CL89" i="8"/>
  <c r="CN89" i="8" s="1"/>
  <c r="CL88" i="8"/>
  <c r="CN88" i="8" s="1"/>
  <c r="CL74" i="8"/>
  <c r="CN74" i="8" s="1"/>
  <c r="CL42" i="8"/>
  <c r="CN42" i="8" s="1"/>
  <c r="CL97" i="8"/>
  <c r="CN97" i="8" s="1"/>
  <c r="CL81" i="8"/>
  <c r="CN81" i="8" s="1"/>
  <c r="CL181" i="8"/>
  <c r="CN181" i="8" s="1"/>
  <c r="CL165" i="8"/>
  <c r="CN165" i="8" s="1"/>
  <c r="CL149" i="8"/>
  <c r="CN149" i="8" s="1"/>
  <c r="CL109" i="8"/>
  <c r="CN109" i="8" s="1"/>
  <c r="CL110" i="8"/>
  <c r="CN110" i="8" s="1"/>
  <c r="CE3" i="8"/>
  <c r="CK3" i="8"/>
  <c r="BU3" i="8"/>
  <c r="BN3" i="8"/>
  <c r="CL3" i="8" s="1"/>
  <c r="CN3" i="8" s="1"/>
  <c r="L2" i="4" l="1"/>
  <c r="L3" i="4"/>
  <c r="L4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</calcChain>
</file>

<file path=xl/connections.xml><?xml version="1.0" encoding="utf-8"?>
<connections xmlns="http://schemas.openxmlformats.org/spreadsheetml/2006/main">
  <connection id="1" keepAlive="1" name="Abfrage - abbreviation" description="Verbindung mit der Abfrage 'abbreviation' in der Arbeitsmappe." type="5" refreshedVersion="6" background="1" saveData="1">
    <dbPr connection="Provider=Microsoft.Mashup.OleDb.1;Data Source=$Workbook$;Location=abbreviation;Extended Properties=&quot;&quot;" command="SELECT * FROM [abbreviation]"/>
  </connection>
  <connection id="2" keepAlive="1" name="Abfrage - category_assignment" description="Verbindung mit der Abfrage 'category_assignment' in der Arbeitsmappe." type="5" refreshedVersion="6" background="1" saveData="1">
    <dbPr connection="Provider=Microsoft.Mashup.OleDb.1;Data Source=$Workbook$;Location=category_assignment;Extended Properties=&quot;&quot;" command="SELECT * FROM [category_assignment]"/>
  </connection>
  <connection id="3" keepAlive="1" name="Abfrage - changes" description="Verbindung mit der Abfrage 'changes' in der Arbeitsmappe." type="5" refreshedVersion="6" background="1" saveData="1">
    <dbPr connection="Provider=Microsoft.Mashup.OleDb.1;Data Source=$Workbook$;Location=changes;Extended Properties=&quot;&quot;" command="SELECT * FROM [changes]"/>
  </connection>
  <connection id="4" keepAlive="1" name="Abfrage - languages" description="Verbindung mit der Abfrage 'languages' in der Arbeitsmappe." type="5" refreshedVersion="6" background="1" saveData="1">
    <dbPr connection="Provider=Microsoft.Mashup.OleDb.1;Data Source=$Workbook$;Location=languages;Extended Properties=&quot;&quot;" command="SELECT * FROM [languages]"/>
  </connection>
  <connection id="5" keepAlive="1" name="Abfrage - parent_children" description="Verbindung mit der Abfrage 'parent_children' in der Arbeitsmappe." type="5" refreshedVersion="6" background="1" saveData="1">
    <dbPr connection="Provider=Microsoft.Mashup.OleDb.1;Data Source=$Workbook$;Location=parent_children;Extended Properties=&quot;&quot;" command="SELECT * FROM [parent_children]"/>
  </connection>
  <connection id="6" keepAlive="1" name="Abfrage - standards" description="Verbindung mit der Abfrage 'standards' in der Arbeitsmappe." type="5" refreshedVersion="6" background="1" saveData="1">
    <dbPr connection="Provider=Microsoft.Mashup.OleDb.1;Data Source=$Workbook$;Location=standards;Extended Properties=&quot;&quot;" command="SELECT * FROM [standards]"/>
  </connection>
  <connection id="7" keepAlive="1" name="Abfrage - translation" description="Verbindung mit der Abfrage 'translation' in der Arbeitsmappe." type="5" refreshedVersion="6" background="1" saveData="1">
    <dbPr connection="Provider=Microsoft.Mashup.OleDb.1;Data Source=$Workbook$;Location=translation;Extended Properties=&quot;&quot;" command="SELECT * FROM [translation]"/>
  </connection>
  <connection id="8" keepAlive="1" name="Abfrage - view category" description="Verbindung mit der Abfrage 'view category' in der Arbeitsmappe." type="5" refreshedVersion="6" background="1" saveData="1">
    <dbPr connection="Provider=Microsoft.Mashup.OleDb.1;Data Source=$Workbook$;Location=view category;Extended Properties=&quot;&quot;" command="SELECT * FROM [view category]"/>
  </connection>
  <connection id="9" keepAlive="1" name="Abfrage - view category_assignment" description="Verbindung mit der Abfrage 'view category_assignment' in der Arbeitsmappe." type="5" refreshedVersion="6" background="1" saveData="1">
    <dbPr connection="Provider=Microsoft.Mashup.OleDb.1;Data Source=$Workbook$;Location=view category_assignment;Extended Properties=&quot;&quot;" command="SELECT * FROM [view category_assignment]"/>
  </connection>
  <connection id="10" keepAlive="1" name="Abfrage - view parent_children" description="Verbindung mit der Abfrage 'view parent_children' in der Arbeitsmappe." type="5" refreshedVersion="6" background="1" saveData="1">
    <dbPr connection="Provider=Microsoft.Mashup.OleDb.1;Data Source=$Workbook$;Location=view parent_children;Extended Properties=&quot;&quot;" command="SELECT * FROM [view parent_children]"/>
  </connection>
</connections>
</file>

<file path=xl/sharedStrings.xml><?xml version="1.0" encoding="utf-8"?>
<sst xmlns="http://schemas.openxmlformats.org/spreadsheetml/2006/main" count="2846" uniqueCount="921">
  <si>
    <t>Betonkerntemperierung</t>
  </si>
  <si>
    <t>Kältemaschine</t>
  </si>
  <si>
    <t>Kessel</t>
  </si>
  <si>
    <t>Luft</t>
  </si>
  <si>
    <t>Speicher</t>
  </si>
  <si>
    <t>Unterverteiler</t>
  </si>
  <si>
    <t>Unterverteilsystem</t>
  </si>
  <si>
    <t>Verteiler</t>
  </si>
  <si>
    <t>Verteilsystem</t>
  </si>
  <si>
    <t>Wärmepumpe</t>
  </si>
  <si>
    <t>Wasser</t>
  </si>
  <si>
    <t>category_id</t>
  </si>
  <si>
    <t>category_name_german</t>
  </si>
  <si>
    <t>System</t>
  </si>
  <si>
    <t>category_name_english</t>
  </si>
  <si>
    <t>Medium</t>
  </si>
  <si>
    <t>Funktionsart</t>
  </si>
  <si>
    <t>comment</t>
  </si>
  <si>
    <t>category_assignment_id</t>
  </si>
  <si>
    <t>abbreviation_id</t>
  </si>
  <si>
    <t>category</t>
  </si>
  <si>
    <t>parent_children_id</t>
  </si>
  <si>
    <t>parent</t>
  </si>
  <si>
    <t>children</t>
  </si>
  <si>
    <t>parent_id</t>
  </si>
  <si>
    <t>children_id</t>
  </si>
  <si>
    <t>.</t>
  </si>
  <si>
    <t>System_2</t>
  </si>
  <si>
    <t>System_3</t>
  </si>
  <si>
    <t/>
  </si>
  <si>
    <t>Gas</t>
  </si>
  <si>
    <t>Klappe</t>
  </si>
  <si>
    <t>Schalter</t>
  </si>
  <si>
    <t>Sensor</t>
  </si>
  <si>
    <t>Ventil</t>
  </si>
  <si>
    <t>Ventilator</t>
  </si>
  <si>
    <t>Filter</t>
  </si>
  <si>
    <t>Betriebsmeldung</t>
  </si>
  <si>
    <t>Messwert</t>
  </si>
  <si>
    <t>Schaltbefehl</t>
  </si>
  <si>
    <t>Stellbefehl</t>
  </si>
  <si>
    <t>Störung</t>
  </si>
  <si>
    <t>Medium/Position</t>
  </si>
  <si>
    <t xml:space="preserve"> - </t>
  </si>
  <si>
    <t>_</t>
  </si>
  <si>
    <t>Anlage</t>
  </si>
  <si>
    <t>CCA</t>
  </si>
  <si>
    <t>Blockheizkraftwerk (BHKW)</t>
  </si>
  <si>
    <t>CHP</t>
  </si>
  <si>
    <t>Fernkälte</t>
  </si>
  <si>
    <t>C.DISCT</t>
  </si>
  <si>
    <t>Fernwärme</t>
  </si>
  <si>
    <t>H.DISCT</t>
  </si>
  <si>
    <t>Freie Kühlung</t>
  </si>
  <si>
    <t>C.FREE</t>
  </si>
  <si>
    <t>GAS</t>
  </si>
  <si>
    <t>Gaskühler</t>
  </si>
  <si>
    <t>C.GAS</t>
  </si>
  <si>
    <t>Gebäudeautomationssystem</t>
  </si>
  <si>
    <t>BAS</t>
  </si>
  <si>
    <t>Gebäudemanagementsystem</t>
  </si>
  <si>
    <t>BMS</t>
  </si>
  <si>
    <t>CH</t>
  </si>
  <si>
    <t>BOI</t>
  </si>
  <si>
    <t>Kühlturm</t>
  </si>
  <si>
    <t>C.TOW</t>
  </si>
  <si>
    <t>AIR</t>
  </si>
  <si>
    <t>Lüftungsmaschine</t>
  </si>
  <si>
    <t>AHU</t>
  </si>
  <si>
    <t>Photovoltaik</t>
  </si>
  <si>
    <t>PV</t>
  </si>
  <si>
    <t>Raumautomation</t>
  </si>
  <si>
    <t>RA</t>
  </si>
  <si>
    <t>Solarthermie</t>
  </si>
  <si>
    <t>SOL.TH</t>
  </si>
  <si>
    <t>STO</t>
  </si>
  <si>
    <t>DIST.SUB</t>
  </si>
  <si>
    <t>DISTS.SUB</t>
  </si>
  <si>
    <t>DIST</t>
  </si>
  <si>
    <t>DISTS</t>
  </si>
  <si>
    <t>HP</t>
  </si>
  <si>
    <t>Wärmeübertrager</t>
  </si>
  <si>
    <t>HX</t>
  </si>
  <si>
    <t>WS</t>
  </si>
  <si>
    <t>Rückkühlung</t>
  </si>
  <si>
    <t>C.RE</t>
  </si>
  <si>
    <t>Geothermiefeld</t>
  </si>
  <si>
    <t>GTF</t>
  </si>
  <si>
    <t>Fußbodenheizung</t>
  </si>
  <si>
    <t>UFH</t>
  </si>
  <si>
    <t>Deckeninduktionsgerät</t>
  </si>
  <si>
    <t>ACB</t>
  </si>
  <si>
    <t>Brennwertkessel</t>
  </si>
  <si>
    <t>COND</t>
  </si>
  <si>
    <t>Festbrennstoffkessel</t>
  </si>
  <si>
    <t>SFUEL</t>
  </si>
  <si>
    <t>Niedertemperaturkessel</t>
  </si>
  <si>
    <t>LT</t>
  </si>
  <si>
    <t>Absorption</t>
  </si>
  <si>
    <t>ABSPT</t>
  </si>
  <si>
    <t>Kompression</t>
  </si>
  <si>
    <t>COMP</t>
  </si>
  <si>
    <t>Kältespeicher</t>
  </si>
  <si>
    <t>C</t>
  </si>
  <si>
    <t>Kombispeicher</t>
  </si>
  <si>
    <t>HDH</t>
  </si>
  <si>
    <t>Wärmespeicher</t>
  </si>
  <si>
    <t>H</t>
  </si>
  <si>
    <t>Warmwasser (TW)</t>
  </si>
  <si>
    <t>DH</t>
  </si>
  <si>
    <t>Hochtemperatur</t>
  </si>
  <si>
    <t>HT</t>
  </si>
  <si>
    <t>Kälte</t>
  </si>
  <si>
    <t>Niedertemperatur</t>
  </si>
  <si>
    <t>Verdampfer</t>
  </si>
  <si>
    <t>EVAP</t>
  </si>
  <si>
    <t>Verdichter</t>
  </si>
  <si>
    <t>Verflüssiger</t>
  </si>
  <si>
    <t>Bediengerät</t>
  </si>
  <si>
    <t>CU</t>
  </si>
  <si>
    <t>Befeuchter</t>
  </si>
  <si>
    <t>HUM</t>
  </si>
  <si>
    <t>Deckenheizung</t>
  </si>
  <si>
    <t>CLG.H</t>
  </si>
  <si>
    <t>Deckenheizung und -kühlung</t>
  </si>
  <si>
    <t>CLG.HC</t>
  </si>
  <si>
    <t>Deckenkühlung</t>
  </si>
  <si>
    <t>CLG.C</t>
  </si>
  <si>
    <t>Elektroheizung</t>
  </si>
  <si>
    <t>COIL.H.EL</t>
  </si>
  <si>
    <t>Erdwärmesonden</t>
  </si>
  <si>
    <t>HX.BH</t>
  </si>
  <si>
    <t>Heiz- und Kühlregister</t>
  </si>
  <si>
    <t>COIL.HC</t>
  </si>
  <si>
    <t>Heizregister</t>
  </si>
  <si>
    <t>COIL.H</t>
  </si>
  <si>
    <t>DAMP</t>
  </si>
  <si>
    <t>Kompressor</t>
  </si>
  <si>
    <t>Kühlregister</t>
  </si>
  <si>
    <t>COIL.C</t>
  </si>
  <si>
    <t>Nacherhitzer</t>
  </si>
  <si>
    <t>COIL.H.RE</t>
  </si>
  <si>
    <t>Nacherhitzer und -kühler</t>
  </si>
  <si>
    <t>COIL.HC.RE</t>
  </si>
  <si>
    <t>Nachkühler</t>
  </si>
  <si>
    <t>COIL.C.RE</t>
  </si>
  <si>
    <t>Pumpe</t>
  </si>
  <si>
    <t>PU</t>
  </si>
  <si>
    <t>SW</t>
  </si>
  <si>
    <t>SEN</t>
  </si>
  <si>
    <t>T-Stück</t>
  </si>
  <si>
    <t>TP</t>
  </si>
  <si>
    <t>VAL</t>
  </si>
  <si>
    <t>FAN</t>
  </si>
  <si>
    <t>Volumenstromregler</t>
  </si>
  <si>
    <t>CTRL.VF</t>
  </si>
  <si>
    <t>Vorerhitzer</t>
  </si>
  <si>
    <t>COIL.H.PR</t>
  </si>
  <si>
    <t>Vorerhitzer und -kühler</t>
  </si>
  <si>
    <t>COIL.HC.PR</t>
  </si>
  <si>
    <t>Vorkühler</t>
  </si>
  <si>
    <t>Wärmerückgewinnung</t>
  </si>
  <si>
    <t>HRC</t>
  </si>
  <si>
    <t>Steuerung</t>
  </si>
  <si>
    <t>CTRL</t>
  </si>
  <si>
    <t>Absperr</t>
  </si>
  <si>
    <t>SHOFF</t>
  </si>
  <si>
    <t>Misch</t>
  </si>
  <si>
    <t>MX</t>
  </si>
  <si>
    <t>Regel</t>
  </si>
  <si>
    <t>Umschalt</t>
  </si>
  <si>
    <t>CHO</t>
  </si>
  <si>
    <t>Verteil</t>
  </si>
  <si>
    <t>DIV</t>
  </si>
  <si>
    <t>Brandschutz</t>
  </si>
  <si>
    <t>FIRE</t>
  </si>
  <si>
    <t>Absolute Feuchte</t>
  </si>
  <si>
    <t>HUM.ABS</t>
  </si>
  <si>
    <t>Beleuchtungsstärke</t>
  </si>
  <si>
    <t>LUX</t>
  </si>
  <si>
    <t>Druck</t>
  </si>
  <si>
    <t>P</t>
  </si>
  <si>
    <t>Druckdifferenz</t>
  </si>
  <si>
    <t>P.DIF</t>
  </si>
  <si>
    <t>Elektrische Leistung</t>
  </si>
  <si>
    <t>POW.EL</t>
  </si>
  <si>
    <t>Frostschutz</t>
  </si>
  <si>
    <t>FROS</t>
  </si>
  <si>
    <t>Globalstrahlung</t>
  </si>
  <si>
    <t>GLIR</t>
  </si>
  <si>
    <t>Heizleistung</t>
  </si>
  <si>
    <t>POW.H</t>
  </si>
  <si>
    <t>Kältemenge</t>
  </si>
  <si>
    <t>EN.C</t>
  </si>
  <si>
    <t>Kühlleistung</t>
  </si>
  <si>
    <t>POW.C</t>
  </si>
  <si>
    <t>Massenstrom</t>
  </si>
  <si>
    <t>MF</t>
  </si>
  <si>
    <t>Präsenz</t>
  </si>
  <si>
    <t>PRES</t>
  </si>
  <si>
    <t>Rauch</t>
  </si>
  <si>
    <t>SMOKE</t>
  </si>
  <si>
    <t>Regen</t>
  </si>
  <si>
    <t>RAIN</t>
  </si>
  <si>
    <t>Relative Feuchte</t>
  </si>
  <si>
    <t>HUM.REL</t>
  </si>
  <si>
    <t>EN.EL</t>
  </si>
  <si>
    <t>Temperatur</t>
  </si>
  <si>
    <t>T</t>
  </si>
  <si>
    <t>Temperaturdifferenz</t>
  </si>
  <si>
    <t>T.DIF</t>
  </si>
  <si>
    <t>Volumenstrom</t>
  </si>
  <si>
    <t>VF</t>
  </si>
  <si>
    <t>Wärmemenge</t>
  </si>
  <si>
    <t>EN.H</t>
  </si>
  <si>
    <t>Wind</t>
  </si>
  <si>
    <t>WIND</t>
  </si>
  <si>
    <t>Not Aus</t>
  </si>
  <si>
    <t>EMR</t>
  </si>
  <si>
    <t>Reperatur</t>
  </si>
  <si>
    <t>REP</t>
  </si>
  <si>
    <t>Bypass</t>
  </si>
  <si>
    <t>BYP</t>
  </si>
  <si>
    <t>FIL</t>
  </si>
  <si>
    <t>Glykol</t>
  </si>
  <si>
    <t>GLYC</t>
  </si>
  <si>
    <t>Hydraulische Weiche</t>
  </si>
  <si>
    <t>HYDS</t>
  </si>
  <si>
    <t>Öl</t>
  </si>
  <si>
    <t>OIL</t>
  </si>
  <si>
    <t>Ab</t>
  </si>
  <si>
    <t>Heiz/Heiß</t>
  </si>
  <si>
    <t>Kühl</t>
  </si>
  <si>
    <t>Primär</t>
  </si>
  <si>
    <t>PRIM</t>
  </si>
  <si>
    <t>Sekundär</t>
  </si>
  <si>
    <t>SEC</t>
  </si>
  <si>
    <t>Zu</t>
  </si>
  <si>
    <t>SUP</t>
  </si>
  <si>
    <t>Zu und Ab</t>
  </si>
  <si>
    <t>SUP.ET</t>
  </si>
  <si>
    <t>Fort</t>
  </si>
  <si>
    <t>Frisch/Außen</t>
  </si>
  <si>
    <t>Raum/Innen</t>
  </si>
  <si>
    <t>Um</t>
  </si>
  <si>
    <t>Frequenzumformer</t>
  </si>
  <si>
    <t>FC</t>
  </si>
  <si>
    <t>Austritt</t>
  </si>
  <si>
    <t>OUT</t>
  </si>
  <si>
    <t>Eintritt</t>
  </si>
  <si>
    <t>IN</t>
  </si>
  <si>
    <t>Mitte</t>
  </si>
  <si>
    <t>MID</t>
  </si>
  <si>
    <t>nach Wärmerückgewinnung</t>
  </si>
  <si>
    <t>A.HRC</t>
  </si>
  <si>
    <t>Oben</t>
  </si>
  <si>
    <t>TOP</t>
  </si>
  <si>
    <t>Rücklauf (RL)</t>
  </si>
  <si>
    <t>RET</t>
  </si>
  <si>
    <t>Unten</t>
  </si>
  <si>
    <t>BOT</t>
  </si>
  <si>
    <t>vor Wärmerückgewinnung</t>
  </si>
  <si>
    <t>B.HRC</t>
  </si>
  <si>
    <t>Vorlauf (VL)</t>
  </si>
  <si>
    <t>Alarm</t>
  </si>
  <si>
    <t>ALA</t>
  </si>
  <si>
    <t>STAT</t>
  </si>
  <si>
    <t>MEA</t>
  </si>
  <si>
    <t>COM</t>
  </si>
  <si>
    <t>AL</t>
  </si>
  <si>
    <t>Betriebszeit/-stunden</t>
  </si>
  <si>
    <t>OPR.TIM</t>
  </si>
  <si>
    <t>Drehzahl</t>
  </si>
  <si>
    <t>NROT</t>
  </si>
  <si>
    <t>Förderhöhe</t>
  </si>
  <si>
    <t>DELH</t>
  </si>
  <si>
    <t>Füllstand</t>
  </si>
  <si>
    <t>LEV</t>
  </si>
  <si>
    <t>Heiz-/Kühlleistung</t>
  </si>
  <si>
    <t>POW.HC</t>
  </si>
  <si>
    <t>Kohlenstoffdioxid (CO2)</t>
  </si>
  <si>
    <t>CO2</t>
  </si>
  <si>
    <t>Kohlenstoffmonoxid (CO)</t>
  </si>
  <si>
    <t>CO</t>
  </si>
  <si>
    <t>Position</t>
  </si>
  <si>
    <t>POS</t>
  </si>
  <si>
    <t>Luftqualität</t>
  </si>
  <si>
    <t>VOC</t>
  </si>
  <si>
    <t>Modus</t>
  </si>
  <si>
    <t>MOD</t>
  </si>
  <si>
    <t>Ersatzbetrieb</t>
  </si>
  <si>
    <t>OPR.SUBS</t>
  </si>
  <si>
    <t>Freigabe</t>
  </si>
  <si>
    <t>CLEA</t>
  </si>
  <si>
    <t>geschlossen/schließen</t>
  </si>
  <si>
    <t>CL</t>
  </si>
  <si>
    <t>Netzbetrieb</t>
  </si>
  <si>
    <t>OPR.MAIN</t>
  </si>
  <si>
    <t>offen/öffnen</t>
  </si>
  <si>
    <t>OP</t>
  </si>
  <si>
    <t>Reperaturschalter</t>
  </si>
  <si>
    <t>Wartungsmeldung</t>
  </si>
  <si>
    <t>MM</t>
  </si>
  <si>
    <t>erhöhen</t>
  </si>
  <si>
    <t>RAI</t>
  </si>
  <si>
    <t>halten</t>
  </si>
  <si>
    <t>HOL</t>
  </si>
  <si>
    <t>reduzieren</t>
  </si>
  <si>
    <t>RED</t>
  </si>
  <si>
    <t>Grenzwert</t>
  </si>
  <si>
    <t>LIM</t>
  </si>
  <si>
    <t>Grenzwert maximal</t>
  </si>
  <si>
    <t>LIM.MAX</t>
  </si>
  <si>
    <t>Grenzwert minimal</t>
  </si>
  <si>
    <t>LIM.MIN</t>
  </si>
  <si>
    <t>Mittelwert</t>
  </si>
  <si>
    <t>AV</t>
  </si>
  <si>
    <t>Sollwert</t>
  </si>
  <si>
    <t>SP</t>
  </si>
  <si>
    <t>Aufsummiert/Kumuliert</t>
  </si>
  <si>
    <t>SUM</t>
  </si>
  <si>
    <t>Maximum</t>
  </si>
  <si>
    <t>MAX</t>
  </si>
  <si>
    <t>Minimum</t>
  </si>
  <si>
    <t>MIN</t>
  </si>
  <si>
    <t>Sommer</t>
  </si>
  <si>
    <t>SU</t>
  </si>
  <si>
    <t>Winter</t>
  </si>
  <si>
    <t>WI</t>
  </si>
  <si>
    <t>Analoger Eingang (AE)</t>
  </si>
  <si>
    <t>AI</t>
  </si>
  <si>
    <t>Analoger Ausgang (AA)</t>
  </si>
  <si>
    <t>AO</t>
  </si>
  <si>
    <t>Digitaler Eingang (DE/BE)</t>
  </si>
  <si>
    <t>BI</t>
  </si>
  <si>
    <t>Digitaler Ausgang (DA/BA)</t>
  </si>
  <si>
    <t>BO</t>
  </si>
  <si>
    <t>Virtueller Analoger Eingang (VAE)</t>
  </si>
  <si>
    <t>SAI</t>
  </si>
  <si>
    <t>Virtueller Analoger Ausgang (VAA)</t>
  </si>
  <si>
    <t>SAO</t>
  </si>
  <si>
    <t>Virtueller Digitaler Eingang (VDE/VBE)</t>
  </si>
  <si>
    <t>SBI</t>
  </si>
  <si>
    <t>Virtueller Digitaler Ausgang (VDA/VBA)</t>
  </si>
  <si>
    <t>SBO</t>
  </si>
  <si>
    <t>Gebäude</t>
  </si>
  <si>
    <t>building</t>
  </si>
  <si>
    <t>Liegenschaft/Standort/Werk</t>
  </si>
  <si>
    <t>location</t>
  </si>
  <si>
    <t>L</t>
  </si>
  <si>
    <t>Gewerk</t>
  </si>
  <si>
    <t>craft</t>
  </si>
  <si>
    <t>CR</t>
  </si>
  <si>
    <t>Raum Gerät</t>
  </si>
  <si>
    <t>room device</t>
  </si>
  <si>
    <t>R.D</t>
  </si>
  <si>
    <t>Geschoss Gerät</t>
  </si>
  <si>
    <t>floor device</t>
  </si>
  <si>
    <t>FL.D</t>
  </si>
  <si>
    <t>Gebäudeteil Gerät</t>
  </si>
  <si>
    <t>section device</t>
  </si>
  <si>
    <t>SC.D</t>
  </si>
  <si>
    <t>Zone</t>
  </si>
  <si>
    <t>zone</t>
  </si>
  <si>
    <t>Z</t>
  </si>
  <si>
    <t>Fertigungsinsel/Fertigungslinie</t>
  </si>
  <si>
    <t>production line</t>
  </si>
  <si>
    <t>PL</t>
  </si>
  <si>
    <t>Informationsschwerpunkt</t>
  </si>
  <si>
    <t>information focus</t>
  </si>
  <si>
    <t>ISP</t>
  </si>
  <si>
    <t>Wirtschaftseinheit/Kostengruppe</t>
  </si>
  <si>
    <t>accounting entity</t>
  </si>
  <si>
    <t>AE</t>
  </si>
  <si>
    <t>Land</t>
  </si>
  <si>
    <t>country</t>
  </si>
  <si>
    <t>CTRY</t>
  </si>
  <si>
    <t>Typ der Netzwerkanbindung</t>
  </si>
  <si>
    <t>network protocol</t>
  </si>
  <si>
    <t>NP</t>
  </si>
  <si>
    <t>Netzwerknummer</t>
  </si>
  <si>
    <t>network number</t>
  </si>
  <si>
    <t>NET.N</t>
  </si>
  <si>
    <t>Raum Schaltschrank</t>
  </si>
  <si>
    <t>room control cabinet</t>
  </si>
  <si>
    <t>R.CC</t>
  </si>
  <si>
    <t>Geschoss Schaltschrank</t>
  </si>
  <si>
    <t>floor control cabinet</t>
  </si>
  <si>
    <t>FL.CC</t>
  </si>
  <si>
    <t>Gebäudeteil Schaltschrank</t>
  </si>
  <si>
    <t>section control cabinet</t>
  </si>
  <si>
    <t>SC.CC</t>
  </si>
  <si>
    <t>Dokumentenart/Planart</t>
  </si>
  <si>
    <t>document type</t>
  </si>
  <si>
    <t>DT</t>
  </si>
  <si>
    <t>Unternehmen</t>
  </si>
  <si>
    <t>company</t>
  </si>
  <si>
    <t>CMPY</t>
  </si>
  <si>
    <t>Fabrikat/Hersteller</t>
  </si>
  <si>
    <t>manufacturer</t>
  </si>
  <si>
    <t>MAN</t>
  </si>
  <si>
    <t>Servername</t>
  </si>
  <si>
    <t>server name</t>
  </si>
  <si>
    <t>SN</t>
  </si>
  <si>
    <t>Steuerungsgruppe</t>
  </si>
  <si>
    <t>control group</t>
  </si>
  <si>
    <t>CG</t>
  </si>
  <si>
    <t>Größe</t>
  </si>
  <si>
    <t>size</t>
  </si>
  <si>
    <t>SZ</t>
  </si>
  <si>
    <t>Zählernummer</t>
  </si>
  <si>
    <t>counter number</t>
  </si>
  <si>
    <t>CN.N</t>
  </si>
  <si>
    <t>Achse</t>
  </si>
  <si>
    <t>axis</t>
  </si>
  <si>
    <t>AX</t>
  </si>
  <si>
    <t>Straße</t>
  </si>
  <si>
    <t>street</t>
  </si>
  <si>
    <t>STR</t>
  </si>
  <si>
    <t>Hausnummer</t>
  </si>
  <si>
    <t>street number</t>
  </si>
  <si>
    <t>STR.N</t>
  </si>
  <si>
    <t>Einheit</t>
  </si>
  <si>
    <t>unit</t>
  </si>
  <si>
    <t>U</t>
  </si>
  <si>
    <t>Versorgter Raum</t>
  </si>
  <si>
    <t>supplied room</t>
  </si>
  <si>
    <t>R.SUP</t>
  </si>
  <si>
    <t>Versorgtes Geschoss</t>
  </si>
  <si>
    <t>supplied floor</t>
  </si>
  <si>
    <t>FL.SUP</t>
  </si>
  <si>
    <t>Versorgte Zone</t>
  </si>
  <si>
    <t>supplied zone</t>
  </si>
  <si>
    <t>Z.SUP</t>
  </si>
  <si>
    <t>Versorgter Gebäudeteil</t>
  </si>
  <si>
    <t>supplied section</t>
  </si>
  <si>
    <t>SC.SUP</t>
  </si>
  <si>
    <t>Versorgtes Gebäude</t>
  </si>
  <si>
    <t>supplied building</t>
  </si>
  <si>
    <t>Medium 2. Spezifizierung</t>
  </si>
  <si>
    <t>Medium 3. Spezifizierung</t>
  </si>
  <si>
    <t>Leerstellen</t>
  </si>
  <si>
    <t>Elektrische Energie</t>
  </si>
  <si>
    <t>electrical energy</t>
  </si>
  <si>
    <t>temperature</t>
  </si>
  <si>
    <t>VAI</t>
  </si>
  <si>
    <t>VAO</t>
  </si>
  <si>
    <t>VBI</t>
  </si>
  <si>
    <t>VBO</t>
  </si>
  <si>
    <t>Wetterstation</t>
  </si>
  <si>
    <t>weather station</t>
  </si>
  <si>
    <t>WST</t>
  </si>
  <si>
    <t>Elektrische Blindleistung</t>
  </si>
  <si>
    <t>electrical reactive power</t>
  </si>
  <si>
    <t>POW.EL.REA</t>
  </si>
  <si>
    <t>Konstruktion</t>
  </si>
  <si>
    <t>construction</t>
  </si>
  <si>
    <t>CNST</t>
  </si>
  <si>
    <t>Oberfläche</t>
  </si>
  <si>
    <t>surface</t>
  </si>
  <si>
    <t>SURF</t>
  </si>
  <si>
    <t>Deckenventilator</t>
  </si>
  <si>
    <t>ceiling ventilator</t>
  </si>
  <si>
    <t>CLG.FAN</t>
  </si>
  <si>
    <t>Beleuchtung</t>
  </si>
  <si>
    <t>lighting</t>
  </si>
  <si>
    <t>LIG</t>
  </si>
  <si>
    <t>Fenster</t>
  </si>
  <si>
    <t>window</t>
  </si>
  <si>
    <t>WIN</t>
  </si>
  <si>
    <t>Bewegungsmelder</t>
  </si>
  <si>
    <t>motion detector</t>
  </si>
  <si>
    <t>SEN.MOT</t>
  </si>
  <si>
    <t>Steckdose</t>
  </si>
  <si>
    <t>socket</t>
  </si>
  <si>
    <t>SOCK</t>
  </si>
  <si>
    <t>Elektrische Scheinleistung</t>
  </si>
  <si>
    <t>apparent electrical power</t>
  </si>
  <si>
    <t>POW.EL.AP</t>
  </si>
  <si>
    <t>Windgeschwindigkeit</t>
  </si>
  <si>
    <t>wind speed</t>
  </si>
  <si>
    <t>WIND.VC</t>
  </si>
  <si>
    <t>Windrichtung</t>
  </si>
  <si>
    <t>wind direction</t>
  </si>
  <si>
    <t>WIND.DI</t>
  </si>
  <si>
    <t>Geschwindigkeit</t>
  </si>
  <si>
    <t>velocity</t>
  </si>
  <si>
    <t>VC</t>
  </si>
  <si>
    <t>Elektrische Spannung</t>
  </si>
  <si>
    <t>electric voltage</t>
  </si>
  <si>
    <t>V</t>
  </si>
  <si>
    <t>Simulativer Analoger Eingang</t>
  </si>
  <si>
    <t>simulative analog input</t>
  </si>
  <si>
    <t>Simulativer Analoger Ausgang</t>
  </si>
  <si>
    <t>simulative analog output</t>
  </si>
  <si>
    <t>Simulativer Digitaler Eingang</t>
  </si>
  <si>
    <t>simulative digital input</t>
  </si>
  <si>
    <t>Simulativer Digitaler Ausgang</t>
  </si>
  <si>
    <t>simulative digital output</t>
  </si>
  <si>
    <t>Elektrischer Kontakt</t>
  </si>
  <si>
    <t>COTC.EL</t>
  </si>
  <si>
    <t>Öffnungsgrad</t>
  </si>
  <si>
    <t>degree of opening</t>
  </si>
  <si>
    <t>STAT.OP</t>
  </si>
  <si>
    <t>Schließgrad</t>
  </si>
  <si>
    <t>degree of closure</t>
  </si>
  <si>
    <t>STAT.CLOS</t>
  </si>
  <si>
    <t>schließen/geschlossen</t>
  </si>
  <si>
    <t>close/closed</t>
  </si>
  <si>
    <t>CLOS</t>
  </si>
  <si>
    <t>Ortsbezeichnung</t>
  </si>
  <si>
    <t>SYS</t>
  </si>
  <si>
    <t>not used as abbreviation</t>
  </si>
  <si>
    <t>Subsystem</t>
  </si>
  <si>
    <t>SSYS</t>
  </si>
  <si>
    <t>MED</t>
  </si>
  <si>
    <t>Medium 2nd specification</t>
  </si>
  <si>
    <t>MED2</t>
  </si>
  <si>
    <t>Medium 3rd specification</t>
  </si>
  <si>
    <t>MED3</t>
  </si>
  <si>
    <t>Function type</t>
  </si>
  <si>
    <t>FT</t>
  </si>
  <si>
    <t>Freie Kategorien</t>
  </si>
  <si>
    <t>Alter Datenpunktschlüssel</t>
  </si>
  <si>
    <t>Neuer BUDO Schlüssel</t>
  </si>
  <si>
    <t>Beschreibung</t>
  </si>
  <si>
    <t>Subsubsystem</t>
  </si>
  <si>
    <t>Language</t>
  </si>
  <si>
    <t>English</t>
  </si>
  <si>
    <t>Kürzel Freie Kategorie 2</t>
  </si>
  <si>
    <t>Kürzel Freie Kategorie 3</t>
  </si>
  <si>
    <t>Kürzel Freie Kategorie 4</t>
  </si>
  <si>
    <t>Kürzel Freie Kategorie 5</t>
  </si>
  <si>
    <t>BUDO vor</t>
  </si>
  <si>
    <t>System Spezifizierung</t>
  </si>
  <si>
    <t>Subsystem Spezifizierung</t>
  </si>
  <si>
    <t>Subsubsystem Spezifizierung</t>
  </si>
  <si>
    <t>Medium/Position Spezifizierung 1</t>
  </si>
  <si>
    <t>Medium/Position Spezifizierung 2</t>
  </si>
  <si>
    <t>Medium/Position Spezifizierung 3</t>
  </si>
  <si>
    <t>BUDO nach</t>
  </si>
  <si>
    <t>BUDO System</t>
  </si>
  <si>
    <t>BUDO Medium/Position</t>
  </si>
  <si>
    <t>BUDO Typ</t>
  </si>
  <si>
    <t>Signaltyp</t>
  </si>
  <si>
    <t>Spezifizierung</t>
  </si>
  <si>
    <t>Freie Kategorie</t>
  </si>
  <si>
    <t>-</t>
  </si>
  <si>
    <t>Old data point label</t>
  </si>
  <si>
    <t>Description</t>
  </si>
  <si>
    <t>Free Category</t>
  </si>
  <si>
    <t>Specification</t>
  </si>
  <si>
    <t>Signal type</t>
  </si>
  <si>
    <t>Free Categories</t>
  </si>
  <si>
    <t>New BUDO key</t>
  </si>
  <si>
    <t>Designation</t>
  </si>
  <si>
    <t>Bezeichnung</t>
  </si>
  <si>
    <t>Deutsch</t>
  </si>
  <si>
    <t>Sprache</t>
  </si>
  <si>
    <t>Anzahl der Datenpunkte</t>
  </si>
  <si>
    <t>Number of data points</t>
  </si>
  <si>
    <t>Speichern</t>
  </si>
  <si>
    <t>Save</t>
  </si>
  <si>
    <t>BUDO</t>
  </si>
  <si>
    <t>VDI 3814</t>
  </si>
  <si>
    <t>AMEV</t>
  </si>
  <si>
    <t>Translation in standard</t>
  </si>
  <si>
    <t>concrete core activation</t>
  </si>
  <si>
    <t>combined heat and power</t>
  </si>
  <si>
    <t>district cooling</t>
  </si>
  <si>
    <t>district heating</t>
  </si>
  <si>
    <t>free cooling</t>
  </si>
  <si>
    <t>gas</t>
  </si>
  <si>
    <t>gas cooler</t>
  </si>
  <si>
    <t>building automation system</t>
  </si>
  <si>
    <t>building management system</t>
  </si>
  <si>
    <t>boiler</t>
  </si>
  <si>
    <t>cooling tower</t>
  </si>
  <si>
    <t>air</t>
  </si>
  <si>
    <t>ventilation machine</t>
  </si>
  <si>
    <t>photovoltaics</t>
  </si>
  <si>
    <t>room automation</t>
  </si>
  <si>
    <t>solar thermal energy</t>
  </si>
  <si>
    <t>storage</t>
  </si>
  <si>
    <t>sub-distributor</t>
  </si>
  <si>
    <t>sub-distribution system</t>
  </si>
  <si>
    <t>distributor</t>
  </si>
  <si>
    <t>distribution system</t>
  </si>
  <si>
    <t>heat pump</t>
  </si>
  <si>
    <t>heat exchanger</t>
  </si>
  <si>
    <t>water</t>
  </si>
  <si>
    <t>recooling</t>
  </si>
  <si>
    <t>geothermal field</t>
  </si>
  <si>
    <t>underfloor heating</t>
  </si>
  <si>
    <t>active chilled beams</t>
  </si>
  <si>
    <t>condensing boilers</t>
  </si>
  <si>
    <t>solid fuel boilers</t>
  </si>
  <si>
    <t>low-temperature boilers</t>
  </si>
  <si>
    <t>Gas-befeuert</t>
  </si>
  <si>
    <t>GF</t>
  </si>
  <si>
    <t>contrary to DIN EN 806-1 (G)</t>
  </si>
  <si>
    <t>Öl-befeuert</t>
  </si>
  <si>
    <t>OILF</t>
  </si>
  <si>
    <t>contrary to DIN EN 806-1 (O)</t>
  </si>
  <si>
    <t>absorption</t>
  </si>
  <si>
    <t>compression</t>
  </si>
  <si>
    <t>cold accumulator</t>
  </si>
  <si>
    <t>combination storage</t>
  </si>
  <si>
    <t>...</t>
  </si>
  <si>
    <t>heat accumulator</t>
  </si>
  <si>
    <t>high temperature</t>
  </si>
  <si>
    <t>chill</t>
  </si>
  <si>
    <t>low temperature</t>
  </si>
  <si>
    <t>evaporator</t>
  </si>
  <si>
    <t>compressor</t>
  </si>
  <si>
    <t>condenser</t>
  </si>
  <si>
    <t>control unit</t>
  </si>
  <si>
    <t>humidifier</t>
  </si>
  <si>
    <t>ceiling heating</t>
  </si>
  <si>
    <t>ceiling heating and cooling</t>
  </si>
  <si>
    <t>ceiling cooling</t>
  </si>
  <si>
    <t>electric heating</t>
  </si>
  <si>
    <t>geothermal probes</t>
  </si>
  <si>
    <t>heating and cooling coils</t>
  </si>
  <si>
    <t>heating registers</t>
  </si>
  <si>
    <t>cooling register</t>
  </si>
  <si>
    <t>reheater</t>
  </si>
  <si>
    <t>reheaters and coolers</t>
  </si>
  <si>
    <t>aftercooler</t>
  </si>
  <si>
    <t>pump</t>
  </si>
  <si>
    <t>switches</t>
  </si>
  <si>
    <t>sensor</t>
  </si>
  <si>
    <t>valve</t>
  </si>
  <si>
    <t>ventilator</t>
  </si>
  <si>
    <t>volume flow controller</t>
  </si>
  <si>
    <t>preheater</t>
  </si>
  <si>
    <t>precooler</t>
  </si>
  <si>
    <t>COIL.C.PR</t>
  </si>
  <si>
    <t>heat recovery</t>
  </si>
  <si>
    <t>control</t>
  </si>
  <si>
    <t>shut-off</t>
  </si>
  <si>
    <t>mix</t>
  </si>
  <si>
    <t xml:space="preserve">changeover </t>
  </si>
  <si>
    <t>distribution</t>
  </si>
  <si>
    <t>fire protection</t>
  </si>
  <si>
    <t>illumination</t>
  </si>
  <si>
    <t>pressure</t>
  </si>
  <si>
    <t>DIN EN 806-1</t>
  </si>
  <si>
    <t>pressure differential</t>
  </si>
  <si>
    <t>antifreeze</t>
  </si>
  <si>
    <t>global radiation</t>
  </si>
  <si>
    <t>heating capacity</t>
  </si>
  <si>
    <t>cooling quantity</t>
  </si>
  <si>
    <t>cooling capacity</t>
  </si>
  <si>
    <t>mass flow</t>
  </si>
  <si>
    <t>presence</t>
  </si>
  <si>
    <t>smoke</t>
  </si>
  <si>
    <t>rain</t>
  </si>
  <si>
    <t>temperature difference</t>
  </si>
  <si>
    <t>volume flow</t>
  </si>
  <si>
    <t>heat energy amount</t>
  </si>
  <si>
    <t>wind</t>
  </si>
  <si>
    <t>emergency off</t>
  </si>
  <si>
    <t>repair</t>
  </si>
  <si>
    <t>bypass</t>
  </si>
  <si>
    <t>filter</t>
  </si>
  <si>
    <t>glycol</t>
  </si>
  <si>
    <t>hydraulic separator</t>
  </si>
  <si>
    <t>oil</t>
  </si>
  <si>
    <t>extract</t>
  </si>
  <si>
    <t>ETA</t>
  </si>
  <si>
    <t>DIN EN 16798-3:2017</t>
  </si>
  <si>
    <t>cool</t>
  </si>
  <si>
    <t>primary</t>
  </si>
  <si>
    <t>Trinkwasser, kalt</t>
  </si>
  <si>
    <t>potable water, cold</t>
  </si>
  <si>
    <t>PWC</t>
  </si>
  <si>
    <t>Trinkwasser, warm</t>
  </si>
  <si>
    <t>potable water, warm</t>
  </si>
  <si>
    <t>PWH</t>
  </si>
  <si>
    <t>Trinkwasser, warm, Zirkulation</t>
  </si>
  <si>
    <t>potable water hot-circulation</t>
  </si>
  <si>
    <t>PWHC</t>
  </si>
  <si>
    <t>contrary to DIN EN 806-1 (PWH-C)</t>
  </si>
  <si>
    <t>Nichttrinkwasser</t>
  </si>
  <si>
    <t>NPW</t>
  </si>
  <si>
    <t>supply</t>
  </si>
  <si>
    <t>supply and extract</t>
  </si>
  <si>
    <t>exhaust</t>
  </si>
  <si>
    <t>EHA</t>
  </si>
  <si>
    <t>fresh/outside</t>
  </si>
  <si>
    <t>ODA</t>
  </si>
  <si>
    <t>room/inside</t>
  </si>
  <si>
    <t>IDA</t>
  </si>
  <si>
    <t>recirculation</t>
  </si>
  <si>
    <t>RCA</t>
  </si>
  <si>
    <t>Überstrom</t>
  </si>
  <si>
    <t>transferred</t>
  </si>
  <si>
    <t>TRA</t>
  </si>
  <si>
    <t>Leck</t>
  </si>
  <si>
    <t>leakage</t>
  </si>
  <si>
    <t>LEA</t>
  </si>
  <si>
    <t>Infiltration</t>
  </si>
  <si>
    <t>infiltration</t>
  </si>
  <si>
    <t>INF</t>
  </si>
  <si>
    <t>Exfiltration</t>
  </si>
  <si>
    <t>exfiltration</t>
  </si>
  <si>
    <t>EXF</t>
  </si>
  <si>
    <t>Mischluft</t>
  </si>
  <si>
    <t>mixed air</t>
  </si>
  <si>
    <t>MIA</t>
  </si>
  <si>
    <t>Außenluft Einzelraum</t>
  </si>
  <si>
    <t>outside air single room</t>
  </si>
  <si>
    <t>SRO</t>
  </si>
  <si>
    <t>Zuluft Einzelraum</t>
  </si>
  <si>
    <t>supply air single room</t>
  </si>
  <si>
    <t>SRS</t>
  </si>
  <si>
    <t>Abluft Einzelraum</t>
  </si>
  <si>
    <t>extract air single room</t>
  </si>
  <si>
    <t>SET</t>
  </si>
  <si>
    <t>Fortluft Einzelraum</t>
  </si>
  <si>
    <t>exhaust air single room</t>
  </si>
  <si>
    <t>SEH</t>
  </si>
  <si>
    <t>frequency converters</t>
  </si>
  <si>
    <t>outlet</t>
  </si>
  <si>
    <t>entry</t>
  </si>
  <si>
    <t>center</t>
  </si>
  <si>
    <t>after heat recovery</t>
  </si>
  <si>
    <t>bottom</t>
  </si>
  <si>
    <t>before heat recovery</t>
  </si>
  <si>
    <t>flow</t>
  </si>
  <si>
    <t>FLO</t>
  </si>
  <si>
    <t>alarm</t>
  </si>
  <si>
    <t>measured value</t>
  </si>
  <si>
    <t>switching command</t>
  </si>
  <si>
    <t>COM.SWI</t>
  </si>
  <si>
    <t>positioning command</t>
  </si>
  <si>
    <t>COM.POS</t>
  </si>
  <si>
    <t>speed</t>
  </si>
  <si>
    <t>delivery head</t>
  </si>
  <si>
    <t>filling level</t>
  </si>
  <si>
    <t>heating/cooling power</t>
  </si>
  <si>
    <t>carbon dioxide (CO2)</t>
  </si>
  <si>
    <t>carbon monoxide (CO)</t>
  </si>
  <si>
    <t>position</t>
  </si>
  <si>
    <t>air quality</t>
  </si>
  <si>
    <t>mode</t>
  </si>
  <si>
    <t>replacement company</t>
  </si>
  <si>
    <t>release</t>
  </si>
  <si>
    <t>closed/close</t>
  </si>
  <si>
    <t>mains operation</t>
  </si>
  <si>
    <t>open/open</t>
  </si>
  <si>
    <t>repair switch</t>
  </si>
  <si>
    <t>maintenance message</t>
  </si>
  <si>
    <t>boost</t>
  </si>
  <si>
    <t>stop</t>
  </si>
  <si>
    <t>reduce</t>
  </si>
  <si>
    <t>limit</t>
  </si>
  <si>
    <t>mean</t>
  </si>
  <si>
    <t>nominal value</t>
  </si>
  <si>
    <t>maximum</t>
  </si>
  <si>
    <t>minimum</t>
  </si>
  <si>
    <t>winter</t>
  </si>
  <si>
    <t>analog input (AE)</t>
  </si>
  <si>
    <t>analog output (AA)</t>
  </si>
  <si>
    <t>digital input (DE/BE)</t>
  </si>
  <si>
    <t>digital output (DA/BA)</t>
  </si>
  <si>
    <t>virtual analog input (VAE)</t>
  </si>
  <si>
    <t>virtual analog output (VAA)</t>
  </si>
  <si>
    <t>virtual digital input (VDE/VBE)</t>
  </si>
  <si>
    <t>virtual digital output (VDA/VBA)</t>
  </si>
  <si>
    <t>Simulierter Analoger Eingang</t>
  </si>
  <si>
    <t>simulated analog input</t>
  </si>
  <si>
    <t>Simulierter Analoger Ausgang</t>
  </si>
  <si>
    <t>simulated analog output</t>
  </si>
  <si>
    <t xml:space="preserve">Simulierter Digitaler Eingang </t>
  </si>
  <si>
    <t xml:space="preserve">simulated digital Input </t>
  </si>
  <si>
    <t>Simulierter Digitaler Ausgang</t>
  </si>
  <si>
    <t>simulated digital output</t>
  </si>
  <si>
    <t>B</t>
  </si>
  <si>
    <t>B.SUP</t>
  </si>
  <si>
    <t>selbstschließend</t>
  </si>
  <si>
    <t>self closing</t>
  </si>
  <si>
    <t>SC</t>
  </si>
  <si>
    <t>Umluftkühlgeräte</t>
  </si>
  <si>
    <t>CAC</t>
  </si>
  <si>
    <t>Sorption</t>
  </si>
  <si>
    <t>SPT</t>
  </si>
  <si>
    <t>Fassadenlüftungsgerät</t>
  </si>
  <si>
    <t>FVU</t>
  </si>
  <si>
    <t>Heizkörper</t>
  </si>
  <si>
    <t>RAD</t>
  </si>
  <si>
    <t>Befehl</t>
  </si>
  <si>
    <t>Datenquelle</t>
  </si>
  <si>
    <t>data source</t>
  </si>
  <si>
    <t>DS</t>
  </si>
  <si>
    <t>Kürzel Freie Kategorie 1</t>
  </si>
  <si>
    <t>Kürzel Freie Kategorie 6</t>
  </si>
  <si>
    <t>Kürzel Freie Kategorie 7</t>
  </si>
  <si>
    <t>Kürzel Freie Kategorie 8</t>
  </si>
  <si>
    <t>Kürzel Freie Kategorie 9</t>
  </si>
  <si>
    <t>Kürzel Freie Kategorie 10</t>
  </si>
  <si>
    <t>BUDO after</t>
  </si>
  <si>
    <t>BUDO typ</t>
  </si>
  <si>
    <t>Signaltyp Spezifizierung 1</t>
  </si>
  <si>
    <t>Signaltyp Spezifizierung 2</t>
  </si>
  <si>
    <t>BUDO system</t>
  </si>
  <si>
    <t>BUDO front</t>
  </si>
  <si>
    <t>System specification</t>
  </si>
  <si>
    <t>Abbreviation free category 1</t>
  </si>
  <si>
    <t>Abbreviation free category 2</t>
  </si>
  <si>
    <t>Abbreviation free category 3</t>
  </si>
  <si>
    <t>Abbreviation free category 4</t>
  </si>
  <si>
    <t>Abbreviation free category 5</t>
  </si>
  <si>
    <t>Abbreviation free category 6</t>
  </si>
  <si>
    <t>Abbreviation free category 7</t>
  </si>
  <si>
    <t>Abbreviation free category 8</t>
  </si>
  <si>
    <t>Abbreviation free category 9</t>
  </si>
  <si>
    <t>Abbreviation free category 10</t>
  </si>
  <si>
    <t>Signal type specification 2</t>
  </si>
  <si>
    <t>Signal type specification 1</t>
  </si>
  <si>
    <t>Medium/Position specification 1</t>
  </si>
  <si>
    <t>Medium/Position specification 2</t>
  </si>
  <si>
    <t>Medium/Position specification 3</t>
  </si>
  <si>
    <t>Subsystem specification</t>
  </si>
  <si>
    <t>Subsubsystem specification</t>
  </si>
  <si>
    <t>Separator Specification</t>
  </si>
  <si>
    <t>Separator BUDO</t>
  </si>
  <si>
    <t>Seperator Categories</t>
  </si>
  <si>
    <t>_._</t>
  </si>
  <si>
    <t>Line</t>
  </si>
  <si>
    <t>Column</t>
  </si>
  <si>
    <t>Column Index</t>
  </si>
  <si>
    <t>description</t>
  </si>
  <si>
    <t>Difference in Matrix Abbreviation</t>
  </si>
  <si>
    <t>Difference in Matrix Category</t>
  </si>
  <si>
    <t>equipment</t>
  </si>
  <si>
    <t>EQ</t>
  </si>
  <si>
    <t>Signaltyp 2. Spezifizierung</t>
  </si>
  <si>
    <t>Signal type 2nd specification</t>
  </si>
  <si>
    <t>chiller</t>
  </si>
  <si>
    <t>AMEV and VDI 3814 not implemented</t>
  </si>
  <si>
    <t>not implemented</t>
  </si>
  <si>
    <t>damper</t>
  </si>
  <si>
    <t>status message</t>
  </si>
  <si>
    <t>sub-distributor /abc</t>
  </si>
  <si>
    <t>flap</t>
  </si>
  <si>
    <t>ST</t>
  </si>
  <si>
    <t>ST2</t>
  </si>
  <si>
    <t>copy formulas</t>
  </si>
  <si>
    <t>Hide Non Used Seperators Categories</t>
  </si>
  <si>
    <t>Hide Non Used Seperators Specification</t>
  </si>
  <si>
    <t>gas-fired</t>
  </si>
  <si>
    <t>oil-fired</t>
  </si>
  <si>
    <t>hot water (HW)</t>
  </si>
  <si>
    <t>absolute humidity</t>
  </si>
  <si>
    <t>electrical power</t>
  </si>
  <si>
    <t>relative humidity</t>
  </si>
  <si>
    <t>secondary</t>
  </si>
  <si>
    <t>non-potable water</t>
  </si>
  <si>
    <t>maximum limit</t>
  </si>
  <si>
    <t>minimum limit</t>
  </si>
  <si>
    <t>totaled/cumulated</t>
  </si>
  <si>
    <t>electrical contact</t>
  </si>
  <si>
    <t>circulation air cooling</t>
  </si>
  <si>
    <t>sorption</t>
  </si>
  <si>
    <t>facade ventilation unit</t>
  </si>
  <si>
    <t>radiator</t>
  </si>
  <si>
    <t>command</t>
  </si>
  <si>
    <t>heat/hot</t>
  </si>
  <si>
    <t>operating time/hours</t>
  </si>
  <si>
    <t>preheaters and coolers</t>
  </si>
  <si>
    <t>return flow</t>
  </si>
  <si>
    <t>summer</t>
  </si>
  <si>
    <t>t-piece</t>
  </si>
  <si>
    <t>top</t>
  </si>
  <si>
    <t>Fassadenlüftungsgerät+Deckeninduktionsgerät</t>
  </si>
  <si>
    <t>changes_id</t>
  </si>
  <si>
    <t>old_description</t>
  </si>
  <si>
    <t>new_description</t>
  </si>
  <si>
    <t>old_abbreviation</t>
  </si>
  <si>
    <t>new_abbreviation</t>
  </si>
  <si>
    <t>BL</t>
  </si>
  <si>
    <t>parent_german</t>
  </si>
  <si>
    <t>parent_english</t>
  </si>
  <si>
    <t>children_german</t>
  </si>
  <si>
    <t>children_english</t>
  </si>
  <si>
    <t>Regel/Drossel</t>
  </si>
  <si>
    <t>Mehrere Systeme</t>
  </si>
  <si>
    <t>multiple system</t>
  </si>
  <si>
    <t>MUL</t>
  </si>
  <si>
    <t>if multiple systems are measured with this point</t>
  </si>
  <si>
    <t>languages_id</t>
  </si>
  <si>
    <t>language</t>
  </si>
  <si>
    <t>column_abbreviation</t>
  </si>
  <si>
    <t>column_category</t>
  </si>
  <si>
    <t>column_parent</t>
  </si>
  <si>
    <t>column_children</t>
  </si>
  <si>
    <t>incorrect translation</t>
  </si>
  <si>
    <t xml:space="preserve">refrigerating machine_x000D_
</t>
  </si>
  <si>
    <t>MALF</t>
  </si>
  <si>
    <t>name_german</t>
  </si>
  <si>
    <t>name_english</t>
  </si>
  <si>
    <t>budo</t>
  </si>
  <si>
    <t>consistent/information entropy</t>
  </si>
  <si>
    <t>IF</t>
  </si>
  <si>
    <t>malfunction</t>
  </si>
  <si>
    <t>standards_id</t>
  </si>
  <si>
    <t>standard_name</t>
  </si>
  <si>
    <t>Column Language</t>
  </si>
  <si>
    <t>Column Abbreviation</t>
  </si>
  <si>
    <t>translation_id</t>
  </si>
  <si>
    <t>Français</t>
  </si>
  <si>
    <t>Espagnol</t>
  </si>
  <si>
    <t>Brick Schema</t>
  </si>
  <si>
    <t>IFC 4</t>
  </si>
  <si>
    <t>Saref</t>
  </si>
  <si>
    <t>Reparatur</t>
  </si>
  <si>
    <t>Reparaturschalter</t>
  </si>
  <si>
    <t>language_id</t>
  </si>
  <si>
    <t>Francais and Espagnol not implemented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</si>
</sst>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E69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2E49C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medium">
        <color theme="0" tint="-0.499984740745262"/>
      </left>
      <right/>
      <top style="thick">
        <color theme="0" tint="-0.499984740745262"/>
      </top>
      <bottom style="thick">
        <color theme="0" tint="-0.499984740745262"/>
      </bottom>
      <diagonal/>
    </border>
    <border>
      <left style="thick">
        <color theme="0" tint="-0.499984740745262"/>
      </left>
      <right style="thick">
        <color theme="0" tint="-0.499984740745262"/>
      </right>
      <top style="thick">
        <color theme="0" tint="-0.499984740745262"/>
      </top>
      <bottom style="thick">
        <color theme="0" tint="-0.499984740745262"/>
      </bottom>
      <diagonal/>
    </border>
    <border>
      <left/>
      <right/>
      <top style="thick">
        <color theme="0" tint="-0.499984740745262"/>
      </top>
      <bottom style="thick">
        <color theme="0" tint="-0.499984740745262"/>
      </bottom>
      <diagonal/>
    </border>
    <border>
      <left style="thick">
        <color theme="0" tint="-0.499984740745262"/>
      </left>
      <right style="thick">
        <color theme="0" tint="-0.499984740745262"/>
      </right>
      <top/>
      <bottom/>
      <diagonal/>
    </border>
    <border>
      <left style="medium">
        <color theme="0" tint="-0.499984740745262"/>
      </left>
      <right/>
      <top/>
      <bottom/>
      <diagonal/>
    </border>
  </borders>
  <cellStyleXfs count="1">
    <xf numFmtId="0" fontId="0" fillId="0" borderId="0"/>
  </cellStyleXfs>
  <cellXfs count="62">
    <xf numFmtId="0" fontId="0" fillId="0" borderId="0" xfId="0"/>
    <xf numFmtId="0" fontId="0" fillId="0" borderId="0" xfId="0" applyFont="1"/>
    <xf numFmtId="0" fontId="0" fillId="0" borderId="0" xfId="0"/>
    <xf numFmtId="0" fontId="0" fillId="0" borderId="0" xfId="0" applyFill="1"/>
    <xf numFmtId="0" fontId="0" fillId="0" borderId="0" xfId="0" applyNumberFormat="1"/>
    <xf numFmtId="0" fontId="0" fillId="0" borderId="0" xfId="0" applyFill="1" applyBorder="1"/>
    <xf numFmtId="0" fontId="6" fillId="0" borderId="0" xfId="0" applyFont="1"/>
    <xf numFmtId="0" fontId="2" fillId="3" borderId="0" xfId="0" applyFont="1" applyFill="1" applyAlignment="1" applyProtection="1">
      <alignment vertical="center"/>
    </xf>
    <xf numFmtId="0" fontId="1" fillId="3" borderId="0" xfId="0" applyFont="1" applyFill="1" applyAlignment="1" applyProtection="1">
      <alignment vertical="center"/>
    </xf>
    <xf numFmtId="0" fontId="7" fillId="3" borderId="0" xfId="0" applyFont="1" applyFill="1" applyBorder="1" applyAlignment="1" applyProtection="1">
      <alignment vertical="center"/>
    </xf>
    <xf numFmtId="0" fontId="0" fillId="0" borderId="0" xfId="0" applyProtection="1">
      <protection locked="0"/>
    </xf>
    <xf numFmtId="0" fontId="0" fillId="4" borderId="0" xfId="0" applyFill="1" applyProtection="1">
      <protection locked="0"/>
    </xf>
    <xf numFmtId="0" fontId="0" fillId="0" borderId="5" xfId="0" applyBorder="1" applyProtection="1">
      <protection locked="0"/>
    </xf>
    <xf numFmtId="0" fontId="0" fillId="5" borderId="0" xfId="0" applyFill="1" applyAlignment="1" applyProtection="1">
      <alignment horizontal="center"/>
      <protection locked="0"/>
    </xf>
    <xf numFmtId="0" fontId="0" fillId="3" borderId="0" xfId="0" applyFill="1"/>
    <xf numFmtId="0" fontId="0" fillId="5" borderId="0" xfId="0" applyFill="1" applyProtection="1">
      <protection locked="0"/>
    </xf>
    <xf numFmtId="0" fontId="0" fillId="0" borderId="0" xfId="0" applyFill="1" applyProtection="1">
      <protection locked="0"/>
    </xf>
    <xf numFmtId="0" fontId="4" fillId="2" borderId="0" xfId="0" applyFont="1" applyFill="1" applyProtection="1"/>
    <xf numFmtId="0" fontId="0" fillId="0" borderId="0" xfId="0" applyNumberFormat="1" applyFont="1" applyFill="1" applyBorder="1"/>
    <xf numFmtId="0" fontId="0" fillId="0" borderId="0" xfId="0" applyNumberFormat="1" applyFont="1" applyFill="1"/>
    <xf numFmtId="0" fontId="5" fillId="3" borderId="0" xfId="0" applyFont="1" applyFill="1" applyBorder="1"/>
    <xf numFmtId="0" fontId="0" fillId="0" borderId="0" xfId="0" applyProtection="1"/>
    <xf numFmtId="0" fontId="0" fillId="0" borderId="0" xfId="0" applyFont="1" applyFill="1"/>
    <xf numFmtId="0" fontId="0" fillId="0" borderId="0" xfId="0" applyNumberFormat="1" applyFill="1"/>
    <xf numFmtId="0" fontId="3" fillId="7" borderId="0" xfId="0" applyFont="1" applyFill="1" applyProtection="1"/>
    <xf numFmtId="0" fontId="11" fillId="3" borderId="0" xfId="0" applyFont="1" applyFill="1" applyBorder="1" applyAlignment="1" applyProtection="1">
      <alignment vertical="center"/>
    </xf>
    <xf numFmtId="0" fontId="0" fillId="0" borderId="0" xfId="0" applyAlignment="1">
      <alignment horizontal="left"/>
    </xf>
    <xf numFmtId="0" fontId="1" fillId="0" borderId="0" xfId="0" applyNumberFormat="1" applyFont="1" applyFill="1" applyBorder="1"/>
    <xf numFmtId="0" fontId="12" fillId="0" borderId="0" xfId="0" applyNumberFormat="1" applyFont="1" applyFill="1" applyBorder="1"/>
    <xf numFmtId="0" fontId="2" fillId="0" borderId="0" xfId="0" applyFont="1"/>
    <xf numFmtId="0" fontId="4" fillId="2" borderId="0" xfId="0" applyFont="1" applyFill="1" applyProtection="1">
      <protection locked="0"/>
    </xf>
    <xf numFmtId="0" fontId="5" fillId="2" borderId="3" xfId="0" applyFont="1" applyFill="1" applyBorder="1" applyProtection="1">
      <protection locked="0"/>
    </xf>
    <xf numFmtId="0" fontId="3" fillId="2" borderId="0" xfId="0" applyFont="1" applyFill="1" applyProtection="1">
      <protection locked="0"/>
    </xf>
    <xf numFmtId="0" fontId="5" fillId="2" borderId="2" xfId="0" applyFont="1" applyFill="1" applyBorder="1" applyAlignment="1" applyProtection="1">
      <alignment horizontal="center"/>
      <protection locked="0"/>
    </xf>
    <xf numFmtId="0" fontId="4" fillId="2" borderId="1" xfId="0" applyFont="1" applyFill="1" applyBorder="1" applyProtection="1">
      <protection locked="0"/>
    </xf>
    <xf numFmtId="0" fontId="4" fillId="2" borderId="2" xfId="0" applyFont="1" applyFill="1" applyBorder="1" applyAlignment="1" applyProtection="1">
      <alignment horizontal="center"/>
      <protection locked="0"/>
    </xf>
    <xf numFmtId="0" fontId="4" fillId="2" borderId="2" xfId="0" applyFont="1" applyFill="1" applyBorder="1" applyProtection="1">
      <protection locked="0"/>
    </xf>
    <xf numFmtId="0" fontId="4" fillId="2" borderId="3" xfId="0" applyFont="1" applyFill="1" applyBorder="1" applyProtection="1">
      <protection locked="0"/>
    </xf>
    <xf numFmtId="0" fontId="5" fillId="2" borderId="2" xfId="0" applyFont="1" applyFill="1" applyBorder="1" applyProtection="1">
      <protection locked="0"/>
    </xf>
    <xf numFmtId="0" fontId="5" fillId="2" borderId="2" xfId="0" applyFont="1" applyFill="1" applyBorder="1" applyAlignment="1" applyProtection="1">
      <protection locked="0"/>
    </xf>
    <xf numFmtId="0" fontId="6" fillId="2" borderId="0" xfId="0" applyFont="1" applyFill="1" applyProtection="1">
      <protection locked="0"/>
    </xf>
    <xf numFmtId="0" fontId="1" fillId="3" borderId="0" xfId="0" applyFont="1" applyFill="1" applyAlignment="1" applyProtection="1">
      <alignment vertical="center"/>
      <protection locked="0"/>
    </xf>
    <xf numFmtId="0" fontId="1" fillId="3" borderId="0" xfId="0" applyFont="1" applyFill="1" applyBorder="1" applyAlignment="1" applyProtection="1">
      <alignment vertical="center"/>
      <protection locked="0"/>
    </xf>
    <xf numFmtId="0" fontId="8" fillId="3" borderId="0" xfId="0" applyFont="1" applyFill="1" applyBorder="1" applyAlignment="1" applyProtection="1">
      <alignment vertical="center"/>
      <protection locked="0"/>
    </xf>
    <xf numFmtId="0" fontId="1" fillId="3" borderId="5" xfId="0" applyFont="1" applyFill="1" applyBorder="1" applyAlignment="1" applyProtection="1">
      <alignment vertical="center"/>
      <protection locked="0"/>
    </xf>
    <xf numFmtId="0" fontId="2" fillId="3" borderId="0" xfId="0" applyFont="1" applyFill="1" applyBorder="1" applyAlignment="1" applyProtection="1">
      <alignment vertical="center"/>
      <protection locked="0"/>
    </xf>
    <xf numFmtId="0" fontId="2" fillId="3" borderId="0" xfId="0" applyFont="1" applyFill="1" applyBorder="1" applyAlignment="1" applyProtection="1">
      <alignment horizontal="center" vertical="center"/>
      <protection locked="0"/>
    </xf>
    <xf numFmtId="0" fontId="2" fillId="3" borderId="0" xfId="0" applyFont="1" applyFill="1" applyAlignment="1" applyProtection="1">
      <alignment vertical="center"/>
      <protection locked="0"/>
    </xf>
    <xf numFmtId="0" fontId="9" fillId="3" borderId="0" xfId="0" applyFont="1" applyFill="1" applyBorder="1" applyAlignment="1" applyProtection="1">
      <alignment vertical="center"/>
      <protection locked="0"/>
    </xf>
    <xf numFmtId="0" fontId="0" fillId="3" borderId="0" xfId="0" applyFill="1" applyProtection="1">
      <protection locked="0"/>
    </xf>
    <xf numFmtId="0" fontId="2" fillId="5" borderId="0" xfId="0" applyFont="1" applyFill="1" applyAlignment="1" applyProtection="1">
      <alignment horizontal="center"/>
      <protection locked="0"/>
    </xf>
    <xf numFmtId="0" fontId="2" fillId="5" borderId="0" xfId="0" applyFont="1" applyFill="1" applyProtection="1">
      <protection locked="0"/>
    </xf>
    <xf numFmtId="0" fontId="0" fillId="3" borderId="0" xfId="0" applyFill="1" applyProtection="1"/>
    <xf numFmtId="0" fontId="3" fillId="0" borderId="0" xfId="0" applyFont="1" applyProtection="1">
      <protection locked="0"/>
    </xf>
    <xf numFmtId="0" fontId="10" fillId="4" borderId="0" xfId="0" applyFont="1" applyFill="1" applyProtection="1">
      <protection locked="0"/>
    </xf>
    <xf numFmtId="0" fontId="3" fillId="0" borderId="4" xfId="0" applyFont="1" applyFill="1" applyBorder="1" applyProtection="1">
      <protection locked="0"/>
    </xf>
    <xf numFmtId="0" fontId="2" fillId="3" borderId="4" xfId="0" applyFont="1" applyFill="1" applyBorder="1" applyAlignment="1" applyProtection="1">
      <alignment vertical="center"/>
      <protection locked="0"/>
    </xf>
    <xf numFmtId="0" fontId="0" fillId="6" borderId="4" xfId="0" applyFill="1" applyBorder="1" applyProtection="1">
      <protection locked="0"/>
    </xf>
    <xf numFmtId="0" fontId="0" fillId="0" borderId="5" xfId="0" applyFill="1" applyBorder="1" applyProtection="1">
      <protection locked="0"/>
    </xf>
    <xf numFmtId="0" fontId="0" fillId="8" borderId="5" xfId="0" applyFill="1" applyBorder="1" applyProtection="1">
      <protection locked="0"/>
    </xf>
    <xf numFmtId="0" fontId="0" fillId="5" borderId="0" xfId="0" applyFill="1" applyAlignment="1" applyProtection="1">
      <alignment horizontal="left"/>
      <protection locked="0"/>
    </xf>
    <xf numFmtId="49" fontId="0" fillId="4" borderId="0" xfId="0" applyNumberFormat="1" applyFill="1" applyProtection="1">
      <protection locked="0"/>
    </xf>
  </cellXfs>
  <cellStyles count="1">
    <cellStyle name="Standard" xfId="0" builtinId="0"/>
  </cellStyles>
  <dxfs count="9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97"/>
      <tableStyleElement type="headerRow" dxfId="9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2</xdr:row>
      <xdr:rowOff>19050</xdr:rowOff>
    </xdr:from>
    <xdr:to>
      <xdr:col>4</xdr:col>
      <xdr:colOff>552450</xdr:colOff>
      <xdr:row>7</xdr:row>
      <xdr:rowOff>171450</xdr:rowOff>
    </xdr:to>
    <xdr:sp macro="[0]!_xludf.Save" textlink="">
      <xdr:nvSpPr>
        <xdr:cNvPr id="2" name="Rechteck 1">
          <a:extLst>
            <a:ext uri="{FF2B5EF4-FFF2-40B4-BE49-F238E27FC236}">
              <a16:creationId xmlns:a16="http://schemas.microsoft.com/office/drawing/2014/main" id="{1A5FB926-95F4-402C-9AF6-7F0122726F82}"/>
            </a:ext>
          </a:extLst>
        </xdr:cNvPr>
        <xdr:cNvSpPr/>
      </xdr:nvSpPr>
      <xdr:spPr>
        <a:xfrm>
          <a:off x="95250" y="400050"/>
          <a:ext cx="4267200" cy="1104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4400">
              <a:solidFill>
                <a:sysClr val="windowText" lastClr="000000"/>
              </a:solidFill>
            </a:rPr>
            <a:t>Save</a:t>
          </a:r>
        </a:p>
      </xdr:txBody>
    </xdr:sp>
    <xdr:clientData/>
  </xdr:twoCellAnchor>
  <xdr:twoCellAnchor>
    <xdr:from>
      <xdr:col>0</xdr:col>
      <xdr:colOff>95250</xdr:colOff>
      <xdr:row>8</xdr:row>
      <xdr:rowOff>133350</xdr:rowOff>
    </xdr:from>
    <xdr:to>
      <xdr:col>4</xdr:col>
      <xdr:colOff>552450</xdr:colOff>
      <xdr:row>14</xdr:row>
      <xdr:rowOff>95250</xdr:rowOff>
    </xdr:to>
    <xdr:sp macro="[0]!Load_Database" textlink="">
      <xdr:nvSpPr>
        <xdr:cNvPr id="3" name="Rechteck 2">
          <a:extLst>
            <a:ext uri="{FF2B5EF4-FFF2-40B4-BE49-F238E27FC236}">
              <a16:creationId xmlns:a16="http://schemas.microsoft.com/office/drawing/2014/main" id="{1A5FB926-95F4-402C-9AF6-7F0122726F82}"/>
            </a:ext>
          </a:extLst>
        </xdr:cNvPr>
        <xdr:cNvSpPr/>
      </xdr:nvSpPr>
      <xdr:spPr>
        <a:xfrm>
          <a:off x="95250" y="1657350"/>
          <a:ext cx="4267200" cy="1104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4400">
              <a:solidFill>
                <a:sysClr val="windowText" lastClr="000000"/>
              </a:solidFill>
            </a:rPr>
            <a:t>Load Database</a:t>
          </a:r>
        </a:p>
      </xdr:txBody>
    </xdr:sp>
    <xdr:clientData/>
  </xdr:twoCellAnchor>
  <xdr:twoCellAnchor>
    <xdr:from>
      <xdr:col>0</xdr:col>
      <xdr:colOff>104775</xdr:colOff>
      <xdr:row>15</xdr:row>
      <xdr:rowOff>9525</xdr:rowOff>
    </xdr:from>
    <xdr:to>
      <xdr:col>4</xdr:col>
      <xdr:colOff>561975</xdr:colOff>
      <xdr:row>20</xdr:row>
      <xdr:rowOff>161925</xdr:rowOff>
    </xdr:to>
    <xdr:sp macro="[0]!Set_number" textlink="">
      <xdr:nvSpPr>
        <xdr:cNvPr id="5" name="Rechteck 4">
          <a:extLst>
            <a:ext uri="{FF2B5EF4-FFF2-40B4-BE49-F238E27FC236}">
              <a16:creationId xmlns:a16="http://schemas.microsoft.com/office/drawing/2014/main" id="{1A5FB926-95F4-402C-9AF6-7F0122726F82}"/>
            </a:ext>
          </a:extLst>
        </xdr:cNvPr>
        <xdr:cNvSpPr/>
      </xdr:nvSpPr>
      <xdr:spPr>
        <a:xfrm>
          <a:off x="104775" y="2867025"/>
          <a:ext cx="4267200" cy="1104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4400">
              <a:solidFill>
                <a:sysClr val="windowText" lastClr="000000"/>
              </a:solidFill>
            </a:rPr>
            <a:t>Set</a:t>
          </a:r>
          <a:r>
            <a:rPr lang="de-DE" sz="4400" baseline="0">
              <a:solidFill>
                <a:sysClr val="windowText" lastClr="000000"/>
              </a:solidFill>
            </a:rPr>
            <a:t> Number</a:t>
          </a:r>
          <a:endParaRPr lang="de-DE" sz="4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161926</xdr:colOff>
      <xdr:row>1</xdr:row>
      <xdr:rowOff>190499</xdr:rowOff>
    </xdr:from>
    <xdr:to>
      <xdr:col>10</xdr:col>
      <xdr:colOff>47626</xdr:colOff>
      <xdr:row>7</xdr:row>
      <xdr:rowOff>180974</xdr:rowOff>
    </xdr:to>
    <xdr:sp macro="[0]!Change_Language" textlink="">
      <xdr:nvSpPr>
        <xdr:cNvPr id="6" name="Rechteck 5">
          <a:extLst>
            <a:ext uri="{FF2B5EF4-FFF2-40B4-BE49-F238E27FC236}">
              <a16:creationId xmlns:a16="http://schemas.microsoft.com/office/drawing/2014/main" id="{1A5FB926-95F4-402C-9AF6-7F0122726F82}"/>
            </a:ext>
          </a:extLst>
        </xdr:cNvPr>
        <xdr:cNvSpPr/>
      </xdr:nvSpPr>
      <xdr:spPr>
        <a:xfrm>
          <a:off x="5657851" y="380999"/>
          <a:ext cx="3695700" cy="1133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3200">
              <a:solidFill>
                <a:sysClr val="windowText" lastClr="000000"/>
              </a:solidFill>
            </a:rPr>
            <a:t>Change Language</a:t>
          </a:r>
        </a:p>
      </xdr:txBody>
    </xdr:sp>
    <xdr:clientData/>
  </xdr:twoCellAnchor>
  <xdr:twoCellAnchor>
    <xdr:from>
      <xdr:col>5</xdr:col>
      <xdr:colOff>161926</xdr:colOff>
      <xdr:row>8</xdr:row>
      <xdr:rowOff>152399</xdr:rowOff>
    </xdr:from>
    <xdr:to>
      <xdr:col>10</xdr:col>
      <xdr:colOff>47626</xdr:colOff>
      <xdr:row>14</xdr:row>
      <xdr:rowOff>180974</xdr:rowOff>
    </xdr:to>
    <xdr:sp macro="[0]!Update_changes" textlink="">
      <xdr:nvSpPr>
        <xdr:cNvPr id="7" name="Rechteck 6">
          <a:extLst>
            <a:ext uri="{FF2B5EF4-FFF2-40B4-BE49-F238E27FC236}">
              <a16:creationId xmlns:a16="http://schemas.microsoft.com/office/drawing/2014/main" id="{1A5FB926-95F4-402C-9AF6-7F0122726F82}"/>
            </a:ext>
          </a:extLst>
        </xdr:cNvPr>
        <xdr:cNvSpPr/>
      </xdr:nvSpPr>
      <xdr:spPr>
        <a:xfrm>
          <a:off x="5657851" y="1676399"/>
          <a:ext cx="3695700" cy="1171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3200">
              <a:solidFill>
                <a:sysClr val="windowText" lastClr="000000"/>
              </a:solidFill>
            </a:rPr>
            <a:t>Update</a:t>
          </a:r>
          <a:r>
            <a:rPr lang="de-DE" sz="3200" baseline="0">
              <a:solidFill>
                <a:sysClr val="windowText" lastClr="000000"/>
              </a:solidFill>
            </a:rPr>
            <a:t> Changes</a:t>
          </a:r>
          <a:endParaRPr lang="de-DE" sz="3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161926</xdr:colOff>
      <xdr:row>15</xdr:row>
      <xdr:rowOff>76199</xdr:rowOff>
    </xdr:from>
    <xdr:to>
      <xdr:col>10</xdr:col>
      <xdr:colOff>47626</xdr:colOff>
      <xdr:row>21</xdr:row>
      <xdr:rowOff>104774</xdr:rowOff>
    </xdr:to>
    <xdr:sp macro="[0]!Update_changes" textlink="">
      <xdr:nvSpPr>
        <xdr:cNvPr id="8" name="Rechteck 7">
          <a:extLst>
            <a:ext uri="{FF2B5EF4-FFF2-40B4-BE49-F238E27FC236}">
              <a16:creationId xmlns:a16="http://schemas.microsoft.com/office/drawing/2014/main" id="{1A5FB926-95F4-402C-9AF6-7F0122726F82}"/>
            </a:ext>
          </a:extLst>
        </xdr:cNvPr>
        <xdr:cNvSpPr/>
      </xdr:nvSpPr>
      <xdr:spPr>
        <a:xfrm>
          <a:off x="5657851" y="2933699"/>
          <a:ext cx="3695700" cy="1171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3200">
              <a:solidFill>
                <a:sysClr val="windowText" lastClr="000000"/>
              </a:solidFill>
            </a:rPr>
            <a:t>Init Table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name="ExterneDaten_1" connectionId="4" autoFormatId="0" applyNumberFormats="0" applyBorderFormats="0" applyFontFormats="1" applyPatternFormats="1" applyAlignmentFormats="0" applyWidthHeightFormats="0">
  <queryTableRefresh preserveSortFilterLayout="0" nextId="8">
    <queryTableFields count="7">
      <queryTableField id="1" name="languages_id" tableColumnId="60"/>
      <queryTableField id="2" name="language" tableColumnId="61"/>
      <queryTableField id="3" name="column_abbreviation" tableColumnId="62"/>
      <queryTableField id="4" name="column_category" tableColumnId="63"/>
      <queryTableField id="5" name="column_parent" tableColumnId="64"/>
      <queryTableField id="6" name="column_children" tableColumnId="65"/>
      <queryTableField id="7" name="comment" tableColumnId="66"/>
    </queryTableFields>
  </queryTableRefresh>
</queryTable>
</file>

<file path=xl/queryTables/queryTable2.xml><?xml version="1.0" encoding="utf-8"?>
<queryTable xmlns="http://schemas.openxmlformats.org/spreadsheetml/2006/main" name="ExterneDaten_2" connectionId="6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standards_id" tableColumnId="17"/>
      <queryTableField id="2" name="standard_name" tableColumnId="18"/>
      <queryTableField id="3" name="column_abbreviation" tableColumnId="19"/>
      <queryTableField id="4" name="comment" tableColumnId="20"/>
    </queryTableFields>
  </queryTableRefresh>
</queryTable>
</file>

<file path=xl/queryTables/queryTable3.xml><?xml version="1.0" encoding="utf-8"?>
<queryTable xmlns="http://schemas.openxmlformats.org/spreadsheetml/2006/main" name="ExterneDaten_3" connectionId="7" autoFormatId="0" applyNumberFormats="0" applyBorderFormats="0" applyFontFormats="1" applyPatternFormats="1" applyAlignmentFormats="0" applyWidthHeightFormats="0">
  <queryTableRefresh preserveSortFilterLayout="0" nextId="4">
    <queryTableFields count="3">
      <queryTableField id="1" name="translation_id" tableColumnId="10"/>
      <queryTableField id="2" name="English" tableColumnId="11"/>
      <queryTableField id="3" name="Deutsch" tableColumnId="12"/>
    </queryTableFields>
  </queryTableRefresh>
</queryTable>
</file>

<file path=xl/queryTables/queryTable4.xml><?xml version="1.0" encoding="utf-8"?>
<queryTable xmlns="http://schemas.openxmlformats.org/spreadsheetml/2006/main" name="ExterneDaten_1" connectionId="1" autoFormatId="0" applyNumberFormats="0" applyBorderFormats="0" applyFontFormats="1" applyPatternFormats="1" applyAlignmentFormats="0" applyWidthHeightFormats="0">
  <queryTableRefresh preserveSortFilterLayout="0" nextId="6">
    <queryTableFields count="5">
      <queryTableField id="1" name="abbreviation_id" tableColumnId="1"/>
      <queryTableField id="2" name="name_german" tableColumnId="2"/>
      <queryTableField id="3" name="name_english" tableColumnId="3"/>
      <queryTableField id="4" name="budo" tableColumnId="4"/>
      <queryTableField id="5" name="comment" tableColumnId="5"/>
    </queryTableFields>
  </queryTableRefresh>
</queryTable>
</file>

<file path=xl/queryTables/queryTable5.xml><?xml version="1.0" encoding="utf-8"?>
<queryTable xmlns="http://schemas.openxmlformats.org/spreadsheetml/2006/main" name="ExterneDaten_1" connectionId="9" autoFormatId="0" applyNumberFormats="0" applyBorderFormats="0" applyFontFormats="1" applyPatternFormats="1" applyAlignmentFormats="0" applyWidthHeightFormats="0">
  <queryTableRefresh preserveSortFilterLayout="0" nextId="8">
    <queryTableFields count="7">
      <queryTableField id="1" name="category_assignment_id" tableColumnId="29"/>
      <queryTableField id="2" name="category_id" tableColumnId="30"/>
      <queryTableField id="3" name="category_name_german" tableColumnId="31"/>
      <queryTableField id="4" name="category_name_english" tableColumnId="32"/>
      <queryTableField id="5" name="abbreviation_id" tableColumnId="33"/>
      <queryTableField id="6" name="name_german" tableColumnId="34"/>
      <queryTableField id="7" name="name_english" tableColumnId="35"/>
    </queryTableFields>
  </queryTableRefresh>
</queryTable>
</file>

<file path=xl/queryTables/queryTable6.xml><?xml version="1.0" encoding="utf-8"?>
<queryTable xmlns="http://schemas.openxmlformats.org/spreadsheetml/2006/main" name="ExterneDaten_1" connectionId="10" autoFormatId="0" applyNumberFormats="0" applyBorderFormats="0" applyFontFormats="1" applyPatternFormats="1" applyAlignmentFormats="0" applyWidthHeightFormats="0">
  <queryTableRefresh preserveSortFilterLayout="0" nextId="8">
    <queryTableFields count="7">
      <queryTableField id="1" name="parent_children_id" tableColumnId="29"/>
      <queryTableField id="2" name="parent_id" tableColumnId="30"/>
      <queryTableField id="3" name="parent_german" tableColumnId="31"/>
      <queryTableField id="4" name="parent_english" tableColumnId="32"/>
      <queryTableField id="5" name="children_id" tableColumnId="33"/>
      <queryTableField id="6" name="children_german" tableColumnId="34"/>
      <queryTableField id="7" name="children_english" tableColumnId="35"/>
    </queryTableFields>
  </queryTableRefresh>
</queryTable>
</file>

<file path=xl/queryTables/queryTable7.xml><?xml version="1.0" encoding="utf-8"?>
<queryTable xmlns="http://schemas.openxmlformats.org/spreadsheetml/2006/main" name="ExterneDaten_1" connectionId="8" autoFormatId="0" applyNumberFormats="0" applyBorderFormats="0" applyFontFormats="1" applyPatternFormats="1" applyAlignmentFormats="0" applyWidthHeightFormats="0">
  <queryTableRefresh preserveSortFilterLayout="0" nextId="6">
    <queryTableFields count="5">
      <queryTableField id="1" name="category_id" tableColumnId="16"/>
      <queryTableField id="2" name="name_german" tableColumnId="17"/>
      <queryTableField id="3" name="name_english" tableColumnId="18"/>
      <queryTableField id="4" name="budo" tableColumnId="19"/>
      <queryTableField id="5" name="comment" tableColumnId="20"/>
    </queryTableFields>
  </queryTableRefresh>
</queryTable>
</file>

<file path=xl/queryTables/queryTable8.xml><?xml version="1.0" encoding="utf-8"?>
<queryTable xmlns="http://schemas.openxmlformats.org/spreadsheetml/2006/main" name="ExterneDaten_1" connectionId="2" autoFormatId="0" applyNumberFormats="0" applyBorderFormats="0" applyFontFormats="1" applyPatternFormats="1" applyAlignmentFormats="0" applyWidthHeightFormats="0">
  <queryTableRefresh preserveSortFilterLayout="0" nextId="4">
    <queryTableFields count="3">
      <queryTableField id="1" name="category_assignment_id" tableColumnId="4"/>
      <queryTableField id="2" name="category_id" tableColumnId="5"/>
      <queryTableField id="3" name="abbreviation_id" tableColumnId="6"/>
    </queryTableFields>
  </queryTableRefresh>
</queryTable>
</file>

<file path=xl/queryTables/queryTable9.xml><?xml version="1.0" encoding="utf-8"?>
<queryTable xmlns="http://schemas.openxmlformats.org/spreadsheetml/2006/main" name="ExterneDaten_1" connectionId="5" autoFormatId="0" applyNumberFormats="0" applyBorderFormats="0" applyFontFormats="1" applyPatternFormats="1" applyAlignmentFormats="0" applyWidthHeightFormats="0">
  <queryTableRefresh preserveSortFilterLayout="0" nextId="4">
    <queryTableFields count="3">
      <queryTableField id="1" name="parent_children_id" tableColumnId="4"/>
      <queryTableField id="2" name="parent_id" tableColumnId="5"/>
      <queryTableField id="3" name="children_id" tableColumnId="6"/>
    </queryTableFields>
  </queryTableRefresh>
</queryTable>
</file>

<file path=xl/queryTables/queryTable10.xml><?xml version="1.0" encoding="utf-8"?>
<queryTable xmlns="http://schemas.openxmlformats.org/spreadsheetml/2006/main" name="ExterneDaten_1" connectionId="3" autoFormatId="0" applyNumberFormats="0" applyBorderFormats="0" applyFontFormats="1" applyPatternFormats="1" applyAlignmentFormats="0" applyWidthHeightFormats="0">
  <queryTableRefresh preserveSortFilterLayout="0" nextId="8">
    <queryTableFields count="7">
      <queryTableField id="1" name="changes_id" tableColumnId="35"/>
      <queryTableField id="2" name="old_description" tableColumnId="36"/>
      <queryTableField id="3" name="new_description" tableColumnId="37"/>
      <queryTableField id="4" name="language_id" tableColumnId="38"/>
      <queryTableField id="5" name="old_abbreviation" tableColumnId="39"/>
      <queryTableField id="6" name="new_abbreviation" tableColumnId="40"/>
      <queryTableField id="7" name="comment" tableColumnId="4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table1.xml><?xml version="1.0" encoding="utf-8"?>
<table xmlns="http://schemas.openxmlformats.org/spreadsheetml/2006/main" id="22" name="languages" displayName="languages" ref="A65:G69" tableType="queryTable" totalsRowShown="0">
  <autoFilter ref="A65:G69"/>
  <tableColumns count="7">
    <tableColumn id="60" uniqueName="60" name="languages_id" queryTableFieldId="1" dataDxfId="95"/>
    <tableColumn id="61" uniqueName="61" name="language" queryTableFieldId="2" dataDxfId="94"/>
    <tableColumn id="62" uniqueName="62" name="column_abbreviation" queryTableFieldId="3" dataDxfId="93"/>
    <tableColumn id="63" uniqueName="63" name="column_category" queryTableFieldId="4" dataDxfId="92"/>
    <tableColumn id="64" uniqueName="64" name="column_parent" queryTableFieldId="5" dataDxfId="91"/>
    <tableColumn id="65" uniqueName="65" name="column_children" queryTableFieldId="6" dataDxfId="90"/>
    <tableColumn id="66" uniqueName="66" name="comment" queryTableFieldId="7" dataDxfId="89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27" name="standards" displayName="standards" ref="A89:D95" tableType="queryTable" totalsRowShown="0" headerRowDxfId="88">
  <autoFilter ref="A89:D95"/>
  <tableColumns count="4">
    <tableColumn id="17" uniqueName="17" name="standards_id" queryTableFieldId="1" dataDxfId="87"/>
    <tableColumn id="18" uniqueName="18" name="standard_name" queryTableFieldId="2" dataDxfId="86"/>
    <tableColumn id="19" uniqueName="19" name="column_abbreviation" queryTableFieldId="3" dataDxfId="85"/>
    <tableColumn id="20" uniqueName="20" name="comment" queryTableFieldId="4" dataDxfId="84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id="28" name="translation" displayName="translation" ref="A1:C41" tableType="queryTable" totalsRowShown="0">
  <autoFilter ref="A1:C41"/>
  <tableColumns count="3">
    <tableColumn id="10" uniqueName="10" name="translation_id" queryTableFieldId="1" dataDxfId="83"/>
    <tableColumn id="11" uniqueName="11" name="English" queryTableFieldId="2" dataDxfId="82"/>
    <tableColumn id="12" uniqueName="12" name="Deutsch" queryTableFieldId="3" dataDxfId="81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id="14" name="abbreviation" displayName="abbreviation" ref="A1:E263" tableType="queryTable" totalsRowShown="0">
  <autoFilter ref="A1:E263"/>
  <sortState ref="A2:E255">
    <sortCondition ref="B1:B255"/>
  </sortState>
  <tableColumns count="5">
    <tableColumn id="1" uniqueName="1" name="abbreviation_id" queryTableFieldId="1" dataDxfId="4"/>
    <tableColumn id="2" uniqueName="2" name="name_german" queryTableFieldId="2" dataDxfId="3"/>
    <tableColumn id="3" uniqueName="3" name="name_english" queryTableFieldId="3" dataDxfId="2"/>
    <tableColumn id="4" uniqueName="4" name="budo" queryTableFieldId="4" dataDxfId="1"/>
    <tableColumn id="5" uniqueName="5" name="comment" queryTableFieldId="5" dataDxfId="0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id="20" name="view_category_assignment" displayName="view_category_assignment" ref="A1:G117" tableType="queryTable" insertRowShift="1" totalsRowShown="0">
  <autoFilter ref="A1:G117"/>
  <sortState ref="A2:G117">
    <sortCondition ref="C1:C117"/>
    <sortCondition ref="F1:F117"/>
  </sortState>
  <tableColumns count="7">
    <tableColumn id="29" uniqueName="29" name="category_assignment_id" queryTableFieldId="1" dataDxfId="80"/>
    <tableColumn id="30" uniqueName="30" name="category_id" queryTableFieldId="2" dataDxfId="79"/>
    <tableColumn id="31" uniqueName="31" name="category_name_german" queryTableFieldId="3" dataDxfId="78"/>
    <tableColumn id="32" uniqueName="32" name="category_name_english" queryTableFieldId="4" dataDxfId="77"/>
    <tableColumn id="33" uniqueName="33" name="abbreviation_id" queryTableFieldId="5" dataDxfId="76"/>
    <tableColumn id="34" uniqueName="34" name="name_german" queryTableFieldId="6" dataDxfId="75"/>
    <tableColumn id="35" uniqueName="35" name="name_english" queryTableFieldId="7" dataDxfId="74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id="21" name="view_parent_children" displayName="view_parent_children" ref="A1:G207" tableType="queryTable" totalsRowShown="0">
  <autoFilter ref="A1:G207"/>
  <sortState ref="A2:G207">
    <sortCondition ref="C1:C207"/>
    <sortCondition ref="F1:F207"/>
  </sortState>
  <tableColumns count="7">
    <tableColumn id="29" uniqueName="29" name="parent_children_id" queryTableFieldId="1" dataDxfId="73"/>
    <tableColumn id="30" uniqueName="30" name="parent_id" queryTableFieldId="2" dataDxfId="72"/>
    <tableColumn id="31" uniqueName="31" name="parent_german" queryTableFieldId="3" dataDxfId="71"/>
    <tableColumn id="32" uniqueName="32" name="parent_english" queryTableFieldId="4" dataDxfId="70"/>
    <tableColumn id="33" uniqueName="33" name="children_id" queryTableFieldId="5" dataDxfId="69"/>
    <tableColumn id="34" uniqueName="34" name="children_german" queryTableFieldId="6" dataDxfId="68"/>
    <tableColumn id="35" uniqueName="35" name="children_english" queryTableFieldId="7" dataDxfId="67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id="23" name="view_category" displayName="view_category" ref="A1:E43" tableType="queryTable" totalsRowShown="0">
  <autoFilter ref="A1:E43"/>
  <sortState ref="A2:E43">
    <sortCondition ref="B1:B43"/>
  </sortState>
  <tableColumns count="5">
    <tableColumn id="16" uniqueName="16" name="category_id" queryTableFieldId="1" dataDxfId="66"/>
    <tableColumn id="17" uniqueName="17" name="name_german" queryTableFieldId="2" dataDxfId="65"/>
    <tableColumn id="18" uniqueName="18" name="name_english" queryTableFieldId="3" dataDxfId="64"/>
    <tableColumn id="19" uniqueName="19" name="budo" queryTableFieldId="4" dataDxfId="63"/>
    <tableColumn id="20" uniqueName="20" name="comment" queryTableFieldId="5" dataDxfId="62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id="8" name="Tab_Ortsbezeichnung" displayName="Tab_Ortsbezeichnung" ref="K1:K999" totalsRowShown="0">
  <autoFilter ref="K1:K999"/>
  <tableColumns count="1">
    <tableColumn id="1" name="Ortsbezeichnung" dataDxfId="61">
      <calculatedColumnFormula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3" name="category_assignment" displayName="category_assignment" ref="A1:C1499" totalsRowShown="0">
  <autoFilter ref="A1:C1499"/>
  <sortState ref="A2:C1499">
    <sortCondition ref="B1:B1499"/>
    <sortCondition ref="C1:C1499"/>
  </sortState>
  <tableColumns count="3">
    <tableColumn id="1" name="category_assignment_id" dataDxfId="60">
      <calculatedColumnFormula>IFERROR(category_assignment_2[[#This Row],[category_assignment_id]],"")</calculatedColumnFormula>
    </tableColumn>
    <tableColumn id="2" name="category" dataDxfId="59">
      <calculatedColumnFormula>IFERROR(VLOOKUP(category_assignment_2[[#This Row],[category_id]],#REF!,3,FALSE),"")</calculatedColumnFormula>
    </tableColumn>
    <tableColumn id="3" name="description" dataDxfId="58">
      <calculatedColumnFormula>IFERROR(VLOOKUP(category_assignment_2[[#This Row],[abbreviation_id]],abbreviation[],ColumnLanguage+1,FALSE),"")</calculatedColumnFormula>
    </tableColumn>
  </tableColumns>
  <tableStyleInfo name="TableStyleMedium3" showFirstColumn="0" showLastColumn="0" showRowStripes="1" showColumnStripes="0"/>
</table>
</file>

<file path=xl/tables/table10.xml><?xml version="1.0" encoding="utf-8"?>
<table xmlns="http://schemas.openxmlformats.org/spreadsheetml/2006/main" id="15" name="category_assignment_2" displayName="category_assignment_2" ref="M1:O117" tableType="queryTable" totalsRowShown="0" headerRowDxfId="57" dataDxfId="56">
  <autoFilter ref="M1:O117"/>
  <tableColumns count="3">
    <tableColumn id="4" uniqueName="4" name="category_assignment_id" queryTableFieldId="1" dataDxfId="55"/>
    <tableColumn id="5" uniqueName="5" name="category_id" queryTableFieldId="2" dataDxfId="54"/>
    <tableColumn id="6" uniqueName="6" name="abbreviation_id" queryTableFieldId="3" dataDxfId="53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id="6" name="parent_children" displayName="parent_children" ref="A1:C1499" totalsRowShown="0">
  <autoFilter ref="A1:C1499"/>
  <tableColumns count="3">
    <tableColumn id="1" name="parent_children_id" dataDxfId="52">
      <calculatedColumnFormula>IFERROR(parent_children_2[[#This Row],[parent_children_id]],"")</calculatedColumnFormula>
    </tableColumn>
    <tableColumn id="2" name="parent" dataDxfId="51">
      <calculatedColumnFormula>IFERROR(VLOOKUP(parent_children_2[[#This Row],[parent_id]],abbreviation[],3,FALSE),"")</calculatedColumnFormula>
    </tableColumn>
    <tableColumn id="3" name="children" dataDxfId="50">
      <calculatedColumnFormula>IFERROR(VLOOKUP(parent_children_2[[#This Row],[children_id]],abbreviation[],ColumnLanguage+1,FALSE),"")</calculatedColumnFormula>
    </tableColumn>
  </tableColumns>
  <tableStyleInfo name="TableStyleMedium3" showFirstColumn="0" showLastColumn="0" showRowStripes="1" showColumnStripes="0"/>
</table>
</file>

<file path=xl/tables/table12.xml><?xml version="1.0" encoding="utf-8"?>
<table xmlns="http://schemas.openxmlformats.org/spreadsheetml/2006/main" id="2" name="Tabelle2" displayName="Tabelle2" ref="I1:L25" totalsRowShown="0">
  <autoFilter ref="I1:L25"/>
  <tableColumns count="4">
    <tableColumn id="1" name="System"/>
    <tableColumn id="2" name="."/>
    <tableColumn id="3" name="System_2" dataDxfId="49"/>
    <tableColumn id="4" name="System_3" dataDxfId="48">
      <calculatedColumnFormula>IF(Tabelle2[[#This Row],[System]]&lt;&gt;"",VLOOKUP(Tabelle2[[#This Row],[System]],parent_children[[parent]:[children]],2,0))</calculatedColumnFormula>
    </tableColumn>
  </tableColumns>
  <tableStyleInfo name="TableStyleMedium3" showFirstColumn="0" showLastColumn="0" showRowStripes="1" showColumnStripes="0"/>
</table>
</file>

<file path=xl/tables/table13.xml><?xml version="1.0" encoding="utf-8"?>
<table xmlns="http://schemas.openxmlformats.org/spreadsheetml/2006/main" id="16" name="parent_children_2" displayName="parent_children_2" ref="E1:G207" tableType="queryTable" totalsRowShown="0" headerRowDxfId="47" dataDxfId="46">
  <autoFilter ref="E1:G207"/>
  <tableColumns count="3">
    <tableColumn id="4" uniqueName="4" name="parent_children_id" queryTableFieldId="1" dataDxfId="45"/>
    <tableColumn id="5" uniqueName="5" name="parent_id" queryTableFieldId="2" dataDxfId="44"/>
    <tableColumn id="6" uniqueName="6" name="children_id" queryTableFieldId="3" dataDxfId="43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id="1" name="Leer" displayName="Leer" ref="C3:C8" totalsRowShown="0">
  <autoFilter ref="C3:C8"/>
  <tableColumns count="1">
    <tableColumn id="1" name="Leerstellen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9" name="changes" displayName="changes" ref="A1:G11" tableType="queryTable" totalsRowShown="0">
  <autoFilter ref="A1:G11"/>
  <tableColumns count="7">
    <tableColumn id="35" uniqueName="35" name="changes_id" queryTableFieldId="1" dataDxfId="42"/>
    <tableColumn id="36" uniqueName="36" name="old_description" queryTableFieldId="2" dataDxfId="41"/>
    <tableColumn id="37" uniqueName="37" name="new_description" queryTableFieldId="3" dataDxfId="40"/>
    <tableColumn id="38" uniqueName="38" name="language_id" queryTableFieldId="4" dataDxfId="39"/>
    <tableColumn id="39" uniqueName="39" name="old_abbreviation" queryTableFieldId="5" dataDxfId="38"/>
    <tableColumn id="40" uniqueName="40" name="new_abbreviation" queryTableFieldId="6" dataDxfId="37"/>
    <tableColumn id="41" uniqueName="41" name="comment" queryTableFieldId="7" dataDxfId="36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id="4" name="Main" displayName="Main" ref="A1:AE1000" totalsRowShown="0">
  <autoFilter ref="A1:AE1000"/>
  <tableColumns count="31">
    <tableColumn id="1" name="System" dataDxfId="35">
      <calculatedColumnFormula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calculatedColumnFormula>
    </tableColumn>
    <tableColumn id="3" name="Subsystem" dataDxfId="34">
      <calculatedColumnFormula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calculatedColumnFormula>
    </tableColumn>
    <tableColumn id="30" name="Subsubsystem" dataDxfId="33">
      <calculatedColumnFormula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calculatedColumnFormula>
    </tableColumn>
    <tableColumn id="53" name="Medium" dataDxfId="32">
      <calculatedColumnFormula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calculatedColumnFormula>
    </tableColumn>
    <tableColumn id="29" name="Medium 2nd specification" dataDxfId="31">
      <calculatedColumnFormula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calculatedColumnFormula>
    </tableColumn>
    <tableColumn id="28" name="Medium 3rd specification" dataDxfId="30">
      <calculatedColumnFormula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calculatedColumnFormula>
    </tableColumn>
    <tableColumn id="4" name="Signal type" dataDxfId="29">
      <calculatedColumnFormula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calculatedColumnFormula>
    </tableColumn>
    <tableColumn id="2" name="Signal type 2nd specification" dataDxfId="28">
      <calculatedColumnFormula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calculatedColumnFormula>
    </tableColumn>
    <tableColumn id="5" name="Function type" dataDxfId="27">
      <calculatedColumnFormula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calculatedColumnFormula>
    </tableColumn>
    <tableColumn id="6" name="boiler" dataDxfId="26">
      <calculatedColumnFormula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calculatedColumnFormula>
    </tableColumn>
    <tableColumn id="7" name="chiller" dataDxfId="25">
      <calculatedColumnFormula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calculatedColumnFormula>
    </tableColumn>
    <tableColumn id="8" name="storage" dataDxfId="24">
      <calculatedColumnFormula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calculatedColumnFormula>
    </tableColumn>
    <tableColumn id="9" name="distributor" dataDxfId="23">
      <calculatedColumnFormula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calculatedColumnFormula>
    </tableColumn>
    <tableColumn id="10" name="sub-distributor" dataDxfId="22">
      <calculatedColumnFormula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calculatedColumnFormula>
    </tableColumn>
    <tableColumn id="11" name="distribution system" dataDxfId="21">
      <calculatedColumnFormula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calculatedColumnFormula>
    </tableColumn>
    <tableColumn id="12" name="sub-distribution system" dataDxfId="20">
      <calculatedColumnFormula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calculatedColumnFormula>
    </tableColumn>
    <tableColumn id="13" name="heat pump" dataDxfId="19">
      <calculatedColumnFormula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calculatedColumnFormula>
    </tableColumn>
    <tableColumn id="14" name="valve" dataDxfId="18">
      <calculatedColumnFormula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calculatedColumnFormula>
    </tableColumn>
    <tableColumn id="15" name="flap" dataDxfId="17">
      <calculatedColumnFormula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calculatedColumnFormula>
    </tableColumn>
    <tableColumn id="16" name="sensor" dataDxfId="16">
      <calculatedColumnFormula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calculatedColumnFormula>
    </tableColumn>
    <tableColumn id="17" name="switches" dataDxfId="15">
      <calculatedColumnFormula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calculatedColumnFormula>
    </tableColumn>
    <tableColumn id="18" name="water" dataDxfId="14">
      <calculatedColumnFormula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calculatedColumnFormula>
    </tableColumn>
    <tableColumn id="19" name="air" dataDxfId="13">
      <calculatedColumnFormula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calculatedColumnFormula>
    </tableColumn>
    <tableColumn id="20" name="filter" dataDxfId="12">
      <calculatedColumnFormula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calculatedColumnFormula>
    </tableColumn>
    <tableColumn id="21" name="ventilator" dataDxfId="11">
      <calculatedColumnFormula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calculatedColumnFormula>
    </tableColumn>
    <tableColumn id="22" name="gas" dataDxfId="10">
      <calculatedColumnFormula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calculatedColumnFormula>
    </tableColumn>
    <tableColumn id="23" name="measured value" dataDxfId="9">
      <calculatedColumnFormula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calculatedColumnFormula>
    </tableColumn>
    <tableColumn id="24" name="positioning command" dataDxfId="8">
      <calculatedColumnFormula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calculatedColumnFormula>
    </tableColumn>
    <tableColumn id="25" name="switching command" dataDxfId="7">
      <calculatedColumnFormula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calculatedColumnFormula>
    </tableColumn>
    <tableColumn id="26" name="status message" dataDxfId="6">
      <calculatedColumnFormula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calculatedColumnFormula>
    </tableColumn>
    <tableColumn id="27" name="malfunction" dataDxfId="5">
      <calculatedColumnFormula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table" Target="../tables/table1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>
    <outlinePr summaryRight="0"/>
  </sheetPr>
  <dimension ref="A1:CN1006"/>
  <sheetViews>
    <sheetView tabSelected="1" workbookViewId="0">
      <pane xSplit="2" ySplit="3" topLeftCell="C870" activePane="bottomRight" state="frozen"/>
      <selection pane="topRight" activeCell="C1" sqref="C1"/>
      <selection pane="bottomLeft" activeCell="A4" sqref="A4"/>
      <selection pane="bottomRight" activeCell="E872" sqref="E872"/>
    </sheetView>
  </sheetViews>
  <sheetFormatPr baseColWidth="10" defaultRowHeight="15" outlineLevelCol="2" x14ac:dyDescent="0.25"/>
  <cols>
    <col min="1" max="1" width="49.7109375" style="10" customWidth="1"/>
    <col min="2" max="2" width="30.42578125" style="10" customWidth="1"/>
    <col min="3" max="3" width="20.28515625" style="10" customWidth="1" outlineLevel="1"/>
    <col min="4" max="4" width="9.140625" style="11" customWidth="1" outlineLevel="1"/>
    <col min="5" max="5" width="11.85546875" style="10" customWidth="1" outlineLevel="1"/>
    <col min="6" max="6" width="9.140625" style="11" customWidth="1" outlineLevel="1"/>
    <col min="7" max="7" width="14.42578125" style="10" customWidth="1" outlineLevel="1"/>
    <col min="8" max="8" width="9.140625" style="11" customWidth="1" outlineLevel="1"/>
    <col min="9" max="9" width="13.7109375" style="10" customWidth="1" outlineLevel="1"/>
    <col min="10" max="10" width="9.140625" style="11" customWidth="1" outlineLevel="1"/>
    <col min="11" max="11" width="16" style="10" customWidth="1" outlineLevel="1"/>
    <col min="12" max="12" width="9.140625" style="11" customWidth="1" outlineLevel="1"/>
    <col min="13" max="13" width="2.7109375" style="49" customWidth="1" collapsed="1"/>
    <col min="14" max="14" width="20.7109375" style="12" customWidth="1" collapsed="1"/>
    <col min="15" max="15" width="2.42578125" style="15" hidden="1" customWidth="1" outlineLevel="1"/>
    <col min="16" max="16" width="11.5703125" style="13" customWidth="1" collapsed="1"/>
    <col min="17" max="17" width="3.140625" style="15" hidden="1" customWidth="1" outlineLevel="1"/>
    <col min="18" max="18" width="11.42578125" style="11" customWidth="1" collapsed="1"/>
    <col min="19" max="19" width="2.28515625" style="49" customWidth="1"/>
    <col min="20" max="20" width="20.7109375" style="10" customWidth="1" collapsed="1"/>
    <col min="21" max="21" width="2.42578125" style="50" hidden="1" customWidth="1" outlineLevel="1"/>
    <col min="22" max="22" width="11.42578125" style="15" customWidth="1" collapsed="1"/>
    <col min="23" max="23" width="3.5703125" style="15" hidden="1" customWidth="1" outlineLevel="1"/>
    <col min="24" max="24" width="11.42578125" style="11" customWidth="1" collapsed="1"/>
    <col min="25" max="25" width="2.28515625" style="49" customWidth="1"/>
    <col min="26" max="26" width="20.7109375" style="10" customWidth="1" collapsed="1"/>
    <col min="27" max="27" width="2.42578125" style="50" hidden="1" customWidth="1" outlineLevel="1"/>
    <col min="28" max="28" width="11.42578125" style="15" customWidth="1" collapsed="1"/>
    <col min="29" max="29" width="3.5703125" style="15" hidden="1" customWidth="1" outlineLevel="1"/>
    <col min="30" max="30" width="11.42578125" style="11" customWidth="1" collapsed="1"/>
    <col min="31" max="31" width="2.28515625" style="49" customWidth="1"/>
    <col min="32" max="32" width="20.7109375" style="16" customWidth="1" collapsed="1"/>
    <col min="33" max="33" width="3.5703125" style="50" hidden="1" customWidth="1" outlineLevel="1"/>
    <col min="34" max="34" width="11.42578125" style="15" customWidth="1" collapsed="1"/>
    <col min="35" max="35" width="2.140625" style="13" hidden="1" customWidth="1" outlineLevel="1"/>
    <col min="36" max="36" width="11.28515625" style="15" customWidth="1" collapsed="1"/>
    <col min="37" max="37" width="2.28515625" style="15" hidden="1" customWidth="1" outlineLevel="1"/>
    <col min="38" max="38" width="11.42578125" style="15" customWidth="1" collapsed="1"/>
    <col min="39" max="39" width="2.28515625" style="15" hidden="1" customWidth="1" outlineLevel="1"/>
    <col min="40" max="40" width="22.28515625" style="11" bestFit="1" customWidth="1" collapsed="1"/>
    <col min="41" max="41" width="2.28515625" style="49" customWidth="1"/>
    <col min="42" max="42" width="20.7109375" style="16" customWidth="1" collapsed="1"/>
    <col min="43" max="43" width="2.7109375" style="50" hidden="1" customWidth="1" outlineLevel="1"/>
    <col min="44" max="44" width="11.28515625" style="15" customWidth="1" collapsed="1"/>
    <col min="45" max="45" width="2.28515625" style="51" hidden="1" customWidth="1" outlineLevel="1"/>
    <col min="46" max="46" width="11.28515625" style="15" customWidth="1" collapsed="1"/>
    <col min="47" max="47" width="2.28515625" style="49" customWidth="1"/>
    <col min="48" max="48" width="16.85546875" style="10" customWidth="1"/>
    <col min="49" max="49" width="2.28515625" style="49" customWidth="1" collapsed="1"/>
    <col min="50" max="50" width="17.140625" style="10" hidden="1" customWidth="1" outlineLevel="1"/>
    <col min="51" max="51" width="9.140625" style="11" hidden="1" customWidth="1" outlineLevel="1"/>
    <col min="52" max="52" width="11.85546875" style="10" hidden="1" customWidth="1" outlineLevel="1"/>
    <col min="53" max="53" width="9.140625" style="11" hidden="1" customWidth="1" outlineLevel="1"/>
    <col min="54" max="54" width="11.85546875" style="10" hidden="1" customWidth="1" outlineLevel="1"/>
    <col min="55" max="55" width="9.140625" style="11" hidden="1" customWidth="1" outlineLevel="1"/>
    <col min="56" max="56" width="11.85546875" style="10" hidden="1" customWidth="1" outlineLevel="1"/>
    <col min="57" max="57" width="9.140625" style="11" hidden="1" customWidth="1" outlineLevel="1"/>
    <col min="58" max="58" width="11.85546875" style="10" hidden="1" customWidth="1" outlineLevel="1"/>
    <col min="59" max="59" width="9.140625" style="11" hidden="1" customWidth="1" outlineLevel="1"/>
    <col min="60" max="60" width="2.7109375" style="14" hidden="1" customWidth="1" outlineLevel="1" collapsed="1"/>
    <col min="61" max="65" width="5.85546875" style="21" hidden="1" customWidth="1" outlineLevel="2"/>
    <col min="66" max="66" width="24" style="21" hidden="1" customWidth="1" outlineLevel="2"/>
    <col min="67" max="88" width="5.85546875" style="21" hidden="1" customWidth="1" outlineLevel="2"/>
    <col min="89" max="90" width="5.7109375" style="21" hidden="1" customWidth="1" outlineLevel="2"/>
    <col min="91" max="91" width="2.7109375" style="14" hidden="1" customWidth="1" outlineLevel="1"/>
    <col min="92" max="92" width="56.140625" style="57" customWidth="1"/>
    <col min="93" max="16384" width="11.42578125" style="2"/>
  </cols>
  <sheetData>
    <row r="1" spans="1:92" s="6" customFormat="1" ht="22.5" thickTop="1" thickBot="1" x14ac:dyDescent="0.4">
      <c r="A1" s="53" t="str">
        <f>INDEX(translation[],1,MATCH(Language1,translation[#Headers],0))</f>
        <v>Alter Datenpunktschlüssel</v>
      </c>
      <c r="B1" s="53" t="str">
        <f>INDEX(translation[],2,MATCH(Language1,translation[#Headers],0))</f>
        <v>Beschreibung</v>
      </c>
      <c r="C1" s="30" t="str">
        <f>INDEX(translation[],3,MATCH(Language1,translation[#Headers],0))</f>
        <v>Freie Kategorien</v>
      </c>
      <c r="D1" s="31"/>
      <c r="E1" s="32"/>
      <c r="F1" s="31"/>
      <c r="G1" s="32"/>
      <c r="H1" s="31"/>
      <c r="I1" s="32"/>
      <c r="J1" s="31"/>
      <c r="K1" s="32"/>
      <c r="L1" s="31"/>
      <c r="M1" s="33" t="s">
        <v>44</v>
      </c>
      <c r="N1" s="34" t="str">
        <f>INDEX(translation[],4,MATCH(Language1,translation[#Headers],0))</f>
        <v>System</v>
      </c>
      <c r="O1" s="35" t="s">
        <v>26</v>
      </c>
      <c r="P1" s="31" t="str">
        <f>INDEX(translation[],5,MATCH(Language1,translation[#Headers],0))</f>
        <v>Spezifizierung</v>
      </c>
      <c r="Q1" s="36" t="s">
        <v>43</v>
      </c>
      <c r="R1" s="31" t="str">
        <f>INDEX(translation[],6,MATCH(Language1,translation[#Headers],0))</f>
        <v>Bezeichnung</v>
      </c>
      <c r="S1" s="33" t="s">
        <v>44</v>
      </c>
      <c r="T1" s="37" t="str">
        <f>INDEX(translation[],7,MATCH(Language1,translation[#Headers],0))</f>
        <v>Subsystem</v>
      </c>
      <c r="U1" s="35" t="s">
        <v>26</v>
      </c>
      <c r="V1" s="31" t="str">
        <f>INDEX(translation[],5,MATCH(Language1,translation[#Headers],0))</f>
        <v>Spezifizierung</v>
      </c>
      <c r="W1" s="36" t="s">
        <v>43</v>
      </c>
      <c r="X1" s="31" t="str">
        <f>INDEX(translation[],6,MATCH(Language1,translation[#Headers],0))</f>
        <v>Bezeichnung</v>
      </c>
      <c r="Y1" s="38" t="s">
        <v>44</v>
      </c>
      <c r="Z1" s="37" t="str">
        <f>INDEX(translation[],8,MATCH(Language1,translation[#Headers],0))</f>
        <v>Subsubsystem</v>
      </c>
      <c r="AA1" s="35" t="s">
        <v>26</v>
      </c>
      <c r="AB1" s="31" t="str">
        <f>INDEX(translation[],5,MATCH(Language1,translation[#Headers],0))</f>
        <v>Spezifizierung</v>
      </c>
      <c r="AC1" s="36" t="s">
        <v>43</v>
      </c>
      <c r="AD1" s="31" t="str">
        <f>INDEX(translation[],6,MATCH(Language1,translation[#Headers],0))</f>
        <v>Bezeichnung</v>
      </c>
      <c r="AE1" s="38" t="s">
        <v>44</v>
      </c>
      <c r="AF1" s="37" t="str">
        <f>INDEX(translation[],9,MATCH(Language1,translation[#Headers],0))</f>
        <v>Medium/Position</v>
      </c>
      <c r="AG1" s="35" t="s">
        <v>26</v>
      </c>
      <c r="AH1" s="31" t="str">
        <f>INDEX(translation[],5,MATCH(Language1,translation[#Headers],0))</f>
        <v>Spezifizierung</v>
      </c>
      <c r="AI1" s="39" t="s">
        <v>26</v>
      </c>
      <c r="AJ1" s="31" t="str">
        <f>INDEX(translation[],5,MATCH(Language1,translation[#Headers],0))</f>
        <v>Spezifizierung</v>
      </c>
      <c r="AK1" s="33" t="s">
        <v>26</v>
      </c>
      <c r="AL1" s="31" t="str">
        <f>INDEX(translation[],5,MATCH(Language1,translation[#Headers],0))</f>
        <v>Spezifizierung</v>
      </c>
      <c r="AM1" s="35" t="s">
        <v>43</v>
      </c>
      <c r="AN1" s="31" t="str">
        <f>INDEX(translation[],6,MATCH(Language1,translation[#Headers],0))</f>
        <v>Bezeichnung</v>
      </c>
      <c r="AO1" s="38" t="s">
        <v>44</v>
      </c>
      <c r="AP1" s="37" t="str">
        <f>INDEX(translation[],10,MATCH(Language1,translation[#Headers],0))</f>
        <v>Signaltyp</v>
      </c>
      <c r="AQ1" s="35" t="s">
        <v>26</v>
      </c>
      <c r="AR1" s="31" t="str">
        <f>INDEX(translation[],5,MATCH(Language1,translation[#Headers],0))</f>
        <v>Spezifizierung</v>
      </c>
      <c r="AS1" s="35" t="s">
        <v>26</v>
      </c>
      <c r="AT1" s="31" t="str">
        <f>INDEX(translation[],5,MATCH(Language1,translation[#Headers],0))</f>
        <v>Spezifizierung</v>
      </c>
      <c r="AU1" s="38" t="s">
        <v>44</v>
      </c>
      <c r="AV1" s="37" t="str">
        <f>INDEX(translation[],11,MATCH(Language1,translation[#Headers],0))</f>
        <v>Funktionsart</v>
      </c>
      <c r="AW1" s="40"/>
      <c r="AX1" s="30" t="str">
        <f>INDEX(translation[],3,MATCH(Language1,translation[#Headers],0))</f>
        <v>Freie Kategorien</v>
      </c>
      <c r="AY1" s="31"/>
      <c r="AZ1" s="32"/>
      <c r="BA1" s="31"/>
      <c r="BB1" s="32"/>
      <c r="BC1" s="31"/>
      <c r="BD1" s="32"/>
      <c r="BE1" s="31"/>
      <c r="BF1" s="32"/>
      <c r="BG1" s="31"/>
      <c r="BH1" s="20"/>
      <c r="BI1" s="17" t="str">
        <f>INDEX(translation[],17,MATCH(Language1,translation[#Headers],0))</f>
        <v>Kürzel Freie Kategorie 1</v>
      </c>
      <c r="BJ1" s="17" t="str">
        <f>INDEX(translation[],18,MATCH(Language1,translation[#Headers],0))</f>
        <v>Kürzel Freie Kategorie 2</v>
      </c>
      <c r="BK1" s="17" t="str">
        <f>INDEX(translation[],19,MATCH(Language1,translation[#Headers],0))</f>
        <v>Kürzel Freie Kategorie 3</v>
      </c>
      <c r="BL1" s="17" t="str">
        <f>INDEX(translation[],20,MATCH(Language1,translation[#Headers],0))</f>
        <v>Kürzel Freie Kategorie 4</v>
      </c>
      <c r="BM1" s="17" t="str">
        <f>INDEX(translation[],21,MATCH(Language1,translation[#Headers],0))</f>
        <v>Kürzel Freie Kategorie 5</v>
      </c>
      <c r="BN1" s="24" t="str">
        <f>INDEX(translation[],22,MATCH(Language1,translation[#Headers],0))</f>
        <v>BUDO vor</v>
      </c>
      <c r="BO1" s="17" t="str">
        <f>INDEX(translation[],4,MATCH(Language1,translation[#Headers],0))</f>
        <v>System</v>
      </c>
      <c r="BP1" s="17" t="str">
        <f>INDEX(translation[],23,MATCH(Language1,translation[#Headers],0))</f>
        <v>System Spezifizierung</v>
      </c>
      <c r="BQ1" s="17" t="str">
        <f>INDEX(translation[],7,MATCH(Language1,translation[#Headers],0))</f>
        <v>Subsystem</v>
      </c>
      <c r="BR1" s="17" t="str">
        <f>INDEX(translation[],24,MATCH(Language1,translation[#Headers],0))</f>
        <v>Subsystem Spezifizierung</v>
      </c>
      <c r="BS1" s="17" t="str">
        <f>INDEX(translation[],8,MATCH(Language1,translation[#Headers],0))</f>
        <v>Subsubsystem</v>
      </c>
      <c r="BT1" s="17" t="str">
        <f>INDEX(translation[],25,MATCH(Language1,translation[#Headers],0))</f>
        <v>Subsubsystem Spezifizierung</v>
      </c>
      <c r="BU1" s="24" t="str">
        <f>INDEX(translation[],26,MATCH(Language1,translation[#Headers],0))</f>
        <v>BUDO System</v>
      </c>
      <c r="BV1" s="17" t="str">
        <f>INDEX(translation[],9,MATCH(Language1,translation[#Headers],0))</f>
        <v>Medium/Position</v>
      </c>
      <c r="BW1" s="17" t="str">
        <f>INDEX(translation[],28,MATCH(Language1,translation[#Headers],0))</f>
        <v>Medium/Position Spezifizierung 1</v>
      </c>
      <c r="BX1" s="17" t="str">
        <f>INDEX(translation[],29,MATCH(Language1,translation[#Headers],0))</f>
        <v>Medium/Position Spezifizierung 2</v>
      </c>
      <c r="BY1" s="17" t="str">
        <f>INDEX(translation[],30,MATCH(Language1,translation[#Headers],0))</f>
        <v>Medium/Position Spezifizierung 3</v>
      </c>
      <c r="BZ1" s="24" t="str">
        <f>INDEX(translation[],31,MATCH(Language1,translation[#Headers],0))</f>
        <v>BUDO Medium/Position</v>
      </c>
      <c r="CA1" s="17" t="str">
        <f>INDEX(translation[],10,MATCH(Language1,translation[#Headers],0))</f>
        <v>Signaltyp</v>
      </c>
      <c r="CB1" s="17" t="str">
        <f>INDEX(translation[],32,MATCH(Language1,translation[#Headers],0))</f>
        <v>Signaltyp Spezifizierung 1</v>
      </c>
      <c r="CC1" s="17" t="str">
        <f>INDEX(translation[],33,MATCH(Language1,translation[#Headers],0))</f>
        <v>Signaltyp Spezifizierung 2</v>
      </c>
      <c r="CD1" s="17" t="str">
        <f>INDEX(translation[],11,MATCH(Language1,translation[#Headers],0))</f>
        <v>Funktionsart</v>
      </c>
      <c r="CE1" s="24" t="str">
        <f>INDEX(translation[],34,MATCH(Language1,translation[#Headers],0))</f>
        <v>BUDO Typ</v>
      </c>
      <c r="CF1" s="17" t="str">
        <f>INDEX(translation[],35,MATCH(Language1,translation[#Headers],0))</f>
        <v>Kürzel Freie Kategorie 6</v>
      </c>
      <c r="CG1" s="17" t="str">
        <f>INDEX(translation[],36,MATCH(Language1,translation[#Headers],0))</f>
        <v>Kürzel Freie Kategorie 7</v>
      </c>
      <c r="CH1" s="17" t="str">
        <f>INDEX(translation[],37,MATCH(Language1,translation[#Headers],0))</f>
        <v>Kürzel Freie Kategorie 8</v>
      </c>
      <c r="CI1" s="17" t="str">
        <f>INDEX(translation[],38,MATCH(Language1,translation[#Headers],0))</f>
        <v>Kürzel Freie Kategorie 9</v>
      </c>
      <c r="CJ1" s="17" t="str">
        <f>INDEX(translation[],39,MATCH(Language1,translation[#Headers],0))</f>
        <v>Kürzel Freie Kategorie 10</v>
      </c>
      <c r="CK1" s="24" t="str">
        <f>INDEX(translation[],40,MATCH(Language1,translation[#Headers],0))</f>
        <v>BUDO nach</v>
      </c>
      <c r="CL1" s="24" t="str">
        <f>INDEX(translation[],13,MATCH(Language1,translation[#Headers],0))</f>
        <v>Neuer BUDO Schlüssel</v>
      </c>
      <c r="CM1" s="20"/>
      <c r="CN1" s="55" t="str">
        <f>INDEX(translation[],13,MATCH(Language1,translation[#Headers],0))</f>
        <v>Neuer BUDO Schlüssel</v>
      </c>
    </row>
    <row r="2" spans="1:92" s="7" customFormat="1" ht="34.5" customHeight="1" thickTop="1" x14ac:dyDescent="0.25">
      <c r="A2" s="47"/>
      <c r="B2" s="47"/>
      <c r="C2" s="41" t="str">
        <f>INDEX(translation[],12,MATCH(Language1,translation[#Headers],0))</f>
        <v>Freie Kategorie</v>
      </c>
      <c r="D2" s="42" t="str">
        <f>INDEX(translation[],6,MATCH(Language1,translation[#Headers],0))</f>
        <v>Bezeichnung</v>
      </c>
      <c r="E2" s="41" t="str">
        <f>INDEX(translation[],12,MATCH(Language1,translation[#Headers],0))</f>
        <v>Freie Kategorie</v>
      </c>
      <c r="F2" s="42" t="str">
        <f>INDEX(translation[],6,MATCH(Language1,translation[#Headers],0))</f>
        <v>Bezeichnung</v>
      </c>
      <c r="G2" s="41" t="str">
        <f>INDEX(translation[],12,MATCH(Language1,translation[#Headers],0))</f>
        <v>Freie Kategorie</v>
      </c>
      <c r="H2" s="42" t="str">
        <f>INDEX(translation[],6,MATCH(Language1,translation[#Headers],0))</f>
        <v>Bezeichnung</v>
      </c>
      <c r="I2" s="41" t="str">
        <f>INDEX(translation[],12,MATCH(Language1,translation[#Headers],0))</f>
        <v>Freie Kategorie</v>
      </c>
      <c r="J2" s="42" t="str">
        <f>INDEX(translation[],6,MATCH(Language1,translation[#Headers],0))</f>
        <v>Bezeichnung</v>
      </c>
      <c r="K2" s="41" t="str">
        <f>INDEX(translation[],12,MATCH(Language1,translation[#Headers],0))</f>
        <v>Freie Kategorie</v>
      </c>
      <c r="L2" s="42" t="str">
        <f>INDEX(translation[],6,MATCH(Language1,translation[#Headers],0))</f>
        <v>Bezeichnung</v>
      </c>
      <c r="M2" s="43"/>
      <c r="N2" s="44"/>
      <c r="O2" s="45"/>
      <c r="P2" s="46"/>
      <c r="Q2" s="47"/>
      <c r="R2" s="45"/>
      <c r="S2" s="43"/>
      <c r="T2" s="48"/>
      <c r="U2" s="46"/>
      <c r="V2" s="45"/>
      <c r="W2" s="45"/>
      <c r="X2" s="45"/>
      <c r="Y2" s="43"/>
      <c r="Z2" s="48"/>
      <c r="AA2" s="46"/>
      <c r="AB2" s="45"/>
      <c r="AC2" s="45"/>
      <c r="AD2" s="45"/>
      <c r="AE2" s="43"/>
      <c r="AF2" s="48"/>
      <c r="AG2" s="46"/>
      <c r="AH2" s="45"/>
      <c r="AI2" s="46"/>
      <c r="AJ2" s="45"/>
      <c r="AK2" s="45"/>
      <c r="AL2" s="45"/>
      <c r="AM2" s="45"/>
      <c r="AN2" s="45"/>
      <c r="AO2" s="43"/>
      <c r="AP2" s="48"/>
      <c r="AQ2" s="46"/>
      <c r="AR2" s="45"/>
      <c r="AS2" s="45"/>
      <c r="AT2" s="45"/>
      <c r="AU2" s="43"/>
      <c r="AV2" s="48"/>
      <c r="AW2" s="41"/>
      <c r="AX2" s="41" t="str">
        <f>INDEX(translation[],12,MATCH(Language1,translation[#Headers],0))</f>
        <v>Freie Kategorie</v>
      </c>
      <c r="AY2" s="42" t="str">
        <f>INDEX(translation[],6,MATCH(Language1,translation[#Headers],0))</f>
        <v>Bezeichnung</v>
      </c>
      <c r="AZ2" s="41" t="str">
        <f>INDEX(translation[],12,MATCH(Language1,translation[#Headers],0))</f>
        <v>Freie Kategorie</v>
      </c>
      <c r="BA2" s="42" t="str">
        <f>INDEX(translation[],6,MATCH(Language1,translation[#Headers],0))</f>
        <v>Bezeichnung</v>
      </c>
      <c r="BB2" s="41" t="str">
        <f>INDEX(translation[],12,MATCH(Language1,translation[#Headers],0))</f>
        <v>Freie Kategorie</v>
      </c>
      <c r="BC2" s="42" t="str">
        <f>INDEX(translation[],6,MATCH(Language1,translation[#Headers],0))</f>
        <v>Bezeichnung</v>
      </c>
      <c r="BD2" s="41" t="str">
        <f>INDEX(translation[],12,MATCH(Language1,translation[#Headers],0))</f>
        <v>Freie Kategorie</v>
      </c>
      <c r="BE2" s="42" t="str">
        <f>INDEX(translation[],6,MATCH(Language1,translation[#Headers],0))</f>
        <v>Bezeichnung</v>
      </c>
      <c r="BF2" s="41" t="str">
        <f>INDEX(translation[],12,MATCH(Language1,translation[#Headers],0))</f>
        <v>Freie Kategorie</v>
      </c>
      <c r="BG2" s="42" t="str">
        <f>INDEX(translation[],6,MATCH(Language1,translation[#Headers],0))</f>
        <v>Bezeichnung</v>
      </c>
      <c r="BH2" s="25" t="s">
        <v>547</v>
      </c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9"/>
      <c r="CN2" s="56"/>
    </row>
    <row r="3" spans="1:92" s="21" customFormat="1" hidden="1" x14ac:dyDescent="0.25">
      <c r="A3" s="10"/>
      <c r="B3" s="10"/>
      <c r="C3" s="10"/>
      <c r="D3" s="11"/>
      <c r="E3" s="10"/>
      <c r="F3" s="11"/>
      <c r="G3" s="10"/>
      <c r="H3" s="11"/>
      <c r="I3" s="10"/>
      <c r="J3" s="11"/>
      <c r="K3" s="10"/>
      <c r="L3" s="11"/>
      <c r="M3" s="49"/>
      <c r="N3" s="12"/>
      <c r="O3" s="15"/>
      <c r="P3" s="13"/>
      <c r="Q3" s="13"/>
      <c r="R3" s="11"/>
      <c r="S3" s="49"/>
      <c r="T3" s="10"/>
      <c r="U3" s="50"/>
      <c r="V3" s="15"/>
      <c r="W3" s="15"/>
      <c r="X3" s="11"/>
      <c r="Y3" s="49"/>
      <c r="Z3" s="10"/>
      <c r="AA3" s="50"/>
      <c r="AB3" s="15"/>
      <c r="AC3" s="15"/>
      <c r="AD3" s="11"/>
      <c r="AE3" s="49"/>
      <c r="AF3" s="16"/>
      <c r="AG3" s="50"/>
      <c r="AH3" s="15"/>
      <c r="AI3" s="13"/>
      <c r="AJ3" s="15"/>
      <c r="AK3" s="15"/>
      <c r="AL3" s="15"/>
      <c r="AM3" s="15"/>
      <c r="AN3" s="54"/>
      <c r="AO3" s="49"/>
      <c r="AP3" s="16"/>
      <c r="AQ3" s="50"/>
      <c r="AR3" s="15"/>
      <c r="AS3" s="15"/>
      <c r="AT3" s="15"/>
      <c r="AU3" s="49"/>
      <c r="AV3" s="10"/>
      <c r="AW3" s="49"/>
      <c r="AX3" s="10"/>
      <c r="AY3" s="11"/>
      <c r="AZ3" s="10"/>
      <c r="BA3" s="11"/>
      <c r="BB3" s="10"/>
      <c r="BC3" s="11"/>
      <c r="BD3" s="10"/>
      <c r="BE3" s="11"/>
      <c r="BF3" s="10"/>
      <c r="BG3" s="11"/>
      <c r="BH3" s="52"/>
      <c r="BI3" s="21" t="str">
        <f ca="1">IFERROR(VLOOKUP(C3,OFFSET(abbreviation[],0,ColumnLanguage),ColumnAbbreviation,FALSE),"")</f>
        <v/>
      </c>
      <c r="BJ3" s="21" t="str">
        <f ca="1">IFERROR(VLOOKUP(E3,OFFSET(abbreviation[],0,ColumnLanguage),ColumnAbbreviation,FALSE),"")</f>
        <v/>
      </c>
      <c r="BK3" s="21" t="str">
        <f ca="1">IFERROR(VLOOKUP(G3,OFFSET(abbreviation[],0,ColumnLanguage),ColumnAbbreviation,FALSE),"")</f>
        <v/>
      </c>
      <c r="BL3" s="21" t="str">
        <f ca="1">IFERROR(VLOOKUP(I3,OFFSET(abbreviation[],0,ColumnLanguage),ColumnAbbreviation,FALSE),"")</f>
        <v/>
      </c>
      <c r="BM3" s="21" t="str">
        <f ca="1">IFERROR(VLOOKUP(K3,OFFSET(abbreviation[],0,ColumnLanguage),ColumnAbbreviation,FALSE),"")</f>
        <v/>
      </c>
      <c r="BN3" s="21" t="str">
        <f ca="1">(BI3&amp;IF(OR(ISNUMBER(D3),ISTEXT(D3)),"-"&amp;D3,))&amp;(IF(ISTEXT(E3),"_",)&amp;BJ3&amp;IF(OR(ISNUMBER(F3),ISTEXT(F3)),"-"&amp;F3,))&amp;(IF(ISTEXT(G3),"_",)&amp;BK3&amp;IF(OR(ISNUMBER(H3),ISTEXT(H3)),"-"&amp;H3,))&amp;(IF(ISTEXT(I3),"_",)&amp;BL3&amp;IF(OR(ISNUMBER(J3),ISTEXT(J3)),"-"&amp;J3,))&amp;(IF(ISTEXT(K3),"_",)&amp;BM3&amp;IF(OR(ISNUMBER(L3),ISTEXT(L3)),"-"&amp;L3,)&amp;IF(AND(ISTEXT(BI3),BI3&lt;&gt;""),"_._",))</f>
        <v/>
      </c>
      <c r="BO3" s="21" t="str">
        <f ca="1">IFERROR(VLOOKUP(N3,OFFSET(abbreviation[],0,ColumnLanguage),ColumnAbbreviation,FALSE),"")</f>
        <v/>
      </c>
      <c r="BP3" s="21" t="str">
        <f ca="1">IFERROR(VLOOKUP(P3,OFFSET(abbreviation[],0,ColumnLanguage),ColumnAbbreviation,FALSE),"")</f>
        <v/>
      </c>
      <c r="BQ3" s="21" t="str">
        <f ca="1">IFERROR(VLOOKUP(T3,OFFSET(abbreviation[],0,ColumnLanguage),ColumnAbbreviation,FALSE),"")</f>
        <v/>
      </c>
      <c r="BR3" s="21" t="str">
        <f ca="1">IFERROR(VLOOKUP(V3,OFFSET(abbreviation[],0,ColumnLanguage),ColumnAbbreviation,FALSE),"")</f>
        <v/>
      </c>
      <c r="BS3" s="21" t="str">
        <f ca="1">IFERROR(VLOOKUP(Z3,OFFSET(abbreviation[],0,ColumnLanguage),ColumnAbbreviation,FALSE),"")</f>
        <v/>
      </c>
      <c r="BT3" s="21" t="str">
        <f ca="1">IFERROR(VLOOKUP(AB3,OFFSET(abbreviation[],0,ColumnLanguage),ColumnAbbreviation,FALSE),"")</f>
        <v/>
      </c>
      <c r="BU3" s="21" t="str">
        <f ca="1">(BO3&amp;IF(ISTEXT(P3),"."&amp;BP3,)&amp;IF(OR(ISTEXT(R3),ISNUMBER(R3)),"-"&amp;R3,))&amp;("_"&amp;BQ3&amp;IF(ISTEXT(V3),"."&amp;BR3,)&amp;IF(OR(ISTEXT(X3),ISNUMBER(X3)),"-"&amp;X3,))&amp;("_"&amp;BS3&amp;IF(ISTEXT(AB3),"."&amp;BT3,)&amp;IF(OR(ISTEXT(AD3),ISNUMBER(AD3)),"-"&amp;AD3,))</f>
        <v>__</v>
      </c>
      <c r="BV3" s="21" t="str">
        <f ca="1">IFERROR(VLOOKUP(AF3,OFFSET(abbreviation[],0,ColumnLanguage),ColumnAbbreviation,FALSE),"")</f>
        <v/>
      </c>
      <c r="BW3" s="21" t="str">
        <f ca="1">IFERROR(VLOOKUP(AH3,OFFSET(abbreviation[],0,ColumnLanguage),ColumnAbbreviation,FALSE),"")</f>
        <v/>
      </c>
      <c r="BX3" s="21" t="str">
        <f ca="1">IFERROR(VLOOKUP(AJ3,OFFSET(abbreviation[],0,ColumnLanguage),ColumnAbbreviation,FALSE),"")</f>
        <v/>
      </c>
      <c r="BY3" s="21" t="str">
        <f ca="1">IFERROR(VLOOKUP(AL3,OFFSET(abbreviation[],0,ColumnLanguage),ColumnAbbreviation,FALSE),"")</f>
        <v/>
      </c>
      <c r="BZ3" s="21" t="str">
        <f ca="1">("_"&amp;BV3&amp;IF(ISTEXT(AH3),"."&amp;BW3,)&amp;IF(ISTEXT(AJ3),"."&amp;BX3,)&amp;IF(ISTEXT(AL3),"."&amp;BY3,)&amp;IF(OR(ISTEXT(AN3),ISNUMBER(AN3)),"-"&amp;AN3,))</f>
        <v>_</v>
      </c>
      <c r="CA3" s="21" t="str">
        <f ca="1">IFERROR(VLOOKUP(AP3,OFFSET(abbreviation[],0,ColumnLanguage),ColumnAbbreviation,FALSE),"")</f>
        <v/>
      </c>
      <c r="CB3" s="21" t="str">
        <f ca="1">IFERROR(VLOOKUP(AR3,OFFSET(abbreviation[],0,ColumnLanguage),ColumnAbbreviation,FALSE),"")</f>
        <v/>
      </c>
      <c r="CC3" s="21" t="str">
        <f ca="1">IFERROR(VLOOKUP(AT3,OFFSET(abbreviation[],0,ColumnLanguage),ColumnAbbreviation,FALSE),"")</f>
        <v/>
      </c>
      <c r="CD3" s="21" t="str">
        <f ca="1">IFERROR(VLOOKUP(AV3,OFFSET(abbreviation[],0,ColumnLanguage),ColumnAbbreviation,FALSE),"")</f>
        <v/>
      </c>
      <c r="CE3" s="21" t="str">
        <f ca="1">("_"&amp;CA3&amp;IF(ISTEXT(AR3),"."&amp;CB3,)&amp;IF(ISTEXT(AT3),"."&amp;CC3,))&amp;"_"&amp;CD3</f>
        <v>__</v>
      </c>
      <c r="CF3" s="21" t="str">
        <f ca="1">IFERROR(VLOOKUP(AX3,OFFSET(abbreviation[],0,ColumnLanguage),ColumnAbbreviation,FALSE),"")</f>
        <v/>
      </c>
      <c r="CG3" s="21" t="str">
        <f ca="1">IFERROR(VLOOKUP(AZ3,OFFSET(abbreviation[],0,ColumnLanguage),ColumnAbbreviation,FALSE),"")</f>
        <v/>
      </c>
      <c r="CH3" s="21" t="str">
        <f ca="1">IFERROR(VLOOKUP(BB3,OFFSET(abbreviation[],0,ColumnLanguage),ColumnAbbreviation,FALSE),"")</f>
        <v/>
      </c>
      <c r="CI3" s="21" t="str">
        <f ca="1">IFERROR(VLOOKUP(BD3,OFFSET(abbreviation[],0,ColumnLanguage),ColumnAbbreviation,FALSE),"")</f>
        <v/>
      </c>
      <c r="CJ3" s="21" t="str">
        <f ca="1">IFERROR(VLOOKUP(BF3,OFFSET(abbreviation[],0,ColumnLanguage),ColumnAbbreviation,FALSE),"")</f>
        <v/>
      </c>
      <c r="CK3" s="21" t="str">
        <f ca="1">(IF(ISTEXT(AX3),"_._",""))&amp;(IF(ISTEXT(AX3),"_",)&amp;CF3&amp;IF(OR(ISNUMBER(AY3),ISTEXT(AY3)),"-"&amp;AY3,))&amp;(IF(ISTEXT(AZ3),"_",)&amp;CG3&amp;IF(OR(ISNUMBER(BA3),ISTEXT(BA3)),"-"&amp;BA3,))&amp;(IF(ISTEXT(BB3),"_",)&amp;CH3&amp;IF(OR(ISNUMBER(BC3),ISTEXT(BC3)),"-"&amp;BC3,))&amp;(IF(ISTEXT(BD3),"_",)&amp;CI3&amp;IF(OR(ISNUMBER(BE3),ISTEXT(BE3)),"-"&amp;BE3,))&amp;(IF(ISTEXT(BF3),"_",)&amp;CJ3&amp;IF(OR(ISNUMBER(BG3),ISTEXT(BG3)),"-"&amp;BG3,))</f>
        <v/>
      </c>
      <c r="CL3" s="21" t="str">
        <f>IF(OR(N3&lt;&gt;"",T3&lt;&gt;"",C3&lt;&gt;"",A3&lt;&gt;""),(BN3&amp;BU3&amp;BZ3&amp;CE3&amp;CK3),"")</f>
        <v/>
      </c>
      <c r="CM3" s="52"/>
      <c r="CN3" s="57" t="str">
        <f>CL3</f>
        <v/>
      </c>
    </row>
    <row r="4" spans="1:92" x14ac:dyDescent="0.25">
      <c r="P4" s="60"/>
      <c r="Q4" s="13"/>
      <c r="V4" s="60"/>
      <c r="X4" s="61"/>
      <c r="AB4" s="60"/>
      <c r="AN4" s="54"/>
      <c r="AS4" s="15"/>
      <c r="BH4" s="52"/>
      <c r="BI4" s="21" t="str">
        <f ca="1">IFERROR(VLOOKUP(C4,OFFSET(abbreviation[],0,ColumnLanguage),ColumnAbbreviation,FALSE),"")</f>
        <v/>
      </c>
      <c r="BJ4" s="21" t="str">
        <f ca="1">IFERROR(VLOOKUP(E4,OFFSET(abbreviation[],0,ColumnLanguage),ColumnAbbreviation,FALSE),"")</f>
        <v/>
      </c>
      <c r="BK4" s="21" t="str">
        <f ca="1">IFERROR(VLOOKUP(G4,OFFSET(abbreviation[],0,ColumnLanguage),ColumnAbbreviation,FALSE),"")</f>
        <v/>
      </c>
      <c r="BL4" s="21" t="str">
        <f ca="1">IFERROR(VLOOKUP(I4,OFFSET(abbreviation[],0,ColumnLanguage),ColumnAbbreviation,FALSE),"")</f>
        <v/>
      </c>
      <c r="BM4" s="21" t="str">
        <f ca="1">IFERROR(VLOOKUP(K4,OFFSET(abbreviation[],0,ColumnLanguage),ColumnAbbreviation,FALSE),"")</f>
        <v/>
      </c>
      <c r="BN4" s="21" t="str">
        <f t="shared" ref="BN4:BN67" ca="1" si="0">(BI4&amp;IF(OR(ISNUMBER(D4),ISTEXT(D4)),"-"&amp;D4,))&amp;(IF(ISTEXT(E4),"_",)&amp;BJ4&amp;IF(OR(ISNUMBER(F4),ISTEXT(F4)),"-"&amp;F4,))&amp;(IF(ISTEXT(G4),"_",)&amp;BK4&amp;IF(OR(ISNUMBER(H4),ISTEXT(H4)),"-"&amp;H4,))&amp;(IF(ISTEXT(I4),"_",)&amp;BL4&amp;IF(OR(ISNUMBER(J4),ISTEXT(J4)),"-"&amp;J4,))&amp;(IF(ISTEXT(K4),"_",)&amp;BM4&amp;IF(OR(ISNUMBER(L4),ISTEXT(L4)),"-"&amp;L4,)&amp;IF(AND(ISTEXT(BI4),BI4&lt;&gt;""),"_._",))</f>
        <v/>
      </c>
      <c r="BO4" s="21" t="str">
        <f ca="1">IFERROR(VLOOKUP(N4,OFFSET(abbreviation[],0,ColumnLanguage),ColumnAbbreviation,FALSE),"")</f>
        <v/>
      </c>
      <c r="BP4" s="21" t="str">
        <f ca="1">IFERROR(VLOOKUP(P4,OFFSET(abbreviation[],0,ColumnLanguage),ColumnAbbreviation,FALSE),"")</f>
        <v/>
      </c>
      <c r="BQ4" s="21" t="str">
        <f ca="1">IFERROR(VLOOKUP(T4,OFFSET(abbreviation[],0,ColumnLanguage),ColumnAbbreviation,FALSE),"")</f>
        <v/>
      </c>
      <c r="BR4" s="21" t="str">
        <f ca="1">IFERROR(VLOOKUP(V4,OFFSET(abbreviation[],0,ColumnLanguage),ColumnAbbreviation,FALSE),"")</f>
        <v/>
      </c>
      <c r="BS4" s="21" t="str">
        <f ca="1">IFERROR(VLOOKUP(Z4,OFFSET(abbreviation[],0,ColumnLanguage),ColumnAbbreviation,FALSE),"")</f>
        <v/>
      </c>
      <c r="BT4" s="21" t="str">
        <f ca="1">IFERROR(VLOOKUP(AB4,OFFSET(abbreviation[],0,ColumnLanguage),ColumnAbbreviation,FALSE),"")</f>
        <v/>
      </c>
      <c r="BU4" s="21" t="str">
        <f t="shared" ref="BU4:BU67" ca="1" si="1">(BO4&amp;IF(ISTEXT(P4),"."&amp;BP4,)&amp;IF(OR(ISTEXT(R4),ISNUMBER(R4)),"-"&amp;R4,))&amp;("_"&amp;BQ4&amp;IF(ISTEXT(V4),"."&amp;BR4,)&amp;IF(OR(ISTEXT(X4),ISNUMBER(X4)),"-"&amp;X4,))&amp;("_"&amp;BS4&amp;IF(ISTEXT(AB4),"."&amp;BT4,)&amp;IF(OR(ISTEXT(AD4),ISNUMBER(AD4)),"-"&amp;AD4,))</f>
        <v>__</v>
      </c>
      <c r="BV4" s="21" t="str">
        <f ca="1">IFERROR(VLOOKUP(AF4,OFFSET(abbreviation[],0,ColumnLanguage),ColumnAbbreviation,FALSE),"")</f>
        <v/>
      </c>
      <c r="BW4" s="21" t="str">
        <f ca="1">IFERROR(VLOOKUP(AH4,OFFSET(abbreviation[],0,ColumnLanguage),ColumnAbbreviation,FALSE),"")</f>
        <v/>
      </c>
      <c r="BX4" s="21" t="str">
        <f ca="1">IFERROR(VLOOKUP(AJ4,OFFSET(abbreviation[],0,ColumnLanguage),ColumnAbbreviation,FALSE),"")</f>
        <v/>
      </c>
      <c r="BY4" s="21" t="str">
        <f ca="1">IFERROR(VLOOKUP(AL4,OFFSET(abbreviation[],0,ColumnLanguage),ColumnAbbreviation,FALSE),"")</f>
        <v/>
      </c>
      <c r="BZ4" s="21" t="str">
        <f t="shared" ref="BZ4:BZ67" ca="1" si="2">("_"&amp;BV4&amp;IF(ISTEXT(AH4),"."&amp;BW4,)&amp;IF(ISTEXT(AJ4),"."&amp;BX4,)&amp;IF(ISTEXT(AL4),"."&amp;BY4,)&amp;IF(OR(ISTEXT(AN4),ISNUMBER(AN4)),"-"&amp;AN4,))</f>
        <v>_</v>
      </c>
      <c r="CA4" s="21" t="str">
        <f ca="1">IFERROR(VLOOKUP(AP4,OFFSET(abbreviation[],0,ColumnLanguage),ColumnAbbreviation,FALSE),"")</f>
        <v/>
      </c>
      <c r="CB4" s="21" t="str">
        <f ca="1">IFERROR(VLOOKUP(AR4,OFFSET(abbreviation[],0,ColumnLanguage),ColumnAbbreviation,FALSE),"")</f>
        <v/>
      </c>
      <c r="CC4" s="21" t="str">
        <f ca="1">IFERROR(VLOOKUP(AT4,OFFSET(abbreviation[],0,ColumnLanguage),ColumnAbbreviation,FALSE),"")</f>
        <v/>
      </c>
      <c r="CD4" s="21" t="str">
        <f ca="1">IFERROR(VLOOKUP(AV4,OFFSET(abbreviation[],0,ColumnLanguage),ColumnAbbreviation,FALSE),"")</f>
        <v/>
      </c>
      <c r="CE4" s="21" t="str">
        <f t="shared" ref="CE4:CE67" ca="1" si="3">("_"&amp;CA4&amp;IF(ISTEXT(AR4),"."&amp;CB4,)&amp;IF(ISTEXT(AT4),"."&amp;CC4,))&amp;"_"&amp;CD4</f>
        <v>__</v>
      </c>
      <c r="CF4" s="21" t="str">
        <f ca="1">IFERROR(VLOOKUP(AX4,OFFSET(abbreviation[],0,ColumnLanguage),ColumnAbbreviation,FALSE),"")</f>
        <v/>
      </c>
      <c r="CG4" s="21" t="str">
        <f ca="1">IFERROR(VLOOKUP(AZ4,OFFSET(abbreviation[],0,ColumnLanguage),ColumnAbbreviation,FALSE),"")</f>
        <v/>
      </c>
      <c r="CH4" s="21" t="str">
        <f ca="1">IFERROR(VLOOKUP(BB4,OFFSET(abbreviation[],0,ColumnLanguage),ColumnAbbreviation,FALSE),"")</f>
        <v/>
      </c>
      <c r="CI4" s="21" t="str">
        <f ca="1">IFERROR(VLOOKUP(BD4,OFFSET(abbreviation[],0,ColumnLanguage),ColumnAbbreviation,FALSE),"")</f>
        <v/>
      </c>
      <c r="CJ4" s="21" t="str">
        <f ca="1">IFERROR(VLOOKUP(BF4,OFFSET(abbreviation[],0,ColumnLanguage),ColumnAbbreviation,FALSE),"")</f>
        <v/>
      </c>
      <c r="CK4" s="21" t="str">
        <f t="shared" ref="CK4:CK67" ca="1" si="4">(IF(ISTEXT(AX4),"_._",""))&amp;(IF(ISTEXT(AX4),"_",)&amp;CF4&amp;IF(OR(ISNUMBER(AY4),ISTEXT(AY4)),"-"&amp;AY4,))&amp;(IF(ISTEXT(AZ4),"_",)&amp;CG4&amp;IF(OR(ISNUMBER(BA4),ISTEXT(BA4)),"-"&amp;BA4,))&amp;(IF(ISTEXT(BB4),"_",)&amp;CH4&amp;IF(OR(ISNUMBER(BC4),ISTEXT(BC4)),"-"&amp;BC4,))&amp;(IF(ISTEXT(BD4),"_",)&amp;CI4&amp;IF(OR(ISNUMBER(BE4),ISTEXT(BE4)),"-"&amp;BE4,))&amp;(IF(ISTEXT(BF4),"_",)&amp;CJ4&amp;IF(OR(ISNUMBER(BG4),ISTEXT(BG4)),"-"&amp;BG4,))</f>
        <v/>
      </c>
      <c r="CL4" s="21" t="str">
        <f t="shared" ref="CL4:CL67" si="5">IF(OR(N4&lt;&gt;"",T4&lt;&gt;"",C4&lt;&gt;"",A4&lt;&gt;""),(BN4&amp;BU4&amp;BZ4&amp;CE4&amp;CK4),"")</f>
        <v/>
      </c>
      <c r="CM4" s="52"/>
      <c r="CN4" s="57" t="str">
        <f t="shared" ref="CN4:CN67" si="6">CL4</f>
        <v/>
      </c>
    </row>
    <row r="5" spans="1:92" x14ac:dyDescent="0.25">
      <c r="P5" s="60"/>
      <c r="Q5" s="13"/>
      <c r="V5" s="60"/>
      <c r="X5" s="61"/>
      <c r="AB5" s="60"/>
      <c r="AN5" s="54"/>
      <c r="AS5" s="15"/>
      <c r="BH5" s="52"/>
      <c r="BI5" s="21" t="str">
        <f ca="1">IFERROR(VLOOKUP(C5,OFFSET(abbreviation[],0,ColumnLanguage),ColumnAbbreviation,FALSE),"")</f>
        <v/>
      </c>
      <c r="BJ5" s="21" t="str">
        <f ca="1">IFERROR(VLOOKUP(E5,OFFSET(abbreviation[],0,ColumnLanguage),ColumnAbbreviation,FALSE),"")</f>
        <v/>
      </c>
      <c r="BK5" s="21" t="str">
        <f ca="1">IFERROR(VLOOKUP(G5,OFFSET(abbreviation[],0,ColumnLanguage),ColumnAbbreviation,FALSE),"")</f>
        <v/>
      </c>
      <c r="BL5" s="21" t="str">
        <f ca="1">IFERROR(VLOOKUP(I5,OFFSET(abbreviation[],0,ColumnLanguage),ColumnAbbreviation,FALSE),"")</f>
        <v/>
      </c>
      <c r="BM5" s="21" t="str">
        <f ca="1">IFERROR(VLOOKUP(K5,OFFSET(abbreviation[],0,ColumnLanguage),ColumnAbbreviation,FALSE),"")</f>
        <v/>
      </c>
      <c r="BN5" s="21" t="str">
        <f t="shared" ca="1" si="0"/>
        <v/>
      </c>
      <c r="BO5" s="21" t="str">
        <f ca="1">IFERROR(VLOOKUP(N5,OFFSET(abbreviation[],0,ColumnLanguage),ColumnAbbreviation,FALSE),"")</f>
        <v/>
      </c>
      <c r="BP5" s="21" t="str">
        <f ca="1">IFERROR(VLOOKUP(P5,OFFSET(abbreviation[],0,ColumnLanguage),ColumnAbbreviation,FALSE),"")</f>
        <v/>
      </c>
      <c r="BQ5" s="21" t="str">
        <f ca="1">IFERROR(VLOOKUP(T5,OFFSET(abbreviation[],0,ColumnLanguage),ColumnAbbreviation,FALSE),"")</f>
        <v/>
      </c>
      <c r="BR5" s="21" t="str">
        <f ca="1">IFERROR(VLOOKUP(V5,OFFSET(abbreviation[],0,ColumnLanguage),ColumnAbbreviation,FALSE),"")</f>
        <v/>
      </c>
      <c r="BS5" s="21" t="str">
        <f ca="1">IFERROR(VLOOKUP(Z5,OFFSET(abbreviation[],0,ColumnLanguage),ColumnAbbreviation,FALSE),"")</f>
        <v/>
      </c>
      <c r="BT5" s="21" t="str">
        <f ca="1">IFERROR(VLOOKUP(AB5,OFFSET(abbreviation[],0,ColumnLanguage),ColumnAbbreviation,FALSE),"")</f>
        <v/>
      </c>
      <c r="BU5" s="21" t="str">
        <f t="shared" ca="1" si="1"/>
        <v>__</v>
      </c>
      <c r="BV5" s="21" t="str">
        <f ca="1">IFERROR(VLOOKUP(AF5,OFFSET(abbreviation[],0,ColumnLanguage),ColumnAbbreviation,FALSE),"")</f>
        <v/>
      </c>
      <c r="BW5" s="21" t="str">
        <f ca="1">IFERROR(VLOOKUP(AH5,OFFSET(abbreviation[],0,ColumnLanguage),ColumnAbbreviation,FALSE),"")</f>
        <v/>
      </c>
      <c r="BX5" s="21" t="str">
        <f ca="1">IFERROR(VLOOKUP(AJ5,OFFSET(abbreviation[],0,ColumnLanguage),ColumnAbbreviation,FALSE),"")</f>
        <v/>
      </c>
      <c r="BY5" s="21" t="str">
        <f ca="1">IFERROR(VLOOKUP(AL5,OFFSET(abbreviation[],0,ColumnLanguage),ColumnAbbreviation,FALSE),"")</f>
        <v/>
      </c>
      <c r="BZ5" s="21" t="str">
        <f t="shared" ca="1" si="2"/>
        <v>_</v>
      </c>
      <c r="CA5" s="21" t="str">
        <f ca="1">IFERROR(VLOOKUP(AP5,OFFSET(abbreviation[],0,ColumnLanguage),ColumnAbbreviation,FALSE),"")</f>
        <v/>
      </c>
      <c r="CB5" s="21" t="str">
        <f ca="1">IFERROR(VLOOKUP(AR5,OFFSET(abbreviation[],0,ColumnLanguage),ColumnAbbreviation,FALSE),"")</f>
        <v/>
      </c>
      <c r="CC5" s="21" t="str">
        <f ca="1">IFERROR(VLOOKUP(AT5,OFFSET(abbreviation[],0,ColumnLanguage),ColumnAbbreviation,FALSE),"")</f>
        <v/>
      </c>
      <c r="CD5" s="21" t="str">
        <f ca="1">IFERROR(VLOOKUP(AV5,OFFSET(abbreviation[],0,ColumnLanguage),ColumnAbbreviation,FALSE),"")</f>
        <v/>
      </c>
      <c r="CE5" s="21" t="str">
        <f t="shared" ca="1" si="3"/>
        <v>__</v>
      </c>
      <c r="CF5" s="21" t="str">
        <f ca="1">IFERROR(VLOOKUP(AX5,OFFSET(abbreviation[],0,ColumnLanguage),ColumnAbbreviation,FALSE),"")</f>
        <v/>
      </c>
      <c r="CG5" s="21" t="str">
        <f ca="1">IFERROR(VLOOKUP(AZ5,OFFSET(abbreviation[],0,ColumnLanguage),ColumnAbbreviation,FALSE),"")</f>
        <v/>
      </c>
      <c r="CH5" s="21" t="str">
        <f ca="1">IFERROR(VLOOKUP(BB5,OFFSET(abbreviation[],0,ColumnLanguage),ColumnAbbreviation,FALSE),"")</f>
        <v/>
      </c>
      <c r="CI5" s="21" t="str">
        <f ca="1">IFERROR(VLOOKUP(BD5,OFFSET(abbreviation[],0,ColumnLanguage),ColumnAbbreviation,FALSE),"")</f>
        <v/>
      </c>
      <c r="CJ5" s="21" t="str">
        <f ca="1">IFERROR(VLOOKUP(BF5,OFFSET(abbreviation[],0,ColumnLanguage),ColumnAbbreviation,FALSE),"")</f>
        <v/>
      </c>
      <c r="CK5" s="21" t="str">
        <f t="shared" ca="1" si="4"/>
        <v/>
      </c>
      <c r="CL5" s="21" t="str">
        <f t="shared" si="5"/>
        <v/>
      </c>
      <c r="CM5" s="52"/>
      <c r="CN5" s="57" t="str">
        <f t="shared" si="6"/>
        <v/>
      </c>
    </row>
    <row r="6" spans="1:92" x14ac:dyDescent="0.25">
      <c r="P6" s="60"/>
      <c r="Q6" s="13"/>
      <c r="V6" s="60"/>
      <c r="X6" s="61"/>
      <c r="AB6" s="60"/>
      <c r="AN6" s="54"/>
      <c r="AS6" s="15"/>
      <c r="BH6" s="52"/>
      <c r="BI6" s="21" t="str">
        <f ca="1">IFERROR(VLOOKUP(C6,OFFSET(abbreviation[],0,ColumnLanguage),ColumnAbbreviation,FALSE),"")</f>
        <v/>
      </c>
      <c r="BJ6" s="21" t="str">
        <f ca="1">IFERROR(VLOOKUP(E6,OFFSET(abbreviation[],0,ColumnLanguage),ColumnAbbreviation,FALSE),"")</f>
        <v/>
      </c>
      <c r="BK6" s="21" t="str">
        <f ca="1">IFERROR(VLOOKUP(G6,OFFSET(abbreviation[],0,ColumnLanguage),ColumnAbbreviation,FALSE),"")</f>
        <v/>
      </c>
      <c r="BL6" s="21" t="str">
        <f ca="1">IFERROR(VLOOKUP(I6,OFFSET(abbreviation[],0,ColumnLanguage),ColumnAbbreviation,FALSE),"")</f>
        <v/>
      </c>
      <c r="BM6" s="21" t="str">
        <f ca="1">IFERROR(VLOOKUP(K6,OFFSET(abbreviation[],0,ColumnLanguage),ColumnAbbreviation,FALSE),"")</f>
        <v/>
      </c>
      <c r="BN6" s="21" t="str">
        <f t="shared" ca="1" si="0"/>
        <v/>
      </c>
      <c r="BO6" s="21" t="str">
        <f ca="1">IFERROR(VLOOKUP(N6,OFFSET(abbreviation[],0,ColumnLanguage),ColumnAbbreviation,FALSE),"")</f>
        <v/>
      </c>
      <c r="BP6" s="21" t="str">
        <f ca="1">IFERROR(VLOOKUP(P6,OFFSET(abbreviation[],0,ColumnLanguage),ColumnAbbreviation,FALSE),"")</f>
        <v/>
      </c>
      <c r="BQ6" s="21" t="str">
        <f ca="1">IFERROR(VLOOKUP(T6,OFFSET(abbreviation[],0,ColumnLanguage),ColumnAbbreviation,FALSE),"")</f>
        <v/>
      </c>
      <c r="BR6" s="21" t="str">
        <f ca="1">IFERROR(VLOOKUP(V6,OFFSET(abbreviation[],0,ColumnLanguage),ColumnAbbreviation,FALSE),"")</f>
        <v/>
      </c>
      <c r="BS6" s="21" t="str">
        <f ca="1">IFERROR(VLOOKUP(Z6,OFFSET(abbreviation[],0,ColumnLanguage),ColumnAbbreviation,FALSE),"")</f>
        <v/>
      </c>
      <c r="BT6" s="21" t="str">
        <f ca="1">IFERROR(VLOOKUP(AB6,OFFSET(abbreviation[],0,ColumnLanguage),ColumnAbbreviation,FALSE),"")</f>
        <v/>
      </c>
      <c r="BU6" s="21" t="str">
        <f t="shared" ca="1" si="1"/>
        <v>__</v>
      </c>
      <c r="BV6" s="21" t="str">
        <f ca="1">IFERROR(VLOOKUP(AF6,OFFSET(abbreviation[],0,ColumnLanguage),ColumnAbbreviation,FALSE),"")</f>
        <v/>
      </c>
      <c r="BW6" s="21" t="str">
        <f ca="1">IFERROR(VLOOKUP(AH6,OFFSET(abbreviation[],0,ColumnLanguage),ColumnAbbreviation,FALSE),"")</f>
        <v/>
      </c>
      <c r="BX6" s="21" t="str">
        <f ca="1">IFERROR(VLOOKUP(AJ6,OFFSET(abbreviation[],0,ColumnLanguage),ColumnAbbreviation,FALSE),"")</f>
        <v/>
      </c>
      <c r="BY6" s="21" t="str">
        <f ca="1">IFERROR(VLOOKUP(AL6,OFFSET(abbreviation[],0,ColumnLanguage),ColumnAbbreviation,FALSE),"")</f>
        <v/>
      </c>
      <c r="BZ6" s="21" t="str">
        <f t="shared" ca="1" si="2"/>
        <v>_</v>
      </c>
      <c r="CA6" s="21" t="str">
        <f ca="1">IFERROR(VLOOKUP(AP6,OFFSET(abbreviation[],0,ColumnLanguage),ColumnAbbreviation,FALSE),"")</f>
        <v/>
      </c>
      <c r="CB6" s="21" t="str">
        <f ca="1">IFERROR(VLOOKUP(AR6,OFFSET(abbreviation[],0,ColumnLanguage),ColumnAbbreviation,FALSE),"")</f>
        <v/>
      </c>
      <c r="CC6" s="21" t="str">
        <f ca="1">IFERROR(VLOOKUP(AT6,OFFSET(abbreviation[],0,ColumnLanguage),ColumnAbbreviation,FALSE),"")</f>
        <v/>
      </c>
      <c r="CD6" s="21" t="str">
        <f ca="1">IFERROR(VLOOKUP(AV6,OFFSET(abbreviation[],0,ColumnLanguage),ColumnAbbreviation,FALSE),"")</f>
        <v/>
      </c>
      <c r="CE6" s="21" t="str">
        <f t="shared" ca="1" si="3"/>
        <v>__</v>
      </c>
      <c r="CF6" s="21" t="str">
        <f ca="1">IFERROR(VLOOKUP(AX6,OFFSET(abbreviation[],0,ColumnLanguage),ColumnAbbreviation,FALSE),"")</f>
        <v/>
      </c>
      <c r="CG6" s="21" t="str">
        <f ca="1">IFERROR(VLOOKUP(AZ6,OFFSET(abbreviation[],0,ColumnLanguage),ColumnAbbreviation,FALSE),"")</f>
        <v/>
      </c>
      <c r="CH6" s="21" t="str">
        <f ca="1">IFERROR(VLOOKUP(BB6,OFFSET(abbreviation[],0,ColumnLanguage),ColumnAbbreviation,FALSE),"")</f>
        <v/>
      </c>
      <c r="CI6" s="21" t="str">
        <f ca="1">IFERROR(VLOOKUP(BD6,OFFSET(abbreviation[],0,ColumnLanguage),ColumnAbbreviation,FALSE),"")</f>
        <v/>
      </c>
      <c r="CJ6" s="21" t="str">
        <f ca="1">IFERROR(VLOOKUP(BF6,OFFSET(abbreviation[],0,ColumnLanguage),ColumnAbbreviation,FALSE),"")</f>
        <v/>
      </c>
      <c r="CK6" s="21" t="str">
        <f t="shared" ca="1" si="4"/>
        <v/>
      </c>
      <c r="CL6" s="21" t="str">
        <f t="shared" si="5"/>
        <v/>
      </c>
      <c r="CM6" s="52"/>
      <c r="CN6" s="57" t="str">
        <f t="shared" si="6"/>
        <v/>
      </c>
    </row>
    <row r="7" spans="1:92" x14ac:dyDescent="0.25">
      <c r="P7" s="60"/>
      <c r="Q7" s="13"/>
      <c r="V7" s="60"/>
      <c r="X7" s="61"/>
      <c r="AB7" s="60"/>
      <c r="AN7" s="54"/>
      <c r="AS7" s="15"/>
      <c r="BH7" s="52"/>
      <c r="BI7" s="21" t="str">
        <f ca="1">IFERROR(VLOOKUP(C7,OFFSET(abbreviation[],0,ColumnLanguage),ColumnAbbreviation,FALSE),"")</f>
        <v/>
      </c>
      <c r="BJ7" s="21" t="str">
        <f ca="1">IFERROR(VLOOKUP(E7,OFFSET(abbreviation[],0,ColumnLanguage),ColumnAbbreviation,FALSE),"")</f>
        <v/>
      </c>
      <c r="BK7" s="21" t="str">
        <f ca="1">IFERROR(VLOOKUP(G7,OFFSET(abbreviation[],0,ColumnLanguage),ColumnAbbreviation,FALSE),"")</f>
        <v/>
      </c>
      <c r="BL7" s="21" t="str">
        <f ca="1">IFERROR(VLOOKUP(I7,OFFSET(abbreviation[],0,ColumnLanguage),ColumnAbbreviation,FALSE),"")</f>
        <v/>
      </c>
      <c r="BM7" s="21" t="str">
        <f ca="1">IFERROR(VLOOKUP(K7,OFFSET(abbreviation[],0,ColumnLanguage),ColumnAbbreviation,FALSE),"")</f>
        <v/>
      </c>
      <c r="BN7" s="21" t="str">
        <f t="shared" ca="1" si="0"/>
        <v/>
      </c>
      <c r="BO7" s="21" t="str">
        <f ca="1">IFERROR(VLOOKUP(N7,OFFSET(abbreviation[],0,ColumnLanguage),ColumnAbbreviation,FALSE),"")</f>
        <v/>
      </c>
      <c r="BP7" s="21" t="str">
        <f ca="1">IFERROR(VLOOKUP(P7,OFFSET(abbreviation[],0,ColumnLanguage),ColumnAbbreviation,FALSE),"")</f>
        <v/>
      </c>
      <c r="BQ7" s="21" t="str">
        <f ca="1">IFERROR(VLOOKUP(T7,OFFSET(abbreviation[],0,ColumnLanguage),ColumnAbbreviation,FALSE),"")</f>
        <v/>
      </c>
      <c r="BR7" s="21" t="str">
        <f ca="1">IFERROR(VLOOKUP(V7,OFFSET(abbreviation[],0,ColumnLanguage),ColumnAbbreviation,FALSE),"")</f>
        <v/>
      </c>
      <c r="BS7" s="21" t="str">
        <f ca="1">IFERROR(VLOOKUP(Z7,OFFSET(abbreviation[],0,ColumnLanguage),ColumnAbbreviation,FALSE),"")</f>
        <v/>
      </c>
      <c r="BT7" s="21" t="str">
        <f ca="1">IFERROR(VLOOKUP(AB7,OFFSET(abbreviation[],0,ColumnLanguage),ColumnAbbreviation,FALSE),"")</f>
        <v/>
      </c>
      <c r="BU7" s="21" t="str">
        <f t="shared" ca="1" si="1"/>
        <v>__</v>
      </c>
      <c r="BV7" s="21" t="str">
        <f ca="1">IFERROR(VLOOKUP(AF7,OFFSET(abbreviation[],0,ColumnLanguage),ColumnAbbreviation,FALSE),"")</f>
        <v/>
      </c>
      <c r="BW7" s="21" t="str">
        <f ca="1">IFERROR(VLOOKUP(AH7,OFFSET(abbreviation[],0,ColumnLanguage),ColumnAbbreviation,FALSE),"")</f>
        <v/>
      </c>
      <c r="BX7" s="21" t="str">
        <f ca="1">IFERROR(VLOOKUP(AJ7,OFFSET(abbreviation[],0,ColumnLanguage),ColumnAbbreviation,FALSE),"")</f>
        <v/>
      </c>
      <c r="BY7" s="21" t="str">
        <f ca="1">IFERROR(VLOOKUP(AL7,OFFSET(abbreviation[],0,ColumnLanguage),ColumnAbbreviation,FALSE),"")</f>
        <v/>
      </c>
      <c r="BZ7" s="21" t="str">
        <f t="shared" ca="1" si="2"/>
        <v>_</v>
      </c>
      <c r="CA7" s="21" t="str">
        <f ca="1">IFERROR(VLOOKUP(AP7,OFFSET(abbreviation[],0,ColumnLanguage),ColumnAbbreviation,FALSE),"")</f>
        <v/>
      </c>
      <c r="CB7" s="21" t="str">
        <f ca="1">IFERROR(VLOOKUP(AR7,OFFSET(abbreviation[],0,ColumnLanguage),ColumnAbbreviation,FALSE),"")</f>
        <v/>
      </c>
      <c r="CC7" s="21" t="str">
        <f ca="1">IFERROR(VLOOKUP(AT7,OFFSET(abbreviation[],0,ColumnLanguage),ColumnAbbreviation,FALSE),"")</f>
        <v/>
      </c>
      <c r="CD7" s="21" t="str">
        <f ca="1">IFERROR(VLOOKUP(AV7,OFFSET(abbreviation[],0,ColumnLanguage),ColumnAbbreviation,FALSE),"")</f>
        <v/>
      </c>
      <c r="CE7" s="21" t="str">
        <f t="shared" ca="1" si="3"/>
        <v>__</v>
      </c>
      <c r="CF7" s="21" t="str">
        <f ca="1">IFERROR(VLOOKUP(AX7,OFFSET(abbreviation[],0,ColumnLanguage),ColumnAbbreviation,FALSE),"")</f>
        <v/>
      </c>
      <c r="CG7" s="21" t="str">
        <f ca="1">IFERROR(VLOOKUP(AZ7,OFFSET(abbreviation[],0,ColumnLanguage),ColumnAbbreviation,FALSE),"")</f>
        <v/>
      </c>
      <c r="CH7" s="21" t="str">
        <f ca="1">IFERROR(VLOOKUP(BB7,OFFSET(abbreviation[],0,ColumnLanguage),ColumnAbbreviation,FALSE),"")</f>
        <v/>
      </c>
      <c r="CI7" s="21" t="str">
        <f ca="1">IFERROR(VLOOKUP(BD7,OFFSET(abbreviation[],0,ColumnLanguage),ColumnAbbreviation,FALSE),"")</f>
        <v/>
      </c>
      <c r="CJ7" s="21" t="str">
        <f ca="1">IFERROR(VLOOKUP(BF7,OFFSET(abbreviation[],0,ColumnLanguage),ColumnAbbreviation,FALSE),"")</f>
        <v/>
      </c>
      <c r="CK7" s="21" t="str">
        <f t="shared" ca="1" si="4"/>
        <v/>
      </c>
      <c r="CL7" s="21" t="str">
        <f t="shared" si="5"/>
        <v/>
      </c>
      <c r="CM7" s="52"/>
      <c r="CN7" s="57" t="str">
        <f t="shared" si="6"/>
        <v/>
      </c>
    </row>
    <row r="8" spans="1:92" x14ac:dyDescent="0.25">
      <c r="P8" s="60"/>
      <c r="Q8" s="13"/>
      <c r="V8" s="60"/>
      <c r="X8" s="61"/>
      <c r="AB8" s="60"/>
      <c r="AN8" s="54"/>
      <c r="AS8" s="15"/>
      <c r="BH8" s="52"/>
      <c r="BI8" s="21" t="str">
        <f ca="1">IFERROR(VLOOKUP(C8,OFFSET(abbreviation[],0,ColumnLanguage),ColumnAbbreviation,FALSE),"")</f>
        <v/>
      </c>
      <c r="BJ8" s="21" t="str">
        <f ca="1">IFERROR(VLOOKUP(E8,OFFSET(abbreviation[],0,ColumnLanguage),ColumnAbbreviation,FALSE),"")</f>
        <v/>
      </c>
      <c r="BK8" s="21" t="str">
        <f ca="1">IFERROR(VLOOKUP(G8,OFFSET(abbreviation[],0,ColumnLanguage),ColumnAbbreviation,FALSE),"")</f>
        <v/>
      </c>
      <c r="BL8" s="21" t="str">
        <f ca="1">IFERROR(VLOOKUP(I8,OFFSET(abbreviation[],0,ColumnLanguage),ColumnAbbreviation,FALSE),"")</f>
        <v/>
      </c>
      <c r="BM8" s="21" t="str">
        <f ca="1">IFERROR(VLOOKUP(K8,OFFSET(abbreviation[],0,ColumnLanguage),ColumnAbbreviation,FALSE),"")</f>
        <v/>
      </c>
      <c r="BN8" s="21" t="str">
        <f t="shared" ca="1" si="0"/>
        <v/>
      </c>
      <c r="BO8" s="21" t="str">
        <f ca="1">IFERROR(VLOOKUP(N8,OFFSET(abbreviation[],0,ColumnLanguage),ColumnAbbreviation,FALSE),"")</f>
        <v/>
      </c>
      <c r="BP8" s="21" t="str">
        <f ca="1">IFERROR(VLOOKUP(P8,OFFSET(abbreviation[],0,ColumnLanguage),ColumnAbbreviation,FALSE),"")</f>
        <v/>
      </c>
      <c r="BQ8" s="21" t="str">
        <f ca="1">IFERROR(VLOOKUP(T8,OFFSET(abbreviation[],0,ColumnLanguage),ColumnAbbreviation,FALSE),"")</f>
        <v/>
      </c>
      <c r="BR8" s="21" t="str">
        <f ca="1">IFERROR(VLOOKUP(V8,OFFSET(abbreviation[],0,ColumnLanguage),ColumnAbbreviation,FALSE),"")</f>
        <v/>
      </c>
      <c r="BS8" s="21" t="str">
        <f ca="1">IFERROR(VLOOKUP(Z8,OFFSET(abbreviation[],0,ColumnLanguage),ColumnAbbreviation,FALSE),"")</f>
        <v/>
      </c>
      <c r="BT8" s="21" t="str">
        <f ca="1">IFERROR(VLOOKUP(AB8,OFFSET(abbreviation[],0,ColumnLanguage),ColumnAbbreviation,FALSE),"")</f>
        <v/>
      </c>
      <c r="BU8" s="21" t="str">
        <f t="shared" ca="1" si="1"/>
        <v>__</v>
      </c>
      <c r="BV8" s="21" t="str">
        <f ca="1">IFERROR(VLOOKUP(AF8,OFFSET(abbreviation[],0,ColumnLanguage),ColumnAbbreviation,FALSE),"")</f>
        <v/>
      </c>
      <c r="BW8" s="21" t="str">
        <f ca="1">IFERROR(VLOOKUP(AH8,OFFSET(abbreviation[],0,ColumnLanguage),ColumnAbbreviation,FALSE),"")</f>
        <v/>
      </c>
      <c r="BX8" s="21" t="str">
        <f ca="1">IFERROR(VLOOKUP(AJ8,OFFSET(abbreviation[],0,ColumnLanguage),ColumnAbbreviation,FALSE),"")</f>
        <v/>
      </c>
      <c r="BY8" s="21" t="str">
        <f ca="1">IFERROR(VLOOKUP(AL8,OFFSET(abbreviation[],0,ColumnLanguage),ColumnAbbreviation,FALSE),"")</f>
        <v/>
      </c>
      <c r="BZ8" s="21" t="str">
        <f t="shared" ca="1" si="2"/>
        <v>_</v>
      </c>
      <c r="CA8" s="21" t="str">
        <f ca="1">IFERROR(VLOOKUP(AP8,OFFSET(abbreviation[],0,ColumnLanguage),ColumnAbbreviation,FALSE),"")</f>
        <v/>
      </c>
      <c r="CB8" s="21" t="str">
        <f ca="1">IFERROR(VLOOKUP(AR8,OFFSET(abbreviation[],0,ColumnLanguage),ColumnAbbreviation,FALSE),"")</f>
        <v/>
      </c>
      <c r="CC8" s="21" t="str">
        <f ca="1">IFERROR(VLOOKUP(AT8,OFFSET(abbreviation[],0,ColumnLanguage),ColumnAbbreviation,FALSE),"")</f>
        <v/>
      </c>
      <c r="CD8" s="21" t="str">
        <f ca="1">IFERROR(VLOOKUP(AV8,OFFSET(abbreviation[],0,ColumnLanguage),ColumnAbbreviation,FALSE),"")</f>
        <v/>
      </c>
      <c r="CE8" s="21" t="str">
        <f t="shared" ca="1" si="3"/>
        <v>__</v>
      </c>
      <c r="CF8" s="21" t="str">
        <f ca="1">IFERROR(VLOOKUP(AX8,OFFSET(abbreviation[],0,ColumnLanguage),ColumnAbbreviation,FALSE),"")</f>
        <v/>
      </c>
      <c r="CG8" s="21" t="str">
        <f ca="1">IFERROR(VLOOKUP(AZ8,OFFSET(abbreviation[],0,ColumnLanguage),ColumnAbbreviation,FALSE),"")</f>
        <v/>
      </c>
      <c r="CH8" s="21" t="str">
        <f ca="1">IFERROR(VLOOKUP(BB8,OFFSET(abbreviation[],0,ColumnLanguage),ColumnAbbreviation,FALSE),"")</f>
        <v/>
      </c>
      <c r="CI8" s="21" t="str">
        <f ca="1">IFERROR(VLOOKUP(BD8,OFFSET(abbreviation[],0,ColumnLanguage),ColumnAbbreviation,FALSE),"")</f>
        <v/>
      </c>
      <c r="CJ8" s="21" t="str">
        <f ca="1">IFERROR(VLOOKUP(BF8,OFFSET(abbreviation[],0,ColumnLanguage),ColumnAbbreviation,FALSE),"")</f>
        <v/>
      </c>
      <c r="CK8" s="21" t="str">
        <f t="shared" ca="1" si="4"/>
        <v/>
      </c>
      <c r="CL8" s="21" t="str">
        <f t="shared" si="5"/>
        <v/>
      </c>
      <c r="CM8" s="52"/>
      <c r="CN8" s="57" t="str">
        <f t="shared" si="6"/>
        <v/>
      </c>
    </row>
    <row r="9" spans="1:92" x14ac:dyDescent="0.25">
      <c r="P9" s="60"/>
      <c r="Q9" s="13"/>
      <c r="V9" s="60"/>
      <c r="X9" s="61"/>
      <c r="AB9" s="60"/>
      <c r="AN9" s="54"/>
      <c r="AS9" s="15"/>
      <c r="BH9" s="52"/>
      <c r="BI9" s="21" t="str">
        <f ca="1">IFERROR(VLOOKUP(C9,OFFSET(abbreviation[],0,ColumnLanguage),ColumnAbbreviation,FALSE),"")</f>
        <v/>
      </c>
      <c r="BJ9" s="21" t="str">
        <f ca="1">IFERROR(VLOOKUP(E9,OFFSET(abbreviation[],0,ColumnLanguage),ColumnAbbreviation,FALSE),"")</f>
        <v/>
      </c>
      <c r="BK9" s="21" t="str">
        <f ca="1">IFERROR(VLOOKUP(G9,OFFSET(abbreviation[],0,ColumnLanguage),ColumnAbbreviation,FALSE),"")</f>
        <v/>
      </c>
      <c r="BL9" s="21" t="str">
        <f ca="1">IFERROR(VLOOKUP(I9,OFFSET(abbreviation[],0,ColumnLanguage),ColumnAbbreviation,FALSE),"")</f>
        <v/>
      </c>
      <c r="BM9" s="21" t="str">
        <f ca="1">IFERROR(VLOOKUP(K9,OFFSET(abbreviation[],0,ColumnLanguage),ColumnAbbreviation,FALSE),"")</f>
        <v/>
      </c>
      <c r="BN9" s="21" t="str">
        <f t="shared" ca="1" si="0"/>
        <v/>
      </c>
      <c r="BO9" s="21" t="str">
        <f ca="1">IFERROR(VLOOKUP(N9,OFFSET(abbreviation[],0,ColumnLanguage),ColumnAbbreviation,FALSE),"")</f>
        <v/>
      </c>
      <c r="BP9" s="21" t="str">
        <f ca="1">IFERROR(VLOOKUP(P9,OFFSET(abbreviation[],0,ColumnLanguage),ColumnAbbreviation,FALSE),"")</f>
        <v/>
      </c>
      <c r="BQ9" s="21" t="str">
        <f ca="1">IFERROR(VLOOKUP(T9,OFFSET(abbreviation[],0,ColumnLanguage),ColumnAbbreviation,FALSE),"")</f>
        <v/>
      </c>
      <c r="BR9" s="21" t="str">
        <f ca="1">IFERROR(VLOOKUP(V9,OFFSET(abbreviation[],0,ColumnLanguage),ColumnAbbreviation,FALSE),"")</f>
        <v/>
      </c>
      <c r="BS9" s="21" t="str">
        <f ca="1">IFERROR(VLOOKUP(Z9,OFFSET(abbreviation[],0,ColumnLanguage),ColumnAbbreviation,FALSE),"")</f>
        <v/>
      </c>
      <c r="BT9" s="21" t="str">
        <f ca="1">IFERROR(VLOOKUP(AB9,OFFSET(abbreviation[],0,ColumnLanguage),ColumnAbbreviation,FALSE),"")</f>
        <v/>
      </c>
      <c r="BU9" s="21" t="str">
        <f t="shared" ca="1" si="1"/>
        <v>__</v>
      </c>
      <c r="BV9" s="21" t="str">
        <f ca="1">IFERROR(VLOOKUP(AF9,OFFSET(abbreviation[],0,ColumnLanguage),ColumnAbbreviation,FALSE),"")</f>
        <v/>
      </c>
      <c r="BW9" s="21" t="str">
        <f ca="1">IFERROR(VLOOKUP(AH9,OFFSET(abbreviation[],0,ColumnLanguage),ColumnAbbreviation,FALSE),"")</f>
        <v/>
      </c>
      <c r="BX9" s="21" t="str">
        <f ca="1">IFERROR(VLOOKUP(AJ9,OFFSET(abbreviation[],0,ColumnLanguage),ColumnAbbreviation,FALSE),"")</f>
        <v/>
      </c>
      <c r="BY9" s="21" t="str">
        <f ca="1">IFERROR(VLOOKUP(AL9,OFFSET(abbreviation[],0,ColumnLanguage),ColumnAbbreviation,FALSE),"")</f>
        <v/>
      </c>
      <c r="BZ9" s="21" t="str">
        <f t="shared" ca="1" si="2"/>
        <v>_</v>
      </c>
      <c r="CA9" s="21" t="str">
        <f ca="1">IFERROR(VLOOKUP(AP9,OFFSET(abbreviation[],0,ColumnLanguage),ColumnAbbreviation,FALSE),"")</f>
        <v/>
      </c>
      <c r="CB9" s="21" t="str">
        <f ca="1">IFERROR(VLOOKUP(AR9,OFFSET(abbreviation[],0,ColumnLanguage),ColumnAbbreviation,FALSE),"")</f>
        <v/>
      </c>
      <c r="CC9" s="21" t="str">
        <f ca="1">IFERROR(VLOOKUP(AT9,OFFSET(abbreviation[],0,ColumnLanguage),ColumnAbbreviation,FALSE),"")</f>
        <v/>
      </c>
      <c r="CD9" s="21" t="str">
        <f ca="1">IFERROR(VLOOKUP(AV9,OFFSET(abbreviation[],0,ColumnLanguage),ColumnAbbreviation,FALSE),"")</f>
        <v/>
      </c>
      <c r="CE9" s="21" t="str">
        <f t="shared" ca="1" si="3"/>
        <v>__</v>
      </c>
      <c r="CF9" s="21" t="str">
        <f ca="1">IFERROR(VLOOKUP(AX9,OFFSET(abbreviation[],0,ColumnLanguage),ColumnAbbreviation,FALSE),"")</f>
        <v/>
      </c>
      <c r="CG9" s="21" t="str">
        <f ca="1">IFERROR(VLOOKUP(AZ9,OFFSET(abbreviation[],0,ColumnLanguage),ColumnAbbreviation,FALSE),"")</f>
        <v/>
      </c>
      <c r="CH9" s="21" t="str">
        <f ca="1">IFERROR(VLOOKUP(BB9,OFFSET(abbreviation[],0,ColumnLanguage),ColumnAbbreviation,FALSE),"")</f>
        <v/>
      </c>
      <c r="CI9" s="21" t="str">
        <f ca="1">IFERROR(VLOOKUP(BD9,OFFSET(abbreviation[],0,ColumnLanguage),ColumnAbbreviation,FALSE),"")</f>
        <v/>
      </c>
      <c r="CJ9" s="21" t="str">
        <f ca="1">IFERROR(VLOOKUP(BF9,OFFSET(abbreviation[],0,ColumnLanguage),ColumnAbbreviation,FALSE),"")</f>
        <v/>
      </c>
      <c r="CK9" s="21" t="str">
        <f t="shared" ca="1" si="4"/>
        <v/>
      </c>
      <c r="CL9" s="21" t="str">
        <f t="shared" si="5"/>
        <v/>
      </c>
      <c r="CM9" s="52"/>
      <c r="CN9" s="57" t="str">
        <f t="shared" si="6"/>
        <v/>
      </c>
    </row>
    <row r="10" spans="1:92" x14ac:dyDescent="0.25">
      <c r="P10" s="60"/>
      <c r="Q10" s="13"/>
      <c r="V10" s="60"/>
      <c r="X10" s="61"/>
      <c r="AB10" s="60"/>
      <c r="AN10" s="54"/>
      <c r="AS10" s="15"/>
      <c r="BH10" s="52"/>
      <c r="BI10" s="21" t="str">
        <f ca="1">IFERROR(VLOOKUP(C10,OFFSET(abbreviation[],0,ColumnLanguage),ColumnAbbreviation,FALSE),"")</f>
        <v/>
      </c>
      <c r="BJ10" s="21" t="str">
        <f ca="1">IFERROR(VLOOKUP(E10,OFFSET(abbreviation[],0,ColumnLanguage),ColumnAbbreviation,FALSE),"")</f>
        <v/>
      </c>
      <c r="BK10" s="21" t="str">
        <f ca="1">IFERROR(VLOOKUP(G10,OFFSET(abbreviation[],0,ColumnLanguage),ColumnAbbreviation,FALSE),"")</f>
        <v/>
      </c>
      <c r="BL10" s="21" t="str">
        <f ca="1">IFERROR(VLOOKUP(I10,OFFSET(abbreviation[],0,ColumnLanguage),ColumnAbbreviation,FALSE),"")</f>
        <v/>
      </c>
      <c r="BM10" s="21" t="str">
        <f ca="1">IFERROR(VLOOKUP(K10,OFFSET(abbreviation[],0,ColumnLanguage),ColumnAbbreviation,FALSE),"")</f>
        <v/>
      </c>
      <c r="BN10" s="21" t="str">
        <f t="shared" ca="1" si="0"/>
        <v/>
      </c>
      <c r="BO10" s="21" t="str">
        <f ca="1">IFERROR(VLOOKUP(N10,OFFSET(abbreviation[],0,ColumnLanguage),ColumnAbbreviation,FALSE),"")</f>
        <v/>
      </c>
      <c r="BP10" s="21" t="str">
        <f ca="1">IFERROR(VLOOKUP(P10,OFFSET(abbreviation[],0,ColumnLanguage),ColumnAbbreviation,FALSE),"")</f>
        <v/>
      </c>
      <c r="BQ10" s="21" t="str">
        <f ca="1">IFERROR(VLOOKUP(T10,OFFSET(abbreviation[],0,ColumnLanguage),ColumnAbbreviation,FALSE),"")</f>
        <v/>
      </c>
      <c r="BR10" s="21" t="str">
        <f ca="1">IFERROR(VLOOKUP(V10,OFFSET(abbreviation[],0,ColumnLanguage),ColumnAbbreviation,FALSE),"")</f>
        <v/>
      </c>
      <c r="BS10" s="21" t="str">
        <f ca="1">IFERROR(VLOOKUP(Z10,OFFSET(abbreviation[],0,ColumnLanguage),ColumnAbbreviation,FALSE),"")</f>
        <v/>
      </c>
      <c r="BT10" s="21" t="str">
        <f ca="1">IFERROR(VLOOKUP(AB10,OFFSET(abbreviation[],0,ColumnLanguage),ColumnAbbreviation,FALSE),"")</f>
        <v/>
      </c>
      <c r="BU10" s="21" t="str">
        <f t="shared" ca="1" si="1"/>
        <v>__</v>
      </c>
      <c r="BV10" s="21" t="str">
        <f ca="1">IFERROR(VLOOKUP(AF10,OFFSET(abbreviation[],0,ColumnLanguage),ColumnAbbreviation,FALSE),"")</f>
        <v/>
      </c>
      <c r="BW10" s="21" t="str">
        <f ca="1">IFERROR(VLOOKUP(AH10,OFFSET(abbreviation[],0,ColumnLanguage),ColumnAbbreviation,FALSE),"")</f>
        <v/>
      </c>
      <c r="BX10" s="21" t="str">
        <f ca="1">IFERROR(VLOOKUP(AJ10,OFFSET(abbreviation[],0,ColumnLanguage),ColumnAbbreviation,FALSE),"")</f>
        <v/>
      </c>
      <c r="BY10" s="21" t="str">
        <f ca="1">IFERROR(VLOOKUP(AL10,OFFSET(abbreviation[],0,ColumnLanguage),ColumnAbbreviation,FALSE),"")</f>
        <v/>
      </c>
      <c r="BZ10" s="21" t="str">
        <f t="shared" ca="1" si="2"/>
        <v>_</v>
      </c>
      <c r="CA10" s="21" t="str">
        <f ca="1">IFERROR(VLOOKUP(AP10,OFFSET(abbreviation[],0,ColumnLanguage),ColumnAbbreviation,FALSE),"")</f>
        <v/>
      </c>
      <c r="CB10" s="21" t="str">
        <f ca="1">IFERROR(VLOOKUP(AR10,OFFSET(abbreviation[],0,ColumnLanguage),ColumnAbbreviation,FALSE),"")</f>
        <v/>
      </c>
      <c r="CC10" s="21" t="str">
        <f ca="1">IFERROR(VLOOKUP(AT10,OFFSET(abbreviation[],0,ColumnLanguage),ColumnAbbreviation,FALSE),"")</f>
        <v/>
      </c>
      <c r="CD10" s="21" t="str">
        <f ca="1">IFERROR(VLOOKUP(AV10,OFFSET(abbreviation[],0,ColumnLanguage),ColumnAbbreviation,FALSE),"")</f>
        <v/>
      </c>
      <c r="CE10" s="21" t="str">
        <f t="shared" ca="1" si="3"/>
        <v>__</v>
      </c>
      <c r="CF10" s="21" t="str">
        <f ca="1">IFERROR(VLOOKUP(AX10,OFFSET(abbreviation[],0,ColumnLanguage),ColumnAbbreviation,FALSE),"")</f>
        <v/>
      </c>
      <c r="CG10" s="21" t="str">
        <f ca="1">IFERROR(VLOOKUP(AZ10,OFFSET(abbreviation[],0,ColumnLanguage),ColumnAbbreviation,FALSE),"")</f>
        <v/>
      </c>
      <c r="CH10" s="21" t="str">
        <f ca="1">IFERROR(VLOOKUP(BB10,OFFSET(abbreviation[],0,ColumnLanguage),ColumnAbbreviation,FALSE),"")</f>
        <v/>
      </c>
      <c r="CI10" s="21" t="str">
        <f ca="1">IFERROR(VLOOKUP(BD10,OFFSET(abbreviation[],0,ColumnLanguage),ColumnAbbreviation,FALSE),"")</f>
        <v/>
      </c>
      <c r="CJ10" s="21" t="str">
        <f ca="1">IFERROR(VLOOKUP(BF10,OFFSET(abbreviation[],0,ColumnLanguage),ColumnAbbreviation,FALSE),"")</f>
        <v/>
      </c>
      <c r="CK10" s="21" t="str">
        <f t="shared" ca="1" si="4"/>
        <v/>
      </c>
      <c r="CL10" s="21" t="str">
        <f t="shared" si="5"/>
        <v/>
      </c>
      <c r="CM10" s="52"/>
      <c r="CN10" s="57" t="str">
        <f t="shared" si="6"/>
        <v/>
      </c>
    </row>
    <row r="11" spans="1:92" x14ac:dyDescent="0.25">
      <c r="P11" s="60"/>
      <c r="Q11" s="13"/>
      <c r="V11" s="60"/>
      <c r="X11" s="61"/>
      <c r="AB11" s="60"/>
      <c r="AN11" s="54"/>
      <c r="AS11" s="15"/>
      <c r="BH11" s="52"/>
      <c r="BI11" s="21" t="str">
        <f ca="1">IFERROR(VLOOKUP(C11,OFFSET(abbreviation[],0,ColumnLanguage),ColumnAbbreviation,FALSE),"")</f>
        <v/>
      </c>
      <c r="BJ11" s="21" t="str">
        <f ca="1">IFERROR(VLOOKUP(E11,OFFSET(abbreviation[],0,ColumnLanguage),ColumnAbbreviation,FALSE),"")</f>
        <v/>
      </c>
      <c r="BK11" s="21" t="str">
        <f ca="1">IFERROR(VLOOKUP(G11,OFFSET(abbreviation[],0,ColumnLanguage),ColumnAbbreviation,FALSE),"")</f>
        <v/>
      </c>
      <c r="BL11" s="21" t="str">
        <f ca="1">IFERROR(VLOOKUP(I11,OFFSET(abbreviation[],0,ColumnLanguage),ColumnAbbreviation,FALSE),"")</f>
        <v/>
      </c>
      <c r="BM11" s="21" t="str">
        <f ca="1">IFERROR(VLOOKUP(K11,OFFSET(abbreviation[],0,ColumnLanguage),ColumnAbbreviation,FALSE),"")</f>
        <v/>
      </c>
      <c r="BN11" s="21" t="str">
        <f t="shared" ca="1" si="0"/>
        <v/>
      </c>
      <c r="BO11" s="21" t="str">
        <f ca="1">IFERROR(VLOOKUP(N11,OFFSET(abbreviation[],0,ColumnLanguage),ColumnAbbreviation,FALSE),"")</f>
        <v/>
      </c>
      <c r="BP11" s="21" t="str">
        <f ca="1">IFERROR(VLOOKUP(P11,OFFSET(abbreviation[],0,ColumnLanguage),ColumnAbbreviation,FALSE),"")</f>
        <v/>
      </c>
      <c r="BQ11" s="21" t="str">
        <f ca="1">IFERROR(VLOOKUP(T11,OFFSET(abbreviation[],0,ColumnLanguage),ColumnAbbreviation,FALSE),"")</f>
        <v/>
      </c>
      <c r="BR11" s="21" t="str">
        <f ca="1">IFERROR(VLOOKUP(V11,OFFSET(abbreviation[],0,ColumnLanguage),ColumnAbbreviation,FALSE),"")</f>
        <v/>
      </c>
      <c r="BS11" s="21" t="str">
        <f ca="1">IFERROR(VLOOKUP(Z11,OFFSET(abbreviation[],0,ColumnLanguage),ColumnAbbreviation,FALSE),"")</f>
        <v/>
      </c>
      <c r="BT11" s="21" t="str">
        <f ca="1">IFERROR(VLOOKUP(AB11,OFFSET(abbreviation[],0,ColumnLanguage),ColumnAbbreviation,FALSE),"")</f>
        <v/>
      </c>
      <c r="BU11" s="21" t="str">
        <f t="shared" ca="1" si="1"/>
        <v>__</v>
      </c>
      <c r="BV11" s="21" t="str">
        <f ca="1">IFERROR(VLOOKUP(AF11,OFFSET(abbreviation[],0,ColumnLanguage),ColumnAbbreviation,FALSE),"")</f>
        <v/>
      </c>
      <c r="BW11" s="21" t="str">
        <f ca="1">IFERROR(VLOOKUP(AH11,OFFSET(abbreviation[],0,ColumnLanguage),ColumnAbbreviation,FALSE),"")</f>
        <v/>
      </c>
      <c r="BX11" s="21" t="str">
        <f ca="1">IFERROR(VLOOKUP(AJ11,OFFSET(abbreviation[],0,ColumnLanguage),ColumnAbbreviation,FALSE),"")</f>
        <v/>
      </c>
      <c r="BY11" s="21" t="str">
        <f ca="1">IFERROR(VLOOKUP(AL11,OFFSET(abbreviation[],0,ColumnLanguage),ColumnAbbreviation,FALSE),"")</f>
        <v/>
      </c>
      <c r="BZ11" s="21" t="str">
        <f t="shared" ca="1" si="2"/>
        <v>_</v>
      </c>
      <c r="CA11" s="21" t="str">
        <f ca="1">IFERROR(VLOOKUP(AP11,OFFSET(abbreviation[],0,ColumnLanguage),ColumnAbbreviation,FALSE),"")</f>
        <v/>
      </c>
      <c r="CB11" s="21" t="str">
        <f ca="1">IFERROR(VLOOKUP(AR11,OFFSET(abbreviation[],0,ColumnLanguage),ColumnAbbreviation,FALSE),"")</f>
        <v/>
      </c>
      <c r="CC11" s="21" t="str">
        <f ca="1">IFERROR(VLOOKUP(AT11,OFFSET(abbreviation[],0,ColumnLanguage),ColumnAbbreviation,FALSE),"")</f>
        <v/>
      </c>
      <c r="CD11" s="21" t="str">
        <f ca="1">IFERROR(VLOOKUP(AV11,OFFSET(abbreviation[],0,ColumnLanguage),ColumnAbbreviation,FALSE),"")</f>
        <v/>
      </c>
      <c r="CE11" s="21" t="str">
        <f t="shared" ca="1" si="3"/>
        <v>__</v>
      </c>
      <c r="CF11" s="21" t="str">
        <f ca="1">IFERROR(VLOOKUP(AX11,OFFSET(abbreviation[],0,ColumnLanguage),ColumnAbbreviation,FALSE),"")</f>
        <v/>
      </c>
      <c r="CG11" s="21" t="str">
        <f ca="1">IFERROR(VLOOKUP(AZ11,OFFSET(abbreviation[],0,ColumnLanguage),ColumnAbbreviation,FALSE),"")</f>
        <v/>
      </c>
      <c r="CH11" s="21" t="str">
        <f ca="1">IFERROR(VLOOKUP(BB11,OFFSET(abbreviation[],0,ColumnLanguage),ColumnAbbreviation,FALSE),"")</f>
        <v/>
      </c>
      <c r="CI11" s="21" t="str">
        <f ca="1">IFERROR(VLOOKUP(BD11,OFFSET(abbreviation[],0,ColumnLanguage),ColumnAbbreviation,FALSE),"")</f>
        <v/>
      </c>
      <c r="CJ11" s="21" t="str">
        <f ca="1">IFERROR(VLOOKUP(BF11,OFFSET(abbreviation[],0,ColumnLanguage),ColumnAbbreviation,FALSE),"")</f>
        <v/>
      </c>
      <c r="CK11" s="21" t="str">
        <f t="shared" ca="1" si="4"/>
        <v/>
      </c>
      <c r="CL11" s="21" t="str">
        <f t="shared" si="5"/>
        <v/>
      </c>
      <c r="CM11" s="52"/>
      <c r="CN11" s="57" t="str">
        <f t="shared" si="6"/>
        <v/>
      </c>
    </row>
    <row r="12" spans="1:92" x14ac:dyDescent="0.25">
      <c r="P12" s="60"/>
      <c r="Q12" s="13"/>
      <c r="V12" s="60"/>
      <c r="X12" s="61"/>
      <c r="AB12" s="60"/>
      <c r="AN12" s="54"/>
      <c r="AS12" s="15"/>
      <c r="BH12" s="52"/>
      <c r="BI12" s="21" t="str">
        <f ca="1">IFERROR(VLOOKUP(C12,OFFSET(abbreviation[],0,ColumnLanguage),ColumnAbbreviation,FALSE),"")</f>
        <v/>
      </c>
      <c r="BJ12" s="21" t="str">
        <f ca="1">IFERROR(VLOOKUP(E12,OFFSET(abbreviation[],0,ColumnLanguage),ColumnAbbreviation,FALSE),"")</f>
        <v/>
      </c>
      <c r="BK12" s="21" t="str">
        <f ca="1">IFERROR(VLOOKUP(G12,OFFSET(abbreviation[],0,ColumnLanguage),ColumnAbbreviation,FALSE),"")</f>
        <v/>
      </c>
      <c r="BL12" s="21" t="str">
        <f ca="1">IFERROR(VLOOKUP(I12,OFFSET(abbreviation[],0,ColumnLanguage),ColumnAbbreviation,FALSE),"")</f>
        <v/>
      </c>
      <c r="BM12" s="21" t="str">
        <f ca="1">IFERROR(VLOOKUP(K12,OFFSET(abbreviation[],0,ColumnLanguage),ColumnAbbreviation,FALSE),"")</f>
        <v/>
      </c>
      <c r="BN12" s="21" t="str">
        <f t="shared" ca="1" si="0"/>
        <v/>
      </c>
      <c r="BO12" s="21" t="str">
        <f ca="1">IFERROR(VLOOKUP(N12,OFFSET(abbreviation[],0,ColumnLanguage),ColumnAbbreviation,FALSE),"")</f>
        <v/>
      </c>
      <c r="BP12" s="21" t="str">
        <f ca="1">IFERROR(VLOOKUP(P12,OFFSET(abbreviation[],0,ColumnLanguage),ColumnAbbreviation,FALSE),"")</f>
        <v/>
      </c>
      <c r="BQ12" s="21" t="str">
        <f ca="1">IFERROR(VLOOKUP(T12,OFFSET(abbreviation[],0,ColumnLanguage),ColumnAbbreviation,FALSE),"")</f>
        <v/>
      </c>
      <c r="BR12" s="21" t="str">
        <f ca="1">IFERROR(VLOOKUP(V12,OFFSET(abbreviation[],0,ColumnLanguage),ColumnAbbreviation,FALSE),"")</f>
        <v/>
      </c>
      <c r="BS12" s="21" t="str">
        <f ca="1">IFERROR(VLOOKUP(Z12,OFFSET(abbreviation[],0,ColumnLanguage),ColumnAbbreviation,FALSE),"")</f>
        <v/>
      </c>
      <c r="BT12" s="21" t="str">
        <f ca="1">IFERROR(VLOOKUP(AB12,OFFSET(abbreviation[],0,ColumnLanguage),ColumnAbbreviation,FALSE),"")</f>
        <v/>
      </c>
      <c r="BU12" s="21" t="str">
        <f t="shared" ca="1" si="1"/>
        <v>__</v>
      </c>
      <c r="BV12" s="21" t="str">
        <f ca="1">IFERROR(VLOOKUP(AF12,OFFSET(abbreviation[],0,ColumnLanguage),ColumnAbbreviation,FALSE),"")</f>
        <v/>
      </c>
      <c r="BW12" s="21" t="str">
        <f ca="1">IFERROR(VLOOKUP(AH12,OFFSET(abbreviation[],0,ColumnLanguage),ColumnAbbreviation,FALSE),"")</f>
        <v/>
      </c>
      <c r="BX12" s="21" t="str">
        <f ca="1">IFERROR(VLOOKUP(AJ12,OFFSET(abbreviation[],0,ColumnLanguage),ColumnAbbreviation,FALSE),"")</f>
        <v/>
      </c>
      <c r="BY12" s="21" t="str">
        <f ca="1">IFERROR(VLOOKUP(AL12,OFFSET(abbreviation[],0,ColumnLanguage),ColumnAbbreviation,FALSE),"")</f>
        <v/>
      </c>
      <c r="BZ12" s="21" t="str">
        <f t="shared" ca="1" si="2"/>
        <v>_</v>
      </c>
      <c r="CA12" s="21" t="str">
        <f ca="1">IFERROR(VLOOKUP(AP12,OFFSET(abbreviation[],0,ColumnLanguage),ColumnAbbreviation,FALSE),"")</f>
        <v/>
      </c>
      <c r="CB12" s="21" t="str">
        <f ca="1">IFERROR(VLOOKUP(AR12,OFFSET(abbreviation[],0,ColumnLanguage),ColumnAbbreviation,FALSE),"")</f>
        <v/>
      </c>
      <c r="CC12" s="21" t="str">
        <f ca="1">IFERROR(VLOOKUP(AT12,OFFSET(abbreviation[],0,ColumnLanguage),ColumnAbbreviation,FALSE),"")</f>
        <v/>
      </c>
      <c r="CD12" s="21" t="str">
        <f ca="1">IFERROR(VLOOKUP(AV12,OFFSET(abbreviation[],0,ColumnLanguage),ColumnAbbreviation,FALSE),"")</f>
        <v/>
      </c>
      <c r="CE12" s="21" t="str">
        <f t="shared" ca="1" si="3"/>
        <v>__</v>
      </c>
      <c r="CF12" s="21" t="str">
        <f ca="1">IFERROR(VLOOKUP(AX12,OFFSET(abbreviation[],0,ColumnLanguage),ColumnAbbreviation,FALSE),"")</f>
        <v/>
      </c>
      <c r="CG12" s="21" t="str">
        <f ca="1">IFERROR(VLOOKUP(AZ12,OFFSET(abbreviation[],0,ColumnLanguage),ColumnAbbreviation,FALSE),"")</f>
        <v/>
      </c>
      <c r="CH12" s="21" t="str">
        <f ca="1">IFERROR(VLOOKUP(BB12,OFFSET(abbreviation[],0,ColumnLanguage),ColumnAbbreviation,FALSE),"")</f>
        <v/>
      </c>
      <c r="CI12" s="21" t="str">
        <f ca="1">IFERROR(VLOOKUP(BD12,OFFSET(abbreviation[],0,ColumnLanguage),ColumnAbbreviation,FALSE),"")</f>
        <v/>
      </c>
      <c r="CJ12" s="21" t="str">
        <f ca="1">IFERROR(VLOOKUP(BF12,OFFSET(abbreviation[],0,ColumnLanguage),ColumnAbbreviation,FALSE),"")</f>
        <v/>
      </c>
      <c r="CK12" s="21" t="str">
        <f t="shared" ca="1" si="4"/>
        <v/>
      </c>
      <c r="CL12" s="21" t="str">
        <f t="shared" si="5"/>
        <v/>
      </c>
      <c r="CM12" s="52"/>
      <c r="CN12" s="57" t="str">
        <f t="shared" si="6"/>
        <v/>
      </c>
    </row>
    <row r="13" spans="1:92" x14ac:dyDescent="0.25">
      <c r="P13" s="60"/>
      <c r="Q13" s="13"/>
      <c r="V13" s="60"/>
      <c r="X13" s="61"/>
      <c r="AB13" s="60"/>
      <c r="AN13" s="54"/>
      <c r="AS13" s="15"/>
      <c r="BH13" s="52"/>
      <c r="BI13" s="21" t="str">
        <f ca="1">IFERROR(VLOOKUP(C13,OFFSET(abbreviation[],0,ColumnLanguage),ColumnAbbreviation,FALSE),"")</f>
        <v/>
      </c>
      <c r="BJ13" s="21" t="str">
        <f ca="1">IFERROR(VLOOKUP(E13,OFFSET(abbreviation[],0,ColumnLanguage),ColumnAbbreviation,FALSE),"")</f>
        <v/>
      </c>
      <c r="BK13" s="21" t="str">
        <f ca="1">IFERROR(VLOOKUP(G13,OFFSET(abbreviation[],0,ColumnLanguage),ColumnAbbreviation,FALSE),"")</f>
        <v/>
      </c>
      <c r="BL13" s="21" t="str">
        <f ca="1">IFERROR(VLOOKUP(I13,OFFSET(abbreviation[],0,ColumnLanguage),ColumnAbbreviation,FALSE),"")</f>
        <v/>
      </c>
      <c r="BM13" s="21" t="str">
        <f ca="1">IFERROR(VLOOKUP(K13,OFFSET(abbreviation[],0,ColumnLanguage),ColumnAbbreviation,FALSE),"")</f>
        <v/>
      </c>
      <c r="BN13" s="21" t="str">
        <f t="shared" ca="1" si="0"/>
        <v/>
      </c>
      <c r="BO13" s="21" t="str">
        <f ca="1">IFERROR(VLOOKUP(N13,OFFSET(abbreviation[],0,ColumnLanguage),ColumnAbbreviation,FALSE),"")</f>
        <v/>
      </c>
      <c r="BP13" s="21" t="str">
        <f ca="1">IFERROR(VLOOKUP(P13,OFFSET(abbreviation[],0,ColumnLanguage),ColumnAbbreviation,FALSE),"")</f>
        <v/>
      </c>
      <c r="BQ13" s="21" t="str">
        <f ca="1">IFERROR(VLOOKUP(T13,OFFSET(abbreviation[],0,ColumnLanguage),ColumnAbbreviation,FALSE),"")</f>
        <v/>
      </c>
      <c r="BR13" s="21" t="str">
        <f ca="1">IFERROR(VLOOKUP(V13,OFFSET(abbreviation[],0,ColumnLanguage),ColumnAbbreviation,FALSE),"")</f>
        <v/>
      </c>
      <c r="BS13" s="21" t="str">
        <f ca="1">IFERROR(VLOOKUP(Z13,OFFSET(abbreviation[],0,ColumnLanguage),ColumnAbbreviation,FALSE),"")</f>
        <v/>
      </c>
      <c r="BT13" s="21" t="str">
        <f ca="1">IFERROR(VLOOKUP(AB13,OFFSET(abbreviation[],0,ColumnLanguage),ColumnAbbreviation,FALSE),"")</f>
        <v/>
      </c>
      <c r="BU13" s="21" t="str">
        <f t="shared" ca="1" si="1"/>
        <v>__</v>
      </c>
      <c r="BV13" s="21" t="str">
        <f ca="1">IFERROR(VLOOKUP(AF13,OFFSET(abbreviation[],0,ColumnLanguage),ColumnAbbreviation,FALSE),"")</f>
        <v/>
      </c>
      <c r="BW13" s="21" t="str">
        <f ca="1">IFERROR(VLOOKUP(AH13,OFFSET(abbreviation[],0,ColumnLanguage),ColumnAbbreviation,FALSE),"")</f>
        <v/>
      </c>
      <c r="BX13" s="21" t="str">
        <f ca="1">IFERROR(VLOOKUP(AJ13,OFFSET(abbreviation[],0,ColumnLanguage),ColumnAbbreviation,FALSE),"")</f>
        <v/>
      </c>
      <c r="BY13" s="21" t="str">
        <f ca="1">IFERROR(VLOOKUP(AL13,OFFSET(abbreviation[],0,ColumnLanguage),ColumnAbbreviation,FALSE),"")</f>
        <v/>
      </c>
      <c r="BZ13" s="21" t="str">
        <f t="shared" ca="1" si="2"/>
        <v>_</v>
      </c>
      <c r="CA13" s="21" t="str">
        <f ca="1">IFERROR(VLOOKUP(AP13,OFFSET(abbreviation[],0,ColumnLanguage),ColumnAbbreviation,FALSE),"")</f>
        <v/>
      </c>
      <c r="CB13" s="21" t="str">
        <f ca="1">IFERROR(VLOOKUP(AR13,OFFSET(abbreviation[],0,ColumnLanguage),ColumnAbbreviation,FALSE),"")</f>
        <v/>
      </c>
      <c r="CC13" s="21" t="str">
        <f ca="1">IFERROR(VLOOKUP(AT13,OFFSET(abbreviation[],0,ColumnLanguage),ColumnAbbreviation,FALSE),"")</f>
        <v/>
      </c>
      <c r="CD13" s="21" t="str">
        <f ca="1">IFERROR(VLOOKUP(AV13,OFFSET(abbreviation[],0,ColumnLanguage),ColumnAbbreviation,FALSE),"")</f>
        <v/>
      </c>
      <c r="CE13" s="21" t="str">
        <f t="shared" ca="1" si="3"/>
        <v>__</v>
      </c>
      <c r="CF13" s="21" t="str">
        <f ca="1">IFERROR(VLOOKUP(AX13,OFFSET(abbreviation[],0,ColumnLanguage),ColumnAbbreviation,FALSE),"")</f>
        <v/>
      </c>
      <c r="CG13" s="21" t="str">
        <f ca="1">IFERROR(VLOOKUP(AZ13,OFFSET(abbreviation[],0,ColumnLanguage),ColumnAbbreviation,FALSE),"")</f>
        <v/>
      </c>
      <c r="CH13" s="21" t="str">
        <f ca="1">IFERROR(VLOOKUP(BB13,OFFSET(abbreviation[],0,ColumnLanguage),ColumnAbbreviation,FALSE),"")</f>
        <v/>
      </c>
      <c r="CI13" s="21" t="str">
        <f ca="1">IFERROR(VLOOKUP(BD13,OFFSET(abbreviation[],0,ColumnLanguage),ColumnAbbreviation,FALSE),"")</f>
        <v/>
      </c>
      <c r="CJ13" s="21" t="str">
        <f ca="1">IFERROR(VLOOKUP(BF13,OFFSET(abbreviation[],0,ColumnLanguage),ColumnAbbreviation,FALSE),"")</f>
        <v/>
      </c>
      <c r="CK13" s="21" t="str">
        <f t="shared" ca="1" si="4"/>
        <v/>
      </c>
      <c r="CL13" s="21" t="str">
        <f t="shared" si="5"/>
        <v/>
      </c>
      <c r="CM13" s="52"/>
      <c r="CN13" s="57" t="str">
        <f t="shared" si="6"/>
        <v/>
      </c>
    </row>
    <row r="14" spans="1:92" x14ac:dyDescent="0.25">
      <c r="P14" s="60"/>
      <c r="Q14" s="13"/>
      <c r="V14" s="60"/>
      <c r="X14" s="61"/>
      <c r="AB14" s="60"/>
      <c r="AN14" s="54"/>
      <c r="AS14" s="15"/>
      <c r="BH14" s="52"/>
      <c r="BI14" s="21" t="str">
        <f ca="1">IFERROR(VLOOKUP(C14,OFFSET(abbreviation[],0,ColumnLanguage),ColumnAbbreviation,FALSE),"")</f>
        <v/>
      </c>
      <c r="BJ14" s="21" t="str">
        <f ca="1">IFERROR(VLOOKUP(E14,OFFSET(abbreviation[],0,ColumnLanguage),ColumnAbbreviation,FALSE),"")</f>
        <v/>
      </c>
      <c r="BK14" s="21" t="str">
        <f ca="1">IFERROR(VLOOKUP(G14,OFFSET(abbreviation[],0,ColumnLanguage),ColumnAbbreviation,FALSE),"")</f>
        <v/>
      </c>
      <c r="BL14" s="21" t="str">
        <f ca="1">IFERROR(VLOOKUP(I14,OFFSET(abbreviation[],0,ColumnLanguage),ColumnAbbreviation,FALSE),"")</f>
        <v/>
      </c>
      <c r="BM14" s="21" t="str">
        <f ca="1">IFERROR(VLOOKUP(K14,OFFSET(abbreviation[],0,ColumnLanguage),ColumnAbbreviation,FALSE),"")</f>
        <v/>
      </c>
      <c r="BN14" s="21" t="str">
        <f t="shared" ca="1" si="0"/>
        <v/>
      </c>
      <c r="BO14" s="21" t="str">
        <f ca="1">IFERROR(VLOOKUP(N14,OFFSET(abbreviation[],0,ColumnLanguage),ColumnAbbreviation,FALSE),"")</f>
        <v/>
      </c>
      <c r="BP14" s="21" t="str">
        <f ca="1">IFERROR(VLOOKUP(P14,OFFSET(abbreviation[],0,ColumnLanguage),ColumnAbbreviation,FALSE),"")</f>
        <v/>
      </c>
      <c r="BQ14" s="21" t="str">
        <f ca="1">IFERROR(VLOOKUP(T14,OFFSET(abbreviation[],0,ColumnLanguage),ColumnAbbreviation,FALSE),"")</f>
        <v/>
      </c>
      <c r="BR14" s="21" t="str">
        <f ca="1">IFERROR(VLOOKUP(V14,OFFSET(abbreviation[],0,ColumnLanguage),ColumnAbbreviation,FALSE),"")</f>
        <v/>
      </c>
      <c r="BS14" s="21" t="str">
        <f ca="1">IFERROR(VLOOKUP(Z14,OFFSET(abbreviation[],0,ColumnLanguage),ColumnAbbreviation,FALSE),"")</f>
        <v/>
      </c>
      <c r="BT14" s="21" t="str">
        <f ca="1">IFERROR(VLOOKUP(AB14,OFFSET(abbreviation[],0,ColumnLanguage),ColumnAbbreviation,FALSE),"")</f>
        <v/>
      </c>
      <c r="BU14" s="21" t="str">
        <f t="shared" ca="1" si="1"/>
        <v>__</v>
      </c>
      <c r="BV14" s="21" t="str">
        <f ca="1">IFERROR(VLOOKUP(AF14,OFFSET(abbreviation[],0,ColumnLanguage),ColumnAbbreviation,FALSE),"")</f>
        <v/>
      </c>
      <c r="BW14" s="21" t="str">
        <f ca="1">IFERROR(VLOOKUP(AH14,OFFSET(abbreviation[],0,ColumnLanguage),ColumnAbbreviation,FALSE),"")</f>
        <v/>
      </c>
      <c r="BX14" s="21" t="str">
        <f ca="1">IFERROR(VLOOKUP(AJ14,OFFSET(abbreviation[],0,ColumnLanguage),ColumnAbbreviation,FALSE),"")</f>
        <v/>
      </c>
      <c r="BY14" s="21" t="str">
        <f ca="1">IFERROR(VLOOKUP(AL14,OFFSET(abbreviation[],0,ColumnLanguage),ColumnAbbreviation,FALSE),"")</f>
        <v/>
      </c>
      <c r="BZ14" s="21" t="str">
        <f t="shared" ca="1" si="2"/>
        <v>_</v>
      </c>
      <c r="CA14" s="21" t="str">
        <f ca="1">IFERROR(VLOOKUP(AP14,OFFSET(abbreviation[],0,ColumnLanguage),ColumnAbbreviation,FALSE),"")</f>
        <v/>
      </c>
      <c r="CB14" s="21" t="str">
        <f ca="1">IFERROR(VLOOKUP(AR14,OFFSET(abbreviation[],0,ColumnLanguage),ColumnAbbreviation,FALSE),"")</f>
        <v/>
      </c>
      <c r="CC14" s="21" t="str">
        <f ca="1">IFERROR(VLOOKUP(AT14,OFFSET(abbreviation[],0,ColumnLanguage),ColumnAbbreviation,FALSE),"")</f>
        <v/>
      </c>
      <c r="CD14" s="21" t="str">
        <f ca="1">IFERROR(VLOOKUP(AV14,OFFSET(abbreviation[],0,ColumnLanguage),ColumnAbbreviation,FALSE),"")</f>
        <v/>
      </c>
      <c r="CE14" s="21" t="str">
        <f t="shared" ca="1" si="3"/>
        <v>__</v>
      </c>
      <c r="CF14" s="21" t="str">
        <f ca="1">IFERROR(VLOOKUP(AX14,OFFSET(abbreviation[],0,ColumnLanguage),ColumnAbbreviation,FALSE),"")</f>
        <v/>
      </c>
      <c r="CG14" s="21" t="str">
        <f ca="1">IFERROR(VLOOKUP(AZ14,OFFSET(abbreviation[],0,ColumnLanguage),ColumnAbbreviation,FALSE),"")</f>
        <v/>
      </c>
      <c r="CH14" s="21" t="str">
        <f ca="1">IFERROR(VLOOKUP(BB14,OFFSET(abbreviation[],0,ColumnLanguage),ColumnAbbreviation,FALSE),"")</f>
        <v/>
      </c>
      <c r="CI14" s="21" t="str">
        <f ca="1">IFERROR(VLOOKUP(BD14,OFFSET(abbreviation[],0,ColumnLanguage),ColumnAbbreviation,FALSE),"")</f>
        <v/>
      </c>
      <c r="CJ14" s="21" t="str">
        <f ca="1">IFERROR(VLOOKUP(BF14,OFFSET(abbreviation[],0,ColumnLanguage),ColumnAbbreviation,FALSE),"")</f>
        <v/>
      </c>
      <c r="CK14" s="21" t="str">
        <f t="shared" ca="1" si="4"/>
        <v/>
      </c>
      <c r="CL14" s="21" t="str">
        <f t="shared" si="5"/>
        <v/>
      </c>
      <c r="CM14" s="52"/>
      <c r="CN14" s="57" t="str">
        <f t="shared" si="6"/>
        <v/>
      </c>
    </row>
    <row r="15" spans="1:92" x14ac:dyDescent="0.25">
      <c r="P15" s="60"/>
      <c r="Q15" s="13"/>
      <c r="V15" s="60"/>
      <c r="X15" s="61"/>
      <c r="AB15" s="60"/>
      <c r="AN15" s="54"/>
      <c r="AS15" s="15"/>
      <c r="BH15" s="52"/>
      <c r="BI15" s="21" t="str">
        <f ca="1">IFERROR(VLOOKUP(C15,OFFSET(abbreviation[],0,ColumnLanguage),ColumnAbbreviation,FALSE),"")</f>
        <v/>
      </c>
      <c r="BJ15" s="21" t="str">
        <f ca="1">IFERROR(VLOOKUP(E15,OFFSET(abbreviation[],0,ColumnLanguage),ColumnAbbreviation,FALSE),"")</f>
        <v/>
      </c>
      <c r="BK15" s="21" t="str">
        <f ca="1">IFERROR(VLOOKUP(G15,OFFSET(abbreviation[],0,ColumnLanguage),ColumnAbbreviation,FALSE),"")</f>
        <v/>
      </c>
      <c r="BL15" s="21" t="str">
        <f ca="1">IFERROR(VLOOKUP(I15,OFFSET(abbreviation[],0,ColumnLanguage),ColumnAbbreviation,FALSE),"")</f>
        <v/>
      </c>
      <c r="BM15" s="21" t="str">
        <f ca="1">IFERROR(VLOOKUP(K15,OFFSET(abbreviation[],0,ColumnLanguage),ColumnAbbreviation,FALSE),"")</f>
        <v/>
      </c>
      <c r="BN15" s="21" t="str">
        <f t="shared" ca="1" si="0"/>
        <v/>
      </c>
      <c r="BO15" s="21" t="str">
        <f ca="1">IFERROR(VLOOKUP(N15,OFFSET(abbreviation[],0,ColumnLanguage),ColumnAbbreviation,FALSE),"")</f>
        <v/>
      </c>
      <c r="BP15" s="21" t="str">
        <f ca="1">IFERROR(VLOOKUP(P15,OFFSET(abbreviation[],0,ColumnLanguage),ColumnAbbreviation,FALSE),"")</f>
        <v/>
      </c>
      <c r="BQ15" s="21" t="str">
        <f ca="1">IFERROR(VLOOKUP(T15,OFFSET(abbreviation[],0,ColumnLanguage),ColumnAbbreviation,FALSE),"")</f>
        <v/>
      </c>
      <c r="BR15" s="21" t="str">
        <f ca="1">IFERROR(VLOOKUP(V15,OFFSET(abbreviation[],0,ColumnLanguage),ColumnAbbreviation,FALSE),"")</f>
        <v/>
      </c>
      <c r="BS15" s="21" t="str">
        <f ca="1">IFERROR(VLOOKUP(Z15,OFFSET(abbreviation[],0,ColumnLanguage),ColumnAbbreviation,FALSE),"")</f>
        <v/>
      </c>
      <c r="BT15" s="21" t="str">
        <f ca="1">IFERROR(VLOOKUP(AB15,OFFSET(abbreviation[],0,ColumnLanguage),ColumnAbbreviation,FALSE),"")</f>
        <v/>
      </c>
      <c r="BU15" s="21" t="str">
        <f t="shared" ca="1" si="1"/>
        <v>__</v>
      </c>
      <c r="BV15" s="21" t="str">
        <f ca="1">IFERROR(VLOOKUP(AF15,OFFSET(abbreviation[],0,ColumnLanguage),ColumnAbbreviation,FALSE),"")</f>
        <v/>
      </c>
      <c r="BW15" s="21" t="str">
        <f ca="1">IFERROR(VLOOKUP(AH15,OFFSET(abbreviation[],0,ColumnLanguage),ColumnAbbreviation,FALSE),"")</f>
        <v/>
      </c>
      <c r="BX15" s="21" t="str">
        <f ca="1">IFERROR(VLOOKUP(AJ15,OFFSET(abbreviation[],0,ColumnLanguage),ColumnAbbreviation,FALSE),"")</f>
        <v/>
      </c>
      <c r="BY15" s="21" t="str">
        <f ca="1">IFERROR(VLOOKUP(AL15,OFFSET(abbreviation[],0,ColumnLanguage),ColumnAbbreviation,FALSE),"")</f>
        <v/>
      </c>
      <c r="BZ15" s="21" t="str">
        <f t="shared" ca="1" si="2"/>
        <v>_</v>
      </c>
      <c r="CA15" s="21" t="str">
        <f ca="1">IFERROR(VLOOKUP(AP15,OFFSET(abbreviation[],0,ColumnLanguage),ColumnAbbreviation,FALSE),"")</f>
        <v/>
      </c>
      <c r="CB15" s="21" t="str">
        <f ca="1">IFERROR(VLOOKUP(AR15,OFFSET(abbreviation[],0,ColumnLanguage),ColumnAbbreviation,FALSE),"")</f>
        <v/>
      </c>
      <c r="CC15" s="21" t="str">
        <f ca="1">IFERROR(VLOOKUP(AT15,OFFSET(abbreviation[],0,ColumnLanguage),ColumnAbbreviation,FALSE),"")</f>
        <v/>
      </c>
      <c r="CD15" s="21" t="str">
        <f ca="1">IFERROR(VLOOKUP(AV15,OFFSET(abbreviation[],0,ColumnLanguage),ColumnAbbreviation,FALSE),"")</f>
        <v/>
      </c>
      <c r="CE15" s="21" t="str">
        <f t="shared" ca="1" si="3"/>
        <v>__</v>
      </c>
      <c r="CF15" s="21" t="str">
        <f ca="1">IFERROR(VLOOKUP(AX15,OFFSET(abbreviation[],0,ColumnLanguage),ColumnAbbreviation,FALSE),"")</f>
        <v/>
      </c>
      <c r="CG15" s="21" t="str">
        <f ca="1">IFERROR(VLOOKUP(AZ15,OFFSET(abbreviation[],0,ColumnLanguage),ColumnAbbreviation,FALSE),"")</f>
        <v/>
      </c>
      <c r="CH15" s="21" t="str">
        <f ca="1">IFERROR(VLOOKUP(BB15,OFFSET(abbreviation[],0,ColumnLanguage),ColumnAbbreviation,FALSE),"")</f>
        <v/>
      </c>
      <c r="CI15" s="21" t="str">
        <f ca="1">IFERROR(VLOOKUP(BD15,OFFSET(abbreviation[],0,ColumnLanguage),ColumnAbbreviation,FALSE),"")</f>
        <v/>
      </c>
      <c r="CJ15" s="21" t="str">
        <f ca="1">IFERROR(VLOOKUP(BF15,OFFSET(abbreviation[],0,ColumnLanguage),ColumnAbbreviation,FALSE),"")</f>
        <v/>
      </c>
      <c r="CK15" s="21" t="str">
        <f t="shared" ca="1" si="4"/>
        <v/>
      </c>
      <c r="CL15" s="21" t="str">
        <f t="shared" si="5"/>
        <v/>
      </c>
      <c r="CM15" s="52"/>
      <c r="CN15" s="57" t="str">
        <f t="shared" si="6"/>
        <v/>
      </c>
    </row>
    <row r="16" spans="1:92" x14ac:dyDescent="0.25">
      <c r="P16" s="60"/>
      <c r="Q16" s="13"/>
      <c r="V16" s="60"/>
      <c r="X16" s="61"/>
      <c r="AB16" s="60"/>
      <c r="AN16" s="54"/>
      <c r="AS16" s="15"/>
      <c r="BH16" s="52"/>
      <c r="BI16" s="21" t="str">
        <f ca="1">IFERROR(VLOOKUP(C16,OFFSET(abbreviation[],0,ColumnLanguage),ColumnAbbreviation,FALSE),"")</f>
        <v/>
      </c>
      <c r="BJ16" s="21" t="str">
        <f ca="1">IFERROR(VLOOKUP(E16,OFFSET(abbreviation[],0,ColumnLanguage),ColumnAbbreviation,FALSE),"")</f>
        <v/>
      </c>
      <c r="BK16" s="21" t="str">
        <f ca="1">IFERROR(VLOOKUP(G16,OFFSET(abbreviation[],0,ColumnLanguage),ColumnAbbreviation,FALSE),"")</f>
        <v/>
      </c>
      <c r="BL16" s="21" t="str">
        <f ca="1">IFERROR(VLOOKUP(I16,OFFSET(abbreviation[],0,ColumnLanguage),ColumnAbbreviation,FALSE),"")</f>
        <v/>
      </c>
      <c r="BM16" s="21" t="str">
        <f ca="1">IFERROR(VLOOKUP(K16,OFFSET(abbreviation[],0,ColumnLanguage),ColumnAbbreviation,FALSE),"")</f>
        <v/>
      </c>
      <c r="BN16" s="21" t="str">
        <f t="shared" ca="1" si="0"/>
        <v/>
      </c>
      <c r="BO16" s="21" t="str">
        <f ca="1">IFERROR(VLOOKUP(N16,OFFSET(abbreviation[],0,ColumnLanguage),ColumnAbbreviation,FALSE),"")</f>
        <v/>
      </c>
      <c r="BP16" s="21" t="str">
        <f ca="1">IFERROR(VLOOKUP(P16,OFFSET(abbreviation[],0,ColumnLanguage),ColumnAbbreviation,FALSE),"")</f>
        <v/>
      </c>
      <c r="BQ16" s="21" t="str">
        <f ca="1">IFERROR(VLOOKUP(T16,OFFSET(abbreviation[],0,ColumnLanguage),ColumnAbbreviation,FALSE),"")</f>
        <v/>
      </c>
      <c r="BR16" s="21" t="str">
        <f ca="1">IFERROR(VLOOKUP(V16,OFFSET(abbreviation[],0,ColumnLanguage),ColumnAbbreviation,FALSE),"")</f>
        <v/>
      </c>
      <c r="BS16" s="21" t="str">
        <f ca="1">IFERROR(VLOOKUP(Z16,OFFSET(abbreviation[],0,ColumnLanguage),ColumnAbbreviation,FALSE),"")</f>
        <v/>
      </c>
      <c r="BT16" s="21" t="str">
        <f ca="1">IFERROR(VLOOKUP(AB16,OFFSET(abbreviation[],0,ColumnLanguage),ColumnAbbreviation,FALSE),"")</f>
        <v/>
      </c>
      <c r="BU16" s="21" t="str">
        <f t="shared" ca="1" si="1"/>
        <v>__</v>
      </c>
      <c r="BV16" s="21" t="str">
        <f ca="1">IFERROR(VLOOKUP(AF16,OFFSET(abbreviation[],0,ColumnLanguage),ColumnAbbreviation,FALSE),"")</f>
        <v/>
      </c>
      <c r="BW16" s="21" t="str">
        <f ca="1">IFERROR(VLOOKUP(AH16,OFFSET(abbreviation[],0,ColumnLanguage),ColumnAbbreviation,FALSE),"")</f>
        <v/>
      </c>
      <c r="BX16" s="21" t="str">
        <f ca="1">IFERROR(VLOOKUP(AJ16,OFFSET(abbreviation[],0,ColumnLanguage),ColumnAbbreviation,FALSE),"")</f>
        <v/>
      </c>
      <c r="BY16" s="21" t="str">
        <f ca="1">IFERROR(VLOOKUP(AL16,OFFSET(abbreviation[],0,ColumnLanguage),ColumnAbbreviation,FALSE),"")</f>
        <v/>
      </c>
      <c r="BZ16" s="21" t="str">
        <f t="shared" ca="1" si="2"/>
        <v>_</v>
      </c>
      <c r="CA16" s="21" t="str">
        <f ca="1">IFERROR(VLOOKUP(AP16,OFFSET(abbreviation[],0,ColumnLanguage),ColumnAbbreviation,FALSE),"")</f>
        <v/>
      </c>
      <c r="CB16" s="21" t="str">
        <f ca="1">IFERROR(VLOOKUP(AR16,OFFSET(abbreviation[],0,ColumnLanguage),ColumnAbbreviation,FALSE),"")</f>
        <v/>
      </c>
      <c r="CC16" s="21" t="str">
        <f ca="1">IFERROR(VLOOKUP(AT16,OFFSET(abbreviation[],0,ColumnLanguage),ColumnAbbreviation,FALSE),"")</f>
        <v/>
      </c>
      <c r="CD16" s="21" t="str">
        <f ca="1">IFERROR(VLOOKUP(AV16,OFFSET(abbreviation[],0,ColumnLanguage),ColumnAbbreviation,FALSE),"")</f>
        <v/>
      </c>
      <c r="CE16" s="21" t="str">
        <f t="shared" ca="1" si="3"/>
        <v>__</v>
      </c>
      <c r="CF16" s="21" t="str">
        <f ca="1">IFERROR(VLOOKUP(AX16,OFFSET(abbreviation[],0,ColumnLanguage),ColumnAbbreviation,FALSE),"")</f>
        <v/>
      </c>
      <c r="CG16" s="21" t="str">
        <f ca="1">IFERROR(VLOOKUP(AZ16,OFFSET(abbreviation[],0,ColumnLanguage),ColumnAbbreviation,FALSE),"")</f>
        <v/>
      </c>
      <c r="CH16" s="21" t="str">
        <f ca="1">IFERROR(VLOOKUP(BB16,OFFSET(abbreviation[],0,ColumnLanguage),ColumnAbbreviation,FALSE),"")</f>
        <v/>
      </c>
      <c r="CI16" s="21" t="str">
        <f ca="1">IFERROR(VLOOKUP(BD16,OFFSET(abbreviation[],0,ColumnLanguage),ColumnAbbreviation,FALSE),"")</f>
        <v/>
      </c>
      <c r="CJ16" s="21" t="str">
        <f ca="1">IFERROR(VLOOKUP(BF16,OFFSET(abbreviation[],0,ColumnLanguage),ColumnAbbreviation,FALSE),"")</f>
        <v/>
      </c>
      <c r="CK16" s="21" t="str">
        <f t="shared" ca="1" si="4"/>
        <v/>
      </c>
      <c r="CL16" s="21" t="str">
        <f t="shared" si="5"/>
        <v/>
      </c>
      <c r="CM16" s="52"/>
      <c r="CN16" s="57" t="str">
        <f t="shared" si="6"/>
        <v/>
      </c>
    </row>
    <row r="17" spans="16:92" x14ac:dyDescent="0.25">
      <c r="P17" s="60"/>
      <c r="Q17" s="13"/>
      <c r="V17" s="60"/>
      <c r="X17" s="61"/>
      <c r="AB17" s="60"/>
      <c r="AN17" s="54"/>
      <c r="AS17" s="15"/>
      <c r="BH17" s="52"/>
      <c r="BI17" s="21" t="str">
        <f ca="1">IFERROR(VLOOKUP(C17,OFFSET(abbreviation[],0,ColumnLanguage),ColumnAbbreviation,FALSE),"")</f>
        <v/>
      </c>
      <c r="BJ17" s="21" t="str">
        <f ca="1">IFERROR(VLOOKUP(E17,OFFSET(abbreviation[],0,ColumnLanguage),ColumnAbbreviation,FALSE),"")</f>
        <v/>
      </c>
      <c r="BK17" s="21" t="str">
        <f ca="1">IFERROR(VLOOKUP(G17,OFFSET(abbreviation[],0,ColumnLanguage),ColumnAbbreviation,FALSE),"")</f>
        <v/>
      </c>
      <c r="BL17" s="21" t="str">
        <f ca="1">IFERROR(VLOOKUP(I17,OFFSET(abbreviation[],0,ColumnLanguage),ColumnAbbreviation,FALSE),"")</f>
        <v/>
      </c>
      <c r="BM17" s="21" t="str">
        <f ca="1">IFERROR(VLOOKUP(K17,OFFSET(abbreviation[],0,ColumnLanguage),ColumnAbbreviation,FALSE),"")</f>
        <v/>
      </c>
      <c r="BN17" s="21" t="str">
        <f t="shared" ca="1" si="0"/>
        <v/>
      </c>
      <c r="BO17" s="21" t="str">
        <f ca="1">IFERROR(VLOOKUP(N17,OFFSET(abbreviation[],0,ColumnLanguage),ColumnAbbreviation,FALSE),"")</f>
        <v/>
      </c>
      <c r="BP17" s="21" t="str">
        <f ca="1">IFERROR(VLOOKUP(P17,OFFSET(abbreviation[],0,ColumnLanguage),ColumnAbbreviation,FALSE),"")</f>
        <v/>
      </c>
      <c r="BQ17" s="21" t="str">
        <f ca="1">IFERROR(VLOOKUP(T17,OFFSET(abbreviation[],0,ColumnLanguage),ColumnAbbreviation,FALSE),"")</f>
        <v/>
      </c>
      <c r="BR17" s="21" t="str">
        <f ca="1">IFERROR(VLOOKUP(V17,OFFSET(abbreviation[],0,ColumnLanguage),ColumnAbbreviation,FALSE),"")</f>
        <v/>
      </c>
      <c r="BS17" s="21" t="str">
        <f ca="1">IFERROR(VLOOKUP(Z17,OFFSET(abbreviation[],0,ColumnLanguage),ColumnAbbreviation,FALSE),"")</f>
        <v/>
      </c>
      <c r="BT17" s="21" t="str">
        <f ca="1">IFERROR(VLOOKUP(AB17,OFFSET(abbreviation[],0,ColumnLanguage),ColumnAbbreviation,FALSE),"")</f>
        <v/>
      </c>
      <c r="BU17" s="21" t="str">
        <f t="shared" ca="1" si="1"/>
        <v>__</v>
      </c>
      <c r="BV17" s="21" t="str">
        <f ca="1">IFERROR(VLOOKUP(AF17,OFFSET(abbreviation[],0,ColumnLanguage),ColumnAbbreviation,FALSE),"")</f>
        <v/>
      </c>
      <c r="BW17" s="21" t="str">
        <f ca="1">IFERROR(VLOOKUP(AH17,OFFSET(abbreviation[],0,ColumnLanguage),ColumnAbbreviation,FALSE),"")</f>
        <v/>
      </c>
      <c r="BX17" s="21" t="str">
        <f ca="1">IFERROR(VLOOKUP(AJ17,OFFSET(abbreviation[],0,ColumnLanguage),ColumnAbbreviation,FALSE),"")</f>
        <v/>
      </c>
      <c r="BY17" s="21" t="str">
        <f ca="1">IFERROR(VLOOKUP(AL17,OFFSET(abbreviation[],0,ColumnLanguage),ColumnAbbreviation,FALSE),"")</f>
        <v/>
      </c>
      <c r="BZ17" s="21" t="str">
        <f t="shared" ca="1" si="2"/>
        <v>_</v>
      </c>
      <c r="CA17" s="21" t="str">
        <f ca="1">IFERROR(VLOOKUP(AP17,OFFSET(abbreviation[],0,ColumnLanguage),ColumnAbbreviation,FALSE),"")</f>
        <v/>
      </c>
      <c r="CB17" s="21" t="str">
        <f ca="1">IFERROR(VLOOKUP(AR17,OFFSET(abbreviation[],0,ColumnLanguage),ColumnAbbreviation,FALSE),"")</f>
        <v/>
      </c>
      <c r="CC17" s="21" t="str">
        <f ca="1">IFERROR(VLOOKUP(AT17,OFFSET(abbreviation[],0,ColumnLanguage),ColumnAbbreviation,FALSE),"")</f>
        <v/>
      </c>
      <c r="CD17" s="21" t="str">
        <f ca="1">IFERROR(VLOOKUP(AV17,OFFSET(abbreviation[],0,ColumnLanguage),ColumnAbbreviation,FALSE),"")</f>
        <v/>
      </c>
      <c r="CE17" s="21" t="str">
        <f t="shared" ca="1" si="3"/>
        <v>__</v>
      </c>
      <c r="CF17" s="21" t="str">
        <f ca="1">IFERROR(VLOOKUP(AX17,OFFSET(abbreviation[],0,ColumnLanguage),ColumnAbbreviation,FALSE),"")</f>
        <v/>
      </c>
      <c r="CG17" s="21" t="str">
        <f ca="1">IFERROR(VLOOKUP(AZ17,OFFSET(abbreviation[],0,ColumnLanguage),ColumnAbbreviation,FALSE),"")</f>
        <v/>
      </c>
      <c r="CH17" s="21" t="str">
        <f ca="1">IFERROR(VLOOKUP(BB17,OFFSET(abbreviation[],0,ColumnLanguage),ColumnAbbreviation,FALSE),"")</f>
        <v/>
      </c>
      <c r="CI17" s="21" t="str">
        <f ca="1">IFERROR(VLOOKUP(BD17,OFFSET(abbreviation[],0,ColumnLanguage),ColumnAbbreviation,FALSE),"")</f>
        <v/>
      </c>
      <c r="CJ17" s="21" t="str">
        <f ca="1">IFERROR(VLOOKUP(BF17,OFFSET(abbreviation[],0,ColumnLanguage),ColumnAbbreviation,FALSE),"")</f>
        <v/>
      </c>
      <c r="CK17" s="21" t="str">
        <f t="shared" ca="1" si="4"/>
        <v/>
      </c>
      <c r="CL17" s="21" t="str">
        <f t="shared" si="5"/>
        <v/>
      </c>
      <c r="CM17" s="52"/>
      <c r="CN17" s="57" t="str">
        <f t="shared" si="6"/>
        <v/>
      </c>
    </row>
    <row r="18" spans="16:92" x14ac:dyDescent="0.25">
      <c r="P18" s="60"/>
      <c r="Q18" s="13"/>
      <c r="V18" s="60"/>
      <c r="X18" s="61"/>
      <c r="AB18" s="60"/>
      <c r="AN18" s="54"/>
      <c r="AS18" s="15"/>
      <c r="BH18" s="52"/>
      <c r="BI18" s="21" t="str">
        <f ca="1">IFERROR(VLOOKUP(C18,OFFSET(abbreviation[],0,ColumnLanguage),ColumnAbbreviation,FALSE),"")</f>
        <v/>
      </c>
      <c r="BJ18" s="21" t="str">
        <f ca="1">IFERROR(VLOOKUP(E18,OFFSET(abbreviation[],0,ColumnLanguage),ColumnAbbreviation,FALSE),"")</f>
        <v/>
      </c>
      <c r="BK18" s="21" t="str">
        <f ca="1">IFERROR(VLOOKUP(G18,OFFSET(abbreviation[],0,ColumnLanguage),ColumnAbbreviation,FALSE),"")</f>
        <v/>
      </c>
      <c r="BL18" s="21" t="str">
        <f ca="1">IFERROR(VLOOKUP(I18,OFFSET(abbreviation[],0,ColumnLanguage),ColumnAbbreviation,FALSE),"")</f>
        <v/>
      </c>
      <c r="BM18" s="21" t="str">
        <f ca="1">IFERROR(VLOOKUP(K18,OFFSET(abbreviation[],0,ColumnLanguage),ColumnAbbreviation,FALSE),"")</f>
        <v/>
      </c>
      <c r="BN18" s="21" t="str">
        <f t="shared" ca="1" si="0"/>
        <v/>
      </c>
      <c r="BO18" s="21" t="str">
        <f ca="1">IFERROR(VLOOKUP(N18,OFFSET(abbreviation[],0,ColumnLanguage),ColumnAbbreviation,FALSE),"")</f>
        <v/>
      </c>
      <c r="BP18" s="21" t="str">
        <f ca="1">IFERROR(VLOOKUP(P18,OFFSET(abbreviation[],0,ColumnLanguage),ColumnAbbreviation,FALSE),"")</f>
        <v/>
      </c>
      <c r="BQ18" s="21" t="str">
        <f ca="1">IFERROR(VLOOKUP(T18,OFFSET(abbreviation[],0,ColumnLanguage),ColumnAbbreviation,FALSE),"")</f>
        <v/>
      </c>
      <c r="BR18" s="21" t="str">
        <f ca="1">IFERROR(VLOOKUP(V18,OFFSET(abbreviation[],0,ColumnLanguage),ColumnAbbreviation,FALSE),"")</f>
        <v/>
      </c>
      <c r="BS18" s="21" t="str">
        <f ca="1">IFERROR(VLOOKUP(Z18,OFFSET(abbreviation[],0,ColumnLanguage),ColumnAbbreviation,FALSE),"")</f>
        <v/>
      </c>
      <c r="BT18" s="21" t="str">
        <f ca="1">IFERROR(VLOOKUP(AB18,OFFSET(abbreviation[],0,ColumnLanguage),ColumnAbbreviation,FALSE),"")</f>
        <v/>
      </c>
      <c r="BU18" s="21" t="str">
        <f t="shared" ca="1" si="1"/>
        <v>__</v>
      </c>
      <c r="BV18" s="21" t="str">
        <f ca="1">IFERROR(VLOOKUP(AF18,OFFSET(abbreviation[],0,ColumnLanguage),ColumnAbbreviation,FALSE),"")</f>
        <v/>
      </c>
      <c r="BW18" s="21" t="str">
        <f ca="1">IFERROR(VLOOKUP(AH18,OFFSET(abbreviation[],0,ColumnLanguage),ColumnAbbreviation,FALSE),"")</f>
        <v/>
      </c>
      <c r="BX18" s="21" t="str">
        <f ca="1">IFERROR(VLOOKUP(AJ18,OFFSET(abbreviation[],0,ColumnLanguage),ColumnAbbreviation,FALSE),"")</f>
        <v/>
      </c>
      <c r="BY18" s="21" t="str">
        <f ca="1">IFERROR(VLOOKUP(AL18,OFFSET(abbreviation[],0,ColumnLanguage),ColumnAbbreviation,FALSE),"")</f>
        <v/>
      </c>
      <c r="BZ18" s="21" t="str">
        <f t="shared" ca="1" si="2"/>
        <v>_</v>
      </c>
      <c r="CA18" s="21" t="str">
        <f ca="1">IFERROR(VLOOKUP(AP18,OFFSET(abbreviation[],0,ColumnLanguage),ColumnAbbreviation,FALSE),"")</f>
        <v/>
      </c>
      <c r="CB18" s="21" t="str">
        <f ca="1">IFERROR(VLOOKUP(AR18,OFFSET(abbreviation[],0,ColumnLanguage),ColumnAbbreviation,FALSE),"")</f>
        <v/>
      </c>
      <c r="CC18" s="21" t="str">
        <f ca="1">IFERROR(VLOOKUP(AT18,OFFSET(abbreviation[],0,ColumnLanguage),ColumnAbbreviation,FALSE),"")</f>
        <v/>
      </c>
      <c r="CD18" s="21" t="str">
        <f ca="1">IFERROR(VLOOKUP(AV18,OFFSET(abbreviation[],0,ColumnLanguage),ColumnAbbreviation,FALSE),"")</f>
        <v/>
      </c>
      <c r="CE18" s="21" t="str">
        <f t="shared" ca="1" si="3"/>
        <v>__</v>
      </c>
      <c r="CF18" s="21" t="str">
        <f ca="1">IFERROR(VLOOKUP(AX18,OFFSET(abbreviation[],0,ColumnLanguage),ColumnAbbreviation,FALSE),"")</f>
        <v/>
      </c>
      <c r="CG18" s="21" t="str">
        <f ca="1">IFERROR(VLOOKUP(AZ18,OFFSET(abbreviation[],0,ColumnLanguage),ColumnAbbreviation,FALSE),"")</f>
        <v/>
      </c>
      <c r="CH18" s="21" t="str">
        <f ca="1">IFERROR(VLOOKUP(BB18,OFFSET(abbreviation[],0,ColumnLanguage),ColumnAbbreviation,FALSE),"")</f>
        <v/>
      </c>
      <c r="CI18" s="21" t="str">
        <f ca="1">IFERROR(VLOOKUP(BD18,OFFSET(abbreviation[],0,ColumnLanguage),ColumnAbbreviation,FALSE),"")</f>
        <v/>
      </c>
      <c r="CJ18" s="21" t="str">
        <f ca="1">IFERROR(VLOOKUP(BF18,OFFSET(abbreviation[],0,ColumnLanguage),ColumnAbbreviation,FALSE),"")</f>
        <v/>
      </c>
      <c r="CK18" s="21" t="str">
        <f t="shared" ca="1" si="4"/>
        <v/>
      </c>
      <c r="CL18" s="21" t="str">
        <f t="shared" si="5"/>
        <v/>
      </c>
      <c r="CM18" s="52"/>
      <c r="CN18" s="57" t="str">
        <f t="shared" si="6"/>
        <v/>
      </c>
    </row>
    <row r="19" spans="16:92" x14ac:dyDescent="0.25">
      <c r="P19" s="60"/>
      <c r="Q19" s="13"/>
      <c r="V19" s="60"/>
      <c r="X19" s="61"/>
      <c r="AB19" s="60"/>
      <c r="AN19" s="54"/>
      <c r="AS19" s="15"/>
      <c r="BH19" s="52"/>
      <c r="BI19" s="21" t="str">
        <f ca="1">IFERROR(VLOOKUP(C19,OFFSET(abbreviation[],0,ColumnLanguage),ColumnAbbreviation,FALSE),"")</f>
        <v/>
      </c>
      <c r="BJ19" s="21" t="str">
        <f ca="1">IFERROR(VLOOKUP(E19,OFFSET(abbreviation[],0,ColumnLanguage),ColumnAbbreviation,FALSE),"")</f>
        <v/>
      </c>
      <c r="BK19" s="21" t="str">
        <f ca="1">IFERROR(VLOOKUP(G19,OFFSET(abbreviation[],0,ColumnLanguage),ColumnAbbreviation,FALSE),"")</f>
        <v/>
      </c>
      <c r="BL19" s="21" t="str">
        <f ca="1">IFERROR(VLOOKUP(I19,OFFSET(abbreviation[],0,ColumnLanguage),ColumnAbbreviation,FALSE),"")</f>
        <v/>
      </c>
      <c r="BM19" s="21" t="str">
        <f ca="1">IFERROR(VLOOKUP(K19,OFFSET(abbreviation[],0,ColumnLanguage),ColumnAbbreviation,FALSE),"")</f>
        <v/>
      </c>
      <c r="BN19" s="21" t="str">
        <f t="shared" ca="1" si="0"/>
        <v/>
      </c>
      <c r="BO19" s="21" t="str">
        <f ca="1">IFERROR(VLOOKUP(N19,OFFSET(abbreviation[],0,ColumnLanguage),ColumnAbbreviation,FALSE),"")</f>
        <v/>
      </c>
      <c r="BP19" s="21" t="str">
        <f ca="1">IFERROR(VLOOKUP(P19,OFFSET(abbreviation[],0,ColumnLanguage),ColumnAbbreviation,FALSE),"")</f>
        <v/>
      </c>
      <c r="BQ19" s="21" t="str">
        <f ca="1">IFERROR(VLOOKUP(T19,OFFSET(abbreviation[],0,ColumnLanguage),ColumnAbbreviation,FALSE),"")</f>
        <v/>
      </c>
      <c r="BR19" s="21" t="str">
        <f ca="1">IFERROR(VLOOKUP(V19,OFFSET(abbreviation[],0,ColumnLanguage),ColumnAbbreviation,FALSE),"")</f>
        <v/>
      </c>
      <c r="BS19" s="21" t="str">
        <f ca="1">IFERROR(VLOOKUP(Z19,OFFSET(abbreviation[],0,ColumnLanguage),ColumnAbbreviation,FALSE),"")</f>
        <v/>
      </c>
      <c r="BT19" s="21" t="str">
        <f ca="1">IFERROR(VLOOKUP(AB19,OFFSET(abbreviation[],0,ColumnLanguage),ColumnAbbreviation,FALSE),"")</f>
        <v/>
      </c>
      <c r="BU19" s="21" t="str">
        <f t="shared" ca="1" si="1"/>
        <v>__</v>
      </c>
      <c r="BV19" s="21" t="str">
        <f ca="1">IFERROR(VLOOKUP(AF19,OFFSET(abbreviation[],0,ColumnLanguage),ColumnAbbreviation,FALSE),"")</f>
        <v/>
      </c>
      <c r="BW19" s="21" t="str">
        <f ca="1">IFERROR(VLOOKUP(AH19,OFFSET(abbreviation[],0,ColumnLanguage),ColumnAbbreviation,FALSE),"")</f>
        <v/>
      </c>
      <c r="BX19" s="21" t="str">
        <f ca="1">IFERROR(VLOOKUP(AJ19,OFFSET(abbreviation[],0,ColumnLanguage),ColumnAbbreviation,FALSE),"")</f>
        <v/>
      </c>
      <c r="BY19" s="21" t="str">
        <f ca="1">IFERROR(VLOOKUP(AL19,OFFSET(abbreviation[],0,ColumnLanguage),ColumnAbbreviation,FALSE),"")</f>
        <v/>
      </c>
      <c r="BZ19" s="21" t="str">
        <f t="shared" ca="1" si="2"/>
        <v>_</v>
      </c>
      <c r="CA19" s="21" t="str">
        <f ca="1">IFERROR(VLOOKUP(AP19,OFFSET(abbreviation[],0,ColumnLanguage),ColumnAbbreviation,FALSE),"")</f>
        <v/>
      </c>
      <c r="CB19" s="21" t="str">
        <f ca="1">IFERROR(VLOOKUP(AR19,OFFSET(abbreviation[],0,ColumnLanguage),ColumnAbbreviation,FALSE),"")</f>
        <v/>
      </c>
      <c r="CC19" s="21" t="str">
        <f ca="1">IFERROR(VLOOKUP(AT19,OFFSET(abbreviation[],0,ColumnLanguage),ColumnAbbreviation,FALSE),"")</f>
        <v/>
      </c>
      <c r="CD19" s="21" t="str">
        <f ca="1">IFERROR(VLOOKUP(AV19,OFFSET(abbreviation[],0,ColumnLanguage),ColumnAbbreviation,FALSE),"")</f>
        <v/>
      </c>
      <c r="CE19" s="21" t="str">
        <f t="shared" ca="1" si="3"/>
        <v>__</v>
      </c>
      <c r="CF19" s="21" t="str">
        <f ca="1">IFERROR(VLOOKUP(AX19,OFFSET(abbreviation[],0,ColumnLanguage),ColumnAbbreviation,FALSE),"")</f>
        <v/>
      </c>
      <c r="CG19" s="21" t="str">
        <f ca="1">IFERROR(VLOOKUP(AZ19,OFFSET(abbreviation[],0,ColumnLanguage),ColumnAbbreviation,FALSE),"")</f>
        <v/>
      </c>
      <c r="CH19" s="21" t="str">
        <f ca="1">IFERROR(VLOOKUP(BB19,OFFSET(abbreviation[],0,ColumnLanguage),ColumnAbbreviation,FALSE),"")</f>
        <v/>
      </c>
      <c r="CI19" s="21" t="str">
        <f ca="1">IFERROR(VLOOKUP(BD19,OFFSET(abbreviation[],0,ColumnLanguage),ColumnAbbreviation,FALSE),"")</f>
        <v/>
      </c>
      <c r="CJ19" s="21" t="str">
        <f ca="1">IFERROR(VLOOKUP(BF19,OFFSET(abbreviation[],0,ColumnLanguage),ColumnAbbreviation,FALSE),"")</f>
        <v/>
      </c>
      <c r="CK19" s="21" t="str">
        <f t="shared" ca="1" si="4"/>
        <v/>
      </c>
      <c r="CL19" s="21" t="str">
        <f t="shared" si="5"/>
        <v/>
      </c>
      <c r="CM19" s="52"/>
      <c r="CN19" s="57" t="str">
        <f t="shared" si="6"/>
        <v/>
      </c>
    </row>
    <row r="20" spans="16:92" x14ac:dyDescent="0.25">
      <c r="P20" s="60"/>
      <c r="Q20" s="13"/>
      <c r="V20" s="60"/>
      <c r="X20" s="61"/>
      <c r="AB20" s="60"/>
      <c r="AN20" s="54"/>
      <c r="AS20" s="15"/>
      <c r="BH20" s="52"/>
      <c r="BI20" s="21" t="str">
        <f ca="1">IFERROR(VLOOKUP(C20,OFFSET(abbreviation[],0,ColumnLanguage),ColumnAbbreviation,FALSE),"")</f>
        <v/>
      </c>
      <c r="BJ20" s="21" t="str">
        <f ca="1">IFERROR(VLOOKUP(E20,OFFSET(abbreviation[],0,ColumnLanguage),ColumnAbbreviation,FALSE),"")</f>
        <v/>
      </c>
      <c r="BK20" s="21" t="str">
        <f ca="1">IFERROR(VLOOKUP(G20,OFFSET(abbreviation[],0,ColumnLanguage),ColumnAbbreviation,FALSE),"")</f>
        <v/>
      </c>
      <c r="BL20" s="21" t="str">
        <f ca="1">IFERROR(VLOOKUP(I20,OFFSET(abbreviation[],0,ColumnLanguage),ColumnAbbreviation,FALSE),"")</f>
        <v/>
      </c>
      <c r="BM20" s="21" t="str">
        <f ca="1">IFERROR(VLOOKUP(K20,OFFSET(abbreviation[],0,ColumnLanguage),ColumnAbbreviation,FALSE),"")</f>
        <v/>
      </c>
      <c r="BN20" s="21" t="str">
        <f t="shared" ca="1" si="0"/>
        <v/>
      </c>
      <c r="BO20" s="21" t="str">
        <f ca="1">IFERROR(VLOOKUP(N20,OFFSET(abbreviation[],0,ColumnLanguage),ColumnAbbreviation,FALSE),"")</f>
        <v/>
      </c>
      <c r="BP20" s="21" t="str">
        <f ca="1">IFERROR(VLOOKUP(P20,OFFSET(abbreviation[],0,ColumnLanguage),ColumnAbbreviation,FALSE),"")</f>
        <v/>
      </c>
      <c r="BQ20" s="21" t="str">
        <f ca="1">IFERROR(VLOOKUP(T20,OFFSET(abbreviation[],0,ColumnLanguage),ColumnAbbreviation,FALSE),"")</f>
        <v/>
      </c>
      <c r="BR20" s="21" t="str">
        <f ca="1">IFERROR(VLOOKUP(V20,OFFSET(abbreviation[],0,ColumnLanguage),ColumnAbbreviation,FALSE),"")</f>
        <v/>
      </c>
      <c r="BS20" s="21" t="str">
        <f ca="1">IFERROR(VLOOKUP(Z20,OFFSET(abbreviation[],0,ColumnLanguage),ColumnAbbreviation,FALSE),"")</f>
        <v/>
      </c>
      <c r="BT20" s="21" t="str">
        <f ca="1">IFERROR(VLOOKUP(AB20,OFFSET(abbreviation[],0,ColumnLanguage),ColumnAbbreviation,FALSE),"")</f>
        <v/>
      </c>
      <c r="BU20" s="21" t="str">
        <f t="shared" ca="1" si="1"/>
        <v>__</v>
      </c>
      <c r="BV20" s="21" t="str">
        <f ca="1">IFERROR(VLOOKUP(AF20,OFFSET(abbreviation[],0,ColumnLanguage),ColumnAbbreviation,FALSE),"")</f>
        <v/>
      </c>
      <c r="BW20" s="21" t="str">
        <f ca="1">IFERROR(VLOOKUP(AH20,OFFSET(abbreviation[],0,ColumnLanguage),ColumnAbbreviation,FALSE),"")</f>
        <v/>
      </c>
      <c r="BX20" s="21" t="str">
        <f ca="1">IFERROR(VLOOKUP(AJ20,OFFSET(abbreviation[],0,ColumnLanguage),ColumnAbbreviation,FALSE),"")</f>
        <v/>
      </c>
      <c r="BY20" s="21" t="str">
        <f ca="1">IFERROR(VLOOKUP(AL20,OFFSET(abbreviation[],0,ColumnLanguage),ColumnAbbreviation,FALSE),"")</f>
        <v/>
      </c>
      <c r="BZ20" s="21" t="str">
        <f t="shared" ca="1" si="2"/>
        <v>_</v>
      </c>
      <c r="CA20" s="21" t="str">
        <f ca="1">IFERROR(VLOOKUP(AP20,OFFSET(abbreviation[],0,ColumnLanguage),ColumnAbbreviation,FALSE),"")</f>
        <v/>
      </c>
      <c r="CB20" s="21" t="str">
        <f ca="1">IFERROR(VLOOKUP(AR20,OFFSET(abbreviation[],0,ColumnLanguage),ColumnAbbreviation,FALSE),"")</f>
        <v/>
      </c>
      <c r="CC20" s="21" t="str">
        <f ca="1">IFERROR(VLOOKUP(AT20,OFFSET(abbreviation[],0,ColumnLanguage),ColumnAbbreviation,FALSE),"")</f>
        <v/>
      </c>
      <c r="CD20" s="21" t="str">
        <f ca="1">IFERROR(VLOOKUP(AV20,OFFSET(abbreviation[],0,ColumnLanguage),ColumnAbbreviation,FALSE),"")</f>
        <v/>
      </c>
      <c r="CE20" s="21" t="str">
        <f t="shared" ca="1" si="3"/>
        <v>__</v>
      </c>
      <c r="CF20" s="21" t="str">
        <f ca="1">IFERROR(VLOOKUP(AX20,OFFSET(abbreviation[],0,ColumnLanguage),ColumnAbbreviation,FALSE),"")</f>
        <v/>
      </c>
      <c r="CG20" s="21" t="str">
        <f ca="1">IFERROR(VLOOKUP(AZ20,OFFSET(abbreviation[],0,ColumnLanguage),ColumnAbbreviation,FALSE),"")</f>
        <v/>
      </c>
      <c r="CH20" s="21" t="str">
        <f ca="1">IFERROR(VLOOKUP(BB20,OFFSET(abbreviation[],0,ColumnLanguage),ColumnAbbreviation,FALSE),"")</f>
        <v/>
      </c>
      <c r="CI20" s="21" t="str">
        <f ca="1">IFERROR(VLOOKUP(BD20,OFFSET(abbreviation[],0,ColumnLanguage),ColumnAbbreviation,FALSE),"")</f>
        <v/>
      </c>
      <c r="CJ20" s="21" t="str">
        <f ca="1">IFERROR(VLOOKUP(BF20,OFFSET(abbreviation[],0,ColumnLanguage),ColumnAbbreviation,FALSE),"")</f>
        <v/>
      </c>
      <c r="CK20" s="21" t="str">
        <f t="shared" ca="1" si="4"/>
        <v/>
      </c>
      <c r="CL20" s="21" t="str">
        <f t="shared" si="5"/>
        <v/>
      </c>
      <c r="CM20" s="52"/>
      <c r="CN20" s="57" t="str">
        <f t="shared" si="6"/>
        <v/>
      </c>
    </row>
    <row r="21" spans="16:92" x14ac:dyDescent="0.25">
      <c r="P21" s="60"/>
      <c r="Q21" s="13"/>
      <c r="V21" s="60"/>
      <c r="X21" s="61"/>
      <c r="AB21" s="60"/>
      <c r="AN21" s="54"/>
      <c r="AS21" s="15"/>
      <c r="BH21" s="52"/>
      <c r="BI21" s="21" t="str">
        <f ca="1">IFERROR(VLOOKUP(C21,OFFSET(abbreviation[],0,ColumnLanguage),ColumnAbbreviation,FALSE),"")</f>
        <v/>
      </c>
      <c r="BJ21" s="21" t="str">
        <f ca="1">IFERROR(VLOOKUP(E21,OFFSET(abbreviation[],0,ColumnLanguage),ColumnAbbreviation,FALSE),"")</f>
        <v/>
      </c>
      <c r="BK21" s="21" t="str">
        <f ca="1">IFERROR(VLOOKUP(G21,OFFSET(abbreviation[],0,ColumnLanguage),ColumnAbbreviation,FALSE),"")</f>
        <v/>
      </c>
      <c r="BL21" s="21" t="str">
        <f ca="1">IFERROR(VLOOKUP(I21,OFFSET(abbreviation[],0,ColumnLanguage),ColumnAbbreviation,FALSE),"")</f>
        <v/>
      </c>
      <c r="BM21" s="21" t="str">
        <f ca="1">IFERROR(VLOOKUP(K21,OFFSET(abbreviation[],0,ColumnLanguage),ColumnAbbreviation,FALSE),"")</f>
        <v/>
      </c>
      <c r="BN21" s="21" t="str">
        <f t="shared" ca="1" si="0"/>
        <v/>
      </c>
      <c r="BO21" s="21" t="str">
        <f ca="1">IFERROR(VLOOKUP(N21,OFFSET(abbreviation[],0,ColumnLanguage),ColumnAbbreviation,FALSE),"")</f>
        <v/>
      </c>
      <c r="BP21" s="21" t="str">
        <f ca="1">IFERROR(VLOOKUP(P21,OFFSET(abbreviation[],0,ColumnLanguage),ColumnAbbreviation,FALSE),"")</f>
        <v/>
      </c>
      <c r="BQ21" s="21" t="str">
        <f ca="1">IFERROR(VLOOKUP(T21,OFFSET(abbreviation[],0,ColumnLanguage),ColumnAbbreviation,FALSE),"")</f>
        <v/>
      </c>
      <c r="BR21" s="21" t="str">
        <f ca="1">IFERROR(VLOOKUP(V21,OFFSET(abbreviation[],0,ColumnLanguage),ColumnAbbreviation,FALSE),"")</f>
        <v/>
      </c>
      <c r="BS21" s="21" t="str">
        <f ca="1">IFERROR(VLOOKUP(Z21,OFFSET(abbreviation[],0,ColumnLanguage),ColumnAbbreviation,FALSE),"")</f>
        <v/>
      </c>
      <c r="BT21" s="21" t="str">
        <f ca="1">IFERROR(VLOOKUP(AB21,OFFSET(abbreviation[],0,ColumnLanguage),ColumnAbbreviation,FALSE),"")</f>
        <v/>
      </c>
      <c r="BU21" s="21" t="str">
        <f t="shared" ca="1" si="1"/>
        <v>__</v>
      </c>
      <c r="BV21" s="21" t="str">
        <f ca="1">IFERROR(VLOOKUP(AF21,OFFSET(abbreviation[],0,ColumnLanguage),ColumnAbbreviation,FALSE),"")</f>
        <v/>
      </c>
      <c r="BW21" s="21" t="str">
        <f ca="1">IFERROR(VLOOKUP(AH21,OFFSET(abbreviation[],0,ColumnLanguage),ColumnAbbreviation,FALSE),"")</f>
        <v/>
      </c>
      <c r="BX21" s="21" t="str">
        <f ca="1">IFERROR(VLOOKUP(AJ21,OFFSET(abbreviation[],0,ColumnLanguage),ColumnAbbreviation,FALSE),"")</f>
        <v/>
      </c>
      <c r="BY21" s="21" t="str">
        <f ca="1">IFERROR(VLOOKUP(AL21,OFFSET(abbreviation[],0,ColumnLanguage),ColumnAbbreviation,FALSE),"")</f>
        <v/>
      </c>
      <c r="BZ21" s="21" t="str">
        <f t="shared" ca="1" si="2"/>
        <v>_</v>
      </c>
      <c r="CA21" s="21" t="str">
        <f ca="1">IFERROR(VLOOKUP(AP21,OFFSET(abbreviation[],0,ColumnLanguage),ColumnAbbreviation,FALSE),"")</f>
        <v/>
      </c>
      <c r="CB21" s="21" t="str">
        <f ca="1">IFERROR(VLOOKUP(AR21,OFFSET(abbreviation[],0,ColumnLanguage),ColumnAbbreviation,FALSE),"")</f>
        <v/>
      </c>
      <c r="CC21" s="21" t="str">
        <f ca="1">IFERROR(VLOOKUP(AT21,OFFSET(abbreviation[],0,ColumnLanguage),ColumnAbbreviation,FALSE),"")</f>
        <v/>
      </c>
      <c r="CD21" s="21" t="str">
        <f ca="1">IFERROR(VLOOKUP(AV21,OFFSET(abbreviation[],0,ColumnLanguage),ColumnAbbreviation,FALSE),"")</f>
        <v/>
      </c>
      <c r="CE21" s="21" t="str">
        <f t="shared" ca="1" si="3"/>
        <v>__</v>
      </c>
      <c r="CF21" s="21" t="str">
        <f ca="1">IFERROR(VLOOKUP(AX21,OFFSET(abbreviation[],0,ColumnLanguage),ColumnAbbreviation,FALSE),"")</f>
        <v/>
      </c>
      <c r="CG21" s="21" t="str">
        <f ca="1">IFERROR(VLOOKUP(AZ21,OFFSET(abbreviation[],0,ColumnLanguage),ColumnAbbreviation,FALSE),"")</f>
        <v/>
      </c>
      <c r="CH21" s="21" t="str">
        <f ca="1">IFERROR(VLOOKUP(BB21,OFFSET(abbreviation[],0,ColumnLanguage),ColumnAbbreviation,FALSE),"")</f>
        <v/>
      </c>
      <c r="CI21" s="21" t="str">
        <f ca="1">IFERROR(VLOOKUP(BD21,OFFSET(abbreviation[],0,ColumnLanguage),ColumnAbbreviation,FALSE),"")</f>
        <v/>
      </c>
      <c r="CJ21" s="21" t="str">
        <f ca="1">IFERROR(VLOOKUP(BF21,OFFSET(abbreviation[],0,ColumnLanguage),ColumnAbbreviation,FALSE),"")</f>
        <v/>
      </c>
      <c r="CK21" s="21" t="str">
        <f t="shared" ca="1" si="4"/>
        <v/>
      </c>
      <c r="CL21" s="21" t="str">
        <f t="shared" si="5"/>
        <v/>
      </c>
      <c r="CM21" s="52"/>
      <c r="CN21" s="57" t="str">
        <f t="shared" si="6"/>
        <v/>
      </c>
    </row>
    <row r="22" spans="16:92" x14ac:dyDescent="0.25">
      <c r="P22" s="60"/>
      <c r="Q22" s="13"/>
      <c r="V22" s="60"/>
      <c r="X22" s="61"/>
      <c r="AB22" s="60"/>
      <c r="AN22" s="54"/>
      <c r="AS22" s="15"/>
      <c r="BH22" s="52"/>
      <c r="BI22" s="21" t="str">
        <f ca="1">IFERROR(VLOOKUP(C22,OFFSET(abbreviation[],0,ColumnLanguage),ColumnAbbreviation,FALSE),"")</f>
        <v/>
      </c>
      <c r="BJ22" s="21" t="str">
        <f ca="1">IFERROR(VLOOKUP(E22,OFFSET(abbreviation[],0,ColumnLanguage),ColumnAbbreviation,FALSE),"")</f>
        <v/>
      </c>
      <c r="BK22" s="21" t="str">
        <f ca="1">IFERROR(VLOOKUP(G22,OFFSET(abbreviation[],0,ColumnLanguage),ColumnAbbreviation,FALSE),"")</f>
        <v/>
      </c>
      <c r="BL22" s="21" t="str">
        <f ca="1">IFERROR(VLOOKUP(I22,OFFSET(abbreviation[],0,ColumnLanguage),ColumnAbbreviation,FALSE),"")</f>
        <v/>
      </c>
      <c r="BM22" s="21" t="str">
        <f ca="1">IFERROR(VLOOKUP(K22,OFFSET(abbreviation[],0,ColumnLanguage),ColumnAbbreviation,FALSE),"")</f>
        <v/>
      </c>
      <c r="BN22" s="21" t="str">
        <f t="shared" ca="1" si="0"/>
        <v/>
      </c>
      <c r="BO22" s="21" t="str">
        <f ca="1">IFERROR(VLOOKUP(N22,OFFSET(abbreviation[],0,ColumnLanguage),ColumnAbbreviation,FALSE),"")</f>
        <v/>
      </c>
      <c r="BP22" s="21" t="str">
        <f ca="1">IFERROR(VLOOKUP(P22,OFFSET(abbreviation[],0,ColumnLanguage),ColumnAbbreviation,FALSE),"")</f>
        <v/>
      </c>
      <c r="BQ22" s="21" t="str">
        <f ca="1">IFERROR(VLOOKUP(T22,OFFSET(abbreviation[],0,ColumnLanguage),ColumnAbbreviation,FALSE),"")</f>
        <v/>
      </c>
      <c r="BR22" s="21" t="str">
        <f ca="1">IFERROR(VLOOKUP(V22,OFFSET(abbreviation[],0,ColumnLanguage),ColumnAbbreviation,FALSE),"")</f>
        <v/>
      </c>
      <c r="BS22" s="21" t="str">
        <f ca="1">IFERROR(VLOOKUP(Z22,OFFSET(abbreviation[],0,ColumnLanguage),ColumnAbbreviation,FALSE),"")</f>
        <v/>
      </c>
      <c r="BT22" s="21" t="str">
        <f ca="1">IFERROR(VLOOKUP(AB22,OFFSET(abbreviation[],0,ColumnLanguage),ColumnAbbreviation,FALSE),"")</f>
        <v/>
      </c>
      <c r="BU22" s="21" t="str">
        <f t="shared" ca="1" si="1"/>
        <v>__</v>
      </c>
      <c r="BV22" s="21" t="str">
        <f ca="1">IFERROR(VLOOKUP(AF22,OFFSET(abbreviation[],0,ColumnLanguage),ColumnAbbreviation,FALSE),"")</f>
        <v/>
      </c>
      <c r="BW22" s="21" t="str">
        <f ca="1">IFERROR(VLOOKUP(AH22,OFFSET(abbreviation[],0,ColumnLanguage),ColumnAbbreviation,FALSE),"")</f>
        <v/>
      </c>
      <c r="BX22" s="21" t="str">
        <f ca="1">IFERROR(VLOOKUP(AJ22,OFFSET(abbreviation[],0,ColumnLanguage),ColumnAbbreviation,FALSE),"")</f>
        <v/>
      </c>
      <c r="BY22" s="21" t="str">
        <f ca="1">IFERROR(VLOOKUP(AL22,OFFSET(abbreviation[],0,ColumnLanguage),ColumnAbbreviation,FALSE),"")</f>
        <v/>
      </c>
      <c r="BZ22" s="21" t="str">
        <f t="shared" ca="1" si="2"/>
        <v>_</v>
      </c>
      <c r="CA22" s="21" t="str">
        <f ca="1">IFERROR(VLOOKUP(AP22,OFFSET(abbreviation[],0,ColumnLanguage),ColumnAbbreviation,FALSE),"")</f>
        <v/>
      </c>
      <c r="CB22" s="21" t="str">
        <f ca="1">IFERROR(VLOOKUP(AR22,OFFSET(abbreviation[],0,ColumnLanguage),ColumnAbbreviation,FALSE),"")</f>
        <v/>
      </c>
      <c r="CC22" s="21" t="str">
        <f ca="1">IFERROR(VLOOKUP(AT22,OFFSET(abbreviation[],0,ColumnLanguage),ColumnAbbreviation,FALSE),"")</f>
        <v/>
      </c>
      <c r="CD22" s="21" t="str">
        <f ca="1">IFERROR(VLOOKUP(AV22,OFFSET(abbreviation[],0,ColumnLanguage),ColumnAbbreviation,FALSE),"")</f>
        <v/>
      </c>
      <c r="CE22" s="21" t="str">
        <f t="shared" ca="1" si="3"/>
        <v>__</v>
      </c>
      <c r="CF22" s="21" t="str">
        <f ca="1">IFERROR(VLOOKUP(AX22,OFFSET(abbreviation[],0,ColumnLanguage),ColumnAbbreviation,FALSE),"")</f>
        <v/>
      </c>
      <c r="CG22" s="21" t="str">
        <f ca="1">IFERROR(VLOOKUP(AZ22,OFFSET(abbreviation[],0,ColumnLanguage),ColumnAbbreviation,FALSE),"")</f>
        <v/>
      </c>
      <c r="CH22" s="21" t="str">
        <f ca="1">IFERROR(VLOOKUP(BB22,OFFSET(abbreviation[],0,ColumnLanguage),ColumnAbbreviation,FALSE),"")</f>
        <v/>
      </c>
      <c r="CI22" s="21" t="str">
        <f ca="1">IFERROR(VLOOKUP(BD22,OFFSET(abbreviation[],0,ColumnLanguage),ColumnAbbreviation,FALSE),"")</f>
        <v/>
      </c>
      <c r="CJ22" s="21" t="str">
        <f ca="1">IFERROR(VLOOKUP(BF22,OFFSET(abbreviation[],0,ColumnLanguage),ColumnAbbreviation,FALSE),"")</f>
        <v/>
      </c>
      <c r="CK22" s="21" t="str">
        <f t="shared" ca="1" si="4"/>
        <v/>
      </c>
      <c r="CL22" s="21" t="str">
        <f t="shared" si="5"/>
        <v/>
      </c>
      <c r="CM22" s="52"/>
      <c r="CN22" s="57" t="str">
        <f t="shared" si="6"/>
        <v/>
      </c>
    </row>
    <row r="23" spans="16:92" x14ac:dyDescent="0.25">
      <c r="P23" s="60"/>
      <c r="Q23" s="13"/>
      <c r="V23" s="60"/>
      <c r="X23" s="61"/>
      <c r="AB23" s="60"/>
      <c r="AN23" s="54"/>
      <c r="AS23" s="15"/>
      <c r="BH23" s="52"/>
      <c r="BI23" s="21" t="str">
        <f ca="1">IFERROR(VLOOKUP(C23,OFFSET(abbreviation[],0,ColumnLanguage),ColumnAbbreviation,FALSE),"")</f>
        <v/>
      </c>
      <c r="BJ23" s="21" t="str">
        <f ca="1">IFERROR(VLOOKUP(E23,OFFSET(abbreviation[],0,ColumnLanguage),ColumnAbbreviation,FALSE),"")</f>
        <v/>
      </c>
      <c r="BK23" s="21" t="str">
        <f ca="1">IFERROR(VLOOKUP(G23,OFFSET(abbreviation[],0,ColumnLanguage),ColumnAbbreviation,FALSE),"")</f>
        <v/>
      </c>
      <c r="BL23" s="21" t="str">
        <f ca="1">IFERROR(VLOOKUP(I23,OFFSET(abbreviation[],0,ColumnLanguage),ColumnAbbreviation,FALSE),"")</f>
        <v/>
      </c>
      <c r="BM23" s="21" t="str">
        <f ca="1">IFERROR(VLOOKUP(K23,OFFSET(abbreviation[],0,ColumnLanguage),ColumnAbbreviation,FALSE),"")</f>
        <v/>
      </c>
      <c r="BN23" s="21" t="str">
        <f t="shared" ca="1" si="0"/>
        <v/>
      </c>
      <c r="BO23" s="21" t="str">
        <f ca="1">IFERROR(VLOOKUP(N23,OFFSET(abbreviation[],0,ColumnLanguage),ColumnAbbreviation,FALSE),"")</f>
        <v/>
      </c>
      <c r="BP23" s="21" t="str">
        <f ca="1">IFERROR(VLOOKUP(P23,OFFSET(abbreviation[],0,ColumnLanguage),ColumnAbbreviation,FALSE),"")</f>
        <v/>
      </c>
      <c r="BQ23" s="21" t="str">
        <f ca="1">IFERROR(VLOOKUP(T23,OFFSET(abbreviation[],0,ColumnLanguage),ColumnAbbreviation,FALSE),"")</f>
        <v/>
      </c>
      <c r="BR23" s="21" t="str">
        <f ca="1">IFERROR(VLOOKUP(V23,OFFSET(abbreviation[],0,ColumnLanguage),ColumnAbbreviation,FALSE),"")</f>
        <v/>
      </c>
      <c r="BS23" s="21" t="str">
        <f ca="1">IFERROR(VLOOKUP(Z23,OFFSET(abbreviation[],0,ColumnLanguage),ColumnAbbreviation,FALSE),"")</f>
        <v/>
      </c>
      <c r="BT23" s="21" t="str">
        <f ca="1">IFERROR(VLOOKUP(AB23,OFFSET(abbreviation[],0,ColumnLanguage),ColumnAbbreviation,FALSE),"")</f>
        <v/>
      </c>
      <c r="BU23" s="21" t="str">
        <f t="shared" ca="1" si="1"/>
        <v>__</v>
      </c>
      <c r="BV23" s="21" t="str">
        <f ca="1">IFERROR(VLOOKUP(AF23,OFFSET(abbreviation[],0,ColumnLanguage),ColumnAbbreviation,FALSE),"")</f>
        <v/>
      </c>
      <c r="BW23" s="21" t="str">
        <f ca="1">IFERROR(VLOOKUP(AH23,OFFSET(abbreviation[],0,ColumnLanguage),ColumnAbbreviation,FALSE),"")</f>
        <v/>
      </c>
      <c r="BX23" s="21" t="str">
        <f ca="1">IFERROR(VLOOKUP(AJ23,OFFSET(abbreviation[],0,ColumnLanguage),ColumnAbbreviation,FALSE),"")</f>
        <v/>
      </c>
      <c r="BY23" s="21" t="str">
        <f ca="1">IFERROR(VLOOKUP(AL23,OFFSET(abbreviation[],0,ColumnLanguage),ColumnAbbreviation,FALSE),"")</f>
        <v/>
      </c>
      <c r="BZ23" s="21" t="str">
        <f t="shared" ca="1" si="2"/>
        <v>_</v>
      </c>
      <c r="CA23" s="21" t="str">
        <f ca="1">IFERROR(VLOOKUP(AP23,OFFSET(abbreviation[],0,ColumnLanguage),ColumnAbbreviation,FALSE),"")</f>
        <v/>
      </c>
      <c r="CB23" s="21" t="str">
        <f ca="1">IFERROR(VLOOKUP(AR23,OFFSET(abbreviation[],0,ColumnLanguage),ColumnAbbreviation,FALSE),"")</f>
        <v/>
      </c>
      <c r="CC23" s="21" t="str">
        <f ca="1">IFERROR(VLOOKUP(AT23,OFFSET(abbreviation[],0,ColumnLanguage),ColumnAbbreviation,FALSE),"")</f>
        <v/>
      </c>
      <c r="CD23" s="21" t="str">
        <f ca="1">IFERROR(VLOOKUP(AV23,OFFSET(abbreviation[],0,ColumnLanguage),ColumnAbbreviation,FALSE),"")</f>
        <v/>
      </c>
      <c r="CE23" s="21" t="str">
        <f t="shared" ca="1" si="3"/>
        <v>__</v>
      </c>
      <c r="CF23" s="21" t="str">
        <f ca="1">IFERROR(VLOOKUP(AX23,OFFSET(abbreviation[],0,ColumnLanguage),ColumnAbbreviation,FALSE),"")</f>
        <v/>
      </c>
      <c r="CG23" s="21" t="str">
        <f ca="1">IFERROR(VLOOKUP(AZ23,OFFSET(abbreviation[],0,ColumnLanguage),ColumnAbbreviation,FALSE),"")</f>
        <v/>
      </c>
      <c r="CH23" s="21" t="str">
        <f ca="1">IFERROR(VLOOKUP(BB23,OFFSET(abbreviation[],0,ColumnLanguage),ColumnAbbreviation,FALSE),"")</f>
        <v/>
      </c>
      <c r="CI23" s="21" t="str">
        <f ca="1">IFERROR(VLOOKUP(BD23,OFFSET(abbreviation[],0,ColumnLanguage),ColumnAbbreviation,FALSE),"")</f>
        <v/>
      </c>
      <c r="CJ23" s="21" t="str">
        <f ca="1">IFERROR(VLOOKUP(BF23,OFFSET(abbreviation[],0,ColumnLanguage),ColumnAbbreviation,FALSE),"")</f>
        <v/>
      </c>
      <c r="CK23" s="21" t="str">
        <f t="shared" ca="1" si="4"/>
        <v/>
      </c>
      <c r="CL23" s="21" t="str">
        <f t="shared" si="5"/>
        <v/>
      </c>
      <c r="CM23" s="52"/>
      <c r="CN23" s="57" t="str">
        <f t="shared" si="6"/>
        <v/>
      </c>
    </row>
    <row r="24" spans="16:92" x14ac:dyDescent="0.25">
      <c r="P24" s="60"/>
      <c r="Q24" s="13"/>
      <c r="V24" s="60"/>
      <c r="X24" s="61"/>
      <c r="AB24" s="60"/>
      <c r="AN24" s="54"/>
      <c r="AS24" s="15"/>
      <c r="BH24" s="52"/>
      <c r="BI24" s="21" t="str">
        <f ca="1">IFERROR(VLOOKUP(C24,OFFSET(abbreviation[],0,ColumnLanguage),ColumnAbbreviation,FALSE),"")</f>
        <v/>
      </c>
      <c r="BJ24" s="21" t="str">
        <f ca="1">IFERROR(VLOOKUP(E24,OFFSET(abbreviation[],0,ColumnLanguage),ColumnAbbreviation,FALSE),"")</f>
        <v/>
      </c>
      <c r="BK24" s="21" t="str">
        <f ca="1">IFERROR(VLOOKUP(G24,OFFSET(abbreviation[],0,ColumnLanguage),ColumnAbbreviation,FALSE),"")</f>
        <v/>
      </c>
      <c r="BL24" s="21" t="str">
        <f ca="1">IFERROR(VLOOKUP(I24,OFFSET(abbreviation[],0,ColumnLanguage),ColumnAbbreviation,FALSE),"")</f>
        <v/>
      </c>
      <c r="BM24" s="21" t="str">
        <f ca="1">IFERROR(VLOOKUP(K24,OFFSET(abbreviation[],0,ColumnLanguage),ColumnAbbreviation,FALSE),"")</f>
        <v/>
      </c>
      <c r="BN24" s="21" t="str">
        <f t="shared" ca="1" si="0"/>
        <v/>
      </c>
      <c r="BO24" s="21" t="str">
        <f ca="1">IFERROR(VLOOKUP(N24,OFFSET(abbreviation[],0,ColumnLanguage),ColumnAbbreviation,FALSE),"")</f>
        <v/>
      </c>
      <c r="BP24" s="21" t="str">
        <f ca="1">IFERROR(VLOOKUP(P24,OFFSET(abbreviation[],0,ColumnLanguage),ColumnAbbreviation,FALSE),"")</f>
        <v/>
      </c>
      <c r="BQ24" s="21" t="str">
        <f ca="1">IFERROR(VLOOKUP(T24,OFFSET(abbreviation[],0,ColumnLanguage),ColumnAbbreviation,FALSE),"")</f>
        <v/>
      </c>
      <c r="BR24" s="21" t="str">
        <f ca="1">IFERROR(VLOOKUP(V24,OFFSET(abbreviation[],0,ColumnLanguage),ColumnAbbreviation,FALSE),"")</f>
        <v/>
      </c>
      <c r="BS24" s="21" t="str">
        <f ca="1">IFERROR(VLOOKUP(Z24,OFFSET(abbreviation[],0,ColumnLanguage),ColumnAbbreviation,FALSE),"")</f>
        <v/>
      </c>
      <c r="BT24" s="21" t="str">
        <f ca="1">IFERROR(VLOOKUP(AB24,OFFSET(abbreviation[],0,ColumnLanguage),ColumnAbbreviation,FALSE),"")</f>
        <v/>
      </c>
      <c r="BU24" s="21" t="str">
        <f t="shared" ca="1" si="1"/>
        <v>__</v>
      </c>
      <c r="BV24" s="21" t="str">
        <f ca="1">IFERROR(VLOOKUP(AF24,OFFSET(abbreviation[],0,ColumnLanguage),ColumnAbbreviation,FALSE),"")</f>
        <v/>
      </c>
      <c r="BW24" s="21" t="str">
        <f ca="1">IFERROR(VLOOKUP(AH24,OFFSET(abbreviation[],0,ColumnLanguage),ColumnAbbreviation,FALSE),"")</f>
        <v/>
      </c>
      <c r="BX24" s="21" t="str">
        <f ca="1">IFERROR(VLOOKUP(AJ24,OFFSET(abbreviation[],0,ColumnLanguage),ColumnAbbreviation,FALSE),"")</f>
        <v/>
      </c>
      <c r="BY24" s="21" t="str">
        <f ca="1">IFERROR(VLOOKUP(AL24,OFFSET(abbreviation[],0,ColumnLanguage),ColumnAbbreviation,FALSE),"")</f>
        <v/>
      </c>
      <c r="BZ24" s="21" t="str">
        <f t="shared" ca="1" si="2"/>
        <v>_</v>
      </c>
      <c r="CA24" s="21" t="str">
        <f ca="1">IFERROR(VLOOKUP(AP24,OFFSET(abbreviation[],0,ColumnLanguage),ColumnAbbreviation,FALSE),"")</f>
        <v/>
      </c>
      <c r="CB24" s="21" t="str">
        <f ca="1">IFERROR(VLOOKUP(AR24,OFFSET(abbreviation[],0,ColumnLanguage),ColumnAbbreviation,FALSE),"")</f>
        <v/>
      </c>
      <c r="CC24" s="21" t="str">
        <f ca="1">IFERROR(VLOOKUP(AT24,OFFSET(abbreviation[],0,ColumnLanguage),ColumnAbbreviation,FALSE),"")</f>
        <v/>
      </c>
      <c r="CD24" s="21" t="str">
        <f ca="1">IFERROR(VLOOKUP(AV24,OFFSET(abbreviation[],0,ColumnLanguage),ColumnAbbreviation,FALSE),"")</f>
        <v/>
      </c>
      <c r="CE24" s="21" t="str">
        <f t="shared" ca="1" si="3"/>
        <v>__</v>
      </c>
      <c r="CF24" s="21" t="str">
        <f ca="1">IFERROR(VLOOKUP(AX24,OFFSET(abbreviation[],0,ColumnLanguage),ColumnAbbreviation,FALSE),"")</f>
        <v/>
      </c>
      <c r="CG24" s="21" t="str">
        <f ca="1">IFERROR(VLOOKUP(AZ24,OFFSET(abbreviation[],0,ColumnLanguage),ColumnAbbreviation,FALSE),"")</f>
        <v/>
      </c>
      <c r="CH24" s="21" t="str">
        <f ca="1">IFERROR(VLOOKUP(BB24,OFFSET(abbreviation[],0,ColumnLanguage),ColumnAbbreviation,FALSE),"")</f>
        <v/>
      </c>
      <c r="CI24" s="21" t="str">
        <f ca="1">IFERROR(VLOOKUP(BD24,OFFSET(abbreviation[],0,ColumnLanguage),ColumnAbbreviation,FALSE),"")</f>
        <v/>
      </c>
      <c r="CJ24" s="21" t="str">
        <f ca="1">IFERROR(VLOOKUP(BF24,OFFSET(abbreviation[],0,ColumnLanguage),ColumnAbbreviation,FALSE),"")</f>
        <v/>
      </c>
      <c r="CK24" s="21" t="str">
        <f t="shared" ca="1" si="4"/>
        <v/>
      </c>
      <c r="CL24" s="21" t="str">
        <f t="shared" si="5"/>
        <v/>
      </c>
      <c r="CM24" s="52"/>
      <c r="CN24" s="57" t="str">
        <f t="shared" si="6"/>
        <v/>
      </c>
    </row>
    <row r="25" spans="16:92" x14ac:dyDescent="0.25">
      <c r="P25" s="60"/>
      <c r="Q25" s="13"/>
      <c r="V25" s="60"/>
      <c r="X25" s="61"/>
      <c r="AB25" s="60"/>
      <c r="AN25" s="54"/>
      <c r="AS25" s="15"/>
      <c r="BH25" s="52"/>
      <c r="BI25" s="21" t="str">
        <f ca="1">IFERROR(VLOOKUP(C25,OFFSET(abbreviation[],0,ColumnLanguage),ColumnAbbreviation,FALSE),"")</f>
        <v/>
      </c>
      <c r="BJ25" s="21" t="str">
        <f ca="1">IFERROR(VLOOKUP(E25,OFFSET(abbreviation[],0,ColumnLanguage),ColumnAbbreviation,FALSE),"")</f>
        <v/>
      </c>
      <c r="BK25" s="21" t="str">
        <f ca="1">IFERROR(VLOOKUP(G25,OFFSET(abbreviation[],0,ColumnLanguage),ColumnAbbreviation,FALSE),"")</f>
        <v/>
      </c>
      <c r="BL25" s="21" t="str">
        <f ca="1">IFERROR(VLOOKUP(I25,OFFSET(abbreviation[],0,ColumnLanguage),ColumnAbbreviation,FALSE),"")</f>
        <v/>
      </c>
      <c r="BM25" s="21" t="str">
        <f ca="1">IFERROR(VLOOKUP(K25,OFFSET(abbreviation[],0,ColumnLanguage),ColumnAbbreviation,FALSE),"")</f>
        <v/>
      </c>
      <c r="BN25" s="21" t="str">
        <f t="shared" ca="1" si="0"/>
        <v/>
      </c>
      <c r="BO25" s="21" t="str">
        <f ca="1">IFERROR(VLOOKUP(N25,OFFSET(abbreviation[],0,ColumnLanguage),ColumnAbbreviation,FALSE),"")</f>
        <v/>
      </c>
      <c r="BP25" s="21" t="str">
        <f ca="1">IFERROR(VLOOKUP(P25,OFFSET(abbreviation[],0,ColumnLanguage),ColumnAbbreviation,FALSE),"")</f>
        <v/>
      </c>
      <c r="BQ25" s="21" t="str">
        <f ca="1">IFERROR(VLOOKUP(T25,OFFSET(abbreviation[],0,ColumnLanguage),ColumnAbbreviation,FALSE),"")</f>
        <v/>
      </c>
      <c r="BR25" s="21" t="str">
        <f ca="1">IFERROR(VLOOKUP(V25,OFFSET(abbreviation[],0,ColumnLanguage),ColumnAbbreviation,FALSE),"")</f>
        <v/>
      </c>
      <c r="BS25" s="21" t="str">
        <f ca="1">IFERROR(VLOOKUP(Z25,OFFSET(abbreviation[],0,ColumnLanguage),ColumnAbbreviation,FALSE),"")</f>
        <v/>
      </c>
      <c r="BT25" s="21" t="str">
        <f ca="1">IFERROR(VLOOKUP(AB25,OFFSET(abbreviation[],0,ColumnLanguage),ColumnAbbreviation,FALSE),"")</f>
        <v/>
      </c>
      <c r="BU25" s="21" t="str">
        <f t="shared" ca="1" si="1"/>
        <v>__</v>
      </c>
      <c r="BV25" s="21" t="str">
        <f ca="1">IFERROR(VLOOKUP(AF25,OFFSET(abbreviation[],0,ColumnLanguage),ColumnAbbreviation,FALSE),"")</f>
        <v/>
      </c>
      <c r="BW25" s="21" t="str">
        <f ca="1">IFERROR(VLOOKUP(AH25,OFFSET(abbreviation[],0,ColumnLanguage),ColumnAbbreviation,FALSE),"")</f>
        <v/>
      </c>
      <c r="BX25" s="21" t="str">
        <f ca="1">IFERROR(VLOOKUP(AJ25,OFFSET(abbreviation[],0,ColumnLanguage),ColumnAbbreviation,FALSE),"")</f>
        <v/>
      </c>
      <c r="BY25" s="21" t="str">
        <f ca="1">IFERROR(VLOOKUP(AL25,OFFSET(abbreviation[],0,ColumnLanguage),ColumnAbbreviation,FALSE),"")</f>
        <v/>
      </c>
      <c r="BZ25" s="21" t="str">
        <f t="shared" ca="1" si="2"/>
        <v>_</v>
      </c>
      <c r="CA25" s="21" t="str">
        <f ca="1">IFERROR(VLOOKUP(AP25,OFFSET(abbreviation[],0,ColumnLanguage),ColumnAbbreviation,FALSE),"")</f>
        <v/>
      </c>
      <c r="CB25" s="21" t="str">
        <f ca="1">IFERROR(VLOOKUP(AR25,OFFSET(abbreviation[],0,ColumnLanguage),ColumnAbbreviation,FALSE),"")</f>
        <v/>
      </c>
      <c r="CC25" s="21" t="str">
        <f ca="1">IFERROR(VLOOKUP(AT25,OFFSET(abbreviation[],0,ColumnLanguage),ColumnAbbreviation,FALSE),"")</f>
        <v/>
      </c>
      <c r="CD25" s="21" t="str">
        <f ca="1">IFERROR(VLOOKUP(AV25,OFFSET(abbreviation[],0,ColumnLanguage),ColumnAbbreviation,FALSE),"")</f>
        <v/>
      </c>
      <c r="CE25" s="21" t="str">
        <f t="shared" ca="1" si="3"/>
        <v>__</v>
      </c>
      <c r="CF25" s="21" t="str">
        <f ca="1">IFERROR(VLOOKUP(AX25,OFFSET(abbreviation[],0,ColumnLanguage),ColumnAbbreviation,FALSE),"")</f>
        <v/>
      </c>
      <c r="CG25" s="21" t="str">
        <f ca="1">IFERROR(VLOOKUP(AZ25,OFFSET(abbreviation[],0,ColumnLanguage),ColumnAbbreviation,FALSE),"")</f>
        <v/>
      </c>
      <c r="CH25" s="21" t="str">
        <f ca="1">IFERROR(VLOOKUP(BB25,OFFSET(abbreviation[],0,ColumnLanguage),ColumnAbbreviation,FALSE),"")</f>
        <v/>
      </c>
      <c r="CI25" s="21" t="str">
        <f ca="1">IFERROR(VLOOKUP(BD25,OFFSET(abbreviation[],0,ColumnLanguage),ColumnAbbreviation,FALSE),"")</f>
        <v/>
      </c>
      <c r="CJ25" s="21" t="str">
        <f ca="1">IFERROR(VLOOKUP(BF25,OFFSET(abbreviation[],0,ColumnLanguage),ColumnAbbreviation,FALSE),"")</f>
        <v/>
      </c>
      <c r="CK25" s="21" t="str">
        <f t="shared" ca="1" si="4"/>
        <v/>
      </c>
      <c r="CL25" s="21" t="str">
        <f t="shared" si="5"/>
        <v/>
      </c>
      <c r="CM25" s="52"/>
      <c r="CN25" s="57" t="str">
        <f t="shared" si="6"/>
        <v/>
      </c>
    </row>
    <row r="26" spans="16:92" x14ac:dyDescent="0.25">
      <c r="P26" s="60"/>
      <c r="Q26" s="13"/>
      <c r="V26" s="60"/>
      <c r="X26" s="61"/>
      <c r="AB26" s="60"/>
      <c r="AN26" s="54"/>
      <c r="AS26" s="15"/>
      <c r="BH26" s="52"/>
      <c r="BI26" s="21" t="str">
        <f ca="1">IFERROR(VLOOKUP(C26,OFFSET(abbreviation[],0,ColumnLanguage),ColumnAbbreviation,FALSE),"")</f>
        <v/>
      </c>
      <c r="BJ26" s="21" t="str">
        <f ca="1">IFERROR(VLOOKUP(E26,OFFSET(abbreviation[],0,ColumnLanguage),ColumnAbbreviation,FALSE),"")</f>
        <v/>
      </c>
      <c r="BK26" s="21" t="str">
        <f ca="1">IFERROR(VLOOKUP(G26,OFFSET(abbreviation[],0,ColumnLanguage),ColumnAbbreviation,FALSE),"")</f>
        <v/>
      </c>
      <c r="BL26" s="21" t="str">
        <f ca="1">IFERROR(VLOOKUP(I26,OFFSET(abbreviation[],0,ColumnLanguage),ColumnAbbreviation,FALSE),"")</f>
        <v/>
      </c>
      <c r="BM26" s="21" t="str">
        <f ca="1">IFERROR(VLOOKUP(K26,OFFSET(abbreviation[],0,ColumnLanguage),ColumnAbbreviation,FALSE),"")</f>
        <v/>
      </c>
      <c r="BN26" s="21" t="str">
        <f t="shared" ca="1" si="0"/>
        <v/>
      </c>
      <c r="BO26" s="21" t="str">
        <f ca="1">IFERROR(VLOOKUP(N26,OFFSET(abbreviation[],0,ColumnLanguage),ColumnAbbreviation,FALSE),"")</f>
        <v/>
      </c>
      <c r="BP26" s="21" t="str">
        <f ca="1">IFERROR(VLOOKUP(P26,OFFSET(abbreviation[],0,ColumnLanguage),ColumnAbbreviation,FALSE),"")</f>
        <v/>
      </c>
      <c r="BQ26" s="21" t="str">
        <f ca="1">IFERROR(VLOOKUP(T26,OFFSET(abbreviation[],0,ColumnLanguage),ColumnAbbreviation,FALSE),"")</f>
        <v/>
      </c>
      <c r="BR26" s="21" t="str">
        <f ca="1">IFERROR(VLOOKUP(V26,OFFSET(abbreviation[],0,ColumnLanguage),ColumnAbbreviation,FALSE),"")</f>
        <v/>
      </c>
      <c r="BS26" s="21" t="str">
        <f ca="1">IFERROR(VLOOKUP(Z26,OFFSET(abbreviation[],0,ColumnLanguage),ColumnAbbreviation,FALSE),"")</f>
        <v/>
      </c>
      <c r="BT26" s="21" t="str">
        <f ca="1">IFERROR(VLOOKUP(AB26,OFFSET(abbreviation[],0,ColumnLanguage),ColumnAbbreviation,FALSE),"")</f>
        <v/>
      </c>
      <c r="BU26" s="21" t="str">
        <f t="shared" ca="1" si="1"/>
        <v>__</v>
      </c>
      <c r="BV26" s="21" t="str">
        <f ca="1">IFERROR(VLOOKUP(AF26,OFFSET(abbreviation[],0,ColumnLanguage),ColumnAbbreviation,FALSE),"")</f>
        <v/>
      </c>
      <c r="BW26" s="21" t="str">
        <f ca="1">IFERROR(VLOOKUP(AH26,OFFSET(abbreviation[],0,ColumnLanguage),ColumnAbbreviation,FALSE),"")</f>
        <v/>
      </c>
      <c r="BX26" s="21" t="str">
        <f ca="1">IFERROR(VLOOKUP(AJ26,OFFSET(abbreviation[],0,ColumnLanguage),ColumnAbbreviation,FALSE),"")</f>
        <v/>
      </c>
      <c r="BY26" s="21" t="str">
        <f ca="1">IFERROR(VLOOKUP(AL26,OFFSET(abbreviation[],0,ColumnLanguage),ColumnAbbreviation,FALSE),"")</f>
        <v/>
      </c>
      <c r="BZ26" s="21" t="str">
        <f t="shared" ca="1" si="2"/>
        <v>_</v>
      </c>
      <c r="CA26" s="21" t="str">
        <f ca="1">IFERROR(VLOOKUP(AP26,OFFSET(abbreviation[],0,ColumnLanguage),ColumnAbbreviation,FALSE),"")</f>
        <v/>
      </c>
      <c r="CB26" s="21" t="str">
        <f ca="1">IFERROR(VLOOKUP(AR26,OFFSET(abbreviation[],0,ColumnLanguage),ColumnAbbreviation,FALSE),"")</f>
        <v/>
      </c>
      <c r="CC26" s="21" t="str">
        <f ca="1">IFERROR(VLOOKUP(AT26,OFFSET(abbreviation[],0,ColumnLanguage),ColumnAbbreviation,FALSE),"")</f>
        <v/>
      </c>
      <c r="CD26" s="21" t="str">
        <f ca="1">IFERROR(VLOOKUP(AV26,OFFSET(abbreviation[],0,ColumnLanguage),ColumnAbbreviation,FALSE),"")</f>
        <v/>
      </c>
      <c r="CE26" s="21" t="str">
        <f t="shared" ca="1" si="3"/>
        <v>__</v>
      </c>
      <c r="CF26" s="21" t="str">
        <f ca="1">IFERROR(VLOOKUP(AX26,OFFSET(abbreviation[],0,ColumnLanguage),ColumnAbbreviation,FALSE),"")</f>
        <v/>
      </c>
      <c r="CG26" s="21" t="str">
        <f ca="1">IFERROR(VLOOKUP(AZ26,OFFSET(abbreviation[],0,ColumnLanguage),ColumnAbbreviation,FALSE),"")</f>
        <v/>
      </c>
      <c r="CH26" s="21" t="str">
        <f ca="1">IFERROR(VLOOKUP(BB26,OFFSET(abbreviation[],0,ColumnLanguage),ColumnAbbreviation,FALSE),"")</f>
        <v/>
      </c>
      <c r="CI26" s="21" t="str">
        <f ca="1">IFERROR(VLOOKUP(BD26,OFFSET(abbreviation[],0,ColumnLanguage),ColumnAbbreviation,FALSE),"")</f>
        <v/>
      </c>
      <c r="CJ26" s="21" t="str">
        <f ca="1">IFERROR(VLOOKUP(BF26,OFFSET(abbreviation[],0,ColumnLanguage),ColumnAbbreviation,FALSE),"")</f>
        <v/>
      </c>
      <c r="CK26" s="21" t="str">
        <f t="shared" ca="1" si="4"/>
        <v/>
      </c>
      <c r="CL26" s="21" t="str">
        <f t="shared" si="5"/>
        <v/>
      </c>
      <c r="CM26" s="52"/>
      <c r="CN26" s="57" t="str">
        <f t="shared" si="6"/>
        <v/>
      </c>
    </row>
    <row r="27" spans="16:92" x14ac:dyDescent="0.25">
      <c r="P27" s="60"/>
      <c r="Q27" s="13"/>
      <c r="V27" s="60"/>
      <c r="X27" s="61"/>
      <c r="AB27" s="60"/>
      <c r="AN27" s="54"/>
      <c r="AS27" s="15"/>
      <c r="BH27" s="52"/>
      <c r="BI27" s="21" t="str">
        <f ca="1">IFERROR(VLOOKUP(C27,OFFSET(abbreviation[],0,ColumnLanguage),ColumnAbbreviation,FALSE),"")</f>
        <v/>
      </c>
      <c r="BJ27" s="21" t="str">
        <f ca="1">IFERROR(VLOOKUP(E27,OFFSET(abbreviation[],0,ColumnLanguage),ColumnAbbreviation,FALSE),"")</f>
        <v/>
      </c>
      <c r="BK27" s="21" t="str">
        <f ca="1">IFERROR(VLOOKUP(G27,OFFSET(abbreviation[],0,ColumnLanguage),ColumnAbbreviation,FALSE),"")</f>
        <v/>
      </c>
      <c r="BL27" s="21" t="str">
        <f ca="1">IFERROR(VLOOKUP(I27,OFFSET(abbreviation[],0,ColumnLanguage),ColumnAbbreviation,FALSE),"")</f>
        <v/>
      </c>
      <c r="BM27" s="21" t="str">
        <f ca="1">IFERROR(VLOOKUP(K27,OFFSET(abbreviation[],0,ColumnLanguage),ColumnAbbreviation,FALSE),"")</f>
        <v/>
      </c>
      <c r="BN27" s="21" t="str">
        <f t="shared" ca="1" si="0"/>
        <v/>
      </c>
      <c r="BO27" s="21" t="str">
        <f ca="1">IFERROR(VLOOKUP(N27,OFFSET(abbreviation[],0,ColumnLanguage),ColumnAbbreviation,FALSE),"")</f>
        <v/>
      </c>
      <c r="BP27" s="21" t="str">
        <f ca="1">IFERROR(VLOOKUP(P27,OFFSET(abbreviation[],0,ColumnLanguage),ColumnAbbreviation,FALSE),"")</f>
        <v/>
      </c>
      <c r="BQ27" s="21" t="str">
        <f ca="1">IFERROR(VLOOKUP(T27,OFFSET(abbreviation[],0,ColumnLanguage),ColumnAbbreviation,FALSE),"")</f>
        <v/>
      </c>
      <c r="BR27" s="21" t="str">
        <f ca="1">IFERROR(VLOOKUP(V27,OFFSET(abbreviation[],0,ColumnLanguage),ColumnAbbreviation,FALSE),"")</f>
        <v/>
      </c>
      <c r="BS27" s="21" t="str">
        <f ca="1">IFERROR(VLOOKUP(Z27,OFFSET(abbreviation[],0,ColumnLanguage),ColumnAbbreviation,FALSE),"")</f>
        <v/>
      </c>
      <c r="BT27" s="21" t="str">
        <f ca="1">IFERROR(VLOOKUP(AB27,OFFSET(abbreviation[],0,ColumnLanguage),ColumnAbbreviation,FALSE),"")</f>
        <v/>
      </c>
      <c r="BU27" s="21" t="str">
        <f t="shared" ca="1" si="1"/>
        <v>__</v>
      </c>
      <c r="BV27" s="21" t="str">
        <f ca="1">IFERROR(VLOOKUP(AF27,OFFSET(abbreviation[],0,ColumnLanguage),ColumnAbbreviation,FALSE),"")</f>
        <v/>
      </c>
      <c r="BW27" s="21" t="str">
        <f ca="1">IFERROR(VLOOKUP(AH27,OFFSET(abbreviation[],0,ColumnLanguage),ColumnAbbreviation,FALSE),"")</f>
        <v/>
      </c>
      <c r="BX27" s="21" t="str">
        <f ca="1">IFERROR(VLOOKUP(AJ27,OFFSET(abbreviation[],0,ColumnLanguage),ColumnAbbreviation,FALSE),"")</f>
        <v/>
      </c>
      <c r="BY27" s="21" t="str">
        <f ca="1">IFERROR(VLOOKUP(AL27,OFFSET(abbreviation[],0,ColumnLanguage),ColumnAbbreviation,FALSE),"")</f>
        <v/>
      </c>
      <c r="BZ27" s="21" t="str">
        <f t="shared" ca="1" si="2"/>
        <v>_</v>
      </c>
      <c r="CA27" s="21" t="str">
        <f ca="1">IFERROR(VLOOKUP(AP27,OFFSET(abbreviation[],0,ColumnLanguage),ColumnAbbreviation,FALSE),"")</f>
        <v/>
      </c>
      <c r="CB27" s="21" t="str">
        <f ca="1">IFERROR(VLOOKUP(AR27,OFFSET(abbreviation[],0,ColumnLanguage),ColumnAbbreviation,FALSE),"")</f>
        <v/>
      </c>
      <c r="CC27" s="21" t="str">
        <f ca="1">IFERROR(VLOOKUP(AT27,OFFSET(abbreviation[],0,ColumnLanguage),ColumnAbbreviation,FALSE),"")</f>
        <v/>
      </c>
      <c r="CD27" s="21" t="str">
        <f ca="1">IFERROR(VLOOKUP(AV27,OFFSET(abbreviation[],0,ColumnLanguage),ColumnAbbreviation,FALSE),"")</f>
        <v/>
      </c>
      <c r="CE27" s="21" t="str">
        <f t="shared" ca="1" si="3"/>
        <v>__</v>
      </c>
      <c r="CF27" s="21" t="str">
        <f ca="1">IFERROR(VLOOKUP(AX27,OFFSET(abbreviation[],0,ColumnLanguage),ColumnAbbreviation,FALSE),"")</f>
        <v/>
      </c>
      <c r="CG27" s="21" t="str">
        <f ca="1">IFERROR(VLOOKUP(AZ27,OFFSET(abbreviation[],0,ColumnLanguage),ColumnAbbreviation,FALSE),"")</f>
        <v/>
      </c>
      <c r="CH27" s="21" t="str">
        <f ca="1">IFERROR(VLOOKUP(BB27,OFFSET(abbreviation[],0,ColumnLanguage),ColumnAbbreviation,FALSE),"")</f>
        <v/>
      </c>
      <c r="CI27" s="21" t="str">
        <f ca="1">IFERROR(VLOOKUP(BD27,OFFSET(abbreviation[],0,ColumnLanguage),ColumnAbbreviation,FALSE),"")</f>
        <v/>
      </c>
      <c r="CJ27" s="21" t="str">
        <f ca="1">IFERROR(VLOOKUP(BF27,OFFSET(abbreviation[],0,ColumnLanguage),ColumnAbbreviation,FALSE),"")</f>
        <v/>
      </c>
      <c r="CK27" s="21" t="str">
        <f t="shared" ca="1" si="4"/>
        <v/>
      </c>
      <c r="CL27" s="21" t="str">
        <f t="shared" si="5"/>
        <v/>
      </c>
      <c r="CM27" s="52"/>
      <c r="CN27" s="57" t="str">
        <f t="shared" si="6"/>
        <v/>
      </c>
    </row>
    <row r="28" spans="16:92" x14ac:dyDescent="0.25">
      <c r="P28" s="60"/>
      <c r="Q28" s="13"/>
      <c r="V28" s="60"/>
      <c r="X28" s="61"/>
      <c r="AB28" s="60"/>
      <c r="AN28" s="54"/>
      <c r="AS28" s="15"/>
      <c r="BH28" s="52"/>
      <c r="BI28" s="21" t="str">
        <f ca="1">IFERROR(VLOOKUP(C28,OFFSET(abbreviation[],0,ColumnLanguage),ColumnAbbreviation,FALSE),"")</f>
        <v/>
      </c>
      <c r="BJ28" s="21" t="str">
        <f ca="1">IFERROR(VLOOKUP(E28,OFFSET(abbreviation[],0,ColumnLanguage),ColumnAbbreviation,FALSE),"")</f>
        <v/>
      </c>
      <c r="BK28" s="21" t="str">
        <f ca="1">IFERROR(VLOOKUP(G28,OFFSET(abbreviation[],0,ColumnLanguage),ColumnAbbreviation,FALSE),"")</f>
        <v/>
      </c>
      <c r="BL28" s="21" t="str">
        <f ca="1">IFERROR(VLOOKUP(I28,OFFSET(abbreviation[],0,ColumnLanguage),ColumnAbbreviation,FALSE),"")</f>
        <v/>
      </c>
      <c r="BM28" s="21" t="str">
        <f ca="1">IFERROR(VLOOKUP(K28,OFFSET(abbreviation[],0,ColumnLanguage),ColumnAbbreviation,FALSE),"")</f>
        <v/>
      </c>
      <c r="BN28" s="21" t="str">
        <f t="shared" ca="1" si="0"/>
        <v/>
      </c>
      <c r="BO28" s="21" t="str">
        <f ca="1">IFERROR(VLOOKUP(N28,OFFSET(abbreviation[],0,ColumnLanguage),ColumnAbbreviation,FALSE),"")</f>
        <v/>
      </c>
      <c r="BP28" s="21" t="str">
        <f ca="1">IFERROR(VLOOKUP(P28,OFFSET(abbreviation[],0,ColumnLanguage),ColumnAbbreviation,FALSE),"")</f>
        <v/>
      </c>
      <c r="BQ28" s="21" t="str">
        <f ca="1">IFERROR(VLOOKUP(T28,OFFSET(abbreviation[],0,ColumnLanguage),ColumnAbbreviation,FALSE),"")</f>
        <v/>
      </c>
      <c r="BR28" s="21" t="str">
        <f ca="1">IFERROR(VLOOKUP(V28,OFFSET(abbreviation[],0,ColumnLanguage),ColumnAbbreviation,FALSE),"")</f>
        <v/>
      </c>
      <c r="BS28" s="21" t="str">
        <f ca="1">IFERROR(VLOOKUP(Z28,OFFSET(abbreviation[],0,ColumnLanguage),ColumnAbbreviation,FALSE),"")</f>
        <v/>
      </c>
      <c r="BT28" s="21" t="str">
        <f ca="1">IFERROR(VLOOKUP(AB28,OFFSET(abbreviation[],0,ColumnLanguage),ColumnAbbreviation,FALSE),"")</f>
        <v/>
      </c>
      <c r="BU28" s="21" t="str">
        <f t="shared" ca="1" si="1"/>
        <v>__</v>
      </c>
      <c r="BV28" s="21" t="str">
        <f ca="1">IFERROR(VLOOKUP(AF28,OFFSET(abbreviation[],0,ColumnLanguage),ColumnAbbreviation,FALSE),"")</f>
        <v/>
      </c>
      <c r="BW28" s="21" t="str">
        <f ca="1">IFERROR(VLOOKUP(AH28,OFFSET(abbreviation[],0,ColumnLanguage),ColumnAbbreviation,FALSE),"")</f>
        <v/>
      </c>
      <c r="BX28" s="21" t="str">
        <f ca="1">IFERROR(VLOOKUP(AJ28,OFFSET(abbreviation[],0,ColumnLanguage),ColumnAbbreviation,FALSE),"")</f>
        <v/>
      </c>
      <c r="BY28" s="21" t="str">
        <f ca="1">IFERROR(VLOOKUP(AL28,OFFSET(abbreviation[],0,ColumnLanguage),ColumnAbbreviation,FALSE),"")</f>
        <v/>
      </c>
      <c r="BZ28" s="21" t="str">
        <f t="shared" ca="1" si="2"/>
        <v>_</v>
      </c>
      <c r="CA28" s="21" t="str">
        <f ca="1">IFERROR(VLOOKUP(AP28,OFFSET(abbreviation[],0,ColumnLanguage),ColumnAbbreviation,FALSE),"")</f>
        <v/>
      </c>
      <c r="CB28" s="21" t="str">
        <f ca="1">IFERROR(VLOOKUP(AR28,OFFSET(abbreviation[],0,ColumnLanguage),ColumnAbbreviation,FALSE),"")</f>
        <v/>
      </c>
      <c r="CC28" s="21" t="str">
        <f ca="1">IFERROR(VLOOKUP(AT28,OFFSET(abbreviation[],0,ColumnLanguage),ColumnAbbreviation,FALSE),"")</f>
        <v/>
      </c>
      <c r="CD28" s="21" t="str">
        <f ca="1">IFERROR(VLOOKUP(AV28,OFFSET(abbreviation[],0,ColumnLanguage),ColumnAbbreviation,FALSE),"")</f>
        <v/>
      </c>
      <c r="CE28" s="21" t="str">
        <f t="shared" ca="1" si="3"/>
        <v>__</v>
      </c>
      <c r="CF28" s="21" t="str">
        <f ca="1">IFERROR(VLOOKUP(AX28,OFFSET(abbreviation[],0,ColumnLanguage),ColumnAbbreviation,FALSE),"")</f>
        <v/>
      </c>
      <c r="CG28" s="21" t="str">
        <f ca="1">IFERROR(VLOOKUP(AZ28,OFFSET(abbreviation[],0,ColumnLanguage),ColumnAbbreviation,FALSE),"")</f>
        <v/>
      </c>
      <c r="CH28" s="21" t="str">
        <f ca="1">IFERROR(VLOOKUP(BB28,OFFSET(abbreviation[],0,ColumnLanguage),ColumnAbbreviation,FALSE),"")</f>
        <v/>
      </c>
      <c r="CI28" s="21" t="str">
        <f ca="1">IFERROR(VLOOKUP(BD28,OFFSET(abbreviation[],0,ColumnLanguage),ColumnAbbreviation,FALSE),"")</f>
        <v/>
      </c>
      <c r="CJ28" s="21" t="str">
        <f ca="1">IFERROR(VLOOKUP(BF28,OFFSET(abbreviation[],0,ColumnLanguage),ColumnAbbreviation,FALSE),"")</f>
        <v/>
      </c>
      <c r="CK28" s="21" t="str">
        <f t="shared" ca="1" si="4"/>
        <v/>
      </c>
      <c r="CL28" s="21" t="str">
        <f t="shared" si="5"/>
        <v/>
      </c>
      <c r="CM28" s="52"/>
      <c r="CN28" s="57" t="str">
        <f t="shared" si="6"/>
        <v/>
      </c>
    </row>
    <row r="29" spans="16:92" x14ac:dyDescent="0.25">
      <c r="P29" s="60"/>
      <c r="Q29" s="13"/>
      <c r="V29" s="60"/>
      <c r="X29" s="61"/>
      <c r="AB29" s="60"/>
      <c r="AN29" s="54"/>
      <c r="AS29" s="15"/>
      <c r="BH29" s="52"/>
      <c r="BI29" s="21" t="str">
        <f ca="1">IFERROR(VLOOKUP(C29,OFFSET(abbreviation[],0,ColumnLanguage),ColumnAbbreviation,FALSE),"")</f>
        <v/>
      </c>
      <c r="BJ29" s="21" t="str">
        <f ca="1">IFERROR(VLOOKUP(E29,OFFSET(abbreviation[],0,ColumnLanguage),ColumnAbbreviation,FALSE),"")</f>
        <v/>
      </c>
      <c r="BK29" s="21" t="str">
        <f ca="1">IFERROR(VLOOKUP(G29,OFFSET(abbreviation[],0,ColumnLanguage),ColumnAbbreviation,FALSE),"")</f>
        <v/>
      </c>
      <c r="BL29" s="21" t="str">
        <f ca="1">IFERROR(VLOOKUP(I29,OFFSET(abbreviation[],0,ColumnLanguage),ColumnAbbreviation,FALSE),"")</f>
        <v/>
      </c>
      <c r="BM29" s="21" t="str">
        <f ca="1">IFERROR(VLOOKUP(K29,OFFSET(abbreviation[],0,ColumnLanguage),ColumnAbbreviation,FALSE),"")</f>
        <v/>
      </c>
      <c r="BN29" s="21" t="str">
        <f t="shared" ca="1" si="0"/>
        <v/>
      </c>
      <c r="BO29" s="21" t="str">
        <f ca="1">IFERROR(VLOOKUP(N29,OFFSET(abbreviation[],0,ColumnLanguage),ColumnAbbreviation,FALSE),"")</f>
        <v/>
      </c>
      <c r="BP29" s="21" t="str">
        <f ca="1">IFERROR(VLOOKUP(P29,OFFSET(abbreviation[],0,ColumnLanguage),ColumnAbbreviation,FALSE),"")</f>
        <v/>
      </c>
      <c r="BQ29" s="21" t="str">
        <f ca="1">IFERROR(VLOOKUP(T29,OFFSET(abbreviation[],0,ColumnLanguage),ColumnAbbreviation,FALSE),"")</f>
        <v/>
      </c>
      <c r="BR29" s="21" t="str">
        <f ca="1">IFERROR(VLOOKUP(V29,OFFSET(abbreviation[],0,ColumnLanguage),ColumnAbbreviation,FALSE),"")</f>
        <v/>
      </c>
      <c r="BS29" s="21" t="str">
        <f ca="1">IFERROR(VLOOKUP(Z29,OFFSET(abbreviation[],0,ColumnLanguage),ColumnAbbreviation,FALSE),"")</f>
        <v/>
      </c>
      <c r="BT29" s="21" t="str">
        <f ca="1">IFERROR(VLOOKUP(AB29,OFFSET(abbreviation[],0,ColumnLanguage),ColumnAbbreviation,FALSE),"")</f>
        <v/>
      </c>
      <c r="BU29" s="21" t="str">
        <f t="shared" ca="1" si="1"/>
        <v>__</v>
      </c>
      <c r="BV29" s="21" t="str">
        <f ca="1">IFERROR(VLOOKUP(AF29,OFFSET(abbreviation[],0,ColumnLanguage),ColumnAbbreviation,FALSE),"")</f>
        <v/>
      </c>
      <c r="BW29" s="21" t="str">
        <f ca="1">IFERROR(VLOOKUP(AH29,OFFSET(abbreviation[],0,ColumnLanguage),ColumnAbbreviation,FALSE),"")</f>
        <v/>
      </c>
      <c r="BX29" s="21" t="str">
        <f ca="1">IFERROR(VLOOKUP(AJ29,OFFSET(abbreviation[],0,ColumnLanguage),ColumnAbbreviation,FALSE),"")</f>
        <v/>
      </c>
      <c r="BY29" s="21" t="str">
        <f ca="1">IFERROR(VLOOKUP(AL29,OFFSET(abbreviation[],0,ColumnLanguage),ColumnAbbreviation,FALSE),"")</f>
        <v/>
      </c>
      <c r="BZ29" s="21" t="str">
        <f t="shared" ca="1" si="2"/>
        <v>_</v>
      </c>
      <c r="CA29" s="21" t="str">
        <f ca="1">IFERROR(VLOOKUP(AP29,OFFSET(abbreviation[],0,ColumnLanguage),ColumnAbbreviation,FALSE),"")</f>
        <v/>
      </c>
      <c r="CB29" s="21" t="str">
        <f ca="1">IFERROR(VLOOKUP(AR29,OFFSET(abbreviation[],0,ColumnLanguage),ColumnAbbreviation,FALSE),"")</f>
        <v/>
      </c>
      <c r="CC29" s="21" t="str">
        <f ca="1">IFERROR(VLOOKUP(AT29,OFFSET(abbreviation[],0,ColumnLanguage),ColumnAbbreviation,FALSE),"")</f>
        <v/>
      </c>
      <c r="CD29" s="21" t="str">
        <f ca="1">IFERROR(VLOOKUP(AV29,OFFSET(abbreviation[],0,ColumnLanguage),ColumnAbbreviation,FALSE),"")</f>
        <v/>
      </c>
      <c r="CE29" s="21" t="str">
        <f t="shared" ca="1" si="3"/>
        <v>__</v>
      </c>
      <c r="CF29" s="21" t="str">
        <f ca="1">IFERROR(VLOOKUP(AX29,OFFSET(abbreviation[],0,ColumnLanguage),ColumnAbbreviation,FALSE),"")</f>
        <v/>
      </c>
      <c r="CG29" s="21" t="str">
        <f ca="1">IFERROR(VLOOKUP(AZ29,OFFSET(abbreviation[],0,ColumnLanguage),ColumnAbbreviation,FALSE),"")</f>
        <v/>
      </c>
      <c r="CH29" s="21" t="str">
        <f ca="1">IFERROR(VLOOKUP(BB29,OFFSET(abbreviation[],0,ColumnLanguage),ColumnAbbreviation,FALSE),"")</f>
        <v/>
      </c>
      <c r="CI29" s="21" t="str">
        <f ca="1">IFERROR(VLOOKUP(BD29,OFFSET(abbreviation[],0,ColumnLanguage),ColumnAbbreviation,FALSE),"")</f>
        <v/>
      </c>
      <c r="CJ29" s="21" t="str">
        <f ca="1">IFERROR(VLOOKUP(BF29,OFFSET(abbreviation[],0,ColumnLanguage),ColumnAbbreviation,FALSE),"")</f>
        <v/>
      </c>
      <c r="CK29" s="21" t="str">
        <f t="shared" ca="1" si="4"/>
        <v/>
      </c>
      <c r="CL29" s="21" t="str">
        <f t="shared" si="5"/>
        <v/>
      </c>
      <c r="CM29" s="52"/>
      <c r="CN29" s="57" t="str">
        <f t="shared" si="6"/>
        <v/>
      </c>
    </row>
    <row r="30" spans="16:92" x14ac:dyDescent="0.25">
      <c r="P30" s="60"/>
      <c r="Q30" s="13"/>
      <c r="V30" s="60"/>
      <c r="X30" s="61"/>
      <c r="AB30" s="60"/>
      <c r="AN30" s="54"/>
      <c r="AS30" s="15"/>
      <c r="BH30" s="52"/>
      <c r="BI30" s="21" t="str">
        <f ca="1">IFERROR(VLOOKUP(C30,OFFSET(abbreviation[],0,ColumnLanguage),ColumnAbbreviation,FALSE),"")</f>
        <v/>
      </c>
      <c r="BJ30" s="21" t="str">
        <f ca="1">IFERROR(VLOOKUP(E30,OFFSET(abbreviation[],0,ColumnLanguage),ColumnAbbreviation,FALSE),"")</f>
        <v/>
      </c>
      <c r="BK30" s="21" t="str">
        <f ca="1">IFERROR(VLOOKUP(G30,OFFSET(abbreviation[],0,ColumnLanguage),ColumnAbbreviation,FALSE),"")</f>
        <v/>
      </c>
      <c r="BL30" s="21" t="str">
        <f ca="1">IFERROR(VLOOKUP(I30,OFFSET(abbreviation[],0,ColumnLanguage),ColumnAbbreviation,FALSE),"")</f>
        <v/>
      </c>
      <c r="BM30" s="21" t="str">
        <f ca="1">IFERROR(VLOOKUP(K30,OFFSET(abbreviation[],0,ColumnLanguage),ColumnAbbreviation,FALSE),"")</f>
        <v/>
      </c>
      <c r="BN30" s="21" t="str">
        <f t="shared" ca="1" si="0"/>
        <v/>
      </c>
      <c r="BO30" s="21" t="str">
        <f ca="1">IFERROR(VLOOKUP(N30,OFFSET(abbreviation[],0,ColumnLanguage),ColumnAbbreviation,FALSE),"")</f>
        <v/>
      </c>
      <c r="BP30" s="21" t="str">
        <f ca="1">IFERROR(VLOOKUP(P30,OFFSET(abbreviation[],0,ColumnLanguage),ColumnAbbreviation,FALSE),"")</f>
        <v/>
      </c>
      <c r="BQ30" s="21" t="str">
        <f ca="1">IFERROR(VLOOKUP(T30,OFFSET(abbreviation[],0,ColumnLanguage),ColumnAbbreviation,FALSE),"")</f>
        <v/>
      </c>
      <c r="BR30" s="21" t="str">
        <f ca="1">IFERROR(VLOOKUP(V30,OFFSET(abbreviation[],0,ColumnLanguage),ColumnAbbreviation,FALSE),"")</f>
        <v/>
      </c>
      <c r="BS30" s="21" t="str">
        <f ca="1">IFERROR(VLOOKUP(Z30,OFFSET(abbreviation[],0,ColumnLanguage),ColumnAbbreviation,FALSE),"")</f>
        <v/>
      </c>
      <c r="BT30" s="21" t="str">
        <f ca="1">IFERROR(VLOOKUP(AB30,OFFSET(abbreviation[],0,ColumnLanguage),ColumnAbbreviation,FALSE),"")</f>
        <v/>
      </c>
      <c r="BU30" s="21" t="str">
        <f t="shared" ca="1" si="1"/>
        <v>__</v>
      </c>
      <c r="BV30" s="21" t="str">
        <f ca="1">IFERROR(VLOOKUP(AF30,OFFSET(abbreviation[],0,ColumnLanguage),ColumnAbbreviation,FALSE),"")</f>
        <v/>
      </c>
      <c r="BW30" s="21" t="str">
        <f ca="1">IFERROR(VLOOKUP(AH30,OFFSET(abbreviation[],0,ColumnLanguage),ColumnAbbreviation,FALSE),"")</f>
        <v/>
      </c>
      <c r="BX30" s="21" t="str">
        <f ca="1">IFERROR(VLOOKUP(AJ30,OFFSET(abbreviation[],0,ColumnLanguage),ColumnAbbreviation,FALSE),"")</f>
        <v/>
      </c>
      <c r="BY30" s="21" t="str">
        <f ca="1">IFERROR(VLOOKUP(AL30,OFFSET(abbreviation[],0,ColumnLanguage),ColumnAbbreviation,FALSE),"")</f>
        <v/>
      </c>
      <c r="BZ30" s="21" t="str">
        <f t="shared" ca="1" si="2"/>
        <v>_</v>
      </c>
      <c r="CA30" s="21" t="str">
        <f ca="1">IFERROR(VLOOKUP(AP30,OFFSET(abbreviation[],0,ColumnLanguage),ColumnAbbreviation,FALSE),"")</f>
        <v/>
      </c>
      <c r="CB30" s="21" t="str">
        <f ca="1">IFERROR(VLOOKUP(AR30,OFFSET(abbreviation[],0,ColumnLanguage),ColumnAbbreviation,FALSE),"")</f>
        <v/>
      </c>
      <c r="CC30" s="21" t="str">
        <f ca="1">IFERROR(VLOOKUP(AT30,OFFSET(abbreviation[],0,ColumnLanguage),ColumnAbbreviation,FALSE),"")</f>
        <v/>
      </c>
      <c r="CD30" s="21" t="str">
        <f ca="1">IFERROR(VLOOKUP(AV30,OFFSET(abbreviation[],0,ColumnLanguage),ColumnAbbreviation,FALSE),"")</f>
        <v/>
      </c>
      <c r="CE30" s="21" t="str">
        <f t="shared" ca="1" si="3"/>
        <v>__</v>
      </c>
      <c r="CF30" s="21" t="str">
        <f ca="1">IFERROR(VLOOKUP(AX30,OFFSET(abbreviation[],0,ColumnLanguage),ColumnAbbreviation,FALSE),"")</f>
        <v/>
      </c>
      <c r="CG30" s="21" t="str">
        <f ca="1">IFERROR(VLOOKUP(AZ30,OFFSET(abbreviation[],0,ColumnLanguage),ColumnAbbreviation,FALSE),"")</f>
        <v/>
      </c>
      <c r="CH30" s="21" t="str">
        <f ca="1">IFERROR(VLOOKUP(BB30,OFFSET(abbreviation[],0,ColumnLanguage),ColumnAbbreviation,FALSE),"")</f>
        <v/>
      </c>
      <c r="CI30" s="21" t="str">
        <f ca="1">IFERROR(VLOOKUP(BD30,OFFSET(abbreviation[],0,ColumnLanguage),ColumnAbbreviation,FALSE),"")</f>
        <v/>
      </c>
      <c r="CJ30" s="21" t="str">
        <f ca="1">IFERROR(VLOOKUP(BF30,OFFSET(abbreviation[],0,ColumnLanguage),ColumnAbbreviation,FALSE),"")</f>
        <v/>
      </c>
      <c r="CK30" s="21" t="str">
        <f t="shared" ca="1" si="4"/>
        <v/>
      </c>
      <c r="CL30" s="21" t="str">
        <f t="shared" si="5"/>
        <v/>
      </c>
      <c r="CM30" s="52"/>
      <c r="CN30" s="57" t="str">
        <f t="shared" si="6"/>
        <v/>
      </c>
    </row>
    <row r="31" spans="16:92" x14ac:dyDescent="0.25">
      <c r="P31" s="60"/>
      <c r="Q31" s="13"/>
      <c r="V31" s="60"/>
      <c r="X31" s="61"/>
      <c r="AB31" s="60"/>
      <c r="AN31" s="54"/>
      <c r="AS31" s="15"/>
      <c r="BH31" s="52"/>
      <c r="BI31" s="21" t="str">
        <f ca="1">IFERROR(VLOOKUP(C31,OFFSET(abbreviation[],0,ColumnLanguage),ColumnAbbreviation,FALSE),"")</f>
        <v/>
      </c>
      <c r="BJ31" s="21" t="str">
        <f ca="1">IFERROR(VLOOKUP(E31,OFFSET(abbreviation[],0,ColumnLanguage),ColumnAbbreviation,FALSE),"")</f>
        <v/>
      </c>
      <c r="BK31" s="21" t="str">
        <f ca="1">IFERROR(VLOOKUP(G31,OFFSET(abbreviation[],0,ColumnLanguage),ColumnAbbreviation,FALSE),"")</f>
        <v/>
      </c>
      <c r="BL31" s="21" t="str">
        <f ca="1">IFERROR(VLOOKUP(I31,OFFSET(abbreviation[],0,ColumnLanguage),ColumnAbbreviation,FALSE),"")</f>
        <v/>
      </c>
      <c r="BM31" s="21" t="str">
        <f ca="1">IFERROR(VLOOKUP(K31,OFFSET(abbreviation[],0,ColumnLanguage),ColumnAbbreviation,FALSE),"")</f>
        <v/>
      </c>
      <c r="BN31" s="21" t="str">
        <f t="shared" ca="1" si="0"/>
        <v/>
      </c>
      <c r="BO31" s="21" t="str">
        <f ca="1">IFERROR(VLOOKUP(N31,OFFSET(abbreviation[],0,ColumnLanguage),ColumnAbbreviation,FALSE),"")</f>
        <v/>
      </c>
      <c r="BP31" s="21" t="str">
        <f ca="1">IFERROR(VLOOKUP(P31,OFFSET(abbreviation[],0,ColumnLanguage),ColumnAbbreviation,FALSE),"")</f>
        <v/>
      </c>
      <c r="BQ31" s="21" t="str">
        <f ca="1">IFERROR(VLOOKUP(T31,OFFSET(abbreviation[],0,ColumnLanguage),ColumnAbbreviation,FALSE),"")</f>
        <v/>
      </c>
      <c r="BR31" s="21" t="str">
        <f ca="1">IFERROR(VLOOKUP(V31,OFFSET(abbreviation[],0,ColumnLanguage),ColumnAbbreviation,FALSE),"")</f>
        <v/>
      </c>
      <c r="BS31" s="21" t="str">
        <f ca="1">IFERROR(VLOOKUP(Z31,OFFSET(abbreviation[],0,ColumnLanguage),ColumnAbbreviation,FALSE),"")</f>
        <v/>
      </c>
      <c r="BT31" s="21" t="str">
        <f ca="1">IFERROR(VLOOKUP(AB31,OFFSET(abbreviation[],0,ColumnLanguage),ColumnAbbreviation,FALSE),"")</f>
        <v/>
      </c>
      <c r="BU31" s="21" t="str">
        <f t="shared" ca="1" si="1"/>
        <v>__</v>
      </c>
      <c r="BV31" s="21" t="str">
        <f ca="1">IFERROR(VLOOKUP(AF31,OFFSET(abbreviation[],0,ColumnLanguage),ColumnAbbreviation,FALSE),"")</f>
        <v/>
      </c>
      <c r="BW31" s="21" t="str">
        <f ca="1">IFERROR(VLOOKUP(AH31,OFFSET(abbreviation[],0,ColumnLanguage),ColumnAbbreviation,FALSE),"")</f>
        <v/>
      </c>
      <c r="BX31" s="21" t="str">
        <f ca="1">IFERROR(VLOOKUP(AJ31,OFFSET(abbreviation[],0,ColumnLanguage),ColumnAbbreviation,FALSE),"")</f>
        <v/>
      </c>
      <c r="BY31" s="21" t="str">
        <f ca="1">IFERROR(VLOOKUP(AL31,OFFSET(abbreviation[],0,ColumnLanguage),ColumnAbbreviation,FALSE),"")</f>
        <v/>
      </c>
      <c r="BZ31" s="21" t="str">
        <f t="shared" ca="1" si="2"/>
        <v>_</v>
      </c>
      <c r="CA31" s="21" t="str">
        <f ca="1">IFERROR(VLOOKUP(AP31,OFFSET(abbreviation[],0,ColumnLanguage),ColumnAbbreviation,FALSE),"")</f>
        <v/>
      </c>
      <c r="CB31" s="21" t="str">
        <f ca="1">IFERROR(VLOOKUP(AR31,OFFSET(abbreviation[],0,ColumnLanguage),ColumnAbbreviation,FALSE),"")</f>
        <v/>
      </c>
      <c r="CC31" s="21" t="str">
        <f ca="1">IFERROR(VLOOKUP(AT31,OFFSET(abbreviation[],0,ColumnLanguage),ColumnAbbreviation,FALSE),"")</f>
        <v/>
      </c>
      <c r="CD31" s="21" t="str">
        <f ca="1">IFERROR(VLOOKUP(AV31,OFFSET(abbreviation[],0,ColumnLanguage),ColumnAbbreviation,FALSE),"")</f>
        <v/>
      </c>
      <c r="CE31" s="21" t="str">
        <f t="shared" ca="1" si="3"/>
        <v>__</v>
      </c>
      <c r="CF31" s="21" t="str">
        <f ca="1">IFERROR(VLOOKUP(AX31,OFFSET(abbreviation[],0,ColumnLanguage),ColumnAbbreviation,FALSE),"")</f>
        <v/>
      </c>
      <c r="CG31" s="21" t="str">
        <f ca="1">IFERROR(VLOOKUP(AZ31,OFFSET(abbreviation[],0,ColumnLanguage),ColumnAbbreviation,FALSE),"")</f>
        <v/>
      </c>
      <c r="CH31" s="21" t="str">
        <f ca="1">IFERROR(VLOOKUP(BB31,OFFSET(abbreviation[],0,ColumnLanguage),ColumnAbbreviation,FALSE),"")</f>
        <v/>
      </c>
      <c r="CI31" s="21" t="str">
        <f ca="1">IFERROR(VLOOKUP(BD31,OFFSET(abbreviation[],0,ColumnLanguage),ColumnAbbreviation,FALSE),"")</f>
        <v/>
      </c>
      <c r="CJ31" s="21" t="str">
        <f ca="1">IFERROR(VLOOKUP(BF31,OFFSET(abbreviation[],0,ColumnLanguage),ColumnAbbreviation,FALSE),"")</f>
        <v/>
      </c>
      <c r="CK31" s="21" t="str">
        <f t="shared" ca="1" si="4"/>
        <v/>
      </c>
      <c r="CL31" s="21" t="str">
        <f t="shared" si="5"/>
        <v/>
      </c>
      <c r="CM31" s="52"/>
      <c r="CN31" s="57" t="str">
        <f t="shared" si="6"/>
        <v/>
      </c>
    </row>
    <row r="32" spans="16:92" x14ac:dyDescent="0.25">
      <c r="P32" s="60"/>
      <c r="Q32" s="13"/>
      <c r="V32" s="60"/>
      <c r="X32" s="61"/>
      <c r="AB32" s="60"/>
      <c r="AN32" s="54"/>
      <c r="AS32" s="15"/>
      <c r="BH32" s="52"/>
      <c r="BI32" s="21" t="str">
        <f ca="1">IFERROR(VLOOKUP(C32,OFFSET(abbreviation[],0,ColumnLanguage),ColumnAbbreviation,FALSE),"")</f>
        <v/>
      </c>
      <c r="BJ32" s="21" t="str">
        <f ca="1">IFERROR(VLOOKUP(E32,OFFSET(abbreviation[],0,ColumnLanguage),ColumnAbbreviation,FALSE),"")</f>
        <v/>
      </c>
      <c r="BK32" s="21" t="str">
        <f ca="1">IFERROR(VLOOKUP(G32,OFFSET(abbreviation[],0,ColumnLanguage),ColumnAbbreviation,FALSE),"")</f>
        <v/>
      </c>
      <c r="BL32" s="21" t="str">
        <f ca="1">IFERROR(VLOOKUP(I32,OFFSET(abbreviation[],0,ColumnLanguage),ColumnAbbreviation,FALSE),"")</f>
        <v/>
      </c>
      <c r="BM32" s="21" t="str">
        <f ca="1">IFERROR(VLOOKUP(K32,OFFSET(abbreviation[],0,ColumnLanguage),ColumnAbbreviation,FALSE),"")</f>
        <v/>
      </c>
      <c r="BN32" s="21" t="str">
        <f t="shared" ca="1" si="0"/>
        <v/>
      </c>
      <c r="BO32" s="21" t="str">
        <f ca="1">IFERROR(VLOOKUP(N32,OFFSET(abbreviation[],0,ColumnLanguage),ColumnAbbreviation,FALSE),"")</f>
        <v/>
      </c>
      <c r="BP32" s="21" t="str">
        <f ca="1">IFERROR(VLOOKUP(P32,OFFSET(abbreviation[],0,ColumnLanguage),ColumnAbbreviation,FALSE),"")</f>
        <v/>
      </c>
      <c r="BQ32" s="21" t="str">
        <f ca="1">IFERROR(VLOOKUP(T32,OFFSET(abbreviation[],0,ColumnLanguage),ColumnAbbreviation,FALSE),"")</f>
        <v/>
      </c>
      <c r="BR32" s="21" t="str">
        <f ca="1">IFERROR(VLOOKUP(V32,OFFSET(abbreviation[],0,ColumnLanguage),ColumnAbbreviation,FALSE),"")</f>
        <v/>
      </c>
      <c r="BS32" s="21" t="str">
        <f ca="1">IFERROR(VLOOKUP(Z32,OFFSET(abbreviation[],0,ColumnLanguage),ColumnAbbreviation,FALSE),"")</f>
        <v/>
      </c>
      <c r="BT32" s="21" t="str">
        <f ca="1">IFERROR(VLOOKUP(AB32,OFFSET(abbreviation[],0,ColumnLanguage),ColumnAbbreviation,FALSE),"")</f>
        <v/>
      </c>
      <c r="BU32" s="21" t="str">
        <f t="shared" ca="1" si="1"/>
        <v>__</v>
      </c>
      <c r="BV32" s="21" t="str">
        <f ca="1">IFERROR(VLOOKUP(AF32,OFFSET(abbreviation[],0,ColumnLanguage),ColumnAbbreviation,FALSE),"")</f>
        <v/>
      </c>
      <c r="BW32" s="21" t="str">
        <f ca="1">IFERROR(VLOOKUP(AH32,OFFSET(abbreviation[],0,ColumnLanguage),ColumnAbbreviation,FALSE),"")</f>
        <v/>
      </c>
      <c r="BX32" s="21" t="str">
        <f ca="1">IFERROR(VLOOKUP(AJ32,OFFSET(abbreviation[],0,ColumnLanguage),ColumnAbbreviation,FALSE),"")</f>
        <v/>
      </c>
      <c r="BY32" s="21" t="str">
        <f ca="1">IFERROR(VLOOKUP(AL32,OFFSET(abbreviation[],0,ColumnLanguage),ColumnAbbreviation,FALSE),"")</f>
        <v/>
      </c>
      <c r="BZ32" s="21" t="str">
        <f t="shared" ca="1" si="2"/>
        <v>_</v>
      </c>
      <c r="CA32" s="21" t="str">
        <f ca="1">IFERROR(VLOOKUP(AP32,OFFSET(abbreviation[],0,ColumnLanguage),ColumnAbbreviation,FALSE),"")</f>
        <v/>
      </c>
      <c r="CB32" s="21" t="str">
        <f ca="1">IFERROR(VLOOKUP(AR32,OFFSET(abbreviation[],0,ColumnLanguage),ColumnAbbreviation,FALSE),"")</f>
        <v/>
      </c>
      <c r="CC32" s="21" t="str">
        <f ca="1">IFERROR(VLOOKUP(AT32,OFFSET(abbreviation[],0,ColumnLanguage),ColumnAbbreviation,FALSE),"")</f>
        <v/>
      </c>
      <c r="CD32" s="21" t="str">
        <f ca="1">IFERROR(VLOOKUP(AV32,OFFSET(abbreviation[],0,ColumnLanguage),ColumnAbbreviation,FALSE),"")</f>
        <v/>
      </c>
      <c r="CE32" s="21" t="str">
        <f t="shared" ca="1" si="3"/>
        <v>__</v>
      </c>
      <c r="CF32" s="21" t="str">
        <f ca="1">IFERROR(VLOOKUP(AX32,OFFSET(abbreviation[],0,ColumnLanguage),ColumnAbbreviation,FALSE),"")</f>
        <v/>
      </c>
      <c r="CG32" s="21" t="str">
        <f ca="1">IFERROR(VLOOKUP(AZ32,OFFSET(abbreviation[],0,ColumnLanguage),ColumnAbbreviation,FALSE),"")</f>
        <v/>
      </c>
      <c r="CH32" s="21" t="str">
        <f ca="1">IFERROR(VLOOKUP(BB32,OFFSET(abbreviation[],0,ColumnLanguage),ColumnAbbreviation,FALSE),"")</f>
        <v/>
      </c>
      <c r="CI32" s="21" t="str">
        <f ca="1">IFERROR(VLOOKUP(BD32,OFFSET(abbreviation[],0,ColumnLanguage),ColumnAbbreviation,FALSE),"")</f>
        <v/>
      </c>
      <c r="CJ32" s="21" t="str">
        <f ca="1">IFERROR(VLOOKUP(BF32,OFFSET(abbreviation[],0,ColumnLanguage),ColumnAbbreviation,FALSE),"")</f>
        <v/>
      </c>
      <c r="CK32" s="21" t="str">
        <f t="shared" ca="1" si="4"/>
        <v/>
      </c>
      <c r="CL32" s="21" t="str">
        <f t="shared" si="5"/>
        <v/>
      </c>
      <c r="CM32" s="52"/>
      <c r="CN32" s="57" t="str">
        <f t="shared" si="6"/>
        <v/>
      </c>
    </row>
    <row r="33" spans="16:92" x14ac:dyDescent="0.25">
      <c r="P33" s="60"/>
      <c r="Q33" s="13"/>
      <c r="V33" s="60"/>
      <c r="X33" s="61"/>
      <c r="AB33" s="60"/>
      <c r="AN33" s="54"/>
      <c r="AS33" s="15"/>
      <c r="BH33" s="52"/>
      <c r="BI33" s="21" t="str">
        <f ca="1">IFERROR(VLOOKUP(C33,OFFSET(abbreviation[],0,ColumnLanguage),ColumnAbbreviation,FALSE),"")</f>
        <v/>
      </c>
      <c r="BJ33" s="21" t="str">
        <f ca="1">IFERROR(VLOOKUP(E33,OFFSET(abbreviation[],0,ColumnLanguage),ColumnAbbreviation,FALSE),"")</f>
        <v/>
      </c>
      <c r="BK33" s="21" t="str">
        <f ca="1">IFERROR(VLOOKUP(G33,OFFSET(abbreviation[],0,ColumnLanguage),ColumnAbbreviation,FALSE),"")</f>
        <v/>
      </c>
      <c r="BL33" s="21" t="str">
        <f ca="1">IFERROR(VLOOKUP(I33,OFFSET(abbreviation[],0,ColumnLanguage),ColumnAbbreviation,FALSE),"")</f>
        <v/>
      </c>
      <c r="BM33" s="21" t="str">
        <f ca="1">IFERROR(VLOOKUP(K33,OFFSET(abbreviation[],0,ColumnLanguage),ColumnAbbreviation,FALSE),"")</f>
        <v/>
      </c>
      <c r="BN33" s="21" t="str">
        <f t="shared" ca="1" si="0"/>
        <v/>
      </c>
      <c r="BO33" s="21" t="str">
        <f ca="1">IFERROR(VLOOKUP(N33,OFFSET(abbreviation[],0,ColumnLanguage),ColumnAbbreviation,FALSE),"")</f>
        <v/>
      </c>
      <c r="BP33" s="21" t="str">
        <f ca="1">IFERROR(VLOOKUP(P33,OFFSET(abbreviation[],0,ColumnLanguage),ColumnAbbreviation,FALSE),"")</f>
        <v/>
      </c>
      <c r="BQ33" s="21" t="str">
        <f ca="1">IFERROR(VLOOKUP(T33,OFFSET(abbreviation[],0,ColumnLanguage),ColumnAbbreviation,FALSE),"")</f>
        <v/>
      </c>
      <c r="BR33" s="21" t="str">
        <f ca="1">IFERROR(VLOOKUP(V33,OFFSET(abbreviation[],0,ColumnLanguage),ColumnAbbreviation,FALSE),"")</f>
        <v/>
      </c>
      <c r="BS33" s="21" t="str">
        <f ca="1">IFERROR(VLOOKUP(Z33,OFFSET(abbreviation[],0,ColumnLanguage),ColumnAbbreviation,FALSE),"")</f>
        <v/>
      </c>
      <c r="BT33" s="21" t="str">
        <f ca="1">IFERROR(VLOOKUP(AB33,OFFSET(abbreviation[],0,ColumnLanguage),ColumnAbbreviation,FALSE),"")</f>
        <v/>
      </c>
      <c r="BU33" s="21" t="str">
        <f t="shared" ca="1" si="1"/>
        <v>__</v>
      </c>
      <c r="BV33" s="21" t="str">
        <f ca="1">IFERROR(VLOOKUP(AF33,OFFSET(abbreviation[],0,ColumnLanguage),ColumnAbbreviation,FALSE),"")</f>
        <v/>
      </c>
      <c r="BW33" s="21" t="str">
        <f ca="1">IFERROR(VLOOKUP(AH33,OFFSET(abbreviation[],0,ColumnLanguage),ColumnAbbreviation,FALSE),"")</f>
        <v/>
      </c>
      <c r="BX33" s="21" t="str">
        <f ca="1">IFERROR(VLOOKUP(AJ33,OFFSET(abbreviation[],0,ColumnLanguage),ColumnAbbreviation,FALSE),"")</f>
        <v/>
      </c>
      <c r="BY33" s="21" t="str">
        <f ca="1">IFERROR(VLOOKUP(AL33,OFFSET(abbreviation[],0,ColumnLanguage),ColumnAbbreviation,FALSE),"")</f>
        <v/>
      </c>
      <c r="BZ33" s="21" t="str">
        <f t="shared" ca="1" si="2"/>
        <v>_</v>
      </c>
      <c r="CA33" s="21" t="str">
        <f ca="1">IFERROR(VLOOKUP(AP33,OFFSET(abbreviation[],0,ColumnLanguage),ColumnAbbreviation,FALSE),"")</f>
        <v/>
      </c>
      <c r="CB33" s="21" t="str">
        <f ca="1">IFERROR(VLOOKUP(AR33,OFFSET(abbreviation[],0,ColumnLanguage),ColumnAbbreviation,FALSE),"")</f>
        <v/>
      </c>
      <c r="CC33" s="21" t="str">
        <f ca="1">IFERROR(VLOOKUP(AT33,OFFSET(abbreviation[],0,ColumnLanguage),ColumnAbbreviation,FALSE),"")</f>
        <v/>
      </c>
      <c r="CD33" s="21" t="str">
        <f ca="1">IFERROR(VLOOKUP(AV33,OFFSET(abbreviation[],0,ColumnLanguage),ColumnAbbreviation,FALSE),"")</f>
        <v/>
      </c>
      <c r="CE33" s="21" t="str">
        <f t="shared" ca="1" si="3"/>
        <v>__</v>
      </c>
      <c r="CF33" s="21" t="str">
        <f ca="1">IFERROR(VLOOKUP(AX33,OFFSET(abbreviation[],0,ColumnLanguage),ColumnAbbreviation,FALSE),"")</f>
        <v/>
      </c>
      <c r="CG33" s="21" t="str">
        <f ca="1">IFERROR(VLOOKUP(AZ33,OFFSET(abbreviation[],0,ColumnLanguage),ColumnAbbreviation,FALSE),"")</f>
        <v/>
      </c>
      <c r="CH33" s="21" t="str">
        <f ca="1">IFERROR(VLOOKUP(BB33,OFFSET(abbreviation[],0,ColumnLanguage),ColumnAbbreviation,FALSE),"")</f>
        <v/>
      </c>
      <c r="CI33" s="21" t="str">
        <f ca="1">IFERROR(VLOOKUP(BD33,OFFSET(abbreviation[],0,ColumnLanguage),ColumnAbbreviation,FALSE),"")</f>
        <v/>
      </c>
      <c r="CJ33" s="21" t="str">
        <f ca="1">IFERROR(VLOOKUP(BF33,OFFSET(abbreviation[],0,ColumnLanguage),ColumnAbbreviation,FALSE),"")</f>
        <v/>
      </c>
      <c r="CK33" s="21" t="str">
        <f t="shared" ca="1" si="4"/>
        <v/>
      </c>
      <c r="CL33" s="21" t="str">
        <f t="shared" si="5"/>
        <v/>
      </c>
      <c r="CM33" s="52"/>
      <c r="CN33" s="57" t="str">
        <f t="shared" si="6"/>
        <v/>
      </c>
    </row>
    <row r="34" spans="16:92" x14ac:dyDescent="0.25">
      <c r="P34" s="60"/>
      <c r="Q34" s="13"/>
      <c r="V34" s="60"/>
      <c r="X34" s="61"/>
      <c r="AB34" s="60"/>
      <c r="AN34" s="54"/>
      <c r="AS34" s="15"/>
      <c r="BH34" s="52"/>
      <c r="BI34" s="21" t="str">
        <f ca="1">IFERROR(VLOOKUP(C34,OFFSET(abbreviation[],0,ColumnLanguage),ColumnAbbreviation,FALSE),"")</f>
        <v/>
      </c>
      <c r="BJ34" s="21" t="str">
        <f ca="1">IFERROR(VLOOKUP(E34,OFFSET(abbreviation[],0,ColumnLanguage),ColumnAbbreviation,FALSE),"")</f>
        <v/>
      </c>
      <c r="BK34" s="21" t="str">
        <f ca="1">IFERROR(VLOOKUP(G34,OFFSET(abbreviation[],0,ColumnLanguage),ColumnAbbreviation,FALSE),"")</f>
        <v/>
      </c>
      <c r="BL34" s="21" t="str">
        <f ca="1">IFERROR(VLOOKUP(I34,OFFSET(abbreviation[],0,ColumnLanguage),ColumnAbbreviation,FALSE),"")</f>
        <v/>
      </c>
      <c r="BM34" s="21" t="str">
        <f ca="1">IFERROR(VLOOKUP(K34,OFFSET(abbreviation[],0,ColumnLanguage),ColumnAbbreviation,FALSE),"")</f>
        <v/>
      </c>
      <c r="BN34" s="21" t="str">
        <f t="shared" ca="1" si="0"/>
        <v/>
      </c>
      <c r="BO34" s="21" t="str">
        <f ca="1">IFERROR(VLOOKUP(N34,OFFSET(abbreviation[],0,ColumnLanguage),ColumnAbbreviation,FALSE),"")</f>
        <v/>
      </c>
      <c r="BP34" s="21" t="str">
        <f ca="1">IFERROR(VLOOKUP(P34,OFFSET(abbreviation[],0,ColumnLanguage),ColumnAbbreviation,FALSE),"")</f>
        <v/>
      </c>
      <c r="BQ34" s="21" t="str">
        <f ca="1">IFERROR(VLOOKUP(T34,OFFSET(abbreviation[],0,ColumnLanguage),ColumnAbbreviation,FALSE),"")</f>
        <v/>
      </c>
      <c r="BR34" s="21" t="str">
        <f ca="1">IFERROR(VLOOKUP(V34,OFFSET(abbreviation[],0,ColumnLanguage),ColumnAbbreviation,FALSE),"")</f>
        <v/>
      </c>
      <c r="BS34" s="21" t="str">
        <f ca="1">IFERROR(VLOOKUP(Z34,OFFSET(abbreviation[],0,ColumnLanguage),ColumnAbbreviation,FALSE),"")</f>
        <v/>
      </c>
      <c r="BT34" s="21" t="str">
        <f ca="1">IFERROR(VLOOKUP(AB34,OFFSET(abbreviation[],0,ColumnLanguage),ColumnAbbreviation,FALSE),"")</f>
        <v/>
      </c>
      <c r="BU34" s="21" t="str">
        <f t="shared" ca="1" si="1"/>
        <v>__</v>
      </c>
      <c r="BV34" s="21" t="str">
        <f ca="1">IFERROR(VLOOKUP(AF34,OFFSET(abbreviation[],0,ColumnLanguage),ColumnAbbreviation,FALSE),"")</f>
        <v/>
      </c>
      <c r="BW34" s="21" t="str">
        <f ca="1">IFERROR(VLOOKUP(AH34,OFFSET(abbreviation[],0,ColumnLanguage),ColumnAbbreviation,FALSE),"")</f>
        <v/>
      </c>
      <c r="BX34" s="21" t="str">
        <f ca="1">IFERROR(VLOOKUP(AJ34,OFFSET(abbreviation[],0,ColumnLanguage),ColumnAbbreviation,FALSE),"")</f>
        <v/>
      </c>
      <c r="BY34" s="21" t="str">
        <f ca="1">IFERROR(VLOOKUP(AL34,OFFSET(abbreviation[],0,ColumnLanguage),ColumnAbbreviation,FALSE),"")</f>
        <v/>
      </c>
      <c r="BZ34" s="21" t="str">
        <f t="shared" ca="1" si="2"/>
        <v>_</v>
      </c>
      <c r="CA34" s="21" t="str">
        <f ca="1">IFERROR(VLOOKUP(AP34,OFFSET(abbreviation[],0,ColumnLanguage),ColumnAbbreviation,FALSE),"")</f>
        <v/>
      </c>
      <c r="CB34" s="21" t="str">
        <f ca="1">IFERROR(VLOOKUP(AR34,OFFSET(abbreviation[],0,ColumnLanguage),ColumnAbbreviation,FALSE),"")</f>
        <v/>
      </c>
      <c r="CC34" s="21" t="str">
        <f ca="1">IFERROR(VLOOKUP(AT34,OFFSET(abbreviation[],0,ColumnLanguage),ColumnAbbreviation,FALSE),"")</f>
        <v/>
      </c>
      <c r="CD34" s="21" t="str">
        <f ca="1">IFERROR(VLOOKUP(AV34,OFFSET(abbreviation[],0,ColumnLanguage),ColumnAbbreviation,FALSE),"")</f>
        <v/>
      </c>
      <c r="CE34" s="21" t="str">
        <f t="shared" ca="1" si="3"/>
        <v>__</v>
      </c>
      <c r="CF34" s="21" t="str">
        <f ca="1">IFERROR(VLOOKUP(AX34,OFFSET(abbreviation[],0,ColumnLanguage),ColumnAbbreviation,FALSE),"")</f>
        <v/>
      </c>
      <c r="CG34" s="21" t="str">
        <f ca="1">IFERROR(VLOOKUP(AZ34,OFFSET(abbreviation[],0,ColumnLanguage),ColumnAbbreviation,FALSE),"")</f>
        <v/>
      </c>
      <c r="CH34" s="21" t="str">
        <f ca="1">IFERROR(VLOOKUP(BB34,OFFSET(abbreviation[],0,ColumnLanguage),ColumnAbbreviation,FALSE),"")</f>
        <v/>
      </c>
      <c r="CI34" s="21" t="str">
        <f ca="1">IFERROR(VLOOKUP(BD34,OFFSET(abbreviation[],0,ColumnLanguage),ColumnAbbreviation,FALSE),"")</f>
        <v/>
      </c>
      <c r="CJ34" s="21" t="str">
        <f ca="1">IFERROR(VLOOKUP(BF34,OFFSET(abbreviation[],0,ColumnLanguage),ColumnAbbreviation,FALSE),"")</f>
        <v/>
      </c>
      <c r="CK34" s="21" t="str">
        <f t="shared" ca="1" si="4"/>
        <v/>
      </c>
      <c r="CL34" s="21" t="str">
        <f t="shared" si="5"/>
        <v/>
      </c>
      <c r="CM34" s="52"/>
      <c r="CN34" s="57" t="str">
        <f t="shared" si="6"/>
        <v/>
      </c>
    </row>
    <row r="35" spans="16:92" x14ac:dyDescent="0.25">
      <c r="P35" s="60"/>
      <c r="Q35" s="13"/>
      <c r="V35" s="60"/>
      <c r="X35" s="61"/>
      <c r="AB35" s="60"/>
      <c r="AN35" s="54"/>
      <c r="AS35" s="15"/>
      <c r="BH35" s="52"/>
      <c r="BI35" s="21" t="str">
        <f ca="1">IFERROR(VLOOKUP(C35,OFFSET(abbreviation[],0,ColumnLanguage),ColumnAbbreviation,FALSE),"")</f>
        <v/>
      </c>
      <c r="BJ35" s="21" t="str">
        <f ca="1">IFERROR(VLOOKUP(E35,OFFSET(abbreviation[],0,ColumnLanguage),ColumnAbbreviation,FALSE),"")</f>
        <v/>
      </c>
      <c r="BK35" s="21" t="str">
        <f ca="1">IFERROR(VLOOKUP(G35,OFFSET(abbreviation[],0,ColumnLanguage),ColumnAbbreviation,FALSE),"")</f>
        <v/>
      </c>
      <c r="BL35" s="21" t="str">
        <f ca="1">IFERROR(VLOOKUP(I35,OFFSET(abbreviation[],0,ColumnLanguage),ColumnAbbreviation,FALSE),"")</f>
        <v/>
      </c>
      <c r="BM35" s="21" t="str">
        <f ca="1">IFERROR(VLOOKUP(K35,OFFSET(abbreviation[],0,ColumnLanguage),ColumnAbbreviation,FALSE),"")</f>
        <v/>
      </c>
      <c r="BN35" s="21" t="str">
        <f t="shared" ca="1" si="0"/>
        <v/>
      </c>
      <c r="BO35" s="21" t="str">
        <f ca="1">IFERROR(VLOOKUP(N35,OFFSET(abbreviation[],0,ColumnLanguage),ColumnAbbreviation,FALSE),"")</f>
        <v/>
      </c>
      <c r="BP35" s="21" t="str">
        <f ca="1">IFERROR(VLOOKUP(P35,OFFSET(abbreviation[],0,ColumnLanguage),ColumnAbbreviation,FALSE),"")</f>
        <v/>
      </c>
      <c r="BQ35" s="21" t="str">
        <f ca="1">IFERROR(VLOOKUP(T35,OFFSET(abbreviation[],0,ColumnLanguage),ColumnAbbreviation,FALSE),"")</f>
        <v/>
      </c>
      <c r="BR35" s="21" t="str">
        <f ca="1">IFERROR(VLOOKUP(V35,OFFSET(abbreviation[],0,ColumnLanguage),ColumnAbbreviation,FALSE),"")</f>
        <v/>
      </c>
      <c r="BS35" s="21" t="str">
        <f ca="1">IFERROR(VLOOKUP(Z35,OFFSET(abbreviation[],0,ColumnLanguage),ColumnAbbreviation,FALSE),"")</f>
        <v/>
      </c>
      <c r="BT35" s="21" t="str">
        <f ca="1">IFERROR(VLOOKUP(AB35,OFFSET(abbreviation[],0,ColumnLanguage),ColumnAbbreviation,FALSE),"")</f>
        <v/>
      </c>
      <c r="BU35" s="21" t="str">
        <f t="shared" ca="1" si="1"/>
        <v>__</v>
      </c>
      <c r="BV35" s="21" t="str">
        <f ca="1">IFERROR(VLOOKUP(AF35,OFFSET(abbreviation[],0,ColumnLanguage),ColumnAbbreviation,FALSE),"")</f>
        <v/>
      </c>
      <c r="BW35" s="21" t="str">
        <f ca="1">IFERROR(VLOOKUP(AH35,OFFSET(abbreviation[],0,ColumnLanguage),ColumnAbbreviation,FALSE),"")</f>
        <v/>
      </c>
      <c r="BX35" s="21" t="str">
        <f ca="1">IFERROR(VLOOKUP(AJ35,OFFSET(abbreviation[],0,ColumnLanguage),ColumnAbbreviation,FALSE),"")</f>
        <v/>
      </c>
      <c r="BY35" s="21" t="str">
        <f ca="1">IFERROR(VLOOKUP(AL35,OFFSET(abbreviation[],0,ColumnLanguage),ColumnAbbreviation,FALSE),"")</f>
        <v/>
      </c>
      <c r="BZ35" s="21" t="str">
        <f t="shared" ca="1" si="2"/>
        <v>_</v>
      </c>
      <c r="CA35" s="21" t="str">
        <f ca="1">IFERROR(VLOOKUP(AP35,OFFSET(abbreviation[],0,ColumnLanguage),ColumnAbbreviation,FALSE),"")</f>
        <v/>
      </c>
      <c r="CB35" s="21" t="str">
        <f ca="1">IFERROR(VLOOKUP(AR35,OFFSET(abbreviation[],0,ColumnLanguage),ColumnAbbreviation,FALSE),"")</f>
        <v/>
      </c>
      <c r="CC35" s="21" t="str">
        <f ca="1">IFERROR(VLOOKUP(AT35,OFFSET(abbreviation[],0,ColumnLanguage),ColumnAbbreviation,FALSE),"")</f>
        <v/>
      </c>
      <c r="CD35" s="21" t="str">
        <f ca="1">IFERROR(VLOOKUP(AV35,OFFSET(abbreviation[],0,ColumnLanguage),ColumnAbbreviation,FALSE),"")</f>
        <v/>
      </c>
      <c r="CE35" s="21" t="str">
        <f t="shared" ca="1" si="3"/>
        <v>__</v>
      </c>
      <c r="CF35" s="21" t="str">
        <f ca="1">IFERROR(VLOOKUP(AX35,OFFSET(abbreviation[],0,ColumnLanguage),ColumnAbbreviation,FALSE),"")</f>
        <v/>
      </c>
      <c r="CG35" s="21" t="str">
        <f ca="1">IFERROR(VLOOKUP(AZ35,OFFSET(abbreviation[],0,ColumnLanguage),ColumnAbbreviation,FALSE),"")</f>
        <v/>
      </c>
      <c r="CH35" s="21" t="str">
        <f ca="1">IFERROR(VLOOKUP(BB35,OFFSET(abbreviation[],0,ColumnLanguage),ColumnAbbreviation,FALSE),"")</f>
        <v/>
      </c>
      <c r="CI35" s="21" t="str">
        <f ca="1">IFERROR(VLOOKUP(BD35,OFFSET(abbreviation[],0,ColumnLanguage),ColumnAbbreviation,FALSE),"")</f>
        <v/>
      </c>
      <c r="CJ35" s="21" t="str">
        <f ca="1">IFERROR(VLOOKUP(BF35,OFFSET(abbreviation[],0,ColumnLanguage),ColumnAbbreviation,FALSE),"")</f>
        <v/>
      </c>
      <c r="CK35" s="21" t="str">
        <f t="shared" ca="1" si="4"/>
        <v/>
      </c>
      <c r="CL35" s="21" t="str">
        <f t="shared" si="5"/>
        <v/>
      </c>
      <c r="CM35" s="52"/>
      <c r="CN35" s="57" t="str">
        <f t="shared" si="6"/>
        <v/>
      </c>
    </row>
    <row r="36" spans="16:92" x14ac:dyDescent="0.25">
      <c r="P36" s="60"/>
      <c r="Q36" s="13"/>
      <c r="V36" s="60"/>
      <c r="X36" s="61"/>
      <c r="AB36" s="60"/>
      <c r="AN36" s="54"/>
      <c r="AS36" s="15"/>
      <c r="BH36" s="52"/>
      <c r="BI36" s="21" t="str">
        <f ca="1">IFERROR(VLOOKUP(C36,OFFSET(abbreviation[],0,ColumnLanguage),ColumnAbbreviation,FALSE),"")</f>
        <v/>
      </c>
      <c r="BJ36" s="21" t="str">
        <f ca="1">IFERROR(VLOOKUP(E36,OFFSET(abbreviation[],0,ColumnLanguage),ColumnAbbreviation,FALSE),"")</f>
        <v/>
      </c>
      <c r="BK36" s="21" t="str">
        <f ca="1">IFERROR(VLOOKUP(G36,OFFSET(abbreviation[],0,ColumnLanguage),ColumnAbbreviation,FALSE),"")</f>
        <v/>
      </c>
      <c r="BL36" s="21" t="str">
        <f ca="1">IFERROR(VLOOKUP(I36,OFFSET(abbreviation[],0,ColumnLanguage),ColumnAbbreviation,FALSE),"")</f>
        <v/>
      </c>
      <c r="BM36" s="21" t="str">
        <f ca="1">IFERROR(VLOOKUP(K36,OFFSET(abbreviation[],0,ColumnLanguage),ColumnAbbreviation,FALSE),"")</f>
        <v/>
      </c>
      <c r="BN36" s="21" t="str">
        <f t="shared" ca="1" si="0"/>
        <v/>
      </c>
      <c r="BO36" s="21" t="str">
        <f ca="1">IFERROR(VLOOKUP(N36,OFFSET(abbreviation[],0,ColumnLanguage),ColumnAbbreviation,FALSE),"")</f>
        <v/>
      </c>
      <c r="BP36" s="21" t="str">
        <f ca="1">IFERROR(VLOOKUP(P36,OFFSET(abbreviation[],0,ColumnLanguage),ColumnAbbreviation,FALSE),"")</f>
        <v/>
      </c>
      <c r="BQ36" s="21" t="str">
        <f ca="1">IFERROR(VLOOKUP(T36,OFFSET(abbreviation[],0,ColumnLanguage),ColumnAbbreviation,FALSE),"")</f>
        <v/>
      </c>
      <c r="BR36" s="21" t="str">
        <f ca="1">IFERROR(VLOOKUP(V36,OFFSET(abbreviation[],0,ColumnLanguage),ColumnAbbreviation,FALSE),"")</f>
        <v/>
      </c>
      <c r="BS36" s="21" t="str">
        <f ca="1">IFERROR(VLOOKUP(Z36,OFFSET(abbreviation[],0,ColumnLanguage),ColumnAbbreviation,FALSE),"")</f>
        <v/>
      </c>
      <c r="BT36" s="21" t="str">
        <f ca="1">IFERROR(VLOOKUP(AB36,OFFSET(abbreviation[],0,ColumnLanguage),ColumnAbbreviation,FALSE),"")</f>
        <v/>
      </c>
      <c r="BU36" s="21" t="str">
        <f t="shared" ca="1" si="1"/>
        <v>__</v>
      </c>
      <c r="BV36" s="21" t="str">
        <f ca="1">IFERROR(VLOOKUP(AF36,OFFSET(abbreviation[],0,ColumnLanguage),ColumnAbbreviation,FALSE),"")</f>
        <v/>
      </c>
      <c r="BW36" s="21" t="str">
        <f ca="1">IFERROR(VLOOKUP(AH36,OFFSET(abbreviation[],0,ColumnLanguage),ColumnAbbreviation,FALSE),"")</f>
        <v/>
      </c>
      <c r="BX36" s="21" t="str">
        <f ca="1">IFERROR(VLOOKUP(AJ36,OFFSET(abbreviation[],0,ColumnLanguage),ColumnAbbreviation,FALSE),"")</f>
        <v/>
      </c>
      <c r="BY36" s="21" t="str">
        <f ca="1">IFERROR(VLOOKUP(AL36,OFFSET(abbreviation[],0,ColumnLanguage),ColumnAbbreviation,FALSE),"")</f>
        <v/>
      </c>
      <c r="BZ36" s="21" t="str">
        <f t="shared" ca="1" si="2"/>
        <v>_</v>
      </c>
      <c r="CA36" s="21" t="str">
        <f ca="1">IFERROR(VLOOKUP(AP36,OFFSET(abbreviation[],0,ColumnLanguage),ColumnAbbreviation,FALSE),"")</f>
        <v/>
      </c>
      <c r="CB36" s="21" t="str">
        <f ca="1">IFERROR(VLOOKUP(AR36,OFFSET(abbreviation[],0,ColumnLanguage),ColumnAbbreviation,FALSE),"")</f>
        <v/>
      </c>
      <c r="CC36" s="21" t="str">
        <f ca="1">IFERROR(VLOOKUP(AT36,OFFSET(abbreviation[],0,ColumnLanguage),ColumnAbbreviation,FALSE),"")</f>
        <v/>
      </c>
      <c r="CD36" s="21" t="str">
        <f ca="1">IFERROR(VLOOKUP(AV36,OFFSET(abbreviation[],0,ColumnLanguage),ColumnAbbreviation,FALSE),"")</f>
        <v/>
      </c>
      <c r="CE36" s="21" t="str">
        <f t="shared" ca="1" si="3"/>
        <v>__</v>
      </c>
      <c r="CF36" s="21" t="str">
        <f ca="1">IFERROR(VLOOKUP(AX36,OFFSET(abbreviation[],0,ColumnLanguage),ColumnAbbreviation,FALSE),"")</f>
        <v/>
      </c>
      <c r="CG36" s="21" t="str">
        <f ca="1">IFERROR(VLOOKUP(AZ36,OFFSET(abbreviation[],0,ColumnLanguage),ColumnAbbreviation,FALSE),"")</f>
        <v/>
      </c>
      <c r="CH36" s="21" t="str">
        <f ca="1">IFERROR(VLOOKUP(BB36,OFFSET(abbreviation[],0,ColumnLanguage),ColumnAbbreviation,FALSE),"")</f>
        <v/>
      </c>
      <c r="CI36" s="21" t="str">
        <f ca="1">IFERROR(VLOOKUP(BD36,OFFSET(abbreviation[],0,ColumnLanguage),ColumnAbbreviation,FALSE),"")</f>
        <v/>
      </c>
      <c r="CJ36" s="21" t="str">
        <f ca="1">IFERROR(VLOOKUP(BF36,OFFSET(abbreviation[],0,ColumnLanguage),ColumnAbbreviation,FALSE),"")</f>
        <v/>
      </c>
      <c r="CK36" s="21" t="str">
        <f t="shared" ca="1" si="4"/>
        <v/>
      </c>
      <c r="CL36" s="21" t="str">
        <f t="shared" si="5"/>
        <v/>
      </c>
      <c r="CM36" s="52"/>
      <c r="CN36" s="57" t="str">
        <f t="shared" si="6"/>
        <v/>
      </c>
    </row>
    <row r="37" spans="16:92" x14ac:dyDescent="0.25">
      <c r="P37" s="60"/>
      <c r="Q37" s="13"/>
      <c r="V37" s="60"/>
      <c r="X37" s="61"/>
      <c r="AB37" s="60"/>
      <c r="AN37" s="54"/>
      <c r="AS37" s="15"/>
      <c r="BH37" s="52"/>
      <c r="BI37" s="21" t="str">
        <f ca="1">IFERROR(VLOOKUP(C37,OFFSET(abbreviation[],0,ColumnLanguage),ColumnAbbreviation,FALSE),"")</f>
        <v/>
      </c>
      <c r="BJ37" s="21" t="str">
        <f ca="1">IFERROR(VLOOKUP(E37,OFFSET(abbreviation[],0,ColumnLanguage),ColumnAbbreviation,FALSE),"")</f>
        <v/>
      </c>
      <c r="BK37" s="21" t="str">
        <f ca="1">IFERROR(VLOOKUP(G37,OFFSET(abbreviation[],0,ColumnLanguage),ColumnAbbreviation,FALSE),"")</f>
        <v/>
      </c>
      <c r="BL37" s="21" t="str">
        <f ca="1">IFERROR(VLOOKUP(I37,OFFSET(abbreviation[],0,ColumnLanguage),ColumnAbbreviation,FALSE),"")</f>
        <v/>
      </c>
      <c r="BM37" s="21" t="str">
        <f ca="1">IFERROR(VLOOKUP(K37,OFFSET(abbreviation[],0,ColumnLanguage),ColumnAbbreviation,FALSE),"")</f>
        <v/>
      </c>
      <c r="BN37" s="21" t="str">
        <f t="shared" ca="1" si="0"/>
        <v/>
      </c>
      <c r="BO37" s="21" t="str">
        <f ca="1">IFERROR(VLOOKUP(N37,OFFSET(abbreviation[],0,ColumnLanguage),ColumnAbbreviation,FALSE),"")</f>
        <v/>
      </c>
      <c r="BP37" s="21" t="str">
        <f ca="1">IFERROR(VLOOKUP(P37,OFFSET(abbreviation[],0,ColumnLanguage),ColumnAbbreviation,FALSE),"")</f>
        <v/>
      </c>
      <c r="BQ37" s="21" t="str">
        <f ca="1">IFERROR(VLOOKUP(T37,OFFSET(abbreviation[],0,ColumnLanguage),ColumnAbbreviation,FALSE),"")</f>
        <v/>
      </c>
      <c r="BR37" s="21" t="str">
        <f ca="1">IFERROR(VLOOKUP(V37,OFFSET(abbreviation[],0,ColumnLanguage),ColumnAbbreviation,FALSE),"")</f>
        <v/>
      </c>
      <c r="BS37" s="21" t="str">
        <f ca="1">IFERROR(VLOOKUP(Z37,OFFSET(abbreviation[],0,ColumnLanguage),ColumnAbbreviation,FALSE),"")</f>
        <v/>
      </c>
      <c r="BT37" s="21" t="str">
        <f ca="1">IFERROR(VLOOKUP(AB37,OFFSET(abbreviation[],0,ColumnLanguage),ColumnAbbreviation,FALSE),"")</f>
        <v/>
      </c>
      <c r="BU37" s="21" t="str">
        <f t="shared" ca="1" si="1"/>
        <v>__</v>
      </c>
      <c r="BV37" s="21" t="str">
        <f ca="1">IFERROR(VLOOKUP(AF37,OFFSET(abbreviation[],0,ColumnLanguage),ColumnAbbreviation,FALSE),"")</f>
        <v/>
      </c>
      <c r="BW37" s="21" t="str">
        <f ca="1">IFERROR(VLOOKUP(AH37,OFFSET(abbreviation[],0,ColumnLanguage),ColumnAbbreviation,FALSE),"")</f>
        <v/>
      </c>
      <c r="BX37" s="21" t="str">
        <f ca="1">IFERROR(VLOOKUP(AJ37,OFFSET(abbreviation[],0,ColumnLanguage),ColumnAbbreviation,FALSE),"")</f>
        <v/>
      </c>
      <c r="BY37" s="21" t="str">
        <f ca="1">IFERROR(VLOOKUP(AL37,OFFSET(abbreviation[],0,ColumnLanguage),ColumnAbbreviation,FALSE),"")</f>
        <v/>
      </c>
      <c r="BZ37" s="21" t="str">
        <f t="shared" ca="1" si="2"/>
        <v>_</v>
      </c>
      <c r="CA37" s="21" t="str">
        <f ca="1">IFERROR(VLOOKUP(AP37,OFFSET(abbreviation[],0,ColumnLanguage),ColumnAbbreviation,FALSE),"")</f>
        <v/>
      </c>
      <c r="CB37" s="21" t="str">
        <f ca="1">IFERROR(VLOOKUP(AR37,OFFSET(abbreviation[],0,ColumnLanguage),ColumnAbbreviation,FALSE),"")</f>
        <v/>
      </c>
      <c r="CC37" s="21" t="str">
        <f ca="1">IFERROR(VLOOKUP(AT37,OFFSET(abbreviation[],0,ColumnLanguage),ColumnAbbreviation,FALSE),"")</f>
        <v/>
      </c>
      <c r="CD37" s="21" t="str">
        <f ca="1">IFERROR(VLOOKUP(AV37,OFFSET(abbreviation[],0,ColumnLanguage),ColumnAbbreviation,FALSE),"")</f>
        <v/>
      </c>
      <c r="CE37" s="21" t="str">
        <f t="shared" ca="1" si="3"/>
        <v>__</v>
      </c>
      <c r="CF37" s="21" t="str">
        <f ca="1">IFERROR(VLOOKUP(AX37,OFFSET(abbreviation[],0,ColumnLanguage),ColumnAbbreviation,FALSE),"")</f>
        <v/>
      </c>
      <c r="CG37" s="21" t="str">
        <f ca="1">IFERROR(VLOOKUP(AZ37,OFFSET(abbreviation[],0,ColumnLanguage),ColumnAbbreviation,FALSE),"")</f>
        <v/>
      </c>
      <c r="CH37" s="21" t="str">
        <f ca="1">IFERROR(VLOOKUP(BB37,OFFSET(abbreviation[],0,ColumnLanguage),ColumnAbbreviation,FALSE),"")</f>
        <v/>
      </c>
      <c r="CI37" s="21" t="str">
        <f ca="1">IFERROR(VLOOKUP(BD37,OFFSET(abbreviation[],0,ColumnLanguage),ColumnAbbreviation,FALSE),"")</f>
        <v/>
      </c>
      <c r="CJ37" s="21" t="str">
        <f ca="1">IFERROR(VLOOKUP(BF37,OFFSET(abbreviation[],0,ColumnLanguage),ColumnAbbreviation,FALSE),"")</f>
        <v/>
      </c>
      <c r="CK37" s="21" t="str">
        <f t="shared" ca="1" si="4"/>
        <v/>
      </c>
      <c r="CL37" s="21" t="str">
        <f t="shared" si="5"/>
        <v/>
      </c>
      <c r="CM37" s="52"/>
      <c r="CN37" s="57" t="str">
        <f t="shared" si="6"/>
        <v/>
      </c>
    </row>
    <row r="38" spans="16:92" x14ac:dyDescent="0.25">
      <c r="P38" s="60"/>
      <c r="Q38" s="13"/>
      <c r="V38" s="60"/>
      <c r="X38" s="61"/>
      <c r="AB38" s="60"/>
      <c r="AN38" s="54"/>
      <c r="AS38" s="15"/>
      <c r="BH38" s="52"/>
      <c r="BI38" s="21" t="str">
        <f ca="1">IFERROR(VLOOKUP(C38,OFFSET(abbreviation[],0,ColumnLanguage),ColumnAbbreviation,FALSE),"")</f>
        <v/>
      </c>
      <c r="BJ38" s="21" t="str">
        <f ca="1">IFERROR(VLOOKUP(E38,OFFSET(abbreviation[],0,ColumnLanguage),ColumnAbbreviation,FALSE),"")</f>
        <v/>
      </c>
      <c r="BK38" s="21" t="str">
        <f ca="1">IFERROR(VLOOKUP(G38,OFFSET(abbreviation[],0,ColumnLanguage),ColumnAbbreviation,FALSE),"")</f>
        <v/>
      </c>
      <c r="BL38" s="21" t="str">
        <f ca="1">IFERROR(VLOOKUP(I38,OFFSET(abbreviation[],0,ColumnLanguage),ColumnAbbreviation,FALSE),"")</f>
        <v/>
      </c>
      <c r="BM38" s="21" t="str">
        <f ca="1">IFERROR(VLOOKUP(K38,OFFSET(abbreviation[],0,ColumnLanguage),ColumnAbbreviation,FALSE),"")</f>
        <v/>
      </c>
      <c r="BN38" s="21" t="str">
        <f t="shared" ca="1" si="0"/>
        <v/>
      </c>
      <c r="BO38" s="21" t="str">
        <f ca="1">IFERROR(VLOOKUP(N38,OFFSET(abbreviation[],0,ColumnLanguage),ColumnAbbreviation,FALSE),"")</f>
        <v/>
      </c>
      <c r="BP38" s="21" t="str">
        <f ca="1">IFERROR(VLOOKUP(P38,OFFSET(abbreviation[],0,ColumnLanguage),ColumnAbbreviation,FALSE),"")</f>
        <v/>
      </c>
      <c r="BQ38" s="21" t="str">
        <f ca="1">IFERROR(VLOOKUP(T38,OFFSET(abbreviation[],0,ColumnLanguage),ColumnAbbreviation,FALSE),"")</f>
        <v/>
      </c>
      <c r="BR38" s="21" t="str">
        <f ca="1">IFERROR(VLOOKUP(V38,OFFSET(abbreviation[],0,ColumnLanguage),ColumnAbbreviation,FALSE),"")</f>
        <v/>
      </c>
      <c r="BS38" s="21" t="str">
        <f ca="1">IFERROR(VLOOKUP(Z38,OFFSET(abbreviation[],0,ColumnLanguage),ColumnAbbreviation,FALSE),"")</f>
        <v/>
      </c>
      <c r="BT38" s="21" t="str">
        <f ca="1">IFERROR(VLOOKUP(AB38,OFFSET(abbreviation[],0,ColumnLanguage),ColumnAbbreviation,FALSE),"")</f>
        <v/>
      </c>
      <c r="BU38" s="21" t="str">
        <f t="shared" ca="1" si="1"/>
        <v>__</v>
      </c>
      <c r="BV38" s="21" t="str">
        <f ca="1">IFERROR(VLOOKUP(AF38,OFFSET(abbreviation[],0,ColumnLanguage),ColumnAbbreviation,FALSE),"")</f>
        <v/>
      </c>
      <c r="BW38" s="21" t="str">
        <f ca="1">IFERROR(VLOOKUP(AH38,OFFSET(abbreviation[],0,ColumnLanguage),ColumnAbbreviation,FALSE),"")</f>
        <v/>
      </c>
      <c r="BX38" s="21" t="str">
        <f ca="1">IFERROR(VLOOKUP(AJ38,OFFSET(abbreviation[],0,ColumnLanguage),ColumnAbbreviation,FALSE),"")</f>
        <v/>
      </c>
      <c r="BY38" s="21" t="str">
        <f ca="1">IFERROR(VLOOKUP(AL38,OFFSET(abbreviation[],0,ColumnLanguage),ColumnAbbreviation,FALSE),"")</f>
        <v/>
      </c>
      <c r="BZ38" s="21" t="str">
        <f t="shared" ca="1" si="2"/>
        <v>_</v>
      </c>
      <c r="CA38" s="21" t="str">
        <f ca="1">IFERROR(VLOOKUP(AP38,OFFSET(abbreviation[],0,ColumnLanguage),ColumnAbbreviation,FALSE),"")</f>
        <v/>
      </c>
      <c r="CB38" s="21" t="str">
        <f ca="1">IFERROR(VLOOKUP(AR38,OFFSET(abbreviation[],0,ColumnLanguage),ColumnAbbreviation,FALSE),"")</f>
        <v/>
      </c>
      <c r="CC38" s="21" t="str">
        <f ca="1">IFERROR(VLOOKUP(AT38,OFFSET(abbreviation[],0,ColumnLanguage),ColumnAbbreviation,FALSE),"")</f>
        <v/>
      </c>
      <c r="CD38" s="21" t="str">
        <f ca="1">IFERROR(VLOOKUP(AV38,OFFSET(abbreviation[],0,ColumnLanguage),ColumnAbbreviation,FALSE),"")</f>
        <v/>
      </c>
      <c r="CE38" s="21" t="str">
        <f t="shared" ca="1" si="3"/>
        <v>__</v>
      </c>
      <c r="CF38" s="21" t="str">
        <f ca="1">IFERROR(VLOOKUP(AX38,OFFSET(abbreviation[],0,ColumnLanguage),ColumnAbbreviation,FALSE),"")</f>
        <v/>
      </c>
      <c r="CG38" s="21" t="str">
        <f ca="1">IFERROR(VLOOKUP(AZ38,OFFSET(abbreviation[],0,ColumnLanguage),ColumnAbbreviation,FALSE),"")</f>
        <v/>
      </c>
      <c r="CH38" s="21" t="str">
        <f ca="1">IFERROR(VLOOKUP(BB38,OFFSET(abbreviation[],0,ColumnLanguage),ColumnAbbreviation,FALSE),"")</f>
        <v/>
      </c>
      <c r="CI38" s="21" t="str">
        <f ca="1">IFERROR(VLOOKUP(BD38,OFFSET(abbreviation[],0,ColumnLanguage),ColumnAbbreviation,FALSE),"")</f>
        <v/>
      </c>
      <c r="CJ38" s="21" t="str">
        <f ca="1">IFERROR(VLOOKUP(BF38,OFFSET(abbreviation[],0,ColumnLanguage),ColumnAbbreviation,FALSE),"")</f>
        <v/>
      </c>
      <c r="CK38" s="21" t="str">
        <f t="shared" ca="1" si="4"/>
        <v/>
      </c>
      <c r="CL38" s="21" t="str">
        <f t="shared" si="5"/>
        <v/>
      </c>
      <c r="CM38" s="52"/>
      <c r="CN38" s="57" t="str">
        <f t="shared" si="6"/>
        <v/>
      </c>
    </row>
    <row r="39" spans="16:92" x14ac:dyDescent="0.25">
      <c r="P39" s="60"/>
      <c r="Q39" s="13"/>
      <c r="V39" s="60"/>
      <c r="X39" s="61"/>
      <c r="AB39" s="60"/>
      <c r="AN39" s="54"/>
      <c r="AS39" s="15"/>
      <c r="BH39" s="52"/>
      <c r="BI39" s="21" t="str">
        <f ca="1">IFERROR(VLOOKUP(C39,OFFSET(abbreviation[],0,ColumnLanguage),ColumnAbbreviation,FALSE),"")</f>
        <v/>
      </c>
      <c r="BJ39" s="21" t="str">
        <f ca="1">IFERROR(VLOOKUP(E39,OFFSET(abbreviation[],0,ColumnLanguage),ColumnAbbreviation,FALSE),"")</f>
        <v/>
      </c>
      <c r="BK39" s="21" t="str">
        <f ca="1">IFERROR(VLOOKUP(G39,OFFSET(abbreviation[],0,ColumnLanguage),ColumnAbbreviation,FALSE),"")</f>
        <v/>
      </c>
      <c r="BL39" s="21" t="str">
        <f ca="1">IFERROR(VLOOKUP(I39,OFFSET(abbreviation[],0,ColumnLanguage),ColumnAbbreviation,FALSE),"")</f>
        <v/>
      </c>
      <c r="BM39" s="21" t="str">
        <f ca="1">IFERROR(VLOOKUP(K39,OFFSET(abbreviation[],0,ColumnLanguage),ColumnAbbreviation,FALSE),"")</f>
        <v/>
      </c>
      <c r="BN39" s="21" t="str">
        <f t="shared" ca="1" si="0"/>
        <v/>
      </c>
      <c r="BO39" s="21" t="str">
        <f ca="1">IFERROR(VLOOKUP(N39,OFFSET(abbreviation[],0,ColumnLanguage),ColumnAbbreviation,FALSE),"")</f>
        <v/>
      </c>
      <c r="BP39" s="21" t="str">
        <f ca="1">IFERROR(VLOOKUP(P39,OFFSET(abbreviation[],0,ColumnLanguage),ColumnAbbreviation,FALSE),"")</f>
        <v/>
      </c>
      <c r="BQ39" s="21" t="str">
        <f ca="1">IFERROR(VLOOKUP(T39,OFFSET(abbreviation[],0,ColumnLanguage),ColumnAbbreviation,FALSE),"")</f>
        <v/>
      </c>
      <c r="BR39" s="21" t="str">
        <f ca="1">IFERROR(VLOOKUP(V39,OFFSET(abbreviation[],0,ColumnLanguage),ColumnAbbreviation,FALSE),"")</f>
        <v/>
      </c>
      <c r="BS39" s="21" t="str">
        <f ca="1">IFERROR(VLOOKUP(Z39,OFFSET(abbreviation[],0,ColumnLanguage),ColumnAbbreviation,FALSE),"")</f>
        <v/>
      </c>
      <c r="BT39" s="21" t="str">
        <f ca="1">IFERROR(VLOOKUP(AB39,OFFSET(abbreviation[],0,ColumnLanguage),ColumnAbbreviation,FALSE),"")</f>
        <v/>
      </c>
      <c r="BU39" s="21" t="str">
        <f t="shared" ca="1" si="1"/>
        <v>__</v>
      </c>
      <c r="BV39" s="21" t="str">
        <f ca="1">IFERROR(VLOOKUP(AF39,OFFSET(abbreviation[],0,ColumnLanguage),ColumnAbbreviation,FALSE),"")</f>
        <v/>
      </c>
      <c r="BW39" s="21" t="str">
        <f ca="1">IFERROR(VLOOKUP(AH39,OFFSET(abbreviation[],0,ColumnLanguage),ColumnAbbreviation,FALSE),"")</f>
        <v/>
      </c>
      <c r="BX39" s="21" t="str">
        <f ca="1">IFERROR(VLOOKUP(AJ39,OFFSET(abbreviation[],0,ColumnLanguage),ColumnAbbreviation,FALSE),"")</f>
        <v/>
      </c>
      <c r="BY39" s="21" t="str">
        <f ca="1">IFERROR(VLOOKUP(AL39,OFFSET(abbreviation[],0,ColumnLanguage),ColumnAbbreviation,FALSE),"")</f>
        <v/>
      </c>
      <c r="BZ39" s="21" t="str">
        <f t="shared" ca="1" si="2"/>
        <v>_</v>
      </c>
      <c r="CA39" s="21" t="str">
        <f ca="1">IFERROR(VLOOKUP(AP39,OFFSET(abbreviation[],0,ColumnLanguage),ColumnAbbreviation,FALSE),"")</f>
        <v/>
      </c>
      <c r="CB39" s="21" t="str">
        <f ca="1">IFERROR(VLOOKUP(AR39,OFFSET(abbreviation[],0,ColumnLanguage),ColumnAbbreviation,FALSE),"")</f>
        <v/>
      </c>
      <c r="CC39" s="21" t="str">
        <f ca="1">IFERROR(VLOOKUP(AT39,OFFSET(abbreviation[],0,ColumnLanguage),ColumnAbbreviation,FALSE),"")</f>
        <v/>
      </c>
      <c r="CD39" s="21" t="str">
        <f ca="1">IFERROR(VLOOKUP(AV39,OFFSET(abbreviation[],0,ColumnLanguage),ColumnAbbreviation,FALSE),"")</f>
        <v/>
      </c>
      <c r="CE39" s="21" t="str">
        <f t="shared" ca="1" si="3"/>
        <v>__</v>
      </c>
      <c r="CF39" s="21" t="str">
        <f ca="1">IFERROR(VLOOKUP(AX39,OFFSET(abbreviation[],0,ColumnLanguage),ColumnAbbreviation,FALSE),"")</f>
        <v/>
      </c>
      <c r="CG39" s="21" t="str">
        <f ca="1">IFERROR(VLOOKUP(AZ39,OFFSET(abbreviation[],0,ColumnLanguage),ColumnAbbreviation,FALSE),"")</f>
        <v/>
      </c>
      <c r="CH39" s="21" t="str">
        <f ca="1">IFERROR(VLOOKUP(BB39,OFFSET(abbreviation[],0,ColumnLanguage),ColumnAbbreviation,FALSE),"")</f>
        <v/>
      </c>
      <c r="CI39" s="21" t="str">
        <f ca="1">IFERROR(VLOOKUP(BD39,OFFSET(abbreviation[],0,ColumnLanguage),ColumnAbbreviation,FALSE),"")</f>
        <v/>
      </c>
      <c r="CJ39" s="21" t="str">
        <f ca="1">IFERROR(VLOOKUP(BF39,OFFSET(abbreviation[],0,ColumnLanguage),ColumnAbbreviation,FALSE),"")</f>
        <v/>
      </c>
      <c r="CK39" s="21" t="str">
        <f t="shared" ca="1" si="4"/>
        <v/>
      </c>
      <c r="CL39" s="21" t="str">
        <f t="shared" si="5"/>
        <v/>
      </c>
      <c r="CM39" s="52"/>
      <c r="CN39" s="57" t="str">
        <f t="shared" si="6"/>
        <v/>
      </c>
    </row>
    <row r="40" spans="16:92" x14ac:dyDescent="0.25">
      <c r="P40" s="60"/>
      <c r="Q40" s="13"/>
      <c r="V40" s="60"/>
      <c r="X40" s="61"/>
      <c r="AB40" s="60"/>
      <c r="AN40" s="54"/>
      <c r="AS40" s="15"/>
      <c r="BH40" s="52"/>
      <c r="BI40" s="21" t="str">
        <f ca="1">IFERROR(VLOOKUP(C40,OFFSET(abbreviation[],0,ColumnLanguage),ColumnAbbreviation,FALSE),"")</f>
        <v/>
      </c>
      <c r="BJ40" s="21" t="str">
        <f ca="1">IFERROR(VLOOKUP(E40,OFFSET(abbreviation[],0,ColumnLanguage),ColumnAbbreviation,FALSE),"")</f>
        <v/>
      </c>
      <c r="BK40" s="21" t="str">
        <f ca="1">IFERROR(VLOOKUP(G40,OFFSET(abbreviation[],0,ColumnLanguage),ColumnAbbreviation,FALSE),"")</f>
        <v/>
      </c>
      <c r="BL40" s="21" t="str">
        <f ca="1">IFERROR(VLOOKUP(I40,OFFSET(abbreviation[],0,ColumnLanguage),ColumnAbbreviation,FALSE),"")</f>
        <v/>
      </c>
      <c r="BM40" s="21" t="str">
        <f ca="1">IFERROR(VLOOKUP(K40,OFFSET(abbreviation[],0,ColumnLanguage),ColumnAbbreviation,FALSE),"")</f>
        <v/>
      </c>
      <c r="BN40" s="21" t="str">
        <f t="shared" ca="1" si="0"/>
        <v/>
      </c>
      <c r="BO40" s="21" t="str">
        <f ca="1">IFERROR(VLOOKUP(N40,OFFSET(abbreviation[],0,ColumnLanguage),ColumnAbbreviation,FALSE),"")</f>
        <v/>
      </c>
      <c r="BP40" s="21" t="str">
        <f ca="1">IFERROR(VLOOKUP(P40,OFFSET(abbreviation[],0,ColumnLanguage),ColumnAbbreviation,FALSE),"")</f>
        <v/>
      </c>
      <c r="BQ40" s="21" t="str">
        <f ca="1">IFERROR(VLOOKUP(T40,OFFSET(abbreviation[],0,ColumnLanguage),ColumnAbbreviation,FALSE),"")</f>
        <v/>
      </c>
      <c r="BR40" s="21" t="str">
        <f ca="1">IFERROR(VLOOKUP(V40,OFFSET(abbreviation[],0,ColumnLanguage),ColumnAbbreviation,FALSE),"")</f>
        <v/>
      </c>
      <c r="BS40" s="21" t="str">
        <f ca="1">IFERROR(VLOOKUP(Z40,OFFSET(abbreviation[],0,ColumnLanguage),ColumnAbbreviation,FALSE),"")</f>
        <v/>
      </c>
      <c r="BT40" s="21" t="str">
        <f ca="1">IFERROR(VLOOKUP(AB40,OFFSET(abbreviation[],0,ColumnLanguage),ColumnAbbreviation,FALSE),"")</f>
        <v/>
      </c>
      <c r="BU40" s="21" t="str">
        <f t="shared" ca="1" si="1"/>
        <v>__</v>
      </c>
      <c r="BV40" s="21" t="str">
        <f ca="1">IFERROR(VLOOKUP(AF40,OFFSET(abbreviation[],0,ColumnLanguage),ColumnAbbreviation,FALSE),"")</f>
        <v/>
      </c>
      <c r="BW40" s="21" t="str">
        <f ca="1">IFERROR(VLOOKUP(AH40,OFFSET(abbreviation[],0,ColumnLanguage),ColumnAbbreviation,FALSE),"")</f>
        <v/>
      </c>
      <c r="BX40" s="21" t="str">
        <f ca="1">IFERROR(VLOOKUP(AJ40,OFFSET(abbreviation[],0,ColumnLanguage),ColumnAbbreviation,FALSE),"")</f>
        <v/>
      </c>
      <c r="BY40" s="21" t="str">
        <f ca="1">IFERROR(VLOOKUP(AL40,OFFSET(abbreviation[],0,ColumnLanguage),ColumnAbbreviation,FALSE),"")</f>
        <v/>
      </c>
      <c r="BZ40" s="21" t="str">
        <f t="shared" ca="1" si="2"/>
        <v>_</v>
      </c>
      <c r="CA40" s="21" t="str">
        <f ca="1">IFERROR(VLOOKUP(AP40,OFFSET(abbreviation[],0,ColumnLanguage),ColumnAbbreviation,FALSE),"")</f>
        <v/>
      </c>
      <c r="CB40" s="21" t="str">
        <f ca="1">IFERROR(VLOOKUP(AR40,OFFSET(abbreviation[],0,ColumnLanguage),ColumnAbbreviation,FALSE),"")</f>
        <v/>
      </c>
      <c r="CC40" s="21" t="str">
        <f ca="1">IFERROR(VLOOKUP(AT40,OFFSET(abbreviation[],0,ColumnLanguage),ColumnAbbreviation,FALSE),"")</f>
        <v/>
      </c>
      <c r="CD40" s="21" t="str">
        <f ca="1">IFERROR(VLOOKUP(AV40,OFFSET(abbreviation[],0,ColumnLanguage),ColumnAbbreviation,FALSE),"")</f>
        <v/>
      </c>
      <c r="CE40" s="21" t="str">
        <f t="shared" ca="1" si="3"/>
        <v>__</v>
      </c>
      <c r="CF40" s="21" t="str">
        <f ca="1">IFERROR(VLOOKUP(AX40,OFFSET(abbreviation[],0,ColumnLanguage),ColumnAbbreviation,FALSE),"")</f>
        <v/>
      </c>
      <c r="CG40" s="21" t="str">
        <f ca="1">IFERROR(VLOOKUP(AZ40,OFFSET(abbreviation[],0,ColumnLanguage),ColumnAbbreviation,FALSE),"")</f>
        <v/>
      </c>
      <c r="CH40" s="21" t="str">
        <f ca="1">IFERROR(VLOOKUP(BB40,OFFSET(abbreviation[],0,ColumnLanguage),ColumnAbbreviation,FALSE),"")</f>
        <v/>
      </c>
      <c r="CI40" s="21" t="str">
        <f ca="1">IFERROR(VLOOKUP(BD40,OFFSET(abbreviation[],0,ColumnLanguage),ColumnAbbreviation,FALSE),"")</f>
        <v/>
      </c>
      <c r="CJ40" s="21" t="str">
        <f ca="1">IFERROR(VLOOKUP(BF40,OFFSET(abbreviation[],0,ColumnLanguage),ColumnAbbreviation,FALSE),"")</f>
        <v/>
      </c>
      <c r="CK40" s="21" t="str">
        <f t="shared" ca="1" si="4"/>
        <v/>
      </c>
      <c r="CL40" s="21" t="str">
        <f t="shared" si="5"/>
        <v/>
      </c>
      <c r="CM40" s="52"/>
      <c r="CN40" s="57" t="str">
        <f t="shared" si="6"/>
        <v/>
      </c>
    </row>
    <row r="41" spans="16:92" x14ac:dyDescent="0.25">
      <c r="P41" s="60"/>
      <c r="Q41" s="13"/>
      <c r="V41" s="60"/>
      <c r="X41" s="61"/>
      <c r="AB41" s="60"/>
      <c r="AN41" s="54"/>
      <c r="AS41" s="15"/>
      <c r="BH41" s="52"/>
      <c r="BI41" s="21" t="str">
        <f ca="1">IFERROR(VLOOKUP(C41,OFFSET(abbreviation[],0,ColumnLanguage),ColumnAbbreviation,FALSE),"")</f>
        <v/>
      </c>
      <c r="BJ41" s="21" t="str">
        <f ca="1">IFERROR(VLOOKUP(E41,OFFSET(abbreviation[],0,ColumnLanguage),ColumnAbbreviation,FALSE),"")</f>
        <v/>
      </c>
      <c r="BK41" s="21" t="str">
        <f ca="1">IFERROR(VLOOKUP(G41,OFFSET(abbreviation[],0,ColumnLanguage),ColumnAbbreviation,FALSE),"")</f>
        <v/>
      </c>
      <c r="BL41" s="21" t="str">
        <f ca="1">IFERROR(VLOOKUP(I41,OFFSET(abbreviation[],0,ColumnLanguage),ColumnAbbreviation,FALSE),"")</f>
        <v/>
      </c>
      <c r="BM41" s="21" t="str">
        <f ca="1">IFERROR(VLOOKUP(K41,OFFSET(abbreviation[],0,ColumnLanguage),ColumnAbbreviation,FALSE),"")</f>
        <v/>
      </c>
      <c r="BN41" s="21" t="str">
        <f t="shared" ca="1" si="0"/>
        <v/>
      </c>
      <c r="BO41" s="21" t="str">
        <f ca="1">IFERROR(VLOOKUP(N41,OFFSET(abbreviation[],0,ColumnLanguage),ColumnAbbreviation,FALSE),"")</f>
        <v/>
      </c>
      <c r="BP41" s="21" t="str">
        <f ca="1">IFERROR(VLOOKUP(P41,OFFSET(abbreviation[],0,ColumnLanguage),ColumnAbbreviation,FALSE),"")</f>
        <v/>
      </c>
      <c r="BQ41" s="21" t="str">
        <f ca="1">IFERROR(VLOOKUP(T41,OFFSET(abbreviation[],0,ColumnLanguage),ColumnAbbreviation,FALSE),"")</f>
        <v/>
      </c>
      <c r="BR41" s="21" t="str">
        <f ca="1">IFERROR(VLOOKUP(V41,OFFSET(abbreviation[],0,ColumnLanguage),ColumnAbbreviation,FALSE),"")</f>
        <v/>
      </c>
      <c r="BS41" s="21" t="str">
        <f ca="1">IFERROR(VLOOKUP(Z41,OFFSET(abbreviation[],0,ColumnLanguage),ColumnAbbreviation,FALSE),"")</f>
        <v/>
      </c>
      <c r="BT41" s="21" t="str">
        <f ca="1">IFERROR(VLOOKUP(AB41,OFFSET(abbreviation[],0,ColumnLanguage),ColumnAbbreviation,FALSE),"")</f>
        <v/>
      </c>
      <c r="BU41" s="21" t="str">
        <f t="shared" ca="1" si="1"/>
        <v>__</v>
      </c>
      <c r="BV41" s="21" t="str">
        <f ca="1">IFERROR(VLOOKUP(AF41,OFFSET(abbreviation[],0,ColumnLanguage),ColumnAbbreviation,FALSE),"")</f>
        <v/>
      </c>
      <c r="BW41" s="21" t="str">
        <f ca="1">IFERROR(VLOOKUP(AH41,OFFSET(abbreviation[],0,ColumnLanguage),ColumnAbbreviation,FALSE),"")</f>
        <v/>
      </c>
      <c r="BX41" s="21" t="str">
        <f ca="1">IFERROR(VLOOKUP(AJ41,OFFSET(abbreviation[],0,ColumnLanguage),ColumnAbbreviation,FALSE),"")</f>
        <v/>
      </c>
      <c r="BY41" s="21" t="str">
        <f ca="1">IFERROR(VLOOKUP(AL41,OFFSET(abbreviation[],0,ColumnLanguage),ColumnAbbreviation,FALSE),"")</f>
        <v/>
      </c>
      <c r="BZ41" s="21" t="str">
        <f t="shared" ca="1" si="2"/>
        <v>_</v>
      </c>
      <c r="CA41" s="21" t="str">
        <f ca="1">IFERROR(VLOOKUP(AP41,OFFSET(abbreviation[],0,ColumnLanguage),ColumnAbbreviation,FALSE),"")</f>
        <v/>
      </c>
      <c r="CB41" s="21" t="str">
        <f ca="1">IFERROR(VLOOKUP(AR41,OFFSET(abbreviation[],0,ColumnLanguage),ColumnAbbreviation,FALSE),"")</f>
        <v/>
      </c>
      <c r="CC41" s="21" t="str">
        <f ca="1">IFERROR(VLOOKUP(AT41,OFFSET(abbreviation[],0,ColumnLanguage),ColumnAbbreviation,FALSE),"")</f>
        <v/>
      </c>
      <c r="CD41" s="21" t="str">
        <f ca="1">IFERROR(VLOOKUP(AV41,OFFSET(abbreviation[],0,ColumnLanguage),ColumnAbbreviation,FALSE),"")</f>
        <v/>
      </c>
      <c r="CE41" s="21" t="str">
        <f t="shared" ca="1" si="3"/>
        <v>__</v>
      </c>
      <c r="CF41" s="21" t="str">
        <f ca="1">IFERROR(VLOOKUP(AX41,OFFSET(abbreviation[],0,ColumnLanguage),ColumnAbbreviation,FALSE),"")</f>
        <v/>
      </c>
      <c r="CG41" s="21" t="str">
        <f ca="1">IFERROR(VLOOKUP(AZ41,OFFSET(abbreviation[],0,ColumnLanguage),ColumnAbbreviation,FALSE),"")</f>
        <v/>
      </c>
      <c r="CH41" s="21" t="str">
        <f ca="1">IFERROR(VLOOKUP(BB41,OFFSET(abbreviation[],0,ColumnLanguage),ColumnAbbreviation,FALSE),"")</f>
        <v/>
      </c>
      <c r="CI41" s="21" t="str">
        <f ca="1">IFERROR(VLOOKUP(BD41,OFFSET(abbreviation[],0,ColumnLanguage),ColumnAbbreviation,FALSE),"")</f>
        <v/>
      </c>
      <c r="CJ41" s="21" t="str">
        <f ca="1">IFERROR(VLOOKUP(BF41,OFFSET(abbreviation[],0,ColumnLanguage),ColumnAbbreviation,FALSE),"")</f>
        <v/>
      </c>
      <c r="CK41" s="21" t="str">
        <f t="shared" ca="1" si="4"/>
        <v/>
      </c>
      <c r="CL41" s="21" t="str">
        <f t="shared" si="5"/>
        <v/>
      </c>
      <c r="CM41" s="52"/>
      <c r="CN41" s="57" t="str">
        <f t="shared" si="6"/>
        <v/>
      </c>
    </row>
    <row r="42" spans="16:92" x14ac:dyDescent="0.25">
      <c r="P42" s="60"/>
      <c r="Q42" s="13"/>
      <c r="V42" s="60"/>
      <c r="X42" s="61"/>
      <c r="AB42" s="60"/>
      <c r="AN42" s="54"/>
      <c r="AS42" s="15"/>
      <c r="BH42" s="52"/>
      <c r="BI42" s="21" t="str">
        <f ca="1">IFERROR(VLOOKUP(C42,OFFSET(abbreviation[],0,ColumnLanguage),ColumnAbbreviation,FALSE),"")</f>
        <v/>
      </c>
      <c r="BJ42" s="21" t="str">
        <f ca="1">IFERROR(VLOOKUP(E42,OFFSET(abbreviation[],0,ColumnLanguage),ColumnAbbreviation,FALSE),"")</f>
        <v/>
      </c>
      <c r="BK42" s="21" t="str">
        <f ca="1">IFERROR(VLOOKUP(G42,OFFSET(abbreviation[],0,ColumnLanguage),ColumnAbbreviation,FALSE),"")</f>
        <v/>
      </c>
      <c r="BL42" s="21" t="str">
        <f ca="1">IFERROR(VLOOKUP(I42,OFFSET(abbreviation[],0,ColumnLanguage),ColumnAbbreviation,FALSE),"")</f>
        <v/>
      </c>
      <c r="BM42" s="21" t="str">
        <f ca="1">IFERROR(VLOOKUP(K42,OFFSET(abbreviation[],0,ColumnLanguage),ColumnAbbreviation,FALSE),"")</f>
        <v/>
      </c>
      <c r="BN42" s="21" t="str">
        <f t="shared" ca="1" si="0"/>
        <v/>
      </c>
      <c r="BO42" s="21" t="str">
        <f ca="1">IFERROR(VLOOKUP(N42,OFFSET(abbreviation[],0,ColumnLanguage),ColumnAbbreviation,FALSE),"")</f>
        <v/>
      </c>
      <c r="BP42" s="21" t="str">
        <f ca="1">IFERROR(VLOOKUP(P42,OFFSET(abbreviation[],0,ColumnLanguage),ColumnAbbreviation,FALSE),"")</f>
        <v/>
      </c>
      <c r="BQ42" s="21" t="str">
        <f ca="1">IFERROR(VLOOKUP(T42,OFFSET(abbreviation[],0,ColumnLanguage),ColumnAbbreviation,FALSE),"")</f>
        <v/>
      </c>
      <c r="BR42" s="21" t="str">
        <f ca="1">IFERROR(VLOOKUP(V42,OFFSET(abbreviation[],0,ColumnLanguage),ColumnAbbreviation,FALSE),"")</f>
        <v/>
      </c>
      <c r="BS42" s="21" t="str">
        <f ca="1">IFERROR(VLOOKUP(Z42,OFFSET(abbreviation[],0,ColumnLanguage),ColumnAbbreviation,FALSE),"")</f>
        <v/>
      </c>
      <c r="BT42" s="21" t="str">
        <f ca="1">IFERROR(VLOOKUP(AB42,OFFSET(abbreviation[],0,ColumnLanguage),ColumnAbbreviation,FALSE),"")</f>
        <v/>
      </c>
      <c r="BU42" s="21" t="str">
        <f t="shared" ca="1" si="1"/>
        <v>__</v>
      </c>
      <c r="BV42" s="21" t="str">
        <f ca="1">IFERROR(VLOOKUP(AF42,OFFSET(abbreviation[],0,ColumnLanguage),ColumnAbbreviation,FALSE),"")</f>
        <v/>
      </c>
      <c r="BW42" s="21" t="str">
        <f ca="1">IFERROR(VLOOKUP(AH42,OFFSET(abbreviation[],0,ColumnLanguage),ColumnAbbreviation,FALSE),"")</f>
        <v/>
      </c>
      <c r="BX42" s="21" t="str">
        <f ca="1">IFERROR(VLOOKUP(AJ42,OFFSET(abbreviation[],0,ColumnLanguage),ColumnAbbreviation,FALSE),"")</f>
        <v/>
      </c>
      <c r="BY42" s="21" t="str">
        <f ca="1">IFERROR(VLOOKUP(AL42,OFFSET(abbreviation[],0,ColumnLanguage),ColumnAbbreviation,FALSE),"")</f>
        <v/>
      </c>
      <c r="BZ42" s="21" t="str">
        <f t="shared" ca="1" si="2"/>
        <v>_</v>
      </c>
      <c r="CA42" s="21" t="str">
        <f ca="1">IFERROR(VLOOKUP(AP42,OFFSET(abbreviation[],0,ColumnLanguage),ColumnAbbreviation,FALSE),"")</f>
        <v/>
      </c>
      <c r="CB42" s="21" t="str">
        <f ca="1">IFERROR(VLOOKUP(AR42,OFFSET(abbreviation[],0,ColumnLanguage),ColumnAbbreviation,FALSE),"")</f>
        <v/>
      </c>
      <c r="CC42" s="21" t="str">
        <f ca="1">IFERROR(VLOOKUP(AT42,OFFSET(abbreviation[],0,ColumnLanguage),ColumnAbbreviation,FALSE),"")</f>
        <v/>
      </c>
      <c r="CD42" s="21" t="str">
        <f ca="1">IFERROR(VLOOKUP(AV42,OFFSET(abbreviation[],0,ColumnLanguage),ColumnAbbreviation,FALSE),"")</f>
        <v/>
      </c>
      <c r="CE42" s="21" t="str">
        <f t="shared" ca="1" si="3"/>
        <v>__</v>
      </c>
      <c r="CF42" s="21" t="str">
        <f ca="1">IFERROR(VLOOKUP(AX42,OFFSET(abbreviation[],0,ColumnLanguage),ColumnAbbreviation,FALSE),"")</f>
        <v/>
      </c>
      <c r="CG42" s="21" t="str">
        <f ca="1">IFERROR(VLOOKUP(AZ42,OFFSET(abbreviation[],0,ColumnLanguage),ColumnAbbreviation,FALSE),"")</f>
        <v/>
      </c>
      <c r="CH42" s="21" t="str">
        <f ca="1">IFERROR(VLOOKUP(BB42,OFFSET(abbreviation[],0,ColumnLanguage),ColumnAbbreviation,FALSE),"")</f>
        <v/>
      </c>
      <c r="CI42" s="21" t="str">
        <f ca="1">IFERROR(VLOOKUP(BD42,OFFSET(abbreviation[],0,ColumnLanguage),ColumnAbbreviation,FALSE),"")</f>
        <v/>
      </c>
      <c r="CJ42" s="21" t="str">
        <f ca="1">IFERROR(VLOOKUP(BF42,OFFSET(abbreviation[],0,ColumnLanguage),ColumnAbbreviation,FALSE),"")</f>
        <v/>
      </c>
      <c r="CK42" s="21" t="str">
        <f t="shared" ca="1" si="4"/>
        <v/>
      </c>
      <c r="CL42" s="21" t="str">
        <f t="shared" si="5"/>
        <v/>
      </c>
      <c r="CM42" s="52"/>
      <c r="CN42" s="57" t="str">
        <f t="shared" si="6"/>
        <v/>
      </c>
    </row>
    <row r="43" spans="16:92" x14ac:dyDescent="0.25">
      <c r="P43" s="60"/>
      <c r="Q43" s="13"/>
      <c r="V43" s="60"/>
      <c r="X43" s="61"/>
      <c r="AB43" s="60"/>
      <c r="AN43" s="54"/>
      <c r="AS43" s="15"/>
      <c r="BH43" s="52"/>
      <c r="BI43" s="21" t="str">
        <f ca="1">IFERROR(VLOOKUP(C43,OFFSET(abbreviation[],0,ColumnLanguage),ColumnAbbreviation,FALSE),"")</f>
        <v/>
      </c>
      <c r="BJ43" s="21" t="str">
        <f ca="1">IFERROR(VLOOKUP(E43,OFFSET(abbreviation[],0,ColumnLanguage),ColumnAbbreviation,FALSE),"")</f>
        <v/>
      </c>
      <c r="BK43" s="21" t="str">
        <f ca="1">IFERROR(VLOOKUP(G43,OFFSET(abbreviation[],0,ColumnLanguage),ColumnAbbreviation,FALSE),"")</f>
        <v/>
      </c>
      <c r="BL43" s="21" t="str">
        <f ca="1">IFERROR(VLOOKUP(I43,OFFSET(abbreviation[],0,ColumnLanguage),ColumnAbbreviation,FALSE),"")</f>
        <v/>
      </c>
      <c r="BM43" s="21" t="str">
        <f ca="1">IFERROR(VLOOKUP(K43,OFFSET(abbreviation[],0,ColumnLanguage),ColumnAbbreviation,FALSE),"")</f>
        <v/>
      </c>
      <c r="BN43" s="21" t="str">
        <f t="shared" ca="1" si="0"/>
        <v/>
      </c>
      <c r="BO43" s="21" t="str">
        <f ca="1">IFERROR(VLOOKUP(N43,OFFSET(abbreviation[],0,ColumnLanguage),ColumnAbbreviation,FALSE),"")</f>
        <v/>
      </c>
      <c r="BP43" s="21" t="str">
        <f ca="1">IFERROR(VLOOKUP(P43,OFFSET(abbreviation[],0,ColumnLanguage),ColumnAbbreviation,FALSE),"")</f>
        <v/>
      </c>
      <c r="BQ43" s="21" t="str">
        <f ca="1">IFERROR(VLOOKUP(T43,OFFSET(abbreviation[],0,ColumnLanguage),ColumnAbbreviation,FALSE),"")</f>
        <v/>
      </c>
      <c r="BR43" s="21" t="str">
        <f ca="1">IFERROR(VLOOKUP(V43,OFFSET(abbreviation[],0,ColumnLanguage),ColumnAbbreviation,FALSE),"")</f>
        <v/>
      </c>
      <c r="BS43" s="21" t="str">
        <f ca="1">IFERROR(VLOOKUP(Z43,OFFSET(abbreviation[],0,ColumnLanguage),ColumnAbbreviation,FALSE),"")</f>
        <v/>
      </c>
      <c r="BT43" s="21" t="str">
        <f ca="1">IFERROR(VLOOKUP(AB43,OFFSET(abbreviation[],0,ColumnLanguage),ColumnAbbreviation,FALSE),"")</f>
        <v/>
      </c>
      <c r="BU43" s="21" t="str">
        <f t="shared" ca="1" si="1"/>
        <v>__</v>
      </c>
      <c r="BV43" s="21" t="str">
        <f ca="1">IFERROR(VLOOKUP(AF43,OFFSET(abbreviation[],0,ColumnLanguage),ColumnAbbreviation,FALSE),"")</f>
        <v/>
      </c>
      <c r="BW43" s="21" t="str">
        <f ca="1">IFERROR(VLOOKUP(AH43,OFFSET(abbreviation[],0,ColumnLanguage),ColumnAbbreviation,FALSE),"")</f>
        <v/>
      </c>
      <c r="BX43" s="21" t="str">
        <f ca="1">IFERROR(VLOOKUP(AJ43,OFFSET(abbreviation[],0,ColumnLanguage),ColumnAbbreviation,FALSE),"")</f>
        <v/>
      </c>
      <c r="BY43" s="21" t="str">
        <f ca="1">IFERROR(VLOOKUP(AL43,OFFSET(abbreviation[],0,ColumnLanguage),ColumnAbbreviation,FALSE),"")</f>
        <v/>
      </c>
      <c r="BZ43" s="21" t="str">
        <f t="shared" ca="1" si="2"/>
        <v>_</v>
      </c>
      <c r="CA43" s="21" t="str">
        <f ca="1">IFERROR(VLOOKUP(AP43,OFFSET(abbreviation[],0,ColumnLanguage),ColumnAbbreviation,FALSE),"")</f>
        <v/>
      </c>
      <c r="CB43" s="21" t="str">
        <f ca="1">IFERROR(VLOOKUP(AR43,OFFSET(abbreviation[],0,ColumnLanguage),ColumnAbbreviation,FALSE),"")</f>
        <v/>
      </c>
      <c r="CC43" s="21" t="str">
        <f ca="1">IFERROR(VLOOKUP(AT43,OFFSET(abbreviation[],0,ColumnLanguage),ColumnAbbreviation,FALSE),"")</f>
        <v/>
      </c>
      <c r="CD43" s="21" t="str">
        <f ca="1">IFERROR(VLOOKUP(AV43,OFFSET(abbreviation[],0,ColumnLanguage),ColumnAbbreviation,FALSE),"")</f>
        <v/>
      </c>
      <c r="CE43" s="21" t="str">
        <f t="shared" ca="1" si="3"/>
        <v>__</v>
      </c>
      <c r="CF43" s="21" t="str">
        <f ca="1">IFERROR(VLOOKUP(AX43,OFFSET(abbreviation[],0,ColumnLanguage),ColumnAbbreviation,FALSE),"")</f>
        <v/>
      </c>
      <c r="CG43" s="21" t="str">
        <f ca="1">IFERROR(VLOOKUP(AZ43,OFFSET(abbreviation[],0,ColumnLanguage),ColumnAbbreviation,FALSE),"")</f>
        <v/>
      </c>
      <c r="CH43" s="21" t="str">
        <f ca="1">IFERROR(VLOOKUP(BB43,OFFSET(abbreviation[],0,ColumnLanguage),ColumnAbbreviation,FALSE),"")</f>
        <v/>
      </c>
      <c r="CI43" s="21" t="str">
        <f ca="1">IFERROR(VLOOKUP(BD43,OFFSET(abbreviation[],0,ColumnLanguage),ColumnAbbreviation,FALSE),"")</f>
        <v/>
      </c>
      <c r="CJ43" s="21" t="str">
        <f ca="1">IFERROR(VLOOKUP(BF43,OFFSET(abbreviation[],0,ColumnLanguage),ColumnAbbreviation,FALSE),"")</f>
        <v/>
      </c>
      <c r="CK43" s="21" t="str">
        <f t="shared" ca="1" si="4"/>
        <v/>
      </c>
      <c r="CL43" s="21" t="str">
        <f t="shared" si="5"/>
        <v/>
      </c>
      <c r="CM43" s="52"/>
      <c r="CN43" s="57" t="str">
        <f t="shared" si="6"/>
        <v/>
      </c>
    </row>
    <row r="44" spans="16:92" x14ac:dyDescent="0.25">
      <c r="P44" s="60"/>
      <c r="Q44" s="13"/>
      <c r="V44" s="60"/>
      <c r="X44" s="61"/>
      <c r="AB44" s="60"/>
      <c r="AN44" s="54"/>
      <c r="AS44" s="15"/>
      <c r="BH44" s="52"/>
      <c r="BI44" s="21" t="str">
        <f ca="1">IFERROR(VLOOKUP(C44,OFFSET(abbreviation[],0,ColumnLanguage),ColumnAbbreviation,FALSE),"")</f>
        <v/>
      </c>
      <c r="BJ44" s="21" t="str">
        <f ca="1">IFERROR(VLOOKUP(E44,OFFSET(abbreviation[],0,ColumnLanguage),ColumnAbbreviation,FALSE),"")</f>
        <v/>
      </c>
      <c r="BK44" s="21" t="str">
        <f ca="1">IFERROR(VLOOKUP(G44,OFFSET(abbreviation[],0,ColumnLanguage),ColumnAbbreviation,FALSE),"")</f>
        <v/>
      </c>
      <c r="BL44" s="21" t="str">
        <f ca="1">IFERROR(VLOOKUP(I44,OFFSET(abbreviation[],0,ColumnLanguage),ColumnAbbreviation,FALSE),"")</f>
        <v/>
      </c>
      <c r="BM44" s="21" t="str">
        <f ca="1">IFERROR(VLOOKUP(K44,OFFSET(abbreviation[],0,ColumnLanguage),ColumnAbbreviation,FALSE),"")</f>
        <v/>
      </c>
      <c r="BN44" s="21" t="str">
        <f t="shared" ca="1" si="0"/>
        <v/>
      </c>
      <c r="BO44" s="21" t="str">
        <f ca="1">IFERROR(VLOOKUP(N44,OFFSET(abbreviation[],0,ColumnLanguage),ColumnAbbreviation,FALSE),"")</f>
        <v/>
      </c>
      <c r="BP44" s="21" t="str">
        <f ca="1">IFERROR(VLOOKUP(P44,OFFSET(abbreviation[],0,ColumnLanguage),ColumnAbbreviation,FALSE),"")</f>
        <v/>
      </c>
      <c r="BQ44" s="21" t="str">
        <f ca="1">IFERROR(VLOOKUP(T44,OFFSET(abbreviation[],0,ColumnLanguage),ColumnAbbreviation,FALSE),"")</f>
        <v/>
      </c>
      <c r="BR44" s="21" t="str">
        <f ca="1">IFERROR(VLOOKUP(V44,OFFSET(abbreviation[],0,ColumnLanguage),ColumnAbbreviation,FALSE),"")</f>
        <v/>
      </c>
      <c r="BS44" s="21" t="str">
        <f ca="1">IFERROR(VLOOKUP(Z44,OFFSET(abbreviation[],0,ColumnLanguage),ColumnAbbreviation,FALSE),"")</f>
        <v/>
      </c>
      <c r="BT44" s="21" t="str">
        <f ca="1">IFERROR(VLOOKUP(AB44,OFFSET(abbreviation[],0,ColumnLanguage),ColumnAbbreviation,FALSE),"")</f>
        <v/>
      </c>
      <c r="BU44" s="21" t="str">
        <f t="shared" ca="1" si="1"/>
        <v>__</v>
      </c>
      <c r="BV44" s="21" t="str">
        <f ca="1">IFERROR(VLOOKUP(AF44,OFFSET(abbreviation[],0,ColumnLanguage),ColumnAbbreviation,FALSE),"")</f>
        <v/>
      </c>
      <c r="BW44" s="21" t="str">
        <f ca="1">IFERROR(VLOOKUP(AH44,OFFSET(abbreviation[],0,ColumnLanguage),ColumnAbbreviation,FALSE),"")</f>
        <v/>
      </c>
      <c r="BX44" s="21" t="str">
        <f ca="1">IFERROR(VLOOKUP(AJ44,OFFSET(abbreviation[],0,ColumnLanguage),ColumnAbbreviation,FALSE),"")</f>
        <v/>
      </c>
      <c r="BY44" s="21" t="str">
        <f ca="1">IFERROR(VLOOKUP(AL44,OFFSET(abbreviation[],0,ColumnLanguage),ColumnAbbreviation,FALSE),"")</f>
        <v/>
      </c>
      <c r="BZ44" s="21" t="str">
        <f t="shared" ca="1" si="2"/>
        <v>_</v>
      </c>
      <c r="CA44" s="21" t="str">
        <f ca="1">IFERROR(VLOOKUP(AP44,OFFSET(abbreviation[],0,ColumnLanguage),ColumnAbbreviation,FALSE),"")</f>
        <v/>
      </c>
      <c r="CB44" s="21" t="str">
        <f ca="1">IFERROR(VLOOKUP(AR44,OFFSET(abbreviation[],0,ColumnLanguage),ColumnAbbreviation,FALSE),"")</f>
        <v/>
      </c>
      <c r="CC44" s="21" t="str">
        <f ca="1">IFERROR(VLOOKUP(AT44,OFFSET(abbreviation[],0,ColumnLanguage),ColumnAbbreviation,FALSE),"")</f>
        <v/>
      </c>
      <c r="CD44" s="21" t="str">
        <f ca="1">IFERROR(VLOOKUP(AV44,OFFSET(abbreviation[],0,ColumnLanguage),ColumnAbbreviation,FALSE),"")</f>
        <v/>
      </c>
      <c r="CE44" s="21" t="str">
        <f t="shared" ca="1" si="3"/>
        <v>__</v>
      </c>
      <c r="CF44" s="21" t="str">
        <f ca="1">IFERROR(VLOOKUP(AX44,OFFSET(abbreviation[],0,ColumnLanguage),ColumnAbbreviation,FALSE),"")</f>
        <v/>
      </c>
      <c r="CG44" s="21" t="str">
        <f ca="1">IFERROR(VLOOKUP(AZ44,OFFSET(abbreviation[],0,ColumnLanguage),ColumnAbbreviation,FALSE),"")</f>
        <v/>
      </c>
      <c r="CH44" s="21" t="str">
        <f ca="1">IFERROR(VLOOKUP(BB44,OFFSET(abbreviation[],0,ColumnLanguage),ColumnAbbreviation,FALSE),"")</f>
        <v/>
      </c>
      <c r="CI44" s="21" t="str">
        <f ca="1">IFERROR(VLOOKUP(BD44,OFFSET(abbreviation[],0,ColumnLanguage),ColumnAbbreviation,FALSE),"")</f>
        <v/>
      </c>
      <c r="CJ44" s="21" t="str">
        <f ca="1">IFERROR(VLOOKUP(BF44,OFFSET(abbreviation[],0,ColumnLanguage),ColumnAbbreviation,FALSE),"")</f>
        <v/>
      </c>
      <c r="CK44" s="21" t="str">
        <f t="shared" ca="1" si="4"/>
        <v/>
      </c>
      <c r="CL44" s="21" t="str">
        <f t="shared" si="5"/>
        <v/>
      </c>
      <c r="CM44" s="52"/>
      <c r="CN44" s="57" t="str">
        <f t="shared" si="6"/>
        <v/>
      </c>
    </row>
    <row r="45" spans="16:92" x14ac:dyDescent="0.25">
      <c r="P45" s="60"/>
      <c r="Q45" s="13"/>
      <c r="V45" s="60"/>
      <c r="X45" s="61"/>
      <c r="AB45" s="60"/>
      <c r="AN45" s="54"/>
      <c r="AS45" s="15"/>
      <c r="BH45" s="52"/>
      <c r="BI45" s="21" t="str">
        <f ca="1">IFERROR(VLOOKUP(C45,OFFSET(abbreviation[],0,ColumnLanguage),ColumnAbbreviation,FALSE),"")</f>
        <v/>
      </c>
      <c r="BJ45" s="21" t="str">
        <f ca="1">IFERROR(VLOOKUP(E45,OFFSET(abbreviation[],0,ColumnLanguage),ColumnAbbreviation,FALSE),"")</f>
        <v/>
      </c>
      <c r="BK45" s="21" t="str">
        <f ca="1">IFERROR(VLOOKUP(G45,OFFSET(abbreviation[],0,ColumnLanguage),ColumnAbbreviation,FALSE),"")</f>
        <v/>
      </c>
      <c r="BL45" s="21" t="str">
        <f ca="1">IFERROR(VLOOKUP(I45,OFFSET(abbreviation[],0,ColumnLanguage),ColumnAbbreviation,FALSE),"")</f>
        <v/>
      </c>
      <c r="BM45" s="21" t="str">
        <f ca="1">IFERROR(VLOOKUP(K45,OFFSET(abbreviation[],0,ColumnLanguage),ColumnAbbreviation,FALSE),"")</f>
        <v/>
      </c>
      <c r="BN45" s="21" t="str">
        <f t="shared" ca="1" si="0"/>
        <v/>
      </c>
      <c r="BO45" s="21" t="str">
        <f ca="1">IFERROR(VLOOKUP(N45,OFFSET(abbreviation[],0,ColumnLanguage),ColumnAbbreviation,FALSE),"")</f>
        <v/>
      </c>
      <c r="BP45" s="21" t="str">
        <f ca="1">IFERROR(VLOOKUP(P45,OFFSET(abbreviation[],0,ColumnLanguage),ColumnAbbreviation,FALSE),"")</f>
        <v/>
      </c>
      <c r="BQ45" s="21" t="str">
        <f ca="1">IFERROR(VLOOKUP(T45,OFFSET(abbreviation[],0,ColumnLanguage),ColumnAbbreviation,FALSE),"")</f>
        <v/>
      </c>
      <c r="BR45" s="21" t="str">
        <f ca="1">IFERROR(VLOOKUP(V45,OFFSET(abbreviation[],0,ColumnLanguage),ColumnAbbreviation,FALSE),"")</f>
        <v/>
      </c>
      <c r="BS45" s="21" t="str">
        <f ca="1">IFERROR(VLOOKUP(Z45,OFFSET(abbreviation[],0,ColumnLanguage),ColumnAbbreviation,FALSE),"")</f>
        <v/>
      </c>
      <c r="BT45" s="21" t="str">
        <f ca="1">IFERROR(VLOOKUP(AB45,OFFSET(abbreviation[],0,ColumnLanguage),ColumnAbbreviation,FALSE),"")</f>
        <v/>
      </c>
      <c r="BU45" s="21" t="str">
        <f t="shared" ca="1" si="1"/>
        <v>__</v>
      </c>
      <c r="BV45" s="21" t="str">
        <f ca="1">IFERROR(VLOOKUP(AF45,OFFSET(abbreviation[],0,ColumnLanguage),ColumnAbbreviation,FALSE),"")</f>
        <v/>
      </c>
      <c r="BW45" s="21" t="str">
        <f ca="1">IFERROR(VLOOKUP(AH45,OFFSET(abbreviation[],0,ColumnLanguage),ColumnAbbreviation,FALSE),"")</f>
        <v/>
      </c>
      <c r="BX45" s="21" t="str">
        <f ca="1">IFERROR(VLOOKUP(AJ45,OFFSET(abbreviation[],0,ColumnLanguage),ColumnAbbreviation,FALSE),"")</f>
        <v/>
      </c>
      <c r="BY45" s="21" t="str">
        <f ca="1">IFERROR(VLOOKUP(AL45,OFFSET(abbreviation[],0,ColumnLanguage),ColumnAbbreviation,FALSE),"")</f>
        <v/>
      </c>
      <c r="BZ45" s="21" t="str">
        <f t="shared" ca="1" si="2"/>
        <v>_</v>
      </c>
      <c r="CA45" s="21" t="str">
        <f ca="1">IFERROR(VLOOKUP(AP45,OFFSET(abbreviation[],0,ColumnLanguage),ColumnAbbreviation,FALSE),"")</f>
        <v/>
      </c>
      <c r="CB45" s="21" t="str">
        <f ca="1">IFERROR(VLOOKUP(AR45,OFFSET(abbreviation[],0,ColumnLanguage),ColumnAbbreviation,FALSE),"")</f>
        <v/>
      </c>
      <c r="CC45" s="21" t="str">
        <f ca="1">IFERROR(VLOOKUP(AT45,OFFSET(abbreviation[],0,ColumnLanguage),ColumnAbbreviation,FALSE),"")</f>
        <v/>
      </c>
      <c r="CD45" s="21" t="str">
        <f ca="1">IFERROR(VLOOKUP(AV45,OFFSET(abbreviation[],0,ColumnLanguage),ColumnAbbreviation,FALSE),"")</f>
        <v/>
      </c>
      <c r="CE45" s="21" t="str">
        <f t="shared" ca="1" si="3"/>
        <v>__</v>
      </c>
      <c r="CF45" s="21" t="str">
        <f ca="1">IFERROR(VLOOKUP(AX45,OFFSET(abbreviation[],0,ColumnLanguage),ColumnAbbreviation,FALSE),"")</f>
        <v/>
      </c>
      <c r="CG45" s="21" t="str">
        <f ca="1">IFERROR(VLOOKUP(AZ45,OFFSET(abbreviation[],0,ColumnLanguage),ColumnAbbreviation,FALSE),"")</f>
        <v/>
      </c>
      <c r="CH45" s="21" t="str">
        <f ca="1">IFERROR(VLOOKUP(BB45,OFFSET(abbreviation[],0,ColumnLanguage),ColumnAbbreviation,FALSE),"")</f>
        <v/>
      </c>
      <c r="CI45" s="21" t="str">
        <f ca="1">IFERROR(VLOOKUP(BD45,OFFSET(abbreviation[],0,ColumnLanguage),ColumnAbbreviation,FALSE),"")</f>
        <v/>
      </c>
      <c r="CJ45" s="21" t="str">
        <f ca="1">IFERROR(VLOOKUP(BF45,OFFSET(abbreviation[],0,ColumnLanguage),ColumnAbbreviation,FALSE),"")</f>
        <v/>
      </c>
      <c r="CK45" s="21" t="str">
        <f t="shared" ca="1" si="4"/>
        <v/>
      </c>
      <c r="CL45" s="21" t="str">
        <f t="shared" si="5"/>
        <v/>
      </c>
      <c r="CM45" s="52"/>
      <c r="CN45" s="57" t="str">
        <f t="shared" si="6"/>
        <v/>
      </c>
    </row>
    <row r="46" spans="16:92" x14ac:dyDescent="0.25">
      <c r="P46" s="60"/>
      <c r="Q46" s="13"/>
      <c r="V46" s="60"/>
      <c r="X46" s="61"/>
      <c r="AB46" s="60"/>
      <c r="AN46" s="54"/>
      <c r="AS46" s="15"/>
      <c r="BH46" s="52"/>
      <c r="BI46" s="21" t="str">
        <f ca="1">IFERROR(VLOOKUP(C46,OFFSET(abbreviation[],0,ColumnLanguage),ColumnAbbreviation,FALSE),"")</f>
        <v/>
      </c>
      <c r="BJ46" s="21" t="str">
        <f ca="1">IFERROR(VLOOKUP(E46,OFFSET(abbreviation[],0,ColumnLanguage),ColumnAbbreviation,FALSE),"")</f>
        <v/>
      </c>
      <c r="BK46" s="21" t="str">
        <f ca="1">IFERROR(VLOOKUP(G46,OFFSET(abbreviation[],0,ColumnLanguage),ColumnAbbreviation,FALSE),"")</f>
        <v/>
      </c>
      <c r="BL46" s="21" t="str">
        <f ca="1">IFERROR(VLOOKUP(I46,OFFSET(abbreviation[],0,ColumnLanguage),ColumnAbbreviation,FALSE),"")</f>
        <v/>
      </c>
      <c r="BM46" s="21" t="str">
        <f ca="1">IFERROR(VLOOKUP(K46,OFFSET(abbreviation[],0,ColumnLanguage),ColumnAbbreviation,FALSE),"")</f>
        <v/>
      </c>
      <c r="BN46" s="21" t="str">
        <f t="shared" ca="1" si="0"/>
        <v/>
      </c>
      <c r="BO46" s="21" t="str">
        <f ca="1">IFERROR(VLOOKUP(N46,OFFSET(abbreviation[],0,ColumnLanguage),ColumnAbbreviation,FALSE),"")</f>
        <v/>
      </c>
      <c r="BP46" s="21" t="str">
        <f ca="1">IFERROR(VLOOKUP(P46,OFFSET(abbreviation[],0,ColumnLanguage),ColumnAbbreviation,FALSE),"")</f>
        <v/>
      </c>
      <c r="BQ46" s="21" t="str">
        <f ca="1">IFERROR(VLOOKUP(T46,OFFSET(abbreviation[],0,ColumnLanguage),ColumnAbbreviation,FALSE),"")</f>
        <v/>
      </c>
      <c r="BR46" s="21" t="str">
        <f ca="1">IFERROR(VLOOKUP(V46,OFFSET(abbreviation[],0,ColumnLanguage),ColumnAbbreviation,FALSE),"")</f>
        <v/>
      </c>
      <c r="BS46" s="21" t="str">
        <f ca="1">IFERROR(VLOOKUP(Z46,OFFSET(abbreviation[],0,ColumnLanguage),ColumnAbbreviation,FALSE),"")</f>
        <v/>
      </c>
      <c r="BT46" s="21" t="str">
        <f ca="1">IFERROR(VLOOKUP(AB46,OFFSET(abbreviation[],0,ColumnLanguage),ColumnAbbreviation,FALSE),"")</f>
        <v/>
      </c>
      <c r="BU46" s="21" t="str">
        <f t="shared" ca="1" si="1"/>
        <v>__</v>
      </c>
      <c r="BV46" s="21" t="str">
        <f ca="1">IFERROR(VLOOKUP(AF46,OFFSET(abbreviation[],0,ColumnLanguage),ColumnAbbreviation,FALSE),"")</f>
        <v/>
      </c>
      <c r="BW46" s="21" t="str">
        <f ca="1">IFERROR(VLOOKUP(AH46,OFFSET(abbreviation[],0,ColumnLanguage),ColumnAbbreviation,FALSE),"")</f>
        <v/>
      </c>
      <c r="BX46" s="21" t="str">
        <f ca="1">IFERROR(VLOOKUP(AJ46,OFFSET(abbreviation[],0,ColumnLanguage),ColumnAbbreviation,FALSE),"")</f>
        <v/>
      </c>
      <c r="BY46" s="21" t="str">
        <f ca="1">IFERROR(VLOOKUP(AL46,OFFSET(abbreviation[],0,ColumnLanguage),ColumnAbbreviation,FALSE),"")</f>
        <v/>
      </c>
      <c r="BZ46" s="21" t="str">
        <f t="shared" ca="1" si="2"/>
        <v>_</v>
      </c>
      <c r="CA46" s="21" t="str">
        <f ca="1">IFERROR(VLOOKUP(AP46,OFFSET(abbreviation[],0,ColumnLanguage),ColumnAbbreviation,FALSE),"")</f>
        <v/>
      </c>
      <c r="CB46" s="21" t="str">
        <f ca="1">IFERROR(VLOOKUP(AR46,OFFSET(abbreviation[],0,ColumnLanguage),ColumnAbbreviation,FALSE),"")</f>
        <v/>
      </c>
      <c r="CC46" s="21" t="str">
        <f ca="1">IFERROR(VLOOKUP(AT46,OFFSET(abbreviation[],0,ColumnLanguage),ColumnAbbreviation,FALSE),"")</f>
        <v/>
      </c>
      <c r="CD46" s="21" t="str">
        <f ca="1">IFERROR(VLOOKUP(AV46,OFFSET(abbreviation[],0,ColumnLanguage),ColumnAbbreviation,FALSE),"")</f>
        <v/>
      </c>
      <c r="CE46" s="21" t="str">
        <f t="shared" ca="1" si="3"/>
        <v>__</v>
      </c>
      <c r="CF46" s="21" t="str">
        <f ca="1">IFERROR(VLOOKUP(AX46,OFFSET(abbreviation[],0,ColumnLanguage),ColumnAbbreviation,FALSE),"")</f>
        <v/>
      </c>
      <c r="CG46" s="21" t="str">
        <f ca="1">IFERROR(VLOOKUP(AZ46,OFFSET(abbreviation[],0,ColumnLanguage),ColumnAbbreviation,FALSE),"")</f>
        <v/>
      </c>
      <c r="CH46" s="21" t="str">
        <f ca="1">IFERROR(VLOOKUP(BB46,OFFSET(abbreviation[],0,ColumnLanguage),ColumnAbbreviation,FALSE),"")</f>
        <v/>
      </c>
      <c r="CI46" s="21" t="str">
        <f ca="1">IFERROR(VLOOKUP(BD46,OFFSET(abbreviation[],0,ColumnLanguage),ColumnAbbreviation,FALSE),"")</f>
        <v/>
      </c>
      <c r="CJ46" s="21" t="str">
        <f ca="1">IFERROR(VLOOKUP(BF46,OFFSET(abbreviation[],0,ColumnLanguage),ColumnAbbreviation,FALSE),"")</f>
        <v/>
      </c>
      <c r="CK46" s="21" t="str">
        <f t="shared" ca="1" si="4"/>
        <v/>
      </c>
      <c r="CL46" s="21" t="str">
        <f t="shared" si="5"/>
        <v/>
      </c>
      <c r="CM46" s="52"/>
      <c r="CN46" s="57" t="str">
        <f t="shared" si="6"/>
        <v/>
      </c>
    </row>
    <row r="47" spans="16:92" x14ac:dyDescent="0.25">
      <c r="P47" s="60"/>
      <c r="Q47" s="13"/>
      <c r="V47" s="60"/>
      <c r="X47" s="61"/>
      <c r="AB47" s="60"/>
      <c r="AN47" s="54"/>
      <c r="AS47" s="15"/>
      <c r="BH47" s="52"/>
      <c r="BI47" s="21" t="str">
        <f ca="1">IFERROR(VLOOKUP(C47,OFFSET(abbreviation[],0,ColumnLanguage),ColumnAbbreviation,FALSE),"")</f>
        <v/>
      </c>
      <c r="BJ47" s="21" t="str">
        <f ca="1">IFERROR(VLOOKUP(E47,OFFSET(abbreviation[],0,ColumnLanguage),ColumnAbbreviation,FALSE),"")</f>
        <v/>
      </c>
      <c r="BK47" s="21" t="str">
        <f ca="1">IFERROR(VLOOKUP(G47,OFFSET(abbreviation[],0,ColumnLanguage),ColumnAbbreviation,FALSE),"")</f>
        <v/>
      </c>
      <c r="BL47" s="21" t="str">
        <f ca="1">IFERROR(VLOOKUP(I47,OFFSET(abbreviation[],0,ColumnLanguage),ColumnAbbreviation,FALSE),"")</f>
        <v/>
      </c>
      <c r="BM47" s="21" t="str">
        <f ca="1">IFERROR(VLOOKUP(K47,OFFSET(abbreviation[],0,ColumnLanguage),ColumnAbbreviation,FALSE),"")</f>
        <v/>
      </c>
      <c r="BN47" s="21" t="str">
        <f t="shared" ca="1" si="0"/>
        <v/>
      </c>
      <c r="BO47" s="21" t="str">
        <f ca="1">IFERROR(VLOOKUP(N47,OFFSET(abbreviation[],0,ColumnLanguage),ColumnAbbreviation,FALSE),"")</f>
        <v/>
      </c>
      <c r="BP47" s="21" t="str">
        <f ca="1">IFERROR(VLOOKUP(P47,OFFSET(abbreviation[],0,ColumnLanguage),ColumnAbbreviation,FALSE),"")</f>
        <v/>
      </c>
      <c r="BQ47" s="21" t="str">
        <f ca="1">IFERROR(VLOOKUP(T47,OFFSET(abbreviation[],0,ColumnLanguage),ColumnAbbreviation,FALSE),"")</f>
        <v/>
      </c>
      <c r="BR47" s="21" t="str">
        <f ca="1">IFERROR(VLOOKUP(V47,OFFSET(abbreviation[],0,ColumnLanguage),ColumnAbbreviation,FALSE),"")</f>
        <v/>
      </c>
      <c r="BS47" s="21" t="str">
        <f ca="1">IFERROR(VLOOKUP(Z47,OFFSET(abbreviation[],0,ColumnLanguage),ColumnAbbreviation,FALSE),"")</f>
        <v/>
      </c>
      <c r="BT47" s="21" t="str">
        <f ca="1">IFERROR(VLOOKUP(AB47,OFFSET(abbreviation[],0,ColumnLanguage),ColumnAbbreviation,FALSE),"")</f>
        <v/>
      </c>
      <c r="BU47" s="21" t="str">
        <f t="shared" ca="1" si="1"/>
        <v>__</v>
      </c>
      <c r="BV47" s="21" t="str">
        <f ca="1">IFERROR(VLOOKUP(AF47,OFFSET(abbreviation[],0,ColumnLanguage),ColumnAbbreviation,FALSE),"")</f>
        <v/>
      </c>
      <c r="BW47" s="21" t="str">
        <f ca="1">IFERROR(VLOOKUP(AH47,OFFSET(abbreviation[],0,ColumnLanguage),ColumnAbbreviation,FALSE),"")</f>
        <v/>
      </c>
      <c r="BX47" s="21" t="str">
        <f ca="1">IFERROR(VLOOKUP(AJ47,OFFSET(abbreviation[],0,ColumnLanguage),ColumnAbbreviation,FALSE),"")</f>
        <v/>
      </c>
      <c r="BY47" s="21" t="str">
        <f ca="1">IFERROR(VLOOKUP(AL47,OFFSET(abbreviation[],0,ColumnLanguage),ColumnAbbreviation,FALSE),"")</f>
        <v/>
      </c>
      <c r="BZ47" s="21" t="str">
        <f t="shared" ca="1" si="2"/>
        <v>_</v>
      </c>
      <c r="CA47" s="21" t="str">
        <f ca="1">IFERROR(VLOOKUP(AP47,OFFSET(abbreviation[],0,ColumnLanguage),ColumnAbbreviation,FALSE),"")</f>
        <v/>
      </c>
      <c r="CB47" s="21" t="str">
        <f ca="1">IFERROR(VLOOKUP(AR47,OFFSET(abbreviation[],0,ColumnLanguage),ColumnAbbreviation,FALSE),"")</f>
        <v/>
      </c>
      <c r="CC47" s="21" t="str">
        <f ca="1">IFERROR(VLOOKUP(AT47,OFFSET(abbreviation[],0,ColumnLanguage),ColumnAbbreviation,FALSE),"")</f>
        <v/>
      </c>
      <c r="CD47" s="21" t="str">
        <f ca="1">IFERROR(VLOOKUP(AV47,OFFSET(abbreviation[],0,ColumnLanguage),ColumnAbbreviation,FALSE),"")</f>
        <v/>
      </c>
      <c r="CE47" s="21" t="str">
        <f t="shared" ca="1" si="3"/>
        <v>__</v>
      </c>
      <c r="CF47" s="21" t="str">
        <f ca="1">IFERROR(VLOOKUP(AX47,OFFSET(abbreviation[],0,ColumnLanguage),ColumnAbbreviation,FALSE),"")</f>
        <v/>
      </c>
      <c r="CG47" s="21" t="str">
        <f ca="1">IFERROR(VLOOKUP(AZ47,OFFSET(abbreviation[],0,ColumnLanguage),ColumnAbbreviation,FALSE),"")</f>
        <v/>
      </c>
      <c r="CH47" s="21" t="str">
        <f ca="1">IFERROR(VLOOKUP(BB47,OFFSET(abbreviation[],0,ColumnLanguage),ColumnAbbreviation,FALSE),"")</f>
        <v/>
      </c>
      <c r="CI47" s="21" t="str">
        <f ca="1">IFERROR(VLOOKUP(BD47,OFFSET(abbreviation[],0,ColumnLanguage),ColumnAbbreviation,FALSE),"")</f>
        <v/>
      </c>
      <c r="CJ47" s="21" t="str">
        <f ca="1">IFERROR(VLOOKUP(BF47,OFFSET(abbreviation[],0,ColumnLanguage),ColumnAbbreviation,FALSE),"")</f>
        <v/>
      </c>
      <c r="CK47" s="21" t="str">
        <f t="shared" ca="1" si="4"/>
        <v/>
      </c>
      <c r="CL47" s="21" t="str">
        <f t="shared" si="5"/>
        <v/>
      </c>
      <c r="CM47" s="52"/>
      <c r="CN47" s="57" t="str">
        <f t="shared" si="6"/>
        <v/>
      </c>
    </row>
    <row r="48" spans="16:92" x14ac:dyDescent="0.25">
      <c r="P48" s="60"/>
      <c r="Q48" s="13"/>
      <c r="V48" s="60"/>
      <c r="X48" s="61"/>
      <c r="AB48" s="60"/>
      <c r="AN48" s="54"/>
      <c r="AS48" s="15"/>
      <c r="BH48" s="52"/>
      <c r="BI48" s="21" t="str">
        <f ca="1">IFERROR(VLOOKUP(C48,OFFSET(abbreviation[],0,ColumnLanguage),ColumnAbbreviation,FALSE),"")</f>
        <v/>
      </c>
      <c r="BJ48" s="21" t="str">
        <f ca="1">IFERROR(VLOOKUP(E48,OFFSET(abbreviation[],0,ColumnLanguage),ColumnAbbreviation,FALSE),"")</f>
        <v/>
      </c>
      <c r="BK48" s="21" t="str">
        <f ca="1">IFERROR(VLOOKUP(G48,OFFSET(abbreviation[],0,ColumnLanguage),ColumnAbbreviation,FALSE),"")</f>
        <v/>
      </c>
      <c r="BL48" s="21" t="str">
        <f ca="1">IFERROR(VLOOKUP(I48,OFFSET(abbreviation[],0,ColumnLanguage),ColumnAbbreviation,FALSE),"")</f>
        <v/>
      </c>
      <c r="BM48" s="21" t="str">
        <f ca="1">IFERROR(VLOOKUP(K48,OFFSET(abbreviation[],0,ColumnLanguage),ColumnAbbreviation,FALSE),"")</f>
        <v/>
      </c>
      <c r="BN48" s="21" t="str">
        <f t="shared" ca="1" si="0"/>
        <v/>
      </c>
      <c r="BO48" s="21" t="str">
        <f ca="1">IFERROR(VLOOKUP(N48,OFFSET(abbreviation[],0,ColumnLanguage),ColumnAbbreviation,FALSE),"")</f>
        <v/>
      </c>
      <c r="BP48" s="21" t="str">
        <f ca="1">IFERROR(VLOOKUP(P48,OFFSET(abbreviation[],0,ColumnLanguage),ColumnAbbreviation,FALSE),"")</f>
        <v/>
      </c>
      <c r="BQ48" s="21" t="str">
        <f ca="1">IFERROR(VLOOKUP(T48,OFFSET(abbreviation[],0,ColumnLanguage),ColumnAbbreviation,FALSE),"")</f>
        <v/>
      </c>
      <c r="BR48" s="21" t="str">
        <f ca="1">IFERROR(VLOOKUP(V48,OFFSET(abbreviation[],0,ColumnLanguage),ColumnAbbreviation,FALSE),"")</f>
        <v/>
      </c>
      <c r="BS48" s="21" t="str">
        <f ca="1">IFERROR(VLOOKUP(Z48,OFFSET(abbreviation[],0,ColumnLanguage),ColumnAbbreviation,FALSE),"")</f>
        <v/>
      </c>
      <c r="BT48" s="21" t="str">
        <f ca="1">IFERROR(VLOOKUP(AB48,OFFSET(abbreviation[],0,ColumnLanguage),ColumnAbbreviation,FALSE),"")</f>
        <v/>
      </c>
      <c r="BU48" s="21" t="str">
        <f t="shared" ca="1" si="1"/>
        <v>__</v>
      </c>
      <c r="BV48" s="21" t="str">
        <f ca="1">IFERROR(VLOOKUP(AF48,OFFSET(abbreviation[],0,ColumnLanguage),ColumnAbbreviation,FALSE),"")</f>
        <v/>
      </c>
      <c r="BW48" s="21" t="str">
        <f ca="1">IFERROR(VLOOKUP(AH48,OFFSET(abbreviation[],0,ColumnLanguage),ColumnAbbreviation,FALSE),"")</f>
        <v/>
      </c>
      <c r="BX48" s="21" t="str">
        <f ca="1">IFERROR(VLOOKUP(AJ48,OFFSET(abbreviation[],0,ColumnLanguage),ColumnAbbreviation,FALSE),"")</f>
        <v/>
      </c>
      <c r="BY48" s="21" t="str">
        <f ca="1">IFERROR(VLOOKUP(AL48,OFFSET(abbreviation[],0,ColumnLanguage),ColumnAbbreviation,FALSE),"")</f>
        <v/>
      </c>
      <c r="BZ48" s="21" t="str">
        <f t="shared" ca="1" si="2"/>
        <v>_</v>
      </c>
      <c r="CA48" s="21" t="str">
        <f ca="1">IFERROR(VLOOKUP(AP48,OFFSET(abbreviation[],0,ColumnLanguage),ColumnAbbreviation,FALSE),"")</f>
        <v/>
      </c>
      <c r="CB48" s="21" t="str">
        <f ca="1">IFERROR(VLOOKUP(AR48,OFFSET(abbreviation[],0,ColumnLanguage),ColumnAbbreviation,FALSE),"")</f>
        <v/>
      </c>
      <c r="CC48" s="21" t="str">
        <f ca="1">IFERROR(VLOOKUP(AT48,OFFSET(abbreviation[],0,ColumnLanguage),ColumnAbbreviation,FALSE),"")</f>
        <v/>
      </c>
      <c r="CD48" s="21" t="str">
        <f ca="1">IFERROR(VLOOKUP(AV48,OFFSET(abbreviation[],0,ColumnLanguage),ColumnAbbreviation,FALSE),"")</f>
        <v/>
      </c>
      <c r="CE48" s="21" t="str">
        <f t="shared" ca="1" si="3"/>
        <v>__</v>
      </c>
      <c r="CF48" s="21" t="str">
        <f ca="1">IFERROR(VLOOKUP(AX48,OFFSET(abbreviation[],0,ColumnLanguage),ColumnAbbreviation,FALSE),"")</f>
        <v/>
      </c>
      <c r="CG48" s="21" t="str">
        <f ca="1">IFERROR(VLOOKUP(AZ48,OFFSET(abbreviation[],0,ColumnLanguage),ColumnAbbreviation,FALSE),"")</f>
        <v/>
      </c>
      <c r="CH48" s="21" t="str">
        <f ca="1">IFERROR(VLOOKUP(BB48,OFFSET(abbreviation[],0,ColumnLanguage),ColumnAbbreviation,FALSE),"")</f>
        <v/>
      </c>
      <c r="CI48" s="21" t="str">
        <f ca="1">IFERROR(VLOOKUP(BD48,OFFSET(abbreviation[],0,ColumnLanguage),ColumnAbbreviation,FALSE),"")</f>
        <v/>
      </c>
      <c r="CJ48" s="21" t="str">
        <f ca="1">IFERROR(VLOOKUP(BF48,OFFSET(abbreviation[],0,ColumnLanguage),ColumnAbbreviation,FALSE),"")</f>
        <v/>
      </c>
      <c r="CK48" s="21" t="str">
        <f t="shared" ca="1" si="4"/>
        <v/>
      </c>
      <c r="CL48" s="21" t="str">
        <f t="shared" si="5"/>
        <v/>
      </c>
      <c r="CM48" s="52"/>
      <c r="CN48" s="57" t="str">
        <f t="shared" si="6"/>
        <v/>
      </c>
    </row>
    <row r="49" spans="16:92" x14ac:dyDescent="0.25">
      <c r="P49" s="60"/>
      <c r="Q49" s="13"/>
      <c r="V49" s="60"/>
      <c r="X49" s="61"/>
      <c r="AB49" s="60"/>
      <c r="AN49" s="54"/>
      <c r="AS49" s="15"/>
      <c r="BH49" s="52"/>
      <c r="BI49" s="21" t="str">
        <f ca="1">IFERROR(VLOOKUP(C49,OFFSET(abbreviation[],0,ColumnLanguage),ColumnAbbreviation,FALSE),"")</f>
        <v/>
      </c>
      <c r="BJ49" s="21" t="str">
        <f ca="1">IFERROR(VLOOKUP(E49,OFFSET(abbreviation[],0,ColumnLanguage),ColumnAbbreviation,FALSE),"")</f>
        <v/>
      </c>
      <c r="BK49" s="21" t="str">
        <f ca="1">IFERROR(VLOOKUP(G49,OFFSET(abbreviation[],0,ColumnLanguage),ColumnAbbreviation,FALSE),"")</f>
        <v/>
      </c>
      <c r="BL49" s="21" t="str">
        <f ca="1">IFERROR(VLOOKUP(I49,OFFSET(abbreviation[],0,ColumnLanguage),ColumnAbbreviation,FALSE),"")</f>
        <v/>
      </c>
      <c r="BM49" s="21" t="str">
        <f ca="1">IFERROR(VLOOKUP(K49,OFFSET(abbreviation[],0,ColumnLanguage),ColumnAbbreviation,FALSE),"")</f>
        <v/>
      </c>
      <c r="BN49" s="21" t="str">
        <f t="shared" ca="1" si="0"/>
        <v/>
      </c>
      <c r="BO49" s="21" t="str">
        <f ca="1">IFERROR(VLOOKUP(N49,OFFSET(abbreviation[],0,ColumnLanguage),ColumnAbbreviation,FALSE),"")</f>
        <v/>
      </c>
      <c r="BP49" s="21" t="str">
        <f ca="1">IFERROR(VLOOKUP(P49,OFFSET(abbreviation[],0,ColumnLanguage),ColumnAbbreviation,FALSE),"")</f>
        <v/>
      </c>
      <c r="BQ49" s="21" t="str">
        <f ca="1">IFERROR(VLOOKUP(T49,OFFSET(abbreviation[],0,ColumnLanguage),ColumnAbbreviation,FALSE),"")</f>
        <v/>
      </c>
      <c r="BR49" s="21" t="str">
        <f ca="1">IFERROR(VLOOKUP(V49,OFFSET(abbreviation[],0,ColumnLanguage),ColumnAbbreviation,FALSE),"")</f>
        <v/>
      </c>
      <c r="BS49" s="21" t="str">
        <f ca="1">IFERROR(VLOOKUP(Z49,OFFSET(abbreviation[],0,ColumnLanguage),ColumnAbbreviation,FALSE),"")</f>
        <v/>
      </c>
      <c r="BT49" s="21" t="str">
        <f ca="1">IFERROR(VLOOKUP(AB49,OFFSET(abbreviation[],0,ColumnLanguage),ColumnAbbreviation,FALSE),"")</f>
        <v/>
      </c>
      <c r="BU49" s="21" t="str">
        <f t="shared" ca="1" si="1"/>
        <v>__</v>
      </c>
      <c r="BV49" s="21" t="str">
        <f ca="1">IFERROR(VLOOKUP(AF49,OFFSET(abbreviation[],0,ColumnLanguage),ColumnAbbreviation,FALSE),"")</f>
        <v/>
      </c>
      <c r="BW49" s="21" t="str">
        <f ca="1">IFERROR(VLOOKUP(AH49,OFFSET(abbreviation[],0,ColumnLanguage),ColumnAbbreviation,FALSE),"")</f>
        <v/>
      </c>
      <c r="BX49" s="21" t="str">
        <f ca="1">IFERROR(VLOOKUP(AJ49,OFFSET(abbreviation[],0,ColumnLanguage),ColumnAbbreviation,FALSE),"")</f>
        <v/>
      </c>
      <c r="BY49" s="21" t="str">
        <f ca="1">IFERROR(VLOOKUP(AL49,OFFSET(abbreviation[],0,ColumnLanguage),ColumnAbbreviation,FALSE),"")</f>
        <v/>
      </c>
      <c r="BZ49" s="21" t="str">
        <f t="shared" ca="1" si="2"/>
        <v>_</v>
      </c>
      <c r="CA49" s="21" t="str">
        <f ca="1">IFERROR(VLOOKUP(AP49,OFFSET(abbreviation[],0,ColumnLanguage),ColumnAbbreviation,FALSE),"")</f>
        <v/>
      </c>
      <c r="CB49" s="21" t="str">
        <f ca="1">IFERROR(VLOOKUP(AR49,OFFSET(abbreviation[],0,ColumnLanguage),ColumnAbbreviation,FALSE),"")</f>
        <v/>
      </c>
      <c r="CC49" s="21" t="str">
        <f ca="1">IFERROR(VLOOKUP(AT49,OFFSET(abbreviation[],0,ColumnLanguage),ColumnAbbreviation,FALSE),"")</f>
        <v/>
      </c>
      <c r="CD49" s="21" t="str">
        <f ca="1">IFERROR(VLOOKUP(AV49,OFFSET(abbreviation[],0,ColumnLanguage),ColumnAbbreviation,FALSE),"")</f>
        <v/>
      </c>
      <c r="CE49" s="21" t="str">
        <f t="shared" ca="1" si="3"/>
        <v>__</v>
      </c>
      <c r="CF49" s="21" t="str">
        <f ca="1">IFERROR(VLOOKUP(AX49,OFFSET(abbreviation[],0,ColumnLanguage),ColumnAbbreviation,FALSE),"")</f>
        <v/>
      </c>
      <c r="CG49" s="21" t="str">
        <f ca="1">IFERROR(VLOOKUP(AZ49,OFFSET(abbreviation[],0,ColumnLanguage),ColumnAbbreviation,FALSE),"")</f>
        <v/>
      </c>
      <c r="CH49" s="21" t="str">
        <f ca="1">IFERROR(VLOOKUP(BB49,OFFSET(abbreviation[],0,ColumnLanguage),ColumnAbbreviation,FALSE),"")</f>
        <v/>
      </c>
      <c r="CI49" s="21" t="str">
        <f ca="1">IFERROR(VLOOKUP(BD49,OFFSET(abbreviation[],0,ColumnLanguage),ColumnAbbreviation,FALSE),"")</f>
        <v/>
      </c>
      <c r="CJ49" s="21" t="str">
        <f ca="1">IFERROR(VLOOKUP(BF49,OFFSET(abbreviation[],0,ColumnLanguage),ColumnAbbreviation,FALSE),"")</f>
        <v/>
      </c>
      <c r="CK49" s="21" t="str">
        <f t="shared" ca="1" si="4"/>
        <v/>
      </c>
      <c r="CL49" s="21" t="str">
        <f t="shared" si="5"/>
        <v/>
      </c>
      <c r="CM49" s="52"/>
      <c r="CN49" s="57" t="str">
        <f t="shared" si="6"/>
        <v/>
      </c>
    </row>
    <row r="50" spans="16:92" x14ac:dyDescent="0.25">
      <c r="P50" s="60"/>
      <c r="Q50" s="13"/>
      <c r="V50" s="60"/>
      <c r="X50" s="61"/>
      <c r="AB50" s="60"/>
      <c r="AN50" s="54"/>
      <c r="AS50" s="15"/>
      <c r="BH50" s="52"/>
      <c r="BI50" s="21" t="str">
        <f ca="1">IFERROR(VLOOKUP(C50,OFFSET(abbreviation[],0,ColumnLanguage),ColumnAbbreviation,FALSE),"")</f>
        <v/>
      </c>
      <c r="BJ50" s="21" t="str">
        <f ca="1">IFERROR(VLOOKUP(E50,OFFSET(abbreviation[],0,ColumnLanguage),ColumnAbbreviation,FALSE),"")</f>
        <v/>
      </c>
      <c r="BK50" s="21" t="str">
        <f ca="1">IFERROR(VLOOKUP(G50,OFFSET(abbreviation[],0,ColumnLanguage),ColumnAbbreviation,FALSE),"")</f>
        <v/>
      </c>
      <c r="BL50" s="21" t="str">
        <f ca="1">IFERROR(VLOOKUP(I50,OFFSET(abbreviation[],0,ColumnLanguage),ColumnAbbreviation,FALSE),"")</f>
        <v/>
      </c>
      <c r="BM50" s="21" t="str">
        <f ca="1">IFERROR(VLOOKUP(K50,OFFSET(abbreviation[],0,ColumnLanguage),ColumnAbbreviation,FALSE),"")</f>
        <v/>
      </c>
      <c r="BN50" s="21" t="str">
        <f t="shared" ca="1" si="0"/>
        <v/>
      </c>
      <c r="BO50" s="21" t="str">
        <f ca="1">IFERROR(VLOOKUP(N50,OFFSET(abbreviation[],0,ColumnLanguage),ColumnAbbreviation,FALSE),"")</f>
        <v/>
      </c>
      <c r="BP50" s="21" t="str">
        <f ca="1">IFERROR(VLOOKUP(P50,OFFSET(abbreviation[],0,ColumnLanguage),ColumnAbbreviation,FALSE),"")</f>
        <v/>
      </c>
      <c r="BQ50" s="21" t="str">
        <f ca="1">IFERROR(VLOOKUP(T50,OFFSET(abbreviation[],0,ColumnLanguage),ColumnAbbreviation,FALSE),"")</f>
        <v/>
      </c>
      <c r="BR50" s="21" t="str">
        <f ca="1">IFERROR(VLOOKUP(V50,OFFSET(abbreviation[],0,ColumnLanguage),ColumnAbbreviation,FALSE),"")</f>
        <v/>
      </c>
      <c r="BS50" s="21" t="str">
        <f ca="1">IFERROR(VLOOKUP(Z50,OFFSET(abbreviation[],0,ColumnLanguage),ColumnAbbreviation,FALSE),"")</f>
        <v/>
      </c>
      <c r="BT50" s="21" t="str">
        <f ca="1">IFERROR(VLOOKUP(AB50,OFFSET(abbreviation[],0,ColumnLanguage),ColumnAbbreviation,FALSE),"")</f>
        <v/>
      </c>
      <c r="BU50" s="21" t="str">
        <f t="shared" ca="1" si="1"/>
        <v>__</v>
      </c>
      <c r="BV50" s="21" t="str">
        <f ca="1">IFERROR(VLOOKUP(AF50,OFFSET(abbreviation[],0,ColumnLanguage),ColumnAbbreviation,FALSE),"")</f>
        <v/>
      </c>
      <c r="BW50" s="21" t="str">
        <f ca="1">IFERROR(VLOOKUP(AH50,OFFSET(abbreviation[],0,ColumnLanguage),ColumnAbbreviation,FALSE),"")</f>
        <v/>
      </c>
      <c r="BX50" s="21" t="str">
        <f ca="1">IFERROR(VLOOKUP(AJ50,OFFSET(abbreviation[],0,ColumnLanguage),ColumnAbbreviation,FALSE),"")</f>
        <v/>
      </c>
      <c r="BY50" s="21" t="str">
        <f ca="1">IFERROR(VLOOKUP(AL50,OFFSET(abbreviation[],0,ColumnLanguage),ColumnAbbreviation,FALSE),"")</f>
        <v/>
      </c>
      <c r="BZ50" s="21" t="str">
        <f t="shared" ca="1" si="2"/>
        <v>_</v>
      </c>
      <c r="CA50" s="21" t="str">
        <f ca="1">IFERROR(VLOOKUP(AP50,OFFSET(abbreviation[],0,ColumnLanguage),ColumnAbbreviation,FALSE),"")</f>
        <v/>
      </c>
      <c r="CB50" s="21" t="str">
        <f ca="1">IFERROR(VLOOKUP(AR50,OFFSET(abbreviation[],0,ColumnLanguage),ColumnAbbreviation,FALSE),"")</f>
        <v/>
      </c>
      <c r="CC50" s="21" t="str">
        <f ca="1">IFERROR(VLOOKUP(AT50,OFFSET(abbreviation[],0,ColumnLanguage),ColumnAbbreviation,FALSE),"")</f>
        <v/>
      </c>
      <c r="CD50" s="21" t="str">
        <f ca="1">IFERROR(VLOOKUP(AV50,OFFSET(abbreviation[],0,ColumnLanguage),ColumnAbbreviation,FALSE),"")</f>
        <v/>
      </c>
      <c r="CE50" s="21" t="str">
        <f t="shared" ca="1" si="3"/>
        <v>__</v>
      </c>
      <c r="CF50" s="21" t="str">
        <f ca="1">IFERROR(VLOOKUP(AX50,OFFSET(abbreviation[],0,ColumnLanguage),ColumnAbbreviation,FALSE),"")</f>
        <v/>
      </c>
      <c r="CG50" s="21" t="str">
        <f ca="1">IFERROR(VLOOKUP(AZ50,OFFSET(abbreviation[],0,ColumnLanguage),ColumnAbbreviation,FALSE),"")</f>
        <v/>
      </c>
      <c r="CH50" s="21" t="str">
        <f ca="1">IFERROR(VLOOKUP(BB50,OFFSET(abbreviation[],0,ColumnLanguage),ColumnAbbreviation,FALSE),"")</f>
        <v/>
      </c>
      <c r="CI50" s="21" t="str">
        <f ca="1">IFERROR(VLOOKUP(BD50,OFFSET(abbreviation[],0,ColumnLanguage),ColumnAbbreviation,FALSE),"")</f>
        <v/>
      </c>
      <c r="CJ50" s="21" t="str">
        <f ca="1">IFERROR(VLOOKUP(BF50,OFFSET(abbreviation[],0,ColumnLanguage),ColumnAbbreviation,FALSE),"")</f>
        <v/>
      </c>
      <c r="CK50" s="21" t="str">
        <f t="shared" ca="1" si="4"/>
        <v/>
      </c>
      <c r="CL50" s="21" t="str">
        <f t="shared" si="5"/>
        <v/>
      </c>
      <c r="CM50" s="52"/>
      <c r="CN50" s="57" t="str">
        <f t="shared" si="6"/>
        <v/>
      </c>
    </row>
    <row r="51" spans="16:92" x14ac:dyDescent="0.25">
      <c r="P51" s="60"/>
      <c r="Q51" s="13"/>
      <c r="V51" s="60"/>
      <c r="X51" s="61"/>
      <c r="AB51" s="60"/>
      <c r="AN51" s="54"/>
      <c r="AS51" s="15"/>
      <c r="BH51" s="52"/>
      <c r="BI51" s="21" t="str">
        <f ca="1">IFERROR(VLOOKUP(C51,OFFSET(abbreviation[],0,ColumnLanguage),ColumnAbbreviation,FALSE),"")</f>
        <v/>
      </c>
      <c r="BJ51" s="21" t="str">
        <f ca="1">IFERROR(VLOOKUP(E51,OFFSET(abbreviation[],0,ColumnLanguage),ColumnAbbreviation,FALSE),"")</f>
        <v/>
      </c>
      <c r="BK51" s="21" t="str">
        <f ca="1">IFERROR(VLOOKUP(G51,OFFSET(abbreviation[],0,ColumnLanguage),ColumnAbbreviation,FALSE),"")</f>
        <v/>
      </c>
      <c r="BL51" s="21" t="str">
        <f ca="1">IFERROR(VLOOKUP(I51,OFFSET(abbreviation[],0,ColumnLanguage),ColumnAbbreviation,FALSE),"")</f>
        <v/>
      </c>
      <c r="BM51" s="21" t="str">
        <f ca="1">IFERROR(VLOOKUP(K51,OFFSET(abbreviation[],0,ColumnLanguage),ColumnAbbreviation,FALSE),"")</f>
        <v/>
      </c>
      <c r="BN51" s="21" t="str">
        <f t="shared" ca="1" si="0"/>
        <v/>
      </c>
      <c r="BO51" s="21" t="str">
        <f ca="1">IFERROR(VLOOKUP(N51,OFFSET(abbreviation[],0,ColumnLanguage),ColumnAbbreviation,FALSE),"")</f>
        <v/>
      </c>
      <c r="BP51" s="21" t="str">
        <f ca="1">IFERROR(VLOOKUP(P51,OFFSET(abbreviation[],0,ColumnLanguage),ColumnAbbreviation,FALSE),"")</f>
        <v/>
      </c>
      <c r="BQ51" s="21" t="str">
        <f ca="1">IFERROR(VLOOKUP(T51,OFFSET(abbreviation[],0,ColumnLanguage),ColumnAbbreviation,FALSE),"")</f>
        <v/>
      </c>
      <c r="BR51" s="21" t="str">
        <f ca="1">IFERROR(VLOOKUP(V51,OFFSET(abbreviation[],0,ColumnLanguage),ColumnAbbreviation,FALSE),"")</f>
        <v/>
      </c>
      <c r="BS51" s="21" t="str">
        <f ca="1">IFERROR(VLOOKUP(Z51,OFFSET(abbreviation[],0,ColumnLanguage),ColumnAbbreviation,FALSE),"")</f>
        <v/>
      </c>
      <c r="BT51" s="21" t="str">
        <f ca="1">IFERROR(VLOOKUP(AB51,OFFSET(abbreviation[],0,ColumnLanguage),ColumnAbbreviation,FALSE),"")</f>
        <v/>
      </c>
      <c r="BU51" s="21" t="str">
        <f t="shared" ca="1" si="1"/>
        <v>__</v>
      </c>
      <c r="BV51" s="21" t="str">
        <f ca="1">IFERROR(VLOOKUP(AF51,OFFSET(abbreviation[],0,ColumnLanguage),ColumnAbbreviation,FALSE),"")</f>
        <v/>
      </c>
      <c r="BW51" s="21" t="str">
        <f ca="1">IFERROR(VLOOKUP(AH51,OFFSET(abbreviation[],0,ColumnLanguage),ColumnAbbreviation,FALSE),"")</f>
        <v/>
      </c>
      <c r="BX51" s="21" t="str">
        <f ca="1">IFERROR(VLOOKUP(AJ51,OFFSET(abbreviation[],0,ColumnLanguage),ColumnAbbreviation,FALSE),"")</f>
        <v/>
      </c>
      <c r="BY51" s="21" t="str">
        <f ca="1">IFERROR(VLOOKUP(AL51,OFFSET(abbreviation[],0,ColumnLanguage),ColumnAbbreviation,FALSE),"")</f>
        <v/>
      </c>
      <c r="BZ51" s="21" t="str">
        <f t="shared" ca="1" si="2"/>
        <v>_</v>
      </c>
      <c r="CA51" s="21" t="str">
        <f ca="1">IFERROR(VLOOKUP(AP51,OFFSET(abbreviation[],0,ColumnLanguage),ColumnAbbreviation,FALSE),"")</f>
        <v/>
      </c>
      <c r="CB51" s="21" t="str">
        <f ca="1">IFERROR(VLOOKUP(AR51,OFFSET(abbreviation[],0,ColumnLanguage),ColumnAbbreviation,FALSE),"")</f>
        <v/>
      </c>
      <c r="CC51" s="21" t="str">
        <f ca="1">IFERROR(VLOOKUP(AT51,OFFSET(abbreviation[],0,ColumnLanguage),ColumnAbbreviation,FALSE),"")</f>
        <v/>
      </c>
      <c r="CD51" s="21" t="str">
        <f ca="1">IFERROR(VLOOKUP(AV51,OFFSET(abbreviation[],0,ColumnLanguage),ColumnAbbreviation,FALSE),"")</f>
        <v/>
      </c>
      <c r="CE51" s="21" t="str">
        <f t="shared" ca="1" si="3"/>
        <v>__</v>
      </c>
      <c r="CF51" s="21" t="str">
        <f ca="1">IFERROR(VLOOKUP(AX51,OFFSET(abbreviation[],0,ColumnLanguage),ColumnAbbreviation,FALSE),"")</f>
        <v/>
      </c>
      <c r="CG51" s="21" t="str">
        <f ca="1">IFERROR(VLOOKUP(AZ51,OFFSET(abbreviation[],0,ColumnLanguage),ColumnAbbreviation,FALSE),"")</f>
        <v/>
      </c>
      <c r="CH51" s="21" t="str">
        <f ca="1">IFERROR(VLOOKUP(BB51,OFFSET(abbreviation[],0,ColumnLanguage),ColumnAbbreviation,FALSE),"")</f>
        <v/>
      </c>
      <c r="CI51" s="21" t="str">
        <f ca="1">IFERROR(VLOOKUP(BD51,OFFSET(abbreviation[],0,ColumnLanguage),ColumnAbbreviation,FALSE),"")</f>
        <v/>
      </c>
      <c r="CJ51" s="21" t="str">
        <f ca="1">IFERROR(VLOOKUP(BF51,OFFSET(abbreviation[],0,ColumnLanguage),ColumnAbbreviation,FALSE),"")</f>
        <v/>
      </c>
      <c r="CK51" s="21" t="str">
        <f t="shared" ca="1" si="4"/>
        <v/>
      </c>
      <c r="CL51" s="21" t="str">
        <f t="shared" si="5"/>
        <v/>
      </c>
      <c r="CM51" s="52"/>
      <c r="CN51" s="57" t="str">
        <f t="shared" si="6"/>
        <v/>
      </c>
    </row>
    <row r="52" spans="16:92" x14ac:dyDescent="0.25">
      <c r="P52" s="60"/>
      <c r="Q52" s="13"/>
      <c r="V52" s="60"/>
      <c r="X52" s="61"/>
      <c r="AB52" s="60"/>
      <c r="AN52" s="54"/>
      <c r="AS52" s="15"/>
      <c r="BH52" s="52"/>
      <c r="BI52" s="21" t="str">
        <f ca="1">IFERROR(VLOOKUP(C52,OFFSET(abbreviation[],0,ColumnLanguage),ColumnAbbreviation,FALSE),"")</f>
        <v/>
      </c>
      <c r="BJ52" s="21" t="str">
        <f ca="1">IFERROR(VLOOKUP(E52,OFFSET(abbreviation[],0,ColumnLanguage),ColumnAbbreviation,FALSE),"")</f>
        <v/>
      </c>
      <c r="BK52" s="21" t="str">
        <f ca="1">IFERROR(VLOOKUP(G52,OFFSET(abbreviation[],0,ColumnLanguage),ColumnAbbreviation,FALSE),"")</f>
        <v/>
      </c>
      <c r="BL52" s="21" t="str">
        <f ca="1">IFERROR(VLOOKUP(I52,OFFSET(abbreviation[],0,ColumnLanguage),ColumnAbbreviation,FALSE),"")</f>
        <v/>
      </c>
      <c r="BM52" s="21" t="str">
        <f ca="1">IFERROR(VLOOKUP(K52,OFFSET(abbreviation[],0,ColumnLanguage),ColumnAbbreviation,FALSE),"")</f>
        <v/>
      </c>
      <c r="BN52" s="21" t="str">
        <f t="shared" ca="1" si="0"/>
        <v/>
      </c>
      <c r="BO52" s="21" t="str">
        <f ca="1">IFERROR(VLOOKUP(N52,OFFSET(abbreviation[],0,ColumnLanguage),ColumnAbbreviation,FALSE),"")</f>
        <v/>
      </c>
      <c r="BP52" s="21" t="str">
        <f ca="1">IFERROR(VLOOKUP(P52,OFFSET(abbreviation[],0,ColumnLanguage),ColumnAbbreviation,FALSE),"")</f>
        <v/>
      </c>
      <c r="BQ52" s="21" t="str">
        <f ca="1">IFERROR(VLOOKUP(T52,OFFSET(abbreviation[],0,ColumnLanguage),ColumnAbbreviation,FALSE),"")</f>
        <v/>
      </c>
      <c r="BR52" s="21" t="str">
        <f ca="1">IFERROR(VLOOKUP(V52,OFFSET(abbreviation[],0,ColumnLanguage),ColumnAbbreviation,FALSE),"")</f>
        <v/>
      </c>
      <c r="BS52" s="21" t="str">
        <f ca="1">IFERROR(VLOOKUP(Z52,OFFSET(abbreviation[],0,ColumnLanguage),ColumnAbbreviation,FALSE),"")</f>
        <v/>
      </c>
      <c r="BT52" s="21" t="str">
        <f ca="1">IFERROR(VLOOKUP(AB52,OFFSET(abbreviation[],0,ColumnLanguage),ColumnAbbreviation,FALSE),"")</f>
        <v/>
      </c>
      <c r="BU52" s="21" t="str">
        <f t="shared" ca="1" si="1"/>
        <v>__</v>
      </c>
      <c r="BV52" s="21" t="str">
        <f ca="1">IFERROR(VLOOKUP(AF52,OFFSET(abbreviation[],0,ColumnLanguage),ColumnAbbreviation,FALSE),"")</f>
        <v/>
      </c>
      <c r="BW52" s="21" t="str">
        <f ca="1">IFERROR(VLOOKUP(AH52,OFFSET(abbreviation[],0,ColumnLanguage),ColumnAbbreviation,FALSE),"")</f>
        <v/>
      </c>
      <c r="BX52" s="21" t="str">
        <f ca="1">IFERROR(VLOOKUP(AJ52,OFFSET(abbreviation[],0,ColumnLanguage),ColumnAbbreviation,FALSE),"")</f>
        <v/>
      </c>
      <c r="BY52" s="21" t="str">
        <f ca="1">IFERROR(VLOOKUP(AL52,OFFSET(abbreviation[],0,ColumnLanguage),ColumnAbbreviation,FALSE),"")</f>
        <v/>
      </c>
      <c r="BZ52" s="21" t="str">
        <f t="shared" ca="1" si="2"/>
        <v>_</v>
      </c>
      <c r="CA52" s="21" t="str">
        <f ca="1">IFERROR(VLOOKUP(AP52,OFFSET(abbreviation[],0,ColumnLanguage),ColumnAbbreviation,FALSE),"")</f>
        <v/>
      </c>
      <c r="CB52" s="21" t="str">
        <f ca="1">IFERROR(VLOOKUP(AR52,OFFSET(abbreviation[],0,ColumnLanguage),ColumnAbbreviation,FALSE),"")</f>
        <v/>
      </c>
      <c r="CC52" s="21" t="str">
        <f ca="1">IFERROR(VLOOKUP(AT52,OFFSET(abbreviation[],0,ColumnLanguage),ColumnAbbreviation,FALSE),"")</f>
        <v/>
      </c>
      <c r="CD52" s="21" t="str">
        <f ca="1">IFERROR(VLOOKUP(AV52,OFFSET(abbreviation[],0,ColumnLanguage),ColumnAbbreviation,FALSE),"")</f>
        <v/>
      </c>
      <c r="CE52" s="21" t="str">
        <f t="shared" ca="1" si="3"/>
        <v>__</v>
      </c>
      <c r="CF52" s="21" t="str">
        <f ca="1">IFERROR(VLOOKUP(AX52,OFFSET(abbreviation[],0,ColumnLanguage),ColumnAbbreviation,FALSE),"")</f>
        <v/>
      </c>
      <c r="CG52" s="21" t="str">
        <f ca="1">IFERROR(VLOOKUP(AZ52,OFFSET(abbreviation[],0,ColumnLanguage),ColumnAbbreviation,FALSE),"")</f>
        <v/>
      </c>
      <c r="CH52" s="21" t="str">
        <f ca="1">IFERROR(VLOOKUP(BB52,OFFSET(abbreviation[],0,ColumnLanguage),ColumnAbbreviation,FALSE),"")</f>
        <v/>
      </c>
      <c r="CI52" s="21" t="str">
        <f ca="1">IFERROR(VLOOKUP(BD52,OFFSET(abbreviation[],0,ColumnLanguage),ColumnAbbreviation,FALSE),"")</f>
        <v/>
      </c>
      <c r="CJ52" s="21" t="str">
        <f ca="1">IFERROR(VLOOKUP(BF52,OFFSET(abbreviation[],0,ColumnLanguage),ColumnAbbreviation,FALSE),"")</f>
        <v/>
      </c>
      <c r="CK52" s="21" t="str">
        <f t="shared" ca="1" si="4"/>
        <v/>
      </c>
      <c r="CL52" s="21" t="str">
        <f t="shared" si="5"/>
        <v/>
      </c>
      <c r="CM52" s="52"/>
      <c r="CN52" s="57" t="str">
        <f t="shared" si="6"/>
        <v/>
      </c>
    </row>
    <row r="53" spans="16:92" x14ac:dyDescent="0.25">
      <c r="P53" s="60"/>
      <c r="Q53" s="13"/>
      <c r="V53" s="60"/>
      <c r="X53" s="61"/>
      <c r="AB53" s="60"/>
      <c r="AN53" s="54"/>
      <c r="AS53" s="15"/>
      <c r="BH53" s="52"/>
      <c r="BI53" s="21" t="str">
        <f ca="1">IFERROR(VLOOKUP(C53,OFFSET(abbreviation[],0,ColumnLanguage),ColumnAbbreviation,FALSE),"")</f>
        <v/>
      </c>
      <c r="BJ53" s="21" t="str">
        <f ca="1">IFERROR(VLOOKUP(E53,OFFSET(abbreviation[],0,ColumnLanguage),ColumnAbbreviation,FALSE),"")</f>
        <v/>
      </c>
      <c r="BK53" s="21" t="str">
        <f ca="1">IFERROR(VLOOKUP(G53,OFFSET(abbreviation[],0,ColumnLanguage),ColumnAbbreviation,FALSE),"")</f>
        <v/>
      </c>
      <c r="BL53" s="21" t="str">
        <f ca="1">IFERROR(VLOOKUP(I53,OFFSET(abbreviation[],0,ColumnLanguage),ColumnAbbreviation,FALSE),"")</f>
        <v/>
      </c>
      <c r="BM53" s="21" t="str">
        <f ca="1">IFERROR(VLOOKUP(K53,OFFSET(abbreviation[],0,ColumnLanguage),ColumnAbbreviation,FALSE),"")</f>
        <v/>
      </c>
      <c r="BN53" s="21" t="str">
        <f t="shared" ca="1" si="0"/>
        <v/>
      </c>
      <c r="BO53" s="21" t="str">
        <f ca="1">IFERROR(VLOOKUP(N53,OFFSET(abbreviation[],0,ColumnLanguage),ColumnAbbreviation,FALSE),"")</f>
        <v/>
      </c>
      <c r="BP53" s="21" t="str">
        <f ca="1">IFERROR(VLOOKUP(P53,OFFSET(abbreviation[],0,ColumnLanguage),ColumnAbbreviation,FALSE),"")</f>
        <v/>
      </c>
      <c r="BQ53" s="21" t="str">
        <f ca="1">IFERROR(VLOOKUP(T53,OFFSET(abbreviation[],0,ColumnLanguage),ColumnAbbreviation,FALSE),"")</f>
        <v/>
      </c>
      <c r="BR53" s="21" t="str">
        <f ca="1">IFERROR(VLOOKUP(V53,OFFSET(abbreviation[],0,ColumnLanguage),ColumnAbbreviation,FALSE),"")</f>
        <v/>
      </c>
      <c r="BS53" s="21" t="str">
        <f ca="1">IFERROR(VLOOKUP(Z53,OFFSET(abbreviation[],0,ColumnLanguage),ColumnAbbreviation,FALSE),"")</f>
        <v/>
      </c>
      <c r="BT53" s="21" t="str">
        <f ca="1">IFERROR(VLOOKUP(AB53,OFFSET(abbreviation[],0,ColumnLanguage),ColumnAbbreviation,FALSE),"")</f>
        <v/>
      </c>
      <c r="BU53" s="21" t="str">
        <f t="shared" ca="1" si="1"/>
        <v>__</v>
      </c>
      <c r="BV53" s="21" t="str">
        <f ca="1">IFERROR(VLOOKUP(AF53,OFFSET(abbreviation[],0,ColumnLanguage),ColumnAbbreviation,FALSE),"")</f>
        <v/>
      </c>
      <c r="BW53" s="21" t="str">
        <f ca="1">IFERROR(VLOOKUP(AH53,OFFSET(abbreviation[],0,ColumnLanguage),ColumnAbbreviation,FALSE),"")</f>
        <v/>
      </c>
      <c r="BX53" s="21" t="str">
        <f ca="1">IFERROR(VLOOKUP(AJ53,OFFSET(abbreviation[],0,ColumnLanguage),ColumnAbbreviation,FALSE),"")</f>
        <v/>
      </c>
      <c r="BY53" s="21" t="str">
        <f ca="1">IFERROR(VLOOKUP(AL53,OFFSET(abbreviation[],0,ColumnLanguage),ColumnAbbreviation,FALSE),"")</f>
        <v/>
      </c>
      <c r="BZ53" s="21" t="str">
        <f t="shared" ca="1" si="2"/>
        <v>_</v>
      </c>
      <c r="CA53" s="21" t="str">
        <f ca="1">IFERROR(VLOOKUP(AP53,OFFSET(abbreviation[],0,ColumnLanguage),ColumnAbbreviation,FALSE),"")</f>
        <v/>
      </c>
      <c r="CB53" s="21" t="str">
        <f ca="1">IFERROR(VLOOKUP(AR53,OFFSET(abbreviation[],0,ColumnLanguage),ColumnAbbreviation,FALSE),"")</f>
        <v/>
      </c>
      <c r="CC53" s="21" t="str">
        <f ca="1">IFERROR(VLOOKUP(AT53,OFFSET(abbreviation[],0,ColumnLanguage),ColumnAbbreviation,FALSE),"")</f>
        <v/>
      </c>
      <c r="CD53" s="21" t="str">
        <f ca="1">IFERROR(VLOOKUP(AV53,OFFSET(abbreviation[],0,ColumnLanguage),ColumnAbbreviation,FALSE),"")</f>
        <v/>
      </c>
      <c r="CE53" s="21" t="str">
        <f t="shared" ca="1" si="3"/>
        <v>__</v>
      </c>
      <c r="CF53" s="21" t="str">
        <f ca="1">IFERROR(VLOOKUP(AX53,OFFSET(abbreviation[],0,ColumnLanguage),ColumnAbbreviation,FALSE),"")</f>
        <v/>
      </c>
      <c r="CG53" s="21" t="str">
        <f ca="1">IFERROR(VLOOKUP(AZ53,OFFSET(abbreviation[],0,ColumnLanguage),ColumnAbbreviation,FALSE),"")</f>
        <v/>
      </c>
      <c r="CH53" s="21" t="str">
        <f ca="1">IFERROR(VLOOKUP(BB53,OFFSET(abbreviation[],0,ColumnLanguage),ColumnAbbreviation,FALSE),"")</f>
        <v/>
      </c>
      <c r="CI53" s="21" t="str">
        <f ca="1">IFERROR(VLOOKUP(BD53,OFFSET(abbreviation[],0,ColumnLanguage),ColumnAbbreviation,FALSE),"")</f>
        <v/>
      </c>
      <c r="CJ53" s="21" t="str">
        <f ca="1">IFERROR(VLOOKUP(BF53,OFFSET(abbreviation[],0,ColumnLanguage),ColumnAbbreviation,FALSE),"")</f>
        <v/>
      </c>
      <c r="CK53" s="21" t="str">
        <f t="shared" ca="1" si="4"/>
        <v/>
      </c>
      <c r="CL53" s="21" t="str">
        <f t="shared" si="5"/>
        <v/>
      </c>
      <c r="CM53" s="52"/>
      <c r="CN53" s="57" t="str">
        <f t="shared" si="6"/>
        <v/>
      </c>
    </row>
    <row r="54" spans="16:92" x14ac:dyDescent="0.25">
      <c r="P54" s="60"/>
      <c r="Q54" s="13"/>
      <c r="V54" s="60"/>
      <c r="X54" s="61"/>
      <c r="AB54" s="60"/>
      <c r="AN54" s="54"/>
      <c r="AS54" s="15"/>
      <c r="BH54" s="52"/>
      <c r="BI54" s="21" t="str">
        <f ca="1">IFERROR(VLOOKUP(C54,OFFSET(abbreviation[],0,ColumnLanguage),ColumnAbbreviation,FALSE),"")</f>
        <v/>
      </c>
      <c r="BJ54" s="21" t="str">
        <f ca="1">IFERROR(VLOOKUP(E54,OFFSET(abbreviation[],0,ColumnLanguage),ColumnAbbreviation,FALSE),"")</f>
        <v/>
      </c>
      <c r="BK54" s="21" t="str">
        <f ca="1">IFERROR(VLOOKUP(G54,OFFSET(abbreviation[],0,ColumnLanguage),ColumnAbbreviation,FALSE),"")</f>
        <v/>
      </c>
      <c r="BL54" s="21" t="str">
        <f ca="1">IFERROR(VLOOKUP(I54,OFFSET(abbreviation[],0,ColumnLanguage),ColumnAbbreviation,FALSE),"")</f>
        <v/>
      </c>
      <c r="BM54" s="21" t="str">
        <f ca="1">IFERROR(VLOOKUP(K54,OFFSET(abbreviation[],0,ColumnLanguage),ColumnAbbreviation,FALSE),"")</f>
        <v/>
      </c>
      <c r="BN54" s="21" t="str">
        <f t="shared" ca="1" si="0"/>
        <v/>
      </c>
      <c r="BO54" s="21" t="str">
        <f ca="1">IFERROR(VLOOKUP(N54,OFFSET(abbreviation[],0,ColumnLanguage),ColumnAbbreviation,FALSE),"")</f>
        <v/>
      </c>
      <c r="BP54" s="21" t="str">
        <f ca="1">IFERROR(VLOOKUP(P54,OFFSET(abbreviation[],0,ColumnLanguage),ColumnAbbreviation,FALSE),"")</f>
        <v/>
      </c>
      <c r="BQ54" s="21" t="str">
        <f ca="1">IFERROR(VLOOKUP(T54,OFFSET(abbreviation[],0,ColumnLanguage),ColumnAbbreviation,FALSE),"")</f>
        <v/>
      </c>
      <c r="BR54" s="21" t="str">
        <f ca="1">IFERROR(VLOOKUP(V54,OFFSET(abbreviation[],0,ColumnLanguage),ColumnAbbreviation,FALSE),"")</f>
        <v/>
      </c>
      <c r="BS54" s="21" t="str">
        <f ca="1">IFERROR(VLOOKUP(Z54,OFFSET(abbreviation[],0,ColumnLanguage),ColumnAbbreviation,FALSE),"")</f>
        <v/>
      </c>
      <c r="BT54" s="21" t="str">
        <f ca="1">IFERROR(VLOOKUP(AB54,OFFSET(abbreviation[],0,ColumnLanguage),ColumnAbbreviation,FALSE),"")</f>
        <v/>
      </c>
      <c r="BU54" s="21" t="str">
        <f t="shared" ca="1" si="1"/>
        <v>__</v>
      </c>
      <c r="BV54" s="21" t="str">
        <f ca="1">IFERROR(VLOOKUP(AF54,OFFSET(abbreviation[],0,ColumnLanguage),ColumnAbbreviation,FALSE),"")</f>
        <v/>
      </c>
      <c r="BW54" s="21" t="str">
        <f ca="1">IFERROR(VLOOKUP(AH54,OFFSET(abbreviation[],0,ColumnLanguage),ColumnAbbreviation,FALSE),"")</f>
        <v/>
      </c>
      <c r="BX54" s="21" t="str">
        <f ca="1">IFERROR(VLOOKUP(AJ54,OFFSET(abbreviation[],0,ColumnLanguage),ColumnAbbreviation,FALSE),"")</f>
        <v/>
      </c>
      <c r="BY54" s="21" t="str">
        <f ca="1">IFERROR(VLOOKUP(AL54,OFFSET(abbreviation[],0,ColumnLanguage),ColumnAbbreviation,FALSE),"")</f>
        <v/>
      </c>
      <c r="BZ54" s="21" t="str">
        <f t="shared" ca="1" si="2"/>
        <v>_</v>
      </c>
      <c r="CA54" s="21" t="str">
        <f ca="1">IFERROR(VLOOKUP(AP54,OFFSET(abbreviation[],0,ColumnLanguage),ColumnAbbreviation,FALSE),"")</f>
        <v/>
      </c>
      <c r="CB54" s="21" t="str">
        <f ca="1">IFERROR(VLOOKUP(AR54,OFFSET(abbreviation[],0,ColumnLanguage),ColumnAbbreviation,FALSE),"")</f>
        <v/>
      </c>
      <c r="CC54" s="21" t="str">
        <f ca="1">IFERROR(VLOOKUP(AT54,OFFSET(abbreviation[],0,ColumnLanguage),ColumnAbbreviation,FALSE),"")</f>
        <v/>
      </c>
      <c r="CD54" s="21" t="str">
        <f ca="1">IFERROR(VLOOKUP(AV54,OFFSET(abbreviation[],0,ColumnLanguage),ColumnAbbreviation,FALSE),"")</f>
        <v/>
      </c>
      <c r="CE54" s="21" t="str">
        <f t="shared" ca="1" si="3"/>
        <v>__</v>
      </c>
      <c r="CF54" s="21" t="str">
        <f ca="1">IFERROR(VLOOKUP(AX54,OFFSET(abbreviation[],0,ColumnLanguage),ColumnAbbreviation,FALSE),"")</f>
        <v/>
      </c>
      <c r="CG54" s="21" t="str">
        <f ca="1">IFERROR(VLOOKUP(AZ54,OFFSET(abbreviation[],0,ColumnLanguage),ColumnAbbreviation,FALSE),"")</f>
        <v/>
      </c>
      <c r="CH54" s="21" t="str">
        <f ca="1">IFERROR(VLOOKUP(BB54,OFFSET(abbreviation[],0,ColumnLanguage),ColumnAbbreviation,FALSE),"")</f>
        <v/>
      </c>
      <c r="CI54" s="21" t="str">
        <f ca="1">IFERROR(VLOOKUP(BD54,OFFSET(abbreviation[],0,ColumnLanguage),ColumnAbbreviation,FALSE),"")</f>
        <v/>
      </c>
      <c r="CJ54" s="21" t="str">
        <f ca="1">IFERROR(VLOOKUP(BF54,OFFSET(abbreviation[],0,ColumnLanguage),ColumnAbbreviation,FALSE),"")</f>
        <v/>
      </c>
      <c r="CK54" s="21" t="str">
        <f t="shared" ca="1" si="4"/>
        <v/>
      </c>
      <c r="CL54" s="21" t="str">
        <f t="shared" si="5"/>
        <v/>
      </c>
      <c r="CM54" s="52"/>
      <c r="CN54" s="57" t="str">
        <f t="shared" si="6"/>
        <v/>
      </c>
    </row>
    <row r="55" spans="16:92" x14ac:dyDescent="0.25">
      <c r="P55" s="60"/>
      <c r="Q55" s="13"/>
      <c r="V55" s="60"/>
      <c r="X55" s="61"/>
      <c r="AB55" s="60"/>
      <c r="AN55" s="54"/>
      <c r="AS55" s="15"/>
      <c r="BH55" s="52"/>
      <c r="BI55" s="21" t="str">
        <f ca="1">IFERROR(VLOOKUP(C55,OFFSET(abbreviation[],0,ColumnLanguage),ColumnAbbreviation,FALSE),"")</f>
        <v/>
      </c>
      <c r="BJ55" s="21" t="str">
        <f ca="1">IFERROR(VLOOKUP(E55,OFFSET(abbreviation[],0,ColumnLanguage),ColumnAbbreviation,FALSE),"")</f>
        <v/>
      </c>
      <c r="BK55" s="21" t="str">
        <f ca="1">IFERROR(VLOOKUP(G55,OFFSET(abbreviation[],0,ColumnLanguage),ColumnAbbreviation,FALSE),"")</f>
        <v/>
      </c>
      <c r="BL55" s="21" t="str">
        <f ca="1">IFERROR(VLOOKUP(I55,OFFSET(abbreviation[],0,ColumnLanguage),ColumnAbbreviation,FALSE),"")</f>
        <v/>
      </c>
      <c r="BM55" s="21" t="str">
        <f ca="1">IFERROR(VLOOKUP(K55,OFFSET(abbreviation[],0,ColumnLanguage),ColumnAbbreviation,FALSE),"")</f>
        <v/>
      </c>
      <c r="BN55" s="21" t="str">
        <f t="shared" ca="1" si="0"/>
        <v/>
      </c>
      <c r="BO55" s="21" t="str">
        <f ca="1">IFERROR(VLOOKUP(N55,OFFSET(abbreviation[],0,ColumnLanguage),ColumnAbbreviation,FALSE),"")</f>
        <v/>
      </c>
      <c r="BP55" s="21" t="str">
        <f ca="1">IFERROR(VLOOKUP(P55,OFFSET(abbreviation[],0,ColumnLanguage),ColumnAbbreviation,FALSE),"")</f>
        <v/>
      </c>
      <c r="BQ55" s="21" t="str">
        <f ca="1">IFERROR(VLOOKUP(T55,OFFSET(abbreviation[],0,ColumnLanguage),ColumnAbbreviation,FALSE),"")</f>
        <v/>
      </c>
      <c r="BR55" s="21" t="str">
        <f ca="1">IFERROR(VLOOKUP(V55,OFFSET(abbreviation[],0,ColumnLanguage),ColumnAbbreviation,FALSE),"")</f>
        <v/>
      </c>
      <c r="BS55" s="21" t="str">
        <f ca="1">IFERROR(VLOOKUP(Z55,OFFSET(abbreviation[],0,ColumnLanguage),ColumnAbbreviation,FALSE),"")</f>
        <v/>
      </c>
      <c r="BT55" s="21" t="str">
        <f ca="1">IFERROR(VLOOKUP(AB55,OFFSET(abbreviation[],0,ColumnLanguage),ColumnAbbreviation,FALSE),"")</f>
        <v/>
      </c>
      <c r="BU55" s="21" t="str">
        <f t="shared" ca="1" si="1"/>
        <v>__</v>
      </c>
      <c r="BV55" s="21" t="str">
        <f ca="1">IFERROR(VLOOKUP(AF55,OFFSET(abbreviation[],0,ColumnLanguage),ColumnAbbreviation,FALSE),"")</f>
        <v/>
      </c>
      <c r="BW55" s="21" t="str">
        <f ca="1">IFERROR(VLOOKUP(AH55,OFFSET(abbreviation[],0,ColumnLanguage),ColumnAbbreviation,FALSE),"")</f>
        <v/>
      </c>
      <c r="BX55" s="21" t="str">
        <f ca="1">IFERROR(VLOOKUP(AJ55,OFFSET(abbreviation[],0,ColumnLanguage),ColumnAbbreviation,FALSE),"")</f>
        <v/>
      </c>
      <c r="BY55" s="21" t="str">
        <f ca="1">IFERROR(VLOOKUP(AL55,OFFSET(abbreviation[],0,ColumnLanguage),ColumnAbbreviation,FALSE),"")</f>
        <v/>
      </c>
      <c r="BZ55" s="21" t="str">
        <f t="shared" ca="1" si="2"/>
        <v>_</v>
      </c>
      <c r="CA55" s="21" t="str">
        <f ca="1">IFERROR(VLOOKUP(AP55,OFFSET(abbreviation[],0,ColumnLanguage),ColumnAbbreviation,FALSE),"")</f>
        <v/>
      </c>
      <c r="CB55" s="21" t="str">
        <f ca="1">IFERROR(VLOOKUP(AR55,OFFSET(abbreviation[],0,ColumnLanguage),ColumnAbbreviation,FALSE),"")</f>
        <v/>
      </c>
      <c r="CC55" s="21" t="str">
        <f ca="1">IFERROR(VLOOKUP(AT55,OFFSET(abbreviation[],0,ColumnLanguage),ColumnAbbreviation,FALSE),"")</f>
        <v/>
      </c>
      <c r="CD55" s="21" t="str">
        <f ca="1">IFERROR(VLOOKUP(AV55,OFFSET(abbreviation[],0,ColumnLanguage),ColumnAbbreviation,FALSE),"")</f>
        <v/>
      </c>
      <c r="CE55" s="21" t="str">
        <f t="shared" ca="1" si="3"/>
        <v>__</v>
      </c>
      <c r="CF55" s="21" t="str">
        <f ca="1">IFERROR(VLOOKUP(AX55,OFFSET(abbreviation[],0,ColumnLanguage),ColumnAbbreviation,FALSE),"")</f>
        <v/>
      </c>
      <c r="CG55" s="21" t="str">
        <f ca="1">IFERROR(VLOOKUP(AZ55,OFFSET(abbreviation[],0,ColumnLanguage),ColumnAbbreviation,FALSE),"")</f>
        <v/>
      </c>
      <c r="CH55" s="21" t="str">
        <f ca="1">IFERROR(VLOOKUP(BB55,OFFSET(abbreviation[],0,ColumnLanguage),ColumnAbbreviation,FALSE),"")</f>
        <v/>
      </c>
      <c r="CI55" s="21" t="str">
        <f ca="1">IFERROR(VLOOKUP(BD55,OFFSET(abbreviation[],0,ColumnLanguage),ColumnAbbreviation,FALSE),"")</f>
        <v/>
      </c>
      <c r="CJ55" s="21" t="str">
        <f ca="1">IFERROR(VLOOKUP(BF55,OFFSET(abbreviation[],0,ColumnLanguage),ColumnAbbreviation,FALSE),"")</f>
        <v/>
      </c>
      <c r="CK55" s="21" t="str">
        <f t="shared" ca="1" si="4"/>
        <v/>
      </c>
      <c r="CL55" s="21" t="str">
        <f t="shared" si="5"/>
        <v/>
      </c>
      <c r="CM55" s="52"/>
      <c r="CN55" s="57" t="str">
        <f t="shared" si="6"/>
        <v/>
      </c>
    </row>
    <row r="56" spans="16:92" x14ac:dyDescent="0.25">
      <c r="P56" s="60"/>
      <c r="Q56" s="13"/>
      <c r="V56" s="60"/>
      <c r="X56" s="61"/>
      <c r="AB56" s="60"/>
      <c r="AN56" s="54"/>
      <c r="AS56" s="15"/>
      <c r="BH56" s="52"/>
      <c r="BI56" s="21" t="str">
        <f ca="1">IFERROR(VLOOKUP(C56,OFFSET(abbreviation[],0,ColumnLanguage),ColumnAbbreviation,FALSE),"")</f>
        <v/>
      </c>
      <c r="BJ56" s="21" t="str">
        <f ca="1">IFERROR(VLOOKUP(E56,OFFSET(abbreviation[],0,ColumnLanguage),ColumnAbbreviation,FALSE),"")</f>
        <v/>
      </c>
      <c r="BK56" s="21" t="str">
        <f ca="1">IFERROR(VLOOKUP(G56,OFFSET(abbreviation[],0,ColumnLanguage),ColumnAbbreviation,FALSE),"")</f>
        <v/>
      </c>
      <c r="BL56" s="21" t="str">
        <f ca="1">IFERROR(VLOOKUP(I56,OFFSET(abbreviation[],0,ColumnLanguage),ColumnAbbreviation,FALSE),"")</f>
        <v/>
      </c>
      <c r="BM56" s="21" t="str">
        <f ca="1">IFERROR(VLOOKUP(K56,OFFSET(abbreviation[],0,ColumnLanguage),ColumnAbbreviation,FALSE),"")</f>
        <v/>
      </c>
      <c r="BN56" s="21" t="str">
        <f t="shared" ca="1" si="0"/>
        <v/>
      </c>
      <c r="BO56" s="21" t="str">
        <f ca="1">IFERROR(VLOOKUP(N56,OFFSET(abbreviation[],0,ColumnLanguage),ColumnAbbreviation,FALSE),"")</f>
        <v/>
      </c>
      <c r="BP56" s="21" t="str">
        <f ca="1">IFERROR(VLOOKUP(P56,OFFSET(abbreviation[],0,ColumnLanguage),ColumnAbbreviation,FALSE),"")</f>
        <v/>
      </c>
      <c r="BQ56" s="21" t="str">
        <f ca="1">IFERROR(VLOOKUP(T56,OFFSET(abbreviation[],0,ColumnLanguage),ColumnAbbreviation,FALSE),"")</f>
        <v/>
      </c>
      <c r="BR56" s="21" t="str">
        <f ca="1">IFERROR(VLOOKUP(V56,OFFSET(abbreviation[],0,ColumnLanguage),ColumnAbbreviation,FALSE),"")</f>
        <v/>
      </c>
      <c r="BS56" s="21" t="str">
        <f ca="1">IFERROR(VLOOKUP(Z56,OFFSET(abbreviation[],0,ColumnLanguage),ColumnAbbreviation,FALSE),"")</f>
        <v/>
      </c>
      <c r="BT56" s="21" t="str">
        <f ca="1">IFERROR(VLOOKUP(AB56,OFFSET(abbreviation[],0,ColumnLanguage),ColumnAbbreviation,FALSE),"")</f>
        <v/>
      </c>
      <c r="BU56" s="21" t="str">
        <f t="shared" ca="1" si="1"/>
        <v>__</v>
      </c>
      <c r="BV56" s="21" t="str">
        <f ca="1">IFERROR(VLOOKUP(AF56,OFFSET(abbreviation[],0,ColumnLanguage),ColumnAbbreviation,FALSE),"")</f>
        <v/>
      </c>
      <c r="BW56" s="21" t="str">
        <f ca="1">IFERROR(VLOOKUP(AH56,OFFSET(abbreviation[],0,ColumnLanguage),ColumnAbbreviation,FALSE),"")</f>
        <v/>
      </c>
      <c r="BX56" s="21" t="str">
        <f ca="1">IFERROR(VLOOKUP(AJ56,OFFSET(abbreviation[],0,ColumnLanguage),ColumnAbbreviation,FALSE),"")</f>
        <v/>
      </c>
      <c r="BY56" s="21" t="str">
        <f ca="1">IFERROR(VLOOKUP(AL56,OFFSET(abbreviation[],0,ColumnLanguage),ColumnAbbreviation,FALSE),"")</f>
        <v/>
      </c>
      <c r="BZ56" s="21" t="str">
        <f t="shared" ca="1" si="2"/>
        <v>_</v>
      </c>
      <c r="CA56" s="21" t="str">
        <f ca="1">IFERROR(VLOOKUP(AP56,OFFSET(abbreviation[],0,ColumnLanguage),ColumnAbbreviation,FALSE),"")</f>
        <v/>
      </c>
      <c r="CB56" s="21" t="str">
        <f ca="1">IFERROR(VLOOKUP(AR56,OFFSET(abbreviation[],0,ColumnLanguage),ColumnAbbreviation,FALSE),"")</f>
        <v/>
      </c>
      <c r="CC56" s="21" t="str">
        <f ca="1">IFERROR(VLOOKUP(AT56,OFFSET(abbreviation[],0,ColumnLanguage),ColumnAbbreviation,FALSE),"")</f>
        <v/>
      </c>
      <c r="CD56" s="21" t="str">
        <f ca="1">IFERROR(VLOOKUP(AV56,OFFSET(abbreviation[],0,ColumnLanguage),ColumnAbbreviation,FALSE),"")</f>
        <v/>
      </c>
      <c r="CE56" s="21" t="str">
        <f t="shared" ca="1" si="3"/>
        <v>__</v>
      </c>
      <c r="CF56" s="21" t="str">
        <f ca="1">IFERROR(VLOOKUP(AX56,OFFSET(abbreviation[],0,ColumnLanguage),ColumnAbbreviation,FALSE),"")</f>
        <v/>
      </c>
      <c r="CG56" s="21" t="str">
        <f ca="1">IFERROR(VLOOKUP(AZ56,OFFSET(abbreviation[],0,ColumnLanguage),ColumnAbbreviation,FALSE),"")</f>
        <v/>
      </c>
      <c r="CH56" s="21" t="str">
        <f ca="1">IFERROR(VLOOKUP(BB56,OFFSET(abbreviation[],0,ColumnLanguage),ColumnAbbreviation,FALSE),"")</f>
        <v/>
      </c>
      <c r="CI56" s="21" t="str">
        <f ca="1">IFERROR(VLOOKUP(BD56,OFFSET(abbreviation[],0,ColumnLanguage),ColumnAbbreviation,FALSE),"")</f>
        <v/>
      </c>
      <c r="CJ56" s="21" t="str">
        <f ca="1">IFERROR(VLOOKUP(BF56,OFFSET(abbreviation[],0,ColumnLanguage),ColumnAbbreviation,FALSE),"")</f>
        <v/>
      </c>
      <c r="CK56" s="21" t="str">
        <f t="shared" ca="1" si="4"/>
        <v/>
      </c>
      <c r="CL56" s="21" t="str">
        <f t="shared" si="5"/>
        <v/>
      </c>
      <c r="CM56" s="52"/>
      <c r="CN56" s="57" t="str">
        <f t="shared" si="6"/>
        <v/>
      </c>
    </row>
    <row r="57" spans="16:92" x14ac:dyDescent="0.25">
      <c r="P57" s="60"/>
      <c r="Q57" s="13"/>
      <c r="V57" s="60"/>
      <c r="X57" s="61"/>
      <c r="AB57" s="60"/>
      <c r="AN57" s="54"/>
      <c r="AS57" s="15"/>
      <c r="BH57" s="52"/>
      <c r="BI57" s="21" t="str">
        <f ca="1">IFERROR(VLOOKUP(C57,OFFSET(abbreviation[],0,ColumnLanguage),ColumnAbbreviation,FALSE),"")</f>
        <v/>
      </c>
      <c r="BJ57" s="21" t="str">
        <f ca="1">IFERROR(VLOOKUP(E57,OFFSET(abbreviation[],0,ColumnLanguage),ColumnAbbreviation,FALSE),"")</f>
        <v/>
      </c>
      <c r="BK57" s="21" t="str">
        <f ca="1">IFERROR(VLOOKUP(G57,OFFSET(abbreviation[],0,ColumnLanguage),ColumnAbbreviation,FALSE),"")</f>
        <v/>
      </c>
      <c r="BL57" s="21" t="str">
        <f ca="1">IFERROR(VLOOKUP(I57,OFFSET(abbreviation[],0,ColumnLanguage),ColumnAbbreviation,FALSE),"")</f>
        <v/>
      </c>
      <c r="BM57" s="21" t="str">
        <f ca="1">IFERROR(VLOOKUP(K57,OFFSET(abbreviation[],0,ColumnLanguage),ColumnAbbreviation,FALSE),"")</f>
        <v/>
      </c>
      <c r="BN57" s="21" t="str">
        <f t="shared" ca="1" si="0"/>
        <v/>
      </c>
      <c r="BO57" s="21" t="str">
        <f ca="1">IFERROR(VLOOKUP(N57,OFFSET(abbreviation[],0,ColumnLanguage),ColumnAbbreviation,FALSE),"")</f>
        <v/>
      </c>
      <c r="BP57" s="21" t="str">
        <f ca="1">IFERROR(VLOOKUP(P57,OFFSET(abbreviation[],0,ColumnLanguage),ColumnAbbreviation,FALSE),"")</f>
        <v/>
      </c>
      <c r="BQ57" s="21" t="str">
        <f ca="1">IFERROR(VLOOKUP(T57,OFFSET(abbreviation[],0,ColumnLanguage),ColumnAbbreviation,FALSE),"")</f>
        <v/>
      </c>
      <c r="BR57" s="21" t="str">
        <f ca="1">IFERROR(VLOOKUP(V57,OFFSET(abbreviation[],0,ColumnLanguage),ColumnAbbreviation,FALSE),"")</f>
        <v/>
      </c>
      <c r="BS57" s="21" t="str">
        <f ca="1">IFERROR(VLOOKUP(Z57,OFFSET(abbreviation[],0,ColumnLanguage),ColumnAbbreviation,FALSE),"")</f>
        <v/>
      </c>
      <c r="BT57" s="21" t="str">
        <f ca="1">IFERROR(VLOOKUP(AB57,OFFSET(abbreviation[],0,ColumnLanguage),ColumnAbbreviation,FALSE),"")</f>
        <v/>
      </c>
      <c r="BU57" s="21" t="str">
        <f t="shared" ca="1" si="1"/>
        <v>__</v>
      </c>
      <c r="BV57" s="21" t="str">
        <f ca="1">IFERROR(VLOOKUP(AF57,OFFSET(abbreviation[],0,ColumnLanguage),ColumnAbbreviation,FALSE),"")</f>
        <v/>
      </c>
      <c r="BW57" s="21" t="str">
        <f ca="1">IFERROR(VLOOKUP(AH57,OFFSET(abbreviation[],0,ColumnLanguage),ColumnAbbreviation,FALSE),"")</f>
        <v/>
      </c>
      <c r="BX57" s="21" t="str">
        <f ca="1">IFERROR(VLOOKUP(AJ57,OFFSET(abbreviation[],0,ColumnLanguage),ColumnAbbreviation,FALSE),"")</f>
        <v/>
      </c>
      <c r="BY57" s="21" t="str">
        <f ca="1">IFERROR(VLOOKUP(AL57,OFFSET(abbreviation[],0,ColumnLanguage),ColumnAbbreviation,FALSE),"")</f>
        <v/>
      </c>
      <c r="BZ57" s="21" t="str">
        <f t="shared" ca="1" si="2"/>
        <v>_</v>
      </c>
      <c r="CA57" s="21" t="str">
        <f ca="1">IFERROR(VLOOKUP(AP57,OFFSET(abbreviation[],0,ColumnLanguage),ColumnAbbreviation,FALSE),"")</f>
        <v/>
      </c>
      <c r="CB57" s="21" t="str">
        <f ca="1">IFERROR(VLOOKUP(AR57,OFFSET(abbreviation[],0,ColumnLanguage),ColumnAbbreviation,FALSE),"")</f>
        <v/>
      </c>
      <c r="CC57" s="21" t="str">
        <f ca="1">IFERROR(VLOOKUP(AT57,OFFSET(abbreviation[],0,ColumnLanguage),ColumnAbbreviation,FALSE),"")</f>
        <v/>
      </c>
      <c r="CD57" s="21" t="str">
        <f ca="1">IFERROR(VLOOKUP(AV57,OFFSET(abbreviation[],0,ColumnLanguage),ColumnAbbreviation,FALSE),"")</f>
        <v/>
      </c>
      <c r="CE57" s="21" t="str">
        <f t="shared" ca="1" si="3"/>
        <v>__</v>
      </c>
      <c r="CF57" s="21" t="str">
        <f ca="1">IFERROR(VLOOKUP(AX57,OFFSET(abbreviation[],0,ColumnLanguage),ColumnAbbreviation,FALSE),"")</f>
        <v/>
      </c>
      <c r="CG57" s="21" t="str">
        <f ca="1">IFERROR(VLOOKUP(AZ57,OFFSET(abbreviation[],0,ColumnLanguage),ColumnAbbreviation,FALSE),"")</f>
        <v/>
      </c>
      <c r="CH57" s="21" t="str">
        <f ca="1">IFERROR(VLOOKUP(BB57,OFFSET(abbreviation[],0,ColumnLanguage),ColumnAbbreviation,FALSE),"")</f>
        <v/>
      </c>
      <c r="CI57" s="21" t="str">
        <f ca="1">IFERROR(VLOOKUP(BD57,OFFSET(abbreviation[],0,ColumnLanguage),ColumnAbbreviation,FALSE),"")</f>
        <v/>
      </c>
      <c r="CJ57" s="21" t="str">
        <f ca="1">IFERROR(VLOOKUP(BF57,OFFSET(abbreviation[],0,ColumnLanguage),ColumnAbbreviation,FALSE),"")</f>
        <v/>
      </c>
      <c r="CK57" s="21" t="str">
        <f t="shared" ca="1" si="4"/>
        <v/>
      </c>
      <c r="CL57" s="21" t="str">
        <f t="shared" si="5"/>
        <v/>
      </c>
      <c r="CM57" s="52"/>
      <c r="CN57" s="57" t="str">
        <f t="shared" si="6"/>
        <v/>
      </c>
    </row>
    <row r="58" spans="16:92" x14ac:dyDescent="0.25">
      <c r="P58" s="60"/>
      <c r="Q58" s="13"/>
      <c r="V58" s="60"/>
      <c r="X58" s="61"/>
      <c r="AB58" s="60"/>
      <c r="AN58" s="54"/>
      <c r="AS58" s="15"/>
      <c r="BH58" s="52"/>
      <c r="BI58" s="21" t="str">
        <f ca="1">IFERROR(VLOOKUP(C58,OFFSET(abbreviation[],0,ColumnLanguage),ColumnAbbreviation,FALSE),"")</f>
        <v/>
      </c>
      <c r="BJ58" s="21" t="str">
        <f ca="1">IFERROR(VLOOKUP(E58,OFFSET(abbreviation[],0,ColumnLanguage),ColumnAbbreviation,FALSE),"")</f>
        <v/>
      </c>
      <c r="BK58" s="21" t="str">
        <f ca="1">IFERROR(VLOOKUP(G58,OFFSET(abbreviation[],0,ColumnLanguage),ColumnAbbreviation,FALSE),"")</f>
        <v/>
      </c>
      <c r="BL58" s="21" t="str">
        <f ca="1">IFERROR(VLOOKUP(I58,OFFSET(abbreviation[],0,ColumnLanguage),ColumnAbbreviation,FALSE),"")</f>
        <v/>
      </c>
      <c r="BM58" s="21" t="str">
        <f ca="1">IFERROR(VLOOKUP(K58,OFFSET(abbreviation[],0,ColumnLanguage),ColumnAbbreviation,FALSE),"")</f>
        <v/>
      </c>
      <c r="BN58" s="21" t="str">
        <f t="shared" ca="1" si="0"/>
        <v/>
      </c>
      <c r="BO58" s="21" t="str">
        <f ca="1">IFERROR(VLOOKUP(N58,OFFSET(abbreviation[],0,ColumnLanguage),ColumnAbbreviation,FALSE),"")</f>
        <v/>
      </c>
      <c r="BP58" s="21" t="str">
        <f ca="1">IFERROR(VLOOKUP(P58,OFFSET(abbreviation[],0,ColumnLanguage),ColumnAbbreviation,FALSE),"")</f>
        <v/>
      </c>
      <c r="BQ58" s="21" t="str">
        <f ca="1">IFERROR(VLOOKUP(T58,OFFSET(abbreviation[],0,ColumnLanguage),ColumnAbbreviation,FALSE),"")</f>
        <v/>
      </c>
      <c r="BR58" s="21" t="str">
        <f ca="1">IFERROR(VLOOKUP(V58,OFFSET(abbreviation[],0,ColumnLanguage),ColumnAbbreviation,FALSE),"")</f>
        <v/>
      </c>
      <c r="BS58" s="21" t="str">
        <f ca="1">IFERROR(VLOOKUP(Z58,OFFSET(abbreviation[],0,ColumnLanguage),ColumnAbbreviation,FALSE),"")</f>
        <v/>
      </c>
      <c r="BT58" s="21" t="str">
        <f ca="1">IFERROR(VLOOKUP(AB58,OFFSET(abbreviation[],0,ColumnLanguage),ColumnAbbreviation,FALSE),"")</f>
        <v/>
      </c>
      <c r="BU58" s="21" t="str">
        <f t="shared" ca="1" si="1"/>
        <v>__</v>
      </c>
      <c r="BV58" s="21" t="str">
        <f ca="1">IFERROR(VLOOKUP(AF58,OFFSET(abbreviation[],0,ColumnLanguage),ColumnAbbreviation,FALSE),"")</f>
        <v/>
      </c>
      <c r="BW58" s="21" t="str">
        <f ca="1">IFERROR(VLOOKUP(AH58,OFFSET(abbreviation[],0,ColumnLanguage),ColumnAbbreviation,FALSE),"")</f>
        <v/>
      </c>
      <c r="BX58" s="21" t="str">
        <f ca="1">IFERROR(VLOOKUP(AJ58,OFFSET(abbreviation[],0,ColumnLanguage),ColumnAbbreviation,FALSE),"")</f>
        <v/>
      </c>
      <c r="BY58" s="21" t="str">
        <f ca="1">IFERROR(VLOOKUP(AL58,OFFSET(abbreviation[],0,ColumnLanguage),ColumnAbbreviation,FALSE),"")</f>
        <v/>
      </c>
      <c r="BZ58" s="21" t="str">
        <f t="shared" ca="1" si="2"/>
        <v>_</v>
      </c>
      <c r="CA58" s="21" t="str">
        <f ca="1">IFERROR(VLOOKUP(AP58,OFFSET(abbreviation[],0,ColumnLanguage),ColumnAbbreviation,FALSE),"")</f>
        <v/>
      </c>
      <c r="CB58" s="21" t="str">
        <f ca="1">IFERROR(VLOOKUP(AR58,OFFSET(abbreviation[],0,ColumnLanguage),ColumnAbbreviation,FALSE),"")</f>
        <v/>
      </c>
      <c r="CC58" s="21" t="str">
        <f ca="1">IFERROR(VLOOKUP(AT58,OFFSET(abbreviation[],0,ColumnLanguage),ColumnAbbreviation,FALSE),"")</f>
        <v/>
      </c>
      <c r="CD58" s="21" t="str">
        <f ca="1">IFERROR(VLOOKUP(AV58,OFFSET(abbreviation[],0,ColumnLanguage),ColumnAbbreviation,FALSE),"")</f>
        <v/>
      </c>
      <c r="CE58" s="21" t="str">
        <f t="shared" ca="1" si="3"/>
        <v>__</v>
      </c>
      <c r="CF58" s="21" t="str">
        <f ca="1">IFERROR(VLOOKUP(AX58,OFFSET(abbreviation[],0,ColumnLanguage),ColumnAbbreviation,FALSE),"")</f>
        <v/>
      </c>
      <c r="CG58" s="21" t="str">
        <f ca="1">IFERROR(VLOOKUP(AZ58,OFFSET(abbreviation[],0,ColumnLanguage),ColumnAbbreviation,FALSE),"")</f>
        <v/>
      </c>
      <c r="CH58" s="21" t="str">
        <f ca="1">IFERROR(VLOOKUP(BB58,OFFSET(abbreviation[],0,ColumnLanguage),ColumnAbbreviation,FALSE),"")</f>
        <v/>
      </c>
      <c r="CI58" s="21" t="str">
        <f ca="1">IFERROR(VLOOKUP(BD58,OFFSET(abbreviation[],0,ColumnLanguage),ColumnAbbreviation,FALSE),"")</f>
        <v/>
      </c>
      <c r="CJ58" s="21" t="str">
        <f ca="1">IFERROR(VLOOKUP(BF58,OFFSET(abbreviation[],0,ColumnLanguage),ColumnAbbreviation,FALSE),"")</f>
        <v/>
      </c>
      <c r="CK58" s="21" t="str">
        <f t="shared" ca="1" si="4"/>
        <v/>
      </c>
      <c r="CL58" s="21" t="str">
        <f t="shared" si="5"/>
        <v/>
      </c>
      <c r="CM58" s="52"/>
      <c r="CN58" s="57" t="str">
        <f t="shared" si="6"/>
        <v/>
      </c>
    </row>
    <row r="59" spans="16:92" x14ac:dyDescent="0.25">
      <c r="P59" s="60"/>
      <c r="Q59" s="13"/>
      <c r="V59" s="60"/>
      <c r="X59" s="61"/>
      <c r="AB59" s="60"/>
      <c r="AN59" s="54"/>
      <c r="AS59" s="15"/>
      <c r="BH59" s="52"/>
      <c r="BI59" s="21" t="str">
        <f ca="1">IFERROR(VLOOKUP(C59,OFFSET(abbreviation[],0,ColumnLanguage),ColumnAbbreviation,FALSE),"")</f>
        <v/>
      </c>
      <c r="BJ59" s="21" t="str">
        <f ca="1">IFERROR(VLOOKUP(E59,OFFSET(abbreviation[],0,ColumnLanguage),ColumnAbbreviation,FALSE),"")</f>
        <v/>
      </c>
      <c r="BK59" s="21" t="str">
        <f ca="1">IFERROR(VLOOKUP(G59,OFFSET(abbreviation[],0,ColumnLanguage),ColumnAbbreviation,FALSE),"")</f>
        <v/>
      </c>
      <c r="BL59" s="21" t="str">
        <f ca="1">IFERROR(VLOOKUP(I59,OFFSET(abbreviation[],0,ColumnLanguage),ColumnAbbreviation,FALSE),"")</f>
        <v/>
      </c>
      <c r="BM59" s="21" t="str">
        <f ca="1">IFERROR(VLOOKUP(K59,OFFSET(abbreviation[],0,ColumnLanguage),ColumnAbbreviation,FALSE),"")</f>
        <v/>
      </c>
      <c r="BN59" s="21" t="str">
        <f t="shared" ca="1" si="0"/>
        <v/>
      </c>
      <c r="BO59" s="21" t="str">
        <f ca="1">IFERROR(VLOOKUP(N59,OFFSET(abbreviation[],0,ColumnLanguage),ColumnAbbreviation,FALSE),"")</f>
        <v/>
      </c>
      <c r="BP59" s="21" t="str">
        <f ca="1">IFERROR(VLOOKUP(P59,OFFSET(abbreviation[],0,ColumnLanguage),ColumnAbbreviation,FALSE),"")</f>
        <v/>
      </c>
      <c r="BQ59" s="21" t="str">
        <f ca="1">IFERROR(VLOOKUP(T59,OFFSET(abbreviation[],0,ColumnLanguage),ColumnAbbreviation,FALSE),"")</f>
        <v/>
      </c>
      <c r="BR59" s="21" t="str">
        <f ca="1">IFERROR(VLOOKUP(V59,OFFSET(abbreviation[],0,ColumnLanguage),ColumnAbbreviation,FALSE),"")</f>
        <v/>
      </c>
      <c r="BS59" s="21" t="str">
        <f ca="1">IFERROR(VLOOKUP(Z59,OFFSET(abbreviation[],0,ColumnLanguage),ColumnAbbreviation,FALSE),"")</f>
        <v/>
      </c>
      <c r="BT59" s="21" t="str">
        <f ca="1">IFERROR(VLOOKUP(AB59,OFFSET(abbreviation[],0,ColumnLanguage),ColumnAbbreviation,FALSE),"")</f>
        <v/>
      </c>
      <c r="BU59" s="21" t="str">
        <f t="shared" ca="1" si="1"/>
        <v>__</v>
      </c>
      <c r="BV59" s="21" t="str">
        <f ca="1">IFERROR(VLOOKUP(AF59,OFFSET(abbreviation[],0,ColumnLanguage),ColumnAbbreviation,FALSE),"")</f>
        <v/>
      </c>
      <c r="BW59" s="21" t="str">
        <f ca="1">IFERROR(VLOOKUP(AH59,OFFSET(abbreviation[],0,ColumnLanguage),ColumnAbbreviation,FALSE),"")</f>
        <v/>
      </c>
      <c r="BX59" s="21" t="str">
        <f ca="1">IFERROR(VLOOKUP(AJ59,OFFSET(abbreviation[],0,ColumnLanguage),ColumnAbbreviation,FALSE),"")</f>
        <v/>
      </c>
      <c r="BY59" s="21" t="str">
        <f ca="1">IFERROR(VLOOKUP(AL59,OFFSET(abbreviation[],0,ColumnLanguage),ColumnAbbreviation,FALSE),"")</f>
        <v/>
      </c>
      <c r="BZ59" s="21" t="str">
        <f t="shared" ca="1" si="2"/>
        <v>_</v>
      </c>
      <c r="CA59" s="21" t="str">
        <f ca="1">IFERROR(VLOOKUP(AP59,OFFSET(abbreviation[],0,ColumnLanguage),ColumnAbbreviation,FALSE),"")</f>
        <v/>
      </c>
      <c r="CB59" s="21" t="str">
        <f ca="1">IFERROR(VLOOKUP(AR59,OFFSET(abbreviation[],0,ColumnLanguage),ColumnAbbreviation,FALSE),"")</f>
        <v/>
      </c>
      <c r="CC59" s="21" t="str">
        <f ca="1">IFERROR(VLOOKUP(AT59,OFFSET(abbreviation[],0,ColumnLanguage),ColumnAbbreviation,FALSE),"")</f>
        <v/>
      </c>
      <c r="CD59" s="21" t="str">
        <f ca="1">IFERROR(VLOOKUP(AV59,OFFSET(abbreviation[],0,ColumnLanguage),ColumnAbbreviation,FALSE),"")</f>
        <v/>
      </c>
      <c r="CE59" s="21" t="str">
        <f t="shared" ca="1" si="3"/>
        <v>__</v>
      </c>
      <c r="CF59" s="21" t="str">
        <f ca="1">IFERROR(VLOOKUP(AX59,OFFSET(abbreviation[],0,ColumnLanguage),ColumnAbbreviation,FALSE),"")</f>
        <v/>
      </c>
      <c r="CG59" s="21" t="str">
        <f ca="1">IFERROR(VLOOKUP(AZ59,OFFSET(abbreviation[],0,ColumnLanguage),ColumnAbbreviation,FALSE),"")</f>
        <v/>
      </c>
      <c r="CH59" s="21" t="str">
        <f ca="1">IFERROR(VLOOKUP(BB59,OFFSET(abbreviation[],0,ColumnLanguage),ColumnAbbreviation,FALSE),"")</f>
        <v/>
      </c>
      <c r="CI59" s="21" t="str">
        <f ca="1">IFERROR(VLOOKUP(BD59,OFFSET(abbreviation[],0,ColumnLanguage),ColumnAbbreviation,FALSE),"")</f>
        <v/>
      </c>
      <c r="CJ59" s="21" t="str">
        <f ca="1">IFERROR(VLOOKUP(BF59,OFFSET(abbreviation[],0,ColumnLanguage),ColumnAbbreviation,FALSE),"")</f>
        <v/>
      </c>
      <c r="CK59" s="21" t="str">
        <f t="shared" ca="1" si="4"/>
        <v/>
      </c>
      <c r="CL59" s="21" t="str">
        <f t="shared" si="5"/>
        <v/>
      </c>
      <c r="CM59" s="52"/>
      <c r="CN59" s="57" t="str">
        <f t="shared" si="6"/>
        <v/>
      </c>
    </row>
    <row r="60" spans="16:92" x14ac:dyDescent="0.25">
      <c r="P60" s="60"/>
      <c r="Q60" s="13"/>
      <c r="V60" s="60"/>
      <c r="X60" s="61"/>
      <c r="AB60" s="60"/>
      <c r="AN60" s="54"/>
      <c r="AS60" s="15"/>
      <c r="BH60" s="52"/>
      <c r="BI60" s="21" t="str">
        <f ca="1">IFERROR(VLOOKUP(C60,OFFSET(abbreviation[],0,ColumnLanguage),ColumnAbbreviation,FALSE),"")</f>
        <v/>
      </c>
      <c r="BJ60" s="21" t="str">
        <f ca="1">IFERROR(VLOOKUP(E60,OFFSET(abbreviation[],0,ColumnLanguage),ColumnAbbreviation,FALSE),"")</f>
        <v/>
      </c>
      <c r="BK60" s="21" t="str">
        <f ca="1">IFERROR(VLOOKUP(G60,OFFSET(abbreviation[],0,ColumnLanguage),ColumnAbbreviation,FALSE),"")</f>
        <v/>
      </c>
      <c r="BL60" s="21" t="str">
        <f ca="1">IFERROR(VLOOKUP(I60,OFFSET(abbreviation[],0,ColumnLanguage),ColumnAbbreviation,FALSE),"")</f>
        <v/>
      </c>
      <c r="BM60" s="21" t="str">
        <f ca="1">IFERROR(VLOOKUP(K60,OFFSET(abbreviation[],0,ColumnLanguage),ColumnAbbreviation,FALSE),"")</f>
        <v/>
      </c>
      <c r="BN60" s="21" t="str">
        <f t="shared" ca="1" si="0"/>
        <v/>
      </c>
      <c r="BO60" s="21" t="str">
        <f ca="1">IFERROR(VLOOKUP(N60,OFFSET(abbreviation[],0,ColumnLanguage),ColumnAbbreviation,FALSE),"")</f>
        <v/>
      </c>
      <c r="BP60" s="21" t="str">
        <f ca="1">IFERROR(VLOOKUP(P60,OFFSET(abbreviation[],0,ColumnLanguage),ColumnAbbreviation,FALSE),"")</f>
        <v/>
      </c>
      <c r="BQ60" s="21" t="str">
        <f ca="1">IFERROR(VLOOKUP(T60,OFFSET(abbreviation[],0,ColumnLanguage),ColumnAbbreviation,FALSE),"")</f>
        <v/>
      </c>
      <c r="BR60" s="21" t="str">
        <f ca="1">IFERROR(VLOOKUP(V60,OFFSET(abbreviation[],0,ColumnLanguage),ColumnAbbreviation,FALSE),"")</f>
        <v/>
      </c>
      <c r="BS60" s="21" t="str">
        <f ca="1">IFERROR(VLOOKUP(Z60,OFFSET(abbreviation[],0,ColumnLanguage),ColumnAbbreviation,FALSE),"")</f>
        <v/>
      </c>
      <c r="BT60" s="21" t="str">
        <f ca="1">IFERROR(VLOOKUP(AB60,OFFSET(abbreviation[],0,ColumnLanguage),ColumnAbbreviation,FALSE),"")</f>
        <v/>
      </c>
      <c r="BU60" s="21" t="str">
        <f t="shared" ca="1" si="1"/>
        <v>__</v>
      </c>
      <c r="BV60" s="21" t="str">
        <f ca="1">IFERROR(VLOOKUP(AF60,OFFSET(abbreviation[],0,ColumnLanguage),ColumnAbbreviation,FALSE),"")</f>
        <v/>
      </c>
      <c r="BW60" s="21" t="str">
        <f ca="1">IFERROR(VLOOKUP(AH60,OFFSET(abbreviation[],0,ColumnLanguage),ColumnAbbreviation,FALSE),"")</f>
        <v/>
      </c>
      <c r="BX60" s="21" t="str">
        <f ca="1">IFERROR(VLOOKUP(AJ60,OFFSET(abbreviation[],0,ColumnLanguage),ColumnAbbreviation,FALSE),"")</f>
        <v/>
      </c>
      <c r="BY60" s="21" t="str">
        <f ca="1">IFERROR(VLOOKUP(AL60,OFFSET(abbreviation[],0,ColumnLanguage),ColumnAbbreviation,FALSE),"")</f>
        <v/>
      </c>
      <c r="BZ60" s="21" t="str">
        <f t="shared" ca="1" si="2"/>
        <v>_</v>
      </c>
      <c r="CA60" s="21" t="str">
        <f ca="1">IFERROR(VLOOKUP(AP60,OFFSET(abbreviation[],0,ColumnLanguage),ColumnAbbreviation,FALSE),"")</f>
        <v/>
      </c>
      <c r="CB60" s="21" t="str">
        <f ca="1">IFERROR(VLOOKUP(AR60,OFFSET(abbreviation[],0,ColumnLanguage),ColumnAbbreviation,FALSE),"")</f>
        <v/>
      </c>
      <c r="CC60" s="21" t="str">
        <f ca="1">IFERROR(VLOOKUP(AT60,OFFSET(abbreviation[],0,ColumnLanguage),ColumnAbbreviation,FALSE),"")</f>
        <v/>
      </c>
      <c r="CD60" s="21" t="str">
        <f ca="1">IFERROR(VLOOKUP(AV60,OFFSET(abbreviation[],0,ColumnLanguage),ColumnAbbreviation,FALSE),"")</f>
        <v/>
      </c>
      <c r="CE60" s="21" t="str">
        <f t="shared" ca="1" si="3"/>
        <v>__</v>
      </c>
      <c r="CF60" s="21" t="str">
        <f ca="1">IFERROR(VLOOKUP(AX60,OFFSET(abbreviation[],0,ColumnLanguage),ColumnAbbreviation,FALSE),"")</f>
        <v/>
      </c>
      <c r="CG60" s="21" t="str">
        <f ca="1">IFERROR(VLOOKUP(AZ60,OFFSET(abbreviation[],0,ColumnLanguage),ColumnAbbreviation,FALSE),"")</f>
        <v/>
      </c>
      <c r="CH60" s="21" t="str">
        <f ca="1">IFERROR(VLOOKUP(BB60,OFFSET(abbreviation[],0,ColumnLanguage),ColumnAbbreviation,FALSE),"")</f>
        <v/>
      </c>
      <c r="CI60" s="21" t="str">
        <f ca="1">IFERROR(VLOOKUP(BD60,OFFSET(abbreviation[],0,ColumnLanguage),ColumnAbbreviation,FALSE),"")</f>
        <v/>
      </c>
      <c r="CJ60" s="21" t="str">
        <f ca="1">IFERROR(VLOOKUP(BF60,OFFSET(abbreviation[],0,ColumnLanguage),ColumnAbbreviation,FALSE),"")</f>
        <v/>
      </c>
      <c r="CK60" s="21" t="str">
        <f t="shared" ca="1" si="4"/>
        <v/>
      </c>
      <c r="CL60" s="21" t="str">
        <f t="shared" si="5"/>
        <v/>
      </c>
      <c r="CM60" s="52"/>
      <c r="CN60" s="57" t="str">
        <f t="shared" si="6"/>
        <v/>
      </c>
    </row>
    <row r="61" spans="16:92" x14ac:dyDescent="0.25">
      <c r="P61" s="60"/>
      <c r="Q61" s="13"/>
      <c r="V61" s="60"/>
      <c r="X61" s="61"/>
      <c r="AB61" s="60"/>
      <c r="AN61" s="54"/>
      <c r="AS61" s="15"/>
      <c r="BH61" s="52"/>
      <c r="BI61" s="21" t="str">
        <f ca="1">IFERROR(VLOOKUP(C61,OFFSET(abbreviation[],0,ColumnLanguage),ColumnAbbreviation,FALSE),"")</f>
        <v/>
      </c>
      <c r="BJ61" s="21" t="str">
        <f ca="1">IFERROR(VLOOKUP(E61,OFFSET(abbreviation[],0,ColumnLanguage),ColumnAbbreviation,FALSE),"")</f>
        <v/>
      </c>
      <c r="BK61" s="21" t="str">
        <f ca="1">IFERROR(VLOOKUP(G61,OFFSET(abbreviation[],0,ColumnLanguage),ColumnAbbreviation,FALSE),"")</f>
        <v/>
      </c>
      <c r="BL61" s="21" t="str">
        <f ca="1">IFERROR(VLOOKUP(I61,OFFSET(abbreviation[],0,ColumnLanguage),ColumnAbbreviation,FALSE),"")</f>
        <v/>
      </c>
      <c r="BM61" s="21" t="str">
        <f ca="1">IFERROR(VLOOKUP(K61,OFFSET(abbreviation[],0,ColumnLanguage),ColumnAbbreviation,FALSE),"")</f>
        <v/>
      </c>
      <c r="BN61" s="21" t="str">
        <f t="shared" ca="1" si="0"/>
        <v/>
      </c>
      <c r="BO61" s="21" t="str">
        <f ca="1">IFERROR(VLOOKUP(N61,OFFSET(abbreviation[],0,ColumnLanguage),ColumnAbbreviation,FALSE),"")</f>
        <v/>
      </c>
      <c r="BP61" s="21" t="str">
        <f ca="1">IFERROR(VLOOKUP(P61,OFFSET(abbreviation[],0,ColumnLanguage),ColumnAbbreviation,FALSE),"")</f>
        <v/>
      </c>
      <c r="BQ61" s="21" t="str">
        <f ca="1">IFERROR(VLOOKUP(T61,OFFSET(abbreviation[],0,ColumnLanguage),ColumnAbbreviation,FALSE),"")</f>
        <v/>
      </c>
      <c r="BR61" s="21" t="str">
        <f ca="1">IFERROR(VLOOKUP(V61,OFFSET(abbreviation[],0,ColumnLanguage),ColumnAbbreviation,FALSE),"")</f>
        <v/>
      </c>
      <c r="BS61" s="21" t="str">
        <f ca="1">IFERROR(VLOOKUP(Z61,OFFSET(abbreviation[],0,ColumnLanguage),ColumnAbbreviation,FALSE),"")</f>
        <v/>
      </c>
      <c r="BT61" s="21" t="str">
        <f ca="1">IFERROR(VLOOKUP(AB61,OFFSET(abbreviation[],0,ColumnLanguage),ColumnAbbreviation,FALSE),"")</f>
        <v/>
      </c>
      <c r="BU61" s="21" t="str">
        <f t="shared" ca="1" si="1"/>
        <v>__</v>
      </c>
      <c r="BV61" s="21" t="str">
        <f ca="1">IFERROR(VLOOKUP(AF61,OFFSET(abbreviation[],0,ColumnLanguage),ColumnAbbreviation,FALSE),"")</f>
        <v/>
      </c>
      <c r="BW61" s="21" t="str">
        <f ca="1">IFERROR(VLOOKUP(AH61,OFFSET(abbreviation[],0,ColumnLanguage),ColumnAbbreviation,FALSE),"")</f>
        <v/>
      </c>
      <c r="BX61" s="21" t="str">
        <f ca="1">IFERROR(VLOOKUP(AJ61,OFFSET(abbreviation[],0,ColumnLanguage),ColumnAbbreviation,FALSE),"")</f>
        <v/>
      </c>
      <c r="BY61" s="21" t="str">
        <f ca="1">IFERROR(VLOOKUP(AL61,OFFSET(abbreviation[],0,ColumnLanguage),ColumnAbbreviation,FALSE),"")</f>
        <v/>
      </c>
      <c r="BZ61" s="21" t="str">
        <f t="shared" ca="1" si="2"/>
        <v>_</v>
      </c>
      <c r="CA61" s="21" t="str">
        <f ca="1">IFERROR(VLOOKUP(AP61,OFFSET(abbreviation[],0,ColumnLanguage),ColumnAbbreviation,FALSE),"")</f>
        <v/>
      </c>
      <c r="CB61" s="21" t="str">
        <f ca="1">IFERROR(VLOOKUP(AR61,OFFSET(abbreviation[],0,ColumnLanguage),ColumnAbbreviation,FALSE),"")</f>
        <v/>
      </c>
      <c r="CC61" s="21" t="str">
        <f ca="1">IFERROR(VLOOKUP(AT61,OFFSET(abbreviation[],0,ColumnLanguage),ColumnAbbreviation,FALSE),"")</f>
        <v/>
      </c>
      <c r="CD61" s="21" t="str">
        <f ca="1">IFERROR(VLOOKUP(AV61,OFFSET(abbreviation[],0,ColumnLanguage),ColumnAbbreviation,FALSE),"")</f>
        <v/>
      </c>
      <c r="CE61" s="21" t="str">
        <f t="shared" ca="1" si="3"/>
        <v>__</v>
      </c>
      <c r="CF61" s="21" t="str">
        <f ca="1">IFERROR(VLOOKUP(AX61,OFFSET(abbreviation[],0,ColumnLanguage),ColumnAbbreviation,FALSE),"")</f>
        <v/>
      </c>
      <c r="CG61" s="21" t="str">
        <f ca="1">IFERROR(VLOOKUP(AZ61,OFFSET(abbreviation[],0,ColumnLanguage),ColumnAbbreviation,FALSE),"")</f>
        <v/>
      </c>
      <c r="CH61" s="21" t="str">
        <f ca="1">IFERROR(VLOOKUP(BB61,OFFSET(abbreviation[],0,ColumnLanguage),ColumnAbbreviation,FALSE),"")</f>
        <v/>
      </c>
      <c r="CI61" s="21" t="str">
        <f ca="1">IFERROR(VLOOKUP(BD61,OFFSET(abbreviation[],0,ColumnLanguage),ColumnAbbreviation,FALSE),"")</f>
        <v/>
      </c>
      <c r="CJ61" s="21" t="str">
        <f ca="1">IFERROR(VLOOKUP(BF61,OFFSET(abbreviation[],0,ColumnLanguage),ColumnAbbreviation,FALSE),"")</f>
        <v/>
      </c>
      <c r="CK61" s="21" t="str">
        <f t="shared" ca="1" si="4"/>
        <v/>
      </c>
      <c r="CL61" s="21" t="str">
        <f t="shared" si="5"/>
        <v/>
      </c>
      <c r="CM61" s="52"/>
      <c r="CN61" s="57" t="str">
        <f t="shared" si="6"/>
        <v/>
      </c>
    </row>
    <row r="62" spans="16:92" x14ac:dyDescent="0.25">
      <c r="P62" s="60"/>
      <c r="Q62" s="13"/>
      <c r="V62" s="60"/>
      <c r="X62" s="61"/>
      <c r="AB62" s="60"/>
      <c r="AN62" s="54"/>
      <c r="AS62" s="15"/>
      <c r="BH62" s="52"/>
      <c r="BI62" s="21" t="str">
        <f ca="1">IFERROR(VLOOKUP(C62,OFFSET(abbreviation[],0,ColumnLanguage),ColumnAbbreviation,FALSE),"")</f>
        <v/>
      </c>
      <c r="BJ62" s="21" t="str">
        <f ca="1">IFERROR(VLOOKUP(E62,OFFSET(abbreviation[],0,ColumnLanguage),ColumnAbbreviation,FALSE),"")</f>
        <v/>
      </c>
      <c r="BK62" s="21" t="str">
        <f ca="1">IFERROR(VLOOKUP(G62,OFFSET(abbreviation[],0,ColumnLanguage),ColumnAbbreviation,FALSE),"")</f>
        <v/>
      </c>
      <c r="BL62" s="21" t="str">
        <f ca="1">IFERROR(VLOOKUP(I62,OFFSET(abbreviation[],0,ColumnLanguage),ColumnAbbreviation,FALSE),"")</f>
        <v/>
      </c>
      <c r="BM62" s="21" t="str">
        <f ca="1">IFERROR(VLOOKUP(K62,OFFSET(abbreviation[],0,ColumnLanguage),ColumnAbbreviation,FALSE),"")</f>
        <v/>
      </c>
      <c r="BN62" s="21" t="str">
        <f t="shared" ca="1" si="0"/>
        <v/>
      </c>
      <c r="BO62" s="21" t="str">
        <f ca="1">IFERROR(VLOOKUP(N62,OFFSET(abbreviation[],0,ColumnLanguage),ColumnAbbreviation,FALSE),"")</f>
        <v/>
      </c>
      <c r="BP62" s="21" t="str">
        <f ca="1">IFERROR(VLOOKUP(P62,OFFSET(abbreviation[],0,ColumnLanguage),ColumnAbbreviation,FALSE),"")</f>
        <v/>
      </c>
      <c r="BQ62" s="21" t="str">
        <f ca="1">IFERROR(VLOOKUP(T62,OFFSET(abbreviation[],0,ColumnLanguage),ColumnAbbreviation,FALSE),"")</f>
        <v/>
      </c>
      <c r="BR62" s="21" t="str">
        <f ca="1">IFERROR(VLOOKUP(V62,OFFSET(abbreviation[],0,ColumnLanguage),ColumnAbbreviation,FALSE),"")</f>
        <v/>
      </c>
      <c r="BS62" s="21" t="str">
        <f ca="1">IFERROR(VLOOKUP(Z62,OFFSET(abbreviation[],0,ColumnLanguage),ColumnAbbreviation,FALSE),"")</f>
        <v/>
      </c>
      <c r="BT62" s="21" t="str">
        <f ca="1">IFERROR(VLOOKUP(AB62,OFFSET(abbreviation[],0,ColumnLanguage),ColumnAbbreviation,FALSE),"")</f>
        <v/>
      </c>
      <c r="BU62" s="21" t="str">
        <f t="shared" ca="1" si="1"/>
        <v>__</v>
      </c>
      <c r="BV62" s="21" t="str">
        <f ca="1">IFERROR(VLOOKUP(AF62,OFFSET(abbreviation[],0,ColumnLanguage),ColumnAbbreviation,FALSE),"")</f>
        <v/>
      </c>
      <c r="BW62" s="21" t="str">
        <f ca="1">IFERROR(VLOOKUP(AH62,OFFSET(abbreviation[],0,ColumnLanguage),ColumnAbbreviation,FALSE),"")</f>
        <v/>
      </c>
      <c r="BX62" s="21" t="str">
        <f ca="1">IFERROR(VLOOKUP(AJ62,OFFSET(abbreviation[],0,ColumnLanguage),ColumnAbbreviation,FALSE),"")</f>
        <v/>
      </c>
      <c r="BY62" s="21" t="str">
        <f ca="1">IFERROR(VLOOKUP(AL62,OFFSET(abbreviation[],0,ColumnLanguage),ColumnAbbreviation,FALSE),"")</f>
        <v/>
      </c>
      <c r="BZ62" s="21" t="str">
        <f t="shared" ca="1" si="2"/>
        <v>_</v>
      </c>
      <c r="CA62" s="21" t="str">
        <f ca="1">IFERROR(VLOOKUP(AP62,OFFSET(abbreviation[],0,ColumnLanguage),ColumnAbbreviation,FALSE),"")</f>
        <v/>
      </c>
      <c r="CB62" s="21" t="str">
        <f ca="1">IFERROR(VLOOKUP(AR62,OFFSET(abbreviation[],0,ColumnLanguage),ColumnAbbreviation,FALSE),"")</f>
        <v/>
      </c>
      <c r="CC62" s="21" t="str">
        <f ca="1">IFERROR(VLOOKUP(AT62,OFFSET(abbreviation[],0,ColumnLanguage),ColumnAbbreviation,FALSE),"")</f>
        <v/>
      </c>
      <c r="CD62" s="21" t="str">
        <f ca="1">IFERROR(VLOOKUP(AV62,OFFSET(abbreviation[],0,ColumnLanguage),ColumnAbbreviation,FALSE),"")</f>
        <v/>
      </c>
      <c r="CE62" s="21" t="str">
        <f t="shared" ca="1" si="3"/>
        <v>__</v>
      </c>
      <c r="CF62" s="21" t="str">
        <f ca="1">IFERROR(VLOOKUP(AX62,OFFSET(abbreviation[],0,ColumnLanguage),ColumnAbbreviation,FALSE),"")</f>
        <v/>
      </c>
      <c r="CG62" s="21" t="str">
        <f ca="1">IFERROR(VLOOKUP(AZ62,OFFSET(abbreviation[],0,ColumnLanguage),ColumnAbbreviation,FALSE),"")</f>
        <v/>
      </c>
      <c r="CH62" s="21" t="str">
        <f ca="1">IFERROR(VLOOKUP(BB62,OFFSET(abbreviation[],0,ColumnLanguage),ColumnAbbreviation,FALSE),"")</f>
        <v/>
      </c>
      <c r="CI62" s="21" t="str">
        <f ca="1">IFERROR(VLOOKUP(BD62,OFFSET(abbreviation[],0,ColumnLanguage),ColumnAbbreviation,FALSE),"")</f>
        <v/>
      </c>
      <c r="CJ62" s="21" t="str">
        <f ca="1">IFERROR(VLOOKUP(BF62,OFFSET(abbreviation[],0,ColumnLanguage),ColumnAbbreviation,FALSE),"")</f>
        <v/>
      </c>
      <c r="CK62" s="21" t="str">
        <f t="shared" ca="1" si="4"/>
        <v/>
      </c>
      <c r="CL62" s="21" t="str">
        <f t="shared" si="5"/>
        <v/>
      </c>
      <c r="CM62" s="52"/>
      <c r="CN62" s="57" t="str">
        <f t="shared" si="6"/>
        <v/>
      </c>
    </row>
    <row r="63" spans="16:92" x14ac:dyDescent="0.25">
      <c r="P63" s="60"/>
      <c r="Q63" s="13"/>
      <c r="V63" s="60"/>
      <c r="X63" s="61"/>
      <c r="AB63" s="60"/>
      <c r="AN63" s="54"/>
      <c r="AS63" s="15"/>
      <c r="BH63" s="52"/>
      <c r="BI63" s="21" t="str">
        <f ca="1">IFERROR(VLOOKUP(C63,OFFSET(abbreviation[],0,ColumnLanguage),ColumnAbbreviation,FALSE),"")</f>
        <v/>
      </c>
      <c r="BJ63" s="21" t="str">
        <f ca="1">IFERROR(VLOOKUP(E63,OFFSET(abbreviation[],0,ColumnLanguage),ColumnAbbreviation,FALSE),"")</f>
        <v/>
      </c>
      <c r="BK63" s="21" t="str">
        <f ca="1">IFERROR(VLOOKUP(G63,OFFSET(abbreviation[],0,ColumnLanguage),ColumnAbbreviation,FALSE),"")</f>
        <v/>
      </c>
      <c r="BL63" s="21" t="str">
        <f ca="1">IFERROR(VLOOKUP(I63,OFFSET(abbreviation[],0,ColumnLanguage),ColumnAbbreviation,FALSE),"")</f>
        <v/>
      </c>
      <c r="BM63" s="21" t="str">
        <f ca="1">IFERROR(VLOOKUP(K63,OFFSET(abbreviation[],0,ColumnLanguage),ColumnAbbreviation,FALSE),"")</f>
        <v/>
      </c>
      <c r="BN63" s="21" t="str">
        <f t="shared" ca="1" si="0"/>
        <v/>
      </c>
      <c r="BO63" s="21" t="str">
        <f ca="1">IFERROR(VLOOKUP(N63,OFFSET(abbreviation[],0,ColumnLanguage),ColumnAbbreviation,FALSE),"")</f>
        <v/>
      </c>
      <c r="BP63" s="21" t="str">
        <f ca="1">IFERROR(VLOOKUP(P63,OFFSET(abbreviation[],0,ColumnLanguage),ColumnAbbreviation,FALSE),"")</f>
        <v/>
      </c>
      <c r="BQ63" s="21" t="str">
        <f ca="1">IFERROR(VLOOKUP(T63,OFFSET(abbreviation[],0,ColumnLanguage),ColumnAbbreviation,FALSE),"")</f>
        <v/>
      </c>
      <c r="BR63" s="21" t="str">
        <f ca="1">IFERROR(VLOOKUP(V63,OFFSET(abbreviation[],0,ColumnLanguage),ColumnAbbreviation,FALSE),"")</f>
        <v/>
      </c>
      <c r="BS63" s="21" t="str">
        <f ca="1">IFERROR(VLOOKUP(Z63,OFFSET(abbreviation[],0,ColumnLanguage),ColumnAbbreviation,FALSE),"")</f>
        <v/>
      </c>
      <c r="BT63" s="21" t="str">
        <f ca="1">IFERROR(VLOOKUP(AB63,OFFSET(abbreviation[],0,ColumnLanguage),ColumnAbbreviation,FALSE),"")</f>
        <v/>
      </c>
      <c r="BU63" s="21" t="str">
        <f t="shared" ca="1" si="1"/>
        <v>__</v>
      </c>
      <c r="BV63" s="21" t="str">
        <f ca="1">IFERROR(VLOOKUP(AF63,OFFSET(abbreviation[],0,ColumnLanguage),ColumnAbbreviation,FALSE),"")</f>
        <v/>
      </c>
      <c r="BW63" s="21" t="str">
        <f ca="1">IFERROR(VLOOKUP(AH63,OFFSET(abbreviation[],0,ColumnLanguage),ColumnAbbreviation,FALSE),"")</f>
        <v/>
      </c>
      <c r="BX63" s="21" t="str">
        <f ca="1">IFERROR(VLOOKUP(AJ63,OFFSET(abbreviation[],0,ColumnLanguage),ColumnAbbreviation,FALSE),"")</f>
        <v/>
      </c>
      <c r="BY63" s="21" t="str">
        <f ca="1">IFERROR(VLOOKUP(AL63,OFFSET(abbreviation[],0,ColumnLanguage),ColumnAbbreviation,FALSE),"")</f>
        <v/>
      </c>
      <c r="BZ63" s="21" t="str">
        <f t="shared" ca="1" si="2"/>
        <v>_</v>
      </c>
      <c r="CA63" s="21" t="str">
        <f ca="1">IFERROR(VLOOKUP(AP63,OFFSET(abbreviation[],0,ColumnLanguage),ColumnAbbreviation,FALSE),"")</f>
        <v/>
      </c>
      <c r="CB63" s="21" t="str">
        <f ca="1">IFERROR(VLOOKUP(AR63,OFFSET(abbreviation[],0,ColumnLanguage),ColumnAbbreviation,FALSE),"")</f>
        <v/>
      </c>
      <c r="CC63" s="21" t="str">
        <f ca="1">IFERROR(VLOOKUP(AT63,OFFSET(abbreviation[],0,ColumnLanguage),ColumnAbbreviation,FALSE),"")</f>
        <v/>
      </c>
      <c r="CD63" s="21" t="str">
        <f ca="1">IFERROR(VLOOKUP(AV63,OFFSET(abbreviation[],0,ColumnLanguage),ColumnAbbreviation,FALSE),"")</f>
        <v/>
      </c>
      <c r="CE63" s="21" t="str">
        <f t="shared" ca="1" si="3"/>
        <v>__</v>
      </c>
      <c r="CF63" s="21" t="str">
        <f ca="1">IFERROR(VLOOKUP(AX63,OFFSET(abbreviation[],0,ColumnLanguage),ColumnAbbreviation,FALSE),"")</f>
        <v/>
      </c>
      <c r="CG63" s="21" t="str">
        <f ca="1">IFERROR(VLOOKUP(AZ63,OFFSET(abbreviation[],0,ColumnLanguage),ColumnAbbreviation,FALSE),"")</f>
        <v/>
      </c>
      <c r="CH63" s="21" t="str">
        <f ca="1">IFERROR(VLOOKUP(BB63,OFFSET(abbreviation[],0,ColumnLanguage),ColumnAbbreviation,FALSE),"")</f>
        <v/>
      </c>
      <c r="CI63" s="21" t="str">
        <f ca="1">IFERROR(VLOOKUP(BD63,OFFSET(abbreviation[],0,ColumnLanguage),ColumnAbbreviation,FALSE),"")</f>
        <v/>
      </c>
      <c r="CJ63" s="21" t="str">
        <f ca="1">IFERROR(VLOOKUP(BF63,OFFSET(abbreviation[],0,ColumnLanguage),ColumnAbbreviation,FALSE),"")</f>
        <v/>
      </c>
      <c r="CK63" s="21" t="str">
        <f t="shared" ca="1" si="4"/>
        <v/>
      </c>
      <c r="CL63" s="21" t="str">
        <f t="shared" si="5"/>
        <v/>
      </c>
      <c r="CM63" s="52"/>
      <c r="CN63" s="57" t="str">
        <f t="shared" si="6"/>
        <v/>
      </c>
    </row>
    <row r="64" spans="16:92" x14ac:dyDescent="0.25">
      <c r="P64" s="60"/>
      <c r="Q64" s="13"/>
      <c r="V64" s="60"/>
      <c r="X64" s="61"/>
      <c r="AB64" s="60"/>
      <c r="AN64" s="54"/>
      <c r="AS64" s="15"/>
      <c r="BH64" s="52"/>
      <c r="BI64" s="21" t="str">
        <f ca="1">IFERROR(VLOOKUP(C64,OFFSET(abbreviation[],0,ColumnLanguage),ColumnAbbreviation,FALSE),"")</f>
        <v/>
      </c>
      <c r="BJ64" s="21" t="str">
        <f ca="1">IFERROR(VLOOKUP(E64,OFFSET(abbreviation[],0,ColumnLanguage),ColumnAbbreviation,FALSE),"")</f>
        <v/>
      </c>
      <c r="BK64" s="21" t="str">
        <f ca="1">IFERROR(VLOOKUP(G64,OFFSET(abbreviation[],0,ColumnLanguage),ColumnAbbreviation,FALSE),"")</f>
        <v/>
      </c>
      <c r="BL64" s="21" t="str">
        <f ca="1">IFERROR(VLOOKUP(I64,OFFSET(abbreviation[],0,ColumnLanguage),ColumnAbbreviation,FALSE),"")</f>
        <v/>
      </c>
      <c r="BM64" s="21" t="str">
        <f ca="1">IFERROR(VLOOKUP(K64,OFFSET(abbreviation[],0,ColumnLanguage),ColumnAbbreviation,FALSE),"")</f>
        <v/>
      </c>
      <c r="BN64" s="21" t="str">
        <f t="shared" ca="1" si="0"/>
        <v/>
      </c>
      <c r="BO64" s="21" t="str">
        <f ca="1">IFERROR(VLOOKUP(N64,OFFSET(abbreviation[],0,ColumnLanguage),ColumnAbbreviation,FALSE),"")</f>
        <v/>
      </c>
      <c r="BP64" s="21" t="str">
        <f ca="1">IFERROR(VLOOKUP(P64,OFFSET(abbreviation[],0,ColumnLanguage),ColumnAbbreviation,FALSE),"")</f>
        <v/>
      </c>
      <c r="BQ64" s="21" t="str">
        <f ca="1">IFERROR(VLOOKUP(T64,OFFSET(abbreviation[],0,ColumnLanguage),ColumnAbbreviation,FALSE),"")</f>
        <v/>
      </c>
      <c r="BR64" s="21" t="str">
        <f ca="1">IFERROR(VLOOKUP(V64,OFFSET(abbreviation[],0,ColumnLanguage),ColumnAbbreviation,FALSE),"")</f>
        <v/>
      </c>
      <c r="BS64" s="21" t="str">
        <f ca="1">IFERROR(VLOOKUP(Z64,OFFSET(abbreviation[],0,ColumnLanguage),ColumnAbbreviation,FALSE),"")</f>
        <v/>
      </c>
      <c r="BT64" s="21" t="str">
        <f ca="1">IFERROR(VLOOKUP(AB64,OFFSET(abbreviation[],0,ColumnLanguage),ColumnAbbreviation,FALSE),"")</f>
        <v/>
      </c>
      <c r="BU64" s="21" t="str">
        <f t="shared" ca="1" si="1"/>
        <v>__</v>
      </c>
      <c r="BV64" s="21" t="str">
        <f ca="1">IFERROR(VLOOKUP(AF64,OFFSET(abbreviation[],0,ColumnLanguage),ColumnAbbreviation,FALSE),"")</f>
        <v/>
      </c>
      <c r="BW64" s="21" t="str">
        <f ca="1">IFERROR(VLOOKUP(AH64,OFFSET(abbreviation[],0,ColumnLanguage),ColumnAbbreviation,FALSE),"")</f>
        <v/>
      </c>
      <c r="BX64" s="21" t="str">
        <f ca="1">IFERROR(VLOOKUP(AJ64,OFFSET(abbreviation[],0,ColumnLanguage),ColumnAbbreviation,FALSE),"")</f>
        <v/>
      </c>
      <c r="BY64" s="21" t="str">
        <f ca="1">IFERROR(VLOOKUP(AL64,OFFSET(abbreviation[],0,ColumnLanguage),ColumnAbbreviation,FALSE),"")</f>
        <v/>
      </c>
      <c r="BZ64" s="21" t="str">
        <f t="shared" ca="1" si="2"/>
        <v>_</v>
      </c>
      <c r="CA64" s="21" t="str">
        <f ca="1">IFERROR(VLOOKUP(AP64,OFFSET(abbreviation[],0,ColumnLanguage),ColumnAbbreviation,FALSE),"")</f>
        <v/>
      </c>
      <c r="CB64" s="21" t="str">
        <f ca="1">IFERROR(VLOOKUP(AR64,OFFSET(abbreviation[],0,ColumnLanguage),ColumnAbbreviation,FALSE),"")</f>
        <v/>
      </c>
      <c r="CC64" s="21" t="str">
        <f ca="1">IFERROR(VLOOKUP(AT64,OFFSET(abbreviation[],0,ColumnLanguage),ColumnAbbreviation,FALSE),"")</f>
        <v/>
      </c>
      <c r="CD64" s="21" t="str">
        <f ca="1">IFERROR(VLOOKUP(AV64,OFFSET(abbreviation[],0,ColumnLanguage),ColumnAbbreviation,FALSE),"")</f>
        <v/>
      </c>
      <c r="CE64" s="21" t="str">
        <f t="shared" ca="1" si="3"/>
        <v>__</v>
      </c>
      <c r="CF64" s="21" t="str">
        <f ca="1">IFERROR(VLOOKUP(AX64,OFFSET(abbreviation[],0,ColumnLanguage),ColumnAbbreviation,FALSE),"")</f>
        <v/>
      </c>
      <c r="CG64" s="21" t="str">
        <f ca="1">IFERROR(VLOOKUP(AZ64,OFFSET(abbreviation[],0,ColumnLanguage),ColumnAbbreviation,FALSE),"")</f>
        <v/>
      </c>
      <c r="CH64" s="21" t="str">
        <f ca="1">IFERROR(VLOOKUP(BB64,OFFSET(abbreviation[],0,ColumnLanguage),ColumnAbbreviation,FALSE),"")</f>
        <v/>
      </c>
      <c r="CI64" s="21" t="str">
        <f ca="1">IFERROR(VLOOKUP(BD64,OFFSET(abbreviation[],0,ColumnLanguage),ColumnAbbreviation,FALSE),"")</f>
        <v/>
      </c>
      <c r="CJ64" s="21" t="str">
        <f ca="1">IFERROR(VLOOKUP(BF64,OFFSET(abbreviation[],0,ColumnLanguage),ColumnAbbreviation,FALSE),"")</f>
        <v/>
      </c>
      <c r="CK64" s="21" t="str">
        <f t="shared" ca="1" si="4"/>
        <v/>
      </c>
      <c r="CL64" s="21" t="str">
        <f t="shared" si="5"/>
        <v/>
      </c>
      <c r="CM64" s="52"/>
      <c r="CN64" s="57" t="str">
        <f t="shared" si="6"/>
        <v/>
      </c>
    </row>
    <row r="65" spans="16:92" x14ac:dyDescent="0.25">
      <c r="P65" s="60"/>
      <c r="Q65" s="13"/>
      <c r="V65" s="60"/>
      <c r="X65" s="61"/>
      <c r="AB65" s="60"/>
      <c r="AN65" s="54"/>
      <c r="AS65" s="15"/>
      <c r="BH65" s="52"/>
      <c r="BI65" s="21" t="str">
        <f ca="1">IFERROR(VLOOKUP(C65,OFFSET(abbreviation[],0,ColumnLanguage),ColumnAbbreviation,FALSE),"")</f>
        <v/>
      </c>
      <c r="BJ65" s="21" t="str">
        <f ca="1">IFERROR(VLOOKUP(E65,OFFSET(abbreviation[],0,ColumnLanguage),ColumnAbbreviation,FALSE),"")</f>
        <v/>
      </c>
      <c r="BK65" s="21" t="str">
        <f ca="1">IFERROR(VLOOKUP(G65,OFFSET(abbreviation[],0,ColumnLanguage),ColumnAbbreviation,FALSE),"")</f>
        <v/>
      </c>
      <c r="BL65" s="21" t="str">
        <f ca="1">IFERROR(VLOOKUP(I65,OFFSET(abbreviation[],0,ColumnLanguage),ColumnAbbreviation,FALSE),"")</f>
        <v/>
      </c>
      <c r="BM65" s="21" t="str">
        <f ca="1">IFERROR(VLOOKUP(K65,OFFSET(abbreviation[],0,ColumnLanguage),ColumnAbbreviation,FALSE),"")</f>
        <v/>
      </c>
      <c r="BN65" s="21" t="str">
        <f t="shared" ca="1" si="0"/>
        <v/>
      </c>
      <c r="BO65" s="21" t="str">
        <f ca="1">IFERROR(VLOOKUP(N65,OFFSET(abbreviation[],0,ColumnLanguage),ColumnAbbreviation,FALSE),"")</f>
        <v/>
      </c>
      <c r="BP65" s="21" t="str">
        <f ca="1">IFERROR(VLOOKUP(P65,OFFSET(abbreviation[],0,ColumnLanguage),ColumnAbbreviation,FALSE),"")</f>
        <v/>
      </c>
      <c r="BQ65" s="21" t="str">
        <f ca="1">IFERROR(VLOOKUP(T65,OFFSET(abbreviation[],0,ColumnLanguage),ColumnAbbreviation,FALSE),"")</f>
        <v/>
      </c>
      <c r="BR65" s="21" t="str">
        <f ca="1">IFERROR(VLOOKUP(V65,OFFSET(abbreviation[],0,ColumnLanguage),ColumnAbbreviation,FALSE),"")</f>
        <v/>
      </c>
      <c r="BS65" s="21" t="str">
        <f ca="1">IFERROR(VLOOKUP(Z65,OFFSET(abbreviation[],0,ColumnLanguage),ColumnAbbreviation,FALSE),"")</f>
        <v/>
      </c>
      <c r="BT65" s="21" t="str">
        <f ca="1">IFERROR(VLOOKUP(AB65,OFFSET(abbreviation[],0,ColumnLanguage),ColumnAbbreviation,FALSE),"")</f>
        <v/>
      </c>
      <c r="BU65" s="21" t="str">
        <f t="shared" ca="1" si="1"/>
        <v>__</v>
      </c>
      <c r="BV65" s="21" t="str">
        <f ca="1">IFERROR(VLOOKUP(AF65,OFFSET(abbreviation[],0,ColumnLanguage),ColumnAbbreviation,FALSE),"")</f>
        <v/>
      </c>
      <c r="BW65" s="21" t="str">
        <f ca="1">IFERROR(VLOOKUP(AH65,OFFSET(abbreviation[],0,ColumnLanguage),ColumnAbbreviation,FALSE),"")</f>
        <v/>
      </c>
      <c r="BX65" s="21" t="str">
        <f ca="1">IFERROR(VLOOKUP(AJ65,OFFSET(abbreviation[],0,ColumnLanguage),ColumnAbbreviation,FALSE),"")</f>
        <v/>
      </c>
      <c r="BY65" s="21" t="str">
        <f ca="1">IFERROR(VLOOKUP(AL65,OFFSET(abbreviation[],0,ColumnLanguage),ColumnAbbreviation,FALSE),"")</f>
        <v/>
      </c>
      <c r="BZ65" s="21" t="str">
        <f t="shared" ca="1" si="2"/>
        <v>_</v>
      </c>
      <c r="CA65" s="21" t="str">
        <f ca="1">IFERROR(VLOOKUP(AP65,OFFSET(abbreviation[],0,ColumnLanguage),ColumnAbbreviation,FALSE),"")</f>
        <v/>
      </c>
      <c r="CB65" s="21" t="str">
        <f ca="1">IFERROR(VLOOKUP(AR65,OFFSET(abbreviation[],0,ColumnLanguage),ColumnAbbreviation,FALSE),"")</f>
        <v/>
      </c>
      <c r="CC65" s="21" t="str">
        <f ca="1">IFERROR(VLOOKUP(AT65,OFFSET(abbreviation[],0,ColumnLanguage),ColumnAbbreviation,FALSE),"")</f>
        <v/>
      </c>
      <c r="CD65" s="21" t="str">
        <f ca="1">IFERROR(VLOOKUP(AV65,OFFSET(abbreviation[],0,ColumnLanguage),ColumnAbbreviation,FALSE),"")</f>
        <v/>
      </c>
      <c r="CE65" s="21" t="str">
        <f t="shared" ca="1" si="3"/>
        <v>__</v>
      </c>
      <c r="CF65" s="21" t="str">
        <f ca="1">IFERROR(VLOOKUP(AX65,OFFSET(abbreviation[],0,ColumnLanguage),ColumnAbbreviation,FALSE),"")</f>
        <v/>
      </c>
      <c r="CG65" s="21" t="str">
        <f ca="1">IFERROR(VLOOKUP(AZ65,OFFSET(abbreviation[],0,ColumnLanguage),ColumnAbbreviation,FALSE),"")</f>
        <v/>
      </c>
      <c r="CH65" s="21" t="str">
        <f ca="1">IFERROR(VLOOKUP(BB65,OFFSET(abbreviation[],0,ColumnLanguage),ColumnAbbreviation,FALSE),"")</f>
        <v/>
      </c>
      <c r="CI65" s="21" t="str">
        <f ca="1">IFERROR(VLOOKUP(BD65,OFFSET(abbreviation[],0,ColumnLanguage),ColumnAbbreviation,FALSE),"")</f>
        <v/>
      </c>
      <c r="CJ65" s="21" t="str">
        <f ca="1">IFERROR(VLOOKUP(BF65,OFFSET(abbreviation[],0,ColumnLanguage),ColumnAbbreviation,FALSE),"")</f>
        <v/>
      </c>
      <c r="CK65" s="21" t="str">
        <f t="shared" ca="1" si="4"/>
        <v/>
      </c>
      <c r="CL65" s="21" t="str">
        <f t="shared" si="5"/>
        <v/>
      </c>
      <c r="CM65" s="52"/>
      <c r="CN65" s="57" t="str">
        <f t="shared" si="6"/>
        <v/>
      </c>
    </row>
    <row r="66" spans="16:92" x14ac:dyDescent="0.25">
      <c r="P66" s="60"/>
      <c r="Q66" s="13"/>
      <c r="V66" s="60"/>
      <c r="X66" s="61"/>
      <c r="AB66" s="60"/>
      <c r="AN66" s="54"/>
      <c r="AS66" s="15"/>
      <c r="BH66" s="52"/>
      <c r="BI66" s="21" t="str">
        <f ca="1">IFERROR(VLOOKUP(C66,OFFSET(abbreviation[],0,ColumnLanguage),ColumnAbbreviation,FALSE),"")</f>
        <v/>
      </c>
      <c r="BJ66" s="21" t="str">
        <f ca="1">IFERROR(VLOOKUP(E66,OFFSET(abbreviation[],0,ColumnLanguage),ColumnAbbreviation,FALSE),"")</f>
        <v/>
      </c>
      <c r="BK66" s="21" t="str">
        <f ca="1">IFERROR(VLOOKUP(G66,OFFSET(abbreviation[],0,ColumnLanguage),ColumnAbbreviation,FALSE),"")</f>
        <v/>
      </c>
      <c r="BL66" s="21" t="str">
        <f ca="1">IFERROR(VLOOKUP(I66,OFFSET(abbreviation[],0,ColumnLanguage),ColumnAbbreviation,FALSE),"")</f>
        <v/>
      </c>
      <c r="BM66" s="21" t="str">
        <f ca="1">IFERROR(VLOOKUP(K66,OFFSET(abbreviation[],0,ColumnLanguage),ColumnAbbreviation,FALSE),"")</f>
        <v/>
      </c>
      <c r="BN66" s="21" t="str">
        <f t="shared" ca="1" si="0"/>
        <v/>
      </c>
      <c r="BO66" s="21" t="str">
        <f ca="1">IFERROR(VLOOKUP(N66,OFFSET(abbreviation[],0,ColumnLanguage),ColumnAbbreviation,FALSE),"")</f>
        <v/>
      </c>
      <c r="BP66" s="21" t="str">
        <f ca="1">IFERROR(VLOOKUP(P66,OFFSET(abbreviation[],0,ColumnLanguage),ColumnAbbreviation,FALSE),"")</f>
        <v/>
      </c>
      <c r="BQ66" s="21" t="str">
        <f ca="1">IFERROR(VLOOKUP(T66,OFFSET(abbreviation[],0,ColumnLanguage),ColumnAbbreviation,FALSE),"")</f>
        <v/>
      </c>
      <c r="BR66" s="21" t="str">
        <f ca="1">IFERROR(VLOOKUP(V66,OFFSET(abbreviation[],0,ColumnLanguage),ColumnAbbreviation,FALSE),"")</f>
        <v/>
      </c>
      <c r="BS66" s="21" t="str">
        <f ca="1">IFERROR(VLOOKUP(Z66,OFFSET(abbreviation[],0,ColumnLanguage),ColumnAbbreviation,FALSE),"")</f>
        <v/>
      </c>
      <c r="BT66" s="21" t="str">
        <f ca="1">IFERROR(VLOOKUP(AB66,OFFSET(abbreviation[],0,ColumnLanguage),ColumnAbbreviation,FALSE),"")</f>
        <v/>
      </c>
      <c r="BU66" s="21" t="str">
        <f t="shared" ca="1" si="1"/>
        <v>__</v>
      </c>
      <c r="BV66" s="21" t="str">
        <f ca="1">IFERROR(VLOOKUP(AF66,OFFSET(abbreviation[],0,ColumnLanguage),ColumnAbbreviation,FALSE),"")</f>
        <v/>
      </c>
      <c r="BW66" s="21" t="str">
        <f ca="1">IFERROR(VLOOKUP(AH66,OFFSET(abbreviation[],0,ColumnLanguage),ColumnAbbreviation,FALSE),"")</f>
        <v/>
      </c>
      <c r="BX66" s="21" t="str">
        <f ca="1">IFERROR(VLOOKUP(AJ66,OFFSET(abbreviation[],0,ColumnLanguage),ColumnAbbreviation,FALSE),"")</f>
        <v/>
      </c>
      <c r="BY66" s="21" t="str">
        <f ca="1">IFERROR(VLOOKUP(AL66,OFFSET(abbreviation[],0,ColumnLanguage),ColumnAbbreviation,FALSE),"")</f>
        <v/>
      </c>
      <c r="BZ66" s="21" t="str">
        <f t="shared" ca="1" si="2"/>
        <v>_</v>
      </c>
      <c r="CA66" s="21" t="str">
        <f ca="1">IFERROR(VLOOKUP(AP66,OFFSET(abbreviation[],0,ColumnLanguage),ColumnAbbreviation,FALSE),"")</f>
        <v/>
      </c>
      <c r="CB66" s="21" t="str">
        <f ca="1">IFERROR(VLOOKUP(AR66,OFFSET(abbreviation[],0,ColumnLanguage),ColumnAbbreviation,FALSE),"")</f>
        <v/>
      </c>
      <c r="CC66" s="21" t="str">
        <f ca="1">IFERROR(VLOOKUP(AT66,OFFSET(abbreviation[],0,ColumnLanguage),ColumnAbbreviation,FALSE),"")</f>
        <v/>
      </c>
      <c r="CD66" s="21" t="str">
        <f ca="1">IFERROR(VLOOKUP(AV66,OFFSET(abbreviation[],0,ColumnLanguage),ColumnAbbreviation,FALSE),"")</f>
        <v/>
      </c>
      <c r="CE66" s="21" t="str">
        <f t="shared" ca="1" si="3"/>
        <v>__</v>
      </c>
      <c r="CF66" s="21" t="str">
        <f ca="1">IFERROR(VLOOKUP(AX66,OFFSET(abbreviation[],0,ColumnLanguage),ColumnAbbreviation,FALSE),"")</f>
        <v/>
      </c>
      <c r="CG66" s="21" t="str">
        <f ca="1">IFERROR(VLOOKUP(AZ66,OFFSET(abbreviation[],0,ColumnLanguage),ColumnAbbreviation,FALSE),"")</f>
        <v/>
      </c>
      <c r="CH66" s="21" t="str">
        <f ca="1">IFERROR(VLOOKUP(BB66,OFFSET(abbreviation[],0,ColumnLanguage),ColumnAbbreviation,FALSE),"")</f>
        <v/>
      </c>
      <c r="CI66" s="21" t="str">
        <f ca="1">IFERROR(VLOOKUP(BD66,OFFSET(abbreviation[],0,ColumnLanguage),ColumnAbbreviation,FALSE),"")</f>
        <v/>
      </c>
      <c r="CJ66" s="21" t="str">
        <f ca="1">IFERROR(VLOOKUP(BF66,OFFSET(abbreviation[],0,ColumnLanguage),ColumnAbbreviation,FALSE),"")</f>
        <v/>
      </c>
      <c r="CK66" s="21" t="str">
        <f t="shared" ca="1" si="4"/>
        <v/>
      </c>
      <c r="CL66" s="21" t="str">
        <f t="shared" si="5"/>
        <v/>
      </c>
      <c r="CM66" s="52"/>
      <c r="CN66" s="57" t="str">
        <f t="shared" si="6"/>
        <v/>
      </c>
    </row>
    <row r="67" spans="16:92" x14ac:dyDescent="0.25">
      <c r="P67" s="60"/>
      <c r="Q67" s="13"/>
      <c r="V67" s="60"/>
      <c r="X67" s="61"/>
      <c r="AB67" s="60"/>
      <c r="AN67" s="54"/>
      <c r="AS67" s="15"/>
      <c r="BH67" s="52"/>
      <c r="BI67" s="21" t="str">
        <f ca="1">IFERROR(VLOOKUP(C67,OFFSET(abbreviation[],0,ColumnLanguage),ColumnAbbreviation,FALSE),"")</f>
        <v/>
      </c>
      <c r="BJ67" s="21" t="str">
        <f ca="1">IFERROR(VLOOKUP(E67,OFFSET(abbreviation[],0,ColumnLanguage),ColumnAbbreviation,FALSE),"")</f>
        <v/>
      </c>
      <c r="BK67" s="21" t="str">
        <f ca="1">IFERROR(VLOOKUP(G67,OFFSET(abbreviation[],0,ColumnLanguage),ColumnAbbreviation,FALSE),"")</f>
        <v/>
      </c>
      <c r="BL67" s="21" t="str">
        <f ca="1">IFERROR(VLOOKUP(I67,OFFSET(abbreviation[],0,ColumnLanguage),ColumnAbbreviation,FALSE),"")</f>
        <v/>
      </c>
      <c r="BM67" s="21" t="str">
        <f ca="1">IFERROR(VLOOKUP(K67,OFFSET(abbreviation[],0,ColumnLanguage),ColumnAbbreviation,FALSE),"")</f>
        <v/>
      </c>
      <c r="BN67" s="21" t="str">
        <f t="shared" ca="1" si="0"/>
        <v/>
      </c>
      <c r="BO67" s="21" t="str">
        <f ca="1">IFERROR(VLOOKUP(N67,OFFSET(abbreviation[],0,ColumnLanguage),ColumnAbbreviation,FALSE),"")</f>
        <v/>
      </c>
      <c r="BP67" s="21" t="str">
        <f ca="1">IFERROR(VLOOKUP(P67,OFFSET(abbreviation[],0,ColumnLanguage),ColumnAbbreviation,FALSE),"")</f>
        <v/>
      </c>
      <c r="BQ67" s="21" t="str">
        <f ca="1">IFERROR(VLOOKUP(T67,OFFSET(abbreviation[],0,ColumnLanguage),ColumnAbbreviation,FALSE),"")</f>
        <v/>
      </c>
      <c r="BR67" s="21" t="str">
        <f ca="1">IFERROR(VLOOKUP(V67,OFFSET(abbreviation[],0,ColumnLanguage),ColumnAbbreviation,FALSE),"")</f>
        <v/>
      </c>
      <c r="BS67" s="21" t="str">
        <f ca="1">IFERROR(VLOOKUP(Z67,OFFSET(abbreviation[],0,ColumnLanguage),ColumnAbbreviation,FALSE),"")</f>
        <v/>
      </c>
      <c r="BT67" s="21" t="str">
        <f ca="1">IFERROR(VLOOKUP(AB67,OFFSET(abbreviation[],0,ColumnLanguage),ColumnAbbreviation,FALSE),"")</f>
        <v/>
      </c>
      <c r="BU67" s="21" t="str">
        <f t="shared" ca="1" si="1"/>
        <v>__</v>
      </c>
      <c r="BV67" s="21" t="str">
        <f ca="1">IFERROR(VLOOKUP(AF67,OFFSET(abbreviation[],0,ColumnLanguage),ColumnAbbreviation,FALSE),"")</f>
        <v/>
      </c>
      <c r="BW67" s="21" t="str">
        <f ca="1">IFERROR(VLOOKUP(AH67,OFFSET(abbreviation[],0,ColumnLanguage),ColumnAbbreviation,FALSE),"")</f>
        <v/>
      </c>
      <c r="BX67" s="21" t="str">
        <f ca="1">IFERROR(VLOOKUP(AJ67,OFFSET(abbreviation[],0,ColumnLanguage),ColumnAbbreviation,FALSE),"")</f>
        <v/>
      </c>
      <c r="BY67" s="21" t="str">
        <f ca="1">IFERROR(VLOOKUP(AL67,OFFSET(abbreviation[],0,ColumnLanguage),ColumnAbbreviation,FALSE),"")</f>
        <v/>
      </c>
      <c r="BZ67" s="21" t="str">
        <f t="shared" ca="1" si="2"/>
        <v>_</v>
      </c>
      <c r="CA67" s="21" t="str">
        <f ca="1">IFERROR(VLOOKUP(AP67,OFFSET(abbreviation[],0,ColumnLanguage),ColumnAbbreviation,FALSE),"")</f>
        <v/>
      </c>
      <c r="CB67" s="21" t="str">
        <f ca="1">IFERROR(VLOOKUP(AR67,OFFSET(abbreviation[],0,ColumnLanguage),ColumnAbbreviation,FALSE),"")</f>
        <v/>
      </c>
      <c r="CC67" s="21" t="str">
        <f ca="1">IFERROR(VLOOKUP(AT67,OFFSET(abbreviation[],0,ColumnLanguage),ColumnAbbreviation,FALSE),"")</f>
        <v/>
      </c>
      <c r="CD67" s="21" t="str">
        <f ca="1">IFERROR(VLOOKUP(AV67,OFFSET(abbreviation[],0,ColumnLanguage),ColumnAbbreviation,FALSE),"")</f>
        <v/>
      </c>
      <c r="CE67" s="21" t="str">
        <f t="shared" ca="1" si="3"/>
        <v>__</v>
      </c>
      <c r="CF67" s="21" t="str">
        <f ca="1">IFERROR(VLOOKUP(AX67,OFFSET(abbreviation[],0,ColumnLanguage),ColumnAbbreviation,FALSE),"")</f>
        <v/>
      </c>
      <c r="CG67" s="21" t="str">
        <f ca="1">IFERROR(VLOOKUP(AZ67,OFFSET(abbreviation[],0,ColumnLanguage),ColumnAbbreviation,FALSE),"")</f>
        <v/>
      </c>
      <c r="CH67" s="21" t="str">
        <f ca="1">IFERROR(VLOOKUP(BB67,OFFSET(abbreviation[],0,ColumnLanguage),ColumnAbbreviation,FALSE),"")</f>
        <v/>
      </c>
      <c r="CI67" s="21" t="str">
        <f ca="1">IFERROR(VLOOKUP(BD67,OFFSET(abbreviation[],0,ColumnLanguage),ColumnAbbreviation,FALSE),"")</f>
        <v/>
      </c>
      <c r="CJ67" s="21" t="str">
        <f ca="1">IFERROR(VLOOKUP(BF67,OFFSET(abbreviation[],0,ColumnLanguage),ColumnAbbreviation,FALSE),"")</f>
        <v/>
      </c>
      <c r="CK67" s="21" t="str">
        <f t="shared" ca="1" si="4"/>
        <v/>
      </c>
      <c r="CL67" s="21" t="str">
        <f t="shared" si="5"/>
        <v/>
      </c>
      <c r="CM67" s="52"/>
      <c r="CN67" s="57" t="str">
        <f t="shared" si="6"/>
        <v/>
      </c>
    </row>
    <row r="68" spans="16:92" x14ac:dyDescent="0.25">
      <c r="P68" s="60"/>
      <c r="Q68" s="13"/>
      <c r="V68" s="60"/>
      <c r="X68" s="61"/>
      <c r="AB68" s="60"/>
      <c r="AN68" s="54"/>
      <c r="AS68" s="15"/>
      <c r="BH68" s="52"/>
      <c r="BI68" s="21" t="str">
        <f ca="1">IFERROR(VLOOKUP(C68,OFFSET(abbreviation[],0,ColumnLanguage),ColumnAbbreviation,FALSE),"")</f>
        <v/>
      </c>
      <c r="BJ68" s="21" t="str">
        <f ca="1">IFERROR(VLOOKUP(E68,OFFSET(abbreviation[],0,ColumnLanguage),ColumnAbbreviation,FALSE),"")</f>
        <v/>
      </c>
      <c r="BK68" s="21" t="str">
        <f ca="1">IFERROR(VLOOKUP(G68,OFFSET(abbreviation[],0,ColumnLanguage),ColumnAbbreviation,FALSE),"")</f>
        <v/>
      </c>
      <c r="BL68" s="21" t="str">
        <f ca="1">IFERROR(VLOOKUP(I68,OFFSET(abbreviation[],0,ColumnLanguage),ColumnAbbreviation,FALSE),"")</f>
        <v/>
      </c>
      <c r="BM68" s="21" t="str">
        <f ca="1">IFERROR(VLOOKUP(K68,OFFSET(abbreviation[],0,ColumnLanguage),ColumnAbbreviation,FALSE),"")</f>
        <v/>
      </c>
      <c r="BN68" s="21" t="str">
        <f t="shared" ref="BN68:BN131" ca="1" si="7">(BI68&amp;IF(OR(ISNUMBER(D68),ISTEXT(D68)),"-"&amp;D68,))&amp;(IF(ISTEXT(E68),"_",)&amp;BJ68&amp;IF(OR(ISNUMBER(F68),ISTEXT(F68)),"-"&amp;F68,))&amp;(IF(ISTEXT(G68),"_",)&amp;BK68&amp;IF(OR(ISNUMBER(H68),ISTEXT(H68)),"-"&amp;H68,))&amp;(IF(ISTEXT(I68),"_",)&amp;BL68&amp;IF(OR(ISNUMBER(J68),ISTEXT(J68)),"-"&amp;J68,))&amp;(IF(ISTEXT(K68),"_",)&amp;BM68&amp;IF(OR(ISNUMBER(L68),ISTEXT(L68)),"-"&amp;L68,)&amp;IF(AND(ISTEXT(BI68),BI68&lt;&gt;""),"_._",))</f>
        <v/>
      </c>
      <c r="BO68" s="21" t="str">
        <f ca="1">IFERROR(VLOOKUP(N68,OFFSET(abbreviation[],0,ColumnLanguage),ColumnAbbreviation,FALSE),"")</f>
        <v/>
      </c>
      <c r="BP68" s="21" t="str">
        <f ca="1">IFERROR(VLOOKUP(P68,OFFSET(abbreviation[],0,ColumnLanguage),ColumnAbbreviation,FALSE),"")</f>
        <v/>
      </c>
      <c r="BQ68" s="21" t="str">
        <f ca="1">IFERROR(VLOOKUP(T68,OFFSET(abbreviation[],0,ColumnLanguage),ColumnAbbreviation,FALSE),"")</f>
        <v/>
      </c>
      <c r="BR68" s="21" t="str">
        <f ca="1">IFERROR(VLOOKUP(V68,OFFSET(abbreviation[],0,ColumnLanguage),ColumnAbbreviation,FALSE),"")</f>
        <v/>
      </c>
      <c r="BS68" s="21" t="str">
        <f ca="1">IFERROR(VLOOKUP(Z68,OFFSET(abbreviation[],0,ColumnLanguage),ColumnAbbreviation,FALSE),"")</f>
        <v/>
      </c>
      <c r="BT68" s="21" t="str">
        <f ca="1">IFERROR(VLOOKUP(AB68,OFFSET(abbreviation[],0,ColumnLanguage),ColumnAbbreviation,FALSE),"")</f>
        <v/>
      </c>
      <c r="BU68" s="21" t="str">
        <f t="shared" ref="BU68:BU131" ca="1" si="8">(BO68&amp;IF(ISTEXT(P68),"."&amp;BP68,)&amp;IF(OR(ISTEXT(R68),ISNUMBER(R68)),"-"&amp;R68,))&amp;("_"&amp;BQ68&amp;IF(ISTEXT(V68),"."&amp;BR68,)&amp;IF(OR(ISTEXT(X68),ISNUMBER(X68)),"-"&amp;X68,))&amp;("_"&amp;BS68&amp;IF(ISTEXT(AB68),"."&amp;BT68,)&amp;IF(OR(ISTEXT(AD68),ISNUMBER(AD68)),"-"&amp;AD68,))</f>
        <v>__</v>
      </c>
      <c r="BV68" s="21" t="str">
        <f ca="1">IFERROR(VLOOKUP(AF68,OFFSET(abbreviation[],0,ColumnLanguage),ColumnAbbreviation,FALSE),"")</f>
        <v/>
      </c>
      <c r="BW68" s="21" t="str">
        <f ca="1">IFERROR(VLOOKUP(AH68,OFFSET(abbreviation[],0,ColumnLanguage),ColumnAbbreviation,FALSE),"")</f>
        <v/>
      </c>
      <c r="BX68" s="21" t="str">
        <f ca="1">IFERROR(VLOOKUP(AJ68,OFFSET(abbreviation[],0,ColumnLanguage),ColumnAbbreviation,FALSE),"")</f>
        <v/>
      </c>
      <c r="BY68" s="21" t="str">
        <f ca="1">IFERROR(VLOOKUP(AL68,OFFSET(abbreviation[],0,ColumnLanguage),ColumnAbbreviation,FALSE),"")</f>
        <v/>
      </c>
      <c r="BZ68" s="21" t="str">
        <f t="shared" ref="BZ68:BZ131" ca="1" si="9">("_"&amp;BV68&amp;IF(ISTEXT(AH68),"."&amp;BW68,)&amp;IF(ISTEXT(AJ68),"."&amp;BX68,)&amp;IF(ISTEXT(AL68),"."&amp;BY68,)&amp;IF(OR(ISTEXT(AN68),ISNUMBER(AN68)),"-"&amp;AN68,))</f>
        <v>_</v>
      </c>
      <c r="CA68" s="21" t="str">
        <f ca="1">IFERROR(VLOOKUP(AP68,OFFSET(abbreviation[],0,ColumnLanguage),ColumnAbbreviation,FALSE),"")</f>
        <v/>
      </c>
      <c r="CB68" s="21" t="str">
        <f ca="1">IFERROR(VLOOKUP(AR68,OFFSET(abbreviation[],0,ColumnLanguage),ColumnAbbreviation,FALSE),"")</f>
        <v/>
      </c>
      <c r="CC68" s="21" t="str">
        <f ca="1">IFERROR(VLOOKUP(AT68,OFFSET(abbreviation[],0,ColumnLanguage),ColumnAbbreviation,FALSE),"")</f>
        <v/>
      </c>
      <c r="CD68" s="21" t="str">
        <f ca="1">IFERROR(VLOOKUP(AV68,OFFSET(abbreviation[],0,ColumnLanguage),ColumnAbbreviation,FALSE),"")</f>
        <v/>
      </c>
      <c r="CE68" s="21" t="str">
        <f t="shared" ref="CE68:CE131" ca="1" si="10">("_"&amp;CA68&amp;IF(ISTEXT(AR68),"."&amp;CB68,)&amp;IF(ISTEXT(AT68),"."&amp;CC68,))&amp;"_"&amp;CD68</f>
        <v>__</v>
      </c>
      <c r="CF68" s="21" t="str">
        <f ca="1">IFERROR(VLOOKUP(AX68,OFFSET(abbreviation[],0,ColumnLanguage),ColumnAbbreviation,FALSE),"")</f>
        <v/>
      </c>
      <c r="CG68" s="21" t="str">
        <f ca="1">IFERROR(VLOOKUP(AZ68,OFFSET(abbreviation[],0,ColumnLanguage),ColumnAbbreviation,FALSE),"")</f>
        <v/>
      </c>
      <c r="CH68" s="21" t="str">
        <f ca="1">IFERROR(VLOOKUP(BB68,OFFSET(abbreviation[],0,ColumnLanguage),ColumnAbbreviation,FALSE),"")</f>
        <v/>
      </c>
      <c r="CI68" s="21" t="str">
        <f ca="1">IFERROR(VLOOKUP(BD68,OFFSET(abbreviation[],0,ColumnLanguage),ColumnAbbreviation,FALSE),"")</f>
        <v/>
      </c>
      <c r="CJ68" s="21" t="str">
        <f ca="1">IFERROR(VLOOKUP(BF68,OFFSET(abbreviation[],0,ColumnLanguage),ColumnAbbreviation,FALSE),"")</f>
        <v/>
      </c>
      <c r="CK68" s="21" t="str">
        <f t="shared" ref="CK68:CK131" ca="1" si="11">(IF(ISTEXT(AX68),"_._",""))&amp;(IF(ISTEXT(AX68),"_",)&amp;CF68&amp;IF(OR(ISNUMBER(AY68),ISTEXT(AY68)),"-"&amp;AY68,))&amp;(IF(ISTEXT(AZ68),"_",)&amp;CG68&amp;IF(OR(ISNUMBER(BA68),ISTEXT(BA68)),"-"&amp;BA68,))&amp;(IF(ISTEXT(BB68),"_",)&amp;CH68&amp;IF(OR(ISNUMBER(BC68),ISTEXT(BC68)),"-"&amp;BC68,))&amp;(IF(ISTEXT(BD68),"_",)&amp;CI68&amp;IF(OR(ISNUMBER(BE68),ISTEXT(BE68)),"-"&amp;BE68,))&amp;(IF(ISTEXT(BF68),"_",)&amp;CJ68&amp;IF(OR(ISNUMBER(BG68),ISTEXT(BG68)),"-"&amp;BG68,))</f>
        <v/>
      </c>
      <c r="CL68" s="21" t="str">
        <f t="shared" ref="CL68:CL131" si="12">IF(OR(N68&lt;&gt;"",T68&lt;&gt;"",C68&lt;&gt;"",A68&lt;&gt;""),(BN68&amp;BU68&amp;BZ68&amp;CE68&amp;CK68),"")</f>
        <v/>
      </c>
      <c r="CM68" s="52"/>
      <c r="CN68" s="57" t="str">
        <f t="shared" ref="CN68:CN131" si="13">CL68</f>
        <v/>
      </c>
    </row>
    <row r="69" spans="16:92" x14ac:dyDescent="0.25">
      <c r="P69" s="60"/>
      <c r="Q69" s="13"/>
      <c r="V69" s="60"/>
      <c r="X69" s="61"/>
      <c r="AB69" s="60"/>
      <c r="AN69" s="54"/>
      <c r="AS69" s="15"/>
      <c r="BH69" s="52"/>
      <c r="BI69" s="21" t="str">
        <f ca="1">IFERROR(VLOOKUP(C69,OFFSET(abbreviation[],0,ColumnLanguage),ColumnAbbreviation,FALSE),"")</f>
        <v/>
      </c>
      <c r="BJ69" s="21" t="str">
        <f ca="1">IFERROR(VLOOKUP(E69,OFFSET(abbreviation[],0,ColumnLanguage),ColumnAbbreviation,FALSE),"")</f>
        <v/>
      </c>
      <c r="BK69" s="21" t="str">
        <f ca="1">IFERROR(VLOOKUP(G69,OFFSET(abbreviation[],0,ColumnLanguage),ColumnAbbreviation,FALSE),"")</f>
        <v/>
      </c>
      <c r="BL69" s="21" t="str">
        <f ca="1">IFERROR(VLOOKUP(I69,OFFSET(abbreviation[],0,ColumnLanguage),ColumnAbbreviation,FALSE),"")</f>
        <v/>
      </c>
      <c r="BM69" s="21" t="str">
        <f ca="1">IFERROR(VLOOKUP(K69,OFFSET(abbreviation[],0,ColumnLanguage),ColumnAbbreviation,FALSE),"")</f>
        <v/>
      </c>
      <c r="BN69" s="21" t="str">
        <f t="shared" ca="1" si="7"/>
        <v/>
      </c>
      <c r="BO69" s="21" t="str">
        <f ca="1">IFERROR(VLOOKUP(N69,OFFSET(abbreviation[],0,ColumnLanguage),ColumnAbbreviation,FALSE),"")</f>
        <v/>
      </c>
      <c r="BP69" s="21" t="str">
        <f ca="1">IFERROR(VLOOKUP(P69,OFFSET(abbreviation[],0,ColumnLanguage),ColumnAbbreviation,FALSE),"")</f>
        <v/>
      </c>
      <c r="BQ69" s="21" t="str">
        <f ca="1">IFERROR(VLOOKUP(T69,OFFSET(abbreviation[],0,ColumnLanguage),ColumnAbbreviation,FALSE),"")</f>
        <v/>
      </c>
      <c r="BR69" s="21" t="str">
        <f ca="1">IFERROR(VLOOKUP(V69,OFFSET(abbreviation[],0,ColumnLanguage),ColumnAbbreviation,FALSE),"")</f>
        <v/>
      </c>
      <c r="BS69" s="21" t="str">
        <f ca="1">IFERROR(VLOOKUP(Z69,OFFSET(abbreviation[],0,ColumnLanguage),ColumnAbbreviation,FALSE),"")</f>
        <v/>
      </c>
      <c r="BT69" s="21" t="str">
        <f ca="1">IFERROR(VLOOKUP(AB69,OFFSET(abbreviation[],0,ColumnLanguage),ColumnAbbreviation,FALSE),"")</f>
        <v/>
      </c>
      <c r="BU69" s="21" t="str">
        <f t="shared" ca="1" si="8"/>
        <v>__</v>
      </c>
      <c r="BV69" s="21" t="str">
        <f ca="1">IFERROR(VLOOKUP(AF69,OFFSET(abbreviation[],0,ColumnLanguage),ColumnAbbreviation,FALSE),"")</f>
        <v/>
      </c>
      <c r="BW69" s="21" t="str">
        <f ca="1">IFERROR(VLOOKUP(AH69,OFFSET(abbreviation[],0,ColumnLanguage),ColumnAbbreviation,FALSE),"")</f>
        <v/>
      </c>
      <c r="BX69" s="21" t="str">
        <f ca="1">IFERROR(VLOOKUP(AJ69,OFFSET(abbreviation[],0,ColumnLanguage),ColumnAbbreviation,FALSE),"")</f>
        <v/>
      </c>
      <c r="BY69" s="21" t="str">
        <f ca="1">IFERROR(VLOOKUP(AL69,OFFSET(abbreviation[],0,ColumnLanguage),ColumnAbbreviation,FALSE),"")</f>
        <v/>
      </c>
      <c r="BZ69" s="21" t="str">
        <f t="shared" ca="1" si="9"/>
        <v>_</v>
      </c>
      <c r="CA69" s="21" t="str">
        <f ca="1">IFERROR(VLOOKUP(AP69,OFFSET(abbreviation[],0,ColumnLanguage),ColumnAbbreviation,FALSE),"")</f>
        <v/>
      </c>
      <c r="CB69" s="21" t="str">
        <f ca="1">IFERROR(VLOOKUP(AR69,OFFSET(abbreviation[],0,ColumnLanguage),ColumnAbbreviation,FALSE),"")</f>
        <v/>
      </c>
      <c r="CC69" s="21" t="str">
        <f ca="1">IFERROR(VLOOKUP(AT69,OFFSET(abbreviation[],0,ColumnLanguage),ColumnAbbreviation,FALSE),"")</f>
        <v/>
      </c>
      <c r="CD69" s="21" t="str">
        <f ca="1">IFERROR(VLOOKUP(AV69,OFFSET(abbreviation[],0,ColumnLanguage),ColumnAbbreviation,FALSE),"")</f>
        <v/>
      </c>
      <c r="CE69" s="21" t="str">
        <f t="shared" ca="1" si="10"/>
        <v>__</v>
      </c>
      <c r="CF69" s="21" t="str">
        <f ca="1">IFERROR(VLOOKUP(AX69,OFFSET(abbreviation[],0,ColumnLanguage),ColumnAbbreviation,FALSE),"")</f>
        <v/>
      </c>
      <c r="CG69" s="21" t="str">
        <f ca="1">IFERROR(VLOOKUP(AZ69,OFFSET(abbreviation[],0,ColumnLanguage),ColumnAbbreviation,FALSE),"")</f>
        <v/>
      </c>
      <c r="CH69" s="21" t="str">
        <f ca="1">IFERROR(VLOOKUP(BB69,OFFSET(abbreviation[],0,ColumnLanguage),ColumnAbbreviation,FALSE),"")</f>
        <v/>
      </c>
      <c r="CI69" s="21" t="str">
        <f ca="1">IFERROR(VLOOKUP(BD69,OFFSET(abbreviation[],0,ColumnLanguage),ColumnAbbreviation,FALSE),"")</f>
        <v/>
      </c>
      <c r="CJ69" s="21" t="str">
        <f ca="1">IFERROR(VLOOKUP(BF69,OFFSET(abbreviation[],0,ColumnLanguage),ColumnAbbreviation,FALSE),"")</f>
        <v/>
      </c>
      <c r="CK69" s="21" t="str">
        <f t="shared" ca="1" si="11"/>
        <v/>
      </c>
      <c r="CL69" s="21" t="str">
        <f t="shared" si="12"/>
        <v/>
      </c>
      <c r="CM69" s="52"/>
      <c r="CN69" s="57" t="str">
        <f t="shared" si="13"/>
        <v/>
      </c>
    </row>
    <row r="70" spans="16:92" x14ac:dyDescent="0.25">
      <c r="P70" s="60"/>
      <c r="Q70" s="13"/>
      <c r="V70" s="60"/>
      <c r="X70" s="61"/>
      <c r="AB70" s="60"/>
      <c r="AN70" s="54"/>
      <c r="AS70" s="15"/>
      <c r="BH70" s="52"/>
      <c r="BI70" s="21" t="str">
        <f ca="1">IFERROR(VLOOKUP(C70,OFFSET(abbreviation[],0,ColumnLanguage),ColumnAbbreviation,FALSE),"")</f>
        <v/>
      </c>
      <c r="BJ70" s="21" t="str">
        <f ca="1">IFERROR(VLOOKUP(E70,OFFSET(abbreviation[],0,ColumnLanguage),ColumnAbbreviation,FALSE),"")</f>
        <v/>
      </c>
      <c r="BK70" s="21" t="str">
        <f ca="1">IFERROR(VLOOKUP(G70,OFFSET(abbreviation[],0,ColumnLanguage),ColumnAbbreviation,FALSE),"")</f>
        <v/>
      </c>
      <c r="BL70" s="21" t="str">
        <f ca="1">IFERROR(VLOOKUP(I70,OFFSET(abbreviation[],0,ColumnLanguage),ColumnAbbreviation,FALSE),"")</f>
        <v/>
      </c>
      <c r="BM70" s="21" t="str">
        <f ca="1">IFERROR(VLOOKUP(K70,OFFSET(abbreviation[],0,ColumnLanguage),ColumnAbbreviation,FALSE),"")</f>
        <v/>
      </c>
      <c r="BN70" s="21" t="str">
        <f t="shared" ca="1" si="7"/>
        <v/>
      </c>
      <c r="BO70" s="21" t="str">
        <f ca="1">IFERROR(VLOOKUP(N70,OFFSET(abbreviation[],0,ColumnLanguage),ColumnAbbreviation,FALSE),"")</f>
        <v/>
      </c>
      <c r="BP70" s="21" t="str">
        <f ca="1">IFERROR(VLOOKUP(P70,OFFSET(abbreviation[],0,ColumnLanguage),ColumnAbbreviation,FALSE),"")</f>
        <v/>
      </c>
      <c r="BQ70" s="21" t="str">
        <f ca="1">IFERROR(VLOOKUP(T70,OFFSET(abbreviation[],0,ColumnLanguage),ColumnAbbreviation,FALSE),"")</f>
        <v/>
      </c>
      <c r="BR70" s="21" t="str">
        <f ca="1">IFERROR(VLOOKUP(V70,OFFSET(abbreviation[],0,ColumnLanguage),ColumnAbbreviation,FALSE),"")</f>
        <v/>
      </c>
      <c r="BS70" s="21" t="str">
        <f ca="1">IFERROR(VLOOKUP(Z70,OFFSET(abbreviation[],0,ColumnLanguage),ColumnAbbreviation,FALSE),"")</f>
        <v/>
      </c>
      <c r="BT70" s="21" t="str">
        <f ca="1">IFERROR(VLOOKUP(AB70,OFFSET(abbreviation[],0,ColumnLanguage),ColumnAbbreviation,FALSE),"")</f>
        <v/>
      </c>
      <c r="BU70" s="21" t="str">
        <f t="shared" ca="1" si="8"/>
        <v>__</v>
      </c>
      <c r="BV70" s="21" t="str">
        <f ca="1">IFERROR(VLOOKUP(AF70,OFFSET(abbreviation[],0,ColumnLanguage),ColumnAbbreviation,FALSE),"")</f>
        <v/>
      </c>
      <c r="BW70" s="21" t="str">
        <f ca="1">IFERROR(VLOOKUP(AH70,OFFSET(abbreviation[],0,ColumnLanguage),ColumnAbbreviation,FALSE),"")</f>
        <v/>
      </c>
      <c r="BX70" s="21" t="str">
        <f ca="1">IFERROR(VLOOKUP(AJ70,OFFSET(abbreviation[],0,ColumnLanguage),ColumnAbbreviation,FALSE),"")</f>
        <v/>
      </c>
      <c r="BY70" s="21" t="str">
        <f ca="1">IFERROR(VLOOKUP(AL70,OFFSET(abbreviation[],0,ColumnLanguage),ColumnAbbreviation,FALSE),"")</f>
        <v/>
      </c>
      <c r="BZ70" s="21" t="str">
        <f t="shared" ca="1" si="9"/>
        <v>_</v>
      </c>
      <c r="CA70" s="21" t="str">
        <f ca="1">IFERROR(VLOOKUP(AP70,OFFSET(abbreviation[],0,ColumnLanguage),ColumnAbbreviation,FALSE),"")</f>
        <v/>
      </c>
      <c r="CB70" s="21" t="str">
        <f ca="1">IFERROR(VLOOKUP(AR70,OFFSET(abbreviation[],0,ColumnLanguage),ColumnAbbreviation,FALSE),"")</f>
        <v/>
      </c>
      <c r="CC70" s="21" t="str">
        <f ca="1">IFERROR(VLOOKUP(AT70,OFFSET(abbreviation[],0,ColumnLanguage),ColumnAbbreviation,FALSE),"")</f>
        <v/>
      </c>
      <c r="CD70" s="21" t="str">
        <f ca="1">IFERROR(VLOOKUP(AV70,OFFSET(abbreviation[],0,ColumnLanguage),ColumnAbbreviation,FALSE),"")</f>
        <v/>
      </c>
      <c r="CE70" s="21" t="str">
        <f t="shared" ca="1" si="10"/>
        <v>__</v>
      </c>
      <c r="CF70" s="21" t="str">
        <f ca="1">IFERROR(VLOOKUP(AX70,OFFSET(abbreviation[],0,ColumnLanguage),ColumnAbbreviation,FALSE),"")</f>
        <v/>
      </c>
      <c r="CG70" s="21" t="str">
        <f ca="1">IFERROR(VLOOKUP(AZ70,OFFSET(abbreviation[],0,ColumnLanguage),ColumnAbbreviation,FALSE),"")</f>
        <v/>
      </c>
      <c r="CH70" s="21" t="str">
        <f ca="1">IFERROR(VLOOKUP(BB70,OFFSET(abbreviation[],0,ColumnLanguage),ColumnAbbreviation,FALSE),"")</f>
        <v/>
      </c>
      <c r="CI70" s="21" t="str">
        <f ca="1">IFERROR(VLOOKUP(BD70,OFFSET(abbreviation[],0,ColumnLanguage),ColumnAbbreviation,FALSE),"")</f>
        <v/>
      </c>
      <c r="CJ70" s="21" t="str">
        <f ca="1">IFERROR(VLOOKUP(BF70,OFFSET(abbreviation[],0,ColumnLanguage),ColumnAbbreviation,FALSE),"")</f>
        <v/>
      </c>
      <c r="CK70" s="21" t="str">
        <f t="shared" ca="1" si="11"/>
        <v/>
      </c>
      <c r="CL70" s="21" t="str">
        <f t="shared" si="12"/>
        <v/>
      </c>
      <c r="CM70" s="52"/>
      <c r="CN70" s="57" t="str">
        <f t="shared" si="13"/>
        <v/>
      </c>
    </row>
    <row r="71" spans="16:92" x14ac:dyDescent="0.25">
      <c r="P71" s="60"/>
      <c r="Q71" s="13"/>
      <c r="V71" s="60"/>
      <c r="X71" s="61"/>
      <c r="AB71" s="60"/>
      <c r="AN71" s="54"/>
      <c r="AS71" s="15"/>
      <c r="BH71" s="52"/>
      <c r="BI71" s="21" t="str">
        <f ca="1">IFERROR(VLOOKUP(C71,OFFSET(abbreviation[],0,ColumnLanguage),ColumnAbbreviation,FALSE),"")</f>
        <v/>
      </c>
      <c r="BJ71" s="21" t="str">
        <f ca="1">IFERROR(VLOOKUP(E71,OFFSET(abbreviation[],0,ColumnLanguage),ColumnAbbreviation,FALSE),"")</f>
        <v/>
      </c>
      <c r="BK71" s="21" t="str">
        <f ca="1">IFERROR(VLOOKUP(G71,OFFSET(abbreviation[],0,ColumnLanguage),ColumnAbbreviation,FALSE),"")</f>
        <v/>
      </c>
      <c r="BL71" s="21" t="str">
        <f ca="1">IFERROR(VLOOKUP(I71,OFFSET(abbreviation[],0,ColumnLanguage),ColumnAbbreviation,FALSE),"")</f>
        <v/>
      </c>
      <c r="BM71" s="21" t="str">
        <f ca="1">IFERROR(VLOOKUP(K71,OFFSET(abbreviation[],0,ColumnLanguage),ColumnAbbreviation,FALSE),"")</f>
        <v/>
      </c>
      <c r="BN71" s="21" t="str">
        <f t="shared" ca="1" si="7"/>
        <v/>
      </c>
      <c r="BO71" s="21" t="str">
        <f ca="1">IFERROR(VLOOKUP(N71,OFFSET(abbreviation[],0,ColumnLanguage),ColumnAbbreviation,FALSE),"")</f>
        <v/>
      </c>
      <c r="BP71" s="21" t="str">
        <f ca="1">IFERROR(VLOOKUP(P71,OFFSET(abbreviation[],0,ColumnLanguage),ColumnAbbreviation,FALSE),"")</f>
        <v/>
      </c>
      <c r="BQ71" s="21" t="str">
        <f ca="1">IFERROR(VLOOKUP(T71,OFFSET(abbreviation[],0,ColumnLanguage),ColumnAbbreviation,FALSE),"")</f>
        <v/>
      </c>
      <c r="BR71" s="21" t="str">
        <f ca="1">IFERROR(VLOOKUP(V71,OFFSET(abbreviation[],0,ColumnLanguage),ColumnAbbreviation,FALSE),"")</f>
        <v/>
      </c>
      <c r="BS71" s="21" t="str">
        <f ca="1">IFERROR(VLOOKUP(Z71,OFFSET(abbreviation[],0,ColumnLanguage),ColumnAbbreviation,FALSE),"")</f>
        <v/>
      </c>
      <c r="BT71" s="21" t="str">
        <f ca="1">IFERROR(VLOOKUP(AB71,OFFSET(abbreviation[],0,ColumnLanguage),ColumnAbbreviation,FALSE),"")</f>
        <v/>
      </c>
      <c r="BU71" s="21" t="str">
        <f t="shared" ca="1" si="8"/>
        <v>__</v>
      </c>
      <c r="BV71" s="21" t="str">
        <f ca="1">IFERROR(VLOOKUP(AF71,OFFSET(abbreviation[],0,ColumnLanguage),ColumnAbbreviation,FALSE),"")</f>
        <v/>
      </c>
      <c r="BW71" s="21" t="str">
        <f ca="1">IFERROR(VLOOKUP(AH71,OFFSET(abbreviation[],0,ColumnLanguage),ColumnAbbreviation,FALSE),"")</f>
        <v/>
      </c>
      <c r="BX71" s="21" t="str">
        <f ca="1">IFERROR(VLOOKUP(AJ71,OFFSET(abbreviation[],0,ColumnLanguage),ColumnAbbreviation,FALSE),"")</f>
        <v/>
      </c>
      <c r="BY71" s="21" t="str">
        <f ca="1">IFERROR(VLOOKUP(AL71,OFFSET(abbreviation[],0,ColumnLanguage),ColumnAbbreviation,FALSE),"")</f>
        <v/>
      </c>
      <c r="BZ71" s="21" t="str">
        <f t="shared" ca="1" si="9"/>
        <v>_</v>
      </c>
      <c r="CA71" s="21" t="str">
        <f ca="1">IFERROR(VLOOKUP(AP71,OFFSET(abbreviation[],0,ColumnLanguage),ColumnAbbreviation,FALSE),"")</f>
        <v/>
      </c>
      <c r="CB71" s="21" t="str">
        <f ca="1">IFERROR(VLOOKUP(AR71,OFFSET(abbreviation[],0,ColumnLanguage),ColumnAbbreviation,FALSE),"")</f>
        <v/>
      </c>
      <c r="CC71" s="21" t="str">
        <f ca="1">IFERROR(VLOOKUP(AT71,OFFSET(abbreviation[],0,ColumnLanguage),ColumnAbbreviation,FALSE),"")</f>
        <v/>
      </c>
      <c r="CD71" s="21" t="str">
        <f ca="1">IFERROR(VLOOKUP(AV71,OFFSET(abbreviation[],0,ColumnLanguage),ColumnAbbreviation,FALSE),"")</f>
        <v/>
      </c>
      <c r="CE71" s="21" t="str">
        <f t="shared" ca="1" si="10"/>
        <v>__</v>
      </c>
      <c r="CF71" s="21" t="str">
        <f ca="1">IFERROR(VLOOKUP(AX71,OFFSET(abbreviation[],0,ColumnLanguage),ColumnAbbreviation,FALSE),"")</f>
        <v/>
      </c>
      <c r="CG71" s="21" t="str">
        <f ca="1">IFERROR(VLOOKUP(AZ71,OFFSET(abbreviation[],0,ColumnLanguage),ColumnAbbreviation,FALSE),"")</f>
        <v/>
      </c>
      <c r="CH71" s="21" t="str">
        <f ca="1">IFERROR(VLOOKUP(BB71,OFFSET(abbreviation[],0,ColumnLanguage),ColumnAbbreviation,FALSE),"")</f>
        <v/>
      </c>
      <c r="CI71" s="21" t="str">
        <f ca="1">IFERROR(VLOOKUP(BD71,OFFSET(abbreviation[],0,ColumnLanguage),ColumnAbbreviation,FALSE),"")</f>
        <v/>
      </c>
      <c r="CJ71" s="21" t="str">
        <f ca="1">IFERROR(VLOOKUP(BF71,OFFSET(abbreviation[],0,ColumnLanguage),ColumnAbbreviation,FALSE),"")</f>
        <v/>
      </c>
      <c r="CK71" s="21" t="str">
        <f t="shared" ca="1" si="11"/>
        <v/>
      </c>
      <c r="CL71" s="21" t="str">
        <f t="shared" si="12"/>
        <v/>
      </c>
      <c r="CM71" s="52"/>
      <c r="CN71" s="57" t="str">
        <f t="shared" si="13"/>
        <v/>
      </c>
    </row>
    <row r="72" spans="16:92" x14ac:dyDescent="0.25">
      <c r="P72" s="60"/>
      <c r="Q72" s="13"/>
      <c r="V72" s="60"/>
      <c r="X72" s="61"/>
      <c r="AB72" s="60"/>
      <c r="AN72" s="54"/>
      <c r="AS72" s="15"/>
      <c r="BH72" s="52"/>
      <c r="BI72" s="21" t="str">
        <f ca="1">IFERROR(VLOOKUP(C72,OFFSET(abbreviation[],0,ColumnLanguage),ColumnAbbreviation,FALSE),"")</f>
        <v/>
      </c>
      <c r="BJ72" s="21" t="str">
        <f ca="1">IFERROR(VLOOKUP(E72,OFFSET(abbreviation[],0,ColumnLanguage),ColumnAbbreviation,FALSE),"")</f>
        <v/>
      </c>
      <c r="BK72" s="21" t="str">
        <f ca="1">IFERROR(VLOOKUP(G72,OFFSET(abbreviation[],0,ColumnLanguage),ColumnAbbreviation,FALSE),"")</f>
        <v/>
      </c>
      <c r="BL72" s="21" t="str">
        <f ca="1">IFERROR(VLOOKUP(I72,OFFSET(abbreviation[],0,ColumnLanguage),ColumnAbbreviation,FALSE),"")</f>
        <v/>
      </c>
      <c r="BM72" s="21" t="str">
        <f ca="1">IFERROR(VLOOKUP(K72,OFFSET(abbreviation[],0,ColumnLanguage),ColumnAbbreviation,FALSE),"")</f>
        <v/>
      </c>
      <c r="BN72" s="21" t="str">
        <f t="shared" ca="1" si="7"/>
        <v/>
      </c>
      <c r="BO72" s="21" t="str">
        <f ca="1">IFERROR(VLOOKUP(N72,OFFSET(abbreviation[],0,ColumnLanguage),ColumnAbbreviation,FALSE),"")</f>
        <v/>
      </c>
      <c r="BP72" s="21" t="str">
        <f ca="1">IFERROR(VLOOKUP(P72,OFFSET(abbreviation[],0,ColumnLanguage),ColumnAbbreviation,FALSE),"")</f>
        <v/>
      </c>
      <c r="BQ72" s="21" t="str">
        <f ca="1">IFERROR(VLOOKUP(T72,OFFSET(abbreviation[],0,ColumnLanguage),ColumnAbbreviation,FALSE),"")</f>
        <v/>
      </c>
      <c r="BR72" s="21" t="str">
        <f ca="1">IFERROR(VLOOKUP(V72,OFFSET(abbreviation[],0,ColumnLanguage),ColumnAbbreviation,FALSE),"")</f>
        <v/>
      </c>
      <c r="BS72" s="21" t="str">
        <f ca="1">IFERROR(VLOOKUP(Z72,OFFSET(abbreviation[],0,ColumnLanguage),ColumnAbbreviation,FALSE),"")</f>
        <v/>
      </c>
      <c r="BT72" s="21" t="str">
        <f ca="1">IFERROR(VLOOKUP(AB72,OFFSET(abbreviation[],0,ColumnLanguage),ColumnAbbreviation,FALSE),"")</f>
        <v/>
      </c>
      <c r="BU72" s="21" t="str">
        <f t="shared" ca="1" si="8"/>
        <v>__</v>
      </c>
      <c r="BV72" s="21" t="str">
        <f ca="1">IFERROR(VLOOKUP(AF72,OFFSET(abbreviation[],0,ColumnLanguage),ColumnAbbreviation,FALSE),"")</f>
        <v/>
      </c>
      <c r="BW72" s="21" t="str">
        <f ca="1">IFERROR(VLOOKUP(AH72,OFFSET(abbreviation[],0,ColumnLanguage),ColumnAbbreviation,FALSE),"")</f>
        <v/>
      </c>
      <c r="BX72" s="21" t="str">
        <f ca="1">IFERROR(VLOOKUP(AJ72,OFFSET(abbreviation[],0,ColumnLanguage),ColumnAbbreviation,FALSE),"")</f>
        <v/>
      </c>
      <c r="BY72" s="21" t="str">
        <f ca="1">IFERROR(VLOOKUP(AL72,OFFSET(abbreviation[],0,ColumnLanguage),ColumnAbbreviation,FALSE),"")</f>
        <v/>
      </c>
      <c r="BZ72" s="21" t="str">
        <f t="shared" ca="1" si="9"/>
        <v>_</v>
      </c>
      <c r="CA72" s="21" t="str">
        <f ca="1">IFERROR(VLOOKUP(AP72,OFFSET(abbreviation[],0,ColumnLanguage),ColumnAbbreviation,FALSE),"")</f>
        <v/>
      </c>
      <c r="CB72" s="21" t="str">
        <f ca="1">IFERROR(VLOOKUP(AR72,OFFSET(abbreviation[],0,ColumnLanguage),ColumnAbbreviation,FALSE),"")</f>
        <v/>
      </c>
      <c r="CC72" s="21" t="str">
        <f ca="1">IFERROR(VLOOKUP(AT72,OFFSET(abbreviation[],0,ColumnLanguage),ColumnAbbreviation,FALSE),"")</f>
        <v/>
      </c>
      <c r="CD72" s="21" t="str">
        <f ca="1">IFERROR(VLOOKUP(AV72,OFFSET(abbreviation[],0,ColumnLanguage),ColumnAbbreviation,FALSE),"")</f>
        <v/>
      </c>
      <c r="CE72" s="21" t="str">
        <f t="shared" ca="1" si="10"/>
        <v>__</v>
      </c>
      <c r="CF72" s="21" t="str">
        <f ca="1">IFERROR(VLOOKUP(AX72,OFFSET(abbreviation[],0,ColumnLanguage),ColumnAbbreviation,FALSE),"")</f>
        <v/>
      </c>
      <c r="CG72" s="21" t="str">
        <f ca="1">IFERROR(VLOOKUP(AZ72,OFFSET(abbreviation[],0,ColumnLanguage),ColumnAbbreviation,FALSE),"")</f>
        <v/>
      </c>
      <c r="CH72" s="21" t="str">
        <f ca="1">IFERROR(VLOOKUP(BB72,OFFSET(abbreviation[],0,ColumnLanguage),ColumnAbbreviation,FALSE),"")</f>
        <v/>
      </c>
      <c r="CI72" s="21" t="str">
        <f ca="1">IFERROR(VLOOKUP(BD72,OFFSET(abbreviation[],0,ColumnLanguage),ColumnAbbreviation,FALSE),"")</f>
        <v/>
      </c>
      <c r="CJ72" s="21" t="str">
        <f ca="1">IFERROR(VLOOKUP(BF72,OFFSET(abbreviation[],0,ColumnLanguage),ColumnAbbreviation,FALSE),"")</f>
        <v/>
      </c>
      <c r="CK72" s="21" t="str">
        <f t="shared" ca="1" si="11"/>
        <v/>
      </c>
      <c r="CL72" s="21" t="str">
        <f t="shared" si="12"/>
        <v/>
      </c>
      <c r="CM72" s="52"/>
      <c r="CN72" s="57" t="str">
        <f t="shared" si="13"/>
        <v/>
      </c>
    </row>
    <row r="73" spans="16:92" x14ac:dyDescent="0.25">
      <c r="P73" s="60"/>
      <c r="Q73" s="13"/>
      <c r="V73" s="60"/>
      <c r="X73" s="61"/>
      <c r="AB73" s="60"/>
      <c r="AN73" s="54"/>
      <c r="AS73" s="15"/>
      <c r="BH73" s="52"/>
      <c r="BI73" s="21" t="str">
        <f ca="1">IFERROR(VLOOKUP(C73,OFFSET(abbreviation[],0,ColumnLanguage),ColumnAbbreviation,FALSE),"")</f>
        <v/>
      </c>
      <c r="BJ73" s="21" t="str">
        <f ca="1">IFERROR(VLOOKUP(E73,OFFSET(abbreviation[],0,ColumnLanguage),ColumnAbbreviation,FALSE),"")</f>
        <v/>
      </c>
      <c r="BK73" s="21" t="str">
        <f ca="1">IFERROR(VLOOKUP(G73,OFFSET(abbreviation[],0,ColumnLanguage),ColumnAbbreviation,FALSE),"")</f>
        <v/>
      </c>
      <c r="BL73" s="21" t="str">
        <f ca="1">IFERROR(VLOOKUP(I73,OFFSET(abbreviation[],0,ColumnLanguage),ColumnAbbreviation,FALSE),"")</f>
        <v/>
      </c>
      <c r="BM73" s="21" t="str">
        <f ca="1">IFERROR(VLOOKUP(K73,OFFSET(abbreviation[],0,ColumnLanguage),ColumnAbbreviation,FALSE),"")</f>
        <v/>
      </c>
      <c r="BN73" s="21" t="str">
        <f t="shared" ca="1" si="7"/>
        <v/>
      </c>
      <c r="BO73" s="21" t="str">
        <f ca="1">IFERROR(VLOOKUP(N73,OFFSET(abbreviation[],0,ColumnLanguage),ColumnAbbreviation,FALSE),"")</f>
        <v/>
      </c>
      <c r="BP73" s="21" t="str">
        <f ca="1">IFERROR(VLOOKUP(P73,OFFSET(abbreviation[],0,ColumnLanguage),ColumnAbbreviation,FALSE),"")</f>
        <v/>
      </c>
      <c r="BQ73" s="21" t="str">
        <f ca="1">IFERROR(VLOOKUP(T73,OFFSET(abbreviation[],0,ColumnLanguage),ColumnAbbreviation,FALSE),"")</f>
        <v/>
      </c>
      <c r="BR73" s="21" t="str">
        <f ca="1">IFERROR(VLOOKUP(V73,OFFSET(abbreviation[],0,ColumnLanguage),ColumnAbbreviation,FALSE),"")</f>
        <v/>
      </c>
      <c r="BS73" s="21" t="str">
        <f ca="1">IFERROR(VLOOKUP(Z73,OFFSET(abbreviation[],0,ColumnLanguage),ColumnAbbreviation,FALSE),"")</f>
        <v/>
      </c>
      <c r="BT73" s="21" t="str">
        <f ca="1">IFERROR(VLOOKUP(AB73,OFFSET(abbreviation[],0,ColumnLanguage),ColumnAbbreviation,FALSE),"")</f>
        <v/>
      </c>
      <c r="BU73" s="21" t="str">
        <f t="shared" ca="1" si="8"/>
        <v>__</v>
      </c>
      <c r="BV73" s="21" t="str">
        <f ca="1">IFERROR(VLOOKUP(AF73,OFFSET(abbreviation[],0,ColumnLanguage),ColumnAbbreviation,FALSE),"")</f>
        <v/>
      </c>
      <c r="BW73" s="21" t="str">
        <f ca="1">IFERROR(VLOOKUP(AH73,OFFSET(abbreviation[],0,ColumnLanguage),ColumnAbbreviation,FALSE),"")</f>
        <v/>
      </c>
      <c r="BX73" s="21" t="str">
        <f ca="1">IFERROR(VLOOKUP(AJ73,OFFSET(abbreviation[],0,ColumnLanguage),ColumnAbbreviation,FALSE),"")</f>
        <v/>
      </c>
      <c r="BY73" s="21" t="str">
        <f ca="1">IFERROR(VLOOKUP(AL73,OFFSET(abbreviation[],0,ColumnLanguage),ColumnAbbreviation,FALSE),"")</f>
        <v/>
      </c>
      <c r="BZ73" s="21" t="str">
        <f t="shared" ca="1" si="9"/>
        <v>_</v>
      </c>
      <c r="CA73" s="21" t="str">
        <f ca="1">IFERROR(VLOOKUP(AP73,OFFSET(abbreviation[],0,ColumnLanguage),ColumnAbbreviation,FALSE),"")</f>
        <v/>
      </c>
      <c r="CB73" s="21" t="str">
        <f ca="1">IFERROR(VLOOKUP(AR73,OFFSET(abbreviation[],0,ColumnLanguage),ColumnAbbreviation,FALSE),"")</f>
        <v/>
      </c>
      <c r="CC73" s="21" t="str">
        <f ca="1">IFERROR(VLOOKUP(AT73,OFFSET(abbreviation[],0,ColumnLanguage),ColumnAbbreviation,FALSE),"")</f>
        <v/>
      </c>
      <c r="CD73" s="21" t="str">
        <f ca="1">IFERROR(VLOOKUP(AV73,OFFSET(abbreviation[],0,ColumnLanguage),ColumnAbbreviation,FALSE),"")</f>
        <v/>
      </c>
      <c r="CE73" s="21" t="str">
        <f t="shared" ca="1" si="10"/>
        <v>__</v>
      </c>
      <c r="CF73" s="21" t="str">
        <f ca="1">IFERROR(VLOOKUP(AX73,OFFSET(abbreviation[],0,ColumnLanguage),ColumnAbbreviation,FALSE),"")</f>
        <v/>
      </c>
      <c r="CG73" s="21" t="str">
        <f ca="1">IFERROR(VLOOKUP(AZ73,OFFSET(abbreviation[],0,ColumnLanguage),ColumnAbbreviation,FALSE),"")</f>
        <v/>
      </c>
      <c r="CH73" s="21" t="str">
        <f ca="1">IFERROR(VLOOKUP(BB73,OFFSET(abbreviation[],0,ColumnLanguage),ColumnAbbreviation,FALSE),"")</f>
        <v/>
      </c>
      <c r="CI73" s="21" t="str">
        <f ca="1">IFERROR(VLOOKUP(BD73,OFFSET(abbreviation[],0,ColumnLanguage),ColumnAbbreviation,FALSE),"")</f>
        <v/>
      </c>
      <c r="CJ73" s="21" t="str">
        <f ca="1">IFERROR(VLOOKUP(BF73,OFFSET(abbreviation[],0,ColumnLanguage),ColumnAbbreviation,FALSE),"")</f>
        <v/>
      </c>
      <c r="CK73" s="21" t="str">
        <f t="shared" ca="1" si="11"/>
        <v/>
      </c>
      <c r="CL73" s="21" t="str">
        <f t="shared" si="12"/>
        <v/>
      </c>
      <c r="CM73" s="52"/>
      <c r="CN73" s="57" t="str">
        <f t="shared" si="13"/>
        <v/>
      </c>
    </row>
    <row r="74" spans="16:92" x14ac:dyDescent="0.25">
      <c r="P74" s="60"/>
      <c r="Q74" s="13"/>
      <c r="V74" s="60"/>
      <c r="X74" s="61"/>
      <c r="AB74" s="60"/>
      <c r="AN74" s="54"/>
      <c r="AS74" s="15"/>
      <c r="BH74" s="52"/>
      <c r="BI74" s="21" t="str">
        <f ca="1">IFERROR(VLOOKUP(C74,OFFSET(abbreviation[],0,ColumnLanguage),ColumnAbbreviation,FALSE),"")</f>
        <v/>
      </c>
      <c r="BJ74" s="21" t="str">
        <f ca="1">IFERROR(VLOOKUP(E74,OFFSET(abbreviation[],0,ColumnLanguage),ColumnAbbreviation,FALSE),"")</f>
        <v/>
      </c>
      <c r="BK74" s="21" t="str">
        <f ca="1">IFERROR(VLOOKUP(G74,OFFSET(abbreviation[],0,ColumnLanguage),ColumnAbbreviation,FALSE),"")</f>
        <v/>
      </c>
      <c r="BL74" s="21" t="str">
        <f ca="1">IFERROR(VLOOKUP(I74,OFFSET(abbreviation[],0,ColumnLanguage),ColumnAbbreviation,FALSE),"")</f>
        <v/>
      </c>
      <c r="BM74" s="21" t="str">
        <f ca="1">IFERROR(VLOOKUP(K74,OFFSET(abbreviation[],0,ColumnLanguage),ColumnAbbreviation,FALSE),"")</f>
        <v/>
      </c>
      <c r="BN74" s="21" t="str">
        <f t="shared" ca="1" si="7"/>
        <v/>
      </c>
      <c r="BO74" s="21" t="str">
        <f ca="1">IFERROR(VLOOKUP(N74,OFFSET(abbreviation[],0,ColumnLanguage),ColumnAbbreviation,FALSE),"")</f>
        <v/>
      </c>
      <c r="BP74" s="21" t="str">
        <f ca="1">IFERROR(VLOOKUP(P74,OFFSET(abbreviation[],0,ColumnLanguage),ColumnAbbreviation,FALSE),"")</f>
        <v/>
      </c>
      <c r="BQ74" s="21" t="str">
        <f ca="1">IFERROR(VLOOKUP(T74,OFFSET(abbreviation[],0,ColumnLanguage),ColumnAbbreviation,FALSE),"")</f>
        <v/>
      </c>
      <c r="BR74" s="21" t="str">
        <f ca="1">IFERROR(VLOOKUP(V74,OFFSET(abbreviation[],0,ColumnLanguage),ColumnAbbreviation,FALSE),"")</f>
        <v/>
      </c>
      <c r="BS74" s="21" t="str">
        <f ca="1">IFERROR(VLOOKUP(Z74,OFFSET(abbreviation[],0,ColumnLanguage),ColumnAbbreviation,FALSE),"")</f>
        <v/>
      </c>
      <c r="BT74" s="21" t="str">
        <f ca="1">IFERROR(VLOOKUP(AB74,OFFSET(abbreviation[],0,ColumnLanguage),ColumnAbbreviation,FALSE),"")</f>
        <v/>
      </c>
      <c r="BU74" s="21" t="str">
        <f t="shared" ca="1" si="8"/>
        <v>__</v>
      </c>
      <c r="BV74" s="21" t="str">
        <f ca="1">IFERROR(VLOOKUP(AF74,OFFSET(abbreviation[],0,ColumnLanguage),ColumnAbbreviation,FALSE),"")</f>
        <v/>
      </c>
      <c r="BW74" s="21" t="str">
        <f ca="1">IFERROR(VLOOKUP(AH74,OFFSET(abbreviation[],0,ColumnLanguage),ColumnAbbreviation,FALSE),"")</f>
        <v/>
      </c>
      <c r="BX74" s="21" t="str">
        <f ca="1">IFERROR(VLOOKUP(AJ74,OFFSET(abbreviation[],0,ColumnLanguage),ColumnAbbreviation,FALSE),"")</f>
        <v/>
      </c>
      <c r="BY74" s="21" t="str">
        <f ca="1">IFERROR(VLOOKUP(AL74,OFFSET(abbreviation[],0,ColumnLanguage),ColumnAbbreviation,FALSE),"")</f>
        <v/>
      </c>
      <c r="BZ74" s="21" t="str">
        <f t="shared" ca="1" si="9"/>
        <v>_</v>
      </c>
      <c r="CA74" s="21" t="str">
        <f ca="1">IFERROR(VLOOKUP(AP74,OFFSET(abbreviation[],0,ColumnLanguage),ColumnAbbreviation,FALSE),"")</f>
        <v/>
      </c>
      <c r="CB74" s="21" t="str">
        <f ca="1">IFERROR(VLOOKUP(AR74,OFFSET(abbreviation[],0,ColumnLanguage),ColumnAbbreviation,FALSE),"")</f>
        <v/>
      </c>
      <c r="CC74" s="21" t="str">
        <f ca="1">IFERROR(VLOOKUP(AT74,OFFSET(abbreviation[],0,ColumnLanguage),ColumnAbbreviation,FALSE),"")</f>
        <v/>
      </c>
      <c r="CD74" s="21" t="str">
        <f ca="1">IFERROR(VLOOKUP(AV74,OFFSET(abbreviation[],0,ColumnLanguage),ColumnAbbreviation,FALSE),"")</f>
        <v/>
      </c>
      <c r="CE74" s="21" t="str">
        <f t="shared" ca="1" si="10"/>
        <v>__</v>
      </c>
      <c r="CF74" s="21" t="str">
        <f ca="1">IFERROR(VLOOKUP(AX74,OFFSET(abbreviation[],0,ColumnLanguage),ColumnAbbreviation,FALSE),"")</f>
        <v/>
      </c>
      <c r="CG74" s="21" t="str">
        <f ca="1">IFERROR(VLOOKUP(AZ74,OFFSET(abbreviation[],0,ColumnLanguage),ColumnAbbreviation,FALSE),"")</f>
        <v/>
      </c>
      <c r="CH74" s="21" t="str">
        <f ca="1">IFERROR(VLOOKUP(BB74,OFFSET(abbreviation[],0,ColumnLanguage),ColumnAbbreviation,FALSE),"")</f>
        <v/>
      </c>
      <c r="CI74" s="21" t="str">
        <f ca="1">IFERROR(VLOOKUP(BD74,OFFSET(abbreviation[],0,ColumnLanguage),ColumnAbbreviation,FALSE),"")</f>
        <v/>
      </c>
      <c r="CJ74" s="21" t="str">
        <f ca="1">IFERROR(VLOOKUP(BF74,OFFSET(abbreviation[],0,ColumnLanguage),ColumnAbbreviation,FALSE),"")</f>
        <v/>
      </c>
      <c r="CK74" s="21" t="str">
        <f t="shared" ca="1" si="11"/>
        <v/>
      </c>
      <c r="CL74" s="21" t="str">
        <f t="shared" si="12"/>
        <v/>
      </c>
      <c r="CM74" s="52"/>
      <c r="CN74" s="57" t="str">
        <f t="shared" si="13"/>
        <v/>
      </c>
    </row>
    <row r="75" spans="16:92" x14ac:dyDescent="0.25">
      <c r="P75" s="60"/>
      <c r="Q75" s="13"/>
      <c r="V75" s="60"/>
      <c r="X75" s="61"/>
      <c r="AB75" s="60"/>
      <c r="AN75" s="54"/>
      <c r="AS75" s="15"/>
      <c r="BH75" s="52"/>
      <c r="BI75" s="21" t="str">
        <f ca="1">IFERROR(VLOOKUP(C75,OFFSET(abbreviation[],0,ColumnLanguage),ColumnAbbreviation,FALSE),"")</f>
        <v/>
      </c>
      <c r="BJ75" s="21" t="str">
        <f ca="1">IFERROR(VLOOKUP(E75,OFFSET(abbreviation[],0,ColumnLanguage),ColumnAbbreviation,FALSE),"")</f>
        <v/>
      </c>
      <c r="BK75" s="21" t="str">
        <f ca="1">IFERROR(VLOOKUP(G75,OFFSET(abbreviation[],0,ColumnLanguage),ColumnAbbreviation,FALSE),"")</f>
        <v/>
      </c>
      <c r="BL75" s="21" t="str">
        <f ca="1">IFERROR(VLOOKUP(I75,OFFSET(abbreviation[],0,ColumnLanguage),ColumnAbbreviation,FALSE),"")</f>
        <v/>
      </c>
      <c r="BM75" s="21" t="str">
        <f ca="1">IFERROR(VLOOKUP(K75,OFFSET(abbreviation[],0,ColumnLanguage),ColumnAbbreviation,FALSE),"")</f>
        <v/>
      </c>
      <c r="BN75" s="21" t="str">
        <f t="shared" ca="1" si="7"/>
        <v/>
      </c>
      <c r="BO75" s="21" t="str">
        <f ca="1">IFERROR(VLOOKUP(N75,OFFSET(abbreviation[],0,ColumnLanguage),ColumnAbbreviation,FALSE),"")</f>
        <v/>
      </c>
      <c r="BP75" s="21" t="str">
        <f ca="1">IFERROR(VLOOKUP(P75,OFFSET(abbreviation[],0,ColumnLanguage),ColumnAbbreviation,FALSE),"")</f>
        <v/>
      </c>
      <c r="BQ75" s="21" t="str">
        <f ca="1">IFERROR(VLOOKUP(T75,OFFSET(abbreviation[],0,ColumnLanguage),ColumnAbbreviation,FALSE),"")</f>
        <v/>
      </c>
      <c r="BR75" s="21" t="str">
        <f ca="1">IFERROR(VLOOKUP(V75,OFFSET(abbreviation[],0,ColumnLanguage),ColumnAbbreviation,FALSE),"")</f>
        <v/>
      </c>
      <c r="BS75" s="21" t="str">
        <f ca="1">IFERROR(VLOOKUP(Z75,OFFSET(abbreviation[],0,ColumnLanguage),ColumnAbbreviation,FALSE),"")</f>
        <v/>
      </c>
      <c r="BT75" s="21" t="str">
        <f ca="1">IFERROR(VLOOKUP(AB75,OFFSET(abbreviation[],0,ColumnLanguage),ColumnAbbreviation,FALSE),"")</f>
        <v/>
      </c>
      <c r="BU75" s="21" t="str">
        <f t="shared" ca="1" si="8"/>
        <v>__</v>
      </c>
      <c r="BV75" s="21" t="str">
        <f ca="1">IFERROR(VLOOKUP(AF75,OFFSET(abbreviation[],0,ColumnLanguage),ColumnAbbreviation,FALSE),"")</f>
        <v/>
      </c>
      <c r="BW75" s="21" t="str">
        <f ca="1">IFERROR(VLOOKUP(AH75,OFFSET(abbreviation[],0,ColumnLanguage),ColumnAbbreviation,FALSE),"")</f>
        <v/>
      </c>
      <c r="BX75" s="21" t="str">
        <f ca="1">IFERROR(VLOOKUP(AJ75,OFFSET(abbreviation[],0,ColumnLanguage),ColumnAbbreviation,FALSE),"")</f>
        <v/>
      </c>
      <c r="BY75" s="21" t="str">
        <f ca="1">IFERROR(VLOOKUP(AL75,OFFSET(abbreviation[],0,ColumnLanguage),ColumnAbbreviation,FALSE),"")</f>
        <v/>
      </c>
      <c r="BZ75" s="21" t="str">
        <f t="shared" ca="1" si="9"/>
        <v>_</v>
      </c>
      <c r="CA75" s="21" t="str">
        <f ca="1">IFERROR(VLOOKUP(AP75,OFFSET(abbreviation[],0,ColumnLanguage),ColumnAbbreviation,FALSE),"")</f>
        <v/>
      </c>
      <c r="CB75" s="21" t="str">
        <f ca="1">IFERROR(VLOOKUP(AR75,OFFSET(abbreviation[],0,ColumnLanguage),ColumnAbbreviation,FALSE),"")</f>
        <v/>
      </c>
      <c r="CC75" s="21" t="str">
        <f ca="1">IFERROR(VLOOKUP(AT75,OFFSET(abbreviation[],0,ColumnLanguage),ColumnAbbreviation,FALSE),"")</f>
        <v/>
      </c>
      <c r="CD75" s="21" t="str">
        <f ca="1">IFERROR(VLOOKUP(AV75,OFFSET(abbreviation[],0,ColumnLanguage),ColumnAbbreviation,FALSE),"")</f>
        <v/>
      </c>
      <c r="CE75" s="21" t="str">
        <f t="shared" ca="1" si="10"/>
        <v>__</v>
      </c>
      <c r="CF75" s="21" t="str">
        <f ca="1">IFERROR(VLOOKUP(AX75,OFFSET(abbreviation[],0,ColumnLanguage),ColumnAbbreviation,FALSE),"")</f>
        <v/>
      </c>
      <c r="CG75" s="21" t="str">
        <f ca="1">IFERROR(VLOOKUP(AZ75,OFFSET(abbreviation[],0,ColumnLanguage),ColumnAbbreviation,FALSE),"")</f>
        <v/>
      </c>
      <c r="CH75" s="21" t="str">
        <f ca="1">IFERROR(VLOOKUP(BB75,OFFSET(abbreviation[],0,ColumnLanguage),ColumnAbbreviation,FALSE),"")</f>
        <v/>
      </c>
      <c r="CI75" s="21" t="str">
        <f ca="1">IFERROR(VLOOKUP(BD75,OFFSET(abbreviation[],0,ColumnLanguage),ColumnAbbreviation,FALSE),"")</f>
        <v/>
      </c>
      <c r="CJ75" s="21" t="str">
        <f ca="1">IFERROR(VLOOKUP(BF75,OFFSET(abbreviation[],0,ColumnLanguage),ColumnAbbreviation,FALSE),"")</f>
        <v/>
      </c>
      <c r="CK75" s="21" t="str">
        <f t="shared" ca="1" si="11"/>
        <v/>
      </c>
      <c r="CL75" s="21" t="str">
        <f t="shared" si="12"/>
        <v/>
      </c>
      <c r="CM75" s="52"/>
      <c r="CN75" s="57" t="str">
        <f t="shared" si="13"/>
        <v/>
      </c>
    </row>
    <row r="76" spans="16:92" x14ac:dyDescent="0.25">
      <c r="P76" s="60"/>
      <c r="Q76" s="13"/>
      <c r="V76" s="60"/>
      <c r="X76" s="61"/>
      <c r="AB76" s="60"/>
      <c r="AN76" s="54"/>
      <c r="AS76" s="15"/>
      <c r="BH76" s="52"/>
      <c r="BI76" s="21" t="str">
        <f ca="1">IFERROR(VLOOKUP(C76,OFFSET(abbreviation[],0,ColumnLanguage),ColumnAbbreviation,FALSE),"")</f>
        <v/>
      </c>
      <c r="BJ76" s="21" t="str">
        <f ca="1">IFERROR(VLOOKUP(E76,OFFSET(abbreviation[],0,ColumnLanguage),ColumnAbbreviation,FALSE),"")</f>
        <v/>
      </c>
      <c r="BK76" s="21" t="str">
        <f ca="1">IFERROR(VLOOKUP(G76,OFFSET(abbreviation[],0,ColumnLanguage),ColumnAbbreviation,FALSE),"")</f>
        <v/>
      </c>
      <c r="BL76" s="21" t="str">
        <f ca="1">IFERROR(VLOOKUP(I76,OFFSET(abbreviation[],0,ColumnLanguage),ColumnAbbreviation,FALSE),"")</f>
        <v/>
      </c>
      <c r="BM76" s="21" t="str">
        <f ca="1">IFERROR(VLOOKUP(K76,OFFSET(abbreviation[],0,ColumnLanguage),ColumnAbbreviation,FALSE),"")</f>
        <v/>
      </c>
      <c r="BN76" s="21" t="str">
        <f t="shared" ca="1" si="7"/>
        <v/>
      </c>
      <c r="BO76" s="21" t="str">
        <f ca="1">IFERROR(VLOOKUP(N76,OFFSET(abbreviation[],0,ColumnLanguage),ColumnAbbreviation,FALSE),"")</f>
        <v/>
      </c>
      <c r="BP76" s="21" t="str">
        <f ca="1">IFERROR(VLOOKUP(P76,OFFSET(abbreviation[],0,ColumnLanguage),ColumnAbbreviation,FALSE),"")</f>
        <v/>
      </c>
      <c r="BQ76" s="21" t="str">
        <f ca="1">IFERROR(VLOOKUP(T76,OFFSET(abbreviation[],0,ColumnLanguage),ColumnAbbreviation,FALSE),"")</f>
        <v/>
      </c>
      <c r="BR76" s="21" t="str">
        <f ca="1">IFERROR(VLOOKUP(V76,OFFSET(abbreviation[],0,ColumnLanguage),ColumnAbbreviation,FALSE),"")</f>
        <v/>
      </c>
      <c r="BS76" s="21" t="str">
        <f ca="1">IFERROR(VLOOKUP(Z76,OFFSET(abbreviation[],0,ColumnLanguage),ColumnAbbreviation,FALSE),"")</f>
        <v/>
      </c>
      <c r="BT76" s="21" t="str">
        <f ca="1">IFERROR(VLOOKUP(AB76,OFFSET(abbreviation[],0,ColumnLanguage),ColumnAbbreviation,FALSE),"")</f>
        <v/>
      </c>
      <c r="BU76" s="21" t="str">
        <f t="shared" ca="1" si="8"/>
        <v>__</v>
      </c>
      <c r="BV76" s="21" t="str">
        <f ca="1">IFERROR(VLOOKUP(AF76,OFFSET(abbreviation[],0,ColumnLanguage),ColumnAbbreviation,FALSE),"")</f>
        <v/>
      </c>
      <c r="BW76" s="21" t="str">
        <f ca="1">IFERROR(VLOOKUP(AH76,OFFSET(abbreviation[],0,ColumnLanguage),ColumnAbbreviation,FALSE),"")</f>
        <v/>
      </c>
      <c r="BX76" s="21" t="str">
        <f ca="1">IFERROR(VLOOKUP(AJ76,OFFSET(abbreviation[],0,ColumnLanguage),ColumnAbbreviation,FALSE),"")</f>
        <v/>
      </c>
      <c r="BY76" s="21" t="str">
        <f ca="1">IFERROR(VLOOKUP(AL76,OFFSET(abbreviation[],0,ColumnLanguage),ColumnAbbreviation,FALSE),"")</f>
        <v/>
      </c>
      <c r="BZ76" s="21" t="str">
        <f t="shared" ca="1" si="9"/>
        <v>_</v>
      </c>
      <c r="CA76" s="21" t="str">
        <f ca="1">IFERROR(VLOOKUP(AP76,OFFSET(abbreviation[],0,ColumnLanguage),ColumnAbbreviation,FALSE),"")</f>
        <v/>
      </c>
      <c r="CB76" s="21" t="str">
        <f ca="1">IFERROR(VLOOKUP(AR76,OFFSET(abbreviation[],0,ColumnLanguage),ColumnAbbreviation,FALSE),"")</f>
        <v/>
      </c>
      <c r="CC76" s="21" t="str">
        <f ca="1">IFERROR(VLOOKUP(AT76,OFFSET(abbreviation[],0,ColumnLanguage),ColumnAbbreviation,FALSE),"")</f>
        <v/>
      </c>
      <c r="CD76" s="21" t="str">
        <f ca="1">IFERROR(VLOOKUP(AV76,OFFSET(abbreviation[],0,ColumnLanguage),ColumnAbbreviation,FALSE),"")</f>
        <v/>
      </c>
      <c r="CE76" s="21" t="str">
        <f t="shared" ca="1" si="10"/>
        <v>__</v>
      </c>
      <c r="CF76" s="21" t="str">
        <f ca="1">IFERROR(VLOOKUP(AX76,OFFSET(abbreviation[],0,ColumnLanguage),ColumnAbbreviation,FALSE),"")</f>
        <v/>
      </c>
      <c r="CG76" s="21" t="str">
        <f ca="1">IFERROR(VLOOKUP(AZ76,OFFSET(abbreviation[],0,ColumnLanguage),ColumnAbbreviation,FALSE),"")</f>
        <v/>
      </c>
      <c r="CH76" s="21" t="str">
        <f ca="1">IFERROR(VLOOKUP(BB76,OFFSET(abbreviation[],0,ColumnLanguage),ColumnAbbreviation,FALSE),"")</f>
        <v/>
      </c>
      <c r="CI76" s="21" t="str">
        <f ca="1">IFERROR(VLOOKUP(BD76,OFFSET(abbreviation[],0,ColumnLanguage),ColumnAbbreviation,FALSE),"")</f>
        <v/>
      </c>
      <c r="CJ76" s="21" t="str">
        <f ca="1">IFERROR(VLOOKUP(BF76,OFFSET(abbreviation[],0,ColumnLanguage),ColumnAbbreviation,FALSE),"")</f>
        <v/>
      </c>
      <c r="CK76" s="21" t="str">
        <f t="shared" ca="1" si="11"/>
        <v/>
      </c>
      <c r="CL76" s="21" t="str">
        <f t="shared" si="12"/>
        <v/>
      </c>
      <c r="CM76" s="52"/>
      <c r="CN76" s="57" t="str">
        <f t="shared" si="13"/>
        <v/>
      </c>
    </row>
    <row r="77" spans="16:92" x14ac:dyDescent="0.25">
      <c r="P77" s="60"/>
      <c r="Q77" s="13"/>
      <c r="V77" s="60"/>
      <c r="X77" s="61"/>
      <c r="AB77" s="60"/>
      <c r="AN77" s="54"/>
      <c r="AS77" s="15"/>
      <c r="BH77" s="52"/>
      <c r="BI77" s="21" t="str">
        <f ca="1">IFERROR(VLOOKUP(C77,OFFSET(abbreviation[],0,ColumnLanguage),ColumnAbbreviation,FALSE),"")</f>
        <v/>
      </c>
      <c r="BJ77" s="21" t="str">
        <f ca="1">IFERROR(VLOOKUP(E77,OFFSET(abbreviation[],0,ColumnLanguage),ColumnAbbreviation,FALSE),"")</f>
        <v/>
      </c>
      <c r="BK77" s="21" t="str">
        <f ca="1">IFERROR(VLOOKUP(G77,OFFSET(abbreviation[],0,ColumnLanguage),ColumnAbbreviation,FALSE),"")</f>
        <v/>
      </c>
      <c r="BL77" s="21" t="str">
        <f ca="1">IFERROR(VLOOKUP(I77,OFFSET(abbreviation[],0,ColumnLanguage),ColumnAbbreviation,FALSE),"")</f>
        <v/>
      </c>
      <c r="BM77" s="21" t="str">
        <f ca="1">IFERROR(VLOOKUP(K77,OFFSET(abbreviation[],0,ColumnLanguage),ColumnAbbreviation,FALSE),"")</f>
        <v/>
      </c>
      <c r="BN77" s="21" t="str">
        <f t="shared" ca="1" si="7"/>
        <v/>
      </c>
      <c r="BO77" s="21" t="str">
        <f ca="1">IFERROR(VLOOKUP(N77,OFFSET(abbreviation[],0,ColumnLanguage),ColumnAbbreviation,FALSE),"")</f>
        <v/>
      </c>
      <c r="BP77" s="21" t="str">
        <f ca="1">IFERROR(VLOOKUP(P77,OFFSET(abbreviation[],0,ColumnLanguage),ColumnAbbreviation,FALSE),"")</f>
        <v/>
      </c>
      <c r="BQ77" s="21" t="str">
        <f ca="1">IFERROR(VLOOKUP(T77,OFFSET(abbreviation[],0,ColumnLanguage),ColumnAbbreviation,FALSE),"")</f>
        <v/>
      </c>
      <c r="BR77" s="21" t="str">
        <f ca="1">IFERROR(VLOOKUP(V77,OFFSET(abbreviation[],0,ColumnLanguage),ColumnAbbreviation,FALSE),"")</f>
        <v/>
      </c>
      <c r="BS77" s="21" t="str">
        <f ca="1">IFERROR(VLOOKUP(Z77,OFFSET(abbreviation[],0,ColumnLanguage),ColumnAbbreviation,FALSE),"")</f>
        <v/>
      </c>
      <c r="BT77" s="21" t="str">
        <f ca="1">IFERROR(VLOOKUP(AB77,OFFSET(abbreviation[],0,ColumnLanguage),ColumnAbbreviation,FALSE),"")</f>
        <v/>
      </c>
      <c r="BU77" s="21" t="str">
        <f t="shared" ca="1" si="8"/>
        <v>__</v>
      </c>
      <c r="BV77" s="21" t="str">
        <f ca="1">IFERROR(VLOOKUP(AF77,OFFSET(abbreviation[],0,ColumnLanguage),ColumnAbbreviation,FALSE),"")</f>
        <v/>
      </c>
      <c r="BW77" s="21" t="str">
        <f ca="1">IFERROR(VLOOKUP(AH77,OFFSET(abbreviation[],0,ColumnLanguage),ColumnAbbreviation,FALSE),"")</f>
        <v/>
      </c>
      <c r="BX77" s="21" t="str">
        <f ca="1">IFERROR(VLOOKUP(AJ77,OFFSET(abbreviation[],0,ColumnLanguage),ColumnAbbreviation,FALSE),"")</f>
        <v/>
      </c>
      <c r="BY77" s="21" t="str">
        <f ca="1">IFERROR(VLOOKUP(AL77,OFFSET(abbreviation[],0,ColumnLanguage),ColumnAbbreviation,FALSE),"")</f>
        <v/>
      </c>
      <c r="BZ77" s="21" t="str">
        <f t="shared" ca="1" si="9"/>
        <v>_</v>
      </c>
      <c r="CA77" s="21" t="str">
        <f ca="1">IFERROR(VLOOKUP(AP77,OFFSET(abbreviation[],0,ColumnLanguage),ColumnAbbreviation,FALSE),"")</f>
        <v/>
      </c>
      <c r="CB77" s="21" t="str">
        <f ca="1">IFERROR(VLOOKUP(AR77,OFFSET(abbreviation[],0,ColumnLanguage),ColumnAbbreviation,FALSE),"")</f>
        <v/>
      </c>
      <c r="CC77" s="21" t="str">
        <f ca="1">IFERROR(VLOOKUP(AT77,OFFSET(abbreviation[],0,ColumnLanguage),ColumnAbbreviation,FALSE),"")</f>
        <v/>
      </c>
      <c r="CD77" s="21" t="str">
        <f ca="1">IFERROR(VLOOKUP(AV77,OFFSET(abbreviation[],0,ColumnLanguage),ColumnAbbreviation,FALSE),"")</f>
        <v/>
      </c>
      <c r="CE77" s="21" t="str">
        <f t="shared" ca="1" si="10"/>
        <v>__</v>
      </c>
      <c r="CF77" s="21" t="str">
        <f ca="1">IFERROR(VLOOKUP(AX77,OFFSET(abbreviation[],0,ColumnLanguage),ColumnAbbreviation,FALSE),"")</f>
        <v/>
      </c>
      <c r="CG77" s="21" t="str">
        <f ca="1">IFERROR(VLOOKUP(AZ77,OFFSET(abbreviation[],0,ColumnLanguage),ColumnAbbreviation,FALSE),"")</f>
        <v/>
      </c>
      <c r="CH77" s="21" t="str">
        <f ca="1">IFERROR(VLOOKUP(BB77,OFFSET(abbreviation[],0,ColumnLanguage),ColumnAbbreviation,FALSE),"")</f>
        <v/>
      </c>
      <c r="CI77" s="21" t="str">
        <f ca="1">IFERROR(VLOOKUP(BD77,OFFSET(abbreviation[],0,ColumnLanguage),ColumnAbbreviation,FALSE),"")</f>
        <v/>
      </c>
      <c r="CJ77" s="21" t="str">
        <f ca="1">IFERROR(VLOOKUP(BF77,OFFSET(abbreviation[],0,ColumnLanguage),ColumnAbbreviation,FALSE),"")</f>
        <v/>
      </c>
      <c r="CK77" s="21" t="str">
        <f t="shared" ca="1" si="11"/>
        <v/>
      </c>
      <c r="CL77" s="21" t="str">
        <f t="shared" si="12"/>
        <v/>
      </c>
      <c r="CM77" s="52"/>
      <c r="CN77" s="57" t="str">
        <f t="shared" si="13"/>
        <v/>
      </c>
    </row>
    <row r="78" spans="16:92" x14ac:dyDescent="0.25">
      <c r="P78" s="60"/>
      <c r="Q78" s="13"/>
      <c r="V78" s="60"/>
      <c r="X78" s="61"/>
      <c r="AB78" s="60"/>
      <c r="AN78" s="54"/>
      <c r="AS78" s="15"/>
      <c r="BH78" s="52"/>
      <c r="BI78" s="21" t="str">
        <f ca="1">IFERROR(VLOOKUP(C78,OFFSET(abbreviation[],0,ColumnLanguage),ColumnAbbreviation,FALSE),"")</f>
        <v/>
      </c>
      <c r="BJ78" s="21" t="str">
        <f ca="1">IFERROR(VLOOKUP(E78,OFFSET(abbreviation[],0,ColumnLanguage),ColumnAbbreviation,FALSE),"")</f>
        <v/>
      </c>
      <c r="BK78" s="21" t="str">
        <f ca="1">IFERROR(VLOOKUP(G78,OFFSET(abbreviation[],0,ColumnLanguage),ColumnAbbreviation,FALSE),"")</f>
        <v/>
      </c>
      <c r="BL78" s="21" t="str">
        <f ca="1">IFERROR(VLOOKUP(I78,OFFSET(abbreviation[],0,ColumnLanguage),ColumnAbbreviation,FALSE),"")</f>
        <v/>
      </c>
      <c r="BM78" s="21" t="str">
        <f ca="1">IFERROR(VLOOKUP(K78,OFFSET(abbreviation[],0,ColumnLanguage),ColumnAbbreviation,FALSE),"")</f>
        <v/>
      </c>
      <c r="BN78" s="21" t="str">
        <f t="shared" ca="1" si="7"/>
        <v/>
      </c>
      <c r="BO78" s="21" t="str">
        <f ca="1">IFERROR(VLOOKUP(N78,OFFSET(abbreviation[],0,ColumnLanguage),ColumnAbbreviation,FALSE),"")</f>
        <v/>
      </c>
      <c r="BP78" s="21" t="str">
        <f ca="1">IFERROR(VLOOKUP(P78,OFFSET(abbreviation[],0,ColumnLanguage),ColumnAbbreviation,FALSE),"")</f>
        <v/>
      </c>
      <c r="BQ78" s="21" t="str">
        <f ca="1">IFERROR(VLOOKUP(T78,OFFSET(abbreviation[],0,ColumnLanguage),ColumnAbbreviation,FALSE),"")</f>
        <v/>
      </c>
      <c r="BR78" s="21" t="str">
        <f ca="1">IFERROR(VLOOKUP(V78,OFFSET(abbreviation[],0,ColumnLanguage),ColumnAbbreviation,FALSE),"")</f>
        <v/>
      </c>
      <c r="BS78" s="21" t="str">
        <f ca="1">IFERROR(VLOOKUP(Z78,OFFSET(abbreviation[],0,ColumnLanguage),ColumnAbbreviation,FALSE),"")</f>
        <v/>
      </c>
      <c r="BT78" s="21" t="str">
        <f ca="1">IFERROR(VLOOKUP(AB78,OFFSET(abbreviation[],0,ColumnLanguage),ColumnAbbreviation,FALSE),"")</f>
        <v/>
      </c>
      <c r="BU78" s="21" t="str">
        <f t="shared" ca="1" si="8"/>
        <v>__</v>
      </c>
      <c r="BV78" s="21" t="str">
        <f ca="1">IFERROR(VLOOKUP(AF78,OFFSET(abbreviation[],0,ColumnLanguage),ColumnAbbreviation,FALSE),"")</f>
        <v/>
      </c>
      <c r="BW78" s="21" t="str">
        <f ca="1">IFERROR(VLOOKUP(AH78,OFFSET(abbreviation[],0,ColumnLanguage),ColumnAbbreviation,FALSE),"")</f>
        <v/>
      </c>
      <c r="BX78" s="21" t="str">
        <f ca="1">IFERROR(VLOOKUP(AJ78,OFFSET(abbreviation[],0,ColumnLanguage),ColumnAbbreviation,FALSE),"")</f>
        <v/>
      </c>
      <c r="BY78" s="21" t="str">
        <f ca="1">IFERROR(VLOOKUP(AL78,OFFSET(abbreviation[],0,ColumnLanguage),ColumnAbbreviation,FALSE),"")</f>
        <v/>
      </c>
      <c r="BZ78" s="21" t="str">
        <f t="shared" ca="1" si="9"/>
        <v>_</v>
      </c>
      <c r="CA78" s="21" t="str">
        <f ca="1">IFERROR(VLOOKUP(AP78,OFFSET(abbreviation[],0,ColumnLanguage),ColumnAbbreviation,FALSE),"")</f>
        <v/>
      </c>
      <c r="CB78" s="21" t="str">
        <f ca="1">IFERROR(VLOOKUP(AR78,OFFSET(abbreviation[],0,ColumnLanguage),ColumnAbbreviation,FALSE),"")</f>
        <v/>
      </c>
      <c r="CC78" s="21" t="str">
        <f ca="1">IFERROR(VLOOKUP(AT78,OFFSET(abbreviation[],0,ColumnLanguage),ColumnAbbreviation,FALSE),"")</f>
        <v/>
      </c>
      <c r="CD78" s="21" t="str">
        <f ca="1">IFERROR(VLOOKUP(AV78,OFFSET(abbreviation[],0,ColumnLanguage),ColumnAbbreviation,FALSE),"")</f>
        <v/>
      </c>
      <c r="CE78" s="21" t="str">
        <f t="shared" ca="1" si="10"/>
        <v>__</v>
      </c>
      <c r="CF78" s="21" t="str">
        <f ca="1">IFERROR(VLOOKUP(AX78,OFFSET(abbreviation[],0,ColumnLanguage),ColumnAbbreviation,FALSE),"")</f>
        <v/>
      </c>
      <c r="CG78" s="21" t="str">
        <f ca="1">IFERROR(VLOOKUP(AZ78,OFFSET(abbreviation[],0,ColumnLanguage),ColumnAbbreviation,FALSE),"")</f>
        <v/>
      </c>
      <c r="CH78" s="21" t="str">
        <f ca="1">IFERROR(VLOOKUP(BB78,OFFSET(abbreviation[],0,ColumnLanguage),ColumnAbbreviation,FALSE),"")</f>
        <v/>
      </c>
      <c r="CI78" s="21" t="str">
        <f ca="1">IFERROR(VLOOKUP(BD78,OFFSET(abbreviation[],0,ColumnLanguage),ColumnAbbreviation,FALSE),"")</f>
        <v/>
      </c>
      <c r="CJ78" s="21" t="str">
        <f ca="1">IFERROR(VLOOKUP(BF78,OFFSET(abbreviation[],0,ColumnLanguage),ColumnAbbreviation,FALSE),"")</f>
        <v/>
      </c>
      <c r="CK78" s="21" t="str">
        <f t="shared" ca="1" si="11"/>
        <v/>
      </c>
      <c r="CL78" s="21" t="str">
        <f t="shared" si="12"/>
        <v/>
      </c>
      <c r="CM78" s="52"/>
      <c r="CN78" s="57" t="str">
        <f t="shared" si="13"/>
        <v/>
      </c>
    </row>
    <row r="79" spans="16:92" x14ac:dyDescent="0.25">
      <c r="P79" s="60"/>
      <c r="Q79" s="13"/>
      <c r="V79" s="60"/>
      <c r="X79" s="61"/>
      <c r="AB79" s="60"/>
      <c r="AN79" s="54"/>
      <c r="AS79" s="15"/>
      <c r="BH79" s="52"/>
      <c r="BI79" s="21" t="str">
        <f ca="1">IFERROR(VLOOKUP(C79,OFFSET(abbreviation[],0,ColumnLanguage),ColumnAbbreviation,FALSE),"")</f>
        <v/>
      </c>
      <c r="BJ79" s="21" t="str">
        <f ca="1">IFERROR(VLOOKUP(E79,OFFSET(abbreviation[],0,ColumnLanguage),ColumnAbbreviation,FALSE),"")</f>
        <v/>
      </c>
      <c r="BK79" s="21" t="str">
        <f ca="1">IFERROR(VLOOKUP(G79,OFFSET(abbreviation[],0,ColumnLanguage),ColumnAbbreviation,FALSE),"")</f>
        <v/>
      </c>
      <c r="BL79" s="21" t="str">
        <f ca="1">IFERROR(VLOOKUP(I79,OFFSET(abbreviation[],0,ColumnLanguage),ColumnAbbreviation,FALSE),"")</f>
        <v/>
      </c>
      <c r="BM79" s="21" t="str">
        <f ca="1">IFERROR(VLOOKUP(K79,OFFSET(abbreviation[],0,ColumnLanguage),ColumnAbbreviation,FALSE),"")</f>
        <v/>
      </c>
      <c r="BN79" s="21" t="str">
        <f t="shared" ca="1" si="7"/>
        <v/>
      </c>
      <c r="BO79" s="21" t="str">
        <f ca="1">IFERROR(VLOOKUP(N79,OFFSET(abbreviation[],0,ColumnLanguage),ColumnAbbreviation,FALSE),"")</f>
        <v/>
      </c>
      <c r="BP79" s="21" t="str">
        <f ca="1">IFERROR(VLOOKUP(P79,OFFSET(abbreviation[],0,ColumnLanguage),ColumnAbbreviation,FALSE),"")</f>
        <v/>
      </c>
      <c r="BQ79" s="21" t="str">
        <f ca="1">IFERROR(VLOOKUP(T79,OFFSET(abbreviation[],0,ColumnLanguage),ColumnAbbreviation,FALSE),"")</f>
        <v/>
      </c>
      <c r="BR79" s="21" t="str">
        <f ca="1">IFERROR(VLOOKUP(V79,OFFSET(abbreviation[],0,ColumnLanguage),ColumnAbbreviation,FALSE),"")</f>
        <v/>
      </c>
      <c r="BS79" s="21" t="str">
        <f ca="1">IFERROR(VLOOKUP(Z79,OFFSET(abbreviation[],0,ColumnLanguage),ColumnAbbreviation,FALSE),"")</f>
        <v/>
      </c>
      <c r="BT79" s="21" t="str">
        <f ca="1">IFERROR(VLOOKUP(AB79,OFFSET(abbreviation[],0,ColumnLanguage),ColumnAbbreviation,FALSE),"")</f>
        <v/>
      </c>
      <c r="BU79" s="21" t="str">
        <f t="shared" ca="1" si="8"/>
        <v>__</v>
      </c>
      <c r="BV79" s="21" t="str">
        <f ca="1">IFERROR(VLOOKUP(AF79,OFFSET(abbreviation[],0,ColumnLanguage),ColumnAbbreviation,FALSE),"")</f>
        <v/>
      </c>
      <c r="BW79" s="21" t="str">
        <f ca="1">IFERROR(VLOOKUP(AH79,OFFSET(abbreviation[],0,ColumnLanguage),ColumnAbbreviation,FALSE),"")</f>
        <v/>
      </c>
      <c r="BX79" s="21" t="str">
        <f ca="1">IFERROR(VLOOKUP(AJ79,OFFSET(abbreviation[],0,ColumnLanguage),ColumnAbbreviation,FALSE),"")</f>
        <v/>
      </c>
      <c r="BY79" s="21" t="str">
        <f ca="1">IFERROR(VLOOKUP(AL79,OFFSET(abbreviation[],0,ColumnLanguage),ColumnAbbreviation,FALSE),"")</f>
        <v/>
      </c>
      <c r="BZ79" s="21" t="str">
        <f t="shared" ca="1" si="9"/>
        <v>_</v>
      </c>
      <c r="CA79" s="21" t="str">
        <f ca="1">IFERROR(VLOOKUP(AP79,OFFSET(abbreviation[],0,ColumnLanguage),ColumnAbbreviation,FALSE),"")</f>
        <v/>
      </c>
      <c r="CB79" s="21" t="str">
        <f ca="1">IFERROR(VLOOKUP(AR79,OFFSET(abbreviation[],0,ColumnLanguage),ColumnAbbreviation,FALSE),"")</f>
        <v/>
      </c>
      <c r="CC79" s="21" t="str">
        <f ca="1">IFERROR(VLOOKUP(AT79,OFFSET(abbreviation[],0,ColumnLanguage),ColumnAbbreviation,FALSE),"")</f>
        <v/>
      </c>
      <c r="CD79" s="21" t="str">
        <f ca="1">IFERROR(VLOOKUP(AV79,OFFSET(abbreviation[],0,ColumnLanguage),ColumnAbbreviation,FALSE),"")</f>
        <v/>
      </c>
      <c r="CE79" s="21" t="str">
        <f t="shared" ca="1" si="10"/>
        <v>__</v>
      </c>
      <c r="CF79" s="21" t="str">
        <f ca="1">IFERROR(VLOOKUP(AX79,OFFSET(abbreviation[],0,ColumnLanguage),ColumnAbbreviation,FALSE),"")</f>
        <v/>
      </c>
      <c r="CG79" s="21" t="str">
        <f ca="1">IFERROR(VLOOKUP(AZ79,OFFSET(abbreviation[],0,ColumnLanguage),ColumnAbbreviation,FALSE),"")</f>
        <v/>
      </c>
      <c r="CH79" s="21" t="str">
        <f ca="1">IFERROR(VLOOKUP(BB79,OFFSET(abbreviation[],0,ColumnLanguage),ColumnAbbreviation,FALSE),"")</f>
        <v/>
      </c>
      <c r="CI79" s="21" t="str">
        <f ca="1">IFERROR(VLOOKUP(BD79,OFFSET(abbreviation[],0,ColumnLanguage),ColumnAbbreviation,FALSE),"")</f>
        <v/>
      </c>
      <c r="CJ79" s="21" t="str">
        <f ca="1">IFERROR(VLOOKUP(BF79,OFFSET(abbreviation[],0,ColumnLanguage),ColumnAbbreviation,FALSE),"")</f>
        <v/>
      </c>
      <c r="CK79" s="21" t="str">
        <f t="shared" ca="1" si="11"/>
        <v/>
      </c>
      <c r="CL79" s="21" t="str">
        <f t="shared" si="12"/>
        <v/>
      </c>
      <c r="CM79" s="52"/>
      <c r="CN79" s="57" t="str">
        <f t="shared" si="13"/>
        <v/>
      </c>
    </row>
    <row r="80" spans="16:92" x14ac:dyDescent="0.25">
      <c r="P80" s="60"/>
      <c r="Q80" s="13"/>
      <c r="V80" s="60"/>
      <c r="X80" s="61"/>
      <c r="AB80" s="60"/>
      <c r="AN80" s="54"/>
      <c r="AS80" s="15"/>
      <c r="BH80" s="52"/>
      <c r="BI80" s="21" t="str">
        <f ca="1">IFERROR(VLOOKUP(C80,OFFSET(abbreviation[],0,ColumnLanguage),ColumnAbbreviation,FALSE),"")</f>
        <v/>
      </c>
      <c r="BJ80" s="21" t="str">
        <f ca="1">IFERROR(VLOOKUP(E80,OFFSET(abbreviation[],0,ColumnLanguage),ColumnAbbreviation,FALSE),"")</f>
        <v/>
      </c>
      <c r="BK80" s="21" t="str">
        <f ca="1">IFERROR(VLOOKUP(G80,OFFSET(abbreviation[],0,ColumnLanguage),ColumnAbbreviation,FALSE),"")</f>
        <v/>
      </c>
      <c r="BL80" s="21" t="str">
        <f ca="1">IFERROR(VLOOKUP(I80,OFFSET(abbreviation[],0,ColumnLanguage),ColumnAbbreviation,FALSE),"")</f>
        <v/>
      </c>
      <c r="BM80" s="21" t="str">
        <f ca="1">IFERROR(VLOOKUP(K80,OFFSET(abbreviation[],0,ColumnLanguage),ColumnAbbreviation,FALSE),"")</f>
        <v/>
      </c>
      <c r="BN80" s="21" t="str">
        <f t="shared" ca="1" si="7"/>
        <v/>
      </c>
      <c r="BO80" s="21" t="str">
        <f ca="1">IFERROR(VLOOKUP(N80,OFFSET(abbreviation[],0,ColumnLanguage),ColumnAbbreviation,FALSE),"")</f>
        <v/>
      </c>
      <c r="BP80" s="21" t="str">
        <f ca="1">IFERROR(VLOOKUP(P80,OFFSET(abbreviation[],0,ColumnLanguage),ColumnAbbreviation,FALSE),"")</f>
        <v/>
      </c>
      <c r="BQ80" s="21" t="str">
        <f ca="1">IFERROR(VLOOKUP(T80,OFFSET(abbreviation[],0,ColumnLanguage),ColumnAbbreviation,FALSE),"")</f>
        <v/>
      </c>
      <c r="BR80" s="21" t="str">
        <f ca="1">IFERROR(VLOOKUP(V80,OFFSET(abbreviation[],0,ColumnLanguage),ColumnAbbreviation,FALSE),"")</f>
        <v/>
      </c>
      <c r="BS80" s="21" t="str">
        <f ca="1">IFERROR(VLOOKUP(Z80,OFFSET(abbreviation[],0,ColumnLanguage),ColumnAbbreviation,FALSE),"")</f>
        <v/>
      </c>
      <c r="BT80" s="21" t="str">
        <f ca="1">IFERROR(VLOOKUP(AB80,OFFSET(abbreviation[],0,ColumnLanguage),ColumnAbbreviation,FALSE),"")</f>
        <v/>
      </c>
      <c r="BU80" s="21" t="str">
        <f t="shared" ca="1" si="8"/>
        <v>__</v>
      </c>
      <c r="BV80" s="21" t="str">
        <f ca="1">IFERROR(VLOOKUP(AF80,OFFSET(abbreviation[],0,ColumnLanguage),ColumnAbbreviation,FALSE),"")</f>
        <v/>
      </c>
      <c r="BW80" s="21" t="str">
        <f ca="1">IFERROR(VLOOKUP(AH80,OFFSET(abbreviation[],0,ColumnLanguage),ColumnAbbreviation,FALSE),"")</f>
        <v/>
      </c>
      <c r="BX80" s="21" t="str">
        <f ca="1">IFERROR(VLOOKUP(AJ80,OFFSET(abbreviation[],0,ColumnLanguage),ColumnAbbreviation,FALSE),"")</f>
        <v/>
      </c>
      <c r="BY80" s="21" t="str">
        <f ca="1">IFERROR(VLOOKUP(AL80,OFFSET(abbreviation[],0,ColumnLanguage),ColumnAbbreviation,FALSE),"")</f>
        <v/>
      </c>
      <c r="BZ80" s="21" t="str">
        <f t="shared" ca="1" si="9"/>
        <v>_</v>
      </c>
      <c r="CA80" s="21" t="str">
        <f ca="1">IFERROR(VLOOKUP(AP80,OFFSET(abbreviation[],0,ColumnLanguage),ColumnAbbreviation,FALSE),"")</f>
        <v/>
      </c>
      <c r="CB80" s="21" t="str">
        <f ca="1">IFERROR(VLOOKUP(AR80,OFFSET(abbreviation[],0,ColumnLanguage),ColumnAbbreviation,FALSE),"")</f>
        <v/>
      </c>
      <c r="CC80" s="21" t="str">
        <f ca="1">IFERROR(VLOOKUP(AT80,OFFSET(abbreviation[],0,ColumnLanguage),ColumnAbbreviation,FALSE),"")</f>
        <v/>
      </c>
      <c r="CD80" s="21" t="str">
        <f ca="1">IFERROR(VLOOKUP(AV80,OFFSET(abbreviation[],0,ColumnLanguage),ColumnAbbreviation,FALSE),"")</f>
        <v/>
      </c>
      <c r="CE80" s="21" t="str">
        <f t="shared" ca="1" si="10"/>
        <v>__</v>
      </c>
      <c r="CF80" s="21" t="str">
        <f ca="1">IFERROR(VLOOKUP(AX80,OFFSET(abbreviation[],0,ColumnLanguage),ColumnAbbreviation,FALSE),"")</f>
        <v/>
      </c>
      <c r="CG80" s="21" t="str">
        <f ca="1">IFERROR(VLOOKUP(AZ80,OFFSET(abbreviation[],0,ColumnLanguage),ColumnAbbreviation,FALSE),"")</f>
        <v/>
      </c>
      <c r="CH80" s="21" t="str">
        <f ca="1">IFERROR(VLOOKUP(BB80,OFFSET(abbreviation[],0,ColumnLanguage),ColumnAbbreviation,FALSE),"")</f>
        <v/>
      </c>
      <c r="CI80" s="21" t="str">
        <f ca="1">IFERROR(VLOOKUP(BD80,OFFSET(abbreviation[],0,ColumnLanguage),ColumnAbbreviation,FALSE),"")</f>
        <v/>
      </c>
      <c r="CJ80" s="21" t="str">
        <f ca="1">IFERROR(VLOOKUP(BF80,OFFSET(abbreviation[],0,ColumnLanguage),ColumnAbbreviation,FALSE),"")</f>
        <v/>
      </c>
      <c r="CK80" s="21" t="str">
        <f t="shared" ca="1" si="11"/>
        <v/>
      </c>
      <c r="CL80" s="21" t="str">
        <f t="shared" si="12"/>
        <v/>
      </c>
      <c r="CM80" s="52"/>
      <c r="CN80" s="57" t="str">
        <f t="shared" si="13"/>
        <v/>
      </c>
    </row>
    <row r="81" spans="16:92" x14ac:dyDescent="0.25">
      <c r="P81" s="60"/>
      <c r="Q81" s="13"/>
      <c r="V81" s="60"/>
      <c r="X81" s="61"/>
      <c r="AB81" s="60"/>
      <c r="AN81" s="54"/>
      <c r="AS81" s="15"/>
      <c r="BH81" s="52"/>
      <c r="BI81" s="21" t="str">
        <f ca="1">IFERROR(VLOOKUP(C81,OFFSET(abbreviation[],0,ColumnLanguage),ColumnAbbreviation,FALSE),"")</f>
        <v/>
      </c>
      <c r="BJ81" s="21" t="str">
        <f ca="1">IFERROR(VLOOKUP(E81,OFFSET(abbreviation[],0,ColumnLanguage),ColumnAbbreviation,FALSE),"")</f>
        <v/>
      </c>
      <c r="BK81" s="21" t="str">
        <f ca="1">IFERROR(VLOOKUP(G81,OFFSET(abbreviation[],0,ColumnLanguage),ColumnAbbreviation,FALSE),"")</f>
        <v/>
      </c>
      <c r="BL81" s="21" t="str">
        <f ca="1">IFERROR(VLOOKUP(I81,OFFSET(abbreviation[],0,ColumnLanguage),ColumnAbbreviation,FALSE),"")</f>
        <v/>
      </c>
      <c r="BM81" s="21" t="str">
        <f ca="1">IFERROR(VLOOKUP(K81,OFFSET(abbreviation[],0,ColumnLanguage),ColumnAbbreviation,FALSE),"")</f>
        <v/>
      </c>
      <c r="BN81" s="21" t="str">
        <f t="shared" ca="1" si="7"/>
        <v/>
      </c>
      <c r="BO81" s="21" t="str">
        <f ca="1">IFERROR(VLOOKUP(N81,OFFSET(abbreviation[],0,ColumnLanguage),ColumnAbbreviation,FALSE),"")</f>
        <v/>
      </c>
      <c r="BP81" s="21" t="str">
        <f ca="1">IFERROR(VLOOKUP(P81,OFFSET(abbreviation[],0,ColumnLanguage),ColumnAbbreviation,FALSE),"")</f>
        <v/>
      </c>
      <c r="BQ81" s="21" t="str">
        <f ca="1">IFERROR(VLOOKUP(T81,OFFSET(abbreviation[],0,ColumnLanguage),ColumnAbbreviation,FALSE),"")</f>
        <v/>
      </c>
      <c r="BR81" s="21" t="str">
        <f ca="1">IFERROR(VLOOKUP(V81,OFFSET(abbreviation[],0,ColumnLanguage),ColumnAbbreviation,FALSE),"")</f>
        <v/>
      </c>
      <c r="BS81" s="21" t="str">
        <f ca="1">IFERROR(VLOOKUP(Z81,OFFSET(abbreviation[],0,ColumnLanguage),ColumnAbbreviation,FALSE),"")</f>
        <v/>
      </c>
      <c r="BT81" s="21" t="str">
        <f ca="1">IFERROR(VLOOKUP(AB81,OFFSET(abbreviation[],0,ColumnLanguage),ColumnAbbreviation,FALSE),"")</f>
        <v/>
      </c>
      <c r="BU81" s="21" t="str">
        <f t="shared" ca="1" si="8"/>
        <v>__</v>
      </c>
      <c r="BV81" s="21" t="str">
        <f ca="1">IFERROR(VLOOKUP(AF81,OFFSET(abbreviation[],0,ColumnLanguage),ColumnAbbreviation,FALSE),"")</f>
        <v/>
      </c>
      <c r="BW81" s="21" t="str">
        <f ca="1">IFERROR(VLOOKUP(AH81,OFFSET(abbreviation[],0,ColumnLanguage),ColumnAbbreviation,FALSE),"")</f>
        <v/>
      </c>
      <c r="BX81" s="21" t="str">
        <f ca="1">IFERROR(VLOOKUP(AJ81,OFFSET(abbreviation[],0,ColumnLanguage),ColumnAbbreviation,FALSE),"")</f>
        <v/>
      </c>
      <c r="BY81" s="21" t="str">
        <f ca="1">IFERROR(VLOOKUP(AL81,OFFSET(abbreviation[],0,ColumnLanguage),ColumnAbbreviation,FALSE),"")</f>
        <v/>
      </c>
      <c r="BZ81" s="21" t="str">
        <f t="shared" ca="1" si="9"/>
        <v>_</v>
      </c>
      <c r="CA81" s="21" t="str">
        <f ca="1">IFERROR(VLOOKUP(AP81,OFFSET(abbreviation[],0,ColumnLanguage),ColumnAbbreviation,FALSE),"")</f>
        <v/>
      </c>
      <c r="CB81" s="21" t="str">
        <f ca="1">IFERROR(VLOOKUP(AR81,OFFSET(abbreviation[],0,ColumnLanguage),ColumnAbbreviation,FALSE),"")</f>
        <v/>
      </c>
      <c r="CC81" s="21" t="str">
        <f ca="1">IFERROR(VLOOKUP(AT81,OFFSET(abbreviation[],0,ColumnLanguage),ColumnAbbreviation,FALSE),"")</f>
        <v/>
      </c>
      <c r="CD81" s="21" t="str">
        <f ca="1">IFERROR(VLOOKUP(AV81,OFFSET(abbreviation[],0,ColumnLanguage),ColumnAbbreviation,FALSE),"")</f>
        <v/>
      </c>
      <c r="CE81" s="21" t="str">
        <f t="shared" ca="1" si="10"/>
        <v>__</v>
      </c>
      <c r="CF81" s="21" t="str">
        <f ca="1">IFERROR(VLOOKUP(AX81,OFFSET(abbreviation[],0,ColumnLanguage),ColumnAbbreviation,FALSE),"")</f>
        <v/>
      </c>
      <c r="CG81" s="21" t="str">
        <f ca="1">IFERROR(VLOOKUP(AZ81,OFFSET(abbreviation[],0,ColumnLanguage),ColumnAbbreviation,FALSE),"")</f>
        <v/>
      </c>
      <c r="CH81" s="21" t="str">
        <f ca="1">IFERROR(VLOOKUP(BB81,OFFSET(abbreviation[],0,ColumnLanguage),ColumnAbbreviation,FALSE),"")</f>
        <v/>
      </c>
      <c r="CI81" s="21" t="str">
        <f ca="1">IFERROR(VLOOKUP(BD81,OFFSET(abbreviation[],0,ColumnLanguage),ColumnAbbreviation,FALSE),"")</f>
        <v/>
      </c>
      <c r="CJ81" s="21" t="str">
        <f ca="1">IFERROR(VLOOKUP(BF81,OFFSET(abbreviation[],0,ColumnLanguage),ColumnAbbreviation,FALSE),"")</f>
        <v/>
      </c>
      <c r="CK81" s="21" t="str">
        <f t="shared" ca="1" si="11"/>
        <v/>
      </c>
      <c r="CL81" s="21" t="str">
        <f t="shared" si="12"/>
        <v/>
      </c>
      <c r="CM81" s="52"/>
      <c r="CN81" s="57" t="str">
        <f t="shared" si="13"/>
        <v/>
      </c>
    </row>
    <row r="82" spans="16:92" x14ac:dyDescent="0.25">
      <c r="P82" s="60"/>
      <c r="Q82" s="13"/>
      <c r="V82" s="60"/>
      <c r="X82" s="61"/>
      <c r="AB82" s="60"/>
      <c r="AN82" s="54"/>
      <c r="AS82" s="15"/>
      <c r="BH82" s="52"/>
      <c r="BI82" s="21" t="str">
        <f ca="1">IFERROR(VLOOKUP(C82,OFFSET(abbreviation[],0,ColumnLanguage),ColumnAbbreviation,FALSE),"")</f>
        <v/>
      </c>
      <c r="BJ82" s="21" t="str">
        <f ca="1">IFERROR(VLOOKUP(E82,OFFSET(abbreviation[],0,ColumnLanguage),ColumnAbbreviation,FALSE),"")</f>
        <v/>
      </c>
      <c r="BK82" s="21" t="str">
        <f ca="1">IFERROR(VLOOKUP(G82,OFFSET(abbreviation[],0,ColumnLanguage),ColumnAbbreviation,FALSE),"")</f>
        <v/>
      </c>
      <c r="BL82" s="21" t="str">
        <f ca="1">IFERROR(VLOOKUP(I82,OFFSET(abbreviation[],0,ColumnLanguage),ColumnAbbreviation,FALSE),"")</f>
        <v/>
      </c>
      <c r="BM82" s="21" t="str">
        <f ca="1">IFERROR(VLOOKUP(K82,OFFSET(abbreviation[],0,ColumnLanguage),ColumnAbbreviation,FALSE),"")</f>
        <v/>
      </c>
      <c r="BN82" s="21" t="str">
        <f t="shared" ca="1" si="7"/>
        <v/>
      </c>
      <c r="BO82" s="21" t="str">
        <f ca="1">IFERROR(VLOOKUP(N82,OFFSET(abbreviation[],0,ColumnLanguage),ColumnAbbreviation,FALSE),"")</f>
        <v/>
      </c>
      <c r="BP82" s="21" t="str">
        <f ca="1">IFERROR(VLOOKUP(P82,OFFSET(abbreviation[],0,ColumnLanguage),ColumnAbbreviation,FALSE),"")</f>
        <v/>
      </c>
      <c r="BQ82" s="21" t="str">
        <f ca="1">IFERROR(VLOOKUP(T82,OFFSET(abbreviation[],0,ColumnLanguage),ColumnAbbreviation,FALSE),"")</f>
        <v/>
      </c>
      <c r="BR82" s="21" t="str">
        <f ca="1">IFERROR(VLOOKUP(V82,OFFSET(abbreviation[],0,ColumnLanguage),ColumnAbbreviation,FALSE),"")</f>
        <v/>
      </c>
      <c r="BS82" s="21" t="str">
        <f ca="1">IFERROR(VLOOKUP(Z82,OFFSET(abbreviation[],0,ColumnLanguage),ColumnAbbreviation,FALSE),"")</f>
        <v/>
      </c>
      <c r="BT82" s="21" t="str">
        <f ca="1">IFERROR(VLOOKUP(AB82,OFFSET(abbreviation[],0,ColumnLanguage),ColumnAbbreviation,FALSE),"")</f>
        <v/>
      </c>
      <c r="BU82" s="21" t="str">
        <f t="shared" ca="1" si="8"/>
        <v>__</v>
      </c>
      <c r="BV82" s="21" t="str">
        <f ca="1">IFERROR(VLOOKUP(AF82,OFFSET(abbreviation[],0,ColumnLanguage),ColumnAbbreviation,FALSE),"")</f>
        <v/>
      </c>
      <c r="BW82" s="21" t="str">
        <f ca="1">IFERROR(VLOOKUP(AH82,OFFSET(abbreviation[],0,ColumnLanguage),ColumnAbbreviation,FALSE),"")</f>
        <v/>
      </c>
      <c r="BX82" s="21" t="str">
        <f ca="1">IFERROR(VLOOKUP(AJ82,OFFSET(abbreviation[],0,ColumnLanguage),ColumnAbbreviation,FALSE),"")</f>
        <v/>
      </c>
      <c r="BY82" s="21" t="str">
        <f ca="1">IFERROR(VLOOKUP(AL82,OFFSET(abbreviation[],0,ColumnLanguage),ColumnAbbreviation,FALSE),"")</f>
        <v/>
      </c>
      <c r="BZ82" s="21" t="str">
        <f t="shared" ca="1" si="9"/>
        <v>_</v>
      </c>
      <c r="CA82" s="21" t="str">
        <f ca="1">IFERROR(VLOOKUP(AP82,OFFSET(abbreviation[],0,ColumnLanguage),ColumnAbbreviation,FALSE),"")</f>
        <v/>
      </c>
      <c r="CB82" s="21" t="str">
        <f ca="1">IFERROR(VLOOKUP(AR82,OFFSET(abbreviation[],0,ColumnLanguage),ColumnAbbreviation,FALSE),"")</f>
        <v/>
      </c>
      <c r="CC82" s="21" t="str">
        <f ca="1">IFERROR(VLOOKUP(AT82,OFFSET(abbreviation[],0,ColumnLanguage),ColumnAbbreviation,FALSE),"")</f>
        <v/>
      </c>
      <c r="CD82" s="21" t="str">
        <f ca="1">IFERROR(VLOOKUP(AV82,OFFSET(abbreviation[],0,ColumnLanguage),ColumnAbbreviation,FALSE),"")</f>
        <v/>
      </c>
      <c r="CE82" s="21" t="str">
        <f t="shared" ca="1" si="10"/>
        <v>__</v>
      </c>
      <c r="CF82" s="21" t="str">
        <f ca="1">IFERROR(VLOOKUP(AX82,OFFSET(abbreviation[],0,ColumnLanguage),ColumnAbbreviation,FALSE),"")</f>
        <v/>
      </c>
      <c r="CG82" s="21" t="str">
        <f ca="1">IFERROR(VLOOKUP(AZ82,OFFSET(abbreviation[],0,ColumnLanguage),ColumnAbbreviation,FALSE),"")</f>
        <v/>
      </c>
      <c r="CH82" s="21" t="str">
        <f ca="1">IFERROR(VLOOKUP(BB82,OFFSET(abbreviation[],0,ColumnLanguage),ColumnAbbreviation,FALSE),"")</f>
        <v/>
      </c>
      <c r="CI82" s="21" t="str">
        <f ca="1">IFERROR(VLOOKUP(BD82,OFFSET(abbreviation[],0,ColumnLanguage),ColumnAbbreviation,FALSE),"")</f>
        <v/>
      </c>
      <c r="CJ82" s="21" t="str">
        <f ca="1">IFERROR(VLOOKUP(BF82,OFFSET(abbreviation[],0,ColumnLanguage),ColumnAbbreviation,FALSE),"")</f>
        <v/>
      </c>
      <c r="CK82" s="21" t="str">
        <f t="shared" ca="1" si="11"/>
        <v/>
      </c>
      <c r="CL82" s="21" t="str">
        <f t="shared" si="12"/>
        <v/>
      </c>
      <c r="CM82" s="52"/>
      <c r="CN82" s="57" t="str">
        <f t="shared" si="13"/>
        <v/>
      </c>
    </row>
    <row r="83" spans="16:92" x14ac:dyDescent="0.25">
      <c r="P83" s="60"/>
      <c r="Q83" s="13"/>
      <c r="V83" s="60"/>
      <c r="X83" s="61"/>
      <c r="AB83" s="60"/>
      <c r="AN83" s="54"/>
      <c r="AS83" s="15"/>
      <c r="BH83" s="52"/>
      <c r="BI83" s="21" t="str">
        <f ca="1">IFERROR(VLOOKUP(C83,OFFSET(abbreviation[],0,ColumnLanguage),ColumnAbbreviation,FALSE),"")</f>
        <v/>
      </c>
      <c r="BJ83" s="21" t="str">
        <f ca="1">IFERROR(VLOOKUP(E83,OFFSET(abbreviation[],0,ColumnLanguage),ColumnAbbreviation,FALSE),"")</f>
        <v/>
      </c>
      <c r="BK83" s="21" t="str">
        <f ca="1">IFERROR(VLOOKUP(G83,OFFSET(abbreviation[],0,ColumnLanguage),ColumnAbbreviation,FALSE),"")</f>
        <v/>
      </c>
      <c r="BL83" s="21" t="str">
        <f ca="1">IFERROR(VLOOKUP(I83,OFFSET(abbreviation[],0,ColumnLanguage),ColumnAbbreviation,FALSE),"")</f>
        <v/>
      </c>
      <c r="BM83" s="21" t="str">
        <f ca="1">IFERROR(VLOOKUP(K83,OFFSET(abbreviation[],0,ColumnLanguage),ColumnAbbreviation,FALSE),"")</f>
        <v/>
      </c>
      <c r="BN83" s="21" t="str">
        <f t="shared" ca="1" si="7"/>
        <v/>
      </c>
      <c r="BO83" s="21" t="str">
        <f ca="1">IFERROR(VLOOKUP(N83,OFFSET(abbreviation[],0,ColumnLanguage),ColumnAbbreviation,FALSE),"")</f>
        <v/>
      </c>
      <c r="BP83" s="21" t="str">
        <f ca="1">IFERROR(VLOOKUP(P83,OFFSET(abbreviation[],0,ColumnLanguage),ColumnAbbreviation,FALSE),"")</f>
        <v/>
      </c>
      <c r="BQ83" s="21" t="str">
        <f ca="1">IFERROR(VLOOKUP(T83,OFFSET(abbreviation[],0,ColumnLanguage),ColumnAbbreviation,FALSE),"")</f>
        <v/>
      </c>
      <c r="BR83" s="21" t="str">
        <f ca="1">IFERROR(VLOOKUP(V83,OFFSET(abbreviation[],0,ColumnLanguage),ColumnAbbreviation,FALSE),"")</f>
        <v/>
      </c>
      <c r="BS83" s="21" t="str">
        <f ca="1">IFERROR(VLOOKUP(Z83,OFFSET(abbreviation[],0,ColumnLanguage),ColumnAbbreviation,FALSE),"")</f>
        <v/>
      </c>
      <c r="BT83" s="21" t="str">
        <f ca="1">IFERROR(VLOOKUP(AB83,OFFSET(abbreviation[],0,ColumnLanguage),ColumnAbbreviation,FALSE),"")</f>
        <v/>
      </c>
      <c r="BU83" s="21" t="str">
        <f t="shared" ca="1" si="8"/>
        <v>__</v>
      </c>
      <c r="BV83" s="21" t="str">
        <f ca="1">IFERROR(VLOOKUP(AF83,OFFSET(abbreviation[],0,ColumnLanguage),ColumnAbbreviation,FALSE),"")</f>
        <v/>
      </c>
      <c r="BW83" s="21" t="str">
        <f ca="1">IFERROR(VLOOKUP(AH83,OFFSET(abbreviation[],0,ColumnLanguage),ColumnAbbreviation,FALSE),"")</f>
        <v/>
      </c>
      <c r="BX83" s="21" t="str">
        <f ca="1">IFERROR(VLOOKUP(AJ83,OFFSET(abbreviation[],0,ColumnLanguage),ColumnAbbreviation,FALSE),"")</f>
        <v/>
      </c>
      <c r="BY83" s="21" t="str">
        <f ca="1">IFERROR(VLOOKUP(AL83,OFFSET(abbreviation[],0,ColumnLanguage),ColumnAbbreviation,FALSE),"")</f>
        <v/>
      </c>
      <c r="BZ83" s="21" t="str">
        <f t="shared" ca="1" si="9"/>
        <v>_</v>
      </c>
      <c r="CA83" s="21" t="str">
        <f ca="1">IFERROR(VLOOKUP(AP83,OFFSET(abbreviation[],0,ColumnLanguage),ColumnAbbreviation,FALSE),"")</f>
        <v/>
      </c>
      <c r="CB83" s="21" t="str">
        <f ca="1">IFERROR(VLOOKUP(AR83,OFFSET(abbreviation[],0,ColumnLanguage),ColumnAbbreviation,FALSE),"")</f>
        <v/>
      </c>
      <c r="CC83" s="21" t="str">
        <f ca="1">IFERROR(VLOOKUP(AT83,OFFSET(abbreviation[],0,ColumnLanguage),ColumnAbbreviation,FALSE),"")</f>
        <v/>
      </c>
      <c r="CD83" s="21" t="str">
        <f ca="1">IFERROR(VLOOKUP(AV83,OFFSET(abbreviation[],0,ColumnLanguage),ColumnAbbreviation,FALSE),"")</f>
        <v/>
      </c>
      <c r="CE83" s="21" t="str">
        <f t="shared" ca="1" si="10"/>
        <v>__</v>
      </c>
      <c r="CF83" s="21" t="str">
        <f ca="1">IFERROR(VLOOKUP(AX83,OFFSET(abbreviation[],0,ColumnLanguage),ColumnAbbreviation,FALSE),"")</f>
        <v/>
      </c>
      <c r="CG83" s="21" t="str">
        <f ca="1">IFERROR(VLOOKUP(AZ83,OFFSET(abbreviation[],0,ColumnLanguage),ColumnAbbreviation,FALSE),"")</f>
        <v/>
      </c>
      <c r="CH83" s="21" t="str">
        <f ca="1">IFERROR(VLOOKUP(BB83,OFFSET(abbreviation[],0,ColumnLanguage),ColumnAbbreviation,FALSE),"")</f>
        <v/>
      </c>
      <c r="CI83" s="21" t="str">
        <f ca="1">IFERROR(VLOOKUP(BD83,OFFSET(abbreviation[],0,ColumnLanguage),ColumnAbbreviation,FALSE),"")</f>
        <v/>
      </c>
      <c r="CJ83" s="21" t="str">
        <f ca="1">IFERROR(VLOOKUP(BF83,OFFSET(abbreviation[],0,ColumnLanguage),ColumnAbbreviation,FALSE),"")</f>
        <v/>
      </c>
      <c r="CK83" s="21" t="str">
        <f t="shared" ca="1" si="11"/>
        <v/>
      </c>
      <c r="CL83" s="21" t="str">
        <f t="shared" si="12"/>
        <v/>
      </c>
      <c r="CM83" s="52"/>
      <c r="CN83" s="57" t="str">
        <f t="shared" si="13"/>
        <v/>
      </c>
    </row>
    <row r="84" spans="16:92" x14ac:dyDescent="0.25">
      <c r="P84" s="60"/>
      <c r="Q84" s="13"/>
      <c r="V84" s="60"/>
      <c r="X84" s="61"/>
      <c r="AB84" s="60"/>
      <c r="AN84" s="54"/>
      <c r="AS84" s="15"/>
      <c r="BH84" s="52"/>
      <c r="BI84" s="21" t="str">
        <f ca="1">IFERROR(VLOOKUP(C84,OFFSET(abbreviation[],0,ColumnLanguage),ColumnAbbreviation,FALSE),"")</f>
        <v/>
      </c>
      <c r="BJ84" s="21" t="str">
        <f ca="1">IFERROR(VLOOKUP(E84,OFFSET(abbreviation[],0,ColumnLanguage),ColumnAbbreviation,FALSE),"")</f>
        <v/>
      </c>
      <c r="BK84" s="21" t="str">
        <f ca="1">IFERROR(VLOOKUP(G84,OFFSET(abbreviation[],0,ColumnLanguage),ColumnAbbreviation,FALSE),"")</f>
        <v/>
      </c>
      <c r="BL84" s="21" t="str">
        <f ca="1">IFERROR(VLOOKUP(I84,OFFSET(abbreviation[],0,ColumnLanguage),ColumnAbbreviation,FALSE),"")</f>
        <v/>
      </c>
      <c r="BM84" s="21" t="str">
        <f ca="1">IFERROR(VLOOKUP(K84,OFFSET(abbreviation[],0,ColumnLanguage),ColumnAbbreviation,FALSE),"")</f>
        <v/>
      </c>
      <c r="BN84" s="21" t="str">
        <f t="shared" ca="1" si="7"/>
        <v/>
      </c>
      <c r="BO84" s="21" t="str">
        <f ca="1">IFERROR(VLOOKUP(N84,OFFSET(abbreviation[],0,ColumnLanguage),ColumnAbbreviation,FALSE),"")</f>
        <v/>
      </c>
      <c r="BP84" s="21" t="str">
        <f ca="1">IFERROR(VLOOKUP(P84,OFFSET(abbreviation[],0,ColumnLanguage),ColumnAbbreviation,FALSE),"")</f>
        <v/>
      </c>
      <c r="BQ84" s="21" t="str">
        <f ca="1">IFERROR(VLOOKUP(T84,OFFSET(abbreviation[],0,ColumnLanguage),ColumnAbbreviation,FALSE),"")</f>
        <v/>
      </c>
      <c r="BR84" s="21" t="str">
        <f ca="1">IFERROR(VLOOKUP(V84,OFFSET(abbreviation[],0,ColumnLanguage),ColumnAbbreviation,FALSE),"")</f>
        <v/>
      </c>
      <c r="BS84" s="21" t="str">
        <f ca="1">IFERROR(VLOOKUP(Z84,OFFSET(abbreviation[],0,ColumnLanguage),ColumnAbbreviation,FALSE),"")</f>
        <v/>
      </c>
      <c r="BT84" s="21" t="str">
        <f ca="1">IFERROR(VLOOKUP(AB84,OFFSET(abbreviation[],0,ColumnLanguage),ColumnAbbreviation,FALSE),"")</f>
        <v/>
      </c>
      <c r="BU84" s="21" t="str">
        <f t="shared" ca="1" si="8"/>
        <v>__</v>
      </c>
      <c r="BV84" s="21" t="str">
        <f ca="1">IFERROR(VLOOKUP(AF84,OFFSET(abbreviation[],0,ColumnLanguage),ColumnAbbreviation,FALSE),"")</f>
        <v/>
      </c>
      <c r="BW84" s="21" t="str">
        <f ca="1">IFERROR(VLOOKUP(AH84,OFFSET(abbreviation[],0,ColumnLanguage),ColumnAbbreviation,FALSE),"")</f>
        <v/>
      </c>
      <c r="BX84" s="21" t="str">
        <f ca="1">IFERROR(VLOOKUP(AJ84,OFFSET(abbreviation[],0,ColumnLanguage),ColumnAbbreviation,FALSE),"")</f>
        <v/>
      </c>
      <c r="BY84" s="21" t="str">
        <f ca="1">IFERROR(VLOOKUP(AL84,OFFSET(abbreviation[],0,ColumnLanguage),ColumnAbbreviation,FALSE),"")</f>
        <v/>
      </c>
      <c r="BZ84" s="21" t="str">
        <f t="shared" ca="1" si="9"/>
        <v>_</v>
      </c>
      <c r="CA84" s="21" t="str">
        <f ca="1">IFERROR(VLOOKUP(AP84,OFFSET(abbreviation[],0,ColumnLanguage),ColumnAbbreviation,FALSE),"")</f>
        <v/>
      </c>
      <c r="CB84" s="21" t="str">
        <f ca="1">IFERROR(VLOOKUP(AR84,OFFSET(abbreviation[],0,ColumnLanguage),ColumnAbbreviation,FALSE),"")</f>
        <v/>
      </c>
      <c r="CC84" s="21" t="str">
        <f ca="1">IFERROR(VLOOKUP(AT84,OFFSET(abbreviation[],0,ColumnLanguage),ColumnAbbreviation,FALSE),"")</f>
        <v/>
      </c>
      <c r="CD84" s="21" t="str">
        <f ca="1">IFERROR(VLOOKUP(AV84,OFFSET(abbreviation[],0,ColumnLanguage),ColumnAbbreviation,FALSE),"")</f>
        <v/>
      </c>
      <c r="CE84" s="21" t="str">
        <f t="shared" ca="1" si="10"/>
        <v>__</v>
      </c>
      <c r="CF84" s="21" t="str">
        <f ca="1">IFERROR(VLOOKUP(AX84,OFFSET(abbreviation[],0,ColumnLanguage),ColumnAbbreviation,FALSE),"")</f>
        <v/>
      </c>
      <c r="CG84" s="21" t="str">
        <f ca="1">IFERROR(VLOOKUP(AZ84,OFFSET(abbreviation[],0,ColumnLanguage),ColumnAbbreviation,FALSE),"")</f>
        <v/>
      </c>
      <c r="CH84" s="21" t="str">
        <f ca="1">IFERROR(VLOOKUP(BB84,OFFSET(abbreviation[],0,ColumnLanguage),ColumnAbbreviation,FALSE),"")</f>
        <v/>
      </c>
      <c r="CI84" s="21" t="str">
        <f ca="1">IFERROR(VLOOKUP(BD84,OFFSET(abbreviation[],0,ColumnLanguage),ColumnAbbreviation,FALSE),"")</f>
        <v/>
      </c>
      <c r="CJ84" s="21" t="str">
        <f ca="1">IFERROR(VLOOKUP(BF84,OFFSET(abbreviation[],0,ColumnLanguage),ColumnAbbreviation,FALSE),"")</f>
        <v/>
      </c>
      <c r="CK84" s="21" t="str">
        <f t="shared" ca="1" si="11"/>
        <v/>
      </c>
      <c r="CL84" s="21" t="str">
        <f t="shared" si="12"/>
        <v/>
      </c>
      <c r="CM84" s="52"/>
      <c r="CN84" s="57" t="str">
        <f t="shared" si="13"/>
        <v/>
      </c>
    </row>
    <row r="85" spans="16:92" x14ac:dyDescent="0.25">
      <c r="P85" s="60"/>
      <c r="Q85" s="13"/>
      <c r="V85" s="60"/>
      <c r="X85" s="61"/>
      <c r="AB85" s="60"/>
      <c r="AN85" s="54"/>
      <c r="AS85" s="15"/>
      <c r="BH85" s="52"/>
      <c r="BI85" s="21" t="str">
        <f ca="1">IFERROR(VLOOKUP(C85,OFFSET(abbreviation[],0,ColumnLanguage),ColumnAbbreviation,FALSE),"")</f>
        <v/>
      </c>
      <c r="BJ85" s="21" t="str">
        <f ca="1">IFERROR(VLOOKUP(E85,OFFSET(abbreviation[],0,ColumnLanguage),ColumnAbbreviation,FALSE),"")</f>
        <v/>
      </c>
      <c r="BK85" s="21" t="str">
        <f ca="1">IFERROR(VLOOKUP(G85,OFFSET(abbreviation[],0,ColumnLanguage),ColumnAbbreviation,FALSE),"")</f>
        <v/>
      </c>
      <c r="BL85" s="21" t="str">
        <f ca="1">IFERROR(VLOOKUP(I85,OFFSET(abbreviation[],0,ColumnLanguage),ColumnAbbreviation,FALSE),"")</f>
        <v/>
      </c>
      <c r="BM85" s="21" t="str">
        <f ca="1">IFERROR(VLOOKUP(K85,OFFSET(abbreviation[],0,ColumnLanguage),ColumnAbbreviation,FALSE),"")</f>
        <v/>
      </c>
      <c r="BN85" s="21" t="str">
        <f t="shared" ca="1" si="7"/>
        <v/>
      </c>
      <c r="BO85" s="21" t="str">
        <f ca="1">IFERROR(VLOOKUP(N85,OFFSET(abbreviation[],0,ColumnLanguage),ColumnAbbreviation,FALSE),"")</f>
        <v/>
      </c>
      <c r="BP85" s="21" t="str">
        <f ca="1">IFERROR(VLOOKUP(P85,OFFSET(abbreviation[],0,ColumnLanguage),ColumnAbbreviation,FALSE),"")</f>
        <v/>
      </c>
      <c r="BQ85" s="21" t="str">
        <f ca="1">IFERROR(VLOOKUP(T85,OFFSET(abbreviation[],0,ColumnLanguage),ColumnAbbreviation,FALSE),"")</f>
        <v/>
      </c>
      <c r="BR85" s="21" t="str">
        <f ca="1">IFERROR(VLOOKUP(V85,OFFSET(abbreviation[],0,ColumnLanguage),ColumnAbbreviation,FALSE),"")</f>
        <v/>
      </c>
      <c r="BS85" s="21" t="str">
        <f ca="1">IFERROR(VLOOKUP(Z85,OFFSET(abbreviation[],0,ColumnLanguage),ColumnAbbreviation,FALSE),"")</f>
        <v/>
      </c>
      <c r="BT85" s="21" t="str">
        <f ca="1">IFERROR(VLOOKUP(AB85,OFFSET(abbreviation[],0,ColumnLanguage),ColumnAbbreviation,FALSE),"")</f>
        <v/>
      </c>
      <c r="BU85" s="21" t="str">
        <f t="shared" ca="1" si="8"/>
        <v>__</v>
      </c>
      <c r="BV85" s="21" t="str">
        <f ca="1">IFERROR(VLOOKUP(AF85,OFFSET(abbreviation[],0,ColumnLanguage),ColumnAbbreviation,FALSE),"")</f>
        <v/>
      </c>
      <c r="BW85" s="21" t="str">
        <f ca="1">IFERROR(VLOOKUP(AH85,OFFSET(abbreviation[],0,ColumnLanguage),ColumnAbbreviation,FALSE),"")</f>
        <v/>
      </c>
      <c r="BX85" s="21" t="str">
        <f ca="1">IFERROR(VLOOKUP(AJ85,OFFSET(abbreviation[],0,ColumnLanguage),ColumnAbbreviation,FALSE),"")</f>
        <v/>
      </c>
      <c r="BY85" s="21" t="str">
        <f ca="1">IFERROR(VLOOKUP(AL85,OFFSET(abbreviation[],0,ColumnLanguage),ColumnAbbreviation,FALSE),"")</f>
        <v/>
      </c>
      <c r="BZ85" s="21" t="str">
        <f t="shared" ca="1" si="9"/>
        <v>_</v>
      </c>
      <c r="CA85" s="21" t="str">
        <f ca="1">IFERROR(VLOOKUP(AP85,OFFSET(abbreviation[],0,ColumnLanguage),ColumnAbbreviation,FALSE),"")</f>
        <v/>
      </c>
      <c r="CB85" s="21" t="str">
        <f ca="1">IFERROR(VLOOKUP(AR85,OFFSET(abbreviation[],0,ColumnLanguage),ColumnAbbreviation,FALSE),"")</f>
        <v/>
      </c>
      <c r="CC85" s="21" t="str">
        <f ca="1">IFERROR(VLOOKUP(AT85,OFFSET(abbreviation[],0,ColumnLanguage),ColumnAbbreviation,FALSE),"")</f>
        <v/>
      </c>
      <c r="CD85" s="21" t="str">
        <f ca="1">IFERROR(VLOOKUP(AV85,OFFSET(abbreviation[],0,ColumnLanguage),ColumnAbbreviation,FALSE),"")</f>
        <v/>
      </c>
      <c r="CE85" s="21" t="str">
        <f t="shared" ca="1" si="10"/>
        <v>__</v>
      </c>
      <c r="CF85" s="21" t="str">
        <f ca="1">IFERROR(VLOOKUP(AX85,OFFSET(abbreviation[],0,ColumnLanguage),ColumnAbbreviation,FALSE),"")</f>
        <v/>
      </c>
      <c r="CG85" s="21" t="str">
        <f ca="1">IFERROR(VLOOKUP(AZ85,OFFSET(abbreviation[],0,ColumnLanguage),ColumnAbbreviation,FALSE),"")</f>
        <v/>
      </c>
      <c r="CH85" s="21" t="str">
        <f ca="1">IFERROR(VLOOKUP(BB85,OFFSET(abbreviation[],0,ColumnLanguage),ColumnAbbreviation,FALSE),"")</f>
        <v/>
      </c>
      <c r="CI85" s="21" t="str">
        <f ca="1">IFERROR(VLOOKUP(BD85,OFFSET(abbreviation[],0,ColumnLanguage),ColumnAbbreviation,FALSE),"")</f>
        <v/>
      </c>
      <c r="CJ85" s="21" t="str">
        <f ca="1">IFERROR(VLOOKUP(BF85,OFFSET(abbreviation[],0,ColumnLanguage),ColumnAbbreviation,FALSE),"")</f>
        <v/>
      </c>
      <c r="CK85" s="21" t="str">
        <f t="shared" ca="1" si="11"/>
        <v/>
      </c>
      <c r="CL85" s="21" t="str">
        <f t="shared" si="12"/>
        <v/>
      </c>
      <c r="CM85" s="52"/>
      <c r="CN85" s="57" t="str">
        <f t="shared" si="13"/>
        <v/>
      </c>
    </row>
    <row r="86" spans="16:92" x14ac:dyDescent="0.25">
      <c r="P86" s="60"/>
      <c r="Q86" s="13"/>
      <c r="V86" s="60"/>
      <c r="X86" s="61"/>
      <c r="AB86" s="60"/>
      <c r="AN86" s="54"/>
      <c r="AS86" s="15"/>
      <c r="BH86" s="52"/>
      <c r="BI86" s="21" t="str">
        <f ca="1">IFERROR(VLOOKUP(C86,OFFSET(abbreviation[],0,ColumnLanguage),ColumnAbbreviation,FALSE),"")</f>
        <v/>
      </c>
      <c r="BJ86" s="21" t="str">
        <f ca="1">IFERROR(VLOOKUP(E86,OFFSET(abbreviation[],0,ColumnLanguage),ColumnAbbreviation,FALSE),"")</f>
        <v/>
      </c>
      <c r="BK86" s="21" t="str">
        <f ca="1">IFERROR(VLOOKUP(G86,OFFSET(abbreviation[],0,ColumnLanguage),ColumnAbbreviation,FALSE),"")</f>
        <v/>
      </c>
      <c r="BL86" s="21" t="str">
        <f ca="1">IFERROR(VLOOKUP(I86,OFFSET(abbreviation[],0,ColumnLanguage),ColumnAbbreviation,FALSE),"")</f>
        <v/>
      </c>
      <c r="BM86" s="21" t="str">
        <f ca="1">IFERROR(VLOOKUP(K86,OFFSET(abbreviation[],0,ColumnLanguage),ColumnAbbreviation,FALSE),"")</f>
        <v/>
      </c>
      <c r="BN86" s="21" t="str">
        <f t="shared" ca="1" si="7"/>
        <v/>
      </c>
      <c r="BO86" s="21" t="str">
        <f ca="1">IFERROR(VLOOKUP(N86,OFFSET(abbreviation[],0,ColumnLanguage),ColumnAbbreviation,FALSE),"")</f>
        <v/>
      </c>
      <c r="BP86" s="21" t="str">
        <f ca="1">IFERROR(VLOOKUP(P86,OFFSET(abbreviation[],0,ColumnLanguage),ColumnAbbreviation,FALSE),"")</f>
        <v/>
      </c>
      <c r="BQ86" s="21" t="str">
        <f ca="1">IFERROR(VLOOKUP(T86,OFFSET(abbreviation[],0,ColumnLanguage),ColumnAbbreviation,FALSE),"")</f>
        <v/>
      </c>
      <c r="BR86" s="21" t="str">
        <f ca="1">IFERROR(VLOOKUP(V86,OFFSET(abbreviation[],0,ColumnLanguage),ColumnAbbreviation,FALSE),"")</f>
        <v/>
      </c>
      <c r="BS86" s="21" t="str">
        <f ca="1">IFERROR(VLOOKUP(Z86,OFFSET(abbreviation[],0,ColumnLanguage),ColumnAbbreviation,FALSE),"")</f>
        <v/>
      </c>
      <c r="BT86" s="21" t="str">
        <f ca="1">IFERROR(VLOOKUP(AB86,OFFSET(abbreviation[],0,ColumnLanguage),ColumnAbbreviation,FALSE),"")</f>
        <v/>
      </c>
      <c r="BU86" s="21" t="str">
        <f t="shared" ca="1" si="8"/>
        <v>__</v>
      </c>
      <c r="BV86" s="21" t="str">
        <f ca="1">IFERROR(VLOOKUP(AF86,OFFSET(abbreviation[],0,ColumnLanguage),ColumnAbbreviation,FALSE),"")</f>
        <v/>
      </c>
      <c r="BW86" s="21" t="str">
        <f ca="1">IFERROR(VLOOKUP(AH86,OFFSET(abbreviation[],0,ColumnLanguage),ColumnAbbreviation,FALSE),"")</f>
        <v/>
      </c>
      <c r="BX86" s="21" t="str">
        <f ca="1">IFERROR(VLOOKUP(AJ86,OFFSET(abbreviation[],0,ColumnLanguage),ColumnAbbreviation,FALSE),"")</f>
        <v/>
      </c>
      <c r="BY86" s="21" t="str">
        <f ca="1">IFERROR(VLOOKUP(AL86,OFFSET(abbreviation[],0,ColumnLanguage),ColumnAbbreviation,FALSE),"")</f>
        <v/>
      </c>
      <c r="BZ86" s="21" t="str">
        <f t="shared" ca="1" si="9"/>
        <v>_</v>
      </c>
      <c r="CA86" s="21" t="str">
        <f ca="1">IFERROR(VLOOKUP(AP86,OFFSET(abbreviation[],0,ColumnLanguage),ColumnAbbreviation,FALSE),"")</f>
        <v/>
      </c>
      <c r="CB86" s="21" t="str">
        <f ca="1">IFERROR(VLOOKUP(AR86,OFFSET(abbreviation[],0,ColumnLanguage),ColumnAbbreviation,FALSE),"")</f>
        <v/>
      </c>
      <c r="CC86" s="21" t="str">
        <f ca="1">IFERROR(VLOOKUP(AT86,OFFSET(abbreviation[],0,ColumnLanguage),ColumnAbbreviation,FALSE),"")</f>
        <v/>
      </c>
      <c r="CD86" s="21" t="str">
        <f ca="1">IFERROR(VLOOKUP(AV86,OFFSET(abbreviation[],0,ColumnLanguage),ColumnAbbreviation,FALSE),"")</f>
        <v/>
      </c>
      <c r="CE86" s="21" t="str">
        <f t="shared" ca="1" si="10"/>
        <v>__</v>
      </c>
      <c r="CF86" s="21" t="str">
        <f ca="1">IFERROR(VLOOKUP(AX86,OFFSET(abbreviation[],0,ColumnLanguage),ColumnAbbreviation,FALSE),"")</f>
        <v/>
      </c>
      <c r="CG86" s="21" t="str">
        <f ca="1">IFERROR(VLOOKUP(AZ86,OFFSET(abbreviation[],0,ColumnLanguage),ColumnAbbreviation,FALSE),"")</f>
        <v/>
      </c>
      <c r="CH86" s="21" t="str">
        <f ca="1">IFERROR(VLOOKUP(BB86,OFFSET(abbreviation[],0,ColumnLanguage),ColumnAbbreviation,FALSE),"")</f>
        <v/>
      </c>
      <c r="CI86" s="21" t="str">
        <f ca="1">IFERROR(VLOOKUP(BD86,OFFSET(abbreviation[],0,ColumnLanguage),ColumnAbbreviation,FALSE),"")</f>
        <v/>
      </c>
      <c r="CJ86" s="21" t="str">
        <f ca="1">IFERROR(VLOOKUP(BF86,OFFSET(abbreviation[],0,ColumnLanguage),ColumnAbbreviation,FALSE),"")</f>
        <v/>
      </c>
      <c r="CK86" s="21" t="str">
        <f t="shared" ca="1" si="11"/>
        <v/>
      </c>
      <c r="CL86" s="21" t="str">
        <f t="shared" si="12"/>
        <v/>
      </c>
      <c r="CM86" s="52"/>
      <c r="CN86" s="57" t="str">
        <f t="shared" si="13"/>
        <v/>
      </c>
    </row>
    <row r="87" spans="16:92" x14ac:dyDescent="0.25">
      <c r="P87" s="60"/>
      <c r="Q87" s="13"/>
      <c r="V87" s="60"/>
      <c r="X87" s="61"/>
      <c r="AB87" s="60"/>
      <c r="AN87" s="54"/>
      <c r="AS87" s="15"/>
      <c r="BH87" s="52"/>
      <c r="BI87" s="21" t="str">
        <f ca="1">IFERROR(VLOOKUP(C87,OFFSET(abbreviation[],0,ColumnLanguage),ColumnAbbreviation,FALSE),"")</f>
        <v/>
      </c>
      <c r="BJ87" s="21" t="str">
        <f ca="1">IFERROR(VLOOKUP(E87,OFFSET(abbreviation[],0,ColumnLanguage),ColumnAbbreviation,FALSE),"")</f>
        <v/>
      </c>
      <c r="BK87" s="21" t="str">
        <f ca="1">IFERROR(VLOOKUP(G87,OFFSET(abbreviation[],0,ColumnLanguage),ColumnAbbreviation,FALSE),"")</f>
        <v/>
      </c>
      <c r="BL87" s="21" t="str">
        <f ca="1">IFERROR(VLOOKUP(I87,OFFSET(abbreviation[],0,ColumnLanguage),ColumnAbbreviation,FALSE),"")</f>
        <v/>
      </c>
      <c r="BM87" s="21" t="str">
        <f ca="1">IFERROR(VLOOKUP(K87,OFFSET(abbreviation[],0,ColumnLanguage),ColumnAbbreviation,FALSE),"")</f>
        <v/>
      </c>
      <c r="BN87" s="21" t="str">
        <f t="shared" ca="1" si="7"/>
        <v/>
      </c>
      <c r="BO87" s="21" t="str">
        <f ca="1">IFERROR(VLOOKUP(N87,OFFSET(abbreviation[],0,ColumnLanguage),ColumnAbbreviation,FALSE),"")</f>
        <v/>
      </c>
      <c r="BP87" s="21" t="str">
        <f ca="1">IFERROR(VLOOKUP(P87,OFFSET(abbreviation[],0,ColumnLanguage),ColumnAbbreviation,FALSE),"")</f>
        <v/>
      </c>
      <c r="BQ87" s="21" t="str">
        <f ca="1">IFERROR(VLOOKUP(T87,OFFSET(abbreviation[],0,ColumnLanguage),ColumnAbbreviation,FALSE),"")</f>
        <v/>
      </c>
      <c r="BR87" s="21" t="str">
        <f ca="1">IFERROR(VLOOKUP(V87,OFFSET(abbreviation[],0,ColumnLanguage),ColumnAbbreviation,FALSE),"")</f>
        <v/>
      </c>
      <c r="BS87" s="21" t="str">
        <f ca="1">IFERROR(VLOOKUP(Z87,OFFSET(abbreviation[],0,ColumnLanguage),ColumnAbbreviation,FALSE),"")</f>
        <v/>
      </c>
      <c r="BT87" s="21" t="str">
        <f ca="1">IFERROR(VLOOKUP(AB87,OFFSET(abbreviation[],0,ColumnLanguage),ColumnAbbreviation,FALSE),"")</f>
        <v/>
      </c>
      <c r="BU87" s="21" t="str">
        <f t="shared" ca="1" si="8"/>
        <v>__</v>
      </c>
      <c r="BV87" s="21" t="str">
        <f ca="1">IFERROR(VLOOKUP(AF87,OFFSET(abbreviation[],0,ColumnLanguage),ColumnAbbreviation,FALSE),"")</f>
        <v/>
      </c>
      <c r="BW87" s="21" t="str">
        <f ca="1">IFERROR(VLOOKUP(AH87,OFFSET(abbreviation[],0,ColumnLanguage),ColumnAbbreviation,FALSE),"")</f>
        <v/>
      </c>
      <c r="BX87" s="21" t="str">
        <f ca="1">IFERROR(VLOOKUP(AJ87,OFFSET(abbreviation[],0,ColumnLanguage),ColumnAbbreviation,FALSE),"")</f>
        <v/>
      </c>
      <c r="BY87" s="21" t="str">
        <f ca="1">IFERROR(VLOOKUP(AL87,OFFSET(abbreviation[],0,ColumnLanguage),ColumnAbbreviation,FALSE),"")</f>
        <v/>
      </c>
      <c r="BZ87" s="21" t="str">
        <f t="shared" ca="1" si="9"/>
        <v>_</v>
      </c>
      <c r="CA87" s="21" t="str">
        <f ca="1">IFERROR(VLOOKUP(AP87,OFFSET(abbreviation[],0,ColumnLanguage),ColumnAbbreviation,FALSE),"")</f>
        <v/>
      </c>
      <c r="CB87" s="21" t="str">
        <f ca="1">IFERROR(VLOOKUP(AR87,OFFSET(abbreviation[],0,ColumnLanguage),ColumnAbbreviation,FALSE),"")</f>
        <v/>
      </c>
      <c r="CC87" s="21" t="str">
        <f ca="1">IFERROR(VLOOKUP(AT87,OFFSET(abbreviation[],0,ColumnLanguage),ColumnAbbreviation,FALSE),"")</f>
        <v/>
      </c>
      <c r="CD87" s="21" t="str">
        <f ca="1">IFERROR(VLOOKUP(AV87,OFFSET(abbreviation[],0,ColumnLanguage),ColumnAbbreviation,FALSE),"")</f>
        <v/>
      </c>
      <c r="CE87" s="21" t="str">
        <f t="shared" ca="1" si="10"/>
        <v>__</v>
      </c>
      <c r="CF87" s="21" t="str">
        <f ca="1">IFERROR(VLOOKUP(AX87,OFFSET(abbreviation[],0,ColumnLanguage),ColumnAbbreviation,FALSE),"")</f>
        <v/>
      </c>
      <c r="CG87" s="21" t="str">
        <f ca="1">IFERROR(VLOOKUP(AZ87,OFFSET(abbreviation[],0,ColumnLanguage),ColumnAbbreviation,FALSE),"")</f>
        <v/>
      </c>
      <c r="CH87" s="21" t="str">
        <f ca="1">IFERROR(VLOOKUP(BB87,OFFSET(abbreviation[],0,ColumnLanguage),ColumnAbbreviation,FALSE),"")</f>
        <v/>
      </c>
      <c r="CI87" s="21" t="str">
        <f ca="1">IFERROR(VLOOKUP(BD87,OFFSET(abbreviation[],0,ColumnLanguage),ColumnAbbreviation,FALSE),"")</f>
        <v/>
      </c>
      <c r="CJ87" s="21" t="str">
        <f ca="1">IFERROR(VLOOKUP(BF87,OFFSET(abbreviation[],0,ColumnLanguage),ColumnAbbreviation,FALSE),"")</f>
        <v/>
      </c>
      <c r="CK87" s="21" t="str">
        <f t="shared" ca="1" si="11"/>
        <v/>
      </c>
      <c r="CL87" s="21" t="str">
        <f t="shared" si="12"/>
        <v/>
      </c>
      <c r="CM87" s="52"/>
      <c r="CN87" s="57" t="str">
        <f t="shared" si="13"/>
        <v/>
      </c>
    </row>
    <row r="88" spans="16:92" x14ac:dyDescent="0.25">
      <c r="P88" s="60"/>
      <c r="Q88" s="13"/>
      <c r="V88" s="60"/>
      <c r="X88" s="61"/>
      <c r="AB88" s="60"/>
      <c r="AN88" s="54"/>
      <c r="AS88" s="15"/>
      <c r="BH88" s="52"/>
      <c r="BI88" s="21" t="str">
        <f ca="1">IFERROR(VLOOKUP(C88,OFFSET(abbreviation[],0,ColumnLanguage),ColumnAbbreviation,FALSE),"")</f>
        <v/>
      </c>
      <c r="BJ88" s="21" t="str">
        <f ca="1">IFERROR(VLOOKUP(E88,OFFSET(abbreviation[],0,ColumnLanguage),ColumnAbbreviation,FALSE),"")</f>
        <v/>
      </c>
      <c r="BK88" s="21" t="str">
        <f ca="1">IFERROR(VLOOKUP(G88,OFFSET(abbreviation[],0,ColumnLanguage),ColumnAbbreviation,FALSE),"")</f>
        <v/>
      </c>
      <c r="BL88" s="21" t="str">
        <f ca="1">IFERROR(VLOOKUP(I88,OFFSET(abbreviation[],0,ColumnLanguage),ColumnAbbreviation,FALSE),"")</f>
        <v/>
      </c>
      <c r="BM88" s="21" t="str">
        <f ca="1">IFERROR(VLOOKUP(K88,OFFSET(abbreviation[],0,ColumnLanguage),ColumnAbbreviation,FALSE),"")</f>
        <v/>
      </c>
      <c r="BN88" s="21" t="str">
        <f t="shared" ca="1" si="7"/>
        <v/>
      </c>
      <c r="BO88" s="21" t="str">
        <f ca="1">IFERROR(VLOOKUP(N88,OFFSET(abbreviation[],0,ColumnLanguage),ColumnAbbreviation,FALSE),"")</f>
        <v/>
      </c>
      <c r="BP88" s="21" t="str">
        <f ca="1">IFERROR(VLOOKUP(P88,OFFSET(abbreviation[],0,ColumnLanguage),ColumnAbbreviation,FALSE),"")</f>
        <v/>
      </c>
      <c r="BQ88" s="21" t="str">
        <f ca="1">IFERROR(VLOOKUP(T88,OFFSET(abbreviation[],0,ColumnLanguage),ColumnAbbreviation,FALSE),"")</f>
        <v/>
      </c>
      <c r="BR88" s="21" t="str">
        <f ca="1">IFERROR(VLOOKUP(V88,OFFSET(abbreviation[],0,ColumnLanguage),ColumnAbbreviation,FALSE),"")</f>
        <v/>
      </c>
      <c r="BS88" s="21" t="str">
        <f ca="1">IFERROR(VLOOKUP(Z88,OFFSET(abbreviation[],0,ColumnLanguage),ColumnAbbreviation,FALSE),"")</f>
        <v/>
      </c>
      <c r="BT88" s="21" t="str">
        <f ca="1">IFERROR(VLOOKUP(AB88,OFFSET(abbreviation[],0,ColumnLanguage),ColumnAbbreviation,FALSE),"")</f>
        <v/>
      </c>
      <c r="BU88" s="21" t="str">
        <f t="shared" ca="1" si="8"/>
        <v>__</v>
      </c>
      <c r="BV88" s="21" t="str">
        <f ca="1">IFERROR(VLOOKUP(AF88,OFFSET(abbreviation[],0,ColumnLanguage),ColumnAbbreviation,FALSE),"")</f>
        <v/>
      </c>
      <c r="BW88" s="21" t="str">
        <f ca="1">IFERROR(VLOOKUP(AH88,OFFSET(abbreviation[],0,ColumnLanguage),ColumnAbbreviation,FALSE),"")</f>
        <v/>
      </c>
      <c r="BX88" s="21" t="str">
        <f ca="1">IFERROR(VLOOKUP(AJ88,OFFSET(abbreviation[],0,ColumnLanguage),ColumnAbbreviation,FALSE),"")</f>
        <v/>
      </c>
      <c r="BY88" s="21" t="str">
        <f ca="1">IFERROR(VLOOKUP(AL88,OFFSET(abbreviation[],0,ColumnLanguage),ColumnAbbreviation,FALSE),"")</f>
        <v/>
      </c>
      <c r="BZ88" s="21" t="str">
        <f t="shared" ca="1" si="9"/>
        <v>_</v>
      </c>
      <c r="CA88" s="21" t="str">
        <f ca="1">IFERROR(VLOOKUP(AP88,OFFSET(abbreviation[],0,ColumnLanguage),ColumnAbbreviation,FALSE),"")</f>
        <v/>
      </c>
      <c r="CB88" s="21" t="str">
        <f ca="1">IFERROR(VLOOKUP(AR88,OFFSET(abbreviation[],0,ColumnLanguage),ColumnAbbreviation,FALSE),"")</f>
        <v/>
      </c>
      <c r="CC88" s="21" t="str">
        <f ca="1">IFERROR(VLOOKUP(AT88,OFFSET(abbreviation[],0,ColumnLanguage),ColumnAbbreviation,FALSE),"")</f>
        <v/>
      </c>
      <c r="CD88" s="21" t="str">
        <f ca="1">IFERROR(VLOOKUP(AV88,OFFSET(abbreviation[],0,ColumnLanguage),ColumnAbbreviation,FALSE),"")</f>
        <v/>
      </c>
      <c r="CE88" s="21" t="str">
        <f t="shared" ca="1" si="10"/>
        <v>__</v>
      </c>
      <c r="CF88" s="21" t="str">
        <f ca="1">IFERROR(VLOOKUP(AX88,OFFSET(abbreviation[],0,ColumnLanguage),ColumnAbbreviation,FALSE),"")</f>
        <v/>
      </c>
      <c r="CG88" s="21" t="str">
        <f ca="1">IFERROR(VLOOKUP(AZ88,OFFSET(abbreviation[],0,ColumnLanguage),ColumnAbbreviation,FALSE),"")</f>
        <v/>
      </c>
      <c r="CH88" s="21" t="str">
        <f ca="1">IFERROR(VLOOKUP(BB88,OFFSET(abbreviation[],0,ColumnLanguage),ColumnAbbreviation,FALSE),"")</f>
        <v/>
      </c>
      <c r="CI88" s="21" t="str">
        <f ca="1">IFERROR(VLOOKUP(BD88,OFFSET(abbreviation[],0,ColumnLanguage),ColumnAbbreviation,FALSE),"")</f>
        <v/>
      </c>
      <c r="CJ88" s="21" t="str">
        <f ca="1">IFERROR(VLOOKUP(BF88,OFFSET(abbreviation[],0,ColumnLanguage),ColumnAbbreviation,FALSE),"")</f>
        <v/>
      </c>
      <c r="CK88" s="21" t="str">
        <f t="shared" ca="1" si="11"/>
        <v/>
      </c>
      <c r="CL88" s="21" t="str">
        <f t="shared" si="12"/>
        <v/>
      </c>
      <c r="CM88" s="52"/>
      <c r="CN88" s="57" t="str">
        <f t="shared" si="13"/>
        <v/>
      </c>
    </row>
    <row r="89" spans="16:92" x14ac:dyDescent="0.25">
      <c r="P89" s="60"/>
      <c r="Q89" s="13"/>
      <c r="V89" s="60"/>
      <c r="X89" s="61"/>
      <c r="AB89" s="60"/>
      <c r="AN89" s="54"/>
      <c r="AS89" s="15"/>
      <c r="BH89" s="52"/>
      <c r="BI89" s="21" t="str">
        <f ca="1">IFERROR(VLOOKUP(C89,OFFSET(abbreviation[],0,ColumnLanguage),ColumnAbbreviation,FALSE),"")</f>
        <v/>
      </c>
      <c r="BJ89" s="21" t="str">
        <f ca="1">IFERROR(VLOOKUP(E89,OFFSET(abbreviation[],0,ColumnLanguage),ColumnAbbreviation,FALSE),"")</f>
        <v/>
      </c>
      <c r="BK89" s="21" t="str">
        <f ca="1">IFERROR(VLOOKUP(G89,OFFSET(abbreviation[],0,ColumnLanguage),ColumnAbbreviation,FALSE),"")</f>
        <v/>
      </c>
      <c r="BL89" s="21" t="str">
        <f ca="1">IFERROR(VLOOKUP(I89,OFFSET(abbreviation[],0,ColumnLanguage),ColumnAbbreviation,FALSE),"")</f>
        <v/>
      </c>
      <c r="BM89" s="21" t="str">
        <f ca="1">IFERROR(VLOOKUP(K89,OFFSET(abbreviation[],0,ColumnLanguage),ColumnAbbreviation,FALSE),"")</f>
        <v/>
      </c>
      <c r="BN89" s="21" t="str">
        <f t="shared" ca="1" si="7"/>
        <v/>
      </c>
      <c r="BO89" s="21" t="str">
        <f ca="1">IFERROR(VLOOKUP(N89,OFFSET(abbreviation[],0,ColumnLanguage),ColumnAbbreviation,FALSE),"")</f>
        <v/>
      </c>
      <c r="BP89" s="21" t="str">
        <f ca="1">IFERROR(VLOOKUP(P89,OFFSET(abbreviation[],0,ColumnLanguage),ColumnAbbreviation,FALSE),"")</f>
        <v/>
      </c>
      <c r="BQ89" s="21" t="str">
        <f ca="1">IFERROR(VLOOKUP(T89,OFFSET(abbreviation[],0,ColumnLanguage),ColumnAbbreviation,FALSE),"")</f>
        <v/>
      </c>
      <c r="BR89" s="21" t="str">
        <f ca="1">IFERROR(VLOOKUP(V89,OFFSET(abbreviation[],0,ColumnLanguage),ColumnAbbreviation,FALSE),"")</f>
        <v/>
      </c>
      <c r="BS89" s="21" t="str">
        <f ca="1">IFERROR(VLOOKUP(Z89,OFFSET(abbreviation[],0,ColumnLanguage),ColumnAbbreviation,FALSE),"")</f>
        <v/>
      </c>
      <c r="BT89" s="21" t="str">
        <f ca="1">IFERROR(VLOOKUP(AB89,OFFSET(abbreviation[],0,ColumnLanguage),ColumnAbbreviation,FALSE),"")</f>
        <v/>
      </c>
      <c r="BU89" s="21" t="str">
        <f t="shared" ca="1" si="8"/>
        <v>__</v>
      </c>
      <c r="BV89" s="21" t="str">
        <f ca="1">IFERROR(VLOOKUP(AF89,OFFSET(abbreviation[],0,ColumnLanguage),ColumnAbbreviation,FALSE),"")</f>
        <v/>
      </c>
      <c r="BW89" s="21" t="str">
        <f ca="1">IFERROR(VLOOKUP(AH89,OFFSET(abbreviation[],0,ColumnLanguage),ColumnAbbreviation,FALSE),"")</f>
        <v/>
      </c>
      <c r="BX89" s="21" t="str">
        <f ca="1">IFERROR(VLOOKUP(AJ89,OFFSET(abbreviation[],0,ColumnLanguage),ColumnAbbreviation,FALSE),"")</f>
        <v/>
      </c>
      <c r="BY89" s="21" t="str">
        <f ca="1">IFERROR(VLOOKUP(AL89,OFFSET(abbreviation[],0,ColumnLanguage),ColumnAbbreviation,FALSE),"")</f>
        <v/>
      </c>
      <c r="BZ89" s="21" t="str">
        <f t="shared" ca="1" si="9"/>
        <v>_</v>
      </c>
      <c r="CA89" s="21" t="str">
        <f ca="1">IFERROR(VLOOKUP(AP89,OFFSET(abbreviation[],0,ColumnLanguage),ColumnAbbreviation,FALSE),"")</f>
        <v/>
      </c>
      <c r="CB89" s="21" t="str">
        <f ca="1">IFERROR(VLOOKUP(AR89,OFFSET(abbreviation[],0,ColumnLanguage),ColumnAbbreviation,FALSE),"")</f>
        <v/>
      </c>
      <c r="CC89" s="21" t="str">
        <f ca="1">IFERROR(VLOOKUP(AT89,OFFSET(abbreviation[],0,ColumnLanguage),ColumnAbbreviation,FALSE),"")</f>
        <v/>
      </c>
      <c r="CD89" s="21" t="str">
        <f ca="1">IFERROR(VLOOKUP(AV89,OFFSET(abbreviation[],0,ColumnLanguage),ColumnAbbreviation,FALSE),"")</f>
        <v/>
      </c>
      <c r="CE89" s="21" t="str">
        <f t="shared" ca="1" si="10"/>
        <v>__</v>
      </c>
      <c r="CF89" s="21" t="str">
        <f ca="1">IFERROR(VLOOKUP(AX89,OFFSET(abbreviation[],0,ColumnLanguage),ColumnAbbreviation,FALSE),"")</f>
        <v/>
      </c>
      <c r="CG89" s="21" t="str">
        <f ca="1">IFERROR(VLOOKUP(AZ89,OFFSET(abbreviation[],0,ColumnLanguage),ColumnAbbreviation,FALSE),"")</f>
        <v/>
      </c>
      <c r="CH89" s="21" t="str">
        <f ca="1">IFERROR(VLOOKUP(BB89,OFFSET(abbreviation[],0,ColumnLanguage),ColumnAbbreviation,FALSE),"")</f>
        <v/>
      </c>
      <c r="CI89" s="21" t="str">
        <f ca="1">IFERROR(VLOOKUP(BD89,OFFSET(abbreviation[],0,ColumnLanguage),ColumnAbbreviation,FALSE),"")</f>
        <v/>
      </c>
      <c r="CJ89" s="21" t="str">
        <f ca="1">IFERROR(VLOOKUP(BF89,OFFSET(abbreviation[],0,ColumnLanguage),ColumnAbbreviation,FALSE),"")</f>
        <v/>
      </c>
      <c r="CK89" s="21" t="str">
        <f t="shared" ca="1" si="11"/>
        <v/>
      </c>
      <c r="CL89" s="21" t="str">
        <f t="shared" si="12"/>
        <v/>
      </c>
      <c r="CM89" s="52"/>
      <c r="CN89" s="57" t="str">
        <f t="shared" si="13"/>
        <v/>
      </c>
    </row>
    <row r="90" spans="16:92" x14ac:dyDescent="0.25">
      <c r="P90" s="60"/>
      <c r="Q90" s="13"/>
      <c r="V90" s="60"/>
      <c r="X90" s="61"/>
      <c r="AB90" s="60"/>
      <c r="AN90" s="54"/>
      <c r="AS90" s="15"/>
      <c r="BH90" s="52"/>
      <c r="BI90" s="21" t="str">
        <f ca="1">IFERROR(VLOOKUP(C90,OFFSET(abbreviation[],0,ColumnLanguage),ColumnAbbreviation,FALSE),"")</f>
        <v/>
      </c>
      <c r="BJ90" s="21" t="str">
        <f ca="1">IFERROR(VLOOKUP(E90,OFFSET(abbreviation[],0,ColumnLanguage),ColumnAbbreviation,FALSE),"")</f>
        <v/>
      </c>
      <c r="BK90" s="21" t="str">
        <f ca="1">IFERROR(VLOOKUP(G90,OFFSET(abbreviation[],0,ColumnLanguage),ColumnAbbreviation,FALSE),"")</f>
        <v/>
      </c>
      <c r="BL90" s="21" t="str">
        <f ca="1">IFERROR(VLOOKUP(I90,OFFSET(abbreviation[],0,ColumnLanguage),ColumnAbbreviation,FALSE),"")</f>
        <v/>
      </c>
      <c r="BM90" s="21" t="str">
        <f ca="1">IFERROR(VLOOKUP(K90,OFFSET(abbreviation[],0,ColumnLanguage),ColumnAbbreviation,FALSE),"")</f>
        <v/>
      </c>
      <c r="BN90" s="21" t="str">
        <f t="shared" ca="1" si="7"/>
        <v/>
      </c>
      <c r="BO90" s="21" t="str">
        <f ca="1">IFERROR(VLOOKUP(N90,OFFSET(abbreviation[],0,ColumnLanguage),ColumnAbbreviation,FALSE),"")</f>
        <v/>
      </c>
      <c r="BP90" s="21" t="str">
        <f ca="1">IFERROR(VLOOKUP(P90,OFFSET(abbreviation[],0,ColumnLanguage),ColumnAbbreviation,FALSE),"")</f>
        <v/>
      </c>
      <c r="BQ90" s="21" t="str">
        <f ca="1">IFERROR(VLOOKUP(T90,OFFSET(abbreviation[],0,ColumnLanguage),ColumnAbbreviation,FALSE),"")</f>
        <v/>
      </c>
      <c r="BR90" s="21" t="str">
        <f ca="1">IFERROR(VLOOKUP(V90,OFFSET(abbreviation[],0,ColumnLanguage),ColumnAbbreviation,FALSE),"")</f>
        <v/>
      </c>
      <c r="BS90" s="21" t="str">
        <f ca="1">IFERROR(VLOOKUP(Z90,OFFSET(abbreviation[],0,ColumnLanguage),ColumnAbbreviation,FALSE),"")</f>
        <v/>
      </c>
      <c r="BT90" s="21" t="str">
        <f ca="1">IFERROR(VLOOKUP(AB90,OFFSET(abbreviation[],0,ColumnLanguage),ColumnAbbreviation,FALSE),"")</f>
        <v/>
      </c>
      <c r="BU90" s="21" t="str">
        <f t="shared" ca="1" si="8"/>
        <v>__</v>
      </c>
      <c r="BV90" s="21" t="str">
        <f ca="1">IFERROR(VLOOKUP(AF90,OFFSET(abbreviation[],0,ColumnLanguage),ColumnAbbreviation,FALSE),"")</f>
        <v/>
      </c>
      <c r="BW90" s="21" t="str">
        <f ca="1">IFERROR(VLOOKUP(AH90,OFFSET(abbreviation[],0,ColumnLanguage),ColumnAbbreviation,FALSE),"")</f>
        <v/>
      </c>
      <c r="BX90" s="21" t="str">
        <f ca="1">IFERROR(VLOOKUP(AJ90,OFFSET(abbreviation[],0,ColumnLanguage),ColumnAbbreviation,FALSE),"")</f>
        <v/>
      </c>
      <c r="BY90" s="21" t="str">
        <f ca="1">IFERROR(VLOOKUP(AL90,OFFSET(abbreviation[],0,ColumnLanguage),ColumnAbbreviation,FALSE),"")</f>
        <v/>
      </c>
      <c r="BZ90" s="21" t="str">
        <f t="shared" ca="1" si="9"/>
        <v>_</v>
      </c>
      <c r="CA90" s="21" t="str">
        <f ca="1">IFERROR(VLOOKUP(AP90,OFFSET(abbreviation[],0,ColumnLanguage),ColumnAbbreviation,FALSE),"")</f>
        <v/>
      </c>
      <c r="CB90" s="21" t="str">
        <f ca="1">IFERROR(VLOOKUP(AR90,OFFSET(abbreviation[],0,ColumnLanguage),ColumnAbbreviation,FALSE),"")</f>
        <v/>
      </c>
      <c r="CC90" s="21" t="str">
        <f ca="1">IFERROR(VLOOKUP(AT90,OFFSET(abbreviation[],0,ColumnLanguage),ColumnAbbreviation,FALSE),"")</f>
        <v/>
      </c>
      <c r="CD90" s="21" t="str">
        <f ca="1">IFERROR(VLOOKUP(AV90,OFFSET(abbreviation[],0,ColumnLanguage),ColumnAbbreviation,FALSE),"")</f>
        <v/>
      </c>
      <c r="CE90" s="21" t="str">
        <f t="shared" ca="1" si="10"/>
        <v>__</v>
      </c>
      <c r="CF90" s="21" t="str">
        <f ca="1">IFERROR(VLOOKUP(AX90,OFFSET(abbreviation[],0,ColumnLanguage),ColumnAbbreviation,FALSE),"")</f>
        <v/>
      </c>
      <c r="CG90" s="21" t="str">
        <f ca="1">IFERROR(VLOOKUP(AZ90,OFFSET(abbreviation[],0,ColumnLanguage),ColumnAbbreviation,FALSE),"")</f>
        <v/>
      </c>
      <c r="CH90" s="21" t="str">
        <f ca="1">IFERROR(VLOOKUP(BB90,OFFSET(abbreviation[],0,ColumnLanguage),ColumnAbbreviation,FALSE),"")</f>
        <v/>
      </c>
      <c r="CI90" s="21" t="str">
        <f ca="1">IFERROR(VLOOKUP(BD90,OFFSET(abbreviation[],0,ColumnLanguage),ColumnAbbreviation,FALSE),"")</f>
        <v/>
      </c>
      <c r="CJ90" s="21" t="str">
        <f ca="1">IFERROR(VLOOKUP(BF90,OFFSET(abbreviation[],0,ColumnLanguage),ColumnAbbreviation,FALSE),"")</f>
        <v/>
      </c>
      <c r="CK90" s="21" t="str">
        <f t="shared" ca="1" si="11"/>
        <v/>
      </c>
      <c r="CL90" s="21" t="str">
        <f t="shared" si="12"/>
        <v/>
      </c>
      <c r="CM90" s="52"/>
      <c r="CN90" s="57" t="str">
        <f t="shared" si="13"/>
        <v/>
      </c>
    </row>
    <row r="91" spans="16:92" x14ac:dyDescent="0.25">
      <c r="P91" s="60"/>
      <c r="Q91" s="13"/>
      <c r="V91" s="60"/>
      <c r="X91" s="61"/>
      <c r="AB91" s="60"/>
      <c r="AN91" s="54"/>
      <c r="AS91" s="15"/>
      <c r="BH91" s="52"/>
      <c r="BI91" s="21" t="str">
        <f ca="1">IFERROR(VLOOKUP(C91,OFFSET(abbreviation[],0,ColumnLanguage),ColumnAbbreviation,FALSE),"")</f>
        <v/>
      </c>
      <c r="BJ91" s="21" t="str">
        <f ca="1">IFERROR(VLOOKUP(E91,OFFSET(abbreviation[],0,ColumnLanguage),ColumnAbbreviation,FALSE),"")</f>
        <v/>
      </c>
      <c r="BK91" s="21" t="str">
        <f ca="1">IFERROR(VLOOKUP(G91,OFFSET(abbreviation[],0,ColumnLanguage),ColumnAbbreviation,FALSE),"")</f>
        <v/>
      </c>
      <c r="BL91" s="21" t="str">
        <f ca="1">IFERROR(VLOOKUP(I91,OFFSET(abbreviation[],0,ColumnLanguage),ColumnAbbreviation,FALSE),"")</f>
        <v/>
      </c>
      <c r="BM91" s="21" t="str">
        <f ca="1">IFERROR(VLOOKUP(K91,OFFSET(abbreviation[],0,ColumnLanguage),ColumnAbbreviation,FALSE),"")</f>
        <v/>
      </c>
      <c r="BN91" s="21" t="str">
        <f t="shared" ca="1" si="7"/>
        <v/>
      </c>
      <c r="BO91" s="21" t="str">
        <f ca="1">IFERROR(VLOOKUP(N91,OFFSET(abbreviation[],0,ColumnLanguage),ColumnAbbreviation,FALSE),"")</f>
        <v/>
      </c>
      <c r="BP91" s="21" t="str">
        <f ca="1">IFERROR(VLOOKUP(P91,OFFSET(abbreviation[],0,ColumnLanguage),ColumnAbbreviation,FALSE),"")</f>
        <v/>
      </c>
      <c r="BQ91" s="21" t="str">
        <f ca="1">IFERROR(VLOOKUP(T91,OFFSET(abbreviation[],0,ColumnLanguage),ColumnAbbreviation,FALSE),"")</f>
        <v/>
      </c>
      <c r="BR91" s="21" t="str">
        <f ca="1">IFERROR(VLOOKUP(V91,OFFSET(abbreviation[],0,ColumnLanguage),ColumnAbbreviation,FALSE),"")</f>
        <v/>
      </c>
      <c r="BS91" s="21" t="str">
        <f ca="1">IFERROR(VLOOKUP(Z91,OFFSET(abbreviation[],0,ColumnLanguage),ColumnAbbreviation,FALSE),"")</f>
        <v/>
      </c>
      <c r="BT91" s="21" t="str">
        <f ca="1">IFERROR(VLOOKUP(AB91,OFFSET(abbreviation[],0,ColumnLanguage),ColumnAbbreviation,FALSE),"")</f>
        <v/>
      </c>
      <c r="BU91" s="21" t="str">
        <f t="shared" ca="1" si="8"/>
        <v>__</v>
      </c>
      <c r="BV91" s="21" t="str">
        <f ca="1">IFERROR(VLOOKUP(AF91,OFFSET(abbreviation[],0,ColumnLanguage),ColumnAbbreviation,FALSE),"")</f>
        <v/>
      </c>
      <c r="BW91" s="21" t="str">
        <f ca="1">IFERROR(VLOOKUP(AH91,OFFSET(abbreviation[],0,ColumnLanguage),ColumnAbbreviation,FALSE),"")</f>
        <v/>
      </c>
      <c r="BX91" s="21" t="str">
        <f ca="1">IFERROR(VLOOKUP(AJ91,OFFSET(abbreviation[],0,ColumnLanguage),ColumnAbbreviation,FALSE),"")</f>
        <v/>
      </c>
      <c r="BY91" s="21" t="str">
        <f ca="1">IFERROR(VLOOKUP(AL91,OFFSET(abbreviation[],0,ColumnLanguage),ColumnAbbreviation,FALSE),"")</f>
        <v/>
      </c>
      <c r="BZ91" s="21" t="str">
        <f t="shared" ca="1" si="9"/>
        <v>_</v>
      </c>
      <c r="CA91" s="21" t="str">
        <f ca="1">IFERROR(VLOOKUP(AP91,OFFSET(abbreviation[],0,ColumnLanguage),ColumnAbbreviation,FALSE),"")</f>
        <v/>
      </c>
      <c r="CB91" s="21" t="str">
        <f ca="1">IFERROR(VLOOKUP(AR91,OFFSET(abbreviation[],0,ColumnLanguage),ColumnAbbreviation,FALSE),"")</f>
        <v/>
      </c>
      <c r="CC91" s="21" t="str">
        <f ca="1">IFERROR(VLOOKUP(AT91,OFFSET(abbreviation[],0,ColumnLanguage),ColumnAbbreviation,FALSE),"")</f>
        <v/>
      </c>
      <c r="CD91" s="21" t="str">
        <f ca="1">IFERROR(VLOOKUP(AV91,OFFSET(abbreviation[],0,ColumnLanguage),ColumnAbbreviation,FALSE),"")</f>
        <v/>
      </c>
      <c r="CE91" s="21" t="str">
        <f t="shared" ca="1" si="10"/>
        <v>__</v>
      </c>
      <c r="CF91" s="21" t="str">
        <f ca="1">IFERROR(VLOOKUP(AX91,OFFSET(abbreviation[],0,ColumnLanguage),ColumnAbbreviation,FALSE),"")</f>
        <v/>
      </c>
      <c r="CG91" s="21" t="str">
        <f ca="1">IFERROR(VLOOKUP(AZ91,OFFSET(abbreviation[],0,ColumnLanguage),ColumnAbbreviation,FALSE),"")</f>
        <v/>
      </c>
      <c r="CH91" s="21" t="str">
        <f ca="1">IFERROR(VLOOKUP(BB91,OFFSET(abbreviation[],0,ColumnLanguage),ColumnAbbreviation,FALSE),"")</f>
        <v/>
      </c>
      <c r="CI91" s="21" t="str">
        <f ca="1">IFERROR(VLOOKUP(BD91,OFFSET(abbreviation[],0,ColumnLanguage),ColumnAbbreviation,FALSE),"")</f>
        <v/>
      </c>
      <c r="CJ91" s="21" t="str">
        <f ca="1">IFERROR(VLOOKUP(BF91,OFFSET(abbreviation[],0,ColumnLanguage),ColumnAbbreviation,FALSE),"")</f>
        <v/>
      </c>
      <c r="CK91" s="21" t="str">
        <f t="shared" ca="1" si="11"/>
        <v/>
      </c>
      <c r="CL91" s="21" t="str">
        <f t="shared" si="12"/>
        <v/>
      </c>
      <c r="CM91" s="52"/>
      <c r="CN91" s="57" t="str">
        <f t="shared" si="13"/>
        <v/>
      </c>
    </row>
    <row r="92" spans="16:92" x14ac:dyDescent="0.25">
      <c r="P92" s="60"/>
      <c r="Q92" s="13"/>
      <c r="V92" s="60"/>
      <c r="X92" s="61"/>
      <c r="AB92" s="60"/>
      <c r="AN92" s="54"/>
      <c r="AS92" s="15"/>
      <c r="BH92" s="52"/>
      <c r="BI92" s="21" t="str">
        <f ca="1">IFERROR(VLOOKUP(C92,OFFSET(abbreviation[],0,ColumnLanguage),ColumnAbbreviation,FALSE),"")</f>
        <v/>
      </c>
      <c r="BJ92" s="21" t="str">
        <f ca="1">IFERROR(VLOOKUP(E92,OFFSET(abbreviation[],0,ColumnLanguage),ColumnAbbreviation,FALSE),"")</f>
        <v/>
      </c>
      <c r="BK92" s="21" t="str">
        <f ca="1">IFERROR(VLOOKUP(G92,OFFSET(abbreviation[],0,ColumnLanguage),ColumnAbbreviation,FALSE),"")</f>
        <v/>
      </c>
      <c r="BL92" s="21" t="str">
        <f ca="1">IFERROR(VLOOKUP(I92,OFFSET(abbreviation[],0,ColumnLanguage),ColumnAbbreviation,FALSE),"")</f>
        <v/>
      </c>
      <c r="BM92" s="21" t="str">
        <f ca="1">IFERROR(VLOOKUP(K92,OFFSET(abbreviation[],0,ColumnLanguage),ColumnAbbreviation,FALSE),"")</f>
        <v/>
      </c>
      <c r="BN92" s="21" t="str">
        <f t="shared" ca="1" si="7"/>
        <v/>
      </c>
      <c r="BO92" s="21" t="str">
        <f ca="1">IFERROR(VLOOKUP(N92,OFFSET(abbreviation[],0,ColumnLanguage),ColumnAbbreviation,FALSE),"")</f>
        <v/>
      </c>
      <c r="BP92" s="21" t="str">
        <f ca="1">IFERROR(VLOOKUP(P92,OFFSET(abbreviation[],0,ColumnLanguage),ColumnAbbreviation,FALSE),"")</f>
        <v/>
      </c>
      <c r="BQ92" s="21" t="str">
        <f ca="1">IFERROR(VLOOKUP(T92,OFFSET(abbreviation[],0,ColumnLanguage),ColumnAbbreviation,FALSE),"")</f>
        <v/>
      </c>
      <c r="BR92" s="21" t="str">
        <f ca="1">IFERROR(VLOOKUP(V92,OFFSET(abbreviation[],0,ColumnLanguage),ColumnAbbreviation,FALSE),"")</f>
        <v/>
      </c>
      <c r="BS92" s="21" t="str">
        <f ca="1">IFERROR(VLOOKUP(Z92,OFFSET(abbreviation[],0,ColumnLanguage),ColumnAbbreviation,FALSE),"")</f>
        <v/>
      </c>
      <c r="BT92" s="21" t="str">
        <f ca="1">IFERROR(VLOOKUP(AB92,OFFSET(abbreviation[],0,ColumnLanguage),ColumnAbbreviation,FALSE),"")</f>
        <v/>
      </c>
      <c r="BU92" s="21" t="str">
        <f t="shared" ca="1" si="8"/>
        <v>__</v>
      </c>
      <c r="BV92" s="21" t="str">
        <f ca="1">IFERROR(VLOOKUP(AF92,OFFSET(abbreviation[],0,ColumnLanguage),ColumnAbbreviation,FALSE),"")</f>
        <v/>
      </c>
      <c r="BW92" s="21" t="str">
        <f ca="1">IFERROR(VLOOKUP(AH92,OFFSET(abbreviation[],0,ColumnLanguage),ColumnAbbreviation,FALSE),"")</f>
        <v/>
      </c>
      <c r="BX92" s="21" t="str">
        <f ca="1">IFERROR(VLOOKUP(AJ92,OFFSET(abbreviation[],0,ColumnLanguage),ColumnAbbreviation,FALSE),"")</f>
        <v/>
      </c>
      <c r="BY92" s="21" t="str">
        <f ca="1">IFERROR(VLOOKUP(AL92,OFFSET(abbreviation[],0,ColumnLanguage),ColumnAbbreviation,FALSE),"")</f>
        <v/>
      </c>
      <c r="BZ92" s="21" t="str">
        <f t="shared" ca="1" si="9"/>
        <v>_</v>
      </c>
      <c r="CA92" s="21" t="str">
        <f ca="1">IFERROR(VLOOKUP(AP92,OFFSET(abbreviation[],0,ColumnLanguage),ColumnAbbreviation,FALSE),"")</f>
        <v/>
      </c>
      <c r="CB92" s="21" t="str">
        <f ca="1">IFERROR(VLOOKUP(AR92,OFFSET(abbreviation[],0,ColumnLanguage),ColumnAbbreviation,FALSE),"")</f>
        <v/>
      </c>
      <c r="CC92" s="21" t="str">
        <f ca="1">IFERROR(VLOOKUP(AT92,OFFSET(abbreviation[],0,ColumnLanguage),ColumnAbbreviation,FALSE),"")</f>
        <v/>
      </c>
      <c r="CD92" s="21" t="str">
        <f ca="1">IFERROR(VLOOKUP(AV92,OFFSET(abbreviation[],0,ColumnLanguage),ColumnAbbreviation,FALSE),"")</f>
        <v/>
      </c>
      <c r="CE92" s="21" t="str">
        <f t="shared" ca="1" si="10"/>
        <v>__</v>
      </c>
      <c r="CF92" s="21" t="str">
        <f ca="1">IFERROR(VLOOKUP(AX92,OFFSET(abbreviation[],0,ColumnLanguage),ColumnAbbreviation,FALSE),"")</f>
        <v/>
      </c>
      <c r="CG92" s="21" t="str">
        <f ca="1">IFERROR(VLOOKUP(AZ92,OFFSET(abbreviation[],0,ColumnLanguage),ColumnAbbreviation,FALSE),"")</f>
        <v/>
      </c>
      <c r="CH92" s="21" t="str">
        <f ca="1">IFERROR(VLOOKUP(BB92,OFFSET(abbreviation[],0,ColumnLanguage),ColumnAbbreviation,FALSE),"")</f>
        <v/>
      </c>
      <c r="CI92" s="21" t="str">
        <f ca="1">IFERROR(VLOOKUP(BD92,OFFSET(abbreviation[],0,ColumnLanguage),ColumnAbbreviation,FALSE),"")</f>
        <v/>
      </c>
      <c r="CJ92" s="21" t="str">
        <f ca="1">IFERROR(VLOOKUP(BF92,OFFSET(abbreviation[],0,ColumnLanguage),ColumnAbbreviation,FALSE),"")</f>
        <v/>
      </c>
      <c r="CK92" s="21" t="str">
        <f t="shared" ca="1" si="11"/>
        <v/>
      </c>
      <c r="CL92" s="21" t="str">
        <f t="shared" si="12"/>
        <v/>
      </c>
      <c r="CM92" s="52"/>
      <c r="CN92" s="57" t="str">
        <f t="shared" si="13"/>
        <v/>
      </c>
    </row>
    <row r="93" spans="16:92" x14ac:dyDescent="0.25">
      <c r="P93" s="60"/>
      <c r="Q93" s="13"/>
      <c r="V93" s="60"/>
      <c r="X93" s="61"/>
      <c r="AB93" s="60"/>
      <c r="AN93" s="54"/>
      <c r="AS93" s="15"/>
      <c r="BH93" s="52"/>
      <c r="BI93" s="21" t="str">
        <f ca="1">IFERROR(VLOOKUP(C93,OFFSET(abbreviation[],0,ColumnLanguage),ColumnAbbreviation,FALSE),"")</f>
        <v/>
      </c>
      <c r="BJ93" s="21" t="str">
        <f ca="1">IFERROR(VLOOKUP(E93,OFFSET(abbreviation[],0,ColumnLanguage),ColumnAbbreviation,FALSE),"")</f>
        <v/>
      </c>
      <c r="BK93" s="21" t="str">
        <f ca="1">IFERROR(VLOOKUP(G93,OFFSET(abbreviation[],0,ColumnLanguage),ColumnAbbreviation,FALSE),"")</f>
        <v/>
      </c>
      <c r="BL93" s="21" t="str">
        <f ca="1">IFERROR(VLOOKUP(I93,OFFSET(abbreviation[],0,ColumnLanguage),ColumnAbbreviation,FALSE),"")</f>
        <v/>
      </c>
      <c r="BM93" s="21" t="str">
        <f ca="1">IFERROR(VLOOKUP(K93,OFFSET(abbreviation[],0,ColumnLanguage),ColumnAbbreviation,FALSE),"")</f>
        <v/>
      </c>
      <c r="BN93" s="21" t="str">
        <f t="shared" ca="1" si="7"/>
        <v/>
      </c>
      <c r="BO93" s="21" t="str">
        <f ca="1">IFERROR(VLOOKUP(N93,OFFSET(abbreviation[],0,ColumnLanguage),ColumnAbbreviation,FALSE),"")</f>
        <v/>
      </c>
      <c r="BP93" s="21" t="str">
        <f ca="1">IFERROR(VLOOKUP(P93,OFFSET(abbreviation[],0,ColumnLanguage),ColumnAbbreviation,FALSE),"")</f>
        <v/>
      </c>
      <c r="BQ93" s="21" t="str">
        <f ca="1">IFERROR(VLOOKUP(T93,OFFSET(abbreviation[],0,ColumnLanguage),ColumnAbbreviation,FALSE),"")</f>
        <v/>
      </c>
      <c r="BR93" s="21" t="str">
        <f ca="1">IFERROR(VLOOKUP(V93,OFFSET(abbreviation[],0,ColumnLanguage),ColumnAbbreviation,FALSE),"")</f>
        <v/>
      </c>
      <c r="BS93" s="21" t="str">
        <f ca="1">IFERROR(VLOOKUP(Z93,OFFSET(abbreviation[],0,ColumnLanguage),ColumnAbbreviation,FALSE),"")</f>
        <v/>
      </c>
      <c r="BT93" s="21" t="str">
        <f ca="1">IFERROR(VLOOKUP(AB93,OFFSET(abbreviation[],0,ColumnLanguage),ColumnAbbreviation,FALSE),"")</f>
        <v/>
      </c>
      <c r="BU93" s="21" t="str">
        <f t="shared" ca="1" si="8"/>
        <v>__</v>
      </c>
      <c r="BV93" s="21" t="str">
        <f ca="1">IFERROR(VLOOKUP(AF93,OFFSET(abbreviation[],0,ColumnLanguage),ColumnAbbreviation,FALSE),"")</f>
        <v/>
      </c>
      <c r="BW93" s="21" t="str">
        <f ca="1">IFERROR(VLOOKUP(AH93,OFFSET(abbreviation[],0,ColumnLanguage),ColumnAbbreviation,FALSE),"")</f>
        <v/>
      </c>
      <c r="BX93" s="21" t="str">
        <f ca="1">IFERROR(VLOOKUP(AJ93,OFFSET(abbreviation[],0,ColumnLanguage),ColumnAbbreviation,FALSE),"")</f>
        <v/>
      </c>
      <c r="BY93" s="21" t="str">
        <f ca="1">IFERROR(VLOOKUP(AL93,OFFSET(abbreviation[],0,ColumnLanguage),ColumnAbbreviation,FALSE),"")</f>
        <v/>
      </c>
      <c r="BZ93" s="21" t="str">
        <f t="shared" ca="1" si="9"/>
        <v>_</v>
      </c>
      <c r="CA93" s="21" t="str">
        <f ca="1">IFERROR(VLOOKUP(AP93,OFFSET(abbreviation[],0,ColumnLanguage),ColumnAbbreviation,FALSE),"")</f>
        <v/>
      </c>
      <c r="CB93" s="21" t="str">
        <f ca="1">IFERROR(VLOOKUP(AR93,OFFSET(abbreviation[],0,ColumnLanguage),ColumnAbbreviation,FALSE),"")</f>
        <v/>
      </c>
      <c r="CC93" s="21" t="str">
        <f ca="1">IFERROR(VLOOKUP(AT93,OFFSET(abbreviation[],0,ColumnLanguage),ColumnAbbreviation,FALSE),"")</f>
        <v/>
      </c>
      <c r="CD93" s="21" t="str">
        <f ca="1">IFERROR(VLOOKUP(AV93,OFFSET(abbreviation[],0,ColumnLanguage),ColumnAbbreviation,FALSE),"")</f>
        <v/>
      </c>
      <c r="CE93" s="21" t="str">
        <f t="shared" ca="1" si="10"/>
        <v>__</v>
      </c>
      <c r="CF93" s="21" t="str">
        <f ca="1">IFERROR(VLOOKUP(AX93,OFFSET(abbreviation[],0,ColumnLanguage),ColumnAbbreviation,FALSE),"")</f>
        <v/>
      </c>
      <c r="CG93" s="21" t="str">
        <f ca="1">IFERROR(VLOOKUP(AZ93,OFFSET(abbreviation[],0,ColumnLanguage),ColumnAbbreviation,FALSE),"")</f>
        <v/>
      </c>
      <c r="CH93" s="21" t="str">
        <f ca="1">IFERROR(VLOOKUP(BB93,OFFSET(abbreviation[],0,ColumnLanguage),ColumnAbbreviation,FALSE),"")</f>
        <v/>
      </c>
      <c r="CI93" s="21" t="str">
        <f ca="1">IFERROR(VLOOKUP(BD93,OFFSET(abbreviation[],0,ColumnLanguage),ColumnAbbreviation,FALSE),"")</f>
        <v/>
      </c>
      <c r="CJ93" s="21" t="str">
        <f ca="1">IFERROR(VLOOKUP(BF93,OFFSET(abbreviation[],0,ColumnLanguage),ColumnAbbreviation,FALSE),"")</f>
        <v/>
      </c>
      <c r="CK93" s="21" t="str">
        <f t="shared" ca="1" si="11"/>
        <v/>
      </c>
      <c r="CL93" s="21" t="str">
        <f t="shared" si="12"/>
        <v/>
      </c>
      <c r="CM93" s="52"/>
      <c r="CN93" s="57" t="str">
        <f t="shared" si="13"/>
        <v/>
      </c>
    </row>
    <row r="94" spans="16:92" x14ac:dyDescent="0.25">
      <c r="P94" s="60"/>
      <c r="Q94" s="13"/>
      <c r="V94" s="60"/>
      <c r="X94" s="61"/>
      <c r="AB94" s="60"/>
      <c r="AN94" s="54"/>
      <c r="AS94" s="15"/>
      <c r="BH94" s="52"/>
      <c r="BI94" s="21" t="str">
        <f ca="1">IFERROR(VLOOKUP(C94,OFFSET(abbreviation[],0,ColumnLanguage),ColumnAbbreviation,FALSE),"")</f>
        <v/>
      </c>
      <c r="BJ94" s="21" t="str">
        <f ca="1">IFERROR(VLOOKUP(E94,OFFSET(abbreviation[],0,ColumnLanguage),ColumnAbbreviation,FALSE),"")</f>
        <v/>
      </c>
      <c r="BK94" s="21" t="str">
        <f ca="1">IFERROR(VLOOKUP(G94,OFFSET(abbreviation[],0,ColumnLanguage),ColumnAbbreviation,FALSE),"")</f>
        <v/>
      </c>
      <c r="BL94" s="21" t="str">
        <f ca="1">IFERROR(VLOOKUP(I94,OFFSET(abbreviation[],0,ColumnLanguage),ColumnAbbreviation,FALSE),"")</f>
        <v/>
      </c>
      <c r="BM94" s="21" t="str">
        <f ca="1">IFERROR(VLOOKUP(K94,OFFSET(abbreviation[],0,ColumnLanguage),ColumnAbbreviation,FALSE),"")</f>
        <v/>
      </c>
      <c r="BN94" s="21" t="str">
        <f t="shared" ca="1" si="7"/>
        <v/>
      </c>
      <c r="BO94" s="21" t="str">
        <f ca="1">IFERROR(VLOOKUP(N94,OFFSET(abbreviation[],0,ColumnLanguage),ColumnAbbreviation,FALSE),"")</f>
        <v/>
      </c>
      <c r="BP94" s="21" t="str">
        <f ca="1">IFERROR(VLOOKUP(P94,OFFSET(abbreviation[],0,ColumnLanguage),ColumnAbbreviation,FALSE),"")</f>
        <v/>
      </c>
      <c r="BQ94" s="21" t="str">
        <f ca="1">IFERROR(VLOOKUP(T94,OFFSET(abbreviation[],0,ColumnLanguage),ColumnAbbreviation,FALSE),"")</f>
        <v/>
      </c>
      <c r="BR94" s="21" t="str">
        <f ca="1">IFERROR(VLOOKUP(V94,OFFSET(abbreviation[],0,ColumnLanguage),ColumnAbbreviation,FALSE),"")</f>
        <v/>
      </c>
      <c r="BS94" s="21" t="str">
        <f ca="1">IFERROR(VLOOKUP(Z94,OFFSET(abbreviation[],0,ColumnLanguage),ColumnAbbreviation,FALSE),"")</f>
        <v/>
      </c>
      <c r="BT94" s="21" t="str">
        <f ca="1">IFERROR(VLOOKUP(AB94,OFFSET(abbreviation[],0,ColumnLanguage),ColumnAbbreviation,FALSE),"")</f>
        <v/>
      </c>
      <c r="BU94" s="21" t="str">
        <f t="shared" ca="1" si="8"/>
        <v>__</v>
      </c>
      <c r="BV94" s="21" t="str">
        <f ca="1">IFERROR(VLOOKUP(AF94,OFFSET(abbreviation[],0,ColumnLanguage),ColumnAbbreviation,FALSE),"")</f>
        <v/>
      </c>
      <c r="BW94" s="21" t="str">
        <f ca="1">IFERROR(VLOOKUP(AH94,OFFSET(abbreviation[],0,ColumnLanguage),ColumnAbbreviation,FALSE),"")</f>
        <v/>
      </c>
      <c r="BX94" s="21" t="str">
        <f ca="1">IFERROR(VLOOKUP(AJ94,OFFSET(abbreviation[],0,ColumnLanguage),ColumnAbbreviation,FALSE),"")</f>
        <v/>
      </c>
      <c r="BY94" s="21" t="str">
        <f ca="1">IFERROR(VLOOKUP(AL94,OFFSET(abbreviation[],0,ColumnLanguage),ColumnAbbreviation,FALSE),"")</f>
        <v/>
      </c>
      <c r="BZ94" s="21" t="str">
        <f t="shared" ca="1" si="9"/>
        <v>_</v>
      </c>
      <c r="CA94" s="21" t="str">
        <f ca="1">IFERROR(VLOOKUP(AP94,OFFSET(abbreviation[],0,ColumnLanguage),ColumnAbbreviation,FALSE),"")</f>
        <v/>
      </c>
      <c r="CB94" s="21" t="str">
        <f ca="1">IFERROR(VLOOKUP(AR94,OFFSET(abbreviation[],0,ColumnLanguage),ColumnAbbreviation,FALSE),"")</f>
        <v/>
      </c>
      <c r="CC94" s="21" t="str">
        <f ca="1">IFERROR(VLOOKUP(AT94,OFFSET(abbreviation[],0,ColumnLanguage),ColumnAbbreviation,FALSE),"")</f>
        <v/>
      </c>
      <c r="CD94" s="21" t="str">
        <f ca="1">IFERROR(VLOOKUP(AV94,OFFSET(abbreviation[],0,ColumnLanguage),ColumnAbbreviation,FALSE),"")</f>
        <v/>
      </c>
      <c r="CE94" s="21" t="str">
        <f t="shared" ca="1" si="10"/>
        <v>__</v>
      </c>
      <c r="CF94" s="21" t="str">
        <f ca="1">IFERROR(VLOOKUP(AX94,OFFSET(abbreviation[],0,ColumnLanguage),ColumnAbbreviation,FALSE),"")</f>
        <v/>
      </c>
      <c r="CG94" s="21" t="str">
        <f ca="1">IFERROR(VLOOKUP(AZ94,OFFSET(abbreviation[],0,ColumnLanguage),ColumnAbbreviation,FALSE),"")</f>
        <v/>
      </c>
      <c r="CH94" s="21" t="str">
        <f ca="1">IFERROR(VLOOKUP(BB94,OFFSET(abbreviation[],0,ColumnLanguage),ColumnAbbreviation,FALSE),"")</f>
        <v/>
      </c>
      <c r="CI94" s="21" t="str">
        <f ca="1">IFERROR(VLOOKUP(BD94,OFFSET(abbreviation[],0,ColumnLanguage),ColumnAbbreviation,FALSE),"")</f>
        <v/>
      </c>
      <c r="CJ94" s="21" t="str">
        <f ca="1">IFERROR(VLOOKUP(BF94,OFFSET(abbreviation[],0,ColumnLanguage),ColumnAbbreviation,FALSE),"")</f>
        <v/>
      </c>
      <c r="CK94" s="21" t="str">
        <f t="shared" ca="1" si="11"/>
        <v/>
      </c>
      <c r="CL94" s="21" t="str">
        <f t="shared" si="12"/>
        <v/>
      </c>
      <c r="CM94" s="52"/>
      <c r="CN94" s="57" t="str">
        <f t="shared" si="13"/>
        <v/>
      </c>
    </row>
    <row r="95" spans="16:92" x14ac:dyDescent="0.25">
      <c r="P95" s="60"/>
      <c r="Q95" s="13"/>
      <c r="V95" s="60"/>
      <c r="X95" s="61"/>
      <c r="AB95" s="60"/>
      <c r="AN95" s="54"/>
      <c r="AS95" s="15"/>
      <c r="BH95" s="52"/>
      <c r="BI95" s="21" t="str">
        <f ca="1">IFERROR(VLOOKUP(C95,OFFSET(abbreviation[],0,ColumnLanguage),ColumnAbbreviation,FALSE),"")</f>
        <v/>
      </c>
      <c r="BJ95" s="21" t="str">
        <f ca="1">IFERROR(VLOOKUP(E95,OFFSET(abbreviation[],0,ColumnLanguage),ColumnAbbreviation,FALSE),"")</f>
        <v/>
      </c>
      <c r="BK95" s="21" t="str">
        <f ca="1">IFERROR(VLOOKUP(G95,OFFSET(abbreviation[],0,ColumnLanguage),ColumnAbbreviation,FALSE),"")</f>
        <v/>
      </c>
      <c r="BL95" s="21" t="str">
        <f ca="1">IFERROR(VLOOKUP(I95,OFFSET(abbreviation[],0,ColumnLanguage),ColumnAbbreviation,FALSE),"")</f>
        <v/>
      </c>
      <c r="BM95" s="21" t="str">
        <f ca="1">IFERROR(VLOOKUP(K95,OFFSET(abbreviation[],0,ColumnLanguage),ColumnAbbreviation,FALSE),"")</f>
        <v/>
      </c>
      <c r="BN95" s="21" t="str">
        <f t="shared" ca="1" si="7"/>
        <v/>
      </c>
      <c r="BO95" s="21" t="str">
        <f ca="1">IFERROR(VLOOKUP(N95,OFFSET(abbreviation[],0,ColumnLanguage),ColumnAbbreviation,FALSE),"")</f>
        <v/>
      </c>
      <c r="BP95" s="21" t="str">
        <f ca="1">IFERROR(VLOOKUP(P95,OFFSET(abbreviation[],0,ColumnLanguage),ColumnAbbreviation,FALSE),"")</f>
        <v/>
      </c>
      <c r="BQ95" s="21" t="str">
        <f ca="1">IFERROR(VLOOKUP(T95,OFFSET(abbreviation[],0,ColumnLanguage),ColumnAbbreviation,FALSE),"")</f>
        <v/>
      </c>
      <c r="BR95" s="21" t="str">
        <f ca="1">IFERROR(VLOOKUP(V95,OFFSET(abbreviation[],0,ColumnLanguage),ColumnAbbreviation,FALSE),"")</f>
        <v/>
      </c>
      <c r="BS95" s="21" t="str">
        <f ca="1">IFERROR(VLOOKUP(Z95,OFFSET(abbreviation[],0,ColumnLanguage),ColumnAbbreviation,FALSE),"")</f>
        <v/>
      </c>
      <c r="BT95" s="21" t="str">
        <f ca="1">IFERROR(VLOOKUP(AB95,OFFSET(abbreviation[],0,ColumnLanguage),ColumnAbbreviation,FALSE),"")</f>
        <v/>
      </c>
      <c r="BU95" s="21" t="str">
        <f t="shared" ca="1" si="8"/>
        <v>__</v>
      </c>
      <c r="BV95" s="21" t="str">
        <f ca="1">IFERROR(VLOOKUP(AF95,OFFSET(abbreviation[],0,ColumnLanguage),ColumnAbbreviation,FALSE),"")</f>
        <v/>
      </c>
      <c r="BW95" s="21" t="str">
        <f ca="1">IFERROR(VLOOKUP(AH95,OFFSET(abbreviation[],0,ColumnLanguage),ColumnAbbreviation,FALSE),"")</f>
        <v/>
      </c>
      <c r="BX95" s="21" t="str">
        <f ca="1">IFERROR(VLOOKUP(AJ95,OFFSET(abbreviation[],0,ColumnLanguage),ColumnAbbreviation,FALSE),"")</f>
        <v/>
      </c>
      <c r="BY95" s="21" t="str">
        <f ca="1">IFERROR(VLOOKUP(AL95,OFFSET(abbreviation[],0,ColumnLanguage),ColumnAbbreviation,FALSE),"")</f>
        <v/>
      </c>
      <c r="BZ95" s="21" t="str">
        <f t="shared" ca="1" si="9"/>
        <v>_</v>
      </c>
      <c r="CA95" s="21" t="str">
        <f ca="1">IFERROR(VLOOKUP(AP95,OFFSET(abbreviation[],0,ColumnLanguage),ColumnAbbreviation,FALSE),"")</f>
        <v/>
      </c>
      <c r="CB95" s="21" t="str">
        <f ca="1">IFERROR(VLOOKUP(AR95,OFFSET(abbreviation[],0,ColumnLanguage),ColumnAbbreviation,FALSE),"")</f>
        <v/>
      </c>
      <c r="CC95" s="21" t="str">
        <f ca="1">IFERROR(VLOOKUP(AT95,OFFSET(abbreviation[],0,ColumnLanguage),ColumnAbbreviation,FALSE),"")</f>
        <v/>
      </c>
      <c r="CD95" s="21" t="str">
        <f ca="1">IFERROR(VLOOKUP(AV95,OFFSET(abbreviation[],0,ColumnLanguage),ColumnAbbreviation,FALSE),"")</f>
        <v/>
      </c>
      <c r="CE95" s="21" t="str">
        <f t="shared" ca="1" si="10"/>
        <v>__</v>
      </c>
      <c r="CF95" s="21" t="str">
        <f ca="1">IFERROR(VLOOKUP(AX95,OFFSET(abbreviation[],0,ColumnLanguage),ColumnAbbreviation,FALSE),"")</f>
        <v/>
      </c>
      <c r="CG95" s="21" t="str">
        <f ca="1">IFERROR(VLOOKUP(AZ95,OFFSET(abbreviation[],0,ColumnLanguage),ColumnAbbreviation,FALSE),"")</f>
        <v/>
      </c>
      <c r="CH95" s="21" t="str">
        <f ca="1">IFERROR(VLOOKUP(BB95,OFFSET(abbreviation[],0,ColumnLanguage),ColumnAbbreviation,FALSE),"")</f>
        <v/>
      </c>
      <c r="CI95" s="21" t="str">
        <f ca="1">IFERROR(VLOOKUP(BD95,OFFSET(abbreviation[],0,ColumnLanguage),ColumnAbbreviation,FALSE),"")</f>
        <v/>
      </c>
      <c r="CJ95" s="21" t="str">
        <f ca="1">IFERROR(VLOOKUP(BF95,OFFSET(abbreviation[],0,ColumnLanguage),ColumnAbbreviation,FALSE),"")</f>
        <v/>
      </c>
      <c r="CK95" s="21" t="str">
        <f t="shared" ca="1" si="11"/>
        <v/>
      </c>
      <c r="CL95" s="21" t="str">
        <f t="shared" si="12"/>
        <v/>
      </c>
      <c r="CM95" s="52"/>
      <c r="CN95" s="57" t="str">
        <f t="shared" si="13"/>
        <v/>
      </c>
    </row>
    <row r="96" spans="16:92" x14ac:dyDescent="0.25">
      <c r="P96" s="60"/>
      <c r="Q96" s="13"/>
      <c r="V96" s="60"/>
      <c r="X96" s="61"/>
      <c r="AB96" s="60"/>
      <c r="AN96" s="54"/>
      <c r="AS96" s="15"/>
      <c r="BH96" s="52"/>
      <c r="BI96" s="21" t="str">
        <f ca="1">IFERROR(VLOOKUP(C96,OFFSET(abbreviation[],0,ColumnLanguage),ColumnAbbreviation,FALSE),"")</f>
        <v/>
      </c>
      <c r="BJ96" s="21" t="str">
        <f ca="1">IFERROR(VLOOKUP(E96,OFFSET(abbreviation[],0,ColumnLanguage),ColumnAbbreviation,FALSE),"")</f>
        <v/>
      </c>
      <c r="BK96" s="21" t="str">
        <f ca="1">IFERROR(VLOOKUP(G96,OFFSET(abbreviation[],0,ColumnLanguage),ColumnAbbreviation,FALSE),"")</f>
        <v/>
      </c>
      <c r="BL96" s="21" t="str">
        <f ca="1">IFERROR(VLOOKUP(I96,OFFSET(abbreviation[],0,ColumnLanguage),ColumnAbbreviation,FALSE),"")</f>
        <v/>
      </c>
      <c r="BM96" s="21" t="str">
        <f ca="1">IFERROR(VLOOKUP(K96,OFFSET(abbreviation[],0,ColumnLanguage),ColumnAbbreviation,FALSE),"")</f>
        <v/>
      </c>
      <c r="BN96" s="21" t="str">
        <f t="shared" ca="1" si="7"/>
        <v/>
      </c>
      <c r="BO96" s="21" t="str">
        <f ca="1">IFERROR(VLOOKUP(N96,OFFSET(abbreviation[],0,ColumnLanguage),ColumnAbbreviation,FALSE),"")</f>
        <v/>
      </c>
      <c r="BP96" s="21" t="str">
        <f ca="1">IFERROR(VLOOKUP(P96,OFFSET(abbreviation[],0,ColumnLanguage),ColumnAbbreviation,FALSE),"")</f>
        <v/>
      </c>
      <c r="BQ96" s="21" t="str">
        <f ca="1">IFERROR(VLOOKUP(T96,OFFSET(abbreviation[],0,ColumnLanguage),ColumnAbbreviation,FALSE),"")</f>
        <v/>
      </c>
      <c r="BR96" s="21" t="str">
        <f ca="1">IFERROR(VLOOKUP(V96,OFFSET(abbreviation[],0,ColumnLanguage),ColumnAbbreviation,FALSE),"")</f>
        <v/>
      </c>
      <c r="BS96" s="21" t="str">
        <f ca="1">IFERROR(VLOOKUP(Z96,OFFSET(abbreviation[],0,ColumnLanguage),ColumnAbbreviation,FALSE),"")</f>
        <v/>
      </c>
      <c r="BT96" s="21" t="str">
        <f ca="1">IFERROR(VLOOKUP(AB96,OFFSET(abbreviation[],0,ColumnLanguage),ColumnAbbreviation,FALSE),"")</f>
        <v/>
      </c>
      <c r="BU96" s="21" t="str">
        <f t="shared" ca="1" si="8"/>
        <v>__</v>
      </c>
      <c r="BV96" s="21" t="str">
        <f ca="1">IFERROR(VLOOKUP(AF96,OFFSET(abbreviation[],0,ColumnLanguage),ColumnAbbreviation,FALSE),"")</f>
        <v/>
      </c>
      <c r="BW96" s="21" t="str">
        <f ca="1">IFERROR(VLOOKUP(AH96,OFFSET(abbreviation[],0,ColumnLanguage),ColumnAbbreviation,FALSE),"")</f>
        <v/>
      </c>
      <c r="BX96" s="21" t="str">
        <f ca="1">IFERROR(VLOOKUP(AJ96,OFFSET(abbreviation[],0,ColumnLanguage),ColumnAbbreviation,FALSE),"")</f>
        <v/>
      </c>
      <c r="BY96" s="21" t="str">
        <f ca="1">IFERROR(VLOOKUP(AL96,OFFSET(abbreviation[],0,ColumnLanguage),ColumnAbbreviation,FALSE),"")</f>
        <v/>
      </c>
      <c r="BZ96" s="21" t="str">
        <f t="shared" ca="1" si="9"/>
        <v>_</v>
      </c>
      <c r="CA96" s="21" t="str">
        <f ca="1">IFERROR(VLOOKUP(AP96,OFFSET(abbreviation[],0,ColumnLanguage),ColumnAbbreviation,FALSE),"")</f>
        <v/>
      </c>
      <c r="CB96" s="21" t="str">
        <f ca="1">IFERROR(VLOOKUP(AR96,OFFSET(abbreviation[],0,ColumnLanguage),ColumnAbbreviation,FALSE),"")</f>
        <v/>
      </c>
      <c r="CC96" s="21" t="str">
        <f ca="1">IFERROR(VLOOKUP(AT96,OFFSET(abbreviation[],0,ColumnLanguage),ColumnAbbreviation,FALSE),"")</f>
        <v/>
      </c>
      <c r="CD96" s="21" t="str">
        <f ca="1">IFERROR(VLOOKUP(AV96,OFFSET(abbreviation[],0,ColumnLanguage),ColumnAbbreviation,FALSE),"")</f>
        <v/>
      </c>
      <c r="CE96" s="21" t="str">
        <f t="shared" ca="1" si="10"/>
        <v>__</v>
      </c>
      <c r="CF96" s="21" t="str">
        <f ca="1">IFERROR(VLOOKUP(AX96,OFFSET(abbreviation[],0,ColumnLanguage),ColumnAbbreviation,FALSE),"")</f>
        <v/>
      </c>
      <c r="CG96" s="21" t="str">
        <f ca="1">IFERROR(VLOOKUP(AZ96,OFFSET(abbreviation[],0,ColumnLanguage),ColumnAbbreviation,FALSE),"")</f>
        <v/>
      </c>
      <c r="CH96" s="21" t="str">
        <f ca="1">IFERROR(VLOOKUP(BB96,OFFSET(abbreviation[],0,ColumnLanguage),ColumnAbbreviation,FALSE),"")</f>
        <v/>
      </c>
      <c r="CI96" s="21" t="str">
        <f ca="1">IFERROR(VLOOKUP(BD96,OFFSET(abbreviation[],0,ColumnLanguage),ColumnAbbreviation,FALSE),"")</f>
        <v/>
      </c>
      <c r="CJ96" s="21" t="str">
        <f ca="1">IFERROR(VLOOKUP(BF96,OFFSET(abbreviation[],0,ColumnLanguage),ColumnAbbreviation,FALSE),"")</f>
        <v/>
      </c>
      <c r="CK96" s="21" t="str">
        <f t="shared" ca="1" si="11"/>
        <v/>
      </c>
      <c r="CL96" s="21" t="str">
        <f t="shared" si="12"/>
        <v/>
      </c>
      <c r="CM96" s="52"/>
      <c r="CN96" s="57" t="str">
        <f t="shared" si="13"/>
        <v/>
      </c>
    </row>
    <row r="97" spans="14:92" x14ac:dyDescent="0.25">
      <c r="P97" s="60"/>
      <c r="Q97" s="13"/>
      <c r="V97" s="60"/>
      <c r="X97" s="61"/>
      <c r="AB97" s="60"/>
      <c r="AN97" s="54"/>
      <c r="AS97" s="15"/>
      <c r="BH97" s="52"/>
      <c r="BI97" s="21" t="str">
        <f ca="1">IFERROR(VLOOKUP(C97,OFFSET(abbreviation[],0,ColumnLanguage),ColumnAbbreviation,FALSE),"")</f>
        <v/>
      </c>
      <c r="BJ97" s="21" t="str">
        <f ca="1">IFERROR(VLOOKUP(E97,OFFSET(abbreviation[],0,ColumnLanguage),ColumnAbbreviation,FALSE),"")</f>
        <v/>
      </c>
      <c r="BK97" s="21" t="str">
        <f ca="1">IFERROR(VLOOKUP(G97,OFFSET(abbreviation[],0,ColumnLanguage),ColumnAbbreviation,FALSE),"")</f>
        <v/>
      </c>
      <c r="BL97" s="21" t="str">
        <f ca="1">IFERROR(VLOOKUP(I97,OFFSET(abbreviation[],0,ColumnLanguage),ColumnAbbreviation,FALSE),"")</f>
        <v/>
      </c>
      <c r="BM97" s="21" t="str">
        <f ca="1">IFERROR(VLOOKUP(K97,OFFSET(abbreviation[],0,ColumnLanguage),ColumnAbbreviation,FALSE),"")</f>
        <v/>
      </c>
      <c r="BN97" s="21" t="str">
        <f t="shared" ca="1" si="7"/>
        <v/>
      </c>
      <c r="BO97" s="21" t="str">
        <f ca="1">IFERROR(VLOOKUP(N97,OFFSET(abbreviation[],0,ColumnLanguage),ColumnAbbreviation,FALSE),"")</f>
        <v/>
      </c>
      <c r="BP97" s="21" t="str">
        <f ca="1">IFERROR(VLOOKUP(P97,OFFSET(abbreviation[],0,ColumnLanguage),ColumnAbbreviation,FALSE),"")</f>
        <v/>
      </c>
      <c r="BQ97" s="21" t="str">
        <f ca="1">IFERROR(VLOOKUP(T97,OFFSET(abbreviation[],0,ColumnLanguage),ColumnAbbreviation,FALSE),"")</f>
        <v/>
      </c>
      <c r="BR97" s="21" t="str">
        <f ca="1">IFERROR(VLOOKUP(V97,OFFSET(abbreviation[],0,ColumnLanguage),ColumnAbbreviation,FALSE),"")</f>
        <v/>
      </c>
      <c r="BS97" s="21" t="str">
        <f ca="1">IFERROR(VLOOKUP(Z97,OFFSET(abbreviation[],0,ColumnLanguage),ColumnAbbreviation,FALSE),"")</f>
        <v/>
      </c>
      <c r="BT97" s="21" t="str">
        <f ca="1">IFERROR(VLOOKUP(AB97,OFFSET(abbreviation[],0,ColumnLanguage),ColumnAbbreviation,FALSE),"")</f>
        <v/>
      </c>
      <c r="BU97" s="21" t="str">
        <f t="shared" ca="1" si="8"/>
        <v>__</v>
      </c>
      <c r="BV97" s="21" t="str">
        <f ca="1">IFERROR(VLOOKUP(AF97,OFFSET(abbreviation[],0,ColumnLanguage),ColumnAbbreviation,FALSE),"")</f>
        <v/>
      </c>
      <c r="BW97" s="21" t="str">
        <f ca="1">IFERROR(VLOOKUP(AH97,OFFSET(abbreviation[],0,ColumnLanguage),ColumnAbbreviation,FALSE),"")</f>
        <v/>
      </c>
      <c r="BX97" s="21" t="str">
        <f ca="1">IFERROR(VLOOKUP(AJ97,OFFSET(abbreviation[],0,ColumnLanguage),ColumnAbbreviation,FALSE),"")</f>
        <v/>
      </c>
      <c r="BY97" s="21" t="str">
        <f ca="1">IFERROR(VLOOKUP(AL97,OFFSET(abbreviation[],0,ColumnLanguage),ColumnAbbreviation,FALSE),"")</f>
        <v/>
      </c>
      <c r="BZ97" s="21" t="str">
        <f t="shared" ca="1" si="9"/>
        <v>_</v>
      </c>
      <c r="CA97" s="21" t="str">
        <f ca="1">IFERROR(VLOOKUP(AP97,OFFSET(abbreviation[],0,ColumnLanguage),ColumnAbbreviation,FALSE),"")</f>
        <v/>
      </c>
      <c r="CB97" s="21" t="str">
        <f ca="1">IFERROR(VLOOKUP(AR97,OFFSET(abbreviation[],0,ColumnLanguage),ColumnAbbreviation,FALSE),"")</f>
        <v/>
      </c>
      <c r="CC97" s="21" t="str">
        <f ca="1">IFERROR(VLOOKUP(AT97,OFFSET(abbreviation[],0,ColumnLanguage),ColumnAbbreviation,FALSE),"")</f>
        <v/>
      </c>
      <c r="CD97" s="21" t="str">
        <f ca="1">IFERROR(VLOOKUP(AV97,OFFSET(abbreviation[],0,ColumnLanguage),ColumnAbbreviation,FALSE),"")</f>
        <v/>
      </c>
      <c r="CE97" s="21" t="str">
        <f t="shared" ca="1" si="10"/>
        <v>__</v>
      </c>
      <c r="CF97" s="21" t="str">
        <f ca="1">IFERROR(VLOOKUP(AX97,OFFSET(abbreviation[],0,ColumnLanguage),ColumnAbbreviation,FALSE),"")</f>
        <v/>
      </c>
      <c r="CG97" s="21" t="str">
        <f ca="1">IFERROR(VLOOKUP(AZ97,OFFSET(abbreviation[],0,ColumnLanguage),ColumnAbbreviation,FALSE),"")</f>
        <v/>
      </c>
      <c r="CH97" s="21" t="str">
        <f ca="1">IFERROR(VLOOKUP(BB97,OFFSET(abbreviation[],0,ColumnLanguage),ColumnAbbreviation,FALSE),"")</f>
        <v/>
      </c>
      <c r="CI97" s="21" t="str">
        <f ca="1">IFERROR(VLOOKUP(BD97,OFFSET(abbreviation[],0,ColumnLanguage),ColumnAbbreviation,FALSE),"")</f>
        <v/>
      </c>
      <c r="CJ97" s="21" t="str">
        <f ca="1">IFERROR(VLOOKUP(BF97,OFFSET(abbreviation[],0,ColumnLanguage),ColumnAbbreviation,FALSE),"")</f>
        <v/>
      </c>
      <c r="CK97" s="21" t="str">
        <f t="shared" ca="1" si="11"/>
        <v/>
      </c>
      <c r="CL97" s="21" t="str">
        <f t="shared" si="12"/>
        <v/>
      </c>
      <c r="CM97" s="52"/>
      <c r="CN97" s="57" t="str">
        <f t="shared" si="13"/>
        <v/>
      </c>
    </row>
    <row r="98" spans="14:92" x14ac:dyDescent="0.25">
      <c r="P98" s="60"/>
      <c r="Q98" s="13"/>
      <c r="V98" s="60"/>
      <c r="X98" s="61"/>
      <c r="AB98" s="60"/>
      <c r="AN98" s="54"/>
      <c r="AS98" s="15"/>
      <c r="BH98" s="52"/>
      <c r="BI98" s="21" t="str">
        <f ca="1">IFERROR(VLOOKUP(C98,OFFSET(abbreviation[],0,ColumnLanguage),ColumnAbbreviation,FALSE),"")</f>
        <v/>
      </c>
      <c r="BJ98" s="21" t="str">
        <f ca="1">IFERROR(VLOOKUP(E98,OFFSET(abbreviation[],0,ColumnLanguage),ColumnAbbreviation,FALSE),"")</f>
        <v/>
      </c>
      <c r="BK98" s="21" t="str">
        <f ca="1">IFERROR(VLOOKUP(G98,OFFSET(abbreviation[],0,ColumnLanguage),ColumnAbbreviation,FALSE),"")</f>
        <v/>
      </c>
      <c r="BL98" s="21" t="str">
        <f ca="1">IFERROR(VLOOKUP(I98,OFFSET(abbreviation[],0,ColumnLanguage),ColumnAbbreviation,FALSE),"")</f>
        <v/>
      </c>
      <c r="BM98" s="21" t="str">
        <f ca="1">IFERROR(VLOOKUP(K98,OFFSET(abbreviation[],0,ColumnLanguage),ColumnAbbreviation,FALSE),"")</f>
        <v/>
      </c>
      <c r="BN98" s="21" t="str">
        <f t="shared" ca="1" si="7"/>
        <v/>
      </c>
      <c r="BO98" s="21" t="str">
        <f ca="1">IFERROR(VLOOKUP(N98,OFFSET(abbreviation[],0,ColumnLanguage),ColumnAbbreviation,FALSE),"")</f>
        <v/>
      </c>
      <c r="BP98" s="21" t="str">
        <f ca="1">IFERROR(VLOOKUP(P98,OFFSET(abbreviation[],0,ColumnLanguage),ColumnAbbreviation,FALSE),"")</f>
        <v/>
      </c>
      <c r="BQ98" s="21" t="str">
        <f ca="1">IFERROR(VLOOKUP(T98,OFFSET(abbreviation[],0,ColumnLanguage),ColumnAbbreviation,FALSE),"")</f>
        <v/>
      </c>
      <c r="BR98" s="21" t="str">
        <f ca="1">IFERROR(VLOOKUP(V98,OFFSET(abbreviation[],0,ColumnLanguage),ColumnAbbreviation,FALSE),"")</f>
        <v/>
      </c>
      <c r="BS98" s="21" t="str">
        <f ca="1">IFERROR(VLOOKUP(Z98,OFFSET(abbreviation[],0,ColumnLanguage),ColumnAbbreviation,FALSE),"")</f>
        <v/>
      </c>
      <c r="BT98" s="21" t="str">
        <f ca="1">IFERROR(VLOOKUP(AB98,OFFSET(abbreviation[],0,ColumnLanguage),ColumnAbbreviation,FALSE),"")</f>
        <v/>
      </c>
      <c r="BU98" s="21" t="str">
        <f t="shared" ca="1" si="8"/>
        <v>__</v>
      </c>
      <c r="BV98" s="21" t="str">
        <f ca="1">IFERROR(VLOOKUP(AF98,OFFSET(abbreviation[],0,ColumnLanguage),ColumnAbbreviation,FALSE),"")</f>
        <v/>
      </c>
      <c r="BW98" s="21" t="str">
        <f ca="1">IFERROR(VLOOKUP(AH98,OFFSET(abbreviation[],0,ColumnLanguage),ColumnAbbreviation,FALSE),"")</f>
        <v/>
      </c>
      <c r="BX98" s="21" t="str">
        <f ca="1">IFERROR(VLOOKUP(AJ98,OFFSET(abbreviation[],0,ColumnLanguage),ColumnAbbreviation,FALSE),"")</f>
        <v/>
      </c>
      <c r="BY98" s="21" t="str">
        <f ca="1">IFERROR(VLOOKUP(AL98,OFFSET(abbreviation[],0,ColumnLanguage),ColumnAbbreviation,FALSE),"")</f>
        <v/>
      </c>
      <c r="BZ98" s="21" t="str">
        <f t="shared" ca="1" si="9"/>
        <v>_</v>
      </c>
      <c r="CA98" s="21" t="str">
        <f ca="1">IFERROR(VLOOKUP(AP98,OFFSET(abbreviation[],0,ColumnLanguage),ColumnAbbreviation,FALSE),"")</f>
        <v/>
      </c>
      <c r="CB98" s="21" t="str">
        <f ca="1">IFERROR(VLOOKUP(AR98,OFFSET(abbreviation[],0,ColumnLanguage),ColumnAbbreviation,FALSE),"")</f>
        <v/>
      </c>
      <c r="CC98" s="21" t="str">
        <f ca="1">IFERROR(VLOOKUP(AT98,OFFSET(abbreviation[],0,ColumnLanguage),ColumnAbbreviation,FALSE),"")</f>
        <v/>
      </c>
      <c r="CD98" s="21" t="str">
        <f ca="1">IFERROR(VLOOKUP(AV98,OFFSET(abbreviation[],0,ColumnLanguage),ColumnAbbreviation,FALSE),"")</f>
        <v/>
      </c>
      <c r="CE98" s="21" t="str">
        <f t="shared" ca="1" si="10"/>
        <v>__</v>
      </c>
      <c r="CF98" s="21" t="str">
        <f ca="1">IFERROR(VLOOKUP(AX98,OFFSET(abbreviation[],0,ColumnLanguage),ColumnAbbreviation,FALSE),"")</f>
        <v/>
      </c>
      <c r="CG98" s="21" t="str">
        <f ca="1">IFERROR(VLOOKUP(AZ98,OFFSET(abbreviation[],0,ColumnLanguage),ColumnAbbreviation,FALSE),"")</f>
        <v/>
      </c>
      <c r="CH98" s="21" t="str">
        <f ca="1">IFERROR(VLOOKUP(BB98,OFFSET(abbreviation[],0,ColumnLanguage),ColumnAbbreviation,FALSE),"")</f>
        <v/>
      </c>
      <c r="CI98" s="21" t="str">
        <f ca="1">IFERROR(VLOOKUP(BD98,OFFSET(abbreviation[],0,ColumnLanguage),ColumnAbbreviation,FALSE),"")</f>
        <v/>
      </c>
      <c r="CJ98" s="21" t="str">
        <f ca="1">IFERROR(VLOOKUP(BF98,OFFSET(abbreviation[],0,ColumnLanguage),ColumnAbbreviation,FALSE),"")</f>
        <v/>
      </c>
      <c r="CK98" s="21" t="str">
        <f t="shared" ca="1" si="11"/>
        <v/>
      </c>
      <c r="CL98" s="21" t="str">
        <f t="shared" si="12"/>
        <v/>
      </c>
      <c r="CM98" s="52"/>
      <c r="CN98" s="57" t="str">
        <f t="shared" si="13"/>
        <v/>
      </c>
    </row>
    <row r="99" spans="14:92" x14ac:dyDescent="0.25">
      <c r="P99" s="60"/>
      <c r="Q99" s="13"/>
      <c r="V99" s="60"/>
      <c r="X99" s="61"/>
      <c r="AB99" s="60"/>
      <c r="AN99" s="54"/>
      <c r="AS99" s="15"/>
      <c r="BH99" s="52"/>
      <c r="BI99" s="21" t="str">
        <f ca="1">IFERROR(VLOOKUP(C99,OFFSET(abbreviation[],0,ColumnLanguage),ColumnAbbreviation,FALSE),"")</f>
        <v/>
      </c>
      <c r="BJ99" s="21" t="str">
        <f ca="1">IFERROR(VLOOKUP(E99,OFFSET(abbreviation[],0,ColumnLanguage),ColumnAbbreviation,FALSE),"")</f>
        <v/>
      </c>
      <c r="BK99" s="21" t="str">
        <f ca="1">IFERROR(VLOOKUP(G99,OFFSET(abbreviation[],0,ColumnLanguage),ColumnAbbreviation,FALSE),"")</f>
        <v/>
      </c>
      <c r="BL99" s="21" t="str">
        <f ca="1">IFERROR(VLOOKUP(I99,OFFSET(abbreviation[],0,ColumnLanguage),ColumnAbbreviation,FALSE),"")</f>
        <v/>
      </c>
      <c r="BM99" s="21" t="str">
        <f ca="1">IFERROR(VLOOKUP(K99,OFFSET(abbreviation[],0,ColumnLanguage),ColumnAbbreviation,FALSE),"")</f>
        <v/>
      </c>
      <c r="BN99" s="21" t="str">
        <f t="shared" ca="1" si="7"/>
        <v/>
      </c>
      <c r="BO99" s="21" t="str">
        <f ca="1">IFERROR(VLOOKUP(N99,OFFSET(abbreviation[],0,ColumnLanguage),ColumnAbbreviation,FALSE),"")</f>
        <v/>
      </c>
      <c r="BP99" s="21" t="str">
        <f ca="1">IFERROR(VLOOKUP(P99,OFFSET(abbreviation[],0,ColumnLanguage),ColumnAbbreviation,FALSE),"")</f>
        <v/>
      </c>
      <c r="BQ99" s="21" t="str">
        <f ca="1">IFERROR(VLOOKUP(T99,OFFSET(abbreviation[],0,ColumnLanguage),ColumnAbbreviation,FALSE),"")</f>
        <v/>
      </c>
      <c r="BR99" s="21" t="str">
        <f ca="1">IFERROR(VLOOKUP(V99,OFFSET(abbreviation[],0,ColumnLanguage),ColumnAbbreviation,FALSE),"")</f>
        <v/>
      </c>
      <c r="BS99" s="21" t="str">
        <f ca="1">IFERROR(VLOOKUP(Z99,OFFSET(abbreviation[],0,ColumnLanguage),ColumnAbbreviation,FALSE),"")</f>
        <v/>
      </c>
      <c r="BT99" s="21" t="str">
        <f ca="1">IFERROR(VLOOKUP(AB99,OFFSET(abbreviation[],0,ColumnLanguage),ColumnAbbreviation,FALSE),"")</f>
        <v/>
      </c>
      <c r="BU99" s="21" t="str">
        <f t="shared" ca="1" si="8"/>
        <v>__</v>
      </c>
      <c r="BV99" s="21" t="str">
        <f ca="1">IFERROR(VLOOKUP(AF99,OFFSET(abbreviation[],0,ColumnLanguage),ColumnAbbreviation,FALSE),"")</f>
        <v/>
      </c>
      <c r="BW99" s="21" t="str">
        <f ca="1">IFERROR(VLOOKUP(AH99,OFFSET(abbreviation[],0,ColumnLanguage),ColumnAbbreviation,FALSE),"")</f>
        <v/>
      </c>
      <c r="BX99" s="21" t="str">
        <f ca="1">IFERROR(VLOOKUP(AJ99,OFFSET(abbreviation[],0,ColumnLanguage),ColumnAbbreviation,FALSE),"")</f>
        <v/>
      </c>
      <c r="BY99" s="21" t="str">
        <f ca="1">IFERROR(VLOOKUP(AL99,OFFSET(abbreviation[],0,ColumnLanguage),ColumnAbbreviation,FALSE),"")</f>
        <v/>
      </c>
      <c r="BZ99" s="21" t="str">
        <f t="shared" ca="1" si="9"/>
        <v>_</v>
      </c>
      <c r="CA99" s="21" t="str">
        <f ca="1">IFERROR(VLOOKUP(AP99,OFFSET(abbreviation[],0,ColumnLanguage),ColumnAbbreviation,FALSE),"")</f>
        <v/>
      </c>
      <c r="CB99" s="21" t="str">
        <f ca="1">IFERROR(VLOOKUP(AR99,OFFSET(abbreviation[],0,ColumnLanguage),ColumnAbbreviation,FALSE),"")</f>
        <v/>
      </c>
      <c r="CC99" s="21" t="str">
        <f ca="1">IFERROR(VLOOKUP(AT99,OFFSET(abbreviation[],0,ColumnLanguage),ColumnAbbreviation,FALSE),"")</f>
        <v/>
      </c>
      <c r="CD99" s="21" t="str">
        <f ca="1">IFERROR(VLOOKUP(AV99,OFFSET(abbreviation[],0,ColumnLanguage),ColumnAbbreviation,FALSE),"")</f>
        <v/>
      </c>
      <c r="CE99" s="21" t="str">
        <f t="shared" ca="1" si="10"/>
        <v>__</v>
      </c>
      <c r="CF99" s="21" t="str">
        <f ca="1">IFERROR(VLOOKUP(AX99,OFFSET(abbreviation[],0,ColumnLanguage),ColumnAbbreviation,FALSE),"")</f>
        <v/>
      </c>
      <c r="CG99" s="21" t="str">
        <f ca="1">IFERROR(VLOOKUP(AZ99,OFFSET(abbreviation[],0,ColumnLanguage),ColumnAbbreviation,FALSE),"")</f>
        <v/>
      </c>
      <c r="CH99" s="21" t="str">
        <f ca="1">IFERROR(VLOOKUP(BB99,OFFSET(abbreviation[],0,ColumnLanguage),ColumnAbbreviation,FALSE),"")</f>
        <v/>
      </c>
      <c r="CI99" s="21" t="str">
        <f ca="1">IFERROR(VLOOKUP(BD99,OFFSET(abbreviation[],0,ColumnLanguage),ColumnAbbreviation,FALSE),"")</f>
        <v/>
      </c>
      <c r="CJ99" s="21" t="str">
        <f ca="1">IFERROR(VLOOKUP(BF99,OFFSET(abbreviation[],0,ColumnLanguage),ColumnAbbreviation,FALSE),"")</f>
        <v/>
      </c>
      <c r="CK99" s="21" t="str">
        <f t="shared" ca="1" si="11"/>
        <v/>
      </c>
      <c r="CL99" s="21" t="str">
        <f t="shared" si="12"/>
        <v/>
      </c>
      <c r="CM99" s="52"/>
      <c r="CN99" s="57" t="str">
        <f t="shared" si="13"/>
        <v/>
      </c>
    </row>
    <row r="100" spans="14:92" x14ac:dyDescent="0.25">
      <c r="P100" s="60"/>
      <c r="Q100" s="13"/>
      <c r="V100" s="60"/>
      <c r="X100" s="61"/>
      <c r="AB100" s="60"/>
      <c r="AN100" s="54"/>
      <c r="AS100" s="15"/>
      <c r="BH100" s="52"/>
      <c r="BI100" s="21" t="str">
        <f ca="1">IFERROR(VLOOKUP(C100,OFFSET(abbreviation[],0,ColumnLanguage),ColumnAbbreviation,FALSE),"")</f>
        <v/>
      </c>
      <c r="BJ100" s="21" t="str">
        <f ca="1">IFERROR(VLOOKUP(E100,OFFSET(abbreviation[],0,ColumnLanguage),ColumnAbbreviation,FALSE),"")</f>
        <v/>
      </c>
      <c r="BK100" s="21" t="str">
        <f ca="1">IFERROR(VLOOKUP(G100,OFFSET(abbreviation[],0,ColumnLanguage),ColumnAbbreviation,FALSE),"")</f>
        <v/>
      </c>
      <c r="BL100" s="21" t="str">
        <f ca="1">IFERROR(VLOOKUP(I100,OFFSET(abbreviation[],0,ColumnLanguage),ColumnAbbreviation,FALSE),"")</f>
        <v/>
      </c>
      <c r="BM100" s="21" t="str">
        <f ca="1">IFERROR(VLOOKUP(K100,OFFSET(abbreviation[],0,ColumnLanguage),ColumnAbbreviation,FALSE),"")</f>
        <v/>
      </c>
      <c r="BN100" s="21" t="str">
        <f t="shared" ca="1" si="7"/>
        <v/>
      </c>
      <c r="BO100" s="21" t="str">
        <f ca="1">IFERROR(VLOOKUP(N100,OFFSET(abbreviation[],0,ColumnLanguage),ColumnAbbreviation,FALSE),"")</f>
        <v/>
      </c>
      <c r="BP100" s="21" t="str">
        <f ca="1">IFERROR(VLOOKUP(P100,OFFSET(abbreviation[],0,ColumnLanguage),ColumnAbbreviation,FALSE),"")</f>
        <v/>
      </c>
      <c r="BQ100" s="21" t="str">
        <f ca="1">IFERROR(VLOOKUP(T100,OFFSET(abbreviation[],0,ColumnLanguage),ColumnAbbreviation,FALSE),"")</f>
        <v/>
      </c>
      <c r="BR100" s="21" t="str">
        <f ca="1">IFERROR(VLOOKUP(V100,OFFSET(abbreviation[],0,ColumnLanguage),ColumnAbbreviation,FALSE),"")</f>
        <v/>
      </c>
      <c r="BS100" s="21" t="str">
        <f ca="1">IFERROR(VLOOKUP(Z100,OFFSET(abbreviation[],0,ColumnLanguage),ColumnAbbreviation,FALSE),"")</f>
        <v/>
      </c>
      <c r="BT100" s="21" t="str">
        <f ca="1">IFERROR(VLOOKUP(AB100,OFFSET(abbreviation[],0,ColumnLanguage),ColumnAbbreviation,FALSE),"")</f>
        <v/>
      </c>
      <c r="BU100" s="21" t="str">
        <f t="shared" ca="1" si="8"/>
        <v>__</v>
      </c>
      <c r="BV100" s="21" t="str">
        <f ca="1">IFERROR(VLOOKUP(AF100,OFFSET(abbreviation[],0,ColumnLanguage),ColumnAbbreviation,FALSE),"")</f>
        <v/>
      </c>
      <c r="BW100" s="21" t="str">
        <f ca="1">IFERROR(VLOOKUP(AH100,OFFSET(abbreviation[],0,ColumnLanguage),ColumnAbbreviation,FALSE),"")</f>
        <v/>
      </c>
      <c r="BX100" s="21" t="str">
        <f ca="1">IFERROR(VLOOKUP(AJ100,OFFSET(abbreviation[],0,ColumnLanguage),ColumnAbbreviation,FALSE),"")</f>
        <v/>
      </c>
      <c r="BY100" s="21" t="str">
        <f ca="1">IFERROR(VLOOKUP(AL100,OFFSET(abbreviation[],0,ColumnLanguage),ColumnAbbreviation,FALSE),"")</f>
        <v/>
      </c>
      <c r="BZ100" s="21" t="str">
        <f t="shared" ca="1" si="9"/>
        <v>_</v>
      </c>
      <c r="CA100" s="21" t="str">
        <f ca="1">IFERROR(VLOOKUP(AP100,OFFSET(abbreviation[],0,ColumnLanguage),ColumnAbbreviation,FALSE),"")</f>
        <v/>
      </c>
      <c r="CB100" s="21" t="str">
        <f ca="1">IFERROR(VLOOKUP(AR100,OFFSET(abbreviation[],0,ColumnLanguage),ColumnAbbreviation,FALSE),"")</f>
        <v/>
      </c>
      <c r="CC100" s="21" t="str">
        <f ca="1">IFERROR(VLOOKUP(AT100,OFFSET(abbreviation[],0,ColumnLanguage),ColumnAbbreviation,FALSE),"")</f>
        <v/>
      </c>
      <c r="CD100" s="21" t="str">
        <f ca="1">IFERROR(VLOOKUP(AV100,OFFSET(abbreviation[],0,ColumnLanguage),ColumnAbbreviation,FALSE),"")</f>
        <v/>
      </c>
      <c r="CE100" s="21" t="str">
        <f t="shared" ca="1" si="10"/>
        <v>__</v>
      </c>
      <c r="CF100" s="21" t="str">
        <f ca="1">IFERROR(VLOOKUP(AX100,OFFSET(abbreviation[],0,ColumnLanguage),ColumnAbbreviation,FALSE),"")</f>
        <v/>
      </c>
      <c r="CG100" s="21" t="str">
        <f ca="1">IFERROR(VLOOKUP(AZ100,OFFSET(abbreviation[],0,ColumnLanguage),ColumnAbbreviation,FALSE),"")</f>
        <v/>
      </c>
      <c r="CH100" s="21" t="str">
        <f ca="1">IFERROR(VLOOKUP(BB100,OFFSET(abbreviation[],0,ColumnLanguage),ColumnAbbreviation,FALSE),"")</f>
        <v/>
      </c>
      <c r="CI100" s="21" t="str">
        <f ca="1">IFERROR(VLOOKUP(BD100,OFFSET(abbreviation[],0,ColumnLanguage),ColumnAbbreviation,FALSE),"")</f>
        <v/>
      </c>
      <c r="CJ100" s="21" t="str">
        <f ca="1">IFERROR(VLOOKUP(BF100,OFFSET(abbreviation[],0,ColumnLanguage),ColumnAbbreviation,FALSE),"")</f>
        <v/>
      </c>
      <c r="CK100" s="21" t="str">
        <f t="shared" ca="1" si="11"/>
        <v/>
      </c>
      <c r="CL100" s="21" t="str">
        <f t="shared" si="12"/>
        <v/>
      </c>
      <c r="CM100" s="52"/>
      <c r="CN100" s="57" t="str">
        <f t="shared" si="13"/>
        <v/>
      </c>
    </row>
    <row r="101" spans="14:92" x14ac:dyDescent="0.25">
      <c r="P101" s="60"/>
      <c r="Q101" s="13"/>
      <c r="V101" s="60"/>
      <c r="X101" s="61"/>
      <c r="AB101" s="60"/>
      <c r="AN101" s="54"/>
      <c r="AS101" s="15"/>
      <c r="BH101" s="52"/>
      <c r="BI101" s="21" t="str">
        <f ca="1">IFERROR(VLOOKUP(C101,OFFSET(abbreviation[],0,ColumnLanguage),ColumnAbbreviation,FALSE),"")</f>
        <v/>
      </c>
      <c r="BJ101" s="21" t="str">
        <f ca="1">IFERROR(VLOOKUP(E101,OFFSET(abbreviation[],0,ColumnLanguage),ColumnAbbreviation,FALSE),"")</f>
        <v/>
      </c>
      <c r="BK101" s="21" t="str">
        <f ca="1">IFERROR(VLOOKUP(G101,OFFSET(abbreviation[],0,ColumnLanguage),ColumnAbbreviation,FALSE),"")</f>
        <v/>
      </c>
      <c r="BL101" s="21" t="str">
        <f ca="1">IFERROR(VLOOKUP(I101,OFFSET(abbreviation[],0,ColumnLanguage),ColumnAbbreviation,FALSE),"")</f>
        <v/>
      </c>
      <c r="BM101" s="21" t="str">
        <f ca="1">IFERROR(VLOOKUP(K101,OFFSET(abbreviation[],0,ColumnLanguage),ColumnAbbreviation,FALSE),"")</f>
        <v/>
      </c>
      <c r="BN101" s="21" t="str">
        <f t="shared" ca="1" si="7"/>
        <v/>
      </c>
      <c r="BO101" s="21" t="str">
        <f ca="1">IFERROR(VLOOKUP(N101,OFFSET(abbreviation[],0,ColumnLanguage),ColumnAbbreviation,FALSE),"")</f>
        <v/>
      </c>
      <c r="BP101" s="21" t="str">
        <f ca="1">IFERROR(VLOOKUP(P101,OFFSET(abbreviation[],0,ColumnLanguage),ColumnAbbreviation,FALSE),"")</f>
        <v/>
      </c>
      <c r="BQ101" s="21" t="str">
        <f ca="1">IFERROR(VLOOKUP(T101,OFFSET(abbreviation[],0,ColumnLanguage),ColumnAbbreviation,FALSE),"")</f>
        <v/>
      </c>
      <c r="BR101" s="21" t="str">
        <f ca="1">IFERROR(VLOOKUP(V101,OFFSET(abbreviation[],0,ColumnLanguage),ColumnAbbreviation,FALSE),"")</f>
        <v/>
      </c>
      <c r="BS101" s="21" t="str">
        <f ca="1">IFERROR(VLOOKUP(Z101,OFFSET(abbreviation[],0,ColumnLanguage),ColumnAbbreviation,FALSE),"")</f>
        <v/>
      </c>
      <c r="BT101" s="21" t="str">
        <f ca="1">IFERROR(VLOOKUP(AB101,OFFSET(abbreviation[],0,ColumnLanguage),ColumnAbbreviation,FALSE),"")</f>
        <v/>
      </c>
      <c r="BU101" s="21" t="str">
        <f t="shared" ca="1" si="8"/>
        <v>__</v>
      </c>
      <c r="BV101" s="21" t="str">
        <f ca="1">IFERROR(VLOOKUP(AF101,OFFSET(abbreviation[],0,ColumnLanguage),ColumnAbbreviation,FALSE),"")</f>
        <v/>
      </c>
      <c r="BW101" s="21" t="str">
        <f ca="1">IFERROR(VLOOKUP(AH101,OFFSET(abbreviation[],0,ColumnLanguage),ColumnAbbreviation,FALSE),"")</f>
        <v/>
      </c>
      <c r="BX101" s="21" t="str">
        <f ca="1">IFERROR(VLOOKUP(AJ101,OFFSET(abbreviation[],0,ColumnLanguage),ColumnAbbreviation,FALSE),"")</f>
        <v/>
      </c>
      <c r="BY101" s="21" t="str">
        <f ca="1">IFERROR(VLOOKUP(AL101,OFFSET(abbreviation[],0,ColumnLanguage),ColumnAbbreviation,FALSE),"")</f>
        <v/>
      </c>
      <c r="BZ101" s="21" t="str">
        <f t="shared" ca="1" si="9"/>
        <v>_</v>
      </c>
      <c r="CA101" s="21" t="str">
        <f ca="1">IFERROR(VLOOKUP(AP101,OFFSET(abbreviation[],0,ColumnLanguage),ColumnAbbreviation,FALSE),"")</f>
        <v/>
      </c>
      <c r="CB101" s="21" t="str">
        <f ca="1">IFERROR(VLOOKUP(AR101,OFFSET(abbreviation[],0,ColumnLanguage),ColumnAbbreviation,FALSE),"")</f>
        <v/>
      </c>
      <c r="CC101" s="21" t="str">
        <f ca="1">IFERROR(VLOOKUP(AT101,OFFSET(abbreviation[],0,ColumnLanguage),ColumnAbbreviation,FALSE),"")</f>
        <v/>
      </c>
      <c r="CD101" s="21" t="str">
        <f ca="1">IFERROR(VLOOKUP(AV101,OFFSET(abbreviation[],0,ColumnLanguage),ColumnAbbreviation,FALSE),"")</f>
        <v/>
      </c>
      <c r="CE101" s="21" t="str">
        <f t="shared" ca="1" si="10"/>
        <v>__</v>
      </c>
      <c r="CF101" s="21" t="str">
        <f ca="1">IFERROR(VLOOKUP(AX101,OFFSET(abbreviation[],0,ColumnLanguage),ColumnAbbreviation,FALSE),"")</f>
        <v/>
      </c>
      <c r="CG101" s="21" t="str">
        <f ca="1">IFERROR(VLOOKUP(AZ101,OFFSET(abbreviation[],0,ColumnLanguage),ColumnAbbreviation,FALSE),"")</f>
        <v/>
      </c>
      <c r="CH101" s="21" t="str">
        <f ca="1">IFERROR(VLOOKUP(BB101,OFFSET(abbreviation[],0,ColumnLanguage),ColumnAbbreviation,FALSE),"")</f>
        <v/>
      </c>
      <c r="CI101" s="21" t="str">
        <f ca="1">IFERROR(VLOOKUP(BD101,OFFSET(abbreviation[],0,ColumnLanguage),ColumnAbbreviation,FALSE),"")</f>
        <v/>
      </c>
      <c r="CJ101" s="21" t="str">
        <f ca="1">IFERROR(VLOOKUP(BF101,OFFSET(abbreviation[],0,ColumnLanguage),ColumnAbbreviation,FALSE),"")</f>
        <v/>
      </c>
      <c r="CK101" s="21" t="str">
        <f t="shared" ca="1" si="11"/>
        <v/>
      </c>
      <c r="CL101" s="21" t="str">
        <f t="shared" si="12"/>
        <v/>
      </c>
      <c r="CM101" s="52"/>
      <c r="CN101" s="57" t="str">
        <f t="shared" si="13"/>
        <v/>
      </c>
    </row>
    <row r="102" spans="14:92" x14ac:dyDescent="0.25">
      <c r="P102" s="60"/>
      <c r="Q102" s="13"/>
      <c r="V102" s="60"/>
      <c r="X102" s="61"/>
      <c r="AB102" s="60"/>
      <c r="AN102" s="54"/>
      <c r="AS102" s="15"/>
      <c r="BH102" s="52"/>
      <c r="BI102" s="21" t="str">
        <f ca="1">IFERROR(VLOOKUP(C102,OFFSET(abbreviation[],0,ColumnLanguage),ColumnAbbreviation,FALSE),"")</f>
        <v/>
      </c>
      <c r="BJ102" s="21" t="str">
        <f ca="1">IFERROR(VLOOKUP(E102,OFFSET(abbreviation[],0,ColumnLanguage),ColumnAbbreviation,FALSE),"")</f>
        <v/>
      </c>
      <c r="BK102" s="21" t="str">
        <f ca="1">IFERROR(VLOOKUP(G102,OFFSET(abbreviation[],0,ColumnLanguage),ColumnAbbreviation,FALSE),"")</f>
        <v/>
      </c>
      <c r="BL102" s="21" t="str">
        <f ca="1">IFERROR(VLOOKUP(I102,OFFSET(abbreviation[],0,ColumnLanguage),ColumnAbbreviation,FALSE),"")</f>
        <v/>
      </c>
      <c r="BM102" s="21" t="str">
        <f ca="1">IFERROR(VLOOKUP(K102,OFFSET(abbreviation[],0,ColumnLanguage),ColumnAbbreviation,FALSE),"")</f>
        <v/>
      </c>
      <c r="BN102" s="21" t="str">
        <f t="shared" ca="1" si="7"/>
        <v/>
      </c>
      <c r="BO102" s="21" t="str">
        <f ca="1">IFERROR(VLOOKUP(N102,OFFSET(abbreviation[],0,ColumnLanguage),ColumnAbbreviation,FALSE),"")</f>
        <v/>
      </c>
      <c r="BP102" s="21" t="str">
        <f ca="1">IFERROR(VLOOKUP(P102,OFFSET(abbreviation[],0,ColumnLanguage),ColumnAbbreviation,FALSE),"")</f>
        <v/>
      </c>
      <c r="BQ102" s="21" t="str">
        <f ca="1">IFERROR(VLOOKUP(T102,OFFSET(abbreviation[],0,ColumnLanguage),ColumnAbbreviation,FALSE),"")</f>
        <v/>
      </c>
      <c r="BR102" s="21" t="str">
        <f ca="1">IFERROR(VLOOKUP(V102,OFFSET(abbreviation[],0,ColumnLanguage),ColumnAbbreviation,FALSE),"")</f>
        <v/>
      </c>
      <c r="BS102" s="21" t="str">
        <f ca="1">IFERROR(VLOOKUP(Z102,OFFSET(abbreviation[],0,ColumnLanguage),ColumnAbbreviation,FALSE),"")</f>
        <v/>
      </c>
      <c r="BT102" s="21" t="str">
        <f ca="1">IFERROR(VLOOKUP(AB102,OFFSET(abbreviation[],0,ColumnLanguage),ColumnAbbreviation,FALSE),"")</f>
        <v/>
      </c>
      <c r="BU102" s="21" t="str">
        <f t="shared" ca="1" si="8"/>
        <v>__</v>
      </c>
      <c r="BV102" s="21" t="str">
        <f ca="1">IFERROR(VLOOKUP(AF102,OFFSET(abbreviation[],0,ColumnLanguage),ColumnAbbreviation,FALSE),"")</f>
        <v/>
      </c>
      <c r="BW102" s="21" t="str">
        <f ca="1">IFERROR(VLOOKUP(AH102,OFFSET(abbreviation[],0,ColumnLanguage),ColumnAbbreviation,FALSE),"")</f>
        <v/>
      </c>
      <c r="BX102" s="21" t="str">
        <f ca="1">IFERROR(VLOOKUP(AJ102,OFFSET(abbreviation[],0,ColumnLanguage),ColumnAbbreviation,FALSE),"")</f>
        <v/>
      </c>
      <c r="BY102" s="21" t="str">
        <f ca="1">IFERROR(VLOOKUP(AL102,OFFSET(abbreviation[],0,ColumnLanguage),ColumnAbbreviation,FALSE),"")</f>
        <v/>
      </c>
      <c r="BZ102" s="21" t="str">
        <f t="shared" ca="1" si="9"/>
        <v>_</v>
      </c>
      <c r="CA102" s="21" t="str">
        <f ca="1">IFERROR(VLOOKUP(AP102,OFFSET(abbreviation[],0,ColumnLanguage),ColumnAbbreviation,FALSE),"")</f>
        <v/>
      </c>
      <c r="CB102" s="21" t="str">
        <f ca="1">IFERROR(VLOOKUP(AR102,OFFSET(abbreviation[],0,ColumnLanguage),ColumnAbbreviation,FALSE),"")</f>
        <v/>
      </c>
      <c r="CC102" s="21" t="str">
        <f ca="1">IFERROR(VLOOKUP(AT102,OFFSET(abbreviation[],0,ColumnLanguage),ColumnAbbreviation,FALSE),"")</f>
        <v/>
      </c>
      <c r="CD102" s="21" t="str">
        <f ca="1">IFERROR(VLOOKUP(AV102,OFFSET(abbreviation[],0,ColumnLanguage),ColumnAbbreviation,FALSE),"")</f>
        <v/>
      </c>
      <c r="CE102" s="21" t="str">
        <f t="shared" ca="1" si="10"/>
        <v>__</v>
      </c>
      <c r="CF102" s="21" t="str">
        <f ca="1">IFERROR(VLOOKUP(AX102,OFFSET(abbreviation[],0,ColumnLanguage),ColumnAbbreviation,FALSE),"")</f>
        <v/>
      </c>
      <c r="CG102" s="21" t="str">
        <f ca="1">IFERROR(VLOOKUP(AZ102,OFFSET(abbreviation[],0,ColumnLanguage),ColumnAbbreviation,FALSE),"")</f>
        <v/>
      </c>
      <c r="CH102" s="21" t="str">
        <f ca="1">IFERROR(VLOOKUP(BB102,OFFSET(abbreviation[],0,ColumnLanguage),ColumnAbbreviation,FALSE),"")</f>
        <v/>
      </c>
      <c r="CI102" s="21" t="str">
        <f ca="1">IFERROR(VLOOKUP(BD102,OFFSET(abbreviation[],0,ColumnLanguage),ColumnAbbreviation,FALSE),"")</f>
        <v/>
      </c>
      <c r="CJ102" s="21" t="str">
        <f ca="1">IFERROR(VLOOKUP(BF102,OFFSET(abbreviation[],0,ColumnLanguage),ColumnAbbreviation,FALSE),"")</f>
        <v/>
      </c>
      <c r="CK102" s="21" t="str">
        <f t="shared" ca="1" si="11"/>
        <v/>
      </c>
      <c r="CL102" s="21" t="str">
        <f t="shared" si="12"/>
        <v/>
      </c>
      <c r="CM102" s="52"/>
      <c r="CN102" s="57" t="str">
        <f t="shared" si="13"/>
        <v/>
      </c>
    </row>
    <row r="103" spans="14:92" x14ac:dyDescent="0.25">
      <c r="P103" s="60"/>
      <c r="Q103" s="13"/>
      <c r="V103" s="60"/>
      <c r="X103" s="61"/>
      <c r="AB103" s="60"/>
      <c r="AN103" s="54"/>
      <c r="AS103" s="15"/>
      <c r="BH103" s="52"/>
      <c r="BI103" s="21" t="str">
        <f ca="1">IFERROR(VLOOKUP(C103,OFFSET(abbreviation[],0,ColumnLanguage),ColumnAbbreviation,FALSE),"")</f>
        <v/>
      </c>
      <c r="BJ103" s="21" t="str">
        <f ca="1">IFERROR(VLOOKUP(E103,OFFSET(abbreviation[],0,ColumnLanguage),ColumnAbbreviation,FALSE),"")</f>
        <v/>
      </c>
      <c r="BK103" s="21" t="str">
        <f ca="1">IFERROR(VLOOKUP(G103,OFFSET(abbreviation[],0,ColumnLanguage),ColumnAbbreviation,FALSE),"")</f>
        <v/>
      </c>
      <c r="BL103" s="21" t="str">
        <f ca="1">IFERROR(VLOOKUP(I103,OFFSET(abbreviation[],0,ColumnLanguage),ColumnAbbreviation,FALSE),"")</f>
        <v/>
      </c>
      <c r="BM103" s="21" t="str">
        <f ca="1">IFERROR(VLOOKUP(K103,OFFSET(abbreviation[],0,ColumnLanguage),ColumnAbbreviation,FALSE),"")</f>
        <v/>
      </c>
      <c r="BN103" s="21" t="str">
        <f t="shared" ca="1" si="7"/>
        <v/>
      </c>
      <c r="BO103" s="21" t="str">
        <f ca="1">IFERROR(VLOOKUP(N103,OFFSET(abbreviation[],0,ColumnLanguage),ColumnAbbreviation,FALSE),"")</f>
        <v/>
      </c>
      <c r="BP103" s="21" t="str">
        <f ca="1">IFERROR(VLOOKUP(P103,OFFSET(abbreviation[],0,ColumnLanguage),ColumnAbbreviation,FALSE),"")</f>
        <v/>
      </c>
      <c r="BQ103" s="21" t="str">
        <f ca="1">IFERROR(VLOOKUP(T103,OFFSET(abbreviation[],0,ColumnLanguage),ColumnAbbreviation,FALSE),"")</f>
        <v/>
      </c>
      <c r="BR103" s="21" t="str">
        <f ca="1">IFERROR(VLOOKUP(V103,OFFSET(abbreviation[],0,ColumnLanguage),ColumnAbbreviation,FALSE),"")</f>
        <v/>
      </c>
      <c r="BS103" s="21" t="str">
        <f ca="1">IFERROR(VLOOKUP(Z103,OFFSET(abbreviation[],0,ColumnLanguage),ColumnAbbreviation,FALSE),"")</f>
        <v/>
      </c>
      <c r="BT103" s="21" t="str">
        <f ca="1">IFERROR(VLOOKUP(AB103,OFFSET(abbreviation[],0,ColumnLanguage),ColumnAbbreviation,FALSE),"")</f>
        <v/>
      </c>
      <c r="BU103" s="21" t="str">
        <f t="shared" ca="1" si="8"/>
        <v>__</v>
      </c>
      <c r="BV103" s="21" t="str">
        <f ca="1">IFERROR(VLOOKUP(AF103,OFFSET(abbreviation[],0,ColumnLanguage),ColumnAbbreviation,FALSE),"")</f>
        <v/>
      </c>
      <c r="BW103" s="21" t="str">
        <f ca="1">IFERROR(VLOOKUP(AH103,OFFSET(abbreviation[],0,ColumnLanguage),ColumnAbbreviation,FALSE),"")</f>
        <v/>
      </c>
      <c r="BX103" s="21" t="str">
        <f ca="1">IFERROR(VLOOKUP(AJ103,OFFSET(abbreviation[],0,ColumnLanguage),ColumnAbbreviation,FALSE),"")</f>
        <v/>
      </c>
      <c r="BY103" s="21" t="str">
        <f ca="1">IFERROR(VLOOKUP(AL103,OFFSET(abbreviation[],0,ColumnLanguage),ColumnAbbreviation,FALSE),"")</f>
        <v/>
      </c>
      <c r="BZ103" s="21" t="str">
        <f t="shared" ca="1" si="9"/>
        <v>_</v>
      </c>
      <c r="CA103" s="21" t="str">
        <f ca="1">IFERROR(VLOOKUP(AP103,OFFSET(abbreviation[],0,ColumnLanguage),ColumnAbbreviation,FALSE),"")</f>
        <v/>
      </c>
      <c r="CB103" s="21" t="str">
        <f ca="1">IFERROR(VLOOKUP(AR103,OFFSET(abbreviation[],0,ColumnLanguage),ColumnAbbreviation,FALSE),"")</f>
        <v/>
      </c>
      <c r="CC103" s="21" t="str">
        <f ca="1">IFERROR(VLOOKUP(AT103,OFFSET(abbreviation[],0,ColumnLanguage),ColumnAbbreviation,FALSE),"")</f>
        <v/>
      </c>
      <c r="CD103" s="21" t="str">
        <f ca="1">IFERROR(VLOOKUP(AV103,OFFSET(abbreviation[],0,ColumnLanguage),ColumnAbbreviation,FALSE),"")</f>
        <v/>
      </c>
      <c r="CE103" s="21" t="str">
        <f t="shared" ca="1" si="10"/>
        <v>__</v>
      </c>
      <c r="CF103" s="21" t="str">
        <f ca="1">IFERROR(VLOOKUP(AX103,OFFSET(abbreviation[],0,ColumnLanguage),ColumnAbbreviation,FALSE),"")</f>
        <v/>
      </c>
      <c r="CG103" s="21" t="str">
        <f ca="1">IFERROR(VLOOKUP(AZ103,OFFSET(abbreviation[],0,ColumnLanguage),ColumnAbbreviation,FALSE),"")</f>
        <v/>
      </c>
      <c r="CH103" s="21" t="str">
        <f ca="1">IFERROR(VLOOKUP(BB103,OFFSET(abbreviation[],0,ColumnLanguage),ColumnAbbreviation,FALSE),"")</f>
        <v/>
      </c>
      <c r="CI103" s="21" t="str">
        <f ca="1">IFERROR(VLOOKUP(BD103,OFFSET(abbreviation[],0,ColumnLanguage),ColumnAbbreviation,FALSE),"")</f>
        <v/>
      </c>
      <c r="CJ103" s="21" t="str">
        <f ca="1">IFERROR(VLOOKUP(BF103,OFFSET(abbreviation[],0,ColumnLanguage),ColumnAbbreviation,FALSE),"")</f>
        <v/>
      </c>
      <c r="CK103" s="21" t="str">
        <f t="shared" ca="1" si="11"/>
        <v/>
      </c>
      <c r="CL103" s="21" t="str">
        <f t="shared" si="12"/>
        <v/>
      </c>
      <c r="CM103" s="52"/>
      <c r="CN103" s="57" t="str">
        <f t="shared" si="13"/>
        <v/>
      </c>
    </row>
    <row r="104" spans="14:92" x14ac:dyDescent="0.25">
      <c r="N104" s="10"/>
      <c r="P104" s="60"/>
      <c r="Q104" s="13"/>
      <c r="V104" s="60"/>
      <c r="X104" s="61"/>
      <c r="AB104" s="60"/>
      <c r="AN104" s="54"/>
      <c r="AS104" s="15"/>
      <c r="BH104" s="52"/>
      <c r="BI104" s="21" t="str">
        <f ca="1">IFERROR(VLOOKUP(C104,OFFSET(abbreviation[],0,ColumnLanguage),ColumnAbbreviation,FALSE),"")</f>
        <v/>
      </c>
      <c r="BJ104" s="21" t="str">
        <f ca="1">IFERROR(VLOOKUP(E104,OFFSET(abbreviation[],0,ColumnLanguage),ColumnAbbreviation,FALSE),"")</f>
        <v/>
      </c>
      <c r="BK104" s="21" t="str">
        <f ca="1">IFERROR(VLOOKUP(G104,OFFSET(abbreviation[],0,ColumnLanguage),ColumnAbbreviation,FALSE),"")</f>
        <v/>
      </c>
      <c r="BL104" s="21" t="str">
        <f ca="1">IFERROR(VLOOKUP(I104,OFFSET(abbreviation[],0,ColumnLanguage),ColumnAbbreviation,FALSE),"")</f>
        <v/>
      </c>
      <c r="BM104" s="21" t="str">
        <f ca="1">IFERROR(VLOOKUP(K104,OFFSET(abbreviation[],0,ColumnLanguage),ColumnAbbreviation,FALSE),"")</f>
        <v/>
      </c>
      <c r="BN104" s="21" t="str">
        <f t="shared" ca="1" si="7"/>
        <v/>
      </c>
      <c r="BO104" s="21" t="str">
        <f ca="1">IFERROR(VLOOKUP(N104,OFFSET(abbreviation[],0,ColumnLanguage),ColumnAbbreviation,FALSE),"")</f>
        <v/>
      </c>
      <c r="BP104" s="21" t="str">
        <f ca="1">IFERROR(VLOOKUP(P104,OFFSET(abbreviation[],0,ColumnLanguage),ColumnAbbreviation,FALSE),"")</f>
        <v/>
      </c>
      <c r="BQ104" s="21" t="str">
        <f ca="1">IFERROR(VLOOKUP(T104,OFFSET(abbreviation[],0,ColumnLanguage),ColumnAbbreviation,FALSE),"")</f>
        <v/>
      </c>
      <c r="BR104" s="21" t="str">
        <f ca="1">IFERROR(VLOOKUP(V104,OFFSET(abbreviation[],0,ColumnLanguage),ColumnAbbreviation,FALSE),"")</f>
        <v/>
      </c>
      <c r="BS104" s="21" t="str">
        <f ca="1">IFERROR(VLOOKUP(Z104,OFFSET(abbreviation[],0,ColumnLanguage),ColumnAbbreviation,FALSE),"")</f>
        <v/>
      </c>
      <c r="BT104" s="21" t="str">
        <f ca="1">IFERROR(VLOOKUP(AB104,OFFSET(abbreviation[],0,ColumnLanguage),ColumnAbbreviation,FALSE),"")</f>
        <v/>
      </c>
      <c r="BU104" s="21" t="str">
        <f t="shared" ca="1" si="8"/>
        <v>__</v>
      </c>
      <c r="BV104" s="21" t="str">
        <f ca="1">IFERROR(VLOOKUP(AF104,OFFSET(abbreviation[],0,ColumnLanguage),ColumnAbbreviation,FALSE),"")</f>
        <v/>
      </c>
      <c r="BW104" s="21" t="str">
        <f ca="1">IFERROR(VLOOKUP(AH104,OFFSET(abbreviation[],0,ColumnLanguage),ColumnAbbreviation,FALSE),"")</f>
        <v/>
      </c>
      <c r="BX104" s="21" t="str">
        <f ca="1">IFERROR(VLOOKUP(AJ104,OFFSET(abbreviation[],0,ColumnLanguage),ColumnAbbreviation,FALSE),"")</f>
        <v/>
      </c>
      <c r="BY104" s="21" t="str">
        <f ca="1">IFERROR(VLOOKUP(AL104,OFFSET(abbreviation[],0,ColumnLanguage),ColumnAbbreviation,FALSE),"")</f>
        <v/>
      </c>
      <c r="BZ104" s="21" t="str">
        <f t="shared" ca="1" si="9"/>
        <v>_</v>
      </c>
      <c r="CA104" s="21" t="str">
        <f ca="1">IFERROR(VLOOKUP(AP104,OFFSET(abbreviation[],0,ColumnLanguage),ColumnAbbreviation,FALSE),"")</f>
        <v/>
      </c>
      <c r="CB104" s="21" t="str">
        <f ca="1">IFERROR(VLOOKUP(AR104,OFFSET(abbreviation[],0,ColumnLanguage),ColumnAbbreviation,FALSE),"")</f>
        <v/>
      </c>
      <c r="CC104" s="21" t="str">
        <f ca="1">IFERROR(VLOOKUP(AT104,OFFSET(abbreviation[],0,ColumnLanguage),ColumnAbbreviation,FALSE),"")</f>
        <v/>
      </c>
      <c r="CD104" s="21" t="str">
        <f ca="1">IFERROR(VLOOKUP(AV104,OFFSET(abbreviation[],0,ColumnLanguage),ColumnAbbreviation,FALSE),"")</f>
        <v/>
      </c>
      <c r="CE104" s="21" t="str">
        <f t="shared" ca="1" si="10"/>
        <v>__</v>
      </c>
      <c r="CF104" s="21" t="str">
        <f ca="1">IFERROR(VLOOKUP(AX104,OFFSET(abbreviation[],0,ColumnLanguage),ColumnAbbreviation,FALSE),"")</f>
        <v/>
      </c>
      <c r="CG104" s="21" t="str">
        <f ca="1">IFERROR(VLOOKUP(AZ104,OFFSET(abbreviation[],0,ColumnLanguage),ColumnAbbreviation,FALSE),"")</f>
        <v/>
      </c>
      <c r="CH104" s="21" t="str">
        <f ca="1">IFERROR(VLOOKUP(BB104,OFFSET(abbreviation[],0,ColumnLanguage),ColumnAbbreviation,FALSE),"")</f>
        <v/>
      </c>
      <c r="CI104" s="21" t="str">
        <f ca="1">IFERROR(VLOOKUP(BD104,OFFSET(abbreviation[],0,ColumnLanguage),ColumnAbbreviation,FALSE),"")</f>
        <v/>
      </c>
      <c r="CJ104" s="21" t="str">
        <f ca="1">IFERROR(VLOOKUP(BF104,OFFSET(abbreviation[],0,ColumnLanguage),ColumnAbbreviation,FALSE),"")</f>
        <v/>
      </c>
      <c r="CK104" s="21" t="str">
        <f t="shared" ca="1" si="11"/>
        <v/>
      </c>
      <c r="CL104" s="21" t="str">
        <f t="shared" si="12"/>
        <v/>
      </c>
      <c r="CM104" s="52"/>
      <c r="CN104" s="57" t="str">
        <f t="shared" si="13"/>
        <v/>
      </c>
    </row>
    <row r="105" spans="14:92" x14ac:dyDescent="0.25">
      <c r="N105" s="10"/>
      <c r="P105" s="60"/>
      <c r="Q105" s="13"/>
      <c r="V105" s="60"/>
      <c r="X105" s="61"/>
      <c r="AB105" s="60"/>
      <c r="AN105" s="54"/>
      <c r="AS105" s="15"/>
      <c r="BH105" s="52"/>
      <c r="BI105" s="21" t="str">
        <f ca="1">IFERROR(VLOOKUP(C105,OFFSET(abbreviation[],0,ColumnLanguage),ColumnAbbreviation,FALSE),"")</f>
        <v/>
      </c>
      <c r="BJ105" s="21" t="str">
        <f ca="1">IFERROR(VLOOKUP(E105,OFFSET(abbreviation[],0,ColumnLanguage),ColumnAbbreviation,FALSE),"")</f>
        <v/>
      </c>
      <c r="BK105" s="21" t="str">
        <f ca="1">IFERROR(VLOOKUP(G105,OFFSET(abbreviation[],0,ColumnLanguage),ColumnAbbreviation,FALSE),"")</f>
        <v/>
      </c>
      <c r="BL105" s="21" t="str">
        <f ca="1">IFERROR(VLOOKUP(I105,OFFSET(abbreviation[],0,ColumnLanguage),ColumnAbbreviation,FALSE),"")</f>
        <v/>
      </c>
      <c r="BM105" s="21" t="str">
        <f ca="1">IFERROR(VLOOKUP(K105,OFFSET(abbreviation[],0,ColumnLanguage),ColumnAbbreviation,FALSE),"")</f>
        <v/>
      </c>
      <c r="BN105" s="21" t="str">
        <f t="shared" ca="1" si="7"/>
        <v/>
      </c>
      <c r="BO105" s="21" t="str">
        <f ca="1">IFERROR(VLOOKUP(N105,OFFSET(abbreviation[],0,ColumnLanguage),ColumnAbbreviation,FALSE),"")</f>
        <v/>
      </c>
      <c r="BP105" s="21" t="str">
        <f ca="1">IFERROR(VLOOKUP(P105,OFFSET(abbreviation[],0,ColumnLanguage),ColumnAbbreviation,FALSE),"")</f>
        <v/>
      </c>
      <c r="BQ105" s="21" t="str">
        <f ca="1">IFERROR(VLOOKUP(T105,OFFSET(abbreviation[],0,ColumnLanguage),ColumnAbbreviation,FALSE),"")</f>
        <v/>
      </c>
      <c r="BR105" s="21" t="str">
        <f ca="1">IFERROR(VLOOKUP(V105,OFFSET(abbreviation[],0,ColumnLanguage),ColumnAbbreviation,FALSE),"")</f>
        <v/>
      </c>
      <c r="BS105" s="21" t="str">
        <f ca="1">IFERROR(VLOOKUP(Z105,OFFSET(abbreviation[],0,ColumnLanguage),ColumnAbbreviation,FALSE),"")</f>
        <v/>
      </c>
      <c r="BT105" s="21" t="str">
        <f ca="1">IFERROR(VLOOKUP(AB105,OFFSET(abbreviation[],0,ColumnLanguage),ColumnAbbreviation,FALSE),"")</f>
        <v/>
      </c>
      <c r="BU105" s="21" t="str">
        <f t="shared" ca="1" si="8"/>
        <v>__</v>
      </c>
      <c r="BV105" s="21" t="str">
        <f ca="1">IFERROR(VLOOKUP(AF105,OFFSET(abbreviation[],0,ColumnLanguage),ColumnAbbreviation,FALSE),"")</f>
        <v/>
      </c>
      <c r="BW105" s="21" t="str">
        <f ca="1">IFERROR(VLOOKUP(AH105,OFFSET(abbreviation[],0,ColumnLanguage),ColumnAbbreviation,FALSE),"")</f>
        <v/>
      </c>
      <c r="BX105" s="21" t="str">
        <f ca="1">IFERROR(VLOOKUP(AJ105,OFFSET(abbreviation[],0,ColumnLanguage),ColumnAbbreviation,FALSE),"")</f>
        <v/>
      </c>
      <c r="BY105" s="21" t="str">
        <f ca="1">IFERROR(VLOOKUP(AL105,OFFSET(abbreviation[],0,ColumnLanguage),ColumnAbbreviation,FALSE),"")</f>
        <v/>
      </c>
      <c r="BZ105" s="21" t="str">
        <f t="shared" ca="1" si="9"/>
        <v>_</v>
      </c>
      <c r="CA105" s="21" t="str">
        <f ca="1">IFERROR(VLOOKUP(AP105,OFFSET(abbreviation[],0,ColumnLanguage),ColumnAbbreviation,FALSE),"")</f>
        <v/>
      </c>
      <c r="CB105" s="21" t="str">
        <f ca="1">IFERROR(VLOOKUP(AR105,OFFSET(abbreviation[],0,ColumnLanguage),ColumnAbbreviation,FALSE),"")</f>
        <v/>
      </c>
      <c r="CC105" s="21" t="str">
        <f ca="1">IFERROR(VLOOKUP(AT105,OFFSET(abbreviation[],0,ColumnLanguage),ColumnAbbreviation,FALSE),"")</f>
        <v/>
      </c>
      <c r="CD105" s="21" t="str">
        <f ca="1">IFERROR(VLOOKUP(AV105,OFFSET(abbreviation[],0,ColumnLanguage),ColumnAbbreviation,FALSE),"")</f>
        <v/>
      </c>
      <c r="CE105" s="21" t="str">
        <f t="shared" ca="1" si="10"/>
        <v>__</v>
      </c>
      <c r="CF105" s="21" t="str">
        <f ca="1">IFERROR(VLOOKUP(AX105,OFFSET(abbreviation[],0,ColumnLanguage),ColumnAbbreviation,FALSE),"")</f>
        <v/>
      </c>
      <c r="CG105" s="21" t="str">
        <f ca="1">IFERROR(VLOOKUP(AZ105,OFFSET(abbreviation[],0,ColumnLanguage),ColumnAbbreviation,FALSE),"")</f>
        <v/>
      </c>
      <c r="CH105" s="21" t="str">
        <f ca="1">IFERROR(VLOOKUP(BB105,OFFSET(abbreviation[],0,ColumnLanguage),ColumnAbbreviation,FALSE),"")</f>
        <v/>
      </c>
      <c r="CI105" s="21" t="str">
        <f ca="1">IFERROR(VLOOKUP(BD105,OFFSET(abbreviation[],0,ColumnLanguage),ColumnAbbreviation,FALSE),"")</f>
        <v/>
      </c>
      <c r="CJ105" s="21" t="str">
        <f ca="1">IFERROR(VLOOKUP(BF105,OFFSET(abbreviation[],0,ColumnLanguage),ColumnAbbreviation,FALSE),"")</f>
        <v/>
      </c>
      <c r="CK105" s="21" t="str">
        <f t="shared" ca="1" si="11"/>
        <v/>
      </c>
      <c r="CL105" s="21" t="str">
        <f t="shared" si="12"/>
        <v/>
      </c>
      <c r="CM105" s="52"/>
      <c r="CN105" s="57" t="str">
        <f t="shared" si="13"/>
        <v/>
      </c>
    </row>
    <row r="106" spans="14:92" x14ac:dyDescent="0.25">
      <c r="P106" s="60"/>
      <c r="Q106" s="13"/>
      <c r="V106" s="60"/>
      <c r="X106" s="61"/>
      <c r="AB106" s="60"/>
      <c r="AN106" s="54"/>
      <c r="AS106" s="15"/>
      <c r="BH106" s="52"/>
      <c r="BI106" s="21" t="str">
        <f ca="1">IFERROR(VLOOKUP(C106,OFFSET(abbreviation[],0,ColumnLanguage),ColumnAbbreviation,FALSE),"")</f>
        <v/>
      </c>
      <c r="BJ106" s="21" t="str">
        <f ca="1">IFERROR(VLOOKUP(E106,OFFSET(abbreviation[],0,ColumnLanguage),ColumnAbbreviation,FALSE),"")</f>
        <v/>
      </c>
      <c r="BK106" s="21" t="str">
        <f ca="1">IFERROR(VLOOKUP(G106,OFFSET(abbreviation[],0,ColumnLanguage),ColumnAbbreviation,FALSE),"")</f>
        <v/>
      </c>
      <c r="BL106" s="21" t="str">
        <f ca="1">IFERROR(VLOOKUP(I106,OFFSET(abbreviation[],0,ColumnLanguage),ColumnAbbreviation,FALSE),"")</f>
        <v/>
      </c>
      <c r="BM106" s="21" t="str">
        <f ca="1">IFERROR(VLOOKUP(K106,OFFSET(abbreviation[],0,ColumnLanguage),ColumnAbbreviation,FALSE),"")</f>
        <v/>
      </c>
      <c r="BN106" s="21" t="str">
        <f t="shared" ca="1" si="7"/>
        <v/>
      </c>
      <c r="BO106" s="21" t="str">
        <f ca="1">IFERROR(VLOOKUP(N106,OFFSET(abbreviation[],0,ColumnLanguage),ColumnAbbreviation,FALSE),"")</f>
        <v/>
      </c>
      <c r="BP106" s="21" t="str">
        <f ca="1">IFERROR(VLOOKUP(P106,OFFSET(abbreviation[],0,ColumnLanguage),ColumnAbbreviation,FALSE),"")</f>
        <v/>
      </c>
      <c r="BQ106" s="21" t="str">
        <f ca="1">IFERROR(VLOOKUP(T106,OFFSET(abbreviation[],0,ColumnLanguage),ColumnAbbreviation,FALSE),"")</f>
        <v/>
      </c>
      <c r="BR106" s="21" t="str">
        <f ca="1">IFERROR(VLOOKUP(V106,OFFSET(abbreviation[],0,ColumnLanguage),ColumnAbbreviation,FALSE),"")</f>
        <v/>
      </c>
      <c r="BS106" s="21" t="str">
        <f ca="1">IFERROR(VLOOKUP(Z106,OFFSET(abbreviation[],0,ColumnLanguage),ColumnAbbreviation,FALSE),"")</f>
        <v/>
      </c>
      <c r="BT106" s="21" t="str">
        <f ca="1">IFERROR(VLOOKUP(AB106,OFFSET(abbreviation[],0,ColumnLanguage),ColumnAbbreviation,FALSE),"")</f>
        <v/>
      </c>
      <c r="BU106" s="21" t="str">
        <f t="shared" ca="1" si="8"/>
        <v>__</v>
      </c>
      <c r="BV106" s="21" t="str">
        <f ca="1">IFERROR(VLOOKUP(AF106,OFFSET(abbreviation[],0,ColumnLanguage),ColumnAbbreviation,FALSE),"")</f>
        <v/>
      </c>
      <c r="BW106" s="21" t="str">
        <f ca="1">IFERROR(VLOOKUP(AH106,OFFSET(abbreviation[],0,ColumnLanguage),ColumnAbbreviation,FALSE),"")</f>
        <v/>
      </c>
      <c r="BX106" s="21" t="str">
        <f ca="1">IFERROR(VLOOKUP(AJ106,OFFSET(abbreviation[],0,ColumnLanguage),ColumnAbbreviation,FALSE),"")</f>
        <v/>
      </c>
      <c r="BY106" s="21" t="str">
        <f ca="1">IFERROR(VLOOKUP(AL106,OFFSET(abbreviation[],0,ColumnLanguage),ColumnAbbreviation,FALSE),"")</f>
        <v/>
      </c>
      <c r="BZ106" s="21" t="str">
        <f t="shared" ca="1" si="9"/>
        <v>_</v>
      </c>
      <c r="CA106" s="21" t="str">
        <f ca="1">IFERROR(VLOOKUP(AP106,OFFSET(abbreviation[],0,ColumnLanguage),ColumnAbbreviation,FALSE),"")</f>
        <v/>
      </c>
      <c r="CB106" s="21" t="str">
        <f ca="1">IFERROR(VLOOKUP(AR106,OFFSET(abbreviation[],0,ColumnLanguage),ColumnAbbreviation,FALSE),"")</f>
        <v/>
      </c>
      <c r="CC106" s="21" t="str">
        <f ca="1">IFERROR(VLOOKUP(AT106,OFFSET(abbreviation[],0,ColumnLanguage),ColumnAbbreviation,FALSE),"")</f>
        <v/>
      </c>
      <c r="CD106" s="21" t="str">
        <f ca="1">IFERROR(VLOOKUP(AV106,OFFSET(abbreviation[],0,ColumnLanguage),ColumnAbbreviation,FALSE),"")</f>
        <v/>
      </c>
      <c r="CE106" s="21" t="str">
        <f t="shared" ca="1" si="10"/>
        <v>__</v>
      </c>
      <c r="CF106" s="21" t="str">
        <f ca="1">IFERROR(VLOOKUP(AX106,OFFSET(abbreviation[],0,ColumnLanguage),ColumnAbbreviation,FALSE),"")</f>
        <v/>
      </c>
      <c r="CG106" s="21" t="str">
        <f ca="1">IFERROR(VLOOKUP(AZ106,OFFSET(abbreviation[],0,ColumnLanguage),ColumnAbbreviation,FALSE),"")</f>
        <v/>
      </c>
      <c r="CH106" s="21" t="str">
        <f ca="1">IFERROR(VLOOKUP(BB106,OFFSET(abbreviation[],0,ColumnLanguage),ColumnAbbreviation,FALSE),"")</f>
        <v/>
      </c>
      <c r="CI106" s="21" t="str">
        <f ca="1">IFERROR(VLOOKUP(BD106,OFFSET(abbreviation[],0,ColumnLanguage),ColumnAbbreviation,FALSE),"")</f>
        <v/>
      </c>
      <c r="CJ106" s="21" t="str">
        <f ca="1">IFERROR(VLOOKUP(BF106,OFFSET(abbreviation[],0,ColumnLanguage),ColumnAbbreviation,FALSE),"")</f>
        <v/>
      </c>
      <c r="CK106" s="21" t="str">
        <f t="shared" ca="1" si="11"/>
        <v/>
      </c>
      <c r="CL106" s="21" t="str">
        <f t="shared" si="12"/>
        <v/>
      </c>
      <c r="CM106" s="52"/>
      <c r="CN106" s="57" t="str">
        <f t="shared" si="13"/>
        <v/>
      </c>
    </row>
    <row r="107" spans="14:92" x14ac:dyDescent="0.25">
      <c r="P107" s="60"/>
      <c r="Q107" s="13"/>
      <c r="V107" s="60"/>
      <c r="X107" s="61"/>
      <c r="AB107" s="60"/>
      <c r="AN107" s="54"/>
      <c r="AS107" s="15"/>
      <c r="BH107" s="52"/>
      <c r="BI107" s="21" t="str">
        <f ca="1">IFERROR(VLOOKUP(C107,OFFSET(abbreviation[],0,ColumnLanguage),ColumnAbbreviation,FALSE),"")</f>
        <v/>
      </c>
      <c r="BJ107" s="21" t="str">
        <f ca="1">IFERROR(VLOOKUP(E107,OFFSET(abbreviation[],0,ColumnLanguage),ColumnAbbreviation,FALSE),"")</f>
        <v/>
      </c>
      <c r="BK107" s="21" t="str">
        <f ca="1">IFERROR(VLOOKUP(G107,OFFSET(abbreviation[],0,ColumnLanguage),ColumnAbbreviation,FALSE),"")</f>
        <v/>
      </c>
      <c r="BL107" s="21" t="str">
        <f ca="1">IFERROR(VLOOKUP(I107,OFFSET(abbreviation[],0,ColumnLanguage),ColumnAbbreviation,FALSE),"")</f>
        <v/>
      </c>
      <c r="BM107" s="21" t="str">
        <f ca="1">IFERROR(VLOOKUP(K107,OFFSET(abbreviation[],0,ColumnLanguage),ColumnAbbreviation,FALSE),"")</f>
        <v/>
      </c>
      <c r="BN107" s="21" t="str">
        <f t="shared" ca="1" si="7"/>
        <v/>
      </c>
      <c r="BO107" s="21" t="str">
        <f ca="1">IFERROR(VLOOKUP(N107,OFFSET(abbreviation[],0,ColumnLanguage),ColumnAbbreviation,FALSE),"")</f>
        <v/>
      </c>
      <c r="BP107" s="21" t="str">
        <f ca="1">IFERROR(VLOOKUP(P107,OFFSET(abbreviation[],0,ColumnLanguage),ColumnAbbreviation,FALSE),"")</f>
        <v/>
      </c>
      <c r="BQ107" s="21" t="str">
        <f ca="1">IFERROR(VLOOKUP(T107,OFFSET(abbreviation[],0,ColumnLanguage),ColumnAbbreviation,FALSE),"")</f>
        <v/>
      </c>
      <c r="BR107" s="21" t="str">
        <f ca="1">IFERROR(VLOOKUP(V107,OFFSET(abbreviation[],0,ColumnLanguage),ColumnAbbreviation,FALSE),"")</f>
        <v/>
      </c>
      <c r="BS107" s="21" t="str">
        <f ca="1">IFERROR(VLOOKUP(Z107,OFFSET(abbreviation[],0,ColumnLanguage),ColumnAbbreviation,FALSE),"")</f>
        <v/>
      </c>
      <c r="BT107" s="21" t="str">
        <f ca="1">IFERROR(VLOOKUP(AB107,OFFSET(abbreviation[],0,ColumnLanguage),ColumnAbbreviation,FALSE),"")</f>
        <v/>
      </c>
      <c r="BU107" s="21" t="str">
        <f t="shared" ca="1" si="8"/>
        <v>__</v>
      </c>
      <c r="BV107" s="21" t="str">
        <f ca="1">IFERROR(VLOOKUP(AF107,OFFSET(abbreviation[],0,ColumnLanguage),ColumnAbbreviation,FALSE),"")</f>
        <v/>
      </c>
      <c r="BW107" s="21" t="str">
        <f ca="1">IFERROR(VLOOKUP(AH107,OFFSET(abbreviation[],0,ColumnLanguage),ColumnAbbreviation,FALSE),"")</f>
        <v/>
      </c>
      <c r="BX107" s="21" t="str">
        <f ca="1">IFERROR(VLOOKUP(AJ107,OFFSET(abbreviation[],0,ColumnLanguage),ColumnAbbreviation,FALSE),"")</f>
        <v/>
      </c>
      <c r="BY107" s="21" t="str">
        <f ca="1">IFERROR(VLOOKUP(AL107,OFFSET(abbreviation[],0,ColumnLanguage),ColumnAbbreviation,FALSE),"")</f>
        <v/>
      </c>
      <c r="BZ107" s="21" t="str">
        <f t="shared" ca="1" si="9"/>
        <v>_</v>
      </c>
      <c r="CA107" s="21" t="str">
        <f ca="1">IFERROR(VLOOKUP(AP107,OFFSET(abbreviation[],0,ColumnLanguage),ColumnAbbreviation,FALSE),"")</f>
        <v/>
      </c>
      <c r="CB107" s="21" t="str">
        <f ca="1">IFERROR(VLOOKUP(AR107,OFFSET(abbreviation[],0,ColumnLanguage),ColumnAbbreviation,FALSE),"")</f>
        <v/>
      </c>
      <c r="CC107" s="21" t="str">
        <f ca="1">IFERROR(VLOOKUP(AT107,OFFSET(abbreviation[],0,ColumnLanguage),ColumnAbbreviation,FALSE),"")</f>
        <v/>
      </c>
      <c r="CD107" s="21" t="str">
        <f ca="1">IFERROR(VLOOKUP(AV107,OFFSET(abbreviation[],0,ColumnLanguage),ColumnAbbreviation,FALSE),"")</f>
        <v/>
      </c>
      <c r="CE107" s="21" t="str">
        <f t="shared" ca="1" si="10"/>
        <v>__</v>
      </c>
      <c r="CF107" s="21" t="str">
        <f ca="1">IFERROR(VLOOKUP(AX107,OFFSET(abbreviation[],0,ColumnLanguage),ColumnAbbreviation,FALSE),"")</f>
        <v/>
      </c>
      <c r="CG107" s="21" t="str">
        <f ca="1">IFERROR(VLOOKUP(AZ107,OFFSET(abbreviation[],0,ColumnLanguage),ColumnAbbreviation,FALSE),"")</f>
        <v/>
      </c>
      <c r="CH107" s="21" t="str">
        <f ca="1">IFERROR(VLOOKUP(BB107,OFFSET(abbreviation[],0,ColumnLanguage),ColumnAbbreviation,FALSE),"")</f>
        <v/>
      </c>
      <c r="CI107" s="21" t="str">
        <f ca="1">IFERROR(VLOOKUP(BD107,OFFSET(abbreviation[],0,ColumnLanguage),ColumnAbbreviation,FALSE),"")</f>
        <v/>
      </c>
      <c r="CJ107" s="21" t="str">
        <f ca="1">IFERROR(VLOOKUP(BF107,OFFSET(abbreviation[],0,ColumnLanguage),ColumnAbbreviation,FALSE),"")</f>
        <v/>
      </c>
      <c r="CK107" s="21" t="str">
        <f t="shared" ca="1" si="11"/>
        <v/>
      </c>
      <c r="CL107" s="21" t="str">
        <f t="shared" si="12"/>
        <v/>
      </c>
      <c r="CM107" s="52"/>
      <c r="CN107" s="57" t="str">
        <f t="shared" si="13"/>
        <v/>
      </c>
    </row>
    <row r="108" spans="14:92" x14ac:dyDescent="0.25">
      <c r="P108" s="60"/>
      <c r="Q108" s="13"/>
      <c r="V108" s="60"/>
      <c r="X108" s="61"/>
      <c r="AB108" s="60"/>
      <c r="AN108" s="54"/>
      <c r="AS108" s="15"/>
      <c r="BH108" s="52"/>
      <c r="BI108" s="21" t="str">
        <f ca="1">IFERROR(VLOOKUP(C108,OFFSET(abbreviation[],0,ColumnLanguage),ColumnAbbreviation,FALSE),"")</f>
        <v/>
      </c>
      <c r="BJ108" s="21" t="str">
        <f ca="1">IFERROR(VLOOKUP(E108,OFFSET(abbreviation[],0,ColumnLanguage),ColumnAbbreviation,FALSE),"")</f>
        <v/>
      </c>
      <c r="BK108" s="21" t="str">
        <f ca="1">IFERROR(VLOOKUP(G108,OFFSET(abbreviation[],0,ColumnLanguage),ColumnAbbreviation,FALSE),"")</f>
        <v/>
      </c>
      <c r="BL108" s="21" t="str">
        <f ca="1">IFERROR(VLOOKUP(I108,OFFSET(abbreviation[],0,ColumnLanguage),ColumnAbbreviation,FALSE),"")</f>
        <v/>
      </c>
      <c r="BM108" s="21" t="str">
        <f ca="1">IFERROR(VLOOKUP(K108,OFFSET(abbreviation[],0,ColumnLanguage),ColumnAbbreviation,FALSE),"")</f>
        <v/>
      </c>
      <c r="BN108" s="21" t="str">
        <f t="shared" ca="1" si="7"/>
        <v/>
      </c>
      <c r="BO108" s="21" t="str">
        <f ca="1">IFERROR(VLOOKUP(N108,OFFSET(abbreviation[],0,ColumnLanguage),ColumnAbbreviation,FALSE),"")</f>
        <v/>
      </c>
      <c r="BP108" s="21" t="str">
        <f ca="1">IFERROR(VLOOKUP(P108,OFFSET(abbreviation[],0,ColumnLanguage),ColumnAbbreviation,FALSE),"")</f>
        <v/>
      </c>
      <c r="BQ108" s="21" t="str">
        <f ca="1">IFERROR(VLOOKUP(T108,OFFSET(abbreviation[],0,ColumnLanguage),ColumnAbbreviation,FALSE),"")</f>
        <v/>
      </c>
      <c r="BR108" s="21" t="str">
        <f ca="1">IFERROR(VLOOKUP(V108,OFFSET(abbreviation[],0,ColumnLanguage),ColumnAbbreviation,FALSE),"")</f>
        <v/>
      </c>
      <c r="BS108" s="21" t="str">
        <f ca="1">IFERROR(VLOOKUP(Z108,OFFSET(abbreviation[],0,ColumnLanguage),ColumnAbbreviation,FALSE),"")</f>
        <v/>
      </c>
      <c r="BT108" s="21" t="str">
        <f ca="1">IFERROR(VLOOKUP(AB108,OFFSET(abbreviation[],0,ColumnLanguage),ColumnAbbreviation,FALSE),"")</f>
        <v/>
      </c>
      <c r="BU108" s="21" t="str">
        <f t="shared" ca="1" si="8"/>
        <v>__</v>
      </c>
      <c r="BV108" s="21" t="str">
        <f ca="1">IFERROR(VLOOKUP(AF108,OFFSET(abbreviation[],0,ColumnLanguage),ColumnAbbreviation,FALSE),"")</f>
        <v/>
      </c>
      <c r="BW108" s="21" t="str">
        <f ca="1">IFERROR(VLOOKUP(AH108,OFFSET(abbreviation[],0,ColumnLanguage),ColumnAbbreviation,FALSE),"")</f>
        <v/>
      </c>
      <c r="BX108" s="21" t="str">
        <f ca="1">IFERROR(VLOOKUP(AJ108,OFFSET(abbreviation[],0,ColumnLanguage),ColumnAbbreviation,FALSE),"")</f>
        <v/>
      </c>
      <c r="BY108" s="21" t="str">
        <f ca="1">IFERROR(VLOOKUP(AL108,OFFSET(abbreviation[],0,ColumnLanguage),ColumnAbbreviation,FALSE),"")</f>
        <v/>
      </c>
      <c r="BZ108" s="21" t="str">
        <f t="shared" ca="1" si="9"/>
        <v>_</v>
      </c>
      <c r="CA108" s="21" t="str">
        <f ca="1">IFERROR(VLOOKUP(AP108,OFFSET(abbreviation[],0,ColumnLanguage),ColumnAbbreviation,FALSE),"")</f>
        <v/>
      </c>
      <c r="CB108" s="21" t="str">
        <f ca="1">IFERROR(VLOOKUP(AR108,OFFSET(abbreviation[],0,ColumnLanguage),ColumnAbbreviation,FALSE),"")</f>
        <v/>
      </c>
      <c r="CC108" s="21" t="str">
        <f ca="1">IFERROR(VLOOKUP(AT108,OFFSET(abbreviation[],0,ColumnLanguage),ColumnAbbreviation,FALSE),"")</f>
        <v/>
      </c>
      <c r="CD108" s="21" t="str">
        <f ca="1">IFERROR(VLOOKUP(AV108,OFFSET(abbreviation[],0,ColumnLanguage),ColumnAbbreviation,FALSE),"")</f>
        <v/>
      </c>
      <c r="CE108" s="21" t="str">
        <f t="shared" ca="1" si="10"/>
        <v>__</v>
      </c>
      <c r="CF108" s="21" t="str">
        <f ca="1">IFERROR(VLOOKUP(AX108,OFFSET(abbreviation[],0,ColumnLanguage),ColumnAbbreviation,FALSE),"")</f>
        <v/>
      </c>
      <c r="CG108" s="21" t="str">
        <f ca="1">IFERROR(VLOOKUP(AZ108,OFFSET(abbreviation[],0,ColumnLanguage),ColumnAbbreviation,FALSE),"")</f>
        <v/>
      </c>
      <c r="CH108" s="21" t="str">
        <f ca="1">IFERROR(VLOOKUP(BB108,OFFSET(abbreviation[],0,ColumnLanguage),ColumnAbbreviation,FALSE),"")</f>
        <v/>
      </c>
      <c r="CI108" s="21" t="str">
        <f ca="1">IFERROR(VLOOKUP(BD108,OFFSET(abbreviation[],0,ColumnLanguage),ColumnAbbreviation,FALSE),"")</f>
        <v/>
      </c>
      <c r="CJ108" s="21" t="str">
        <f ca="1">IFERROR(VLOOKUP(BF108,OFFSET(abbreviation[],0,ColumnLanguage),ColumnAbbreviation,FALSE),"")</f>
        <v/>
      </c>
      <c r="CK108" s="21" t="str">
        <f t="shared" ca="1" si="11"/>
        <v/>
      </c>
      <c r="CL108" s="21" t="str">
        <f t="shared" si="12"/>
        <v/>
      </c>
      <c r="CM108" s="52"/>
      <c r="CN108" s="57" t="str">
        <f t="shared" si="13"/>
        <v/>
      </c>
    </row>
    <row r="109" spans="14:92" x14ac:dyDescent="0.25">
      <c r="P109" s="60"/>
      <c r="Q109" s="13"/>
      <c r="V109" s="60"/>
      <c r="X109" s="61"/>
      <c r="AB109" s="60"/>
      <c r="AN109" s="54"/>
      <c r="AS109" s="15"/>
      <c r="BH109" s="52"/>
      <c r="BI109" s="21" t="str">
        <f ca="1">IFERROR(VLOOKUP(C109,OFFSET(abbreviation[],0,ColumnLanguage),ColumnAbbreviation,FALSE),"")</f>
        <v/>
      </c>
      <c r="BJ109" s="21" t="str">
        <f ca="1">IFERROR(VLOOKUP(E109,OFFSET(abbreviation[],0,ColumnLanguage),ColumnAbbreviation,FALSE),"")</f>
        <v/>
      </c>
      <c r="BK109" s="21" t="str">
        <f ca="1">IFERROR(VLOOKUP(G109,OFFSET(abbreviation[],0,ColumnLanguage),ColumnAbbreviation,FALSE),"")</f>
        <v/>
      </c>
      <c r="BL109" s="21" t="str">
        <f ca="1">IFERROR(VLOOKUP(I109,OFFSET(abbreviation[],0,ColumnLanguage),ColumnAbbreviation,FALSE),"")</f>
        <v/>
      </c>
      <c r="BM109" s="21" t="str">
        <f ca="1">IFERROR(VLOOKUP(K109,OFFSET(abbreviation[],0,ColumnLanguage),ColumnAbbreviation,FALSE),"")</f>
        <v/>
      </c>
      <c r="BN109" s="21" t="str">
        <f t="shared" ca="1" si="7"/>
        <v/>
      </c>
      <c r="BO109" s="21" t="str">
        <f ca="1">IFERROR(VLOOKUP(N109,OFFSET(abbreviation[],0,ColumnLanguage),ColumnAbbreviation,FALSE),"")</f>
        <v/>
      </c>
      <c r="BP109" s="21" t="str">
        <f ca="1">IFERROR(VLOOKUP(P109,OFFSET(abbreviation[],0,ColumnLanguage),ColumnAbbreviation,FALSE),"")</f>
        <v/>
      </c>
      <c r="BQ109" s="21" t="str">
        <f ca="1">IFERROR(VLOOKUP(T109,OFFSET(abbreviation[],0,ColumnLanguage),ColumnAbbreviation,FALSE),"")</f>
        <v/>
      </c>
      <c r="BR109" s="21" t="str">
        <f ca="1">IFERROR(VLOOKUP(V109,OFFSET(abbreviation[],0,ColumnLanguage),ColumnAbbreviation,FALSE),"")</f>
        <v/>
      </c>
      <c r="BS109" s="21" t="str">
        <f ca="1">IFERROR(VLOOKUP(Z109,OFFSET(abbreviation[],0,ColumnLanguage),ColumnAbbreviation,FALSE),"")</f>
        <v/>
      </c>
      <c r="BT109" s="21" t="str">
        <f ca="1">IFERROR(VLOOKUP(AB109,OFFSET(abbreviation[],0,ColumnLanguage),ColumnAbbreviation,FALSE),"")</f>
        <v/>
      </c>
      <c r="BU109" s="21" t="str">
        <f t="shared" ca="1" si="8"/>
        <v>__</v>
      </c>
      <c r="BV109" s="21" t="str">
        <f ca="1">IFERROR(VLOOKUP(AF109,OFFSET(abbreviation[],0,ColumnLanguage),ColumnAbbreviation,FALSE),"")</f>
        <v/>
      </c>
      <c r="BW109" s="21" t="str">
        <f ca="1">IFERROR(VLOOKUP(AH109,OFFSET(abbreviation[],0,ColumnLanguage),ColumnAbbreviation,FALSE),"")</f>
        <v/>
      </c>
      <c r="BX109" s="21" t="str">
        <f ca="1">IFERROR(VLOOKUP(AJ109,OFFSET(abbreviation[],0,ColumnLanguage),ColumnAbbreviation,FALSE),"")</f>
        <v/>
      </c>
      <c r="BY109" s="21" t="str">
        <f ca="1">IFERROR(VLOOKUP(AL109,OFFSET(abbreviation[],0,ColumnLanguage),ColumnAbbreviation,FALSE),"")</f>
        <v/>
      </c>
      <c r="BZ109" s="21" t="str">
        <f t="shared" ca="1" si="9"/>
        <v>_</v>
      </c>
      <c r="CA109" s="21" t="str">
        <f ca="1">IFERROR(VLOOKUP(AP109,OFFSET(abbreviation[],0,ColumnLanguage),ColumnAbbreviation,FALSE),"")</f>
        <v/>
      </c>
      <c r="CB109" s="21" t="str">
        <f ca="1">IFERROR(VLOOKUP(AR109,OFFSET(abbreviation[],0,ColumnLanguage),ColumnAbbreviation,FALSE),"")</f>
        <v/>
      </c>
      <c r="CC109" s="21" t="str">
        <f ca="1">IFERROR(VLOOKUP(AT109,OFFSET(abbreviation[],0,ColumnLanguage),ColumnAbbreviation,FALSE),"")</f>
        <v/>
      </c>
      <c r="CD109" s="21" t="str">
        <f ca="1">IFERROR(VLOOKUP(AV109,OFFSET(abbreviation[],0,ColumnLanguage),ColumnAbbreviation,FALSE),"")</f>
        <v/>
      </c>
      <c r="CE109" s="21" t="str">
        <f t="shared" ca="1" si="10"/>
        <v>__</v>
      </c>
      <c r="CF109" s="21" t="str">
        <f ca="1">IFERROR(VLOOKUP(AX109,OFFSET(abbreviation[],0,ColumnLanguage),ColumnAbbreviation,FALSE),"")</f>
        <v/>
      </c>
      <c r="CG109" s="21" t="str">
        <f ca="1">IFERROR(VLOOKUP(AZ109,OFFSET(abbreviation[],0,ColumnLanguage),ColumnAbbreviation,FALSE),"")</f>
        <v/>
      </c>
      <c r="CH109" s="21" t="str">
        <f ca="1">IFERROR(VLOOKUP(BB109,OFFSET(abbreviation[],0,ColumnLanguage),ColumnAbbreviation,FALSE),"")</f>
        <v/>
      </c>
      <c r="CI109" s="21" t="str">
        <f ca="1">IFERROR(VLOOKUP(BD109,OFFSET(abbreviation[],0,ColumnLanguage),ColumnAbbreviation,FALSE),"")</f>
        <v/>
      </c>
      <c r="CJ109" s="21" t="str">
        <f ca="1">IFERROR(VLOOKUP(BF109,OFFSET(abbreviation[],0,ColumnLanguage),ColumnAbbreviation,FALSE),"")</f>
        <v/>
      </c>
      <c r="CK109" s="21" t="str">
        <f t="shared" ca="1" si="11"/>
        <v/>
      </c>
      <c r="CL109" s="21" t="str">
        <f t="shared" si="12"/>
        <v/>
      </c>
      <c r="CM109" s="52"/>
      <c r="CN109" s="57" t="str">
        <f t="shared" si="13"/>
        <v/>
      </c>
    </row>
    <row r="110" spans="14:92" x14ac:dyDescent="0.25">
      <c r="P110" s="60"/>
      <c r="Q110" s="13"/>
      <c r="V110" s="60"/>
      <c r="X110" s="61"/>
      <c r="AB110" s="60"/>
      <c r="AN110" s="54"/>
      <c r="AS110" s="15"/>
      <c r="BH110" s="52"/>
      <c r="BI110" s="21" t="str">
        <f ca="1">IFERROR(VLOOKUP(C110,OFFSET(abbreviation[],0,ColumnLanguage),ColumnAbbreviation,FALSE),"")</f>
        <v/>
      </c>
      <c r="BJ110" s="21" t="str">
        <f ca="1">IFERROR(VLOOKUP(E110,OFFSET(abbreviation[],0,ColumnLanguage),ColumnAbbreviation,FALSE),"")</f>
        <v/>
      </c>
      <c r="BK110" s="21" t="str">
        <f ca="1">IFERROR(VLOOKUP(G110,OFFSET(abbreviation[],0,ColumnLanguage),ColumnAbbreviation,FALSE),"")</f>
        <v/>
      </c>
      <c r="BL110" s="21" t="str">
        <f ca="1">IFERROR(VLOOKUP(I110,OFFSET(abbreviation[],0,ColumnLanguage),ColumnAbbreviation,FALSE),"")</f>
        <v/>
      </c>
      <c r="BM110" s="21" t="str">
        <f ca="1">IFERROR(VLOOKUP(K110,OFFSET(abbreviation[],0,ColumnLanguage),ColumnAbbreviation,FALSE),"")</f>
        <v/>
      </c>
      <c r="BN110" s="21" t="str">
        <f t="shared" ca="1" si="7"/>
        <v/>
      </c>
      <c r="BO110" s="21" t="str">
        <f ca="1">IFERROR(VLOOKUP(N110,OFFSET(abbreviation[],0,ColumnLanguage),ColumnAbbreviation,FALSE),"")</f>
        <v/>
      </c>
      <c r="BP110" s="21" t="str">
        <f ca="1">IFERROR(VLOOKUP(P110,OFFSET(abbreviation[],0,ColumnLanguage),ColumnAbbreviation,FALSE),"")</f>
        <v/>
      </c>
      <c r="BQ110" s="21" t="str">
        <f ca="1">IFERROR(VLOOKUP(T110,OFFSET(abbreviation[],0,ColumnLanguage),ColumnAbbreviation,FALSE),"")</f>
        <v/>
      </c>
      <c r="BR110" s="21" t="str">
        <f ca="1">IFERROR(VLOOKUP(V110,OFFSET(abbreviation[],0,ColumnLanguage),ColumnAbbreviation,FALSE),"")</f>
        <v/>
      </c>
      <c r="BS110" s="21" t="str">
        <f ca="1">IFERROR(VLOOKUP(Z110,OFFSET(abbreviation[],0,ColumnLanguage),ColumnAbbreviation,FALSE),"")</f>
        <v/>
      </c>
      <c r="BT110" s="21" t="str">
        <f ca="1">IFERROR(VLOOKUP(AB110,OFFSET(abbreviation[],0,ColumnLanguage),ColumnAbbreviation,FALSE),"")</f>
        <v/>
      </c>
      <c r="BU110" s="21" t="str">
        <f t="shared" ca="1" si="8"/>
        <v>__</v>
      </c>
      <c r="BV110" s="21" t="str">
        <f ca="1">IFERROR(VLOOKUP(AF110,OFFSET(abbreviation[],0,ColumnLanguage),ColumnAbbreviation,FALSE),"")</f>
        <v/>
      </c>
      <c r="BW110" s="21" t="str">
        <f ca="1">IFERROR(VLOOKUP(AH110,OFFSET(abbreviation[],0,ColumnLanguage),ColumnAbbreviation,FALSE),"")</f>
        <v/>
      </c>
      <c r="BX110" s="21" t="str">
        <f ca="1">IFERROR(VLOOKUP(AJ110,OFFSET(abbreviation[],0,ColumnLanguage),ColumnAbbreviation,FALSE),"")</f>
        <v/>
      </c>
      <c r="BY110" s="21" t="str">
        <f ca="1">IFERROR(VLOOKUP(AL110,OFFSET(abbreviation[],0,ColumnLanguage),ColumnAbbreviation,FALSE),"")</f>
        <v/>
      </c>
      <c r="BZ110" s="21" t="str">
        <f t="shared" ca="1" si="9"/>
        <v>_</v>
      </c>
      <c r="CA110" s="21" t="str">
        <f ca="1">IFERROR(VLOOKUP(AP110,OFFSET(abbreviation[],0,ColumnLanguage),ColumnAbbreviation,FALSE),"")</f>
        <v/>
      </c>
      <c r="CB110" s="21" t="str">
        <f ca="1">IFERROR(VLOOKUP(AR110,OFFSET(abbreviation[],0,ColumnLanguage),ColumnAbbreviation,FALSE),"")</f>
        <v/>
      </c>
      <c r="CC110" s="21" t="str">
        <f ca="1">IFERROR(VLOOKUP(AT110,OFFSET(abbreviation[],0,ColumnLanguage),ColumnAbbreviation,FALSE),"")</f>
        <v/>
      </c>
      <c r="CD110" s="21" t="str">
        <f ca="1">IFERROR(VLOOKUP(AV110,OFFSET(abbreviation[],0,ColumnLanguage),ColumnAbbreviation,FALSE),"")</f>
        <v/>
      </c>
      <c r="CE110" s="21" t="str">
        <f t="shared" ca="1" si="10"/>
        <v>__</v>
      </c>
      <c r="CF110" s="21" t="str">
        <f ca="1">IFERROR(VLOOKUP(AX110,OFFSET(abbreviation[],0,ColumnLanguage),ColumnAbbreviation,FALSE),"")</f>
        <v/>
      </c>
      <c r="CG110" s="21" t="str">
        <f ca="1">IFERROR(VLOOKUP(AZ110,OFFSET(abbreviation[],0,ColumnLanguage),ColumnAbbreviation,FALSE),"")</f>
        <v/>
      </c>
      <c r="CH110" s="21" t="str">
        <f ca="1">IFERROR(VLOOKUP(BB110,OFFSET(abbreviation[],0,ColumnLanguage),ColumnAbbreviation,FALSE),"")</f>
        <v/>
      </c>
      <c r="CI110" s="21" t="str">
        <f ca="1">IFERROR(VLOOKUP(BD110,OFFSET(abbreviation[],0,ColumnLanguage),ColumnAbbreviation,FALSE),"")</f>
        <v/>
      </c>
      <c r="CJ110" s="21" t="str">
        <f ca="1">IFERROR(VLOOKUP(BF110,OFFSET(abbreviation[],0,ColumnLanguage),ColumnAbbreviation,FALSE),"")</f>
        <v/>
      </c>
      <c r="CK110" s="21" t="str">
        <f t="shared" ca="1" si="11"/>
        <v/>
      </c>
      <c r="CL110" s="21" t="str">
        <f t="shared" si="12"/>
        <v/>
      </c>
      <c r="CM110" s="52"/>
      <c r="CN110" s="57" t="str">
        <f t="shared" si="13"/>
        <v/>
      </c>
    </row>
    <row r="111" spans="14:92" x14ac:dyDescent="0.25">
      <c r="P111" s="60"/>
      <c r="Q111" s="13"/>
      <c r="V111" s="60"/>
      <c r="X111" s="61"/>
      <c r="AB111" s="60"/>
      <c r="AN111" s="54"/>
      <c r="AS111" s="15"/>
      <c r="BH111" s="52"/>
      <c r="BI111" s="21" t="str">
        <f ca="1">IFERROR(VLOOKUP(C111,OFFSET(abbreviation[],0,ColumnLanguage),ColumnAbbreviation,FALSE),"")</f>
        <v/>
      </c>
      <c r="BJ111" s="21" t="str">
        <f ca="1">IFERROR(VLOOKUP(E111,OFFSET(abbreviation[],0,ColumnLanguage),ColumnAbbreviation,FALSE),"")</f>
        <v/>
      </c>
      <c r="BK111" s="21" t="str">
        <f ca="1">IFERROR(VLOOKUP(G111,OFFSET(abbreviation[],0,ColumnLanguage),ColumnAbbreviation,FALSE),"")</f>
        <v/>
      </c>
      <c r="BL111" s="21" t="str">
        <f ca="1">IFERROR(VLOOKUP(I111,OFFSET(abbreviation[],0,ColumnLanguage),ColumnAbbreviation,FALSE),"")</f>
        <v/>
      </c>
      <c r="BM111" s="21" t="str">
        <f ca="1">IFERROR(VLOOKUP(K111,OFFSET(abbreviation[],0,ColumnLanguage),ColumnAbbreviation,FALSE),"")</f>
        <v/>
      </c>
      <c r="BN111" s="21" t="str">
        <f t="shared" ca="1" si="7"/>
        <v/>
      </c>
      <c r="BO111" s="21" t="str">
        <f ca="1">IFERROR(VLOOKUP(N111,OFFSET(abbreviation[],0,ColumnLanguage),ColumnAbbreviation,FALSE),"")</f>
        <v/>
      </c>
      <c r="BP111" s="21" t="str">
        <f ca="1">IFERROR(VLOOKUP(P111,OFFSET(abbreviation[],0,ColumnLanguage),ColumnAbbreviation,FALSE),"")</f>
        <v/>
      </c>
      <c r="BQ111" s="21" t="str">
        <f ca="1">IFERROR(VLOOKUP(T111,OFFSET(abbreviation[],0,ColumnLanguage),ColumnAbbreviation,FALSE),"")</f>
        <v/>
      </c>
      <c r="BR111" s="21" t="str">
        <f ca="1">IFERROR(VLOOKUP(V111,OFFSET(abbreviation[],0,ColumnLanguage),ColumnAbbreviation,FALSE),"")</f>
        <v/>
      </c>
      <c r="BS111" s="21" t="str">
        <f ca="1">IFERROR(VLOOKUP(Z111,OFFSET(abbreviation[],0,ColumnLanguage),ColumnAbbreviation,FALSE),"")</f>
        <v/>
      </c>
      <c r="BT111" s="21" t="str">
        <f ca="1">IFERROR(VLOOKUP(AB111,OFFSET(abbreviation[],0,ColumnLanguage),ColumnAbbreviation,FALSE),"")</f>
        <v/>
      </c>
      <c r="BU111" s="21" t="str">
        <f t="shared" ca="1" si="8"/>
        <v>__</v>
      </c>
      <c r="BV111" s="21" t="str">
        <f ca="1">IFERROR(VLOOKUP(AF111,OFFSET(abbreviation[],0,ColumnLanguage),ColumnAbbreviation,FALSE),"")</f>
        <v/>
      </c>
      <c r="BW111" s="21" t="str">
        <f ca="1">IFERROR(VLOOKUP(AH111,OFFSET(abbreviation[],0,ColumnLanguage),ColumnAbbreviation,FALSE),"")</f>
        <v/>
      </c>
      <c r="BX111" s="21" t="str">
        <f ca="1">IFERROR(VLOOKUP(AJ111,OFFSET(abbreviation[],0,ColumnLanguage),ColumnAbbreviation,FALSE),"")</f>
        <v/>
      </c>
      <c r="BY111" s="21" t="str">
        <f ca="1">IFERROR(VLOOKUP(AL111,OFFSET(abbreviation[],0,ColumnLanguage),ColumnAbbreviation,FALSE),"")</f>
        <v/>
      </c>
      <c r="BZ111" s="21" t="str">
        <f t="shared" ca="1" si="9"/>
        <v>_</v>
      </c>
      <c r="CA111" s="21" t="str">
        <f ca="1">IFERROR(VLOOKUP(AP111,OFFSET(abbreviation[],0,ColumnLanguage),ColumnAbbreviation,FALSE),"")</f>
        <v/>
      </c>
      <c r="CB111" s="21" t="str">
        <f ca="1">IFERROR(VLOOKUP(AR111,OFFSET(abbreviation[],0,ColumnLanguage),ColumnAbbreviation,FALSE),"")</f>
        <v/>
      </c>
      <c r="CC111" s="21" t="str">
        <f ca="1">IFERROR(VLOOKUP(AT111,OFFSET(abbreviation[],0,ColumnLanguage),ColumnAbbreviation,FALSE),"")</f>
        <v/>
      </c>
      <c r="CD111" s="21" t="str">
        <f ca="1">IFERROR(VLOOKUP(AV111,OFFSET(abbreviation[],0,ColumnLanguage),ColumnAbbreviation,FALSE),"")</f>
        <v/>
      </c>
      <c r="CE111" s="21" t="str">
        <f t="shared" ca="1" si="10"/>
        <v>__</v>
      </c>
      <c r="CF111" s="21" t="str">
        <f ca="1">IFERROR(VLOOKUP(AX111,OFFSET(abbreviation[],0,ColumnLanguage),ColumnAbbreviation,FALSE),"")</f>
        <v/>
      </c>
      <c r="CG111" s="21" t="str">
        <f ca="1">IFERROR(VLOOKUP(AZ111,OFFSET(abbreviation[],0,ColumnLanguage),ColumnAbbreviation,FALSE),"")</f>
        <v/>
      </c>
      <c r="CH111" s="21" t="str">
        <f ca="1">IFERROR(VLOOKUP(BB111,OFFSET(abbreviation[],0,ColumnLanguage),ColumnAbbreviation,FALSE),"")</f>
        <v/>
      </c>
      <c r="CI111" s="21" t="str">
        <f ca="1">IFERROR(VLOOKUP(BD111,OFFSET(abbreviation[],0,ColumnLanguage),ColumnAbbreviation,FALSE),"")</f>
        <v/>
      </c>
      <c r="CJ111" s="21" t="str">
        <f ca="1">IFERROR(VLOOKUP(BF111,OFFSET(abbreviation[],0,ColumnLanguage),ColumnAbbreviation,FALSE),"")</f>
        <v/>
      </c>
      <c r="CK111" s="21" t="str">
        <f t="shared" ca="1" si="11"/>
        <v/>
      </c>
      <c r="CL111" s="21" t="str">
        <f t="shared" si="12"/>
        <v/>
      </c>
      <c r="CM111" s="52"/>
      <c r="CN111" s="57" t="str">
        <f t="shared" si="13"/>
        <v/>
      </c>
    </row>
    <row r="112" spans="14:92" x14ac:dyDescent="0.25">
      <c r="P112" s="60"/>
      <c r="Q112" s="13"/>
      <c r="V112" s="60"/>
      <c r="X112" s="61"/>
      <c r="AB112" s="60"/>
      <c r="AN112" s="54"/>
      <c r="AS112" s="15"/>
      <c r="BH112" s="52"/>
      <c r="BI112" s="21" t="str">
        <f ca="1">IFERROR(VLOOKUP(C112,OFFSET(abbreviation[],0,ColumnLanguage),ColumnAbbreviation,FALSE),"")</f>
        <v/>
      </c>
      <c r="BJ112" s="21" t="str">
        <f ca="1">IFERROR(VLOOKUP(E112,OFFSET(abbreviation[],0,ColumnLanguage),ColumnAbbreviation,FALSE),"")</f>
        <v/>
      </c>
      <c r="BK112" s="21" t="str">
        <f ca="1">IFERROR(VLOOKUP(G112,OFFSET(abbreviation[],0,ColumnLanguage),ColumnAbbreviation,FALSE),"")</f>
        <v/>
      </c>
      <c r="BL112" s="21" t="str">
        <f ca="1">IFERROR(VLOOKUP(I112,OFFSET(abbreviation[],0,ColumnLanguage),ColumnAbbreviation,FALSE),"")</f>
        <v/>
      </c>
      <c r="BM112" s="21" t="str">
        <f ca="1">IFERROR(VLOOKUP(K112,OFFSET(abbreviation[],0,ColumnLanguage),ColumnAbbreviation,FALSE),"")</f>
        <v/>
      </c>
      <c r="BN112" s="21" t="str">
        <f t="shared" ca="1" si="7"/>
        <v/>
      </c>
      <c r="BO112" s="21" t="str">
        <f ca="1">IFERROR(VLOOKUP(N112,OFFSET(abbreviation[],0,ColumnLanguage),ColumnAbbreviation,FALSE),"")</f>
        <v/>
      </c>
      <c r="BP112" s="21" t="str">
        <f ca="1">IFERROR(VLOOKUP(P112,OFFSET(abbreviation[],0,ColumnLanguage),ColumnAbbreviation,FALSE),"")</f>
        <v/>
      </c>
      <c r="BQ112" s="21" t="str">
        <f ca="1">IFERROR(VLOOKUP(T112,OFFSET(abbreviation[],0,ColumnLanguage),ColumnAbbreviation,FALSE),"")</f>
        <v/>
      </c>
      <c r="BR112" s="21" t="str">
        <f ca="1">IFERROR(VLOOKUP(V112,OFFSET(abbreviation[],0,ColumnLanguage),ColumnAbbreviation,FALSE),"")</f>
        <v/>
      </c>
      <c r="BS112" s="21" t="str">
        <f ca="1">IFERROR(VLOOKUP(Z112,OFFSET(abbreviation[],0,ColumnLanguage),ColumnAbbreviation,FALSE),"")</f>
        <v/>
      </c>
      <c r="BT112" s="21" t="str">
        <f ca="1">IFERROR(VLOOKUP(AB112,OFFSET(abbreviation[],0,ColumnLanguage),ColumnAbbreviation,FALSE),"")</f>
        <v/>
      </c>
      <c r="BU112" s="21" t="str">
        <f t="shared" ca="1" si="8"/>
        <v>__</v>
      </c>
      <c r="BV112" s="21" t="str">
        <f ca="1">IFERROR(VLOOKUP(AF112,OFFSET(abbreviation[],0,ColumnLanguage),ColumnAbbreviation,FALSE),"")</f>
        <v/>
      </c>
      <c r="BW112" s="21" t="str">
        <f ca="1">IFERROR(VLOOKUP(AH112,OFFSET(abbreviation[],0,ColumnLanguage),ColumnAbbreviation,FALSE),"")</f>
        <v/>
      </c>
      <c r="BX112" s="21" t="str">
        <f ca="1">IFERROR(VLOOKUP(AJ112,OFFSET(abbreviation[],0,ColumnLanguage),ColumnAbbreviation,FALSE),"")</f>
        <v/>
      </c>
      <c r="BY112" s="21" t="str">
        <f ca="1">IFERROR(VLOOKUP(AL112,OFFSET(abbreviation[],0,ColumnLanguage),ColumnAbbreviation,FALSE),"")</f>
        <v/>
      </c>
      <c r="BZ112" s="21" t="str">
        <f t="shared" ca="1" si="9"/>
        <v>_</v>
      </c>
      <c r="CA112" s="21" t="str">
        <f ca="1">IFERROR(VLOOKUP(AP112,OFFSET(abbreviation[],0,ColumnLanguage),ColumnAbbreviation,FALSE),"")</f>
        <v/>
      </c>
      <c r="CB112" s="21" t="str">
        <f ca="1">IFERROR(VLOOKUP(AR112,OFFSET(abbreviation[],0,ColumnLanguage),ColumnAbbreviation,FALSE),"")</f>
        <v/>
      </c>
      <c r="CC112" s="21" t="str">
        <f ca="1">IFERROR(VLOOKUP(AT112,OFFSET(abbreviation[],0,ColumnLanguage),ColumnAbbreviation,FALSE),"")</f>
        <v/>
      </c>
      <c r="CD112" s="21" t="str">
        <f ca="1">IFERROR(VLOOKUP(AV112,OFFSET(abbreviation[],0,ColumnLanguage),ColumnAbbreviation,FALSE),"")</f>
        <v/>
      </c>
      <c r="CE112" s="21" t="str">
        <f t="shared" ca="1" si="10"/>
        <v>__</v>
      </c>
      <c r="CF112" s="21" t="str">
        <f ca="1">IFERROR(VLOOKUP(AX112,OFFSET(abbreviation[],0,ColumnLanguage),ColumnAbbreviation,FALSE),"")</f>
        <v/>
      </c>
      <c r="CG112" s="21" t="str">
        <f ca="1">IFERROR(VLOOKUP(AZ112,OFFSET(abbreviation[],0,ColumnLanguage),ColumnAbbreviation,FALSE),"")</f>
        <v/>
      </c>
      <c r="CH112" s="21" t="str">
        <f ca="1">IFERROR(VLOOKUP(BB112,OFFSET(abbreviation[],0,ColumnLanguage),ColumnAbbreviation,FALSE),"")</f>
        <v/>
      </c>
      <c r="CI112" s="21" t="str">
        <f ca="1">IFERROR(VLOOKUP(BD112,OFFSET(abbreviation[],0,ColumnLanguage),ColumnAbbreviation,FALSE),"")</f>
        <v/>
      </c>
      <c r="CJ112" s="21" t="str">
        <f ca="1">IFERROR(VLOOKUP(BF112,OFFSET(abbreviation[],0,ColumnLanguage),ColumnAbbreviation,FALSE),"")</f>
        <v/>
      </c>
      <c r="CK112" s="21" t="str">
        <f t="shared" ca="1" si="11"/>
        <v/>
      </c>
      <c r="CL112" s="21" t="str">
        <f t="shared" si="12"/>
        <v/>
      </c>
      <c r="CM112" s="52"/>
      <c r="CN112" s="57" t="str">
        <f t="shared" si="13"/>
        <v/>
      </c>
    </row>
    <row r="113" spans="16:92" x14ac:dyDescent="0.25">
      <c r="P113" s="60"/>
      <c r="Q113" s="13"/>
      <c r="V113" s="60"/>
      <c r="X113" s="61"/>
      <c r="AB113" s="60"/>
      <c r="AN113" s="54"/>
      <c r="AS113" s="15"/>
      <c r="BH113" s="52"/>
      <c r="BI113" s="21" t="str">
        <f ca="1">IFERROR(VLOOKUP(C113,OFFSET(abbreviation[],0,ColumnLanguage),ColumnAbbreviation,FALSE),"")</f>
        <v/>
      </c>
      <c r="BJ113" s="21" t="str">
        <f ca="1">IFERROR(VLOOKUP(E113,OFFSET(abbreviation[],0,ColumnLanguage),ColumnAbbreviation,FALSE),"")</f>
        <v/>
      </c>
      <c r="BK113" s="21" t="str">
        <f ca="1">IFERROR(VLOOKUP(G113,OFFSET(abbreviation[],0,ColumnLanguage),ColumnAbbreviation,FALSE),"")</f>
        <v/>
      </c>
      <c r="BL113" s="21" t="str">
        <f ca="1">IFERROR(VLOOKUP(I113,OFFSET(abbreviation[],0,ColumnLanguage),ColumnAbbreviation,FALSE),"")</f>
        <v/>
      </c>
      <c r="BM113" s="21" t="str">
        <f ca="1">IFERROR(VLOOKUP(K113,OFFSET(abbreviation[],0,ColumnLanguage),ColumnAbbreviation,FALSE),"")</f>
        <v/>
      </c>
      <c r="BN113" s="21" t="str">
        <f t="shared" ca="1" si="7"/>
        <v/>
      </c>
      <c r="BO113" s="21" t="str">
        <f ca="1">IFERROR(VLOOKUP(N113,OFFSET(abbreviation[],0,ColumnLanguage),ColumnAbbreviation,FALSE),"")</f>
        <v/>
      </c>
      <c r="BP113" s="21" t="str">
        <f ca="1">IFERROR(VLOOKUP(P113,OFFSET(abbreviation[],0,ColumnLanguage),ColumnAbbreviation,FALSE),"")</f>
        <v/>
      </c>
      <c r="BQ113" s="21" t="str">
        <f ca="1">IFERROR(VLOOKUP(T113,OFFSET(abbreviation[],0,ColumnLanguage),ColumnAbbreviation,FALSE),"")</f>
        <v/>
      </c>
      <c r="BR113" s="21" t="str">
        <f ca="1">IFERROR(VLOOKUP(V113,OFFSET(abbreviation[],0,ColumnLanguage),ColumnAbbreviation,FALSE),"")</f>
        <v/>
      </c>
      <c r="BS113" s="21" t="str">
        <f ca="1">IFERROR(VLOOKUP(Z113,OFFSET(abbreviation[],0,ColumnLanguage),ColumnAbbreviation,FALSE),"")</f>
        <v/>
      </c>
      <c r="BT113" s="21" t="str">
        <f ca="1">IFERROR(VLOOKUP(AB113,OFFSET(abbreviation[],0,ColumnLanguage),ColumnAbbreviation,FALSE),"")</f>
        <v/>
      </c>
      <c r="BU113" s="21" t="str">
        <f t="shared" ca="1" si="8"/>
        <v>__</v>
      </c>
      <c r="BV113" s="21" t="str">
        <f ca="1">IFERROR(VLOOKUP(AF113,OFFSET(abbreviation[],0,ColumnLanguage),ColumnAbbreviation,FALSE),"")</f>
        <v/>
      </c>
      <c r="BW113" s="21" t="str">
        <f ca="1">IFERROR(VLOOKUP(AH113,OFFSET(abbreviation[],0,ColumnLanguage),ColumnAbbreviation,FALSE),"")</f>
        <v/>
      </c>
      <c r="BX113" s="21" t="str">
        <f ca="1">IFERROR(VLOOKUP(AJ113,OFFSET(abbreviation[],0,ColumnLanguage),ColumnAbbreviation,FALSE),"")</f>
        <v/>
      </c>
      <c r="BY113" s="21" t="str">
        <f ca="1">IFERROR(VLOOKUP(AL113,OFFSET(abbreviation[],0,ColumnLanguage),ColumnAbbreviation,FALSE),"")</f>
        <v/>
      </c>
      <c r="BZ113" s="21" t="str">
        <f t="shared" ca="1" si="9"/>
        <v>_</v>
      </c>
      <c r="CA113" s="21" t="str">
        <f ca="1">IFERROR(VLOOKUP(AP113,OFFSET(abbreviation[],0,ColumnLanguage),ColumnAbbreviation,FALSE),"")</f>
        <v/>
      </c>
      <c r="CB113" s="21" t="str">
        <f ca="1">IFERROR(VLOOKUP(AR113,OFFSET(abbreviation[],0,ColumnLanguage),ColumnAbbreviation,FALSE),"")</f>
        <v/>
      </c>
      <c r="CC113" s="21" t="str">
        <f ca="1">IFERROR(VLOOKUP(AT113,OFFSET(abbreviation[],0,ColumnLanguage),ColumnAbbreviation,FALSE),"")</f>
        <v/>
      </c>
      <c r="CD113" s="21" t="str">
        <f ca="1">IFERROR(VLOOKUP(AV113,OFFSET(abbreviation[],0,ColumnLanguage),ColumnAbbreviation,FALSE),"")</f>
        <v/>
      </c>
      <c r="CE113" s="21" t="str">
        <f t="shared" ca="1" si="10"/>
        <v>__</v>
      </c>
      <c r="CF113" s="21" t="str">
        <f ca="1">IFERROR(VLOOKUP(AX113,OFFSET(abbreviation[],0,ColumnLanguage),ColumnAbbreviation,FALSE),"")</f>
        <v/>
      </c>
      <c r="CG113" s="21" t="str">
        <f ca="1">IFERROR(VLOOKUP(AZ113,OFFSET(abbreviation[],0,ColumnLanguage),ColumnAbbreviation,FALSE),"")</f>
        <v/>
      </c>
      <c r="CH113" s="21" t="str">
        <f ca="1">IFERROR(VLOOKUP(BB113,OFFSET(abbreviation[],0,ColumnLanguage),ColumnAbbreviation,FALSE),"")</f>
        <v/>
      </c>
      <c r="CI113" s="21" t="str">
        <f ca="1">IFERROR(VLOOKUP(BD113,OFFSET(abbreviation[],0,ColumnLanguage),ColumnAbbreviation,FALSE),"")</f>
        <v/>
      </c>
      <c r="CJ113" s="21" t="str">
        <f ca="1">IFERROR(VLOOKUP(BF113,OFFSET(abbreviation[],0,ColumnLanguage),ColumnAbbreviation,FALSE),"")</f>
        <v/>
      </c>
      <c r="CK113" s="21" t="str">
        <f t="shared" ca="1" si="11"/>
        <v/>
      </c>
      <c r="CL113" s="21" t="str">
        <f t="shared" si="12"/>
        <v/>
      </c>
      <c r="CM113" s="52"/>
      <c r="CN113" s="57" t="str">
        <f t="shared" si="13"/>
        <v/>
      </c>
    </row>
    <row r="114" spans="16:92" x14ac:dyDescent="0.25">
      <c r="P114" s="60"/>
      <c r="Q114" s="13"/>
      <c r="V114" s="60"/>
      <c r="X114" s="61"/>
      <c r="AB114" s="60"/>
      <c r="AN114" s="54"/>
      <c r="AS114" s="15"/>
      <c r="BH114" s="52"/>
      <c r="BI114" s="21" t="str">
        <f ca="1">IFERROR(VLOOKUP(C114,OFFSET(abbreviation[],0,ColumnLanguage),ColumnAbbreviation,FALSE),"")</f>
        <v/>
      </c>
      <c r="BJ114" s="21" t="str">
        <f ca="1">IFERROR(VLOOKUP(E114,OFFSET(abbreviation[],0,ColumnLanguage),ColumnAbbreviation,FALSE),"")</f>
        <v/>
      </c>
      <c r="BK114" s="21" t="str">
        <f ca="1">IFERROR(VLOOKUP(G114,OFFSET(abbreviation[],0,ColumnLanguage),ColumnAbbreviation,FALSE),"")</f>
        <v/>
      </c>
      <c r="BL114" s="21" t="str">
        <f ca="1">IFERROR(VLOOKUP(I114,OFFSET(abbreviation[],0,ColumnLanguage),ColumnAbbreviation,FALSE),"")</f>
        <v/>
      </c>
      <c r="BM114" s="21" t="str">
        <f ca="1">IFERROR(VLOOKUP(K114,OFFSET(abbreviation[],0,ColumnLanguage),ColumnAbbreviation,FALSE),"")</f>
        <v/>
      </c>
      <c r="BN114" s="21" t="str">
        <f t="shared" ca="1" si="7"/>
        <v/>
      </c>
      <c r="BO114" s="21" t="str">
        <f ca="1">IFERROR(VLOOKUP(N114,OFFSET(abbreviation[],0,ColumnLanguage),ColumnAbbreviation,FALSE),"")</f>
        <v/>
      </c>
      <c r="BP114" s="21" t="str">
        <f ca="1">IFERROR(VLOOKUP(P114,OFFSET(abbreviation[],0,ColumnLanguage),ColumnAbbreviation,FALSE),"")</f>
        <v/>
      </c>
      <c r="BQ114" s="21" t="str">
        <f ca="1">IFERROR(VLOOKUP(T114,OFFSET(abbreviation[],0,ColumnLanguage),ColumnAbbreviation,FALSE),"")</f>
        <v/>
      </c>
      <c r="BR114" s="21" t="str">
        <f ca="1">IFERROR(VLOOKUP(V114,OFFSET(abbreviation[],0,ColumnLanguage),ColumnAbbreviation,FALSE),"")</f>
        <v/>
      </c>
      <c r="BS114" s="21" t="str">
        <f ca="1">IFERROR(VLOOKUP(Z114,OFFSET(abbreviation[],0,ColumnLanguage),ColumnAbbreviation,FALSE),"")</f>
        <v/>
      </c>
      <c r="BT114" s="21" t="str">
        <f ca="1">IFERROR(VLOOKUP(AB114,OFFSET(abbreviation[],0,ColumnLanguage),ColumnAbbreviation,FALSE),"")</f>
        <v/>
      </c>
      <c r="BU114" s="21" t="str">
        <f t="shared" ca="1" si="8"/>
        <v>__</v>
      </c>
      <c r="BV114" s="21" t="str">
        <f ca="1">IFERROR(VLOOKUP(AF114,OFFSET(abbreviation[],0,ColumnLanguage),ColumnAbbreviation,FALSE),"")</f>
        <v/>
      </c>
      <c r="BW114" s="21" t="str">
        <f ca="1">IFERROR(VLOOKUP(AH114,OFFSET(abbreviation[],0,ColumnLanguage),ColumnAbbreviation,FALSE),"")</f>
        <v/>
      </c>
      <c r="BX114" s="21" t="str">
        <f ca="1">IFERROR(VLOOKUP(AJ114,OFFSET(abbreviation[],0,ColumnLanguage),ColumnAbbreviation,FALSE),"")</f>
        <v/>
      </c>
      <c r="BY114" s="21" t="str">
        <f ca="1">IFERROR(VLOOKUP(AL114,OFFSET(abbreviation[],0,ColumnLanguage),ColumnAbbreviation,FALSE),"")</f>
        <v/>
      </c>
      <c r="BZ114" s="21" t="str">
        <f t="shared" ca="1" si="9"/>
        <v>_</v>
      </c>
      <c r="CA114" s="21" t="str">
        <f ca="1">IFERROR(VLOOKUP(AP114,OFFSET(abbreviation[],0,ColumnLanguage),ColumnAbbreviation,FALSE),"")</f>
        <v/>
      </c>
      <c r="CB114" s="21" t="str">
        <f ca="1">IFERROR(VLOOKUP(AR114,OFFSET(abbreviation[],0,ColumnLanguage),ColumnAbbreviation,FALSE),"")</f>
        <v/>
      </c>
      <c r="CC114" s="21" t="str">
        <f ca="1">IFERROR(VLOOKUP(AT114,OFFSET(abbreviation[],0,ColumnLanguage),ColumnAbbreviation,FALSE),"")</f>
        <v/>
      </c>
      <c r="CD114" s="21" t="str">
        <f ca="1">IFERROR(VLOOKUP(AV114,OFFSET(abbreviation[],0,ColumnLanguage),ColumnAbbreviation,FALSE),"")</f>
        <v/>
      </c>
      <c r="CE114" s="21" t="str">
        <f t="shared" ca="1" si="10"/>
        <v>__</v>
      </c>
      <c r="CF114" s="21" t="str">
        <f ca="1">IFERROR(VLOOKUP(AX114,OFFSET(abbreviation[],0,ColumnLanguage),ColumnAbbreviation,FALSE),"")</f>
        <v/>
      </c>
      <c r="CG114" s="21" t="str">
        <f ca="1">IFERROR(VLOOKUP(AZ114,OFFSET(abbreviation[],0,ColumnLanguage),ColumnAbbreviation,FALSE),"")</f>
        <v/>
      </c>
      <c r="CH114" s="21" t="str">
        <f ca="1">IFERROR(VLOOKUP(BB114,OFFSET(abbreviation[],0,ColumnLanguage),ColumnAbbreviation,FALSE),"")</f>
        <v/>
      </c>
      <c r="CI114" s="21" t="str">
        <f ca="1">IFERROR(VLOOKUP(BD114,OFFSET(abbreviation[],0,ColumnLanguage),ColumnAbbreviation,FALSE),"")</f>
        <v/>
      </c>
      <c r="CJ114" s="21" t="str">
        <f ca="1">IFERROR(VLOOKUP(BF114,OFFSET(abbreviation[],0,ColumnLanguage),ColumnAbbreviation,FALSE),"")</f>
        <v/>
      </c>
      <c r="CK114" s="21" t="str">
        <f t="shared" ca="1" si="11"/>
        <v/>
      </c>
      <c r="CL114" s="21" t="str">
        <f t="shared" si="12"/>
        <v/>
      </c>
      <c r="CM114" s="52"/>
      <c r="CN114" s="57" t="str">
        <f t="shared" si="13"/>
        <v/>
      </c>
    </row>
    <row r="115" spans="16:92" x14ac:dyDescent="0.25">
      <c r="P115" s="60"/>
      <c r="Q115" s="13"/>
      <c r="V115" s="60"/>
      <c r="X115" s="61"/>
      <c r="AB115" s="60"/>
      <c r="AN115" s="54"/>
      <c r="AS115" s="15"/>
      <c r="BH115" s="52"/>
      <c r="BI115" s="21" t="str">
        <f ca="1">IFERROR(VLOOKUP(C115,OFFSET(abbreviation[],0,ColumnLanguage),ColumnAbbreviation,FALSE),"")</f>
        <v/>
      </c>
      <c r="BJ115" s="21" t="str">
        <f ca="1">IFERROR(VLOOKUP(E115,OFFSET(abbreviation[],0,ColumnLanguage),ColumnAbbreviation,FALSE),"")</f>
        <v/>
      </c>
      <c r="BK115" s="21" t="str">
        <f ca="1">IFERROR(VLOOKUP(G115,OFFSET(abbreviation[],0,ColumnLanguage),ColumnAbbreviation,FALSE),"")</f>
        <v/>
      </c>
      <c r="BL115" s="21" t="str">
        <f ca="1">IFERROR(VLOOKUP(I115,OFFSET(abbreviation[],0,ColumnLanguage),ColumnAbbreviation,FALSE),"")</f>
        <v/>
      </c>
      <c r="BM115" s="21" t="str">
        <f ca="1">IFERROR(VLOOKUP(K115,OFFSET(abbreviation[],0,ColumnLanguage),ColumnAbbreviation,FALSE),"")</f>
        <v/>
      </c>
      <c r="BN115" s="21" t="str">
        <f t="shared" ca="1" si="7"/>
        <v/>
      </c>
      <c r="BO115" s="21" t="str">
        <f ca="1">IFERROR(VLOOKUP(N115,OFFSET(abbreviation[],0,ColumnLanguage),ColumnAbbreviation,FALSE),"")</f>
        <v/>
      </c>
      <c r="BP115" s="21" t="str">
        <f ca="1">IFERROR(VLOOKUP(P115,OFFSET(abbreviation[],0,ColumnLanguage),ColumnAbbreviation,FALSE),"")</f>
        <v/>
      </c>
      <c r="BQ115" s="21" t="str">
        <f ca="1">IFERROR(VLOOKUP(T115,OFFSET(abbreviation[],0,ColumnLanguage),ColumnAbbreviation,FALSE),"")</f>
        <v/>
      </c>
      <c r="BR115" s="21" t="str">
        <f ca="1">IFERROR(VLOOKUP(V115,OFFSET(abbreviation[],0,ColumnLanguage),ColumnAbbreviation,FALSE),"")</f>
        <v/>
      </c>
      <c r="BS115" s="21" t="str">
        <f ca="1">IFERROR(VLOOKUP(Z115,OFFSET(abbreviation[],0,ColumnLanguage),ColumnAbbreviation,FALSE),"")</f>
        <v/>
      </c>
      <c r="BT115" s="21" t="str">
        <f ca="1">IFERROR(VLOOKUP(AB115,OFFSET(abbreviation[],0,ColumnLanguage),ColumnAbbreviation,FALSE),"")</f>
        <v/>
      </c>
      <c r="BU115" s="21" t="str">
        <f t="shared" ca="1" si="8"/>
        <v>__</v>
      </c>
      <c r="BV115" s="21" t="str">
        <f ca="1">IFERROR(VLOOKUP(AF115,OFFSET(abbreviation[],0,ColumnLanguage),ColumnAbbreviation,FALSE),"")</f>
        <v/>
      </c>
      <c r="BW115" s="21" t="str">
        <f ca="1">IFERROR(VLOOKUP(AH115,OFFSET(abbreviation[],0,ColumnLanguage),ColumnAbbreviation,FALSE),"")</f>
        <v/>
      </c>
      <c r="BX115" s="21" t="str">
        <f ca="1">IFERROR(VLOOKUP(AJ115,OFFSET(abbreviation[],0,ColumnLanguage),ColumnAbbreviation,FALSE),"")</f>
        <v/>
      </c>
      <c r="BY115" s="21" t="str">
        <f ca="1">IFERROR(VLOOKUP(AL115,OFFSET(abbreviation[],0,ColumnLanguage),ColumnAbbreviation,FALSE),"")</f>
        <v/>
      </c>
      <c r="BZ115" s="21" t="str">
        <f t="shared" ca="1" si="9"/>
        <v>_</v>
      </c>
      <c r="CA115" s="21" t="str">
        <f ca="1">IFERROR(VLOOKUP(AP115,OFFSET(abbreviation[],0,ColumnLanguage),ColumnAbbreviation,FALSE),"")</f>
        <v/>
      </c>
      <c r="CB115" s="21" t="str">
        <f ca="1">IFERROR(VLOOKUP(AR115,OFFSET(abbreviation[],0,ColumnLanguage),ColumnAbbreviation,FALSE),"")</f>
        <v/>
      </c>
      <c r="CC115" s="21" t="str">
        <f ca="1">IFERROR(VLOOKUP(AT115,OFFSET(abbreviation[],0,ColumnLanguage),ColumnAbbreviation,FALSE),"")</f>
        <v/>
      </c>
      <c r="CD115" s="21" t="str">
        <f ca="1">IFERROR(VLOOKUP(AV115,OFFSET(abbreviation[],0,ColumnLanguage),ColumnAbbreviation,FALSE),"")</f>
        <v/>
      </c>
      <c r="CE115" s="21" t="str">
        <f t="shared" ca="1" si="10"/>
        <v>__</v>
      </c>
      <c r="CF115" s="21" t="str">
        <f ca="1">IFERROR(VLOOKUP(AX115,OFFSET(abbreviation[],0,ColumnLanguage),ColumnAbbreviation,FALSE),"")</f>
        <v/>
      </c>
      <c r="CG115" s="21" t="str">
        <f ca="1">IFERROR(VLOOKUP(AZ115,OFFSET(abbreviation[],0,ColumnLanguage),ColumnAbbreviation,FALSE),"")</f>
        <v/>
      </c>
      <c r="CH115" s="21" t="str">
        <f ca="1">IFERROR(VLOOKUP(BB115,OFFSET(abbreviation[],0,ColumnLanguage),ColumnAbbreviation,FALSE),"")</f>
        <v/>
      </c>
      <c r="CI115" s="21" t="str">
        <f ca="1">IFERROR(VLOOKUP(BD115,OFFSET(abbreviation[],0,ColumnLanguage),ColumnAbbreviation,FALSE),"")</f>
        <v/>
      </c>
      <c r="CJ115" s="21" t="str">
        <f ca="1">IFERROR(VLOOKUP(BF115,OFFSET(abbreviation[],0,ColumnLanguage),ColumnAbbreviation,FALSE),"")</f>
        <v/>
      </c>
      <c r="CK115" s="21" t="str">
        <f t="shared" ca="1" si="11"/>
        <v/>
      </c>
      <c r="CL115" s="21" t="str">
        <f t="shared" si="12"/>
        <v/>
      </c>
      <c r="CM115" s="52"/>
      <c r="CN115" s="57" t="str">
        <f t="shared" si="13"/>
        <v/>
      </c>
    </row>
    <row r="116" spans="16:92" x14ac:dyDescent="0.25">
      <c r="P116" s="60"/>
      <c r="Q116" s="13"/>
      <c r="V116" s="60"/>
      <c r="X116" s="61"/>
      <c r="AB116" s="60"/>
      <c r="AN116" s="54"/>
      <c r="AS116" s="15"/>
      <c r="BH116" s="52"/>
      <c r="BI116" s="21" t="str">
        <f ca="1">IFERROR(VLOOKUP(C116,OFFSET(abbreviation[],0,ColumnLanguage),ColumnAbbreviation,FALSE),"")</f>
        <v/>
      </c>
      <c r="BJ116" s="21" t="str">
        <f ca="1">IFERROR(VLOOKUP(E116,OFFSET(abbreviation[],0,ColumnLanguage),ColumnAbbreviation,FALSE),"")</f>
        <v/>
      </c>
      <c r="BK116" s="21" t="str">
        <f ca="1">IFERROR(VLOOKUP(G116,OFFSET(abbreviation[],0,ColumnLanguage),ColumnAbbreviation,FALSE),"")</f>
        <v/>
      </c>
      <c r="BL116" s="21" t="str">
        <f ca="1">IFERROR(VLOOKUP(I116,OFFSET(abbreviation[],0,ColumnLanguage),ColumnAbbreviation,FALSE),"")</f>
        <v/>
      </c>
      <c r="BM116" s="21" t="str">
        <f ca="1">IFERROR(VLOOKUP(K116,OFFSET(abbreviation[],0,ColumnLanguage),ColumnAbbreviation,FALSE),"")</f>
        <v/>
      </c>
      <c r="BN116" s="21" t="str">
        <f t="shared" ca="1" si="7"/>
        <v/>
      </c>
      <c r="BO116" s="21" t="str">
        <f ca="1">IFERROR(VLOOKUP(N116,OFFSET(abbreviation[],0,ColumnLanguage),ColumnAbbreviation,FALSE),"")</f>
        <v/>
      </c>
      <c r="BP116" s="21" t="str">
        <f ca="1">IFERROR(VLOOKUP(P116,OFFSET(abbreviation[],0,ColumnLanguage),ColumnAbbreviation,FALSE),"")</f>
        <v/>
      </c>
      <c r="BQ116" s="21" t="str">
        <f ca="1">IFERROR(VLOOKUP(T116,OFFSET(abbreviation[],0,ColumnLanguage),ColumnAbbreviation,FALSE),"")</f>
        <v/>
      </c>
      <c r="BR116" s="21" t="str">
        <f ca="1">IFERROR(VLOOKUP(V116,OFFSET(abbreviation[],0,ColumnLanguage),ColumnAbbreviation,FALSE),"")</f>
        <v/>
      </c>
      <c r="BS116" s="21" t="str">
        <f ca="1">IFERROR(VLOOKUP(Z116,OFFSET(abbreviation[],0,ColumnLanguage),ColumnAbbreviation,FALSE),"")</f>
        <v/>
      </c>
      <c r="BT116" s="21" t="str">
        <f ca="1">IFERROR(VLOOKUP(AB116,OFFSET(abbreviation[],0,ColumnLanguage),ColumnAbbreviation,FALSE),"")</f>
        <v/>
      </c>
      <c r="BU116" s="21" t="str">
        <f t="shared" ca="1" si="8"/>
        <v>__</v>
      </c>
      <c r="BV116" s="21" t="str">
        <f ca="1">IFERROR(VLOOKUP(AF116,OFFSET(abbreviation[],0,ColumnLanguage),ColumnAbbreviation,FALSE),"")</f>
        <v/>
      </c>
      <c r="BW116" s="21" t="str">
        <f ca="1">IFERROR(VLOOKUP(AH116,OFFSET(abbreviation[],0,ColumnLanguage),ColumnAbbreviation,FALSE),"")</f>
        <v/>
      </c>
      <c r="BX116" s="21" t="str">
        <f ca="1">IFERROR(VLOOKUP(AJ116,OFFSET(abbreviation[],0,ColumnLanguage),ColumnAbbreviation,FALSE),"")</f>
        <v/>
      </c>
      <c r="BY116" s="21" t="str">
        <f ca="1">IFERROR(VLOOKUP(AL116,OFFSET(abbreviation[],0,ColumnLanguage),ColumnAbbreviation,FALSE),"")</f>
        <v/>
      </c>
      <c r="BZ116" s="21" t="str">
        <f t="shared" ca="1" si="9"/>
        <v>_</v>
      </c>
      <c r="CA116" s="21" t="str">
        <f ca="1">IFERROR(VLOOKUP(AP116,OFFSET(abbreviation[],0,ColumnLanguage),ColumnAbbreviation,FALSE),"")</f>
        <v/>
      </c>
      <c r="CB116" s="21" t="str">
        <f ca="1">IFERROR(VLOOKUP(AR116,OFFSET(abbreviation[],0,ColumnLanguage),ColumnAbbreviation,FALSE),"")</f>
        <v/>
      </c>
      <c r="CC116" s="21" t="str">
        <f ca="1">IFERROR(VLOOKUP(AT116,OFFSET(abbreviation[],0,ColumnLanguage),ColumnAbbreviation,FALSE),"")</f>
        <v/>
      </c>
      <c r="CD116" s="21" t="str">
        <f ca="1">IFERROR(VLOOKUP(AV116,OFFSET(abbreviation[],0,ColumnLanguage),ColumnAbbreviation,FALSE),"")</f>
        <v/>
      </c>
      <c r="CE116" s="21" t="str">
        <f t="shared" ca="1" si="10"/>
        <v>__</v>
      </c>
      <c r="CF116" s="21" t="str">
        <f ca="1">IFERROR(VLOOKUP(AX116,OFFSET(abbreviation[],0,ColumnLanguage),ColumnAbbreviation,FALSE),"")</f>
        <v/>
      </c>
      <c r="CG116" s="21" t="str">
        <f ca="1">IFERROR(VLOOKUP(AZ116,OFFSET(abbreviation[],0,ColumnLanguage),ColumnAbbreviation,FALSE),"")</f>
        <v/>
      </c>
      <c r="CH116" s="21" t="str">
        <f ca="1">IFERROR(VLOOKUP(BB116,OFFSET(abbreviation[],0,ColumnLanguage),ColumnAbbreviation,FALSE),"")</f>
        <v/>
      </c>
      <c r="CI116" s="21" t="str">
        <f ca="1">IFERROR(VLOOKUP(BD116,OFFSET(abbreviation[],0,ColumnLanguage),ColumnAbbreviation,FALSE),"")</f>
        <v/>
      </c>
      <c r="CJ116" s="21" t="str">
        <f ca="1">IFERROR(VLOOKUP(BF116,OFFSET(abbreviation[],0,ColumnLanguage),ColumnAbbreviation,FALSE),"")</f>
        <v/>
      </c>
      <c r="CK116" s="21" t="str">
        <f t="shared" ca="1" si="11"/>
        <v/>
      </c>
      <c r="CL116" s="21" t="str">
        <f t="shared" si="12"/>
        <v/>
      </c>
      <c r="CM116" s="52"/>
      <c r="CN116" s="57" t="str">
        <f t="shared" si="13"/>
        <v/>
      </c>
    </row>
    <row r="117" spans="16:92" x14ac:dyDescent="0.25">
      <c r="P117" s="60"/>
      <c r="Q117" s="13"/>
      <c r="V117" s="60"/>
      <c r="X117" s="61"/>
      <c r="AB117" s="60"/>
      <c r="AN117" s="54"/>
      <c r="AS117" s="15"/>
      <c r="BH117" s="52"/>
      <c r="BI117" s="21" t="str">
        <f ca="1">IFERROR(VLOOKUP(C117,OFFSET(abbreviation[],0,ColumnLanguage),ColumnAbbreviation,FALSE),"")</f>
        <v/>
      </c>
      <c r="BJ117" s="21" t="str">
        <f ca="1">IFERROR(VLOOKUP(E117,OFFSET(abbreviation[],0,ColumnLanguage),ColumnAbbreviation,FALSE),"")</f>
        <v/>
      </c>
      <c r="BK117" s="21" t="str">
        <f ca="1">IFERROR(VLOOKUP(G117,OFFSET(abbreviation[],0,ColumnLanguage),ColumnAbbreviation,FALSE),"")</f>
        <v/>
      </c>
      <c r="BL117" s="21" t="str">
        <f ca="1">IFERROR(VLOOKUP(I117,OFFSET(abbreviation[],0,ColumnLanguage),ColumnAbbreviation,FALSE),"")</f>
        <v/>
      </c>
      <c r="BM117" s="21" t="str">
        <f ca="1">IFERROR(VLOOKUP(K117,OFFSET(abbreviation[],0,ColumnLanguage),ColumnAbbreviation,FALSE),"")</f>
        <v/>
      </c>
      <c r="BN117" s="21" t="str">
        <f t="shared" ca="1" si="7"/>
        <v/>
      </c>
      <c r="BO117" s="21" t="str">
        <f ca="1">IFERROR(VLOOKUP(N117,OFFSET(abbreviation[],0,ColumnLanguage),ColumnAbbreviation,FALSE),"")</f>
        <v/>
      </c>
      <c r="BP117" s="21" t="str">
        <f ca="1">IFERROR(VLOOKUP(P117,OFFSET(abbreviation[],0,ColumnLanguage),ColumnAbbreviation,FALSE),"")</f>
        <v/>
      </c>
      <c r="BQ117" s="21" t="str">
        <f ca="1">IFERROR(VLOOKUP(T117,OFFSET(abbreviation[],0,ColumnLanguage),ColumnAbbreviation,FALSE),"")</f>
        <v/>
      </c>
      <c r="BR117" s="21" t="str">
        <f ca="1">IFERROR(VLOOKUP(V117,OFFSET(abbreviation[],0,ColumnLanguage),ColumnAbbreviation,FALSE),"")</f>
        <v/>
      </c>
      <c r="BS117" s="21" t="str">
        <f ca="1">IFERROR(VLOOKUP(Z117,OFFSET(abbreviation[],0,ColumnLanguage),ColumnAbbreviation,FALSE),"")</f>
        <v/>
      </c>
      <c r="BT117" s="21" t="str">
        <f ca="1">IFERROR(VLOOKUP(AB117,OFFSET(abbreviation[],0,ColumnLanguage),ColumnAbbreviation,FALSE),"")</f>
        <v/>
      </c>
      <c r="BU117" s="21" t="str">
        <f t="shared" ca="1" si="8"/>
        <v>__</v>
      </c>
      <c r="BV117" s="21" t="str">
        <f ca="1">IFERROR(VLOOKUP(AF117,OFFSET(abbreviation[],0,ColumnLanguage),ColumnAbbreviation,FALSE),"")</f>
        <v/>
      </c>
      <c r="BW117" s="21" t="str">
        <f ca="1">IFERROR(VLOOKUP(AH117,OFFSET(abbreviation[],0,ColumnLanguage),ColumnAbbreviation,FALSE),"")</f>
        <v/>
      </c>
      <c r="BX117" s="21" t="str">
        <f ca="1">IFERROR(VLOOKUP(AJ117,OFFSET(abbreviation[],0,ColumnLanguage),ColumnAbbreviation,FALSE),"")</f>
        <v/>
      </c>
      <c r="BY117" s="21" t="str">
        <f ca="1">IFERROR(VLOOKUP(AL117,OFFSET(abbreviation[],0,ColumnLanguage),ColumnAbbreviation,FALSE),"")</f>
        <v/>
      </c>
      <c r="BZ117" s="21" t="str">
        <f t="shared" ca="1" si="9"/>
        <v>_</v>
      </c>
      <c r="CA117" s="21" t="str">
        <f ca="1">IFERROR(VLOOKUP(AP117,OFFSET(abbreviation[],0,ColumnLanguage),ColumnAbbreviation,FALSE),"")</f>
        <v/>
      </c>
      <c r="CB117" s="21" t="str">
        <f ca="1">IFERROR(VLOOKUP(AR117,OFFSET(abbreviation[],0,ColumnLanguage),ColumnAbbreviation,FALSE),"")</f>
        <v/>
      </c>
      <c r="CC117" s="21" t="str">
        <f ca="1">IFERROR(VLOOKUP(AT117,OFFSET(abbreviation[],0,ColumnLanguage),ColumnAbbreviation,FALSE),"")</f>
        <v/>
      </c>
      <c r="CD117" s="21" t="str">
        <f ca="1">IFERROR(VLOOKUP(AV117,OFFSET(abbreviation[],0,ColumnLanguage),ColumnAbbreviation,FALSE),"")</f>
        <v/>
      </c>
      <c r="CE117" s="21" t="str">
        <f t="shared" ca="1" si="10"/>
        <v>__</v>
      </c>
      <c r="CF117" s="21" t="str">
        <f ca="1">IFERROR(VLOOKUP(AX117,OFFSET(abbreviation[],0,ColumnLanguage),ColumnAbbreviation,FALSE),"")</f>
        <v/>
      </c>
      <c r="CG117" s="21" t="str">
        <f ca="1">IFERROR(VLOOKUP(AZ117,OFFSET(abbreviation[],0,ColumnLanguage),ColumnAbbreviation,FALSE),"")</f>
        <v/>
      </c>
      <c r="CH117" s="21" t="str">
        <f ca="1">IFERROR(VLOOKUP(BB117,OFFSET(abbreviation[],0,ColumnLanguage),ColumnAbbreviation,FALSE),"")</f>
        <v/>
      </c>
      <c r="CI117" s="21" t="str">
        <f ca="1">IFERROR(VLOOKUP(BD117,OFFSET(abbreviation[],0,ColumnLanguage),ColumnAbbreviation,FALSE),"")</f>
        <v/>
      </c>
      <c r="CJ117" s="21" t="str">
        <f ca="1">IFERROR(VLOOKUP(BF117,OFFSET(abbreviation[],0,ColumnLanguage),ColumnAbbreviation,FALSE),"")</f>
        <v/>
      </c>
      <c r="CK117" s="21" t="str">
        <f t="shared" ca="1" si="11"/>
        <v/>
      </c>
      <c r="CL117" s="21" t="str">
        <f t="shared" si="12"/>
        <v/>
      </c>
      <c r="CM117" s="52"/>
      <c r="CN117" s="57" t="str">
        <f t="shared" si="13"/>
        <v/>
      </c>
    </row>
    <row r="118" spans="16:92" x14ac:dyDescent="0.25">
      <c r="P118" s="60"/>
      <c r="Q118" s="13"/>
      <c r="V118" s="60"/>
      <c r="X118" s="61"/>
      <c r="AB118" s="60"/>
      <c r="AN118" s="54"/>
      <c r="AS118" s="15"/>
      <c r="BH118" s="52"/>
      <c r="BI118" s="21" t="str">
        <f ca="1">IFERROR(VLOOKUP(C118,OFFSET(abbreviation[],0,ColumnLanguage),ColumnAbbreviation,FALSE),"")</f>
        <v/>
      </c>
      <c r="BJ118" s="21" t="str">
        <f ca="1">IFERROR(VLOOKUP(E118,OFFSET(abbreviation[],0,ColumnLanguage),ColumnAbbreviation,FALSE),"")</f>
        <v/>
      </c>
      <c r="BK118" s="21" t="str">
        <f ca="1">IFERROR(VLOOKUP(G118,OFFSET(abbreviation[],0,ColumnLanguage),ColumnAbbreviation,FALSE),"")</f>
        <v/>
      </c>
      <c r="BL118" s="21" t="str">
        <f ca="1">IFERROR(VLOOKUP(I118,OFFSET(abbreviation[],0,ColumnLanguage),ColumnAbbreviation,FALSE),"")</f>
        <v/>
      </c>
      <c r="BM118" s="21" t="str">
        <f ca="1">IFERROR(VLOOKUP(K118,OFFSET(abbreviation[],0,ColumnLanguage),ColumnAbbreviation,FALSE),"")</f>
        <v/>
      </c>
      <c r="BN118" s="21" t="str">
        <f t="shared" ca="1" si="7"/>
        <v/>
      </c>
      <c r="BO118" s="21" t="str">
        <f ca="1">IFERROR(VLOOKUP(N118,OFFSET(abbreviation[],0,ColumnLanguage),ColumnAbbreviation,FALSE),"")</f>
        <v/>
      </c>
      <c r="BP118" s="21" t="str">
        <f ca="1">IFERROR(VLOOKUP(P118,OFFSET(abbreviation[],0,ColumnLanguage),ColumnAbbreviation,FALSE),"")</f>
        <v/>
      </c>
      <c r="BQ118" s="21" t="str">
        <f ca="1">IFERROR(VLOOKUP(T118,OFFSET(abbreviation[],0,ColumnLanguage),ColumnAbbreviation,FALSE),"")</f>
        <v/>
      </c>
      <c r="BR118" s="21" t="str">
        <f ca="1">IFERROR(VLOOKUP(V118,OFFSET(abbreviation[],0,ColumnLanguage),ColumnAbbreviation,FALSE),"")</f>
        <v/>
      </c>
      <c r="BS118" s="21" t="str">
        <f ca="1">IFERROR(VLOOKUP(Z118,OFFSET(abbreviation[],0,ColumnLanguage),ColumnAbbreviation,FALSE),"")</f>
        <v/>
      </c>
      <c r="BT118" s="21" t="str">
        <f ca="1">IFERROR(VLOOKUP(AB118,OFFSET(abbreviation[],0,ColumnLanguage),ColumnAbbreviation,FALSE),"")</f>
        <v/>
      </c>
      <c r="BU118" s="21" t="str">
        <f t="shared" ca="1" si="8"/>
        <v>__</v>
      </c>
      <c r="BV118" s="21" t="str">
        <f ca="1">IFERROR(VLOOKUP(AF118,OFFSET(abbreviation[],0,ColumnLanguage),ColumnAbbreviation,FALSE),"")</f>
        <v/>
      </c>
      <c r="BW118" s="21" t="str">
        <f ca="1">IFERROR(VLOOKUP(AH118,OFFSET(abbreviation[],0,ColumnLanguage),ColumnAbbreviation,FALSE),"")</f>
        <v/>
      </c>
      <c r="BX118" s="21" t="str">
        <f ca="1">IFERROR(VLOOKUP(AJ118,OFFSET(abbreviation[],0,ColumnLanguage),ColumnAbbreviation,FALSE),"")</f>
        <v/>
      </c>
      <c r="BY118" s="21" t="str">
        <f ca="1">IFERROR(VLOOKUP(AL118,OFFSET(abbreviation[],0,ColumnLanguage),ColumnAbbreviation,FALSE),"")</f>
        <v/>
      </c>
      <c r="BZ118" s="21" t="str">
        <f t="shared" ca="1" si="9"/>
        <v>_</v>
      </c>
      <c r="CA118" s="21" t="str">
        <f ca="1">IFERROR(VLOOKUP(AP118,OFFSET(abbreviation[],0,ColumnLanguage),ColumnAbbreviation,FALSE),"")</f>
        <v/>
      </c>
      <c r="CB118" s="21" t="str">
        <f ca="1">IFERROR(VLOOKUP(AR118,OFFSET(abbreviation[],0,ColumnLanguage),ColumnAbbreviation,FALSE),"")</f>
        <v/>
      </c>
      <c r="CC118" s="21" t="str">
        <f ca="1">IFERROR(VLOOKUP(AT118,OFFSET(abbreviation[],0,ColumnLanguage),ColumnAbbreviation,FALSE),"")</f>
        <v/>
      </c>
      <c r="CD118" s="21" t="str">
        <f ca="1">IFERROR(VLOOKUP(AV118,OFFSET(abbreviation[],0,ColumnLanguage),ColumnAbbreviation,FALSE),"")</f>
        <v/>
      </c>
      <c r="CE118" s="21" t="str">
        <f t="shared" ca="1" si="10"/>
        <v>__</v>
      </c>
      <c r="CF118" s="21" t="str">
        <f ca="1">IFERROR(VLOOKUP(AX118,OFFSET(abbreviation[],0,ColumnLanguage),ColumnAbbreviation,FALSE),"")</f>
        <v/>
      </c>
      <c r="CG118" s="21" t="str">
        <f ca="1">IFERROR(VLOOKUP(AZ118,OFFSET(abbreviation[],0,ColumnLanguage),ColumnAbbreviation,FALSE),"")</f>
        <v/>
      </c>
      <c r="CH118" s="21" t="str">
        <f ca="1">IFERROR(VLOOKUP(BB118,OFFSET(abbreviation[],0,ColumnLanguage),ColumnAbbreviation,FALSE),"")</f>
        <v/>
      </c>
      <c r="CI118" s="21" t="str">
        <f ca="1">IFERROR(VLOOKUP(BD118,OFFSET(abbreviation[],0,ColumnLanguage),ColumnAbbreviation,FALSE),"")</f>
        <v/>
      </c>
      <c r="CJ118" s="21" t="str">
        <f ca="1">IFERROR(VLOOKUP(BF118,OFFSET(abbreviation[],0,ColumnLanguage),ColumnAbbreviation,FALSE),"")</f>
        <v/>
      </c>
      <c r="CK118" s="21" t="str">
        <f t="shared" ca="1" si="11"/>
        <v/>
      </c>
      <c r="CL118" s="21" t="str">
        <f t="shared" si="12"/>
        <v/>
      </c>
      <c r="CM118" s="52"/>
      <c r="CN118" s="57" t="str">
        <f t="shared" si="13"/>
        <v/>
      </c>
    </row>
    <row r="119" spans="16:92" x14ac:dyDescent="0.25">
      <c r="P119" s="60"/>
      <c r="Q119" s="13"/>
      <c r="V119" s="60"/>
      <c r="X119" s="61"/>
      <c r="AB119" s="60"/>
      <c r="AN119" s="54"/>
      <c r="AS119" s="15"/>
      <c r="BH119" s="52"/>
      <c r="BI119" s="21" t="str">
        <f ca="1">IFERROR(VLOOKUP(C119,OFFSET(abbreviation[],0,ColumnLanguage),ColumnAbbreviation,FALSE),"")</f>
        <v/>
      </c>
      <c r="BJ119" s="21" t="str">
        <f ca="1">IFERROR(VLOOKUP(E119,OFFSET(abbreviation[],0,ColumnLanguage),ColumnAbbreviation,FALSE),"")</f>
        <v/>
      </c>
      <c r="BK119" s="21" t="str">
        <f ca="1">IFERROR(VLOOKUP(G119,OFFSET(abbreviation[],0,ColumnLanguage),ColumnAbbreviation,FALSE),"")</f>
        <v/>
      </c>
      <c r="BL119" s="21" t="str">
        <f ca="1">IFERROR(VLOOKUP(I119,OFFSET(abbreviation[],0,ColumnLanguage),ColumnAbbreviation,FALSE),"")</f>
        <v/>
      </c>
      <c r="BM119" s="21" t="str">
        <f ca="1">IFERROR(VLOOKUP(K119,OFFSET(abbreviation[],0,ColumnLanguage),ColumnAbbreviation,FALSE),"")</f>
        <v/>
      </c>
      <c r="BN119" s="21" t="str">
        <f t="shared" ca="1" si="7"/>
        <v/>
      </c>
      <c r="BO119" s="21" t="str">
        <f ca="1">IFERROR(VLOOKUP(N119,OFFSET(abbreviation[],0,ColumnLanguage),ColumnAbbreviation,FALSE),"")</f>
        <v/>
      </c>
      <c r="BP119" s="21" t="str">
        <f ca="1">IFERROR(VLOOKUP(P119,OFFSET(abbreviation[],0,ColumnLanguage),ColumnAbbreviation,FALSE),"")</f>
        <v/>
      </c>
      <c r="BQ119" s="21" t="str">
        <f ca="1">IFERROR(VLOOKUP(T119,OFFSET(abbreviation[],0,ColumnLanguage),ColumnAbbreviation,FALSE),"")</f>
        <v/>
      </c>
      <c r="BR119" s="21" t="str">
        <f ca="1">IFERROR(VLOOKUP(V119,OFFSET(abbreviation[],0,ColumnLanguage),ColumnAbbreviation,FALSE),"")</f>
        <v/>
      </c>
      <c r="BS119" s="21" t="str">
        <f ca="1">IFERROR(VLOOKUP(Z119,OFFSET(abbreviation[],0,ColumnLanguage),ColumnAbbreviation,FALSE),"")</f>
        <v/>
      </c>
      <c r="BT119" s="21" t="str">
        <f ca="1">IFERROR(VLOOKUP(AB119,OFFSET(abbreviation[],0,ColumnLanguage),ColumnAbbreviation,FALSE),"")</f>
        <v/>
      </c>
      <c r="BU119" s="21" t="str">
        <f t="shared" ca="1" si="8"/>
        <v>__</v>
      </c>
      <c r="BV119" s="21" t="str">
        <f ca="1">IFERROR(VLOOKUP(AF119,OFFSET(abbreviation[],0,ColumnLanguage),ColumnAbbreviation,FALSE),"")</f>
        <v/>
      </c>
      <c r="BW119" s="21" t="str">
        <f ca="1">IFERROR(VLOOKUP(AH119,OFFSET(abbreviation[],0,ColumnLanguage),ColumnAbbreviation,FALSE),"")</f>
        <v/>
      </c>
      <c r="BX119" s="21" t="str">
        <f ca="1">IFERROR(VLOOKUP(AJ119,OFFSET(abbreviation[],0,ColumnLanguage),ColumnAbbreviation,FALSE),"")</f>
        <v/>
      </c>
      <c r="BY119" s="21" t="str">
        <f ca="1">IFERROR(VLOOKUP(AL119,OFFSET(abbreviation[],0,ColumnLanguage),ColumnAbbreviation,FALSE),"")</f>
        <v/>
      </c>
      <c r="BZ119" s="21" t="str">
        <f t="shared" ca="1" si="9"/>
        <v>_</v>
      </c>
      <c r="CA119" s="21" t="str">
        <f ca="1">IFERROR(VLOOKUP(AP119,OFFSET(abbreviation[],0,ColumnLanguage),ColumnAbbreviation,FALSE),"")</f>
        <v/>
      </c>
      <c r="CB119" s="21" t="str">
        <f ca="1">IFERROR(VLOOKUP(AR119,OFFSET(abbreviation[],0,ColumnLanguage),ColumnAbbreviation,FALSE),"")</f>
        <v/>
      </c>
      <c r="CC119" s="21" t="str">
        <f ca="1">IFERROR(VLOOKUP(AT119,OFFSET(abbreviation[],0,ColumnLanguage),ColumnAbbreviation,FALSE),"")</f>
        <v/>
      </c>
      <c r="CD119" s="21" t="str">
        <f ca="1">IFERROR(VLOOKUP(AV119,OFFSET(abbreviation[],0,ColumnLanguage),ColumnAbbreviation,FALSE),"")</f>
        <v/>
      </c>
      <c r="CE119" s="21" t="str">
        <f t="shared" ca="1" si="10"/>
        <v>__</v>
      </c>
      <c r="CF119" s="21" t="str">
        <f ca="1">IFERROR(VLOOKUP(AX119,OFFSET(abbreviation[],0,ColumnLanguage),ColumnAbbreviation,FALSE),"")</f>
        <v/>
      </c>
      <c r="CG119" s="21" t="str">
        <f ca="1">IFERROR(VLOOKUP(AZ119,OFFSET(abbreviation[],0,ColumnLanguage),ColumnAbbreviation,FALSE),"")</f>
        <v/>
      </c>
      <c r="CH119" s="21" t="str">
        <f ca="1">IFERROR(VLOOKUP(BB119,OFFSET(abbreviation[],0,ColumnLanguage),ColumnAbbreviation,FALSE),"")</f>
        <v/>
      </c>
      <c r="CI119" s="21" t="str">
        <f ca="1">IFERROR(VLOOKUP(BD119,OFFSET(abbreviation[],0,ColumnLanguage),ColumnAbbreviation,FALSE),"")</f>
        <v/>
      </c>
      <c r="CJ119" s="21" t="str">
        <f ca="1">IFERROR(VLOOKUP(BF119,OFFSET(abbreviation[],0,ColumnLanguage),ColumnAbbreviation,FALSE),"")</f>
        <v/>
      </c>
      <c r="CK119" s="21" t="str">
        <f t="shared" ca="1" si="11"/>
        <v/>
      </c>
      <c r="CL119" s="21" t="str">
        <f t="shared" si="12"/>
        <v/>
      </c>
      <c r="CM119" s="52"/>
      <c r="CN119" s="57" t="str">
        <f t="shared" si="13"/>
        <v/>
      </c>
    </row>
    <row r="120" spans="16:92" x14ac:dyDescent="0.25">
      <c r="P120" s="60"/>
      <c r="Q120" s="13"/>
      <c r="V120" s="60"/>
      <c r="X120" s="61"/>
      <c r="AB120" s="60"/>
      <c r="AN120" s="54"/>
      <c r="AS120" s="15"/>
      <c r="BH120" s="52"/>
      <c r="BI120" s="21" t="str">
        <f ca="1">IFERROR(VLOOKUP(C120,OFFSET(abbreviation[],0,ColumnLanguage),ColumnAbbreviation,FALSE),"")</f>
        <v/>
      </c>
      <c r="BJ120" s="21" t="str">
        <f ca="1">IFERROR(VLOOKUP(E120,OFFSET(abbreviation[],0,ColumnLanguage),ColumnAbbreviation,FALSE),"")</f>
        <v/>
      </c>
      <c r="BK120" s="21" t="str">
        <f ca="1">IFERROR(VLOOKUP(G120,OFFSET(abbreviation[],0,ColumnLanguage),ColumnAbbreviation,FALSE),"")</f>
        <v/>
      </c>
      <c r="BL120" s="21" t="str">
        <f ca="1">IFERROR(VLOOKUP(I120,OFFSET(abbreviation[],0,ColumnLanguage),ColumnAbbreviation,FALSE),"")</f>
        <v/>
      </c>
      <c r="BM120" s="21" t="str">
        <f ca="1">IFERROR(VLOOKUP(K120,OFFSET(abbreviation[],0,ColumnLanguage),ColumnAbbreviation,FALSE),"")</f>
        <v/>
      </c>
      <c r="BN120" s="21" t="str">
        <f t="shared" ca="1" si="7"/>
        <v/>
      </c>
      <c r="BO120" s="21" t="str">
        <f ca="1">IFERROR(VLOOKUP(N120,OFFSET(abbreviation[],0,ColumnLanguage),ColumnAbbreviation,FALSE),"")</f>
        <v/>
      </c>
      <c r="BP120" s="21" t="str">
        <f ca="1">IFERROR(VLOOKUP(P120,OFFSET(abbreviation[],0,ColumnLanguage),ColumnAbbreviation,FALSE),"")</f>
        <v/>
      </c>
      <c r="BQ120" s="21" t="str">
        <f ca="1">IFERROR(VLOOKUP(T120,OFFSET(abbreviation[],0,ColumnLanguage),ColumnAbbreviation,FALSE),"")</f>
        <v/>
      </c>
      <c r="BR120" s="21" t="str">
        <f ca="1">IFERROR(VLOOKUP(V120,OFFSET(abbreviation[],0,ColumnLanguage),ColumnAbbreviation,FALSE),"")</f>
        <v/>
      </c>
      <c r="BS120" s="21" t="str">
        <f ca="1">IFERROR(VLOOKUP(Z120,OFFSET(abbreviation[],0,ColumnLanguage),ColumnAbbreviation,FALSE),"")</f>
        <v/>
      </c>
      <c r="BT120" s="21" t="str">
        <f ca="1">IFERROR(VLOOKUP(AB120,OFFSET(abbreviation[],0,ColumnLanguage),ColumnAbbreviation,FALSE),"")</f>
        <v/>
      </c>
      <c r="BU120" s="21" t="str">
        <f t="shared" ca="1" si="8"/>
        <v>__</v>
      </c>
      <c r="BV120" s="21" t="str">
        <f ca="1">IFERROR(VLOOKUP(AF120,OFFSET(abbreviation[],0,ColumnLanguage),ColumnAbbreviation,FALSE),"")</f>
        <v/>
      </c>
      <c r="BW120" s="21" t="str">
        <f ca="1">IFERROR(VLOOKUP(AH120,OFFSET(abbreviation[],0,ColumnLanguage),ColumnAbbreviation,FALSE),"")</f>
        <v/>
      </c>
      <c r="BX120" s="21" t="str">
        <f ca="1">IFERROR(VLOOKUP(AJ120,OFFSET(abbreviation[],0,ColumnLanguage),ColumnAbbreviation,FALSE),"")</f>
        <v/>
      </c>
      <c r="BY120" s="21" t="str">
        <f ca="1">IFERROR(VLOOKUP(AL120,OFFSET(abbreviation[],0,ColumnLanguage),ColumnAbbreviation,FALSE),"")</f>
        <v/>
      </c>
      <c r="BZ120" s="21" t="str">
        <f t="shared" ca="1" si="9"/>
        <v>_</v>
      </c>
      <c r="CA120" s="21" t="str">
        <f ca="1">IFERROR(VLOOKUP(AP120,OFFSET(abbreviation[],0,ColumnLanguage),ColumnAbbreviation,FALSE),"")</f>
        <v/>
      </c>
      <c r="CB120" s="21" t="str">
        <f ca="1">IFERROR(VLOOKUP(AR120,OFFSET(abbreviation[],0,ColumnLanguage),ColumnAbbreviation,FALSE),"")</f>
        <v/>
      </c>
      <c r="CC120" s="21" t="str">
        <f ca="1">IFERROR(VLOOKUP(AT120,OFFSET(abbreviation[],0,ColumnLanguage),ColumnAbbreviation,FALSE),"")</f>
        <v/>
      </c>
      <c r="CD120" s="21" t="str">
        <f ca="1">IFERROR(VLOOKUP(AV120,OFFSET(abbreviation[],0,ColumnLanguage),ColumnAbbreviation,FALSE),"")</f>
        <v/>
      </c>
      <c r="CE120" s="21" t="str">
        <f t="shared" ca="1" si="10"/>
        <v>__</v>
      </c>
      <c r="CF120" s="21" t="str">
        <f ca="1">IFERROR(VLOOKUP(AX120,OFFSET(abbreviation[],0,ColumnLanguage),ColumnAbbreviation,FALSE),"")</f>
        <v/>
      </c>
      <c r="CG120" s="21" t="str">
        <f ca="1">IFERROR(VLOOKUP(AZ120,OFFSET(abbreviation[],0,ColumnLanguage),ColumnAbbreviation,FALSE),"")</f>
        <v/>
      </c>
      <c r="CH120" s="21" t="str">
        <f ca="1">IFERROR(VLOOKUP(BB120,OFFSET(abbreviation[],0,ColumnLanguage),ColumnAbbreviation,FALSE),"")</f>
        <v/>
      </c>
      <c r="CI120" s="21" t="str">
        <f ca="1">IFERROR(VLOOKUP(BD120,OFFSET(abbreviation[],0,ColumnLanguage),ColumnAbbreviation,FALSE),"")</f>
        <v/>
      </c>
      <c r="CJ120" s="21" t="str">
        <f ca="1">IFERROR(VLOOKUP(BF120,OFFSET(abbreviation[],0,ColumnLanguage),ColumnAbbreviation,FALSE),"")</f>
        <v/>
      </c>
      <c r="CK120" s="21" t="str">
        <f t="shared" ca="1" si="11"/>
        <v/>
      </c>
      <c r="CL120" s="21" t="str">
        <f t="shared" si="12"/>
        <v/>
      </c>
      <c r="CM120" s="52"/>
      <c r="CN120" s="57" t="str">
        <f t="shared" si="13"/>
        <v/>
      </c>
    </row>
    <row r="121" spans="16:92" x14ac:dyDescent="0.25">
      <c r="P121" s="60"/>
      <c r="Q121" s="13"/>
      <c r="V121" s="60"/>
      <c r="X121" s="61"/>
      <c r="AB121" s="60"/>
      <c r="AN121" s="54"/>
      <c r="AS121" s="15"/>
      <c r="BH121" s="52"/>
      <c r="BI121" s="21" t="str">
        <f ca="1">IFERROR(VLOOKUP(C121,OFFSET(abbreviation[],0,ColumnLanguage),ColumnAbbreviation,FALSE),"")</f>
        <v/>
      </c>
      <c r="BJ121" s="21" t="str">
        <f ca="1">IFERROR(VLOOKUP(E121,OFFSET(abbreviation[],0,ColumnLanguage),ColumnAbbreviation,FALSE),"")</f>
        <v/>
      </c>
      <c r="BK121" s="21" t="str">
        <f ca="1">IFERROR(VLOOKUP(G121,OFFSET(abbreviation[],0,ColumnLanguage),ColumnAbbreviation,FALSE),"")</f>
        <v/>
      </c>
      <c r="BL121" s="21" t="str">
        <f ca="1">IFERROR(VLOOKUP(I121,OFFSET(abbreviation[],0,ColumnLanguage),ColumnAbbreviation,FALSE),"")</f>
        <v/>
      </c>
      <c r="BM121" s="21" t="str">
        <f ca="1">IFERROR(VLOOKUP(K121,OFFSET(abbreviation[],0,ColumnLanguage),ColumnAbbreviation,FALSE),"")</f>
        <v/>
      </c>
      <c r="BN121" s="21" t="str">
        <f t="shared" ca="1" si="7"/>
        <v/>
      </c>
      <c r="BO121" s="21" t="str">
        <f ca="1">IFERROR(VLOOKUP(N121,OFFSET(abbreviation[],0,ColumnLanguage),ColumnAbbreviation,FALSE),"")</f>
        <v/>
      </c>
      <c r="BP121" s="21" t="str">
        <f ca="1">IFERROR(VLOOKUP(P121,OFFSET(abbreviation[],0,ColumnLanguage),ColumnAbbreviation,FALSE),"")</f>
        <v/>
      </c>
      <c r="BQ121" s="21" t="str">
        <f ca="1">IFERROR(VLOOKUP(T121,OFFSET(abbreviation[],0,ColumnLanguage),ColumnAbbreviation,FALSE),"")</f>
        <v/>
      </c>
      <c r="BR121" s="21" t="str">
        <f ca="1">IFERROR(VLOOKUP(V121,OFFSET(abbreviation[],0,ColumnLanguage),ColumnAbbreviation,FALSE),"")</f>
        <v/>
      </c>
      <c r="BS121" s="21" t="str">
        <f ca="1">IFERROR(VLOOKUP(Z121,OFFSET(abbreviation[],0,ColumnLanguage),ColumnAbbreviation,FALSE),"")</f>
        <v/>
      </c>
      <c r="BT121" s="21" t="str">
        <f ca="1">IFERROR(VLOOKUP(AB121,OFFSET(abbreviation[],0,ColumnLanguage),ColumnAbbreviation,FALSE),"")</f>
        <v/>
      </c>
      <c r="BU121" s="21" t="str">
        <f t="shared" ca="1" si="8"/>
        <v>__</v>
      </c>
      <c r="BV121" s="21" t="str">
        <f ca="1">IFERROR(VLOOKUP(AF121,OFFSET(abbreviation[],0,ColumnLanguage),ColumnAbbreviation,FALSE),"")</f>
        <v/>
      </c>
      <c r="BW121" s="21" t="str">
        <f ca="1">IFERROR(VLOOKUP(AH121,OFFSET(abbreviation[],0,ColumnLanguage),ColumnAbbreviation,FALSE),"")</f>
        <v/>
      </c>
      <c r="BX121" s="21" t="str">
        <f ca="1">IFERROR(VLOOKUP(AJ121,OFFSET(abbreviation[],0,ColumnLanguage),ColumnAbbreviation,FALSE),"")</f>
        <v/>
      </c>
      <c r="BY121" s="21" t="str">
        <f ca="1">IFERROR(VLOOKUP(AL121,OFFSET(abbreviation[],0,ColumnLanguage),ColumnAbbreviation,FALSE),"")</f>
        <v/>
      </c>
      <c r="BZ121" s="21" t="str">
        <f t="shared" ca="1" si="9"/>
        <v>_</v>
      </c>
      <c r="CA121" s="21" t="str">
        <f ca="1">IFERROR(VLOOKUP(AP121,OFFSET(abbreviation[],0,ColumnLanguage),ColumnAbbreviation,FALSE),"")</f>
        <v/>
      </c>
      <c r="CB121" s="21" t="str">
        <f ca="1">IFERROR(VLOOKUP(AR121,OFFSET(abbreviation[],0,ColumnLanguage),ColumnAbbreviation,FALSE),"")</f>
        <v/>
      </c>
      <c r="CC121" s="21" t="str">
        <f ca="1">IFERROR(VLOOKUP(AT121,OFFSET(abbreviation[],0,ColumnLanguage),ColumnAbbreviation,FALSE),"")</f>
        <v/>
      </c>
      <c r="CD121" s="21" t="str">
        <f ca="1">IFERROR(VLOOKUP(AV121,OFFSET(abbreviation[],0,ColumnLanguage),ColumnAbbreviation,FALSE),"")</f>
        <v/>
      </c>
      <c r="CE121" s="21" t="str">
        <f t="shared" ca="1" si="10"/>
        <v>__</v>
      </c>
      <c r="CF121" s="21" t="str">
        <f ca="1">IFERROR(VLOOKUP(AX121,OFFSET(abbreviation[],0,ColumnLanguage),ColumnAbbreviation,FALSE),"")</f>
        <v/>
      </c>
      <c r="CG121" s="21" t="str">
        <f ca="1">IFERROR(VLOOKUP(AZ121,OFFSET(abbreviation[],0,ColumnLanguage),ColumnAbbreviation,FALSE),"")</f>
        <v/>
      </c>
      <c r="CH121" s="21" t="str">
        <f ca="1">IFERROR(VLOOKUP(BB121,OFFSET(abbreviation[],0,ColumnLanguage),ColumnAbbreviation,FALSE),"")</f>
        <v/>
      </c>
      <c r="CI121" s="21" t="str">
        <f ca="1">IFERROR(VLOOKUP(BD121,OFFSET(abbreviation[],0,ColumnLanguage),ColumnAbbreviation,FALSE),"")</f>
        <v/>
      </c>
      <c r="CJ121" s="21" t="str">
        <f ca="1">IFERROR(VLOOKUP(BF121,OFFSET(abbreviation[],0,ColumnLanguage),ColumnAbbreviation,FALSE),"")</f>
        <v/>
      </c>
      <c r="CK121" s="21" t="str">
        <f t="shared" ca="1" si="11"/>
        <v/>
      </c>
      <c r="CL121" s="21" t="str">
        <f t="shared" si="12"/>
        <v/>
      </c>
      <c r="CM121" s="52"/>
      <c r="CN121" s="57" t="str">
        <f t="shared" si="13"/>
        <v/>
      </c>
    </row>
    <row r="122" spans="16:92" x14ac:dyDescent="0.25">
      <c r="P122" s="60"/>
      <c r="Q122" s="13"/>
      <c r="V122" s="60"/>
      <c r="X122" s="61"/>
      <c r="AB122" s="60"/>
      <c r="AN122" s="54"/>
      <c r="AS122" s="15"/>
      <c r="BH122" s="52"/>
      <c r="BI122" s="21" t="str">
        <f ca="1">IFERROR(VLOOKUP(C122,OFFSET(abbreviation[],0,ColumnLanguage),ColumnAbbreviation,FALSE),"")</f>
        <v/>
      </c>
      <c r="BJ122" s="21" t="str">
        <f ca="1">IFERROR(VLOOKUP(E122,OFFSET(abbreviation[],0,ColumnLanguage),ColumnAbbreviation,FALSE),"")</f>
        <v/>
      </c>
      <c r="BK122" s="21" t="str">
        <f ca="1">IFERROR(VLOOKUP(G122,OFFSET(abbreviation[],0,ColumnLanguage),ColumnAbbreviation,FALSE),"")</f>
        <v/>
      </c>
      <c r="BL122" s="21" t="str">
        <f ca="1">IFERROR(VLOOKUP(I122,OFFSET(abbreviation[],0,ColumnLanguage),ColumnAbbreviation,FALSE),"")</f>
        <v/>
      </c>
      <c r="BM122" s="21" t="str">
        <f ca="1">IFERROR(VLOOKUP(K122,OFFSET(abbreviation[],0,ColumnLanguage),ColumnAbbreviation,FALSE),"")</f>
        <v/>
      </c>
      <c r="BN122" s="21" t="str">
        <f t="shared" ca="1" si="7"/>
        <v/>
      </c>
      <c r="BO122" s="21" t="str">
        <f ca="1">IFERROR(VLOOKUP(N122,OFFSET(abbreviation[],0,ColumnLanguage),ColumnAbbreviation,FALSE),"")</f>
        <v/>
      </c>
      <c r="BP122" s="21" t="str">
        <f ca="1">IFERROR(VLOOKUP(P122,OFFSET(abbreviation[],0,ColumnLanguage),ColumnAbbreviation,FALSE),"")</f>
        <v/>
      </c>
      <c r="BQ122" s="21" t="str">
        <f ca="1">IFERROR(VLOOKUP(T122,OFFSET(abbreviation[],0,ColumnLanguage),ColumnAbbreviation,FALSE),"")</f>
        <v/>
      </c>
      <c r="BR122" s="21" t="str">
        <f ca="1">IFERROR(VLOOKUP(V122,OFFSET(abbreviation[],0,ColumnLanguage),ColumnAbbreviation,FALSE),"")</f>
        <v/>
      </c>
      <c r="BS122" s="21" t="str">
        <f ca="1">IFERROR(VLOOKUP(Z122,OFFSET(abbreviation[],0,ColumnLanguage),ColumnAbbreviation,FALSE),"")</f>
        <v/>
      </c>
      <c r="BT122" s="21" t="str">
        <f ca="1">IFERROR(VLOOKUP(AB122,OFFSET(abbreviation[],0,ColumnLanguage),ColumnAbbreviation,FALSE),"")</f>
        <v/>
      </c>
      <c r="BU122" s="21" t="str">
        <f t="shared" ca="1" si="8"/>
        <v>__</v>
      </c>
      <c r="BV122" s="21" t="str">
        <f ca="1">IFERROR(VLOOKUP(AF122,OFFSET(abbreviation[],0,ColumnLanguage),ColumnAbbreviation,FALSE),"")</f>
        <v/>
      </c>
      <c r="BW122" s="21" t="str">
        <f ca="1">IFERROR(VLOOKUP(AH122,OFFSET(abbreviation[],0,ColumnLanguage),ColumnAbbreviation,FALSE),"")</f>
        <v/>
      </c>
      <c r="BX122" s="21" t="str">
        <f ca="1">IFERROR(VLOOKUP(AJ122,OFFSET(abbreviation[],0,ColumnLanguage),ColumnAbbreviation,FALSE),"")</f>
        <v/>
      </c>
      <c r="BY122" s="21" t="str">
        <f ca="1">IFERROR(VLOOKUP(AL122,OFFSET(abbreviation[],0,ColumnLanguage),ColumnAbbreviation,FALSE),"")</f>
        <v/>
      </c>
      <c r="BZ122" s="21" t="str">
        <f t="shared" ca="1" si="9"/>
        <v>_</v>
      </c>
      <c r="CA122" s="21" t="str">
        <f ca="1">IFERROR(VLOOKUP(AP122,OFFSET(abbreviation[],0,ColumnLanguage),ColumnAbbreviation,FALSE),"")</f>
        <v/>
      </c>
      <c r="CB122" s="21" t="str">
        <f ca="1">IFERROR(VLOOKUP(AR122,OFFSET(abbreviation[],0,ColumnLanguage),ColumnAbbreviation,FALSE),"")</f>
        <v/>
      </c>
      <c r="CC122" s="21" t="str">
        <f ca="1">IFERROR(VLOOKUP(AT122,OFFSET(abbreviation[],0,ColumnLanguage),ColumnAbbreviation,FALSE),"")</f>
        <v/>
      </c>
      <c r="CD122" s="21" t="str">
        <f ca="1">IFERROR(VLOOKUP(AV122,OFFSET(abbreviation[],0,ColumnLanguage),ColumnAbbreviation,FALSE),"")</f>
        <v/>
      </c>
      <c r="CE122" s="21" t="str">
        <f t="shared" ca="1" si="10"/>
        <v>__</v>
      </c>
      <c r="CF122" s="21" t="str">
        <f ca="1">IFERROR(VLOOKUP(AX122,OFFSET(abbreviation[],0,ColumnLanguage),ColumnAbbreviation,FALSE),"")</f>
        <v/>
      </c>
      <c r="CG122" s="21" t="str">
        <f ca="1">IFERROR(VLOOKUP(AZ122,OFFSET(abbreviation[],0,ColumnLanguage),ColumnAbbreviation,FALSE),"")</f>
        <v/>
      </c>
      <c r="CH122" s="21" t="str">
        <f ca="1">IFERROR(VLOOKUP(BB122,OFFSET(abbreviation[],0,ColumnLanguage),ColumnAbbreviation,FALSE),"")</f>
        <v/>
      </c>
      <c r="CI122" s="21" t="str">
        <f ca="1">IFERROR(VLOOKUP(BD122,OFFSET(abbreviation[],0,ColumnLanguage),ColumnAbbreviation,FALSE),"")</f>
        <v/>
      </c>
      <c r="CJ122" s="21" t="str">
        <f ca="1">IFERROR(VLOOKUP(BF122,OFFSET(abbreviation[],0,ColumnLanguage),ColumnAbbreviation,FALSE),"")</f>
        <v/>
      </c>
      <c r="CK122" s="21" t="str">
        <f t="shared" ca="1" si="11"/>
        <v/>
      </c>
      <c r="CL122" s="21" t="str">
        <f t="shared" si="12"/>
        <v/>
      </c>
      <c r="CM122" s="52"/>
      <c r="CN122" s="57" t="str">
        <f t="shared" si="13"/>
        <v/>
      </c>
    </row>
    <row r="123" spans="16:92" x14ac:dyDescent="0.25">
      <c r="P123" s="60"/>
      <c r="Q123" s="13"/>
      <c r="V123" s="60"/>
      <c r="X123" s="61"/>
      <c r="AB123" s="60"/>
      <c r="AN123" s="54"/>
      <c r="AS123" s="15"/>
      <c r="BH123" s="52"/>
      <c r="BI123" s="21" t="str">
        <f ca="1">IFERROR(VLOOKUP(C123,OFFSET(abbreviation[],0,ColumnLanguage),ColumnAbbreviation,FALSE),"")</f>
        <v/>
      </c>
      <c r="BJ123" s="21" t="str">
        <f ca="1">IFERROR(VLOOKUP(E123,OFFSET(abbreviation[],0,ColumnLanguage),ColumnAbbreviation,FALSE),"")</f>
        <v/>
      </c>
      <c r="BK123" s="21" t="str">
        <f ca="1">IFERROR(VLOOKUP(G123,OFFSET(abbreviation[],0,ColumnLanguage),ColumnAbbreviation,FALSE),"")</f>
        <v/>
      </c>
      <c r="BL123" s="21" t="str">
        <f ca="1">IFERROR(VLOOKUP(I123,OFFSET(abbreviation[],0,ColumnLanguage),ColumnAbbreviation,FALSE),"")</f>
        <v/>
      </c>
      <c r="BM123" s="21" t="str">
        <f ca="1">IFERROR(VLOOKUP(K123,OFFSET(abbreviation[],0,ColumnLanguage),ColumnAbbreviation,FALSE),"")</f>
        <v/>
      </c>
      <c r="BN123" s="21" t="str">
        <f t="shared" ca="1" si="7"/>
        <v/>
      </c>
      <c r="BO123" s="21" t="str">
        <f ca="1">IFERROR(VLOOKUP(N123,OFFSET(abbreviation[],0,ColumnLanguage),ColumnAbbreviation,FALSE),"")</f>
        <v/>
      </c>
      <c r="BP123" s="21" t="str">
        <f ca="1">IFERROR(VLOOKUP(P123,OFFSET(abbreviation[],0,ColumnLanguage),ColumnAbbreviation,FALSE),"")</f>
        <v/>
      </c>
      <c r="BQ123" s="21" t="str">
        <f ca="1">IFERROR(VLOOKUP(T123,OFFSET(abbreviation[],0,ColumnLanguage),ColumnAbbreviation,FALSE),"")</f>
        <v/>
      </c>
      <c r="BR123" s="21" t="str">
        <f ca="1">IFERROR(VLOOKUP(V123,OFFSET(abbreviation[],0,ColumnLanguage),ColumnAbbreviation,FALSE),"")</f>
        <v/>
      </c>
      <c r="BS123" s="21" t="str">
        <f ca="1">IFERROR(VLOOKUP(Z123,OFFSET(abbreviation[],0,ColumnLanguage),ColumnAbbreviation,FALSE),"")</f>
        <v/>
      </c>
      <c r="BT123" s="21" t="str">
        <f ca="1">IFERROR(VLOOKUP(AB123,OFFSET(abbreviation[],0,ColumnLanguage),ColumnAbbreviation,FALSE),"")</f>
        <v/>
      </c>
      <c r="BU123" s="21" t="str">
        <f t="shared" ca="1" si="8"/>
        <v>__</v>
      </c>
      <c r="BV123" s="21" t="str">
        <f ca="1">IFERROR(VLOOKUP(AF123,OFFSET(abbreviation[],0,ColumnLanguage),ColumnAbbreviation,FALSE),"")</f>
        <v/>
      </c>
      <c r="BW123" s="21" t="str">
        <f ca="1">IFERROR(VLOOKUP(AH123,OFFSET(abbreviation[],0,ColumnLanguage),ColumnAbbreviation,FALSE),"")</f>
        <v/>
      </c>
      <c r="BX123" s="21" t="str">
        <f ca="1">IFERROR(VLOOKUP(AJ123,OFFSET(abbreviation[],0,ColumnLanguage),ColumnAbbreviation,FALSE),"")</f>
        <v/>
      </c>
      <c r="BY123" s="21" t="str">
        <f ca="1">IFERROR(VLOOKUP(AL123,OFFSET(abbreviation[],0,ColumnLanguage),ColumnAbbreviation,FALSE),"")</f>
        <v/>
      </c>
      <c r="BZ123" s="21" t="str">
        <f t="shared" ca="1" si="9"/>
        <v>_</v>
      </c>
      <c r="CA123" s="21" t="str">
        <f ca="1">IFERROR(VLOOKUP(AP123,OFFSET(abbreviation[],0,ColumnLanguage),ColumnAbbreviation,FALSE),"")</f>
        <v/>
      </c>
      <c r="CB123" s="21" t="str">
        <f ca="1">IFERROR(VLOOKUP(AR123,OFFSET(abbreviation[],0,ColumnLanguage),ColumnAbbreviation,FALSE),"")</f>
        <v/>
      </c>
      <c r="CC123" s="21" t="str">
        <f ca="1">IFERROR(VLOOKUP(AT123,OFFSET(abbreviation[],0,ColumnLanguage),ColumnAbbreviation,FALSE),"")</f>
        <v/>
      </c>
      <c r="CD123" s="21" t="str">
        <f ca="1">IFERROR(VLOOKUP(AV123,OFFSET(abbreviation[],0,ColumnLanguage),ColumnAbbreviation,FALSE),"")</f>
        <v/>
      </c>
      <c r="CE123" s="21" t="str">
        <f t="shared" ca="1" si="10"/>
        <v>__</v>
      </c>
      <c r="CF123" s="21" t="str">
        <f ca="1">IFERROR(VLOOKUP(AX123,OFFSET(abbreviation[],0,ColumnLanguage),ColumnAbbreviation,FALSE),"")</f>
        <v/>
      </c>
      <c r="CG123" s="21" t="str">
        <f ca="1">IFERROR(VLOOKUP(AZ123,OFFSET(abbreviation[],0,ColumnLanguage),ColumnAbbreviation,FALSE),"")</f>
        <v/>
      </c>
      <c r="CH123" s="21" t="str">
        <f ca="1">IFERROR(VLOOKUP(BB123,OFFSET(abbreviation[],0,ColumnLanguage),ColumnAbbreviation,FALSE),"")</f>
        <v/>
      </c>
      <c r="CI123" s="21" t="str">
        <f ca="1">IFERROR(VLOOKUP(BD123,OFFSET(abbreviation[],0,ColumnLanguage),ColumnAbbreviation,FALSE),"")</f>
        <v/>
      </c>
      <c r="CJ123" s="21" t="str">
        <f ca="1">IFERROR(VLOOKUP(BF123,OFFSET(abbreviation[],0,ColumnLanguage),ColumnAbbreviation,FALSE),"")</f>
        <v/>
      </c>
      <c r="CK123" s="21" t="str">
        <f t="shared" ca="1" si="11"/>
        <v/>
      </c>
      <c r="CL123" s="21" t="str">
        <f t="shared" si="12"/>
        <v/>
      </c>
      <c r="CM123" s="52"/>
      <c r="CN123" s="57" t="str">
        <f t="shared" si="13"/>
        <v/>
      </c>
    </row>
    <row r="124" spans="16:92" x14ac:dyDescent="0.25">
      <c r="P124" s="60"/>
      <c r="Q124" s="13"/>
      <c r="V124" s="60"/>
      <c r="X124" s="61"/>
      <c r="AB124" s="60"/>
      <c r="AN124" s="54"/>
      <c r="AS124" s="15"/>
      <c r="BH124" s="52"/>
      <c r="BI124" s="21" t="str">
        <f ca="1">IFERROR(VLOOKUP(C124,OFFSET(abbreviation[],0,ColumnLanguage),ColumnAbbreviation,FALSE),"")</f>
        <v/>
      </c>
      <c r="BJ124" s="21" t="str">
        <f ca="1">IFERROR(VLOOKUP(E124,OFFSET(abbreviation[],0,ColumnLanguage),ColumnAbbreviation,FALSE),"")</f>
        <v/>
      </c>
      <c r="BK124" s="21" t="str">
        <f ca="1">IFERROR(VLOOKUP(G124,OFFSET(abbreviation[],0,ColumnLanguage),ColumnAbbreviation,FALSE),"")</f>
        <v/>
      </c>
      <c r="BL124" s="21" t="str">
        <f ca="1">IFERROR(VLOOKUP(I124,OFFSET(abbreviation[],0,ColumnLanguage),ColumnAbbreviation,FALSE),"")</f>
        <v/>
      </c>
      <c r="BM124" s="21" t="str">
        <f ca="1">IFERROR(VLOOKUP(K124,OFFSET(abbreviation[],0,ColumnLanguage),ColumnAbbreviation,FALSE),"")</f>
        <v/>
      </c>
      <c r="BN124" s="21" t="str">
        <f t="shared" ca="1" si="7"/>
        <v/>
      </c>
      <c r="BO124" s="21" t="str">
        <f ca="1">IFERROR(VLOOKUP(N124,OFFSET(abbreviation[],0,ColumnLanguage),ColumnAbbreviation,FALSE),"")</f>
        <v/>
      </c>
      <c r="BP124" s="21" t="str">
        <f ca="1">IFERROR(VLOOKUP(P124,OFFSET(abbreviation[],0,ColumnLanguage),ColumnAbbreviation,FALSE),"")</f>
        <v/>
      </c>
      <c r="BQ124" s="21" t="str">
        <f ca="1">IFERROR(VLOOKUP(T124,OFFSET(abbreviation[],0,ColumnLanguage),ColumnAbbreviation,FALSE),"")</f>
        <v/>
      </c>
      <c r="BR124" s="21" t="str">
        <f ca="1">IFERROR(VLOOKUP(V124,OFFSET(abbreviation[],0,ColumnLanguage),ColumnAbbreviation,FALSE),"")</f>
        <v/>
      </c>
      <c r="BS124" s="21" t="str">
        <f ca="1">IFERROR(VLOOKUP(Z124,OFFSET(abbreviation[],0,ColumnLanguage),ColumnAbbreviation,FALSE),"")</f>
        <v/>
      </c>
      <c r="BT124" s="21" t="str">
        <f ca="1">IFERROR(VLOOKUP(AB124,OFFSET(abbreviation[],0,ColumnLanguage),ColumnAbbreviation,FALSE),"")</f>
        <v/>
      </c>
      <c r="BU124" s="21" t="str">
        <f t="shared" ca="1" si="8"/>
        <v>__</v>
      </c>
      <c r="BV124" s="21" t="str">
        <f ca="1">IFERROR(VLOOKUP(AF124,OFFSET(abbreviation[],0,ColumnLanguage),ColumnAbbreviation,FALSE),"")</f>
        <v/>
      </c>
      <c r="BW124" s="21" t="str">
        <f ca="1">IFERROR(VLOOKUP(AH124,OFFSET(abbreviation[],0,ColumnLanguage),ColumnAbbreviation,FALSE),"")</f>
        <v/>
      </c>
      <c r="BX124" s="21" t="str">
        <f ca="1">IFERROR(VLOOKUP(AJ124,OFFSET(abbreviation[],0,ColumnLanguage),ColumnAbbreviation,FALSE),"")</f>
        <v/>
      </c>
      <c r="BY124" s="21" t="str">
        <f ca="1">IFERROR(VLOOKUP(AL124,OFFSET(abbreviation[],0,ColumnLanguage),ColumnAbbreviation,FALSE),"")</f>
        <v/>
      </c>
      <c r="BZ124" s="21" t="str">
        <f t="shared" ca="1" si="9"/>
        <v>_</v>
      </c>
      <c r="CA124" s="21" t="str">
        <f ca="1">IFERROR(VLOOKUP(AP124,OFFSET(abbreviation[],0,ColumnLanguage),ColumnAbbreviation,FALSE),"")</f>
        <v/>
      </c>
      <c r="CB124" s="21" t="str">
        <f ca="1">IFERROR(VLOOKUP(AR124,OFFSET(abbreviation[],0,ColumnLanguage),ColumnAbbreviation,FALSE),"")</f>
        <v/>
      </c>
      <c r="CC124" s="21" t="str">
        <f ca="1">IFERROR(VLOOKUP(AT124,OFFSET(abbreviation[],0,ColumnLanguage),ColumnAbbreviation,FALSE),"")</f>
        <v/>
      </c>
      <c r="CD124" s="21" t="str">
        <f ca="1">IFERROR(VLOOKUP(AV124,OFFSET(abbreviation[],0,ColumnLanguage),ColumnAbbreviation,FALSE),"")</f>
        <v/>
      </c>
      <c r="CE124" s="21" t="str">
        <f t="shared" ca="1" si="10"/>
        <v>__</v>
      </c>
      <c r="CF124" s="21" t="str">
        <f ca="1">IFERROR(VLOOKUP(AX124,OFFSET(abbreviation[],0,ColumnLanguage),ColumnAbbreviation,FALSE),"")</f>
        <v/>
      </c>
      <c r="CG124" s="21" t="str">
        <f ca="1">IFERROR(VLOOKUP(AZ124,OFFSET(abbreviation[],0,ColumnLanguage),ColumnAbbreviation,FALSE),"")</f>
        <v/>
      </c>
      <c r="CH124" s="21" t="str">
        <f ca="1">IFERROR(VLOOKUP(BB124,OFFSET(abbreviation[],0,ColumnLanguage),ColumnAbbreviation,FALSE),"")</f>
        <v/>
      </c>
      <c r="CI124" s="21" t="str">
        <f ca="1">IFERROR(VLOOKUP(BD124,OFFSET(abbreviation[],0,ColumnLanguage),ColumnAbbreviation,FALSE),"")</f>
        <v/>
      </c>
      <c r="CJ124" s="21" t="str">
        <f ca="1">IFERROR(VLOOKUP(BF124,OFFSET(abbreviation[],0,ColumnLanguage),ColumnAbbreviation,FALSE),"")</f>
        <v/>
      </c>
      <c r="CK124" s="21" t="str">
        <f t="shared" ca="1" si="11"/>
        <v/>
      </c>
      <c r="CL124" s="21" t="str">
        <f t="shared" si="12"/>
        <v/>
      </c>
      <c r="CM124" s="52"/>
      <c r="CN124" s="57" t="str">
        <f t="shared" si="13"/>
        <v/>
      </c>
    </row>
    <row r="125" spans="16:92" x14ac:dyDescent="0.25">
      <c r="P125" s="60"/>
      <c r="Q125" s="13"/>
      <c r="V125" s="60"/>
      <c r="X125" s="61"/>
      <c r="AB125" s="60"/>
      <c r="AN125" s="54"/>
      <c r="AS125" s="15"/>
      <c r="BH125" s="52"/>
      <c r="BI125" s="21" t="str">
        <f ca="1">IFERROR(VLOOKUP(C125,OFFSET(abbreviation[],0,ColumnLanguage),ColumnAbbreviation,FALSE),"")</f>
        <v/>
      </c>
      <c r="BJ125" s="21" t="str">
        <f ca="1">IFERROR(VLOOKUP(E125,OFFSET(abbreviation[],0,ColumnLanguage),ColumnAbbreviation,FALSE),"")</f>
        <v/>
      </c>
      <c r="BK125" s="21" t="str">
        <f ca="1">IFERROR(VLOOKUP(G125,OFFSET(abbreviation[],0,ColumnLanguage),ColumnAbbreviation,FALSE),"")</f>
        <v/>
      </c>
      <c r="BL125" s="21" t="str">
        <f ca="1">IFERROR(VLOOKUP(I125,OFFSET(abbreviation[],0,ColumnLanguage),ColumnAbbreviation,FALSE),"")</f>
        <v/>
      </c>
      <c r="BM125" s="21" t="str">
        <f ca="1">IFERROR(VLOOKUP(K125,OFFSET(abbreviation[],0,ColumnLanguage),ColumnAbbreviation,FALSE),"")</f>
        <v/>
      </c>
      <c r="BN125" s="21" t="str">
        <f t="shared" ca="1" si="7"/>
        <v/>
      </c>
      <c r="BO125" s="21" t="str">
        <f ca="1">IFERROR(VLOOKUP(N125,OFFSET(abbreviation[],0,ColumnLanguage),ColumnAbbreviation,FALSE),"")</f>
        <v/>
      </c>
      <c r="BP125" s="21" t="str">
        <f ca="1">IFERROR(VLOOKUP(P125,OFFSET(abbreviation[],0,ColumnLanguage),ColumnAbbreviation,FALSE),"")</f>
        <v/>
      </c>
      <c r="BQ125" s="21" t="str">
        <f ca="1">IFERROR(VLOOKUP(T125,OFFSET(abbreviation[],0,ColumnLanguage),ColumnAbbreviation,FALSE),"")</f>
        <v/>
      </c>
      <c r="BR125" s="21" t="str">
        <f ca="1">IFERROR(VLOOKUP(V125,OFFSET(abbreviation[],0,ColumnLanguage),ColumnAbbreviation,FALSE),"")</f>
        <v/>
      </c>
      <c r="BS125" s="21" t="str">
        <f ca="1">IFERROR(VLOOKUP(Z125,OFFSET(abbreviation[],0,ColumnLanguage),ColumnAbbreviation,FALSE),"")</f>
        <v/>
      </c>
      <c r="BT125" s="21" t="str">
        <f ca="1">IFERROR(VLOOKUP(AB125,OFFSET(abbreviation[],0,ColumnLanguage),ColumnAbbreviation,FALSE),"")</f>
        <v/>
      </c>
      <c r="BU125" s="21" t="str">
        <f t="shared" ca="1" si="8"/>
        <v>__</v>
      </c>
      <c r="BV125" s="21" t="str">
        <f ca="1">IFERROR(VLOOKUP(AF125,OFFSET(abbreviation[],0,ColumnLanguage),ColumnAbbreviation,FALSE),"")</f>
        <v/>
      </c>
      <c r="BW125" s="21" t="str">
        <f ca="1">IFERROR(VLOOKUP(AH125,OFFSET(abbreviation[],0,ColumnLanguage),ColumnAbbreviation,FALSE),"")</f>
        <v/>
      </c>
      <c r="BX125" s="21" t="str">
        <f ca="1">IFERROR(VLOOKUP(AJ125,OFFSET(abbreviation[],0,ColumnLanguage),ColumnAbbreviation,FALSE),"")</f>
        <v/>
      </c>
      <c r="BY125" s="21" t="str">
        <f ca="1">IFERROR(VLOOKUP(AL125,OFFSET(abbreviation[],0,ColumnLanguage),ColumnAbbreviation,FALSE),"")</f>
        <v/>
      </c>
      <c r="BZ125" s="21" t="str">
        <f t="shared" ca="1" si="9"/>
        <v>_</v>
      </c>
      <c r="CA125" s="21" t="str">
        <f ca="1">IFERROR(VLOOKUP(AP125,OFFSET(abbreviation[],0,ColumnLanguage),ColumnAbbreviation,FALSE),"")</f>
        <v/>
      </c>
      <c r="CB125" s="21" t="str">
        <f ca="1">IFERROR(VLOOKUP(AR125,OFFSET(abbreviation[],0,ColumnLanguage),ColumnAbbreviation,FALSE),"")</f>
        <v/>
      </c>
      <c r="CC125" s="21" t="str">
        <f ca="1">IFERROR(VLOOKUP(AT125,OFFSET(abbreviation[],0,ColumnLanguage),ColumnAbbreviation,FALSE),"")</f>
        <v/>
      </c>
      <c r="CD125" s="21" t="str">
        <f ca="1">IFERROR(VLOOKUP(AV125,OFFSET(abbreviation[],0,ColumnLanguage),ColumnAbbreviation,FALSE),"")</f>
        <v/>
      </c>
      <c r="CE125" s="21" t="str">
        <f t="shared" ca="1" si="10"/>
        <v>__</v>
      </c>
      <c r="CF125" s="21" t="str">
        <f ca="1">IFERROR(VLOOKUP(AX125,OFFSET(abbreviation[],0,ColumnLanguage),ColumnAbbreviation,FALSE),"")</f>
        <v/>
      </c>
      <c r="CG125" s="21" t="str">
        <f ca="1">IFERROR(VLOOKUP(AZ125,OFFSET(abbreviation[],0,ColumnLanguage),ColumnAbbreviation,FALSE),"")</f>
        <v/>
      </c>
      <c r="CH125" s="21" t="str">
        <f ca="1">IFERROR(VLOOKUP(BB125,OFFSET(abbreviation[],0,ColumnLanguage),ColumnAbbreviation,FALSE),"")</f>
        <v/>
      </c>
      <c r="CI125" s="21" t="str">
        <f ca="1">IFERROR(VLOOKUP(BD125,OFFSET(abbreviation[],0,ColumnLanguage),ColumnAbbreviation,FALSE),"")</f>
        <v/>
      </c>
      <c r="CJ125" s="21" t="str">
        <f ca="1">IFERROR(VLOOKUP(BF125,OFFSET(abbreviation[],0,ColumnLanguage),ColumnAbbreviation,FALSE),"")</f>
        <v/>
      </c>
      <c r="CK125" s="21" t="str">
        <f t="shared" ca="1" si="11"/>
        <v/>
      </c>
      <c r="CL125" s="21" t="str">
        <f t="shared" si="12"/>
        <v/>
      </c>
      <c r="CM125" s="52"/>
      <c r="CN125" s="57" t="str">
        <f t="shared" si="13"/>
        <v/>
      </c>
    </row>
    <row r="126" spans="16:92" x14ac:dyDescent="0.25">
      <c r="P126" s="60"/>
      <c r="Q126" s="13"/>
      <c r="V126" s="60"/>
      <c r="X126" s="61"/>
      <c r="AB126" s="60"/>
      <c r="AN126" s="54"/>
      <c r="AS126" s="15"/>
      <c r="BH126" s="52"/>
      <c r="BI126" s="21" t="str">
        <f ca="1">IFERROR(VLOOKUP(C126,OFFSET(abbreviation[],0,ColumnLanguage),ColumnAbbreviation,FALSE),"")</f>
        <v/>
      </c>
      <c r="BJ126" s="21" t="str">
        <f ca="1">IFERROR(VLOOKUP(E126,OFFSET(abbreviation[],0,ColumnLanguage),ColumnAbbreviation,FALSE),"")</f>
        <v/>
      </c>
      <c r="BK126" s="21" t="str">
        <f ca="1">IFERROR(VLOOKUP(G126,OFFSET(abbreviation[],0,ColumnLanguage),ColumnAbbreviation,FALSE),"")</f>
        <v/>
      </c>
      <c r="BL126" s="21" t="str">
        <f ca="1">IFERROR(VLOOKUP(I126,OFFSET(abbreviation[],0,ColumnLanguage),ColumnAbbreviation,FALSE),"")</f>
        <v/>
      </c>
      <c r="BM126" s="21" t="str">
        <f ca="1">IFERROR(VLOOKUP(K126,OFFSET(abbreviation[],0,ColumnLanguage),ColumnAbbreviation,FALSE),"")</f>
        <v/>
      </c>
      <c r="BN126" s="21" t="str">
        <f t="shared" ca="1" si="7"/>
        <v/>
      </c>
      <c r="BO126" s="21" t="str">
        <f ca="1">IFERROR(VLOOKUP(N126,OFFSET(abbreviation[],0,ColumnLanguage),ColumnAbbreviation,FALSE),"")</f>
        <v/>
      </c>
      <c r="BP126" s="21" t="str">
        <f ca="1">IFERROR(VLOOKUP(P126,OFFSET(abbreviation[],0,ColumnLanguage),ColumnAbbreviation,FALSE),"")</f>
        <v/>
      </c>
      <c r="BQ126" s="21" t="str">
        <f ca="1">IFERROR(VLOOKUP(T126,OFFSET(abbreviation[],0,ColumnLanguage),ColumnAbbreviation,FALSE),"")</f>
        <v/>
      </c>
      <c r="BR126" s="21" t="str">
        <f ca="1">IFERROR(VLOOKUP(V126,OFFSET(abbreviation[],0,ColumnLanguage),ColumnAbbreviation,FALSE),"")</f>
        <v/>
      </c>
      <c r="BS126" s="21" t="str">
        <f ca="1">IFERROR(VLOOKUP(Z126,OFFSET(abbreviation[],0,ColumnLanguage),ColumnAbbreviation,FALSE),"")</f>
        <v/>
      </c>
      <c r="BT126" s="21" t="str">
        <f ca="1">IFERROR(VLOOKUP(AB126,OFFSET(abbreviation[],0,ColumnLanguage),ColumnAbbreviation,FALSE),"")</f>
        <v/>
      </c>
      <c r="BU126" s="21" t="str">
        <f t="shared" ca="1" si="8"/>
        <v>__</v>
      </c>
      <c r="BV126" s="21" t="str">
        <f ca="1">IFERROR(VLOOKUP(AF126,OFFSET(abbreviation[],0,ColumnLanguage),ColumnAbbreviation,FALSE),"")</f>
        <v/>
      </c>
      <c r="BW126" s="21" t="str">
        <f ca="1">IFERROR(VLOOKUP(AH126,OFFSET(abbreviation[],0,ColumnLanguage),ColumnAbbreviation,FALSE),"")</f>
        <v/>
      </c>
      <c r="BX126" s="21" t="str">
        <f ca="1">IFERROR(VLOOKUP(AJ126,OFFSET(abbreviation[],0,ColumnLanguage),ColumnAbbreviation,FALSE),"")</f>
        <v/>
      </c>
      <c r="BY126" s="21" t="str">
        <f ca="1">IFERROR(VLOOKUP(AL126,OFFSET(abbreviation[],0,ColumnLanguage),ColumnAbbreviation,FALSE),"")</f>
        <v/>
      </c>
      <c r="BZ126" s="21" t="str">
        <f t="shared" ca="1" si="9"/>
        <v>_</v>
      </c>
      <c r="CA126" s="21" t="str">
        <f ca="1">IFERROR(VLOOKUP(AP126,OFFSET(abbreviation[],0,ColumnLanguage),ColumnAbbreviation,FALSE),"")</f>
        <v/>
      </c>
      <c r="CB126" s="21" t="str">
        <f ca="1">IFERROR(VLOOKUP(AR126,OFFSET(abbreviation[],0,ColumnLanguage),ColumnAbbreviation,FALSE),"")</f>
        <v/>
      </c>
      <c r="CC126" s="21" t="str">
        <f ca="1">IFERROR(VLOOKUP(AT126,OFFSET(abbreviation[],0,ColumnLanguage),ColumnAbbreviation,FALSE),"")</f>
        <v/>
      </c>
      <c r="CD126" s="21" t="str">
        <f ca="1">IFERROR(VLOOKUP(AV126,OFFSET(abbreviation[],0,ColumnLanguage),ColumnAbbreviation,FALSE),"")</f>
        <v/>
      </c>
      <c r="CE126" s="21" t="str">
        <f t="shared" ca="1" si="10"/>
        <v>__</v>
      </c>
      <c r="CF126" s="21" t="str">
        <f ca="1">IFERROR(VLOOKUP(AX126,OFFSET(abbreviation[],0,ColumnLanguage),ColumnAbbreviation,FALSE),"")</f>
        <v/>
      </c>
      <c r="CG126" s="21" t="str">
        <f ca="1">IFERROR(VLOOKUP(AZ126,OFFSET(abbreviation[],0,ColumnLanguage),ColumnAbbreviation,FALSE),"")</f>
        <v/>
      </c>
      <c r="CH126" s="21" t="str">
        <f ca="1">IFERROR(VLOOKUP(BB126,OFFSET(abbreviation[],0,ColumnLanguage),ColumnAbbreviation,FALSE),"")</f>
        <v/>
      </c>
      <c r="CI126" s="21" t="str">
        <f ca="1">IFERROR(VLOOKUP(BD126,OFFSET(abbreviation[],0,ColumnLanguage),ColumnAbbreviation,FALSE),"")</f>
        <v/>
      </c>
      <c r="CJ126" s="21" t="str">
        <f ca="1">IFERROR(VLOOKUP(BF126,OFFSET(abbreviation[],0,ColumnLanguage),ColumnAbbreviation,FALSE),"")</f>
        <v/>
      </c>
      <c r="CK126" s="21" t="str">
        <f t="shared" ca="1" si="11"/>
        <v/>
      </c>
      <c r="CL126" s="21" t="str">
        <f t="shared" si="12"/>
        <v/>
      </c>
      <c r="CM126" s="52"/>
      <c r="CN126" s="57" t="str">
        <f t="shared" si="13"/>
        <v/>
      </c>
    </row>
    <row r="127" spans="16:92" x14ac:dyDescent="0.25">
      <c r="P127" s="60"/>
      <c r="Q127" s="13"/>
      <c r="V127" s="60"/>
      <c r="X127" s="61"/>
      <c r="AB127" s="60"/>
      <c r="AN127" s="54"/>
      <c r="AS127" s="15"/>
      <c r="BH127" s="52"/>
      <c r="BI127" s="21" t="str">
        <f ca="1">IFERROR(VLOOKUP(C127,OFFSET(abbreviation[],0,ColumnLanguage),ColumnAbbreviation,FALSE),"")</f>
        <v/>
      </c>
      <c r="BJ127" s="21" t="str">
        <f ca="1">IFERROR(VLOOKUP(E127,OFFSET(abbreviation[],0,ColumnLanguage),ColumnAbbreviation,FALSE),"")</f>
        <v/>
      </c>
      <c r="BK127" s="21" t="str">
        <f ca="1">IFERROR(VLOOKUP(G127,OFFSET(abbreviation[],0,ColumnLanguage),ColumnAbbreviation,FALSE),"")</f>
        <v/>
      </c>
      <c r="BL127" s="21" t="str">
        <f ca="1">IFERROR(VLOOKUP(I127,OFFSET(abbreviation[],0,ColumnLanguage),ColumnAbbreviation,FALSE),"")</f>
        <v/>
      </c>
      <c r="BM127" s="21" t="str">
        <f ca="1">IFERROR(VLOOKUP(K127,OFFSET(abbreviation[],0,ColumnLanguage),ColumnAbbreviation,FALSE),"")</f>
        <v/>
      </c>
      <c r="BN127" s="21" t="str">
        <f t="shared" ca="1" si="7"/>
        <v/>
      </c>
      <c r="BO127" s="21" t="str">
        <f ca="1">IFERROR(VLOOKUP(N127,OFFSET(abbreviation[],0,ColumnLanguage),ColumnAbbreviation,FALSE),"")</f>
        <v/>
      </c>
      <c r="BP127" s="21" t="str">
        <f ca="1">IFERROR(VLOOKUP(P127,OFFSET(abbreviation[],0,ColumnLanguage),ColumnAbbreviation,FALSE),"")</f>
        <v/>
      </c>
      <c r="BQ127" s="21" t="str">
        <f ca="1">IFERROR(VLOOKUP(T127,OFFSET(abbreviation[],0,ColumnLanguage),ColumnAbbreviation,FALSE),"")</f>
        <v/>
      </c>
      <c r="BR127" s="21" t="str">
        <f ca="1">IFERROR(VLOOKUP(V127,OFFSET(abbreviation[],0,ColumnLanguage),ColumnAbbreviation,FALSE),"")</f>
        <v/>
      </c>
      <c r="BS127" s="21" t="str">
        <f ca="1">IFERROR(VLOOKUP(Z127,OFFSET(abbreviation[],0,ColumnLanguage),ColumnAbbreviation,FALSE),"")</f>
        <v/>
      </c>
      <c r="BT127" s="21" t="str">
        <f ca="1">IFERROR(VLOOKUP(AB127,OFFSET(abbreviation[],0,ColumnLanguage),ColumnAbbreviation,FALSE),"")</f>
        <v/>
      </c>
      <c r="BU127" s="21" t="str">
        <f t="shared" ca="1" si="8"/>
        <v>__</v>
      </c>
      <c r="BV127" s="21" t="str">
        <f ca="1">IFERROR(VLOOKUP(AF127,OFFSET(abbreviation[],0,ColumnLanguage),ColumnAbbreviation,FALSE),"")</f>
        <v/>
      </c>
      <c r="BW127" s="21" t="str">
        <f ca="1">IFERROR(VLOOKUP(AH127,OFFSET(abbreviation[],0,ColumnLanguage),ColumnAbbreviation,FALSE),"")</f>
        <v/>
      </c>
      <c r="BX127" s="21" t="str">
        <f ca="1">IFERROR(VLOOKUP(AJ127,OFFSET(abbreviation[],0,ColumnLanguage),ColumnAbbreviation,FALSE),"")</f>
        <v/>
      </c>
      <c r="BY127" s="21" t="str">
        <f ca="1">IFERROR(VLOOKUP(AL127,OFFSET(abbreviation[],0,ColumnLanguage),ColumnAbbreviation,FALSE),"")</f>
        <v/>
      </c>
      <c r="BZ127" s="21" t="str">
        <f t="shared" ca="1" si="9"/>
        <v>_</v>
      </c>
      <c r="CA127" s="21" t="str">
        <f ca="1">IFERROR(VLOOKUP(AP127,OFFSET(abbreviation[],0,ColumnLanguage),ColumnAbbreviation,FALSE),"")</f>
        <v/>
      </c>
      <c r="CB127" s="21" t="str">
        <f ca="1">IFERROR(VLOOKUP(AR127,OFFSET(abbreviation[],0,ColumnLanguage),ColumnAbbreviation,FALSE),"")</f>
        <v/>
      </c>
      <c r="CC127" s="21" t="str">
        <f ca="1">IFERROR(VLOOKUP(AT127,OFFSET(abbreviation[],0,ColumnLanguage),ColumnAbbreviation,FALSE),"")</f>
        <v/>
      </c>
      <c r="CD127" s="21" t="str">
        <f ca="1">IFERROR(VLOOKUP(AV127,OFFSET(abbreviation[],0,ColumnLanguage),ColumnAbbreviation,FALSE),"")</f>
        <v/>
      </c>
      <c r="CE127" s="21" t="str">
        <f t="shared" ca="1" si="10"/>
        <v>__</v>
      </c>
      <c r="CF127" s="21" t="str">
        <f ca="1">IFERROR(VLOOKUP(AX127,OFFSET(abbreviation[],0,ColumnLanguage),ColumnAbbreviation,FALSE),"")</f>
        <v/>
      </c>
      <c r="CG127" s="21" t="str">
        <f ca="1">IFERROR(VLOOKUP(AZ127,OFFSET(abbreviation[],0,ColumnLanguage),ColumnAbbreviation,FALSE),"")</f>
        <v/>
      </c>
      <c r="CH127" s="21" t="str">
        <f ca="1">IFERROR(VLOOKUP(BB127,OFFSET(abbreviation[],0,ColumnLanguage),ColumnAbbreviation,FALSE),"")</f>
        <v/>
      </c>
      <c r="CI127" s="21" t="str">
        <f ca="1">IFERROR(VLOOKUP(BD127,OFFSET(abbreviation[],0,ColumnLanguage),ColumnAbbreviation,FALSE),"")</f>
        <v/>
      </c>
      <c r="CJ127" s="21" t="str">
        <f ca="1">IFERROR(VLOOKUP(BF127,OFFSET(abbreviation[],0,ColumnLanguage),ColumnAbbreviation,FALSE),"")</f>
        <v/>
      </c>
      <c r="CK127" s="21" t="str">
        <f t="shared" ca="1" si="11"/>
        <v/>
      </c>
      <c r="CL127" s="21" t="str">
        <f t="shared" si="12"/>
        <v/>
      </c>
      <c r="CM127" s="52"/>
      <c r="CN127" s="57" t="str">
        <f t="shared" si="13"/>
        <v/>
      </c>
    </row>
    <row r="128" spans="16:92" x14ac:dyDescent="0.25">
      <c r="P128" s="60"/>
      <c r="Q128" s="13"/>
      <c r="V128" s="60"/>
      <c r="X128" s="61"/>
      <c r="AB128" s="60"/>
      <c r="AN128" s="54"/>
      <c r="AS128" s="15"/>
      <c r="BH128" s="52"/>
      <c r="BI128" s="21" t="str">
        <f ca="1">IFERROR(VLOOKUP(C128,OFFSET(abbreviation[],0,ColumnLanguage),ColumnAbbreviation,FALSE),"")</f>
        <v/>
      </c>
      <c r="BJ128" s="21" t="str">
        <f ca="1">IFERROR(VLOOKUP(E128,OFFSET(abbreviation[],0,ColumnLanguage),ColumnAbbreviation,FALSE),"")</f>
        <v/>
      </c>
      <c r="BK128" s="21" t="str">
        <f ca="1">IFERROR(VLOOKUP(G128,OFFSET(abbreviation[],0,ColumnLanguage),ColumnAbbreviation,FALSE),"")</f>
        <v/>
      </c>
      <c r="BL128" s="21" t="str">
        <f ca="1">IFERROR(VLOOKUP(I128,OFFSET(abbreviation[],0,ColumnLanguage),ColumnAbbreviation,FALSE),"")</f>
        <v/>
      </c>
      <c r="BM128" s="21" t="str">
        <f ca="1">IFERROR(VLOOKUP(K128,OFFSET(abbreviation[],0,ColumnLanguage),ColumnAbbreviation,FALSE),"")</f>
        <v/>
      </c>
      <c r="BN128" s="21" t="str">
        <f t="shared" ca="1" si="7"/>
        <v/>
      </c>
      <c r="BO128" s="21" t="str">
        <f ca="1">IFERROR(VLOOKUP(N128,OFFSET(abbreviation[],0,ColumnLanguage),ColumnAbbreviation,FALSE),"")</f>
        <v/>
      </c>
      <c r="BP128" s="21" t="str">
        <f ca="1">IFERROR(VLOOKUP(P128,OFFSET(abbreviation[],0,ColumnLanguage),ColumnAbbreviation,FALSE),"")</f>
        <v/>
      </c>
      <c r="BQ128" s="21" t="str">
        <f ca="1">IFERROR(VLOOKUP(T128,OFFSET(abbreviation[],0,ColumnLanguage),ColumnAbbreviation,FALSE),"")</f>
        <v/>
      </c>
      <c r="BR128" s="21" t="str">
        <f ca="1">IFERROR(VLOOKUP(V128,OFFSET(abbreviation[],0,ColumnLanguage),ColumnAbbreviation,FALSE),"")</f>
        <v/>
      </c>
      <c r="BS128" s="21" t="str">
        <f ca="1">IFERROR(VLOOKUP(Z128,OFFSET(abbreviation[],0,ColumnLanguage),ColumnAbbreviation,FALSE),"")</f>
        <v/>
      </c>
      <c r="BT128" s="21" t="str">
        <f ca="1">IFERROR(VLOOKUP(AB128,OFFSET(abbreviation[],0,ColumnLanguage),ColumnAbbreviation,FALSE),"")</f>
        <v/>
      </c>
      <c r="BU128" s="21" t="str">
        <f t="shared" ca="1" si="8"/>
        <v>__</v>
      </c>
      <c r="BV128" s="21" t="str">
        <f ca="1">IFERROR(VLOOKUP(AF128,OFFSET(abbreviation[],0,ColumnLanguage),ColumnAbbreviation,FALSE),"")</f>
        <v/>
      </c>
      <c r="BW128" s="21" t="str">
        <f ca="1">IFERROR(VLOOKUP(AH128,OFFSET(abbreviation[],0,ColumnLanguage),ColumnAbbreviation,FALSE),"")</f>
        <v/>
      </c>
      <c r="BX128" s="21" t="str">
        <f ca="1">IFERROR(VLOOKUP(AJ128,OFFSET(abbreviation[],0,ColumnLanguage),ColumnAbbreviation,FALSE),"")</f>
        <v/>
      </c>
      <c r="BY128" s="21" t="str">
        <f ca="1">IFERROR(VLOOKUP(AL128,OFFSET(abbreviation[],0,ColumnLanguage),ColumnAbbreviation,FALSE),"")</f>
        <v/>
      </c>
      <c r="BZ128" s="21" t="str">
        <f t="shared" ca="1" si="9"/>
        <v>_</v>
      </c>
      <c r="CA128" s="21" t="str">
        <f ca="1">IFERROR(VLOOKUP(AP128,OFFSET(abbreviation[],0,ColumnLanguage),ColumnAbbreviation,FALSE),"")</f>
        <v/>
      </c>
      <c r="CB128" s="21" t="str">
        <f ca="1">IFERROR(VLOOKUP(AR128,OFFSET(abbreviation[],0,ColumnLanguage),ColumnAbbreviation,FALSE),"")</f>
        <v/>
      </c>
      <c r="CC128" s="21" t="str">
        <f ca="1">IFERROR(VLOOKUP(AT128,OFFSET(abbreviation[],0,ColumnLanguage),ColumnAbbreviation,FALSE),"")</f>
        <v/>
      </c>
      <c r="CD128" s="21" t="str">
        <f ca="1">IFERROR(VLOOKUP(AV128,OFFSET(abbreviation[],0,ColumnLanguage),ColumnAbbreviation,FALSE),"")</f>
        <v/>
      </c>
      <c r="CE128" s="21" t="str">
        <f t="shared" ca="1" si="10"/>
        <v>__</v>
      </c>
      <c r="CF128" s="21" t="str">
        <f ca="1">IFERROR(VLOOKUP(AX128,OFFSET(abbreviation[],0,ColumnLanguage),ColumnAbbreviation,FALSE),"")</f>
        <v/>
      </c>
      <c r="CG128" s="21" t="str">
        <f ca="1">IFERROR(VLOOKUP(AZ128,OFFSET(abbreviation[],0,ColumnLanguage),ColumnAbbreviation,FALSE),"")</f>
        <v/>
      </c>
      <c r="CH128" s="21" t="str">
        <f ca="1">IFERROR(VLOOKUP(BB128,OFFSET(abbreviation[],0,ColumnLanguage),ColumnAbbreviation,FALSE),"")</f>
        <v/>
      </c>
      <c r="CI128" s="21" t="str">
        <f ca="1">IFERROR(VLOOKUP(BD128,OFFSET(abbreviation[],0,ColumnLanguage),ColumnAbbreviation,FALSE),"")</f>
        <v/>
      </c>
      <c r="CJ128" s="21" t="str">
        <f ca="1">IFERROR(VLOOKUP(BF128,OFFSET(abbreviation[],0,ColumnLanguage),ColumnAbbreviation,FALSE),"")</f>
        <v/>
      </c>
      <c r="CK128" s="21" t="str">
        <f t="shared" ca="1" si="11"/>
        <v/>
      </c>
      <c r="CL128" s="21" t="str">
        <f t="shared" si="12"/>
        <v/>
      </c>
      <c r="CM128" s="52"/>
      <c r="CN128" s="57" t="str">
        <f t="shared" si="13"/>
        <v/>
      </c>
    </row>
    <row r="129" spans="14:92" x14ac:dyDescent="0.25">
      <c r="P129" s="60"/>
      <c r="Q129" s="13"/>
      <c r="V129" s="60"/>
      <c r="X129" s="61"/>
      <c r="AB129" s="60"/>
      <c r="AN129" s="54"/>
      <c r="AS129" s="15"/>
      <c r="BH129" s="52"/>
      <c r="BI129" s="21" t="str">
        <f ca="1">IFERROR(VLOOKUP(C129,OFFSET(abbreviation[],0,ColumnLanguage),ColumnAbbreviation,FALSE),"")</f>
        <v/>
      </c>
      <c r="BJ129" s="21" t="str">
        <f ca="1">IFERROR(VLOOKUP(E129,OFFSET(abbreviation[],0,ColumnLanguage),ColumnAbbreviation,FALSE),"")</f>
        <v/>
      </c>
      <c r="BK129" s="21" t="str">
        <f ca="1">IFERROR(VLOOKUP(G129,OFFSET(abbreviation[],0,ColumnLanguage),ColumnAbbreviation,FALSE),"")</f>
        <v/>
      </c>
      <c r="BL129" s="21" t="str">
        <f ca="1">IFERROR(VLOOKUP(I129,OFFSET(abbreviation[],0,ColumnLanguage),ColumnAbbreviation,FALSE),"")</f>
        <v/>
      </c>
      <c r="BM129" s="21" t="str">
        <f ca="1">IFERROR(VLOOKUP(K129,OFFSET(abbreviation[],0,ColumnLanguage),ColumnAbbreviation,FALSE),"")</f>
        <v/>
      </c>
      <c r="BN129" s="21" t="str">
        <f t="shared" ca="1" si="7"/>
        <v/>
      </c>
      <c r="BO129" s="21" t="str">
        <f ca="1">IFERROR(VLOOKUP(N129,OFFSET(abbreviation[],0,ColumnLanguage),ColumnAbbreviation,FALSE),"")</f>
        <v/>
      </c>
      <c r="BP129" s="21" t="str">
        <f ca="1">IFERROR(VLOOKUP(P129,OFFSET(abbreviation[],0,ColumnLanguage),ColumnAbbreviation,FALSE),"")</f>
        <v/>
      </c>
      <c r="BQ129" s="21" t="str">
        <f ca="1">IFERROR(VLOOKUP(T129,OFFSET(abbreviation[],0,ColumnLanguage),ColumnAbbreviation,FALSE),"")</f>
        <v/>
      </c>
      <c r="BR129" s="21" t="str">
        <f ca="1">IFERROR(VLOOKUP(V129,OFFSET(abbreviation[],0,ColumnLanguage),ColumnAbbreviation,FALSE),"")</f>
        <v/>
      </c>
      <c r="BS129" s="21" t="str">
        <f ca="1">IFERROR(VLOOKUP(Z129,OFFSET(abbreviation[],0,ColumnLanguage),ColumnAbbreviation,FALSE),"")</f>
        <v/>
      </c>
      <c r="BT129" s="21" t="str">
        <f ca="1">IFERROR(VLOOKUP(AB129,OFFSET(abbreviation[],0,ColumnLanguage),ColumnAbbreviation,FALSE),"")</f>
        <v/>
      </c>
      <c r="BU129" s="21" t="str">
        <f t="shared" ca="1" si="8"/>
        <v>__</v>
      </c>
      <c r="BV129" s="21" t="str">
        <f ca="1">IFERROR(VLOOKUP(AF129,OFFSET(abbreviation[],0,ColumnLanguage),ColumnAbbreviation,FALSE),"")</f>
        <v/>
      </c>
      <c r="BW129" s="21" t="str">
        <f ca="1">IFERROR(VLOOKUP(AH129,OFFSET(abbreviation[],0,ColumnLanguage),ColumnAbbreviation,FALSE),"")</f>
        <v/>
      </c>
      <c r="BX129" s="21" t="str">
        <f ca="1">IFERROR(VLOOKUP(AJ129,OFFSET(abbreviation[],0,ColumnLanguage),ColumnAbbreviation,FALSE),"")</f>
        <v/>
      </c>
      <c r="BY129" s="21" t="str">
        <f ca="1">IFERROR(VLOOKUP(AL129,OFFSET(abbreviation[],0,ColumnLanguage),ColumnAbbreviation,FALSE),"")</f>
        <v/>
      </c>
      <c r="BZ129" s="21" t="str">
        <f t="shared" ca="1" si="9"/>
        <v>_</v>
      </c>
      <c r="CA129" s="21" t="str">
        <f ca="1">IFERROR(VLOOKUP(AP129,OFFSET(abbreviation[],0,ColumnLanguage),ColumnAbbreviation,FALSE),"")</f>
        <v/>
      </c>
      <c r="CB129" s="21" t="str">
        <f ca="1">IFERROR(VLOOKUP(AR129,OFFSET(abbreviation[],0,ColumnLanguage),ColumnAbbreviation,FALSE),"")</f>
        <v/>
      </c>
      <c r="CC129" s="21" t="str">
        <f ca="1">IFERROR(VLOOKUP(AT129,OFFSET(abbreviation[],0,ColumnLanguage),ColumnAbbreviation,FALSE),"")</f>
        <v/>
      </c>
      <c r="CD129" s="21" t="str">
        <f ca="1">IFERROR(VLOOKUP(AV129,OFFSET(abbreviation[],0,ColumnLanguage),ColumnAbbreviation,FALSE),"")</f>
        <v/>
      </c>
      <c r="CE129" s="21" t="str">
        <f t="shared" ca="1" si="10"/>
        <v>__</v>
      </c>
      <c r="CF129" s="21" t="str">
        <f ca="1">IFERROR(VLOOKUP(AX129,OFFSET(abbreviation[],0,ColumnLanguage),ColumnAbbreviation,FALSE),"")</f>
        <v/>
      </c>
      <c r="CG129" s="21" t="str">
        <f ca="1">IFERROR(VLOOKUP(AZ129,OFFSET(abbreviation[],0,ColumnLanguage),ColumnAbbreviation,FALSE),"")</f>
        <v/>
      </c>
      <c r="CH129" s="21" t="str">
        <f ca="1">IFERROR(VLOOKUP(BB129,OFFSET(abbreviation[],0,ColumnLanguage),ColumnAbbreviation,FALSE),"")</f>
        <v/>
      </c>
      <c r="CI129" s="21" t="str">
        <f ca="1">IFERROR(VLOOKUP(BD129,OFFSET(abbreviation[],0,ColumnLanguage),ColumnAbbreviation,FALSE),"")</f>
        <v/>
      </c>
      <c r="CJ129" s="21" t="str">
        <f ca="1">IFERROR(VLOOKUP(BF129,OFFSET(abbreviation[],0,ColumnLanguage),ColumnAbbreviation,FALSE),"")</f>
        <v/>
      </c>
      <c r="CK129" s="21" t="str">
        <f t="shared" ca="1" si="11"/>
        <v/>
      </c>
      <c r="CL129" s="21" t="str">
        <f t="shared" si="12"/>
        <v/>
      </c>
      <c r="CM129" s="52"/>
      <c r="CN129" s="57" t="str">
        <f t="shared" si="13"/>
        <v/>
      </c>
    </row>
    <row r="130" spans="14:92" x14ac:dyDescent="0.25">
      <c r="P130" s="60"/>
      <c r="Q130" s="13"/>
      <c r="V130" s="60"/>
      <c r="X130" s="61"/>
      <c r="AB130" s="60"/>
      <c r="AN130" s="54"/>
      <c r="AS130" s="15"/>
      <c r="BH130" s="52"/>
      <c r="BI130" s="21" t="str">
        <f ca="1">IFERROR(VLOOKUP(C130,OFFSET(abbreviation[],0,ColumnLanguage),ColumnAbbreviation,FALSE),"")</f>
        <v/>
      </c>
      <c r="BJ130" s="21" t="str">
        <f ca="1">IFERROR(VLOOKUP(E130,OFFSET(abbreviation[],0,ColumnLanguage),ColumnAbbreviation,FALSE),"")</f>
        <v/>
      </c>
      <c r="BK130" s="21" t="str">
        <f ca="1">IFERROR(VLOOKUP(G130,OFFSET(abbreviation[],0,ColumnLanguage),ColumnAbbreviation,FALSE),"")</f>
        <v/>
      </c>
      <c r="BL130" s="21" t="str">
        <f ca="1">IFERROR(VLOOKUP(I130,OFFSET(abbreviation[],0,ColumnLanguage),ColumnAbbreviation,FALSE),"")</f>
        <v/>
      </c>
      <c r="BM130" s="21" t="str">
        <f ca="1">IFERROR(VLOOKUP(K130,OFFSET(abbreviation[],0,ColumnLanguage),ColumnAbbreviation,FALSE),"")</f>
        <v/>
      </c>
      <c r="BN130" s="21" t="str">
        <f t="shared" ca="1" si="7"/>
        <v/>
      </c>
      <c r="BO130" s="21" t="str">
        <f ca="1">IFERROR(VLOOKUP(N130,OFFSET(abbreviation[],0,ColumnLanguage),ColumnAbbreviation,FALSE),"")</f>
        <v/>
      </c>
      <c r="BP130" s="21" t="str">
        <f ca="1">IFERROR(VLOOKUP(P130,OFFSET(abbreviation[],0,ColumnLanguage),ColumnAbbreviation,FALSE),"")</f>
        <v/>
      </c>
      <c r="BQ130" s="21" t="str">
        <f ca="1">IFERROR(VLOOKUP(T130,OFFSET(abbreviation[],0,ColumnLanguage),ColumnAbbreviation,FALSE),"")</f>
        <v/>
      </c>
      <c r="BR130" s="21" t="str">
        <f ca="1">IFERROR(VLOOKUP(V130,OFFSET(abbreviation[],0,ColumnLanguage),ColumnAbbreviation,FALSE),"")</f>
        <v/>
      </c>
      <c r="BS130" s="21" t="str">
        <f ca="1">IFERROR(VLOOKUP(Z130,OFFSET(abbreviation[],0,ColumnLanguage),ColumnAbbreviation,FALSE),"")</f>
        <v/>
      </c>
      <c r="BT130" s="21" t="str">
        <f ca="1">IFERROR(VLOOKUP(AB130,OFFSET(abbreviation[],0,ColumnLanguage),ColumnAbbreviation,FALSE),"")</f>
        <v/>
      </c>
      <c r="BU130" s="21" t="str">
        <f t="shared" ca="1" si="8"/>
        <v>__</v>
      </c>
      <c r="BV130" s="21" t="str">
        <f ca="1">IFERROR(VLOOKUP(AF130,OFFSET(abbreviation[],0,ColumnLanguage),ColumnAbbreviation,FALSE),"")</f>
        <v/>
      </c>
      <c r="BW130" s="21" t="str">
        <f ca="1">IFERROR(VLOOKUP(AH130,OFFSET(abbreviation[],0,ColumnLanguage),ColumnAbbreviation,FALSE),"")</f>
        <v/>
      </c>
      <c r="BX130" s="21" t="str">
        <f ca="1">IFERROR(VLOOKUP(AJ130,OFFSET(abbreviation[],0,ColumnLanguage),ColumnAbbreviation,FALSE),"")</f>
        <v/>
      </c>
      <c r="BY130" s="21" t="str">
        <f ca="1">IFERROR(VLOOKUP(AL130,OFFSET(abbreviation[],0,ColumnLanguage),ColumnAbbreviation,FALSE),"")</f>
        <v/>
      </c>
      <c r="BZ130" s="21" t="str">
        <f t="shared" ca="1" si="9"/>
        <v>_</v>
      </c>
      <c r="CA130" s="21" t="str">
        <f ca="1">IFERROR(VLOOKUP(AP130,OFFSET(abbreviation[],0,ColumnLanguage),ColumnAbbreviation,FALSE),"")</f>
        <v/>
      </c>
      <c r="CB130" s="21" t="str">
        <f ca="1">IFERROR(VLOOKUP(AR130,OFFSET(abbreviation[],0,ColumnLanguage),ColumnAbbreviation,FALSE),"")</f>
        <v/>
      </c>
      <c r="CC130" s="21" t="str">
        <f ca="1">IFERROR(VLOOKUP(AT130,OFFSET(abbreviation[],0,ColumnLanguage),ColumnAbbreviation,FALSE),"")</f>
        <v/>
      </c>
      <c r="CD130" s="21" t="str">
        <f ca="1">IFERROR(VLOOKUP(AV130,OFFSET(abbreviation[],0,ColumnLanguage),ColumnAbbreviation,FALSE),"")</f>
        <v/>
      </c>
      <c r="CE130" s="21" t="str">
        <f t="shared" ca="1" si="10"/>
        <v>__</v>
      </c>
      <c r="CF130" s="21" t="str">
        <f ca="1">IFERROR(VLOOKUP(AX130,OFFSET(abbreviation[],0,ColumnLanguage),ColumnAbbreviation,FALSE),"")</f>
        <v/>
      </c>
      <c r="CG130" s="21" t="str">
        <f ca="1">IFERROR(VLOOKUP(AZ130,OFFSET(abbreviation[],0,ColumnLanguage),ColumnAbbreviation,FALSE),"")</f>
        <v/>
      </c>
      <c r="CH130" s="21" t="str">
        <f ca="1">IFERROR(VLOOKUP(BB130,OFFSET(abbreviation[],0,ColumnLanguage),ColumnAbbreviation,FALSE),"")</f>
        <v/>
      </c>
      <c r="CI130" s="21" t="str">
        <f ca="1">IFERROR(VLOOKUP(BD130,OFFSET(abbreviation[],0,ColumnLanguage),ColumnAbbreviation,FALSE),"")</f>
        <v/>
      </c>
      <c r="CJ130" s="21" t="str">
        <f ca="1">IFERROR(VLOOKUP(BF130,OFFSET(abbreviation[],0,ColumnLanguage),ColumnAbbreviation,FALSE),"")</f>
        <v/>
      </c>
      <c r="CK130" s="21" t="str">
        <f t="shared" ca="1" si="11"/>
        <v/>
      </c>
      <c r="CL130" s="21" t="str">
        <f t="shared" si="12"/>
        <v/>
      </c>
      <c r="CM130" s="52"/>
      <c r="CN130" s="57" t="str">
        <f t="shared" si="13"/>
        <v/>
      </c>
    </row>
    <row r="131" spans="14:92" x14ac:dyDescent="0.25">
      <c r="P131" s="60"/>
      <c r="Q131" s="13"/>
      <c r="V131" s="60"/>
      <c r="X131" s="61"/>
      <c r="AB131" s="60"/>
      <c r="AN131" s="54"/>
      <c r="AS131" s="15"/>
      <c r="BH131" s="52"/>
      <c r="BI131" s="21" t="str">
        <f ca="1">IFERROR(VLOOKUP(C131,OFFSET(abbreviation[],0,ColumnLanguage),ColumnAbbreviation,FALSE),"")</f>
        <v/>
      </c>
      <c r="BJ131" s="21" t="str">
        <f ca="1">IFERROR(VLOOKUP(E131,OFFSET(abbreviation[],0,ColumnLanguage),ColumnAbbreviation,FALSE),"")</f>
        <v/>
      </c>
      <c r="BK131" s="21" t="str">
        <f ca="1">IFERROR(VLOOKUP(G131,OFFSET(abbreviation[],0,ColumnLanguage),ColumnAbbreviation,FALSE),"")</f>
        <v/>
      </c>
      <c r="BL131" s="21" t="str">
        <f ca="1">IFERROR(VLOOKUP(I131,OFFSET(abbreviation[],0,ColumnLanguage),ColumnAbbreviation,FALSE),"")</f>
        <v/>
      </c>
      <c r="BM131" s="21" t="str">
        <f ca="1">IFERROR(VLOOKUP(K131,OFFSET(abbreviation[],0,ColumnLanguage),ColumnAbbreviation,FALSE),"")</f>
        <v/>
      </c>
      <c r="BN131" s="21" t="str">
        <f t="shared" ca="1" si="7"/>
        <v/>
      </c>
      <c r="BO131" s="21" t="str">
        <f ca="1">IFERROR(VLOOKUP(N131,OFFSET(abbreviation[],0,ColumnLanguage),ColumnAbbreviation,FALSE),"")</f>
        <v/>
      </c>
      <c r="BP131" s="21" t="str">
        <f ca="1">IFERROR(VLOOKUP(P131,OFFSET(abbreviation[],0,ColumnLanguage),ColumnAbbreviation,FALSE),"")</f>
        <v/>
      </c>
      <c r="BQ131" s="21" t="str">
        <f ca="1">IFERROR(VLOOKUP(T131,OFFSET(abbreviation[],0,ColumnLanguage),ColumnAbbreviation,FALSE),"")</f>
        <v/>
      </c>
      <c r="BR131" s="21" t="str">
        <f ca="1">IFERROR(VLOOKUP(V131,OFFSET(abbreviation[],0,ColumnLanguage),ColumnAbbreviation,FALSE),"")</f>
        <v/>
      </c>
      <c r="BS131" s="21" t="str">
        <f ca="1">IFERROR(VLOOKUP(Z131,OFFSET(abbreviation[],0,ColumnLanguage),ColumnAbbreviation,FALSE),"")</f>
        <v/>
      </c>
      <c r="BT131" s="21" t="str">
        <f ca="1">IFERROR(VLOOKUP(AB131,OFFSET(abbreviation[],0,ColumnLanguage),ColumnAbbreviation,FALSE),"")</f>
        <v/>
      </c>
      <c r="BU131" s="21" t="str">
        <f t="shared" ca="1" si="8"/>
        <v>__</v>
      </c>
      <c r="BV131" s="21" t="str">
        <f ca="1">IFERROR(VLOOKUP(AF131,OFFSET(abbreviation[],0,ColumnLanguage),ColumnAbbreviation,FALSE),"")</f>
        <v/>
      </c>
      <c r="BW131" s="21" t="str">
        <f ca="1">IFERROR(VLOOKUP(AH131,OFFSET(abbreviation[],0,ColumnLanguage),ColumnAbbreviation,FALSE),"")</f>
        <v/>
      </c>
      <c r="BX131" s="21" t="str">
        <f ca="1">IFERROR(VLOOKUP(AJ131,OFFSET(abbreviation[],0,ColumnLanguage),ColumnAbbreviation,FALSE),"")</f>
        <v/>
      </c>
      <c r="BY131" s="21" t="str">
        <f ca="1">IFERROR(VLOOKUP(AL131,OFFSET(abbreviation[],0,ColumnLanguage),ColumnAbbreviation,FALSE),"")</f>
        <v/>
      </c>
      <c r="BZ131" s="21" t="str">
        <f t="shared" ca="1" si="9"/>
        <v>_</v>
      </c>
      <c r="CA131" s="21" t="str">
        <f ca="1">IFERROR(VLOOKUP(AP131,OFFSET(abbreviation[],0,ColumnLanguage),ColumnAbbreviation,FALSE),"")</f>
        <v/>
      </c>
      <c r="CB131" s="21" t="str">
        <f ca="1">IFERROR(VLOOKUP(AR131,OFFSET(abbreviation[],0,ColumnLanguage),ColumnAbbreviation,FALSE),"")</f>
        <v/>
      </c>
      <c r="CC131" s="21" t="str">
        <f ca="1">IFERROR(VLOOKUP(AT131,OFFSET(abbreviation[],0,ColumnLanguage),ColumnAbbreviation,FALSE),"")</f>
        <v/>
      </c>
      <c r="CD131" s="21" t="str">
        <f ca="1">IFERROR(VLOOKUP(AV131,OFFSET(abbreviation[],0,ColumnLanguage),ColumnAbbreviation,FALSE),"")</f>
        <v/>
      </c>
      <c r="CE131" s="21" t="str">
        <f t="shared" ca="1" si="10"/>
        <v>__</v>
      </c>
      <c r="CF131" s="21" t="str">
        <f ca="1">IFERROR(VLOOKUP(AX131,OFFSET(abbreviation[],0,ColumnLanguage),ColumnAbbreviation,FALSE),"")</f>
        <v/>
      </c>
      <c r="CG131" s="21" t="str">
        <f ca="1">IFERROR(VLOOKUP(AZ131,OFFSET(abbreviation[],0,ColumnLanguage),ColumnAbbreviation,FALSE),"")</f>
        <v/>
      </c>
      <c r="CH131" s="21" t="str">
        <f ca="1">IFERROR(VLOOKUP(BB131,OFFSET(abbreviation[],0,ColumnLanguage),ColumnAbbreviation,FALSE),"")</f>
        <v/>
      </c>
      <c r="CI131" s="21" t="str">
        <f ca="1">IFERROR(VLOOKUP(BD131,OFFSET(abbreviation[],0,ColumnLanguage),ColumnAbbreviation,FALSE),"")</f>
        <v/>
      </c>
      <c r="CJ131" s="21" t="str">
        <f ca="1">IFERROR(VLOOKUP(BF131,OFFSET(abbreviation[],0,ColumnLanguage),ColumnAbbreviation,FALSE),"")</f>
        <v/>
      </c>
      <c r="CK131" s="21" t="str">
        <f t="shared" ca="1" si="11"/>
        <v/>
      </c>
      <c r="CL131" s="21" t="str">
        <f t="shared" si="12"/>
        <v/>
      </c>
      <c r="CM131" s="52"/>
      <c r="CN131" s="57" t="str">
        <f t="shared" si="13"/>
        <v/>
      </c>
    </row>
    <row r="132" spans="14:92" x14ac:dyDescent="0.25">
      <c r="P132" s="60"/>
      <c r="Q132" s="13"/>
      <c r="V132" s="60"/>
      <c r="X132" s="61"/>
      <c r="AB132" s="60"/>
      <c r="AN132" s="54"/>
      <c r="AS132" s="15"/>
      <c r="BH132" s="52"/>
      <c r="BI132" s="21" t="str">
        <f ca="1">IFERROR(VLOOKUP(C132,OFFSET(abbreviation[],0,ColumnLanguage),ColumnAbbreviation,FALSE),"")</f>
        <v/>
      </c>
      <c r="BJ132" s="21" t="str">
        <f ca="1">IFERROR(VLOOKUP(E132,OFFSET(abbreviation[],0,ColumnLanguage),ColumnAbbreviation,FALSE),"")</f>
        <v/>
      </c>
      <c r="BK132" s="21" t="str">
        <f ca="1">IFERROR(VLOOKUP(G132,OFFSET(abbreviation[],0,ColumnLanguage),ColumnAbbreviation,FALSE),"")</f>
        <v/>
      </c>
      <c r="BL132" s="21" t="str">
        <f ca="1">IFERROR(VLOOKUP(I132,OFFSET(abbreviation[],0,ColumnLanguage),ColumnAbbreviation,FALSE),"")</f>
        <v/>
      </c>
      <c r="BM132" s="21" t="str">
        <f ca="1">IFERROR(VLOOKUP(K132,OFFSET(abbreviation[],0,ColumnLanguage),ColumnAbbreviation,FALSE),"")</f>
        <v/>
      </c>
      <c r="BN132" s="21" t="str">
        <f t="shared" ref="BN132:BN195" ca="1" si="14">(BI132&amp;IF(OR(ISNUMBER(D132),ISTEXT(D132)),"-"&amp;D132,))&amp;(IF(ISTEXT(E132),"_",)&amp;BJ132&amp;IF(OR(ISNUMBER(F132),ISTEXT(F132)),"-"&amp;F132,))&amp;(IF(ISTEXT(G132),"_",)&amp;BK132&amp;IF(OR(ISNUMBER(H132),ISTEXT(H132)),"-"&amp;H132,))&amp;(IF(ISTEXT(I132),"_",)&amp;BL132&amp;IF(OR(ISNUMBER(J132),ISTEXT(J132)),"-"&amp;J132,))&amp;(IF(ISTEXT(K132),"_",)&amp;BM132&amp;IF(OR(ISNUMBER(L132),ISTEXT(L132)),"-"&amp;L132,)&amp;IF(AND(ISTEXT(BI132),BI132&lt;&gt;""),"_._",))</f>
        <v/>
      </c>
      <c r="BO132" s="21" t="str">
        <f ca="1">IFERROR(VLOOKUP(N132,OFFSET(abbreviation[],0,ColumnLanguage),ColumnAbbreviation,FALSE),"")</f>
        <v/>
      </c>
      <c r="BP132" s="21" t="str">
        <f ca="1">IFERROR(VLOOKUP(P132,OFFSET(abbreviation[],0,ColumnLanguage),ColumnAbbreviation,FALSE),"")</f>
        <v/>
      </c>
      <c r="BQ132" s="21" t="str">
        <f ca="1">IFERROR(VLOOKUP(T132,OFFSET(abbreviation[],0,ColumnLanguage),ColumnAbbreviation,FALSE),"")</f>
        <v/>
      </c>
      <c r="BR132" s="21" t="str">
        <f ca="1">IFERROR(VLOOKUP(V132,OFFSET(abbreviation[],0,ColumnLanguage),ColumnAbbreviation,FALSE),"")</f>
        <v/>
      </c>
      <c r="BS132" s="21" t="str">
        <f ca="1">IFERROR(VLOOKUP(Z132,OFFSET(abbreviation[],0,ColumnLanguage),ColumnAbbreviation,FALSE),"")</f>
        <v/>
      </c>
      <c r="BT132" s="21" t="str">
        <f ca="1">IFERROR(VLOOKUP(AB132,OFFSET(abbreviation[],0,ColumnLanguage),ColumnAbbreviation,FALSE),"")</f>
        <v/>
      </c>
      <c r="BU132" s="21" t="str">
        <f t="shared" ref="BU132:BU195" ca="1" si="15">(BO132&amp;IF(ISTEXT(P132),"."&amp;BP132,)&amp;IF(OR(ISTEXT(R132),ISNUMBER(R132)),"-"&amp;R132,))&amp;("_"&amp;BQ132&amp;IF(ISTEXT(V132),"."&amp;BR132,)&amp;IF(OR(ISTEXT(X132),ISNUMBER(X132)),"-"&amp;X132,))&amp;("_"&amp;BS132&amp;IF(ISTEXT(AB132),"."&amp;BT132,)&amp;IF(OR(ISTEXT(AD132),ISNUMBER(AD132)),"-"&amp;AD132,))</f>
        <v>__</v>
      </c>
      <c r="BV132" s="21" t="str">
        <f ca="1">IFERROR(VLOOKUP(AF132,OFFSET(abbreviation[],0,ColumnLanguage),ColumnAbbreviation,FALSE),"")</f>
        <v/>
      </c>
      <c r="BW132" s="21" t="str">
        <f ca="1">IFERROR(VLOOKUP(AH132,OFFSET(abbreviation[],0,ColumnLanguage),ColumnAbbreviation,FALSE),"")</f>
        <v/>
      </c>
      <c r="BX132" s="21" t="str">
        <f ca="1">IFERROR(VLOOKUP(AJ132,OFFSET(abbreviation[],0,ColumnLanguage),ColumnAbbreviation,FALSE),"")</f>
        <v/>
      </c>
      <c r="BY132" s="21" t="str">
        <f ca="1">IFERROR(VLOOKUP(AL132,OFFSET(abbreviation[],0,ColumnLanguage),ColumnAbbreviation,FALSE),"")</f>
        <v/>
      </c>
      <c r="BZ132" s="21" t="str">
        <f t="shared" ref="BZ132:BZ195" ca="1" si="16">("_"&amp;BV132&amp;IF(ISTEXT(AH132),"."&amp;BW132,)&amp;IF(ISTEXT(AJ132),"."&amp;BX132,)&amp;IF(ISTEXT(AL132),"."&amp;BY132,)&amp;IF(OR(ISTEXT(AN132),ISNUMBER(AN132)),"-"&amp;AN132,))</f>
        <v>_</v>
      </c>
      <c r="CA132" s="21" t="str">
        <f ca="1">IFERROR(VLOOKUP(AP132,OFFSET(abbreviation[],0,ColumnLanguage),ColumnAbbreviation,FALSE),"")</f>
        <v/>
      </c>
      <c r="CB132" s="21" t="str">
        <f ca="1">IFERROR(VLOOKUP(AR132,OFFSET(abbreviation[],0,ColumnLanguage),ColumnAbbreviation,FALSE),"")</f>
        <v/>
      </c>
      <c r="CC132" s="21" t="str">
        <f ca="1">IFERROR(VLOOKUP(AT132,OFFSET(abbreviation[],0,ColumnLanguage),ColumnAbbreviation,FALSE),"")</f>
        <v/>
      </c>
      <c r="CD132" s="21" t="str">
        <f ca="1">IFERROR(VLOOKUP(AV132,OFFSET(abbreviation[],0,ColumnLanguage),ColumnAbbreviation,FALSE),"")</f>
        <v/>
      </c>
      <c r="CE132" s="21" t="str">
        <f t="shared" ref="CE132:CE195" ca="1" si="17">("_"&amp;CA132&amp;IF(ISTEXT(AR132),"."&amp;CB132,)&amp;IF(ISTEXT(AT132),"."&amp;CC132,))&amp;"_"&amp;CD132</f>
        <v>__</v>
      </c>
      <c r="CF132" s="21" t="str">
        <f ca="1">IFERROR(VLOOKUP(AX132,OFFSET(abbreviation[],0,ColumnLanguage),ColumnAbbreviation,FALSE),"")</f>
        <v/>
      </c>
      <c r="CG132" s="21" t="str">
        <f ca="1">IFERROR(VLOOKUP(AZ132,OFFSET(abbreviation[],0,ColumnLanguage),ColumnAbbreviation,FALSE),"")</f>
        <v/>
      </c>
      <c r="CH132" s="21" t="str">
        <f ca="1">IFERROR(VLOOKUP(BB132,OFFSET(abbreviation[],0,ColumnLanguage),ColumnAbbreviation,FALSE),"")</f>
        <v/>
      </c>
      <c r="CI132" s="21" t="str">
        <f ca="1">IFERROR(VLOOKUP(BD132,OFFSET(abbreviation[],0,ColumnLanguage),ColumnAbbreviation,FALSE),"")</f>
        <v/>
      </c>
      <c r="CJ132" s="21" t="str">
        <f ca="1">IFERROR(VLOOKUP(BF132,OFFSET(abbreviation[],0,ColumnLanguage),ColumnAbbreviation,FALSE),"")</f>
        <v/>
      </c>
      <c r="CK132" s="21" t="str">
        <f t="shared" ref="CK132:CK195" ca="1" si="18">(IF(ISTEXT(AX132),"_._",""))&amp;(IF(ISTEXT(AX132),"_",)&amp;CF132&amp;IF(OR(ISNUMBER(AY132),ISTEXT(AY132)),"-"&amp;AY132,))&amp;(IF(ISTEXT(AZ132),"_",)&amp;CG132&amp;IF(OR(ISNUMBER(BA132),ISTEXT(BA132)),"-"&amp;BA132,))&amp;(IF(ISTEXT(BB132),"_",)&amp;CH132&amp;IF(OR(ISNUMBER(BC132),ISTEXT(BC132)),"-"&amp;BC132,))&amp;(IF(ISTEXT(BD132),"_",)&amp;CI132&amp;IF(OR(ISNUMBER(BE132),ISTEXT(BE132)),"-"&amp;BE132,))&amp;(IF(ISTEXT(BF132),"_",)&amp;CJ132&amp;IF(OR(ISNUMBER(BG132),ISTEXT(BG132)),"-"&amp;BG132,))</f>
        <v/>
      </c>
      <c r="CL132" s="21" t="str">
        <f t="shared" ref="CL132:CL195" si="19">IF(OR(N132&lt;&gt;"",T132&lt;&gt;"",C132&lt;&gt;"",A132&lt;&gt;""),(BN132&amp;BU132&amp;BZ132&amp;CE132&amp;CK132),"")</f>
        <v/>
      </c>
      <c r="CM132" s="52"/>
      <c r="CN132" s="57" t="str">
        <f t="shared" ref="CN132:CN195" si="20">CL132</f>
        <v/>
      </c>
    </row>
    <row r="133" spans="14:92" x14ac:dyDescent="0.25">
      <c r="P133" s="60"/>
      <c r="Q133" s="13"/>
      <c r="V133" s="60"/>
      <c r="X133" s="61"/>
      <c r="AB133" s="60"/>
      <c r="AN133" s="54"/>
      <c r="AS133" s="15"/>
      <c r="BH133" s="52"/>
      <c r="BI133" s="21" t="str">
        <f ca="1">IFERROR(VLOOKUP(C133,OFFSET(abbreviation[],0,ColumnLanguage),ColumnAbbreviation,FALSE),"")</f>
        <v/>
      </c>
      <c r="BJ133" s="21" t="str">
        <f ca="1">IFERROR(VLOOKUP(E133,OFFSET(abbreviation[],0,ColumnLanguage),ColumnAbbreviation,FALSE),"")</f>
        <v/>
      </c>
      <c r="BK133" s="21" t="str">
        <f ca="1">IFERROR(VLOOKUP(G133,OFFSET(abbreviation[],0,ColumnLanguage),ColumnAbbreviation,FALSE),"")</f>
        <v/>
      </c>
      <c r="BL133" s="21" t="str">
        <f ca="1">IFERROR(VLOOKUP(I133,OFFSET(abbreviation[],0,ColumnLanguage),ColumnAbbreviation,FALSE),"")</f>
        <v/>
      </c>
      <c r="BM133" s="21" t="str">
        <f ca="1">IFERROR(VLOOKUP(K133,OFFSET(abbreviation[],0,ColumnLanguage),ColumnAbbreviation,FALSE),"")</f>
        <v/>
      </c>
      <c r="BN133" s="21" t="str">
        <f t="shared" ca="1" si="14"/>
        <v/>
      </c>
      <c r="BO133" s="21" t="str">
        <f ca="1">IFERROR(VLOOKUP(N133,OFFSET(abbreviation[],0,ColumnLanguage),ColumnAbbreviation,FALSE),"")</f>
        <v/>
      </c>
      <c r="BP133" s="21" t="str">
        <f ca="1">IFERROR(VLOOKUP(P133,OFFSET(abbreviation[],0,ColumnLanguage),ColumnAbbreviation,FALSE),"")</f>
        <v/>
      </c>
      <c r="BQ133" s="21" t="str">
        <f ca="1">IFERROR(VLOOKUP(T133,OFFSET(abbreviation[],0,ColumnLanguage),ColumnAbbreviation,FALSE),"")</f>
        <v/>
      </c>
      <c r="BR133" s="21" t="str">
        <f ca="1">IFERROR(VLOOKUP(V133,OFFSET(abbreviation[],0,ColumnLanguage),ColumnAbbreviation,FALSE),"")</f>
        <v/>
      </c>
      <c r="BS133" s="21" t="str">
        <f ca="1">IFERROR(VLOOKUP(Z133,OFFSET(abbreviation[],0,ColumnLanguage),ColumnAbbreviation,FALSE),"")</f>
        <v/>
      </c>
      <c r="BT133" s="21" t="str">
        <f ca="1">IFERROR(VLOOKUP(AB133,OFFSET(abbreviation[],0,ColumnLanguage),ColumnAbbreviation,FALSE),"")</f>
        <v/>
      </c>
      <c r="BU133" s="21" t="str">
        <f t="shared" ca="1" si="15"/>
        <v>__</v>
      </c>
      <c r="BV133" s="21" t="str">
        <f ca="1">IFERROR(VLOOKUP(AF133,OFFSET(abbreviation[],0,ColumnLanguage),ColumnAbbreviation,FALSE),"")</f>
        <v/>
      </c>
      <c r="BW133" s="21" t="str">
        <f ca="1">IFERROR(VLOOKUP(AH133,OFFSET(abbreviation[],0,ColumnLanguage),ColumnAbbreviation,FALSE),"")</f>
        <v/>
      </c>
      <c r="BX133" s="21" t="str">
        <f ca="1">IFERROR(VLOOKUP(AJ133,OFFSET(abbreviation[],0,ColumnLanguage),ColumnAbbreviation,FALSE),"")</f>
        <v/>
      </c>
      <c r="BY133" s="21" t="str">
        <f ca="1">IFERROR(VLOOKUP(AL133,OFFSET(abbreviation[],0,ColumnLanguage),ColumnAbbreviation,FALSE),"")</f>
        <v/>
      </c>
      <c r="BZ133" s="21" t="str">
        <f t="shared" ca="1" si="16"/>
        <v>_</v>
      </c>
      <c r="CA133" s="21" t="str">
        <f ca="1">IFERROR(VLOOKUP(AP133,OFFSET(abbreviation[],0,ColumnLanguage),ColumnAbbreviation,FALSE),"")</f>
        <v/>
      </c>
      <c r="CB133" s="21" t="str">
        <f ca="1">IFERROR(VLOOKUP(AR133,OFFSET(abbreviation[],0,ColumnLanguage),ColumnAbbreviation,FALSE),"")</f>
        <v/>
      </c>
      <c r="CC133" s="21" t="str">
        <f ca="1">IFERROR(VLOOKUP(AT133,OFFSET(abbreviation[],0,ColumnLanguage),ColumnAbbreviation,FALSE),"")</f>
        <v/>
      </c>
      <c r="CD133" s="21" t="str">
        <f ca="1">IFERROR(VLOOKUP(AV133,OFFSET(abbreviation[],0,ColumnLanguage),ColumnAbbreviation,FALSE),"")</f>
        <v/>
      </c>
      <c r="CE133" s="21" t="str">
        <f t="shared" ca="1" si="17"/>
        <v>__</v>
      </c>
      <c r="CF133" s="21" t="str">
        <f ca="1">IFERROR(VLOOKUP(AX133,OFFSET(abbreviation[],0,ColumnLanguage),ColumnAbbreviation,FALSE),"")</f>
        <v/>
      </c>
      <c r="CG133" s="21" t="str">
        <f ca="1">IFERROR(VLOOKUP(AZ133,OFFSET(abbreviation[],0,ColumnLanguage),ColumnAbbreviation,FALSE),"")</f>
        <v/>
      </c>
      <c r="CH133" s="21" t="str">
        <f ca="1">IFERROR(VLOOKUP(BB133,OFFSET(abbreviation[],0,ColumnLanguage),ColumnAbbreviation,FALSE),"")</f>
        <v/>
      </c>
      <c r="CI133" s="21" t="str">
        <f ca="1">IFERROR(VLOOKUP(BD133,OFFSET(abbreviation[],0,ColumnLanguage),ColumnAbbreviation,FALSE),"")</f>
        <v/>
      </c>
      <c r="CJ133" s="21" t="str">
        <f ca="1">IFERROR(VLOOKUP(BF133,OFFSET(abbreviation[],0,ColumnLanguage),ColumnAbbreviation,FALSE),"")</f>
        <v/>
      </c>
      <c r="CK133" s="21" t="str">
        <f t="shared" ca="1" si="18"/>
        <v/>
      </c>
      <c r="CL133" s="21" t="str">
        <f t="shared" si="19"/>
        <v/>
      </c>
      <c r="CM133" s="52"/>
      <c r="CN133" s="57" t="str">
        <f t="shared" si="20"/>
        <v/>
      </c>
    </row>
    <row r="134" spans="14:92" x14ac:dyDescent="0.25">
      <c r="P134" s="60"/>
      <c r="Q134" s="13"/>
      <c r="V134" s="60"/>
      <c r="X134" s="61"/>
      <c r="AB134" s="60"/>
      <c r="AN134" s="54"/>
      <c r="AS134" s="15"/>
      <c r="BH134" s="52"/>
      <c r="BI134" s="21" t="str">
        <f ca="1">IFERROR(VLOOKUP(C134,OFFSET(abbreviation[],0,ColumnLanguage),ColumnAbbreviation,FALSE),"")</f>
        <v/>
      </c>
      <c r="BJ134" s="21" t="str">
        <f ca="1">IFERROR(VLOOKUP(E134,OFFSET(abbreviation[],0,ColumnLanguage),ColumnAbbreviation,FALSE),"")</f>
        <v/>
      </c>
      <c r="BK134" s="21" t="str">
        <f ca="1">IFERROR(VLOOKUP(G134,OFFSET(abbreviation[],0,ColumnLanguage),ColumnAbbreviation,FALSE),"")</f>
        <v/>
      </c>
      <c r="BL134" s="21" t="str">
        <f ca="1">IFERROR(VLOOKUP(I134,OFFSET(abbreviation[],0,ColumnLanguage),ColumnAbbreviation,FALSE),"")</f>
        <v/>
      </c>
      <c r="BM134" s="21" t="str">
        <f ca="1">IFERROR(VLOOKUP(K134,OFFSET(abbreviation[],0,ColumnLanguage),ColumnAbbreviation,FALSE),"")</f>
        <v/>
      </c>
      <c r="BN134" s="21" t="str">
        <f t="shared" ca="1" si="14"/>
        <v/>
      </c>
      <c r="BO134" s="21" t="str">
        <f ca="1">IFERROR(VLOOKUP(N134,OFFSET(abbreviation[],0,ColumnLanguage),ColumnAbbreviation,FALSE),"")</f>
        <v/>
      </c>
      <c r="BP134" s="21" t="str">
        <f ca="1">IFERROR(VLOOKUP(P134,OFFSET(abbreviation[],0,ColumnLanguage),ColumnAbbreviation,FALSE),"")</f>
        <v/>
      </c>
      <c r="BQ134" s="21" t="str">
        <f ca="1">IFERROR(VLOOKUP(T134,OFFSET(abbreviation[],0,ColumnLanguage),ColumnAbbreviation,FALSE),"")</f>
        <v/>
      </c>
      <c r="BR134" s="21" t="str">
        <f ca="1">IFERROR(VLOOKUP(V134,OFFSET(abbreviation[],0,ColumnLanguage),ColumnAbbreviation,FALSE),"")</f>
        <v/>
      </c>
      <c r="BS134" s="21" t="str">
        <f ca="1">IFERROR(VLOOKUP(Z134,OFFSET(abbreviation[],0,ColumnLanguage),ColumnAbbreviation,FALSE),"")</f>
        <v/>
      </c>
      <c r="BT134" s="21" t="str">
        <f ca="1">IFERROR(VLOOKUP(AB134,OFFSET(abbreviation[],0,ColumnLanguage),ColumnAbbreviation,FALSE),"")</f>
        <v/>
      </c>
      <c r="BU134" s="21" t="str">
        <f t="shared" ca="1" si="15"/>
        <v>__</v>
      </c>
      <c r="BV134" s="21" t="str">
        <f ca="1">IFERROR(VLOOKUP(AF134,OFFSET(abbreviation[],0,ColumnLanguage),ColumnAbbreviation,FALSE),"")</f>
        <v/>
      </c>
      <c r="BW134" s="21" t="str">
        <f ca="1">IFERROR(VLOOKUP(AH134,OFFSET(abbreviation[],0,ColumnLanguage),ColumnAbbreviation,FALSE),"")</f>
        <v/>
      </c>
      <c r="BX134" s="21" t="str">
        <f ca="1">IFERROR(VLOOKUP(AJ134,OFFSET(abbreviation[],0,ColumnLanguage),ColumnAbbreviation,FALSE),"")</f>
        <v/>
      </c>
      <c r="BY134" s="21" t="str">
        <f ca="1">IFERROR(VLOOKUP(AL134,OFFSET(abbreviation[],0,ColumnLanguage),ColumnAbbreviation,FALSE),"")</f>
        <v/>
      </c>
      <c r="BZ134" s="21" t="str">
        <f t="shared" ca="1" si="16"/>
        <v>_</v>
      </c>
      <c r="CA134" s="21" t="str">
        <f ca="1">IFERROR(VLOOKUP(AP134,OFFSET(abbreviation[],0,ColumnLanguage),ColumnAbbreviation,FALSE),"")</f>
        <v/>
      </c>
      <c r="CB134" s="21" t="str">
        <f ca="1">IFERROR(VLOOKUP(AR134,OFFSET(abbreviation[],0,ColumnLanguage),ColumnAbbreviation,FALSE),"")</f>
        <v/>
      </c>
      <c r="CC134" s="21" t="str">
        <f ca="1">IFERROR(VLOOKUP(AT134,OFFSET(abbreviation[],0,ColumnLanguage),ColumnAbbreviation,FALSE),"")</f>
        <v/>
      </c>
      <c r="CD134" s="21" t="str">
        <f ca="1">IFERROR(VLOOKUP(AV134,OFFSET(abbreviation[],0,ColumnLanguage),ColumnAbbreviation,FALSE),"")</f>
        <v/>
      </c>
      <c r="CE134" s="21" t="str">
        <f t="shared" ca="1" si="17"/>
        <v>__</v>
      </c>
      <c r="CF134" s="21" t="str">
        <f ca="1">IFERROR(VLOOKUP(AX134,OFFSET(abbreviation[],0,ColumnLanguage),ColumnAbbreviation,FALSE),"")</f>
        <v/>
      </c>
      <c r="CG134" s="21" t="str">
        <f ca="1">IFERROR(VLOOKUP(AZ134,OFFSET(abbreviation[],0,ColumnLanguage),ColumnAbbreviation,FALSE),"")</f>
        <v/>
      </c>
      <c r="CH134" s="21" t="str">
        <f ca="1">IFERROR(VLOOKUP(BB134,OFFSET(abbreviation[],0,ColumnLanguage),ColumnAbbreviation,FALSE),"")</f>
        <v/>
      </c>
      <c r="CI134" s="21" t="str">
        <f ca="1">IFERROR(VLOOKUP(BD134,OFFSET(abbreviation[],0,ColumnLanguage),ColumnAbbreviation,FALSE),"")</f>
        <v/>
      </c>
      <c r="CJ134" s="21" t="str">
        <f ca="1">IFERROR(VLOOKUP(BF134,OFFSET(abbreviation[],0,ColumnLanguage),ColumnAbbreviation,FALSE),"")</f>
        <v/>
      </c>
      <c r="CK134" s="21" t="str">
        <f t="shared" ca="1" si="18"/>
        <v/>
      </c>
      <c r="CL134" s="21" t="str">
        <f t="shared" si="19"/>
        <v/>
      </c>
      <c r="CM134" s="52"/>
      <c r="CN134" s="57" t="str">
        <f t="shared" si="20"/>
        <v/>
      </c>
    </row>
    <row r="135" spans="14:92" x14ac:dyDescent="0.25">
      <c r="N135" s="58"/>
      <c r="P135" s="60"/>
      <c r="Q135" s="13"/>
      <c r="V135" s="60"/>
      <c r="X135" s="61"/>
      <c r="AB135" s="60"/>
      <c r="AN135" s="54"/>
      <c r="AS135" s="15"/>
      <c r="BH135" s="52"/>
      <c r="BI135" s="21" t="str">
        <f ca="1">IFERROR(VLOOKUP(C135,OFFSET(abbreviation[],0,ColumnLanguage),ColumnAbbreviation,FALSE),"")</f>
        <v/>
      </c>
      <c r="BJ135" s="21" t="str">
        <f ca="1">IFERROR(VLOOKUP(E135,OFFSET(abbreviation[],0,ColumnLanguage),ColumnAbbreviation,FALSE),"")</f>
        <v/>
      </c>
      <c r="BK135" s="21" t="str">
        <f ca="1">IFERROR(VLOOKUP(G135,OFFSET(abbreviation[],0,ColumnLanguage),ColumnAbbreviation,FALSE),"")</f>
        <v/>
      </c>
      <c r="BL135" s="21" t="str">
        <f ca="1">IFERROR(VLOOKUP(I135,OFFSET(abbreviation[],0,ColumnLanguage),ColumnAbbreviation,FALSE),"")</f>
        <v/>
      </c>
      <c r="BM135" s="21" t="str">
        <f ca="1">IFERROR(VLOOKUP(K135,OFFSET(abbreviation[],0,ColumnLanguage),ColumnAbbreviation,FALSE),"")</f>
        <v/>
      </c>
      <c r="BN135" s="21" t="str">
        <f t="shared" ca="1" si="14"/>
        <v/>
      </c>
      <c r="BO135" s="21" t="str">
        <f ca="1">IFERROR(VLOOKUP(N135,OFFSET(abbreviation[],0,ColumnLanguage),ColumnAbbreviation,FALSE),"")</f>
        <v/>
      </c>
      <c r="BP135" s="21" t="str">
        <f ca="1">IFERROR(VLOOKUP(P135,OFFSET(abbreviation[],0,ColumnLanguage),ColumnAbbreviation,FALSE),"")</f>
        <v/>
      </c>
      <c r="BQ135" s="21" t="str">
        <f ca="1">IFERROR(VLOOKUP(T135,OFFSET(abbreviation[],0,ColumnLanguage),ColumnAbbreviation,FALSE),"")</f>
        <v/>
      </c>
      <c r="BR135" s="21" t="str">
        <f ca="1">IFERROR(VLOOKUP(V135,OFFSET(abbreviation[],0,ColumnLanguage),ColumnAbbreviation,FALSE),"")</f>
        <v/>
      </c>
      <c r="BS135" s="21" t="str">
        <f ca="1">IFERROR(VLOOKUP(Z135,OFFSET(abbreviation[],0,ColumnLanguage),ColumnAbbreviation,FALSE),"")</f>
        <v/>
      </c>
      <c r="BT135" s="21" t="str">
        <f ca="1">IFERROR(VLOOKUP(AB135,OFFSET(abbreviation[],0,ColumnLanguage),ColumnAbbreviation,FALSE),"")</f>
        <v/>
      </c>
      <c r="BU135" s="21" t="str">
        <f t="shared" ca="1" si="15"/>
        <v>__</v>
      </c>
      <c r="BV135" s="21" t="str">
        <f ca="1">IFERROR(VLOOKUP(AF135,OFFSET(abbreviation[],0,ColumnLanguage),ColumnAbbreviation,FALSE),"")</f>
        <v/>
      </c>
      <c r="BW135" s="21" t="str">
        <f ca="1">IFERROR(VLOOKUP(AH135,OFFSET(abbreviation[],0,ColumnLanguage),ColumnAbbreviation,FALSE),"")</f>
        <v/>
      </c>
      <c r="BX135" s="21" t="str">
        <f ca="1">IFERROR(VLOOKUP(AJ135,OFFSET(abbreviation[],0,ColumnLanguage),ColumnAbbreviation,FALSE),"")</f>
        <v/>
      </c>
      <c r="BY135" s="21" t="str">
        <f ca="1">IFERROR(VLOOKUP(AL135,OFFSET(abbreviation[],0,ColumnLanguage),ColumnAbbreviation,FALSE),"")</f>
        <v/>
      </c>
      <c r="BZ135" s="21" t="str">
        <f t="shared" ca="1" si="16"/>
        <v>_</v>
      </c>
      <c r="CA135" s="21" t="str">
        <f ca="1">IFERROR(VLOOKUP(AP135,OFFSET(abbreviation[],0,ColumnLanguage),ColumnAbbreviation,FALSE),"")</f>
        <v/>
      </c>
      <c r="CB135" s="21" t="str">
        <f ca="1">IFERROR(VLOOKUP(AR135,OFFSET(abbreviation[],0,ColumnLanguage),ColumnAbbreviation,FALSE),"")</f>
        <v/>
      </c>
      <c r="CC135" s="21" t="str">
        <f ca="1">IFERROR(VLOOKUP(AT135,OFFSET(abbreviation[],0,ColumnLanguage),ColumnAbbreviation,FALSE),"")</f>
        <v/>
      </c>
      <c r="CD135" s="21" t="str">
        <f ca="1">IFERROR(VLOOKUP(AV135,OFFSET(abbreviation[],0,ColumnLanguage),ColumnAbbreviation,FALSE),"")</f>
        <v/>
      </c>
      <c r="CE135" s="21" t="str">
        <f t="shared" ca="1" si="17"/>
        <v>__</v>
      </c>
      <c r="CF135" s="21" t="str">
        <f ca="1">IFERROR(VLOOKUP(AX135,OFFSET(abbreviation[],0,ColumnLanguage),ColumnAbbreviation,FALSE),"")</f>
        <v/>
      </c>
      <c r="CG135" s="21" t="str">
        <f ca="1">IFERROR(VLOOKUP(AZ135,OFFSET(abbreviation[],0,ColumnLanguage),ColumnAbbreviation,FALSE),"")</f>
        <v/>
      </c>
      <c r="CH135" s="21" t="str">
        <f ca="1">IFERROR(VLOOKUP(BB135,OFFSET(abbreviation[],0,ColumnLanguage),ColumnAbbreviation,FALSE),"")</f>
        <v/>
      </c>
      <c r="CI135" s="21" t="str">
        <f ca="1">IFERROR(VLOOKUP(BD135,OFFSET(abbreviation[],0,ColumnLanguage),ColumnAbbreviation,FALSE),"")</f>
        <v/>
      </c>
      <c r="CJ135" s="21" t="str">
        <f ca="1">IFERROR(VLOOKUP(BF135,OFFSET(abbreviation[],0,ColumnLanguage),ColumnAbbreviation,FALSE),"")</f>
        <v/>
      </c>
      <c r="CK135" s="21" t="str">
        <f t="shared" ca="1" si="18"/>
        <v/>
      </c>
      <c r="CL135" s="21" t="str">
        <f t="shared" si="19"/>
        <v/>
      </c>
      <c r="CM135" s="52"/>
      <c r="CN135" s="57" t="str">
        <f t="shared" si="20"/>
        <v/>
      </c>
    </row>
    <row r="136" spans="14:92" x14ac:dyDescent="0.25">
      <c r="N136" s="58"/>
      <c r="P136" s="60"/>
      <c r="Q136" s="13"/>
      <c r="V136" s="60"/>
      <c r="X136" s="61"/>
      <c r="AB136" s="60"/>
      <c r="AN136" s="54"/>
      <c r="AS136" s="15"/>
      <c r="BH136" s="52"/>
      <c r="BI136" s="21" t="str">
        <f ca="1">IFERROR(VLOOKUP(C136,OFFSET(abbreviation[],0,ColumnLanguage),ColumnAbbreviation,FALSE),"")</f>
        <v/>
      </c>
      <c r="BJ136" s="21" t="str">
        <f ca="1">IFERROR(VLOOKUP(E136,OFFSET(abbreviation[],0,ColumnLanguage),ColumnAbbreviation,FALSE),"")</f>
        <v/>
      </c>
      <c r="BK136" s="21" t="str">
        <f ca="1">IFERROR(VLOOKUP(G136,OFFSET(abbreviation[],0,ColumnLanguage),ColumnAbbreviation,FALSE),"")</f>
        <v/>
      </c>
      <c r="BL136" s="21" t="str">
        <f ca="1">IFERROR(VLOOKUP(I136,OFFSET(abbreviation[],0,ColumnLanguage),ColumnAbbreviation,FALSE),"")</f>
        <v/>
      </c>
      <c r="BM136" s="21" t="str">
        <f ca="1">IFERROR(VLOOKUP(K136,OFFSET(abbreviation[],0,ColumnLanguage),ColumnAbbreviation,FALSE),"")</f>
        <v/>
      </c>
      <c r="BN136" s="21" t="str">
        <f t="shared" ca="1" si="14"/>
        <v/>
      </c>
      <c r="BO136" s="21" t="str">
        <f ca="1">IFERROR(VLOOKUP(N136,OFFSET(abbreviation[],0,ColumnLanguage),ColumnAbbreviation,FALSE),"")</f>
        <v/>
      </c>
      <c r="BP136" s="21" t="str">
        <f ca="1">IFERROR(VLOOKUP(P136,OFFSET(abbreviation[],0,ColumnLanguage),ColumnAbbreviation,FALSE),"")</f>
        <v/>
      </c>
      <c r="BQ136" s="21" t="str">
        <f ca="1">IFERROR(VLOOKUP(T136,OFFSET(abbreviation[],0,ColumnLanguage),ColumnAbbreviation,FALSE),"")</f>
        <v/>
      </c>
      <c r="BR136" s="21" t="str">
        <f ca="1">IFERROR(VLOOKUP(V136,OFFSET(abbreviation[],0,ColumnLanguage),ColumnAbbreviation,FALSE),"")</f>
        <v/>
      </c>
      <c r="BS136" s="21" t="str">
        <f ca="1">IFERROR(VLOOKUP(Z136,OFFSET(abbreviation[],0,ColumnLanguage),ColumnAbbreviation,FALSE),"")</f>
        <v/>
      </c>
      <c r="BT136" s="21" t="str">
        <f ca="1">IFERROR(VLOOKUP(AB136,OFFSET(abbreviation[],0,ColumnLanguage),ColumnAbbreviation,FALSE),"")</f>
        <v/>
      </c>
      <c r="BU136" s="21" t="str">
        <f t="shared" ca="1" si="15"/>
        <v>__</v>
      </c>
      <c r="BV136" s="21" t="str">
        <f ca="1">IFERROR(VLOOKUP(AF136,OFFSET(abbreviation[],0,ColumnLanguage),ColumnAbbreviation,FALSE),"")</f>
        <v/>
      </c>
      <c r="BW136" s="21" t="str">
        <f ca="1">IFERROR(VLOOKUP(AH136,OFFSET(abbreviation[],0,ColumnLanguage),ColumnAbbreviation,FALSE),"")</f>
        <v/>
      </c>
      <c r="BX136" s="21" t="str">
        <f ca="1">IFERROR(VLOOKUP(AJ136,OFFSET(abbreviation[],0,ColumnLanguage),ColumnAbbreviation,FALSE),"")</f>
        <v/>
      </c>
      <c r="BY136" s="21" t="str">
        <f ca="1">IFERROR(VLOOKUP(AL136,OFFSET(abbreviation[],0,ColumnLanguage),ColumnAbbreviation,FALSE),"")</f>
        <v/>
      </c>
      <c r="BZ136" s="21" t="str">
        <f t="shared" ca="1" si="16"/>
        <v>_</v>
      </c>
      <c r="CA136" s="21" t="str">
        <f ca="1">IFERROR(VLOOKUP(AP136,OFFSET(abbreviation[],0,ColumnLanguage),ColumnAbbreviation,FALSE),"")</f>
        <v/>
      </c>
      <c r="CB136" s="21" t="str">
        <f ca="1">IFERROR(VLOOKUP(AR136,OFFSET(abbreviation[],0,ColumnLanguage),ColumnAbbreviation,FALSE),"")</f>
        <v/>
      </c>
      <c r="CC136" s="21" t="str">
        <f ca="1">IFERROR(VLOOKUP(AT136,OFFSET(abbreviation[],0,ColumnLanguage),ColumnAbbreviation,FALSE),"")</f>
        <v/>
      </c>
      <c r="CD136" s="21" t="str">
        <f ca="1">IFERROR(VLOOKUP(AV136,OFFSET(abbreviation[],0,ColumnLanguage),ColumnAbbreviation,FALSE),"")</f>
        <v/>
      </c>
      <c r="CE136" s="21" t="str">
        <f t="shared" ca="1" si="17"/>
        <v>__</v>
      </c>
      <c r="CF136" s="21" t="str">
        <f ca="1">IFERROR(VLOOKUP(AX136,OFFSET(abbreviation[],0,ColumnLanguage),ColumnAbbreviation,FALSE),"")</f>
        <v/>
      </c>
      <c r="CG136" s="21" t="str">
        <f ca="1">IFERROR(VLOOKUP(AZ136,OFFSET(abbreviation[],0,ColumnLanguage),ColumnAbbreviation,FALSE),"")</f>
        <v/>
      </c>
      <c r="CH136" s="21" t="str">
        <f ca="1">IFERROR(VLOOKUP(BB136,OFFSET(abbreviation[],0,ColumnLanguage),ColumnAbbreviation,FALSE),"")</f>
        <v/>
      </c>
      <c r="CI136" s="21" t="str">
        <f ca="1">IFERROR(VLOOKUP(BD136,OFFSET(abbreviation[],0,ColumnLanguage),ColumnAbbreviation,FALSE),"")</f>
        <v/>
      </c>
      <c r="CJ136" s="21" t="str">
        <f ca="1">IFERROR(VLOOKUP(BF136,OFFSET(abbreviation[],0,ColumnLanguage),ColumnAbbreviation,FALSE),"")</f>
        <v/>
      </c>
      <c r="CK136" s="21" t="str">
        <f t="shared" ca="1" si="18"/>
        <v/>
      </c>
      <c r="CL136" s="21" t="str">
        <f t="shared" si="19"/>
        <v/>
      </c>
      <c r="CM136" s="52"/>
      <c r="CN136" s="57" t="str">
        <f t="shared" si="20"/>
        <v/>
      </c>
    </row>
    <row r="137" spans="14:92" x14ac:dyDescent="0.25">
      <c r="N137" s="59"/>
      <c r="P137" s="60"/>
      <c r="Q137" s="13"/>
      <c r="V137" s="60"/>
      <c r="X137" s="61"/>
      <c r="AB137" s="60"/>
      <c r="AN137" s="54"/>
      <c r="AS137" s="15"/>
      <c r="BH137" s="52"/>
      <c r="BI137" s="21" t="str">
        <f ca="1">IFERROR(VLOOKUP(C137,OFFSET(abbreviation[],0,ColumnLanguage),ColumnAbbreviation,FALSE),"")</f>
        <v/>
      </c>
      <c r="BJ137" s="21" t="str">
        <f ca="1">IFERROR(VLOOKUP(E137,OFFSET(abbreviation[],0,ColumnLanguage),ColumnAbbreviation,FALSE),"")</f>
        <v/>
      </c>
      <c r="BK137" s="21" t="str">
        <f ca="1">IFERROR(VLOOKUP(G137,OFFSET(abbreviation[],0,ColumnLanguage),ColumnAbbreviation,FALSE),"")</f>
        <v/>
      </c>
      <c r="BL137" s="21" t="str">
        <f ca="1">IFERROR(VLOOKUP(I137,OFFSET(abbreviation[],0,ColumnLanguage),ColumnAbbreviation,FALSE),"")</f>
        <v/>
      </c>
      <c r="BM137" s="21" t="str">
        <f ca="1">IFERROR(VLOOKUP(K137,OFFSET(abbreviation[],0,ColumnLanguage),ColumnAbbreviation,FALSE),"")</f>
        <v/>
      </c>
      <c r="BN137" s="21" t="str">
        <f t="shared" ca="1" si="14"/>
        <v/>
      </c>
      <c r="BO137" s="21" t="str">
        <f ca="1">IFERROR(VLOOKUP(N137,OFFSET(abbreviation[],0,ColumnLanguage),ColumnAbbreviation,FALSE),"")</f>
        <v/>
      </c>
      <c r="BP137" s="21" t="str">
        <f ca="1">IFERROR(VLOOKUP(P137,OFFSET(abbreviation[],0,ColumnLanguage),ColumnAbbreviation,FALSE),"")</f>
        <v/>
      </c>
      <c r="BQ137" s="21" t="str">
        <f ca="1">IFERROR(VLOOKUP(T137,OFFSET(abbreviation[],0,ColumnLanguage),ColumnAbbreviation,FALSE),"")</f>
        <v/>
      </c>
      <c r="BR137" s="21" t="str">
        <f ca="1">IFERROR(VLOOKUP(V137,OFFSET(abbreviation[],0,ColumnLanguage),ColumnAbbreviation,FALSE),"")</f>
        <v/>
      </c>
      <c r="BS137" s="21" t="str">
        <f ca="1">IFERROR(VLOOKUP(Z137,OFFSET(abbreviation[],0,ColumnLanguage),ColumnAbbreviation,FALSE),"")</f>
        <v/>
      </c>
      <c r="BT137" s="21" t="str">
        <f ca="1">IFERROR(VLOOKUP(AB137,OFFSET(abbreviation[],0,ColumnLanguage),ColumnAbbreviation,FALSE),"")</f>
        <v/>
      </c>
      <c r="BU137" s="21" t="str">
        <f t="shared" ca="1" si="15"/>
        <v>__</v>
      </c>
      <c r="BV137" s="21" t="str">
        <f ca="1">IFERROR(VLOOKUP(AF137,OFFSET(abbreviation[],0,ColumnLanguage),ColumnAbbreviation,FALSE),"")</f>
        <v/>
      </c>
      <c r="BW137" s="21" t="str">
        <f ca="1">IFERROR(VLOOKUP(AH137,OFFSET(abbreviation[],0,ColumnLanguage),ColumnAbbreviation,FALSE),"")</f>
        <v/>
      </c>
      <c r="BX137" s="21" t="str">
        <f ca="1">IFERROR(VLOOKUP(AJ137,OFFSET(abbreviation[],0,ColumnLanguage),ColumnAbbreviation,FALSE),"")</f>
        <v/>
      </c>
      <c r="BY137" s="21" t="str">
        <f ca="1">IFERROR(VLOOKUP(AL137,OFFSET(abbreviation[],0,ColumnLanguage),ColumnAbbreviation,FALSE),"")</f>
        <v/>
      </c>
      <c r="BZ137" s="21" t="str">
        <f t="shared" ca="1" si="16"/>
        <v>_</v>
      </c>
      <c r="CA137" s="21" t="str">
        <f ca="1">IFERROR(VLOOKUP(AP137,OFFSET(abbreviation[],0,ColumnLanguage),ColumnAbbreviation,FALSE),"")</f>
        <v/>
      </c>
      <c r="CB137" s="21" t="str">
        <f ca="1">IFERROR(VLOOKUP(AR137,OFFSET(abbreviation[],0,ColumnLanguage),ColumnAbbreviation,FALSE),"")</f>
        <v/>
      </c>
      <c r="CC137" s="21" t="str">
        <f ca="1">IFERROR(VLOOKUP(AT137,OFFSET(abbreviation[],0,ColumnLanguage),ColumnAbbreviation,FALSE),"")</f>
        <v/>
      </c>
      <c r="CD137" s="21" t="str">
        <f ca="1">IFERROR(VLOOKUP(AV137,OFFSET(abbreviation[],0,ColumnLanguage),ColumnAbbreviation,FALSE),"")</f>
        <v/>
      </c>
      <c r="CE137" s="21" t="str">
        <f t="shared" ca="1" si="17"/>
        <v>__</v>
      </c>
      <c r="CF137" s="21" t="str">
        <f ca="1">IFERROR(VLOOKUP(AX137,OFFSET(abbreviation[],0,ColumnLanguage),ColumnAbbreviation,FALSE),"")</f>
        <v/>
      </c>
      <c r="CG137" s="21" t="str">
        <f ca="1">IFERROR(VLOOKUP(AZ137,OFFSET(abbreviation[],0,ColumnLanguage),ColumnAbbreviation,FALSE),"")</f>
        <v/>
      </c>
      <c r="CH137" s="21" t="str">
        <f ca="1">IFERROR(VLOOKUP(BB137,OFFSET(abbreviation[],0,ColumnLanguage),ColumnAbbreviation,FALSE),"")</f>
        <v/>
      </c>
      <c r="CI137" s="21" t="str">
        <f ca="1">IFERROR(VLOOKUP(BD137,OFFSET(abbreviation[],0,ColumnLanguage),ColumnAbbreviation,FALSE),"")</f>
        <v/>
      </c>
      <c r="CJ137" s="21" t="str">
        <f ca="1">IFERROR(VLOOKUP(BF137,OFFSET(abbreviation[],0,ColumnLanguage),ColumnAbbreviation,FALSE),"")</f>
        <v/>
      </c>
      <c r="CK137" s="21" t="str">
        <f t="shared" ca="1" si="18"/>
        <v/>
      </c>
      <c r="CL137" s="21" t="str">
        <f t="shared" si="19"/>
        <v/>
      </c>
      <c r="CM137" s="52"/>
      <c r="CN137" s="57" t="str">
        <f t="shared" si="20"/>
        <v/>
      </c>
    </row>
    <row r="138" spans="14:92" x14ac:dyDescent="0.25">
      <c r="N138" s="58"/>
      <c r="P138" s="60"/>
      <c r="Q138" s="13"/>
      <c r="V138" s="60"/>
      <c r="X138" s="61"/>
      <c r="AB138" s="60"/>
      <c r="AN138" s="54"/>
      <c r="AS138" s="15"/>
      <c r="BH138" s="52"/>
      <c r="BI138" s="21" t="str">
        <f ca="1">IFERROR(VLOOKUP(C138,OFFSET(abbreviation[],0,ColumnLanguage),ColumnAbbreviation,FALSE),"")</f>
        <v/>
      </c>
      <c r="BJ138" s="21" t="str">
        <f ca="1">IFERROR(VLOOKUP(E138,OFFSET(abbreviation[],0,ColumnLanguage),ColumnAbbreviation,FALSE),"")</f>
        <v/>
      </c>
      <c r="BK138" s="21" t="str">
        <f ca="1">IFERROR(VLOOKUP(G138,OFFSET(abbreviation[],0,ColumnLanguage),ColumnAbbreviation,FALSE),"")</f>
        <v/>
      </c>
      <c r="BL138" s="21" t="str">
        <f ca="1">IFERROR(VLOOKUP(I138,OFFSET(abbreviation[],0,ColumnLanguage),ColumnAbbreviation,FALSE),"")</f>
        <v/>
      </c>
      <c r="BM138" s="21" t="str">
        <f ca="1">IFERROR(VLOOKUP(K138,OFFSET(abbreviation[],0,ColumnLanguage),ColumnAbbreviation,FALSE),"")</f>
        <v/>
      </c>
      <c r="BN138" s="21" t="str">
        <f t="shared" ca="1" si="14"/>
        <v/>
      </c>
      <c r="BO138" s="21" t="str">
        <f ca="1">IFERROR(VLOOKUP(N138,OFFSET(abbreviation[],0,ColumnLanguage),ColumnAbbreviation,FALSE),"")</f>
        <v/>
      </c>
      <c r="BP138" s="21" t="str">
        <f ca="1">IFERROR(VLOOKUP(P138,OFFSET(abbreviation[],0,ColumnLanguage),ColumnAbbreviation,FALSE),"")</f>
        <v/>
      </c>
      <c r="BQ138" s="21" t="str">
        <f ca="1">IFERROR(VLOOKUP(T138,OFFSET(abbreviation[],0,ColumnLanguage),ColumnAbbreviation,FALSE),"")</f>
        <v/>
      </c>
      <c r="BR138" s="21" t="str">
        <f ca="1">IFERROR(VLOOKUP(V138,OFFSET(abbreviation[],0,ColumnLanguage),ColumnAbbreviation,FALSE),"")</f>
        <v/>
      </c>
      <c r="BS138" s="21" t="str">
        <f ca="1">IFERROR(VLOOKUP(Z138,OFFSET(abbreviation[],0,ColumnLanguage),ColumnAbbreviation,FALSE),"")</f>
        <v/>
      </c>
      <c r="BT138" s="21" t="str">
        <f ca="1">IFERROR(VLOOKUP(AB138,OFFSET(abbreviation[],0,ColumnLanguage),ColumnAbbreviation,FALSE),"")</f>
        <v/>
      </c>
      <c r="BU138" s="21" t="str">
        <f t="shared" ca="1" si="15"/>
        <v>__</v>
      </c>
      <c r="BV138" s="21" t="str">
        <f ca="1">IFERROR(VLOOKUP(AF138,OFFSET(abbreviation[],0,ColumnLanguage),ColumnAbbreviation,FALSE),"")</f>
        <v/>
      </c>
      <c r="BW138" s="21" t="str">
        <f ca="1">IFERROR(VLOOKUP(AH138,OFFSET(abbreviation[],0,ColumnLanguage),ColumnAbbreviation,FALSE),"")</f>
        <v/>
      </c>
      <c r="BX138" s="21" t="str">
        <f ca="1">IFERROR(VLOOKUP(AJ138,OFFSET(abbreviation[],0,ColumnLanguage),ColumnAbbreviation,FALSE),"")</f>
        <v/>
      </c>
      <c r="BY138" s="21" t="str">
        <f ca="1">IFERROR(VLOOKUP(AL138,OFFSET(abbreviation[],0,ColumnLanguage),ColumnAbbreviation,FALSE),"")</f>
        <v/>
      </c>
      <c r="BZ138" s="21" t="str">
        <f t="shared" ca="1" si="16"/>
        <v>_</v>
      </c>
      <c r="CA138" s="21" t="str">
        <f ca="1">IFERROR(VLOOKUP(AP138,OFFSET(abbreviation[],0,ColumnLanguage),ColumnAbbreviation,FALSE),"")</f>
        <v/>
      </c>
      <c r="CB138" s="21" t="str">
        <f ca="1">IFERROR(VLOOKUP(AR138,OFFSET(abbreviation[],0,ColumnLanguage),ColumnAbbreviation,FALSE),"")</f>
        <v/>
      </c>
      <c r="CC138" s="21" t="str">
        <f ca="1">IFERROR(VLOOKUP(AT138,OFFSET(abbreviation[],0,ColumnLanguage),ColumnAbbreviation,FALSE),"")</f>
        <v/>
      </c>
      <c r="CD138" s="21" t="str">
        <f ca="1">IFERROR(VLOOKUP(AV138,OFFSET(abbreviation[],0,ColumnLanguage),ColumnAbbreviation,FALSE),"")</f>
        <v/>
      </c>
      <c r="CE138" s="21" t="str">
        <f t="shared" ca="1" si="17"/>
        <v>__</v>
      </c>
      <c r="CF138" s="21" t="str">
        <f ca="1">IFERROR(VLOOKUP(AX138,OFFSET(abbreviation[],0,ColumnLanguage),ColumnAbbreviation,FALSE),"")</f>
        <v/>
      </c>
      <c r="CG138" s="21" t="str">
        <f ca="1">IFERROR(VLOOKUP(AZ138,OFFSET(abbreviation[],0,ColumnLanguage),ColumnAbbreviation,FALSE),"")</f>
        <v/>
      </c>
      <c r="CH138" s="21" t="str">
        <f ca="1">IFERROR(VLOOKUP(BB138,OFFSET(abbreviation[],0,ColumnLanguage),ColumnAbbreviation,FALSE),"")</f>
        <v/>
      </c>
      <c r="CI138" s="21" t="str">
        <f ca="1">IFERROR(VLOOKUP(BD138,OFFSET(abbreviation[],0,ColumnLanguage),ColumnAbbreviation,FALSE),"")</f>
        <v/>
      </c>
      <c r="CJ138" s="21" t="str">
        <f ca="1">IFERROR(VLOOKUP(BF138,OFFSET(abbreviation[],0,ColumnLanguage),ColumnAbbreviation,FALSE),"")</f>
        <v/>
      </c>
      <c r="CK138" s="21" t="str">
        <f t="shared" ca="1" si="18"/>
        <v/>
      </c>
      <c r="CL138" s="21" t="str">
        <f t="shared" si="19"/>
        <v/>
      </c>
      <c r="CM138" s="52"/>
      <c r="CN138" s="57" t="str">
        <f t="shared" si="20"/>
        <v/>
      </c>
    </row>
    <row r="139" spans="14:92" x14ac:dyDescent="0.25">
      <c r="N139" s="58"/>
      <c r="P139" s="60"/>
      <c r="Q139" s="13"/>
      <c r="V139" s="60"/>
      <c r="X139" s="61"/>
      <c r="AB139" s="60"/>
      <c r="AN139" s="54"/>
      <c r="AS139" s="15"/>
      <c r="BH139" s="52"/>
      <c r="BI139" s="21" t="str">
        <f ca="1">IFERROR(VLOOKUP(C139,OFFSET(abbreviation[],0,ColumnLanguage),ColumnAbbreviation,FALSE),"")</f>
        <v/>
      </c>
      <c r="BJ139" s="21" t="str">
        <f ca="1">IFERROR(VLOOKUP(E139,OFFSET(abbreviation[],0,ColumnLanguage),ColumnAbbreviation,FALSE),"")</f>
        <v/>
      </c>
      <c r="BK139" s="21" t="str">
        <f ca="1">IFERROR(VLOOKUP(G139,OFFSET(abbreviation[],0,ColumnLanguage),ColumnAbbreviation,FALSE),"")</f>
        <v/>
      </c>
      <c r="BL139" s="21" t="str">
        <f ca="1">IFERROR(VLOOKUP(I139,OFFSET(abbreviation[],0,ColumnLanguage),ColumnAbbreviation,FALSE),"")</f>
        <v/>
      </c>
      <c r="BM139" s="21" t="str">
        <f ca="1">IFERROR(VLOOKUP(K139,OFFSET(abbreviation[],0,ColumnLanguage),ColumnAbbreviation,FALSE),"")</f>
        <v/>
      </c>
      <c r="BN139" s="21" t="str">
        <f t="shared" ca="1" si="14"/>
        <v/>
      </c>
      <c r="BO139" s="21" t="str">
        <f ca="1">IFERROR(VLOOKUP(N139,OFFSET(abbreviation[],0,ColumnLanguage),ColumnAbbreviation,FALSE),"")</f>
        <v/>
      </c>
      <c r="BP139" s="21" t="str">
        <f ca="1">IFERROR(VLOOKUP(P139,OFFSET(abbreviation[],0,ColumnLanguage),ColumnAbbreviation,FALSE),"")</f>
        <v/>
      </c>
      <c r="BQ139" s="21" t="str">
        <f ca="1">IFERROR(VLOOKUP(T139,OFFSET(abbreviation[],0,ColumnLanguage),ColumnAbbreviation,FALSE),"")</f>
        <v/>
      </c>
      <c r="BR139" s="21" t="str">
        <f ca="1">IFERROR(VLOOKUP(V139,OFFSET(abbreviation[],0,ColumnLanguage),ColumnAbbreviation,FALSE),"")</f>
        <v/>
      </c>
      <c r="BS139" s="21" t="str">
        <f ca="1">IFERROR(VLOOKUP(Z139,OFFSET(abbreviation[],0,ColumnLanguage),ColumnAbbreviation,FALSE),"")</f>
        <v/>
      </c>
      <c r="BT139" s="21" t="str">
        <f ca="1">IFERROR(VLOOKUP(AB139,OFFSET(abbreviation[],0,ColumnLanguage),ColumnAbbreviation,FALSE),"")</f>
        <v/>
      </c>
      <c r="BU139" s="21" t="str">
        <f t="shared" ca="1" si="15"/>
        <v>__</v>
      </c>
      <c r="BV139" s="21" t="str">
        <f ca="1">IFERROR(VLOOKUP(AF139,OFFSET(abbreviation[],0,ColumnLanguage),ColumnAbbreviation,FALSE),"")</f>
        <v/>
      </c>
      <c r="BW139" s="21" t="str">
        <f ca="1">IFERROR(VLOOKUP(AH139,OFFSET(abbreviation[],0,ColumnLanguage),ColumnAbbreviation,FALSE),"")</f>
        <v/>
      </c>
      <c r="BX139" s="21" t="str">
        <f ca="1">IFERROR(VLOOKUP(AJ139,OFFSET(abbreviation[],0,ColumnLanguage),ColumnAbbreviation,FALSE),"")</f>
        <v/>
      </c>
      <c r="BY139" s="21" t="str">
        <f ca="1">IFERROR(VLOOKUP(AL139,OFFSET(abbreviation[],0,ColumnLanguage),ColumnAbbreviation,FALSE),"")</f>
        <v/>
      </c>
      <c r="BZ139" s="21" t="str">
        <f t="shared" ca="1" si="16"/>
        <v>_</v>
      </c>
      <c r="CA139" s="21" t="str">
        <f ca="1">IFERROR(VLOOKUP(AP139,OFFSET(abbreviation[],0,ColumnLanguage),ColumnAbbreviation,FALSE),"")</f>
        <v/>
      </c>
      <c r="CB139" s="21" t="str">
        <f ca="1">IFERROR(VLOOKUP(AR139,OFFSET(abbreviation[],0,ColumnLanguage),ColumnAbbreviation,FALSE),"")</f>
        <v/>
      </c>
      <c r="CC139" s="21" t="str">
        <f ca="1">IFERROR(VLOOKUP(AT139,OFFSET(abbreviation[],0,ColumnLanguage),ColumnAbbreviation,FALSE),"")</f>
        <v/>
      </c>
      <c r="CD139" s="21" t="str">
        <f ca="1">IFERROR(VLOOKUP(AV139,OFFSET(abbreviation[],0,ColumnLanguage),ColumnAbbreviation,FALSE),"")</f>
        <v/>
      </c>
      <c r="CE139" s="21" t="str">
        <f t="shared" ca="1" si="17"/>
        <v>__</v>
      </c>
      <c r="CF139" s="21" t="str">
        <f ca="1">IFERROR(VLOOKUP(AX139,OFFSET(abbreviation[],0,ColumnLanguage),ColumnAbbreviation,FALSE),"")</f>
        <v/>
      </c>
      <c r="CG139" s="21" t="str">
        <f ca="1">IFERROR(VLOOKUP(AZ139,OFFSET(abbreviation[],0,ColumnLanguage),ColumnAbbreviation,FALSE),"")</f>
        <v/>
      </c>
      <c r="CH139" s="21" t="str">
        <f ca="1">IFERROR(VLOOKUP(BB139,OFFSET(abbreviation[],0,ColumnLanguage),ColumnAbbreviation,FALSE),"")</f>
        <v/>
      </c>
      <c r="CI139" s="21" t="str">
        <f ca="1">IFERROR(VLOOKUP(BD139,OFFSET(abbreviation[],0,ColumnLanguage),ColumnAbbreviation,FALSE),"")</f>
        <v/>
      </c>
      <c r="CJ139" s="21" t="str">
        <f ca="1">IFERROR(VLOOKUP(BF139,OFFSET(abbreviation[],0,ColumnLanguage),ColumnAbbreviation,FALSE),"")</f>
        <v/>
      </c>
      <c r="CK139" s="21" t="str">
        <f t="shared" ca="1" si="18"/>
        <v/>
      </c>
      <c r="CL139" s="21" t="str">
        <f t="shared" si="19"/>
        <v/>
      </c>
      <c r="CM139" s="52"/>
      <c r="CN139" s="57" t="str">
        <f t="shared" si="20"/>
        <v/>
      </c>
    </row>
    <row r="140" spans="14:92" x14ac:dyDescent="0.25">
      <c r="N140" s="58"/>
      <c r="P140" s="60"/>
      <c r="Q140" s="13"/>
      <c r="V140" s="60"/>
      <c r="X140" s="61"/>
      <c r="AB140" s="60"/>
      <c r="AN140" s="54"/>
      <c r="AS140" s="15"/>
      <c r="BH140" s="52"/>
      <c r="BI140" s="21" t="str">
        <f ca="1">IFERROR(VLOOKUP(C140,OFFSET(abbreviation[],0,ColumnLanguage),ColumnAbbreviation,FALSE),"")</f>
        <v/>
      </c>
      <c r="BJ140" s="21" t="str">
        <f ca="1">IFERROR(VLOOKUP(E140,OFFSET(abbreviation[],0,ColumnLanguage),ColumnAbbreviation,FALSE),"")</f>
        <v/>
      </c>
      <c r="BK140" s="21" t="str">
        <f ca="1">IFERROR(VLOOKUP(G140,OFFSET(abbreviation[],0,ColumnLanguage),ColumnAbbreviation,FALSE),"")</f>
        <v/>
      </c>
      <c r="BL140" s="21" t="str">
        <f ca="1">IFERROR(VLOOKUP(I140,OFFSET(abbreviation[],0,ColumnLanguage),ColumnAbbreviation,FALSE),"")</f>
        <v/>
      </c>
      <c r="BM140" s="21" t="str">
        <f ca="1">IFERROR(VLOOKUP(K140,OFFSET(abbreviation[],0,ColumnLanguage),ColumnAbbreviation,FALSE),"")</f>
        <v/>
      </c>
      <c r="BN140" s="21" t="str">
        <f t="shared" ca="1" si="14"/>
        <v/>
      </c>
      <c r="BO140" s="21" t="str">
        <f ca="1">IFERROR(VLOOKUP(N140,OFFSET(abbreviation[],0,ColumnLanguage),ColumnAbbreviation,FALSE),"")</f>
        <v/>
      </c>
      <c r="BP140" s="21" t="str">
        <f ca="1">IFERROR(VLOOKUP(P140,OFFSET(abbreviation[],0,ColumnLanguage),ColumnAbbreviation,FALSE),"")</f>
        <v/>
      </c>
      <c r="BQ140" s="21" t="str">
        <f ca="1">IFERROR(VLOOKUP(T140,OFFSET(abbreviation[],0,ColumnLanguage),ColumnAbbreviation,FALSE),"")</f>
        <v/>
      </c>
      <c r="BR140" s="21" t="str">
        <f ca="1">IFERROR(VLOOKUP(V140,OFFSET(abbreviation[],0,ColumnLanguage),ColumnAbbreviation,FALSE),"")</f>
        <v/>
      </c>
      <c r="BS140" s="21" t="str">
        <f ca="1">IFERROR(VLOOKUP(Z140,OFFSET(abbreviation[],0,ColumnLanguage),ColumnAbbreviation,FALSE),"")</f>
        <v/>
      </c>
      <c r="BT140" s="21" t="str">
        <f ca="1">IFERROR(VLOOKUP(AB140,OFFSET(abbreviation[],0,ColumnLanguage),ColumnAbbreviation,FALSE),"")</f>
        <v/>
      </c>
      <c r="BU140" s="21" t="str">
        <f t="shared" ca="1" si="15"/>
        <v>__</v>
      </c>
      <c r="BV140" s="21" t="str">
        <f ca="1">IFERROR(VLOOKUP(AF140,OFFSET(abbreviation[],0,ColumnLanguage),ColumnAbbreviation,FALSE),"")</f>
        <v/>
      </c>
      <c r="BW140" s="21" t="str">
        <f ca="1">IFERROR(VLOOKUP(AH140,OFFSET(abbreviation[],0,ColumnLanguage),ColumnAbbreviation,FALSE),"")</f>
        <v/>
      </c>
      <c r="BX140" s="21" t="str">
        <f ca="1">IFERROR(VLOOKUP(AJ140,OFFSET(abbreviation[],0,ColumnLanguage),ColumnAbbreviation,FALSE),"")</f>
        <v/>
      </c>
      <c r="BY140" s="21" t="str">
        <f ca="1">IFERROR(VLOOKUP(AL140,OFFSET(abbreviation[],0,ColumnLanguage),ColumnAbbreviation,FALSE),"")</f>
        <v/>
      </c>
      <c r="BZ140" s="21" t="str">
        <f t="shared" ca="1" si="16"/>
        <v>_</v>
      </c>
      <c r="CA140" s="21" t="str">
        <f ca="1">IFERROR(VLOOKUP(AP140,OFFSET(abbreviation[],0,ColumnLanguage),ColumnAbbreviation,FALSE),"")</f>
        <v/>
      </c>
      <c r="CB140" s="21" t="str">
        <f ca="1">IFERROR(VLOOKUP(AR140,OFFSET(abbreviation[],0,ColumnLanguage),ColumnAbbreviation,FALSE),"")</f>
        <v/>
      </c>
      <c r="CC140" s="21" t="str">
        <f ca="1">IFERROR(VLOOKUP(AT140,OFFSET(abbreviation[],0,ColumnLanguage),ColumnAbbreviation,FALSE),"")</f>
        <v/>
      </c>
      <c r="CD140" s="21" t="str">
        <f ca="1">IFERROR(VLOOKUP(AV140,OFFSET(abbreviation[],0,ColumnLanguage),ColumnAbbreviation,FALSE),"")</f>
        <v/>
      </c>
      <c r="CE140" s="21" t="str">
        <f t="shared" ca="1" si="17"/>
        <v>__</v>
      </c>
      <c r="CF140" s="21" t="str">
        <f ca="1">IFERROR(VLOOKUP(AX140,OFFSET(abbreviation[],0,ColumnLanguage),ColumnAbbreviation,FALSE),"")</f>
        <v/>
      </c>
      <c r="CG140" s="21" t="str">
        <f ca="1">IFERROR(VLOOKUP(AZ140,OFFSET(abbreviation[],0,ColumnLanguage),ColumnAbbreviation,FALSE),"")</f>
        <v/>
      </c>
      <c r="CH140" s="21" t="str">
        <f ca="1">IFERROR(VLOOKUP(BB140,OFFSET(abbreviation[],0,ColumnLanguage),ColumnAbbreviation,FALSE),"")</f>
        <v/>
      </c>
      <c r="CI140" s="21" t="str">
        <f ca="1">IFERROR(VLOOKUP(BD140,OFFSET(abbreviation[],0,ColumnLanguage),ColumnAbbreviation,FALSE),"")</f>
        <v/>
      </c>
      <c r="CJ140" s="21" t="str">
        <f ca="1">IFERROR(VLOOKUP(BF140,OFFSET(abbreviation[],0,ColumnLanguage),ColumnAbbreviation,FALSE),"")</f>
        <v/>
      </c>
      <c r="CK140" s="21" t="str">
        <f t="shared" ca="1" si="18"/>
        <v/>
      </c>
      <c r="CL140" s="21" t="str">
        <f t="shared" si="19"/>
        <v/>
      </c>
      <c r="CM140" s="52"/>
      <c r="CN140" s="57" t="str">
        <f t="shared" si="20"/>
        <v/>
      </c>
    </row>
    <row r="141" spans="14:92" x14ac:dyDescent="0.25">
      <c r="N141" s="58"/>
      <c r="P141" s="60"/>
      <c r="Q141" s="13"/>
      <c r="V141" s="60"/>
      <c r="X141" s="61"/>
      <c r="AB141" s="60"/>
      <c r="AN141" s="54"/>
      <c r="AS141" s="15"/>
      <c r="BH141" s="52"/>
      <c r="BI141" s="21" t="str">
        <f ca="1">IFERROR(VLOOKUP(C141,OFFSET(abbreviation[],0,ColumnLanguage),ColumnAbbreviation,FALSE),"")</f>
        <v/>
      </c>
      <c r="BJ141" s="21" t="str">
        <f ca="1">IFERROR(VLOOKUP(E141,OFFSET(abbreviation[],0,ColumnLanguage),ColumnAbbreviation,FALSE),"")</f>
        <v/>
      </c>
      <c r="BK141" s="21" t="str">
        <f ca="1">IFERROR(VLOOKUP(G141,OFFSET(abbreviation[],0,ColumnLanguage),ColumnAbbreviation,FALSE),"")</f>
        <v/>
      </c>
      <c r="BL141" s="21" t="str">
        <f ca="1">IFERROR(VLOOKUP(I141,OFFSET(abbreviation[],0,ColumnLanguage),ColumnAbbreviation,FALSE),"")</f>
        <v/>
      </c>
      <c r="BM141" s="21" t="str">
        <f ca="1">IFERROR(VLOOKUP(K141,OFFSET(abbreviation[],0,ColumnLanguage),ColumnAbbreviation,FALSE),"")</f>
        <v/>
      </c>
      <c r="BN141" s="21" t="str">
        <f t="shared" ca="1" si="14"/>
        <v/>
      </c>
      <c r="BO141" s="21" t="str">
        <f ca="1">IFERROR(VLOOKUP(N141,OFFSET(abbreviation[],0,ColumnLanguage),ColumnAbbreviation,FALSE),"")</f>
        <v/>
      </c>
      <c r="BP141" s="21" t="str">
        <f ca="1">IFERROR(VLOOKUP(P141,OFFSET(abbreviation[],0,ColumnLanguage),ColumnAbbreviation,FALSE),"")</f>
        <v/>
      </c>
      <c r="BQ141" s="21" t="str">
        <f ca="1">IFERROR(VLOOKUP(T141,OFFSET(abbreviation[],0,ColumnLanguage),ColumnAbbreviation,FALSE),"")</f>
        <v/>
      </c>
      <c r="BR141" s="21" t="str">
        <f ca="1">IFERROR(VLOOKUP(V141,OFFSET(abbreviation[],0,ColumnLanguage),ColumnAbbreviation,FALSE),"")</f>
        <v/>
      </c>
      <c r="BS141" s="21" t="str">
        <f ca="1">IFERROR(VLOOKUP(Z141,OFFSET(abbreviation[],0,ColumnLanguage),ColumnAbbreviation,FALSE),"")</f>
        <v/>
      </c>
      <c r="BT141" s="21" t="str">
        <f ca="1">IFERROR(VLOOKUP(AB141,OFFSET(abbreviation[],0,ColumnLanguage),ColumnAbbreviation,FALSE),"")</f>
        <v/>
      </c>
      <c r="BU141" s="21" t="str">
        <f t="shared" ca="1" si="15"/>
        <v>__</v>
      </c>
      <c r="BV141" s="21" t="str">
        <f ca="1">IFERROR(VLOOKUP(AF141,OFFSET(abbreviation[],0,ColumnLanguage),ColumnAbbreviation,FALSE),"")</f>
        <v/>
      </c>
      <c r="BW141" s="21" t="str">
        <f ca="1">IFERROR(VLOOKUP(AH141,OFFSET(abbreviation[],0,ColumnLanguage),ColumnAbbreviation,FALSE),"")</f>
        <v/>
      </c>
      <c r="BX141" s="21" t="str">
        <f ca="1">IFERROR(VLOOKUP(AJ141,OFFSET(abbreviation[],0,ColumnLanguage),ColumnAbbreviation,FALSE),"")</f>
        <v/>
      </c>
      <c r="BY141" s="21" t="str">
        <f ca="1">IFERROR(VLOOKUP(AL141,OFFSET(abbreviation[],0,ColumnLanguage),ColumnAbbreviation,FALSE),"")</f>
        <v/>
      </c>
      <c r="BZ141" s="21" t="str">
        <f t="shared" ca="1" si="16"/>
        <v>_</v>
      </c>
      <c r="CA141" s="21" t="str">
        <f ca="1">IFERROR(VLOOKUP(AP141,OFFSET(abbreviation[],0,ColumnLanguage),ColumnAbbreviation,FALSE),"")</f>
        <v/>
      </c>
      <c r="CB141" s="21" t="str">
        <f ca="1">IFERROR(VLOOKUP(AR141,OFFSET(abbreviation[],0,ColumnLanguage),ColumnAbbreviation,FALSE),"")</f>
        <v/>
      </c>
      <c r="CC141" s="21" t="str">
        <f ca="1">IFERROR(VLOOKUP(AT141,OFFSET(abbreviation[],0,ColumnLanguage),ColumnAbbreviation,FALSE),"")</f>
        <v/>
      </c>
      <c r="CD141" s="21" t="str">
        <f ca="1">IFERROR(VLOOKUP(AV141,OFFSET(abbreviation[],0,ColumnLanguage),ColumnAbbreviation,FALSE),"")</f>
        <v/>
      </c>
      <c r="CE141" s="21" t="str">
        <f t="shared" ca="1" si="17"/>
        <v>__</v>
      </c>
      <c r="CF141" s="21" t="str">
        <f ca="1">IFERROR(VLOOKUP(AX141,OFFSET(abbreviation[],0,ColumnLanguage),ColumnAbbreviation,FALSE),"")</f>
        <v/>
      </c>
      <c r="CG141" s="21" t="str">
        <f ca="1">IFERROR(VLOOKUP(AZ141,OFFSET(abbreviation[],0,ColumnLanguage),ColumnAbbreviation,FALSE),"")</f>
        <v/>
      </c>
      <c r="CH141" s="21" t="str">
        <f ca="1">IFERROR(VLOOKUP(BB141,OFFSET(abbreviation[],0,ColumnLanguage),ColumnAbbreviation,FALSE),"")</f>
        <v/>
      </c>
      <c r="CI141" s="21" t="str">
        <f ca="1">IFERROR(VLOOKUP(BD141,OFFSET(abbreviation[],0,ColumnLanguage),ColumnAbbreviation,FALSE),"")</f>
        <v/>
      </c>
      <c r="CJ141" s="21" t="str">
        <f ca="1">IFERROR(VLOOKUP(BF141,OFFSET(abbreviation[],0,ColumnLanguage),ColumnAbbreviation,FALSE),"")</f>
        <v/>
      </c>
      <c r="CK141" s="21" t="str">
        <f t="shared" ca="1" si="18"/>
        <v/>
      </c>
      <c r="CL141" s="21" t="str">
        <f t="shared" si="19"/>
        <v/>
      </c>
      <c r="CM141" s="52"/>
      <c r="CN141" s="57" t="str">
        <f t="shared" si="20"/>
        <v/>
      </c>
    </row>
    <row r="142" spans="14:92" x14ac:dyDescent="0.25">
      <c r="N142" s="58"/>
      <c r="P142" s="60"/>
      <c r="Q142" s="13"/>
      <c r="V142" s="60"/>
      <c r="X142" s="61"/>
      <c r="AB142" s="60"/>
      <c r="AN142" s="54"/>
      <c r="AS142" s="15"/>
      <c r="BH142" s="52"/>
      <c r="BI142" s="21" t="str">
        <f ca="1">IFERROR(VLOOKUP(C142,OFFSET(abbreviation[],0,ColumnLanguage),ColumnAbbreviation,FALSE),"")</f>
        <v/>
      </c>
      <c r="BJ142" s="21" t="str">
        <f ca="1">IFERROR(VLOOKUP(E142,OFFSET(abbreviation[],0,ColumnLanguage),ColumnAbbreviation,FALSE),"")</f>
        <v/>
      </c>
      <c r="BK142" s="21" t="str">
        <f ca="1">IFERROR(VLOOKUP(G142,OFFSET(abbreviation[],0,ColumnLanguage),ColumnAbbreviation,FALSE),"")</f>
        <v/>
      </c>
      <c r="BL142" s="21" t="str">
        <f ca="1">IFERROR(VLOOKUP(I142,OFFSET(abbreviation[],0,ColumnLanguage),ColumnAbbreviation,FALSE),"")</f>
        <v/>
      </c>
      <c r="BM142" s="21" t="str">
        <f ca="1">IFERROR(VLOOKUP(K142,OFFSET(abbreviation[],0,ColumnLanguage),ColumnAbbreviation,FALSE),"")</f>
        <v/>
      </c>
      <c r="BN142" s="21" t="str">
        <f t="shared" ca="1" si="14"/>
        <v/>
      </c>
      <c r="BO142" s="21" t="str">
        <f ca="1">IFERROR(VLOOKUP(N142,OFFSET(abbreviation[],0,ColumnLanguage),ColumnAbbreviation,FALSE),"")</f>
        <v/>
      </c>
      <c r="BP142" s="21" t="str">
        <f ca="1">IFERROR(VLOOKUP(P142,OFFSET(abbreviation[],0,ColumnLanguage),ColumnAbbreviation,FALSE),"")</f>
        <v/>
      </c>
      <c r="BQ142" s="21" t="str">
        <f ca="1">IFERROR(VLOOKUP(T142,OFFSET(abbreviation[],0,ColumnLanguage),ColumnAbbreviation,FALSE),"")</f>
        <v/>
      </c>
      <c r="BR142" s="21" t="str">
        <f ca="1">IFERROR(VLOOKUP(V142,OFFSET(abbreviation[],0,ColumnLanguage),ColumnAbbreviation,FALSE),"")</f>
        <v/>
      </c>
      <c r="BS142" s="21" t="str">
        <f ca="1">IFERROR(VLOOKUP(Z142,OFFSET(abbreviation[],0,ColumnLanguage),ColumnAbbreviation,FALSE),"")</f>
        <v/>
      </c>
      <c r="BT142" s="21" t="str">
        <f ca="1">IFERROR(VLOOKUP(AB142,OFFSET(abbreviation[],0,ColumnLanguage),ColumnAbbreviation,FALSE),"")</f>
        <v/>
      </c>
      <c r="BU142" s="21" t="str">
        <f t="shared" ca="1" si="15"/>
        <v>__</v>
      </c>
      <c r="BV142" s="21" t="str">
        <f ca="1">IFERROR(VLOOKUP(AF142,OFFSET(abbreviation[],0,ColumnLanguage),ColumnAbbreviation,FALSE),"")</f>
        <v/>
      </c>
      <c r="BW142" s="21" t="str">
        <f ca="1">IFERROR(VLOOKUP(AH142,OFFSET(abbreviation[],0,ColumnLanguage),ColumnAbbreviation,FALSE),"")</f>
        <v/>
      </c>
      <c r="BX142" s="21" t="str">
        <f ca="1">IFERROR(VLOOKUP(AJ142,OFFSET(abbreviation[],0,ColumnLanguage),ColumnAbbreviation,FALSE),"")</f>
        <v/>
      </c>
      <c r="BY142" s="21" t="str">
        <f ca="1">IFERROR(VLOOKUP(AL142,OFFSET(abbreviation[],0,ColumnLanguage),ColumnAbbreviation,FALSE),"")</f>
        <v/>
      </c>
      <c r="BZ142" s="21" t="str">
        <f t="shared" ca="1" si="16"/>
        <v>_</v>
      </c>
      <c r="CA142" s="21" t="str">
        <f ca="1">IFERROR(VLOOKUP(AP142,OFFSET(abbreviation[],0,ColumnLanguage),ColumnAbbreviation,FALSE),"")</f>
        <v/>
      </c>
      <c r="CB142" s="21" t="str">
        <f ca="1">IFERROR(VLOOKUP(AR142,OFFSET(abbreviation[],0,ColumnLanguage),ColumnAbbreviation,FALSE),"")</f>
        <v/>
      </c>
      <c r="CC142" s="21" t="str">
        <f ca="1">IFERROR(VLOOKUP(AT142,OFFSET(abbreviation[],0,ColumnLanguage),ColumnAbbreviation,FALSE),"")</f>
        <v/>
      </c>
      <c r="CD142" s="21" t="str">
        <f ca="1">IFERROR(VLOOKUP(AV142,OFFSET(abbreviation[],0,ColumnLanguage),ColumnAbbreviation,FALSE),"")</f>
        <v/>
      </c>
      <c r="CE142" s="21" t="str">
        <f t="shared" ca="1" si="17"/>
        <v>__</v>
      </c>
      <c r="CF142" s="21" t="str">
        <f ca="1">IFERROR(VLOOKUP(AX142,OFFSET(abbreviation[],0,ColumnLanguage),ColumnAbbreviation,FALSE),"")</f>
        <v/>
      </c>
      <c r="CG142" s="21" t="str">
        <f ca="1">IFERROR(VLOOKUP(AZ142,OFFSET(abbreviation[],0,ColumnLanguage),ColumnAbbreviation,FALSE),"")</f>
        <v/>
      </c>
      <c r="CH142" s="21" t="str">
        <f ca="1">IFERROR(VLOOKUP(BB142,OFFSET(abbreviation[],0,ColumnLanguage),ColumnAbbreviation,FALSE),"")</f>
        <v/>
      </c>
      <c r="CI142" s="21" t="str">
        <f ca="1">IFERROR(VLOOKUP(BD142,OFFSET(abbreviation[],0,ColumnLanguage),ColumnAbbreviation,FALSE),"")</f>
        <v/>
      </c>
      <c r="CJ142" s="21" t="str">
        <f ca="1">IFERROR(VLOOKUP(BF142,OFFSET(abbreviation[],0,ColumnLanguage),ColumnAbbreviation,FALSE),"")</f>
        <v/>
      </c>
      <c r="CK142" s="21" t="str">
        <f t="shared" ca="1" si="18"/>
        <v/>
      </c>
      <c r="CL142" s="21" t="str">
        <f t="shared" si="19"/>
        <v/>
      </c>
      <c r="CM142" s="52"/>
      <c r="CN142" s="57" t="str">
        <f t="shared" si="20"/>
        <v/>
      </c>
    </row>
    <row r="143" spans="14:92" x14ac:dyDescent="0.25">
      <c r="N143" s="58"/>
      <c r="P143" s="60"/>
      <c r="Q143" s="13"/>
      <c r="V143" s="60"/>
      <c r="X143" s="61"/>
      <c r="AB143" s="60"/>
      <c r="AN143" s="54"/>
      <c r="AS143" s="15"/>
      <c r="BH143" s="52"/>
      <c r="BI143" s="21" t="str">
        <f ca="1">IFERROR(VLOOKUP(C143,OFFSET(abbreviation[],0,ColumnLanguage),ColumnAbbreviation,FALSE),"")</f>
        <v/>
      </c>
      <c r="BJ143" s="21" t="str">
        <f ca="1">IFERROR(VLOOKUP(E143,OFFSET(abbreviation[],0,ColumnLanguage),ColumnAbbreviation,FALSE),"")</f>
        <v/>
      </c>
      <c r="BK143" s="21" t="str">
        <f ca="1">IFERROR(VLOOKUP(G143,OFFSET(abbreviation[],0,ColumnLanguage),ColumnAbbreviation,FALSE),"")</f>
        <v/>
      </c>
      <c r="BL143" s="21" t="str">
        <f ca="1">IFERROR(VLOOKUP(I143,OFFSET(abbreviation[],0,ColumnLanguage),ColumnAbbreviation,FALSE),"")</f>
        <v/>
      </c>
      <c r="BM143" s="21" t="str">
        <f ca="1">IFERROR(VLOOKUP(K143,OFFSET(abbreviation[],0,ColumnLanguage),ColumnAbbreviation,FALSE),"")</f>
        <v/>
      </c>
      <c r="BN143" s="21" t="str">
        <f t="shared" ca="1" si="14"/>
        <v/>
      </c>
      <c r="BO143" s="21" t="str">
        <f ca="1">IFERROR(VLOOKUP(N143,OFFSET(abbreviation[],0,ColumnLanguage),ColumnAbbreviation,FALSE),"")</f>
        <v/>
      </c>
      <c r="BP143" s="21" t="str">
        <f ca="1">IFERROR(VLOOKUP(P143,OFFSET(abbreviation[],0,ColumnLanguage),ColumnAbbreviation,FALSE),"")</f>
        <v/>
      </c>
      <c r="BQ143" s="21" t="str">
        <f ca="1">IFERROR(VLOOKUP(T143,OFFSET(abbreviation[],0,ColumnLanguage),ColumnAbbreviation,FALSE),"")</f>
        <v/>
      </c>
      <c r="BR143" s="21" t="str">
        <f ca="1">IFERROR(VLOOKUP(V143,OFFSET(abbreviation[],0,ColumnLanguage),ColumnAbbreviation,FALSE),"")</f>
        <v/>
      </c>
      <c r="BS143" s="21" t="str">
        <f ca="1">IFERROR(VLOOKUP(Z143,OFFSET(abbreviation[],0,ColumnLanguage),ColumnAbbreviation,FALSE),"")</f>
        <v/>
      </c>
      <c r="BT143" s="21" t="str">
        <f ca="1">IFERROR(VLOOKUP(AB143,OFFSET(abbreviation[],0,ColumnLanguage),ColumnAbbreviation,FALSE),"")</f>
        <v/>
      </c>
      <c r="BU143" s="21" t="str">
        <f t="shared" ca="1" si="15"/>
        <v>__</v>
      </c>
      <c r="BV143" s="21" t="str">
        <f ca="1">IFERROR(VLOOKUP(AF143,OFFSET(abbreviation[],0,ColumnLanguage),ColumnAbbreviation,FALSE),"")</f>
        <v/>
      </c>
      <c r="BW143" s="21" t="str">
        <f ca="1">IFERROR(VLOOKUP(AH143,OFFSET(abbreviation[],0,ColumnLanguage),ColumnAbbreviation,FALSE),"")</f>
        <v/>
      </c>
      <c r="BX143" s="21" t="str">
        <f ca="1">IFERROR(VLOOKUP(AJ143,OFFSET(abbreviation[],0,ColumnLanguage),ColumnAbbreviation,FALSE),"")</f>
        <v/>
      </c>
      <c r="BY143" s="21" t="str">
        <f ca="1">IFERROR(VLOOKUP(AL143,OFFSET(abbreviation[],0,ColumnLanguage),ColumnAbbreviation,FALSE),"")</f>
        <v/>
      </c>
      <c r="BZ143" s="21" t="str">
        <f t="shared" ca="1" si="16"/>
        <v>_</v>
      </c>
      <c r="CA143" s="21" t="str">
        <f ca="1">IFERROR(VLOOKUP(AP143,OFFSET(abbreviation[],0,ColumnLanguage),ColumnAbbreviation,FALSE),"")</f>
        <v/>
      </c>
      <c r="CB143" s="21" t="str">
        <f ca="1">IFERROR(VLOOKUP(AR143,OFFSET(abbreviation[],0,ColumnLanguage),ColumnAbbreviation,FALSE),"")</f>
        <v/>
      </c>
      <c r="CC143" s="21" t="str">
        <f ca="1">IFERROR(VLOOKUP(AT143,OFFSET(abbreviation[],0,ColumnLanguage),ColumnAbbreviation,FALSE),"")</f>
        <v/>
      </c>
      <c r="CD143" s="21" t="str">
        <f ca="1">IFERROR(VLOOKUP(AV143,OFFSET(abbreviation[],0,ColumnLanguage),ColumnAbbreviation,FALSE),"")</f>
        <v/>
      </c>
      <c r="CE143" s="21" t="str">
        <f t="shared" ca="1" si="17"/>
        <v>__</v>
      </c>
      <c r="CF143" s="21" t="str">
        <f ca="1">IFERROR(VLOOKUP(AX143,OFFSET(abbreviation[],0,ColumnLanguage),ColumnAbbreviation,FALSE),"")</f>
        <v/>
      </c>
      <c r="CG143" s="21" t="str">
        <f ca="1">IFERROR(VLOOKUP(AZ143,OFFSET(abbreviation[],0,ColumnLanguage),ColumnAbbreviation,FALSE),"")</f>
        <v/>
      </c>
      <c r="CH143" s="21" t="str">
        <f ca="1">IFERROR(VLOOKUP(BB143,OFFSET(abbreviation[],0,ColumnLanguage),ColumnAbbreviation,FALSE),"")</f>
        <v/>
      </c>
      <c r="CI143" s="21" t="str">
        <f ca="1">IFERROR(VLOOKUP(BD143,OFFSET(abbreviation[],0,ColumnLanguage),ColumnAbbreviation,FALSE),"")</f>
        <v/>
      </c>
      <c r="CJ143" s="21" t="str">
        <f ca="1">IFERROR(VLOOKUP(BF143,OFFSET(abbreviation[],0,ColumnLanguage),ColumnAbbreviation,FALSE),"")</f>
        <v/>
      </c>
      <c r="CK143" s="21" t="str">
        <f t="shared" ca="1" si="18"/>
        <v/>
      </c>
      <c r="CL143" s="21" t="str">
        <f t="shared" si="19"/>
        <v/>
      </c>
      <c r="CM143" s="52"/>
      <c r="CN143" s="57" t="str">
        <f t="shared" si="20"/>
        <v/>
      </c>
    </row>
    <row r="144" spans="14:92" x14ac:dyDescent="0.25">
      <c r="N144" s="58"/>
      <c r="P144" s="60"/>
      <c r="Q144" s="13"/>
      <c r="V144" s="60"/>
      <c r="X144" s="61"/>
      <c r="AB144" s="60"/>
      <c r="AN144" s="54"/>
      <c r="AS144" s="15"/>
      <c r="BH144" s="52"/>
      <c r="BI144" s="21" t="str">
        <f ca="1">IFERROR(VLOOKUP(C144,OFFSET(abbreviation[],0,ColumnLanguage),ColumnAbbreviation,FALSE),"")</f>
        <v/>
      </c>
      <c r="BJ144" s="21" t="str">
        <f ca="1">IFERROR(VLOOKUP(E144,OFFSET(abbreviation[],0,ColumnLanguage),ColumnAbbreviation,FALSE),"")</f>
        <v/>
      </c>
      <c r="BK144" s="21" t="str">
        <f ca="1">IFERROR(VLOOKUP(G144,OFFSET(abbreviation[],0,ColumnLanguage),ColumnAbbreviation,FALSE),"")</f>
        <v/>
      </c>
      <c r="BL144" s="21" t="str">
        <f ca="1">IFERROR(VLOOKUP(I144,OFFSET(abbreviation[],0,ColumnLanguage),ColumnAbbreviation,FALSE),"")</f>
        <v/>
      </c>
      <c r="BM144" s="21" t="str">
        <f ca="1">IFERROR(VLOOKUP(K144,OFFSET(abbreviation[],0,ColumnLanguage),ColumnAbbreviation,FALSE),"")</f>
        <v/>
      </c>
      <c r="BN144" s="21" t="str">
        <f t="shared" ca="1" si="14"/>
        <v/>
      </c>
      <c r="BO144" s="21" t="str">
        <f ca="1">IFERROR(VLOOKUP(N144,OFFSET(abbreviation[],0,ColumnLanguage),ColumnAbbreviation,FALSE),"")</f>
        <v/>
      </c>
      <c r="BP144" s="21" t="str">
        <f ca="1">IFERROR(VLOOKUP(P144,OFFSET(abbreviation[],0,ColumnLanguage),ColumnAbbreviation,FALSE),"")</f>
        <v/>
      </c>
      <c r="BQ144" s="21" t="str">
        <f ca="1">IFERROR(VLOOKUP(T144,OFFSET(abbreviation[],0,ColumnLanguage),ColumnAbbreviation,FALSE),"")</f>
        <v/>
      </c>
      <c r="BR144" s="21" t="str">
        <f ca="1">IFERROR(VLOOKUP(V144,OFFSET(abbreviation[],0,ColumnLanguage),ColumnAbbreviation,FALSE),"")</f>
        <v/>
      </c>
      <c r="BS144" s="21" t="str">
        <f ca="1">IFERROR(VLOOKUP(Z144,OFFSET(abbreviation[],0,ColumnLanguage),ColumnAbbreviation,FALSE),"")</f>
        <v/>
      </c>
      <c r="BT144" s="21" t="str">
        <f ca="1">IFERROR(VLOOKUP(AB144,OFFSET(abbreviation[],0,ColumnLanguage),ColumnAbbreviation,FALSE),"")</f>
        <v/>
      </c>
      <c r="BU144" s="21" t="str">
        <f t="shared" ca="1" si="15"/>
        <v>__</v>
      </c>
      <c r="BV144" s="21" t="str">
        <f ca="1">IFERROR(VLOOKUP(AF144,OFFSET(abbreviation[],0,ColumnLanguage),ColumnAbbreviation,FALSE),"")</f>
        <v/>
      </c>
      <c r="BW144" s="21" t="str">
        <f ca="1">IFERROR(VLOOKUP(AH144,OFFSET(abbreviation[],0,ColumnLanguage),ColumnAbbreviation,FALSE),"")</f>
        <v/>
      </c>
      <c r="BX144" s="21" t="str">
        <f ca="1">IFERROR(VLOOKUP(AJ144,OFFSET(abbreviation[],0,ColumnLanguage),ColumnAbbreviation,FALSE),"")</f>
        <v/>
      </c>
      <c r="BY144" s="21" t="str">
        <f ca="1">IFERROR(VLOOKUP(AL144,OFFSET(abbreviation[],0,ColumnLanguage),ColumnAbbreviation,FALSE),"")</f>
        <v/>
      </c>
      <c r="BZ144" s="21" t="str">
        <f t="shared" ca="1" si="16"/>
        <v>_</v>
      </c>
      <c r="CA144" s="21" t="str">
        <f ca="1">IFERROR(VLOOKUP(AP144,OFFSET(abbreviation[],0,ColumnLanguage),ColumnAbbreviation,FALSE),"")</f>
        <v/>
      </c>
      <c r="CB144" s="21" t="str">
        <f ca="1">IFERROR(VLOOKUP(AR144,OFFSET(abbreviation[],0,ColumnLanguage),ColumnAbbreviation,FALSE),"")</f>
        <v/>
      </c>
      <c r="CC144" s="21" t="str">
        <f ca="1">IFERROR(VLOOKUP(AT144,OFFSET(abbreviation[],0,ColumnLanguage),ColumnAbbreviation,FALSE),"")</f>
        <v/>
      </c>
      <c r="CD144" s="21" t="str">
        <f ca="1">IFERROR(VLOOKUP(AV144,OFFSET(abbreviation[],0,ColumnLanguage),ColumnAbbreviation,FALSE),"")</f>
        <v/>
      </c>
      <c r="CE144" s="21" t="str">
        <f t="shared" ca="1" si="17"/>
        <v>__</v>
      </c>
      <c r="CF144" s="21" t="str">
        <f ca="1">IFERROR(VLOOKUP(AX144,OFFSET(abbreviation[],0,ColumnLanguage),ColumnAbbreviation,FALSE),"")</f>
        <v/>
      </c>
      <c r="CG144" s="21" t="str">
        <f ca="1">IFERROR(VLOOKUP(AZ144,OFFSET(abbreviation[],0,ColumnLanguage),ColumnAbbreviation,FALSE),"")</f>
        <v/>
      </c>
      <c r="CH144" s="21" t="str">
        <f ca="1">IFERROR(VLOOKUP(BB144,OFFSET(abbreviation[],0,ColumnLanguage),ColumnAbbreviation,FALSE),"")</f>
        <v/>
      </c>
      <c r="CI144" s="21" t="str">
        <f ca="1">IFERROR(VLOOKUP(BD144,OFFSET(abbreviation[],0,ColumnLanguage),ColumnAbbreviation,FALSE),"")</f>
        <v/>
      </c>
      <c r="CJ144" s="21" t="str">
        <f ca="1">IFERROR(VLOOKUP(BF144,OFFSET(abbreviation[],0,ColumnLanguage),ColumnAbbreviation,FALSE),"")</f>
        <v/>
      </c>
      <c r="CK144" s="21" t="str">
        <f t="shared" ca="1" si="18"/>
        <v/>
      </c>
      <c r="CL144" s="21" t="str">
        <f t="shared" si="19"/>
        <v/>
      </c>
      <c r="CM144" s="52"/>
      <c r="CN144" s="57" t="str">
        <f t="shared" si="20"/>
        <v/>
      </c>
    </row>
    <row r="145" spans="14:92" x14ac:dyDescent="0.25">
      <c r="N145" s="58"/>
      <c r="P145" s="60"/>
      <c r="Q145" s="13"/>
      <c r="V145" s="60"/>
      <c r="X145" s="61"/>
      <c r="AB145" s="60"/>
      <c r="AN145" s="54"/>
      <c r="AS145" s="15"/>
      <c r="BH145" s="52"/>
      <c r="BI145" s="21" t="str">
        <f ca="1">IFERROR(VLOOKUP(C145,OFFSET(abbreviation[],0,ColumnLanguage),ColumnAbbreviation,FALSE),"")</f>
        <v/>
      </c>
      <c r="BJ145" s="21" t="str">
        <f ca="1">IFERROR(VLOOKUP(E145,OFFSET(abbreviation[],0,ColumnLanguage),ColumnAbbreviation,FALSE),"")</f>
        <v/>
      </c>
      <c r="BK145" s="21" t="str">
        <f ca="1">IFERROR(VLOOKUP(G145,OFFSET(abbreviation[],0,ColumnLanguage),ColumnAbbreviation,FALSE),"")</f>
        <v/>
      </c>
      <c r="BL145" s="21" t="str">
        <f ca="1">IFERROR(VLOOKUP(I145,OFFSET(abbreviation[],0,ColumnLanguage),ColumnAbbreviation,FALSE),"")</f>
        <v/>
      </c>
      <c r="BM145" s="21" t="str">
        <f ca="1">IFERROR(VLOOKUP(K145,OFFSET(abbreviation[],0,ColumnLanguage),ColumnAbbreviation,FALSE),"")</f>
        <v/>
      </c>
      <c r="BN145" s="21" t="str">
        <f t="shared" ca="1" si="14"/>
        <v/>
      </c>
      <c r="BO145" s="21" t="str">
        <f ca="1">IFERROR(VLOOKUP(N145,OFFSET(abbreviation[],0,ColumnLanguage),ColumnAbbreviation,FALSE),"")</f>
        <v/>
      </c>
      <c r="BP145" s="21" t="str">
        <f ca="1">IFERROR(VLOOKUP(P145,OFFSET(abbreviation[],0,ColumnLanguage),ColumnAbbreviation,FALSE),"")</f>
        <v/>
      </c>
      <c r="BQ145" s="21" t="str">
        <f ca="1">IFERROR(VLOOKUP(T145,OFFSET(abbreviation[],0,ColumnLanguage),ColumnAbbreviation,FALSE),"")</f>
        <v/>
      </c>
      <c r="BR145" s="21" t="str">
        <f ca="1">IFERROR(VLOOKUP(V145,OFFSET(abbreviation[],0,ColumnLanguage),ColumnAbbreviation,FALSE),"")</f>
        <v/>
      </c>
      <c r="BS145" s="21" t="str">
        <f ca="1">IFERROR(VLOOKUP(Z145,OFFSET(abbreviation[],0,ColumnLanguage),ColumnAbbreviation,FALSE),"")</f>
        <v/>
      </c>
      <c r="BT145" s="21" t="str">
        <f ca="1">IFERROR(VLOOKUP(AB145,OFFSET(abbreviation[],0,ColumnLanguage),ColumnAbbreviation,FALSE),"")</f>
        <v/>
      </c>
      <c r="BU145" s="21" t="str">
        <f t="shared" ca="1" si="15"/>
        <v>__</v>
      </c>
      <c r="BV145" s="21" t="str">
        <f ca="1">IFERROR(VLOOKUP(AF145,OFFSET(abbreviation[],0,ColumnLanguage),ColumnAbbreviation,FALSE),"")</f>
        <v/>
      </c>
      <c r="BW145" s="21" t="str">
        <f ca="1">IFERROR(VLOOKUP(AH145,OFFSET(abbreviation[],0,ColumnLanguage),ColumnAbbreviation,FALSE),"")</f>
        <v/>
      </c>
      <c r="BX145" s="21" t="str">
        <f ca="1">IFERROR(VLOOKUP(AJ145,OFFSET(abbreviation[],0,ColumnLanguage),ColumnAbbreviation,FALSE),"")</f>
        <v/>
      </c>
      <c r="BY145" s="21" t="str">
        <f ca="1">IFERROR(VLOOKUP(AL145,OFFSET(abbreviation[],0,ColumnLanguage),ColumnAbbreviation,FALSE),"")</f>
        <v/>
      </c>
      <c r="BZ145" s="21" t="str">
        <f t="shared" ca="1" si="16"/>
        <v>_</v>
      </c>
      <c r="CA145" s="21" t="str">
        <f ca="1">IFERROR(VLOOKUP(AP145,OFFSET(abbreviation[],0,ColumnLanguage),ColumnAbbreviation,FALSE),"")</f>
        <v/>
      </c>
      <c r="CB145" s="21" t="str">
        <f ca="1">IFERROR(VLOOKUP(AR145,OFFSET(abbreviation[],0,ColumnLanguage),ColumnAbbreviation,FALSE),"")</f>
        <v/>
      </c>
      <c r="CC145" s="21" t="str">
        <f ca="1">IFERROR(VLOOKUP(AT145,OFFSET(abbreviation[],0,ColumnLanguage),ColumnAbbreviation,FALSE),"")</f>
        <v/>
      </c>
      <c r="CD145" s="21" t="str">
        <f ca="1">IFERROR(VLOOKUP(AV145,OFFSET(abbreviation[],0,ColumnLanguage),ColumnAbbreviation,FALSE),"")</f>
        <v/>
      </c>
      <c r="CE145" s="21" t="str">
        <f t="shared" ca="1" si="17"/>
        <v>__</v>
      </c>
      <c r="CF145" s="21" t="str">
        <f ca="1">IFERROR(VLOOKUP(AX145,OFFSET(abbreviation[],0,ColumnLanguage),ColumnAbbreviation,FALSE),"")</f>
        <v/>
      </c>
      <c r="CG145" s="21" t="str">
        <f ca="1">IFERROR(VLOOKUP(AZ145,OFFSET(abbreviation[],0,ColumnLanguage),ColumnAbbreviation,FALSE),"")</f>
        <v/>
      </c>
      <c r="CH145" s="21" t="str">
        <f ca="1">IFERROR(VLOOKUP(BB145,OFFSET(abbreviation[],0,ColumnLanguage),ColumnAbbreviation,FALSE),"")</f>
        <v/>
      </c>
      <c r="CI145" s="21" t="str">
        <f ca="1">IFERROR(VLOOKUP(BD145,OFFSET(abbreviation[],0,ColumnLanguage),ColumnAbbreviation,FALSE),"")</f>
        <v/>
      </c>
      <c r="CJ145" s="21" t="str">
        <f ca="1">IFERROR(VLOOKUP(BF145,OFFSET(abbreviation[],0,ColumnLanguage),ColumnAbbreviation,FALSE),"")</f>
        <v/>
      </c>
      <c r="CK145" s="21" t="str">
        <f t="shared" ca="1" si="18"/>
        <v/>
      </c>
      <c r="CL145" s="21" t="str">
        <f t="shared" si="19"/>
        <v/>
      </c>
      <c r="CM145" s="52"/>
      <c r="CN145" s="57" t="str">
        <f t="shared" si="20"/>
        <v/>
      </c>
    </row>
    <row r="146" spans="14:92" x14ac:dyDescent="0.25">
      <c r="N146" s="58"/>
      <c r="P146" s="60"/>
      <c r="Q146" s="13"/>
      <c r="V146" s="60"/>
      <c r="X146" s="61"/>
      <c r="AB146" s="60"/>
      <c r="AN146" s="54"/>
      <c r="AS146" s="15"/>
      <c r="BH146" s="52"/>
      <c r="BI146" s="21" t="str">
        <f ca="1">IFERROR(VLOOKUP(C146,OFFSET(abbreviation[],0,ColumnLanguage),ColumnAbbreviation,FALSE),"")</f>
        <v/>
      </c>
      <c r="BJ146" s="21" t="str">
        <f ca="1">IFERROR(VLOOKUP(E146,OFFSET(abbreviation[],0,ColumnLanguage),ColumnAbbreviation,FALSE),"")</f>
        <v/>
      </c>
      <c r="BK146" s="21" t="str">
        <f ca="1">IFERROR(VLOOKUP(G146,OFFSET(abbreviation[],0,ColumnLanguage),ColumnAbbreviation,FALSE),"")</f>
        <v/>
      </c>
      <c r="BL146" s="21" t="str">
        <f ca="1">IFERROR(VLOOKUP(I146,OFFSET(abbreviation[],0,ColumnLanguage),ColumnAbbreviation,FALSE),"")</f>
        <v/>
      </c>
      <c r="BM146" s="21" t="str">
        <f ca="1">IFERROR(VLOOKUP(K146,OFFSET(abbreviation[],0,ColumnLanguage),ColumnAbbreviation,FALSE),"")</f>
        <v/>
      </c>
      <c r="BN146" s="21" t="str">
        <f t="shared" ca="1" si="14"/>
        <v/>
      </c>
      <c r="BO146" s="21" t="str">
        <f ca="1">IFERROR(VLOOKUP(N146,OFFSET(abbreviation[],0,ColumnLanguage),ColumnAbbreviation,FALSE),"")</f>
        <v/>
      </c>
      <c r="BP146" s="21" t="str">
        <f ca="1">IFERROR(VLOOKUP(P146,OFFSET(abbreviation[],0,ColumnLanguage),ColumnAbbreviation,FALSE),"")</f>
        <v/>
      </c>
      <c r="BQ146" s="21" t="str">
        <f ca="1">IFERROR(VLOOKUP(T146,OFFSET(abbreviation[],0,ColumnLanguage),ColumnAbbreviation,FALSE),"")</f>
        <v/>
      </c>
      <c r="BR146" s="21" t="str">
        <f ca="1">IFERROR(VLOOKUP(V146,OFFSET(abbreviation[],0,ColumnLanguage),ColumnAbbreviation,FALSE),"")</f>
        <v/>
      </c>
      <c r="BS146" s="21" t="str">
        <f ca="1">IFERROR(VLOOKUP(Z146,OFFSET(abbreviation[],0,ColumnLanguage),ColumnAbbreviation,FALSE),"")</f>
        <v/>
      </c>
      <c r="BT146" s="21" t="str">
        <f ca="1">IFERROR(VLOOKUP(AB146,OFFSET(abbreviation[],0,ColumnLanguage),ColumnAbbreviation,FALSE),"")</f>
        <v/>
      </c>
      <c r="BU146" s="21" t="str">
        <f t="shared" ca="1" si="15"/>
        <v>__</v>
      </c>
      <c r="BV146" s="21" t="str">
        <f ca="1">IFERROR(VLOOKUP(AF146,OFFSET(abbreviation[],0,ColumnLanguage),ColumnAbbreviation,FALSE),"")</f>
        <v/>
      </c>
      <c r="BW146" s="21" t="str">
        <f ca="1">IFERROR(VLOOKUP(AH146,OFFSET(abbreviation[],0,ColumnLanguage),ColumnAbbreviation,FALSE),"")</f>
        <v/>
      </c>
      <c r="BX146" s="21" t="str">
        <f ca="1">IFERROR(VLOOKUP(AJ146,OFFSET(abbreviation[],0,ColumnLanguage),ColumnAbbreviation,FALSE),"")</f>
        <v/>
      </c>
      <c r="BY146" s="21" t="str">
        <f ca="1">IFERROR(VLOOKUP(AL146,OFFSET(abbreviation[],0,ColumnLanguage),ColumnAbbreviation,FALSE),"")</f>
        <v/>
      </c>
      <c r="BZ146" s="21" t="str">
        <f t="shared" ca="1" si="16"/>
        <v>_</v>
      </c>
      <c r="CA146" s="21" t="str">
        <f ca="1">IFERROR(VLOOKUP(AP146,OFFSET(abbreviation[],0,ColumnLanguage),ColumnAbbreviation,FALSE),"")</f>
        <v/>
      </c>
      <c r="CB146" s="21" t="str">
        <f ca="1">IFERROR(VLOOKUP(AR146,OFFSET(abbreviation[],0,ColumnLanguage),ColumnAbbreviation,FALSE),"")</f>
        <v/>
      </c>
      <c r="CC146" s="21" t="str">
        <f ca="1">IFERROR(VLOOKUP(AT146,OFFSET(abbreviation[],0,ColumnLanguage),ColumnAbbreviation,FALSE),"")</f>
        <v/>
      </c>
      <c r="CD146" s="21" t="str">
        <f ca="1">IFERROR(VLOOKUP(AV146,OFFSET(abbreviation[],0,ColumnLanguage),ColumnAbbreviation,FALSE),"")</f>
        <v/>
      </c>
      <c r="CE146" s="21" t="str">
        <f t="shared" ca="1" si="17"/>
        <v>__</v>
      </c>
      <c r="CF146" s="21" t="str">
        <f ca="1">IFERROR(VLOOKUP(AX146,OFFSET(abbreviation[],0,ColumnLanguage),ColumnAbbreviation,FALSE),"")</f>
        <v/>
      </c>
      <c r="CG146" s="21" t="str">
        <f ca="1">IFERROR(VLOOKUP(AZ146,OFFSET(abbreviation[],0,ColumnLanguage),ColumnAbbreviation,FALSE),"")</f>
        <v/>
      </c>
      <c r="CH146" s="21" t="str">
        <f ca="1">IFERROR(VLOOKUP(BB146,OFFSET(abbreviation[],0,ColumnLanguage),ColumnAbbreviation,FALSE),"")</f>
        <v/>
      </c>
      <c r="CI146" s="21" t="str">
        <f ca="1">IFERROR(VLOOKUP(BD146,OFFSET(abbreviation[],0,ColumnLanguage),ColumnAbbreviation,FALSE),"")</f>
        <v/>
      </c>
      <c r="CJ146" s="21" t="str">
        <f ca="1">IFERROR(VLOOKUP(BF146,OFFSET(abbreviation[],0,ColumnLanguage),ColumnAbbreviation,FALSE),"")</f>
        <v/>
      </c>
      <c r="CK146" s="21" t="str">
        <f t="shared" ca="1" si="18"/>
        <v/>
      </c>
      <c r="CL146" s="21" t="str">
        <f t="shared" si="19"/>
        <v/>
      </c>
      <c r="CM146" s="52"/>
      <c r="CN146" s="57" t="str">
        <f t="shared" si="20"/>
        <v/>
      </c>
    </row>
    <row r="147" spans="14:92" x14ac:dyDescent="0.25">
      <c r="N147" s="58"/>
      <c r="P147" s="60"/>
      <c r="Q147" s="13"/>
      <c r="V147" s="60"/>
      <c r="X147" s="61"/>
      <c r="AB147" s="60"/>
      <c r="AN147" s="54"/>
      <c r="AS147" s="15"/>
      <c r="BH147" s="52"/>
      <c r="BI147" s="21" t="str">
        <f ca="1">IFERROR(VLOOKUP(C147,OFFSET(abbreviation[],0,ColumnLanguage),ColumnAbbreviation,FALSE),"")</f>
        <v/>
      </c>
      <c r="BJ147" s="21" t="str">
        <f ca="1">IFERROR(VLOOKUP(E147,OFFSET(abbreviation[],0,ColumnLanguage),ColumnAbbreviation,FALSE),"")</f>
        <v/>
      </c>
      <c r="BK147" s="21" t="str">
        <f ca="1">IFERROR(VLOOKUP(G147,OFFSET(abbreviation[],0,ColumnLanguage),ColumnAbbreviation,FALSE),"")</f>
        <v/>
      </c>
      <c r="BL147" s="21" t="str">
        <f ca="1">IFERROR(VLOOKUP(I147,OFFSET(abbreviation[],0,ColumnLanguage),ColumnAbbreviation,FALSE),"")</f>
        <v/>
      </c>
      <c r="BM147" s="21" t="str">
        <f ca="1">IFERROR(VLOOKUP(K147,OFFSET(abbreviation[],0,ColumnLanguage),ColumnAbbreviation,FALSE),"")</f>
        <v/>
      </c>
      <c r="BN147" s="21" t="str">
        <f t="shared" ca="1" si="14"/>
        <v/>
      </c>
      <c r="BO147" s="21" t="str">
        <f ca="1">IFERROR(VLOOKUP(N147,OFFSET(abbreviation[],0,ColumnLanguage),ColumnAbbreviation,FALSE),"")</f>
        <v/>
      </c>
      <c r="BP147" s="21" t="str">
        <f ca="1">IFERROR(VLOOKUP(P147,OFFSET(abbreviation[],0,ColumnLanguage),ColumnAbbreviation,FALSE),"")</f>
        <v/>
      </c>
      <c r="BQ147" s="21" t="str">
        <f ca="1">IFERROR(VLOOKUP(T147,OFFSET(abbreviation[],0,ColumnLanguage),ColumnAbbreviation,FALSE),"")</f>
        <v/>
      </c>
      <c r="BR147" s="21" t="str">
        <f ca="1">IFERROR(VLOOKUP(V147,OFFSET(abbreviation[],0,ColumnLanguage),ColumnAbbreviation,FALSE),"")</f>
        <v/>
      </c>
      <c r="BS147" s="21" t="str">
        <f ca="1">IFERROR(VLOOKUP(Z147,OFFSET(abbreviation[],0,ColumnLanguage),ColumnAbbreviation,FALSE),"")</f>
        <v/>
      </c>
      <c r="BT147" s="21" t="str">
        <f ca="1">IFERROR(VLOOKUP(AB147,OFFSET(abbreviation[],0,ColumnLanguage),ColumnAbbreviation,FALSE),"")</f>
        <v/>
      </c>
      <c r="BU147" s="21" t="str">
        <f t="shared" ca="1" si="15"/>
        <v>__</v>
      </c>
      <c r="BV147" s="21" t="str">
        <f ca="1">IFERROR(VLOOKUP(AF147,OFFSET(abbreviation[],0,ColumnLanguage),ColumnAbbreviation,FALSE),"")</f>
        <v/>
      </c>
      <c r="BW147" s="21" t="str">
        <f ca="1">IFERROR(VLOOKUP(AH147,OFFSET(abbreviation[],0,ColumnLanguage),ColumnAbbreviation,FALSE),"")</f>
        <v/>
      </c>
      <c r="BX147" s="21" t="str">
        <f ca="1">IFERROR(VLOOKUP(AJ147,OFFSET(abbreviation[],0,ColumnLanguage),ColumnAbbreviation,FALSE),"")</f>
        <v/>
      </c>
      <c r="BY147" s="21" t="str">
        <f ca="1">IFERROR(VLOOKUP(AL147,OFFSET(abbreviation[],0,ColumnLanguage),ColumnAbbreviation,FALSE),"")</f>
        <v/>
      </c>
      <c r="BZ147" s="21" t="str">
        <f t="shared" ca="1" si="16"/>
        <v>_</v>
      </c>
      <c r="CA147" s="21" t="str">
        <f ca="1">IFERROR(VLOOKUP(AP147,OFFSET(abbreviation[],0,ColumnLanguage),ColumnAbbreviation,FALSE),"")</f>
        <v/>
      </c>
      <c r="CB147" s="21" t="str">
        <f ca="1">IFERROR(VLOOKUP(AR147,OFFSET(abbreviation[],0,ColumnLanguage),ColumnAbbreviation,FALSE),"")</f>
        <v/>
      </c>
      <c r="CC147" s="21" t="str">
        <f ca="1">IFERROR(VLOOKUP(AT147,OFFSET(abbreviation[],0,ColumnLanguage),ColumnAbbreviation,FALSE),"")</f>
        <v/>
      </c>
      <c r="CD147" s="21" t="str">
        <f ca="1">IFERROR(VLOOKUP(AV147,OFFSET(abbreviation[],0,ColumnLanguage),ColumnAbbreviation,FALSE),"")</f>
        <v/>
      </c>
      <c r="CE147" s="21" t="str">
        <f t="shared" ca="1" si="17"/>
        <v>__</v>
      </c>
      <c r="CF147" s="21" t="str">
        <f ca="1">IFERROR(VLOOKUP(AX147,OFFSET(abbreviation[],0,ColumnLanguage),ColumnAbbreviation,FALSE),"")</f>
        <v/>
      </c>
      <c r="CG147" s="21" t="str">
        <f ca="1">IFERROR(VLOOKUP(AZ147,OFFSET(abbreviation[],0,ColumnLanguage),ColumnAbbreviation,FALSE),"")</f>
        <v/>
      </c>
      <c r="CH147" s="21" t="str">
        <f ca="1">IFERROR(VLOOKUP(BB147,OFFSET(abbreviation[],0,ColumnLanguage),ColumnAbbreviation,FALSE),"")</f>
        <v/>
      </c>
      <c r="CI147" s="21" t="str">
        <f ca="1">IFERROR(VLOOKUP(BD147,OFFSET(abbreviation[],0,ColumnLanguage),ColumnAbbreviation,FALSE),"")</f>
        <v/>
      </c>
      <c r="CJ147" s="21" t="str">
        <f ca="1">IFERROR(VLOOKUP(BF147,OFFSET(abbreviation[],0,ColumnLanguage),ColumnAbbreviation,FALSE),"")</f>
        <v/>
      </c>
      <c r="CK147" s="21" t="str">
        <f t="shared" ca="1" si="18"/>
        <v/>
      </c>
      <c r="CL147" s="21" t="str">
        <f t="shared" si="19"/>
        <v/>
      </c>
      <c r="CM147" s="52"/>
      <c r="CN147" s="57" t="str">
        <f t="shared" si="20"/>
        <v/>
      </c>
    </row>
    <row r="148" spans="14:92" x14ac:dyDescent="0.25">
      <c r="N148" s="58"/>
      <c r="P148" s="60"/>
      <c r="Q148" s="13"/>
      <c r="V148" s="60"/>
      <c r="X148" s="61"/>
      <c r="AB148" s="60"/>
      <c r="AN148" s="54"/>
      <c r="AS148" s="15"/>
      <c r="BH148" s="52"/>
      <c r="BI148" s="21" t="str">
        <f ca="1">IFERROR(VLOOKUP(C148,OFFSET(abbreviation[],0,ColumnLanguage),ColumnAbbreviation,FALSE),"")</f>
        <v/>
      </c>
      <c r="BJ148" s="21" t="str">
        <f ca="1">IFERROR(VLOOKUP(E148,OFFSET(abbreviation[],0,ColumnLanguage),ColumnAbbreviation,FALSE),"")</f>
        <v/>
      </c>
      <c r="BK148" s="21" t="str">
        <f ca="1">IFERROR(VLOOKUP(G148,OFFSET(abbreviation[],0,ColumnLanguage),ColumnAbbreviation,FALSE),"")</f>
        <v/>
      </c>
      <c r="BL148" s="21" t="str">
        <f ca="1">IFERROR(VLOOKUP(I148,OFFSET(abbreviation[],0,ColumnLanguage),ColumnAbbreviation,FALSE),"")</f>
        <v/>
      </c>
      <c r="BM148" s="21" t="str">
        <f ca="1">IFERROR(VLOOKUP(K148,OFFSET(abbreviation[],0,ColumnLanguage),ColumnAbbreviation,FALSE),"")</f>
        <v/>
      </c>
      <c r="BN148" s="21" t="str">
        <f t="shared" ca="1" si="14"/>
        <v/>
      </c>
      <c r="BO148" s="21" t="str">
        <f ca="1">IFERROR(VLOOKUP(N148,OFFSET(abbreviation[],0,ColumnLanguage),ColumnAbbreviation,FALSE),"")</f>
        <v/>
      </c>
      <c r="BP148" s="21" t="str">
        <f ca="1">IFERROR(VLOOKUP(P148,OFFSET(abbreviation[],0,ColumnLanguage),ColumnAbbreviation,FALSE),"")</f>
        <v/>
      </c>
      <c r="BQ148" s="21" t="str">
        <f ca="1">IFERROR(VLOOKUP(T148,OFFSET(abbreviation[],0,ColumnLanguage),ColumnAbbreviation,FALSE),"")</f>
        <v/>
      </c>
      <c r="BR148" s="21" t="str">
        <f ca="1">IFERROR(VLOOKUP(V148,OFFSET(abbreviation[],0,ColumnLanguage),ColumnAbbreviation,FALSE),"")</f>
        <v/>
      </c>
      <c r="BS148" s="21" t="str">
        <f ca="1">IFERROR(VLOOKUP(Z148,OFFSET(abbreviation[],0,ColumnLanguage),ColumnAbbreviation,FALSE),"")</f>
        <v/>
      </c>
      <c r="BT148" s="21" t="str">
        <f ca="1">IFERROR(VLOOKUP(AB148,OFFSET(abbreviation[],0,ColumnLanguage),ColumnAbbreviation,FALSE),"")</f>
        <v/>
      </c>
      <c r="BU148" s="21" t="str">
        <f t="shared" ca="1" si="15"/>
        <v>__</v>
      </c>
      <c r="BV148" s="21" t="str">
        <f ca="1">IFERROR(VLOOKUP(AF148,OFFSET(abbreviation[],0,ColumnLanguage),ColumnAbbreviation,FALSE),"")</f>
        <v/>
      </c>
      <c r="BW148" s="21" t="str">
        <f ca="1">IFERROR(VLOOKUP(AH148,OFFSET(abbreviation[],0,ColumnLanguage),ColumnAbbreviation,FALSE),"")</f>
        <v/>
      </c>
      <c r="BX148" s="21" t="str">
        <f ca="1">IFERROR(VLOOKUP(AJ148,OFFSET(abbreviation[],0,ColumnLanguage),ColumnAbbreviation,FALSE),"")</f>
        <v/>
      </c>
      <c r="BY148" s="21" t="str">
        <f ca="1">IFERROR(VLOOKUP(AL148,OFFSET(abbreviation[],0,ColumnLanguage),ColumnAbbreviation,FALSE),"")</f>
        <v/>
      </c>
      <c r="BZ148" s="21" t="str">
        <f t="shared" ca="1" si="16"/>
        <v>_</v>
      </c>
      <c r="CA148" s="21" t="str">
        <f ca="1">IFERROR(VLOOKUP(AP148,OFFSET(abbreviation[],0,ColumnLanguage),ColumnAbbreviation,FALSE),"")</f>
        <v/>
      </c>
      <c r="CB148" s="21" t="str">
        <f ca="1">IFERROR(VLOOKUP(AR148,OFFSET(abbreviation[],0,ColumnLanguage),ColumnAbbreviation,FALSE),"")</f>
        <v/>
      </c>
      <c r="CC148" s="21" t="str">
        <f ca="1">IFERROR(VLOOKUP(AT148,OFFSET(abbreviation[],0,ColumnLanguage),ColumnAbbreviation,FALSE),"")</f>
        <v/>
      </c>
      <c r="CD148" s="21" t="str">
        <f ca="1">IFERROR(VLOOKUP(AV148,OFFSET(abbreviation[],0,ColumnLanguage),ColumnAbbreviation,FALSE),"")</f>
        <v/>
      </c>
      <c r="CE148" s="21" t="str">
        <f t="shared" ca="1" si="17"/>
        <v>__</v>
      </c>
      <c r="CF148" s="21" t="str">
        <f ca="1">IFERROR(VLOOKUP(AX148,OFFSET(abbreviation[],0,ColumnLanguage),ColumnAbbreviation,FALSE),"")</f>
        <v/>
      </c>
      <c r="CG148" s="21" t="str">
        <f ca="1">IFERROR(VLOOKUP(AZ148,OFFSET(abbreviation[],0,ColumnLanguage),ColumnAbbreviation,FALSE),"")</f>
        <v/>
      </c>
      <c r="CH148" s="21" t="str">
        <f ca="1">IFERROR(VLOOKUP(BB148,OFFSET(abbreviation[],0,ColumnLanguage),ColumnAbbreviation,FALSE),"")</f>
        <v/>
      </c>
      <c r="CI148" s="21" t="str">
        <f ca="1">IFERROR(VLOOKUP(BD148,OFFSET(abbreviation[],0,ColumnLanguage),ColumnAbbreviation,FALSE),"")</f>
        <v/>
      </c>
      <c r="CJ148" s="21" t="str">
        <f ca="1">IFERROR(VLOOKUP(BF148,OFFSET(abbreviation[],0,ColumnLanguage),ColumnAbbreviation,FALSE),"")</f>
        <v/>
      </c>
      <c r="CK148" s="21" t="str">
        <f t="shared" ca="1" si="18"/>
        <v/>
      </c>
      <c r="CL148" s="21" t="str">
        <f t="shared" si="19"/>
        <v/>
      </c>
      <c r="CM148" s="52"/>
      <c r="CN148" s="57" t="str">
        <f t="shared" si="20"/>
        <v/>
      </c>
    </row>
    <row r="149" spans="14:92" x14ac:dyDescent="0.25">
      <c r="N149" s="58"/>
      <c r="P149" s="60"/>
      <c r="Q149" s="13"/>
      <c r="V149" s="60"/>
      <c r="X149" s="61"/>
      <c r="AB149" s="60"/>
      <c r="AN149" s="54"/>
      <c r="AS149" s="15"/>
      <c r="BH149" s="52"/>
      <c r="BI149" s="21" t="str">
        <f ca="1">IFERROR(VLOOKUP(C149,OFFSET(abbreviation[],0,ColumnLanguage),ColumnAbbreviation,FALSE),"")</f>
        <v/>
      </c>
      <c r="BJ149" s="21" t="str">
        <f ca="1">IFERROR(VLOOKUP(E149,OFFSET(abbreviation[],0,ColumnLanguage),ColumnAbbreviation,FALSE),"")</f>
        <v/>
      </c>
      <c r="BK149" s="21" t="str">
        <f ca="1">IFERROR(VLOOKUP(G149,OFFSET(abbreviation[],0,ColumnLanguage),ColumnAbbreviation,FALSE),"")</f>
        <v/>
      </c>
      <c r="BL149" s="21" t="str">
        <f ca="1">IFERROR(VLOOKUP(I149,OFFSET(abbreviation[],0,ColumnLanguage),ColumnAbbreviation,FALSE),"")</f>
        <v/>
      </c>
      <c r="BM149" s="21" t="str">
        <f ca="1">IFERROR(VLOOKUP(K149,OFFSET(abbreviation[],0,ColumnLanguage),ColumnAbbreviation,FALSE),"")</f>
        <v/>
      </c>
      <c r="BN149" s="21" t="str">
        <f t="shared" ca="1" si="14"/>
        <v/>
      </c>
      <c r="BO149" s="21" t="str">
        <f ca="1">IFERROR(VLOOKUP(N149,OFFSET(abbreviation[],0,ColumnLanguage),ColumnAbbreviation,FALSE),"")</f>
        <v/>
      </c>
      <c r="BP149" s="21" t="str">
        <f ca="1">IFERROR(VLOOKUP(P149,OFFSET(abbreviation[],0,ColumnLanguage),ColumnAbbreviation,FALSE),"")</f>
        <v/>
      </c>
      <c r="BQ149" s="21" t="str">
        <f ca="1">IFERROR(VLOOKUP(T149,OFFSET(abbreviation[],0,ColumnLanguage),ColumnAbbreviation,FALSE),"")</f>
        <v/>
      </c>
      <c r="BR149" s="21" t="str">
        <f ca="1">IFERROR(VLOOKUP(V149,OFFSET(abbreviation[],0,ColumnLanguage),ColumnAbbreviation,FALSE),"")</f>
        <v/>
      </c>
      <c r="BS149" s="21" t="str">
        <f ca="1">IFERROR(VLOOKUP(Z149,OFFSET(abbreviation[],0,ColumnLanguage),ColumnAbbreviation,FALSE),"")</f>
        <v/>
      </c>
      <c r="BT149" s="21" t="str">
        <f ca="1">IFERROR(VLOOKUP(AB149,OFFSET(abbreviation[],0,ColumnLanguage),ColumnAbbreviation,FALSE),"")</f>
        <v/>
      </c>
      <c r="BU149" s="21" t="str">
        <f t="shared" ca="1" si="15"/>
        <v>__</v>
      </c>
      <c r="BV149" s="21" t="str">
        <f ca="1">IFERROR(VLOOKUP(AF149,OFFSET(abbreviation[],0,ColumnLanguage),ColumnAbbreviation,FALSE),"")</f>
        <v/>
      </c>
      <c r="BW149" s="21" t="str">
        <f ca="1">IFERROR(VLOOKUP(AH149,OFFSET(abbreviation[],0,ColumnLanguage),ColumnAbbreviation,FALSE),"")</f>
        <v/>
      </c>
      <c r="BX149" s="21" t="str">
        <f ca="1">IFERROR(VLOOKUP(AJ149,OFFSET(abbreviation[],0,ColumnLanguage),ColumnAbbreviation,FALSE),"")</f>
        <v/>
      </c>
      <c r="BY149" s="21" t="str">
        <f ca="1">IFERROR(VLOOKUP(AL149,OFFSET(abbreviation[],0,ColumnLanguage),ColumnAbbreviation,FALSE),"")</f>
        <v/>
      </c>
      <c r="BZ149" s="21" t="str">
        <f t="shared" ca="1" si="16"/>
        <v>_</v>
      </c>
      <c r="CA149" s="21" t="str">
        <f ca="1">IFERROR(VLOOKUP(AP149,OFFSET(abbreviation[],0,ColumnLanguage),ColumnAbbreviation,FALSE),"")</f>
        <v/>
      </c>
      <c r="CB149" s="21" t="str">
        <f ca="1">IFERROR(VLOOKUP(AR149,OFFSET(abbreviation[],0,ColumnLanguage),ColumnAbbreviation,FALSE),"")</f>
        <v/>
      </c>
      <c r="CC149" s="21" t="str">
        <f ca="1">IFERROR(VLOOKUP(AT149,OFFSET(abbreviation[],0,ColumnLanguage),ColumnAbbreviation,FALSE),"")</f>
        <v/>
      </c>
      <c r="CD149" s="21" t="str">
        <f ca="1">IFERROR(VLOOKUP(AV149,OFFSET(abbreviation[],0,ColumnLanguage),ColumnAbbreviation,FALSE),"")</f>
        <v/>
      </c>
      <c r="CE149" s="21" t="str">
        <f t="shared" ca="1" si="17"/>
        <v>__</v>
      </c>
      <c r="CF149" s="21" t="str">
        <f ca="1">IFERROR(VLOOKUP(AX149,OFFSET(abbreviation[],0,ColumnLanguage),ColumnAbbreviation,FALSE),"")</f>
        <v/>
      </c>
      <c r="CG149" s="21" t="str">
        <f ca="1">IFERROR(VLOOKUP(AZ149,OFFSET(abbreviation[],0,ColumnLanguage),ColumnAbbreviation,FALSE),"")</f>
        <v/>
      </c>
      <c r="CH149" s="21" t="str">
        <f ca="1">IFERROR(VLOOKUP(BB149,OFFSET(abbreviation[],0,ColumnLanguage),ColumnAbbreviation,FALSE),"")</f>
        <v/>
      </c>
      <c r="CI149" s="21" t="str">
        <f ca="1">IFERROR(VLOOKUP(BD149,OFFSET(abbreviation[],0,ColumnLanguage),ColumnAbbreviation,FALSE),"")</f>
        <v/>
      </c>
      <c r="CJ149" s="21" t="str">
        <f ca="1">IFERROR(VLOOKUP(BF149,OFFSET(abbreviation[],0,ColumnLanguage),ColumnAbbreviation,FALSE),"")</f>
        <v/>
      </c>
      <c r="CK149" s="21" t="str">
        <f t="shared" ca="1" si="18"/>
        <v/>
      </c>
      <c r="CL149" s="21" t="str">
        <f t="shared" si="19"/>
        <v/>
      </c>
      <c r="CM149" s="52"/>
      <c r="CN149" s="57" t="str">
        <f t="shared" si="20"/>
        <v/>
      </c>
    </row>
    <row r="150" spans="14:92" x14ac:dyDescent="0.25">
      <c r="N150" s="58"/>
      <c r="P150" s="60"/>
      <c r="Q150" s="13"/>
      <c r="V150" s="60"/>
      <c r="X150" s="61"/>
      <c r="AB150" s="60"/>
      <c r="AN150" s="54"/>
      <c r="AS150" s="15"/>
      <c r="BH150" s="52"/>
      <c r="BI150" s="21" t="str">
        <f ca="1">IFERROR(VLOOKUP(C150,OFFSET(abbreviation[],0,ColumnLanguage),ColumnAbbreviation,FALSE),"")</f>
        <v/>
      </c>
      <c r="BJ150" s="21" t="str">
        <f ca="1">IFERROR(VLOOKUP(E150,OFFSET(abbreviation[],0,ColumnLanguage),ColumnAbbreviation,FALSE),"")</f>
        <v/>
      </c>
      <c r="BK150" s="21" t="str">
        <f ca="1">IFERROR(VLOOKUP(G150,OFFSET(abbreviation[],0,ColumnLanguage),ColumnAbbreviation,FALSE),"")</f>
        <v/>
      </c>
      <c r="BL150" s="21" t="str">
        <f ca="1">IFERROR(VLOOKUP(I150,OFFSET(abbreviation[],0,ColumnLanguage),ColumnAbbreviation,FALSE),"")</f>
        <v/>
      </c>
      <c r="BM150" s="21" t="str">
        <f ca="1">IFERROR(VLOOKUP(K150,OFFSET(abbreviation[],0,ColumnLanguage),ColumnAbbreviation,FALSE),"")</f>
        <v/>
      </c>
      <c r="BN150" s="21" t="str">
        <f t="shared" ca="1" si="14"/>
        <v/>
      </c>
      <c r="BO150" s="21" t="str">
        <f ca="1">IFERROR(VLOOKUP(N150,OFFSET(abbreviation[],0,ColumnLanguage),ColumnAbbreviation,FALSE),"")</f>
        <v/>
      </c>
      <c r="BP150" s="21" t="str">
        <f ca="1">IFERROR(VLOOKUP(P150,OFFSET(abbreviation[],0,ColumnLanguage),ColumnAbbreviation,FALSE),"")</f>
        <v/>
      </c>
      <c r="BQ150" s="21" t="str">
        <f ca="1">IFERROR(VLOOKUP(T150,OFFSET(abbreviation[],0,ColumnLanguage),ColumnAbbreviation,FALSE),"")</f>
        <v/>
      </c>
      <c r="BR150" s="21" t="str">
        <f ca="1">IFERROR(VLOOKUP(V150,OFFSET(abbreviation[],0,ColumnLanguage),ColumnAbbreviation,FALSE),"")</f>
        <v/>
      </c>
      <c r="BS150" s="21" t="str">
        <f ca="1">IFERROR(VLOOKUP(Z150,OFFSET(abbreviation[],0,ColumnLanguage),ColumnAbbreviation,FALSE),"")</f>
        <v/>
      </c>
      <c r="BT150" s="21" t="str">
        <f ca="1">IFERROR(VLOOKUP(AB150,OFFSET(abbreviation[],0,ColumnLanguage),ColumnAbbreviation,FALSE),"")</f>
        <v/>
      </c>
      <c r="BU150" s="21" t="str">
        <f t="shared" ca="1" si="15"/>
        <v>__</v>
      </c>
      <c r="BV150" s="21" t="str">
        <f ca="1">IFERROR(VLOOKUP(AF150,OFFSET(abbreviation[],0,ColumnLanguage),ColumnAbbreviation,FALSE),"")</f>
        <v/>
      </c>
      <c r="BW150" s="21" t="str">
        <f ca="1">IFERROR(VLOOKUP(AH150,OFFSET(abbreviation[],0,ColumnLanguage),ColumnAbbreviation,FALSE),"")</f>
        <v/>
      </c>
      <c r="BX150" s="21" t="str">
        <f ca="1">IFERROR(VLOOKUP(AJ150,OFFSET(abbreviation[],0,ColumnLanguage),ColumnAbbreviation,FALSE),"")</f>
        <v/>
      </c>
      <c r="BY150" s="21" t="str">
        <f ca="1">IFERROR(VLOOKUP(AL150,OFFSET(abbreviation[],0,ColumnLanguage),ColumnAbbreviation,FALSE),"")</f>
        <v/>
      </c>
      <c r="BZ150" s="21" t="str">
        <f t="shared" ca="1" si="16"/>
        <v>_</v>
      </c>
      <c r="CA150" s="21" t="str">
        <f ca="1">IFERROR(VLOOKUP(AP150,OFFSET(abbreviation[],0,ColumnLanguage),ColumnAbbreviation,FALSE),"")</f>
        <v/>
      </c>
      <c r="CB150" s="21" t="str">
        <f ca="1">IFERROR(VLOOKUP(AR150,OFFSET(abbreviation[],0,ColumnLanguage),ColumnAbbreviation,FALSE),"")</f>
        <v/>
      </c>
      <c r="CC150" s="21" t="str">
        <f ca="1">IFERROR(VLOOKUP(AT150,OFFSET(abbreviation[],0,ColumnLanguage),ColumnAbbreviation,FALSE),"")</f>
        <v/>
      </c>
      <c r="CD150" s="21" t="str">
        <f ca="1">IFERROR(VLOOKUP(AV150,OFFSET(abbreviation[],0,ColumnLanguage),ColumnAbbreviation,FALSE),"")</f>
        <v/>
      </c>
      <c r="CE150" s="21" t="str">
        <f t="shared" ca="1" si="17"/>
        <v>__</v>
      </c>
      <c r="CF150" s="21" t="str">
        <f ca="1">IFERROR(VLOOKUP(AX150,OFFSET(abbreviation[],0,ColumnLanguage),ColumnAbbreviation,FALSE),"")</f>
        <v/>
      </c>
      <c r="CG150" s="21" t="str">
        <f ca="1">IFERROR(VLOOKUP(AZ150,OFFSET(abbreviation[],0,ColumnLanguage),ColumnAbbreviation,FALSE),"")</f>
        <v/>
      </c>
      <c r="CH150" s="21" t="str">
        <f ca="1">IFERROR(VLOOKUP(BB150,OFFSET(abbreviation[],0,ColumnLanguage),ColumnAbbreviation,FALSE),"")</f>
        <v/>
      </c>
      <c r="CI150" s="21" t="str">
        <f ca="1">IFERROR(VLOOKUP(BD150,OFFSET(abbreviation[],0,ColumnLanguage),ColumnAbbreviation,FALSE),"")</f>
        <v/>
      </c>
      <c r="CJ150" s="21" t="str">
        <f ca="1">IFERROR(VLOOKUP(BF150,OFFSET(abbreviation[],0,ColumnLanguage),ColumnAbbreviation,FALSE),"")</f>
        <v/>
      </c>
      <c r="CK150" s="21" t="str">
        <f t="shared" ca="1" si="18"/>
        <v/>
      </c>
      <c r="CL150" s="21" t="str">
        <f t="shared" si="19"/>
        <v/>
      </c>
      <c r="CM150" s="52"/>
      <c r="CN150" s="57" t="str">
        <f t="shared" si="20"/>
        <v/>
      </c>
    </row>
    <row r="151" spans="14:92" x14ac:dyDescent="0.25">
      <c r="N151" s="58"/>
      <c r="P151" s="60"/>
      <c r="Q151" s="13"/>
      <c r="V151" s="60"/>
      <c r="X151" s="61"/>
      <c r="AB151" s="60"/>
      <c r="AN151" s="54"/>
      <c r="AS151" s="15"/>
      <c r="BH151" s="52"/>
      <c r="BI151" s="21" t="str">
        <f ca="1">IFERROR(VLOOKUP(C151,OFFSET(abbreviation[],0,ColumnLanguage),ColumnAbbreviation,FALSE),"")</f>
        <v/>
      </c>
      <c r="BJ151" s="21" t="str">
        <f ca="1">IFERROR(VLOOKUP(E151,OFFSET(abbreviation[],0,ColumnLanguage),ColumnAbbreviation,FALSE),"")</f>
        <v/>
      </c>
      <c r="BK151" s="21" t="str">
        <f ca="1">IFERROR(VLOOKUP(G151,OFFSET(abbreviation[],0,ColumnLanguage),ColumnAbbreviation,FALSE),"")</f>
        <v/>
      </c>
      <c r="BL151" s="21" t="str">
        <f ca="1">IFERROR(VLOOKUP(I151,OFFSET(abbreviation[],0,ColumnLanguage),ColumnAbbreviation,FALSE),"")</f>
        <v/>
      </c>
      <c r="BM151" s="21" t="str">
        <f ca="1">IFERROR(VLOOKUP(K151,OFFSET(abbreviation[],0,ColumnLanguage),ColumnAbbreviation,FALSE),"")</f>
        <v/>
      </c>
      <c r="BN151" s="21" t="str">
        <f t="shared" ca="1" si="14"/>
        <v/>
      </c>
      <c r="BO151" s="21" t="str">
        <f ca="1">IFERROR(VLOOKUP(N151,OFFSET(abbreviation[],0,ColumnLanguage),ColumnAbbreviation,FALSE),"")</f>
        <v/>
      </c>
      <c r="BP151" s="21" t="str">
        <f ca="1">IFERROR(VLOOKUP(P151,OFFSET(abbreviation[],0,ColumnLanguage),ColumnAbbreviation,FALSE),"")</f>
        <v/>
      </c>
      <c r="BQ151" s="21" t="str">
        <f ca="1">IFERROR(VLOOKUP(T151,OFFSET(abbreviation[],0,ColumnLanguage),ColumnAbbreviation,FALSE),"")</f>
        <v/>
      </c>
      <c r="BR151" s="21" t="str">
        <f ca="1">IFERROR(VLOOKUP(V151,OFFSET(abbreviation[],0,ColumnLanguage),ColumnAbbreviation,FALSE),"")</f>
        <v/>
      </c>
      <c r="BS151" s="21" t="str">
        <f ca="1">IFERROR(VLOOKUP(Z151,OFFSET(abbreviation[],0,ColumnLanguage),ColumnAbbreviation,FALSE),"")</f>
        <v/>
      </c>
      <c r="BT151" s="21" t="str">
        <f ca="1">IFERROR(VLOOKUP(AB151,OFFSET(abbreviation[],0,ColumnLanguage),ColumnAbbreviation,FALSE),"")</f>
        <v/>
      </c>
      <c r="BU151" s="21" t="str">
        <f t="shared" ca="1" si="15"/>
        <v>__</v>
      </c>
      <c r="BV151" s="21" t="str">
        <f ca="1">IFERROR(VLOOKUP(AF151,OFFSET(abbreviation[],0,ColumnLanguage),ColumnAbbreviation,FALSE),"")</f>
        <v/>
      </c>
      <c r="BW151" s="21" t="str">
        <f ca="1">IFERROR(VLOOKUP(AH151,OFFSET(abbreviation[],0,ColumnLanguage),ColumnAbbreviation,FALSE),"")</f>
        <v/>
      </c>
      <c r="BX151" s="21" t="str">
        <f ca="1">IFERROR(VLOOKUP(AJ151,OFFSET(abbreviation[],0,ColumnLanguage),ColumnAbbreviation,FALSE),"")</f>
        <v/>
      </c>
      <c r="BY151" s="21" t="str">
        <f ca="1">IFERROR(VLOOKUP(AL151,OFFSET(abbreviation[],0,ColumnLanguage),ColumnAbbreviation,FALSE),"")</f>
        <v/>
      </c>
      <c r="BZ151" s="21" t="str">
        <f t="shared" ca="1" si="16"/>
        <v>_</v>
      </c>
      <c r="CA151" s="21" t="str">
        <f ca="1">IFERROR(VLOOKUP(AP151,OFFSET(abbreviation[],0,ColumnLanguage),ColumnAbbreviation,FALSE),"")</f>
        <v/>
      </c>
      <c r="CB151" s="21" t="str">
        <f ca="1">IFERROR(VLOOKUP(AR151,OFFSET(abbreviation[],0,ColumnLanguage),ColumnAbbreviation,FALSE),"")</f>
        <v/>
      </c>
      <c r="CC151" s="21" t="str">
        <f ca="1">IFERROR(VLOOKUP(AT151,OFFSET(abbreviation[],0,ColumnLanguage),ColumnAbbreviation,FALSE),"")</f>
        <v/>
      </c>
      <c r="CD151" s="21" t="str">
        <f ca="1">IFERROR(VLOOKUP(AV151,OFFSET(abbreviation[],0,ColumnLanguage),ColumnAbbreviation,FALSE),"")</f>
        <v/>
      </c>
      <c r="CE151" s="21" t="str">
        <f t="shared" ca="1" si="17"/>
        <v>__</v>
      </c>
      <c r="CF151" s="21" t="str">
        <f ca="1">IFERROR(VLOOKUP(AX151,OFFSET(abbreviation[],0,ColumnLanguage),ColumnAbbreviation,FALSE),"")</f>
        <v/>
      </c>
      <c r="CG151" s="21" t="str">
        <f ca="1">IFERROR(VLOOKUP(AZ151,OFFSET(abbreviation[],0,ColumnLanguage),ColumnAbbreviation,FALSE),"")</f>
        <v/>
      </c>
      <c r="CH151" s="21" t="str">
        <f ca="1">IFERROR(VLOOKUP(BB151,OFFSET(abbreviation[],0,ColumnLanguage),ColumnAbbreviation,FALSE),"")</f>
        <v/>
      </c>
      <c r="CI151" s="21" t="str">
        <f ca="1">IFERROR(VLOOKUP(BD151,OFFSET(abbreviation[],0,ColumnLanguage),ColumnAbbreviation,FALSE),"")</f>
        <v/>
      </c>
      <c r="CJ151" s="21" t="str">
        <f ca="1">IFERROR(VLOOKUP(BF151,OFFSET(abbreviation[],0,ColumnLanguage),ColumnAbbreviation,FALSE),"")</f>
        <v/>
      </c>
      <c r="CK151" s="21" t="str">
        <f t="shared" ca="1" si="18"/>
        <v/>
      </c>
      <c r="CL151" s="21" t="str">
        <f t="shared" si="19"/>
        <v/>
      </c>
      <c r="CM151" s="52"/>
      <c r="CN151" s="57" t="str">
        <f t="shared" si="20"/>
        <v/>
      </c>
    </row>
    <row r="152" spans="14:92" x14ac:dyDescent="0.25">
      <c r="N152" s="58"/>
      <c r="P152" s="60"/>
      <c r="Q152" s="13"/>
      <c r="V152" s="60"/>
      <c r="X152" s="61"/>
      <c r="AB152" s="60"/>
      <c r="AN152" s="54"/>
      <c r="AS152" s="15"/>
      <c r="BH152" s="52"/>
      <c r="BI152" s="21" t="str">
        <f ca="1">IFERROR(VLOOKUP(C152,OFFSET(abbreviation[],0,ColumnLanguage),ColumnAbbreviation,FALSE),"")</f>
        <v/>
      </c>
      <c r="BJ152" s="21" t="str">
        <f ca="1">IFERROR(VLOOKUP(E152,OFFSET(abbreviation[],0,ColumnLanguage),ColumnAbbreviation,FALSE),"")</f>
        <v/>
      </c>
      <c r="BK152" s="21" t="str">
        <f ca="1">IFERROR(VLOOKUP(G152,OFFSET(abbreviation[],0,ColumnLanguage),ColumnAbbreviation,FALSE),"")</f>
        <v/>
      </c>
      <c r="BL152" s="21" t="str">
        <f ca="1">IFERROR(VLOOKUP(I152,OFFSET(abbreviation[],0,ColumnLanguage),ColumnAbbreviation,FALSE),"")</f>
        <v/>
      </c>
      <c r="BM152" s="21" t="str">
        <f ca="1">IFERROR(VLOOKUP(K152,OFFSET(abbreviation[],0,ColumnLanguage),ColumnAbbreviation,FALSE),"")</f>
        <v/>
      </c>
      <c r="BN152" s="21" t="str">
        <f t="shared" ca="1" si="14"/>
        <v/>
      </c>
      <c r="BO152" s="21" t="str">
        <f ca="1">IFERROR(VLOOKUP(N152,OFFSET(abbreviation[],0,ColumnLanguage),ColumnAbbreviation,FALSE),"")</f>
        <v/>
      </c>
      <c r="BP152" s="21" t="str">
        <f ca="1">IFERROR(VLOOKUP(P152,OFFSET(abbreviation[],0,ColumnLanguage),ColumnAbbreviation,FALSE),"")</f>
        <v/>
      </c>
      <c r="BQ152" s="21" t="str">
        <f ca="1">IFERROR(VLOOKUP(T152,OFFSET(abbreviation[],0,ColumnLanguage),ColumnAbbreviation,FALSE),"")</f>
        <v/>
      </c>
      <c r="BR152" s="21" t="str">
        <f ca="1">IFERROR(VLOOKUP(V152,OFFSET(abbreviation[],0,ColumnLanguage),ColumnAbbreviation,FALSE),"")</f>
        <v/>
      </c>
      <c r="BS152" s="21" t="str">
        <f ca="1">IFERROR(VLOOKUP(Z152,OFFSET(abbreviation[],0,ColumnLanguage),ColumnAbbreviation,FALSE),"")</f>
        <v/>
      </c>
      <c r="BT152" s="21" t="str">
        <f ca="1">IFERROR(VLOOKUP(AB152,OFFSET(abbreviation[],0,ColumnLanguage),ColumnAbbreviation,FALSE),"")</f>
        <v/>
      </c>
      <c r="BU152" s="21" t="str">
        <f t="shared" ca="1" si="15"/>
        <v>__</v>
      </c>
      <c r="BV152" s="21" t="str">
        <f ca="1">IFERROR(VLOOKUP(AF152,OFFSET(abbreviation[],0,ColumnLanguage),ColumnAbbreviation,FALSE),"")</f>
        <v/>
      </c>
      <c r="BW152" s="21" t="str">
        <f ca="1">IFERROR(VLOOKUP(AH152,OFFSET(abbreviation[],0,ColumnLanguage),ColumnAbbreviation,FALSE),"")</f>
        <v/>
      </c>
      <c r="BX152" s="21" t="str">
        <f ca="1">IFERROR(VLOOKUP(AJ152,OFFSET(abbreviation[],0,ColumnLanguage),ColumnAbbreviation,FALSE),"")</f>
        <v/>
      </c>
      <c r="BY152" s="21" t="str">
        <f ca="1">IFERROR(VLOOKUP(AL152,OFFSET(abbreviation[],0,ColumnLanguage),ColumnAbbreviation,FALSE),"")</f>
        <v/>
      </c>
      <c r="BZ152" s="21" t="str">
        <f t="shared" ca="1" si="16"/>
        <v>_</v>
      </c>
      <c r="CA152" s="21" t="str">
        <f ca="1">IFERROR(VLOOKUP(AP152,OFFSET(abbreviation[],0,ColumnLanguage),ColumnAbbreviation,FALSE),"")</f>
        <v/>
      </c>
      <c r="CB152" s="21" t="str">
        <f ca="1">IFERROR(VLOOKUP(AR152,OFFSET(abbreviation[],0,ColumnLanguage),ColumnAbbreviation,FALSE),"")</f>
        <v/>
      </c>
      <c r="CC152" s="21" t="str">
        <f ca="1">IFERROR(VLOOKUP(AT152,OFFSET(abbreviation[],0,ColumnLanguage),ColumnAbbreviation,FALSE),"")</f>
        <v/>
      </c>
      <c r="CD152" s="21" t="str">
        <f ca="1">IFERROR(VLOOKUP(AV152,OFFSET(abbreviation[],0,ColumnLanguage),ColumnAbbreviation,FALSE),"")</f>
        <v/>
      </c>
      <c r="CE152" s="21" t="str">
        <f t="shared" ca="1" si="17"/>
        <v>__</v>
      </c>
      <c r="CF152" s="21" t="str">
        <f ca="1">IFERROR(VLOOKUP(AX152,OFFSET(abbreviation[],0,ColumnLanguage),ColumnAbbreviation,FALSE),"")</f>
        <v/>
      </c>
      <c r="CG152" s="21" t="str">
        <f ca="1">IFERROR(VLOOKUP(AZ152,OFFSET(abbreviation[],0,ColumnLanguage),ColumnAbbreviation,FALSE),"")</f>
        <v/>
      </c>
      <c r="CH152" s="21" t="str">
        <f ca="1">IFERROR(VLOOKUP(BB152,OFFSET(abbreviation[],0,ColumnLanguage),ColumnAbbreviation,FALSE),"")</f>
        <v/>
      </c>
      <c r="CI152" s="21" t="str">
        <f ca="1">IFERROR(VLOOKUP(BD152,OFFSET(abbreviation[],0,ColumnLanguage),ColumnAbbreviation,FALSE),"")</f>
        <v/>
      </c>
      <c r="CJ152" s="21" t="str">
        <f ca="1">IFERROR(VLOOKUP(BF152,OFFSET(abbreviation[],0,ColumnLanguage),ColumnAbbreviation,FALSE),"")</f>
        <v/>
      </c>
      <c r="CK152" s="21" t="str">
        <f t="shared" ca="1" si="18"/>
        <v/>
      </c>
      <c r="CL152" s="21" t="str">
        <f t="shared" si="19"/>
        <v/>
      </c>
      <c r="CM152" s="52"/>
      <c r="CN152" s="57" t="str">
        <f t="shared" si="20"/>
        <v/>
      </c>
    </row>
    <row r="153" spans="14:92" x14ac:dyDescent="0.25">
      <c r="N153" s="58"/>
      <c r="P153" s="60"/>
      <c r="Q153" s="13"/>
      <c r="V153" s="60"/>
      <c r="X153" s="61"/>
      <c r="AB153" s="60"/>
      <c r="AN153" s="54"/>
      <c r="AS153" s="15"/>
      <c r="BH153" s="52"/>
      <c r="BI153" s="21" t="str">
        <f ca="1">IFERROR(VLOOKUP(C153,OFFSET(abbreviation[],0,ColumnLanguage),ColumnAbbreviation,FALSE),"")</f>
        <v/>
      </c>
      <c r="BJ153" s="21" t="str">
        <f ca="1">IFERROR(VLOOKUP(E153,OFFSET(abbreviation[],0,ColumnLanguage),ColumnAbbreviation,FALSE),"")</f>
        <v/>
      </c>
      <c r="BK153" s="21" t="str">
        <f ca="1">IFERROR(VLOOKUP(G153,OFFSET(abbreviation[],0,ColumnLanguage),ColumnAbbreviation,FALSE),"")</f>
        <v/>
      </c>
      <c r="BL153" s="21" t="str">
        <f ca="1">IFERROR(VLOOKUP(I153,OFFSET(abbreviation[],0,ColumnLanguage),ColumnAbbreviation,FALSE),"")</f>
        <v/>
      </c>
      <c r="BM153" s="21" t="str">
        <f ca="1">IFERROR(VLOOKUP(K153,OFFSET(abbreviation[],0,ColumnLanguage),ColumnAbbreviation,FALSE),"")</f>
        <v/>
      </c>
      <c r="BN153" s="21" t="str">
        <f t="shared" ca="1" si="14"/>
        <v/>
      </c>
      <c r="BO153" s="21" t="str">
        <f ca="1">IFERROR(VLOOKUP(N153,OFFSET(abbreviation[],0,ColumnLanguage),ColumnAbbreviation,FALSE),"")</f>
        <v/>
      </c>
      <c r="BP153" s="21" t="str">
        <f ca="1">IFERROR(VLOOKUP(P153,OFFSET(abbreviation[],0,ColumnLanguage),ColumnAbbreviation,FALSE),"")</f>
        <v/>
      </c>
      <c r="BQ153" s="21" t="str">
        <f ca="1">IFERROR(VLOOKUP(T153,OFFSET(abbreviation[],0,ColumnLanguage),ColumnAbbreviation,FALSE),"")</f>
        <v/>
      </c>
      <c r="BR153" s="21" t="str">
        <f ca="1">IFERROR(VLOOKUP(V153,OFFSET(abbreviation[],0,ColumnLanguage),ColumnAbbreviation,FALSE),"")</f>
        <v/>
      </c>
      <c r="BS153" s="21" t="str">
        <f ca="1">IFERROR(VLOOKUP(Z153,OFFSET(abbreviation[],0,ColumnLanguage),ColumnAbbreviation,FALSE),"")</f>
        <v/>
      </c>
      <c r="BT153" s="21" t="str">
        <f ca="1">IFERROR(VLOOKUP(AB153,OFFSET(abbreviation[],0,ColumnLanguage),ColumnAbbreviation,FALSE),"")</f>
        <v/>
      </c>
      <c r="BU153" s="21" t="str">
        <f t="shared" ca="1" si="15"/>
        <v>__</v>
      </c>
      <c r="BV153" s="21" t="str">
        <f ca="1">IFERROR(VLOOKUP(AF153,OFFSET(abbreviation[],0,ColumnLanguage),ColumnAbbreviation,FALSE),"")</f>
        <v/>
      </c>
      <c r="BW153" s="21" t="str">
        <f ca="1">IFERROR(VLOOKUP(AH153,OFFSET(abbreviation[],0,ColumnLanguage),ColumnAbbreviation,FALSE),"")</f>
        <v/>
      </c>
      <c r="BX153" s="21" t="str">
        <f ca="1">IFERROR(VLOOKUP(AJ153,OFFSET(abbreviation[],0,ColumnLanguage),ColumnAbbreviation,FALSE),"")</f>
        <v/>
      </c>
      <c r="BY153" s="21" t="str">
        <f ca="1">IFERROR(VLOOKUP(AL153,OFFSET(abbreviation[],0,ColumnLanguage),ColumnAbbreviation,FALSE),"")</f>
        <v/>
      </c>
      <c r="BZ153" s="21" t="str">
        <f t="shared" ca="1" si="16"/>
        <v>_</v>
      </c>
      <c r="CA153" s="21" t="str">
        <f ca="1">IFERROR(VLOOKUP(AP153,OFFSET(abbreviation[],0,ColumnLanguage),ColumnAbbreviation,FALSE),"")</f>
        <v/>
      </c>
      <c r="CB153" s="21" t="str">
        <f ca="1">IFERROR(VLOOKUP(AR153,OFFSET(abbreviation[],0,ColumnLanguage),ColumnAbbreviation,FALSE),"")</f>
        <v/>
      </c>
      <c r="CC153" s="21" t="str">
        <f ca="1">IFERROR(VLOOKUP(AT153,OFFSET(abbreviation[],0,ColumnLanguage),ColumnAbbreviation,FALSE),"")</f>
        <v/>
      </c>
      <c r="CD153" s="21" t="str">
        <f ca="1">IFERROR(VLOOKUP(AV153,OFFSET(abbreviation[],0,ColumnLanguage),ColumnAbbreviation,FALSE),"")</f>
        <v/>
      </c>
      <c r="CE153" s="21" t="str">
        <f t="shared" ca="1" si="17"/>
        <v>__</v>
      </c>
      <c r="CF153" s="21" t="str">
        <f ca="1">IFERROR(VLOOKUP(AX153,OFFSET(abbreviation[],0,ColumnLanguage),ColumnAbbreviation,FALSE),"")</f>
        <v/>
      </c>
      <c r="CG153" s="21" t="str">
        <f ca="1">IFERROR(VLOOKUP(AZ153,OFFSET(abbreviation[],0,ColumnLanguage),ColumnAbbreviation,FALSE),"")</f>
        <v/>
      </c>
      <c r="CH153" s="21" t="str">
        <f ca="1">IFERROR(VLOOKUP(BB153,OFFSET(abbreviation[],0,ColumnLanguage),ColumnAbbreviation,FALSE),"")</f>
        <v/>
      </c>
      <c r="CI153" s="21" t="str">
        <f ca="1">IFERROR(VLOOKUP(BD153,OFFSET(abbreviation[],0,ColumnLanguage),ColumnAbbreviation,FALSE),"")</f>
        <v/>
      </c>
      <c r="CJ153" s="21" t="str">
        <f ca="1">IFERROR(VLOOKUP(BF153,OFFSET(abbreviation[],0,ColumnLanguage),ColumnAbbreviation,FALSE),"")</f>
        <v/>
      </c>
      <c r="CK153" s="21" t="str">
        <f t="shared" ca="1" si="18"/>
        <v/>
      </c>
      <c r="CL153" s="21" t="str">
        <f t="shared" si="19"/>
        <v/>
      </c>
      <c r="CM153" s="52"/>
      <c r="CN153" s="57" t="str">
        <f t="shared" si="20"/>
        <v/>
      </c>
    </row>
    <row r="154" spans="14:92" x14ac:dyDescent="0.25">
      <c r="N154" s="58"/>
      <c r="P154" s="60"/>
      <c r="Q154" s="13"/>
      <c r="V154" s="60"/>
      <c r="X154" s="61"/>
      <c r="AB154" s="60"/>
      <c r="AN154" s="54"/>
      <c r="AS154" s="15"/>
      <c r="BH154" s="52"/>
      <c r="BI154" s="21" t="str">
        <f ca="1">IFERROR(VLOOKUP(C154,OFFSET(abbreviation[],0,ColumnLanguage),ColumnAbbreviation,FALSE),"")</f>
        <v/>
      </c>
      <c r="BJ154" s="21" t="str">
        <f ca="1">IFERROR(VLOOKUP(E154,OFFSET(abbreviation[],0,ColumnLanguage),ColumnAbbreviation,FALSE),"")</f>
        <v/>
      </c>
      <c r="BK154" s="21" t="str">
        <f ca="1">IFERROR(VLOOKUP(G154,OFFSET(abbreviation[],0,ColumnLanguage),ColumnAbbreviation,FALSE),"")</f>
        <v/>
      </c>
      <c r="BL154" s="21" t="str">
        <f ca="1">IFERROR(VLOOKUP(I154,OFFSET(abbreviation[],0,ColumnLanguage),ColumnAbbreviation,FALSE),"")</f>
        <v/>
      </c>
      <c r="BM154" s="21" t="str">
        <f ca="1">IFERROR(VLOOKUP(K154,OFFSET(abbreviation[],0,ColumnLanguage),ColumnAbbreviation,FALSE),"")</f>
        <v/>
      </c>
      <c r="BN154" s="21" t="str">
        <f t="shared" ca="1" si="14"/>
        <v/>
      </c>
      <c r="BO154" s="21" t="str">
        <f ca="1">IFERROR(VLOOKUP(N154,OFFSET(abbreviation[],0,ColumnLanguage),ColumnAbbreviation,FALSE),"")</f>
        <v/>
      </c>
      <c r="BP154" s="21" t="str">
        <f ca="1">IFERROR(VLOOKUP(P154,OFFSET(abbreviation[],0,ColumnLanguage),ColumnAbbreviation,FALSE),"")</f>
        <v/>
      </c>
      <c r="BQ154" s="21" t="str">
        <f ca="1">IFERROR(VLOOKUP(T154,OFFSET(abbreviation[],0,ColumnLanguage),ColumnAbbreviation,FALSE),"")</f>
        <v/>
      </c>
      <c r="BR154" s="21" t="str">
        <f ca="1">IFERROR(VLOOKUP(V154,OFFSET(abbreviation[],0,ColumnLanguage),ColumnAbbreviation,FALSE),"")</f>
        <v/>
      </c>
      <c r="BS154" s="21" t="str">
        <f ca="1">IFERROR(VLOOKUP(Z154,OFFSET(abbreviation[],0,ColumnLanguage),ColumnAbbreviation,FALSE),"")</f>
        <v/>
      </c>
      <c r="BT154" s="21" t="str">
        <f ca="1">IFERROR(VLOOKUP(AB154,OFFSET(abbreviation[],0,ColumnLanguage),ColumnAbbreviation,FALSE),"")</f>
        <v/>
      </c>
      <c r="BU154" s="21" t="str">
        <f t="shared" ca="1" si="15"/>
        <v>__</v>
      </c>
      <c r="BV154" s="21" t="str">
        <f ca="1">IFERROR(VLOOKUP(AF154,OFFSET(abbreviation[],0,ColumnLanguage),ColumnAbbreviation,FALSE),"")</f>
        <v/>
      </c>
      <c r="BW154" s="21" t="str">
        <f ca="1">IFERROR(VLOOKUP(AH154,OFFSET(abbreviation[],0,ColumnLanguage),ColumnAbbreviation,FALSE),"")</f>
        <v/>
      </c>
      <c r="BX154" s="21" t="str">
        <f ca="1">IFERROR(VLOOKUP(AJ154,OFFSET(abbreviation[],0,ColumnLanguage),ColumnAbbreviation,FALSE),"")</f>
        <v/>
      </c>
      <c r="BY154" s="21" t="str">
        <f ca="1">IFERROR(VLOOKUP(AL154,OFFSET(abbreviation[],0,ColumnLanguage),ColumnAbbreviation,FALSE),"")</f>
        <v/>
      </c>
      <c r="BZ154" s="21" t="str">
        <f t="shared" ca="1" si="16"/>
        <v>_</v>
      </c>
      <c r="CA154" s="21" t="str">
        <f ca="1">IFERROR(VLOOKUP(AP154,OFFSET(abbreviation[],0,ColumnLanguage),ColumnAbbreviation,FALSE),"")</f>
        <v/>
      </c>
      <c r="CB154" s="21" t="str">
        <f ca="1">IFERROR(VLOOKUP(AR154,OFFSET(abbreviation[],0,ColumnLanguage),ColumnAbbreviation,FALSE),"")</f>
        <v/>
      </c>
      <c r="CC154" s="21" t="str">
        <f ca="1">IFERROR(VLOOKUP(AT154,OFFSET(abbreviation[],0,ColumnLanguage),ColumnAbbreviation,FALSE),"")</f>
        <v/>
      </c>
      <c r="CD154" s="21" t="str">
        <f ca="1">IFERROR(VLOOKUP(AV154,OFFSET(abbreviation[],0,ColumnLanguage),ColumnAbbreviation,FALSE),"")</f>
        <v/>
      </c>
      <c r="CE154" s="21" t="str">
        <f t="shared" ca="1" si="17"/>
        <v>__</v>
      </c>
      <c r="CF154" s="21" t="str">
        <f ca="1">IFERROR(VLOOKUP(AX154,OFFSET(abbreviation[],0,ColumnLanguage),ColumnAbbreviation,FALSE),"")</f>
        <v/>
      </c>
      <c r="CG154" s="21" t="str">
        <f ca="1">IFERROR(VLOOKUP(AZ154,OFFSET(abbreviation[],0,ColumnLanguage),ColumnAbbreviation,FALSE),"")</f>
        <v/>
      </c>
      <c r="CH154" s="21" t="str">
        <f ca="1">IFERROR(VLOOKUP(BB154,OFFSET(abbreviation[],0,ColumnLanguage),ColumnAbbreviation,FALSE),"")</f>
        <v/>
      </c>
      <c r="CI154" s="21" t="str">
        <f ca="1">IFERROR(VLOOKUP(BD154,OFFSET(abbreviation[],0,ColumnLanguage),ColumnAbbreviation,FALSE),"")</f>
        <v/>
      </c>
      <c r="CJ154" s="21" t="str">
        <f ca="1">IFERROR(VLOOKUP(BF154,OFFSET(abbreviation[],0,ColumnLanguage),ColumnAbbreviation,FALSE),"")</f>
        <v/>
      </c>
      <c r="CK154" s="21" t="str">
        <f t="shared" ca="1" si="18"/>
        <v/>
      </c>
      <c r="CL154" s="21" t="str">
        <f t="shared" si="19"/>
        <v/>
      </c>
      <c r="CM154" s="52"/>
      <c r="CN154" s="57" t="str">
        <f t="shared" si="20"/>
        <v/>
      </c>
    </row>
    <row r="155" spans="14:92" x14ac:dyDescent="0.25">
      <c r="N155" s="58"/>
      <c r="P155" s="60"/>
      <c r="Q155" s="13"/>
      <c r="V155" s="60"/>
      <c r="X155" s="61"/>
      <c r="AB155" s="60"/>
      <c r="AN155" s="54"/>
      <c r="AS155" s="15"/>
      <c r="BH155" s="52"/>
      <c r="BI155" s="21" t="str">
        <f ca="1">IFERROR(VLOOKUP(C155,OFFSET(abbreviation[],0,ColumnLanguage),ColumnAbbreviation,FALSE),"")</f>
        <v/>
      </c>
      <c r="BJ155" s="21" t="str">
        <f ca="1">IFERROR(VLOOKUP(E155,OFFSET(abbreviation[],0,ColumnLanguage),ColumnAbbreviation,FALSE),"")</f>
        <v/>
      </c>
      <c r="BK155" s="21" t="str">
        <f ca="1">IFERROR(VLOOKUP(G155,OFFSET(abbreviation[],0,ColumnLanguage),ColumnAbbreviation,FALSE),"")</f>
        <v/>
      </c>
      <c r="BL155" s="21" t="str">
        <f ca="1">IFERROR(VLOOKUP(I155,OFFSET(abbreviation[],0,ColumnLanguage),ColumnAbbreviation,FALSE),"")</f>
        <v/>
      </c>
      <c r="BM155" s="21" t="str">
        <f ca="1">IFERROR(VLOOKUP(K155,OFFSET(abbreviation[],0,ColumnLanguage),ColumnAbbreviation,FALSE),"")</f>
        <v/>
      </c>
      <c r="BN155" s="21" t="str">
        <f t="shared" ca="1" si="14"/>
        <v/>
      </c>
      <c r="BO155" s="21" t="str">
        <f ca="1">IFERROR(VLOOKUP(N155,OFFSET(abbreviation[],0,ColumnLanguage),ColumnAbbreviation,FALSE),"")</f>
        <v/>
      </c>
      <c r="BP155" s="21" t="str">
        <f ca="1">IFERROR(VLOOKUP(P155,OFFSET(abbreviation[],0,ColumnLanguage),ColumnAbbreviation,FALSE),"")</f>
        <v/>
      </c>
      <c r="BQ155" s="21" t="str">
        <f ca="1">IFERROR(VLOOKUP(T155,OFFSET(abbreviation[],0,ColumnLanguage),ColumnAbbreviation,FALSE),"")</f>
        <v/>
      </c>
      <c r="BR155" s="21" t="str">
        <f ca="1">IFERROR(VLOOKUP(V155,OFFSET(abbreviation[],0,ColumnLanguage),ColumnAbbreviation,FALSE),"")</f>
        <v/>
      </c>
      <c r="BS155" s="21" t="str">
        <f ca="1">IFERROR(VLOOKUP(Z155,OFFSET(abbreviation[],0,ColumnLanguage),ColumnAbbreviation,FALSE),"")</f>
        <v/>
      </c>
      <c r="BT155" s="21" t="str">
        <f ca="1">IFERROR(VLOOKUP(AB155,OFFSET(abbreviation[],0,ColumnLanguage),ColumnAbbreviation,FALSE),"")</f>
        <v/>
      </c>
      <c r="BU155" s="21" t="str">
        <f t="shared" ca="1" si="15"/>
        <v>__</v>
      </c>
      <c r="BV155" s="21" t="str">
        <f ca="1">IFERROR(VLOOKUP(AF155,OFFSET(abbreviation[],0,ColumnLanguage),ColumnAbbreviation,FALSE),"")</f>
        <v/>
      </c>
      <c r="BW155" s="21" t="str">
        <f ca="1">IFERROR(VLOOKUP(AH155,OFFSET(abbreviation[],0,ColumnLanguage),ColumnAbbreviation,FALSE),"")</f>
        <v/>
      </c>
      <c r="BX155" s="21" t="str">
        <f ca="1">IFERROR(VLOOKUP(AJ155,OFFSET(abbreviation[],0,ColumnLanguage),ColumnAbbreviation,FALSE),"")</f>
        <v/>
      </c>
      <c r="BY155" s="21" t="str">
        <f ca="1">IFERROR(VLOOKUP(AL155,OFFSET(abbreviation[],0,ColumnLanguage),ColumnAbbreviation,FALSE),"")</f>
        <v/>
      </c>
      <c r="BZ155" s="21" t="str">
        <f t="shared" ca="1" si="16"/>
        <v>_</v>
      </c>
      <c r="CA155" s="21" t="str">
        <f ca="1">IFERROR(VLOOKUP(AP155,OFFSET(abbreviation[],0,ColumnLanguage),ColumnAbbreviation,FALSE),"")</f>
        <v/>
      </c>
      <c r="CB155" s="21" t="str">
        <f ca="1">IFERROR(VLOOKUP(AR155,OFFSET(abbreviation[],0,ColumnLanguage),ColumnAbbreviation,FALSE),"")</f>
        <v/>
      </c>
      <c r="CC155" s="21" t="str">
        <f ca="1">IFERROR(VLOOKUP(AT155,OFFSET(abbreviation[],0,ColumnLanguage),ColumnAbbreviation,FALSE),"")</f>
        <v/>
      </c>
      <c r="CD155" s="21" t="str">
        <f ca="1">IFERROR(VLOOKUP(AV155,OFFSET(abbreviation[],0,ColumnLanguage),ColumnAbbreviation,FALSE),"")</f>
        <v/>
      </c>
      <c r="CE155" s="21" t="str">
        <f t="shared" ca="1" si="17"/>
        <v>__</v>
      </c>
      <c r="CF155" s="21" t="str">
        <f ca="1">IFERROR(VLOOKUP(AX155,OFFSET(abbreviation[],0,ColumnLanguage),ColumnAbbreviation,FALSE),"")</f>
        <v/>
      </c>
      <c r="CG155" s="21" t="str">
        <f ca="1">IFERROR(VLOOKUP(AZ155,OFFSET(abbreviation[],0,ColumnLanguage),ColumnAbbreviation,FALSE),"")</f>
        <v/>
      </c>
      <c r="CH155" s="21" t="str">
        <f ca="1">IFERROR(VLOOKUP(BB155,OFFSET(abbreviation[],0,ColumnLanguage),ColumnAbbreviation,FALSE),"")</f>
        <v/>
      </c>
      <c r="CI155" s="21" t="str">
        <f ca="1">IFERROR(VLOOKUP(BD155,OFFSET(abbreviation[],0,ColumnLanguage),ColumnAbbreviation,FALSE),"")</f>
        <v/>
      </c>
      <c r="CJ155" s="21" t="str">
        <f ca="1">IFERROR(VLOOKUP(BF155,OFFSET(abbreviation[],0,ColumnLanguage),ColumnAbbreviation,FALSE),"")</f>
        <v/>
      </c>
      <c r="CK155" s="21" t="str">
        <f t="shared" ca="1" si="18"/>
        <v/>
      </c>
      <c r="CL155" s="21" t="str">
        <f t="shared" si="19"/>
        <v/>
      </c>
      <c r="CM155" s="52"/>
      <c r="CN155" s="57" t="str">
        <f t="shared" si="20"/>
        <v/>
      </c>
    </row>
    <row r="156" spans="14:92" x14ac:dyDescent="0.25">
      <c r="N156" s="58"/>
      <c r="P156" s="60"/>
      <c r="Q156" s="13"/>
      <c r="V156" s="60"/>
      <c r="X156" s="61"/>
      <c r="AB156" s="60"/>
      <c r="AN156" s="54"/>
      <c r="AS156" s="15"/>
      <c r="BH156" s="52"/>
      <c r="BI156" s="21" t="str">
        <f ca="1">IFERROR(VLOOKUP(C156,OFFSET(abbreviation[],0,ColumnLanguage),ColumnAbbreviation,FALSE),"")</f>
        <v/>
      </c>
      <c r="BJ156" s="21" t="str">
        <f ca="1">IFERROR(VLOOKUP(E156,OFFSET(abbreviation[],0,ColumnLanguage),ColumnAbbreviation,FALSE),"")</f>
        <v/>
      </c>
      <c r="BK156" s="21" t="str">
        <f ca="1">IFERROR(VLOOKUP(G156,OFFSET(abbreviation[],0,ColumnLanguage),ColumnAbbreviation,FALSE),"")</f>
        <v/>
      </c>
      <c r="BL156" s="21" t="str">
        <f ca="1">IFERROR(VLOOKUP(I156,OFFSET(abbreviation[],0,ColumnLanguage),ColumnAbbreviation,FALSE),"")</f>
        <v/>
      </c>
      <c r="BM156" s="21" t="str">
        <f ca="1">IFERROR(VLOOKUP(K156,OFFSET(abbreviation[],0,ColumnLanguage),ColumnAbbreviation,FALSE),"")</f>
        <v/>
      </c>
      <c r="BN156" s="21" t="str">
        <f t="shared" ca="1" si="14"/>
        <v/>
      </c>
      <c r="BO156" s="21" t="str">
        <f ca="1">IFERROR(VLOOKUP(N156,OFFSET(abbreviation[],0,ColumnLanguage),ColumnAbbreviation,FALSE),"")</f>
        <v/>
      </c>
      <c r="BP156" s="21" t="str">
        <f ca="1">IFERROR(VLOOKUP(P156,OFFSET(abbreviation[],0,ColumnLanguage),ColumnAbbreviation,FALSE),"")</f>
        <v/>
      </c>
      <c r="BQ156" s="21" t="str">
        <f ca="1">IFERROR(VLOOKUP(T156,OFFSET(abbreviation[],0,ColumnLanguage),ColumnAbbreviation,FALSE),"")</f>
        <v/>
      </c>
      <c r="BR156" s="21" t="str">
        <f ca="1">IFERROR(VLOOKUP(V156,OFFSET(abbreviation[],0,ColumnLanguage),ColumnAbbreviation,FALSE),"")</f>
        <v/>
      </c>
      <c r="BS156" s="21" t="str">
        <f ca="1">IFERROR(VLOOKUP(Z156,OFFSET(abbreviation[],0,ColumnLanguage),ColumnAbbreviation,FALSE),"")</f>
        <v/>
      </c>
      <c r="BT156" s="21" t="str">
        <f ca="1">IFERROR(VLOOKUP(AB156,OFFSET(abbreviation[],0,ColumnLanguage),ColumnAbbreviation,FALSE),"")</f>
        <v/>
      </c>
      <c r="BU156" s="21" t="str">
        <f t="shared" ca="1" si="15"/>
        <v>__</v>
      </c>
      <c r="BV156" s="21" t="str">
        <f ca="1">IFERROR(VLOOKUP(AF156,OFFSET(abbreviation[],0,ColumnLanguage),ColumnAbbreviation,FALSE),"")</f>
        <v/>
      </c>
      <c r="BW156" s="21" t="str">
        <f ca="1">IFERROR(VLOOKUP(AH156,OFFSET(abbreviation[],0,ColumnLanguage),ColumnAbbreviation,FALSE),"")</f>
        <v/>
      </c>
      <c r="BX156" s="21" t="str">
        <f ca="1">IFERROR(VLOOKUP(AJ156,OFFSET(abbreviation[],0,ColumnLanguage),ColumnAbbreviation,FALSE),"")</f>
        <v/>
      </c>
      <c r="BY156" s="21" t="str">
        <f ca="1">IFERROR(VLOOKUP(AL156,OFFSET(abbreviation[],0,ColumnLanguage),ColumnAbbreviation,FALSE),"")</f>
        <v/>
      </c>
      <c r="BZ156" s="21" t="str">
        <f t="shared" ca="1" si="16"/>
        <v>_</v>
      </c>
      <c r="CA156" s="21" t="str">
        <f ca="1">IFERROR(VLOOKUP(AP156,OFFSET(abbreviation[],0,ColumnLanguage),ColumnAbbreviation,FALSE),"")</f>
        <v/>
      </c>
      <c r="CB156" s="21" t="str">
        <f ca="1">IFERROR(VLOOKUP(AR156,OFFSET(abbreviation[],0,ColumnLanguage),ColumnAbbreviation,FALSE),"")</f>
        <v/>
      </c>
      <c r="CC156" s="21" t="str">
        <f ca="1">IFERROR(VLOOKUP(AT156,OFFSET(abbreviation[],0,ColumnLanguage),ColumnAbbreviation,FALSE),"")</f>
        <v/>
      </c>
      <c r="CD156" s="21" t="str">
        <f ca="1">IFERROR(VLOOKUP(AV156,OFFSET(abbreviation[],0,ColumnLanguage),ColumnAbbreviation,FALSE),"")</f>
        <v/>
      </c>
      <c r="CE156" s="21" t="str">
        <f t="shared" ca="1" si="17"/>
        <v>__</v>
      </c>
      <c r="CF156" s="21" t="str">
        <f ca="1">IFERROR(VLOOKUP(AX156,OFFSET(abbreviation[],0,ColumnLanguage),ColumnAbbreviation,FALSE),"")</f>
        <v/>
      </c>
      <c r="CG156" s="21" t="str">
        <f ca="1">IFERROR(VLOOKUP(AZ156,OFFSET(abbreviation[],0,ColumnLanguage),ColumnAbbreviation,FALSE),"")</f>
        <v/>
      </c>
      <c r="CH156" s="21" t="str">
        <f ca="1">IFERROR(VLOOKUP(BB156,OFFSET(abbreviation[],0,ColumnLanguage),ColumnAbbreviation,FALSE),"")</f>
        <v/>
      </c>
      <c r="CI156" s="21" t="str">
        <f ca="1">IFERROR(VLOOKUP(BD156,OFFSET(abbreviation[],0,ColumnLanguage),ColumnAbbreviation,FALSE),"")</f>
        <v/>
      </c>
      <c r="CJ156" s="21" t="str">
        <f ca="1">IFERROR(VLOOKUP(BF156,OFFSET(abbreviation[],0,ColumnLanguage),ColumnAbbreviation,FALSE),"")</f>
        <v/>
      </c>
      <c r="CK156" s="21" t="str">
        <f t="shared" ca="1" si="18"/>
        <v/>
      </c>
      <c r="CL156" s="21" t="str">
        <f t="shared" si="19"/>
        <v/>
      </c>
      <c r="CM156" s="52"/>
      <c r="CN156" s="57" t="str">
        <f t="shared" si="20"/>
        <v/>
      </c>
    </row>
    <row r="157" spans="14:92" x14ac:dyDescent="0.25">
      <c r="N157" s="58"/>
      <c r="P157" s="60"/>
      <c r="Q157" s="13"/>
      <c r="V157" s="60"/>
      <c r="X157" s="61"/>
      <c r="AB157" s="60"/>
      <c r="AN157" s="54"/>
      <c r="AS157" s="15"/>
      <c r="BH157" s="52"/>
      <c r="BI157" s="21" t="str">
        <f ca="1">IFERROR(VLOOKUP(C157,OFFSET(abbreviation[],0,ColumnLanguage),ColumnAbbreviation,FALSE),"")</f>
        <v/>
      </c>
      <c r="BJ157" s="21" t="str">
        <f ca="1">IFERROR(VLOOKUP(E157,OFFSET(abbreviation[],0,ColumnLanguage),ColumnAbbreviation,FALSE),"")</f>
        <v/>
      </c>
      <c r="BK157" s="21" t="str">
        <f ca="1">IFERROR(VLOOKUP(G157,OFFSET(abbreviation[],0,ColumnLanguage),ColumnAbbreviation,FALSE),"")</f>
        <v/>
      </c>
      <c r="BL157" s="21" t="str">
        <f ca="1">IFERROR(VLOOKUP(I157,OFFSET(abbreviation[],0,ColumnLanguage),ColumnAbbreviation,FALSE),"")</f>
        <v/>
      </c>
      <c r="BM157" s="21" t="str">
        <f ca="1">IFERROR(VLOOKUP(K157,OFFSET(abbreviation[],0,ColumnLanguage),ColumnAbbreviation,FALSE),"")</f>
        <v/>
      </c>
      <c r="BN157" s="21" t="str">
        <f t="shared" ca="1" si="14"/>
        <v/>
      </c>
      <c r="BO157" s="21" t="str">
        <f ca="1">IFERROR(VLOOKUP(N157,OFFSET(abbreviation[],0,ColumnLanguage),ColumnAbbreviation,FALSE),"")</f>
        <v/>
      </c>
      <c r="BP157" s="21" t="str">
        <f ca="1">IFERROR(VLOOKUP(P157,OFFSET(abbreviation[],0,ColumnLanguage),ColumnAbbreviation,FALSE),"")</f>
        <v/>
      </c>
      <c r="BQ157" s="21" t="str">
        <f ca="1">IFERROR(VLOOKUP(T157,OFFSET(abbreviation[],0,ColumnLanguage),ColumnAbbreviation,FALSE),"")</f>
        <v/>
      </c>
      <c r="BR157" s="21" t="str">
        <f ca="1">IFERROR(VLOOKUP(V157,OFFSET(abbreviation[],0,ColumnLanguage),ColumnAbbreviation,FALSE),"")</f>
        <v/>
      </c>
      <c r="BS157" s="21" t="str">
        <f ca="1">IFERROR(VLOOKUP(Z157,OFFSET(abbreviation[],0,ColumnLanguage),ColumnAbbreviation,FALSE),"")</f>
        <v/>
      </c>
      <c r="BT157" s="21" t="str">
        <f ca="1">IFERROR(VLOOKUP(AB157,OFFSET(abbreviation[],0,ColumnLanguage),ColumnAbbreviation,FALSE),"")</f>
        <v/>
      </c>
      <c r="BU157" s="21" t="str">
        <f t="shared" ca="1" si="15"/>
        <v>__</v>
      </c>
      <c r="BV157" s="21" t="str">
        <f ca="1">IFERROR(VLOOKUP(AF157,OFFSET(abbreviation[],0,ColumnLanguage),ColumnAbbreviation,FALSE),"")</f>
        <v/>
      </c>
      <c r="BW157" s="21" t="str">
        <f ca="1">IFERROR(VLOOKUP(AH157,OFFSET(abbreviation[],0,ColumnLanguage),ColumnAbbreviation,FALSE),"")</f>
        <v/>
      </c>
      <c r="BX157" s="21" t="str">
        <f ca="1">IFERROR(VLOOKUP(AJ157,OFFSET(abbreviation[],0,ColumnLanguage),ColumnAbbreviation,FALSE),"")</f>
        <v/>
      </c>
      <c r="BY157" s="21" t="str">
        <f ca="1">IFERROR(VLOOKUP(AL157,OFFSET(abbreviation[],0,ColumnLanguage),ColumnAbbreviation,FALSE),"")</f>
        <v/>
      </c>
      <c r="BZ157" s="21" t="str">
        <f t="shared" ca="1" si="16"/>
        <v>_</v>
      </c>
      <c r="CA157" s="21" t="str">
        <f ca="1">IFERROR(VLOOKUP(AP157,OFFSET(abbreviation[],0,ColumnLanguage),ColumnAbbreviation,FALSE),"")</f>
        <v/>
      </c>
      <c r="CB157" s="21" t="str">
        <f ca="1">IFERROR(VLOOKUP(AR157,OFFSET(abbreviation[],0,ColumnLanguage),ColumnAbbreviation,FALSE),"")</f>
        <v/>
      </c>
      <c r="CC157" s="21" t="str">
        <f ca="1">IFERROR(VLOOKUP(AT157,OFFSET(abbreviation[],0,ColumnLanguage),ColumnAbbreviation,FALSE),"")</f>
        <v/>
      </c>
      <c r="CD157" s="21" t="str">
        <f ca="1">IFERROR(VLOOKUP(AV157,OFFSET(abbreviation[],0,ColumnLanguage),ColumnAbbreviation,FALSE),"")</f>
        <v/>
      </c>
      <c r="CE157" s="21" t="str">
        <f t="shared" ca="1" si="17"/>
        <v>__</v>
      </c>
      <c r="CF157" s="21" t="str">
        <f ca="1">IFERROR(VLOOKUP(AX157,OFFSET(abbreviation[],0,ColumnLanguage),ColumnAbbreviation,FALSE),"")</f>
        <v/>
      </c>
      <c r="CG157" s="21" t="str">
        <f ca="1">IFERROR(VLOOKUP(AZ157,OFFSET(abbreviation[],0,ColumnLanguage),ColumnAbbreviation,FALSE),"")</f>
        <v/>
      </c>
      <c r="CH157" s="21" t="str">
        <f ca="1">IFERROR(VLOOKUP(BB157,OFFSET(abbreviation[],0,ColumnLanguage),ColumnAbbreviation,FALSE),"")</f>
        <v/>
      </c>
      <c r="CI157" s="21" t="str">
        <f ca="1">IFERROR(VLOOKUP(BD157,OFFSET(abbreviation[],0,ColumnLanguage),ColumnAbbreviation,FALSE),"")</f>
        <v/>
      </c>
      <c r="CJ157" s="21" t="str">
        <f ca="1">IFERROR(VLOOKUP(BF157,OFFSET(abbreviation[],0,ColumnLanguage),ColumnAbbreviation,FALSE),"")</f>
        <v/>
      </c>
      <c r="CK157" s="21" t="str">
        <f t="shared" ca="1" si="18"/>
        <v/>
      </c>
      <c r="CL157" s="21" t="str">
        <f t="shared" si="19"/>
        <v/>
      </c>
      <c r="CM157" s="52"/>
      <c r="CN157" s="57" t="str">
        <f t="shared" si="20"/>
        <v/>
      </c>
    </row>
    <row r="158" spans="14:92" x14ac:dyDescent="0.25">
      <c r="N158" s="58"/>
      <c r="P158" s="60"/>
      <c r="Q158" s="13"/>
      <c r="V158" s="60"/>
      <c r="X158" s="61"/>
      <c r="AB158" s="60"/>
      <c r="AN158" s="54"/>
      <c r="AS158" s="15"/>
      <c r="BH158" s="52"/>
      <c r="BI158" s="21" t="str">
        <f ca="1">IFERROR(VLOOKUP(C158,OFFSET(abbreviation[],0,ColumnLanguage),ColumnAbbreviation,FALSE),"")</f>
        <v/>
      </c>
      <c r="BJ158" s="21" t="str">
        <f ca="1">IFERROR(VLOOKUP(E158,OFFSET(abbreviation[],0,ColumnLanguage),ColumnAbbreviation,FALSE),"")</f>
        <v/>
      </c>
      <c r="BK158" s="21" t="str">
        <f ca="1">IFERROR(VLOOKUP(G158,OFFSET(abbreviation[],0,ColumnLanguage),ColumnAbbreviation,FALSE),"")</f>
        <v/>
      </c>
      <c r="BL158" s="21" t="str">
        <f ca="1">IFERROR(VLOOKUP(I158,OFFSET(abbreviation[],0,ColumnLanguage),ColumnAbbreviation,FALSE),"")</f>
        <v/>
      </c>
      <c r="BM158" s="21" t="str">
        <f ca="1">IFERROR(VLOOKUP(K158,OFFSET(abbreviation[],0,ColumnLanguage),ColumnAbbreviation,FALSE),"")</f>
        <v/>
      </c>
      <c r="BN158" s="21" t="str">
        <f t="shared" ca="1" si="14"/>
        <v/>
      </c>
      <c r="BO158" s="21" t="str">
        <f ca="1">IFERROR(VLOOKUP(N158,OFFSET(abbreviation[],0,ColumnLanguage),ColumnAbbreviation,FALSE),"")</f>
        <v/>
      </c>
      <c r="BP158" s="21" t="str">
        <f ca="1">IFERROR(VLOOKUP(P158,OFFSET(abbreviation[],0,ColumnLanguage),ColumnAbbreviation,FALSE),"")</f>
        <v/>
      </c>
      <c r="BQ158" s="21" t="str">
        <f ca="1">IFERROR(VLOOKUP(T158,OFFSET(abbreviation[],0,ColumnLanguage),ColumnAbbreviation,FALSE),"")</f>
        <v/>
      </c>
      <c r="BR158" s="21" t="str">
        <f ca="1">IFERROR(VLOOKUP(V158,OFFSET(abbreviation[],0,ColumnLanguage),ColumnAbbreviation,FALSE),"")</f>
        <v/>
      </c>
      <c r="BS158" s="21" t="str">
        <f ca="1">IFERROR(VLOOKUP(Z158,OFFSET(abbreviation[],0,ColumnLanguage),ColumnAbbreviation,FALSE),"")</f>
        <v/>
      </c>
      <c r="BT158" s="21" t="str">
        <f ca="1">IFERROR(VLOOKUP(AB158,OFFSET(abbreviation[],0,ColumnLanguage),ColumnAbbreviation,FALSE),"")</f>
        <v/>
      </c>
      <c r="BU158" s="21" t="str">
        <f t="shared" ca="1" si="15"/>
        <v>__</v>
      </c>
      <c r="BV158" s="21" t="str">
        <f ca="1">IFERROR(VLOOKUP(AF158,OFFSET(abbreviation[],0,ColumnLanguage),ColumnAbbreviation,FALSE),"")</f>
        <v/>
      </c>
      <c r="BW158" s="21" t="str">
        <f ca="1">IFERROR(VLOOKUP(AH158,OFFSET(abbreviation[],0,ColumnLanguage),ColumnAbbreviation,FALSE),"")</f>
        <v/>
      </c>
      <c r="BX158" s="21" t="str">
        <f ca="1">IFERROR(VLOOKUP(AJ158,OFFSET(abbreviation[],0,ColumnLanguage),ColumnAbbreviation,FALSE),"")</f>
        <v/>
      </c>
      <c r="BY158" s="21" t="str">
        <f ca="1">IFERROR(VLOOKUP(AL158,OFFSET(abbreviation[],0,ColumnLanguage),ColumnAbbreviation,FALSE),"")</f>
        <v/>
      </c>
      <c r="BZ158" s="21" t="str">
        <f t="shared" ca="1" si="16"/>
        <v>_</v>
      </c>
      <c r="CA158" s="21" t="str">
        <f ca="1">IFERROR(VLOOKUP(AP158,OFFSET(abbreviation[],0,ColumnLanguage),ColumnAbbreviation,FALSE),"")</f>
        <v/>
      </c>
      <c r="CB158" s="21" t="str">
        <f ca="1">IFERROR(VLOOKUP(AR158,OFFSET(abbreviation[],0,ColumnLanguage),ColumnAbbreviation,FALSE),"")</f>
        <v/>
      </c>
      <c r="CC158" s="21" t="str">
        <f ca="1">IFERROR(VLOOKUP(AT158,OFFSET(abbreviation[],0,ColumnLanguage),ColumnAbbreviation,FALSE),"")</f>
        <v/>
      </c>
      <c r="CD158" s="21" t="str">
        <f ca="1">IFERROR(VLOOKUP(AV158,OFFSET(abbreviation[],0,ColumnLanguage),ColumnAbbreviation,FALSE),"")</f>
        <v/>
      </c>
      <c r="CE158" s="21" t="str">
        <f t="shared" ca="1" si="17"/>
        <v>__</v>
      </c>
      <c r="CF158" s="21" t="str">
        <f ca="1">IFERROR(VLOOKUP(AX158,OFFSET(abbreviation[],0,ColumnLanguage),ColumnAbbreviation,FALSE),"")</f>
        <v/>
      </c>
      <c r="CG158" s="21" t="str">
        <f ca="1">IFERROR(VLOOKUP(AZ158,OFFSET(abbreviation[],0,ColumnLanguage),ColumnAbbreviation,FALSE),"")</f>
        <v/>
      </c>
      <c r="CH158" s="21" t="str">
        <f ca="1">IFERROR(VLOOKUP(BB158,OFFSET(abbreviation[],0,ColumnLanguage),ColumnAbbreviation,FALSE),"")</f>
        <v/>
      </c>
      <c r="CI158" s="21" t="str">
        <f ca="1">IFERROR(VLOOKUP(BD158,OFFSET(abbreviation[],0,ColumnLanguage),ColumnAbbreviation,FALSE),"")</f>
        <v/>
      </c>
      <c r="CJ158" s="21" t="str">
        <f ca="1">IFERROR(VLOOKUP(BF158,OFFSET(abbreviation[],0,ColumnLanguage),ColumnAbbreviation,FALSE),"")</f>
        <v/>
      </c>
      <c r="CK158" s="21" t="str">
        <f t="shared" ca="1" si="18"/>
        <v/>
      </c>
      <c r="CL158" s="21" t="str">
        <f t="shared" si="19"/>
        <v/>
      </c>
      <c r="CM158" s="52"/>
      <c r="CN158" s="57" t="str">
        <f t="shared" si="20"/>
        <v/>
      </c>
    </row>
    <row r="159" spans="14:92" x14ac:dyDescent="0.25">
      <c r="N159" s="58"/>
      <c r="P159" s="60"/>
      <c r="Q159" s="13"/>
      <c r="V159" s="60"/>
      <c r="X159" s="61"/>
      <c r="AB159" s="60"/>
      <c r="AN159" s="54"/>
      <c r="AS159" s="15"/>
      <c r="BH159" s="52"/>
      <c r="BI159" s="21" t="str">
        <f ca="1">IFERROR(VLOOKUP(C159,OFFSET(abbreviation[],0,ColumnLanguage),ColumnAbbreviation,FALSE),"")</f>
        <v/>
      </c>
      <c r="BJ159" s="21" t="str">
        <f ca="1">IFERROR(VLOOKUP(E159,OFFSET(abbreviation[],0,ColumnLanguage),ColumnAbbreviation,FALSE),"")</f>
        <v/>
      </c>
      <c r="BK159" s="21" t="str">
        <f ca="1">IFERROR(VLOOKUP(G159,OFFSET(abbreviation[],0,ColumnLanguage),ColumnAbbreviation,FALSE),"")</f>
        <v/>
      </c>
      <c r="BL159" s="21" t="str">
        <f ca="1">IFERROR(VLOOKUP(I159,OFFSET(abbreviation[],0,ColumnLanguage),ColumnAbbreviation,FALSE),"")</f>
        <v/>
      </c>
      <c r="BM159" s="21" t="str">
        <f ca="1">IFERROR(VLOOKUP(K159,OFFSET(abbreviation[],0,ColumnLanguage),ColumnAbbreviation,FALSE),"")</f>
        <v/>
      </c>
      <c r="BN159" s="21" t="str">
        <f t="shared" ca="1" si="14"/>
        <v/>
      </c>
      <c r="BO159" s="21" t="str">
        <f ca="1">IFERROR(VLOOKUP(N159,OFFSET(abbreviation[],0,ColumnLanguage),ColumnAbbreviation,FALSE),"")</f>
        <v/>
      </c>
      <c r="BP159" s="21" t="str">
        <f ca="1">IFERROR(VLOOKUP(P159,OFFSET(abbreviation[],0,ColumnLanguage),ColumnAbbreviation,FALSE),"")</f>
        <v/>
      </c>
      <c r="BQ159" s="21" t="str">
        <f ca="1">IFERROR(VLOOKUP(T159,OFFSET(abbreviation[],0,ColumnLanguage),ColumnAbbreviation,FALSE),"")</f>
        <v/>
      </c>
      <c r="BR159" s="21" t="str">
        <f ca="1">IFERROR(VLOOKUP(V159,OFFSET(abbreviation[],0,ColumnLanguage),ColumnAbbreviation,FALSE),"")</f>
        <v/>
      </c>
      <c r="BS159" s="21" t="str">
        <f ca="1">IFERROR(VLOOKUP(Z159,OFFSET(abbreviation[],0,ColumnLanguage),ColumnAbbreviation,FALSE),"")</f>
        <v/>
      </c>
      <c r="BT159" s="21" t="str">
        <f ca="1">IFERROR(VLOOKUP(AB159,OFFSET(abbreviation[],0,ColumnLanguage),ColumnAbbreviation,FALSE),"")</f>
        <v/>
      </c>
      <c r="BU159" s="21" t="str">
        <f t="shared" ca="1" si="15"/>
        <v>__</v>
      </c>
      <c r="BV159" s="21" t="str">
        <f ca="1">IFERROR(VLOOKUP(AF159,OFFSET(abbreviation[],0,ColumnLanguage),ColumnAbbreviation,FALSE),"")</f>
        <v/>
      </c>
      <c r="BW159" s="21" t="str">
        <f ca="1">IFERROR(VLOOKUP(AH159,OFFSET(abbreviation[],0,ColumnLanguage),ColumnAbbreviation,FALSE),"")</f>
        <v/>
      </c>
      <c r="BX159" s="21" t="str">
        <f ca="1">IFERROR(VLOOKUP(AJ159,OFFSET(abbreviation[],0,ColumnLanguage),ColumnAbbreviation,FALSE),"")</f>
        <v/>
      </c>
      <c r="BY159" s="21" t="str">
        <f ca="1">IFERROR(VLOOKUP(AL159,OFFSET(abbreviation[],0,ColumnLanguage),ColumnAbbreviation,FALSE),"")</f>
        <v/>
      </c>
      <c r="BZ159" s="21" t="str">
        <f t="shared" ca="1" si="16"/>
        <v>_</v>
      </c>
      <c r="CA159" s="21" t="str">
        <f ca="1">IFERROR(VLOOKUP(AP159,OFFSET(abbreviation[],0,ColumnLanguage),ColumnAbbreviation,FALSE),"")</f>
        <v/>
      </c>
      <c r="CB159" s="21" t="str">
        <f ca="1">IFERROR(VLOOKUP(AR159,OFFSET(abbreviation[],0,ColumnLanguage),ColumnAbbreviation,FALSE),"")</f>
        <v/>
      </c>
      <c r="CC159" s="21" t="str">
        <f ca="1">IFERROR(VLOOKUP(AT159,OFFSET(abbreviation[],0,ColumnLanguage),ColumnAbbreviation,FALSE),"")</f>
        <v/>
      </c>
      <c r="CD159" s="21" t="str">
        <f ca="1">IFERROR(VLOOKUP(AV159,OFFSET(abbreviation[],0,ColumnLanguage),ColumnAbbreviation,FALSE),"")</f>
        <v/>
      </c>
      <c r="CE159" s="21" t="str">
        <f t="shared" ca="1" si="17"/>
        <v>__</v>
      </c>
      <c r="CF159" s="21" t="str">
        <f ca="1">IFERROR(VLOOKUP(AX159,OFFSET(abbreviation[],0,ColumnLanguage),ColumnAbbreviation,FALSE),"")</f>
        <v/>
      </c>
      <c r="CG159" s="21" t="str">
        <f ca="1">IFERROR(VLOOKUP(AZ159,OFFSET(abbreviation[],0,ColumnLanguage),ColumnAbbreviation,FALSE),"")</f>
        <v/>
      </c>
      <c r="CH159" s="21" t="str">
        <f ca="1">IFERROR(VLOOKUP(BB159,OFFSET(abbreviation[],0,ColumnLanguage),ColumnAbbreviation,FALSE),"")</f>
        <v/>
      </c>
      <c r="CI159" s="21" t="str">
        <f ca="1">IFERROR(VLOOKUP(BD159,OFFSET(abbreviation[],0,ColumnLanguage),ColumnAbbreviation,FALSE),"")</f>
        <v/>
      </c>
      <c r="CJ159" s="21" t="str">
        <f ca="1">IFERROR(VLOOKUP(BF159,OFFSET(abbreviation[],0,ColumnLanguage),ColumnAbbreviation,FALSE),"")</f>
        <v/>
      </c>
      <c r="CK159" s="21" t="str">
        <f t="shared" ca="1" si="18"/>
        <v/>
      </c>
      <c r="CL159" s="21" t="str">
        <f t="shared" si="19"/>
        <v/>
      </c>
      <c r="CM159" s="52"/>
      <c r="CN159" s="57" t="str">
        <f t="shared" si="20"/>
        <v/>
      </c>
    </row>
    <row r="160" spans="14:92" x14ac:dyDescent="0.25">
      <c r="N160" s="58"/>
      <c r="P160" s="60"/>
      <c r="Q160" s="13"/>
      <c r="V160" s="60"/>
      <c r="X160" s="61"/>
      <c r="AB160" s="60"/>
      <c r="AN160" s="54"/>
      <c r="AS160" s="15"/>
      <c r="BH160" s="52"/>
      <c r="BI160" s="21" t="str">
        <f ca="1">IFERROR(VLOOKUP(C160,OFFSET(abbreviation[],0,ColumnLanguage),ColumnAbbreviation,FALSE),"")</f>
        <v/>
      </c>
      <c r="BJ160" s="21" t="str">
        <f ca="1">IFERROR(VLOOKUP(E160,OFFSET(abbreviation[],0,ColumnLanguage),ColumnAbbreviation,FALSE),"")</f>
        <v/>
      </c>
      <c r="BK160" s="21" t="str">
        <f ca="1">IFERROR(VLOOKUP(G160,OFFSET(abbreviation[],0,ColumnLanguage),ColumnAbbreviation,FALSE),"")</f>
        <v/>
      </c>
      <c r="BL160" s="21" t="str">
        <f ca="1">IFERROR(VLOOKUP(I160,OFFSET(abbreviation[],0,ColumnLanguage),ColumnAbbreviation,FALSE),"")</f>
        <v/>
      </c>
      <c r="BM160" s="21" t="str">
        <f ca="1">IFERROR(VLOOKUP(K160,OFFSET(abbreviation[],0,ColumnLanguage),ColumnAbbreviation,FALSE),"")</f>
        <v/>
      </c>
      <c r="BN160" s="21" t="str">
        <f t="shared" ca="1" si="14"/>
        <v/>
      </c>
      <c r="BO160" s="21" t="str">
        <f ca="1">IFERROR(VLOOKUP(N160,OFFSET(abbreviation[],0,ColumnLanguage),ColumnAbbreviation,FALSE),"")</f>
        <v/>
      </c>
      <c r="BP160" s="21" t="str">
        <f ca="1">IFERROR(VLOOKUP(P160,OFFSET(abbreviation[],0,ColumnLanguage),ColumnAbbreviation,FALSE),"")</f>
        <v/>
      </c>
      <c r="BQ160" s="21" t="str">
        <f ca="1">IFERROR(VLOOKUP(T160,OFFSET(abbreviation[],0,ColumnLanguage),ColumnAbbreviation,FALSE),"")</f>
        <v/>
      </c>
      <c r="BR160" s="21" t="str">
        <f ca="1">IFERROR(VLOOKUP(V160,OFFSET(abbreviation[],0,ColumnLanguage),ColumnAbbreviation,FALSE),"")</f>
        <v/>
      </c>
      <c r="BS160" s="21" t="str">
        <f ca="1">IFERROR(VLOOKUP(Z160,OFFSET(abbreviation[],0,ColumnLanguage),ColumnAbbreviation,FALSE),"")</f>
        <v/>
      </c>
      <c r="BT160" s="21" t="str">
        <f ca="1">IFERROR(VLOOKUP(AB160,OFFSET(abbreviation[],0,ColumnLanguage),ColumnAbbreviation,FALSE),"")</f>
        <v/>
      </c>
      <c r="BU160" s="21" t="str">
        <f t="shared" ca="1" si="15"/>
        <v>__</v>
      </c>
      <c r="BV160" s="21" t="str">
        <f ca="1">IFERROR(VLOOKUP(AF160,OFFSET(abbreviation[],0,ColumnLanguage),ColumnAbbreviation,FALSE),"")</f>
        <v/>
      </c>
      <c r="BW160" s="21" t="str">
        <f ca="1">IFERROR(VLOOKUP(AH160,OFFSET(abbreviation[],0,ColumnLanguage),ColumnAbbreviation,FALSE),"")</f>
        <v/>
      </c>
      <c r="BX160" s="21" t="str">
        <f ca="1">IFERROR(VLOOKUP(AJ160,OFFSET(abbreviation[],0,ColumnLanguage),ColumnAbbreviation,FALSE),"")</f>
        <v/>
      </c>
      <c r="BY160" s="21" t="str">
        <f ca="1">IFERROR(VLOOKUP(AL160,OFFSET(abbreviation[],0,ColumnLanguage),ColumnAbbreviation,FALSE),"")</f>
        <v/>
      </c>
      <c r="BZ160" s="21" t="str">
        <f t="shared" ca="1" si="16"/>
        <v>_</v>
      </c>
      <c r="CA160" s="21" t="str">
        <f ca="1">IFERROR(VLOOKUP(AP160,OFFSET(abbreviation[],0,ColumnLanguage),ColumnAbbreviation,FALSE),"")</f>
        <v/>
      </c>
      <c r="CB160" s="21" t="str">
        <f ca="1">IFERROR(VLOOKUP(AR160,OFFSET(abbreviation[],0,ColumnLanguage),ColumnAbbreviation,FALSE),"")</f>
        <v/>
      </c>
      <c r="CC160" s="21" t="str">
        <f ca="1">IFERROR(VLOOKUP(AT160,OFFSET(abbreviation[],0,ColumnLanguage),ColumnAbbreviation,FALSE),"")</f>
        <v/>
      </c>
      <c r="CD160" s="21" t="str">
        <f ca="1">IFERROR(VLOOKUP(AV160,OFFSET(abbreviation[],0,ColumnLanguage),ColumnAbbreviation,FALSE),"")</f>
        <v/>
      </c>
      <c r="CE160" s="21" t="str">
        <f t="shared" ca="1" si="17"/>
        <v>__</v>
      </c>
      <c r="CF160" s="21" t="str">
        <f ca="1">IFERROR(VLOOKUP(AX160,OFFSET(abbreviation[],0,ColumnLanguage),ColumnAbbreviation,FALSE),"")</f>
        <v/>
      </c>
      <c r="CG160" s="21" t="str">
        <f ca="1">IFERROR(VLOOKUP(AZ160,OFFSET(abbreviation[],0,ColumnLanguage),ColumnAbbreviation,FALSE),"")</f>
        <v/>
      </c>
      <c r="CH160" s="21" t="str">
        <f ca="1">IFERROR(VLOOKUP(BB160,OFFSET(abbreviation[],0,ColumnLanguage),ColumnAbbreviation,FALSE),"")</f>
        <v/>
      </c>
      <c r="CI160" s="21" t="str">
        <f ca="1">IFERROR(VLOOKUP(BD160,OFFSET(abbreviation[],0,ColumnLanguage),ColumnAbbreviation,FALSE),"")</f>
        <v/>
      </c>
      <c r="CJ160" s="21" t="str">
        <f ca="1">IFERROR(VLOOKUP(BF160,OFFSET(abbreviation[],0,ColumnLanguage),ColumnAbbreviation,FALSE),"")</f>
        <v/>
      </c>
      <c r="CK160" s="21" t="str">
        <f t="shared" ca="1" si="18"/>
        <v/>
      </c>
      <c r="CL160" s="21" t="str">
        <f t="shared" si="19"/>
        <v/>
      </c>
      <c r="CM160" s="52"/>
      <c r="CN160" s="57" t="str">
        <f t="shared" si="20"/>
        <v/>
      </c>
    </row>
    <row r="161" spans="14:92" x14ac:dyDescent="0.25">
      <c r="N161" s="58"/>
      <c r="P161" s="60"/>
      <c r="Q161" s="13"/>
      <c r="V161" s="60"/>
      <c r="X161" s="61"/>
      <c r="AB161" s="60"/>
      <c r="AN161" s="54"/>
      <c r="AS161" s="15"/>
      <c r="BH161" s="52"/>
      <c r="BI161" s="21" t="str">
        <f ca="1">IFERROR(VLOOKUP(C161,OFFSET(abbreviation[],0,ColumnLanguage),ColumnAbbreviation,FALSE),"")</f>
        <v/>
      </c>
      <c r="BJ161" s="21" t="str">
        <f ca="1">IFERROR(VLOOKUP(E161,OFFSET(abbreviation[],0,ColumnLanguage),ColumnAbbreviation,FALSE),"")</f>
        <v/>
      </c>
      <c r="BK161" s="21" t="str">
        <f ca="1">IFERROR(VLOOKUP(G161,OFFSET(abbreviation[],0,ColumnLanguage),ColumnAbbreviation,FALSE),"")</f>
        <v/>
      </c>
      <c r="BL161" s="21" t="str">
        <f ca="1">IFERROR(VLOOKUP(I161,OFFSET(abbreviation[],0,ColumnLanguage),ColumnAbbreviation,FALSE),"")</f>
        <v/>
      </c>
      <c r="BM161" s="21" t="str">
        <f ca="1">IFERROR(VLOOKUP(K161,OFFSET(abbreviation[],0,ColumnLanguage),ColumnAbbreviation,FALSE),"")</f>
        <v/>
      </c>
      <c r="BN161" s="21" t="str">
        <f t="shared" ca="1" si="14"/>
        <v/>
      </c>
      <c r="BO161" s="21" t="str">
        <f ca="1">IFERROR(VLOOKUP(N161,OFFSET(abbreviation[],0,ColumnLanguage),ColumnAbbreviation,FALSE),"")</f>
        <v/>
      </c>
      <c r="BP161" s="21" t="str">
        <f ca="1">IFERROR(VLOOKUP(P161,OFFSET(abbreviation[],0,ColumnLanguage),ColumnAbbreviation,FALSE),"")</f>
        <v/>
      </c>
      <c r="BQ161" s="21" t="str">
        <f ca="1">IFERROR(VLOOKUP(T161,OFFSET(abbreviation[],0,ColumnLanguage),ColumnAbbreviation,FALSE),"")</f>
        <v/>
      </c>
      <c r="BR161" s="21" t="str">
        <f ca="1">IFERROR(VLOOKUP(V161,OFFSET(abbreviation[],0,ColumnLanguage),ColumnAbbreviation,FALSE),"")</f>
        <v/>
      </c>
      <c r="BS161" s="21" t="str">
        <f ca="1">IFERROR(VLOOKUP(Z161,OFFSET(abbreviation[],0,ColumnLanguage),ColumnAbbreviation,FALSE),"")</f>
        <v/>
      </c>
      <c r="BT161" s="21" t="str">
        <f ca="1">IFERROR(VLOOKUP(AB161,OFFSET(abbreviation[],0,ColumnLanguage),ColumnAbbreviation,FALSE),"")</f>
        <v/>
      </c>
      <c r="BU161" s="21" t="str">
        <f t="shared" ca="1" si="15"/>
        <v>__</v>
      </c>
      <c r="BV161" s="21" t="str">
        <f ca="1">IFERROR(VLOOKUP(AF161,OFFSET(abbreviation[],0,ColumnLanguage),ColumnAbbreviation,FALSE),"")</f>
        <v/>
      </c>
      <c r="BW161" s="21" t="str">
        <f ca="1">IFERROR(VLOOKUP(AH161,OFFSET(abbreviation[],0,ColumnLanguage),ColumnAbbreviation,FALSE),"")</f>
        <v/>
      </c>
      <c r="BX161" s="21" t="str">
        <f ca="1">IFERROR(VLOOKUP(AJ161,OFFSET(abbreviation[],0,ColumnLanguage),ColumnAbbreviation,FALSE),"")</f>
        <v/>
      </c>
      <c r="BY161" s="21" t="str">
        <f ca="1">IFERROR(VLOOKUP(AL161,OFFSET(abbreviation[],0,ColumnLanguage),ColumnAbbreviation,FALSE),"")</f>
        <v/>
      </c>
      <c r="BZ161" s="21" t="str">
        <f t="shared" ca="1" si="16"/>
        <v>_</v>
      </c>
      <c r="CA161" s="21" t="str">
        <f ca="1">IFERROR(VLOOKUP(AP161,OFFSET(abbreviation[],0,ColumnLanguage),ColumnAbbreviation,FALSE),"")</f>
        <v/>
      </c>
      <c r="CB161" s="21" t="str">
        <f ca="1">IFERROR(VLOOKUP(AR161,OFFSET(abbreviation[],0,ColumnLanguage),ColumnAbbreviation,FALSE),"")</f>
        <v/>
      </c>
      <c r="CC161" s="21" t="str">
        <f ca="1">IFERROR(VLOOKUP(AT161,OFFSET(abbreviation[],0,ColumnLanguage),ColumnAbbreviation,FALSE),"")</f>
        <v/>
      </c>
      <c r="CD161" s="21" t="str">
        <f ca="1">IFERROR(VLOOKUP(AV161,OFFSET(abbreviation[],0,ColumnLanguage),ColumnAbbreviation,FALSE),"")</f>
        <v/>
      </c>
      <c r="CE161" s="21" t="str">
        <f t="shared" ca="1" si="17"/>
        <v>__</v>
      </c>
      <c r="CF161" s="21" t="str">
        <f ca="1">IFERROR(VLOOKUP(AX161,OFFSET(abbreviation[],0,ColumnLanguage),ColumnAbbreviation,FALSE),"")</f>
        <v/>
      </c>
      <c r="CG161" s="21" t="str">
        <f ca="1">IFERROR(VLOOKUP(AZ161,OFFSET(abbreviation[],0,ColumnLanguage),ColumnAbbreviation,FALSE),"")</f>
        <v/>
      </c>
      <c r="CH161" s="21" t="str">
        <f ca="1">IFERROR(VLOOKUP(BB161,OFFSET(abbreviation[],0,ColumnLanguage),ColumnAbbreviation,FALSE),"")</f>
        <v/>
      </c>
      <c r="CI161" s="21" t="str">
        <f ca="1">IFERROR(VLOOKUP(BD161,OFFSET(abbreviation[],0,ColumnLanguage),ColumnAbbreviation,FALSE),"")</f>
        <v/>
      </c>
      <c r="CJ161" s="21" t="str">
        <f ca="1">IFERROR(VLOOKUP(BF161,OFFSET(abbreviation[],0,ColumnLanguage),ColumnAbbreviation,FALSE),"")</f>
        <v/>
      </c>
      <c r="CK161" s="21" t="str">
        <f t="shared" ca="1" si="18"/>
        <v/>
      </c>
      <c r="CL161" s="21" t="str">
        <f t="shared" si="19"/>
        <v/>
      </c>
      <c r="CM161" s="52"/>
      <c r="CN161" s="57" t="str">
        <f t="shared" si="20"/>
        <v/>
      </c>
    </row>
    <row r="162" spans="14:92" x14ac:dyDescent="0.25">
      <c r="N162" s="58"/>
      <c r="P162" s="60"/>
      <c r="Q162" s="13"/>
      <c r="V162" s="60"/>
      <c r="X162" s="61"/>
      <c r="AB162" s="60"/>
      <c r="AN162" s="54"/>
      <c r="AS162" s="15"/>
      <c r="BH162" s="52"/>
      <c r="BI162" s="21" t="str">
        <f ca="1">IFERROR(VLOOKUP(C162,OFFSET(abbreviation[],0,ColumnLanguage),ColumnAbbreviation,FALSE),"")</f>
        <v/>
      </c>
      <c r="BJ162" s="21" t="str">
        <f ca="1">IFERROR(VLOOKUP(E162,OFFSET(abbreviation[],0,ColumnLanguage),ColumnAbbreviation,FALSE),"")</f>
        <v/>
      </c>
      <c r="BK162" s="21" t="str">
        <f ca="1">IFERROR(VLOOKUP(G162,OFFSET(abbreviation[],0,ColumnLanguage),ColumnAbbreviation,FALSE),"")</f>
        <v/>
      </c>
      <c r="BL162" s="21" t="str">
        <f ca="1">IFERROR(VLOOKUP(I162,OFFSET(abbreviation[],0,ColumnLanguage),ColumnAbbreviation,FALSE),"")</f>
        <v/>
      </c>
      <c r="BM162" s="21" t="str">
        <f ca="1">IFERROR(VLOOKUP(K162,OFFSET(abbreviation[],0,ColumnLanguage),ColumnAbbreviation,FALSE),"")</f>
        <v/>
      </c>
      <c r="BN162" s="21" t="str">
        <f t="shared" ca="1" si="14"/>
        <v/>
      </c>
      <c r="BO162" s="21" t="str">
        <f ca="1">IFERROR(VLOOKUP(N162,OFFSET(abbreviation[],0,ColumnLanguage),ColumnAbbreviation,FALSE),"")</f>
        <v/>
      </c>
      <c r="BP162" s="21" t="str">
        <f ca="1">IFERROR(VLOOKUP(P162,OFFSET(abbreviation[],0,ColumnLanguage),ColumnAbbreviation,FALSE),"")</f>
        <v/>
      </c>
      <c r="BQ162" s="21" t="str">
        <f ca="1">IFERROR(VLOOKUP(T162,OFFSET(abbreviation[],0,ColumnLanguage),ColumnAbbreviation,FALSE),"")</f>
        <v/>
      </c>
      <c r="BR162" s="21" t="str">
        <f ca="1">IFERROR(VLOOKUP(V162,OFFSET(abbreviation[],0,ColumnLanguage),ColumnAbbreviation,FALSE),"")</f>
        <v/>
      </c>
      <c r="BS162" s="21" t="str">
        <f ca="1">IFERROR(VLOOKUP(Z162,OFFSET(abbreviation[],0,ColumnLanguage),ColumnAbbreviation,FALSE),"")</f>
        <v/>
      </c>
      <c r="BT162" s="21" t="str">
        <f ca="1">IFERROR(VLOOKUP(AB162,OFFSET(abbreviation[],0,ColumnLanguage),ColumnAbbreviation,FALSE),"")</f>
        <v/>
      </c>
      <c r="BU162" s="21" t="str">
        <f t="shared" ca="1" si="15"/>
        <v>__</v>
      </c>
      <c r="BV162" s="21" t="str">
        <f ca="1">IFERROR(VLOOKUP(AF162,OFFSET(abbreviation[],0,ColumnLanguage),ColumnAbbreviation,FALSE),"")</f>
        <v/>
      </c>
      <c r="BW162" s="21" t="str">
        <f ca="1">IFERROR(VLOOKUP(AH162,OFFSET(abbreviation[],0,ColumnLanguage),ColumnAbbreviation,FALSE),"")</f>
        <v/>
      </c>
      <c r="BX162" s="21" t="str">
        <f ca="1">IFERROR(VLOOKUP(AJ162,OFFSET(abbreviation[],0,ColumnLanguage),ColumnAbbreviation,FALSE),"")</f>
        <v/>
      </c>
      <c r="BY162" s="21" t="str">
        <f ca="1">IFERROR(VLOOKUP(AL162,OFFSET(abbreviation[],0,ColumnLanguage),ColumnAbbreviation,FALSE),"")</f>
        <v/>
      </c>
      <c r="BZ162" s="21" t="str">
        <f t="shared" ca="1" si="16"/>
        <v>_</v>
      </c>
      <c r="CA162" s="21" t="str">
        <f ca="1">IFERROR(VLOOKUP(AP162,OFFSET(abbreviation[],0,ColumnLanguage),ColumnAbbreviation,FALSE),"")</f>
        <v/>
      </c>
      <c r="CB162" s="21" t="str">
        <f ca="1">IFERROR(VLOOKUP(AR162,OFFSET(abbreviation[],0,ColumnLanguage),ColumnAbbreviation,FALSE),"")</f>
        <v/>
      </c>
      <c r="CC162" s="21" t="str">
        <f ca="1">IFERROR(VLOOKUP(AT162,OFFSET(abbreviation[],0,ColumnLanguage),ColumnAbbreviation,FALSE),"")</f>
        <v/>
      </c>
      <c r="CD162" s="21" t="str">
        <f ca="1">IFERROR(VLOOKUP(AV162,OFFSET(abbreviation[],0,ColumnLanguage),ColumnAbbreviation,FALSE),"")</f>
        <v/>
      </c>
      <c r="CE162" s="21" t="str">
        <f t="shared" ca="1" si="17"/>
        <v>__</v>
      </c>
      <c r="CF162" s="21" t="str">
        <f ca="1">IFERROR(VLOOKUP(AX162,OFFSET(abbreviation[],0,ColumnLanguage),ColumnAbbreviation,FALSE),"")</f>
        <v/>
      </c>
      <c r="CG162" s="21" t="str">
        <f ca="1">IFERROR(VLOOKUP(AZ162,OFFSET(abbreviation[],0,ColumnLanguage),ColumnAbbreviation,FALSE),"")</f>
        <v/>
      </c>
      <c r="CH162" s="21" t="str">
        <f ca="1">IFERROR(VLOOKUP(BB162,OFFSET(abbreviation[],0,ColumnLanguage),ColumnAbbreviation,FALSE),"")</f>
        <v/>
      </c>
      <c r="CI162" s="21" t="str">
        <f ca="1">IFERROR(VLOOKUP(BD162,OFFSET(abbreviation[],0,ColumnLanguage),ColumnAbbreviation,FALSE),"")</f>
        <v/>
      </c>
      <c r="CJ162" s="21" t="str">
        <f ca="1">IFERROR(VLOOKUP(BF162,OFFSET(abbreviation[],0,ColumnLanguage),ColumnAbbreviation,FALSE),"")</f>
        <v/>
      </c>
      <c r="CK162" s="21" t="str">
        <f t="shared" ca="1" si="18"/>
        <v/>
      </c>
      <c r="CL162" s="21" t="str">
        <f t="shared" si="19"/>
        <v/>
      </c>
      <c r="CM162" s="52"/>
      <c r="CN162" s="57" t="str">
        <f t="shared" si="20"/>
        <v/>
      </c>
    </row>
    <row r="163" spans="14:92" x14ac:dyDescent="0.25">
      <c r="N163" s="58"/>
      <c r="P163" s="60"/>
      <c r="Q163" s="13"/>
      <c r="V163" s="60"/>
      <c r="X163" s="61"/>
      <c r="AB163" s="60"/>
      <c r="AN163" s="54"/>
      <c r="AS163" s="15"/>
      <c r="BH163" s="52"/>
      <c r="BI163" s="21" t="str">
        <f ca="1">IFERROR(VLOOKUP(C163,OFFSET(abbreviation[],0,ColumnLanguage),ColumnAbbreviation,FALSE),"")</f>
        <v/>
      </c>
      <c r="BJ163" s="21" t="str">
        <f ca="1">IFERROR(VLOOKUP(E163,OFFSET(abbreviation[],0,ColumnLanguage),ColumnAbbreviation,FALSE),"")</f>
        <v/>
      </c>
      <c r="BK163" s="21" t="str">
        <f ca="1">IFERROR(VLOOKUP(G163,OFFSET(abbreviation[],0,ColumnLanguage),ColumnAbbreviation,FALSE),"")</f>
        <v/>
      </c>
      <c r="BL163" s="21" t="str">
        <f ca="1">IFERROR(VLOOKUP(I163,OFFSET(abbreviation[],0,ColumnLanguage),ColumnAbbreviation,FALSE),"")</f>
        <v/>
      </c>
      <c r="BM163" s="21" t="str">
        <f ca="1">IFERROR(VLOOKUP(K163,OFFSET(abbreviation[],0,ColumnLanguage),ColumnAbbreviation,FALSE),"")</f>
        <v/>
      </c>
      <c r="BN163" s="21" t="str">
        <f t="shared" ca="1" si="14"/>
        <v/>
      </c>
      <c r="BO163" s="21" t="str">
        <f ca="1">IFERROR(VLOOKUP(N163,OFFSET(abbreviation[],0,ColumnLanguage),ColumnAbbreviation,FALSE),"")</f>
        <v/>
      </c>
      <c r="BP163" s="21" t="str">
        <f ca="1">IFERROR(VLOOKUP(P163,OFFSET(abbreviation[],0,ColumnLanguage),ColumnAbbreviation,FALSE),"")</f>
        <v/>
      </c>
      <c r="BQ163" s="21" t="str">
        <f ca="1">IFERROR(VLOOKUP(T163,OFFSET(abbreviation[],0,ColumnLanguage),ColumnAbbreviation,FALSE),"")</f>
        <v/>
      </c>
      <c r="BR163" s="21" t="str">
        <f ca="1">IFERROR(VLOOKUP(V163,OFFSET(abbreviation[],0,ColumnLanguage),ColumnAbbreviation,FALSE),"")</f>
        <v/>
      </c>
      <c r="BS163" s="21" t="str">
        <f ca="1">IFERROR(VLOOKUP(Z163,OFFSET(abbreviation[],0,ColumnLanguage),ColumnAbbreviation,FALSE),"")</f>
        <v/>
      </c>
      <c r="BT163" s="21" t="str">
        <f ca="1">IFERROR(VLOOKUP(AB163,OFFSET(abbreviation[],0,ColumnLanguage),ColumnAbbreviation,FALSE),"")</f>
        <v/>
      </c>
      <c r="BU163" s="21" t="str">
        <f t="shared" ca="1" si="15"/>
        <v>__</v>
      </c>
      <c r="BV163" s="21" t="str">
        <f ca="1">IFERROR(VLOOKUP(AF163,OFFSET(abbreviation[],0,ColumnLanguage),ColumnAbbreviation,FALSE),"")</f>
        <v/>
      </c>
      <c r="BW163" s="21" t="str">
        <f ca="1">IFERROR(VLOOKUP(AH163,OFFSET(abbreviation[],0,ColumnLanguage),ColumnAbbreviation,FALSE),"")</f>
        <v/>
      </c>
      <c r="BX163" s="21" t="str">
        <f ca="1">IFERROR(VLOOKUP(AJ163,OFFSET(abbreviation[],0,ColumnLanguage),ColumnAbbreviation,FALSE),"")</f>
        <v/>
      </c>
      <c r="BY163" s="21" t="str">
        <f ca="1">IFERROR(VLOOKUP(AL163,OFFSET(abbreviation[],0,ColumnLanguage),ColumnAbbreviation,FALSE),"")</f>
        <v/>
      </c>
      <c r="BZ163" s="21" t="str">
        <f t="shared" ca="1" si="16"/>
        <v>_</v>
      </c>
      <c r="CA163" s="21" t="str">
        <f ca="1">IFERROR(VLOOKUP(AP163,OFFSET(abbreviation[],0,ColumnLanguage),ColumnAbbreviation,FALSE),"")</f>
        <v/>
      </c>
      <c r="CB163" s="21" t="str">
        <f ca="1">IFERROR(VLOOKUP(AR163,OFFSET(abbreviation[],0,ColumnLanguage),ColumnAbbreviation,FALSE),"")</f>
        <v/>
      </c>
      <c r="CC163" s="21" t="str">
        <f ca="1">IFERROR(VLOOKUP(AT163,OFFSET(abbreviation[],0,ColumnLanguage),ColumnAbbreviation,FALSE),"")</f>
        <v/>
      </c>
      <c r="CD163" s="21" t="str">
        <f ca="1">IFERROR(VLOOKUP(AV163,OFFSET(abbreviation[],0,ColumnLanguage),ColumnAbbreviation,FALSE),"")</f>
        <v/>
      </c>
      <c r="CE163" s="21" t="str">
        <f t="shared" ca="1" si="17"/>
        <v>__</v>
      </c>
      <c r="CF163" s="21" t="str">
        <f ca="1">IFERROR(VLOOKUP(AX163,OFFSET(abbreviation[],0,ColumnLanguage),ColumnAbbreviation,FALSE),"")</f>
        <v/>
      </c>
      <c r="CG163" s="21" t="str">
        <f ca="1">IFERROR(VLOOKUP(AZ163,OFFSET(abbreviation[],0,ColumnLanguage),ColumnAbbreviation,FALSE),"")</f>
        <v/>
      </c>
      <c r="CH163" s="21" t="str">
        <f ca="1">IFERROR(VLOOKUP(BB163,OFFSET(abbreviation[],0,ColumnLanguage),ColumnAbbreviation,FALSE),"")</f>
        <v/>
      </c>
      <c r="CI163" s="21" t="str">
        <f ca="1">IFERROR(VLOOKUP(BD163,OFFSET(abbreviation[],0,ColumnLanguage),ColumnAbbreviation,FALSE),"")</f>
        <v/>
      </c>
      <c r="CJ163" s="21" t="str">
        <f ca="1">IFERROR(VLOOKUP(BF163,OFFSET(abbreviation[],0,ColumnLanguage),ColumnAbbreviation,FALSE),"")</f>
        <v/>
      </c>
      <c r="CK163" s="21" t="str">
        <f t="shared" ca="1" si="18"/>
        <v/>
      </c>
      <c r="CL163" s="21" t="str">
        <f t="shared" si="19"/>
        <v/>
      </c>
      <c r="CM163" s="52"/>
      <c r="CN163" s="57" t="str">
        <f t="shared" si="20"/>
        <v/>
      </c>
    </row>
    <row r="164" spans="14:92" x14ac:dyDescent="0.25">
      <c r="N164" s="58"/>
      <c r="P164" s="60"/>
      <c r="Q164" s="13"/>
      <c r="V164" s="60"/>
      <c r="X164" s="61"/>
      <c r="AB164" s="60"/>
      <c r="AN164" s="54"/>
      <c r="AS164" s="15"/>
      <c r="BH164" s="52"/>
      <c r="BI164" s="21" t="str">
        <f ca="1">IFERROR(VLOOKUP(C164,OFFSET(abbreviation[],0,ColumnLanguage),ColumnAbbreviation,FALSE),"")</f>
        <v/>
      </c>
      <c r="BJ164" s="21" t="str">
        <f ca="1">IFERROR(VLOOKUP(E164,OFFSET(abbreviation[],0,ColumnLanguage),ColumnAbbreviation,FALSE),"")</f>
        <v/>
      </c>
      <c r="BK164" s="21" t="str">
        <f ca="1">IFERROR(VLOOKUP(G164,OFFSET(abbreviation[],0,ColumnLanguage),ColumnAbbreviation,FALSE),"")</f>
        <v/>
      </c>
      <c r="BL164" s="21" t="str">
        <f ca="1">IFERROR(VLOOKUP(I164,OFFSET(abbreviation[],0,ColumnLanguage),ColumnAbbreviation,FALSE),"")</f>
        <v/>
      </c>
      <c r="BM164" s="21" t="str">
        <f ca="1">IFERROR(VLOOKUP(K164,OFFSET(abbreviation[],0,ColumnLanguage),ColumnAbbreviation,FALSE),"")</f>
        <v/>
      </c>
      <c r="BN164" s="21" t="str">
        <f t="shared" ca="1" si="14"/>
        <v/>
      </c>
      <c r="BO164" s="21" t="str">
        <f ca="1">IFERROR(VLOOKUP(N164,OFFSET(abbreviation[],0,ColumnLanguage),ColumnAbbreviation,FALSE),"")</f>
        <v/>
      </c>
      <c r="BP164" s="21" t="str">
        <f ca="1">IFERROR(VLOOKUP(P164,OFFSET(abbreviation[],0,ColumnLanguage),ColumnAbbreviation,FALSE),"")</f>
        <v/>
      </c>
      <c r="BQ164" s="21" t="str">
        <f ca="1">IFERROR(VLOOKUP(T164,OFFSET(abbreviation[],0,ColumnLanguage),ColumnAbbreviation,FALSE),"")</f>
        <v/>
      </c>
      <c r="BR164" s="21" t="str">
        <f ca="1">IFERROR(VLOOKUP(V164,OFFSET(abbreviation[],0,ColumnLanguage),ColumnAbbreviation,FALSE),"")</f>
        <v/>
      </c>
      <c r="BS164" s="21" t="str">
        <f ca="1">IFERROR(VLOOKUP(Z164,OFFSET(abbreviation[],0,ColumnLanguage),ColumnAbbreviation,FALSE),"")</f>
        <v/>
      </c>
      <c r="BT164" s="21" t="str">
        <f ca="1">IFERROR(VLOOKUP(AB164,OFFSET(abbreviation[],0,ColumnLanguage),ColumnAbbreviation,FALSE),"")</f>
        <v/>
      </c>
      <c r="BU164" s="21" t="str">
        <f t="shared" ca="1" si="15"/>
        <v>__</v>
      </c>
      <c r="BV164" s="21" t="str">
        <f ca="1">IFERROR(VLOOKUP(AF164,OFFSET(abbreviation[],0,ColumnLanguage),ColumnAbbreviation,FALSE),"")</f>
        <v/>
      </c>
      <c r="BW164" s="21" t="str">
        <f ca="1">IFERROR(VLOOKUP(AH164,OFFSET(abbreviation[],0,ColumnLanguage),ColumnAbbreviation,FALSE),"")</f>
        <v/>
      </c>
      <c r="BX164" s="21" t="str">
        <f ca="1">IFERROR(VLOOKUP(AJ164,OFFSET(abbreviation[],0,ColumnLanguage),ColumnAbbreviation,FALSE),"")</f>
        <v/>
      </c>
      <c r="BY164" s="21" t="str">
        <f ca="1">IFERROR(VLOOKUP(AL164,OFFSET(abbreviation[],0,ColumnLanguage),ColumnAbbreviation,FALSE),"")</f>
        <v/>
      </c>
      <c r="BZ164" s="21" t="str">
        <f t="shared" ca="1" si="16"/>
        <v>_</v>
      </c>
      <c r="CA164" s="21" t="str">
        <f ca="1">IFERROR(VLOOKUP(AP164,OFFSET(abbreviation[],0,ColumnLanguage),ColumnAbbreviation,FALSE),"")</f>
        <v/>
      </c>
      <c r="CB164" s="21" t="str">
        <f ca="1">IFERROR(VLOOKUP(AR164,OFFSET(abbreviation[],0,ColumnLanguage),ColumnAbbreviation,FALSE),"")</f>
        <v/>
      </c>
      <c r="CC164" s="21" t="str">
        <f ca="1">IFERROR(VLOOKUP(AT164,OFFSET(abbreviation[],0,ColumnLanguage),ColumnAbbreviation,FALSE),"")</f>
        <v/>
      </c>
      <c r="CD164" s="21" t="str">
        <f ca="1">IFERROR(VLOOKUP(AV164,OFFSET(abbreviation[],0,ColumnLanguage),ColumnAbbreviation,FALSE),"")</f>
        <v/>
      </c>
      <c r="CE164" s="21" t="str">
        <f t="shared" ca="1" si="17"/>
        <v>__</v>
      </c>
      <c r="CF164" s="21" t="str">
        <f ca="1">IFERROR(VLOOKUP(AX164,OFFSET(abbreviation[],0,ColumnLanguage),ColumnAbbreviation,FALSE),"")</f>
        <v/>
      </c>
      <c r="CG164" s="21" t="str">
        <f ca="1">IFERROR(VLOOKUP(AZ164,OFFSET(abbreviation[],0,ColumnLanguage),ColumnAbbreviation,FALSE),"")</f>
        <v/>
      </c>
      <c r="CH164" s="21" t="str">
        <f ca="1">IFERROR(VLOOKUP(BB164,OFFSET(abbreviation[],0,ColumnLanguage),ColumnAbbreviation,FALSE),"")</f>
        <v/>
      </c>
      <c r="CI164" s="21" t="str">
        <f ca="1">IFERROR(VLOOKUP(BD164,OFFSET(abbreviation[],0,ColumnLanguage),ColumnAbbreviation,FALSE),"")</f>
        <v/>
      </c>
      <c r="CJ164" s="21" t="str">
        <f ca="1">IFERROR(VLOOKUP(BF164,OFFSET(abbreviation[],0,ColumnLanguage),ColumnAbbreviation,FALSE),"")</f>
        <v/>
      </c>
      <c r="CK164" s="21" t="str">
        <f t="shared" ca="1" si="18"/>
        <v/>
      </c>
      <c r="CL164" s="21" t="str">
        <f t="shared" si="19"/>
        <v/>
      </c>
      <c r="CM164" s="52"/>
      <c r="CN164" s="57" t="str">
        <f t="shared" si="20"/>
        <v/>
      </c>
    </row>
    <row r="165" spans="14:92" x14ac:dyDescent="0.25">
      <c r="N165" s="58"/>
      <c r="P165" s="60"/>
      <c r="Q165" s="13"/>
      <c r="V165" s="60"/>
      <c r="X165" s="61"/>
      <c r="AB165" s="60"/>
      <c r="AN165" s="54"/>
      <c r="AS165" s="15"/>
      <c r="BH165" s="52"/>
      <c r="BI165" s="21" t="str">
        <f ca="1">IFERROR(VLOOKUP(C165,OFFSET(abbreviation[],0,ColumnLanguage),ColumnAbbreviation,FALSE),"")</f>
        <v/>
      </c>
      <c r="BJ165" s="21" t="str">
        <f ca="1">IFERROR(VLOOKUP(E165,OFFSET(abbreviation[],0,ColumnLanguage),ColumnAbbreviation,FALSE),"")</f>
        <v/>
      </c>
      <c r="BK165" s="21" t="str">
        <f ca="1">IFERROR(VLOOKUP(G165,OFFSET(abbreviation[],0,ColumnLanguage),ColumnAbbreviation,FALSE),"")</f>
        <v/>
      </c>
      <c r="BL165" s="21" t="str">
        <f ca="1">IFERROR(VLOOKUP(I165,OFFSET(abbreviation[],0,ColumnLanguage),ColumnAbbreviation,FALSE),"")</f>
        <v/>
      </c>
      <c r="BM165" s="21" t="str">
        <f ca="1">IFERROR(VLOOKUP(K165,OFFSET(abbreviation[],0,ColumnLanguage),ColumnAbbreviation,FALSE),"")</f>
        <v/>
      </c>
      <c r="BN165" s="21" t="str">
        <f t="shared" ca="1" si="14"/>
        <v/>
      </c>
      <c r="BO165" s="21" t="str">
        <f ca="1">IFERROR(VLOOKUP(N165,OFFSET(abbreviation[],0,ColumnLanguage),ColumnAbbreviation,FALSE),"")</f>
        <v/>
      </c>
      <c r="BP165" s="21" t="str">
        <f ca="1">IFERROR(VLOOKUP(P165,OFFSET(abbreviation[],0,ColumnLanguage),ColumnAbbreviation,FALSE),"")</f>
        <v/>
      </c>
      <c r="BQ165" s="21" t="str">
        <f ca="1">IFERROR(VLOOKUP(T165,OFFSET(abbreviation[],0,ColumnLanguage),ColumnAbbreviation,FALSE),"")</f>
        <v/>
      </c>
      <c r="BR165" s="21" t="str">
        <f ca="1">IFERROR(VLOOKUP(V165,OFFSET(abbreviation[],0,ColumnLanguage),ColumnAbbreviation,FALSE),"")</f>
        <v/>
      </c>
      <c r="BS165" s="21" t="str">
        <f ca="1">IFERROR(VLOOKUP(Z165,OFFSET(abbreviation[],0,ColumnLanguage),ColumnAbbreviation,FALSE),"")</f>
        <v/>
      </c>
      <c r="BT165" s="21" t="str">
        <f ca="1">IFERROR(VLOOKUP(AB165,OFFSET(abbreviation[],0,ColumnLanguage),ColumnAbbreviation,FALSE),"")</f>
        <v/>
      </c>
      <c r="BU165" s="21" t="str">
        <f t="shared" ca="1" si="15"/>
        <v>__</v>
      </c>
      <c r="BV165" s="21" t="str">
        <f ca="1">IFERROR(VLOOKUP(AF165,OFFSET(abbreviation[],0,ColumnLanguage),ColumnAbbreviation,FALSE),"")</f>
        <v/>
      </c>
      <c r="BW165" s="21" t="str">
        <f ca="1">IFERROR(VLOOKUP(AH165,OFFSET(abbreviation[],0,ColumnLanguage),ColumnAbbreviation,FALSE),"")</f>
        <v/>
      </c>
      <c r="BX165" s="21" t="str">
        <f ca="1">IFERROR(VLOOKUP(AJ165,OFFSET(abbreviation[],0,ColumnLanguage),ColumnAbbreviation,FALSE),"")</f>
        <v/>
      </c>
      <c r="BY165" s="21" t="str">
        <f ca="1">IFERROR(VLOOKUP(AL165,OFFSET(abbreviation[],0,ColumnLanguage),ColumnAbbreviation,FALSE),"")</f>
        <v/>
      </c>
      <c r="BZ165" s="21" t="str">
        <f t="shared" ca="1" si="16"/>
        <v>_</v>
      </c>
      <c r="CA165" s="21" t="str">
        <f ca="1">IFERROR(VLOOKUP(AP165,OFFSET(abbreviation[],0,ColumnLanguage),ColumnAbbreviation,FALSE),"")</f>
        <v/>
      </c>
      <c r="CB165" s="21" t="str">
        <f ca="1">IFERROR(VLOOKUP(AR165,OFFSET(abbreviation[],0,ColumnLanguage),ColumnAbbreviation,FALSE),"")</f>
        <v/>
      </c>
      <c r="CC165" s="21" t="str">
        <f ca="1">IFERROR(VLOOKUP(AT165,OFFSET(abbreviation[],0,ColumnLanguage),ColumnAbbreviation,FALSE),"")</f>
        <v/>
      </c>
      <c r="CD165" s="21" t="str">
        <f ca="1">IFERROR(VLOOKUP(AV165,OFFSET(abbreviation[],0,ColumnLanguage),ColumnAbbreviation,FALSE),"")</f>
        <v/>
      </c>
      <c r="CE165" s="21" t="str">
        <f t="shared" ca="1" si="17"/>
        <v>__</v>
      </c>
      <c r="CF165" s="21" t="str">
        <f ca="1">IFERROR(VLOOKUP(AX165,OFFSET(abbreviation[],0,ColumnLanguage),ColumnAbbreviation,FALSE),"")</f>
        <v/>
      </c>
      <c r="CG165" s="21" t="str">
        <f ca="1">IFERROR(VLOOKUP(AZ165,OFFSET(abbreviation[],0,ColumnLanguage),ColumnAbbreviation,FALSE),"")</f>
        <v/>
      </c>
      <c r="CH165" s="21" t="str">
        <f ca="1">IFERROR(VLOOKUP(BB165,OFFSET(abbreviation[],0,ColumnLanguage),ColumnAbbreviation,FALSE),"")</f>
        <v/>
      </c>
      <c r="CI165" s="21" t="str">
        <f ca="1">IFERROR(VLOOKUP(BD165,OFFSET(abbreviation[],0,ColumnLanguage),ColumnAbbreviation,FALSE),"")</f>
        <v/>
      </c>
      <c r="CJ165" s="21" t="str">
        <f ca="1">IFERROR(VLOOKUP(BF165,OFFSET(abbreviation[],0,ColumnLanguage),ColumnAbbreviation,FALSE),"")</f>
        <v/>
      </c>
      <c r="CK165" s="21" t="str">
        <f t="shared" ca="1" si="18"/>
        <v/>
      </c>
      <c r="CL165" s="21" t="str">
        <f t="shared" si="19"/>
        <v/>
      </c>
      <c r="CM165" s="52"/>
      <c r="CN165" s="57" t="str">
        <f t="shared" si="20"/>
        <v/>
      </c>
    </row>
    <row r="166" spans="14:92" x14ac:dyDescent="0.25">
      <c r="N166" s="58"/>
      <c r="P166" s="60"/>
      <c r="Q166" s="13"/>
      <c r="V166" s="60"/>
      <c r="X166" s="61"/>
      <c r="AB166" s="60"/>
      <c r="AN166" s="54"/>
      <c r="AS166" s="15"/>
      <c r="BH166" s="52"/>
      <c r="BI166" s="21" t="str">
        <f ca="1">IFERROR(VLOOKUP(C166,OFFSET(abbreviation[],0,ColumnLanguage),ColumnAbbreviation,FALSE),"")</f>
        <v/>
      </c>
      <c r="BJ166" s="21" t="str">
        <f ca="1">IFERROR(VLOOKUP(E166,OFFSET(abbreviation[],0,ColumnLanguage),ColumnAbbreviation,FALSE),"")</f>
        <v/>
      </c>
      <c r="BK166" s="21" t="str">
        <f ca="1">IFERROR(VLOOKUP(G166,OFFSET(abbreviation[],0,ColumnLanguage),ColumnAbbreviation,FALSE),"")</f>
        <v/>
      </c>
      <c r="BL166" s="21" t="str">
        <f ca="1">IFERROR(VLOOKUP(I166,OFFSET(abbreviation[],0,ColumnLanguage),ColumnAbbreviation,FALSE),"")</f>
        <v/>
      </c>
      <c r="BM166" s="21" t="str">
        <f ca="1">IFERROR(VLOOKUP(K166,OFFSET(abbreviation[],0,ColumnLanguage),ColumnAbbreviation,FALSE),"")</f>
        <v/>
      </c>
      <c r="BN166" s="21" t="str">
        <f t="shared" ca="1" si="14"/>
        <v/>
      </c>
      <c r="BO166" s="21" t="str">
        <f ca="1">IFERROR(VLOOKUP(N166,OFFSET(abbreviation[],0,ColumnLanguage),ColumnAbbreviation,FALSE),"")</f>
        <v/>
      </c>
      <c r="BP166" s="21" t="str">
        <f ca="1">IFERROR(VLOOKUP(P166,OFFSET(abbreviation[],0,ColumnLanguage),ColumnAbbreviation,FALSE),"")</f>
        <v/>
      </c>
      <c r="BQ166" s="21" t="str">
        <f ca="1">IFERROR(VLOOKUP(T166,OFFSET(abbreviation[],0,ColumnLanguage),ColumnAbbreviation,FALSE),"")</f>
        <v/>
      </c>
      <c r="BR166" s="21" t="str">
        <f ca="1">IFERROR(VLOOKUP(V166,OFFSET(abbreviation[],0,ColumnLanguage),ColumnAbbreviation,FALSE),"")</f>
        <v/>
      </c>
      <c r="BS166" s="21" t="str">
        <f ca="1">IFERROR(VLOOKUP(Z166,OFFSET(abbreviation[],0,ColumnLanguage),ColumnAbbreviation,FALSE),"")</f>
        <v/>
      </c>
      <c r="BT166" s="21" t="str">
        <f ca="1">IFERROR(VLOOKUP(AB166,OFFSET(abbreviation[],0,ColumnLanguage),ColumnAbbreviation,FALSE),"")</f>
        <v/>
      </c>
      <c r="BU166" s="21" t="str">
        <f t="shared" ca="1" si="15"/>
        <v>__</v>
      </c>
      <c r="BV166" s="21" t="str">
        <f ca="1">IFERROR(VLOOKUP(AF166,OFFSET(abbreviation[],0,ColumnLanguage),ColumnAbbreviation,FALSE),"")</f>
        <v/>
      </c>
      <c r="BW166" s="21" t="str">
        <f ca="1">IFERROR(VLOOKUP(AH166,OFFSET(abbreviation[],0,ColumnLanguage),ColumnAbbreviation,FALSE),"")</f>
        <v/>
      </c>
      <c r="BX166" s="21" t="str">
        <f ca="1">IFERROR(VLOOKUP(AJ166,OFFSET(abbreviation[],0,ColumnLanguage),ColumnAbbreviation,FALSE),"")</f>
        <v/>
      </c>
      <c r="BY166" s="21" t="str">
        <f ca="1">IFERROR(VLOOKUP(AL166,OFFSET(abbreviation[],0,ColumnLanguage),ColumnAbbreviation,FALSE),"")</f>
        <v/>
      </c>
      <c r="BZ166" s="21" t="str">
        <f t="shared" ca="1" si="16"/>
        <v>_</v>
      </c>
      <c r="CA166" s="21" t="str">
        <f ca="1">IFERROR(VLOOKUP(AP166,OFFSET(abbreviation[],0,ColumnLanguage),ColumnAbbreviation,FALSE),"")</f>
        <v/>
      </c>
      <c r="CB166" s="21" t="str">
        <f ca="1">IFERROR(VLOOKUP(AR166,OFFSET(abbreviation[],0,ColumnLanguage),ColumnAbbreviation,FALSE),"")</f>
        <v/>
      </c>
      <c r="CC166" s="21" t="str">
        <f ca="1">IFERROR(VLOOKUP(AT166,OFFSET(abbreviation[],0,ColumnLanguage),ColumnAbbreviation,FALSE),"")</f>
        <v/>
      </c>
      <c r="CD166" s="21" t="str">
        <f ca="1">IFERROR(VLOOKUP(AV166,OFFSET(abbreviation[],0,ColumnLanguage),ColumnAbbreviation,FALSE),"")</f>
        <v/>
      </c>
      <c r="CE166" s="21" t="str">
        <f t="shared" ca="1" si="17"/>
        <v>__</v>
      </c>
      <c r="CF166" s="21" t="str">
        <f ca="1">IFERROR(VLOOKUP(AX166,OFFSET(abbreviation[],0,ColumnLanguage),ColumnAbbreviation,FALSE),"")</f>
        <v/>
      </c>
      <c r="CG166" s="21" t="str">
        <f ca="1">IFERROR(VLOOKUP(AZ166,OFFSET(abbreviation[],0,ColumnLanguage),ColumnAbbreviation,FALSE),"")</f>
        <v/>
      </c>
      <c r="CH166" s="21" t="str">
        <f ca="1">IFERROR(VLOOKUP(BB166,OFFSET(abbreviation[],0,ColumnLanguage),ColumnAbbreviation,FALSE),"")</f>
        <v/>
      </c>
      <c r="CI166" s="21" t="str">
        <f ca="1">IFERROR(VLOOKUP(BD166,OFFSET(abbreviation[],0,ColumnLanguage),ColumnAbbreviation,FALSE),"")</f>
        <v/>
      </c>
      <c r="CJ166" s="21" t="str">
        <f ca="1">IFERROR(VLOOKUP(BF166,OFFSET(abbreviation[],0,ColumnLanguage),ColumnAbbreviation,FALSE),"")</f>
        <v/>
      </c>
      <c r="CK166" s="21" t="str">
        <f t="shared" ca="1" si="18"/>
        <v/>
      </c>
      <c r="CL166" s="21" t="str">
        <f t="shared" si="19"/>
        <v/>
      </c>
      <c r="CM166" s="52"/>
      <c r="CN166" s="57" t="str">
        <f t="shared" si="20"/>
        <v/>
      </c>
    </row>
    <row r="167" spans="14:92" x14ac:dyDescent="0.25">
      <c r="N167" s="58"/>
      <c r="P167" s="60"/>
      <c r="Q167" s="13"/>
      <c r="V167" s="60"/>
      <c r="X167" s="61"/>
      <c r="AB167" s="60"/>
      <c r="AN167" s="54"/>
      <c r="AS167" s="15"/>
      <c r="BH167" s="52"/>
      <c r="BI167" s="21" t="str">
        <f ca="1">IFERROR(VLOOKUP(C167,OFFSET(abbreviation[],0,ColumnLanguage),ColumnAbbreviation,FALSE),"")</f>
        <v/>
      </c>
      <c r="BJ167" s="21" t="str">
        <f ca="1">IFERROR(VLOOKUP(E167,OFFSET(abbreviation[],0,ColumnLanguage),ColumnAbbreviation,FALSE),"")</f>
        <v/>
      </c>
      <c r="BK167" s="21" t="str">
        <f ca="1">IFERROR(VLOOKUP(G167,OFFSET(abbreviation[],0,ColumnLanguage),ColumnAbbreviation,FALSE),"")</f>
        <v/>
      </c>
      <c r="BL167" s="21" t="str">
        <f ca="1">IFERROR(VLOOKUP(I167,OFFSET(abbreviation[],0,ColumnLanguage),ColumnAbbreviation,FALSE),"")</f>
        <v/>
      </c>
      <c r="BM167" s="21" t="str">
        <f ca="1">IFERROR(VLOOKUP(K167,OFFSET(abbreviation[],0,ColumnLanguage),ColumnAbbreviation,FALSE),"")</f>
        <v/>
      </c>
      <c r="BN167" s="21" t="str">
        <f t="shared" ca="1" si="14"/>
        <v/>
      </c>
      <c r="BO167" s="21" t="str">
        <f ca="1">IFERROR(VLOOKUP(N167,OFFSET(abbreviation[],0,ColumnLanguage),ColumnAbbreviation,FALSE),"")</f>
        <v/>
      </c>
      <c r="BP167" s="21" t="str">
        <f ca="1">IFERROR(VLOOKUP(P167,OFFSET(abbreviation[],0,ColumnLanguage),ColumnAbbreviation,FALSE),"")</f>
        <v/>
      </c>
      <c r="BQ167" s="21" t="str">
        <f ca="1">IFERROR(VLOOKUP(T167,OFFSET(abbreviation[],0,ColumnLanguage),ColumnAbbreviation,FALSE),"")</f>
        <v/>
      </c>
      <c r="BR167" s="21" t="str">
        <f ca="1">IFERROR(VLOOKUP(V167,OFFSET(abbreviation[],0,ColumnLanguage),ColumnAbbreviation,FALSE),"")</f>
        <v/>
      </c>
      <c r="BS167" s="21" t="str">
        <f ca="1">IFERROR(VLOOKUP(Z167,OFFSET(abbreviation[],0,ColumnLanguage),ColumnAbbreviation,FALSE),"")</f>
        <v/>
      </c>
      <c r="BT167" s="21" t="str">
        <f ca="1">IFERROR(VLOOKUP(AB167,OFFSET(abbreviation[],0,ColumnLanguage),ColumnAbbreviation,FALSE),"")</f>
        <v/>
      </c>
      <c r="BU167" s="21" t="str">
        <f t="shared" ca="1" si="15"/>
        <v>__</v>
      </c>
      <c r="BV167" s="21" t="str">
        <f ca="1">IFERROR(VLOOKUP(AF167,OFFSET(abbreviation[],0,ColumnLanguage),ColumnAbbreviation,FALSE),"")</f>
        <v/>
      </c>
      <c r="BW167" s="21" t="str">
        <f ca="1">IFERROR(VLOOKUP(AH167,OFFSET(abbreviation[],0,ColumnLanguage),ColumnAbbreviation,FALSE),"")</f>
        <v/>
      </c>
      <c r="BX167" s="21" t="str">
        <f ca="1">IFERROR(VLOOKUP(AJ167,OFFSET(abbreviation[],0,ColumnLanguage),ColumnAbbreviation,FALSE),"")</f>
        <v/>
      </c>
      <c r="BY167" s="21" t="str">
        <f ca="1">IFERROR(VLOOKUP(AL167,OFFSET(abbreviation[],0,ColumnLanguage),ColumnAbbreviation,FALSE),"")</f>
        <v/>
      </c>
      <c r="BZ167" s="21" t="str">
        <f t="shared" ca="1" si="16"/>
        <v>_</v>
      </c>
      <c r="CA167" s="21" t="str">
        <f ca="1">IFERROR(VLOOKUP(AP167,OFFSET(abbreviation[],0,ColumnLanguage),ColumnAbbreviation,FALSE),"")</f>
        <v/>
      </c>
      <c r="CB167" s="21" t="str">
        <f ca="1">IFERROR(VLOOKUP(AR167,OFFSET(abbreviation[],0,ColumnLanguage),ColumnAbbreviation,FALSE),"")</f>
        <v/>
      </c>
      <c r="CC167" s="21" t="str">
        <f ca="1">IFERROR(VLOOKUP(AT167,OFFSET(abbreviation[],0,ColumnLanguage),ColumnAbbreviation,FALSE),"")</f>
        <v/>
      </c>
      <c r="CD167" s="21" t="str">
        <f ca="1">IFERROR(VLOOKUP(AV167,OFFSET(abbreviation[],0,ColumnLanguage),ColumnAbbreviation,FALSE),"")</f>
        <v/>
      </c>
      <c r="CE167" s="21" t="str">
        <f t="shared" ca="1" si="17"/>
        <v>__</v>
      </c>
      <c r="CF167" s="21" t="str">
        <f ca="1">IFERROR(VLOOKUP(AX167,OFFSET(abbreviation[],0,ColumnLanguage),ColumnAbbreviation,FALSE),"")</f>
        <v/>
      </c>
      <c r="CG167" s="21" t="str">
        <f ca="1">IFERROR(VLOOKUP(AZ167,OFFSET(abbreviation[],0,ColumnLanguage),ColumnAbbreviation,FALSE),"")</f>
        <v/>
      </c>
      <c r="CH167" s="21" t="str">
        <f ca="1">IFERROR(VLOOKUP(BB167,OFFSET(abbreviation[],0,ColumnLanguage),ColumnAbbreviation,FALSE),"")</f>
        <v/>
      </c>
      <c r="CI167" s="21" t="str">
        <f ca="1">IFERROR(VLOOKUP(BD167,OFFSET(abbreviation[],0,ColumnLanguage),ColumnAbbreviation,FALSE),"")</f>
        <v/>
      </c>
      <c r="CJ167" s="21" t="str">
        <f ca="1">IFERROR(VLOOKUP(BF167,OFFSET(abbreviation[],0,ColumnLanguage),ColumnAbbreviation,FALSE),"")</f>
        <v/>
      </c>
      <c r="CK167" s="21" t="str">
        <f t="shared" ca="1" si="18"/>
        <v/>
      </c>
      <c r="CL167" s="21" t="str">
        <f t="shared" si="19"/>
        <v/>
      </c>
      <c r="CM167" s="52"/>
      <c r="CN167" s="57" t="str">
        <f t="shared" si="20"/>
        <v/>
      </c>
    </row>
    <row r="168" spans="14:92" x14ac:dyDescent="0.25">
      <c r="N168" s="58"/>
      <c r="P168" s="60"/>
      <c r="Q168" s="13"/>
      <c r="V168" s="60"/>
      <c r="X168" s="61"/>
      <c r="AB168" s="60"/>
      <c r="AN168" s="54"/>
      <c r="AS168" s="15"/>
      <c r="BH168" s="52"/>
      <c r="BI168" s="21" t="str">
        <f ca="1">IFERROR(VLOOKUP(C168,OFFSET(abbreviation[],0,ColumnLanguage),ColumnAbbreviation,FALSE),"")</f>
        <v/>
      </c>
      <c r="BJ168" s="21" t="str">
        <f ca="1">IFERROR(VLOOKUP(E168,OFFSET(abbreviation[],0,ColumnLanguage),ColumnAbbreviation,FALSE),"")</f>
        <v/>
      </c>
      <c r="BK168" s="21" t="str">
        <f ca="1">IFERROR(VLOOKUP(G168,OFFSET(abbreviation[],0,ColumnLanguage),ColumnAbbreviation,FALSE),"")</f>
        <v/>
      </c>
      <c r="BL168" s="21" t="str">
        <f ca="1">IFERROR(VLOOKUP(I168,OFFSET(abbreviation[],0,ColumnLanguage),ColumnAbbreviation,FALSE),"")</f>
        <v/>
      </c>
      <c r="BM168" s="21" t="str">
        <f ca="1">IFERROR(VLOOKUP(K168,OFFSET(abbreviation[],0,ColumnLanguage),ColumnAbbreviation,FALSE),"")</f>
        <v/>
      </c>
      <c r="BN168" s="21" t="str">
        <f t="shared" ca="1" si="14"/>
        <v/>
      </c>
      <c r="BO168" s="21" t="str">
        <f ca="1">IFERROR(VLOOKUP(N168,OFFSET(abbreviation[],0,ColumnLanguage),ColumnAbbreviation,FALSE),"")</f>
        <v/>
      </c>
      <c r="BP168" s="21" t="str">
        <f ca="1">IFERROR(VLOOKUP(P168,OFFSET(abbreviation[],0,ColumnLanguage),ColumnAbbreviation,FALSE),"")</f>
        <v/>
      </c>
      <c r="BQ168" s="21" t="str">
        <f ca="1">IFERROR(VLOOKUP(T168,OFFSET(abbreviation[],0,ColumnLanguage),ColumnAbbreviation,FALSE),"")</f>
        <v/>
      </c>
      <c r="BR168" s="21" t="str">
        <f ca="1">IFERROR(VLOOKUP(V168,OFFSET(abbreviation[],0,ColumnLanguage),ColumnAbbreviation,FALSE),"")</f>
        <v/>
      </c>
      <c r="BS168" s="21" t="str">
        <f ca="1">IFERROR(VLOOKUP(Z168,OFFSET(abbreviation[],0,ColumnLanguage),ColumnAbbreviation,FALSE),"")</f>
        <v/>
      </c>
      <c r="BT168" s="21" t="str">
        <f ca="1">IFERROR(VLOOKUP(AB168,OFFSET(abbreviation[],0,ColumnLanguage),ColumnAbbreviation,FALSE),"")</f>
        <v/>
      </c>
      <c r="BU168" s="21" t="str">
        <f t="shared" ca="1" si="15"/>
        <v>__</v>
      </c>
      <c r="BV168" s="21" t="str">
        <f ca="1">IFERROR(VLOOKUP(AF168,OFFSET(abbreviation[],0,ColumnLanguage),ColumnAbbreviation,FALSE),"")</f>
        <v/>
      </c>
      <c r="BW168" s="21" t="str">
        <f ca="1">IFERROR(VLOOKUP(AH168,OFFSET(abbreviation[],0,ColumnLanguage),ColumnAbbreviation,FALSE),"")</f>
        <v/>
      </c>
      <c r="BX168" s="21" t="str">
        <f ca="1">IFERROR(VLOOKUP(AJ168,OFFSET(abbreviation[],0,ColumnLanguage),ColumnAbbreviation,FALSE),"")</f>
        <v/>
      </c>
      <c r="BY168" s="21" t="str">
        <f ca="1">IFERROR(VLOOKUP(AL168,OFFSET(abbreviation[],0,ColumnLanguage),ColumnAbbreviation,FALSE),"")</f>
        <v/>
      </c>
      <c r="BZ168" s="21" t="str">
        <f t="shared" ca="1" si="16"/>
        <v>_</v>
      </c>
      <c r="CA168" s="21" t="str">
        <f ca="1">IFERROR(VLOOKUP(AP168,OFFSET(abbreviation[],0,ColumnLanguage),ColumnAbbreviation,FALSE),"")</f>
        <v/>
      </c>
      <c r="CB168" s="21" t="str">
        <f ca="1">IFERROR(VLOOKUP(AR168,OFFSET(abbreviation[],0,ColumnLanguage),ColumnAbbreviation,FALSE),"")</f>
        <v/>
      </c>
      <c r="CC168" s="21" t="str">
        <f ca="1">IFERROR(VLOOKUP(AT168,OFFSET(abbreviation[],0,ColumnLanguage),ColumnAbbreviation,FALSE),"")</f>
        <v/>
      </c>
      <c r="CD168" s="21" t="str">
        <f ca="1">IFERROR(VLOOKUP(AV168,OFFSET(abbreviation[],0,ColumnLanguage),ColumnAbbreviation,FALSE),"")</f>
        <v/>
      </c>
      <c r="CE168" s="21" t="str">
        <f t="shared" ca="1" si="17"/>
        <v>__</v>
      </c>
      <c r="CF168" s="21" t="str">
        <f ca="1">IFERROR(VLOOKUP(AX168,OFFSET(abbreviation[],0,ColumnLanguage),ColumnAbbreviation,FALSE),"")</f>
        <v/>
      </c>
      <c r="CG168" s="21" t="str">
        <f ca="1">IFERROR(VLOOKUP(AZ168,OFFSET(abbreviation[],0,ColumnLanguage),ColumnAbbreviation,FALSE),"")</f>
        <v/>
      </c>
      <c r="CH168" s="21" t="str">
        <f ca="1">IFERROR(VLOOKUP(BB168,OFFSET(abbreviation[],0,ColumnLanguage),ColumnAbbreviation,FALSE),"")</f>
        <v/>
      </c>
      <c r="CI168" s="21" t="str">
        <f ca="1">IFERROR(VLOOKUP(BD168,OFFSET(abbreviation[],0,ColumnLanguage),ColumnAbbreviation,FALSE),"")</f>
        <v/>
      </c>
      <c r="CJ168" s="21" t="str">
        <f ca="1">IFERROR(VLOOKUP(BF168,OFFSET(abbreviation[],0,ColumnLanguage),ColumnAbbreviation,FALSE),"")</f>
        <v/>
      </c>
      <c r="CK168" s="21" t="str">
        <f t="shared" ca="1" si="18"/>
        <v/>
      </c>
      <c r="CL168" s="21" t="str">
        <f t="shared" si="19"/>
        <v/>
      </c>
      <c r="CM168" s="52"/>
      <c r="CN168" s="57" t="str">
        <f t="shared" si="20"/>
        <v/>
      </c>
    </row>
    <row r="169" spans="14:92" x14ac:dyDescent="0.25">
      <c r="N169" s="58"/>
      <c r="P169" s="60"/>
      <c r="Q169" s="13"/>
      <c r="V169" s="60"/>
      <c r="X169" s="61"/>
      <c r="AB169" s="60"/>
      <c r="AN169" s="54"/>
      <c r="AS169" s="15"/>
      <c r="BH169" s="52"/>
      <c r="BI169" s="21" t="str">
        <f ca="1">IFERROR(VLOOKUP(C169,OFFSET(abbreviation[],0,ColumnLanguage),ColumnAbbreviation,FALSE),"")</f>
        <v/>
      </c>
      <c r="BJ169" s="21" t="str">
        <f ca="1">IFERROR(VLOOKUP(E169,OFFSET(abbreviation[],0,ColumnLanguage),ColumnAbbreviation,FALSE),"")</f>
        <v/>
      </c>
      <c r="BK169" s="21" t="str">
        <f ca="1">IFERROR(VLOOKUP(G169,OFFSET(abbreviation[],0,ColumnLanguage),ColumnAbbreviation,FALSE),"")</f>
        <v/>
      </c>
      <c r="BL169" s="21" t="str">
        <f ca="1">IFERROR(VLOOKUP(I169,OFFSET(abbreviation[],0,ColumnLanguage),ColumnAbbreviation,FALSE),"")</f>
        <v/>
      </c>
      <c r="BM169" s="21" t="str">
        <f ca="1">IFERROR(VLOOKUP(K169,OFFSET(abbreviation[],0,ColumnLanguage),ColumnAbbreviation,FALSE),"")</f>
        <v/>
      </c>
      <c r="BN169" s="21" t="str">
        <f t="shared" ca="1" si="14"/>
        <v/>
      </c>
      <c r="BO169" s="21" t="str">
        <f ca="1">IFERROR(VLOOKUP(N169,OFFSET(abbreviation[],0,ColumnLanguage),ColumnAbbreviation,FALSE),"")</f>
        <v/>
      </c>
      <c r="BP169" s="21" t="str">
        <f ca="1">IFERROR(VLOOKUP(P169,OFFSET(abbreviation[],0,ColumnLanguage),ColumnAbbreviation,FALSE),"")</f>
        <v/>
      </c>
      <c r="BQ169" s="21" t="str">
        <f ca="1">IFERROR(VLOOKUP(T169,OFFSET(abbreviation[],0,ColumnLanguage),ColumnAbbreviation,FALSE),"")</f>
        <v/>
      </c>
      <c r="BR169" s="21" t="str">
        <f ca="1">IFERROR(VLOOKUP(V169,OFFSET(abbreviation[],0,ColumnLanguage),ColumnAbbreviation,FALSE),"")</f>
        <v/>
      </c>
      <c r="BS169" s="21" t="str">
        <f ca="1">IFERROR(VLOOKUP(Z169,OFFSET(abbreviation[],0,ColumnLanguage),ColumnAbbreviation,FALSE),"")</f>
        <v/>
      </c>
      <c r="BT169" s="21" t="str">
        <f ca="1">IFERROR(VLOOKUP(AB169,OFFSET(abbreviation[],0,ColumnLanguage),ColumnAbbreviation,FALSE),"")</f>
        <v/>
      </c>
      <c r="BU169" s="21" t="str">
        <f t="shared" ca="1" si="15"/>
        <v>__</v>
      </c>
      <c r="BV169" s="21" t="str">
        <f ca="1">IFERROR(VLOOKUP(AF169,OFFSET(abbreviation[],0,ColumnLanguage),ColumnAbbreviation,FALSE),"")</f>
        <v/>
      </c>
      <c r="BW169" s="21" t="str">
        <f ca="1">IFERROR(VLOOKUP(AH169,OFFSET(abbreviation[],0,ColumnLanguage),ColumnAbbreviation,FALSE),"")</f>
        <v/>
      </c>
      <c r="BX169" s="21" t="str">
        <f ca="1">IFERROR(VLOOKUP(AJ169,OFFSET(abbreviation[],0,ColumnLanguage),ColumnAbbreviation,FALSE),"")</f>
        <v/>
      </c>
      <c r="BY169" s="21" t="str">
        <f ca="1">IFERROR(VLOOKUP(AL169,OFFSET(abbreviation[],0,ColumnLanguage),ColumnAbbreviation,FALSE),"")</f>
        <v/>
      </c>
      <c r="BZ169" s="21" t="str">
        <f t="shared" ca="1" si="16"/>
        <v>_</v>
      </c>
      <c r="CA169" s="21" t="str">
        <f ca="1">IFERROR(VLOOKUP(AP169,OFFSET(abbreviation[],0,ColumnLanguage),ColumnAbbreviation,FALSE),"")</f>
        <v/>
      </c>
      <c r="CB169" s="21" t="str">
        <f ca="1">IFERROR(VLOOKUP(AR169,OFFSET(abbreviation[],0,ColumnLanguage),ColumnAbbreviation,FALSE),"")</f>
        <v/>
      </c>
      <c r="CC169" s="21" t="str">
        <f ca="1">IFERROR(VLOOKUP(AT169,OFFSET(abbreviation[],0,ColumnLanguage),ColumnAbbreviation,FALSE),"")</f>
        <v/>
      </c>
      <c r="CD169" s="21" t="str">
        <f ca="1">IFERROR(VLOOKUP(AV169,OFFSET(abbreviation[],0,ColumnLanguage),ColumnAbbreviation,FALSE),"")</f>
        <v/>
      </c>
      <c r="CE169" s="21" t="str">
        <f t="shared" ca="1" si="17"/>
        <v>__</v>
      </c>
      <c r="CF169" s="21" t="str">
        <f ca="1">IFERROR(VLOOKUP(AX169,OFFSET(abbreviation[],0,ColumnLanguage),ColumnAbbreviation,FALSE),"")</f>
        <v/>
      </c>
      <c r="CG169" s="21" t="str">
        <f ca="1">IFERROR(VLOOKUP(AZ169,OFFSET(abbreviation[],0,ColumnLanguage),ColumnAbbreviation,FALSE),"")</f>
        <v/>
      </c>
      <c r="CH169" s="21" t="str">
        <f ca="1">IFERROR(VLOOKUP(BB169,OFFSET(abbreviation[],0,ColumnLanguage),ColumnAbbreviation,FALSE),"")</f>
        <v/>
      </c>
      <c r="CI169" s="21" t="str">
        <f ca="1">IFERROR(VLOOKUP(BD169,OFFSET(abbreviation[],0,ColumnLanguage),ColumnAbbreviation,FALSE),"")</f>
        <v/>
      </c>
      <c r="CJ169" s="21" t="str">
        <f ca="1">IFERROR(VLOOKUP(BF169,OFFSET(abbreviation[],0,ColumnLanguage),ColumnAbbreviation,FALSE),"")</f>
        <v/>
      </c>
      <c r="CK169" s="21" t="str">
        <f t="shared" ca="1" si="18"/>
        <v/>
      </c>
      <c r="CL169" s="21" t="str">
        <f t="shared" si="19"/>
        <v/>
      </c>
      <c r="CM169" s="52"/>
      <c r="CN169" s="57" t="str">
        <f t="shared" si="20"/>
        <v/>
      </c>
    </row>
    <row r="170" spans="14:92" x14ac:dyDescent="0.25">
      <c r="N170" s="58"/>
      <c r="P170" s="60"/>
      <c r="Q170" s="13"/>
      <c r="V170" s="60"/>
      <c r="X170" s="61"/>
      <c r="AB170" s="60"/>
      <c r="AN170" s="54"/>
      <c r="AS170" s="15"/>
      <c r="BH170" s="52"/>
      <c r="BI170" s="21" t="str">
        <f ca="1">IFERROR(VLOOKUP(C170,OFFSET(abbreviation[],0,ColumnLanguage),ColumnAbbreviation,FALSE),"")</f>
        <v/>
      </c>
      <c r="BJ170" s="21" t="str">
        <f ca="1">IFERROR(VLOOKUP(E170,OFFSET(abbreviation[],0,ColumnLanguage),ColumnAbbreviation,FALSE),"")</f>
        <v/>
      </c>
      <c r="BK170" s="21" t="str">
        <f ca="1">IFERROR(VLOOKUP(G170,OFFSET(abbreviation[],0,ColumnLanguage),ColumnAbbreviation,FALSE),"")</f>
        <v/>
      </c>
      <c r="BL170" s="21" t="str">
        <f ca="1">IFERROR(VLOOKUP(I170,OFFSET(abbreviation[],0,ColumnLanguage),ColumnAbbreviation,FALSE),"")</f>
        <v/>
      </c>
      <c r="BM170" s="21" t="str">
        <f ca="1">IFERROR(VLOOKUP(K170,OFFSET(abbreviation[],0,ColumnLanguage),ColumnAbbreviation,FALSE),"")</f>
        <v/>
      </c>
      <c r="BN170" s="21" t="str">
        <f t="shared" ca="1" si="14"/>
        <v/>
      </c>
      <c r="BO170" s="21" t="str">
        <f ca="1">IFERROR(VLOOKUP(N170,OFFSET(abbreviation[],0,ColumnLanguage),ColumnAbbreviation,FALSE),"")</f>
        <v/>
      </c>
      <c r="BP170" s="21" t="str">
        <f ca="1">IFERROR(VLOOKUP(P170,OFFSET(abbreviation[],0,ColumnLanguage),ColumnAbbreviation,FALSE),"")</f>
        <v/>
      </c>
      <c r="BQ170" s="21" t="str">
        <f ca="1">IFERROR(VLOOKUP(T170,OFFSET(abbreviation[],0,ColumnLanguage),ColumnAbbreviation,FALSE),"")</f>
        <v/>
      </c>
      <c r="BR170" s="21" t="str">
        <f ca="1">IFERROR(VLOOKUP(V170,OFFSET(abbreviation[],0,ColumnLanguage),ColumnAbbreviation,FALSE),"")</f>
        <v/>
      </c>
      <c r="BS170" s="21" t="str">
        <f ca="1">IFERROR(VLOOKUP(Z170,OFFSET(abbreviation[],0,ColumnLanguage),ColumnAbbreviation,FALSE),"")</f>
        <v/>
      </c>
      <c r="BT170" s="21" t="str">
        <f ca="1">IFERROR(VLOOKUP(AB170,OFFSET(abbreviation[],0,ColumnLanguage),ColumnAbbreviation,FALSE),"")</f>
        <v/>
      </c>
      <c r="BU170" s="21" t="str">
        <f t="shared" ca="1" si="15"/>
        <v>__</v>
      </c>
      <c r="BV170" s="21" t="str">
        <f ca="1">IFERROR(VLOOKUP(AF170,OFFSET(abbreviation[],0,ColumnLanguage),ColumnAbbreviation,FALSE),"")</f>
        <v/>
      </c>
      <c r="BW170" s="21" t="str">
        <f ca="1">IFERROR(VLOOKUP(AH170,OFFSET(abbreviation[],0,ColumnLanguage),ColumnAbbreviation,FALSE),"")</f>
        <v/>
      </c>
      <c r="BX170" s="21" t="str">
        <f ca="1">IFERROR(VLOOKUP(AJ170,OFFSET(abbreviation[],0,ColumnLanguage),ColumnAbbreviation,FALSE),"")</f>
        <v/>
      </c>
      <c r="BY170" s="21" t="str">
        <f ca="1">IFERROR(VLOOKUP(AL170,OFFSET(abbreviation[],0,ColumnLanguage),ColumnAbbreviation,FALSE),"")</f>
        <v/>
      </c>
      <c r="BZ170" s="21" t="str">
        <f t="shared" ca="1" si="16"/>
        <v>_</v>
      </c>
      <c r="CA170" s="21" t="str">
        <f ca="1">IFERROR(VLOOKUP(AP170,OFFSET(abbreviation[],0,ColumnLanguage),ColumnAbbreviation,FALSE),"")</f>
        <v/>
      </c>
      <c r="CB170" s="21" t="str">
        <f ca="1">IFERROR(VLOOKUP(AR170,OFFSET(abbreviation[],0,ColumnLanguage),ColumnAbbreviation,FALSE),"")</f>
        <v/>
      </c>
      <c r="CC170" s="21" t="str">
        <f ca="1">IFERROR(VLOOKUP(AT170,OFFSET(abbreviation[],0,ColumnLanguage),ColumnAbbreviation,FALSE),"")</f>
        <v/>
      </c>
      <c r="CD170" s="21" t="str">
        <f ca="1">IFERROR(VLOOKUP(AV170,OFFSET(abbreviation[],0,ColumnLanguage),ColumnAbbreviation,FALSE),"")</f>
        <v/>
      </c>
      <c r="CE170" s="21" t="str">
        <f t="shared" ca="1" si="17"/>
        <v>__</v>
      </c>
      <c r="CF170" s="21" t="str">
        <f ca="1">IFERROR(VLOOKUP(AX170,OFFSET(abbreviation[],0,ColumnLanguage),ColumnAbbreviation,FALSE),"")</f>
        <v/>
      </c>
      <c r="CG170" s="21" t="str">
        <f ca="1">IFERROR(VLOOKUP(AZ170,OFFSET(abbreviation[],0,ColumnLanguage),ColumnAbbreviation,FALSE),"")</f>
        <v/>
      </c>
      <c r="CH170" s="21" t="str">
        <f ca="1">IFERROR(VLOOKUP(BB170,OFFSET(abbreviation[],0,ColumnLanguage),ColumnAbbreviation,FALSE),"")</f>
        <v/>
      </c>
      <c r="CI170" s="21" t="str">
        <f ca="1">IFERROR(VLOOKUP(BD170,OFFSET(abbreviation[],0,ColumnLanguage),ColumnAbbreviation,FALSE),"")</f>
        <v/>
      </c>
      <c r="CJ170" s="21" t="str">
        <f ca="1">IFERROR(VLOOKUP(BF170,OFFSET(abbreviation[],0,ColumnLanguage),ColumnAbbreviation,FALSE),"")</f>
        <v/>
      </c>
      <c r="CK170" s="21" t="str">
        <f t="shared" ca="1" si="18"/>
        <v/>
      </c>
      <c r="CL170" s="21" t="str">
        <f t="shared" si="19"/>
        <v/>
      </c>
      <c r="CM170" s="52"/>
      <c r="CN170" s="57" t="str">
        <f t="shared" si="20"/>
        <v/>
      </c>
    </row>
    <row r="171" spans="14:92" x14ac:dyDescent="0.25">
      <c r="N171" s="58"/>
      <c r="P171" s="60"/>
      <c r="Q171" s="13"/>
      <c r="V171" s="60"/>
      <c r="X171" s="61"/>
      <c r="AB171" s="60"/>
      <c r="AN171" s="54"/>
      <c r="AS171" s="15"/>
      <c r="BH171" s="52"/>
      <c r="BI171" s="21" t="str">
        <f ca="1">IFERROR(VLOOKUP(C171,OFFSET(abbreviation[],0,ColumnLanguage),ColumnAbbreviation,FALSE),"")</f>
        <v/>
      </c>
      <c r="BJ171" s="21" t="str">
        <f ca="1">IFERROR(VLOOKUP(E171,OFFSET(abbreviation[],0,ColumnLanguage),ColumnAbbreviation,FALSE),"")</f>
        <v/>
      </c>
      <c r="BK171" s="21" t="str">
        <f ca="1">IFERROR(VLOOKUP(G171,OFFSET(abbreviation[],0,ColumnLanguage),ColumnAbbreviation,FALSE),"")</f>
        <v/>
      </c>
      <c r="BL171" s="21" t="str">
        <f ca="1">IFERROR(VLOOKUP(I171,OFFSET(abbreviation[],0,ColumnLanguage),ColumnAbbreviation,FALSE),"")</f>
        <v/>
      </c>
      <c r="BM171" s="21" t="str">
        <f ca="1">IFERROR(VLOOKUP(K171,OFFSET(abbreviation[],0,ColumnLanguage),ColumnAbbreviation,FALSE),"")</f>
        <v/>
      </c>
      <c r="BN171" s="21" t="str">
        <f t="shared" ca="1" si="14"/>
        <v/>
      </c>
      <c r="BO171" s="21" t="str">
        <f ca="1">IFERROR(VLOOKUP(N171,OFFSET(abbreviation[],0,ColumnLanguage),ColumnAbbreviation,FALSE),"")</f>
        <v/>
      </c>
      <c r="BP171" s="21" t="str">
        <f ca="1">IFERROR(VLOOKUP(P171,OFFSET(abbreviation[],0,ColumnLanguage),ColumnAbbreviation,FALSE),"")</f>
        <v/>
      </c>
      <c r="BQ171" s="21" t="str">
        <f ca="1">IFERROR(VLOOKUP(T171,OFFSET(abbreviation[],0,ColumnLanguage),ColumnAbbreviation,FALSE),"")</f>
        <v/>
      </c>
      <c r="BR171" s="21" t="str">
        <f ca="1">IFERROR(VLOOKUP(V171,OFFSET(abbreviation[],0,ColumnLanguage),ColumnAbbreviation,FALSE),"")</f>
        <v/>
      </c>
      <c r="BS171" s="21" t="str">
        <f ca="1">IFERROR(VLOOKUP(Z171,OFFSET(abbreviation[],0,ColumnLanguage),ColumnAbbreviation,FALSE),"")</f>
        <v/>
      </c>
      <c r="BT171" s="21" t="str">
        <f ca="1">IFERROR(VLOOKUP(AB171,OFFSET(abbreviation[],0,ColumnLanguage),ColumnAbbreviation,FALSE),"")</f>
        <v/>
      </c>
      <c r="BU171" s="21" t="str">
        <f t="shared" ca="1" si="15"/>
        <v>__</v>
      </c>
      <c r="BV171" s="21" t="str">
        <f ca="1">IFERROR(VLOOKUP(AF171,OFFSET(abbreviation[],0,ColumnLanguage),ColumnAbbreviation,FALSE),"")</f>
        <v/>
      </c>
      <c r="BW171" s="21" t="str">
        <f ca="1">IFERROR(VLOOKUP(AH171,OFFSET(abbreviation[],0,ColumnLanguage),ColumnAbbreviation,FALSE),"")</f>
        <v/>
      </c>
      <c r="BX171" s="21" t="str">
        <f ca="1">IFERROR(VLOOKUP(AJ171,OFFSET(abbreviation[],0,ColumnLanguage),ColumnAbbreviation,FALSE),"")</f>
        <v/>
      </c>
      <c r="BY171" s="21" t="str">
        <f ca="1">IFERROR(VLOOKUP(AL171,OFFSET(abbreviation[],0,ColumnLanguage),ColumnAbbreviation,FALSE),"")</f>
        <v/>
      </c>
      <c r="BZ171" s="21" t="str">
        <f t="shared" ca="1" si="16"/>
        <v>_</v>
      </c>
      <c r="CA171" s="21" t="str">
        <f ca="1">IFERROR(VLOOKUP(AP171,OFFSET(abbreviation[],0,ColumnLanguage),ColumnAbbreviation,FALSE),"")</f>
        <v/>
      </c>
      <c r="CB171" s="21" t="str">
        <f ca="1">IFERROR(VLOOKUP(AR171,OFFSET(abbreviation[],0,ColumnLanguage),ColumnAbbreviation,FALSE),"")</f>
        <v/>
      </c>
      <c r="CC171" s="21" t="str">
        <f ca="1">IFERROR(VLOOKUP(AT171,OFFSET(abbreviation[],0,ColumnLanguage),ColumnAbbreviation,FALSE),"")</f>
        <v/>
      </c>
      <c r="CD171" s="21" t="str">
        <f ca="1">IFERROR(VLOOKUP(AV171,OFFSET(abbreviation[],0,ColumnLanguage),ColumnAbbreviation,FALSE),"")</f>
        <v/>
      </c>
      <c r="CE171" s="21" t="str">
        <f t="shared" ca="1" si="17"/>
        <v>__</v>
      </c>
      <c r="CF171" s="21" t="str">
        <f ca="1">IFERROR(VLOOKUP(AX171,OFFSET(abbreviation[],0,ColumnLanguage),ColumnAbbreviation,FALSE),"")</f>
        <v/>
      </c>
      <c r="CG171" s="21" t="str">
        <f ca="1">IFERROR(VLOOKUP(AZ171,OFFSET(abbreviation[],0,ColumnLanguage),ColumnAbbreviation,FALSE),"")</f>
        <v/>
      </c>
      <c r="CH171" s="21" t="str">
        <f ca="1">IFERROR(VLOOKUP(BB171,OFFSET(abbreviation[],0,ColumnLanguage),ColumnAbbreviation,FALSE),"")</f>
        <v/>
      </c>
      <c r="CI171" s="21" t="str">
        <f ca="1">IFERROR(VLOOKUP(BD171,OFFSET(abbreviation[],0,ColumnLanguage),ColumnAbbreviation,FALSE),"")</f>
        <v/>
      </c>
      <c r="CJ171" s="21" t="str">
        <f ca="1">IFERROR(VLOOKUP(BF171,OFFSET(abbreviation[],0,ColumnLanguage),ColumnAbbreviation,FALSE),"")</f>
        <v/>
      </c>
      <c r="CK171" s="21" t="str">
        <f t="shared" ca="1" si="18"/>
        <v/>
      </c>
      <c r="CL171" s="21" t="str">
        <f t="shared" si="19"/>
        <v/>
      </c>
      <c r="CM171" s="52"/>
      <c r="CN171" s="57" t="str">
        <f t="shared" si="20"/>
        <v/>
      </c>
    </row>
    <row r="172" spans="14:92" x14ac:dyDescent="0.25">
      <c r="N172" s="58"/>
      <c r="P172" s="60"/>
      <c r="Q172" s="13"/>
      <c r="V172" s="60"/>
      <c r="X172" s="61"/>
      <c r="AB172" s="60"/>
      <c r="AN172" s="54"/>
      <c r="AS172" s="15"/>
      <c r="BH172" s="52"/>
      <c r="BI172" s="21" t="str">
        <f ca="1">IFERROR(VLOOKUP(C172,OFFSET(abbreviation[],0,ColumnLanguage),ColumnAbbreviation,FALSE),"")</f>
        <v/>
      </c>
      <c r="BJ172" s="21" t="str">
        <f ca="1">IFERROR(VLOOKUP(E172,OFFSET(abbreviation[],0,ColumnLanguage),ColumnAbbreviation,FALSE),"")</f>
        <v/>
      </c>
      <c r="BK172" s="21" t="str">
        <f ca="1">IFERROR(VLOOKUP(G172,OFFSET(abbreviation[],0,ColumnLanguage),ColumnAbbreviation,FALSE),"")</f>
        <v/>
      </c>
      <c r="BL172" s="21" t="str">
        <f ca="1">IFERROR(VLOOKUP(I172,OFFSET(abbreviation[],0,ColumnLanguage),ColumnAbbreviation,FALSE),"")</f>
        <v/>
      </c>
      <c r="BM172" s="21" t="str">
        <f ca="1">IFERROR(VLOOKUP(K172,OFFSET(abbreviation[],0,ColumnLanguage),ColumnAbbreviation,FALSE),"")</f>
        <v/>
      </c>
      <c r="BN172" s="21" t="str">
        <f t="shared" ca="1" si="14"/>
        <v/>
      </c>
      <c r="BO172" s="21" t="str">
        <f ca="1">IFERROR(VLOOKUP(N172,OFFSET(abbreviation[],0,ColumnLanguage),ColumnAbbreviation,FALSE),"")</f>
        <v/>
      </c>
      <c r="BP172" s="21" t="str">
        <f ca="1">IFERROR(VLOOKUP(P172,OFFSET(abbreviation[],0,ColumnLanguage),ColumnAbbreviation,FALSE),"")</f>
        <v/>
      </c>
      <c r="BQ172" s="21" t="str">
        <f ca="1">IFERROR(VLOOKUP(T172,OFFSET(abbreviation[],0,ColumnLanguage),ColumnAbbreviation,FALSE),"")</f>
        <v/>
      </c>
      <c r="BR172" s="21" t="str">
        <f ca="1">IFERROR(VLOOKUP(V172,OFFSET(abbreviation[],0,ColumnLanguage),ColumnAbbreviation,FALSE),"")</f>
        <v/>
      </c>
      <c r="BS172" s="21" t="str">
        <f ca="1">IFERROR(VLOOKUP(Z172,OFFSET(abbreviation[],0,ColumnLanguage),ColumnAbbreviation,FALSE),"")</f>
        <v/>
      </c>
      <c r="BT172" s="21" t="str">
        <f ca="1">IFERROR(VLOOKUP(AB172,OFFSET(abbreviation[],0,ColumnLanguage),ColumnAbbreviation,FALSE),"")</f>
        <v/>
      </c>
      <c r="BU172" s="21" t="str">
        <f t="shared" ca="1" si="15"/>
        <v>__</v>
      </c>
      <c r="BV172" s="21" t="str">
        <f ca="1">IFERROR(VLOOKUP(AF172,OFFSET(abbreviation[],0,ColumnLanguage),ColumnAbbreviation,FALSE),"")</f>
        <v/>
      </c>
      <c r="BW172" s="21" t="str">
        <f ca="1">IFERROR(VLOOKUP(AH172,OFFSET(abbreviation[],0,ColumnLanguage),ColumnAbbreviation,FALSE),"")</f>
        <v/>
      </c>
      <c r="BX172" s="21" t="str">
        <f ca="1">IFERROR(VLOOKUP(AJ172,OFFSET(abbreviation[],0,ColumnLanguage),ColumnAbbreviation,FALSE),"")</f>
        <v/>
      </c>
      <c r="BY172" s="21" t="str">
        <f ca="1">IFERROR(VLOOKUP(AL172,OFFSET(abbreviation[],0,ColumnLanguage),ColumnAbbreviation,FALSE),"")</f>
        <v/>
      </c>
      <c r="BZ172" s="21" t="str">
        <f t="shared" ca="1" si="16"/>
        <v>_</v>
      </c>
      <c r="CA172" s="21" t="str">
        <f ca="1">IFERROR(VLOOKUP(AP172,OFFSET(abbreviation[],0,ColumnLanguage),ColumnAbbreviation,FALSE),"")</f>
        <v/>
      </c>
      <c r="CB172" s="21" t="str">
        <f ca="1">IFERROR(VLOOKUP(AR172,OFFSET(abbreviation[],0,ColumnLanguage),ColumnAbbreviation,FALSE),"")</f>
        <v/>
      </c>
      <c r="CC172" s="21" t="str">
        <f ca="1">IFERROR(VLOOKUP(AT172,OFFSET(abbreviation[],0,ColumnLanguage),ColumnAbbreviation,FALSE),"")</f>
        <v/>
      </c>
      <c r="CD172" s="21" t="str">
        <f ca="1">IFERROR(VLOOKUP(AV172,OFFSET(abbreviation[],0,ColumnLanguage),ColumnAbbreviation,FALSE),"")</f>
        <v/>
      </c>
      <c r="CE172" s="21" t="str">
        <f t="shared" ca="1" si="17"/>
        <v>__</v>
      </c>
      <c r="CF172" s="21" t="str">
        <f ca="1">IFERROR(VLOOKUP(AX172,OFFSET(abbreviation[],0,ColumnLanguage),ColumnAbbreviation,FALSE),"")</f>
        <v/>
      </c>
      <c r="CG172" s="21" t="str">
        <f ca="1">IFERROR(VLOOKUP(AZ172,OFFSET(abbreviation[],0,ColumnLanguage),ColumnAbbreviation,FALSE),"")</f>
        <v/>
      </c>
      <c r="CH172" s="21" t="str">
        <f ca="1">IFERROR(VLOOKUP(BB172,OFFSET(abbreviation[],0,ColumnLanguage),ColumnAbbreviation,FALSE),"")</f>
        <v/>
      </c>
      <c r="CI172" s="21" t="str">
        <f ca="1">IFERROR(VLOOKUP(BD172,OFFSET(abbreviation[],0,ColumnLanguage),ColumnAbbreviation,FALSE),"")</f>
        <v/>
      </c>
      <c r="CJ172" s="21" t="str">
        <f ca="1">IFERROR(VLOOKUP(BF172,OFFSET(abbreviation[],0,ColumnLanguage),ColumnAbbreviation,FALSE),"")</f>
        <v/>
      </c>
      <c r="CK172" s="21" t="str">
        <f t="shared" ca="1" si="18"/>
        <v/>
      </c>
      <c r="CL172" s="21" t="str">
        <f t="shared" si="19"/>
        <v/>
      </c>
      <c r="CM172" s="52"/>
      <c r="CN172" s="57" t="str">
        <f t="shared" si="20"/>
        <v/>
      </c>
    </row>
    <row r="173" spans="14:92" x14ac:dyDescent="0.25">
      <c r="N173" s="58"/>
      <c r="P173" s="60"/>
      <c r="Q173" s="13"/>
      <c r="V173" s="60"/>
      <c r="X173" s="61"/>
      <c r="AB173" s="60"/>
      <c r="AN173" s="54"/>
      <c r="AS173" s="15"/>
      <c r="BH173" s="52"/>
      <c r="BI173" s="21" t="str">
        <f ca="1">IFERROR(VLOOKUP(C173,OFFSET(abbreviation[],0,ColumnLanguage),ColumnAbbreviation,FALSE),"")</f>
        <v/>
      </c>
      <c r="BJ173" s="21" t="str">
        <f ca="1">IFERROR(VLOOKUP(E173,OFFSET(abbreviation[],0,ColumnLanguage),ColumnAbbreviation,FALSE),"")</f>
        <v/>
      </c>
      <c r="BK173" s="21" t="str">
        <f ca="1">IFERROR(VLOOKUP(G173,OFFSET(abbreviation[],0,ColumnLanguage),ColumnAbbreviation,FALSE),"")</f>
        <v/>
      </c>
      <c r="BL173" s="21" t="str">
        <f ca="1">IFERROR(VLOOKUP(I173,OFFSET(abbreviation[],0,ColumnLanguage),ColumnAbbreviation,FALSE),"")</f>
        <v/>
      </c>
      <c r="BM173" s="21" t="str">
        <f ca="1">IFERROR(VLOOKUP(K173,OFFSET(abbreviation[],0,ColumnLanguage),ColumnAbbreviation,FALSE),"")</f>
        <v/>
      </c>
      <c r="BN173" s="21" t="str">
        <f t="shared" ca="1" si="14"/>
        <v/>
      </c>
      <c r="BO173" s="21" t="str">
        <f ca="1">IFERROR(VLOOKUP(N173,OFFSET(abbreviation[],0,ColumnLanguage),ColumnAbbreviation,FALSE),"")</f>
        <v/>
      </c>
      <c r="BP173" s="21" t="str">
        <f ca="1">IFERROR(VLOOKUP(P173,OFFSET(abbreviation[],0,ColumnLanguage),ColumnAbbreviation,FALSE),"")</f>
        <v/>
      </c>
      <c r="BQ173" s="21" t="str">
        <f ca="1">IFERROR(VLOOKUP(T173,OFFSET(abbreviation[],0,ColumnLanguage),ColumnAbbreviation,FALSE),"")</f>
        <v/>
      </c>
      <c r="BR173" s="21" t="str">
        <f ca="1">IFERROR(VLOOKUP(V173,OFFSET(abbreviation[],0,ColumnLanguage),ColumnAbbreviation,FALSE),"")</f>
        <v/>
      </c>
      <c r="BS173" s="21" t="str">
        <f ca="1">IFERROR(VLOOKUP(Z173,OFFSET(abbreviation[],0,ColumnLanguage),ColumnAbbreviation,FALSE),"")</f>
        <v/>
      </c>
      <c r="BT173" s="21" t="str">
        <f ca="1">IFERROR(VLOOKUP(AB173,OFFSET(abbreviation[],0,ColumnLanguage),ColumnAbbreviation,FALSE),"")</f>
        <v/>
      </c>
      <c r="BU173" s="21" t="str">
        <f t="shared" ca="1" si="15"/>
        <v>__</v>
      </c>
      <c r="BV173" s="21" t="str">
        <f ca="1">IFERROR(VLOOKUP(AF173,OFFSET(abbreviation[],0,ColumnLanguage),ColumnAbbreviation,FALSE),"")</f>
        <v/>
      </c>
      <c r="BW173" s="21" t="str">
        <f ca="1">IFERROR(VLOOKUP(AH173,OFFSET(abbreviation[],0,ColumnLanguage),ColumnAbbreviation,FALSE),"")</f>
        <v/>
      </c>
      <c r="BX173" s="21" t="str">
        <f ca="1">IFERROR(VLOOKUP(AJ173,OFFSET(abbreviation[],0,ColumnLanguage),ColumnAbbreviation,FALSE),"")</f>
        <v/>
      </c>
      <c r="BY173" s="21" t="str">
        <f ca="1">IFERROR(VLOOKUP(AL173,OFFSET(abbreviation[],0,ColumnLanguage),ColumnAbbreviation,FALSE),"")</f>
        <v/>
      </c>
      <c r="BZ173" s="21" t="str">
        <f t="shared" ca="1" si="16"/>
        <v>_</v>
      </c>
      <c r="CA173" s="21" t="str">
        <f ca="1">IFERROR(VLOOKUP(AP173,OFFSET(abbreviation[],0,ColumnLanguage),ColumnAbbreviation,FALSE),"")</f>
        <v/>
      </c>
      <c r="CB173" s="21" t="str">
        <f ca="1">IFERROR(VLOOKUP(AR173,OFFSET(abbreviation[],0,ColumnLanguage),ColumnAbbreviation,FALSE),"")</f>
        <v/>
      </c>
      <c r="CC173" s="21" t="str">
        <f ca="1">IFERROR(VLOOKUP(AT173,OFFSET(abbreviation[],0,ColumnLanguage),ColumnAbbreviation,FALSE),"")</f>
        <v/>
      </c>
      <c r="CD173" s="21" t="str">
        <f ca="1">IFERROR(VLOOKUP(AV173,OFFSET(abbreviation[],0,ColumnLanguage),ColumnAbbreviation,FALSE),"")</f>
        <v/>
      </c>
      <c r="CE173" s="21" t="str">
        <f t="shared" ca="1" si="17"/>
        <v>__</v>
      </c>
      <c r="CF173" s="21" t="str">
        <f ca="1">IFERROR(VLOOKUP(AX173,OFFSET(abbreviation[],0,ColumnLanguage),ColumnAbbreviation,FALSE),"")</f>
        <v/>
      </c>
      <c r="CG173" s="21" t="str">
        <f ca="1">IFERROR(VLOOKUP(AZ173,OFFSET(abbreviation[],0,ColumnLanguage),ColumnAbbreviation,FALSE),"")</f>
        <v/>
      </c>
      <c r="CH173" s="21" t="str">
        <f ca="1">IFERROR(VLOOKUP(BB173,OFFSET(abbreviation[],0,ColumnLanguage),ColumnAbbreviation,FALSE),"")</f>
        <v/>
      </c>
      <c r="CI173" s="21" t="str">
        <f ca="1">IFERROR(VLOOKUP(BD173,OFFSET(abbreviation[],0,ColumnLanguage),ColumnAbbreviation,FALSE),"")</f>
        <v/>
      </c>
      <c r="CJ173" s="21" t="str">
        <f ca="1">IFERROR(VLOOKUP(BF173,OFFSET(abbreviation[],0,ColumnLanguage),ColumnAbbreviation,FALSE),"")</f>
        <v/>
      </c>
      <c r="CK173" s="21" t="str">
        <f t="shared" ca="1" si="18"/>
        <v/>
      </c>
      <c r="CL173" s="21" t="str">
        <f t="shared" si="19"/>
        <v/>
      </c>
      <c r="CM173" s="52"/>
      <c r="CN173" s="57" t="str">
        <f t="shared" si="20"/>
        <v/>
      </c>
    </row>
    <row r="174" spans="14:92" x14ac:dyDescent="0.25">
      <c r="N174" s="58"/>
      <c r="P174" s="60"/>
      <c r="Q174" s="13"/>
      <c r="V174" s="60"/>
      <c r="X174" s="61"/>
      <c r="AB174" s="60"/>
      <c r="AN174" s="54"/>
      <c r="AS174" s="15"/>
      <c r="BH174" s="52"/>
      <c r="BI174" s="21" t="str">
        <f ca="1">IFERROR(VLOOKUP(C174,OFFSET(abbreviation[],0,ColumnLanguage),ColumnAbbreviation,FALSE),"")</f>
        <v/>
      </c>
      <c r="BJ174" s="21" t="str">
        <f ca="1">IFERROR(VLOOKUP(E174,OFFSET(abbreviation[],0,ColumnLanguage),ColumnAbbreviation,FALSE),"")</f>
        <v/>
      </c>
      <c r="BK174" s="21" t="str">
        <f ca="1">IFERROR(VLOOKUP(G174,OFFSET(abbreviation[],0,ColumnLanguage),ColumnAbbreviation,FALSE),"")</f>
        <v/>
      </c>
      <c r="BL174" s="21" t="str">
        <f ca="1">IFERROR(VLOOKUP(I174,OFFSET(abbreviation[],0,ColumnLanguage),ColumnAbbreviation,FALSE),"")</f>
        <v/>
      </c>
      <c r="BM174" s="21" t="str">
        <f ca="1">IFERROR(VLOOKUP(K174,OFFSET(abbreviation[],0,ColumnLanguage),ColumnAbbreviation,FALSE),"")</f>
        <v/>
      </c>
      <c r="BN174" s="21" t="str">
        <f t="shared" ca="1" si="14"/>
        <v/>
      </c>
      <c r="BO174" s="21" t="str">
        <f ca="1">IFERROR(VLOOKUP(N174,OFFSET(abbreviation[],0,ColumnLanguage),ColumnAbbreviation,FALSE),"")</f>
        <v/>
      </c>
      <c r="BP174" s="21" t="str">
        <f ca="1">IFERROR(VLOOKUP(P174,OFFSET(abbreviation[],0,ColumnLanguage),ColumnAbbreviation,FALSE),"")</f>
        <v/>
      </c>
      <c r="BQ174" s="21" t="str">
        <f ca="1">IFERROR(VLOOKUP(T174,OFFSET(abbreviation[],0,ColumnLanguage),ColumnAbbreviation,FALSE),"")</f>
        <v/>
      </c>
      <c r="BR174" s="21" t="str">
        <f ca="1">IFERROR(VLOOKUP(V174,OFFSET(abbreviation[],0,ColumnLanguage),ColumnAbbreviation,FALSE),"")</f>
        <v/>
      </c>
      <c r="BS174" s="21" t="str">
        <f ca="1">IFERROR(VLOOKUP(Z174,OFFSET(abbreviation[],0,ColumnLanguage),ColumnAbbreviation,FALSE),"")</f>
        <v/>
      </c>
      <c r="BT174" s="21" t="str">
        <f ca="1">IFERROR(VLOOKUP(AB174,OFFSET(abbreviation[],0,ColumnLanguage),ColumnAbbreviation,FALSE),"")</f>
        <v/>
      </c>
      <c r="BU174" s="21" t="str">
        <f t="shared" ca="1" si="15"/>
        <v>__</v>
      </c>
      <c r="BV174" s="21" t="str">
        <f ca="1">IFERROR(VLOOKUP(AF174,OFFSET(abbreviation[],0,ColumnLanguage),ColumnAbbreviation,FALSE),"")</f>
        <v/>
      </c>
      <c r="BW174" s="21" t="str">
        <f ca="1">IFERROR(VLOOKUP(AH174,OFFSET(abbreviation[],0,ColumnLanguage),ColumnAbbreviation,FALSE),"")</f>
        <v/>
      </c>
      <c r="BX174" s="21" t="str">
        <f ca="1">IFERROR(VLOOKUP(AJ174,OFFSET(abbreviation[],0,ColumnLanguage),ColumnAbbreviation,FALSE),"")</f>
        <v/>
      </c>
      <c r="BY174" s="21" t="str">
        <f ca="1">IFERROR(VLOOKUP(AL174,OFFSET(abbreviation[],0,ColumnLanguage),ColumnAbbreviation,FALSE),"")</f>
        <v/>
      </c>
      <c r="BZ174" s="21" t="str">
        <f t="shared" ca="1" si="16"/>
        <v>_</v>
      </c>
      <c r="CA174" s="21" t="str">
        <f ca="1">IFERROR(VLOOKUP(AP174,OFFSET(abbreviation[],0,ColumnLanguage),ColumnAbbreviation,FALSE),"")</f>
        <v/>
      </c>
      <c r="CB174" s="21" t="str">
        <f ca="1">IFERROR(VLOOKUP(AR174,OFFSET(abbreviation[],0,ColumnLanguage),ColumnAbbreviation,FALSE),"")</f>
        <v/>
      </c>
      <c r="CC174" s="21" t="str">
        <f ca="1">IFERROR(VLOOKUP(AT174,OFFSET(abbreviation[],0,ColumnLanguage),ColumnAbbreviation,FALSE),"")</f>
        <v/>
      </c>
      <c r="CD174" s="21" t="str">
        <f ca="1">IFERROR(VLOOKUP(AV174,OFFSET(abbreviation[],0,ColumnLanguage),ColumnAbbreviation,FALSE),"")</f>
        <v/>
      </c>
      <c r="CE174" s="21" t="str">
        <f t="shared" ca="1" si="17"/>
        <v>__</v>
      </c>
      <c r="CF174" s="21" t="str">
        <f ca="1">IFERROR(VLOOKUP(AX174,OFFSET(abbreviation[],0,ColumnLanguage),ColumnAbbreviation,FALSE),"")</f>
        <v/>
      </c>
      <c r="CG174" s="21" t="str">
        <f ca="1">IFERROR(VLOOKUP(AZ174,OFFSET(abbreviation[],0,ColumnLanguage),ColumnAbbreviation,FALSE),"")</f>
        <v/>
      </c>
      <c r="CH174" s="21" t="str">
        <f ca="1">IFERROR(VLOOKUP(BB174,OFFSET(abbreviation[],0,ColumnLanguage),ColumnAbbreviation,FALSE),"")</f>
        <v/>
      </c>
      <c r="CI174" s="21" t="str">
        <f ca="1">IFERROR(VLOOKUP(BD174,OFFSET(abbreviation[],0,ColumnLanguage),ColumnAbbreviation,FALSE),"")</f>
        <v/>
      </c>
      <c r="CJ174" s="21" t="str">
        <f ca="1">IFERROR(VLOOKUP(BF174,OFFSET(abbreviation[],0,ColumnLanguage),ColumnAbbreviation,FALSE),"")</f>
        <v/>
      </c>
      <c r="CK174" s="21" t="str">
        <f t="shared" ca="1" si="18"/>
        <v/>
      </c>
      <c r="CL174" s="21" t="str">
        <f t="shared" si="19"/>
        <v/>
      </c>
      <c r="CM174" s="52"/>
      <c r="CN174" s="57" t="str">
        <f t="shared" si="20"/>
        <v/>
      </c>
    </row>
    <row r="175" spans="14:92" x14ac:dyDescent="0.25">
      <c r="N175" s="58"/>
      <c r="P175" s="60"/>
      <c r="Q175" s="13"/>
      <c r="V175" s="60"/>
      <c r="X175" s="61"/>
      <c r="AB175" s="60"/>
      <c r="AN175" s="54"/>
      <c r="AS175" s="15"/>
      <c r="BH175" s="52"/>
      <c r="BI175" s="21" t="str">
        <f ca="1">IFERROR(VLOOKUP(C175,OFFSET(abbreviation[],0,ColumnLanguage),ColumnAbbreviation,FALSE),"")</f>
        <v/>
      </c>
      <c r="BJ175" s="21" t="str">
        <f ca="1">IFERROR(VLOOKUP(E175,OFFSET(abbreviation[],0,ColumnLanguage),ColumnAbbreviation,FALSE),"")</f>
        <v/>
      </c>
      <c r="BK175" s="21" t="str">
        <f ca="1">IFERROR(VLOOKUP(G175,OFFSET(abbreviation[],0,ColumnLanguage),ColumnAbbreviation,FALSE),"")</f>
        <v/>
      </c>
      <c r="BL175" s="21" t="str">
        <f ca="1">IFERROR(VLOOKUP(I175,OFFSET(abbreviation[],0,ColumnLanguage),ColumnAbbreviation,FALSE),"")</f>
        <v/>
      </c>
      <c r="BM175" s="21" t="str">
        <f ca="1">IFERROR(VLOOKUP(K175,OFFSET(abbreviation[],0,ColumnLanguage),ColumnAbbreviation,FALSE),"")</f>
        <v/>
      </c>
      <c r="BN175" s="21" t="str">
        <f t="shared" ca="1" si="14"/>
        <v/>
      </c>
      <c r="BO175" s="21" t="str">
        <f ca="1">IFERROR(VLOOKUP(N175,OFFSET(abbreviation[],0,ColumnLanguage),ColumnAbbreviation,FALSE),"")</f>
        <v/>
      </c>
      <c r="BP175" s="21" t="str">
        <f ca="1">IFERROR(VLOOKUP(P175,OFFSET(abbreviation[],0,ColumnLanguage),ColumnAbbreviation,FALSE),"")</f>
        <v/>
      </c>
      <c r="BQ175" s="21" t="str">
        <f ca="1">IFERROR(VLOOKUP(T175,OFFSET(abbreviation[],0,ColumnLanguage),ColumnAbbreviation,FALSE),"")</f>
        <v/>
      </c>
      <c r="BR175" s="21" t="str">
        <f ca="1">IFERROR(VLOOKUP(V175,OFFSET(abbreviation[],0,ColumnLanguage),ColumnAbbreviation,FALSE),"")</f>
        <v/>
      </c>
      <c r="BS175" s="21" t="str">
        <f ca="1">IFERROR(VLOOKUP(Z175,OFFSET(abbreviation[],0,ColumnLanguage),ColumnAbbreviation,FALSE),"")</f>
        <v/>
      </c>
      <c r="BT175" s="21" t="str">
        <f ca="1">IFERROR(VLOOKUP(AB175,OFFSET(abbreviation[],0,ColumnLanguage),ColumnAbbreviation,FALSE),"")</f>
        <v/>
      </c>
      <c r="BU175" s="21" t="str">
        <f t="shared" ca="1" si="15"/>
        <v>__</v>
      </c>
      <c r="BV175" s="21" t="str">
        <f ca="1">IFERROR(VLOOKUP(AF175,OFFSET(abbreviation[],0,ColumnLanguage),ColumnAbbreviation,FALSE),"")</f>
        <v/>
      </c>
      <c r="BW175" s="21" t="str">
        <f ca="1">IFERROR(VLOOKUP(AH175,OFFSET(abbreviation[],0,ColumnLanguage),ColumnAbbreviation,FALSE),"")</f>
        <v/>
      </c>
      <c r="BX175" s="21" t="str">
        <f ca="1">IFERROR(VLOOKUP(AJ175,OFFSET(abbreviation[],0,ColumnLanguage),ColumnAbbreviation,FALSE),"")</f>
        <v/>
      </c>
      <c r="BY175" s="21" t="str">
        <f ca="1">IFERROR(VLOOKUP(AL175,OFFSET(abbreviation[],0,ColumnLanguage),ColumnAbbreviation,FALSE),"")</f>
        <v/>
      </c>
      <c r="BZ175" s="21" t="str">
        <f t="shared" ca="1" si="16"/>
        <v>_</v>
      </c>
      <c r="CA175" s="21" t="str">
        <f ca="1">IFERROR(VLOOKUP(AP175,OFFSET(abbreviation[],0,ColumnLanguage),ColumnAbbreviation,FALSE),"")</f>
        <v/>
      </c>
      <c r="CB175" s="21" t="str">
        <f ca="1">IFERROR(VLOOKUP(AR175,OFFSET(abbreviation[],0,ColumnLanguage),ColumnAbbreviation,FALSE),"")</f>
        <v/>
      </c>
      <c r="CC175" s="21" t="str">
        <f ca="1">IFERROR(VLOOKUP(AT175,OFFSET(abbreviation[],0,ColumnLanguage),ColumnAbbreviation,FALSE),"")</f>
        <v/>
      </c>
      <c r="CD175" s="21" t="str">
        <f ca="1">IFERROR(VLOOKUP(AV175,OFFSET(abbreviation[],0,ColumnLanguage),ColumnAbbreviation,FALSE),"")</f>
        <v/>
      </c>
      <c r="CE175" s="21" t="str">
        <f t="shared" ca="1" si="17"/>
        <v>__</v>
      </c>
      <c r="CF175" s="21" t="str">
        <f ca="1">IFERROR(VLOOKUP(AX175,OFFSET(abbreviation[],0,ColumnLanguage),ColumnAbbreviation,FALSE),"")</f>
        <v/>
      </c>
      <c r="CG175" s="21" t="str">
        <f ca="1">IFERROR(VLOOKUP(AZ175,OFFSET(abbreviation[],0,ColumnLanguage),ColumnAbbreviation,FALSE),"")</f>
        <v/>
      </c>
      <c r="CH175" s="21" t="str">
        <f ca="1">IFERROR(VLOOKUP(BB175,OFFSET(abbreviation[],0,ColumnLanguage),ColumnAbbreviation,FALSE),"")</f>
        <v/>
      </c>
      <c r="CI175" s="21" t="str">
        <f ca="1">IFERROR(VLOOKUP(BD175,OFFSET(abbreviation[],0,ColumnLanguage),ColumnAbbreviation,FALSE),"")</f>
        <v/>
      </c>
      <c r="CJ175" s="21" t="str">
        <f ca="1">IFERROR(VLOOKUP(BF175,OFFSET(abbreviation[],0,ColumnLanguage),ColumnAbbreviation,FALSE),"")</f>
        <v/>
      </c>
      <c r="CK175" s="21" t="str">
        <f t="shared" ca="1" si="18"/>
        <v/>
      </c>
      <c r="CL175" s="21" t="str">
        <f t="shared" si="19"/>
        <v/>
      </c>
      <c r="CM175" s="52"/>
      <c r="CN175" s="57" t="str">
        <f t="shared" si="20"/>
        <v/>
      </c>
    </row>
    <row r="176" spans="14:92" x14ac:dyDescent="0.25">
      <c r="N176" s="58"/>
      <c r="P176" s="60"/>
      <c r="Q176" s="13"/>
      <c r="V176" s="60"/>
      <c r="X176" s="61"/>
      <c r="AB176" s="60"/>
      <c r="AN176" s="54"/>
      <c r="AS176" s="15"/>
      <c r="BH176" s="52"/>
      <c r="BI176" s="21" t="str">
        <f ca="1">IFERROR(VLOOKUP(C176,OFFSET(abbreviation[],0,ColumnLanguage),ColumnAbbreviation,FALSE),"")</f>
        <v/>
      </c>
      <c r="BJ176" s="21" t="str">
        <f ca="1">IFERROR(VLOOKUP(E176,OFFSET(abbreviation[],0,ColumnLanguage),ColumnAbbreviation,FALSE),"")</f>
        <v/>
      </c>
      <c r="BK176" s="21" t="str">
        <f ca="1">IFERROR(VLOOKUP(G176,OFFSET(abbreviation[],0,ColumnLanguage),ColumnAbbreviation,FALSE),"")</f>
        <v/>
      </c>
      <c r="BL176" s="21" t="str">
        <f ca="1">IFERROR(VLOOKUP(I176,OFFSET(abbreviation[],0,ColumnLanguage),ColumnAbbreviation,FALSE),"")</f>
        <v/>
      </c>
      <c r="BM176" s="21" t="str">
        <f ca="1">IFERROR(VLOOKUP(K176,OFFSET(abbreviation[],0,ColumnLanguage),ColumnAbbreviation,FALSE),"")</f>
        <v/>
      </c>
      <c r="BN176" s="21" t="str">
        <f t="shared" ca="1" si="14"/>
        <v/>
      </c>
      <c r="BO176" s="21" t="str">
        <f ca="1">IFERROR(VLOOKUP(N176,OFFSET(abbreviation[],0,ColumnLanguage),ColumnAbbreviation,FALSE),"")</f>
        <v/>
      </c>
      <c r="BP176" s="21" t="str">
        <f ca="1">IFERROR(VLOOKUP(P176,OFFSET(abbreviation[],0,ColumnLanguage),ColumnAbbreviation,FALSE),"")</f>
        <v/>
      </c>
      <c r="BQ176" s="21" t="str">
        <f ca="1">IFERROR(VLOOKUP(T176,OFFSET(abbreviation[],0,ColumnLanguage),ColumnAbbreviation,FALSE),"")</f>
        <v/>
      </c>
      <c r="BR176" s="21" t="str">
        <f ca="1">IFERROR(VLOOKUP(V176,OFFSET(abbreviation[],0,ColumnLanguage),ColumnAbbreviation,FALSE),"")</f>
        <v/>
      </c>
      <c r="BS176" s="21" t="str">
        <f ca="1">IFERROR(VLOOKUP(Z176,OFFSET(abbreviation[],0,ColumnLanguage),ColumnAbbreviation,FALSE),"")</f>
        <v/>
      </c>
      <c r="BT176" s="21" t="str">
        <f ca="1">IFERROR(VLOOKUP(AB176,OFFSET(abbreviation[],0,ColumnLanguage),ColumnAbbreviation,FALSE),"")</f>
        <v/>
      </c>
      <c r="BU176" s="21" t="str">
        <f t="shared" ca="1" si="15"/>
        <v>__</v>
      </c>
      <c r="BV176" s="21" t="str">
        <f ca="1">IFERROR(VLOOKUP(AF176,OFFSET(abbreviation[],0,ColumnLanguage),ColumnAbbreviation,FALSE),"")</f>
        <v/>
      </c>
      <c r="BW176" s="21" t="str">
        <f ca="1">IFERROR(VLOOKUP(AH176,OFFSET(abbreviation[],0,ColumnLanguage),ColumnAbbreviation,FALSE),"")</f>
        <v/>
      </c>
      <c r="BX176" s="21" t="str">
        <f ca="1">IFERROR(VLOOKUP(AJ176,OFFSET(abbreviation[],0,ColumnLanguage),ColumnAbbreviation,FALSE),"")</f>
        <v/>
      </c>
      <c r="BY176" s="21" t="str">
        <f ca="1">IFERROR(VLOOKUP(AL176,OFFSET(abbreviation[],0,ColumnLanguage),ColumnAbbreviation,FALSE),"")</f>
        <v/>
      </c>
      <c r="BZ176" s="21" t="str">
        <f t="shared" ca="1" si="16"/>
        <v>_</v>
      </c>
      <c r="CA176" s="21" t="str">
        <f ca="1">IFERROR(VLOOKUP(AP176,OFFSET(abbreviation[],0,ColumnLanguage),ColumnAbbreviation,FALSE),"")</f>
        <v/>
      </c>
      <c r="CB176" s="21" t="str">
        <f ca="1">IFERROR(VLOOKUP(AR176,OFFSET(abbreviation[],0,ColumnLanguage),ColumnAbbreviation,FALSE),"")</f>
        <v/>
      </c>
      <c r="CC176" s="21" t="str">
        <f ca="1">IFERROR(VLOOKUP(AT176,OFFSET(abbreviation[],0,ColumnLanguage),ColumnAbbreviation,FALSE),"")</f>
        <v/>
      </c>
      <c r="CD176" s="21" t="str">
        <f ca="1">IFERROR(VLOOKUP(AV176,OFFSET(abbreviation[],0,ColumnLanguage),ColumnAbbreviation,FALSE),"")</f>
        <v/>
      </c>
      <c r="CE176" s="21" t="str">
        <f t="shared" ca="1" si="17"/>
        <v>__</v>
      </c>
      <c r="CF176" s="21" t="str">
        <f ca="1">IFERROR(VLOOKUP(AX176,OFFSET(abbreviation[],0,ColumnLanguage),ColumnAbbreviation,FALSE),"")</f>
        <v/>
      </c>
      <c r="CG176" s="21" t="str">
        <f ca="1">IFERROR(VLOOKUP(AZ176,OFFSET(abbreviation[],0,ColumnLanguage),ColumnAbbreviation,FALSE),"")</f>
        <v/>
      </c>
      <c r="CH176" s="21" t="str">
        <f ca="1">IFERROR(VLOOKUP(BB176,OFFSET(abbreviation[],0,ColumnLanguage),ColumnAbbreviation,FALSE),"")</f>
        <v/>
      </c>
      <c r="CI176" s="21" t="str">
        <f ca="1">IFERROR(VLOOKUP(BD176,OFFSET(abbreviation[],0,ColumnLanguage),ColumnAbbreviation,FALSE),"")</f>
        <v/>
      </c>
      <c r="CJ176" s="21" t="str">
        <f ca="1">IFERROR(VLOOKUP(BF176,OFFSET(abbreviation[],0,ColumnLanguage),ColumnAbbreviation,FALSE),"")</f>
        <v/>
      </c>
      <c r="CK176" s="21" t="str">
        <f t="shared" ca="1" si="18"/>
        <v/>
      </c>
      <c r="CL176" s="21" t="str">
        <f t="shared" si="19"/>
        <v/>
      </c>
      <c r="CM176" s="52"/>
      <c r="CN176" s="57" t="str">
        <f t="shared" si="20"/>
        <v/>
      </c>
    </row>
    <row r="177" spans="14:92" x14ac:dyDescent="0.25">
      <c r="N177" s="58"/>
      <c r="P177" s="60"/>
      <c r="Q177" s="13"/>
      <c r="V177" s="60"/>
      <c r="X177" s="61"/>
      <c r="AB177" s="60"/>
      <c r="AN177" s="54"/>
      <c r="AS177" s="15"/>
      <c r="BH177" s="52"/>
      <c r="BI177" s="21" t="str">
        <f ca="1">IFERROR(VLOOKUP(C177,OFFSET(abbreviation[],0,ColumnLanguage),ColumnAbbreviation,FALSE),"")</f>
        <v/>
      </c>
      <c r="BJ177" s="21" t="str">
        <f ca="1">IFERROR(VLOOKUP(E177,OFFSET(abbreviation[],0,ColumnLanguage),ColumnAbbreviation,FALSE),"")</f>
        <v/>
      </c>
      <c r="BK177" s="21" t="str">
        <f ca="1">IFERROR(VLOOKUP(G177,OFFSET(abbreviation[],0,ColumnLanguage),ColumnAbbreviation,FALSE),"")</f>
        <v/>
      </c>
      <c r="BL177" s="21" t="str">
        <f ca="1">IFERROR(VLOOKUP(I177,OFFSET(abbreviation[],0,ColumnLanguage),ColumnAbbreviation,FALSE),"")</f>
        <v/>
      </c>
      <c r="BM177" s="21" t="str">
        <f ca="1">IFERROR(VLOOKUP(K177,OFFSET(abbreviation[],0,ColumnLanguage),ColumnAbbreviation,FALSE),"")</f>
        <v/>
      </c>
      <c r="BN177" s="21" t="str">
        <f t="shared" ca="1" si="14"/>
        <v/>
      </c>
      <c r="BO177" s="21" t="str">
        <f ca="1">IFERROR(VLOOKUP(N177,OFFSET(abbreviation[],0,ColumnLanguage),ColumnAbbreviation,FALSE),"")</f>
        <v/>
      </c>
      <c r="BP177" s="21" t="str">
        <f ca="1">IFERROR(VLOOKUP(P177,OFFSET(abbreviation[],0,ColumnLanguage),ColumnAbbreviation,FALSE),"")</f>
        <v/>
      </c>
      <c r="BQ177" s="21" t="str">
        <f ca="1">IFERROR(VLOOKUP(T177,OFFSET(abbreviation[],0,ColumnLanguage),ColumnAbbreviation,FALSE),"")</f>
        <v/>
      </c>
      <c r="BR177" s="21" t="str">
        <f ca="1">IFERROR(VLOOKUP(V177,OFFSET(abbreviation[],0,ColumnLanguage),ColumnAbbreviation,FALSE),"")</f>
        <v/>
      </c>
      <c r="BS177" s="21" t="str">
        <f ca="1">IFERROR(VLOOKUP(Z177,OFFSET(abbreviation[],0,ColumnLanguage),ColumnAbbreviation,FALSE),"")</f>
        <v/>
      </c>
      <c r="BT177" s="21" t="str">
        <f ca="1">IFERROR(VLOOKUP(AB177,OFFSET(abbreviation[],0,ColumnLanguage),ColumnAbbreviation,FALSE),"")</f>
        <v/>
      </c>
      <c r="BU177" s="21" t="str">
        <f t="shared" ca="1" si="15"/>
        <v>__</v>
      </c>
      <c r="BV177" s="21" t="str">
        <f ca="1">IFERROR(VLOOKUP(AF177,OFFSET(abbreviation[],0,ColumnLanguage),ColumnAbbreviation,FALSE),"")</f>
        <v/>
      </c>
      <c r="BW177" s="21" t="str">
        <f ca="1">IFERROR(VLOOKUP(AH177,OFFSET(abbreviation[],0,ColumnLanguage),ColumnAbbreviation,FALSE),"")</f>
        <v/>
      </c>
      <c r="BX177" s="21" t="str">
        <f ca="1">IFERROR(VLOOKUP(AJ177,OFFSET(abbreviation[],0,ColumnLanguage),ColumnAbbreviation,FALSE),"")</f>
        <v/>
      </c>
      <c r="BY177" s="21" t="str">
        <f ca="1">IFERROR(VLOOKUP(AL177,OFFSET(abbreviation[],0,ColumnLanguage),ColumnAbbreviation,FALSE),"")</f>
        <v/>
      </c>
      <c r="BZ177" s="21" t="str">
        <f t="shared" ca="1" si="16"/>
        <v>_</v>
      </c>
      <c r="CA177" s="21" t="str">
        <f ca="1">IFERROR(VLOOKUP(AP177,OFFSET(abbreviation[],0,ColumnLanguage),ColumnAbbreviation,FALSE),"")</f>
        <v/>
      </c>
      <c r="CB177" s="21" t="str">
        <f ca="1">IFERROR(VLOOKUP(AR177,OFFSET(abbreviation[],0,ColumnLanguage),ColumnAbbreviation,FALSE),"")</f>
        <v/>
      </c>
      <c r="CC177" s="21" t="str">
        <f ca="1">IFERROR(VLOOKUP(AT177,OFFSET(abbreviation[],0,ColumnLanguage),ColumnAbbreviation,FALSE),"")</f>
        <v/>
      </c>
      <c r="CD177" s="21" t="str">
        <f ca="1">IFERROR(VLOOKUP(AV177,OFFSET(abbreviation[],0,ColumnLanguage),ColumnAbbreviation,FALSE),"")</f>
        <v/>
      </c>
      <c r="CE177" s="21" t="str">
        <f t="shared" ca="1" si="17"/>
        <v>__</v>
      </c>
      <c r="CF177" s="21" t="str">
        <f ca="1">IFERROR(VLOOKUP(AX177,OFFSET(abbreviation[],0,ColumnLanguage),ColumnAbbreviation,FALSE),"")</f>
        <v/>
      </c>
      <c r="CG177" s="21" t="str">
        <f ca="1">IFERROR(VLOOKUP(AZ177,OFFSET(abbreviation[],0,ColumnLanguage),ColumnAbbreviation,FALSE),"")</f>
        <v/>
      </c>
      <c r="CH177" s="21" t="str">
        <f ca="1">IFERROR(VLOOKUP(BB177,OFFSET(abbreviation[],0,ColumnLanguage),ColumnAbbreviation,FALSE),"")</f>
        <v/>
      </c>
      <c r="CI177" s="21" t="str">
        <f ca="1">IFERROR(VLOOKUP(BD177,OFFSET(abbreviation[],0,ColumnLanguage),ColumnAbbreviation,FALSE),"")</f>
        <v/>
      </c>
      <c r="CJ177" s="21" t="str">
        <f ca="1">IFERROR(VLOOKUP(BF177,OFFSET(abbreviation[],0,ColumnLanguage),ColumnAbbreviation,FALSE),"")</f>
        <v/>
      </c>
      <c r="CK177" s="21" t="str">
        <f t="shared" ca="1" si="18"/>
        <v/>
      </c>
      <c r="CL177" s="21" t="str">
        <f t="shared" si="19"/>
        <v/>
      </c>
      <c r="CM177" s="52"/>
      <c r="CN177" s="57" t="str">
        <f t="shared" si="20"/>
        <v/>
      </c>
    </row>
    <row r="178" spans="14:92" x14ac:dyDescent="0.25">
      <c r="N178" s="58"/>
      <c r="P178" s="60"/>
      <c r="Q178" s="13"/>
      <c r="V178" s="60"/>
      <c r="X178" s="61"/>
      <c r="AB178" s="60"/>
      <c r="AN178" s="54"/>
      <c r="AS178" s="15"/>
      <c r="BH178" s="52"/>
      <c r="BI178" s="21" t="str">
        <f ca="1">IFERROR(VLOOKUP(C178,OFFSET(abbreviation[],0,ColumnLanguage),ColumnAbbreviation,FALSE),"")</f>
        <v/>
      </c>
      <c r="BJ178" s="21" t="str">
        <f ca="1">IFERROR(VLOOKUP(E178,OFFSET(abbreviation[],0,ColumnLanguage),ColumnAbbreviation,FALSE),"")</f>
        <v/>
      </c>
      <c r="BK178" s="21" t="str">
        <f ca="1">IFERROR(VLOOKUP(G178,OFFSET(abbreviation[],0,ColumnLanguage),ColumnAbbreviation,FALSE),"")</f>
        <v/>
      </c>
      <c r="BL178" s="21" t="str">
        <f ca="1">IFERROR(VLOOKUP(I178,OFFSET(abbreviation[],0,ColumnLanguage),ColumnAbbreviation,FALSE),"")</f>
        <v/>
      </c>
      <c r="BM178" s="21" t="str">
        <f ca="1">IFERROR(VLOOKUP(K178,OFFSET(abbreviation[],0,ColumnLanguage),ColumnAbbreviation,FALSE),"")</f>
        <v/>
      </c>
      <c r="BN178" s="21" t="str">
        <f t="shared" ca="1" si="14"/>
        <v/>
      </c>
      <c r="BO178" s="21" t="str">
        <f ca="1">IFERROR(VLOOKUP(N178,OFFSET(abbreviation[],0,ColumnLanguage),ColumnAbbreviation,FALSE),"")</f>
        <v/>
      </c>
      <c r="BP178" s="21" t="str">
        <f ca="1">IFERROR(VLOOKUP(P178,OFFSET(abbreviation[],0,ColumnLanguage),ColumnAbbreviation,FALSE),"")</f>
        <v/>
      </c>
      <c r="BQ178" s="21" t="str">
        <f ca="1">IFERROR(VLOOKUP(T178,OFFSET(abbreviation[],0,ColumnLanguage),ColumnAbbreviation,FALSE),"")</f>
        <v/>
      </c>
      <c r="BR178" s="21" t="str">
        <f ca="1">IFERROR(VLOOKUP(V178,OFFSET(abbreviation[],0,ColumnLanguage),ColumnAbbreviation,FALSE),"")</f>
        <v/>
      </c>
      <c r="BS178" s="21" t="str">
        <f ca="1">IFERROR(VLOOKUP(Z178,OFFSET(abbreviation[],0,ColumnLanguage),ColumnAbbreviation,FALSE),"")</f>
        <v/>
      </c>
      <c r="BT178" s="21" t="str">
        <f ca="1">IFERROR(VLOOKUP(AB178,OFFSET(abbreviation[],0,ColumnLanguage),ColumnAbbreviation,FALSE),"")</f>
        <v/>
      </c>
      <c r="BU178" s="21" t="str">
        <f t="shared" ca="1" si="15"/>
        <v>__</v>
      </c>
      <c r="BV178" s="21" t="str">
        <f ca="1">IFERROR(VLOOKUP(AF178,OFFSET(abbreviation[],0,ColumnLanguage),ColumnAbbreviation,FALSE),"")</f>
        <v/>
      </c>
      <c r="BW178" s="21" t="str">
        <f ca="1">IFERROR(VLOOKUP(AH178,OFFSET(abbreviation[],0,ColumnLanguage),ColumnAbbreviation,FALSE),"")</f>
        <v/>
      </c>
      <c r="BX178" s="21" t="str">
        <f ca="1">IFERROR(VLOOKUP(AJ178,OFFSET(abbreviation[],0,ColumnLanguage),ColumnAbbreviation,FALSE),"")</f>
        <v/>
      </c>
      <c r="BY178" s="21" t="str">
        <f ca="1">IFERROR(VLOOKUP(AL178,OFFSET(abbreviation[],0,ColumnLanguage),ColumnAbbreviation,FALSE),"")</f>
        <v/>
      </c>
      <c r="BZ178" s="21" t="str">
        <f t="shared" ca="1" si="16"/>
        <v>_</v>
      </c>
      <c r="CA178" s="21" t="str">
        <f ca="1">IFERROR(VLOOKUP(AP178,OFFSET(abbreviation[],0,ColumnLanguage),ColumnAbbreviation,FALSE),"")</f>
        <v/>
      </c>
      <c r="CB178" s="21" t="str">
        <f ca="1">IFERROR(VLOOKUP(AR178,OFFSET(abbreviation[],0,ColumnLanguage),ColumnAbbreviation,FALSE),"")</f>
        <v/>
      </c>
      <c r="CC178" s="21" t="str">
        <f ca="1">IFERROR(VLOOKUP(AT178,OFFSET(abbreviation[],0,ColumnLanguage),ColumnAbbreviation,FALSE),"")</f>
        <v/>
      </c>
      <c r="CD178" s="21" t="str">
        <f ca="1">IFERROR(VLOOKUP(AV178,OFFSET(abbreviation[],0,ColumnLanguage),ColumnAbbreviation,FALSE),"")</f>
        <v/>
      </c>
      <c r="CE178" s="21" t="str">
        <f t="shared" ca="1" si="17"/>
        <v>__</v>
      </c>
      <c r="CF178" s="21" t="str">
        <f ca="1">IFERROR(VLOOKUP(AX178,OFFSET(abbreviation[],0,ColumnLanguage),ColumnAbbreviation,FALSE),"")</f>
        <v/>
      </c>
      <c r="CG178" s="21" t="str">
        <f ca="1">IFERROR(VLOOKUP(AZ178,OFFSET(abbreviation[],0,ColumnLanguage),ColumnAbbreviation,FALSE),"")</f>
        <v/>
      </c>
      <c r="CH178" s="21" t="str">
        <f ca="1">IFERROR(VLOOKUP(BB178,OFFSET(abbreviation[],0,ColumnLanguage),ColumnAbbreviation,FALSE),"")</f>
        <v/>
      </c>
      <c r="CI178" s="21" t="str">
        <f ca="1">IFERROR(VLOOKUP(BD178,OFFSET(abbreviation[],0,ColumnLanguage),ColumnAbbreviation,FALSE),"")</f>
        <v/>
      </c>
      <c r="CJ178" s="21" t="str">
        <f ca="1">IFERROR(VLOOKUP(BF178,OFFSET(abbreviation[],0,ColumnLanguage),ColumnAbbreviation,FALSE),"")</f>
        <v/>
      </c>
      <c r="CK178" s="21" t="str">
        <f t="shared" ca="1" si="18"/>
        <v/>
      </c>
      <c r="CL178" s="21" t="str">
        <f t="shared" si="19"/>
        <v/>
      </c>
      <c r="CM178" s="52"/>
      <c r="CN178" s="57" t="str">
        <f t="shared" si="20"/>
        <v/>
      </c>
    </row>
    <row r="179" spans="14:92" x14ac:dyDescent="0.25">
      <c r="N179" s="58"/>
      <c r="P179" s="60"/>
      <c r="Q179" s="13"/>
      <c r="V179" s="60"/>
      <c r="X179" s="61"/>
      <c r="AB179" s="60"/>
      <c r="AN179" s="54"/>
      <c r="AS179" s="15"/>
      <c r="BH179" s="52"/>
      <c r="BI179" s="21" t="str">
        <f ca="1">IFERROR(VLOOKUP(C179,OFFSET(abbreviation[],0,ColumnLanguage),ColumnAbbreviation,FALSE),"")</f>
        <v/>
      </c>
      <c r="BJ179" s="21" t="str">
        <f ca="1">IFERROR(VLOOKUP(E179,OFFSET(abbreviation[],0,ColumnLanguage),ColumnAbbreviation,FALSE),"")</f>
        <v/>
      </c>
      <c r="BK179" s="21" t="str">
        <f ca="1">IFERROR(VLOOKUP(G179,OFFSET(abbreviation[],0,ColumnLanguage),ColumnAbbreviation,FALSE),"")</f>
        <v/>
      </c>
      <c r="BL179" s="21" t="str">
        <f ca="1">IFERROR(VLOOKUP(I179,OFFSET(abbreviation[],0,ColumnLanguage),ColumnAbbreviation,FALSE),"")</f>
        <v/>
      </c>
      <c r="BM179" s="21" t="str">
        <f ca="1">IFERROR(VLOOKUP(K179,OFFSET(abbreviation[],0,ColumnLanguage),ColumnAbbreviation,FALSE),"")</f>
        <v/>
      </c>
      <c r="BN179" s="21" t="str">
        <f t="shared" ca="1" si="14"/>
        <v/>
      </c>
      <c r="BO179" s="21" t="str">
        <f ca="1">IFERROR(VLOOKUP(N179,OFFSET(abbreviation[],0,ColumnLanguage),ColumnAbbreviation,FALSE),"")</f>
        <v/>
      </c>
      <c r="BP179" s="21" t="str">
        <f ca="1">IFERROR(VLOOKUP(P179,OFFSET(abbreviation[],0,ColumnLanguage),ColumnAbbreviation,FALSE),"")</f>
        <v/>
      </c>
      <c r="BQ179" s="21" t="str">
        <f ca="1">IFERROR(VLOOKUP(T179,OFFSET(abbreviation[],0,ColumnLanguage),ColumnAbbreviation,FALSE),"")</f>
        <v/>
      </c>
      <c r="BR179" s="21" t="str">
        <f ca="1">IFERROR(VLOOKUP(V179,OFFSET(abbreviation[],0,ColumnLanguage),ColumnAbbreviation,FALSE),"")</f>
        <v/>
      </c>
      <c r="BS179" s="21" t="str">
        <f ca="1">IFERROR(VLOOKUP(Z179,OFFSET(abbreviation[],0,ColumnLanguage),ColumnAbbreviation,FALSE),"")</f>
        <v/>
      </c>
      <c r="BT179" s="21" t="str">
        <f ca="1">IFERROR(VLOOKUP(AB179,OFFSET(abbreviation[],0,ColumnLanguage),ColumnAbbreviation,FALSE),"")</f>
        <v/>
      </c>
      <c r="BU179" s="21" t="str">
        <f t="shared" ca="1" si="15"/>
        <v>__</v>
      </c>
      <c r="BV179" s="21" t="str">
        <f ca="1">IFERROR(VLOOKUP(AF179,OFFSET(abbreviation[],0,ColumnLanguage),ColumnAbbreviation,FALSE),"")</f>
        <v/>
      </c>
      <c r="BW179" s="21" t="str">
        <f ca="1">IFERROR(VLOOKUP(AH179,OFFSET(abbreviation[],0,ColumnLanguage),ColumnAbbreviation,FALSE),"")</f>
        <v/>
      </c>
      <c r="BX179" s="21" t="str">
        <f ca="1">IFERROR(VLOOKUP(AJ179,OFFSET(abbreviation[],0,ColumnLanguage),ColumnAbbreviation,FALSE),"")</f>
        <v/>
      </c>
      <c r="BY179" s="21" t="str">
        <f ca="1">IFERROR(VLOOKUP(AL179,OFFSET(abbreviation[],0,ColumnLanguage),ColumnAbbreviation,FALSE),"")</f>
        <v/>
      </c>
      <c r="BZ179" s="21" t="str">
        <f t="shared" ca="1" si="16"/>
        <v>_</v>
      </c>
      <c r="CA179" s="21" t="str">
        <f ca="1">IFERROR(VLOOKUP(AP179,OFFSET(abbreviation[],0,ColumnLanguage),ColumnAbbreviation,FALSE),"")</f>
        <v/>
      </c>
      <c r="CB179" s="21" t="str">
        <f ca="1">IFERROR(VLOOKUP(AR179,OFFSET(abbreviation[],0,ColumnLanguage),ColumnAbbreviation,FALSE),"")</f>
        <v/>
      </c>
      <c r="CC179" s="21" t="str">
        <f ca="1">IFERROR(VLOOKUP(AT179,OFFSET(abbreviation[],0,ColumnLanguage),ColumnAbbreviation,FALSE),"")</f>
        <v/>
      </c>
      <c r="CD179" s="21" t="str">
        <f ca="1">IFERROR(VLOOKUP(AV179,OFFSET(abbreviation[],0,ColumnLanguage),ColumnAbbreviation,FALSE),"")</f>
        <v/>
      </c>
      <c r="CE179" s="21" t="str">
        <f t="shared" ca="1" si="17"/>
        <v>__</v>
      </c>
      <c r="CF179" s="21" t="str">
        <f ca="1">IFERROR(VLOOKUP(AX179,OFFSET(abbreviation[],0,ColumnLanguage),ColumnAbbreviation,FALSE),"")</f>
        <v/>
      </c>
      <c r="CG179" s="21" t="str">
        <f ca="1">IFERROR(VLOOKUP(AZ179,OFFSET(abbreviation[],0,ColumnLanguage),ColumnAbbreviation,FALSE),"")</f>
        <v/>
      </c>
      <c r="CH179" s="21" t="str">
        <f ca="1">IFERROR(VLOOKUP(BB179,OFFSET(abbreviation[],0,ColumnLanguage),ColumnAbbreviation,FALSE),"")</f>
        <v/>
      </c>
      <c r="CI179" s="21" t="str">
        <f ca="1">IFERROR(VLOOKUP(BD179,OFFSET(abbreviation[],0,ColumnLanguage),ColumnAbbreviation,FALSE),"")</f>
        <v/>
      </c>
      <c r="CJ179" s="21" t="str">
        <f ca="1">IFERROR(VLOOKUP(BF179,OFFSET(abbreviation[],0,ColumnLanguage),ColumnAbbreviation,FALSE),"")</f>
        <v/>
      </c>
      <c r="CK179" s="21" t="str">
        <f t="shared" ca="1" si="18"/>
        <v/>
      </c>
      <c r="CL179" s="21" t="str">
        <f t="shared" si="19"/>
        <v/>
      </c>
      <c r="CM179" s="52"/>
      <c r="CN179" s="57" t="str">
        <f t="shared" si="20"/>
        <v/>
      </c>
    </row>
    <row r="180" spans="14:92" x14ac:dyDescent="0.25">
      <c r="N180" s="58"/>
      <c r="P180" s="60"/>
      <c r="Q180" s="13"/>
      <c r="V180" s="60"/>
      <c r="X180" s="61"/>
      <c r="AB180" s="60"/>
      <c r="AN180" s="54"/>
      <c r="AS180" s="15"/>
      <c r="BH180" s="52"/>
      <c r="BI180" s="21" t="str">
        <f ca="1">IFERROR(VLOOKUP(C180,OFFSET(abbreviation[],0,ColumnLanguage),ColumnAbbreviation,FALSE),"")</f>
        <v/>
      </c>
      <c r="BJ180" s="21" t="str">
        <f ca="1">IFERROR(VLOOKUP(E180,OFFSET(abbreviation[],0,ColumnLanguage),ColumnAbbreviation,FALSE),"")</f>
        <v/>
      </c>
      <c r="BK180" s="21" t="str">
        <f ca="1">IFERROR(VLOOKUP(G180,OFFSET(abbreviation[],0,ColumnLanguage),ColumnAbbreviation,FALSE),"")</f>
        <v/>
      </c>
      <c r="BL180" s="21" t="str">
        <f ca="1">IFERROR(VLOOKUP(I180,OFFSET(abbreviation[],0,ColumnLanguage),ColumnAbbreviation,FALSE),"")</f>
        <v/>
      </c>
      <c r="BM180" s="21" t="str">
        <f ca="1">IFERROR(VLOOKUP(K180,OFFSET(abbreviation[],0,ColumnLanguage),ColumnAbbreviation,FALSE),"")</f>
        <v/>
      </c>
      <c r="BN180" s="21" t="str">
        <f t="shared" ca="1" si="14"/>
        <v/>
      </c>
      <c r="BO180" s="21" t="str">
        <f ca="1">IFERROR(VLOOKUP(N180,OFFSET(abbreviation[],0,ColumnLanguage),ColumnAbbreviation,FALSE),"")</f>
        <v/>
      </c>
      <c r="BP180" s="21" t="str">
        <f ca="1">IFERROR(VLOOKUP(P180,OFFSET(abbreviation[],0,ColumnLanguage),ColumnAbbreviation,FALSE),"")</f>
        <v/>
      </c>
      <c r="BQ180" s="21" t="str">
        <f ca="1">IFERROR(VLOOKUP(T180,OFFSET(abbreviation[],0,ColumnLanguage),ColumnAbbreviation,FALSE),"")</f>
        <v/>
      </c>
      <c r="BR180" s="21" t="str">
        <f ca="1">IFERROR(VLOOKUP(V180,OFFSET(abbreviation[],0,ColumnLanguage),ColumnAbbreviation,FALSE),"")</f>
        <v/>
      </c>
      <c r="BS180" s="21" t="str">
        <f ca="1">IFERROR(VLOOKUP(Z180,OFFSET(abbreviation[],0,ColumnLanguage),ColumnAbbreviation,FALSE),"")</f>
        <v/>
      </c>
      <c r="BT180" s="21" t="str">
        <f ca="1">IFERROR(VLOOKUP(AB180,OFFSET(abbreviation[],0,ColumnLanguage),ColumnAbbreviation,FALSE),"")</f>
        <v/>
      </c>
      <c r="BU180" s="21" t="str">
        <f t="shared" ca="1" si="15"/>
        <v>__</v>
      </c>
      <c r="BV180" s="21" t="str">
        <f ca="1">IFERROR(VLOOKUP(AF180,OFFSET(abbreviation[],0,ColumnLanguage),ColumnAbbreviation,FALSE),"")</f>
        <v/>
      </c>
      <c r="BW180" s="21" t="str">
        <f ca="1">IFERROR(VLOOKUP(AH180,OFFSET(abbreviation[],0,ColumnLanguage),ColumnAbbreviation,FALSE),"")</f>
        <v/>
      </c>
      <c r="BX180" s="21" t="str">
        <f ca="1">IFERROR(VLOOKUP(AJ180,OFFSET(abbreviation[],0,ColumnLanguage),ColumnAbbreviation,FALSE),"")</f>
        <v/>
      </c>
      <c r="BY180" s="21" t="str">
        <f ca="1">IFERROR(VLOOKUP(AL180,OFFSET(abbreviation[],0,ColumnLanguage),ColumnAbbreviation,FALSE),"")</f>
        <v/>
      </c>
      <c r="BZ180" s="21" t="str">
        <f t="shared" ca="1" si="16"/>
        <v>_</v>
      </c>
      <c r="CA180" s="21" t="str">
        <f ca="1">IFERROR(VLOOKUP(AP180,OFFSET(abbreviation[],0,ColumnLanguage),ColumnAbbreviation,FALSE),"")</f>
        <v/>
      </c>
      <c r="CB180" s="21" t="str">
        <f ca="1">IFERROR(VLOOKUP(AR180,OFFSET(abbreviation[],0,ColumnLanguage),ColumnAbbreviation,FALSE),"")</f>
        <v/>
      </c>
      <c r="CC180" s="21" t="str">
        <f ca="1">IFERROR(VLOOKUP(AT180,OFFSET(abbreviation[],0,ColumnLanguage),ColumnAbbreviation,FALSE),"")</f>
        <v/>
      </c>
      <c r="CD180" s="21" t="str">
        <f ca="1">IFERROR(VLOOKUP(AV180,OFFSET(abbreviation[],0,ColumnLanguage),ColumnAbbreviation,FALSE),"")</f>
        <v/>
      </c>
      <c r="CE180" s="21" t="str">
        <f t="shared" ca="1" si="17"/>
        <v>__</v>
      </c>
      <c r="CF180" s="21" t="str">
        <f ca="1">IFERROR(VLOOKUP(AX180,OFFSET(abbreviation[],0,ColumnLanguage),ColumnAbbreviation,FALSE),"")</f>
        <v/>
      </c>
      <c r="CG180" s="21" t="str">
        <f ca="1">IFERROR(VLOOKUP(AZ180,OFFSET(abbreviation[],0,ColumnLanguage),ColumnAbbreviation,FALSE),"")</f>
        <v/>
      </c>
      <c r="CH180" s="21" t="str">
        <f ca="1">IFERROR(VLOOKUP(BB180,OFFSET(abbreviation[],0,ColumnLanguage),ColumnAbbreviation,FALSE),"")</f>
        <v/>
      </c>
      <c r="CI180" s="21" t="str">
        <f ca="1">IFERROR(VLOOKUP(BD180,OFFSET(abbreviation[],0,ColumnLanguage),ColumnAbbreviation,FALSE),"")</f>
        <v/>
      </c>
      <c r="CJ180" s="21" t="str">
        <f ca="1">IFERROR(VLOOKUP(BF180,OFFSET(abbreviation[],0,ColumnLanguage),ColumnAbbreviation,FALSE),"")</f>
        <v/>
      </c>
      <c r="CK180" s="21" t="str">
        <f t="shared" ca="1" si="18"/>
        <v/>
      </c>
      <c r="CL180" s="21" t="str">
        <f t="shared" si="19"/>
        <v/>
      </c>
      <c r="CM180" s="52"/>
      <c r="CN180" s="57" t="str">
        <f t="shared" si="20"/>
        <v/>
      </c>
    </row>
    <row r="181" spans="14:92" x14ac:dyDescent="0.25">
      <c r="N181" s="58"/>
      <c r="P181" s="60"/>
      <c r="Q181" s="13"/>
      <c r="V181" s="60"/>
      <c r="X181" s="61"/>
      <c r="AB181" s="60"/>
      <c r="AN181" s="54"/>
      <c r="AS181" s="15"/>
      <c r="BH181" s="52"/>
      <c r="BI181" s="21" t="str">
        <f ca="1">IFERROR(VLOOKUP(C181,OFFSET(abbreviation[],0,ColumnLanguage),ColumnAbbreviation,FALSE),"")</f>
        <v/>
      </c>
      <c r="BJ181" s="21" t="str">
        <f ca="1">IFERROR(VLOOKUP(E181,OFFSET(abbreviation[],0,ColumnLanguage),ColumnAbbreviation,FALSE),"")</f>
        <v/>
      </c>
      <c r="BK181" s="21" t="str">
        <f ca="1">IFERROR(VLOOKUP(G181,OFFSET(abbreviation[],0,ColumnLanguage),ColumnAbbreviation,FALSE),"")</f>
        <v/>
      </c>
      <c r="BL181" s="21" t="str">
        <f ca="1">IFERROR(VLOOKUP(I181,OFFSET(abbreviation[],0,ColumnLanguage),ColumnAbbreviation,FALSE),"")</f>
        <v/>
      </c>
      <c r="BM181" s="21" t="str">
        <f ca="1">IFERROR(VLOOKUP(K181,OFFSET(abbreviation[],0,ColumnLanguage),ColumnAbbreviation,FALSE),"")</f>
        <v/>
      </c>
      <c r="BN181" s="21" t="str">
        <f t="shared" ca="1" si="14"/>
        <v/>
      </c>
      <c r="BO181" s="21" t="str">
        <f ca="1">IFERROR(VLOOKUP(N181,OFFSET(abbreviation[],0,ColumnLanguage),ColumnAbbreviation,FALSE),"")</f>
        <v/>
      </c>
      <c r="BP181" s="21" t="str">
        <f ca="1">IFERROR(VLOOKUP(P181,OFFSET(abbreviation[],0,ColumnLanguage),ColumnAbbreviation,FALSE),"")</f>
        <v/>
      </c>
      <c r="BQ181" s="21" t="str">
        <f ca="1">IFERROR(VLOOKUP(T181,OFFSET(abbreviation[],0,ColumnLanguage),ColumnAbbreviation,FALSE),"")</f>
        <v/>
      </c>
      <c r="BR181" s="21" t="str">
        <f ca="1">IFERROR(VLOOKUP(V181,OFFSET(abbreviation[],0,ColumnLanguage),ColumnAbbreviation,FALSE),"")</f>
        <v/>
      </c>
      <c r="BS181" s="21" t="str">
        <f ca="1">IFERROR(VLOOKUP(Z181,OFFSET(abbreviation[],0,ColumnLanguage),ColumnAbbreviation,FALSE),"")</f>
        <v/>
      </c>
      <c r="BT181" s="21" t="str">
        <f ca="1">IFERROR(VLOOKUP(AB181,OFFSET(abbreviation[],0,ColumnLanguage),ColumnAbbreviation,FALSE),"")</f>
        <v/>
      </c>
      <c r="BU181" s="21" t="str">
        <f t="shared" ca="1" si="15"/>
        <v>__</v>
      </c>
      <c r="BV181" s="21" t="str">
        <f ca="1">IFERROR(VLOOKUP(AF181,OFFSET(abbreviation[],0,ColumnLanguage),ColumnAbbreviation,FALSE),"")</f>
        <v/>
      </c>
      <c r="BW181" s="21" t="str">
        <f ca="1">IFERROR(VLOOKUP(AH181,OFFSET(abbreviation[],0,ColumnLanguage),ColumnAbbreviation,FALSE),"")</f>
        <v/>
      </c>
      <c r="BX181" s="21" t="str">
        <f ca="1">IFERROR(VLOOKUP(AJ181,OFFSET(abbreviation[],0,ColumnLanguage),ColumnAbbreviation,FALSE),"")</f>
        <v/>
      </c>
      <c r="BY181" s="21" t="str">
        <f ca="1">IFERROR(VLOOKUP(AL181,OFFSET(abbreviation[],0,ColumnLanguage),ColumnAbbreviation,FALSE),"")</f>
        <v/>
      </c>
      <c r="BZ181" s="21" t="str">
        <f t="shared" ca="1" si="16"/>
        <v>_</v>
      </c>
      <c r="CA181" s="21" t="str">
        <f ca="1">IFERROR(VLOOKUP(AP181,OFFSET(abbreviation[],0,ColumnLanguage),ColumnAbbreviation,FALSE),"")</f>
        <v/>
      </c>
      <c r="CB181" s="21" t="str">
        <f ca="1">IFERROR(VLOOKUP(AR181,OFFSET(abbreviation[],0,ColumnLanguage),ColumnAbbreviation,FALSE),"")</f>
        <v/>
      </c>
      <c r="CC181" s="21" t="str">
        <f ca="1">IFERROR(VLOOKUP(AT181,OFFSET(abbreviation[],0,ColumnLanguage),ColumnAbbreviation,FALSE),"")</f>
        <v/>
      </c>
      <c r="CD181" s="21" t="str">
        <f ca="1">IFERROR(VLOOKUP(AV181,OFFSET(abbreviation[],0,ColumnLanguage),ColumnAbbreviation,FALSE),"")</f>
        <v/>
      </c>
      <c r="CE181" s="21" t="str">
        <f t="shared" ca="1" si="17"/>
        <v>__</v>
      </c>
      <c r="CF181" s="21" t="str">
        <f ca="1">IFERROR(VLOOKUP(AX181,OFFSET(abbreviation[],0,ColumnLanguage),ColumnAbbreviation,FALSE),"")</f>
        <v/>
      </c>
      <c r="CG181" s="21" t="str">
        <f ca="1">IFERROR(VLOOKUP(AZ181,OFFSET(abbreviation[],0,ColumnLanguage),ColumnAbbreviation,FALSE),"")</f>
        <v/>
      </c>
      <c r="CH181" s="21" t="str">
        <f ca="1">IFERROR(VLOOKUP(BB181,OFFSET(abbreviation[],0,ColumnLanguage),ColumnAbbreviation,FALSE),"")</f>
        <v/>
      </c>
      <c r="CI181" s="21" t="str">
        <f ca="1">IFERROR(VLOOKUP(BD181,OFFSET(abbreviation[],0,ColumnLanguage),ColumnAbbreviation,FALSE),"")</f>
        <v/>
      </c>
      <c r="CJ181" s="21" t="str">
        <f ca="1">IFERROR(VLOOKUP(BF181,OFFSET(abbreviation[],0,ColumnLanguage),ColumnAbbreviation,FALSE),"")</f>
        <v/>
      </c>
      <c r="CK181" s="21" t="str">
        <f t="shared" ca="1" si="18"/>
        <v/>
      </c>
      <c r="CL181" s="21" t="str">
        <f t="shared" si="19"/>
        <v/>
      </c>
      <c r="CM181" s="52"/>
      <c r="CN181" s="57" t="str">
        <f t="shared" si="20"/>
        <v/>
      </c>
    </row>
    <row r="182" spans="14:92" x14ac:dyDescent="0.25">
      <c r="N182" s="58"/>
      <c r="P182" s="60"/>
      <c r="Q182" s="13"/>
      <c r="V182" s="60"/>
      <c r="X182" s="61"/>
      <c r="AB182" s="60"/>
      <c r="AN182" s="54"/>
      <c r="AS182" s="15"/>
      <c r="BH182" s="52"/>
      <c r="BI182" s="21" t="str">
        <f ca="1">IFERROR(VLOOKUP(C182,OFFSET(abbreviation[],0,ColumnLanguage),ColumnAbbreviation,FALSE),"")</f>
        <v/>
      </c>
      <c r="BJ182" s="21" t="str">
        <f ca="1">IFERROR(VLOOKUP(E182,OFFSET(abbreviation[],0,ColumnLanguage),ColumnAbbreviation,FALSE),"")</f>
        <v/>
      </c>
      <c r="BK182" s="21" t="str">
        <f ca="1">IFERROR(VLOOKUP(G182,OFFSET(abbreviation[],0,ColumnLanguage),ColumnAbbreviation,FALSE),"")</f>
        <v/>
      </c>
      <c r="BL182" s="21" t="str">
        <f ca="1">IFERROR(VLOOKUP(I182,OFFSET(abbreviation[],0,ColumnLanguage),ColumnAbbreviation,FALSE),"")</f>
        <v/>
      </c>
      <c r="BM182" s="21" t="str">
        <f ca="1">IFERROR(VLOOKUP(K182,OFFSET(abbreviation[],0,ColumnLanguage),ColumnAbbreviation,FALSE),"")</f>
        <v/>
      </c>
      <c r="BN182" s="21" t="str">
        <f t="shared" ca="1" si="14"/>
        <v/>
      </c>
      <c r="BO182" s="21" t="str">
        <f ca="1">IFERROR(VLOOKUP(N182,OFFSET(abbreviation[],0,ColumnLanguage),ColumnAbbreviation,FALSE),"")</f>
        <v/>
      </c>
      <c r="BP182" s="21" t="str">
        <f ca="1">IFERROR(VLOOKUP(P182,OFFSET(abbreviation[],0,ColumnLanguage),ColumnAbbreviation,FALSE),"")</f>
        <v/>
      </c>
      <c r="BQ182" s="21" t="str">
        <f ca="1">IFERROR(VLOOKUP(T182,OFFSET(abbreviation[],0,ColumnLanguage),ColumnAbbreviation,FALSE),"")</f>
        <v/>
      </c>
      <c r="BR182" s="21" t="str">
        <f ca="1">IFERROR(VLOOKUP(V182,OFFSET(abbreviation[],0,ColumnLanguage),ColumnAbbreviation,FALSE),"")</f>
        <v/>
      </c>
      <c r="BS182" s="21" t="str">
        <f ca="1">IFERROR(VLOOKUP(Z182,OFFSET(abbreviation[],0,ColumnLanguage),ColumnAbbreviation,FALSE),"")</f>
        <v/>
      </c>
      <c r="BT182" s="21" t="str">
        <f ca="1">IFERROR(VLOOKUP(AB182,OFFSET(abbreviation[],0,ColumnLanguage),ColumnAbbreviation,FALSE),"")</f>
        <v/>
      </c>
      <c r="BU182" s="21" t="str">
        <f t="shared" ca="1" si="15"/>
        <v>__</v>
      </c>
      <c r="BV182" s="21" t="str">
        <f ca="1">IFERROR(VLOOKUP(AF182,OFFSET(abbreviation[],0,ColumnLanguage),ColumnAbbreviation,FALSE),"")</f>
        <v/>
      </c>
      <c r="BW182" s="21" t="str">
        <f ca="1">IFERROR(VLOOKUP(AH182,OFFSET(abbreviation[],0,ColumnLanguage),ColumnAbbreviation,FALSE),"")</f>
        <v/>
      </c>
      <c r="BX182" s="21" t="str">
        <f ca="1">IFERROR(VLOOKUP(AJ182,OFFSET(abbreviation[],0,ColumnLanguage),ColumnAbbreviation,FALSE),"")</f>
        <v/>
      </c>
      <c r="BY182" s="21" t="str">
        <f ca="1">IFERROR(VLOOKUP(AL182,OFFSET(abbreviation[],0,ColumnLanguage),ColumnAbbreviation,FALSE),"")</f>
        <v/>
      </c>
      <c r="BZ182" s="21" t="str">
        <f t="shared" ca="1" si="16"/>
        <v>_</v>
      </c>
      <c r="CA182" s="21" t="str">
        <f ca="1">IFERROR(VLOOKUP(AP182,OFFSET(abbreviation[],0,ColumnLanguage),ColumnAbbreviation,FALSE),"")</f>
        <v/>
      </c>
      <c r="CB182" s="21" t="str">
        <f ca="1">IFERROR(VLOOKUP(AR182,OFFSET(abbreviation[],0,ColumnLanguage),ColumnAbbreviation,FALSE),"")</f>
        <v/>
      </c>
      <c r="CC182" s="21" t="str">
        <f ca="1">IFERROR(VLOOKUP(AT182,OFFSET(abbreviation[],0,ColumnLanguage),ColumnAbbreviation,FALSE),"")</f>
        <v/>
      </c>
      <c r="CD182" s="21" t="str">
        <f ca="1">IFERROR(VLOOKUP(AV182,OFFSET(abbreviation[],0,ColumnLanguage),ColumnAbbreviation,FALSE),"")</f>
        <v/>
      </c>
      <c r="CE182" s="21" t="str">
        <f t="shared" ca="1" si="17"/>
        <v>__</v>
      </c>
      <c r="CF182" s="21" t="str">
        <f ca="1">IFERROR(VLOOKUP(AX182,OFFSET(abbreviation[],0,ColumnLanguage),ColumnAbbreviation,FALSE),"")</f>
        <v/>
      </c>
      <c r="CG182" s="21" t="str">
        <f ca="1">IFERROR(VLOOKUP(AZ182,OFFSET(abbreviation[],0,ColumnLanguage),ColumnAbbreviation,FALSE),"")</f>
        <v/>
      </c>
      <c r="CH182" s="21" t="str">
        <f ca="1">IFERROR(VLOOKUP(BB182,OFFSET(abbreviation[],0,ColumnLanguage),ColumnAbbreviation,FALSE),"")</f>
        <v/>
      </c>
      <c r="CI182" s="21" t="str">
        <f ca="1">IFERROR(VLOOKUP(BD182,OFFSET(abbreviation[],0,ColumnLanguage),ColumnAbbreviation,FALSE),"")</f>
        <v/>
      </c>
      <c r="CJ182" s="21" t="str">
        <f ca="1">IFERROR(VLOOKUP(BF182,OFFSET(abbreviation[],0,ColumnLanguage),ColumnAbbreviation,FALSE),"")</f>
        <v/>
      </c>
      <c r="CK182" s="21" t="str">
        <f t="shared" ca="1" si="18"/>
        <v/>
      </c>
      <c r="CL182" s="21" t="str">
        <f t="shared" si="19"/>
        <v/>
      </c>
      <c r="CM182" s="52"/>
      <c r="CN182" s="57" t="str">
        <f t="shared" si="20"/>
        <v/>
      </c>
    </row>
    <row r="183" spans="14:92" x14ac:dyDescent="0.25">
      <c r="N183" s="58"/>
      <c r="P183" s="60"/>
      <c r="Q183" s="13"/>
      <c r="V183" s="60"/>
      <c r="X183" s="61"/>
      <c r="AB183" s="60"/>
      <c r="AN183" s="54"/>
      <c r="AS183" s="15"/>
      <c r="BH183" s="52"/>
      <c r="BI183" s="21" t="str">
        <f ca="1">IFERROR(VLOOKUP(C183,OFFSET(abbreviation[],0,ColumnLanguage),ColumnAbbreviation,FALSE),"")</f>
        <v/>
      </c>
      <c r="BJ183" s="21" t="str">
        <f ca="1">IFERROR(VLOOKUP(E183,OFFSET(abbreviation[],0,ColumnLanguage),ColumnAbbreviation,FALSE),"")</f>
        <v/>
      </c>
      <c r="BK183" s="21" t="str">
        <f ca="1">IFERROR(VLOOKUP(G183,OFFSET(abbreviation[],0,ColumnLanguage),ColumnAbbreviation,FALSE),"")</f>
        <v/>
      </c>
      <c r="BL183" s="21" t="str">
        <f ca="1">IFERROR(VLOOKUP(I183,OFFSET(abbreviation[],0,ColumnLanguage),ColumnAbbreviation,FALSE),"")</f>
        <v/>
      </c>
      <c r="BM183" s="21" t="str">
        <f ca="1">IFERROR(VLOOKUP(K183,OFFSET(abbreviation[],0,ColumnLanguage),ColumnAbbreviation,FALSE),"")</f>
        <v/>
      </c>
      <c r="BN183" s="21" t="str">
        <f t="shared" ca="1" si="14"/>
        <v/>
      </c>
      <c r="BO183" s="21" t="str">
        <f ca="1">IFERROR(VLOOKUP(N183,OFFSET(abbreviation[],0,ColumnLanguage),ColumnAbbreviation,FALSE),"")</f>
        <v/>
      </c>
      <c r="BP183" s="21" t="str">
        <f ca="1">IFERROR(VLOOKUP(P183,OFFSET(abbreviation[],0,ColumnLanguage),ColumnAbbreviation,FALSE),"")</f>
        <v/>
      </c>
      <c r="BQ183" s="21" t="str">
        <f ca="1">IFERROR(VLOOKUP(T183,OFFSET(abbreviation[],0,ColumnLanguage),ColumnAbbreviation,FALSE),"")</f>
        <v/>
      </c>
      <c r="BR183" s="21" t="str">
        <f ca="1">IFERROR(VLOOKUP(V183,OFFSET(abbreviation[],0,ColumnLanguage),ColumnAbbreviation,FALSE),"")</f>
        <v/>
      </c>
      <c r="BS183" s="21" t="str">
        <f ca="1">IFERROR(VLOOKUP(Z183,OFFSET(abbreviation[],0,ColumnLanguage),ColumnAbbreviation,FALSE),"")</f>
        <v/>
      </c>
      <c r="BT183" s="21" t="str">
        <f ca="1">IFERROR(VLOOKUP(AB183,OFFSET(abbreviation[],0,ColumnLanguage),ColumnAbbreviation,FALSE),"")</f>
        <v/>
      </c>
      <c r="BU183" s="21" t="str">
        <f t="shared" ca="1" si="15"/>
        <v>__</v>
      </c>
      <c r="BV183" s="21" t="str">
        <f ca="1">IFERROR(VLOOKUP(AF183,OFFSET(abbreviation[],0,ColumnLanguage),ColumnAbbreviation,FALSE),"")</f>
        <v/>
      </c>
      <c r="BW183" s="21" t="str">
        <f ca="1">IFERROR(VLOOKUP(AH183,OFFSET(abbreviation[],0,ColumnLanguage),ColumnAbbreviation,FALSE),"")</f>
        <v/>
      </c>
      <c r="BX183" s="21" t="str">
        <f ca="1">IFERROR(VLOOKUP(AJ183,OFFSET(abbreviation[],0,ColumnLanguage),ColumnAbbreviation,FALSE),"")</f>
        <v/>
      </c>
      <c r="BY183" s="21" t="str">
        <f ca="1">IFERROR(VLOOKUP(AL183,OFFSET(abbreviation[],0,ColumnLanguage),ColumnAbbreviation,FALSE),"")</f>
        <v/>
      </c>
      <c r="BZ183" s="21" t="str">
        <f t="shared" ca="1" si="16"/>
        <v>_</v>
      </c>
      <c r="CA183" s="21" t="str">
        <f ca="1">IFERROR(VLOOKUP(AP183,OFFSET(abbreviation[],0,ColumnLanguage),ColumnAbbreviation,FALSE),"")</f>
        <v/>
      </c>
      <c r="CB183" s="21" t="str">
        <f ca="1">IFERROR(VLOOKUP(AR183,OFFSET(abbreviation[],0,ColumnLanguage),ColumnAbbreviation,FALSE),"")</f>
        <v/>
      </c>
      <c r="CC183" s="21" t="str">
        <f ca="1">IFERROR(VLOOKUP(AT183,OFFSET(abbreviation[],0,ColumnLanguage),ColumnAbbreviation,FALSE),"")</f>
        <v/>
      </c>
      <c r="CD183" s="21" t="str">
        <f ca="1">IFERROR(VLOOKUP(AV183,OFFSET(abbreviation[],0,ColumnLanguage),ColumnAbbreviation,FALSE),"")</f>
        <v/>
      </c>
      <c r="CE183" s="21" t="str">
        <f t="shared" ca="1" si="17"/>
        <v>__</v>
      </c>
      <c r="CF183" s="21" t="str">
        <f ca="1">IFERROR(VLOOKUP(AX183,OFFSET(abbreviation[],0,ColumnLanguage),ColumnAbbreviation,FALSE),"")</f>
        <v/>
      </c>
      <c r="CG183" s="21" t="str">
        <f ca="1">IFERROR(VLOOKUP(AZ183,OFFSET(abbreviation[],0,ColumnLanguage),ColumnAbbreviation,FALSE),"")</f>
        <v/>
      </c>
      <c r="CH183" s="21" t="str">
        <f ca="1">IFERROR(VLOOKUP(BB183,OFFSET(abbreviation[],0,ColumnLanguage),ColumnAbbreviation,FALSE),"")</f>
        <v/>
      </c>
      <c r="CI183" s="21" t="str">
        <f ca="1">IFERROR(VLOOKUP(BD183,OFFSET(abbreviation[],0,ColumnLanguage),ColumnAbbreviation,FALSE),"")</f>
        <v/>
      </c>
      <c r="CJ183" s="21" t="str">
        <f ca="1">IFERROR(VLOOKUP(BF183,OFFSET(abbreviation[],0,ColumnLanguage),ColumnAbbreviation,FALSE),"")</f>
        <v/>
      </c>
      <c r="CK183" s="21" t="str">
        <f t="shared" ca="1" si="18"/>
        <v/>
      </c>
      <c r="CL183" s="21" t="str">
        <f t="shared" si="19"/>
        <v/>
      </c>
      <c r="CM183" s="52"/>
      <c r="CN183" s="57" t="str">
        <f t="shared" si="20"/>
        <v/>
      </c>
    </row>
    <row r="184" spans="14:92" x14ac:dyDescent="0.25">
      <c r="N184" s="58"/>
      <c r="P184" s="60"/>
      <c r="Q184" s="13"/>
      <c r="V184" s="60"/>
      <c r="X184" s="61"/>
      <c r="AB184" s="60"/>
      <c r="AN184" s="54"/>
      <c r="AS184" s="15"/>
      <c r="BH184" s="52"/>
      <c r="BI184" s="21" t="str">
        <f ca="1">IFERROR(VLOOKUP(C184,OFFSET(abbreviation[],0,ColumnLanguage),ColumnAbbreviation,FALSE),"")</f>
        <v/>
      </c>
      <c r="BJ184" s="21" t="str">
        <f ca="1">IFERROR(VLOOKUP(E184,OFFSET(abbreviation[],0,ColumnLanguage),ColumnAbbreviation,FALSE),"")</f>
        <v/>
      </c>
      <c r="BK184" s="21" t="str">
        <f ca="1">IFERROR(VLOOKUP(G184,OFFSET(abbreviation[],0,ColumnLanguage),ColumnAbbreviation,FALSE),"")</f>
        <v/>
      </c>
      <c r="BL184" s="21" t="str">
        <f ca="1">IFERROR(VLOOKUP(I184,OFFSET(abbreviation[],0,ColumnLanguage),ColumnAbbreviation,FALSE),"")</f>
        <v/>
      </c>
      <c r="BM184" s="21" t="str">
        <f ca="1">IFERROR(VLOOKUP(K184,OFFSET(abbreviation[],0,ColumnLanguage),ColumnAbbreviation,FALSE),"")</f>
        <v/>
      </c>
      <c r="BN184" s="21" t="str">
        <f t="shared" ca="1" si="14"/>
        <v/>
      </c>
      <c r="BO184" s="21" t="str">
        <f ca="1">IFERROR(VLOOKUP(N184,OFFSET(abbreviation[],0,ColumnLanguage),ColumnAbbreviation,FALSE),"")</f>
        <v/>
      </c>
      <c r="BP184" s="21" t="str">
        <f ca="1">IFERROR(VLOOKUP(P184,OFFSET(abbreviation[],0,ColumnLanguage),ColumnAbbreviation,FALSE),"")</f>
        <v/>
      </c>
      <c r="BQ184" s="21" t="str">
        <f ca="1">IFERROR(VLOOKUP(T184,OFFSET(abbreviation[],0,ColumnLanguage),ColumnAbbreviation,FALSE),"")</f>
        <v/>
      </c>
      <c r="BR184" s="21" t="str">
        <f ca="1">IFERROR(VLOOKUP(V184,OFFSET(abbreviation[],0,ColumnLanguage),ColumnAbbreviation,FALSE),"")</f>
        <v/>
      </c>
      <c r="BS184" s="21" t="str">
        <f ca="1">IFERROR(VLOOKUP(Z184,OFFSET(abbreviation[],0,ColumnLanguage),ColumnAbbreviation,FALSE),"")</f>
        <v/>
      </c>
      <c r="BT184" s="21" t="str">
        <f ca="1">IFERROR(VLOOKUP(AB184,OFFSET(abbreviation[],0,ColumnLanguage),ColumnAbbreviation,FALSE),"")</f>
        <v/>
      </c>
      <c r="BU184" s="21" t="str">
        <f t="shared" ca="1" si="15"/>
        <v>__</v>
      </c>
      <c r="BV184" s="21" t="str">
        <f ca="1">IFERROR(VLOOKUP(AF184,OFFSET(abbreviation[],0,ColumnLanguage),ColumnAbbreviation,FALSE),"")</f>
        <v/>
      </c>
      <c r="BW184" s="21" t="str">
        <f ca="1">IFERROR(VLOOKUP(AH184,OFFSET(abbreviation[],0,ColumnLanguage),ColumnAbbreviation,FALSE),"")</f>
        <v/>
      </c>
      <c r="BX184" s="21" t="str">
        <f ca="1">IFERROR(VLOOKUP(AJ184,OFFSET(abbreviation[],0,ColumnLanguage),ColumnAbbreviation,FALSE),"")</f>
        <v/>
      </c>
      <c r="BY184" s="21" t="str">
        <f ca="1">IFERROR(VLOOKUP(AL184,OFFSET(abbreviation[],0,ColumnLanguage),ColumnAbbreviation,FALSE),"")</f>
        <v/>
      </c>
      <c r="BZ184" s="21" t="str">
        <f t="shared" ca="1" si="16"/>
        <v>_</v>
      </c>
      <c r="CA184" s="21" t="str">
        <f ca="1">IFERROR(VLOOKUP(AP184,OFFSET(abbreviation[],0,ColumnLanguage),ColumnAbbreviation,FALSE),"")</f>
        <v/>
      </c>
      <c r="CB184" s="21" t="str">
        <f ca="1">IFERROR(VLOOKUP(AR184,OFFSET(abbreviation[],0,ColumnLanguage),ColumnAbbreviation,FALSE),"")</f>
        <v/>
      </c>
      <c r="CC184" s="21" t="str">
        <f ca="1">IFERROR(VLOOKUP(AT184,OFFSET(abbreviation[],0,ColumnLanguage),ColumnAbbreviation,FALSE),"")</f>
        <v/>
      </c>
      <c r="CD184" s="21" t="str">
        <f ca="1">IFERROR(VLOOKUP(AV184,OFFSET(abbreviation[],0,ColumnLanguage),ColumnAbbreviation,FALSE),"")</f>
        <v/>
      </c>
      <c r="CE184" s="21" t="str">
        <f t="shared" ca="1" si="17"/>
        <v>__</v>
      </c>
      <c r="CF184" s="21" t="str">
        <f ca="1">IFERROR(VLOOKUP(AX184,OFFSET(abbreviation[],0,ColumnLanguage),ColumnAbbreviation,FALSE),"")</f>
        <v/>
      </c>
      <c r="CG184" s="21" t="str">
        <f ca="1">IFERROR(VLOOKUP(AZ184,OFFSET(abbreviation[],0,ColumnLanguage),ColumnAbbreviation,FALSE),"")</f>
        <v/>
      </c>
      <c r="CH184" s="21" t="str">
        <f ca="1">IFERROR(VLOOKUP(BB184,OFFSET(abbreviation[],0,ColumnLanguage),ColumnAbbreviation,FALSE),"")</f>
        <v/>
      </c>
      <c r="CI184" s="21" t="str">
        <f ca="1">IFERROR(VLOOKUP(BD184,OFFSET(abbreviation[],0,ColumnLanguage),ColumnAbbreviation,FALSE),"")</f>
        <v/>
      </c>
      <c r="CJ184" s="21" t="str">
        <f ca="1">IFERROR(VLOOKUP(BF184,OFFSET(abbreviation[],0,ColumnLanguage),ColumnAbbreviation,FALSE),"")</f>
        <v/>
      </c>
      <c r="CK184" s="21" t="str">
        <f t="shared" ca="1" si="18"/>
        <v/>
      </c>
      <c r="CL184" s="21" t="str">
        <f t="shared" si="19"/>
        <v/>
      </c>
      <c r="CM184" s="52"/>
      <c r="CN184" s="57" t="str">
        <f t="shared" si="20"/>
        <v/>
      </c>
    </row>
    <row r="185" spans="14:92" x14ac:dyDescent="0.25">
      <c r="N185" s="58"/>
      <c r="P185" s="60"/>
      <c r="Q185" s="13"/>
      <c r="V185" s="60"/>
      <c r="X185" s="61"/>
      <c r="AB185" s="60"/>
      <c r="AN185" s="54"/>
      <c r="AS185" s="15"/>
      <c r="BH185" s="52"/>
      <c r="BI185" s="21" t="str">
        <f ca="1">IFERROR(VLOOKUP(C185,OFFSET(abbreviation[],0,ColumnLanguage),ColumnAbbreviation,FALSE),"")</f>
        <v/>
      </c>
      <c r="BJ185" s="21" t="str">
        <f ca="1">IFERROR(VLOOKUP(E185,OFFSET(abbreviation[],0,ColumnLanguage),ColumnAbbreviation,FALSE),"")</f>
        <v/>
      </c>
      <c r="BK185" s="21" t="str">
        <f ca="1">IFERROR(VLOOKUP(G185,OFFSET(abbreviation[],0,ColumnLanguage),ColumnAbbreviation,FALSE),"")</f>
        <v/>
      </c>
      <c r="BL185" s="21" t="str">
        <f ca="1">IFERROR(VLOOKUP(I185,OFFSET(abbreviation[],0,ColumnLanguage),ColumnAbbreviation,FALSE),"")</f>
        <v/>
      </c>
      <c r="BM185" s="21" t="str">
        <f ca="1">IFERROR(VLOOKUP(K185,OFFSET(abbreviation[],0,ColumnLanguage),ColumnAbbreviation,FALSE),"")</f>
        <v/>
      </c>
      <c r="BN185" s="21" t="str">
        <f t="shared" ca="1" si="14"/>
        <v/>
      </c>
      <c r="BO185" s="21" t="str">
        <f ca="1">IFERROR(VLOOKUP(N185,OFFSET(abbreviation[],0,ColumnLanguage),ColumnAbbreviation,FALSE),"")</f>
        <v/>
      </c>
      <c r="BP185" s="21" t="str">
        <f ca="1">IFERROR(VLOOKUP(P185,OFFSET(abbreviation[],0,ColumnLanguage),ColumnAbbreviation,FALSE),"")</f>
        <v/>
      </c>
      <c r="BQ185" s="21" t="str">
        <f ca="1">IFERROR(VLOOKUP(T185,OFFSET(abbreviation[],0,ColumnLanguage),ColumnAbbreviation,FALSE),"")</f>
        <v/>
      </c>
      <c r="BR185" s="21" t="str">
        <f ca="1">IFERROR(VLOOKUP(V185,OFFSET(abbreviation[],0,ColumnLanguage),ColumnAbbreviation,FALSE),"")</f>
        <v/>
      </c>
      <c r="BS185" s="21" t="str">
        <f ca="1">IFERROR(VLOOKUP(Z185,OFFSET(abbreviation[],0,ColumnLanguage),ColumnAbbreviation,FALSE),"")</f>
        <v/>
      </c>
      <c r="BT185" s="21" t="str">
        <f ca="1">IFERROR(VLOOKUP(AB185,OFFSET(abbreviation[],0,ColumnLanguage),ColumnAbbreviation,FALSE),"")</f>
        <v/>
      </c>
      <c r="BU185" s="21" t="str">
        <f t="shared" ca="1" si="15"/>
        <v>__</v>
      </c>
      <c r="BV185" s="21" t="str">
        <f ca="1">IFERROR(VLOOKUP(AF185,OFFSET(abbreviation[],0,ColumnLanguage),ColumnAbbreviation,FALSE),"")</f>
        <v/>
      </c>
      <c r="BW185" s="21" t="str">
        <f ca="1">IFERROR(VLOOKUP(AH185,OFFSET(abbreviation[],0,ColumnLanguage),ColumnAbbreviation,FALSE),"")</f>
        <v/>
      </c>
      <c r="BX185" s="21" t="str">
        <f ca="1">IFERROR(VLOOKUP(AJ185,OFFSET(abbreviation[],0,ColumnLanguage),ColumnAbbreviation,FALSE),"")</f>
        <v/>
      </c>
      <c r="BY185" s="21" t="str">
        <f ca="1">IFERROR(VLOOKUP(AL185,OFFSET(abbreviation[],0,ColumnLanguage),ColumnAbbreviation,FALSE),"")</f>
        <v/>
      </c>
      <c r="BZ185" s="21" t="str">
        <f t="shared" ca="1" si="16"/>
        <v>_</v>
      </c>
      <c r="CA185" s="21" t="str">
        <f ca="1">IFERROR(VLOOKUP(AP185,OFFSET(abbreviation[],0,ColumnLanguage),ColumnAbbreviation,FALSE),"")</f>
        <v/>
      </c>
      <c r="CB185" s="21" t="str">
        <f ca="1">IFERROR(VLOOKUP(AR185,OFFSET(abbreviation[],0,ColumnLanguage),ColumnAbbreviation,FALSE),"")</f>
        <v/>
      </c>
      <c r="CC185" s="21" t="str">
        <f ca="1">IFERROR(VLOOKUP(AT185,OFFSET(abbreviation[],0,ColumnLanguage),ColumnAbbreviation,FALSE),"")</f>
        <v/>
      </c>
      <c r="CD185" s="21" t="str">
        <f ca="1">IFERROR(VLOOKUP(AV185,OFFSET(abbreviation[],0,ColumnLanguage),ColumnAbbreviation,FALSE),"")</f>
        <v/>
      </c>
      <c r="CE185" s="21" t="str">
        <f t="shared" ca="1" si="17"/>
        <v>__</v>
      </c>
      <c r="CF185" s="21" t="str">
        <f ca="1">IFERROR(VLOOKUP(AX185,OFFSET(abbreviation[],0,ColumnLanguage),ColumnAbbreviation,FALSE),"")</f>
        <v/>
      </c>
      <c r="CG185" s="21" t="str">
        <f ca="1">IFERROR(VLOOKUP(AZ185,OFFSET(abbreviation[],0,ColumnLanguage),ColumnAbbreviation,FALSE),"")</f>
        <v/>
      </c>
      <c r="CH185" s="21" t="str">
        <f ca="1">IFERROR(VLOOKUP(BB185,OFFSET(abbreviation[],0,ColumnLanguage),ColumnAbbreviation,FALSE),"")</f>
        <v/>
      </c>
      <c r="CI185" s="21" t="str">
        <f ca="1">IFERROR(VLOOKUP(BD185,OFFSET(abbreviation[],0,ColumnLanguage),ColumnAbbreviation,FALSE),"")</f>
        <v/>
      </c>
      <c r="CJ185" s="21" t="str">
        <f ca="1">IFERROR(VLOOKUP(BF185,OFFSET(abbreviation[],0,ColumnLanguage),ColumnAbbreviation,FALSE),"")</f>
        <v/>
      </c>
      <c r="CK185" s="21" t="str">
        <f t="shared" ca="1" si="18"/>
        <v/>
      </c>
      <c r="CL185" s="21" t="str">
        <f t="shared" si="19"/>
        <v/>
      </c>
      <c r="CM185" s="52"/>
      <c r="CN185" s="57" t="str">
        <f t="shared" si="20"/>
        <v/>
      </c>
    </row>
    <row r="186" spans="14:92" x14ac:dyDescent="0.25">
      <c r="N186" s="58"/>
      <c r="P186" s="60"/>
      <c r="Q186" s="13"/>
      <c r="V186" s="60"/>
      <c r="X186" s="61"/>
      <c r="AB186" s="60"/>
      <c r="AN186" s="54"/>
      <c r="AS186" s="15"/>
      <c r="BH186" s="52"/>
      <c r="BI186" s="21" t="str">
        <f ca="1">IFERROR(VLOOKUP(C186,OFFSET(abbreviation[],0,ColumnLanguage),ColumnAbbreviation,FALSE),"")</f>
        <v/>
      </c>
      <c r="BJ186" s="21" t="str">
        <f ca="1">IFERROR(VLOOKUP(E186,OFFSET(abbreviation[],0,ColumnLanguage),ColumnAbbreviation,FALSE),"")</f>
        <v/>
      </c>
      <c r="BK186" s="21" t="str">
        <f ca="1">IFERROR(VLOOKUP(G186,OFFSET(abbreviation[],0,ColumnLanguage),ColumnAbbreviation,FALSE),"")</f>
        <v/>
      </c>
      <c r="BL186" s="21" t="str">
        <f ca="1">IFERROR(VLOOKUP(I186,OFFSET(abbreviation[],0,ColumnLanguage),ColumnAbbreviation,FALSE),"")</f>
        <v/>
      </c>
      <c r="BM186" s="21" t="str">
        <f ca="1">IFERROR(VLOOKUP(K186,OFFSET(abbreviation[],0,ColumnLanguage),ColumnAbbreviation,FALSE),"")</f>
        <v/>
      </c>
      <c r="BN186" s="21" t="str">
        <f t="shared" ca="1" si="14"/>
        <v/>
      </c>
      <c r="BO186" s="21" t="str">
        <f ca="1">IFERROR(VLOOKUP(N186,OFFSET(abbreviation[],0,ColumnLanguage),ColumnAbbreviation,FALSE),"")</f>
        <v/>
      </c>
      <c r="BP186" s="21" t="str">
        <f ca="1">IFERROR(VLOOKUP(P186,OFFSET(abbreviation[],0,ColumnLanguage),ColumnAbbreviation,FALSE),"")</f>
        <v/>
      </c>
      <c r="BQ186" s="21" t="str">
        <f ca="1">IFERROR(VLOOKUP(T186,OFFSET(abbreviation[],0,ColumnLanguage),ColumnAbbreviation,FALSE),"")</f>
        <v/>
      </c>
      <c r="BR186" s="21" t="str">
        <f ca="1">IFERROR(VLOOKUP(V186,OFFSET(abbreviation[],0,ColumnLanguage),ColumnAbbreviation,FALSE),"")</f>
        <v/>
      </c>
      <c r="BS186" s="21" t="str">
        <f ca="1">IFERROR(VLOOKUP(Z186,OFFSET(abbreviation[],0,ColumnLanguage),ColumnAbbreviation,FALSE),"")</f>
        <v/>
      </c>
      <c r="BT186" s="21" t="str">
        <f ca="1">IFERROR(VLOOKUP(AB186,OFFSET(abbreviation[],0,ColumnLanguage),ColumnAbbreviation,FALSE),"")</f>
        <v/>
      </c>
      <c r="BU186" s="21" t="str">
        <f t="shared" ca="1" si="15"/>
        <v>__</v>
      </c>
      <c r="BV186" s="21" t="str">
        <f ca="1">IFERROR(VLOOKUP(AF186,OFFSET(abbreviation[],0,ColumnLanguage),ColumnAbbreviation,FALSE),"")</f>
        <v/>
      </c>
      <c r="BW186" s="21" t="str">
        <f ca="1">IFERROR(VLOOKUP(AH186,OFFSET(abbreviation[],0,ColumnLanguage),ColumnAbbreviation,FALSE),"")</f>
        <v/>
      </c>
      <c r="BX186" s="21" t="str">
        <f ca="1">IFERROR(VLOOKUP(AJ186,OFFSET(abbreviation[],0,ColumnLanguage),ColumnAbbreviation,FALSE),"")</f>
        <v/>
      </c>
      <c r="BY186" s="21" t="str">
        <f ca="1">IFERROR(VLOOKUP(AL186,OFFSET(abbreviation[],0,ColumnLanguage),ColumnAbbreviation,FALSE),"")</f>
        <v/>
      </c>
      <c r="BZ186" s="21" t="str">
        <f t="shared" ca="1" si="16"/>
        <v>_</v>
      </c>
      <c r="CA186" s="21" t="str">
        <f ca="1">IFERROR(VLOOKUP(AP186,OFFSET(abbreviation[],0,ColumnLanguage),ColumnAbbreviation,FALSE),"")</f>
        <v/>
      </c>
      <c r="CB186" s="21" t="str">
        <f ca="1">IFERROR(VLOOKUP(AR186,OFFSET(abbreviation[],0,ColumnLanguage),ColumnAbbreviation,FALSE),"")</f>
        <v/>
      </c>
      <c r="CC186" s="21" t="str">
        <f ca="1">IFERROR(VLOOKUP(AT186,OFFSET(abbreviation[],0,ColumnLanguage),ColumnAbbreviation,FALSE),"")</f>
        <v/>
      </c>
      <c r="CD186" s="21" t="str">
        <f ca="1">IFERROR(VLOOKUP(AV186,OFFSET(abbreviation[],0,ColumnLanguage),ColumnAbbreviation,FALSE),"")</f>
        <v/>
      </c>
      <c r="CE186" s="21" t="str">
        <f t="shared" ca="1" si="17"/>
        <v>__</v>
      </c>
      <c r="CF186" s="21" t="str">
        <f ca="1">IFERROR(VLOOKUP(AX186,OFFSET(abbreviation[],0,ColumnLanguage),ColumnAbbreviation,FALSE),"")</f>
        <v/>
      </c>
      <c r="CG186" s="21" t="str">
        <f ca="1">IFERROR(VLOOKUP(AZ186,OFFSET(abbreviation[],0,ColumnLanguage),ColumnAbbreviation,FALSE),"")</f>
        <v/>
      </c>
      <c r="CH186" s="21" t="str">
        <f ca="1">IFERROR(VLOOKUP(BB186,OFFSET(abbreviation[],0,ColumnLanguage),ColumnAbbreviation,FALSE),"")</f>
        <v/>
      </c>
      <c r="CI186" s="21" t="str">
        <f ca="1">IFERROR(VLOOKUP(BD186,OFFSET(abbreviation[],0,ColumnLanguage),ColumnAbbreviation,FALSE),"")</f>
        <v/>
      </c>
      <c r="CJ186" s="21" t="str">
        <f ca="1">IFERROR(VLOOKUP(BF186,OFFSET(abbreviation[],0,ColumnLanguage),ColumnAbbreviation,FALSE),"")</f>
        <v/>
      </c>
      <c r="CK186" s="21" t="str">
        <f t="shared" ca="1" si="18"/>
        <v/>
      </c>
      <c r="CL186" s="21" t="str">
        <f t="shared" si="19"/>
        <v/>
      </c>
      <c r="CM186" s="52"/>
      <c r="CN186" s="57" t="str">
        <f t="shared" si="20"/>
        <v/>
      </c>
    </row>
    <row r="187" spans="14:92" x14ac:dyDescent="0.25">
      <c r="N187" s="58"/>
      <c r="P187" s="60"/>
      <c r="Q187" s="13"/>
      <c r="V187" s="60"/>
      <c r="X187" s="61"/>
      <c r="AB187" s="60"/>
      <c r="AN187" s="54"/>
      <c r="AS187" s="15"/>
      <c r="BH187" s="52"/>
      <c r="BI187" s="21" t="str">
        <f ca="1">IFERROR(VLOOKUP(C187,OFFSET(abbreviation[],0,ColumnLanguage),ColumnAbbreviation,FALSE),"")</f>
        <v/>
      </c>
      <c r="BJ187" s="21" t="str">
        <f ca="1">IFERROR(VLOOKUP(E187,OFFSET(abbreviation[],0,ColumnLanguage),ColumnAbbreviation,FALSE),"")</f>
        <v/>
      </c>
      <c r="BK187" s="21" t="str">
        <f ca="1">IFERROR(VLOOKUP(G187,OFFSET(abbreviation[],0,ColumnLanguage),ColumnAbbreviation,FALSE),"")</f>
        <v/>
      </c>
      <c r="BL187" s="21" t="str">
        <f ca="1">IFERROR(VLOOKUP(I187,OFFSET(abbreviation[],0,ColumnLanguage),ColumnAbbreviation,FALSE),"")</f>
        <v/>
      </c>
      <c r="BM187" s="21" t="str">
        <f ca="1">IFERROR(VLOOKUP(K187,OFFSET(abbreviation[],0,ColumnLanguage),ColumnAbbreviation,FALSE),"")</f>
        <v/>
      </c>
      <c r="BN187" s="21" t="str">
        <f t="shared" ca="1" si="14"/>
        <v/>
      </c>
      <c r="BO187" s="21" t="str">
        <f ca="1">IFERROR(VLOOKUP(N187,OFFSET(abbreviation[],0,ColumnLanguage),ColumnAbbreviation,FALSE),"")</f>
        <v/>
      </c>
      <c r="BP187" s="21" t="str">
        <f ca="1">IFERROR(VLOOKUP(P187,OFFSET(abbreviation[],0,ColumnLanguage),ColumnAbbreviation,FALSE),"")</f>
        <v/>
      </c>
      <c r="BQ187" s="21" t="str">
        <f ca="1">IFERROR(VLOOKUP(T187,OFFSET(abbreviation[],0,ColumnLanguage),ColumnAbbreviation,FALSE),"")</f>
        <v/>
      </c>
      <c r="BR187" s="21" t="str">
        <f ca="1">IFERROR(VLOOKUP(V187,OFFSET(abbreviation[],0,ColumnLanguage),ColumnAbbreviation,FALSE),"")</f>
        <v/>
      </c>
      <c r="BS187" s="21" t="str">
        <f ca="1">IFERROR(VLOOKUP(Z187,OFFSET(abbreviation[],0,ColumnLanguage),ColumnAbbreviation,FALSE),"")</f>
        <v/>
      </c>
      <c r="BT187" s="21" t="str">
        <f ca="1">IFERROR(VLOOKUP(AB187,OFFSET(abbreviation[],0,ColumnLanguage),ColumnAbbreviation,FALSE),"")</f>
        <v/>
      </c>
      <c r="BU187" s="21" t="str">
        <f t="shared" ca="1" si="15"/>
        <v>__</v>
      </c>
      <c r="BV187" s="21" t="str">
        <f ca="1">IFERROR(VLOOKUP(AF187,OFFSET(abbreviation[],0,ColumnLanguage),ColumnAbbreviation,FALSE),"")</f>
        <v/>
      </c>
      <c r="BW187" s="21" t="str">
        <f ca="1">IFERROR(VLOOKUP(AH187,OFFSET(abbreviation[],0,ColumnLanguage),ColumnAbbreviation,FALSE),"")</f>
        <v/>
      </c>
      <c r="BX187" s="21" t="str">
        <f ca="1">IFERROR(VLOOKUP(AJ187,OFFSET(abbreviation[],0,ColumnLanguage),ColumnAbbreviation,FALSE),"")</f>
        <v/>
      </c>
      <c r="BY187" s="21" t="str">
        <f ca="1">IFERROR(VLOOKUP(AL187,OFFSET(abbreviation[],0,ColumnLanguage),ColumnAbbreviation,FALSE),"")</f>
        <v/>
      </c>
      <c r="BZ187" s="21" t="str">
        <f t="shared" ca="1" si="16"/>
        <v>_</v>
      </c>
      <c r="CA187" s="21" t="str">
        <f ca="1">IFERROR(VLOOKUP(AP187,OFFSET(abbreviation[],0,ColumnLanguage),ColumnAbbreviation,FALSE),"")</f>
        <v/>
      </c>
      <c r="CB187" s="21" t="str">
        <f ca="1">IFERROR(VLOOKUP(AR187,OFFSET(abbreviation[],0,ColumnLanguage),ColumnAbbreviation,FALSE),"")</f>
        <v/>
      </c>
      <c r="CC187" s="21" t="str">
        <f ca="1">IFERROR(VLOOKUP(AT187,OFFSET(abbreviation[],0,ColumnLanguage),ColumnAbbreviation,FALSE),"")</f>
        <v/>
      </c>
      <c r="CD187" s="21" t="str">
        <f ca="1">IFERROR(VLOOKUP(AV187,OFFSET(abbreviation[],0,ColumnLanguage),ColumnAbbreviation,FALSE),"")</f>
        <v/>
      </c>
      <c r="CE187" s="21" t="str">
        <f t="shared" ca="1" si="17"/>
        <v>__</v>
      </c>
      <c r="CF187" s="21" t="str">
        <f ca="1">IFERROR(VLOOKUP(AX187,OFFSET(abbreviation[],0,ColumnLanguage),ColumnAbbreviation,FALSE),"")</f>
        <v/>
      </c>
      <c r="CG187" s="21" t="str">
        <f ca="1">IFERROR(VLOOKUP(AZ187,OFFSET(abbreviation[],0,ColumnLanguage),ColumnAbbreviation,FALSE),"")</f>
        <v/>
      </c>
      <c r="CH187" s="21" t="str">
        <f ca="1">IFERROR(VLOOKUP(BB187,OFFSET(abbreviation[],0,ColumnLanguage),ColumnAbbreviation,FALSE),"")</f>
        <v/>
      </c>
      <c r="CI187" s="21" t="str">
        <f ca="1">IFERROR(VLOOKUP(BD187,OFFSET(abbreviation[],0,ColumnLanguage),ColumnAbbreviation,FALSE),"")</f>
        <v/>
      </c>
      <c r="CJ187" s="21" t="str">
        <f ca="1">IFERROR(VLOOKUP(BF187,OFFSET(abbreviation[],0,ColumnLanguage),ColumnAbbreviation,FALSE),"")</f>
        <v/>
      </c>
      <c r="CK187" s="21" t="str">
        <f t="shared" ca="1" si="18"/>
        <v/>
      </c>
      <c r="CL187" s="21" t="str">
        <f t="shared" si="19"/>
        <v/>
      </c>
      <c r="CM187" s="52"/>
      <c r="CN187" s="57" t="str">
        <f t="shared" si="20"/>
        <v/>
      </c>
    </row>
    <row r="188" spans="14:92" x14ac:dyDescent="0.25">
      <c r="N188" s="58"/>
      <c r="P188" s="60"/>
      <c r="Q188" s="13"/>
      <c r="V188" s="60"/>
      <c r="X188" s="61"/>
      <c r="AB188" s="60"/>
      <c r="AN188" s="54"/>
      <c r="AS188" s="15"/>
      <c r="BH188" s="52"/>
      <c r="BI188" s="21" t="str">
        <f ca="1">IFERROR(VLOOKUP(C188,OFFSET(abbreviation[],0,ColumnLanguage),ColumnAbbreviation,FALSE),"")</f>
        <v/>
      </c>
      <c r="BJ188" s="21" t="str">
        <f ca="1">IFERROR(VLOOKUP(E188,OFFSET(abbreviation[],0,ColumnLanguage),ColumnAbbreviation,FALSE),"")</f>
        <v/>
      </c>
      <c r="BK188" s="21" t="str">
        <f ca="1">IFERROR(VLOOKUP(G188,OFFSET(abbreviation[],0,ColumnLanguage),ColumnAbbreviation,FALSE),"")</f>
        <v/>
      </c>
      <c r="BL188" s="21" t="str">
        <f ca="1">IFERROR(VLOOKUP(I188,OFFSET(abbreviation[],0,ColumnLanguage),ColumnAbbreviation,FALSE),"")</f>
        <v/>
      </c>
      <c r="BM188" s="21" t="str">
        <f ca="1">IFERROR(VLOOKUP(K188,OFFSET(abbreviation[],0,ColumnLanguage),ColumnAbbreviation,FALSE),"")</f>
        <v/>
      </c>
      <c r="BN188" s="21" t="str">
        <f t="shared" ca="1" si="14"/>
        <v/>
      </c>
      <c r="BO188" s="21" t="str">
        <f ca="1">IFERROR(VLOOKUP(N188,OFFSET(abbreviation[],0,ColumnLanguage),ColumnAbbreviation,FALSE),"")</f>
        <v/>
      </c>
      <c r="BP188" s="21" t="str">
        <f ca="1">IFERROR(VLOOKUP(P188,OFFSET(abbreviation[],0,ColumnLanguage),ColumnAbbreviation,FALSE),"")</f>
        <v/>
      </c>
      <c r="BQ188" s="21" t="str">
        <f ca="1">IFERROR(VLOOKUP(T188,OFFSET(abbreviation[],0,ColumnLanguage),ColumnAbbreviation,FALSE),"")</f>
        <v/>
      </c>
      <c r="BR188" s="21" t="str">
        <f ca="1">IFERROR(VLOOKUP(V188,OFFSET(abbreviation[],0,ColumnLanguage),ColumnAbbreviation,FALSE),"")</f>
        <v/>
      </c>
      <c r="BS188" s="21" t="str">
        <f ca="1">IFERROR(VLOOKUP(Z188,OFFSET(abbreviation[],0,ColumnLanguage),ColumnAbbreviation,FALSE),"")</f>
        <v/>
      </c>
      <c r="BT188" s="21" t="str">
        <f ca="1">IFERROR(VLOOKUP(AB188,OFFSET(abbreviation[],0,ColumnLanguage),ColumnAbbreviation,FALSE),"")</f>
        <v/>
      </c>
      <c r="BU188" s="21" t="str">
        <f t="shared" ca="1" si="15"/>
        <v>__</v>
      </c>
      <c r="BV188" s="21" t="str">
        <f ca="1">IFERROR(VLOOKUP(AF188,OFFSET(abbreviation[],0,ColumnLanguage),ColumnAbbreviation,FALSE),"")</f>
        <v/>
      </c>
      <c r="BW188" s="21" t="str">
        <f ca="1">IFERROR(VLOOKUP(AH188,OFFSET(abbreviation[],0,ColumnLanguage),ColumnAbbreviation,FALSE),"")</f>
        <v/>
      </c>
      <c r="BX188" s="21" t="str">
        <f ca="1">IFERROR(VLOOKUP(AJ188,OFFSET(abbreviation[],0,ColumnLanguage),ColumnAbbreviation,FALSE),"")</f>
        <v/>
      </c>
      <c r="BY188" s="21" t="str">
        <f ca="1">IFERROR(VLOOKUP(AL188,OFFSET(abbreviation[],0,ColumnLanguage),ColumnAbbreviation,FALSE),"")</f>
        <v/>
      </c>
      <c r="BZ188" s="21" t="str">
        <f t="shared" ca="1" si="16"/>
        <v>_</v>
      </c>
      <c r="CA188" s="21" t="str">
        <f ca="1">IFERROR(VLOOKUP(AP188,OFFSET(abbreviation[],0,ColumnLanguage),ColumnAbbreviation,FALSE),"")</f>
        <v/>
      </c>
      <c r="CB188" s="21" t="str">
        <f ca="1">IFERROR(VLOOKUP(AR188,OFFSET(abbreviation[],0,ColumnLanguage),ColumnAbbreviation,FALSE),"")</f>
        <v/>
      </c>
      <c r="CC188" s="21" t="str">
        <f ca="1">IFERROR(VLOOKUP(AT188,OFFSET(abbreviation[],0,ColumnLanguage),ColumnAbbreviation,FALSE),"")</f>
        <v/>
      </c>
      <c r="CD188" s="21" t="str">
        <f ca="1">IFERROR(VLOOKUP(AV188,OFFSET(abbreviation[],0,ColumnLanguage),ColumnAbbreviation,FALSE),"")</f>
        <v/>
      </c>
      <c r="CE188" s="21" t="str">
        <f t="shared" ca="1" si="17"/>
        <v>__</v>
      </c>
      <c r="CF188" s="21" t="str">
        <f ca="1">IFERROR(VLOOKUP(AX188,OFFSET(abbreviation[],0,ColumnLanguage),ColumnAbbreviation,FALSE),"")</f>
        <v/>
      </c>
      <c r="CG188" s="21" t="str">
        <f ca="1">IFERROR(VLOOKUP(AZ188,OFFSET(abbreviation[],0,ColumnLanguage),ColumnAbbreviation,FALSE),"")</f>
        <v/>
      </c>
      <c r="CH188" s="21" t="str">
        <f ca="1">IFERROR(VLOOKUP(BB188,OFFSET(abbreviation[],0,ColumnLanguage),ColumnAbbreviation,FALSE),"")</f>
        <v/>
      </c>
      <c r="CI188" s="21" t="str">
        <f ca="1">IFERROR(VLOOKUP(BD188,OFFSET(abbreviation[],0,ColumnLanguage),ColumnAbbreviation,FALSE),"")</f>
        <v/>
      </c>
      <c r="CJ188" s="21" t="str">
        <f ca="1">IFERROR(VLOOKUP(BF188,OFFSET(abbreviation[],0,ColumnLanguage),ColumnAbbreviation,FALSE),"")</f>
        <v/>
      </c>
      <c r="CK188" s="21" t="str">
        <f t="shared" ca="1" si="18"/>
        <v/>
      </c>
      <c r="CL188" s="21" t="str">
        <f t="shared" si="19"/>
        <v/>
      </c>
      <c r="CM188" s="52"/>
      <c r="CN188" s="57" t="str">
        <f t="shared" si="20"/>
        <v/>
      </c>
    </row>
    <row r="189" spans="14:92" x14ac:dyDescent="0.25">
      <c r="N189" s="58"/>
      <c r="P189" s="60"/>
      <c r="Q189" s="13"/>
      <c r="V189" s="60"/>
      <c r="X189" s="61"/>
      <c r="AB189" s="60"/>
      <c r="AN189" s="54"/>
      <c r="AS189" s="15"/>
      <c r="BH189" s="52"/>
      <c r="BI189" s="21" t="str">
        <f ca="1">IFERROR(VLOOKUP(C189,OFFSET(abbreviation[],0,ColumnLanguage),ColumnAbbreviation,FALSE),"")</f>
        <v/>
      </c>
      <c r="BJ189" s="21" t="str">
        <f ca="1">IFERROR(VLOOKUP(E189,OFFSET(abbreviation[],0,ColumnLanguage),ColumnAbbreviation,FALSE),"")</f>
        <v/>
      </c>
      <c r="BK189" s="21" t="str">
        <f ca="1">IFERROR(VLOOKUP(G189,OFFSET(abbreviation[],0,ColumnLanguage),ColumnAbbreviation,FALSE),"")</f>
        <v/>
      </c>
      <c r="BL189" s="21" t="str">
        <f ca="1">IFERROR(VLOOKUP(I189,OFFSET(abbreviation[],0,ColumnLanguage),ColumnAbbreviation,FALSE),"")</f>
        <v/>
      </c>
      <c r="BM189" s="21" t="str">
        <f ca="1">IFERROR(VLOOKUP(K189,OFFSET(abbreviation[],0,ColumnLanguage),ColumnAbbreviation,FALSE),"")</f>
        <v/>
      </c>
      <c r="BN189" s="21" t="str">
        <f t="shared" ca="1" si="14"/>
        <v/>
      </c>
      <c r="BO189" s="21" t="str">
        <f ca="1">IFERROR(VLOOKUP(N189,OFFSET(abbreviation[],0,ColumnLanguage),ColumnAbbreviation,FALSE),"")</f>
        <v/>
      </c>
      <c r="BP189" s="21" t="str">
        <f ca="1">IFERROR(VLOOKUP(P189,OFFSET(abbreviation[],0,ColumnLanguage),ColumnAbbreviation,FALSE),"")</f>
        <v/>
      </c>
      <c r="BQ189" s="21" t="str">
        <f ca="1">IFERROR(VLOOKUP(T189,OFFSET(abbreviation[],0,ColumnLanguage),ColumnAbbreviation,FALSE),"")</f>
        <v/>
      </c>
      <c r="BR189" s="21" t="str">
        <f ca="1">IFERROR(VLOOKUP(V189,OFFSET(abbreviation[],0,ColumnLanguage),ColumnAbbreviation,FALSE),"")</f>
        <v/>
      </c>
      <c r="BS189" s="21" t="str">
        <f ca="1">IFERROR(VLOOKUP(Z189,OFFSET(abbreviation[],0,ColumnLanguage),ColumnAbbreviation,FALSE),"")</f>
        <v/>
      </c>
      <c r="BT189" s="21" t="str">
        <f ca="1">IFERROR(VLOOKUP(AB189,OFFSET(abbreviation[],0,ColumnLanguage),ColumnAbbreviation,FALSE),"")</f>
        <v/>
      </c>
      <c r="BU189" s="21" t="str">
        <f t="shared" ca="1" si="15"/>
        <v>__</v>
      </c>
      <c r="BV189" s="21" t="str">
        <f ca="1">IFERROR(VLOOKUP(AF189,OFFSET(abbreviation[],0,ColumnLanguage),ColumnAbbreviation,FALSE),"")</f>
        <v/>
      </c>
      <c r="BW189" s="21" t="str">
        <f ca="1">IFERROR(VLOOKUP(AH189,OFFSET(abbreviation[],0,ColumnLanguage),ColumnAbbreviation,FALSE),"")</f>
        <v/>
      </c>
      <c r="BX189" s="21" t="str">
        <f ca="1">IFERROR(VLOOKUP(AJ189,OFFSET(abbreviation[],0,ColumnLanguage),ColumnAbbreviation,FALSE),"")</f>
        <v/>
      </c>
      <c r="BY189" s="21" t="str">
        <f ca="1">IFERROR(VLOOKUP(AL189,OFFSET(abbreviation[],0,ColumnLanguage),ColumnAbbreviation,FALSE),"")</f>
        <v/>
      </c>
      <c r="BZ189" s="21" t="str">
        <f t="shared" ca="1" si="16"/>
        <v>_</v>
      </c>
      <c r="CA189" s="21" t="str">
        <f ca="1">IFERROR(VLOOKUP(AP189,OFFSET(abbreviation[],0,ColumnLanguage),ColumnAbbreviation,FALSE),"")</f>
        <v/>
      </c>
      <c r="CB189" s="21" t="str">
        <f ca="1">IFERROR(VLOOKUP(AR189,OFFSET(abbreviation[],0,ColumnLanguage),ColumnAbbreviation,FALSE),"")</f>
        <v/>
      </c>
      <c r="CC189" s="21" t="str">
        <f ca="1">IFERROR(VLOOKUP(AT189,OFFSET(abbreviation[],0,ColumnLanguage),ColumnAbbreviation,FALSE),"")</f>
        <v/>
      </c>
      <c r="CD189" s="21" t="str">
        <f ca="1">IFERROR(VLOOKUP(AV189,OFFSET(abbreviation[],0,ColumnLanguage),ColumnAbbreviation,FALSE),"")</f>
        <v/>
      </c>
      <c r="CE189" s="21" t="str">
        <f t="shared" ca="1" si="17"/>
        <v>__</v>
      </c>
      <c r="CF189" s="21" t="str">
        <f ca="1">IFERROR(VLOOKUP(AX189,OFFSET(abbreviation[],0,ColumnLanguage),ColumnAbbreviation,FALSE),"")</f>
        <v/>
      </c>
      <c r="CG189" s="21" t="str">
        <f ca="1">IFERROR(VLOOKUP(AZ189,OFFSET(abbreviation[],0,ColumnLanguage),ColumnAbbreviation,FALSE),"")</f>
        <v/>
      </c>
      <c r="CH189" s="21" t="str">
        <f ca="1">IFERROR(VLOOKUP(BB189,OFFSET(abbreviation[],0,ColumnLanguage),ColumnAbbreviation,FALSE),"")</f>
        <v/>
      </c>
      <c r="CI189" s="21" t="str">
        <f ca="1">IFERROR(VLOOKUP(BD189,OFFSET(abbreviation[],0,ColumnLanguage),ColumnAbbreviation,FALSE),"")</f>
        <v/>
      </c>
      <c r="CJ189" s="21" t="str">
        <f ca="1">IFERROR(VLOOKUP(BF189,OFFSET(abbreviation[],0,ColumnLanguage),ColumnAbbreviation,FALSE),"")</f>
        <v/>
      </c>
      <c r="CK189" s="21" t="str">
        <f t="shared" ca="1" si="18"/>
        <v/>
      </c>
      <c r="CL189" s="21" t="str">
        <f t="shared" si="19"/>
        <v/>
      </c>
      <c r="CM189" s="52"/>
      <c r="CN189" s="57" t="str">
        <f t="shared" si="20"/>
        <v/>
      </c>
    </row>
    <row r="190" spans="14:92" x14ac:dyDescent="0.25">
      <c r="N190" s="58"/>
      <c r="P190" s="60"/>
      <c r="Q190" s="13"/>
      <c r="V190" s="60"/>
      <c r="X190" s="61"/>
      <c r="AB190" s="60"/>
      <c r="AN190" s="54"/>
      <c r="AS190" s="15"/>
      <c r="BH190" s="52"/>
      <c r="BI190" s="21" t="str">
        <f ca="1">IFERROR(VLOOKUP(C190,OFFSET(abbreviation[],0,ColumnLanguage),ColumnAbbreviation,FALSE),"")</f>
        <v/>
      </c>
      <c r="BJ190" s="21" t="str">
        <f ca="1">IFERROR(VLOOKUP(E190,OFFSET(abbreviation[],0,ColumnLanguage),ColumnAbbreviation,FALSE),"")</f>
        <v/>
      </c>
      <c r="BK190" s="21" t="str">
        <f ca="1">IFERROR(VLOOKUP(G190,OFFSET(abbreviation[],0,ColumnLanguage),ColumnAbbreviation,FALSE),"")</f>
        <v/>
      </c>
      <c r="BL190" s="21" t="str">
        <f ca="1">IFERROR(VLOOKUP(I190,OFFSET(abbreviation[],0,ColumnLanguage),ColumnAbbreviation,FALSE),"")</f>
        <v/>
      </c>
      <c r="BM190" s="21" t="str">
        <f ca="1">IFERROR(VLOOKUP(K190,OFFSET(abbreviation[],0,ColumnLanguage),ColumnAbbreviation,FALSE),"")</f>
        <v/>
      </c>
      <c r="BN190" s="21" t="str">
        <f t="shared" ca="1" si="14"/>
        <v/>
      </c>
      <c r="BO190" s="21" t="str">
        <f ca="1">IFERROR(VLOOKUP(N190,OFFSET(abbreviation[],0,ColumnLanguage),ColumnAbbreviation,FALSE),"")</f>
        <v/>
      </c>
      <c r="BP190" s="21" t="str">
        <f ca="1">IFERROR(VLOOKUP(P190,OFFSET(abbreviation[],0,ColumnLanguage),ColumnAbbreviation,FALSE),"")</f>
        <v/>
      </c>
      <c r="BQ190" s="21" t="str">
        <f ca="1">IFERROR(VLOOKUP(T190,OFFSET(abbreviation[],0,ColumnLanguage),ColumnAbbreviation,FALSE),"")</f>
        <v/>
      </c>
      <c r="BR190" s="21" t="str">
        <f ca="1">IFERROR(VLOOKUP(V190,OFFSET(abbreviation[],0,ColumnLanguage),ColumnAbbreviation,FALSE),"")</f>
        <v/>
      </c>
      <c r="BS190" s="21" t="str">
        <f ca="1">IFERROR(VLOOKUP(Z190,OFFSET(abbreviation[],0,ColumnLanguage),ColumnAbbreviation,FALSE),"")</f>
        <v/>
      </c>
      <c r="BT190" s="21" t="str">
        <f ca="1">IFERROR(VLOOKUP(AB190,OFFSET(abbreviation[],0,ColumnLanguage),ColumnAbbreviation,FALSE),"")</f>
        <v/>
      </c>
      <c r="BU190" s="21" t="str">
        <f t="shared" ca="1" si="15"/>
        <v>__</v>
      </c>
      <c r="BV190" s="21" t="str">
        <f ca="1">IFERROR(VLOOKUP(AF190,OFFSET(abbreviation[],0,ColumnLanguage),ColumnAbbreviation,FALSE),"")</f>
        <v/>
      </c>
      <c r="BW190" s="21" t="str">
        <f ca="1">IFERROR(VLOOKUP(AH190,OFFSET(abbreviation[],0,ColumnLanguage),ColumnAbbreviation,FALSE),"")</f>
        <v/>
      </c>
      <c r="BX190" s="21" t="str">
        <f ca="1">IFERROR(VLOOKUP(AJ190,OFFSET(abbreviation[],0,ColumnLanguage),ColumnAbbreviation,FALSE),"")</f>
        <v/>
      </c>
      <c r="BY190" s="21" t="str">
        <f ca="1">IFERROR(VLOOKUP(AL190,OFFSET(abbreviation[],0,ColumnLanguage),ColumnAbbreviation,FALSE),"")</f>
        <v/>
      </c>
      <c r="BZ190" s="21" t="str">
        <f t="shared" ca="1" si="16"/>
        <v>_</v>
      </c>
      <c r="CA190" s="21" t="str">
        <f ca="1">IFERROR(VLOOKUP(AP190,OFFSET(abbreviation[],0,ColumnLanguage),ColumnAbbreviation,FALSE),"")</f>
        <v/>
      </c>
      <c r="CB190" s="21" t="str">
        <f ca="1">IFERROR(VLOOKUP(AR190,OFFSET(abbreviation[],0,ColumnLanguage),ColumnAbbreviation,FALSE),"")</f>
        <v/>
      </c>
      <c r="CC190" s="21" t="str">
        <f ca="1">IFERROR(VLOOKUP(AT190,OFFSET(abbreviation[],0,ColumnLanguage),ColumnAbbreviation,FALSE),"")</f>
        <v/>
      </c>
      <c r="CD190" s="21" t="str">
        <f ca="1">IFERROR(VLOOKUP(AV190,OFFSET(abbreviation[],0,ColumnLanguage),ColumnAbbreviation,FALSE),"")</f>
        <v/>
      </c>
      <c r="CE190" s="21" t="str">
        <f t="shared" ca="1" si="17"/>
        <v>__</v>
      </c>
      <c r="CF190" s="21" t="str">
        <f ca="1">IFERROR(VLOOKUP(AX190,OFFSET(abbreviation[],0,ColumnLanguage),ColumnAbbreviation,FALSE),"")</f>
        <v/>
      </c>
      <c r="CG190" s="21" t="str">
        <f ca="1">IFERROR(VLOOKUP(AZ190,OFFSET(abbreviation[],0,ColumnLanguage),ColumnAbbreviation,FALSE),"")</f>
        <v/>
      </c>
      <c r="CH190" s="21" t="str">
        <f ca="1">IFERROR(VLOOKUP(BB190,OFFSET(abbreviation[],0,ColumnLanguage),ColumnAbbreviation,FALSE),"")</f>
        <v/>
      </c>
      <c r="CI190" s="21" t="str">
        <f ca="1">IFERROR(VLOOKUP(BD190,OFFSET(abbreviation[],0,ColumnLanguage),ColumnAbbreviation,FALSE),"")</f>
        <v/>
      </c>
      <c r="CJ190" s="21" t="str">
        <f ca="1">IFERROR(VLOOKUP(BF190,OFFSET(abbreviation[],0,ColumnLanguage),ColumnAbbreviation,FALSE),"")</f>
        <v/>
      </c>
      <c r="CK190" s="21" t="str">
        <f t="shared" ca="1" si="18"/>
        <v/>
      </c>
      <c r="CL190" s="21" t="str">
        <f t="shared" si="19"/>
        <v/>
      </c>
      <c r="CM190" s="52"/>
      <c r="CN190" s="57" t="str">
        <f t="shared" si="20"/>
        <v/>
      </c>
    </row>
    <row r="191" spans="14:92" x14ac:dyDescent="0.25">
      <c r="N191" s="58"/>
      <c r="P191" s="60"/>
      <c r="Q191" s="13"/>
      <c r="V191" s="60"/>
      <c r="X191" s="61"/>
      <c r="AB191" s="60"/>
      <c r="AN191" s="54"/>
      <c r="AS191" s="15"/>
      <c r="BH191" s="52"/>
      <c r="BI191" s="21" t="str">
        <f ca="1">IFERROR(VLOOKUP(C191,OFFSET(abbreviation[],0,ColumnLanguage),ColumnAbbreviation,FALSE),"")</f>
        <v/>
      </c>
      <c r="BJ191" s="21" t="str">
        <f ca="1">IFERROR(VLOOKUP(E191,OFFSET(abbreviation[],0,ColumnLanguage),ColumnAbbreviation,FALSE),"")</f>
        <v/>
      </c>
      <c r="BK191" s="21" t="str">
        <f ca="1">IFERROR(VLOOKUP(G191,OFFSET(abbreviation[],0,ColumnLanguage),ColumnAbbreviation,FALSE),"")</f>
        <v/>
      </c>
      <c r="BL191" s="21" t="str">
        <f ca="1">IFERROR(VLOOKUP(I191,OFFSET(abbreviation[],0,ColumnLanguage),ColumnAbbreviation,FALSE),"")</f>
        <v/>
      </c>
      <c r="BM191" s="21" t="str">
        <f ca="1">IFERROR(VLOOKUP(K191,OFFSET(abbreviation[],0,ColumnLanguage),ColumnAbbreviation,FALSE),"")</f>
        <v/>
      </c>
      <c r="BN191" s="21" t="str">
        <f t="shared" ca="1" si="14"/>
        <v/>
      </c>
      <c r="BO191" s="21" t="str">
        <f ca="1">IFERROR(VLOOKUP(N191,OFFSET(abbreviation[],0,ColumnLanguage),ColumnAbbreviation,FALSE),"")</f>
        <v/>
      </c>
      <c r="BP191" s="21" t="str">
        <f ca="1">IFERROR(VLOOKUP(P191,OFFSET(abbreviation[],0,ColumnLanguage),ColumnAbbreviation,FALSE),"")</f>
        <v/>
      </c>
      <c r="BQ191" s="21" t="str">
        <f ca="1">IFERROR(VLOOKUP(T191,OFFSET(abbreviation[],0,ColumnLanguage),ColumnAbbreviation,FALSE),"")</f>
        <v/>
      </c>
      <c r="BR191" s="21" t="str">
        <f ca="1">IFERROR(VLOOKUP(V191,OFFSET(abbreviation[],0,ColumnLanguage),ColumnAbbreviation,FALSE),"")</f>
        <v/>
      </c>
      <c r="BS191" s="21" t="str">
        <f ca="1">IFERROR(VLOOKUP(Z191,OFFSET(abbreviation[],0,ColumnLanguage),ColumnAbbreviation,FALSE),"")</f>
        <v/>
      </c>
      <c r="BT191" s="21" t="str">
        <f ca="1">IFERROR(VLOOKUP(AB191,OFFSET(abbreviation[],0,ColumnLanguage),ColumnAbbreviation,FALSE),"")</f>
        <v/>
      </c>
      <c r="BU191" s="21" t="str">
        <f t="shared" ca="1" si="15"/>
        <v>__</v>
      </c>
      <c r="BV191" s="21" t="str">
        <f ca="1">IFERROR(VLOOKUP(AF191,OFFSET(abbreviation[],0,ColumnLanguage),ColumnAbbreviation,FALSE),"")</f>
        <v/>
      </c>
      <c r="BW191" s="21" t="str">
        <f ca="1">IFERROR(VLOOKUP(AH191,OFFSET(abbreviation[],0,ColumnLanguage),ColumnAbbreviation,FALSE),"")</f>
        <v/>
      </c>
      <c r="BX191" s="21" t="str">
        <f ca="1">IFERROR(VLOOKUP(AJ191,OFFSET(abbreviation[],0,ColumnLanguage),ColumnAbbreviation,FALSE),"")</f>
        <v/>
      </c>
      <c r="BY191" s="21" t="str">
        <f ca="1">IFERROR(VLOOKUP(AL191,OFFSET(abbreviation[],0,ColumnLanguage),ColumnAbbreviation,FALSE),"")</f>
        <v/>
      </c>
      <c r="BZ191" s="21" t="str">
        <f t="shared" ca="1" si="16"/>
        <v>_</v>
      </c>
      <c r="CA191" s="21" t="str">
        <f ca="1">IFERROR(VLOOKUP(AP191,OFFSET(abbreviation[],0,ColumnLanguage),ColumnAbbreviation,FALSE),"")</f>
        <v/>
      </c>
      <c r="CB191" s="21" t="str">
        <f ca="1">IFERROR(VLOOKUP(AR191,OFFSET(abbreviation[],0,ColumnLanguage),ColumnAbbreviation,FALSE),"")</f>
        <v/>
      </c>
      <c r="CC191" s="21" t="str">
        <f ca="1">IFERROR(VLOOKUP(AT191,OFFSET(abbreviation[],0,ColumnLanguage),ColumnAbbreviation,FALSE),"")</f>
        <v/>
      </c>
      <c r="CD191" s="21" t="str">
        <f ca="1">IFERROR(VLOOKUP(AV191,OFFSET(abbreviation[],0,ColumnLanguage),ColumnAbbreviation,FALSE),"")</f>
        <v/>
      </c>
      <c r="CE191" s="21" t="str">
        <f t="shared" ca="1" si="17"/>
        <v>__</v>
      </c>
      <c r="CF191" s="21" t="str">
        <f ca="1">IFERROR(VLOOKUP(AX191,OFFSET(abbreviation[],0,ColumnLanguage),ColumnAbbreviation,FALSE),"")</f>
        <v/>
      </c>
      <c r="CG191" s="21" t="str">
        <f ca="1">IFERROR(VLOOKUP(AZ191,OFFSET(abbreviation[],0,ColumnLanguage),ColumnAbbreviation,FALSE),"")</f>
        <v/>
      </c>
      <c r="CH191" s="21" t="str">
        <f ca="1">IFERROR(VLOOKUP(BB191,OFFSET(abbreviation[],0,ColumnLanguage),ColumnAbbreviation,FALSE),"")</f>
        <v/>
      </c>
      <c r="CI191" s="21" t="str">
        <f ca="1">IFERROR(VLOOKUP(BD191,OFFSET(abbreviation[],0,ColumnLanguage),ColumnAbbreviation,FALSE),"")</f>
        <v/>
      </c>
      <c r="CJ191" s="21" t="str">
        <f ca="1">IFERROR(VLOOKUP(BF191,OFFSET(abbreviation[],0,ColumnLanguage),ColumnAbbreviation,FALSE),"")</f>
        <v/>
      </c>
      <c r="CK191" s="21" t="str">
        <f t="shared" ca="1" si="18"/>
        <v/>
      </c>
      <c r="CL191" s="21" t="str">
        <f t="shared" si="19"/>
        <v/>
      </c>
      <c r="CM191" s="52"/>
      <c r="CN191" s="57" t="str">
        <f t="shared" si="20"/>
        <v/>
      </c>
    </row>
    <row r="192" spans="14:92" x14ac:dyDescent="0.25">
      <c r="N192" s="58"/>
      <c r="P192" s="60"/>
      <c r="Q192" s="13"/>
      <c r="V192" s="60"/>
      <c r="X192" s="61"/>
      <c r="AB192" s="60"/>
      <c r="AN192" s="54"/>
      <c r="AS192" s="15"/>
      <c r="BH192" s="52"/>
      <c r="BI192" s="21" t="str">
        <f ca="1">IFERROR(VLOOKUP(C192,OFFSET(abbreviation[],0,ColumnLanguage),ColumnAbbreviation,FALSE),"")</f>
        <v/>
      </c>
      <c r="BJ192" s="21" t="str">
        <f ca="1">IFERROR(VLOOKUP(E192,OFFSET(abbreviation[],0,ColumnLanguage),ColumnAbbreviation,FALSE),"")</f>
        <v/>
      </c>
      <c r="BK192" s="21" t="str">
        <f ca="1">IFERROR(VLOOKUP(G192,OFFSET(abbreviation[],0,ColumnLanguage),ColumnAbbreviation,FALSE),"")</f>
        <v/>
      </c>
      <c r="BL192" s="21" t="str">
        <f ca="1">IFERROR(VLOOKUP(I192,OFFSET(abbreviation[],0,ColumnLanguage),ColumnAbbreviation,FALSE),"")</f>
        <v/>
      </c>
      <c r="BM192" s="21" t="str">
        <f ca="1">IFERROR(VLOOKUP(K192,OFFSET(abbreviation[],0,ColumnLanguage),ColumnAbbreviation,FALSE),"")</f>
        <v/>
      </c>
      <c r="BN192" s="21" t="str">
        <f t="shared" ca="1" si="14"/>
        <v/>
      </c>
      <c r="BO192" s="21" t="str">
        <f ca="1">IFERROR(VLOOKUP(N192,OFFSET(abbreviation[],0,ColumnLanguage),ColumnAbbreviation,FALSE),"")</f>
        <v/>
      </c>
      <c r="BP192" s="21" t="str">
        <f ca="1">IFERROR(VLOOKUP(P192,OFFSET(abbreviation[],0,ColumnLanguage),ColumnAbbreviation,FALSE),"")</f>
        <v/>
      </c>
      <c r="BQ192" s="21" t="str">
        <f ca="1">IFERROR(VLOOKUP(T192,OFFSET(abbreviation[],0,ColumnLanguage),ColumnAbbreviation,FALSE),"")</f>
        <v/>
      </c>
      <c r="BR192" s="21" t="str">
        <f ca="1">IFERROR(VLOOKUP(V192,OFFSET(abbreviation[],0,ColumnLanguage),ColumnAbbreviation,FALSE),"")</f>
        <v/>
      </c>
      <c r="BS192" s="21" t="str">
        <f ca="1">IFERROR(VLOOKUP(Z192,OFFSET(abbreviation[],0,ColumnLanguage),ColumnAbbreviation,FALSE),"")</f>
        <v/>
      </c>
      <c r="BT192" s="21" t="str">
        <f ca="1">IFERROR(VLOOKUP(AB192,OFFSET(abbreviation[],0,ColumnLanguage),ColumnAbbreviation,FALSE),"")</f>
        <v/>
      </c>
      <c r="BU192" s="21" t="str">
        <f t="shared" ca="1" si="15"/>
        <v>__</v>
      </c>
      <c r="BV192" s="21" t="str">
        <f ca="1">IFERROR(VLOOKUP(AF192,OFFSET(abbreviation[],0,ColumnLanguage),ColumnAbbreviation,FALSE),"")</f>
        <v/>
      </c>
      <c r="BW192" s="21" t="str">
        <f ca="1">IFERROR(VLOOKUP(AH192,OFFSET(abbreviation[],0,ColumnLanguage),ColumnAbbreviation,FALSE),"")</f>
        <v/>
      </c>
      <c r="BX192" s="21" t="str">
        <f ca="1">IFERROR(VLOOKUP(AJ192,OFFSET(abbreviation[],0,ColumnLanguage),ColumnAbbreviation,FALSE),"")</f>
        <v/>
      </c>
      <c r="BY192" s="21" t="str">
        <f ca="1">IFERROR(VLOOKUP(AL192,OFFSET(abbreviation[],0,ColumnLanguage),ColumnAbbreviation,FALSE),"")</f>
        <v/>
      </c>
      <c r="BZ192" s="21" t="str">
        <f t="shared" ca="1" si="16"/>
        <v>_</v>
      </c>
      <c r="CA192" s="21" t="str">
        <f ca="1">IFERROR(VLOOKUP(AP192,OFFSET(abbreviation[],0,ColumnLanguage),ColumnAbbreviation,FALSE),"")</f>
        <v/>
      </c>
      <c r="CB192" s="21" t="str">
        <f ca="1">IFERROR(VLOOKUP(AR192,OFFSET(abbreviation[],0,ColumnLanguage),ColumnAbbreviation,FALSE),"")</f>
        <v/>
      </c>
      <c r="CC192" s="21" t="str">
        <f ca="1">IFERROR(VLOOKUP(AT192,OFFSET(abbreviation[],0,ColumnLanguage),ColumnAbbreviation,FALSE),"")</f>
        <v/>
      </c>
      <c r="CD192" s="21" t="str">
        <f ca="1">IFERROR(VLOOKUP(AV192,OFFSET(abbreviation[],0,ColumnLanguage),ColumnAbbreviation,FALSE),"")</f>
        <v/>
      </c>
      <c r="CE192" s="21" t="str">
        <f t="shared" ca="1" si="17"/>
        <v>__</v>
      </c>
      <c r="CF192" s="21" t="str">
        <f ca="1">IFERROR(VLOOKUP(AX192,OFFSET(abbreviation[],0,ColumnLanguage),ColumnAbbreviation,FALSE),"")</f>
        <v/>
      </c>
      <c r="CG192" s="21" t="str">
        <f ca="1">IFERROR(VLOOKUP(AZ192,OFFSET(abbreviation[],0,ColumnLanguage),ColumnAbbreviation,FALSE),"")</f>
        <v/>
      </c>
      <c r="CH192" s="21" t="str">
        <f ca="1">IFERROR(VLOOKUP(BB192,OFFSET(abbreviation[],0,ColumnLanguage),ColumnAbbreviation,FALSE),"")</f>
        <v/>
      </c>
      <c r="CI192" s="21" t="str">
        <f ca="1">IFERROR(VLOOKUP(BD192,OFFSET(abbreviation[],0,ColumnLanguage),ColumnAbbreviation,FALSE),"")</f>
        <v/>
      </c>
      <c r="CJ192" s="21" t="str">
        <f ca="1">IFERROR(VLOOKUP(BF192,OFFSET(abbreviation[],0,ColumnLanguage),ColumnAbbreviation,FALSE),"")</f>
        <v/>
      </c>
      <c r="CK192" s="21" t="str">
        <f t="shared" ca="1" si="18"/>
        <v/>
      </c>
      <c r="CL192" s="21" t="str">
        <f t="shared" si="19"/>
        <v/>
      </c>
      <c r="CM192" s="52"/>
      <c r="CN192" s="57" t="str">
        <f t="shared" si="20"/>
        <v/>
      </c>
    </row>
    <row r="193" spans="14:92" x14ac:dyDescent="0.25">
      <c r="N193" s="58"/>
      <c r="P193" s="60"/>
      <c r="Q193" s="13"/>
      <c r="V193" s="60"/>
      <c r="X193" s="61"/>
      <c r="AB193" s="60"/>
      <c r="AN193" s="54"/>
      <c r="AS193" s="15"/>
      <c r="BH193" s="52"/>
      <c r="BI193" s="21" t="str">
        <f ca="1">IFERROR(VLOOKUP(C193,OFFSET(abbreviation[],0,ColumnLanguage),ColumnAbbreviation,FALSE),"")</f>
        <v/>
      </c>
      <c r="BJ193" s="21" t="str">
        <f ca="1">IFERROR(VLOOKUP(E193,OFFSET(abbreviation[],0,ColumnLanguage),ColumnAbbreviation,FALSE),"")</f>
        <v/>
      </c>
      <c r="BK193" s="21" t="str">
        <f ca="1">IFERROR(VLOOKUP(G193,OFFSET(abbreviation[],0,ColumnLanguage),ColumnAbbreviation,FALSE),"")</f>
        <v/>
      </c>
      <c r="BL193" s="21" t="str">
        <f ca="1">IFERROR(VLOOKUP(I193,OFFSET(abbreviation[],0,ColumnLanguage),ColumnAbbreviation,FALSE),"")</f>
        <v/>
      </c>
      <c r="BM193" s="21" t="str">
        <f ca="1">IFERROR(VLOOKUP(K193,OFFSET(abbreviation[],0,ColumnLanguage),ColumnAbbreviation,FALSE),"")</f>
        <v/>
      </c>
      <c r="BN193" s="21" t="str">
        <f t="shared" ca="1" si="14"/>
        <v/>
      </c>
      <c r="BO193" s="21" t="str">
        <f ca="1">IFERROR(VLOOKUP(N193,OFFSET(abbreviation[],0,ColumnLanguage),ColumnAbbreviation,FALSE),"")</f>
        <v/>
      </c>
      <c r="BP193" s="21" t="str">
        <f ca="1">IFERROR(VLOOKUP(P193,OFFSET(abbreviation[],0,ColumnLanguage),ColumnAbbreviation,FALSE),"")</f>
        <v/>
      </c>
      <c r="BQ193" s="21" t="str">
        <f ca="1">IFERROR(VLOOKUP(T193,OFFSET(abbreviation[],0,ColumnLanguage),ColumnAbbreviation,FALSE),"")</f>
        <v/>
      </c>
      <c r="BR193" s="21" t="str">
        <f ca="1">IFERROR(VLOOKUP(V193,OFFSET(abbreviation[],0,ColumnLanguage),ColumnAbbreviation,FALSE),"")</f>
        <v/>
      </c>
      <c r="BS193" s="21" t="str">
        <f ca="1">IFERROR(VLOOKUP(Z193,OFFSET(abbreviation[],0,ColumnLanguage),ColumnAbbreviation,FALSE),"")</f>
        <v/>
      </c>
      <c r="BT193" s="21" t="str">
        <f ca="1">IFERROR(VLOOKUP(AB193,OFFSET(abbreviation[],0,ColumnLanguage),ColumnAbbreviation,FALSE),"")</f>
        <v/>
      </c>
      <c r="BU193" s="21" t="str">
        <f t="shared" ca="1" si="15"/>
        <v>__</v>
      </c>
      <c r="BV193" s="21" t="str">
        <f ca="1">IFERROR(VLOOKUP(AF193,OFFSET(abbreviation[],0,ColumnLanguage),ColumnAbbreviation,FALSE),"")</f>
        <v/>
      </c>
      <c r="BW193" s="21" t="str">
        <f ca="1">IFERROR(VLOOKUP(AH193,OFFSET(abbreviation[],0,ColumnLanguage),ColumnAbbreviation,FALSE),"")</f>
        <v/>
      </c>
      <c r="BX193" s="21" t="str">
        <f ca="1">IFERROR(VLOOKUP(AJ193,OFFSET(abbreviation[],0,ColumnLanguage),ColumnAbbreviation,FALSE),"")</f>
        <v/>
      </c>
      <c r="BY193" s="21" t="str">
        <f ca="1">IFERROR(VLOOKUP(AL193,OFFSET(abbreviation[],0,ColumnLanguage),ColumnAbbreviation,FALSE),"")</f>
        <v/>
      </c>
      <c r="BZ193" s="21" t="str">
        <f t="shared" ca="1" si="16"/>
        <v>_</v>
      </c>
      <c r="CA193" s="21" t="str">
        <f ca="1">IFERROR(VLOOKUP(AP193,OFFSET(abbreviation[],0,ColumnLanguage),ColumnAbbreviation,FALSE),"")</f>
        <v/>
      </c>
      <c r="CB193" s="21" t="str">
        <f ca="1">IFERROR(VLOOKUP(AR193,OFFSET(abbreviation[],0,ColumnLanguage),ColumnAbbreviation,FALSE),"")</f>
        <v/>
      </c>
      <c r="CC193" s="21" t="str">
        <f ca="1">IFERROR(VLOOKUP(AT193,OFFSET(abbreviation[],0,ColumnLanguage),ColumnAbbreviation,FALSE),"")</f>
        <v/>
      </c>
      <c r="CD193" s="21" t="str">
        <f ca="1">IFERROR(VLOOKUP(AV193,OFFSET(abbreviation[],0,ColumnLanguage),ColumnAbbreviation,FALSE),"")</f>
        <v/>
      </c>
      <c r="CE193" s="21" t="str">
        <f t="shared" ca="1" si="17"/>
        <v>__</v>
      </c>
      <c r="CF193" s="21" t="str">
        <f ca="1">IFERROR(VLOOKUP(AX193,OFFSET(abbreviation[],0,ColumnLanguage),ColumnAbbreviation,FALSE),"")</f>
        <v/>
      </c>
      <c r="CG193" s="21" t="str">
        <f ca="1">IFERROR(VLOOKUP(AZ193,OFFSET(abbreviation[],0,ColumnLanguage),ColumnAbbreviation,FALSE),"")</f>
        <v/>
      </c>
      <c r="CH193" s="21" t="str">
        <f ca="1">IFERROR(VLOOKUP(BB193,OFFSET(abbreviation[],0,ColumnLanguage),ColumnAbbreviation,FALSE),"")</f>
        <v/>
      </c>
      <c r="CI193" s="21" t="str">
        <f ca="1">IFERROR(VLOOKUP(BD193,OFFSET(abbreviation[],0,ColumnLanguage),ColumnAbbreviation,FALSE),"")</f>
        <v/>
      </c>
      <c r="CJ193" s="21" t="str">
        <f ca="1">IFERROR(VLOOKUP(BF193,OFFSET(abbreviation[],0,ColumnLanguage),ColumnAbbreviation,FALSE),"")</f>
        <v/>
      </c>
      <c r="CK193" s="21" t="str">
        <f t="shared" ca="1" si="18"/>
        <v/>
      </c>
      <c r="CL193" s="21" t="str">
        <f t="shared" si="19"/>
        <v/>
      </c>
      <c r="CM193" s="52"/>
      <c r="CN193" s="57" t="str">
        <f t="shared" si="20"/>
        <v/>
      </c>
    </row>
    <row r="194" spans="14:92" x14ac:dyDescent="0.25">
      <c r="N194" s="58"/>
      <c r="P194" s="60"/>
      <c r="Q194" s="13"/>
      <c r="V194" s="60"/>
      <c r="X194" s="61"/>
      <c r="AB194" s="60"/>
      <c r="AN194" s="54"/>
      <c r="AS194" s="15"/>
      <c r="BH194" s="52"/>
      <c r="BI194" s="21" t="str">
        <f ca="1">IFERROR(VLOOKUP(C194,OFFSET(abbreviation[],0,ColumnLanguage),ColumnAbbreviation,FALSE),"")</f>
        <v/>
      </c>
      <c r="BJ194" s="21" t="str">
        <f ca="1">IFERROR(VLOOKUP(E194,OFFSET(abbreviation[],0,ColumnLanguage),ColumnAbbreviation,FALSE),"")</f>
        <v/>
      </c>
      <c r="BK194" s="21" t="str">
        <f ca="1">IFERROR(VLOOKUP(G194,OFFSET(abbreviation[],0,ColumnLanguage),ColumnAbbreviation,FALSE),"")</f>
        <v/>
      </c>
      <c r="BL194" s="21" t="str">
        <f ca="1">IFERROR(VLOOKUP(I194,OFFSET(abbreviation[],0,ColumnLanguage),ColumnAbbreviation,FALSE),"")</f>
        <v/>
      </c>
      <c r="BM194" s="21" t="str">
        <f ca="1">IFERROR(VLOOKUP(K194,OFFSET(abbreviation[],0,ColumnLanguage),ColumnAbbreviation,FALSE),"")</f>
        <v/>
      </c>
      <c r="BN194" s="21" t="str">
        <f t="shared" ca="1" si="14"/>
        <v/>
      </c>
      <c r="BO194" s="21" t="str">
        <f ca="1">IFERROR(VLOOKUP(N194,OFFSET(abbreviation[],0,ColumnLanguage),ColumnAbbreviation,FALSE),"")</f>
        <v/>
      </c>
      <c r="BP194" s="21" t="str">
        <f ca="1">IFERROR(VLOOKUP(P194,OFFSET(abbreviation[],0,ColumnLanguage),ColumnAbbreviation,FALSE),"")</f>
        <v/>
      </c>
      <c r="BQ194" s="21" t="str">
        <f ca="1">IFERROR(VLOOKUP(T194,OFFSET(abbreviation[],0,ColumnLanguage),ColumnAbbreviation,FALSE),"")</f>
        <v/>
      </c>
      <c r="BR194" s="21" t="str">
        <f ca="1">IFERROR(VLOOKUP(V194,OFFSET(abbreviation[],0,ColumnLanguage),ColumnAbbreviation,FALSE),"")</f>
        <v/>
      </c>
      <c r="BS194" s="21" t="str">
        <f ca="1">IFERROR(VLOOKUP(Z194,OFFSET(abbreviation[],0,ColumnLanguage),ColumnAbbreviation,FALSE),"")</f>
        <v/>
      </c>
      <c r="BT194" s="21" t="str">
        <f ca="1">IFERROR(VLOOKUP(AB194,OFFSET(abbreviation[],0,ColumnLanguage),ColumnAbbreviation,FALSE),"")</f>
        <v/>
      </c>
      <c r="BU194" s="21" t="str">
        <f t="shared" ca="1" si="15"/>
        <v>__</v>
      </c>
      <c r="BV194" s="21" t="str">
        <f ca="1">IFERROR(VLOOKUP(AF194,OFFSET(abbreviation[],0,ColumnLanguage),ColumnAbbreviation,FALSE),"")</f>
        <v/>
      </c>
      <c r="BW194" s="21" t="str">
        <f ca="1">IFERROR(VLOOKUP(AH194,OFFSET(abbreviation[],0,ColumnLanguage),ColumnAbbreviation,FALSE),"")</f>
        <v/>
      </c>
      <c r="BX194" s="21" t="str">
        <f ca="1">IFERROR(VLOOKUP(AJ194,OFFSET(abbreviation[],0,ColumnLanguage),ColumnAbbreviation,FALSE),"")</f>
        <v/>
      </c>
      <c r="BY194" s="21" t="str">
        <f ca="1">IFERROR(VLOOKUP(AL194,OFFSET(abbreviation[],0,ColumnLanguage),ColumnAbbreviation,FALSE),"")</f>
        <v/>
      </c>
      <c r="BZ194" s="21" t="str">
        <f t="shared" ca="1" si="16"/>
        <v>_</v>
      </c>
      <c r="CA194" s="21" t="str">
        <f ca="1">IFERROR(VLOOKUP(AP194,OFFSET(abbreviation[],0,ColumnLanguage),ColumnAbbreviation,FALSE),"")</f>
        <v/>
      </c>
      <c r="CB194" s="21" t="str">
        <f ca="1">IFERROR(VLOOKUP(AR194,OFFSET(abbreviation[],0,ColumnLanguage),ColumnAbbreviation,FALSE),"")</f>
        <v/>
      </c>
      <c r="CC194" s="21" t="str">
        <f ca="1">IFERROR(VLOOKUP(AT194,OFFSET(abbreviation[],0,ColumnLanguage),ColumnAbbreviation,FALSE),"")</f>
        <v/>
      </c>
      <c r="CD194" s="21" t="str">
        <f ca="1">IFERROR(VLOOKUP(AV194,OFFSET(abbreviation[],0,ColumnLanguage),ColumnAbbreviation,FALSE),"")</f>
        <v/>
      </c>
      <c r="CE194" s="21" t="str">
        <f t="shared" ca="1" si="17"/>
        <v>__</v>
      </c>
      <c r="CF194" s="21" t="str">
        <f ca="1">IFERROR(VLOOKUP(AX194,OFFSET(abbreviation[],0,ColumnLanguage),ColumnAbbreviation,FALSE),"")</f>
        <v/>
      </c>
      <c r="CG194" s="21" t="str">
        <f ca="1">IFERROR(VLOOKUP(AZ194,OFFSET(abbreviation[],0,ColumnLanguage),ColumnAbbreviation,FALSE),"")</f>
        <v/>
      </c>
      <c r="CH194" s="21" t="str">
        <f ca="1">IFERROR(VLOOKUP(BB194,OFFSET(abbreviation[],0,ColumnLanguage),ColumnAbbreviation,FALSE),"")</f>
        <v/>
      </c>
      <c r="CI194" s="21" t="str">
        <f ca="1">IFERROR(VLOOKUP(BD194,OFFSET(abbreviation[],0,ColumnLanguage),ColumnAbbreviation,FALSE),"")</f>
        <v/>
      </c>
      <c r="CJ194" s="21" t="str">
        <f ca="1">IFERROR(VLOOKUP(BF194,OFFSET(abbreviation[],0,ColumnLanguage),ColumnAbbreviation,FALSE),"")</f>
        <v/>
      </c>
      <c r="CK194" s="21" t="str">
        <f t="shared" ca="1" si="18"/>
        <v/>
      </c>
      <c r="CL194" s="21" t="str">
        <f t="shared" si="19"/>
        <v/>
      </c>
      <c r="CM194" s="52"/>
      <c r="CN194" s="57" t="str">
        <f t="shared" si="20"/>
        <v/>
      </c>
    </row>
    <row r="195" spans="14:92" x14ac:dyDescent="0.25">
      <c r="N195" s="58"/>
      <c r="P195" s="60"/>
      <c r="Q195" s="13"/>
      <c r="V195" s="60"/>
      <c r="X195" s="61"/>
      <c r="AB195" s="60"/>
      <c r="AN195" s="54"/>
      <c r="AS195" s="15"/>
      <c r="BH195" s="52"/>
      <c r="BI195" s="21" t="str">
        <f ca="1">IFERROR(VLOOKUP(C195,OFFSET(abbreviation[],0,ColumnLanguage),ColumnAbbreviation,FALSE),"")</f>
        <v/>
      </c>
      <c r="BJ195" s="21" t="str">
        <f ca="1">IFERROR(VLOOKUP(E195,OFFSET(abbreviation[],0,ColumnLanguage),ColumnAbbreviation,FALSE),"")</f>
        <v/>
      </c>
      <c r="BK195" s="21" t="str">
        <f ca="1">IFERROR(VLOOKUP(G195,OFFSET(abbreviation[],0,ColumnLanguage),ColumnAbbreviation,FALSE),"")</f>
        <v/>
      </c>
      <c r="BL195" s="21" t="str">
        <f ca="1">IFERROR(VLOOKUP(I195,OFFSET(abbreviation[],0,ColumnLanguage),ColumnAbbreviation,FALSE),"")</f>
        <v/>
      </c>
      <c r="BM195" s="21" t="str">
        <f ca="1">IFERROR(VLOOKUP(K195,OFFSET(abbreviation[],0,ColumnLanguage),ColumnAbbreviation,FALSE),"")</f>
        <v/>
      </c>
      <c r="BN195" s="21" t="str">
        <f t="shared" ca="1" si="14"/>
        <v/>
      </c>
      <c r="BO195" s="21" t="str">
        <f ca="1">IFERROR(VLOOKUP(N195,OFFSET(abbreviation[],0,ColumnLanguage),ColumnAbbreviation,FALSE),"")</f>
        <v/>
      </c>
      <c r="BP195" s="21" t="str">
        <f ca="1">IFERROR(VLOOKUP(P195,OFFSET(abbreviation[],0,ColumnLanguage),ColumnAbbreviation,FALSE),"")</f>
        <v/>
      </c>
      <c r="BQ195" s="21" t="str">
        <f ca="1">IFERROR(VLOOKUP(T195,OFFSET(abbreviation[],0,ColumnLanguage),ColumnAbbreviation,FALSE),"")</f>
        <v/>
      </c>
      <c r="BR195" s="21" t="str">
        <f ca="1">IFERROR(VLOOKUP(V195,OFFSET(abbreviation[],0,ColumnLanguage),ColumnAbbreviation,FALSE),"")</f>
        <v/>
      </c>
      <c r="BS195" s="21" t="str">
        <f ca="1">IFERROR(VLOOKUP(Z195,OFFSET(abbreviation[],0,ColumnLanguage),ColumnAbbreviation,FALSE),"")</f>
        <v/>
      </c>
      <c r="BT195" s="21" t="str">
        <f ca="1">IFERROR(VLOOKUP(AB195,OFFSET(abbreviation[],0,ColumnLanguage),ColumnAbbreviation,FALSE),"")</f>
        <v/>
      </c>
      <c r="BU195" s="21" t="str">
        <f t="shared" ca="1" si="15"/>
        <v>__</v>
      </c>
      <c r="BV195" s="21" t="str">
        <f ca="1">IFERROR(VLOOKUP(AF195,OFFSET(abbreviation[],0,ColumnLanguage),ColumnAbbreviation,FALSE),"")</f>
        <v/>
      </c>
      <c r="BW195" s="21" t="str">
        <f ca="1">IFERROR(VLOOKUP(AH195,OFFSET(abbreviation[],0,ColumnLanguage),ColumnAbbreviation,FALSE),"")</f>
        <v/>
      </c>
      <c r="BX195" s="21" t="str">
        <f ca="1">IFERROR(VLOOKUP(AJ195,OFFSET(abbreviation[],0,ColumnLanguage),ColumnAbbreviation,FALSE),"")</f>
        <v/>
      </c>
      <c r="BY195" s="21" t="str">
        <f ca="1">IFERROR(VLOOKUP(AL195,OFFSET(abbreviation[],0,ColumnLanguage),ColumnAbbreviation,FALSE),"")</f>
        <v/>
      </c>
      <c r="BZ195" s="21" t="str">
        <f t="shared" ca="1" si="16"/>
        <v>_</v>
      </c>
      <c r="CA195" s="21" t="str">
        <f ca="1">IFERROR(VLOOKUP(AP195,OFFSET(abbreviation[],0,ColumnLanguage),ColumnAbbreviation,FALSE),"")</f>
        <v/>
      </c>
      <c r="CB195" s="21" t="str">
        <f ca="1">IFERROR(VLOOKUP(AR195,OFFSET(abbreviation[],0,ColumnLanguage),ColumnAbbreviation,FALSE),"")</f>
        <v/>
      </c>
      <c r="CC195" s="21" t="str">
        <f ca="1">IFERROR(VLOOKUP(AT195,OFFSET(abbreviation[],0,ColumnLanguage),ColumnAbbreviation,FALSE),"")</f>
        <v/>
      </c>
      <c r="CD195" s="21" t="str">
        <f ca="1">IFERROR(VLOOKUP(AV195,OFFSET(abbreviation[],0,ColumnLanguage),ColumnAbbreviation,FALSE),"")</f>
        <v/>
      </c>
      <c r="CE195" s="21" t="str">
        <f t="shared" ca="1" si="17"/>
        <v>__</v>
      </c>
      <c r="CF195" s="21" t="str">
        <f ca="1">IFERROR(VLOOKUP(AX195,OFFSET(abbreviation[],0,ColumnLanguage),ColumnAbbreviation,FALSE),"")</f>
        <v/>
      </c>
      <c r="CG195" s="21" t="str">
        <f ca="1">IFERROR(VLOOKUP(AZ195,OFFSET(abbreviation[],0,ColumnLanguage),ColumnAbbreviation,FALSE),"")</f>
        <v/>
      </c>
      <c r="CH195" s="21" t="str">
        <f ca="1">IFERROR(VLOOKUP(BB195,OFFSET(abbreviation[],0,ColumnLanguage),ColumnAbbreviation,FALSE),"")</f>
        <v/>
      </c>
      <c r="CI195" s="21" t="str">
        <f ca="1">IFERROR(VLOOKUP(BD195,OFFSET(abbreviation[],0,ColumnLanguage),ColumnAbbreviation,FALSE),"")</f>
        <v/>
      </c>
      <c r="CJ195" s="21" t="str">
        <f ca="1">IFERROR(VLOOKUP(BF195,OFFSET(abbreviation[],0,ColumnLanguage),ColumnAbbreviation,FALSE),"")</f>
        <v/>
      </c>
      <c r="CK195" s="21" t="str">
        <f t="shared" ca="1" si="18"/>
        <v/>
      </c>
      <c r="CL195" s="21" t="str">
        <f t="shared" si="19"/>
        <v/>
      </c>
      <c r="CM195" s="52"/>
      <c r="CN195" s="57" t="str">
        <f t="shared" si="20"/>
        <v/>
      </c>
    </row>
    <row r="196" spans="14:92" x14ac:dyDescent="0.25">
      <c r="N196" s="58"/>
      <c r="P196" s="60"/>
      <c r="Q196" s="13"/>
      <c r="V196" s="60"/>
      <c r="X196" s="61"/>
      <c r="AB196" s="60"/>
      <c r="AN196" s="54"/>
      <c r="AS196" s="15"/>
      <c r="BH196" s="52"/>
      <c r="BI196" s="21" t="str">
        <f ca="1">IFERROR(VLOOKUP(C196,OFFSET(abbreviation[],0,ColumnLanguage),ColumnAbbreviation,FALSE),"")</f>
        <v/>
      </c>
      <c r="BJ196" s="21" t="str">
        <f ca="1">IFERROR(VLOOKUP(E196,OFFSET(abbreviation[],0,ColumnLanguage),ColumnAbbreviation,FALSE),"")</f>
        <v/>
      </c>
      <c r="BK196" s="21" t="str">
        <f ca="1">IFERROR(VLOOKUP(G196,OFFSET(abbreviation[],0,ColumnLanguage),ColumnAbbreviation,FALSE),"")</f>
        <v/>
      </c>
      <c r="BL196" s="21" t="str">
        <f ca="1">IFERROR(VLOOKUP(I196,OFFSET(abbreviation[],0,ColumnLanguage),ColumnAbbreviation,FALSE),"")</f>
        <v/>
      </c>
      <c r="BM196" s="21" t="str">
        <f ca="1">IFERROR(VLOOKUP(K196,OFFSET(abbreviation[],0,ColumnLanguage),ColumnAbbreviation,FALSE),"")</f>
        <v/>
      </c>
      <c r="BN196" s="21" t="str">
        <f t="shared" ref="BN196:BN259" ca="1" si="21">(BI196&amp;IF(OR(ISNUMBER(D196),ISTEXT(D196)),"-"&amp;D196,))&amp;(IF(ISTEXT(E196),"_",)&amp;BJ196&amp;IF(OR(ISNUMBER(F196),ISTEXT(F196)),"-"&amp;F196,))&amp;(IF(ISTEXT(G196),"_",)&amp;BK196&amp;IF(OR(ISNUMBER(H196),ISTEXT(H196)),"-"&amp;H196,))&amp;(IF(ISTEXT(I196),"_",)&amp;BL196&amp;IF(OR(ISNUMBER(J196),ISTEXT(J196)),"-"&amp;J196,))&amp;(IF(ISTEXT(K196),"_",)&amp;BM196&amp;IF(OR(ISNUMBER(L196),ISTEXT(L196)),"-"&amp;L196,)&amp;IF(AND(ISTEXT(BI196),BI196&lt;&gt;""),"_._",))</f>
        <v/>
      </c>
      <c r="BO196" s="21" t="str">
        <f ca="1">IFERROR(VLOOKUP(N196,OFFSET(abbreviation[],0,ColumnLanguage),ColumnAbbreviation,FALSE),"")</f>
        <v/>
      </c>
      <c r="BP196" s="21" t="str">
        <f ca="1">IFERROR(VLOOKUP(P196,OFFSET(abbreviation[],0,ColumnLanguage),ColumnAbbreviation,FALSE),"")</f>
        <v/>
      </c>
      <c r="BQ196" s="21" t="str">
        <f ca="1">IFERROR(VLOOKUP(T196,OFFSET(abbreviation[],0,ColumnLanguage),ColumnAbbreviation,FALSE),"")</f>
        <v/>
      </c>
      <c r="BR196" s="21" t="str">
        <f ca="1">IFERROR(VLOOKUP(V196,OFFSET(abbreviation[],0,ColumnLanguage),ColumnAbbreviation,FALSE),"")</f>
        <v/>
      </c>
      <c r="BS196" s="21" t="str">
        <f ca="1">IFERROR(VLOOKUP(Z196,OFFSET(abbreviation[],0,ColumnLanguage),ColumnAbbreviation,FALSE),"")</f>
        <v/>
      </c>
      <c r="BT196" s="21" t="str">
        <f ca="1">IFERROR(VLOOKUP(AB196,OFFSET(abbreviation[],0,ColumnLanguage),ColumnAbbreviation,FALSE),"")</f>
        <v/>
      </c>
      <c r="BU196" s="21" t="str">
        <f t="shared" ref="BU196:BU259" ca="1" si="22">(BO196&amp;IF(ISTEXT(P196),"."&amp;BP196,)&amp;IF(OR(ISTEXT(R196),ISNUMBER(R196)),"-"&amp;R196,))&amp;("_"&amp;BQ196&amp;IF(ISTEXT(V196),"."&amp;BR196,)&amp;IF(OR(ISTEXT(X196),ISNUMBER(X196)),"-"&amp;X196,))&amp;("_"&amp;BS196&amp;IF(ISTEXT(AB196),"."&amp;BT196,)&amp;IF(OR(ISTEXT(AD196),ISNUMBER(AD196)),"-"&amp;AD196,))</f>
        <v>__</v>
      </c>
      <c r="BV196" s="21" t="str">
        <f ca="1">IFERROR(VLOOKUP(AF196,OFFSET(abbreviation[],0,ColumnLanguage),ColumnAbbreviation,FALSE),"")</f>
        <v/>
      </c>
      <c r="BW196" s="21" t="str">
        <f ca="1">IFERROR(VLOOKUP(AH196,OFFSET(abbreviation[],0,ColumnLanguage),ColumnAbbreviation,FALSE),"")</f>
        <v/>
      </c>
      <c r="BX196" s="21" t="str">
        <f ca="1">IFERROR(VLOOKUP(AJ196,OFFSET(abbreviation[],0,ColumnLanguage),ColumnAbbreviation,FALSE),"")</f>
        <v/>
      </c>
      <c r="BY196" s="21" t="str">
        <f ca="1">IFERROR(VLOOKUP(AL196,OFFSET(abbreviation[],0,ColumnLanguage),ColumnAbbreviation,FALSE),"")</f>
        <v/>
      </c>
      <c r="BZ196" s="21" t="str">
        <f t="shared" ref="BZ196:BZ259" ca="1" si="23">("_"&amp;BV196&amp;IF(ISTEXT(AH196),"."&amp;BW196,)&amp;IF(ISTEXT(AJ196),"."&amp;BX196,)&amp;IF(ISTEXT(AL196),"."&amp;BY196,)&amp;IF(OR(ISTEXT(AN196),ISNUMBER(AN196)),"-"&amp;AN196,))</f>
        <v>_</v>
      </c>
      <c r="CA196" s="21" t="str">
        <f ca="1">IFERROR(VLOOKUP(AP196,OFFSET(abbreviation[],0,ColumnLanguage),ColumnAbbreviation,FALSE),"")</f>
        <v/>
      </c>
      <c r="CB196" s="21" t="str">
        <f ca="1">IFERROR(VLOOKUP(AR196,OFFSET(abbreviation[],0,ColumnLanguage),ColumnAbbreviation,FALSE),"")</f>
        <v/>
      </c>
      <c r="CC196" s="21" t="str">
        <f ca="1">IFERROR(VLOOKUP(AT196,OFFSET(abbreviation[],0,ColumnLanguage),ColumnAbbreviation,FALSE),"")</f>
        <v/>
      </c>
      <c r="CD196" s="21" t="str">
        <f ca="1">IFERROR(VLOOKUP(AV196,OFFSET(abbreviation[],0,ColumnLanguage),ColumnAbbreviation,FALSE),"")</f>
        <v/>
      </c>
      <c r="CE196" s="21" t="str">
        <f t="shared" ref="CE196:CE259" ca="1" si="24">("_"&amp;CA196&amp;IF(ISTEXT(AR196),"."&amp;CB196,)&amp;IF(ISTEXT(AT196),"."&amp;CC196,))&amp;"_"&amp;CD196</f>
        <v>__</v>
      </c>
      <c r="CF196" s="21" t="str">
        <f ca="1">IFERROR(VLOOKUP(AX196,OFFSET(abbreviation[],0,ColumnLanguage),ColumnAbbreviation,FALSE),"")</f>
        <v/>
      </c>
      <c r="CG196" s="21" t="str">
        <f ca="1">IFERROR(VLOOKUP(AZ196,OFFSET(abbreviation[],0,ColumnLanguage),ColumnAbbreviation,FALSE),"")</f>
        <v/>
      </c>
      <c r="CH196" s="21" t="str">
        <f ca="1">IFERROR(VLOOKUP(BB196,OFFSET(abbreviation[],0,ColumnLanguage),ColumnAbbreviation,FALSE),"")</f>
        <v/>
      </c>
      <c r="CI196" s="21" t="str">
        <f ca="1">IFERROR(VLOOKUP(BD196,OFFSET(abbreviation[],0,ColumnLanguage),ColumnAbbreviation,FALSE),"")</f>
        <v/>
      </c>
      <c r="CJ196" s="21" t="str">
        <f ca="1">IFERROR(VLOOKUP(BF196,OFFSET(abbreviation[],0,ColumnLanguage),ColumnAbbreviation,FALSE),"")</f>
        <v/>
      </c>
      <c r="CK196" s="21" t="str">
        <f t="shared" ref="CK196:CK259" ca="1" si="25">(IF(ISTEXT(AX196),"_._",""))&amp;(IF(ISTEXT(AX196),"_",)&amp;CF196&amp;IF(OR(ISNUMBER(AY196),ISTEXT(AY196)),"-"&amp;AY196,))&amp;(IF(ISTEXT(AZ196),"_",)&amp;CG196&amp;IF(OR(ISNUMBER(BA196),ISTEXT(BA196)),"-"&amp;BA196,))&amp;(IF(ISTEXT(BB196),"_",)&amp;CH196&amp;IF(OR(ISNUMBER(BC196),ISTEXT(BC196)),"-"&amp;BC196,))&amp;(IF(ISTEXT(BD196),"_",)&amp;CI196&amp;IF(OR(ISNUMBER(BE196),ISTEXT(BE196)),"-"&amp;BE196,))&amp;(IF(ISTEXT(BF196),"_",)&amp;CJ196&amp;IF(OR(ISNUMBER(BG196),ISTEXT(BG196)),"-"&amp;BG196,))</f>
        <v/>
      </c>
      <c r="CL196" s="21" t="str">
        <f t="shared" ref="CL196:CL259" si="26">IF(OR(N196&lt;&gt;"",T196&lt;&gt;"",C196&lt;&gt;"",A196&lt;&gt;""),(BN196&amp;BU196&amp;BZ196&amp;CE196&amp;CK196),"")</f>
        <v/>
      </c>
      <c r="CM196" s="52"/>
      <c r="CN196" s="57" t="str">
        <f t="shared" ref="CN196:CN259" si="27">CL196</f>
        <v/>
      </c>
    </row>
    <row r="197" spans="14:92" x14ac:dyDescent="0.25">
      <c r="N197" s="58"/>
      <c r="P197" s="60"/>
      <c r="Q197" s="13"/>
      <c r="V197" s="60"/>
      <c r="X197" s="61"/>
      <c r="AB197" s="60"/>
      <c r="AN197" s="54"/>
      <c r="AS197" s="15"/>
      <c r="BH197" s="52"/>
      <c r="BI197" s="21" t="str">
        <f ca="1">IFERROR(VLOOKUP(C197,OFFSET(abbreviation[],0,ColumnLanguage),ColumnAbbreviation,FALSE),"")</f>
        <v/>
      </c>
      <c r="BJ197" s="21" t="str">
        <f ca="1">IFERROR(VLOOKUP(E197,OFFSET(abbreviation[],0,ColumnLanguage),ColumnAbbreviation,FALSE),"")</f>
        <v/>
      </c>
      <c r="BK197" s="21" t="str">
        <f ca="1">IFERROR(VLOOKUP(G197,OFFSET(abbreviation[],0,ColumnLanguage),ColumnAbbreviation,FALSE),"")</f>
        <v/>
      </c>
      <c r="BL197" s="21" t="str">
        <f ca="1">IFERROR(VLOOKUP(I197,OFFSET(abbreviation[],0,ColumnLanguage),ColumnAbbreviation,FALSE),"")</f>
        <v/>
      </c>
      <c r="BM197" s="21" t="str">
        <f ca="1">IFERROR(VLOOKUP(K197,OFFSET(abbreviation[],0,ColumnLanguage),ColumnAbbreviation,FALSE),"")</f>
        <v/>
      </c>
      <c r="BN197" s="21" t="str">
        <f t="shared" ca="1" si="21"/>
        <v/>
      </c>
      <c r="BO197" s="21" t="str">
        <f ca="1">IFERROR(VLOOKUP(N197,OFFSET(abbreviation[],0,ColumnLanguage),ColumnAbbreviation,FALSE),"")</f>
        <v/>
      </c>
      <c r="BP197" s="21" t="str">
        <f ca="1">IFERROR(VLOOKUP(P197,OFFSET(abbreviation[],0,ColumnLanguage),ColumnAbbreviation,FALSE),"")</f>
        <v/>
      </c>
      <c r="BQ197" s="21" t="str">
        <f ca="1">IFERROR(VLOOKUP(T197,OFFSET(abbreviation[],0,ColumnLanguage),ColumnAbbreviation,FALSE),"")</f>
        <v/>
      </c>
      <c r="BR197" s="21" t="str">
        <f ca="1">IFERROR(VLOOKUP(V197,OFFSET(abbreviation[],0,ColumnLanguage),ColumnAbbreviation,FALSE),"")</f>
        <v/>
      </c>
      <c r="BS197" s="21" t="str">
        <f ca="1">IFERROR(VLOOKUP(Z197,OFFSET(abbreviation[],0,ColumnLanguage),ColumnAbbreviation,FALSE),"")</f>
        <v/>
      </c>
      <c r="BT197" s="21" t="str">
        <f ca="1">IFERROR(VLOOKUP(AB197,OFFSET(abbreviation[],0,ColumnLanguage),ColumnAbbreviation,FALSE),"")</f>
        <v/>
      </c>
      <c r="BU197" s="21" t="str">
        <f t="shared" ca="1" si="22"/>
        <v>__</v>
      </c>
      <c r="BV197" s="21" t="str">
        <f ca="1">IFERROR(VLOOKUP(AF197,OFFSET(abbreviation[],0,ColumnLanguage),ColumnAbbreviation,FALSE),"")</f>
        <v/>
      </c>
      <c r="BW197" s="21" t="str">
        <f ca="1">IFERROR(VLOOKUP(AH197,OFFSET(abbreviation[],0,ColumnLanguage),ColumnAbbreviation,FALSE),"")</f>
        <v/>
      </c>
      <c r="BX197" s="21" t="str">
        <f ca="1">IFERROR(VLOOKUP(AJ197,OFFSET(abbreviation[],0,ColumnLanguage),ColumnAbbreviation,FALSE),"")</f>
        <v/>
      </c>
      <c r="BY197" s="21" t="str">
        <f ca="1">IFERROR(VLOOKUP(AL197,OFFSET(abbreviation[],0,ColumnLanguage),ColumnAbbreviation,FALSE),"")</f>
        <v/>
      </c>
      <c r="BZ197" s="21" t="str">
        <f t="shared" ca="1" si="23"/>
        <v>_</v>
      </c>
      <c r="CA197" s="21" t="str">
        <f ca="1">IFERROR(VLOOKUP(AP197,OFFSET(abbreviation[],0,ColumnLanguage),ColumnAbbreviation,FALSE),"")</f>
        <v/>
      </c>
      <c r="CB197" s="21" t="str">
        <f ca="1">IFERROR(VLOOKUP(AR197,OFFSET(abbreviation[],0,ColumnLanguage),ColumnAbbreviation,FALSE),"")</f>
        <v/>
      </c>
      <c r="CC197" s="21" t="str">
        <f ca="1">IFERROR(VLOOKUP(AT197,OFFSET(abbreviation[],0,ColumnLanguage),ColumnAbbreviation,FALSE),"")</f>
        <v/>
      </c>
      <c r="CD197" s="21" t="str">
        <f ca="1">IFERROR(VLOOKUP(AV197,OFFSET(abbreviation[],0,ColumnLanguage),ColumnAbbreviation,FALSE),"")</f>
        <v/>
      </c>
      <c r="CE197" s="21" t="str">
        <f t="shared" ca="1" si="24"/>
        <v>__</v>
      </c>
      <c r="CF197" s="21" t="str">
        <f ca="1">IFERROR(VLOOKUP(AX197,OFFSET(abbreviation[],0,ColumnLanguage),ColumnAbbreviation,FALSE),"")</f>
        <v/>
      </c>
      <c r="CG197" s="21" t="str">
        <f ca="1">IFERROR(VLOOKUP(AZ197,OFFSET(abbreviation[],0,ColumnLanguage),ColumnAbbreviation,FALSE),"")</f>
        <v/>
      </c>
      <c r="CH197" s="21" t="str">
        <f ca="1">IFERROR(VLOOKUP(BB197,OFFSET(abbreviation[],0,ColumnLanguage),ColumnAbbreviation,FALSE),"")</f>
        <v/>
      </c>
      <c r="CI197" s="21" t="str">
        <f ca="1">IFERROR(VLOOKUP(BD197,OFFSET(abbreviation[],0,ColumnLanguage),ColumnAbbreviation,FALSE),"")</f>
        <v/>
      </c>
      <c r="CJ197" s="21" t="str">
        <f ca="1">IFERROR(VLOOKUP(BF197,OFFSET(abbreviation[],0,ColumnLanguage),ColumnAbbreviation,FALSE),"")</f>
        <v/>
      </c>
      <c r="CK197" s="21" t="str">
        <f t="shared" ca="1" si="25"/>
        <v/>
      </c>
      <c r="CL197" s="21" t="str">
        <f t="shared" si="26"/>
        <v/>
      </c>
      <c r="CM197" s="52"/>
      <c r="CN197" s="57" t="str">
        <f t="shared" si="27"/>
        <v/>
      </c>
    </row>
    <row r="198" spans="14:92" x14ac:dyDescent="0.25">
      <c r="N198" s="58"/>
      <c r="P198" s="60"/>
      <c r="Q198" s="13"/>
      <c r="V198" s="60"/>
      <c r="X198" s="61"/>
      <c r="AB198" s="60"/>
      <c r="AN198" s="54"/>
      <c r="AS198" s="15"/>
      <c r="BH198" s="52"/>
      <c r="BI198" s="21" t="str">
        <f ca="1">IFERROR(VLOOKUP(C198,OFFSET(abbreviation[],0,ColumnLanguage),ColumnAbbreviation,FALSE),"")</f>
        <v/>
      </c>
      <c r="BJ198" s="21" t="str">
        <f ca="1">IFERROR(VLOOKUP(E198,OFFSET(abbreviation[],0,ColumnLanguage),ColumnAbbreviation,FALSE),"")</f>
        <v/>
      </c>
      <c r="BK198" s="21" t="str">
        <f ca="1">IFERROR(VLOOKUP(G198,OFFSET(abbreviation[],0,ColumnLanguage),ColumnAbbreviation,FALSE),"")</f>
        <v/>
      </c>
      <c r="BL198" s="21" t="str">
        <f ca="1">IFERROR(VLOOKUP(I198,OFFSET(abbreviation[],0,ColumnLanguage),ColumnAbbreviation,FALSE),"")</f>
        <v/>
      </c>
      <c r="BM198" s="21" t="str">
        <f ca="1">IFERROR(VLOOKUP(K198,OFFSET(abbreviation[],0,ColumnLanguage),ColumnAbbreviation,FALSE),"")</f>
        <v/>
      </c>
      <c r="BN198" s="21" t="str">
        <f t="shared" ca="1" si="21"/>
        <v/>
      </c>
      <c r="BO198" s="21" t="str">
        <f ca="1">IFERROR(VLOOKUP(N198,OFFSET(abbreviation[],0,ColumnLanguage),ColumnAbbreviation,FALSE),"")</f>
        <v/>
      </c>
      <c r="BP198" s="21" t="str">
        <f ca="1">IFERROR(VLOOKUP(P198,OFFSET(abbreviation[],0,ColumnLanguage),ColumnAbbreviation,FALSE),"")</f>
        <v/>
      </c>
      <c r="BQ198" s="21" t="str">
        <f ca="1">IFERROR(VLOOKUP(T198,OFFSET(abbreviation[],0,ColumnLanguage),ColumnAbbreviation,FALSE),"")</f>
        <v/>
      </c>
      <c r="BR198" s="21" t="str">
        <f ca="1">IFERROR(VLOOKUP(V198,OFFSET(abbreviation[],0,ColumnLanguage),ColumnAbbreviation,FALSE),"")</f>
        <v/>
      </c>
      <c r="BS198" s="21" t="str">
        <f ca="1">IFERROR(VLOOKUP(Z198,OFFSET(abbreviation[],0,ColumnLanguage),ColumnAbbreviation,FALSE),"")</f>
        <v/>
      </c>
      <c r="BT198" s="21" t="str">
        <f ca="1">IFERROR(VLOOKUP(AB198,OFFSET(abbreviation[],0,ColumnLanguage),ColumnAbbreviation,FALSE),"")</f>
        <v/>
      </c>
      <c r="BU198" s="21" t="str">
        <f t="shared" ca="1" si="22"/>
        <v>__</v>
      </c>
      <c r="BV198" s="21" t="str">
        <f ca="1">IFERROR(VLOOKUP(AF198,OFFSET(abbreviation[],0,ColumnLanguage),ColumnAbbreviation,FALSE),"")</f>
        <v/>
      </c>
      <c r="BW198" s="21" t="str">
        <f ca="1">IFERROR(VLOOKUP(AH198,OFFSET(abbreviation[],0,ColumnLanguage),ColumnAbbreviation,FALSE),"")</f>
        <v/>
      </c>
      <c r="BX198" s="21" t="str">
        <f ca="1">IFERROR(VLOOKUP(AJ198,OFFSET(abbreviation[],0,ColumnLanguage),ColumnAbbreviation,FALSE),"")</f>
        <v/>
      </c>
      <c r="BY198" s="21" t="str">
        <f ca="1">IFERROR(VLOOKUP(AL198,OFFSET(abbreviation[],0,ColumnLanguage),ColumnAbbreviation,FALSE),"")</f>
        <v/>
      </c>
      <c r="BZ198" s="21" t="str">
        <f t="shared" ca="1" si="23"/>
        <v>_</v>
      </c>
      <c r="CA198" s="21" t="str">
        <f ca="1">IFERROR(VLOOKUP(AP198,OFFSET(abbreviation[],0,ColumnLanguage),ColumnAbbreviation,FALSE),"")</f>
        <v/>
      </c>
      <c r="CB198" s="21" t="str">
        <f ca="1">IFERROR(VLOOKUP(AR198,OFFSET(abbreviation[],0,ColumnLanguage),ColumnAbbreviation,FALSE),"")</f>
        <v/>
      </c>
      <c r="CC198" s="21" t="str">
        <f ca="1">IFERROR(VLOOKUP(AT198,OFFSET(abbreviation[],0,ColumnLanguage),ColumnAbbreviation,FALSE),"")</f>
        <v/>
      </c>
      <c r="CD198" s="21" t="str">
        <f ca="1">IFERROR(VLOOKUP(AV198,OFFSET(abbreviation[],0,ColumnLanguage),ColumnAbbreviation,FALSE),"")</f>
        <v/>
      </c>
      <c r="CE198" s="21" t="str">
        <f t="shared" ca="1" si="24"/>
        <v>__</v>
      </c>
      <c r="CF198" s="21" t="str">
        <f ca="1">IFERROR(VLOOKUP(AX198,OFFSET(abbreviation[],0,ColumnLanguage),ColumnAbbreviation,FALSE),"")</f>
        <v/>
      </c>
      <c r="CG198" s="21" t="str">
        <f ca="1">IFERROR(VLOOKUP(AZ198,OFFSET(abbreviation[],0,ColumnLanguage),ColumnAbbreviation,FALSE),"")</f>
        <v/>
      </c>
      <c r="CH198" s="21" t="str">
        <f ca="1">IFERROR(VLOOKUP(BB198,OFFSET(abbreviation[],0,ColumnLanguage),ColumnAbbreviation,FALSE),"")</f>
        <v/>
      </c>
      <c r="CI198" s="21" t="str">
        <f ca="1">IFERROR(VLOOKUP(BD198,OFFSET(abbreviation[],0,ColumnLanguage),ColumnAbbreviation,FALSE),"")</f>
        <v/>
      </c>
      <c r="CJ198" s="21" t="str">
        <f ca="1">IFERROR(VLOOKUP(BF198,OFFSET(abbreviation[],0,ColumnLanguage),ColumnAbbreviation,FALSE),"")</f>
        <v/>
      </c>
      <c r="CK198" s="21" t="str">
        <f t="shared" ca="1" si="25"/>
        <v/>
      </c>
      <c r="CL198" s="21" t="str">
        <f t="shared" si="26"/>
        <v/>
      </c>
      <c r="CM198" s="52"/>
      <c r="CN198" s="57" t="str">
        <f t="shared" si="27"/>
        <v/>
      </c>
    </row>
    <row r="199" spans="14:92" x14ac:dyDescent="0.25">
      <c r="N199" s="58"/>
      <c r="P199" s="60"/>
      <c r="Q199" s="13"/>
      <c r="V199" s="60"/>
      <c r="X199" s="61"/>
      <c r="AB199" s="60"/>
      <c r="AN199" s="54"/>
      <c r="AS199" s="15"/>
      <c r="BH199" s="52"/>
      <c r="BI199" s="21" t="str">
        <f ca="1">IFERROR(VLOOKUP(C199,OFFSET(abbreviation[],0,ColumnLanguage),ColumnAbbreviation,FALSE),"")</f>
        <v/>
      </c>
      <c r="BJ199" s="21" t="str">
        <f ca="1">IFERROR(VLOOKUP(E199,OFFSET(abbreviation[],0,ColumnLanguage),ColumnAbbreviation,FALSE),"")</f>
        <v/>
      </c>
      <c r="BK199" s="21" t="str">
        <f ca="1">IFERROR(VLOOKUP(G199,OFFSET(abbreviation[],0,ColumnLanguage),ColumnAbbreviation,FALSE),"")</f>
        <v/>
      </c>
      <c r="BL199" s="21" t="str">
        <f ca="1">IFERROR(VLOOKUP(I199,OFFSET(abbreviation[],0,ColumnLanguage),ColumnAbbreviation,FALSE),"")</f>
        <v/>
      </c>
      <c r="BM199" s="21" t="str">
        <f ca="1">IFERROR(VLOOKUP(K199,OFFSET(abbreviation[],0,ColumnLanguage),ColumnAbbreviation,FALSE),"")</f>
        <v/>
      </c>
      <c r="BN199" s="21" t="str">
        <f t="shared" ca="1" si="21"/>
        <v/>
      </c>
      <c r="BO199" s="21" t="str">
        <f ca="1">IFERROR(VLOOKUP(N199,OFFSET(abbreviation[],0,ColumnLanguage),ColumnAbbreviation,FALSE),"")</f>
        <v/>
      </c>
      <c r="BP199" s="21" t="str">
        <f ca="1">IFERROR(VLOOKUP(P199,OFFSET(abbreviation[],0,ColumnLanguage),ColumnAbbreviation,FALSE),"")</f>
        <v/>
      </c>
      <c r="BQ199" s="21" t="str">
        <f ca="1">IFERROR(VLOOKUP(T199,OFFSET(abbreviation[],0,ColumnLanguage),ColumnAbbreviation,FALSE),"")</f>
        <v/>
      </c>
      <c r="BR199" s="21" t="str">
        <f ca="1">IFERROR(VLOOKUP(V199,OFFSET(abbreviation[],0,ColumnLanguage),ColumnAbbreviation,FALSE),"")</f>
        <v/>
      </c>
      <c r="BS199" s="21" t="str">
        <f ca="1">IFERROR(VLOOKUP(Z199,OFFSET(abbreviation[],0,ColumnLanguage),ColumnAbbreviation,FALSE),"")</f>
        <v/>
      </c>
      <c r="BT199" s="21" t="str">
        <f ca="1">IFERROR(VLOOKUP(AB199,OFFSET(abbreviation[],0,ColumnLanguage),ColumnAbbreviation,FALSE),"")</f>
        <v/>
      </c>
      <c r="BU199" s="21" t="str">
        <f t="shared" ca="1" si="22"/>
        <v>__</v>
      </c>
      <c r="BV199" s="21" t="str">
        <f ca="1">IFERROR(VLOOKUP(AF199,OFFSET(abbreviation[],0,ColumnLanguage),ColumnAbbreviation,FALSE),"")</f>
        <v/>
      </c>
      <c r="BW199" s="21" t="str">
        <f ca="1">IFERROR(VLOOKUP(AH199,OFFSET(abbreviation[],0,ColumnLanguage),ColumnAbbreviation,FALSE),"")</f>
        <v/>
      </c>
      <c r="BX199" s="21" t="str">
        <f ca="1">IFERROR(VLOOKUP(AJ199,OFFSET(abbreviation[],0,ColumnLanguage),ColumnAbbreviation,FALSE),"")</f>
        <v/>
      </c>
      <c r="BY199" s="21" t="str">
        <f ca="1">IFERROR(VLOOKUP(AL199,OFFSET(abbreviation[],0,ColumnLanguage),ColumnAbbreviation,FALSE),"")</f>
        <v/>
      </c>
      <c r="BZ199" s="21" t="str">
        <f t="shared" ca="1" si="23"/>
        <v>_</v>
      </c>
      <c r="CA199" s="21" t="str">
        <f ca="1">IFERROR(VLOOKUP(AP199,OFFSET(abbreviation[],0,ColumnLanguage),ColumnAbbreviation,FALSE),"")</f>
        <v/>
      </c>
      <c r="CB199" s="21" t="str">
        <f ca="1">IFERROR(VLOOKUP(AR199,OFFSET(abbreviation[],0,ColumnLanguage),ColumnAbbreviation,FALSE),"")</f>
        <v/>
      </c>
      <c r="CC199" s="21" t="str">
        <f ca="1">IFERROR(VLOOKUP(AT199,OFFSET(abbreviation[],0,ColumnLanguage),ColumnAbbreviation,FALSE),"")</f>
        <v/>
      </c>
      <c r="CD199" s="21" t="str">
        <f ca="1">IFERROR(VLOOKUP(AV199,OFFSET(abbreviation[],0,ColumnLanguage),ColumnAbbreviation,FALSE),"")</f>
        <v/>
      </c>
      <c r="CE199" s="21" t="str">
        <f t="shared" ca="1" si="24"/>
        <v>__</v>
      </c>
      <c r="CF199" s="21" t="str">
        <f ca="1">IFERROR(VLOOKUP(AX199,OFFSET(abbreviation[],0,ColumnLanguage),ColumnAbbreviation,FALSE),"")</f>
        <v/>
      </c>
      <c r="CG199" s="21" t="str">
        <f ca="1">IFERROR(VLOOKUP(AZ199,OFFSET(abbreviation[],0,ColumnLanguage),ColumnAbbreviation,FALSE),"")</f>
        <v/>
      </c>
      <c r="CH199" s="21" t="str">
        <f ca="1">IFERROR(VLOOKUP(BB199,OFFSET(abbreviation[],0,ColumnLanguage),ColumnAbbreviation,FALSE),"")</f>
        <v/>
      </c>
      <c r="CI199" s="21" t="str">
        <f ca="1">IFERROR(VLOOKUP(BD199,OFFSET(abbreviation[],0,ColumnLanguage),ColumnAbbreviation,FALSE),"")</f>
        <v/>
      </c>
      <c r="CJ199" s="21" t="str">
        <f ca="1">IFERROR(VLOOKUP(BF199,OFFSET(abbreviation[],0,ColumnLanguage),ColumnAbbreviation,FALSE),"")</f>
        <v/>
      </c>
      <c r="CK199" s="21" t="str">
        <f t="shared" ca="1" si="25"/>
        <v/>
      </c>
      <c r="CL199" s="21" t="str">
        <f t="shared" si="26"/>
        <v/>
      </c>
      <c r="CM199" s="52"/>
      <c r="CN199" s="57" t="str">
        <f t="shared" si="27"/>
        <v/>
      </c>
    </row>
    <row r="200" spans="14:92" x14ac:dyDescent="0.25">
      <c r="N200" s="58"/>
      <c r="P200" s="60"/>
      <c r="Q200" s="13"/>
      <c r="V200" s="60"/>
      <c r="X200" s="61"/>
      <c r="AB200" s="60"/>
      <c r="AN200" s="54"/>
      <c r="AS200" s="15"/>
      <c r="BH200" s="52"/>
      <c r="BI200" s="21" t="str">
        <f ca="1">IFERROR(VLOOKUP(C200,OFFSET(abbreviation[],0,ColumnLanguage),ColumnAbbreviation,FALSE),"")</f>
        <v/>
      </c>
      <c r="BJ200" s="21" t="str">
        <f ca="1">IFERROR(VLOOKUP(E200,OFFSET(abbreviation[],0,ColumnLanguage),ColumnAbbreviation,FALSE),"")</f>
        <v/>
      </c>
      <c r="BK200" s="21" t="str">
        <f ca="1">IFERROR(VLOOKUP(G200,OFFSET(abbreviation[],0,ColumnLanguage),ColumnAbbreviation,FALSE),"")</f>
        <v/>
      </c>
      <c r="BL200" s="21" t="str">
        <f ca="1">IFERROR(VLOOKUP(I200,OFFSET(abbreviation[],0,ColumnLanguage),ColumnAbbreviation,FALSE),"")</f>
        <v/>
      </c>
      <c r="BM200" s="21" t="str">
        <f ca="1">IFERROR(VLOOKUP(K200,OFFSET(abbreviation[],0,ColumnLanguage),ColumnAbbreviation,FALSE),"")</f>
        <v/>
      </c>
      <c r="BN200" s="21" t="str">
        <f t="shared" ca="1" si="21"/>
        <v/>
      </c>
      <c r="BO200" s="21" t="str">
        <f ca="1">IFERROR(VLOOKUP(N200,OFFSET(abbreviation[],0,ColumnLanguage),ColumnAbbreviation,FALSE),"")</f>
        <v/>
      </c>
      <c r="BP200" s="21" t="str">
        <f ca="1">IFERROR(VLOOKUP(P200,OFFSET(abbreviation[],0,ColumnLanguage),ColumnAbbreviation,FALSE),"")</f>
        <v/>
      </c>
      <c r="BQ200" s="21" t="str">
        <f ca="1">IFERROR(VLOOKUP(T200,OFFSET(abbreviation[],0,ColumnLanguage),ColumnAbbreviation,FALSE),"")</f>
        <v/>
      </c>
      <c r="BR200" s="21" t="str">
        <f ca="1">IFERROR(VLOOKUP(V200,OFFSET(abbreviation[],0,ColumnLanguage),ColumnAbbreviation,FALSE),"")</f>
        <v/>
      </c>
      <c r="BS200" s="21" t="str">
        <f ca="1">IFERROR(VLOOKUP(Z200,OFFSET(abbreviation[],0,ColumnLanguage),ColumnAbbreviation,FALSE),"")</f>
        <v/>
      </c>
      <c r="BT200" s="21" t="str">
        <f ca="1">IFERROR(VLOOKUP(AB200,OFFSET(abbreviation[],0,ColumnLanguage),ColumnAbbreviation,FALSE),"")</f>
        <v/>
      </c>
      <c r="BU200" s="21" t="str">
        <f t="shared" ca="1" si="22"/>
        <v>__</v>
      </c>
      <c r="BV200" s="21" t="str">
        <f ca="1">IFERROR(VLOOKUP(AF200,OFFSET(abbreviation[],0,ColumnLanguage),ColumnAbbreviation,FALSE),"")</f>
        <v/>
      </c>
      <c r="BW200" s="21" t="str">
        <f ca="1">IFERROR(VLOOKUP(AH200,OFFSET(abbreviation[],0,ColumnLanguage),ColumnAbbreviation,FALSE),"")</f>
        <v/>
      </c>
      <c r="BX200" s="21" t="str">
        <f ca="1">IFERROR(VLOOKUP(AJ200,OFFSET(abbreviation[],0,ColumnLanguage),ColumnAbbreviation,FALSE),"")</f>
        <v/>
      </c>
      <c r="BY200" s="21" t="str">
        <f ca="1">IFERROR(VLOOKUP(AL200,OFFSET(abbreviation[],0,ColumnLanguage),ColumnAbbreviation,FALSE),"")</f>
        <v/>
      </c>
      <c r="BZ200" s="21" t="str">
        <f t="shared" ca="1" si="23"/>
        <v>_</v>
      </c>
      <c r="CA200" s="21" t="str">
        <f ca="1">IFERROR(VLOOKUP(AP200,OFFSET(abbreviation[],0,ColumnLanguage),ColumnAbbreviation,FALSE),"")</f>
        <v/>
      </c>
      <c r="CB200" s="21" t="str">
        <f ca="1">IFERROR(VLOOKUP(AR200,OFFSET(abbreviation[],0,ColumnLanguage),ColumnAbbreviation,FALSE),"")</f>
        <v/>
      </c>
      <c r="CC200" s="21" t="str">
        <f ca="1">IFERROR(VLOOKUP(AT200,OFFSET(abbreviation[],0,ColumnLanguage),ColumnAbbreviation,FALSE),"")</f>
        <v/>
      </c>
      <c r="CD200" s="21" t="str">
        <f ca="1">IFERROR(VLOOKUP(AV200,OFFSET(abbreviation[],0,ColumnLanguage),ColumnAbbreviation,FALSE),"")</f>
        <v/>
      </c>
      <c r="CE200" s="21" t="str">
        <f t="shared" ca="1" si="24"/>
        <v>__</v>
      </c>
      <c r="CF200" s="21" t="str">
        <f ca="1">IFERROR(VLOOKUP(AX200,OFFSET(abbreviation[],0,ColumnLanguage),ColumnAbbreviation,FALSE),"")</f>
        <v/>
      </c>
      <c r="CG200" s="21" t="str">
        <f ca="1">IFERROR(VLOOKUP(AZ200,OFFSET(abbreviation[],0,ColumnLanguage),ColumnAbbreviation,FALSE),"")</f>
        <v/>
      </c>
      <c r="CH200" s="21" t="str">
        <f ca="1">IFERROR(VLOOKUP(BB200,OFFSET(abbreviation[],0,ColumnLanguage),ColumnAbbreviation,FALSE),"")</f>
        <v/>
      </c>
      <c r="CI200" s="21" t="str">
        <f ca="1">IFERROR(VLOOKUP(BD200,OFFSET(abbreviation[],0,ColumnLanguage),ColumnAbbreviation,FALSE),"")</f>
        <v/>
      </c>
      <c r="CJ200" s="21" t="str">
        <f ca="1">IFERROR(VLOOKUP(BF200,OFFSET(abbreviation[],0,ColumnLanguage),ColumnAbbreviation,FALSE),"")</f>
        <v/>
      </c>
      <c r="CK200" s="21" t="str">
        <f t="shared" ca="1" si="25"/>
        <v/>
      </c>
      <c r="CL200" s="21" t="str">
        <f t="shared" si="26"/>
        <v/>
      </c>
      <c r="CM200" s="52"/>
      <c r="CN200" s="57" t="str">
        <f t="shared" si="27"/>
        <v/>
      </c>
    </row>
    <row r="201" spans="14:92" x14ac:dyDescent="0.25">
      <c r="P201" s="60"/>
      <c r="Q201" s="13"/>
      <c r="V201" s="60"/>
      <c r="X201" s="61"/>
      <c r="AB201" s="60"/>
      <c r="AN201" s="54"/>
      <c r="AS201" s="15"/>
      <c r="BH201" s="52"/>
      <c r="BI201" s="21" t="str">
        <f ca="1">IFERROR(VLOOKUP(C201,OFFSET(abbreviation[],0,ColumnLanguage),ColumnAbbreviation,FALSE),"")</f>
        <v/>
      </c>
      <c r="BJ201" s="21" t="str">
        <f ca="1">IFERROR(VLOOKUP(E201,OFFSET(abbreviation[],0,ColumnLanguage),ColumnAbbreviation,FALSE),"")</f>
        <v/>
      </c>
      <c r="BK201" s="21" t="str">
        <f ca="1">IFERROR(VLOOKUP(G201,OFFSET(abbreviation[],0,ColumnLanguage),ColumnAbbreviation,FALSE),"")</f>
        <v/>
      </c>
      <c r="BL201" s="21" t="str">
        <f ca="1">IFERROR(VLOOKUP(I201,OFFSET(abbreviation[],0,ColumnLanguage),ColumnAbbreviation,FALSE),"")</f>
        <v/>
      </c>
      <c r="BM201" s="21" t="str">
        <f ca="1">IFERROR(VLOOKUP(K201,OFFSET(abbreviation[],0,ColumnLanguage),ColumnAbbreviation,FALSE),"")</f>
        <v/>
      </c>
      <c r="BN201" s="21" t="str">
        <f t="shared" ca="1" si="21"/>
        <v/>
      </c>
      <c r="BO201" s="21" t="str">
        <f ca="1">IFERROR(VLOOKUP(N201,OFFSET(abbreviation[],0,ColumnLanguage),ColumnAbbreviation,FALSE),"")</f>
        <v/>
      </c>
      <c r="BP201" s="21" t="str">
        <f ca="1">IFERROR(VLOOKUP(P201,OFFSET(abbreviation[],0,ColumnLanguage),ColumnAbbreviation,FALSE),"")</f>
        <v/>
      </c>
      <c r="BQ201" s="21" t="str">
        <f ca="1">IFERROR(VLOOKUP(T201,OFFSET(abbreviation[],0,ColumnLanguage),ColumnAbbreviation,FALSE),"")</f>
        <v/>
      </c>
      <c r="BR201" s="21" t="str">
        <f ca="1">IFERROR(VLOOKUP(V201,OFFSET(abbreviation[],0,ColumnLanguage),ColumnAbbreviation,FALSE),"")</f>
        <v/>
      </c>
      <c r="BS201" s="21" t="str">
        <f ca="1">IFERROR(VLOOKUP(Z201,OFFSET(abbreviation[],0,ColumnLanguage),ColumnAbbreviation,FALSE),"")</f>
        <v/>
      </c>
      <c r="BT201" s="21" t="str">
        <f ca="1">IFERROR(VLOOKUP(AB201,OFFSET(abbreviation[],0,ColumnLanguage),ColumnAbbreviation,FALSE),"")</f>
        <v/>
      </c>
      <c r="BU201" s="21" t="str">
        <f t="shared" ca="1" si="22"/>
        <v>__</v>
      </c>
      <c r="BV201" s="21" t="str">
        <f ca="1">IFERROR(VLOOKUP(AF201,OFFSET(abbreviation[],0,ColumnLanguage),ColumnAbbreviation,FALSE),"")</f>
        <v/>
      </c>
      <c r="BW201" s="21" t="str">
        <f ca="1">IFERROR(VLOOKUP(AH201,OFFSET(abbreviation[],0,ColumnLanguage),ColumnAbbreviation,FALSE),"")</f>
        <v/>
      </c>
      <c r="BX201" s="21" t="str">
        <f ca="1">IFERROR(VLOOKUP(AJ201,OFFSET(abbreviation[],0,ColumnLanguage),ColumnAbbreviation,FALSE),"")</f>
        <v/>
      </c>
      <c r="BY201" s="21" t="str">
        <f ca="1">IFERROR(VLOOKUP(AL201,OFFSET(abbreviation[],0,ColumnLanguage),ColumnAbbreviation,FALSE),"")</f>
        <v/>
      </c>
      <c r="BZ201" s="21" t="str">
        <f t="shared" ca="1" si="23"/>
        <v>_</v>
      </c>
      <c r="CA201" s="21" t="str">
        <f ca="1">IFERROR(VLOOKUP(AP201,OFFSET(abbreviation[],0,ColumnLanguage),ColumnAbbreviation,FALSE),"")</f>
        <v/>
      </c>
      <c r="CB201" s="21" t="str">
        <f ca="1">IFERROR(VLOOKUP(AR201,OFFSET(abbreviation[],0,ColumnLanguage),ColumnAbbreviation,FALSE),"")</f>
        <v/>
      </c>
      <c r="CC201" s="21" t="str">
        <f ca="1">IFERROR(VLOOKUP(AT201,OFFSET(abbreviation[],0,ColumnLanguage),ColumnAbbreviation,FALSE),"")</f>
        <v/>
      </c>
      <c r="CD201" s="21" t="str">
        <f ca="1">IFERROR(VLOOKUP(AV201,OFFSET(abbreviation[],0,ColumnLanguage),ColumnAbbreviation,FALSE),"")</f>
        <v/>
      </c>
      <c r="CE201" s="21" t="str">
        <f t="shared" ca="1" si="24"/>
        <v>__</v>
      </c>
      <c r="CF201" s="21" t="str">
        <f ca="1">IFERROR(VLOOKUP(AX201,OFFSET(abbreviation[],0,ColumnLanguage),ColumnAbbreviation,FALSE),"")</f>
        <v/>
      </c>
      <c r="CG201" s="21" t="str">
        <f ca="1">IFERROR(VLOOKUP(AZ201,OFFSET(abbreviation[],0,ColumnLanguage),ColumnAbbreviation,FALSE),"")</f>
        <v/>
      </c>
      <c r="CH201" s="21" t="str">
        <f ca="1">IFERROR(VLOOKUP(BB201,OFFSET(abbreviation[],0,ColumnLanguage),ColumnAbbreviation,FALSE),"")</f>
        <v/>
      </c>
      <c r="CI201" s="21" t="str">
        <f ca="1">IFERROR(VLOOKUP(BD201,OFFSET(abbreviation[],0,ColumnLanguage),ColumnAbbreviation,FALSE),"")</f>
        <v/>
      </c>
      <c r="CJ201" s="21" t="str">
        <f ca="1">IFERROR(VLOOKUP(BF201,OFFSET(abbreviation[],0,ColumnLanguage),ColumnAbbreviation,FALSE),"")</f>
        <v/>
      </c>
      <c r="CK201" s="21" t="str">
        <f t="shared" ca="1" si="25"/>
        <v/>
      </c>
      <c r="CL201" s="21" t="str">
        <f t="shared" si="26"/>
        <v/>
      </c>
      <c r="CM201" s="52"/>
      <c r="CN201" s="57" t="str">
        <f t="shared" si="27"/>
        <v/>
      </c>
    </row>
    <row r="202" spans="14:92" x14ac:dyDescent="0.25">
      <c r="P202" s="60"/>
      <c r="Q202" s="13"/>
      <c r="V202" s="60"/>
      <c r="X202" s="61"/>
      <c r="AB202" s="60"/>
      <c r="AN202" s="54"/>
      <c r="AS202" s="15"/>
      <c r="BH202" s="52"/>
      <c r="BI202" s="21" t="str">
        <f ca="1">IFERROR(VLOOKUP(C202,OFFSET(abbreviation[],0,ColumnLanguage),ColumnAbbreviation,FALSE),"")</f>
        <v/>
      </c>
      <c r="BJ202" s="21" t="str">
        <f ca="1">IFERROR(VLOOKUP(E202,OFFSET(abbreviation[],0,ColumnLanguage),ColumnAbbreviation,FALSE),"")</f>
        <v/>
      </c>
      <c r="BK202" s="21" t="str">
        <f ca="1">IFERROR(VLOOKUP(G202,OFFSET(abbreviation[],0,ColumnLanguage),ColumnAbbreviation,FALSE),"")</f>
        <v/>
      </c>
      <c r="BL202" s="21" t="str">
        <f ca="1">IFERROR(VLOOKUP(I202,OFFSET(abbreviation[],0,ColumnLanguage),ColumnAbbreviation,FALSE),"")</f>
        <v/>
      </c>
      <c r="BM202" s="21" t="str">
        <f ca="1">IFERROR(VLOOKUP(K202,OFFSET(abbreviation[],0,ColumnLanguage),ColumnAbbreviation,FALSE),"")</f>
        <v/>
      </c>
      <c r="BN202" s="21" t="str">
        <f t="shared" ca="1" si="21"/>
        <v/>
      </c>
      <c r="BO202" s="21" t="str">
        <f ca="1">IFERROR(VLOOKUP(N202,OFFSET(abbreviation[],0,ColumnLanguage),ColumnAbbreviation,FALSE),"")</f>
        <v/>
      </c>
      <c r="BP202" s="21" t="str">
        <f ca="1">IFERROR(VLOOKUP(P202,OFFSET(abbreviation[],0,ColumnLanguage),ColumnAbbreviation,FALSE),"")</f>
        <v/>
      </c>
      <c r="BQ202" s="21" t="str">
        <f ca="1">IFERROR(VLOOKUP(T202,OFFSET(abbreviation[],0,ColumnLanguage),ColumnAbbreviation,FALSE),"")</f>
        <v/>
      </c>
      <c r="BR202" s="21" t="str">
        <f ca="1">IFERROR(VLOOKUP(V202,OFFSET(abbreviation[],0,ColumnLanguage),ColumnAbbreviation,FALSE),"")</f>
        <v/>
      </c>
      <c r="BS202" s="21" t="str">
        <f ca="1">IFERROR(VLOOKUP(Z202,OFFSET(abbreviation[],0,ColumnLanguage),ColumnAbbreviation,FALSE),"")</f>
        <v/>
      </c>
      <c r="BT202" s="21" t="str">
        <f ca="1">IFERROR(VLOOKUP(AB202,OFFSET(abbreviation[],0,ColumnLanguage),ColumnAbbreviation,FALSE),"")</f>
        <v/>
      </c>
      <c r="BU202" s="21" t="str">
        <f t="shared" ca="1" si="22"/>
        <v>__</v>
      </c>
      <c r="BV202" s="21" t="str">
        <f ca="1">IFERROR(VLOOKUP(AF202,OFFSET(abbreviation[],0,ColumnLanguage),ColumnAbbreviation,FALSE),"")</f>
        <v/>
      </c>
      <c r="BW202" s="21" t="str">
        <f ca="1">IFERROR(VLOOKUP(AH202,OFFSET(abbreviation[],0,ColumnLanguage),ColumnAbbreviation,FALSE),"")</f>
        <v/>
      </c>
      <c r="BX202" s="21" t="str">
        <f ca="1">IFERROR(VLOOKUP(AJ202,OFFSET(abbreviation[],0,ColumnLanguage),ColumnAbbreviation,FALSE),"")</f>
        <v/>
      </c>
      <c r="BY202" s="21" t="str">
        <f ca="1">IFERROR(VLOOKUP(AL202,OFFSET(abbreviation[],0,ColumnLanguage),ColumnAbbreviation,FALSE),"")</f>
        <v/>
      </c>
      <c r="BZ202" s="21" t="str">
        <f t="shared" ca="1" si="23"/>
        <v>_</v>
      </c>
      <c r="CA202" s="21" t="str">
        <f ca="1">IFERROR(VLOOKUP(AP202,OFFSET(abbreviation[],0,ColumnLanguage),ColumnAbbreviation,FALSE),"")</f>
        <v/>
      </c>
      <c r="CB202" s="21" t="str">
        <f ca="1">IFERROR(VLOOKUP(AR202,OFFSET(abbreviation[],0,ColumnLanguage),ColumnAbbreviation,FALSE),"")</f>
        <v/>
      </c>
      <c r="CC202" s="21" t="str">
        <f ca="1">IFERROR(VLOOKUP(AT202,OFFSET(abbreviation[],0,ColumnLanguage),ColumnAbbreviation,FALSE),"")</f>
        <v/>
      </c>
      <c r="CD202" s="21" t="str">
        <f ca="1">IFERROR(VLOOKUP(AV202,OFFSET(abbreviation[],0,ColumnLanguage),ColumnAbbreviation,FALSE),"")</f>
        <v/>
      </c>
      <c r="CE202" s="21" t="str">
        <f t="shared" ca="1" si="24"/>
        <v>__</v>
      </c>
      <c r="CF202" s="21" t="str">
        <f ca="1">IFERROR(VLOOKUP(AX202,OFFSET(abbreviation[],0,ColumnLanguage),ColumnAbbreviation,FALSE),"")</f>
        <v/>
      </c>
      <c r="CG202" s="21" t="str">
        <f ca="1">IFERROR(VLOOKUP(AZ202,OFFSET(abbreviation[],0,ColumnLanguage),ColumnAbbreviation,FALSE),"")</f>
        <v/>
      </c>
      <c r="CH202" s="21" t="str">
        <f ca="1">IFERROR(VLOOKUP(BB202,OFFSET(abbreviation[],0,ColumnLanguage),ColumnAbbreviation,FALSE),"")</f>
        <v/>
      </c>
      <c r="CI202" s="21" t="str">
        <f ca="1">IFERROR(VLOOKUP(BD202,OFFSET(abbreviation[],0,ColumnLanguage),ColumnAbbreviation,FALSE),"")</f>
        <v/>
      </c>
      <c r="CJ202" s="21" t="str">
        <f ca="1">IFERROR(VLOOKUP(BF202,OFFSET(abbreviation[],0,ColumnLanguage),ColumnAbbreviation,FALSE),"")</f>
        <v/>
      </c>
      <c r="CK202" s="21" t="str">
        <f t="shared" ca="1" si="25"/>
        <v/>
      </c>
      <c r="CL202" s="21" t="str">
        <f t="shared" si="26"/>
        <v/>
      </c>
      <c r="CM202" s="52"/>
      <c r="CN202" s="57" t="str">
        <f t="shared" si="27"/>
        <v/>
      </c>
    </row>
    <row r="203" spans="14:92" x14ac:dyDescent="0.25">
      <c r="P203" s="60"/>
      <c r="Q203" s="13"/>
      <c r="V203" s="60"/>
      <c r="X203" s="61"/>
      <c r="AB203" s="60"/>
      <c r="AN203" s="54"/>
      <c r="AS203" s="15"/>
      <c r="BH203" s="52"/>
      <c r="BI203" s="21" t="str">
        <f ca="1">IFERROR(VLOOKUP(C203,OFFSET(abbreviation[],0,ColumnLanguage),ColumnAbbreviation,FALSE),"")</f>
        <v/>
      </c>
      <c r="BJ203" s="21" t="str">
        <f ca="1">IFERROR(VLOOKUP(E203,OFFSET(abbreviation[],0,ColumnLanguage),ColumnAbbreviation,FALSE),"")</f>
        <v/>
      </c>
      <c r="BK203" s="21" t="str">
        <f ca="1">IFERROR(VLOOKUP(G203,OFFSET(abbreviation[],0,ColumnLanguage),ColumnAbbreviation,FALSE),"")</f>
        <v/>
      </c>
      <c r="BL203" s="21" t="str">
        <f ca="1">IFERROR(VLOOKUP(I203,OFFSET(abbreviation[],0,ColumnLanguage),ColumnAbbreviation,FALSE),"")</f>
        <v/>
      </c>
      <c r="BM203" s="21" t="str">
        <f ca="1">IFERROR(VLOOKUP(K203,OFFSET(abbreviation[],0,ColumnLanguage),ColumnAbbreviation,FALSE),"")</f>
        <v/>
      </c>
      <c r="BN203" s="21" t="str">
        <f t="shared" ca="1" si="21"/>
        <v/>
      </c>
      <c r="BO203" s="21" t="str">
        <f ca="1">IFERROR(VLOOKUP(N203,OFFSET(abbreviation[],0,ColumnLanguage),ColumnAbbreviation,FALSE),"")</f>
        <v/>
      </c>
      <c r="BP203" s="21" t="str">
        <f ca="1">IFERROR(VLOOKUP(P203,OFFSET(abbreviation[],0,ColumnLanguage),ColumnAbbreviation,FALSE),"")</f>
        <v/>
      </c>
      <c r="BQ203" s="21" t="str">
        <f ca="1">IFERROR(VLOOKUP(T203,OFFSET(abbreviation[],0,ColumnLanguage),ColumnAbbreviation,FALSE),"")</f>
        <v/>
      </c>
      <c r="BR203" s="21" t="str">
        <f ca="1">IFERROR(VLOOKUP(V203,OFFSET(abbreviation[],0,ColumnLanguage),ColumnAbbreviation,FALSE),"")</f>
        <v/>
      </c>
      <c r="BS203" s="21" t="str">
        <f ca="1">IFERROR(VLOOKUP(Z203,OFFSET(abbreviation[],0,ColumnLanguage),ColumnAbbreviation,FALSE),"")</f>
        <v/>
      </c>
      <c r="BT203" s="21" t="str">
        <f ca="1">IFERROR(VLOOKUP(AB203,OFFSET(abbreviation[],0,ColumnLanguage),ColumnAbbreviation,FALSE),"")</f>
        <v/>
      </c>
      <c r="BU203" s="21" t="str">
        <f t="shared" ca="1" si="22"/>
        <v>__</v>
      </c>
      <c r="BV203" s="21" t="str">
        <f ca="1">IFERROR(VLOOKUP(AF203,OFFSET(abbreviation[],0,ColumnLanguage),ColumnAbbreviation,FALSE),"")</f>
        <v/>
      </c>
      <c r="BW203" s="21" t="str">
        <f ca="1">IFERROR(VLOOKUP(AH203,OFFSET(abbreviation[],0,ColumnLanguage),ColumnAbbreviation,FALSE),"")</f>
        <v/>
      </c>
      <c r="BX203" s="21" t="str">
        <f ca="1">IFERROR(VLOOKUP(AJ203,OFFSET(abbreviation[],0,ColumnLanguage),ColumnAbbreviation,FALSE),"")</f>
        <v/>
      </c>
      <c r="BY203" s="21" t="str">
        <f ca="1">IFERROR(VLOOKUP(AL203,OFFSET(abbreviation[],0,ColumnLanguage),ColumnAbbreviation,FALSE),"")</f>
        <v/>
      </c>
      <c r="BZ203" s="21" t="str">
        <f t="shared" ca="1" si="23"/>
        <v>_</v>
      </c>
      <c r="CA203" s="21" t="str">
        <f ca="1">IFERROR(VLOOKUP(AP203,OFFSET(abbreviation[],0,ColumnLanguage),ColumnAbbreviation,FALSE),"")</f>
        <v/>
      </c>
      <c r="CB203" s="21" t="str">
        <f ca="1">IFERROR(VLOOKUP(AR203,OFFSET(abbreviation[],0,ColumnLanguage),ColumnAbbreviation,FALSE),"")</f>
        <v/>
      </c>
      <c r="CC203" s="21" t="str">
        <f ca="1">IFERROR(VLOOKUP(AT203,OFFSET(abbreviation[],0,ColumnLanguage),ColumnAbbreviation,FALSE),"")</f>
        <v/>
      </c>
      <c r="CD203" s="21" t="str">
        <f ca="1">IFERROR(VLOOKUP(AV203,OFFSET(abbreviation[],0,ColumnLanguage),ColumnAbbreviation,FALSE),"")</f>
        <v/>
      </c>
      <c r="CE203" s="21" t="str">
        <f t="shared" ca="1" si="24"/>
        <v>__</v>
      </c>
      <c r="CF203" s="21" t="str">
        <f ca="1">IFERROR(VLOOKUP(AX203,OFFSET(abbreviation[],0,ColumnLanguage),ColumnAbbreviation,FALSE),"")</f>
        <v/>
      </c>
      <c r="CG203" s="21" t="str">
        <f ca="1">IFERROR(VLOOKUP(AZ203,OFFSET(abbreviation[],0,ColumnLanguage),ColumnAbbreviation,FALSE),"")</f>
        <v/>
      </c>
      <c r="CH203" s="21" t="str">
        <f ca="1">IFERROR(VLOOKUP(BB203,OFFSET(abbreviation[],0,ColumnLanguage),ColumnAbbreviation,FALSE),"")</f>
        <v/>
      </c>
      <c r="CI203" s="21" t="str">
        <f ca="1">IFERROR(VLOOKUP(BD203,OFFSET(abbreviation[],0,ColumnLanguage),ColumnAbbreviation,FALSE),"")</f>
        <v/>
      </c>
      <c r="CJ203" s="21" t="str">
        <f ca="1">IFERROR(VLOOKUP(BF203,OFFSET(abbreviation[],0,ColumnLanguage),ColumnAbbreviation,FALSE),"")</f>
        <v/>
      </c>
      <c r="CK203" s="21" t="str">
        <f t="shared" ca="1" si="25"/>
        <v/>
      </c>
      <c r="CL203" s="21" t="str">
        <f t="shared" si="26"/>
        <v/>
      </c>
      <c r="CM203" s="52"/>
      <c r="CN203" s="57" t="str">
        <f t="shared" si="27"/>
        <v/>
      </c>
    </row>
    <row r="204" spans="14:92" x14ac:dyDescent="0.25">
      <c r="P204" s="60"/>
      <c r="Q204" s="13"/>
      <c r="V204" s="60"/>
      <c r="X204" s="61"/>
      <c r="AB204" s="60"/>
      <c r="AN204" s="54"/>
      <c r="AS204" s="15"/>
      <c r="BH204" s="52"/>
      <c r="BI204" s="21" t="str">
        <f ca="1">IFERROR(VLOOKUP(C204,OFFSET(abbreviation[],0,ColumnLanguage),ColumnAbbreviation,FALSE),"")</f>
        <v/>
      </c>
      <c r="BJ204" s="21" t="str">
        <f ca="1">IFERROR(VLOOKUP(E204,OFFSET(abbreviation[],0,ColumnLanguage),ColumnAbbreviation,FALSE),"")</f>
        <v/>
      </c>
      <c r="BK204" s="21" t="str">
        <f ca="1">IFERROR(VLOOKUP(G204,OFFSET(abbreviation[],0,ColumnLanguage),ColumnAbbreviation,FALSE),"")</f>
        <v/>
      </c>
      <c r="BL204" s="21" t="str">
        <f ca="1">IFERROR(VLOOKUP(I204,OFFSET(abbreviation[],0,ColumnLanguage),ColumnAbbreviation,FALSE),"")</f>
        <v/>
      </c>
      <c r="BM204" s="21" t="str">
        <f ca="1">IFERROR(VLOOKUP(K204,OFFSET(abbreviation[],0,ColumnLanguage),ColumnAbbreviation,FALSE),"")</f>
        <v/>
      </c>
      <c r="BN204" s="21" t="str">
        <f t="shared" ca="1" si="21"/>
        <v/>
      </c>
      <c r="BO204" s="21" t="str">
        <f ca="1">IFERROR(VLOOKUP(N204,OFFSET(abbreviation[],0,ColumnLanguage),ColumnAbbreviation,FALSE),"")</f>
        <v/>
      </c>
      <c r="BP204" s="21" t="str">
        <f ca="1">IFERROR(VLOOKUP(P204,OFFSET(abbreviation[],0,ColumnLanguage),ColumnAbbreviation,FALSE),"")</f>
        <v/>
      </c>
      <c r="BQ204" s="21" t="str">
        <f ca="1">IFERROR(VLOOKUP(T204,OFFSET(abbreviation[],0,ColumnLanguage),ColumnAbbreviation,FALSE),"")</f>
        <v/>
      </c>
      <c r="BR204" s="21" t="str">
        <f ca="1">IFERROR(VLOOKUP(V204,OFFSET(abbreviation[],0,ColumnLanguage),ColumnAbbreviation,FALSE),"")</f>
        <v/>
      </c>
      <c r="BS204" s="21" t="str">
        <f ca="1">IFERROR(VLOOKUP(Z204,OFFSET(abbreviation[],0,ColumnLanguage),ColumnAbbreviation,FALSE),"")</f>
        <v/>
      </c>
      <c r="BT204" s="21" t="str">
        <f ca="1">IFERROR(VLOOKUP(AB204,OFFSET(abbreviation[],0,ColumnLanguage),ColumnAbbreviation,FALSE),"")</f>
        <v/>
      </c>
      <c r="BU204" s="21" t="str">
        <f t="shared" ca="1" si="22"/>
        <v>__</v>
      </c>
      <c r="BV204" s="21" t="str">
        <f ca="1">IFERROR(VLOOKUP(AF204,OFFSET(abbreviation[],0,ColumnLanguage),ColumnAbbreviation,FALSE),"")</f>
        <v/>
      </c>
      <c r="BW204" s="21" t="str">
        <f ca="1">IFERROR(VLOOKUP(AH204,OFFSET(abbreviation[],0,ColumnLanguage),ColumnAbbreviation,FALSE),"")</f>
        <v/>
      </c>
      <c r="BX204" s="21" t="str">
        <f ca="1">IFERROR(VLOOKUP(AJ204,OFFSET(abbreviation[],0,ColumnLanguage),ColumnAbbreviation,FALSE),"")</f>
        <v/>
      </c>
      <c r="BY204" s="21" t="str">
        <f ca="1">IFERROR(VLOOKUP(AL204,OFFSET(abbreviation[],0,ColumnLanguage),ColumnAbbreviation,FALSE),"")</f>
        <v/>
      </c>
      <c r="BZ204" s="21" t="str">
        <f t="shared" ca="1" si="23"/>
        <v>_</v>
      </c>
      <c r="CA204" s="21" t="str">
        <f ca="1">IFERROR(VLOOKUP(AP204,OFFSET(abbreviation[],0,ColumnLanguage),ColumnAbbreviation,FALSE),"")</f>
        <v/>
      </c>
      <c r="CB204" s="21" t="str">
        <f ca="1">IFERROR(VLOOKUP(AR204,OFFSET(abbreviation[],0,ColumnLanguage),ColumnAbbreviation,FALSE),"")</f>
        <v/>
      </c>
      <c r="CC204" s="21" t="str">
        <f ca="1">IFERROR(VLOOKUP(AT204,OFFSET(abbreviation[],0,ColumnLanguage),ColumnAbbreviation,FALSE),"")</f>
        <v/>
      </c>
      <c r="CD204" s="21" t="str">
        <f ca="1">IFERROR(VLOOKUP(AV204,OFFSET(abbreviation[],0,ColumnLanguage),ColumnAbbreviation,FALSE),"")</f>
        <v/>
      </c>
      <c r="CE204" s="21" t="str">
        <f t="shared" ca="1" si="24"/>
        <v>__</v>
      </c>
      <c r="CF204" s="21" t="str">
        <f ca="1">IFERROR(VLOOKUP(AX204,OFFSET(abbreviation[],0,ColumnLanguage),ColumnAbbreviation,FALSE),"")</f>
        <v/>
      </c>
      <c r="CG204" s="21" t="str">
        <f ca="1">IFERROR(VLOOKUP(AZ204,OFFSET(abbreviation[],0,ColumnLanguage),ColumnAbbreviation,FALSE),"")</f>
        <v/>
      </c>
      <c r="CH204" s="21" t="str">
        <f ca="1">IFERROR(VLOOKUP(BB204,OFFSET(abbreviation[],0,ColumnLanguage),ColumnAbbreviation,FALSE),"")</f>
        <v/>
      </c>
      <c r="CI204" s="21" t="str">
        <f ca="1">IFERROR(VLOOKUP(BD204,OFFSET(abbreviation[],0,ColumnLanguage),ColumnAbbreviation,FALSE),"")</f>
        <v/>
      </c>
      <c r="CJ204" s="21" t="str">
        <f ca="1">IFERROR(VLOOKUP(BF204,OFFSET(abbreviation[],0,ColumnLanguage),ColumnAbbreviation,FALSE),"")</f>
        <v/>
      </c>
      <c r="CK204" s="21" t="str">
        <f t="shared" ca="1" si="25"/>
        <v/>
      </c>
      <c r="CL204" s="21" t="str">
        <f t="shared" si="26"/>
        <v/>
      </c>
      <c r="CM204" s="52"/>
      <c r="CN204" s="57" t="str">
        <f t="shared" si="27"/>
        <v/>
      </c>
    </row>
    <row r="205" spans="14:92" x14ac:dyDescent="0.25">
      <c r="N205" s="58"/>
      <c r="P205" s="60"/>
      <c r="Q205" s="13"/>
      <c r="V205" s="60"/>
      <c r="X205" s="61"/>
      <c r="AB205" s="60"/>
      <c r="AN205" s="54"/>
      <c r="AS205" s="15"/>
      <c r="BH205" s="52"/>
      <c r="BI205" s="21" t="str">
        <f ca="1">IFERROR(VLOOKUP(C205,OFFSET(abbreviation[],0,ColumnLanguage),ColumnAbbreviation,FALSE),"")</f>
        <v/>
      </c>
      <c r="BJ205" s="21" t="str">
        <f ca="1">IFERROR(VLOOKUP(E205,OFFSET(abbreviation[],0,ColumnLanguage),ColumnAbbreviation,FALSE),"")</f>
        <v/>
      </c>
      <c r="BK205" s="21" t="str">
        <f ca="1">IFERROR(VLOOKUP(G205,OFFSET(abbreviation[],0,ColumnLanguage),ColumnAbbreviation,FALSE),"")</f>
        <v/>
      </c>
      <c r="BL205" s="21" t="str">
        <f ca="1">IFERROR(VLOOKUP(I205,OFFSET(abbreviation[],0,ColumnLanguage),ColumnAbbreviation,FALSE),"")</f>
        <v/>
      </c>
      <c r="BM205" s="21" t="str">
        <f ca="1">IFERROR(VLOOKUP(K205,OFFSET(abbreviation[],0,ColumnLanguage),ColumnAbbreviation,FALSE),"")</f>
        <v/>
      </c>
      <c r="BN205" s="21" t="str">
        <f t="shared" ca="1" si="21"/>
        <v/>
      </c>
      <c r="BO205" s="21" t="str">
        <f ca="1">IFERROR(VLOOKUP(N205,OFFSET(abbreviation[],0,ColumnLanguage),ColumnAbbreviation,FALSE),"")</f>
        <v/>
      </c>
      <c r="BP205" s="21" t="str">
        <f ca="1">IFERROR(VLOOKUP(P205,OFFSET(abbreviation[],0,ColumnLanguage),ColumnAbbreviation,FALSE),"")</f>
        <v/>
      </c>
      <c r="BQ205" s="21" t="str">
        <f ca="1">IFERROR(VLOOKUP(T205,OFFSET(abbreviation[],0,ColumnLanguage),ColumnAbbreviation,FALSE),"")</f>
        <v/>
      </c>
      <c r="BR205" s="21" t="str">
        <f ca="1">IFERROR(VLOOKUP(V205,OFFSET(abbreviation[],0,ColumnLanguage),ColumnAbbreviation,FALSE),"")</f>
        <v/>
      </c>
      <c r="BS205" s="21" t="str">
        <f ca="1">IFERROR(VLOOKUP(Z205,OFFSET(abbreviation[],0,ColumnLanguage),ColumnAbbreviation,FALSE),"")</f>
        <v/>
      </c>
      <c r="BT205" s="21" t="str">
        <f ca="1">IFERROR(VLOOKUP(AB205,OFFSET(abbreviation[],0,ColumnLanguage),ColumnAbbreviation,FALSE),"")</f>
        <v/>
      </c>
      <c r="BU205" s="21" t="str">
        <f t="shared" ca="1" si="22"/>
        <v>__</v>
      </c>
      <c r="BV205" s="21" t="str">
        <f ca="1">IFERROR(VLOOKUP(AF205,OFFSET(abbreviation[],0,ColumnLanguage),ColumnAbbreviation,FALSE),"")</f>
        <v/>
      </c>
      <c r="BW205" s="21" t="str">
        <f ca="1">IFERROR(VLOOKUP(AH205,OFFSET(abbreviation[],0,ColumnLanguage),ColumnAbbreviation,FALSE),"")</f>
        <v/>
      </c>
      <c r="BX205" s="21" t="str">
        <f ca="1">IFERROR(VLOOKUP(AJ205,OFFSET(abbreviation[],0,ColumnLanguage),ColumnAbbreviation,FALSE),"")</f>
        <v/>
      </c>
      <c r="BY205" s="21" t="str">
        <f ca="1">IFERROR(VLOOKUP(AL205,OFFSET(abbreviation[],0,ColumnLanguage),ColumnAbbreviation,FALSE),"")</f>
        <v/>
      </c>
      <c r="BZ205" s="21" t="str">
        <f t="shared" ca="1" si="23"/>
        <v>_</v>
      </c>
      <c r="CA205" s="21" t="str">
        <f ca="1">IFERROR(VLOOKUP(AP205,OFFSET(abbreviation[],0,ColumnLanguage),ColumnAbbreviation,FALSE),"")</f>
        <v/>
      </c>
      <c r="CB205" s="21" t="str">
        <f ca="1">IFERROR(VLOOKUP(AR205,OFFSET(abbreviation[],0,ColumnLanguage),ColumnAbbreviation,FALSE),"")</f>
        <v/>
      </c>
      <c r="CC205" s="21" t="str">
        <f ca="1">IFERROR(VLOOKUP(AT205,OFFSET(abbreviation[],0,ColumnLanguage),ColumnAbbreviation,FALSE),"")</f>
        <v/>
      </c>
      <c r="CD205" s="21" t="str">
        <f ca="1">IFERROR(VLOOKUP(AV205,OFFSET(abbreviation[],0,ColumnLanguage),ColumnAbbreviation,FALSE),"")</f>
        <v/>
      </c>
      <c r="CE205" s="21" t="str">
        <f t="shared" ca="1" si="24"/>
        <v>__</v>
      </c>
      <c r="CF205" s="21" t="str">
        <f ca="1">IFERROR(VLOOKUP(AX205,OFFSET(abbreviation[],0,ColumnLanguage),ColumnAbbreviation,FALSE),"")</f>
        <v/>
      </c>
      <c r="CG205" s="21" t="str">
        <f ca="1">IFERROR(VLOOKUP(AZ205,OFFSET(abbreviation[],0,ColumnLanguage),ColumnAbbreviation,FALSE),"")</f>
        <v/>
      </c>
      <c r="CH205" s="21" t="str">
        <f ca="1">IFERROR(VLOOKUP(BB205,OFFSET(abbreviation[],0,ColumnLanguage),ColumnAbbreviation,FALSE),"")</f>
        <v/>
      </c>
      <c r="CI205" s="21" t="str">
        <f ca="1">IFERROR(VLOOKUP(BD205,OFFSET(abbreviation[],0,ColumnLanguage),ColumnAbbreviation,FALSE),"")</f>
        <v/>
      </c>
      <c r="CJ205" s="21" t="str">
        <f ca="1">IFERROR(VLOOKUP(BF205,OFFSET(abbreviation[],0,ColumnLanguage),ColumnAbbreviation,FALSE),"")</f>
        <v/>
      </c>
      <c r="CK205" s="21" t="str">
        <f t="shared" ca="1" si="25"/>
        <v/>
      </c>
      <c r="CL205" s="21" t="str">
        <f t="shared" si="26"/>
        <v/>
      </c>
      <c r="CM205" s="52"/>
      <c r="CN205" s="57" t="str">
        <f t="shared" si="27"/>
        <v/>
      </c>
    </row>
    <row r="206" spans="14:92" x14ac:dyDescent="0.25">
      <c r="N206" s="58"/>
      <c r="P206" s="60"/>
      <c r="Q206" s="13"/>
      <c r="V206" s="60"/>
      <c r="X206" s="61"/>
      <c r="AB206" s="60"/>
      <c r="AN206" s="54"/>
      <c r="AS206" s="15"/>
      <c r="BH206" s="52"/>
      <c r="BI206" s="21" t="str">
        <f ca="1">IFERROR(VLOOKUP(C206,OFFSET(abbreviation[],0,ColumnLanguage),ColumnAbbreviation,FALSE),"")</f>
        <v/>
      </c>
      <c r="BJ206" s="21" t="str">
        <f ca="1">IFERROR(VLOOKUP(E206,OFFSET(abbreviation[],0,ColumnLanguage),ColumnAbbreviation,FALSE),"")</f>
        <v/>
      </c>
      <c r="BK206" s="21" t="str">
        <f ca="1">IFERROR(VLOOKUP(G206,OFFSET(abbreviation[],0,ColumnLanguage),ColumnAbbreviation,FALSE),"")</f>
        <v/>
      </c>
      <c r="BL206" s="21" t="str">
        <f ca="1">IFERROR(VLOOKUP(I206,OFFSET(abbreviation[],0,ColumnLanguage),ColumnAbbreviation,FALSE),"")</f>
        <v/>
      </c>
      <c r="BM206" s="21" t="str">
        <f ca="1">IFERROR(VLOOKUP(K206,OFFSET(abbreviation[],0,ColumnLanguage),ColumnAbbreviation,FALSE),"")</f>
        <v/>
      </c>
      <c r="BN206" s="21" t="str">
        <f t="shared" ca="1" si="21"/>
        <v/>
      </c>
      <c r="BO206" s="21" t="str">
        <f ca="1">IFERROR(VLOOKUP(N206,OFFSET(abbreviation[],0,ColumnLanguage),ColumnAbbreviation,FALSE),"")</f>
        <v/>
      </c>
      <c r="BP206" s="21" t="str">
        <f ca="1">IFERROR(VLOOKUP(P206,OFFSET(abbreviation[],0,ColumnLanguage),ColumnAbbreviation,FALSE),"")</f>
        <v/>
      </c>
      <c r="BQ206" s="21" t="str">
        <f ca="1">IFERROR(VLOOKUP(T206,OFFSET(abbreviation[],0,ColumnLanguage),ColumnAbbreviation,FALSE),"")</f>
        <v/>
      </c>
      <c r="BR206" s="21" t="str">
        <f ca="1">IFERROR(VLOOKUP(V206,OFFSET(abbreviation[],0,ColumnLanguage),ColumnAbbreviation,FALSE),"")</f>
        <v/>
      </c>
      <c r="BS206" s="21" t="str">
        <f ca="1">IFERROR(VLOOKUP(Z206,OFFSET(abbreviation[],0,ColumnLanguage),ColumnAbbreviation,FALSE),"")</f>
        <v/>
      </c>
      <c r="BT206" s="21" t="str">
        <f ca="1">IFERROR(VLOOKUP(AB206,OFFSET(abbreviation[],0,ColumnLanguage),ColumnAbbreviation,FALSE),"")</f>
        <v/>
      </c>
      <c r="BU206" s="21" t="str">
        <f t="shared" ca="1" si="22"/>
        <v>__</v>
      </c>
      <c r="BV206" s="21" t="str">
        <f ca="1">IFERROR(VLOOKUP(AF206,OFFSET(abbreviation[],0,ColumnLanguage),ColumnAbbreviation,FALSE),"")</f>
        <v/>
      </c>
      <c r="BW206" s="21" t="str">
        <f ca="1">IFERROR(VLOOKUP(AH206,OFFSET(abbreviation[],0,ColumnLanguage),ColumnAbbreviation,FALSE),"")</f>
        <v/>
      </c>
      <c r="BX206" s="21" t="str">
        <f ca="1">IFERROR(VLOOKUP(AJ206,OFFSET(abbreviation[],0,ColumnLanguage),ColumnAbbreviation,FALSE),"")</f>
        <v/>
      </c>
      <c r="BY206" s="21" t="str">
        <f ca="1">IFERROR(VLOOKUP(AL206,OFFSET(abbreviation[],0,ColumnLanguage),ColumnAbbreviation,FALSE),"")</f>
        <v/>
      </c>
      <c r="BZ206" s="21" t="str">
        <f t="shared" ca="1" si="23"/>
        <v>_</v>
      </c>
      <c r="CA206" s="21" t="str">
        <f ca="1">IFERROR(VLOOKUP(AP206,OFFSET(abbreviation[],0,ColumnLanguage),ColumnAbbreviation,FALSE),"")</f>
        <v/>
      </c>
      <c r="CB206" s="21" t="str">
        <f ca="1">IFERROR(VLOOKUP(AR206,OFFSET(abbreviation[],0,ColumnLanguage),ColumnAbbreviation,FALSE),"")</f>
        <v/>
      </c>
      <c r="CC206" s="21" t="str">
        <f ca="1">IFERROR(VLOOKUP(AT206,OFFSET(abbreviation[],0,ColumnLanguage),ColumnAbbreviation,FALSE),"")</f>
        <v/>
      </c>
      <c r="CD206" s="21" t="str">
        <f ca="1">IFERROR(VLOOKUP(AV206,OFFSET(abbreviation[],0,ColumnLanguage),ColumnAbbreviation,FALSE),"")</f>
        <v/>
      </c>
      <c r="CE206" s="21" t="str">
        <f t="shared" ca="1" si="24"/>
        <v>__</v>
      </c>
      <c r="CF206" s="21" t="str">
        <f ca="1">IFERROR(VLOOKUP(AX206,OFFSET(abbreviation[],0,ColumnLanguage),ColumnAbbreviation,FALSE),"")</f>
        <v/>
      </c>
      <c r="CG206" s="21" t="str">
        <f ca="1">IFERROR(VLOOKUP(AZ206,OFFSET(abbreviation[],0,ColumnLanguage),ColumnAbbreviation,FALSE),"")</f>
        <v/>
      </c>
      <c r="CH206" s="21" t="str">
        <f ca="1">IFERROR(VLOOKUP(BB206,OFFSET(abbreviation[],0,ColumnLanguage),ColumnAbbreviation,FALSE),"")</f>
        <v/>
      </c>
      <c r="CI206" s="21" t="str">
        <f ca="1">IFERROR(VLOOKUP(BD206,OFFSET(abbreviation[],0,ColumnLanguage),ColumnAbbreviation,FALSE),"")</f>
        <v/>
      </c>
      <c r="CJ206" s="21" t="str">
        <f ca="1">IFERROR(VLOOKUP(BF206,OFFSET(abbreviation[],0,ColumnLanguage),ColumnAbbreviation,FALSE),"")</f>
        <v/>
      </c>
      <c r="CK206" s="21" t="str">
        <f t="shared" ca="1" si="25"/>
        <v/>
      </c>
      <c r="CL206" s="21" t="str">
        <f t="shared" si="26"/>
        <v/>
      </c>
      <c r="CM206" s="52"/>
      <c r="CN206" s="57" t="str">
        <f t="shared" si="27"/>
        <v/>
      </c>
    </row>
    <row r="207" spans="14:92" x14ac:dyDescent="0.25">
      <c r="N207" s="58"/>
      <c r="P207" s="60"/>
      <c r="Q207" s="13"/>
      <c r="V207" s="60"/>
      <c r="X207" s="61"/>
      <c r="AB207" s="60"/>
      <c r="AN207" s="54"/>
      <c r="AS207" s="15"/>
      <c r="BH207" s="52"/>
      <c r="BI207" s="21" t="str">
        <f ca="1">IFERROR(VLOOKUP(C207,OFFSET(abbreviation[],0,ColumnLanguage),ColumnAbbreviation,FALSE),"")</f>
        <v/>
      </c>
      <c r="BJ207" s="21" t="str">
        <f ca="1">IFERROR(VLOOKUP(E207,OFFSET(abbreviation[],0,ColumnLanguage),ColumnAbbreviation,FALSE),"")</f>
        <v/>
      </c>
      <c r="BK207" s="21" t="str">
        <f ca="1">IFERROR(VLOOKUP(G207,OFFSET(abbreviation[],0,ColumnLanguage),ColumnAbbreviation,FALSE),"")</f>
        <v/>
      </c>
      <c r="BL207" s="21" t="str">
        <f ca="1">IFERROR(VLOOKUP(I207,OFFSET(abbreviation[],0,ColumnLanguage),ColumnAbbreviation,FALSE),"")</f>
        <v/>
      </c>
      <c r="BM207" s="21" t="str">
        <f ca="1">IFERROR(VLOOKUP(K207,OFFSET(abbreviation[],0,ColumnLanguage),ColumnAbbreviation,FALSE),"")</f>
        <v/>
      </c>
      <c r="BN207" s="21" t="str">
        <f t="shared" ca="1" si="21"/>
        <v/>
      </c>
      <c r="BO207" s="21" t="str">
        <f ca="1">IFERROR(VLOOKUP(N207,OFFSET(abbreviation[],0,ColumnLanguage),ColumnAbbreviation,FALSE),"")</f>
        <v/>
      </c>
      <c r="BP207" s="21" t="str">
        <f ca="1">IFERROR(VLOOKUP(P207,OFFSET(abbreviation[],0,ColumnLanguage),ColumnAbbreviation,FALSE),"")</f>
        <v/>
      </c>
      <c r="BQ207" s="21" t="str">
        <f ca="1">IFERROR(VLOOKUP(T207,OFFSET(abbreviation[],0,ColumnLanguage),ColumnAbbreviation,FALSE),"")</f>
        <v/>
      </c>
      <c r="BR207" s="21" t="str">
        <f ca="1">IFERROR(VLOOKUP(V207,OFFSET(abbreviation[],0,ColumnLanguage),ColumnAbbreviation,FALSE),"")</f>
        <v/>
      </c>
      <c r="BS207" s="21" t="str">
        <f ca="1">IFERROR(VLOOKUP(Z207,OFFSET(abbreviation[],0,ColumnLanguage),ColumnAbbreviation,FALSE),"")</f>
        <v/>
      </c>
      <c r="BT207" s="21" t="str">
        <f ca="1">IFERROR(VLOOKUP(AB207,OFFSET(abbreviation[],0,ColumnLanguage),ColumnAbbreviation,FALSE),"")</f>
        <v/>
      </c>
      <c r="BU207" s="21" t="str">
        <f t="shared" ca="1" si="22"/>
        <v>__</v>
      </c>
      <c r="BV207" s="21" t="str">
        <f ca="1">IFERROR(VLOOKUP(AF207,OFFSET(abbreviation[],0,ColumnLanguage),ColumnAbbreviation,FALSE),"")</f>
        <v/>
      </c>
      <c r="BW207" s="21" t="str">
        <f ca="1">IFERROR(VLOOKUP(AH207,OFFSET(abbreviation[],0,ColumnLanguage),ColumnAbbreviation,FALSE),"")</f>
        <v/>
      </c>
      <c r="BX207" s="21" t="str">
        <f ca="1">IFERROR(VLOOKUP(AJ207,OFFSET(abbreviation[],0,ColumnLanguage),ColumnAbbreviation,FALSE),"")</f>
        <v/>
      </c>
      <c r="BY207" s="21" t="str">
        <f ca="1">IFERROR(VLOOKUP(AL207,OFFSET(abbreviation[],0,ColumnLanguage),ColumnAbbreviation,FALSE),"")</f>
        <v/>
      </c>
      <c r="BZ207" s="21" t="str">
        <f t="shared" ca="1" si="23"/>
        <v>_</v>
      </c>
      <c r="CA207" s="21" t="str">
        <f ca="1">IFERROR(VLOOKUP(AP207,OFFSET(abbreviation[],0,ColumnLanguage),ColumnAbbreviation,FALSE),"")</f>
        <v/>
      </c>
      <c r="CB207" s="21" t="str">
        <f ca="1">IFERROR(VLOOKUP(AR207,OFFSET(abbreviation[],0,ColumnLanguage),ColumnAbbreviation,FALSE),"")</f>
        <v/>
      </c>
      <c r="CC207" s="21" t="str">
        <f ca="1">IFERROR(VLOOKUP(AT207,OFFSET(abbreviation[],0,ColumnLanguage),ColumnAbbreviation,FALSE),"")</f>
        <v/>
      </c>
      <c r="CD207" s="21" t="str">
        <f ca="1">IFERROR(VLOOKUP(AV207,OFFSET(abbreviation[],0,ColumnLanguage),ColumnAbbreviation,FALSE),"")</f>
        <v/>
      </c>
      <c r="CE207" s="21" t="str">
        <f t="shared" ca="1" si="24"/>
        <v>__</v>
      </c>
      <c r="CF207" s="21" t="str">
        <f ca="1">IFERROR(VLOOKUP(AX207,OFFSET(abbreviation[],0,ColumnLanguage),ColumnAbbreviation,FALSE),"")</f>
        <v/>
      </c>
      <c r="CG207" s="21" t="str">
        <f ca="1">IFERROR(VLOOKUP(AZ207,OFFSET(abbreviation[],0,ColumnLanguage),ColumnAbbreviation,FALSE),"")</f>
        <v/>
      </c>
      <c r="CH207" s="21" t="str">
        <f ca="1">IFERROR(VLOOKUP(BB207,OFFSET(abbreviation[],0,ColumnLanguage),ColumnAbbreviation,FALSE),"")</f>
        <v/>
      </c>
      <c r="CI207" s="21" t="str">
        <f ca="1">IFERROR(VLOOKUP(BD207,OFFSET(abbreviation[],0,ColumnLanguage),ColumnAbbreviation,FALSE),"")</f>
        <v/>
      </c>
      <c r="CJ207" s="21" t="str">
        <f ca="1">IFERROR(VLOOKUP(BF207,OFFSET(abbreviation[],0,ColumnLanguage),ColumnAbbreviation,FALSE),"")</f>
        <v/>
      </c>
      <c r="CK207" s="21" t="str">
        <f t="shared" ca="1" si="25"/>
        <v/>
      </c>
      <c r="CL207" s="21" t="str">
        <f t="shared" si="26"/>
        <v/>
      </c>
      <c r="CM207" s="52"/>
      <c r="CN207" s="57" t="str">
        <f t="shared" si="27"/>
        <v/>
      </c>
    </row>
    <row r="208" spans="14:92" x14ac:dyDescent="0.25">
      <c r="N208" s="58"/>
      <c r="P208" s="60"/>
      <c r="Q208" s="13"/>
      <c r="V208" s="60"/>
      <c r="X208" s="61"/>
      <c r="AB208" s="60"/>
      <c r="AN208" s="54"/>
      <c r="AS208" s="15"/>
      <c r="BH208" s="52"/>
      <c r="BI208" s="21" t="str">
        <f ca="1">IFERROR(VLOOKUP(C208,OFFSET(abbreviation[],0,ColumnLanguage),ColumnAbbreviation,FALSE),"")</f>
        <v/>
      </c>
      <c r="BJ208" s="21" t="str">
        <f ca="1">IFERROR(VLOOKUP(E208,OFFSET(abbreviation[],0,ColumnLanguage),ColumnAbbreviation,FALSE),"")</f>
        <v/>
      </c>
      <c r="BK208" s="21" t="str">
        <f ca="1">IFERROR(VLOOKUP(G208,OFFSET(abbreviation[],0,ColumnLanguage),ColumnAbbreviation,FALSE),"")</f>
        <v/>
      </c>
      <c r="BL208" s="21" t="str">
        <f ca="1">IFERROR(VLOOKUP(I208,OFFSET(abbreviation[],0,ColumnLanguage),ColumnAbbreviation,FALSE),"")</f>
        <v/>
      </c>
      <c r="BM208" s="21" t="str">
        <f ca="1">IFERROR(VLOOKUP(K208,OFFSET(abbreviation[],0,ColumnLanguage),ColumnAbbreviation,FALSE),"")</f>
        <v/>
      </c>
      <c r="BN208" s="21" t="str">
        <f t="shared" ca="1" si="21"/>
        <v/>
      </c>
      <c r="BO208" s="21" t="str">
        <f ca="1">IFERROR(VLOOKUP(N208,OFFSET(abbreviation[],0,ColumnLanguage),ColumnAbbreviation,FALSE),"")</f>
        <v/>
      </c>
      <c r="BP208" s="21" t="str">
        <f ca="1">IFERROR(VLOOKUP(P208,OFFSET(abbreviation[],0,ColumnLanguage),ColumnAbbreviation,FALSE),"")</f>
        <v/>
      </c>
      <c r="BQ208" s="21" t="str">
        <f ca="1">IFERROR(VLOOKUP(T208,OFFSET(abbreviation[],0,ColumnLanguage),ColumnAbbreviation,FALSE),"")</f>
        <v/>
      </c>
      <c r="BR208" s="21" t="str">
        <f ca="1">IFERROR(VLOOKUP(V208,OFFSET(abbreviation[],0,ColumnLanguage),ColumnAbbreviation,FALSE),"")</f>
        <v/>
      </c>
      <c r="BS208" s="21" t="str">
        <f ca="1">IFERROR(VLOOKUP(Z208,OFFSET(abbreviation[],0,ColumnLanguage),ColumnAbbreviation,FALSE),"")</f>
        <v/>
      </c>
      <c r="BT208" s="21" t="str">
        <f ca="1">IFERROR(VLOOKUP(AB208,OFFSET(abbreviation[],0,ColumnLanguage),ColumnAbbreviation,FALSE),"")</f>
        <v/>
      </c>
      <c r="BU208" s="21" t="str">
        <f t="shared" ca="1" si="22"/>
        <v>__</v>
      </c>
      <c r="BV208" s="21" t="str">
        <f ca="1">IFERROR(VLOOKUP(AF208,OFFSET(abbreviation[],0,ColumnLanguage),ColumnAbbreviation,FALSE),"")</f>
        <v/>
      </c>
      <c r="BW208" s="21" t="str">
        <f ca="1">IFERROR(VLOOKUP(AH208,OFFSET(abbreviation[],0,ColumnLanguage),ColumnAbbreviation,FALSE),"")</f>
        <v/>
      </c>
      <c r="BX208" s="21" t="str">
        <f ca="1">IFERROR(VLOOKUP(AJ208,OFFSET(abbreviation[],0,ColumnLanguage),ColumnAbbreviation,FALSE),"")</f>
        <v/>
      </c>
      <c r="BY208" s="21" t="str">
        <f ca="1">IFERROR(VLOOKUP(AL208,OFFSET(abbreviation[],0,ColumnLanguage),ColumnAbbreviation,FALSE),"")</f>
        <v/>
      </c>
      <c r="BZ208" s="21" t="str">
        <f t="shared" ca="1" si="23"/>
        <v>_</v>
      </c>
      <c r="CA208" s="21" t="str">
        <f ca="1">IFERROR(VLOOKUP(AP208,OFFSET(abbreviation[],0,ColumnLanguage),ColumnAbbreviation,FALSE),"")</f>
        <v/>
      </c>
      <c r="CB208" s="21" t="str">
        <f ca="1">IFERROR(VLOOKUP(AR208,OFFSET(abbreviation[],0,ColumnLanguage),ColumnAbbreviation,FALSE),"")</f>
        <v/>
      </c>
      <c r="CC208" s="21" t="str">
        <f ca="1">IFERROR(VLOOKUP(AT208,OFFSET(abbreviation[],0,ColumnLanguage),ColumnAbbreviation,FALSE),"")</f>
        <v/>
      </c>
      <c r="CD208" s="21" t="str">
        <f ca="1">IFERROR(VLOOKUP(AV208,OFFSET(abbreviation[],0,ColumnLanguage),ColumnAbbreviation,FALSE),"")</f>
        <v/>
      </c>
      <c r="CE208" s="21" t="str">
        <f t="shared" ca="1" si="24"/>
        <v>__</v>
      </c>
      <c r="CF208" s="21" t="str">
        <f ca="1">IFERROR(VLOOKUP(AX208,OFFSET(abbreviation[],0,ColumnLanguage),ColumnAbbreviation,FALSE),"")</f>
        <v/>
      </c>
      <c r="CG208" s="21" t="str">
        <f ca="1">IFERROR(VLOOKUP(AZ208,OFFSET(abbreviation[],0,ColumnLanguage),ColumnAbbreviation,FALSE),"")</f>
        <v/>
      </c>
      <c r="CH208" s="21" t="str">
        <f ca="1">IFERROR(VLOOKUP(BB208,OFFSET(abbreviation[],0,ColumnLanguage),ColumnAbbreviation,FALSE),"")</f>
        <v/>
      </c>
      <c r="CI208" s="21" t="str">
        <f ca="1">IFERROR(VLOOKUP(BD208,OFFSET(abbreviation[],0,ColumnLanguage),ColumnAbbreviation,FALSE),"")</f>
        <v/>
      </c>
      <c r="CJ208" s="21" t="str">
        <f ca="1">IFERROR(VLOOKUP(BF208,OFFSET(abbreviation[],0,ColumnLanguage),ColumnAbbreviation,FALSE),"")</f>
        <v/>
      </c>
      <c r="CK208" s="21" t="str">
        <f t="shared" ca="1" si="25"/>
        <v/>
      </c>
      <c r="CL208" s="21" t="str">
        <f t="shared" si="26"/>
        <v/>
      </c>
      <c r="CM208" s="52"/>
      <c r="CN208" s="57" t="str">
        <f t="shared" si="27"/>
        <v/>
      </c>
    </row>
    <row r="209" spans="14:92" x14ac:dyDescent="0.25">
      <c r="N209" s="58"/>
      <c r="P209" s="60"/>
      <c r="Q209" s="13"/>
      <c r="V209" s="60"/>
      <c r="X209" s="61"/>
      <c r="AB209" s="60"/>
      <c r="AN209" s="54"/>
      <c r="AS209" s="15"/>
      <c r="BH209" s="52"/>
      <c r="BI209" s="21" t="str">
        <f ca="1">IFERROR(VLOOKUP(C209,OFFSET(abbreviation[],0,ColumnLanguage),ColumnAbbreviation,FALSE),"")</f>
        <v/>
      </c>
      <c r="BJ209" s="21" t="str">
        <f ca="1">IFERROR(VLOOKUP(E209,OFFSET(abbreviation[],0,ColumnLanguage),ColumnAbbreviation,FALSE),"")</f>
        <v/>
      </c>
      <c r="BK209" s="21" t="str">
        <f ca="1">IFERROR(VLOOKUP(G209,OFFSET(abbreviation[],0,ColumnLanguage),ColumnAbbreviation,FALSE),"")</f>
        <v/>
      </c>
      <c r="BL209" s="21" t="str">
        <f ca="1">IFERROR(VLOOKUP(I209,OFFSET(abbreviation[],0,ColumnLanguage),ColumnAbbreviation,FALSE),"")</f>
        <v/>
      </c>
      <c r="BM209" s="21" t="str">
        <f ca="1">IFERROR(VLOOKUP(K209,OFFSET(abbreviation[],0,ColumnLanguage),ColumnAbbreviation,FALSE),"")</f>
        <v/>
      </c>
      <c r="BN209" s="21" t="str">
        <f t="shared" ca="1" si="21"/>
        <v/>
      </c>
      <c r="BO209" s="21" t="str">
        <f ca="1">IFERROR(VLOOKUP(N209,OFFSET(abbreviation[],0,ColumnLanguage),ColumnAbbreviation,FALSE),"")</f>
        <v/>
      </c>
      <c r="BP209" s="21" t="str">
        <f ca="1">IFERROR(VLOOKUP(P209,OFFSET(abbreviation[],0,ColumnLanguage),ColumnAbbreviation,FALSE),"")</f>
        <v/>
      </c>
      <c r="BQ209" s="21" t="str">
        <f ca="1">IFERROR(VLOOKUP(T209,OFFSET(abbreviation[],0,ColumnLanguage),ColumnAbbreviation,FALSE),"")</f>
        <v/>
      </c>
      <c r="BR209" s="21" t="str">
        <f ca="1">IFERROR(VLOOKUP(V209,OFFSET(abbreviation[],0,ColumnLanguage),ColumnAbbreviation,FALSE),"")</f>
        <v/>
      </c>
      <c r="BS209" s="21" t="str">
        <f ca="1">IFERROR(VLOOKUP(Z209,OFFSET(abbreviation[],0,ColumnLanguage),ColumnAbbreviation,FALSE),"")</f>
        <v/>
      </c>
      <c r="BT209" s="21" t="str">
        <f ca="1">IFERROR(VLOOKUP(AB209,OFFSET(abbreviation[],0,ColumnLanguage),ColumnAbbreviation,FALSE),"")</f>
        <v/>
      </c>
      <c r="BU209" s="21" t="str">
        <f t="shared" ca="1" si="22"/>
        <v>__</v>
      </c>
      <c r="BV209" s="21" t="str">
        <f ca="1">IFERROR(VLOOKUP(AF209,OFFSET(abbreviation[],0,ColumnLanguage),ColumnAbbreviation,FALSE),"")</f>
        <v/>
      </c>
      <c r="BW209" s="21" t="str">
        <f ca="1">IFERROR(VLOOKUP(AH209,OFFSET(abbreviation[],0,ColumnLanguage),ColumnAbbreviation,FALSE),"")</f>
        <v/>
      </c>
      <c r="BX209" s="21" t="str">
        <f ca="1">IFERROR(VLOOKUP(AJ209,OFFSET(abbreviation[],0,ColumnLanguage),ColumnAbbreviation,FALSE),"")</f>
        <v/>
      </c>
      <c r="BY209" s="21" t="str">
        <f ca="1">IFERROR(VLOOKUP(AL209,OFFSET(abbreviation[],0,ColumnLanguage),ColumnAbbreviation,FALSE),"")</f>
        <v/>
      </c>
      <c r="BZ209" s="21" t="str">
        <f t="shared" ca="1" si="23"/>
        <v>_</v>
      </c>
      <c r="CA209" s="21" t="str">
        <f ca="1">IFERROR(VLOOKUP(AP209,OFFSET(abbreviation[],0,ColumnLanguage),ColumnAbbreviation,FALSE),"")</f>
        <v/>
      </c>
      <c r="CB209" s="21" t="str">
        <f ca="1">IFERROR(VLOOKUP(AR209,OFFSET(abbreviation[],0,ColumnLanguage),ColumnAbbreviation,FALSE),"")</f>
        <v/>
      </c>
      <c r="CC209" s="21" t="str">
        <f ca="1">IFERROR(VLOOKUP(AT209,OFFSET(abbreviation[],0,ColumnLanguage),ColumnAbbreviation,FALSE),"")</f>
        <v/>
      </c>
      <c r="CD209" s="21" t="str">
        <f ca="1">IFERROR(VLOOKUP(AV209,OFFSET(abbreviation[],0,ColumnLanguage),ColumnAbbreviation,FALSE),"")</f>
        <v/>
      </c>
      <c r="CE209" s="21" t="str">
        <f t="shared" ca="1" si="24"/>
        <v>__</v>
      </c>
      <c r="CF209" s="21" t="str">
        <f ca="1">IFERROR(VLOOKUP(AX209,OFFSET(abbreviation[],0,ColumnLanguage),ColumnAbbreviation,FALSE),"")</f>
        <v/>
      </c>
      <c r="CG209" s="21" t="str">
        <f ca="1">IFERROR(VLOOKUP(AZ209,OFFSET(abbreviation[],0,ColumnLanguage),ColumnAbbreviation,FALSE),"")</f>
        <v/>
      </c>
      <c r="CH209" s="21" t="str">
        <f ca="1">IFERROR(VLOOKUP(BB209,OFFSET(abbreviation[],0,ColumnLanguage),ColumnAbbreviation,FALSE),"")</f>
        <v/>
      </c>
      <c r="CI209" s="21" t="str">
        <f ca="1">IFERROR(VLOOKUP(BD209,OFFSET(abbreviation[],0,ColumnLanguage),ColumnAbbreviation,FALSE),"")</f>
        <v/>
      </c>
      <c r="CJ209" s="21" t="str">
        <f ca="1">IFERROR(VLOOKUP(BF209,OFFSET(abbreviation[],0,ColumnLanguage),ColumnAbbreviation,FALSE),"")</f>
        <v/>
      </c>
      <c r="CK209" s="21" t="str">
        <f t="shared" ca="1" si="25"/>
        <v/>
      </c>
      <c r="CL209" s="21" t="str">
        <f t="shared" si="26"/>
        <v/>
      </c>
      <c r="CM209" s="52"/>
      <c r="CN209" s="57" t="str">
        <f t="shared" si="27"/>
        <v/>
      </c>
    </row>
    <row r="210" spans="14:92" x14ac:dyDescent="0.25">
      <c r="N210" s="58"/>
      <c r="P210" s="60"/>
      <c r="Q210" s="13"/>
      <c r="V210" s="60"/>
      <c r="X210" s="61"/>
      <c r="AB210" s="60"/>
      <c r="AN210" s="54"/>
      <c r="AS210" s="15"/>
      <c r="BH210" s="52"/>
      <c r="BI210" s="21" t="str">
        <f ca="1">IFERROR(VLOOKUP(C210,OFFSET(abbreviation[],0,ColumnLanguage),ColumnAbbreviation,FALSE),"")</f>
        <v/>
      </c>
      <c r="BJ210" s="21" t="str">
        <f ca="1">IFERROR(VLOOKUP(E210,OFFSET(abbreviation[],0,ColumnLanguage),ColumnAbbreviation,FALSE),"")</f>
        <v/>
      </c>
      <c r="BK210" s="21" t="str">
        <f ca="1">IFERROR(VLOOKUP(G210,OFFSET(abbreviation[],0,ColumnLanguage),ColumnAbbreviation,FALSE),"")</f>
        <v/>
      </c>
      <c r="BL210" s="21" t="str">
        <f ca="1">IFERROR(VLOOKUP(I210,OFFSET(abbreviation[],0,ColumnLanguage),ColumnAbbreviation,FALSE),"")</f>
        <v/>
      </c>
      <c r="BM210" s="21" t="str">
        <f ca="1">IFERROR(VLOOKUP(K210,OFFSET(abbreviation[],0,ColumnLanguage),ColumnAbbreviation,FALSE),"")</f>
        <v/>
      </c>
      <c r="BN210" s="21" t="str">
        <f t="shared" ca="1" si="21"/>
        <v/>
      </c>
      <c r="BO210" s="21" t="str">
        <f ca="1">IFERROR(VLOOKUP(N210,OFFSET(abbreviation[],0,ColumnLanguage),ColumnAbbreviation,FALSE),"")</f>
        <v/>
      </c>
      <c r="BP210" s="21" t="str">
        <f ca="1">IFERROR(VLOOKUP(P210,OFFSET(abbreviation[],0,ColumnLanguage),ColumnAbbreviation,FALSE),"")</f>
        <v/>
      </c>
      <c r="BQ210" s="21" t="str">
        <f ca="1">IFERROR(VLOOKUP(T210,OFFSET(abbreviation[],0,ColumnLanguage),ColumnAbbreviation,FALSE),"")</f>
        <v/>
      </c>
      <c r="BR210" s="21" t="str">
        <f ca="1">IFERROR(VLOOKUP(V210,OFFSET(abbreviation[],0,ColumnLanguage),ColumnAbbreviation,FALSE),"")</f>
        <v/>
      </c>
      <c r="BS210" s="21" t="str">
        <f ca="1">IFERROR(VLOOKUP(Z210,OFFSET(abbreviation[],0,ColumnLanguage),ColumnAbbreviation,FALSE),"")</f>
        <v/>
      </c>
      <c r="BT210" s="21" t="str">
        <f ca="1">IFERROR(VLOOKUP(AB210,OFFSET(abbreviation[],0,ColumnLanguage),ColumnAbbreviation,FALSE),"")</f>
        <v/>
      </c>
      <c r="BU210" s="21" t="str">
        <f t="shared" ca="1" si="22"/>
        <v>__</v>
      </c>
      <c r="BV210" s="21" t="str">
        <f ca="1">IFERROR(VLOOKUP(AF210,OFFSET(abbreviation[],0,ColumnLanguage),ColumnAbbreviation,FALSE),"")</f>
        <v/>
      </c>
      <c r="BW210" s="21" t="str">
        <f ca="1">IFERROR(VLOOKUP(AH210,OFFSET(abbreviation[],0,ColumnLanguage),ColumnAbbreviation,FALSE),"")</f>
        <v/>
      </c>
      <c r="BX210" s="21" t="str">
        <f ca="1">IFERROR(VLOOKUP(AJ210,OFFSET(abbreviation[],0,ColumnLanguage),ColumnAbbreviation,FALSE),"")</f>
        <v/>
      </c>
      <c r="BY210" s="21" t="str">
        <f ca="1">IFERROR(VLOOKUP(AL210,OFFSET(abbreviation[],0,ColumnLanguage),ColumnAbbreviation,FALSE),"")</f>
        <v/>
      </c>
      <c r="BZ210" s="21" t="str">
        <f t="shared" ca="1" si="23"/>
        <v>_</v>
      </c>
      <c r="CA210" s="21" t="str">
        <f ca="1">IFERROR(VLOOKUP(AP210,OFFSET(abbreviation[],0,ColumnLanguage),ColumnAbbreviation,FALSE),"")</f>
        <v/>
      </c>
      <c r="CB210" s="21" t="str">
        <f ca="1">IFERROR(VLOOKUP(AR210,OFFSET(abbreviation[],0,ColumnLanguage),ColumnAbbreviation,FALSE),"")</f>
        <v/>
      </c>
      <c r="CC210" s="21" t="str">
        <f ca="1">IFERROR(VLOOKUP(AT210,OFFSET(abbreviation[],0,ColumnLanguage),ColumnAbbreviation,FALSE),"")</f>
        <v/>
      </c>
      <c r="CD210" s="21" t="str">
        <f ca="1">IFERROR(VLOOKUP(AV210,OFFSET(abbreviation[],0,ColumnLanguage),ColumnAbbreviation,FALSE),"")</f>
        <v/>
      </c>
      <c r="CE210" s="21" t="str">
        <f t="shared" ca="1" si="24"/>
        <v>__</v>
      </c>
      <c r="CF210" s="21" t="str">
        <f ca="1">IFERROR(VLOOKUP(AX210,OFFSET(abbreviation[],0,ColumnLanguage),ColumnAbbreviation,FALSE),"")</f>
        <v/>
      </c>
      <c r="CG210" s="21" t="str">
        <f ca="1">IFERROR(VLOOKUP(AZ210,OFFSET(abbreviation[],0,ColumnLanguage),ColumnAbbreviation,FALSE),"")</f>
        <v/>
      </c>
      <c r="CH210" s="21" t="str">
        <f ca="1">IFERROR(VLOOKUP(BB210,OFFSET(abbreviation[],0,ColumnLanguage),ColumnAbbreviation,FALSE),"")</f>
        <v/>
      </c>
      <c r="CI210" s="21" t="str">
        <f ca="1">IFERROR(VLOOKUP(BD210,OFFSET(abbreviation[],0,ColumnLanguage),ColumnAbbreviation,FALSE),"")</f>
        <v/>
      </c>
      <c r="CJ210" s="21" t="str">
        <f ca="1">IFERROR(VLOOKUP(BF210,OFFSET(abbreviation[],0,ColumnLanguage),ColumnAbbreviation,FALSE),"")</f>
        <v/>
      </c>
      <c r="CK210" s="21" t="str">
        <f t="shared" ca="1" si="25"/>
        <v/>
      </c>
      <c r="CL210" s="21" t="str">
        <f t="shared" si="26"/>
        <v/>
      </c>
      <c r="CM210" s="52"/>
      <c r="CN210" s="57" t="str">
        <f t="shared" si="27"/>
        <v/>
      </c>
    </row>
    <row r="211" spans="14:92" x14ac:dyDescent="0.25">
      <c r="N211" s="58"/>
      <c r="P211" s="60"/>
      <c r="Q211" s="13"/>
      <c r="V211" s="60"/>
      <c r="X211" s="61"/>
      <c r="AB211" s="60"/>
      <c r="AN211" s="54"/>
      <c r="AS211" s="15"/>
      <c r="BH211" s="52"/>
      <c r="BI211" s="21" t="str">
        <f ca="1">IFERROR(VLOOKUP(C211,OFFSET(abbreviation[],0,ColumnLanguage),ColumnAbbreviation,FALSE),"")</f>
        <v/>
      </c>
      <c r="BJ211" s="21" t="str">
        <f ca="1">IFERROR(VLOOKUP(E211,OFFSET(abbreviation[],0,ColumnLanguage),ColumnAbbreviation,FALSE),"")</f>
        <v/>
      </c>
      <c r="BK211" s="21" t="str">
        <f ca="1">IFERROR(VLOOKUP(G211,OFFSET(abbreviation[],0,ColumnLanguage),ColumnAbbreviation,FALSE),"")</f>
        <v/>
      </c>
      <c r="BL211" s="21" t="str">
        <f ca="1">IFERROR(VLOOKUP(I211,OFFSET(abbreviation[],0,ColumnLanguage),ColumnAbbreviation,FALSE),"")</f>
        <v/>
      </c>
      <c r="BM211" s="21" t="str">
        <f ca="1">IFERROR(VLOOKUP(K211,OFFSET(abbreviation[],0,ColumnLanguage),ColumnAbbreviation,FALSE),"")</f>
        <v/>
      </c>
      <c r="BN211" s="21" t="str">
        <f t="shared" ca="1" si="21"/>
        <v/>
      </c>
      <c r="BO211" s="21" t="str">
        <f ca="1">IFERROR(VLOOKUP(N211,OFFSET(abbreviation[],0,ColumnLanguage),ColumnAbbreviation,FALSE),"")</f>
        <v/>
      </c>
      <c r="BP211" s="21" t="str">
        <f ca="1">IFERROR(VLOOKUP(P211,OFFSET(abbreviation[],0,ColumnLanguage),ColumnAbbreviation,FALSE),"")</f>
        <v/>
      </c>
      <c r="BQ211" s="21" t="str">
        <f ca="1">IFERROR(VLOOKUP(T211,OFFSET(abbreviation[],0,ColumnLanguage),ColumnAbbreviation,FALSE),"")</f>
        <v/>
      </c>
      <c r="BR211" s="21" t="str">
        <f ca="1">IFERROR(VLOOKUP(V211,OFFSET(abbreviation[],0,ColumnLanguage),ColumnAbbreviation,FALSE),"")</f>
        <v/>
      </c>
      <c r="BS211" s="21" t="str">
        <f ca="1">IFERROR(VLOOKUP(Z211,OFFSET(abbreviation[],0,ColumnLanguage),ColumnAbbreviation,FALSE),"")</f>
        <v/>
      </c>
      <c r="BT211" s="21" t="str">
        <f ca="1">IFERROR(VLOOKUP(AB211,OFFSET(abbreviation[],0,ColumnLanguage),ColumnAbbreviation,FALSE),"")</f>
        <v/>
      </c>
      <c r="BU211" s="21" t="str">
        <f t="shared" ca="1" si="22"/>
        <v>__</v>
      </c>
      <c r="BV211" s="21" t="str">
        <f ca="1">IFERROR(VLOOKUP(AF211,OFFSET(abbreviation[],0,ColumnLanguage),ColumnAbbreviation,FALSE),"")</f>
        <v/>
      </c>
      <c r="BW211" s="21" t="str">
        <f ca="1">IFERROR(VLOOKUP(AH211,OFFSET(abbreviation[],0,ColumnLanguage),ColumnAbbreviation,FALSE),"")</f>
        <v/>
      </c>
      <c r="BX211" s="21" t="str">
        <f ca="1">IFERROR(VLOOKUP(AJ211,OFFSET(abbreviation[],0,ColumnLanguage),ColumnAbbreviation,FALSE),"")</f>
        <v/>
      </c>
      <c r="BY211" s="21" t="str">
        <f ca="1">IFERROR(VLOOKUP(AL211,OFFSET(abbreviation[],0,ColumnLanguage),ColumnAbbreviation,FALSE),"")</f>
        <v/>
      </c>
      <c r="BZ211" s="21" t="str">
        <f t="shared" ca="1" si="23"/>
        <v>_</v>
      </c>
      <c r="CA211" s="21" t="str">
        <f ca="1">IFERROR(VLOOKUP(AP211,OFFSET(abbreviation[],0,ColumnLanguage),ColumnAbbreviation,FALSE),"")</f>
        <v/>
      </c>
      <c r="CB211" s="21" t="str">
        <f ca="1">IFERROR(VLOOKUP(AR211,OFFSET(abbreviation[],0,ColumnLanguage),ColumnAbbreviation,FALSE),"")</f>
        <v/>
      </c>
      <c r="CC211" s="21" t="str">
        <f ca="1">IFERROR(VLOOKUP(AT211,OFFSET(abbreviation[],0,ColumnLanguage),ColumnAbbreviation,FALSE),"")</f>
        <v/>
      </c>
      <c r="CD211" s="21" t="str">
        <f ca="1">IFERROR(VLOOKUP(AV211,OFFSET(abbreviation[],0,ColumnLanguage),ColumnAbbreviation,FALSE),"")</f>
        <v/>
      </c>
      <c r="CE211" s="21" t="str">
        <f t="shared" ca="1" si="24"/>
        <v>__</v>
      </c>
      <c r="CF211" s="21" t="str">
        <f ca="1">IFERROR(VLOOKUP(AX211,OFFSET(abbreviation[],0,ColumnLanguage),ColumnAbbreviation,FALSE),"")</f>
        <v/>
      </c>
      <c r="CG211" s="21" t="str">
        <f ca="1">IFERROR(VLOOKUP(AZ211,OFFSET(abbreviation[],0,ColumnLanguage),ColumnAbbreviation,FALSE),"")</f>
        <v/>
      </c>
      <c r="CH211" s="21" t="str">
        <f ca="1">IFERROR(VLOOKUP(BB211,OFFSET(abbreviation[],0,ColumnLanguage),ColumnAbbreviation,FALSE),"")</f>
        <v/>
      </c>
      <c r="CI211" s="21" t="str">
        <f ca="1">IFERROR(VLOOKUP(BD211,OFFSET(abbreviation[],0,ColumnLanguage),ColumnAbbreviation,FALSE),"")</f>
        <v/>
      </c>
      <c r="CJ211" s="21" t="str">
        <f ca="1">IFERROR(VLOOKUP(BF211,OFFSET(abbreviation[],0,ColumnLanguage),ColumnAbbreviation,FALSE),"")</f>
        <v/>
      </c>
      <c r="CK211" s="21" t="str">
        <f t="shared" ca="1" si="25"/>
        <v/>
      </c>
      <c r="CL211" s="21" t="str">
        <f t="shared" si="26"/>
        <v/>
      </c>
      <c r="CM211" s="52"/>
      <c r="CN211" s="57" t="str">
        <f t="shared" si="27"/>
        <v/>
      </c>
    </row>
    <row r="212" spans="14:92" x14ac:dyDescent="0.25">
      <c r="N212" s="58"/>
      <c r="P212" s="60"/>
      <c r="Q212" s="13"/>
      <c r="V212" s="60"/>
      <c r="X212" s="61"/>
      <c r="AB212" s="60"/>
      <c r="AN212" s="54"/>
      <c r="AS212" s="15"/>
      <c r="BH212" s="52"/>
      <c r="BI212" s="21" t="str">
        <f ca="1">IFERROR(VLOOKUP(C212,OFFSET(abbreviation[],0,ColumnLanguage),ColumnAbbreviation,FALSE),"")</f>
        <v/>
      </c>
      <c r="BJ212" s="21" t="str">
        <f ca="1">IFERROR(VLOOKUP(E212,OFFSET(abbreviation[],0,ColumnLanguage),ColumnAbbreviation,FALSE),"")</f>
        <v/>
      </c>
      <c r="BK212" s="21" t="str">
        <f ca="1">IFERROR(VLOOKUP(G212,OFFSET(abbreviation[],0,ColumnLanguage),ColumnAbbreviation,FALSE),"")</f>
        <v/>
      </c>
      <c r="BL212" s="21" t="str">
        <f ca="1">IFERROR(VLOOKUP(I212,OFFSET(abbreviation[],0,ColumnLanguage),ColumnAbbreviation,FALSE),"")</f>
        <v/>
      </c>
      <c r="BM212" s="21" t="str">
        <f ca="1">IFERROR(VLOOKUP(K212,OFFSET(abbreviation[],0,ColumnLanguage),ColumnAbbreviation,FALSE),"")</f>
        <v/>
      </c>
      <c r="BN212" s="21" t="str">
        <f t="shared" ca="1" si="21"/>
        <v/>
      </c>
      <c r="BO212" s="21" t="str">
        <f ca="1">IFERROR(VLOOKUP(N212,OFFSET(abbreviation[],0,ColumnLanguage),ColumnAbbreviation,FALSE),"")</f>
        <v/>
      </c>
      <c r="BP212" s="21" t="str">
        <f ca="1">IFERROR(VLOOKUP(P212,OFFSET(abbreviation[],0,ColumnLanguage),ColumnAbbreviation,FALSE),"")</f>
        <v/>
      </c>
      <c r="BQ212" s="21" t="str">
        <f ca="1">IFERROR(VLOOKUP(T212,OFFSET(abbreviation[],0,ColumnLanguage),ColumnAbbreviation,FALSE),"")</f>
        <v/>
      </c>
      <c r="BR212" s="21" t="str">
        <f ca="1">IFERROR(VLOOKUP(V212,OFFSET(abbreviation[],0,ColumnLanguage),ColumnAbbreviation,FALSE),"")</f>
        <v/>
      </c>
      <c r="BS212" s="21" t="str">
        <f ca="1">IFERROR(VLOOKUP(Z212,OFFSET(abbreviation[],0,ColumnLanguage),ColumnAbbreviation,FALSE),"")</f>
        <v/>
      </c>
      <c r="BT212" s="21" t="str">
        <f ca="1">IFERROR(VLOOKUP(AB212,OFFSET(abbreviation[],0,ColumnLanguage),ColumnAbbreviation,FALSE),"")</f>
        <v/>
      </c>
      <c r="BU212" s="21" t="str">
        <f t="shared" ca="1" si="22"/>
        <v>__</v>
      </c>
      <c r="BV212" s="21" t="str">
        <f ca="1">IFERROR(VLOOKUP(AF212,OFFSET(abbreviation[],0,ColumnLanguage),ColumnAbbreviation,FALSE),"")</f>
        <v/>
      </c>
      <c r="BW212" s="21" t="str">
        <f ca="1">IFERROR(VLOOKUP(AH212,OFFSET(abbreviation[],0,ColumnLanguage),ColumnAbbreviation,FALSE),"")</f>
        <v/>
      </c>
      <c r="BX212" s="21" t="str">
        <f ca="1">IFERROR(VLOOKUP(AJ212,OFFSET(abbreviation[],0,ColumnLanguage),ColumnAbbreviation,FALSE),"")</f>
        <v/>
      </c>
      <c r="BY212" s="21" t="str">
        <f ca="1">IFERROR(VLOOKUP(AL212,OFFSET(abbreviation[],0,ColumnLanguage),ColumnAbbreviation,FALSE),"")</f>
        <v/>
      </c>
      <c r="BZ212" s="21" t="str">
        <f t="shared" ca="1" si="23"/>
        <v>_</v>
      </c>
      <c r="CA212" s="21" t="str">
        <f ca="1">IFERROR(VLOOKUP(AP212,OFFSET(abbreviation[],0,ColumnLanguage),ColumnAbbreviation,FALSE),"")</f>
        <v/>
      </c>
      <c r="CB212" s="21" t="str">
        <f ca="1">IFERROR(VLOOKUP(AR212,OFFSET(abbreviation[],0,ColumnLanguage),ColumnAbbreviation,FALSE),"")</f>
        <v/>
      </c>
      <c r="CC212" s="21" t="str">
        <f ca="1">IFERROR(VLOOKUP(AT212,OFFSET(abbreviation[],0,ColumnLanguage),ColumnAbbreviation,FALSE),"")</f>
        <v/>
      </c>
      <c r="CD212" s="21" t="str">
        <f ca="1">IFERROR(VLOOKUP(AV212,OFFSET(abbreviation[],0,ColumnLanguage),ColumnAbbreviation,FALSE),"")</f>
        <v/>
      </c>
      <c r="CE212" s="21" t="str">
        <f t="shared" ca="1" si="24"/>
        <v>__</v>
      </c>
      <c r="CF212" s="21" t="str">
        <f ca="1">IFERROR(VLOOKUP(AX212,OFFSET(abbreviation[],0,ColumnLanguage),ColumnAbbreviation,FALSE),"")</f>
        <v/>
      </c>
      <c r="CG212" s="21" t="str">
        <f ca="1">IFERROR(VLOOKUP(AZ212,OFFSET(abbreviation[],0,ColumnLanguage),ColumnAbbreviation,FALSE),"")</f>
        <v/>
      </c>
      <c r="CH212" s="21" t="str">
        <f ca="1">IFERROR(VLOOKUP(BB212,OFFSET(abbreviation[],0,ColumnLanguage),ColumnAbbreviation,FALSE),"")</f>
        <v/>
      </c>
      <c r="CI212" s="21" t="str">
        <f ca="1">IFERROR(VLOOKUP(BD212,OFFSET(abbreviation[],0,ColumnLanguage),ColumnAbbreviation,FALSE),"")</f>
        <v/>
      </c>
      <c r="CJ212" s="21" t="str">
        <f ca="1">IFERROR(VLOOKUP(BF212,OFFSET(abbreviation[],0,ColumnLanguage),ColumnAbbreviation,FALSE),"")</f>
        <v/>
      </c>
      <c r="CK212" s="21" t="str">
        <f t="shared" ca="1" si="25"/>
        <v/>
      </c>
      <c r="CL212" s="21" t="str">
        <f t="shared" si="26"/>
        <v/>
      </c>
      <c r="CM212" s="52"/>
      <c r="CN212" s="57" t="str">
        <f t="shared" si="27"/>
        <v/>
      </c>
    </row>
    <row r="213" spans="14:92" x14ac:dyDescent="0.25">
      <c r="N213" s="58"/>
      <c r="P213" s="60"/>
      <c r="Q213" s="13"/>
      <c r="V213" s="60"/>
      <c r="X213" s="61"/>
      <c r="AB213" s="60"/>
      <c r="AN213" s="54"/>
      <c r="AS213" s="15"/>
      <c r="BH213" s="52"/>
      <c r="BI213" s="21" t="str">
        <f ca="1">IFERROR(VLOOKUP(C213,OFFSET(abbreviation[],0,ColumnLanguage),ColumnAbbreviation,FALSE),"")</f>
        <v/>
      </c>
      <c r="BJ213" s="21" t="str">
        <f ca="1">IFERROR(VLOOKUP(E213,OFFSET(abbreviation[],0,ColumnLanguage),ColumnAbbreviation,FALSE),"")</f>
        <v/>
      </c>
      <c r="BK213" s="21" t="str">
        <f ca="1">IFERROR(VLOOKUP(G213,OFFSET(abbreviation[],0,ColumnLanguage),ColumnAbbreviation,FALSE),"")</f>
        <v/>
      </c>
      <c r="BL213" s="21" t="str">
        <f ca="1">IFERROR(VLOOKUP(I213,OFFSET(abbreviation[],0,ColumnLanguage),ColumnAbbreviation,FALSE),"")</f>
        <v/>
      </c>
      <c r="BM213" s="21" t="str">
        <f ca="1">IFERROR(VLOOKUP(K213,OFFSET(abbreviation[],0,ColumnLanguage),ColumnAbbreviation,FALSE),"")</f>
        <v/>
      </c>
      <c r="BN213" s="21" t="str">
        <f t="shared" ca="1" si="21"/>
        <v/>
      </c>
      <c r="BO213" s="21" t="str">
        <f ca="1">IFERROR(VLOOKUP(N213,OFFSET(abbreviation[],0,ColumnLanguage),ColumnAbbreviation,FALSE),"")</f>
        <v/>
      </c>
      <c r="BP213" s="21" t="str">
        <f ca="1">IFERROR(VLOOKUP(P213,OFFSET(abbreviation[],0,ColumnLanguage),ColumnAbbreviation,FALSE),"")</f>
        <v/>
      </c>
      <c r="BQ213" s="21" t="str">
        <f ca="1">IFERROR(VLOOKUP(T213,OFFSET(abbreviation[],0,ColumnLanguage),ColumnAbbreviation,FALSE),"")</f>
        <v/>
      </c>
      <c r="BR213" s="21" t="str">
        <f ca="1">IFERROR(VLOOKUP(V213,OFFSET(abbreviation[],0,ColumnLanguage),ColumnAbbreviation,FALSE),"")</f>
        <v/>
      </c>
      <c r="BS213" s="21" t="str">
        <f ca="1">IFERROR(VLOOKUP(Z213,OFFSET(abbreviation[],0,ColumnLanguage),ColumnAbbreviation,FALSE),"")</f>
        <v/>
      </c>
      <c r="BT213" s="21" t="str">
        <f ca="1">IFERROR(VLOOKUP(AB213,OFFSET(abbreviation[],0,ColumnLanguage),ColumnAbbreviation,FALSE),"")</f>
        <v/>
      </c>
      <c r="BU213" s="21" t="str">
        <f t="shared" ca="1" si="22"/>
        <v>__</v>
      </c>
      <c r="BV213" s="21" t="str">
        <f ca="1">IFERROR(VLOOKUP(AF213,OFFSET(abbreviation[],0,ColumnLanguage),ColumnAbbreviation,FALSE),"")</f>
        <v/>
      </c>
      <c r="BW213" s="21" t="str">
        <f ca="1">IFERROR(VLOOKUP(AH213,OFFSET(abbreviation[],0,ColumnLanguage),ColumnAbbreviation,FALSE),"")</f>
        <v/>
      </c>
      <c r="BX213" s="21" t="str">
        <f ca="1">IFERROR(VLOOKUP(AJ213,OFFSET(abbreviation[],0,ColumnLanguage),ColumnAbbreviation,FALSE),"")</f>
        <v/>
      </c>
      <c r="BY213" s="21" t="str">
        <f ca="1">IFERROR(VLOOKUP(AL213,OFFSET(abbreviation[],0,ColumnLanguage),ColumnAbbreviation,FALSE),"")</f>
        <v/>
      </c>
      <c r="BZ213" s="21" t="str">
        <f t="shared" ca="1" si="23"/>
        <v>_</v>
      </c>
      <c r="CA213" s="21" t="str">
        <f ca="1">IFERROR(VLOOKUP(AP213,OFFSET(abbreviation[],0,ColumnLanguage),ColumnAbbreviation,FALSE),"")</f>
        <v/>
      </c>
      <c r="CB213" s="21" t="str">
        <f ca="1">IFERROR(VLOOKUP(AR213,OFFSET(abbreviation[],0,ColumnLanguage),ColumnAbbreviation,FALSE),"")</f>
        <v/>
      </c>
      <c r="CC213" s="21" t="str">
        <f ca="1">IFERROR(VLOOKUP(AT213,OFFSET(abbreviation[],0,ColumnLanguage),ColumnAbbreviation,FALSE),"")</f>
        <v/>
      </c>
      <c r="CD213" s="21" t="str">
        <f ca="1">IFERROR(VLOOKUP(AV213,OFFSET(abbreviation[],0,ColumnLanguage),ColumnAbbreviation,FALSE),"")</f>
        <v/>
      </c>
      <c r="CE213" s="21" t="str">
        <f t="shared" ca="1" si="24"/>
        <v>__</v>
      </c>
      <c r="CF213" s="21" t="str">
        <f ca="1">IFERROR(VLOOKUP(AX213,OFFSET(abbreviation[],0,ColumnLanguage),ColumnAbbreviation,FALSE),"")</f>
        <v/>
      </c>
      <c r="CG213" s="21" t="str">
        <f ca="1">IFERROR(VLOOKUP(AZ213,OFFSET(abbreviation[],0,ColumnLanguage),ColumnAbbreviation,FALSE),"")</f>
        <v/>
      </c>
      <c r="CH213" s="21" t="str">
        <f ca="1">IFERROR(VLOOKUP(BB213,OFFSET(abbreviation[],0,ColumnLanguage),ColumnAbbreviation,FALSE),"")</f>
        <v/>
      </c>
      <c r="CI213" s="21" t="str">
        <f ca="1">IFERROR(VLOOKUP(BD213,OFFSET(abbreviation[],0,ColumnLanguage),ColumnAbbreviation,FALSE),"")</f>
        <v/>
      </c>
      <c r="CJ213" s="21" t="str">
        <f ca="1">IFERROR(VLOOKUP(BF213,OFFSET(abbreviation[],0,ColumnLanguage),ColumnAbbreviation,FALSE),"")</f>
        <v/>
      </c>
      <c r="CK213" s="21" t="str">
        <f t="shared" ca="1" si="25"/>
        <v/>
      </c>
      <c r="CL213" s="21" t="str">
        <f t="shared" si="26"/>
        <v/>
      </c>
      <c r="CM213" s="52"/>
      <c r="CN213" s="57" t="str">
        <f t="shared" si="27"/>
        <v/>
      </c>
    </row>
    <row r="214" spans="14:92" x14ac:dyDescent="0.25">
      <c r="N214" s="58"/>
      <c r="P214" s="60"/>
      <c r="Q214" s="13"/>
      <c r="V214" s="60"/>
      <c r="X214" s="61"/>
      <c r="AB214" s="60"/>
      <c r="AN214" s="54"/>
      <c r="AS214" s="15"/>
      <c r="BH214" s="52"/>
      <c r="BI214" s="21" t="str">
        <f ca="1">IFERROR(VLOOKUP(C214,OFFSET(abbreviation[],0,ColumnLanguage),ColumnAbbreviation,FALSE),"")</f>
        <v/>
      </c>
      <c r="BJ214" s="21" t="str">
        <f ca="1">IFERROR(VLOOKUP(E214,OFFSET(abbreviation[],0,ColumnLanguage),ColumnAbbreviation,FALSE),"")</f>
        <v/>
      </c>
      <c r="BK214" s="21" t="str">
        <f ca="1">IFERROR(VLOOKUP(G214,OFFSET(abbreviation[],0,ColumnLanguage),ColumnAbbreviation,FALSE),"")</f>
        <v/>
      </c>
      <c r="BL214" s="21" t="str">
        <f ca="1">IFERROR(VLOOKUP(I214,OFFSET(abbreviation[],0,ColumnLanguage),ColumnAbbreviation,FALSE),"")</f>
        <v/>
      </c>
      <c r="BM214" s="21" t="str">
        <f ca="1">IFERROR(VLOOKUP(K214,OFFSET(abbreviation[],0,ColumnLanguage),ColumnAbbreviation,FALSE),"")</f>
        <v/>
      </c>
      <c r="BN214" s="21" t="str">
        <f t="shared" ca="1" si="21"/>
        <v/>
      </c>
      <c r="BO214" s="21" t="str">
        <f ca="1">IFERROR(VLOOKUP(N214,OFFSET(abbreviation[],0,ColumnLanguage),ColumnAbbreviation,FALSE),"")</f>
        <v/>
      </c>
      <c r="BP214" s="21" t="str">
        <f ca="1">IFERROR(VLOOKUP(P214,OFFSET(abbreviation[],0,ColumnLanguage),ColumnAbbreviation,FALSE),"")</f>
        <v/>
      </c>
      <c r="BQ214" s="21" t="str">
        <f ca="1">IFERROR(VLOOKUP(T214,OFFSET(abbreviation[],0,ColumnLanguage),ColumnAbbreviation,FALSE),"")</f>
        <v/>
      </c>
      <c r="BR214" s="21" t="str">
        <f ca="1">IFERROR(VLOOKUP(V214,OFFSET(abbreviation[],0,ColumnLanguage),ColumnAbbreviation,FALSE),"")</f>
        <v/>
      </c>
      <c r="BS214" s="21" t="str">
        <f ca="1">IFERROR(VLOOKUP(Z214,OFFSET(abbreviation[],0,ColumnLanguage),ColumnAbbreviation,FALSE),"")</f>
        <v/>
      </c>
      <c r="BT214" s="21" t="str">
        <f ca="1">IFERROR(VLOOKUP(AB214,OFFSET(abbreviation[],0,ColumnLanguage),ColumnAbbreviation,FALSE),"")</f>
        <v/>
      </c>
      <c r="BU214" s="21" t="str">
        <f t="shared" ca="1" si="22"/>
        <v>__</v>
      </c>
      <c r="BV214" s="21" t="str">
        <f ca="1">IFERROR(VLOOKUP(AF214,OFFSET(abbreviation[],0,ColumnLanguage),ColumnAbbreviation,FALSE),"")</f>
        <v/>
      </c>
      <c r="BW214" s="21" t="str">
        <f ca="1">IFERROR(VLOOKUP(AH214,OFFSET(abbreviation[],0,ColumnLanguage),ColumnAbbreviation,FALSE),"")</f>
        <v/>
      </c>
      <c r="BX214" s="21" t="str">
        <f ca="1">IFERROR(VLOOKUP(AJ214,OFFSET(abbreviation[],0,ColumnLanguage),ColumnAbbreviation,FALSE),"")</f>
        <v/>
      </c>
      <c r="BY214" s="21" t="str">
        <f ca="1">IFERROR(VLOOKUP(AL214,OFFSET(abbreviation[],0,ColumnLanguage),ColumnAbbreviation,FALSE),"")</f>
        <v/>
      </c>
      <c r="BZ214" s="21" t="str">
        <f t="shared" ca="1" si="23"/>
        <v>_</v>
      </c>
      <c r="CA214" s="21" t="str">
        <f ca="1">IFERROR(VLOOKUP(AP214,OFFSET(abbreviation[],0,ColumnLanguage),ColumnAbbreviation,FALSE),"")</f>
        <v/>
      </c>
      <c r="CB214" s="21" t="str">
        <f ca="1">IFERROR(VLOOKUP(AR214,OFFSET(abbreviation[],0,ColumnLanguage),ColumnAbbreviation,FALSE),"")</f>
        <v/>
      </c>
      <c r="CC214" s="21" t="str">
        <f ca="1">IFERROR(VLOOKUP(AT214,OFFSET(abbreviation[],0,ColumnLanguage),ColumnAbbreviation,FALSE),"")</f>
        <v/>
      </c>
      <c r="CD214" s="21" t="str">
        <f ca="1">IFERROR(VLOOKUP(AV214,OFFSET(abbreviation[],0,ColumnLanguage),ColumnAbbreviation,FALSE),"")</f>
        <v/>
      </c>
      <c r="CE214" s="21" t="str">
        <f t="shared" ca="1" si="24"/>
        <v>__</v>
      </c>
      <c r="CF214" s="21" t="str">
        <f ca="1">IFERROR(VLOOKUP(AX214,OFFSET(abbreviation[],0,ColumnLanguage),ColumnAbbreviation,FALSE),"")</f>
        <v/>
      </c>
      <c r="CG214" s="21" t="str">
        <f ca="1">IFERROR(VLOOKUP(AZ214,OFFSET(abbreviation[],0,ColumnLanguage),ColumnAbbreviation,FALSE),"")</f>
        <v/>
      </c>
      <c r="CH214" s="21" t="str">
        <f ca="1">IFERROR(VLOOKUP(BB214,OFFSET(abbreviation[],0,ColumnLanguage),ColumnAbbreviation,FALSE),"")</f>
        <v/>
      </c>
      <c r="CI214" s="21" t="str">
        <f ca="1">IFERROR(VLOOKUP(BD214,OFFSET(abbreviation[],0,ColumnLanguage),ColumnAbbreviation,FALSE),"")</f>
        <v/>
      </c>
      <c r="CJ214" s="21" t="str">
        <f ca="1">IFERROR(VLOOKUP(BF214,OFFSET(abbreviation[],0,ColumnLanguage),ColumnAbbreviation,FALSE),"")</f>
        <v/>
      </c>
      <c r="CK214" s="21" t="str">
        <f t="shared" ca="1" si="25"/>
        <v/>
      </c>
      <c r="CL214" s="21" t="str">
        <f t="shared" si="26"/>
        <v/>
      </c>
      <c r="CM214" s="52"/>
      <c r="CN214" s="57" t="str">
        <f t="shared" si="27"/>
        <v/>
      </c>
    </row>
    <row r="215" spans="14:92" x14ac:dyDescent="0.25">
      <c r="N215" s="58"/>
      <c r="P215" s="60"/>
      <c r="Q215" s="13"/>
      <c r="V215" s="60"/>
      <c r="X215" s="61"/>
      <c r="AB215" s="60"/>
      <c r="AN215" s="54"/>
      <c r="AS215" s="15"/>
      <c r="BH215" s="52"/>
      <c r="BI215" s="21" t="str">
        <f ca="1">IFERROR(VLOOKUP(C215,OFFSET(abbreviation[],0,ColumnLanguage),ColumnAbbreviation,FALSE),"")</f>
        <v/>
      </c>
      <c r="BJ215" s="21" t="str">
        <f ca="1">IFERROR(VLOOKUP(E215,OFFSET(abbreviation[],0,ColumnLanguage),ColumnAbbreviation,FALSE),"")</f>
        <v/>
      </c>
      <c r="BK215" s="21" t="str">
        <f ca="1">IFERROR(VLOOKUP(G215,OFFSET(abbreviation[],0,ColumnLanguage),ColumnAbbreviation,FALSE),"")</f>
        <v/>
      </c>
      <c r="BL215" s="21" t="str">
        <f ca="1">IFERROR(VLOOKUP(I215,OFFSET(abbreviation[],0,ColumnLanguage),ColumnAbbreviation,FALSE),"")</f>
        <v/>
      </c>
      <c r="BM215" s="21" t="str">
        <f ca="1">IFERROR(VLOOKUP(K215,OFFSET(abbreviation[],0,ColumnLanguage),ColumnAbbreviation,FALSE),"")</f>
        <v/>
      </c>
      <c r="BN215" s="21" t="str">
        <f t="shared" ca="1" si="21"/>
        <v/>
      </c>
      <c r="BO215" s="21" t="str">
        <f ca="1">IFERROR(VLOOKUP(N215,OFFSET(abbreviation[],0,ColumnLanguage),ColumnAbbreviation,FALSE),"")</f>
        <v/>
      </c>
      <c r="BP215" s="21" t="str">
        <f ca="1">IFERROR(VLOOKUP(P215,OFFSET(abbreviation[],0,ColumnLanguage),ColumnAbbreviation,FALSE),"")</f>
        <v/>
      </c>
      <c r="BQ215" s="21" t="str">
        <f ca="1">IFERROR(VLOOKUP(T215,OFFSET(abbreviation[],0,ColumnLanguage),ColumnAbbreviation,FALSE),"")</f>
        <v/>
      </c>
      <c r="BR215" s="21" t="str">
        <f ca="1">IFERROR(VLOOKUP(V215,OFFSET(abbreviation[],0,ColumnLanguage),ColumnAbbreviation,FALSE),"")</f>
        <v/>
      </c>
      <c r="BS215" s="21" t="str">
        <f ca="1">IFERROR(VLOOKUP(Z215,OFFSET(abbreviation[],0,ColumnLanguage),ColumnAbbreviation,FALSE),"")</f>
        <v/>
      </c>
      <c r="BT215" s="21" t="str">
        <f ca="1">IFERROR(VLOOKUP(AB215,OFFSET(abbreviation[],0,ColumnLanguage),ColumnAbbreviation,FALSE),"")</f>
        <v/>
      </c>
      <c r="BU215" s="21" t="str">
        <f t="shared" ca="1" si="22"/>
        <v>__</v>
      </c>
      <c r="BV215" s="21" t="str">
        <f ca="1">IFERROR(VLOOKUP(AF215,OFFSET(abbreviation[],0,ColumnLanguage),ColumnAbbreviation,FALSE),"")</f>
        <v/>
      </c>
      <c r="BW215" s="21" t="str">
        <f ca="1">IFERROR(VLOOKUP(AH215,OFFSET(abbreviation[],0,ColumnLanguage),ColumnAbbreviation,FALSE),"")</f>
        <v/>
      </c>
      <c r="BX215" s="21" t="str">
        <f ca="1">IFERROR(VLOOKUP(AJ215,OFFSET(abbreviation[],0,ColumnLanguage),ColumnAbbreviation,FALSE),"")</f>
        <v/>
      </c>
      <c r="BY215" s="21" t="str">
        <f ca="1">IFERROR(VLOOKUP(AL215,OFFSET(abbreviation[],0,ColumnLanguage),ColumnAbbreviation,FALSE),"")</f>
        <v/>
      </c>
      <c r="BZ215" s="21" t="str">
        <f t="shared" ca="1" si="23"/>
        <v>_</v>
      </c>
      <c r="CA215" s="21" t="str">
        <f ca="1">IFERROR(VLOOKUP(AP215,OFFSET(abbreviation[],0,ColumnLanguage),ColumnAbbreviation,FALSE),"")</f>
        <v/>
      </c>
      <c r="CB215" s="21" t="str">
        <f ca="1">IFERROR(VLOOKUP(AR215,OFFSET(abbreviation[],0,ColumnLanguage),ColumnAbbreviation,FALSE),"")</f>
        <v/>
      </c>
      <c r="CC215" s="21" t="str">
        <f ca="1">IFERROR(VLOOKUP(AT215,OFFSET(abbreviation[],0,ColumnLanguage),ColumnAbbreviation,FALSE),"")</f>
        <v/>
      </c>
      <c r="CD215" s="21" t="str">
        <f ca="1">IFERROR(VLOOKUP(AV215,OFFSET(abbreviation[],0,ColumnLanguage),ColumnAbbreviation,FALSE),"")</f>
        <v/>
      </c>
      <c r="CE215" s="21" t="str">
        <f t="shared" ca="1" si="24"/>
        <v>__</v>
      </c>
      <c r="CF215" s="21" t="str">
        <f ca="1">IFERROR(VLOOKUP(AX215,OFFSET(abbreviation[],0,ColumnLanguage),ColumnAbbreviation,FALSE),"")</f>
        <v/>
      </c>
      <c r="CG215" s="21" t="str">
        <f ca="1">IFERROR(VLOOKUP(AZ215,OFFSET(abbreviation[],0,ColumnLanguage),ColumnAbbreviation,FALSE),"")</f>
        <v/>
      </c>
      <c r="CH215" s="21" t="str">
        <f ca="1">IFERROR(VLOOKUP(BB215,OFFSET(abbreviation[],0,ColumnLanguage),ColumnAbbreviation,FALSE),"")</f>
        <v/>
      </c>
      <c r="CI215" s="21" t="str">
        <f ca="1">IFERROR(VLOOKUP(BD215,OFFSET(abbreviation[],0,ColumnLanguage),ColumnAbbreviation,FALSE),"")</f>
        <v/>
      </c>
      <c r="CJ215" s="21" t="str">
        <f ca="1">IFERROR(VLOOKUP(BF215,OFFSET(abbreviation[],0,ColumnLanguage),ColumnAbbreviation,FALSE),"")</f>
        <v/>
      </c>
      <c r="CK215" s="21" t="str">
        <f t="shared" ca="1" si="25"/>
        <v/>
      </c>
      <c r="CL215" s="21" t="str">
        <f t="shared" si="26"/>
        <v/>
      </c>
      <c r="CM215" s="52"/>
      <c r="CN215" s="57" t="str">
        <f t="shared" si="27"/>
        <v/>
      </c>
    </row>
    <row r="216" spans="14:92" x14ac:dyDescent="0.25">
      <c r="N216" s="58"/>
      <c r="P216" s="60"/>
      <c r="Q216" s="13"/>
      <c r="V216" s="60"/>
      <c r="X216" s="61"/>
      <c r="AB216" s="60"/>
      <c r="AN216" s="54"/>
      <c r="AS216" s="15"/>
      <c r="BH216" s="52"/>
      <c r="BI216" s="21" t="str">
        <f ca="1">IFERROR(VLOOKUP(C216,OFFSET(abbreviation[],0,ColumnLanguage),ColumnAbbreviation,FALSE),"")</f>
        <v/>
      </c>
      <c r="BJ216" s="21" t="str">
        <f ca="1">IFERROR(VLOOKUP(E216,OFFSET(abbreviation[],0,ColumnLanguage),ColumnAbbreviation,FALSE),"")</f>
        <v/>
      </c>
      <c r="BK216" s="21" t="str">
        <f ca="1">IFERROR(VLOOKUP(G216,OFFSET(abbreviation[],0,ColumnLanguage),ColumnAbbreviation,FALSE),"")</f>
        <v/>
      </c>
      <c r="BL216" s="21" t="str">
        <f ca="1">IFERROR(VLOOKUP(I216,OFFSET(abbreviation[],0,ColumnLanguage),ColumnAbbreviation,FALSE),"")</f>
        <v/>
      </c>
      <c r="BM216" s="21" t="str">
        <f ca="1">IFERROR(VLOOKUP(K216,OFFSET(abbreviation[],0,ColumnLanguage),ColumnAbbreviation,FALSE),"")</f>
        <v/>
      </c>
      <c r="BN216" s="21" t="str">
        <f t="shared" ca="1" si="21"/>
        <v/>
      </c>
      <c r="BO216" s="21" t="str">
        <f ca="1">IFERROR(VLOOKUP(N216,OFFSET(abbreviation[],0,ColumnLanguage),ColumnAbbreviation,FALSE),"")</f>
        <v/>
      </c>
      <c r="BP216" s="21" t="str">
        <f ca="1">IFERROR(VLOOKUP(P216,OFFSET(abbreviation[],0,ColumnLanguage),ColumnAbbreviation,FALSE),"")</f>
        <v/>
      </c>
      <c r="BQ216" s="21" t="str">
        <f ca="1">IFERROR(VLOOKUP(T216,OFFSET(abbreviation[],0,ColumnLanguage),ColumnAbbreviation,FALSE),"")</f>
        <v/>
      </c>
      <c r="BR216" s="21" t="str">
        <f ca="1">IFERROR(VLOOKUP(V216,OFFSET(abbreviation[],0,ColumnLanguage),ColumnAbbreviation,FALSE),"")</f>
        <v/>
      </c>
      <c r="BS216" s="21" t="str">
        <f ca="1">IFERROR(VLOOKUP(Z216,OFFSET(abbreviation[],0,ColumnLanguage),ColumnAbbreviation,FALSE),"")</f>
        <v/>
      </c>
      <c r="BT216" s="21" t="str">
        <f ca="1">IFERROR(VLOOKUP(AB216,OFFSET(abbreviation[],0,ColumnLanguage),ColumnAbbreviation,FALSE),"")</f>
        <v/>
      </c>
      <c r="BU216" s="21" t="str">
        <f t="shared" ca="1" si="22"/>
        <v>__</v>
      </c>
      <c r="BV216" s="21" t="str">
        <f ca="1">IFERROR(VLOOKUP(AF216,OFFSET(abbreviation[],0,ColumnLanguage),ColumnAbbreviation,FALSE),"")</f>
        <v/>
      </c>
      <c r="BW216" s="21" t="str">
        <f ca="1">IFERROR(VLOOKUP(AH216,OFFSET(abbreviation[],0,ColumnLanguage),ColumnAbbreviation,FALSE),"")</f>
        <v/>
      </c>
      <c r="BX216" s="21" t="str">
        <f ca="1">IFERROR(VLOOKUP(AJ216,OFFSET(abbreviation[],0,ColumnLanguage),ColumnAbbreviation,FALSE),"")</f>
        <v/>
      </c>
      <c r="BY216" s="21" t="str">
        <f ca="1">IFERROR(VLOOKUP(AL216,OFFSET(abbreviation[],0,ColumnLanguage),ColumnAbbreviation,FALSE),"")</f>
        <v/>
      </c>
      <c r="BZ216" s="21" t="str">
        <f t="shared" ca="1" si="23"/>
        <v>_</v>
      </c>
      <c r="CA216" s="21" t="str">
        <f ca="1">IFERROR(VLOOKUP(AP216,OFFSET(abbreviation[],0,ColumnLanguage),ColumnAbbreviation,FALSE),"")</f>
        <v/>
      </c>
      <c r="CB216" s="21" t="str">
        <f ca="1">IFERROR(VLOOKUP(AR216,OFFSET(abbreviation[],0,ColumnLanguage),ColumnAbbreviation,FALSE),"")</f>
        <v/>
      </c>
      <c r="CC216" s="21" t="str">
        <f ca="1">IFERROR(VLOOKUP(AT216,OFFSET(abbreviation[],0,ColumnLanguage),ColumnAbbreviation,FALSE),"")</f>
        <v/>
      </c>
      <c r="CD216" s="21" t="str">
        <f ca="1">IFERROR(VLOOKUP(AV216,OFFSET(abbreviation[],0,ColumnLanguage),ColumnAbbreviation,FALSE),"")</f>
        <v/>
      </c>
      <c r="CE216" s="21" t="str">
        <f t="shared" ca="1" si="24"/>
        <v>__</v>
      </c>
      <c r="CF216" s="21" t="str">
        <f ca="1">IFERROR(VLOOKUP(AX216,OFFSET(abbreviation[],0,ColumnLanguage),ColumnAbbreviation,FALSE),"")</f>
        <v/>
      </c>
      <c r="CG216" s="21" t="str">
        <f ca="1">IFERROR(VLOOKUP(AZ216,OFFSET(abbreviation[],0,ColumnLanguage),ColumnAbbreviation,FALSE),"")</f>
        <v/>
      </c>
      <c r="CH216" s="21" t="str">
        <f ca="1">IFERROR(VLOOKUP(BB216,OFFSET(abbreviation[],0,ColumnLanguage),ColumnAbbreviation,FALSE),"")</f>
        <v/>
      </c>
      <c r="CI216" s="21" t="str">
        <f ca="1">IFERROR(VLOOKUP(BD216,OFFSET(abbreviation[],0,ColumnLanguage),ColumnAbbreviation,FALSE),"")</f>
        <v/>
      </c>
      <c r="CJ216" s="21" t="str">
        <f ca="1">IFERROR(VLOOKUP(BF216,OFFSET(abbreviation[],0,ColumnLanguage),ColumnAbbreviation,FALSE),"")</f>
        <v/>
      </c>
      <c r="CK216" s="21" t="str">
        <f t="shared" ca="1" si="25"/>
        <v/>
      </c>
      <c r="CL216" s="21" t="str">
        <f t="shared" si="26"/>
        <v/>
      </c>
      <c r="CM216" s="52"/>
      <c r="CN216" s="57" t="str">
        <f t="shared" si="27"/>
        <v/>
      </c>
    </row>
    <row r="217" spans="14:92" x14ac:dyDescent="0.25">
      <c r="N217" s="58"/>
      <c r="P217" s="60"/>
      <c r="Q217" s="13"/>
      <c r="V217" s="60"/>
      <c r="X217" s="61"/>
      <c r="AB217" s="60"/>
      <c r="AN217" s="54"/>
      <c r="AS217" s="15"/>
      <c r="BH217" s="52"/>
      <c r="BI217" s="21" t="str">
        <f ca="1">IFERROR(VLOOKUP(C217,OFFSET(abbreviation[],0,ColumnLanguage),ColumnAbbreviation,FALSE),"")</f>
        <v/>
      </c>
      <c r="BJ217" s="21" t="str">
        <f ca="1">IFERROR(VLOOKUP(E217,OFFSET(abbreviation[],0,ColumnLanguage),ColumnAbbreviation,FALSE),"")</f>
        <v/>
      </c>
      <c r="BK217" s="21" t="str">
        <f ca="1">IFERROR(VLOOKUP(G217,OFFSET(abbreviation[],0,ColumnLanguage),ColumnAbbreviation,FALSE),"")</f>
        <v/>
      </c>
      <c r="BL217" s="21" t="str">
        <f ca="1">IFERROR(VLOOKUP(I217,OFFSET(abbreviation[],0,ColumnLanguage),ColumnAbbreviation,FALSE),"")</f>
        <v/>
      </c>
      <c r="BM217" s="21" t="str">
        <f ca="1">IFERROR(VLOOKUP(K217,OFFSET(abbreviation[],0,ColumnLanguage),ColumnAbbreviation,FALSE),"")</f>
        <v/>
      </c>
      <c r="BN217" s="21" t="str">
        <f t="shared" ca="1" si="21"/>
        <v/>
      </c>
      <c r="BO217" s="21" t="str">
        <f ca="1">IFERROR(VLOOKUP(N217,OFFSET(abbreviation[],0,ColumnLanguage),ColumnAbbreviation,FALSE),"")</f>
        <v/>
      </c>
      <c r="BP217" s="21" t="str">
        <f ca="1">IFERROR(VLOOKUP(P217,OFFSET(abbreviation[],0,ColumnLanguage),ColumnAbbreviation,FALSE),"")</f>
        <v/>
      </c>
      <c r="BQ217" s="21" t="str">
        <f ca="1">IFERROR(VLOOKUP(T217,OFFSET(abbreviation[],0,ColumnLanguage),ColumnAbbreviation,FALSE),"")</f>
        <v/>
      </c>
      <c r="BR217" s="21" t="str">
        <f ca="1">IFERROR(VLOOKUP(V217,OFFSET(abbreviation[],0,ColumnLanguage),ColumnAbbreviation,FALSE),"")</f>
        <v/>
      </c>
      <c r="BS217" s="21" t="str">
        <f ca="1">IFERROR(VLOOKUP(Z217,OFFSET(abbreviation[],0,ColumnLanguage),ColumnAbbreviation,FALSE),"")</f>
        <v/>
      </c>
      <c r="BT217" s="21" t="str">
        <f ca="1">IFERROR(VLOOKUP(AB217,OFFSET(abbreviation[],0,ColumnLanguage),ColumnAbbreviation,FALSE),"")</f>
        <v/>
      </c>
      <c r="BU217" s="21" t="str">
        <f t="shared" ca="1" si="22"/>
        <v>__</v>
      </c>
      <c r="BV217" s="21" t="str">
        <f ca="1">IFERROR(VLOOKUP(AF217,OFFSET(abbreviation[],0,ColumnLanguage),ColumnAbbreviation,FALSE),"")</f>
        <v/>
      </c>
      <c r="BW217" s="21" t="str">
        <f ca="1">IFERROR(VLOOKUP(AH217,OFFSET(abbreviation[],0,ColumnLanguage),ColumnAbbreviation,FALSE),"")</f>
        <v/>
      </c>
      <c r="BX217" s="21" t="str">
        <f ca="1">IFERROR(VLOOKUP(AJ217,OFFSET(abbreviation[],0,ColumnLanguage),ColumnAbbreviation,FALSE),"")</f>
        <v/>
      </c>
      <c r="BY217" s="21" t="str">
        <f ca="1">IFERROR(VLOOKUP(AL217,OFFSET(abbreviation[],0,ColumnLanguage),ColumnAbbreviation,FALSE),"")</f>
        <v/>
      </c>
      <c r="BZ217" s="21" t="str">
        <f t="shared" ca="1" si="23"/>
        <v>_</v>
      </c>
      <c r="CA217" s="21" t="str">
        <f ca="1">IFERROR(VLOOKUP(AP217,OFFSET(abbreviation[],0,ColumnLanguage),ColumnAbbreviation,FALSE),"")</f>
        <v/>
      </c>
      <c r="CB217" s="21" t="str">
        <f ca="1">IFERROR(VLOOKUP(AR217,OFFSET(abbreviation[],0,ColumnLanguage),ColumnAbbreviation,FALSE),"")</f>
        <v/>
      </c>
      <c r="CC217" s="21" t="str">
        <f ca="1">IFERROR(VLOOKUP(AT217,OFFSET(abbreviation[],0,ColumnLanguage),ColumnAbbreviation,FALSE),"")</f>
        <v/>
      </c>
      <c r="CD217" s="21" t="str">
        <f ca="1">IFERROR(VLOOKUP(AV217,OFFSET(abbreviation[],0,ColumnLanguage),ColumnAbbreviation,FALSE),"")</f>
        <v/>
      </c>
      <c r="CE217" s="21" t="str">
        <f t="shared" ca="1" si="24"/>
        <v>__</v>
      </c>
      <c r="CF217" s="21" t="str">
        <f ca="1">IFERROR(VLOOKUP(AX217,OFFSET(abbreviation[],0,ColumnLanguage),ColumnAbbreviation,FALSE),"")</f>
        <v/>
      </c>
      <c r="CG217" s="21" t="str">
        <f ca="1">IFERROR(VLOOKUP(AZ217,OFFSET(abbreviation[],0,ColumnLanguage),ColumnAbbreviation,FALSE),"")</f>
        <v/>
      </c>
      <c r="CH217" s="21" t="str">
        <f ca="1">IFERROR(VLOOKUP(BB217,OFFSET(abbreviation[],0,ColumnLanguage),ColumnAbbreviation,FALSE),"")</f>
        <v/>
      </c>
      <c r="CI217" s="21" t="str">
        <f ca="1">IFERROR(VLOOKUP(BD217,OFFSET(abbreviation[],0,ColumnLanguage),ColumnAbbreviation,FALSE),"")</f>
        <v/>
      </c>
      <c r="CJ217" s="21" t="str">
        <f ca="1">IFERROR(VLOOKUP(BF217,OFFSET(abbreviation[],0,ColumnLanguage),ColumnAbbreviation,FALSE),"")</f>
        <v/>
      </c>
      <c r="CK217" s="21" t="str">
        <f t="shared" ca="1" si="25"/>
        <v/>
      </c>
      <c r="CL217" s="21" t="str">
        <f t="shared" si="26"/>
        <v/>
      </c>
      <c r="CM217" s="52"/>
      <c r="CN217" s="57" t="str">
        <f t="shared" si="27"/>
        <v/>
      </c>
    </row>
    <row r="218" spans="14:92" x14ac:dyDescent="0.25">
      <c r="N218" s="58"/>
      <c r="P218" s="60"/>
      <c r="Q218" s="13"/>
      <c r="V218" s="60"/>
      <c r="X218" s="61"/>
      <c r="AB218" s="60"/>
      <c r="AN218" s="54"/>
      <c r="AS218" s="15"/>
      <c r="BH218" s="52"/>
      <c r="BI218" s="21" t="str">
        <f ca="1">IFERROR(VLOOKUP(C218,OFFSET(abbreviation[],0,ColumnLanguage),ColumnAbbreviation,FALSE),"")</f>
        <v/>
      </c>
      <c r="BJ218" s="21" t="str">
        <f ca="1">IFERROR(VLOOKUP(E218,OFFSET(abbreviation[],0,ColumnLanguage),ColumnAbbreviation,FALSE),"")</f>
        <v/>
      </c>
      <c r="BK218" s="21" t="str">
        <f ca="1">IFERROR(VLOOKUP(G218,OFFSET(abbreviation[],0,ColumnLanguage),ColumnAbbreviation,FALSE),"")</f>
        <v/>
      </c>
      <c r="BL218" s="21" t="str">
        <f ca="1">IFERROR(VLOOKUP(I218,OFFSET(abbreviation[],0,ColumnLanguage),ColumnAbbreviation,FALSE),"")</f>
        <v/>
      </c>
      <c r="BM218" s="21" t="str">
        <f ca="1">IFERROR(VLOOKUP(K218,OFFSET(abbreviation[],0,ColumnLanguage),ColumnAbbreviation,FALSE),"")</f>
        <v/>
      </c>
      <c r="BN218" s="21" t="str">
        <f t="shared" ca="1" si="21"/>
        <v/>
      </c>
      <c r="BO218" s="21" t="str">
        <f ca="1">IFERROR(VLOOKUP(N218,OFFSET(abbreviation[],0,ColumnLanguage),ColumnAbbreviation,FALSE),"")</f>
        <v/>
      </c>
      <c r="BP218" s="21" t="str">
        <f ca="1">IFERROR(VLOOKUP(P218,OFFSET(abbreviation[],0,ColumnLanguage),ColumnAbbreviation,FALSE),"")</f>
        <v/>
      </c>
      <c r="BQ218" s="21" t="str">
        <f ca="1">IFERROR(VLOOKUP(T218,OFFSET(abbreviation[],0,ColumnLanguage),ColumnAbbreviation,FALSE),"")</f>
        <v/>
      </c>
      <c r="BR218" s="21" t="str">
        <f ca="1">IFERROR(VLOOKUP(V218,OFFSET(abbreviation[],0,ColumnLanguage),ColumnAbbreviation,FALSE),"")</f>
        <v/>
      </c>
      <c r="BS218" s="21" t="str">
        <f ca="1">IFERROR(VLOOKUP(Z218,OFFSET(abbreviation[],0,ColumnLanguage),ColumnAbbreviation,FALSE),"")</f>
        <v/>
      </c>
      <c r="BT218" s="21" t="str">
        <f ca="1">IFERROR(VLOOKUP(AB218,OFFSET(abbreviation[],0,ColumnLanguage),ColumnAbbreviation,FALSE),"")</f>
        <v/>
      </c>
      <c r="BU218" s="21" t="str">
        <f t="shared" ca="1" si="22"/>
        <v>__</v>
      </c>
      <c r="BV218" s="21" t="str">
        <f ca="1">IFERROR(VLOOKUP(AF218,OFFSET(abbreviation[],0,ColumnLanguage),ColumnAbbreviation,FALSE),"")</f>
        <v/>
      </c>
      <c r="BW218" s="21" t="str">
        <f ca="1">IFERROR(VLOOKUP(AH218,OFFSET(abbreviation[],0,ColumnLanguage),ColumnAbbreviation,FALSE),"")</f>
        <v/>
      </c>
      <c r="BX218" s="21" t="str">
        <f ca="1">IFERROR(VLOOKUP(AJ218,OFFSET(abbreviation[],0,ColumnLanguage),ColumnAbbreviation,FALSE),"")</f>
        <v/>
      </c>
      <c r="BY218" s="21" t="str">
        <f ca="1">IFERROR(VLOOKUP(AL218,OFFSET(abbreviation[],0,ColumnLanguage),ColumnAbbreviation,FALSE),"")</f>
        <v/>
      </c>
      <c r="BZ218" s="21" t="str">
        <f t="shared" ca="1" si="23"/>
        <v>_</v>
      </c>
      <c r="CA218" s="21" t="str">
        <f ca="1">IFERROR(VLOOKUP(AP218,OFFSET(abbreviation[],0,ColumnLanguage),ColumnAbbreviation,FALSE),"")</f>
        <v/>
      </c>
      <c r="CB218" s="21" t="str">
        <f ca="1">IFERROR(VLOOKUP(AR218,OFFSET(abbreviation[],0,ColumnLanguage),ColumnAbbreviation,FALSE),"")</f>
        <v/>
      </c>
      <c r="CC218" s="21" t="str">
        <f ca="1">IFERROR(VLOOKUP(AT218,OFFSET(abbreviation[],0,ColumnLanguage),ColumnAbbreviation,FALSE),"")</f>
        <v/>
      </c>
      <c r="CD218" s="21" t="str">
        <f ca="1">IFERROR(VLOOKUP(AV218,OFFSET(abbreviation[],0,ColumnLanguage),ColumnAbbreviation,FALSE),"")</f>
        <v/>
      </c>
      <c r="CE218" s="21" t="str">
        <f t="shared" ca="1" si="24"/>
        <v>__</v>
      </c>
      <c r="CF218" s="21" t="str">
        <f ca="1">IFERROR(VLOOKUP(AX218,OFFSET(abbreviation[],0,ColumnLanguage),ColumnAbbreviation,FALSE),"")</f>
        <v/>
      </c>
      <c r="CG218" s="21" t="str">
        <f ca="1">IFERROR(VLOOKUP(AZ218,OFFSET(abbreviation[],0,ColumnLanguage),ColumnAbbreviation,FALSE),"")</f>
        <v/>
      </c>
      <c r="CH218" s="21" t="str">
        <f ca="1">IFERROR(VLOOKUP(BB218,OFFSET(abbreviation[],0,ColumnLanguage),ColumnAbbreviation,FALSE),"")</f>
        <v/>
      </c>
      <c r="CI218" s="21" t="str">
        <f ca="1">IFERROR(VLOOKUP(BD218,OFFSET(abbreviation[],0,ColumnLanguage),ColumnAbbreviation,FALSE),"")</f>
        <v/>
      </c>
      <c r="CJ218" s="21" t="str">
        <f ca="1">IFERROR(VLOOKUP(BF218,OFFSET(abbreviation[],0,ColumnLanguage),ColumnAbbreviation,FALSE),"")</f>
        <v/>
      </c>
      <c r="CK218" s="21" t="str">
        <f t="shared" ca="1" si="25"/>
        <v/>
      </c>
      <c r="CL218" s="21" t="str">
        <f t="shared" si="26"/>
        <v/>
      </c>
      <c r="CM218" s="52"/>
      <c r="CN218" s="57" t="str">
        <f t="shared" si="27"/>
        <v/>
      </c>
    </row>
    <row r="219" spans="14:92" x14ac:dyDescent="0.25">
      <c r="N219" s="58"/>
      <c r="P219" s="60"/>
      <c r="Q219" s="13"/>
      <c r="V219" s="60"/>
      <c r="X219" s="61"/>
      <c r="AB219" s="60"/>
      <c r="AN219" s="54"/>
      <c r="AS219" s="15"/>
      <c r="BH219" s="52"/>
      <c r="BI219" s="21" t="str">
        <f ca="1">IFERROR(VLOOKUP(C219,OFFSET(abbreviation[],0,ColumnLanguage),ColumnAbbreviation,FALSE),"")</f>
        <v/>
      </c>
      <c r="BJ219" s="21" t="str">
        <f ca="1">IFERROR(VLOOKUP(E219,OFFSET(abbreviation[],0,ColumnLanguage),ColumnAbbreviation,FALSE),"")</f>
        <v/>
      </c>
      <c r="BK219" s="21" t="str">
        <f ca="1">IFERROR(VLOOKUP(G219,OFFSET(abbreviation[],0,ColumnLanguage),ColumnAbbreviation,FALSE),"")</f>
        <v/>
      </c>
      <c r="BL219" s="21" t="str">
        <f ca="1">IFERROR(VLOOKUP(I219,OFFSET(abbreviation[],0,ColumnLanguage),ColumnAbbreviation,FALSE),"")</f>
        <v/>
      </c>
      <c r="BM219" s="21" t="str">
        <f ca="1">IFERROR(VLOOKUP(K219,OFFSET(abbreviation[],0,ColumnLanguage),ColumnAbbreviation,FALSE),"")</f>
        <v/>
      </c>
      <c r="BN219" s="21" t="str">
        <f t="shared" ca="1" si="21"/>
        <v/>
      </c>
      <c r="BO219" s="21" t="str">
        <f ca="1">IFERROR(VLOOKUP(N219,OFFSET(abbreviation[],0,ColumnLanguage),ColumnAbbreviation,FALSE),"")</f>
        <v/>
      </c>
      <c r="BP219" s="21" t="str">
        <f ca="1">IFERROR(VLOOKUP(P219,OFFSET(abbreviation[],0,ColumnLanguage),ColumnAbbreviation,FALSE),"")</f>
        <v/>
      </c>
      <c r="BQ219" s="21" t="str">
        <f ca="1">IFERROR(VLOOKUP(T219,OFFSET(abbreviation[],0,ColumnLanguage),ColumnAbbreviation,FALSE),"")</f>
        <v/>
      </c>
      <c r="BR219" s="21" t="str">
        <f ca="1">IFERROR(VLOOKUP(V219,OFFSET(abbreviation[],0,ColumnLanguage),ColumnAbbreviation,FALSE),"")</f>
        <v/>
      </c>
      <c r="BS219" s="21" t="str">
        <f ca="1">IFERROR(VLOOKUP(Z219,OFFSET(abbreviation[],0,ColumnLanguage),ColumnAbbreviation,FALSE),"")</f>
        <v/>
      </c>
      <c r="BT219" s="21" t="str">
        <f ca="1">IFERROR(VLOOKUP(AB219,OFFSET(abbreviation[],0,ColumnLanguage),ColumnAbbreviation,FALSE),"")</f>
        <v/>
      </c>
      <c r="BU219" s="21" t="str">
        <f t="shared" ca="1" si="22"/>
        <v>__</v>
      </c>
      <c r="BV219" s="21" t="str">
        <f ca="1">IFERROR(VLOOKUP(AF219,OFFSET(abbreviation[],0,ColumnLanguage),ColumnAbbreviation,FALSE),"")</f>
        <v/>
      </c>
      <c r="BW219" s="21" t="str">
        <f ca="1">IFERROR(VLOOKUP(AH219,OFFSET(abbreviation[],0,ColumnLanguage),ColumnAbbreviation,FALSE),"")</f>
        <v/>
      </c>
      <c r="BX219" s="21" t="str">
        <f ca="1">IFERROR(VLOOKUP(AJ219,OFFSET(abbreviation[],0,ColumnLanguage),ColumnAbbreviation,FALSE),"")</f>
        <v/>
      </c>
      <c r="BY219" s="21" t="str">
        <f ca="1">IFERROR(VLOOKUP(AL219,OFFSET(abbreviation[],0,ColumnLanguage),ColumnAbbreviation,FALSE),"")</f>
        <v/>
      </c>
      <c r="BZ219" s="21" t="str">
        <f t="shared" ca="1" si="23"/>
        <v>_</v>
      </c>
      <c r="CA219" s="21" t="str">
        <f ca="1">IFERROR(VLOOKUP(AP219,OFFSET(abbreviation[],0,ColumnLanguage),ColumnAbbreviation,FALSE),"")</f>
        <v/>
      </c>
      <c r="CB219" s="21" t="str">
        <f ca="1">IFERROR(VLOOKUP(AR219,OFFSET(abbreviation[],0,ColumnLanguage),ColumnAbbreviation,FALSE),"")</f>
        <v/>
      </c>
      <c r="CC219" s="21" t="str">
        <f ca="1">IFERROR(VLOOKUP(AT219,OFFSET(abbreviation[],0,ColumnLanguage),ColumnAbbreviation,FALSE),"")</f>
        <v/>
      </c>
      <c r="CD219" s="21" t="str">
        <f ca="1">IFERROR(VLOOKUP(AV219,OFFSET(abbreviation[],0,ColumnLanguage),ColumnAbbreviation,FALSE),"")</f>
        <v/>
      </c>
      <c r="CE219" s="21" t="str">
        <f t="shared" ca="1" si="24"/>
        <v>__</v>
      </c>
      <c r="CF219" s="21" t="str">
        <f ca="1">IFERROR(VLOOKUP(AX219,OFFSET(abbreviation[],0,ColumnLanguage),ColumnAbbreviation,FALSE),"")</f>
        <v/>
      </c>
      <c r="CG219" s="21" t="str">
        <f ca="1">IFERROR(VLOOKUP(AZ219,OFFSET(abbreviation[],0,ColumnLanguage),ColumnAbbreviation,FALSE),"")</f>
        <v/>
      </c>
      <c r="CH219" s="21" t="str">
        <f ca="1">IFERROR(VLOOKUP(BB219,OFFSET(abbreviation[],0,ColumnLanguage),ColumnAbbreviation,FALSE),"")</f>
        <v/>
      </c>
      <c r="CI219" s="21" t="str">
        <f ca="1">IFERROR(VLOOKUP(BD219,OFFSET(abbreviation[],0,ColumnLanguage),ColumnAbbreviation,FALSE),"")</f>
        <v/>
      </c>
      <c r="CJ219" s="21" t="str">
        <f ca="1">IFERROR(VLOOKUP(BF219,OFFSET(abbreviation[],0,ColumnLanguage),ColumnAbbreviation,FALSE),"")</f>
        <v/>
      </c>
      <c r="CK219" s="21" t="str">
        <f t="shared" ca="1" si="25"/>
        <v/>
      </c>
      <c r="CL219" s="21" t="str">
        <f t="shared" si="26"/>
        <v/>
      </c>
      <c r="CM219" s="52"/>
      <c r="CN219" s="57" t="str">
        <f t="shared" si="27"/>
        <v/>
      </c>
    </row>
    <row r="220" spans="14:92" x14ac:dyDescent="0.25">
      <c r="N220" s="58"/>
      <c r="P220" s="60"/>
      <c r="Q220" s="13"/>
      <c r="V220" s="60"/>
      <c r="X220" s="61"/>
      <c r="AB220" s="60"/>
      <c r="AN220" s="54"/>
      <c r="AS220" s="15"/>
      <c r="BH220" s="52"/>
      <c r="BI220" s="21" t="str">
        <f ca="1">IFERROR(VLOOKUP(C220,OFFSET(abbreviation[],0,ColumnLanguage),ColumnAbbreviation,FALSE),"")</f>
        <v/>
      </c>
      <c r="BJ220" s="21" t="str">
        <f ca="1">IFERROR(VLOOKUP(E220,OFFSET(abbreviation[],0,ColumnLanguage),ColumnAbbreviation,FALSE),"")</f>
        <v/>
      </c>
      <c r="BK220" s="21" t="str">
        <f ca="1">IFERROR(VLOOKUP(G220,OFFSET(abbreviation[],0,ColumnLanguage),ColumnAbbreviation,FALSE),"")</f>
        <v/>
      </c>
      <c r="BL220" s="21" t="str">
        <f ca="1">IFERROR(VLOOKUP(I220,OFFSET(abbreviation[],0,ColumnLanguage),ColumnAbbreviation,FALSE),"")</f>
        <v/>
      </c>
      <c r="BM220" s="21" t="str">
        <f ca="1">IFERROR(VLOOKUP(K220,OFFSET(abbreviation[],0,ColumnLanguage),ColumnAbbreviation,FALSE),"")</f>
        <v/>
      </c>
      <c r="BN220" s="21" t="str">
        <f t="shared" ca="1" si="21"/>
        <v/>
      </c>
      <c r="BO220" s="21" t="str">
        <f ca="1">IFERROR(VLOOKUP(N220,OFFSET(abbreviation[],0,ColumnLanguage),ColumnAbbreviation,FALSE),"")</f>
        <v/>
      </c>
      <c r="BP220" s="21" t="str">
        <f ca="1">IFERROR(VLOOKUP(P220,OFFSET(abbreviation[],0,ColumnLanguage),ColumnAbbreviation,FALSE),"")</f>
        <v/>
      </c>
      <c r="BQ220" s="21" t="str">
        <f ca="1">IFERROR(VLOOKUP(T220,OFFSET(abbreviation[],0,ColumnLanguage),ColumnAbbreviation,FALSE),"")</f>
        <v/>
      </c>
      <c r="BR220" s="21" t="str">
        <f ca="1">IFERROR(VLOOKUP(V220,OFFSET(abbreviation[],0,ColumnLanguage),ColumnAbbreviation,FALSE),"")</f>
        <v/>
      </c>
      <c r="BS220" s="21" t="str">
        <f ca="1">IFERROR(VLOOKUP(Z220,OFFSET(abbreviation[],0,ColumnLanguage),ColumnAbbreviation,FALSE),"")</f>
        <v/>
      </c>
      <c r="BT220" s="21" t="str">
        <f ca="1">IFERROR(VLOOKUP(AB220,OFFSET(abbreviation[],0,ColumnLanguage),ColumnAbbreviation,FALSE),"")</f>
        <v/>
      </c>
      <c r="BU220" s="21" t="str">
        <f t="shared" ca="1" si="22"/>
        <v>__</v>
      </c>
      <c r="BV220" s="21" t="str">
        <f ca="1">IFERROR(VLOOKUP(AF220,OFFSET(abbreviation[],0,ColumnLanguage),ColumnAbbreviation,FALSE),"")</f>
        <v/>
      </c>
      <c r="BW220" s="21" t="str">
        <f ca="1">IFERROR(VLOOKUP(AH220,OFFSET(abbreviation[],0,ColumnLanguage),ColumnAbbreviation,FALSE),"")</f>
        <v/>
      </c>
      <c r="BX220" s="21" t="str">
        <f ca="1">IFERROR(VLOOKUP(AJ220,OFFSET(abbreviation[],0,ColumnLanguage),ColumnAbbreviation,FALSE),"")</f>
        <v/>
      </c>
      <c r="BY220" s="21" t="str">
        <f ca="1">IFERROR(VLOOKUP(AL220,OFFSET(abbreviation[],0,ColumnLanguage),ColumnAbbreviation,FALSE),"")</f>
        <v/>
      </c>
      <c r="BZ220" s="21" t="str">
        <f t="shared" ca="1" si="23"/>
        <v>_</v>
      </c>
      <c r="CA220" s="21" t="str">
        <f ca="1">IFERROR(VLOOKUP(AP220,OFFSET(abbreviation[],0,ColumnLanguage),ColumnAbbreviation,FALSE),"")</f>
        <v/>
      </c>
      <c r="CB220" s="21" t="str">
        <f ca="1">IFERROR(VLOOKUP(AR220,OFFSET(abbreviation[],0,ColumnLanguage),ColumnAbbreviation,FALSE),"")</f>
        <v/>
      </c>
      <c r="CC220" s="21" t="str">
        <f ca="1">IFERROR(VLOOKUP(AT220,OFFSET(abbreviation[],0,ColumnLanguage),ColumnAbbreviation,FALSE),"")</f>
        <v/>
      </c>
      <c r="CD220" s="21" t="str">
        <f ca="1">IFERROR(VLOOKUP(AV220,OFFSET(abbreviation[],0,ColumnLanguage),ColumnAbbreviation,FALSE),"")</f>
        <v/>
      </c>
      <c r="CE220" s="21" t="str">
        <f t="shared" ca="1" si="24"/>
        <v>__</v>
      </c>
      <c r="CF220" s="21" t="str">
        <f ca="1">IFERROR(VLOOKUP(AX220,OFFSET(abbreviation[],0,ColumnLanguage),ColumnAbbreviation,FALSE),"")</f>
        <v/>
      </c>
      <c r="CG220" s="21" t="str">
        <f ca="1">IFERROR(VLOOKUP(AZ220,OFFSET(abbreviation[],0,ColumnLanguage),ColumnAbbreviation,FALSE),"")</f>
        <v/>
      </c>
      <c r="CH220" s="21" t="str">
        <f ca="1">IFERROR(VLOOKUP(BB220,OFFSET(abbreviation[],0,ColumnLanguage),ColumnAbbreviation,FALSE),"")</f>
        <v/>
      </c>
      <c r="CI220" s="21" t="str">
        <f ca="1">IFERROR(VLOOKUP(BD220,OFFSET(abbreviation[],0,ColumnLanguage),ColumnAbbreviation,FALSE),"")</f>
        <v/>
      </c>
      <c r="CJ220" s="21" t="str">
        <f ca="1">IFERROR(VLOOKUP(BF220,OFFSET(abbreviation[],0,ColumnLanguage),ColumnAbbreviation,FALSE),"")</f>
        <v/>
      </c>
      <c r="CK220" s="21" t="str">
        <f t="shared" ca="1" si="25"/>
        <v/>
      </c>
      <c r="CL220" s="21" t="str">
        <f t="shared" si="26"/>
        <v/>
      </c>
      <c r="CM220" s="52"/>
      <c r="CN220" s="57" t="str">
        <f t="shared" si="27"/>
        <v/>
      </c>
    </row>
    <row r="221" spans="14:92" x14ac:dyDescent="0.25">
      <c r="N221" s="58"/>
      <c r="P221" s="60"/>
      <c r="Q221" s="13"/>
      <c r="V221" s="60"/>
      <c r="X221" s="61"/>
      <c r="AB221" s="60"/>
      <c r="AN221" s="54"/>
      <c r="AS221" s="15"/>
      <c r="BH221" s="52"/>
      <c r="BI221" s="21" t="str">
        <f ca="1">IFERROR(VLOOKUP(C221,OFFSET(abbreviation[],0,ColumnLanguage),ColumnAbbreviation,FALSE),"")</f>
        <v/>
      </c>
      <c r="BJ221" s="21" t="str">
        <f ca="1">IFERROR(VLOOKUP(E221,OFFSET(abbreviation[],0,ColumnLanguage),ColumnAbbreviation,FALSE),"")</f>
        <v/>
      </c>
      <c r="BK221" s="21" t="str">
        <f ca="1">IFERROR(VLOOKUP(G221,OFFSET(abbreviation[],0,ColumnLanguage),ColumnAbbreviation,FALSE),"")</f>
        <v/>
      </c>
      <c r="BL221" s="21" t="str">
        <f ca="1">IFERROR(VLOOKUP(I221,OFFSET(abbreviation[],0,ColumnLanguage),ColumnAbbreviation,FALSE),"")</f>
        <v/>
      </c>
      <c r="BM221" s="21" t="str">
        <f ca="1">IFERROR(VLOOKUP(K221,OFFSET(abbreviation[],0,ColumnLanguage),ColumnAbbreviation,FALSE),"")</f>
        <v/>
      </c>
      <c r="BN221" s="21" t="str">
        <f t="shared" ca="1" si="21"/>
        <v/>
      </c>
      <c r="BO221" s="21" t="str">
        <f ca="1">IFERROR(VLOOKUP(N221,OFFSET(abbreviation[],0,ColumnLanguage),ColumnAbbreviation,FALSE),"")</f>
        <v/>
      </c>
      <c r="BP221" s="21" t="str">
        <f ca="1">IFERROR(VLOOKUP(P221,OFFSET(abbreviation[],0,ColumnLanguage),ColumnAbbreviation,FALSE),"")</f>
        <v/>
      </c>
      <c r="BQ221" s="21" t="str">
        <f ca="1">IFERROR(VLOOKUP(T221,OFFSET(abbreviation[],0,ColumnLanguage),ColumnAbbreviation,FALSE),"")</f>
        <v/>
      </c>
      <c r="BR221" s="21" t="str">
        <f ca="1">IFERROR(VLOOKUP(V221,OFFSET(abbreviation[],0,ColumnLanguage),ColumnAbbreviation,FALSE),"")</f>
        <v/>
      </c>
      <c r="BS221" s="21" t="str">
        <f ca="1">IFERROR(VLOOKUP(Z221,OFFSET(abbreviation[],0,ColumnLanguage),ColumnAbbreviation,FALSE),"")</f>
        <v/>
      </c>
      <c r="BT221" s="21" t="str">
        <f ca="1">IFERROR(VLOOKUP(AB221,OFFSET(abbreviation[],0,ColumnLanguage),ColumnAbbreviation,FALSE),"")</f>
        <v/>
      </c>
      <c r="BU221" s="21" t="str">
        <f t="shared" ca="1" si="22"/>
        <v>__</v>
      </c>
      <c r="BV221" s="21" t="str">
        <f ca="1">IFERROR(VLOOKUP(AF221,OFFSET(abbreviation[],0,ColumnLanguage),ColumnAbbreviation,FALSE),"")</f>
        <v/>
      </c>
      <c r="BW221" s="21" t="str">
        <f ca="1">IFERROR(VLOOKUP(AH221,OFFSET(abbreviation[],0,ColumnLanguage),ColumnAbbreviation,FALSE),"")</f>
        <v/>
      </c>
      <c r="BX221" s="21" t="str">
        <f ca="1">IFERROR(VLOOKUP(AJ221,OFFSET(abbreviation[],0,ColumnLanguage),ColumnAbbreviation,FALSE),"")</f>
        <v/>
      </c>
      <c r="BY221" s="21" t="str">
        <f ca="1">IFERROR(VLOOKUP(AL221,OFFSET(abbreviation[],0,ColumnLanguage),ColumnAbbreviation,FALSE),"")</f>
        <v/>
      </c>
      <c r="BZ221" s="21" t="str">
        <f t="shared" ca="1" si="23"/>
        <v>_</v>
      </c>
      <c r="CA221" s="21" t="str">
        <f ca="1">IFERROR(VLOOKUP(AP221,OFFSET(abbreviation[],0,ColumnLanguage),ColumnAbbreviation,FALSE),"")</f>
        <v/>
      </c>
      <c r="CB221" s="21" t="str">
        <f ca="1">IFERROR(VLOOKUP(AR221,OFFSET(abbreviation[],0,ColumnLanguage),ColumnAbbreviation,FALSE),"")</f>
        <v/>
      </c>
      <c r="CC221" s="21" t="str">
        <f ca="1">IFERROR(VLOOKUP(AT221,OFFSET(abbreviation[],0,ColumnLanguage),ColumnAbbreviation,FALSE),"")</f>
        <v/>
      </c>
      <c r="CD221" s="21" t="str">
        <f ca="1">IFERROR(VLOOKUP(AV221,OFFSET(abbreviation[],0,ColumnLanguage),ColumnAbbreviation,FALSE),"")</f>
        <v/>
      </c>
      <c r="CE221" s="21" t="str">
        <f t="shared" ca="1" si="24"/>
        <v>__</v>
      </c>
      <c r="CF221" s="21" t="str">
        <f ca="1">IFERROR(VLOOKUP(AX221,OFFSET(abbreviation[],0,ColumnLanguage),ColumnAbbreviation,FALSE),"")</f>
        <v/>
      </c>
      <c r="CG221" s="21" t="str">
        <f ca="1">IFERROR(VLOOKUP(AZ221,OFFSET(abbreviation[],0,ColumnLanguage),ColumnAbbreviation,FALSE),"")</f>
        <v/>
      </c>
      <c r="CH221" s="21" t="str">
        <f ca="1">IFERROR(VLOOKUP(BB221,OFFSET(abbreviation[],0,ColumnLanguage),ColumnAbbreviation,FALSE),"")</f>
        <v/>
      </c>
      <c r="CI221" s="21" t="str">
        <f ca="1">IFERROR(VLOOKUP(BD221,OFFSET(abbreviation[],0,ColumnLanguage),ColumnAbbreviation,FALSE),"")</f>
        <v/>
      </c>
      <c r="CJ221" s="21" t="str">
        <f ca="1">IFERROR(VLOOKUP(BF221,OFFSET(abbreviation[],0,ColumnLanguage),ColumnAbbreviation,FALSE),"")</f>
        <v/>
      </c>
      <c r="CK221" s="21" t="str">
        <f t="shared" ca="1" si="25"/>
        <v/>
      </c>
      <c r="CL221" s="21" t="str">
        <f t="shared" si="26"/>
        <v/>
      </c>
      <c r="CM221" s="52"/>
      <c r="CN221" s="57" t="str">
        <f t="shared" si="27"/>
        <v/>
      </c>
    </row>
    <row r="222" spans="14:92" x14ac:dyDescent="0.25">
      <c r="N222" s="58"/>
      <c r="P222" s="60"/>
      <c r="Q222" s="13"/>
      <c r="V222" s="60"/>
      <c r="X222" s="61"/>
      <c r="AB222" s="60"/>
      <c r="AN222" s="54"/>
      <c r="AS222" s="15"/>
      <c r="BH222" s="52"/>
      <c r="BI222" s="21" t="str">
        <f ca="1">IFERROR(VLOOKUP(C222,OFFSET(abbreviation[],0,ColumnLanguage),ColumnAbbreviation,FALSE),"")</f>
        <v/>
      </c>
      <c r="BJ222" s="21" t="str">
        <f ca="1">IFERROR(VLOOKUP(E222,OFFSET(abbreviation[],0,ColumnLanguage),ColumnAbbreviation,FALSE),"")</f>
        <v/>
      </c>
      <c r="BK222" s="21" t="str">
        <f ca="1">IFERROR(VLOOKUP(G222,OFFSET(abbreviation[],0,ColumnLanguage),ColumnAbbreviation,FALSE),"")</f>
        <v/>
      </c>
      <c r="BL222" s="21" t="str">
        <f ca="1">IFERROR(VLOOKUP(I222,OFFSET(abbreviation[],0,ColumnLanguage),ColumnAbbreviation,FALSE),"")</f>
        <v/>
      </c>
      <c r="BM222" s="21" t="str">
        <f ca="1">IFERROR(VLOOKUP(K222,OFFSET(abbreviation[],0,ColumnLanguage),ColumnAbbreviation,FALSE),"")</f>
        <v/>
      </c>
      <c r="BN222" s="21" t="str">
        <f t="shared" ca="1" si="21"/>
        <v/>
      </c>
      <c r="BO222" s="21" t="str">
        <f ca="1">IFERROR(VLOOKUP(N222,OFFSET(abbreviation[],0,ColumnLanguage),ColumnAbbreviation,FALSE),"")</f>
        <v/>
      </c>
      <c r="BP222" s="21" t="str">
        <f ca="1">IFERROR(VLOOKUP(P222,OFFSET(abbreviation[],0,ColumnLanguage),ColumnAbbreviation,FALSE),"")</f>
        <v/>
      </c>
      <c r="BQ222" s="21" t="str">
        <f ca="1">IFERROR(VLOOKUP(T222,OFFSET(abbreviation[],0,ColumnLanguage),ColumnAbbreviation,FALSE),"")</f>
        <v/>
      </c>
      <c r="BR222" s="21" t="str">
        <f ca="1">IFERROR(VLOOKUP(V222,OFFSET(abbreviation[],0,ColumnLanguage),ColumnAbbreviation,FALSE),"")</f>
        <v/>
      </c>
      <c r="BS222" s="21" t="str">
        <f ca="1">IFERROR(VLOOKUP(Z222,OFFSET(abbreviation[],0,ColumnLanguage),ColumnAbbreviation,FALSE),"")</f>
        <v/>
      </c>
      <c r="BT222" s="21" t="str">
        <f ca="1">IFERROR(VLOOKUP(AB222,OFFSET(abbreviation[],0,ColumnLanguage),ColumnAbbreviation,FALSE),"")</f>
        <v/>
      </c>
      <c r="BU222" s="21" t="str">
        <f t="shared" ca="1" si="22"/>
        <v>__</v>
      </c>
      <c r="BV222" s="21" t="str">
        <f ca="1">IFERROR(VLOOKUP(AF222,OFFSET(abbreviation[],0,ColumnLanguage),ColumnAbbreviation,FALSE),"")</f>
        <v/>
      </c>
      <c r="BW222" s="21" t="str">
        <f ca="1">IFERROR(VLOOKUP(AH222,OFFSET(abbreviation[],0,ColumnLanguage),ColumnAbbreviation,FALSE),"")</f>
        <v/>
      </c>
      <c r="BX222" s="21" t="str">
        <f ca="1">IFERROR(VLOOKUP(AJ222,OFFSET(abbreviation[],0,ColumnLanguage),ColumnAbbreviation,FALSE),"")</f>
        <v/>
      </c>
      <c r="BY222" s="21" t="str">
        <f ca="1">IFERROR(VLOOKUP(AL222,OFFSET(abbreviation[],0,ColumnLanguage),ColumnAbbreviation,FALSE),"")</f>
        <v/>
      </c>
      <c r="BZ222" s="21" t="str">
        <f t="shared" ca="1" si="23"/>
        <v>_</v>
      </c>
      <c r="CA222" s="21" t="str">
        <f ca="1">IFERROR(VLOOKUP(AP222,OFFSET(abbreviation[],0,ColumnLanguage),ColumnAbbreviation,FALSE),"")</f>
        <v/>
      </c>
      <c r="CB222" s="21" t="str">
        <f ca="1">IFERROR(VLOOKUP(AR222,OFFSET(abbreviation[],0,ColumnLanguage),ColumnAbbreviation,FALSE),"")</f>
        <v/>
      </c>
      <c r="CC222" s="21" t="str">
        <f ca="1">IFERROR(VLOOKUP(AT222,OFFSET(abbreviation[],0,ColumnLanguage),ColumnAbbreviation,FALSE),"")</f>
        <v/>
      </c>
      <c r="CD222" s="21" t="str">
        <f ca="1">IFERROR(VLOOKUP(AV222,OFFSET(abbreviation[],0,ColumnLanguage),ColumnAbbreviation,FALSE),"")</f>
        <v/>
      </c>
      <c r="CE222" s="21" t="str">
        <f t="shared" ca="1" si="24"/>
        <v>__</v>
      </c>
      <c r="CF222" s="21" t="str">
        <f ca="1">IFERROR(VLOOKUP(AX222,OFFSET(abbreviation[],0,ColumnLanguage),ColumnAbbreviation,FALSE),"")</f>
        <v/>
      </c>
      <c r="CG222" s="21" t="str">
        <f ca="1">IFERROR(VLOOKUP(AZ222,OFFSET(abbreviation[],0,ColumnLanguage),ColumnAbbreviation,FALSE),"")</f>
        <v/>
      </c>
      <c r="CH222" s="21" t="str">
        <f ca="1">IFERROR(VLOOKUP(BB222,OFFSET(abbreviation[],0,ColumnLanguage),ColumnAbbreviation,FALSE),"")</f>
        <v/>
      </c>
      <c r="CI222" s="21" t="str">
        <f ca="1">IFERROR(VLOOKUP(BD222,OFFSET(abbreviation[],0,ColumnLanguage),ColumnAbbreviation,FALSE),"")</f>
        <v/>
      </c>
      <c r="CJ222" s="21" t="str">
        <f ca="1">IFERROR(VLOOKUP(BF222,OFFSET(abbreviation[],0,ColumnLanguage),ColumnAbbreviation,FALSE),"")</f>
        <v/>
      </c>
      <c r="CK222" s="21" t="str">
        <f t="shared" ca="1" si="25"/>
        <v/>
      </c>
      <c r="CL222" s="21" t="str">
        <f t="shared" si="26"/>
        <v/>
      </c>
      <c r="CM222" s="52"/>
      <c r="CN222" s="57" t="str">
        <f t="shared" si="27"/>
        <v/>
      </c>
    </row>
    <row r="223" spans="14:92" x14ac:dyDescent="0.25">
      <c r="N223" s="58"/>
      <c r="P223" s="60"/>
      <c r="Q223" s="13"/>
      <c r="V223" s="60"/>
      <c r="X223" s="61"/>
      <c r="AB223" s="60"/>
      <c r="AN223" s="54"/>
      <c r="AS223" s="15"/>
      <c r="BH223" s="52"/>
      <c r="BI223" s="21" t="str">
        <f ca="1">IFERROR(VLOOKUP(C223,OFFSET(abbreviation[],0,ColumnLanguage),ColumnAbbreviation,FALSE),"")</f>
        <v/>
      </c>
      <c r="BJ223" s="21" t="str">
        <f ca="1">IFERROR(VLOOKUP(E223,OFFSET(abbreviation[],0,ColumnLanguage),ColumnAbbreviation,FALSE),"")</f>
        <v/>
      </c>
      <c r="BK223" s="21" t="str">
        <f ca="1">IFERROR(VLOOKUP(G223,OFFSET(abbreviation[],0,ColumnLanguage),ColumnAbbreviation,FALSE),"")</f>
        <v/>
      </c>
      <c r="BL223" s="21" t="str">
        <f ca="1">IFERROR(VLOOKUP(I223,OFFSET(abbreviation[],0,ColumnLanguage),ColumnAbbreviation,FALSE),"")</f>
        <v/>
      </c>
      <c r="BM223" s="21" t="str">
        <f ca="1">IFERROR(VLOOKUP(K223,OFFSET(abbreviation[],0,ColumnLanguage),ColumnAbbreviation,FALSE),"")</f>
        <v/>
      </c>
      <c r="BN223" s="21" t="str">
        <f t="shared" ca="1" si="21"/>
        <v/>
      </c>
      <c r="BO223" s="21" t="str">
        <f ca="1">IFERROR(VLOOKUP(N223,OFFSET(abbreviation[],0,ColumnLanguage),ColumnAbbreviation,FALSE),"")</f>
        <v/>
      </c>
      <c r="BP223" s="21" t="str">
        <f ca="1">IFERROR(VLOOKUP(P223,OFFSET(abbreviation[],0,ColumnLanguage),ColumnAbbreviation,FALSE),"")</f>
        <v/>
      </c>
      <c r="BQ223" s="21" t="str">
        <f ca="1">IFERROR(VLOOKUP(T223,OFFSET(abbreviation[],0,ColumnLanguage),ColumnAbbreviation,FALSE),"")</f>
        <v/>
      </c>
      <c r="BR223" s="21" t="str">
        <f ca="1">IFERROR(VLOOKUP(V223,OFFSET(abbreviation[],0,ColumnLanguage),ColumnAbbreviation,FALSE),"")</f>
        <v/>
      </c>
      <c r="BS223" s="21" t="str">
        <f ca="1">IFERROR(VLOOKUP(Z223,OFFSET(abbreviation[],0,ColumnLanguage),ColumnAbbreviation,FALSE),"")</f>
        <v/>
      </c>
      <c r="BT223" s="21" t="str">
        <f ca="1">IFERROR(VLOOKUP(AB223,OFFSET(abbreviation[],0,ColumnLanguage),ColumnAbbreviation,FALSE),"")</f>
        <v/>
      </c>
      <c r="BU223" s="21" t="str">
        <f t="shared" ca="1" si="22"/>
        <v>__</v>
      </c>
      <c r="BV223" s="21" t="str">
        <f ca="1">IFERROR(VLOOKUP(AF223,OFFSET(abbreviation[],0,ColumnLanguage),ColumnAbbreviation,FALSE),"")</f>
        <v/>
      </c>
      <c r="BW223" s="21" t="str">
        <f ca="1">IFERROR(VLOOKUP(AH223,OFFSET(abbreviation[],0,ColumnLanguage),ColumnAbbreviation,FALSE),"")</f>
        <v/>
      </c>
      <c r="BX223" s="21" t="str">
        <f ca="1">IFERROR(VLOOKUP(AJ223,OFFSET(abbreviation[],0,ColumnLanguage),ColumnAbbreviation,FALSE),"")</f>
        <v/>
      </c>
      <c r="BY223" s="21" t="str">
        <f ca="1">IFERROR(VLOOKUP(AL223,OFFSET(abbreviation[],0,ColumnLanguage),ColumnAbbreviation,FALSE),"")</f>
        <v/>
      </c>
      <c r="BZ223" s="21" t="str">
        <f t="shared" ca="1" si="23"/>
        <v>_</v>
      </c>
      <c r="CA223" s="21" t="str">
        <f ca="1">IFERROR(VLOOKUP(AP223,OFFSET(abbreviation[],0,ColumnLanguage),ColumnAbbreviation,FALSE),"")</f>
        <v/>
      </c>
      <c r="CB223" s="21" t="str">
        <f ca="1">IFERROR(VLOOKUP(AR223,OFFSET(abbreviation[],0,ColumnLanguage),ColumnAbbreviation,FALSE),"")</f>
        <v/>
      </c>
      <c r="CC223" s="21" t="str">
        <f ca="1">IFERROR(VLOOKUP(AT223,OFFSET(abbreviation[],0,ColumnLanguage),ColumnAbbreviation,FALSE),"")</f>
        <v/>
      </c>
      <c r="CD223" s="21" t="str">
        <f ca="1">IFERROR(VLOOKUP(AV223,OFFSET(abbreviation[],0,ColumnLanguage),ColumnAbbreviation,FALSE),"")</f>
        <v/>
      </c>
      <c r="CE223" s="21" t="str">
        <f t="shared" ca="1" si="24"/>
        <v>__</v>
      </c>
      <c r="CF223" s="21" t="str">
        <f ca="1">IFERROR(VLOOKUP(AX223,OFFSET(abbreviation[],0,ColumnLanguage),ColumnAbbreviation,FALSE),"")</f>
        <v/>
      </c>
      <c r="CG223" s="21" t="str">
        <f ca="1">IFERROR(VLOOKUP(AZ223,OFFSET(abbreviation[],0,ColumnLanguage),ColumnAbbreviation,FALSE),"")</f>
        <v/>
      </c>
      <c r="CH223" s="21" t="str">
        <f ca="1">IFERROR(VLOOKUP(BB223,OFFSET(abbreviation[],0,ColumnLanguage),ColumnAbbreviation,FALSE),"")</f>
        <v/>
      </c>
      <c r="CI223" s="21" t="str">
        <f ca="1">IFERROR(VLOOKUP(BD223,OFFSET(abbreviation[],0,ColumnLanguage),ColumnAbbreviation,FALSE),"")</f>
        <v/>
      </c>
      <c r="CJ223" s="21" t="str">
        <f ca="1">IFERROR(VLOOKUP(BF223,OFFSET(abbreviation[],0,ColumnLanguage),ColumnAbbreviation,FALSE),"")</f>
        <v/>
      </c>
      <c r="CK223" s="21" t="str">
        <f t="shared" ca="1" si="25"/>
        <v/>
      </c>
      <c r="CL223" s="21" t="str">
        <f t="shared" si="26"/>
        <v/>
      </c>
      <c r="CM223" s="52"/>
      <c r="CN223" s="57" t="str">
        <f t="shared" si="27"/>
        <v/>
      </c>
    </row>
    <row r="224" spans="14:92" x14ac:dyDescent="0.25">
      <c r="N224" s="58"/>
      <c r="P224" s="60"/>
      <c r="Q224" s="13"/>
      <c r="V224" s="60"/>
      <c r="X224" s="61"/>
      <c r="AB224" s="60"/>
      <c r="AN224" s="54"/>
      <c r="AS224" s="15"/>
      <c r="BH224" s="52"/>
      <c r="BI224" s="21" t="str">
        <f ca="1">IFERROR(VLOOKUP(C224,OFFSET(abbreviation[],0,ColumnLanguage),ColumnAbbreviation,FALSE),"")</f>
        <v/>
      </c>
      <c r="BJ224" s="21" t="str">
        <f ca="1">IFERROR(VLOOKUP(E224,OFFSET(abbreviation[],0,ColumnLanguage),ColumnAbbreviation,FALSE),"")</f>
        <v/>
      </c>
      <c r="BK224" s="21" t="str">
        <f ca="1">IFERROR(VLOOKUP(G224,OFFSET(abbreviation[],0,ColumnLanguage),ColumnAbbreviation,FALSE),"")</f>
        <v/>
      </c>
      <c r="BL224" s="21" t="str">
        <f ca="1">IFERROR(VLOOKUP(I224,OFFSET(abbreviation[],0,ColumnLanguage),ColumnAbbreviation,FALSE),"")</f>
        <v/>
      </c>
      <c r="BM224" s="21" t="str">
        <f ca="1">IFERROR(VLOOKUP(K224,OFFSET(abbreviation[],0,ColumnLanguage),ColumnAbbreviation,FALSE),"")</f>
        <v/>
      </c>
      <c r="BN224" s="21" t="str">
        <f t="shared" ca="1" si="21"/>
        <v/>
      </c>
      <c r="BO224" s="21" t="str">
        <f ca="1">IFERROR(VLOOKUP(N224,OFFSET(abbreviation[],0,ColumnLanguage),ColumnAbbreviation,FALSE),"")</f>
        <v/>
      </c>
      <c r="BP224" s="21" t="str">
        <f ca="1">IFERROR(VLOOKUP(P224,OFFSET(abbreviation[],0,ColumnLanguage),ColumnAbbreviation,FALSE),"")</f>
        <v/>
      </c>
      <c r="BQ224" s="21" t="str">
        <f ca="1">IFERROR(VLOOKUP(T224,OFFSET(abbreviation[],0,ColumnLanguage),ColumnAbbreviation,FALSE),"")</f>
        <v/>
      </c>
      <c r="BR224" s="21" t="str">
        <f ca="1">IFERROR(VLOOKUP(V224,OFFSET(abbreviation[],0,ColumnLanguage),ColumnAbbreviation,FALSE),"")</f>
        <v/>
      </c>
      <c r="BS224" s="21" t="str">
        <f ca="1">IFERROR(VLOOKUP(Z224,OFFSET(abbreviation[],0,ColumnLanguage),ColumnAbbreviation,FALSE),"")</f>
        <v/>
      </c>
      <c r="BT224" s="21" t="str">
        <f ca="1">IFERROR(VLOOKUP(AB224,OFFSET(abbreviation[],0,ColumnLanguage),ColumnAbbreviation,FALSE),"")</f>
        <v/>
      </c>
      <c r="BU224" s="21" t="str">
        <f t="shared" ca="1" si="22"/>
        <v>__</v>
      </c>
      <c r="BV224" s="21" t="str">
        <f ca="1">IFERROR(VLOOKUP(AF224,OFFSET(abbreviation[],0,ColumnLanguage),ColumnAbbreviation,FALSE),"")</f>
        <v/>
      </c>
      <c r="BW224" s="21" t="str">
        <f ca="1">IFERROR(VLOOKUP(AH224,OFFSET(abbreviation[],0,ColumnLanguage),ColumnAbbreviation,FALSE),"")</f>
        <v/>
      </c>
      <c r="BX224" s="21" t="str">
        <f ca="1">IFERROR(VLOOKUP(AJ224,OFFSET(abbreviation[],0,ColumnLanguage),ColumnAbbreviation,FALSE),"")</f>
        <v/>
      </c>
      <c r="BY224" s="21" t="str">
        <f ca="1">IFERROR(VLOOKUP(AL224,OFFSET(abbreviation[],0,ColumnLanguage),ColumnAbbreviation,FALSE),"")</f>
        <v/>
      </c>
      <c r="BZ224" s="21" t="str">
        <f t="shared" ca="1" si="23"/>
        <v>_</v>
      </c>
      <c r="CA224" s="21" t="str">
        <f ca="1">IFERROR(VLOOKUP(AP224,OFFSET(abbreviation[],0,ColumnLanguage),ColumnAbbreviation,FALSE),"")</f>
        <v/>
      </c>
      <c r="CB224" s="21" t="str">
        <f ca="1">IFERROR(VLOOKUP(AR224,OFFSET(abbreviation[],0,ColumnLanguage),ColumnAbbreviation,FALSE),"")</f>
        <v/>
      </c>
      <c r="CC224" s="21" t="str">
        <f ca="1">IFERROR(VLOOKUP(AT224,OFFSET(abbreviation[],0,ColumnLanguage),ColumnAbbreviation,FALSE),"")</f>
        <v/>
      </c>
      <c r="CD224" s="21" t="str">
        <f ca="1">IFERROR(VLOOKUP(AV224,OFFSET(abbreviation[],0,ColumnLanguage),ColumnAbbreviation,FALSE),"")</f>
        <v/>
      </c>
      <c r="CE224" s="21" t="str">
        <f t="shared" ca="1" si="24"/>
        <v>__</v>
      </c>
      <c r="CF224" s="21" t="str">
        <f ca="1">IFERROR(VLOOKUP(AX224,OFFSET(abbreviation[],0,ColumnLanguage),ColumnAbbreviation,FALSE),"")</f>
        <v/>
      </c>
      <c r="CG224" s="21" t="str">
        <f ca="1">IFERROR(VLOOKUP(AZ224,OFFSET(abbreviation[],0,ColumnLanguage),ColumnAbbreviation,FALSE),"")</f>
        <v/>
      </c>
      <c r="CH224" s="21" t="str">
        <f ca="1">IFERROR(VLOOKUP(BB224,OFFSET(abbreviation[],0,ColumnLanguage),ColumnAbbreviation,FALSE),"")</f>
        <v/>
      </c>
      <c r="CI224" s="21" t="str">
        <f ca="1">IFERROR(VLOOKUP(BD224,OFFSET(abbreviation[],0,ColumnLanguage),ColumnAbbreviation,FALSE),"")</f>
        <v/>
      </c>
      <c r="CJ224" s="21" t="str">
        <f ca="1">IFERROR(VLOOKUP(BF224,OFFSET(abbreviation[],0,ColumnLanguage),ColumnAbbreviation,FALSE),"")</f>
        <v/>
      </c>
      <c r="CK224" s="21" t="str">
        <f t="shared" ca="1" si="25"/>
        <v/>
      </c>
      <c r="CL224" s="21" t="str">
        <f t="shared" si="26"/>
        <v/>
      </c>
      <c r="CM224" s="52"/>
      <c r="CN224" s="57" t="str">
        <f t="shared" si="27"/>
        <v/>
      </c>
    </row>
    <row r="225" spans="14:92" x14ac:dyDescent="0.25">
      <c r="N225" s="58"/>
      <c r="P225" s="60"/>
      <c r="Q225" s="13"/>
      <c r="V225" s="60"/>
      <c r="X225" s="61"/>
      <c r="AB225" s="60"/>
      <c r="AN225" s="54"/>
      <c r="AS225" s="15"/>
      <c r="BH225" s="52"/>
      <c r="BI225" s="21" t="str">
        <f ca="1">IFERROR(VLOOKUP(C225,OFFSET(abbreviation[],0,ColumnLanguage),ColumnAbbreviation,FALSE),"")</f>
        <v/>
      </c>
      <c r="BJ225" s="21" t="str">
        <f ca="1">IFERROR(VLOOKUP(E225,OFFSET(abbreviation[],0,ColumnLanguage),ColumnAbbreviation,FALSE),"")</f>
        <v/>
      </c>
      <c r="BK225" s="21" t="str">
        <f ca="1">IFERROR(VLOOKUP(G225,OFFSET(abbreviation[],0,ColumnLanguage),ColumnAbbreviation,FALSE),"")</f>
        <v/>
      </c>
      <c r="BL225" s="21" t="str">
        <f ca="1">IFERROR(VLOOKUP(I225,OFFSET(abbreviation[],0,ColumnLanguage),ColumnAbbreviation,FALSE),"")</f>
        <v/>
      </c>
      <c r="BM225" s="21" t="str">
        <f ca="1">IFERROR(VLOOKUP(K225,OFFSET(abbreviation[],0,ColumnLanguage),ColumnAbbreviation,FALSE),"")</f>
        <v/>
      </c>
      <c r="BN225" s="21" t="str">
        <f t="shared" ca="1" si="21"/>
        <v/>
      </c>
      <c r="BO225" s="21" t="str">
        <f ca="1">IFERROR(VLOOKUP(N225,OFFSET(abbreviation[],0,ColumnLanguage),ColumnAbbreviation,FALSE),"")</f>
        <v/>
      </c>
      <c r="BP225" s="21" t="str">
        <f ca="1">IFERROR(VLOOKUP(P225,OFFSET(abbreviation[],0,ColumnLanguage),ColumnAbbreviation,FALSE),"")</f>
        <v/>
      </c>
      <c r="BQ225" s="21" t="str">
        <f ca="1">IFERROR(VLOOKUP(T225,OFFSET(abbreviation[],0,ColumnLanguage),ColumnAbbreviation,FALSE),"")</f>
        <v/>
      </c>
      <c r="BR225" s="21" t="str">
        <f ca="1">IFERROR(VLOOKUP(V225,OFFSET(abbreviation[],0,ColumnLanguage),ColumnAbbreviation,FALSE),"")</f>
        <v/>
      </c>
      <c r="BS225" s="21" t="str">
        <f ca="1">IFERROR(VLOOKUP(Z225,OFFSET(abbreviation[],0,ColumnLanguage),ColumnAbbreviation,FALSE),"")</f>
        <v/>
      </c>
      <c r="BT225" s="21" t="str">
        <f ca="1">IFERROR(VLOOKUP(AB225,OFFSET(abbreviation[],0,ColumnLanguage),ColumnAbbreviation,FALSE),"")</f>
        <v/>
      </c>
      <c r="BU225" s="21" t="str">
        <f t="shared" ca="1" si="22"/>
        <v>__</v>
      </c>
      <c r="BV225" s="21" t="str">
        <f ca="1">IFERROR(VLOOKUP(AF225,OFFSET(abbreviation[],0,ColumnLanguage),ColumnAbbreviation,FALSE),"")</f>
        <v/>
      </c>
      <c r="BW225" s="21" t="str">
        <f ca="1">IFERROR(VLOOKUP(AH225,OFFSET(abbreviation[],0,ColumnLanguage),ColumnAbbreviation,FALSE),"")</f>
        <v/>
      </c>
      <c r="BX225" s="21" t="str">
        <f ca="1">IFERROR(VLOOKUP(AJ225,OFFSET(abbreviation[],0,ColumnLanguage),ColumnAbbreviation,FALSE),"")</f>
        <v/>
      </c>
      <c r="BY225" s="21" t="str">
        <f ca="1">IFERROR(VLOOKUP(AL225,OFFSET(abbreviation[],0,ColumnLanguage),ColumnAbbreviation,FALSE),"")</f>
        <v/>
      </c>
      <c r="BZ225" s="21" t="str">
        <f t="shared" ca="1" si="23"/>
        <v>_</v>
      </c>
      <c r="CA225" s="21" t="str">
        <f ca="1">IFERROR(VLOOKUP(AP225,OFFSET(abbreviation[],0,ColumnLanguage),ColumnAbbreviation,FALSE),"")</f>
        <v/>
      </c>
      <c r="CB225" s="21" t="str">
        <f ca="1">IFERROR(VLOOKUP(AR225,OFFSET(abbreviation[],0,ColumnLanguage),ColumnAbbreviation,FALSE),"")</f>
        <v/>
      </c>
      <c r="CC225" s="21" t="str">
        <f ca="1">IFERROR(VLOOKUP(AT225,OFFSET(abbreviation[],0,ColumnLanguage),ColumnAbbreviation,FALSE),"")</f>
        <v/>
      </c>
      <c r="CD225" s="21" t="str">
        <f ca="1">IFERROR(VLOOKUP(AV225,OFFSET(abbreviation[],0,ColumnLanguage),ColumnAbbreviation,FALSE),"")</f>
        <v/>
      </c>
      <c r="CE225" s="21" t="str">
        <f t="shared" ca="1" si="24"/>
        <v>__</v>
      </c>
      <c r="CF225" s="21" t="str">
        <f ca="1">IFERROR(VLOOKUP(AX225,OFFSET(abbreviation[],0,ColumnLanguage),ColumnAbbreviation,FALSE),"")</f>
        <v/>
      </c>
      <c r="CG225" s="21" t="str">
        <f ca="1">IFERROR(VLOOKUP(AZ225,OFFSET(abbreviation[],0,ColumnLanguage),ColumnAbbreviation,FALSE),"")</f>
        <v/>
      </c>
      <c r="CH225" s="21" t="str">
        <f ca="1">IFERROR(VLOOKUP(BB225,OFFSET(abbreviation[],0,ColumnLanguage),ColumnAbbreviation,FALSE),"")</f>
        <v/>
      </c>
      <c r="CI225" s="21" t="str">
        <f ca="1">IFERROR(VLOOKUP(BD225,OFFSET(abbreviation[],0,ColumnLanguage),ColumnAbbreviation,FALSE),"")</f>
        <v/>
      </c>
      <c r="CJ225" s="21" t="str">
        <f ca="1">IFERROR(VLOOKUP(BF225,OFFSET(abbreviation[],0,ColumnLanguage),ColumnAbbreviation,FALSE),"")</f>
        <v/>
      </c>
      <c r="CK225" s="21" t="str">
        <f t="shared" ca="1" si="25"/>
        <v/>
      </c>
      <c r="CL225" s="21" t="str">
        <f t="shared" si="26"/>
        <v/>
      </c>
      <c r="CM225" s="52"/>
      <c r="CN225" s="57" t="str">
        <f t="shared" si="27"/>
        <v/>
      </c>
    </row>
    <row r="226" spans="14:92" x14ac:dyDescent="0.25">
      <c r="N226" s="58"/>
      <c r="P226" s="60"/>
      <c r="Q226" s="13"/>
      <c r="V226" s="60"/>
      <c r="X226" s="61"/>
      <c r="AB226" s="60"/>
      <c r="AN226" s="54"/>
      <c r="AS226" s="15"/>
      <c r="BH226" s="52"/>
      <c r="BI226" s="21" t="str">
        <f ca="1">IFERROR(VLOOKUP(C226,OFFSET(abbreviation[],0,ColumnLanguage),ColumnAbbreviation,FALSE),"")</f>
        <v/>
      </c>
      <c r="BJ226" s="21" t="str">
        <f ca="1">IFERROR(VLOOKUP(E226,OFFSET(abbreviation[],0,ColumnLanguage),ColumnAbbreviation,FALSE),"")</f>
        <v/>
      </c>
      <c r="BK226" s="21" t="str">
        <f ca="1">IFERROR(VLOOKUP(G226,OFFSET(abbreviation[],0,ColumnLanguage),ColumnAbbreviation,FALSE),"")</f>
        <v/>
      </c>
      <c r="BL226" s="21" t="str">
        <f ca="1">IFERROR(VLOOKUP(I226,OFFSET(abbreviation[],0,ColumnLanguage),ColumnAbbreviation,FALSE),"")</f>
        <v/>
      </c>
      <c r="BM226" s="21" t="str">
        <f ca="1">IFERROR(VLOOKUP(K226,OFFSET(abbreviation[],0,ColumnLanguage),ColumnAbbreviation,FALSE),"")</f>
        <v/>
      </c>
      <c r="BN226" s="21" t="str">
        <f t="shared" ca="1" si="21"/>
        <v/>
      </c>
      <c r="BO226" s="21" t="str">
        <f ca="1">IFERROR(VLOOKUP(N226,OFFSET(abbreviation[],0,ColumnLanguage),ColumnAbbreviation,FALSE),"")</f>
        <v/>
      </c>
      <c r="BP226" s="21" t="str">
        <f ca="1">IFERROR(VLOOKUP(P226,OFFSET(abbreviation[],0,ColumnLanguage),ColumnAbbreviation,FALSE),"")</f>
        <v/>
      </c>
      <c r="BQ226" s="21" t="str">
        <f ca="1">IFERROR(VLOOKUP(T226,OFFSET(abbreviation[],0,ColumnLanguage),ColumnAbbreviation,FALSE),"")</f>
        <v/>
      </c>
      <c r="BR226" s="21" t="str">
        <f ca="1">IFERROR(VLOOKUP(V226,OFFSET(abbreviation[],0,ColumnLanguage),ColumnAbbreviation,FALSE),"")</f>
        <v/>
      </c>
      <c r="BS226" s="21" t="str">
        <f ca="1">IFERROR(VLOOKUP(Z226,OFFSET(abbreviation[],0,ColumnLanguage),ColumnAbbreviation,FALSE),"")</f>
        <v/>
      </c>
      <c r="BT226" s="21" t="str">
        <f ca="1">IFERROR(VLOOKUP(AB226,OFFSET(abbreviation[],0,ColumnLanguage),ColumnAbbreviation,FALSE),"")</f>
        <v/>
      </c>
      <c r="BU226" s="21" t="str">
        <f t="shared" ca="1" si="22"/>
        <v>__</v>
      </c>
      <c r="BV226" s="21" t="str">
        <f ca="1">IFERROR(VLOOKUP(AF226,OFFSET(abbreviation[],0,ColumnLanguage),ColumnAbbreviation,FALSE),"")</f>
        <v/>
      </c>
      <c r="BW226" s="21" t="str">
        <f ca="1">IFERROR(VLOOKUP(AH226,OFFSET(abbreviation[],0,ColumnLanguage),ColumnAbbreviation,FALSE),"")</f>
        <v/>
      </c>
      <c r="BX226" s="21" t="str">
        <f ca="1">IFERROR(VLOOKUP(AJ226,OFFSET(abbreviation[],0,ColumnLanguage),ColumnAbbreviation,FALSE),"")</f>
        <v/>
      </c>
      <c r="BY226" s="21" t="str">
        <f ca="1">IFERROR(VLOOKUP(AL226,OFFSET(abbreviation[],0,ColumnLanguage),ColumnAbbreviation,FALSE),"")</f>
        <v/>
      </c>
      <c r="BZ226" s="21" t="str">
        <f t="shared" ca="1" si="23"/>
        <v>_</v>
      </c>
      <c r="CA226" s="21" t="str">
        <f ca="1">IFERROR(VLOOKUP(AP226,OFFSET(abbreviation[],0,ColumnLanguage),ColumnAbbreviation,FALSE),"")</f>
        <v/>
      </c>
      <c r="CB226" s="21" t="str">
        <f ca="1">IFERROR(VLOOKUP(AR226,OFFSET(abbreviation[],0,ColumnLanguage),ColumnAbbreviation,FALSE),"")</f>
        <v/>
      </c>
      <c r="CC226" s="21" t="str">
        <f ca="1">IFERROR(VLOOKUP(AT226,OFFSET(abbreviation[],0,ColumnLanguage),ColumnAbbreviation,FALSE),"")</f>
        <v/>
      </c>
      <c r="CD226" s="21" t="str">
        <f ca="1">IFERROR(VLOOKUP(AV226,OFFSET(abbreviation[],0,ColumnLanguage),ColumnAbbreviation,FALSE),"")</f>
        <v/>
      </c>
      <c r="CE226" s="21" t="str">
        <f t="shared" ca="1" si="24"/>
        <v>__</v>
      </c>
      <c r="CF226" s="21" t="str">
        <f ca="1">IFERROR(VLOOKUP(AX226,OFFSET(abbreviation[],0,ColumnLanguage),ColumnAbbreviation,FALSE),"")</f>
        <v/>
      </c>
      <c r="CG226" s="21" t="str">
        <f ca="1">IFERROR(VLOOKUP(AZ226,OFFSET(abbreviation[],0,ColumnLanguage),ColumnAbbreviation,FALSE),"")</f>
        <v/>
      </c>
      <c r="CH226" s="21" t="str">
        <f ca="1">IFERROR(VLOOKUP(BB226,OFFSET(abbreviation[],0,ColumnLanguage),ColumnAbbreviation,FALSE),"")</f>
        <v/>
      </c>
      <c r="CI226" s="21" t="str">
        <f ca="1">IFERROR(VLOOKUP(BD226,OFFSET(abbreviation[],0,ColumnLanguage),ColumnAbbreviation,FALSE),"")</f>
        <v/>
      </c>
      <c r="CJ226" s="21" t="str">
        <f ca="1">IFERROR(VLOOKUP(BF226,OFFSET(abbreviation[],0,ColumnLanguage),ColumnAbbreviation,FALSE),"")</f>
        <v/>
      </c>
      <c r="CK226" s="21" t="str">
        <f t="shared" ca="1" si="25"/>
        <v/>
      </c>
      <c r="CL226" s="21" t="str">
        <f t="shared" si="26"/>
        <v/>
      </c>
      <c r="CM226" s="52"/>
      <c r="CN226" s="57" t="str">
        <f t="shared" si="27"/>
        <v/>
      </c>
    </row>
    <row r="227" spans="14:92" x14ac:dyDescent="0.25">
      <c r="N227" s="58"/>
      <c r="P227" s="60"/>
      <c r="Q227" s="13"/>
      <c r="V227" s="60"/>
      <c r="X227" s="61"/>
      <c r="AB227" s="60"/>
      <c r="AN227" s="54"/>
      <c r="AS227" s="15"/>
      <c r="BH227" s="52"/>
      <c r="BI227" s="21" t="str">
        <f ca="1">IFERROR(VLOOKUP(C227,OFFSET(abbreviation[],0,ColumnLanguage),ColumnAbbreviation,FALSE),"")</f>
        <v/>
      </c>
      <c r="BJ227" s="21" t="str">
        <f ca="1">IFERROR(VLOOKUP(E227,OFFSET(abbreviation[],0,ColumnLanguage),ColumnAbbreviation,FALSE),"")</f>
        <v/>
      </c>
      <c r="BK227" s="21" t="str">
        <f ca="1">IFERROR(VLOOKUP(G227,OFFSET(abbreviation[],0,ColumnLanguage),ColumnAbbreviation,FALSE),"")</f>
        <v/>
      </c>
      <c r="BL227" s="21" t="str">
        <f ca="1">IFERROR(VLOOKUP(I227,OFFSET(abbreviation[],0,ColumnLanguage),ColumnAbbreviation,FALSE),"")</f>
        <v/>
      </c>
      <c r="BM227" s="21" t="str">
        <f ca="1">IFERROR(VLOOKUP(K227,OFFSET(abbreviation[],0,ColumnLanguage),ColumnAbbreviation,FALSE),"")</f>
        <v/>
      </c>
      <c r="BN227" s="21" t="str">
        <f t="shared" ca="1" si="21"/>
        <v/>
      </c>
      <c r="BO227" s="21" t="str">
        <f ca="1">IFERROR(VLOOKUP(N227,OFFSET(abbreviation[],0,ColumnLanguage),ColumnAbbreviation,FALSE),"")</f>
        <v/>
      </c>
      <c r="BP227" s="21" t="str">
        <f ca="1">IFERROR(VLOOKUP(P227,OFFSET(abbreviation[],0,ColumnLanguage),ColumnAbbreviation,FALSE),"")</f>
        <v/>
      </c>
      <c r="BQ227" s="21" t="str">
        <f ca="1">IFERROR(VLOOKUP(T227,OFFSET(abbreviation[],0,ColumnLanguage),ColumnAbbreviation,FALSE),"")</f>
        <v/>
      </c>
      <c r="BR227" s="21" t="str">
        <f ca="1">IFERROR(VLOOKUP(V227,OFFSET(abbreviation[],0,ColumnLanguage),ColumnAbbreviation,FALSE),"")</f>
        <v/>
      </c>
      <c r="BS227" s="21" t="str">
        <f ca="1">IFERROR(VLOOKUP(Z227,OFFSET(abbreviation[],0,ColumnLanguage),ColumnAbbreviation,FALSE),"")</f>
        <v/>
      </c>
      <c r="BT227" s="21" t="str">
        <f ca="1">IFERROR(VLOOKUP(AB227,OFFSET(abbreviation[],0,ColumnLanguage),ColumnAbbreviation,FALSE),"")</f>
        <v/>
      </c>
      <c r="BU227" s="21" t="str">
        <f t="shared" ca="1" si="22"/>
        <v>__</v>
      </c>
      <c r="BV227" s="21" t="str">
        <f ca="1">IFERROR(VLOOKUP(AF227,OFFSET(abbreviation[],0,ColumnLanguage),ColumnAbbreviation,FALSE),"")</f>
        <v/>
      </c>
      <c r="BW227" s="21" t="str">
        <f ca="1">IFERROR(VLOOKUP(AH227,OFFSET(abbreviation[],0,ColumnLanguage),ColumnAbbreviation,FALSE),"")</f>
        <v/>
      </c>
      <c r="BX227" s="21" t="str">
        <f ca="1">IFERROR(VLOOKUP(AJ227,OFFSET(abbreviation[],0,ColumnLanguage),ColumnAbbreviation,FALSE),"")</f>
        <v/>
      </c>
      <c r="BY227" s="21" t="str">
        <f ca="1">IFERROR(VLOOKUP(AL227,OFFSET(abbreviation[],0,ColumnLanguage),ColumnAbbreviation,FALSE),"")</f>
        <v/>
      </c>
      <c r="BZ227" s="21" t="str">
        <f t="shared" ca="1" si="23"/>
        <v>_</v>
      </c>
      <c r="CA227" s="21" t="str">
        <f ca="1">IFERROR(VLOOKUP(AP227,OFFSET(abbreviation[],0,ColumnLanguage),ColumnAbbreviation,FALSE),"")</f>
        <v/>
      </c>
      <c r="CB227" s="21" t="str">
        <f ca="1">IFERROR(VLOOKUP(AR227,OFFSET(abbreviation[],0,ColumnLanguage),ColumnAbbreviation,FALSE),"")</f>
        <v/>
      </c>
      <c r="CC227" s="21" t="str">
        <f ca="1">IFERROR(VLOOKUP(AT227,OFFSET(abbreviation[],0,ColumnLanguage),ColumnAbbreviation,FALSE),"")</f>
        <v/>
      </c>
      <c r="CD227" s="21" t="str">
        <f ca="1">IFERROR(VLOOKUP(AV227,OFFSET(abbreviation[],0,ColumnLanguage),ColumnAbbreviation,FALSE),"")</f>
        <v/>
      </c>
      <c r="CE227" s="21" t="str">
        <f t="shared" ca="1" si="24"/>
        <v>__</v>
      </c>
      <c r="CF227" s="21" t="str">
        <f ca="1">IFERROR(VLOOKUP(AX227,OFFSET(abbreviation[],0,ColumnLanguage),ColumnAbbreviation,FALSE),"")</f>
        <v/>
      </c>
      <c r="CG227" s="21" t="str">
        <f ca="1">IFERROR(VLOOKUP(AZ227,OFFSET(abbreviation[],0,ColumnLanguage),ColumnAbbreviation,FALSE),"")</f>
        <v/>
      </c>
      <c r="CH227" s="21" t="str">
        <f ca="1">IFERROR(VLOOKUP(BB227,OFFSET(abbreviation[],0,ColumnLanguage),ColumnAbbreviation,FALSE),"")</f>
        <v/>
      </c>
      <c r="CI227" s="21" t="str">
        <f ca="1">IFERROR(VLOOKUP(BD227,OFFSET(abbreviation[],0,ColumnLanguage),ColumnAbbreviation,FALSE),"")</f>
        <v/>
      </c>
      <c r="CJ227" s="21" t="str">
        <f ca="1">IFERROR(VLOOKUP(BF227,OFFSET(abbreviation[],0,ColumnLanguage),ColumnAbbreviation,FALSE),"")</f>
        <v/>
      </c>
      <c r="CK227" s="21" t="str">
        <f t="shared" ca="1" si="25"/>
        <v/>
      </c>
      <c r="CL227" s="21" t="str">
        <f t="shared" si="26"/>
        <v/>
      </c>
      <c r="CM227" s="52"/>
      <c r="CN227" s="57" t="str">
        <f t="shared" si="27"/>
        <v/>
      </c>
    </row>
    <row r="228" spans="14:92" x14ac:dyDescent="0.25">
      <c r="N228" s="58"/>
      <c r="P228" s="60"/>
      <c r="Q228" s="13"/>
      <c r="V228" s="60"/>
      <c r="X228" s="61"/>
      <c r="AB228" s="60"/>
      <c r="AN228" s="54"/>
      <c r="AS228" s="15"/>
      <c r="BH228" s="52"/>
      <c r="BI228" s="21" t="str">
        <f ca="1">IFERROR(VLOOKUP(C228,OFFSET(abbreviation[],0,ColumnLanguage),ColumnAbbreviation,FALSE),"")</f>
        <v/>
      </c>
      <c r="BJ228" s="21" t="str">
        <f ca="1">IFERROR(VLOOKUP(E228,OFFSET(abbreviation[],0,ColumnLanguage),ColumnAbbreviation,FALSE),"")</f>
        <v/>
      </c>
      <c r="BK228" s="21" t="str">
        <f ca="1">IFERROR(VLOOKUP(G228,OFFSET(abbreviation[],0,ColumnLanguage),ColumnAbbreviation,FALSE),"")</f>
        <v/>
      </c>
      <c r="BL228" s="21" t="str">
        <f ca="1">IFERROR(VLOOKUP(I228,OFFSET(abbreviation[],0,ColumnLanguage),ColumnAbbreviation,FALSE),"")</f>
        <v/>
      </c>
      <c r="BM228" s="21" t="str">
        <f ca="1">IFERROR(VLOOKUP(K228,OFFSET(abbreviation[],0,ColumnLanguage),ColumnAbbreviation,FALSE),"")</f>
        <v/>
      </c>
      <c r="BN228" s="21" t="str">
        <f t="shared" ca="1" si="21"/>
        <v/>
      </c>
      <c r="BO228" s="21" t="str">
        <f ca="1">IFERROR(VLOOKUP(N228,OFFSET(abbreviation[],0,ColumnLanguage),ColumnAbbreviation,FALSE),"")</f>
        <v/>
      </c>
      <c r="BP228" s="21" t="str">
        <f ca="1">IFERROR(VLOOKUP(P228,OFFSET(abbreviation[],0,ColumnLanguage),ColumnAbbreviation,FALSE),"")</f>
        <v/>
      </c>
      <c r="BQ228" s="21" t="str">
        <f ca="1">IFERROR(VLOOKUP(T228,OFFSET(abbreviation[],0,ColumnLanguage),ColumnAbbreviation,FALSE),"")</f>
        <v/>
      </c>
      <c r="BR228" s="21" t="str">
        <f ca="1">IFERROR(VLOOKUP(V228,OFFSET(abbreviation[],0,ColumnLanguage),ColumnAbbreviation,FALSE),"")</f>
        <v/>
      </c>
      <c r="BS228" s="21" t="str">
        <f ca="1">IFERROR(VLOOKUP(Z228,OFFSET(abbreviation[],0,ColumnLanguage),ColumnAbbreviation,FALSE),"")</f>
        <v/>
      </c>
      <c r="BT228" s="21" t="str">
        <f ca="1">IFERROR(VLOOKUP(AB228,OFFSET(abbreviation[],0,ColumnLanguage),ColumnAbbreviation,FALSE),"")</f>
        <v/>
      </c>
      <c r="BU228" s="21" t="str">
        <f t="shared" ca="1" si="22"/>
        <v>__</v>
      </c>
      <c r="BV228" s="21" t="str">
        <f ca="1">IFERROR(VLOOKUP(AF228,OFFSET(abbreviation[],0,ColumnLanguage),ColumnAbbreviation,FALSE),"")</f>
        <v/>
      </c>
      <c r="BW228" s="21" t="str">
        <f ca="1">IFERROR(VLOOKUP(AH228,OFFSET(abbreviation[],0,ColumnLanguage),ColumnAbbreviation,FALSE),"")</f>
        <v/>
      </c>
      <c r="BX228" s="21" t="str">
        <f ca="1">IFERROR(VLOOKUP(AJ228,OFFSET(abbreviation[],0,ColumnLanguage),ColumnAbbreviation,FALSE),"")</f>
        <v/>
      </c>
      <c r="BY228" s="21" t="str">
        <f ca="1">IFERROR(VLOOKUP(AL228,OFFSET(abbreviation[],0,ColumnLanguage),ColumnAbbreviation,FALSE),"")</f>
        <v/>
      </c>
      <c r="BZ228" s="21" t="str">
        <f t="shared" ca="1" si="23"/>
        <v>_</v>
      </c>
      <c r="CA228" s="21" t="str">
        <f ca="1">IFERROR(VLOOKUP(AP228,OFFSET(abbreviation[],0,ColumnLanguage),ColumnAbbreviation,FALSE),"")</f>
        <v/>
      </c>
      <c r="CB228" s="21" t="str">
        <f ca="1">IFERROR(VLOOKUP(AR228,OFFSET(abbreviation[],0,ColumnLanguage),ColumnAbbreviation,FALSE),"")</f>
        <v/>
      </c>
      <c r="CC228" s="21" t="str">
        <f ca="1">IFERROR(VLOOKUP(AT228,OFFSET(abbreviation[],0,ColumnLanguage),ColumnAbbreviation,FALSE),"")</f>
        <v/>
      </c>
      <c r="CD228" s="21" t="str">
        <f ca="1">IFERROR(VLOOKUP(AV228,OFFSET(abbreviation[],0,ColumnLanguage),ColumnAbbreviation,FALSE),"")</f>
        <v/>
      </c>
      <c r="CE228" s="21" t="str">
        <f t="shared" ca="1" si="24"/>
        <v>__</v>
      </c>
      <c r="CF228" s="21" t="str">
        <f ca="1">IFERROR(VLOOKUP(AX228,OFFSET(abbreviation[],0,ColumnLanguage),ColumnAbbreviation,FALSE),"")</f>
        <v/>
      </c>
      <c r="CG228" s="21" t="str">
        <f ca="1">IFERROR(VLOOKUP(AZ228,OFFSET(abbreviation[],0,ColumnLanguage),ColumnAbbreviation,FALSE),"")</f>
        <v/>
      </c>
      <c r="CH228" s="21" t="str">
        <f ca="1">IFERROR(VLOOKUP(BB228,OFFSET(abbreviation[],0,ColumnLanguage),ColumnAbbreviation,FALSE),"")</f>
        <v/>
      </c>
      <c r="CI228" s="21" t="str">
        <f ca="1">IFERROR(VLOOKUP(BD228,OFFSET(abbreviation[],0,ColumnLanguage),ColumnAbbreviation,FALSE),"")</f>
        <v/>
      </c>
      <c r="CJ228" s="21" t="str">
        <f ca="1">IFERROR(VLOOKUP(BF228,OFFSET(abbreviation[],0,ColumnLanguage),ColumnAbbreviation,FALSE),"")</f>
        <v/>
      </c>
      <c r="CK228" s="21" t="str">
        <f t="shared" ca="1" si="25"/>
        <v/>
      </c>
      <c r="CL228" s="21" t="str">
        <f t="shared" si="26"/>
        <v/>
      </c>
      <c r="CM228" s="52"/>
      <c r="CN228" s="57" t="str">
        <f t="shared" si="27"/>
        <v/>
      </c>
    </row>
    <row r="229" spans="14:92" x14ac:dyDescent="0.25">
      <c r="N229" s="58"/>
      <c r="P229" s="60"/>
      <c r="Q229" s="13"/>
      <c r="V229" s="60"/>
      <c r="X229" s="61"/>
      <c r="AB229" s="60"/>
      <c r="AN229" s="54"/>
      <c r="AS229" s="15"/>
      <c r="BH229" s="52"/>
      <c r="BI229" s="21" t="str">
        <f ca="1">IFERROR(VLOOKUP(C229,OFFSET(abbreviation[],0,ColumnLanguage),ColumnAbbreviation,FALSE),"")</f>
        <v/>
      </c>
      <c r="BJ229" s="21" t="str">
        <f ca="1">IFERROR(VLOOKUP(E229,OFFSET(abbreviation[],0,ColumnLanguage),ColumnAbbreviation,FALSE),"")</f>
        <v/>
      </c>
      <c r="BK229" s="21" t="str">
        <f ca="1">IFERROR(VLOOKUP(G229,OFFSET(abbreviation[],0,ColumnLanguage),ColumnAbbreviation,FALSE),"")</f>
        <v/>
      </c>
      <c r="BL229" s="21" t="str">
        <f ca="1">IFERROR(VLOOKUP(I229,OFFSET(abbreviation[],0,ColumnLanguage),ColumnAbbreviation,FALSE),"")</f>
        <v/>
      </c>
      <c r="BM229" s="21" t="str">
        <f ca="1">IFERROR(VLOOKUP(K229,OFFSET(abbreviation[],0,ColumnLanguage),ColumnAbbreviation,FALSE),"")</f>
        <v/>
      </c>
      <c r="BN229" s="21" t="str">
        <f t="shared" ca="1" si="21"/>
        <v/>
      </c>
      <c r="BO229" s="21" t="str">
        <f ca="1">IFERROR(VLOOKUP(N229,OFFSET(abbreviation[],0,ColumnLanguage),ColumnAbbreviation,FALSE),"")</f>
        <v/>
      </c>
      <c r="BP229" s="21" t="str">
        <f ca="1">IFERROR(VLOOKUP(P229,OFFSET(abbreviation[],0,ColumnLanguage),ColumnAbbreviation,FALSE),"")</f>
        <v/>
      </c>
      <c r="BQ229" s="21" t="str">
        <f ca="1">IFERROR(VLOOKUP(T229,OFFSET(abbreviation[],0,ColumnLanguage),ColumnAbbreviation,FALSE),"")</f>
        <v/>
      </c>
      <c r="BR229" s="21" t="str">
        <f ca="1">IFERROR(VLOOKUP(V229,OFFSET(abbreviation[],0,ColumnLanguage),ColumnAbbreviation,FALSE),"")</f>
        <v/>
      </c>
      <c r="BS229" s="21" t="str">
        <f ca="1">IFERROR(VLOOKUP(Z229,OFFSET(abbreviation[],0,ColumnLanguage),ColumnAbbreviation,FALSE),"")</f>
        <v/>
      </c>
      <c r="BT229" s="21" t="str">
        <f ca="1">IFERROR(VLOOKUP(AB229,OFFSET(abbreviation[],0,ColumnLanguage),ColumnAbbreviation,FALSE),"")</f>
        <v/>
      </c>
      <c r="BU229" s="21" t="str">
        <f t="shared" ca="1" si="22"/>
        <v>__</v>
      </c>
      <c r="BV229" s="21" t="str">
        <f ca="1">IFERROR(VLOOKUP(AF229,OFFSET(abbreviation[],0,ColumnLanguage),ColumnAbbreviation,FALSE),"")</f>
        <v/>
      </c>
      <c r="BW229" s="21" t="str">
        <f ca="1">IFERROR(VLOOKUP(AH229,OFFSET(abbreviation[],0,ColumnLanguage),ColumnAbbreviation,FALSE),"")</f>
        <v/>
      </c>
      <c r="BX229" s="21" t="str">
        <f ca="1">IFERROR(VLOOKUP(AJ229,OFFSET(abbreviation[],0,ColumnLanguage),ColumnAbbreviation,FALSE),"")</f>
        <v/>
      </c>
      <c r="BY229" s="21" t="str">
        <f ca="1">IFERROR(VLOOKUP(AL229,OFFSET(abbreviation[],0,ColumnLanguage),ColumnAbbreviation,FALSE),"")</f>
        <v/>
      </c>
      <c r="BZ229" s="21" t="str">
        <f t="shared" ca="1" si="23"/>
        <v>_</v>
      </c>
      <c r="CA229" s="21" t="str">
        <f ca="1">IFERROR(VLOOKUP(AP229,OFFSET(abbreviation[],0,ColumnLanguage),ColumnAbbreviation,FALSE),"")</f>
        <v/>
      </c>
      <c r="CB229" s="21" t="str">
        <f ca="1">IFERROR(VLOOKUP(AR229,OFFSET(abbreviation[],0,ColumnLanguage),ColumnAbbreviation,FALSE),"")</f>
        <v/>
      </c>
      <c r="CC229" s="21" t="str">
        <f ca="1">IFERROR(VLOOKUP(AT229,OFFSET(abbreviation[],0,ColumnLanguage),ColumnAbbreviation,FALSE),"")</f>
        <v/>
      </c>
      <c r="CD229" s="21" t="str">
        <f ca="1">IFERROR(VLOOKUP(AV229,OFFSET(abbreviation[],0,ColumnLanguage),ColumnAbbreviation,FALSE),"")</f>
        <v/>
      </c>
      <c r="CE229" s="21" t="str">
        <f t="shared" ca="1" si="24"/>
        <v>__</v>
      </c>
      <c r="CF229" s="21" t="str">
        <f ca="1">IFERROR(VLOOKUP(AX229,OFFSET(abbreviation[],0,ColumnLanguage),ColumnAbbreviation,FALSE),"")</f>
        <v/>
      </c>
      <c r="CG229" s="21" t="str">
        <f ca="1">IFERROR(VLOOKUP(AZ229,OFFSET(abbreviation[],0,ColumnLanguage),ColumnAbbreviation,FALSE),"")</f>
        <v/>
      </c>
      <c r="CH229" s="21" t="str">
        <f ca="1">IFERROR(VLOOKUP(BB229,OFFSET(abbreviation[],0,ColumnLanguage),ColumnAbbreviation,FALSE),"")</f>
        <v/>
      </c>
      <c r="CI229" s="21" t="str">
        <f ca="1">IFERROR(VLOOKUP(BD229,OFFSET(abbreviation[],0,ColumnLanguage),ColumnAbbreviation,FALSE),"")</f>
        <v/>
      </c>
      <c r="CJ229" s="21" t="str">
        <f ca="1">IFERROR(VLOOKUP(BF229,OFFSET(abbreviation[],0,ColumnLanguage),ColumnAbbreviation,FALSE),"")</f>
        <v/>
      </c>
      <c r="CK229" s="21" t="str">
        <f t="shared" ca="1" si="25"/>
        <v/>
      </c>
      <c r="CL229" s="21" t="str">
        <f t="shared" si="26"/>
        <v/>
      </c>
      <c r="CM229" s="52"/>
      <c r="CN229" s="57" t="str">
        <f t="shared" si="27"/>
        <v/>
      </c>
    </row>
    <row r="230" spans="14:92" x14ac:dyDescent="0.25">
      <c r="N230" s="58"/>
      <c r="P230" s="60"/>
      <c r="Q230" s="13"/>
      <c r="V230" s="60"/>
      <c r="X230" s="61"/>
      <c r="AB230" s="60"/>
      <c r="AN230" s="54"/>
      <c r="AS230" s="15"/>
      <c r="BH230" s="52"/>
      <c r="BI230" s="21" t="str">
        <f ca="1">IFERROR(VLOOKUP(C230,OFFSET(abbreviation[],0,ColumnLanguage),ColumnAbbreviation,FALSE),"")</f>
        <v/>
      </c>
      <c r="BJ230" s="21" t="str">
        <f ca="1">IFERROR(VLOOKUP(E230,OFFSET(abbreviation[],0,ColumnLanguage),ColumnAbbreviation,FALSE),"")</f>
        <v/>
      </c>
      <c r="BK230" s="21" t="str">
        <f ca="1">IFERROR(VLOOKUP(G230,OFFSET(abbreviation[],0,ColumnLanguage),ColumnAbbreviation,FALSE),"")</f>
        <v/>
      </c>
      <c r="BL230" s="21" t="str">
        <f ca="1">IFERROR(VLOOKUP(I230,OFFSET(abbreviation[],0,ColumnLanguage),ColumnAbbreviation,FALSE),"")</f>
        <v/>
      </c>
      <c r="BM230" s="21" t="str">
        <f ca="1">IFERROR(VLOOKUP(K230,OFFSET(abbreviation[],0,ColumnLanguage),ColumnAbbreviation,FALSE),"")</f>
        <v/>
      </c>
      <c r="BN230" s="21" t="str">
        <f t="shared" ca="1" si="21"/>
        <v/>
      </c>
      <c r="BO230" s="21" t="str">
        <f ca="1">IFERROR(VLOOKUP(N230,OFFSET(abbreviation[],0,ColumnLanguage),ColumnAbbreviation,FALSE),"")</f>
        <v/>
      </c>
      <c r="BP230" s="21" t="str">
        <f ca="1">IFERROR(VLOOKUP(P230,OFFSET(abbreviation[],0,ColumnLanguage),ColumnAbbreviation,FALSE),"")</f>
        <v/>
      </c>
      <c r="BQ230" s="21" t="str">
        <f ca="1">IFERROR(VLOOKUP(T230,OFFSET(abbreviation[],0,ColumnLanguage),ColumnAbbreviation,FALSE),"")</f>
        <v/>
      </c>
      <c r="BR230" s="21" t="str">
        <f ca="1">IFERROR(VLOOKUP(V230,OFFSET(abbreviation[],0,ColumnLanguage),ColumnAbbreviation,FALSE),"")</f>
        <v/>
      </c>
      <c r="BS230" s="21" t="str">
        <f ca="1">IFERROR(VLOOKUP(Z230,OFFSET(abbreviation[],0,ColumnLanguage),ColumnAbbreviation,FALSE),"")</f>
        <v/>
      </c>
      <c r="BT230" s="21" t="str">
        <f ca="1">IFERROR(VLOOKUP(AB230,OFFSET(abbreviation[],0,ColumnLanguage),ColumnAbbreviation,FALSE),"")</f>
        <v/>
      </c>
      <c r="BU230" s="21" t="str">
        <f t="shared" ca="1" si="22"/>
        <v>__</v>
      </c>
      <c r="BV230" s="21" t="str">
        <f ca="1">IFERROR(VLOOKUP(AF230,OFFSET(abbreviation[],0,ColumnLanguage),ColumnAbbreviation,FALSE),"")</f>
        <v/>
      </c>
      <c r="BW230" s="21" t="str">
        <f ca="1">IFERROR(VLOOKUP(AH230,OFFSET(abbreviation[],0,ColumnLanguage),ColumnAbbreviation,FALSE),"")</f>
        <v/>
      </c>
      <c r="BX230" s="21" t="str">
        <f ca="1">IFERROR(VLOOKUP(AJ230,OFFSET(abbreviation[],0,ColumnLanguage),ColumnAbbreviation,FALSE),"")</f>
        <v/>
      </c>
      <c r="BY230" s="21" t="str">
        <f ca="1">IFERROR(VLOOKUP(AL230,OFFSET(abbreviation[],0,ColumnLanguage),ColumnAbbreviation,FALSE),"")</f>
        <v/>
      </c>
      <c r="BZ230" s="21" t="str">
        <f t="shared" ca="1" si="23"/>
        <v>_</v>
      </c>
      <c r="CA230" s="21" t="str">
        <f ca="1">IFERROR(VLOOKUP(AP230,OFFSET(abbreviation[],0,ColumnLanguage),ColumnAbbreviation,FALSE),"")</f>
        <v/>
      </c>
      <c r="CB230" s="21" t="str">
        <f ca="1">IFERROR(VLOOKUP(AR230,OFFSET(abbreviation[],0,ColumnLanguage),ColumnAbbreviation,FALSE),"")</f>
        <v/>
      </c>
      <c r="CC230" s="21" t="str">
        <f ca="1">IFERROR(VLOOKUP(AT230,OFFSET(abbreviation[],0,ColumnLanguage),ColumnAbbreviation,FALSE),"")</f>
        <v/>
      </c>
      <c r="CD230" s="21" t="str">
        <f ca="1">IFERROR(VLOOKUP(AV230,OFFSET(abbreviation[],0,ColumnLanguage),ColumnAbbreviation,FALSE),"")</f>
        <v/>
      </c>
      <c r="CE230" s="21" t="str">
        <f t="shared" ca="1" si="24"/>
        <v>__</v>
      </c>
      <c r="CF230" s="21" t="str">
        <f ca="1">IFERROR(VLOOKUP(AX230,OFFSET(abbreviation[],0,ColumnLanguage),ColumnAbbreviation,FALSE),"")</f>
        <v/>
      </c>
      <c r="CG230" s="21" t="str">
        <f ca="1">IFERROR(VLOOKUP(AZ230,OFFSET(abbreviation[],0,ColumnLanguage),ColumnAbbreviation,FALSE),"")</f>
        <v/>
      </c>
      <c r="CH230" s="21" t="str">
        <f ca="1">IFERROR(VLOOKUP(BB230,OFFSET(abbreviation[],0,ColumnLanguage),ColumnAbbreviation,FALSE),"")</f>
        <v/>
      </c>
      <c r="CI230" s="21" t="str">
        <f ca="1">IFERROR(VLOOKUP(BD230,OFFSET(abbreviation[],0,ColumnLanguage),ColumnAbbreviation,FALSE),"")</f>
        <v/>
      </c>
      <c r="CJ230" s="21" t="str">
        <f ca="1">IFERROR(VLOOKUP(BF230,OFFSET(abbreviation[],0,ColumnLanguage),ColumnAbbreviation,FALSE),"")</f>
        <v/>
      </c>
      <c r="CK230" s="21" t="str">
        <f t="shared" ca="1" si="25"/>
        <v/>
      </c>
      <c r="CL230" s="21" t="str">
        <f t="shared" si="26"/>
        <v/>
      </c>
      <c r="CM230" s="52"/>
      <c r="CN230" s="57" t="str">
        <f t="shared" si="27"/>
        <v/>
      </c>
    </row>
    <row r="231" spans="14:92" x14ac:dyDescent="0.25">
      <c r="N231" s="58"/>
      <c r="P231" s="60"/>
      <c r="Q231" s="13"/>
      <c r="V231" s="60"/>
      <c r="X231" s="61"/>
      <c r="AB231" s="60"/>
      <c r="AN231" s="54"/>
      <c r="AS231" s="15"/>
      <c r="BH231" s="52"/>
      <c r="BI231" s="21" t="str">
        <f ca="1">IFERROR(VLOOKUP(C231,OFFSET(abbreviation[],0,ColumnLanguage),ColumnAbbreviation,FALSE),"")</f>
        <v/>
      </c>
      <c r="BJ231" s="21" t="str">
        <f ca="1">IFERROR(VLOOKUP(E231,OFFSET(abbreviation[],0,ColumnLanguage),ColumnAbbreviation,FALSE),"")</f>
        <v/>
      </c>
      <c r="BK231" s="21" t="str">
        <f ca="1">IFERROR(VLOOKUP(G231,OFFSET(abbreviation[],0,ColumnLanguage),ColumnAbbreviation,FALSE),"")</f>
        <v/>
      </c>
      <c r="BL231" s="21" t="str">
        <f ca="1">IFERROR(VLOOKUP(I231,OFFSET(abbreviation[],0,ColumnLanguage),ColumnAbbreviation,FALSE),"")</f>
        <v/>
      </c>
      <c r="BM231" s="21" t="str">
        <f ca="1">IFERROR(VLOOKUP(K231,OFFSET(abbreviation[],0,ColumnLanguage),ColumnAbbreviation,FALSE),"")</f>
        <v/>
      </c>
      <c r="BN231" s="21" t="str">
        <f t="shared" ca="1" si="21"/>
        <v/>
      </c>
      <c r="BO231" s="21" t="str">
        <f ca="1">IFERROR(VLOOKUP(N231,OFFSET(abbreviation[],0,ColumnLanguage),ColumnAbbreviation,FALSE),"")</f>
        <v/>
      </c>
      <c r="BP231" s="21" t="str">
        <f ca="1">IFERROR(VLOOKUP(P231,OFFSET(abbreviation[],0,ColumnLanguage),ColumnAbbreviation,FALSE),"")</f>
        <v/>
      </c>
      <c r="BQ231" s="21" t="str">
        <f ca="1">IFERROR(VLOOKUP(T231,OFFSET(abbreviation[],0,ColumnLanguage),ColumnAbbreviation,FALSE),"")</f>
        <v/>
      </c>
      <c r="BR231" s="21" t="str">
        <f ca="1">IFERROR(VLOOKUP(V231,OFFSET(abbreviation[],0,ColumnLanguage),ColumnAbbreviation,FALSE),"")</f>
        <v/>
      </c>
      <c r="BS231" s="21" t="str">
        <f ca="1">IFERROR(VLOOKUP(Z231,OFFSET(abbreviation[],0,ColumnLanguage),ColumnAbbreviation,FALSE),"")</f>
        <v/>
      </c>
      <c r="BT231" s="21" t="str">
        <f ca="1">IFERROR(VLOOKUP(AB231,OFFSET(abbreviation[],0,ColumnLanguage),ColumnAbbreviation,FALSE),"")</f>
        <v/>
      </c>
      <c r="BU231" s="21" t="str">
        <f t="shared" ca="1" si="22"/>
        <v>__</v>
      </c>
      <c r="BV231" s="21" t="str">
        <f ca="1">IFERROR(VLOOKUP(AF231,OFFSET(abbreviation[],0,ColumnLanguage),ColumnAbbreviation,FALSE),"")</f>
        <v/>
      </c>
      <c r="BW231" s="21" t="str">
        <f ca="1">IFERROR(VLOOKUP(AH231,OFFSET(abbreviation[],0,ColumnLanguage),ColumnAbbreviation,FALSE),"")</f>
        <v/>
      </c>
      <c r="BX231" s="21" t="str">
        <f ca="1">IFERROR(VLOOKUP(AJ231,OFFSET(abbreviation[],0,ColumnLanguage),ColumnAbbreviation,FALSE),"")</f>
        <v/>
      </c>
      <c r="BY231" s="21" t="str">
        <f ca="1">IFERROR(VLOOKUP(AL231,OFFSET(abbreviation[],0,ColumnLanguage),ColumnAbbreviation,FALSE),"")</f>
        <v/>
      </c>
      <c r="BZ231" s="21" t="str">
        <f t="shared" ca="1" si="23"/>
        <v>_</v>
      </c>
      <c r="CA231" s="21" t="str">
        <f ca="1">IFERROR(VLOOKUP(AP231,OFFSET(abbreviation[],0,ColumnLanguage),ColumnAbbreviation,FALSE),"")</f>
        <v/>
      </c>
      <c r="CB231" s="21" t="str">
        <f ca="1">IFERROR(VLOOKUP(AR231,OFFSET(abbreviation[],0,ColumnLanguage),ColumnAbbreviation,FALSE),"")</f>
        <v/>
      </c>
      <c r="CC231" s="21" t="str">
        <f ca="1">IFERROR(VLOOKUP(AT231,OFFSET(abbreviation[],0,ColumnLanguage),ColumnAbbreviation,FALSE),"")</f>
        <v/>
      </c>
      <c r="CD231" s="21" t="str">
        <f ca="1">IFERROR(VLOOKUP(AV231,OFFSET(abbreviation[],0,ColumnLanguage),ColumnAbbreviation,FALSE),"")</f>
        <v/>
      </c>
      <c r="CE231" s="21" t="str">
        <f t="shared" ca="1" si="24"/>
        <v>__</v>
      </c>
      <c r="CF231" s="21" t="str">
        <f ca="1">IFERROR(VLOOKUP(AX231,OFFSET(abbreviation[],0,ColumnLanguage),ColumnAbbreviation,FALSE),"")</f>
        <v/>
      </c>
      <c r="CG231" s="21" t="str">
        <f ca="1">IFERROR(VLOOKUP(AZ231,OFFSET(abbreviation[],0,ColumnLanguage),ColumnAbbreviation,FALSE),"")</f>
        <v/>
      </c>
      <c r="CH231" s="21" t="str">
        <f ca="1">IFERROR(VLOOKUP(BB231,OFFSET(abbreviation[],0,ColumnLanguage),ColumnAbbreviation,FALSE),"")</f>
        <v/>
      </c>
      <c r="CI231" s="21" t="str">
        <f ca="1">IFERROR(VLOOKUP(BD231,OFFSET(abbreviation[],0,ColumnLanguage),ColumnAbbreviation,FALSE),"")</f>
        <v/>
      </c>
      <c r="CJ231" s="21" t="str">
        <f ca="1">IFERROR(VLOOKUP(BF231,OFFSET(abbreviation[],0,ColumnLanguage),ColumnAbbreviation,FALSE),"")</f>
        <v/>
      </c>
      <c r="CK231" s="21" t="str">
        <f t="shared" ca="1" si="25"/>
        <v/>
      </c>
      <c r="CL231" s="21" t="str">
        <f t="shared" si="26"/>
        <v/>
      </c>
      <c r="CM231" s="52"/>
      <c r="CN231" s="57" t="str">
        <f t="shared" si="27"/>
        <v/>
      </c>
    </row>
    <row r="232" spans="14:92" x14ac:dyDescent="0.25">
      <c r="N232" s="58"/>
      <c r="P232" s="60"/>
      <c r="Q232" s="13"/>
      <c r="V232" s="60"/>
      <c r="X232" s="61"/>
      <c r="AB232" s="60"/>
      <c r="AN232" s="54"/>
      <c r="AS232" s="15"/>
      <c r="BH232" s="52"/>
      <c r="BI232" s="21" t="str">
        <f ca="1">IFERROR(VLOOKUP(C232,OFFSET(abbreviation[],0,ColumnLanguage),ColumnAbbreviation,FALSE),"")</f>
        <v/>
      </c>
      <c r="BJ232" s="21" t="str">
        <f ca="1">IFERROR(VLOOKUP(E232,OFFSET(abbreviation[],0,ColumnLanguage),ColumnAbbreviation,FALSE),"")</f>
        <v/>
      </c>
      <c r="BK232" s="21" t="str">
        <f ca="1">IFERROR(VLOOKUP(G232,OFFSET(abbreviation[],0,ColumnLanguage),ColumnAbbreviation,FALSE),"")</f>
        <v/>
      </c>
      <c r="BL232" s="21" t="str">
        <f ca="1">IFERROR(VLOOKUP(I232,OFFSET(abbreviation[],0,ColumnLanguage),ColumnAbbreviation,FALSE),"")</f>
        <v/>
      </c>
      <c r="BM232" s="21" t="str">
        <f ca="1">IFERROR(VLOOKUP(K232,OFFSET(abbreviation[],0,ColumnLanguage),ColumnAbbreviation,FALSE),"")</f>
        <v/>
      </c>
      <c r="BN232" s="21" t="str">
        <f t="shared" ca="1" si="21"/>
        <v/>
      </c>
      <c r="BO232" s="21" t="str">
        <f ca="1">IFERROR(VLOOKUP(N232,OFFSET(abbreviation[],0,ColumnLanguage),ColumnAbbreviation,FALSE),"")</f>
        <v/>
      </c>
      <c r="BP232" s="21" t="str">
        <f ca="1">IFERROR(VLOOKUP(P232,OFFSET(abbreviation[],0,ColumnLanguage),ColumnAbbreviation,FALSE),"")</f>
        <v/>
      </c>
      <c r="BQ232" s="21" t="str">
        <f ca="1">IFERROR(VLOOKUP(T232,OFFSET(abbreviation[],0,ColumnLanguage),ColumnAbbreviation,FALSE),"")</f>
        <v/>
      </c>
      <c r="BR232" s="21" t="str">
        <f ca="1">IFERROR(VLOOKUP(V232,OFFSET(abbreviation[],0,ColumnLanguage),ColumnAbbreviation,FALSE),"")</f>
        <v/>
      </c>
      <c r="BS232" s="21" t="str">
        <f ca="1">IFERROR(VLOOKUP(Z232,OFFSET(abbreviation[],0,ColumnLanguage),ColumnAbbreviation,FALSE),"")</f>
        <v/>
      </c>
      <c r="BT232" s="21" t="str">
        <f ca="1">IFERROR(VLOOKUP(AB232,OFFSET(abbreviation[],0,ColumnLanguage),ColumnAbbreviation,FALSE),"")</f>
        <v/>
      </c>
      <c r="BU232" s="21" t="str">
        <f t="shared" ca="1" si="22"/>
        <v>__</v>
      </c>
      <c r="BV232" s="21" t="str">
        <f ca="1">IFERROR(VLOOKUP(AF232,OFFSET(abbreviation[],0,ColumnLanguage),ColumnAbbreviation,FALSE),"")</f>
        <v/>
      </c>
      <c r="BW232" s="21" t="str">
        <f ca="1">IFERROR(VLOOKUP(AH232,OFFSET(abbreviation[],0,ColumnLanguage),ColumnAbbreviation,FALSE),"")</f>
        <v/>
      </c>
      <c r="BX232" s="21" t="str">
        <f ca="1">IFERROR(VLOOKUP(AJ232,OFFSET(abbreviation[],0,ColumnLanguage),ColumnAbbreviation,FALSE),"")</f>
        <v/>
      </c>
      <c r="BY232" s="21" t="str">
        <f ca="1">IFERROR(VLOOKUP(AL232,OFFSET(abbreviation[],0,ColumnLanguage),ColumnAbbreviation,FALSE),"")</f>
        <v/>
      </c>
      <c r="BZ232" s="21" t="str">
        <f t="shared" ca="1" si="23"/>
        <v>_</v>
      </c>
      <c r="CA232" s="21" t="str">
        <f ca="1">IFERROR(VLOOKUP(AP232,OFFSET(abbreviation[],0,ColumnLanguage),ColumnAbbreviation,FALSE),"")</f>
        <v/>
      </c>
      <c r="CB232" s="21" t="str">
        <f ca="1">IFERROR(VLOOKUP(AR232,OFFSET(abbreviation[],0,ColumnLanguage),ColumnAbbreviation,FALSE),"")</f>
        <v/>
      </c>
      <c r="CC232" s="21" t="str">
        <f ca="1">IFERROR(VLOOKUP(AT232,OFFSET(abbreviation[],0,ColumnLanguage),ColumnAbbreviation,FALSE),"")</f>
        <v/>
      </c>
      <c r="CD232" s="21" t="str">
        <f ca="1">IFERROR(VLOOKUP(AV232,OFFSET(abbreviation[],0,ColumnLanguage),ColumnAbbreviation,FALSE),"")</f>
        <v/>
      </c>
      <c r="CE232" s="21" t="str">
        <f t="shared" ca="1" si="24"/>
        <v>__</v>
      </c>
      <c r="CF232" s="21" t="str">
        <f ca="1">IFERROR(VLOOKUP(AX232,OFFSET(abbreviation[],0,ColumnLanguage),ColumnAbbreviation,FALSE),"")</f>
        <v/>
      </c>
      <c r="CG232" s="21" t="str">
        <f ca="1">IFERROR(VLOOKUP(AZ232,OFFSET(abbreviation[],0,ColumnLanguage),ColumnAbbreviation,FALSE),"")</f>
        <v/>
      </c>
      <c r="CH232" s="21" t="str">
        <f ca="1">IFERROR(VLOOKUP(BB232,OFFSET(abbreviation[],0,ColumnLanguage),ColumnAbbreviation,FALSE),"")</f>
        <v/>
      </c>
      <c r="CI232" s="21" t="str">
        <f ca="1">IFERROR(VLOOKUP(BD232,OFFSET(abbreviation[],0,ColumnLanguage),ColumnAbbreviation,FALSE),"")</f>
        <v/>
      </c>
      <c r="CJ232" s="21" t="str">
        <f ca="1">IFERROR(VLOOKUP(BF232,OFFSET(abbreviation[],0,ColumnLanguage),ColumnAbbreviation,FALSE),"")</f>
        <v/>
      </c>
      <c r="CK232" s="21" t="str">
        <f t="shared" ca="1" si="25"/>
        <v/>
      </c>
      <c r="CL232" s="21" t="str">
        <f t="shared" si="26"/>
        <v/>
      </c>
      <c r="CM232" s="52"/>
      <c r="CN232" s="57" t="str">
        <f t="shared" si="27"/>
        <v/>
      </c>
    </row>
    <row r="233" spans="14:92" x14ac:dyDescent="0.25">
      <c r="N233" s="58"/>
      <c r="P233" s="60"/>
      <c r="Q233" s="13"/>
      <c r="V233" s="60"/>
      <c r="X233" s="61"/>
      <c r="AB233" s="60"/>
      <c r="AN233" s="54"/>
      <c r="AS233" s="15"/>
      <c r="BH233" s="52"/>
      <c r="BI233" s="21" t="str">
        <f ca="1">IFERROR(VLOOKUP(C233,OFFSET(abbreviation[],0,ColumnLanguage),ColumnAbbreviation,FALSE),"")</f>
        <v/>
      </c>
      <c r="BJ233" s="21" t="str">
        <f ca="1">IFERROR(VLOOKUP(E233,OFFSET(abbreviation[],0,ColumnLanguage),ColumnAbbreviation,FALSE),"")</f>
        <v/>
      </c>
      <c r="BK233" s="21" t="str">
        <f ca="1">IFERROR(VLOOKUP(G233,OFFSET(abbreviation[],0,ColumnLanguage),ColumnAbbreviation,FALSE),"")</f>
        <v/>
      </c>
      <c r="BL233" s="21" t="str">
        <f ca="1">IFERROR(VLOOKUP(I233,OFFSET(abbreviation[],0,ColumnLanguage),ColumnAbbreviation,FALSE),"")</f>
        <v/>
      </c>
      <c r="BM233" s="21" t="str">
        <f ca="1">IFERROR(VLOOKUP(K233,OFFSET(abbreviation[],0,ColumnLanguage),ColumnAbbreviation,FALSE),"")</f>
        <v/>
      </c>
      <c r="BN233" s="21" t="str">
        <f t="shared" ca="1" si="21"/>
        <v/>
      </c>
      <c r="BO233" s="21" t="str">
        <f ca="1">IFERROR(VLOOKUP(N233,OFFSET(abbreviation[],0,ColumnLanguage),ColumnAbbreviation,FALSE),"")</f>
        <v/>
      </c>
      <c r="BP233" s="21" t="str">
        <f ca="1">IFERROR(VLOOKUP(P233,OFFSET(abbreviation[],0,ColumnLanguage),ColumnAbbreviation,FALSE),"")</f>
        <v/>
      </c>
      <c r="BQ233" s="21" t="str">
        <f ca="1">IFERROR(VLOOKUP(T233,OFFSET(abbreviation[],0,ColumnLanguage),ColumnAbbreviation,FALSE),"")</f>
        <v/>
      </c>
      <c r="BR233" s="21" t="str">
        <f ca="1">IFERROR(VLOOKUP(V233,OFFSET(abbreviation[],0,ColumnLanguage),ColumnAbbreviation,FALSE),"")</f>
        <v/>
      </c>
      <c r="BS233" s="21" t="str">
        <f ca="1">IFERROR(VLOOKUP(Z233,OFFSET(abbreviation[],0,ColumnLanguage),ColumnAbbreviation,FALSE),"")</f>
        <v/>
      </c>
      <c r="BT233" s="21" t="str">
        <f ca="1">IFERROR(VLOOKUP(AB233,OFFSET(abbreviation[],0,ColumnLanguage),ColumnAbbreviation,FALSE),"")</f>
        <v/>
      </c>
      <c r="BU233" s="21" t="str">
        <f t="shared" ca="1" si="22"/>
        <v>__</v>
      </c>
      <c r="BV233" s="21" t="str">
        <f ca="1">IFERROR(VLOOKUP(AF233,OFFSET(abbreviation[],0,ColumnLanguage),ColumnAbbreviation,FALSE),"")</f>
        <v/>
      </c>
      <c r="BW233" s="21" t="str">
        <f ca="1">IFERROR(VLOOKUP(AH233,OFFSET(abbreviation[],0,ColumnLanguage),ColumnAbbreviation,FALSE),"")</f>
        <v/>
      </c>
      <c r="BX233" s="21" t="str">
        <f ca="1">IFERROR(VLOOKUP(AJ233,OFFSET(abbreviation[],0,ColumnLanguage),ColumnAbbreviation,FALSE),"")</f>
        <v/>
      </c>
      <c r="BY233" s="21" t="str">
        <f ca="1">IFERROR(VLOOKUP(AL233,OFFSET(abbreviation[],0,ColumnLanguage),ColumnAbbreviation,FALSE),"")</f>
        <v/>
      </c>
      <c r="BZ233" s="21" t="str">
        <f t="shared" ca="1" si="23"/>
        <v>_</v>
      </c>
      <c r="CA233" s="21" t="str">
        <f ca="1">IFERROR(VLOOKUP(AP233,OFFSET(abbreviation[],0,ColumnLanguage),ColumnAbbreviation,FALSE),"")</f>
        <v/>
      </c>
      <c r="CB233" s="21" t="str">
        <f ca="1">IFERROR(VLOOKUP(AR233,OFFSET(abbreviation[],0,ColumnLanguage),ColumnAbbreviation,FALSE),"")</f>
        <v/>
      </c>
      <c r="CC233" s="21" t="str">
        <f ca="1">IFERROR(VLOOKUP(AT233,OFFSET(abbreviation[],0,ColumnLanguage),ColumnAbbreviation,FALSE),"")</f>
        <v/>
      </c>
      <c r="CD233" s="21" t="str">
        <f ca="1">IFERROR(VLOOKUP(AV233,OFFSET(abbreviation[],0,ColumnLanguage),ColumnAbbreviation,FALSE),"")</f>
        <v/>
      </c>
      <c r="CE233" s="21" t="str">
        <f t="shared" ca="1" si="24"/>
        <v>__</v>
      </c>
      <c r="CF233" s="21" t="str">
        <f ca="1">IFERROR(VLOOKUP(AX233,OFFSET(abbreviation[],0,ColumnLanguage),ColumnAbbreviation,FALSE),"")</f>
        <v/>
      </c>
      <c r="CG233" s="21" t="str">
        <f ca="1">IFERROR(VLOOKUP(AZ233,OFFSET(abbreviation[],0,ColumnLanguage),ColumnAbbreviation,FALSE),"")</f>
        <v/>
      </c>
      <c r="CH233" s="21" t="str">
        <f ca="1">IFERROR(VLOOKUP(BB233,OFFSET(abbreviation[],0,ColumnLanguage),ColumnAbbreviation,FALSE),"")</f>
        <v/>
      </c>
      <c r="CI233" s="21" t="str">
        <f ca="1">IFERROR(VLOOKUP(BD233,OFFSET(abbreviation[],0,ColumnLanguage),ColumnAbbreviation,FALSE),"")</f>
        <v/>
      </c>
      <c r="CJ233" s="21" t="str">
        <f ca="1">IFERROR(VLOOKUP(BF233,OFFSET(abbreviation[],0,ColumnLanguage),ColumnAbbreviation,FALSE),"")</f>
        <v/>
      </c>
      <c r="CK233" s="21" t="str">
        <f t="shared" ca="1" si="25"/>
        <v/>
      </c>
      <c r="CL233" s="21" t="str">
        <f t="shared" si="26"/>
        <v/>
      </c>
      <c r="CM233" s="52"/>
      <c r="CN233" s="57" t="str">
        <f t="shared" si="27"/>
        <v/>
      </c>
    </row>
    <row r="234" spans="14:92" x14ac:dyDescent="0.25">
      <c r="N234" s="58"/>
      <c r="P234" s="60"/>
      <c r="Q234" s="13"/>
      <c r="V234" s="60"/>
      <c r="X234" s="61"/>
      <c r="AB234" s="60"/>
      <c r="AN234" s="54"/>
      <c r="AS234" s="15"/>
      <c r="BH234" s="52"/>
      <c r="BI234" s="21" t="str">
        <f ca="1">IFERROR(VLOOKUP(C234,OFFSET(abbreviation[],0,ColumnLanguage),ColumnAbbreviation,FALSE),"")</f>
        <v/>
      </c>
      <c r="BJ234" s="21" t="str">
        <f ca="1">IFERROR(VLOOKUP(E234,OFFSET(abbreviation[],0,ColumnLanguage),ColumnAbbreviation,FALSE),"")</f>
        <v/>
      </c>
      <c r="BK234" s="21" t="str">
        <f ca="1">IFERROR(VLOOKUP(G234,OFFSET(abbreviation[],0,ColumnLanguage),ColumnAbbreviation,FALSE),"")</f>
        <v/>
      </c>
      <c r="BL234" s="21" t="str">
        <f ca="1">IFERROR(VLOOKUP(I234,OFFSET(abbreviation[],0,ColumnLanguage),ColumnAbbreviation,FALSE),"")</f>
        <v/>
      </c>
      <c r="BM234" s="21" t="str">
        <f ca="1">IFERROR(VLOOKUP(K234,OFFSET(abbreviation[],0,ColumnLanguage),ColumnAbbreviation,FALSE),"")</f>
        <v/>
      </c>
      <c r="BN234" s="21" t="str">
        <f t="shared" ca="1" si="21"/>
        <v/>
      </c>
      <c r="BO234" s="21" t="str">
        <f ca="1">IFERROR(VLOOKUP(N234,OFFSET(abbreviation[],0,ColumnLanguage),ColumnAbbreviation,FALSE),"")</f>
        <v/>
      </c>
      <c r="BP234" s="21" t="str">
        <f ca="1">IFERROR(VLOOKUP(P234,OFFSET(abbreviation[],0,ColumnLanguage),ColumnAbbreviation,FALSE),"")</f>
        <v/>
      </c>
      <c r="BQ234" s="21" t="str">
        <f ca="1">IFERROR(VLOOKUP(T234,OFFSET(abbreviation[],0,ColumnLanguage),ColumnAbbreviation,FALSE),"")</f>
        <v/>
      </c>
      <c r="BR234" s="21" t="str">
        <f ca="1">IFERROR(VLOOKUP(V234,OFFSET(abbreviation[],0,ColumnLanguage),ColumnAbbreviation,FALSE),"")</f>
        <v/>
      </c>
      <c r="BS234" s="21" t="str">
        <f ca="1">IFERROR(VLOOKUP(Z234,OFFSET(abbreviation[],0,ColumnLanguage),ColumnAbbreviation,FALSE),"")</f>
        <v/>
      </c>
      <c r="BT234" s="21" t="str">
        <f ca="1">IFERROR(VLOOKUP(AB234,OFFSET(abbreviation[],0,ColumnLanguage),ColumnAbbreviation,FALSE),"")</f>
        <v/>
      </c>
      <c r="BU234" s="21" t="str">
        <f t="shared" ca="1" si="22"/>
        <v>__</v>
      </c>
      <c r="BV234" s="21" t="str">
        <f ca="1">IFERROR(VLOOKUP(AF234,OFFSET(abbreviation[],0,ColumnLanguage),ColumnAbbreviation,FALSE),"")</f>
        <v/>
      </c>
      <c r="BW234" s="21" t="str">
        <f ca="1">IFERROR(VLOOKUP(AH234,OFFSET(abbreviation[],0,ColumnLanguage),ColumnAbbreviation,FALSE),"")</f>
        <v/>
      </c>
      <c r="BX234" s="21" t="str">
        <f ca="1">IFERROR(VLOOKUP(AJ234,OFFSET(abbreviation[],0,ColumnLanguage),ColumnAbbreviation,FALSE),"")</f>
        <v/>
      </c>
      <c r="BY234" s="21" t="str">
        <f ca="1">IFERROR(VLOOKUP(AL234,OFFSET(abbreviation[],0,ColumnLanguage),ColumnAbbreviation,FALSE),"")</f>
        <v/>
      </c>
      <c r="BZ234" s="21" t="str">
        <f t="shared" ca="1" si="23"/>
        <v>_</v>
      </c>
      <c r="CA234" s="21" t="str">
        <f ca="1">IFERROR(VLOOKUP(AP234,OFFSET(abbreviation[],0,ColumnLanguage),ColumnAbbreviation,FALSE),"")</f>
        <v/>
      </c>
      <c r="CB234" s="21" t="str">
        <f ca="1">IFERROR(VLOOKUP(AR234,OFFSET(abbreviation[],0,ColumnLanguage),ColumnAbbreviation,FALSE),"")</f>
        <v/>
      </c>
      <c r="CC234" s="21" t="str">
        <f ca="1">IFERROR(VLOOKUP(AT234,OFFSET(abbreviation[],0,ColumnLanguage),ColumnAbbreviation,FALSE),"")</f>
        <v/>
      </c>
      <c r="CD234" s="21" t="str">
        <f ca="1">IFERROR(VLOOKUP(AV234,OFFSET(abbreviation[],0,ColumnLanguage),ColumnAbbreviation,FALSE),"")</f>
        <v/>
      </c>
      <c r="CE234" s="21" t="str">
        <f t="shared" ca="1" si="24"/>
        <v>__</v>
      </c>
      <c r="CF234" s="21" t="str">
        <f ca="1">IFERROR(VLOOKUP(AX234,OFFSET(abbreviation[],0,ColumnLanguage),ColumnAbbreviation,FALSE),"")</f>
        <v/>
      </c>
      <c r="CG234" s="21" t="str">
        <f ca="1">IFERROR(VLOOKUP(AZ234,OFFSET(abbreviation[],0,ColumnLanguage),ColumnAbbreviation,FALSE),"")</f>
        <v/>
      </c>
      <c r="CH234" s="21" t="str">
        <f ca="1">IFERROR(VLOOKUP(BB234,OFFSET(abbreviation[],0,ColumnLanguage),ColumnAbbreviation,FALSE),"")</f>
        <v/>
      </c>
      <c r="CI234" s="21" t="str">
        <f ca="1">IFERROR(VLOOKUP(BD234,OFFSET(abbreviation[],0,ColumnLanguage),ColumnAbbreviation,FALSE),"")</f>
        <v/>
      </c>
      <c r="CJ234" s="21" t="str">
        <f ca="1">IFERROR(VLOOKUP(BF234,OFFSET(abbreviation[],0,ColumnLanguage),ColumnAbbreviation,FALSE),"")</f>
        <v/>
      </c>
      <c r="CK234" s="21" t="str">
        <f t="shared" ca="1" si="25"/>
        <v/>
      </c>
      <c r="CL234" s="21" t="str">
        <f t="shared" si="26"/>
        <v/>
      </c>
      <c r="CM234" s="52"/>
      <c r="CN234" s="57" t="str">
        <f t="shared" si="27"/>
        <v/>
      </c>
    </row>
    <row r="235" spans="14:92" x14ac:dyDescent="0.25">
      <c r="N235" s="58"/>
      <c r="P235" s="60"/>
      <c r="Q235" s="13"/>
      <c r="V235" s="60"/>
      <c r="X235" s="61"/>
      <c r="AB235" s="60"/>
      <c r="AN235" s="54"/>
      <c r="AS235" s="15"/>
      <c r="BH235" s="52"/>
      <c r="BI235" s="21" t="str">
        <f ca="1">IFERROR(VLOOKUP(C235,OFFSET(abbreviation[],0,ColumnLanguage),ColumnAbbreviation,FALSE),"")</f>
        <v/>
      </c>
      <c r="BJ235" s="21" t="str">
        <f ca="1">IFERROR(VLOOKUP(E235,OFFSET(abbreviation[],0,ColumnLanguage),ColumnAbbreviation,FALSE),"")</f>
        <v/>
      </c>
      <c r="BK235" s="21" t="str">
        <f ca="1">IFERROR(VLOOKUP(G235,OFFSET(abbreviation[],0,ColumnLanguage),ColumnAbbreviation,FALSE),"")</f>
        <v/>
      </c>
      <c r="BL235" s="21" t="str">
        <f ca="1">IFERROR(VLOOKUP(I235,OFFSET(abbreviation[],0,ColumnLanguage),ColumnAbbreviation,FALSE),"")</f>
        <v/>
      </c>
      <c r="BM235" s="21" t="str">
        <f ca="1">IFERROR(VLOOKUP(K235,OFFSET(abbreviation[],0,ColumnLanguage),ColumnAbbreviation,FALSE),"")</f>
        <v/>
      </c>
      <c r="BN235" s="21" t="str">
        <f t="shared" ca="1" si="21"/>
        <v/>
      </c>
      <c r="BO235" s="21" t="str">
        <f ca="1">IFERROR(VLOOKUP(N235,OFFSET(abbreviation[],0,ColumnLanguage),ColumnAbbreviation,FALSE),"")</f>
        <v/>
      </c>
      <c r="BP235" s="21" t="str">
        <f ca="1">IFERROR(VLOOKUP(P235,OFFSET(abbreviation[],0,ColumnLanguage),ColumnAbbreviation,FALSE),"")</f>
        <v/>
      </c>
      <c r="BQ235" s="21" t="str">
        <f ca="1">IFERROR(VLOOKUP(T235,OFFSET(abbreviation[],0,ColumnLanguage),ColumnAbbreviation,FALSE),"")</f>
        <v/>
      </c>
      <c r="BR235" s="21" t="str">
        <f ca="1">IFERROR(VLOOKUP(V235,OFFSET(abbreviation[],0,ColumnLanguage),ColumnAbbreviation,FALSE),"")</f>
        <v/>
      </c>
      <c r="BS235" s="21" t="str">
        <f ca="1">IFERROR(VLOOKUP(Z235,OFFSET(abbreviation[],0,ColumnLanguage),ColumnAbbreviation,FALSE),"")</f>
        <v/>
      </c>
      <c r="BT235" s="21" t="str">
        <f ca="1">IFERROR(VLOOKUP(AB235,OFFSET(abbreviation[],0,ColumnLanguage),ColumnAbbreviation,FALSE),"")</f>
        <v/>
      </c>
      <c r="BU235" s="21" t="str">
        <f t="shared" ca="1" si="22"/>
        <v>__</v>
      </c>
      <c r="BV235" s="21" t="str">
        <f ca="1">IFERROR(VLOOKUP(AF235,OFFSET(abbreviation[],0,ColumnLanguage),ColumnAbbreviation,FALSE),"")</f>
        <v/>
      </c>
      <c r="BW235" s="21" t="str">
        <f ca="1">IFERROR(VLOOKUP(AH235,OFFSET(abbreviation[],0,ColumnLanguage),ColumnAbbreviation,FALSE),"")</f>
        <v/>
      </c>
      <c r="BX235" s="21" t="str">
        <f ca="1">IFERROR(VLOOKUP(AJ235,OFFSET(abbreviation[],0,ColumnLanguage),ColumnAbbreviation,FALSE),"")</f>
        <v/>
      </c>
      <c r="BY235" s="21" t="str">
        <f ca="1">IFERROR(VLOOKUP(AL235,OFFSET(abbreviation[],0,ColumnLanguage),ColumnAbbreviation,FALSE),"")</f>
        <v/>
      </c>
      <c r="BZ235" s="21" t="str">
        <f t="shared" ca="1" si="23"/>
        <v>_</v>
      </c>
      <c r="CA235" s="21" t="str">
        <f ca="1">IFERROR(VLOOKUP(AP235,OFFSET(abbreviation[],0,ColumnLanguage),ColumnAbbreviation,FALSE),"")</f>
        <v/>
      </c>
      <c r="CB235" s="21" t="str">
        <f ca="1">IFERROR(VLOOKUP(AR235,OFFSET(abbreviation[],0,ColumnLanguage),ColumnAbbreviation,FALSE),"")</f>
        <v/>
      </c>
      <c r="CC235" s="21" t="str">
        <f ca="1">IFERROR(VLOOKUP(AT235,OFFSET(abbreviation[],0,ColumnLanguage),ColumnAbbreviation,FALSE),"")</f>
        <v/>
      </c>
      <c r="CD235" s="21" t="str">
        <f ca="1">IFERROR(VLOOKUP(AV235,OFFSET(abbreviation[],0,ColumnLanguage),ColumnAbbreviation,FALSE),"")</f>
        <v/>
      </c>
      <c r="CE235" s="21" t="str">
        <f t="shared" ca="1" si="24"/>
        <v>__</v>
      </c>
      <c r="CF235" s="21" t="str">
        <f ca="1">IFERROR(VLOOKUP(AX235,OFFSET(abbreviation[],0,ColumnLanguage),ColumnAbbreviation,FALSE),"")</f>
        <v/>
      </c>
      <c r="CG235" s="21" t="str">
        <f ca="1">IFERROR(VLOOKUP(AZ235,OFFSET(abbreviation[],0,ColumnLanguage),ColumnAbbreviation,FALSE),"")</f>
        <v/>
      </c>
      <c r="CH235" s="21" t="str">
        <f ca="1">IFERROR(VLOOKUP(BB235,OFFSET(abbreviation[],0,ColumnLanguage),ColumnAbbreviation,FALSE),"")</f>
        <v/>
      </c>
      <c r="CI235" s="21" t="str">
        <f ca="1">IFERROR(VLOOKUP(BD235,OFFSET(abbreviation[],0,ColumnLanguage),ColumnAbbreviation,FALSE),"")</f>
        <v/>
      </c>
      <c r="CJ235" s="21" t="str">
        <f ca="1">IFERROR(VLOOKUP(BF235,OFFSET(abbreviation[],0,ColumnLanguage),ColumnAbbreviation,FALSE),"")</f>
        <v/>
      </c>
      <c r="CK235" s="21" t="str">
        <f t="shared" ca="1" si="25"/>
        <v/>
      </c>
      <c r="CL235" s="21" t="str">
        <f t="shared" si="26"/>
        <v/>
      </c>
      <c r="CM235" s="52"/>
      <c r="CN235" s="57" t="str">
        <f t="shared" si="27"/>
        <v/>
      </c>
    </row>
    <row r="236" spans="14:92" x14ac:dyDescent="0.25">
      <c r="N236" s="58"/>
      <c r="P236" s="60"/>
      <c r="Q236" s="13"/>
      <c r="V236" s="60"/>
      <c r="X236" s="61"/>
      <c r="AB236" s="60"/>
      <c r="AN236" s="54"/>
      <c r="AS236" s="15"/>
      <c r="BH236" s="52"/>
      <c r="BI236" s="21" t="str">
        <f ca="1">IFERROR(VLOOKUP(C236,OFFSET(abbreviation[],0,ColumnLanguage),ColumnAbbreviation,FALSE),"")</f>
        <v/>
      </c>
      <c r="BJ236" s="21" t="str">
        <f ca="1">IFERROR(VLOOKUP(E236,OFFSET(abbreviation[],0,ColumnLanguage),ColumnAbbreviation,FALSE),"")</f>
        <v/>
      </c>
      <c r="BK236" s="21" t="str">
        <f ca="1">IFERROR(VLOOKUP(G236,OFFSET(abbreviation[],0,ColumnLanguage),ColumnAbbreviation,FALSE),"")</f>
        <v/>
      </c>
      <c r="BL236" s="21" t="str">
        <f ca="1">IFERROR(VLOOKUP(I236,OFFSET(abbreviation[],0,ColumnLanguage),ColumnAbbreviation,FALSE),"")</f>
        <v/>
      </c>
      <c r="BM236" s="21" t="str">
        <f ca="1">IFERROR(VLOOKUP(K236,OFFSET(abbreviation[],0,ColumnLanguage),ColumnAbbreviation,FALSE),"")</f>
        <v/>
      </c>
      <c r="BN236" s="21" t="str">
        <f t="shared" ca="1" si="21"/>
        <v/>
      </c>
      <c r="BO236" s="21" t="str">
        <f ca="1">IFERROR(VLOOKUP(N236,OFFSET(abbreviation[],0,ColumnLanguage),ColumnAbbreviation,FALSE),"")</f>
        <v/>
      </c>
      <c r="BP236" s="21" t="str">
        <f ca="1">IFERROR(VLOOKUP(P236,OFFSET(abbreviation[],0,ColumnLanguage),ColumnAbbreviation,FALSE),"")</f>
        <v/>
      </c>
      <c r="BQ236" s="21" t="str">
        <f ca="1">IFERROR(VLOOKUP(T236,OFFSET(abbreviation[],0,ColumnLanguage),ColumnAbbreviation,FALSE),"")</f>
        <v/>
      </c>
      <c r="BR236" s="21" t="str">
        <f ca="1">IFERROR(VLOOKUP(V236,OFFSET(abbreviation[],0,ColumnLanguage),ColumnAbbreviation,FALSE),"")</f>
        <v/>
      </c>
      <c r="BS236" s="21" t="str">
        <f ca="1">IFERROR(VLOOKUP(Z236,OFFSET(abbreviation[],0,ColumnLanguage),ColumnAbbreviation,FALSE),"")</f>
        <v/>
      </c>
      <c r="BT236" s="21" t="str">
        <f ca="1">IFERROR(VLOOKUP(AB236,OFFSET(abbreviation[],0,ColumnLanguage),ColumnAbbreviation,FALSE),"")</f>
        <v/>
      </c>
      <c r="BU236" s="21" t="str">
        <f t="shared" ca="1" si="22"/>
        <v>__</v>
      </c>
      <c r="BV236" s="21" t="str">
        <f ca="1">IFERROR(VLOOKUP(AF236,OFFSET(abbreviation[],0,ColumnLanguage),ColumnAbbreviation,FALSE),"")</f>
        <v/>
      </c>
      <c r="BW236" s="21" t="str">
        <f ca="1">IFERROR(VLOOKUP(AH236,OFFSET(abbreviation[],0,ColumnLanguage),ColumnAbbreviation,FALSE),"")</f>
        <v/>
      </c>
      <c r="BX236" s="21" t="str">
        <f ca="1">IFERROR(VLOOKUP(AJ236,OFFSET(abbreviation[],0,ColumnLanguage),ColumnAbbreviation,FALSE),"")</f>
        <v/>
      </c>
      <c r="BY236" s="21" t="str">
        <f ca="1">IFERROR(VLOOKUP(AL236,OFFSET(abbreviation[],0,ColumnLanguage),ColumnAbbreviation,FALSE),"")</f>
        <v/>
      </c>
      <c r="BZ236" s="21" t="str">
        <f t="shared" ca="1" si="23"/>
        <v>_</v>
      </c>
      <c r="CA236" s="21" t="str">
        <f ca="1">IFERROR(VLOOKUP(AP236,OFFSET(abbreviation[],0,ColumnLanguage),ColumnAbbreviation,FALSE),"")</f>
        <v/>
      </c>
      <c r="CB236" s="21" t="str">
        <f ca="1">IFERROR(VLOOKUP(AR236,OFFSET(abbreviation[],0,ColumnLanguage),ColumnAbbreviation,FALSE),"")</f>
        <v/>
      </c>
      <c r="CC236" s="21" t="str">
        <f ca="1">IFERROR(VLOOKUP(AT236,OFFSET(abbreviation[],0,ColumnLanguage),ColumnAbbreviation,FALSE),"")</f>
        <v/>
      </c>
      <c r="CD236" s="21" t="str">
        <f ca="1">IFERROR(VLOOKUP(AV236,OFFSET(abbreviation[],0,ColumnLanguage),ColumnAbbreviation,FALSE),"")</f>
        <v/>
      </c>
      <c r="CE236" s="21" t="str">
        <f t="shared" ca="1" si="24"/>
        <v>__</v>
      </c>
      <c r="CF236" s="21" t="str">
        <f ca="1">IFERROR(VLOOKUP(AX236,OFFSET(abbreviation[],0,ColumnLanguage),ColumnAbbreviation,FALSE),"")</f>
        <v/>
      </c>
      <c r="CG236" s="21" t="str">
        <f ca="1">IFERROR(VLOOKUP(AZ236,OFFSET(abbreviation[],0,ColumnLanguage),ColumnAbbreviation,FALSE),"")</f>
        <v/>
      </c>
      <c r="CH236" s="21" t="str">
        <f ca="1">IFERROR(VLOOKUP(BB236,OFFSET(abbreviation[],0,ColumnLanguage),ColumnAbbreviation,FALSE),"")</f>
        <v/>
      </c>
      <c r="CI236" s="21" t="str">
        <f ca="1">IFERROR(VLOOKUP(BD236,OFFSET(abbreviation[],0,ColumnLanguage),ColumnAbbreviation,FALSE),"")</f>
        <v/>
      </c>
      <c r="CJ236" s="21" t="str">
        <f ca="1">IFERROR(VLOOKUP(BF236,OFFSET(abbreviation[],0,ColumnLanguage),ColumnAbbreviation,FALSE),"")</f>
        <v/>
      </c>
      <c r="CK236" s="21" t="str">
        <f t="shared" ca="1" si="25"/>
        <v/>
      </c>
      <c r="CL236" s="21" t="str">
        <f t="shared" si="26"/>
        <v/>
      </c>
      <c r="CM236" s="52"/>
      <c r="CN236" s="57" t="str">
        <f t="shared" si="27"/>
        <v/>
      </c>
    </row>
    <row r="237" spans="14:92" x14ac:dyDescent="0.25">
      <c r="N237" s="58"/>
      <c r="P237" s="60"/>
      <c r="Q237" s="13"/>
      <c r="V237" s="60"/>
      <c r="X237" s="61"/>
      <c r="AB237" s="60"/>
      <c r="AN237" s="54"/>
      <c r="AS237" s="15"/>
      <c r="BH237" s="52"/>
      <c r="BI237" s="21" t="str">
        <f ca="1">IFERROR(VLOOKUP(C237,OFFSET(abbreviation[],0,ColumnLanguage),ColumnAbbreviation,FALSE),"")</f>
        <v/>
      </c>
      <c r="BJ237" s="21" t="str">
        <f ca="1">IFERROR(VLOOKUP(E237,OFFSET(abbreviation[],0,ColumnLanguage),ColumnAbbreviation,FALSE),"")</f>
        <v/>
      </c>
      <c r="BK237" s="21" t="str">
        <f ca="1">IFERROR(VLOOKUP(G237,OFFSET(abbreviation[],0,ColumnLanguage),ColumnAbbreviation,FALSE),"")</f>
        <v/>
      </c>
      <c r="BL237" s="21" t="str">
        <f ca="1">IFERROR(VLOOKUP(I237,OFFSET(abbreviation[],0,ColumnLanguage),ColumnAbbreviation,FALSE),"")</f>
        <v/>
      </c>
      <c r="BM237" s="21" t="str">
        <f ca="1">IFERROR(VLOOKUP(K237,OFFSET(abbreviation[],0,ColumnLanguage),ColumnAbbreviation,FALSE),"")</f>
        <v/>
      </c>
      <c r="BN237" s="21" t="str">
        <f t="shared" ca="1" si="21"/>
        <v/>
      </c>
      <c r="BO237" s="21" t="str">
        <f ca="1">IFERROR(VLOOKUP(N237,OFFSET(abbreviation[],0,ColumnLanguage),ColumnAbbreviation,FALSE),"")</f>
        <v/>
      </c>
      <c r="BP237" s="21" t="str">
        <f ca="1">IFERROR(VLOOKUP(P237,OFFSET(abbreviation[],0,ColumnLanguage),ColumnAbbreviation,FALSE),"")</f>
        <v/>
      </c>
      <c r="BQ237" s="21" t="str">
        <f ca="1">IFERROR(VLOOKUP(T237,OFFSET(abbreviation[],0,ColumnLanguage),ColumnAbbreviation,FALSE),"")</f>
        <v/>
      </c>
      <c r="BR237" s="21" t="str">
        <f ca="1">IFERROR(VLOOKUP(V237,OFFSET(abbreviation[],0,ColumnLanguage),ColumnAbbreviation,FALSE),"")</f>
        <v/>
      </c>
      <c r="BS237" s="21" t="str">
        <f ca="1">IFERROR(VLOOKUP(Z237,OFFSET(abbreviation[],0,ColumnLanguage),ColumnAbbreviation,FALSE),"")</f>
        <v/>
      </c>
      <c r="BT237" s="21" t="str">
        <f ca="1">IFERROR(VLOOKUP(AB237,OFFSET(abbreviation[],0,ColumnLanguage),ColumnAbbreviation,FALSE),"")</f>
        <v/>
      </c>
      <c r="BU237" s="21" t="str">
        <f t="shared" ca="1" si="22"/>
        <v>__</v>
      </c>
      <c r="BV237" s="21" t="str">
        <f ca="1">IFERROR(VLOOKUP(AF237,OFFSET(abbreviation[],0,ColumnLanguage),ColumnAbbreviation,FALSE),"")</f>
        <v/>
      </c>
      <c r="BW237" s="21" t="str">
        <f ca="1">IFERROR(VLOOKUP(AH237,OFFSET(abbreviation[],0,ColumnLanguage),ColumnAbbreviation,FALSE),"")</f>
        <v/>
      </c>
      <c r="BX237" s="21" t="str">
        <f ca="1">IFERROR(VLOOKUP(AJ237,OFFSET(abbreviation[],0,ColumnLanguage),ColumnAbbreviation,FALSE),"")</f>
        <v/>
      </c>
      <c r="BY237" s="21" t="str">
        <f ca="1">IFERROR(VLOOKUP(AL237,OFFSET(abbreviation[],0,ColumnLanguage),ColumnAbbreviation,FALSE),"")</f>
        <v/>
      </c>
      <c r="BZ237" s="21" t="str">
        <f t="shared" ca="1" si="23"/>
        <v>_</v>
      </c>
      <c r="CA237" s="21" t="str">
        <f ca="1">IFERROR(VLOOKUP(AP237,OFFSET(abbreviation[],0,ColumnLanguage),ColumnAbbreviation,FALSE),"")</f>
        <v/>
      </c>
      <c r="CB237" s="21" t="str">
        <f ca="1">IFERROR(VLOOKUP(AR237,OFFSET(abbreviation[],0,ColumnLanguage),ColumnAbbreviation,FALSE),"")</f>
        <v/>
      </c>
      <c r="CC237" s="21" t="str">
        <f ca="1">IFERROR(VLOOKUP(AT237,OFFSET(abbreviation[],0,ColumnLanguage),ColumnAbbreviation,FALSE),"")</f>
        <v/>
      </c>
      <c r="CD237" s="21" t="str">
        <f ca="1">IFERROR(VLOOKUP(AV237,OFFSET(abbreviation[],0,ColumnLanguage),ColumnAbbreviation,FALSE),"")</f>
        <v/>
      </c>
      <c r="CE237" s="21" t="str">
        <f t="shared" ca="1" si="24"/>
        <v>__</v>
      </c>
      <c r="CF237" s="21" t="str">
        <f ca="1">IFERROR(VLOOKUP(AX237,OFFSET(abbreviation[],0,ColumnLanguage),ColumnAbbreviation,FALSE),"")</f>
        <v/>
      </c>
      <c r="CG237" s="21" t="str">
        <f ca="1">IFERROR(VLOOKUP(AZ237,OFFSET(abbreviation[],0,ColumnLanguage),ColumnAbbreviation,FALSE),"")</f>
        <v/>
      </c>
      <c r="CH237" s="21" t="str">
        <f ca="1">IFERROR(VLOOKUP(BB237,OFFSET(abbreviation[],0,ColumnLanguage),ColumnAbbreviation,FALSE),"")</f>
        <v/>
      </c>
      <c r="CI237" s="21" t="str">
        <f ca="1">IFERROR(VLOOKUP(BD237,OFFSET(abbreviation[],0,ColumnLanguage),ColumnAbbreviation,FALSE),"")</f>
        <v/>
      </c>
      <c r="CJ237" s="21" t="str">
        <f ca="1">IFERROR(VLOOKUP(BF237,OFFSET(abbreviation[],0,ColumnLanguage),ColumnAbbreviation,FALSE),"")</f>
        <v/>
      </c>
      <c r="CK237" s="21" t="str">
        <f t="shared" ca="1" si="25"/>
        <v/>
      </c>
      <c r="CL237" s="21" t="str">
        <f t="shared" si="26"/>
        <v/>
      </c>
      <c r="CM237" s="52"/>
      <c r="CN237" s="57" t="str">
        <f t="shared" si="27"/>
        <v/>
      </c>
    </row>
    <row r="238" spans="14:92" x14ac:dyDescent="0.25">
      <c r="N238" s="58"/>
      <c r="P238" s="60"/>
      <c r="Q238" s="13"/>
      <c r="V238" s="60"/>
      <c r="X238" s="61"/>
      <c r="AB238" s="60"/>
      <c r="AN238" s="54"/>
      <c r="AS238" s="15"/>
      <c r="BH238" s="52"/>
      <c r="BI238" s="21" t="str">
        <f ca="1">IFERROR(VLOOKUP(C238,OFFSET(abbreviation[],0,ColumnLanguage),ColumnAbbreviation,FALSE),"")</f>
        <v/>
      </c>
      <c r="BJ238" s="21" t="str">
        <f ca="1">IFERROR(VLOOKUP(E238,OFFSET(abbreviation[],0,ColumnLanguage),ColumnAbbreviation,FALSE),"")</f>
        <v/>
      </c>
      <c r="BK238" s="21" t="str">
        <f ca="1">IFERROR(VLOOKUP(G238,OFFSET(abbreviation[],0,ColumnLanguage),ColumnAbbreviation,FALSE),"")</f>
        <v/>
      </c>
      <c r="BL238" s="21" t="str">
        <f ca="1">IFERROR(VLOOKUP(I238,OFFSET(abbreviation[],0,ColumnLanguage),ColumnAbbreviation,FALSE),"")</f>
        <v/>
      </c>
      <c r="BM238" s="21" t="str">
        <f ca="1">IFERROR(VLOOKUP(K238,OFFSET(abbreviation[],0,ColumnLanguage),ColumnAbbreviation,FALSE),"")</f>
        <v/>
      </c>
      <c r="BN238" s="21" t="str">
        <f t="shared" ca="1" si="21"/>
        <v/>
      </c>
      <c r="BO238" s="21" t="str">
        <f ca="1">IFERROR(VLOOKUP(N238,OFFSET(abbreviation[],0,ColumnLanguage),ColumnAbbreviation,FALSE),"")</f>
        <v/>
      </c>
      <c r="BP238" s="21" t="str">
        <f ca="1">IFERROR(VLOOKUP(P238,OFFSET(abbreviation[],0,ColumnLanguage),ColumnAbbreviation,FALSE),"")</f>
        <v/>
      </c>
      <c r="BQ238" s="21" t="str">
        <f ca="1">IFERROR(VLOOKUP(T238,OFFSET(abbreviation[],0,ColumnLanguage),ColumnAbbreviation,FALSE),"")</f>
        <v/>
      </c>
      <c r="BR238" s="21" t="str">
        <f ca="1">IFERROR(VLOOKUP(V238,OFFSET(abbreviation[],0,ColumnLanguage),ColumnAbbreviation,FALSE),"")</f>
        <v/>
      </c>
      <c r="BS238" s="21" t="str">
        <f ca="1">IFERROR(VLOOKUP(Z238,OFFSET(abbreviation[],0,ColumnLanguage),ColumnAbbreviation,FALSE),"")</f>
        <v/>
      </c>
      <c r="BT238" s="21" t="str">
        <f ca="1">IFERROR(VLOOKUP(AB238,OFFSET(abbreviation[],0,ColumnLanguage),ColumnAbbreviation,FALSE),"")</f>
        <v/>
      </c>
      <c r="BU238" s="21" t="str">
        <f t="shared" ca="1" si="22"/>
        <v>__</v>
      </c>
      <c r="BV238" s="21" t="str">
        <f ca="1">IFERROR(VLOOKUP(AF238,OFFSET(abbreviation[],0,ColumnLanguage),ColumnAbbreviation,FALSE),"")</f>
        <v/>
      </c>
      <c r="BW238" s="21" t="str">
        <f ca="1">IFERROR(VLOOKUP(AH238,OFFSET(abbreviation[],0,ColumnLanguage),ColumnAbbreviation,FALSE),"")</f>
        <v/>
      </c>
      <c r="BX238" s="21" t="str">
        <f ca="1">IFERROR(VLOOKUP(AJ238,OFFSET(abbreviation[],0,ColumnLanguage),ColumnAbbreviation,FALSE),"")</f>
        <v/>
      </c>
      <c r="BY238" s="21" t="str">
        <f ca="1">IFERROR(VLOOKUP(AL238,OFFSET(abbreviation[],0,ColumnLanguage),ColumnAbbreviation,FALSE),"")</f>
        <v/>
      </c>
      <c r="BZ238" s="21" t="str">
        <f t="shared" ca="1" si="23"/>
        <v>_</v>
      </c>
      <c r="CA238" s="21" t="str">
        <f ca="1">IFERROR(VLOOKUP(AP238,OFFSET(abbreviation[],0,ColumnLanguage),ColumnAbbreviation,FALSE),"")</f>
        <v/>
      </c>
      <c r="CB238" s="21" t="str">
        <f ca="1">IFERROR(VLOOKUP(AR238,OFFSET(abbreviation[],0,ColumnLanguage),ColumnAbbreviation,FALSE),"")</f>
        <v/>
      </c>
      <c r="CC238" s="21" t="str">
        <f ca="1">IFERROR(VLOOKUP(AT238,OFFSET(abbreviation[],0,ColumnLanguage),ColumnAbbreviation,FALSE),"")</f>
        <v/>
      </c>
      <c r="CD238" s="21" t="str">
        <f ca="1">IFERROR(VLOOKUP(AV238,OFFSET(abbreviation[],0,ColumnLanguage),ColumnAbbreviation,FALSE),"")</f>
        <v/>
      </c>
      <c r="CE238" s="21" t="str">
        <f t="shared" ca="1" si="24"/>
        <v>__</v>
      </c>
      <c r="CF238" s="21" t="str">
        <f ca="1">IFERROR(VLOOKUP(AX238,OFFSET(abbreviation[],0,ColumnLanguage),ColumnAbbreviation,FALSE),"")</f>
        <v/>
      </c>
      <c r="CG238" s="21" t="str">
        <f ca="1">IFERROR(VLOOKUP(AZ238,OFFSET(abbreviation[],0,ColumnLanguage),ColumnAbbreviation,FALSE),"")</f>
        <v/>
      </c>
      <c r="CH238" s="21" t="str">
        <f ca="1">IFERROR(VLOOKUP(BB238,OFFSET(abbreviation[],0,ColumnLanguage),ColumnAbbreviation,FALSE),"")</f>
        <v/>
      </c>
      <c r="CI238" s="21" t="str">
        <f ca="1">IFERROR(VLOOKUP(BD238,OFFSET(abbreviation[],0,ColumnLanguage),ColumnAbbreviation,FALSE),"")</f>
        <v/>
      </c>
      <c r="CJ238" s="21" t="str">
        <f ca="1">IFERROR(VLOOKUP(BF238,OFFSET(abbreviation[],0,ColumnLanguage),ColumnAbbreviation,FALSE),"")</f>
        <v/>
      </c>
      <c r="CK238" s="21" t="str">
        <f t="shared" ca="1" si="25"/>
        <v/>
      </c>
      <c r="CL238" s="21" t="str">
        <f t="shared" si="26"/>
        <v/>
      </c>
      <c r="CM238" s="52"/>
      <c r="CN238" s="57" t="str">
        <f t="shared" si="27"/>
        <v/>
      </c>
    </row>
    <row r="239" spans="14:92" x14ac:dyDescent="0.25">
      <c r="N239" s="58"/>
      <c r="P239" s="60"/>
      <c r="Q239" s="13"/>
      <c r="V239" s="60"/>
      <c r="X239" s="61"/>
      <c r="AB239" s="60"/>
      <c r="AN239" s="54"/>
      <c r="AS239" s="15"/>
      <c r="BH239" s="52"/>
      <c r="BI239" s="21" t="str">
        <f ca="1">IFERROR(VLOOKUP(C239,OFFSET(abbreviation[],0,ColumnLanguage),ColumnAbbreviation,FALSE),"")</f>
        <v/>
      </c>
      <c r="BJ239" s="21" t="str">
        <f ca="1">IFERROR(VLOOKUP(E239,OFFSET(abbreviation[],0,ColumnLanguage),ColumnAbbreviation,FALSE),"")</f>
        <v/>
      </c>
      <c r="BK239" s="21" t="str">
        <f ca="1">IFERROR(VLOOKUP(G239,OFFSET(abbreviation[],0,ColumnLanguage),ColumnAbbreviation,FALSE),"")</f>
        <v/>
      </c>
      <c r="BL239" s="21" t="str">
        <f ca="1">IFERROR(VLOOKUP(I239,OFFSET(abbreviation[],0,ColumnLanguage),ColumnAbbreviation,FALSE),"")</f>
        <v/>
      </c>
      <c r="BM239" s="21" t="str">
        <f ca="1">IFERROR(VLOOKUP(K239,OFFSET(abbreviation[],0,ColumnLanguage),ColumnAbbreviation,FALSE),"")</f>
        <v/>
      </c>
      <c r="BN239" s="21" t="str">
        <f t="shared" ca="1" si="21"/>
        <v/>
      </c>
      <c r="BO239" s="21" t="str">
        <f ca="1">IFERROR(VLOOKUP(N239,OFFSET(abbreviation[],0,ColumnLanguage),ColumnAbbreviation,FALSE),"")</f>
        <v/>
      </c>
      <c r="BP239" s="21" t="str">
        <f ca="1">IFERROR(VLOOKUP(P239,OFFSET(abbreviation[],0,ColumnLanguage),ColumnAbbreviation,FALSE),"")</f>
        <v/>
      </c>
      <c r="BQ239" s="21" t="str">
        <f ca="1">IFERROR(VLOOKUP(T239,OFFSET(abbreviation[],0,ColumnLanguage),ColumnAbbreviation,FALSE),"")</f>
        <v/>
      </c>
      <c r="BR239" s="21" t="str">
        <f ca="1">IFERROR(VLOOKUP(V239,OFFSET(abbreviation[],0,ColumnLanguage),ColumnAbbreviation,FALSE),"")</f>
        <v/>
      </c>
      <c r="BS239" s="21" t="str">
        <f ca="1">IFERROR(VLOOKUP(Z239,OFFSET(abbreviation[],0,ColumnLanguage),ColumnAbbreviation,FALSE),"")</f>
        <v/>
      </c>
      <c r="BT239" s="21" t="str">
        <f ca="1">IFERROR(VLOOKUP(AB239,OFFSET(abbreviation[],0,ColumnLanguage),ColumnAbbreviation,FALSE),"")</f>
        <v/>
      </c>
      <c r="BU239" s="21" t="str">
        <f t="shared" ca="1" si="22"/>
        <v>__</v>
      </c>
      <c r="BV239" s="21" t="str">
        <f ca="1">IFERROR(VLOOKUP(AF239,OFFSET(abbreviation[],0,ColumnLanguage),ColumnAbbreviation,FALSE),"")</f>
        <v/>
      </c>
      <c r="BW239" s="21" t="str">
        <f ca="1">IFERROR(VLOOKUP(AH239,OFFSET(abbreviation[],0,ColumnLanguage),ColumnAbbreviation,FALSE),"")</f>
        <v/>
      </c>
      <c r="BX239" s="21" t="str">
        <f ca="1">IFERROR(VLOOKUP(AJ239,OFFSET(abbreviation[],0,ColumnLanguage),ColumnAbbreviation,FALSE),"")</f>
        <v/>
      </c>
      <c r="BY239" s="21" t="str">
        <f ca="1">IFERROR(VLOOKUP(AL239,OFFSET(abbreviation[],0,ColumnLanguage),ColumnAbbreviation,FALSE),"")</f>
        <v/>
      </c>
      <c r="BZ239" s="21" t="str">
        <f t="shared" ca="1" si="23"/>
        <v>_</v>
      </c>
      <c r="CA239" s="21" t="str">
        <f ca="1">IFERROR(VLOOKUP(AP239,OFFSET(abbreviation[],0,ColumnLanguage),ColumnAbbreviation,FALSE),"")</f>
        <v/>
      </c>
      <c r="CB239" s="21" t="str">
        <f ca="1">IFERROR(VLOOKUP(AR239,OFFSET(abbreviation[],0,ColumnLanguage),ColumnAbbreviation,FALSE),"")</f>
        <v/>
      </c>
      <c r="CC239" s="21" t="str">
        <f ca="1">IFERROR(VLOOKUP(AT239,OFFSET(abbreviation[],0,ColumnLanguage),ColumnAbbreviation,FALSE),"")</f>
        <v/>
      </c>
      <c r="CD239" s="21" t="str">
        <f ca="1">IFERROR(VLOOKUP(AV239,OFFSET(abbreviation[],0,ColumnLanguage),ColumnAbbreviation,FALSE),"")</f>
        <v/>
      </c>
      <c r="CE239" s="21" t="str">
        <f t="shared" ca="1" si="24"/>
        <v>__</v>
      </c>
      <c r="CF239" s="21" t="str">
        <f ca="1">IFERROR(VLOOKUP(AX239,OFFSET(abbreviation[],0,ColumnLanguage),ColumnAbbreviation,FALSE),"")</f>
        <v/>
      </c>
      <c r="CG239" s="21" t="str">
        <f ca="1">IFERROR(VLOOKUP(AZ239,OFFSET(abbreviation[],0,ColumnLanguage),ColumnAbbreviation,FALSE),"")</f>
        <v/>
      </c>
      <c r="CH239" s="21" t="str">
        <f ca="1">IFERROR(VLOOKUP(BB239,OFFSET(abbreviation[],0,ColumnLanguage),ColumnAbbreviation,FALSE),"")</f>
        <v/>
      </c>
      <c r="CI239" s="21" t="str">
        <f ca="1">IFERROR(VLOOKUP(BD239,OFFSET(abbreviation[],0,ColumnLanguage),ColumnAbbreviation,FALSE),"")</f>
        <v/>
      </c>
      <c r="CJ239" s="21" t="str">
        <f ca="1">IFERROR(VLOOKUP(BF239,OFFSET(abbreviation[],0,ColumnLanguage),ColumnAbbreviation,FALSE),"")</f>
        <v/>
      </c>
      <c r="CK239" s="21" t="str">
        <f t="shared" ca="1" si="25"/>
        <v/>
      </c>
      <c r="CL239" s="21" t="str">
        <f t="shared" si="26"/>
        <v/>
      </c>
      <c r="CM239" s="52"/>
      <c r="CN239" s="57" t="str">
        <f t="shared" si="27"/>
        <v/>
      </c>
    </row>
    <row r="240" spans="14:92" x14ac:dyDescent="0.25">
      <c r="N240" s="58"/>
      <c r="P240" s="60"/>
      <c r="Q240" s="13"/>
      <c r="V240" s="60"/>
      <c r="X240" s="61"/>
      <c r="AB240" s="60"/>
      <c r="AN240" s="54"/>
      <c r="AS240" s="15"/>
      <c r="BH240" s="52"/>
      <c r="BI240" s="21" t="str">
        <f ca="1">IFERROR(VLOOKUP(C240,OFFSET(abbreviation[],0,ColumnLanguage),ColumnAbbreviation,FALSE),"")</f>
        <v/>
      </c>
      <c r="BJ240" s="21" t="str">
        <f ca="1">IFERROR(VLOOKUP(E240,OFFSET(abbreviation[],0,ColumnLanguage),ColumnAbbreviation,FALSE),"")</f>
        <v/>
      </c>
      <c r="BK240" s="21" t="str">
        <f ca="1">IFERROR(VLOOKUP(G240,OFFSET(abbreviation[],0,ColumnLanguage),ColumnAbbreviation,FALSE),"")</f>
        <v/>
      </c>
      <c r="BL240" s="21" t="str">
        <f ca="1">IFERROR(VLOOKUP(I240,OFFSET(abbreviation[],0,ColumnLanguage),ColumnAbbreviation,FALSE),"")</f>
        <v/>
      </c>
      <c r="BM240" s="21" t="str">
        <f ca="1">IFERROR(VLOOKUP(K240,OFFSET(abbreviation[],0,ColumnLanguage),ColumnAbbreviation,FALSE),"")</f>
        <v/>
      </c>
      <c r="BN240" s="21" t="str">
        <f t="shared" ca="1" si="21"/>
        <v/>
      </c>
      <c r="BO240" s="21" t="str">
        <f ca="1">IFERROR(VLOOKUP(N240,OFFSET(abbreviation[],0,ColumnLanguage),ColumnAbbreviation,FALSE),"")</f>
        <v/>
      </c>
      <c r="BP240" s="21" t="str">
        <f ca="1">IFERROR(VLOOKUP(P240,OFFSET(abbreviation[],0,ColumnLanguage),ColumnAbbreviation,FALSE),"")</f>
        <v/>
      </c>
      <c r="BQ240" s="21" t="str">
        <f ca="1">IFERROR(VLOOKUP(T240,OFFSET(abbreviation[],0,ColumnLanguage),ColumnAbbreviation,FALSE),"")</f>
        <v/>
      </c>
      <c r="BR240" s="21" t="str">
        <f ca="1">IFERROR(VLOOKUP(V240,OFFSET(abbreviation[],0,ColumnLanguage),ColumnAbbreviation,FALSE),"")</f>
        <v/>
      </c>
      <c r="BS240" s="21" t="str">
        <f ca="1">IFERROR(VLOOKUP(Z240,OFFSET(abbreviation[],0,ColumnLanguage),ColumnAbbreviation,FALSE),"")</f>
        <v/>
      </c>
      <c r="BT240" s="21" t="str">
        <f ca="1">IFERROR(VLOOKUP(AB240,OFFSET(abbreviation[],0,ColumnLanguage),ColumnAbbreviation,FALSE),"")</f>
        <v/>
      </c>
      <c r="BU240" s="21" t="str">
        <f t="shared" ca="1" si="22"/>
        <v>__</v>
      </c>
      <c r="BV240" s="21" t="str">
        <f ca="1">IFERROR(VLOOKUP(AF240,OFFSET(abbreviation[],0,ColumnLanguage),ColumnAbbreviation,FALSE),"")</f>
        <v/>
      </c>
      <c r="BW240" s="21" t="str">
        <f ca="1">IFERROR(VLOOKUP(AH240,OFFSET(abbreviation[],0,ColumnLanguage),ColumnAbbreviation,FALSE),"")</f>
        <v/>
      </c>
      <c r="BX240" s="21" t="str">
        <f ca="1">IFERROR(VLOOKUP(AJ240,OFFSET(abbreviation[],0,ColumnLanguage),ColumnAbbreviation,FALSE),"")</f>
        <v/>
      </c>
      <c r="BY240" s="21" t="str">
        <f ca="1">IFERROR(VLOOKUP(AL240,OFFSET(abbreviation[],0,ColumnLanguage),ColumnAbbreviation,FALSE),"")</f>
        <v/>
      </c>
      <c r="BZ240" s="21" t="str">
        <f t="shared" ca="1" si="23"/>
        <v>_</v>
      </c>
      <c r="CA240" s="21" t="str">
        <f ca="1">IFERROR(VLOOKUP(AP240,OFFSET(abbreviation[],0,ColumnLanguage),ColumnAbbreviation,FALSE),"")</f>
        <v/>
      </c>
      <c r="CB240" s="21" t="str">
        <f ca="1">IFERROR(VLOOKUP(AR240,OFFSET(abbreviation[],0,ColumnLanguage),ColumnAbbreviation,FALSE),"")</f>
        <v/>
      </c>
      <c r="CC240" s="21" t="str">
        <f ca="1">IFERROR(VLOOKUP(AT240,OFFSET(abbreviation[],0,ColumnLanguage),ColumnAbbreviation,FALSE),"")</f>
        <v/>
      </c>
      <c r="CD240" s="21" t="str">
        <f ca="1">IFERROR(VLOOKUP(AV240,OFFSET(abbreviation[],0,ColumnLanguage),ColumnAbbreviation,FALSE),"")</f>
        <v/>
      </c>
      <c r="CE240" s="21" t="str">
        <f t="shared" ca="1" si="24"/>
        <v>__</v>
      </c>
      <c r="CF240" s="21" t="str">
        <f ca="1">IFERROR(VLOOKUP(AX240,OFFSET(abbreviation[],0,ColumnLanguage),ColumnAbbreviation,FALSE),"")</f>
        <v/>
      </c>
      <c r="CG240" s="21" t="str">
        <f ca="1">IFERROR(VLOOKUP(AZ240,OFFSET(abbreviation[],0,ColumnLanguage),ColumnAbbreviation,FALSE),"")</f>
        <v/>
      </c>
      <c r="CH240" s="21" t="str">
        <f ca="1">IFERROR(VLOOKUP(BB240,OFFSET(abbreviation[],0,ColumnLanguage),ColumnAbbreviation,FALSE),"")</f>
        <v/>
      </c>
      <c r="CI240" s="21" t="str">
        <f ca="1">IFERROR(VLOOKUP(BD240,OFFSET(abbreviation[],0,ColumnLanguage),ColumnAbbreviation,FALSE),"")</f>
        <v/>
      </c>
      <c r="CJ240" s="21" t="str">
        <f ca="1">IFERROR(VLOOKUP(BF240,OFFSET(abbreviation[],0,ColumnLanguage),ColumnAbbreviation,FALSE),"")</f>
        <v/>
      </c>
      <c r="CK240" s="21" t="str">
        <f t="shared" ca="1" si="25"/>
        <v/>
      </c>
      <c r="CL240" s="21" t="str">
        <f t="shared" si="26"/>
        <v/>
      </c>
      <c r="CM240" s="52"/>
      <c r="CN240" s="57" t="str">
        <f t="shared" si="27"/>
        <v/>
      </c>
    </row>
    <row r="241" spans="14:92" x14ac:dyDescent="0.25">
      <c r="N241" s="58"/>
      <c r="P241" s="60"/>
      <c r="Q241" s="13"/>
      <c r="V241" s="60"/>
      <c r="X241" s="61"/>
      <c r="AB241" s="60"/>
      <c r="AN241" s="54"/>
      <c r="AS241" s="15"/>
      <c r="BH241" s="52"/>
      <c r="BI241" s="21" t="str">
        <f ca="1">IFERROR(VLOOKUP(C241,OFFSET(abbreviation[],0,ColumnLanguage),ColumnAbbreviation,FALSE),"")</f>
        <v/>
      </c>
      <c r="BJ241" s="21" t="str">
        <f ca="1">IFERROR(VLOOKUP(E241,OFFSET(abbreviation[],0,ColumnLanguage),ColumnAbbreviation,FALSE),"")</f>
        <v/>
      </c>
      <c r="BK241" s="21" t="str">
        <f ca="1">IFERROR(VLOOKUP(G241,OFFSET(abbreviation[],0,ColumnLanguage),ColumnAbbreviation,FALSE),"")</f>
        <v/>
      </c>
      <c r="BL241" s="21" t="str">
        <f ca="1">IFERROR(VLOOKUP(I241,OFFSET(abbreviation[],0,ColumnLanguage),ColumnAbbreviation,FALSE),"")</f>
        <v/>
      </c>
      <c r="BM241" s="21" t="str">
        <f ca="1">IFERROR(VLOOKUP(K241,OFFSET(abbreviation[],0,ColumnLanguage),ColumnAbbreviation,FALSE),"")</f>
        <v/>
      </c>
      <c r="BN241" s="21" t="str">
        <f t="shared" ca="1" si="21"/>
        <v/>
      </c>
      <c r="BO241" s="21" t="str">
        <f ca="1">IFERROR(VLOOKUP(N241,OFFSET(abbreviation[],0,ColumnLanguage),ColumnAbbreviation,FALSE),"")</f>
        <v/>
      </c>
      <c r="BP241" s="21" t="str">
        <f ca="1">IFERROR(VLOOKUP(P241,OFFSET(abbreviation[],0,ColumnLanguage),ColumnAbbreviation,FALSE),"")</f>
        <v/>
      </c>
      <c r="BQ241" s="21" t="str">
        <f ca="1">IFERROR(VLOOKUP(T241,OFFSET(abbreviation[],0,ColumnLanguage),ColumnAbbreviation,FALSE),"")</f>
        <v/>
      </c>
      <c r="BR241" s="21" t="str">
        <f ca="1">IFERROR(VLOOKUP(V241,OFFSET(abbreviation[],0,ColumnLanguage),ColumnAbbreviation,FALSE),"")</f>
        <v/>
      </c>
      <c r="BS241" s="21" t="str">
        <f ca="1">IFERROR(VLOOKUP(Z241,OFFSET(abbreviation[],0,ColumnLanguage),ColumnAbbreviation,FALSE),"")</f>
        <v/>
      </c>
      <c r="BT241" s="21" t="str">
        <f ca="1">IFERROR(VLOOKUP(AB241,OFFSET(abbreviation[],0,ColumnLanguage),ColumnAbbreviation,FALSE),"")</f>
        <v/>
      </c>
      <c r="BU241" s="21" t="str">
        <f t="shared" ca="1" si="22"/>
        <v>__</v>
      </c>
      <c r="BV241" s="21" t="str">
        <f ca="1">IFERROR(VLOOKUP(AF241,OFFSET(abbreviation[],0,ColumnLanguage),ColumnAbbreviation,FALSE),"")</f>
        <v/>
      </c>
      <c r="BW241" s="21" t="str">
        <f ca="1">IFERROR(VLOOKUP(AH241,OFFSET(abbreviation[],0,ColumnLanguage),ColumnAbbreviation,FALSE),"")</f>
        <v/>
      </c>
      <c r="BX241" s="21" t="str">
        <f ca="1">IFERROR(VLOOKUP(AJ241,OFFSET(abbreviation[],0,ColumnLanguage),ColumnAbbreviation,FALSE),"")</f>
        <v/>
      </c>
      <c r="BY241" s="21" t="str">
        <f ca="1">IFERROR(VLOOKUP(AL241,OFFSET(abbreviation[],0,ColumnLanguage),ColumnAbbreviation,FALSE),"")</f>
        <v/>
      </c>
      <c r="BZ241" s="21" t="str">
        <f t="shared" ca="1" si="23"/>
        <v>_</v>
      </c>
      <c r="CA241" s="21" t="str">
        <f ca="1">IFERROR(VLOOKUP(AP241,OFFSET(abbreviation[],0,ColumnLanguage),ColumnAbbreviation,FALSE),"")</f>
        <v/>
      </c>
      <c r="CB241" s="21" t="str">
        <f ca="1">IFERROR(VLOOKUP(AR241,OFFSET(abbreviation[],0,ColumnLanguage),ColumnAbbreviation,FALSE),"")</f>
        <v/>
      </c>
      <c r="CC241" s="21" t="str">
        <f ca="1">IFERROR(VLOOKUP(AT241,OFFSET(abbreviation[],0,ColumnLanguage),ColumnAbbreviation,FALSE),"")</f>
        <v/>
      </c>
      <c r="CD241" s="21" t="str">
        <f ca="1">IFERROR(VLOOKUP(AV241,OFFSET(abbreviation[],0,ColumnLanguage),ColumnAbbreviation,FALSE),"")</f>
        <v/>
      </c>
      <c r="CE241" s="21" t="str">
        <f t="shared" ca="1" si="24"/>
        <v>__</v>
      </c>
      <c r="CF241" s="21" t="str">
        <f ca="1">IFERROR(VLOOKUP(AX241,OFFSET(abbreviation[],0,ColumnLanguage),ColumnAbbreviation,FALSE),"")</f>
        <v/>
      </c>
      <c r="CG241" s="21" t="str">
        <f ca="1">IFERROR(VLOOKUP(AZ241,OFFSET(abbreviation[],0,ColumnLanguage),ColumnAbbreviation,FALSE),"")</f>
        <v/>
      </c>
      <c r="CH241" s="21" t="str">
        <f ca="1">IFERROR(VLOOKUP(BB241,OFFSET(abbreviation[],0,ColumnLanguage),ColumnAbbreviation,FALSE),"")</f>
        <v/>
      </c>
      <c r="CI241" s="21" t="str">
        <f ca="1">IFERROR(VLOOKUP(BD241,OFFSET(abbreviation[],0,ColumnLanguage),ColumnAbbreviation,FALSE),"")</f>
        <v/>
      </c>
      <c r="CJ241" s="21" t="str">
        <f ca="1">IFERROR(VLOOKUP(BF241,OFFSET(abbreviation[],0,ColumnLanguage),ColumnAbbreviation,FALSE),"")</f>
        <v/>
      </c>
      <c r="CK241" s="21" t="str">
        <f t="shared" ca="1" si="25"/>
        <v/>
      </c>
      <c r="CL241" s="21" t="str">
        <f t="shared" si="26"/>
        <v/>
      </c>
      <c r="CM241" s="52"/>
      <c r="CN241" s="57" t="str">
        <f t="shared" si="27"/>
        <v/>
      </c>
    </row>
    <row r="242" spans="14:92" x14ac:dyDescent="0.25">
      <c r="P242" s="60"/>
      <c r="Q242" s="13"/>
      <c r="V242" s="60"/>
      <c r="X242" s="61"/>
      <c r="AB242" s="60"/>
      <c r="AN242" s="54"/>
      <c r="AS242" s="15"/>
      <c r="BH242" s="52"/>
      <c r="BI242" s="21" t="str">
        <f ca="1">IFERROR(VLOOKUP(C242,OFFSET(abbreviation[],0,ColumnLanguage),ColumnAbbreviation,FALSE),"")</f>
        <v/>
      </c>
      <c r="BJ242" s="21" t="str">
        <f ca="1">IFERROR(VLOOKUP(E242,OFFSET(abbreviation[],0,ColumnLanguage),ColumnAbbreviation,FALSE),"")</f>
        <v/>
      </c>
      <c r="BK242" s="21" t="str">
        <f ca="1">IFERROR(VLOOKUP(G242,OFFSET(abbreviation[],0,ColumnLanguage),ColumnAbbreviation,FALSE),"")</f>
        <v/>
      </c>
      <c r="BL242" s="21" t="str">
        <f ca="1">IFERROR(VLOOKUP(I242,OFFSET(abbreviation[],0,ColumnLanguage),ColumnAbbreviation,FALSE),"")</f>
        <v/>
      </c>
      <c r="BM242" s="21" t="str">
        <f ca="1">IFERROR(VLOOKUP(K242,OFFSET(abbreviation[],0,ColumnLanguage),ColumnAbbreviation,FALSE),"")</f>
        <v/>
      </c>
      <c r="BN242" s="21" t="str">
        <f t="shared" ca="1" si="21"/>
        <v/>
      </c>
      <c r="BO242" s="21" t="str">
        <f ca="1">IFERROR(VLOOKUP(N242,OFFSET(abbreviation[],0,ColumnLanguage),ColumnAbbreviation,FALSE),"")</f>
        <v/>
      </c>
      <c r="BP242" s="21" t="str">
        <f ca="1">IFERROR(VLOOKUP(P242,OFFSET(abbreviation[],0,ColumnLanguage),ColumnAbbreviation,FALSE),"")</f>
        <v/>
      </c>
      <c r="BQ242" s="21" t="str">
        <f ca="1">IFERROR(VLOOKUP(T242,OFFSET(abbreviation[],0,ColumnLanguage),ColumnAbbreviation,FALSE),"")</f>
        <v/>
      </c>
      <c r="BR242" s="21" t="str">
        <f ca="1">IFERROR(VLOOKUP(V242,OFFSET(abbreviation[],0,ColumnLanguage),ColumnAbbreviation,FALSE),"")</f>
        <v/>
      </c>
      <c r="BS242" s="21" t="str">
        <f ca="1">IFERROR(VLOOKUP(Z242,OFFSET(abbreviation[],0,ColumnLanguage),ColumnAbbreviation,FALSE),"")</f>
        <v/>
      </c>
      <c r="BT242" s="21" t="str">
        <f ca="1">IFERROR(VLOOKUP(AB242,OFFSET(abbreviation[],0,ColumnLanguage),ColumnAbbreviation,FALSE),"")</f>
        <v/>
      </c>
      <c r="BU242" s="21" t="str">
        <f t="shared" ca="1" si="22"/>
        <v>__</v>
      </c>
      <c r="BV242" s="21" t="str">
        <f ca="1">IFERROR(VLOOKUP(AF242,OFFSET(abbreviation[],0,ColumnLanguage),ColumnAbbreviation,FALSE),"")</f>
        <v/>
      </c>
      <c r="BW242" s="21" t="str">
        <f ca="1">IFERROR(VLOOKUP(AH242,OFFSET(abbreviation[],0,ColumnLanguage),ColumnAbbreviation,FALSE),"")</f>
        <v/>
      </c>
      <c r="BX242" s="21" t="str">
        <f ca="1">IFERROR(VLOOKUP(AJ242,OFFSET(abbreviation[],0,ColumnLanguage),ColumnAbbreviation,FALSE),"")</f>
        <v/>
      </c>
      <c r="BY242" s="21" t="str">
        <f ca="1">IFERROR(VLOOKUP(AL242,OFFSET(abbreviation[],0,ColumnLanguage),ColumnAbbreviation,FALSE),"")</f>
        <v/>
      </c>
      <c r="BZ242" s="21" t="str">
        <f t="shared" ca="1" si="23"/>
        <v>_</v>
      </c>
      <c r="CA242" s="21" t="str">
        <f ca="1">IFERROR(VLOOKUP(AP242,OFFSET(abbreviation[],0,ColumnLanguage),ColumnAbbreviation,FALSE),"")</f>
        <v/>
      </c>
      <c r="CB242" s="21" t="str">
        <f ca="1">IFERROR(VLOOKUP(AR242,OFFSET(abbreviation[],0,ColumnLanguage),ColumnAbbreviation,FALSE),"")</f>
        <v/>
      </c>
      <c r="CC242" s="21" t="str">
        <f ca="1">IFERROR(VLOOKUP(AT242,OFFSET(abbreviation[],0,ColumnLanguage),ColumnAbbreviation,FALSE),"")</f>
        <v/>
      </c>
      <c r="CD242" s="21" t="str">
        <f ca="1">IFERROR(VLOOKUP(AV242,OFFSET(abbreviation[],0,ColumnLanguage),ColumnAbbreviation,FALSE),"")</f>
        <v/>
      </c>
      <c r="CE242" s="21" t="str">
        <f t="shared" ca="1" si="24"/>
        <v>__</v>
      </c>
      <c r="CF242" s="21" t="str">
        <f ca="1">IFERROR(VLOOKUP(AX242,OFFSET(abbreviation[],0,ColumnLanguage),ColumnAbbreviation,FALSE),"")</f>
        <v/>
      </c>
      <c r="CG242" s="21" t="str">
        <f ca="1">IFERROR(VLOOKUP(AZ242,OFFSET(abbreviation[],0,ColumnLanguage),ColumnAbbreviation,FALSE),"")</f>
        <v/>
      </c>
      <c r="CH242" s="21" t="str">
        <f ca="1">IFERROR(VLOOKUP(BB242,OFFSET(abbreviation[],0,ColumnLanguage),ColumnAbbreviation,FALSE),"")</f>
        <v/>
      </c>
      <c r="CI242" s="21" t="str">
        <f ca="1">IFERROR(VLOOKUP(BD242,OFFSET(abbreviation[],0,ColumnLanguage),ColumnAbbreviation,FALSE),"")</f>
        <v/>
      </c>
      <c r="CJ242" s="21" t="str">
        <f ca="1">IFERROR(VLOOKUP(BF242,OFFSET(abbreviation[],0,ColumnLanguage),ColumnAbbreviation,FALSE),"")</f>
        <v/>
      </c>
      <c r="CK242" s="21" t="str">
        <f t="shared" ca="1" si="25"/>
        <v/>
      </c>
      <c r="CL242" s="21" t="str">
        <f t="shared" si="26"/>
        <v/>
      </c>
      <c r="CM242" s="52"/>
      <c r="CN242" s="57" t="str">
        <f t="shared" si="27"/>
        <v/>
      </c>
    </row>
    <row r="243" spans="14:92" x14ac:dyDescent="0.25">
      <c r="P243" s="60"/>
      <c r="Q243" s="13"/>
      <c r="V243" s="60"/>
      <c r="X243" s="61"/>
      <c r="AB243" s="60"/>
      <c r="AN243" s="54"/>
      <c r="AS243" s="15"/>
      <c r="BH243" s="52"/>
      <c r="BI243" s="21" t="str">
        <f ca="1">IFERROR(VLOOKUP(C243,OFFSET(abbreviation[],0,ColumnLanguage),ColumnAbbreviation,FALSE),"")</f>
        <v/>
      </c>
      <c r="BJ243" s="21" t="str">
        <f ca="1">IFERROR(VLOOKUP(E243,OFFSET(abbreviation[],0,ColumnLanguage),ColumnAbbreviation,FALSE),"")</f>
        <v/>
      </c>
      <c r="BK243" s="21" t="str">
        <f ca="1">IFERROR(VLOOKUP(G243,OFFSET(abbreviation[],0,ColumnLanguage),ColumnAbbreviation,FALSE),"")</f>
        <v/>
      </c>
      <c r="BL243" s="21" t="str">
        <f ca="1">IFERROR(VLOOKUP(I243,OFFSET(abbreviation[],0,ColumnLanguage),ColumnAbbreviation,FALSE),"")</f>
        <v/>
      </c>
      <c r="BM243" s="21" t="str">
        <f ca="1">IFERROR(VLOOKUP(K243,OFFSET(abbreviation[],0,ColumnLanguage),ColumnAbbreviation,FALSE),"")</f>
        <v/>
      </c>
      <c r="BN243" s="21" t="str">
        <f t="shared" ca="1" si="21"/>
        <v/>
      </c>
      <c r="BO243" s="21" t="str">
        <f ca="1">IFERROR(VLOOKUP(N243,OFFSET(abbreviation[],0,ColumnLanguage),ColumnAbbreviation,FALSE),"")</f>
        <v/>
      </c>
      <c r="BP243" s="21" t="str">
        <f ca="1">IFERROR(VLOOKUP(P243,OFFSET(abbreviation[],0,ColumnLanguage),ColumnAbbreviation,FALSE),"")</f>
        <v/>
      </c>
      <c r="BQ243" s="21" t="str">
        <f ca="1">IFERROR(VLOOKUP(T243,OFFSET(abbreviation[],0,ColumnLanguage),ColumnAbbreviation,FALSE),"")</f>
        <v/>
      </c>
      <c r="BR243" s="21" t="str">
        <f ca="1">IFERROR(VLOOKUP(V243,OFFSET(abbreviation[],0,ColumnLanguage),ColumnAbbreviation,FALSE),"")</f>
        <v/>
      </c>
      <c r="BS243" s="21" t="str">
        <f ca="1">IFERROR(VLOOKUP(Z243,OFFSET(abbreviation[],0,ColumnLanguage),ColumnAbbreviation,FALSE),"")</f>
        <v/>
      </c>
      <c r="BT243" s="21" t="str">
        <f ca="1">IFERROR(VLOOKUP(AB243,OFFSET(abbreviation[],0,ColumnLanguage),ColumnAbbreviation,FALSE),"")</f>
        <v/>
      </c>
      <c r="BU243" s="21" t="str">
        <f t="shared" ca="1" si="22"/>
        <v>__</v>
      </c>
      <c r="BV243" s="21" t="str">
        <f ca="1">IFERROR(VLOOKUP(AF243,OFFSET(abbreviation[],0,ColumnLanguage),ColumnAbbreviation,FALSE),"")</f>
        <v/>
      </c>
      <c r="BW243" s="21" t="str">
        <f ca="1">IFERROR(VLOOKUP(AH243,OFFSET(abbreviation[],0,ColumnLanguage),ColumnAbbreviation,FALSE),"")</f>
        <v/>
      </c>
      <c r="BX243" s="21" t="str">
        <f ca="1">IFERROR(VLOOKUP(AJ243,OFFSET(abbreviation[],0,ColumnLanguage),ColumnAbbreviation,FALSE),"")</f>
        <v/>
      </c>
      <c r="BY243" s="21" t="str">
        <f ca="1">IFERROR(VLOOKUP(AL243,OFFSET(abbreviation[],0,ColumnLanguage),ColumnAbbreviation,FALSE),"")</f>
        <v/>
      </c>
      <c r="BZ243" s="21" t="str">
        <f t="shared" ca="1" si="23"/>
        <v>_</v>
      </c>
      <c r="CA243" s="21" t="str">
        <f ca="1">IFERROR(VLOOKUP(AP243,OFFSET(abbreviation[],0,ColumnLanguage),ColumnAbbreviation,FALSE),"")</f>
        <v/>
      </c>
      <c r="CB243" s="21" t="str">
        <f ca="1">IFERROR(VLOOKUP(AR243,OFFSET(abbreviation[],0,ColumnLanguage),ColumnAbbreviation,FALSE),"")</f>
        <v/>
      </c>
      <c r="CC243" s="21" t="str">
        <f ca="1">IFERROR(VLOOKUP(AT243,OFFSET(abbreviation[],0,ColumnLanguage),ColumnAbbreviation,FALSE),"")</f>
        <v/>
      </c>
      <c r="CD243" s="21" t="str">
        <f ca="1">IFERROR(VLOOKUP(AV243,OFFSET(abbreviation[],0,ColumnLanguage),ColumnAbbreviation,FALSE),"")</f>
        <v/>
      </c>
      <c r="CE243" s="21" t="str">
        <f t="shared" ca="1" si="24"/>
        <v>__</v>
      </c>
      <c r="CF243" s="21" t="str">
        <f ca="1">IFERROR(VLOOKUP(AX243,OFFSET(abbreviation[],0,ColumnLanguage),ColumnAbbreviation,FALSE),"")</f>
        <v/>
      </c>
      <c r="CG243" s="21" t="str">
        <f ca="1">IFERROR(VLOOKUP(AZ243,OFFSET(abbreviation[],0,ColumnLanguage),ColumnAbbreviation,FALSE),"")</f>
        <v/>
      </c>
      <c r="CH243" s="21" t="str">
        <f ca="1">IFERROR(VLOOKUP(BB243,OFFSET(abbreviation[],0,ColumnLanguage),ColumnAbbreviation,FALSE),"")</f>
        <v/>
      </c>
      <c r="CI243" s="21" t="str">
        <f ca="1">IFERROR(VLOOKUP(BD243,OFFSET(abbreviation[],0,ColumnLanguage),ColumnAbbreviation,FALSE),"")</f>
        <v/>
      </c>
      <c r="CJ243" s="21" t="str">
        <f ca="1">IFERROR(VLOOKUP(BF243,OFFSET(abbreviation[],0,ColumnLanguage),ColumnAbbreviation,FALSE),"")</f>
        <v/>
      </c>
      <c r="CK243" s="21" t="str">
        <f t="shared" ca="1" si="25"/>
        <v/>
      </c>
      <c r="CL243" s="21" t="str">
        <f t="shared" si="26"/>
        <v/>
      </c>
      <c r="CM243" s="52"/>
      <c r="CN243" s="57" t="str">
        <f t="shared" si="27"/>
        <v/>
      </c>
    </row>
    <row r="244" spans="14:92" x14ac:dyDescent="0.25">
      <c r="P244" s="60"/>
      <c r="Q244" s="13"/>
      <c r="V244" s="60"/>
      <c r="X244" s="61"/>
      <c r="AB244" s="60"/>
      <c r="AN244" s="54"/>
      <c r="AS244" s="15"/>
      <c r="BH244" s="52"/>
      <c r="BI244" s="21" t="str">
        <f ca="1">IFERROR(VLOOKUP(C244,OFFSET(abbreviation[],0,ColumnLanguage),ColumnAbbreviation,FALSE),"")</f>
        <v/>
      </c>
      <c r="BJ244" s="21" t="str">
        <f ca="1">IFERROR(VLOOKUP(E244,OFFSET(abbreviation[],0,ColumnLanguage),ColumnAbbreviation,FALSE),"")</f>
        <v/>
      </c>
      <c r="BK244" s="21" t="str">
        <f ca="1">IFERROR(VLOOKUP(G244,OFFSET(abbreviation[],0,ColumnLanguage),ColumnAbbreviation,FALSE),"")</f>
        <v/>
      </c>
      <c r="BL244" s="21" t="str">
        <f ca="1">IFERROR(VLOOKUP(I244,OFFSET(abbreviation[],0,ColumnLanguage),ColumnAbbreviation,FALSE),"")</f>
        <v/>
      </c>
      <c r="BM244" s="21" t="str">
        <f ca="1">IFERROR(VLOOKUP(K244,OFFSET(abbreviation[],0,ColumnLanguage),ColumnAbbreviation,FALSE),"")</f>
        <v/>
      </c>
      <c r="BN244" s="21" t="str">
        <f t="shared" ca="1" si="21"/>
        <v/>
      </c>
      <c r="BO244" s="21" t="str">
        <f ca="1">IFERROR(VLOOKUP(N244,OFFSET(abbreviation[],0,ColumnLanguage),ColumnAbbreviation,FALSE),"")</f>
        <v/>
      </c>
      <c r="BP244" s="21" t="str">
        <f ca="1">IFERROR(VLOOKUP(P244,OFFSET(abbreviation[],0,ColumnLanguage),ColumnAbbreviation,FALSE),"")</f>
        <v/>
      </c>
      <c r="BQ244" s="21" t="str">
        <f ca="1">IFERROR(VLOOKUP(T244,OFFSET(abbreviation[],0,ColumnLanguage),ColumnAbbreviation,FALSE),"")</f>
        <v/>
      </c>
      <c r="BR244" s="21" t="str">
        <f ca="1">IFERROR(VLOOKUP(V244,OFFSET(abbreviation[],0,ColumnLanguage),ColumnAbbreviation,FALSE),"")</f>
        <v/>
      </c>
      <c r="BS244" s="21" t="str">
        <f ca="1">IFERROR(VLOOKUP(Z244,OFFSET(abbreviation[],0,ColumnLanguage),ColumnAbbreviation,FALSE),"")</f>
        <v/>
      </c>
      <c r="BT244" s="21" t="str">
        <f ca="1">IFERROR(VLOOKUP(AB244,OFFSET(abbreviation[],0,ColumnLanguage),ColumnAbbreviation,FALSE),"")</f>
        <v/>
      </c>
      <c r="BU244" s="21" t="str">
        <f t="shared" ca="1" si="22"/>
        <v>__</v>
      </c>
      <c r="BV244" s="21" t="str">
        <f ca="1">IFERROR(VLOOKUP(AF244,OFFSET(abbreviation[],0,ColumnLanguage),ColumnAbbreviation,FALSE),"")</f>
        <v/>
      </c>
      <c r="BW244" s="21" t="str">
        <f ca="1">IFERROR(VLOOKUP(AH244,OFFSET(abbreviation[],0,ColumnLanguage),ColumnAbbreviation,FALSE),"")</f>
        <v/>
      </c>
      <c r="BX244" s="21" t="str">
        <f ca="1">IFERROR(VLOOKUP(AJ244,OFFSET(abbreviation[],0,ColumnLanguage),ColumnAbbreviation,FALSE),"")</f>
        <v/>
      </c>
      <c r="BY244" s="21" t="str">
        <f ca="1">IFERROR(VLOOKUP(AL244,OFFSET(abbreviation[],0,ColumnLanguage),ColumnAbbreviation,FALSE),"")</f>
        <v/>
      </c>
      <c r="BZ244" s="21" t="str">
        <f t="shared" ca="1" si="23"/>
        <v>_</v>
      </c>
      <c r="CA244" s="21" t="str">
        <f ca="1">IFERROR(VLOOKUP(AP244,OFFSET(abbreviation[],0,ColumnLanguage),ColumnAbbreviation,FALSE),"")</f>
        <v/>
      </c>
      <c r="CB244" s="21" t="str">
        <f ca="1">IFERROR(VLOOKUP(AR244,OFFSET(abbreviation[],0,ColumnLanguage),ColumnAbbreviation,FALSE),"")</f>
        <v/>
      </c>
      <c r="CC244" s="21" t="str">
        <f ca="1">IFERROR(VLOOKUP(AT244,OFFSET(abbreviation[],0,ColumnLanguage),ColumnAbbreviation,FALSE),"")</f>
        <v/>
      </c>
      <c r="CD244" s="21" t="str">
        <f ca="1">IFERROR(VLOOKUP(AV244,OFFSET(abbreviation[],0,ColumnLanguage),ColumnAbbreviation,FALSE),"")</f>
        <v/>
      </c>
      <c r="CE244" s="21" t="str">
        <f t="shared" ca="1" si="24"/>
        <v>__</v>
      </c>
      <c r="CF244" s="21" t="str">
        <f ca="1">IFERROR(VLOOKUP(AX244,OFFSET(abbreviation[],0,ColumnLanguage),ColumnAbbreviation,FALSE),"")</f>
        <v/>
      </c>
      <c r="CG244" s="21" t="str">
        <f ca="1">IFERROR(VLOOKUP(AZ244,OFFSET(abbreviation[],0,ColumnLanguage),ColumnAbbreviation,FALSE),"")</f>
        <v/>
      </c>
      <c r="CH244" s="21" t="str">
        <f ca="1">IFERROR(VLOOKUP(BB244,OFFSET(abbreviation[],0,ColumnLanguage),ColumnAbbreviation,FALSE),"")</f>
        <v/>
      </c>
      <c r="CI244" s="21" t="str">
        <f ca="1">IFERROR(VLOOKUP(BD244,OFFSET(abbreviation[],0,ColumnLanguage),ColumnAbbreviation,FALSE),"")</f>
        <v/>
      </c>
      <c r="CJ244" s="21" t="str">
        <f ca="1">IFERROR(VLOOKUP(BF244,OFFSET(abbreviation[],0,ColumnLanguage),ColumnAbbreviation,FALSE),"")</f>
        <v/>
      </c>
      <c r="CK244" s="21" t="str">
        <f t="shared" ca="1" si="25"/>
        <v/>
      </c>
      <c r="CL244" s="21" t="str">
        <f t="shared" si="26"/>
        <v/>
      </c>
      <c r="CM244" s="52"/>
      <c r="CN244" s="57" t="str">
        <f t="shared" si="27"/>
        <v/>
      </c>
    </row>
    <row r="245" spans="14:92" x14ac:dyDescent="0.25">
      <c r="P245" s="60"/>
      <c r="Q245" s="13"/>
      <c r="V245" s="60"/>
      <c r="X245" s="61"/>
      <c r="AB245" s="60"/>
      <c r="AN245" s="54"/>
      <c r="AS245" s="15"/>
      <c r="BH245" s="52"/>
      <c r="BI245" s="21" t="str">
        <f ca="1">IFERROR(VLOOKUP(C245,OFFSET(abbreviation[],0,ColumnLanguage),ColumnAbbreviation,FALSE),"")</f>
        <v/>
      </c>
      <c r="BJ245" s="21" t="str">
        <f ca="1">IFERROR(VLOOKUP(E245,OFFSET(abbreviation[],0,ColumnLanguage),ColumnAbbreviation,FALSE),"")</f>
        <v/>
      </c>
      <c r="BK245" s="21" t="str">
        <f ca="1">IFERROR(VLOOKUP(G245,OFFSET(abbreviation[],0,ColumnLanguage),ColumnAbbreviation,FALSE),"")</f>
        <v/>
      </c>
      <c r="BL245" s="21" t="str">
        <f ca="1">IFERROR(VLOOKUP(I245,OFFSET(abbreviation[],0,ColumnLanguage),ColumnAbbreviation,FALSE),"")</f>
        <v/>
      </c>
      <c r="BM245" s="21" t="str">
        <f ca="1">IFERROR(VLOOKUP(K245,OFFSET(abbreviation[],0,ColumnLanguage),ColumnAbbreviation,FALSE),"")</f>
        <v/>
      </c>
      <c r="BN245" s="21" t="str">
        <f t="shared" ca="1" si="21"/>
        <v/>
      </c>
      <c r="BO245" s="21" t="str">
        <f ca="1">IFERROR(VLOOKUP(N245,OFFSET(abbreviation[],0,ColumnLanguage),ColumnAbbreviation,FALSE),"")</f>
        <v/>
      </c>
      <c r="BP245" s="21" t="str">
        <f ca="1">IFERROR(VLOOKUP(P245,OFFSET(abbreviation[],0,ColumnLanguage),ColumnAbbreviation,FALSE),"")</f>
        <v/>
      </c>
      <c r="BQ245" s="21" t="str">
        <f ca="1">IFERROR(VLOOKUP(T245,OFFSET(abbreviation[],0,ColumnLanguage),ColumnAbbreviation,FALSE),"")</f>
        <v/>
      </c>
      <c r="BR245" s="21" t="str">
        <f ca="1">IFERROR(VLOOKUP(V245,OFFSET(abbreviation[],0,ColumnLanguage),ColumnAbbreviation,FALSE),"")</f>
        <v/>
      </c>
      <c r="BS245" s="21" t="str">
        <f ca="1">IFERROR(VLOOKUP(Z245,OFFSET(abbreviation[],0,ColumnLanguage),ColumnAbbreviation,FALSE),"")</f>
        <v/>
      </c>
      <c r="BT245" s="21" t="str">
        <f ca="1">IFERROR(VLOOKUP(AB245,OFFSET(abbreviation[],0,ColumnLanguage),ColumnAbbreviation,FALSE),"")</f>
        <v/>
      </c>
      <c r="BU245" s="21" t="str">
        <f t="shared" ca="1" si="22"/>
        <v>__</v>
      </c>
      <c r="BV245" s="21" t="str">
        <f ca="1">IFERROR(VLOOKUP(AF245,OFFSET(abbreviation[],0,ColumnLanguage),ColumnAbbreviation,FALSE),"")</f>
        <v/>
      </c>
      <c r="BW245" s="21" t="str">
        <f ca="1">IFERROR(VLOOKUP(AH245,OFFSET(abbreviation[],0,ColumnLanguage),ColumnAbbreviation,FALSE),"")</f>
        <v/>
      </c>
      <c r="BX245" s="21" t="str">
        <f ca="1">IFERROR(VLOOKUP(AJ245,OFFSET(abbreviation[],0,ColumnLanguage),ColumnAbbreviation,FALSE),"")</f>
        <v/>
      </c>
      <c r="BY245" s="21" t="str">
        <f ca="1">IFERROR(VLOOKUP(AL245,OFFSET(abbreviation[],0,ColumnLanguage),ColumnAbbreviation,FALSE),"")</f>
        <v/>
      </c>
      <c r="BZ245" s="21" t="str">
        <f t="shared" ca="1" si="23"/>
        <v>_</v>
      </c>
      <c r="CA245" s="21" t="str">
        <f ca="1">IFERROR(VLOOKUP(AP245,OFFSET(abbreviation[],0,ColumnLanguage),ColumnAbbreviation,FALSE),"")</f>
        <v/>
      </c>
      <c r="CB245" s="21" t="str">
        <f ca="1">IFERROR(VLOOKUP(AR245,OFFSET(abbreviation[],0,ColumnLanguage),ColumnAbbreviation,FALSE),"")</f>
        <v/>
      </c>
      <c r="CC245" s="21" t="str">
        <f ca="1">IFERROR(VLOOKUP(AT245,OFFSET(abbreviation[],0,ColumnLanguage),ColumnAbbreviation,FALSE),"")</f>
        <v/>
      </c>
      <c r="CD245" s="21" t="str">
        <f ca="1">IFERROR(VLOOKUP(AV245,OFFSET(abbreviation[],0,ColumnLanguage),ColumnAbbreviation,FALSE),"")</f>
        <v/>
      </c>
      <c r="CE245" s="21" t="str">
        <f t="shared" ca="1" si="24"/>
        <v>__</v>
      </c>
      <c r="CF245" s="21" t="str">
        <f ca="1">IFERROR(VLOOKUP(AX245,OFFSET(abbreviation[],0,ColumnLanguage),ColumnAbbreviation,FALSE),"")</f>
        <v/>
      </c>
      <c r="CG245" s="21" t="str">
        <f ca="1">IFERROR(VLOOKUP(AZ245,OFFSET(abbreviation[],0,ColumnLanguage),ColumnAbbreviation,FALSE),"")</f>
        <v/>
      </c>
      <c r="CH245" s="21" t="str">
        <f ca="1">IFERROR(VLOOKUP(BB245,OFFSET(abbreviation[],0,ColumnLanguage),ColumnAbbreviation,FALSE),"")</f>
        <v/>
      </c>
      <c r="CI245" s="21" t="str">
        <f ca="1">IFERROR(VLOOKUP(BD245,OFFSET(abbreviation[],0,ColumnLanguage),ColumnAbbreviation,FALSE),"")</f>
        <v/>
      </c>
      <c r="CJ245" s="21" t="str">
        <f ca="1">IFERROR(VLOOKUP(BF245,OFFSET(abbreviation[],0,ColumnLanguage),ColumnAbbreviation,FALSE),"")</f>
        <v/>
      </c>
      <c r="CK245" s="21" t="str">
        <f t="shared" ca="1" si="25"/>
        <v/>
      </c>
      <c r="CL245" s="21" t="str">
        <f t="shared" si="26"/>
        <v/>
      </c>
      <c r="CM245" s="52"/>
      <c r="CN245" s="57" t="str">
        <f t="shared" si="27"/>
        <v/>
      </c>
    </row>
    <row r="246" spans="14:92" x14ac:dyDescent="0.25">
      <c r="P246" s="60"/>
      <c r="Q246" s="13"/>
      <c r="V246" s="60"/>
      <c r="X246" s="61"/>
      <c r="AB246" s="60"/>
      <c r="AN246" s="54"/>
      <c r="AS246" s="15"/>
      <c r="BH246" s="52"/>
      <c r="BI246" s="21" t="str">
        <f ca="1">IFERROR(VLOOKUP(C246,OFFSET(abbreviation[],0,ColumnLanguage),ColumnAbbreviation,FALSE),"")</f>
        <v/>
      </c>
      <c r="BJ246" s="21" t="str">
        <f ca="1">IFERROR(VLOOKUP(E246,OFFSET(abbreviation[],0,ColumnLanguage),ColumnAbbreviation,FALSE),"")</f>
        <v/>
      </c>
      <c r="BK246" s="21" t="str">
        <f ca="1">IFERROR(VLOOKUP(G246,OFFSET(abbreviation[],0,ColumnLanguage),ColumnAbbreviation,FALSE),"")</f>
        <v/>
      </c>
      <c r="BL246" s="21" t="str">
        <f ca="1">IFERROR(VLOOKUP(I246,OFFSET(abbreviation[],0,ColumnLanguage),ColumnAbbreviation,FALSE),"")</f>
        <v/>
      </c>
      <c r="BM246" s="21" t="str">
        <f ca="1">IFERROR(VLOOKUP(K246,OFFSET(abbreviation[],0,ColumnLanguage),ColumnAbbreviation,FALSE),"")</f>
        <v/>
      </c>
      <c r="BN246" s="21" t="str">
        <f t="shared" ca="1" si="21"/>
        <v/>
      </c>
      <c r="BO246" s="21" t="str">
        <f ca="1">IFERROR(VLOOKUP(N246,OFFSET(abbreviation[],0,ColumnLanguage),ColumnAbbreviation,FALSE),"")</f>
        <v/>
      </c>
      <c r="BP246" s="21" t="str">
        <f ca="1">IFERROR(VLOOKUP(P246,OFFSET(abbreviation[],0,ColumnLanguage),ColumnAbbreviation,FALSE),"")</f>
        <v/>
      </c>
      <c r="BQ246" s="21" t="str">
        <f ca="1">IFERROR(VLOOKUP(T246,OFFSET(abbreviation[],0,ColumnLanguage),ColumnAbbreviation,FALSE),"")</f>
        <v/>
      </c>
      <c r="BR246" s="21" t="str">
        <f ca="1">IFERROR(VLOOKUP(V246,OFFSET(abbreviation[],0,ColumnLanguage),ColumnAbbreviation,FALSE),"")</f>
        <v/>
      </c>
      <c r="BS246" s="21" t="str">
        <f ca="1">IFERROR(VLOOKUP(Z246,OFFSET(abbreviation[],0,ColumnLanguage),ColumnAbbreviation,FALSE),"")</f>
        <v/>
      </c>
      <c r="BT246" s="21" t="str">
        <f ca="1">IFERROR(VLOOKUP(AB246,OFFSET(abbreviation[],0,ColumnLanguage),ColumnAbbreviation,FALSE),"")</f>
        <v/>
      </c>
      <c r="BU246" s="21" t="str">
        <f t="shared" ca="1" si="22"/>
        <v>__</v>
      </c>
      <c r="BV246" s="21" t="str">
        <f ca="1">IFERROR(VLOOKUP(AF246,OFFSET(abbreviation[],0,ColumnLanguage),ColumnAbbreviation,FALSE),"")</f>
        <v/>
      </c>
      <c r="BW246" s="21" t="str">
        <f ca="1">IFERROR(VLOOKUP(AH246,OFFSET(abbreviation[],0,ColumnLanguage),ColumnAbbreviation,FALSE),"")</f>
        <v/>
      </c>
      <c r="BX246" s="21" t="str">
        <f ca="1">IFERROR(VLOOKUP(AJ246,OFFSET(abbreviation[],0,ColumnLanguage),ColumnAbbreviation,FALSE),"")</f>
        <v/>
      </c>
      <c r="BY246" s="21" t="str">
        <f ca="1">IFERROR(VLOOKUP(AL246,OFFSET(abbreviation[],0,ColumnLanguage),ColumnAbbreviation,FALSE),"")</f>
        <v/>
      </c>
      <c r="BZ246" s="21" t="str">
        <f t="shared" ca="1" si="23"/>
        <v>_</v>
      </c>
      <c r="CA246" s="21" t="str">
        <f ca="1">IFERROR(VLOOKUP(AP246,OFFSET(abbreviation[],0,ColumnLanguage),ColumnAbbreviation,FALSE),"")</f>
        <v/>
      </c>
      <c r="CB246" s="21" t="str">
        <f ca="1">IFERROR(VLOOKUP(AR246,OFFSET(abbreviation[],0,ColumnLanguage),ColumnAbbreviation,FALSE),"")</f>
        <v/>
      </c>
      <c r="CC246" s="21" t="str">
        <f ca="1">IFERROR(VLOOKUP(AT246,OFFSET(abbreviation[],0,ColumnLanguage),ColumnAbbreviation,FALSE),"")</f>
        <v/>
      </c>
      <c r="CD246" s="21" t="str">
        <f ca="1">IFERROR(VLOOKUP(AV246,OFFSET(abbreviation[],0,ColumnLanguage),ColumnAbbreviation,FALSE),"")</f>
        <v/>
      </c>
      <c r="CE246" s="21" t="str">
        <f t="shared" ca="1" si="24"/>
        <v>__</v>
      </c>
      <c r="CF246" s="21" t="str">
        <f ca="1">IFERROR(VLOOKUP(AX246,OFFSET(abbreviation[],0,ColumnLanguage),ColumnAbbreviation,FALSE),"")</f>
        <v/>
      </c>
      <c r="CG246" s="21" t="str">
        <f ca="1">IFERROR(VLOOKUP(AZ246,OFFSET(abbreviation[],0,ColumnLanguage),ColumnAbbreviation,FALSE),"")</f>
        <v/>
      </c>
      <c r="CH246" s="21" t="str">
        <f ca="1">IFERROR(VLOOKUP(BB246,OFFSET(abbreviation[],0,ColumnLanguage),ColumnAbbreviation,FALSE),"")</f>
        <v/>
      </c>
      <c r="CI246" s="21" t="str">
        <f ca="1">IFERROR(VLOOKUP(BD246,OFFSET(abbreviation[],0,ColumnLanguage),ColumnAbbreviation,FALSE),"")</f>
        <v/>
      </c>
      <c r="CJ246" s="21" t="str">
        <f ca="1">IFERROR(VLOOKUP(BF246,OFFSET(abbreviation[],0,ColumnLanguage),ColumnAbbreviation,FALSE),"")</f>
        <v/>
      </c>
      <c r="CK246" s="21" t="str">
        <f t="shared" ca="1" si="25"/>
        <v/>
      </c>
      <c r="CL246" s="21" t="str">
        <f t="shared" si="26"/>
        <v/>
      </c>
      <c r="CM246" s="52"/>
      <c r="CN246" s="57" t="str">
        <f t="shared" si="27"/>
        <v/>
      </c>
    </row>
    <row r="247" spans="14:92" x14ac:dyDescent="0.25">
      <c r="P247" s="60"/>
      <c r="Q247" s="13"/>
      <c r="V247" s="60"/>
      <c r="X247" s="61"/>
      <c r="AB247" s="60"/>
      <c r="AN247" s="54"/>
      <c r="AS247" s="15"/>
      <c r="BH247" s="52"/>
      <c r="BI247" s="21" t="str">
        <f ca="1">IFERROR(VLOOKUP(C247,OFFSET(abbreviation[],0,ColumnLanguage),ColumnAbbreviation,FALSE),"")</f>
        <v/>
      </c>
      <c r="BJ247" s="21" t="str">
        <f ca="1">IFERROR(VLOOKUP(E247,OFFSET(abbreviation[],0,ColumnLanguage),ColumnAbbreviation,FALSE),"")</f>
        <v/>
      </c>
      <c r="BK247" s="21" t="str">
        <f ca="1">IFERROR(VLOOKUP(G247,OFFSET(abbreviation[],0,ColumnLanguage),ColumnAbbreviation,FALSE),"")</f>
        <v/>
      </c>
      <c r="BL247" s="21" t="str">
        <f ca="1">IFERROR(VLOOKUP(I247,OFFSET(abbreviation[],0,ColumnLanguage),ColumnAbbreviation,FALSE),"")</f>
        <v/>
      </c>
      <c r="BM247" s="21" t="str">
        <f ca="1">IFERROR(VLOOKUP(K247,OFFSET(abbreviation[],0,ColumnLanguage),ColumnAbbreviation,FALSE),"")</f>
        <v/>
      </c>
      <c r="BN247" s="21" t="str">
        <f t="shared" ca="1" si="21"/>
        <v/>
      </c>
      <c r="BO247" s="21" t="str">
        <f ca="1">IFERROR(VLOOKUP(N247,OFFSET(abbreviation[],0,ColumnLanguage),ColumnAbbreviation,FALSE),"")</f>
        <v/>
      </c>
      <c r="BP247" s="21" t="str">
        <f ca="1">IFERROR(VLOOKUP(P247,OFFSET(abbreviation[],0,ColumnLanguage),ColumnAbbreviation,FALSE),"")</f>
        <v/>
      </c>
      <c r="BQ247" s="21" t="str">
        <f ca="1">IFERROR(VLOOKUP(T247,OFFSET(abbreviation[],0,ColumnLanguage),ColumnAbbreviation,FALSE),"")</f>
        <v/>
      </c>
      <c r="BR247" s="21" t="str">
        <f ca="1">IFERROR(VLOOKUP(V247,OFFSET(abbreviation[],0,ColumnLanguage),ColumnAbbreviation,FALSE),"")</f>
        <v/>
      </c>
      <c r="BS247" s="21" t="str">
        <f ca="1">IFERROR(VLOOKUP(Z247,OFFSET(abbreviation[],0,ColumnLanguage),ColumnAbbreviation,FALSE),"")</f>
        <v/>
      </c>
      <c r="BT247" s="21" t="str">
        <f ca="1">IFERROR(VLOOKUP(AB247,OFFSET(abbreviation[],0,ColumnLanguage),ColumnAbbreviation,FALSE),"")</f>
        <v/>
      </c>
      <c r="BU247" s="21" t="str">
        <f t="shared" ca="1" si="22"/>
        <v>__</v>
      </c>
      <c r="BV247" s="21" t="str">
        <f ca="1">IFERROR(VLOOKUP(AF247,OFFSET(abbreviation[],0,ColumnLanguage),ColumnAbbreviation,FALSE),"")</f>
        <v/>
      </c>
      <c r="BW247" s="21" t="str">
        <f ca="1">IFERROR(VLOOKUP(AH247,OFFSET(abbreviation[],0,ColumnLanguage),ColumnAbbreviation,FALSE),"")</f>
        <v/>
      </c>
      <c r="BX247" s="21" t="str">
        <f ca="1">IFERROR(VLOOKUP(AJ247,OFFSET(abbreviation[],0,ColumnLanguage),ColumnAbbreviation,FALSE),"")</f>
        <v/>
      </c>
      <c r="BY247" s="21" t="str">
        <f ca="1">IFERROR(VLOOKUP(AL247,OFFSET(abbreviation[],0,ColumnLanguage),ColumnAbbreviation,FALSE),"")</f>
        <v/>
      </c>
      <c r="BZ247" s="21" t="str">
        <f t="shared" ca="1" si="23"/>
        <v>_</v>
      </c>
      <c r="CA247" s="21" t="str">
        <f ca="1">IFERROR(VLOOKUP(AP247,OFFSET(abbreviation[],0,ColumnLanguage),ColumnAbbreviation,FALSE),"")</f>
        <v/>
      </c>
      <c r="CB247" s="21" t="str">
        <f ca="1">IFERROR(VLOOKUP(AR247,OFFSET(abbreviation[],0,ColumnLanguage),ColumnAbbreviation,FALSE),"")</f>
        <v/>
      </c>
      <c r="CC247" s="21" t="str">
        <f ca="1">IFERROR(VLOOKUP(AT247,OFFSET(abbreviation[],0,ColumnLanguage),ColumnAbbreviation,FALSE),"")</f>
        <v/>
      </c>
      <c r="CD247" s="21" t="str">
        <f ca="1">IFERROR(VLOOKUP(AV247,OFFSET(abbreviation[],0,ColumnLanguage),ColumnAbbreviation,FALSE),"")</f>
        <v/>
      </c>
      <c r="CE247" s="21" t="str">
        <f t="shared" ca="1" si="24"/>
        <v>__</v>
      </c>
      <c r="CF247" s="21" t="str">
        <f ca="1">IFERROR(VLOOKUP(AX247,OFFSET(abbreviation[],0,ColumnLanguage),ColumnAbbreviation,FALSE),"")</f>
        <v/>
      </c>
      <c r="CG247" s="21" t="str">
        <f ca="1">IFERROR(VLOOKUP(AZ247,OFFSET(abbreviation[],0,ColumnLanguage),ColumnAbbreviation,FALSE),"")</f>
        <v/>
      </c>
      <c r="CH247" s="21" t="str">
        <f ca="1">IFERROR(VLOOKUP(BB247,OFFSET(abbreviation[],0,ColumnLanguage),ColumnAbbreviation,FALSE),"")</f>
        <v/>
      </c>
      <c r="CI247" s="21" t="str">
        <f ca="1">IFERROR(VLOOKUP(BD247,OFFSET(abbreviation[],0,ColumnLanguage),ColumnAbbreviation,FALSE),"")</f>
        <v/>
      </c>
      <c r="CJ247" s="21" t="str">
        <f ca="1">IFERROR(VLOOKUP(BF247,OFFSET(abbreviation[],0,ColumnLanguage),ColumnAbbreviation,FALSE),"")</f>
        <v/>
      </c>
      <c r="CK247" s="21" t="str">
        <f t="shared" ca="1" si="25"/>
        <v/>
      </c>
      <c r="CL247" s="21" t="str">
        <f t="shared" si="26"/>
        <v/>
      </c>
      <c r="CM247" s="52"/>
      <c r="CN247" s="57" t="str">
        <f t="shared" si="27"/>
        <v/>
      </c>
    </row>
    <row r="248" spans="14:92" x14ac:dyDescent="0.25">
      <c r="P248" s="60"/>
      <c r="Q248" s="13"/>
      <c r="V248" s="60"/>
      <c r="X248" s="61"/>
      <c r="AB248" s="60"/>
      <c r="AN248" s="54"/>
      <c r="AS248" s="15"/>
      <c r="BH248" s="52"/>
      <c r="BI248" s="21" t="str">
        <f ca="1">IFERROR(VLOOKUP(C248,OFFSET(abbreviation[],0,ColumnLanguage),ColumnAbbreviation,FALSE),"")</f>
        <v/>
      </c>
      <c r="BJ248" s="21" t="str">
        <f ca="1">IFERROR(VLOOKUP(E248,OFFSET(abbreviation[],0,ColumnLanguage),ColumnAbbreviation,FALSE),"")</f>
        <v/>
      </c>
      <c r="BK248" s="21" t="str">
        <f ca="1">IFERROR(VLOOKUP(G248,OFFSET(abbreviation[],0,ColumnLanguage),ColumnAbbreviation,FALSE),"")</f>
        <v/>
      </c>
      <c r="BL248" s="21" t="str">
        <f ca="1">IFERROR(VLOOKUP(I248,OFFSET(abbreviation[],0,ColumnLanguage),ColumnAbbreviation,FALSE),"")</f>
        <v/>
      </c>
      <c r="BM248" s="21" t="str">
        <f ca="1">IFERROR(VLOOKUP(K248,OFFSET(abbreviation[],0,ColumnLanguage),ColumnAbbreviation,FALSE),"")</f>
        <v/>
      </c>
      <c r="BN248" s="21" t="str">
        <f t="shared" ca="1" si="21"/>
        <v/>
      </c>
      <c r="BO248" s="21" t="str">
        <f ca="1">IFERROR(VLOOKUP(N248,OFFSET(abbreviation[],0,ColumnLanguage),ColumnAbbreviation,FALSE),"")</f>
        <v/>
      </c>
      <c r="BP248" s="21" t="str">
        <f ca="1">IFERROR(VLOOKUP(P248,OFFSET(abbreviation[],0,ColumnLanguage),ColumnAbbreviation,FALSE),"")</f>
        <v/>
      </c>
      <c r="BQ248" s="21" t="str">
        <f ca="1">IFERROR(VLOOKUP(T248,OFFSET(abbreviation[],0,ColumnLanguage),ColumnAbbreviation,FALSE),"")</f>
        <v/>
      </c>
      <c r="BR248" s="21" t="str">
        <f ca="1">IFERROR(VLOOKUP(V248,OFFSET(abbreviation[],0,ColumnLanguage),ColumnAbbreviation,FALSE),"")</f>
        <v/>
      </c>
      <c r="BS248" s="21" t="str">
        <f ca="1">IFERROR(VLOOKUP(Z248,OFFSET(abbreviation[],0,ColumnLanguage),ColumnAbbreviation,FALSE),"")</f>
        <v/>
      </c>
      <c r="BT248" s="21" t="str">
        <f ca="1">IFERROR(VLOOKUP(AB248,OFFSET(abbreviation[],0,ColumnLanguage),ColumnAbbreviation,FALSE),"")</f>
        <v/>
      </c>
      <c r="BU248" s="21" t="str">
        <f t="shared" ca="1" si="22"/>
        <v>__</v>
      </c>
      <c r="BV248" s="21" t="str">
        <f ca="1">IFERROR(VLOOKUP(AF248,OFFSET(abbreviation[],0,ColumnLanguage),ColumnAbbreviation,FALSE),"")</f>
        <v/>
      </c>
      <c r="BW248" s="21" t="str">
        <f ca="1">IFERROR(VLOOKUP(AH248,OFFSET(abbreviation[],0,ColumnLanguage),ColumnAbbreviation,FALSE),"")</f>
        <v/>
      </c>
      <c r="BX248" s="21" t="str">
        <f ca="1">IFERROR(VLOOKUP(AJ248,OFFSET(abbreviation[],0,ColumnLanguage),ColumnAbbreviation,FALSE),"")</f>
        <v/>
      </c>
      <c r="BY248" s="21" t="str">
        <f ca="1">IFERROR(VLOOKUP(AL248,OFFSET(abbreviation[],0,ColumnLanguage),ColumnAbbreviation,FALSE),"")</f>
        <v/>
      </c>
      <c r="BZ248" s="21" t="str">
        <f t="shared" ca="1" si="23"/>
        <v>_</v>
      </c>
      <c r="CA248" s="21" t="str">
        <f ca="1">IFERROR(VLOOKUP(AP248,OFFSET(abbreviation[],0,ColumnLanguage),ColumnAbbreviation,FALSE),"")</f>
        <v/>
      </c>
      <c r="CB248" s="21" t="str">
        <f ca="1">IFERROR(VLOOKUP(AR248,OFFSET(abbreviation[],0,ColumnLanguage),ColumnAbbreviation,FALSE),"")</f>
        <v/>
      </c>
      <c r="CC248" s="21" t="str">
        <f ca="1">IFERROR(VLOOKUP(AT248,OFFSET(abbreviation[],0,ColumnLanguage),ColumnAbbreviation,FALSE),"")</f>
        <v/>
      </c>
      <c r="CD248" s="21" t="str">
        <f ca="1">IFERROR(VLOOKUP(AV248,OFFSET(abbreviation[],0,ColumnLanguage),ColumnAbbreviation,FALSE),"")</f>
        <v/>
      </c>
      <c r="CE248" s="21" t="str">
        <f t="shared" ca="1" si="24"/>
        <v>__</v>
      </c>
      <c r="CF248" s="21" t="str">
        <f ca="1">IFERROR(VLOOKUP(AX248,OFFSET(abbreviation[],0,ColumnLanguage),ColumnAbbreviation,FALSE),"")</f>
        <v/>
      </c>
      <c r="CG248" s="21" t="str">
        <f ca="1">IFERROR(VLOOKUP(AZ248,OFFSET(abbreviation[],0,ColumnLanguage),ColumnAbbreviation,FALSE),"")</f>
        <v/>
      </c>
      <c r="CH248" s="21" t="str">
        <f ca="1">IFERROR(VLOOKUP(BB248,OFFSET(abbreviation[],0,ColumnLanguage),ColumnAbbreviation,FALSE),"")</f>
        <v/>
      </c>
      <c r="CI248" s="21" t="str">
        <f ca="1">IFERROR(VLOOKUP(BD248,OFFSET(abbreviation[],0,ColumnLanguage),ColumnAbbreviation,FALSE),"")</f>
        <v/>
      </c>
      <c r="CJ248" s="21" t="str">
        <f ca="1">IFERROR(VLOOKUP(BF248,OFFSET(abbreviation[],0,ColumnLanguage),ColumnAbbreviation,FALSE),"")</f>
        <v/>
      </c>
      <c r="CK248" s="21" t="str">
        <f t="shared" ca="1" si="25"/>
        <v/>
      </c>
      <c r="CL248" s="21" t="str">
        <f t="shared" si="26"/>
        <v/>
      </c>
      <c r="CM248" s="52"/>
      <c r="CN248" s="57" t="str">
        <f t="shared" si="27"/>
        <v/>
      </c>
    </row>
    <row r="249" spans="14:92" x14ac:dyDescent="0.25">
      <c r="P249" s="60"/>
      <c r="Q249" s="13"/>
      <c r="V249" s="60"/>
      <c r="X249" s="61"/>
      <c r="AB249" s="60"/>
      <c r="AN249" s="54"/>
      <c r="AS249" s="15"/>
      <c r="BH249" s="52"/>
      <c r="BI249" s="21" t="str">
        <f ca="1">IFERROR(VLOOKUP(C249,OFFSET(abbreviation[],0,ColumnLanguage),ColumnAbbreviation,FALSE),"")</f>
        <v/>
      </c>
      <c r="BJ249" s="21" t="str">
        <f ca="1">IFERROR(VLOOKUP(E249,OFFSET(abbreviation[],0,ColumnLanguage),ColumnAbbreviation,FALSE),"")</f>
        <v/>
      </c>
      <c r="BK249" s="21" t="str">
        <f ca="1">IFERROR(VLOOKUP(G249,OFFSET(abbreviation[],0,ColumnLanguage),ColumnAbbreviation,FALSE),"")</f>
        <v/>
      </c>
      <c r="BL249" s="21" t="str">
        <f ca="1">IFERROR(VLOOKUP(I249,OFFSET(abbreviation[],0,ColumnLanguage),ColumnAbbreviation,FALSE),"")</f>
        <v/>
      </c>
      <c r="BM249" s="21" t="str">
        <f ca="1">IFERROR(VLOOKUP(K249,OFFSET(abbreviation[],0,ColumnLanguage),ColumnAbbreviation,FALSE),"")</f>
        <v/>
      </c>
      <c r="BN249" s="21" t="str">
        <f t="shared" ca="1" si="21"/>
        <v/>
      </c>
      <c r="BO249" s="21" t="str">
        <f ca="1">IFERROR(VLOOKUP(N249,OFFSET(abbreviation[],0,ColumnLanguage),ColumnAbbreviation,FALSE),"")</f>
        <v/>
      </c>
      <c r="BP249" s="21" t="str">
        <f ca="1">IFERROR(VLOOKUP(P249,OFFSET(abbreviation[],0,ColumnLanguage),ColumnAbbreviation,FALSE),"")</f>
        <v/>
      </c>
      <c r="BQ249" s="21" t="str">
        <f ca="1">IFERROR(VLOOKUP(T249,OFFSET(abbreviation[],0,ColumnLanguage),ColumnAbbreviation,FALSE),"")</f>
        <v/>
      </c>
      <c r="BR249" s="21" t="str">
        <f ca="1">IFERROR(VLOOKUP(V249,OFFSET(abbreviation[],0,ColumnLanguage),ColumnAbbreviation,FALSE),"")</f>
        <v/>
      </c>
      <c r="BS249" s="21" t="str">
        <f ca="1">IFERROR(VLOOKUP(Z249,OFFSET(abbreviation[],0,ColumnLanguage),ColumnAbbreviation,FALSE),"")</f>
        <v/>
      </c>
      <c r="BT249" s="21" t="str">
        <f ca="1">IFERROR(VLOOKUP(AB249,OFFSET(abbreviation[],0,ColumnLanguage),ColumnAbbreviation,FALSE),"")</f>
        <v/>
      </c>
      <c r="BU249" s="21" t="str">
        <f t="shared" ca="1" si="22"/>
        <v>__</v>
      </c>
      <c r="BV249" s="21" t="str">
        <f ca="1">IFERROR(VLOOKUP(AF249,OFFSET(abbreviation[],0,ColumnLanguage),ColumnAbbreviation,FALSE),"")</f>
        <v/>
      </c>
      <c r="BW249" s="21" t="str">
        <f ca="1">IFERROR(VLOOKUP(AH249,OFFSET(abbreviation[],0,ColumnLanguage),ColumnAbbreviation,FALSE),"")</f>
        <v/>
      </c>
      <c r="BX249" s="21" t="str">
        <f ca="1">IFERROR(VLOOKUP(AJ249,OFFSET(abbreviation[],0,ColumnLanguage),ColumnAbbreviation,FALSE),"")</f>
        <v/>
      </c>
      <c r="BY249" s="21" t="str">
        <f ca="1">IFERROR(VLOOKUP(AL249,OFFSET(abbreviation[],0,ColumnLanguage),ColumnAbbreviation,FALSE),"")</f>
        <v/>
      </c>
      <c r="BZ249" s="21" t="str">
        <f t="shared" ca="1" si="23"/>
        <v>_</v>
      </c>
      <c r="CA249" s="21" t="str">
        <f ca="1">IFERROR(VLOOKUP(AP249,OFFSET(abbreviation[],0,ColumnLanguage),ColumnAbbreviation,FALSE),"")</f>
        <v/>
      </c>
      <c r="CB249" s="21" t="str">
        <f ca="1">IFERROR(VLOOKUP(AR249,OFFSET(abbreviation[],0,ColumnLanguage),ColumnAbbreviation,FALSE),"")</f>
        <v/>
      </c>
      <c r="CC249" s="21" t="str">
        <f ca="1">IFERROR(VLOOKUP(AT249,OFFSET(abbreviation[],0,ColumnLanguage),ColumnAbbreviation,FALSE),"")</f>
        <v/>
      </c>
      <c r="CD249" s="21" t="str">
        <f ca="1">IFERROR(VLOOKUP(AV249,OFFSET(abbreviation[],0,ColumnLanguage),ColumnAbbreviation,FALSE),"")</f>
        <v/>
      </c>
      <c r="CE249" s="21" t="str">
        <f t="shared" ca="1" si="24"/>
        <v>__</v>
      </c>
      <c r="CF249" s="21" t="str">
        <f ca="1">IFERROR(VLOOKUP(AX249,OFFSET(abbreviation[],0,ColumnLanguage),ColumnAbbreviation,FALSE),"")</f>
        <v/>
      </c>
      <c r="CG249" s="21" t="str">
        <f ca="1">IFERROR(VLOOKUP(AZ249,OFFSET(abbreviation[],0,ColumnLanguage),ColumnAbbreviation,FALSE),"")</f>
        <v/>
      </c>
      <c r="CH249" s="21" t="str">
        <f ca="1">IFERROR(VLOOKUP(BB249,OFFSET(abbreviation[],0,ColumnLanguage),ColumnAbbreviation,FALSE),"")</f>
        <v/>
      </c>
      <c r="CI249" s="21" t="str">
        <f ca="1">IFERROR(VLOOKUP(BD249,OFFSET(abbreviation[],0,ColumnLanguage),ColumnAbbreviation,FALSE),"")</f>
        <v/>
      </c>
      <c r="CJ249" s="21" t="str">
        <f ca="1">IFERROR(VLOOKUP(BF249,OFFSET(abbreviation[],0,ColumnLanguage),ColumnAbbreviation,FALSE),"")</f>
        <v/>
      </c>
      <c r="CK249" s="21" t="str">
        <f t="shared" ca="1" si="25"/>
        <v/>
      </c>
      <c r="CL249" s="21" t="str">
        <f t="shared" si="26"/>
        <v/>
      </c>
      <c r="CM249" s="52"/>
      <c r="CN249" s="57" t="str">
        <f t="shared" si="27"/>
        <v/>
      </c>
    </row>
    <row r="250" spans="14:92" x14ac:dyDescent="0.25">
      <c r="P250" s="60"/>
      <c r="Q250" s="13"/>
      <c r="V250" s="60"/>
      <c r="X250" s="61"/>
      <c r="AB250" s="60"/>
      <c r="AN250" s="54"/>
      <c r="AS250" s="15"/>
      <c r="BH250" s="52"/>
      <c r="BI250" s="21" t="str">
        <f ca="1">IFERROR(VLOOKUP(C250,OFFSET(abbreviation[],0,ColumnLanguage),ColumnAbbreviation,FALSE),"")</f>
        <v/>
      </c>
      <c r="BJ250" s="21" t="str">
        <f ca="1">IFERROR(VLOOKUP(E250,OFFSET(abbreviation[],0,ColumnLanguage),ColumnAbbreviation,FALSE),"")</f>
        <v/>
      </c>
      <c r="BK250" s="21" t="str">
        <f ca="1">IFERROR(VLOOKUP(G250,OFFSET(abbreviation[],0,ColumnLanguage),ColumnAbbreviation,FALSE),"")</f>
        <v/>
      </c>
      <c r="BL250" s="21" t="str">
        <f ca="1">IFERROR(VLOOKUP(I250,OFFSET(abbreviation[],0,ColumnLanguage),ColumnAbbreviation,FALSE),"")</f>
        <v/>
      </c>
      <c r="BM250" s="21" t="str">
        <f ca="1">IFERROR(VLOOKUP(K250,OFFSET(abbreviation[],0,ColumnLanguage),ColumnAbbreviation,FALSE),"")</f>
        <v/>
      </c>
      <c r="BN250" s="21" t="str">
        <f t="shared" ca="1" si="21"/>
        <v/>
      </c>
      <c r="BO250" s="21" t="str">
        <f ca="1">IFERROR(VLOOKUP(N250,OFFSET(abbreviation[],0,ColumnLanguage),ColumnAbbreviation,FALSE),"")</f>
        <v/>
      </c>
      <c r="BP250" s="21" t="str">
        <f ca="1">IFERROR(VLOOKUP(P250,OFFSET(abbreviation[],0,ColumnLanguage),ColumnAbbreviation,FALSE),"")</f>
        <v/>
      </c>
      <c r="BQ250" s="21" t="str">
        <f ca="1">IFERROR(VLOOKUP(T250,OFFSET(abbreviation[],0,ColumnLanguage),ColumnAbbreviation,FALSE),"")</f>
        <v/>
      </c>
      <c r="BR250" s="21" t="str">
        <f ca="1">IFERROR(VLOOKUP(V250,OFFSET(abbreviation[],0,ColumnLanguage),ColumnAbbreviation,FALSE),"")</f>
        <v/>
      </c>
      <c r="BS250" s="21" t="str">
        <f ca="1">IFERROR(VLOOKUP(Z250,OFFSET(abbreviation[],0,ColumnLanguage),ColumnAbbreviation,FALSE),"")</f>
        <v/>
      </c>
      <c r="BT250" s="21" t="str">
        <f ca="1">IFERROR(VLOOKUP(AB250,OFFSET(abbreviation[],0,ColumnLanguage),ColumnAbbreviation,FALSE),"")</f>
        <v/>
      </c>
      <c r="BU250" s="21" t="str">
        <f t="shared" ca="1" si="22"/>
        <v>__</v>
      </c>
      <c r="BV250" s="21" t="str">
        <f ca="1">IFERROR(VLOOKUP(AF250,OFFSET(abbreviation[],0,ColumnLanguage),ColumnAbbreviation,FALSE),"")</f>
        <v/>
      </c>
      <c r="BW250" s="21" t="str">
        <f ca="1">IFERROR(VLOOKUP(AH250,OFFSET(abbreviation[],0,ColumnLanguage),ColumnAbbreviation,FALSE),"")</f>
        <v/>
      </c>
      <c r="BX250" s="21" t="str">
        <f ca="1">IFERROR(VLOOKUP(AJ250,OFFSET(abbreviation[],0,ColumnLanguage),ColumnAbbreviation,FALSE),"")</f>
        <v/>
      </c>
      <c r="BY250" s="21" t="str">
        <f ca="1">IFERROR(VLOOKUP(AL250,OFFSET(abbreviation[],0,ColumnLanguage),ColumnAbbreviation,FALSE),"")</f>
        <v/>
      </c>
      <c r="BZ250" s="21" t="str">
        <f t="shared" ca="1" si="23"/>
        <v>_</v>
      </c>
      <c r="CA250" s="21" t="str">
        <f ca="1">IFERROR(VLOOKUP(AP250,OFFSET(abbreviation[],0,ColumnLanguage),ColumnAbbreviation,FALSE),"")</f>
        <v/>
      </c>
      <c r="CB250" s="21" t="str">
        <f ca="1">IFERROR(VLOOKUP(AR250,OFFSET(abbreviation[],0,ColumnLanguage),ColumnAbbreviation,FALSE),"")</f>
        <v/>
      </c>
      <c r="CC250" s="21" t="str">
        <f ca="1">IFERROR(VLOOKUP(AT250,OFFSET(abbreviation[],0,ColumnLanguage),ColumnAbbreviation,FALSE),"")</f>
        <v/>
      </c>
      <c r="CD250" s="21" t="str">
        <f ca="1">IFERROR(VLOOKUP(AV250,OFFSET(abbreviation[],0,ColumnLanguage),ColumnAbbreviation,FALSE),"")</f>
        <v/>
      </c>
      <c r="CE250" s="21" t="str">
        <f t="shared" ca="1" si="24"/>
        <v>__</v>
      </c>
      <c r="CF250" s="21" t="str">
        <f ca="1">IFERROR(VLOOKUP(AX250,OFFSET(abbreviation[],0,ColumnLanguage),ColumnAbbreviation,FALSE),"")</f>
        <v/>
      </c>
      <c r="CG250" s="21" t="str">
        <f ca="1">IFERROR(VLOOKUP(AZ250,OFFSET(abbreviation[],0,ColumnLanguage),ColumnAbbreviation,FALSE),"")</f>
        <v/>
      </c>
      <c r="CH250" s="21" t="str">
        <f ca="1">IFERROR(VLOOKUP(BB250,OFFSET(abbreviation[],0,ColumnLanguage),ColumnAbbreviation,FALSE),"")</f>
        <v/>
      </c>
      <c r="CI250" s="21" t="str">
        <f ca="1">IFERROR(VLOOKUP(BD250,OFFSET(abbreviation[],0,ColumnLanguage),ColumnAbbreviation,FALSE),"")</f>
        <v/>
      </c>
      <c r="CJ250" s="21" t="str">
        <f ca="1">IFERROR(VLOOKUP(BF250,OFFSET(abbreviation[],0,ColumnLanguage),ColumnAbbreviation,FALSE),"")</f>
        <v/>
      </c>
      <c r="CK250" s="21" t="str">
        <f t="shared" ca="1" si="25"/>
        <v/>
      </c>
      <c r="CL250" s="21" t="str">
        <f t="shared" si="26"/>
        <v/>
      </c>
      <c r="CM250" s="52"/>
      <c r="CN250" s="57" t="str">
        <f t="shared" si="27"/>
        <v/>
      </c>
    </row>
    <row r="251" spans="14:92" x14ac:dyDescent="0.25">
      <c r="P251" s="60"/>
      <c r="Q251" s="13"/>
      <c r="V251" s="60"/>
      <c r="X251" s="61"/>
      <c r="AB251" s="60"/>
      <c r="AN251" s="54"/>
      <c r="AS251" s="15"/>
      <c r="BH251" s="52"/>
      <c r="BI251" s="21" t="str">
        <f ca="1">IFERROR(VLOOKUP(C251,OFFSET(abbreviation[],0,ColumnLanguage),ColumnAbbreviation,FALSE),"")</f>
        <v/>
      </c>
      <c r="BJ251" s="21" t="str">
        <f ca="1">IFERROR(VLOOKUP(E251,OFFSET(abbreviation[],0,ColumnLanguage),ColumnAbbreviation,FALSE),"")</f>
        <v/>
      </c>
      <c r="BK251" s="21" t="str">
        <f ca="1">IFERROR(VLOOKUP(G251,OFFSET(abbreviation[],0,ColumnLanguage),ColumnAbbreviation,FALSE),"")</f>
        <v/>
      </c>
      <c r="BL251" s="21" t="str">
        <f ca="1">IFERROR(VLOOKUP(I251,OFFSET(abbreviation[],0,ColumnLanguage),ColumnAbbreviation,FALSE),"")</f>
        <v/>
      </c>
      <c r="BM251" s="21" t="str">
        <f ca="1">IFERROR(VLOOKUP(K251,OFFSET(abbreviation[],0,ColumnLanguage),ColumnAbbreviation,FALSE),"")</f>
        <v/>
      </c>
      <c r="BN251" s="21" t="str">
        <f t="shared" ca="1" si="21"/>
        <v/>
      </c>
      <c r="BO251" s="21" t="str">
        <f ca="1">IFERROR(VLOOKUP(N251,OFFSET(abbreviation[],0,ColumnLanguage),ColumnAbbreviation,FALSE),"")</f>
        <v/>
      </c>
      <c r="BP251" s="21" t="str">
        <f ca="1">IFERROR(VLOOKUP(P251,OFFSET(abbreviation[],0,ColumnLanguage),ColumnAbbreviation,FALSE),"")</f>
        <v/>
      </c>
      <c r="BQ251" s="21" t="str">
        <f ca="1">IFERROR(VLOOKUP(T251,OFFSET(abbreviation[],0,ColumnLanguage),ColumnAbbreviation,FALSE),"")</f>
        <v/>
      </c>
      <c r="BR251" s="21" t="str">
        <f ca="1">IFERROR(VLOOKUP(V251,OFFSET(abbreviation[],0,ColumnLanguage),ColumnAbbreviation,FALSE),"")</f>
        <v/>
      </c>
      <c r="BS251" s="21" t="str">
        <f ca="1">IFERROR(VLOOKUP(Z251,OFFSET(abbreviation[],0,ColumnLanguage),ColumnAbbreviation,FALSE),"")</f>
        <v/>
      </c>
      <c r="BT251" s="21" t="str">
        <f ca="1">IFERROR(VLOOKUP(AB251,OFFSET(abbreviation[],0,ColumnLanguage),ColumnAbbreviation,FALSE),"")</f>
        <v/>
      </c>
      <c r="BU251" s="21" t="str">
        <f t="shared" ca="1" si="22"/>
        <v>__</v>
      </c>
      <c r="BV251" s="21" t="str">
        <f ca="1">IFERROR(VLOOKUP(AF251,OFFSET(abbreviation[],0,ColumnLanguage),ColumnAbbreviation,FALSE),"")</f>
        <v/>
      </c>
      <c r="BW251" s="21" t="str">
        <f ca="1">IFERROR(VLOOKUP(AH251,OFFSET(abbreviation[],0,ColumnLanguage),ColumnAbbreviation,FALSE),"")</f>
        <v/>
      </c>
      <c r="BX251" s="21" t="str">
        <f ca="1">IFERROR(VLOOKUP(AJ251,OFFSET(abbreviation[],0,ColumnLanguage),ColumnAbbreviation,FALSE),"")</f>
        <v/>
      </c>
      <c r="BY251" s="21" t="str">
        <f ca="1">IFERROR(VLOOKUP(AL251,OFFSET(abbreviation[],0,ColumnLanguage),ColumnAbbreviation,FALSE),"")</f>
        <v/>
      </c>
      <c r="BZ251" s="21" t="str">
        <f t="shared" ca="1" si="23"/>
        <v>_</v>
      </c>
      <c r="CA251" s="21" t="str">
        <f ca="1">IFERROR(VLOOKUP(AP251,OFFSET(abbreviation[],0,ColumnLanguage),ColumnAbbreviation,FALSE),"")</f>
        <v/>
      </c>
      <c r="CB251" s="21" t="str">
        <f ca="1">IFERROR(VLOOKUP(AR251,OFFSET(abbreviation[],0,ColumnLanguage),ColumnAbbreviation,FALSE),"")</f>
        <v/>
      </c>
      <c r="CC251" s="21" t="str">
        <f ca="1">IFERROR(VLOOKUP(AT251,OFFSET(abbreviation[],0,ColumnLanguage),ColumnAbbreviation,FALSE),"")</f>
        <v/>
      </c>
      <c r="CD251" s="21" t="str">
        <f ca="1">IFERROR(VLOOKUP(AV251,OFFSET(abbreviation[],0,ColumnLanguage),ColumnAbbreviation,FALSE),"")</f>
        <v/>
      </c>
      <c r="CE251" s="21" t="str">
        <f t="shared" ca="1" si="24"/>
        <v>__</v>
      </c>
      <c r="CF251" s="21" t="str">
        <f ca="1">IFERROR(VLOOKUP(AX251,OFFSET(abbreviation[],0,ColumnLanguage),ColumnAbbreviation,FALSE),"")</f>
        <v/>
      </c>
      <c r="CG251" s="21" t="str">
        <f ca="1">IFERROR(VLOOKUP(AZ251,OFFSET(abbreviation[],0,ColumnLanguage),ColumnAbbreviation,FALSE),"")</f>
        <v/>
      </c>
      <c r="CH251" s="21" t="str">
        <f ca="1">IFERROR(VLOOKUP(BB251,OFFSET(abbreviation[],0,ColumnLanguage),ColumnAbbreviation,FALSE),"")</f>
        <v/>
      </c>
      <c r="CI251" s="21" t="str">
        <f ca="1">IFERROR(VLOOKUP(BD251,OFFSET(abbreviation[],0,ColumnLanguage),ColumnAbbreviation,FALSE),"")</f>
        <v/>
      </c>
      <c r="CJ251" s="21" t="str">
        <f ca="1">IFERROR(VLOOKUP(BF251,OFFSET(abbreviation[],0,ColumnLanguage),ColumnAbbreviation,FALSE),"")</f>
        <v/>
      </c>
      <c r="CK251" s="21" t="str">
        <f t="shared" ca="1" si="25"/>
        <v/>
      </c>
      <c r="CL251" s="21" t="str">
        <f t="shared" si="26"/>
        <v/>
      </c>
      <c r="CM251" s="52"/>
      <c r="CN251" s="57" t="str">
        <f t="shared" si="27"/>
        <v/>
      </c>
    </row>
    <row r="252" spans="14:92" x14ac:dyDescent="0.25">
      <c r="P252" s="60"/>
      <c r="Q252" s="13"/>
      <c r="V252" s="60"/>
      <c r="X252" s="61"/>
      <c r="AB252" s="60"/>
      <c r="AN252" s="54"/>
      <c r="AS252" s="15"/>
      <c r="BH252" s="52"/>
      <c r="BI252" s="21" t="str">
        <f ca="1">IFERROR(VLOOKUP(C252,OFFSET(abbreviation[],0,ColumnLanguage),ColumnAbbreviation,FALSE),"")</f>
        <v/>
      </c>
      <c r="BJ252" s="21" t="str">
        <f ca="1">IFERROR(VLOOKUP(E252,OFFSET(abbreviation[],0,ColumnLanguage),ColumnAbbreviation,FALSE),"")</f>
        <v/>
      </c>
      <c r="BK252" s="21" t="str">
        <f ca="1">IFERROR(VLOOKUP(G252,OFFSET(abbreviation[],0,ColumnLanguage),ColumnAbbreviation,FALSE),"")</f>
        <v/>
      </c>
      <c r="BL252" s="21" t="str">
        <f ca="1">IFERROR(VLOOKUP(I252,OFFSET(abbreviation[],0,ColumnLanguage),ColumnAbbreviation,FALSE),"")</f>
        <v/>
      </c>
      <c r="BM252" s="21" t="str">
        <f ca="1">IFERROR(VLOOKUP(K252,OFFSET(abbreviation[],0,ColumnLanguage),ColumnAbbreviation,FALSE),"")</f>
        <v/>
      </c>
      <c r="BN252" s="21" t="str">
        <f t="shared" ca="1" si="21"/>
        <v/>
      </c>
      <c r="BO252" s="21" t="str">
        <f ca="1">IFERROR(VLOOKUP(N252,OFFSET(abbreviation[],0,ColumnLanguage),ColumnAbbreviation,FALSE),"")</f>
        <v/>
      </c>
      <c r="BP252" s="21" t="str">
        <f ca="1">IFERROR(VLOOKUP(P252,OFFSET(abbreviation[],0,ColumnLanguage),ColumnAbbreviation,FALSE),"")</f>
        <v/>
      </c>
      <c r="BQ252" s="21" t="str">
        <f ca="1">IFERROR(VLOOKUP(T252,OFFSET(abbreviation[],0,ColumnLanguage),ColumnAbbreviation,FALSE),"")</f>
        <v/>
      </c>
      <c r="BR252" s="21" t="str">
        <f ca="1">IFERROR(VLOOKUP(V252,OFFSET(abbreviation[],0,ColumnLanguage),ColumnAbbreviation,FALSE),"")</f>
        <v/>
      </c>
      <c r="BS252" s="21" t="str">
        <f ca="1">IFERROR(VLOOKUP(Z252,OFFSET(abbreviation[],0,ColumnLanguage),ColumnAbbreviation,FALSE),"")</f>
        <v/>
      </c>
      <c r="BT252" s="21" t="str">
        <f ca="1">IFERROR(VLOOKUP(AB252,OFFSET(abbreviation[],0,ColumnLanguage),ColumnAbbreviation,FALSE),"")</f>
        <v/>
      </c>
      <c r="BU252" s="21" t="str">
        <f t="shared" ca="1" si="22"/>
        <v>__</v>
      </c>
      <c r="BV252" s="21" t="str">
        <f ca="1">IFERROR(VLOOKUP(AF252,OFFSET(abbreviation[],0,ColumnLanguage),ColumnAbbreviation,FALSE),"")</f>
        <v/>
      </c>
      <c r="BW252" s="21" t="str">
        <f ca="1">IFERROR(VLOOKUP(AH252,OFFSET(abbreviation[],0,ColumnLanguage),ColumnAbbreviation,FALSE),"")</f>
        <v/>
      </c>
      <c r="BX252" s="21" t="str">
        <f ca="1">IFERROR(VLOOKUP(AJ252,OFFSET(abbreviation[],0,ColumnLanguage),ColumnAbbreviation,FALSE),"")</f>
        <v/>
      </c>
      <c r="BY252" s="21" t="str">
        <f ca="1">IFERROR(VLOOKUP(AL252,OFFSET(abbreviation[],0,ColumnLanguage),ColumnAbbreviation,FALSE),"")</f>
        <v/>
      </c>
      <c r="BZ252" s="21" t="str">
        <f t="shared" ca="1" si="23"/>
        <v>_</v>
      </c>
      <c r="CA252" s="21" t="str">
        <f ca="1">IFERROR(VLOOKUP(AP252,OFFSET(abbreviation[],0,ColumnLanguage),ColumnAbbreviation,FALSE),"")</f>
        <v/>
      </c>
      <c r="CB252" s="21" t="str">
        <f ca="1">IFERROR(VLOOKUP(AR252,OFFSET(abbreviation[],0,ColumnLanguage),ColumnAbbreviation,FALSE),"")</f>
        <v/>
      </c>
      <c r="CC252" s="21" t="str">
        <f ca="1">IFERROR(VLOOKUP(AT252,OFFSET(abbreviation[],0,ColumnLanguage),ColumnAbbreviation,FALSE),"")</f>
        <v/>
      </c>
      <c r="CD252" s="21" t="str">
        <f ca="1">IFERROR(VLOOKUP(AV252,OFFSET(abbreviation[],0,ColumnLanguage),ColumnAbbreviation,FALSE),"")</f>
        <v/>
      </c>
      <c r="CE252" s="21" t="str">
        <f t="shared" ca="1" si="24"/>
        <v>__</v>
      </c>
      <c r="CF252" s="21" t="str">
        <f ca="1">IFERROR(VLOOKUP(AX252,OFFSET(abbreviation[],0,ColumnLanguage),ColumnAbbreviation,FALSE),"")</f>
        <v/>
      </c>
      <c r="CG252" s="21" t="str">
        <f ca="1">IFERROR(VLOOKUP(AZ252,OFFSET(abbreviation[],0,ColumnLanguage),ColumnAbbreviation,FALSE),"")</f>
        <v/>
      </c>
      <c r="CH252" s="21" t="str">
        <f ca="1">IFERROR(VLOOKUP(BB252,OFFSET(abbreviation[],0,ColumnLanguage),ColumnAbbreviation,FALSE),"")</f>
        <v/>
      </c>
      <c r="CI252" s="21" t="str">
        <f ca="1">IFERROR(VLOOKUP(BD252,OFFSET(abbreviation[],0,ColumnLanguage),ColumnAbbreviation,FALSE),"")</f>
        <v/>
      </c>
      <c r="CJ252" s="21" t="str">
        <f ca="1">IFERROR(VLOOKUP(BF252,OFFSET(abbreviation[],0,ColumnLanguage),ColumnAbbreviation,FALSE),"")</f>
        <v/>
      </c>
      <c r="CK252" s="21" t="str">
        <f t="shared" ca="1" si="25"/>
        <v/>
      </c>
      <c r="CL252" s="21" t="str">
        <f t="shared" si="26"/>
        <v/>
      </c>
      <c r="CM252" s="52"/>
      <c r="CN252" s="57" t="str">
        <f t="shared" si="27"/>
        <v/>
      </c>
    </row>
    <row r="253" spans="14:92" x14ac:dyDescent="0.25">
      <c r="P253" s="60"/>
      <c r="Q253" s="13"/>
      <c r="V253" s="60"/>
      <c r="X253" s="61"/>
      <c r="AB253" s="60"/>
      <c r="AN253" s="54"/>
      <c r="AS253" s="15"/>
      <c r="BH253" s="52"/>
      <c r="BI253" s="21" t="str">
        <f ca="1">IFERROR(VLOOKUP(C253,OFFSET(abbreviation[],0,ColumnLanguage),ColumnAbbreviation,FALSE),"")</f>
        <v/>
      </c>
      <c r="BJ253" s="21" t="str">
        <f ca="1">IFERROR(VLOOKUP(E253,OFFSET(abbreviation[],0,ColumnLanguage),ColumnAbbreviation,FALSE),"")</f>
        <v/>
      </c>
      <c r="BK253" s="21" t="str">
        <f ca="1">IFERROR(VLOOKUP(G253,OFFSET(abbreviation[],0,ColumnLanguage),ColumnAbbreviation,FALSE),"")</f>
        <v/>
      </c>
      <c r="BL253" s="21" t="str">
        <f ca="1">IFERROR(VLOOKUP(I253,OFFSET(abbreviation[],0,ColumnLanguage),ColumnAbbreviation,FALSE),"")</f>
        <v/>
      </c>
      <c r="BM253" s="21" t="str">
        <f ca="1">IFERROR(VLOOKUP(K253,OFFSET(abbreviation[],0,ColumnLanguage),ColumnAbbreviation,FALSE),"")</f>
        <v/>
      </c>
      <c r="BN253" s="21" t="str">
        <f t="shared" ca="1" si="21"/>
        <v/>
      </c>
      <c r="BO253" s="21" t="str">
        <f ca="1">IFERROR(VLOOKUP(N253,OFFSET(abbreviation[],0,ColumnLanguage),ColumnAbbreviation,FALSE),"")</f>
        <v/>
      </c>
      <c r="BP253" s="21" t="str">
        <f ca="1">IFERROR(VLOOKUP(P253,OFFSET(abbreviation[],0,ColumnLanguage),ColumnAbbreviation,FALSE),"")</f>
        <v/>
      </c>
      <c r="BQ253" s="21" t="str">
        <f ca="1">IFERROR(VLOOKUP(T253,OFFSET(abbreviation[],0,ColumnLanguage),ColumnAbbreviation,FALSE),"")</f>
        <v/>
      </c>
      <c r="BR253" s="21" t="str">
        <f ca="1">IFERROR(VLOOKUP(V253,OFFSET(abbreviation[],0,ColumnLanguage),ColumnAbbreviation,FALSE),"")</f>
        <v/>
      </c>
      <c r="BS253" s="21" t="str">
        <f ca="1">IFERROR(VLOOKUP(Z253,OFFSET(abbreviation[],0,ColumnLanguage),ColumnAbbreviation,FALSE),"")</f>
        <v/>
      </c>
      <c r="BT253" s="21" t="str">
        <f ca="1">IFERROR(VLOOKUP(AB253,OFFSET(abbreviation[],0,ColumnLanguage),ColumnAbbreviation,FALSE),"")</f>
        <v/>
      </c>
      <c r="BU253" s="21" t="str">
        <f t="shared" ca="1" si="22"/>
        <v>__</v>
      </c>
      <c r="BV253" s="21" t="str">
        <f ca="1">IFERROR(VLOOKUP(AF253,OFFSET(abbreviation[],0,ColumnLanguage),ColumnAbbreviation,FALSE),"")</f>
        <v/>
      </c>
      <c r="BW253" s="21" t="str">
        <f ca="1">IFERROR(VLOOKUP(AH253,OFFSET(abbreviation[],0,ColumnLanguage),ColumnAbbreviation,FALSE),"")</f>
        <v/>
      </c>
      <c r="BX253" s="21" t="str">
        <f ca="1">IFERROR(VLOOKUP(AJ253,OFFSET(abbreviation[],0,ColumnLanguage),ColumnAbbreviation,FALSE),"")</f>
        <v/>
      </c>
      <c r="BY253" s="21" t="str">
        <f ca="1">IFERROR(VLOOKUP(AL253,OFFSET(abbreviation[],0,ColumnLanguage),ColumnAbbreviation,FALSE),"")</f>
        <v/>
      </c>
      <c r="BZ253" s="21" t="str">
        <f t="shared" ca="1" si="23"/>
        <v>_</v>
      </c>
      <c r="CA253" s="21" t="str">
        <f ca="1">IFERROR(VLOOKUP(AP253,OFFSET(abbreviation[],0,ColumnLanguage),ColumnAbbreviation,FALSE),"")</f>
        <v/>
      </c>
      <c r="CB253" s="21" t="str">
        <f ca="1">IFERROR(VLOOKUP(AR253,OFFSET(abbreviation[],0,ColumnLanguage),ColumnAbbreviation,FALSE),"")</f>
        <v/>
      </c>
      <c r="CC253" s="21" t="str">
        <f ca="1">IFERROR(VLOOKUP(AT253,OFFSET(abbreviation[],0,ColumnLanguage),ColumnAbbreviation,FALSE),"")</f>
        <v/>
      </c>
      <c r="CD253" s="21" t="str">
        <f ca="1">IFERROR(VLOOKUP(AV253,OFFSET(abbreviation[],0,ColumnLanguage),ColumnAbbreviation,FALSE),"")</f>
        <v/>
      </c>
      <c r="CE253" s="21" t="str">
        <f t="shared" ca="1" si="24"/>
        <v>__</v>
      </c>
      <c r="CF253" s="21" t="str">
        <f ca="1">IFERROR(VLOOKUP(AX253,OFFSET(abbreviation[],0,ColumnLanguage),ColumnAbbreviation,FALSE),"")</f>
        <v/>
      </c>
      <c r="CG253" s="21" t="str">
        <f ca="1">IFERROR(VLOOKUP(AZ253,OFFSET(abbreviation[],0,ColumnLanguage),ColumnAbbreviation,FALSE),"")</f>
        <v/>
      </c>
      <c r="CH253" s="21" t="str">
        <f ca="1">IFERROR(VLOOKUP(BB253,OFFSET(abbreviation[],0,ColumnLanguage),ColumnAbbreviation,FALSE),"")</f>
        <v/>
      </c>
      <c r="CI253" s="21" t="str">
        <f ca="1">IFERROR(VLOOKUP(BD253,OFFSET(abbreviation[],0,ColumnLanguage),ColumnAbbreviation,FALSE),"")</f>
        <v/>
      </c>
      <c r="CJ253" s="21" t="str">
        <f ca="1">IFERROR(VLOOKUP(BF253,OFFSET(abbreviation[],0,ColumnLanguage),ColumnAbbreviation,FALSE),"")</f>
        <v/>
      </c>
      <c r="CK253" s="21" t="str">
        <f t="shared" ca="1" si="25"/>
        <v/>
      </c>
      <c r="CL253" s="21" t="str">
        <f t="shared" si="26"/>
        <v/>
      </c>
      <c r="CM253" s="52"/>
      <c r="CN253" s="57" t="str">
        <f t="shared" si="27"/>
        <v/>
      </c>
    </row>
    <row r="254" spans="14:92" x14ac:dyDescent="0.25">
      <c r="P254" s="60"/>
      <c r="Q254" s="13"/>
      <c r="V254" s="60"/>
      <c r="X254" s="61"/>
      <c r="AB254" s="60"/>
      <c r="AN254" s="54"/>
      <c r="AS254" s="15"/>
      <c r="BH254" s="52"/>
      <c r="BI254" s="21" t="str">
        <f ca="1">IFERROR(VLOOKUP(C254,OFFSET(abbreviation[],0,ColumnLanguage),ColumnAbbreviation,FALSE),"")</f>
        <v/>
      </c>
      <c r="BJ254" s="21" t="str">
        <f ca="1">IFERROR(VLOOKUP(E254,OFFSET(abbreviation[],0,ColumnLanguage),ColumnAbbreviation,FALSE),"")</f>
        <v/>
      </c>
      <c r="BK254" s="21" t="str">
        <f ca="1">IFERROR(VLOOKUP(G254,OFFSET(abbreviation[],0,ColumnLanguage),ColumnAbbreviation,FALSE),"")</f>
        <v/>
      </c>
      <c r="BL254" s="21" t="str">
        <f ca="1">IFERROR(VLOOKUP(I254,OFFSET(abbreviation[],0,ColumnLanguage),ColumnAbbreviation,FALSE),"")</f>
        <v/>
      </c>
      <c r="BM254" s="21" t="str">
        <f ca="1">IFERROR(VLOOKUP(K254,OFFSET(abbreviation[],0,ColumnLanguage),ColumnAbbreviation,FALSE),"")</f>
        <v/>
      </c>
      <c r="BN254" s="21" t="str">
        <f t="shared" ca="1" si="21"/>
        <v/>
      </c>
      <c r="BO254" s="21" t="str">
        <f ca="1">IFERROR(VLOOKUP(N254,OFFSET(abbreviation[],0,ColumnLanguage),ColumnAbbreviation,FALSE),"")</f>
        <v/>
      </c>
      <c r="BP254" s="21" t="str">
        <f ca="1">IFERROR(VLOOKUP(P254,OFFSET(abbreviation[],0,ColumnLanguage),ColumnAbbreviation,FALSE),"")</f>
        <v/>
      </c>
      <c r="BQ254" s="21" t="str">
        <f ca="1">IFERROR(VLOOKUP(T254,OFFSET(abbreviation[],0,ColumnLanguage),ColumnAbbreviation,FALSE),"")</f>
        <v/>
      </c>
      <c r="BR254" s="21" t="str">
        <f ca="1">IFERROR(VLOOKUP(V254,OFFSET(abbreviation[],0,ColumnLanguage),ColumnAbbreviation,FALSE),"")</f>
        <v/>
      </c>
      <c r="BS254" s="21" t="str">
        <f ca="1">IFERROR(VLOOKUP(Z254,OFFSET(abbreviation[],0,ColumnLanguage),ColumnAbbreviation,FALSE),"")</f>
        <v/>
      </c>
      <c r="BT254" s="21" t="str">
        <f ca="1">IFERROR(VLOOKUP(AB254,OFFSET(abbreviation[],0,ColumnLanguage),ColumnAbbreviation,FALSE),"")</f>
        <v/>
      </c>
      <c r="BU254" s="21" t="str">
        <f t="shared" ca="1" si="22"/>
        <v>__</v>
      </c>
      <c r="BV254" s="21" t="str">
        <f ca="1">IFERROR(VLOOKUP(AF254,OFFSET(abbreviation[],0,ColumnLanguage),ColumnAbbreviation,FALSE),"")</f>
        <v/>
      </c>
      <c r="BW254" s="21" t="str">
        <f ca="1">IFERROR(VLOOKUP(AH254,OFFSET(abbreviation[],0,ColumnLanguage),ColumnAbbreviation,FALSE),"")</f>
        <v/>
      </c>
      <c r="BX254" s="21" t="str">
        <f ca="1">IFERROR(VLOOKUP(AJ254,OFFSET(abbreviation[],0,ColumnLanguage),ColumnAbbreviation,FALSE),"")</f>
        <v/>
      </c>
      <c r="BY254" s="21" t="str">
        <f ca="1">IFERROR(VLOOKUP(AL254,OFFSET(abbreviation[],0,ColumnLanguage),ColumnAbbreviation,FALSE),"")</f>
        <v/>
      </c>
      <c r="BZ254" s="21" t="str">
        <f t="shared" ca="1" si="23"/>
        <v>_</v>
      </c>
      <c r="CA254" s="21" t="str">
        <f ca="1">IFERROR(VLOOKUP(AP254,OFFSET(abbreviation[],0,ColumnLanguage),ColumnAbbreviation,FALSE),"")</f>
        <v/>
      </c>
      <c r="CB254" s="21" t="str">
        <f ca="1">IFERROR(VLOOKUP(AR254,OFFSET(abbreviation[],0,ColumnLanguage),ColumnAbbreviation,FALSE),"")</f>
        <v/>
      </c>
      <c r="CC254" s="21" t="str">
        <f ca="1">IFERROR(VLOOKUP(AT254,OFFSET(abbreviation[],0,ColumnLanguage),ColumnAbbreviation,FALSE),"")</f>
        <v/>
      </c>
      <c r="CD254" s="21" t="str">
        <f ca="1">IFERROR(VLOOKUP(AV254,OFFSET(abbreviation[],0,ColumnLanguage),ColumnAbbreviation,FALSE),"")</f>
        <v/>
      </c>
      <c r="CE254" s="21" t="str">
        <f t="shared" ca="1" si="24"/>
        <v>__</v>
      </c>
      <c r="CF254" s="21" t="str">
        <f ca="1">IFERROR(VLOOKUP(AX254,OFFSET(abbreviation[],0,ColumnLanguage),ColumnAbbreviation,FALSE),"")</f>
        <v/>
      </c>
      <c r="CG254" s="21" t="str">
        <f ca="1">IFERROR(VLOOKUP(AZ254,OFFSET(abbreviation[],0,ColumnLanguage),ColumnAbbreviation,FALSE),"")</f>
        <v/>
      </c>
      <c r="CH254" s="21" t="str">
        <f ca="1">IFERROR(VLOOKUP(BB254,OFFSET(abbreviation[],0,ColumnLanguage),ColumnAbbreviation,FALSE),"")</f>
        <v/>
      </c>
      <c r="CI254" s="21" t="str">
        <f ca="1">IFERROR(VLOOKUP(BD254,OFFSET(abbreviation[],0,ColumnLanguage),ColumnAbbreviation,FALSE),"")</f>
        <v/>
      </c>
      <c r="CJ254" s="21" t="str">
        <f ca="1">IFERROR(VLOOKUP(BF254,OFFSET(abbreviation[],0,ColumnLanguage),ColumnAbbreviation,FALSE),"")</f>
        <v/>
      </c>
      <c r="CK254" s="21" t="str">
        <f t="shared" ca="1" si="25"/>
        <v/>
      </c>
      <c r="CL254" s="21" t="str">
        <f t="shared" si="26"/>
        <v/>
      </c>
      <c r="CM254" s="52"/>
      <c r="CN254" s="57" t="str">
        <f t="shared" si="27"/>
        <v/>
      </c>
    </row>
    <row r="255" spans="14:92" x14ac:dyDescent="0.25">
      <c r="P255" s="60"/>
      <c r="Q255" s="13"/>
      <c r="V255" s="60"/>
      <c r="X255" s="61"/>
      <c r="AB255" s="60"/>
      <c r="AN255" s="54"/>
      <c r="AS255" s="15"/>
      <c r="BH255" s="52"/>
      <c r="BI255" s="21" t="str">
        <f ca="1">IFERROR(VLOOKUP(C255,OFFSET(abbreviation[],0,ColumnLanguage),ColumnAbbreviation,FALSE),"")</f>
        <v/>
      </c>
      <c r="BJ255" s="21" t="str">
        <f ca="1">IFERROR(VLOOKUP(E255,OFFSET(abbreviation[],0,ColumnLanguage),ColumnAbbreviation,FALSE),"")</f>
        <v/>
      </c>
      <c r="BK255" s="21" t="str">
        <f ca="1">IFERROR(VLOOKUP(G255,OFFSET(abbreviation[],0,ColumnLanguage),ColumnAbbreviation,FALSE),"")</f>
        <v/>
      </c>
      <c r="BL255" s="21" t="str">
        <f ca="1">IFERROR(VLOOKUP(I255,OFFSET(abbreviation[],0,ColumnLanguage),ColumnAbbreviation,FALSE),"")</f>
        <v/>
      </c>
      <c r="BM255" s="21" t="str">
        <f ca="1">IFERROR(VLOOKUP(K255,OFFSET(abbreviation[],0,ColumnLanguage),ColumnAbbreviation,FALSE),"")</f>
        <v/>
      </c>
      <c r="BN255" s="21" t="str">
        <f t="shared" ca="1" si="21"/>
        <v/>
      </c>
      <c r="BO255" s="21" t="str">
        <f ca="1">IFERROR(VLOOKUP(N255,OFFSET(abbreviation[],0,ColumnLanguage),ColumnAbbreviation,FALSE),"")</f>
        <v/>
      </c>
      <c r="BP255" s="21" t="str">
        <f ca="1">IFERROR(VLOOKUP(P255,OFFSET(abbreviation[],0,ColumnLanguage),ColumnAbbreviation,FALSE),"")</f>
        <v/>
      </c>
      <c r="BQ255" s="21" t="str">
        <f ca="1">IFERROR(VLOOKUP(T255,OFFSET(abbreviation[],0,ColumnLanguage),ColumnAbbreviation,FALSE),"")</f>
        <v/>
      </c>
      <c r="BR255" s="21" t="str">
        <f ca="1">IFERROR(VLOOKUP(V255,OFFSET(abbreviation[],0,ColumnLanguage),ColumnAbbreviation,FALSE),"")</f>
        <v/>
      </c>
      <c r="BS255" s="21" t="str">
        <f ca="1">IFERROR(VLOOKUP(Z255,OFFSET(abbreviation[],0,ColumnLanguage),ColumnAbbreviation,FALSE),"")</f>
        <v/>
      </c>
      <c r="BT255" s="21" t="str">
        <f ca="1">IFERROR(VLOOKUP(AB255,OFFSET(abbreviation[],0,ColumnLanguage),ColumnAbbreviation,FALSE),"")</f>
        <v/>
      </c>
      <c r="BU255" s="21" t="str">
        <f t="shared" ca="1" si="22"/>
        <v>__</v>
      </c>
      <c r="BV255" s="21" t="str">
        <f ca="1">IFERROR(VLOOKUP(AF255,OFFSET(abbreviation[],0,ColumnLanguage),ColumnAbbreviation,FALSE),"")</f>
        <v/>
      </c>
      <c r="BW255" s="21" t="str">
        <f ca="1">IFERROR(VLOOKUP(AH255,OFFSET(abbreviation[],0,ColumnLanguage),ColumnAbbreviation,FALSE),"")</f>
        <v/>
      </c>
      <c r="BX255" s="21" t="str">
        <f ca="1">IFERROR(VLOOKUP(AJ255,OFFSET(abbreviation[],0,ColumnLanguage),ColumnAbbreviation,FALSE),"")</f>
        <v/>
      </c>
      <c r="BY255" s="21" t="str">
        <f ca="1">IFERROR(VLOOKUP(AL255,OFFSET(abbreviation[],0,ColumnLanguage),ColumnAbbreviation,FALSE),"")</f>
        <v/>
      </c>
      <c r="BZ255" s="21" t="str">
        <f t="shared" ca="1" si="23"/>
        <v>_</v>
      </c>
      <c r="CA255" s="21" t="str">
        <f ca="1">IFERROR(VLOOKUP(AP255,OFFSET(abbreviation[],0,ColumnLanguage),ColumnAbbreviation,FALSE),"")</f>
        <v/>
      </c>
      <c r="CB255" s="21" t="str">
        <f ca="1">IFERROR(VLOOKUP(AR255,OFFSET(abbreviation[],0,ColumnLanguage),ColumnAbbreviation,FALSE),"")</f>
        <v/>
      </c>
      <c r="CC255" s="21" t="str">
        <f ca="1">IFERROR(VLOOKUP(AT255,OFFSET(abbreviation[],0,ColumnLanguage),ColumnAbbreviation,FALSE),"")</f>
        <v/>
      </c>
      <c r="CD255" s="21" t="str">
        <f ca="1">IFERROR(VLOOKUP(AV255,OFFSET(abbreviation[],0,ColumnLanguage),ColumnAbbreviation,FALSE),"")</f>
        <v/>
      </c>
      <c r="CE255" s="21" t="str">
        <f t="shared" ca="1" si="24"/>
        <v>__</v>
      </c>
      <c r="CF255" s="21" t="str">
        <f ca="1">IFERROR(VLOOKUP(AX255,OFFSET(abbreviation[],0,ColumnLanguage),ColumnAbbreviation,FALSE),"")</f>
        <v/>
      </c>
      <c r="CG255" s="21" t="str">
        <f ca="1">IFERROR(VLOOKUP(AZ255,OFFSET(abbreviation[],0,ColumnLanguage),ColumnAbbreviation,FALSE),"")</f>
        <v/>
      </c>
      <c r="CH255" s="21" t="str">
        <f ca="1">IFERROR(VLOOKUP(BB255,OFFSET(abbreviation[],0,ColumnLanguage),ColumnAbbreviation,FALSE),"")</f>
        <v/>
      </c>
      <c r="CI255" s="21" t="str">
        <f ca="1">IFERROR(VLOOKUP(BD255,OFFSET(abbreviation[],0,ColumnLanguage),ColumnAbbreviation,FALSE),"")</f>
        <v/>
      </c>
      <c r="CJ255" s="21" t="str">
        <f ca="1">IFERROR(VLOOKUP(BF255,OFFSET(abbreviation[],0,ColumnLanguage),ColumnAbbreviation,FALSE),"")</f>
        <v/>
      </c>
      <c r="CK255" s="21" t="str">
        <f t="shared" ca="1" si="25"/>
        <v/>
      </c>
      <c r="CL255" s="21" t="str">
        <f t="shared" si="26"/>
        <v/>
      </c>
      <c r="CM255" s="52"/>
      <c r="CN255" s="57" t="str">
        <f t="shared" si="27"/>
        <v/>
      </c>
    </row>
    <row r="256" spans="14:92" x14ac:dyDescent="0.25">
      <c r="P256" s="60"/>
      <c r="Q256" s="13"/>
      <c r="V256" s="60"/>
      <c r="X256" s="61"/>
      <c r="AB256" s="60"/>
      <c r="AN256" s="54"/>
      <c r="AS256" s="15"/>
      <c r="BH256" s="52"/>
      <c r="BI256" s="21" t="str">
        <f ca="1">IFERROR(VLOOKUP(C256,OFFSET(abbreviation[],0,ColumnLanguage),ColumnAbbreviation,FALSE),"")</f>
        <v/>
      </c>
      <c r="BJ256" s="21" t="str">
        <f ca="1">IFERROR(VLOOKUP(E256,OFFSET(abbreviation[],0,ColumnLanguage),ColumnAbbreviation,FALSE),"")</f>
        <v/>
      </c>
      <c r="BK256" s="21" t="str">
        <f ca="1">IFERROR(VLOOKUP(G256,OFFSET(abbreviation[],0,ColumnLanguage),ColumnAbbreviation,FALSE),"")</f>
        <v/>
      </c>
      <c r="BL256" s="21" t="str">
        <f ca="1">IFERROR(VLOOKUP(I256,OFFSET(abbreviation[],0,ColumnLanguage),ColumnAbbreviation,FALSE),"")</f>
        <v/>
      </c>
      <c r="BM256" s="21" t="str">
        <f ca="1">IFERROR(VLOOKUP(K256,OFFSET(abbreviation[],0,ColumnLanguage),ColumnAbbreviation,FALSE),"")</f>
        <v/>
      </c>
      <c r="BN256" s="21" t="str">
        <f t="shared" ca="1" si="21"/>
        <v/>
      </c>
      <c r="BO256" s="21" t="str">
        <f ca="1">IFERROR(VLOOKUP(N256,OFFSET(abbreviation[],0,ColumnLanguage),ColumnAbbreviation,FALSE),"")</f>
        <v/>
      </c>
      <c r="BP256" s="21" t="str">
        <f ca="1">IFERROR(VLOOKUP(P256,OFFSET(abbreviation[],0,ColumnLanguage),ColumnAbbreviation,FALSE),"")</f>
        <v/>
      </c>
      <c r="BQ256" s="21" t="str">
        <f ca="1">IFERROR(VLOOKUP(T256,OFFSET(abbreviation[],0,ColumnLanguage),ColumnAbbreviation,FALSE),"")</f>
        <v/>
      </c>
      <c r="BR256" s="21" t="str">
        <f ca="1">IFERROR(VLOOKUP(V256,OFFSET(abbreviation[],0,ColumnLanguage),ColumnAbbreviation,FALSE),"")</f>
        <v/>
      </c>
      <c r="BS256" s="21" t="str">
        <f ca="1">IFERROR(VLOOKUP(Z256,OFFSET(abbreviation[],0,ColumnLanguage),ColumnAbbreviation,FALSE),"")</f>
        <v/>
      </c>
      <c r="BT256" s="21" t="str">
        <f ca="1">IFERROR(VLOOKUP(AB256,OFFSET(abbreviation[],0,ColumnLanguage),ColumnAbbreviation,FALSE),"")</f>
        <v/>
      </c>
      <c r="BU256" s="21" t="str">
        <f t="shared" ca="1" si="22"/>
        <v>__</v>
      </c>
      <c r="BV256" s="21" t="str">
        <f ca="1">IFERROR(VLOOKUP(AF256,OFFSET(abbreviation[],0,ColumnLanguage),ColumnAbbreviation,FALSE),"")</f>
        <v/>
      </c>
      <c r="BW256" s="21" t="str">
        <f ca="1">IFERROR(VLOOKUP(AH256,OFFSET(abbreviation[],0,ColumnLanguage),ColumnAbbreviation,FALSE),"")</f>
        <v/>
      </c>
      <c r="BX256" s="21" t="str">
        <f ca="1">IFERROR(VLOOKUP(AJ256,OFFSET(abbreviation[],0,ColumnLanguage),ColumnAbbreviation,FALSE),"")</f>
        <v/>
      </c>
      <c r="BY256" s="21" t="str">
        <f ca="1">IFERROR(VLOOKUP(AL256,OFFSET(abbreviation[],0,ColumnLanguage),ColumnAbbreviation,FALSE),"")</f>
        <v/>
      </c>
      <c r="BZ256" s="21" t="str">
        <f t="shared" ca="1" si="23"/>
        <v>_</v>
      </c>
      <c r="CA256" s="21" t="str">
        <f ca="1">IFERROR(VLOOKUP(AP256,OFFSET(abbreviation[],0,ColumnLanguage),ColumnAbbreviation,FALSE),"")</f>
        <v/>
      </c>
      <c r="CB256" s="21" t="str">
        <f ca="1">IFERROR(VLOOKUP(AR256,OFFSET(abbreviation[],0,ColumnLanguage),ColumnAbbreviation,FALSE),"")</f>
        <v/>
      </c>
      <c r="CC256" s="21" t="str">
        <f ca="1">IFERROR(VLOOKUP(AT256,OFFSET(abbreviation[],0,ColumnLanguage),ColumnAbbreviation,FALSE),"")</f>
        <v/>
      </c>
      <c r="CD256" s="21" t="str">
        <f ca="1">IFERROR(VLOOKUP(AV256,OFFSET(abbreviation[],0,ColumnLanguage),ColumnAbbreviation,FALSE),"")</f>
        <v/>
      </c>
      <c r="CE256" s="21" t="str">
        <f t="shared" ca="1" si="24"/>
        <v>__</v>
      </c>
      <c r="CF256" s="21" t="str">
        <f ca="1">IFERROR(VLOOKUP(AX256,OFFSET(abbreviation[],0,ColumnLanguage),ColumnAbbreviation,FALSE),"")</f>
        <v/>
      </c>
      <c r="CG256" s="21" t="str">
        <f ca="1">IFERROR(VLOOKUP(AZ256,OFFSET(abbreviation[],0,ColumnLanguage),ColumnAbbreviation,FALSE),"")</f>
        <v/>
      </c>
      <c r="CH256" s="21" t="str">
        <f ca="1">IFERROR(VLOOKUP(BB256,OFFSET(abbreviation[],0,ColumnLanguage),ColumnAbbreviation,FALSE),"")</f>
        <v/>
      </c>
      <c r="CI256" s="21" t="str">
        <f ca="1">IFERROR(VLOOKUP(BD256,OFFSET(abbreviation[],0,ColumnLanguage),ColumnAbbreviation,FALSE),"")</f>
        <v/>
      </c>
      <c r="CJ256" s="21" t="str">
        <f ca="1">IFERROR(VLOOKUP(BF256,OFFSET(abbreviation[],0,ColumnLanguage),ColumnAbbreviation,FALSE),"")</f>
        <v/>
      </c>
      <c r="CK256" s="21" t="str">
        <f t="shared" ca="1" si="25"/>
        <v/>
      </c>
      <c r="CL256" s="21" t="str">
        <f t="shared" si="26"/>
        <v/>
      </c>
      <c r="CM256" s="52"/>
      <c r="CN256" s="57" t="str">
        <f t="shared" si="27"/>
        <v/>
      </c>
    </row>
    <row r="257" spans="16:92" x14ac:dyDescent="0.25">
      <c r="P257" s="60"/>
      <c r="Q257" s="13"/>
      <c r="V257" s="60"/>
      <c r="X257" s="61"/>
      <c r="AB257" s="60"/>
      <c r="AN257" s="54"/>
      <c r="AS257" s="15"/>
      <c r="BH257" s="52"/>
      <c r="BI257" s="21" t="str">
        <f ca="1">IFERROR(VLOOKUP(C257,OFFSET(abbreviation[],0,ColumnLanguage),ColumnAbbreviation,FALSE),"")</f>
        <v/>
      </c>
      <c r="BJ257" s="21" t="str">
        <f ca="1">IFERROR(VLOOKUP(E257,OFFSET(abbreviation[],0,ColumnLanguage),ColumnAbbreviation,FALSE),"")</f>
        <v/>
      </c>
      <c r="BK257" s="21" t="str">
        <f ca="1">IFERROR(VLOOKUP(G257,OFFSET(abbreviation[],0,ColumnLanguage),ColumnAbbreviation,FALSE),"")</f>
        <v/>
      </c>
      <c r="BL257" s="21" t="str">
        <f ca="1">IFERROR(VLOOKUP(I257,OFFSET(abbreviation[],0,ColumnLanguage),ColumnAbbreviation,FALSE),"")</f>
        <v/>
      </c>
      <c r="BM257" s="21" t="str">
        <f ca="1">IFERROR(VLOOKUP(K257,OFFSET(abbreviation[],0,ColumnLanguage),ColumnAbbreviation,FALSE),"")</f>
        <v/>
      </c>
      <c r="BN257" s="21" t="str">
        <f t="shared" ca="1" si="21"/>
        <v/>
      </c>
      <c r="BO257" s="21" t="str">
        <f ca="1">IFERROR(VLOOKUP(N257,OFFSET(abbreviation[],0,ColumnLanguage),ColumnAbbreviation,FALSE),"")</f>
        <v/>
      </c>
      <c r="BP257" s="21" t="str">
        <f ca="1">IFERROR(VLOOKUP(P257,OFFSET(abbreviation[],0,ColumnLanguage),ColumnAbbreviation,FALSE),"")</f>
        <v/>
      </c>
      <c r="BQ257" s="21" t="str">
        <f ca="1">IFERROR(VLOOKUP(T257,OFFSET(abbreviation[],0,ColumnLanguage),ColumnAbbreviation,FALSE),"")</f>
        <v/>
      </c>
      <c r="BR257" s="21" t="str">
        <f ca="1">IFERROR(VLOOKUP(V257,OFFSET(abbreviation[],0,ColumnLanguage),ColumnAbbreviation,FALSE),"")</f>
        <v/>
      </c>
      <c r="BS257" s="21" t="str">
        <f ca="1">IFERROR(VLOOKUP(Z257,OFFSET(abbreviation[],0,ColumnLanguage),ColumnAbbreviation,FALSE),"")</f>
        <v/>
      </c>
      <c r="BT257" s="21" t="str">
        <f ca="1">IFERROR(VLOOKUP(AB257,OFFSET(abbreviation[],0,ColumnLanguage),ColumnAbbreviation,FALSE),"")</f>
        <v/>
      </c>
      <c r="BU257" s="21" t="str">
        <f t="shared" ca="1" si="22"/>
        <v>__</v>
      </c>
      <c r="BV257" s="21" t="str">
        <f ca="1">IFERROR(VLOOKUP(AF257,OFFSET(abbreviation[],0,ColumnLanguage),ColumnAbbreviation,FALSE),"")</f>
        <v/>
      </c>
      <c r="BW257" s="21" t="str">
        <f ca="1">IFERROR(VLOOKUP(AH257,OFFSET(abbreviation[],0,ColumnLanguage),ColumnAbbreviation,FALSE),"")</f>
        <v/>
      </c>
      <c r="BX257" s="21" t="str">
        <f ca="1">IFERROR(VLOOKUP(AJ257,OFFSET(abbreviation[],0,ColumnLanguage),ColumnAbbreviation,FALSE),"")</f>
        <v/>
      </c>
      <c r="BY257" s="21" t="str">
        <f ca="1">IFERROR(VLOOKUP(AL257,OFFSET(abbreviation[],0,ColumnLanguage),ColumnAbbreviation,FALSE),"")</f>
        <v/>
      </c>
      <c r="BZ257" s="21" t="str">
        <f t="shared" ca="1" si="23"/>
        <v>_</v>
      </c>
      <c r="CA257" s="21" t="str">
        <f ca="1">IFERROR(VLOOKUP(AP257,OFFSET(abbreviation[],0,ColumnLanguage),ColumnAbbreviation,FALSE),"")</f>
        <v/>
      </c>
      <c r="CB257" s="21" t="str">
        <f ca="1">IFERROR(VLOOKUP(AR257,OFFSET(abbreviation[],0,ColumnLanguage),ColumnAbbreviation,FALSE),"")</f>
        <v/>
      </c>
      <c r="CC257" s="21" t="str">
        <f ca="1">IFERROR(VLOOKUP(AT257,OFFSET(abbreviation[],0,ColumnLanguage),ColumnAbbreviation,FALSE),"")</f>
        <v/>
      </c>
      <c r="CD257" s="21" t="str">
        <f ca="1">IFERROR(VLOOKUP(AV257,OFFSET(abbreviation[],0,ColumnLanguage),ColumnAbbreviation,FALSE),"")</f>
        <v/>
      </c>
      <c r="CE257" s="21" t="str">
        <f t="shared" ca="1" si="24"/>
        <v>__</v>
      </c>
      <c r="CF257" s="21" t="str">
        <f ca="1">IFERROR(VLOOKUP(AX257,OFFSET(abbreviation[],0,ColumnLanguage),ColumnAbbreviation,FALSE),"")</f>
        <v/>
      </c>
      <c r="CG257" s="21" t="str">
        <f ca="1">IFERROR(VLOOKUP(AZ257,OFFSET(abbreviation[],0,ColumnLanguage),ColumnAbbreviation,FALSE),"")</f>
        <v/>
      </c>
      <c r="CH257" s="21" t="str">
        <f ca="1">IFERROR(VLOOKUP(BB257,OFFSET(abbreviation[],0,ColumnLanguage),ColumnAbbreviation,FALSE),"")</f>
        <v/>
      </c>
      <c r="CI257" s="21" t="str">
        <f ca="1">IFERROR(VLOOKUP(BD257,OFFSET(abbreviation[],0,ColumnLanguage),ColumnAbbreviation,FALSE),"")</f>
        <v/>
      </c>
      <c r="CJ257" s="21" t="str">
        <f ca="1">IFERROR(VLOOKUP(BF257,OFFSET(abbreviation[],0,ColumnLanguage),ColumnAbbreviation,FALSE),"")</f>
        <v/>
      </c>
      <c r="CK257" s="21" t="str">
        <f t="shared" ca="1" si="25"/>
        <v/>
      </c>
      <c r="CL257" s="21" t="str">
        <f t="shared" si="26"/>
        <v/>
      </c>
      <c r="CM257" s="52"/>
      <c r="CN257" s="57" t="str">
        <f t="shared" si="27"/>
        <v/>
      </c>
    </row>
    <row r="258" spans="16:92" x14ac:dyDescent="0.25">
      <c r="P258" s="60"/>
      <c r="Q258" s="13"/>
      <c r="V258" s="60"/>
      <c r="X258" s="61"/>
      <c r="AB258" s="60"/>
      <c r="AN258" s="54"/>
      <c r="AS258" s="15"/>
      <c r="BH258" s="52"/>
      <c r="BI258" s="21" t="str">
        <f ca="1">IFERROR(VLOOKUP(C258,OFFSET(abbreviation[],0,ColumnLanguage),ColumnAbbreviation,FALSE),"")</f>
        <v/>
      </c>
      <c r="BJ258" s="21" t="str">
        <f ca="1">IFERROR(VLOOKUP(E258,OFFSET(abbreviation[],0,ColumnLanguage),ColumnAbbreviation,FALSE),"")</f>
        <v/>
      </c>
      <c r="BK258" s="21" t="str">
        <f ca="1">IFERROR(VLOOKUP(G258,OFFSET(abbreviation[],0,ColumnLanguage),ColumnAbbreviation,FALSE),"")</f>
        <v/>
      </c>
      <c r="BL258" s="21" t="str">
        <f ca="1">IFERROR(VLOOKUP(I258,OFFSET(abbreviation[],0,ColumnLanguage),ColumnAbbreviation,FALSE),"")</f>
        <v/>
      </c>
      <c r="BM258" s="21" t="str">
        <f ca="1">IFERROR(VLOOKUP(K258,OFFSET(abbreviation[],0,ColumnLanguage),ColumnAbbreviation,FALSE),"")</f>
        <v/>
      </c>
      <c r="BN258" s="21" t="str">
        <f t="shared" ca="1" si="21"/>
        <v/>
      </c>
      <c r="BO258" s="21" t="str">
        <f ca="1">IFERROR(VLOOKUP(N258,OFFSET(abbreviation[],0,ColumnLanguage),ColumnAbbreviation,FALSE),"")</f>
        <v/>
      </c>
      <c r="BP258" s="21" t="str">
        <f ca="1">IFERROR(VLOOKUP(P258,OFFSET(abbreviation[],0,ColumnLanguage),ColumnAbbreviation,FALSE),"")</f>
        <v/>
      </c>
      <c r="BQ258" s="21" t="str">
        <f ca="1">IFERROR(VLOOKUP(T258,OFFSET(abbreviation[],0,ColumnLanguage),ColumnAbbreviation,FALSE),"")</f>
        <v/>
      </c>
      <c r="BR258" s="21" t="str">
        <f ca="1">IFERROR(VLOOKUP(V258,OFFSET(abbreviation[],0,ColumnLanguage),ColumnAbbreviation,FALSE),"")</f>
        <v/>
      </c>
      <c r="BS258" s="21" t="str">
        <f ca="1">IFERROR(VLOOKUP(Z258,OFFSET(abbreviation[],0,ColumnLanguage),ColumnAbbreviation,FALSE),"")</f>
        <v/>
      </c>
      <c r="BT258" s="21" t="str">
        <f ca="1">IFERROR(VLOOKUP(AB258,OFFSET(abbreviation[],0,ColumnLanguage),ColumnAbbreviation,FALSE),"")</f>
        <v/>
      </c>
      <c r="BU258" s="21" t="str">
        <f t="shared" ca="1" si="22"/>
        <v>__</v>
      </c>
      <c r="BV258" s="21" t="str">
        <f ca="1">IFERROR(VLOOKUP(AF258,OFFSET(abbreviation[],0,ColumnLanguage),ColumnAbbreviation,FALSE),"")</f>
        <v/>
      </c>
      <c r="BW258" s="21" t="str">
        <f ca="1">IFERROR(VLOOKUP(AH258,OFFSET(abbreviation[],0,ColumnLanguage),ColumnAbbreviation,FALSE),"")</f>
        <v/>
      </c>
      <c r="BX258" s="21" t="str">
        <f ca="1">IFERROR(VLOOKUP(AJ258,OFFSET(abbreviation[],0,ColumnLanguage),ColumnAbbreviation,FALSE),"")</f>
        <v/>
      </c>
      <c r="BY258" s="21" t="str">
        <f ca="1">IFERROR(VLOOKUP(AL258,OFFSET(abbreviation[],0,ColumnLanguage),ColumnAbbreviation,FALSE),"")</f>
        <v/>
      </c>
      <c r="BZ258" s="21" t="str">
        <f t="shared" ca="1" si="23"/>
        <v>_</v>
      </c>
      <c r="CA258" s="21" t="str">
        <f ca="1">IFERROR(VLOOKUP(AP258,OFFSET(abbreviation[],0,ColumnLanguage),ColumnAbbreviation,FALSE),"")</f>
        <v/>
      </c>
      <c r="CB258" s="21" t="str">
        <f ca="1">IFERROR(VLOOKUP(AR258,OFFSET(abbreviation[],0,ColumnLanguage),ColumnAbbreviation,FALSE),"")</f>
        <v/>
      </c>
      <c r="CC258" s="21" t="str">
        <f ca="1">IFERROR(VLOOKUP(AT258,OFFSET(abbreviation[],0,ColumnLanguage),ColumnAbbreviation,FALSE),"")</f>
        <v/>
      </c>
      <c r="CD258" s="21" t="str">
        <f ca="1">IFERROR(VLOOKUP(AV258,OFFSET(abbreviation[],0,ColumnLanguage),ColumnAbbreviation,FALSE),"")</f>
        <v/>
      </c>
      <c r="CE258" s="21" t="str">
        <f t="shared" ca="1" si="24"/>
        <v>__</v>
      </c>
      <c r="CF258" s="21" t="str">
        <f ca="1">IFERROR(VLOOKUP(AX258,OFFSET(abbreviation[],0,ColumnLanguage),ColumnAbbreviation,FALSE),"")</f>
        <v/>
      </c>
      <c r="CG258" s="21" t="str">
        <f ca="1">IFERROR(VLOOKUP(AZ258,OFFSET(abbreviation[],0,ColumnLanguage),ColumnAbbreviation,FALSE),"")</f>
        <v/>
      </c>
      <c r="CH258" s="21" t="str">
        <f ca="1">IFERROR(VLOOKUP(BB258,OFFSET(abbreviation[],0,ColumnLanguage),ColumnAbbreviation,FALSE),"")</f>
        <v/>
      </c>
      <c r="CI258" s="21" t="str">
        <f ca="1">IFERROR(VLOOKUP(BD258,OFFSET(abbreviation[],0,ColumnLanguage),ColumnAbbreviation,FALSE),"")</f>
        <v/>
      </c>
      <c r="CJ258" s="21" t="str">
        <f ca="1">IFERROR(VLOOKUP(BF258,OFFSET(abbreviation[],0,ColumnLanguage),ColumnAbbreviation,FALSE),"")</f>
        <v/>
      </c>
      <c r="CK258" s="21" t="str">
        <f t="shared" ca="1" si="25"/>
        <v/>
      </c>
      <c r="CL258" s="21" t="str">
        <f t="shared" si="26"/>
        <v/>
      </c>
      <c r="CM258" s="52"/>
      <c r="CN258" s="57" t="str">
        <f t="shared" si="27"/>
        <v/>
      </c>
    </row>
    <row r="259" spans="16:92" x14ac:dyDescent="0.25">
      <c r="P259" s="60"/>
      <c r="Q259" s="13"/>
      <c r="V259" s="60"/>
      <c r="X259" s="61"/>
      <c r="AB259" s="60"/>
      <c r="AN259" s="54"/>
      <c r="AS259" s="15"/>
      <c r="BH259" s="52"/>
      <c r="BI259" s="21" t="str">
        <f ca="1">IFERROR(VLOOKUP(C259,OFFSET(abbreviation[],0,ColumnLanguage),ColumnAbbreviation,FALSE),"")</f>
        <v/>
      </c>
      <c r="BJ259" s="21" t="str">
        <f ca="1">IFERROR(VLOOKUP(E259,OFFSET(abbreviation[],0,ColumnLanguage),ColumnAbbreviation,FALSE),"")</f>
        <v/>
      </c>
      <c r="BK259" s="21" t="str">
        <f ca="1">IFERROR(VLOOKUP(G259,OFFSET(abbreviation[],0,ColumnLanguage),ColumnAbbreviation,FALSE),"")</f>
        <v/>
      </c>
      <c r="BL259" s="21" t="str">
        <f ca="1">IFERROR(VLOOKUP(I259,OFFSET(abbreviation[],0,ColumnLanguage),ColumnAbbreviation,FALSE),"")</f>
        <v/>
      </c>
      <c r="BM259" s="21" t="str">
        <f ca="1">IFERROR(VLOOKUP(K259,OFFSET(abbreviation[],0,ColumnLanguage),ColumnAbbreviation,FALSE),"")</f>
        <v/>
      </c>
      <c r="BN259" s="21" t="str">
        <f t="shared" ca="1" si="21"/>
        <v/>
      </c>
      <c r="BO259" s="21" t="str">
        <f ca="1">IFERROR(VLOOKUP(N259,OFFSET(abbreviation[],0,ColumnLanguage),ColumnAbbreviation,FALSE),"")</f>
        <v/>
      </c>
      <c r="BP259" s="21" t="str">
        <f ca="1">IFERROR(VLOOKUP(P259,OFFSET(abbreviation[],0,ColumnLanguage),ColumnAbbreviation,FALSE),"")</f>
        <v/>
      </c>
      <c r="BQ259" s="21" t="str">
        <f ca="1">IFERROR(VLOOKUP(T259,OFFSET(abbreviation[],0,ColumnLanguage),ColumnAbbreviation,FALSE),"")</f>
        <v/>
      </c>
      <c r="BR259" s="21" t="str">
        <f ca="1">IFERROR(VLOOKUP(V259,OFFSET(abbreviation[],0,ColumnLanguage),ColumnAbbreviation,FALSE),"")</f>
        <v/>
      </c>
      <c r="BS259" s="21" t="str">
        <f ca="1">IFERROR(VLOOKUP(Z259,OFFSET(abbreviation[],0,ColumnLanguage),ColumnAbbreviation,FALSE),"")</f>
        <v/>
      </c>
      <c r="BT259" s="21" t="str">
        <f ca="1">IFERROR(VLOOKUP(AB259,OFFSET(abbreviation[],0,ColumnLanguage),ColumnAbbreviation,FALSE),"")</f>
        <v/>
      </c>
      <c r="BU259" s="21" t="str">
        <f t="shared" ca="1" si="22"/>
        <v>__</v>
      </c>
      <c r="BV259" s="21" t="str">
        <f ca="1">IFERROR(VLOOKUP(AF259,OFFSET(abbreviation[],0,ColumnLanguage),ColumnAbbreviation,FALSE),"")</f>
        <v/>
      </c>
      <c r="BW259" s="21" t="str">
        <f ca="1">IFERROR(VLOOKUP(AH259,OFFSET(abbreviation[],0,ColumnLanguage),ColumnAbbreviation,FALSE),"")</f>
        <v/>
      </c>
      <c r="BX259" s="21" t="str">
        <f ca="1">IFERROR(VLOOKUP(AJ259,OFFSET(abbreviation[],0,ColumnLanguage),ColumnAbbreviation,FALSE),"")</f>
        <v/>
      </c>
      <c r="BY259" s="21" t="str">
        <f ca="1">IFERROR(VLOOKUP(AL259,OFFSET(abbreviation[],0,ColumnLanguage),ColumnAbbreviation,FALSE),"")</f>
        <v/>
      </c>
      <c r="BZ259" s="21" t="str">
        <f t="shared" ca="1" si="23"/>
        <v>_</v>
      </c>
      <c r="CA259" s="21" t="str">
        <f ca="1">IFERROR(VLOOKUP(AP259,OFFSET(abbreviation[],0,ColumnLanguage),ColumnAbbreviation,FALSE),"")</f>
        <v/>
      </c>
      <c r="CB259" s="21" t="str">
        <f ca="1">IFERROR(VLOOKUP(AR259,OFFSET(abbreviation[],0,ColumnLanguage),ColumnAbbreviation,FALSE),"")</f>
        <v/>
      </c>
      <c r="CC259" s="21" t="str">
        <f ca="1">IFERROR(VLOOKUP(AT259,OFFSET(abbreviation[],0,ColumnLanguage),ColumnAbbreviation,FALSE),"")</f>
        <v/>
      </c>
      <c r="CD259" s="21" t="str">
        <f ca="1">IFERROR(VLOOKUP(AV259,OFFSET(abbreviation[],0,ColumnLanguage),ColumnAbbreviation,FALSE),"")</f>
        <v/>
      </c>
      <c r="CE259" s="21" t="str">
        <f t="shared" ca="1" si="24"/>
        <v>__</v>
      </c>
      <c r="CF259" s="21" t="str">
        <f ca="1">IFERROR(VLOOKUP(AX259,OFFSET(abbreviation[],0,ColumnLanguage),ColumnAbbreviation,FALSE),"")</f>
        <v/>
      </c>
      <c r="CG259" s="21" t="str">
        <f ca="1">IFERROR(VLOOKUP(AZ259,OFFSET(abbreviation[],0,ColumnLanguage),ColumnAbbreviation,FALSE),"")</f>
        <v/>
      </c>
      <c r="CH259" s="21" t="str">
        <f ca="1">IFERROR(VLOOKUP(BB259,OFFSET(abbreviation[],0,ColumnLanguage),ColumnAbbreviation,FALSE),"")</f>
        <v/>
      </c>
      <c r="CI259" s="21" t="str">
        <f ca="1">IFERROR(VLOOKUP(BD259,OFFSET(abbreviation[],0,ColumnLanguage),ColumnAbbreviation,FALSE),"")</f>
        <v/>
      </c>
      <c r="CJ259" s="21" t="str">
        <f ca="1">IFERROR(VLOOKUP(BF259,OFFSET(abbreviation[],0,ColumnLanguage),ColumnAbbreviation,FALSE),"")</f>
        <v/>
      </c>
      <c r="CK259" s="21" t="str">
        <f t="shared" ca="1" si="25"/>
        <v/>
      </c>
      <c r="CL259" s="21" t="str">
        <f t="shared" si="26"/>
        <v/>
      </c>
      <c r="CM259" s="52"/>
      <c r="CN259" s="57" t="str">
        <f t="shared" si="27"/>
        <v/>
      </c>
    </row>
    <row r="260" spans="16:92" x14ac:dyDescent="0.25">
      <c r="P260" s="60"/>
      <c r="Q260" s="13"/>
      <c r="V260" s="60"/>
      <c r="X260" s="61"/>
      <c r="AB260" s="60"/>
      <c r="AN260" s="54"/>
      <c r="AS260" s="15"/>
      <c r="BH260" s="52"/>
      <c r="BI260" s="21" t="str">
        <f ca="1">IFERROR(VLOOKUP(C260,OFFSET(abbreviation[],0,ColumnLanguage),ColumnAbbreviation,FALSE),"")</f>
        <v/>
      </c>
      <c r="BJ260" s="21" t="str">
        <f ca="1">IFERROR(VLOOKUP(E260,OFFSET(abbreviation[],0,ColumnLanguage),ColumnAbbreviation,FALSE),"")</f>
        <v/>
      </c>
      <c r="BK260" s="21" t="str">
        <f ca="1">IFERROR(VLOOKUP(G260,OFFSET(abbreviation[],0,ColumnLanguage),ColumnAbbreviation,FALSE),"")</f>
        <v/>
      </c>
      <c r="BL260" s="21" t="str">
        <f ca="1">IFERROR(VLOOKUP(I260,OFFSET(abbreviation[],0,ColumnLanguage),ColumnAbbreviation,FALSE),"")</f>
        <v/>
      </c>
      <c r="BM260" s="21" t="str">
        <f ca="1">IFERROR(VLOOKUP(K260,OFFSET(abbreviation[],0,ColumnLanguage),ColumnAbbreviation,FALSE),"")</f>
        <v/>
      </c>
      <c r="BN260" s="21" t="str">
        <f t="shared" ref="BN260:BN323" ca="1" si="28">(BI260&amp;IF(OR(ISNUMBER(D260),ISTEXT(D260)),"-"&amp;D260,))&amp;(IF(ISTEXT(E260),"_",)&amp;BJ260&amp;IF(OR(ISNUMBER(F260),ISTEXT(F260)),"-"&amp;F260,))&amp;(IF(ISTEXT(G260),"_",)&amp;BK260&amp;IF(OR(ISNUMBER(H260),ISTEXT(H260)),"-"&amp;H260,))&amp;(IF(ISTEXT(I260),"_",)&amp;BL260&amp;IF(OR(ISNUMBER(J260),ISTEXT(J260)),"-"&amp;J260,))&amp;(IF(ISTEXT(K260),"_",)&amp;BM260&amp;IF(OR(ISNUMBER(L260),ISTEXT(L260)),"-"&amp;L260,)&amp;IF(AND(ISTEXT(BI260),BI260&lt;&gt;""),"_._",))</f>
        <v/>
      </c>
      <c r="BO260" s="21" t="str">
        <f ca="1">IFERROR(VLOOKUP(N260,OFFSET(abbreviation[],0,ColumnLanguage),ColumnAbbreviation,FALSE),"")</f>
        <v/>
      </c>
      <c r="BP260" s="21" t="str">
        <f ca="1">IFERROR(VLOOKUP(P260,OFFSET(abbreviation[],0,ColumnLanguage),ColumnAbbreviation,FALSE),"")</f>
        <v/>
      </c>
      <c r="BQ260" s="21" t="str">
        <f ca="1">IFERROR(VLOOKUP(T260,OFFSET(abbreviation[],0,ColumnLanguage),ColumnAbbreviation,FALSE),"")</f>
        <v/>
      </c>
      <c r="BR260" s="21" t="str">
        <f ca="1">IFERROR(VLOOKUP(V260,OFFSET(abbreviation[],0,ColumnLanguage),ColumnAbbreviation,FALSE),"")</f>
        <v/>
      </c>
      <c r="BS260" s="21" t="str">
        <f ca="1">IFERROR(VLOOKUP(Z260,OFFSET(abbreviation[],0,ColumnLanguage),ColumnAbbreviation,FALSE),"")</f>
        <v/>
      </c>
      <c r="BT260" s="21" t="str">
        <f ca="1">IFERROR(VLOOKUP(AB260,OFFSET(abbreviation[],0,ColumnLanguage),ColumnAbbreviation,FALSE),"")</f>
        <v/>
      </c>
      <c r="BU260" s="21" t="str">
        <f t="shared" ref="BU260:BU323" ca="1" si="29">(BO260&amp;IF(ISTEXT(P260),"."&amp;BP260,)&amp;IF(OR(ISTEXT(R260),ISNUMBER(R260)),"-"&amp;R260,))&amp;("_"&amp;BQ260&amp;IF(ISTEXT(V260),"."&amp;BR260,)&amp;IF(OR(ISTEXT(X260),ISNUMBER(X260)),"-"&amp;X260,))&amp;("_"&amp;BS260&amp;IF(ISTEXT(AB260),"."&amp;BT260,)&amp;IF(OR(ISTEXT(AD260),ISNUMBER(AD260)),"-"&amp;AD260,))</f>
        <v>__</v>
      </c>
      <c r="BV260" s="21" t="str">
        <f ca="1">IFERROR(VLOOKUP(AF260,OFFSET(abbreviation[],0,ColumnLanguage),ColumnAbbreviation,FALSE),"")</f>
        <v/>
      </c>
      <c r="BW260" s="21" t="str">
        <f ca="1">IFERROR(VLOOKUP(AH260,OFFSET(abbreviation[],0,ColumnLanguage),ColumnAbbreviation,FALSE),"")</f>
        <v/>
      </c>
      <c r="BX260" s="21" t="str">
        <f ca="1">IFERROR(VLOOKUP(AJ260,OFFSET(abbreviation[],0,ColumnLanguage),ColumnAbbreviation,FALSE),"")</f>
        <v/>
      </c>
      <c r="BY260" s="21" t="str">
        <f ca="1">IFERROR(VLOOKUP(AL260,OFFSET(abbreviation[],0,ColumnLanguage),ColumnAbbreviation,FALSE),"")</f>
        <v/>
      </c>
      <c r="BZ260" s="21" t="str">
        <f t="shared" ref="BZ260:BZ323" ca="1" si="30">("_"&amp;BV260&amp;IF(ISTEXT(AH260),"."&amp;BW260,)&amp;IF(ISTEXT(AJ260),"."&amp;BX260,)&amp;IF(ISTEXT(AL260),"."&amp;BY260,)&amp;IF(OR(ISTEXT(AN260),ISNUMBER(AN260)),"-"&amp;AN260,))</f>
        <v>_</v>
      </c>
      <c r="CA260" s="21" t="str">
        <f ca="1">IFERROR(VLOOKUP(AP260,OFFSET(abbreviation[],0,ColumnLanguage),ColumnAbbreviation,FALSE),"")</f>
        <v/>
      </c>
      <c r="CB260" s="21" t="str">
        <f ca="1">IFERROR(VLOOKUP(AR260,OFFSET(abbreviation[],0,ColumnLanguage),ColumnAbbreviation,FALSE),"")</f>
        <v/>
      </c>
      <c r="CC260" s="21" t="str">
        <f ca="1">IFERROR(VLOOKUP(AT260,OFFSET(abbreviation[],0,ColumnLanguage),ColumnAbbreviation,FALSE),"")</f>
        <v/>
      </c>
      <c r="CD260" s="21" t="str">
        <f ca="1">IFERROR(VLOOKUP(AV260,OFFSET(abbreviation[],0,ColumnLanguage),ColumnAbbreviation,FALSE),"")</f>
        <v/>
      </c>
      <c r="CE260" s="21" t="str">
        <f t="shared" ref="CE260:CE323" ca="1" si="31">("_"&amp;CA260&amp;IF(ISTEXT(AR260),"."&amp;CB260,)&amp;IF(ISTEXT(AT260),"."&amp;CC260,))&amp;"_"&amp;CD260</f>
        <v>__</v>
      </c>
      <c r="CF260" s="21" t="str">
        <f ca="1">IFERROR(VLOOKUP(AX260,OFFSET(abbreviation[],0,ColumnLanguage),ColumnAbbreviation,FALSE),"")</f>
        <v/>
      </c>
      <c r="CG260" s="21" t="str">
        <f ca="1">IFERROR(VLOOKUP(AZ260,OFFSET(abbreviation[],0,ColumnLanguage),ColumnAbbreviation,FALSE),"")</f>
        <v/>
      </c>
      <c r="CH260" s="21" t="str">
        <f ca="1">IFERROR(VLOOKUP(BB260,OFFSET(abbreviation[],0,ColumnLanguage),ColumnAbbreviation,FALSE),"")</f>
        <v/>
      </c>
      <c r="CI260" s="21" t="str">
        <f ca="1">IFERROR(VLOOKUP(BD260,OFFSET(abbreviation[],0,ColumnLanguage),ColumnAbbreviation,FALSE),"")</f>
        <v/>
      </c>
      <c r="CJ260" s="21" t="str">
        <f ca="1">IFERROR(VLOOKUP(BF260,OFFSET(abbreviation[],0,ColumnLanguage),ColumnAbbreviation,FALSE),"")</f>
        <v/>
      </c>
      <c r="CK260" s="21" t="str">
        <f t="shared" ref="CK260:CK323" ca="1" si="32">(IF(ISTEXT(AX260),"_._",""))&amp;(IF(ISTEXT(AX260),"_",)&amp;CF260&amp;IF(OR(ISNUMBER(AY260),ISTEXT(AY260)),"-"&amp;AY260,))&amp;(IF(ISTEXT(AZ260),"_",)&amp;CG260&amp;IF(OR(ISNUMBER(BA260),ISTEXT(BA260)),"-"&amp;BA260,))&amp;(IF(ISTEXT(BB260),"_",)&amp;CH260&amp;IF(OR(ISNUMBER(BC260),ISTEXT(BC260)),"-"&amp;BC260,))&amp;(IF(ISTEXT(BD260),"_",)&amp;CI260&amp;IF(OR(ISNUMBER(BE260),ISTEXT(BE260)),"-"&amp;BE260,))&amp;(IF(ISTEXT(BF260),"_",)&amp;CJ260&amp;IF(OR(ISNUMBER(BG260),ISTEXT(BG260)),"-"&amp;BG260,))</f>
        <v/>
      </c>
      <c r="CL260" s="21" t="str">
        <f t="shared" ref="CL260:CL323" si="33">IF(OR(N260&lt;&gt;"",T260&lt;&gt;"",C260&lt;&gt;"",A260&lt;&gt;""),(BN260&amp;BU260&amp;BZ260&amp;CE260&amp;CK260),"")</f>
        <v/>
      </c>
      <c r="CM260" s="52"/>
      <c r="CN260" s="57" t="str">
        <f t="shared" ref="CN260:CN323" si="34">CL260</f>
        <v/>
      </c>
    </row>
    <row r="261" spans="16:92" x14ac:dyDescent="0.25">
      <c r="P261" s="60"/>
      <c r="Q261" s="13"/>
      <c r="V261" s="60"/>
      <c r="X261" s="61"/>
      <c r="AB261" s="60"/>
      <c r="AN261" s="54"/>
      <c r="AS261" s="15"/>
      <c r="BH261" s="52"/>
      <c r="BI261" s="21" t="str">
        <f ca="1">IFERROR(VLOOKUP(C261,OFFSET(abbreviation[],0,ColumnLanguage),ColumnAbbreviation,FALSE),"")</f>
        <v/>
      </c>
      <c r="BJ261" s="21" t="str">
        <f ca="1">IFERROR(VLOOKUP(E261,OFFSET(abbreviation[],0,ColumnLanguage),ColumnAbbreviation,FALSE),"")</f>
        <v/>
      </c>
      <c r="BK261" s="21" t="str">
        <f ca="1">IFERROR(VLOOKUP(G261,OFFSET(abbreviation[],0,ColumnLanguage),ColumnAbbreviation,FALSE),"")</f>
        <v/>
      </c>
      <c r="BL261" s="21" t="str">
        <f ca="1">IFERROR(VLOOKUP(I261,OFFSET(abbreviation[],0,ColumnLanguage),ColumnAbbreviation,FALSE),"")</f>
        <v/>
      </c>
      <c r="BM261" s="21" t="str">
        <f ca="1">IFERROR(VLOOKUP(K261,OFFSET(abbreviation[],0,ColumnLanguage),ColumnAbbreviation,FALSE),"")</f>
        <v/>
      </c>
      <c r="BN261" s="21" t="str">
        <f t="shared" ca="1" si="28"/>
        <v/>
      </c>
      <c r="BO261" s="21" t="str">
        <f ca="1">IFERROR(VLOOKUP(N261,OFFSET(abbreviation[],0,ColumnLanguage),ColumnAbbreviation,FALSE),"")</f>
        <v/>
      </c>
      <c r="BP261" s="21" t="str">
        <f ca="1">IFERROR(VLOOKUP(P261,OFFSET(abbreviation[],0,ColumnLanguage),ColumnAbbreviation,FALSE),"")</f>
        <v/>
      </c>
      <c r="BQ261" s="21" t="str">
        <f ca="1">IFERROR(VLOOKUP(T261,OFFSET(abbreviation[],0,ColumnLanguage),ColumnAbbreviation,FALSE),"")</f>
        <v/>
      </c>
      <c r="BR261" s="21" t="str">
        <f ca="1">IFERROR(VLOOKUP(V261,OFFSET(abbreviation[],0,ColumnLanguage),ColumnAbbreviation,FALSE),"")</f>
        <v/>
      </c>
      <c r="BS261" s="21" t="str">
        <f ca="1">IFERROR(VLOOKUP(Z261,OFFSET(abbreviation[],0,ColumnLanguage),ColumnAbbreviation,FALSE),"")</f>
        <v/>
      </c>
      <c r="BT261" s="21" t="str">
        <f ca="1">IFERROR(VLOOKUP(AB261,OFFSET(abbreviation[],0,ColumnLanguage),ColumnAbbreviation,FALSE),"")</f>
        <v/>
      </c>
      <c r="BU261" s="21" t="str">
        <f t="shared" ca="1" si="29"/>
        <v>__</v>
      </c>
      <c r="BV261" s="21" t="str">
        <f ca="1">IFERROR(VLOOKUP(AF261,OFFSET(abbreviation[],0,ColumnLanguage),ColumnAbbreviation,FALSE),"")</f>
        <v/>
      </c>
      <c r="BW261" s="21" t="str">
        <f ca="1">IFERROR(VLOOKUP(AH261,OFFSET(abbreviation[],0,ColumnLanguage),ColumnAbbreviation,FALSE),"")</f>
        <v/>
      </c>
      <c r="BX261" s="21" t="str">
        <f ca="1">IFERROR(VLOOKUP(AJ261,OFFSET(abbreviation[],0,ColumnLanguage),ColumnAbbreviation,FALSE),"")</f>
        <v/>
      </c>
      <c r="BY261" s="21" t="str">
        <f ca="1">IFERROR(VLOOKUP(AL261,OFFSET(abbreviation[],0,ColumnLanguage),ColumnAbbreviation,FALSE),"")</f>
        <v/>
      </c>
      <c r="BZ261" s="21" t="str">
        <f t="shared" ca="1" si="30"/>
        <v>_</v>
      </c>
      <c r="CA261" s="21" t="str">
        <f ca="1">IFERROR(VLOOKUP(AP261,OFFSET(abbreviation[],0,ColumnLanguage),ColumnAbbreviation,FALSE),"")</f>
        <v/>
      </c>
      <c r="CB261" s="21" t="str">
        <f ca="1">IFERROR(VLOOKUP(AR261,OFFSET(abbreviation[],0,ColumnLanguage),ColumnAbbreviation,FALSE),"")</f>
        <v/>
      </c>
      <c r="CC261" s="21" t="str">
        <f ca="1">IFERROR(VLOOKUP(AT261,OFFSET(abbreviation[],0,ColumnLanguage),ColumnAbbreviation,FALSE),"")</f>
        <v/>
      </c>
      <c r="CD261" s="21" t="str">
        <f ca="1">IFERROR(VLOOKUP(AV261,OFFSET(abbreviation[],0,ColumnLanguage),ColumnAbbreviation,FALSE),"")</f>
        <v/>
      </c>
      <c r="CE261" s="21" t="str">
        <f t="shared" ca="1" si="31"/>
        <v>__</v>
      </c>
      <c r="CF261" s="21" t="str">
        <f ca="1">IFERROR(VLOOKUP(AX261,OFFSET(abbreviation[],0,ColumnLanguage),ColumnAbbreviation,FALSE),"")</f>
        <v/>
      </c>
      <c r="CG261" s="21" t="str">
        <f ca="1">IFERROR(VLOOKUP(AZ261,OFFSET(abbreviation[],0,ColumnLanguage),ColumnAbbreviation,FALSE),"")</f>
        <v/>
      </c>
      <c r="CH261" s="21" t="str">
        <f ca="1">IFERROR(VLOOKUP(BB261,OFFSET(abbreviation[],0,ColumnLanguage),ColumnAbbreviation,FALSE),"")</f>
        <v/>
      </c>
      <c r="CI261" s="21" t="str">
        <f ca="1">IFERROR(VLOOKUP(BD261,OFFSET(abbreviation[],0,ColumnLanguage),ColumnAbbreviation,FALSE),"")</f>
        <v/>
      </c>
      <c r="CJ261" s="21" t="str">
        <f ca="1">IFERROR(VLOOKUP(BF261,OFFSET(abbreviation[],0,ColumnLanguage),ColumnAbbreviation,FALSE),"")</f>
        <v/>
      </c>
      <c r="CK261" s="21" t="str">
        <f t="shared" ca="1" si="32"/>
        <v/>
      </c>
      <c r="CL261" s="21" t="str">
        <f t="shared" si="33"/>
        <v/>
      </c>
      <c r="CM261" s="52"/>
      <c r="CN261" s="57" t="str">
        <f t="shared" si="34"/>
        <v/>
      </c>
    </row>
    <row r="262" spans="16:92" x14ac:dyDescent="0.25">
      <c r="P262" s="60"/>
      <c r="Q262" s="13"/>
      <c r="V262" s="60"/>
      <c r="X262" s="61"/>
      <c r="AB262" s="60"/>
      <c r="AN262" s="54"/>
      <c r="AS262" s="15"/>
      <c r="BH262" s="52"/>
      <c r="BI262" s="21" t="str">
        <f ca="1">IFERROR(VLOOKUP(C262,OFFSET(abbreviation[],0,ColumnLanguage),ColumnAbbreviation,FALSE),"")</f>
        <v/>
      </c>
      <c r="BJ262" s="21" t="str">
        <f ca="1">IFERROR(VLOOKUP(E262,OFFSET(abbreviation[],0,ColumnLanguage),ColumnAbbreviation,FALSE),"")</f>
        <v/>
      </c>
      <c r="BK262" s="21" t="str">
        <f ca="1">IFERROR(VLOOKUP(G262,OFFSET(abbreviation[],0,ColumnLanguage),ColumnAbbreviation,FALSE),"")</f>
        <v/>
      </c>
      <c r="BL262" s="21" t="str">
        <f ca="1">IFERROR(VLOOKUP(I262,OFFSET(abbreviation[],0,ColumnLanguage),ColumnAbbreviation,FALSE),"")</f>
        <v/>
      </c>
      <c r="BM262" s="21" t="str">
        <f ca="1">IFERROR(VLOOKUP(K262,OFFSET(abbreviation[],0,ColumnLanguage),ColumnAbbreviation,FALSE),"")</f>
        <v/>
      </c>
      <c r="BN262" s="21" t="str">
        <f t="shared" ca="1" si="28"/>
        <v/>
      </c>
      <c r="BO262" s="21" t="str">
        <f ca="1">IFERROR(VLOOKUP(N262,OFFSET(abbreviation[],0,ColumnLanguage),ColumnAbbreviation,FALSE),"")</f>
        <v/>
      </c>
      <c r="BP262" s="21" t="str">
        <f ca="1">IFERROR(VLOOKUP(P262,OFFSET(abbreviation[],0,ColumnLanguage),ColumnAbbreviation,FALSE),"")</f>
        <v/>
      </c>
      <c r="BQ262" s="21" t="str">
        <f ca="1">IFERROR(VLOOKUP(T262,OFFSET(abbreviation[],0,ColumnLanguage),ColumnAbbreviation,FALSE),"")</f>
        <v/>
      </c>
      <c r="BR262" s="21" t="str">
        <f ca="1">IFERROR(VLOOKUP(V262,OFFSET(abbreviation[],0,ColumnLanguage),ColumnAbbreviation,FALSE),"")</f>
        <v/>
      </c>
      <c r="BS262" s="21" t="str">
        <f ca="1">IFERROR(VLOOKUP(Z262,OFFSET(abbreviation[],0,ColumnLanguage),ColumnAbbreviation,FALSE),"")</f>
        <v/>
      </c>
      <c r="BT262" s="21" t="str">
        <f ca="1">IFERROR(VLOOKUP(AB262,OFFSET(abbreviation[],0,ColumnLanguage),ColumnAbbreviation,FALSE),"")</f>
        <v/>
      </c>
      <c r="BU262" s="21" t="str">
        <f t="shared" ca="1" si="29"/>
        <v>__</v>
      </c>
      <c r="BV262" s="21" t="str">
        <f ca="1">IFERROR(VLOOKUP(AF262,OFFSET(abbreviation[],0,ColumnLanguage),ColumnAbbreviation,FALSE),"")</f>
        <v/>
      </c>
      <c r="BW262" s="21" t="str">
        <f ca="1">IFERROR(VLOOKUP(AH262,OFFSET(abbreviation[],0,ColumnLanguage),ColumnAbbreviation,FALSE),"")</f>
        <v/>
      </c>
      <c r="BX262" s="21" t="str">
        <f ca="1">IFERROR(VLOOKUP(AJ262,OFFSET(abbreviation[],0,ColumnLanguage),ColumnAbbreviation,FALSE),"")</f>
        <v/>
      </c>
      <c r="BY262" s="21" t="str">
        <f ca="1">IFERROR(VLOOKUP(AL262,OFFSET(abbreviation[],0,ColumnLanguage),ColumnAbbreviation,FALSE),"")</f>
        <v/>
      </c>
      <c r="BZ262" s="21" t="str">
        <f t="shared" ca="1" si="30"/>
        <v>_</v>
      </c>
      <c r="CA262" s="21" t="str">
        <f ca="1">IFERROR(VLOOKUP(AP262,OFFSET(abbreviation[],0,ColumnLanguage),ColumnAbbreviation,FALSE),"")</f>
        <v/>
      </c>
      <c r="CB262" s="21" t="str">
        <f ca="1">IFERROR(VLOOKUP(AR262,OFFSET(abbreviation[],0,ColumnLanguage),ColumnAbbreviation,FALSE),"")</f>
        <v/>
      </c>
      <c r="CC262" s="21" t="str">
        <f ca="1">IFERROR(VLOOKUP(AT262,OFFSET(abbreviation[],0,ColumnLanguage),ColumnAbbreviation,FALSE),"")</f>
        <v/>
      </c>
      <c r="CD262" s="21" t="str">
        <f ca="1">IFERROR(VLOOKUP(AV262,OFFSET(abbreviation[],0,ColumnLanguage),ColumnAbbreviation,FALSE),"")</f>
        <v/>
      </c>
      <c r="CE262" s="21" t="str">
        <f t="shared" ca="1" si="31"/>
        <v>__</v>
      </c>
      <c r="CF262" s="21" t="str">
        <f ca="1">IFERROR(VLOOKUP(AX262,OFFSET(abbreviation[],0,ColumnLanguage),ColumnAbbreviation,FALSE),"")</f>
        <v/>
      </c>
      <c r="CG262" s="21" t="str">
        <f ca="1">IFERROR(VLOOKUP(AZ262,OFFSET(abbreviation[],0,ColumnLanguage),ColumnAbbreviation,FALSE),"")</f>
        <v/>
      </c>
      <c r="CH262" s="21" t="str">
        <f ca="1">IFERROR(VLOOKUP(BB262,OFFSET(abbreviation[],0,ColumnLanguage),ColumnAbbreviation,FALSE),"")</f>
        <v/>
      </c>
      <c r="CI262" s="21" t="str">
        <f ca="1">IFERROR(VLOOKUP(BD262,OFFSET(abbreviation[],0,ColumnLanguage),ColumnAbbreviation,FALSE),"")</f>
        <v/>
      </c>
      <c r="CJ262" s="21" t="str">
        <f ca="1">IFERROR(VLOOKUP(BF262,OFFSET(abbreviation[],0,ColumnLanguage),ColumnAbbreviation,FALSE),"")</f>
        <v/>
      </c>
      <c r="CK262" s="21" t="str">
        <f t="shared" ca="1" si="32"/>
        <v/>
      </c>
      <c r="CL262" s="21" t="str">
        <f t="shared" si="33"/>
        <v/>
      </c>
      <c r="CM262" s="52"/>
      <c r="CN262" s="57" t="str">
        <f t="shared" si="34"/>
        <v/>
      </c>
    </row>
    <row r="263" spans="16:92" x14ac:dyDescent="0.25">
      <c r="P263" s="60"/>
      <c r="Q263" s="13"/>
      <c r="V263" s="60"/>
      <c r="X263" s="61"/>
      <c r="AB263" s="60"/>
      <c r="AN263" s="54"/>
      <c r="AS263" s="15"/>
      <c r="BH263" s="52"/>
      <c r="BI263" s="21" t="str">
        <f ca="1">IFERROR(VLOOKUP(C263,OFFSET(abbreviation[],0,ColumnLanguage),ColumnAbbreviation,FALSE),"")</f>
        <v/>
      </c>
      <c r="BJ263" s="21" t="str">
        <f ca="1">IFERROR(VLOOKUP(E263,OFFSET(abbreviation[],0,ColumnLanguage),ColumnAbbreviation,FALSE),"")</f>
        <v/>
      </c>
      <c r="BK263" s="21" t="str">
        <f ca="1">IFERROR(VLOOKUP(G263,OFFSET(abbreviation[],0,ColumnLanguage),ColumnAbbreviation,FALSE),"")</f>
        <v/>
      </c>
      <c r="BL263" s="21" t="str">
        <f ca="1">IFERROR(VLOOKUP(I263,OFFSET(abbreviation[],0,ColumnLanguage),ColumnAbbreviation,FALSE),"")</f>
        <v/>
      </c>
      <c r="BM263" s="21" t="str">
        <f ca="1">IFERROR(VLOOKUP(K263,OFFSET(abbreviation[],0,ColumnLanguage),ColumnAbbreviation,FALSE),"")</f>
        <v/>
      </c>
      <c r="BN263" s="21" t="str">
        <f t="shared" ca="1" si="28"/>
        <v/>
      </c>
      <c r="BO263" s="21" t="str">
        <f ca="1">IFERROR(VLOOKUP(N263,OFFSET(abbreviation[],0,ColumnLanguage),ColumnAbbreviation,FALSE),"")</f>
        <v/>
      </c>
      <c r="BP263" s="21" t="str">
        <f ca="1">IFERROR(VLOOKUP(P263,OFFSET(abbreviation[],0,ColumnLanguage),ColumnAbbreviation,FALSE),"")</f>
        <v/>
      </c>
      <c r="BQ263" s="21" t="str">
        <f ca="1">IFERROR(VLOOKUP(T263,OFFSET(abbreviation[],0,ColumnLanguage),ColumnAbbreviation,FALSE),"")</f>
        <v/>
      </c>
      <c r="BR263" s="21" t="str">
        <f ca="1">IFERROR(VLOOKUP(V263,OFFSET(abbreviation[],0,ColumnLanguage),ColumnAbbreviation,FALSE),"")</f>
        <v/>
      </c>
      <c r="BS263" s="21" t="str">
        <f ca="1">IFERROR(VLOOKUP(Z263,OFFSET(abbreviation[],0,ColumnLanguage),ColumnAbbreviation,FALSE),"")</f>
        <v/>
      </c>
      <c r="BT263" s="21" t="str">
        <f ca="1">IFERROR(VLOOKUP(AB263,OFFSET(abbreviation[],0,ColumnLanguage),ColumnAbbreviation,FALSE),"")</f>
        <v/>
      </c>
      <c r="BU263" s="21" t="str">
        <f t="shared" ca="1" si="29"/>
        <v>__</v>
      </c>
      <c r="BV263" s="21" t="str">
        <f ca="1">IFERROR(VLOOKUP(AF263,OFFSET(abbreviation[],0,ColumnLanguage),ColumnAbbreviation,FALSE),"")</f>
        <v/>
      </c>
      <c r="BW263" s="21" t="str">
        <f ca="1">IFERROR(VLOOKUP(AH263,OFFSET(abbreviation[],0,ColumnLanguage),ColumnAbbreviation,FALSE),"")</f>
        <v/>
      </c>
      <c r="BX263" s="21" t="str">
        <f ca="1">IFERROR(VLOOKUP(AJ263,OFFSET(abbreviation[],0,ColumnLanguage),ColumnAbbreviation,FALSE),"")</f>
        <v/>
      </c>
      <c r="BY263" s="21" t="str">
        <f ca="1">IFERROR(VLOOKUP(AL263,OFFSET(abbreviation[],0,ColumnLanguage),ColumnAbbreviation,FALSE),"")</f>
        <v/>
      </c>
      <c r="BZ263" s="21" t="str">
        <f t="shared" ca="1" si="30"/>
        <v>_</v>
      </c>
      <c r="CA263" s="21" t="str">
        <f ca="1">IFERROR(VLOOKUP(AP263,OFFSET(abbreviation[],0,ColumnLanguage),ColumnAbbreviation,FALSE),"")</f>
        <v/>
      </c>
      <c r="CB263" s="21" t="str">
        <f ca="1">IFERROR(VLOOKUP(AR263,OFFSET(abbreviation[],0,ColumnLanguage),ColumnAbbreviation,FALSE),"")</f>
        <v/>
      </c>
      <c r="CC263" s="21" t="str">
        <f ca="1">IFERROR(VLOOKUP(AT263,OFFSET(abbreviation[],0,ColumnLanguage),ColumnAbbreviation,FALSE),"")</f>
        <v/>
      </c>
      <c r="CD263" s="21" t="str">
        <f ca="1">IFERROR(VLOOKUP(AV263,OFFSET(abbreviation[],0,ColumnLanguage),ColumnAbbreviation,FALSE),"")</f>
        <v/>
      </c>
      <c r="CE263" s="21" t="str">
        <f t="shared" ca="1" si="31"/>
        <v>__</v>
      </c>
      <c r="CF263" s="21" t="str">
        <f ca="1">IFERROR(VLOOKUP(AX263,OFFSET(abbreviation[],0,ColumnLanguage),ColumnAbbreviation,FALSE),"")</f>
        <v/>
      </c>
      <c r="CG263" s="21" t="str">
        <f ca="1">IFERROR(VLOOKUP(AZ263,OFFSET(abbreviation[],0,ColumnLanguage),ColumnAbbreviation,FALSE),"")</f>
        <v/>
      </c>
      <c r="CH263" s="21" t="str">
        <f ca="1">IFERROR(VLOOKUP(BB263,OFFSET(abbreviation[],0,ColumnLanguage),ColumnAbbreviation,FALSE),"")</f>
        <v/>
      </c>
      <c r="CI263" s="21" t="str">
        <f ca="1">IFERROR(VLOOKUP(BD263,OFFSET(abbreviation[],0,ColumnLanguage),ColumnAbbreviation,FALSE),"")</f>
        <v/>
      </c>
      <c r="CJ263" s="21" t="str">
        <f ca="1">IFERROR(VLOOKUP(BF263,OFFSET(abbreviation[],0,ColumnLanguage),ColumnAbbreviation,FALSE),"")</f>
        <v/>
      </c>
      <c r="CK263" s="21" t="str">
        <f t="shared" ca="1" si="32"/>
        <v/>
      </c>
      <c r="CL263" s="21" t="str">
        <f t="shared" si="33"/>
        <v/>
      </c>
      <c r="CM263" s="52"/>
      <c r="CN263" s="57" t="str">
        <f t="shared" si="34"/>
        <v/>
      </c>
    </row>
    <row r="264" spans="16:92" x14ac:dyDescent="0.25">
      <c r="P264" s="60"/>
      <c r="Q264" s="13"/>
      <c r="V264" s="60"/>
      <c r="X264" s="61"/>
      <c r="AB264" s="60"/>
      <c r="AN264" s="54"/>
      <c r="AS264" s="15"/>
      <c r="BH264" s="52"/>
      <c r="BI264" s="21" t="str">
        <f ca="1">IFERROR(VLOOKUP(C264,OFFSET(abbreviation[],0,ColumnLanguage),ColumnAbbreviation,FALSE),"")</f>
        <v/>
      </c>
      <c r="BJ264" s="21" t="str">
        <f ca="1">IFERROR(VLOOKUP(E264,OFFSET(abbreviation[],0,ColumnLanguage),ColumnAbbreviation,FALSE),"")</f>
        <v/>
      </c>
      <c r="BK264" s="21" t="str">
        <f ca="1">IFERROR(VLOOKUP(G264,OFFSET(abbreviation[],0,ColumnLanguage),ColumnAbbreviation,FALSE),"")</f>
        <v/>
      </c>
      <c r="BL264" s="21" t="str">
        <f ca="1">IFERROR(VLOOKUP(I264,OFFSET(abbreviation[],0,ColumnLanguage),ColumnAbbreviation,FALSE),"")</f>
        <v/>
      </c>
      <c r="BM264" s="21" t="str">
        <f ca="1">IFERROR(VLOOKUP(K264,OFFSET(abbreviation[],0,ColumnLanguage),ColumnAbbreviation,FALSE),"")</f>
        <v/>
      </c>
      <c r="BN264" s="21" t="str">
        <f t="shared" ca="1" si="28"/>
        <v/>
      </c>
      <c r="BO264" s="21" t="str">
        <f ca="1">IFERROR(VLOOKUP(N264,OFFSET(abbreviation[],0,ColumnLanguage),ColumnAbbreviation,FALSE),"")</f>
        <v/>
      </c>
      <c r="BP264" s="21" t="str">
        <f ca="1">IFERROR(VLOOKUP(P264,OFFSET(abbreviation[],0,ColumnLanguage),ColumnAbbreviation,FALSE),"")</f>
        <v/>
      </c>
      <c r="BQ264" s="21" t="str">
        <f ca="1">IFERROR(VLOOKUP(T264,OFFSET(abbreviation[],0,ColumnLanguage),ColumnAbbreviation,FALSE),"")</f>
        <v/>
      </c>
      <c r="BR264" s="21" t="str">
        <f ca="1">IFERROR(VLOOKUP(V264,OFFSET(abbreviation[],0,ColumnLanguage),ColumnAbbreviation,FALSE),"")</f>
        <v/>
      </c>
      <c r="BS264" s="21" t="str">
        <f ca="1">IFERROR(VLOOKUP(Z264,OFFSET(abbreviation[],0,ColumnLanguage),ColumnAbbreviation,FALSE),"")</f>
        <v/>
      </c>
      <c r="BT264" s="21" t="str">
        <f ca="1">IFERROR(VLOOKUP(AB264,OFFSET(abbreviation[],0,ColumnLanguage),ColumnAbbreviation,FALSE),"")</f>
        <v/>
      </c>
      <c r="BU264" s="21" t="str">
        <f t="shared" ca="1" si="29"/>
        <v>__</v>
      </c>
      <c r="BV264" s="21" t="str">
        <f ca="1">IFERROR(VLOOKUP(AF264,OFFSET(abbreviation[],0,ColumnLanguage),ColumnAbbreviation,FALSE),"")</f>
        <v/>
      </c>
      <c r="BW264" s="21" t="str">
        <f ca="1">IFERROR(VLOOKUP(AH264,OFFSET(abbreviation[],0,ColumnLanguage),ColumnAbbreviation,FALSE),"")</f>
        <v/>
      </c>
      <c r="BX264" s="21" t="str">
        <f ca="1">IFERROR(VLOOKUP(AJ264,OFFSET(abbreviation[],0,ColumnLanguage),ColumnAbbreviation,FALSE),"")</f>
        <v/>
      </c>
      <c r="BY264" s="21" t="str">
        <f ca="1">IFERROR(VLOOKUP(AL264,OFFSET(abbreviation[],0,ColumnLanguage),ColumnAbbreviation,FALSE),"")</f>
        <v/>
      </c>
      <c r="BZ264" s="21" t="str">
        <f t="shared" ca="1" si="30"/>
        <v>_</v>
      </c>
      <c r="CA264" s="21" t="str">
        <f ca="1">IFERROR(VLOOKUP(AP264,OFFSET(abbreviation[],0,ColumnLanguage),ColumnAbbreviation,FALSE),"")</f>
        <v/>
      </c>
      <c r="CB264" s="21" t="str">
        <f ca="1">IFERROR(VLOOKUP(AR264,OFFSET(abbreviation[],0,ColumnLanguage),ColumnAbbreviation,FALSE),"")</f>
        <v/>
      </c>
      <c r="CC264" s="21" t="str">
        <f ca="1">IFERROR(VLOOKUP(AT264,OFFSET(abbreviation[],0,ColumnLanguage),ColumnAbbreviation,FALSE),"")</f>
        <v/>
      </c>
      <c r="CD264" s="21" t="str">
        <f ca="1">IFERROR(VLOOKUP(AV264,OFFSET(abbreviation[],0,ColumnLanguage),ColumnAbbreviation,FALSE),"")</f>
        <v/>
      </c>
      <c r="CE264" s="21" t="str">
        <f t="shared" ca="1" si="31"/>
        <v>__</v>
      </c>
      <c r="CF264" s="21" t="str">
        <f ca="1">IFERROR(VLOOKUP(AX264,OFFSET(abbreviation[],0,ColumnLanguage),ColumnAbbreviation,FALSE),"")</f>
        <v/>
      </c>
      <c r="CG264" s="21" t="str">
        <f ca="1">IFERROR(VLOOKUP(AZ264,OFFSET(abbreviation[],0,ColumnLanguage),ColumnAbbreviation,FALSE),"")</f>
        <v/>
      </c>
      <c r="CH264" s="21" t="str">
        <f ca="1">IFERROR(VLOOKUP(BB264,OFFSET(abbreviation[],0,ColumnLanguage),ColumnAbbreviation,FALSE),"")</f>
        <v/>
      </c>
      <c r="CI264" s="21" t="str">
        <f ca="1">IFERROR(VLOOKUP(BD264,OFFSET(abbreviation[],0,ColumnLanguage),ColumnAbbreviation,FALSE),"")</f>
        <v/>
      </c>
      <c r="CJ264" s="21" t="str">
        <f ca="1">IFERROR(VLOOKUP(BF264,OFFSET(abbreviation[],0,ColumnLanguage),ColumnAbbreviation,FALSE),"")</f>
        <v/>
      </c>
      <c r="CK264" s="21" t="str">
        <f t="shared" ca="1" si="32"/>
        <v/>
      </c>
      <c r="CL264" s="21" t="str">
        <f t="shared" si="33"/>
        <v/>
      </c>
      <c r="CM264" s="52"/>
      <c r="CN264" s="57" t="str">
        <f t="shared" si="34"/>
        <v/>
      </c>
    </row>
    <row r="265" spans="16:92" x14ac:dyDescent="0.25">
      <c r="P265" s="60"/>
      <c r="Q265" s="13"/>
      <c r="V265" s="60"/>
      <c r="X265" s="61"/>
      <c r="AB265" s="60"/>
      <c r="AN265" s="54"/>
      <c r="AS265" s="15"/>
      <c r="BH265" s="52"/>
      <c r="BI265" s="21" t="str">
        <f ca="1">IFERROR(VLOOKUP(C265,OFFSET(abbreviation[],0,ColumnLanguage),ColumnAbbreviation,FALSE),"")</f>
        <v/>
      </c>
      <c r="BJ265" s="21" t="str">
        <f ca="1">IFERROR(VLOOKUP(E265,OFFSET(abbreviation[],0,ColumnLanguage),ColumnAbbreviation,FALSE),"")</f>
        <v/>
      </c>
      <c r="BK265" s="21" t="str">
        <f ca="1">IFERROR(VLOOKUP(G265,OFFSET(abbreviation[],0,ColumnLanguage),ColumnAbbreviation,FALSE),"")</f>
        <v/>
      </c>
      <c r="BL265" s="21" t="str">
        <f ca="1">IFERROR(VLOOKUP(I265,OFFSET(abbreviation[],0,ColumnLanguage),ColumnAbbreviation,FALSE),"")</f>
        <v/>
      </c>
      <c r="BM265" s="21" t="str">
        <f ca="1">IFERROR(VLOOKUP(K265,OFFSET(abbreviation[],0,ColumnLanguage),ColumnAbbreviation,FALSE),"")</f>
        <v/>
      </c>
      <c r="BN265" s="21" t="str">
        <f t="shared" ca="1" si="28"/>
        <v/>
      </c>
      <c r="BO265" s="21" t="str">
        <f ca="1">IFERROR(VLOOKUP(N265,OFFSET(abbreviation[],0,ColumnLanguage),ColumnAbbreviation,FALSE),"")</f>
        <v/>
      </c>
      <c r="BP265" s="21" t="str">
        <f ca="1">IFERROR(VLOOKUP(P265,OFFSET(abbreviation[],0,ColumnLanguage),ColumnAbbreviation,FALSE),"")</f>
        <v/>
      </c>
      <c r="BQ265" s="21" t="str">
        <f ca="1">IFERROR(VLOOKUP(T265,OFFSET(abbreviation[],0,ColumnLanguage),ColumnAbbreviation,FALSE),"")</f>
        <v/>
      </c>
      <c r="BR265" s="21" t="str">
        <f ca="1">IFERROR(VLOOKUP(V265,OFFSET(abbreviation[],0,ColumnLanguage),ColumnAbbreviation,FALSE),"")</f>
        <v/>
      </c>
      <c r="BS265" s="21" t="str">
        <f ca="1">IFERROR(VLOOKUP(Z265,OFFSET(abbreviation[],0,ColumnLanguage),ColumnAbbreviation,FALSE),"")</f>
        <v/>
      </c>
      <c r="BT265" s="21" t="str">
        <f ca="1">IFERROR(VLOOKUP(AB265,OFFSET(abbreviation[],0,ColumnLanguage),ColumnAbbreviation,FALSE),"")</f>
        <v/>
      </c>
      <c r="BU265" s="21" t="str">
        <f t="shared" ca="1" si="29"/>
        <v>__</v>
      </c>
      <c r="BV265" s="21" t="str">
        <f ca="1">IFERROR(VLOOKUP(AF265,OFFSET(abbreviation[],0,ColumnLanguage),ColumnAbbreviation,FALSE),"")</f>
        <v/>
      </c>
      <c r="BW265" s="21" t="str">
        <f ca="1">IFERROR(VLOOKUP(AH265,OFFSET(abbreviation[],0,ColumnLanguage),ColumnAbbreviation,FALSE),"")</f>
        <v/>
      </c>
      <c r="BX265" s="21" t="str">
        <f ca="1">IFERROR(VLOOKUP(AJ265,OFFSET(abbreviation[],0,ColumnLanguage),ColumnAbbreviation,FALSE),"")</f>
        <v/>
      </c>
      <c r="BY265" s="21" t="str">
        <f ca="1">IFERROR(VLOOKUP(AL265,OFFSET(abbreviation[],0,ColumnLanguage),ColumnAbbreviation,FALSE),"")</f>
        <v/>
      </c>
      <c r="BZ265" s="21" t="str">
        <f t="shared" ca="1" si="30"/>
        <v>_</v>
      </c>
      <c r="CA265" s="21" t="str">
        <f ca="1">IFERROR(VLOOKUP(AP265,OFFSET(abbreviation[],0,ColumnLanguage),ColumnAbbreviation,FALSE),"")</f>
        <v/>
      </c>
      <c r="CB265" s="21" t="str">
        <f ca="1">IFERROR(VLOOKUP(AR265,OFFSET(abbreviation[],0,ColumnLanguage),ColumnAbbreviation,FALSE),"")</f>
        <v/>
      </c>
      <c r="CC265" s="21" t="str">
        <f ca="1">IFERROR(VLOOKUP(AT265,OFFSET(abbreviation[],0,ColumnLanguage),ColumnAbbreviation,FALSE),"")</f>
        <v/>
      </c>
      <c r="CD265" s="21" t="str">
        <f ca="1">IFERROR(VLOOKUP(AV265,OFFSET(abbreviation[],0,ColumnLanguage),ColumnAbbreviation,FALSE),"")</f>
        <v/>
      </c>
      <c r="CE265" s="21" t="str">
        <f t="shared" ca="1" si="31"/>
        <v>__</v>
      </c>
      <c r="CF265" s="21" t="str">
        <f ca="1">IFERROR(VLOOKUP(AX265,OFFSET(abbreviation[],0,ColumnLanguage),ColumnAbbreviation,FALSE),"")</f>
        <v/>
      </c>
      <c r="CG265" s="21" t="str">
        <f ca="1">IFERROR(VLOOKUP(AZ265,OFFSET(abbreviation[],0,ColumnLanguage),ColumnAbbreviation,FALSE),"")</f>
        <v/>
      </c>
      <c r="CH265" s="21" t="str">
        <f ca="1">IFERROR(VLOOKUP(BB265,OFFSET(abbreviation[],0,ColumnLanguage),ColumnAbbreviation,FALSE),"")</f>
        <v/>
      </c>
      <c r="CI265" s="21" t="str">
        <f ca="1">IFERROR(VLOOKUP(BD265,OFFSET(abbreviation[],0,ColumnLanguage),ColumnAbbreviation,FALSE),"")</f>
        <v/>
      </c>
      <c r="CJ265" s="21" t="str">
        <f ca="1">IFERROR(VLOOKUP(BF265,OFFSET(abbreviation[],0,ColumnLanguage),ColumnAbbreviation,FALSE),"")</f>
        <v/>
      </c>
      <c r="CK265" s="21" t="str">
        <f t="shared" ca="1" si="32"/>
        <v/>
      </c>
      <c r="CL265" s="21" t="str">
        <f t="shared" si="33"/>
        <v/>
      </c>
      <c r="CM265" s="52"/>
      <c r="CN265" s="57" t="str">
        <f t="shared" si="34"/>
        <v/>
      </c>
    </row>
    <row r="266" spans="16:92" x14ac:dyDescent="0.25">
      <c r="P266" s="60"/>
      <c r="Q266" s="13"/>
      <c r="V266" s="60"/>
      <c r="X266" s="61"/>
      <c r="AB266" s="60"/>
      <c r="AN266" s="54"/>
      <c r="AS266" s="15"/>
      <c r="BH266" s="52"/>
      <c r="BI266" s="21" t="str">
        <f ca="1">IFERROR(VLOOKUP(C266,OFFSET(abbreviation[],0,ColumnLanguage),ColumnAbbreviation,FALSE),"")</f>
        <v/>
      </c>
      <c r="BJ266" s="21" t="str">
        <f ca="1">IFERROR(VLOOKUP(E266,OFFSET(abbreviation[],0,ColumnLanguage),ColumnAbbreviation,FALSE),"")</f>
        <v/>
      </c>
      <c r="BK266" s="21" t="str">
        <f ca="1">IFERROR(VLOOKUP(G266,OFFSET(abbreviation[],0,ColumnLanguage),ColumnAbbreviation,FALSE),"")</f>
        <v/>
      </c>
      <c r="BL266" s="21" t="str">
        <f ca="1">IFERROR(VLOOKUP(I266,OFFSET(abbreviation[],0,ColumnLanguage),ColumnAbbreviation,FALSE),"")</f>
        <v/>
      </c>
      <c r="BM266" s="21" t="str">
        <f ca="1">IFERROR(VLOOKUP(K266,OFFSET(abbreviation[],0,ColumnLanguage),ColumnAbbreviation,FALSE),"")</f>
        <v/>
      </c>
      <c r="BN266" s="21" t="str">
        <f t="shared" ca="1" si="28"/>
        <v/>
      </c>
      <c r="BO266" s="21" t="str">
        <f ca="1">IFERROR(VLOOKUP(N266,OFFSET(abbreviation[],0,ColumnLanguage),ColumnAbbreviation,FALSE),"")</f>
        <v/>
      </c>
      <c r="BP266" s="21" t="str">
        <f ca="1">IFERROR(VLOOKUP(P266,OFFSET(abbreviation[],0,ColumnLanguage),ColumnAbbreviation,FALSE),"")</f>
        <v/>
      </c>
      <c r="BQ266" s="21" t="str">
        <f ca="1">IFERROR(VLOOKUP(T266,OFFSET(abbreviation[],0,ColumnLanguage),ColumnAbbreviation,FALSE),"")</f>
        <v/>
      </c>
      <c r="BR266" s="21" t="str">
        <f ca="1">IFERROR(VLOOKUP(V266,OFFSET(abbreviation[],0,ColumnLanguage),ColumnAbbreviation,FALSE),"")</f>
        <v/>
      </c>
      <c r="BS266" s="21" t="str">
        <f ca="1">IFERROR(VLOOKUP(Z266,OFFSET(abbreviation[],0,ColumnLanguage),ColumnAbbreviation,FALSE),"")</f>
        <v/>
      </c>
      <c r="BT266" s="21" t="str">
        <f ca="1">IFERROR(VLOOKUP(AB266,OFFSET(abbreviation[],0,ColumnLanguage),ColumnAbbreviation,FALSE),"")</f>
        <v/>
      </c>
      <c r="BU266" s="21" t="str">
        <f t="shared" ca="1" si="29"/>
        <v>__</v>
      </c>
      <c r="BV266" s="21" t="str">
        <f ca="1">IFERROR(VLOOKUP(AF266,OFFSET(abbreviation[],0,ColumnLanguage),ColumnAbbreviation,FALSE),"")</f>
        <v/>
      </c>
      <c r="BW266" s="21" t="str">
        <f ca="1">IFERROR(VLOOKUP(AH266,OFFSET(abbreviation[],0,ColumnLanguage),ColumnAbbreviation,FALSE),"")</f>
        <v/>
      </c>
      <c r="BX266" s="21" t="str">
        <f ca="1">IFERROR(VLOOKUP(AJ266,OFFSET(abbreviation[],0,ColumnLanguage),ColumnAbbreviation,FALSE),"")</f>
        <v/>
      </c>
      <c r="BY266" s="21" t="str">
        <f ca="1">IFERROR(VLOOKUP(AL266,OFFSET(abbreviation[],0,ColumnLanguage),ColumnAbbreviation,FALSE),"")</f>
        <v/>
      </c>
      <c r="BZ266" s="21" t="str">
        <f t="shared" ca="1" si="30"/>
        <v>_</v>
      </c>
      <c r="CA266" s="21" t="str">
        <f ca="1">IFERROR(VLOOKUP(AP266,OFFSET(abbreviation[],0,ColumnLanguage),ColumnAbbreviation,FALSE),"")</f>
        <v/>
      </c>
      <c r="CB266" s="21" t="str">
        <f ca="1">IFERROR(VLOOKUP(AR266,OFFSET(abbreviation[],0,ColumnLanguage),ColumnAbbreviation,FALSE),"")</f>
        <v/>
      </c>
      <c r="CC266" s="21" t="str">
        <f ca="1">IFERROR(VLOOKUP(AT266,OFFSET(abbreviation[],0,ColumnLanguage),ColumnAbbreviation,FALSE),"")</f>
        <v/>
      </c>
      <c r="CD266" s="21" t="str">
        <f ca="1">IFERROR(VLOOKUP(AV266,OFFSET(abbreviation[],0,ColumnLanguage),ColumnAbbreviation,FALSE),"")</f>
        <v/>
      </c>
      <c r="CE266" s="21" t="str">
        <f t="shared" ca="1" si="31"/>
        <v>__</v>
      </c>
      <c r="CF266" s="21" t="str">
        <f ca="1">IFERROR(VLOOKUP(AX266,OFFSET(abbreviation[],0,ColumnLanguage),ColumnAbbreviation,FALSE),"")</f>
        <v/>
      </c>
      <c r="CG266" s="21" t="str">
        <f ca="1">IFERROR(VLOOKUP(AZ266,OFFSET(abbreviation[],0,ColumnLanguage),ColumnAbbreviation,FALSE),"")</f>
        <v/>
      </c>
      <c r="CH266" s="21" t="str">
        <f ca="1">IFERROR(VLOOKUP(BB266,OFFSET(abbreviation[],0,ColumnLanguage),ColumnAbbreviation,FALSE),"")</f>
        <v/>
      </c>
      <c r="CI266" s="21" t="str">
        <f ca="1">IFERROR(VLOOKUP(BD266,OFFSET(abbreviation[],0,ColumnLanguage),ColumnAbbreviation,FALSE),"")</f>
        <v/>
      </c>
      <c r="CJ266" s="21" t="str">
        <f ca="1">IFERROR(VLOOKUP(BF266,OFFSET(abbreviation[],0,ColumnLanguage),ColumnAbbreviation,FALSE),"")</f>
        <v/>
      </c>
      <c r="CK266" s="21" t="str">
        <f t="shared" ca="1" si="32"/>
        <v/>
      </c>
      <c r="CL266" s="21" t="str">
        <f t="shared" si="33"/>
        <v/>
      </c>
      <c r="CM266" s="52"/>
      <c r="CN266" s="57" t="str">
        <f t="shared" si="34"/>
        <v/>
      </c>
    </row>
    <row r="267" spans="16:92" x14ac:dyDescent="0.25">
      <c r="P267" s="60"/>
      <c r="Q267" s="13"/>
      <c r="V267" s="60"/>
      <c r="X267" s="61"/>
      <c r="AB267" s="60"/>
      <c r="AN267" s="54"/>
      <c r="AS267" s="15"/>
      <c r="BH267" s="52"/>
      <c r="BI267" s="21" t="str">
        <f ca="1">IFERROR(VLOOKUP(C267,OFFSET(abbreviation[],0,ColumnLanguage),ColumnAbbreviation,FALSE),"")</f>
        <v/>
      </c>
      <c r="BJ267" s="21" t="str">
        <f ca="1">IFERROR(VLOOKUP(E267,OFFSET(abbreviation[],0,ColumnLanguage),ColumnAbbreviation,FALSE),"")</f>
        <v/>
      </c>
      <c r="BK267" s="21" t="str">
        <f ca="1">IFERROR(VLOOKUP(G267,OFFSET(abbreviation[],0,ColumnLanguage),ColumnAbbreviation,FALSE),"")</f>
        <v/>
      </c>
      <c r="BL267" s="21" t="str">
        <f ca="1">IFERROR(VLOOKUP(I267,OFFSET(abbreviation[],0,ColumnLanguage),ColumnAbbreviation,FALSE),"")</f>
        <v/>
      </c>
      <c r="BM267" s="21" t="str">
        <f ca="1">IFERROR(VLOOKUP(K267,OFFSET(abbreviation[],0,ColumnLanguage),ColumnAbbreviation,FALSE),"")</f>
        <v/>
      </c>
      <c r="BN267" s="21" t="str">
        <f t="shared" ca="1" si="28"/>
        <v/>
      </c>
      <c r="BO267" s="21" t="str">
        <f ca="1">IFERROR(VLOOKUP(N267,OFFSET(abbreviation[],0,ColumnLanguage),ColumnAbbreviation,FALSE),"")</f>
        <v/>
      </c>
      <c r="BP267" s="21" t="str">
        <f ca="1">IFERROR(VLOOKUP(P267,OFFSET(abbreviation[],0,ColumnLanguage),ColumnAbbreviation,FALSE),"")</f>
        <v/>
      </c>
      <c r="BQ267" s="21" t="str">
        <f ca="1">IFERROR(VLOOKUP(T267,OFFSET(abbreviation[],0,ColumnLanguage),ColumnAbbreviation,FALSE),"")</f>
        <v/>
      </c>
      <c r="BR267" s="21" t="str">
        <f ca="1">IFERROR(VLOOKUP(V267,OFFSET(abbreviation[],0,ColumnLanguage),ColumnAbbreviation,FALSE),"")</f>
        <v/>
      </c>
      <c r="BS267" s="21" t="str">
        <f ca="1">IFERROR(VLOOKUP(Z267,OFFSET(abbreviation[],0,ColumnLanguage),ColumnAbbreviation,FALSE),"")</f>
        <v/>
      </c>
      <c r="BT267" s="21" t="str">
        <f ca="1">IFERROR(VLOOKUP(AB267,OFFSET(abbreviation[],0,ColumnLanguage),ColumnAbbreviation,FALSE),"")</f>
        <v/>
      </c>
      <c r="BU267" s="21" t="str">
        <f t="shared" ca="1" si="29"/>
        <v>__</v>
      </c>
      <c r="BV267" s="21" t="str">
        <f ca="1">IFERROR(VLOOKUP(AF267,OFFSET(abbreviation[],0,ColumnLanguage),ColumnAbbreviation,FALSE),"")</f>
        <v/>
      </c>
      <c r="BW267" s="21" t="str">
        <f ca="1">IFERROR(VLOOKUP(AH267,OFFSET(abbreviation[],0,ColumnLanguage),ColumnAbbreviation,FALSE),"")</f>
        <v/>
      </c>
      <c r="BX267" s="21" t="str">
        <f ca="1">IFERROR(VLOOKUP(AJ267,OFFSET(abbreviation[],0,ColumnLanguage),ColumnAbbreviation,FALSE),"")</f>
        <v/>
      </c>
      <c r="BY267" s="21" t="str">
        <f ca="1">IFERROR(VLOOKUP(AL267,OFFSET(abbreviation[],0,ColumnLanguage),ColumnAbbreviation,FALSE),"")</f>
        <v/>
      </c>
      <c r="BZ267" s="21" t="str">
        <f t="shared" ca="1" si="30"/>
        <v>_</v>
      </c>
      <c r="CA267" s="21" t="str">
        <f ca="1">IFERROR(VLOOKUP(AP267,OFFSET(abbreviation[],0,ColumnLanguage),ColumnAbbreviation,FALSE),"")</f>
        <v/>
      </c>
      <c r="CB267" s="21" t="str">
        <f ca="1">IFERROR(VLOOKUP(AR267,OFFSET(abbreviation[],0,ColumnLanguage),ColumnAbbreviation,FALSE),"")</f>
        <v/>
      </c>
      <c r="CC267" s="21" t="str">
        <f ca="1">IFERROR(VLOOKUP(AT267,OFFSET(abbreviation[],0,ColumnLanguage),ColumnAbbreviation,FALSE),"")</f>
        <v/>
      </c>
      <c r="CD267" s="21" t="str">
        <f ca="1">IFERROR(VLOOKUP(AV267,OFFSET(abbreviation[],0,ColumnLanguage),ColumnAbbreviation,FALSE),"")</f>
        <v/>
      </c>
      <c r="CE267" s="21" t="str">
        <f t="shared" ca="1" si="31"/>
        <v>__</v>
      </c>
      <c r="CF267" s="21" t="str">
        <f ca="1">IFERROR(VLOOKUP(AX267,OFFSET(abbreviation[],0,ColumnLanguage),ColumnAbbreviation,FALSE),"")</f>
        <v/>
      </c>
      <c r="CG267" s="21" t="str">
        <f ca="1">IFERROR(VLOOKUP(AZ267,OFFSET(abbreviation[],0,ColumnLanguage),ColumnAbbreviation,FALSE),"")</f>
        <v/>
      </c>
      <c r="CH267" s="21" t="str">
        <f ca="1">IFERROR(VLOOKUP(BB267,OFFSET(abbreviation[],0,ColumnLanguage),ColumnAbbreviation,FALSE),"")</f>
        <v/>
      </c>
      <c r="CI267" s="21" t="str">
        <f ca="1">IFERROR(VLOOKUP(BD267,OFFSET(abbreviation[],0,ColumnLanguage),ColumnAbbreviation,FALSE),"")</f>
        <v/>
      </c>
      <c r="CJ267" s="21" t="str">
        <f ca="1">IFERROR(VLOOKUP(BF267,OFFSET(abbreviation[],0,ColumnLanguage),ColumnAbbreviation,FALSE),"")</f>
        <v/>
      </c>
      <c r="CK267" s="21" t="str">
        <f t="shared" ca="1" si="32"/>
        <v/>
      </c>
      <c r="CL267" s="21" t="str">
        <f t="shared" si="33"/>
        <v/>
      </c>
      <c r="CM267" s="52"/>
      <c r="CN267" s="57" t="str">
        <f t="shared" si="34"/>
        <v/>
      </c>
    </row>
    <row r="268" spans="16:92" x14ac:dyDescent="0.25">
      <c r="P268" s="60"/>
      <c r="Q268" s="13"/>
      <c r="V268" s="60"/>
      <c r="X268" s="61"/>
      <c r="AB268" s="60"/>
      <c r="AN268" s="54"/>
      <c r="AS268" s="15"/>
      <c r="BH268" s="52"/>
      <c r="BI268" s="21" t="str">
        <f ca="1">IFERROR(VLOOKUP(C268,OFFSET(abbreviation[],0,ColumnLanguage),ColumnAbbreviation,FALSE),"")</f>
        <v/>
      </c>
      <c r="BJ268" s="21" t="str">
        <f ca="1">IFERROR(VLOOKUP(E268,OFFSET(abbreviation[],0,ColumnLanguage),ColumnAbbreviation,FALSE),"")</f>
        <v/>
      </c>
      <c r="BK268" s="21" t="str">
        <f ca="1">IFERROR(VLOOKUP(G268,OFFSET(abbreviation[],0,ColumnLanguage),ColumnAbbreviation,FALSE),"")</f>
        <v/>
      </c>
      <c r="BL268" s="21" t="str">
        <f ca="1">IFERROR(VLOOKUP(I268,OFFSET(abbreviation[],0,ColumnLanguage),ColumnAbbreviation,FALSE),"")</f>
        <v/>
      </c>
      <c r="BM268" s="21" t="str">
        <f ca="1">IFERROR(VLOOKUP(K268,OFFSET(abbreviation[],0,ColumnLanguage),ColumnAbbreviation,FALSE),"")</f>
        <v/>
      </c>
      <c r="BN268" s="21" t="str">
        <f t="shared" ca="1" si="28"/>
        <v/>
      </c>
      <c r="BO268" s="21" t="str">
        <f ca="1">IFERROR(VLOOKUP(N268,OFFSET(abbreviation[],0,ColumnLanguage),ColumnAbbreviation,FALSE),"")</f>
        <v/>
      </c>
      <c r="BP268" s="21" t="str">
        <f ca="1">IFERROR(VLOOKUP(P268,OFFSET(abbreviation[],0,ColumnLanguage),ColumnAbbreviation,FALSE),"")</f>
        <v/>
      </c>
      <c r="BQ268" s="21" t="str">
        <f ca="1">IFERROR(VLOOKUP(T268,OFFSET(abbreviation[],0,ColumnLanguage),ColumnAbbreviation,FALSE),"")</f>
        <v/>
      </c>
      <c r="BR268" s="21" t="str">
        <f ca="1">IFERROR(VLOOKUP(V268,OFFSET(abbreviation[],0,ColumnLanguage),ColumnAbbreviation,FALSE),"")</f>
        <v/>
      </c>
      <c r="BS268" s="21" t="str">
        <f ca="1">IFERROR(VLOOKUP(Z268,OFFSET(abbreviation[],0,ColumnLanguage),ColumnAbbreviation,FALSE),"")</f>
        <v/>
      </c>
      <c r="BT268" s="21" t="str">
        <f ca="1">IFERROR(VLOOKUP(AB268,OFFSET(abbreviation[],0,ColumnLanguage),ColumnAbbreviation,FALSE),"")</f>
        <v/>
      </c>
      <c r="BU268" s="21" t="str">
        <f t="shared" ca="1" si="29"/>
        <v>__</v>
      </c>
      <c r="BV268" s="21" t="str">
        <f ca="1">IFERROR(VLOOKUP(AF268,OFFSET(abbreviation[],0,ColumnLanguage),ColumnAbbreviation,FALSE),"")</f>
        <v/>
      </c>
      <c r="BW268" s="21" t="str">
        <f ca="1">IFERROR(VLOOKUP(AH268,OFFSET(abbreviation[],0,ColumnLanguage),ColumnAbbreviation,FALSE),"")</f>
        <v/>
      </c>
      <c r="BX268" s="21" t="str">
        <f ca="1">IFERROR(VLOOKUP(AJ268,OFFSET(abbreviation[],0,ColumnLanguage),ColumnAbbreviation,FALSE),"")</f>
        <v/>
      </c>
      <c r="BY268" s="21" t="str">
        <f ca="1">IFERROR(VLOOKUP(AL268,OFFSET(abbreviation[],0,ColumnLanguage),ColumnAbbreviation,FALSE),"")</f>
        <v/>
      </c>
      <c r="BZ268" s="21" t="str">
        <f t="shared" ca="1" si="30"/>
        <v>_</v>
      </c>
      <c r="CA268" s="21" t="str">
        <f ca="1">IFERROR(VLOOKUP(AP268,OFFSET(abbreviation[],0,ColumnLanguage),ColumnAbbreviation,FALSE),"")</f>
        <v/>
      </c>
      <c r="CB268" s="21" t="str">
        <f ca="1">IFERROR(VLOOKUP(AR268,OFFSET(abbreviation[],0,ColumnLanguage),ColumnAbbreviation,FALSE),"")</f>
        <v/>
      </c>
      <c r="CC268" s="21" t="str">
        <f ca="1">IFERROR(VLOOKUP(AT268,OFFSET(abbreviation[],0,ColumnLanguage),ColumnAbbreviation,FALSE),"")</f>
        <v/>
      </c>
      <c r="CD268" s="21" t="str">
        <f ca="1">IFERROR(VLOOKUP(AV268,OFFSET(abbreviation[],0,ColumnLanguage),ColumnAbbreviation,FALSE),"")</f>
        <v/>
      </c>
      <c r="CE268" s="21" t="str">
        <f t="shared" ca="1" si="31"/>
        <v>__</v>
      </c>
      <c r="CF268" s="21" t="str">
        <f ca="1">IFERROR(VLOOKUP(AX268,OFFSET(abbreviation[],0,ColumnLanguage),ColumnAbbreviation,FALSE),"")</f>
        <v/>
      </c>
      <c r="CG268" s="21" t="str">
        <f ca="1">IFERROR(VLOOKUP(AZ268,OFFSET(abbreviation[],0,ColumnLanguage),ColumnAbbreviation,FALSE),"")</f>
        <v/>
      </c>
      <c r="CH268" s="21" t="str">
        <f ca="1">IFERROR(VLOOKUP(BB268,OFFSET(abbreviation[],0,ColumnLanguage),ColumnAbbreviation,FALSE),"")</f>
        <v/>
      </c>
      <c r="CI268" s="21" t="str">
        <f ca="1">IFERROR(VLOOKUP(BD268,OFFSET(abbreviation[],0,ColumnLanguage),ColumnAbbreviation,FALSE),"")</f>
        <v/>
      </c>
      <c r="CJ268" s="21" t="str">
        <f ca="1">IFERROR(VLOOKUP(BF268,OFFSET(abbreviation[],0,ColumnLanguage),ColumnAbbreviation,FALSE),"")</f>
        <v/>
      </c>
      <c r="CK268" s="21" t="str">
        <f t="shared" ca="1" si="32"/>
        <v/>
      </c>
      <c r="CL268" s="21" t="str">
        <f t="shared" si="33"/>
        <v/>
      </c>
      <c r="CM268" s="52"/>
      <c r="CN268" s="57" t="str">
        <f t="shared" si="34"/>
        <v/>
      </c>
    </row>
    <row r="269" spans="16:92" x14ac:dyDescent="0.25">
      <c r="P269" s="60"/>
      <c r="Q269" s="13"/>
      <c r="V269" s="60"/>
      <c r="X269" s="61"/>
      <c r="AB269" s="60"/>
      <c r="AN269" s="54"/>
      <c r="AS269" s="15"/>
      <c r="BH269" s="52"/>
      <c r="BI269" s="21" t="str">
        <f ca="1">IFERROR(VLOOKUP(C269,OFFSET(abbreviation[],0,ColumnLanguage),ColumnAbbreviation,FALSE),"")</f>
        <v/>
      </c>
      <c r="BJ269" s="21" t="str">
        <f ca="1">IFERROR(VLOOKUP(E269,OFFSET(abbreviation[],0,ColumnLanguage),ColumnAbbreviation,FALSE),"")</f>
        <v/>
      </c>
      <c r="BK269" s="21" t="str">
        <f ca="1">IFERROR(VLOOKUP(G269,OFFSET(abbreviation[],0,ColumnLanguage),ColumnAbbreviation,FALSE),"")</f>
        <v/>
      </c>
      <c r="BL269" s="21" t="str">
        <f ca="1">IFERROR(VLOOKUP(I269,OFFSET(abbreviation[],0,ColumnLanguage),ColumnAbbreviation,FALSE),"")</f>
        <v/>
      </c>
      <c r="BM269" s="21" t="str">
        <f ca="1">IFERROR(VLOOKUP(K269,OFFSET(abbreviation[],0,ColumnLanguage),ColumnAbbreviation,FALSE),"")</f>
        <v/>
      </c>
      <c r="BN269" s="21" t="str">
        <f t="shared" ca="1" si="28"/>
        <v/>
      </c>
      <c r="BO269" s="21" t="str">
        <f ca="1">IFERROR(VLOOKUP(N269,OFFSET(abbreviation[],0,ColumnLanguage),ColumnAbbreviation,FALSE),"")</f>
        <v/>
      </c>
      <c r="BP269" s="21" t="str">
        <f ca="1">IFERROR(VLOOKUP(P269,OFFSET(abbreviation[],0,ColumnLanguage),ColumnAbbreviation,FALSE),"")</f>
        <v/>
      </c>
      <c r="BQ269" s="21" t="str">
        <f ca="1">IFERROR(VLOOKUP(T269,OFFSET(abbreviation[],0,ColumnLanguage),ColumnAbbreviation,FALSE),"")</f>
        <v/>
      </c>
      <c r="BR269" s="21" t="str">
        <f ca="1">IFERROR(VLOOKUP(V269,OFFSET(abbreviation[],0,ColumnLanguage),ColumnAbbreviation,FALSE),"")</f>
        <v/>
      </c>
      <c r="BS269" s="21" t="str">
        <f ca="1">IFERROR(VLOOKUP(Z269,OFFSET(abbreviation[],0,ColumnLanguage),ColumnAbbreviation,FALSE),"")</f>
        <v/>
      </c>
      <c r="BT269" s="21" t="str">
        <f ca="1">IFERROR(VLOOKUP(AB269,OFFSET(abbreviation[],0,ColumnLanguage),ColumnAbbreviation,FALSE),"")</f>
        <v/>
      </c>
      <c r="BU269" s="21" t="str">
        <f t="shared" ca="1" si="29"/>
        <v>__</v>
      </c>
      <c r="BV269" s="21" t="str">
        <f ca="1">IFERROR(VLOOKUP(AF269,OFFSET(abbreviation[],0,ColumnLanguage),ColumnAbbreviation,FALSE),"")</f>
        <v/>
      </c>
      <c r="BW269" s="21" t="str">
        <f ca="1">IFERROR(VLOOKUP(AH269,OFFSET(abbreviation[],0,ColumnLanguage),ColumnAbbreviation,FALSE),"")</f>
        <v/>
      </c>
      <c r="BX269" s="21" t="str">
        <f ca="1">IFERROR(VLOOKUP(AJ269,OFFSET(abbreviation[],0,ColumnLanguage),ColumnAbbreviation,FALSE),"")</f>
        <v/>
      </c>
      <c r="BY269" s="21" t="str">
        <f ca="1">IFERROR(VLOOKUP(AL269,OFFSET(abbreviation[],0,ColumnLanguage),ColumnAbbreviation,FALSE),"")</f>
        <v/>
      </c>
      <c r="BZ269" s="21" t="str">
        <f t="shared" ca="1" si="30"/>
        <v>_</v>
      </c>
      <c r="CA269" s="21" t="str">
        <f ca="1">IFERROR(VLOOKUP(AP269,OFFSET(abbreviation[],0,ColumnLanguage),ColumnAbbreviation,FALSE),"")</f>
        <v/>
      </c>
      <c r="CB269" s="21" t="str">
        <f ca="1">IFERROR(VLOOKUP(AR269,OFFSET(abbreviation[],0,ColumnLanguage),ColumnAbbreviation,FALSE),"")</f>
        <v/>
      </c>
      <c r="CC269" s="21" t="str">
        <f ca="1">IFERROR(VLOOKUP(AT269,OFFSET(abbreviation[],0,ColumnLanguage),ColumnAbbreviation,FALSE),"")</f>
        <v/>
      </c>
      <c r="CD269" s="21" t="str">
        <f ca="1">IFERROR(VLOOKUP(AV269,OFFSET(abbreviation[],0,ColumnLanguage),ColumnAbbreviation,FALSE),"")</f>
        <v/>
      </c>
      <c r="CE269" s="21" t="str">
        <f t="shared" ca="1" si="31"/>
        <v>__</v>
      </c>
      <c r="CF269" s="21" t="str">
        <f ca="1">IFERROR(VLOOKUP(AX269,OFFSET(abbreviation[],0,ColumnLanguage),ColumnAbbreviation,FALSE),"")</f>
        <v/>
      </c>
      <c r="CG269" s="21" t="str">
        <f ca="1">IFERROR(VLOOKUP(AZ269,OFFSET(abbreviation[],0,ColumnLanguage),ColumnAbbreviation,FALSE),"")</f>
        <v/>
      </c>
      <c r="CH269" s="21" t="str">
        <f ca="1">IFERROR(VLOOKUP(BB269,OFFSET(abbreviation[],0,ColumnLanguage),ColumnAbbreviation,FALSE),"")</f>
        <v/>
      </c>
      <c r="CI269" s="21" t="str">
        <f ca="1">IFERROR(VLOOKUP(BD269,OFFSET(abbreviation[],0,ColumnLanguage),ColumnAbbreviation,FALSE),"")</f>
        <v/>
      </c>
      <c r="CJ269" s="21" t="str">
        <f ca="1">IFERROR(VLOOKUP(BF269,OFFSET(abbreviation[],0,ColumnLanguage),ColumnAbbreviation,FALSE),"")</f>
        <v/>
      </c>
      <c r="CK269" s="21" t="str">
        <f t="shared" ca="1" si="32"/>
        <v/>
      </c>
      <c r="CL269" s="21" t="str">
        <f t="shared" si="33"/>
        <v/>
      </c>
      <c r="CM269" s="52"/>
      <c r="CN269" s="57" t="str">
        <f t="shared" si="34"/>
        <v/>
      </c>
    </row>
    <row r="270" spans="16:92" x14ac:dyDescent="0.25">
      <c r="P270" s="60"/>
      <c r="Q270" s="13"/>
      <c r="V270" s="60"/>
      <c r="X270" s="61"/>
      <c r="AB270" s="60"/>
      <c r="AN270" s="54"/>
      <c r="AS270" s="15"/>
      <c r="BH270" s="52"/>
      <c r="BI270" s="21" t="str">
        <f ca="1">IFERROR(VLOOKUP(C270,OFFSET(abbreviation[],0,ColumnLanguage),ColumnAbbreviation,FALSE),"")</f>
        <v/>
      </c>
      <c r="BJ270" s="21" t="str">
        <f ca="1">IFERROR(VLOOKUP(E270,OFFSET(abbreviation[],0,ColumnLanguage),ColumnAbbreviation,FALSE),"")</f>
        <v/>
      </c>
      <c r="BK270" s="21" t="str">
        <f ca="1">IFERROR(VLOOKUP(G270,OFFSET(abbreviation[],0,ColumnLanguage),ColumnAbbreviation,FALSE),"")</f>
        <v/>
      </c>
      <c r="BL270" s="21" t="str">
        <f ca="1">IFERROR(VLOOKUP(I270,OFFSET(abbreviation[],0,ColumnLanguage),ColumnAbbreviation,FALSE),"")</f>
        <v/>
      </c>
      <c r="BM270" s="21" t="str">
        <f ca="1">IFERROR(VLOOKUP(K270,OFFSET(abbreviation[],0,ColumnLanguage),ColumnAbbreviation,FALSE),"")</f>
        <v/>
      </c>
      <c r="BN270" s="21" t="str">
        <f t="shared" ca="1" si="28"/>
        <v/>
      </c>
      <c r="BO270" s="21" t="str">
        <f ca="1">IFERROR(VLOOKUP(N270,OFFSET(abbreviation[],0,ColumnLanguage),ColumnAbbreviation,FALSE),"")</f>
        <v/>
      </c>
      <c r="BP270" s="21" t="str">
        <f ca="1">IFERROR(VLOOKUP(P270,OFFSET(abbreviation[],0,ColumnLanguage),ColumnAbbreviation,FALSE),"")</f>
        <v/>
      </c>
      <c r="BQ270" s="21" t="str">
        <f ca="1">IFERROR(VLOOKUP(T270,OFFSET(abbreviation[],0,ColumnLanguage),ColumnAbbreviation,FALSE),"")</f>
        <v/>
      </c>
      <c r="BR270" s="21" t="str">
        <f ca="1">IFERROR(VLOOKUP(V270,OFFSET(abbreviation[],0,ColumnLanguage),ColumnAbbreviation,FALSE),"")</f>
        <v/>
      </c>
      <c r="BS270" s="21" t="str">
        <f ca="1">IFERROR(VLOOKUP(Z270,OFFSET(abbreviation[],0,ColumnLanguage),ColumnAbbreviation,FALSE),"")</f>
        <v/>
      </c>
      <c r="BT270" s="21" t="str">
        <f ca="1">IFERROR(VLOOKUP(AB270,OFFSET(abbreviation[],0,ColumnLanguage),ColumnAbbreviation,FALSE),"")</f>
        <v/>
      </c>
      <c r="BU270" s="21" t="str">
        <f t="shared" ca="1" si="29"/>
        <v>__</v>
      </c>
      <c r="BV270" s="21" t="str">
        <f ca="1">IFERROR(VLOOKUP(AF270,OFFSET(abbreviation[],0,ColumnLanguage),ColumnAbbreviation,FALSE),"")</f>
        <v/>
      </c>
      <c r="BW270" s="21" t="str">
        <f ca="1">IFERROR(VLOOKUP(AH270,OFFSET(abbreviation[],0,ColumnLanguage),ColumnAbbreviation,FALSE),"")</f>
        <v/>
      </c>
      <c r="BX270" s="21" t="str">
        <f ca="1">IFERROR(VLOOKUP(AJ270,OFFSET(abbreviation[],0,ColumnLanguage),ColumnAbbreviation,FALSE),"")</f>
        <v/>
      </c>
      <c r="BY270" s="21" t="str">
        <f ca="1">IFERROR(VLOOKUP(AL270,OFFSET(abbreviation[],0,ColumnLanguage),ColumnAbbreviation,FALSE),"")</f>
        <v/>
      </c>
      <c r="BZ270" s="21" t="str">
        <f t="shared" ca="1" si="30"/>
        <v>_</v>
      </c>
      <c r="CA270" s="21" t="str">
        <f ca="1">IFERROR(VLOOKUP(AP270,OFFSET(abbreviation[],0,ColumnLanguage),ColumnAbbreviation,FALSE),"")</f>
        <v/>
      </c>
      <c r="CB270" s="21" t="str">
        <f ca="1">IFERROR(VLOOKUP(AR270,OFFSET(abbreviation[],0,ColumnLanguage),ColumnAbbreviation,FALSE),"")</f>
        <v/>
      </c>
      <c r="CC270" s="21" t="str">
        <f ca="1">IFERROR(VLOOKUP(AT270,OFFSET(abbreviation[],0,ColumnLanguage),ColumnAbbreviation,FALSE),"")</f>
        <v/>
      </c>
      <c r="CD270" s="21" t="str">
        <f ca="1">IFERROR(VLOOKUP(AV270,OFFSET(abbreviation[],0,ColumnLanguage),ColumnAbbreviation,FALSE),"")</f>
        <v/>
      </c>
      <c r="CE270" s="21" t="str">
        <f t="shared" ca="1" si="31"/>
        <v>__</v>
      </c>
      <c r="CF270" s="21" t="str">
        <f ca="1">IFERROR(VLOOKUP(AX270,OFFSET(abbreviation[],0,ColumnLanguage),ColumnAbbreviation,FALSE),"")</f>
        <v/>
      </c>
      <c r="CG270" s="21" t="str">
        <f ca="1">IFERROR(VLOOKUP(AZ270,OFFSET(abbreviation[],0,ColumnLanguage),ColumnAbbreviation,FALSE),"")</f>
        <v/>
      </c>
      <c r="CH270" s="21" t="str">
        <f ca="1">IFERROR(VLOOKUP(BB270,OFFSET(abbreviation[],0,ColumnLanguage),ColumnAbbreviation,FALSE),"")</f>
        <v/>
      </c>
      <c r="CI270" s="21" t="str">
        <f ca="1">IFERROR(VLOOKUP(BD270,OFFSET(abbreviation[],0,ColumnLanguage),ColumnAbbreviation,FALSE),"")</f>
        <v/>
      </c>
      <c r="CJ270" s="21" t="str">
        <f ca="1">IFERROR(VLOOKUP(BF270,OFFSET(abbreviation[],0,ColumnLanguage),ColumnAbbreviation,FALSE),"")</f>
        <v/>
      </c>
      <c r="CK270" s="21" t="str">
        <f t="shared" ca="1" si="32"/>
        <v/>
      </c>
      <c r="CL270" s="21" t="str">
        <f t="shared" si="33"/>
        <v/>
      </c>
      <c r="CM270" s="52"/>
      <c r="CN270" s="57" t="str">
        <f t="shared" si="34"/>
        <v/>
      </c>
    </row>
    <row r="271" spans="16:92" x14ac:dyDescent="0.25">
      <c r="P271" s="60"/>
      <c r="Q271" s="13"/>
      <c r="V271" s="60"/>
      <c r="X271" s="61"/>
      <c r="AB271" s="60"/>
      <c r="AN271" s="54"/>
      <c r="AS271" s="15"/>
      <c r="BH271" s="52"/>
      <c r="BI271" s="21" t="str">
        <f ca="1">IFERROR(VLOOKUP(C271,OFFSET(abbreviation[],0,ColumnLanguage),ColumnAbbreviation,FALSE),"")</f>
        <v/>
      </c>
      <c r="BJ271" s="21" t="str">
        <f ca="1">IFERROR(VLOOKUP(E271,OFFSET(abbreviation[],0,ColumnLanguage),ColumnAbbreviation,FALSE),"")</f>
        <v/>
      </c>
      <c r="BK271" s="21" t="str">
        <f ca="1">IFERROR(VLOOKUP(G271,OFFSET(abbreviation[],0,ColumnLanguage),ColumnAbbreviation,FALSE),"")</f>
        <v/>
      </c>
      <c r="BL271" s="21" t="str">
        <f ca="1">IFERROR(VLOOKUP(I271,OFFSET(abbreviation[],0,ColumnLanguage),ColumnAbbreviation,FALSE),"")</f>
        <v/>
      </c>
      <c r="BM271" s="21" t="str">
        <f ca="1">IFERROR(VLOOKUP(K271,OFFSET(abbreviation[],0,ColumnLanguage),ColumnAbbreviation,FALSE),"")</f>
        <v/>
      </c>
      <c r="BN271" s="21" t="str">
        <f t="shared" ca="1" si="28"/>
        <v/>
      </c>
      <c r="BO271" s="21" t="str">
        <f ca="1">IFERROR(VLOOKUP(N271,OFFSET(abbreviation[],0,ColumnLanguage),ColumnAbbreviation,FALSE),"")</f>
        <v/>
      </c>
      <c r="BP271" s="21" t="str">
        <f ca="1">IFERROR(VLOOKUP(P271,OFFSET(abbreviation[],0,ColumnLanguage),ColumnAbbreviation,FALSE),"")</f>
        <v/>
      </c>
      <c r="BQ271" s="21" t="str">
        <f ca="1">IFERROR(VLOOKUP(T271,OFFSET(abbreviation[],0,ColumnLanguage),ColumnAbbreviation,FALSE),"")</f>
        <v/>
      </c>
      <c r="BR271" s="21" t="str">
        <f ca="1">IFERROR(VLOOKUP(V271,OFFSET(abbreviation[],0,ColumnLanguage),ColumnAbbreviation,FALSE),"")</f>
        <v/>
      </c>
      <c r="BS271" s="21" t="str">
        <f ca="1">IFERROR(VLOOKUP(Z271,OFFSET(abbreviation[],0,ColumnLanguage),ColumnAbbreviation,FALSE),"")</f>
        <v/>
      </c>
      <c r="BT271" s="21" t="str">
        <f ca="1">IFERROR(VLOOKUP(AB271,OFFSET(abbreviation[],0,ColumnLanguage),ColumnAbbreviation,FALSE),"")</f>
        <v/>
      </c>
      <c r="BU271" s="21" t="str">
        <f t="shared" ca="1" si="29"/>
        <v>__</v>
      </c>
      <c r="BV271" s="21" t="str">
        <f ca="1">IFERROR(VLOOKUP(AF271,OFFSET(abbreviation[],0,ColumnLanguage),ColumnAbbreviation,FALSE),"")</f>
        <v/>
      </c>
      <c r="BW271" s="21" t="str">
        <f ca="1">IFERROR(VLOOKUP(AH271,OFFSET(abbreviation[],0,ColumnLanguage),ColumnAbbreviation,FALSE),"")</f>
        <v/>
      </c>
      <c r="BX271" s="21" t="str">
        <f ca="1">IFERROR(VLOOKUP(AJ271,OFFSET(abbreviation[],0,ColumnLanguage),ColumnAbbreviation,FALSE),"")</f>
        <v/>
      </c>
      <c r="BY271" s="21" t="str">
        <f ca="1">IFERROR(VLOOKUP(AL271,OFFSET(abbreviation[],0,ColumnLanguage),ColumnAbbreviation,FALSE),"")</f>
        <v/>
      </c>
      <c r="BZ271" s="21" t="str">
        <f t="shared" ca="1" si="30"/>
        <v>_</v>
      </c>
      <c r="CA271" s="21" t="str">
        <f ca="1">IFERROR(VLOOKUP(AP271,OFFSET(abbreviation[],0,ColumnLanguage),ColumnAbbreviation,FALSE),"")</f>
        <v/>
      </c>
      <c r="CB271" s="21" t="str">
        <f ca="1">IFERROR(VLOOKUP(AR271,OFFSET(abbreviation[],0,ColumnLanguage),ColumnAbbreviation,FALSE),"")</f>
        <v/>
      </c>
      <c r="CC271" s="21" t="str">
        <f ca="1">IFERROR(VLOOKUP(AT271,OFFSET(abbreviation[],0,ColumnLanguage),ColumnAbbreviation,FALSE),"")</f>
        <v/>
      </c>
      <c r="CD271" s="21" t="str">
        <f ca="1">IFERROR(VLOOKUP(AV271,OFFSET(abbreviation[],0,ColumnLanguage),ColumnAbbreviation,FALSE),"")</f>
        <v/>
      </c>
      <c r="CE271" s="21" t="str">
        <f t="shared" ca="1" si="31"/>
        <v>__</v>
      </c>
      <c r="CF271" s="21" t="str">
        <f ca="1">IFERROR(VLOOKUP(AX271,OFFSET(abbreviation[],0,ColumnLanguage),ColumnAbbreviation,FALSE),"")</f>
        <v/>
      </c>
      <c r="CG271" s="21" t="str">
        <f ca="1">IFERROR(VLOOKUP(AZ271,OFFSET(abbreviation[],0,ColumnLanguage),ColumnAbbreviation,FALSE),"")</f>
        <v/>
      </c>
      <c r="CH271" s="21" t="str">
        <f ca="1">IFERROR(VLOOKUP(BB271,OFFSET(abbreviation[],0,ColumnLanguage),ColumnAbbreviation,FALSE),"")</f>
        <v/>
      </c>
      <c r="CI271" s="21" t="str">
        <f ca="1">IFERROR(VLOOKUP(BD271,OFFSET(abbreviation[],0,ColumnLanguage),ColumnAbbreviation,FALSE),"")</f>
        <v/>
      </c>
      <c r="CJ271" s="21" t="str">
        <f ca="1">IFERROR(VLOOKUP(BF271,OFFSET(abbreviation[],0,ColumnLanguage),ColumnAbbreviation,FALSE),"")</f>
        <v/>
      </c>
      <c r="CK271" s="21" t="str">
        <f t="shared" ca="1" si="32"/>
        <v/>
      </c>
      <c r="CL271" s="21" t="str">
        <f t="shared" si="33"/>
        <v/>
      </c>
      <c r="CM271" s="52"/>
      <c r="CN271" s="57" t="str">
        <f t="shared" si="34"/>
        <v/>
      </c>
    </row>
    <row r="272" spans="16:92" x14ac:dyDescent="0.25">
      <c r="P272" s="60"/>
      <c r="Q272" s="13"/>
      <c r="V272" s="60"/>
      <c r="X272" s="61"/>
      <c r="AB272" s="60"/>
      <c r="AN272" s="54"/>
      <c r="AS272" s="15"/>
      <c r="BH272" s="52"/>
      <c r="BI272" s="21" t="str">
        <f ca="1">IFERROR(VLOOKUP(C272,OFFSET(abbreviation[],0,ColumnLanguage),ColumnAbbreviation,FALSE),"")</f>
        <v/>
      </c>
      <c r="BJ272" s="21" t="str">
        <f ca="1">IFERROR(VLOOKUP(E272,OFFSET(abbreviation[],0,ColumnLanguage),ColumnAbbreviation,FALSE),"")</f>
        <v/>
      </c>
      <c r="BK272" s="21" t="str">
        <f ca="1">IFERROR(VLOOKUP(G272,OFFSET(abbreviation[],0,ColumnLanguage),ColumnAbbreviation,FALSE),"")</f>
        <v/>
      </c>
      <c r="BL272" s="21" t="str">
        <f ca="1">IFERROR(VLOOKUP(I272,OFFSET(abbreviation[],0,ColumnLanguage),ColumnAbbreviation,FALSE),"")</f>
        <v/>
      </c>
      <c r="BM272" s="21" t="str">
        <f ca="1">IFERROR(VLOOKUP(K272,OFFSET(abbreviation[],0,ColumnLanguage),ColumnAbbreviation,FALSE),"")</f>
        <v/>
      </c>
      <c r="BN272" s="21" t="str">
        <f t="shared" ca="1" si="28"/>
        <v/>
      </c>
      <c r="BO272" s="21" t="str">
        <f ca="1">IFERROR(VLOOKUP(N272,OFFSET(abbreviation[],0,ColumnLanguage),ColumnAbbreviation,FALSE),"")</f>
        <v/>
      </c>
      <c r="BP272" s="21" t="str">
        <f ca="1">IFERROR(VLOOKUP(P272,OFFSET(abbreviation[],0,ColumnLanguage),ColumnAbbreviation,FALSE),"")</f>
        <v/>
      </c>
      <c r="BQ272" s="21" t="str">
        <f ca="1">IFERROR(VLOOKUP(T272,OFFSET(abbreviation[],0,ColumnLanguage),ColumnAbbreviation,FALSE),"")</f>
        <v/>
      </c>
      <c r="BR272" s="21" t="str">
        <f ca="1">IFERROR(VLOOKUP(V272,OFFSET(abbreviation[],0,ColumnLanguage),ColumnAbbreviation,FALSE),"")</f>
        <v/>
      </c>
      <c r="BS272" s="21" t="str">
        <f ca="1">IFERROR(VLOOKUP(Z272,OFFSET(abbreviation[],0,ColumnLanguage),ColumnAbbreviation,FALSE),"")</f>
        <v/>
      </c>
      <c r="BT272" s="21" t="str">
        <f ca="1">IFERROR(VLOOKUP(AB272,OFFSET(abbreviation[],0,ColumnLanguage),ColumnAbbreviation,FALSE),"")</f>
        <v/>
      </c>
      <c r="BU272" s="21" t="str">
        <f t="shared" ca="1" si="29"/>
        <v>__</v>
      </c>
      <c r="BV272" s="21" t="str">
        <f ca="1">IFERROR(VLOOKUP(AF272,OFFSET(abbreviation[],0,ColumnLanguage),ColumnAbbreviation,FALSE),"")</f>
        <v/>
      </c>
      <c r="BW272" s="21" t="str">
        <f ca="1">IFERROR(VLOOKUP(AH272,OFFSET(abbreviation[],0,ColumnLanguage),ColumnAbbreviation,FALSE),"")</f>
        <v/>
      </c>
      <c r="BX272" s="21" t="str">
        <f ca="1">IFERROR(VLOOKUP(AJ272,OFFSET(abbreviation[],0,ColumnLanguage),ColumnAbbreviation,FALSE),"")</f>
        <v/>
      </c>
      <c r="BY272" s="21" t="str">
        <f ca="1">IFERROR(VLOOKUP(AL272,OFFSET(abbreviation[],0,ColumnLanguage),ColumnAbbreviation,FALSE),"")</f>
        <v/>
      </c>
      <c r="BZ272" s="21" t="str">
        <f t="shared" ca="1" si="30"/>
        <v>_</v>
      </c>
      <c r="CA272" s="21" t="str">
        <f ca="1">IFERROR(VLOOKUP(AP272,OFFSET(abbreviation[],0,ColumnLanguage),ColumnAbbreviation,FALSE),"")</f>
        <v/>
      </c>
      <c r="CB272" s="21" t="str">
        <f ca="1">IFERROR(VLOOKUP(AR272,OFFSET(abbreviation[],0,ColumnLanguage),ColumnAbbreviation,FALSE),"")</f>
        <v/>
      </c>
      <c r="CC272" s="21" t="str">
        <f ca="1">IFERROR(VLOOKUP(AT272,OFFSET(abbreviation[],0,ColumnLanguage),ColumnAbbreviation,FALSE),"")</f>
        <v/>
      </c>
      <c r="CD272" s="21" t="str">
        <f ca="1">IFERROR(VLOOKUP(AV272,OFFSET(abbreviation[],0,ColumnLanguage),ColumnAbbreviation,FALSE),"")</f>
        <v/>
      </c>
      <c r="CE272" s="21" t="str">
        <f t="shared" ca="1" si="31"/>
        <v>__</v>
      </c>
      <c r="CF272" s="21" t="str">
        <f ca="1">IFERROR(VLOOKUP(AX272,OFFSET(abbreviation[],0,ColumnLanguage),ColumnAbbreviation,FALSE),"")</f>
        <v/>
      </c>
      <c r="CG272" s="21" t="str">
        <f ca="1">IFERROR(VLOOKUP(AZ272,OFFSET(abbreviation[],0,ColumnLanguage),ColumnAbbreviation,FALSE),"")</f>
        <v/>
      </c>
      <c r="CH272" s="21" t="str">
        <f ca="1">IFERROR(VLOOKUP(BB272,OFFSET(abbreviation[],0,ColumnLanguage),ColumnAbbreviation,FALSE),"")</f>
        <v/>
      </c>
      <c r="CI272" s="21" t="str">
        <f ca="1">IFERROR(VLOOKUP(BD272,OFFSET(abbreviation[],0,ColumnLanguage),ColumnAbbreviation,FALSE),"")</f>
        <v/>
      </c>
      <c r="CJ272" s="21" t="str">
        <f ca="1">IFERROR(VLOOKUP(BF272,OFFSET(abbreviation[],0,ColumnLanguage),ColumnAbbreviation,FALSE),"")</f>
        <v/>
      </c>
      <c r="CK272" s="21" t="str">
        <f t="shared" ca="1" si="32"/>
        <v/>
      </c>
      <c r="CL272" s="21" t="str">
        <f t="shared" si="33"/>
        <v/>
      </c>
      <c r="CM272" s="52"/>
      <c r="CN272" s="57" t="str">
        <f t="shared" si="34"/>
        <v/>
      </c>
    </row>
    <row r="273" spans="16:92" x14ac:dyDescent="0.25">
      <c r="P273" s="60"/>
      <c r="Q273" s="13"/>
      <c r="V273" s="60"/>
      <c r="X273" s="61"/>
      <c r="AB273" s="60"/>
      <c r="AN273" s="54"/>
      <c r="AS273" s="15"/>
      <c r="BH273" s="52"/>
      <c r="BI273" s="21" t="str">
        <f ca="1">IFERROR(VLOOKUP(C273,OFFSET(abbreviation[],0,ColumnLanguage),ColumnAbbreviation,FALSE),"")</f>
        <v/>
      </c>
      <c r="BJ273" s="21" t="str">
        <f ca="1">IFERROR(VLOOKUP(E273,OFFSET(abbreviation[],0,ColumnLanguage),ColumnAbbreviation,FALSE),"")</f>
        <v/>
      </c>
      <c r="BK273" s="21" t="str">
        <f ca="1">IFERROR(VLOOKUP(G273,OFFSET(abbreviation[],0,ColumnLanguage),ColumnAbbreviation,FALSE),"")</f>
        <v/>
      </c>
      <c r="BL273" s="21" t="str">
        <f ca="1">IFERROR(VLOOKUP(I273,OFFSET(abbreviation[],0,ColumnLanguage),ColumnAbbreviation,FALSE),"")</f>
        <v/>
      </c>
      <c r="BM273" s="21" t="str">
        <f ca="1">IFERROR(VLOOKUP(K273,OFFSET(abbreviation[],0,ColumnLanguage),ColumnAbbreviation,FALSE),"")</f>
        <v/>
      </c>
      <c r="BN273" s="21" t="str">
        <f t="shared" ca="1" si="28"/>
        <v/>
      </c>
      <c r="BO273" s="21" t="str">
        <f ca="1">IFERROR(VLOOKUP(N273,OFFSET(abbreviation[],0,ColumnLanguage),ColumnAbbreviation,FALSE),"")</f>
        <v/>
      </c>
      <c r="BP273" s="21" t="str">
        <f ca="1">IFERROR(VLOOKUP(P273,OFFSET(abbreviation[],0,ColumnLanguage),ColumnAbbreviation,FALSE),"")</f>
        <v/>
      </c>
      <c r="BQ273" s="21" t="str">
        <f ca="1">IFERROR(VLOOKUP(T273,OFFSET(abbreviation[],0,ColumnLanguage),ColumnAbbreviation,FALSE),"")</f>
        <v/>
      </c>
      <c r="BR273" s="21" t="str">
        <f ca="1">IFERROR(VLOOKUP(V273,OFFSET(abbreviation[],0,ColumnLanguage),ColumnAbbreviation,FALSE),"")</f>
        <v/>
      </c>
      <c r="BS273" s="21" t="str">
        <f ca="1">IFERROR(VLOOKUP(Z273,OFFSET(abbreviation[],0,ColumnLanguage),ColumnAbbreviation,FALSE),"")</f>
        <v/>
      </c>
      <c r="BT273" s="21" t="str">
        <f ca="1">IFERROR(VLOOKUP(AB273,OFFSET(abbreviation[],0,ColumnLanguage),ColumnAbbreviation,FALSE),"")</f>
        <v/>
      </c>
      <c r="BU273" s="21" t="str">
        <f t="shared" ca="1" si="29"/>
        <v>__</v>
      </c>
      <c r="BV273" s="21" t="str">
        <f ca="1">IFERROR(VLOOKUP(AF273,OFFSET(abbreviation[],0,ColumnLanguage),ColumnAbbreviation,FALSE),"")</f>
        <v/>
      </c>
      <c r="BW273" s="21" t="str">
        <f ca="1">IFERROR(VLOOKUP(AH273,OFFSET(abbreviation[],0,ColumnLanguage),ColumnAbbreviation,FALSE),"")</f>
        <v/>
      </c>
      <c r="BX273" s="21" t="str">
        <f ca="1">IFERROR(VLOOKUP(AJ273,OFFSET(abbreviation[],0,ColumnLanguage),ColumnAbbreviation,FALSE),"")</f>
        <v/>
      </c>
      <c r="BY273" s="21" t="str">
        <f ca="1">IFERROR(VLOOKUP(AL273,OFFSET(abbreviation[],0,ColumnLanguage),ColumnAbbreviation,FALSE),"")</f>
        <v/>
      </c>
      <c r="BZ273" s="21" t="str">
        <f t="shared" ca="1" si="30"/>
        <v>_</v>
      </c>
      <c r="CA273" s="21" t="str">
        <f ca="1">IFERROR(VLOOKUP(AP273,OFFSET(abbreviation[],0,ColumnLanguage),ColumnAbbreviation,FALSE),"")</f>
        <v/>
      </c>
      <c r="CB273" s="21" t="str">
        <f ca="1">IFERROR(VLOOKUP(AR273,OFFSET(abbreviation[],0,ColumnLanguage),ColumnAbbreviation,FALSE),"")</f>
        <v/>
      </c>
      <c r="CC273" s="21" t="str">
        <f ca="1">IFERROR(VLOOKUP(AT273,OFFSET(abbreviation[],0,ColumnLanguage),ColumnAbbreviation,FALSE),"")</f>
        <v/>
      </c>
      <c r="CD273" s="21" t="str">
        <f ca="1">IFERROR(VLOOKUP(AV273,OFFSET(abbreviation[],0,ColumnLanguage),ColumnAbbreviation,FALSE),"")</f>
        <v/>
      </c>
      <c r="CE273" s="21" t="str">
        <f t="shared" ca="1" si="31"/>
        <v>__</v>
      </c>
      <c r="CF273" s="21" t="str">
        <f ca="1">IFERROR(VLOOKUP(AX273,OFFSET(abbreviation[],0,ColumnLanguage),ColumnAbbreviation,FALSE),"")</f>
        <v/>
      </c>
      <c r="CG273" s="21" t="str">
        <f ca="1">IFERROR(VLOOKUP(AZ273,OFFSET(abbreviation[],0,ColumnLanguage),ColumnAbbreviation,FALSE),"")</f>
        <v/>
      </c>
      <c r="CH273" s="21" t="str">
        <f ca="1">IFERROR(VLOOKUP(BB273,OFFSET(abbreviation[],0,ColumnLanguage),ColumnAbbreviation,FALSE),"")</f>
        <v/>
      </c>
      <c r="CI273" s="21" t="str">
        <f ca="1">IFERROR(VLOOKUP(BD273,OFFSET(abbreviation[],0,ColumnLanguage),ColumnAbbreviation,FALSE),"")</f>
        <v/>
      </c>
      <c r="CJ273" s="21" t="str">
        <f ca="1">IFERROR(VLOOKUP(BF273,OFFSET(abbreviation[],0,ColumnLanguage),ColumnAbbreviation,FALSE),"")</f>
        <v/>
      </c>
      <c r="CK273" s="21" t="str">
        <f t="shared" ca="1" si="32"/>
        <v/>
      </c>
      <c r="CL273" s="21" t="str">
        <f t="shared" si="33"/>
        <v/>
      </c>
      <c r="CM273" s="52"/>
      <c r="CN273" s="57" t="str">
        <f t="shared" si="34"/>
        <v/>
      </c>
    </row>
    <row r="274" spans="16:92" x14ac:dyDescent="0.25">
      <c r="P274" s="60"/>
      <c r="Q274" s="13"/>
      <c r="V274" s="60"/>
      <c r="X274" s="61"/>
      <c r="AB274" s="60"/>
      <c r="AN274" s="54"/>
      <c r="AS274" s="15"/>
      <c r="BH274" s="52"/>
      <c r="BI274" s="21" t="str">
        <f ca="1">IFERROR(VLOOKUP(C274,OFFSET(abbreviation[],0,ColumnLanguage),ColumnAbbreviation,FALSE),"")</f>
        <v/>
      </c>
      <c r="BJ274" s="21" t="str">
        <f ca="1">IFERROR(VLOOKUP(E274,OFFSET(abbreviation[],0,ColumnLanguage),ColumnAbbreviation,FALSE),"")</f>
        <v/>
      </c>
      <c r="BK274" s="21" t="str">
        <f ca="1">IFERROR(VLOOKUP(G274,OFFSET(abbreviation[],0,ColumnLanguage),ColumnAbbreviation,FALSE),"")</f>
        <v/>
      </c>
      <c r="BL274" s="21" t="str">
        <f ca="1">IFERROR(VLOOKUP(I274,OFFSET(abbreviation[],0,ColumnLanguage),ColumnAbbreviation,FALSE),"")</f>
        <v/>
      </c>
      <c r="BM274" s="21" t="str">
        <f ca="1">IFERROR(VLOOKUP(K274,OFFSET(abbreviation[],0,ColumnLanguage),ColumnAbbreviation,FALSE),"")</f>
        <v/>
      </c>
      <c r="BN274" s="21" t="str">
        <f t="shared" ca="1" si="28"/>
        <v/>
      </c>
      <c r="BO274" s="21" t="str">
        <f ca="1">IFERROR(VLOOKUP(N274,OFFSET(abbreviation[],0,ColumnLanguage),ColumnAbbreviation,FALSE),"")</f>
        <v/>
      </c>
      <c r="BP274" s="21" t="str">
        <f ca="1">IFERROR(VLOOKUP(P274,OFFSET(abbreviation[],0,ColumnLanguage),ColumnAbbreviation,FALSE),"")</f>
        <v/>
      </c>
      <c r="BQ274" s="21" t="str">
        <f ca="1">IFERROR(VLOOKUP(T274,OFFSET(abbreviation[],0,ColumnLanguage),ColumnAbbreviation,FALSE),"")</f>
        <v/>
      </c>
      <c r="BR274" s="21" t="str">
        <f ca="1">IFERROR(VLOOKUP(V274,OFFSET(abbreviation[],0,ColumnLanguage),ColumnAbbreviation,FALSE),"")</f>
        <v/>
      </c>
      <c r="BS274" s="21" t="str">
        <f ca="1">IFERROR(VLOOKUP(Z274,OFFSET(abbreviation[],0,ColumnLanguage),ColumnAbbreviation,FALSE),"")</f>
        <v/>
      </c>
      <c r="BT274" s="21" t="str">
        <f ca="1">IFERROR(VLOOKUP(AB274,OFFSET(abbreviation[],0,ColumnLanguage),ColumnAbbreviation,FALSE),"")</f>
        <v/>
      </c>
      <c r="BU274" s="21" t="str">
        <f t="shared" ca="1" si="29"/>
        <v>__</v>
      </c>
      <c r="BV274" s="21" t="str">
        <f ca="1">IFERROR(VLOOKUP(AF274,OFFSET(abbreviation[],0,ColumnLanguage),ColumnAbbreviation,FALSE),"")</f>
        <v/>
      </c>
      <c r="BW274" s="21" t="str">
        <f ca="1">IFERROR(VLOOKUP(AH274,OFFSET(abbreviation[],0,ColumnLanguage),ColumnAbbreviation,FALSE),"")</f>
        <v/>
      </c>
      <c r="BX274" s="21" t="str">
        <f ca="1">IFERROR(VLOOKUP(AJ274,OFFSET(abbreviation[],0,ColumnLanguage),ColumnAbbreviation,FALSE),"")</f>
        <v/>
      </c>
      <c r="BY274" s="21" t="str">
        <f ca="1">IFERROR(VLOOKUP(AL274,OFFSET(abbreviation[],0,ColumnLanguage),ColumnAbbreviation,FALSE),"")</f>
        <v/>
      </c>
      <c r="BZ274" s="21" t="str">
        <f t="shared" ca="1" si="30"/>
        <v>_</v>
      </c>
      <c r="CA274" s="21" t="str">
        <f ca="1">IFERROR(VLOOKUP(AP274,OFFSET(abbreviation[],0,ColumnLanguage),ColumnAbbreviation,FALSE),"")</f>
        <v/>
      </c>
      <c r="CB274" s="21" t="str">
        <f ca="1">IFERROR(VLOOKUP(AR274,OFFSET(abbreviation[],0,ColumnLanguage),ColumnAbbreviation,FALSE),"")</f>
        <v/>
      </c>
      <c r="CC274" s="21" t="str">
        <f ca="1">IFERROR(VLOOKUP(AT274,OFFSET(abbreviation[],0,ColumnLanguage),ColumnAbbreviation,FALSE),"")</f>
        <v/>
      </c>
      <c r="CD274" s="21" t="str">
        <f ca="1">IFERROR(VLOOKUP(AV274,OFFSET(abbreviation[],0,ColumnLanguage),ColumnAbbreviation,FALSE),"")</f>
        <v/>
      </c>
      <c r="CE274" s="21" t="str">
        <f t="shared" ca="1" si="31"/>
        <v>__</v>
      </c>
      <c r="CF274" s="21" t="str">
        <f ca="1">IFERROR(VLOOKUP(AX274,OFFSET(abbreviation[],0,ColumnLanguage),ColumnAbbreviation,FALSE),"")</f>
        <v/>
      </c>
      <c r="CG274" s="21" t="str">
        <f ca="1">IFERROR(VLOOKUP(AZ274,OFFSET(abbreviation[],0,ColumnLanguage),ColumnAbbreviation,FALSE),"")</f>
        <v/>
      </c>
      <c r="CH274" s="21" t="str">
        <f ca="1">IFERROR(VLOOKUP(BB274,OFFSET(abbreviation[],0,ColumnLanguage),ColumnAbbreviation,FALSE),"")</f>
        <v/>
      </c>
      <c r="CI274" s="21" t="str">
        <f ca="1">IFERROR(VLOOKUP(BD274,OFFSET(abbreviation[],0,ColumnLanguage),ColumnAbbreviation,FALSE),"")</f>
        <v/>
      </c>
      <c r="CJ274" s="21" t="str">
        <f ca="1">IFERROR(VLOOKUP(BF274,OFFSET(abbreviation[],0,ColumnLanguage),ColumnAbbreviation,FALSE),"")</f>
        <v/>
      </c>
      <c r="CK274" s="21" t="str">
        <f t="shared" ca="1" si="32"/>
        <v/>
      </c>
      <c r="CL274" s="21" t="str">
        <f t="shared" si="33"/>
        <v/>
      </c>
      <c r="CM274" s="52"/>
      <c r="CN274" s="57" t="str">
        <f t="shared" si="34"/>
        <v/>
      </c>
    </row>
    <row r="275" spans="16:92" x14ac:dyDescent="0.25">
      <c r="P275" s="60"/>
      <c r="Q275" s="13"/>
      <c r="V275" s="60"/>
      <c r="X275" s="61"/>
      <c r="AB275" s="60"/>
      <c r="AN275" s="54"/>
      <c r="AS275" s="15"/>
      <c r="BH275" s="52"/>
      <c r="BI275" s="21" t="str">
        <f ca="1">IFERROR(VLOOKUP(C275,OFFSET(abbreviation[],0,ColumnLanguage),ColumnAbbreviation,FALSE),"")</f>
        <v/>
      </c>
      <c r="BJ275" s="21" t="str">
        <f ca="1">IFERROR(VLOOKUP(E275,OFFSET(abbreviation[],0,ColumnLanguage),ColumnAbbreviation,FALSE),"")</f>
        <v/>
      </c>
      <c r="BK275" s="21" t="str">
        <f ca="1">IFERROR(VLOOKUP(G275,OFFSET(abbreviation[],0,ColumnLanguage),ColumnAbbreviation,FALSE),"")</f>
        <v/>
      </c>
      <c r="BL275" s="21" t="str">
        <f ca="1">IFERROR(VLOOKUP(I275,OFFSET(abbreviation[],0,ColumnLanguage),ColumnAbbreviation,FALSE),"")</f>
        <v/>
      </c>
      <c r="BM275" s="21" t="str">
        <f ca="1">IFERROR(VLOOKUP(K275,OFFSET(abbreviation[],0,ColumnLanguage),ColumnAbbreviation,FALSE),"")</f>
        <v/>
      </c>
      <c r="BN275" s="21" t="str">
        <f t="shared" ca="1" si="28"/>
        <v/>
      </c>
      <c r="BO275" s="21" t="str">
        <f ca="1">IFERROR(VLOOKUP(N275,OFFSET(abbreviation[],0,ColumnLanguage),ColumnAbbreviation,FALSE),"")</f>
        <v/>
      </c>
      <c r="BP275" s="21" t="str">
        <f ca="1">IFERROR(VLOOKUP(P275,OFFSET(abbreviation[],0,ColumnLanguage),ColumnAbbreviation,FALSE),"")</f>
        <v/>
      </c>
      <c r="BQ275" s="21" t="str">
        <f ca="1">IFERROR(VLOOKUP(T275,OFFSET(abbreviation[],0,ColumnLanguage),ColumnAbbreviation,FALSE),"")</f>
        <v/>
      </c>
      <c r="BR275" s="21" t="str">
        <f ca="1">IFERROR(VLOOKUP(V275,OFFSET(abbreviation[],0,ColumnLanguage),ColumnAbbreviation,FALSE),"")</f>
        <v/>
      </c>
      <c r="BS275" s="21" t="str">
        <f ca="1">IFERROR(VLOOKUP(Z275,OFFSET(abbreviation[],0,ColumnLanguage),ColumnAbbreviation,FALSE),"")</f>
        <v/>
      </c>
      <c r="BT275" s="21" t="str">
        <f ca="1">IFERROR(VLOOKUP(AB275,OFFSET(abbreviation[],0,ColumnLanguage),ColumnAbbreviation,FALSE),"")</f>
        <v/>
      </c>
      <c r="BU275" s="21" t="str">
        <f t="shared" ca="1" si="29"/>
        <v>__</v>
      </c>
      <c r="BV275" s="21" t="str">
        <f ca="1">IFERROR(VLOOKUP(AF275,OFFSET(abbreviation[],0,ColumnLanguage),ColumnAbbreviation,FALSE),"")</f>
        <v/>
      </c>
      <c r="BW275" s="21" t="str">
        <f ca="1">IFERROR(VLOOKUP(AH275,OFFSET(abbreviation[],0,ColumnLanguage),ColumnAbbreviation,FALSE),"")</f>
        <v/>
      </c>
      <c r="BX275" s="21" t="str">
        <f ca="1">IFERROR(VLOOKUP(AJ275,OFFSET(abbreviation[],0,ColumnLanguage),ColumnAbbreviation,FALSE),"")</f>
        <v/>
      </c>
      <c r="BY275" s="21" t="str">
        <f ca="1">IFERROR(VLOOKUP(AL275,OFFSET(abbreviation[],0,ColumnLanguage),ColumnAbbreviation,FALSE),"")</f>
        <v/>
      </c>
      <c r="BZ275" s="21" t="str">
        <f t="shared" ca="1" si="30"/>
        <v>_</v>
      </c>
      <c r="CA275" s="21" t="str">
        <f ca="1">IFERROR(VLOOKUP(AP275,OFFSET(abbreviation[],0,ColumnLanguage),ColumnAbbreviation,FALSE),"")</f>
        <v/>
      </c>
      <c r="CB275" s="21" t="str">
        <f ca="1">IFERROR(VLOOKUP(AR275,OFFSET(abbreviation[],0,ColumnLanguage),ColumnAbbreviation,FALSE),"")</f>
        <v/>
      </c>
      <c r="CC275" s="21" t="str">
        <f ca="1">IFERROR(VLOOKUP(AT275,OFFSET(abbreviation[],0,ColumnLanguage),ColumnAbbreviation,FALSE),"")</f>
        <v/>
      </c>
      <c r="CD275" s="21" t="str">
        <f ca="1">IFERROR(VLOOKUP(AV275,OFFSET(abbreviation[],0,ColumnLanguage),ColumnAbbreviation,FALSE),"")</f>
        <v/>
      </c>
      <c r="CE275" s="21" t="str">
        <f t="shared" ca="1" si="31"/>
        <v>__</v>
      </c>
      <c r="CF275" s="21" t="str">
        <f ca="1">IFERROR(VLOOKUP(AX275,OFFSET(abbreviation[],0,ColumnLanguage),ColumnAbbreviation,FALSE),"")</f>
        <v/>
      </c>
      <c r="CG275" s="21" t="str">
        <f ca="1">IFERROR(VLOOKUP(AZ275,OFFSET(abbreviation[],0,ColumnLanguage),ColumnAbbreviation,FALSE),"")</f>
        <v/>
      </c>
      <c r="CH275" s="21" t="str">
        <f ca="1">IFERROR(VLOOKUP(BB275,OFFSET(abbreviation[],0,ColumnLanguage),ColumnAbbreviation,FALSE),"")</f>
        <v/>
      </c>
      <c r="CI275" s="21" t="str">
        <f ca="1">IFERROR(VLOOKUP(BD275,OFFSET(abbreviation[],0,ColumnLanguage),ColumnAbbreviation,FALSE),"")</f>
        <v/>
      </c>
      <c r="CJ275" s="21" t="str">
        <f ca="1">IFERROR(VLOOKUP(BF275,OFFSET(abbreviation[],0,ColumnLanguage),ColumnAbbreviation,FALSE),"")</f>
        <v/>
      </c>
      <c r="CK275" s="21" t="str">
        <f t="shared" ca="1" si="32"/>
        <v/>
      </c>
      <c r="CL275" s="21" t="str">
        <f t="shared" si="33"/>
        <v/>
      </c>
      <c r="CM275" s="52"/>
      <c r="CN275" s="57" t="str">
        <f t="shared" si="34"/>
        <v/>
      </c>
    </row>
    <row r="276" spans="16:92" x14ac:dyDescent="0.25">
      <c r="P276" s="60"/>
      <c r="Q276" s="13"/>
      <c r="V276" s="60"/>
      <c r="X276" s="61"/>
      <c r="AB276" s="60"/>
      <c r="AN276" s="54"/>
      <c r="AS276" s="15"/>
      <c r="BH276" s="52"/>
      <c r="BI276" s="21" t="str">
        <f ca="1">IFERROR(VLOOKUP(C276,OFFSET(abbreviation[],0,ColumnLanguage),ColumnAbbreviation,FALSE),"")</f>
        <v/>
      </c>
      <c r="BJ276" s="21" t="str">
        <f ca="1">IFERROR(VLOOKUP(E276,OFFSET(abbreviation[],0,ColumnLanguage),ColumnAbbreviation,FALSE),"")</f>
        <v/>
      </c>
      <c r="BK276" s="21" t="str">
        <f ca="1">IFERROR(VLOOKUP(G276,OFFSET(abbreviation[],0,ColumnLanguage),ColumnAbbreviation,FALSE),"")</f>
        <v/>
      </c>
      <c r="BL276" s="21" t="str">
        <f ca="1">IFERROR(VLOOKUP(I276,OFFSET(abbreviation[],0,ColumnLanguage),ColumnAbbreviation,FALSE),"")</f>
        <v/>
      </c>
      <c r="BM276" s="21" t="str">
        <f ca="1">IFERROR(VLOOKUP(K276,OFFSET(abbreviation[],0,ColumnLanguage),ColumnAbbreviation,FALSE),"")</f>
        <v/>
      </c>
      <c r="BN276" s="21" t="str">
        <f t="shared" ca="1" si="28"/>
        <v/>
      </c>
      <c r="BO276" s="21" t="str">
        <f ca="1">IFERROR(VLOOKUP(N276,OFFSET(abbreviation[],0,ColumnLanguage),ColumnAbbreviation,FALSE),"")</f>
        <v/>
      </c>
      <c r="BP276" s="21" t="str">
        <f ca="1">IFERROR(VLOOKUP(P276,OFFSET(abbreviation[],0,ColumnLanguage),ColumnAbbreviation,FALSE),"")</f>
        <v/>
      </c>
      <c r="BQ276" s="21" t="str">
        <f ca="1">IFERROR(VLOOKUP(T276,OFFSET(abbreviation[],0,ColumnLanguage),ColumnAbbreviation,FALSE),"")</f>
        <v/>
      </c>
      <c r="BR276" s="21" t="str">
        <f ca="1">IFERROR(VLOOKUP(V276,OFFSET(abbreviation[],0,ColumnLanguage),ColumnAbbreviation,FALSE),"")</f>
        <v/>
      </c>
      <c r="BS276" s="21" t="str">
        <f ca="1">IFERROR(VLOOKUP(Z276,OFFSET(abbreviation[],0,ColumnLanguage),ColumnAbbreviation,FALSE),"")</f>
        <v/>
      </c>
      <c r="BT276" s="21" t="str">
        <f ca="1">IFERROR(VLOOKUP(AB276,OFFSET(abbreviation[],0,ColumnLanguage),ColumnAbbreviation,FALSE),"")</f>
        <v/>
      </c>
      <c r="BU276" s="21" t="str">
        <f t="shared" ca="1" si="29"/>
        <v>__</v>
      </c>
      <c r="BV276" s="21" t="str">
        <f ca="1">IFERROR(VLOOKUP(AF276,OFFSET(abbreviation[],0,ColumnLanguage),ColumnAbbreviation,FALSE),"")</f>
        <v/>
      </c>
      <c r="BW276" s="21" t="str">
        <f ca="1">IFERROR(VLOOKUP(AH276,OFFSET(abbreviation[],0,ColumnLanguage),ColumnAbbreviation,FALSE),"")</f>
        <v/>
      </c>
      <c r="BX276" s="21" t="str">
        <f ca="1">IFERROR(VLOOKUP(AJ276,OFFSET(abbreviation[],0,ColumnLanguage),ColumnAbbreviation,FALSE),"")</f>
        <v/>
      </c>
      <c r="BY276" s="21" t="str">
        <f ca="1">IFERROR(VLOOKUP(AL276,OFFSET(abbreviation[],0,ColumnLanguage),ColumnAbbreviation,FALSE),"")</f>
        <v/>
      </c>
      <c r="BZ276" s="21" t="str">
        <f t="shared" ca="1" si="30"/>
        <v>_</v>
      </c>
      <c r="CA276" s="21" t="str">
        <f ca="1">IFERROR(VLOOKUP(AP276,OFFSET(abbreviation[],0,ColumnLanguage),ColumnAbbreviation,FALSE),"")</f>
        <v/>
      </c>
      <c r="CB276" s="21" t="str">
        <f ca="1">IFERROR(VLOOKUP(AR276,OFFSET(abbreviation[],0,ColumnLanguage),ColumnAbbreviation,FALSE),"")</f>
        <v/>
      </c>
      <c r="CC276" s="21" t="str">
        <f ca="1">IFERROR(VLOOKUP(AT276,OFFSET(abbreviation[],0,ColumnLanguage),ColumnAbbreviation,FALSE),"")</f>
        <v/>
      </c>
      <c r="CD276" s="21" t="str">
        <f ca="1">IFERROR(VLOOKUP(AV276,OFFSET(abbreviation[],0,ColumnLanguage),ColumnAbbreviation,FALSE),"")</f>
        <v/>
      </c>
      <c r="CE276" s="21" t="str">
        <f t="shared" ca="1" si="31"/>
        <v>__</v>
      </c>
      <c r="CF276" s="21" t="str">
        <f ca="1">IFERROR(VLOOKUP(AX276,OFFSET(abbreviation[],0,ColumnLanguage),ColumnAbbreviation,FALSE),"")</f>
        <v/>
      </c>
      <c r="CG276" s="21" t="str">
        <f ca="1">IFERROR(VLOOKUP(AZ276,OFFSET(abbreviation[],0,ColumnLanguage),ColumnAbbreviation,FALSE),"")</f>
        <v/>
      </c>
      <c r="CH276" s="21" t="str">
        <f ca="1">IFERROR(VLOOKUP(BB276,OFFSET(abbreviation[],0,ColumnLanguage),ColumnAbbreviation,FALSE),"")</f>
        <v/>
      </c>
      <c r="CI276" s="21" t="str">
        <f ca="1">IFERROR(VLOOKUP(BD276,OFFSET(abbreviation[],0,ColumnLanguage),ColumnAbbreviation,FALSE),"")</f>
        <v/>
      </c>
      <c r="CJ276" s="21" t="str">
        <f ca="1">IFERROR(VLOOKUP(BF276,OFFSET(abbreviation[],0,ColumnLanguage),ColumnAbbreviation,FALSE),"")</f>
        <v/>
      </c>
      <c r="CK276" s="21" t="str">
        <f t="shared" ca="1" si="32"/>
        <v/>
      </c>
      <c r="CL276" s="21" t="str">
        <f t="shared" si="33"/>
        <v/>
      </c>
      <c r="CM276" s="52"/>
      <c r="CN276" s="57" t="str">
        <f t="shared" si="34"/>
        <v/>
      </c>
    </row>
    <row r="277" spans="16:92" x14ac:dyDescent="0.25">
      <c r="P277" s="60"/>
      <c r="Q277" s="13"/>
      <c r="V277" s="60"/>
      <c r="X277" s="61"/>
      <c r="AB277" s="60"/>
      <c r="AN277" s="54"/>
      <c r="AS277" s="15"/>
      <c r="BH277" s="52"/>
      <c r="BI277" s="21" t="str">
        <f ca="1">IFERROR(VLOOKUP(C277,OFFSET(abbreviation[],0,ColumnLanguage),ColumnAbbreviation,FALSE),"")</f>
        <v/>
      </c>
      <c r="BJ277" s="21" t="str">
        <f ca="1">IFERROR(VLOOKUP(E277,OFFSET(abbreviation[],0,ColumnLanguage),ColumnAbbreviation,FALSE),"")</f>
        <v/>
      </c>
      <c r="BK277" s="21" t="str">
        <f ca="1">IFERROR(VLOOKUP(G277,OFFSET(abbreviation[],0,ColumnLanguage),ColumnAbbreviation,FALSE),"")</f>
        <v/>
      </c>
      <c r="BL277" s="21" t="str">
        <f ca="1">IFERROR(VLOOKUP(I277,OFFSET(abbreviation[],0,ColumnLanguage),ColumnAbbreviation,FALSE),"")</f>
        <v/>
      </c>
      <c r="BM277" s="21" t="str">
        <f ca="1">IFERROR(VLOOKUP(K277,OFFSET(abbreviation[],0,ColumnLanguage),ColumnAbbreviation,FALSE),"")</f>
        <v/>
      </c>
      <c r="BN277" s="21" t="str">
        <f t="shared" ca="1" si="28"/>
        <v/>
      </c>
      <c r="BO277" s="21" t="str">
        <f ca="1">IFERROR(VLOOKUP(N277,OFFSET(abbreviation[],0,ColumnLanguage),ColumnAbbreviation,FALSE),"")</f>
        <v/>
      </c>
      <c r="BP277" s="21" t="str">
        <f ca="1">IFERROR(VLOOKUP(P277,OFFSET(abbreviation[],0,ColumnLanguage),ColumnAbbreviation,FALSE),"")</f>
        <v/>
      </c>
      <c r="BQ277" s="21" t="str">
        <f ca="1">IFERROR(VLOOKUP(T277,OFFSET(abbreviation[],0,ColumnLanguage),ColumnAbbreviation,FALSE),"")</f>
        <v/>
      </c>
      <c r="BR277" s="21" t="str">
        <f ca="1">IFERROR(VLOOKUP(V277,OFFSET(abbreviation[],0,ColumnLanguage),ColumnAbbreviation,FALSE),"")</f>
        <v/>
      </c>
      <c r="BS277" s="21" t="str">
        <f ca="1">IFERROR(VLOOKUP(Z277,OFFSET(abbreviation[],0,ColumnLanguage),ColumnAbbreviation,FALSE),"")</f>
        <v/>
      </c>
      <c r="BT277" s="21" t="str">
        <f ca="1">IFERROR(VLOOKUP(AB277,OFFSET(abbreviation[],0,ColumnLanguage),ColumnAbbreviation,FALSE),"")</f>
        <v/>
      </c>
      <c r="BU277" s="21" t="str">
        <f t="shared" ca="1" si="29"/>
        <v>__</v>
      </c>
      <c r="BV277" s="21" t="str">
        <f ca="1">IFERROR(VLOOKUP(AF277,OFFSET(abbreviation[],0,ColumnLanguage),ColumnAbbreviation,FALSE),"")</f>
        <v/>
      </c>
      <c r="BW277" s="21" t="str">
        <f ca="1">IFERROR(VLOOKUP(AH277,OFFSET(abbreviation[],0,ColumnLanguage),ColumnAbbreviation,FALSE),"")</f>
        <v/>
      </c>
      <c r="BX277" s="21" t="str">
        <f ca="1">IFERROR(VLOOKUP(AJ277,OFFSET(abbreviation[],0,ColumnLanguage),ColumnAbbreviation,FALSE),"")</f>
        <v/>
      </c>
      <c r="BY277" s="21" t="str">
        <f ca="1">IFERROR(VLOOKUP(AL277,OFFSET(abbreviation[],0,ColumnLanguage),ColumnAbbreviation,FALSE),"")</f>
        <v/>
      </c>
      <c r="BZ277" s="21" t="str">
        <f t="shared" ca="1" si="30"/>
        <v>_</v>
      </c>
      <c r="CA277" s="21" t="str">
        <f ca="1">IFERROR(VLOOKUP(AP277,OFFSET(abbreviation[],0,ColumnLanguage),ColumnAbbreviation,FALSE),"")</f>
        <v/>
      </c>
      <c r="CB277" s="21" t="str">
        <f ca="1">IFERROR(VLOOKUP(AR277,OFFSET(abbreviation[],0,ColumnLanguage),ColumnAbbreviation,FALSE),"")</f>
        <v/>
      </c>
      <c r="CC277" s="21" t="str">
        <f ca="1">IFERROR(VLOOKUP(AT277,OFFSET(abbreviation[],0,ColumnLanguage),ColumnAbbreviation,FALSE),"")</f>
        <v/>
      </c>
      <c r="CD277" s="21" t="str">
        <f ca="1">IFERROR(VLOOKUP(AV277,OFFSET(abbreviation[],0,ColumnLanguage),ColumnAbbreviation,FALSE),"")</f>
        <v/>
      </c>
      <c r="CE277" s="21" t="str">
        <f t="shared" ca="1" si="31"/>
        <v>__</v>
      </c>
      <c r="CF277" s="21" t="str">
        <f ca="1">IFERROR(VLOOKUP(AX277,OFFSET(abbreviation[],0,ColumnLanguage),ColumnAbbreviation,FALSE),"")</f>
        <v/>
      </c>
      <c r="CG277" s="21" t="str">
        <f ca="1">IFERROR(VLOOKUP(AZ277,OFFSET(abbreviation[],0,ColumnLanguage),ColumnAbbreviation,FALSE),"")</f>
        <v/>
      </c>
      <c r="CH277" s="21" t="str">
        <f ca="1">IFERROR(VLOOKUP(BB277,OFFSET(abbreviation[],0,ColumnLanguage),ColumnAbbreviation,FALSE),"")</f>
        <v/>
      </c>
      <c r="CI277" s="21" t="str">
        <f ca="1">IFERROR(VLOOKUP(BD277,OFFSET(abbreviation[],0,ColumnLanguage),ColumnAbbreviation,FALSE),"")</f>
        <v/>
      </c>
      <c r="CJ277" s="21" t="str">
        <f ca="1">IFERROR(VLOOKUP(BF277,OFFSET(abbreviation[],0,ColumnLanguage),ColumnAbbreviation,FALSE),"")</f>
        <v/>
      </c>
      <c r="CK277" s="21" t="str">
        <f t="shared" ca="1" si="32"/>
        <v/>
      </c>
      <c r="CL277" s="21" t="str">
        <f t="shared" si="33"/>
        <v/>
      </c>
      <c r="CM277" s="52"/>
      <c r="CN277" s="57" t="str">
        <f t="shared" si="34"/>
        <v/>
      </c>
    </row>
    <row r="278" spans="16:92" x14ac:dyDescent="0.25">
      <c r="P278" s="60"/>
      <c r="Q278" s="13"/>
      <c r="V278" s="60"/>
      <c r="X278" s="61"/>
      <c r="AB278" s="60"/>
      <c r="AN278" s="54"/>
      <c r="AS278" s="15"/>
      <c r="BH278" s="52"/>
      <c r="BI278" s="21" t="str">
        <f ca="1">IFERROR(VLOOKUP(C278,OFFSET(abbreviation[],0,ColumnLanguage),ColumnAbbreviation,FALSE),"")</f>
        <v/>
      </c>
      <c r="BJ278" s="21" t="str">
        <f ca="1">IFERROR(VLOOKUP(E278,OFFSET(abbreviation[],0,ColumnLanguage),ColumnAbbreviation,FALSE),"")</f>
        <v/>
      </c>
      <c r="BK278" s="21" t="str">
        <f ca="1">IFERROR(VLOOKUP(G278,OFFSET(abbreviation[],0,ColumnLanguage),ColumnAbbreviation,FALSE),"")</f>
        <v/>
      </c>
      <c r="BL278" s="21" t="str">
        <f ca="1">IFERROR(VLOOKUP(I278,OFFSET(abbreviation[],0,ColumnLanguage),ColumnAbbreviation,FALSE),"")</f>
        <v/>
      </c>
      <c r="BM278" s="21" t="str">
        <f ca="1">IFERROR(VLOOKUP(K278,OFFSET(abbreviation[],0,ColumnLanguage),ColumnAbbreviation,FALSE),"")</f>
        <v/>
      </c>
      <c r="BN278" s="21" t="str">
        <f t="shared" ca="1" si="28"/>
        <v/>
      </c>
      <c r="BO278" s="21" t="str">
        <f ca="1">IFERROR(VLOOKUP(N278,OFFSET(abbreviation[],0,ColumnLanguage),ColumnAbbreviation,FALSE),"")</f>
        <v/>
      </c>
      <c r="BP278" s="21" t="str">
        <f ca="1">IFERROR(VLOOKUP(P278,OFFSET(abbreviation[],0,ColumnLanguage),ColumnAbbreviation,FALSE),"")</f>
        <v/>
      </c>
      <c r="BQ278" s="21" t="str">
        <f ca="1">IFERROR(VLOOKUP(T278,OFFSET(abbreviation[],0,ColumnLanguage),ColumnAbbreviation,FALSE),"")</f>
        <v/>
      </c>
      <c r="BR278" s="21" t="str">
        <f ca="1">IFERROR(VLOOKUP(V278,OFFSET(abbreviation[],0,ColumnLanguage),ColumnAbbreviation,FALSE),"")</f>
        <v/>
      </c>
      <c r="BS278" s="21" t="str">
        <f ca="1">IFERROR(VLOOKUP(Z278,OFFSET(abbreviation[],0,ColumnLanguage),ColumnAbbreviation,FALSE),"")</f>
        <v/>
      </c>
      <c r="BT278" s="21" t="str">
        <f ca="1">IFERROR(VLOOKUP(AB278,OFFSET(abbreviation[],0,ColumnLanguage),ColumnAbbreviation,FALSE),"")</f>
        <v/>
      </c>
      <c r="BU278" s="21" t="str">
        <f t="shared" ca="1" si="29"/>
        <v>__</v>
      </c>
      <c r="BV278" s="21" t="str">
        <f ca="1">IFERROR(VLOOKUP(AF278,OFFSET(abbreviation[],0,ColumnLanguage),ColumnAbbreviation,FALSE),"")</f>
        <v/>
      </c>
      <c r="BW278" s="21" t="str">
        <f ca="1">IFERROR(VLOOKUP(AH278,OFFSET(abbreviation[],0,ColumnLanguage),ColumnAbbreviation,FALSE),"")</f>
        <v/>
      </c>
      <c r="BX278" s="21" t="str">
        <f ca="1">IFERROR(VLOOKUP(AJ278,OFFSET(abbreviation[],0,ColumnLanguage),ColumnAbbreviation,FALSE),"")</f>
        <v/>
      </c>
      <c r="BY278" s="21" t="str">
        <f ca="1">IFERROR(VLOOKUP(AL278,OFFSET(abbreviation[],0,ColumnLanguage),ColumnAbbreviation,FALSE),"")</f>
        <v/>
      </c>
      <c r="BZ278" s="21" t="str">
        <f t="shared" ca="1" si="30"/>
        <v>_</v>
      </c>
      <c r="CA278" s="21" t="str">
        <f ca="1">IFERROR(VLOOKUP(AP278,OFFSET(abbreviation[],0,ColumnLanguage),ColumnAbbreviation,FALSE),"")</f>
        <v/>
      </c>
      <c r="CB278" s="21" t="str">
        <f ca="1">IFERROR(VLOOKUP(AR278,OFFSET(abbreviation[],0,ColumnLanguage),ColumnAbbreviation,FALSE),"")</f>
        <v/>
      </c>
      <c r="CC278" s="21" t="str">
        <f ca="1">IFERROR(VLOOKUP(AT278,OFFSET(abbreviation[],0,ColumnLanguage),ColumnAbbreviation,FALSE),"")</f>
        <v/>
      </c>
      <c r="CD278" s="21" t="str">
        <f ca="1">IFERROR(VLOOKUP(AV278,OFFSET(abbreviation[],0,ColumnLanguage),ColumnAbbreviation,FALSE),"")</f>
        <v/>
      </c>
      <c r="CE278" s="21" t="str">
        <f t="shared" ca="1" si="31"/>
        <v>__</v>
      </c>
      <c r="CF278" s="21" t="str">
        <f ca="1">IFERROR(VLOOKUP(AX278,OFFSET(abbreviation[],0,ColumnLanguage),ColumnAbbreviation,FALSE),"")</f>
        <v/>
      </c>
      <c r="CG278" s="21" t="str">
        <f ca="1">IFERROR(VLOOKUP(AZ278,OFFSET(abbreviation[],0,ColumnLanguage),ColumnAbbreviation,FALSE),"")</f>
        <v/>
      </c>
      <c r="CH278" s="21" t="str">
        <f ca="1">IFERROR(VLOOKUP(BB278,OFFSET(abbreviation[],0,ColumnLanguage),ColumnAbbreviation,FALSE),"")</f>
        <v/>
      </c>
      <c r="CI278" s="21" t="str">
        <f ca="1">IFERROR(VLOOKUP(BD278,OFFSET(abbreviation[],0,ColumnLanguage),ColumnAbbreviation,FALSE),"")</f>
        <v/>
      </c>
      <c r="CJ278" s="21" t="str">
        <f ca="1">IFERROR(VLOOKUP(BF278,OFFSET(abbreviation[],0,ColumnLanguage),ColumnAbbreviation,FALSE),"")</f>
        <v/>
      </c>
      <c r="CK278" s="21" t="str">
        <f t="shared" ca="1" si="32"/>
        <v/>
      </c>
      <c r="CL278" s="21" t="str">
        <f t="shared" si="33"/>
        <v/>
      </c>
      <c r="CM278" s="52"/>
      <c r="CN278" s="57" t="str">
        <f t="shared" si="34"/>
        <v/>
      </c>
    </row>
    <row r="279" spans="16:92" x14ac:dyDescent="0.25">
      <c r="P279" s="60"/>
      <c r="Q279" s="13"/>
      <c r="V279" s="60"/>
      <c r="X279" s="61"/>
      <c r="AB279" s="60"/>
      <c r="AN279" s="54"/>
      <c r="AS279" s="15"/>
      <c r="BH279" s="52"/>
      <c r="BI279" s="21" t="str">
        <f ca="1">IFERROR(VLOOKUP(C279,OFFSET(abbreviation[],0,ColumnLanguage),ColumnAbbreviation,FALSE),"")</f>
        <v/>
      </c>
      <c r="BJ279" s="21" t="str">
        <f ca="1">IFERROR(VLOOKUP(E279,OFFSET(abbreviation[],0,ColumnLanguage),ColumnAbbreviation,FALSE),"")</f>
        <v/>
      </c>
      <c r="BK279" s="21" t="str">
        <f ca="1">IFERROR(VLOOKUP(G279,OFFSET(abbreviation[],0,ColumnLanguage),ColumnAbbreviation,FALSE),"")</f>
        <v/>
      </c>
      <c r="BL279" s="21" t="str">
        <f ca="1">IFERROR(VLOOKUP(I279,OFFSET(abbreviation[],0,ColumnLanguage),ColumnAbbreviation,FALSE),"")</f>
        <v/>
      </c>
      <c r="BM279" s="21" t="str">
        <f ca="1">IFERROR(VLOOKUP(K279,OFFSET(abbreviation[],0,ColumnLanguage),ColumnAbbreviation,FALSE),"")</f>
        <v/>
      </c>
      <c r="BN279" s="21" t="str">
        <f t="shared" ca="1" si="28"/>
        <v/>
      </c>
      <c r="BO279" s="21" t="str">
        <f ca="1">IFERROR(VLOOKUP(N279,OFFSET(abbreviation[],0,ColumnLanguage),ColumnAbbreviation,FALSE),"")</f>
        <v/>
      </c>
      <c r="BP279" s="21" t="str">
        <f ca="1">IFERROR(VLOOKUP(P279,OFFSET(abbreviation[],0,ColumnLanguage),ColumnAbbreviation,FALSE),"")</f>
        <v/>
      </c>
      <c r="BQ279" s="21" t="str">
        <f ca="1">IFERROR(VLOOKUP(T279,OFFSET(abbreviation[],0,ColumnLanguage),ColumnAbbreviation,FALSE),"")</f>
        <v/>
      </c>
      <c r="BR279" s="21" t="str">
        <f ca="1">IFERROR(VLOOKUP(V279,OFFSET(abbreviation[],0,ColumnLanguage),ColumnAbbreviation,FALSE),"")</f>
        <v/>
      </c>
      <c r="BS279" s="21" t="str">
        <f ca="1">IFERROR(VLOOKUP(Z279,OFFSET(abbreviation[],0,ColumnLanguage),ColumnAbbreviation,FALSE),"")</f>
        <v/>
      </c>
      <c r="BT279" s="21" t="str">
        <f ca="1">IFERROR(VLOOKUP(AB279,OFFSET(abbreviation[],0,ColumnLanguage),ColumnAbbreviation,FALSE),"")</f>
        <v/>
      </c>
      <c r="BU279" s="21" t="str">
        <f t="shared" ca="1" si="29"/>
        <v>__</v>
      </c>
      <c r="BV279" s="21" t="str">
        <f ca="1">IFERROR(VLOOKUP(AF279,OFFSET(abbreviation[],0,ColumnLanguage),ColumnAbbreviation,FALSE),"")</f>
        <v/>
      </c>
      <c r="BW279" s="21" t="str">
        <f ca="1">IFERROR(VLOOKUP(AH279,OFFSET(abbreviation[],0,ColumnLanguage),ColumnAbbreviation,FALSE),"")</f>
        <v/>
      </c>
      <c r="BX279" s="21" t="str">
        <f ca="1">IFERROR(VLOOKUP(AJ279,OFFSET(abbreviation[],0,ColumnLanguage),ColumnAbbreviation,FALSE),"")</f>
        <v/>
      </c>
      <c r="BY279" s="21" t="str">
        <f ca="1">IFERROR(VLOOKUP(AL279,OFFSET(abbreviation[],0,ColumnLanguage),ColumnAbbreviation,FALSE),"")</f>
        <v/>
      </c>
      <c r="BZ279" s="21" t="str">
        <f t="shared" ca="1" si="30"/>
        <v>_</v>
      </c>
      <c r="CA279" s="21" t="str">
        <f ca="1">IFERROR(VLOOKUP(AP279,OFFSET(abbreviation[],0,ColumnLanguage),ColumnAbbreviation,FALSE),"")</f>
        <v/>
      </c>
      <c r="CB279" s="21" t="str">
        <f ca="1">IFERROR(VLOOKUP(AR279,OFFSET(abbreviation[],0,ColumnLanguage),ColumnAbbreviation,FALSE),"")</f>
        <v/>
      </c>
      <c r="CC279" s="21" t="str">
        <f ca="1">IFERROR(VLOOKUP(AT279,OFFSET(abbreviation[],0,ColumnLanguage),ColumnAbbreviation,FALSE),"")</f>
        <v/>
      </c>
      <c r="CD279" s="21" t="str">
        <f ca="1">IFERROR(VLOOKUP(AV279,OFFSET(abbreviation[],0,ColumnLanguage),ColumnAbbreviation,FALSE),"")</f>
        <v/>
      </c>
      <c r="CE279" s="21" t="str">
        <f t="shared" ca="1" si="31"/>
        <v>__</v>
      </c>
      <c r="CF279" s="21" t="str">
        <f ca="1">IFERROR(VLOOKUP(AX279,OFFSET(abbreviation[],0,ColumnLanguage),ColumnAbbreviation,FALSE),"")</f>
        <v/>
      </c>
      <c r="CG279" s="21" t="str">
        <f ca="1">IFERROR(VLOOKUP(AZ279,OFFSET(abbreviation[],0,ColumnLanguage),ColumnAbbreviation,FALSE),"")</f>
        <v/>
      </c>
      <c r="CH279" s="21" t="str">
        <f ca="1">IFERROR(VLOOKUP(BB279,OFFSET(abbreviation[],0,ColumnLanguage),ColumnAbbreviation,FALSE),"")</f>
        <v/>
      </c>
      <c r="CI279" s="21" t="str">
        <f ca="1">IFERROR(VLOOKUP(BD279,OFFSET(abbreviation[],0,ColumnLanguage),ColumnAbbreviation,FALSE),"")</f>
        <v/>
      </c>
      <c r="CJ279" s="21" t="str">
        <f ca="1">IFERROR(VLOOKUP(BF279,OFFSET(abbreviation[],0,ColumnLanguage),ColumnAbbreviation,FALSE),"")</f>
        <v/>
      </c>
      <c r="CK279" s="21" t="str">
        <f t="shared" ca="1" si="32"/>
        <v/>
      </c>
      <c r="CL279" s="21" t="str">
        <f t="shared" si="33"/>
        <v/>
      </c>
      <c r="CM279" s="52"/>
      <c r="CN279" s="57" t="str">
        <f t="shared" si="34"/>
        <v/>
      </c>
    </row>
    <row r="280" spans="16:92" x14ac:dyDescent="0.25">
      <c r="P280" s="60"/>
      <c r="Q280" s="13"/>
      <c r="V280" s="60"/>
      <c r="X280" s="61"/>
      <c r="AB280" s="60"/>
      <c r="AN280" s="54"/>
      <c r="AS280" s="15"/>
      <c r="BH280" s="52"/>
      <c r="BI280" s="21" t="str">
        <f ca="1">IFERROR(VLOOKUP(C280,OFFSET(abbreviation[],0,ColumnLanguage),ColumnAbbreviation,FALSE),"")</f>
        <v/>
      </c>
      <c r="BJ280" s="21" t="str">
        <f ca="1">IFERROR(VLOOKUP(E280,OFFSET(abbreviation[],0,ColumnLanguage),ColumnAbbreviation,FALSE),"")</f>
        <v/>
      </c>
      <c r="BK280" s="21" t="str">
        <f ca="1">IFERROR(VLOOKUP(G280,OFFSET(abbreviation[],0,ColumnLanguage),ColumnAbbreviation,FALSE),"")</f>
        <v/>
      </c>
      <c r="BL280" s="21" t="str">
        <f ca="1">IFERROR(VLOOKUP(I280,OFFSET(abbreviation[],0,ColumnLanguage),ColumnAbbreviation,FALSE),"")</f>
        <v/>
      </c>
      <c r="BM280" s="21" t="str">
        <f ca="1">IFERROR(VLOOKUP(K280,OFFSET(abbreviation[],0,ColumnLanguage),ColumnAbbreviation,FALSE),"")</f>
        <v/>
      </c>
      <c r="BN280" s="21" t="str">
        <f t="shared" ca="1" si="28"/>
        <v/>
      </c>
      <c r="BO280" s="21" t="str">
        <f ca="1">IFERROR(VLOOKUP(N280,OFFSET(abbreviation[],0,ColumnLanguage),ColumnAbbreviation,FALSE),"")</f>
        <v/>
      </c>
      <c r="BP280" s="21" t="str">
        <f ca="1">IFERROR(VLOOKUP(P280,OFFSET(abbreviation[],0,ColumnLanguage),ColumnAbbreviation,FALSE),"")</f>
        <v/>
      </c>
      <c r="BQ280" s="21" t="str">
        <f ca="1">IFERROR(VLOOKUP(T280,OFFSET(abbreviation[],0,ColumnLanguage),ColumnAbbreviation,FALSE),"")</f>
        <v/>
      </c>
      <c r="BR280" s="21" t="str">
        <f ca="1">IFERROR(VLOOKUP(V280,OFFSET(abbreviation[],0,ColumnLanguage),ColumnAbbreviation,FALSE),"")</f>
        <v/>
      </c>
      <c r="BS280" s="21" t="str">
        <f ca="1">IFERROR(VLOOKUP(Z280,OFFSET(abbreviation[],0,ColumnLanguage),ColumnAbbreviation,FALSE),"")</f>
        <v/>
      </c>
      <c r="BT280" s="21" t="str">
        <f ca="1">IFERROR(VLOOKUP(AB280,OFFSET(abbreviation[],0,ColumnLanguage),ColumnAbbreviation,FALSE),"")</f>
        <v/>
      </c>
      <c r="BU280" s="21" t="str">
        <f t="shared" ca="1" si="29"/>
        <v>__</v>
      </c>
      <c r="BV280" s="21" t="str">
        <f ca="1">IFERROR(VLOOKUP(AF280,OFFSET(abbreviation[],0,ColumnLanguage),ColumnAbbreviation,FALSE),"")</f>
        <v/>
      </c>
      <c r="BW280" s="21" t="str">
        <f ca="1">IFERROR(VLOOKUP(AH280,OFFSET(abbreviation[],0,ColumnLanguage),ColumnAbbreviation,FALSE),"")</f>
        <v/>
      </c>
      <c r="BX280" s="21" t="str">
        <f ca="1">IFERROR(VLOOKUP(AJ280,OFFSET(abbreviation[],0,ColumnLanguage),ColumnAbbreviation,FALSE),"")</f>
        <v/>
      </c>
      <c r="BY280" s="21" t="str">
        <f ca="1">IFERROR(VLOOKUP(AL280,OFFSET(abbreviation[],0,ColumnLanguage),ColumnAbbreviation,FALSE),"")</f>
        <v/>
      </c>
      <c r="BZ280" s="21" t="str">
        <f t="shared" ca="1" si="30"/>
        <v>_</v>
      </c>
      <c r="CA280" s="21" t="str">
        <f ca="1">IFERROR(VLOOKUP(AP280,OFFSET(abbreviation[],0,ColumnLanguage),ColumnAbbreviation,FALSE),"")</f>
        <v/>
      </c>
      <c r="CB280" s="21" t="str">
        <f ca="1">IFERROR(VLOOKUP(AR280,OFFSET(abbreviation[],0,ColumnLanguage),ColumnAbbreviation,FALSE),"")</f>
        <v/>
      </c>
      <c r="CC280" s="21" t="str">
        <f ca="1">IFERROR(VLOOKUP(AT280,OFFSET(abbreviation[],0,ColumnLanguage),ColumnAbbreviation,FALSE),"")</f>
        <v/>
      </c>
      <c r="CD280" s="21" t="str">
        <f ca="1">IFERROR(VLOOKUP(AV280,OFFSET(abbreviation[],0,ColumnLanguage),ColumnAbbreviation,FALSE),"")</f>
        <v/>
      </c>
      <c r="CE280" s="21" t="str">
        <f t="shared" ca="1" si="31"/>
        <v>__</v>
      </c>
      <c r="CF280" s="21" t="str">
        <f ca="1">IFERROR(VLOOKUP(AX280,OFFSET(abbreviation[],0,ColumnLanguage),ColumnAbbreviation,FALSE),"")</f>
        <v/>
      </c>
      <c r="CG280" s="21" t="str">
        <f ca="1">IFERROR(VLOOKUP(AZ280,OFFSET(abbreviation[],0,ColumnLanguage),ColumnAbbreviation,FALSE),"")</f>
        <v/>
      </c>
      <c r="CH280" s="21" t="str">
        <f ca="1">IFERROR(VLOOKUP(BB280,OFFSET(abbreviation[],0,ColumnLanguage),ColumnAbbreviation,FALSE),"")</f>
        <v/>
      </c>
      <c r="CI280" s="21" t="str">
        <f ca="1">IFERROR(VLOOKUP(BD280,OFFSET(abbreviation[],0,ColumnLanguage),ColumnAbbreviation,FALSE),"")</f>
        <v/>
      </c>
      <c r="CJ280" s="21" t="str">
        <f ca="1">IFERROR(VLOOKUP(BF280,OFFSET(abbreviation[],0,ColumnLanguage),ColumnAbbreviation,FALSE),"")</f>
        <v/>
      </c>
      <c r="CK280" s="21" t="str">
        <f t="shared" ca="1" si="32"/>
        <v/>
      </c>
      <c r="CL280" s="21" t="str">
        <f t="shared" si="33"/>
        <v/>
      </c>
      <c r="CM280" s="52"/>
      <c r="CN280" s="57" t="str">
        <f t="shared" si="34"/>
        <v/>
      </c>
    </row>
    <row r="281" spans="16:92" x14ac:dyDescent="0.25">
      <c r="P281" s="60"/>
      <c r="Q281" s="13"/>
      <c r="V281" s="60"/>
      <c r="X281" s="61"/>
      <c r="AB281" s="60"/>
      <c r="AN281" s="54"/>
      <c r="AS281" s="15"/>
      <c r="BH281" s="52"/>
      <c r="BI281" s="21" t="str">
        <f ca="1">IFERROR(VLOOKUP(C281,OFFSET(abbreviation[],0,ColumnLanguage),ColumnAbbreviation,FALSE),"")</f>
        <v/>
      </c>
      <c r="BJ281" s="21" t="str">
        <f ca="1">IFERROR(VLOOKUP(E281,OFFSET(abbreviation[],0,ColumnLanguage),ColumnAbbreviation,FALSE),"")</f>
        <v/>
      </c>
      <c r="BK281" s="21" t="str">
        <f ca="1">IFERROR(VLOOKUP(G281,OFFSET(abbreviation[],0,ColumnLanguage),ColumnAbbreviation,FALSE),"")</f>
        <v/>
      </c>
      <c r="BL281" s="21" t="str">
        <f ca="1">IFERROR(VLOOKUP(I281,OFFSET(abbreviation[],0,ColumnLanguage),ColumnAbbreviation,FALSE),"")</f>
        <v/>
      </c>
      <c r="BM281" s="21" t="str">
        <f ca="1">IFERROR(VLOOKUP(K281,OFFSET(abbreviation[],0,ColumnLanguage),ColumnAbbreviation,FALSE),"")</f>
        <v/>
      </c>
      <c r="BN281" s="21" t="str">
        <f t="shared" ca="1" si="28"/>
        <v/>
      </c>
      <c r="BO281" s="21" t="str">
        <f ca="1">IFERROR(VLOOKUP(N281,OFFSET(abbreviation[],0,ColumnLanguage),ColumnAbbreviation,FALSE),"")</f>
        <v/>
      </c>
      <c r="BP281" s="21" t="str">
        <f ca="1">IFERROR(VLOOKUP(P281,OFFSET(abbreviation[],0,ColumnLanguage),ColumnAbbreviation,FALSE),"")</f>
        <v/>
      </c>
      <c r="BQ281" s="21" t="str">
        <f ca="1">IFERROR(VLOOKUP(T281,OFFSET(abbreviation[],0,ColumnLanguage),ColumnAbbreviation,FALSE),"")</f>
        <v/>
      </c>
      <c r="BR281" s="21" t="str">
        <f ca="1">IFERROR(VLOOKUP(V281,OFFSET(abbreviation[],0,ColumnLanguage),ColumnAbbreviation,FALSE),"")</f>
        <v/>
      </c>
      <c r="BS281" s="21" t="str">
        <f ca="1">IFERROR(VLOOKUP(Z281,OFFSET(abbreviation[],0,ColumnLanguage),ColumnAbbreviation,FALSE),"")</f>
        <v/>
      </c>
      <c r="BT281" s="21" t="str">
        <f ca="1">IFERROR(VLOOKUP(AB281,OFFSET(abbreviation[],0,ColumnLanguage),ColumnAbbreviation,FALSE),"")</f>
        <v/>
      </c>
      <c r="BU281" s="21" t="str">
        <f t="shared" ca="1" si="29"/>
        <v>__</v>
      </c>
      <c r="BV281" s="21" t="str">
        <f ca="1">IFERROR(VLOOKUP(AF281,OFFSET(abbreviation[],0,ColumnLanguage),ColumnAbbreviation,FALSE),"")</f>
        <v/>
      </c>
      <c r="BW281" s="21" t="str">
        <f ca="1">IFERROR(VLOOKUP(AH281,OFFSET(abbreviation[],0,ColumnLanguage),ColumnAbbreviation,FALSE),"")</f>
        <v/>
      </c>
      <c r="BX281" s="21" t="str">
        <f ca="1">IFERROR(VLOOKUP(AJ281,OFFSET(abbreviation[],0,ColumnLanguage),ColumnAbbreviation,FALSE),"")</f>
        <v/>
      </c>
      <c r="BY281" s="21" t="str">
        <f ca="1">IFERROR(VLOOKUP(AL281,OFFSET(abbreviation[],0,ColumnLanguage),ColumnAbbreviation,FALSE),"")</f>
        <v/>
      </c>
      <c r="BZ281" s="21" t="str">
        <f t="shared" ca="1" si="30"/>
        <v>_</v>
      </c>
      <c r="CA281" s="21" t="str">
        <f ca="1">IFERROR(VLOOKUP(AP281,OFFSET(abbreviation[],0,ColumnLanguage),ColumnAbbreviation,FALSE),"")</f>
        <v/>
      </c>
      <c r="CB281" s="21" t="str">
        <f ca="1">IFERROR(VLOOKUP(AR281,OFFSET(abbreviation[],0,ColumnLanguage),ColumnAbbreviation,FALSE),"")</f>
        <v/>
      </c>
      <c r="CC281" s="21" t="str">
        <f ca="1">IFERROR(VLOOKUP(AT281,OFFSET(abbreviation[],0,ColumnLanguage),ColumnAbbreviation,FALSE),"")</f>
        <v/>
      </c>
      <c r="CD281" s="21" t="str">
        <f ca="1">IFERROR(VLOOKUP(AV281,OFFSET(abbreviation[],0,ColumnLanguage),ColumnAbbreviation,FALSE),"")</f>
        <v/>
      </c>
      <c r="CE281" s="21" t="str">
        <f t="shared" ca="1" si="31"/>
        <v>__</v>
      </c>
      <c r="CF281" s="21" t="str">
        <f ca="1">IFERROR(VLOOKUP(AX281,OFFSET(abbreviation[],0,ColumnLanguage),ColumnAbbreviation,FALSE),"")</f>
        <v/>
      </c>
      <c r="CG281" s="21" t="str">
        <f ca="1">IFERROR(VLOOKUP(AZ281,OFFSET(abbreviation[],0,ColumnLanguage),ColumnAbbreviation,FALSE),"")</f>
        <v/>
      </c>
      <c r="CH281" s="21" t="str">
        <f ca="1">IFERROR(VLOOKUP(BB281,OFFSET(abbreviation[],0,ColumnLanguage),ColumnAbbreviation,FALSE),"")</f>
        <v/>
      </c>
      <c r="CI281" s="21" t="str">
        <f ca="1">IFERROR(VLOOKUP(BD281,OFFSET(abbreviation[],0,ColumnLanguage),ColumnAbbreviation,FALSE),"")</f>
        <v/>
      </c>
      <c r="CJ281" s="21" t="str">
        <f ca="1">IFERROR(VLOOKUP(BF281,OFFSET(abbreviation[],0,ColumnLanguage),ColumnAbbreviation,FALSE),"")</f>
        <v/>
      </c>
      <c r="CK281" s="21" t="str">
        <f t="shared" ca="1" si="32"/>
        <v/>
      </c>
      <c r="CL281" s="21" t="str">
        <f t="shared" si="33"/>
        <v/>
      </c>
      <c r="CM281" s="52"/>
      <c r="CN281" s="57" t="str">
        <f t="shared" si="34"/>
        <v/>
      </c>
    </row>
    <row r="282" spans="16:92" x14ac:dyDescent="0.25">
      <c r="P282" s="60"/>
      <c r="Q282" s="13"/>
      <c r="V282" s="60"/>
      <c r="X282" s="61"/>
      <c r="AB282" s="60"/>
      <c r="AN282" s="54"/>
      <c r="AS282" s="15"/>
      <c r="BH282" s="52"/>
      <c r="BI282" s="21" t="str">
        <f ca="1">IFERROR(VLOOKUP(C282,OFFSET(abbreviation[],0,ColumnLanguage),ColumnAbbreviation,FALSE),"")</f>
        <v/>
      </c>
      <c r="BJ282" s="21" t="str">
        <f ca="1">IFERROR(VLOOKUP(E282,OFFSET(abbreviation[],0,ColumnLanguage),ColumnAbbreviation,FALSE),"")</f>
        <v/>
      </c>
      <c r="BK282" s="21" t="str">
        <f ca="1">IFERROR(VLOOKUP(G282,OFFSET(abbreviation[],0,ColumnLanguage),ColumnAbbreviation,FALSE),"")</f>
        <v/>
      </c>
      <c r="BL282" s="21" t="str">
        <f ca="1">IFERROR(VLOOKUP(I282,OFFSET(abbreviation[],0,ColumnLanguage),ColumnAbbreviation,FALSE),"")</f>
        <v/>
      </c>
      <c r="BM282" s="21" t="str">
        <f ca="1">IFERROR(VLOOKUP(K282,OFFSET(abbreviation[],0,ColumnLanguage),ColumnAbbreviation,FALSE),"")</f>
        <v/>
      </c>
      <c r="BN282" s="21" t="str">
        <f t="shared" ca="1" si="28"/>
        <v/>
      </c>
      <c r="BO282" s="21" t="str">
        <f ca="1">IFERROR(VLOOKUP(N282,OFFSET(abbreviation[],0,ColumnLanguage),ColumnAbbreviation,FALSE),"")</f>
        <v/>
      </c>
      <c r="BP282" s="21" t="str">
        <f ca="1">IFERROR(VLOOKUP(P282,OFFSET(abbreviation[],0,ColumnLanguage),ColumnAbbreviation,FALSE),"")</f>
        <v/>
      </c>
      <c r="BQ282" s="21" t="str">
        <f ca="1">IFERROR(VLOOKUP(T282,OFFSET(abbreviation[],0,ColumnLanguage),ColumnAbbreviation,FALSE),"")</f>
        <v/>
      </c>
      <c r="BR282" s="21" t="str">
        <f ca="1">IFERROR(VLOOKUP(V282,OFFSET(abbreviation[],0,ColumnLanguage),ColumnAbbreviation,FALSE),"")</f>
        <v/>
      </c>
      <c r="BS282" s="21" t="str">
        <f ca="1">IFERROR(VLOOKUP(Z282,OFFSET(abbreviation[],0,ColumnLanguage),ColumnAbbreviation,FALSE),"")</f>
        <v/>
      </c>
      <c r="BT282" s="21" t="str">
        <f ca="1">IFERROR(VLOOKUP(AB282,OFFSET(abbreviation[],0,ColumnLanguage),ColumnAbbreviation,FALSE),"")</f>
        <v/>
      </c>
      <c r="BU282" s="21" t="str">
        <f t="shared" ca="1" si="29"/>
        <v>__</v>
      </c>
      <c r="BV282" s="21" t="str">
        <f ca="1">IFERROR(VLOOKUP(AF282,OFFSET(abbreviation[],0,ColumnLanguage),ColumnAbbreviation,FALSE),"")</f>
        <v/>
      </c>
      <c r="BW282" s="21" t="str">
        <f ca="1">IFERROR(VLOOKUP(AH282,OFFSET(abbreviation[],0,ColumnLanguage),ColumnAbbreviation,FALSE),"")</f>
        <v/>
      </c>
      <c r="BX282" s="21" t="str">
        <f ca="1">IFERROR(VLOOKUP(AJ282,OFFSET(abbreviation[],0,ColumnLanguage),ColumnAbbreviation,FALSE),"")</f>
        <v/>
      </c>
      <c r="BY282" s="21" t="str">
        <f ca="1">IFERROR(VLOOKUP(AL282,OFFSET(abbreviation[],0,ColumnLanguage),ColumnAbbreviation,FALSE),"")</f>
        <v/>
      </c>
      <c r="BZ282" s="21" t="str">
        <f t="shared" ca="1" si="30"/>
        <v>_</v>
      </c>
      <c r="CA282" s="21" t="str">
        <f ca="1">IFERROR(VLOOKUP(AP282,OFFSET(abbreviation[],0,ColumnLanguage),ColumnAbbreviation,FALSE),"")</f>
        <v/>
      </c>
      <c r="CB282" s="21" t="str">
        <f ca="1">IFERROR(VLOOKUP(AR282,OFFSET(abbreviation[],0,ColumnLanguage),ColumnAbbreviation,FALSE),"")</f>
        <v/>
      </c>
      <c r="CC282" s="21" t="str">
        <f ca="1">IFERROR(VLOOKUP(AT282,OFFSET(abbreviation[],0,ColumnLanguage),ColumnAbbreviation,FALSE),"")</f>
        <v/>
      </c>
      <c r="CD282" s="21" t="str">
        <f ca="1">IFERROR(VLOOKUP(AV282,OFFSET(abbreviation[],0,ColumnLanguage),ColumnAbbreviation,FALSE),"")</f>
        <v/>
      </c>
      <c r="CE282" s="21" t="str">
        <f t="shared" ca="1" si="31"/>
        <v>__</v>
      </c>
      <c r="CF282" s="21" t="str">
        <f ca="1">IFERROR(VLOOKUP(AX282,OFFSET(abbreviation[],0,ColumnLanguage),ColumnAbbreviation,FALSE),"")</f>
        <v/>
      </c>
      <c r="CG282" s="21" t="str">
        <f ca="1">IFERROR(VLOOKUP(AZ282,OFFSET(abbreviation[],0,ColumnLanguage),ColumnAbbreviation,FALSE),"")</f>
        <v/>
      </c>
      <c r="CH282" s="21" t="str">
        <f ca="1">IFERROR(VLOOKUP(BB282,OFFSET(abbreviation[],0,ColumnLanguage),ColumnAbbreviation,FALSE),"")</f>
        <v/>
      </c>
      <c r="CI282" s="21" t="str">
        <f ca="1">IFERROR(VLOOKUP(BD282,OFFSET(abbreviation[],0,ColumnLanguage),ColumnAbbreviation,FALSE),"")</f>
        <v/>
      </c>
      <c r="CJ282" s="21" t="str">
        <f ca="1">IFERROR(VLOOKUP(BF282,OFFSET(abbreviation[],0,ColumnLanguage),ColumnAbbreviation,FALSE),"")</f>
        <v/>
      </c>
      <c r="CK282" s="21" t="str">
        <f t="shared" ca="1" si="32"/>
        <v/>
      </c>
      <c r="CL282" s="21" t="str">
        <f t="shared" si="33"/>
        <v/>
      </c>
      <c r="CM282" s="52"/>
      <c r="CN282" s="57" t="str">
        <f t="shared" si="34"/>
        <v/>
      </c>
    </row>
    <row r="283" spans="16:92" x14ac:dyDescent="0.25">
      <c r="P283" s="60"/>
      <c r="Q283" s="13"/>
      <c r="V283" s="60"/>
      <c r="X283" s="61"/>
      <c r="AB283" s="60"/>
      <c r="AN283" s="54"/>
      <c r="AS283" s="15"/>
      <c r="BH283" s="52"/>
      <c r="BI283" s="21" t="str">
        <f ca="1">IFERROR(VLOOKUP(C283,OFFSET(abbreviation[],0,ColumnLanguage),ColumnAbbreviation,FALSE),"")</f>
        <v/>
      </c>
      <c r="BJ283" s="21" t="str">
        <f ca="1">IFERROR(VLOOKUP(E283,OFFSET(abbreviation[],0,ColumnLanguage),ColumnAbbreviation,FALSE),"")</f>
        <v/>
      </c>
      <c r="BK283" s="21" t="str">
        <f ca="1">IFERROR(VLOOKUP(G283,OFFSET(abbreviation[],0,ColumnLanguage),ColumnAbbreviation,FALSE),"")</f>
        <v/>
      </c>
      <c r="BL283" s="21" t="str">
        <f ca="1">IFERROR(VLOOKUP(I283,OFFSET(abbreviation[],0,ColumnLanguage),ColumnAbbreviation,FALSE),"")</f>
        <v/>
      </c>
      <c r="BM283" s="21" t="str">
        <f ca="1">IFERROR(VLOOKUP(K283,OFFSET(abbreviation[],0,ColumnLanguage),ColumnAbbreviation,FALSE),"")</f>
        <v/>
      </c>
      <c r="BN283" s="21" t="str">
        <f t="shared" ca="1" si="28"/>
        <v/>
      </c>
      <c r="BO283" s="21" t="str">
        <f ca="1">IFERROR(VLOOKUP(N283,OFFSET(abbreviation[],0,ColumnLanguage),ColumnAbbreviation,FALSE),"")</f>
        <v/>
      </c>
      <c r="BP283" s="21" t="str">
        <f ca="1">IFERROR(VLOOKUP(P283,OFFSET(abbreviation[],0,ColumnLanguage),ColumnAbbreviation,FALSE),"")</f>
        <v/>
      </c>
      <c r="BQ283" s="21" t="str">
        <f ca="1">IFERROR(VLOOKUP(T283,OFFSET(abbreviation[],0,ColumnLanguage),ColumnAbbreviation,FALSE),"")</f>
        <v/>
      </c>
      <c r="BR283" s="21" t="str">
        <f ca="1">IFERROR(VLOOKUP(V283,OFFSET(abbreviation[],0,ColumnLanguage),ColumnAbbreviation,FALSE),"")</f>
        <v/>
      </c>
      <c r="BS283" s="21" t="str">
        <f ca="1">IFERROR(VLOOKUP(Z283,OFFSET(abbreviation[],0,ColumnLanguage),ColumnAbbreviation,FALSE),"")</f>
        <v/>
      </c>
      <c r="BT283" s="21" t="str">
        <f ca="1">IFERROR(VLOOKUP(AB283,OFFSET(abbreviation[],0,ColumnLanguage),ColumnAbbreviation,FALSE),"")</f>
        <v/>
      </c>
      <c r="BU283" s="21" t="str">
        <f t="shared" ca="1" si="29"/>
        <v>__</v>
      </c>
      <c r="BV283" s="21" t="str">
        <f ca="1">IFERROR(VLOOKUP(AF283,OFFSET(abbreviation[],0,ColumnLanguage),ColumnAbbreviation,FALSE),"")</f>
        <v/>
      </c>
      <c r="BW283" s="21" t="str">
        <f ca="1">IFERROR(VLOOKUP(AH283,OFFSET(abbreviation[],0,ColumnLanguage),ColumnAbbreviation,FALSE),"")</f>
        <v/>
      </c>
      <c r="BX283" s="21" t="str">
        <f ca="1">IFERROR(VLOOKUP(AJ283,OFFSET(abbreviation[],0,ColumnLanguage),ColumnAbbreviation,FALSE),"")</f>
        <v/>
      </c>
      <c r="BY283" s="21" t="str">
        <f ca="1">IFERROR(VLOOKUP(AL283,OFFSET(abbreviation[],0,ColumnLanguage),ColumnAbbreviation,FALSE),"")</f>
        <v/>
      </c>
      <c r="BZ283" s="21" t="str">
        <f t="shared" ca="1" si="30"/>
        <v>_</v>
      </c>
      <c r="CA283" s="21" t="str">
        <f ca="1">IFERROR(VLOOKUP(AP283,OFFSET(abbreviation[],0,ColumnLanguage),ColumnAbbreviation,FALSE),"")</f>
        <v/>
      </c>
      <c r="CB283" s="21" t="str">
        <f ca="1">IFERROR(VLOOKUP(AR283,OFFSET(abbreviation[],0,ColumnLanguage),ColumnAbbreviation,FALSE),"")</f>
        <v/>
      </c>
      <c r="CC283" s="21" t="str">
        <f ca="1">IFERROR(VLOOKUP(AT283,OFFSET(abbreviation[],0,ColumnLanguage),ColumnAbbreviation,FALSE),"")</f>
        <v/>
      </c>
      <c r="CD283" s="21" t="str">
        <f ca="1">IFERROR(VLOOKUP(AV283,OFFSET(abbreviation[],0,ColumnLanguage),ColumnAbbreviation,FALSE),"")</f>
        <v/>
      </c>
      <c r="CE283" s="21" t="str">
        <f t="shared" ca="1" si="31"/>
        <v>__</v>
      </c>
      <c r="CF283" s="21" t="str">
        <f ca="1">IFERROR(VLOOKUP(AX283,OFFSET(abbreviation[],0,ColumnLanguage),ColumnAbbreviation,FALSE),"")</f>
        <v/>
      </c>
      <c r="CG283" s="21" t="str">
        <f ca="1">IFERROR(VLOOKUP(AZ283,OFFSET(abbreviation[],0,ColumnLanguage),ColumnAbbreviation,FALSE),"")</f>
        <v/>
      </c>
      <c r="CH283" s="21" t="str">
        <f ca="1">IFERROR(VLOOKUP(BB283,OFFSET(abbreviation[],0,ColumnLanguage),ColumnAbbreviation,FALSE),"")</f>
        <v/>
      </c>
      <c r="CI283" s="21" t="str">
        <f ca="1">IFERROR(VLOOKUP(BD283,OFFSET(abbreviation[],0,ColumnLanguage),ColumnAbbreviation,FALSE),"")</f>
        <v/>
      </c>
      <c r="CJ283" s="21" t="str">
        <f ca="1">IFERROR(VLOOKUP(BF283,OFFSET(abbreviation[],0,ColumnLanguage),ColumnAbbreviation,FALSE),"")</f>
        <v/>
      </c>
      <c r="CK283" s="21" t="str">
        <f t="shared" ca="1" si="32"/>
        <v/>
      </c>
      <c r="CL283" s="21" t="str">
        <f t="shared" si="33"/>
        <v/>
      </c>
      <c r="CM283" s="52"/>
      <c r="CN283" s="57" t="str">
        <f t="shared" si="34"/>
        <v/>
      </c>
    </row>
    <row r="284" spans="16:92" x14ac:dyDescent="0.25">
      <c r="P284" s="60"/>
      <c r="Q284" s="13"/>
      <c r="V284" s="60"/>
      <c r="X284" s="61"/>
      <c r="AB284" s="60"/>
      <c r="AN284" s="54"/>
      <c r="AS284" s="15"/>
      <c r="BH284" s="52"/>
      <c r="BI284" s="21" t="str">
        <f ca="1">IFERROR(VLOOKUP(C284,OFFSET(abbreviation[],0,ColumnLanguage),ColumnAbbreviation,FALSE),"")</f>
        <v/>
      </c>
      <c r="BJ284" s="21" t="str">
        <f ca="1">IFERROR(VLOOKUP(E284,OFFSET(abbreviation[],0,ColumnLanguage),ColumnAbbreviation,FALSE),"")</f>
        <v/>
      </c>
      <c r="BK284" s="21" t="str">
        <f ca="1">IFERROR(VLOOKUP(G284,OFFSET(abbreviation[],0,ColumnLanguage),ColumnAbbreviation,FALSE),"")</f>
        <v/>
      </c>
      <c r="BL284" s="21" t="str">
        <f ca="1">IFERROR(VLOOKUP(I284,OFFSET(abbreviation[],0,ColumnLanguage),ColumnAbbreviation,FALSE),"")</f>
        <v/>
      </c>
      <c r="BM284" s="21" t="str">
        <f ca="1">IFERROR(VLOOKUP(K284,OFFSET(abbreviation[],0,ColumnLanguage),ColumnAbbreviation,FALSE),"")</f>
        <v/>
      </c>
      <c r="BN284" s="21" t="str">
        <f t="shared" ca="1" si="28"/>
        <v/>
      </c>
      <c r="BO284" s="21" t="str">
        <f ca="1">IFERROR(VLOOKUP(N284,OFFSET(abbreviation[],0,ColumnLanguage),ColumnAbbreviation,FALSE),"")</f>
        <v/>
      </c>
      <c r="BP284" s="21" t="str">
        <f ca="1">IFERROR(VLOOKUP(P284,OFFSET(abbreviation[],0,ColumnLanguage),ColumnAbbreviation,FALSE),"")</f>
        <v/>
      </c>
      <c r="BQ284" s="21" t="str">
        <f ca="1">IFERROR(VLOOKUP(T284,OFFSET(abbreviation[],0,ColumnLanguage),ColumnAbbreviation,FALSE),"")</f>
        <v/>
      </c>
      <c r="BR284" s="21" t="str">
        <f ca="1">IFERROR(VLOOKUP(V284,OFFSET(abbreviation[],0,ColumnLanguage),ColumnAbbreviation,FALSE),"")</f>
        <v/>
      </c>
      <c r="BS284" s="21" t="str">
        <f ca="1">IFERROR(VLOOKUP(Z284,OFFSET(abbreviation[],0,ColumnLanguage),ColumnAbbreviation,FALSE),"")</f>
        <v/>
      </c>
      <c r="BT284" s="21" t="str">
        <f ca="1">IFERROR(VLOOKUP(AB284,OFFSET(abbreviation[],0,ColumnLanguage),ColumnAbbreviation,FALSE),"")</f>
        <v/>
      </c>
      <c r="BU284" s="21" t="str">
        <f t="shared" ca="1" si="29"/>
        <v>__</v>
      </c>
      <c r="BV284" s="21" t="str">
        <f ca="1">IFERROR(VLOOKUP(AF284,OFFSET(abbreviation[],0,ColumnLanguage),ColumnAbbreviation,FALSE),"")</f>
        <v/>
      </c>
      <c r="BW284" s="21" t="str">
        <f ca="1">IFERROR(VLOOKUP(AH284,OFFSET(abbreviation[],0,ColumnLanguage),ColumnAbbreviation,FALSE),"")</f>
        <v/>
      </c>
      <c r="BX284" s="21" t="str">
        <f ca="1">IFERROR(VLOOKUP(AJ284,OFFSET(abbreviation[],0,ColumnLanguage),ColumnAbbreviation,FALSE),"")</f>
        <v/>
      </c>
      <c r="BY284" s="21" t="str">
        <f ca="1">IFERROR(VLOOKUP(AL284,OFFSET(abbreviation[],0,ColumnLanguage),ColumnAbbreviation,FALSE),"")</f>
        <v/>
      </c>
      <c r="BZ284" s="21" t="str">
        <f t="shared" ca="1" si="30"/>
        <v>_</v>
      </c>
      <c r="CA284" s="21" t="str">
        <f ca="1">IFERROR(VLOOKUP(AP284,OFFSET(abbreviation[],0,ColumnLanguage),ColumnAbbreviation,FALSE),"")</f>
        <v/>
      </c>
      <c r="CB284" s="21" t="str">
        <f ca="1">IFERROR(VLOOKUP(AR284,OFFSET(abbreviation[],0,ColumnLanguage),ColumnAbbreviation,FALSE),"")</f>
        <v/>
      </c>
      <c r="CC284" s="21" t="str">
        <f ca="1">IFERROR(VLOOKUP(AT284,OFFSET(abbreviation[],0,ColumnLanguage),ColumnAbbreviation,FALSE),"")</f>
        <v/>
      </c>
      <c r="CD284" s="21" t="str">
        <f ca="1">IFERROR(VLOOKUP(AV284,OFFSET(abbreviation[],0,ColumnLanguage),ColumnAbbreviation,FALSE),"")</f>
        <v/>
      </c>
      <c r="CE284" s="21" t="str">
        <f t="shared" ca="1" si="31"/>
        <v>__</v>
      </c>
      <c r="CF284" s="21" t="str">
        <f ca="1">IFERROR(VLOOKUP(AX284,OFFSET(abbreviation[],0,ColumnLanguage),ColumnAbbreviation,FALSE),"")</f>
        <v/>
      </c>
      <c r="CG284" s="21" t="str">
        <f ca="1">IFERROR(VLOOKUP(AZ284,OFFSET(abbreviation[],0,ColumnLanguage),ColumnAbbreviation,FALSE),"")</f>
        <v/>
      </c>
      <c r="CH284" s="21" t="str">
        <f ca="1">IFERROR(VLOOKUP(BB284,OFFSET(abbreviation[],0,ColumnLanguage),ColumnAbbreviation,FALSE),"")</f>
        <v/>
      </c>
      <c r="CI284" s="21" t="str">
        <f ca="1">IFERROR(VLOOKUP(BD284,OFFSET(abbreviation[],0,ColumnLanguage),ColumnAbbreviation,FALSE),"")</f>
        <v/>
      </c>
      <c r="CJ284" s="21" t="str">
        <f ca="1">IFERROR(VLOOKUP(BF284,OFFSET(abbreviation[],0,ColumnLanguage),ColumnAbbreviation,FALSE),"")</f>
        <v/>
      </c>
      <c r="CK284" s="21" t="str">
        <f t="shared" ca="1" si="32"/>
        <v/>
      </c>
      <c r="CL284" s="21" t="str">
        <f t="shared" si="33"/>
        <v/>
      </c>
      <c r="CM284" s="52"/>
      <c r="CN284" s="57" t="str">
        <f t="shared" si="34"/>
        <v/>
      </c>
    </row>
    <row r="285" spans="16:92" x14ac:dyDescent="0.25">
      <c r="P285" s="60"/>
      <c r="Q285" s="13"/>
      <c r="V285" s="60"/>
      <c r="X285" s="61"/>
      <c r="AB285" s="60"/>
      <c r="AN285" s="54"/>
      <c r="AS285" s="15"/>
      <c r="BH285" s="52"/>
      <c r="BI285" s="21" t="str">
        <f ca="1">IFERROR(VLOOKUP(C285,OFFSET(abbreviation[],0,ColumnLanguage),ColumnAbbreviation,FALSE),"")</f>
        <v/>
      </c>
      <c r="BJ285" s="21" t="str">
        <f ca="1">IFERROR(VLOOKUP(E285,OFFSET(abbreviation[],0,ColumnLanguage),ColumnAbbreviation,FALSE),"")</f>
        <v/>
      </c>
      <c r="BK285" s="21" t="str">
        <f ca="1">IFERROR(VLOOKUP(G285,OFFSET(abbreviation[],0,ColumnLanguage),ColumnAbbreviation,FALSE),"")</f>
        <v/>
      </c>
      <c r="BL285" s="21" t="str">
        <f ca="1">IFERROR(VLOOKUP(I285,OFFSET(abbreviation[],0,ColumnLanguage),ColumnAbbreviation,FALSE),"")</f>
        <v/>
      </c>
      <c r="BM285" s="21" t="str">
        <f ca="1">IFERROR(VLOOKUP(K285,OFFSET(abbreviation[],0,ColumnLanguage),ColumnAbbreviation,FALSE),"")</f>
        <v/>
      </c>
      <c r="BN285" s="21" t="str">
        <f t="shared" ca="1" si="28"/>
        <v/>
      </c>
      <c r="BO285" s="21" t="str">
        <f ca="1">IFERROR(VLOOKUP(N285,OFFSET(abbreviation[],0,ColumnLanguage),ColumnAbbreviation,FALSE),"")</f>
        <v/>
      </c>
      <c r="BP285" s="21" t="str">
        <f ca="1">IFERROR(VLOOKUP(P285,OFFSET(abbreviation[],0,ColumnLanguage),ColumnAbbreviation,FALSE),"")</f>
        <v/>
      </c>
      <c r="BQ285" s="21" t="str">
        <f ca="1">IFERROR(VLOOKUP(T285,OFFSET(abbreviation[],0,ColumnLanguage),ColumnAbbreviation,FALSE),"")</f>
        <v/>
      </c>
      <c r="BR285" s="21" t="str">
        <f ca="1">IFERROR(VLOOKUP(V285,OFFSET(abbreviation[],0,ColumnLanguage),ColumnAbbreviation,FALSE),"")</f>
        <v/>
      </c>
      <c r="BS285" s="21" t="str">
        <f ca="1">IFERROR(VLOOKUP(Z285,OFFSET(abbreviation[],0,ColumnLanguage),ColumnAbbreviation,FALSE),"")</f>
        <v/>
      </c>
      <c r="BT285" s="21" t="str">
        <f ca="1">IFERROR(VLOOKUP(AB285,OFFSET(abbreviation[],0,ColumnLanguage),ColumnAbbreviation,FALSE),"")</f>
        <v/>
      </c>
      <c r="BU285" s="21" t="str">
        <f t="shared" ca="1" si="29"/>
        <v>__</v>
      </c>
      <c r="BV285" s="21" t="str">
        <f ca="1">IFERROR(VLOOKUP(AF285,OFFSET(abbreviation[],0,ColumnLanguage),ColumnAbbreviation,FALSE),"")</f>
        <v/>
      </c>
      <c r="BW285" s="21" t="str">
        <f ca="1">IFERROR(VLOOKUP(AH285,OFFSET(abbreviation[],0,ColumnLanguage),ColumnAbbreviation,FALSE),"")</f>
        <v/>
      </c>
      <c r="BX285" s="21" t="str">
        <f ca="1">IFERROR(VLOOKUP(AJ285,OFFSET(abbreviation[],0,ColumnLanguage),ColumnAbbreviation,FALSE),"")</f>
        <v/>
      </c>
      <c r="BY285" s="21" t="str">
        <f ca="1">IFERROR(VLOOKUP(AL285,OFFSET(abbreviation[],0,ColumnLanguage),ColumnAbbreviation,FALSE),"")</f>
        <v/>
      </c>
      <c r="BZ285" s="21" t="str">
        <f t="shared" ca="1" si="30"/>
        <v>_</v>
      </c>
      <c r="CA285" s="21" t="str">
        <f ca="1">IFERROR(VLOOKUP(AP285,OFFSET(abbreviation[],0,ColumnLanguage),ColumnAbbreviation,FALSE),"")</f>
        <v/>
      </c>
      <c r="CB285" s="21" t="str">
        <f ca="1">IFERROR(VLOOKUP(AR285,OFFSET(abbreviation[],0,ColumnLanguage),ColumnAbbreviation,FALSE),"")</f>
        <v/>
      </c>
      <c r="CC285" s="21" t="str">
        <f ca="1">IFERROR(VLOOKUP(AT285,OFFSET(abbreviation[],0,ColumnLanguage),ColumnAbbreviation,FALSE),"")</f>
        <v/>
      </c>
      <c r="CD285" s="21" t="str">
        <f ca="1">IFERROR(VLOOKUP(AV285,OFFSET(abbreviation[],0,ColumnLanguage),ColumnAbbreviation,FALSE),"")</f>
        <v/>
      </c>
      <c r="CE285" s="21" t="str">
        <f t="shared" ca="1" si="31"/>
        <v>__</v>
      </c>
      <c r="CF285" s="21" t="str">
        <f ca="1">IFERROR(VLOOKUP(AX285,OFFSET(abbreviation[],0,ColumnLanguage),ColumnAbbreviation,FALSE),"")</f>
        <v/>
      </c>
      <c r="CG285" s="21" t="str">
        <f ca="1">IFERROR(VLOOKUP(AZ285,OFFSET(abbreviation[],0,ColumnLanguage),ColumnAbbreviation,FALSE),"")</f>
        <v/>
      </c>
      <c r="CH285" s="21" t="str">
        <f ca="1">IFERROR(VLOOKUP(BB285,OFFSET(abbreviation[],0,ColumnLanguage),ColumnAbbreviation,FALSE),"")</f>
        <v/>
      </c>
      <c r="CI285" s="21" t="str">
        <f ca="1">IFERROR(VLOOKUP(BD285,OFFSET(abbreviation[],0,ColumnLanguage),ColumnAbbreviation,FALSE),"")</f>
        <v/>
      </c>
      <c r="CJ285" s="21" t="str">
        <f ca="1">IFERROR(VLOOKUP(BF285,OFFSET(abbreviation[],0,ColumnLanguage),ColumnAbbreviation,FALSE),"")</f>
        <v/>
      </c>
      <c r="CK285" s="21" t="str">
        <f t="shared" ca="1" si="32"/>
        <v/>
      </c>
      <c r="CL285" s="21" t="str">
        <f t="shared" si="33"/>
        <v/>
      </c>
      <c r="CM285" s="52"/>
      <c r="CN285" s="57" t="str">
        <f t="shared" si="34"/>
        <v/>
      </c>
    </row>
    <row r="286" spans="16:92" x14ac:dyDescent="0.25">
      <c r="P286" s="60"/>
      <c r="Q286" s="13"/>
      <c r="V286" s="60"/>
      <c r="X286" s="61"/>
      <c r="AB286" s="60"/>
      <c r="AN286" s="54"/>
      <c r="AS286" s="15"/>
      <c r="BH286" s="52"/>
      <c r="BI286" s="21" t="str">
        <f ca="1">IFERROR(VLOOKUP(C286,OFFSET(abbreviation[],0,ColumnLanguage),ColumnAbbreviation,FALSE),"")</f>
        <v/>
      </c>
      <c r="BJ286" s="21" t="str">
        <f ca="1">IFERROR(VLOOKUP(E286,OFFSET(abbreviation[],0,ColumnLanguage),ColumnAbbreviation,FALSE),"")</f>
        <v/>
      </c>
      <c r="BK286" s="21" t="str">
        <f ca="1">IFERROR(VLOOKUP(G286,OFFSET(abbreviation[],0,ColumnLanguage),ColumnAbbreviation,FALSE),"")</f>
        <v/>
      </c>
      <c r="BL286" s="21" t="str">
        <f ca="1">IFERROR(VLOOKUP(I286,OFFSET(abbreviation[],0,ColumnLanguage),ColumnAbbreviation,FALSE),"")</f>
        <v/>
      </c>
      <c r="BM286" s="21" t="str">
        <f ca="1">IFERROR(VLOOKUP(K286,OFFSET(abbreviation[],0,ColumnLanguage),ColumnAbbreviation,FALSE),"")</f>
        <v/>
      </c>
      <c r="BN286" s="21" t="str">
        <f t="shared" ca="1" si="28"/>
        <v/>
      </c>
      <c r="BO286" s="21" t="str">
        <f ca="1">IFERROR(VLOOKUP(N286,OFFSET(abbreviation[],0,ColumnLanguage),ColumnAbbreviation,FALSE),"")</f>
        <v/>
      </c>
      <c r="BP286" s="21" t="str">
        <f ca="1">IFERROR(VLOOKUP(P286,OFFSET(abbreviation[],0,ColumnLanguage),ColumnAbbreviation,FALSE),"")</f>
        <v/>
      </c>
      <c r="BQ286" s="21" t="str">
        <f ca="1">IFERROR(VLOOKUP(T286,OFFSET(abbreviation[],0,ColumnLanguage),ColumnAbbreviation,FALSE),"")</f>
        <v/>
      </c>
      <c r="BR286" s="21" t="str">
        <f ca="1">IFERROR(VLOOKUP(V286,OFFSET(abbreviation[],0,ColumnLanguage),ColumnAbbreviation,FALSE),"")</f>
        <v/>
      </c>
      <c r="BS286" s="21" t="str">
        <f ca="1">IFERROR(VLOOKUP(Z286,OFFSET(abbreviation[],0,ColumnLanguage),ColumnAbbreviation,FALSE),"")</f>
        <v/>
      </c>
      <c r="BT286" s="21" t="str">
        <f ca="1">IFERROR(VLOOKUP(AB286,OFFSET(abbreviation[],0,ColumnLanguage),ColumnAbbreviation,FALSE),"")</f>
        <v/>
      </c>
      <c r="BU286" s="21" t="str">
        <f t="shared" ca="1" si="29"/>
        <v>__</v>
      </c>
      <c r="BV286" s="21" t="str">
        <f ca="1">IFERROR(VLOOKUP(AF286,OFFSET(abbreviation[],0,ColumnLanguage),ColumnAbbreviation,FALSE),"")</f>
        <v/>
      </c>
      <c r="BW286" s="21" t="str">
        <f ca="1">IFERROR(VLOOKUP(AH286,OFFSET(abbreviation[],0,ColumnLanguage),ColumnAbbreviation,FALSE),"")</f>
        <v/>
      </c>
      <c r="BX286" s="21" t="str">
        <f ca="1">IFERROR(VLOOKUP(AJ286,OFFSET(abbreviation[],0,ColumnLanguage),ColumnAbbreviation,FALSE),"")</f>
        <v/>
      </c>
      <c r="BY286" s="21" t="str">
        <f ca="1">IFERROR(VLOOKUP(AL286,OFFSET(abbreviation[],0,ColumnLanguage),ColumnAbbreviation,FALSE),"")</f>
        <v/>
      </c>
      <c r="BZ286" s="21" t="str">
        <f t="shared" ca="1" si="30"/>
        <v>_</v>
      </c>
      <c r="CA286" s="21" t="str">
        <f ca="1">IFERROR(VLOOKUP(AP286,OFFSET(abbreviation[],0,ColumnLanguage),ColumnAbbreviation,FALSE),"")</f>
        <v/>
      </c>
      <c r="CB286" s="21" t="str">
        <f ca="1">IFERROR(VLOOKUP(AR286,OFFSET(abbreviation[],0,ColumnLanguage),ColumnAbbreviation,FALSE),"")</f>
        <v/>
      </c>
      <c r="CC286" s="21" t="str">
        <f ca="1">IFERROR(VLOOKUP(AT286,OFFSET(abbreviation[],0,ColumnLanguage),ColumnAbbreviation,FALSE),"")</f>
        <v/>
      </c>
      <c r="CD286" s="21" t="str">
        <f ca="1">IFERROR(VLOOKUP(AV286,OFFSET(abbreviation[],0,ColumnLanguage),ColumnAbbreviation,FALSE),"")</f>
        <v/>
      </c>
      <c r="CE286" s="21" t="str">
        <f t="shared" ca="1" si="31"/>
        <v>__</v>
      </c>
      <c r="CF286" s="21" t="str">
        <f ca="1">IFERROR(VLOOKUP(AX286,OFFSET(abbreviation[],0,ColumnLanguage),ColumnAbbreviation,FALSE),"")</f>
        <v/>
      </c>
      <c r="CG286" s="21" t="str">
        <f ca="1">IFERROR(VLOOKUP(AZ286,OFFSET(abbreviation[],0,ColumnLanguage),ColumnAbbreviation,FALSE),"")</f>
        <v/>
      </c>
      <c r="CH286" s="21" t="str">
        <f ca="1">IFERROR(VLOOKUP(BB286,OFFSET(abbreviation[],0,ColumnLanguage),ColumnAbbreviation,FALSE),"")</f>
        <v/>
      </c>
      <c r="CI286" s="21" t="str">
        <f ca="1">IFERROR(VLOOKUP(BD286,OFFSET(abbreviation[],0,ColumnLanguage),ColumnAbbreviation,FALSE),"")</f>
        <v/>
      </c>
      <c r="CJ286" s="21" t="str">
        <f ca="1">IFERROR(VLOOKUP(BF286,OFFSET(abbreviation[],0,ColumnLanguage),ColumnAbbreviation,FALSE),"")</f>
        <v/>
      </c>
      <c r="CK286" s="21" t="str">
        <f t="shared" ca="1" si="32"/>
        <v/>
      </c>
      <c r="CL286" s="21" t="str">
        <f t="shared" si="33"/>
        <v/>
      </c>
      <c r="CM286" s="52"/>
      <c r="CN286" s="57" t="str">
        <f t="shared" si="34"/>
        <v/>
      </c>
    </row>
    <row r="287" spans="16:92" x14ac:dyDescent="0.25">
      <c r="P287" s="60"/>
      <c r="Q287" s="13"/>
      <c r="V287" s="60"/>
      <c r="X287" s="61"/>
      <c r="AB287" s="60"/>
      <c r="AN287" s="54"/>
      <c r="AS287" s="15"/>
      <c r="BH287" s="52"/>
      <c r="BI287" s="21" t="str">
        <f ca="1">IFERROR(VLOOKUP(C287,OFFSET(abbreviation[],0,ColumnLanguage),ColumnAbbreviation,FALSE),"")</f>
        <v/>
      </c>
      <c r="BJ287" s="21" t="str">
        <f ca="1">IFERROR(VLOOKUP(E287,OFFSET(abbreviation[],0,ColumnLanguage),ColumnAbbreviation,FALSE),"")</f>
        <v/>
      </c>
      <c r="BK287" s="21" t="str">
        <f ca="1">IFERROR(VLOOKUP(G287,OFFSET(abbreviation[],0,ColumnLanguage),ColumnAbbreviation,FALSE),"")</f>
        <v/>
      </c>
      <c r="BL287" s="21" t="str">
        <f ca="1">IFERROR(VLOOKUP(I287,OFFSET(abbreviation[],0,ColumnLanguage),ColumnAbbreviation,FALSE),"")</f>
        <v/>
      </c>
      <c r="BM287" s="21" t="str">
        <f ca="1">IFERROR(VLOOKUP(K287,OFFSET(abbreviation[],0,ColumnLanguage),ColumnAbbreviation,FALSE),"")</f>
        <v/>
      </c>
      <c r="BN287" s="21" t="str">
        <f t="shared" ca="1" si="28"/>
        <v/>
      </c>
      <c r="BO287" s="21" t="str">
        <f ca="1">IFERROR(VLOOKUP(N287,OFFSET(abbreviation[],0,ColumnLanguage),ColumnAbbreviation,FALSE),"")</f>
        <v/>
      </c>
      <c r="BP287" s="21" t="str">
        <f ca="1">IFERROR(VLOOKUP(P287,OFFSET(abbreviation[],0,ColumnLanguage),ColumnAbbreviation,FALSE),"")</f>
        <v/>
      </c>
      <c r="BQ287" s="21" t="str">
        <f ca="1">IFERROR(VLOOKUP(T287,OFFSET(abbreviation[],0,ColumnLanguage),ColumnAbbreviation,FALSE),"")</f>
        <v/>
      </c>
      <c r="BR287" s="21" t="str">
        <f ca="1">IFERROR(VLOOKUP(V287,OFFSET(abbreviation[],0,ColumnLanguage),ColumnAbbreviation,FALSE),"")</f>
        <v/>
      </c>
      <c r="BS287" s="21" t="str">
        <f ca="1">IFERROR(VLOOKUP(Z287,OFFSET(abbreviation[],0,ColumnLanguage),ColumnAbbreviation,FALSE),"")</f>
        <v/>
      </c>
      <c r="BT287" s="21" t="str">
        <f ca="1">IFERROR(VLOOKUP(AB287,OFFSET(abbreviation[],0,ColumnLanguage),ColumnAbbreviation,FALSE),"")</f>
        <v/>
      </c>
      <c r="BU287" s="21" t="str">
        <f t="shared" ca="1" si="29"/>
        <v>__</v>
      </c>
      <c r="BV287" s="21" t="str">
        <f ca="1">IFERROR(VLOOKUP(AF287,OFFSET(abbreviation[],0,ColumnLanguage),ColumnAbbreviation,FALSE),"")</f>
        <v/>
      </c>
      <c r="BW287" s="21" t="str">
        <f ca="1">IFERROR(VLOOKUP(AH287,OFFSET(abbreviation[],0,ColumnLanguage),ColumnAbbreviation,FALSE),"")</f>
        <v/>
      </c>
      <c r="BX287" s="21" t="str">
        <f ca="1">IFERROR(VLOOKUP(AJ287,OFFSET(abbreviation[],0,ColumnLanguage),ColumnAbbreviation,FALSE),"")</f>
        <v/>
      </c>
      <c r="BY287" s="21" t="str">
        <f ca="1">IFERROR(VLOOKUP(AL287,OFFSET(abbreviation[],0,ColumnLanguage),ColumnAbbreviation,FALSE),"")</f>
        <v/>
      </c>
      <c r="BZ287" s="21" t="str">
        <f t="shared" ca="1" si="30"/>
        <v>_</v>
      </c>
      <c r="CA287" s="21" t="str">
        <f ca="1">IFERROR(VLOOKUP(AP287,OFFSET(abbreviation[],0,ColumnLanguage),ColumnAbbreviation,FALSE),"")</f>
        <v/>
      </c>
      <c r="CB287" s="21" t="str">
        <f ca="1">IFERROR(VLOOKUP(AR287,OFFSET(abbreviation[],0,ColumnLanguage),ColumnAbbreviation,FALSE),"")</f>
        <v/>
      </c>
      <c r="CC287" s="21" t="str">
        <f ca="1">IFERROR(VLOOKUP(AT287,OFFSET(abbreviation[],0,ColumnLanguage),ColumnAbbreviation,FALSE),"")</f>
        <v/>
      </c>
      <c r="CD287" s="21" t="str">
        <f ca="1">IFERROR(VLOOKUP(AV287,OFFSET(abbreviation[],0,ColumnLanguage),ColumnAbbreviation,FALSE),"")</f>
        <v/>
      </c>
      <c r="CE287" s="21" t="str">
        <f t="shared" ca="1" si="31"/>
        <v>__</v>
      </c>
      <c r="CF287" s="21" t="str">
        <f ca="1">IFERROR(VLOOKUP(AX287,OFFSET(abbreviation[],0,ColumnLanguage),ColumnAbbreviation,FALSE),"")</f>
        <v/>
      </c>
      <c r="CG287" s="21" t="str">
        <f ca="1">IFERROR(VLOOKUP(AZ287,OFFSET(abbreviation[],0,ColumnLanguage),ColumnAbbreviation,FALSE),"")</f>
        <v/>
      </c>
      <c r="CH287" s="21" t="str">
        <f ca="1">IFERROR(VLOOKUP(BB287,OFFSET(abbreviation[],0,ColumnLanguage),ColumnAbbreviation,FALSE),"")</f>
        <v/>
      </c>
      <c r="CI287" s="21" t="str">
        <f ca="1">IFERROR(VLOOKUP(BD287,OFFSET(abbreviation[],0,ColumnLanguage),ColumnAbbreviation,FALSE),"")</f>
        <v/>
      </c>
      <c r="CJ287" s="21" t="str">
        <f ca="1">IFERROR(VLOOKUP(BF287,OFFSET(abbreviation[],0,ColumnLanguage),ColumnAbbreviation,FALSE),"")</f>
        <v/>
      </c>
      <c r="CK287" s="21" t="str">
        <f t="shared" ca="1" si="32"/>
        <v/>
      </c>
      <c r="CL287" s="21" t="str">
        <f t="shared" si="33"/>
        <v/>
      </c>
      <c r="CM287" s="52"/>
      <c r="CN287" s="57" t="str">
        <f t="shared" si="34"/>
        <v/>
      </c>
    </row>
    <row r="288" spans="16:92" x14ac:dyDescent="0.25">
      <c r="P288" s="60"/>
      <c r="Q288" s="13"/>
      <c r="V288" s="60"/>
      <c r="X288" s="61"/>
      <c r="AB288" s="60"/>
      <c r="AN288" s="54"/>
      <c r="AS288" s="15"/>
      <c r="BH288" s="52"/>
      <c r="BI288" s="21" t="str">
        <f ca="1">IFERROR(VLOOKUP(C288,OFFSET(abbreviation[],0,ColumnLanguage),ColumnAbbreviation,FALSE),"")</f>
        <v/>
      </c>
      <c r="BJ288" s="21" t="str">
        <f ca="1">IFERROR(VLOOKUP(E288,OFFSET(abbreviation[],0,ColumnLanguage),ColumnAbbreviation,FALSE),"")</f>
        <v/>
      </c>
      <c r="BK288" s="21" t="str">
        <f ca="1">IFERROR(VLOOKUP(G288,OFFSET(abbreviation[],0,ColumnLanguage),ColumnAbbreviation,FALSE),"")</f>
        <v/>
      </c>
      <c r="BL288" s="21" t="str">
        <f ca="1">IFERROR(VLOOKUP(I288,OFFSET(abbreviation[],0,ColumnLanguage),ColumnAbbreviation,FALSE),"")</f>
        <v/>
      </c>
      <c r="BM288" s="21" t="str">
        <f ca="1">IFERROR(VLOOKUP(K288,OFFSET(abbreviation[],0,ColumnLanguage),ColumnAbbreviation,FALSE),"")</f>
        <v/>
      </c>
      <c r="BN288" s="21" t="str">
        <f t="shared" ca="1" si="28"/>
        <v/>
      </c>
      <c r="BO288" s="21" t="str">
        <f ca="1">IFERROR(VLOOKUP(N288,OFFSET(abbreviation[],0,ColumnLanguage),ColumnAbbreviation,FALSE),"")</f>
        <v/>
      </c>
      <c r="BP288" s="21" t="str">
        <f ca="1">IFERROR(VLOOKUP(P288,OFFSET(abbreviation[],0,ColumnLanguage),ColumnAbbreviation,FALSE),"")</f>
        <v/>
      </c>
      <c r="BQ288" s="21" t="str">
        <f ca="1">IFERROR(VLOOKUP(T288,OFFSET(abbreviation[],0,ColumnLanguage),ColumnAbbreviation,FALSE),"")</f>
        <v/>
      </c>
      <c r="BR288" s="21" t="str">
        <f ca="1">IFERROR(VLOOKUP(V288,OFFSET(abbreviation[],0,ColumnLanguage),ColumnAbbreviation,FALSE),"")</f>
        <v/>
      </c>
      <c r="BS288" s="21" t="str">
        <f ca="1">IFERROR(VLOOKUP(Z288,OFFSET(abbreviation[],0,ColumnLanguage),ColumnAbbreviation,FALSE),"")</f>
        <v/>
      </c>
      <c r="BT288" s="21" t="str">
        <f ca="1">IFERROR(VLOOKUP(AB288,OFFSET(abbreviation[],0,ColumnLanguage),ColumnAbbreviation,FALSE),"")</f>
        <v/>
      </c>
      <c r="BU288" s="21" t="str">
        <f t="shared" ca="1" si="29"/>
        <v>__</v>
      </c>
      <c r="BV288" s="21" t="str">
        <f ca="1">IFERROR(VLOOKUP(AF288,OFFSET(abbreviation[],0,ColumnLanguage),ColumnAbbreviation,FALSE),"")</f>
        <v/>
      </c>
      <c r="BW288" s="21" t="str">
        <f ca="1">IFERROR(VLOOKUP(AH288,OFFSET(abbreviation[],0,ColumnLanguage),ColumnAbbreviation,FALSE),"")</f>
        <v/>
      </c>
      <c r="BX288" s="21" t="str">
        <f ca="1">IFERROR(VLOOKUP(AJ288,OFFSET(abbreviation[],0,ColumnLanguage),ColumnAbbreviation,FALSE),"")</f>
        <v/>
      </c>
      <c r="BY288" s="21" t="str">
        <f ca="1">IFERROR(VLOOKUP(AL288,OFFSET(abbreviation[],0,ColumnLanguage),ColumnAbbreviation,FALSE),"")</f>
        <v/>
      </c>
      <c r="BZ288" s="21" t="str">
        <f t="shared" ca="1" si="30"/>
        <v>_</v>
      </c>
      <c r="CA288" s="21" t="str">
        <f ca="1">IFERROR(VLOOKUP(AP288,OFFSET(abbreviation[],0,ColumnLanguage),ColumnAbbreviation,FALSE),"")</f>
        <v/>
      </c>
      <c r="CB288" s="21" t="str">
        <f ca="1">IFERROR(VLOOKUP(AR288,OFFSET(abbreviation[],0,ColumnLanguage),ColumnAbbreviation,FALSE),"")</f>
        <v/>
      </c>
      <c r="CC288" s="21" t="str">
        <f ca="1">IFERROR(VLOOKUP(AT288,OFFSET(abbreviation[],0,ColumnLanguage),ColumnAbbreviation,FALSE),"")</f>
        <v/>
      </c>
      <c r="CD288" s="21" t="str">
        <f ca="1">IFERROR(VLOOKUP(AV288,OFFSET(abbreviation[],0,ColumnLanguage),ColumnAbbreviation,FALSE),"")</f>
        <v/>
      </c>
      <c r="CE288" s="21" t="str">
        <f t="shared" ca="1" si="31"/>
        <v>__</v>
      </c>
      <c r="CF288" s="21" t="str">
        <f ca="1">IFERROR(VLOOKUP(AX288,OFFSET(abbreviation[],0,ColumnLanguage),ColumnAbbreviation,FALSE),"")</f>
        <v/>
      </c>
      <c r="CG288" s="21" t="str">
        <f ca="1">IFERROR(VLOOKUP(AZ288,OFFSET(abbreviation[],0,ColumnLanguage),ColumnAbbreviation,FALSE),"")</f>
        <v/>
      </c>
      <c r="CH288" s="21" t="str">
        <f ca="1">IFERROR(VLOOKUP(BB288,OFFSET(abbreviation[],0,ColumnLanguage),ColumnAbbreviation,FALSE),"")</f>
        <v/>
      </c>
      <c r="CI288" s="21" t="str">
        <f ca="1">IFERROR(VLOOKUP(BD288,OFFSET(abbreviation[],0,ColumnLanguage),ColumnAbbreviation,FALSE),"")</f>
        <v/>
      </c>
      <c r="CJ288" s="21" t="str">
        <f ca="1">IFERROR(VLOOKUP(BF288,OFFSET(abbreviation[],0,ColumnLanguage),ColumnAbbreviation,FALSE),"")</f>
        <v/>
      </c>
      <c r="CK288" s="21" t="str">
        <f t="shared" ca="1" si="32"/>
        <v/>
      </c>
      <c r="CL288" s="21" t="str">
        <f t="shared" si="33"/>
        <v/>
      </c>
      <c r="CM288" s="52"/>
      <c r="CN288" s="57" t="str">
        <f t="shared" si="34"/>
        <v/>
      </c>
    </row>
    <row r="289" spans="16:92" x14ac:dyDescent="0.25">
      <c r="P289" s="60"/>
      <c r="Q289" s="13"/>
      <c r="V289" s="60"/>
      <c r="X289" s="61"/>
      <c r="AB289" s="60"/>
      <c r="AN289" s="54"/>
      <c r="AS289" s="15"/>
      <c r="BH289" s="52"/>
      <c r="BI289" s="21" t="str">
        <f ca="1">IFERROR(VLOOKUP(C289,OFFSET(abbreviation[],0,ColumnLanguage),ColumnAbbreviation,FALSE),"")</f>
        <v/>
      </c>
      <c r="BJ289" s="21" t="str">
        <f ca="1">IFERROR(VLOOKUP(E289,OFFSET(abbreviation[],0,ColumnLanguage),ColumnAbbreviation,FALSE),"")</f>
        <v/>
      </c>
      <c r="BK289" s="21" t="str">
        <f ca="1">IFERROR(VLOOKUP(G289,OFFSET(abbreviation[],0,ColumnLanguage),ColumnAbbreviation,FALSE),"")</f>
        <v/>
      </c>
      <c r="BL289" s="21" t="str">
        <f ca="1">IFERROR(VLOOKUP(I289,OFFSET(abbreviation[],0,ColumnLanguage),ColumnAbbreviation,FALSE),"")</f>
        <v/>
      </c>
      <c r="BM289" s="21" t="str">
        <f ca="1">IFERROR(VLOOKUP(K289,OFFSET(abbreviation[],0,ColumnLanguage),ColumnAbbreviation,FALSE),"")</f>
        <v/>
      </c>
      <c r="BN289" s="21" t="str">
        <f t="shared" ca="1" si="28"/>
        <v/>
      </c>
      <c r="BO289" s="21" t="str">
        <f ca="1">IFERROR(VLOOKUP(N289,OFFSET(abbreviation[],0,ColumnLanguage),ColumnAbbreviation,FALSE),"")</f>
        <v/>
      </c>
      <c r="BP289" s="21" t="str">
        <f ca="1">IFERROR(VLOOKUP(P289,OFFSET(abbreviation[],0,ColumnLanguage),ColumnAbbreviation,FALSE),"")</f>
        <v/>
      </c>
      <c r="BQ289" s="21" t="str">
        <f ca="1">IFERROR(VLOOKUP(T289,OFFSET(abbreviation[],0,ColumnLanguage),ColumnAbbreviation,FALSE),"")</f>
        <v/>
      </c>
      <c r="BR289" s="21" t="str">
        <f ca="1">IFERROR(VLOOKUP(V289,OFFSET(abbreviation[],0,ColumnLanguage),ColumnAbbreviation,FALSE),"")</f>
        <v/>
      </c>
      <c r="BS289" s="21" t="str">
        <f ca="1">IFERROR(VLOOKUP(Z289,OFFSET(abbreviation[],0,ColumnLanguage),ColumnAbbreviation,FALSE),"")</f>
        <v/>
      </c>
      <c r="BT289" s="21" t="str">
        <f ca="1">IFERROR(VLOOKUP(AB289,OFFSET(abbreviation[],0,ColumnLanguage),ColumnAbbreviation,FALSE),"")</f>
        <v/>
      </c>
      <c r="BU289" s="21" t="str">
        <f t="shared" ca="1" si="29"/>
        <v>__</v>
      </c>
      <c r="BV289" s="21" t="str">
        <f ca="1">IFERROR(VLOOKUP(AF289,OFFSET(abbreviation[],0,ColumnLanguage),ColumnAbbreviation,FALSE),"")</f>
        <v/>
      </c>
      <c r="BW289" s="21" t="str">
        <f ca="1">IFERROR(VLOOKUP(AH289,OFFSET(abbreviation[],0,ColumnLanguage),ColumnAbbreviation,FALSE),"")</f>
        <v/>
      </c>
      <c r="BX289" s="21" t="str">
        <f ca="1">IFERROR(VLOOKUP(AJ289,OFFSET(abbreviation[],0,ColumnLanguage),ColumnAbbreviation,FALSE),"")</f>
        <v/>
      </c>
      <c r="BY289" s="21" t="str">
        <f ca="1">IFERROR(VLOOKUP(AL289,OFFSET(abbreviation[],0,ColumnLanguage),ColumnAbbreviation,FALSE),"")</f>
        <v/>
      </c>
      <c r="BZ289" s="21" t="str">
        <f t="shared" ca="1" si="30"/>
        <v>_</v>
      </c>
      <c r="CA289" s="21" t="str">
        <f ca="1">IFERROR(VLOOKUP(AP289,OFFSET(abbreviation[],0,ColumnLanguage),ColumnAbbreviation,FALSE),"")</f>
        <v/>
      </c>
      <c r="CB289" s="21" t="str">
        <f ca="1">IFERROR(VLOOKUP(AR289,OFFSET(abbreviation[],0,ColumnLanguage),ColumnAbbreviation,FALSE),"")</f>
        <v/>
      </c>
      <c r="CC289" s="21" t="str">
        <f ca="1">IFERROR(VLOOKUP(AT289,OFFSET(abbreviation[],0,ColumnLanguage),ColumnAbbreviation,FALSE),"")</f>
        <v/>
      </c>
      <c r="CD289" s="21" t="str">
        <f ca="1">IFERROR(VLOOKUP(AV289,OFFSET(abbreviation[],0,ColumnLanguage),ColumnAbbreviation,FALSE),"")</f>
        <v/>
      </c>
      <c r="CE289" s="21" t="str">
        <f t="shared" ca="1" si="31"/>
        <v>__</v>
      </c>
      <c r="CF289" s="21" t="str">
        <f ca="1">IFERROR(VLOOKUP(AX289,OFFSET(abbreviation[],0,ColumnLanguage),ColumnAbbreviation,FALSE),"")</f>
        <v/>
      </c>
      <c r="CG289" s="21" t="str">
        <f ca="1">IFERROR(VLOOKUP(AZ289,OFFSET(abbreviation[],0,ColumnLanguage),ColumnAbbreviation,FALSE),"")</f>
        <v/>
      </c>
      <c r="CH289" s="21" t="str">
        <f ca="1">IFERROR(VLOOKUP(BB289,OFFSET(abbreviation[],0,ColumnLanguage),ColumnAbbreviation,FALSE),"")</f>
        <v/>
      </c>
      <c r="CI289" s="21" t="str">
        <f ca="1">IFERROR(VLOOKUP(BD289,OFFSET(abbreviation[],0,ColumnLanguage),ColumnAbbreviation,FALSE),"")</f>
        <v/>
      </c>
      <c r="CJ289" s="21" t="str">
        <f ca="1">IFERROR(VLOOKUP(BF289,OFFSET(abbreviation[],0,ColumnLanguage),ColumnAbbreviation,FALSE),"")</f>
        <v/>
      </c>
      <c r="CK289" s="21" t="str">
        <f t="shared" ca="1" si="32"/>
        <v/>
      </c>
      <c r="CL289" s="21" t="str">
        <f t="shared" si="33"/>
        <v/>
      </c>
      <c r="CM289" s="52"/>
      <c r="CN289" s="57" t="str">
        <f t="shared" si="34"/>
        <v/>
      </c>
    </row>
    <row r="290" spans="16:92" x14ac:dyDescent="0.25">
      <c r="P290" s="60"/>
      <c r="Q290" s="13"/>
      <c r="V290" s="60"/>
      <c r="X290" s="61"/>
      <c r="AB290" s="60"/>
      <c r="AN290" s="54"/>
      <c r="AS290" s="15"/>
      <c r="BH290" s="52"/>
      <c r="BI290" s="21" t="str">
        <f ca="1">IFERROR(VLOOKUP(C290,OFFSET(abbreviation[],0,ColumnLanguage),ColumnAbbreviation,FALSE),"")</f>
        <v/>
      </c>
      <c r="BJ290" s="21" t="str">
        <f ca="1">IFERROR(VLOOKUP(E290,OFFSET(abbreviation[],0,ColumnLanguage),ColumnAbbreviation,FALSE),"")</f>
        <v/>
      </c>
      <c r="BK290" s="21" t="str">
        <f ca="1">IFERROR(VLOOKUP(G290,OFFSET(abbreviation[],0,ColumnLanguage),ColumnAbbreviation,FALSE),"")</f>
        <v/>
      </c>
      <c r="BL290" s="21" t="str">
        <f ca="1">IFERROR(VLOOKUP(I290,OFFSET(abbreviation[],0,ColumnLanguage),ColumnAbbreviation,FALSE),"")</f>
        <v/>
      </c>
      <c r="BM290" s="21" t="str">
        <f ca="1">IFERROR(VLOOKUP(K290,OFFSET(abbreviation[],0,ColumnLanguage),ColumnAbbreviation,FALSE),"")</f>
        <v/>
      </c>
      <c r="BN290" s="21" t="str">
        <f t="shared" ca="1" si="28"/>
        <v/>
      </c>
      <c r="BO290" s="21" t="str">
        <f ca="1">IFERROR(VLOOKUP(N290,OFFSET(abbreviation[],0,ColumnLanguage),ColumnAbbreviation,FALSE),"")</f>
        <v/>
      </c>
      <c r="BP290" s="21" t="str">
        <f ca="1">IFERROR(VLOOKUP(P290,OFFSET(abbreviation[],0,ColumnLanguage),ColumnAbbreviation,FALSE),"")</f>
        <v/>
      </c>
      <c r="BQ290" s="21" t="str">
        <f ca="1">IFERROR(VLOOKUP(T290,OFFSET(abbreviation[],0,ColumnLanguage),ColumnAbbreviation,FALSE),"")</f>
        <v/>
      </c>
      <c r="BR290" s="21" t="str">
        <f ca="1">IFERROR(VLOOKUP(V290,OFFSET(abbreviation[],0,ColumnLanguage),ColumnAbbreviation,FALSE),"")</f>
        <v/>
      </c>
      <c r="BS290" s="21" t="str">
        <f ca="1">IFERROR(VLOOKUP(Z290,OFFSET(abbreviation[],0,ColumnLanguage),ColumnAbbreviation,FALSE),"")</f>
        <v/>
      </c>
      <c r="BT290" s="21" t="str">
        <f ca="1">IFERROR(VLOOKUP(AB290,OFFSET(abbreviation[],0,ColumnLanguage),ColumnAbbreviation,FALSE),"")</f>
        <v/>
      </c>
      <c r="BU290" s="21" t="str">
        <f t="shared" ca="1" si="29"/>
        <v>__</v>
      </c>
      <c r="BV290" s="21" t="str">
        <f ca="1">IFERROR(VLOOKUP(AF290,OFFSET(abbreviation[],0,ColumnLanguage),ColumnAbbreviation,FALSE),"")</f>
        <v/>
      </c>
      <c r="BW290" s="21" t="str">
        <f ca="1">IFERROR(VLOOKUP(AH290,OFFSET(abbreviation[],0,ColumnLanguage),ColumnAbbreviation,FALSE),"")</f>
        <v/>
      </c>
      <c r="BX290" s="21" t="str">
        <f ca="1">IFERROR(VLOOKUP(AJ290,OFFSET(abbreviation[],0,ColumnLanguage),ColumnAbbreviation,FALSE),"")</f>
        <v/>
      </c>
      <c r="BY290" s="21" t="str">
        <f ca="1">IFERROR(VLOOKUP(AL290,OFFSET(abbreviation[],0,ColumnLanguage),ColumnAbbreviation,FALSE),"")</f>
        <v/>
      </c>
      <c r="BZ290" s="21" t="str">
        <f t="shared" ca="1" si="30"/>
        <v>_</v>
      </c>
      <c r="CA290" s="21" t="str">
        <f ca="1">IFERROR(VLOOKUP(AP290,OFFSET(abbreviation[],0,ColumnLanguage),ColumnAbbreviation,FALSE),"")</f>
        <v/>
      </c>
      <c r="CB290" s="21" t="str">
        <f ca="1">IFERROR(VLOOKUP(AR290,OFFSET(abbreviation[],0,ColumnLanguage),ColumnAbbreviation,FALSE),"")</f>
        <v/>
      </c>
      <c r="CC290" s="21" t="str">
        <f ca="1">IFERROR(VLOOKUP(AT290,OFFSET(abbreviation[],0,ColumnLanguage),ColumnAbbreviation,FALSE),"")</f>
        <v/>
      </c>
      <c r="CD290" s="21" t="str">
        <f ca="1">IFERROR(VLOOKUP(AV290,OFFSET(abbreviation[],0,ColumnLanguage),ColumnAbbreviation,FALSE),"")</f>
        <v/>
      </c>
      <c r="CE290" s="21" t="str">
        <f t="shared" ca="1" si="31"/>
        <v>__</v>
      </c>
      <c r="CF290" s="21" t="str">
        <f ca="1">IFERROR(VLOOKUP(AX290,OFFSET(abbreviation[],0,ColumnLanguage),ColumnAbbreviation,FALSE),"")</f>
        <v/>
      </c>
      <c r="CG290" s="21" t="str">
        <f ca="1">IFERROR(VLOOKUP(AZ290,OFFSET(abbreviation[],0,ColumnLanguage),ColumnAbbreviation,FALSE),"")</f>
        <v/>
      </c>
      <c r="CH290" s="21" t="str">
        <f ca="1">IFERROR(VLOOKUP(BB290,OFFSET(abbreviation[],0,ColumnLanguage),ColumnAbbreviation,FALSE),"")</f>
        <v/>
      </c>
      <c r="CI290" s="21" t="str">
        <f ca="1">IFERROR(VLOOKUP(BD290,OFFSET(abbreviation[],0,ColumnLanguage),ColumnAbbreviation,FALSE),"")</f>
        <v/>
      </c>
      <c r="CJ290" s="21" t="str">
        <f ca="1">IFERROR(VLOOKUP(BF290,OFFSET(abbreviation[],0,ColumnLanguage),ColumnAbbreviation,FALSE),"")</f>
        <v/>
      </c>
      <c r="CK290" s="21" t="str">
        <f t="shared" ca="1" si="32"/>
        <v/>
      </c>
      <c r="CL290" s="21" t="str">
        <f t="shared" si="33"/>
        <v/>
      </c>
      <c r="CM290" s="52"/>
      <c r="CN290" s="57" t="str">
        <f t="shared" si="34"/>
        <v/>
      </c>
    </row>
    <row r="291" spans="16:92" x14ac:dyDescent="0.25">
      <c r="P291" s="60"/>
      <c r="Q291" s="13"/>
      <c r="V291" s="60"/>
      <c r="X291" s="61"/>
      <c r="AB291" s="60"/>
      <c r="AN291" s="54"/>
      <c r="AS291" s="15"/>
      <c r="BH291" s="52"/>
      <c r="BI291" s="21" t="str">
        <f ca="1">IFERROR(VLOOKUP(C291,OFFSET(abbreviation[],0,ColumnLanguage),ColumnAbbreviation,FALSE),"")</f>
        <v/>
      </c>
      <c r="BJ291" s="21" t="str">
        <f ca="1">IFERROR(VLOOKUP(E291,OFFSET(abbreviation[],0,ColumnLanguage),ColumnAbbreviation,FALSE),"")</f>
        <v/>
      </c>
      <c r="BK291" s="21" t="str">
        <f ca="1">IFERROR(VLOOKUP(G291,OFFSET(abbreviation[],0,ColumnLanguage),ColumnAbbreviation,FALSE),"")</f>
        <v/>
      </c>
      <c r="BL291" s="21" t="str">
        <f ca="1">IFERROR(VLOOKUP(I291,OFFSET(abbreviation[],0,ColumnLanguage),ColumnAbbreviation,FALSE),"")</f>
        <v/>
      </c>
      <c r="BM291" s="21" t="str">
        <f ca="1">IFERROR(VLOOKUP(K291,OFFSET(abbreviation[],0,ColumnLanguage),ColumnAbbreviation,FALSE),"")</f>
        <v/>
      </c>
      <c r="BN291" s="21" t="str">
        <f t="shared" ca="1" si="28"/>
        <v/>
      </c>
      <c r="BO291" s="21" t="str">
        <f ca="1">IFERROR(VLOOKUP(N291,OFFSET(abbreviation[],0,ColumnLanguage),ColumnAbbreviation,FALSE),"")</f>
        <v/>
      </c>
      <c r="BP291" s="21" t="str">
        <f ca="1">IFERROR(VLOOKUP(P291,OFFSET(abbreviation[],0,ColumnLanguage),ColumnAbbreviation,FALSE),"")</f>
        <v/>
      </c>
      <c r="BQ291" s="21" t="str">
        <f ca="1">IFERROR(VLOOKUP(T291,OFFSET(abbreviation[],0,ColumnLanguage),ColumnAbbreviation,FALSE),"")</f>
        <v/>
      </c>
      <c r="BR291" s="21" t="str">
        <f ca="1">IFERROR(VLOOKUP(V291,OFFSET(abbreviation[],0,ColumnLanguage),ColumnAbbreviation,FALSE),"")</f>
        <v/>
      </c>
      <c r="BS291" s="21" t="str">
        <f ca="1">IFERROR(VLOOKUP(Z291,OFFSET(abbreviation[],0,ColumnLanguage),ColumnAbbreviation,FALSE),"")</f>
        <v/>
      </c>
      <c r="BT291" s="21" t="str">
        <f ca="1">IFERROR(VLOOKUP(AB291,OFFSET(abbreviation[],0,ColumnLanguage),ColumnAbbreviation,FALSE),"")</f>
        <v/>
      </c>
      <c r="BU291" s="21" t="str">
        <f t="shared" ca="1" si="29"/>
        <v>__</v>
      </c>
      <c r="BV291" s="21" t="str">
        <f ca="1">IFERROR(VLOOKUP(AF291,OFFSET(abbreviation[],0,ColumnLanguage),ColumnAbbreviation,FALSE),"")</f>
        <v/>
      </c>
      <c r="BW291" s="21" t="str">
        <f ca="1">IFERROR(VLOOKUP(AH291,OFFSET(abbreviation[],0,ColumnLanguage),ColumnAbbreviation,FALSE),"")</f>
        <v/>
      </c>
      <c r="BX291" s="21" t="str">
        <f ca="1">IFERROR(VLOOKUP(AJ291,OFFSET(abbreviation[],0,ColumnLanguage),ColumnAbbreviation,FALSE),"")</f>
        <v/>
      </c>
      <c r="BY291" s="21" t="str">
        <f ca="1">IFERROR(VLOOKUP(AL291,OFFSET(abbreviation[],0,ColumnLanguage),ColumnAbbreviation,FALSE),"")</f>
        <v/>
      </c>
      <c r="BZ291" s="21" t="str">
        <f t="shared" ca="1" si="30"/>
        <v>_</v>
      </c>
      <c r="CA291" s="21" t="str">
        <f ca="1">IFERROR(VLOOKUP(AP291,OFFSET(abbreviation[],0,ColumnLanguage),ColumnAbbreviation,FALSE),"")</f>
        <v/>
      </c>
      <c r="CB291" s="21" t="str">
        <f ca="1">IFERROR(VLOOKUP(AR291,OFFSET(abbreviation[],0,ColumnLanguage),ColumnAbbreviation,FALSE),"")</f>
        <v/>
      </c>
      <c r="CC291" s="21" t="str">
        <f ca="1">IFERROR(VLOOKUP(AT291,OFFSET(abbreviation[],0,ColumnLanguage),ColumnAbbreviation,FALSE),"")</f>
        <v/>
      </c>
      <c r="CD291" s="21" t="str">
        <f ca="1">IFERROR(VLOOKUP(AV291,OFFSET(abbreviation[],0,ColumnLanguage),ColumnAbbreviation,FALSE),"")</f>
        <v/>
      </c>
      <c r="CE291" s="21" t="str">
        <f t="shared" ca="1" si="31"/>
        <v>__</v>
      </c>
      <c r="CF291" s="21" t="str">
        <f ca="1">IFERROR(VLOOKUP(AX291,OFFSET(abbreviation[],0,ColumnLanguage),ColumnAbbreviation,FALSE),"")</f>
        <v/>
      </c>
      <c r="CG291" s="21" t="str">
        <f ca="1">IFERROR(VLOOKUP(AZ291,OFFSET(abbreviation[],0,ColumnLanguage),ColumnAbbreviation,FALSE),"")</f>
        <v/>
      </c>
      <c r="CH291" s="21" t="str">
        <f ca="1">IFERROR(VLOOKUP(BB291,OFFSET(abbreviation[],0,ColumnLanguage),ColumnAbbreviation,FALSE),"")</f>
        <v/>
      </c>
      <c r="CI291" s="21" t="str">
        <f ca="1">IFERROR(VLOOKUP(BD291,OFFSET(abbreviation[],0,ColumnLanguage),ColumnAbbreviation,FALSE),"")</f>
        <v/>
      </c>
      <c r="CJ291" s="21" t="str">
        <f ca="1">IFERROR(VLOOKUP(BF291,OFFSET(abbreviation[],0,ColumnLanguage),ColumnAbbreviation,FALSE),"")</f>
        <v/>
      </c>
      <c r="CK291" s="21" t="str">
        <f t="shared" ca="1" si="32"/>
        <v/>
      </c>
      <c r="CL291" s="21" t="str">
        <f t="shared" si="33"/>
        <v/>
      </c>
      <c r="CM291" s="52"/>
      <c r="CN291" s="57" t="str">
        <f t="shared" si="34"/>
        <v/>
      </c>
    </row>
    <row r="292" spans="16:92" x14ac:dyDescent="0.25">
      <c r="P292" s="60"/>
      <c r="Q292" s="13"/>
      <c r="V292" s="60"/>
      <c r="X292" s="61"/>
      <c r="AB292" s="60"/>
      <c r="AN292" s="54"/>
      <c r="AS292" s="15"/>
      <c r="BH292" s="52"/>
      <c r="BI292" s="21" t="str">
        <f ca="1">IFERROR(VLOOKUP(C292,OFFSET(abbreviation[],0,ColumnLanguage),ColumnAbbreviation,FALSE),"")</f>
        <v/>
      </c>
      <c r="BJ292" s="21" t="str">
        <f ca="1">IFERROR(VLOOKUP(E292,OFFSET(abbreviation[],0,ColumnLanguage),ColumnAbbreviation,FALSE),"")</f>
        <v/>
      </c>
      <c r="BK292" s="21" t="str">
        <f ca="1">IFERROR(VLOOKUP(G292,OFFSET(abbreviation[],0,ColumnLanguage),ColumnAbbreviation,FALSE),"")</f>
        <v/>
      </c>
      <c r="BL292" s="21" t="str">
        <f ca="1">IFERROR(VLOOKUP(I292,OFFSET(abbreviation[],0,ColumnLanguage),ColumnAbbreviation,FALSE),"")</f>
        <v/>
      </c>
      <c r="BM292" s="21" t="str">
        <f ca="1">IFERROR(VLOOKUP(K292,OFFSET(abbreviation[],0,ColumnLanguage),ColumnAbbreviation,FALSE),"")</f>
        <v/>
      </c>
      <c r="BN292" s="21" t="str">
        <f t="shared" ca="1" si="28"/>
        <v/>
      </c>
      <c r="BO292" s="21" t="str">
        <f ca="1">IFERROR(VLOOKUP(N292,OFFSET(abbreviation[],0,ColumnLanguage),ColumnAbbreviation,FALSE),"")</f>
        <v/>
      </c>
      <c r="BP292" s="21" t="str">
        <f ca="1">IFERROR(VLOOKUP(P292,OFFSET(abbreviation[],0,ColumnLanguage),ColumnAbbreviation,FALSE),"")</f>
        <v/>
      </c>
      <c r="BQ292" s="21" t="str">
        <f ca="1">IFERROR(VLOOKUP(T292,OFFSET(abbreviation[],0,ColumnLanguage),ColumnAbbreviation,FALSE),"")</f>
        <v/>
      </c>
      <c r="BR292" s="21" t="str">
        <f ca="1">IFERROR(VLOOKUP(V292,OFFSET(abbreviation[],0,ColumnLanguage),ColumnAbbreviation,FALSE),"")</f>
        <v/>
      </c>
      <c r="BS292" s="21" t="str">
        <f ca="1">IFERROR(VLOOKUP(Z292,OFFSET(abbreviation[],0,ColumnLanguage),ColumnAbbreviation,FALSE),"")</f>
        <v/>
      </c>
      <c r="BT292" s="21" t="str">
        <f ca="1">IFERROR(VLOOKUP(AB292,OFFSET(abbreviation[],0,ColumnLanguage),ColumnAbbreviation,FALSE),"")</f>
        <v/>
      </c>
      <c r="BU292" s="21" t="str">
        <f t="shared" ca="1" si="29"/>
        <v>__</v>
      </c>
      <c r="BV292" s="21" t="str">
        <f ca="1">IFERROR(VLOOKUP(AF292,OFFSET(abbreviation[],0,ColumnLanguage),ColumnAbbreviation,FALSE),"")</f>
        <v/>
      </c>
      <c r="BW292" s="21" t="str">
        <f ca="1">IFERROR(VLOOKUP(AH292,OFFSET(abbreviation[],0,ColumnLanguage),ColumnAbbreviation,FALSE),"")</f>
        <v/>
      </c>
      <c r="BX292" s="21" t="str">
        <f ca="1">IFERROR(VLOOKUP(AJ292,OFFSET(abbreviation[],0,ColumnLanguage),ColumnAbbreviation,FALSE),"")</f>
        <v/>
      </c>
      <c r="BY292" s="21" t="str">
        <f ca="1">IFERROR(VLOOKUP(AL292,OFFSET(abbreviation[],0,ColumnLanguage),ColumnAbbreviation,FALSE),"")</f>
        <v/>
      </c>
      <c r="BZ292" s="21" t="str">
        <f t="shared" ca="1" si="30"/>
        <v>_</v>
      </c>
      <c r="CA292" s="21" t="str">
        <f ca="1">IFERROR(VLOOKUP(AP292,OFFSET(abbreviation[],0,ColumnLanguage),ColumnAbbreviation,FALSE),"")</f>
        <v/>
      </c>
      <c r="CB292" s="21" t="str">
        <f ca="1">IFERROR(VLOOKUP(AR292,OFFSET(abbreviation[],0,ColumnLanguage),ColumnAbbreviation,FALSE),"")</f>
        <v/>
      </c>
      <c r="CC292" s="21" t="str">
        <f ca="1">IFERROR(VLOOKUP(AT292,OFFSET(abbreviation[],0,ColumnLanguage),ColumnAbbreviation,FALSE),"")</f>
        <v/>
      </c>
      <c r="CD292" s="21" t="str">
        <f ca="1">IFERROR(VLOOKUP(AV292,OFFSET(abbreviation[],0,ColumnLanguage),ColumnAbbreviation,FALSE),"")</f>
        <v/>
      </c>
      <c r="CE292" s="21" t="str">
        <f t="shared" ca="1" si="31"/>
        <v>__</v>
      </c>
      <c r="CF292" s="21" t="str">
        <f ca="1">IFERROR(VLOOKUP(AX292,OFFSET(abbreviation[],0,ColumnLanguage),ColumnAbbreviation,FALSE),"")</f>
        <v/>
      </c>
      <c r="CG292" s="21" t="str">
        <f ca="1">IFERROR(VLOOKUP(AZ292,OFFSET(abbreviation[],0,ColumnLanguage),ColumnAbbreviation,FALSE),"")</f>
        <v/>
      </c>
      <c r="CH292" s="21" t="str">
        <f ca="1">IFERROR(VLOOKUP(BB292,OFFSET(abbreviation[],0,ColumnLanguage),ColumnAbbreviation,FALSE),"")</f>
        <v/>
      </c>
      <c r="CI292" s="21" t="str">
        <f ca="1">IFERROR(VLOOKUP(BD292,OFFSET(abbreviation[],0,ColumnLanguage),ColumnAbbreviation,FALSE),"")</f>
        <v/>
      </c>
      <c r="CJ292" s="21" t="str">
        <f ca="1">IFERROR(VLOOKUP(BF292,OFFSET(abbreviation[],0,ColumnLanguage),ColumnAbbreviation,FALSE),"")</f>
        <v/>
      </c>
      <c r="CK292" s="21" t="str">
        <f t="shared" ca="1" si="32"/>
        <v/>
      </c>
      <c r="CL292" s="21" t="str">
        <f t="shared" si="33"/>
        <v/>
      </c>
      <c r="CM292" s="52"/>
      <c r="CN292" s="57" t="str">
        <f t="shared" si="34"/>
        <v/>
      </c>
    </row>
    <row r="293" spans="16:92" x14ac:dyDescent="0.25">
      <c r="P293" s="60"/>
      <c r="Q293" s="13"/>
      <c r="V293" s="60"/>
      <c r="X293" s="61"/>
      <c r="AB293" s="60"/>
      <c r="AN293" s="54"/>
      <c r="AS293" s="15"/>
      <c r="BH293" s="52"/>
      <c r="BI293" s="21" t="str">
        <f ca="1">IFERROR(VLOOKUP(C293,OFFSET(abbreviation[],0,ColumnLanguage),ColumnAbbreviation,FALSE),"")</f>
        <v/>
      </c>
      <c r="BJ293" s="21" t="str">
        <f ca="1">IFERROR(VLOOKUP(E293,OFFSET(abbreviation[],0,ColumnLanguage),ColumnAbbreviation,FALSE),"")</f>
        <v/>
      </c>
      <c r="BK293" s="21" t="str">
        <f ca="1">IFERROR(VLOOKUP(G293,OFFSET(abbreviation[],0,ColumnLanguage),ColumnAbbreviation,FALSE),"")</f>
        <v/>
      </c>
      <c r="BL293" s="21" t="str">
        <f ca="1">IFERROR(VLOOKUP(I293,OFFSET(abbreviation[],0,ColumnLanguage),ColumnAbbreviation,FALSE),"")</f>
        <v/>
      </c>
      <c r="BM293" s="21" t="str">
        <f ca="1">IFERROR(VLOOKUP(K293,OFFSET(abbreviation[],0,ColumnLanguage),ColumnAbbreviation,FALSE),"")</f>
        <v/>
      </c>
      <c r="BN293" s="21" t="str">
        <f t="shared" ca="1" si="28"/>
        <v/>
      </c>
      <c r="BO293" s="21" t="str">
        <f ca="1">IFERROR(VLOOKUP(N293,OFFSET(abbreviation[],0,ColumnLanguage),ColumnAbbreviation,FALSE),"")</f>
        <v/>
      </c>
      <c r="BP293" s="21" t="str">
        <f ca="1">IFERROR(VLOOKUP(P293,OFFSET(abbreviation[],0,ColumnLanguage),ColumnAbbreviation,FALSE),"")</f>
        <v/>
      </c>
      <c r="BQ293" s="21" t="str">
        <f ca="1">IFERROR(VLOOKUP(T293,OFFSET(abbreviation[],0,ColumnLanguage),ColumnAbbreviation,FALSE),"")</f>
        <v/>
      </c>
      <c r="BR293" s="21" t="str">
        <f ca="1">IFERROR(VLOOKUP(V293,OFFSET(abbreviation[],0,ColumnLanguage),ColumnAbbreviation,FALSE),"")</f>
        <v/>
      </c>
      <c r="BS293" s="21" t="str">
        <f ca="1">IFERROR(VLOOKUP(Z293,OFFSET(abbreviation[],0,ColumnLanguage),ColumnAbbreviation,FALSE),"")</f>
        <v/>
      </c>
      <c r="BT293" s="21" t="str">
        <f ca="1">IFERROR(VLOOKUP(AB293,OFFSET(abbreviation[],0,ColumnLanguage),ColumnAbbreviation,FALSE),"")</f>
        <v/>
      </c>
      <c r="BU293" s="21" t="str">
        <f t="shared" ca="1" si="29"/>
        <v>__</v>
      </c>
      <c r="BV293" s="21" t="str">
        <f ca="1">IFERROR(VLOOKUP(AF293,OFFSET(abbreviation[],0,ColumnLanguage),ColumnAbbreviation,FALSE),"")</f>
        <v/>
      </c>
      <c r="BW293" s="21" t="str">
        <f ca="1">IFERROR(VLOOKUP(AH293,OFFSET(abbreviation[],0,ColumnLanguage),ColumnAbbreviation,FALSE),"")</f>
        <v/>
      </c>
      <c r="BX293" s="21" t="str">
        <f ca="1">IFERROR(VLOOKUP(AJ293,OFFSET(abbreviation[],0,ColumnLanguage),ColumnAbbreviation,FALSE),"")</f>
        <v/>
      </c>
      <c r="BY293" s="21" t="str">
        <f ca="1">IFERROR(VLOOKUP(AL293,OFFSET(abbreviation[],0,ColumnLanguage),ColumnAbbreviation,FALSE),"")</f>
        <v/>
      </c>
      <c r="BZ293" s="21" t="str">
        <f t="shared" ca="1" si="30"/>
        <v>_</v>
      </c>
      <c r="CA293" s="21" t="str">
        <f ca="1">IFERROR(VLOOKUP(AP293,OFFSET(abbreviation[],0,ColumnLanguage),ColumnAbbreviation,FALSE),"")</f>
        <v/>
      </c>
      <c r="CB293" s="21" t="str">
        <f ca="1">IFERROR(VLOOKUP(AR293,OFFSET(abbreviation[],0,ColumnLanguage),ColumnAbbreviation,FALSE),"")</f>
        <v/>
      </c>
      <c r="CC293" s="21" t="str">
        <f ca="1">IFERROR(VLOOKUP(AT293,OFFSET(abbreviation[],0,ColumnLanguage),ColumnAbbreviation,FALSE),"")</f>
        <v/>
      </c>
      <c r="CD293" s="21" t="str">
        <f ca="1">IFERROR(VLOOKUP(AV293,OFFSET(abbreviation[],0,ColumnLanguage),ColumnAbbreviation,FALSE),"")</f>
        <v/>
      </c>
      <c r="CE293" s="21" t="str">
        <f t="shared" ca="1" si="31"/>
        <v>__</v>
      </c>
      <c r="CF293" s="21" t="str">
        <f ca="1">IFERROR(VLOOKUP(AX293,OFFSET(abbreviation[],0,ColumnLanguage),ColumnAbbreviation,FALSE),"")</f>
        <v/>
      </c>
      <c r="CG293" s="21" t="str">
        <f ca="1">IFERROR(VLOOKUP(AZ293,OFFSET(abbreviation[],0,ColumnLanguage),ColumnAbbreviation,FALSE),"")</f>
        <v/>
      </c>
      <c r="CH293" s="21" t="str">
        <f ca="1">IFERROR(VLOOKUP(BB293,OFFSET(abbreviation[],0,ColumnLanguage),ColumnAbbreviation,FALSE),"")</f>
        <v/>
      </c>
      <c r="CI293" s="21" t="str">
        <f ca="1">IFERROR(VLOOKUP(BD293,OFFSET(abbreviation[],0,ColumnLanguage),ColumnAbbreviation,FALSE),"")</f>
        <v/>
      </c>
      <c r="CJ293" s="21" t="str">
        <f ca="1">IFERROR(VLOOKUP(BF293,OFFSET(abbreviation[],0,ColumnLanguage),ColumnAbbreviation,FALSE),"")</f>
        <v/>
      </c>
      <c r="CK293" s="21" t="str">
        <f t="shared" ca="1" si="32"/>
        <v/>
      </c>
      <c r="CL293" s="21" t="str">
        <f t="shared" si="33"/>
        <v/>
      </c>
      <c r="CM293" s="52"/>
      <c r="CN293" s="57" t="str">
        <f t="shared" si="34"/>
        <v/>
      </c>
    </row>
    <row r="294" spans="16:92" x14ac:dyDescent="0.25">
      <c r="P294" s="60"/>
      <c r="Q294" s="13"/>
      <c r="V294" s="60"/>
      <c r="X294" s="61"/>
      <c r="AB294" s="60"/>
      <c r="AN294" s="54"/>
      <c r="AS294" s="15"/>
      <c r="BH294" s="52"/>
      <c r="BI294" s="21" t="str">
        <f ca="1">IFERROR(VLOOKUP(C294,OFFSET(abbreviation[],0,ColumnLanguage),ColumnAbbreviation,FALSE),"")</f>
        <v/>
      </c>
      <c r="BJ294" s="21" t="str">
        <f ca="1">IFERROR(VLOOKUP(E294,OFFSET(abbreviation[],0,ColumnLanguage),ColumnAbbreviation,FALSE),"")</f>
        <v/>
      </c>
      <c r="BK294" s="21" t="str">
        <f ca="1">IFERROR(VLOOKUP(G294,OFFSET(abbreviation[],0,ColumnLanguage),ColumnAbbreviation,FALSE),"")</f>
        <v/>
      </c>
      <c r="BL294" s="21" t="str">
        <f ca="1">IFERROR(VLOOKUP(I294,OFFSET(abbreviation[],0,ColumnLanguage),ColumnAbbreviation,FALSE),"")</f>
        <v/>
      </c>
      <c r="BM294" s="21" t="str">
        <f ca="1">IFERROR(VLOOKUP(K294,OFFSET(abbreviation[],0,ColumnLanguage),ColumnAbbreviation,FALSE),"")</f>
        <v/>
      </c>
      <c r="BN294" s="21" t="str">
        <f t="shared" ca="1" si="28"/>
        <v/>
      </c>
      <c r="BO294" s="21" t="str">
        <f ca="1">IFERROR(VLOOKUP(N294,OFFSET(abbreviation[],0,ColumnLanguage),ColumnAbbreviation,FALSE),"")</f>
        <v/>
      </c>
      <c r="BP294" s="21" t="str">
        <f ca="1">IFERROR(VLOOKUP(P294,OFFSET(abbreviation[],0,ColumnLanguage),ColumnAbbreviation,FALSE),"")</f>
        <v/>
      </c>
      <c r="BQ294" s="21" t="str">
        <f ca="1">IFERROR(VLOOKUP(T294,OFFSET(abbreviation[],0,ColumnLanguage),ColumnAbbreviation,FALSE),"")</f>
        <v/>
      </c>
      <c r="BR294" s="21" t="str">
        <f ca="1">IFERROR(VLOOKUP(V294,OFFSET(abbreviation[],0,ColumnLanguage),ColumnAbbreviation,FALSE),"")</f>
        <v/>
      </c>
      <c r="BS294" s="21" t="str">
        <f ca="1">IFERROR(VLOOKUP(Z294,OFFSET(abbreviation[],0,ColumnLanguage),ColumnAbbreviation,FALSE),"")</f>
        <v/>
      </c>
      <c r="BT294" s="21" t="str">
        <f ca="1">IFERROR(VLOOKUP(AB294,OFFSET(abbreviation[],0,ColumnLanguage),ColumnAbbreviation,FALSE),"")</f>
        <v/>
      </c>
      <c r="BU294" s="21" t="str">
        <f t="shared" ca="1" si="29"/>
        <v>__</v>
      </c>
      <c r="BV294" s="21" t="str">
        <f ca="1">IFERROR(VLOOKUP(AF294,OFFSET(abbreviation[],0,ColumnLanguage),ColumnAbbreviation,FALSE),"")</f>
        <v/>
      </c>
      <c r="BW294" s="21" t="str">
        <f ca="1">IFERROR(VLOOKUP(AH294,OFFSET(abbreviation[],0,ColumnLanguage),ColumnAbbreviation,FALSE),"")</f>
        <v/>
      </c>
      <c r="BX294" s="21" t="str">
        <f ca="1">IFERROR(VLOOKUP(AJ294,OFFSET(abbreviation[],0,ColumnLanguage),ColumnAbbreviation,FALSE),"")</f>
        <v/>
      </c>
      <c r="BY294" s="21" t="str">
        <f ca="1">IFERROR(VLOOKUP(AL294,OFFSET(abbreviation[],0,ColumnLanguage),ColumnAbbreviation,FALSE),"")</f>
        <v/>
      </c>
      <c r="BZ294" s="21" t="str">
        <f t="shared" ca="1" si="30"/>
        <v>_</v>
      </c>
      <c r="CA294" s="21" t="str">
        <f ca="1">IFERROR(VLOOKUP(AP294,OFFSET(abbreviation[],0,ColumnLanguage),ColumnAbbreviation,FALSE),"")</f>
        <v/>
      </c>
      <c r="CB294" s="21" t="str">
        <f ca="1">IFERROR(VLOOKUP(AR294,OFFSET(abbreviation[],0,ColumnLanguage),ColumnAbbreviation,FALSE),"")</f>
        <v/>
      </c>
      <c r="CC294" s="21" t="str">
        <f ca="1">IFERROR(VLOOKUP(AT294,OFFSET(abbreviation[],0,ColumnLanguage),ColumnAbbreviation,FALSE),"")</f>
        <v/>
      </c>
      <c r="CD294" s="21" t="str">
        <f ca="1">IFERROR(VLOOKUP(AV294,OFFSET(abbreviation[],0,ColumnLanguage),ColumnAbbreviation,FALSE),"")</f>
        <v/>
      </c>
      <c r="CE294" s="21" t="str">
        <f t="shared" ca="1" si="31"/>
        <v>__</v>
      </c>
      <c r="CF294" s="21" t="str">
        <f ca="1">IFERROR(VLOOKUP(AX294,OFFSET(abbreviation[],0,ColumnLanguage),ColumnAbbreviation,FALSE),"")</f>
        <v/>
      </c>
      <c r="CG294" s="21" t="str">
        <f ca="1">IFERROR(VLOOKUP(AZ294,OFFSET(abbreviation[],0,ColumnLanguage),ColumnAbbreviation,FALSE),"")</f>
        <v/>
      </c>
      <c r="CH294" s="21" t="str">
        <f ca="1">IFERROR(VLOOKUP(BB294,OFFSET(abbreviation[],0,ColumnLanguage),ColumnAbbreviation,FALSE),"")</f>
        <v/>
      </c>
      <c r="CI294" s="21" t="str">
        <f ca="1">IFERROR(VLOOKUP(BD294,OFFSET(abbreviation[],0,ColumnLanguage),ColumnAbbreviation,FALSE),"")</f>
        <v/>
      </c>
      <c r="CJ294" s="21" t="str">
        <f ca="1">IFERROR(VLOOKUP(BF294,OFFSET(abbreviation[],0,ColumnLanguage),ColumnAbbreviation,FALSE),"")</f>
        <v/>
      </c>
      <c r="CK294" s="21" t="str">
        <f t="shared" ca="1" si="32"/>
        <v/>
      </c>
      <c r="CL294" s="21" t="str">
        <f t="shared" si="33"/>
        <v/>
      </c>
      <c r="CM294" s="52"/>
      <c r="CN294" s="57" t="str">
        <f t="shared" si="34"/>
        <v/>
      </c>
    </row>
    <row r="295" spans="16:92" x14ac:dyDescent="0.25">
      <c r="P295" s="60"/>
      <c r="Q295" s="13"/>
      <c r="V295" s="60"/>
      <c r="X295" s="61"/>
      <c r="AB295" s="60"/>
      <c r="AN295" s="54"/>
      <c r="AS295" s="15"/>
      <c r="BH295" s="52"/>
      <c r="BI295" s="21" t="str">
        <f ca="1">IFERROR(VLOOKUP(C295,OFFSET(abbreviation[],0,ColumnLanguage),ColumnAbbreviation,FALSE),"")</f>
        <v/>
      </c>
      <c r="BJ295" s="21" t="str">
        <f ca="1">IFERROR(VLOOKUP(E295,OFFSET(abbreviation[],0,ColumnLanguage),ColumnAbbreviation,FALSE),"")</f>
        <v/>
      </c>
      <c r="BK295" s="21" t="str">
        <f ca="1">IFERROR(VLOOKUP(G295,OFFSET(abbreviation[],0,ColumnLanguage),ColumnAbbreviation,FALSE),"")</f>
        <v/>
      </c>
      <c r="BL295" s="21" t="str">
        <f ca="1">IFERROR(VLOOKUP(I295,OFFSET(abbreviation[],0,ColumnLanguage),ColumnAbbreviation,FALSE),"")</f>
        <v/>
      </c>
      <c r="BM295" s="21" t="str">
        <f ca="1">IFERROR(VLOOKUP(K295,OFFSET(abbreviation[],0,ColumnLanguage),ColumnAbbreviation,FALSE),"")</f>
        <v/>
      </c>
      <c r="BN295" s="21" t="str">
        <f t="shared" ca="1" si="28"/>
        <v/>
      </c>
      <c r="BO295" s="21" t="str">
        <f ca="1">IFERROR(VLOOKUP(N295,OFFSET(abbreviation[],0,ColumnLanguage),ColumnAbbreviation,FALSE),"")</f>
        <v/>
      </c>
      <c r="BP295" s="21" t="str">
        <f ca="1">IFERROR(VLOOKUP(P295,OFFSET(abbreviation[],0,ColumnLanguage),ColumnAbbreviation,FALSE),"")</f>
        <v/>
      </c>
      <c r="BQ295" s="21" t="str">
        <f ca="1">IFERROR(VLOOKUP(T295,OFFSET(abbreviation[],0,ColumnLanguage),ColumnAbbreviation,FALSE),"")</f>
        <v/>
      </c>
      <c r="BR295" s="21" t="str">
        <f ca="1">IFERROR(VLOOKUP(V295,OFFSET(abbreviation[],0,ColumnLanguage),ColumnAbbreviation,FALSE),"")</f>
        <v/>
      </c>
      <c r="BS295" s="21" t="str">
        <f ca="1">IFERROR(VLOOKUP(Z295,OFFSET(abbreviation[],0,ColumnLanguage),ColumnAbbreviation,FALSE),"")</f>
        <v/>
      </c>
      <c r="BT295" s="21" t="str">
        <f ca="1">IFERROR(VLOOKUP(AB295,OFFSET(abbreviation[],0,ColumnLanguage),ColumnAbbreviation,FALSE),"")</f>
        <v/>
      </c>
      <c r="BU295" s="21" t="str">
        <f t="shared" ca="1" si="29"/>
        <v>__</v>
      </c>
      <c r="BV295" s="21" t="str">
        <f ca="1">IFERROR(VLOOKUP(AF295,OFFSET(abbreviation[],0,ColumnLanguage),ColumnAbbreviation,FALSE),"")</f>
        <v/>
      </c>
      <c r="BW295" s="21" t="str">
        <f ca="1">IFERROR(VLOOKUP(AH295,OFFSET(abbreviation[],0,ColumnLanguage),ColumnAbbreviation,FALSE),"")</f>
        <v/>
      </c>
      <c r="BX295" s="21" t="str">
        <f ca="1">IFERROR(VLOOKUP(AJ295,OFFSET(abbreviation[],0,ColumnLanguage),ColumnAbbreviation,FALSE),"")</f>
        <v/>
      </c>
      <c r="BY295" s="21" t="str">
        <f ca="1">IFERROR(VLOOKUP(AL295,OFFSET(abbreviation[],0,ColumnLanguage),ColumnAbbreviation,FALSE),"")</f>
        <v/>
      </c>
      <c r="BZ295" s="21" t="str">
        <f t="shared" ca="1" si="30"/>
        <v>_</v>
      </c>
      <c r="CA295" s="21" t="str">
        <f ca="1">IFERROR(VLOOKUP(AP295,OFFSET(abbreviation[],0,ColumnLanguage),ColumnAbbreviation,FALSE),"")</f>
        <v/>
      </c>
      <c r="CB295" s="21" t="str">
        <f ca="1">IFERROR(VLOOKUP(AR295,OFFSET(abbreviation[],0,ColumnLanguage),ColumnAbbreviation,FALSE),"")</f>
        <v/>
      </c>
      <c r="CC295" s="21" t="str">
        <f ca="1">IFERROR(VLOOKUP(AT295,OFFSET(abbreviation[],0,ColumnLanguage),ColumnAbbreviation,FALSE),"")</f>
        <v/>
      </c>
      <c r="CD295" s="21" t="str">
        <f ca="1">IFERROR(VLOOKUP(AV295,OFFSET(abbreviation[],0,ColumnLanguage),ColumnAbbreviation,FALSE),"")</f>
        <v/>
      </c>
      <c r="CE295" s="21" t="str">
        <f t="shared" ca="1" si="31"/>
        <v>__</v>
      </c>
      <c r="CF295" s="21" t="str">
        <f ca="1">IFERROR(VLOOKUP(AX295,OFFSET(abbreviation[],0,ColumnLanguage),ColumnAbbreviation,FALSE),"")</f>
        <v/>
      </c>
      <c r="CG295" s="21" t="str">
        <f ca="1">IFERROR(VLOOKUP(AZ295,OFFSET(abbreviation[],0,ColumnLanguage),ColumnAbbreviation,FALSE),"")</f>
        <v/>
      </c>
      <c r="CH295" s="21" t="str">
        <f ca="1">IFERROR(VLOOKUP(BB295,OFFSET(abbreviation[],0,ColumnLanguage),ColumnAbbreviation,FALSE),"")</f>
        <v/>
      </c>
      <c r="CI295" s="21" t="str">
        <f ca="1">IFERROR(VLOOKUP(BD295,OFFSET(abbreviation[],0,ColumnLanguage),ColumnAbbreviation,FALSE),"")</f>
        <v/>
      </c>
      <c r="CJ295" s="21" t="str">
        <f ca="1">IFERROR(VLOOKUP(BF295,OFFSET(abbreviation[],0,ColumnLanguage),ColumnAbbreviation,FALSE),"")</f>
        <v/>
      </c>
      <c r="CK295" s="21" t="str">
        <f t="shared" ca="1" si="32"/>
        <v/>
      </c>
      <c r="CL295" s="21" t="str">
        <f t="shared" si="33"/>
        <v/>
      </c>
      <c r="CM295" s="52"/>
      <c r="CN295" s="57" t="str">
        <f t="shared" si="34"/>
        <v/>
      </c>
    </row>
    <row r="296" spans="16:92" x14ac:dyDescent="0.25">
      <c r="P296" s="60"/>
      <c r="Q296" s="13"/>
      <c r="V296" s="60"/>
      <c r="X296" s="61"/>
      <c r="AB296" s="60"/>
      <c r="AN296" s="54"/>
      <c r="AS296" s="15"/>
      <c r="BH296" s="52"/>
      <c r="BI296" s="21" t="str">
        <f ca="1">IFERROR(VLOOKUP(C296,OFFSET(abbreviation[],0,ColumnLanguage),ColumnAbbreviation,FALSE),"")</f>
        <v/>
      </c>
      <c r="BJ296" s="21" t="str">
        <f ca="1">IFERROR(VLOOKUP(E296,OFFSET(abbreviation[],0,ColumnLanguage),ColumnAbbreviation,FALSE),"")</f>
        <v/>
      </c>
      <c r="BK296" s="21" t="str">
        <f ca="1">IFERROR(VLOOKUP(G296,OFFSET(abbreviation[],0,ColumnLanguage),ColumnAbbreviation,FALSE),"")</f>
        <v/>
      </c>
      <c r="BL296" s="21" t="str">
        <f ca="1">IFERROR(VLOOKUP(I296,OFFSET(abbreviation[],0,ColumnLanguage),ColumnAbbreviation,FALSE),"")</f>
        <v/>
      </c>
      <c r="BM296" s="21" t="str">
        <f ca="1">IFERROR(VLOOKUP(K296,OFFSET(abbreviation[],0,ColumnLanguage),ColumnAbbreviation,FALSE),"")</f>
        <v/>
      </c>
      <c r="BN296" s="21" t="str">
        <f t="shared" ca="1" si="28"/>
        <v/>
      </c>
      <c r="BO296" s="21" t="str">
        <f ca="1">IFERROR(VLOOKUP(N296,OFFSET(abbreviation[],0,ColumnLanguage),ColumnAbbreviation,FALSE),"")</f>
        <v/>
      </c>
      <c r="BP296" s="21" t="str">
        <f ca="1">IFERROR(VLOOKUP(P296,OFFSET(abbreviation[],0,ColumnLanguage),ColumnAbbreviation,FALSE),"")</f>
        <v/>
      </c>
      <c r="BQ296" s="21" t="str">
        <f ca="1">IFERROR(VLOOKUP(T296,OFFSET(abbreviation[],0,ColumnLanguage),ColumnAbbreviation,FALSE),"")</f>
        <v/>
      </c>
      <c r="BR296" s="21" t="str">
        <f ca="1">IFERROR(VLOOKUP(V296,OFFSET(abbreviation[],0,ColumnLanguage),ColumnAbbreviation,FALSE),"")</f>
        <v/>
      </c>
      <c r="BS296" s="21" t="str">
        <f ca="1">IFERROR(VLOOKUP(Z296,OFFSET(abbreviation[],0,ColumnLanguage),ColumnAbbreviation,FALSE),"")</f>
        <v/>
      </c>
      <c r="BT296" s="21" t="str">
        <f ca="1">IFERROR(VLOOKUP(AB296,OFFSET(abbreviation[],0,ColumnLanguage),ColumnAbbreviation,FALSE),"")</f>
        <v/>
      </c>
      <c r="BU296" s="21" t="str">
        <f t="shared" ca="1" si="29"/>
        <v>__</v>
      </c>
      <c r="BV296" s="21" t="str">
        <f ca="1">IFERROR(VLOOKUP(AF296,OFFSET(abbreviation[],0,ColumnLanguage),ColumnAbbreviation,FALSE),"")</f>
        <v/>
      </c>
      <c r="BW296" s="21" t="str">
        <f ca="1">IFERROR(VLOOKUP(AH296,OFFSET(abbreviation[],0,ColumnLanguage),ColumnAbbreviation,FALSE),"")</f>
        <v/>
      </c>
      <c r="BX296" s="21" t="str">
        <f ca="1">IFERROR(VLOOKUP(AJ296,OFFSET(abbreviation[],0,ColumnLanguage),ColumnAbbreviation,FALSE),"")</f>
        <v/>
      </c>
      <c r="BY296" s="21" t="str">
        <f ca="1">IFERROR(VLOOKUP(AL296,OFFSET(abbreviation[],0,ColumnLanguage),ColumnAbbreviation,FALSE),"")</f>
        <v/>
      </c>
      <c r="BZ296" s="21" t="str">
        <f t="shared" ca="1" si="30"/>
        <v>_</v>
      </c>
      <c r="CA296" s="21" t="str">
        <f ca="1">IFERROR(VLOOKUP(AP296,OFFSET(abbreviation[],0,ColumnLanguage),ColumnAbbreviation,FALSE),"")</f>
        <v/>
      </c>
      <c r="CB296" s="21" t="str">
        <f ca="1">IFERROR(VLOOKUP(AR296,OFFSET(abbreviation[],0,ColumnLanguage),ColumnAbbreviation,FALSE),"")</f>
        <v/>
      </c>
      <c r="CC296" s="21" t="str">
        <f ca="1">IFERROR(VLOOKUP(AT296,OFFSET(abbreviation[],0,ColumnLanguage),ColumnAbbreviation,FALSE),"")</f>
        <v/>
      </c>
      <c r="CD296" s="21" t="str">
        <f ca="1">IFERROR(VLOOKUP(AV296,OFFSET(abbreviation[],0,ColumnLanguage),ColumnAbbreviation,FALSE),"")</f>
        <v/>
      </c>
      <c r="CE296" s="21" t="str">
        <f t="shared" ca="1" si="31"/>
        <v>__</v>
      </c>
      <c r="CF296" s="21" t="str">
        <f ca="1">IFERROR(VLOOKUP(AX296,OFFSET(abbreviation[],0,ColumnLanguage),ColumnAbbreviation,FALSE),"")</f>
        <v/>
      </c>
      <c r="CG296" s="21" t="str">
        <f ca="1">IFERROR(VLOOKUP(AZ296,OFFSET(abbreviation[],0,ColumnLanguage),ColumnAbbreviation,FALSE),"")</f>
        <v/>
      </c>
      <c r="CH296" s="21" t="str">
        <f ca="1">IFERROR(VLOOKUP(BB296,OFFSET(abbreviation[],0,ColumnLanguage),ColumnAbbreviation,FALSE),"")</f>
        <v/>
      </c>
      <c r="CI296" s="21" t="str">
        <f ca="1">IFERROR(VLOOKUP(BD296,OFFSET(abbreviation[],0,ColumnLanguage),ColumnAbbreviation,FALSE),"")</f>
        <v/>
      </c>
      <c r="CJ296" s="21" t="str">
        <f ca="1">IFERROR(VLOOKUP(BF296,OFFSET(abbreviation[],0,ColumnLanguage),ColumnAbbreviation,FALSE),"")</f>
        <v/>
      </c>
      <c r="CK296" s="21" t="str">
        <f t="shared" ca="1" si="32"/>
        <v/>
      </c>
      <c r="CL296" s="21" t="str">
        <f t="shared" si="33"/>
        <v/>
      </c>
      <c r="CM296" s="52"/>
      <c r="CN296" s="57" t="str">
        <f t="shared" si="34"/>
        <v/>
      </c>
    </row>
    <row r="297" spans="16:92" x14ac:dyDescent="0.25">
      <c r="P297" s="60"/>
      <c r="Q297" s="13"/>
      <c r="V297" s="60"/>
      <c r="X297" s="61"/>
      <c r="AB297" s="60"/>
      <c r="AN297" s="54"/>
      <c r="AS297" s="15"/>
      <c r="BH297" s="52"/>
      <c r="BI297" s="21" t="str">
        <f ca="1">IFERROR(VLOOKUP(C297,OFFSET(abbreviation[],0,ColumnLanguage),ColumnAbbreviation,FALSE),"")</f>
        <v/>
      </c>
      <c r="BJ297" s="21" t="str">
        <f ca="1">IFERROR(VLOOKUP(E297,OFFSET(abbreviation[],0,ColumnLanguage),ColumnAbbreviation,FALSE),"")</f>
        <v/>
      </c>
      <c r="BK297" s="21" t="str">
        <f ca="1">IFERROR(VLOOKUP(G297,OFFSET(abbreviation[],0,ColumnLanguage),ColumnAbbreviation,FALSE),"")</f>
        <v/>
      </c>
      <c r="BL297" s="21" t="str">
        <f ca="1">IFERROR(VLOOKUP(I297,OFFSET(abbreviation[],0,ColumnLanguage),ColumnAbbreviation,FALSE),"")</f>
        <v/>
      </c>
      <c r="BM297" s="21" t="str">
        <f ca="1">IFERROR(VLOOKUP(K297,OFFSET(abbreviation[],0,ColumnLanguage),ColumnAbbreviation,FALSE),"")</f>
        <v/>
      </c>
      <c r="BN297" s="21" t="str">
        <f t="shared" ca="1" si="28"/>
        <v/>
      </c>
      <c r="BO297" s="21" t="str">
        <f ca="1">IFERROR(VLOOKUP(N297,OFFSET(abbreviation[],0,ColumnLanguage),ColumnAbbreviation,FALSE),"")</f>
        <v/>
      </c>
      <c r="BP297" s="21" t="str">
        <f ca="1">IFERROR(VLOOKUP(P297,OFFSET(abbreviation[],0,ColumnLanguage),ColumnAbbreviation,FALSE),"")</f>
        <v/>
      </c>
      <c r="BQ297" s="21" t="str">
        <f ca="1">IFERROR(VLOOKUP(T297,OFFSET(abbreviation[],0,ColumnLanguage),ColumnAbbreviation,FALSE),"")</f>
        <v/>
      </c>
      <c r="BR297" s="21" t="str">
        <f ca="1">IFERROR(VLOOKUP(V297,OFFSET(abbreviation[],0,ColumnLanguage),ColumnAbbreviation,FALSE),"")</f>
        <v/>
      </c>
      <c r="BS297" s="21" t="str">
        <f ca="1">IFERROR(VLOOKUP(Z297,OFFSET(abbreviation[],0,ColumnLanguage),ColumnAbbreviation,FALSE),"")</f>
        <v/>
      </c>
      <c r="BT297" s="21" t="str">
        <f ca="1">IFERROR(VLOOKUP(AB297,OFFSET(abbreviation[],0,ColumnLanguage),ColumnAbbreviation,FALSE),"")</f>
        <v/>
      </c>
      <c r="BU297" s="21" t="str">
        <f t="shared" ca="1" si="29"/>
        <v>__</v>
      </c>
      <c r="BV297" s="21" t="str">
        <f ca="1">IFERROR(VLOOKUP(AF297,OFFSET(abbreviation[],0,ColumnLanguage),ColumnAbbreviation,FALSE),"")</f>
        <v/>
      </c>
      <c r="BW297" s="21" t="str">
        <f ca="1">IFERROR(VLOOKUP(AH297,OFFSET(abbreviation[],0,ColumnLanguage),ColumnAbbreviation,FALSE),"")</f>
        <v/>
      </c>
      <c r="BX297" s="21" t="str">
        <f ca="1">IFERROR(VLOOKUP(AJ297,OFFSET(abbreviation[],0,ColumnLanguage),ColumnAbbreviation,FALSE),"")</f>
        <v/>
      </c>
      <c r="BY297" s="21" t="str">
        <f ca="1">IFERROR(VLOOKUP(AL297,OFFSET(abbreviation[],0,ColumnLanguage),ColumnAbbreviation,FALSE),"")</f>
        <v/>
      </c>
      <c r="BZ297" s="21" t="str">
        <f t="shared" ca="1" si="30"/>
        <v>_</v>
      </c>
      <c r="CA297" s="21" t="str">
        <f ca="1">IFERROR(VLOOKUP(AP297,OFFSET(abbreviation[],0,ColumnLanguage),ColumnAbbreviation,FALSE),"")</f>
        <v/>
      </c>
      <c r="CB297" s="21" t="str">
        <f ca="1">IFERROR(VLOOKUP(AR297,OFFSET(abbreviation[],0,ColumnLanguage),ColumnAbbreviation,FALSE),"")</f>
        <v/>
      </c>
      <c r="CC297" s="21" t="str">
        <f ca="1">IFERROR(VLOOKUP(AT297,OFFSET(abbreviation[],0,ColumnLanguage),ColumnAbbreviation,FALSE),"")</f>
        <v/>
      </c>
      <c r="CD297" s="21" t="str">
        <f ca="1">IFERROR(VLOOKUP(AV297,OFFSET(abbreviation[],0,ColumnLanguage),ColumnAbbreviation,FALSE),"")</f>
        <v/>
      </c>
      <c r="CE297" s="21" t="str">
        <f t="shared" ca="1" si="31"/>
        <v>__</v>
      </c>
      <c r="CF297" s="21" t="str">
        <f ca="1">IFERROR(VLOOKUP(AX297,OFFSET(abbreviation[],0,ColumnLanguage),ColumnAbbreviation,FALSE),"")</f>
        <v/>
      </c>
      <c r="CG297" s="21" t="str">
        <f ca="1">IFERROR(VLOOKUP(AZ297,OFFSET(abbreviation[],0,ColumnLanguage),ColumnAbbreviation,FALSE),"")</f>
        <v/>
      </c>
      <c r="CH297" s="21" t="str">
        <f ca="1">IFERROR(VLOOKUP(BB297,OFFSET(abbreviation[],0,ColumnLanguage),ColumnAbbreviation,FALSE),"")</f>
        <v/>
      </c>
      <c r="CI297" s="21" t="str">
        <f ca="1">IFERROR(VLOOKUP(BD297,OFFSET(abbreviation[],0,ColumnLanguage),ColumnAbbreviation,FALSE),"")</f>
        <v/>
      </c>
      <c r="CJ297" s="21" t="str">
        <f ca="1">IFERROR(VLOOKUP(BF297,OFFSET(abbreviation[],0,ColumnLanguage),ColumnAbbreviation,FALSE),"")</f>
        <v/>
      </c>
      <c r="CK297" s="21" t="str">
        <f t="shared" ca="1" si="32"/>
        <v/>
      </c>
      <c r="CL297" s="21" t="str">
        <f t="shared" si="33"/>
        <v/>
      </c>
      <c r="CM297" s="52"/>
      <c r="CN297" s="57" t="str">
        <f t="shared" si="34"/>
        <v/>
      </c>
    </row>
    <row r="298" spans="16:92" x14ac:dyDescent="0.25">
      <c r="P298" s="60"/>
      <c r="Q298" s="13"/>
      <c r="V298" s="60"/>
      <c r="X298" s="61"/>
      <c r="AB298" s="60"/>
      <c r="AN298" s="54"/>
      <c r="AS298" s="15"/>
      <c r="BH298" s="52"/>
      <c r="BI298" s="21" t="str">
        <f ca="1">IFERROR(VLOOKUP(C298,OFFSET(abbreviation[],0,ColumnLanguage),ColumnAbbreviation,FALSE),"")</f>
        <v/>
      </c>
      <c r="BJ298" s="21" t="str">
        <f ca="1">IFERROR(VLOOKUP(E298,OFFSET(abbreviation[],0,ColumnLanguage),ColumnAbbreviation,FALSE),"")</f>
        <v/>
      </c>
      <c r="BK298" s="21" t="str">
        <f ca="1">IFERROR(VLOOKUP(G298,OFFSET(abbreviation[],0,ColumnLanguage),ColumnAbbreviation,FALSE),"")</f>
        <v/>
      </c>
      <c r="BL298" s="21" t="str">
        <f ca="1">IFERROR(VLOOKUP(I298,OFFSET(abbreviation[],0,ColumnLanguage),ColumnAbbreviation,FALSE),"")</f>
        <v/>
      </c>
      <c r="BM298" s="21" t="str">
        <f ca="1">IFERROR(VLOOKUP(K298,OFFSET(abbreviation[],0,ColumnLanguage),ColumnAbbreviation,FALSE),"")</f>
        <v/>
      </c>
      <c r="BN298" s="21" t="str">
        <f t="shared" ca="1" si="28"/>
        <v/>
      </c>
      <c r="BO298" s="21" t="str">
        <f ca="1">IFERROR(VLOOKUP(N298,OFFSET(abbreviation[],0,ColumnLanguage),ColumnAbbreviation,FALSE),"")</f>
        <v/>
      </c>
      <c r="BP298" s="21" t="str">
        <f ca="1">IFERROR(VLOOKUP(P298,OFFSET(abbreviation[],0,ColumnLanguage),ColumnAbbreviation,FALSE),"")</f>
        <v/>
      </c>
      <c r="BQ298" s="21" t="str">
        <f ca="1">IFERROR(VLOOKUP(T298,OFFSET(abbreviation[],0,ColumnLanguage),ColumnAbbreviation,FALSE),"")</f>
        <v/>
      </c>
      <c r="BR298" s="21" t="str">
        <f ca="1">IFERROR(VLOOKUP(V298,OFFSET(abbreviation[],0,ColumnLanguage),ColumnAbbreviation,FALSE),"")</f>
        <v/>
      </c>
      <c r="BS298" s="21" t="str">
        <f ca="1">IFERROR(VLOOKUP(Z298,OFFSET(abbreviation[],0,ColumnLanguage),ColumnAbbreviation,FALSE),"")</f>
        <v/>
      </c>
      <c r="BT298" s="21" t="str">
        <f ca="1">IFERROR(VLOOKUP(AB298,OFFSET(abbreviation[],0,ColumnLanguage),ColumnAbbreviation,FALSE),"")</f>
        <v/>
      </c>
      <c r="BU298" s="21" t="str">
        <f t="shared" ca="1" si="29"/>
        <v>__</v>
      </c>
      <c r="BV298" s="21" t="str">
        <f ca="1">IFERROR(VLOOKUP(AF298,OFFSET(abbreviation[],0,ColumnLanguage),ColumnAbbreviation,FALSE),"")</f>
        <v/>
      </c>
      <c r="BW298" s="21" t="str">
        <f ca="1">IFERROR(VLOOKUP(AH298,OFFSET(abbreviation[],0,ColumnLanguage),ColumnAbbreviation,FALSE),"")</f>
        <v/>
      </c>
      <c r="BX298" s="21" t="str">
        <f ca="1">IFERROR(VLOOKUP(AJ298,OFFSET(abbreviation[],0,ColumnLanguage),ColumnAbbreviation,FALSE),"")</f>
        <v/>
      </c>
      <c r="BY298" s="21" t="str">
        <f ca="1">IFERROR(VLOOKUP(AL298,OFFSET(abbreviation[],0,ColumnLanguage),ColumnAbbreviation,FALSE),"")</f>
        <v/>
      </c>
      <c r="BZ298" s="21" t="str">
        <f t="shared" ca="1" si="30"/>
        <v>_</v>
      </c>
      <c r="CA298" s="21" t="str">
        <f ca="1">IFERROR(VLOOKUP(AP298,OFFSET(abbreviation[],0,ColumnLanguage),ColumnAbbreviation,FALSE),"")</f>
        <v/>
      </c>
      <c r="CB298" s="21" t="str">
        <f ca="1">IFERROR(VLOOKUP(AR298,OFFSET(abbreviation[],0,ColumnLanguage),ColumnAbbreviation,FALSE),"")</f>
        <v/>
      </c>
      <c r="CC298" s="21" t="str">
        <f ca="1">IFERROR(VLOOKUP(AT298,OFFSET(abbreviation[],0,ColumnLanguage),ColumnAbbreviation,FALSE),"")</f>
        <v/>
      </c>
      <c r="CD298" s="21" t="str">
        <f ca="1">IFERROR(VLOOKUP(AV298,OFFSET(abbreviation[],0,ColumnLanguage),ColumnAbbreviation,FALSE),"")</f>
        <v/>
      </c>
      <c r="CE298" s="21" t="str">
        <f t="shared" ca="1" si="31"/>
        <v>__</v>
      </c>
      <c r="CF298" s="21" t="str">
        <f ca="1">IFERROR(VLOOKUP(AX298,OFFSET(abbreviation[],0,ColumnLanguage),ColumnAbbreviation,FALSE),"")</f>
        <v/>
      </c>
      <c r="CG298" s="21" t="str">
        <f ca="1">IFERROR(VLOOKUP(AZ298,OFFSET(abbreviation[],0,ColumnLanguage),ColumnAbbreviation,FALSE),"")</f>
        <v/>
      </c>
      <c r="CH298" s="21" t="str">
        <f ca="1">IFERROR(VLOOKUP(BB298,OFFSET(abbreviation[],0,ColumnLanguage),ColumnAbbreviation,FALSE),"")</f>
        <v/>
      </c>
      <c r="CI298" s="21" t="str">
        <f ca="1">IFERROR(VLOOKUP(BD298,OFFSET(abbreviation[],0,ColumnLanguage),ColumnAbbreviation,FALSE),"")</f>
        <v/>
      </c>
      <c r="CJ298" s="21" t="str">
        <f ca="1">IFERROR(VLOOKUP(BF298,OFFSET(abbreviation[],0,ColumnLanguage),ColumnAbbreviation,FALSE),"")</f>
        <v/>
      </c>
      <c r="CK298" s="21" t="str">
        <f t="shared" ca="1" si="32"/>
        <v/>
      </c>
      <c r="CL298" s="21" t="str">
        <f t="shared" si="33"/>
        <v/>
      </c>
      <c r="CM298" s="52"/>
      <c r="CN298" s="57" t="str">
        <f t="shared" si="34"/>
        <v/>
      </c>
    </row>
    <row r="299" spans="16:92" x14ac:dyDescent="0.25">
      <c r="P299" s="60"/>
      <c r="Q299" s="13"/>
      <c r="V299" s="60"/>
      <c r="X299" s="61"/>
      <c r="AB299" s="60"/>
      <c r="AN299" s="54"/>
      <c r="AS299" s="15"/>
      <c r="BH299" s="52"/>
      <c r="BI299" s="21" t="str">
        <f ca="1">IFERROR(VLOOKUP(C299,OFFSET(abbreviation[],0,ColumnLanguage),ColumnAbbreviation,FALSE),"")</f>
        <v/>
      </c>
      <c r="BJ299" s="21" t="str">
        <f ca="1">IFERROR(VLOOKUP(E299,OFFSET(abbreviation[],0,ColumnLanguage),ColumnAbbreviation,FALSE),"")</f>
        <v/>
      </c>
      <c r="BK299" s="21" t="str">
        <f ca="1">IFERROR(VLOOKUP(G299,OFFSET(abbreviation[],0,ColumnLanguage),ColumnAbbreviation,FALSE),"")</f>
        <v/>
      </c>
      <c r="BL299" s="21" t="str">
        <f ca="1">IFERROR(VLOOKUP(I299,OFFSET(abbreviation[],0,ColumnLanguage),ColumnAbbreviation,FALSE),"")</f>
        <v/>
      </c>
      <c r="BM299" s="21" t="str">
        <f ca="1">IFERROR(VLOOKUP(K299,OFFSET(abbreviation[],0,ColumnLanguage),ColumnAbbreviation,FALSE),"")</f>
        <v/>
      </c>
      <c r="BN299" s="21" t="str">
        <f t="shared" ca="1" si="28"/>
        <v/>
      </c>
      <c r="BO299" s="21" t="str">
        <f ca="1">IFERROR(VLOOKUP(N299,OFFSET(abbreviation[],0,ColumnLanguage),ColumnAbbreviation,FALSE),"")</f>
        <v/>
      </c>
      <c r="BP299" s="21" t="str">
        <f ca="1">IFERROR(VLOOKUP(P299,OFFSET(abbreviation[],0,ColumnLanguage),ColumnAbbreviation,FALSE),"")</f>
        <v/>
      </c>
      <c r="BQ299" s="21" t="str">
        <f ca="1">IFERROR(VLOOKUP(T299,OFFSET(abbreviation[],0,ColumnLanguage),ColumnAbbreviation,FALSE),"")</f>
        <v/>
      </c>
      <c r="BR299" s="21" t="str">
        <f ca="1">IFERROR(VLOOKUP(V299,OFFSET(abbreviation[],0,ColumnLanguage),ColumnAbbreviation,FALSE),"")</f>
        <v/>
      </c>
      <c r="BS299" s="21" t="str">
        <f ca="1">IFERROR(VLOOKUP(Z299,OFFSET(abbreviation[],0,ColumnLanguage),ColumnAbbreviation,FALSE),"")</f>
        <v/>
      </c>
      <c r="BT299" s="21" t="str">
        <f ca="1">IFERROR(VLOOKUP(AB299,OFFSET(abbreviation[],0,ColumnLanguage),ColumnAbbreviation,FALSE),"")</f>
        <v/>
      </c>
      <c r="BU299" s="21" t="str">
        <f t="shared" ca="1" si="29"/>
        <v>__</v>
      </c>
      <c r="BV299" s="21" t="str">
        <f ca="1">IFERROR(VLOOKUP(AF299,OFFSET(abbreviation[],0,ColumnLanguage),ColumnAbbreviation,FALSE),"")</f>
        <v/>
      </c>
      <c r="BW299" s="21" t="str">
        <f ca="1">IFERROR(VLOOKUP(AH299,OFFSET(abbreviation[],0,ColumnLanguage),ColumnAbbreviation,FALSE),"")</f>
        <v/>
      </c>
      <c r="BX299" s="21" t="str">
        <f ca="1">IFERROR(VLOOKUP(AJ299,OFFSET(abbreviation[],0,ColumnLanguage),ColumnAbbreviation,FALSE),"")</f>
        <v/>
      </c>
      <c r="BY299" s="21" t="str">
        <f ca="1">IFERROR(VLOOKUP(AL299,OFFSET(abbreviation[],0,ColumnLanguage),ColumnAbbreviation,FALSE),"")</f>
        <v/>
      </c>
      <c r="BZ299" s="21" t="str">
        <f t="shared" ca="1" si="30"/>
        <v>_</v>
      </c>
      <c r="CA299" s="21" t="str">
        <f ca="1">IFERROR(VLOOKUP(AP299,OFFSET(abbreviation[],0,ColumnLanguage),ColumnAbbreviation,FALSE),"")</f>
        <v/>
      </c>
      <c r="CB299" s="21" t="str">
        <f ca="1">IFERROR(VLOOKUP(AR299,OFFSET(abbreviation[],0,ColumnLanguage),ColumnAbbreviation,FALSE),"")</f>
        <v/>
      </c>
      <c r="CC299" s="21" t="str">
        <f ca="1">IFERROR(VLOOKUP(AT299,OFFSET(abbreviation[],0,ColumnLanguage),ColumnAbbreviation,FALSE),"")</f>
        <v/>
      </c>
      <c r="CD299" s="21" t="str">
        <f ca="1">IFERROR(VLOOKUP(AV299,OFFSET(abbreviation[],0,ColumnLanguage),ColumnAbbreviation,FALSE),"")</f>
        <v/>
      </c>
      <c r="CE299" s="21" t="str">
        <f t="shared" ca="1" si="31"/>
        <v>__</v>
      </c>
      <c r="CF299" s="21" t="str">
        <f ca="1">IFERROR(VLOOKUP(AX299,OFFSET(abbreviation[],0,ColumnLanguage),ColumnAbbreviation,FALSE),"")</f>
        <v/>
      </c>
      <c r="CG299" s="21" t="str">
        <f ca="1">IFERROR(VLOOKUP(AZ299,OFFSET(abbreviation[],0,ColumnLanguage),ColumnAbbreviation,FALSE),"")</f>
        <v/>
      </c>
      <c r="CH299" s="21" t="str">
        <f ca="1">IFERROR(VLOOKUP(BB299,OFFSET(abbreviation[],0,ColumnLanguage),ColumnAbbreviation,FALSE),"")</f>
        <v/>
      </c>
      <c r="CI299" s="21" t="str">
        <f ca="1">IFERROR(VLOOKUP(BD299,OFFSET(abbreviation[],0,ColumnLanguage),ColumnAbbreviation,FALSE),"")</f>
        <v/>
      </c>
      <c r="CJ299" s="21" t="str">
        <f ca="1">IFERROR(VLOOKUP(BF299,OFFSET(abbreviation[],0,ColumnLanguage),ColumnAbbreviation,FALSE),"")</f>
        <v/>
      </c>
      <c r="CK299" s="21" t="str">
        <f t="shared" ca="1" si="32"/>
        <v/>
      </c>
      <c r="CL299" s="21" t="str">
        <f t="shared" si="33"/>
        <v/>
      </c>
      <c r="CM299" s="52"/>
      <c r="CN299" s="57" t="str">
        <f t="shared" si="34"/>
        <v/>
      </c>
    </row>
    <row r="300" spans="16:92" x14ac:dyDescent="0.25">
      <c r="P300" s="60"/>
      <c r="Q300" s="13"/>
      <c r="V300" s="60"/>
      <c r="X300" s="61"/>
      <c r="AB300" s="60"/>
      <c r="AN300" s="54"/>
      <c r="AS300" s="15"/>
      <c r="BH300" s="52"/>
      <c r="BI300" s="21" t="str">
        <f ca="1">IFERROR(VLOOKUP(C300,OFFSET(abbreviation[],0,ColumnLanguage),ColumnAbbreviation,FALSE),"")</f>
        <v/>
      </c>
      <c r="BJ300" s="21" t="str">
        <f ca="1">IFERROR(VLOOKUP(E300,OFFSET(abbreviation[],0,ColumnLanguage),ColumnAbbreviation,FALSE),"")</f>
        <v/>
      </c>
      <c r="BK300" s="21" t="str">
        <f ca="1">IFERROR(VLOOKUP(G300,OFFSET(abbreviation[],0,ColumnLanguage),ColumnAbbreviation,FALSE),"")</f>
        <v/>
      </c>
      <c r="BL300" s="21" t="str">
        <f ca="1">IFERROR(VLOOKUP(I300,OFFSET(abbreviation[],0,ColumnLanguage),ColumnAbbreviation,FALSE),"")</f>
        <v/>
      </c>
      <c r="BM300" s="21" t="str">
        <f ca="1">IFERROR(VLOOKUP(K300,OFFSET(abbreviation[],0,ColumnLanguage),ColumnAbbreviation,FALSE),"")</f>
        <v/>
      </c>
      <c r="BN300" s="21" t="str">
        <f t="shared" ca="1" si="28"/>
        <v/>
      </c>
      <c r="BO300" s="21" t="str">
        <f ca="1">IFERROR(VLOOKUP(N300,OFFSET(abbreviation[],0,ColumnLanguage),ColumnAbbreviation,FALSE),"")</f>
        <v/>
      </c>
      <c r="BP300" s="21" t="str">
        <f ca="1">IFERROR(VLOOKUP(P300,OFFSET(abbreviation[],0,ColumnLanguage),ColumnAbbreviation,FALSE),"")</f>
        <v/>
      </c>
      <c r="BQ300" s="21" t="str">
        <f ca="1">IFERROR(VLOOKUP(T300,OFFSET(abbreviation[],0,ColumnLanguage),ColumnAbbreviation,FALSE),"")</f>
        <v/>
      </c>
      <c r="BR300" s="21" t="str">
        <f ca="1">IFERROR(VLOOKUP(V300,OFFSET(abbreviation[],0,ColumnLanguage),ColumnAbbreviation,FALSE),"")</f>
        <v/>
      </c>
      <c r="BS300" s="21" t="str">
        <f ca="1">IFERROR(VLOOKUP(Z300,OFFSET(abbreviation[],0,ColumnLanguage),ColumnAbbreviation,FALSE),"")</f>
        <v/>
      </c>
      <c r="BT300" s="21" t="str">
        <f ca="1">IFERROR(VLOOKUP(AB300,OFFSET(abbreviation[],0,ColumnLanguage),ColumnAbbreviation,FALSE),"")</f>
        <v/>
      </c>
      <c r="BU300" s="21" t="str">
        <f t="shared" ca="1" si="29"/>
        <v>__</v>
      </c>
      <c r="BV300" s="21" t="str">
        <f ca="1">IFERROR(VLOOKUP(AF300,OFFSET(abbreviation[],0,ColumnLanguage),ColumnAbbreviation,FALSE),"")</f>
        <v/>
      </c>
      <c r="BW300" s="21" t="str">
        <f ca="1">IFERROR(VLOOKUP(AH300,OFFSET(abbreviation[],0,ColumnLanguage),ColumnAbbreviation,FALSE),"")</f>
        <v/>
      </c>
      <c r="BX300" s="21" t="str">
        <f ca="1">IFERROR(VLOOKUP(AJ300,OFFSET(abbreviation[],0,ColumnLanguage),ColumnAbbreviation,FALSE),"")</f>
        <v/>
      </c>
      <c r="BY300" s="21" t="str">
        <f ca="1">IFERROR(VLOOKUP(AL300,OFFSET(abbreviation[],0,ColumnLanguage),ColumnAbbreviation,FALSE),"")</f>
        <v/>
      </c>
      <c r="BZ300" s="21" t="str">
        <f t="shared" ca="1" si="30"/>
        <v>_</v>
      </c>
      <c r="CA300" s="21" t="str">
        <f ca="1">IFERROR(VLOOKUP(AP300,OFFSET(abbreviation[],0,ColumnLanguage),ColumnAbbreviation,FALSE),"")</f>
        <v/>
      </c>
      <c r="CB300" s="21" t="str">
        <f ca="1">IFERROR(VLOOKUP(AR300,OFFSET(abbreviation[],0,ColumnLanguage),ColumnAbbreviation,FALSE),"")</f>
        <v/>
      </c>
      <c r="CC300" s="21" t="str">
        <f ca="1">IFERROR(VLOOKUP(AT300,OFFSET(abbreviation[],0,ColumnLanguage),ColumnAbbreviation,FALSE),"")</f>
        <v/>
      </c>
      <c r="CD300" s="21" t="str">
        <f ca="1">IFERROR(VLOOKUP(AV300,OFFSET(abbreviation[],0,ColumnLanguage),ColumnAbbreviation,FALSE),"")</f>
        <v/>
      </c>
      <c r="CE300" s="21" t="str">
        <f t="shared" ca="1" si="31"/>
        <v>__</v>
      </c>
      <c r="CF300" s="21" t="str">
        <f ca="1">IFERROR(VLOOKUP(AX300,OFFSET(abbreviation[],0,ColumnLanguage),ColumnAbbreviation,FALSE),"")</f>
        <v/>
      </c>
      <c r="CG300" s="21" t="str">
        <f ca="1">IFERROR(VLOOKUP(AZ300,OFFSET(abbreviation[],0,ColumnLanguage),ColumnAbbreviation,FALSE),"")</f>
        <v/>
      </c>
      <c r="CH300" s="21" t="str">
        <f ca="1">IFERROR(VLOOKUP(BB300,OFFSET(abbreviation[],0,ColumnLanguage),ColumnAbbreviation,FALSE),"")</f>
        <v/>
      </c>
      <c r="CI300" s="21" t="str">
        <f ca="1">IFERROR(VLOOKUP(BD300,OFFSET(abbreviation[],0,ColumnLanguage),ColumnAbbreviation,FALSE),"")</f>
        <v/>
      </c>
      <c r="CJ300" s="21" t="str">
        <f ca="1">IFERROR(VLOOKUP(BF300,OFFSET(abbreviation[],0,ColumnLanguage),ColumnAbbreviation,FALSE),"")</f>
        <v/>
      </c>
      <c r="CK300" s="21" t="str">
        <f t="shared" ca="1" si="32"/>
        <v/>
      </c>
      <c r="CL300" s="21" t="str">
        <f t="shared" si="33"/>
        <v/>
      </c>
      <c r="CM300" s="52"/>
      <c r="CN300" s="57" t="str">
        <f t="shared" si="34"/>
        <v/>
      </c>
    </row>
    <row r="301" spans="16:92" x14ac:dyDescent="0.25">
      <c r="P301" s="60"/>
      <c r="Q301" s="13"/>
      <c r="V301" s="60"/>
      <c r="X301" s="61"/>
      <c r="AB301" s="60"/>
      <c r="AN301" s="54"/>
      <c r="AS301" s="15"/>
      <c r="BH301" s="52"/>
      <c r="BI301" s="21" t="str">
        <f ca="1">IFERROR(VLOOKUP(C301,OFFSET(abbreviation[],0,ColumnLanguage),ColumnAbbreviation,FALSE),"")</f>
        <v/>
      </c>
      <c r="BJ301" s="21" t="str">
        <f ca="1">IFERROR(VLOOKUP(E301,OFFSET(abbreviation[],0,ColumnLanguage),ColumnAbbreviation,FALSE),"")</f>
        <v/>
      </c>
      <c r="BK301" s="21" t="str">
        <f ca="1">IFERROR(VLOOKUP(G301,OFFSET(abbreviation[],0,ColumnLanguage),ColumnAbbreviation,FALSE),"")</f>
        <v/>
      </c>
      <c r="BL301" s="21" t="str">
        <f ca="1">IFERROR(VLOOKUP(I301,OFFSET(abbreviation[],0,ColumnLanguage),ColumnAbbreviation,FALSE),"")</f>
        <v/>
      </c>
      <c r="BM301" s="21" t="str">
        <f ca="1">IFERROR(VLOOKUP(K301,OFFSET(abbreviation[],0,ColumnLanguage),ColumnAbbreviation,FALSE),"")</f>
        <v/>
      </c>
      <c r="BN301" s="21" t="str">
        <f t="shared" ca="1" si="28"/>
        <v/>
      </c>
      <c r="BO301" s="21" t="str">
        <f ca="1">IFERROR(VLOOKUP(N301,OFFSET(abbreviation[],0,ColumnLanguage),ColumnAbbreviation,FALSE),"")</f>
        <v/>
      </c>
      <c r="BP301" s="21" t="str">
        <f ca="1">IFERROR(VLOOKUP(P301,OFFSET(abbreviation[],0,ColumnLanguage),ColumnAbbreviation,FALSE),"")</f>
        <v/>
      </c>
      <c r="BQ301" s="21" t="str">
        <f ca="1">IFERROR(VLOOKUP(T301,OFFSET(abbreviation[],0,ColumnLanguage),ColumnAbbreviation,FALSE),"")</f>
        <v/>
      </c>
      <c r="BR301" s="21" t="str">
        <f ca="1">IFERROR(VLOOKUP(V301,OFFSET(abbreviation[],0,ColumnLanguage),ColumnAbbreviation,FALSE),"")</f>
        <v/>
      </c>
      <c r="BS301" s="21" t="str">
        <f ca="1">IFERROR(VLOOKUP(Z301,OFFSET(abbreviation[],0,ColumnLanguage),ColumnAbbreviation,FALSE),"")</f>
        <v/>
      </c>
      <c r="BT301" s="21" t="str">
        <f ca="1">IFERROR(VLOOKUP(AB301,OFFSET(abbreviation[],0,ColumnLanguage),ColumnAbbreviation,FALSE),"")</f>
        <v/>
      </c>
      <c r="BU301" s="21" t="str">
        <f t="shared" ca="1" si="29"/>
        <v>__</v>
      </c>
      <c r="BV301" s="21" t="str">
        <f ca="1">IFERROR(VLOOKUP(AF301,OFFSET(abbreviation[],0,ColumnLanguage),ColumnAbbreviation,FALSE),"")</f>
        <v/>
      </c>
      <c r="BW301" s="21" t="str">
        <f ca="1">IFERROR(VLOOKUP(AH301,OFFSET(abbreviation[],0,ColumnLanguage),ColumnAbbreviation,FALSE),"")</f>
        <v/>
      </c>
      <c r="BX301" s="21" t="str">
        <f ca="1">IFERROR(VLOOKUP(AJ301,OFFSET(abbreviation[],0,ColumnLanguage),ColumnAbbreviation,FALSE),"")</f>
        <v/>
      </c>
      <c r="BY301" s="21" t="str">
        <f ca="1">IFERROR(VLOOKUP(AL301,OFFSET(abbreviation[],0,ColumnLanguage),ColumnAbbreviation,FALSE),"")</f>
        <v/>
      </c>
      <c r="BZ301" s="21" t="str">
        <f t="shared" ca="1" si="30"/>
        <v>_</v>
      </c>
      <c r="CA301" s="21" t="str">
        <f ca="1">IFERROR(VLOOKUP(AP301,OFFSET(abbreviation[],0,ColumnLanguage),ColumnAbbreviation,FALSE),"")</f>
        <v/>
      </c>
      <c r="CB301" s="21" t="str">
        <f ca="1">IFERROR(VLOOKUP(AR301,OFFSET(abbreviation[],0,ColumnLanguage),ColumnAbbreviation,FALSE),"")</f>
        <v/>
      </c>
      <c r="CC301" s="21" t="str">
        <f ca="1">IFERROR(VLOOKUP(AT301,OFFSET(abbreviation[],0,ColumnLanguage),ColumnAbbreviation,FALSE),"")</f>
        <v/>
      </c>
      <c r="CD301" s="21" t="str">
        <f ca="1">IFERROR(VLOOKUP(AV301,OFFSET(abbreviation[],0,ColumnLanguage),ColumnAbbreviation,FALSE),"")</f>
        <v/>
      </c>
      <c r="CE301" s="21" t="str">
        <f t="shared" ca="1" si="31"/>
        <v>__</v>
      </c>
      <c r="CF301" s="21" t="str">
        <f ca="1">IFERROR(VLOOKUP(AX301,OFFSET(abbreviation[],0,ColumnLanguage),ColumnAbbreviation,FALSE),"")</f>
        <v/>
      </c>
      <c r="CG301" s="21" t="str">
        <f ca="1">IFERROR(VLOOKUP(AZ301,OFFSET(abbreviation[],0,ColumnLanguage),ColumnAbbreviation,FALSE),"")</f>
        <v/>
      </c>
      <c r="CH301" s="21" t="str">
        <f ca="1">IFERROR(VLOOKUP(BB301,OFFSET(abbreviation[],0,ColumnLanguage),ColumnAbbreviation,FALSE),"")</f>
        <v/>
      </c>
      <c r="CI301" s="21" t="str">
        <f ca="1">IFERROR(VLOOKUP(BD301,OFFSET(abbreviation[],0,ColumnLanguage),ColumnAbbreviation,FALSE),"")</f>
        <v/>
      </c>
      <c r="CJ301" s="21" t="str">
        <f ca="1">IFERROR(VLOOKUP(BF301,OFFSET(abbreviation[],0,ColumnLanguage),ColumnAbbreviation,FALSE),"")</f>
        <v/>
      </c>
      <c r="CK301" s="21" t="str">
        <f t="shared" ca="1" si="32"/>
        <v/>
      </c>
      <c r="CL301" s="21" t="str">
        <f t="shared" si="33"/>
        <v/>
      </c>
      <c r="CM301" s="52"/>
      <c r="CN301" s="57" t="str">
        <f t="shared" si="34"/>
        <v/>
      </c>
    </row>
    <row r="302" spans="16:92" x14ac:dyDescent="0.25">
      <c r="P302" s="60"/>
      <c r="Q302" s="13"/>
      <c r="V302" s="60"/>
      <c r="X302" s="61"/>
      <c r="AB302" s="60"/>
      <c r="AN302" s="54"/>
      <c r="AS302" s="15"/>
      <c r="BH302" s="52"/>
      <c r="BI302" s="21" t="str">
        <f ca="1">IFERROR(VLOOKUP(C302,OFFSET(abbreviation[],0,ColumnLanguage),ColumnAbbreviation,FALSE),"")</f>
        <v/>
      </c>
      <c r="BJ302" s="21" t="str">
        <f ca="1">IFERROR(VLOOKUP(E302,OFFSET(abbreviation[],0,ColumnLanguage),ColumnAbbreviation,FALSE),"")</f>
        <v/>
      </c>
      <c r="BK302" s="21" t="str">
        <f ca="1">IFERROR(VLOOKUP(G302,OFFSET(abbreviation[],0,ColumnLanguage),ColumnAbbreviation,FALSE),"")</f>
        <v/>
      </c>
      <c r="BL302" s="21" t="str">
        <f ca="1">IFERROR(VLOOKUP(I302,OFFSET(abbreviation[],0,ColumnLanguage),ColumnAbbreviation,FALSE),"")</f>
        <v/>
      </c>
      <c r="BM302" s="21" t="str">
        <f ca="1">IFERROR(VLOOKUP(K302,OFFSET(abbreviation[],0,ColumnLanguage),ColumnAbbreviation,FALSE),"")</f>
        <v/>
      </c>
      <c r="BN302" s="21" t="str">
        <f t="shared" ca="1" si="28"/>
        <v/>
      </c>
      <c r="BO302" s="21" t="str">
        <f ca="1">IFERROR(VLOOKUP(N302,OFFSET(abbreviation[],0,ColumnLanguage),ColumnAbbreviation,FALSE),"")</f>
        <v/>
      </c>
      <c r="BP302" s="21" t="str">
        <f ca="1">IFERROR(VLOOKUP(P302,OFFSET(abbreviation[],0,ColumnLanguage),ColumnAbbreviation,FALSE),"")</f>
        <v/>
      </c>
      <c r="BQ302" s="21" t="str">
        <f ca="1">IFERROR(VLOOKUP(T302,OFFSET(abbreviation[],0,ColumnLanguage),ColumnAbbreviation,FALSE),"")</f>
        <v/>
      </c>
      <c r="BR302" s="21" t="str">
        <f ca="1">IFERROR(VLOOKUP(V302,OFFSET(abbreviation[],0,ColumnLanguage),ColumnAbbreviation,FALSE),"")</f>
        <v/>
      </c>
      <c r="BS302" s="21" t="str">
        <f ca="1">IFERROR(VLOOKUP(Z302,OFFSET(abbreviation[],0,ColumnLanguage),ColumnAbbreviation,FALSE),"")</f>
        <v/>
      </c>
      <c r="BT302" s="21" t="str">
        <f ca="1">IFERROR(VLOOKUP(AB302,OFFSET(abbreviation[],0,ColumnLanguage),ColumnAbbreviation,FALSE),"")</f>
        <v/>
      </c>
      <c r="BU302" s="21" t="str">
        <f t="shared" ca="1" si="29"/>
        <v>__</v>
      </c>
      <c r="BV302" s="21" t="str">
        <f ca="1">IFERROR(VLOOKUP(AF302,OFFSET(abbreviation[],0,ColumnLanguage),ColumnAbbreviation,FALSE),"")</f>
        <v/>
      </c>
      <c r="BW302" s="21" t="str">
        <f ca="1">IFERROR(VLOOKUP(AH302,OFFSET(abbreviation[],0,ColumnLanguage),ColumnAbbreviation,FALSE),"")</f>
        <v/>
      </c>
      <c r="BX302" s="21" t="str">
        <f ca="1">IFERROR(VLOOKUP(AJ302,OFFSET(abbreviation[],0,ColumnLanguage),ColumnAbbreviation,FALSE),"")</f>
        <v/>
      </c>
      <c r="BY302" s="21" t="str">
        <f ca="1">IFERROR(VLOOKUP(AL302,OFFSET(abbreviation[],0,ColumnLanguage),ColumnAbbreviation,FALSE),"")</f>
        <v/>
      </c>
      <c r="BZ302" s="21" t="str">
        <f t="shared" ca="1" si="30"/>
        <v>_</v>
      </c>
      <c r="CA302" s="21" t="str">
        <f ca="1">IFERROR(VLOOKUP(AP302,OFFSET(abbreviation[],0,ColumnLanguage),ColumnAbbreviation,FALSE),"")</f>
        <v/>
      </c>
      <c r="CB302" s="21" t="str">
        <f ca="1">IFERROR(VLOOKUP(AR302,OFFSET(abbreviation[],0,ColumnLanguage),ColumnAbbreviation,FALSE),"")</f>
        <v/>
      </c>
      <c r="CC302" s="21" t="str">
        <f ca="1">IFERROR(VLOOKUP(AT302,OFFSET(abbreviation[],0,ColumnLanguage),ColumnAbbreviation,FALSE),"")</f>
        <v/>
      </c>
      <c r="CD302" s="21" t="str">
        <f ca="1">IFERROR(VLOOKUP(AV302,OFFSET(abbreviation[],0,ColumnLanguage),ColumnAbbreviation,FALSE),"")</f>
        <v/>
      </c>
      <c r="CE302" s="21" t="str">
        <f t="shared" ca="1" si="31"/>
        <v>__</v>
      </c>
      <c r="CF302" s="21" t="str">
        <f ca="1">IFERROR(VLOOKUP(AX302,OFFSET(abbreviation[],0,ColumnLanguage),ColumnAbbreviation,FALSE),"")</f>
        <v/>
      </c>
      <c r="CG302" s="21" t="str">
        <f ca="1">IFERROR(VLOOKUP(AZ302,OFFSET(abbreviation[],0,ColumnLanguage),ColumnAbbreviation,FALSE),"")</f>
        <v/>
      </c>
      <c r="CH302" s="21" t="str">
        <f ca="1">IFERROR(VLOOKUP(BB302,OFFSET(abbreviation[],0,ColumnLanguage),ColumnAbbreviation,FALSE),"")</f>
        <v/>
      </c>
      <c r="CI302" s="21" t="str">
        <f ca="1">IFERROR(VLOOKUP(BD302,OFFSET(abbreviation[],0,ColumnLanguage),ColumnAbbreviation,FALSE),"")</f>
        <v/>
      </c>
      <c r="CJ302" s="21" t="str">
        <f ca="1">IFERROR(VLOOKUP(BF302,OFFSET(abbreviation[],0,ColumnLanguage),ColumnAbbreviation,FALSE),"")</f>
        <v/>
      </c>
      <c r="CK302" s="21" t="str">
        <f t="shared" ca="1" si="32"/>
        <v/>
      </c>
      <c r="CL302" s="21" t="str">
        <f t="shared" si="33"/>
        <v/>
      </c>
      <c r="CM302" s="52"/>
      <c r="CN302" s="57" t="str">
        <f t="shared" si="34"/>
        <v/>
      </c>
    </row>
    <row r="303" spans="16:92" x14ac:dyDescent="0.25">
      <c r="P303" s="60"/>
      <c r="Q303" s="13"/>
      <c r="V303" s="60"/>
      <c r="X303" s="61"/>
      <c r="AB303" s="60"/>
      <c r="AN303" s="54"/>
      <c r="AS303" s="15"/>
      <c r="BH303" s="52"/>
      <c r="BI303" s="21" t="str">
        <f ca="1">IFERROR(VLOOKUP(C303,OFFSET(abbreviation[],0,ColumnLanguage),ColumnAbbreviation,FALSE),"")</f>
        <v/>
      </c>
      <c r="BJ303" s="21" t="str">
        <f ca="1">IFERROR(VLOOKUP(E303,OFFSET(abbreviation[],0,ColumnLanguage),ColumnAbbreviation,FALSE),"")</f>
        <v/>
      </c>
      <c r="BK303" s="21" t="str">
        <f ca="1">IFERROR(VLOOKUP(G303,OFFSET(abbreviation[],0,ColumnLanguage),ColumnAbbreviation,FALSE),"")</f>
        <v/>
      </c>
      <c r="BL303" s="21" t="str">
        <f ca="1">IFERROR(VLOOKUP(I303,OFFSET(abbreviation[],0,ColumnLanguage),ColumnAbbreviation,FALSE),"")</f>
        <v/>
      </c>
      <c r="BM303" s="21" t="str">
        <f ca="1">IFERROR(VLOOKUP(K303,OFFSET(abbreviation[],0,ColumnLanguage),ColumnAbbreviation,FALSE),"")</f>
        <v/>
      </c>
      <c r="BN303" s="21" t="str">
        <f t="shared" ca="1" si="28"/>
        <v/>
      </c>
      <c r="BO303" s="21" t="str">
        <f ca="1">IFERROR(VLOOKUP(N303,OFFSET(abbreviation[],0,ColumnLanguage),ColumnAbbreviation,FALSE),"")</f>
        <v/>
      </c>
      <c r="BP303" s="21" t="str">
        <f ca="1">IFERROR(VLOOKUP(P303,OFFSET(abbreviation[],0,ColumnLanguage),ColumnAbbreviation,FALSE),"")</f>
        <v/>
      </c>
      <c r="BQ303" s="21" t="str">
        <f ca="1">IFERROR(VLOOKUP(T303,OFFSET(abbreviation[],0,ColumnLanguage),ColumnAbbreviation,FALSE),"")</f>
        <v/>
      </c>
      <c r="BR303" s="21" t="str">
        <f ca="1">IFERROR(VLOOKUP(V303,OFFSET(abbreviation[],0,ColumnLanguage),ColumnAbbreviation,FALSE),"")</f>
        <v/>
      </c>
      <c r="BS303" s="21" t="str">
        <f ca="1">IFERROR(VLOOKUP(Z303,OFFSET(abbreviation[],0,ColumnLanguage),ColumnAbbreviation,FALSE),"")</f>
        <v/>
      </c>
      <c r="BT303" s="21" t="str">
        <f ca="1">IFERROR(VLOOKUP(AB303,OFFSET(abbreviation[],0,ColumnLanguage),ColumnAbbreviation,FALSE),"")</f>
        <v/>
      </c>
      <c r="BU303" s="21" t="str">
        <f t="shared" ca="1" si="29"/>
        <v>__</v>
      </c>
      <c r="BV303" s="21" t="str">
        <f ca="1">IFERROR(VLOOKUP(AF303,OFFSET(abbreviation[],0,ColumnLanguage),ColumnAbbreviation,FALSE),"")</f>
        <v/>
      </c>
      <c r="BW303" s="21" t="str">
        <f ca="1">IFERROR(VLOOKUP(AH303,OFFSET(abbreviation[],0,ColumnLanguage),ColumnAbbreviation,FALSE),"")</f>
        <v/>
      </c>
      <c r="BX303" s="21" t="str">
        <f ca="1">IFERROR(VLOOKUP(AJ303,OFFSET(abbreviation[],0,ColumnLanguage),ColumnAbbreviation,FALSE),"")</f>
        <v/>
      </c>
      <c r="BY303" s="21" t="str">
        <f ca="1">IFERROR(VLOOKUP(AL303,OFFSET(abbreviation[],0,ColumnLanguage),ColumnAbbreviation,FALSE),"")</f>
        <v/>
      </c>
      <c r="BZ303" s="21" t="str">
        <f t="shared" ca="1" si="30"/>
        <v>_</v>
      </c>
      <c r="CA303" s="21" t="str">
        <f ca="1">IFERROR(VLOOKUP(AP303,OFFSET(abbreviation[],0,ColumnLanguage),ColumnAbbreviation,FALSE),"")</f>
        <v/>
      </c>
      <c r="CB303" s="21" t="str">
        <f ca="1">IFERROR(VLOOKUP(AR303,OFFSET(abbreviation[],0,ColumnLanguage),ColumnAbbreviation,FALSE),"")</f>
        <v/>
      </c>
      <c r="CC303" s="21" t="str">
        <f ca="1">IFERROR(VLOOKUP(AT303,OFFSET(abbreviation[],0,ColumnLanguage),ColumnAbbreviation,FALSE),"")</f>
        <v/>
      </c>
      <c r="CD303" s="21" t="str">
        <f ca="1">IFERROR(VLOOKUP(AV303,OFFSET(abbreviation[],0,ColumnLanguage),ColumnAbbreviation,FALSE),"")</f>
        <v/>
      </c>
      <c r="CE303" s="21" t="str">
        <f t="shared" ca="1" si="31"/>
        <v>__</v>
      </c>
      <c r="CF303" s="21" t="str">
        <f ca="1">IFERROR(VLOOKUP(AX303,OFFSET(abbreviation[],0,ColumnLanguage),ColumnAbbreviation,FALSE),"")</f>
        <v/>
      </c>
      <c r="CG303" s="21" t="str">
        <f ca="1">IFERROR(VLOOKUP(AZ303,OFFSET(abbreviation[],0,ColumnLanguage),ColumnAbbreviation,FALSE),"")</f>
        <v/>
      </c>
      <c r="CH303" s="21" t="str">
        <f ca="1">IFERROR(VLOOKUP(BB303,OFFSET(abbreviation[],0,ColumnLanguage),ColumnAbbreviation,FALSE),"")</f>
        <v/>
      </c>
      <c r="CI303" s="21" t="str">
        <f ca="1">IFERROR(VLOOKUP(BD303,OFFSET(abbreviation[],0,ColumnLanguage),ColumnAbbreviation,FALSE),"")</f>
        <v/>
      </c>
      <c r="CJ303" s="21" t="str">
        <f ca="1">IFERROR(VLOOKUP(BF303,OFFSET(abbreviation[],0,ColumnLanguage),ColumnAbbreviation,FALSE),"")</f>
        <v/>
      </c>
      <c r="CK303" s="21" t="str">
        <f t="shared" ca="1" si="32"/>
        <v/>
      </c>
      <c r="CL303" s="21" t="str">
        <f t="shared" si="33"/>
        <v/>
      </c>
      <c r="CM303" s="52"/>
      <c r="CN303" s="57" t="str">
        <f t="shared" si="34"/>
        <v/>
      </c>
    </row>
    <row r="304" spans="16:92" x14ac:dyDescent="0.25">
      <c r="P304" s="60"/>
      <c r="Q304" s="13"/>
      <c r="V304" s="60"/>
      <c r="X304" s="61"/>
      <c r="AB304" s="60"/>
      <c r="AN304" s="54"/>
      <c r="AS304" s="15"/>
      <c r="BH304" s="52"/>
      <c r="BI304" s="21" t="str">
        <f ca="1">IFERROR(VLOOKUP(C304,OFFSET(abbreviation[],0,ColumnLanguage),ColumnAbbreviation,FALSE),"")</f>
        <v/>
      </c>
      <c r="BJ304" s="21" t="str">
        <f ca="1">IFERROR(VLOOKUP(E304,OFFSET(abbreviation[],0,ColumnLanguage),ColumnAbbreviation,FALSE),"")</f>
        <v/>
      </c>
      <c r="BK304" s="21" t="str">
        <f ca="1">IFERROR(VLOOKUP(G304,OFFSET(abbreviation[],0,ColumnLanguage),ColumnAbbreviation,FALSE),"")</f>
        <v/>
      </c>
      <c r="BL304" s="21" t="str">
        <f ca="1">IFERROR(VLOOKUP(I304,OFFSET(abbreviation[],0,ColumnLanguage),ColumnAbbreviation,FALSE),"")</f>
        <v/>
      </c>
      <c r="BM304" s="21" t="str">
        <f ca="1">IFERROR(VLOOKUP(K304,OFFSET(abbreviation[],0,ColumnLanguage),ColumnAbbreviation,FALSE),"")</f>
        <v/>
      </c>
      <c r="BN304" s="21" t="str">
        <f t="shared" ca="1" si="28"/>
        <v/>
      </c>
      <c r="BO304" s="21" t="str">
        <f ca="1">IFERROR(VLOOKUP(N304,OFFSET(abbreviation[],0,ColumnLanguage),ColumnAbbreviation,FALSE),"")</f>
        <v/>
      </c>
      <c r="BP304" s="21" t="str">
        <f ca="1">IFERROR(VLOOKUP(P304,OFFSET(abbreviation[],0,ColumnLanguage),ColumnAbbreviation,FALSE),"")</f>
        <v/>
      </c>
      <c r="BQ304" s="21" t="str">
        <f ca="1">IFERROR(VLOOKUP(T304,OFFSET(abbreviation[],0,ColumnLanguage),ColumnAbbreviation,FALSE),"")</f>
        <v/>
      </c>
      <c r="BR304" s="21" t="str">
        <f ca="1">IFERROR(VLOOKUP(V304,OFFSET(abbreviation[],0,ColumnLanguage),ColumnAbbreviation,FALSE),"")</f>
        <v/>
      </c>
      <c r="BS304" s="21" t="str">
        <f ca="1">IFERROR(VLOOKUP(Z304,OFFSET(abbreviation[],0,ColumnLanguage),ColumnAbbreviation,FALSE),"")</f>
        <v/>
      </c>
      <c r="BT304" s="21" t="str">
        <f ca="1">IFERROR(VLOOKUP(AB304,OFFSET(abbreviation[],0,ColumnLanguage),ColumnAbbreviation,FALSE),"")</f>
        <v/>
      </c>
      <c r="BU304" s="21" t="str">
        <f t="shared" ca="1" si="29"/>
        <v>__</v>
      </c>
      <c r="BV304" s="21" t="str">
        <f ca="1">IFERROR(VLOOKUP(AF304,OFFSET(abbreviation[],0,ColumnLanguage),ColumnAbbreviation,FALSE),"")</f>
        <v/>
      </c>
      <c r="BW304" s="21" t="str">
        <f ca="1">IFERROR(VLOOKUP(AH304,OFFSET(abbreviation[],0,ColumnLanguage),ColumnAbbreviation,FALSE),"")</f>
        <v/>
      </c>
      <c r="BX304" s="21" t="str">
        <f ca="1">IFERROR(VLOOKUP(AJ304,OFFSET(abbreviation[],0,ColumnLanguage),ColumnAbbreviation,FALSE),"")</f>
        <v/>
      </c>
      <c r="BY304" s="21" t="str">
        <f ca="1">IFERROR(VLOOKUP(AL304,OFFSET(abbreviation[],0,ColumnLanguage),ColumnAbbreviation,FALSE),"")</f>
        <v/>
      </c>
      <c r="BZ304" s="21" t="str">
        <f t="shared" ca="1" si="30"/>
        <v>_</v>
      </c>
      <c r="CA304" s="21" t="str">
        <f ca="1">IFERROR(VLOOKUP(AP304,OFFSET(abbreviation[],0,ColumnLanguage),ColumnAbbreviation,FALSE),"")</f>
        <v/>
      </c>
      <c r="CB304" s="21" t="str">
        <f ca="1">IFERROR(VLOOKUP(AR304,OFFSET(abbreviation[],0,ColumnLanguage),ColumnAbbreviation,FALSE),"")</f>
        <v/>
      </c>
      <c r="CC304" s="21" t="str">
        <f ca="1">IFERROR(VLOOKUP(AT304,OFFSET(abbreviation[],0,ColumnLanguage),ColumnAbbreviation,FALSE),"")</f>
        <v/>
      </c>
      <c r="CD304" s="21" t="str">
        <f ca="1">IFERROR(VLOOKUP(AV304,OFFSET(abbreviation[],0,ColumnLanguage),ColumnAbbreviation,FALSE),"")</f>
        <v/>
      </c>
      <c r="CE304" s="21" t="str">
        <f t="shared" ca="1" si="31"/>
        <v>__</v>
      </c>
      <c r="CF304" s="21" t="str">
        <f ca="1">IFERROR(VLOOKUP(AX304,OFFSET(abbreviation[],0,ColumnLanguage),ColumnAbbreviation,FALSE),"")</f>
        <v/>
      </c>
      <c r="CG304" s="21" t="str">
        <f ca="1">IFERROR(VLOOKUP(AZ304,OFFSET(abbreviation[],0,ColumnLanguage),ColumnAbbreviation,FALSE),"")</f>
        <v/>
      </c>
      <c r="CH304" s="21" t="str">
        <f ca="1">IFERROR(VLOOKUP(BB304,OFFSET(abbreviation[],0,ColumnLanguage),ColumnAbbreviation,FALSE),"")</f>
        <v/>
      </c>
      <c r="CI304" s="21" t="str">
        <f ca="1">IFERROR(VLOOKUP(BD304,OFFSET(abbreviation[],0,ColumnLanguage),ColumnAbbreviation,FALSE),"")</f>
        <v/>
      </c>
      <c r="CJ304" s="21" t="str">
        <f ca="1">IFERROR(VLOOKUP(BF304,OFFSET(abbreviation[],0,ColumnLanguage),ColumnAbbreviation,FALSE),"")</f>
        <v/>
      </c>
      <c r="CK304" s="21" t="str">
        <f t="shared" ca="1" si="32"/>
        <v/>
      </c>
      <c r="CL304" s="21" t="str">
        <f t="shared" si="33"/>
        <v/>
      </c>
      <c r="CM304" s="52"/>
      <c r="CN304" s="57" t="str">
        <f t="shared" si="34"/>
        <v/>
      </c>
    </row>
    <row r="305" spans="16:92" x14ac:dyDescent="0.25">
      <c r="P305" s="60"/>
      <c r="Q305" s="13"/>
      <c r="V305" s="60"/>
      <c r="X305" s="61"/>
      <c r="AB305" s="60"/>
      <c r="AN305" s="54"/>
      <c r="AS305" s="15"/>
      <c r="BH305" s="52"/>
      <c r="BI305" s="21" t="str">
        <f ca="1">IFERROR(VLOOKUP(C305,OFFSET(abbreviation[],0,ColumnLanguage),ColumnAbbreviation,FALSE),"")</f>
        <v/>
      </c>
      <c r="BJ305" s="21" t="str">
        <f ca="1">IFERROR(VLOOKUP(E305,OFFSET(abbreviation[],0,ColumnLanguage),ColumnAbbreviation,FALSE),"")</f>
        <v/>
      </c>
      <c r="BK305" s="21" t="str">
        <f ca="1">IFERROR(VLOOKUP(G305,OFFSET(abbreviation[],0,ColumnLanguage),ColumnAbbreviation,FALSE),"")</f>
        <v/>
      </c>
      <c r="BL305" s="21" t="str">
        <f ca="1">IFERROR(VLOOKUP(I305,OFFSET(abbreviation[],0,ColumnLanguage),ColumnAbbreviation,FALSE),"")</f>
        <v/>
      </c>
      <c r="BM305" s="21" t="str">
        <f ca="1">IFERROR(VLOOKUP(K305,OFFSET(abbreviation[],0,ColumnLanguage),ColumnAbbreviation,FALSE),"")</f>
        <v/>
      </c>
      <c r="BN305" s="21" t="str">
        <f t="shared" ca="1" si="28"/>
        <v/>
      </c>
      <c r="BO305" s="21" t="str">
        <f ca="1">IFERROR(VLOOKUP(N305,OFFSET(abbreviation[],0,ColumnLanguage),ColumnAbbreviation,FALSE),"")</f>
        <v/>
      </c>
      <c r="BP305" s="21" t="str">
        <f ca="1">IFERROR(VLOOKUP(P305,OFFSET(abbreviation[],0,ColumnLanguage),ColumnAbbreviation,FALSE),"")</f>
        <v/>
      </c>
      <c r="BQ305" s="21" t="str">
        <f ca="1">IFERROR(VLOOKUP(T305,OFFSET(abbreviation[],0,ColumnLanguage),ColumnAbbreviation,FALSE),"")</f>
        <v/>
      </c>
      <c r="BR305" s="21" t="str">
        <f ca="1">IFERROR(VLOOKUP(V305,OFFSET(abbreviation[],0,ColumnLanguage),ColumnAbbreviation,FALSE),"")</f>
        <v/>
      </c>
      <c r="BS305" s="21" t="str">
        <f ca="1">IFERROR(VLOOKUP(Z305,OFFSET(abbreviation[],0,ColumnLanguage),ColumnAbbreviation,FALSE),"")</f>
        <v/>
      </c>
      <c r="BT305" s="21" t="str">
        <f ca="1">IFERROR(VLOOKUP(AB305,OFFSET(abbreviation[],0,ColumnLanguage),ColumnAbbreviation,FALSE),"")</f>
        <v/>
      </c>
      <c r="BU305" s="21" t="str">
        <f t="shared" ca="1" si="29"/>
        <v>__</v>
      </c>
      <c r="BV305" s="21" t="str">
        <f ca="1">IFERROR(VLOOKUP(AF305,OFFSET(abbreviation[],0,ColumnLanguage),ColumnAbbreviation,FALSE),"")</f>
        <v/>
      </c>
      <c r="BW305" s="21" t="str">
        <f ca="1">IFERROR(VLOOKUP(AH305,OFFSET(abbreviation[],0,ColumnLanguage),ColumnAbbreviation,FALSE),"")</f>
        <v/>
      </c>
      <c r="BX305" s="21" t="str">
        <f ca="1">IFERROR(VLOOKUP(AJ305,OFFSET(abbreviation[],0,ColumnLanguage),ColumnAbbreviation,FALSE),"")</f>
        <v/>
      </c>
      <c r="BY305" s="21" t="str">
        <f ca="1">IFERROR(VLOOKUP(AL305,OFFSET(abbreviation[],0,ColumnLanguage),ColumnAbbreviation,FALSE),"")</f>
        <v/>
      </c>
      <c r="BZ305" s="21" t="str">
        <f t="shared" ca="1" si="30"/>
        <v>_</v>
      </c>
      <c r="CA305" s="21" t="str">
        <f ca="1">IFERROR(VLOOKUP(AP305,OFFSET(abbreviation[],0,ColumnLanguage),ColumnAbbreviation,FALSE),"")</f>
        <v/>
      </c>
      <c r="CB305" s="21" t="str">
        <f ca="1">IFERROR(VLOOKUP(AR305,OFFSET(abbreviation[],0,ColumnLanguage),ColumnAbbreviation,FALSE),"")</f>
        <v/>
      </c>
      <c r="CC305" s="21" t="str">
        <f ca="1">IFERROR(VLOOKUP(AT305,OFFSET(abbreviation[],0,ColumnLanguage),ColumnAbbreviation,FALSE),"")</f>
        <v/>
      </c>
      <c r="CD305" s="21" t="str">
        <f ca="1">IFERROR(VLOOKUP(AV305,OFFSET(abbreviation[],0,ColumnLanguage),ColumnAbbreviation,FALSE),"")</f>
        <v/>
      </c>
      <c r="CE305" s="21" t="str">
        <f t="shared" ca="1" si="31"/>
        <v>__</v>
      </c>
      <c r="CF305" s="21" t="str">
        <f ca="1">IFERROR(VLOOKUP(AX305,OFFSET(abbreviation[],0,ColumnLanguage),ColumnAbbreviation,FALSE),"")</f>
        <v/>
      </c>
      <c r="CG305" s="21" t="str">
        <f ca="1">IFERROR(VLOOKUP(AZ305,OFFSET(abbreviation[],0,ColumnLanguage),ColumnAbbreviation,FALSE),"")</f>
        <v/>
      </c>
      <c r="CH305" s="21" t="str">
        <f ca="1">IFERROR(VLOOKUP(BB305,OFFSET(abbreviation[],0,ColumnLanguage),ColumnAbbreviation,FALSE),"")</f>
        <v/>
      </c>
      <c r="CI305" s="21" t="str">
        <f ca="1">IFERROR(VLOOKUP(BD305,OFFSET(abbreviation[],0,ColumnLanguage),ColumnAbbreviation,FALSE),"")</f>
        <v/>
      </c>
      <c r="CJ305" s="21" t="str">
        <f ca="1">IFERROR(VLOOKUP(BF305,OFFSET(abbreviation[],0,ColumnLanguage),ColumnAbbreviation,FALSE),"")</f>
        <v/>
      </c>
      <c r="CK305" s="21" t="str">
        <f t="shared" ca="1" si="32"/>
        <v/>
      </c>
      <c r="CL305" s="21" t="str">
        <f t="shared" si="33"/>
        <v/>
      </c>
      <c r="CM305" s="52"/>
      <c r="CN305" s="57" t="str">
        <f t="shared" si="34"/>
        <v/>
      </c>
    </row>
    <row r="306" spans="16:92" x14ac:dyDescent="0.25">
      <c r="P306" s="60"/>
      <c r="Q306" s="13"/>
      <c r="V306" s="60"/>
      <c r="X306" s="61"/>
      <c r="AB306" s="60"/>
      <c r="AN306" s="54"/>
      <c r="AS306" s="15"/>
      <c r="BH306" s="52"/>
      <c r="BI306" s="21" t="str">
        <f ca="1">IFERROR(VLOOKUP(C306,OFFSET(abbreviation[],0,ColumnLanguage),ColumnAbbreviation,FALSE),"")</f>
        <v/>
      </c>
      <c r="BJ306" s="21" t="str">
        <f ca="1">IFERROR(VLOOKUP(E306,OFFSET(abbreviation[],0,ColumnLanguage),ColumnAbbreviation,FALSE),"")</f>
        <v/>
      </c>
      <c r="BK306" s="21" t="str">
        <f ca="1">IFERROR(VLOOKUP(G306,OFFSET(abbreviation[],0,ColumnLanguage),ColumnAbbreviation,FALSE),"")</f>
        <v/>
      </c>
      <c r="BL306" s="21" t="str">
        <f ca="1">IFERROR(VLOOKUP(I306,OFFSET(abbreviation[],0,ColumnLanguage),ColumnAbbreviation,FALSE),"")</f>
        <v/>
      </c>
      <c r="BM306" s="21" t="str">
        <f ca="1">IFERROR(VLOOKUP(K306,OFFSET(abbreviation[],0,ColumnLanguage),ColumnAbbreviation,FALSE),"")</f>
        <v/>
      </c>
      <c r="BN306" s="21" t="str">
        <f t="shared" ca="1" si="28"/>
        <v/>
      </c>
      <c r="BO306" s="21" t="str">
        <f ca="1">IFERROR(VLOOKUP(N306,OFFSET(abbreviation[],0,ColumnLanguage),ColumnAbbreviation,FALSE),"")</f>
        <v/>
      </c>
      <c r="BP306" s="21" t="str">
        <f ca="1">IFERROR(VLOOKUP(P306,OFFSET(abbreviation[],0,ColumnLanguage),ColumnAbbreviation,FALSE),"")</f>
        <v/>
      </c>
      <c r="BQ306" s="21" t="str">
        <f ca="1">IFERROR(VLOOKUP(T306,OFFSET(abbreviation[],0,ColumnLanguage),ColumnAbbreviation,FALSE),"")</f>
        <v/>
      </c>
      <c r="BR306" s="21" t="str">
        <f ca="1">IFERROR(VLOOKUP(V306,OFFSET(abbreviation[],0,ColumnLanguage),ColumnAbbreviation,FALSE),"")</f>
        <v/>
      </c>
      <c r="BS306" s="21" t="str">
        <f ca="1">IFERROR(VLOOKUP(Z306,OFFSET(abbreviation[],0,ColumnLanguage),ColumnAbbreviation,FALSE),"")</f>
        <v/>
      </c>
      <c r="BT306" s="21" t="str">
        <f ca="1">IFERROR(VLOOKUP(AB306,OFFSET(abbreviation[],0,ColumnLanguage),ColumnAbbreviation,FALSE),"")</f>
        <v/>
      </c>
      <c r="BU306" s="21" t="str">
        <f t="shared" ca="1" si="29"/>
        <v>__</v>
      </c>
      <c r="BV306" s="21" t="str">
        <f ca="1">IFERROR(VLOOKUP(AF306,OFFSET(abbreviation[],0,ColumnLanguage),ColumnAbbreviation,FALSE),"")</f>
        <v/>
      </c>
      <c r="BW306" s="21" t="str">
        <f ca="1">IFERROR(VLOOKUP(AH306,OFFSET(abbreviation[],0,ColumnLanguage),ColumnAbbreviation,FALSE),"")</f>
        <v/>
      </c>
      <c r="BX306" s="21" t="str">
        <f ca="1">IFERROR(VLOOKUP(AJ306,OFFSET(abbreviation[],0,ColumnLanguage),ColumnAbbreviation,FALSE),"")</f>
        <v/>
      </c>
      <c r="BY306" s="21" t="str">
        <f ca="1">IFERROR(VLOOKUP(AL306,OFFSET(abbreviation[],0,ColumnLanguage),ColumnAbbreviation,FALSE),"")</f>
        <v/>
      </c>
      <c r="BZ306" s="21" t="str">
        <f t="shared" ca="1" si="30"/>
        <v>_</v>
      </c>
      <c r="CA306" s="21" t="str">
        <f ca="1">IFERROR(VLOOKUP(AP306,OFFSET(abbreviation[],0,ColumnLanguage),ColumnAbbreviation,FALSE),"")</f>
        <v/>
      </c>
      <c r="CB306" s="21" t="str">
        <f ca="1">IFERROR(VLOOKUP(AR306,OFFSET(abbreviation[],0,ColumnLanguage),ColumnAbbreviation,FALSE),"")</f>
        <v/>
      </c>
      <c r="CC306" s="21" t="str">
        <f ca="1">IFERROR(VLOOKUP(AT306,OFFSET(abbreviation[],0,ColumnLanguage),ColumnAbbreviation,FALSE),"")</f>
        <v/>
      </c>
      <c r="CD306" s="21" t="str">
        <f ca="1">IFERROR(VLOOKUP(AV306,OFFSET(abbreviation[],0,ColumnLanguage),ColumnAbbreviation,FALSE),"")</f>
        <v/>
      </c>
      <c r="CE306" s="21" t="str">
        <f t="shared" ca="1" si="31"/>
        <v>__</v>
      </c>
      <c r="CF306" s="21" t="str">
        <f ca="1">IFERROR(VLOOKUP(AX306,OFFSET(abbreviation[],0,ColumnLanguage),ColumnAbbreviation,FALSE),"")</f>
        <v/>
      </c>
      <c r="CG306" s="21" t="str">
        <f ca="1">IFERROR(VLOOKUP(AZ306,OFFSET(abbreviation[],0,ColumnLanguage),ColumnAbbreviation,FALSE),"")</f>
        <v/>
      </c>
      <c r="CH306" s="21" t="str">
        <f ca="1">IFERROR(VLOOKUP(BB306,OFFSET(abbreviation[],0,ColumnLanguage),ColumnAbbreviation,FALSE),"")</f>
        <v/>
      </c>
      <c r="CI306" s="21" t="str">
        <f ca="1">IFERROR(VLOOKUP(BD306,OFFSET(abbreviation[],0,ColumnLanguage),ColumnAbbreviation,FALSE),"")</f>
        <v/>
      </c>
      <c r="CJ306" s="21" t="str">
        <f ca="1">IFERROR(VLOOKUP(BF306,OFFSET(abbreviation[],0,ColumnLanguage),ColumnAbbreviation,FALSE),"")</f>
        <v/>
      </c>
      <c r="CK306" s="21" t="str">
        <f t="shared" ca="1" si="32"/>
        <v/>
      </c>
      <c r="CL306" s="21" t="str">
        <f t="shared" si="33"/>
        <v/>
      </c>
      <c r="CM306" s="52"/>
      <c r="CN306" s="57" t="str">
        <f t="shared" si="34"/>
        <v/>
      </c>
    </row>
    <row r="307" spans="16:92" x14ac:dyDescent="0.25">
      <c r="P307" s="60"/>
      <c r="Q307" s="13"/>
      <c r="V307" s="60"/>
      <c r="X307" s="61"/>
      <c r="AB307" s="60"/>
      <c r="AN307" s="54"/>
      <c r="AS307" s="15"/>
      <c r="BH307" s="52"/>
      <c r="BI307" s="21" t="str">
        <f ca="1">IFERROR(VLOOKUP(C307,OFFSET(abbreviation[],0,ColumnLanguage),ColumnAbbreviation,FALSE),"")</f>
        <v/>
      </c>
      <c r="BJ307" s="21" t="str">
        <f ca="1">IFERROR(VLOOKUP(E307,OFFSET(abbreviation[],0,ColumnLanguage),ColumnAbbreviation,FALSE),"")</f>
        <v/>
      </c>
      <c r="BK307" s="21" t="str">
        <f ca="1">IFERROR(VLOOKUP(G307,OFFSET(abbreviation[],0,ColumnLanguage),ColumnAbbreviation,FALSE),"")</f>
        <v/>
      </c>
      <c r="BL307" s="21" t="str">
        <f ca="1">IFERROR(VLOOKUP(I307,OFFSET(abbreviation[],0,ColumnLanguage),ColumnAbbreviation,FALSE),"")</f>
        <v/>
      </c>
      <c r="BM307" s="21" t="str">
        <f ca="1">IFERROR(VLOOKUP(K307,OFFSET(abbreviation[],0,ColumnLanguage),ColumnAbbreviation,FALSE),"")</f>
        <v/>
      </c>
      <c r="BN307" s="21" t="str">
        <f t="shared" ca="1" si="28"/>
        <v/>
      </c>
      <c r="BO307" s="21" t="str">
        <f ca="1">IFERROR(VLOOKUP(N307,OFFSET(abbreviation[],0,ColumnLanguage),ColumnAbbreviation,FALSE),"")</f>
        <v/>
      </c>
      <c r="BP307" s="21" t="str">
        <f ca="1">IFERROR(VLOOKUP(P307,OFFSET(abbreviation[],0,ColumnLanguage),ColumnAbbreviation,FALSE),"")</f>
        <v/>
      </c>
      <c r="BQ307" s="21" t="str">
        <f ca="1">IFERROR(VLOOKUP(T307,OFFSET(abbreviation[],0,ColumnLanguage),ColumnAbbreviation,FALSE),"")</f>
        <v/>
      </c>
      <c r="BR307" s="21" t="str">
        <f ca="1">IFERROR(VLOOKUP(V307,OFFSET(abbreviation[],0,ColumnLanguage),ColumnAbbreviation,FALSE),"")</f>
        <v/>
      </c>
      <c r="BS307" s="21" t="str">
        <f ca="1">IFERROR(VLOOKUP(Z307,OFFSET(abbreviation[],0,ColumnLanguage),ColumnAbbreviation,FALSE),"")</f>
        <v/>
      </c>
      <c r="BT307" s="21" t="str">
        <f ca="1">IFERROR(VLOOKUP(AB307,OFFSET(abbreviation[],0,ColumnLanguage),ColumnAbbreviation,FALSE),"")</f>
        <v/>
      </c>
      <c r="BU307" s="21" t="str">
        <f t="shared" ca="1" si="29"/>
        <v>__</v>
      </c>
      <c r="BV307" s="21" t="str">
        <f ca="1">IFERROR(VLOOKUP(AF307,OFFSET(abbreviation[],0,ColumnLanguage),ColumnAbbreviation,FALSE),"")</f>
        <v/>
      </c>
      <c r="BW307" s="21" t="str">
        <f ca="1">IFERROR(VLOOKUP(AH307,OFFSET(abbreviation[],0,ColumnLanguage),ColumnAbbreviation,FALSE),"")</f>
        <v/>
      </c>
      <c r="BX307" s="21" t="str">
        <f ca="1">IFERROR(VLOOKUP(AJ307,OFFSET(abbreviation[],0,ColumnLanguage),ColumnAbbreviation,FALSE),"")</f>
        <v/>
      </c>
      <c r="BY307" s="21" t="str">
        <f ca="1">IFERROR(VLOOKUP(AL307,OFFSET(abbreviation[],0,ColumnLanguage),ColumnAbbreviation,FALSE),"")</f>
        <v/>
      </c>
      <c r="BZ307" s="21" t="str">
        <f t="shared" ca="1" si="30"/>
        <v>_</v>
      </c>
      <c r="CA307" s="21" t="str">
        <f ca="1">IFERROR(VLOOKUP(AP307,OFFSET(abbreviation[],0,ColumnLanguage),ColumnAbbreviation,FALSE),"")</f>
        <v/>
      </c>
      <c r="CB307" s="21" t="str">
        <f ca="1">IFERROR(VLOOKUP(AR307,OFFSET(abbreviation[],0,ColumnLanguage),ColumnAbbreviation,FALSE),"")</f>
        <v/>
      </c>
      <c r="CC307" s="21" t="str">
        <f ca="1">IFERROR(VLOOKUP(AT307,OFFSET(abbreviation[],0,ColumnLanguage),ColumnAbbreviation,FALSE),"")</f>
        <v/>
      </c>
      <c r="CD307" s="21" t="str">
        <f ca="1">IFERROR(VLOOKUP(AV307,OFFSET(abbreviation[],0,ColumnLanguage),ColumnAbbreviation,FALSE),"")</f>
        <v/>
      </c>
      <c r="CE307" s="21" t="str">
        <f t="shared" ca="1" si="31"/>
        <v>__</v>
      </c>
      <c r="CF307" s="21" t="str">
        <f ca="1">IFERROR(VLOOKUP(AX307,OFFSET(abbreviation[],0,ColumnLanguage),ColumnAbbreviation,FALSE),"")</f>
        <v/>
      </c>
      <c r="CG307" s="21" t="str">
        <f ca="1">IFERROR(VLOOKUP(AZ307,OFFSET(abbreviation[],0,ColumnLanguage),ColumnAbbreviation,FALSE),"")</f>
        <v/>
      </c>
      <c r="CH307" s="21" t="str">
        <f ca="1">IFERROR(VLOOKUP(BB307,OFFSET(abbreviation[],0,ColumnLanguage),ColumnAbbreviation,FALSE),"")</f>
        <v/>
      </c>
      <c r="CI307" s="21" t="str">
        <f ca="1">IFERROR(VLOOKUP(BD307,OFFSET(abbreviation[],0,ColumnLanguage),ColumnAbbreviation,FALSE),"")</f>
        <v/>
      </c>
      <c r="CJ307" s="21" t="str">
        <f ca="1">IFERROR(VLOOKUP(BF307,OFFSET(abbreviation[],0,ColumnLanguage),ColumnAbbreviation,FALSE),"")</f>
        <v/>
      </c>
      <c r="CK307" s="21" t="str">
        <f t="shared" ca="1" si="32"/>
        <v/>
      </c>
      <c r="CL307" s="21" t="str">
        <f t="shared" si="33"/>
        <v/>
      </c>
      <c r="CM307" s="52"/>
      <c r="CN307" s="57" t="str">
        <f t="shared" si="34"/>
        <v/>
      </c>
    </row>
    <row r="308" spans="16:92" x14ac:dyDescent="0.25">
      <c r="P308" s="60"/>
      <c r="Q308" s="13"/>
      <c r="V308" s="60"/>
      <c r="X308" s="61"/>
      <c r="AB308" s="60"/>
      <c r="AN308" s="54"/>
      <c r="AS308" s="15"/>
      <c r="BH308" s="52"/>
      <c r="BI308" s="21" t="str">
        <f ca="1">IFERROR(VLOOKUP(C308,OFFSET(abbreviation[],0,ColumnLanguage),ColumnAbbreviation,FALSE),"")</f>
        <v/>
      </c>
      <c r="BJ308" s="21" t="str">
        <f ca="1">IFERROR(VLOOKUP(E308,OFFSET(abbreviation[],0,ColumnLanguage),ColumnAbbreviation,FALSE),"")</f>
        <v/>
      </c>
      <c r="BK308" s="21" t="str">
        <f ca="1">IFERROR(VLOOKUP(G308,OFFSET(abbreviation[],0,ColumnLanguage),ColumnAbbreviation,FALSE),"")</f>
        <v/>
      </c>
      <c r="BL308" s="21" t="str">
        <f ca="1">IFERROR(VLOOKUP(I308,OFFSET(abbreviation[],0,ColumnLanguage),ColumnAbbreviation,FALSE),"")</f>
        <v/>
      </c>
      <c r="BM308" s="21" t="str">
        <f ca="1">IFERROR(VLOOKUP(K308,OFFSET(abbreviation[],0,ColumnLanguage),ColumnAbbreviation,FALSE),"")</f>
        <v/>
      </c>
      <c r="BN308" s="21" t="str">
        <f t="shared" ca="1" si="28"/>
        <v/>
      </c>
      <c r="BO308" s="21" t="str">
        <f ca="1">IFERROR(VLOOKUP(N308,OFFSET(abbreviation[],0,ColumnLanguage),ColumnAbbreviation,FALSE),"")</f>
        <v/>
      </c>
      <c r="BP308" s="21" t="str">
        <f ca="1">IFERROR(VLOOKUP(P308,OFFSET(abbreviation[],0,ColumnLanguage),ColumnAbbreviation,FALSE),"")</f>
        <v/>
      </c>
      <c r="BQ308" s="21" t="str">
        <f ca="1">IFERROR(VLOOKUP(T308,OFFSET(abbreviation[],0,ColumnLanguage),ColumnAbbreviation,FALSE),"")</f>
        <v/>
      </c>
      <c r="BR308" s="21" t="str">
        <f ca="1">IFERROR(VLOOKUP(V308,OFFSET(abbreviation[],0,ColumnLanguage),ColumnAbbreviation,FALSE),"")</f>
        <v/>
      </c>
      <c r="BS308" s="21" t="str">
        <f ca="1">IFERROR(VLOOKUP(Z308,OFFSET(abbreviation[],0,ColumnLanguage),ColumnAbbreviation,FALSE),"")</f>
        <v/>
      </c>
      <c r="BT308" s="21" t="str">
        <f ca="1">IFERROR(VLOOKUP(AB308,OFFSET(abbreviation[],0,ColumnLanguage),ColumnAbbreviation,FALSE),"")</f>
        <v/>
      </c>
      <c r="BU308" s="21" t="str">
        <f t="shared" ca="1" si="29"/>
        <v>__</v>
      </c>
      <c r="BV308" s="21" t="str">
        <f ca="1">IFERROR(VLOOKUP(AF308,OFFSET(abbreviation[],0,ColumnLanguage),ColumnAbbreviation,FALSE),"")</f>
        <v/>
      </c>
      <c r="BW308" s="21" t="str">
        <f ca="1">IFERROR(VLOOKUP(AH308,OFFSET(abbreviation[],0,ColumnLanguage),ColumnAbbreviation,FALSE),"")</f>
        <v/>
      </c>
      <c r="BX308" s="21" t="str">
        <f ca="1">IFERROR(VLOOKUP(AJ308,OFFSET(abbreviation[],0,ColumnLanguage),ColumnAbbreviation,FALSE),"")</f>
        <v/>
      </c>
      <c r="BY308" s="21" t="str">
        <f ca="1">IFERROR(VLOOKUP(AL308,OFFSET(abbreviation[],0,ColumnLanguage),ColumnAbbreviation,FALSE),"")</f>
        <v/>
      </c>
      <c r="BZ308" s="21" t="str">
        <f t="shared" ca="1" si="30"/>
        <v>_</v>
      </c>
      <c r="CA308" s="21" t="str">
        <f ca="1">IFERROR(VLOOKUP(AP308,OFFSET(abbreviation[],0,ColumnLanguage),ColumnAbbreviation,FALSE),"")</f>
        <v/>
      </c>
      <c r="CB308" s="21" t="str">
        <f ca="1">IFERROR(VLOOKUP(AR308,OFFSET(abbreviation[],0,ColumnLanguage),ColumnAbbreviation,FALSE),"")</f>
        <v/>
      </c>
      <c r="CC308" s="21" t="str">
        <f ca="1">IFERROR(VLOOKUP(AT308,OFFSET(abbreviation[],0,ColumnLanguage),ColumnAbbreviation,FALSE),"")</f>
        <v/>
      </c>
      <c r="CD308" s="21" t="str">
        <f ca="1">IFERROR(VLOOKUP(AV308,OFFSET(abbreviation[],0,ColumnLanguage),ColumnAbbreviation,FALSE),"")</f>
        <v/>
      </c>
      <c r="CE308" s="21" t="str">
        <f t="shared" ca="1" si="31"/>
        <v>__</v>
      </c>
      <c r="CF308" s="21" t="str">
        <f ca="1">IFERROR(VLOOKUP(AX308,OFFSET(abbreviation[],0,ColumnLanguage),ColumnAbbreviation,FALSE),"")</f>
        <v/>
      </c>
      <c r="CG308" s="21" t="str">
        <f ca="1">IFERROR(VLOOKUP(AZ308,OFFSET(abbreviation[],0,ColumnLanguage),ColumnAbbreviation,FALSE),"")</f>
        <v/>
      </c>
      <c r="CH308" s="21" t="str">
        <f ca="1">IFERROR(VLOOKUP(BB308,OFFSET(abbreviation[],0,ColumnLanguage),ColumnAbbreviation,FALSE),"")</f>
        <v/>
      </c>
      <c r="CI308" s="21" t="str">
        <f ca="1">IFERROR(VLOOKUP(BD308,OFFSET(abbreviation[],0,ColumnLanguage),ColumnAbbreviation,FALSE),"")</f>
        <v/>
      </c>
      <c r="CJ308" s="21" t="str">
        <f ca="1">IFERROR(VLOOKUP(BF308,OFFSET(abbreviation[],0,ColumnLanguage),ColumnAbbreviation,FALSE),"")</f>
        <v/>
      </c>
      <c r="CK308" s="21" t="str">
        <f t="shared" ca="1" si="32"/>
        <v/>
      </c>
      <c r="CL308" s="21" t="str">
        <f t="shared" si="33"/>
        <v/>
      </c>
      <c r="CM308" s="52"/>
      <c r="CN308" s="57" t="str">
        <f t="shared" si="34"/>
        <v/>
      </c>
    </row>
    <row r="309" spans="16:92" x14ac:dyDescent="0.25">
      <c r="P309" s="60"/>
      <c r="Q309" s="13"/>
      <c r="V309" s="60"/>
      <c r="X309" s="61"/>
      <c r="AB309" s="60"/>
      <c r="AN309" s="54"/>
      <c r="AS309" s="15"/>
      <c r="BH309" s="52"/>
      <c r="BI309" s="21" t="str">
        <f ca="1">IFERROR(VLOOKUP(C309,OFFSET(abbreviation[],0,ColumnLanguage),ColumnAbbreviation,FALSE),"")</f>
        <v/>
      </c>
      <c r="BJ309" s="21" t="str">
        <f ca="1">IFERROR(VLOOKUP(E309,OFFSET(abbreviation[],0,ColumnLanguage),ColumnAbbreviation,FALSE),"")</f>
        <v/>
      </c>
      <c r="BK309" s="21" t="str">
        <f ca="1">IFERROR(VLOOKUP(G309,OFFSET(abbreviation[],0,ColumnLanguage),ColumnAbbreviation,FALSE),"")</f>
        <v/>
      </c>
      <c r="BL309" s="21" t="str">
        <f ca="1">IFERROR(VLOOKUP(I309,OFFSET(abbreviation[],0,ColumnLanguage),ColumnAbbreviation,FALSE),"")</f>
        <v/>
      </c>
      <c r="BM309" s="21" t="str">
        <f ca="1">IFERROR(VLOOKUP(K309,OFFSET(abbreviation[],0,ColumnLanguage),ColumnAbbreviation,FALSE),"")</f>
        <v/>
      </c>
      <c r="BN309" s="21" t="str">
        <f t="shared" ca="1" si="28"/>
        <v/>
      </c>
      <c r="BO309" s="21" t="str">
        <f ca="1">IFERROR(VLOOKUP(N309,OFFSET(abbreviation[],0,ColumnLanguage),ColumnAbbreviation,FALSE),"")</f>
        <v/>
      </c>
      <c r="BP309" s="21" t="str">
        <f ca="1">IFERROR(VLOOKUP(P309,OFFSET(abbreviation[],0,ColumnLanguage),ColumnAbbreviation,FALSE),"")</f>
        <v/>
      </c>
      <c r="BQ309" s="21" t="str">
        <f ca="1">IFERROR(VLOOKUP(T309,OFFSET(abbreviation[],0,ColumnLanguage),ColumnAbbreviation,FALSE),"")</f>
        <v/>
      </c>
      <c r="BR309" s="21" t="str">
        <f ca="1">IFERROR(VLOOKUP(V309,OFFSET(abbreviation[],0,ColumnLanguage),ColumnAbbreviation,FALSE),"")</f>
        <v/>
      </c>
      <c r="BS309" s="21" t="str">
        <f ca="1">IFERROR(VLOOKUP(Z309,OFFSET(abbreviation[],0,ColumnLanguage),ColumnAbbreviation,FALSE),"")</f>
        <v/>
      </c>
      <c r="BT309" s="21" t="str">
        <f ca="1">IFERROR(VLOOKUP(AB309,OFFSET(abbreviation[],0,ColumnLanguage),ColumnAbbreviation,FALSE),"")</f>
        <v/>
      </c>
      <c r="BU309" s="21" t="str">
        <f t="shared" ca="1" si="29"/>
        <v>__</v>
      </c>
      <c r="BV309" s="21" t="str">
        <f ca="1">IFERROR(VLOOKUP(AF309,OFFSET(abbreviation[],0,ColumnLanguage),ColumnAbbreviation,FALSE),"")</f>
        <v/>
      </c>
      <c r="BW309" s="21" t="str">
        <f ca="1">IFERROR(VLOOKUP(AH309,OFFSET(abbreviation[],0,ColumnLanguage),ColumnAbbreviation,FALSE),"")</f>
        <v/>
      </c>
      <c r="BX309" s="21" t="str">
        <f ca="1">IFERROR(VLOOKUP(AJ309,OFFSET(abbreviation[],0,ColumnLanguage),ColumnAbbreviation,FALSE),"")</f>
        <v/>
      </c>
      <c r="BY309" s="21" t="str">
        <f ca="1">IFERROR(VLOOKUP(AL309,OFFSET(abbreviation[],0,ColumnLanguage),ColumnAbbreviation,FALSE),"")</f>
        <v/>
      </c>
      <c r="BZ309" s="21" t="str">
        <f t="shared" ca="1" si="30"/>
        <v>_</v>
      </c>
      <c r="CA309" s="21" t="str">
        <f ca="1">IFERROR(VLOOKUP(AP309,OFFSET(abbreviation[],0,ColumnLanguage),ColumnAbbreviation,FALSE),"")</f>
        <v/>
      </c>
      <c r="CB309" s="21" t="str">
        <f ca="1">IFERROR(VLOOKUP(AR309,OFFSET(abbreviation[],0,ColumnLanguage),ColumnAbbreviation,FALSE),"")</f>
        <v/>
      </c>
      <c r="CC309" s="21" t="str">
        <f ca="1">IFERROR(VLOOKUP(AT309,OFFSET(abbreviation[],0,ColumnLanguage),ColumnAbbreviation,FALSE),"")</f>
        <v/>
      </c>
      <c r="CD309" s="21" t="str">
        <f ca="1">IFERROR(VLOOKUP(AV309,OFFSET(abbreviation[],0,ColumnLanguage),ColumnAbbreviation,FALSE),"")</f>
        <v/>
      </c>
      <c r="CE309" s="21" t="str">
        <f t="shared" ca="1" si="31"/>
        <v>__</v>
      </c>
      <c r="CF309" s="21" t="str">
        <f ca="1">IFERROR(VLOOKUP(AX309,OFFSET(abbreviation[],0,ColumnLanguage),ColumnAbbreviation,FALSE),"")</f>
        <v/>
      </c>
      <c r="CG309" s="21" t="str">
        <f ca="1">IFERROR(VLOOKUP(AZ309,OFFSET(abbreviation[],0,ColumnLanguage),ColumnAbbreviation,FALSE),"")</f>
        <v/>
      </c>
      <c r="CH309" s="21" t="str">
        <f ca="1">IFERROR(VLOOKUP(BB309,OFFSET(abbreviation[],0,ColumnLanguage),ColumnAbbreviation,FALSE),"")</f>
        <v/>
      </c>
      <c r="CI309" s="21" t="str">
        <f ca="1">IFERROR(VLOOKUP(BD309,OFFSET(abbreviation[],0,ColumnLanguage),ColumnAbbreviation,FALSE),"")</f>
        <v/>
      </c>
      <c r="CJ309" s="21" t="str">
        <f ca="1">IFERROR(VLOOKUP(BF309,OFFSET(abbreviation[],0,ColumnLanguage),ColumnAbbreviation,FALSE),"")</f>
        <v/>
      </c>
      <c r="CK309" s="21" t="str">
        <f t="shared" ca="1" si="32"/>
        <v/>
      </c>
      <c r="CL309" s="21" t="str">
        <f t="shared" si="33"/>
        <v/>
      </c>
      <c r="CM309" s="52"/>
      <c r="CN309" s="57" t="str">
        <f t="shared" si="34"/>
        <v/>
      </c>
    </row>
    <row r="310" spans="16:92" x14ac:dyDescent="0.25">
      <c r="P310" s="60"/>
      <c r="Q310" s="13"/>
      <c r="V310" s="60"/>
      <c r="X310" s="61"/>
      <c r="AB310" s="60"/>
      <c r="AN310" s="54"/>
      <c r="AS310" s="15"/>
      <c r="BH310" s="52"/>
      <c r="BI310" s="21" t="str">
        <f ca="1">IFERROR(VLOOKUP(C310,OFFSET(abbreviation[],0,ColumnLanguage),ColumnAbbreviation,FALSE),"")</f>
        <v/>
      </c>
      <c r="BJ310" s="21" t="str">
        <f ca="1">IFERROR(VLOOKUP(E310,OFFSET(abbreviation[],0,ColumnLanguage),ColumnAbbreviation,FALSE),"")</f>
        <v/>
      </c>
      <c r="BK310" s="21" t="str">
        <f ca="1">IFERROR(VLOOKUP(G310,OFFSET(abbreviation[],0,ColumnLanguage),ColumnAbbreviation,FALSE),"")</f>
        <v/>
      </c>
      <c r="BL310" s="21" t="str">
        <f ca="1">IFERROR(VLOOKUP(I310,OFFSET(abbreviation[],0,ColumnLanguage),ColumnAbbreviation,FALSE),"")</f>
        <v/>
      </c>
      <c r="BM310" s="21" t="str">
        <f ca="1">IFERROR(VLOOKUP(K310,OFFSET(abbreviation[],0,ColumnLanguage),ColumnAbbreviation,FALSE),"")</f>
        <v/>
      </c>
      <c r="BN310" s="21" t="str">
        <f t="shared" ca="1" si="28"/>
        <v/>
      </c>
      <c r="BO310" s="21" t="str">
        <f ca="1">IFERROR(VLOOKUP(N310,OFFSET(abbreviation[],0,ColumnLanguage),ColumnAbbreviation,FALSE),"")</f>
        <v/>
      </c>
      <c r="BP310" s="21" t="str">
        <f ca="1">IFERROR(VLOOKUP(P310,OFFSET(abbreviation[],0,ColumnLanguage),ColumnAbbreviation,FALSE),"")</f>
        <v/>
      </c>
      <c r="BQ310" s="21" t="str">
        <f ca="1">IFERROR(VLOOKUP(T310,OFFSET(abbreviation[],0,ColumnLanguage),ColumnAbbreviation,FALSE),"")</f>
        <v/>
      </c>
      <c r="BR310" s="21" t="str">
        <f ca="1">IFERROR(VLOOKUP(V310,OFFSET(abbreviation[],0,ColumnLanguage),ColumnAbbreviation,FALSE),"")</f>
        <v/>
      </c>
      <c r="BS310" s="21" t="str">
        <f ca="1">IFERROR(VLOOKUP(Z310,OFFSET(abbreviation[],0,ColumnLanguage),ColumnAbbreviation,FALSE),"")</f>
        <v/>
      </c>
      <c r="BT310" s="21" t="str">
        <f ca="1">IFERROR(VLOOKUP(AB310,OFFSET(abbreviation[],0,ColumnLanguage),ColumnAbbreviation,FALSE),"")</f>
        <v/>
      </c>
      <c r="BU310" s="21" t="str">
        <f t="shared" ca="1" si="29"/>
        <v>__</v>
      </c>
      <c r="BV310" s="21" t="str">
        <f ca="1">IFERROR(VLOOKUP(AF310,OFFSET(abbreviation[],0,ColumnLanguage),ColumnAbbreviation,FALSE),"")</f>
        <v/>
      </c>
      <c r="BW310" s="21" t="str">
        <f ca="1">IFERROR(VLOOKUP(AH310,OFFSET(abbreviation[],0,ColumnLanguage),ColumnAbbreviation,FALSE),"")</f>
        <v/>
      </c>
      <c r="BX310" s="21" t="str">
        <f ca="1">IFERROR(VLOOKUP(AJ310,OFFSET(abbreviation[],0,ColumnLanguage),ColumnAbbreviation,FALSE),"")</f>
        <v/>
      </c>
      <c r="BY310" s="21" t="str">
        <f ca="1">IFERROR(VLOOKUP(AL310,OFFSET(abbreviation[],0,ColumnLanguage),ColumnAbbreviation,FALSE),"")</f>
        <v/>
      </c>
      <c r="BZ310" s="21" t="str">
        <f t="shared" ca="1" si="30"/>
        <v>_</v>
      </c>
      <c r="CA310" s="21" t="str">
        <f ca="1">IFERROR(VLOOKUP(AP310,OFFSET(abbreviation[],0,ColumnLanguage),ColumnAbbreviation,FALSE),"")</f>
        <v/>
      </c>
      <c r="CB310" s="21" t="str">
        <f ca="1">IFERROR(VLOOKUP(AR310,OFFSET(abbreviation[],0,ColumnLanguage),ColumnAbbreviation,FALSE),"")</f>
        <v/>
      </c>
      <c r="CC310" s="21" t="str">
        <f ca="1">IFERROR(VLOOKUP(AT310,OFFSET(abbreviation[],0,ColumnLanguage),ColumnAbbreviation,FALSE),"")</f>
        <v/>
      </c>
      <c r="CD310" s="21" t="str">
        <f ca="1">IFERROR(VLOOKUP(AV310,OFFSET(abbreviation[],0,ColumnLanguage),ColumnAbbreviation,FALSE),"")</f>
        <v/>
      </c>
      <c r="CE310" s="21" t="str">
        <f t="shared" ca="1" si="31"/>
        <v>__</v>
      </c>
      <c r="CF310" s="21" t="str">
        <f ca="1">IFERROR(VLOOKUP(AX310,OFFSET(abbreviation[],0,ColumnLanguage),ColumnAbbreviation,FALSE),"")</f>
        <v/>
      </c>
      <c r="CG310" s="21" t="str">
        <f ca="1">IFERROR(VLOOKUP(AZ310,OFFSET(abbreviation[],0,ColumnLanguage),ColumnAbbreviation,FALSE),"")</f>
        <v/>
      </c>
      <c r="CH310" s="21" t="str">
        <f ca="1">IFERROR(VLOOKUP(BB310,OFFSET(abbreviation[],0,ColumnLanguage),ColumnAbbreviation,FALSE),"")</f>
        <v/>
      </c>
      <c r="CI310" s="21" t="str">
        <f ca="1">IFERROR(VLOOKUP(BD310,OFFSET(abbreviation[],0,ColumnLanguage),ColumnAbbreviation,FALSE),"")</f>
        <v/>
      </c>
      <c r="CJ310" s="21" t="str">
        <f ca="1">IFERROR(VLOOKUP(BF310,OFFSET(abbreviation[],0,ColumnLanguage),ColumnAbbreviation,FALSE),"")</f>
        <v/>
      </c>
      <c r="CK310" s="21" t="str">
        <f t="shared" ca="1" si="32"/>
        <v/>
      </c>
      <c r="CL310" s="21" t="str">
        <f t="shared" si="33"/>
        <v/>
      </c>
      <c r="CM310" s="52"/>
      <c r="CN310" s="57" t="str">
        <f t="shared" si="34"/>
        <v/>
      </c>
    </row>
    <row r="311" spans="16:92" x14ac:dyDescent="0.25">
      <c r="P311" s="60"/>
      <c r="Q311" s="13"/>
      <c r="V311" s="60"/>
      <c r="X311" s="61"/>
      <c r="AB311" s="60"/>
      <c r="AN311" s="54"/>
      <c r="AS311" s="15"/>
      <c r="BH311" s="52"/>
      <c r="BI311" s="21" t="str">
        <f ca="1">IFERROR(VLOOKUP(C311,OFFSET(abbreviation[],0,ColumnLanguage),ColumnAbbreviation,FALSE),"")</f>
        <v/>
      </c>
      <c r="BJ311" s="21" t="str">
        <f ca="1">IFERROR(VLOOKUP(E311,OFFSET(abbreviation[],0,ColumnLanguage),ColumnAbbreviation,FALSE),"")</f>
        <v/>
      </c>
      <c r="BK311" s="21" t="str">
        <f ca="1">IFERROR(VLOOKUP(G311,OFFSET(abbreviation[],0,ColumnLanguage),ColumnAbbreviation,FALSE),"")</f>
        <v/>
      </c>
      <c r="BL311" s="21" t="str">
        <f ca="1">IFERROR(VLOOKUP(I311,OFFSET(abbreviation[],0,ColumnLanguage),ColumnAbbreviation,FALSE),"")</f>
        <v/>
      </c>
      <c r="BM311" s="21" t="str">
        <f ca="1">IFERROR(VLOOKUP(K311,OFFSET(abbreviation[],0,ColumnLanguage),ColumnAbbreviation,FALSE),"")</f>
        <v/>
      </c>
      <c r="BN311" s="21" t="str">
        <f t="shared" ca="1" si="28"/>
        <v/>
      </c>
      <c r="BO311" s="21" t="str">
        <f ca="1">IFERROR(VLOOKUP(N311,OFFSET(abbreviation[],0,ColumnLanguage),ColumnAbbreviation,FALSE),"")</f>
        <v/>
      </c>
      <c r="BP311" s="21" t="str">
        <f ca="1">IFERROR(VLOOKUP(P311,OFFSET(abbreviation[],0,ColumnLanguage),ColumnAbbreviation,FALSE),"")</f>
        <v/>
      </c>
      <c r="BQ311" s="21" t="str">
        <f ca="1">IFERROR(VLOOKUP(T311,OFFSET(abbreviation[],0,ColumnLanguage),ColumnAbbreviation,FALSE),"")</f>
        <v/>
      </c>
      <c r="BR311" s="21" t="str">
        <f ca="1">IFERROR(VLOOKUP(V311,OFFSET(abbreviation[],0,ColumnLanguage),ColumnAbbreviation,FALSE),"")</f>
        <v/>
      </c>
      <c r="BS311" s="21" t="str">
        <f ca="1">IFERROR(VLOOKUP(Z311,OFFSET(abbreviation[],0,ColumnLanguage),ColumnAbbreviation,FALSE),"")</f>
        <v/>
      </c>
      <c r="BT311" s="21" t="str">
        <f ca="1">IFERROR(VLOOKUP(AB311,OFFSET(abbreviation[],0,ColumnLanguage),ColumnAbbreviation,FALSE),"")</f>
        <v/>
      </c>
      <c r="BU311" s="21" t="str">
        <f t="shared" ca="1" si="29"/>
        <v>__</v>
      </c>
      <c r="BV311" s="21" t="str">
        <f ca="1">IFERROR(VLOOKUP(AF311,OFFSET(abbreviation[],0,ColumnLanguage),ColumnAbbreviation,FALSE),"")</f>
        <v/>
      </c>
      <c r="BW311" s="21" t="str">
        <f ca="1">IFERROR(VLOOKUP(AH311,OFFSET(abbreviation[],0,ColumnLanguage),ColumnAbbreviation,FALSE),"")</f>
        <v/>
      </c>
      <c r="BX311" s="21" t="str">
        <f ca="1">IFERROR(VLOOKUP(AJ311,OFFSET(abbreviation[],0,ColumnLanguage),ColumnAbbreviation,FALSE),"")</f>
        <v/>
      </c>
      <c r="BY311" s="21" t="str">
        <f ca="1">IFERROR(VLOOKUP(AL311,OFFSET(abbreviation[],0,ColumnLanguage),ColumnAbbreviation,FALSE),"")</f>
        <v/>
      </c>
      <c r="BZ311" s="21" t="str">
        <f t="shared" ca="1" si="30"/>
        <v>_</v>
      </c>
      <c r="CA311" s="21" t="str">
        <f ca="1">IFERROR(VLOOKUP(AP311,OFFSET(abbreviation[],0,ColumnLanguage),ColumnAbbreviation,FALSE),"")</f>
        <v/>
      </c>
      <c r="CB311" s="21" t="str">
        <f ca="1">IFERROR(VLOOKUP(AR311,OFFSET(abbreviation[],0,ColumnLanguage),ColumnAbbreviation,FALSE),"")</f>
        <v/>
      </c>
      <c r="CC311" s="21" t="str">
        <f ca="1">IFERROR(VLOOKUP(AT311,OFFSET(abbreviation[],0,ColumnLanguage),ColumnAbbreviation,FALSE),"")</f>
        <v/>
      </c>
      <c r="CD311" s="21" t="str">
        <f ca="1">IFERROR(VLOOKUP(AV311,OFFSET(abbreviation[],0,ColumnLanguage),ColumnAbbreviation,FALSE),"")</f>
        <v/>
      </c>
      <c r="CE311" s="21" t="str">
        <f t="shared" ca="1" si="31"/>
        <v>__</v>
      </c>
      <c r="CF311" s="21" t="str">
        <f ca="1">IFERROR(VLOOKUP(AX311,OFFSET(abbreviation[],0,ColumnLanguage),ColumnAbbreviation,FALSE),"")</f>
        <v/>
      </c>
      <c r="CG311" s="21" t="str">
        <f ca="1">IFERROR(VLOOKUP(AZ311,OFFSET(abbreviation[],0,ColumnLanguage),ColumnAbbreviation,FALSE),"")</f>
        <v/>
      </c>
      <c r="CH311" s="21" t="str">
        <f ca="1">IFERROR(VLOOKUP(BB311,OFFSET(abbreviation[],0,ColumnLanguage),ColumnAbbreviation,FALSE),"")</f>
        <v/>
      </c>
      <c r="CI311" s="21" t="str">
        <f ca="1">IFERROR(VLOOKUP(BD311,OFFSET(abbreviation[],0,ColumnLanguage),ColumnAbbreviation,FALSE),"")</f>
        <v/>
      </c>
      <c r="CJ311" s="21" t="str">
        <f ca="1">IFERROR(VLOOKUP(BF311,OFFSET(abbreviation[],0,ColumnLanguage),ColumnAbbreviation,FALSE),"")</f>
        <v/>
      </c>
      <c r="CK311" s="21" t="str">
        <f t="shared" ca="1" si="32"/>
        <v/>
      </c>
      <c r="CL311" s="21" t="str">
        <f t="shared" si="33"/>
        <v/>
      </c>
      <c r="CM311" s="52"/>
      <c r="CN311" s="57" t="str">
        <f t="shared" si="34"/>
        <v/>
      </c>
    </row>
    <row r="312" spans="16:92" x14ac:dyDescent="0.25">
      <c r="P312" s="60"/>
      <c r="Q312" s="13"/>
      <c r="V312" s="60"/>
      <c r="X312" s="61"/>
      <c r="AB312" s="60"/>
      <c r="AN312" s="54"/>
      <c r="AS312" s="15"/>
      <c r="BH312" s="52"/>
      <c r="BI312" s="21" t="str">
        <f ca="1">IFERROR(VLOOKUP(C312,OFFSET(abbreviation[],0,ColumnLanguage),ColumnAbbreviation,FALSE),"")</f>
        <v/>
      </c>
      <c r="BJ312" s="21" t="str">
        <f ca="1">IFERROR(VLOOKUP(E312,OFFSET(abbreviation[],0,ColumnLanguage),ColumnAbbreviation,FALSE),"")</f>
        <v/>
      </c>
      <c r="BK312" s="21" t="str">
        <f ca="1">IFERROR(VLOOKUP(G312,OFFSET(abbreviation[],0,ColumnLanguage),ColumnAbbreviation,FALSE),"")</f>
        <v/>
      </c>
      <c r="BL312" s="21" t="str">
        <f ca="1">IFERROR(VLOOKUP(I312,OFFSET(abbreviation[],0,ColumnLanguage),ColumnAbbreviation,FALSE),"")</f>
        <v/>
      </c>
      <c r="BM312" s="21" t="str">
        <f ca="1">IFERROR(VLOOKUP(K312,OFFSET(abbreviation[],0,ColumnLanguage),ColumnAbbreviation,FALSE),"")</f>
        <v/>
      </c>
      <c r="BN312" s="21" t="str">
        <f t="shared" ca="1" si="28"/>
        <v/>
      </c>
      <c r="BO312" s="21" t="str">
        <f ca="1">IFERROR(VLOOKUP(N312,OFFSET(abbreviation[],0,ColumnLanguage),ColumnAbbreviation,FALSE),"")</f>
        <v/>
      </c>
      <c r="BP312" s="21" t="str">
        <f ca="1">IFERROR(VLOOKUP(P312,OFFSET(abbreviation[],0,ColumnLanguage),ColumnAbbreviation,FALSE),"")</f>
        <v/>
      </c>
      <c r="BQ312" s="21" t="str">
        <f ca="1">IFERROR(VLOOKUP(T312,OFFSET(abbreviation[],0,ColumnLanguage),ColumnAbbreviation,FALSE),"")</f>
        <v/>
      </c>
      <c r="BR312" s="21" t="str">
        <f ca="1">IFERROR(VLOOKUP(V312,OFFSET(abbreviation[],0,ColumnLanguage),ColumnAbbreviation,FALSE),"")</f>
        <v/>
      </c>
      <c r="BS312" s="21" t="str">
        <f ca="1">IFERROR(VLOOKUP(Z312,OFFSET(abbreviation[],0,ColumnLanguage),ColumnAbbreviation,FALSE),"")</f>
        <v/>
      </c>
      <c r="BT312" s="21" t="str">
        <f ca="1">IFERROR(VLOOKUP(AB312,OFFSET(abbreviation[],0,ColumnLanguage),ColumnAbbreviation,FALSE),"")</f>
        <v/>
      </c>
      <c r="BU312" s="21" t="str">
        <f t="shared" ca="1" si="29"/>
        <v>__</v>
      </c>
      <c r="BV312" s="21" t="str">
        <f ca="1">IFERROR(VLOOKUP(AF312,OFFSET(abbreviation[],0,ColumnLanguage),ColumnAbbreviation,FALSE),"")</f>
        <v/>
      </c>
      <c r="BW312" s="21" t="str">
        <f ca="1">IFERROR(VLOOKUP(AH312,OFFSET(abbreviation[],0,ColumnLanguage),ColumnAbbreviation,FALSE),"")</f>
        <v/>
      </c>
      <c r="BX312" s="21" t="str">
        <f ca="1">IFERROR(VLOOKUP(AJ312,OFFSET(abbreviation[],0,ColumnLanguage),ColumnAbbreviation,FALSE),"")</f>
        <v/>
      </c>
      <c r="BY312" s="21" t="str">
        <f ca="1">IFERROR(VLOOKUP(AL312,OFFSET(abbreviation[],0,ColumnLanguage),ColumnAbbreviation,FALSE),"")</f>
        <v/>
      </c>
      <c r="BZ312" s="21" t="str">
        <f t="shared" ca="1" si="30"/>
        <v>_</v>
      </c>
      <c r="CA312" s="21" t="str">
        <f ca="1">IFERROR(VLOOKUP(AP312,OFFSET(abbreviation[],0,ColumnLanguage),ColumnAbbreviation,FALSE),"")</f>
        <v/>
      </c>
      <c r="CB312" s="21" t="str">
        <f ca="1">IFERROR(VLOOKUP(AR312,OFFSET(abbreviation[],0,ColumnLanguage),ColumnAbbreviation,FALSE),"")</f>
        <v/>
      </c>
      <c r="CC312" s="21" t="str">
        <f ca="1">IFERROR(VLOOKUP(AT312,OFFSET(abbreviation[],0,ColumnLanguage),ColumnAbbreviation,FALSE),"")</f>
        <v/>
      </c>
      <c r="CD312" s="21" t="str">
        <f ca="1">IFERROR(VLOOKUP(AV312,OFFSET(abbreviation[],0,ColumnLanguage),ColumnAbbreviation,FALSE),"")</f>
        <v/>
      </c>
      <c r="CE312" s="21" t="str">
        <f t="shared" ca="1" si="31"/>
        <v>__</v>
      </c>
      <c r="CF312" s="21" t="str">
        <f ca="1">IFERROR(VLOOKUP(AX312,OFFSET(abbreviation[],0,ColumnLanguage),ColumnAbbreviation,FALSE),"")</f>
        <v/>
      </c>
      <c r="CG312" s="21" t="str">
        <f ca="1">IFERROR(VLOOKUP(AZ312,OFFSET(abbreviation[],0,ColumnLanguage),ColumnAbbreviation,FALSE),"")</f>
        <v/>
      </c>
      <c r="CH312" s="21" t="str">
        <f ca="1">IFERROR(VLOOKUP(BB312,OFFSET(abbreviation[],0,ColumnLanguage),ColumnAbbreviation,FALSE),"")</f>
        <v/>
      </c>
      <c r="CI312" s="21" t="str">
        <f ca="1">IFERROR(VLOOKUP(BD312,OFFSET(abbreviation[],0,ColumnLanguage),ColumnAbbreviation,FALSE),"")</f>
        <v/>
      </c>
      <c r="CJ312" s="21" t="str">
        <f ca="1">IFERROR(VLOOKUP(BF312,OFFSET(abbreviation[],0,ColumnLanguage),ColumnAbbreviation,FALSE),"")</f>
        <v/>
      </c>
      <c r="CK312" s="21" t="str">
        <f t="shared" ca="1" si="32"/>
        <v/>
      </c>
      <c r="CL312" s="21" t="str">
        <f t="shared" si="33"/>
        <v/>
      </c>
      <c r="CM312" s="52"/>
      <c r="CN312" s="57" t="str">
        <f t="shared" si="34"/>
        <v/>
      </c>
    </row>
    <row r="313" spans="16:92" x14ac:dyDescent="0.25">
      <c r="P313" s="60"/>
      <c r="Q313" s="13"/>
      <c r="V313" s="60"/>
      <c r="X313" s="61"/>
      <c r="AB313" s="60"/>
      <c r="AN313" s="54"/>
      <c r="AS313" s="15"/>
      <c r="BH313" s="52"/>
      <c r="BI313" s="21" t="str">
        <f ca="1">IFERROR(VLOOKUP(C313,OFFSET(abbreviation[],0,ColumnLanguage),ColumnAbbreviation,FALSE),"")</f>
        <v/>
      </c>
      <c r="BJ313" s="21" t="str">
        <f ca="1">IFERROR(VLOOKUP(E313,OFFSET(abbreviation[],0,ColumnLanguage),ColumnAbbreviation,FALSE),"")</f>
        <v/>
      </c>
      <c r="BK313" s="21" t="str">
        <f ca="1">IFERROR(VLOOKUP(G313,OFFSET(abbreviation[],0,ColumnLanguage),ColumnAbbreviation,FALSE),"")</f>
        <v/>
      </c>
      <c r="BL313" s="21" t="str">
        <f ca="1">IFERROR(VLOOKUP(I313,OFFSET(abbreviation[],0,ColumnLanguage),ColumnAbbreviation,FALSE),"")</f>
        <v/>
      </c>
      <c r="BM313" s="21" t="str">
        <f ca="1">IFERROR(VLOOKUP(K313,OFFSET(abbreviation[],0,ColumnLanguage),ColumnAbbreviation,FALSE),"")</f>
        <v/>
      </c>
      <c r="BN313" s="21" t="str">
        <f t="shared" ca="1" si="28"/>
        <v/>
      </c>
      <c r="BO313" s="21" t="str">
        <f ca="1">IFERROR(VLOOKUP(N313,OFFSET(abbreviation[],0,ColumnLanguage),ColumnAbbreviation,FALSE),"")</f>
        <v/>
      </c>
      <c r="BP313" s="21" t="str">
        <f ca="1">IFERROR(VLOOKUP(P313,OFFSET(abbreviation[],0,ColumnLanguage),ColumnAbbreviation,FALSE),"")</f>
        <v/>
      </c>
      <c r="BQ313" s="21" t="str">
        <f ca="1">IFERROR(VLOOKUP(T313,OFFSET(abbreviation[],0,ColumnLanguage),ColumnAbbreviation,FALSE),"")</f>
        <v/>
      </c>
      <c r="BR313" s="21" t="str">
        <f ca="1">IFERROR(VLOOKUP(V313,OFFSET(abbreviation[],0,ColumnLanguage),ColumnAbbreviation,FALSE),"")</f>
        <v/>
      </c>
      <c r="BS313" s="21" t="str">
        <f ca="1">IFERROR(VLOOKUP(Z313,OFFSET(abbreviation[],0,ColumnLanguage),ColumnAbbreviation,FALSE),"")</f>
        <v/>
      </c>
      <c r="BT313" s="21" t="str">
        <f ca="1">IFERROR(VLOOKUP(AB313,OFFSET(abbreviation[],0,ColumnLanguage),ColumnAbbreviation,FALSE),"")</f>
        <v/>
      </c>
      <c r="BU313" s="21" t="str">
        <f t="shared" ca="1" si="29"/>
        <v>__</v>
      </c>
      <c r="BV313" s="21" t="str">
        <f ca="1">IFERROR(VLOOKUP(AF313,OFFSET(abbreviation[],0,ColumnLanguage),ColumnAbbreviation,FALSE),"")</f>
        <v/>
      </c>
      <c r="BW313" s="21" t="str">
        <f ca="1">IFERROR(VLOOKUP(AH313,OFFSET(abbreviation[],0,ColumnLanguage),ColumnAbbreviation,FALSE),"")</f>
        <v/>
      </c>
      <c r="BX313" s="21" t="str">
        <f ca="1">IFERROR(VLOOKUP(AJ313,OFFSET(abbreviation[],0,ColumnLanguage),ColumnAbbreviation,FALSE),"")</f>
        <v/>
      </c>
      <c r="BY313" s="21" t="str">
        <f ca="1">IFERROR(VLOOKUP(AL313,OFFSET(abbreviation[],0,ColumnLanguage),ColumnAbbreviation,FALSE),"")</f>
        <v/>
      </c>
      <c r="BZ313" s="21" t="str">
        <f t="shared" ca="1" si="30"/>
        <v>_</v>
      </c>
      <c r="CA313" s="21" t="str">
        <f ca="1">IFERROR(VLOOKUP(AP313,OFFSET(abbreviation[],0,ColumnLanguage),ColumnAbbreviation,FALSE),"")</f>
        <v/>
      </c>
      <c r="CB313" s="21" t="str">
        <f ca="1">IFERROR(VLOOKUP(AR313,OFFSET(abbreviation[],0,ColumnLanguage),ColumnAbbreviation,FALSE),"")</f>
        <v/>
      </c>
      <c r="CC313" s="21" t="str">
        <f ca="1">IFERROR(VLOOKUP(AT313,OFFSET(abbreviation[],0,ColumnLanguage),ColumnAbbreviation,FALSE),"")</f>
        <v/>
      </c>
      <c r="CD313" s="21" t="str">
        <f ca="1">IFERROR(VLOOKUP(AV313,OFFSET(abbreviation[],0,ColumnLanguage),ColumnAbbreviation,FALSE),"")</f>
        <v/>
      </c>
      <c r="CE313" s="21" t="str">
        <f t="shared" ca="1" si="31"/>
        <v>__</v>
      </c>
      <c r="CF313" s="21" t="str">
        <f ca="1">IFERROR(VLOOKUP(AX313,OFFSET(abbreviation[],0,ColumnLanguage),ColumnAbbreviation,FALSE),"")</f>
        <v/>
      </c>
      <c r="CG313" s="21" t="str">
        <f ca="1">IFERROR(VLOOKUP(AZ313,OFFSET(abbreviation[],0,ColumnLanguage),ColumnAbbreviation,FALSE),"")</f>
        <v/>
      </c>
      <c r="CH313" s="21" t="str">
        <f ca="1">IFERROR(VLOOKUP(BB313,OFFSET(abbreviation[],0,ColumnLanguage),ColumnAbbreviation,FALSE),"")</f>
        <v/>
      </c>
      <c r="CI313" s="21" t="str">
        <f ca="1">IFERROR(VLOOKUP(BD313,OFFSET(abbreviation[],0,ColumnLanguage),ColumnAbbreviation,FALSE),"")</f>
        <v/>
      </c>
      <c r="CJ313" s="21" t="str">
        <f ca="1">IFERROR(VLOOKUP(BF313,OFFSET(abbreviation[],0,ColumnLanguage),ColumnAbbreviation,FALSE),"")</f>
        <v/>
      </c>
      <c r="CK313" s="21" t="str">
        <f t="shared" ca="1" si="32"/>
        <v/>
      </c>
      <c r="CL313" s="21" t="str">
        <f t="shared" si="33"/>
        <v/>
      </c>
      <c r="CM313" s="52"/>
      <c r="CN313" s="57" t="str">
        <f t="shared" si="34"/>
        <v/>
      </c>
    </row>
    <row r="314" spans="16:92" x14ac:dyDescent="0.25">
      <c r="P314" s="60"/>
      <c r="Q314" s="13"/>
      <c r="V314" s="60"/>
      <c r="X314" s="61"/>
      <c r="AB314" s="60"/>
      <c r="AN314" s="54"/>
      <c r="AS314" s="15"/>
      <c r="BH314" s="52"/>
      <c r="BI314" s="21" t="str">
        <f ca="1">IFERROR(VLOOKUP(C314,OFFSET(abbreviation[],0,ColumnLanguage),ColumnAbbreviation,FALSE),"")</f>
        <v/>
      </c>
      <c r="BJ314" s="21" t="str">
        <f ca="1">IFERROR(VLOOKUP(E314,OFFSET(abbreviation[],0,ColumnLanguage),ColumnAbbreviation,FALSE),"")</f>
        <v/>
      </c>
      <c r="BK314" s="21" t="str">
        <f ca="1">IFERROR(VLOOKUP(G314,OFFSET(abbreviation[],0,ColumnLanguage),ColumnAbbreviation,FALSE),"")</f>
        <v/>
      </c>
      <c r="BL314" s="21" t="str">
        <f ca="1">IFERROR(VLOOKUP(I314,OFFSET(abbreviation[],0,ColumnLanguage),ColumnAbbreviation,FALSE),"")</f>
        <v/>
      </c>
      <c r="BM314" s="21" t="str">
        <f ca="1">IFERROR(VLOOKUP(K314,OFFSET(abbreviation[],0,ColumnLanguage),ColumnAbbreviation,FALSE),"")</f>
        <v/>
      </c>
      <c r="BN314" s="21" t="str">
        <f t="shared" ca="1" si="28"/>
        <v/>
      </c>
      <c r="BO314" s="21" t="str">
        <f ca="1">IFERROR(VLOOKUP(N314,OFFSET(abbreviation[],0,ColumnLanguage),ColumnAbbreviation,FALSE),"")</f>
        <v/>
      </c>
      <c r="BP314" s="21" t="str">
        <f ca="1">IFERROR(VLOOKUP(P314,OFFSET(abbreviation[],0,ColumnLanguage),ColumnAbbreviation,FALSE),"")</f>
        <v/>
      </c>
      <c r="BQ314" s="21" t="str">
        <f ca="1">IFERROR(VLOOKUP(T314,OFFSET(abbreviation[],0,ColumnLanguage),ColumnAbbreviation,FALSE),"")</f>
        <v/>
      </c>
      <c r="BR314" s="21" t="str">
        <f ca="1">IFERROR(VLOOKUP(V314,OFFSET(abbreviation[],0,ColumnLanguage),ColumnAbbreviation,FALSE),"")</f>
        <v/>
      </c>
      <c r="BS314" s="21" t="str">
        <f ca="1">IFERROR(VLOOKUP(Z314,OFFSET(abbreviation[],0,ColumnLanguage),ColumnAbbreviation,FALSE),"")</f>
        <v/>
      </c>
      <c r="BT314" s="21" t="str">
        <f ca="1">IFERROR(VLOOKUP(AB314,OFFSET(abbreviation[],0,ColumnLanguage),ColumnAbbreviation,FALSE),"")</f>
        <v/>
      </c>
      <c r="BU314" s="21" t="str">
        <f t="shared" ca="1" si="29"/>
        <v>__</v>
      </c>
      <c r="BV314" s="21" t="str">
        <f ca="1">IFERROR(VLOOKUP(AF314,OFFSET(abbreviation[],0,ColumnLanguage),ColumnAbbreviation,FALSE),"")</f>
        <v/>
      </c>
      <c r="BW314" s="21" t="str">
        <f ca="1">IFERROR(VLOOKUP(AH314,OFFSET(abbreviation[],0,ColumnLanguage),ColumnAbbreviation,FALSE),"")</f>
        <v/>
      </c>
      <c r="BX314" s="21" t="str">
        <f ca="1">IFERROR(VLOOKUP(AJ314,OFFSET(abbreviation[],0,ColumnLanguage),ColumnAbbreviation,FALSE),"")</f>
        <v/>
      </c>
      <c r="BY314" s="21" t="str">
        <f ca="1">IFERROR(VLOOKUP(AL314,OFFSET(abbreviation[],0,ColumnLanguage),ColumnAbbreviation,FALSE),"")</f>
        <v/>
      </c>
      <c r="BZ314" s="21" t="str">
        <f t="shared" ca="1" si="30"/>
        <v>_</v>
      </c>
      <c r="CA314" s="21" t="str">
        <f ca="1">IFERROR(VLOOKUP(AP314,OFFSET(abbreviation[],0,ColumnLanguage),ColumnAbbreviation,FALSE),"")</f>
        <v/>
      </c>
      <c r="CB314" s="21" t="str">
        <f ca="1">IFERROR(VLOOKUP(AR314,OFFSET(abbreviation[],0,ColumnLanguage),ColumnAbbreviation,FALSE),"")</f>
        <v/>
      </c>
      <c r="CC314" s="21" t="str">
        <f ca="1">IFERROR(VLOOKUP(AT314,OFFSET(abbreviation[],0,ColumnLanguage),ColumnAbbreviation,FALSE),"")</f>
        <v/>
      </c>
      <c r="CD314" s="21" t="str">
        <f ca="1">IFERROR(VLOOKUP(AV314,OFFSET(abbreviation[],0,ColumnLanguage),ColumnAbbreviation,FALSE),"")</f>
        <v/>
      </c>
      <c r="CE314" s="21" t="str">
        <f t="shared" ca="1" si="31"/>
        <v>__</v>
      </c>
      <c r="CF314" s="21" t="str">
        <f ca="1">IFERROR(VLOOKUP(AX314,OFFSET(abbreviation[],0,ColumnLanguage),ColumnAbbreviation,FALSE),"")</f>
        <v/>
      </c>
      <c r="CG314" s="21" t="str">
        <f ca="1">IFERROR(VLOOKUP(AZ314,OFFSET(abbreviation[],0,ColumnLanguage),ColumnAbbreviation,FALSE),"")</f>
        <v/>
      </c>
      <c r="CH314" s="21" t="str">
        <f ca="1">IFERROR(VLOOKUP(BB314,OFFSET(abbreviation[],0,ColumnLanguage),ColumnAbbreviation,FALSE),"")</f>
        <v/>
      </c>
      <c r="CI314" s="21" t="str">
        <f ca="1">IFERROR(VLOOKUP(BD314,OFFSET(abbreviation[],0,ColumnLanguage),ColumnAbbreviation,FALSE),"")</f>
        <v/>
      </c>
      <c r="CJ314" s="21" t="str">
        <f ca="1">IFERROR(VLOOKUP(BF314,OFFSET(abbreviation[],0,ColumnLanguage),ColumnAbbreviation,FALSE),"")</f>
        <v/>
      </c>
      <c r="CK314" s="21" t="str">
        <f t="shared" ca="1" si="32"/>
        <v/>
      </c>
      <c r="CL314" s="21" t="str">
        <f t="shared" si="33"/>
        <v/>
      </c>
      <c r="CM314" s="52"/>
      <c r="CN314" s="57" t="str">
        <f t="shared" si="34"/>
        <v/>
      </c>
    </row>
    <row r="315" spans="16:92" x14ac:dyDescent="0.25">
      <c r="P315" s="60"/>
      <c r="Q315" s="13"/>
      <c r="V315" s="60"/>
      <c r="X315" s="61"/>
      <c r="AB315" s="60"/>
      <c r="AN315" s="54"/>
      <c r="AS315" s="15"/>
      <c r="BH315" s="52"/>
      <c r="BI315" s="21" t="str">
        <f ca="1">IFERROR(VLOOKUP(C315,OFFSET(abbreviation[],0,ColumnLanguage),ColumnAbbreviation,FALSE),"")</f>
        <v/>
      </c>
      <c r="BJ315" s="21" t="str">
        <f ca="1">IFERROR(VLOOKUP(E315,OFFSET(abbreviation[],0,ColumnLanguage),ColumnAbbreviation,FALSE),"")</f>
        <v/>
      </c>
      <c r="BK315" s="21" t="str">
        <f ca="1">IFERROR(VLOOKUP(G315,OFFSET(abbreviation[],0,ColumnLanguage),ColumnAbbreviation,FALSE),"")</f>
        <v/>
      </c>
      <c r="BL315" s="21" t="str">
        <f ca="1">IFERROR(VLOOKUP(I315,OFFSET(abbreviation[],0,ColumnLanguage),ColumnAbbreviation,FALSE),"")</f>
        <v/>
      </c>
      <c r="BM315" s="21" t="str">
        <f ca="1">IFERROR(VLOOKUP(K315,OFFSET(abbreviation[],0,ColumnLanguage),ColumnAbbreviation,FALSE),"")</f>
        <v/>
      </c>
      <c r="BN315" s="21" t="str">
        <f t="shared" ca="1" si="28"/>
        <v/>
      </c>
      <c r="BO315" s="21" t="str">
        <f ca="1">IFERROR(VLOOKUP(N315,OFFSET(abbreviation[],0,ColumnLanguage),ColumnAbbreviation,FALSE),"")</f>
        <v/>
      </c>
      <c r="BP315" s="21" t="str">
        <f ca="1">IFERROR(VLOOKUP(P315,OFFSET(abbreviation[],0,ColumnLanguage),ColumnAbbreviation,FALSE),"")</f>
        <v/>
      </c>
      <c r="BQ315" s="21" t="str">
        <f ca="1">IFERROR(VLOOKUP(T315,OFFSET(abbreviation[],0,ColumnLanguage),ColumnAbbreviation,FALSE),"")</f>
        <v/>
      </c>
      <c r="BR315" s="21" t="str">
        <f ca="1">IFERROR(VLOOKUP(V315,OFFSET(abbreviation[],0,ColumnLanguage),ColumnAbbreviation,FALSE),"")</f>
        <v/>
      </c>
      <c r="BS315" s="21" t="str">
        <f ca="1">IFERROR(VLOOKUP(Z315,OFFSET(abbreviation[],0,ColumnLanguage),ColumnAbbreviation,FALSE),"")</f>
        <v/>
      </c>
      <c r="BT315" s="21" t="str">
        <f ca="1">IFERROR(VLOOKUP(AB315,OFFSET(abbreviation[],0,ColumnLanguage),ColumnAbbreviation,FALSE),"")</f>
        <v/>
      </c>
      <c r="BU315" s="21" t="str">
        <f t="shared" ca="1" si="29"/>
        <v>__</v>
      </c>
      <c r="BV315" s="21" t="str">
        <f ca="1">IFERROR(VLOOKUP(AF315,OFFSET(abbreviation[],0,ColumnLanguage),ColumnAbbreviation,FALSE),"")</f>
        <v/>
      </c>
      <c r="BW315" s="21" t="str">
        <f ca="1">IFERROR(VLOOKUP(AH315,OFFSET(abbreviation[],0,ColumnLanguage),ColumnAbbreviation,FALSE),"")</f>
        <v/>
      </c>
      <c r="BX315" s="21" t="str">
        <f ca="1">IFERROR(VLOOKUP(AJ315,OFFSET(abbreviation[],0,ColumnLanguage),ColumnAbbreviation,FALSE),"")</f>
        <v/>
      </c>
      <c r="BY315" s="21" t="str">
        <f ca="1">IFERROR(VLOOKUP(AL315,OFFSET(abbreviation[],0,ColumnLanguage),ColumnAbbreviation,FALSE),"")</f>
        <v/>
      </c>
      <c r="BZ315" s="21" t="str">
        <f t="shared" ca="1" si="30"/>
        <v>_</v>
      </c>
      <c r="CA315" s="21" t="str">
        <f ca="1">IFERROR(VLOOKUP(AP315,OFFSET(abbreviation[],0,ColumnLanguage),ColumnAbbreviation,FALSE),"")</f>
        <v/>
      </c>
      <c r="CB315" s="21" t="str">
        <f ca="1">IFERROR(VLOOKUP(AR315,OFFSET(abbreviation[],0,ColumnLanguage),ColumnAbbreviation,FALSE),"")</f>
        <v/>
      </c>
      <c r="CC315" s="21" t="str">
        <f ca="1">IFERROR(VLOOKUP(AT315,OFFSET(abbreviation[],0,ColumnLanguage),ColumnAbbreviation,FALSE),"")</f>
        <v/>
      </c>
      <c r="CD315" s="21" t="str">
        <f ca="1">IFERROR(VLOOKUP(AV315,OFFSET(abbreviation[],0,ColumnLanguage),ColumnAbbreviation,FALSE),"")</f>
        <v/>
      </c>
      <c r="CE315" s="21" t="str">
        <f t="shared" ca="1" si="31"/>
        <v>__</v>
      </c>
      <c r="CF315" s="21" t="str">
        <f ca="1">IFERROR(VLOOKUP(AX315,OFFSET(abbreviation[],0,ColumnLanguage),ColumnAbbreviation,FALSE),"")</f>
        <v/>
      </c>
      <c r="CG315" s="21" t="str">
        <f ca="1">IFERROR(VLOOKUP(AZ315,OFFSET(abbreviation[],0,ColumnLanguage),ColumnAbbreviation,FALSE),"")</f>
        <v/>
      </c>
      <c r="CH315" s="21" t="str">
        <f ca="1">IFERROR(VLOOKUP(BB315,OFFSET(abbreviation[],0,ColumnLanguage),ColumnAbbreviation,FALSE),"")</f>
        <v/>
      </c>
      <c r="CI315" s="21" t="str">
        <f ca="1">IFERROR(VLOOKUP(BD315,OFFSET(abbreviation[],0,ColumnLanguage),ColumnAbbreviation,FALSE),"")</f>
        <v/>
      </c>
      <c r="CJ315" s="21" t="str">
        <f ca="1">IFERROR(VLOOKUP(BF315,OFFSET(abbreviation[],0,ColumnLanguage),ColumnAbbreviation,FALSE),"")</f>
        <v/>
      </c>
      <c r="CK315" s="21" t="str">
        <f t="shared" ca="1" si="32"/>
        <v/>
      </c>
      <c r="CL315" s="21" t="str">
        <f t="shared" si="33"/>
        <v/>
      </c>
      <c r="CM315" s="52"/>
      <c r="CN315" s="57" t="str">
        <f t="shared" si="34"/>
        <v/>
      </c>
    </row>
    <row r="316" spans="16:92" x14ac:dyDescent="0.25">
      <c r="P316" s="60"/>
      <c r="Q316" s="13"/>
      <c r="V316" s="60"/>
      <c r="X316" s="61"/>
      <c r="AB316" s="60"/>
      <c r="AN316" s="54"/>
      <c r="AS316" s="15"/>
      <c r="BH316" s="52"/>
      <c r="BI316" s="21" t="str">
        <f ca="1">IFERROR(VLOOKUP(C316,OFFSET(abbreviation[],0,ColumnLanguage),ColumnAbbreviation,FALSE),"")</f>
        <v/>
      </c>
      <c r="BJ316" s="21" t="str">
        <f ca="1">IFERROR(VLOOKUP(E316,OFFSET(abbreviation[],0,ColumnLanguage),ColumnAbbreviation,FALSE),"")</f>
        <v/>
      </c>
      <c r="BK316" s="21" t="str">
        <f ca="1">IFERROR(VLOOKUP(G316,OFFSET(abbreviation[],0,ColumnLanguage),ColumnAbbreviation,FALSE),"")</f>
        <v/>
      </c>
      <c r="BL316" s="21" t="str">
        <f ca="1">IFERROR(VLOOKUP(I316,OFFSET(abbreviation[],0,ColumnLanguage),ColumnAbbreviation,FALSE),"")</f>
        <v/>
      </c>
      <c r="BM316" s="21" t="str">
        <f ca="1">IFERROR(VLOOKUP(K316,OFFSET(abbreviation[],0,ColumnLanguage),ColumnAbbreviation,FALSE),"")</f>
        <v/>
      </c>
      <c r="BN316" s="21" t="str">
        <f t="shared" ca="1" si="28"/>
        <v/>
      </c>
      <c r="BO316" s="21" t="str">
        <f ca="1">IFERROR(VLOOKUP(N316,OFFSET(abbreviation[],0,ColumnLanguage),ColumnAbbreviation,FALSE),"")</f>
        <v/>
      </c>
      <c r="BP316" s="21" t="str">
        <f ca="1">IFERROR(VLOOKUP(P316,OFFSET(abbreviation[],0,ColumnLanguage),ColumnAbbreviation,FALSE),"")</f>
        <v/>
      </c>
      <c r="BQ316" s="21" t="str">
        <f ca="1">IFERROR(VLOOKUP(T316,OFFSET(abbreviation[],0,ColumnLanguage),ColumnAbbreviation,FALSE),"")</f>
        <v/>
      </c>
      <c r="BR316" s="21" t="str">
        <f ca="1">IFERROR(VLOOKUP(V316,OFFSET(abbreviation[],0,ColumnLanguage),ColumnAbbreviation,FALSE),"")</f>
        <v/>
      </c>
      <c r="BS316" s="21" t="str">
        <f ca="1">IFERROR(VLOOKUP(Z316,OFFSET(abbreviation[],0,ColumnLanguage),ColumnAbbreviation,FALSE),"")</f>
        <v/>
      </c>
      <c r="BT316" s="21" t="str">
        <f ca="1">IFERROR(VLOOKUP(AB316,OFFSET(abbreviation[],0,ColumnLanguage),ColumnAbbreviation,FALSE),"")</f>
        <v/>
      </c>
      <c r="BU316" s="21" t="str">
        <f t="shared" ca="1" si="29"/>
        <v>__</v>
      </c>
      <c r="BV316" s="21" t="str">
        <f ca="1">IFERROR(VLOOKUP(AF316,OFFSET(abbreviation[],0,ColumnLanguage),ColumnAbbreviation,FALSE),"")</f>
        <v/>
      </c>
      <c r="BW316" s="21" t="str">
        <f ca="1">IFERROR(VLOOKUP(AH316,OFFSET(abbreviation[],0,ColumnLanguage),ColumnAbbreviation,FALSE),"")</f>
        <v/>
      </c>
      <c r="BX316" s="21" t="str">
        <f ca="1">IFERROR(VLOOKUP(AJ316,OFFSET(abbreviation[],0,ColumnLanguage),ColumnAbbreviation,FALSE),"")</f>
        <v/>
      </c>
      <c r="BY316" s="21" t="str">
        <f ca="1">IFERROR(VLOOKUP(AL316,OFFSET(abbreviation[],0,ColumnLanguage),ColumnAbbreviation,FALSE),"")</f>
        <v/>
      </c>
      <c r="BZ316" s="21" t="str">
        <f t="shared" ca="1" si="30"/>
        <v>_</v>
      </c>
      <c r="CA316" s="21" t="str">
        <f ca="1">IFERROR(VLOOKUP(AP316,OFFSET(abbreviation[],0,ColumnLanguage),ColumnAbbreviation,FALSE),"")</f>
        <v/>
      </c>
      <c r="CB316" s="21" t="str">
        <f ca="1">IFERROR(VLOOKUP(AR316,OFFSET(abbreviation[],0,ColumnLanguage),ColumnAbbreviation,FALSE),"")</f>
        <v/>
      </c>
      <c r="CC316" s="21" t="str">
        <f ca="1">IFERROR(VLOOKUP(AT316,OFFSET(abbreviation[],0,ColumnLanguage),ColumnAbbreviation,FALSE),"")</f>
        <v/>
      </c>
      <c r="CD316" s="21" t="str">
        <f ca="1">IFERROR(VLOOKUP(AV316,OFFSET(abbreviation[],0,ColumnLanguage),ColumnAbbreviation,FALSE),"")</f>
        <v/>
      </c>
      <c r="CE316" s="21" t="str">
        <f t="shared" ca="1" si="31"/>
        <v>__</v>
      </c>
      <c r="CF316" s="21" t="str">
        <f ca="1">IFERROR(VLOOKUP(AX316,OFFSET(abbreviation[],0,ColumnLanguage),ColumnAbbreviation,FALSE),"")</f>
        <v/>
      </c>
      <c r="CG316" s="21" t="str">
        <f ca="1">IFERROR(VLOOKUP(AZ316,OFFSET(abbreviation[],0,ColumnLanguage),ColumnAbbreviation,FALSE),"")</f>
        <v/>
      </c>
      <c r="CH316" s="21" t="str">
        <f ca="1">IFERROR(VLOOKUP(BB316,OFFSET(abbreviation[],0,ColumnLanguage),ColumnAbbreviation,FALSE),"")</f>
        <v/>
      </c>
      <c r="CI316" s="21" t="str">
        <f ca="1">IFERROR(VLOOKUP(BD316,OFFSET(abbreviation[],0,ColumnLanguage),ColumnAbbreviation,FALSE),"")</f>
        <v/>
      </c>
      <c r="CJ316" s="21" t="str">
        <f ca="1">IFERROR(VLOOKUP(BF316,OFFSET(abbreviation[],0,ColumnLanguage),ColumnAbbreviation,FALSE),"")</f>
        <v/>
      </c>
      <c r="CK316" s="21" t="str">
        <f t="shared" ca="1" si="32"/>
        <v/>
      </c>
      <c r="CL316" s="21" t="str">
        <f t="shared" si="33"/>
        <v/>
      </c>
      <c r="CM316" s="52"/>
      <c r="CN316" s="57" t="str">
        <f t="shared" si="34"/>
        <v/>
      </c>
    </row>
    <row r="317" spans="16:92" x14ac:dyDescent="0.25">
      <c r="P317" s="60"/>
      <c r="Q317" s="13"/>
      <c r="V317" s="60"/>
      <c r="X317" s="61"/>
      <c r="AB317" s="60"/>
      <c r="AN317" s="54"/>
      <c r="AS317" s="15"/>
      <c r="BH317" s="52"/>
      <c r="BI317" s="21" t="str">
        <f ca="1">IFERROR(VLOOKUP(C317,OFFSET(abbreviation[],0,ColumnLanguage),ColumnAbbreviation,FALSE),"")</f>
        <v/>
      </c>
      <c r="BJ317" s="21" t="str">
        <f ca="1">IFERROR(VLOOKUP(E317,OFFSET(abbreviation[],0,ColumnLanguage),ColumnAbbreviation,FALSE),"")</f>
        <v/>
      </c>
      <c r="BK317" s="21" t="str">
        <f ca="1">IFERROR(VLOOKUP(G317,OFFSET(abbreviation[],0,ColumnLanguage),ColumnAbbreviation,FALSE),"")</f>
        <v/>
      </c>
      <c r="BL317" s="21" t="str">
        <f ca="1">IFERROR(VLOOKUP(I317,OFFSET(abbreviation[],0,ColumnLanguage),ColumnAbbreviation,FALSE),"")</f>
        <v/>
      </c>
      <c r="BM317" s="21" t="str">
        <f ca="1">IFERROR(VLOOKUP(K317,OFFSET(abbreviation[],0,ColumnLanguage),ColumnAbbreviation,FALSE),"")</f>
        <v/>
      </c>
      <c r="BN317" s="21" t="str">
        <f t="shared" ca="1" si="28"/>
        <v/>
      </c>
      <c r="BO317" s="21" t="str">
        <f ca="1">IFERROR(VLOOKUP(N317,OFFSET(abbreviation[],0,ColumnLanguage),ColumnAbbreviation,FALSE),"")</f>
        <v/>
      </c>
      <c r="BP317" s="21" t="str">
        <f ca="1">IFERROR(VLOOKUP(P317,OFFSET(abbreviation[],0,ColumnLanguage),ColumnAbbreviation,FALSE),"")</f>
        <v/>
      </c>
      <c r="BQ317" s="21" t="str">
        <f ca="1">IFERROR(VLOOKUP(T317,OFFSET(abbreviation[],0,ColumnLanguage),ColumnAbbreviation,FALSE),"")</f>
        <v/>
      </c>
      <c r="BR317" s="21" t="str">
        <f ca="1">IFERROR(VLOOKUP(V317,OFFSET(abbreviation[],0,ColumnLanguage),ColumnAbbreviation,FALSE),"")</f>
        <v/>
      </c>
      <c r="BS317" s="21" t="str">
        <f ca="1">IFERROR(VLOOKUP(Z317,OFFSET(abbreviation[],0,ColumnLanguage),ColumnAbbreviation,FALSE),"")</f>
        <v/>
      </c>
      <c r="BT317" s="21" t="str">
        <f ca="1">IFERROR(VLOOKUP(AB317,OFFSET(abbreviation[],0,ColumnLanguage),ColumnAbbreviation,FALSE),"")</f>
        <v/>
      </c>
      <c r="BU317" s="21" t="str">
        <f t="shared" ca="1" si="29"/>
        <v>__</v>
      </c>
      <c r="BV317" s="21" t="str">
        <f ca="1">IFERROR(VLOOKUP(AF317,OFFSET(abbreviation[],0,ColumnLanguage),ColumnAbbreviation,FALSE),"")</f>
        <v/>
      </c>
      <c r="BW317" s="21" t="str">
        <f ca="1">IFERROR(VLOOKUP(AH317,OFFSET(abbreviation[],0,ColumnLanguage),ColumnAbbreviation,FALSE),"")</f>
        <v/>
      </c>
      <c r="BX317" s="21" t="str">
        <f ca="1">IFERROR(VLOOKUP(AJ317,OFFSET(abbreviation[],0,ColumnLanguage),ColumnAbbreviation,FALSE),"")</f>
        <v/>
      </c>
      <c r="BY317" s="21" t="str">
        <f ca="1">IFERROR(VLOOKUP(AL317,OFFSET(abbreviation[],0,ColumnLanguage),ColumnAbbreviation,FALSE),"")</f>
        <v/>
      </c>
      <c r="BZ317" s="21" t="str">
        <f t="shared" ca="1" si="30"/>
        <v>_</v>
      </c>
      <c r="CA317" s="21" t="str">
        <f ca="1">IFERROR(VLOOKUP(AP317,OFFSET(abbreviation[],0,ColumnLanguage),ColumnAbbreviation,FALSE),"")</f>
        <v/>
      </c>
      <c r="CB317" s="21" t="str">
        <f ca="1">IFERROR(VLOOKUP(AR317,OFFSET(abbreviation[],0,ColumnLanguage),ColumnAbbreviation,FALSE),"")</f>
        <v/>
      </c>
      <c r="CC317" s="21" t="str">
        <f ca="1">IFERROR(VLOOKUP(AT317,OFFSET(abbreviation[],0,ColumnLanguage),ColumnAbbreviation,FALSE),"")</f>
        <v/>
      </c>
      <c r="CD317" s="21" t="str">
        <f ca="1">IFERROR(VLOOKUP(AV317,OFFSET(abbreviation[],0,ColumnLanguage),ColumnAbbreviation,FALSE),"")</f>
        <v/>
      </c>
      <c r="CE317" s="21" t="str">
        <f t="shared" ca="1" si="31"/>
        <v>__</v>
      </c>
      <c r="CF317" s="21" t="str">
        <f ca="1">IFERROR(VLOOKUP(AX317,OFFSET(abbreviation[],0,ColumnLanguage),ColumnAbbreviation,FALSE),"")</f>
        <v/>
      </c>
      <c r="CG317" s="21" t="str">
        <f ca="1">IFERROR(VLOOKUP(AZ317,OFFSET(abbreviation[],0,ColumnLanguage),ColumnAbbreviation,FALSE),"")</f>
        <v/>
      </c>
      <c r="CH317" s="21" t="str">
        <f ca="1">IFERROR(VLOOKUP(BB317,OFFSET(abbreviation[],0,ColumnLanguage),ColumnAbbreviation,FALSE),"")</f>
        <v/>
      </c>
      <c r="CI317" s="21" t="str">
        <f ca="1">IFERROR(VLOOKUP(BD317,OFFSET(abbreviation[],0,ColumnLanguage),ColumnAbbreviation,FALSE),"")</f>
        <v/>
      </c>
      <c r="CJ317" s="21" t="str">
        <f ca="1">IFERROR(VLOOKUP(BF317,OFFSET(abbreviation[],0,ColumnLanguage),ColumnAbbreviation,FALSE),"")</f>
        <v/>
      </c>
      <c r="CK317" s="21" t="str">
        <f t="shared" ca="1" si="32"/>
        <v/>
      </c>
      <c r="CL317" s="21" t="str">
        <f t="shared" si="33"/>
        <v/>
      </c>
      <c r="CM317" s="52"/>
      <c r="CN317" s="57" t="str">
        <f t="shared" si="34"/>
        <v/>
      </c>
    </row>
    <row r="318" spans="16:92" x14ac:dyDescent="0.25">
      <c r="P318" s="60"/>
      <c r="Q318" s="13"/>
      <c r="V318" s="60"/>
      <c r="X318" s="61"/>
      <c r="AB318" s="60"/>
      <c r="AN318" s="54"/>
      <c r="AS318" s="15"/>
      <c r="BH318" s="52"/>
      <c r="BI318" s="21" t="str">
        <f ca="1">IFERROR(VLOOKUP(C318,OFFSET(abbreviation[],0,ColumnLanguage),ColumnAbbreviation,FALSE),"")</f>
        <v/>
      </c>
      <c r="BJ318" s="21" t="str">
        <f ca="1">IFERROR(VLOOKUP(E318,OFFSET(abbreviation[],0,ColumnLanguage),ColumnAbbreviation,FALSE),"")</f>
        <v/>
      </c>
      <c r="BK318" s="21" t="str">
        <f ca="1">IFERROR(VLOOKUP(G318,OFFSET(abbreviation[],0,ColumnLanguage),ColumnAbbreviation,FALSE),"")</f>
        <v/>
      </c>
      <c r="BL318" s="21" t="str">
        <f ca="1">IFERROR(VLOOKUP(I318,OFFSET(abbreviation[],0,ColumnLanguage),ColumnAbbreviation,FALSE),"")</f>
        <v/>
      </c>
      <c r="BM318" s="21" t="str">
        <f ca="1">IFERROR(VLOOKUP(K318,OFFSET(abbreviation[],0,ColumnLanguage),ColumnAbbreviation,FALSE),"")</f>
        <v/>
      </c>
      <c r="BN318" s="21" t="str">
        <f t="shared" ca="1" si="28"/>
        <v/>
      </c>
      <c r="BO318" s="21" t="str">
        <f ca="1">IFERROR(VLOOKUP(N318,OFFSET(abbreviation[],0,ColumnLanguage),ColumnAbbreviation,FALSE),"")</f>
        <v/>
      </c>
      <c r="BP318" s="21" t="str">
        <f ca="1">IFERROR(VLOOKUP(P318,OFFSET(abbreviation[],0,ColumnLanguage),ColumnAbbreviation,FALSE),"")</f>
        <v/>
      </c>
      <c r="BQ318" s="21" t="str">
        <f ca="1">IFERROR(VLOOKUP(T318,OFFSET(abbreviation[],0,ColumnLanguage),ColumnAbbreviation,FALSE),"")</f>
        <v/>
      </c>
      <c r="BR318" s="21" t="str">
        <f ca="1">IFERROR(VLOOKUP(V318,OFFSET(abbreviation[],0,ColumnLanguage),ColumnAbbreviation,FALSE),"")</f>
        <v/>
      </c>
      <c r="BS318" s="21" t="str">
        <f ca="1">IFERROR(VLOOKUP(Z318,OFFSET(abbreviation[],0,ColumnLanguage),ColumnAbbreviation,FALSE),"")</f>
        <v/>
      </c>
      <c r="BT318" s="21" t="str">
        <f ca="1">IFERROR(VLOOKUP(AB318,OFFSET(abbreviation[],0,ColumnLanguage),ColumnAbbreviation,FALSE),"")</f>
        <v/>
      </c>
      <c r="BU318" s="21" t="str">
        <f t="shared" ca="1" si="29"/>
        <v>__</v>
      </c>
      <c r="BV318" s="21" t="str">
        <f ca="1">IFERROR(VLOOKUP(AF318,OFFSET(abbreviation[],0,ColumnLanguage),ColumnAbbreviation,FALSE),"")</f>
        <v/>
      </c>
      <c r="BW318" s="21" t="str">
        <f ca="1">IFERROR(VLOOKUP(AH318,OFFSET(abbreviation[],0,ColumnLanguage),ColumnAbbreviation,FALSE),"")</f>
        <v/>
      </c>
      <c r="BX318" s="21" t="str">
        <f ca="1">IFERROR(VLOOKUP(AJ318,OFFSET(abbreviation[],0,ColumnLanguage),ColumnAbbreviation,FALSE),"")</f>
        <v/>
      </c>
      <c r="BY318" s="21" t="str">
        <f ca="1">IFERROR(VLOOKUP(AL318,OFFSET(abbreviation[],0,ColumnLanguage),ColumnAbbreviation,FALSE),"")</f>
        <v/>
      </c>
      <c r="BZ318" s="21" t="str">
        <f t="shared" ca="1" si="30"/>
        <v>_</v>
      </c>
      <c r="CA318" s="21" t="str">
        <f ca="1">IFERROR(VLOOKUP(AP318,OFFSET(abbreviation[],0,ColumnLanguage),ColumnAbbreviation,FALSE),"")</f>
        <v/>
      </c>
      <c r="CB318" s="21" t="str">
        <f ca="1">IFERROR(VLOOKUP(AR318,OFFSET(abbreviation[],0,ColumnLanguage),ColumnAbbreviation,FALSE),"")</f>
        <v/>
      </c>
      <c r="CC318" s="21" t="str">
        <f ca="1">IFERROR(VLOOKUP(AT318,OFFSET(abbreviation[],0,ColumnLanguage),ColumnAbbreviation,FALSE),"")</f>
        <v/>
      </c>
      <c r="CD318" s="21" t="str">
        <f ca="1">IFERROR(VLOOKUP(AV318,OFFSET(abbreviation[],0,ColumnLanguage),ColumnAbbreviation,FALSE),"")</f>
        <v/>
      </c>
      <c r="CE318" s="21" t="str">
        <f t="shared" ca="1" si="31"/>
        <v>__</v>
      </c>
      <c r="CF318" s="21" t="str">
        <f ca="1">IFERROR(VLOOKUP(AX318,OFFSET(abbreviation[],0,ColumnLanguage),ColumnAbbreviation,FALSE),"")</f>
        <v/>
      </c>
      <c r="CG318" s="21" t="str">
        <f ca="1">IFERROR(VLOOKUP(AZ318,OFFSET(abbreviation[],0,ColumnLanguage),ColumnAbbreviation,FALSE),"")</f>
        <v/>
      </c>
      <c r="CH318" s="21" t="str">
        <f ca="1">IFERROR(VLOOKUP(BB318,OFFSET(abbreviation[],0,ColumnLanguage),ColumnAbbreviation,FALSE),"")</f>
        <v/>
      </c>
      <c r="CI318" s="21" t="str">
        <f ca="1">IFERROR(VLOOKUP(BD318,OFFSET(abbreviation[],0,ColumnLanguage),ColumnAbbreviation,FALSE),"")</f>
        <v/>
      </c>
      <c r="CJ318" s="21" t="str">
        <f ca="1">IFERROR(VLOOKUP(BF318,OFFSET(abbreviation[],0,ColumnLanguage),ColumnAbbreviation,FALSE),"")</f>
        <v/>
      </c>
      <c r="CK318" s="21" t="str">
        <f t="shared" ca="1" si="32"/>
        <v/>
      </c>
      <c r="CL318" s="21" t="str">
        <f t="shared" si="33"/>
        <v/>
      </c>
      <c r="CM318" s="52"/>
      <c r="CN318" s="57" t="str">
        <f t="shared" si="34"/>
        <v/>
      </c>
    </row>
    <row r="319" spans="16:92" x14ac:dyDescent="0.25">
      <c r="P319" s="60"/>
      <c r="Q319" s="13"/>
      <c r="V319" s="60"/>
      <c r="X319" s="61"/>
      <c r="AB319" s="60"/>
      <c r="AN319" s="54"/>
      <c r="AS319" s="15"/>
      <c r="BH319" s="52"/>
      <c r="BI319" s="21" t="str">
        <f ca="1">IFERROR(VLOOKUP(C319,OFFSET(abbreviation[],0,ColumnLanguage),ColumnAbbreviation,FALSE),"")</f>
        <v/>
      </c>
      <c r="BJ319" s="21" t="str">
        <f ca="1">IFERROR(VLOOKUP(E319,OFFSET(abbreviation[],0,ColumnLanguage),ColumnAbbreviation,FALSE),"")</f>
        <v/>
      </c>
      <c r="BK319" s="21" t="str">
        <f ca="1">IFERROR(VLOOKUP(G319,OFFSET(abbreviation[],0,ColumnLanguage),ColumnAbbreviation,FALSE),"")</f>
        <v/>
      </c>
      <c r="BL319" s="21" t="str">
        <f ca="1">IFERROR(VLOOKUP(I319,OFFSET(abbreviation[],0,ColumnLanguage),ColumnAbbreviation,FALSE),"")</f>
        <v/>
      </c>
      <c r="BM319" s="21" t="str">
        <f ca="1">IFERROR(VLOOKUP(K319,OFFSET(abbreviation[],0,ColumnLanguage),ColumnAbbreviation,FALSE),"")</f>
        <v/>
      </c>
      <c r="BN319" s="21" t="str">
        <f t="shared" ca="1" si="28"/>
        <v/>
      </c>
      <c r="BO319" s="21" t="str">
        <f ca="1">IFERROR(VLOOKUP(N319,OFFSET(abbreviation[],0,ColumnLanguage),ColumnAbbreviation,FALSE),"")</f>
        <v/>
      </c>
      <c r="BP319" s="21" t="str">
        <f ca="1">IFERROR(VLOOKUP(P319,OFFSET(abbreviation[],0,ColumnLanguage),ColumnAbbreviation,FALSE),"")</f>
        <v/>
      </c>
      <c r="BQ319" s="21" t="str">
        <f ca="1">IFERROR(VLOOKUP(T319,OFFSET(abbreviation[],0,ColumnLanguage),ColumnAbbreviation,FALSE),"")</f>
        <v/>
      </c>
      <c r="BR319" s="21" t="str">
        <f ca="1">IFERROR(VLOOKUP(V319,OFFSET(abbreviation[],0,ColumnLanguage),ColumnAbbreviation,FALSE),"")</f>
        <v/>
      </c>
      <c r="BS319" s="21" t="str">
        <f ca="1">IFERROR(VLOOKUP(Z319,OFFSET(abbreviation[],0,ColumnLanguage),ColumnAbbreviation,FALSE),"")</f>
        <v/>
      </c>
      <c r="BT319" s="21" t="str">
        <f ca="1">IFERROR(VLOOKUP(AB319,OFFSET(abbreviation[],0,ColumnLanguage),ColumnAbbreviation,FALSE),"")</f>
        <v/>
      </c>
      <c r="BU319" s="21" t="str">
        <f t="shared" ca="1" si="29"/>
        <v>__</v>
      </c>
      <c r="BV319" s="21" t="str">
        <f ca="1">IFERROR(VLOOKUP(AF319,OFFSET(abbreviation[],0,ColumnLanguage),ColumnAbbreviation,FALSE),"")</f>
        <v/>
      </c>
      <c r="BW319" s="21" t="str">
        <f ca="1">IFERROR(VLOOKUP(AH319,OFFSET(abbreviation[],0,ColumnLanguage),ColumnAbbreviation,FALSE),"")</f>
        <v/>
      </c>
      <c r="BX319" s="21" t="str">
        <f ca="1">IFERROR(VLOOKUP(AJ319,OFFSET(abbreviation[],0,ColumnLanguage),ColumnAbbreviation,FALSE),"")</f>
        <v/>
      </c>
      <c r="BY319" s="21" t="str">
        <f ca="1">IFERROR(VLOOKUP(AL319,OFFSET(abbreviation[],0,ColumnLanguage),ColumnAbbreviation,FALSE),"")</f>
        <v/>
      </c>
      <c r="BZ319" s="21" t="str">
        <f t="shared" ca="1" si="30"/>
        <v>_</v>
      </c>
      <c r="CA319" s="21" t="str">
        <f ca="1">IFERROR(VLOOKUP(AP319,OFFSET(abbreviation[],0,ColumnLanguage),ColumnAbbreviation,FALSE),"")</f>
        <v/>
      </c>
      <c r="CB319" s="21" t="str">
        <f ca="1">IFERROR(VLOOKUP(AR319,OFFSET(abbreviation[],0,ColumnLanguage),ColumnAbbreviation,FALSE),"")</f>
        <v/>
      </c>
      <c r="CC319" s="21" t="str">
        <f ca="1">IFERROR(VLOOKUP(AT319,OFFSET(abbreviation[],0,ColumnLanguage),ColumnAbbreviation,FALSE),"")</f>
        <v/>
      </c>
      <c r="CD319" s="21" t="str">
        <f ca="1">IFERROR(VLOOKUP(AV319,OFFSET(abbreviation[],0,ColumnLanguage),ColumnAbbreviation,FALSE),"")</f>
        <v/>
      </c>
      <c r="CE319" s="21" t="str">
        <f t="shared" ca="1" si="31"/>
        <v>__</v>
      </c>
      <c r="CF319" s="21" t="str">
        <f ca="1">IFERROR(VLOOKUP(AX319,OFFSET(abbreviation[],0,ColumnLanguage),ColumnAbbreviation,FALSE),"")</f>
        <v/>
      </c>
      <c r="CG319" s="21" t="str">
        <f ca="1">IFERROR(VLOOKUP(AZ319,OFFSET(abbreviation[],0,ColumnLanguage),ColumnAbbreviation,FALSE),"")</f>
        <v/>
      </c>
      <c r="CH319" s="21" t="str">
        <f ca="1">IFERROR(VLOOKUP(BB319,OFFSET(abbreviation[],0,ColumnLanguage),ColumnAbbreviation,FALSE),"")</f>
        <v/>
      </c>
      <c r="CI319" s="21" t="str">
        <f ca="1">IFERROR(VLOOKUP(BD319,OFFSET(abbreviation[],0,ColumnLanguage),ColumnAbbreviation,FALSE),"")</f>
        <v/>
      </c>
      <c r="CJ319" s="21" t="str">
        <f ca="1">IFERROR(VLOOKUP(BF319,OFFSET(abbreviation[],0,ColumnLanguage),ColumnAbbreviation,FALSE),"")</f>
        <v/>
      </c>
      <c r="CK319" s="21" t="str">
        <f t="shared" ca="1" si="32"/>
        <v/>
      </c>
      <c r="CL319" s="21" t="str">
        <f t="shared" si="33"/>
        <v/>
      </c>
      <c r="CM319" s="52"/>
      <c r="CN319" s="57" t="str">
        <f t="shared" si="34"/>
        <v/>
      </c>
    </row>
    <row r="320" spans="16:92" x14ac:dyDescent="0.25">
      <c r="P320" s="60"/>
      <c r="Q320" s="13"/>
      <c r="V320" s="60"/>
      <c r="X320" s="61"/>
      <c r="AB320" s="60"/>
      <c r="AN320" s="54"/>
      <c r="AS320" s="15"/>
      <c r="BH320" s="52"/>
      <c r="BI320" s="21" t="str">
        <f ca="1">IFERROR(VLOOKUP(C320,OFFSET(abbreviation[],0,ColumnLanguage),ColumnAbbreviation,FALSE),"")</f>
        <v/>
      </c>
      <c r="BJ320" s="21" t="str">
        <f ca="1">IFERROR(VLOOKUP(E320,OFFSET(abbreviation[],0,ColumnLanguage),ColumnAbbreviation,FALSE),"")</f>
        <v/>
      </c>
      <c r="BK320" s="21" t="str">
        <f ca="1">IFERROR(VLOOKUP(G320,OFFSET(abbreviation[],0,ColumnLanguage),ColumnAbbreviation,FALSE),"")</f>
        <v/>
      </c>
      <c r="BL320" s="21" t="str">
        <f ca="1">IFERROR(VLOOKUP(I320,OFFSET(abbreviation[],0,ColumnLanguage),ColumnAbbreviation,FALSE),"")</f>
        <v/>
      </c>
      <c r="BM320" s="21" t="str">
        <f ca="1">IFERROR(VLOOKUP(K320,OFFSET(abbreviation[],0,ColumnLanguage),ColumnAbbreviation,FALSE),"")</f>
        <v/>
      </c>
      <c r="BN320" s="21" t="str">
        <f t="shared" ca="1" si="28"/>
        <v/>
      </c>
      <c r="BO320" s="21" t="str">
        <f ca="1">IFERROR(VLOOKUP(N320,OFFSET(abbreviation[],0,ColumnLanguage),ColumnAbbreviation,FALSE),"")</f>
        <v/>
      </c>
      <c r="BP320" s="21" t="str">
        <f ca="1">IFERROR(VLOOKUP(P320,OFFSET(abbreviation[],0,ColumnLanguage),ColumnAbbreviation,FALSE),"")</f>
        <v/>
      </c>
      <c r="BQ320" s="21" t="str">
        <f ca="1">IFERROR(VLOOKUP(T320,OFFSET(abbreviation[],0,ColumnLanguage),ColumnAbbreviation,FALSE),"")</f>
        <v/>
      </c>
      <c r="BR320" s="21" t="str">
        <f ca="1">IFERROR(VLOOKUP(V320,OFFSET(abbreviation[],0,ColumnLanguage),ColumnAbbreviation,FALSE),"")</f>
        <v/>
      </c>
      <c r="BS320" s="21" t="str">
        <f ca="1">IFERROR(VLOOKUP(Z320,OFFSET(abbreviation[],0,ColumnLanguage),ColumnAbbreviation,FALSE),"")</f>
        <v/>
      </c>
      <c r="BT320" s="21" t="str">
        <f ca="1">IFERROR(VLOOKUP(AB320,OFFSET(abbreviation[],0,ColumnLanguage),ColumnAbbreviation,FALSE),"")</f>
        <v/>
      </c>
      <c r="BU320" s="21" t="str">
        <f t="shared" ca="1" si="29"/>
        <v>__</v>
      </c>
      <c r="BV320" s="21" t="str">
        <f ca="1">IFERROR(VLOOKUP(AF320,OFFSET(abbreviation[],0,ColumnLanguage),ColumnAbbreviation,FALSE),"")</f>
        <v/>
      </c>
      <c r="BW320" s="21" t="str">
        <f ca="1">IFERROR(VLOOKUP(AH320,OFFSET(abbreviation[],0,ColumnLanguage),ColumnAbbreviation,FALSE),"")</f>
        <v/>
      </c>
      <c r="BX320" s="21" t="str">
        <f ca="1">IFERROR(VLOOKUP(AJ320,OFFSET(abbreviation[],0,ColumnLanguage),ColumnAbbreviation,FALSE),"")</f>
        <v/>
      </c>
      <c r="BY320" s="21" t="str">
        <f ca="1">IFERROR(VLOOKUP(AL320,OFFSET(abbreviation[],0,ColumnLanguage),ColumnAbbreviation,FALSE),"")</f>
        <v/>
      </c>
      <c r="BZ320" s="21" t="str">
        <f t="shared" ca="1" si="30"/>
        <v>_</v>
      </c>
      <c r="CA320" s="21" t="str">
        <f ca="1">IFERROR(VLOOKUP(AP320,OFFSET(abbreviation[],0,ColumnLanguage),ColumnAbbreviation,FALSE),"")</f>
        <v/>
      </c>
      <c r="CB320" s="21" t="str">
        <f ca="1">IFERROR(VLOOKUP(AR320,OFFSET(abbreviation[],0,ColumnLanguage),ColumnAbbreviation,FALSE),"")</f>
        <v/>
      </c>
      <c r="CC320" s="21" t="str">
        <f ca="1">IFERROR(VLOOKUP(AT320,OFFSET(abbreviation[],0,ColumnLanguage),ColumnAbbreviation,FALSE),"")</f>
        <v/>
      </c>
      <c r="CD320" s="21" t="str">
        <f ca="1">IFERROR(VLOOKUP(AV320,OFFSET(abbreviation[],0,ColumnLanguage),ColumnAbbreviation,FALSE),"")</f>
        <v/>
      </c>
      <c r="CE320" s="21" t="str">
        <f t="shared" ca="1" si="31"/>
        <v>__</v>
      </c>
      <c r="CF320" s="21" t="str">
        <f ca="1">IFERROR(VLOOKUP(AX320,OFFSET(abbreviation[],0,ColumnLanguage),ColumnAbbreviation,FALSE),"")</f>
        <v/>
      </c>
      <c r="CG320" s="21" t="str">
        <f ca="1">IFERROR(VLOOKUP(AZ320,OFFSET(abbreviation[],0,ColumnLanguage),ColumnAbbreviation,FALSE),"")</f>
        <v/>
      </c>
      <c r="CH320" s="21" t="str">
        <f ca="1">IFERROR(VLOOKUP(BB320,OFFSET(abbreviation[],0,ColumnLanguage),ColumnAbbreviation,FALSE),"")</f>
        <v/>
      </c>
      <c r="CI320" s="21" t="str">
        <f ca="1">IFERROR(VLOOKUP(BD320,OFFSET(abbreviation[],0,ColumnLanguage),ColumnAbbreviation,FALSE),"")</f>
        <v/>
      </c>
      <c r="CJ320" s="21" t="str">
        <f ca="1">IFERROR(VLOOKUP(BF320,OFFSET(abbreviation[],0,ColumnLanguage),ColumnAbbreviation,FALSE),"")</f>
        <v/>
      </c>
      <c r="CK320" s="21" t="str">
        <f t="shared" ca="1" si="32"/>
        <v/>
      </c>
      <c r="CL320" s="21" t="str">
        <f t="shared" si="33"/>
        <v/>
      </c>
      <c r="CM320" s="52"/>
      <c r="CN320" s="57" t="str">
        <f t="shared" si="34"/>
        <v/>
      </c>
    </row>
    <row r="321" spans="16:92" x14ac:dyDescent="0.25">
      <c r="P321" s="60"/>
      <c r="Q321" s="13"/>
      <c r="V321" s="60"/>
      <c r="X321" s="61"/>
      <c r="AB321" s="60"/>
      <c r="AN321" s="54"/>
      <c r="AS321" s="15"/>
      <c r="BH321" s="52"/>
      <c r="BI321" s="21" t="str">
        <f ca="1">IFERROR(VLOOKUP(C321,OFFSET(abbreviation[],0,ColumnLanguage),ColumnAbbreviation,FALSE),"")</f>
        <v/>
      </c>
      <c r="BJ321" s="21" t="str">
        <f ca="1">IFERROR(VLOOKUP(E321,OFFSET(abbreviation[],0,ColumnLanguage),ColumnAbbreviation,FALSE),"")</f>
        <v/>
      </c>
      <c r="BK321" s="21" t="str">
        <f ca="1">IFERROR(VLOOKUP(G321,OFFSET(abbreviation[],0,ColumnLanguage),ColumnAbbreviation,FALSE),"")</f>
        <v/>
      </c>
      <c r="BL321" s="21" t="str">
        <f ca="1">IFERROR(VLOOKUP(I321,OFFSET(abbreviation[],0,ColumnLanguage),ColumnAbbreviation,FALSE),"")</f>
        <v/>
      </c>
      <c r="BM321" s="21" t="str">
        <f ca="1">IFERROR(VLOOKUP(K321,OFFSET(abbreviation[],0,ColumnLanguage),ColumnAbbreviation,FALSE),"")</f>
        <v/>
      </c>
      <c r="BN321" s="21" t="str">
        <f t="shared" ca="1" si="28"/>
        <v/>
      </c>
      <c r="BO321" s="21" t="str">
        <f ca="1">IFERROR(VLOOKUP(N321,OFFSET(abbreviation[],0,ColumnLanguage),ColumnAbbreviation,FALSE),"")</f>
        <v/>
      </c>
      <c r="BP321" s="21" t="str">
        <f ca="1">IFERROR(VLOOKUP(P321,OFFSET(abbreviation[],0,ColumnLanguage),ColumnAbbreviation,FALSE),"")</f>
        <v/>
      </c>
      <c r="BQ321" s="21" t="str">
        <f ca="1">IFERROR(VLOOKUP(T321,OFFSET(abbreviation[],0,ColumnLanguage),ColumnAbbreviation,FALSE),"")</f>
        <v/>
      </c>
      <c r="BR321" s="21" t="str">
        <f ca="1">IFERROR(VLOOKUP(V321,OFFSET(abbreviation[],0,ColumnLanguage),ColumnAbbreviation,FALSE),"")</f>
        <v/>
      </c>
      <c r="BS321" s="21" t="str">
        <f ca="1">IFERROR(VLOOKUP(Z321,OFFSET(abbreviation[],0,ColumnLanguage),ColumnAbbreviation,FALSE),"")</f>
        <v/>
      </c>
      <c r="BT321" s="21" t="str">
        <f ca="1">IFERROR(VLOOKUP(AB321,OFFSET(abbreviation[],0,ColumnLanguage),ColumnAbbreviation,FALSE),"")</f>
        <v/>
      </c>
      <c r="BU321" s="21" t="str">
        <f t="shared" ca="1" si="29"/>
        <v>__</v>
      </c>
      <c r="BV321" s="21" t="str">
        <f ca="1">IFERROR(VLOOKUP(AF321,OFFSET(abbreviation[],0,ColumnLanguage),ColumnAbbreviation,FALSE),"")</f>
        <v/>
      </c>
      <c r="BW321" s="21" t="str">
        <f ca="1">IFERROR(VLOOKUP(AH321,OFFSET(abbreviation[],0,ColumnLanguage),ColumnAbbreviation,FALSE),"")</f>
        <v/>
      </c>
      <c r="BX321" s="21" t="str">
        <f ca="1">IFERROR(VLOOKUP(AJ321,OFFSET(abbreviation[],0,ColumnLanguage),ColumnAbbreviation,FALSE),"")</f>
        <v/>
      </c>
      <c r="BY321" s="21" t="str">
        <f ca="1">IFERROR(VLOOKUP(AL321,OFFSET(abbreviation[],0,ColumnLanguage),ColumnAbbreviation,FALSE),"")</f>
        <v/>
      </c>
      <c r="BZ321" s="21" t="str">
        <f t="shared" ca="1" si="30"/>
        <v>_</v>
      </c>
      <c r="CA321" s="21" t="str">
        <f ca="1">IFERROR(VLOOKUP(AP321,OFFSET(abbreviation[],0,ColumnLanguage),ColumnAbbreviation,FALSE),"")</f>
        <v/>
      </c>
      <c r="CB321" s="21" t="str">
        <f ca="1">IFERROR(VLOOKUP(AR321,OFFSET(abbreviation[],0,ColumnLanguage),ColumnAbbreviation,FALSE),"")</f>
        <v/>
      </c>
      <c r="CC321" s="21" t="str">
        <f ca="1">IFERROR(VLOOKUP(AT321,OFFSET(abbreviation[],0,ColumnLanguage),ColumnAbbreviation,FALSE),"")</f>
        <v/>
      </c>
      <c r="CD321" s="21" t="str">
        <f ca="1">IFERROR(VLOOKUP(AV321,OFFSET(abbreviation[],0,ColumnLanguage),ColumnAbbreviation,FALSE),"")</f>
        <v/>
      </c>
      <c r="CE321" s="21" t="str">
        <f t="shared" ca="1" si="31"/>
        <v>__</v>
      </c>
      <c r="CF321" s="21" t="str">
        <f ca="1">IFERROR(VLOOKUP(AX321,OFFSET(abbreviation[],0,ColumnLanguage),ColumnAbbreviation,FALSE),"")</f>
        <v/>
      </c>
      <c r="CG321" s="21" t="str">
        <f ca="1">IFERROR(VLOOKUP(AZ321,OFFSET(abbreviation[],0,ColumnLanguage),ColumnAbbreviation,FALSE),"")</f>
        <v/>
      </c>
      <c r="CH321" s="21" t="str">
        <f ca="1">IFERROR(VLOOKUP(BB321,OFFSET(abbreviation[],0,ColumnLanguage),ColumnAbbreviation,FALSE),"")</f>
        <v/>
      </c>
      <c r="CI321" s="21" t="str">
        <f ca="1">IFERROR(VLOOKUP(BD321,OFFSET(abbreviation[],0,ColumnLanguage),ColumnAbbreviation,FALSE),"")</f>
        <v/>
      </c>
      <c r="CJ321" s="21" t="str">
        <f ca="1">IFERROR(VLOOKUP(BF321,OFFSET(abbreviation[],0,ColumnLanguage),ColumnAbbreviation,FALSE),"")</f>
        <v/>
      </c>
      <c r="CK321" s="21" t="str">
        <f t="shared" ca="1" si="32"/>
        <v/>
      </c>
      <c r="CL321" s="21" t="str">
        <f t="shared" si="33"/>
        <v/>
      </c>
      <c r="CM321" s="52"/>
      <c r="CN321" s="57" t="str">
        <f t="shared" si="34"/>
        <v/>
      </c>
    </row>
    <row r="322" spans="16:92" x14ac:dyDescent="0.25">
      <c r="P322" s="60"/>
      <c r="Q322" s="13"/>
      <c r="V322" s="60"/>
      <c r="X322" s="61"/>
      <c r="AB322" s="60"/>
      <c r="AN322" s="54"/>
      <c r="AS322" s="15"/>
      <c r="BH322" s="52"/>
      <c r="BI322" s="21" t="str">
        <f ca="1">IFERROR(VLOOKUP(C322,OFFSET(abbreviation[],0,ColumnLanguage),ColumnAbbreviation,FALSE),"")</f>
        <v/>
      </c>
      <c r="BJ322" s="21" t="str">
        <f ca="1">IFERROR(VLOOKUP(E322,OFFSET(abbreviation[],0,ColumnLanguage),ColumnAbbreviation,FALSE),"")</f>
        <v/>
      </c>
      <c r="BK322" s="21" t="str">
        <f ca="1">IFERROR(VLOOKUP(G322,OFFSET(abbreviation[],0,ColumnLanguage),ColumnAbbreviation,FALSE),"")</f>
        <v/>
      </c>
      <c r="BL322" s="21" t="str">
        <f ca="1">IFERROR(VLOOKUP(I322,OFFSET(abbreviation[],0,ColumnLanguage),ColumnAbbreviation,FALSE),"")</f>
        <v/>
      </c>
      <c r="BM322" s="21" t="str">
        <f ca="1">IFERROR(VLOOKUP(K322,OFFSET(abbreviation[],0,ColumnLanguage),ColumnAbbreviation,FALSE),"")</f>
        <v/>
      </c>
      <c r="BN322" s="21" t="str">
        <f t="shared" ca="1" si="28"/>
        <v/>
      </c>
      <c r="BO322" s="21" t="str">
        <f ca="1">IFERROR(VLOOKUP(N322,OFFSET(abbreviation[],0,ColumnLanguage),ColumnAbbreviation,FALSE),"")</f>
        <v/>
      </c>
      <c r="BP322" s="21" t="str">
        <f ca="1">IFERROR(VLOOKUP(P322,OFFSET(abbreviation[],0,ColumnLanguage),ColumnAbbreviation,FALSE),"")</f>
        <v/>
      </c>
      <c r="BQ322" s="21" t="str">
        <f ca="1">IFERROR(VLOOKUP(T322,OFFSET(abbreviation[],0,ColumnLanguage),ColumnAbbreviation,FALSE),"")</f>
        <v/>
      </c>
      <c r="BR322" s="21" t="str">
        <f ca="1">IFERROR(VLOOKUP(V322,OFFSET(abbreviation[],0,ColumnLanguage),ColumnAbbreviation,FALSE),"")</f>
        <v/>
      </c>
      <c r="BS322" s="21" t="str">
        <f ca="1">IFERROR(VLOOKUP(Z322,OFFSET(abbreviation[],0,ColumnLanguage),ColumnAbbreviation,FALSE),"")</f>
        <v/>
      </c>
      <c r="BT322" s="21" t="str">
        <f ca="1">IFERROR(VLOOKUP(AB322,OFFSET(abbreviation[],0,ColumnLanguage),ColumnAbbreviation,FALSE),"")</f>
        <v/>
      </c>
      <c r="BU322" s="21" t="str">
        <f t="shared" ca="1" si="29"/>
        <v>__</v>
      </c>
      <c r="BV322" s="21" t="str">
        <f ca="1">IFERROR(VLOOKUP(AF322,OFFSET(abbreviation[],0,ColumnLanguage),ColumnAbbreviation,FALSE),"")</f>
        <v/>
      </c>
      <c r="BW322" s="21" t="str">
        <f ca="1">IFERROR(VLOOKUP(AH322,OFFSET(abbreviation[],0,ColumnLanguage),ColumnAbbreviation,FALSE),"")</f>
        <v/>
      </c>
      <c r="BX322" s="21" t="str">
        <f ca="1">IFERROR(VLOOKUP(AJ322,OFFSET(abbreviation[],0,ColumnLanguage),ColumnAbbreviation,FALSE),"")</f>
        <v/>
      </c>
      <c r="BY322" s="21" t="str">
        <f ca="1">IFERROR(VLOOKUP(AL322,OFFSET(abbreviation[],0,ColumnLanguage),ColumnAbbreviation,FALSE),"")</f>
        <v/>
      </c>
      <c r="BZ322" s="21" t="str">
        <f t="shared" ca="1" si="30"/>
        <v>_</v>
      </c>
      <c r="CA322" s="21" t="str">
        <f ca="1">IFERROR(VLOOKUP(AP322,OFFSET(abbreviation[],0,ColumnLanguage),ColumnAbbreviation,FALSE),"")</f>
        <v/>
      </c>
      <c r="CB322" s="21" t="str">
        <f ca="1">IFERROR(VLOOKUP(AR322,OFFSET(abbreviation[],0,ColumnLanguage),ColumnAbbreviation,FALSE),"")</f>
        <v/>
      </c>
      <c r="CC322" s="21" t="str">
        <f ca="1">IFERROR(VLOOKUP(AT322,OFFSET(abbreviation[],0,ColumnLanguage),ColumnAbbreviation,FALSE),"")</f>
        <v/>
      </c>
      <c r="CD322" s="21" t="str">
        <f ca="1">IFERROR(VLOOKUP(AV322,OFFSET(abbreviation[],0,ColumnLanguage),ColumnAbbreviation,FALSE),"")</f>
        <v/>
      </c>
      <c r="CE322" s="21" t="str">
        <f t="shared" ca="1" si="31"/>
        <v>__</v>
      </c>
      <c r="CF322" s="21" t="str">
        <f ca="1">IFERROR(VLOOKUP(AX322,OFFSET(abbreviation[],0,ColumnLanguage),ColumnAbbreviation,FALSE),"")</f>
        <v/>
      </c>
      <c r="CG322" s="21" t="str">
        <f ca="1">IFERROR(VLOOKUP(AZ322,OFFSET(abbreviation[],0,ColumnLanguage),ColumnAbbreviation,FALSE),"")</f>
        <v/>
      </c>
      <c r="CH322" s="21" t="str">
        <f ca="1">IFERROR(VLOOKUP(BB322,OFFSET(abbreviation[],0,ColumnLanguage),ColumnAbbreviation,FALSE),"")</f>
        <v/>
      </c>
      <c r="CI322" s="21" t="str">
        <f ca="1">IFERROR(VLOOKUP(BD322,OFFSET(abbreviation[],0,ColumnLanguage),ColumnAbbreviation,FALSE),"")</f>
        <v/>
      </c>
      <c r="CJ322" s="21" t="str">
        <f ca="1">IFERROR(VLOOKUP(BF322,OFFSET(abbreviation[],0,ColumnLanguage),ColumnAbbreviation,FALSE),"")</f>
        <v/>
      </c>
      <c r="CK322" s="21" t="str">
        <f t="shared" ca="1" si="32"/>
        <v/>
      </c>
      <c r="CL322" s="21" t="str">
        <f t="shared" si="33"/>
        <v/>
      </c>
      <c r="CM322" s="52"/>
      <c r="CN322" s="57" t="str">
        <f t="shared" si="34"/>
        <v/>
      </c>
    </row>
    <row r="323" spans="16:92" x14ac:dyDescent="0.25">
      <c r="P323" s="60"/>
      <c r="Q323" s="13"/>
      <c r="V323" s="60"/>
      <c r="X323" s="61"/>
      <c r="AB323" s="60"/>
      <c r="AN323" s="54"/>
      <c r="AS323" s="15"/>
      <c r="BH323" s="52"/>
      <c r="BI323" s="21" t="str">
        <f ca="1">IFERROR(VLOOKUP(C323,OFFSET(abbreviation[],0,ColumnLanguage),ColumnAbbreviation,FALSE),"")</f>
        <v/>
      </c>
      <c r="BJ323" s="21" t="str">
        <f ca="1">IFERROR(VLOOKUP(E323,OFFSET(abbreviation[],0,ColumnLanguage),ColumnAbbreviation,FALSE),"")</f>
        <v/>
      </c>
      <c r="BK323" s="21" t="str">
        <f ca="1">IFERROR(VLOOKUP(G323,OFFSET(abbreviation[],0,ColumnLanguage),ColumnAbbreviation,FALSE),"")</f>
        <v/>
      </c>
      <c r="BL323" s="21" t="str">
        <f ca="1">IFERROR(VLOOKUP(I323,OFFSET(abbreviation[],0,ColumnLanguage),ColumnAbbreviation,FALSE),"")</f>
        <v/>
      </c>
      <c r="BM323" s="21" t="str">
        <f ca="1">IFERROR(VLOOKUP(K323,OFFSET(abbreviation[],0,ColumnLanguage),ColumnAbbreviation,FALSE),"")</f>
        <v/>
      </c>
      <c r="BN323" s="21" t="str">
        <f t="shared" ca="1" si="28"/>
        <v/>
      </c>
      <c r="BO323" s="21" t="str">
        <f ca="1">IFERROR(VLOOKUP(N323,OFFSET(abbreviation[],0,ColumnLanguage),ColumnAbbreviation,FALSE),"")</f>
        <v/>
      </c>
      <c r="BP323" s="21" t="str">
        <f ca="1">IFERROR(VLOOKUP(P323,OFFSET(abbreviation[],0,ColumnLanguage),ColumnAbbreviation,FALSE),"")</f>
        <v/>
      </c>
      <c r="BQ323" s="21" t="str">
        <f ca="1">IFERROR(VLOOKUP(T323,OFFSET(abbreviation[],0,ColumnLanguage),ColumnAbbreviation,FALSE),"")</f>
        <v/>
      </c>
      <c r="BR323" s="21" t="str">
        <f ca="1">IFERROR(VLOOKUP(V323,OFFSET(abbreviation[],0,ColumnLanguage),ColumnAbbreviation,FALSE),"")</f>
        <v/>
      </c>
      <c r="BS323" s="21" t="str">
        <f ca="1">IFERROR(VLOOKUP(Z323,OFFSET(abbreviation[],0,ColumnLanguage),ColumnAbbreviation,FALSE),"")</f>
        <v/>
      </c>
      <c r="BT323" s="21" t="str">
        <f ca="1">IFERROR(VLOOKUP(AB323,OFFSET(abbreviation[],0,ColumnLanguage),ColumnAbbreviation,FALSE),"")</f>
        <v/>
      </c>
      <c r="BU323" s="21" t="str">
        <f t="shared" ca="1" si="29"/>
        <v>__</v>
      </c>
      <c r="BV323" s="21" t="str">
        <f ca="1">IFERROR(VLOOKUP(AF323,OFFSET(abbreviation[],0,ColumnLanguage),ColumnAbbreviation,FALSE),"")</f>
        <v/>
      </c>
      <c r="BW323" s="21" t="str">
        <f ca="1">IFERROR(VLOOKUP(AH323,OFFSET(abbreviation[],0,ColumnLanguage),ColumnAbbreviation,FALSE),"")</f>
        <v/>
      </c>
      <c r="BX323" s="21" t="str">
        <f ca="1">IFERROR(VLOOKUP(AJ323,OFFSET(abbreviation[],0,ColumnLanguage),ColumnAbbreviation,FALSE),"")</f>
        <v/>
      </c>
      <c r="BY323" s="21" t="str">
        <f ca="1">IFERROR(VLOOKUP(AL323,OFFSET(abbreviation[],0,ColumnLanguage),ColumnAbbreviation,FALSE),"")</f>
        <v/>
      </c>
      <c r="BZ323" s="21" t="str">
        <f t="shared" ca="1" si="30"/>
        <v>_</v>
      </c>
      <c r="CA323" s="21" t="str">
        <f ca="1">IFERROR(VLOOKUP(AP323,OFFSET(abbreviation[],0,ColumnLanguage),ColumnAbbreviation,FALSE),"")</f>
        <v/>
      </c>
      <c r="CB323" s="21" t="str">
        <f ca="1">IFERROR(VLOOKUP(AR323,OFFSET(abbreviation[],0,ColumnLanguage),ColumnAbbreviation,FALSE),"")</f>
        <v/>
      </c>
      <c r="CC323" s="21" t="str">
        <f ca="1">IFERROR(VLOOKUP(AT323,OFFSET(abbreviation[],0,ColumnLanguage),ColumnAbbreviation,FALSE),"")</f>
        <v/>
      </c>
      <c r="CD323" s="21" t="str">
        <f ca="1">IFERROR(VLOOKUP(AV323,OFFSET(abbreviation[],0,ColumnLanguage),ColumnAbbreviation,FALSE),"")</f>
        <v/>
      </c>
      <c r="CE323" s="21" t="str">
        <f t="shared" ca="1" si="31"/>
        <v>__</v>
      </c>
      <c r="CF323" s="21" t="str">
        <f ca="1">IFERROR(VLOOKUP(AX323,OFFSET(abbreviation[],0,ColumnLanguage),ColumnAbbreviation,FALSE),"")</f>
        <v/>
      </c>
      <c r="CG323" s="21" t="str">
        <f ca="1">IFERROR(VLOOKUP(AZ323,OFFSET(abbreviation[],0,ColumnLanguage),ColumnAbbreviation,FALSE),"")</f>
        <v/>
      </c>
      <c r="CH323" s="21" t="str">
        <f ca="1">IFERROR(VLOOKUP(BB323,OFFSET(abbreviation[],0,ColumnLanguage),ColumnAbbreviation,FALSE),"")</f>
        <v/>
      </c>
      <c r="CI323" s="21" t="str">
        <f ca="1">IFERROR(VLOOKUP(BD323,OFFSET(abbreviation[],0,ColumnLanguage),ColumnAbbreviation,FALSE),"")</f>
        <v/>
      </c>
      <c r="CJ323" s="21" t="str">
        <f ca="1">IFERROR(VLOOKUP(BF323,OFFSET(abbreviation[],0,ColumnLanguage),ColumnAbbreviation,FALSE),"")</f>
        <v/>
      </c>
      <c r="CK323" s="21" t="str">
        <f t="shared" ca="1" si="32"/>
        <v/>
      </c>
      <c r="CL323" s="21" t="str">
        <f t="shared" si="33"/>
        <v/>
      </c>
      <c r="CM323" s="52"/>
      <c r="CN323" s="57" t="str">
        <f t="shared" si="34"/>
        <v/>
      </c>
    </row>
    <row r="324" spans="16:92" x14ac:dyDescent="0.25">
      <c r="P324" s="60"/>
      <c r="Q324" s="13"/>
      <c r="V324" s="60"/>
      <c r="X324" s="61"/>
      <c r="AB324" s="60"/>
      <c r="AN324" s="54"/>
      <c r="AS324" s="15"/>
      <c r="BH324" s="52"/>
      <c r="BI324" s="21" t="str">
        <f ca="1">IFERROR(VLOOKUP(C324,OFFSET(abbreviation[],0,ColumnLanguage),ColumnAbbreviation,FALSE),"")</f>
        <v/>
      </c>
      <c r="BJ324" s="21" t="str">
        <f ca="1">IFERROR(VLOOKUP(E324,OFFSET(abbreviation[],0,ColumnLanguage),ColumnAbbreviation,FALSE),"")</f>
        <v/>
      </c>
      <c r="BK324" s="21" t="str">
        <f ca="1">IFERROR(VLOOKUP(G324,OFFSET(abbreviation[],0,ColumnLanguage),ColumnAbbreviation,FALSE),"")</f>
        <v/>
      </c>
      <c r="BL324" s="21" t="str">
        <f ca="1">IFERROR(VLOOKUP(I324,OFFSET(abbreviation[],0,ColumnLanguage),ColumnAbbreviation,FALSE),"")</f>
        <v/>
      </c>
      <c r="BM324" s="21" t="str">
        <f ca="1">IFERROR(VLOOKUP(K324,OFFSET(abbreviation[],0,ColumnLanguage),ColumnAbbreviation,FALSE),"")</f>
        <v/>
      </c>
      <c r="BN324" s="21" t="str">
        <f t="shared" ref="BN324:BN387" ca="1" si="35">(BI324&amp;IF(OR(ISNUMBER(D324),ISTEXT(D324)),"-"&amp;D324,))&amp;(IF(ISTEXT(E324),"_",)&amp;BJ324&amp;IF(OR(ISNUMBER(F324),ISTEXT(F324)),"-"&amp;F324,))&amp;(IF(ISTEXT(G324),"_",)&amp;BK324&amp;IF(OR(ISNUMBER(H324),ISTEXT(H324)),"-"&amp;H324,))&amp;(IF(ISTEXT(I324),"_",)&amp;BL324&amp;IF(OR(ISNUMBER(J324),ISTEXT(J324)),"-"&amp;J324,))&amp;(IF(ISTEXT(K324),"_",)&amp;BM324&amp;IF(OR(ISNUMBER(L324),ISTEXT(L324)),"-"&amp;L324,)&amp;IF(AND(ISTEXT(BI324),BI324&lt;&gt;""),"_._",))</f>
        <v/>
      </c>
      <c r="BO324" s="21" t="str">
        <f ca="1">IFERROR(VLOOKUP(N324,OFFSET(abbreviation[],0,ColumnLanguage),ColumnAbbreviation,FALSE),"")</f>
        <v/>
      </c>
      <c r="BP324" s="21" t="str">
        <f ca="1">IFERROR(VLOOKUP(P324,OFFSET(abbreviation[],0,ColumnLanguage),ColumnAbbreviation,FALSE),"")</f>
        <v/>
      </c>
      <c r="BQ324" s="21" t="str">
        <f ca="1">IFERROR(VLOOKUP(T324,OFFSET(abbreviation[],0,ColumnLanguage),ColumnAbbreviation,FALSE),"")</f>
        <v/>
      </c>
      <c r="BR324" s="21" t="str">
        <f ca="1">IFERROR(VLOOKUP(V324,OFFSET(abbreviation[],0,ColumnLanguage),ColumnAbbreviation,FALSE),"")</f>
        <v/>
      </c>
      <c r="BS324" s="21" t="str">
        <f ca="1">IFERROR(VLOOKUP(Z324,OFFSET(abbreviation[],0,ColumnLanguage),ColumnAbbreviation,FALSE),"")</f>
        <v/>
      </c>
      <c r="BT324" s="21" t="str">
        <f ca="1">IFERROR(VLOOKUP(AB324,OFFSET(abbreviation[],0,ColumnLanguage),ColumnAbbreviation,FALSE),"")</f>
        <v/>
      </c>
      <c r="BU324" s="21" t="str">
        <f t="shared" ref="BU324:BU387" ca="1" si="36">(BO324&amp;IF(ISTEXT(P324),"."&amp;BP324,)&amp;IF(OR(ISTEXT(R324),ISNUMBER(R324)),"-"&amp;R324,))&amp;("_"&amp;BQ324&amp;IF(ISTEXT(V324),"."&amp;BR324,)&amp;IF(OR(ISTEXT(X324),ISNUMBER(X324)),"-"&amp;X324,))&amp;("_"&amp;BS324&amp;IF(ISTEXT(AB324),"."&amp;BT324,)&amp;IF(OR(ISTEXT(AD324),ISNUMBER(AD324)),"-"&amp;AD324,))</f>
        <v>__</v>
      </c>
      <c r="BV324" s="21" t="str">
        <f ca="1">IFERROR(VLOOKUP(AF324,OFFSET(abbreviation[],0,ColumnLanguage),ColumnAbbreviation,FALSE),"")</f>
        <v/>
      </c>
      <c r="BW324" s="21" t="str">
        <f ca="1">IFERROR(VLOOKUP(AH324,OFFSET(abbreviation[],0,ColumnLanguage),ColumnAbbreviation,FALSE),"")</f>
        <v/>
      </c>
      <c r="BX324" s="21" t="str">
        <f ca="1">IFERROR(VLOOKUP(AJ324,OFFSET(abbreviation[],0,ColumnLanguage),ColumnAbbreviation,FALSE),"")</f>
        <v/>
      </c>
      <c r="BY324" s="21" t="str">
        <f ca="1">IFERROR(VLOOKUP(AL324,OFFSET(abbreviation[],0,ColumnLanguage),ColumnAbbreviation,FALSE),"")</f>
        <v/>
      </c>
      <c r="BZ324" s="21" t="str">
        <f t="shared" ref="BZ324:BZ387" ca="1" si="37">("_"&amp;BV324&amp;IF(ISTEXT(AH324),"."&amp;BW324,)&amp;IF(ISTEXT(AJ324),"."&amp;BX324,)&amp;IF(ISTEXT(AL324),"."&amp;BY324,)&amp;IF(OR(ISTEXT(AN324),ISNUMBER(AN324)),"-"&amp;AN324,))</f>
        <v>_</v>
      </c>
      <c r="CA324" s="21" t="str">
        <f ca="1">IFERROR(VLOOKUP(AP324,OFFSET(abbreviation[],0,ColumnLanguage),ColumnAbbreviation,FALSE),"")</f>
        <v/>
      </c>
      <c r="CB324" s="21" t="str">
        <f ca="1">IFERROR(VLOOKUP(AR324,OFFSET(abbreviation[],0,ColumnLanguage),ColumnAbbreviation,FALSE),"")</f>
        <v/>
      </c>
      <c r="CC324" s="21" t="str">
        <f ca="1">IFERROR(VLOOKUP(AT324,OFFSET(abbreviation[],0,ColumnLanguage),ColumnAbbreviation,FALSE),"")</f>
        <v/>
      </c>
      <c r="CD324" s="21" t="str">
        <f ca="1">IFERROR(VLOOKUP(AV324,OFFSET(abbreviation[],0,ColumnLanguage),ColumnAbbreviation,FALSE),"")</f>
        <v/>
      </c>
      <c r="CE324" s="21" t="str">
        <f t="shared" ref="CE324:CE387" ca="1" si="38">("_"&amp;CA324&amp;IF(ISTEXT(AR324),"."&amp;CB324,)&amp;IF(ISTEXT(AT324),"."&amp;CC324,))&amp;"_"&amp;CD324</f>
        <v>__</v>
      </c>
      <c r="CF324" s="21" t="str">
        <f ca="1">IFERROR(VLOOKUP(AX324,OFFSET(abbreviation[],0,ColumnLanguage),ColumnAbbreviation,FALSE),"")</f>
        <v/>
      </c>
      <c r="CG324" s="21" t="str">
        <f ca="1">IFERROR(VLOOKUP(AZ324,OFFSET(abbreviation[],0,ColumnLanguage),ColumnAbbreviation,FALSE),"")</f>
        <v/>
      </c>
      <c r="CH324" s="21" t="str">
        <f ca="1">IFERROR(VLOOKUP(BB324,OFFSET(abbreviation[],0,ColumnLanguage),ColumnAbbreviation,FALSE),"")</f>
        <v/>
      </c>
      <c r="CI324" s="21" t="str">
        <f ca="1">IFERROR(VLOOKUP(BD324,OFFSET(abbreviation[],0,ColumnLanguage),ColumnAbbreviation,FALSE),"")</f>
        <v/>
      </c>
      <c r="CJ324" s="21" t="str">
        <f ca="1">IFERROR(VLOOKUP(BF324,OFFSET(abbreviation[],0,ColumnLanguage),ColumnAbbreviation,FALSE),"")</f>
        <v/>
      </c>
      <c r="CK324" s="21" t="str">
        <f t="shared" ref="CK324:CK387" ca="1" si="39">(IF(ISTEXT(AX324),"_._",""))&amp;(IF(ISTEXT(AX324),"_",)&amp;CF324&amp;IF(OR(ISNUMBER(AY324),ISTEXT(AY324)),"-"&amp;AY324,))&amp;(IF(ISTEXT(AZ324),"_",)&amp;CG324&amp;IF(OR(ISNUMBER(BA324),ISTEXT(BA324)),"-"&amp;BA324,))&amp;(IF(ISTEXT(BB324),"_",)&amp;CH324&amp;IF(OR(ISNUMBER(BC324),ISTEXT(BC324)),"-"&amp;BC324,))&amp;(IF(ISTEXT(BD324),"_",)&amp;CI324&amp;IF(OR(ISNUMBER(BE324),ISTEXT(BE324)),"-"&amp;BE324,))&amp;(IF(ISTEXT(BF324),"_",)&amp;CJ324&amp;IF(OR(ISNUMBER(BG324),ISTEXT(BG324)),"-"&amp;BG324,))</f>
        <v/>
      </c>
      <c r="CL324" s="21" t="str">
        <f t="shared" ref="CL324:CL387" si="40">IF(OR(N324&lt;&gt;"",T324&lt;&gt;"",C324&lt;&gt;"",A324&lt;&gt;""),(BN324&amp;BU324&amp;BZ324&amp;CE324&amp;CK324),"")</f>
        <v/>
      </c>
      <c r="CM324" s="52"/>
      <c r="CN324" s="57" t="str">
        <f t="shared" ref="CN324:CN387" si="41">CL324</f>
        <v/>
      </c>
    </row>
    <row r="325" spans="16:92" x14ac:dyDescent="0.25">
      <c r="P325" s="60"/>
      <c r="Q325" s="13"/>
      <c r="V325" s="60"/>
      <c r="X325" s="61"/>
      <c r="AB325" s="60"/>
      <c r="AN325" s="54"/>
      <c r="AS325" s="15"/>
      <c r="BH325" s="52"/>
      <c r="BI325" s="21" t="str">
        <f ca="1">IFERROR(VLOOKUP(C325,OFFSET(abbreviation[],0,ColumnLanguage),ColumnAbbreviation,FALSE),"")</f>
        <v/>
      </c>
      <c r="BJ325" s="21" t="str">
        <f ca="1">IFERROR(VLOOKUP(E325,OFFSET(abbreviation[],0,ColumnLanguage),ColumnAbbreviation,FALSE),"")</f>
        <v/>
      </c>
      <c r="BK325" s="21" t="str">
        <f ca="1">IFERROR(VLOOKUP(G325,OFFSET(abbreviation[],0,ColumnLanguage),ColumnAbbreviation,FALSE),"")</f>
        <v/>
      </c>
      <c r="BL325" s="21" t="str">
        <f ca="1">IFERROR(VLOOKUP(I325,OFFSET(abbreviation[],0,ColumnLanguage),ColumnAbbreviation,FALSE),"")</f>
        <v/>
      </c>
      <c r="BM325" s="21" t="str">
        <f ca="1">IFERROR(VLOOKUP(K325,OFFSET(abbreviation[],0,ColumnLanguage),ColumnAbbreviation,FALSE),"")</f>
        <v/>
      </c>
      <c r="BN325" s="21" t="str">
        <f t="shared" ca="1" si="35"/>
        <v/>
      </c>
      <c r="BO325" s="21" t="str">
        <f ca="1">IFERROR(VLOOKUP(N325,OFFSET(abbreviation[],0,ColumnLanguage),ColumnAbbreviation,FALSE),"")</f>
        <v/>
      </c>
      <c r="BP325" s="21" t="str">
        <f ca="1">IFERROR(VLOOKUP(P325,OFFSET(abbreviation[],0,ColumnLanguage),ColumnAbbreviation,FALSE),"")</f>
        <v/>
      </c>
      <c r="BQ325" s="21" t="str">
        <f ca="1">IFERROR(VLOOKUP(T325,OFFSET(abbreviation[],0,ColumnLanguage),ColumnAbbreviation,FALSE),"")</f>
        <v/>
      </c>
      <c r="BR325" s="21" t="str">
        <f ca="1">IFERROR(VLOOKUP(V325,OFFSET(abbreviation[],0,ColumnLanguage),ColumnAbbreviation,FALSE),"")</f>
        <v/>
      </c>
      <c r="BS325" s="21" t="str">
        <f ca="1">IFERROR(VLOOKUP(Z325,OFFSET(abbreviation[],0,ColumnLanguage),ColumnAbbreviation,FALSE),"")</f>
        <v/>
      </c>
      <c r="BT325" s="21" t="str">
        <f ca="1">IFERROR(VLOOKUP(AB325,OFFSET(abbreviation[],0,ColumnLanguage),ColumnAbbreviation,FALSE),"")</f>
        <v/>
      </c>
      <c r="BU325" s="21" t="str">
        <f t="shared" ca="1" si="36"/>
        <v>__</v>
      </c>
      <c r="BV325" s="21" t="str">
        <f ca="1">IFERROR(VLOOKUP(AF325,OFFSET(abbreviation[],0,ColumnLanguage),ColumnAbbreviation,FALSE),"")</f>
        <v/>
      </c>
      <c r="BW325" s="21" t="str">
        <f ca="1">IFERROR(VLOOKUP(AH325,OFFSET(abbreviation[],0,ColumnLanguage),ColumnAbbreviation,FALSE),"")</f>
        <v/>
      </c>
      <c r="BX325" s="21" t="str">
        <f ca="1">IFERROR(VLOOKUP(AJ325,OFFSET(abbreviation[],0,ColumnLanguage),ColumnAbbreviation,FALSE),"")</f>
        <v/>
      </c>
      <c r="BY325" s="21" t="str">
        <f ca="1">IFERROR(VLOOKUP(AL325,OFFSET(abbreviation[],0,ColumnLanguage),ColumnAbbreviation,FALSE),"")</f>
        <v/>
      </c>
      <c r="BZ325" s="21" t="str">
        <f t="shared" ca="1" si="37"/>
        <v>_</v>
      </c>
      <c r="CA325" s="21" t="str">
        <f ca="1">IFERROR(VLOOKUP(AP325,OFFSET(abbreviation[],0,ColumnLanguage),ColumnAbbreviation,FALSE),"")</f>
        <v/>
      </c>
      <c r="CB325" s="21" t="str">
        <f ca="1">IFERROR(VLOOKUP(AR325,OFFSET(abbreviation[],0,ColumnLanguage),ColumnAbbreviation,FALSE),"")</f>
        <v/>
      </c>
      <c r="CC325" s="21" t="str">
        <f ca="1">IFERROR(VLOOKUP(AT325,OFFSET(abbreviation[],0,ColumnLanguage),ColumnAbbreviation,FALSE),"")</f>
        <v/>
      </c>
      <c r="CD325" s="21" t="str">
        <f ca="1">IFERROR(VLOOKUP(AV325,OFFSET(abbreviation[],0,ColumnLanguage),ColumnAbbreviation,FALSE),"")</f>
        <v/>
      </c>
      <c r="CE325" s="21" t="str">
        <f t="shared" ca="1" si="38"/>
        <v>__</v>
      </c>
      <c r="CF325" s="21" t="str">
        <f ca="1">IFERROR(VLOOKUP(AX325,OFFSET(abbreviation[],0,ColumnLanguage),ColumnAbbreviation,FALSE),"")</f>
        <v/>
      </c>
      <c r="CG325" s="21" t="str">
        <f ca="1">IFERROR(VLOOKUP(AZ325,OFFSET(abbreviation[],0,ColumnLanguage),ColumnAbbreviation,FALSE),"")</f>
        <v/>
      </c>
      <c r="CH325" s="21" t="str">
        <f ca="1">IFERROR(VLOOKUP(BB325,OFFSET(abbreviation[],0,ColumnLanguage),ColumnAbbreviation,FALSE),"")</f>
        <v/>
      </c>
      <c r="CI325" s="21" t="str">
        <f ca="1">IFERROR(VLOOKUP(BD325,OFFSET(abbreviation[],0,ColumnLanguage),ColumnAbbreviation,FALSE),"")</f>
        <v/>
      </c>
      <c r="CJ325" s="21" t="str">
        <f ca="1">IFERROR(VLOOKUP(BF325,OFFSET(abbreviation[],0,ColumnLanguage),ColumnAbbreviation,FALSE),"")</f>
        <v/>
      </c>
      <c r="CK325" s="21" t="str">
        <f t="shared" ca="1" si="39"/>
        <v/>
      </c>
      <c r="CL325" s="21" t="str">
        <f t="shared" si="40"/>
        <v/>
      </c>
      <c r="CM325" s="52"/>
      <c r="CN325" s="57" t="str">
        <f t="shared" si="41"/>
        <v/>
      </c>
    </row>
    <row r="326" spans="16:92" x14ac:dyDescent="0.25">
      <c r="P326" s="60"/>
      <c r="Q326" s="13"/>
      <c r="V326" s="60"/>
      <c r="X326" s="61"/>
      <c r="AB326" s="60"/>
      <c r="AN326" s="54"/>
      <c r="AS326" s="15"/>
      <c r="BH326" s="52"/>
      <c r="BI326" s="21" t="str">
        <f ca="1">IFERROR(VLOOKUP(C326,OFFSET(abbreviation[],0,ColumnLanguage),ColumnAbbreviation,FALSE),"")</f>
        <v/>
      </c>
      <c r="BJ326" s="21" t="str">
        <f ca="1">IFERROR(VLOOKUP(E326,OFFSET(abbreviation[],0,ColumnLanguage),ColumnAbbreviation,FALSE),"")</f>
        <v/>
      </c>
      <c r="BK326" s="21" t="str">
        <f ca="1">IFERROR(VLOOKUP(G326,OFFSET(abbreviation[],0,ColumnLanguage),ColumnAbbreviation,FALSE),"")</f>
        <v/>
      </c>
      <c r="BL326" s="21" t="str">
        <f ca="1">IFERROR(VLOOKUP(I326,OFFSET(abbreviation[],0,ColumnLanguage),ColumnAbbreviation,FALSE),"")</f>
        <v/>
      </c>
      <c r="BM326" s="21" t="str">
        <f ca="1">IFERROR(VLOOKUP(K326,OFFSET(abbreviation[],0,ColumnLanguage),ColumnAbbreviation,FALSE),"")</f>
        <v/>
      </c>
      <c r="BN326" s="21" t="str">
        <f t="shared" ca="1" si="35"/>
        <v/>
      </c>
      <c r="BO326" s="21" t="str">
        <f ca="1">IFERROR(VLOOKUP(N326,OFFSET(abbreviation[],0,ColumnLanguage),ColumnAbbreviation,FALSE),"")</f>
        <v/>
      </c>
      <c r="BP326" s="21" t="str">
        <f ca="1">IFERROR(VLOOKUP(P326,OFFSET(abbreviation[],0,ColumnLanguage),ColumnAbbreviation,FALSE),"")</f>
        <v/>
      </c>
      <c r="BQ326" s="21" t="str">
        <f ca="1">IFERROR(VLOOKUP(T326,OFFSET(abbreviation[],0,ColumnLanguage),ColumnAbbreviation,FALSE),"")</f>
        <v/>
      </c>
      <c r="BR326" s="21" t="str">
        <f ca="1">IFERROR(VLOOKUP(V326,OFFSET(abbreviation[],0,ColumnLanguage),ColumnAbbreviation,FALSE),"")</f>
        <v/>
      </c>
      <c r="BS326" s="21" t="str">
        <f ca="1">IFERROR(VLOOKUP(Z326,OFFSET(abbreviation[],0,ColumnLanguage),ColumnAbbreviation,FALSE),"")</f>
        <v/>
      </c>
      <c r="BT326" s="21" t="str">
        <f ca="1">IFERROR(VLOOKUP(AB326,OFFSET(abbreviation[],0,ColumnLanguage),ColumnAbbreviation,FALSE),"")</f>
        <v/>
      </c>
      <c r="BU326" s="21" t="str">
        <f t="shared" ca="1" si="36"/>
        <v>__</v>
      </c>
      <c r="BV326" s="21" t="str">
        <f ca="1">IFERROR(VLOOKUP(AF326,OFFSET(abbreviation[],0,ColumnLanguage),ColumnAbbreviation,FALSE),"")</f>
        <v/>
      </c>
      <c r="BW326" s="21" t="str">
        <f ca="1">IFERROR(VLOOKUP(AH326,OFFSET(abbreviation[],0,ColumnLanguage),ColumnAbbreviation,FALSE),"")</f>
        <v/>
      </c>
      <c r="BX326" s="21" t="str">
        <f ca="1">IFERROR(VLOOKUP(AJ326,OFFSET(abbreviation[],0,ColumnLanguage),ColumnAbbreviation,FALSE),"")</f>
        <v/>
      </c>
      <c r="BY326" s="21" t="str">
        <f ca="1">IFERROR(VLOOKUP(AL326,OFFSET(abbreviation[],0,ColumnLanguage),ColumnAbbreviation,FALSE),"")</f>
        <v/>
      </c>
      <c r="BZ326" s="21" t="str">
        <f t="shared" ca="1" si="37"/>
        <v>_</v>
      </c>
      <c r="CA326" s="21" t="str">
        <f ca="1">IFERROR(VLOOKUP(AP326,OFFSET(abbreviation[],0,ColumnLanguage),ColumnAbbreviation,FALSE),"")</f>
        <v/>
      </c>
      <c r="CB326" s="21" t="str">
        <f ca="1">IFERROR(VLOOKUP(AR326,OFFSET(abbreviation[],0,ColumnLanguage),ColumnAbbreviation,FALSE),"")</f>
        <v/>
      </c>
      <c r="CC326" s="21" t="str">
        <f ca="1">IFERROR(VLOOKUP(AT326,OFFSET(abbreviation[],0,ColumnLanguage),ColumnAbbreviation,FALSE),"")</f>
        <v/>
      </c>
      <c r="CD326" s="21" t="str">
        <f ca="1">IFERROR(VLOOKUP(AV326,OFFSET(abbreviation[],0,ColumnLanguage),ColumnAbbreviation,FALSE),"")</f>
        <v/>
      </c>
      <c r="CE326" s="21" t="str">
        <f t="shared" ca="1" si="38"/>
        <v>__</v>
      </c>
      <c r="CF326" s="21" t="str">
        <f ca="1">IFERROR(VLOOKUP(AX326,OFFSET(abbreviation[],0,ColumnLanguage),ColumnAbbreviation,FALSE),"")</f>
        <v/>
      </c>
      <c r="CG326" s="21" t="str">
        <f ca="1">IFERROR(VLOOKUP(AZ326,OFFSET(abbreviation[],0,ColumnLanguage),ColumnAbbreviation,FALSE),"")</f>
        <v/>
      </c>
      <c r="CH326" s="21" t="str">
        <f ca="1">IFERROR(VLOOKUP(BB326,OFFSET(abbreviation[],0,ColumnLanguage),ColumnAbbreviation,FALSE),"")</f>
        <v/>
      </c>
      <c r="CI326" s="21" t="str">
        <f ca="1">IFERROR(VLOOKUP(BD326,OFFSET(abbreviation[],0,ColumnLanguage),ColumnAbbreviation,FALSE),"")</f>
        <v/>
      </c>
      <c r="CJ326" s="21" t="str">
        <f ca="1">IFERROR(VLOOKUP(BF326,OFFSET(abbreviation[],0,ColumnLanguage),ColumnAbbreviation,FALSE),"")</f>
        <v/>
      </c>
      <c r="CK326" s="21" t="str">
        <f t="shared" ca="1" si="39"/>
        <v/>
      </c>
      <c r="CL326" s="21" t="str">
        <f t="shared" si="40"/>
        <v/>
      </c>
      <c r="CM326" s="52"/>
      <c r="CN326" s="57" t="str">
        <f t="shared" si="41"/>
        <v/>
      </c>
    </row>
    <row r="327" spans="16:92" x14ac:dyDescent="0.25">
      <c r="P327" s="60"/>
      <c r="Q327" s="13"/>
      <c r="V327" s="60"/>
      <c r="X327" s="61"/>
      <c r="AB327" s="60"/>
      <c r="AN327" s="54"/>
      <c r="AS327" s="15"/>
      <c r="BH327" s="52"/>
      <c r="BI327" s="21" t="str">
        <f ca="1">IFERROR(VLOOKUP(C327,OFFSET(abbreviation[],0,ColumnLanguage),ColumnAbbreviation,FALSE),"")</f>
        <v/>
      </c>
      <c r="BJ327" s="21" t="str">
        <f ca="1">IFERROR(VLOOKUP(E327,OFFSET(abbreviation[],0,ColumnLanguage),ColumnAbbreviation,FALSE),"")</f>
        <v/>
      </c>
      <c r="BK327" s="21" t="str">
        <f ca="1">IFERROR(VLOOKUP(G327,OFFSET(abbreviation[],0,ColumnLanguage),ColumnAbbreviation,FALSE),"")</f>
        <v/>
      </c>
      <c r="BL327" s="21" t="str">
        <f ca="1">IFERROR(VLOOKUP(I327,OFFSET(abbreviation[],0,ColumnLanguage),ColumnAbbreviation,FALSE),"")</f>
        <v/>
      </c>
      <c r="BM327" s="21" t="str">
        <f ca="1">IFERROR(VLOOKUP(K327,OFFSET(abbreviation[],0,ColumnLanguage),ColumnAbbreviation,FALSE),"")</f>
        <v/>
      </c>
      <c r="BN327" s="21" t="str">
        <f t="shared" ca="1" si="35"/>
        <v/>
      </c>
      <c r="BO327" s="21" t="str">
        <f ca="1">IFERROR(VLOOKUP(N327,OFFSET(abbreviation[],0,ColumnLanguage),ColumnAbbreviation,FALSE),"")</f>
        <v/>
      </c>
      <c r="BP327" s="21" t="str">
        <f ca="1">IFERROR(VLOOKUP(P327,OFFSET(abbreviation[],0,ColumnLanguage),ColumnAbbreviation,FALSE),"")</f>
        <v/>
      </c>
      <c r="BQ327" s="21" t="str">
        <f ca="1">IFERROR(VLOOKUP(T327,OFFSET(abbreviation[],0,ColumnLanguage),ColumnAbbreviation,FALSE),"")</f>
        <v/>
      </c>
      <c r="BR327" s="21" t="str">
        <f ca="1">IFERROR(VLOOKUP(V327,OFFSET(abbreviation[],0,ColumnLanguage),ColumnAbbreviation,FALSE),"")</f>
        <v/>
      </c>
      <c r="BS327" s="21" t="str">
        <f ca="1">IFERROR(VLOOKUP(Z327,OFFSET(abbreviation[],0,ColumnLanguage),ColumnAbbreviation,FALSE),"")</f>
        <v/>
      </c>
      <c r="BT327" s="21" t="str">
        <f ca="1">IFERROR(VLOOKUP(AB327,OFFSET(abbreviation[],0,ColumnLanguage),ColumnAbbreviation,FALSE),"")</f>
        <v/>
      </c>
      <c r="BU327" s="21" t="str">
        <f t="shared" ca="1" si="36"/>
        <v>__</v>
      </c>
      <c r="BV327" s="21" t="str">
        <f ca="1">IFERROR(VLOOKUP(AF327,OFFSET(abbreviation[],0,ColumnLanguage),ColumnAbbreviation,FALSE),"")</f>
        <v/>
      </c>
      <c r="BW327" s="21" t="str">
        <f ca="1">IFERROR(VLOOKUP(AH327,OFFSET(abbreviation[],0,ColumnLanguage),ColumnAbbreviation,FALSE),"")</f>
        <v/>
      </c>
      <c r="BX327" s="21" t="str">
        <f ca="1">IFERROR(VLOOKUP(AJ327,OFFSET(abbreviation[],0,ColumnLanguage),ColumnAbbreviation,FALSE),"")</f>
        <v/>
      </c>
      <c r="BY327" s="21" t="str">
        <f ca="1">IFERROR(VLOOKUP(AL327,OFFSET(abbreviation[],0,ColumnLanguage),ColumnAbbreviation,FALSE),"")</f>
        <v/>
      </c>
      <c r="BZ327" s="21" t="str">
        <f t="shared" ca="1" si="37"/>
        <v>_</v>
      </c>
      <c r="CA327" s="21" t="str">
        <f ca="1">IFERROR(VLOOKUP(AP327,OFFSET(abbreviation[],0,ColumnLanguage),ColumnAbbreviation,FALSE),"")</f>
        <v/>
      </c>
      <c r="CB327" s="21" t="str">
        <f ca="1">IFERROR(VLOOKUP(AR327,OFFSET(abbreviation[],0,ColumnLanguage),ColumnAbbreviation,FALSE),"")</f>
        <v/>
      </c>
      <c r="CC327" s="21" t="str">
        <f ca="1">IFERROR(VLOOKUP(AT327,OFFSET(abbreviation[],0,ColumnLanguage),ColumnAbbreviation,FALSE),"")</f>
        <v/>
      </c>
      <c r="CD327" s="21" t="str">
        <f ca="1">IFERROR(VLOOKUP(AV327,OFFSET(abbreviation[],0,ColumnLanguage),ColumnAbbreviation,FALSE),"")</f>
        <v/>
      </c>
      <c r="CE327" s="21" t="str">
        <f t="shared" ca="1" si="38"/>
        <v>__</v>
      </c>
      <c r="CF327" s="21" t="str">
        <f ca="1">IFERROR(VLOOKUP(AX327,OFFSET(abbreviation[],0,ColumnLanguage),ColumnAbbreviation,FALSE),"")</f>
        <v/>
      </c>
      <c r="CG327" s="21" t="str">
        <f ca="1">IFERROR(VLOOKUP(AZ327,OFFSET(abbreviation[],0,ColumnLanguage),ColumnAbbreviation,FALSE),"")</f>
        <v/>
      </c>
      <c r="CH327" s="21" t="str">
        <f ca="1">IFERROR(VLOOKUP(BB327,OFFSET(abbreviation[],0,ColumnLanguage),ColumnAbbreviation,FALSE),"")</f>
        <v/>
      </c>
      <c r="CI327" s="21" t="str">
        <f ca="1">IFERROR(VLOOKUP(BD327,OFFSET(abbreviation[],0,ColumnLanguage),ColumnAbbreviation,FALSE),"")</f>
        <v/>
      </c>
      <c r="CJ327" s="21" t="str">
        <f ca="1">IFERROR(VLOOKUP(BF327,OFFSET(abbreviation[],0,ColumnLanguage),ColumnAbbreviation,FALSE),"")</f>
        <v/>
      </c>
      <c r="CK327" s="21" t="str">
        <f t="shared" ca="1" si="39"/>
        <v/>
      </c>
      <c r="CL327" s="21" t="str">
        <f t="shared" si="40"/>
        <v/>
      </c>
      <c r="CM327" s="52"/>
      <c r="CN327" s="57" t="str">
        <f t="shared" si="41"/>
        <v/>
      </c>
    </row>
    <row r="328" spans="16:92" x14ac:dyDescent="0.25">
      <c r="P328" s="60"/>
      <c r="Q328" s="13"/>
      <c r="V328" s="60"/>
      <c r="X328" s="61"/>
      <c r="AB328" s="60"/>
      <c r="AN328" s="54"/>
      <c r="AS328" s="15"/>
      <c r="BH328" s="52"/>
      <c r="BI328" s="21" t="str">
        <f ca="1">IFERROR(VLOOKUP(C328,OFFSET(abbreviation[],0,ColumnLanguage),ColumnAbbreviation,FALSE),"")</f>
        <v/>
      </c>
      <c r="BJ328" s="21" t="str">
        <f ca="1">IFERROR(VLOOKUP(E328,OFFSET(abbreviation[],0,ColumnLanguage),ColumnAbbreviation,FALSE),"")</f>
        <v/>
      </c>
      <c r="BK328" s="21" t="str">
        <f ca="1">IFERROR(VLOOKUP(G328,OFFSET(abbreviation[],0,ColumnLanguage),ColumnAbbreviation,FALSE),"")</f>
        <v/>
      </c>
      <c r="BL328" s="21" t="str">
        <f ca="1">IFERROR(VLOOKUP(I328,OFFSET(abbreviation[],0,ColumnLanguage),ColumnAbbreviation,FALSE),"")</f>
        <v/>
      </c>
      <c r="BM328" s="21" t="str">
        <f ca="1">IFERROR(VLOOKUP(K328,OFFSET(abbreviation[],0,ColumnLanguage),ColumnAbbreviation,FALSE),"")</f>
        <v/>
      </c>
      <c r="BN328" s="21" t="str">
        <f t="shared" ca="1" si="35"/>
        <v/>
      </c>
      <c r="BO328" s="21" t="str">
        <f ca="1">IFERROR(VLOOKUP(N328,OFFSET(abbreviation[],0,ColumnLanguage),ColumnAbbreviation,FALSE),"")</f>
        <v/>
      </c>
      <c r="BP328" s="21" t="str">
        <f ca="1">IFERROR(VLOOKUP(P328,OFFSET(abbreviation[],0,ColumnLanguage),ColumnAbbreviation,FALSE),"")</f>
        <v/>
      </c>
      <c r="BQ328" s="21" t="str">
        <f ca="1">IFERROR(VLOOKUP(T328,OFFSET(abbreviation[],0,ColumnLanguage),ColumnAbbreviation,FALSE),"")</f>
        <v/>
      </c>
      <c r="BR328" s="21" t="str">
        <f ca="1">IFERROR(VLOOKUP(V328,OFFSET(abbreviation[],0,ColumnLanguage),ColumnAbbreviation,FALSE),"")</f>
        <v/>
      </c>
      <c r="BS328" s="21" t="str">
        <f ca="1">IFERROR(VLOOKUP(Z328,OFFSET(abbreviation[],0,ColumnLanguage),ColumnAbbreviation,FALSE),"")</f>
        <v/>
      </c>
      <c r="BT328" s="21" t="str">
        <f ca="1">IFERROR(VLOOKUP(AB328,OFFSET(abbreviation[],0,ColumnLanguage),ColumnAbbreviation,FALSE),"")</f>
        <v/>
      </c>
      <c r="BU328" s="21" t="str">
        <f t="shared" ca="1" si="36"/>
        <v>__</v>
      </c>
      <c r="BV328" s="21" t="str">
        <f ca="1">IFERROR(VLOOKUP(AF328,OFFSET(abbreviation[],0,ColumnLanguage),ColumnAbbreviation,FALSE),"")</f>
        <v/>
      </c>
      <c r="BW328" s="21" t="str">
        <f ca="1">IFERROR(VLOOKUP(AH328,OFFSET(abbreviation[],0,ColumnLanguage),ColumnAbbreviation,FALSE),"")</f>
        <v/>
      </c>
      <c r="BX328" s="21" t="str">
        <f ca="1">IFERROR(VLOOKUP(AJ328,OFFSET(abbreviation[],0,ColumnLanguage),ColumnAbbreviation,FALSE),"")</f>
        <v/>
      </c>
      <c r="BY328" s="21" t="str">
        <f ca="1">IFERROR(VLOOKUP(AL328,OFFSET(abbreviation[],0,ColumnLanguage),ColumnAbbreviation,FALSE),"")</f>
        <v/>
      </c>
      <c r="BZ328" s="21" t="str">
        <f t="shared" ca="1" si="37"/>
        <v>_</v>
      </c>
      <c r="CA328" s="21" t="str">
        <f ca="1">IFERROR(VLOOKUP(AP328,OFFSET(abbreviation[],0,ColumnLanguage),ColumnAbbreviation,FALSE),"")</f>
        <v/>
      </c>
      <c r="CB328" s="21" t="str">
        <f ca="1">IFERROR(VLOOKUP(AR328,OFFSET(abbreviation[],0,ColumnLanguage),ColumnAbbreviation,FALSE),"")</f>
        <v/>
      </c>
      <c r="CC328" s="21" t="str">
        <f ca="1">IFERROR(VLOOKUP(AT328,OFFSET(abbreviation[],0,ColumnLanguage),ColumnAbbreviation,FALSE),"")</f>
        <v/>
      </c>
      <c r="CD328" s="21" t="str">
        <f ca="1">IFERROR(VLOOKUP(AV328,OFFSET(abbreviation[],0,ColumnLanguage),ColumnAbbreviation,FALSE),"")</f>
        <v/>
      </c>
      <c r="CE328" s="21" t="str">
        <f t="shared" ca="1" si="38"/>
        <v>__</v>
      </c>
      <c r="CF328" s="21" t="str">
        <f ca="1">IFERROR(VLOOKUP(AX328,OFFSET(abbreviation[],0,ColumnLanguage),ColumnAbbreviation,FALSE),"")</f>
        <v/>
      </c>
      <c r="CG328" s="21" t="str">
        <f ca="1">IFERROR(VLOOKUP(AZ328,OFFSET(abbreviation[],0,ColumnLanguage),ColumnAbbreviation,FALSE),"")</f>
        <v/>
      </c>
      <c r="CH328" s="21" t="str">
        <f ca="1">IFERROR(VLOOKUP(BB328,OFFSET(abbreviation[],0,ColumnLanguage),ColumnAbbreviation,FALSE),"")</f>
        <v/>
      </c>
      <c r="CI328" s="21" t="str">
        <f ca="1">IFERROR(VLOOKUP(BD328,OFFSET(abbreviation[],0,ColumnLanguage),ColumnAbbreviation,FALSE),"")</f>
        <v/>
      </c>
      <c r="CJ328" s="21" t="str">
        <f ca="1">IFERROR(VLOOKUP(BF328,OFFSET(abbreviation[],0,ColumnLanguage),ColumnAbbreviation,FALSE),"")</f>
        <v/>
      </c>
      <c r="CK328" s="21" t="str">
        <f t="shared" ca="1" si="39"/>
        <v/>
      </c>
      <c r="CL328" s="21" t="str">
        <f t="shared" si="40"/>
        <v/>
      </c>
      <c r="CM328" s="52"/>
      <c r="CN328" s="57" t="str">
        <f t="shared" si="41"/>
        <v/>
      </c>
    </row>
    <row r="329" spans="16:92" x14ac:dyDescent="0.25">
      <c r="P329" s="60"/>
      <c r="Q329" s="13"/>
      <c r="V329" s="60"/>
      <c r="X329" s="61"/>
      <c r="AB329" s="60"/>
      <c r="AN329" s="54"/>
      <c r="AS329" s="15"/>
      <c r="BH329" s="52"/>
      <c r="BI329" s="21" t="str">
        <f ca="1">IFERROR(VLOOKUP(C329,OFFSET(abbreviation[],0,ColumnLanguage),ColumnAbbreviation,FALSE),"")</f>
        <v/>
      </c>
      <c r="BJ329" s="21" t="str">
        <f ca="1">IFERROR(VLOOKUP(E329,OFFSET(abbreviation[],0,ColumnLanguage),ColumnAbbreviation,FALSE),"")</f>
        <v/>
      </c>
      <c r="BK329" s="21" t="str">
        <f ca="1">IFERROR(VLOOKUP(G329,OFFSET(abbreviation[],0,ColumnLanguage),ColumnAbbreviation,FALSE),"")</f>
        <v/>
      </c>
      <c r="BL329" s="21" t="str">
        <f ca="1">IFERROR(VLOOKUP(I329,OFFSET(abbreviation[],0,ColumnLanguage),ColumnAbbreviation,FALSE),"")</f>
        <v/>
      </c>
      <c r="BM329" s="21" t="str">
        <f ca="1">IFERROR(VLOOKUP(K329,OFFSET(abbreviation[],0,ColumnLanguage),ColumnAbbreviation,FALSE),"")</f>
        <v/>
      </c>
      <c r="BN329" s="21" t="str">
        <f t="shared" ca="1" si="35"/>
        <v/>
      </c>
      <c r="BO329" s="21" t="str">
        <f ca="1">IFERROR(VLOOKUP(N329,OFFSET(abbreviation[],0,ColumnLanguage),ColumnAbbreviation,FALSE),"")</f>
        <v/>
      </c>
      <c r="BP329" s="21" t="str">
        <f ca="1">IFERROR(VLOOKUP(P329,OFFSET(abbreviation[],0,ColumnLanguage),ColumnAbbreviation,FALSE),"")</f>
        <v/>
      </c>
      <c r="BQ329" s="21" t="str">
        <f ca="1">IFERROR(VLOOKUP(T329,OFFSET(abbreviation[],0,ColumnLanguage),ColumnAbbreviation,FALSE),"")</f>
        <v/>
      </c>
      <c r="BR329" s="21" t="str">
        <f ca="1">IFERROR(VLOOKUP(V329,OFFSET(abbreviation[],0,ColumnLanguage),ColumnAbbreviation,FALSE),"")</f>
        <v/>
      </c>
      <c r="BS329" s="21" t="str">
        <f ca="1">IFERROR(VLOOKUP(Z329,OFFSET(abbreviation[],0,ColumnLanguage),ColumnAbbreviation,FALSE),"")</f>
        <v/>
      </c>
      <c r="BT329" s="21" t="str">
        <f ca="1">IFERROR(VLOOKUP(AB329,OFFSET(abbreviation[],0,ColumnLanguage),ColumnAbbreviation,FALSE),"")</f>
        <v/>
      </c>
      <c r="BU329" s="21" t="str">
        <f t="shared" ca="1" si="36"/>
        <v>__</v>
      </c>
      <c r="BV329" s="21" t="str">
        <f ca="1">IFERROR(VLOOKUP(AF329,OFFSET(abbreviation[],0,ColumnLanguage),ColumnAbbreviation,FALSE),"")</f>
        <v/>
      </c>
      <c r="BW329" s="21" t="str">
        <f ca="1">IFERROR(VLOOKUP(AH329,OFFSET(abbreviation[],0,ColumnLanguage),ColumnAbbreviation,FALSE),"")</f>
        <v/>
      </c>
      <c r="BX329" s="21" t="str">
        <f ca="1">IFERROR(VLOOKUP(AJ329,OFFSET(abbreviation[],0,ColumnLanguage),ColumnAbbreviation,FALSE),"")</f>
        <v/>
      </c>
      <c r="BY329" s="21" t="str">
        <f ca="1">IFERROR(VLOOKUP(AL329,OFFSET(abbreviation[],0,ColumnLanguage),ColumnAbbreviation,FALSE),"")</f>
        <v/>
      </c>
      <c r="BZ329" s="21" t="str">
        <f t="shared" ca="1" si="37"/>
        <v>_</v>
      </c>
      <c r="CA329" s="21" t="str">
        <f ca="1">IFERROR(VLOOKUP(AP329,OFFSET(abbreviation[],0,ColumnLanguage),ColumnAbbreviation,FALSE),"")</f>
        <v/>
      </c>
      <c r="CB329" s="21" t="str">
        <f ca="1">IFERROR(VLOOKUP(AR329,OFFSET(abbreviation[],0,ColumnLanguage),ColumnAbbreviation,FALSE),"")</f>
        <v/>
      </c>
      <c r="CC329" s="21" t="str">
        <f ca="1">IFERROR(VLOOKUP(AT329,OFFSET(abbreviation[],0,ColumnLanguage),ColumnAbbreviation,FALSE),"")</f>
        <v/>
      </c>
      <c r="CD329" s="21" t="str">
        <f ca="1">IFERROR(VLOOKUP(AV329,OFFSET(abbreviation[],0,ColumnLanguage),ColumnAbbreviation,FALSE),"")</f>
        <v/>
      </c>
      <c r="CE329" s="21" t="str">
        <f t="shared" ca="1" si="38"/>
        <v>__</v>
      </c>
      <c r="CF329" s="21" t="str">
        <f ca="1">IFERROR(VLOOKUP(AX329,OFFSET(abbreviation[],0,ColumnLanguage),ColumnAbbreviation,FALSE),"")</f>
        <v/>
      </c>
      <c r="CG329" s="21" t="str">
        <f ca="1">IFERROR(VLOOKUP(AZ329,OFFSET(abbreviation[],0,ColumnLanguage),ColumnAbbreviation,FALSE),"")</f>
        <v/>
      </c>
      <c r="CH329" s="21" t="str">
        <f ca="1">IFERROR(VLOOKUP(BB329,OFFSET(abbreviation[],0,ColumnLanguage),ColumnAbbreviation,FALSE),"")</f>
        <v/>
      </c>
      <c r="CI329" s="21" t="str">
        <f ca="1">IFERROR(VLOOKUP(BD329,OFFSET(abbreviation[],0,ColumnLanguage),ColumnAbbreviation,FALSE),"")</f>
        <v/>
      </c>
      <c r="CJ329" s="21" t="str">
        <f ca="1">IFERROR(VLOOKUP(BF329,OFFSET(abbreviation[],0,ColumnLanguage),ColumnAbbreviation,FALSE),"")</f>
        <v/>
      </c>
      <c r="CK329" s="21" t="str">
        <f t="shared" ca="1" si="39"/>
        <v/>
      </c>
      <c r="CL329" s="21" t="str">
        <f t="shared" si="40"/>
        <v/>
      </c>
      <c r="CM329" s="52"/>
      <c r="CN329" s="57" t="str">
        <f t="shared" si="41"/>
        <v/>
      </c>
    </row>
    <row r="330" spans="16:92" x14ac:dyDescent="0.25">
      <c r="P330" s="60"/>
      <c r="Q330" s="13"/>
      <c r="V330" s="60"/>
      <c r="X330" s="61"/>
      <c r="AB330" s="60"/>
      <c r="AN330" s="54"/>
      <c r="AS330" s="15"/>
      <c r="BH330" s="52"/>
      <c r="BI330" s="21" t="str">
        <f ca="1">IFERROR(VLOOKUP(C330,OFFSET(abbreviation[],0,ColumnLanguage),ColumnAbbreviation,FALSE),"")</f>
        <v/>
      </c>
      <c r="BJ330" s="21" t="str">
        <f ca="1">IFERROR(VLOOKUP(E330,OFFSET(abbreviation[],0,ColumnLanguage),ColumnAbbreviation,FALSE),"")</f>
        <v/>
      </c>
      <c r="BK330" s="21" t="str">
        <f ca="1">IFERROR(VLOOKUP(G330,OFFSET(abbreviation[],0,ColumnLanguage),ColumnAbbreviation,FALSE),"")</f>
        <v/>
      </c>
      <c r="BL330" s="21" t="str">
        <f ca="1">IFERROR(VLOOKUP(I330,OFFSET(abbreviation[],0,ColumnLanguage),ColumnAbbreviation,FALSE),"")</f>
        <v/>
      </c>
      <c r="BM330" s="21" t="str">
        <f ca="1">IFERROR(VLOOKUP(K330,OFFSET(abbreviation[],0,ColumnLanguage),ColumnAbbreviation,FALSE),"")</f>
        <v/>
      </c>
      <c r="BN330" s="21" t="str">
        <f t="shared" ca="1" si="35"/>
        <v/>
      </c>
      <c r="BO330" s="21" t="str">
        <f ca="1">IFERROR(VLOOKUP(N330,OFFSET(abbreviation[],0,ColumnLanguage),ColumnAbbreviation,FALSE),"")</f>
        <v/>
      </c>
      <c r="BP330" s="21" t="str">
        <f ca="1">IFERROR(VLOOKUP(P330,OFFSET(abbreviation[],0,ColumnLanguage),ColumnAbbreviation,FALSE),"")</f>
        <v/>
      </c>
      <c r="BQ330" s="21" t="str">
        <f ca="1">IFERROR(VLOOKUP(T330,OFFSET(abbreviation[],0,ColumnLanguage),ColumnAbbreviation,FALSE),"")</f>
        <v/>
      </c>
      <c r="BR330" s="21" t="str">
        <f ca="1">IFERROR(VLOOKUP(V330,OFFSET(abbreviation[],0,ColumnLanguage),ColumnAbbreviation,FALSE),"")</f>
        <v/>
      </c>
      <c r="BS330" s="21" t="str">
        <f ca="1">IFERROR(VLOOKUP(Z330,OFFSET(abbreviation[],0,ColumnLanguage),ColumnAbbreviation,FALSE),"")</f>
        <v/>
      </c>
      <c r="BT330" s="21" t="str">
        <f ca="1">IFERROR(VLOOKUP(AB330,OFFSET(abbreviation[],0,ColumnLanguage),ColumnAbbreviation,FALSE),"")</f>
        <v/>
      </c>
      <c r="BU330" s="21" t="str">
        <f t="shared" ca="1" si="36"/>
        <v>__</v>
      </c>
      <c r="BV330" s="21" t="str">
        <f ca="1">IFERROR(VLOOKUP(AF330,OFFSET(abbreviation[],0,ColumnLanguage),ColumnAbbreviation,FALSE),"")</f>
        <v/>
      </c>
      <c r="BW330" s="21" t="str">
        <f ca="1">IFERROR(VLOOKUP(AH330,OFFSET(abbreviation[],0,ColumnLanguage),ColumnAbbreviation,FALSE),"")</f>
        <v/>
      </c>
      <c r="BX330" s="21" t="str">
        <f ca="1">IFERROR(VLOOKUP(AJ330,OFFSET(abbreviation[],0,ColumnLanguage),ColumnAbbreviation,FALSE),"")</f>
        <v/>
      </c>
      <c r="BY330" s="21" t="str">
        <f ca="1">IFERROR(VLOOKUP(AL330,OFFSET(abbreviation[],0,ColumnLanguage),ColumnAbbreviation,FALSE),"")</f>
        <v/>
      </c>
      <c r="BZ330" s="21" t="str">
        <f t="shared" ca="1" si="37"/>
        <v>_</v>
      </c>
      <c r="CA330" s="21" t="str">
        <f ca="1">IFERROR(VLOOKUP(AP330,OFFSET(abbreviation[],0,ColumnLanguage),ColumnAbbreviation,FALSE),"")</f>
        <v/>
      </c>
      <c r="CB330" s="21" t="str">
        <f ca="1">IFERROR(VLOOKUP(AR330,OFFSET(abbreviation[],0,ColumnLanguage),ColumnAbbreviation,FALSE),"")</f>
        <v/>
      </c>
      <c r="CC330" s="21" t="str">
        <f ca="1">IFERROR(VLOOKUP(AT330,OFFSET(abbreviation[],0,ColumnLanguage),ColumnAbbreviation,FALSE),"")</f>
        <v/>
      </c>
      <c r="CD330" s="21" t="str">
        <f ca="1">IFERROR(VLOOKUP(AV330,OFFSET(abbreviation[],0,ColumnLanguage),ColumnAbbreviation,FALSE),"")</f>
        <v/>
      </c>
      <c r="CE330" s="21" t="str">
        <f t="shared" ca="1" si="38"/>
        <v>__</v>
      </c>
      <c r="CF330" s="21" t="str">
        <f ca="1">IFERROR(VLOOKUP(AX330,OFFSET(abbreviation[],0,ColumnLanguage),ColumnAbbreviation,FALSE),"")</f>
        <v/>
      </c>
      <c r="CG330" s="21" t="str">
        <f ca="1">IFERROR(VLOOKUP(AZ330,OFFSET(abbreviation[],0,ColumnLanguage),ColumnAbbreviation,FALSE),"")</f>
        <v/>
      </c>
      <c r="CH330" s="21" t="str">
        <f ca="1">IFERROR(VLOOKUP(BB330,OFFSET(abbreviation[],0,ColumnLanguage),ColumnAbbreviation,FALSE),"")</f>
        <v/>
      </c>
      <c r="CI330" s="21" t="str">
        <f ca="1">IFERROR(VLOOKUP(BD330,OFFSET(abbreviation[],0,ColumnLanguage),ColumnAbbreviation,FALSE),"")</f>
        <v/>
      </c>
      <c r="CJ330" s="21" t="str">
        <f ca="1">IFERROR(VLOOKUP(BF330,OFFSET(abbreviation[],0,ColumnLanguage),ColumnAbbreviation,FALSE),"")</f>
        <v/>
      </c>
      <c r="CK330" s="21" t="str">
        <f t="shared" ca="1" si="39"/>
        <v/>
      </c>
      <c r="CL330" s="21" t="str">
        <f t="shared" si="40"/>
        <v/>
      </c>
      <c r="CM330" s="52"/>
      <c r="CN330" s="57" t="str">
        <f t="shared" si="41"/>
        <v/>
      </c>
    </row>
    <row r="331" spans="16:92" x14ac:dyDescent="0.25">
      <c r="P331" s="60"/>
      <c r="Q331" s="13"/>
      <c r="V331" s="60"/>
      <c r="X331" s="61"/>
      <c r="AB331" s="60"/>
      <c r="AN331" s="54"/>
      <c r="AS331" s="15"/>
      <c r="BH331" s="52"/>
      <c r="BI331" s="21" t="str">
        <f ca="1">IFERROR(VLOOKUP(C331,OFFSET(abbreviation[],0,ColumnLanguage),ColumnAbbreviation,FALSE),"")</f>
        <v/>
      </c>
      <c r="BJ331" s="21" t="str">
        <f ca="1">IFERROR(VLOOKUP(E331,OFFSET(abbreviation[],0,ColumnLanguage),ColumnAbbreviation,FALSE),"")</f>
        <v/>
      </c>
      <c r="BK331" s="21" t="str">
        <f ca="1">IFERROR(VLOOKUP(G331,OFFSET(abbreviation[],0,ColumnLanguage),ColumnAbbreviation,FALSE),"")</f>
        <v/>
      </c>
      <c r="BL331" s="21" t="str">
        <f ca="1">IFERROR(VLOOKUP(I331,OFFSET(abbreviation[],0,ColumnLanguage),ColumnAbbreviation,FALSE),"")</f>
        <v/>
      </c>
      <c r="BM331" s="21" t="str">
        <f ca="1">IFERROR(VLOOKUP(K331,OFFSET(abbreviation[],0,ColumnLanguage),ColumnAbbreviation,FALSE),"")</f>
        <v/>
      </c>
      <c r="BN331" s="21" t="str">
        <f t="shared" ca="1" si="35"/>
        <v/>
      </c>
      <c r="BO331" s="21" t="str">
        <f ca="1">IFERROR(VLOOKUP(N331,OFFSET(abbreviation[],0,ColumnLanguage),ColumnAbbreviation,FALSE),"")</f>
        <v/>
      </c>
      <c r="BP331" s="21" t="str">
        <f ca="1">IFERROR(VLOOKUP(P331,OFFSET(abbreviation[],0,ColumnLanguage),ColumnAbbreviation,FALSE),"")</f>
        <v/>
      </c>
      <c r="BQ331" s="21" t="str">
        <f ca="1">IFERROR(VLOOKUP(T331,OFFSET(abbreviation[],0,ColumnLanguage),ColumnAbbreviation,FALSE),"")</f>
        <v/>
      </c>
      <c r="BR331" s="21" t="str">
        <f ca="1">IFERROR(VLOOKUP(V331,OFFSET(abbreviation[],0,ColumnLanguage),ColumnAbbreviation,FALSE),"")</f>
        <v/>
      </c>
      <c r="BS331" s="21" t="str">
        <f ca="1">IFERROR(VLOOKUP(Z331,OFFSET(abbreviation[],0,ColumnLanguage),ColumnAbbreviation,FALSE),"")</f>
        <v/>
      </c>
      <c r="BT331" s="21" t="str">
        <f ca="1">IFERROR(VLOOKUP(AB331,OFFSET(abbreviation[],0,ColumnLanguage),ColumnAbbreviation,FALSE),"")</f>
        <v/>
      </c>
      <c r="BU331" s="21" t="str">
        <f t="shared" ca="1" si="36"/>
        <v>__</v>
      </c>
      <c r="BV331" s="21" t="str">
        <f ca="1">IFERROR(VLOOKUP(AF331,OFFSET(abbreviation[],0,ColumnLanguage),ColumnAbbreviation,FALSE),"")</f>
        <v/>
      </c>
      <c r="BW331" s="21" t="str">
        <f ca="1">IFERROR(VLOOKUP(AH331,OFFSET(abbreviation[],0,ColumnLanguage),ColumnAbbreviation,FALSE),"")</f>
        <v/>
      </c>
      <c r="BX331" s="21" t="str">
        <f ca="1">IFERROR(VLOOKUP(AJ331,OFFSET(abbreviation[],0,ColumnLanguage),ColumnAbbreviation,FALSE),"")</f>
        <v/>
      </c>
      <c r="BY331" s="21" t="str">
        <f ca="1">IFERROR(VLOOKUP(AL331,OFFSET(abbreviation[],0,ColumnLanguage),ColumnAbbreviation,FALSE),"")</f>
        <v/>
      </c>
      <c r="BZ331" s="21" t="str">
        <f t="shared" ca="1" si="37"/>
        <v>_</v>
      </c>
      <c r="CA331" s="21" t="str">
        <f ca="1">IFERROR(VLOOKUP(AP331,OFFSET(abbreviation[],0,ColumnLanguage),ColumnAbbreviation,FALSE),"")</f>
        <v/>
      </c>
      <c r="CB331" s="21" t="str">
        <f ca="1">IFERROR(VLOOKUP(AR331,OFFSET(abbreviation[],0,ColumnLanguage),ColumnAbbreviation,FALSE),"")</f>
        <v/>
      </c>
      <c r="CC331" s="21" t="str">
        <f ca="1">IFERROR(VLOOKUP(AT331,OFFSET(abbreviation[],0,ColumnLanguage),ColumnAbbreviation,FALSE),"")</f>
        <v/>
      </c>
      <c r="CD331" s="21" t="str">
        <f ca="1">IFERROR(VLOOKUP(AV331,OFFSET(abbreviation[],0,ColumnLanguage),ColumnAbbreviation,FALSE),"")</f>
        <v/>
      </c>
      <c r="CE331" s="21" t="str">
        <f t="shared" ca="1" si="38"/>
        <v>__</v>
      </c>
      <c r="CF331" s="21" t="str">
        <f ca="1">IFERROR(VLOOKUP(AX331,OFFSET(abbreviation[],0,ColumnLanguage),ColumnAbbreviation,FALSE),"")</f>
        <v/>
      </c>
      <c r="CG331" s="21" t="str">
        <f ca="1">IFERROR(VLOOKUP(AZ331,OFFSET(abbreviation[],0,ColumnLanguage),ColumnAbbreviation,FALSE),"")</f>
        <v/>
      </c>
      <c r="CH331" s="21" t="str">
        <f ca="1">IFERROR(VLOOKUP(BB331,OFFSET(abbreviation[],0,ColumnLanguage),ColumnAbbreviation,FALSE),"")</f>
        <v/>
      </c>
      <c r="CI331" s="21" t="str">
        <f ca="1">IFERROR(VLOOKUP(BD331,OFFSET(abbreviation[],0,ColumnLanguage),ColumnAbbreviation,FALSE),"")</f>
        <v/>
      </c>
      <c r="CJ331" s="21" t="str">
        <f ca="1">IFERROR(VLOOKUP(BF331,OFFSET(abbreviation[],0,ColumnLanguage),ColumnAbbreviation,FALSE),"")</f>
        <v/>
      </c>
      <c r="CK331" s="21" t="str">
        <f t="shared" ca="1" si="39"/>
        <v/>
      </c>
      <c r="CL331" s="21" t="str">
        <f t="shared" si="40"/>
        <v/>
      </c>
      <c r="CM331" s="52"/>
      <c r="CN331" s="57" t="str">
        <f t="shared" si="41"/>
        <v/>
      </c>
    </row>
    <row r="332" spans="16:92" x14ac:dyDescent="0.25">
      <c r="P332" s="60"/>
      <c r="Q332" s="13"/>
      <c r="V332" s="60"/>
      <c r="X332" s="61"/>
      <c r="AB332" s="60"/>
      <c r="AN332" s="54"/>
      <c r="AS332" s="15"/>
      <c r="BH332" s="52"/>
      <c r="BI332" s="21" t="str">
        <f ca="1">IFERROR(VLOOKUP(C332,OFFSET(abbreviation[],0,ColumnLanguage),ColumnAbbreviation,FALSE),"")</f>
        <v/>
      </c>
      <c r="BJ332" s="21" t="str">
        <f ca="1">IFERROR(VLOOKUP(E332,OFFSET(abbreviation[],0,ColumnLanguage),ColumnAbbreviation,FALSE),"")</f>
        <v/>
      </c>
      <c r="BK332" s="21" t="str">
        <f ca="1">IFERROR(VLOOKUP(G332,OFFSET(abbreviation[],0,ColumnLanguage),ColumnAbbreviation,FALSE),"")</f>
        <v/>
      </c>
      <c r="BL332" s="21" t="str">
        <f ca="1">IFERROR(VLOOKUP(I332,OFFSET(abbreviation[],0,ColumnLanguage),ColumnAbbreviation,FALSE),"")</f>
        <v/>
      </c>
      <c r="BM332" s="21" t="str">
        <f ca="1">IFERROR(VLOOKUP(K332,OFFSET(abbreviation[],0,ColumnLanguage),ColumnAbbreviation,FALSE),"")</f>
        <v/>
      </c>
      <c r="BN332" s="21" t="str">
        <f t="shared" ca="1" si="35"/>
        <v/>
      </c>
      <c r="BO332" s="21" t="str">
        <f ca="1">IFERROR(VLOOKUP(N332,OFFSET(abbreviation[],0,ColumnLanguage),ColumnAbbreviation,FALSE),"")</f>
        <v/>
      </c>
      <c r="BP332" s="21" t="str">
        <f ca="1">IFERROR(VLOOKUP(P332,OFFSET(abbreviation[],0,ColumnLanguage),ColumnAbbreviation,FALSE),"")</f>
        <v/>
      </c>
      <c r="BQ332" s="21" t="str">
        <f ca="1">IFERROR(VLOOKUP(T332,OFFSET(abbreviation[],0,ColumnLanguage),ColumnAbbreviation,FALSE),"")</f>
        <v/>
      </c>
      <c r="BR332" s="21" t="str">
        <f ca="1">IFERROR(VLOOKUP(V332,OFFSET(abbreviation[],0,ColumnLanguage),ColumnAbbreviation,FALSE),"")</f>
        <v/>
      </c>
      <c r="BS332" s="21" t="str">
        <f ca="1">IFERROR(VLOOKUP(Z332,OFFSET(abbreviation[],0,ColumnLanguage),ColumnAbbreviation,FALSE),"")</f>
        <v/>
      </c>
      <c r="BT332" s="21" t="str">
        <f ca="1">IFERROR(VLOOKUP(AB332,OFFSET(abbreviation[],0,ColumnLanguage),ColumnAbbreviation,FALSE),"")</f>
        <v/>
      </c>
      <c r="BU332" s="21" t="str">
        <f t="shared" ca="1" si="36"/>
        <v>__</v>
      </c>
      <c r="BV332" s="21" t="str">
        <f ca="1">IFERROR(VLOOKUP(AF332,OFFSET(abbreviation[],0,ColumnLanguage),ColumnAbbreviation,FALSE),"")</f>
        <v/>
      </c>
      <c r="BW332" s="21" t="str">
        <f ca="1">IFERROR(VLOOKUP(AH332,OFFSET(abbreviation[],0,ColumnLanguage),ColumnAbbreviation,FALSE),"")</f>
        <v/>
      </c>
      <c r="BX332" s="21" t="str">
        <f ca="1">IFERROR(VLOOKUP(AJ332,OFFSET(abbreviation[],0,ColumnLanguage),ColumnAbbreviation,FALSE),"")</f>
        <v/>
      </c>
      <c r="BY332" s="21" t="str">
        <f ca="1">IFERROR(VLOOKUP(AL332,OFFSET(abbreviation[],0,ColumnLanguage),ColumnAbbreviation,FALSE),"")</f>
        <v/>
      </c>
      <c r="BZ332" s="21" t="str">
        <f t="shared" ca="1" si="37"/>
        <v>_</v>
      </c>
      <c r="CA332" s="21" t="str">
        <f ca="1">IFERROR(VLOOKUP(AP332,OFFSET(abbreviation[],0,ColumnLanguage),ColumnAbbreviation,FALSE),"")</f>
        <v/>
      </c>
      <c r="CB332" s="21" t="str">
        <f ca="1">IFERROR(VLOOKUP(AR332,OFFSET(abbreviation[],0,ColumnLanguage),ColumnAbbreviation,FALSE),"")</f>
        <v/>
      </c>
      <c r="CC332" s="21" t="str">
        <f ca="1">IFERROR(VLOOKUP(AT332,OFFSET(abbreviation[],0,ColumnLanguage),ColumnAbbreviation,FALSE),"")</f>
        <v/>
      </c>
      <c r="CD332" s="21" t="str">
        <f ca="1">IFERROR(VLOOKUP(AV332,OFFSET(abbreviation[],0,ColumnLanguage),ColumnAbbreviation,FALSE),"")</f>
        <v/>
      </c>
      <c r="CE332" s="21" t="str">
        <f t="shared" ca="1" si="38"/>
        <v>__</v>
      </c>
      <c r="CF332" s="21" t="str">
        <f ca="1">IFERROR(VLOOKUP(AX332,OFFSET(abbreviation[],0,ColumnLanguage),ColumnAbbreviation,FALSE),"")</f>
        <v/>
      </c>
      <c r="CG332" s="21" t="str">
        <f ca="1">IFERROR(VLOOKUP(AZ332,OFFSET(abbreviation[],0,ColumnLanguage),ColumnAbbreviation,FALSE),"")</f>
        <v/>
      </c>
      <c r="CH332" s="21" t="str">
        <f ca="1">IFERROR(VLOOKUP(BB332,OFFSET(abbreviation[],0,ColumnLanguage),ColumnAbbreviation,FALSE),"")</f>
        <v/>
      </c>
      <c r="CI332" s="21" t="str">
        <f ca="1">IFERROR(VLOOKUP(BD332,OFFSET(abbreviation[],0,ColumnLanguage),ColumnAbbreviation,FALSE),"")</f>
        <v/>
      </c>
      <c r="CJ332" s="21" t="str">
        <f ca="1">IFERROR(VLOOKUP(BF332,OFFSET(abbreviation[],0,ColumnLanguage),ColumnAbbreviation,FALSE),"")</f>
        <v/>
      </c>
      <c r="CK332" s="21" t="str">
        <f t="shared" ca="1" si="39"/>
        <v/>
      </c>
      <c r="CL332" s="21" t="str">
        <f t="shared" si="40"/>
        <v/>
      </c>
      <c r="CM332" s="52"/>
      <c r="CN332" s="57" t="str">
        <f t="shared" si="41"/>
        <v/>
      </c>
    </row>
    <row r="333" spans="16:92" x14ac:dyDescent="0.25">
      <c r="P333" s="60"/>
      <c r="Q333" s="13"/>
      <c r="V333" s="60"/>
      <c r="X333" s="61"/>
      <c r="AB333" s="60"/>
      <c r="AN333" s="54"/>
      <c r="AS333" s="15"/>
      <c r="BH333" s="52"/>
      <c r="BI333" s="21" t="str">
        <f ca="1">IFERROR(VLOOKUP(C333,OFFSET(abbreviation[],0,ColumnLanguage),ColumnAbbreviation,FALSE),"")</f>
        <v/>
      </c>
      <c r="BJ333" s="21" t="str">
        <f ca="1">IFERROR(VLOOKUP(E333,OFFSET(abbreviation[],0,ColumnLanguage),ColumnAbbreviation,FALSE),"")</f>
        <v/>
      </c>
      <c r="BK333" s="21" t="str">
        <f ca="1">IFERROR(VLOOKUP(G333,OFFSET(abbreviation[],0,ColumnLanguage),ColumnAbbreviation,FALSE),"")</f>
        <v/>
      </c>
      <c r="BL333" s="21" t="str">
        <f ca="1">IFERROR(VLOOKUP(I333,OFFSET(abbreviation[],0,ColumnLanguage),ColumnAbbreviation,FALSE),"")</f>
        <v/>
      </c>
      <c r="BM333" s="21" t="str">
        <f ca="1">IFERROR(VLOOKUP(K333,OFFSET(abbreviation[],0,ColumnLanguage),ColumnAbbreviation,FALSE),"")</f>
        <v/>
      </c>
      <c r="BN333" s="21" t="str">
        <f t="shared" ca="1" si="35"/>
        <v/>
      </c>
      <c r="BO333" s="21" t="str">
        <f ca="1">IFERROR(VLOOKUP(N333,OFFSET(abbreviation[],0,ColumnLanguage),ColumnAbbreviation,FALSE),"")</f>
        <v/>
      </c>
      <c r="BP333" s="21" t="str">
        <f ca="1">IFERROR(VLOOKUP(P333,OFFSET(abbreviation[],0,ColumnLanguage),ColumnAbbreviation,FALSE),"")</f>
        <v/>
      </c>
      <c r="BQ333" s="21" t="str">
        <f ca="1">IFERROR(VLOOKUP(T333,OFFSET(abbreviation[],0,ColumnLanguage),ColumnAbbreviation,FALSE),"")</f>
        <v/>
      </c>
      <c r="BR333" s="21" t="str">
        <f ca="1">IFERROR(VLOOKUP(V333,OFFSET(abbreviation[],0,ColumnLanguage),ColumnAbbreviation,FALSE),"")</f>
        <v/>
      </c>
      <c r="BS333" s="21" t="str">
        <f ca="1">IFERROR(VLOOKUP(Z333,OFFSET(abbreviation[],0,ColumnLanguage),ColumnAbbreviation,FALSE),"")</f>
        <v/>
      </c>
      <c r="BT333" s="21" t="str">
        <f ca="1">IFERROR(VLOOKUP(AB333,OFFSET(abbreviation[],0,ColumnLanguage),ColumnAbbreviation,FALSE),"")</f>
        <v/>
      </c>
      <c r="BU333" s="21" t="str">
        <f t="shared" ca="1" si="36"/>
        <v>__</v>
      </c>
      <c r="BV333" s="21" t="str">
        <f ca="1">IFERROR(VLOOKUP(AF333,OFFSET(abbreviation[],0,ColumnLanguage),ColumnAbbreviation,FALSE),"")</f>
        <v/>
      </c>
      <c r="BW333" s="21" t="str">
        <f ca="1">IFERROR(VLOOKUP(AH333,OFFSET(abbreviation[],0,ColumnLanguage),ColumnAbbreviation,FALSE),"")</f>
        <v/>
      </c>
      <c r="BX333" s="21" t="str">
        <f ca="1">IFERROR(VLOOKUP(AJ333,OFFSET(abbreviation[],0,ColumnLanguage),ColumnAbbreviation,FALSE),"")</f>
        <v/>
      </c>
      <c r="BY333" s="21" t="str">
        <f ca="1">IFERROR(VLOOKUP(AL333,OFFSET(abbreviation[],0,ColumnLanguage),ColumnAbbreviation,FALSE),"")</f>
        <v/>
      </c>
      <c r="BZ333" s="21" t="str">
        <f t="shared" ca="1" si="37"/>
        <v>_</v>
      </c>
      <c r="CA333" s="21" t="str">
        <f ca="1">IFERROR(VLOOKUP(AP333,OFFSET(abbreviation[],0,ColumnLanguage),ColumnAbbreviation,FALSE),"")</f>
        <v/>
      </c>
      <c r="CB333" s="21" t="str">
        <f ca="1">IFERROR(VLOOKUP(AR333,OFFSET(abbreviation[],0,ColumnLanguage),ColumnAbbreviation,FALSE),"")</f>
        <v/>
      </c>
      <c r="CC333" s="21" t="str">
        <f ca="1">IFERROR(VLOOKUP(AT333,OFFSET(abbreviation[],0,ColumnLanguage),ColumnAbbreviation,FALSE),"")</f>
        <v/>
      </c>
      <c r="CD333" s="21" t="str">
        <f ca="1">IFERROR(VLOOKUP(AV333,OFFSET(abbreviation[],0,ColumnLanguage),ColumnAbbreviation,FALSE),"")</f>
        <v/>
      </c>
      <c r="CE333" s="21" t="str">
        <f t="shared" ca="1" si="38"/>
        <v>__</v>
      </c>
      <c r="CF333" s="21" t="str">
        <f ca="1">IFERROR(VLOOKUP(AX333,OFFSET(abbreviation[],0,ColumnLanguage),ColumnAbbreviation,FALSE),"")</f>
        <v/>
      </c>
      <c r="CG333" s="21" t="str">
        <f ca="1">IFERROR(VLOOKUP(AZ333,OFFSET(abbreviation[],0,ColumnLanguage),ColumnAbbreviation,FALSE),"")</f>
        <v/>
      </c>
      <c r="CH333" s="21" t="str">
        <f ca="1">IFERROR(VLOOKUP(BB333,OFFSET(abbreviation[],0,ColumnLanguage),ColumnAbbreviation,FALSE),"")</f>
        <v/>
      </c>
      <c r="CI333" s="21" t="str">
        <f ca="1">IFERROR(VLOOKUP(BD333,OFFSET(abbreviation[],0,ColumnLanguage),ColumnAbbreviation,FALSE),"")</f>
        <v/>
      </c>
      <c r="CJ333" s="21" t="str">
        <f ca="1">IFERROR(VLOOKUP(BF333,OFFSET(abbreviation[],0,ColumnLanguage),ColumnAbbreviation,FALSE),"")</f>
        <v/>
      </c>
      <c r="CK333" s="21" t="str">
        <f t="shared" ca="1" si="39"/>
        <v/>
      </c>
      <c r="CL333" s="21" t="str">
        <f t="shared" si="40"/>
        <v/>
      </c>
      <c r="CM333" s="52"/>
      <c r="CN333" s="57" t="str">
        <f t="shared" si="41"/>
        <v/>
      </c>
    </row>
    <row r="334" spans="16:92" x14ac:dyDescent="0.25">
      <c r="P334" s="60"/>
      <c r="Q334" s="13"/>
      <c r="V334" s="60"/>
      <c r="X334" s="61"/>
      <c r="AB334" s="60"/>
      <c r="AN334" s="54"/>
      <c r="AS334" s="15"/>
      <c r="BH334" s="52"/>
      <c r="BI334" s="21" t="str">
        <f ca="1">IFERROR(VLOOKUP(C334,OFFSET(abbreviation[],0,ColumnLanguage),ColumnAbbreviation,FALSE),"")</f>
        <v/>
      </c>
      <c r="BJ334" s="21" t="str">
        <f ca="1">IFERROR(VLOOKUP(E334,OFFSET(abbreviation[],0,ColumnLanguage),ColumnAbbreviation,FALSE),"")</f>
        <v/>
      </c>
      <c r="BK334" s="21" t="str">
        <f ca="1">IFERROR(VLOOKUP(G334,OFFSET(abbreviation[],0,ColumnLanguage),ColumnAbbreviation,FALSE),"")</f>
        <v/>
      </c>
      <c r="BL334" s="21" t="str">
        <f ca="1">IFERROR(VLOOKUP(I334,OFFSET(abbreviation[],0,ColumnLanguage),ColumnAbbreviation,FALSE),"")</f>
        <v/>
      </c>
      <c r="BM334" s="21" t="str">
        <f ca="1">IFERROR(VLOOKUP(K334,OFFSET(abbreviation[],0,ColumnLanguage),ColumnAbbreviation,FALSE),"")</f>
        <v/>
      </c>
      <c r="BN334" s="21" t="str">
        <f t="shared" ca="1" si="35"/>
        <v/>
      </c>
      <c r="BO334" s="21" t="str">
        <f ca="1">IFERROR(VLOOKUP(N334,OFFSET(abbreviation[],0,ColumnLanguage),ColumnAbbreviation,FALSE),"")</f>
        <v/>
      </c>
      <c r="BP334" s="21" t="str">
        <f ca="1">IFERROR(VLOOKUP(P334,OFFSET(abbreviation[],0,ColumnLanguage),ColumnAbbreviation,FALSE),"")</f>
        <v/>
      </c>
      <c r="BQ334" s="21" t="str">
        <f ca="1">IFERROR(VLOOKUP(T334,OFFSET(abbreviation[],0,ColumnLanguage),ColumnAbbreviation,FALSE),"")</f>
        <v/>
      </c>
      <c r="BR334" s="21" t="str">
        <f ca="1">IFERROR(VLOOKUP(V334,OFFSET(abbreviation[],0,ColumnLanguage),ColumnAbbreviation,FALSE),"")</f>
        <v/>
      </c>
      <c r="BS334" s="21" t="str">
        <f ca="1">IFERROR(VLOOKUP(Z334,OFFSET(abbreviation[],0,ColumnLanguage),ColumnAbbreviation,FALSE),"")</f>
        <v/>
      </c>
      <c r="BT334" s="21" t="str">
        <f ca="1">IFERROR(VLOOKUP(AB334,OFFSET(abbreviation[],0,ColumnLanguage),ColumnAbbreviation,FALSE),"")</f>
        <v/>
      </c>
      <c r="BU334" s="21" t="str">
        <f t="shared" ca="1" si="36"/>
        <v>__</v>
      </c>
      <c r="BV334" s="21" t="str">
        <f ca="1">IFERROR(VLOOKUP(AF334,OFFSET(abbreviation[],0,ColumnLanguage),ColumnAbbreviation,FALSE),"")</f>
        <v/>
      </c>
      <c r="BW334" s="21" t="str">
        <f ca="1">IFERROR(VLOOKUP(AH334,OFFSET(abbreviation[],0,ColumnLanguage),ColumnAbbreviation,FALSE),"")</f>
        <v/>
      </c>
      <c r="BX334" s="21" t="str">
        <f ca="1">IFERROR(VLOOKUP(AJ334,OFFSET(abbreviation[],0,ColumnLanguage),ColumnAbbreviation,FALSE),"")</f>
        <v/>
      </c>
      <c r="BY334" s="21" t="str">
        <f ca="1">IFERROR(VLOOKUP(AL334,OFFSET(abbreviation[],0,ColumnLanguage),ColumnAbbreviation,FALSE),"")</f>
        <v/>
      </c>
      <c r="BZ334" s="21" t="str">
        <f t="shared" ca="1" si="37"/>
        <v>_</v>
      </c>
      <c r="CA334" s="21" t="str">
        <f ca="1">IFERROR(VLOOKUP(AP334,OFFSET(abbreviation[],0,ColumnLanguage),ColumnAbbreviation,FALSE),"")</f>
        <v/>
      </c>
      <c r="CB334" s="21" t="str">
        <f ca="1">IFERROR(VLOOKUP(AR334,OFFSET(abbreviation[],0,ColumnLanguage),ColumnAbbreviation,FALSE),"")</f>
        <v/>
      </c>
      <c r="CC334" s="21" t="str">
        <f ca="1">IFERROR(VLOOKUP(AT334,OFFSET(abbreviation[],0,ColumnLanguage),ColumnAbbreviation,FALSE),"")</f>
        <v/>
      </c>
      <c r="CD334" s="21" t="str">
        <f ca="1">IFERROR(VLOOKUP(AV334,OFFSET(abbreviation[],0,ColumnLanguage),ColumnAbbreviation,FALSE),"")</f>
        <v/>
      </c>
      <c r="CE334" s="21" t="str">
        <f t="shared" ca="1" si="38"/>
        <v>__</v>
      </c>
      <c r="CF334" s="21" t="str">
        <f ca="1">IFERROR(VLOOKUP(AX334,OFFSET(abbreviation[],0,ColumnLanguage),ColumnAbbreviation,FALSE),"")</f>
        <v/>
      </c>
      <c r="CG334" s="21" t="str">
        <f ca="1">IFERROR(VLOOKUP(AZ334,OFFSET(abbreviation[],0,ColumnLanguage),ColumnAbbreviation,FALSE),"")</f>
        <v/>
      </c>
      <c r="CH334" s="21" t="str">
        <f ca="1">IFERROR(VLOOKUP(BB334,OFFSET(abbreviation[],0,ColumnLanguage),ColumnAbbreviation,FALSE),"")</f>
        <v/>
      </c>
      <c r="CI334" s="21" t="str">
        <f ca="1">IFERROR(VLOOKUP(BD334,OFFSET(abbreviation[],0,ColumnLanguage),ColumnAbbreviation,FALSE),"")</f>
        <v/>
      </c>
      <c r="CJ334" s="21" t="str">
        <f ca="1">IFERROR(VLOOKUP(BF334,OFFSET(abbreviation[],0,ColumnLanguage),ColumnAbbreviation,FALSE),"")</f>
        <v/>
      </c>
      <c r="CK334" s="21" t="str">
        <f t="shared" ca="1" si="39"/>
        <v/>
      </c>
      <c r="CL334" s="21" t="str">
        <f t="shared" si="40"/>
        <v/>
      </c>
      <c r="CM334" s="52"/>
      <c r="CN334" s="57" t="str">
        <f t="shared" si="41"/>
        <v/>
      </c>
    </row>
    <row r="335" spans="16:92" x14ac:dyDescent="0.25">
      <c r="P335" s="60"/>
      <c r="Q335" s="13"/>
      <c r="V335" s="60"/>
      <c r="X335" s="61"/>
      <c r="AB335" s="60"/>
      <c r="AN335" s="54"/>
      <c r="AS335" s="15"/>
      <c r="BH335" s="52"/>
      <c r="BI335" s="21" t="str">
        <f ca="1">IFERROR(VLOOKUP(C335,OFFSET(abbreviation[],0,ColumnLanguage),ColumnAbbreviation,FALSE),"")</f>
        <v/>
      </c>
      <c r="BJ335" s="21" t="str">
        <f ca="1">IFERROR(VLOOKUP(E335,OFFSET(abbreviation[],0,ColumnLanguage),ColumnAbbreviation,FALSE),"")</f>
        <v/>
      </c>
      <c r="BK335" s="21" t="str">
        <f ca="1">IFERROR(VLOOKUP(G335,OFFSET(abbreviation[],0,ColumnLanguage),ColumnAbbreviation,FALSE),"")</f>
        <v/>
      </c>
      <c r="BL335" s="21" t="str">
        <f ca="1">IFERROR(VLOOKUP(I335,OFFSET(abbreviation[],0,ColumnLanguage),ColumnAbbreviation,FALSE),"")</f>
        <v/>
      </c>
      <c r="BM335" s="21" t="str">
        <f ca="1">IFERROR(VLOOKUP(K335,OFFSET(abbreviation[],0,ColumnLanguage),ColumnAbbreviation,FALSE),"")</f>
        <v/>
      </c>
      <c r="BN335" s="21" t="str">
        <f t="shared" ca="1" si="35"/>
        <v/>
      </c>
      <c r="BO335" s="21" t="str">
        <f ca="1">IFERROR(VLOOKUP(N335,OFFSET(abbreviation[],0,ColumnLanguage),ColumnAbbreviation,FALSE),"")</f>
        <v/>
      </c>
      <c r="BP335" s="21" t="str">
        <f ca="1">IFERROR(VLOOKUP(P335,OFFSET(abbreviation[],0,ColumnLanguage),ColumnAbbreviation,FALSE),"")</f>
        <v/>
      </c>
      <c r="BQ335" s="21" t="str">
        <f ca="1">IFERROR(VLOOKUP(T335,OFFSET(abbreviation[],0,ColumnLanguage),ColumnAbbreviation,FALSE),"")</f>
        <v/>
      </c>
      <c r="BR335" s="21" t="str">
        <f ca="1">IFERROR(VLOOKUP(V335,OFFSET(abbreviation[],0,ColumnLanguage),ColumnAbbreviation,FALSE),"")</f>
        <v/>
      </c>
      <c r="BS335" s="21" t="str">
        <f ca="1">IFERROR(VLOOKUP(Z335,OFFSET(abbreviation[],0,ColumnLanguage),ColumnAbbreviation,FALSE),"")</f>
        <v/>
      </c>
      <c r="BT335" s="21" t="str">
        <f ca="1">IFERROR(VLOOKUP(AB335,OFFSET(abbreviation[],0,ColumnLanguage),ColumnAbbreviation,FALSE),"")</f>
        <v/>
      </c>
      <c r="BU335" s="21" t="str">
        <f t="shared" ca="1" si="36"/>
        <v>__</v>
      </c>
      <c r="BV335" s="21" t="str">
        <f ca="1">IFERROR(VLOOKUP(AF335,OFFSET(abbreviation[],0,ColumnLanguage),ColumnAbbreviation,FALSE),"")</f>
        <v/>
      </c>
      <c r="BW335" s="21" t="str">
        <f ca="1">IFERROR(VLOOKUP(AH335,OFFSET(abbreviation[],0,ColumnLanguage),ColumnAbbreviation,FALSE),"")</f>
        <v/>
      </c>
      <c r="BX335" s="21" t="str">
        <f ca="1">IFERROR(VLOOKUP(AJ335,OFFSET(abbreviation[],0,ColumnLanguage),ColumnAbbreviation,FALSE),"")</f>
        <v/>
      </c>
      <c r="BY335" s="21" t="str">
        <f ca="1">IFERROR(VLOOKUP(AL335,OFFSET(abbreviation[],0,ColumnLanguage),ColumnAbbreviation,FALSE),"")</f>
        <v/>
      </c>
      <c r="BZ335" s="21" t="str">
        <f t="shared" ca="1" si="37"/>
        <v>_</v>
      </c>
      <c r="CA335" s="21" t="str">
        <f ca="1">IFERROR(VLOOKUP(AP335,OFFSET(abbreviation[],0,ColumnLanguage),ColumnAbbreviation,FALSE),"")</f>
        <v/>
      </c>
      <c r="CB335" s="21" t="str">
        <f ca="1">IFERROR(VLOOKUP(AR335,OFFSET(abbreviation[],0,ColumnLanguage),ColumnAbbreviation,FALSE),"")</f>
        <v/>
      </c>
      <c r="CC335" s="21" t="str">
        <f ca="1">IFERROR(VLOOKUP(AT335,OFFSET(abbreviation[],0,ColumnLanguage),ColumnAbbreviation,FALSE),"")</f>
        <v/>
      </c>
      <c r="CD335" s="21" t="str">
        <f ca="1">IFERROR(VLOOKUP(AV335,OFFSET(abbreviation[],0,ColumnLanguage),ColumnAbbreviation,FALSE),"")</f>
        <v/>
      </c>
      <c r="CE335" s="21" t="str">
        <f t="shared" ca="1" si="38"/>
        <v>__</v>
      </c>
      <c r="CF335" s="21" t="str">
        <f ca="1">IFERROR(VLOOKUP(AX335,OFFSET(abbreviation[],0,ColumnLanguage),ColumnAbbreviation,FALSE),"")</f>
        <v/>
      </c>
      <c r="CG335" s="21" t="str">
        <f ca="1">IFERROR(VLOOKUP(AZ335,OFFSET(abbreviation[],0,ColumnLanguage),ColumnAbbreviation,FALSE),"")</f>
        <v/>
      </c>
      <c r="CH335" s="21" t="str">
        <f ca="1">IFERROR(VLOOKUP(BB335,OFFSET(abbreviation[],0,ColumnLanguage),ColumnAbbreviation,FALSE),"")</f>
        <v/>
      </c>
      <c r="CI335" s="21" t="str">
        <f ca="1">IFERROR(VLOOKUP(BD335,OFFSET(abbreviation[],0,ColumnLanguage),ColumnAbbreviation,FALSE),"")</f>
        <v/>
      </c>
      <c r="CJ335" s="21" t="str">
        <f ca="1">IFERROR(VLOOKUP(BF335,OFFSET(abbreviation[],0,ColumnLanguage),ColumnAbbreviation,FALSE),"")</f>
        <v/>
      </c>
      <c r="CK335" s="21" t="str">
        <f t="shared" ca="1" si="39"/>
        <v/>
      </c>
      <c r="CL335" s="21" t="str">
        <f t="shared" si="40"/>
        <v/>
      </c>
      <c r="CM335" s="52"/>
      <c r="CN335" s="57" t="str">
        <f t="shared" si="41"/>
        <v/>
      </c>
    </row>
    <row r="336" spans="16:92" x14ac:dyDescent="0.25">
      <c r="P336" s="60"/>
      <c r="Q336" s="13"/>
      <c r="V336" s="60"/>
      <c r="X336" s="61"/>
      <c r="AB336" s="60"/>
      <c r="AN336" s="54"/>
      <c r="AS336" s="15"/>
      <c r="BH336" s="52"/>
      <c r="BI336" s="21" t="str">
        <f ca="1">IFERROR(VLOOKUP(C336,OFFSET(abbreviation[],0,ColumnLanguage),ColumnAbbreviation,FALSE),"")</f>
        <v/>
      </c>
      <c r="BJ336" s="21" t="str">
        <f ca="1">IFERROR(VLOOKUP(E336,OFFSET(abbreviation[],0,ColumnLanguage),ColumnAbbreviation,FALSE),"")</f>
        <v/>
      </c>
      <c r="BK336" s="21" t="str">
        <f ca="1">IFERROR(VLOOKUP(G336,OFFSET(abbreviation[],0,ColumnLanguage),ColumnAbbreviation,FALSE),"")</f>
        <v/>
      </c>
      <c r="BL336" s="21" t="str">
        <f ca="1">IFERROR(VLOOKUP(I336,OFFSET(abbreviation[],0,ColumnLanguage),ColumnAbbreviation,FALSE),"")</f>
        <v/>
      </c>
      <c r="BM336" s="21" t="str">
        <f ca="1">IFERROR(VLOOKUP(K336,OFFSET(abbreviation[],0,ColumnLanguage),ColumnAbbreviation,FALSE),"")</f>
        <v/>
      </c>
      <c r="BN336" s="21" t="str">
        <f t="shared" ca="1" si="35"/>
        <v/>
      </c>
      <c r="BO336" s="21" t="str">
        <f ca="1">IFERROR(VLOOKUP(N336,OFFSET(abbreviation[],0,ColumnLanguage),ColumnAbbreviation,FALSE),"")</f>
        <v/>
      </c>
      <c r="BP336" s="21" t="str">
        <f ca="1">IFERROR(VLOOKUP(P336,OFFSET(abbreviation[],0,ColumnLanguage),ColumnAbbreviation,FALSE),"")</f>
        <v/>
      </c>
      <c r="BQ336" s="21" t="str">
        <f ca="1">IFERROR(VLOOKUP(T336,OFFSET(abbreviation[],0,ColumnLanguage),ColumnAbbreviation,FALSE),"")</f>
        <v/>
      </c>
      <c r="BR336" s="21" t="str">
        <f ca="1">IFERROR(VLOOKUP(V336,OFFSET(abbreviation[],0,ColumnLanguage),ColumnAbbreviation,FALSE),"")</f>
        <v/>
      </c>
      <c r="BS336" s="21" t="str">
        <f ca="1">IFERROR(VLOOKUP(Z336,OFFSET(abbreviation[],0,ColumnLanguage),ColumnAbbreviation,FALSE),"")</f>
        <v/>
      </c>
      <c r="BT336" s="21" t="str">
        <f ca="1">IFERROR(VLOOKUP(AB336,OFFSET(abbreviation[],0,ColumnLanguage),ColumnAbbreviation,FALSE),"")</f>
        <v/>
      </c>
      <c r="BU336" s="21" t="str">
        <f t="shared" ca="1" si="36"/>
        <v>__</v>
      </c>
      <c r="BV336" s="21" t="str">
        <f ca="1">IFERROR(VLOOKUP(AF336,OFFSET(abbreviation[],0,ColumnLanguage),ColumnAbbreviation,FALSE),"")</f>
        <v/>
      </c>
      <c r="BW336" s="21" t="str">
        <f ca="1">IFERROR(VLOOKUP(AH336,OFFSET(abbreviation[],0,ColumnLanguage),ColumnAbbreviation,FALSE),"")</f>
        <v/>
      </c>
      <c r="BX336" s="21" t="str">
        <f ca="1">IFERROR(VLOOKUP(AJ336,OFFSET(abbreviation[],0,ColumnLanguage),ColumnAbbreviation,FALSE),"")</f>
        <v/>
      </c>
      <c r="BY336" s="21" t="str">
        <f ca="1">IFERROR(VLOOKUP(AL336,OFFSET(abbreviation[],0,ColumnLanguage),ColumnAbbreviation,FALSE),"")</f>
        <v/>
      </c>
      <c r="BZ336" s="21" t="str">
        <f t="shared" ca="1" si="37"/>
        <v>_</v>
      </c>
      <c r="CA336" s="21" t="str">
        <f ca="1">IFERROR(VLOOKUP(AP336,OFFSET(abbreviation[],0,ColumnLanguage),ColumnAbbreviation,FALSE),"")</f>
        <v/>
      </c>
      <c r="CB336" s="21" t="str">
        <f ca="1">IFERROR(VLOOKUP(AR336,OFFSET(abbreviation[],0,ColumnLanguage),ColumnAbbreviation,FALSE),"")</f>
        <v/>
      </c>
      <c r="CC336" s="21" t="str">
        <f ca="1">IFERROR(VLOOKUP(AT336,OFFSET(abbreviation[],0,ColumnLanguage),ColumnAbbreviation,FALSE),"")</f>
        <v/>
      </c>
      <c r="CD336" s="21" t="str">
        <f ca="1">IFERROR(VLOOKUP(AV336,OFFSET(abbreviation[],0,ColumnLanguage),ColumnAbbreviation,FALSE),"")</f>
        <v/>
      </c>
      <c r="CE336" s="21" t="str">
        <f t="shared" ca="1" si="38"/>
        <v>__</v>
      </c>
      <c r="CF336" s="21" t="str">
        <f ca="1">IFERROR(VLOOKUP(AX336,OFFSET(abbreviation[],0,ColumnLanguage),ColumnAbbreviation,FALSE),"")</f>
        <v/>
      </c>
      <c r="CG336" s="21" t="str">
        <f ca="1">IFERROR(VLOOKUP(AZ336,OFFSET(abbreviation[],0,ColumnLanguage),ColumnAbbreviation,FALSE),"")</f>
        <v/>
      </c>
      <c r="CH336" s="21" t="str">
        <f ca="1">IFERROR(VLOOKUP(BB336,OFFSET(abbreviation[],0,ColumnLanguage),ColumnAbbreviation,FALSE),"")</f>
        <v/>
      </c>
      <c r="CI336" s="21" t="str">
        <f ca="1">IFERROR(VLOOKUP(BD336,OFFSET(abbreviation[],0,ColumnLanguage),ColumnAbbreviation,FALSE),"")</f>
        <v/>
      </c>
      <c r="CJ336" s="21" t="str">
        <f ca="1">IFERROR(VLOOKUP(BF336,OFFSET(abbreviation[],0,ColumnLanguage),ColumnAbbreviation,FALSE),"")</f>
        <v/>
      </c>
      <c r="CK336" s="21" t="str">
        <f t="shared" ca="1" si="39"/>
        <v/>
      </c>
      <c r="CL336" s="21" t="str">
        <f t="shared" si="40"/>
        <v/>
      </c>
      <c r="CM336" s="52"/>
      <c r="CN336" s="57" t="str">
        <f t="shared" si="41"/>
        <v/>
      </c>
    </row>
    <row r="337" spans="16:92" x14ac:dyDescent="0.25">
      <c r="P337" s="60"/>
      <c r="Q337" s="13"/>
      <c r="V337" s="60"/>
      <c r="X337" s="61"/>
      <c r="AB337" s="60"/>
      <c r="AN337" s="54"/>
      <c r="AS337" s="15"/>
      <c r="BH337" s="52"/>
      <c r="BI337" s="21" t="str">
        <f ca="1">IFERROR(VLOOKUP(C337,OFFSET(abbreviation[],0,ColumnLanguage),ColumnAbbreviation,FALSE),"")</f>
        <v/>
      </c>
      <c r="BJ337" s="21" t="str">
        <f ca="1">IFERROR(VLOOKUP(E337,OFFSET(abbreviation[],0,ColumnLanguage),ColumnAbbreviation,FALSE),"")</f>
        <v/>
      </c>
      <c r="BK337" s="21" t="str">
        <f ca="1">IFERROR(VLOOKUP(G337,OFFSET(abbreviation[],0,ColumnLanguage),ColumnAbbreviation,FALSE),"")</f>
        <v/>
      </c>
      <c r="BL337" s="21" t="str">
        <f ca="1">IFERROR(VLOOKUP(I337,OFFSET(abbreviation[],0,ColumnLanguage),ColumnAbbreviation,FALSE),"")</f>
        <v/>
      </c>
      <c r="BM337" s="21" t="str">
        <f ca="1">IFERROR(VLOOKUP(K337,OFFSET(abbreviation[],0,ColumnLanguage),ColumnAbbreviation,FALSE),"")</f>
        <v/>
      </c>
      <c r="BN337" s="21" t="str">
        <f t="shared" ca="1" si="35"/>
        <v/>
      </c>
      <c r="BO337" s="21" t="str">
        <f ca="1">IFERROR(VLOOKUP(N337,OFFSET(abbreviation[],0,ColumnLanguage),ColumnAbbreviation,FALSE),"")</f>
        <v/>
      </c>
      <c r="BP337" s="21" t="str">
        <f ca="1">IFERROR(VLOOKUP(P337,OFFSET(abbreviation[],0,ColumnLanguage),ColumnAbbreviation,FALSE),"")</f>
        <v/>
      </c>
      <c r="BQ337" s="21" t="str">
        <f ca="1">IFERROR(VLOOKUP(T337,OFFSET(abbreviation[],0,ColumnLanguage),ColumnAbbreviation,FALSE),"")</f>
        <v/>
      </c>
      <c r="BR337" s="21" t="str">
        <f ca="1">IFERROR(VLOOKUP(V337,OFFSET(abbreviation[],0,ColumnLanguage),ColumnAbbreviation,FALSE),"")</f>
        <v/>
      </c>
      <c r="BS337" s="21" t="str">
        <f ca="1">IFERROR(VLOOKUP(Z337,OFFSET(abbreviation[],0,ColumnLanguage),ColumnAbbreviation,FALSE),"")</f>
        <v/>
      </c>
      <c r="BT337" s="21" t="str">
        <f ca="1">IFERROR(VLOOKUP(AB337,OFFSET(abbreviation[],0,ColumnLanguage),ColumnAbbreviation,FALSE),"")</f>
        <v/>
      </c>
      <c r="BU337" s="21" t="str">
        <f t="shared" ca="1" si="36"/>
        <v>__</v>
      </c>
      <c r="BV337" s="21" t="str">
        <f ca="1">IFERROR(VLOOKUP(AF337,OFFSET(abbreviation[],0,ColumnLanguage),ColumnAbbreviation,FALSE),"")</f>
        <v/>
      </c>
      <c r="BW337" s="21" t="str">
        <f ca="1">IFERROR(VLOOKUP(AH337,OFFSET(abbreviation[],0,ColumnLanguage),ColumnAbbreviation,FALSE),"")</f>
        <v/>
      </c>
      <c r="BX337" s="21" t="str">
        <f ca="1">IFERROR(VLOOKUP(AJ337,OFFSET(abbreviation[],0,ColumnLanguage),ColumnAbbreviation,FALSE),"")</f>
        <v/>
      </c>
      <c r="BY337" s="21" t="str">
        <f ca="1">IFERROR(VLOOKUP(AL337,OFFSET(abbreviation[],0,ColumnLanguage),ColumnAbbreviation,FALSE),"")</f>
        <v/>
      </c>
      <c r="BZ337" s="21" t="str">
        <f t="shared" ca="1" si="37"/>
        <v>_</v>
      </c>
      <c r="CA337" s="21" t="str">
        <f ca="1">IFERROR(VLOOKUP(AP337,OFFSET(abbreviation[],0,ColumnLanguage),ColumnAbbreviation,FALSE),"")</f>
        <v/>
      </c>
      <c r="CB337" s="21" t="str">
        <f ca="1">IFERROR(VLOOKUP(AR337,OFFSET(abbreviation[],0,ColumnLanguage),ColumnAbbreviation,FALSE),"")</f>
        <v/>
      </c>
      <c r="CC337" s="21" t="str">
        <f ca="1">IFERROR(VLOOKUP(AT337,OFFSET(abbreviation[],0,ColumnLanguage),ColumnAbbreviation,FALSE),"")</f>
        <v/>
      </c>
      <c r="CD337" s="21" t="str">
        <f ca="1">IFERROR(VLOOKUP(AV337,OFFSET(abbreviation[],0,ColumnLanguage),ColumnAbbreviation,FALSE),"")</f>
        <v/>
      </c>
      <c r="CE337" s="21" t="str">
        <f t="shared" ca="1" si="38"/>
        <v>__</v>
      </c>
      <c r="CF337" s="21" t="str">
        <f ca="1">IFERROR(VLOOKUP(AX337,OFFSET(abbreviation[],0,ColumnLanguage),ColumnAbbreviation,FALSE),"")</f>
        <v/>
      </c>
      <c r="CG337" s="21" t="str">
        <f ca="1">IFERROR(VLOOKUP(AZ337,OFFSET(abbreviation[],0,ColumnLanguage),ColumnAbbreviation,FALSE),"")</f>
        <v/>
      </c>
      <c r="CH337" s="21" t="str">
        <f ca="1">IFERROR(VLOOKUP(BB337,OFFSET(abbreviation[],0,ColumnLanguage),ColumnAbbreviation,FALSE),"")</f>
        <v/>
      </c>
      <c r="CI337" s="21" t="str">
        <f ca="1">IFERROR(VLOOKUP(BD337,OFFSET(abbreviation[],0,ColumnLanguage),ColumnAbbreviation,FALSE),"")</f>
        <v/>
      </c>
      <c r="CJ337" s="21" t="str">
        <f ca="1">IFERROR(VLOOKUP(BF337,OFFSET(abbreviation[],0,ColumnLanguage),ColumnAbbreviation,FALSE),"")</f>
        <v/>
      </c>
      <c r="CK337" s="21" t="str">
        <f t="shared" ca="1" si="39"/>
        <v/>
      </c>
      <c r="CL337" s="21" t="str">
        <f t="shared" si="40"/>
        <v/>
      </c>
      <c r="CM337" s="52"/>
      <c r="CN337" s="57" t="str">
        <f t="shared" si="41"/>
        <v/>
      </c>
    </row>
    <row r="338" spans="16:92" x14ac:dyDescent="0.25">
      <c r="P338" s="60"/>
      <c r="Q338" s="13"/>
      <c r="V338" s="60"/>
      <c r="X338" s="61"/>
      <c r="AB338" s="60"/>
      <c r="AN338" s="54"/>
      <c r="AS338" s="15"/>
      <c r="BH338" s="52"/>
      <c r="BI338" s="21" t="str">
        <f ca="1">IFERROR(VLOOKUP(C338,OFFSET(abbreviation[],0,ColumnLanguage),ColumnAbbreviation,FALSE),"")</f>
        <v/>
      </c>
      <c r="BJ338" s="21" t="str">
        <f ca="1">IFERROR(VLOOKUP(E338,OFFSET(abbreviation[],0,ColumnLanguage),ColumnAbbreviation,FALSE),"")</f>
        <v/>
      </c>
      <c r="BK338" s="21" t="str">
        <f ca="1">IFERROR(VLOOKUP(G338,OFFSET(abbreviation[],0,ColumnLanguage),ColumnAbbreviation,FALSE),"")</f>
        <v/>
      </c>
      <c r="BL338" s="21" t="str">
        <f ca="1">IFERROR(VLOOKUP(I338,OFFSET(abbreviation[],0,ColumnLanguage),ColumnAbbreviation,FALSE),"")</f>
        <v/>
      </c>
      <c r="BM338" s="21" t="str">
        <f ca="1">IFERROR(VLOOKUP(K338,OFFSET(abbreviation[],0,ColumnLanguage),ColumnAbbreviation,FALSE),"")</f>
        <v/>
      </c>
      <c r="BN338" s="21" t="str">
        <f t="shared" ca="1" si="35"/>
        <v/>
      </c>
      <c r="BO338" s="21" t="str">
        <f ca="1">IFERROR(VLOOKUP(N338,OFFSET(abbreviation[],0,ColumnLanguage),ColumnAbbreviation,FALSE),"")</f>
        <v/>
      </c>
      <c r="BP338" s="21" t="str">
        <f ca="1">IFERROR(VLOOKUP(P338,OFFSET(abbreviation[],0,ColumnLanguage),ColumnAbbreviation,FALSE),"")</f>
        <v/>
      </c>
      <c r="BQ338" s="21" t="str">
        <f ca="1">IFERROR(VLOOKUP(T338,OFFSET(abbreviation[],0,ColumnLanguage),ColumnAbbreviation,FALSE),"")</f>
        <v/>
      </c>
      <c r="BR338" s="21" t="str">
        <f ca="1">IFERROR(VLOOKUP(V338,OFFSET(abbreviation[],0,ColumnLanguage),ColumnAbbreviation,FALSE),"")</f>
        <v/>
      </c>
      <c r="BS338" s="21" t="str">
        <f ca="1">IFERROR(VLOOKUP(Z338,OFFSET(abbreviation[],0,ColumnLanguage),ColumnAbbreviation,FALSE),"")</f>
        <v/>
      </c>
      <c r="BT338" s="21" t="str">
        <f ca="1">IFERROR(VLOOKUP(AB338,OFFSET(abbreviation[],0,ColumnLanguage),ColumnAbbreviation,FALSE),"")</f>
        <v/>
      </c>
      <c r="BU338" s="21" t="str">
        <f t="shared" ca="1" si="36"/>
        <v>__</v>
      </c>
      <c r="BV338" s="21" t="str">
        <f ca="1">IFERROR(VLOOKUP(AF338,OFFSET(abbreviation[],0,ColumnLanguage),ColumnAbbreviation,FALSE),"")</f>
        <v/>
      </c>
      <c r="BW338" s="21" t="str">
        <f ca="1">IFERROR(VLOOKUP(AH338,OFFSET(abbreviation[],0,ColumnLanguage),ColumnAbbreviation,FALSE),"")</f>
        <v/>
      </c>
      <c r="BX338" s="21" t="str">
        <f ca="1">IFERROR(VLOOKUP(AJ338,OFFSET(abbreviation[],0,ColumnLanguage),ColumnAbbreviation,FALSE),"")</f>
        <v/>
      </c>
      <c r="BY338" s="21" t="str">
        <f ca="1">IFERROR(VLOOKUP(AL338,OFFSET(abbreviation[],0,ColumnLanguage),ColumnAbbreviation,FALSE),"")</f>
        <v/>
      </c>
      <c r="BZ338" s="21" t="str">
        <f t="shared" ca="1" si="37"/>
        <v>_</v>
      </c>
      <c r="CA338" s="21" t="str">
        <f ca="1">IFERROR(VLOOKUP(AP338,OFFSET(abbreviation[],0,ColumnLanguage),ColumnAbbreviation,FALSE),"")</f>
        <v/>
      </c>
      <c r="CB338" s="21" t="str">
        <f ca="1">IFERROR(VLOOKUP(AR338,OFFSET(abbreviation[],0,ColumnLanguage),ColumnAbbreviation,FALSE),"")</f>
        <v/>
      </c>
      <c r="CC338" s="21" t="str">
        <f ca="1">IFERROR(VLOOKUP(AT338,OFFSET(abbreviation[],0,ColumnLanguage),ColumnAbbreviation,FALSE),"")</f>
        <v/>
      </c>
      <c r="CD338" s="21" t="str">
        <f ca="1">IFERROR(VLOOKUP(AV338,OFFSET(abbreviation[],0,ColumnLanguage),ColumnAbbreviation,FALSE),"")</f>
        <v/>
      </c>
      <c r="CE338" s="21" t="str">
        <f t="shared" ca="1" si="38"/>
        <v>__</v>
      </c>
      <c r="CF338" s="21" t="str">
        <f ca="1">IFERROR(VLOOKUP(AX338,OFFSET(abbreviation[],0,ColumnLanguage),ColumnAbbreviation,FALSE),"")</f>
        <v/>
      </c>
      <c r="CG338" s="21" t="str">
        <f ca="1">IFERROR(VLOOKUP(AZ338,OFFSET(abbreviation[],0,ColumnLanguage),ColumnAbbreviation,FALSE),"")</f>
        <v/>
      </c>
      <c r="CH338" s="21" t="str">
        <f ca="1">IFERROR(VLOOKUP(BB338,OFFSET(abbreviation[],0,ColumnLanguage),ColumnAbbreviation,FALSE),"")</f>
        <v/>
      </c>
      <c r="CI338" s="21" t="str">
        <f ca="1">IFERROR(VLOOKUP(BD338,OFFSET(abbreviation[],0,ColumnLanguage),ColumnAbbreviation,FALSE),"")</f>
        <v/>
      </c>
      <c r="CJ338" s="21" t="str">
        <f ca="1">IFERROR(VLOOKUP(BF338,OFFSET(abbreviation[],0,ColumnLanguage),ColumnAbbreviation,FALSE),"")</f>
        <v/>
      </c>
      <c r="CK338" s="21" t="str">
        <f t="shared" ca="1" si="39"/>
        <v/>
      </c>
      <c r="CL338" s="21" t="str">
        <f t="shared" si="40"/>
        <v/>
      </c>
      <c r="CM338" s="52"/>
      <c r="CN338" s="57" t="str">
        <f t="shared" si="41"/>
        <v/>
      </c>
    </row>
    <row r="339" spans="16:92" x14ac:dyDescent="0.25">
      <c r="P339" s="60"/>
      <c r="Q339" s="13"/>
      <c r="V339" s="60"/>
      <c r="X339" s="61"/>
      <c r="AB339" s="60"/>
      <c r="AN339" s="54"/>
      <c r="AS339" s="15"/>
      <c r="BH339" s="52"/>
      <c r="BI339" s="21" t="str">
        <f ca="1">IFERROR(VLOOKUP(C339,OFFSET(abbreviation[],0,ColumnLanguage),ColumnAbbreviation,FALSE),"")</f>
        <v/>
      </c>
      <c r="BJ339" s="21" t="str">
        <f ca="1">IFERROR(VLOOKUP(E339,OFFSET(abbreviation[],0,ColumnLanguage),ColumnAbbreviation,FALSE),"")</f>
        <v/>
      </c>
      <c r="BK339" s="21" t="str">
        <f ca="1">IFERROR(VLOOKUP(G339,OFFSET(abbreviation[],0,ColumnLanguage),ColumnAbbreviation,FALSE),"")</f>
        <v/>
      </c>
      <c r="BL339" s="21" t="str">
        <f ca="1">IFERROR(VLOOKUP(I339,OFFSET(abbreviation[],0,ColumnLanguage),ColumnAbbreviation,FALSE),"")</f>
        <v/>
      </c>
      <c r="BM339" s="21" t="str">
        <f ca="1">IFERROR(VLOOKUP(K339,OFFSET(abbreviation[],0,ColumnLanguage),ColumnAbbreviation,FALSE),"")</f>
        <v/>
      </c>
      <c r="BN339" s="21" t="str">
        <f t="shared" ca="1" si="35"/>
        <v/>
      </c>
      <c r="BO339" s="21" t="str">
        <f ca="1">IFERROR(VLOOKUP(N339,OFFSET(abbreviation[],0,ColumnLanguage),ColumnAbbreviation,FALSE),"")</f>
        <v/>
      </c>
      <c r="BP339" s="21" t="str">
        <f ca="1">IFERROR(VLOOKUP(P339,OFFSET(abbreviation[],0,ColumnLanguage),ColumnAbbreviation,FALSE),"")</f>
        <v/>
      </c>
      <c r="BQ339" s="21" t="str">
        <f ca="1">IFERROR(VLOOKUP(T339,OFFSET(abbreviation[],0,ColumnLanguage),ColumnAbbreviation,FALSE),"")</f>
        <v/>
      </c>
      <c r="BR339" s="21" t="str">
        <f ca="1">IFERROR(VLOOKUP(V339,OFFSET(abbreviation[],0,ColumnLanguage),ColumnAbbreviation,FALSE),"")</f>
        <v/>
      </c>
      <c r="BS339" s="21" t="str">
        <f ca="1">IFERROR(VLOOKUP(Z339,OFFSET(abbreviation[],0,ColumnLanguage),ColumnAbbreviation,FALSE),"")</f>
        <v/>
      </c>
      <c r="BT339" s="21" t="str">
        <f ca="1">IFERROR(VLOOKUP(AB339,OFFSET(abbreviation[],0,ColumnLanguage),ColumnAbbreviation,FALSE),"")</f>
        <v/>
      </c>
      <c r="BU339" s="21" t="str">
        <f t="shared" ca="1" si="36"/>
        <v>__</v>
      </c>
      <c r="BV339" s="21" t="str">
        <f ca="1">IFERROR(VLOOKUP(AF339,OFFSET(abbreviation[],0,ColumnLanguage),ColumnAbbreviation,FALSE),"")</f>
        <v/>
      </c>
      <c r="BW339" s="21" t="str">
        <f ca="1">IFERROR(VLOOKUP(AH339,OFFSET(abbreviation[],0,ColumnLanguage),ColumnAbbreviation,FALSE),"")</f>
        <v/>
      </c>
      <c r="BX339" s="21" t="str">
        <f ca="1">IFERROR(VLOOKUP(AJ339,OFFSET(abbreviation[],0,ColumnLanguage),ColumnAbbreviation,FALSE),"")</f>
        <v/>
      </c>
      <c r="BY339" s="21" t="str">
        <f ca="1">IFERROR(VLOOKUP(AL339,OFFSET(abbreviation[],0,ColumnLanguage),ColumnAbbreviation,FALSE),"")</f>
        <v/>
      </c>
      <c r="BZ339" s="21" t="str">
        <f t="shared" ca="1" si="37"/>
        <v>_</v>
      </c>
      <c r="CA339" s="21" t="str">
        <f ca="1">IFERROR(VLOOKUP(AP339,OFFSET(abbreviation[],0,ColumnLanguage),ColumnAbbreviation,FALSE),"")</f>
        <v/>
      </c>
      <c r="CB339" s="21" t="str">
        <f ca="1">IFERROR(VLOOKUP(AR339,OFFSET(abbreviation[],0,ColumnLanguage),ColumnAbbreviation,FALSE),"")</f>
        <v/>
      </c>
      <c r="CC339" s="21" t="str">
        <f ca="1">IFERROR(VLOOKUP(AT339,OFFSET(abbreviation[],0,ColumnLanguage),ColumnAbbreviation,FALSE),"")</f>
        <v/>
      </c>
      <c r="CD339" s="21" t="str">
        <f ca="1">IFERROR(VLOOKUP(AV339,OFFSET(abbreviation[],0,ColumnLanguage),ColumnAbbreviation,FALSE),"")</f>
        <v/>
      </c>
      <c r="CE339" s="21" t="str">
        <f t="shared" ca="1" si="38"/>
        <v>__</v>
      </c>
      <c r="CF339" s="21" t="str">
        <f ca="1">IFERROR(VLOOKUP(AX339,OFFSET(abbreviation[],0,ColumnLanguage),ColumnAbbreviation,FALSE),"")</f>
        <v/>
      </c>
      <c r="CG339" s="21" t="str">
        <f ca="1">IFERROR(VLOOKUP(AZ339,OFFSET(abbreviation[],0,ColumnLanguage),ColumnAbbreviation,FALSE),"")</f>
        <v/>
      </c>
      <c r="CH339" s="21" t="str">
        <f ca="1">IFERROR(VLOOKUP(BB339,OFFSET(abbreviation[],0,ColumnLanguage),ColumnAbbreviation,FALSE),"")</f>
        <v/>
      </c>
      <c r="CI339" s="21" t="str">
        <f ca="1">IFERROR(VLOOKUP(BD339,OFFSET(abbreviation[],0,ColumnLanguage),ColumnAbbreviation,FALSE),"")</f>
        <v/>
      </c>
      <c r="CJ339" s="21" t="str">
        <f ca="1">IFERROR(VLOOKUP(BF339,OFFSET(abbreviation[],0,ColumnLanguage),ColumnAbbreviation,FALSE),"")</f>
        <v/>
      </c>
      <c r="CK339" s="21" t="str">
        <f t="shared" ca="1" si="39"/>
        <v/>
      </c>
      <c r="CL339" s="21" t="str">
        <f t="shared" si="40"/>
        <v/>
      </c>
      <c r="CM339" s="52"/>
      <c r="CN339" s="57" t="str">
        <f t="shared" si="41"/>
        <v/>
      </c>
    </row>
    <row r="340" spans="16:92" x14ac:dyDescent="0.25">
      <c r="P340" s="60"/>
      <c r="Q340" s="13"/>
      <c r="V340" s="60"/>
      <c r="X340" s="61"/>
      <c r="AB340" s="60"/>
      <c r="AN340" s="54"/>
      <c r="AS340" s="15"/>
      <c r="BH340" s="52"/>
      <c r="BI340" s="21" t="str">
        <f ca="1">IFERROR(VLOOKUP(C340,OFFSET(abbreviation[],0,ColumnLanguage),ColumnAbbreviation,FALSE),"")</f>
        <v/>
      </c>
      <c r="BJ340" s="21" t="str">
        <f ca="1">IFERROR(VLOOKUP(E340,OFFSET(abbreviation[],0,ColumnLanguage),ColumnAbbreviation,FALSE),"")</f>
        <v/>
      </c>
      <c r="BK340" s="21" t="str">
        <f ca="1">IFERROR(VLOOKUP(G340,OFFSET(abbreviation[],0,ColumnLanguage),ColumnAbbreviation,FALSE),"")</f>
        <v/>
      </c>
      <c r="BL340" s="21" t="str">
        <f ca="1">IFERROR(VLOOKUP(I340,OFFSET(abbreviation[],0,ColumnLanguage),ColumnAbbreviation,FALSE),"")</f>
        <v/>
      </c>
      <c r="BM340" s="21" t="str">
        <f ca="1">IFERROR(VLOOKUP(K340,OFFSET(abbreviation[],0,ColumnLanguage),ColumnAbbreviation,FALSE),"")</f>
        <v/>
      </c>
      <c r="BN340" s="21" t="str">
        <f t="shared" ca="1" si="35"/>
        <v/>
      </c>
      <c r="BO340" s="21" t="str">
        <f ca="1">IFERROR(VLOOKUP(N340,OFFSET(abbreviation[],0,ColumnLanguage),ColumnAbbreviation,FALSE),"")</f>
        <v/>
      </c>
      <c r="BP340" s="21" t="str">
        <f ca="1">IFERROR(VLOOKUP(P340,OFFSET(abbreviation[],0,ColumnLanguage),ColumnAbbreviation,FALSE),"")</f>
        <v/>
      </c>
      <c r="BQ340" s="21" t="str">
        <f ca="1">IFERROR(VLOOKUP(T340,OFFSET(abbreviation[],0,ColumnLanguage),ColumnAbbreviation,FALSE),"")</f>
        <v/>
      </c>
      <c r="BR340" s="21" t="str">
        <f ca="1">IFERROR(VLOOKUP(V340,OFFSET(abbreviation[],0,ColumnLanguage),ColumnAbbreviation,FALSE),"")</f>
        <v/>
      </c>
      <c r="BS340" s="21" t="str">
        <f ca="1">IFERROR(VLOOKUP(Z340,OFFSET(abbreviation[],0,ColumnLanguage),ColumnAbbreviation,FALSE),"")</f>
        <v/>
      </c>
      <c r="BT340" s="21" t="str">
        <f ca="1">IFERROR(VLOOKUP(AB340,OFFSET(abbreviation[],0,ColumnLanguage),ColumnAbbreviation,FALSE),"")</f>
        <v/>
      </c>
      <c r="BU340" s="21" t="str">
        <f t="shared" ca="1" si="36"/>
        <v>__</v>
      </c>
      <c r="BV340" s="21" t="str">
        <f ca="1">IFERROR(VLOOKUP(AF340,OFFSET(abbreviation[],0,ColumnLanguage),ColumnAbbreviation,FALSE),"")</f>
        <v/>
      </c>
      <c r="BW340" s="21" t="str">
        <f ca="1">IFERROR(VLOOKUP(AH340,OFFSET(abbreviation[],0,ColumnLanguage),ColumnAbbreviation,FALSE),"")</f>
        <v/>
      </c>
      <c r="BX340" s="21" t="str">
        <f ca="1">IFERROR(VLOOKUP(AJ340,OFFSET(abbreviation[],0,ColumnLanguage),ColumnAbbreviation,FALSE),"")</f>
        <v/>
      </c>
      <c r="BY340" s="21" t="str">
        <f ca="1">IFERROR(VLOOKUP(AL340,OFFSET(abbreviation[],0,ColumnLanguage),ColumnAbbreviation,FALSE),"")</f>
        <v/>
      </c>
      <c r="BZ340" s="21" t="str">
        <f t="shared" ca="1" si="37"/>
        <v>_</v>
      </c>
      <c r="CA340" s="21" t="str">
        <f ca="1">IFERROR(VLOOKUP(AP340,OFFSET(abbreviation[],0,ColumnLanguage),ColumnAbbreviation,FALSE),"")</f>
        <v/>
      </c>
      <c r="CB340" s="21" t="str">
        <f ca="1">IFERROR(VLOOKUP(AR340,OFFSET(abbreviation[],0,ColumnLanguage),ColumnAbbreviation,FALSE),"")</f>
        <v/>
      </c>
      <c r="CC340" s="21" t="str">
        <f ca="1">IFERROR(VLOOKUP(AT340,OFFSET(abbreviation[],0,ColumnLanguage),ColumnAbbreviation,FALSE),"")</f>
        <v/>
      </c>
      <c r="CD340" s="21" t="str">
        <f ca="1">IFERROR(VLOOKUP(AV340,OFFSET(abbreviation[],0,ColumnLanguage),ColumnAbbreviation,FALSE),"")</f>
        <v/>
      </c>
      <c r="CE340" s="21" t="str">
        <f t="shared" ca="1" si="38"/>
        <v>__</v>
      </c>
      <c r="CF340" s="21" t="str">
        <f ca="1">IFERROR(VLOOKUP(AX340,OFFSET(abbreviation[],0,ColumnLanguage),ColumnAbbreviation,FALSE),"")</f>
        <v/>
      </c>
      <c r="CG340" s="21" t="str">
        <f ca="1">IFERROR(VLOOKUP(AZ340,OFFSET(abbreviation[],0,ColumnLanguage),ColumnAbbreviation,FALSE),"")</f>
        <v/>
      </c>
      <c r="CH340" s="21" t="str">
        <f ca="1">IFERROR(VLOOKUP(BB340,OFFSET(abbreviation[],0,ColumnLanguage),ColumnAbbreviation,FALSE),"")</f>
        <v/>
      </c>
      <c r="CI340" s="21" t="str">
        <f ca="1">IFERROR(VLOOKUP(BD340,OFFSET(abbreviation[],0,ColumnLanguage),ColumnAbbreviation,FALSE),"")</f>
        <v/>
      </c>
      <c r="CJ340" s="21" t="str">
        <f ca="1">IFERROR(VLOOKUP(BF340,OFFSET(abbreviation[],0,ColumnLanguage),ColumnAbbreviation,FALSE),"")</f>
        <v/>
      </c>
      <c r="CK340" s="21" t="str">
        <f t="shared" ca="1" si="39"/>
        <v/>
      </c>
      <c r="CL340" s="21" t="str">
        <f t="shared" si="40"/>
        <v/>
      </c>
      <c r="CM340" s="52"/>
      <c r="CN340" s="57" t="str">
        <f t="shared" si="41"/>
        <v/>
      </c>
    </row>
    <row r="341" spans="16:92" x14ac:dyDescent="0.25">
      <c r="P341" s="60"/>
      <c r="Q341" s="13"/>
      <c r="V341" s="60"/>
      <c r="X341" s="61"/>
      <c r="AB341" s="60"/>
      <c r="AN341" s="54"/>
      <c r="AS341" s="15"/>
      <c r="BH341" s="52"/>
      <c r="BI341" s="21" t="str">
        <f ca="1">IFERROR(VLOOKUP(C341,OFFSET(abbreviation[],0,ColumnLanguage),ColumnAbbreviation,FALSE),"")</f>
        <v/>
      </c>
      <c r="BJ341" s="21" t="str">
        <f ca="1">IFERROR(VLOOKUP(E341,OFFSET(abbreviation[],0,ColumnLanguage),ColumnAbbreviation,FALSE),"")</f>
        <v/>
      </c>
      <c r="BK341" s="21" t="str">
        <f ca="1">IFERROR(VLOOKUP(G341,OFFSET(abbreviation[],0,ColumnLanguage),ColumnAbbreviation,FALSE),"")</f>
        <v/>
      </c>
      <c r="BL341" s="21" t="str">
        <f ca="1">IFERROR(VLOOKUP(I341,OFFSET(abbreviation[],0,ColumnLanguage),ColumnAbbreviation,FALSE),"")</f>
        <v/>
      </c>
      <c r="BM341" s="21" t="str">
        <f ca="1">IFERROR(VLOOKUP(K341,OFFSET(abbreviation[],0,ColumnLanguage),ColumnAbbreviation,FALSE),"")</f>
        <v/>
      </c>
      <c r="BN341" s="21" t="str">
        <f t="shared" ca="1" si="35"/>
        <v/>
      </c>
      <c r="BO341" s="21" t="str">
        <f ca="1">IFERROR(VLOOKUP(N341,OFFSET(abbreviation[],0,ColumnLanguage),ColumnAbbreviation,FALSE),"")</f>
        <v/>
      </c>
      <c r="BP341" s="21" t="str">
        <f ca="1">IFERROR(VLOOKUP(P341,OFFSET(abbreviation[],0,ColumnLanguage),ColumnAbbreviation,FALSE),"")</f>
        <v/>
      </c>
      <c r="BQ341" s="21" t="str">
        <f ca="1">IFERROR(VLOOKUP(T341,OFFSET(abbreviation[],0,ColumnLanguage),ColumnAbbreviation,FALSE),"")</f>
        <v/>
      </c>
      <c r="BR341" s="21" t="str">
        <f ca="1">IFERROR(VLOOKUP(V341,OFFSET(abbreviation[],0,ColumnLanguage),ColumnAbbreviation,FALSE),"")</f>
        <v/>
      </c>
      <c r="BS341" s="21" t="str">
        <f ca="1">IFERROR(VLOOKUP(Z341,OFFSET(abbreviation[],0,ColumnLanguage),ColumnAbbreviation,FALSE),"")</f>
        <v/>
      </c>
      <c r="BT341" s="21" t="str">
        <f ca="1">IFERROR(VLOOKUP(AB341,OFFSET(abbreviation[],0,ColumnLanguage),ColumnAbbreviation,FALSE),"")</f>
        <v/>
      </c>
      <c r="BU341" s="21" t="str">
        <f t="shared" ca="1" si="36"/>
        <v>__</v>
      </c>
      <c r="BV341" s="21" t="str">
        <f ca="1">IFERROR(VLOOKUP(AF341,OFFSET(abbreviation[],0,ColumnLanguage),ColumnAbbreviation,FALSE),"")</f>
        <v/>
      </c>
      <c r="BW341" s="21" t="str">
        <f ca="1">IFERROR(VLOOKUP(AH341,OFFSET(abbreviation[],0,ColumnLanguage),ColumnAbbreviation,FALSE),"")</f>
        <v/>
      </c>
      <c r="BX341" s="21" t="str">
        <f ca="1">IFERROR(VLOOKUP(AJ341,OFFSET(abbreviation[],0,ColumnLanguage),ColumnAbbreviation,FALSE),"")</f>
        <v/>
      </c>
      <c r="BY341" s="21" t="str">
        <f ca="1">IFERROR(VLOOKUP(AL341,OFFSET(abbreviation[],0,ColumnLanguage),ColumnAbbreviation,FALSE),"")</f>
        <v/>
      </c>
      <c r="BZ341" s="21" t="str">
        <f t="shared" ca="1" si="37"/>
        <v>_</v>
      </c>
      <c r="CA341" s="21" t="str">
        <f ca="1">IFERROR(VLOOKUP(AP341,OFFSET(abbreviation[],0,ColumnLanguage),ColumnAbbreviation,FALSE),"")</f>
        <v/>
      </c>
      <c r="CB341" s="21" t="str">
        <f ca="1">IFERROR(VLOOKUP(AR341,OFFSET(abbreviation[],0,ColumnLanguage),ColumnAbbreviation,FALSE),"")</f>
        <v/>
      </c>
      <c r="CC341" s="21" t="str">
        <f ca="1">IFERROR(VLOOKUP(AT341,OFFSET(abbreviation[],0,ColumnLanguage),ColumnAbbreviation,FALSE),"")</f>
        <v/>
      </c>
      <c r="CD341" s="21" t="str">
        <f ca="1">IFERROR(VLOOKUP(AV341,OFFSET(abbreviation[],0,ColumnLanguage),ColumnAbbreviation,FALSE),"")</f>
        <v/>
      </c>
      <c r="CE341" s="21" t="str">
        <f t="shared" ca="1" si="38"/>
        <v>__</v>
      </c>
      <c r="CF341" s="21" t="str">
        <f ca="1">IFERROR(VLOOKUP(AX341,OFFSET(abbreviation[],0,ColumnLanguage),ColumnAbbreviation,FALSE),"")</f>
        <v/>
      </c>
      <c r="CG341" s="21" t="str">
        <f ca="1">IFERROR(VLOOKUP(AZ341,OFFSET(abbreviation[],0,ColumnLanguage),ColumnAbbreviation,FALSE),"")</f>
        <v/>
      </c>
      <c r="CH341" s="21" t="str">
        <f ca="1">IFERROR(VLOOKUP(BB341,OFFSET(abbreviation[],0,ColumnLanguage),ColumnAbbreviation,FALSE),"")</f>
        <v/>
      </c>
      <c r="CI341" s="21" t="str">
        <f ca="1">IFERROR(VLOOKUP(BD341,OFFSET(abbreviation[],0,ColumnLanguage),ColumnAbbreviation,FALSE),"")</f>
        <v/>
      </c>
      <c r="CJ341" s="21" t="str">
        <f ca="1">IFERROR(VLOOKUP(BF341,OFFSET(abbreviation[],0,ColumnLanguage),ColumnAbbreviation,FALSE),"")</f>
        <v/>
      </c>
      <c r="CK341" s="21" t="str">
        <f t="shared" ca="1" si="39"/>
        <v/>
      </c>
      <c r="CL341" s="21" t="str">
        <f t="shared" si="40"/>
        <v/>
      </c>
      <c r="CM341" s="52"/>
      <c r="CN341" s="57" t="str">
        <f t="shared" si="41"/>
        <v/>
      </c>
    </row>
    <row r="342" spans="16:92" x14ac:dyDescent="0.25">
      <c r="P342" s="60"/>
      <c r="Q342" s="13"/>
      <c r="V342" s="60"/>
      <c r="X342" s="61"/>
      <c r="AB342" s="60"/>
      <c r="AN342" s="54"/>
      <c r="AS342" s="15"/>
      <c r="BH342" s="52"/>
      <c r="BI342" s="21" t="str">
        <f ca="1">IFERROR(VLOOKUP(C342,OFFSET(abbreviation[],0,ColumnLanguage),ColumnAbbreviation,FALSE),"")</f>
        <v/>
      </c>
      <c r="BJ342" s="21" t="str">
        <f ca="1">IFERROR(VLOOKUP(E342,OFFSET(abbreviation[],0,ColumnLanguage),ColumnAbbreviation,FALSE),"")</f>
        <v/>
      </c>
      <c r="BK342" s="21" t="str">
        <f ca="1">IFERROR(VLOOKUP(G342,OFFSET(abbreviation[],0,ColumnLanguage),ColumnAbbreviation,FALSE),"")</f>
        <v/>
      </c>
      <c r="BL342" s="21" t="str">
        <f ca="1">IFERROR(VLOOKUP(I342,OFFSET(abbreviation[],0,ColumnLanguage),ColumnAbbreviation,FALSE),"")</f>
        <v/>
      </c>
      <c r="BM342" s="21" t="str">
        <f ca="1">IFERROR(VLOOKUP(K342,OFFSET(abbreviation[],0,ColumnLanguage),ColumnAbbreviation,FALSE),"")</f>
        <v/>
      </c>
      <c r="BN342" s="21" t="str">
        <f t="shared" ca="1" si="35"/>
        <v/>
      </c>
      <c r="BO342" s="21" t="str">
        <f ca="1">IFERROR(VLOOKUP(N342,OFFSET(abbreviation[],0,ColumnLanguage),ColumnAbbreviation,FALSE),"")</f>
        <v/>
      </c>
      <c r="BP342" s="21" t="str">
        <f ca="1">IFERROR(VLOOKUP(P342,OFFSET(abbreviation[],0,ColumnLanguage),ColumnAbbreviation,FALSE),"")</f>
        <v/>
      </c>
      <c r="BQ342" s="21" t="str">
        <f ca="1">IFERROR(VLOOKUP(T342,OFFSET(abbreviation[],0,ColumnLanguage),ColumnAbbreviation,FALSE),"")</f>
        <v/>
      </c>
      <c r="BR342" s="21" t="str">
        <f ca="1">IFERROR(VLOOKUP(V342,OFFSET(abbreviation[],0,ColumnLanguage),ColumnAbbreviation,FALSE),"")</f>
        <v/>
      </c>
      <c r="BS342" s="21" t="str">
        <f ca="1">IFERROR(VLOOKUP(Z342,OFFSET(abbreviation[],0,ColumnLanguage),ColumnAbbreviation,FALSE),"")</f>
        <v/>
      </c>
      <c r="BT342" s="21" t="str">
        <f ca="1">IFERROR(VLOOKUP(AB342,OFFSET(abbreviation[],0,ColumnLanguage),ColumnAbbreviation,FALSE),"")</f>
        <v/>
      </c>
      <c r="BU342" s="21" t="str">
        <f t="shared" ca="1" si="36"/>
        <v>__</v>
      </c>
      <c r="BV342" s="21" t="str">
        <f ca="1">IFERROR(VLOOKUP(AF342,OFFSET(abbreviation[],0,ColumnLanguage),ColumnAbbreviation,FALSE),"")</f>
        <v/>
      </c>
      <c r="BW342" s="21" t="str">
        <f ca="1">IFERROR(VLOOKUP(AH342,OFFSET(abbreviation[],0,ColumnLanguage),ColumnAbbreviation,FALSE),"")</f>
        <v/>
      </c>
      <c r="BX342" s="21" t="str">
        <f ca="1">IFERROR(VLOOKUP(AJ342,OFFSET(abbreviation[],0,ColumnLanguage),ColumnAbbreviation,FALSE),"")</f>
        <v/>
      </c>
      <c r="BY342" s="21" t="str">
        <f ca="1">IFERROR(VLOOKUP(AL342,OFFSET(abbreviation[],0,ColumnLanguage),ColumnAbbreviation,FALSE),"")</f>
        <v/>
      </c>
      <c r="BZ342" s="21" t="str">
        <f t="shared" ca="1" si="37"/>
        <v>_</v>
      </c>
      <c r="CA342" s="21" t="str">
        <f ca="1">IFERROR(VLOOKUP(AP342,OFFSET(abbreviation[],0,ColumnLanguage),ColumnAbbreviation,FALSE),"")</f>
        <v/>
      </c>
      <c r="CB342" s="21" t="str">
        <f ca="1">IFERROR(VLOOKUP(AR342,OFFSET(abbreviation[],0,ColumnLanguage),ColumnAbbreviation,FALSE),"")</f>
        <v/>
      </c>
      <c r="CC342" s="21" t="str">
        <f ca="1">IFERROR(VLOOKUP(AT342,OFFSET(abbreviation[],0,ColumnLanguage),ColumnAbbreviation,FALSE),"")</f>
        <v/>
      </c>
      <c r="CD342" s="21" t="str">
        <f ca="1">IFERROR(VLOOKUP(AV342,OFFSET(abbreviation[],0,ColumnLanguage),ColumnAbbreviation,FALSE),"")</f>
        <v/>
      </c>
      <c r="CE342" s="21" t="str">
        <f t="shared" ca="1" si="38"/>
        <v>__</v>
      </c>
      <c r="CF342" s="21" t="str">
        <f ca="1">IFERROR(VLOOKUP(AX342,OFFSET(abbreviation[],0,ColumnLanguage),ColumnAbbreviation,FALSE),"")</f>
        <v/>
      </c>
      <c r="CG342" s="21" t="str">
        <f ca="1">IFERROR(VLOOKUP(AZ342,OFFSET(abbreviation[],0,ColumnLanguage),ColumnAbbreviation,FALSE),"")</f>
        <v/>
      </c>
      <c r="CH342" s="21" t="str">
        <f ca="1">IFERROR(VLOOKUP(BB342,OFFSET(abbreviation[],0,ColumnLanguage),ColumnAbbreviation,FALSE),"")</f>
        <v/>
      </c>
      <c r="CI342" s="21" t="str">
        <f ca="1">IFERROR(VLOOKUP(BD342,OFFSET(abbreviation[],0,ColumnLanguage),ColumnAbbreviation,FALSE),"")</f>
        <v/>
      </c>
      <c r="CJ342" s="21" t="str">
        <f ca="1">IFERROR(VLOOKUP(BF342,OFFSET(abbreviation[],0,ColumnLanguage),ColumnAbbreviation,FALSE),"")</f>
        <v/>
      </c>
      <c r="CK342" s="21" t="str">
        <f t="shared" ca="1" si="39"/>
        <v/>
      </c>
      <c r="CL342" s="21" t="str">
        <f t="shared" si="40"/>
        <v/>
      </c>
      <c r="CM342" s="52"/>
      <c r="CN342" s="57" t="str">
        <f t="shared" si="41"/>
        <v/>
      </c>
    </row>
    <row r="343" spans="16:92" x14ac:dyDescent="0.25">
      <c r="P343" s="60"/>
      <c r="Q343" s="13"/>
      <c r="V343" s="60"/>
      <c r="X343" s="61"/>
      <c r="AB343" s="60"/>
      <c r="AN343" s="54"/>
      <c r="AS343" s="15"/>
      <c r="BH343" s="52"/>
      <c r="BI343" s="21" t="str">
        <f ca="1">IFERROR(VLOOKUP(C343,OFFSET(abbreviation[],0,ColumnLanguage),ColumnAbbreviation,FALSE),"")</f>
        <v/>
      </c>
      <c r="BJ343" s="21" t="str">
        <f ca="1">IFERROR(VLOOKUP(E343,OFFSET(abbreviation[],0,ColumnLanguage),ColumnAbbreviation,FALSE),"")</f>
        <v/>
      </c>
      <c r="BK343" s="21" t="str">
        <f ca="1">IFERROR(VLOOKUP(G343,OFFSET(abbreviation[],0,ColumnLanguage),ColumnAbbreviation,FALSE),"")</f>
        <v/>
      </c>
      <c r="BL343" s="21" t="str">
        <f ca="1">IFERROR(VLOOKUP(I343,OFFSET(abbreviation[],0,ColumnLanguage),ColumnAbbreviation,FALSE),"")</f>
        <v/>
      </c>
      <c r="BM343" s="21" t="str">
        <f ca="1">IFERROR(VLOOKUP(K343,OFFSET(abbreviation[],0,ColumnLanguage),ColumnAbbreviation,FALSE),"")</f>
        <v/>
      </c>
      <c r="BN343" s="21" t="str">
        <f t="shared" ca="1" si="35"/>
        <v/>
      </c>
      <c r="BO343" s="21" t="str">
        <f ca="1">IFERROR(VLOOKUP(N343,OFFSET(abbreviation[],0,ColumnLanguage),ColumnAbbreviation,FALSE),"")</f>
        <v/>
      </c>
      <c r="BP343" s="21" t="str">
        <f ca="1">IFERROR(VLOOKUP(P343,OFFSET(abbreviation[],0,ColumnLanguage),ColumnAbbreviation,FALSE),"")</f>
        <v/>
      </c>
      <c r="BQ343" s="21" t="str">
        <f ca="1">IFERROR(VLOOKUP(T343,OFFSET(abbreviation[],0,ColumnLanguage),ColumnAbbreviation,FALSE),"")</f>
        <v/>
      </c>
      <c r="BR343" s="21" t="str">
        <f ca="1">IFERROR(VLOOKUP(V343,OFFSET(abbreviation[],0,ColumnLanguage),ColumnAbbreviation,FALSE),"")</f>
        <v/>
      </c>
      <c r="BS343" s="21" t="str">
        <f ca="1">IFERROR(VLOOKUP(Z343,OFFSET(abbreviation[],0,ColumnLanguage),ColumnAbbreviation,FALSE),"")</f>
        <v/>
      </c>
      <c r="BT343" s="21" t="str">
        <f ca="1">IFERROR(VLOOKUP(AB343,OFFSET(abbreviation[],0,ColumnLanguage),ColumnAbbreviation,FALSE),"")</f>
        <v/>
      </c>
      <c r="BU343" s="21" t="str">
        <f t="shared" ca="1" si="36"/>
        <v>__</v>
      </c>
      <c r="BV343" s="21" t="str">
        <f ca="1">IFERROR(VLOOKUP(AF343,OFFSET(abbreviation[],0,ColumnLanguage),ColumnAbbreviation,FALSE),"")</f>
        <v/>
      </c>
      <c r="BW343" s="21" t="str">
        <f ca="1">IFERROR(VLOOKUP(AH343,OFFSET(abbreviation[],0,ColumnLanguage),ColumnAbbreviation,FALSE),"")</f>
        <v/>
      </c>
      <c r="BX343" s="21" t="str">
        <f ca="1">IFERROR(VLOOKUP(AJ343,OFFSET(abbreviation[],0,ColumnLanguage),ColumnAbbreviation,FALSE),"")</f>
        <v/>
      </c>
      <c r="BY343" s="21" t="str">
        <f ca="1">IFERROR(VLOOKUP(AL343,OFFSET(abbreviation[],0,ColumnLanguage),ColumnAbbreviation,FALSE),"")</f>
        <v/>
      </c>
      <c r="BZ343" s="21" t="str">
        <f t="shared" ca="1" si="37"/>
        <v>_</v>
      </c>
      <c r="CA343" s="21" t="str">
        <f ca="1">IFERROR(VLOOKUP(AP343,OFFSET(abbreviation[],0,ColumnLanguage),ColumnAbbreviation,FALSE),"")</f>
        <v/>
      </c>
      <c r="CB343" s="21" t="str">
        <f ca="1">IFERROR(VLOOKUP(AR343,OFFSET(abbreviation[],0,ColumnLanguage),ColumnAbbreviation,FALSE),"")</f>
        <v/>
      </c>
      <c r="CC343" s="21" t="str">
        <f ca="1">IFERROR(VLOOKUP(AT343,OFFSET(abbreviation[],0,ColumnLanguage),ColumnAbbreviation,FALSE),"")</f>
        <v/>
      </c>
      <c r="CD343" s="21" t="str">
        <f ca="1">IFERROR(VLOOKUP(AV343,OFFSET(abbreviation[],0,ColumnLanguage),ColumnAbbreviation,FALSE),"")</f>
        <v/>
      </c>
      <c r="CE343" s="21" t="str">
        <f t="shared" ca="1" si="38"/>
        <v>__</v>
      </c>
      <c r="CF343" s="21" t="str">
        <f ca="1">IFERROR(VLOOKUP(AX343,OFFSET(abbreviation[],0,ColumnLanguage),ColumnAbbreviation,FALSE),"")</f>
        <v/>
      </c>
      <c r="CG343" s="21" t="str">
        <f ca="1">IFERROR(VLOOKUP(AZ343,OFFSET(abbreviation[],0,ColumnLanguage),ColumnAbbreviation,FALSE),"")</f>
        <v/>
      </c>
      <c r="CH343" s="21" t="str">
        <f ca="1">IFERROR(VLOOKUP(BB343,OFFSET(abbreviation[],0,ColumnLanguage),ColumnAbbreviation,FALSE),"")</f>
        <v/>
      </c>
      <c r="CI343" s="21" t="str">
        <f ca="1">IFERROR(VLOOKUP(BD343,OFFSET(abbreviation[],0,ColumnLanguage),ColumnAbbreviation,FALSE),"")</f>
        <v/>
      </c>
      <c r="CJ343" s="21" t="str">
        <f ca="1">IFERROR(VLOOKUP(BF343,OFFSET(abbreviation[],0,ColumnLanguage),ColumnAbbreviation,FALSE),"")</f>
        <v/>
      </c>
      <c r="CK343" s="21" t="str">
        <f t="shared" ca="1" si="39"/>
        <v/>
      </c>
      <c r="CL343" s="21" t="str">
        <f t="shared" si="40"/>
        <v/>
      </c>
      <c r="CM343" s="52"/>
      <c r="CN343" s="57" t="str">
        <f t="shared" si="41"/>
        <v/>
      </c>
    </row>
    <row r="344" spans="16:92" x14ac:dyDescent="0.25">
      <c r="P344" s="60"/>
      <c r="Q344" s="13"/>
      <c r="V344" s="60"/>
      <c r="X344" s="61"/>
      <c r="AB344" s="60"/>
      <c r="AN344" s="54"/>
      <c r="AS344" s="15"/>
      <c r="BH344" s="52"/>
      <c r="BI344" s="21" t="str">
        <f ca="1">IFERROR(VLOOKUP(C344,OFFSET(abbreviation[],0,ColumnLanguage),ColumnAbbreviation,FALSE),"")</f>
        <v/>
      </c>
      <c r="BJ344" s="21" t="str">
        <f ca="1">IFERROR(VLOOKUP(E344,OFFSET(abbreviation[],0,ColumnLanguage),ColumnAbbreviation,FALSE),"")</f>
        <v/>
      </c>
      <c r="BK344" s="21" t="str">
        <f ca="1">IFERROR(VLOOKUP(G344,OFFSET(abbreviation[],0,ColumnLanguage),ColumnAbbreviation,FALSE),"")</f>
        <v/>
      </c>
      <c r="BL344" s="21" t="str">
        <f ca="1">IFERROR(VLOOKUP(I344,OFFSET(abbreviation[],0,ColumnLanguage),ColumnAbbreviation,FALSE),"")</f>
        <v/>
      </c>
      <c r="BM344" s="21" t="str">
        <f ca="1">IFERROR(VLOOKUP(K344,OFFSET(abbreviation[],0,ColumnLanguage),ColumnAbbreviation,FALSE),"")</f>
        <v/>
      </c>
      <c r="BN344" s="21" t="str">
        <f t="shared" ca="1" si="35"/>
        <v/>
      </c>
      <c r="BO344" s="21" t="str">
        <f ca="1">IFERROR(VLOOKUP(N344,OFFSET(abbreviation[],0,ColumnLanguage),ColumnAbbreviation,FALSE),"")</f>
        <v/>
      </c>
      <c r="BP344" s="21" t="str">
        <f ca="1">IFERROR(VLOOKUP(P344,OFFSET(abbreviation[],0,ColumnLanguage),ColumnAbbreviation,FALSE),"")</f>
        <v/>
      </c>
      <c r="BQ344" s="21" t="str">
        <f ca="1">IFERROR(VLOOKUP(T344,OFFSET(abbreviation[],0,ColumnLanguage),ColumnAbbreviation,FALSE),"")</f>
        <v/>
      </c>
      <c r="BR344" s="21" t="str">
        <f ca="1">IFERROR(VLOOKUP(V344,OFFSET(abbreviation[],0,ColumnLanguage),ColumnAbbreviation,FALSE),"")</f>
        <v/>
      </c>
      <c r="BS344" s="21" t="str">
        <f ca="1">IFERROR(VLOOKUP(Z344,OFFSET(abbreviation[],0,ColumnLanguage),ColumnAbbreviation,FALSE),"")</f>
        <v/>
      </c>
      <c r="BT344" s="21" t="str">
        <f ca="1">IFERROR(VLOOKUP(AB344,OFFSET(abbreviation[],0,ColumnLanguage),ColumnAbbreviation,FALSE),"")</f>
        <v/>
      </c>
      <c r="BU344" s="21" t="str">
        <f t="shared" ca="1" si="36"/>
        <v>__</v>
      </c>
      <c r="BV344" s="21" t="str">
        <f ca="1">IFERROR(VLOOKUP(AF344,OFFSET(abbreviation[],0,ColumnLanguage),ColumnAbbreviation,FALSE),"")</f>
        <v/>
      </c>
      <c r="BW344" s="21" t="str">
        <f ca="1">IFERROR(VLOOKUP(AH344,OFFSET(abbreviation[],0,ColumnLanguage),ColumnAbbreviation,FALSE),"")</f>
        <v/>
      </c>
      <c r="BX344" s="21" t="str">
        <f ca="1">IFERROR(VLOOKUP(AJ344,OFFSET(abbreviation[],0,ColumnLanguage),ColumnAbbreviation,FALSE),"")</f>
        <v/>
      </c>
      <c r="BY344" s="21" t="str">
        <f ca="1">IFERROR(VLOOKUP(AL344,OFFSET(abbreviation[],0,ColumnLanguage),ColumnAbbreviation,FALSE),"")</f>
        <v/>
      </c>
      <c r="BZ344" s="21" t="str">
        <f t="shared" ca="1" si="37"/>
        <v>_</v>
      </c>
      <c r="CA344" s="21" t="str">
        <f ca="1">IFERROR(VLOOKUP(AP344,OFFSET(abbreviation[],0,ColumnLanguage),ColumnAbbreviation,FALSE),"")</f>
        <v/>
      </c>
      <c r="CB344" s="21" t="str">
        <f ca="1">IFERROR(VLOOKUP(AR344,OFFSET(abbreviation[],0,ColumnLanguage),ColumnAbbreviation,FALSE),"")</f>
        <v/>
      </c>
      <c r="CC344" s="21" t="str">
        <f ca="1">IFERROR(VLOOKUP(AT344,OFFSET(abbreviation[],0,ColumnLanguage),ColumnAbbreviation,FALSE),"")</f>
        <v/>
      </c>
      <c r="CD344" s="21" t="str">
        <f ca="1">IFERROR(VLOOKUP(AV344,OFFSET(abbreviation[],0,ColumnLanguage),ColumnAbbreviation,FALSE),"")</f>
        <v/>
      </c>
      <c r="CE344" s="21" t="str">
        <f t="shared" ca="1" si="38"/>
        <v>__</v>
      </c>
      <c r="CF344" s="21" t="str">
        <f ca="1">IFERROR(VLOOKUP(AX344,OFFSET(abbreviation[],0,ColumnLanguage),ColumnAbbreviation,FALSE),"")</f>
        <v/>
      </c>
      <c r="CG344" s="21" t="str">
        <f ca="1">IFERROR(VLOOKUP(AZ344,OFFSET(abbreviation[],0,ColumnLanguage),ColumnAbbreviation,FALSE),"")</f>
        <v/>
      </c>
      <c r="CH344" s="21" t="str">
        <f ca="1">IFERROR(VLOOKUP(BB344,OFFSET(abbreviation[],0,ColumnLanguage),ColumnAbbreviation,FALSE),"")</f>
        <v/>
      </c>
      <c r="CI344" s="21" t="str">
        <f ca="1">IFERROR(VLOOKUP(BD344,OFFSET(abbreviation[],0,ColumnLanguage),ColumnAbbreviation,FALSE),"")</f>
        <v/>
      </c>
      <c r="CJ344" s="21" t="str">
        <f ca="1">IFERROR(VLOOKUP(BF344,OFFSET(abbreviation[],0,ColumnLanguage),ColumnAbbreviation,FALSE),"")</f>
        <v/>
      </c>
      <c r="CK344" s="21" t="str">
        <f t="shared" ca="1" si="39"/>
        <v/>
      </c>
      <c r="CL344" s="21" t="str">
        <f t="shared" si="40"/>
        <v/>
      </c>
      <c r="CM344" s="52"/>
      <c r="CN344" s="57" t="str">
        <f t="shared" si="41"/>
        <v/>
      </c>
    </row>
    <row r="345" spans="16:92" x14ac:dyDescent="0.25">
      <c r="P345" s="60"/>
      <c r="Q345" s="13"/>
      <c r="V345" s="60"/>
      <c r="X345" s="61"/>
      <c r="AB345" s="60"/>
      <c r="AN345" s="54"/>
      <c r="AS345" s="15"/>
      <c r="BH345" s="52"/>
      <c r="BI345" s="21" t="str">
        <f ca="1">IFERROR(VLOOKUP(C345,OFFSET(abbreviation[],0,ColumnLanguage),ColumnAbbreviation,FALSE),"")</f>
        <v/>
      </c>
      <c r="BJ345" s="21" t="str">
        <f ca="1">IFERROR(VLOOKUP(E345,OFFSET(abbreviation[],0,ColumnLanguage),ColumnAbbreviation,FALSE),"")</f>
        <v/>
      </c>
      <c r="BK345" s="21" t="str">
        <f ca="1">IFERROR(VLOOKUP(G345,OFFSET(abbreviation[],0,ColumnLanguage),ColumnAbbreviation,FALSE),"")</f>
        <v/>
      </c>
      <c r="BL345" s="21" t="str">
        <f ca="1">IFERROR(VLOOKUP(I345,OFFSET(abbreviation[],0,ColumnLanguage),ColumnAbbreviation,FALSE),"")</f>
        <v/>
      </c>
      <c r="BM345" s="21" t="str">
        <f ca="1">IFERROR(VLOOKUP(K345,OFFSET(abbreviation[],0,ColumnLanguage),ColumnAbbreviation,FALSE),"")</f>
        <v/>
      </c>
      <c r="BN345" s="21" t="str">
        <f t="shared" ca="1" si="35"/>
        <v/>
      </c>
      <c r="BO345" s="21" t="str">
        <f ca="1">IFERROR(VLOOKUP(N345,OFFSET(abbreviation[],0,ColumnLanguage),ColumnAbbreviation,FALSE),"")</f>
        <v/>
      </c>
      <c r="BP345" s="21" t="str">
        <f ca="1">IFERROR(VLOOKUP(P345,OFFSET(abbreviation[],0,ColumnLanguage),ColumnAbbreviation,FALSE),"")</f>
        <v/>
      </c>
      <c r="BQ345" s="21" t="str">
        <f ca="1">IFERROR(VLOOKUP(T345,OFFSET(abbreviation[],0,ColumnLanguage),ColumnAbbreviation,FALSE),"")</f>
        <v/>
      </c>
      <c r="BR345" s="21" t="str">
        <f ca="1">IFERROR(VLOOKUP(V345,OFFSET(abbreviation[],0,ColumnLanguage),ColumnAbbreviation,FALSE),"")</f>
        <v/>
      </c>
      <c r="BS345" s="21" t="str">
        <f ca="1">IFERROR(VLOOKUP(Z345,OFFSET(abbreviation[],0,ColumnLanguage),ColumnAbbreviation,FALSE),"")</f>
        <v/>
      </c>
      <c r="BT345" s="21" t="str">
        <f ca="1">IFERROR(VLOOKUP(AB345,OFFSET(abbreviation[],0,ColumnLanguage),ColumnAbbreviation,FALSE),"")</f>
        <v/>
      </c>
      <c r="BU345" s="21" t="str">
        <f t="shared" ca="1" si="36"/>
        <v>__</v>
      </c>
      <c r="BV345" s="21" t="str">
        <f ca="1">IFERROR(VLOOKUP(AF345,OFFSET(abbreviation[],0,ColumnLanguage),ColumnAbbreviation,FALSE),"")</f>
        <v/>
      </c>
      <c r="BW345" s="21" t="str">
        <f ca="1">IFERROR(VLOOKUP(AH345,OFFSET(abbreviation[],0,ColumnLanguage),ColumnAbbreviation,FALSE),"")</f>
        <v/>
      </c>
      <c r="BX345" s="21" t="str">
        <f ca="1">IFERROR(VLOOKUP(AJ345,OFFSET(abbreviation[],0,ColumnLanguage),ColumnAbbreviation,FALSE),"")</f>
        <v/>
      </c>
      <c r="BY345" s="21" t="str">
        <f ca="1">IFERROR(VLOOKUP(AL345,OFFSET(abbreviation[],0,ColumnLanguage),ColumnAbbreviation,FALSE),"")</f>
        <v/>
      </c>
      <c r="BZ345" s="21" t="str">
        <f t="shared" ca="1" si="37"/>
        <v>_</v>
      </c>
      <c r="CA345" s="21" t="str">
        <f ca="1">IFERROR(VLOOKUP(AP345,OFFSET(abbreviation[],0,ColumnLanguage),ColumnAbbreviation,FALSE),"")</f>
        <v/>
      </c>
      <c r="CB345" s="21" t="str">
        <f ca="1">IFERROR(VLOOKUP(AR345,OFFSET(abbreviation[],0,ColumnLanguage),ColumnAbbreviation,FALSE),"")</f>
        <v/>
      </c>
      <c r="CC345" s="21" t="str">
        <f ca="1">IFERROR(VLOOKUP(AT345,OFFSET(abbreviation[],0,ColumnLanguage),ColumnAbbreviation,FALSE),"")</f>
        <v/>
      </c>
      <c r="CD345" s="21" t="str">
        <f ca="1">IFERROR(VLOOKUP(AV345,OFFSET(abbreviation[],0,ColumnLanguage),ColumnAbbreviation,FALSE),"")</f>
        <v/>
      </c>
      <c r="CE345" s="21" t="str">
        <f t="shared" ca="1" si="38"/>
        <v>__</v>
      </c>
      <c r="CF345" s="21" t="str">
        <f ca="1">IFERROR(VLOOKUP(AX345,OFFSET(abbreviation[],0,ColumnLanguage),ColumnAbbreviation,FALSE),"")</f>
        <v/>
      </c>
      <c r="CG345" s="21" t="str">
        <f ca="1">IFERROR(VLOOKUP(AZ345,OFFSET(abbreviation[],0,ColumnLanguage),ColumnAbbreviation,FALSE),"")</f>
        <v/>
      </c>
      <c r="CH345" s="21" t="str">
        <f ca="1">IFERROR(VLOOKUP(BB345,OFFSET(abbreviation[],0,ColumnLanguage),ColumnAbbreviation,FALSE),"")</f>
        <v/>
      </c>
      <c r="CI345" s="21" t="str">
        <f ca="1">IFERROR(VLOOKUP(BD345,OFFSET(abbreviation[],0,ColumnLanguage),ColumnAbbreviation,FALSE),"")</f>
        <v/>
      </c>
      <c r="CJ345" s="21" t="str">
        <f ca="1">IFERROR(VLOOKUP(BF345,OFFSET(abbreviation[],0,ColumnLanguage),ColumnAbbreviation,FALSE),"")</f>
        <v/>
      </c>
      <c r="CK345" s="21" t="str">
        <f t="shared" ca="1" si="39"/>
        <v/>
      </c>
      <c r="CL345" s="21" t="str">
        <f t="shared" si="40"/>
        <v/>
      </c>
      <c r="CM345" s="52"/>
      <c r="CN345" s="57" t="str">
        <f t="shared" si="41"/>
        <v/>
      </c>
    </row>
    <row r="346" spans="16:92" x14ac:dyDescent="0.25">
      <c r="P346" s="60"/>
      <c r="Q346" s="13"/>
      <c r="V346" s="60"/>
      <c r="X346" s="61"/>
      <c r="AB346" s="60"/>
      <c r="AN346" s="54"/>
      <c r="AS346" s="15"/>
      <c r="BH346" s="52"/>
      <c r="BI346" s="21" t="str">
        <f ca="1">IFERROR(VLOOKUP(C346,OFFSET(abbreviation[],0,ColumnLanguage),ColumnAbbreviation,FALSE),"")</f>
        <v/>
      </c>
      <c r="BJ346" s="21" t="str">
        <f ca="1">IFERROR(VLOOKUP(E346,OFFSET(abbreviation[],0,ColumnLanguage),ColumnAbbreviation,FALSE),"")</f>
        <v/>
      </c>
      <c r="BK346" s="21" t="str">
        <f ca="1">IFERROR(VLOOKUP(G346,OFFSET(abbreviation[],0,ColumnLanguage),ColumnAbbreviation,FALSE),"")</f>
        <v/>
      </c>
      <c r="BL346" s="21" t="str">
        <f ca="1">IFERROR(VLOOKUP(I346,OFFSET(abbreviation[],0,ColumnLanguage),ColumnAbbreviation,FALSE),"")</f>
        <v/>
      </c>
      <c r="BM346" s="21" t="str">
        <f ca="1">IFERROR(VLOOKUP(K346,OFFSET(abbreviation[],0,ColumnLanguage),ColumnAbbreviation,FALSE),"")</f>
        <v/>
      </c>
      <c r="BN346" s="21" t="str">
        <f t="shared" ca="1" si="35"/>
        <v/>
      </c>
      <c r="BO346" s="21" t="str">
        <f ca="1">IFERROR(VLOOKUP(N346,OFFSET(abbreviation[],0,ColumnLanguage),ColumnAbbreviation,FALSE),"")</f>
        <v/>
      </c>
      <c r="BP346" s="21" t="str">
        <f ca="1">IFERROR(VLOOKUP(P346,OFFSET(abbreviation[],0,ColumnLanguage),ColumnAbbreviation,FALSE),"")</f>
        <v/>
      </c>
      <c r="BQ346" s="21" t="str">
        <f ca="1">IFERROR(VLOOKUP(T346,OFFSET(abbreviation[],0,ColumnLanguage),ColumnAbbreviation,FALSE),"")</f>
        <v/>
      </c>
      <c r="BR346" s="21" t="str">
        <f ca="1">IFERROR(VLOOKUP(V346,OFFSET(abbreviation[],0,ColumnLanguage),ColumnAbbreviation,FALSE),"")</f>
        <v/>
      </c>
      <c r="BS346" s="21" t="str">
        <f ca="1">IFERROR(VLOOKUP(Z346,OFFSET(abbreviation[],0,ColumnLanguage),ColumnAbbreviation,FALSE),"")</f>
        <v/>
      </c>
      <c r="BT346" s="21" t="str">
        <f ca="1">IFERROR(VLOOKUP(AB346,OFFSET(abbreviation[],0,ColumnLanguage),ColumnAbbreviation,FALSE),"")</f>
        <v/>
      </c>
      <c r="BU346" s="21" t="str">
        <f t="shared" ca="1" si="36"/>
        <v>__</v>
      </c>
      <c r="BV346" s="21" t="str">
        <f ca="1">IFERROR(VLOOKUP(AF346,OFFSET(abbreviation[],0,ColumnLanguage),ColumnAbbreviation,FALSE),"")</f>
        <v/>
      </c>
      <c r="BW346" s="21" t="str">
        <f ca="1">IFERROR(VLOOKUP(AH346,OFFSET(abbreviation[],0,ColumnLanguage),ColumnAbbreviation,FALSE),"")</f>
        <v/>
      </c>
      <c r="BX346" s="21" t="str">
        <f ca="1">IFERROR(VLOOKUP(AJ346,OFFSET(abbreviation[],0,ColumnLanguage),ColumnAbbreviation,FALSE),"")</f>
        <v/>
      </c>
      <c r="BY346" s="21" t="str">
        <f ca="1">IFERROR(VLOOKUP(AL346,OFFSET(abbreviation[],0,ColumnLanguage),ColumnAbbreviation,FALSE),"")</f>
        <v/>
      </c>
      <c r="BZ346" s="21" t="str">
        <f t="shared" ca="1" si="37"/>
        <v>_</v>
      </c>
      <c r="CA346" s="21" t="str">
        <f ca="1">IFERROR(VLOOKUP(AP346,OFFSET(abbreviation[],0,ColumnLanguage),ColumnAbbreviation,FALSE),"")</f>
        <v/>
      </c>
      <c r="CB346" s="21" t="str">
        <f ca="1">IFERROR(VLOOKUP(AR346,OFFSET(abbreviation[],0,ColumnLanguage),ColumnAbbreviation,FALSE),"")</f>
        <v/>
      </c>
      <c r="CC346" s="21" t="str">
        <f ca="1">IFERROR(VLOOKUP(AT346,OFFSET(abbreviation[],0,ColumnLanguage),ColumnAbbreviation,FALSE),"")</f>
        <v/>
      </c>
      <c r="CD346" s="21" t="str">
        <f ca="1">IFERROR(VLOOKUP(AV346,OFFSET(abbreviation[],0,ColumnLanguage),ColumnAbbreviation,FALSE),"")</f>
        <v/>
      </c>
      <c r="CE346" s="21" t="str">
        <f t="shared" ca="1" si="38"/>
        <v>__</v>
      </c>
      <c r="CF346" s="21" t="str">
        <f ca="1">IFERROR(VLOOKUP(AX346,OFFSET(abbreviation[],0,ColumnLanguage),ColumnAbbreviation,FALSE),"")</f>
        <v/>
      </c>
      <c r="CG346" s="21" t="str">
        <f ca="1">IFERROR(VLOOKUP(AZ346,OFFSET(abbreviation[],0,ColumnLanguage),ColumnAbbreviation,FALSE),"")</f>
        <v/>
      </c>
      <c r="CH346" s="21" t="str">
        <f ca="1">IFERROR(VLOOKUP(BB346,OFFSET(abbreviation[],0,ColumnLanguage),ColumnAbbreviation,FALSE),"")</f>
        <v/>
      </c>
      <c r="CI346" s="21" t="str">
        <f ca="1">IFERROR(VLOOKUP(BD346,OFFSET(abbreviation[],0,ColumnLanguage),ColumnAbbreviation,FALSE),"")</f>
        <v/>
      </c>
      <c r="CJ346" s="21" t="str">
        <f ca="1">IFERROR(VLOOKUP(BF346,OFFSET(abbreviation[],0,ColumnLanguage),ColumnAbbreviation,FALSE),"")</f>
        <v/>
      </c>
      <c r="CK346" s="21" t="str">
        <f t="shared" ca="1" si="39"/>
        <v/>
      </c>
      <c r="CL346" s="21" t="str">
        <f t="shared" si="40"/>
        <v/>
      </c>
      <c r="CM346" s="52"/>
      <c r="CN346" s="57" t="str">
        <f t="shared" si="41"/>
        <v/>
      </c>
    </row>
    <row r="347" spans="16:92" x14ac:dyDescent="0.25">
      <c r="P347" s="60"/>
      <c r="Q347" s="13"/>
      <c r="V347" s="60"/>
      <c r="X347" s="61"/>
      <c r="AB347" s="60"/>
      <c r="AN347" s="54"/>
      <c r="AS347" s="15"/>
      <c r="BH347" s="52"/>
      <c r="BI347" s="21" t="str">
        <f ca="1">IFERROR(VLOOKUP(C347,OFFSET(abbreviation[],0,ColumnLanguage),ColumnAbbreviation,FALSE),"")</f>
        <v/>
      </c>
      <c r="BJ347" s="21" t="str">
        <f ca="1">IFERROR(VLOOKUP(E347,OFFSET(abbreviation[],0,ColumnLanguage),ColumnAbbreviation,FALSE),"")</f>
        <v/>
      </c>
      <c r="BK347" s="21" t="str">
        <f ca="1">IFERROR(VLOOKUP(G347,OFFSET(abbreviation[],0,ColumnLanguage),ColumnAbbreviation,FALSE),"")</f>
        <v/>
      </c>
      <c r="BL347" s="21" t="str">
        <f ca="1">IFERROR(VLOOKUP(I347,OFFSET(abbreviation[],0,ColumnLanguage),ColumnAbbreviation,FALSE),"")</f>
        <v/>
      </c>
      <c r="BM347" s="21" t="str">
        <f ca="1">IFERROR(VLOOKUP(K347,OFFSET(abbreviation[],0,ColumnLanguage),ColumnAbbreviation,FALSE),"")</f>
        <v/>
      </c>
      <c r="BN347" s="21" t="str">
        <f t="shared" ca="1" si="35"/>
        <v/>
      </c>
      <c r="BO347" s="21" t="str">
        <f ca="1">IFERROR(VLOOKUP(N347,OFFSET(abbreviation[],0,ColumnLanguage),ColumnAbbreviation,FALSE),"")</f>
        <v/>
      </c>
      <c r="BP347" s="21" t="str">
        <f ca="1">IFERROR(VLOOKUP(P347,OFFSET(abbreviation[],0,ColumnLanguage),ColumnAbbreviation,FALSE),"")</f>
        <v/>
      </c>
      <c r="BQ347" s="21" t="str">
        <f ca="1">IFERROR(VLOOKUP(T347,OFFSET(abbreviation[],0,ColumnLanguage),ColumnAbbreviation,FALSE),"")</f>
        <v/>
      </c>
      <c r="BR347" s="21" t="str">
        <f ca="1">IFERROR(VLOOKUP(V347,OFFSET(abbreviation[],0,ColumnLanguage),ColumnAbbreviation,FALSE),"")</f>
        <v/>
      </c>
      <c r="BS347" s="21" t="str">
        <f ca="1">IFERROR(VLOOKUP(Z347,OFFSET(abbreviation[],0,ColumnLanguage),ColumnAbbreviation,FALSE),"")</f>
        <v/>
      </c>
      <c r="BT347" s="21" t="str">
        <f ca="1">IFERROR(VLOOKUP(AB347,OFFSET(abbreviation[],0,ColumnLanguage),ColumnAbbreviation,FALSE),"")</f>
        <v/>
      </c>
      <c r="BU347" s="21" t="str">
        <f t="shared" ca="1" si="36"/>
        <v>__</v>
      </c>
      <c r="BV347" s="21" t="str">
        <f ca="1">IFERROR(VLOOKUP(AF347,OFFSET(abbreviation[],0,ColumnLanguage),ColumnAbbreviation,FALSE),"")</f>
        <v/>
      </c>
      <c r="BW347" s="21" t="str">
        <f ca="1">IFERROR(VLOOKUP(AH347,OFFSET(abbreviation[],0,ColumnLanguage),ColumnAbbreviation,FALSE),"")</f>
        <v/>
      </c>
      <c r="BX347" s="21" t="str">
        <f ca="1">IFERROR(VLOOKUP(AJ347,OFFSET(abbreviation[],0,ColumnLanguage),ColumnAbbreviation,FALSE),"")</f>
        <v/>
      </c>
      <c r="BY347" s="21" t="str">
        <f ca="1">IFERROR(VLOOKUP(AL347,OFFSET(abbreviation[],0,ColumnLanguage),ColumnAbbreviation,FALSE),"")</f>
        <v/>
      </c>
      <c r="BZ347" s="21" t="str">
        <f t="shared" ca="1" si="37"/>
        <v>_</v>
      </c>
      <c r="CA347" s="21" t="str">
        <f ca="1">IFERROR(VLOOKUP(AP347,OFFSET(abbreviation[],0,ColumnLanguage),ColumnAbbreviation,FALSE),"")</f>
        <v/>
      </c>
      <c r="CB347" s="21" t="str">
        <f ca="1">IFERROR(VLOOKUP(AR347,OFFSET(abbreviation[],0,ColumnLanguage),ColumnAbbreviation,FALSE),"")</f>
        <v/>
      </c>
      <c r="CC347" s="21" t="str">
        <f ca="1">IFERROR(VLOOKUP(AT347,OFFSET(abbreviation[],0,ColumnLanguage),ColumnAbbreviation,FALSE),"")</f>
        <v/>
      </c>
      <c r="CD347" s="21" t="str">
        <f ca="1">IFERROR(VLOOKUP(AV347,OFFSET(abbreviation[],0,ColumnLanguage),ColumnAbbreviation,FALSE),"")</f>
        <v/>
      </c>
      <c r="CE347" s="21" t="str">
        <f t="shared" ca="1" si="38"/>
        <v>__</v>
      </c>
      <c r="CF347" s="21" t="str">
        <f ca="1">IFERROR(VLOOKUP(AX347,OFFSET(abbreviation[],0,ColumnLanguage),ColumnAbbreviation,FALSE),"")</f>
        <v/>
      </c>
      <c r="CG347" s="21" t="str">
        <f ca="1">IFERROR(VLOOKUP(AZ347,OFFSET(abbreviation[],0,ColumnLanguage),ColumnAbbreviation,FALSE),"")</f>
        <v/>
      </c>
      <c r="CH347" s="21" t="str">
        <f ca="1">IFERROR(VLOOKUP(BB347,OFFSET(abbreviation[],0,ColumnLanguage),ColumnAbbreviation,FALSE),"")</f>
        <v/>
      </c>
      <c r="CI347" s="21" t="str">
        <f ca="1">IFERROR(VLOOKUP(BD347,OFFSET(abbreviation[],0,ColumnLanguage),ColumnAbbreviation,FALSE),"")</f>
        <v/>
      </c>
      <c r="CJ347" s="21" t="str">
        <f ca="1">IFERROR(VLOOKUP(BF347,OFFSET(abbreviation[],0,ColumnLanguage),ColumnAbbreviation,FALSE),"")</f>
        <v/>
      </c>
      <c r="CK347" s="21" t="str">
        <f t="shared" ca="1" si="39"/>
        <v/>
      </c>
      <c r="CL347" s="21" t="str">
        <f t="shared" si="40"/>
        <v/>
      </c>
      <c r="CM347" s="52"/>
      <c r="CN347" s="57" t="str">
        <f t="shared" si="41"/>
        <v/>
      </c>
    </row>
    <row r="348" spans="16:92" x14ac:dyDescent="0.25">
      <c r="P348" s="60"/>
      <c r="Q348" s="13"/>
      <c r="V348" s="60"/>
      <c r="X348" s="61"/>
      <c r="AB348" s="60"/>
      <c r="AN348" s="54"/>
      <c r="AS348" s="15"/>
      <c r="BH348" s="52"/>
      <c r="BI348" s="21" t="str">
        <f ca="1">IFERROR(VLOOKUP(C348,OFFSET(abbreviation[],0,ColumnLanguage),ColumnAbbreviation,FALSE),"")</f>
        <v/>
      </c>
      <c r="BJ348" s="21" t="str">
        <f ca="1">IFERROR(VLOOKUP(E348,OFFSET(abbreviation[],0,ColumnLanguage),ColumnAbbreviation,FALSE),"")</f>
        <v/>
      </c>
      <c r="BK348" s="21" t="str">
        <f ca="1">IFERROR(VLOOKUP(G348,OFFSET(abbreviation[],0,ColumnLanguage),ColumnAbbreviation,FALSE),"")</f>
        <v/>
      </c>
      <c r="BL348" s="21" t="str">
        <f ca="1">IFERROR(VLOOKUP(I348,OFFSET(abbreviation[],0,ColumnLanguage),ColumnAbbreviation,FALSE),"")</f>
        <v/>
      </c>
      <c r="BM348" s="21" t="str">
        <f ca="1">IFERROR(VLOOKUP(K348,OFFSET(abbreviation[],0,ColumnLanguage),ColumnAbbreviation,FALSE),"")</f>
        <v/>
      </c>
      <c r="BN348" s="21" t="str">
        <f t="shared" ca="1" si="35"/>
        <v/>
      </c>
      <c r="BO348" s="21" t="str">
        <f ca="1">IFERROR(VLOOKUP(N348,OFFSET(abbreviation[],0,ColumnLanguage),ColumnAbbreviation,FALSE),"")</f>
        <v/>
      </c>
      <c r="BP348" s="21" t="str">
        <f ca="1">IFERROR(VLOOKUP(P348,OFFSET(abbreviation[],0,ColumnLanguage),ColumnAbbreviation,FALSE),"")</f>
        <v/>
      </c>
      <c r="BQ348" s="21" t="str">
        <f ca="1">IFERROR(VLOOKUP(T348,OFFSET(abbreviation[],0,ColumnLanguage),ColumnAbbreviation,FALSE),"")</f>
        <v/>
      </c>
      <c r="BR348" s="21" t="str">
        <f ca="1">IFERROR(VLOOKUP(V348,OFFSET(abbreviation[],0,ColumnLanguage),ColumnAbbreviation,FALSE),"")</f>
        <v/>
      </c>
      <c r="BS348" s="21" t="str">
        <f ca="1">IFERROR(VLOOKUP(Z348,OFFSET(abbreviation[],0,ColumnLanguage),ColumnAbbreviation,FALSE),"")</f>
        <v/>
      </c>
      <c r="BT348" s="21" t="str">
        <f ca="1">IFERROR(VLOOKUP(AB348,OFFSET(abbreviation[],0,ColumnLanguage),ColumnAbbreviation,FALSE),"")</f>
        <v/>
      </c>
      <c r="BU348" s="21" t="str">
        <f t="shared" ca="1" si="36"/>
        <v>__</v>
      </c>
      <c r="BV348" s="21" t="str">
        <f ca="1">IFERROR(VLOOKUP(AF348,OFFSET(abbreviation[],0,ColumnLanguage),ColumnAbbreviation,FALSE),"")</f>
        <v/>
      </c>
      <c r="BW348" s="21" t="str">
        <f ca="1">IFERROR(VLOOKUP(AH348,OFFSET(abbreviation[],0,ColumnLanguage),ColumnAbbreviation,FALSE),"")</f>
        <v/>
      </c>
      <c r="BX348" s="21" t="str">
        <f ca="1">IFERROR(VLOOKUP(AJ348,OFFSET(abbreviation[],0,ColumnLanguage),ColumnAbbreviation,FALSE),"")</f>
        <v/>
      </c>
      <c r="BY348" s="21" t="str">
        <f ca="1">IFERROR(VLOOKUP(AL348,OFFSET(abbreviation[],0,ColumnLanguage),ColumnAbbreviation,FALSE),"")</f>
        <v/>
      </c>
      <c r="BZ348" s="21" t="str">
        <f t="shared" ca="1" si="37"/>
        <v>_</v>
      </c>
      <c r="CA348" s="21" t="str">
        <f ca="1">IFERROR(VLOOKUP(AP348,OFFSET(abbreviation[],0,ColumnLanguage),ColumnAbbreviation,FALSE),"")</f>
        <v/>
      </c>
      <c r="CB348" s="21" t="str">
        <f ca="1">IFERROR(VLOOKUP(AR348,OFFSET(abbreviation[],0,ColumnLanguage),ColumnAbbreviation,FALSE),"")</f>
        <v/>
      </c>
      <c r="CC348" s="21" t="str">
        <f ca="1">IFERROR(VLOOKUP(AT348,OFFSET(abbreviation[],0,ColumnLanguage),ColumnAbbreviation,FALSE),"")</f>
        <v/>
      </c>
      <c r="CD348" s="21" t="str">
        <f ca="1">IFERROR(VLOOKUP(AV348,OFFSET(abbreviation[],0,ColumnLanguage),ColumnAbbreviation,FALSE),"")</f>
        <v/>
      </c>
      <c r="CE348" s="21" t="str">
        <f t="shared" ca="1" si="38"/>
        <v>__</v>
      </c>
      <c r="CF348" s="21" t="str">
        <f ca="1">IFERROR(VLOOKUP(AX348,OFFSET(abbreviation[],0,ColumnLanguage),ColumnAbbreviation,FALSE),"")</f>
        <v/>
      </c>
      <c r="CG348" s="21" t="str">
        <f ca="1">IFERROR(VLOOKUP(AZ348,OFFSET(abbreviation[],0,ColumnLanguage),ColumnAbbreviation,FALSE),"")</f>
        <v/>
      </c>
      <c r="CH348" s="21" t="str">
        <f ca="1">IFERROR(VLOOKUP(BB348,OFFSET(abbreviation[],0,ColumnLanguage),ColumnAbbreviation,FALSE),"")</f>
        <v/>
      </c>
      <c r="CI348" s="21" t="str">
        <f ca="1">IFERROR(VLOOKUP(BD348,OFFSET(abbreviation[],0,ColumnLanguage),ColumnAbbreviation,FALSE),"")</f>
        <v/>
      </c>
      <c r="CJ348" s="21" t="str">
        <f ca="1">IFERROR(VLOOKUP(BF348,OFFSET(abbreviation[],0,ColumnLanguage),ColumnAbbreviation,FALSE),"")</f>
        <v/>
      </c>
      <c r="CK348" s="21" t="str">
        <f t="shared" ca="1" si="39"/>
        <v/>
      </c>
      <c r="CL348" s="21" t="str">
        <f t="shared" si="40"/>
        <v/>
      </c>
      <c r="CM348" s="52"/>
      <c r="CN348" s="57" t="str">
        <f t="shared" si="41"/>
        <v/>
      </c>
    </row>
    <row r="349" spans="16:92" x14ac:dyDescent="0.25">
      <c r="P349" s="60"/>
      <c r="Q349" s="13"/>
      <c r="V349" s="60"/>
      <c r="X349" s="61"/>
      <c r="AB349" s="60"/>
      <c r="AN349" s="54"/>
      <c r="AS349" s="15"/>
      <c r="BH349" s="52"/>
      <c r="BI349" s="21" t="str">
        <f ca="1">IFERROR(VLOOKUP(C349,OFFSET(abbreviation[],0,ColumnLanguage),ColumnAbbreviation,FALSE),"")</f>
        <v/>
      </c>
      <c r="BJ349" s="21" t="str">
        <f ca="1">IFERROR(VLOOKUP(E349,OFFSET(abbreviation[],0,ColumnLanguage),ColumnAbbreviation,FALSE),"")</f>
        <v/>
      </c>
      <c r="BK349" s="21" t="str">
        <f ca="1">IFERROR(VLOOKUP(G349,OFFSET(abbreviation[],0,ColumnLanguage),ColumnAbbreviation,FALSE),"")</f>
        <v/>
      </c>
      <c r="BL349" s="21" t="str">
        <f ca="1">IFERROR(VLOOKUP(I349,OFFSET(abbreviation[],0,ColumnLanguage),ColumnAbbreviation,FALSE),"")</f>
        <v/>
      </c>
      <c r="BM349" s="21" t="str">
        <f ca="1">IFERROR(VLOOKUP(K349,OFFSET(abbreviation[],0,ColumnLanguage),ColumnAbbreviation,FALSE),"")</f>
        <v/>
      </c>
      <c r="BN349" s="21" t="str">
        <f t="shared" ca="1" si="35"/>
        <v/>
      </c>
      <c r="BO349" s="21" t="str">
        <f ca="1">IFERROR(VLOOKUP(N349,OFFSET(abbreviation[],0,ColumnLanguage),ColumnAbbreviation,FALSE),"")</f>
        <v/>
      </c>
      <c r="BP349" s="21" t="str">
        <f ca="1">IFERROR(VLOOKUP(P349,OFFSET(abbreviation[],0,ColumnLanguage),ColumnAbbreviation,FALSE),"")</f>
        <v/>
      </c>
      <c r="BQ349" s="21" t="str">
        <f ca="1">IFERROR(VLOOKUP(T349,OFFSET(abbreviation[],0,ColumnLanguage),ColumnAbbreviation,FALSE),"")</f>
        <v/>
      </c>
      <c r="BR349" s="21" t="str">
        <f ca="1">IFERROR(VLOOKUP(V349,OFFSET(abbreviation[],0,ColumnLanguage),ColumnAbbreviation,FALSE),"")</f>
        <v/>
      </c>
      <c r="BS349" s="21" t="str">
        <f ca="1">IFERROR(VLOOKUP(Z349,OFFSET(abbreviation[],0,ColumnLanguage),ColumnAbbreviation,FALSE),"")</f>
        <v/>
      </c>
      <c r="BT349" s="21" t="str">
        <f ca="1">IFERROR(VLOOKUP(AB349,OFFSET(abbreviation[],0,ColumnLanguage),ColumnAbbreviation,FALSE),"")</f>
        <v/>
      </c>
      <c r="BU349" s="21" t="str">
        <f t="shared" ca="1" si="36"/>
        <v>__</v>
      </c>
      <c r="BV349" s="21" t="str">
        <f ca="1">IFERROR(VLOOKUP(AF349,OFFSET(abbreviation[],0,ColumnLanguage),ColumnAbbreviation,FALSE),"")</f>
        <v/>
      </c>
      <c r="BW349" s="21" t="str">
        <f ca="1">IFERROR(VLOOKUP(AH349,OFFSET(abbreviation[],0,ColumnLanguage),ColumnAbbreviation,FALSE),"")</f>
        <v/>
      </c>
      <c r="BX349" s="21" t="str">
        <f ca="1">IFERROR(VLOOKUP(AJ349,OFFSET(abbreviation[],0,ColumnLanguage),ColumnAbbreviation,FALSE),"")</f>
        <v/>
      </c>
      <c r="BY349" s="21" t="str">
        <f ca="1">IFERROR(VLOOKUP(AL349,OFFSET(abbreviation[],0,ColumnLanguage),ColumnAbbreviation,FALSE),"")</f>
        <v/>
      </c>
      <c r="BZ349" s="21" t="str">
        <f t="shared" ca="1" si="37"/>
        <v>_</v>
      </c>
      <c r="CA349" s="21" t="str">
        <f ca="1">IFERROR(VLOOKUP(AP349,OFFSET(abbreviation[],0,ColumnLanguage),ColumnAbbreviation,FALSE),"")</f>
        <v/>
      </c>
      <c r="CB349" s="21" t="str">
        <f ca="1">IFERROR(VLOOKUP(AR349,OFFSET(abbreviation[],0,ColumnLanguage),ColumnAbbreviation,FALSE),"")</f>
        <v/>
      </c>
      <c r="CC349" s="21" t="str">
        <f ca="1">IFERROR(VLOOKUP(AT349,OFFSET(abbreviation[],0,ColumnLanguage),ColumnAbbreviation,FALSE),"")</f>
        <v/>
      </c>
      <c r="CD349" s="21" t="str">
        <f ca="1">IFERROR(VLOOKUP(AV349,OFFSET(abbreviation[],0,ColumnLanguage),ColumnAbbreviation,FALSE),"")</f>
        <v/>
      </c>
      <c r="CE349" s="21" t="str">
        <f t="shared" ca="1" si="38"/>
        <v>__</v>
      </c>
      <c r="CF349" s="21" t="str">
        <f ca="1">IFERROR(VLOOKUP(AX349,OFFSET(abbreviation[],0,ColumnLanguage),ColumnAbbreviation,FALSE),"")</f>
        <v/>
      </c>
      <c r="CG349" s="21" t="str">
        <f ca="1">IFERROR(VLOOKUP(AZ349,OFFSET(abbreviation[],0,ColumnLanguage),ColumnAbbreviation,FALSE),"")</f>
        <v/>
      </c>
      <c r="CH349" s="21" t="str">
        <f ca="1">IFERROR(VLOOKUP(BB349,OFFSET(abbreviation[],0,ColumnLanguage),ColumnAbbreviation,FALSE),"")</f>
        <v/>
      </c>
      <c r="CI349" s="21" t="str">
        <f ca="1">IFERROR(VLOOKUP(BD349,OFFSET(abbreviation[],0,ColumnLanguage),ColumnAbbreviation,FALSE),"")</f>
        <v/>
      </c>
      <c r="CJ349" s="21" t="str">
        <f ca="1">IFERROR(VLOOKUP(BF349,OFFSET(abbreviation[],0,ColumnLanguage),ColumnAbbreviation,FALSE),"")</f>
        <v/>
      </c>
      <c r="CK349" s="21" t="str">
        <f t="shared" ca="1" si="39"/>
        <v/>
      </c>
      <c r="CL349" s="21" t="str">
        <f t="shared" si="40"/>
        <v/>
      </c>
      <c r="CM349" s="52"/>
      <c r="CN349" s="57" t="str">
        <f t="shared" si="41"/>
        <v/>
      </c>
    </row>
    <row r="350" spans="16:92" x14ac:dyDescent="0.25">
      <c r="P350" s="60"/>
      <c r="Q350" s="13"/>
      <c r="V350" s="60"/>
      <c r="X350" s="61"/>
      <c r="AB350" s="60"/>
      <c r="AN350" s="54"/>
      <c r="AS350" s="15"/>
      <c r="BH350" s="52"/>
      <c r="BI350" s="21" t="str">
        <f ca="1">IFERROR(VLOOKUP(C350,OFFSET(abbreviation[],0,ColumnLanguage),ColumnAbbreviation,FALSE),"")</f>
        <v/>
      </c>
      <c r="BJ350" s="21" t="str">
        <f ca="1">IFERROR(VLOOKUP(E350,OFFSET(abbreviation[],0,ColumnLanguage),ColumnAbbreviation,FALSE),"")</f>
        <v/>
      </c>
      <c r="BK350" s="21" t="str">
        <f ca="1">IFERROR(VLOOKUP(G350,OFFSET(abbreviation[],0,ColumnLanguage),ColumnAbbreviation,FALSE),"")</f>
        <v/>
      </c>
      <c r="BL350" s="21" t="str">
        <f ca="1">IFERROR(VLOOKUP(I350,OFFSET(abbreviation[],0,ColumnLanguage),ColumnAbbreviation,FALSE),"")</f>
        <v/>
      </c>
      <c r="BM350" s="21" t="str">
        <f ca="1">IFERROR(VLOOKUP(K350,OFFSET(abbreviation[],0,ColumnLanguage),ColumnAbbreviation,FALSE),"")</f>
        <v/>
      </c>
      <c r="BN350" s="21" t="str">
        <f t="shared" ca="1" si="35"/>
        <v/>
      </c>
      <c r="BO350" s="21" t="str">
        <f ca="1">IFERROR(VLOOKUP(N350,OFFSET(abbreviation[],0,ColumnLanguage),ColumnAbbreviation,FALSE),"")</f>
        <v/>
      </c>
      <c r="BP350" s="21" t="str">
        <f ca="1">IFERROR(VLOOKUP(P350,OFFSET(abbreviation[],0,ColumnLanguage),ColumnAbbreviation,FALSE),"")</f>
        <v/>
      </c>
      <c r="BQ350" s="21" t="str">
        <f ca="1">IFERROR(VLOOKUP(T350,OFFSET(abbreviation[],0,ColumnLanguage),ColumnAbbreviation,FALSE),"")</f>
        <v/>
      </c>
      <c r="BR350" s="21" t="str">
        <f ca="1">IFERROR(VLOOKUP(V350,OFFSET(abbreviation[],0,ColumnLanguage),ColumnAbbreviation,FALSE),"")</f>
        <v/>
      </c>
      <c r="BS350" s="21" t="str">
        <f ca="1">IFERROR(VLOOKUP(Z350,OFFSET(abbreviation[],0,ColumnLanguage),ColumnAbbreviation,FALSE),"")</f>
        <v/>
      </c>
      <c r="BT350" s="21" t="str">
        <f ca="1">IFERROR(VLOOKUP(AB350,OFFSET(abbreviation[],0,ColumnLanguage),ColumnAbbreviation,FALSE),"")</f>
        <v/>
      </c>
      <c r="BU350" s="21" t="str">
        <f t="shared" ca="1" si="36"/>
        <v>__</v>
      </c>
      <c r="BV350" s="21" t="str">
        <f ca="1">IFERROR(VLOOKUP(AF350,OFFSET(abbreviation[],0,ColumnLanguage),ColumnAbbreviation,FALSE),"")</f>
        <v/>
      </c>
      <c r="BW350" s="21" t="str">
        <f ca="1">IFERROR(VLOOKUP(AH350,OFFSET(abbreviation[],0,ColumnLanguage),ColumnAbbreviation,FALSE),"")</f>
        <v/>
      </c>
      <c r="BX350" s="21" t="str">
        <f ca="1">IFERROR(VLOOKUP(AJ350,OFFSET(abbreviation[],0,ColumnLanguage),ColumnAbbreviation,FALSE),"")</f>
        <v/>
      </c>
      <c r="BY350" s="21" t="str">
        <f ca="1">IFERROR(VLOOKUP(AL350,OFFSET(abbreviation[],0,ColumnLanguage),ColumnAbbreviation,FALSE),"")</f>
        <v/>
      </c>
      <c r="BZ350" s="21" t="str">
        <f t="shared" ca="1" si="37"/>
        <v>_</v>
      </c>
      <c r="CA350" s="21" t="str">
        <f ca="1">IFERROR(VLOOKUP(AP350,OFFSET(abbreviation[],0,ColumnLanguage),ColumnAbbreviation,FALSE),"")</f>
        <v/>
      </c>
      <c r="CB350" s="21" t="str">
        <f ca="1">IFERROR(VLOOKUP(AR350,OFFSET(abbreviation[],0,ColumnLanguage),ColumnAbbreviation,FALSE),"")</f>
        <v/>
      </c>
      <c r="CC350" s="21" t="str">
        <f ca="1">IFERROR(VLOOKUP(AT350,OFFSET(abbreviation[],0,ColumnLanguage),ColumnAbbreviation,FALSE),"")</f>
        <v/>
      </c>
      <c r="CD350" s="21" t="str">
        <f ca="1">IFERROR(VLOOKUP(AV350,OFFSET(abbreviation[],0,ColumnLanguage),ColumnAbbreviation,FALSE),"")</f>
        <v/>
      </c>
      <c r="CE350" s="21" t="str">
        <f t="shared" ca="1" si="38"/>
        <v>__</v>
      </c>
      <c r="CF350" s="21" t="str">
        <f ca="1">IFERROR(VLOOKUP(AX350,OFFSET(abbreviation[],0,ColumnLanguage),ColumnAbbreviation,FALSE),"")</f>
        <v/>
      </c>
      <c r="CG350" s="21" t="str">
        <f ca="1">IFERROR(VLOOKUP(AZ350,OFFSET(abbreviation[],0,ColumnLanguage),ColumnAbbreviation,FALSE),"")</f>
        <v/>
      </c>
      <c r="CH350" s="21" t="str">
        <f ca="1">IFERROR(VLOOKUP(BB350,OFFSET(abbreviation[],0,ColumnLanguage),ColumnAbbreviation,FALSE),"")</f>
        <v/>
      </c>
      <c r="CI350" s="21" t="str">
        <f ca="1">IFERROR(VLOOKUP(BD350,OFFSET(abbreviation[],0,ColumnLanguage),ColumnAbbreviation,FALSE),"")</f>
        <v/>
      </c>
      <c r="CJ350" s="21" t="str">
        <f ca="1">IFERROR(VLOOKUP(BF350,OFFSET(abbreviation[],0,ColumnLanguage),ColumnAbbreviation,FALSE),"")</f>
        <v/>
      </c>
      <c r="CK350" s="21" t="str">
        <f t="shared" ca="1" si="39"/>
        <v/>
      </c>
      <c r="CL350" s="21" t="str">
        <f t="shared" si="40"/>
        <v/>
      </c>
      <c r="CM350" s="52"/>
      <c r="CN350" s="57" t="str">
        <f t="shared" si="41"/>
        <v/>
      </c>
    </row>
    <row r="351" spans="16:92" x14ac:dyDescent="0.25">
      <c r="P351" s="60"/>
      <c r="Q351" s="13"/>
      <c r="V351" s="60"/>
      <c r="X351" s="61"/>
      <c r="AB351" s="60"/>
      <c r="AN351" s="54"/>
      <c r="AS351" s="15"/>
      <c r="BH351" s="52"/>
      <c r="BI351" s="21" t="str">
        <f ca="1">IFERROR(VLOOKUP(C351,OFFSET(abbreviation[],0,ColumnLanguage),ColumnAbbreviation,FALSE),"")</f>
        <v/>
      </c>
      <c r="BJ351" s="21" t="str">
        <f ca="1">IFERROR(VLOOKUP(E351,OFFSET(abbreviation[],0,ColumnLanguage),ColumnAbbreviation,FALSE),"")</f>
        <v/>
      </c>
      <c r="BK351" s="21" t="str">
        <f ca="1">IFERROR(VLOOKUP(G351,OFFSET(abbreviation[],0,ColumnLanguage),ColumnAbbreviation,FALSE),"")</f>
        <v/>
      </c>
      <c r="BL351" s="21" t="str">
        <f ca="1">IFERROR(VLOOKUP(I351,OFFSET(abbreviation[],0,ColumnLanguage),ColumnAbbreviation,FALSE),"")</f>
        <v/>
      </c>
      <c r="BM351" s="21" t="str">
        <f ca="1">IFERROR(VLOOKUP(K351,OFFSET(abbreviation[],0,ColumnLanguage),ColumnAbbreviation,FALSE),"")</f>
        <v/>
      </c>
      <c r="BN351" s="21" t="str">
        <f t="shared" ca="1" si="35"/>
        <v/>
      </c>
      <c r="BO351" s="21" t="str">
        <f ca="1">IFERROR(VLOOKUP(N351,OFFSET(abbreviation[],0,ColumnLanguage),ColumnAbbreviation,FALSE),"")</f>
        <v/>
      </c>
      <c r="BP351" s="21" t="str">
        <f ca="1">IFERROR(VLOOKUP(P351,OFFSET(abbreviation[],0,ColumnLanguage),ColumnAbbreviation,FALSE),"")</f>
        <v/>
      </c>
      <c r="BQ351" s="21" t="str">
        <f ca="1">IFERROR(VLOOKUP(T351,OFFSET(abbreviation[],0,ColumnLanguage),ColumnAbbreviation,FALSE),"")</f>
        <v/>
      </c>
      <c r="BR351" s="21" t="str">
        <f ca="1">IFERROR(VLOOKUP(V351,OFFSET(abbreviation[],0,ColumnLanguage),ColumnAbbreviation,FALSE),"")</f>
        <v/>
      </c>
      <c r="BS351" s="21" t="str">
        <f ca="1">IFERROR(VLOOKUP(Z351,OFFSET(abbreviation[],0,ColumnLanguage),ColumnAbbreviation,FALSE),"")</f>
        <v/>
      </c>
      <c r="BT351" s="21" t="str">
        <f ca="1">IFERROR(VLOOKUP(AB351,OFFSET(abbreviation[],0,ColumnLanguage),ColumnAbbreviation,FALSE),"")</f>
        <v/>
      </c>
      <c r="BU351" s="21" t="str">
        <f t="shared" ca="1" si="36"/>
        <v>__</v>
      </c>
      <c r="BV351" s="21" t="str">
        <f ca="1">IFERROR(VLOOKUP(AF351,OFFSET(abbreviation[],0,ColumnLanguage),ColumnAbbreviation,FALSE),"")</f>
        <v/>
      </c>
      <c r="BW351" s="21" t="str">
        <f ca="1">IFERROR(VLOOKUP(AH351,OFFSET(abbreviation[],0,ColumnLanguage),ColumnAbbreviation,FALSE),"")</f>
        <v/>
      </c>
      <c r="BX351" s="21" t="str">
        <f ca="1">IFERROR(VLOOKUP(AJ351,OFFSET(abbreviation[],0,ColumnLanguage),ColumnAbbreviation,FALSE),"")</f>
        <v/>
      </c>
      <c r="BY351" s="21" t="str">
        <f ca="1">IFERROR(VLOOKUP(AL351,OFFSET(abbreviation[],0,ColumnLanguage),ColumnAbbreviation,FALSE),"")</f>
        <v/>
      </c>
      <c r="BZ351" s="21" t="str">
        <f t="shared" ca="1" si="37"/>
        <v>_</v>
      </c>
      <c r="CA351" s="21" t="str">
        <f ca="1">IFERROR(VLOOKUP(AP351,OFFSET(abbreviation[],0,ColumnLanguage),ColumnAbbreviation,FALSE),"")</f>
        <v/>
      </c>
      <c r="CB351" s="21" t="str">
        <f ca="1">IFERROR(VLOOKUP(AR351,OFFSET(abbreviation[],0,ColumnLanguage),ColumnAbbreviation,FALSE),"")</f>
        <v/>
      </c>
      <c r="CC351" s="21" t="str">
        <f ca="1">IFERROR(VLOOKUP(AT351,OFFSET(abbreviation[],0,ColumnLanguage),ColumnAbbreviation,FALSE),"")</f>
        <v/>
      </c>
      <c r="CD351" s="21" t="str">
        <f ca="1">IFERROR(VLOOKUP(AV351,OFFSET(abbreviation[],0,ColumnLanguage),ColumnAbbreviation,FALSE),"")</f>
        <v/>
      </c>
      <c r="CE351" s="21" t="str">
        <f t="shared" ca="1" si="38"/>
        <v>__</v>
      </c>
      <c r="CF351" s="21" t="str">
        <f ca="1">IFERROR(VLOOKUP(AX351,OFFSET(abbreviation[],0,ColumnLanguage),ColumnAbbreviation,FALSE),"")</f>
        <v/>
      </c>
      <c r="CG351" s="21" t="str">
        <f ca="1">IFERROR(VLOOKUP(AZ351,OFFSET(abbreviation[],0,ColumnLanguage),ColumnAbbreviation,FALSE),"")</f>
        <v/>
      </c>
      <c r="CH351" s="21" t="str">
        <f ca="1">IFERROR(VLOOKUP(BB351,OFFSET(abbreviation[],0,ColumnLanguage),ColumnAbbreviation,FALSE),"")</f>
        <v/>
      </c>
      <c r="CI351" s="21" t="str">
        <f ca="1">IFERROR(VLOOKUP(BD351,OFFSET(abbreviation[],0,ColumnLanguage),ColumnAbbreviation,FALSE),"")</f>
        <v/>
      </c>
      <c r="CJ351" s="21" t="str">
        <f ca="1">IFERROR(VLOOKUP(BF351,OFFSET(abbreviation[],0,ColumnLanguage),ColumnAbbreviation,FALSE),"")</f>
        <v/>
      </c>
      <c r="CK351" s="21" t="str">
        <f t="shared" ca="1" si="39"/>
        <v/>
      </c>
      <c r="CL351" s="21" t="str">
        <f t="shared" si="40"/>
        <v/>
      </c>
      <c r="CM351" s="52"/>
      <c r="CN351" s="57" t="str">
        <f t="shared" si="41"/>
        <v/>
      </c>
    </row>
    <row r="352" spans="16:92" x14ac:dyDescent="0.25">
      <c r="P352" s="60"/>
      <c r="Q352" s="13"/>
      <c r="V352" s="60"/>
      <c r="X352" s="61"/>
      <c r="AB352" s="60"/>
      <c r="AN352" s="54"/>
      <c r="AS352" s="15"/>
      <c r="BH352" s="52"/>
      <c r="BI352" s="21" t="str">
        <f ca="1">IFERROR(VLOOKUP(C352,OFFSET(abbreviation[],0,ColumnLanguage),ColumnAbbreviation,FALSE),"")</f>
        <v/>
      </c>
      <c r="BJ352" s="21" t="str">
        <f ca="1">IFERROR(VLOOKUP(E352,OFFSET(abbreviation[],0,ColumnLanguage),ColumnAbbreviation,FALSE),"")</f>
        <v/>
      </c>
      <c r="BK352" s="21" t="str">
        <f ca="1">IFERROR(VLOOKUP(G352,OFFSET(abbreviation[],0,ColumnLanguage),ColumnAbbreviation,FALSE),"")</f>
        <v/>
      </c>
      <c r="BL352" s="21" t="str">
        <f ca="1">IFERROR(VLOOKUP(I352,OFFSET(abbreviation[],0,ColumnLanguage),ColumnAbbreviation,FALSE),"")</f>
        <v/>
      </c>
      <c r="BM352" s="21" t="str">
        <f ca="1">IFERROR(VLOOKUP(K352,OFFSET(abbreviation[],0,ColumnLanguage),ColumnAbbreviation,FALSE),"")</f>
        <v/>
      </c>
      <c r="BN352" s="21" t="str">
        <f t="shared" ca="1" si="35"/>
        <v/>
      </c>
      <c r="BO352" s="21" t="str">
        <f ca="1">IFERROR(VLOOKUP(N352,OFFSET(abbreviation[],0,ColumnLanguage),ColumnAbbreviation,FALSE),"")</f>
        <v/>
      </c>
      <c r="BP352" s="21" t="str">
        <f ca="1">IFERROR(VLOOKUP(P352,OFFSET(abbreviation[],0,ColumnLanguage),ColumnAbbreviation,FALSE),"")</f>
        <v/>
      </c>
      <c r="BQ352" s="21" t="str">
        <f ca="1">IFERROR(VLOOKUP(T352,OFFSET(abbreviation[],0,ColumnLanguage),ColumnAbbreviation,FALSE),"")</f>
        <v/>
      </c>
      <c r="BR352" s="21" t="str">
        <f ca="1">IFERROR(VLOOKUP(V352,OFFSET(abbreviation[],0,ColumnLanguage),ColumnAbbreviation,FALSE),"")</f>
        <v/>
      </c>
      <c r="BS352" s="21" t="str">
        <f ca="1">IFERROR(VLOOKUP(Z352,OFFSET(abbreviation[],0,ColumnLanguage),ColumnAbbreviation,FALSE),"")</f>
        <v/>
      </c>
      <c r="BT352" s="21" t="str">
        <f ca="1">IFERROR(VLOOKUP(AB352,OFFSET(abbreviation[],0,ColumnLanguage),ColumnAbbreviation,FALSE),"")</f>
        <v/>
      </c>
      <c r="BU352" s="21" t="str">
        <f t="shared" ca="1" si="36"/>
        <v>__</v>
      </c>
      <c r="BV352" s="21" t="str">
        <f ca="1">IFERROR(VLOOKUP(AF352,OFFSET(abbreviation[],0,ColumnLanguage),ColumnAbbreviation,FALSE),"")</f>
        <v/>
      </c>
      <c r="BW352" s="21" t="str">
        <f ca="1">IFERROR(VLOOKUP(AH352,OFFSET(abbreviation[],0,ColumnLanguage),ColumnAbbreviation,FALSE),"")</f>
        <v/>
      </c>
      <c r="BX352" s="21" t="str">
        <f ca="1">IFERROR(VLOOKUP(AJ352,OFFSET(abbreviation[],0,ColumnLanguage),ColumnAbbreviation,FALSE),"")</f>
        <v/>
      </c>
      <c r="BY352" s="21" t="str">
        <f ca="1">IFERROR(VLOOKUP(AL352,OFFSET(abbreviation[],0,ColumnLanguage),ColumnAbbreviation,FALSE),"")</f>
        <v/>
      </c>
      <c r="BZ352" s="21" t="str">
        <f t="shared" ca="1" si="37"/>
        <v>_</v>
      </c>
      <c r="CA352" s="21" t="str">
        <f ca="1">IFERROR(VLOOKUP(AP352,OFFSET(abbreviation[],0,ColumnLanguage),ColumnAbbreviation,FALSE),"")</f>
        <v/>
      </c>
      <c r="CB352" s="21" t="str">
        <f ca="1">IFERROR(VLOOKUP(AR352,OFFSET(abbreviation[],0,ColumnLanguage),ColumnAbbreviation,FALSE),"")</f>
        <v/>
      </c>
      <c r="CC352" s="21" t="str">
        <f ca="1">IFERROR(VLOOKUP(AT352,OFFSET(abbreviation[],0,ColumnLanguage),ColumnAbbreviation,FALSE),"")</f>
        <v/>
      </c>
      <c r="CD352" s="21" t="str">
        <f ca="1">IFERROR(VLOOKUP(AV352,OFFSET(abbreviation[],0,ColumnLanguage),ColumnAbbreviation,FALSE),"")</f>
        <v/>
      </c>
      <c r="CE352" s="21" t="str">
        <f t="shared" ca="1" si="38"/>
        <v>__</v>
      </c>
      <c r="CF352" s="21" t="str">
        <f ca="1">IFERROR(VLOOKUP(AX352,OFFSET(abbreviation[],0,ColumnLanguage),ColumnAbbreviation,FALSE),"")</f>
        <v/>
      </c>
      <c r="CG352" s="21" t="str">
        <f ca="1">IFERROR(VLOOKUP(AZ352,OFFSET(abbreviation[],0,ColumnLanguage),ColumnAbbreviation,FALSE),"")</f>
        <v/>
      </c>
      <c r="CH352" s="21" t="str">
        <f ca="1">IFERROR(VLOOKUP(BB352,OFFSET(abbreviation[],0,ColumnLanguage),ColumnAbbreviation,FALSE),"")</f>
        <v/>
      </c>
      <c r="CI352" s="21" t="str">
        <f ca="1">IFERROR(VLOOKUP(BD352,OFFSET(abbreviation[],0,ColumnLanguage),ColumnAbbreviation,FALSE),"")</f>
        <v/>
      </c>
      <c r="CJ352" s="21" t="str">
        <f ca="1">IFERROR(VLOOKUP(BF352,OFFSET(abbreviation[],0,ColumnLanguage),ColumnAbbreviation,FALSE),"")</f>
        <v/>
      </c>
      <c r="CK352" s="21" t="str">
        <f t="shared" ca="1" si="39"/>
        <v/>
      </c>
      <c r="CL352" s="21" t="str">
        <f t="shared" si="40"/>
        <v/>
      </c>
      <c r="CM352" s="52"/>
      <c r="CN352" s="57" t="str">
        <f t="shared" si="41"/>
        <v/>
      </c>
    </row>
    <row r="353" spans="16:92" x14ac:dyDescent="0.25">
      <c r="P353" s="60"/>
      <c r="Q353" s="13"/>
      <c r="V353" s="60"/>
      <c r="X353" s="61"/>
      <c r="AB353" s="60"/>
      <c r="AN353" s="54"/>
      <c r="AS353" s="15"/>
      <c r="BH353" s="52"/>
      <c r="BI353" s="21" t="str">
        <f ca="1">IFERROR(VLOOKUP(C353,OFFSET(abbreviation[],0,ColumnLanguage),ColumnAbbreviation,FALSE),"")</f>
        <v/>
      </c>
      <c r="BJ353" s="21" t="str">
        <f ca="1">IFERROR(VLOOKUP(E353,OFFSET(abbreviation[],0,ColumnLanguage),ColumnAbbreviation,FALSE),"")</f>
        <v/>
      </c>
      <c r="BK353" s="21" t="str">
        <f ca="1">IFERROR(VLOOKUP(G353,OFFSET(abbreviation[],0,ColumnLanguage),ColumnAbbreviation,FALSE),"")</f>
        <v/>
      </c>
      <c r="BL353" s="21" t="str">
        <f ca="1">IFERROR(VLOOKUP(I353,OFFSET(abbreviation[],0,ColumnLanguage),ColumnAbbreviation,FALSE),"")</f>
        <v/>
      </c>
      <c r="BM353" s="21" t="str">
        <f ca="1">IFERROR(VLOOKUP(K353,OFFSET(abbreviation[],0,ColumnLanguage),ColumnAbbreviation,FALSE),"")</f>
        <v/>
      </c>
      <c r="BN353" s="21" t="str">
        <f t="shared" ca="1" si="35"/>
        <v/>
      </c>
      <c r="BO353" s="21" t="str">
        <f ca="1">IFERROR(VLOOKUP(N353,OFFSET(abbreviation[],0,ColumnLanguage),ColumnAbbreviation,FALSE),"")</f>
        <v/>
      </c>
      <c r="BP353" s="21" t="str">
        <f ca="1">IFERROR(VLOOKUP(P353,OFFSET(abbreviation[],0,ColumnLanguage),ColumnAbbreviation,FALSE),"")</f>
        <v/>
      </c>
      <c r="BQ353" s="21" t="str">
        <f ca="1">IFERROR(VLOOKUP(T353,OFFSET(abbreviation[],0,ColumnLanguage),ColumnAbbreviation,FALSE),"")</f>
        <v/>
      </c>
      <c r="BR353" s="21" t="str">
        <f ca="1">IFERROR(VLOOKUP(V353,OFFSET(abbreviation[],0,ColumnLanguage),ColumnAbbreviation,FALSE),"")</f>
        <v/>
      </c>
      <c r="BS353" s="21" t="str">
        <f ca="1">IFERROR(VLOOKUP(Z353,OFFSET(abbreviation[],0,ColumnLanguage),ColumnAbbreviation,FALSE),"")</f>
        <v/>
      </c>
      <c r="BT353" s="21" t="str">
        <f ca="1">IFERROR(VLOOKUP(AB353,OFFSET(abbreviation[],0,ColumnLanguage),ColumnAbbreviation,FALSE),"")</f>
        <v/>
      </c>
      <c r="BU353" s="21" t="str">
        <f t="shared" ca="1" si="36"/>
        <v>__</v>
      </c>
      <c r="BV353" s="21" t="str">
        <f ca="1">IFERROR(VLOOKUP(AF353,OFFSET(abbreviation[],0,ColumnLanguage),ColumnAbbreviation,FALSE),"")</f>
        <v/>
      </c>
      <c r="BW353" s="21" t="str">
        <f ca="1">IFERROR(VLOOKUP(AH353,OFFSET(abbreviation[],0,ColumnLanguage),ColumnAbbreviation,FALSE),"")</f>
        <v/>
      </c>
      <c r="BX353" s="21" t="str">
        <f ca="1">IFERROR(VLOOKUP(AJ353,OFFSET(abbreviation[],0,ColumnLanguage),ColumnAbbreviation,FALSE),"")</f>
        <v/>
      </c>
      <c r="BY353" s="21" t="str">
        <f ca="1">IFERROR(VLOOKUP(AL353,OFFSET(abbreviation[],0,ColumnLanguage),ColumnAbbreviation,FALSE),"")</f>
        <v/>
      </c>
      <c r="BZ353" s="21" t="str">
        <f t="shared" ca="1" si="37"/>
        <v>_</v>
      </c>
      <c r="CA353" s="21" t="str">
        <f ca="1">IFERROR(VLOOKUP(AP353,OFFSET(abbreviation[],0,ColumnLanguage),ColumnAbbreviation,FALSE),"")</f>
        <v/>
      </c>
      <c r="CB353" s="21" t="str">
        <f ca="1">IFERROR(VLOOKUP(AR353,OFFSET(abbreviation[],0,ColumnLanguage),ColumnAbbreviation,FALSE),"")</f>
        <v/>
      </c>
      <c r="CC353" s="21" t="str">
        <f ca="1">IFERROR(VLOOKUP(AT353,OFFSET(abbreviation[],0,ColumnLanguage),ColumnAbbreviation,FALSE),"")</f>
        <v/>
      </c>
      <c r="CD353" s="21" t="str">
        <f ca="1">IFERROR(VLOOKUP(AV353,OFFSET(abbreviation[],0,ColumnLanguage),ColumnAbbreviation,FALSE),"")</f>
        <v/>
      </c>
      <c r="CE353" s="21" t="str">
        <f t="shared" ca="1" si="38"/>
        <v>__</v>
      </c>
      <c r="CF353" s="21" t="str">
        <f ca="1">IFERROR(VLOOKUP(AX353,OFFSET(abbreviation[],0,ColumnLanguage),ColumnAbbreviation,FALSE),"")</f>
        <v/>
      </c>
      <c r="CG353" s="21" t="str">
        <f ca="1">IFERROR(VLOOKUP(AZ353,OFFSET(abbreviation[],0,ColumnLanguage),ColumnAbbreviation,FALSE),"")</f>
        <v/>
      </c>
      <c r="CH353" s="21" t="str">
        <f ca="1">IFERROR(VLOOKUP(BB353,OFFSET(abbreviation[],0,ColumnLanguage),ColumnAbbreviation,FALSE),"")</f>
        <v/>
      </c>
      <c r="CI353" s="21" t="str">
        <f ca="1">IFERROR(VLOOKUP(BD353,OFFSET(abbreviation[],0,ColumnLanguage),ColumnAbbreviation,FALSE),"")</f>
        <v/>
      </c>
      <c r="CJ353" s="21" t="str">
        <f ca="1">IFERROR(VLOOKUP(BF353,OFFSET(abbreviation[],0,ColumnLanguage),ColumnAbbreviation,FALSE),"")</f>
        <v/>
      </c>
      <c r="CK353" s="21" t="str">
        <f t="shared" ca="1" si="39"/>
        <v/>
      </c>
      <c r="CL353" s="21" t="str">
        <f t="shared" si="40"/>
        <v/>
      </c>
      <c r="CM353" s="52"/>
      <c r="CN353" s="57" t="str">
        <f t="shared" si="41"/>
        <v/>
      </c>
    </row>
    <row r="354" spans="16:92" x14ac:dyDescent="0.25">
      <c r="P354" s="60"/>
      <c r="Q354" s="13"/>
      <c r="V354" s="60"/>
      <c r="X354" s="61"/>
      <c r="AB354" s="60"/>
      <c r="AN354" s="54"/>
      <c r="AS354" s="15"/>
      <c r="BH354" s="52"/>
      <c r="BI354" s="21" t="str">
        <f ca="1">IFERROR(VLOOKUP(C354,OFFSET(abbreviation[],0,ColumnLanguage),ColumnAbbreviation,FALSE),"")</f>
        <v/>
      </c>
      <c r="BJ354" s="21" t="str">
        <f ca="1">IFERROR(VLOOKUP(E354,OFFSET(abbreviation[],0,ColumnLanguage),ColumnAbbreviation,FALSE),"")</f>
        <v/>
      </c>
      <c r="BK354" s="21" t="str">
        <f ca="1">IFERROR(VLOOKUP(G354,OFFSET(abbreviation[],0,ColumnLanguage),ColumnAbbreviation,FALSE),"")</f>
        <v/>
      </c>
      <c r="BL354" s="21" t="str">
        <f ca="1">IFERROR(VLOOKUP(I354,OFFSET(abbreviation[],0,ColumnLanguage),ColumnAbbreviation,FALSE),"")</f>
        <v/>
      </c>
      <c r="BM354" s="21" t="str">
        <f ca="1">IFERROR(VLOOKUP(K354,OFFSET(abbreviation[],0,ColumnLanguage),ColumnAbbreviation,FALSE),"")</f>
        <v/>
      </c>
      <c r="BN354" s="21" t="str">
        <f t="shared" ca="1" si="35"/>
        <v/>
      </c>
      <c r="BO354" s="21" t="str">
        <f ca="1">IFERROR(VLOOKUP(N354,OFFSET(abbreviation[],0,ColumnLanguage),ColumnAbbreviation,FALSE),"")</f>
        <v/>
      </c>
      <c r="BP354" s="21" t="str">
        <f ca="1">IFERROR(VLOOKUP(P354,OFFSET(abbreviation[],0,ColumnLanguage),ColumnAbbreviation,FALSE),"")</f>
        <v/>
      </c>
      <c r="BQ354" s="21" t="str">
        <f ca="1">IFERROR(VLOOKUP(T354,OFFSET(abbreviation[],0,ColumnLanguage),ColumnAbbreviation,FALSE),"")</f>
        <v/>
      </c>
      <c r="BR354" s="21" t="str">
        <f ca="1">IFERROR(VLOOKUP(V354,OFFSET(abbreviation[],0,ColumnLanguage),ColumnAbbreviation,FALSE),"")</f>
        <v/>
      </c>
      <c r="BS354" s="21" t="str">
        <f ca="1">IFERROR(VLOOKUP(Z354,OFFSET(abbreviation[],0,ColumnLanguage),ColumnAbbreviation,FALSE),"")</f>
        <v/>
      </c>
      <c r="BT354" s="21" t="str">
        <f ca="1">IFERROR(VLOOKUP(AB354,OFFSET(abbreviation[],0,ColumnLanguage),ColumnAbbreviation,FALSE),"")</f>
        <v/>
      </c>
      <c r="BU354" s="21" t="str">
        <f t="shared" ca="1" si="36"/>
        <v>__</v>
      </c>
      <c r="BV354" s="21" t="str">
        <f ca="1">IFERROR(VLOOKUP(AF354,OFFSET(abbreviation[],0,ColumnLanguage),ColumnAbbreviation,FALSE),"")</f>
        <v/>
      </c>
      <c r="BW354" s="21" t="str">
        <f ca="1">IFERROR(VLOOKUP(AH354,OFFSET(abbreviation[],0,ColumnLanguage),ColumnAbbreviation,FALSE),"")</f>
        <v/>
      </c>
      <c r="BX354" s="21" t="str">
        <f ca="1">IFERROR(VLOOKUP(AJ354,OFFSET(abbreviation[],0,ColumnLanguage),ColumnAbbreviation,FALSE),"")</f>
        <v/>
      </c>
      <c r="BY354" s="21" t="str">
        <f ca="1">IFERROR(VLOOKUP(AL354,OFFSET(abbreviation[],0,ColumnLanguage),ColumnAbbreviation,FALSE),"")</f>
        <v/>
      </c>
      <c r="BZ354" s="21" t="str">
        <f t="shared" ca="1" si="37"/>
        <v>_</v>
      </c>
      <c r="CA354" s="21" t="str">
        <f ca="1">IFERROR(VLOOKUP(AP354,OFFSET(abbreviation[],0,ColumnLanguage),ColumnAbbreviation,FALSE),"")</f>
        <v/>
      </c>
      <c r="CB354" s="21" t="str">
        <f ca="1">IFERROR(VLOOKUP(AR354,OFFSET(abbreviation[],0,ColumnLanguage),ColumnAbbreviation,FALSE),"")</f>
        <v/>
      </c>
      <c r="CC354" s="21" t="str">
        <f ca="1">IFERROR(VLOOKUP(AT354,OFFSET(abbreviation[],0,ColumnLanguage),ColumnAbbreviation,FALSE),"")</f>
        <v/>
      </c>
      <c r="CD354" s="21" t="str">
        <f ca="1">IFERROR(VLOOKUP(AV354,OFFSET(abbreviation[],0,ColumnLanguage),ColumnAbbreviation,FALSE),"")</f>
        <v/>
      </c>
      <c r="CE354" s="21" t="str">
        <f t="shared" ca="1" si="38"/>
        <v>__</v>
      </c>
      <c r="CF354" s="21" t="str">
        <f ca="1">IFERROR(VLOOKUP(AX354,OFFSET(abbreviation[],0,ColumnLanguage),ColumnAbbreviation,FALSE),"")</f>
        <v/>
      </c>
      <c r="CG354" s="21" t="str">
        <f ca="1">IFERROR(VLOOKUP(AZ354,OFFSET(abbreviation[],0,ColumnLanguage),ColumnAbbreviation,FALSE),"")</f>
        <v/>
      </c>
      <c r="CH354" s="21" t="str">
        <f ca="1">IFERROR(VLOOKUP(BB354,OFFSET(abbreviation[],0,ColumnLanguage),ColumnAbbreviation,FALSE),"")</f>
        <v/>
      </c>
      <c r="CI354" s="21" t="str">
        <f ca="1">IFERROR(VLOOKUP(BD354,OFFSET(abbreviation[],0,ColumnLanguage),ColumnAbbreviation,FALSE),"")</f>
        <v/>
      </c>
      <c r="CJ354" s="21" t="str">
        <f ca="1">IFERROR(VLOOKUP(BF354,OFFSET(abbreviation[],0,ColumnLanguage),ColumnAbbreviation,FALSE),"")</f>
        <v/>
      </c>
      <c r="CK354" s="21" t="str">
        <f t="shared" ca="1" si="39"/>
        <v/>
      </c>
      <c r="CL354" s="21" t="str">
        <f t="shared" si="40"/>
        <v/>
      </c>
      <c r="CM354" s="52"/>
      <c r="CN354" s="57" t="str">
        <f t="shared" si="41"/>
        <v/>
      </c>
    </row>
    <row r="355" spans="16:92" x14ac:dyDescent="0.25">
      <c r="P355" s="60"/>
      <c r="Q355" s="13"/>
      <c r="V355" s="60"/>
      <c r="X355" s="61"/>
      <c r="AB355" s="60"/>
      <c r="AN355" s="54"/>
      <c r="AS355" s="15"/>
      <c r="BH355" s="52"/>
      <c r="BI355" s="21" t="str">
        <f ca="1">IFERROR(VLOOKUP(C355,OFFSET(abbreviation[],0,ColumnLanguage),ColumnAbbreviation,FALSE),"")</f>
        <v/>
      </c>
      <c r="BJ355" s="21" t="str">
        <f ca="1">IFERROR(VLOOKUP(E355,OFFSET(abbreviation[],0,ColumnLanguage),ColumnAbbreviation,FALSE),"")</f>
        <v/>
      </c>
      <c r="BK355" s="21" t="str">
        <f ca="1">IFERROR(VLOOKUP(G355,OFFSET(abbreviation[],0,ColumnLanguage),ColumnAbbreviation,FALSE),"")</f>
        <v/>
      </c>
      <c r="BL355" s="21" t="str">
        <f ca="1">IFERROR(VLOOKUP(I355,OFFSET(abbreviation[],0,ColumnLanguage),ColumnAbbreviation,FALSE),"")</f>
        <v/>
      </c>
      <c r="BM355" s="21" t="str">
        <f ca="1">IFERROR(VLOOKUP(K355,OFFSET(abbreviation[],0,ColumnLanguage),ColumnAbbreviation,FALSE),"")</f>
        <v/>
      </c>
      <c r="BN355" s="21" t="str">
        <f t="shared" ca="1" si="35"/>
        <v/>
      </c>
      <c r="BO355" s="21" t="str">
        <f ca="1">IFERROR(VLOOKUP(N355,OFFSET(abbreviation[],0,ColumnLanguage),ColumnAbbreviation,FALSE),"")</f>
        <v/>
      </c>
      <c r="BP355" s="21" t="str">
        <f ca="1">IFERROR(VLOOKUP(P355,OFFSET(abbreviation[],0,ColumnLanguage),ColumnAbbreviation,FALSE),"")</f>
        <v/>
      </c>
      <c r="BQ355" s="21" t="str">
        <f ca="1">IFERROR(VLOOKUP(T355,OFFSET(abbreviation[],0,ColumnLanguage),ColumnAbbreviation,FALSE),"")</f>
        <v/>
      </c>
      <c r="BR355" s="21" t="str">
        <f ca="1">IFERROR(VLOOKUP(V355,OFFSET(abbreviation[],0,ColumnLanguage),ColumnAbbreviation,FALSE),"")</f>
        <v/>
      </c>
      <c r="BS355" s="21" t="str">
        <f ca="1">IFERROR(VLOOKUP(Z355,OFFSET(abbreviation[],0,ColumnLanguage),ColumnAbbreviation,FALSE),"")</f>
        <v/>
      </c>
      <c r="BT355" s="21" t="str">
        <f ca="1">IFERROR(VLOOKUP(AB355,OFFSET(abbreviation[],0,ColumnLanguage),ColumnAbbreviation,FALSE),"")</f>
        <v/>
      </c>
      <c r="BU355" s="21" t="str">
        <f t="shared" ca="1" si="36"/>
        <v>__</v>
      </c>
      <c r="BV355" s="21" t="str">
        <f ca="1">IFERROR(VLOOKUP(AF355,OFFSET(abbreviation[],0,ColumnLanguage),ColumnAbbreviation,FALSE),"")</f>
        <v/>
      </c>
      <c r="BW355" s="21" t="str">
        <f ca="1">IFERROR(VLOOKUP(AH355,OFFSET(abbreviation[],0,ColumnLanguage),ColumnAbbreviation,FALSE),"")</f>
        <v/>
      </c>
      <c r="BX355" s="21" t="str">
        <f ca="1">IFERROR(VLOOKUP(AJ355,OFFSET(abbreviation[],0,ColumnLanguage),ColumnAbbreviation,FALSE),"")</f>
        <v/>
      </c>
      <c r="BY355" s="21" t="str">
        <f ca="1">IFERROR(VLOOKUP(AL355,OFFSET(abbreviation[],0,ColumnLanguage),ColumnAbbreviation,FALSE),"")</f>
        <v/>
      </c>
      <c r="BZ355" s="21" t="str">
        <f t="shared" ca="1" si="37"/>
        <v>_</v>
      </c>
      <c r="CA355" s="21" t="str">
        <f ca="1">IFERROR(VLOOKUP(AP355,OFFSET(abbreviation[],0,ColumnLanguage),ColumnAbbreviation,FALSE),"")</f>
        <v/>
      </c>
      <c r="CB355" s="21" t="str">
        <f ca="1">IFERROR(VLOOKUP(AR355,OFFSET(abbreviation[],0,ColumnLanguage),ColumnAbbreviation,FALSE),"")</f>
        <v/>
      </c>
      <c r="CC355" s="21" t="str">
        <f ca="1">IFERROR(VLOOKUP(AT355,OFFSET(abbreviation[],0,ColumnLanguage),ColumnAbbreviation,FALSE),"")</f>
        <v/>
      </c>
      <c r="CD355" s="21" t="str">
        <f ca="1">IFERROR(VLOOKUP(AV355,OFFSET(abbreviation[],0,ColumnLanguage),ColumnAbbreviation,FALSE),"")</f>
        <v/>
      </c>
      <c r="CE355" s="21" t="str">
        <f t="shared" ca="1" si="38"/>
        <v>__</v>
      </c>
      <c r="CF355" s="21" t="str">
        <f ca="1">IFERROR(VLOOKUP(AX355,OFFSET(abbreviation[],0,ColumnLanguage),ColumnAbbreviation,FALSE),"")</f>
        <v/>
      </c>
      <c r="CG355" s="21" t="str">
        <f ca="1">IFERROR(VLOOKUP(AZ355,OFFSET(abbreviation[],0,ColumnLanguage),ColumnAbbreviation,FALSE),"")</f>
        <v/>
      </c>
      <c r="CH355" s="21" t="str">
        <f ca="1">IFERROR(VLOOKUP(BB355,OFFSET(abbreviation[],0,ColumnLanguage),ColumnAbbreviation,FALSE),"")</f>
        <v/>
      </c>
      <c r="CI355" s="21" t="str">
        <f ca="1">IFERROR(VLOOKUP(BD355,OFFSET(abbreviation[],0,ColumnLanguage),ColumnAbbreviation,FALSE),"")</f>
        <v/>
      </c>
      <c r="CJ355" s="21" t="str">
        <f ca="1">IFERROR(VLOOKUP(BF355,OFFSET(abbreviation[],0,ColumnLanguage),ColumnAbbreviation,FALSE),"")</f>
        <v/>
      </c>
      <c r="CK355" s="21" t="str">
        <f t="shared" ca="1" si="39"/>
        <v/>
      </c>
      <c r="CL355" s="21" t="str">
        <f t="shared" si="40"/>
        <v/>
      </c>
      <c r="CM355" s="52"/>
      <c r="CN355" s="57" t="str">
        <f t="shared" si="41"/>
        <v/>
      </c>
    </row>
    <row r="356" spans="16:92" x14ac:dyDescent="0.25">
      <c r="P356" s="60"/>
      <c r="Q356" s="13"/>
      <c r="V356" s="60"/>
      <c r="X356" s="61"/>
      <c r="AB356" s="60"/>
      <c r="AN356" s="54"/>
      <c r="AS356" s="15"/>
      <c r="BH356" s="52"/>
      <c r="BI356" s="21" t="str">
        <f ca="1">IFERROR(VLOOKUP(C356,OFFSET(abbreviation[],0,ColumnLanguage),ColumnAbbreviation,FALSE),"")</f>
        <v/>
      </c>
      <c r="BJ356" s="21" t="str">
        <f ca="1">IFERROR(VLOOKUP(E356,OFFSET(abbreviation[],0,ColumnLanguage),ColumnAbbreviation,FALSE),"")</f>
        <v/>
      </c>
      <c r="BK356" s="21" t="str">
        <f ca="1">IFERROR(VLOOKUP(G356,OFFSET(abbreviation[],0,ColumnLanguage),ColumnAbbreviation,FALSE),"")</f>
        <v/>
      </c>
      <c r="BL356" s="21" t="str">
        <f ca="1">IFERROR(VLOOKUP(I356,OFFSET(abbreviation[],0,ColumnLanguage),ColumnAbbreviation,FALSE),"")</f>
        <v/>
      </c>
      <c r="BM356" s="21" t="str">
        <f ca="1">IFERROR(VLOOKUP(K356,OFFSET(abbreviation[],0,ColumnLanguage),ColumnAbbreviation,FALSE),"")</f>
        <v/>
      </c>
      <c r="BN356" s="21" t="str">
        <f t="shared" ca="1" si="35"/>
        <v/>
      </c>
      <c r="BO356" s="21" t="str">
        <f ca="1">IFERROR(VLOOKUP(N356,OFFSET(abbreviation[],0,ColumnLanguage),ColumnAbbreviation,FALSE),"")</f>
        <v/>
      </c>
      <c r="BP356" s="21" t="str">
        <f ca="1">IFERROR(VLOOKUP(P356,OFFSET(abbreviation[],0,ColumnLanguage),ColumnAbbreviation,FALSE),"")</f>
        <v/>
      </c>
      <c r="BQ356" s="21" t="str">
        <f ca="1">IFERROR(VLOOKUP(T356,OFFSET(abbreviation[],0,ColumnLanguage),ColumnAbbreviation,FALSE),"")</f>
        <v/>
      </c>
      <c r="BR356" s="21" t="str">
        <f ca="1">IFERROR(VLOOKUP(V356,OFFSET(abbreviation[],0,ColumnLanguage),ColumnAbbreviation,FALSE),"")</f>
        <v/>
      </c>
      <c r="BS356" s="21" t="str">
        <f ca="1">IFERROR(VLOOKUP(Z356,OFFSET(abbreviation[],0,ColumnLanguage),ColumnAbbreviation,FALSE),"")</f>
        <v/>
      </c>
      <c r="BT356" s="21" t="str">
        <f ca="1">IFERROR(VLOOKUP(AB356,OFFSET(abbreviation[],0,ColumnLanguage),ColumnAbbreviation,FALSE),"")</f>
        <v/>
      </c>
      <c r="BU356" s="21" t="str">
        <f t="shared" ca="1" si="36"/>
        <v>__</v>
      </c>
      <c r="BV356" s="21" t="str">
        <f ca="1">IFERROR(VLOOKUP(AF356,OFFSET(abbreviation[],0,ColumnLanguage),ColumnAbbreviation,FALSE),"")</f>
        <v/>
      </c>
      <c r="BW356" s="21" t="str">
        <f ca="1">IFERROR(VLOOKUP(AH356,OFFSET(abbreviation[],0,ColumnLanguage),ColumnAbbreviation,FALSE),"")</f>
        <v/>
      </c>
      <c r="BX356" s="21" t="str">
        <f ca="1">IFERROR(VLOOKUP(AJ356,OFFSET(abbreviation[],0,ColumnLanguage),ColumnAbbreviation,FALSE),"")</f>
        <v/>
      </c>
      <c r="BY356" s="21" t="str">
        <f ca="1">IFERROR(VLOOKUP(AL356,OFFSET(abbreviation[],0,ColumnLanguage),ColumnAbbreviation,FALSE),"")</f>
        <v/>
      </c>
      <c r="BZ356" s="21" t="str">
        <f t="shared" ca="1" si="37"/>
        <v>_</v>
      </c>
      <c r="CA356" s="21" t="str">
        <f ca="1">IFERROR(VLOOKUP(AP356,OFFSET(abbreviation[],0,ColumnLanguage),ColumnAbbreviation,FALSE),"")</f>
        <v/>
      </c>
      <c r="CB356" s="21" t="str">
        <f ca="1">IFERROR(VLOOKUP(AR356,OFFSET(abbreviation[],0,ColumnLanguage),ColumnAbbreviation,FALSE),"")</f>
        <v/>
      </c>
      <c r="CC356" s="21" t="str">
        <f ca="1">IFERROR(VLOOKUP(AT356,OFFSET(abbreviation[],0,ColumnLanguage),ColumnAbbreviation,FALSE),"")</f>
        <v/>
      </c>
      <c r="CD356" s="21" t="str">
        <f ca="1">IFERROR(VLOOKUP(AV356,OFFSET(abbreviation[],0,ColumnLanguage),ColumnAbbreviation,FALSE),"")</f>
        <v/>
      </c>
      <c r="CE356" s="21" t="str">
        <f t="shared" ca="1" si="38"/>
        <v>__</v>
      </c>
      <c r="CF356" s="21" t="str">
        <f ca="1">IFERROR(VLOOKUP(AX356,OFFSET(abbreviation[],0,ColumnLanguage),ColumnAbbreviation,FALSE),"")</f>
        <v/>
      </c>
      <c r="CG356" s="21" t="str">
        <f ca="1">IFERROR(VLOOKUP(AZ356,OFFSET(abbreviation[],0,ColumnLanguage),ColumnAbbreviation,FALSE),"")</f>
        <v/>
      </c>
      <c r="CH356" s="21" t="str">
        <f ca="1">IFERROR(VLOOKUP(BB356,OFFSET(abbreviation[],0,ColumnLanguage),ColumnAbbreviation,FALSE),"")</f>
        <v/>
      </c>
      <c r="CI356" s="21" t="str">
        <f ca="1">IFERROR(VLOOKUP(BD356,OFFSET(abbreviation[],0,ColumnLanguage),ColumnAbbreviation,FALSE),"")</f>
        <v/>
      </c>
      <c r="CJ356" s="21" t="str">
        <f ca="1">IFERROR(VLOOKUP(BF356,OFFSET(abbreviation[],0,ColumnLanguage),ColumnAbbreviation,FALSE),"")</f>
        <v/>
      </c>
      <c r="CK356" s="21" t="str">
        <f t="shared" ca="1" si="39"/>
        <v/>
      </c>
      <c r="CL356" s="21" t="str">
        <f t="shared" si="40"/>
        <v/>
      </c>
      <c r="CM356" s="52"/>
      <c r="CN356" s="57" t="str">
        <f t="shared" si="41"/>
        <v/>
      </c>
    </row>
    <row r="357" spans="16:92" x14ac:dyDescent="0.25">
      <c r="P357" s="60"/>
      <c r="Q357" s="13"/>
      <c r="V357" s="60"/>
      <c r="X357" s="61"/>
      <c r="AB357" s="60"/>
      <c r="AN357" s="54"/>
      <c r="AS357" s="15"/>
      <c r="BH357" s="52"/>
      <c r="BI357" s="21" t="str">
        <f ca="1">IFERROR(VLOOKUP(C357,OFFSET(abbreviation[],0,ColumnLanguage),ColumnAbbreviation,FALSE),"")</f>
        <v/>
      </c>
      <c r="BJ357" s="21" t="str">
        <f ca="1">IFERROR(VLOOKUP(E357,OFFSET(abbreviation[],0,ColumnLanguage),ColumnAbbreviation,FALSE),"")</f>
        <v/>
      </c>
      <c r="BK357" s="21" t="str">
        <f ca="1">IFERROR(VLOOKUP(G357,OFFSET(abbreviation[],0,ColumnLanguage),ColumnAbbreviation,FALSE),"")</f>
        <v/>
      </c>
      <c r="BL357" s="21" t="str">
        <f ca="1">IFERROR(VLOOKUP(I357,OFFSET(abbreviation[],0,ColumnLanguage),ColumnAbbreviation,FALSE),"")</f>
        <v/>
      </c>
      <c r="BM357" s="21" t="str">
        <f ca="1">IFERROR(VLOOKUP(K357,OFFSET(abbreviation[],0,ColumnLanguage),ColumnAbbreviation,FALSE),"")</f>
        <v/>
      </c>
      <c r="BN357" s="21" t="str">
        <f t="shared" ca="1" si="35"/>
        <v/>
      </c>
      <c r="BO357" s="21" t="str">
        <f ca="1">IFERROR(VLOOKUP(N357,OFFSET(abbreviation[],0,ColumnLanguage),ColumnAbbreviation,FALSE),"")</f>
        <v/>
      </c>
      <c r="BP357" s="21" t="str">
        <f ca="1">IFERROR(VLOOKUP(P357,OFFSET(abbreviation[],0,ColumnLanguage),ColumnAbbreviation,FALSE),"")</f>
        <v/>
      </c>
      <c r="BQ357" s="21" t="str">
        <f ca="1">IFERROR(VLOOKUP(T357,OFFSET(abbreviation[],0,ColumnLanguage),ColumnAbbreviation,FALSE),"")</f>
        <v/>
      </c>
      <c r="BR357" s="21" t="str">
        <f ca="1">IFERROR(VLOOKUP(V357,OFFSET(abbreviation[],0,ColumnLanguage),ColumnAbbreviation,FALSE),"")</f>
        <v/>
      </c>
      <c r="BS357" s="21" t="str">
        <f ca="1">IFERROR(VLOOKUP(Z357,OFFSET(abbreviation[],0,ColumnLanguage),ColumnAbbreviation,FALSE),"")</f>
        <v/>
      </c>
      <c r="BT357" s="21" t="str">
        <f ca="1">IFERROR(VLOOKUP(AB357,OFFSET(abbreviation[],0,ColumnLanguage),ColumnAbbreviation,FALSE),"")</f>
        <v/>
      </c>
      <c r="BU357" s="21" t="str">
        <f t="shared" ca="1" si="36"/>
        <v>__</v>
      </c>
      <c r="BV357" s="21" t="str">
        <f ca="1">IFERROR(VLOOKUP(AF357,OFFSET(abbreviation[],0,ColumnLanguage),ColumnAbbreviation,FALSE),"")</f>
        <v/>
      </c>
      <c r="BW357" s="21" t="str">
        <f ca="1">IFERROR(VLOOKUP(AH357,OFFSET(abbreviation[],0,ColumnLanguage),ColumnAbbreviation,FALSE),"")</f>
        <v/>
      </c>
      <c r="BX357" s="21" t="str">
        <f ca="1">IFERROR(VLOOKUP(AJ357,OFFSET(abbreviation[],0,ColumnLanguage),ColumnAbbreviation,FALSE),"")</f>
        <v/>
      </c>
      <c r="BY357" s="21" t="str">
        <f ca="1">IFERROR(VLOOKUP(AL357,OFFSET(abbreviation[],0,ColumnLanguage),ColumnAbbreviation,FALSE),"")</f>
        <v/>
      </c>
      <c r="BZ357" s="21" t="str">
        <f t="shared" ca="1" si="37"/>
        <v>_</v>
      </c>
      <c r="CA357" s="21" t="str">
        <f ca="1">IFERROR(VLOOKUP(AP357,OFFSET(abbreviation[],0,ColumnLanguage),ColumnAbbreviation,FALSE),"")</f>
        <v/>
      </c>
      <c r="CB357" s="21" t="str">
        <f ca="1">IFERROR(VLOOKUP(AR357,OFFSET(abbreviation[],0,ColumnLanguage),ColumnAbbreviation,FALSE),"")</f>
        <v/>
      </c>
      <c r="CC357" s="21" t="str">
        <f ca="1">IFERROR(VLOOKUP(AT357,OFFSET(abbreviation[],0,ColumnLanguage),ColumnAbbreviation,FALSE),"")</f>
        <v/>
      </c>
      <c r="CD357" s="21" t="str">
        <f ca="1">IFERROR(VLOOKUP(AV357,OFFSET(abbreviation[],0,ColumnLanguage),ColumnAbbreviation,FALSE),"")</f>
        <v/>
      </c>
      <c r="CE357" s="21" t="str">
        <f t="shared" ca="1" si="38"/>
        <v>__</v>
      </c>
      <c r="CF357" s="21" t="str">
        <f ca="1">IFERROR(VLOOKUP(AX357,OFFSET(abbreviation[],0,ColumnLanguage),ColumnAbbreviation,FALSE),"")</f>
        <v/>
      </c>
      <c r="CG357" s="21" t="str">
        <f ca="1">IFERROR(VLOOKUP(AZ357,OFFSET(abbreviation[],0,ColumnLanguage),ColumnAbbreviation,FALSE),"")</f>
        <v/>
      </c>
      <c r="CH357" s="21" t="str">
        <f ca="1">IFERROR(VLOOKUP(BB357,OFFSET(abbreviation[],0,ColumnLanguage),ColumnAbbreviation,FALSE),"")</f>
        <v/>
      </c>
      <c r="CI357" s="21" t="str">
        <f ca="1">IFERROR(VLOOKUP(BD357,OFFSET(abbreviation[],0,ColumnLanguage),ColumnAbbreviation,FALSE),"")</f>
        <v/>
      </c>
      <c r="CJ357" s="21" t="str">
        <f ca="1">IFERROR(VLOOKUP(BF357,OFFSET(abbreviation[],0,ColumnLanguage),ColumnAbbreviation,FALSE),"")</f>
        <v/>
      </c>
      <c r="CK357" s="21" t="str">
        <f t="shared" ca="1" si="39"/>
        <v/>
      </c>
      <c r="CL357" s="21" t="str">
        <f t="shared" si="40"/>
        <v/>
      </c>
      <c r="CM357" s="52"/>
      <c r="CN357" s="57" t="str">
        <f t="shared" si="41"/>
        <v/>
      </c>
    </row>
    <row r="358" spans="16:92" x14ac:dyDescent="0.25">
      <c r="P358" s="60"/>
      <c r="Q358" s="13"/>
      <c r="V358" s="60"/>
      <c r="X358" s="61"/>
      <c r="AB358" s="60"/>
      <c r="AN358" s="54"/>
      <c r="AS358" s="15"/>
      <c r="BH358" s="52"/>
      <c r="BI358" s="21" t="str">
        <f ca="1">IFERROR(VLOOKUP(C358,OFFSET(abbreviation[],0,ColumnLanguage),ColumnAbbreviation,FALSE),"")</f>
        <v/>
      </c>
      <c r="BJ358" s="21" t="str">
        <f ca="1">IFERROR(VLOOKUP(E358,OFFSET(abbreviation[],0,ColumnLanguage),ColumnAbbreviation,FALSE),"")</f>
        <v/>
      </c>
      <c r="BK358" s="21" t="str">
        <f ca="1">IFERROR(VLOOKUP(G358,OFFSET(abbreviation[],0,ColumnLanguage),ColumnAbbreviation,FALSE),"")</f>
        <v/>
      </c>
      <c r="BL358" s="21" t="str">
        <f ca="1">IFERROR(VLOOKUP(I358,OFFSET(abbreviation[],0,ColumnLanguage),ColumnAbbreviation,FALSE),"")</f>
        <v/>
      </c>
      <c r="BM358" s="21" t="str">
        <f ca="1">IFERROR(VLOOKUP(K358,OFFSET(abbreviation[],0,ColumnLanguage),ColumnAbbreviation,FALSE),"")</f>
        <v/>
      </c>
      <c r="BN358" s="21" t="str">
        <f t="shared" ca="1" si="35"/>
        <v/>
      </c>
      <c r="BO358" s="21" t="str">
        <f ca="1">IFERROR(VLOOKUP(N358,OFFSET(abbreviation[],0,ColumnLanguage),ColumnAbbreviation,FALSE),"")</f>
        <v/>
      </c>
      <c r="BP358" s="21" t="str">
        <f ca="1">IFERROR(VLOOKUP(P358,OFFSET(abbreviation[],0,ColumnLanguage),ColumnAbbreviation,FALSE),"")</f>
        <v/>
      </c>
      <c r="BQ358" s="21" t="str">
        <f ca="1">IFERROR(VLOOKUP(T358,OFFSET(abbreviation[],0,ColumnLanguage),ColumnAbbreviation,FALSE),"")</f>
        <v/>
      </c>
      <c r="BR358" s="21" t="str">
        <f ca="1">IFERROR(VLOOKUP(V358,OFFSET(abbreviation[],0,ColumnLanguage),ColumnAbbreviation,FALSE),"")</f>
        <v/>
      </c>
      <c r="BS358" s="21" t="str">
        <f ca="1">IFERROR(VLOOKUP(Z358,OFFSET(abbreviation[],0,ColumnLanguage),ColumnAbbreviation,FALSE),"")</f>
        <v/>
      </c>
      <c r="BT358" s="21" t="str">
        <f ca="1">IFERROR(VLOOKUP(AB358,OFFSET(abbreviation[],0,ColumnLanguage),ColumnAbbreviation,FALSE),"")</f>
        <v/>
      </c>
      <c r="BU358" s="21" t="str">
        <f t="shared" ca="1" si="36"/>
        <v>__</v>
      </c>
      <c r="BV358" s="21" t="str">
        <f ca="1">IFERROR(VLOOKUP(AF358,OFFSET(abbreviation[],0,ColumnLanguage),ColumnAbbreviation,FALSE),"")</f>
        <v/>
      </c>
      <c r="BW358" s="21" t="str">
        <f ca="1">IFERROR(VLOOKUP(AH358,OFFSET(abbreviation[],0,ColumnLanguage),ColumnAbbreviation,FALSE),"")</f>
        <v/>
      </c>
      <c r="BX358" s="21" t="str">
        <f ca="1">IFERROR(VLOOKUP(AJ358,OFFSET(abbreviation[],0,ColumnLanguage),ColumnAbbreviation,FALSE),"")</f>
        <v/>
      </c>
      <c r="BY358" s="21" t="str">
        <f ca="1">IFERROR(VLOOKUP(AL358,OFFSET(abbreviation[],0,ColumnLanguage),ColumnAbbreviation,FALSE),"")</f>
        <v/>
      </c>
      <c r="BZ358" s="21" t="str">
        <f t="shared" ca="1" si="37"/>
        <v>_</v>
      </c>
      <c r="CA358" s="21" t="str">
        <f ca="1">IFERROR(VLOOKUP(AP358,OFFSET(abbreviation[],0,ColumnLanguage),ColumnAbbreviation,FALSE),"")</f>
        <v/>
      </c>
      <c r="CB358" s="21" t="str">
        <f ca="1">IFERROR(VLOOKUP(AR358,OFFSET(abbreviation[],0,ColumnLanguage),ColumnAbbreviation,FALSE),"")</f>
        <v/>
      </c>
      <c r="CC358" s="21" t="str">
        <f ca="1">IFERROR(VLOOKUP(AT358,OFFSET(abbreviation[],0,ColumnLanguage),ColumnAbbreviation,FALSE),"")</f>
        <v/>
      </c>
      <c r="CD358" s="21" t="str">
        <f ca="1">IFERROR(VLOOKUP(AV358,OFFSET(abbreviation[],0,ColumnLanguage),ColumnAbbreviation,FALSE),"")</f>
        <v/>
      </c>
      <c r="CE358" s="21" t="str">
        <f t="shared" ca="1" si="38"/>
        <v>__</v>
      </c>
      <c r="CF358" s="21" t="str">
        <f ca="1">IFERROR(VLOOKUP(AX358,OFFSET(abbreviation[],0,ColumnLanguage),ColumnAbbreviation,FALSE),"")</f>
        <v/>
      </c>
      <c r="CG358" s="21" t="str">
        <f ca="1">IFERROR(VLOOKUP(AZ358,OFFSET(abbreviation[],0,ColumnLanguage),ColumnAbbreviation,FALSE),"")</f>
        <v/>
      </c>
      <c r="CH358" s="21" t="str">
        <f ca="1">IFERROR(VLOOKUP(BB358,OFFSET(abbreviation[],0,ColumnLanguage),ColumnAbbreviation,FALSE),"")</f>
        <v/>
      </c>
      <c r="CI358" s="21" t="str">
        <f ca="1">IFERROR(VLOOKUP(BD358,OFFSET(abbreviation[],0,ColumnLanguage),ColumnAbbreviation,FALSE),"")</f>
        <v/>
      </c>
      <c r="CJ358" s="21" t="str">
        <f ca="1">IFERROR(VLOOKUP(BF358,OFFSET(abbreviation[],0,ColumnLanguage),ColumnAbbreviation,FALSE),"")</f>
        <v/>
      </c>
      <c r="CK358" s="21" t="str">
        <f t="shared" ca="1" si="39"/>
        <v/>
      </c>
      <c r="CL358" s="21" t="str">
        <f t="shared" si="40"/>
        <v/>
      </c>
      <c r="CM358" s="52"/>
      <c r="CN358" s="57" t="str">
        <f t="shared" si="41"/>
        <v/>
      </c>
    </row>
    <row r="359" spans="16:92" x14ac:dyDescent="0.25">
      <c r="P359" s="60"/>
      <c r="Q359" s="13"/>
      <c r="V359" s="60"/>
      <c r="X359" s="61"/>
      <c r="AB359" s="60"/>
      <c r="AN359" s="54"/>
      <c r="AS359" s="15"/>
      <c r="BH359" s="52"/>
      <c r="BI359" s="21" t="str">
        <f ca="1">IFERROR(VLOOKUP(C359,OFFSET(abbreviation[],0,ColumnLanguage),ColumnAbbreviation,FALSE),"")</f>
        <v/>
      </c>
      <c r="BJ359" s="21" t="str">
        <f ca="1">IFERROR(VLOOKUP(E359,OFFSET(abbreviation[],0,ColumnLanguage),ColumnAbbreviation,FALSE),"")</f>
        <v/>
      </c>
      <c r="BK359" s="21" t="str">
        <f ca="1">IFERROR(VLOOKUP(G359,OFFSET(abbreviation[],0,ColumnLanguage),ColumnAbbreviation,FALSE),"")</f>
        <v/>
      </c>
      <c r="BL359" s="21" t="str">
        <f ca="1">IFERROR(VLOOKUP(I359,OFFSET(abbreviation[],0,ColumnLanguage),ColumnAbbreviation,FALSE),"")</f>
        <v/>
      </c>
      <c r="BM359" s="21" t="str">
        <f ca="1">IFERROR(VLOOKUP(K359,OFFSET(abbreviation[],0,ColumnLanguage),ColumnAbbreviation,FALSE),"")</f>
        <v/>
      </c>
      <c r="BN359" s="21" t="str">
        <f t="shared" ca="1" si="35"/>
        <v/>
      </c>
      <c r="BO359" s="21" t="str">
        <f ca="1">IFERROR(VLOOKUP(N359,OFFSET(abbreviation[],0,ColumnLanguage),ColumnAbbreviation,FALSE),"")</f>
        <v/>
      </c>
      <c r="BP359" s="21" t="str">
        <f ca="1">IFERROR(VLOOKUP(P359,OFFSET(abbreviation[],0,ColumnLanguage),ColumnAbbreviation,FALSE),"")</f>
        <v/>
      </c>
      <c r="BQ359" s="21" t="str">
        <f ca="1">IFERROR(VLOOKUP(T359,OFFSET(abbreviation[],0,ColumnLanguage),ColumnAbbreviation,FALSE),"")</f>
        <v/>
      </c>
      <c r="BR359" s="21" t="str">
        <f ca="1">IFERROR(VLOOKUP(V359,OFFSET(abbreviation[],0,ColumnLanguage),ColumnAbbreviation,FALSE),"")</f>
        <v/>
      </c>
      <c r="BS359" s="21" t="str">
        <f ca="1">IFERROR(VLOOKUP(Z359,OFFSET(abbreviation[],0,ColumnLanguage),ColumnAbbreviation,FALSE),"")</f>
        <v/>
      </c>
      <c r="BT359" s="21" t="str">
        <f ca="1">IFERROR(VLOOKUP(AB359,OFFSET(abbreviation[],0,ColumnLanguage),ColumnAbbreviation,FALSE),"")</f>
        <v/>
      </c>
      <c r="BU359" s="21" t="str">
        <f t="shared" ca="1" si="36"/>
        <v>__</v>
      </c>
      <c r="BV359" s="21" t="str">
        <f ca="1">IFERROR(VLOOKUP(AF359,OFFSET(abbreviation[],0,ColumnLanguage),ColumnAbbreviation,FALSE),"")</f>
        <v/>
      </c>
      <c r="BW359" s="21" t="str">
        <f ca="1">IFERROR(VLOOKUP(AH359,OFFSET(abbreviation[],0,ColumnLanguage),ColumnAbbreviation,FALSE),"")</f>
        <v/>
      </c>
      <c r="BX359" s="21" t="str">
        <f ca="1">IFERROR(VLOOKUP(AJ359,OFFSET(abbreviation[],0,ColumnLanguage),ColumnAbbreviation,FALSE),"")</f>
        <v/>
      </c>
      <c r="BY359" s="21" t="str">
        <f ca="1">IFERROR(VLOOKUP(AL359,OFFSET(abbreviation[],0,ColumnLanguage),ColumnAbbreviation,FALSE),"")</f>
        <v/>
      </c>
      <c r="BZ359" s="21" t="str">
        <f t="shared" ca="1" si="37"/>
        <v>_</v>
      </c>
      <c r="CA359" s="21" t="str">
        <f ca="1">IFERROR(VLOOKUP(AP359,OFFSET(abbreviation[],0,ColumnLanguage),ColumnAbbreviation,FALSE),"")</f>
        <v/>
      </c>
      <c r="CB359" s="21" t="str">
        <f ca="1">IFERROR(VLOOKUP(AR359,OFFSET(abbreviation[],0,ColumnLanguage),ColumnAbbreviation,FALSE),"")</f>
        <v/>
      </c>
      <c r="CC359" s="21" t="str">
        <f ca="1">IFERROR(VLOOKUP(AT359,OFFSET(abbreviation[],0,ColumnLanguage),ColumnAbbreviation,FALSE),"")</f>
        <v/>
      </c>
      <c r="CD359" s="21" t="str">
        <f ca="1">IFERROR(VLOOKUP(AV359,OFFSET(abbreviation[],0,ColumnLanguage),ColumnAbbreviation,FALSE),"")</f>
        <v/>
      </c>
      <c r="CE359" s="21" t="str">
        <f t="shared" ca="1" si="38"/>
        <v>__</v>
      </c>
      <c r="CF359" s="21" t="str">
        <f ca="1">IFERROR(VLOOKUP(AX359,OFFSET(abbreviation[],0,ColumnLanguage),ColumnAbbreviation,FALSE),"")</f>
        <v/>
      </c>
      <c r="CG359" s="21" t="str">
        <f ca="1">IFERROR(VLOOKUP(AZ359,OFFSET(abbreviation[],0,ColumnLanguage),ColumnAbbreviation,FALSE),"")</f>
        <v/>
      </c>
      <c r="CH359" s="21" t="str">
        <f ca="1">IFERROR(VLOOKUP(BB359,OFFSET(abbreviation[],0,ColumnLanguage),ColumnAbbreviation,FALSE),"")</f>
        <v/>
      </c>
      <c r="CI359" s="21" t="str">
        <f ca="1">IFERROR(VLOOKUP(BD359,OFFSET(abbreviation[],0,ColumnLanguage),ColumnAbbreviation,FALSE),"")</f>
        <v/>
      </c>
      <c r="CJ359" s="21" t="str">
        <f ca="1">IFERROR(VLOOKUP(BF359,OFFSET(abbreviation[],0,ColumnLanguage),ColumnAbbreviation,FALSE),"")</f>
        <v/>
      </c>
      <c r="CK359" s="21" t="str">
        <f t="shared" ca="1" si="39"/>
        <v/>
      </c>
      <c r="CL359" s="21" t="str">
        <f t="shared" si="40"/>
        <v/>
      </c>
      <c r="CM359" s="52"/>
      <c r="CN359" s="57" t="str">
        <f t="shared" si="41"/>
        <v/>
      </c>
    </row>
    <row r="360" spans="16:92" x14ac:dyDescent="0.25">
      <c r="P360" s="60"/>
      <c r="Q360" s="13"/>
      <c r="V360" s="60"/>
      <c r="X360" s="61"/>
      <c r="AB360" s="60"/>
      <c r="AN360" s="54"/>
      <c r="AS360" s="15"/>
      <c r="BH360" s="52"/>
      <c r="BI360" s="21" t="str">
        <f ca="1">IFERROR(VLOOKUP(C360,OFFSET(abbreviation[],0,ColumnLanguage),ColumnAbbreviation,FALSE),"")</f>
        <v/>
      </c>
      <c r="BJ360" s="21" t="str">
        <f ca="1">IFERROR(VLOOKUP(E360,OFFSET(abbreviation[],0,ColumnLanguage),ColumnAbbreviation,FALSE),"")</f>
        <v/>
      </c>
      <c r="BK360" s="21" t="str">
        <f ca="1">IFERROR(VLOOKUP(G360,OFFSET(abbreviation[],0,ColumnLanguage),ColumnAbbreviation,FALSE),"")</f>
        <v/>
      </c>
      <c r="BL360" s="21" t="str">
        <f ca="1">IFERROR(VLOOKUP(I360,OFFSET(abbreviation[],0,ColumnLanguage),ColumnAbbreviation,FALSE),"")</f>
        <v/>
      </c>
      <c r="BM360" s="21" t="str">
        <f ca="1">IFERROR(VLOOKUP(K360,OFFSET(abbreviation[],0,ColumnLanguage),ColumnAbbreviation,FALSE),"")</f>
        <v/>
      </c>
      <c r="BN360" s="21" t="str">
        <f t="shared" ca="1" si="35"/>
        <v/>
      </c>
      <c r="BO360" s="21" t="str">
        <f ca="1">IFERROR(VLOOKUP(N360,OFFSET(abbreviation[],0,ColumnLanguage),ColumnAbbreviation,FALSE),"")</f>
        <v/>
      </c>
      <c r="BP360" s="21" t="str">
        <f ca="1">IFERROR(VLOOKUP(P360,OFFSET(abbreviation[],0,ColumnLanguage),ColumnAbbreviation,FALSE),"")</f>
        <v/>
      </c>
      <c r="BQ360" s="21" t="str">
        <f ca="1">IFERROR(VLOOKUP(T360,OFFSET(abbreviation[],0,ColumnLanguage),ColumnAbbreviation,FALSE),"")</f>
        <v/>
      </c>
      <c r="BR360" s="21" t="str">
        <f ca="1">IFERROR(VLOOKUP(V360,OFFSET(abbreviation[],0,ColumnLanguage),ColumnAbbreviation,FALSE),"")</f>
        <v/>
      </c>
      <c r="BS360" s="21" t="str">
        <f ca="1">IFERROR(VLOOKUP(Z360,OFFSET(abbreviation[],0,ColumnLanguage),ColumnAbbreviation,FALSE),"")</f>
        <v/>
      </c>
      <c r="BT360" s="21" t="str">
        <f ca="1">IFERROR(VLOOKUP(AB360,OFFSET(abbreviation[],0,ColumnLanguage),ColumnAbbreviation,FALSE),"")</f>
        <v/>
      </c>
      <c r="BU360" s="21" t="str">
        <f t="shared" ca="1" si="36"/>
        <v>__</v>
      </c>
      <c r="BV360" s="21" t="str">
        <f ca="1">IFERROR(VLOOKUP(AF360,OFFSET(abbreviation[],0,ColumnLanguage),ColumnAbbreviation,FALSE),"")</f>
        <v/>
      </c>
      <c r="BW360" s="21" t="str">
        <f ca="1">IFERROR(VLOOKUP(AH360,OFFSET(abbreviation[],0,ColumnLanguage),ColumnAbbreviation,FALSE),"")</f>
        <v/>
      </c>
      <c r="BX360" s="21" t="str">
        <f ca="1">IFERROR(VLOOKUP(AJ360,OFFSET(abbreviation[],0,ColumnLanguage),ColumnAbbreviation,FALSE),"")</f>
        <v/>
      </c>
      <c r="BY360" s="21" t="str">
        <f ca="1">IFERROR(VLOOKUP(AL360,OFFSET(abbreviation[],0,ColumnLanguage),ColumnAbbreviation,FALSE),"")</f>
        <v/>
      </c>
      <c r="BZ360" s="21" t="str">
        <f t="shared" ca="1" si="37"/>
        <v>_</v>
      </c>
      <c r="CA360" s="21" t="str">
        <f ca="1">IFERROR(VLOOKUP(AP360,OFFSET(abbreviation[],0,ColumnLanguage),ColumnAbbreviation,FALSE),"")</f>
        <v/>
      </c>
      <c r="CB360" s="21" t="str">
        <f ca="1">IFERROR(VLOOKUP(AR360,OFFSET(abbreviation[],0,ColumnLanguage),ColumnAbbreviation,FALSE),"")</f>
        <v/>
      </c>
      <c r="CC360" s="21" t="str">
        <f ca="1">IFERROR(VLOOKUP(AT360,OFFSET(abbreviation[],0,ColumnLanguage),ColumnAbbreviation,FALSE),"")</f>
        <v/>
      </c>
      <c r="CD360" s="21" t="str">
        <f ca="1">IFERROR(VLOOKUP(AV360,OFFSET(abbreviation[],0,ColumnLanguage),ColumnAbbreviation,FALSE),"")</f>
        <v/>
      </c>
      <c r="CE360" s="21" t="str">
        <f t="shared" ca="1" si="38"/>
        <v>__</v>
      </c>
      <c r="CF360" s="21" t="str">
        <f ca="1">IFERROR(VLOOKUP(AX360,OFFSET(abbreviation[],0,ColumnLanguage),ColumnAbbreviation,FALSE),"")</f>
        <v/>
      </c>
      <c r="CG360" s="21" t="str">
        <f ca="1">IFERROR(VLOOKUP(AZ360,OFFSET(abbreviation[],0,ColumnLanguage),ColumnAbbreviation,FALSE),"")</f>
        <v/>
      </c>
      <c r="CH360" s="21" t="str">
        <f ca="1">IFERROR(VLOOKUP(BB360,OFFSET(abbreviation[],0,ColumnLanguage),ColumnAbbreviation,FALSE),"")</f>
        <v/>
      </c>
      <c r="CI360" s="21" t="str">
        <f ca="1">IFERROR(VLOOKUP(BD360,OFFSET(abbreviation[],0,ColumnLanguage),ColumnAbbreviation,FALSE),"")</f>
        <v/>
      </c>
      <c r="CJ360" s="21" t="str">
        <f ca="1">IFERROR(VLOOKUP(BF360,OFFSET(abbreviation[],0,ColumnLanguage),ColumnAbbreviation,FALSE),"")</f>
        <v/>
      </c>
      <c r="CK360" s="21" t="str">
        <f t="shared" ca="1" si="39"/>
        <v/>
      </c>
      <c r="CL360" s="21" t="str">
        <f t="shared" si="40"/>
        <v/>
      </c>
      <c r="CM360" s="52"/>
      <c r="CN360" s="57" t="str">
        <f t="shared" si="41"/>
        <v/>
      </c>
    </row>
    <row r="361" spans="16:92" x14ac:dyDescent="0.25">
      <c r="P361" s="60"/>
      <c r="Q361" s="13"/>
      <c r="V361" s="60"/>
      <c r="X361" s="61"/>
      <c r="AB361" s="60"/>
      <c r="AN361" s="54"/>
      <c r="AS361" s="15"/>
      <c r="BH361" s="52"/>
      <c r="BI361" s="21" t="str">
        <f ca="1">IFERROR(VLOOKUP(C361,OFFSET(abbreviation[],0,ColumnLanguage),ColumnAbbreviation,FALSE),"")</f>
        <v/>
      </c>
      <c r="BJ361" s="21" t="str">
        <f ca="1">IFERROR(VLOOKUP(E361,OFFSET(abbreviation[],0,ColumnLanguage),ColumnAbbreviation,FALSE),"")</f>
        <v/>
      </c>
      <c r="BK361" s="21" t="str">
        <f ca="1">IFERROR(VLOOKUP(G361,OFFSET(abbreviation[],0,ColumnLanguage),ColumnAbbreviation,FALSE),"")</f>
        <v/>
      </c>
      <c r="BL361" s="21" t="str">
        <f ca="1">IFERROR(VLOOKUP(I361,OFFSET(abbreviation[],0,ColumnLanguage),ColumnAbbreviation,FALSE),"")</f>
        <v/>
      </c>
      <c r="BM361" s="21" t="str">
        <f ca="1">IFERROR(VLOOKUP(K361,OFFSET(abbreviation[],0,ColumnLanguage),ColumnAbbreviation,FALSE),"")</f>
        <v/>
      </c>
      <c r="BN361" s="21" t="str">
        <f t="shared" ca="1" si="35"/>
        <v/>
      </c>
      <c r="BO361" s="21" t="str">
        <f ca="1">IFERROR(VLOOKUP(N361,OFFSET(abbreviation[],0,ColumnLanguage),ColumnAbbreviation,FALSE),"")</f>
        <v/>
      </c>
      <c r="BP361" s="21" t="str">
        <f ca="1">IFERROR(VLOOKUP(P361,OFFSET(abbreviation[],0,ColumnLanguage),ColumnAbbreviation,FALSE),"")</f>
        <v/>
      </c>
      <c r="BQ361" s="21" t="str">
        <f ca="1">IFERROR(VLOOKUP(T361,OFFSET(abbreviation[],0,ColumnLanguage),ColumnAbbreviation,FALSE),"")</f>
        <v/>
      </c>
      <c r="BR361" s="21" t="str">
        <f ca="1">IFERROR(VLOOKUP(V361,OFFSET(abbreviation[],0,ColumnLanguage),ColumnAbbreviation,FALSE),"")</f>
        <v/>
      </c>
      <c r="BS361" s="21" t="str">
        <f ca="1">IFERROR(VLOOKUP(Z361,OFFSET(abbreviation[],0,ColumnLanguage),ColumnAbbreviation,FALSE),"")</f>
        <v/>
      </c>
      <c r="BT361" s="21" t="str">
        <f ca="1">IFERROR(VLOOKUP(AB361,OFFSET(abbreviation[],0,ColumnLanguage),ColumnAbbreviation,FALSE),"")</f>
        <v/>
      </c>
      <c r="BU361" s="21" t="str">
        <f t="shared" ca="1" si="36"/>
        <v>__</v>
      </c>
      <c r="BV361" s="21" t="str">
        <f ca="1">IFERROR(VLOOKUP(AF361,OFFSET(abbreviation[],0,ColumnLanguage),ColumnAbbreviation,FALSE),"")</f>
        <v/>
      </c>
      <c r="BW361" s="21" t="str">
        <f ca="1">IFERROR(VLOOKUP(AH361,OFFSET(abbreviation[],0,ColumnLanguage),ColumnAbbreviation,FALSE),"")</f>
        <v/>
      </c>
      <c r="BX361" s="21" t="str">
        <f ca="1">IFERROR(VLOOKUP(AJ361,OFFSET(abbreviation[],0,ColumnLanguage),ColumnAbbreviation,FALSE),"")</f>
        <v/>
      </c>
      <c r="BY361" s="21" t="str">
        <f ca="1">IFERROR(VLOOKUP(AL361,OFFSET(abbreviation[],0,ColumnLanguage),ColumnAbbreviation,FALSE),"")</f>
        <v/>
      </c>
      <c r="BZ361" s="21" t="str">
        <f t="shared" ca="1" si="37"/>
        <v>_</v>
      </c>
      <c r="CA361" s="21" t="str">
        <f ca="1">IFERROR(VLOOKUP(AP361,OFFSET(abbreviation[],0,ColumnLanguage),ColumnAbbreviation,FALSE),"")</f>
        <v/>
      </c>
      <c r="CB361" s="21" t="str">
        <f ca="1">IFERROR(VLOOKUP(AR361,OFFSET(abbreviation[],0,ColumnLanguage),ColumnAbbreviation,FALSE),"")</f>
        <v/>
      </c>
      <c r="CC361" s="21" t="str">
        <f ca="1">IFERROR(VLOOKUP(AT361,OFFSET(abbreviation[],0,ColumnLanguage),ColumnAbbreviation,FALSE),"")</f>
        <v/>
      </c>
      <c r="CD361" s="21" t="str">
        <f ca="1">IFERROR(VLOOKUP(AV361,OFFSET(abbreviation[],0,ColumnLanguage),ColumnAbbreviation,FALSE),"")</f>
        <v/>
      </c>
      <c r="CE361" s="21" t="str">
        <f t="shared" ca="1" si="38"/>
        <v>__</v>
      </c>
      <c r="CF361" s="21" t="str">
        <f ca="1">IFERROR(VLOOKUP(AX361,OFFSET(abbreviation[],0,ColumnLanguage),ColumnAbbreviation,FALSE),"")</f>
        <v/>
      </c>
      <c r="CG361" s="21" t="str">
        <f ca="1">IFERROR(VLOOKUP(AZ361,OFFSET(abbreviation[],0,ColumnLanguage),ColumnAbbreviation,FALSE),"")</f>
        <v/>
      </c>
      <c r="CH361" s="21" t="str">
        <f ca="1">IFERROR(VLOOKUP(BB361,OFFSET(abbreviation[],0,ColumnLanguage),ColumnAbbreviation,FALSE),"")</f>
        <v/>
      </c>
      <c r="CI361" s="21" t="str">
        <f ca="1">IFERROR(VLOOKUP(BD361,OFFSET(abbreviation[],0,ColumnLanguage),ColumnAbbreviation,FALSE),"")</f>
        <v/>
      </c>
      <c r="CJ361" s="21" t="str">
        <f ca="1">IFERROR(VLOOKUP(BF361,OFFSET(abbreviation[],0,ColumnLanguage),ColumnAbbreviation,FALSE),"")</f>
        <v/>
      </c>
      <c r="CK361" s="21" t="str">
        <f t="shared" ca="1" si="39"/>
        <v/>
      </c>
      <c r="CL361" s="21" t="str">
        <f t="shared" si="40"/>
        <v/>
      </c>
      <c r="CM361" s="52"/>
      <c r="CN361" s="57" t="str">
        <f t="shared" si="41"/>
        <v/>
      </c>
    </row>
    <row r="362" spans="16:92" x14ac:dyDescent="0.25">
      <c r="P362" s="60"/>
      <c r="Q362" s="13"/>
      <c r="V362" s="60"/>
      <c r="X362" s="61"/>
      <c r="AB362" s="60"/>
      <c r="AN362" s="54"/>
      <c r="AS362" s="15"/>
      <c r="BH362" s="52"/>
      <c r="BI362" s="21" t="str">
        <f ca="1">IFERROR(VLOOKUP(C362,OFFSET(abbreviation[],0,ColumnLanguage),ColumnAbbreviation,FALSE),"")</f>
        <v/>
      </c>
      <c r="BJ362" s="21" t="str">
        <f ca="1">IFERROR(VLOOKUP(E362,OFFSET(abbreviation[],0,ColumnLanguage),ColumnAbbreviation,FALSE),"")</f>
        <v/>
      </c>
      <c r="BK362" s="21" t="str">
        <f ca="1">IFERROR(VLOOKUP(G362,OFFSET(abbreviation[],0,ColumnLanguage),ColumnAbbreviation,FALSE),"")</f>
        <v/>
      </c>
      <c r="BL362" s="21" t="str">
        <f ca="1">IFERROR(VLOOKUP(I362,OFFSET(abbreviation[],0,ColumnLanguage),ColumnAbbreviation,FALSE),"")</f>
        <v/>
      </c>
      <c r="BM362" s="21" t="str">
        <f ca="1">IFERROR(VLOOKUP(K362,OFFSET(abbreviation[],0,ColumnLanguage),ColumnAbbreviation,FALSE),"")</f>
        <v/>
      </c>
      <c r="BN362" s="21" t="str">
        <f t="shared" ca="1" si="35"/>
        <v/>
      </c>
      <c r="BO362" s="21" t="str">
        <f ca="1">IFERROR(VLOOKUP(N362,OFFSET(abbreviation[],0,ColumnLanguage),ColumnAbbreviation,FALSE),"")</f>
        <v/>
      </c>
      <c r="BP362" s="21" t="str">
        <f ca="1">IFERROR(VLOOKUP(P362,OFFSET(abbreviation[],0,ColumnLanguage),ColumnAbbreviation,FALSE),"")</f>
        <v/>
      </c>
      <c r="BQ362" s="21" t="str">
        <f ca="1">IFERROR(VLOOKUP(T362,OFFSET(abbreviation[],0,ColumnLanguage),ColumnAbbreviation,FALSE),"")</f>
        <v/>
      </c>
      <c r="BR362" s="21" t="str">
        <f ca="1">IFERROR(VLOOKUP(V362,OFFSET(abbreviation[],0,ColumnLanguage),ColumnAbbreviation,FALSE),"")</f>
        <v/>
      </c>
      <c r="BS362" s="21" t="str">
        <f ca="1">IFERROR(VLOOKUP(Z362,OFFSET(abbreviation[],0,ColumnLanguage),ColumnAbbreviation,FALSE),"")</f>
        <v/>
      </c>
      <c r="BT362" s="21" t="str">
        <f ca="1">IFERROR(VLOOKUP(AB362,OFFSET(abbreviation[],0,ColumnLanguage),ColumnAbbreviation,FALSE),"")</f>
        <v/>
      </c>
      <c r="BU362" s="21" t="str">
        <f t="shared" ca="1" si="36"/>
        <v>__</v>
      </c>
      <c r="BV362" s="21" t="str">
        <f ca="1">IFERROR(VLOOKUP(AF362,OFFSET(abbreviation[],0,ColumnLanguage),ColumnAbbreviation,FALSE),"")</f>
        <v/>
      </c>
      <c r="BW362" s="21" t="str">
        <f ca="1">IFERROR(VLOOKUP(AH362,OFFSET(abbreviation[],0,ColumnLanguage),ColumnAbbreviation,FALSE),"")</f>
        <v/>
      </c>
      <c r="BX362" s="21" t="str">
        <f ca="1">IFERROR(VLOOKUP(AJ362,OFFSET(abbreviation[],0,ColumnLanguage),ColumnAbbreviation,FALSE),"")</f>
        <v/>
      </c>
      <c r="BY362" s="21" t="str">
        <f ca="1">IFERROR(VLOOKUP(AL362,OFFSET(abbreviation[],0,ColumnLanguage),ColumnAbbreviation,FALSE),"")</f>
        <v/>
      </c>
      <c r="BZ362" s="21" t="str">
        <f t="shared" ca="1" si="37"/>
        <v>_</v>
      </c>
      <c r="CA362" s="21" t="str">
        <f ca="1">IFERROR(VLOOKUP(AP362,OFFSET(abbreviation[],0,ColumnLanguage),ColumnAbbreviation,FALSE),"")</f>
        <v/>
      </c>
      <c r="CB362" s="21" t="str">
        <f ca="1">IFERROR(VLOOKUP(AR362,OFFSET(abbreviation[],0,ColumnLanguage),ColumnAbbreviation,FALSE),"")</f>
        <v/>
      </c>
      <c r="CC362" s="21" t="str">
        <f ca="1">IFERROR(VLOOKUP(AT362,OFFSET(abbreviation[],0,ColumnLanguage),ColumnAbbreviation,FALSE),"")</f>
        <v/>
      </c>
      <c r="CD362" s="21" t="str">
        <f ca="1">IFERROR(VLOOKUP(AV362,OFFSET(abbreviation[],0,ColumnLanguage),ColumnAbbreviation,FALSE),"")</f>
        <v/>
      </c>
      <c r="CE362" s="21" t="str">
        <f t="shared" ca="1" si="38"/>
        <v>__</v>
      </c>
      <c r="CF362" s="21" t="str">
        <f ca="1">IFERROR(VLOOKUP(AX362,OFFSET(abbreviation[],0,ColumnLanguage),ColumnAbbreviation,FALSE),"")</f>
        <v/>
      </c>
      <c r="CG362" s="21" t="str">
        <f ca="1">IFERROR(VLOOKUP(AZ362,OFFSET(abbreviation[],0,ColumnLanguage),ColumnAbbreviation,FALSE),"")</f>
        <v/>
      </c>
      <c r="CH362" s="21" t="str">
        <f ca="1">IFERROR(VLOOKUP(BB362,OFFSET(abbreviation[],0,ColumnLanguage),ColumnAbbreviation,FALSE),"")</f>
        <v/>
      </c>
      <c r="CI362" s="21" t="str">
        <f ca="1">IFERROR(VLOOKUP(BD362,OFFSET(abbreviation[],0,ColumnLanguage),ColumnAbbreviation,FALSE),"")</f>
        <v/>
      </c>
      <c r="CJ362" s="21" t="str">
        <f ca="1">IFERROR(VLOOKUP(BF362,OFFSET(abbreviation[],0,ColumnLanguage),ColumnAbbreviation,FALSE),"")</f>
        <v/>
      </c>
      <c r="CK362" s="21" t="str">
        <f t="shared" ca="1" si="39"/>
        <v/>
      </c>
      <c r="CL362" s="21" t="str">
        <f t="shared" si="40"/>
        <v/>
      </c>
      <c r="CM362" s="52"/>
      <c r="CN362" s="57" t="str">
        <f t="shared" si="41"/>
        <v/>
      </c>
    </row>
    <row r="363" spans="16:92" x14ac:dyDescent="0.25">
      <c r="P363" s="60"/>
      <c r="Q363" s="13"/>
      <c r="V363" s="60"/>
      <c r="X363" s="61"/>
      <c r="AB363" s="60"/>
      <c r="AN363" s="54"/>
      <c r="AS363" s="15"/>
      <c r="BH363" s="52"/>
      <c r="BI363" s="21" t="str">
        <f ca="1">IFERROR(VLOOKUP(C363,OFFSET(abbreviation[],0,ColumnLanguage),ColumnAbbreviation,FALSE),"")</f>
        <v/>
      </c>
      <c r="BJ363" s="21" t="str">
        <f ca="1">IFERROR(VLOOKUP(E363,OFFSET(abbreviation[],0,ColumnLanguage),ColumnAbbreviation,FALSE),"")</f>
        <v/>
      </c>
      <c r="BK363" s="21" t="str">
        <f ca="1">IFERROR(VLOOKUP(G363,OFFSET(abbreviation[],0,ColumnLanguage),ColumnAbbreviation,FALSE),"")</f>
        <v/>
      </c>
      <c r="BL363" s="21" t="str">
        <f ca="1">IFERROR(VLOOKUP(I363,OFFSET(abbreviation[],0,ColumnLanguage),ColumnAbbreviation,FALSE),"")</f>
        <v/>
      </c>
      <c r="BM363" s="21" t="str">
        <f ca="1">IFERROR(VLOOKUP(K363,OFFSET(abbreviation[],0,ColumnLanguage),ColumnAbbreviation,FALSE),"")</f>
        <v/>
      </c>
      <c r="BN363" s="21" t="str">
        <f t="shared" ca="1" si="35"/>
        <v/>
      </c>
      <c r="BO363" s="21" t="str">
        <f ca="1">IFERROR(VLOOKUP(N363,OFFSET(abbreviation[],0,ColumnLanguage),ColumnAbbreviation,FALSE),"")</f>
        <v/>
      </c>
      <c r="BP363" s="21" t="str">
        <f ca="1">IFERROR(VLOOKUP(P363,OFFSET(abbreviation[],0,ColumnLanguage),ColumnAbbreviation,FALSE),"")</f>
        <v/>
      </c>
      <c r="BQ363" s="21" t="str">
        <f ca="1">IFERROR(VLOOKUP(T363,OFFSET(abbreviation[],0,ColumnLanguage),ColumnAbbreviation,FALSE),"")</f>
        <v/>
      </c>
      <c r="BR363" s="21" t="str">
        <f ca="1">IFERROR(VLOOKUP(V363,OFFSET(abbreviation[],0,ColumnLanguage),ColumnAbbreviation,FALSE),"")</f>
        <v/>
      </c>
      <c r="BS363" s="21" t="str">
        <f ca="1">IFERROR(VLOOKUP(Z363,OFFSET(abbreviation[],0,ColumnLanguage),ColumnAbbreviation,FALSE),"")</f>
        <v/>
      </c>
      <c r="BT363" s="21" t="str">
        <f ca="1">IFERROR(VLOOKUP(AB363,OFFSET(abbreviation[],0,ColumnLanguage),ColumnAbbreviation,FALSE),"")</f>
        <v/>
      </c>
      <c r="BU363" s="21" t="str">
        <f t="shared" ca="1" si="36"/>
        <v>__</v>
      </c>
      <c r="BV363" s="21" t="str">
        <f ca="1">IFERROR(VLOOKUP(AF363,OFFSET(abbreviation[],0,ColumnLanguage),ColumnAbbreviation,FALSE),"")</f>
        <v/>
      </c>
      <c r="BW363" s="21" t="str">
        <f ca="1">IFERROR(VLOOKUP(AH363,OFFSET(abbreviation[],0,ColumnLanguage),ColumnAbbreviation,FALSE),"")</f>
        <v/>
      </c>
      <c r="BX363" s="21" t="str">
        <f ca="1">IFERROR(VLOOKUP(AJ363,OFFSET(abbreviation[],0,ColumnLanguage),ColumnAbbreviation,FALSE),"")</f>
        <v/>
      </c>
      <c r="BY363" s="21" t="str">
        <f ca="1">IFERROR(VLOOKUP(AL363,OFFSET(abbreviation[],0,ColumnLanguage),ColumnAbbreviation,FALSE),"")</f>
        <v/>
      </c>
      <c r="BZ363" s="21" t="str">
        <f t="shared" ca="1" si="37"/>
        <v>_</v>
      </c>
      <c r="CA363" s="21" t="str">
        <f ca="1">IFERROR(VLOOKUP(AP363,OFFSET(abbreviation[],0,ColumnLanguage),ColumnAbbreviation,FALSE),"")</f>
        <v/>
      </c>
      <c r="CB363" s="21" t="str">
        <f ca="1">IFERROR(VLOOKUP(AR363,OFFSET(abbreviation[],0,ColumnLanguage),ColumnAbbreviation,FALSE),"")</f>
        <v/>
      </c>
      <c r="CC363" s="21" t="str">
        <f ca="1">IFERROR(VLOOKUP(AT363,OFFSET(abbreviation[],0,ColumnLanguage),ColumnAbbreviation,FALSE),"")</f>
        <v/>
      </c>
      <c r="CD363" s="21" t="str">
        <f ca="1">IFERROR(VLOOKUP(AV363,OFFSET(abbreviation[],0,ColumnLanguage),ColumnAbbreviation,FALSE),"")</f>
        <v/>
      </c>
      <c r="CE363" s="21" t="str">
        <f t="shared" ca="1" si="38"/>
        <v>__</v>
      </c>
      <c r="CF363" s="21" t="str">
        <f ca="1">IFERROR(VLOOKUP(AX363,OFFSET(abbreviation[],0,ColumnLanguage),ColumnAbbreviation,FALSE),"")</f>
        <v/>
      </c>
      <c r="CG363" s="21" t="str">
        <f ca="1">IFERROR(VLOOKUP(AZ363,OFFSET(abbreviation[],0,ColumnLanguage),ColumnAbbreviation,FALSE),"")</f>
        <v/>
      </c>
      <c r="CH363" s="21" t="str">
        <f ca="1">IFERROR(VLOOKUP(BB363,OFFSET(abbreviation[],0,ColumnLanguage),ColumnAbbreviation,FALSE),"")</f>
        <v/>
      </c>
      <c r="CI363" s="21" t="str">
        <f ca="1">IFERROR(VLOOKUP(BD363,OFFSET(abbreviation[],0,ColumnLanguage),ColumnAbbreviation,FALSE),"")</f>
        <v/>
      </c>
      <c r="CJ363" s="21" t="str">
        <f ca="1">IFERROR(VLOOKUP(BF363,OFFSET(abbreviation[],0,ColumnLanguage),ColumnAbbreviation,FALSE),"")</f>
        <v/>
      </c>
      <c r="CK363" s="21" t="str">
        <f t="shared" ca="1" si="39"/>
        <v/>
      </c>
      <c r="CL363" s="21" t="str">
        <f t="shared" si="40"/>
        <v/>
      </c>
      <c r="CM363" s="52"/>
      <c r="CN363" s="57" t="str">
        <f t="shared" si="41"/>
        <v/>
      </c>
    </row>
    <row r="364" spans="16:92" x14ac:dyDescent="0.25">
      <c r="P364" s="60"/>
      <c r="Q364" s="13"/>
      <c r="V364" s="60"/>
      <c r="X364" s="61"/>
      <c r="AB364" s="60"/>
      <c r="AN364" s="54"/>
      <c r="AS364" s="15"/>
      <c r="BH364" s="52"/>
      <c r="BI364" s="21" t="str">
        <f ca="1">IFERROR(VLOOKUP(C364,OFFSET(abbreviation[],0,ColumnLanguage),ColumnAbbreviation,FALSE),"")</f>
        <v/>
      </c>
      <c r="BJ364" s="21" t="str">
        <f ca="1">IFERROR(VLOOKUP(E364,OFFSET(abbreviation[],0,ColumnLanguage),ColumnAbbreviation,FALSE),"")</f>
        <v/>
      </c>
      <c r="BK364" s="21" t="str">
        <f ca="1">IFERROR(VLOOKUP(G364,OFFSET(abbreviation[],0,ColumnLanguage),ColumnAbbreviation,FALSE),"")</f>
        <v/>
      </c>
      <c r="BL364" s="21" t="str">
        <f ca="1">IFERROR(VLOOKUP(I364,OFFSET(abbreviation[],0,ColumnLanguage),ColumnAbbreviation,FALSE),"")</f>
        <v/>
      </c>
      <c r="BM364" s="21" t="str">
        <f ca="1">IFERROR(VLOOKUP(K364,OFFSET(abbreviation[],0,ColumnLanguage),ColumnAbbreviation,FALSE),"")</f>
        <v/>
      </c>
      <c r="BN364" s="21" t="str">
        <f t="shared" ca="1" si="35"/>
        <v/>
      </c>
      <c r="BO364" s="21" t="str">
        <f ca="1">IFERROR(VLOOKUP(N364,OFFSET(abbreviation[],0,ColumnLanguage),ColumnAbbreviation,FALSE),"")</f>
        <v/>
      </c>
      <c r="BP364" s="21" t="str">
        <f ca="1">IFERROR(VLOOKUP(P364,OFFSET(abbreviation[],0,ColumnLanguage),ColumnAbbreviation,FALSE),"")</f>
        <v/>
      </c>
      <c r="BQ364" s="21" t="str">
        <f ca="1">IFERROR(VLOOKUP(T364,OFFSET(abbreviation[],0,ColumnLanguage),ColumnAbbreviation,FALSE),"")</f>
        <v/>
      </c>
      <c r="BR364" s="21" t="str">
        <f ca="1">IFERROR(VLOOKUP(V364,OFFSET(abbreviation[],0,ColumnLanguage),ColumnAbbreviation,FALSE),"")</f>
        <v/>
      </c>
      <c r="BS364" s="21" t="str">
        <f ca="1">IFERROR(VLOOKUP(Z364,OFFSET(abbreviation[],0,ColumnLanguage),ColumnAbbreviation,FALSE),"")</f>
        <v/>
      </c>
      <c r="BT364" s="21" t="str">
        <f ca="1">IFERROR(VLOOKUP(AB364,OFFSET(abbreviation[],0,ColumnLanguage),ColumnAbbreviation,FALSE),"")</f>
        <v/>
      </c>
      <c r="BU364" s="21" t="str">
        <f t="shared" ca="1" si="36"/>
        <v>__</v>
      </c>
      <c r="BV364" s="21" t="str">
        <f ca="1">IFERROR(VLOOKUP(AF364,OFFSET(abbreviation[],0,ColumnLanguage),ColumnAbbreviation,FALSE),"")</f>
        <v/>
      </c>
      <c r="BW364" s="21" t="str">
        <f ca="1">IFERROR(VLOOKUP(AH364,OFFSET(abbreviation[],0,ColumnLanguage),ColumnAbbreviation,FALSE),"")</f>
        <v/>
      </c>
      <c r="BX364" s="21" t="str">
        <f ca="1">IFERROR(VLOOKUP(AJ364,OFFSET(abbreviation[],0,ColumnLanguage),ColumnAbbreviation,FALSE),"")</f>
        <v/>
      </c>
      <c r="BY364" s="21" t="str">
        <f ca="1">IFERROR(VLOOKUP(AL364,OFFSET(abbreviation[],0,ColumnLanguage),ColumnAbbreviation,FALSE),"")</f>
        <v/>
      </c>
      <c r="BZ364" s="21" t="str">
        <f t="shared" ca="1" si="37"/>
        <v>_</v>
      </c>
      <c r="CA364" s="21" t="str">
        <f ca="1">IFERROR(VLOOKUP(AP364,OFFSET(abbreviation[],0,ColumnLanguage),ColumnAbbreviation,FALSE),"")</f>
        <v/>
      </c>
      <c r="CB364" s="21" t="str">
        <f ca="1">IFERROR(VLOOKUP(AR364,OFFSET(abbreviation[],0,ColumnLanguage),ColumnAbbreviation,FALSE),"")</f>
        <v/>
      </c>
      <c r="CC364" s="21" t="str">
        <f ca="1">IFERROR(VLOOKUP(AT364,OFFSET(abbreviation[],0,ColumnLanguage),ColumnAbbreviation,FALSE),"")</f>
        <v/>
      </c>
      <c r="CD364" s="21" t="str">
        <f ca="1">IFERROR(VLOOKUP(AV364,OFFSET(abbreviation[],0,ColumnLanguage),ColumnAbbreviation,FALSE),"")</f>
        <v/>
      </c>
      <c r="CE364" s="21" t="str">
        <f t="shared" ca="1" si="38"/>
        <v>__</v>
      </c>
      <c r="CF364" s="21" t="str">
        <f ca="1">IFERROR(VLOOKUP(AX364,OFFSET(abbreviation[],0,ColumnLanguage),ColumnAbbreviation,FALSE),"")</f>
        <v/>
      </c>
      <c r="CG364" s="21" t="str">
        <f ca="1">IFERROR(VLOOKUP(AZ364,OFFSET(abbreviation[],0,ColumnLanguage),ColumnAbbreviation,FALSE),"")</f>
        <v/>
      </c>
      <c r="CH364" s="21" t="str">
        <f ca="1">IFERROR(VLOOKUP(BB364,OFFSET(abbreviation[],0,ColumnLanguage),ColumnAbbreviation,FALSE),"")</f>
        <v/>
      </c>
      <c r="CI364" s="21" t="str">
        <f ca="1">IFERROR(VLOOKUP(BD364,OFFSET(abbreviation[],0,ColumnLanguage),ColumnAbbreviation,FALSE),"")</f>
        <v/>
      </c>
      <c r="CJ364" s="21" t="str">
        <f ca="1">IFERROR(VLOOKUP(BF364,OFFSET(abbreviation[],0,ColumnLanguage),ColumnAbbreviation,FALSE),"")</f>
        <v/>
      </c>
      <c r="CK364" s="21" t="str">
        <f t="shared" ca="1" si="39"/>
        <v/>
      </c>
      <c r="CL364" s="21" t="str">
        <f t="shared" si="40"/>
        <v/>
      </c>
      <c r="CM364" s="52"/>
      <c r="CN364" s="57" t="str">
        <f t="shared" si="41"/>
        <v/>
      </c>
    </row>
    <row r="365" spans="16:92" x14ac:dyDescent="0.25">
      <c r="P365" s="60"/>
      <c r="Q365" s="13"/>
      <c r="V365" s="60"/>
      <c r="X365" s="61"/>
      <c r="AB365" s="60"/>
      <c r="AN365" s="54"/>
      <c r="AS365" s="15"/>
      <c r="BH365" s="52"/>
      <c r="BI365" s="21" t="str">
        <f ca="1">IFERROR(VLOOKUP(C365,OFFSET(abbreviation[],0,ColumnLanguage),ColumnAbbreviation,FALSE),"")</f>
        <v/>
      </c>
      <c r="BJ365" s="21" t="str">
        <f ca="1">IFERROR(VLOOKUP(E365,OFFSET(abbreviation[],0,ColumnLanguage),ColumnAbbreviation,FALSE),"")</f>
        <v/>
      </c>
      <c r="BK365" s="21" t="str">
        <f ca="1">IFERROR(VLOOKUP(G365,OFFSET(abbreviation[],0,ColumnLanguage),ColumnAbbreviation,FALSE),"")</f>
        <v/>
      </c>
      <c r="BL365" s="21" t="str">
        <f ca="1">IFERROR(VLOOKUP(I365,OFFSET(abbreviation[],0,ColumnLanguage),ColumnAbbreviation,FALSE),"")</f>
        <v/>
      </c>
      <c r="BM365" s="21" t="str">
        <f ca="1">IFERROR(VLOOKUP(K365,OFFSET(abbreviation[],0,ColumnLanguage),ColumnAbbreviation,FALSE),"")</f>
        <v/>
      </c>
      <c r="BN365" s="21" t="str">
        <f t="shared" ca="1" si="35"/>
        <v/>
      </c>
      <c r="BO365" s="21" t="str">
        <f ca="1">IFERROR(VLOOKUP(N365,OFFSET(abbreviation[],0,ColumnLanguage),ColumnAbbreviation,FALSE),"")</f>
        <v/>
      </c>
      <c r="BP365" s="21" t="str">
        <f ca="1">IFERROR(VLOOKUP(P365,OFFSET(abbreviation[],0,ColumnLanguage),ColumnAbbreviation,FALSE),"")</f>
        <v/>
      </c>
      <c r="BQ365" s="21" t="str">
        <f ca="1">IFERROR(VLOOKUP(T365,OFFSET(abbreviation[],0,ColumnLanguage),ColumnAbbreviation,FALSE),"")</f>
        <v/>
      </c>
      <c r="BR365" s="21" t="str">
        <f ca="1">IFERROR(VLOOKUP(V365,OFFSET(abbreviation[],0,ColumnLanguage),ColumnAbbreviation,FALSE),"")</f>
        <v/>
      </c>
      <c r="BS365" s="21" t="str">
        <f ca="1">IFERROR(VLOOKUP(Z365,OFFSET(abbreviation[],0,ColumnLanguage),ColumnAbbreviation,FALSE),"")</f>
        <v/>
      </c>
      <c r="BT365" s="21" t="str">
        <f ca="1">IFERROR(VLOOKUP(AB365,OFFSET(abbreviation[],0,ColumnLanguage),ColumnAbbreviation,FALSE),"")</f>
        <v/>
      </c>
      <c r="BU365" s="21" t="str">
        <f t="shared" ca="1" si="36"/>
        <v>__</v>
      </c>
      <c r="BV365" s="21" t="str">
        <f ca="1">IFERROR(VLOOKUP(AF365,OFFSET(abbreviation[],0,ColumnLanguage),ColumnAbbreviation,FALSE),"")</f>
        <v/>
      </c>
      <c r="BW365" s="21" t="str">
        <f ca="1">IFERROR(VLOOKUP(AH365,OFFSET(abbreviation[],0,ColumnLanguage),ColumnAbbreviation,FALSE),"")</f>
        <v/>
      </c>
      <c r="BX365" s="21" t="str">
        <f ca="1">IFERROR(VLOOKUP(AJ365,OFFSET(abbreviation[],0,ColumnLanguage),ColumnAbbreviation,FALSE),"")</f>
        <v/>
      </c>
      <c r="BY365" s="21" t="str">
        <f ca="1">IFERROR(VLOOKUP(AL365,OFFSET(abbreviation[],0,ColumnLanguage),ColumnAbbreviation,FALSE),"")</f>
        <v/>
      </c>
      <c r="BZ365" s="21" t="str">
        <f t="shared" ca="1" si="37"/>
        <v>_</v>
      </c>
      <c r="CA365" s="21" t="str">
        <f ca="1">IFERROR(VLOOKUP(AP365,OFFSET(abbreviation[],0,ColumnLanguage),ColumnAbbreviation,FALSE),"")</f>
        <v/>
      </c>
      <c r="CB365" s="21" t="str">
        <f ca="1">IFERROR(VLOOKUP(AR365,OFFSET(abbreviation[],0,ColumnLanguage),ColumnAbbreviation,FALSE),"")</f>
        <v/>
      </c>
      <c r="CC365" s="21" t="str">
        <f ca="1">IFERROR(VLOOKUP(AT365,OFFSET(abbreviation[],0,ColumnLanguage),ColumnAbbreviation,FALSE),"")</f>
        <v/>
      </c>
      <c r="CD365" s="21" t="str">
        <f ca="1">IFERROR(VLOOKUP(AV365,OFFSET(abbreviation[],0,ColumnLanguage),ColumnAbbreviation,FALSE),"")</f>
        <v/>
      </c>
      <c r="CE365" s="21" t="str">
        <f t="shared" ca="1" si="38"/>
        <v>__</v>
      </c>
      <c r="CF365" s="21" t="str">
        <f ca="1">IFERROR(VLOOKUP(AX365,OFFSET(abbreviation[],0,ColumnLanguage),ColumnAbbreviation,FALSE),"")</f>
        <v/>
      </c>
      <c r="CG365" s="21" t="str">
        <f ca="1">IFERROR(VLOOKUP(AZ365,OFFSET(abbreviation[],0,ColumnLanguage),ColumnAbbreviation,FALSE),"")</f>
        <v/>
      </c>
      <c r="CH365" s="21" t="str">
        <f ca="1">IFERROR(VLOOKUP(BB365,OFFSET(abbreviation[],0,ColumnLanguage),ColumnAbbreviation,FALSE),"")</f>
        <v/>
      </c>
      <c r="CI365" s="21" t="str">
        <f ca="1">IFERROR(VLOOKUP(BD365,OFFSET(abbreviation[],0,ColumnLanguage),ColumnAbbreviation,FALSE),"")</f>
        <v/>
      </c>
      <c r="CJ365" s="21" t="str">
        <f ca="1">IFERROR(VLOOKUP(BF365,OFFSET(abbreviation[],0,ColumnLanguage),ColumnAbbreviation,FALSE),"")</f>
        <v/>
      </c>
      <c r="CK365" s="21" t="str">
        <f t="shared" ca="1" si="39"/>
        <v/>
      </c>
      <c r="CL365" s="21" t="str">
        <f t="shared" si="40"/>
        <v/>
      </c>
      <c r="CM365" s="52"/>
      <c r="CN365" s="57" t="str">
        <f t="shared" si="41"/>
        <v/>
      </c>
    </row>
    <row r="366" spans="16:92" x14ac:dyDescent="0.25">
      <c r="P366" s="60"/>
      <c r="Q366" s="13"/>
      <c r="V366" s="60"/>
      <c r="X366" s="61"/>
      <c r="AB366" s="60"/>
      <c r="AN366" s="54"/>
      <c r="AS366" s="15"/>
      <c r="BH366" s="52"/>
      <c r="BI366" s="21" t="str">
        <f ca="1">IFERROR(VLOOKUP(C366,OFFSET(abbreviation[],0,ColumnLanguage),ColumnAbbreviation,FALSE),"")</f>
        <v/>
      </c>
      <c r="BJ366" s="21" t="str">
        <f ca="1">IFERROR(VLOOKUP(E366,OFFSET(abbreviation[],0,ColumnLanguage),ColumnAbbreviation,FALSE),"")</f>
        <v/>
      </c>
      <c r="BK366" s="21" t="str">
        <f ca="1">IFERROR(VLOOKUP(G366,OFFSET(abbreviation[],0,ColumnLanguage),ColumnAbbreviation,FALSE),"")</f>
        <v/>
      </c>
      <c r="BL366" s="21" t="str">
        <f ca="1">IFERROR(VLOOKUP(I366,OFFSET(abbreviation[],0,ColumnLanguage),ColumnAbbreviation,FALSE),"")</f>
        <v/>
      </c>
      <c r="BM366" s="21" t="str">
        <f ca="1">IFERROR(VLOOKUP(K366,OFFSET(abbreviation[],0,ColumnLanguage),ColumnAbbreviation,FALSE),"")</f>
        <v/>
      </c>
      <c r="BN366" s="21" t="str">
        <f t="shared" ca="1" si="35"/>
        <v/>
      </c>
      <c r="BO366" s="21" t="str">
        <f ca="1">IFERROR(VLOOKUP(N366,OFFSET(abbreviation[],0,ColumnLanguage),ColumnAbbreviation,FALSE),"")</f>
        <v/>
      </c>
      <c r="BP366" s="21" t="str">
        <f ca="1">IFERROR(VLOOKUP(P366,OFFSET(abbreviation[],0,ColumnLanguage),ColumnAbbreviation,FALSE),"")</f>
        <v/>
      </c>
      <c r="BQ366" s="21" t="str">
        <f ca="1">IFERROR(VLOOKUP(T366,OFFSET(abbreviation[],0,ColumnLanguage),ColumnAbbreviation,FALSE),"")</f>
        <v/>
      </c>
      <c r="BR366" s="21" t="str">
        <f ca="1">IFERROR(VLOOKUP(V366,OFFSET(abbreviation[],0,ColumnLanguage),ColumnAbbreviation,FALSE),"")</f>
        <v/>
      </c>
      <c r="BS366" s="21" t="str">
        <f ca="1">IFERROR(VLOOKUP(Z366,OFFSET(abbreviation[],0,ColumnLanguage),ColumnAbbreviation,FALSE),"")</f>
        <v/>
      </c>
      <c r="BT366" s="21" t="str">
        <f ca="1">IFERROR(VLOOKUP(AB366,OFFSET(abbreviation[],0,ColumnLanguage),ColumnAbbreviation,FALSE),"")</f>
        <v/>
      </c>
      <c r="BU366" s="21" t="str">
        <f t="shared" ca="1" si="36"/>
        <v>__</v>
      </c>
      <c r="BV366" s="21" t="str">
        <f ca="1">IFERROR(VLOOKUP(AF366,OFFSET(abbreviation[],0,ColumnLanguage),ColumnAbbreviation,FALSE),"")</f>
        <v/>
      </c>
      <c r="BW366" s="21" t="str">
        <f ca="1">IFERROR(VLOOKUP(AH366,OFFSET(abbreviation[],0,ColumnLanguage),ColumnAbbreviation,FALSE),"")</f>
        <v/>
      </c>
      <c r="BX366" s="21" t="str">
        <f ca="1">IFERROR(VLOOKUP(AJ366,OFFSET(abbreviation[],0,ColumnLanguage),ColumnAbbreviation,FALSE),"")</f>
        <v/>
      </c>
      <c r="BY366" s="21" t="str">
        <f ca="1">IFERROR(VLOOKUP(AL366,OFFSET(abbreviation[],0,ColumnLanguage),ColumnAbbreviation,FALSE),"")</f>
        <v/>
      </c>
      <c r="BZ366" s="21" t="str">
        <f t="shared" ca="1" si="37"/>
        <v>_</v>
      </c>
      <c r="CA366" s="21" t="str">
        <f ca="1">IFERROR(VLOOKUP(AP366,OFFSET(abbreviation[],0,ColumnLanguage),ColumnAbbreviation,FALSE),"")</f>
        <v/>
      </c>
      <c r="CB366" s="21" t="str">
        <f ca="1">IFERROR(VLOOKUP(AR366,OFFSET(abbreviation[],0,ColumnLanguage),ColumnAbbreviation,FALSE),"")</f>
        <v/>
      </c>
      <c r="CC366" s="21" t="str">
        <f ca="1">IFERROR(VLOOKUP(AT366,OFFSET(abbreviation[],0,ColumnLanguage),ColumnAbbreviation,FALSE),"")</f>
        <v/>
      </c>
      <c r="CD366" s="21" t="str">
        <f ca="1">IFERROR(VLOOKUP(AV366,OFFSET(abbreviation[],0,ColumnLanguage),ColumnAbbreviation,FALSE),"")</f>
        <v/>
      </c>
      <c r="CE366" s="21" t="str">
        <f t="shared" ca="1" si="38"/>
        <v>__</v>
      </c>
      <c r="CF366" s="21" t="str">
        <f ca="1">IFERROR(VLOOKUP(AX366,OFFSET(abbreviation[],0,ColumnLanguage),ColumnAbbreviation,FALSE),"")</f>
        <v/>
      </c>
      <c r="CG366" s="21" t="str">
        <f ca="1">IFERROR(VLOOKUP(AZ366,OFFSET(abbreviation[],0,ColumnLanguage),ColumnAbbreviation,FALSE),"")</f>
        <v/>
      </c>
      <c r="CH366" s="21" t="str">
        <f ca="1">IFERROR(VLOOKUP(BB366,OFFSET(abbreviation[],0,ColumnLanguage),ColumnAbbreviation,FALSE),"")</f>
        <v/>
      </c>
      <c r="CI366" s="21" t="str">
        <f ca="1">IFERROR(VLOOKUP(BD366,OFFSET(abbreviation[],0,ColumnLanguage),ColumnAbbreviation,FALSE),"")</f>
        <v/>
      </c>
      <c r="CJ366" s="21" t="str">
        <f ca="1">IFERROR(VLOOKUP(BF366,OFFSET(abbreviation[],0,ColumnLanguage),ColumnAbbreviation,FALSE),"")</f>
        <v/>
      </c>
      <c r="CK366" s="21" t="str">
        <f t="shared" ca="1" si="39"/>
        <v/>
      </c>
      <c r="CL366" s="21" t="str">
        <f t="shared" si="40"/>
        <v/>
      </c>
      <c r="CM366" s="52"/>
      <c r="CN366" s="57" t="str">
        <f t="shared" si="41"/>
        <v/>
      </c>
    </row>
    <row r="367" spans="16:92" x14ac:dyDescent="0.25">
      <c r="P367" s="60"/>
      <c r="Q367" s="13"/>
      <c r="V367" s="60"/>
      <c r="X367" s="61"/>
      <c r="AB367" s="60"/>
      <c r="AN367" s="54"/>
      <c r="AS367" s="15"/>
      <c r="BH367" s="52"/>
      <c r="BI367" s="21" t="str">
        <f ca="1">IFERROR(VLOOKUP(C367,OFFSET(abbreviation[],0,ColumnLanguage),ColumnAbbreviation,FALSE),"")</f>
        <v/>
      </c>
      <c r="BJ367" s="21" t="str">
        <f ca="1">IFERROR(VLOOKUP(E367,OFFSET(abbreviation[],0,ColumnLanguage),ColumnAbbreviation,FALSE),"")</f>
        <v/>
      </c>
      <c r="BK367" s="21" t="str">
        <f ca="1">IFERROR(VLOOKUP(G367,OFFSET(abbreviation[],0,ColumnLanguage),ColumnAbbreviation,FALSE),"")</f>
        <v/>
      </c>
      <c r="BL367" s="21" t="str">
        <f ca="1">IFERROR(VLOOKUP(I367,OFFSET(abbreviation[],0,ColumnLanguage),ColumnAbbreviation,FALSE),"")</f>
        <v/>
      </c>
      <c r="BM367" s="21" t="str">
        <f ca="1">IFERROR(VLOOKUP(K367,OFFSET(abbreviation[],0,ColumnLanguage),ColumnAbbreviation,FALSE),"")</f>
        <v/>
      </c>
      <c r="BN367" s="21" t="str">
        <f t="shared" ca="1" si="35"/>
        <v/>
      </c>
      <c r="BO367" s="21" t="str">
        <f ca="1">IFERROR(VLOOKUP(N367,OFFSET(abbreviation[],0,ColumnLanguage),ColumnAbbreviation,FALSE),"")</f>
        <v/>
      </c>
      <c r="BP367" s="21" t="str">
        <f ca="1">IFERROR(VLOOKUP(P367,OFFSET(abbreviation[],0,ColumnLanguage),ColumnAbbreviation,FALSE),"")</f>
        <v/>
      </c>
      <c r="BQ367" s="21" t="str">
        <f ca="1">IFERROR(VLOOKUP(T367,OFFSET(abbreviation[],0,ColumnLanguage),ColumnAbbreviation,FALSE),"")</f>
        <v/>
      </c>
      <c r="BR367" s="21" t="str">
        <f ca="1">IFERROR(VLOOKUP(V367,OFFSET(abbreviation[],0,ColumnLanguage),ColumnAbbreviation,FALSE),"")</f>
        <v/>
      </c>
      <c r="BS367" s="21" t="str">
        <f ca="1">IFERROR(VLOOKUP(Z367,OFFSET(abbreviation[],0,ColumnLanguage),ColumnAbbreviation,FALSE),"")</f>
        <v/>
      </c>
      <c r="BT367" s="21" t="str">
        <f ca="1">IFERROR(VLOOKUP(AB367,OFFSET(abbreviation[],0,ColumnLanguage),ColumnAbbreviation,FALSE),"")</f>
        <v/>
      </c>
      <c r="BU367" s="21" t="str">
        <f t="shared" ca="1" si="36"/>
        <v>__</v>
      </c>
      <c r="BV367" s="21" t="str">
        <f ca="1">IFERROR(VLOOKUP(AF367,OFFSET(abbreviation[],0,ColumnLanguage),ColumnAbbreviation,FALSE),"")</f>
        <v/>
      </c>
      <c r="BW367" s="21" t="str">
        <f ca="1">IFERROR(VLOOKUP(AH367,OFFSET(abbreviation[],0,ColumnLanguage),ColumnAbbreviation,FALSE),"")</f>
        <v/>
      </c>
      <c r="BX367" s="21" t="str">
        <f ca="1">IFERROR(VLOOKUP(AJ367,OFFSET(abbreviation[],0,ColumnLanguage),ColumnAbbreviation,FALSE),"")</f>
        <v/>
      </c>
      <c r="BY367" s="21" t="str">
        <f ca="1">IFERROR(VLOOKUP(AL367,OFFSET(abbreviation[],0,ColumnLanguage),ColumnAbbreviation,FALSE),"")</f>
        <v/>
      </c>
      <c r="BZ367" s="21" t="str">
        <f t="shared" ca="1" si="37"/>
        <v>_</v>
      </c>
      <c r="CA367" s="21" t="str">
        <f ca="1">IFERROR(VLOOKUP(AP367,OFFSET(abbreviation[],0,ColumnLanguage),ColumnAbbreviation,FALSE),"")</f>
        <v/>
      </c>
      <c r="CB367" s="21" t="str">
        <f ca="1">IFERROR(VLOOKUP(AR367,OFFSET(abbreviation[],0,ColumnLanguage),ColumnAbbreviation,FALSE),"")</f>
        <v/>
      </c>
      <c r="CC367" s="21" t="str">
        <f ca="1">IFERROR(VLOOKUP(AT367,OFFSET(abbreviation[],0,ColumnLanguage),ColumnAbbreviation,FALSE),"")</f>
        <v/>
      </c>
      <c r="CD367" s="21" t="str">
        <f ca="1">IFERROR(VLOOKUP(AV367,OFFSET(abbreviation[],0,ColumnLanguage),ColumnAbbreviation,FALSE),"")</f>
        <v/>
      </c>
      <c r="CE367" s="21" t="str">
        <f t="shared" ca="1" si="38"/>
        <v>__</v>
      </c>
      <c r="CF367" s="21" t="str">
        <f ca="1">IFERROR(VLOOKUP(AX367,OFFSET(abbreviation[],0,ColumnLanguage),ColumnAbbreviation,FALSE),"")</f>
        <v/>
      </c>
      <c r="CG367" s="21" t="str">
        <f ca="1">IFERROR(VLOOKUP(AZ367,OFFSET(abbreviation[],0,ColumnLanguage),ColumnAbbreviation,FALSE),"")</f>
        <v/>
      </c>
      <c r="CH367" s="21" t="str">
        <f ca="1">IFERROR(VLOOKUP(BB367,OFFSET(abbreviation[],0,ColumnLanguage),ColumnAbbreviation,FALSE),"")</f>
        <v/>
      </c>
      <c r="CI367" s="21" t="str">
        <f ca="1">IFERROR(VLOOKUP(BD367,OFFSET(abbreviation[],0,ColumnLanguage),ColumnAbbreviation,FALSE),"")</f>
        <v/>
      </c>
      <c r="CJ367" s="21" t="str">
        <f ca="1">IFERROR(VLOOKUP(BF367,OFFSET(abbreviation[],0,ColumnLanguage),ColumnAbbreviation,FALSE),"")</f>
        <v/>
      </c>
      <c r="CK367" s="21" t="str">
        <f t="shared" ca="1" si="39"/>
        <v/>
      </c>
      <c r="CL367" s="21" t="str">
        <f t="shared" si="40"/>
        <v/>
      </c>
      <c r="CM367" s="52"/>
      <c r="CN367" s="57" t="str">
        <f t="shared" si="41"/>
        <v/>
      </c>
    </row>
    <row r="368" spans="16:92" x14ac:dyDescent="0.25">
      <c r="P368" s="60"/>
      <c r="Q368" s="13"/>
      <c r="V368" s="60"/>
      <c r="X368" s="61"/>
      <c r="AB368" s="60"/>
      <c r="AN368" s="54"/>
      <c r="AS368" s="15"/>
      <c r="BH368" s="52"/>
      <c r="BI368" s="21" t="str">
        <f ca="1">IFERROR(VLOOKUP(C368,OFFSET(abbreviation[],0,ColumnLanguage),ColumnAbbreviation,FALSE),"")</f>
        <v/>
      </c>
      <c r="BJ368" s="21" t="str">
        <f ca="1">IFERROR(VLOOKUP(E368,OFFSET(abbreviation[],0,ColumnLanguage),ColumnAbbreviation,FALSE),"")</f>
        <v/>
      </c>
      <c r="BK368" s="21" t="str">
        <f ca="1">IFERROR(VLOOKUP(G368,OFFSET(abbreviation[],0,ColumnLanguage),ColumnAbbreviation,FALSE),"")</f>
        <v/>
      </c>
      <c r="BL368" s="21" t="str">
        <f ca="1">IFERROR(VLOOKUP(I368,OFFSET(abbreviation[],0,ColumnLanguage),ColumnAbbreviation,FALSE),"")</f>
        <v/>
      </c>
      <c r="BM368" s="21" t="str">
        <f ca="1">IFERROR(VLOOKUP(K368,OFFSET(abbreviation[],0,ColumnLanguage),ColumnAbbreviation,FALSE),"")</f>
        <v/>
      </c>
      <c r="BN368" s="21" t="str">
        <f t="shared" ca="1" si="35"/>
        <v/>
      </c>
      <c r="BO368" s="21" t="str">
        <f ca="1">IFERROR(VLOOKUP(N368,OFFSET(abbreviation[],0,ColumnLanguage),ColumnAbbreviation,FALSE),"")</f>
        <v/>
      </c>
      <c r="BP368" s="21" t="str">
        <f ca="1">IFERROR(VLOOKUP(P368,OFFSET(abbreviation[],0,ColumnLanguage),ColumnAbbreviation,FALSE),"")</f>
        <v/>
      </c>
      <c r="BQ368" s="21" t="str">
        <f ca="1">IFERROR(VLOOKUP(T368,OFFSET(abbreviation[],0,ColumnLanguage),ColumnAbbreviation,FALSE),"")</f>
        <v/>
      </c>
      <c r="BR368" s="21" t="str">
        <f ca="1">IFERROR(VLOOKUP(V368,OFFSET(abbreviation[],0,ColumnLanguage),ColumnAbbreviation,FALSE),"")</f>
        <v/>
      </c>
      <c r="BS368" s="21" t="str">
        <f ca="1">IFERROR(VLOOKUP(Z368,OFFSET(abbreviation[],0,ColumnLanguage),ColumnAbbreviation,FALSE),"")</f>
        <v/>
      </c>
      <c r="BT368" s="21" t="str">
        <f ca="1">IFERROR(VLOOKUP(AB368,OFFSET(abbreviation[],0,ColumnLanguage),ColumnAbbreviation,FALSE),"")</f>
        <v/>
      </c>
      <c r="BU368" s="21" t="str">
        <f t="shared" ca="1" si="36"/>
        <v>__</v>
      </c>
      <c r="BV368" s="21" t="str">
        <f ca="1">IFERROR(VLOOKUP(AF368,OFFSET(abbreviation[],0,ColumnLanguage),ColumnAbbreviation,FALSE),"")</f>
        <v/>
      </c>
      <c r="BW368" s="21" t="str">
        <f ca="1">IFERROR(VLOOKUP(AH368,OFFSET(abbreviation[],0,ColumnLanguage),ColumnAbbreviation,FALSE),"")</f>
        <v/>
      </c>
      <c r="BX368" s="21" t="str">
        <f ca="1">IFERROR(VLOOKUP(AJ368,OFFSET(abbreviation[],0,ColumnLanguage),ColumnAbbreviation,FALSE),"")</f>
        <v/>
      </c>
      <c r="BY368" s="21" t="str">
        <f ca="1">IFERROR(VLOOKUP(AL368,OFFSET(abbreviation[],0,ColumnLanguage),ColumnAbbreviation,FALSE),"")</f>
        <v/>
      </c>
      <c r="BZ368" s="21" t="str">
        <f t="shared" ca="1" si="37"/>
        <v>_</v>
      </c>
      <c r="CA368" s="21" t="str">
        <f ca="1">IFERROR(VLOOKUP(AP368,OFFSET(abbreviation[],0,ColumnLanguage),ColumnAbbreviation,FALSE),"")</f>
        <v/>
      </c>
      <c r="CB368" s="21" t="str">
        <f ca="1">IFERROR(VLOOKUP(AR368,OFFSET(abbreviation[],0,ColumnLanguage),ColumnAbbreviation,FALSE),"")</f>
        <v/>
      </c>
      <c r="CC368" s="21" t="str">
        <f ca="1">IFERROR(VLOOKUP(AT368,OFFSET(abbreviation[],0,ColumnLanguage),ColumnAbbreviation,FALSE),"")</f>
        <v/>
      </c>
      <c r="CD368" s="21" t="str">
        <f ca="1">IFERROR(VLOOKUP(AV368,OFFSET(abbreviation[],0,ColumnLanguage),ColumnAbbreviation,FALSE),"")</f>
        <v/>
      </c>
      <c r="CE368" s="21" t="str">
        <f t="shared" ca="1" si="38"/>
        <v>__</v>
      </c>
      <c r="CF368" s="21" t="str">
        <f ca="1">IFERROR(VLOOKUP(AX368,OFFSET(abbreviation[],0,ColumnLanguage),ColumnAbbreviation,FALSE),"")</f>
        <v/>
      </c>
      <c r="CG368" s="21" t="str">
        <f ca="1">IFERROR(VLOOKUP(AZ368,OFFSET(abbreviation[],0,ColumnLanguage),ColumnAbbreviation,FALSE),"")</f>
        <v/>
      </c>
      <c r="CH368" s="21" t="str">
        <f ca="1">IFERROR(VLOOKUP(BB368,OFFSET(abbreviation[],0,ColumnLanguage),ColumnAbbreviation,FALSE),"")</f>
        <v/>
      </c>
      <c r="CI368" s="21" t="str">
        <f ca="1">IFERROR(VLOOKUP(BD368,OFFSET(abbreviation[],0,ColumnLanguage),ColumnAbbreviation,FALSE),"")</f>
        <v/>
      </c>
      <c r="CJ368" s="21" t="str">
        <f ca="1">IFERROR(VLOOKUP(BF368,OFFSET(abbreviation[],0,ColumnLanguage),ColumnAbbreviation,FALSE),"")</f>
        <v/>
      </c>
      <c r="CK368" s="21" t="str">
        <f t="shared" ca="1" si="39"/>
        <v/>
      </c>
      <c r="CL368" s="21" t="str">
        <f t="shared" si="40"/>
        <v/>
      </c>
      <c r="CM368" s="52"/>
      <c r="CN368" s="57" t="str">
        <f t="shared" si="41"/>
        <v/>
      </c>
    </row>
    <row r="369" spans="16:92" x14ac:dyDescent="0.25">
      <c r="P369" s="60"/>
      <c r="Q369" s="13"/>
      <c r="V369" s="60"/>
      <c r="X369" s="61"/>
      <c r="AB369" s="60"/>
      <c r="AN369" s="54"/>
      <c r="AS369" s="15"/>
      <c r="BH369" s="52"/>
      <c r="BI369" s="21" t="str">
        <f ca="1">IFERROR(VLOOKUP(C369,OFFSET(abbreviation[],0,ColumnLanguage),ColumnAbbreviation,FALSE),"")</f>
        <v/>
      </c>
      <c r="BJ369" s="21" t="str">
        <f ca="1">IFERROR(VLOOKUP(E369,OFFSET(abbreviation[],0,ColumnLanguage),ColumnAbbreviation,FALSE),"")</f>
        <v/>
      </c>
      <c r="BK369" s="21" t="str">
        <f ca="1">IFERROR(VLOOKUP(G369,OFFSET(abbreviation[],0,ColumnLanguage),ColumnAbbreviation,FALSE),"")</f>
        <v/>
      </c>
      <c r="BL369" s="21" t="str">
        <f ca="1">IFERROR(VLOOKUP(I369,OFFSET(abbreviation[],0,ColumnLanguage),ColumnAbbreviation,FALSE),"")</f>
        <v/>
      </c>
      <c r="BM369" s="21" t="str">
        <f ca="1">IFERROR(VLOOKUP(K369,OFFSET(abbreviation[],0,ColumnLanguage),ColumnAbbreviation,FALSE),"")</f>
        <v/>
      </c>
      <c r="BN369" s="21" t="str">
        <f t="shared" ca="1" si="35"/>
        <v/>
      </c>
      <c r="BO369" s="21" t="str">
        <f ca="1">IFERROR(VLOOKUP(N369,OFFSET(abbreviation[],0,ColumnLanguage),ColumnAbbreviation,FALSE),"")</f>
        <v/>
      </c>
      <c r="BP369" s="21" t="str">
        <f ca="1">IFERROR(VLOOKUP(P369,OFFSET(abbreviation[],0,ColumnLanguage),ColumnAbbreviation,FALSE),"")</f>
        <v/>
      </c>
      <c r="BQ369" s="21" t="str">
        <f ca="1">IFERROR(VLOOKUP(T369,OFFSET(abbreviation[],0,ColumnLanguage),ColumnAbbreviation,FALSE),"")</f>
        <v/>
      </c>
      <c r="BR369" s="21" t="str">
        <f ca="1">IFERROR(VLOOKUP(V369,OFFSET(abbreviation[],0,ColumnLanguage),ColumnAbbreviation,FALSE),"")</f>
        <v/>
      </c>
      <c r="BS369" s="21" t="str">
        <f ca="1">IFERROR(VLOOKUP(Z369,OFFSET(abbreviation[],0,ColumnLanguage),ColumnAbbreviation,FALSE),"")</f>
        <v/>
      </c>
      <c r="BT369" s="21" t="str">
        <f ca="1">IFERROR(VLOOKUP(AB369,OFFSET(abbreviation[],0,ColumnLanguage),ColumnAbbreviation,FALSE),"")</f>
        <v/>
      </c>
      <c r="BU369" s="21" t="str">
        <f t="shared" ca="1" si="36"/>
        <v>__</v>
      </c>
      <c r="BV369" s="21" t="str">
        <f ca="1">IFERROR(VLOOKUP(AF369,OFFSET(abbreviation[],0,ColumnLanguage),ColumnAbbreviation,FALSE),"")</f>
        <v/>
      </c>
      <c r="BW369" s="21" t="str">
        <f ca="1">IFERROR(VLOOKUP(AH369,OFFSET(abbreviation[],0,ColumnLanguage),ColumnAbbreviation,FALSE),"")</f>
        <v/>
      </c>
      <c r="BX369" s="21" t="str">
        <f ca="1">IFERROR(VLOOKUP(AJ369,OFFSET(abbreviation[],0,ColumnLanguage),ColumnAbbreviation,FALSE),"")</f>
        <v/>
      </c>
      <c r="BY369" s="21" t="str">
        <f ca="1">IFERROR(VLOOKUP(AL369,OFFSET(abbreviation[],0,ColumnLanguage),ColumnAbbreviation,FALSE),"")</f>
        <v/>
      </c>
      <c r="BZ369" s="21" t="str">
        <f t="shared" ca="1" si="37"/>
        <v>_</v>
      </c>
      <c r="CA369" s="21" t="str">
        <f ca="1">IFERROR(VLOOKUP(AP369,OFFSET(abbreviation[],0,ColumnLanguage),ColumnAbbreviation,FALSE),"")</f>
        <v/>
      </c>
      <c r="CB369" s="21" t="str">
        <f ca="1">IFERROR(VLOOKUP(AR369,OFFSET(abbreviation[],0,ColumnLanguage),ColumnAbbreviation,FALSE),"")</f>
        <v/>
      </c>
      <c r="CC369" s="21" t="str">
        <f ca="1">IFERROR(VLOOKUP(AT369,OFFSET(abbreviation[],0,ColumnLanguage),ColumnAbbreviation,FALSE),"")</f>
        <v/>
      </c>
      <c r="CD369" s="21" t="str">
        <f ca="1">IFERROR(VLOOKUP(AV369,OFFSET(abbreviation[],0,ColumnLanguage),ColumnAbbreviation,FALSE),"")</f>
        <v/>
      </c>
      <c r="CE369" s="21" t="str">
        <f t="shared" ca="1" si="38"/>
        <v>__</v>
      </c>
      <c r="CF369" s="21" t="str">
        <f ca="1">IFERROR(VLOOKUP(AX369,OFFSET(abbreviation[],0,ColumnLanguage),ColumnAbbreviation,FALSE),"")</f>
        <v/>
      </c>
      <c r="CG369" s="21" t="str">
        <f ca="1">IFERROR(VLOOKUP(AZ369,OFFSET(abbreviation[],0,ColumnLanguage),ColumnAbbreviation,FALSE),"")</f>
        <v/>
      </c>
      <c r="CH369" s="21" t="str">
        <f ca="1">IFERROR(VLOOKUP(BB369,OFFSET(abbreviation[],0,ColumnLanguage),ColumnAbbreviation,FALSE),"")</f>
        <v/>
      </c>
      <c r="CI369" s="21" t="str">
        <f ca="1">IFERROR(VLOOKUP(BD369,OFFSET(abbreviation[],0,ColumnLanguage),ColumnAbbreviation,FALSE),"")</f>
        <v/>
      </c>
      <c r="CJ369" s="21" t="str">
        <f ca="1">IFERROR(VLOOKUP(BF369,OFFSET(abbreviation[],0,ColumnLanguage),ColumnAbbreviation,FALSE),"")</f>
        <v/>
      </c>
      <c r="CK369" s="21" t="str">
        <f t="shared" ca="1" si="39"/>
        <v/>
      </c>
      <c r="CL369" s="21" t="str">
        <f t="shared" si="40"/>
        <v/>
      </c>
      <c r="CM369" s="52"/>
      <c r="CN369" s="57" t="str">
        <f t="shared" si="41"/>
        <v/>
      </c>
    </row>
    <row r="370" spans="16:92" x14ac:dyDescent="0.25">
      <c r="P370" s="60"/>
      <c r="Q370" s="13"/>
      <c r="V370" s="60"/>
      <c r="X370" s="61"/>
      <c r="AB370" s="60"/>
      <c r="AN370" s="54"/>
      <c r="AS370" s="15"/>
      <c r="BH370" s="52"/>
      <c r="BI370" s="21" t="str">
        <f ca="1">IFERROR(VLOOKUP(C370,OFFSET(abbreviation[],0,ColumnLanguage),ColumnAbbreviation,FALSE),"")</f>
        <v/>
      </c>
      <c r="BJ370" s="21" t="str">
        <f ca="1">IFERROR(VLOOKUP(E370,OFFSET(abbreviation[],0,ColumnLanguage),ColumnAbbreviation,FALSE),"")</f>
        <v/>
      </c>
      <c r="BK370" s="21" t="str">
        <f ca="1">IFERROR(VLOOKUP(G370,OFFSET(abbreviation[],0,ColumnLanguage),ColumnAbbreviation,FALSE),"")</f>
        <v/>
      </c>
      <c r="BL370" s="21" t="str">
        <f ca="1">IFERROR(VLOOKUP(I370,OFFSET(abbreviation[],0,ColumnLanguage),ColumnAbbreviation,FALSE),"")</f>
        <v/>
      </c>
      <c r="BM370" s="21" t="str">
        <f ca="1">IFERROR(VLOOKUP(K370,OFFSET(abbreviation[],0,ColumnLanguage),ColumnAbbreviation,FALSE),"")</f>
        <v/>
      </c>
      <c r="BN370" s="21" t="str">
        <f t="shared" ca="1" si="35"/>
        <v/>
      </c>
      <c r="BO370" s="21" t="str">
        <f ca="1">IFERROR(VLOOKUP(N370,OFFSET(abbreviation[],0,ColumnLanguage),ColumnAbbreviation,FALSE),"")</f>
        <v/>
      </c>
      <c r="BP370" s="21" t="str">
        <f ca="1">IFERROR(VLOOKUP(P370,OFFSET(abbreviation[],0,ColumnLanguage),ColumnAbbreviation,FALSE),"")</f>
        <v/>
      </c>
      <c r="BQ370" s="21" t="str">
        <f ca="1">IFERROR(VLOOKUP(T370,OFFSET(abbreviation[],0,ColumnLanguage),ColumnAbbreviation,FALSE),"")</f>
        <v/>
      </c>
      <c r="BR370" s="21" t="str">
        <f ca="1">IFERROR(VLOOKUP(V370,OFFSET(abbreviation[],0,ColumnLanguage),ColumnAbbreviation,FALSE),"")</f>
        <v/>
      </c>
      <c r="BS370" s="21" t="str">
        <f ca="1">IFERROR(VLOOKUP(Z370,OFFSET(abbreviation[],0,ColumnLanguage),ColumnAbbreviation,FALSE),"")</f>
        <v/>
      </c>
      <c r="BT370" s="21" t="str">
        <f ca="1">IFERROR(VLOOKUP(AB370,OFFSET(abbreviation[],0,ColumnLanguage),ColumnAbbreviation,FALSE),"")</f>
        <v/>
      </c>
      <c r="BU370" s="21" t="str">
        <f t="shared" ca="1" si="36"/>
        <v>__</v>
      </c>
      <c r="BV370" s="21" t="str">
        <f ca="1">IFERROR(VLOOKUP(AF370,OFFSET(abbreviation[],0,ColumnLanguage),ColumnAbbreviation,FALSE),"")</f>
        <v/>
      </c>
      <c r="BW370" s="21" t="str">
        <f ca="1">IFERROR(VLOOKUP(AH370,OFFSET(abbreviation[],0,ColumnLanguage),ColumnAbbreviation,FALSE),"")</f>
        <v/>
      </c>
      <c r="BX370" s="21" t="str">
        <f ca="1">IFERROR(VLOOKUP(AJ370,OFFSET(abbreviation[],0,ColumnLanguage),ColumnAbbreviation,FALSE),"")</f>
        <v/>
      </c>
      <c r="BY370" s="21" t="str">
        <f ca="1">IFERROR(VLOOKUP(AL370,OFFSET(abbreviation[],0,ColumnLanguage),ColumnAbbreviation,FALSE),"")</f>
        <v/>
      </c>
      <c r="BZ370" s="21" t="str">
        <f t="shared" ca="1" si="37"/>
        <v>_</v>
      </c>
      <c r="CA370" s="21" t="str">
        <f ca="1">IFERROR(VLOOKUP(AP370,OFFSET(abbreviation[],0,ColumnLanguage),ColumnAbbreviation,FALSE),"")</f>
        <v/>
      </c>
      <c r="CB370" s="21" t="str">
        <f ca="1">IFERROR(VLOOKUP(AR370,OFFSET(abbreviation[],0,ColumnLanguage),ColumnAbbreviation,FALSE),"")</f>
        <v/>
      </c>
      <c r="CC370" s="21" t="str">
        <f ca="1">IFERROR(VLOOKUP(AT370,OFFSET(abbreviation[],0,ColumnLanguage),ColumnAbbreviation,FALSE),"")</f>
        <v/>
      </c>
      <c r="CD370" s="21" t="str">
        <f ca="1">IFERROR(VLOOKUP(AV370,OFFSET(abbreviation[],0,ColumnLanguage),ColumnAbbreviation,FALSE),"")</f>
        <v/>
      </c>
      <c r="CE370" s="21" t="str">
        <f t="shared" ca="1" si="38"/>
        <v>__</v>
      </c>
      <c r="CF370" s="21" t="str">
        <f ca="1">IFERROR(VLOOKUP(AX370,OFFSET(abbreviation[],0,ColumnLanguage),ColumnAbbreviation,FALSE),"")</f>
        <v/>
      </c>
      <c r="CG370" s="21" t="str">
        <f ca="1">IFERROR(VLOOKUP(AZ370,OFFSET(abbreviation[],0,ColumnLanguage),ColumnAbbreviation,FALSE),"")</f>
        <v/>
      </c>
      <c r="CH370" s="21" t="str">
        <f ca="1">IFERROR(VLOOKUP(BB370,OFFSET(abbreviation[],0,ColumnLanguage),ColumnAbbreviation,FALSE),"")</f>
        <v/>
      </c>
      <c r="CI370" s="21" t="str">
        <f ca="1">IFERROR(VLOOKUP(BD370,OFFSET(abbreviation[],0,ColumnLanguage),ColumnAbbreviation,FALSE),"")</f>
        <v/>
      </c>
      <c r="CJ370" s="21" t="str">
        <f ca="1">IFERROR(VLOOKUP(BF370,OFFSET(abbreviation[],0,ColumnLanguage),ColumnAbbreviation,FALSE),"")</f>
        <v/>
      </c>
      <c r="CK370" s="21" t="str">
        <f t="shared" ca="1" si="39"/>
        <v/>
      </c>
      <c r="CL370" s="21" t="str">
        <f t="shared" si="40"/>
        <v/>
      </c>
      <c r="CM370" s="52"/>
      <c r="CN370" s="57" t="str">
        <f t="shared" si="41"/>
        <v/>
      </c>
    </row>
    <row r="371" spans="16:92" x14ac:dyDescent="0.25">
      <c r="P371" s="60"/>
      <c r="Q371" s="13"/>
      <c r="V371" s="60"/>
      <c r="X371" s="61"/>
      <c r="AB371" s="60"/>
      <c r="AN371" s="54"/>
      <c r="AS371" s="15"/>
      <c r="BH371" s="52"/>
      <c r="BI371" s="21" t="str">
        <f ca="1">IFERROR(VLOOKUP(C371,OFFSET(abbreviation[],0,ColumnLanguage),ColumnAbbreviation,FALSE),"")</f>
        <v/>
      </c>
      <c r="BJ371" s="21" t="str">
        <f ca="1">IFERROR(VLOOKUP(E371,OFFSET(abbreviation[],0,ColumnLanguage),ColumnAbbreviation,FALSE),"")</f>
        <v/>
      </c>
      <c r="BK371" s="21" t="str">
        <f ca="1">IFERROR(VLOOKUP(G371,OFFSET(abbreviation[],0,ColumnLanguage),ColumnAbbreviation,FALSE),"")</f>
        <v/>
      </c>
      <c r="BL371" s="21" t="str">
        <f ca="1">IFERROR(VLOOKUP(I371,OFFSET(abbreviation[],0,ColumnLanguage),ColumnAbbreviation,FALSE),"")</f>
        <v/>
      </c>
      <c r="BM371" s="21" t="str">
        <f ca="1">IFERROR(VLOOKUP(K371,OFFSET(abbreviation[],0,ColumnLanguage),ColumnAbbreviation,FALSE),"")</f>
        <v/>
      </c>
      <c r="BN371" s="21" t="str">
        <f t="shared" ca="1" si="35"/>
        <v/>
      </c>
      <c r="BO371" s="21" t="str">
        <f ca="1">IFERROR(VLOOKUP(N371,OFFSET(abbreviation[],0,ColumnLanguage),ColumnAbbreviation,FALSE),"")</f>
        <v/>
      </c>
      <c r="BP371" s="21" t="str">
        <f ca="1">IFERROR(VLOOKUP(P371,OFFSET(abbreviation[],0,ColumnLanguage),ColumnAbbreviation,FALSE),"")</f>
        <v/>
      </c>
      <c r="BQ371" s="21" t="str">
        <f ca="1">IFERROR(VLOOKUP(T371,OFFSET(abbreviation[],0,ColumnLanguage),ColumnAbbreviation,FALSE),"")</f>
        <v/>
      </c>
      <c r="BR371" s="21" t="str">
        <f ca="1">IFERROR(VLOOKUP(V371,OFFSET(abbreviation[],0,ColumnLanguage),ColumnAbbreviation,FALSE),"")</f>
        <v/>
      </c>
      <c r="BS371" s="21" t="str">
        <f ca="1">IFERROR(VLOOKUP(Z371,OFFSET(abbreviation[],0,ColumnLanguage),ColumnAbbreviation,FALSE),"")</f>
        <v/>
      </c>
      <c r="BT371" s="21" t="str">
        <f ca="1">IFERROR(VLOOKUP(AB371,OFFSET(abbreviation[],0,ColumnLanguage),ColumnAbbreviation,FALSE),"")</f>
        <v/>
      </c>
      <c r="BU371" s="21" t="str">
        <f t="shared" ca="1" si="36"/>
        <v>__</v>
      </c>
      <c r="BV371" s="21" t="str">
        <f ca="1">IFERROR(VLOOKUP(AF371,OFFSET(abbreviation[],0,ColumnLanguage),ColumnAbbreviation,FALSE),"")</f>
        <v/>
      </c>
      <c r="BW371" s="21" t="str">
        <f ca="1">IFERROR(VLOOKUP(AH371,OFFSET(abbreviation[],0,ColumnLanguage),ColumnAbbreviation,FALSE),"")</f>
        <v/>
      </c>
      <c r="BX371" s="21" t="str">
        <f ca="1">IFERROR(VLOOKUP(AJ371,OFFSET(abbreviation[],0,ColumnLanguage),ColumnAbbreviation,FALSE),"")</f>
        <v/>
      </c>
      <c r="BY371" s="21" t="str">
        <f ca="1">IFERROR(VLOOKUP(AL371,OFFSET(abbreviation[],0,ColumnLanguage),ColumnAbbreviation,FALSE),"")</f>
        <v/>
      </c>
      <c r="BZ371" s="21" t="str">
        <f t="shared" ca="1" si="37"/>
        <v>_</v>
      </c>
      <c r="CA371" s="21" t="str">
        <f ca="1">IFERROR(VLOOKUP(AP371,OFFSET(abbreviation[],0,ColumnLanguage),ColumnAbbreviation,FALSE),"")</f>
        <v/>
      </c>
      <c r="CB371" s="21" t="str">
        <f ca="1">IFERROR(VLOOKUP(AR371,OFFSET(abbreviation[],0,ColumnLanguage),ColumnAbbreviation,FALSE),"")</f>
        <v/>
      </c>
      <c r="CC371" s="21" t="str">
        <f ca="1">IFERROR(VLOOKUP(AT371,OFFSET(abbreviation[],0,ColumnLanguage),ColumnAbbreviation,FALSE),"")</f>
        <v/>
      </c>
      <c r="CD371" s="21" t="str">
        <f ca="1">IFERROR(VLOOKUP(AV371,OFFSET(abbreviation[],0,ColumnLanguage),ColumnAbbreviation,FALSE),"")</f>
        <v/>
      </c>
      <c r="CE371" s="21" t="str">
        <f t="shared" ca="1" si="38"/>
        <v>__</v>
      </c>
      <c r="CF371" s="21" t="str">
        <f ca="1">IFERROR(VLOOKUP(AX371,OFFSET(abbreviation[],0,ColumnLanguage),ColumnAbbreviation,FALSE),"")</f>
        <v/>
      </c>
      <c r="CG371" s="21" t="str">
        <f ca="1">IFERROR(VLOOKUP(AZ371,OFFSET(abbreviation[],0,ColumnLanguage),ColumnAbbreviation,FALSE),"")</f>
        <v/>
      </c>
      <c r="CH371" s="21" t="str">
        <f ca="1">IFERROR(VLOOKUP(BB371,OFFSET(abbreviation[],0,ColumnLanguage),ColumnAbbreviation,FALSE),"")</f>
        <v/>
      </c>
      <c r="CI371" s="21" t="str">
        <f ca="1">IFERROR(VLOOKUP(BD371,OFFSET(abbreviation[],0,ColumnLanguage),ColumnAbbreviation,FALSE),"")</f>
        <v/>
      </c>
      <c r="CJ371" s="21" t="str">
        <f ca="1">IFERROR(VLOOKUP(BF371,OFFSET(abbreviation[],0,ColumnLanguage),ColumnAbbreviation,FALSE),"")</f>
        <v/>
      </c>
      <c r="CK371" s="21" t="str">
        <f t="shared" ca="1" si="39"/>
        <v/>
      </c>
      <c r="CL371" s="21" t="str">
        <f t="shared" si="40"/>
        <v/>
      </c>
      <c r="CM371" s="52"/>
      <c r="CN371" s="57" t="str">
        <f t="shared" si="41"/>
        <v/>
      </c>
    </row>
    <row r="372" spans="16:92" x14ac:dyDescent="0.25">
      <c r="P372" s="60"/>
      <c r="Q372" s="13"/>
      <c r="V372" s="60"/>
      <c r="X372" s="61"/>
      <c r="AB372" s="60"/>
      <c r="AN372" s="54"/>
      <c r="AS372" s="15"/>
      <c r="BH372" s="52"/>
      <c r="BI372" s="21" t="str">
        <f ca="1">IFERROR(VLOOKUP(C372,OFFSET(abbreviation[],0,ColumnLanguage),ColumnAbbreviation,FALSE),"")</f>
        <v/>
      </c>
      <c r="BJ372" s="21" t="str">
        <f ca="1">IFERROR(VLOOKUP(E372,OFFSET(abbreviation[],0,ColumnLanguage),ColumnAbbreviation,FALSE),"")</f>
        <v/>
      </c>
      <c r="BK372" s="21" t="str">
        <f ca="1">IFERROR(VLOOKUP(G372,OFFSET(abbreviation[],0,ColumnLanguage),ColumnAbbreviation,FALSE),"")</f>
        <v/>
      </c>
      <c r="BL372" s="21" t="str">
        <f ca="1">IFERROR(VLOOKUP(I372,OFFSET(abbreviation[],0,ColumnLanguage),ColumnAbbreviation,FALSE),"")</f>
        <v/>
      </c>
      <c r="BM372" s="21" t="str">
        <f ca="1">IFERROR(VLOOKUP(K372,OFFSET(abbreviation[],0,ColumnLanguage),ColumnAbbreviation,FALSE),"")</f>
        <v/>
      </c>
      <c r="BN372" s="21" t="str">
        <f t="shared" ca="1" si="35"/>
        <v/>
      </c>
      <c r="BO372" s="21" t="str">
        <f ca="1">IFERROR(VLOOKUP(N372,OFFSET(abbreviation[],0,ColumnLanguage),ColumnAbbreviation,FALSE),"")</f>
        <v/>
      </c>
      <c r="BP372" s="21" t="str">
        <f ca="1">IFERROR(VLOOKUP(P372,OFFSET(abbreviation[],0,ColumnLanguage),ColumnAbbreviation,FALSE),"")</f>
        <v/>
      </c>
      <c r="BQ372" s="21" t="str">
        <f ca="1">IFERROR(VLOOKUP(T372,OFFSET(abbreviation[],0,ColumnLanguage),ColumnAbbreviation,FALSE),"")</f>
        <v/>
      </c>
      <c r="BR372" s="21" t="str">
        <f ca="1">IFERROR(VLOOKUP(V372,OFFSET(abbreviation[],0,ColumnLanguage),ColumnAbbreviation,FALSE),"")</f>
        <v/>
      </c>
      <c r="BS372" s="21" t="str">
        <f ca="1">IFERROR(VLOOKUP(Z372,OFFSET(abbreviation[],0,ColumnLanguage),ColumnAbbreviation,FALSE),"")</f>
        <v/>
      </c>
      <c r="BT372" s="21" t="str">
        <f ca="1">IFERROR(VLOOKUP(AB372,OFFSET(abbreviation[],0,ColumnLanguage),ColumnAbbreviation,FALSE),"")</f>
        <v/>
      </c>
      <c r="BU372" s="21" t="str">
        <f t="shared" ca="1" si="36"/>
        <v>__</v>
      </c>
      <c r="BV372" s="21" t="str">
        <f ca="1">IFERROR(VLOOKUP(AF372,OFFSET(abbreviation[],0,ColumnLanguage),ColumnAbbreviation,FALSE),"")</f>
        <v/>
      </c>
      <c r="BW372" s="21" t="str">
        <f ca="1">IFERROR(VLOOKUP(AH372,OFFSET(abbreviation[],0,ColumnLanguage),ColumnAbbreviation,FALSE),"")</f>
        <v/>
      </c>
      <c r="BX372" s="21" t="str">
        <f ca="1">IFERROR(VLOOKUP(AJ372,OFFSET(abbreviation[],0,ColumnLanguage),ColumnAbbreviation,FALSE),"")</f>
        <v/>
      </c>
      <c r="BY372" s="21" t="str">
        <f ca="1">IFERROR(VLOOKUP(AL372,OFFSET(abbreviation[],0,ColumnLanguage),ColumnAbbreviation,FALSE),"")</f>
        <v/>
      </c>
      <c r="BZ372" s="21" t="str">
        <f t="shared" ca="1" si="37"/>
        <v>_</v>
      </c>
      <c r="CA372" s="21" t="str">
        <f ca="1">IFERROR(VLOOKUP(AP372,OFFSET(abbreviation[],0,ColumnLanguage),ColumnAbbreviation,FALSE),"")</f>
        <v/>
      </c>
      <c r="CB372" s="21" t="str">
        <f ca="1">IFERROR(VLOOKUP(AR372,OFFSET(abbreviation[],0,ColumnLanguage),ColumnAbbreviation,FALSE),"")</f>
        <v/>
      </c>
      <c r="CC372" s="21" t="str">
        <f ca="1">IFERROR(VLOOKUP(AT372,OFFSET(abbreviation[],0,ColumnLanguage),ColumnAbbreviation,FALSE),"")</f>
        <v/>
      </c>
      <c r="CD372" s="21" t="str">
        <f ca="1">IFERROR(VLOOKUP(AV372,OFFSET(abbreviation[],0,ColumnLanguage),ColumnAbbreviation,FALSE),"")</f>
        <v/>
      </c>
      <c r="CE372" s="21" t="str">
        <f t="shared" ca="1" si="38"/>
        <v>__</v>
      </c>
      <c r="CF372" s="21" t="str">
        <f ca="1">IFERROR(VLOOKUP(AX372,OFFSET(abbreviation[],0,ColumnLanguage),ColumnAbbreviation,FALSE),"")</f>
        <v/>
      </c>
      <c r="CG372" s="21" t="str">
        <f ca="1">IFERROR(VLOOKUP(AZ372,OFFSET(abbreviation[],0,ColumnLanguage),ColumnAbbreviation,FALSE),"")</f>
        <v/>
      </c>
      <c r="CH372" s="21" t="str">
        <f ca="1">IFERROR(VLOOKUP(BB372,OFFSET(abbreviation[],0,ColumnLanguage),ColumnAbbreviation,FALSE),"")</f>
        <v/>
      </c>
      <c r="CI372" s="21" t="str">
        <f ca="1">IFERROR(VLOOKUP(BD372,OFFSET(abbreviation[],0,ColumnLanguage),ColumnAbbreviation,FALSE),"")</f>
        <v/>
      </c>
      <c r="CJ372" s="21" t="str">
        <f ca="1">IFERROR(VLOOKUP(BF372,OFFSET(abbreviation[],0,ColumnLanguage),ColumnAbbreviation,FALSE),"")</f>
        <v/>
      </c>
      <c r="CK372" s="21" t="str">
        <f t="shared" ca="1" si="39"/>
        <v/>
      </c>
      <c r="CL372" s="21" t="str">
        <f t="shared" si="40"/>
        <v/>
      </c>
      <c r="CM372" s="52"/>
      <c r="CN372" s="57" t="str">
        <f t="shared" si="41"/>
        <v/>
      </c>
    </row>
    <row r="373" spans="16:92" x14ac:dyDescent="0.25">
      <c r="P373" s="60"/>
      <c r="Q373" s="13"/>
      <c r="V373" s="60"/>
      <c r="X373" s="61"/>
      <c r="AB373" s="60"/>
      <c r="AN373" s="54"/>
      <c r="AS373" s="15"/>
      <c r="BH373" s="52"/>
      <c r="BI373" s="21" t="str">
        <f ca="1">IFERROR(VLOOKUP(C373,OFFSET(abbreviation[],0,ColumnLanguage),ColumnAbbreviation,FALSE),"")</f>
        <v/>
      </c>
      <c r="BJ373" s="21" t="str">
        <f ca="1">IFERROR(VLOOKUP(E373,OFFSET(abbreviation[],0,ColumnLanguage),ColumnAbbreviation,FALSE),"")</f>
        <v/>
      </c>
      <c r="BK373" s="21" t="str">
        <f ca="1">IFERROR(VLOOKUP(G373,OFFSET(abbreviation[],0,ColumnLanguage),ColumnAbbreviation,FALSE),"")</f>
        <v/>
      </c>
      <c r="BL373" s="21" t="str">
        <f ca="1">IFERROR(VLOOKUP(I373,OFFSET(abbreviation[],0,ColumnLanguage),ColumnAbbreviation,FALSE),"")</f>
        <v/>
      </c>
      <c r="BM373" s="21" t="str">
        <f ca="1">IFERROR(VLOOKUP(K373,OFFSET(abbreviation[],0,ColumnLanguage),ColumnAbbreviation,FALSE),"")</f>
        <v/>
      </c>
      <c r="BN373" s="21" t="str">
        <f t="shared" ca="1" si="35"/>
        <v/>
      </c>
      <c r="BO373" s="21" t="str">
        <f ca="1">IFERROR(VLOOKUP(N373,OFFSET(abbreviation[],0,ColumnLanguage),ColumnAbbreviation,FALSE),"")</f>
        <v/>
      </c>
      <c r="BP373" s="21" t="str">
        <f ca="1">IFERROR(VLOOKUP(P373,OFFSET(abbreviation[],0,ColumnLanguage),ColumnAbbreviation,FALSE),"")</f>
        <v/>
      </c>
      <c r="BQ373" s="21" t="str">
        <f ca="1">IFERROR(VLOOKUP(T373,OFFSET(abbreviation[],0,ColumnLanguage),ColumnAbbreviation,FALSE),"")</f>
        <v/>
      </c>
      <c r="BR373" s="21" t="str">
        <f ca="1">IFERROR(VLOOKUP(V373,OFFSET(abbreviation[],0,ColumnLanguage),ColumnAbbreviation,FALSE),"")</f>
        <v/>
      </c>
      <c r="BS373" s="21" t="str">
        <f ca="1">IFERROR(VLOOKUP(Z373,OFFSET(abbreviation[],0,ColumnLanguage),ColumnAbbreviation,FALSE),"")</f>
        <v/>
      </c>
      <c r="BT373" s="21" t="str">
        <f ca="1">IFERROR(VLOOKUP(AB373,OFFSET(abbreviation[],0,ColumnLanguage),ColumnAbbreviation,FALSE),"")</f>
        <v/>
      </c>
      <c r="BU373" s="21" t="str">
        <f t="shared" ca="1" si="36"/>
        <v>__</v>
      </c>
      <c r="BV373" s="21" t="str">
        <f ca="1">IFERROR(VLOOKUP(AF373,OFFSET(abbreviation[],0,ColumnLanguage),ColumnAbbreviation,FALSE),"")</f>
        <v/>
      </c>
      <c r="BW373" s="21" t="str">
        <f ca="1">IFERROR(VLOOKUP(AH373,OFFSET(abbreviation[],0,ColumnLanguage),ColumnAbbreviation,FALSE),"")</f>
        <v/>
      </c>
      <c r="BX373" s="21" t="str">
        <f ca="1">IFERROR(VLOOKUP(AJ373,OFFSET(abbreviation[],0,ColumnLanguage),ColumnAbbreviation,FALSE),"")</f>
        <v/>
      </c>
      <c r="BY373" s="21" t="str">
        <f ca="1">IFERROR(VLOOKUP(AL373,OFFSET(abbreviation[],0,ColumnLanguage),ColumnAbbreviation,FALSE),"")</f>
        <v/>
      </c>
      <c r="BZ373" s="21" t="str">
        <f t="shared" ca="1" si="37"/>
        <v>_</v>
      </c>
      <c r="CA373" s="21" t="str">
        <f ca="1">IFERROR(VLOOKUP(AP373,OFFSET(abbreviation[],0,ColumnLanguage),ColumnAbbreviation,FALSE),"")</f>
        <v/>
      </c>
      <c r="CB373" s="21" t="str">
        <f ca="1">IFERROR(VLOOKUP(AR373,OFFSET(abbreviation[],0,ColumnLanguage),ColumnAbbreviation,FALSE),"")</f>
        <v/>
      </c>
      <c r="CC373" s="21" t="str">
        <f ca="1">IFERROR(VLOOKUP(AT373,OFFSET(abbreviation[],0,ColumnLanguage),ColumnAbbreviation,FALSE),"")</f>
        <v/>
      </c>
      <c r="CD373" s="21" t="str">
        <f ca="1">IFERROR(VLOOKUP(AV373,OFFSET(abbreviation[],0,ColumnLanguage),ColumnAbbreviation,FALSE),"")</f>
        <v/>
      </c>
      <c r="CE373" s="21" t="str">
        <f t="shared" ca="1" si="38"/>
        <v>__</v>
      </c>
      <c r="CF373" s="21" t="str">
        <f ca="1">IFERROR(VLOOKUP(AX373,OFFSET(abbreviation[],0,ColumnLanguage),ColumnAbbreviation,FALSE),"")</f>
        <v/>
      </c>
      <c r="CG373" s="21" t="str">
        <f ca="1">IFERROR(VLOOKUP(AZ373,OFFSET(abbreviation[],0,ColumnLanguage),ColumnAbbreviation,FALSE),"")</f>
        <v/>
      </c>
      <c r="CH373" s="21" t="str">
        <f ca="1">IFERROR(VLOOKUP(BB373,OFFSET(abbreviation[],0,ColumnLanguage),ColumnAbbreviation,FALSE),"")</f>
        <v/>
      </c>
      <c r="CI373" s="21" t="str">
        <f ca="1">IFERROR(VLOOKUP(BD373,OFFSET(abbreviation[],0,ColumnLanguage),ColumnAbbreviation,FALSE),"")</f>
        <v/>
      </c>
      <c r="CJ373" s="21" t="str">
        <f ca="1">IFERROR(VLOOKUP(BF373,OFFSET(abbreviation[],0,ColumnLanguage),ColumnAbbreviation,FALSE),"")</f>
        <v/>
      </c>
      <c r="CK373" s="21" t="str">
        <f t="shared" ca="1" si="39"/>
        <v/>
      </c>
      <c r="CL373" s="21" t="str">
        <f t="shared" si="40"/>
        <v/>
      </c>
      <c r="CM373" s="52"/>
      <c r="CN373" s="57" t="str">
        <f t="shared" si="41"/>
        <v/>
      </c>
    </row>
    <row r="374" spans="16:92" x14ac:dyDescent="0.25">
      <c r="P374" s="60"/>
      <c r="Q374" s="13"/>
      <c r="V374" s="60"/>
      <c r="X374" s="61"/>
      <c r="AB374" s="60"/>
      <c r="AN374" s="54"/>
      <c r="AS374" s="15"/>
      <c r="BH374" s="52"/>
      <c r="BI374" s="21" t="str">
        <f ca="1">IFERROR(VLOOKUP(C374,OFFSET(abbreviation[],0,ColumnLanguage),ColumnAbbreviation,FALSE),"")</f>
        <v/>
      </c>
      <c r="BJ374" s="21" t="str">
        <f ca="1">IFERROR(VLOOKUP(E374,OFFSET(abbreviation[],0,ColumnLanguage),ColumnAbbreviation,FALSE),"")</f>
        <v/>
      </c>
      <c r="BK374" s="21" t="str">
        <f ca="1">IFERROR(VLOOKUP(G374,OFFSET(abbreviation[],0,ColumnLanguage),ColumnAbbreviation,FALSE),"")</f>
        <v/>
      </c>
      <c r="BL374" s="21" t="str">
        <f ca="1">IFERROR(VLOOKUP(I374,OFFSET(abbreviation[],0,ColumnLanguage),ColumnAbbreviation,FALSE),"")</f>
        <v/>
      </c>
      <c r="BM374" s="21" t="str">
        <f ca="1">IFERROR(VLOOKUP(K374,OFFSET(abbreviation[],0,ColumnLanguage),ColumnAbbreviation,FALSE),"")</f>
        <v/>
      </c>
      <c r="BN374" s="21" t="str">
        <f t="shared" ca="1" si="35"/>
        <v/>
      </c>
      <c r="BO374" s="21" t="str">
        <f ca="1">IFERROR(VLOOKUP(N374,OFFSET(abbreviation[],0,ColumnLanguage),ColumnAbbreviation,FALSE),"")</f>
        <v/>
      </c>
      <c r="BP374" s="21" t="str">
        <f ca="1">IFERROR(VLOOKUP(P374,OFFSET(abbreviation[],0,ColumnLanguage),ColumnAbbreviation,FALSE),"")</f>
        <v/>
      </c>
      <c r="BQ374" s="21" t="str">
        <f ca="1">IFERROR(VLOOKUP(T374,OFFSET(abbreviation[],0,ColumnLanguage),ColumnAbbreviation,FALSE),"")</f>
        <v/>
      </c>
      <c r="BR374" s="21" t="str">
        <f ca="1">IFERROR(VLOOKUP(V374,OFFSET(abbreviation[],0,ColumnLanguage),ColumnAbbreviation,FALSE),"")</f>
        <v/>
      </c>
      <c r="BS374" s="21" t="str">
        <f ca="1">IFERROR(VLOOKUP(Z374,OFFSET(abbreviation[],0,ColumnLanguage),ColumnAbbreviation,FALSE),"")</f>
        <v/>
      </c>
      <c r="BT374" s="21" t="str">
        <f ca="1">IFERROR(VLOOKUP(AB374,OFFSET(abbreviation[],0,ColumnLanguage),ColumnAbbreviation,FALSE),"")</f>
        <v/>
      </c>
      <c r="BU374" s="21" t="str">
        <f t="shared" ca="1" si="36"/>
        <v>__</v>
      </c>
      <c r="BV374" s="21" t="str">
        <f ca="1">IFERROR(VLOOKUP(AF374,OFFSET(abbreviation[],0,ColumnLanguage),ColumnAbbreviation,FALSE),"")</f>
        <v/>
      </c>
      <c r="BW374" s="21" t="str">
        <f ca="1">IFERROR(VLOOKUP(AH374,OFFSET(abbreviation[],0,ColumnLanguage),ColumnAbbreviation,FALSE),"")</f>
        <v/>
      </c>
      <c r="BX374" s="21" t="str">
        <f ca="1">IFERROR(VLOOKUP(AJ374,OFFSET(abbreviation[],0,ColumnLanguage),ColumnAbbreviation,FALSE),"")</f>
        <v/>
      </c>
      <c r="BY374" s="21" t="str">
        <f ca="1">IFERROR(VLOOKUP(AL374,OFFSET(abbreviation[],0,ColumnLanguage),ColumnAbbreviation,FALSE),"")</f>
        <v/>
      </c>
      <c r="BZ374" s="21" t="str">
        <f t="shared" ca="1" si="37"/>
        <v>_</v>
      </c>
      <c r="CA374" s="21" t="str">
        <f ca="1">IFERROR(VLOOKUP(AP374,OFFSET(abbreviation[],0,ColumnLanguage),ColumnAbbreviation,FALSE),"")</f>
        <v/>
      </c>
      <c r="CB374" s="21" t="str">
        <f ca="1">IFERROR(VLOOKUP(AR374,OFFSET(abbreviation[],0,ColumnLanguage),ColumnAbbreviation,FALSE),"")</f>
        <v/>
      </c>
      <c r="CC374" s="21" t="str">
        <f ca="1">IFERROR(VLOOKUP(AT374,OFFSET(abbreviation[],0,ColumnLanguage),ColumnAbbreviation,FALSE),"")</f>
        <v/>
      </c>
      <c r="CD374" s="21" t="str">
        <f ca="1">IFERROR(VLOOKUP(AV374,OFFSET(abbreviation[],0,ColumnLanguage),ColumnAbbreviation,FALSE),"")</f>
        <v/>
      </c>
      <c r="CE374" s="21" t="str">
        <f t="shared" ca="1" si="38"/>
        <v>__</v>
      </c>
      <c r="CF374" s="21" t="str">
        <f ca="1">IFERROR(VLOOKUP(AX374,OFFSET(abbreviation[],0,ColumnLanguage),ColumnAbbreviation,FALSE),"")</f>
        <v/>
      </c>
      <c r="CG374" s="21" t="str">
        <f ca="1">IFERROR(VLOOKUP(AZ374,OFFSET(abbreviation[],0,ColumnLanguage),ColumnAbbreviation,FALSE),"")</f>
        <v/>
      </c>
      <c r="CH374" s="21" t="str">
        <f ca="1">IFERROR(VLOOKUP(BB374,OFFSET(abbreviation[],0,ColumnLanguage),ColumnAbbreviation,FALSE),"")</f>
        <v/>
      </c>
      <c r="CI374" s="21" t="str">
        <f ca="1">IFERROR(VLOOKUP(BD374,OFFSET(abbreviation[],0,ColumnLanguage),ColumnAbbreviation,FALSE),"")</f>
        <v/>
      </c>
      <c r="CJ374" s="21" t="str">
        <f ca="1">IFERROR(VLOOKUP(BF374,OFFSET(abbreviation[],0,ColumnLanguage),ColumnAbbreviation,FALSE),"")</f>
        <v/>
      </c>
      <c r="CK374" s="21" t="str">
        <f t="shared" ca="1" si="39"/>
        <v/>
      </c>
      <c r="CL374" s="21" t="str">
        <f t="shared" si="40"/>
        <v/>
      </c>
      <c r="CM374" s="52"/>
      <c r="CN374" s="57" t="str">
        <f t="shared" si="41"/>
        <v/>
      </c>
    </row>
    <row r="375" spans="16:92" x14ac:dyDescent="0.25">
      <c r="P375" s="60"/>
      <c r="Q375" s="13"/>
      <c r="V375" s="60"/>
      <c r="X375" s="61"/>
      <c r="AB375" s="60"/>
      <c r="AN375" s="54"/>
      <c r="AS375" s="15"/>
      <c r="BH375" s="52"/>
      <c r="BI375" s="21" t="str">
        <f ca="1">IFERROR(VLOOKUP(C375,OFFSET(abbreviation[],0,ColumnLanguage),ColumnAbbreviation,FALSE),"")</f>
        <v/>
      </c>
      <c r="BJ375" s="21" t="str">
        <f ca="1">IFERROR(VLOOKUP(E375,OFFSET(abbreviation[],0,ColumnLanguage),ColumnAbbreviation,FALSE),"")</f>
        <v/>
      </c>
      <c r="BK375" s="21" t="str">
        <f ca="1">IFERROR(VLOOKUP(G375,OFFSET(abbreviation[],0,ColumnLanguage),ColumnAbbreviation,FALSE),"")</f>
        <v/>
      </c>
      <c r="BL375" s="21" t="str">
        <f ca="1">IFERROR(VLOOKUP(I375,OFFSET(abbreviation[],0,ColumnLanguage),ColumnAbbreviation,FALSE),"")</f>
        <v/>
      </c>
      <c r="BM375" s="21" t="str">
        <f ca="1">IFERROR(VLOOKUP(K375,OFFSET(abbreviation[],0,ColumnLanguage),ColumnAbbreviation,FALSE),"")</f>
        <v/>
      </c>
      <c r="BN375" s="21" t="str">
        <f t="shared" ca="1" si="35"/>
        <v/>
      </c>
      <c r="BO375" s="21" t="str">
        <f ca="1">IFERROR(VLOOKUP(N375,OFFSET(abbreviation[],0,ColumnLanguage),ColumnAbbreviation,FALSE),"")</f>
        <v/>
      </c>
      <c r="BP375" s="21" t="str">
        <f ca="1">IFERROR(VLOOKUP(P375,OFFSET(abbreviation[],0,ColumnLanguage),ColumnAbbreviation,FALSE),"")</f>
        <v/>
      </c>
      <c r="BQ375" s="21" t="str">
        <f ca="1">IFERROR(VLOOKUP(T375,OFFSET(abbreviation[],0,ColumnLanguage),ColumnAbbreviation,FALSE),"")</f>
        <v/>
      </c>
      <c r="BR375" s="21" t="str">
        <f ca="1">IFERROR(VLOOKUP(V375,OFFSET(abbreviation[],0,ColumnLanguage),ColumnAbbreviation,FALSE),"")</f>
        <v/>
      </c>
      <c r="BS375" s="21" t="str">
        <f ca="1">IFERROR(VLOOKUP(Z375,OFFSET(abbreviation[],0,ColumnLanguage),ColumnAbbreviation,FALSE),"")</f>
        <v/>
      </c>
      <c r="BT375" s="21" t="str">
        <f ca="1">IFERROR(VLOOKUP(AB375,OFFSET(abbreviation[],0,ColumnLanguage),ColumnAbbreviation,FALSE),"")</f>
        <v/>
      </c>
      <c r="BU375" s="21" t="str">
        <f t="shared" ca="1" si="36"/>
        <v>__</v>
      </c>
      <c r="BV375" s="21" t="str">
        <f ca="1">IFERROR(VLOOKUP(AF375,OFFSET(abbreviation[],0,ColumnLanguage),ColumnAbbreviation,FALSE),"")</f>
        <v/>
      </c>
      <c r="BW375" s="21" t="str">
        <f ca="1">IFERROR(VLOOKUP(AH375,OFFSET(abbreviation[],0,ColumnLanguage),ColumnAbbreviation,FALSE),"")</f>
        <v/>
      </c>
      <c r="BX375" s="21" t="str">
        <f ca="1">IFERROR(VLOOKUP(AJ375,OFFSET(abbreviation[],0,ColumnLanguage),ColumnAbbreviation,FALSE),"")</f>
        <v/>
      </c>
      <c r="BY375" s="21" t="str">
        <f ca="1">IFERROR(VLOOKUP(AL375,OFFSET(abbreviation[],0,ColumnLanguage),ColumnAbbreviation,FALSE),"")</f>
        <v/>
      </c>
      <c r="BZ375" s="21" t="str">
        <f t="shared" ca="1" si="37"/>
        <v>_</v>
      </c>
      <c r="CA375" s="21" t="str">
        <f ca="1">IFERROR(VLOOKUP(AP375,OFFSET(abbreviation[],0,ColumnLanguage),ColumnAbbreviation,FALSE),"")</f>
        <v/>
      </c>
      <c r="CB375" s="21" t="str">
        <f ca="1">IFERROR(VLOOKUP(AR375,OFFSET(abbreviation[],0,ColumnLanguage),ColumnAbbreviation,FALSE),"")</f>
        <v/>
      </c>
      <c r="CC375" s="21" t="str">
        <f ca="1">IFERROR(VLOOKUP(AT375,OFFSET(abbreviation[],0,ColumnLanguage),ColumnAbbreviation,FALSE),"")</f>
        <v/>
      </c>
      <c r="CD375" s="21" t="str">
        <f ca="1">IFERROR(VLOOKUP(AV375,OFFSET(abbreviation[],0,ColumnLanguage),ColumnAbbreviation,FALSE),"")</f>
        <v/>
      </c>
      <c r="CE375" s="21" t="str">
        <f t="shared" ca="1" si="38"/>
        <v>__</v>
      </c>
      <c r="CF375" s="21" t="str">
        <f ca="1">IFERROR(VLOOKUP(AX375,OFFSET(abbreviation[],0,ColumnLanguage),ColumnAbbreviation,FALSE),"")</f>
        <v/>
      </c>
      <c r="CG375" s="21" t="str">
        <f ca="1">IFERROR(VLOOKUP(AZ375,OFFSET(abbreviation[],0,ColumnLanguage),ColumnAbbreviation,FALSE),"")</f>
        <v/>
      </c>
      <c r="CH375" s="21" t="str">
        <f ca="1">IFERROR(VLOOKUP(BB375,OFFSET(abbreviation[],0,ColumnLanguage),ColumnAbbreviation,FALSE),"")</f>
        <v/>
      </c>
      <c r="CI375" s="21" t="str">
        <f ca="1">IFERROR(VLOOKUP(BD375,OFFSET(abbreviation[],0,ColumnLanguage),ColumnAbbreviation,FALSE),"")</f>
        <v/>
      </c>
      <c r="CJ375" s="21" t="str">
        <f ca="1">IFERROR(VLOOKUP(BF375,OFFSET(abbreviation[],0,ColumnLanguage),ColumnAbbreviation,FALSE),"")</f>
        <v/>
      </c>
      <c r="CK375" s="21" t="str">
        <f t="shared" ca="1" si="39"/>
        <v/>
      </c>
      <c r="CL375" s="21" t="str">
        <f t="shared" si="40"/>
        <v/>
      </c>
      <c r="CM375" s="52"/>
      <c r="CN375" s="57" t="str">
        <f t="shared" si="41"/>
        <v/>
      </c>
    </row>
    <row r="376" spans="16:92" x14ac:dyDescent="0.25">
      <c r="P376" s="60"/>
      <c r="Q376" s="13"/>
      <c r="V376" s="60"/>
      <c r="X376" s="61"/>
      <c r="AB376" s="60"/>
      <c r="AN376" s="54"/>
      <c r="AS376" s="15"/>
      <c r="BH376" s="52"/>
      <c r="BI376" s="21" t="str">
        <f ca="1">IFERROR(VLOOKUP(C376,OFFSET(abbreviation[],0,ColumnLanguage),ColumnAbbreviation,FALSE),"")</f>
        <v/>
      </c>
      <c r="BJ376" s="21" t="str">
        <f ca="1">IFERROR(VLOOKUP(E376,OFFSET(abbreviation[],0,ColumnLanguage),ColumnAbbreviation,FALSE),"")</f>
        <v/>
      </c>
      <c r="BK376" s="21" t="str">
        <f ca="1">IFERROR(VLOOKUP(G376,OFFSET(abbreviation[],0,ColumnLanguage),ColumnAbbreviation,FALSE),"")</f>
        <v/>
      </c>
      <c r="BL376" s="21" t="str">
        <f ca="1">IFERROR(VLOOKUP(I376,OFFSET(abbreviation[],0,ColumnLanguage),ColumnAbbreviation,FALSE),"")</f>
        <v/>
      </c>
      <c r="BM376" s="21" t="str">
        <f ca="1">IFERROR(VLOOKUP(K376,OFFSET(abbreviation[],0,ColumnLanguage),ColumnAbbreviation,FALSE),"")</f>
        <v/>
      </c>
      <c r="BN376" s="21" t="str">
        <f t="shared" ca="1" si="35"/>
        <v/>
      </c>
      <c r="BO376" s="21" t="str">
        <f ca="1">IFERROR(VLOOKUP(N376,OFFSET(abbreviation[],0,ColumnLanguage),ColumnAbbreviation,FALSE),"")</f>
        <v/>
      </c>
      <c r="BP376" s="21" t="str">
        <f ca="1">IFERROR(VLOOKUP(P376,OFFSET(abbreviation[],0,ColumnLanguage),ColumnAbbreviation,FALSE),"")</f>
        <v/>
      </c>
      <c r="BQ376" s="21" t="str">
        <f ca="1">IFERROR(VLOOKUP(T376,OFFSET(abbreviation[],0,ColumnLanguage),ColumnAbbreviation,FALSE),"")</f>
        <v/>
      </c>
      <c r="BR376" s="21" t="str">
        <f ca="1">IFERROR(VLOOKUP(V376,OFFSET(abbreviation[],0,ColumnLanguage),ColumnAbbreviation,FALSE),"")</f>
        <v/>
      </c>
      <c r="BS376" s="21" t="str">
        <f ca="1">IFERROR(VLOOKUP(Z376,OFFSET(abbreviation[],0,ColumnLanguage),ColumnAbbreviation,FALSE),"")</f>
        <v/>
      </c>
      <c r="BT376" s="21" t="str">
        <f ca="1">IFERROR(VLOOKUP(AB376,OFFSET(abbreviation[],0,ColumnLanguage),ColumnAbbreviation,FALSE),"")</f>
        <v/>
      </c>
      <c r="BU376" s="21" t="str">
        <f t="shared" ca="1" si="36"/>
        <v>__</v>
      </c>
      <c r="BV376" s="21" t="str">
        <f ca="1">IFERROR(VLOOKUP(AF376,OFFSET(abbreviation[],0,ColumnLanguage),ColumnAbbreviation,FALSE),"")</f>
        <v/>
      </c>
      <c r="BW376" s="21" t="str">
        <f ca="1">IFERROR(VLOOKUP(AH376,OFFSET(abbreviation[],0,ColumnLanguage),ColumnAbbreviation,FALSE),"")</f>
        <v/>
      </c>
      <c r="BX376" s="21" t="str">
        <f ca="1">IFERROR(VLOOKUP(AJ376,OFFSET(abbreviation[],0,ColumnLanguage),ColumnAbbreviation,FALSE),"")</f>
        <v/>
      </c>
      <c r="BY376" s="21" t="str">
        <f ca="1">IFERROR(VLOOKUP(AL376,OFFSET(abbreviation[],0,ColumnLanguage),ColumnAbbreviation,FALSE),"")</f>
        <v/>
      </c>
      <c r="BZ376" s="21" t="str">
        <f t="shared" ca="1" si="37"/>
        <v>_</v>
      </c>
      <c r="CA376" s="21" t="str">
        <f ca="1">IFERROR(VLOOKUP(AP376,OFFSET(abbreviation[],0,ColumnLanguage),ColumnAbbreviation,FALSE),"")</f>
        <v/>
      </c>
      <c r="CB376" s="21" t="str">
        <f ca="1">IFERROR(VLOOKUP(AR376,OFFSET(abbreviation[],0,ColumnLanguage),ColumnAbbreviation,FALSE),"")</f>
        <v/>
      </c>
      <c r="CC376" s="21" t="str">
        <f ca="1">IFERROR(VLOOKUP(AT376,OFFSET(abbreviation[],0,ColumnLanguage),ColumnAbbreviation,FALSE),"")</f>
        <v/>
      </c>
      <c r="CD376" s="21" t="str">
        <f ca="1">IFERROR(VLOOKUP(AV376,OFFSET(abbreviation[],0,ColumnLanguage),ColumnAbbreviation,FALSE),"")</f>
        <v/>
      </c>
      <c r="CE376" s="21" t="str">
        <f t="shared" ca="1" si="38"/>
        <v>__</v>
      </c>
      <c r="CF376" s="21" t="str">
        <f ca="1">IFERROR(VLOOKUP(AX376,OFFSET(abbreviation[],0,ColumnLanguage),ColumnAbbreviation,FALSE),"")</f>
        <v/>
      </c>
      <c r="CG376" s="21" t="str">
        <f ca="1">IFERROR(VLOOKUP(AZ376,OFFSET(abbreviation[],0,ColumnLanguage),ColumnAbbreviation,FALSE),"")</f>
        <v/>
      </c>
      <c r="CH376" s="21" t="str">
        <f ca="1">IFERROR(VLOOKUP(BB376,OFFSET(abbreviation[],0,ColumnLanguage),ColumnAbbreviation,FALSE),"")</f>
        <v/>
      </c>
      <c r="CI376" s="21" t="str">
        <f ca="1">IFERROR(VLOOKUP(BD376,OFFSET(abbreviation[],0,ColumnLanguage),ColumnAbbreviation,FALSE),"")</f>
        <v/>
      </c>
      <c r="CJ376" s="21" t="str">
        <f ca="1">IFERROR(VLOOKUP(BF376,OFFSET(abbreviation[],0,ColumnLanguage),ColumnAbbreviation,FALSE),"")</f>
        <v/>
      </c>
      <c r="CK376" s="21" t="str">
        <f t="shared" ca="1" si="39"/>
        <v/>
      </c>
      <c r="CL376" s="21" t="str">
        <f t="shared" si="40"/>
        <v/>
      </c>
      <c r="CM376" s="52"/>
      <c r="CN376" s="57" t="str">
        <f t="shared" si="41"/>
        <v/>
      </c>
    </row>
    <row r="377" spans="16:92" x14ac:dyDescent="0.25">
      <c r="P377" s="60"/>
      <c r="Q377" s="13"/>
      <c r="V377" s="60"/>
      <c r="X377" s="61"/>
      <c r="AB377" s="60"/>
      <c r="AN377" s="54"/>
      <c r="AS377" s="15"/>
      <c r="BH377" s="52"/>
      <c r="BI377" s="21" t="str">
        <f ca="1">IFERROR(VLOOKUP(C377,OFFSET(abbreviation[],0,ColumnLanguage),ColumnAbbreviation,FALSE),"")</f>
        <v/>
      </c>
      <c r="BJ377" s="21" t="str">
        <f ca="1">IFERROR(VLOOKUP(E377,OFFSET(abbreviation[],0,ColumnLanguage),ColumnAbbreviation,FALSE),"")</f>
        <v/>
      </c>
      <c r="BK377" s="21" t="str">
        <f ca="1">IFERROR(VLOOKUP(G377,OFFSET(abbreviation[],0,ColumnLanguage),ColumnAbbreviation,FALSE),"")</f>
        <v/>
      </c>
      <c r="BL377" s="21" t="str">
        <f ca="1">IFERROR(VLOOKUP(I377,OFFSET(abbreviation[],0,ColumnLanguage),ColumnAbbreviation,FALSE),"")</f>
        <v/>
      </c>
      <c r="BM377" s="21" t="str">
        <f ca="1">IFERROR(VLOOKUP(K377,OFFSET(abbreviation[],0,ColumnLanguage),ColumnAbbreviation,FALSE),"")</f>
        <v/>
      </c>
      <c r="BN377" s="21" t="str">
        <f t="shared" ca="1" si="35"/>
        <v/>
      </c>
      <c r="BO377" s="21" t="str">
        <f ca="1">IFERROR(VLOOKUP(N377,OFFSET(abbreviation[],0,ColumnLanguage),ColumnAbbreviation,FALSE),"")</f>
        <v/>
      </c>
      <c r="BP377" s="21" t="str">
        <f ca="1">IFERROR(VLOOKUP(P377,OFFSET(abbreviation[],0,ColumnLanguage),ColumnAbbreviation,FALSE),"")</f>
        <v/>
      </c>
      <c r="BQ377" s="21" t="str">
        <f ca="1">IFERROR(VLOOKUP(T377,OFFSET(abbreviation[],0,ColumnLanguage),ColumnAbbreviation,FALSE),"")</f>
        <v/>
      </c>
      <c r="BR377" s="21" t="str">
        <f ca="1">IFERROR(VLOOKUP(V377,OFFSET(abbreviation[],0,ColumnLanguage),ColumnAbbreviation,FALSE),"")</f>
        <v/>
      </c>
      <c r="BS377" s="21" t="str">
        <f ca="1">IFERROR(VLOOKUP(Z377,OFFSET(abbreviation[],0,ColumnLanguage),ColumnAbbreviation,FALSE),"")</f>
        <v/>
      </c>
      <c r="BT377" s="21" t="str">
        <f ca="1">IFERROR(VLOOKUP(AB377,OFFSET(abbreviation[],0,ColumnLanguage),ColumnAbbreviation,FALSE),"")</f>
        <v/>
      </c>
      <c r="BU377" s="21" t="str">
        <f t="shared" ca="1" si="36"/>
        <v>__</v>
      </c>
      <c r="BV377" s="21" t="str">
        <f ca="1">IFERROR(VLOOKUP(AF377,OFFSET(abbreviation[],0,ColumnLanguage),ColumnAbbreviation,FALSE),"")</f>
        <v/>
      </c>
      <c r="BW377" s="21" t="str">
        <f ca="1">IFERROR(VLOOKUP(AH377,OFFSET(abbreviation[],0,ColumnLanguage),ColumnAbbreviation,FALSE),"")</f>
        <v/>
      </c>
      <c r="BX377" s="21" t="str">
        <f ca="1">IFERROR(VLOOKUP(AJ377,OFFSET(abbreviation[],0,ColumnLanguage),ColumnAbbreviation,FALSE),"")</f>
        <v/>
      </c>
      <c r="BY377" s="21" t="str">
        <f ca="1">IFERROR(VLOOKUP(AL377,OFFSET(abbreviation[],0,ColumnLanguage),ColumnAbbreviation,FALSE),"")</f>
        <v/>
      </c>
      <c r="BZ377" s="21" t="str">
        <f t="shared" ca="1" si="37"/>
        <v>_</v>
      </c>
      <c r="CA377" s="21" t="str">
        <f ca="1">IFERROR(VLOOKUP(AP377,OFFSET(abbreviation[],0,ColumnLanguage),ColumnAbbreviation,FALSE),"")</f>
        <v/>
      </c>
      <c r="CB377" s="21" t="str">
        <f ca="1">IFERROR(VLOOKUP(AR377,OFFSET(abbreviation[],0,ColumnLanguage),ColumnAbbreviation,FALSE),"")</f>
        <v/>
      </c>
      <c r="CC377" s="21" t="str">
        <f ca="1">IFERROR(VLOOKUP(AT377,OFFSET(abbreviation[],0,ColumnLanguage),ColumnAbbreviation,FALSE),"")</f>
        <v/>
      </c>
      <c r="CD377" s="21" t="str">
        <f ca="1">IFERROR(VLOOKUP(AV377,OFFSET(abbreviation[],0,ColumnLanguage),ColumnAbbreviation,FALSE),"")</f>
        <v/>
      </c>
      <c r="CE377" s="21" t="str">
        <f t="shared" ca="1" si="38"/>
        <v>__</v>
      </c>
      <c r="CF377" s="21" t="str">
        <f ca="1">IFERROR(VLOOKUP(AX377,OFFSET(abbreviation[],0,ColumnLanguage),ColumnAbbreviation,FALSE),"")</f>
        <v/>
      </c>
      <c r="CG377" s="21" t="str">
        <f ca="1">IFERROR(VLOOKUP(AZ377,OFFSET(abbreviation[],0,ColumnLanguage),ColumnAbbreviation,FALSE),"")</f>
        <v/>
      </c>
      <c r="CH377" s="21" t="str">
        <f ca="1">IFERROR(VLOOKUP(BB377,OFFSET(abbreviation[],0,ColumnLanguage),ColumnAbbreviation,FALSE),"")</f>
        <v/>
      </c>
      <c r="CI377" s="21" t="str">
        <f ca="1">IFERROR(VLOOKUP(BD377,OFFSET(abbreviation[],0,ColumnLanguage),ColumnAbbreviation,FALSE),"")</f>
        <v/>
      </c>
      <c r="CJ377" s="21" t="str">
        <f ca="1">IFERROR(VLOOKUP(BF377,OFFSET(abbreviation[],0,ColumnLanguage),ColumnAbbreviation,FALSE),"")</f>
        <v/>
      </c>
      <c r="CK377" s="21" t="str">
        <f t="shared" ca="1" si="39"/>
        <v/>
      </c>
      <c r="CL377" s="21" t="str">
        <f t="shared" si="40"/>
        <v/>
      </c>
      <c r="CM377" s="52"/>
      <c r="CN377" s="57" t="str">
        <f t="shared" si="41"/>
        <v/>
      </c>
    </row>
    <row r="378" spans="16:92" x14ac:dyDescent="0.25">
      <c r="P378" s="60"/>
      <c r="Q378" s="13"/>
      <c r="V378" s="60"/>
      <c r="X378" s="61"/>
      <c r="AB378" s="60"/>
      <c r="AN378" s="54"/>
      <c r="AS378" s="15"/>
      <c r="BH378" s="52"/>
      <c r="BI378" s="21" t="str">
        <f ca="1">IFERROR(VLOOKUP(C378,OFFSET(abbreviation[],0,ColumnLanguage),ColumnAbbreviation,FALSE),"")</f>
        <v/>
      </c>
      <c r="BJ378" s="21" t="str">
        <f ca="1">IFERROR(VLOOKUP(E378,OFFSET(abbreviation[],0,ColumnLanguage),ColumnAbbreviation,FALSE),"")</f>
        <v/>
      </c>
      <c r="BK378" s="21" t="str">
        <f ca="1">IFERROR(VLOOKUP(G378,OFFSET(abbreviation[],0,ColumnLanguage),ColumnAbbreviation,FALSE),"")</f>
        <v/>
      </c>
      <c r="BL378" s="21" t="str">
        <f ca="1">IFERROR(VLOOKUP(I378,OFFSET(abbreviation[],0,ColumnLanguage),ColumnAbbreviation,FALSE),"")</f>
        <v/>
      </c>
      <c r="BM378" s="21" t="str">
        <f ca="1">IFERROR(VLOOKUP(K378,OFFSET(abbreviation[],0,ColumnLanguage),ColumnAbbreviation,FALSE),"")</f>
        <v/>
      </c>
      <c r="BN378" s="21" t="str">
        <f t="shared" ca="1" si="35"/>
        <v/>
      </c>
      <c r="BO378" s="21" t="str">
        <f ca="1">IFERROR(VLOOKUP(N378,OFFSET(abbreviation[],0,ColumnLanguage),ColumnAbbreviation,FALSE),"")</f>
        <v/>
      </c>
      <c r="BP378" s="21" t="str">
        <f ca="1">IFERROR(VLOOKUP(P378,OFFSET(abbreviation[],0,ColumnLanguage),ColumnAbbreviation,FALSE),"")</f>
        <v/>
      </c>
      <c r="BQ378" s="21" t="str">
        <f ca="1">IFERROR(VLOOKUP(T378,OFFSET(abbreviation[],0,ColumnLanguage),ColumnAbbreviation,FALSE),"")</f>
        <v/>
      </c>
      <c r="BR378" s="21" t="str">
        <f ca="1">IFERROR(VLOOKUP(V378,OFFSET(abbreviation[],0,ColumnLanguage),ColumnAbbreviation,FALSE),"")</f>
        <v/>
      </c>
      <c r="BS378" s="21" t="str">
        <f ca="1">IFERROR(VLOOKUP(Z378,OFFSET(abbreviation[],0,ColumnLanguage),ColumnAbbreviation,FALSE),"")</f>
        <v/>
      </c>
      <c r="BT378" s="21" t="str">
        <f ca="1">IFERROR(VLOOKUP(AB378,OFFSET(abbreviation[],0,ColumnLanguage),ColumnAbbreviation,FALSE),"")</f>
        <v/>
      </c>
      <c r="BU378" s="21" t="str">
        <f t="shared" ca="1" si="36"/>
        <v>__</v>
      </c>
      <c r="BV378" s="21" t="str">
        <f ca="1">IFERROR(VLOOKUP(AF378,OFFSET(abbreviation[],0,ColumnLanguage),ColumnAbbreviation,FALSE),"")</f>
        <v/>
      </c>
      <c r="BW378" s="21" t="str">
        <f ca="1">IFERROR(VLOOKUP(AH378,OFFSET(abbreviation[],0,ColumnLanguage),ColumnAbbreviation,FALSE),"")</f>
        <v/>
      </c>
      <c r="BX378" s="21" t="str">
        <f ca="1">IFERROR(VLOOKUP(AJ378,OFFSET(abbreviation[],0,ColumnLanguage),ColumnAbbreviation,FALSE),"")</f>
        <v/>
      </c>
      <c r="BY378" s="21" t="str">
        <f ca="1">IFERROR(VLOOKUP(AL378,OFFSET(abbreviation[],0,ColumnLanguage),ColumnAbbreviation,FALSE),"")</f>
        <v/>
      </c>
      <c r="BZ378" s="21" t="str">
        <f t="shared" ca="1" si="37"/>
        <v>_</v>
      </c>
      <c r="CA378" s="21" t="str">
        <f ca="1">IFERROR(VLOOKUP(AP378,OFFSET(abbreviation[],0,ColumnLanguage),ColumnAbbreviation,FALSE),"")</f>
        <v/>
      </c>
      <c r="CB378" s="21" t="str">
        <f ca="1">IFERROR(VLOOKUP(AR378,OFFSET(abbreviation[],0,ColumnLanguage),ColumnAbbreviation,FALSE),"")</f>
        <v/>
      </c>
      <c r="CC378" s="21" t="str">
        <f ca="1">IFERROR(VLOOKUP(AT378,OFFSET(abbreviation[],0,ColumnLanguage),ColumnAbbreviation,FALSE),"")</f>
        <v/>
      </c>
      <c r="CD378" s="21" t="str">
        <f ca="1">IFERROR(VLOOKUP(AV378,OFFSET(abbreviation[],0,ColumnLanguage),ColumnAbbreviation,FALSE),"")</f>
        <v/>
      </c>
      <c r="CE378" s="21" t="str">
        <f t="shared" ca="1" si="38"/>
        <v>__</v>
      </c>
      <c r="CF378" s="21" t="str">
        <f ca="1">IFERROR(VLOOKUP(AX378,OFFSET(abbreviation[],0,ColumnLanguage),ColumnAbbreviation,FALSE),"")</f>
        <v/>
      </c>
      <c r="CG378" s="21" t="str">
        <f ca="1">IFERROR(VLOOKUP(AZ378,OFFSET(abbreviation[],0,ColumnLanguage),ColumnAbbreviation,FALSE),"")</f>
        <v/>
      </c>
      <c r="CH378" s="21" t="str">
        <f ca="1">IFERROR(VLOOKUP(BB378,OFFSET(abbreviation[],0,ColumnLanguage),ColumnAbbreviation,FALSE),"")</f>
        <v/>
      </c>
      <c r="CI378" s="21" t="str">
        <f ca="1">IFERROR(VLOOKUP(BD378,OFFSET(abbreviation[],0,ColumnLanguage),ColumnAbbreviation,FALSE),"")</f>
        <v/>
      </c>
      <c r="CJ378" s="21" t="str">
        <f ca="1">IFERROR(VLOOKUP(BF378,OFFSET(abbreviation[],0,ColumnLanguage),ColumnAbbreviation,FALSE),"")</f>
        <v/>
      </c>
      <c r="CK378" s="21" t="str">
        <f t="shared" ca="1" si="39"/>
        <v/>
      </c>
      <c r="CL378" s="21" t="str">
        <f t="shared" si="40"/>
        <v/>
      </c>
      <c r="CM378" s="52"/>
      <c r="CN378" s="57" t="str">
        <f t="shared" si="41"/>
        <v/>
      </c>
    </row>
    <row r="379" spans="16:92" x14ac:dyDescent="0.25">
      <c r="P379" s="60"/>
      <c r="Q379" s="13"/>
      <c r="V379" s="60"/>
      <c r="X379" s="61"/>
      <c r="AB379" s="60"/>
      <c r="AN379" s="54"/>
      <c r="AS379" s="15"/>
      <c r="BH379" s="52"/>
      <c r="BI379" s="21" t="str">
        <f ca="1">IFERROR(VLOOKUP(C379,OFFSET(abbreviation[],0,ColumnLanguage),ColumnAbbreviation,FALSE),"")</f>
        <v/>
      </c>
      <c r="BJ379" s="21" t="str">
        <f ca="1">IFERROR(VLOOKUP(E379,OFFSET(abbreviation[],0,ColumnLanguage),ColumnAbbreviation,FALSE),"")</f>
        <v/>
      </c>
      <c r="BK379" s="21" t="str">
        <f ca="1">IFERROR(VLOOKUP(G379,OFFSET(abbreviation[],0,ColumnLanguage),ColumnAbbreviation,FALSE),"")</f>
        <v/>
      </c>
      <c r="BL379" s="21" t="str">
        <f ca="1">IFERROR(VLOOKUP(I379,OFFSET(abbreviation[],0,ColumnLanguage),ColumnAbbreviation,FALSE),"")</f>
        <v/>
      </c>
      <c r="BM379" s="21" t="str">
        <f ca="1">IFERROR(VLOOKUP(K379,OFFSET(abbreviation[],0,ColumnLanguage),ColumnAbbreviation,FALSE),"")</f>
        <v/>
      </c>
      <c r="BN379" s="21" t="str">
        <f t="shared" ca="1" si="35"/>
        <v/>
      </c>
      <c r="BO379" s="21" t="str">
        <f ca="1">IFERROR(VLOOKUP(N379,OFFSET(abbreviation[],0,ColumnLanguage),ColumnAbbreviation,FALSE),"")</f>
        <v/>
      </c>
      <c r="BP379" s="21" t="str">
        <f ca="1">IFERROR(VLOOKUP(P379,OFFSET(abbreviation[],0,ColumnLanguage),ColumnAbbreviation,FALSE),"")</f>
        <v/>
      </c>
      <c r="BQ379" s="21" t="str">
        <f ca="1">IFERROR(VLOOKUP(T379,OFFSET(abbreviation[],0,ColumnLanguage),ColumnAbbreviation,FALSE),"")</f>
        <v/>
      </c>
      <c r="BR379" s="21" t="str">
        <f ca="1">IFERROR(VLOOKUP(V379,OFFSET(abbreviation[],0,ColumnLanguage),ColumnAbbreviation,FALSE),"")</f>
        <v/>
      </c>
      <c r="BS379" s="21" t="str">
        <f ca="1">IFERROR(VLOOKUP(Z379,OFFSET(abbreviation[],0,ColumnLanguage),ColumnAbbreviation,FALSE),"")</f>
        <v/>
      </c>
      <c r="BT379" s="21" t="str">
        <f ca="1">IFERROR(VLOOKUP(AB379,OFFSET(abbreviation[],0,ColumnLanguage),ColumnAbbreviation,FALSE),"")</f>
        <v/>
      </c>
      <c r="BU379" s="21" t="str">
        <f t="shared" ca="1" si="36"/>
        <v>__</v>
      </c>
      <c r="BV379" s="21" t="str">
        <f ca="1">IFERROR(VLOOKUP(AF379,OFFSET(abbreviation[],0,ColumnLanguage),ColumnAbbreviation,FALSE),"")</f>
        <v/>
      </c>
      <c r="BW379" s="21" t="str">
        <f ca="1">IFERROR(VLOOKUP(AH379,OFFSET(abbreviation[],0,ColumnLanguage),ColumnAbbreviation,FALSE),"")</f>
        <v/>
      </c>
      <c r="BX379" s="21" t="str">
        <f ca="1">IFERROR(VLOOKUP(AJ379,OFFSET(abbreviation[],0,ColumnLanguage),ColumnAbbreviation,FALSE),"")</f>
        <v/>
      </c>
      <c r="BY379" s="21" t="str">
        <f ca="1">IFERROR(VLOOKUP(AL379,OFFSET(abbreviation[],0,ColumnLanguage),ColumnAbbreviation,FALSE),"")</f>
        <v/>
      </c>
      <c r="BZ379" s="21" t="str">
        <f t="shared" ca="1" si="37"/>
        <v>_</v>
      </c>
      <c r="CA379" s="21" t="str">
        <f ca="1">IFERROR(VLOOKUP(AP379,OFFSET(abbreviation[],0,ColumnLanguage),ColumnAbbreviation,FALSE),"")</f>
        <v/>
      </c>
      <c r="CB379" s="21" t="str">
        <f ca="1">IFERROR(VLOOKUP(AR379,OFFSET(abbreviation[],0,ColumnLanguage),ColumnAbbreviation,FALSE),"")</f>
        <v/>
      </c>
      <c r="CC379" s="21" t="str">
        <f ca="1">IFERROR(VLOOKUP(AT379,OFFSET(abbreviation[],0,ColumnLanguage),ColumnAbbreviation,FALSE),"")</f>
        <v/>
      </c>
      <c r="CD379" s="21" t="str">
        <f ca="1">IFERROR(VLOOKUP(AV379,OFFSET(abbreviation[],0,ColumnLanguage),ColumnAbbreviation,FALSE),"")</f>
        <v/>
      </c>
      <c r="CE379" s="21" t="str">
        <f t="shared" ca="1" si="38"/>
        <v>__</v>
      </c>
      <c r="CF379" s="21" t="str">
        <f ca="1">IFERROR(VLOOKUP(AX379,OFFSET(abbreviation[],0,ColumnLanguage),ColumnAbbreviation,FALSE),"")</f>
        <v/>
      </c>
      <c r="CG379" s="21" t="str">
        <f ca="1">IFERROR(VLOOKUP(AZ379,OFFSET(abbreviation[],0,ColumnLanguage),ColumnAbbreviation,FALSE),"")</f>
        <v/>
      </c>
      <c r="CH379" s="21" t="str">
        <f ca="1">IFERROR(VLOOKUP(BB379,OFFSET(abbreviation[],0,ColumnLanguage),ColumnAbbreviation,FALSE),"")</f>
        <v/>
      </c>
      <c r="CI379" s="21" t="str">
        <f ca="1">IFERROR(VLOOKUP(BD379,OFFSET(abbreviation[],0,ColumnLanguage),ColumnAbbreviation,FALSE),"")</f>
        <v/>
      </c>
      <c r="CJ379" s="21" t="str">
        <f ca="1">IFERROR(VLOOKUP(BF379,OFFSET(abbreviation[],0,ColumnLanguage),ColumnAbbreviation,FALSE),"")</f>
        <v/>
      </c>
      <c r="CK379" s="21" t="str">
        <f t="shared" ca="1" si="39"/>
        <v/>
      </c>
      <c r="CL379" s="21" t="str">
        <f t="shared" si="40"/>
        <v/>
      </c>
      <c r="CM379" s="52"/>
      <c r="CN379" s="57" t="str">
        <f t="shared" si="41"/>
        <v/>
      </c>
    </row>
    <row r="380" spans="16:92" x14ac:dyDescent="0.25">
      <c r="P380" s="60"/>
      <c r="Q380" s="13"/>
      <c r="V380" s="60"/>
      <c r="X380" s="61"/>
      <c r="AB380" s="60"/>
      <c r="AN380" s="54"/>
      <c r="AS380" s="15"/>
      <c r="BH380" s="52"/>
      <c r="BI380" s="21" t="str">
        <f ca="1">IFERROR(VLOOKUP(C380,OFFSET(abbreviation[],0,ColumnLanguage),ColumnAbbreviation,FALSE),"")</f>
        <v/>
      </c>
      <c r="BJ380" s="21" t="str">
        <f ca="1">IFERROR(VLOOKUP(E380,OFFSET(abbreviation[],0,ColumnLanguage),ColumnAbbreviation,FALSE),"")</f>
        <v/>
      </c>
      <c r="BK380" s="21" t="str">
        <f ca="1">IFERROR(VLOOKUP(G380,OFFSET(abbreviation[],0,ColumnLanguage),ColumnAbbreviation,FALSE),"")</f>
        <v/>
      </c>
      <c r="BL380" s="21" t="str">
        <f ca="1">IFERROR(VLOOKUP(I380,OFFSET(abbreviation[],0,ColumnLanguage),ColumnAbbreviation,FALSE),"")</f>
        <v/>
      </c>
      <c r="BM380" s="21" t="str">
        <f ca="1">IFERROR(VLOOKUP(K380,OFFSET(abbreviation[],0,ColumnLanguage),ColumnAbbreviation,FALSE),"")</f>
        <v/>
      </c>
      <c r="BN380" s="21" t="str">
        <f t="shared" ca="1" si="35"/>
        <v/>
      </c>
      <c r="BO380" s="21" t="str">
        <f ca="1">IFERROR(VLOOKUP(N380,OFFSET(abbreviation[],0,ColumnLanguage),ColumnAbbreviation,FALSE),"")</f>
        <v/>
      </c>
      <c r="BP380" s="21" t="str">
        <f ca="1">IFERROR(VLOOKUP(P380,OFFSET(abbreviation[],0,ColumnLanguage),ColumnAbbreviation,FALSE),"")</f>
        <v/>
      </c>
      <c r="BQ380" s="21" t="str">
        <f ca="1">IFERROR(VLOOKUP(T380,OFFSET(abbreviation[],0,ColumnLanguage),ColumnAbbreviation,FALSE),"")</f>
        <v/>
      </c>
      <c r="BR380" s="21" t="str">
        <f ca="1">IFERROR(VLOOKUP(V380,OFFSET(abbreviation[],0,ColumnLanguage),ColumnAbbreviation,FALSE),"")</f>
        <v/>
      </c>
      <c r="BS380" s="21" t="str">
        <f ca="1">IFERROR(VLOOKUP(Z380,OFFSET(abbreviation[],0,ColumnLanguage),ColumnAbbreviation,FALSE),"")</f>
        <v/>
      </c>
      <c r="BT380" s="21" t="str">
        <f ca="1">IFERROR(VLOOKUP(AB380,OFFSET(abbreviation[],0,ColumnLanguage),ColumnAbbreviation,FALSE),"")</f>
        <v/>
      </c>
      <c r="BU380" s="21" t="str">
        <f t="shared" ca="1" si="36"/>
        <v>__</v>
      </c>
      <c r="BV380" s="21" t="str">
        <f ca="1">IFERROR(VLOOKUP(AF380,OFFSET(abbreviation[],0,ColumnLanguage),ColumnAbbreviation,FALSE),"")</f>
        <v/>
      </c>
      <c r="BW380" s="21" t="str">
        <f ca="1">IFERROR(VLOOKUP(AH380,OFFSET(abbreviation[],0,ColumnLanguage),ColumnAbbreviation,FALSE),"")</f>
        <v/>
      </c>
      <c r="BX380" s="21" t="str">
        <f ca="1">IFERROR(VLOOKUP(AJ380,OFFSET(abbreviation[],0,ColumnLanguage),ColumnAbbreviation,FALSE),"")</f>
        <v/>
      </c>
      <c r="BY380" s="21" t="str">
        <f ca="1">IFERROR(VLOOKUP(AL380,OFFSET(abbreviation[],0,ColumnLanguage),ColumnAbbreviation,FALSE),"")</f>
        <v/>
      </c>
      <c r="BZ380" s="21" t="str">
        <f t="shared" ca="1" si="37"/>
        <v>_</v>
      </c>
      <c r="CA380" s="21" t="str">
        <f ca="1">IFERROR(VLOOKUP(AP380,OFFSET(abbreviation[],0,ColumnLanguage),ColumnAbbreviation,FALSE),"")</f>
        <v/>
      </c>
      <c r="CB380" s="21" t="str">
        <f ca="1">IFERROR(VLOOKUP(AR380,OFFSET(abbreviation[],0,ColumnLanguage),ColumnAbbreviation,FALSE),"")</f>
        <v/>
      </c>
      <c r="CC380" s="21" t="str">
        <f ca="1">IFERROR(VLOOKUP(AT380,OFFSET(abbreviation[],0,ColumnLanguage),ColumnAbbreviation,FALSE),"")</f>
        <v/>
      </c>
      <c r="CD380" s="21" t="str">
        <f ca="1">IFERROR(VLOOKUP(AV380,OFFSET(abbreviation[],0,ColumnLanguage),ColumnAbbreviation,FALSE),"")</f>
        <v/>
      </c>
      <c r="CE380" s="21" t="str">
        <f t="shared" ca="1" si="38"/>
        <v>__</v>
      </c>
      <c r="CF380" s="21" t="str">
        <f ca="1">IFERROR(VLOOKUP(AX380,OFFSET(abbreviation[],0,ColumnLanguage),ColumnAbbreviation,FALSE),"")</f>
        <v/>
      </c>
      <c r="CG380" s="21" t="str">
        <f ca="1">IFERROR(VLOOKUP(AZ380,OFFSET(abbreviation[],0,ColumnLanguage),ColumnAbbreviation,FALSE),"")</f>
        <v/>
      </c>
      <c r="CH380" s="21" t="str">
        <f ca="1">IFERROR(VLOOKUP(BB380,OFFSET(abbreviation[],0,ColumnLanguage),ColumnAbbreviation,FALSE),"")</f>
        <v/>
      </c>
      <c r="CI380" s="21" t="str">
        <f ca="1">IFERROR(VLOOKUP(BD380,OFFSET(abbreviation[],0,ColumnLanguage),ColumnAbbreviation,FALSE),"")</f>
        <v/>
      </c>
      <c r="CJ380" s="21" t="str">
        <f ca="1">IFERROR(VLOOKUP(BF380,OFFSET(abbreviation[],0,ColumnLanguage),ColumnAbbreviation,FALSE),"")</f>
        <v/>
      </c>
      <c r="CK380" s="21" t="str">
        <f t="shared" ca="1" si="39"/>
        <v/>
      </c>
      <c r="CL380" s="21" t="str">
        <f t="shared" si="40"/>
        <v/>
      </c>
      <c r="CM380" s="52"/>
      <c r="CN380" s="57" t="str">
        <f t="shared" si="41"/>
        <v/>
      </c>
    </row>
    <row r="381" spans="16:92" x14ac:dyDescent="0.25">
      <c r="P381" s="60"/>
      <c r="Q381" s="13"/>
      <c r="V381" s="60"/>
      <c r="X381" s="61"/>
      <c r="AB381" s="60"/>
      <c r="AN381" s="54"/>
      <c r="AS381" s="15"/>
      <c r="BH381" s="52"/>
      <c r="BI381" s="21" t="str">
        <f ca="1">IFERROR(VLOOKUP(C381,OFFSET(abbreviation[],0,ColumnLanguage),ColumnAbbreviation,FALSE),"")</f>
        <v/>
      </c>
      <c r="BJ381" s="21" t="str">
        <f ca="1">IFERROR(VLOOKUP(E381,OFFSET(abbreviation[],0,ColumnLanguage),ColumnAbbreviation,FALSE),"")</f>
        <v/>
      </c>
      <c r="BK381" s="21" t="str">
        <f ca="1">IFERROR(VLOOKUP(G381,OFFSET(abbreviation[],0,ColumnLanguage),ColumnAbbreviation,FALSE),"")</f>
        <v/>
      </c>
      <c r="BL381" s="21" t="str">
        <f ca="1">IFERROR(VLOOKUP(I381,OFFSET(abbreviation[],0,ColumnLanguage),ColumnAbbreviation,FALSE),"")</f>
        <v/>
      </c>
      <c r="BM381" s="21" t="str">
        <f ca="1">IFERROR(VLOOKUP(K381,OFFSET(abbreviation[],0,ColumnLanguage),ColumnAbbreviation,FALSE),"")</f>
        <v/>
      </c>
      <c r="BN381" s="21" t="str">
        <f t="shared" ca="1" si="35"/>
        <v/>
      </c>
      <c r="BO381" s="21" t="str">
        <f ca="1">IFERROR(VLOOKUP(N381,OFFSET(abbreviation[],0,ColumnLanguage),ColumnAbbreviation,FALSE),"")</f>
        <v/>
      </c>
      <c r="BP381" s="21" t="str">
        <f ca="1">IFERROR(VLOOKUP(P381,OFFSET(abbreviation[],0,ColumnLanguage),ColumnAbbreviation,FALSE),"")</f>
        <v/>
      </c>
      <c r="BQ381" s="21" t="str">
        <f ca="1">IFERROR(VLOOKUP(T381,OFFSET(abbreviation[],0,ColumnLanguage),ColumnAbbreviation,FALSE),"")</f>
        <v/>
      </c>
      <c r="BR381" s="21" t="str">
        <f ca="1">IFERROR(VLOOKUP(V381,OFFSET(abbreviation[],0,ColumnLanguage),ColumnAbbreviation,FALSE),"")</f>
        <v/>
      </c>
      <c r="BS381" s="21" t="str">
        <f ca="1">IFERROR(VLOOKUP(Z381,OFFSET(abbreviation[],0,ColumnLanguage),ColumnAbbreviation,FALSE),"")</f>
        <v/>
      </c>
      <c r="BT381" s="21" t="str">
        <f ca="1">IFERROR(VLOOKUP(AB381,OFFSET(abbreviation[],0,ColumnLanguage),ColumnAbbreviation,FALSE),"")</f>
        <v/>
      </c>
      <c r="BU381" s="21" t="str">
        <f t="shared" ca="1" si="36"/>
        <v>__</v>
      </c>
      <c r="BV381" s="21" t="str">
        <f ca="1">IFERROR(VLOOKUP(AF381,OFFSET(abbreviation[],0,ColumnLanguage),ColumnAbbreviation,FALSE),"")</f>
        <v/>
      </c>
      <c r="BW381" s="21" t="str">
        <f ca="1">IFERROR(VLOOKUP(AH381,OFFSET(abbreviation[],0,ColumnLanguage),ColumnAbbreviation,FALSE),"")</f>
        <v/>
      </c>
      <c r="BX381" s="21" t="str">
        <f ca="1">IFERROR(VLOOKUP(AJ381,OFFSET(abbreviation[],0,ColumnLanguage),ColumnAbbreviation,FALSE),"")</f>
        <v/>
      </c>
      <c r="BY381" s="21" t="str">
        <f ca="1">IFERROR(VLOOKUP(AL381,OFFSET(abbreviation[],0,ColumnLanguage),ColumnAbbreviation,FALSE),"")</f>
        <v/>
      </c>
      <c r="BZ381" s="21" t="str">
        <f t="shared" ca="1" si="37"/>
        <v>_</v>
      </c>
      <c r="CA381" s="21" t="str">
        <f ca="1">IFERROR(VLOOKUP(AP381,OFFSET(abbreviation[],0,ColumnLanguage),ColumnAbbreviation,FALSE),"")</f>
        <v/>
      </c>
      <c r="CB381" s="21" t="str">
        <f ca="1">IFERROR(VLOOKUP(AR381,OFFSET(abbreviation[],0,ColumnLanguage),ColumnAbbreviation,FALSE),"")</f>
        <v/>
      </c>
      <c r="CC381" s="21" t="str">
        <f ca="1">IFERROR(VLOOKUP(AT381,OFFSET(abbreviation[],0,ColumnLanguage),ColumnAbbreviation,FALSE),"")</f>
        <v/>
      </c>
      <c r="CD381" s="21" t="str">
        <f ca="1">IFERROR(VLOOKUP(AV381,OFFSET(abbreviation[],0,ColumnLanguage),ColumnAbbreviation,FALSE),"")</f>
        <v/>
      </c>
      <c r="CE381" s="21" t="str">
        <f t="shared" ca="1" si="38"/>
        <v>__</v>
      </c>
      <c r="CF381" s="21" t="str">
        <f ca="1">IFERROR(VLOOKUP(AX381,OFFSET(abbreviation[],0,ColumnLanguage),ColumnAbbreviation,FALSE),"")</f>
        <v/>
      </c>
      <c r="CG381" s="21" t="str">
        <f ca="1">IFERROR(VLOOKUP(AZ381,OFFSET(abbreviation[],0,ColumnLanguage),ColumnAbbreviation,FALSE),"")</f>
        <v/>
      </c>
      <c r="CH381" s="21" t="str">
        <f ca="1">IFERROR(VLOOKUP(BB381,OFFSET(abbreviation[],0,ColumnLanguage),ColumnAbbreviation,FALSE),"")</f>
        <v/>
      </c>
      <c r="CI381" s="21" t="str">
        <f ca="1">IFERROR(VLOOKUP(BD381,OFFSET(abbreviation[],0,ColumnLanguage),ColumnAbbreviation,FALSE),"")</f>
        <v/>
      </c>
      <c r="CJ381" s="21" t="str">
        <f ca="1">IFERROR(VLOOKUP(BF381,OFFSET(abbreviation[],0,ColumnLanguage),ColumnAbbreviation,FALSE),"")</f>
        <v/>
      </c>
      <c r="CK381" s="21" t="str">
        <f t="shared" ca="1" si="39"/>
        <v/>
      </c>
      <c r="CL381" s="21" t="str">
        <f t="shared" si="40"/>
        <v/>
      </c>
      <c r="CM381" s="52"/>
      <c r="CN381" s="57" t="str">
        <f t="shared" si="41"/>
        <v/>
      </c>
    </row>
    <row r="382" spans="16:92" x14ac:dyDescent="0.25">
      <c r="P382" s="60"/>
      <c r="Q382" s="13"/>
      <c r="V382" s="60"/>
      <c r="X382" s="61"/>
      <c r="AB382" s="60"/>
      <c r="AN382" s="54"/>
      <c r="AS382" s="15"/>
      <c r="BH382" s="52"/>
      <c r="BI382" s="21" t="str">
        <f ca="1">IFERROR(VLOOKUP(C382,OFFSET(abbreviation[],0,ColumnLanguage),ColumnAbbreviation,FALSE),"")</f>
        <v/>
      </c>
      <c r="BJ382" s="21" t="str">
        <f ca="1">IFERROR(VLOOKUP(E382,OFFSET(abbreviation[],0,ColumnLanguage),ColumnAbbreviation,FALSE),"")</f>
        <v/>
      </c>
      <c r="BK382" s="21" t="str">
        <f ca="1">IFERROR(VLOOKUP(G382,OFFSET(abbreviation[],0,ColumnLanguage),ColumnAbbreviation,FALSE),"")</f>
        <v/>
      </c>
      <c r="BL382" s="21" t="str">
        <f ca="1">IFERROR(VLOOKUP(I382,OFFSET(abbreviation[],0,ColumnLanguage),ColumnAbbreviation,FALSE),"")</f>
        <v/>
      </c>
      <c r="BM382" s="21" t="str">
        <f ca="1">IFERROR(VLOOKUP(K382,OFFSET(abbreviation[],0,ColumnLanguage),ColumnAbbreviation,FALSE),"")</f>
        <v/>
      </c>
      <c r="BN382" s="21" t="str">
        <f t="shared" ca="1" si="35"/>
        <v/>
      </c>
      <c r="BO382" s="21" t="str">
        <f ca="1">IFERROR(VLOOKUP(N382,OFFSET(abbreviation[],0,ColumnLanguage),ColumnAbbreviation,FALSE),"")</f>
        <v/>
      </c>
      <c r="BP382" s="21" t="str">
        <f ca="1">IFERROR(VLOOKUP(P382,OFFSET(abbreviation[],0,ColumnLanguage),ColumnAbbreviation,FALSE),"")</f>
        <v/>
      </c>
      <c r="BQ382" s="21" t="str">
        <f ca="1">IFERROR(VLOOKUP(T382,OFFSET(abbreviation[],0,ColumnLanguage),ColumnAbbreviation,FALSE),"")</f>
        <v/>
      </c>
      <c r="BR382" s="21" t="str">
        <f ca="1">IFERROR(VLOOKUP(V382,OFFSET(abbreviation[],0,ColumnLanguage),ColumnAbbreviation,FALSE),"")</f>
        <v/>
      </c>
      <c r="BS382" s="21" t="str">
        <f ca="1">IFERROR(VLOOKUP(Z382,OFFSET(abbreviation[],0,ColumnLanguage),ColumnAbbreviation,FALSE),"")</f>
        <v/>
      </c>
      <c r="BT382" s="21" t="str">
        <f ca="1">IFERROR(VLOOKUP(AB382,OFFSET(abbreviation[],0,ColumnLanguage),ColumnAbbreviation,FALSE),"")</f>
        <v/>
      </c>
      <c r="BU382" s="21" t="str">
        <f t="shared" ca="1" si="36"/>
        <v>__</v>
      </c>
      <c r="BV382" s="21" t="str">
        <f ca="1">IFERROR(VLOOKUP(AF382,OFFSET(abbreviation[],0,ColumnLanguage),ColumnAbbreviation,FALSE),"")</f>
        <v/>
      </c>
      <c r="BW382" s="21" t="str">
        <f ca="1">IFERROR(VLOOKUP(AH382,OFFSET(abbreviation[],0,ColumnLanguage),ColumnAbbreviation,FALSE),"")</f>
        <v/>
      </c>
      <c r="BX382" s="21" t="str">
        <f ca="1">IFERROR(VLOOKUP(AJ382,OFFSET(abbreviation[],0,ColumnLanguage),ColumnAbbreviation,FALSE),"")</f>
        <v/>
      </c>
      <c r="BY382" s="21" t="str">
        <f ca="1">IFERROR(VLOOKUP(AL382,OFFSET(abbreviation[],0,ColumnLanguage),ColumnAbbreviation,FALSE),"")</f>
        <v/>
      </c>
      <c r="BZ382" s="21" t="str">
        <f t="shared" ca="1" si="37"/>
        <v>_</v>
      </c>
      <c r="CA382" s="21" t="str">
        <f ca="1">IFERROR(VLOOKUP(AP382,OFFSET(abbreviation[],0,ColumnLanguage),ColumnAbbreviation,FALSE),"")</f>
        <v/>
      </c>
      <c r="CB382" s="21" t="str">
        <f ca="1">IFERROR(VLOOKUP(AR382,OFFSET(abbreviation[],0,ColumnLanguage),ColumnAbbreviation,FALSE),"")</f>
        <v/>
      </c>
      <c r="CC382" s="21" t="str">
        <f ca="1">IFERROR(VLOOKUP(AT382,OFFSET(abbreviation[],0,ColumnLanguage),ColumnAbbreviation,FALSE),"")</f>
        <v/>
      </c>
      <c r="CD382" s="21" t="str">
        <f ca="1">IFERROR(VLOOKUP(AV382,OFFSET(abbreviation[],0,ColumnLanguage),ColumnAbbreviation,FALSE),"")</f>
        <v/>
      </c>
      <c r="CE382" s="21" t="str">
        <f t="shared" ca="1" si="38"/>
        <v>__</v>
      </c>
      <c r="CF382" s="21" t="str">
        <f ca="1">IFERROR(VLOOKUP(AX382,OFFSET(abbreviation[],0,ColumnLanguage),ColumnAbbreviation,FALSE),"")</f>
        <v/>
      </c>
      <c r="CG382" s="21" t="str">
        <f ca="1">IFERROR(VLOOKUP(AZ382,OFFSET(abbreviation[],0,ColumnLanguage),ColumnAbbreviation,FALSE),"")</f>
        <v/>
      </c>
      <c r="CH382" s="21" t="str">
        <f ca="1">IFERROR(VLOOKUP(BB382,OFFSET(abbreviation[],0,ColumnLanguage),ColumnAbbreviation,FALSE),"")</f>
        <v/>
      </c>
      <c r="CI382" s="21" t="str">
        <f ca="1">IFERROR(VLOOKUP(BD382,OFFSET(abbreviation[],0,ColumnLanguage),ColumnAbbreviation,FALSE),"")</f>
        <v/>
      </c>
      <c r="CJ382" s="21" t="str">
        <f ca="1">IFERROR(VLOOKUP(BF382,OFFSET(abbreviation[],0,ColumnLanguage),ColumnAbbreviation,FALSE),"")</f>
        <v/>
      </c>
      <c r="CK382" s="21" t="str">
        <f t="shared" ca="1" si="39"/>
        <v/>
      </c>
      <c r="CL382" s="21" t="str">
        <f t="shared" si="40"/>
        <v/>
      </c>
      <c r="CM382" s="52"/>
      <c r="CN382" s="57" t="str">
        <f t="shared" si="41"/>
        <v/>
      </c>
    </row>
    <row r="383" spans="16:92" x14ac:dyDescent="0.25">
      <c r="P383" s="60"/>
      <c r="Q383" s="13"/>
      <c r="V383" s="60"/>
      <c r="X383" s="61"/>
      <c r="AB383" s="60"/>
      <c r="AN383" s="54"/>
      <c r="AS383" s="15"/>
      <c r="BH383" s="52"/>
      <c r="BI383" s="21" t="str">
        <f ca="1">IFERROR(VLOOKUP(C383,OFFSET(abbreviation[],0,ColumnLanguage),ColumnAbbreviation,FALSE),"")</f>
        <v/>
      </c>
      <c r="BJ383" s="21" t="str">
        <f ca="1">IFERROR(VLOOKUP(E383,OFFSET(abbreviation[],0,ColumnLanguage),ColumnAbbreviation,FALSE),"")</f>
        <v/>
      </c>
      <c r="BK383" s="21" t="str">
        <f ca="1">IFERROR(VLOOKUP(G383,OFFSET(abbreviation[],0,ColumnLanguage),ColumnAbbreviation,FALSE),"")</f>
        <v/>
      </c>
      <c r="BL383" s="21" t="str">
        <f ca="1">IFERROR(VLOOKUP(I383,OFFSET(abbreviation[],0,ColumnLanguage),ColumnAbbreviation,FALSE),"")</f>
        <v/>
      </c>
      <c r="BM383" s="21" t="str">
        <f ca="1">IFERROR(VLOOKUP(K383,OFFSET(abbreviation[],0,ColumnLanguage),ColumnAbbreviation,FALSE),"")</f>
        <v/>
      </c>
      <c r="BN383" s="21" t="str">
        <f t="shared" ca="1" si="35"/>
        <v/>
      </c>
      <c r="BO383" s="21" t="str">
        <f ca="1">IFERROR(VLOOKUP(N383,OFFSET(abbreviation[],0,ColumnLanguage),ColumnAbbreviation,FALSE),"")</f>
        <v/>
      </c>
      <c r="BP383" s="21" t="str">
        <f ca="1">IFERROR(VLOOKUP(P383,OFFSET(abbreviation[],0,ColumnLanguage),ColumnAbbreviation,FALSE),"")</f>
        <v/>
      </c>
      <c r="BQ383" s="21" t="str">
        <f ca="1">IFERROR(VLOOKUP(T383,OFFSET(abbreviation[],0,ColumnLanguage),ColumnAbbreviation,FALSE),"")</f>
        <v/>
      </c>
      <c r="BR383" s="21" t="str">
        <f ca="1">IFERROR(VLOOKUP(V383,OFFSET(abbreviation[],0,ColumnLanguage),ColumnAbbreviation,FALSE),"")</f>
        <v/>
      </c>
      <c r="BS383" s="21" t="str">
        <f ca="1">IFERROR(VLOOKUP(Z383,OFFSET(abbreviation[],0,ColumnLanguage),ColumnAbbreviation,FALSE),"")</f>
        <v/>
      </c>
      <c r="BT383" s="21" t="str">
        <f ca="1">IFERROR(VLOOKUP(AB383,OFFSET(abbreviation[],0,ColumnLanguage),ColumnAbbreviation,FALSE),"")</f>
        <v/>
      </c>
      <c r="BU383" s="21" t="str">
        <f t="shared" ca="1" si="36"/>
        <v>__</v>
      </c>
      <c r="BV383" s="21" t="str">
        <f ca="1">IFERROR(VLOOKUP(AF383,OFFSET(abbreviation[],0,ColumnLanguage),ColumnAbbreviation,FALSE),"")</f>
        <v/>
      </c>
      <c r="BW383" s="21" t="str">
        <f ca="1">IFERROR(VLOOKUP(AH383,OFFSET(abbreviation[],0,ColumnLanguage),ColumnAbbreviation,FALSE),"")</f>
        <v/>
      </c>
      <c r="BX383" s="21" t="str">
        <f ca="1">IFERROR(VLOOKUP(AJ383,OFFSET(abbreviation[],0,ColumnLanguage),ColumnAbbreviation,FALSE),"")</f>
        <v/>
      </c>
      <c r="BY383" s="21" t="str">
        <f ca="1">IFERROR(VLOOKUP(AL383,OFFSET(abbreviation[],0,ColumnLanguage),ColumnAbbreviation,FALSE),"")</f>
        <v/>
      </c>
      <c r="BZ383" s="21" t="str">
        <f t="shared" ca="1" si="37"/>
        <v>_</v>
      </c>
      <c r="CA383" s="21" t="str">
        <f ca="1">IFERROR(VLOOKUP(AP383,OFFSET(abbreviation[],0,ColumnLanguage),ColumnAbbreviation,FALSE),"")</f>
        <v/>
      </c>
      <c r="CB383" s="21" t="str">
        <f ca="1">IFERROR(VLOOKUP(AR383,OFFSET(abbreviation[],0,ColumnLanguage),ColumnAbbreviation,FALSE),"")</f>
        <v/>
      </c>
      <c r="CC383" s="21" t="str">
        <f ca="1">IFERROR(VLOOKUP(AT383,OFFSET(abbreviation[],0,ColumnLanguage),ColumnAbbreviation,FALSE),"")</f>
        <v/>
      </c>
      <c r="CD383" s="21" t="str">
        <f ca="1">IFERROR(VLOOKUP(AV383,OFFSET(abbreviation[],0,ColumnLanguage),ColumnAbbreviation,FALSE),"")</f>
        <v/>
      </c>
      <c r="CE383" s="21" t="str">
        <f t="shared" ca="1" si="38"/>
        <v>__</v>
      </c>
      <c r="CF383" s="21" t="str">
        <f ca="1">IFERROR(VLOOKUP(AX383,OFFSET(abbreviation[],0,ColumnLanguage),ColumnAbbreviation,FALSE),"")</f>
        <v/>
      </c>
      <c r="CG383" s="21" t="str">
        <f ca="1">IFERROR(VLOOKUP(AZ383,OFFSET(abbreviation[],0,ColumnLanguage),ColumnAbbreviation,FALSE),"")</f>
        <v/>
      </c>
      <c r="CH383" s="21" t="str">
        <f ca="1">IFERROR(VLOOKUP(BB383,OFFSET(abbreviation[],0,ColumnLanguage),ColumnAbbreviation,FALSE),"")</f>
        <v/>
      </c>
      <c r="CI383" s="21" t="str">
        <f ca="1">IFERROR(VLOOKUP(BD383,OFFSET(abbreviation[],0,ColumnLanguage),ColumnAbbreviation,FALSE),"")</f>
        <v/>
      </c>
      <c r="CJ383" s="21" t="str">
        <f ca="1">IFERROR(VLOOKUP(BF383,OFFSET(abbreviation[],0,ColumnLanguage),ColumnAbbreviation,FALSE),"")</f>
        <v/>
      </c>
      <c r="CK383" s="21" t="str">
        <f t="shared" ca="1" si="39"/>
        <v/>
      </c>
      <c r="CL383" s="21" t="str">
        <f t="shared" si="40"/>
        <v/>
      </c>
      <c r="CM383" s="52"/>
      <c r="CN383" s="57" t="str">
        <f t="shared" si="41"/>
        <v/>
      </c>
    </row>
    <row r="384" spans="16:92" x14ac:dyDescent="0.25">
      <c r="P384" s="60"/>
      <c r="Q384" s="13"/>
      <c r="V384" s="60"/>
      <c r="X384" s="61"/>
      <c r="AB384" s="60"/>
      <c r="AN384" s="54"/>
      <c r="AS384" s="15"/>
      <c r="BH384" s="52"/>
      <c r="BI384" s="21" t="str">
        <f ca="1">IFERROR(VLOOKUP(C384,OFFSET(abbreviation[],0,ColumnLanguage),ColumnAbbreviation,FALSE),"")</f>
        <v/>
      </c>
      <c r="BJ384" s="21" t="str">
        <f ca="1">IFERROR(VLOOKUP(E384,OFFSET(abbreviation[],0,ColumnLanguage),ColumnAbbreviation,FALSE),"")</f>
        <v/>
      </c>
      <c r="BK384" s="21" t="str">
        <f ca="1">IFERROR(VLOOKUP(G384,OFFSET(abbreviation[],0,ColumnLanguage),ColumnAbbreviation,FALSE),"")</f>
        <v/>
      </c>
      <c r="BL384" s="21" t="str">
        <f ca="1">IFERROR(VLOOKUP(I384,OFFSET(abbreviation[],0,ColumnLanguage),ColumnAbbreviation,FALSE),"")</f>
        <v/>
      </c>
      <c r="BM384" s="21" t="str">
        <f ca="1">IFERROR(VLOOKUP(K384,OFFSET(abbreviation[],0,ColumnLanguage),ColumnAbbreviation,FALSE),"")</f>
        <v/>
      </c>
      <c r="BN384" s="21" t="str">
        <f t="shared" ca="1" si="35"/>
        <v/>
      </c>
      <c r="BO384" s="21" t="str">
        <f ca="1">IFERROR(VLOOKUP(N384,OFFSET(abbreviation[],0,ColumnLanguage),ColumnAbbreviation,FALSE),"")</f>
        <v/>
      </c>
      <c r="BP384" s="21" t="str">
        <f ca="1">IFERROR(VLOOKUP(P384,OFFSET(abbreviation[],0,ColumnLanguage),ColumnAbbreviation,FALSE),"")</f>
        <v/>
      </c>
      <c r="BQ384" s="21" t="str">
        <f ca="1">IFERROR(VLOOKUP(T384,OFFSET(abbreviation[],0,ColumnLanguage),ColumnAbbreviation,FALSE),"")</f>
        <v/>
      </c>
      <c r="BR384" s="21" t="str">
        <f ca="1">IFERROR(VLOOKUP(V384,OFFSET(abbreviation[],0,ColumnLanguage),ColumnAbbreviation,FALSE),"")</f>
        <v/>
      </c>
      <c r="BS384" s="21" t="str">
        <f ca="1">IFERROR(VLOOKUP(Z384,OFFSET(abbreviation[],0,ColumnLanguage),ColumnAbbreviation,FALSE),"")</f>
        <v/>
      </c>
      <c r="BT384" s="21" t="str">
        <f ca="1">IFERROR(VLOOKUP(AB384,OFFSET(abbreviation[],0,ColumnLanguage),ColumnAbbreviation,FALSE),"")</f>
        <v/>
      </c>
      <c r="BU384" s="21" t="str">
        <f t="shared" ca="1" si="36"/>
        <v>__</v>
      </c>
      <c r="BV384" s="21" t="str">
        <f ca="1">IFERROR(VLOOKUP(AF384,OFFSET(abbreviation[],0,ColumnLanguage),ColumnAbbreviation,FALSE),"")</f>
        <v/>
      </c>
      <c r="BW384" s="21" t="str">
        <f ca="1">IFERROR(VLOOKUP(AH384,OFFSET(abbreviation[],0,ColumnLanguage),ColumnAbbreviation,FALSE),"")</f>
        <v/>
      </c>
      <c r="BX384" s="21" t="str">
        <f ca="1">IFERROR(VLOOKUP(AJ384,OFFSET(abbreviation[],0,ColumnLanguage),ColumnAbbreviation,FALSE),"")</f>
        <v/>
      </c>
      <c r="BY384" s="21" t="str">
        <f ca="1">IFERROR(VLOOKUP(AL384,OFFSET(abbreviation[],0,ColumnLanguage),ColumnAbbreviation,FALSE),"")</f>
        <v/>
      </c>
      <c r="BZ384" s="21" t="str">
        <f t="shared" ca="1" si="37"/>
        <v>_</v>
      </c>
      <c r="CA384" s="21" t="str">
        <f ca="1">IFERROR(VLOOKUP(AP384,OFFSET(abbreviation[],0,ColumnLanguage),ColumnAbbreviation,FALSE),"")</f>
        <v/>
      </c>
      <c r="CB384" s="21" t="str">
        <f ca="1">IFERROR(VLOOKUP(AR384,OFFSET(abbreviation[],0,ColumnLanguage),ColumnAbbreviation,FALSE),"")</f>
        <v/>
      </c>
      <c r="CC384" s="21" t="str">
        <f ca="1">IFERROR(VLOOKUP(AT384,OFFSET(abbreviation[],0,ColumnLanguage),ColumnAbbreviation,FALSE),"")</f>
        <v/>
      </c>
      <c r="CD384" s="21" t="str">
        <f ca="1">IFERROR(VLOOKUP(AV384,OFFSET(abbreviation[],0,ColumnLanguage),ColumnAbbreviation,FALSE),"")</f>
        <v/>
      </c>
      <c r="CE384" s="21" t="str">
        <f t="shared" ca="1" si="38"/>
        <v>__</v>
      </c>
      <c r="CF384" s="21" t="str">
        <f ca="1">IFERROR(VLOOKUP(AX384,OFFSET(abbreviation[],0,ColumnLanguage),ColumnAbbreviation,FALSE),"")</f>
        <v/>
      </c>
      <c r="CG384" s="21" t="str">
        <f ca="1">IFERROR(VLOOKUP(AZ384,OFFSET(abbreviation[],0,ColumnLanguage),ColumnAbbreviation,FALSE),"")</f>
        <v/>
      </c>
      <c r="CH384" s="21" t="str">
        <f ca="1">IFERROR(VLOOKUP(BB384,OFFSET(abbreviation[],0,ColumnLanguage),ColumnAbbreviation,FALSE),"")</f>
        <v/>
      </c>
      <c r="CI384" s="21" t="str">
        <f ca="1">IFERROR(VLOOKUP(BD384,OFFSET(abbreviation[],0,ColumnLanguage),ColumnAbbreviation,FALSE),"")</f>
        <v/>
      </c>
      <c r="CJ384" s="21" t="str">
        <f ca="1">IFERROR(VLOOKUP(BF384,OFFSET(abbreviation[],0,ColumnLanguage),ColumnAbbreviation,FALSE),"")</f>
        <v/>
      </c>
      <c r="CK384" s="21" t="str">
        <f t="shared" ca="1" si="39"/>
        <v/>
      </c>
      <c r="CL384" s="21" t="str">
        <f t="shared" si="40"/>
        <v/>
      </c>
      <c r="CM384" s="52"/>
      <c r="CN384" s="57" t="str">
        <f t="shared" si="41"/>
        <v/>
      </c>
    </row>
    <row r="385" spans="14:92" x14ac:dyDescent="0.25">
      <c r="P385" s="60"/>
      <c r="Q385" s="13"/>
      <c r="V385" s="60"/>
      <c r="X385" s="61"/>
      <c r="AB385" s="60"/>
      <c r="AN385" s="54"/>
      <c r="AS385" s="15"/>
      <c r="BH385" s="52"/>
      <c r="BI385" s="21" t="str">
        <f ca="1">IFERROR(VLOOKUP(C385,OFFSET(abbreviation[],0,ColumnLanguage),ColumnAbbreviation,FALSE),"")</f>
        <v/>
      </c>
      <c r="BJ385" s="21" t="str">
        <f ca="1">IFERROR(VLOOKUP(E385,OFFSET(abbreviation[],0,ColumnLanguage),ColumnAbbreviation,FALSE),"")</f>
        <v/>
      </c>
      <c r="BK385" s="21" t="str">
        <f ca="1">IFERROR(VLOOKUP(G385,OFFSET(abbreviation[],0,ColumnLanguage),ColumnAbbreviation,FALSE),"")</f>
        <v/>
      </c>
      <c r="BL385" s="21" t="str">
        <f ca="1">IFERROR(VLOOKUP(I385,OFFSET(abbreviation[],0,ColumnLanguage),ColumnAbbreviation,FALSE),"")</f>
        <v/>
      </c>
      <c r="BM385" s="21" t="str">
        <f ca="1">IFERROR(VLOOKUP(K385,OFFSET(abbreviation[],0,ColumnLanguage),ColumnAbbreviation,FALSE),"")</f>
        <v/>
      </c>
      <c r="BN385" s="21" t="str">
        <f t="shared" ca="1" si="35"/>
        <v/>
      </c>
      <c r="BO385" s="21" t="str">
        <f ca="1">IFERROR(VLOOKUP(N385,OFFSET(abbreviation[],0,ColumnLanguage),ColumnAbbreviation,FALSE),"")</f>
        <v/>
      </c>
      <c r="BP385" s="21" t="str">
        <f ca="1">IFERROR(VLOOKUP(P385,OFFSET(abbreviation[],0,ColumnLanguage),ColumnAbbreviation,FALSE),"")</f>
        <v/>
      </c>
      <c r="BQ385" s="21" t="str">
        <f ca="1">IFERROR(VLOOKUP(T385,OFFSET(abbreviation[],0,ColumnLanguage),ColumnAbbreviation,FALSE),"")</f>
        <v/>
      </c>
      <c r="BR385" s="21" t="str">
        <f ca="1">IFERROR(VLOOKUP(V385,OFFSET(abbreviation[],0,ColumnLanguage),ColumnAbbreviation,FALSE),"")</f>
        <v/>
      </c>
      <c r="BS385" s="21" t="str">
        <f ca="1">IFERROR(VLOOKUP(Z385,OFFSET(abbreviation[],0,ColumnLanguage),ColumnAbbreviation,FALSE),"")</f>
        <v/>
      </c>
      <c r="BT385" s="21" t="str">
        <f ca="1">IFERROR(VLOOKUP(AB385,OFFSET(abbreviation[],0,ColumnLanguage),ColumnAbbreviation,FALSE),"")</f>
        <v/>
      </c>
      <c r="BU385" s="21" t="str">
        <f t="shared" ca="1" si="36"/>
        <v>__</v>
      </c>
      <c r="BV385" s="21" t="str">
        <f ca="1">IFERROR(VLOOKUP(AF385,OFFSET(abbreviation[],0,ColumnLanguage),ColumnAbbreviation,FALSE),"")</f>
        <v/>
      </c>
      <c r="BW385" s="21" t="str">
        <f ca="1">IFERROR(VLOOKUP(AH385,OFFSET(abbreviation[],0,ColumnLanguage),ColumnAbbreviation,FALSE),"")</f>
        <v/>
      </c>
      <c r="BX385" s="21" t="str">
        <f ca="1">IFERROR(VLOOKUP(AJ385,OFFSET(abbreviation[],0,ColumnLanguage),ColumnAbbreviation,FALSE),"")</f>
        <v/>
      </c>
      <c r="BY385" s="21" t="str">
        <f ca="1">IFERROR(VLOOKUP(AL385,OFFSET(abbreviation[],0,ColumnLanguage),ColumnAbbreviation,FALSE),"")</f>
        <v/>
      </c>
      <c r="BZ385" s="21" t="str">
        <f t="shared" ca="1" si="37"/>
        <v>_</v>
      </c>
      <c r="CA385" s="21" t="str">
        <f ca="1">IFERROR(VLOOKUP(AP385,OFFSET(abbreviation[],0,ColumnLanguage),ColumnAbbreviation,FALSE),"")</f>
        <v/>
      </c>
      <c r="CB385" s="21" t="str">
        <f ca="1">IFERROR(VLOOKUP(AR385,OFFSET(abbreviation[],0,ColumnLanguage),ColumnAbbreviation,FALSE),"")</f>
        <v/>
      </c>
      <c r="CC385" s="21" t="str">
        <f ca="1">IFERROR(VLOOKUP(AT385,OFFSET(abbreviation[],0,ColumnLanguage),ColumnAbbreviation,FALSE),"")</f>
        <v/>
      </c>
      <c r="CD385" s="21" t="str">
        <f ca="1">IFERROR(VLOOKUP(AV385,OFFSET(abbreviation[],0,ColumnLanguage),ColumnAbbreviation,FALSE),"")</f>
        <v/>
      </c>
      <c r="CE385" s="21" t="str">
        <f t="shared" ca="1" si="38"/>
        <v>__</v>
      </c>
      <c r="CF385" s="21" t="str">
        <f ca="1">IFERROR(VLOOKUP(AX385,OFFSET(abbreviation[],0,ColumnLanguage),ColumnAbbreviation,FALSE),"")</f>
        <v/>
      </c>
      <c r="CG385" s="21" t="str">
        <f ca="1">IFERROR(VLOOKUP(AZ385,OFFSET(abbreviation[],0,ColumnLanguage),ColumnAbbreviation,FALSE),"")</f>
        <v/>
      </c>
      <c r="CH385" s="21" t="str">
        <f ca="1">IFERROR(VLOOKUP(BB385,OFFSET(abbreviation[],0,ColumnLanguage),ColumnAbbreviation,FALSE),"")</f>
        <v/>
      </c>
      <c r="CI385" s="21" t="str">
        <f ca="1">IFERROR(VLOOKUP(BD385,OFFSET(abbreviation[],0,ColumnLanguage),ColumnAbbreviation,FALSE),"")</f>
        <v/>
      </c>
      <c r="CJ385" s="21" t="str">
        <f ca="1">IFERROR(VLOOKUP(BF385,OFFSET(abbreviation[],0,ColumnLanguage),ColumnAbbreviation,FALSE),"")</f>
        <v/>
      </c>
      <c r="CK385" s="21" t="str">
        <f t="shared" ca="1" si="39"/>
        <v/>
      </c>
      <c r="CL385" s="21" t="str">
        <f t="shared" si="40"/>
        <v/>
      </c>
      <c r="CM385" s="52"/>
      <c r="CN385" s="57" t="str">
        <f t="shared" si="41"/>
        <v/>
      </c>
    </row>
    <row r="386" spans="14:92" x14ac:dyDescent="0.25">
      <c r="P386" s="60"/>
      <c r="Q386" s="13"/>
      <c r="V386" s="60"/>
      <c r="X386" s="61"/>
      <c r="AB386" s="60"/>
      <c r="AN386" s="54"/>
      <c r="AS386" s="15"/>
      <c r="BH386" s="52"/>
      <c r="BI386" s="21" t="str">
        <f ca="1">IFERROR(VLOOKUP(C386,OFFSET(abbreviation[],0,ColumnLanguage),ColumnAbbreviation,FALSE),"")</f>
        <v/>
      </c>
      <c r="BJ386" s="21" t="str">
        <f ca="1">IFERROR(VLOOKUP(E386,OFFSET(abbreviation[],0,ColumnLanguage),ColumnAbbreviation,FALSE),"")</f>
        <v/>
      </c>
      <c r="BK386" s="21" t="str">
        <f ca="1">IFERROR(VLOOKUP(G386,OFFSET(abbreviation[],0,ColumnLanguage),ColumnAbbreviation,FALSE),"")</f>
        <v/>
      </c>
      <c r="BL386" s="21" t="str">
        <f ca="1">IFERROR(VLOOKUP(I386,OFFSET(abbreviation[],0,ColumnLanguage),ColumnAbbreviation,FALSE),"")</f>
        <v/>
      </c>
      <c r="BM386" s="21" t="str">
        <f ca="1">IFERROR(VLOOKUP(K386,OFFSET(abbreviation[],0,ColumnLanguage),ColumnAbbreviation,FALSE),"")</f>
        <v/>
      </c>
      <c r="BN386" s="21" t="str">
        <f t="shared" ca="1" si="35"/>
        <v/>
      </c>
      <c r="BO386" s="21" t="str">
        <f ca="1">IFERROR(VLOOKUP(N386,OFFSET(abbreviation[],0,ColumnLanguage),ColumnAbbreviation,FALSE),"")</f>
        <v/>
      </c>
      <c r="BP386" s="21" t="str">
        <f ca="1">IFERROR(VLOOKUP(P386,OFFSET(abbreviation[],0,ColumnLanguage),ColumnAbbreviation,FALSE),"")</f>
        <v/>
      </c>
      <c r="BQ386" s="21" t="str">
        <f ca="1">IFERROR(VLOOKUP(T386,OFFSET(abbreviation[],0,ColumnLanguage),ColumnAbbreviation,FALSE),"")</f>
        <v/>
      </c>
      <c r="BR386" s="21" t="str">
        <f ca="1">IFERROR(VLOOKUP(V386,OFFSET(abbreviation[],0,ColumnLanguage),ColumnAbbreviation,FALSE),"")</f>
        <v/>
      </c>
      <c r="BS386" s="21" t="str">
        <f ca="1">IFERROR(VLOOKUP(Z386,OFFSET(abbreviation[],0,ColumnLanguage),ColumnAbbreviation,FALSE),"")</f>
        <v/>
      </c>
      <c r="BT386" s="21" t="str">
        <f ca="1">IFERROR(VLOOKUP(AB386,OFFSET(abbreviation[],0,ColumnLanguage),ColumnAbbreviation,FALSE),"")</f>
        <v/>
      </c>
      <c r="BU386" s="21" t="str">
        <f t="shared" ca="1" si="36"/>
        <v>__</v>
      </c>
      <c r="BV386" s="21" t="str">
        <f ca="1">IFERROR(VLOOKUP(AF386,OFFSET(abbreviation[],0,ColumnLanguage),ColumnAbbreviation,FALSE),"")</f>
        <v/>
      </c>
      <c r="BW386" s="21" t="str">
        <f ca="1">IFERROR(VLOOKUP(AH386,OFFSET(abbreviation[],0,ColumnLanguage),ColumnAbbreviation,FALSE),"")</f>
        <v/>
      </c>
      <c r="BX386" s="21" t="str">
        <f ca="1">IFERROR(VLOOKUP(AJ386,OFFSET(abbreviation[],0,ColumnLanguage),ColumnAbbreviation,FALSE),"")</f>
        <v/>
      </c>
      <c r="BY386" s="21" t="str">
        <f ca="1">IFERROR(VLOOKUP(AL386,OFFSET(abbreviation[],0,ColumnLanguage),ColumnAbbreviation,FALSE),"")</f>
        <v/>
      </c>
      <c r="BZ386" s="21" t="str">
        <f t="shared" ca="1" si="37"/>
        <v>_</v>
      </c>
      <c r="CA386" s="21" t="str">
        <f ca="1">IFERROR(VLOOKUP(AP386,OFFSET(abbreviation[],0,ColumnLanguage),ColumnAbbreviation,FALSE),"")</f>
        <v/>
      </c>
      <c r="CB386" s="21" t="str">
        <f ca="1">IFERROR(VLOOKUP(AR386,OFFSET(abbreviation[],0,ColumnLanguage),ColumnAbbreviation,FALSE),"")</f>
        <v/>
      </c>
      <c r="CC386" s="21" t="str">
        <f ca="1">IFERROR(VLOOKUP(AT386,OFFSET(abbreviation[],0,ColumnLanguage),ColumnAbbreviation,FALSE),"")</f>
        <v/>
      </c>
      <c r="CD386" s="21" t="str">
        <f ca="1">IFERROR(VLOOKUP(AV386,OFFSET(abbreviation[],0,ColumnLanguage),ColumnAbbreviation,FALSE),"")</f>
        <v/>
      </c>
      <c r="CE386" s="21" t="str">
        <f t="shared" ca="1" si="38"/>
        <v>__</v>
      </c>
      <c r="CF386" s="21" t="str">
        <f ca="1">IFERROR(VLOOKUP(AX386,OFFSET(abbreviation[],0,ColumnLanguage),ColumnAbbreviation,FALSE),"")</f>
        <v/>
      </c>
      <c r="CG386" s="21" t="str">
        <f ca="1">IFERROR(VLOOKUP(AZ386,OFFSET(abbreviation[],0,ColumnLanguage),ColumnAbbreviation,FALSE),"")</f>
        <v/>
      </c>
      <c r="CH386" s="21" t="str">
        <f ca="1">IFERROR(VLOOKUP(BB386,OFFSET(abbreviation[],0,ColumnLanguage),ColumnAbbreviation,FALSE),"")</f>
        <v/>
      </c>
      <c r="CI386" s="21" t="str">
        <f ca="1">IFERROR(VLOOKUP(BD386,OFFSET(abbreviation[],0,ColumnLanguage),ColumnAbbreviation,FALSE),"")</f>
        <v/>
      </c>
      <c r="CJ386" s="21" t="str">
        <f ca="1">IFERROR(VLOOKUP(BF386,OFFSET(abbreviation[],0,ColumnLanguage),ColumnAbbreviation,FALSE),"")</f>
        <v/>
      </c>
      <c r="CK386" s="21" t="str">
        <f t="shared" ca="1" si="39"/>
        <v/>
      </c>
      <c r="CL386" s="21" t="str">
        <f t="shared" si="40"/>
        <v/>
      </c>
      <c r="CM386" s="52"/>
      <c r="CN386" s="57" t="str">
        <f t="shared" si="41"/>
        <v/>
      </c>
    </row>
    <row r="387" spans="14:92" x14ac:dyDescent="0.25">
      <c r="P387" s="60"/>
      <c r="Q387" s="13"/>
      <c r="V387" s="60"/>
      <c r="X387" s="61"/>
      <c r="AB387" s="60"/>
      <c r="AN387" s="54"/>
      <c r="AS387" s="15"/>
      <c r="BH387" s="52"/>
      <c r="BI387" s="21" t="str">
        <f ca="1">IFERROR(VLOOKUP(C387,OFFSET(abbreviation[],0,ColumnLanguage),ColumnAbbreviation,FALSE),"")</f>
        <v/>
      </c>
      <c r="BJ387" s="21" t="str">
        <f ca="1">IFERROR(VLOOKUP(E387,OFFSET(abbreviation[],0,ColumnLanguage),ColumnAbbreviation,FALSE),"")</f>
        <v/>
      </c>
      <c r="BK387" s="21" t="str">
        <f ca="1">IFERROR(VLOOKUP(G387,OFFSET(abbreviation[],0,ColumnLanguage),ColumnAbbreviation,FALSE),"")</f>
        <v/>
      </c>
      <c r="BL387" s="21" t="str">
        <f ca="1">IFERROR(VLOOKUP(I387,OFFSET(abbreviation[],0,ColumnLanguage),ColumnAbbreviation,FALSE),"")</f>
        <v/>
      </c>
      <c r="BM387" s="21" t="str">
        <f ca="1">IFERROR(VLOOKUP(K387,OFFSET(abbreviation[],0,ColumnLanguage),ColumnAbbreviation,FALSE),"")</f>
        <v/>
      </c>
      <c r="BN387" s="21" t="str">
        <f t="shared" ca="1" si="35"/>
        <v/>
      </c>
      <c r="BO387" s="21" t="str">
        <f ca="1">IFERROR(VLOOKUP(N387,OFFSET(abbreviation[],0,ColumnLanguage),ColumnAbbreviation,FALSE),"")</f>
        <v/>
      </c>
      <c r="BP387" s="21" t="str">
        <f ca="1">IFERROR(VLOOKUP(P387,OFFSET(abbreviation[],0,ColumnLanguage),ColumnAbbreviation,FALSE),"")</f>
        <v/>
      </c>
      <c r="BQ387" s="21" t="str">
        <f ca="1">IFERROR(VLOOKUP(T387,OFFSET(abbreviation[],0,ColumnLanguage),ColumnAbbreviation,FALSE),"")</f>
        <v/>
      </c>
      <c r="BR387" s="21" t="str">
        <f ca="1">IFERROR(VLOOKUP(V387,OFFSET(abbreviation[],0,ColumnLanguage),ColumnAbbreviation,FALSE),"")</f>
        <v/>
      </c>
      <c r="BS387" s="21" t="str">
        <f ca="1">IFERROR(VLOOKUP(Z387,OFFSET(abbreviation[],0,ColumnLanguage),ColumnAbbreviation,FALSE),"")</f>
        <v/>
      </c>
      <c r="BT387" s="21" t="str">
        <f ca="1">IFERROR(VLOOKUP(AB387,OFFSET(abbreviation[],0,ColumnLanguage),ColumnAbbreviation,FALSE),"")</f>
        <v/>
      </c>
      <c r="BU387" s="21" t="str">
        <f t="shared" ca="1" si="36"/>
        <v>__</v>
      </c>
      <c r="BV387" s="21" t="str">
        <f ca="1">IFERROR(VLOOKUP(AF387,OFFSET(abbreviation[],0,ColumnLanguage),ColumnAbbreviation,FALSE),"")</f>
        <v/>
      </c>
      <c r="BW387" s="21" t="str">
        <f ca="1">IFERROR(VLOOKUP(AH387,OFFSET(abbreviation[],0,ColumnLanguage),ColumnAbbreviation,FALSE),"")</f>
        <v/>
      </c>
      <c r="BX387" s="21" t="str">
        <f ca="1">IFERROR(VLOOKUP(AJ387,OFFSET(abbreviation[],0,ColumnLanguage),ColumnAbbreviation,FALSE),"")</f>
        <v/>
      </c>
      <c r="BY387" s="21" t="str">
        <f ca="1">IFERROR(VLOOKUP(AL387,OFFSET(abbreviation[],0,ColumnLanguage),ColumnAbbreviation,FALSE),"")</f>
        <v/>
      </c>
      <c r="BZ387" s="21" t="str">
        <f t="shared" ca="1" si="37"/>
        <v>_</v>
      </c>
      <c r="CA387" s="21" t="str">
        <f ca="1">IFERROR(VLOOKUP(AP387,OFFSET(abbreviation[],0,ColumnLanguage),ColumnAbbreviation,FALSE),"")</f>
        <v/>
      </c>
      <c r="CB387" s="21" t="str">
        <f ca="1">IFERROR(VLOOKUP(AR387,OFFSET(abbreviation[],0,ColumnLanguage),ColumnAbbreviation,FALSE),"")</f>
        <v/>
      </c>
      <c r="CC387" s="21" t="str">
        <f ca="1">IFERROR(VLOOKUP(AT387,OFFSET(abbreviation[],0,ColumnLanguage),ColumnAbbreviation,FALSE),"")</f>
        <v/>
      </c>
      <c r="CD387" s="21" t="str">
        <f ca="1">IFERROR(VLOOKUP(AV387,OFFSET(abbreviation[],0,ColumnLanguage),ColumnAbbreviation,FALSE),"")</f>
        <v/>
      </c>
      <c r="CE387" s="21" t="str">
        <f t="shared" ca="1" si="38"/>
        <v>__</v>
      </c>
      <c r="CF387" s="21" t="str">
        <f ca="1">IFERROR(VLOOKUP(AX387,OFFSET(abbreviation[],0,ColumnLanguage),ColumnAbbreviation,FALSE),"")</f>
        <v/>
      </c>
      <c r="CG387" s="21" t="str">
        <f ca="1">IFERROR(VLOOKUP(AZ387,OFFSET(abbreviation[],0,ColumnLanguage),ColumnAbbreviation,FALSE),"")</f>
        <v/>
      </c>
      <c r="CH387" s="21" t="str">
        <f ca="1">IFERROR(VLOOKUP(BB387,OFFSET(abbreviation[],0,ColumnLanguage),ColumnAbbreviation,FALSE),"")</f>
        <v/>
      </c>
      <c r="CI387" s="21" t="str">
        <f ca="1">IFERROR(VLOOKUP(BD387,OFFSET(abbreviation[],0,ColumnLanguage),ColumnAbbreviation,FALSE),"")</f>
        <v/>
      </c>
      <c r="CJ387" s="21" t="str">
        <f ca="1">IFERROR(VLOOKUP(BF387,OFFSET(abbreviation[],0,ColumnLanguage),ColumnAbbreviation,FALSE),"")</f>
        <v/>
      </c>
      <c r="CK387" s="21" t="str">
        <f t="shared" ca="1" si="39"/>
        <v/>
      </c>
      <c r="CL387" s="21" t="str">
        <f t="shared" si="40"/>
        <v/>
      </c>
      <c r="CM387" s="52"/>
      <c r="CN387" s="57" t="str">
        <f t="shared" si="41"/>
        <v/>
      </c>
    </row>
    <row r="388" spans="14:92" x14ac:dyDescent="0.25">
      <c r="P388" s="60"/>
      <c r="Q388" s="13"/>
      <c r="V388" s="60"/>
      <c r="X388" s="61"/>
      <c r="AB388" s="60"/>
      <c r="AN388" s="54"/>
      <c r="AS388" s="15"/>
      <c r="BH388" s="52"/>
      <c r="BI388" s="21" t="str">
        <f ca="1">IFERROR(VLOOKUP(C388,OFFSET(abbreviation[],0,ColumnLanguage),ColumnAbbreviation,FALSE),"")</f>
        <v/>
      </c>
      <c r="BJ388" s="21" t="str">
        <f ca="1">IFERROR(VLOOKUP(E388,OFFSET(abbreviation[],0,ColumnLanguage),ColumnAbbreviation,FALSE),"")</f>
        <v/>
      </c>
      <c r="BK388" s="21" t="str">
        <f ca="1">IFERROR(VLOOKUP(G388,OFFSET(abbreviation[],0,ColumnLanguage),ColumnAbbreviation,FALSE),"")</f>
        <v/>
      </c>
      <c r="BL388" s="21" t="str">
        <f ca="1">IFERROR(VLOOKUP(I388,OFFSET(abbreviation[],0,ColumnLanguage),ColumnAbbreviation,FALSE),"")</f>
        <v/>
      </c>
      <c r="BM388" s="21" t="str">
        <f ca="1">IFERROR(VLOOKUP(K388,OFFSET(abbreviation[],0,ColumnLanguage),ColumnAbbreviation,FALSE),"")</f>
        <v/>
      </c>
      <c r="BN388" s="21" t="str">
        <f t="shared" ref="BN388:BN451" ca="1" si="42">(BI388&amp;IF(OR(ISNUMBER(D388),ISTEXT(D388)),"-"&amp;D388,))&amp;(IF(ISTEXT(E388),"_",)&amp;BJ388&amp;IF(OR(ISNUMBER(F388),ISTEXT(F388)),"-"&amp;F388,))&amp;(IF(ISTEXT(G388),"_",)&amp;BK388&amp;IF(OR(ISNUMBER(H388),ISTEXT(H388)),"-"&amp;H388,))&amp;(IF(ISTEXT(I388),"_",)&amp;BL388&amp;IF(OR(ISNUMBER(J388),ISTEXT(J388)),"-"&amp;J388,))&amp;(IF(ISTEXT(K388),"_",)&amp;BM388&amp;IF(OR(ISNUMBER(L388),ISTEXT(L388)),"-"&amp;L388,)&amp;IF(AND(ISTEXT(BI388),BI388&lt;&gt;""),"_._",))</f>
        <v/>
      </c>
      <c r="BO388" s="21" t="str">
        <f ca="1">IFERROR(VLOOKUP(N388,OFFSET(abbreviation[],0,ColumnLanguage),ColumnAbbreviation,FALSE),"")</f>
        <v/>
      </c>
      <c r="BP388" s="21" t="str">
        <f ca="1">IFERROR(VLOOKUP(P388,OFFSET(abbreviation[],0,ColumnLanguage),ColumnAbbreviation,FALSE),"")</f>
        <v/>
      </c>
      <c r="BQ388" s="21" t="str">
        <f ca="1">IFERROR(VLOOKUP(T388,OFFSET(abbreviation[],0,ColumnLanguage),ColumnAbbreviation,FALSE),"")</f>
        <v/>
      </c>
      <c r="BR388" s="21" t="str">
        <f ca="1">IFERROR(VLOOKUP(V388,OFFSET(abbreviation[],0,ColumnLanguage),ColumnAbbreviation,FALSE),"")</f>
        <v/>
      </c>
      <c r="BS388" s="21" t="str">
        <f ca="1">IFERROR(VLOOKUP(Z388,OFFSET(abbreviation[],0,ColumnLanguage),ColumnAbbreviation,FALSE),"")</f>
        <v/>
      </c>
      <c r="BT388" s="21" t="str">
        <f ca="1">IFERROR(VLOOKUP(AB388,OFFSET(abbreviation[],0,ColumnLanguage),ColumnAbbreviation,FALSE),"")</f>
        <v/>
      </c>
      <c r="BU388" s="21" t="str">
        <f t="shared" ref="BU388:BU451" ca="1" si="43">(BO388&amp;IF(ISTEXT(P388),"."&amp;BP388,)&amp;IF(OR(ISTEXT(R388),ISNUMBER(R388)),"-"&amp;R388,))&amp;("_"&amp;BQ388&amp;IF(ISTEXT(V388),"."&amp;BR388,)&amp;IF(OR(ISTEXT(X388),ISNUMBER(X388)),"-"&amp;X388,))&amp;("_"&amp;BS388&amp;IF(ISTEXT(AB388),"."&amp;BT388,)&amp;IF(OR(ISTEXT(AD388),ISNUMBER(AD388)),"-"&amp;AD388,))</f>
        <v>__</v>
      </c>
      <c r="BV388" s="21" t="str">
        <f ca="1">IFERROR(VLOOKUP(AF388,OFFSET(abbreviation[],0,ColumnLanguage),ColumnAbbreviation,FALSE),"")</f>
        <v/>
      </c>
      <c r="BW388" s="21" t="str">
        <f ca="1">IFERROR(VLOOKUP(AH388,OFFSET(abbreviation[],0,ColumnLanguage),ColumnAbbreviation,FALSE),"")</f>
        <v/>
      </c>
      <c r="BX388" s="21" t="str">
        <f ca="1">IFERROR(VLOOKUP(AJ388,OFFSET(abbreviation[],0,ColumnLanguage),ColumnAbbreviation,FALSE),"")</f>
        <v/>
      </c>
      <c r="BY388" s="21" t="str">
        <f ca="1">IFERROR(VLOOKUP(AL388,OFFSET(abbreviation[],0,ColumnLanguage),ColumnAbbreviation,FALSE),"")</f>
        <v/>
      </c>
      <c r="BZ388" s="21" t="str">
        <f t="shared" ref="BZ388:BZ451" ca="1" si="44">("_"&amp;BV388&amp;IF(ISTEXT(AH388),"."&amp;BW388,)&amp;IF(ISTEXT(AJ388),"."&amp;BX388,)&amp;IF(ISTEXT(AL388),"."&amp;BY388,)&amp;IF(OR(ISTEXT(AN388),ISNUMBER(AN388)),"-"&amp;AN388,))</f>
        <v>_</v>
      </c>
      <c r="CA388" s="21" t="str">
        <f ca="1">IFERROR(VLOOKUP(AP388,OFFSET(abbreviation[],0,ColumnLanguage),ColumnAbbreviation,FALSE),"")</f>
        <v/>
      </c>
      <c r="CB388" s="21" t="str">
        <f ca="1">IFERROR(VLOOKUP(AR388,OFFSET(abbreviation[],0,ColumnLanguage),ColumnAbbreviation,FALSE),"")</f>
        <v/>
      </c>
      <c r="CC388" s="21" t="str">
        <f ca="1">IFERROR(VLOOKUP(AT388,OFFSET(abbreviation[],0,ColumnLanguage),ColumnAbbreviation,FALSE),"")</f>
        <v/>
      </c>
      <c r="CD388" s="21" t="str">
        <f ca="1">IFERROR(VLOOKUP(AV388,OFFSET(abbreviation[],0,ColumnLanguage),ColumnAbbreviation,FALSE),"")</f>
        <v/>
      </c>
      <c r="CE388" s="21" t="str">
        <f t="shared" ref="CE388:CE451" ca="1" si="45">("_"&amp;CA388&amp;IF(ISTEXT(AR388),"."&amp;CB388,)&amp;IF(ISTEXT(AT388),"."&amp;CC388,))&amp;"_"&amp;CD388</f>
        <v>__</v>
      </c>
      <c r="CF388" s="21" t="str">
        <f ca="1">IFERROR(VLOOKUP(AX388,OFFSET(abbreviation[],0,ColumnLanguage),ColumnAbbreviation,FALSE),"")</f>
        <v/>
      </c>
      <c r="CG388" s="21" t="str">
        <f ca="1">IFERROR(VLOOKUP(AZ388,OFFSET(abbreviation[],0,ColumnLanguage),ColumnAbbreviation,FALSE),"")</f>
        <v/>
      </c>
      <c r="CH388" s="21" t="str">
        <f ca="1">IFERROR(VLOOKUP(BB388,OFFSET(abbreviation[],0,ColumnLanguage),ColumnAbbreviation,FALSE),"")</f>
        <v/>
      </c>
      <c r="CI388" s="21" t="str">
        <f ca="1">IFERROR(VLOOKUP(BD388,OFFSET(abbreviation[],0,ColumnLanguage),ColumnAbbreviation,FALSE),"")</f>
        <v/>
      </c>
      <c r="CJ388" s="21" t="str">
        <f ca="1">IFERROR(VLOOKUP(BF388,OFFSET(abbreviation[],0,ColumnLanguage),ColumnAbbreviation,FALSE),"")</f>
        <v/>
      </c>
      <c r="CK388" s="21" t="str">
        <f t="shared" ref="CK388:CK451" ca="1" si="46">(IF(ISTEXT(AX388),"_._",""))&amp;(IF(ISTEXT(AX388),"_",)&amp;CF388&amp;IF(OR(ISNUMBER(AY388),ISTEXT(AY388)),"-"&amp;AY388,))&amp;(IF(ISTEXT(AZ388),"_",)&amp;CG388&amp;IF(OR(ISNUMBER(BA388),ISTEXT(BA388)),"-"&amp;BA388,))&amp;(IF(ISTEXT(BB388),"_",)&amp;CH388&amp;IF(OR(ISNUMBER(BC388),ISTEXT(BC388)),"-"&amp;BC388,))&amp;(IF(ISTEXT(BD388),"_",)&amp;CI388&amp;IF(OR(ISNUMBER(BE388),ISTEXT(BE388)),"-"&amp;BE388,))&amp;(IF(ISTEXT(BF388),"_",)&amp;CJ388&amp;IF(OR(ISNUMBER(BG388),ISTEXT(BG388)),"-"&amp;BG388,))</f>
        <v/>
      </c>
      <c r="CL388" s="21" t="str">
        <f t="shared" ref="CL388:CL451" si="47">IF(OR(N388&lt;&gt;"",T388&lt;&gt;"",C388&lt;&gt;"",A388&lt;&gt;""),(BN388&amp;BU388&amp;BZ388&amp;CE388&amp;CK388),"")</f>
        <v/>
      </c>
      <c r="CM388" s="52"/>
      <c r="CN388" s="57" t="str">
        <f t="shared" ref="CN388:CN451" si="48">CL388</f>
        <v/>
      </c>
    </row>
    <row r="389" spans="14:92" x14ac:dyDescent="0.25">
      <c r="N389" s="10"/>
      <c r="P389" s="60"/>
      <c r="Q389" s="13"/>
      <c r="V389" s="60"/>
      <c r="X389" s="61"/>
      <c r="AB389" s="60"/>
      <c r="AN389" s="54"/>
      <c r="AS389" s="15"/>
      <c r="BH389" s="52"/>
      <c r="BI389" s="21" t="str">
        <f ca="1">IFERROR(VLOOKUP(C389,OFFSET(abbreviation[],0,ColumnLanguage),ColumnAbbreviation,FALSE),"")</f>
        <v/>
      </c>
      <c r="BJ389" s="21" t="str">
        <f ca="1">IFERROR(VLOOKUP(E389,OFFSET(abbreviation[],0,ColumnLanguage),ColumnAbbreviation,FALSE),"")</f>
        <v/>
      </c>
      <c r="BK389" s="21" t="str">
        <f ca="1">IFERROR(VLOOKUP(G389,OFFSET(abbreviation[],0,ColumnLanguage),ColumnAbbreviation,FALSE),"")</f>
        <v/>
      </c>
      <c r="BL389" s="21" t="str">
        <f ca="1">IFERROR(VLOOKUP(I389,OFFSET(abbreviation[],0,ColumnLanguage),ColumnAbbreviation,FALSE),"")</f>
        <v/>
      </c>
      <c r="BM389" s="21" t="str">
        <f ca="1">IFERROR(VLOOKUP(K389,OFFSET(abbreviation[],0,ColumnLanguage),ColumnAbbreviation,FALSE),"")</f>
        <v/>
      </c>
      <c r="BN389" s="21" t="str">
        <f t="shared" ca="1" si="42"/>
        <v/>
      </c>
      <c r="BO389" s="21" t="str">
        <f ca="1">IFERROR(VLOOKUP(N389,OFFSET(abbreviation[],0,ColumnLanguage),ColumnAbbreviation,FALSE),"")</f>
        <v/>
      </c>
      <c r="BP389" s="21" t="str">
        <f ca="1">IFERROR(VLOOKUP(P389,OFFSET(abbreviation[],0,ColumnLanguage),ColumnAbbreviation,FALSE),"")</f>
        <v/>
      </c>
      <c r="BQ389" s="21" t="str">
        <f ca="1">IFERROR(VLOOKUP(T389,OFFSET(abbreviation[],0,ColumnLanguage),ColumnAbbreviation,FALSE),"")</f>
        <v/>
      </c>
      <c r="BR389" s="21" t="str">
        <f ca="1">IFERROR(VLOOKUP(V389,OFFSET(abbreviation[],0,ColumnLanguage),ColumnAbbreviation,FALSE),"")</f>
        <v/>
      </c>
      <c r="BS389" s="21" t="str">
        <f ca="1">IFERROR(VLOOKUP(Z389,OFFSET(abbreviation[],0,ColumnLanguage),ColumnAbbreviation,FALSE),"")</f>
        <v/>
      </c>
      <c r="BT389" s="21" t="str">
        <f ca="1">IFERROR(VLOOKUP(AB389,OFFSET(abbreviation[],0,ColumnLanguage),ColumnAbbreviation,FALSE),"")</f>
        <v/>
      </c>
      <c r="BU389" s="21" t="str">
        <f t="shared" ca="1" si="43"/>
        <v>__</v>
      </c>
      <c r="BV389" s="21" t="str">
        <f ca="1">IFERROR(VLOOKUP(AF389,OFFSET(abbreviation[],0,ColumnLanguage),ColumnAbbreviation,FALSE),"")</f>
        <v/>
      </c>
      <c r="BW389" s="21" t="str">
        <f ca="1">IFERROR(VLOOKUP(AH389,OFFSET(abbreviation[],0,ColumnLanguage),ColumnAbbreviation,FALSE),"")</f>
        <v/>
      </c>
      <c r="BX389" s="21" t="str">
        <f ca="1">IFERROR(VLOOKUP(AJ389,OFFSET(abbreviation[],0,ColumnLanguage),ColumnAbbreviation,FALSE),"")</f>
        <v/>
      </c>
      <c r="BY389" s="21" t="str">
        <f ca="1">IFERROR(VLOOKUP(AL389,OFFSET(abbreviation[],0,ColumnLanguage),ColumnAbbreviation,FALSE),"")</f>
        <v/>
      </c>
      <c r="BZ389" s="21" t="str">
        <f t="shared" ca="1" si="44"/>
        <v>_</v>
      </c>
      <c r="CA389" s="21" t="str">
        <f ca="1">IFERROR(VLOOKUP(AP389,OFFSET(abbreviation[],0,ColumnLanguage),ColumnAbbreviation,FALSE),"")</f>
        <v/>
      </c>
      <c r="CB389" s="21" t="str">
        <f ca="1">IFERROR(VLOOKUP(AR389,OFFSET(abbreviation[],0,ColumnLanguage),ColumnAbbreviation,FALSE),"")</f>
        <v/>
      </c>
      <c r="CC389" s="21" t="str">
        <f ca="1">IFERROR(VLOOKUP(AT389,OFFSET(abbreviation[],0,ColumnLanguage),ColumnAbbreviation,FALSE),"")</f>
        <v/>
      </c>
      <c r="CD389" s="21" t="str">
        <f ca="1">IFERROR(VLOOKUP(AV389,OFFSET(abbreviation[],0,ColumnLanguage),ColumnAbbreviation,FALSE),"")</f>
        <v/>
      </c>
      <c r="CE389" s="21" t="str">
        <f t="shared" ca="1" si="45"/>
        <v>__</v>
      </c>
      <c r="CF389" s="21" t="str">
        <f ca="1">IFERROR(VLOOKUP(AX389,OFFSET(abbreviation[],0,ColumnLanguage),ColumnAbbreviation,FALSE),"")</f>
        <v/>
      </c>
      <c r="CG389" s="21" t="str">
        <f ca="1">IFERROR(VLOOKUP(AZ389,OFFSET(abbreviation[],0,ColumnLanguage),ColumnAbbreviation,FALSE),"")</f>
        <v/>
      </c>
      <c r="CH389" s="21" t="str">
        <f ca="1">IFERROR(VLOOKUP(BB389,OFFSET(abbreviation[],0,ColumnLanguage),ColumnAbbreviation,FALSE),"")</f>
        <v/>
      </c>
      <c r="CI389" s="21" t="str">
        <f ca="1">IFERROR(VLOOKUP(BD389,OFFSET(abbreviation[],0,ColumnLanguage),ColumnAbbreviation,FALSE),"")</f>
        <v/>
      </c>
      <c r="CJ389" s="21" t="str">
        <f ca="1">IFERROR(VLOOKUP(BF389,OFFSET(abbreviation[],0,ColumnLanguage),ColumnAbbreviation,FALSE),"")</f>
        <v/>
      </c>
      <c r="CK389" s="21" t="str">
        <f t="shared" ca="1" si="46"/>
        <v/>
      </c>
      <c r="CL389" s="21" t="str">
        <f t="shared" si="47"/>
        <v/>
      </c>
      <c r="CM389" s="52"/>
      <c r="CN389" s="57" t="str">
        <f t="shared" si="48"/>
        <v/>
      </c>
    </row>
    <row r="390" spans="14:92" x14ac:dyDescent="0.25">
      <c r="N390" s="10"/>
      <c r="P390" s="60"/>
      <c r="Q390" s="13"/>
      <c r="V390" s="60"/>
      <c r="X390" s="61"/>
      <c r="AB390" s="60"/>
      <c r="AN390" s="54"/>
      <c r="AS390" s="15"/>
      <c r="BH390" s="52"/>
      <c r="BI390" s="21" t="str">
        <f ca="1">IFERROR(VLOOKUP(C390,OFFSET(abbreviation[],0,ColumnLanguage),ColumnAbbreviation,FALSE),"")</f>
        <v/>
      </c>
      <c r="BJ390" s="21" t="str">
        <f ca="1">IFERROR(VLOOKUP(E390,OFFSET(abbreviation[],0,ColumnLanguage),ColumnAbbreviation,FALSE),"")</f>
        <v/>
      </c>
      <c r="BK390" s="21" t="str">
        <f ca="1">IFERROR(VLOOKUP(G390,OFFSET(abbreviation[],0,ColumnLanguage),ColumnAbbreviation,FALSE),"")</f>
        <v/>
      </c>
      <c r="BL390" s="21" t="str">
        <f ca="1">IFERROR(VLOOKUP(I390,OFFSET(abbreviation[],0,ColumnLanguage),ColumnAbbreviation,FALSE),"")</f>
        <v/>
      </c>
      <c r="BM390" s="21" t="str">
        <f ca="1">IFERROR(VLOOKUP(K390,OFFSET(abbreviation[],0,ColumnLanguage),ColumnAbbreviation,FALSE),"")</f>
        <v/>
      </c>
      <c r="BN390" s="21" t="str">
        <f t="shared" ca="1" si="42"/>
        <v/>
      </c>
      <c r="BO390" s="21" t="str">
        <f ca="1">IFERROR(VLOOKUP(N390,OFFSET(abbreviation[],0,ColumnLanguage),ColumnAbbreviation,FALSE),"")</f>
        <v/>
      </c>
      <c r="BP390" s="21" t="str">
        <f ca="1">IFERROR(VLOOKUP(P390,OFFSET(abbreviation[],0,ColumnLanguage),ColumnAbbreviation,FALSE),"")</f>
        <v/>
      </c>
      <c r="BQ390" s="21" t="str">
        <f ca="1">IFERROR(VLOOKUP(T390,OFFSET(abbreviation[],0,ColumnLanguage),ColumnAbbreviation,FALSE),"")</f>
        <v/>
      </c>
      <c r="BR390" s="21" t="str">
        <f ca="1">IFERROR(VLOOKUP(V390,OFFSET(abbreviation[],0,ColumnLanguage),ColumnAbbreviation,FALSE),"")</f>
        <v/>
      </c>
      <c r="BS390" s="21" t="str">
        <f ca="1">IFERROR(VLOOKUP(Z390,OFFSET(abbreviation[],0,ColumnLanguage),ColumnAbbreviation,FALSE),"")</f>
        <v/>
      </c>
      <c r="BT390" s="21" t="str">
        <f ca="1">IFERROR(VLOOKUP(AB390,OFFSET(abbreviation[],0,ColumnLanguage),ColumnAbbreviation,FALSE),"")</f>
        <v/>
      </c>
      <c r="BU390" s="21" t="str">
        <f t="shared" ca="1" si="43"/>
        <v>__</v>
      </c>
      <c r="BV390" s="21" t="str">
        <f ca="1">IFERROR(VLOOKUP(AF390,OFFSET(abbreviation[],0,ColumnLanguage),ColumnAbbreviation,FALSE),"")</f>
        <v/>
      </c>
      <c r="BW390" s="21" t="str">
        <f ca="1">IFERROR(VLOOKUP(AH390,OFFSET(abbreviation[],0,ColumnLanguage),ColumnAbbreviation,FALSE),"")</f>
        <v/>
      </c>
      <c r="BX390" s="21" t="str">
        <f ca="1">IFERROR(VLOOKUP(AJ390,OFFSET(abbreviation[],0,ColumnLanguage),ColumnAbbreviation,FALSE),"")</f>
        <v/>
      </c>
      <c r="BY390" s="21" t="str">
        <f ca="1">IFERROR(VLOOKUP(AL390,OFFSET(abbreviation[],0,ColumnLanguage),ColumnAbbreviation,FALSE),"")</f>
        <v/>
      </c>
      <c r="BZ390" s="21" t="str">
        <f t="shared" ca="1" si="44"/>
        <v>_</v>
      </c>
      <c r="CA390" s="21" t="str">
        <f ca="1">IFERROR(VLOOKUP(AP390,OFFSET(abbreviation[],0,ColumnLanguage),ColumnAbbreviation,FALSE),"")</f>
        <v/>
      </c>
      <c r="CB390" s="21" t="str">
        <f ca="1">IFERROR(VLOOKUP(AR390,OFFSET(abbreviation[],0,ColumnLanguage),ColumnAbbreviation,FALSE),"")</f>
        <v/>
      </c>
      <c r="CC390" s="21" t="str">
        <f ca="1">IFERROR(VLOOKUP(AT390,OFFSET(abbreviation[],0,ColumnLanguage),ColumnAbbreviation,FALSE),"")</f>
        <v/>
      </c>
      <c r="CD390" s="21" t="str">
        <f ca="1">IFERROR(VLOOKUP(AV390,OFFSET(abbreviation[],0,ColumnLanguage),ColumnAbbreviation,FALSE),"")</f>
        <v/>
      </c>
      <c r="CE390" s="21" t="str">
        <f t="shared" ca="1" si="45"/>
        <v>__</v>
      </c>
      <c r="CF390" s="21" t="str">
        <f ca="1">IFERROR(VLOOKUP(AX390,OFFSET(abbreviation[],0,ColumnLanguage),ColumnAbbreviation,FALSE),"")</f>
        <v/>
      </c>
      <c r="CG390" s="21" t="str">
        <f ca="1">IFERROR(VLOOKUP(AZ390,OFFSET(abbreviation[],0,ColumnLanguage),ColumnAbbreviation,FALSE),"")</f>
        <v/>
      </c>
      <c r="CH390" s="21" t="str">
        <f ca="1">IFERROR(VLOOKUP(BB390,OFFSET(abbreviation[],0,ColumnLanguage),ColumnAbbreviation,FALSE),"")</f>
        <v/>
      </c>
      <c r="CI390" s="21" t="str">
        <f ca="1">IFERROR(VLOOKUP(BD390,OFFSET(abbreviation[],0,ColumnLanguage),ColumnAbbreviation,FALSE),"")</f>
        <v/>
      </c>
      <c r="CJ390" s="21" t="str">
        <f ca="1">IFERROR(VLOOKUP(BF390,OFFSET(abbreviation[],0,ColumnLanguage),ColumnAbbreviation,FALSE),"")</f>
        <v/>
      </c>
      <c r="CK390" s="21" t="str">
        <f t="shared" ca="1" si="46"/>
        <v/>
      </c>
      <c r="CL390" s="21" t="str">
        <f t="shared" si="47"/>
        <v/>
      </c>
      <c r="CM390" s="52"/>
      <c r="CN390" s="57" t="str">
        <f t="shared" si="48"/>
        <v/>
      </c>
    </row>
    <row r="391" spans="14:92" x14ac:dyDescent="0.25">
      <c r="N391" s="59"/>
      <c r="P391" s="60"/>
      <c r="Q391" s="13"/>
      <c r="V391" s="60"/>
      <c r="X391" s="61"/>
      <c r="AB391" s="60"/>
      <c r="AN391" s="54"/>
      <c r="AS391" s="15"/>
      <c r="BH391" s="52"/>
      <c r="BI391" s="21" t="str">
        <f ca="1">IFERROR(VLOOKUP(C391,OFFSET(abbreviation[],0,ColumnLanguage),ColumnAbbreviation,FALSE),"")</f>
        <v/>
      </c>
      <c r="BJ391" s="21" t="str">
        <f ca="1">IFERROR(VLOOKUP(E391,OFFSET(abbreviation[],0,ColumnLanguage),ColumnAbbreviation,FALSE),"")</f>
        <v/>
      </c>
      <c r="BK391" s="21" t="str">
        <f ca="1">IFERROR(VLOOKUP(G391,OFFSET(abbreviation[],0,ColumnLanguage),ColumnAbbreviation,FALSE),"")</f>
        <v/>
      </c>
      <c r="BL391" s="21" t="str">
        <f ca="1">IFERROR(VLOOKUP(I391,OFFSET(abbreviation[],0,ColumnLanguage),ColumnAbbreviation,FALSE),"")</f>
        <v/>
      </c>
      <c r="BM391" s="21" t="str">
        <f ca="1">IFERROR(VLOOKUP(K391,OFFSET(abbreviation[],0,ColumnLanguage),ColumnAbbreviation,FALSE),"")</f>
        <v/>
      </c>
      <c r="BN391" s="21" t="str">
        <f t="shared" ca="1" si="42"/>
        <v/>
      </c>
      <c r="BO391" s="21" t="str">
        <f ca="1">IFERROR(VLOOKUP(N391,OFFSET(abbreviation[],0,ColumnLanguage),ColumnAbbreviation,FALSE),"")</f>
        <v/>
      </c>
      <c r="BP391" s="21" t="str">
        <f ca="1">IFERROR(VLOOKUP(P391,OFFSET(abbreviation[],0,ColumnLanguage),ColumnAbbreviation,FALSE),"")</f>
        <v/>
      </c>
      <c r="BQ391" s="21" t="str">
        <f ca="1">IFERROR(VLOOKUP(T391,OFFSET(abbreviation[],0,ColumnLanguage),ColumnAbbreviation,FALSE),"")</f>
        <v/>
      </c>
      <c r="BR391" s="21" t="str">
        <f ca="1">IFERROR(VLOOKUP(V391,OFFSET(abbreviation[],0,ColumnLanguage),ColumnAbbreviation,FALSE),"")</f>
        <v/>
      </c>
      <c r="BS391" s="21" t="str">
        <f ca="1">IFERROR(VLOOKUP(Z391,OFFSET(abbreviation[],0,ColumnLanguage),ColumnAbbreviation,FALSE),"")</f>
        <v/>
      </c>
      <c r="BT391" s="21" t="str">
        <f ca="1">IFERROR(VLOOKUP(AB391,OFFSET(abbreviation[],0,ColumnLanguage),ColumnAbbreviation,FALSE),"")</f>
        <v/>
      </c>
      <c r="BU391" s="21" t="str">
        <f t="shared" ca="1" si="43"/>
        <v>__</v>
      </c>
      <c r="BV391" s="21" t="str">
        <f ca="1">IFERROR(VLOOKUP(AF391,OFFSET(abbreviation[],0,ColumnLanguage),ColumnAbbreviation,FALSE),"")</f>
        <v/>
      </c>
      <c r="BW391" s="21" t="str">
        <f ca="1">IFERROR(VLOOKUP(AH391,OFFSET(abbreviation[],0,ColumnLanguage),ColumnAbbreviation,FALSE),"")</f>
        <v/>
      </c>
      <c r="BX391" s="21" t="str">
        <f ca="1">IFERROR(VLOOKUP(AJ391,OFFSET(abbreviation[],0,ColumnLanguage),ColumnAbbreviation,FALSE),"")</f>
        <v/>
      </c>
      <c r="BY391" s="21" t="str">
        <f ca="1">IFERROR(VLOOKUP(AL391,OFFSET(abbreviation[],0,ColumnLanguage),ColumnAbbreviation,FALSE),"")</f>
        <v/>
      </c>
      <c r="BZ391" s="21" t="str">
        <f t="shared" ca="1" si="44"/>
        <v>_</v>
      </c>
      <c r="CA391" s="21" t="str">
        <f ca="1">IFERROR(VLOOKUP(AP391,OFFSET(abbreviation[],0,ColumnLanguage),ColumnAbbreviation,FALSE),"")</f>
        <v/>
      </c>
      <c r="CB391" s="21" t="str">
        <f ca="1">IFERROR(VLOOKUP(AR391,OFFSET(abbreviation[],0,ColumnLanguage),ColumnAbbreviation,FALSE),"")</f>
        <v/>
      </c>
      <c r="CC391" s="21" t="str">
        <f ca="1">IFERROR(VLOOKUP(AT391,OFFSET(abbreviation[],0,ColumnLanguage),ColumnAbbreviation,FALSE),"")</f>
        <v/>
      </c>
      <c r="CD391" s="21" t="str">
        <f ca="1">IFERROR(VLOOKUP(AV391,OFFSET(abbreviation[],0,ColumnLanguage),ColumnAbbreviation,FALSE),"")</f>
        <v/>
      </c>
      <c r="CE391" s="21" t="str">
        <f t="shared" ca="1" si="45"/>
        <v>__</v>
      </c>
      <c r="CF391" s="21" t="str">
        <f ca="1">IFERROR(VLOOKUP(AX391,OFFSET(abbreviation[],0,ColumnLanguage),ColumnAbbreviation,FALSE),"")</f>
        <v/>
      </c>
      <c r="CG391" s="21" t="str">
        <f ca="1">IFERROR(VLOOKUP(AZ391,OFFSET(abbreviation[],0,ColumnLanguage),ColumnAbbreviation,FALSE),"")</f>
        <v/>
      </c>
      <c r="CH391" s="21" t="str">
        <f ca="1">IFERROR(VLOOKUP(BB391,OFFSET(abbreviation[],0,ColumnLanguage),ColumnAbbreviation,FALSE),"")</f>
        <v/>
      </c>
      <c r="CI391" s="21" t="str">
        <f ca="1">IFERROR(VLOOKUP(BD391,OFFSET(abbreviation[],0,ColumnLanguage),ColumnAbbreviation,FALSE),"")</f>
        <v/>
      </c>
      <c r="CJ391" s="21" t="str">
        <f ca="1">IFERROR(VLOOKUP(BF391,OFFSET(abbreviation[],0,ColumnLanguage),ColumnAbbreviation,FALSE),"")</f>
        <v/>
      </c>
      <c r="CK391" s="21" t="str">
        <f t="shared" ca="1" si="46"/>
        <v/>
      </c>
      <c r="CL391" s="21" t="str">
        <f t="shared" si="47"/>
        <v/>
      </c>
      <c r="CM391" s="52"/>
      <c r="CN391" s="57" t="str">
        <f t="shared" si="48"/>
        <v/>
      </c>
    </row>
    <row r="392" spans="14:92" x14ac:dyDescent="0.25">
      <c r="N392" s="58"/>
      <c r="P392" s="60"/>
      <c r="Q392" s="13"/>
      <c r="V392" s="60"/>
      <c r="X392" s="61"/>
      <c r="AB392" s="60"/>
      <c r="AN392" s="54"/>
      <c r="AS392" s="15"/>
      <c r="BH392" s="52"/>
      <c r="BI392" s="21" t="str">
        <f ca="1">IFERROR(VLOOKUP(C392,OFFSET(abbreviation[],0,ColumnLanguage),ColumnAbbreviation,FALSE),"")</f>
        <v/>
      </c>
      <c r="BJ392" s="21" t="str">
        <f ca="1">IFERROR(VLOOKUP(E392,OFFSET(abbreviation[],0,ColumnLanguage),ColumnAbbreviation,FALSE),"")</f>
        <v/>
      </c>
      <c r="BK392" s="21" t="str">
        <f ca="1">IFERROR(VLOOKUP(G392,OFFSET(abbreviation[],0,ColumnLanguage),ColumnAbbreviation,FALSE),"")</f>
        <v/>
      </c>
      <c r="BL392" s="21" t="str">
        <f ca="1">IFERROR(VLOOKUP(I392,OFFSET(abbreviation[],0,ColumnLanguage),ColumnAbbreviation,FALSE),"")</f>
        <v/>
      </c>
      <c r="BM392" s="21" t="str">
        <f ca="1">IFERROR(VLOOKUP(K392,OFFSET(abbreviation[],0,ColumnLanguage),ColumnAbbreviation,FALSE),"")</f>
        <v/>
      </c>
      <c r="BN392" s="21" t="str">
        <f t="shared" ca="1" si="42"/>
        <v/>
      </c>
      <c r="BO392" s="21" t="str">
        <f ca="1">IFERROR(VLOOKUP(N392,OFFSET(abbreviation[],0,ColumnLanguage),ColumnAbbreviation,FALSE),"")</f>
        <v/>
      </c>
      <c r="BP392" s="21" t="str">
        <f ca="1">IFERROR(VLOOKUP(P392,OFFSET(abbreviation[],0,ColumnLanguage),ColumnAbbreviation,FALSE),"")</f>
        <v/>
      </c>
      <c r="BQ392" s="21" t="str">
        <f ca="1">IFERROR(VLOOKUP(T392,OFFSET(abbreviation[],0,ColumnLanguage),ColumnAbbreviation,FALSE),"")</f>
        <v/>
      </c>
      <c r="BR392" s="21" t="str">
        <f ca="1">IFERROR(VLOOKUP(V392,OFFSET(abbreviation[],0,ColumnLanguage),ColumnAbbreviation,FALSE),"")</f>
        <v/>
      </c>
      <c r="BS392" s="21" t="str">
        <f ca="1">IFERROR(VLOOKUP(Z392,OFFSET(abbreviation[],0,ColumnLanguage),ColumnAbbreviation,FALSE),"")</f>
        <v/>
      </c>
      <c r="BT392" s="21" t="str">
        <f ca="1">IFERROR(VLOOKUP(AB392,OFFSET(abbreviation[],0,ColumnLanguage),ColumnAbbreviation,FALSE),"")</f>
        <v/>
      </c>
      <c r="BU392" s="21" t="str">
        <f t="shared" ca="1" si="43"/>
        <v>__</v>
      </c>
      <c r="BV392" s="21" t="str">
        <f ca="1">IFERROR(VLOOKUP(AF392,OFFSET(abbreviation[],0,ColumnLanguage),ColumnAbbreviation,FALSE),"")</f>
        <v/>
      </c>
      <c r="BW392" s="21" t="str">
        <f ca="1">IFERROR(VLOOKUP(AH392,OFFSET(abbreviation[],0,ColumnLanguage),ColumnAbbreviation,FALSE),"")</f>
        <v/>
      </c>
      <c r="BX392" s="21" t="str">
        <f ca="1">IFERROR(VLOOKUP(AJ392,OFFSET(abbreviation[],0,ColumnLanguage),ColumnAbbreviation,FALSE),"")</f>
        <v/>
      </c>
      <c r="BY392" s="21" t="str">
        <f ca="1">IFERROR(VLOOKUP(AL392,OFFSET(abbreviation[],0,ColumnLanguage),ColumnAbbreviation,FALSE),"")</f>
        <v/>
      </c>
      <c r="BZ392" s="21" t="str">
        <f t="shared" ca="1" si="44"/>
        <v>_</v>
      </c>
      <c r="CA392" s="21" t="str">
        <f ca="1">IFERROR(VLOOKUP(AP392,OFFSET(abbreviation[],0,ColumnLanguage),ColumnAbbreviation,FALSE),"")</f>
        <v/>
      </c>
      <c r="CB392" s="21" t="str">
        <f ca="1">IFERROR(VLOOKUP(AR392,OFFSET(abbreviation[],0,ColumnLanguage),ColumnAbbreviation,FALSE),"")</f>
        <v/>
      </c>
      <c r="CC392" s="21" t="str">
        <f ca="1">IFERROR(VLOOKUP(AT392,OFFSET(abbreviation[],0,ColumnLanguage),ColumnAbbreviation,FALSE),"")</f>
        <v/>
      </c>
      <c r="CD392" s="21" t="str">
        <f ca="1">IFERROR(VLOOKUP(AV392,OFFSET(abbreviation[],0,ColumnLanguage),ColumnAbbreviation,FALSE),"")</f>
        <v/>
      </c>
      <c r="CE392" s="21" t="str">
        <f t="shared" ca="1" si="45"/>
        <v>__</v>
      </c>
      <c r="CF392" s="21" t="str">
        <f ca="1">IFERROR(VLOOKUP(AX392,OFFSET(abbreviation[],0,ColumnLanguage),ColumnAbbreviation,FALSE),"")</f>
        <v/>
      </c>
      <c r="CG392" s="21" t="str">
        <f ca="1">IFERROR(VLOOKUP(AZ392,OFFSET(abbreviation[],0,ColumnLanguage),ColumnAbbreviation,FALSE),"")</f>
        <v/>
      </c>
      <c r="CH392" s="21" t="str">
        <f ca="1">IFERROR(VLOOKUP(BB392,OFFSET(abbreviation[],0,ColumnLanguage),ColumnAbbreviation,FALSE),"")</f>
        <v/>
      </c>
      <c r="CI392" s="21" t="str">
        <f ca="1">IFERROR(VLOOKUP(BD392,OFFSET(abbreviation[],0,ColumnLanguage),ColumnAbbreviation,FALSE),"")</f>
        <v/>
      </c>
      <c r="CJ392" s="21" t="str">
        <f ca="1">IFERROR(VLOOKUP(BF392,OFFSET(abbreviation[],0,ColumnLanguage),ColumnAbbreviation,FALSE),"")</f>
        <v/>
      </c>
      <c r="CK392" s="21" t="str">
        <f t="shared" ca="1" si="46"/>
        <v/>
      </c>
      <c r="CL392" s="21" t="str">
        <f t="shared" si="47"/>
        <v/>
      </c>
      <c r="CM392" s="52"/>
      <c r="CN392" s="57" t="str">
        <f t="shared" si="48"/>
        <v/>
      </c>
    </row>
    <row r="393" spans="14:92" x14ac:dyDescent="0.25">
      <c r="N393" s="58"/>
      <c r="P393" s="60"/>
      <c r="Q393" s="13"/>
      <c r="V393" s="60"/>
      <c r="X393" s="61"/>
      <c r="AB393" s="60"/>
      <c r="AN393" s="54"/>
      <c r="AS393" s="15"/>
      <c r="BH393" s="52"/>
      <c r="BI393" s="21" t="str">
        <f ca="1">IFERROR(VLOOKUP(C393,OFFSET(abbreviation[],0,ColumnLanguage),ColumnAbbreviation,FALSE),"")</f>
        <v/>
      </c>
      <c r="BJ393" s="21" t="str">
        <f ca="1">IFERROR(VLOOKUP(E393,OFFSET(abbreviation[],0,ColumnLanguage),ColumnAbbreviation,FALSE),"")</f>
        <v/>
      </c>
      <c r="BK393" s="21" t="str">
        <f ca="1">IFERROR(VLOOKUP(G393,OFFSET(abbreviation[],0,ColumnLanguage),ColumnAbbreviation,FALSE),"")</f>
        <v/>
      </c>
      <c r="BL393" s="21" t="str">
        <f ca="1">IFERROR(VLOOKUP(I393,OFFSET(abbreviation[],0,ColumnLanguage),ColumnAbbreviation,FALSE),"")</f>
        <v/>
      </c>
      <c r="BM393" s="21" t="str">
        <f ca="1">IFERROR(VLOOKUP(K393,OFFSET(abbreviation[],0,ColumnLanguage),ColumnAbbreviation,FALSE),"")</f>
        <v/>
      </c>
      <c r="BN393" s="21" t="str">
        <f t="shared" ca="1" si="42"/>
        <v/>
      </c>
      <c r="BO393" s="21" t="str">
        <f ca="1">IFERROR(VLOOKUP(N393,OFFSET(abbreviation[],0,ColumnLanguage),ColumnAbbreviation,FALSE),"")</f>
        <v/>
      </c>
      <c r="BP393" s="21" t="str">
        <f ca="1">IFERROR(VLOOKUP(P393,OFFSET(abbreviation[],0,ColumnLanguage),ColumnAbbreviation,FALSE),"")</f>
        <v/>
      </c>
      <c r="BQ393" s="21" t="str">
        <f ca="1">IFERROR(VLOOKUP(T393,OFFSET(abbreviation[],0,ColumnLanguage),ColumnAbbreviation,FALSE),"")</f>
        <v/>
      </c>
      <c r="BR393" s="21" t="str">
        <f ca="1">IFERROR(VLOOKUP(V393,OFFSET(abbreviation[],0,ColumnLanguage),ColumnAbbreviation,FALSE),"")</f>
        <v/>
      </c>
      <c r="BS393" s="21" t="str">
        <f ca="1">IFERROR(VLOOKUP(Z393,OFFSET(abbreviation[],0,ColumnLanguage),ColumnAbbreviation,FALSE),"")</f>
        <v/>
      </c>
      <c r="BT393" s="21" t="str">
        <f ca="1">IFERROR(VLOOKUP(AB393,OFFSET(abbreviation[],0,ColumnLanguage),ColumnAbbreviation,FALSE),"")</f>
        <v/>
      </c>
      <c r="BU393" s="21" t="str">
        <f t="shared" ca="1" si="43"/>
        <v>__</v>
      </c>
      <c r="BV393" s="21" t="str">
        <f ca="1">IFERROR(VLOOKUP(AF393,OFFSET(abbreviation[],0,ColumnLanguage),ColumnAbbreviation,FALSE),"")</f>
        <v/>
      </c>
      <c r="BW393" s="21" t="str">
        <f ca="1">IFERROR(VLOOKUP(AH393,OFFSET(abbreviation[],0,ColumnLanguage),ColumnAbbreviation,FALSE),"")</f>
        <v/>
      </c>
      <c r="BX393" s="21" t="str">
        <f ca="1">IFERROR(VLOOKUP(AJ393,OFFSET(abbreviation[],0,ColumnLanguage),ColumnAbbreviation,FALSE),"")</f>
        <v/>
      </c>
      <c r="BY393" s="21" t="str">
        <f ca="1">IFERROR(VLOOKUP(AL393,OFFSET(abbreviation[],0,ColumnLanguage),ColumnAbbreviation,FALSE),"")</f>
        <v/>
      </c>
      <c r="BZ393" s="21" t="str">
        <f t="shared" ca="1" si="44"/>
        <v>_</v>
      </c>
      <c r="CA393" s="21" t="str">
        <f ca="1">IFERROR(VLOOKUP(AP393,OFFSET(abbreviation[],0,ColumnLanguage),ColumnAbbreviation,FALSE),"")</f>
        <v/>
      </c>
      <c r="CB393" s="21" t="str">
        <f ca="1">IFERROR(VLOOKUP(AR393,OFFSET(abbreviation[],0,ColumnLanguage),ColumnAbbreviation,FALSE),"")</f>
        <v/>
      </c>
      <c r="CC393" s="21" t="str">
        <f ca="1">IFERROR(VLOOKUP(AT393,OFFSET(abbreviation[],0,ColumnLanguage),ColumnAbbreviation,FALSE),"")</f>
        <v/>
      </c>
      <c r="CD393" s="21" t="str">
        <f ca="1">IFERROR(VLOOKUP(AV393,OFFSET(abbreviation[],0,ColumnLanguage),ColumnAbbreviation,FALSE),"")</f>
        <v/>
      </c>
      <c r="CE393" s="21" t="str">
        <f t="shared" ca="1" si="45"/>
        <v>__</v>
      </c>
      <c r="CF393" s="21" t="str">
        <f ca="1">IFERROR(VLOOKUP(AX393,OFFSET(abbreviation[],0,ColumnLanguage),ColumnAbbreviation,FALSE),"")</f>
        <v/>
      </c>
      <c r="CG393" s="21" t="str">
        <f ca="1">IFERROR(VLOOKUP(AZ393,OFFSET(abbreviation[],0,ColumnLanguage),ColumnAbbreviation,FALSE),"")</f>
        <v/>
      </c>
      <c r="CH393" s="21" t="str">
        <f ca="1">IFERROR(VLOOKUP(BB393,OFFSET(abbreviation[],0,ColumnLanguage),ColumnAbbreviation,FALSE),"")</f>
        <v/>
      </c>
      <c r="CI393" s="21" t="str">
        <f ca="1">IFERROR(VLOOKUP(BD393,OFFSET(abbreviation[],0,ColumnLanguage),ColumnAbbreviation,FALSE),"")</f>
        <v/>
      </c>
      <c r="CJ393" s="21" t="str">
        <f ca="1">IFERROR(VLOOKUP(BF393,OFFSET(abbreviation[],0,ColumnLanguage),ColumnAbbreviation,FALSE),"")</f>
        <v/>
      </c>
      <c r="CK393" s="21" t="str">
        <f t="shared" ca="1" si="46"/>
        <v/>
      </c>
      <c r="CL393" s="21" t="str">
        <f t="shared" si="47"/>
        <v/>
      </c>
      <c r="CM393" s="52"/>
      <c r="CN393" s="57" t="str">
        <f t="shared" si="48"/>
        <v/>
      </c>
    </row>
    <row r="394" spans="14:92" x14ac:dyDescent="0.25">
      <c r="N394" s="58"/>
      <c r="P394" s="60"/>
      <c r="Q394" s="13"/>
      <c r="V394" s="60"/>
      <c r="X394" s="61"/>
      <c r="AB394" s="60"/>
      <c r="AN394" s="54"/>
      <c r="AS394" s="15"/>
      <c r="BH394" s="52"/>
      <c r="BI394" s="21" t="str">
        <f ca="1">IFERROR(VLOOKUP(C394,OFFSET(abbreviation[],0,ColumnLanguage),ColumnAbbreviation,FALSE),"")</f>
        <v/>
      </c>
      <c r="BJ394" s="21" t="str">
        <f ca="1">IFERROR(VLOOKUP(E394,OFFSET(abbreviation[],0,ColumnLanguage),ColumnAbbreviation,FALSE),"")</f>
        <v/>
      </c>
      <c r="BK394" s="21" t="str">
        <f ca="1">IFERROR(VLOOKUP(G394,OFFSET(abbreviation[],0,ColumnLanguage),ColumnAbbreviation,FALSE),"")</f>
        <v/>
      </c>
      <c r="BL394" s="21" t="str">
        <f ca="1">IFERROR(VLOOKUP(I394,OFFSET(abbreviation[],0,ColumnLanguage),ColumnAbbreviation,FALSE),"")</f>
        <v/>
      </c>
      <c r="BM394" s="21" t="str">
        <f ca="1">IFERROR(VLOOKUP(K394,OFFSET(abbreviation[],0,ColumnLanguage),ColumnAbbreviation,FALSE),"")</f>
        <v/>
      </c>
      <c r="BN394" s="21" t="str">
        <f t="shared" ca="1" si="42"/>
        <v/>
      </c>
      <c r="BO394" s="21" t="str">
        <f ca="1">IFERROR(VLOOKUP(N394,OFFSET(abbreviation[],0,ColumnLanguage),ColumnAbbreviation,FALSE),"")</f>
        <v/>
      </c>
      <c r="BP394" s="21" t="str">
        <f ca="1">IFERROR(VLOOKUP(P394,OFFSET(abbreviation[],0,ColumnLanguage),ColumnAbbreviation,FALSE),"")</f>
        <v/>
      </c>
      <c r="BQ394" s="21" t="str">
        <f ca="1">IFERROR(VLOOKUP(T394,OFFSET(abbreviation[],0,ColumnLanguage),ColumnAbbreviation,FALSE),"")</f>
        <v/>
      </c>
      <c r="BR394" s="21" t="str">
        <f ca="1">IFERROR(VLOOKUP(V394,OFFSET(abbreviation[],0,ColumnLanguage),ColumnAbbreviation,FALSE),"")</f>
        <v/>
      </c>
      <c r="BS394" s="21" t="str">
        <f ca="1">IFERROR(VLOOKUP(Z394,OFFSET(abbreviation[],0,ColumnLanguage),ColumnAbbreviation,FALSE),"")</f>
        <v/>
      </c>
      <c r="BT394" s="21" t="str">
        <f ca="1">IFERROR(VLOOKUP(AB394,OFFSET(abbreviation[],0,ColumnLanguage),ColumnAbbreviation,FALSE),"")</f>
        <v/>
      </c>
      <c r="BU394" s="21" t="str">
        <f t="shared" ca="1" si="43"/>
        <v>__</v>
      </c>
      <c r="BV394" s="21" t="str">
        <f ca="1">IFERROR(VLOOKUP(AF394,OFFSET(abbreviation[],0,ColumnLanguage),ColumnAbbreviation,FALSE),"")</f>
        <v/>
      </c>
      <c r="BW394" s="21" t="str">
        <f ca="1">IFERROR(VLOOKUP(AH394,OFFSET(abbreviation[],0,ColumnLanguage),ColumnAbbreviation,FALSE),"")</f>
        <v/>
      </c>
      <c r="BX394" s="21" t="str">
        <f ca="1">IFERROR(VLOOKUP(AJ394,OFFSET(abbreviation[],0,ColumnLanguage),ColumnAbbreviation,FALSE),"")</f>
        <v/>
      </c>
      <c r="BY394" s="21" t="str">
        <f ca="1">IFERROR(VLOOKUP(AL394,OFFSET(abbreviation[],0,ColumnLanguage),ColumnAbbreviation,FALSE),"")</f>
        <v/>
      </c>
      <c r="BZ394" s="21" t="str">
        <f t="shared" ca="1" si="44"/>
        <v>_</v>
      </c>
      <c r="CA394" s="21" t="str">
        <f ca="1">IFERROR(VLOOKUP(AP394,OFFSET(abbreviation[],0,ColumnLanguage),ColumnAbbreviation,FALSE),"")</f>
        <v/>
      </c>
      <c r="CB394" s="21" t="str">
        <f ca="1">IFERROR(VLOOKUP(AR394,OFFSET(abbreviation[],0,ColumnLanguage),ColumnAbbreviation,FALSE),"")</f>
        <v/>
      </c>
      <c r="CC394" s="21" t="str">
        <f ca="1">IFERROR(VLOOKUP(AT394,OFFSET(abbreviation[],0,ColumnLanguage),ColumnAbbreviation,FALSE),"")</f>
        <v/>
      </c>
      <c r="CD394" s="21" t="str">
        <f ca="1">IFERROR(VLOOKUP(AV394,OFFSET(abbreviation[],0,ColumnLanguage),ColumnAbbreviation,FALSE),"")</f>
        <v/>
      </c>
      <c r="CE394" s="21" t="str">
        <f t="shared" ca="1" si="45"/>
        <v>__</v>
      </c>
      <c r="CF394" s="21" t="str">
        <f ca="1">IFERROR(VLOOKUP(AX394,OFFSET(abbreviation[],0,ColumnLanguage),ColumnAbbreviation,FALSE),"")</f>
        <v/>
      </c>
      <c r="CG394" s="21" t="str">
        <f ca="1">IFERROR(VLOOKUP(AZ394,OFFSET(abbreviation[],0,ColumnLanguage),ColumnAbbreviation,FALSE),"")</f>
        <v/>
      </c>
      <c r="CH394" s="21" t="str">
        <f ca="1">IFERROR(VLOOKUP(BB394,OFFSET(abbreviation[],0,ColumnLanguage),ColumnAbbreviation,FALSE),"")</f>
        <v/>
      </c>
      <c r="CI394" s="21" t="str">
        <f ca="1">IFERROR(VLOOKUP(BD394,OFFSET(abbreviation[],0,ColumnLanguage),ColumnAbbreviation,FALSE),"")</f>
        <v/>
      </c>
      <c r="CJ394" s="21" t="str">
        <f ca="1">IFERROR(VLOOKUP(BF394,OFFSET(abbreviation[],0,ColumnLanguage),ColumnAbbreviation,FALSE),"")</f>
        <v/>
      </c>
      <c r="CK394" s="21" t="str">
        <f t="shared" ca="1" si="46"/>
        <v/>
      </c>
      <c r="CL394" s="21" t="str">
        <f t="shared" si="47"/>
        <v/>
      </c>
      <c r="CM394" s="52"/>
      <c r="CN394" s="57" t="str">
        <f t="shared" si="48"/>
        <v/>
      </c>
    </row>
    <row r="395" spans="14:92" x14ac:dyDescent="0.25">
      <c r="N395" s="58"/>
      <c r="P395" s="60"/>
      <c r="Q395" s="13"/>
      <c r="V395" s="60"/>
      <c r="X395" s="61"/>
      <c r="AB395" s="60"/>
      <c r="AN395" s="54"/>
      <c r="AS395" s="15"/>
      <c r="BH395" s="52"/>
      <c r="BI395" s="21" t="str">
        <f ca="1">IFERROR(VLOOKUP(C395,OFFSET(abbreviation[],0,ColumnLanguage),ColumnAbbreviation,FALSE),"")</f>
        <v/>
      </c>
      <c r="BJ395" s="21" t="str">
        <f ca="1">IFERROR(VLOOKUP(E395,OFFSET(abbreviation[],0,ColumnLanguage),ColumnAbbreviation,FALSE),"")</f>
        <v/>
      </c>
      <c r="BK395" s="21" t="str">
        <f ca="1">IFERROR(VLOOKUP(G395,OFFSET(abbreviation[],0,ColumnLanguage),ColumnAbbreviation,FALSE),"")</f>
        <v/>
      </c>
      <c r="BL395" s="21" t="str">
        <f ca="1">IFERROR(VLOOKUP(I395,OFFSET(abbreviation[],0,ColumnLanguage),ColumnAbbreviation,FALSE),"")</f>
        <v/>
      </c>
      <c r="BM395" s="21" t="str">
        <f ca="1">IFERROR(VLOOKUP(K395,OFFSET(abbreviation[],0,ColumnLanguage),ColumnAbbreviation,FALSE),"")</f>
        <v/>
      </c>
      <c r="BN395" s="21" t="str">
        <f t="shared" ca="1" si="42"/>
        <v/>
      </c>
      <c r="BO395" s="21" t="str">
        <f ca="1">IFERROR(VLOOKUP(N395,OFFSET(abbreviation[],0,ColumnLanguage),ColumnAbbreviation,FALSE),"")</f>
        <v/>
      </c>
      <c r="BP395" s="21" t="str">
        <f ca="1">IFERROR(VLOOKUP(P395,OFFSET(abbreviation[],0,ColumnLanguage),ColumnAbbreviation,FALSE),"")</f>
        <v/>
      </c>
      <c r="BQ395" s="21" t="str">
        <f ca="1">IFERROR(VLOOKUP(T395,OFFSET(abbreviation[],0,ColumnLanguage),ColumnAbbreviation,FALSE),"")</f>
        <v/>
      </c>
      <c r="BR395" s="21" t="str">
        <f ca="1">IFERROR(VLOOKUP(V395,OFFSET(abbreviation[],0,ColumnLanguage),ColumnAbbreviation,FALSE),"")</f>
        <v/>
      </c>
      <c r="BS395" s="21" t="str">
        <f ca="1">IFERROR(VLOOKUP(Z395,OFFSET(abbreviation[],0,ColumnLanguage),ColumnAbbreviation,FALSE),"")</f>
        <v/>
      </c>
      <c r="BT395" s="21" t="str">
        <f ca="1">IFERROR(VLOOKUP(AB395,OFFSET(abbreviation[],0,ColumnLanguage),ColumnAbbreviation,FALSE),"")</f>
        <v/>
      </c>
      <c r="BU395" s="21" t="str">
        <f t="shared" ca="1" si="43"/>
        <v>__</v>
      </c>
      <c r="BV395" s="21" t="str">
        <f ca="1">IFERROR(VLOOKUP(AF395,OFFSET(abbreviation[],0,ColumnLanguage),ColumnAbbreviation,FALSE),"")</f>
        <v/>
      </c>
      <c r="BW395" s="21" t="str">
        <f ca="1">IFERROR(VLOOKUP(AH395,OFFSET(abbreviation[],0,ColumnLanguage),ColumnAbbreviation,FALSE),"")</f>
        <v/>
      </c>
      <c r="BX395" s="21" t="str">
        <f ca="1">IFERROR(VLOOKUP(AJ395,OFFSET(abbreviation[],0,ColumnLanguage),ColumnAbbreviation,FALSE),"")</f>
        <v/>
      </c>
      <c r="BY395" s="21" t="str">
        <f ca="1">IFERROR(VLOOKUP(AL395,OFFSET(abbreviation[],0,ColumnLanguage),ColumnAbbreviation,FALSE),"")</f>
        <v/>
      </c>
      <c r="BZ395" s="21" t="str">
        <f t="shared" ca="1" si="44"/>
        <v>_</v>
      </c>
      <c r="CA395" s="21" t="str">
        <f ca="1">IFERROR(VLOOKUP(AP395,OFFSET(abbreviation[],0,ColumnLanguage),ColumnAbbreviation,FALSE),"")</f>
        <v/>
      </c>
      <c r="CB395" s="21" t="str">
        <f ca="1">IFERROR(VLOOKUP(AR395,OFFSET(abbreviation[],0,ColumnLanguage),ColumnAbbreviation,FALSE),"")</f>
        <v/>
      </c>
      <c r="CC395" s="21" t="str">
        <f ca="1">IFERROR(VLOOKUP(AT395,OFFSET(abbreviation[],0,ColumnLanguage),ColumnAbbreviation,FALSE),"")</f>
        <v/>
      </c>
      <c r="CD395" s="21" t="str">
        <f ca="1">IFERROR(VLOOKUP(AV395,OFFSET(abbreviation[],0,ColumnLanguage),ColumnAbbreviation,FALSE),"")</f>
        <v/>
      </c>
      <c r="CE395" s="21" t="str">
        <f t="shared" ca="1" si="45"/>
        <v>__</v>
      </c>
      <c r="CF395" s="21" t="str">
        <f ca="1">IFERROR(VLOOKUP(AX395,OFFSET(abbreviation[],0,ColumnLanguage),ColumnAbbreviation,FALSE),"")</f>
        <v/>
      </c>
      <c r="CG395" s="21" t="str">
        <f ca="1">IFERROR(VLOOKUP(AZ395,OFFSET(abbreviation[],0,ColumnLanguage),ColumnAbbreviation,FALSE),"")</f>
        <v/>
      </c>
      <c r="CH395" s="21" t="str">
        <f ca="1">IFERROR(VLOOKUP(BB395,OFFSET(abbreviation[],0,ColumnLanguage),ColumnAbbreviation,FALSE),"")</f>
        <v/>
      </c>
      <c r="CI395" s="21" t="str">
        <f ca="1">IFERROR(VLOOKUP(BD395,OFFSET(abbreviation[],0,ColumnLanguage),ColumnAbbreviation,FALSE),"")</f>
        <v/>
      </c>
      <c r="CJ395" s="21" t="str">
        <f ca="1">IFERROR(VLOOKUP(BF395,OFFSET(abbreviation[],0,ColumnLanguage),ColumnAbbreviation,FALSE),"")</f>
        <v/>
      </c>
      <c r="CK395" s="21" t="str">
        <f t="shared" ca="1" si="46"/>
        <v/>
      </c>
      <c r="CL395" s="21" t="str">
        <f t="shared" si="47"/>
        <v/>
      </c>
      <c r="CM395" s="52"/>
      <c r="CN395" s="57" t="str">
        <f t="shared" si="48"/>
        <v/>
      </c>
    </row>
    <row r="396" spans="14:92" x14ac:dyDescent="0.25">
      <c r="N396" s="58"/>
      <c r="P396" s="60"/>
      <c r="Q396" s="13"/>
      <c r="V396" s="60"/>
      <c r="X396" s="61"/>
      <c r="AB396" s="60"/>
      <c r="AN396" s="54"/>
      <c r="AS396" s="15"/>
      <c r="BH396" s="52"/>
      <c r="BI396" s="21" t="str">
        <f ca="1">IFERROR(VLOOKUP(C396,OFFSET(abbreviation[],0,ColumnLanguage),ColumnAbbreviation,FALSE),"")</f>
        <v/>
      </c>
      <c r="BJ396" s="21" t="str">
        <f ca="1">IFERROR(VLOOKUP(E396,OFFSET(abbreviation[],0,ColumnLanguage),ColumnAbbreviation,FALSE),"")</f>
        <v/>
      </c>
      <c r="BK396" s="21" t="str">
        <f ca="1">IFERROR(VLOOKUP(G396,OFFSET(abbreviation[],0,ColumnLanguage),ColumnAbbreviation,FALSE),"")</f>
        <v/>
      </c>
      <c r="BL396" s="21" t="str">
        <f ca="1">IFERROR(VLOOKUP(I396,OFFSET(abbreviation[],0,ColumnLanguage),ColumnAbbreviation,FALSE),"")</f>
        <v/>
      </c>
      <c r="BM396" s="21" t="str">
        <f ca="1">IFERROR(VLOOKUP(K396,OFFSET(abbreviation[],0,ColumnLanguage),ColumnAbbreviation,FALSE),"")</f>
        <v/>
      </c>
      <c r="BN396" s="21" t="str">
        <f t="shared" ca="1" si="42"/>
        <v/>
      </c>
      <c r="BO396" s="21" t="str">
        <f ca="1">IFERROR(VLOOKUP(N396,OFFSET(abbreviation[],0,ColumnLanguage),ColumnAbbreviation,FALSE),"")</f>
        <v/>
      </c>
      <c r="BP396" s="21" t="str">
        <f ca="1">IFERROR(VLOOKUP(P396,OFFSET(abbreviation[],0,ColumnLanguage),ColumnAbbreviation,FALSE),"")</f>
        <v/>
      </c>
      <c r="BQ396" s="21" t="str">
        <f ca="1">IFERROR(VLOOKUP(T396,OFFSET(abbreviation[],0,ColumnLanguage),ColumnAbbreviation,FALSE),"")</f>
        <v/>
      </c>
      <c r="BR396" s="21" t="str">
        <f ca="1">IFERROR(VLOOKUP(V396,OFFSET(abbreviation[],0,ColumnLanguage),ColumnAbbreviation,FALSE),"")</f>
        <v/>
      </c>
      <c r="BS396" s="21" t="str">
        <f ca="1">IFERROR(VLOOKUP(Z396,OFFSET(abbreviation[],0,ColumnLanguage),ColumnAbbreviation,FALSE),"")</f>
        <v/>
      </c>
      <c r="BT396" s="21" t="str">
        <f ca="1">IFERROR(VLOOKUP(AB396,OFFSET(abbreviation[],0,ColumnLanguage),ColumnAbbreviation,FALSE),"")</f>
        <v/>
      </c>
      <c r="BU396" s="21" t="str">
        <f t="shared" ca="1" si="43"/>
        <v>__</v>
      </c>
      <c r="BV396" s="21" t="str">
        <f ca="1">IFERROR(VLOOKUP(AF396,OFFSET(abbreviation[],0,ColumnLanguage),ColumnAbbreviation,FALSE),"")</f>
        <v/>
      </c>
      <c r="BW396" s="21" t="str">
        <f ca="1">IFERROR(VLOOKUP(AH396,OFFSET(abbreviation[],0,ColumnLanguage),ColumnAbbreviation,FALSE),"")</f>
        <v/>
      </c>
      <c r="BX396" s="21" t="str">
        <f ca="1">IFERROR(VLOOKUP(AJ396,OFFSET(abbreviation[],0,ColumnLanguage),ColumnAbbreviation,FALSE),"")</f>
        <v/>
      </c>
      <c r="BY396" s="21" t="str">
        <f ca="1">IFERROR(VLOOKUP(AL396,OFFSET(abbreviation[],0,ColumnLanguage),ColumnAbbreviation,FALSE),"")</f>
        <v/>
      </c>
      <c r="BZ396" s="21" t="str">
        <f t="shared" ca="1" si="44"/>
        <v>_</v>
      </c>
      <c r="CA396" s="21" t="str">
        <f ca="1">IFERROR(VLOOKUP(AP396,OFFSET(abbreviation[],0,ColumnLanguage),ColumnAbbreviation,FALSE),"")</f>
        <v/>
      </c>
      <c r="CB396" s="21" t="str">
        <f ca="1">IFERROR(VLOOKUP(AR396,OFFSET(abbreviation[],0,ColumnLanguage),ColumnAbbreviation,FALSE),"")</f>
        <v/>
      </c>
      <c r="CC396" s="21" t="str">
        <f ca="1">IFERROR(VLOOKUP(AT396,OFFSET(abbreviation[],0,ColumnLanguage),ColumnAbbreviation,FALSE),"")</f>
        <v/>
      </c>
      <c r="CD396" s="21" t="str">
        <f ca="1">IFERROR(VLOOKUP(AV396,OFFSET(abbreviation[],0,ColumnLanguage),ColumnAbbreviation,FALSE),"")</f>
        <v/>
      </c>
      <c r="CE396" s="21" t="str">
        <f t="shared" ca="1" si="45"/>
        <v>__</v>
      </c>
      <c r="CF396" s="21" t="str">
        <f ca="1">IFERROR(VLOOKUP(AX396,OFFSET(abbreviation[],0,ColumnLanguage),ColumnAbbreviation,FALSE),"")</f>
        <v/>
      </c>
      <c r="CG396" s="21" t="str">
        <f ca="1">IFERROR(VLOOKUP(AZ396,OFFSET(abbreviation[],0,ColumnLanguage),ColumnAbbreviation,FALSE),"")</f>
        <v/>
      </c>
      <c r="CH396" s="21" t="str">
        <f ca="1">IFERROR(VLOOKUP(BB396,OFFSET(abbreviation[],0,ColumnLanguage),ColumnAbbreviation,FALSE),"")</f>
        <v/>
      </c>
      <c r="CI396" s="21" t="str">
        <f ca="1">IFERROR(VLOOKUP(BD396,OFFSET(abbreviation[],0,ColumnLanguage),ColumnAbbreviation,FALSE),"")</f>
        <v/>
      </c>
      <c r="CJ396" s="21" t="str">
        <f ca="1">IFERROR(VLOOKUP(BF396,OFFSET(abbreviation[],0,ColumnLanguage),ColumnAbbreviation,FALSE),"")</f>
        <v/>
      </c>
      <c r="CK396" s="21" t="str">
        <f t="shared" ca="1" si="46"/>
        <v/>
      </c>
      <c r="CL396" s="21" t="str">
        <f t="shared" si="47"/>
        <v/>
      </c>
      <c r="CM396" s="52"/>
      <c r="CN396" s="57" t="str">
        <f t="shared" si="48"/>
        <v/>
      </c>
    </row>
    <row r="397" spans="14:92" x14ac:dyDescent="0.25">
      <c r="N397" s="58"/>
      <c r="P397" s="60"/>
      <c r="Q397" s="13"/>
      <c r="V397" s="60"/>
      <c r="X397" s="61"/>
      <c r="AB397" s="60"/>
      <c r="AN397" s="54"/>
      <c r="AS397" s="15"/>
      <c r="BH397" s="52"/>
      <c r="BI397" s="21" t="str">
        <f ca="1">IFERROR(VLOOKUP(C397,OFFSET(abbreviation[],0,ColumnLanguage),ColumnAbbreviation,FALSE),"")</f>
        <v/>
      </c>
      <c r="BJ397" s="21" t="str">
        <f ca="1">IFERROR(VLOOKUP(E397,OFFSET(abbreviation[],0,ColumnLanguage),ColumnAbbreviation,FALSE),"")</f>
        <v/>
      </c>
      <c r="BK397" s="21" t="str">
        <f ca="1">IFERROR(VLOOKUP(G397,OFFSET(abbreviation[],0,ColumnLanguage),ColumnAbbreviation,FALSE),"")</f>
        <v/>
      </c>
      <c r="BL397" s="21" t="str">
        <f ca="1">IFERROR(VLOOKUP(I397,OFFSET(abbreviation[],0,ColumnLanguage),ColumnAbbreviation,FALSE),"")</f>
        <v/>
      </c>
      <c r="BM397" s="21" t="str">
        <f ca="1">IFERROR(VLOOKUP(K397,OFFSET(abbreviation[],0,ColumnLanguage),ColumnAbbreviation,FALSE),"")</f>
        <v/>
      </c>
      <c r="BN397" s="21" t="str">
        <f t="shared" ca="1" si="42"/>
        <v/>
      </c>
      <c r="BO397" s="21" t="str">
        <f ca="1">IFERROR(VLOOKUP(N397,OFFSET(abbreviation[],0,ColumnLanguage),ColumnAbbreviation,FALSE),"")</f>
        <v/>
      </c>
      <c r="BP397" s="21" t="str">
        <f ca="1">IFERROR(VLOOKUP(P397,OFFSET(abbreviation[],0,ColumnLanguage),ColumnAbbreviation,FALSE),"")</f>
        <v/>
      </c>
      <c r="BQ397" s="21" t="str">
        <f ca="1">IFERROR(VLOOKUP(T397,OFFSET(abbreviation[],0,ColumnLanguage),ColumnAbbreviation,FALSE),"")</f>
        <v/>
      </c>
      <c r="BR397" s="21" t="str">
        <f ca="1">IFERROR(VLOOKUP(V397,OFFSET(abbreviation[],0,ColumnLanguage),ColumnAbbreviation,FALSE),"")</f>
        <v/>
      </c>
      <c r="BS397" s="21" t="str">
        <f ca="1">IFERROR(VLOOKUP(Z397,OFFSET(abbreviation[],0,ColumnLanguage),ColumnAbbreviation,FALSE),"")</f>
        <v/>
      </c>
      <c r="BT397" s="21" t="str">
        <f ca="1">IFERROR(VLOOKUP(AB397,OFFSET(abbreviation[],0,ColumnLanguage),ColumnAbbreviation,FALSE),"")</f>
        <v/>
      </c>
      <c r="BU397" s="21" t="str">
        <f t="shared" ca="1" si="43"/>
        <v>__</v>
      </c>
      <c r="BV397" s="21" t="str">
        <f ca="1">IFERROR(VLOOKUP(AF397,OFFSET(abbreviation[],0,ColumnLanguage),ColumnAbbreviation,FALSE),"")</f>
        <v/>
      </c>
      <c r="BW397" s="21" t="str">
        <f ca="1">IFERROR(VLOOKUP(AH397,OFFSET(abbreviation[],0,ColumnLanguage),ColumnAbbreviation,FALSE),"")</f>
        <v/>
      </c>
      <c r="BX397" s="21" t="str">
        <f ca="1">IFERROR(VLOOKUP(AJ397,OFFSET(abbreviation[],0,ColumnLanguage),ColumnAbbreviation,FALSE),"")</f>
        <v/>
      </c>
      <c r="BY397" s="21" t="str">
        <f ca="1">IFERROR(VLOOKUP(AL397,OFFSET(abbreviation[],0,ColumnLanguage),ColumnAbbreviation,FALSE),"")</f>
        <v/>
      </c>
      <c r="BZ397" s="21" t="str">
        <f t="shared" ca="1" si="44"/>
        <v>_</v>
      </c>
      <c r="CA397" s="21" t="str">
        <f ca="1">IFERROR(VLOOKUP(AP397,OFFSET(abbreviation[],0,ColumnLanguage),ColumnAbbreviation,FALSE),"")</f>
        <v/>
      </c>
      <c r="CB397" s="21" t="str">
        <f ca="1">IFERROR(VLOOKUP(AR397,OFFSET(abbreviation[],0,ColumnLanguage),ColumnAbbreviation,FALSE),"")</f>
        <v/>
      </c>
      <c r="CC397" s="21" t="str">
        <f ca="1">IFERROR(VLOOKUP(AT397,OFFSET(abbreviation[],0,ColumnLanguage),ColumnAbbreviation,FALSE),"")</f>
        <v/>
      </c>
      <c r="CD397" s="21" t="str">
        <f ca="1">IFERROR(VLOOKUP(AV397,OFFSET(abbreviation[],0,ColumnLanguage),ColumnAbbreviation,FALSE),"")</f>
        <v/>
      </c>
      <c r="CE397" s="21" t="str">
        <f t="shared" ca="1" si="45"/>
        <v>__</v>
      </c>
      <c r="CF397" s="21" t="str">
        <f ca="1">IFERROR(VLOOKUP(AX397,OFFSET(abbreviation[],0,ColumnLanguage),ColumnAbbreviation,FALSE),"")</f>
        <v/>
      </c>
      <c r="CG397" s="21" t="str">
        <f ca="1">IFERROR(VLOOKUP(AZ397,OFFSET(abbreviation[],0,ColumnLanguage),ColumnAbbreviation,FALSE),"")</f>
        <v/>
      </c>
      <c r="CH397" s="21" t="str">
        <f ca="1">IFERROR(VLOOKUP(BB397,OFFSET(abbreviation[],0,ColumnLanguage),ColumnAbbreviation,FALSE),"")</f>
        <v/>
      </c>
      <c r="CI397" s="21" t="str">
        <f ca="1">IFERROR(VLOOKUP(BD397,OFFSET(abbreviation[],0,ColumnLanguage),ColumnAbbreviation,FALSE),"")</f>
        <v/>
      </c>
      <c r="CJ397" s="21" t="str">
        <f ca="1">IFERROR(VLOOKUP(BF397,OFFSET(abbreviation[],0,ColumnLanguage),ColumnAbbreviation,FALSE),"")</f>
        <v/>
      </c>
      <c r="CK397" s="21" t="str">
        <f t="shared" ca="1" si="46"/>
        <v/>
      </c>
      <c r="CL397" s="21" t="str">
        <f t="shared" si="47"/>
        <v/>
      </c>
      <c r="CM397" s="52"/>
      <c r="CN397" s="57" t="str">
        <f t="shared" si="48"/>
        <v/>
      </c>
    </row>
    <row r="398" spans="14:92" x14ac:dyDescent="0.25">
      <c r="N398" s="58"/>
      <c r="P398" s="60"/>
      <c r="Q398" s="13"/>
      <c r="V398" s="60"/>
      <c r="X398" s="61"/>
      <c r="AB398" s="60"/>
      <c r="AN398" s="54"/>
      <c r="AS398" s="15"/>
      <c r="BH398" s="52"/>
      <c r="BI398" s="21" t="str">
        <f ca="1">IFERROR(VLOOKUP(C398,OFFSET(abbreviation[],0,ColumnLanguage),ColumnAbbreviation,FALSE),"")</f>
        <v/>
      </c>
      <c r="BJ398" s="21" t="str">
        <f ca="1">IFERROR(VLOOKUP(E398,OFFSET(abbreviation[],0,ColumnLanguage),ColumnAbbreviation,FALSE),"")</f>
        <v/>
      </c>
      <c r="BK398" s="21" t="str">
        <f ca="1">IFERROR(VLOOKUP(G398,OFFSET(abbreviation[],0,ColumnLanguage),ColumnAbbreviation,FALSE),"")</f>
        <v/>
      </c>
      <c r="BL398" s="21" t="str">
        <f ca="1">IFERROR(VLOOKUP(I398,OFFSET(abbreviation[],0,ColumnLanguage),ColumnAbbreviation,FALSE),"")</f>
        <v/>
      </c>
      <c r="BM398" s="21" t="str">
        <f ca="1">IFERROR(VLOOKUP(K398,OFFSET(abbreviation[],0,ColumnLanguage),ColumnAbbreviation,FALSE),"")</f>
        <v/>
      </c>
      <c r="BN398" s="21" t="str">
        <f t="shared" ca="1" si="42"/>
        <v/>
      </c>
      <c r="BO398" s="21" t="str">
        <f ca="1">IFERROR(VLOOKUP(N398,OFFSET(abbreviation[],0,ColumnLanguage),ColumnAbbreviation,FALSE),"")</f>
        <v/>
      </c>
      <c r="BP398" s="21" t="str">
        <f ca="1">IFERROR(VLOOKUP(P398,OFFSET(abbreviation[],0,ColumnLanguage),ColumnAbbreviation,FALSE),"")</f>
        <v/>
      </c>
      <c r="BQ398" s="21" t="str">
        <f ca="1">IFERROR(VLOOKUP(T398,OFFSET(abbreviation[],0,ColumnLanguage),ColumnAbbreviation,FALSE),"")</f>
        <v/>
      </c>
      <c r="BR398" s="21" t="str">
        <f ca="1">IFERROR(VLOOKUP(V398,OFFSET(abbreviation[],0,ColumnLanguage),ColumnAbbreviation,FALSE),"")</f>
        <v/>
      </c>
      <c r="BS398" s="21" t="str">
        <f ca="1">IFERROR(VLOOKUP(Z398,OFFSET(abbreviation[],0,ColumnLanguage),ColumnAbbreviation,FALSE),"")</f>
        <v/>
      </c>
      <c r="BT398" s="21" t="str">
        <f ca="1">IFERROR(VLOOKUP(AB398,OFFSET(abbreviation[],0,ColumnLanguage),ColumnAbbreviation,FALSE),"")</f>
        <v/>
      </c>
      <c r="BU398" s="21" t="str">
        <f t="shared" ca="1" si="43"/>
        <v>__</v>
      </c>
      <c r="BV398" s="21" t="str">
        <f ca="1">IFERROR(VLOOKUP(AF398,OFFSET(abbreviation[],0,ColumnLanguage),ColumnAbbreviation,FALSE),"")</f>
        <v/>
      </c>
      <c r="BW398" s="21" t="str">
        <f ca="1">IFERROR(VLOOKUP(AH398,OFFSET(abbreviation[],0,ColumnLanguage),ColumnAbbreviation,FALSE),"")</f>
        <v/>
      </c>
      <c r="BX398" s="21" t="str">
        <f ca="1">IFERROR(VLOOKUP(AJ398,OFFSET(abbreviation[],0,ColumnLanguage),ColumnAbbreviation,FALSE),"")</f>
        <v/>
      </c>
      <c r="BY398" s="21" t="str">
        <f ca="1">IFERROR(VLOOKUP(AL398,OFFSET(abbreviation[],0,ColumnLanguage),ColumnAbbreviation,FALSE),"")</f>
        <v/>
      </c>
      <c r="BZ398" s="21" t="str">
        <f t="shared" ca="1" si="44"/>
        <v>_</v>
      </c>
      <c r="CA398" s="21" t="str">
        <f ca="1">IFERROR(VLOOKUP(AP398,OFFSET(abbreviation[],0,ColumnLanguage),ColumnAbbreviation,FALSE),"")</f>
        <v/>
      </c>
      <c r="CB398" s="21" t="str">
        <f ca="1">IFERROR(VLOOKUP(AR398,OFFSET(abbreviation[],0,ColumnLanguage),ColumnAbbreviation,FALSE),"")</f>
        <v/>
      </c>
      <c r="CC398" s="21" t="str">
        <f ca="1">IFERROR(VLOOKUP(AT398,OFFSET(abbreviation[],0,ColumnLanguage),ColumnAbbreviation,FALSE),"")</f>
        <v/>
      </c>
      <c r="CD398" s="21" t="str">
        <f ca="1">IFERROR(VLOOKUP(AV398,OFFSET(abbreviation[],0,ColumnLanguage),ColumnAbbreviation,FALSE),"")</f>
        <v/>
      </c>
      <c r="CE398" s="21" t="str">
        <f t="shared" ca="1" si="45"/>
        <v>__</v>
      </c>
      <c r="CF398" s="21" t="str">
        <f ca="1">IFERROR(VLOOKUP(AX398,OFFSET(abbreviation[],0,ColumnLanguage),ColumnAbbreviation,FALSE),"")</f>
        <v/>
      </c>
      <c r="CG398" s="21" t="str">
        <f ca="1">IFERROR(VLOOKUP(AZ398,OFFSET(abbreviation[],0,ColumnLanguage),ColumnAbbreviation,FALSE),"")</f>
        <v/>
      </c>
      <c r="CH398" s="21" t="str">
        <f ca="1">IFERROR(VLOOKUP(BB398,OFFSET(abbreviation[],0,ColumnLanguage),ColumnAbbreviation,FALSE),"")</f>
        <v/>
      </c>
      <c r="CI398" s="21" t="str">
        <f ca="1">IFERROR(VLOOKUP(BD398,OFFSET(abbreviation[],0,ColumnLanguage),ColumnAbbreviation,FALSE),"")</f>
        <v/>
      </c>
      <c r="CJ398" s="21" t="str">
        <f ca="1">IFERROR(VLOOKUP(BF398,OFFSET(abbreviation[],0,ColumnLanguage),ColumnAbbreviation,FALSE),"")</f>
        <v/>
      </c>
      <c r="CK398" s="21" t="str">
        <f t="shared" ca="1" si="46"/>
        <v/>
      </c>
      <c r="CL398" s="21" t="str">
        <f t="shared" si="47"/>
        <v/>
      </c>
      <c r="CM398" s="52"/>
      <c r="CN398" s="57" t="str">
        <f t="shared" si="48"/>
        <v/>
      </c>
    </row>
    <row r="399" spans="14:92" x14ac:dyDescent="0.25">
      <c r="N399" s="58"/>
      <c r="P399" s="60"/>
      <c r="Q399" s="13"/>
      <c r="V399" s="60"/>
      <c r="X399" s="61"/>
      <c r="AB399" s="60"/>
      <c r="AN399" s="54"/>
      <c r="AS399" s="15"/>
      <c r="BH399" s="52"/>
      <c r="BI399" s="21" t="str">
        <f ca="1">IFERROR(VLOOKUP(C399,OFFSET(abbreviation[],0,ColumnLanguage),ColumnAbbreviation,FALSE),"")</f>
        <v/>
      </c>
      <c r="BJ399" s="21" t="str">
        <f ca="1">IFERROR(VLOOKUP(E399,OFFSET(abbreviation[],0,ColumnLanguage),ColumnAbbreviation,FALSE),"")</f>
        <v/>
      </c>
      <c r="BK399" s="21" t="str">
        <f ca="1">IFERROR(VLOOKUP(G399,OFFSET(abbreviation[],0,ColumnLanguage),ColumnAbbreviation,FALSE),"")</f>
        <v/>
      </c>
      <c r="BL399" s="21" t="str">
        <f ca="1">IFERROR(VLOOKUP(I399,OFFSET(abbreviation[],0,ColumnLanguage),ColumnAbbreviation,FALSE),"")</f>
        <v/>
      </c>
      <c r="BM399" s="21" t="str">
        <f ca="1">IFERROR(VLOOKUP(K399,OFFSET(abbreviation[],0,ColumnLanguage),ColumnAbbreviation,FALSE),"")</f>
        <v/>
      </c>
      <c r="BN399" s="21" t="str">
        <f t="shared" ca="1" si="42"/>
        <v/>
      </c>
      <c r="BO399" s="21" t="str">
        <f ca="1">IFERROR(VLOOKUP(N399,OFFSET(abbreviation[],0,ColumnLanguage),ColumnAbbreviation,FALSE),"")</f>
        <v/>
      </c>
      <c r="BP399" s="21" t="str">
        <f ca="1">IFERROR(VLOOKUP(P399,OFFSET(abbreviation[],0,ColumnLanguage),ColumnAbbreviation,FALSE),"")</f>
        <v/>
      </c>
      <c r="BQ399" s="21" t="str">
        <f ca="1">IFERROR(VLOOKUP(T399,OFFSET(abbreviation[],0,ColumnLanguage),ColumnAbbreviation,FALSE),"")</f>
        <v/>
      </c>
      <c r="BR399" s="21" t="str">
        <f ca="1">IFERROR(VLOOKUP(V399,OFFSET(abbreviation[],0,ColumnLanguage),ColumnAbbreviation,FALSE),"")</f>
        <v/>
      </c>
      <c r="BS399" s="21" t="str">
        <f ca="1">IFERROR(VLOOKUP(Z399,OFFSET(abbreviation[],0,ColumnLanguage),ColumnAbbreviation,FALSE),"")</f>
        <v/>
      </c>
      <c r="BT399" s="21" t="str">
        <f ca="1">IFERROR(VLOOKUP(AB399,OFFSET(abbreviation[],0,ColumnLanguage),ColumnAbbreviation,FALSE),"")</f>
        <v/>
      </c>
      <c r="BU399" s="21" t="str">
        <f t="shared" ca="1" si="43"/>
        <v>__</v>
      </c>
      <c r="BV399" s="21" t="str">
        <f ca="1">IFERROR(VLOOKUP(AF399,OFFSET(abbreviation[],0,ColumnLanguage),ColumnAbbreviation,FALSE),"")</f>
        <v/>
      </c>
      <c r="BW399" s="21" t="str">
        <f ca="1">IFERROR(VLOOKUP(AH399,OFFSET(abbreviation[],0,ColumnLanguage),ColumnAbbreviation,FALSE),"")</f>
        <v/>
      </c>
      <c r="BX399" s="21" t="str">
        <f ca="1">IFERROR(VLOOKUP(AJ399,OFFSET(abbreviation[],0,ColumnLanguage),ColumnAbbreviation,FALSE),"")</f>
        <v/>
      </c>
      <c r="BY399" s="21" t="str">
        <f ca="1">IFERROR(VLOOKUP(AL399,OFFSET(abbreviation[],0,ColumnLanguage),ColumnAbbreviation,FALSE),"")</f>
        <v/>
      </c>
      <c r="BZ399" s="21" t="str">
        <f t="shared" ca="1" si="44"/>
        <v>_</v>
      </c>
      <c r="CA399" s="21" t="str">
        <f ca="1">IFERROR(VLOOKUP(AP399,OFFSET(abbreviation[],0,ColumnLanguage),ColumnAbbreviation,FALSE),"")</f>
        <v/>
      </c>
      <c r="CB399" s="21" t="str">
        <f ca="1">IFERROR(VLOOKUP(AR399,OFFSET(abbreviation[],0,ColumnLanguage),ColumnAbbreviation,FALSE),"")</f>
        <v/>
      </c>
      <c r="CC399" s="21" t="str">
        <f ca="1">IFERROR(VLOOKUP(AT399,OFFSET(abbreviation[],0,ColumnLanguage),ColumnAbbreviation,FALSE),"")</f>
        <v/>
      </c>
      <c r="CD399" s="21" t="str">
        <f ca="1">IFERROR(VLOOKUP(AV399,OFFSET(abbreviation[],0,ColumnLanguage),ColumnAbbreviation,FALSE),"")</f>
        <v/>
      </c>
      <c r="CE399" s="21" t="str">
        <f t="shared" ca="1" si="45"/>
        <v>__</v>
      </c>
      <c r="CF399" s="21" t="str">
        <f ca="1">IFERROR(VLOOKUP(AX399,OFFSET(abbreviation[],0,ColumnLanguage),ColumnAbbreviation,FALSE),"")</f>
        <v/>
      </c>
      <c r="CG399" s="21" t="str">
        <f ca="1">IFERROR(VLOOKUP(AZ399,OFFSET(abbreviation[],0,ColumnLanguage),ColumnAbbreviation,FALSE),"")</f>
        <v/>
      </c>
      <c r="CH399" s="21" t="str">
        <f ca="1">IFERROR(VLOOKUP(BB399,OFFSET(abbreviation[],0,ColumnLanguage),ColumnAbbreviation,FALSE),"")</f>
        <v/>
      </c>
      <c r="CI399" s="21" t="str">
        <f ca="1">IFERROR(VLOOKUP(BD399,OFFSET(abbreviation[],0,ColumnLanguage),ColumnAbbreviation,FALSE),"")</f>
        <v/>
      </c>
      <c r="CJ399" s="21" t="str">
        <f ca="1">IFERROR(VLOOKUP(BF399,OFFSET(abbreviation[],0,ColumnLanguage),ColumnAbbreviation,FALSE),"")</f>
        <v/>
      </c>
      <c r="CK399" s="21" t="str">
        <f t="shared" ca="1" si="46"/>
        <v/>
      </c>
      <c r="CL399" s="21" t="str">
        <f t="shared" si="47"/>
        <v/>
      </c>
      <c r="CM399" s="52"/>
      <c r="CN399" s="57" t="str">
        <f t="shared" si="48"/>
        <v/>
      </c>
    </row>
    <row r="400" spans="14:92" x14ac:dyDescent="0.25">
      <c r="N400" s="58"/>
      <c r="P400" s="60"/>
      <c r="Q400" s="13"/>
      <c r="V400" s="60"/>
      <c r="X400" s="61"/>
      <c r="AB400" s="60"/>
      <c r="AN400" s="54"/>
      <c r="AS400" s="15"/>
      <c r="BH400" s="52"/>
      <c r="BI400" s="21" t="str">
        <f ca="1">IFERROR(VLOOKUP(C400,OFFSET(abbreviation[],0,ColumnLanguage),ColumnAbbreviation,FALSE),"")</f>
        <v/>
      </c>
      <c r="BJ400" s="21" t="str">
        <f ca="1">IFERROR(VLOOKUP(E400,OFFSET(abbreviation[],0,ColumnLanguage),ColumnAbbreviation,FALSE),"")</f>
        <v/>
      </c>
      <c r="BK400" s="21" t="str">
        <f ca="1">IFERROR(VLOOKUP(G400,OFFSET(abbreviation[],0,ColumnLanguage),ColumnAbbreviation,FALSE),"")</f>
        <v/>
      </c>
      <c r="BL400" s="21" t="str">
        <f ca="1">IFERROR(VLOOKUP(I400,OFFSET(abbreviation[],0,ColumnLanguage),ColumnAbbreviation,FALSE),"")</f>
        <v/>
      </c>
      <c r="BM400" s="21" t="str">
        <f ca="1">IFERROR(VLOOKUP(K400,OFFSET(abbreviation[],0,ColumnLanguage),ColumnAbbreviation,FALSE),"")</f>
        <v/>
      </c>
      <c r="BN400" s="21" t="str">
        <f t="shared" ca="1" si="42"/>
        <v/>
      </c>
      <c r="BO400" s="21" t="str">
        <f ca="1">IFERROR(VLOOKUP(N400,OFFSET(abbreviation[],0,ColumnLanguage),ColumnAbbreviation,FALSE),"")</f>
        <v/>
      </c>
      <c r="BP400" s="21" t="str">
        <f ca="1">IFERROR(VLOOKUP(P400,OFFSET(abbreviation[],0,ColumnLanguage),ColumnAbbreviation,FALSE),"")</f>
        <v/>
      </c>
      <c r="BQ400" s="21" t="str">
        <f ca="1">IFERROR(VLOOKUP(T400,OFFSET(abbreviation[],0,ColumnLanguage),ColumnAbbreviation,FALSE),"")</f>
        <v/>
      </c>
      <c r="BR400" s="21" t="str">
        <f ca="1">IFERROR(VLOOKUP(V400,OFFSET(abbreviation[],0,ColumnLanguage),ColumnAbbreviation,FALSE),"")</f>
        <v/>
      </c>
      <c r="BS400" s="21" t="str">
        <f ca="1">IFERROR(VLOOKUP(Z400,OFFSET(abbreviation[],0,ColumnLanguage),ColumnAbbreviation,FALSE),"")</f>
        <v/>
      </c>
      <c r="BT400" s="21" t="str">
        <f ca="1">IFERROR(VLOOKUP(AB400,OFFSET(abbreviation[],0,ColumnLanguage),ColumnAbbreviation,FALSE),"")</f>
        <v/>
      </c>
      <c r="BU400" s="21" t="str">
        <f t="shared" ca="1" si="43"/>
        <v>__</v>
      </c>
      <c r="BV400" s="21" t="str">
        <f ca="1">IFERROR(VLOOKUP(AF400,OFFSET(abbreviation[],0,ColumnLanguage),ColumnAbbreviation,FALSE),"")</f>
        <v/>
      </c>
      <c r="BW400" s="21" t="str">
        <f ca="1">IFERROR(VLOOKUP(AH400,OFFSET(abbreviation[],0,ColumnLanguage),ColumnAbbreviation,FALSE),"")</f>
        <v/>
      </c>
      <c r="BX400" s="21" t="str">
        <f ca="1">IFERROR(VLOOKUP(AJ400,OFFSET(abbreviation[],0,ColumnLanguage),ColumnAbbreviation,FALSE),"")</f>
        <v/>
      </c>
      <c r="BY400" s="21" t="str">
        <f ca="1">IFERROR(VLOOKUP(AL400,OFFSET(abbreviation[],0,ColumnLanguage),ColumnAbbreviation,FALSE),"")</f>
        <v/>
      </c>
      <c r="BZ400" s="21" t="str">
        <f t="shared" ca="1" si="44"/>
        <v>_</v>
      </c>
      <c r="CA400" s="21" t="str">
        <f ca="1">IFERROR(VLOOKUP(AP400,OFFSET(abbreviation[],0,ColumnLanguage),ColumnAbbreviation,FALSE),"")</f>
        <v/>
      </c>
      <c r="CB400" s="21" t="str">
        <f ca="1">IFERROR(VLOOKUP(AR400,OFFSET(abbreviation[],0,ColumnLanguage),ColumnAbbreviation,FALSE),"")</f>
        <v/>
      </c>
      <c r="CC400" s="21" t="str">
        <f ca="1">IFERROR(VLOOKUP(AT400,OFFSET(abbreviation[],0,ColumnLanguage),ColumnAbbreviation,FALSE),"")</f>
        <v/>
      </c>
      <c r="CD400" s="21" t="str">
        <f ca="1">IFERROR(VLOOKUP(AV400,OFFSET(abbreviation[],0,ColumnLanguage),ColumnAbbreviation,FALSE),"")</f>
        <v/>
      </c>
      <c r="CE400" s="21" t="str">
        <f t="shared" ca="1" si="45"/>
        <v>__</v>
      </c>
      <c r="CF400" s="21" t="str">
        <f ca="1">IFERROR(VLOOKUP(AX400,OFFSET(abbreviation[],0,ColumnLanguage),ColumnAbbreviation,FALSE),"")</f>
        <v/>
      </c>
      <c r="CG400" s="21" t="str">
        <f ca="1">IFERROR(VLOOKUP(AZ400,OFFSET(abbreviation[],0,ColumnLanguage),ColumnAbbreviation,FALSE),"")</f>
        <v/>
      </c>
      <c r="CH400" s="21" t="str">
        <f ca="1">IFERROR(VLOOKUP(BB400,OFFSET(abbreviation[],0,ColumnLanguage),ColumnAbbreviation,FALSE),"")</f>
        <v/>
      </c>
      <c r="CI400" s="21" t="str">
        <f ca="1">IFERROR(VLOOKUP(BD400,OFFSET(abbreviation[],0,ColumnLanguage),ColumnAbbreviation,FALSE),"")</f>
        <v/>
      </c>
      <c r="CJ400" s="21" t="str">
        <f ca="1">IFERROR(VLOOKUP(BF400,OFFSET(abbreviation[],0,ColumnLanguage),ColumnAbbreviation,FALSE),"")</f>
        <v/>
      </c>
      <c r="CK400" s="21" t="str">
        <f t="shared" ca="1" si="46"/>
        <v/>
      </c>
      <c r="CL400" s="21" t="str">
        <f t="shared" si="47"/>
        <v/>
      </c>
      <c r="CM400" s="52"/>
      <c r="CN400" s="57" t="str">
        <f t="shared" si="48"/>
        <v/>
      </c>
    </row>
    <row r="401" spans="14:92" x14ac:dyDescent="0.25">
      <c r="N401" s="58"/>
      <c r="P401" s="60"/>
      <c r="Q401" s="13"/>
      <c r="V401" s="60"/>
      <c r="X401" s="61"/>
      <c r="AB401" s="60"/>
      <c r="AN401" s="54"/>
      <c r="AS401" s="15"/>
      <c r="BH401" s="52"/>
      <c r="BI401" s="21" t="str">
        <f ca="1">IFERROR(VLOOKUP(C401,OFFSET(abbreviation[],0,ColumnLanguage),ColumnAbbreviation,FALSE),"")</f>
        <v/>
      </c>
      <c r="BJ401" s="21" t="str">
        <f ca="1">IFERROR(VLOOKUP(E401,OFFSET(abbreviation[],0,ColumnLanguage),ColumnAbbreviation,FALSE),"")</f>
        <v/>
      </c>
      <c r="BK401" s="21" t="str">
        <f ca="1">IFERROR(VLOOKUP(G401,OFFSET(abbreviation[],0,ColumnLanguage),ColumnAbbreviation,FALSE),"")</f>
        <v/>
      </c>
      <c r="BL401" s="21" t="str">
        <f ca="1">IFERROR(VLOOKUP(I401,OFFSET(abbreviation[],0,ColumnLanguage),ColumnAbbreviation,FALSE),"")</f>
        <v/>
      </c>
      <c r="BM401" s="21" t="str">
        <f ca="1">IFERROR(VLOOKUP(K401,OFFSET(abbreviation[],0,ColumnLanguage),ColumnAbbreviation,FALSE),"")</f>
        <v/>
      </c>
      <c r="BN401" s="21" t="str">
        <f t="shared" ca="1" si="42"/>
        <v/>
      </c>
      <c r="BO401" s="21" t="str">
        <f ca="1">IFERROR(VLOOKUP(N401,OFFSET(abbreviation[],0,ColumnLanguage),ColumnAbbreviation,FALSE),"")</f>
        <v/>
      </c>
      <c r="BP401" s="21" t="str">
        <f ca="1">IFERROR(VLOOKUP(P401,OFFSET(abbreviation[],0,ColumnLanguage),ColumnAbbreviation,FALSE),"")</f>
        <v/>
      </c>
      <c r="BQ401" s="21" t="str">
        <f ca="1">IFERROR(VLOOKUP(T401,OFFSET(abbreviation[],0,ColumnLanguage),ColumnAbbreviation,FALSE),"")</f>
        <v/>
      </c>
      <c r="BR401" s="21" t="str">
        <f ca="1">IFERROR(VLOOKUP(V401,OFFSET(abbreviation[],0,ColumnLanguage),ColumnAbbreviation,FALSE),"")</f>
        <v/>
      </c>
      <c r="BS401" s="21" t="str">
        <f ca="1">IFERROR(VLOOKUP(Z401,OFFSET(abbreviation[],0,ColumnLanguage),ColumnAbbreviation,FALSE),"")</f>
        <v/>
      </c>
      <c r="BT401" s="21" t="str">
        <f ca="1">IFERROR(VLOOKUP(AB401,OFFSET(abbreviation[],0,ColumnLanguage),ColumnAbbreviation,FALSE),"")</f>
        <v/>
      </c>
      <c r="BU401" s="21" t="str">
        <f t="shared" ca="1" si="43"/>
        <v>__</v>
      </c>
      <c r="BV401" s="21" t="str">
        <f ca="1">IFERROR(VLOOKUP(AF401,OFFSET(abbreviation[],0,ColumnLanguage),ColumnAbbreviation,FALSE),"")</f>
        <v/>
      </c>
      <c r="BW401" s="21" t="str">
        <f ca="1">IFERROR(VLOOKUP(AH401,OFFSET(abbreviation[],0,ColumnLanguage),ColumnAbbreviation,FALSE),"")</f>
        <v/>
      </c>
      <c r="BX401" s="21" t="str">
        <f ca="1">IFERROR(VLOOKUP(AJ401,OFFSET(abbreviation[],0,ColumnLanguage),ColumnAbbreviation,FALSE),"")</f>
        <v/>
      </c>
      <c r="BY401" s="21" t="str">
        <f ca="1">IFERROR(VLOOKUP(AL401,OFFSET(abbreviation[],0,ColumnLanguage),ColumnAbbreviation,FALSE),"")</f>
        <v/>
      </c>
      <c r="BZ401" s="21" t="str">
        <f t="shared" ca="1" si="44"/>
        <v>_</v>
      </c>
      <c r="CA401" s="21" t="str">
        <f ca="1">IFERROR(VLOOKUP(AP401,OFFSET(abbreviation[],0,ColumnLanguage),ColumnAbbreviation,FALSE),"")</f>
        <v/>
      </c>
      <c r="CB401" s="21" t="str">
        <f ca="1">IFERROR(VLOOKUP(AR401,OFFSET(abbreviation[],0,ColumnLanguage),ColumnAbbreviation,FALSE),"")</f>
        <v/>
      </c>
      <c r="CC401" s="21" t="str">
        <f ca="1">IFERROR(VLOOKUP(AT401,OFFSET(abbreviation[],0,ColumnLanguage),ColumnAbbreviation,FALSE),"")</f>
        <v/>
      </c>
      <c r="CD401" s="21" t="str">
        <f ca="1">IFERROR(VLOOKUP(AV401,OFFSET(abbreviation[],0,ColumnLanguage),ColumnAbbreviation,FALSE),"")</f>
        <v/>
      </c>
      <c r="CE401" s="21" t="str">
        <f t="shared" ca="1" si="45"/>
        <v>__</v>
      </c>
      <c r="CF401" s="21" t="str">
        <f ca="1">IFERROR(VLOOKUP(AX401,OFFSET(abbreviation[],0,ColumnLanguage),ColumnAbbreviation,FALSE),"")</f>
        <v/>
      </c>
      <c r="CG401" s="21" t="str">
        <f ca="1">IFERROR(VLOOKUP(AZ401,OFFSET(abbreviation[],0,ColumnLanguage),ColumnAbbreviation,FALSE),"")</f>
        <v/>
      </c>
      <c r="CH401" s="21" t="str">
        <f ca="1">IFERROR(VLOOKUP(BB401,OFFSET(abbreviation[],0,ColumnLanguage),ColumnAbbreviation,FALSE),"")</f>
        <v/>
      </c>
      <c r="CI401" s="21" t="str">
        <f ca="1">IFERROR(VLOOKUP(BD401,OFFSET(abbreviation[],0,ColumnLanguage),ColumnAbbreviation,FALSE),"")</f>
        <v/>
      </c>
      <c r="CJ401" s="21" t="str">
        <f ca="1">IFERROR(VLOOKUP(BF401,OFFSET(abbreviation[],0,ColumnLanguage),ColumnAbbreviation,FALSE),"")</f>
        <v/>
      </c>
      <c r="CK401" s="21" t="str">
        <f t="shared" ca="1" si="46"/>
        <v/>
      </c>
      <c r="CL401" s="21" t="str">
        <f t="shared" si="47"/>
        <v/>
      </c>
      <c r="CM401" s="52"/>
      <c r="CN401" s="57" t="str">
        <f t="shared" si="48"/>
        <v/>
      </c>
    </row>
    <row r="402" spans="14:92" x14ac:dyDescent="0.25">
      <c r="N402" s="58"/>
      <c r="P402" s="60"/>
      <c r="Q402" s="13"/>
      <c r="V402" s="60"/>
      <c r="X402" s="61"/>
      <c r="AB402" s="60"/>
      <c r="AN402" s="54"/>
      <c r="AS402" s="15"/>
      <c r="BH402" s="52"/>
      <c r="BI402" s="21" t="str">
        <f ca="1">IFERROR(VLOOKUP(C402,OFFSET(abbreviation[],0,ColumnLanguage),ColumnAbbreviation,FALSE),"")</f>
        <v/>
      </c>
      <c r="BJ402" s="21" t="str">
        <f ca="1">IFERROR(VLOOKUP(E402,OFFSET(abbreviation[],0,ColumnLanguage),ColumnAbbreviation,FALSE),"")</f>
        <v/>
      </c>
      <c r="BK402" s="21" t="str">
        <f ca="1">IFERROR(VLOOKUP(G402,OFFSET(abbreviation[],0,ColumnLanguage),ColumnAbbreviation,FALSE),"")</f>
        <v/>
      </c>
      <c r="BL402" s="21" t="str">
        <f ca="1">IFERROR(VLOOKUP(I402,OFFSET(abbreviation[],0,ColumnLanguage),ColumnAbbreviation,FALSE),"")</f>
        <v/>
      </c>
      <c r="BM402" s="21" t="str">
        <f ca="1">IFERROR(VLOOKUP(K402,OFFSET(abbreviation[],0,ColumnLanguage),ColumnAbbreviation,FALSE),"")</f>
        <v/>
      </c>
      <c r="BN402" s="21" t="str">
        <f t="shared" ca="1" si="42"/>
        <v/>
      </c>
      <c r="BO402" s="21" t="str">
        <f ca="1">IFERROR(VLOOKUP(N402,OFFSET(abbreviation[],0,ColumnLanguage),ColumnAbbreviation,FALSE),"")</f>
        <v/>
      </c>
      <c r="BP402" s="21" t="str">
        <f ca="1">IFERROR(VLOOKUP(P402,OFFSET(abbreviation[],0,ColumnLanguage),ColumnAbbreviation,FALSE),"")</f>
        <v/>
      </c>
      <c r="BQ402" s="21" t="str">
        <f ca="1">IFERROR(VLOOKUP(T402,OFFSET(abbreviation[],0,ColumnLanguage),ColumnAbbreviation,FALSE),"")</f>
        <v/>
      </c>
      <c r="BR402" s="21" t="str">
        <f ca="1">IFERROR(VLOOKUP(V402,OFFSET(abbreviation[],0,ColumnLanguage),ColumnAbbreviation,FALSE),"")</f>
        <v/>
      </c>
      <c r="BS402" s="21" t="str">
        <f ca="1">IFERROR(VLOOKUP(Z402,OFFSET(abbreviation[],0,ColumnLanguage),ColumnAbbreviation,FALSE),"")</f>
        <v/>
      </c>
      <c r="BT402" s="21" t="str">
        <f ca="1">IFERROR(VLOOKUP(AB402,OFFSET(abbreviation[],0,ColumnLanguage),ColumnAbbreviation,FALSE),"")</f>
        <v/>
      </c>
      <c r="BU402" s="21" t="str">
        <f t="shared" ca="1" si="43"/>
        <v>__</v>
      </c>
      <c r="BV402" s="21" t="str">
        <f ca="1">IFERROR(VLOOKUP(AF402,OFFSET(abbreviation[],0,ColumnLanguage),ColumnAbbreviation,FALSE),"")</f>
        <v/>
      </c>
      <c r="BW402" s="21" t="str">
        <f ca="1">IFERROR(VLOOKUP(AH402,OFFSET(abbreviation[],0,ColumnLanguage),ColumnAbbreviation,FALSE),"")</f>
        <v/>
      </c>
      <c r="BX402" s="21" t="str">
        <f ca="1">IFERROR(VLOOKUP(AJ402,OFFSET(abbreviation[],0,ColumnLanguage),ColumnAbbreviation,FALSE),"")</f>
        <v/>
      </c>
      <c r="BY402" s="21" t="str">
        <f ca="1">IFERROR(VLOOKUP(AL402,OFFSET(abbreviation[],0,ColumnLanguage),ColumnAbbreviation,FALSE),"")</f>
        <v/>
      </c>
      <c r="BZ402" s="21" t="str">
        <f t="shared" ca="1" si="44"/>
        <v>_</v>
      </c>
      <c r="CA402" s="21" t="str">
        <f ca="1">IFERROR(VLOOKUP(AP402,OFFSET(abbreviation[],0,ColumnLanguage),ColumnAbbreviation,FALSE),"")</f>
        <v/>
      </c>
      <c r="CB402" s="21" t="str">
        <f ca="1">IFERROR(VLOOKUP(AR402,OFFSET(abbreviation[],0,ColumnLanguage),ColumnAbbreviation,FALSE),"")</f>
        <v/>
      </c>
      <c r="CC402" s="21" t="str">
        <f ca="1">IFERROR(VLOOKUP(AT402,OFFSET(abbreviation[],0,ColumnLanguage),ColumnAbbreviation,FALSE),"")</f>
        <v/>
      </c>
      <c r="CD402" s="21" t="str">
        <f ca="1">IFERROR(VLOOKUP(AV402,OFFSET(abbreviation[],0,ColumnLanguage),ColumnAbbreviation,FALSE),"")</f>
        <v/>
      </c>
      <c r="CE402" s="21" t="str">
        <f t="shared" ca="1" si="45"/>
        <v>__</v>
      </c>
      <c r="CF402" s="21" t="str">
        <f ca="1">IFERROR(VLOOKUP(AX402,OFFSET(abbreviation[],0,ColumnLanguage),ColumnAbbreviation,FALSE),"")</f>
        <v/>
      </c>
      <c r="CG402" s="21" t="str">
        <f ca="1">IFERROR(VLOOKUP(AZ402,OFFSET(abbreviation[],0,ColumnLanguage),ColumnAbbreviation,FALSE),"")</f>
        <v/>
      </c>
      <c r="CH402" s="21" t="str">
        <f ca="1">IFERROR(VLOOKUP(BB402,OFFSET(abbreviation[],0,ColumnLanguage),ColumnAbbreviation,FALSE),"")</f>
        <v/>
      </c>
      <c r="CI402" s="21" t="str">
        <f ca="1">IFERROR(VLOOKUP(BD402,OFFSET(abbreviation[],0,ColumnLanguage),ColumnAbbreviation,FALSE),"")</f>
        <v/>
      </c>
      <c r="CJ402" s="21" t="str">
        <f ca="1">IFERROR(VLOOKUP(BF402,OFFSET(abbreviation[],0,ColumnLanguage),ColumnAbbreviation,FALSE),"")</f>
        <v/>
      </c>
      <c r="CK402" s="21" t="str">
        <f t="shared" ca="1" si="46"/>
        <v/>
      </c>
      <c r="CL402" s="21" t="str">
        <f t="shared" si="47"/>
        <v/>
      </c>
      <c r="CM402" s="52"/>
      <c r="CN402" s="57" t="str">
        <f t="shared" si="48"/>
        <v/>
      </c>
    </row>
    <row r="403" spans="14:92" x14ac:dyDescent="0.25">
      <c r="N403" s="58"/>
      <c r="P403" s="60"/>
      <c r="Q403" s="13"/>
      <c r="V403" s="60"/>
      <c r="X403" s="61"/>
      <c r="AB403" s="60"/>
      <c r="AN403" s="54"/>
      <c r="AS403" s="15"/>
      <c r="BH403" s="52"/>
      <c r="BI403" s="21" t="str">
        <f ca="1">IFERROR(VLOOKUP(C403,OFFSET(abbreviation[],0,ColumnLanguage),ColumnAbbreviation,FALSE),"")</f>
        <v/>
      </c>
      <c r="BJ403" s="21" t="str">
        <f ca="1">IFERROR(VLOOKUP(E403,OFFSET(abbreviation[],0,ColumnLanguage),ColumnAbbreviation,FALSE),"")</f>
        <v/>
      </c>
      <c r="BK403" s="21" t="str">
        <f ca="1">IFERROR(VLOOKUP(G403,OFFSET(abbreviation[],0,ColumnLanguage),ColumnAbbreviation,FALSE),"")</f>
        <v/>
      </c>
      <c r="BL403" s="21" t="str">
        <f ca="1">IFERROR(VLOOKUP(I403,OFFSET(abbreviation[],0,ColumnLanguage),ColumnAbbreviation,FALSE),"")</f>
        <v/>
      </c>
      <c r="BM403" s="21" t="str">
        <f ca="1">IFERROR(VLOOKUP(K403,OFFSET(abbreviation[],0,ColumnLanguage),ColumnAbbreviation,FALSE),"")</f>
        <v/>
      </c>
      <c r="BN403" s="21" t="str">
        <f t="shared" ca="1" si="42"/>
        <v/>
      </c>
      <c r="BO403" s="21" t="str">
        <f ca="1">IFERROR(VLOOKUP(N403,OFFSET(abbreviation[],0,ColumnLanguage),ColumnAbbreviation,FALSE),"")</f>
        <v/>
      </c>
      <c r="BP403" s="21" t="str">
        <f ca="1">IFERROR(VLOOKUP(P403,OFFSET(abbreviation[],0,ColumnLanguage),ColumnAbbreviation,FALSE),"")</f>
        <v/>
      </c>
      <c r="BQ403" s="21" t="str">
        <f ca="1">IFERROR(VLOOKUP(T403,OFFSET(abbreviation[],0,ColumnLanguage),ColumnAbbreviation,FALSE),"")</f>
        <v/>
      </c>
      <c r="BR403" s="21" t="str">
        <f ca="1">IFERROR(VLOOKUP(V403,OFFSET(abbreviation[],0,ColumnLanguage),ColumnAbbreviation,FALSE),"")</f>
        <v/>
      </c>
      <c r="BS403" s="21" t="str">
        <f ca="1">IFERROR(VLOOKUP(Z403,OFFSET(abbreviation[],0,ColumnLanguage),ColumnAbbreviation,FALSE),"")</f>
        <v/>
      </c>
      <c r="BT403" s="21" t="str">
        <f ca="1">IFERROR(VLOOKUP(AB403,OFFSET(abbreviation[],0,ColumnLanguage),ColumnAbbreviation,FALSE),"")</f>
        <v/>
      </c>
      <c r="BU403" s="21" t="str">
        <f t="shared" ca="1" si="43"/>
        <v>__</v>
      </c>
      <c r="BV403" s="21" t="str">
        <f ca="1">IFERROR(VLOOKUP(AF403,OFFSET(abbreviation[],0,ColumnLanguage),ColumnAbbreviation,FALSE),"")</f>
        <v/>
      </c>
      <c r="BW403" s="21" t="str">
        <f ca="1">IFERROR(VLOOKUP(AH403,OFFSET(abbreviation[],0,ColumnLanguage),ColumnAbbreviation,FALSE),"")</f>
        <v/>
      </c>
      <c r="BX403" s="21" t="str">
        <f ca="1">IFERROR(VLOOKUP(AJ403,OFFSET(abbreviation[],0,ColumnLanguage),ColumnAbbreviation,FALSE),"")</f>
        <v/>
      </c>
      <c r="BY403" s="21" t="str">
        <f ca="1">IFERROR(VLOOKUP(AL403,OFFSET(abbreviation[],0,ColumnLanguage),ColumnAbbreviation,FALSE),"")</f>
        <v/>
      </c>
      <c r="BZ403" s="21" t="str">
        <f t="shared" ca="1" si="44"/>
        <v>_</v>
      </c>
      <c r="CA403" s="21" t="str">
        <f ca="1">IFERROR(VLOOKUP(AP403,OFFSET(abbreviation[],0,ColumnLanguage),ColumnAbbreviation,FALSE),"")</f>
        <v/>
      </c>
      <c r="CB403" s="21" t="str">
        <f ca="1">IFERROR(VLOOKUP(AR403,OFFSET(abbreviation[],0,ColumnLanguage),ColumnAbbreviation,FALSE),"")</f>
        <v/>
      </c>
      <c r="CC403" s="21" t="str">
        <f ca="1">IFERROR(VLOOKUP(AT403,OFFSET(abbreviation[],0,ColumnLanguage),ColumnAbbreviation,FALSE),"")</f>
        <v/>
      </c>
      <c r="CD403" s="21" t="str">
        <f ca="1">IFERROR(VLOOKUP(AV403,OFFSET(abbreviation[],0,ColumnLanguage),ColumnAbbreviation,FALSE),"")</f>
        <v/>
      </c>
      <c r="CE403" s="21" t="str">
        <f t="shared" ca="1" si="45"/>
        <v>__</v>
      </c>
      <c r="CF403" s="21" t="str">
        <f ca="1">IFERROR(VLOOKUP(AX403,OFFSET(abbreviation[],0,ColumnLanguage),ColumnAbbreviation,FALSE),"")</f>
        <v/>
      </c>
      <c r="CG403" s="21" t="str">
        <f ca="1">IFERROR(VLOOKUP(AZ403,OFFSET(abbreviation[],0,ColumnLanguage),ColumnAbbreviation,FALSE),"")</f>
        <v/>
      </c>
      <c r="CH403" s="21" t="str">
        <f ca="1">IFERROR(VLOOKUP(BB403,OFFSET(abbreviation[],0,ColumnLanguage),ColumnAbbreviation,FALSE),"")</f>
        <v/>
      </c>
      <c r="CI403" s="21" t="str">
        <f ca="1">IFERROR(VLOOKUP(BD403,OFFSET(abbreviation[],0,ColumnLanguage),ColumnAbbreviation,FALSE),"")</f>
        <v/>
      </c>
      <c r="CJ403" s="21" t="str">
        <f ca="1">IFERROR(VLOOKUP(BF403,OFFSET(abbreviation[],0,ColumnLanguage),ColumnAbbreviation,FALSE),"")</f>
        <v/>
      </c>
      <c r="CK403" s="21" t="str">
        <f t="shared" ca="1" si="46"/>
        <v/>
      </c>
      <c r="CL403" s="21" t="str">
        <f t="shared" si="47"/>
        <v/>
      </c>
      <c r="CM403" s="52"/>
      <c r="CN403" s="57" t="str">
        <f t="shared" si="48"/>
        <v/>
      </c>
    </row>
    <row r="404" spans="14:92" x14ac:dyDescent="0.25">
      <c r="N404" s="58"/>
      <c r="P404" s="60"/>
      <c r="Q404" s="13"/>
      <c r="V404" s="60"/>
      <c r="X404" s="61"/>
      <c r="AB404" s="60"/>
      <c r="AN404" s="54"/>
      <c r="AS404" s="15"/>
      <c r="BH404" s="52"/>
      <c r="BI404" s="21" t="str">
        <f ca="1">IFERROR(VLOOKUP(C404,OFFSET(abbreviation[],0,ColumnLanguage),ColumnAbbreviation,FALSE),"")</f>
        <v/>
      </c>
      <c r="BJ404" s="21" t="str">
        <f ca="1">IFERROR(VLOOKUP(E404,OFFSET(abbreviation[],0,ColumnLanguage),ColumnAbbreviation,FALSE),"")</f>
        <v/>
      </c>
      <c r="BK404" s="21" t="str">
        <f ca="1">IFERROR(VLOOKUP(G404,OFFSET(abbreviation[],0,ColumnLanguage),ColumnAbbreviation,FALSE),"")</f>
        <v/>
      </c>
      <c r="BL404" s="21" t="str">
        <f ca="1">IFERROR(VLOOKUP(I404,OFFSET(abbreviation[],0,ColumnLanguage),ColumnAbbreviation,FALSE),"")</f>
        <v/>
      </c>
      <c r="BM404" s="21" t="str">
        <f ca="1">IFERROR(VLOOKUP(K404,OFFSET(abbreviation[],0,ColumnLanguage),ColumnAbbreviation,FALSE),"")</f>
        <v/>
      </c>
      <c r="BN404" s="21" t="str">
        <f t="shared" ca="1" si="42"/>
        <v/>
      </c>
      <c r="BO404" s="21" t="str">
        <f ca="1">IFERROR(VLOOKUP(N404,OFFSET(abbreviation[],0,ColumnLanguage),ColumnAbbreviation,FALSE),"")</f>
        <v/>
      </c>
      <c r="BP404" s="21" t="str">
        <f ca="1">IFERROR(VLOOKUP(P404,OFFSET(abbreviation[],0,ColumnLanguage),ColumnAbbreviation,FALSE),"")</f>
        <v/>
      </c>
      <c r="BQ404" s="21" t="str">
        <f ca="1">IFERROR(VLOOKUP(T404,OFFSET(abbreviation[],0,ColumnLanguage),ColumnAbbreviation,FALSE),"")</f>
        <v/>
      </c>
      <c r="BR404" s="21" t="str">
        <f ca="1">IFERROR(VLOOKUP(V404,OFFSET(abbreviation[],0,ColumnLanguage),ColumnAbbreviation,FALSE),"")</f>
        <v/>
      </c>
      <c r="BS404" s="21" t="str">
        <f ca="1">IFERROR(VLOOKUP(Z404,OFFSET(abbreviation[],0,ColumnLanguage),ColumnAbbreviation,FALSE),"")</f>
        <v/>
      </c>
      <c r="BT404" s="21" t="str">
        <f ca="1">IFERROR(VLOOKUP(AB404,OFFSET(abbreviation[],0,ColumnLanguage),ColumnAbbreviation,FALSE),"")</f>
        <v/>
      </c>
      <c r="BU404" s="21" t="str">
        <f t="shared" ca="1" si="43"/>
        <v>__</v>
      </c>
      <c r="BV404" s="21" t="str">
        <f ca="1">IFERROR(VLOOKUP(AF404,OFFSET(abbreviation[],0,ColumnLanguage),ColumnAbbreviation,FALSE),"")</f>
        <v/>
      </c>
      <c r="BW404" s="21" t="str">
        <f ca="1">IFERROR(VLOOKUP(AH404,OFFSET(abbreviation[],0,ColumnLanguage),ColumnAbbreviation,FALSE),"")</f>
        <v/>
      </c>
      <c r="BX404" s="21" t="str">
        <f ca="1">IFERROR(VLOOKUP(AJ404,OFFSET(abbreviation[],0,ColumnLanguage),ColumnAbbreviation,FALSE),"")</f>
        <v/>
      </c>
      <c r="BY404" s="21" t="str">
        <f ca="1">IFERROR(VLOOKUP(AL404,OFFSET(abbreviation[],0,ColumnLanguage),ColumnAbbreviation,FALSE),"")</f>
        <v/>
      </c>
      <c r="BZ404" s="21" t="str">
        <f t="shared" ca="1" si="44"/>
        <v>_</v>
      </c>
      <c r="CA404" s="21" t="str">
        <f ca="1">IFERROR(VLOOKUP(AP404,OFFSET(abbreviation[],0,ColumnLanguage),ColumnAbbreviation,FALSE),"")</f>
        <v/>
      </c>
      <c r="CB404" s="21" t="str">
        <f ca="1">IFERROR(VLOOKUP(AR404,OFFSET(abbreviation[],0,ColumnLanguage),ColumnAbbreviation,FALSE),"")</f>
        <v/>
      </c>
      <c r="CC404" s="21" t="str">
        <f ca="1">IFERROR(VLOOKUP(AT404,OFFSET(abbreviation[],0,ColumnLanguage),ColumnAbbreviation,FALSE),"")</f>
        <v/>
      </c>
      <c r="CD404" s="21" t="str">
        <f ca="1">IFERROR(VLOOKUP(AV404,OFFSET(abbreviation[],0,ColumnLanguage),ColumnAbbreviation,FALSE),"")</f>
        <v/>
      </c>
      <c r="CE404" s="21" t="str">
        <f t="shared" ca="1" si="45"/>
        <v>__</v>
      </c>
      <c r="CF404" s="21" t="str">
        <f ca="1">IFERROR(VLOOKUP(AX404,OFFSET(abbreviation[],0,ColumnLanguage),ColumnAbbreviation,FALSE),"")</f>
        <v/>
      </c>
      <c r="CG404" s="21" t="str">
        <f ca="1">IFERROR(VLOOKUP(AZ404,OFFSET(abbreviation[],0,ColumnLanguage),ColumnAbbreviation,FALSE),"")</f>
        <v/>
      </c>
      <c r="CH404" s="21" t="str">
        <f ca="1">IFERROR(VLOOKUP(BB404,OFFSET(abbreviation[],0,ColumnLanguage),ColumnAbbreviation,FALSE),"")</f>
        <v/>
      </c>
      <c r="CI404" s="21" t="str">
        <f ca="1">IFERROR(VLOOKUP(BD404,OFFSET(abbreviation[],0,ColumnLanguage),ColumnAbbreviation,FALSE),"")</f>
        <v/>
      </c>
      <c r="CJ404" s="21" t="str">
        <f ca="1">IFERROR(VLOOKUP(BF404,OFFSET(abbreviation[],0,ColumnLanguage),ColumnAbbreviation,FALSE),"")</f>
        <v/>
      </c>
      <c r="CK404" s="21" t="str">
        <f t="shared" ca="1" si="46"/>
        <v/>
      </c>
      <c r="CL404" s="21" t="str">
        <f t="shared" si="47"/>
        <v/>
      </c>
      <c r="CM404" s="52"/>
      <c r="CN404" s="57" t="str">
        <f t="shared" si="48"/>
        <v/>
      </c>
    </row>
    <row r="405" spans="14:92" x14ac:dyDescent="0.25">
      <c r="N405" s="58"/>
      <c r="P405" s="60"/>
      <c r="Q405" s="13"/>
      <c r="V405" s="60"/>
      <c r="X405" s="61"/>
      <c r="AB405" s="60"/>
      <c r="AN405" s="54"/>
      <c r="AS405" s="15"/>
      <c r="BH405" s="52"/>
      <c r="BI405" s="21" t="str">
        <f ca="1">IFERROR(VLOOKUP(C405,OFFSET(abbreviation[],0,ColumnLanguage),ColumnAbbreviation,FALSE),"")</f>
        <v/>
      </c>
      <c r="BJ405" s="21" t="str">
        <f ca="1">IFERROR(VLOOKUP(E405,OFFSET(abbreviation[],0,ColumnLanguage),ColumnAbbreviation,FALSE),"")</f>
        <v/>
      </c>
      <c r="BK405" s="21" t="str">
        <f ca="1">IFERROR(VLOOKUP(G405,OFFSET(abbreviation[],0,ColumnLanguage),ColumnAbbreviation,FALSE),"")</f>
        <v/>
      </c>
      <c r="BL405" s="21" t="str">
        <f ca="1">IFERROR(VLOOKUP(I405,OFFSET(abbreviation[],0,ColumnLanguage),ColumnAbbreviation,FALSE),"")</f>
        <v/>
      </c>
      <c r="BM405" s="21" t="str">
        <f ca="1">IFERROR(VLOOKUP(K405,OFFSET(abbreviation[],0,ColumnLanguage),ColumnAbbreviation,FALSE),"")</f>
        <v/>
      </c>
      <c r="BN405" s="21" t="str">
        <f t="shared" ca="1" si="42"/>
        <v/>
      </c>
      <c r="BO405" s="21" t="str">
        <f ca="1">IFERROR(VLOOKUP(N405,OFFSET(abbreviation[],0,ColumnLanguage),ColumnAbbreviation,FALSE),"")</f>
        <v/>
      </c>
      <c r="BP405" s="21" t="str">
        <f ca="1">IFERROR(VLOOKUP(P405,OFFSET(abbreviation[],0,ColumnLanguage),ColumnAbbreviation,FALSE),"")</f>
        <v/>
      </c>
      <c r="BQ405" s="21" t="str">
        <f ca="1">IFERROR(VLOOKUP(T405,OFFSET(abbreviation[],0,ColumnLanguage),ColumnAbbreviation,FALSE),"")</f>
        <v/>
      </c>
      <c r="BR405" s="21" t="str">
        <f ca="1">IFERROR(VLOOKUP(V405,OFFSET(abbreviation[],0,ColumnLanguage),ColumnAbbreviation,FALSE),"")</f>
        <v/>
      </c>
      <c r="BS405" s="21" t="str">
        <f ca="1">IFERROR(VLOOKUP(Z405,OFFSET(abbreviation[],0,ColumnLanguage),ColumnAbbreviation,FALSE),"")</f>
        <v/>
      </c>
      <c r="BT405" s="21" t="str">
        <f ca="1">IFERROR(VLOOKUP(AB405,OFFSET(abbreviation[],0,ColumnLanguage),ColumnAbbreviation,FALSE),"")</f>
        <v/>
      </c>
      <c r="BU405" s="21" t="str">
        <f t="shared" ca="1" si="43"/>
        <v>__</v>
      </c>
      <c r="BV405" s="21" t="str">
        <f ca="1">IFERROR(VLOOKUP(AF405,OFFSET(abbreviation[],0,ColumnLanguage),ColumnAbbreviation,FALSE),"")</f>
        <v/>
      </c>
      <c r="BW405" s="21" t="str">
        <f ca="1">IFERROR(VLOOKUP(AH405,OFFSET(abbreviation[],0,ColumnLanguage),ColumnAbbreviation,FALSE),"")</f>
        <v/>
      </c>
      <c r="BX405" s="21" t="str">
        <f ca="1">IFERROR(VLOOKUP(AJ405,OFFSET(abbreviation[],0,ColumnLanguage),ColumnAbbreviation,FALSE),"")</f>
        <v/>
      </c>
      <c r="BY405" s="21" t="str">
        <f ca="1">IFERROR(VLOOKUP(AL405,OFFSET(abbreviation[],0,ColumnLanguage),ColumnAbbreviation,FALSE),"")</f>
        <v/>
      </c>
      <c r="BZ405" s="21" t="str">
        <f t="shared" ca="1" si="44"/>
        <v>_</v>
      </c>
      <c r="CA405" s="21" t="str">
        <f ca="1">IFERROR(VLOOKUP(AP405,OFFSET(abbreviation[],0,ColumnLanguage),ColumnAbbreviation,FALSE),"")</f>
        <v/>
      </c>
      <c r="CB405" s="21" t="str">
        <f ca="1">IFERROR(VLOOKUP(AR405,OFFSET(abbreviation[],0,ColumnLanguage),ColumnAbbreviation,FALSE),"")</f>
        <v/>
      </c>
      <c r="CC405" s="21" t="str">
        <f ca="1">IFERROR(VLOOKUP(AT405,OFFSET(abbreviation[],0,ColumnLanguage),ColumnAbbreviation,FALSE),"")</f>
        <v/>
      </c>
      <c r="CD405" s="21" t="str">
        <f ca="1">IFERROR(VLOOKUP(AV405,OFFSET(abbreviation[],0,ColumnLanguage),ColumnAbbreviation,FALSE),"")</f>
        <v/>
      </c>
      <c r="CE405" s="21" t="str">
        <f t="shared" ca="1" si="45"/>
        <v>__</v>
      </c>
      <c r="CF405" s="21" t="str">
        <f ca="1">IFERROR(VLOOKUP(AX405,OFFSET(abbreviation[],0,ColumnLanguage),ColumnAbbreviation,FALSE),"")</f>
        <v/>
      </c>
      <c r="CG405" s="21" t="str">
        <f ca="1">IFERROR(VLOOKUP(AZ405,OFFSET(abbreviation[],0,ColumnLanguage),ColumnAbbreviation,FALSE),"")</f>
        <v/>
      </c>
      <c r="CH405" s="21" t="str">
        <f ca="1">IFERROR(VLOOKUP(BB405,OFFSET(abbreviation[],0,ColumnLanguage),ColumnAbbreviation,FALSE),"")</f>
        <v/>
      </c>
      <c r="CI405" s="21" t="str">
        <f ca="1">IFERROR(VLOOKUP(BD405,OFFSET(abbreviation[],0,ColumnLanguage),ColumnAbbreviation,FALSE),"")</f>
        <v/>
      </c>
      <c r="CJ405" s="21" t="str">
        <f ca="1">IFERROR(VLOOKUP(BF405,OFFSET(abbreviation[],0,ColumnLanguage),ColumnAbbreviation,FALSE),"")</f>
        <v/>
      </c>
      <c r="CK405" s="21" t="str">
        <f t="shared" ca="1" si="46"/>
        <v/>
      </c>
      <c r="CL405" s="21" t="str">
        <f t="shared" si="47"/>
        <v/>
      </c>
      <c r="CM405" s="52"/>
      <c r="CN405" s="57" t="str">
        <f t="shared" si="48"/>
        <v/>
      </c>
    </row>
    <row r="406" spans="14:92" x14ac:dyDescent="0.25">
      <c r="N406" s="58"/>
      <c r="P406" s="60"/>
      <c r="Q406" s="13"/>
      <c r="V406" s="60"/>
      <c r="X406" s="61"/>
      <c r="AB406" s="60"/>
      <c r="AN406" s="54"/>
      <c r="AS406" s="15"/>
      <c r="BH406" s="52"/>
      <c r="BI406" s="21" t="str">
        <f ca="1">IFERROR(VLOOKUP(C406,OFFSET(abbreviation[],0,ColumnLanguage),ColumnAbbreviation,FALSE),"")</f>
        <v/>
      </c>
      <c r="BJ406" s="21" t="str">
        <f ca="1">IFERROR(VLOOKUP(E406,OFFSET(abbreviation[],0,ColumnLanguage),ColumnAbbreviation,FALSE),"")</f>
        <v/>
      </c>
      <c r="BK406" s="21" t="str">
        <f ca="1">IFERROR(VLOOKUP(G406,OFFSET(abbreviation[],0,ColumnLanguage),ColumnAbbreviation,FALSE),"")</f>
        <v/>
      </c>
      <c r="BL406" s="21" t="str">
        <f ca="1">IFERROR(VLOOKUP(I406,OFFSET(abbreviation[],0,ColumnLanguage),ColumnAbbreviation,FALSE),"")</f>
        <v/>
      </c>
      <c r="BM406" s="21" t="str">
        <f ca="1">IFERROR(VLOOKUP(K406,OFFSET(abbreviation[],0,ColumnLanguage),ColumnAbbreviation,FALSE),"")</f>
        <v/>
      </c>
      <c r="BN406" s="21" t="str">
        <f t="shared" ca="1" si="42"/>
        <v/>
      </c>
      <c r="BO406" s="21" t="str">
        <f ca="1">IFERROR(VLOOKUP(N406,OFFSET(abbreviation[],0,ColumnLanguage),ColumnAbbreviation,FALSE),"")</f>
        <v/>
      </c>
      <c r="BP406" s="21" t="str">
        <f ca="1">IFERROR(VLOOKUP(P406,OFFSET(abbreviation[],0,ColumnLanguage),ColumnAbbreviation,FALSE),"")</f>
        <v/>
      </c>
      <c r="BQ406" s="21" t="str">
        <f ca="1">IFERROR(VLOOKUP(T406,OFFSET(abbreviation[],0,ColumnLanguage),ColumnAbbreviation,FALSE),"")</f>
        <v/>
      </c>
      <c r="BR406" s="21" t="str">
        <f ca="1">IFERROR(VLOOKUP(V406,OFFSET(abbreviation[],0,ColumnLanguage),ColumnAbbreviation,FALSE),"")</f>
        <v/>
      </c>
      <c r="BS406" s="21" t="str">
        <f ca="1">IFERROR(VLOOKUP(Z406,OFFSET(abbreviation[],0,ColumnLanguage),ColumnAbbreviation,FALSE),"")</f>
        <v/>
      </c>
      <c r="BT406" s="21" t="str">
        <f ca="1">IFERROR(VLOOKUP(AB406,OFFSET(abbreviation[],0,ColumnLanguage),ColumnAbbreviation,FALSE),"")</f>
        <v/>
      </c>
      <c r="BU406" s="21" t="str">
        <f t="shared" ca="1" si="43"/>
        <v>__</v>
      </c>
      <c r="BV406" s="21" t="str">
        <f ca="1">IFERROR(VLOOKUP(AF406,OFFSET(abbreviation[],0,ColumnLanguage),ColumnAbbreviation,FALSE),"")</f>
        <v/>
      </c>
      <c r="BW406" s="21" t="str">
        <f ca="1">IFERROR(VLOOKUP(AH406,OFFSET(abbreviation[],0,ColumnLanguage),ColumnAbbreviation,FALSE),"")</f>
        <v/>
      </c>
      <c r="BX406" s="21" t="str">
        <f ca="1">IFERROR(VLOOKUP(AJ406,OFFSET(abbreviation[],0,ColumnLanguage),ColumnAbbreviation,FALSE),"")</f>
        <v/>
      </c>
      <c r="BY406" s="21" t="str">
        <f ca="1">IFERROR(VLOOKUP(AL406,OFFSET(abbreviation[],0,ColumnLanguage),ColumnAbbreviation,FALSE),"")</f>
        <v/>
      </c>
      <c r="BZ406" s="21" t="str">
        <f t="shared" ca="1" si="44"/>
        <v>_</v>
      </c>
      <c r="CA406" s="21" t="str">
        <f ca="1">IFERROR(VLOOKUP(AP406,OFFSET(abbreviation[],0,ColumnLanguage),ColumnAbbreviation,FALSE),"")</f>
        <v/>
      </c>
      <c r="CB406" s="21" t="str">
        <f ca="1">IFERROR(VLOOKUP(AR406,OFFSET(abbreviation[],0,ColumnLanguage),ColumnAbbreviation,FALSE),"")</f>
        <v/>
      </c>
      <c r="CC406" s="21" t="str">
        <f ca="1">IFERROR(VLOOKUP(AT406,OFFSET(abbreviation[],0,ColumnLanguage),ColumnAbbreviation,FALSE),"")</f>
        <v/>
      </c>
      <c r="CD406" s="21" t="str">
        <f ca="1">IFERROR(VLOOKUP(AV406,OFFSET(abbreviation[],0,ColumnLanguage),ColumnAbbreviation,FALSE),"")</f>
        <v/>
      </c>
      <c r="CE406" s="21" t="str">
        <f t="shared" ca="1" si="45"/>
        <v>__</v>
      </c>
      <c r="CF406" s="21" t="str">
        <f ca="1">IFERROR(VLOOKUP(AX406,OFFSET(abbreviation[],0,ColumnLanguage),ColumnAbbreviation,FALSE),"")</f>
        <v/>
      </c>
      <c r="CG406" s="21" t="str">
        <f ca="1">IFERROR(VLOOKUP(AZ406,OFFSET(abbreviation[],0,ColumnLanguage),ColumnAbbreviation,FALSE),"")</f>
        <v/>
      </c>
      <c r="CH406" s="21" t="str">
        <f ca="1">IFERROR(VLOOKUP(BB406,OFFSET(abbreviation[],0,ColumnLanguage),ColumnAbbreviation,FALSE),"")</f>
        <v/>
      </c>
      <c r="CI406" s="21" t="str">
        <f ca="1">IFERROR(VLOOKUP(BD406,OFFSET(abbreviation[],0,ColumnLanguage),ColumnAbbreviation,FALSE),"")</f>
        <v/>
      </c>
      <c r="CJ406" s="21" t="str">
        <f ca="1">IFERROR(VLOOKUP(BF406,OFFSET(abbreviation[],0,ColumnLanguage),ColumnAbbreviation,FALSE),"")</f>
        <v/>
      </c>
      <c r="CK406" s="21" t="str">
        <f t="shared" ca="1" si="46"/>
        <v/>
      </c>
      <c r="CL406" s="21" t="str">
        <f t="shared" si="47"/>
        <v/>
      </c>
      <c r="CM406" s="52"/>
      <c r="CN406" s="57" t="str">
        <f t="shared" si="48"/>
        <v/>
      </c>
    </row>
    <row r="407" spans="14:92" x14ac:dyDescent="0.25">
      <c r="N407" s="58"/>
      <c r="P407" s="60"/>
      <c r="Q407" s="13"/>
      <c r="V407" s="60"/>
      <c r="X407" s="61"/>
      <c r="AB407" s="60"/>
      <c r="AN407" s="54"/>
      <c r="AS407" s="15"/>
      <c r="BH407" s="52"/>
      <c r="BI407" s="21" t="str">
        <f ca="1">IFERROR(VLOOKUP(C407,OFFSET(abbreviation[],0,ColumnLanguage),ColumnAbbreviation,FALSE),"")</f>
        <v/>
      </c>
      <c r="BJ407" s="21" t="str">
        <f ca="1">IFERROR(VLOOKUP(E407,OFFSET(abbreviation[],0,ColumnLanguage),ColumnAbbreviation,FALSE),"")</f>
        <v/>
      </c>
      <c r="BK407" s="21" t="str">
        <f ca="1">IFERROR(VLOOKUP(G407,OFFSET(abbreviation[],0,ColumnLanguage),ColumnAbbreviation,FALSE),"")</f>
        <v/>
      </c>
      <c r="BL407" s="21" t="str">
        <f ca="1">IFERROR(VLOOKUP(I407,OFFSET(abbreviation[],0,ColumnLanguage),ColumnAbbreviation,FALSE),"")</f>
        <v/>
      </c>
      <c r="BM407" s="21" t="str">
        <f ca="1">IFERROR(VLOOKUP(K407,OFFSET(abbreviation[],0,ColumnLanguage),ColumnAbbreviation,FALSE),"")</f>
        <v/>
      </c>
      <c r="BN407" s="21" t="str">
        <f t="shared" ca="1" si="42"/>
        <v/>
      </c>
      <c r="BO407" s="21" t="str">
        <f ca="1">IFERROR(VLOOKUP(N407,OFFSET(abbreviation[],0,ColumnLanguage),ColumnAbbreviation,FALSE),"")</f>
        <v/>
      </c>
      <c r="BP407" s="21" t="str">
        <f ca="1">IFERROR(VLOOKUP(P407,OFFSET(abbreviation[],0,ColumnLanguage),ColumnAbbreviation,FALSE),"")</f>
        <v/>
      </c>
      <c r="BQ407" s="21" t="str">
        <f ca="1">IFERROR(VLOOKUP(T407,OFFSET(abbreviation[],0,ColumnLanguage),ColumnAbbreviation,FALSE),"")</f>
        <v/>
      </c>
      <c r="BR407" s="21" t="str">
        <f ca="1">IFERROR(VLOOKUP(V407,OFFSET(abbreviation[],0,ColumnLanguage),ColumnAbbreviation,FALSE),"")</f>
        <v/>
      </c>
      <c r="BS407" s="21" t="str">
        <f ca="1">IFERROR(VLOOKUP(Z407,OFFSET(abbreviation[],0,ColumnLanguage),ColumnAbbreviation,FALSE),"")</f>
        <v/>
      </c>
      <c r="BT407" s="21" t="str">
        <f ca="1">IFERROR(VLOOKUP(AB407,OFFSET(abbreviation[],0,ColumnLanguage),ColumnAbbreviation,FALSE),"")</f>
        <v/>
      </c>
      <c r="BU407" s="21" t="str">
        <f t="shared" ca="1" si="43"/>
        <v>__</v>
      </c>
      <c r="BV407" s="21" t="str">
        <f ca="1">IFERROR(VLOOKUP(AF407,OFFSET(abbreviation[],0,ColumnLanguage),ColumnAbbreviation,FALSE),"")</f>
        <v/>
      </c>
      <c r="BW407" s="21" t="str">
        <f ca="1">IFERROR(VLOOKUP(AH407,OFFSET(abbreviation[],0,ColumnLanguage),ColumnAbbreviation,FALSE),"")</f>
        <v/>
      </c>
      <c r="BX407" s="21" t="str">
        <f ca="1">IFERROR(VLOOKUP(AJ407,OFFSET(abbreviation[],0,ColumnLanguage),ColumnAbbreviation,FALSE),"")</f>
        <v/>
      </c>
      <c r="BY407" s="21" t="str">
        <f ca="1">IFERROR(VLOOKUP(AL407,OFFSET(abbreviation[],0,ColumnLanguage),ColumnAbbreviation,FALSE),"")</f>
        <v/>
      </c>
      <c r="BZ407" s="21" t="str">
        <f t="shared" ca="1" si="44"/>
        <v>_</v>
      </c>
      <c r="CA407" s="21" t="str">
        <f ca="1">IFERROR(VLOOKUP(AP407,OFFSET(abbreviation[],0,ColumnLanguage),ColumnAbbreviation,FALSE),"")</f>
        <v/>
      </c>
      <c r="CB407" s="21" t="str">
        <f ca="1">IFERROR(VLOOKUP(AR407,OFFSET(abbreviation[],0,ColumnLanguage),ColumnAbbreviation,FALSE),"")</f>
        <v/>
      </c>
      <c r="CC407" s="21" t="str">
        <f ca="1">IFERROR(VLOOKUP(AT407,OFFSET(abbreviation[],0,ColumnLanguage),ColumnAbbreviation,FALSE),"")</f>
        <v/>
      </c>
      <c r="CD407" s="21" t="str">
        <f ca="1">IFERROR(VLOOKUP(AV407,OFFSET(abbreviation[],0,ColumnLanguage),ColumnAbbreviation,FALSE),"")</f>
        <v/>
      </c>
      <c r="CE407" s="21" t="str">
        <f t="shared" ca="1" si="45"/>
        <v>__</v>
      </c>
      <c r="CF407" s="21" t="str">
        <f ca="1">IFERROR(VLOOKUP(AX407,OFFSET(abbreviation[],0,ColumnLanguage),ColumnAbbreviation,FALSE),"")</f>
        <v/>
      </c>
      <c r="CG407" s="21" t="str">
        <f ca="1">IFERROR(VLOOKUP(AZ407,OFFSET(abbreviation[],0,ColumnLanguage),ColumnAbbreviation,FALSE),"")</f>
        <v/>
      </c>
      <c r="CH407" s="21" t="str">
        <f ca="1">IFERROR(VLOOKUP(BB407,OFFSET(abbreviation[],0,ColumnLanguage),ColumnAbbreviation,FALSE),"")</f>
        <v/>
      </c>
      <c r="CI407" s="21" t="str">
        <f ca="1">IFERROR(VLOOKUP(BD407,OFFSET(abbreviation[],0,ColumnLanguage),ColumnAbbreviation,FALSE),"")</f>
        <v/>
      </c>
      <c r="CJ407" s="21" t="str">
        <f ca="1">IFERROR(VLOOKUP(BF407,OFFSET(abbreviation[],0,ColumnLanguage),ColumnAbbreviation,FALSE),"")</f>
        <v/>
      </c>
      <c r="CK407" s="21" t="str">
        <f t="shared" ca="1" si="46"/>
        <v/>
      </c>
      <c r="CL407" s="21" t="str">
        <f t="shared" si="47"/>
        <v/>
      </c>
      <c r="CM407" s="52"/>
      <c r="CN407" s="57" t="str">
        <f t="shared" si="48"/>
        <v/>
      </c>
    </row>
    <row r="408" spans="14:92" x14ac:dyDescent="0.25">
      <c r="N408" s="58"/>
      <c r="P408" s="60"/>
      <c r="Q408" s="13"/>
      <c r="V408" s="60"/>
      <c r="X408" s="61"/>
      <c r="AB408" s="60"/>
      <c r="AN408" s="54"/>
      <c r="AS408" s="15"/>
      <c r="BH408" s="52"/>
      <c r="BI408" s="21" t="str">
        <f ca="1">IFERROR(VLOOKUP(C408,OFFSET(abbreviation[],0,ColumnLanguage),ColumnAbbreviation,FALSE),"")</f>
        <v/>
      </c>
      <c r="BJ408" s="21" t="str">
        <f ca="1">IFERROR(VLOOKUP(E408,OFFSET(abbreviation[],0,ColumnLanguage),ColumnAbbreviation,FALSE),"")</f>
        <v/>
      </c>
      <c r="BK408" s="21" t="str">
        <f ca="1">IFERROR(VLOOKUP(G408,OFFSET(abbreviation[],0,ColumnLanguage),ColumnAbbreviation,FALSE),"")</f>
        <v/>
      </c>
      <c r="BL408" s="21" t="str">
        <f ca="1">IFERROR(VLOOKUP(I408,OFFSET(abbreviation[],0,ColumnLanguage),ColumnAbbreviation,FALSE),"")</f>
        <v/>
      </c>
      <c r="BM408" s="21" t="str">
        <f ca="1">IFERROR(VLOOKUP(K408,OFFSET(abbreviation[],0,ColumnLanguage),ColumnAbbreviation,FALSE),"")</f>
        <v/>
      </c>
      <c r="BN408" s="21" t="str">
        <f t="shared" ca="1" si="42"/>
        <v/>
      </c>
      <c r="BO408" s="21" t="str">
        <f ca="1">IFERROR(VLOOKUP(N408,OFFSET(abbreviation[],0,ColumnLanguage),ColumnAbbreviation,FALSE),"")</f>
        <v/>
      </c>
      <c r="BP408" s="21" t="str">
        <f ca="1">IFERROR(VLOOKUP(P408,OFFSET(abbreviation[],0,ColumnLanguage),ColumnAbbreviation,FALSE),"")</f>
        <v/>
      </c>
      <c r="BQ408" s="21" t="str">
        <f ca="1">IFERROR(VLOOKUP(T408,OFFSET(abbreviation[],0,ColumnLanguage),ColumnAbbreviation,FALSE),"")</f>
        <v/>
      </c>
      <c r="BR408" s="21" t="str">
        <f ca="1">IFERROR(VLOOKUP(V408,OFFSET(abbreviation[],0,ColumnLanguage),ColumnAbbreviation,FALSE),"")</f>
        <v/>
      </c>
      <c r="BS408" s="21" t="str">
        <f ca="1">IFERROR(VLOOKUP(Z408,OFFSET(abbreviation[],0,ColumnLanguage),ColumnAbbreviation,FALSE),"")</f>
        <v/>
      </c>
      <c r="BT408" s="21" t="str">
        <f ca="1">IFERROR(VLOOKUP(AB408,OFFSET(abbreviation[],0,ColumnLanguage),ColumnAbbreviation,FALSE),"")</f>
        <v/>
      </c>
      <c r="BU408" s="21" t="str">
        <f t="shared" ca="1" si="43"/>
        <v>__</v>
      </c>
      <c r="BV408" s="21" t="str">
        <f ca="1">IFERROR(VLOOKUP(AF408,OFFSET(abbreviation[],0,ColumnLanguage),ColumnAbbreviation,FALSE),"")</f>
        <v/>
      </c>
      <c r="BW408" s="21" t="str">
        <f ca="1">IFERROR(VLOOKUP(AH408,OFFSET(abbreviation[],0,ColumnLanguage),ColumnAbbreviation,FALSE),"")</f>
        <v/>
      </c>
      <c r="BX408" s="21" t="str">
        <f ca="1">IFERROR(VLOOKUP(AJ408,OFFSET(abbreviation[],0,ColumnLanguage),ColumnAbbreviation,FALSE),"")</f>
        <v/>
      </c>
      <c r="BY408" s="21" t="str">
        <f ca="1">IFERROR(VLOOKUP(AL408,OFFSET(abbreviation[],0,ColumnLanguage),ColumnAbbreviation,FALSE),"")</f>
        <v/>
      </c>
      <c r="BZ408" s="21" t="str">
        <f t="shared" ca="1" si="44"/>
        <v>_</v>
      </c>
      <c r="CA408" s="21" t="str">
        <f ca="1">IFERROR(VLOOKUP(AP408,OFFSET(abbreviation[],0,ColumnLanguage),ColumnAbbreviation,FALSE),"")</f>
        <v/>
      </c>
      <c r="CB408" s="21" t="str">
        <f ca="1">IFERROR(VLOOKUP(AR408,OFFSET(abbreviation[],0,ColumnLanguage),ColumnAbbreviation,FALSE),"")</f>
        <v/>
      </c>
      <c r="CC408" s="21" t="str">
        <f ca="1">IFERROR(VLOOKUP(AT408,OFFSET(abbreviation[],0,ColumnLanguage),ColumnAbbreviation,FALSE),"")</f>
        <v/>
      </c>
      <c r="CD408" s="21" t="str">
        <f ca="1">IFERROR(VLOOKUP(AV408,OFFSET(abbreviation[],0,ColumnLanguage),ColumnAbbreviation,FALSE),"")</f>
        <v/>
      </c>
      <c r="CE408" s="21" t="str">
        <f t="shared" ca="1" si="45"/>
        <v>__</v>
      </c>
      <c r="CF408" s="21" t="str">
        <f ca="1">IFERROR(VLOOKUP(AX408,OFFSET(abbreviation[],0,ColumnLanguage),ColumnAbbreviation,FALSE),"")</f>
        <v/>
      </c>
      <c r="CG408" s="21" t="str">
        <f ca="1">IFERROR(VLOOKUP(AZ408,OFFSET(abbreviation[],0,ColumnLanguage),ColumnAbbreviation,FALSE),"")</f>
        <v/>
      </c>
      <c r="CH408" s="21" t="str">
        <f ca="1">IFERROR(VLOOKUP(BB408,OFFSET(abbreviation[],0,ColumnLanguage),ColumnAbbreviation,FALSE),"")</f>
        <v/>
      </c>
      <c r="CI408" s="21" t="str">
        <f ca="1">IFERROR(VLOOKUP(BD408,OFFSET(abbreviation[],0,ColumnLanguage),ColumnAbbreviation,FALSE),"")</f>
        <v/>
      </c>
      <c r="CJ408" s="21" t="str">
        <f ca="1">IFERROR(VLOOKUP(BF408,OFFSET(abbreviation[],0,ColumnLanguage),ColumnAbbreviation,FALSE),"")</f>
        <v/>
      </c>
      <c r="CK408" s="21" t="str">
        <f t="shared" ca="1" si="46"/>
        <v/>
      </c>
      <c r="CL408" s="21" t="str">
        <f t="shared" si="47"/>
        <v/>
      </c>
      <c r="CM408" s="52"/>
      <c r="CN408" s="57" t="str">
        <f t="shared" si="48"/>
        <v/>
      </c>
    </row>
    <row r="409" spans="14:92" x14ac:dyDescent="0.25">
      <c r="N409" s="58"/>
      <c r="P409" s="60"/>
      <c r="Q409" s="13"/>
      <c r="V409" s="60"/>
      <c r="X409" s="61"/>
      <c r="AB409" s="60"/>
      <c r="AN409" s="54"/>
      <c r="AS409" s="15"/>
      <c r="BH409" s="52"/>
      <c r="BI409" s="21" t="str">
        <f ca="1">IFERROR(VLOOKUP(C409,OFFSET(abbreviation[],0,ColumnLanguage),ColumnAbbreviation,FALSE),"")</f>
        <v/>
      </c>
      <c r="BJ409" s="21" t="str">
        <f ca="1">IFERROR(VLOOKUP(E409,OFFSET(abbreviation[],0,ColumnLanguage),ColumnAbbreviation,FALSE),"")</f>
        <v/>
      </c>
      <c r="BK409" s="21" t="str">
        <f ca="1">IFERROR(VLOOKUP(G409,OFFSET(abbreviation[],0,ColumnLanguage),ColumnAbbreviation,FALSE),"")</f>
        <v/>
      </c>
      <c r="BL409" s="21" t="str">
        <f ca="1">IFERROR(VLOOKUP(I409,OFFSET(abbreviation[],0,ColumnLanguage),ColumnAbbreviation,FALSE),"")</f>
        <v/>
      </c>
      <c r="BM409" s="21" t="str">
        <f ca="1">IFERROR(VLOOKUP(K409,OFFSET(abbreviation[],0,ColumnLanguage),ColumnAbbreviation,FALSE),"")</f>
        <v/>
      </c>
      <c r="BN409" s="21" t="str">
        <f t="shared" ca="1" si="42"/>
        <v/>
      </c>
      <c r="BO409" s="21" t="str">
        <f ca="1">IFERROR(VLOOKUP(N409,OFFSET(abbreviation[],0,ColumnLanguage),ColumnAbbreviation,FALSE),"")</f>
        <v/>
      </c>
      <c r="BP409" s="21" t="str">
        <f ca="1">IFERROR(VLOOKUP(P409,OFFSET(abbreviation[],0,ColumnLanguage),ColumnAbbreviation,FALSE),"")</f>
        <v/>
      </c>
      <c r="BQ409" s="21" t="str">
        <f ca="1">IFERROR(VLOOKUP(T409,OFFSET(abbreviation[],0,ColumnLanguage),ColumnAbbreviation,FALSE),"")</f>
        <v/>
      </c>
      <c r="BR409" s="21" t="str">
        <f ca="1">IFERROR(VLOOKUP(V409,OFFSET(abbreviation[],0,ColumnLanguage),ColumnAbbreviation,FALSE),"")</f>
        <v/>
      </c>
      <c r="BS409" s="21" t="str">
        <f ca="1">IFERROR(VLOOKUP(Z409,OFFSET(abbreviation[],0,ColumnLanguage),ColumnAbbreviation,FALSE),"")</f>
        <v/>
      </c>
      <c r="BT409" s="21" t="str">
        <f ca="1">IFERROR(VLOOKUP(AB409,OFFSET(abbreviation[],0,ColumnLanguage),ColumnAbbreviation,FALSE),"")</f>
        <v/>
      </c>
      <c r="BU409" s="21" t="str">
        <f t="shared" ca="1" si="43"/>
        <v>__</v>
      </c>
      <c r="BV409" s="21" t="str">
        <f ca="1">IFERROR(VLOOKUP(AF409,OFFSET(abbreviation[],0,ColumnLanguage),ColumnAbbreviation,FALSE),"")</f>
        <v/>
      </c>
      <c r="BW409" s="21" t="str">
        <f ca="1">IFERROR(VLOOKUP(AH409,OFFSET(abbreviation[],0,ColumnLanguage),ColumnAbbreviation,FALSE),"")</f>
        <v/>
      </c>
      <c r="BX409" s="21" t="str">
        <f ca="1">IFERROR(VLOOKUP(AJ409,OFFSET(abbreviation[],0,ColumnLanguage),ColumnAbbreviation,FALSE),"")</f>
        <v/>
      </c>
      <c r="BY409" s="21" t="str">
        <f ca="1">IFERROR(VLOOKUP(AL409,OFFSET(abbreviation[],0,ColumnLanguage),ColumnAbbreviation,FALSE),"")</f>
        <v/>
      </c>
      <c r="BZ409" s="21" t="str">
        <f t="shared" ca="1" si="44"/>
        <v>_</v>
      </c>
      <c r="CA409" s="21" t="str">
        <f ca="1">IFERROR(VLOOKUP(AP409,OFFSET(abbreviation[],0,ColumnLanguage),ColumnAbbreviation,FALSE),"")</f>
        <v/>
      </c>
      <c r="CB409" s="21" t="str">
        <f ca="1">IFERROR(VLOOKUP(AR409,OFFSET(abbreviation[],0,ColumnLanguage),ColumnAbbreviation,FALSE),"")</f>
        <v/>
      </c>
      <c r="CC409" s="21" t="str">
        <f ca="1">IFERROR(VLOOKUP(AT409,OFFSET(abbreviation[],0,ColumnLanguage),ColumnAbbreviation,FALSE),"")</f>
        <v/>
      </c>
      <c r="CD409" s="21" t="str">
        <f ca="1">IFERROR(VLOOKUP(AV409,OFFSET(abbreviation[],0,ColumnLanguage),ColumnAbbreviation,FALSE),"")</f>
        <v/>
      </c>
      <c r="CE409" s="21" t="str">
        <f t="shared" ca="1" si="45"/>
        <v>__</v>
      </c>
      <c r="CF409" s="21" t="str">
        <f ca="1">IFERROR(VLOOKUP(AX409,OFFSET(abbreviation[],0,ColumnLanguage),ColumnAbbreviation,FALSE),"")</f>
        <v/>
      </c>
      <c r="CG409" s="21" t="str">
        <f ca="1">IFERROR(VLOOKUP(AZ409,OFFSET(abbreviation[],0,ColumnLanguage),ColumnAbbreviation,FALSE),"")</f>
        <v/>
      </c>
      <c r="CH409" s="21" t="str">
        <f ca="1">IFERROR(VLOOKUP(BB409,OFFSET(abbreviation[],0,ColumnLanguage),ColumnAbbreviation,FALSE),"")</f>
        <v/>
      </c>
      <c r="CI409" s="21" t="str">
        <f ca="1">IFERROR(VLOOKUP(BD409,OFFSET(abbreviation[],0,ColumnLanguage),ColumnAbbreviation,FALSE),"")</f>
        <v/>
      </c>
      <c r="CJ409" s="21" t="str">
        <f ca="1">IFERROR(VLOOKUP(BF409,OFFSET(abbreviation[],0,ColumnLanguage),ColumnAbbreviation,FALSE),"")</f>
        <v/>
      </c>
      <c r="CK409" s="21" t="str">
        <f t="shared" ca="1" si="46"/>
        <v/>
      </c>
      <c r="CL409" s="21" t="str">
        <f t="shared" si="47"/>
        <v/>
      </c>
      <c r="CM409" s="52"/>
      <c r="CN409" s="57" t="str">
        <f t="shared" si="48"/>
        <v/>
      </c>
    </row>
    <row r="410" spans="14:92" x14ac:dyDescent="0.25">
      <c r="N410" s="58"/>
      <c r="P410" s="60"/>
      <c r="Q410" s="13"/>
      <c r="V410" s="60"/>
      <c r="X410" s="61"/>
      <c r="AB410" s="60"/>
      <c r="AN410" s="54"/>
      <c r="AS410" s="15"/>
      <c r="BH410" s="52"/>
      <c r="BI410" s="21" t="str">
        <f ca="1">IFERROR(VLOOKUP(C410,OFFSET(abbreviation[],0,ColumnLanguage),ColumnAbbreviation,FALSE),"")</f>
        <v/>
      </c>
      <c r="BJ410" s="21" t="str">
        <f ca="1">IFERROR(VLOOKUP(E410,OFFSET(abbreviation[],0,ColumnLanguage),ColumnAbbreviation,FALSE),"")</f>
        <v/>
      </c>
      <c r="BK410" s="21" t="str">
        <f ca="1">IFERROR(VLOOKUP(G410,OFFSET(abbreviation[],0,ColumnLanguage),ColumnAbbreviation,FALSE),"")</f>
        <v/>
      </c>
      <c r="BL410" s="21" t="str">
        <f ca="1">IFERROR(VLOOKUP(I410,OFFSET(abbreviation[],0,ColumnLanguage),ColumnAbbreviation,FALSE),"")</f>
        <v/>
      </c>
      <c r="BM410" s="21" t="str">
        <f ca="1">IFERROR(VLOOKUP(K410,OFFSET(abbreviation[],0,ColumnLanguage),ColumnAbbreviation,FALSE),"")</f>
        <v/>
      </c>
      <c r="BN410" s="21" t="str">
        <f t="shared" ca="1" si="42"/>
        <v/>
      </c>
      <c r="BO410" s="21" t="str">
        <f ca="1">IFERROR(VLOOKUP(N410,OFFSET(abbreviation[],0,ColumnLanguage),ColumnAbbreviation,FALSE),"")</f>
        <v/>
      </c>
      <c r="BP410" s="21" t="str">
        <f ca="1">IFERROR(VLOOKUP(P410,OFFSET(abbreviation[],0,ColumnLanguage),ColumnAbbreviation,FALSE),"")</f>
        <v/>
      </c>
      <c r="BQ410" s="21" t="str">
        <f ca="1">IFERROR(VLOOKUP(T410,OFFSET(abbreviation[],0,ColumnLanguage),ColumnAbbreviation,FALSE),"")</f>
        <v/>
      </c>
      <c r="BR410" s="21" t="str">
        <f ca="1">IFERROR(VLOOKUP(V410,OFFSET(abbreviation[],0,ColumnLanguage),ColumnAbbreviation,FALSE),"")</f>
        <v/>
      </c>
      <c r="BS410" s="21" t="str">
        <f ca="1">IFERROR(VLOOKUP(Z410,OFFSET(abbreviation[],0,ColumnLanguage),ColumnAbbreviation,FALSE),"")</f>
        <v/>
      </c>
      <c r="BT410" s="21" t="str">
        <f ca="1">IFERROR(VLOOKUP(AB410,OFFSET(abbreviation[],0,ColumnLanguage),ColumnAbbreviation,FALSE),"")</f>
        <v/>
      </c>
      <c r="BU410" s="21" t="str">
        <f t="shared" ca="1" si="43"/>
        <v>__</v>
      </c>
      <c r="BV410" s="21" t="str">
        <f ca="1">IFERROR(VLOOKUP(AF410,OFFSET(abbreviation[],0,ColumnLanguage),ColumnAbbreviation,FALSE),"")</f>
        <v/>
      </c>
      <c r="BW410" s="21" t="str">
        <f ca="1">IFERROR(VLOOKUP(AH410,OFFSET(abbreviation[],0,ColumnLanguage),ColumnAbbreviation,FALSE),"")</f>
        <v/>
      </c>
      <c r="BX410" s="21" t="str">
        <f ca="1">IFERROR(VLOOKUP(AJ410,OFFSET(abbreviation[],0,ColumnLanguage),ColumnAbbreviation,FALSE),"")</f>
        <v/>
      </c>
      <c r="BY410" s="21" t="str">
        <f ca="1">IFERROR(VLOOKUP(AL410,OFFSET(abbreviation[],0,ColumnLanguage),ColumnAbbreviation,FALSE),"")</f>
        <v/>
      </c>
      <c r="BZ410" s="21" t="str">
        <f t="shared" ca="1" si="44"/>
        <v>_</v>
      </c>
      <c r="CA410" s="21" t="str">
        <f ca="1">IFERROR(VLOOKUP(AP410,OFFSET(abbreviation[],0,ColumnLanguage),ColumnAbbreviation,FALSE),"")</f>
        <v/>
      </c>
      <c r="CB410" s="21" t="str">
        <f ca="1">IFERROR(VLOOKUP(AR410,OFFSET(abbreviation[],0,ColumnLanguage),ColumnAbbreviation,FALSE),"")</f>
        <v/>
      </c>
      <c r="CC410" s="21" t="str">
        <f ca="1">IFERROR(VLOOKUP(AT410,OFFSET(abbreviation[],0,ColumnLanguage),ColumnAbbreviation,FALSE),"")</f>
        <v/>
      </c>
      <c r="CD410" s="21" t="str">
        <f ca="1">IFERROR(VLOOKUP(AV410,OFFSET(abbreviation[],0,ColumnLanguage),ColumnAbbreviation,FALSE),"")</f>
        <v/>
      </c>
      <c r="CE410" s="21" t="str">
        <f t="shared" ca="1" si="45"/>
        <v>__</v>
      </c>
      <c r="CF410" s="21" t="str">
        <f ca="1">IFERROR(VLOOKUP(AX410,OFFSET(abbreviation[],0,ColumnLanguage),ColumnAbbreviation,FALSE),"")</f>
        <v/>
      </c>
      <c r="CG410" s="21" t="str">
        <f ca="1">IFERROR(VLOOKUP(AZ410,OFFSET(abbreviation[],0,ColumnLanguage),ColumnAbbreviation,FALSE),"")</f>
        <v/>
      </c>
      <c r="CH410" s="21" t="str">
        <f ca="1">IFERROR(VLOOKUP(BB410,OFFSET(abbreviation[],0,ColumnLanguage),ColumnAbbreviation,FALSE),"")</f>
        <v/>
      </c>
      <c r="CI410" s="21" t="str">
        <f ca="1">IFERROR(VLOOKUP(BD410,OFFSET(abbreviation[],0,ColumnLanguage),ColumnAbbreviation,FALSE),"")</f>
        <v/>
      </c>
      <c r="CJ410" s="21" t="str">
        <f ca="1">IFERROR(VLOOKUP(BF410,OFFSET(abbreviation[],0,ColumnLanguage),ColumnAbbreviation,FALSE),"")</f>
        <v/>
      </c>
      <c r="CK410" s="21" t="str">
        <f t="shared" ca="1" si="46"/>
        <v/>
      </c>
      <c r="CL410" s="21" t="str">
        <f t="shared" si="47"/>
        <v/>
      </c>
      <c r="CM410" s="52"/>
      <c r="CN410" s="57" t="str">
        <f t="shared" si="48"/>
        <v/>
      </c>
    </row>
    <row r="411" spans="14:92" x14ac:dyDescent="0.25">
      <c r="N411" s="58"/>
      <c r="P411" s="60"/>
      <c r="Q411" s="13"/>
      <c r="V411" s="60"/>
      <c r="X411" s="61"/>
      <c r="AB411" s="60"/>
      <c r="AN411" s="54"/>
      <c r="AS411" s="15"/>
      <c r="BH411" s="52"/>
      <c r="BI411" s="21" t="str">
        <f ca="1">IFERROR(VLOOKUP(C411,OFFSET(abbreviation[],0,ColumnLanguage),ColumnAbbreviation,FALSE),"")</f>
        <v/>
      </c>
      <c r="BJ411" s="21" t="str">
        <f ca="1">IFERROR(VLOOKUP(E411,OFFSET(abbreviation[],0,ColumnLanguage),ColumnAbbreviation,FALSE),"")</f>
        <v/>
      </c>
      <c r="BK411" s="21" t="str">
        <f ca="1">IFERROR(VLOOKUP(G411,OFFSET(abbreviation[],0,ColumnLanguage),ColumnAbbreviation,FALSE),"")</f>
        <v/>
      </c>
      <c r="BL411" s="21" t="str">
        <f ca="1">IFERROR(VLOOKUP(I411,OFFSET(abbreviation[],0,ColumnLanguage),ColumnAbbreviation,FALSE),"")</f>
        <v/>
      </c>
      <c r="BM411" s="21" t="str">
        <f ca="1">IFERROR(VLOOKUP(K411,OFFSET(abbreviation[],0,ColumnLanguage),ColumnAbbreviation,FALSE),"")</f>
        <v/>
      </c>
      <c r="BN411" s="21" t="str">
        <f t="shared" ca="1" si="42"/>
        <v/>
      </c>
      <c r="BO411" s="21" t="str">
        <f ca="1">IFERROR(VLOOKUP(N411,OFFSET(abbreviation[],0,ColumnLanguage),ColumnAbbreviation,FALSE),"")</f>
        <v/>
      </c>
      <c r="BP411" s="21" t="str">
        <f ca="1">IFERROR(VLOOKUP(P411,OFFSET(abbreviation[],0,ColumnLanguage),ColumnAbbreviation,FALSE),"")</f>
        <v/>
      </c>
      <c r="BQ411" s="21" t="str">
        <f ca="1">IFERROR(VLOOKUP(T411,OFFSET(abbreviation[],0,ColumnLanguage),ColumnAbbreviation,FALSE),"")</f>
        <v/>
      </c>
      <c r="BR411" s="21" t="str">
        <f ca="1">IFERROR(VLOOKUP(V411,OFFSET(abbreviation[],0,ColumnLanguage),ColumnAbbreviation,FALSE),"")</f>
        <v/>
      </c>
      <c r="BS411" s="21" t="str">
        <f ca="1">IFERROR(VLOOKUP(Z411,OFFSET(abbreviation[],0,ColumnLanguage),ColumnAbbreviation,FALSE),"")</f>
        <v/>
      </c>
      <c r="BT411" s="21" t="str">
        <f ca="1">IFERROR(VLOOKUP(AB411,OFFSET(abbreviation[],0,ColumnLanguage),ColumnAbbreviation,FALSE),"")</f>
        <v/>
      </c>
      <c r="BU411" s="21" t="str">
        <f t="shared" ca="1" si="43"/>
        <v>__</v>
      </c>
      <c r="BV411" s="21" t="str">
        <f ca="1">IFERROR(VLOOKUP(AF411,OFFSET(abbreviation[],0,ColumnLanguage),ColumnAbbreviation,FALSE),"")</f>
        <v/>
      </c>
      <c r="BW411" s="21" t="str">
        <f ca="1">IFERROR(VLOOKUP(AH411,OFFSET(abbreviation[],0,ColumnLanguage),ColumnAbbreviation,FALSE),"")</f>
        <v/>
      </c>
      <c r="BX411" s="21" t="str">
        <f ca="1">IFERROR(VLOOKUP(AJ411,OFFSET(abbreviation[],0,ColumnLanguage),ColumnAbbreviation,FALSE),"")</f>
        <v/>
      </c>
      <c r="BY411" s="21" t="str">
        <f ca="1">IFERROR(VLOOKUP(AL411,OFFSET(abbreviation[],0,ColumnLanguage),ColumnAbbreviation,FALSE),"")</f>
        <v/>
      </c>
      <c r="BZ411" s="21" t="str">
        <f t="shared" ca="1" si="44"/>
        <v>_</v>
      </c>
      <c r="CA411" s="21" t="str">
        <f ca="1">IFERROR(VLOOKUP(AP411,OFFSET(abbreviation[],0,ColumnLanguage),ColumnAbbreviation,FALSE),"")</f>
        <v/>
      </c>
      <c r="CB411" s="21" t="str">
        <f ca="1">IFERROR(VLOOKUP(AR411,OFFSET(abbreviation[],0,ColumnLanguage),ColumnAbbreviation,FALSE),"")</f>
        <v/>
      </c>
      <c r="CC411" s="21" t="str">
        <f ca="1">IFERROR(VLOOKUP(AT411,OFFSET(abbreviation[],0,ColumnLanguage),ColumnAbbreviation,FALSE),"")</f>
        <v/>
      </c>
      <c r="CD411" s="21" t="str">
        <f ca="1">IFERROR(VLOOKUP(AV411,OFFSET(abbreviation[],0,ColumnLanguage),ColumnAbbreviation,FALSE),"")</f>
        <v/>
      </c>
      <c r="CE411" s="21" t="str">
        <f t="shared" ca="1" si="45"/>
        <v>__</v>
      </c>
      <c r="CF411" s="21" t="str">
        <f ca="1">IFERROR(VLOOKUP(AX411,OFFSET(abbreviation[],0,ColumnLanguage),ColumnAbbreviation,FALSE),"")</f>
        <v/>
      </c>
      <c r="CG411" s="21" t="str">
        <f ca="1">IFERROR(VLOOKUP(AZ411,OFFSET(abbreviation[],0,ColumnLanguage),ColumnAbbreviation,FALSE),"")</f>
        <v/>
      </c>
      <c r="CH411" s="21" t="str">
        <f ca="1">IFERROR(VLOOKUP(BB411,OFFSET(abbreviation[],0,ColumnLanguage),ColumnAbbreviation,FALSE),"")</f>
        <v/>
      </c>
      <c r="CI411" s="21" t="str">
        <f ca="1">IFERROR(VLOOKUP(BD411,OFFSET(abbreviation[],0,ColumnLanguage),ColumnAbbreviation,FALSE),"")</f>
        <v/>
      </c>
      <c r="CJ411" s="21" t="str">
        <f ca="1">IFERROR(VLOOKUP(BF411,OFFSET(abbreviation[],0,ColumnLanguage),ColumnAbbreviation,FALSE),"")</f>
        <v/>
      </c>
      <c r="CK411" s="21" t="str">
        <f t="shared" ca="1" si="46"/>
        <v/>
      </c>
      <c r="CL411" s="21" t="str">
        <f t="shared" si="47"/>
        <v/>
      </c>
      <c r="CM411" s="52"/>
      <c r="CN411" s="57" t="str">
        <f t="shared" si="48"/>
        <v/>
      </c>
    </row>
    <row r="412" spans="14:92" x14ac:dyDescent="0.25">
      <c r="N412" s="58"/>
      <c r="P412" s="60"/>
      <c r="Q412" s="13"/>
      <c r="V412" s="60"/>
      <c r="X412" s="61"/>
      <c r="AB412" s="60"/>
      <c r="AN412" s="54"/>
      <c r="AS412" s="15"/>
      <c r="BH412" s="52"/>
      <c r="BI412" s="21" t="str">
        <f ca="1">IFERROR(VLOOKUP(C412,OFFSET(abbreviation[],0,ColumnLanguage),ColumnAbbreviation,FALSE),"")</f>
        <v/>
      </c>
      <c r="BJ412" s="21" t="str">
        <f ca="1">IFERROR(VLOOKUP(E412,OFFSET(abbreviation[],0,ColumnLanguage),ColumnAbbreviation,FALSE),"")</f>
        <v/>
      </c>
      <c r="BK412" s="21" t="str">
        <f ca="1">IFERROR(VLOOKUP(G412,OFFSET(abbreviation[],0,ColumnLanguage),ColumnAbbreviation,FALSE),"")</f>
        <v/>
      </c>
      <c r="BL412" s="21" t="str">
        <f ca="1">IFERROR(VLOOKUP(I412,OFFSET(abbreviation[],0,ColumnLanguage),ColumnAbbreviation,FALSE),"")</f>
        <v/>
      </c>
      <c r="BM412" s="21" t="str">
        <f ca="1">IFERROR(VLOOKUP(K412,OFFSET(abbreviation[],0,ColumnLanguage),ColumnAbbreviation,FALSE),"")</f>
        <v/>
      </c>
      <c r="BN412" s="21" t="str">
        <f t="shared" ca="1" si="42"/>
        <v/>
      </c>
      <c r="BO412" s="21" t="str">
        <f ca="1">IFERROR(VLOOKUP(N412,OFFSET(abbreviation[],0,ColumnLanguage),ColumnAbbreviation,FALSE),"")</f>
        <v/>
      </c>
      <c r="BP412" s="21" t="str">
        <f ca="1">IFERROR(VLOOKUP(P412,OFFSET(abbreviation[],0,ColumnLanguage),ColumnAbbreviation,FALSE),"")</f>
        <v/>
      </c>
      <c r="BQ412" s="21" t="str">
        <f ca="1">IFERROR(VLOOKUP(T412,OFFSET(abbreviation[],0,ColumnLanguage),ColumnAbbreviation,FALSE),"")</f>
        <v/>
      </c>
      <c r="BR412" s="21" t="str">
        <f ca="1">IFERROR(VLOOKUP(V412,OFFSET(abbreviation[],0,ColumnLanguage),ColumnAbbreviation,FALSE),"")</f>
        <v/>
      </c>
      <c r="BS412" s="21" t="str">
        <f ca="1">IFERROR(VLOOKUP(Z412,OFFSET(abbreviation[],0,ColumnLanguage),ColumnAbbreviation,FALSE),"")</f>
        <v/>
      </c>
      <c r="BT412" s="21" t="str">
        <f ca="1">IFERROR(VLOOKUP(AB412,OFFSET(abbreviation[],0,ColumnLanguage),ColumnAbbreviation,FALSE),"")</f>
        <v/>
      </c>
      <c r="BU412" s="21" t="str">
        <f t="shared" ca="1" si="43"/>
        <v>__</v>
      </c>
      <c r="BV412" s="21" t="str">
        <f ca="1">IFERROR(VLOOKUP(AF412,OFFSET(abbreviation[],0,ColumnLanguage),ColumnAbbreviation,FALSE),"")</f>
        <v/>
      </c>
      <c r="BW412" s="21" t="str">
        <f ca="1">IFERROR(VLOOKUP(AH412,OFFSET(abbreviation[],0,ColumnLanguage),ColumnAbbreviation,FALSE),"")</f>
        <v/>
      </c>
      <c r="BX412" s="21" t="str">
        <f ca="1">IFERROR(VLOOKUP(AJ412,OFFSET(abbreviation[],0,ColumnLanguage),ColumnAbbreviation,FALSE),"")</f>
        <v/>
      </c>
      <c r="BY412" s="21" t="str">
        <f ca="1">IFERROR(VLOOKUP(AL412,OFFSET(abbreviation[],0,ColumnLanguage),ColumnAbbreviation,FALSE),"")</f>
        <v/>
      </c>
      <c r="BZ412" s="21" t="str">
        <f t="shared" ca="1" si="44"/>
        <v>_</v>
      </c>
      <c r="CA412" s="21" t="str">
        <f ca="1">IFERROR(VLOOKUP(AP412,OFFSET(abbreviation[],0,ColumnLanguage),ColumnAbbreviation,FALSE),"")</f>
        <v/>
      </c>
      <c r="CB412" s="21" t="str">
        <f ca="1">IFERROR(VLOOKUP(AR412,OFFSET(abbreviation[],0,ColumnLanguage),ColumnAbbreviation,FALSE),"")</f>
        <v/>
      </c>
      <c r="CC412" s="21" t="str">
        <f ca="1">IFERROR(VLOOKUP(AT412,OFFSET(abbreviation[],0,ColumnLanguage),ColumnAbbreviation,FALSE),"")</f>
        <v/>
      </c>
      <c r="CD412" s="21" t="str">
        <f ca="1">IFERROR(VLOOKUP(AV412,OFFSET(abbreviation[],0,ColumnLanguage),ColumnAbbreviation,FALSE),"")</f>
        <v/>
      </c>
      <c r="CE412" s="21" t="str">
        <f t="shared" ca="1" si="45"/>
        <v>__</v>
      </c>
      <c r="CF412" s="21" t="str">
        <f ca="1">IFERROR(VLOOKUP(AX412,OFFSET(abbreviation[],0,ColumnLanguage),ColumnAbbreviation,FALSE),"")</f>
        <v/>
      </c>
      <c r="CG412" s="21" t="str">
        <f ca="1">IFERROR(VLOOKUP(AZ412,OFFSET(abbreviation[],0,ColumnLanguage),ColumnAbbreviation,FALSE),"")</f>
        <v/>
      </c>
      <c r="CH412" s="21" t="str">
        <f ca="1">IFERROR(VLOOKUP(BB412,OFFSET(abbreviation[],0,ColumnLanguage),ColumnAbbreviation,FALSE),"")</f>
        <v/>
      </c>
      <c r="CI412" s="21" t="str">
        <f ca="1">IFERROR(VLOOKUP(BD412,OFFSET(abbreviation[],0,ColumnLanguage),ColumnAbbreviation,FALSE),"")</f>
        <v/>
      </c>
      <c r="CJ412" s="21" t="str">
        <f ca="1">IFERROR(VLOOKUP(BF412,OFFSET(abbreviation[],0,ColumnLanguage),ColumnAbbreviation,FALSE),"")</f>
        <v/>
      </c>
      <c r="CK412" s="21" t="str">
        <f t="shared" ca="1" si="46"/>
        <v/>
      </c>
      <c r="CL412" s="21" t="str">
        <f t="shared" si="47"/>
        <v/>
      </c>
      <c r="CM412" s="52"/>
      <c r="CN412" s="57" t="str">
        <f t="shared" si="48"/>
        <v/>
      </c>
    </row>
    <row r="413" spans="14:92" x14ac:dyDescent="0.25">
      <c r="N413" s="58"/>
      <c r="P413" s="60"/>
      <c r="Q413" s="13"/>
      <c r="V413" s="60"/>
      <c r="X413" s="61"/>
      <c r="AB413" s="60"/>
      <c r="AN413" s="54"/>
      <c r="AS413" s="15"/>
      <c r="BH413" s="52"/>
      <c r="BI413" s="21" t="str">
        <f ca="1">IFERROR(VLOOKUP(C413,OFFSET(abbreviation[],0,ColumnLanguage),ColumnAbbreviation,FALSE),"")</f>
        <v/>
      </c>
      <c r="BJ413" s="21" t="str">
        <f ca="1">IFERROR(VLOOKUP(E413,OFFSET(abbreviation[],0,ColumnLanguage),ColumnAbbreviation,FALSE),"")</f>
        <v/>
      </c>
      <c r="BK413" s="21" t="str">
        <f ca="1">IFERROR(VLOOKUP(G413,OFFSET(abbreviation[],0,ColumnLanguage),ColumnAbbreviation,FALSE),"")</f>
        <v/>
      </c>
      <c r="BL413" s="21" t="str">
        <f ca="1">IFERROR(VLOOKUP(I413,OFFSET(abbreviation[],0,ColumnLanguage),ColumnAbbreviation,FALSE),"")</f>
        <v/>
      </c>
      <c r="BM413" s="21" t="str">
        <f ca="1">IFERROR(VLOOKUP(K413,OFFSET(abbreviation[],0,ColumnLanguage),ColumnAbbreviation,FALSE),"")</f>
        <v/>
      </c>
      <c r="BN413" s="21" t="str">
        <f t="shared" ca="1" si="42"/>
        <v/>
      </c>
      <c r="BO413" s="21" t="str">
        <f ca="1">IFERROR(VLOOKUP(N413,OFFSET(abbreviation[],0,ColumnLanguage),ColumnAbbreviation,FALSE),"")</f>
        <v/>
      </c>
      <c r="BP413" s="21" t="str">
        <f ca="1">IFERROR(VLOOKUP(P413,OFFSET(abbreviation[],0,ColumnLanguage),ColumnAbbreviation,FALSE),"")</f>
        <v/>
      </c>
      <c r="BQ413" s="21" t="str">
        <f ca="1">IFERROR(VLOOKUP(T413,OFFSET(abbreviation[],0,ColumnLanguage),ColumnAbbreviation,FALSE),"")</f>
        <v/>
      </c>
      <c r="BR413" s="21" t="str">
        <f ca="1">IFERROR(VLOOKUP(V413,OFFSET(abbreviation[],0,ColumnLanguage),ColumnAbbreviation,FALSE),"")</f>
        <v/>
      </c>
      <c r="BS413" s="21" t="str">
        <f ca="1">IFERROR(VLOOKUP(Z413,OFFSET(abbreviation[],0,ColumnLanguage),ColumnAbbreviation,FALSE),"")</f>
        <v/>
      </c>
      <c r="BT413" s="21" t="str">
        <f ca="1">IFERROR(VLOOKUP(AB413,OFFSET(abbreviation[],0,ColumnLanguage),ColumnAbbreviation,FALSE),"")</f>
        <v/>
      </c>
      <c r="BU413" s="21" t="str">
        <f t="shared" ca="1" si="43"/>
        <v>__</v>
      </c>
      <c r="BV413" s="21" t="str">
        <f ca="1">IFERROR(VLOOKUP(AF413,OFFSET(abbreviation[],0,ColumnLanguage),ColumnAbbreviation,FALSE),"")</f>
        <v/>
      </c>
      <c r="BW413" s="21" t="str">
        <f ca="1">IFERROR(VLOOKUP(AH413,OFFSET(abbreviation[],0,ColumnLanguage),ColumnAbbreviation,FALSE),"")</f>
        <v/>
      </c>
      <c r="BX413" s="21" t="str">
        <f ca="1">IFERROR(VLOOKUP(AJ413,OFFSET(abbreviation[],0,ColumnLanguage),ColumnAbbreviation,FALSE),"")</f>
        <v/>
      </c>
      <c r="BY413" s="21" t="str">
        <f ca="1">IFERROR(VLOOKUP(AL413,OFFSET(abbreviation[],0,ColumnLanguage),ColumnAbbreviation,FALSE),"")</f>
        <v/>
      </c>
      <c r="BZ413" s="21" t="str">
        <f t="shared" ca="1" si="44"/>
        <v>_</v>
      </c>
      <c r="CA413" s="21" t="str">
        <f ca="1">IFERROR(VLOOKUP(AP413,OFFSET(abbreviation[],0,ColumnLanguage),ColumnAbbreviation,FALSE),"")</f>
        <v/>
      </c>
      <c r="CB413" s="21" t="str">
        <f ca="1">IFERROR(VLOOKUP(AR413,OFFSET(abbreviation[],0,ColumnLanguage),ColumnAbbreviation,FALSE),"")</f>
        <v/>
      </c>
      <c r="CC413" s="21" t="str">
        <f ca="1">IFERROR(VLOOKUP(AT413,OFFSET(abbreviation[],0,ColumnLanguage),ColumnAbbreviation,FALSE),"")</f>
        <v/>
      </c>
      <c r="CD413" s="21" t="str">
        <f ca="1">IFERROR(VLOOKUP(AV413,OFFSET(abbreviation[],0,ColumnLanguage),ColumnAbbreviation,FALSE),"")</f>
        <v/>
      </c>
      <c r="CE413" s="21" t="str">
        <f t="shared" ca="1" si="45"/>
        <v>__</v>
      </c>
      <c r="CF413" s="21" t="str">
        <f ca="1">IFERROR(VLOOKUP(AX413,OFFSET(abbreviation[],0,ColumnLanguage),ColumnAbbreviation,FALSE),"")</f>
        <v/>
      </c>
      <c r="CG413" s="21" t="str">
        <f ca="1">IFERROR(VLOOKUP(AZ413,OFFSET(abbreviation[],0,ColumnLanguage),ColumnAbbreviation,FALSE),"")</f>
        <v/>
      </c>
      <c r="CH413" s="21" t="str">
        <f ca="1">IFERROR(VLOOKUP(BB413,OFFSET(abbreviation[],0,ColumnLanguage),ColumnAbbreviation,FALSE),"")</f>
        <v/>
      </c>
      <c r="CI413" s="21" t="str">
        <f ca="1">IFERROR(VLOOKUP(BD413,OFFSET(abbreviation[],0,ColumnLanguage),ColumnAbbreviation,FALSE),"")</f>
        <v/>
      </c>
      <c r="CJ413" s="21" t="str">
        <f ca="1">IFERROR(VLOOKUP(BF413,OFFSET(abbreviation[],0,ColumnLanguage),ColumnAbbreviation,FALSE),"")</f>
        <v/>
      </c>
      <c r="CK413" s="21" t="str">
        <f t="shared" ca="1" si="46"/>
        <v/>
      </c>
      <c r="CL413" s="21" t="str">
        <f t="shared" si="47"/>
        <v/>
      </c>
      <c r="CM413" s="52"/>
      <c r="CN413" s="57" t="str">
        <f t="shared" si="48"/>
        <v/>
      </c>
    </row>
    <row r="414" spans="14:92" x14ac:dyDescent="0.25">
      <c r="N414" s="58"/>
      <c r="P414" s="60"/>
      <c r="Q414" s="13"/>
      <c r="V414" s="60"/>
      <c r="X414" s="61"/>
      <c r="AB414" s="60"/>
      <c r="AN414" s="54"/>
      <c r="AS414" s="15"/>
      <c r="BH414" s="52"/>
      <c r="BI414" s="21" t="str">
        <f ca="1">IFERROR(VLOOKUP(C414,OFFSET(abbreviation[],0,ColumnLanguage),ColumnAbbreviation,FALSE),"")</f>
        <v/>
      </c>
      <c r="BJ414" s="21" t="str">
        <f ca="1">IFERROR(VLOOKUP(E414,OFFSET(abbreviation[],0,ColumnLanguage),ColumnAbbreviation,FALSE),"")</f>
        <v/>
      </c>
      <c r="BK414" s="21" t="str">
        <f ca="1">IFERROR(VLOOKUP(G414,OFFSET(abbreviation[],0,ColumnLanguage),ColumnAbbreviation,FALSE),"")</f>
        <v/>
      </c>
      <c r="BL414" s="21" t="str">
        <f ca="1">IFERROR(VLOOKUP(I414,OFFSET(abbreviation[],0,ColumnLanguage),ColumnAbbreviation,FALSE),"")</f>
        <v/>
      </c>
      <c r="BM414" s="21" t="str">
        <f ca="1">IFERROR(VLOOKUP(K414,OFFSET(abbreviation[],0,ColumnLanguage),ColumnAbbreviation,FALSE),"")</f>
        <v/>
      </c>
      <c r="BN414" s="21" t="str">
        <f t="shared" ca="1" si="42"/>
        <v/>
      </c>
      <c r="BO414" s="21" t="str">
        <f ca="1">IFERROR(VLOOKUP(N414,OFFSET(abbreviation[],0,ColumnLanguage),ColumnAbbreviation,FALSE),"")</f>
        <v/>
      </c>
      <c r="BP414" s="21" t="str">
        <f ca="1">IFERROR(VLOOKUP(P414,OFFSET(abbreviation[],0,ColumnLanguage),ColumnAbbreviation,FALSE),"")</f>
        <v/>
      </c>
      <c r="BQ414" s="21" t="str">
        <f ca="1">IFERROR(VLOOKUP(T414,OFFSET(abbreviation[],0,ColumnLanguage),ColumnAbbreviation,FALSE),"")</f>
        <v/>
      </c>
      <c r="BR414" s="21" t="str">
        <f ca="1">IFERROR(VLOOKUP(V414,OFFSET(abbreviation[],0,ColumnLanguage),ColumnAbbreviation,FALSE),"")</f>
        <v/>
      </c>
      <c r="BS414" s="21" t="str">
        <f ca="1">IFERROR(VLOOKUP(Z414,OFFSET(abbreviation[],0,ColumnLanguage),ColumnAbbreviation,FALSE),"")</f>
        <v/>
      </c>
      <c r="BT414" s="21" t="str">
        <f ca="1">IFERROR(VLOOKUP(AB414,OFFSET(abbreviation[],0,ColumnLanguage),ColumnAbbreviation,FALSE),"")</f>
        <v/>
      </c>
      <c r="BU414" s="21" t="str">
        <f t="shared" ca="1" si="43"/>
        <v>__</v>
      </c>
      <c r="BV414" s="21" t="str">
        <f ca="1">IFERROR(VLOOKUP(AF414,OFFSET(abbreviation[],0,ColumnLanguage),ColumnAbbreviation,FALSE),"")</f>
        <v/>
      </c>
      <c r="BW414" s="21" t="str">
        <f ca="1">IFERROR(VLOOKUP(AH414,OFFSET(abbreviation[],0,ColumnLanguage),ColumnAbbreviation,FALSE),"")</f>
        <v/>
      </c>
      <c r="BX414" s="21" t="str">
        <f ca="1">IFERROR(VLOOKUP(AJ414,OFFSET(abbreviation[],0,ColumnLanguage),ColumnAbbreviation,FALSE),"")</f>
        <v/>
      </c>
      <c r="BY414" s="21" t="str">
        <f ca="1">IFERROR(VLOOKUP(AL414,OFFSET(abbreviation[],0,ColumnLanguage),ColumnAbbreviation,FALSE),"")</f>
        <v/>
      </c>
      <c r="BZ414" s="21" t="str">
        <f t="shared" ca="1" si="44"/>
        <v>_</v>
      </c>
      <c r="CA414" s="21" t="str">
        <f ca="1">IFERROR(VLOOKUP(AP414,OFFSET(abbreviation[],0,ColumnLanguage),ColumnAbbreviation,FALSE),"")</f>
        <v/>
      </c>
      <c r="CB414" s="21" t="str">
        <f ca="1">IFERROR(VLOOKUP(AR414,OFFSET(abbreviation[],0,ColumnLanguage),ColumnAbbreviation,FALSE),"")</f>
        <v/>
      </c>
      <c r="CC414" s="21" t="str">
        <f ca="1">IFERROR(VLOOKUP(AT414,OFFSET(abbreviation[],0,ColumnLanguage),ColumnAbbreviation,FALSE),"")</f>
        <v/>
      </c>
      <c r="CD414" s="21" t="str">
        <f ca="1">IFERROR(VLOOKUP(AV414,OFFSET(abbreviation[],0,ColumnLanguage),ColumnAbbreviation,FALSE),"")</f>
        <v/>
      </c>
      <c r="CE414" s="21" t="str">
        <f t="shared" ca="1" si="45"/>
        <v>__</v>
      </c>
      <c r="CF414" s="21" t="str">
        <f ca="1">IFERROR(VLOOKUP(AX414,OFFSET(abbreviation[],0,ColumnLanguage),ColumnAbbreviation,FALSE),"")</f>
        <v/>
      </c>
      <c r="CG414" s="21" t="str">
        <f ca="1">IFERROR(VLOOKUP(AZ414,OFFSET(abbreviation[],0,ColumnLanguage),ColumnAbbreviation,FALSE),"")</f>
        <v/>
      </c>
      <c r="CH414" s="21" t="str">
        <f ca="1">IFERROR(VLOOKUP(BB414,OFFSET(abbreviation[],0,ColumnLanguage),ColumnAbbreviation,FALSE),"")</f>
        <v/>
      </c>
      <c r="CI414" s="21" t="str">
        <f ca="1">IFERROR(VLOOKUP(BD414,OFFSET(abbreviation[],0,ColumnLanguage),ColumnAbbreviation,FALSE),"")</f>
        <v/>
      </c>
      <c r="CJ414" s="21" t="str">
        <f ca="1">IFERROR(VLOOKUP(BF414,OFFSET(abbreviation[],0,ColumnLanguage),ColumnAbbreviation,FALSE),"")</f>
        <v/>
      </c>
      <c r="CK414" s="21" t="str">
        <f t="shared" ca="1" si="46"/>
        <v/>
      </c>
      <c r="CL414" s="21" t="str">
        <f t="shared" si="47"/>
        <v/>
      </c>
      <c r="CM414" s="52"/>
      <c r="CN414" s="57" t="str">
        <f t="shared" si="48"/>
        <v/>
      </c>
    </row>
    <row r="415" spans="14:92" x14ac:dyDescent="0.25">
      <c r="N415" s="58"/>
      <c r="P415" s="60"/>
      <c r="Q415" s="13"/>
      <c r="V415" s="60"/>
      <c r="X415" s="61"/>
      <c r="AB415" s="60"/>
      <c r="AN415" s="54"/>
      <c r="AS415" s="15"/>
      <c r="BH415" s="52"/>
      <c r="BI415" s="21" t="str">
        <f ca="1">IFERROR(VLOOKUP(C415,OFFSET(abbreviation[],0,ColumnLanguage),ColumnAbbreviation,FALSE),"")</f>
        <v/>
      </c>
      <c r="BJ415" s="21" t="str">
        <f ca="1">IFERROR(VLOOKUP(E415,OFFSET(abbreviation[],0,ColumnLanguage),ColumnAbbreviation,FALSE),"")</f>
        <v/>
      </c>
      <c r="BK415" s="21" t="str">
        <f ca="1">IFERROR(VLOOKUP(G415,OFFSET(abbreviation[],0,ColumnLanguage),ColumnAbbreviation,FALSE),"")</f>
        <v/>
      </c>
      <c r="BL415" s="21" t="str">
        <f ca="1">IFERROR(VLOOKUP(I415,OFFSET(abbreviation[],0,ColumnLanguage),ColumnAbbreviation,FALSE),"")</f>
        <v/>
      </c>
      <c r="BM415" s="21" t="str">
        <f ca="1">IFERROR(VLOOKUP(K415,OFFSET(abbreviation[],0,ColumnLanguage),ColumnAbbreviation,FALSE),"")</f>
        <v/>
      </c>
      <c r="BN415" s="21" t="str">
        <f t="shared" ca="1" si="42"/>
        <v/>
      </c>
      <c r="BO415" s="21" t="str">
        <f ca="1">IFERROR(VLOOKUP(N415,OFFSET(abbreviation[],0,ColumnLanguage),ColumnAbbreviation,FALSE),"")</f>
        <v/>
      </c>
      <c r="BP415" s="21" t="str">
        <f ca="1">IFERROR(VLOOKUP(P415,OFFSET(abbreviation[],0,ColumnLanguage),ColumnAbbreviation,FALSE),"")</f>
        <v/>
      </c>
      <c r="BQ415" s="21" t="str">
        <f ca="1">IFERROR(VLOOKUP(T415,OFFSET(abbreviation[],0,ColumnLanguage),ColumnAbbreviation,FALSE),"")</f>
        <v/>
      </c>
      <c r="BR415" s="21" t="str">
        <f ca="1">IFERROR(VLOOKUP(V415,OFFSET(abbreviation[],0,ColumnLanguage),ColumnAbbreviation,FALSE),"")</f>
        <v/>
      </c>
      <c r="BS415" s="21" t="str">
        <f ca="1">IFERROR(VLOOKUP(Z415,OFFSET(abbreviation[],0,ColumnLanguage),ColumnAbbreviation,FALSE),"")</f>
        <v/>
      </c>
      <c r="BT415" s="21" t="str">
        <f ca="1">IFERROR(VLOOKUP(AB415,OFFSET(abbreviation[],0,ColumnLanguage),ColumnAbbreviation,FALSE),"")</f>
        <v/>
      </c>
      <c r="BU415" s="21" t="str">
        <f t="shared" ca="1" si="43"/>
        <v>__</v>
      </c>
      <c r="BV415" s="21" t="str">
        <f ca="1">IFERROR(VLOOKUP(AF415,OFFSET(abbreviation[],0,ColumnLanguage),ColumnAbbreviation,FALSE),"")</f>
        <v/>
      </c>
      <c r="BW415" s="21" t="str">
        <f ca="1">IFERROR(VLOOKUP(AH415,OFFSET(abbreviation[],0,ColumnLanguage),ColumnAbbreviation,FALSE),"")</f>
        <v/>
      </c>
      <c r="BX415" s="21" t="str">
        <f ca="1">IFERROR(VLOOKUP(AJ415,OFFSET(abbreviation[],0,ColumnLanguage),ColumnAbbreviation,FALSE),"")</f>
        <v/>
      </c>
      <c r="BY415" s="21" t="str">
        <f ca="1">IFERROR(VLOOKUP(AL415,OFFSET(abbreviation[],0,ColumnLanguage),ColumnAbbreviation,FALSE),"")</f>
        <v/>
      </c>
      <c r="BZ415" s="21" t="str">
        <f t="shared" ca="1" si="44"/>
        <v>_</v>
      </c>
      <c r="CA415" s="21" t="str">
        <f ca="1">IFERROR(VLOOKUP(AP415,OFFSET(abbreviation[],0,ColumnLanguage),ColumnAbbreviation,FALSE),"")</f>
        <v/>
      </c>
      <c r="CB415" s="21" t="str">
        <f ca="1">IFERROR(VLOOKUP(AR415,OFFSET(abbreviation[],0,ColumnLanguage),ColumnAbbreviation,FALSE),"")</f>
        <v/>
      </c>
      <c r="CC415" s="21" t="str">
        <f ca="1">IFERROR(VLOOKUP(AT415,OFFSET(abbreviation[],0,ColumnLanguage),ColumnAbbreviation,FALSE),"")</f>
        <v/>
      </c>
      <c r="CD415" s="21" t="str">
        <f ca="1">IFERROR(VLOOKUP(AV415,OFFSET(abbreviation[],0,ColumnLanguage),ColumnAbbreviation,FALSE),"")</f>
        <v/>
      </c>
      <c r="CE415" s="21" t="str">
        <f t="shared" ca="1" si="45"/>
        <v>__</v>
      </c>
      <c r="CF415" s="21" t="str">
        <f ca="1">IFERROR(VLOOKUP(AX415,OFFSET(abbreviation[],0,ColumnLanguage),ColumnAbbreviation,FALSE),"")</f>
        <v/>
      </c>
      <c r="CG415" s="21" t="str">
        <f ca="1">IFERROR(VLOOKUP(AZ415,OFFSET(abbreviation[],0,ColumnLanguage),ColumnAbbreviation,FALSE),"")</f>
        <v/>
      </c>
      <c r="CH415" s="21" t="str">
        <f ca="1">IFERROR(VLOOKUP(BB415,OFFSET(abbreviation[],0,ColumnLanguage),ColumnAbbreviation,FALSE),"")</f>
        <v/>
      </c>
      <c r="CI415" s="21" t="str">
        <f ca="1">IFERROR(VLOOKUP(BD415,OFFSET(abbreviation[],0,ColumnLanguage),ColumnAbbreviation,FALSE),"")</f>
        <v/>
      </c>
      <c r="CJ415" s="21" t="str">
        <f ca="1">IFERROR(VLOOKUP(BF415,OFFSET(abbreviation[],0,ColumnLanguage),ColumnAbbreviation,FALSE),"")</f>
        <v/>
      </c>
      <c r="CK415" s="21" t="str">
        <f t="shared" ca="1" si="46"/>
        <v/>
      </c>
      <c r="CL415" s="21" t="str">
        <f t="shared" si="47"/>
        <v/>
      </c>
      <c r="CM415" s="52"/>
      <c r="CN415" s="57" t="str">
        <f t="shared" si="48"/>
        <v/>
      </c>
    </row>
    <row r="416" spans="14:92" x14ac:dyDescent="0.25">
      <c r="N416" s="58"/>
      <c r="P416" s="60"/>
      <c r="Q416" s="13"/>
      <c r="V416" s="60"/>
      <c r="X416" s="61"/>
      <c r="AB416" s="60"/>
      <c r="AN416" s="54"/>
      <c r="AS416" s="15"/>
      <c r="BH416" s="52"/>
      <c r="BI416" s="21" t="str">
        <f ca="1">IFERROR(VLOOKUP(C416,OFFSET(abbreviation[],0,ColumnLanguage),ColumnAbbreviation,FALSE),"")</f>
        <v/>
      </c>
      <c r="BJ416" s="21" t="str">
        <f ca="1">IFERROR(VLOOKUP(E416,OFFSET(abbreviation[],0,ColumnLanguage),ColumnAbbreviation,FALSE),"")</f>
        <v/>
      </c>
      <c r="BK416" s="21" t="str">
        <f ca="1">IFERROR(VLOOKUP(G416,OFFSET(abbreviation[],0,ColumnLanguage),ColumnAbbreviation,FALSE),"")</f>
        <v/>
      </c>
      <c r="BL416" s="21" t="str">
        <f ca="1">IFERROR(VLOOKUP(I416,OFFSET(abbreviation[],0,ColumnLanguage),ColumnAbbreviation,FALSE),"")</f>
        <v/>
      </c>
      <c r="BM416" s="21" t="str">
        <f ca="1">IFERROR(VLOOKUP(K416,OFFSET(abbreviation[],0,ColumnLanguage),ColumnAbbreviation,FALSE),"")</f>
        <v/>
      </c>
      <c r="BN416" s="21" t="str">
        <f t="shared" ca="1" si="42"/>
        <v/>
      </c>
      <c r="BO416" s="21" t="str">
        <f ca="1">IFERROR(VLOOKUP(N416,OFFSET(abbreviation[],0,ColumnLanguage),ColumnAbbreviation,FALSE),"")</f>
        <v/>
      </c>
      <c r="BP416" s="21" t="str">
        <f ca="1">IFERROR(VLOOKUP(P416,OFFSET(abbreviation[],0,ColumnLanguage),ColumnAbbreviation,FALSE),"")</f>
        <v/>
      </c>
      <c r="BQ416" s="21" t="str">
        <f ca="1">IFERROR(VLOOKUP(T416,OFFSET(abbreviation[],0,ColumnLanguage),ColumnAbbreviation,FALSE),"")</f>
        <v/>
      </c>
      <c r="BR416" s="21" t="str">
        <f ca="1">IFERROR(VLOOKUP(V416,OFFSET(abbreviation[],0,ColumnLanguage),ColumnAbbreviation,FALSE),"")</f>
        <v/>
      </c>
      <c r="BS416" s="21" t="str">
        <f ca="1">IFERROR(VLOOKUP(Z416,OFFSET(abbreviation[],0,ColumnLanguage),ColumnAbbreviation,FALSE),"")</f>
        <v/>
      </c>
      <c r="BT416" s="21" t="str">
        <f ca="1">IFERROR(VLOOKUP(AB416,OFFSET(abbreviation[],0,ColumnLanguage),ColumnAbbreviation,FALSE),"")</f>
        <v/>
      </c>
      <c r="BU416" s="21" t="str">
        <f t="shared" ca="1" si="43"/>
        <v>__</v>
      </c>
      <c r="BV416" s="21" t="str">
        <f ca="1">IFERROR(VLOOKUP(AF416,OFFSET(abbreviation[],0,ColumnLanguage),ColumnAbbreviation,FALSE),"")</f>
        <v/>
      </c>
      <c r="BW416" s="21" t="str">
        <f ca="1">IFERROR(VLOOKUP(AH416,OFFSET(abbreviation[],0,ColumnLanguage),ColumnAbbreviation,FALSE),"")</f>
        <v/>
      </c>
      <c r="BX416" s="21" t="str">
        <f ca="1">IFERROR(VLOOKUP(AJ416,OFFSET(abbreviation[],0,ColumnLanguage),ColumnAbbreviation,FALSE),"")</f>
        <v/>
      </c>
      <c r="BY416" s="21" t="str">
        <f ca="1">IFERROR(VLOOKUP(AL416,OFFSET(abbreviation[],0,ColumnLanguage),ColumnAbbreviation,FALSE),"")</f>
        <v/>
      </c>
      <c r="BZ416" s="21" t="str">
        <f t="shared" ca="1" si="44"/>
        <v>_</v>
      </c>
      <c r="CA416" s="21" t="str">
        <f ca="1">IFERROR(VLOOKUP(AP416,OFFSET(abbreviation[],0,ColumnLanguage),ColumnAbbreviation,FALSE),"")</f>
        <v/>
      </c>
      <c r="CB416" s="21" t="str">
        <f ca="1">IFERROR(VLOOKUP(AR416,OFFSET(abbreviation[],0,ColumnLanguage),ColumnAbbreviation,FALSE),"")</f>
        <v/>
      </c>
      <c r="CC416" s="21" t="str">
        <f ca="1">IFERROR(VLOOKUP(AT416,OFFSET(abbreviation[],0,ColumnLanguage),ColumnAbbreviation,FALSE),"")</f>
        <v/>
      </c>
      <c r="CD416" s="21" t="str">
        <f ca="1">IFERROR(VLOOKUP(AV416,OFFSET(abbreviation[],0,ColumnLanguage),ColumnAbbreviation,FALSE),"")</f>
        <v/>
      </c>
      <c r="CE416" s="21" t="str">
        <f t="shared" ca="1" si="45"/>
        <v>__</v>
      </c>
      <c r="CF416" s="21" t="str">
        <f ca="1">IFERROR(VLOOKUP(AX416,OFFSET(abbreviation[],0,ColumnLanguage),ColumnAbbreviation,FALSE),"")</f>
        <v/>
      </c>
      <c r="CG416" s="21" t="str">
        <f ca="1">IFERROR(VLOOKUP(AZ416,OFFSET(abbreviation[],0,ColumnLanguage),ColumnAbbreviation,FALSE),"")</f>
        <v/>
      </c>
      <c r="CH416" s="21" t="str">
        <f ca="1">IFERROR(VLOOKUP(BB416,OFFSET(abbreviation[],0,ColumnLanguage),ColumnAbbreviation,FALSE),"")</f>
        <v/>
      </c>
      <c r="CI416" s="21" t="str">
        <f ca="1">IFERROR(VLOOKUP(BD416,OFFSET(abbreviation[],0,ColumnLanguage),ColumnAbbreviation,FALSE),"")</f>
        <v/>
      </c>
      <c r="CJ416" s="21" t="str">
        <f ca="1">IFERROR(VLOOKUP(BF416,OFFSET(abbreviation[],0,ColumnLanguage),ColumnAbbreviation,FALSE),"")</f>
        <v/>
      </c>
      <c r="CK416" s="21" t="str">
        <f t="shared" ca="1" si="46"/>
        <v/>
      </c>
      <c r="CL416" s="21" t="str">
        <f t="shared" si="47"/>
        <v/>
      </c>
      <c r="CM416" s="52"/>
      <c r="CN416" s="57" t="str">
        <f t="shared" si="48"/>
        <v/>
      </c>
    </row>
    <row r="417" spans="14:92" x14ac:dyDescent="0.25">
      <c r="N417" s="58"/>
      <c r="P417" s="60"/>
      <c r="Q417" s="13"/>
      <c r="V417" s="60"/>
      <c r="X417" s="61"/>
      <c r="AB417" s="60"/>
      <c r="AN417" s="54"/>
      <c r="AS417" s="15"/>
      <c r="BH417" s="52"/>
      <c r="BI417" s="21" t="str">
        <f ca="1">IFERROR(VLOOKUP(C417,OFFSET(abbreviation[],0,ColumnLanguage),ColumnAbbreviation,FALSE),"")</f>
        <v/>
      </c>
      <c r="BJ417" s="21" t="str">
        <f ca="1">IFERROR(VLOOKUP(E417,OFFSET(abbreviation[],0,ColumnLanguage),ColumnAbbreviation,FALSE),"")</f>
        <v/>
      </c>
      <c r="BK417" s="21" t="str">
        <f ca="1">IFERROR(VLOOKUP(G417,OFFSET(abbreviation[],0,ColumnLanguage),ColumnAbbreviation,FALSE),"")</f>
        <v/>
      </c>
      <c r="BL417" s="21" t="str">
        <f ca="1">IFERROR(VLOOKUP(I417,OFFSET(abbreviation[],0,ColumnLanguage),ColumnAbbreviation,FALSE),"")</f>
        <v/>
      </c>
      <c r="BM417" s="21" t="str">
        <f ca="1">IFERROR(VLOOKUP(K417,OFFSET(abbreviation[],0,ColumnLanguage),ColumnAbbreviation,FALSE),"")</f>
        <v/>
      </c>
      <c r="BN417" s="21" t="str">
        <f t="shared" ca="1" si="42"/>
        <v/>
      </c>
      <c r="BO417" s="21" t="str">
        <f ca="1">IFERROR(VLOOKUP(N417,OFFSET(abbreviation[],0,ColumnLanguage),ColumnAbbreviation,FALSE),"")</f>
        <v/>
      </c>
      <c r="BP417" s="21" t="str">
        <f ca="1">IFERROR(VLOOKUP(P417,OFFSET(abbreviation[],0,ColumnLanguage),ColumnAbbreviation,FALSE),"")</f>
        <v/>
      </c>
      <c r="BQ417" s="21" t="str">
        <f ca="1">IFERROR(VLOOKUP(T417,OFFSET(abbreviation[],0,ColumnLanguage),ColumnAbbreviation,FALSE),"")</f>
        <v/>
      </c>
      <c r="BR417" s="21" t="str">
        <f ca="1">IFERROR(VLOOKUP(V417,OFFSET(abbreviation[],0,ColumnLanguage),ColumnAbbreviation,FALSE),"")</f>
        <v/>
      </c>
      <c r="BS417" s="21" t="str">
        <f ca="1">IFERROR(VLOOKUP(Z417,OFFSET(abbreviation[],0,ColumnLanguage),ColumnAbbreviation,FALSE),"")</f>
        <v/>
      </c>
      <c r="BT417" s="21" t="str">
        <f ca="1">IFERROR(VLOOKUP(AB417,OFFSET(abbreviation[],0,ColumnLanguage),ColumnAbbreviation,FALSE),"")</f>
        <v/>
      </c>
      <c r="BU417" s="21" t="str">
        <f t="shared" ca="1" si="43"/>
        <v>__</v>
      </c>
      <c r="BV417" s="21" t="str">
        <f ca="1">IFERROR(VLOOKUP(AF417,OFFSET(abbreviation[],0,ColumnLanguage),ColumnAbbreviation,FALSE),"")</f>
        <v/>
      </c>
      <c r="BW417" s="21" t="str">
        <f ca="1">IFERROR(VLOOKUP(AH417,OFFSET(abbreviation[],0,ColumnLanguage),ColumnAbbreviation,FALSE),"")</f>
        <v/>
      </c>
      <c r="BX417" s="21" t="str">
        <f ca="1">IFERROR(VLOOKUP(AJ417,OFFSET(abbreviation[],0,ColumnLanguage),ColumnAbbreviation,FALSE),"")</f>
        <v/>
      </c>
      <c r="BY417" s="21" t="str">
        <f ca="1">IFERROR(VLOOKUP(AL417,OFFSET(abbreviation[],0,ColumnLanguage),ColumnAbbreviation,FALSE),"")</f>
        <v/>
      </c>
      <c r="BZ417" s="21" t="str">
        <f t="shared" ca="1" si="44"/>
        <v>_</v>
      </c>
      <c r="CA417" s="21" t="str">
        <f ca="1">IFERROR(VLOOKUP(AP417,OFFSET(abbreviation[],0,ColumnLanguage),ColumnAbbreviation,FALSE),"")</f>
        <v/>
      </c>
      <c r="CB417" s="21" t="str">
        <f ca="1">IFERROR(VLOOKUP(AR417,OFFSET(abbreviation[],0,ColumnLanguage),ColumnAbbreviation,FALSE),"")</f>
        <v/>
      </c>
      <c r="CC417" s="21" t="str">
        <f ca="1">IFERROR(VLOOKUP(AT417,OFFSET(abbreviation[],0,ColumnLanguage),ColumnAbbreviation,FALSE),"")</f>
        <v/>
      </c>
      <c r="CD417" s="21" t="str">
        <f ca="1">IFERROR(VLOOKUP(AV417,OFFSET(abbreviation[],0,ColumnLanguage),ColumnAbbreviation,FALSE),"")</f>
        <v/>
      </c>
      <c r="CE417" s="21" t="str">
        <f t="shared" ca="1" si="45"/>
        <v>__</v>
      </c>
      <c r="CF417" s="21" t="str">
        <f ca="1">IFERROR(VLOOKUP(AX417,OFFSET(abbreviation[],0,ColumnLanguage),ColumnAbbreviation,FALSE),"")</f>
        <v/>
      </c>
      <c r="CG417" s="21" t="str">
        <f ca="1">IFERROR(VLOOKUP(AZ417,OFFSET(abbreviation[],0,ColumnLanguage),ColumnAbbreviation,FALSE),"")</f>
        <v/>
      </c>
      <c r="CH417" s="21" t="str">
        <f ca="1">IFERROR(VLOOKUP(BB417,OFFSET(abbreviation[],0,ColumnLanguage),ColumnAbbreviation,FALSE),"")</f>
        <v/>
      </c>
      <c r="CI417" s="21" t="str">
        <f ca="1">IFERROR(VLOOKUP(BD417,OFFSET(abbreviation[],0,ColumnLanguage),ColumnAbbreviation,FALSE),"")</f>
        <v/>
      </c>
      <c r="CJ417" s="21" t="str">
        <f ca="1">IFERROR(VLOOKUP(BF417,OFFSET(abbreviation[],0,ColumnLanguage),ColumnAbbreviation,FALSE),"")</f>
        <v/>
      </c>
      <c r="CK417" s="21" t="str">
        <f t="shared" ca="1" si="46"/>
        <v/>
      </c>
      <c r="CL417" s="21" t="str">
        <f t="shared" si="47"/>
        <v/>
      </c>
      <c r="CM417" s="52"/>
      <c r="CN417" s="57" t="str">
        <f t="shared" si="48"/>
        <v/>
      </c>
    </row>
    <row r="418" spans="14:92" x14ac:dyDescent="0.25">
      <c r="N418" s="58"/>
      <c r="P418" s="60"/>
      <c r="Q418" s="13"/>
      <c r="V418" s="60"/>
      <c r="X418" s="61"/>
      <c r="AB418" s="60"/>
      <c r="AN418" s="54"/>
      <c r="AS418" s="15"/>
      <c r="BH418" s="52"/>
      <c r="BI418" s="21" t="str">
        <f ca="1">IFERROR(VLOOKUP(C418,OFFSET(abbreviation[],0,ColumnLanguage),ColumnAbbreviation,FALSE),"")</f>
        <v/>
      </c>
      <c r="BJ418" s="21" t="str">
        <f ca="1">IFERROR(VLOOKUP(E418,OFFSET(abbreviation[],0,ColumnLanguage),ColumnAbbreviation,FALSE),"")</f>
        <v/>
      </c>
      <c r="BK418" s="21" t="str">
        <f ca="1">IFERROR(VLOOKUP(G418,OFFSET(abbreviation[],0,ColumnLanguage),ColumnAbbreviation,FALSE),"")</f>
        <v/>
      </c>
      <c r="BL418" s="21" t="str">
        <f ca="1">IFERROR(VLOOKUP(I418,OFFSET(abbreviation[],0,ColumnLanguage),ColumnAbbreviation,FALSE),"")</f>
        <v/>
      </c>
      <c r="BM418" s="21" t="str">
        <f ca="1">IFERROR(VLOOKUP(K418,OFFSET(abbreviation[],0,ColumnLanguage),ColumnAbbreviation,FALSE),"")</f>
        <v/>
      </c>
      <c r="BN418" s="21" t="str">
        <f t="shared" ca="1" si="42"/>
        <v/>
      </c>
      <c r="BO418" s="21" t="str">
        <f ca="1">IFERROR(VLOOKUP(N418,OFFSET(abbreviation[],0,ColumnLanguage),ColumnAbbreviation,FALSE),"")</f>
        <v/>
      </c>
      <c r="BP418" s="21" t="str">
        <f ca="1">IFERROR(VLOOKUP(P418,OFFSET(abbreviation[],0,ColumnLanguage),ColumnAbbreviation,FALSE),"")</f>
        <v/>
      </c>
      <c r="BQ418" s="21" t="str">
        <f ca="1">IFERROR(VLOOKUP(T418,OFFSET(abbreviation[],0,ColumnLanguage),ColumnAbbreviation,FALSE),"")</f>
        <v/>
      </c>
      <c r="BR418" s="21" t="str">
        <f ca="1">IFERROR(VLOOKUP(V418,OFFSET(abbreviation[],0,ColumnLanguage),ColumnAbbreviation,FALSE),"")</f>
        <v/>
      </c>
      <c r="BS418" s="21" t="str">
        <f ca="1">IFERROR(VLOOKUP(Z418,OFFSET(abbreviation[],0,ColumnLanguage),ColumnAbbreviation,FALSE),"")</f>
        <v/>
      </c>
      <c r="BT418" s="21" t="str">
        <f ca="1">IFERROR(VLOOKUP(AB418,OFFSET(abbreviation[],0,ColumnLanguage),ColumnAbbreviation,FALSE),"")</f>
        <v/>
      </c>
      <c r="BU418" s="21" t="str">
        <f t="shared" ca="1" si="43"/>
        <v>__</v>
      </c>
      <c r="BV418" s="21" t="str">
        <f ca="1">IFERROR(VLOOKUP(AF418,OFFSET(abbreviation[],0,ColumnLanguage),ColumnAbbreviation,FALSE),"")</f>
        <v/>
      </c>
      <c r="BW418" s="21" t="str">
        <f ca="1">IFERROR(VLOOKUP(AH418,OFFSET(abbreviation[],0,ColumnLanguage),ColumnAbbreviation,FALSE),"")</f>
        <v/>
      </c>
      <c r="BX418" s="21" t="str">
        <f ca="1">IFERROR(VLOOKUP(AJ418,OFFSET(abbreviation[],0,ColumnLanguage),ColumnAbbreviation,FALSE),"")</f>
        <v/>
      </c>
      <c r="BY418" s="21" t="str">
        <f ca="1">IFERROR(VLOOKUP(AL418,OFFSET(abbreviation[],0,ColumnLanguage),ColumnAbbreviation,FALSE),"")</f>
        <v/>
      </c>
      <c r="BZ418" s="21" t="str">
        <f t="shared" ca="1" si="44"/>
        <v>_</v>
      </c>
      <c r="CA418" s="21" t="str">
        <f ca="1">IFERROR(VLOOKUP(AP418,OFFSET(abbreviation[],0,ColumnLanguage),ColumnAbbreviation,FALSE),"")</f>
        <v/>
      </c>
      <c r="CB418" s="21" t="str">
        <f ca="1">IFERROR(VLOOKUP(AR418,OFFSET(abbreviation[],0,ColumnLanguage),ColumnAbbreviation,FALSE),"")</f>
        <v/>
      </c>
      <c r="CC418" s="21" t="str">
        <f ca="1">IFERROR(VLOOKUP(AT418,OFFSET(abbreviation[],0,ColumnLanguage),ColumnAbbreviation,FALSE),"")</f>
        <v/>
      </c>
      <c r="CD418" s="21" t="str">
        <f ca="1">IFERROR(VLOOKUP(AV418,OFFSET(abbreviation[],0,ColumnLanguage),ColumnAbbreviation,FALSE),"")</f>
        <v/>
      </c>
      <c r="CE418" s="21" t="str">
        <f t="shared" ca="1" si="45"/>
        <v>__</v>
      </c>
      <c r="CF418" s="21" t="str">
        <f ca="1">IFERROR(VLOOKUP(AX418,OFFSET(abbreviation[],0,ColumnLanguage),ColumnAbbreviation,FALSE),"")</f>
        <v/>
      </c>
      <c r="CG418" s="21" t="str">
        <f ca="1">IFERROR(VLOOKUP(AZ418,OFFSET(abbreviation[],0,ColumnLanguage),ColumnAbbreviation,FALSE),"")</f>
        <v/>
      </c>
      <c r="CH418" s="21" t="str">
        <f ca="1">IFERROR(VLOOKUP(BB418,OFFSET(abbreviation[],0,ColumnLanguage),ColumnAbbreviation,FALSE),"")</f>
        <v/>
      </c>
      <c r="CI418" s="21" t="str">
        <f ca="1">IFERROR(VLOOKUP(BD418,OFFSET(abbreviation[],0,ColumnLanguage),ColumnAbbreviation,FALSE),"")</f>
        <v/>
      </c>
      <c r="CJ418" s="21" t="str">
        <f ca="1">IFERROR(VLOOKUP(BF418,OFFSET(abbreviation[],0,ColumnLanguage),ColumnAbbreviation,FALSE),"")</f>
        <v/>
      </c>
      <c r="CK418" s="21" t="str">
        <f t="shared" ca="1" si="46"/>
        <v/>
      </c>
      <c r="CL418" s="21" t="str">
        <f t="shared" si="47"/>
        <v/>
      </c>
      <c r="CM418" s="52"/>
      <c r="CN418" s="57" t="str">
        <f t="shared" si="48"/>
        <v/>
      </c>
    </row>
    <row r="419" spans="14:92" x14ac:dyDescent="0.25">
      <c r="N419" s="58"/>
      <c r="P419" s="60"/>
      <c r="Q419" s="13"/>
      <c r="V419" s="60"/>
      <c r="X419" s="61"/>
      <c r="AB419" s="60"/>
      <c r="AN419" s="54"/>
      <c r="AS419" s="15"/>
      <c r="BH419" s="52"/>
      <c r="BI419" s="21" t="str">
        <f ca="1">IFERROR(VLOOKUP(C419,OFFSET(abbreviation[],0,ColumnLanguage),ColumnAbbreviation,FALSE),"")</f>
        <v/>
      </c>
      <c r="BJ419" s="21" t="str">
        <f ca="1">IFERROR(VLOOKUP(E419,OFFSET(abbreviation[],0,ColumnLanguage),ColumnAbbreviation,FALSE),"")</f>
        <v/>
      </c>
      <c r="BK419" s="21" t="str">
        <f ca="1">IFERROR(VLOOKUP(G419,OFFSET(abbreviation[],0,ColumnLanguage),ColumnAbbreviation,FALSE),"")</f>
        <v/>
      </c>
      <c r="BL419" s="21" t="str">
        <f ca="1">IFERROR(VLOOKUP(I419,OFFSET(abbreviation[],0,ColumnLanguage),ColumnAbbreviation,FALSE),"")</f>
        <v/>
      </c>
      <c r="BM419" s="21" t="str">
        <f ca="1">IFERROR(VLOOKUP(K419,OFFSET(abbreviation[],0,ColumnLanguage),ColumnAbbreviation,FALSE),"")</f>
        <v/>
      </c>
      <c r="BN419" s="21" t="str">
        <f t="shared" ca="1" si="42"/>
        <v/>
      </c>
      <c r="BO419" s="21" t="str">
        <f ca="1">IFERROR(VLOOKUP(N419,OFFSET(abbreviation[],0,ColumnLanguage),ColumnAbbreviation,FALSE),"")</f>
        <v/>
      </c>
      <c r="BP419" s="21" t="str">
        <f ca="1">IFERROR(VLOOKUP(P419,OFFSET(abbreviation[],0,ColumnLanguage),ColumnAbbreviation,FALSE),"")</f>
        <v/>
      </c>
      <c r="BQ419" s="21" t="str">
        <f ca="1">IFERROR(VLOOKUP(T419,OFFSET(abbreviation[],0,ColumnLanguage),ColumnAbbreviation,FALSE),"")</f>
        <v/>
      </c>
      <c r="BR419" s="21" t="str">
        <f ca="1">IFERROR(VLOOKUP(V419,OFFSET(abbreviation[],0,ColumnLanguage),ColumnAbbreviation,FALSE),"")</f>
        <v/>
      </c>
      <c r="BS419" s="21" t="str">
        <f ca="1">IFERROR(VLOOKUP(Z419,OFFSET(abbreviation[],0,ColumnLanguage),ColumnAbbreviation,FALSE),"")</f>
        <v/>
      </c>
      <c r="BT419" s="21" t="str">
        <f ca="1">IFERROR(VLOOKUP(AB419,OFFSET(abbreviation[],0,ColumnLanguage),ColumnAbbreviation,FALSE),"")</f>
        <v/>
      </c>
      <c r="BU419" s="21" t="str">
        <f t="shared" ca="1" si="43"/>
        <v>__</v>
      </c>
      <c r="BV419" s="21" t="str">
        <f ca="1">IFERROR(VLOOKUP(AF419,OFFSET(abbreviation[],0,ColumnLanguage),ColumnAbbreviation,FALSE),"")</f>
        <v/>
      </c>
      <c r="BW419" s="21" t="str">
        <f ca="1">IFERROR(VLOOKUP(AH419,OFFSET(abbreviation[],0,ColumnLanguage),ColumnAbbreviation,FALSE),"")</f>
        <v/>
      </c>
      <c r="BX419" s="21" t="str">
        <f ca="1">IFERROR(VLOOKUP(AJ419,OFFSET(abbreviation[],0,ColumnLanguage),ColumnAbbreviation,FALSE),"")</f>
        <v/>
      </c>
      <c r="BY419" s="21" t="str">
        <f ca="1">IFERROR(VLOOKUP(AL419,OFFSET(abbreviation[],0,ColumnLanguage),ColumnAbbreviation,FALSE),"")</f>
        <v/>
      </c>
      <c r="BZ419" s="21" t="str">
        <f t="shared" ca="1" si="44"/>
        <v>_</v>
      </c>
      <c r="CA419" s="21" t="str">
        <f ca="1">IFERROR(VLOOKUP(AP419,OFFSET(abbreviation[],0,ColumnLanguage),ColumnAbbreviation,FALSE),"")</f>
        <v/>
      </c>
      <c r="CB419" s="21" t="str">
        <f ca="1">IFERROR(VLOOKUP(AR419,OFFSET(abbreviation[],0,ColumnLanguage),ColumnAbbreviation,FALSE),"")</f>
        <v/>
      </c>
      <c r="CC419" s="21" t="str">
        <f ca="1">IFERROR(VLOOKUP(AT419,OFFSET(abbreviation[],0,ColumnLanguage),ColumnAbbreviation,FALSE),"")</f>
        <v/>
      </c>
      <c r="CD419" s="21" t="str">
        <f ca="1">IFERROR(VLOOKUP(AV419,OFFSET(abbreviation[],0,ColumnLanguage),ColumnAbbreviation,FALSE),"")</f>
        <v/>
      </c>
      <c r="CE419" s="21" t="str">
        <f t="shared" ca="1" si="45"/>
        <v>__</v>
      </c>
      <c r="CF419" s="21" t="str">
        <f ca="1">IFERROR(VLOOKUP(AX419,OFFSET(abbreviation[],0,ColumnLanguage),ColumnAbbreviation,FALSE),"")</f>
        <v/>
      </c>
      <c r="CG419" s="21" t="str">
        <f ca="1">IFERROR(VLOOKUP(AZ419,OFFSET(abbreviation[],0,ColumnLanguage),ColumnAbbreviation,FALSE),"")</f>
        <v/>
      </c>
      <c r="CH419" s="21" t="str">
        <f ca="1">IFERROR(VLOOKUP(BB419,OFFSET(abbreviation[],0,ColumnLanguage),ColumnAbbreviation,FALSE),"")</f>
        <v/>
      </c>
      <c r="CI419" s="21" t="str">
        <f ca="1">IFERROR(VLOOKUP(BD419,OFFSET(abbreviation[],0,ColumnLanguage),ColumnAbbreviation,FALSE),"")</f>
        <v/>
      </c>
      <c r="CJ419" s="21" t="str">
        <f ca="1">IFERROR(VLOOKUP(BF419,OFFSET(abbreviation[],0,ColumnLanguage),ColumnAbbreviation,FALSE),"")</f>
        <v/>
      </c>
      <c r="CK419" s="21" t="str">
        <f t="shared" ca="1" si="46"/>
        <v/>
      </c>
      <c r="CL419" s="21" t="str">
        <f t="shared" si="47"/>
        <v/>
      </c>
      <c r="CM419" s="52"/>
      <c r="CN419" s="57" t="str">
        <f t="shared" si="48"/>
        <v/>
      </c>
    </row>
    <row r="420" spans="14:92" x14ac:dyDescent="0.25">
      <c r="N420" s="58"/>
      <c r="P420" s="60"/>
      <c r="Q420" s="13"/>
      <c r="V420" s="60"/>
      <c r="X420" s="61"/>
      <c r="AB420" s="60"/>
      <c r="AN420" s="54"/>
      <c r="AS420" s="15"/>
      <c r="BH420" s="52"/>
      <c r="BI420" s="21" t="str">
        <f ca="1">IFERROR(VLOOKUP(C420,OFFSET(abbreviation[],0,ColumnLanguage),ColumnAbbreviation,FALSE),"")</f>
        <v/>
      </c>
      <c r="BJ420" s="21" t="str">
        <f ca="1">IFERROR(VLOOKUP(E420,OFFSET(abbreviation[],0,ColumnLanguage),ColumnAbbreviation,FALSE),"")</f>
        <v/>
      </c>
      <c r="BK420" s="21" t="str">
        <f ca="1">IFERROR(VLOOKUP(G420,OFFSET(abbreviation[],0,ColumnLanguage),ColumnAbbreviation,FALSE),"")</f>
        <v/>
      </c>
      <c r="BL420" s="21" t="str">
        <f ca="1">IFERROR(VLOOKUP(I420,OFFSET(abbreviation[],0,ColumnLanguage),ColumnAbbreviation,FALSE),"")</f>
        <v/>
      </c>
      <c r="BM420" s="21" t="str">
        <f ca="1">IFERROR(VLOOKUP(K420,OFFSET(abbreviation[],0,ColumnLanguage),ColumnAbbreviation,FALSE),"")</f>
        <v/>
      </c>
      <c r="BN420" s="21" t="str">
        <f t="shared" ca="1" si="42"/>
        <v/>
      </c>
      <c r="BO420" s="21" t="str">
        <f ca="1">IFERROR(VLOOKUP(N420,OFFSET(abbreviation[],0,ColumnLanguage),ColumnAbbreviation,FALSE),"")</f>
        <v/>
      </c>
      <c r="BP420" s="21" t="str">
        <f ca="1">IFERROR(VLOOKUP(P420,OFFSET(abbreviation[],0,ColumnLanguage),ColumnAbbreviation,FALSE),"")</f>
        <v/>
      </c>
      <c r="BQ420" s="21" t="str">
        <f ca="1">IFERROR(VLOOKUP(T420,OFFSET(abbreviation[],0,ColumnLanguage),ColumnAbbreviation,FALSE),"")</f>
        <v/>
      </c>
      <c r="BR420" s="21" t="str">
        <f ca="1">IFERROR(VLOOKUP(V420,OFFSET(abbreviation[],0,ColumnLanguage),ColumnAbbreviation,FALSE),"")</f>
        <v/>
      </c>
      <c r="BS420" s="21" t="str">
        <f ca="1">IFERROR(VLOOKUP(Z420,OFFSET(abbreviation[],0,ColumnLanguage),ColumnAbbreviation,FALSE),"")</f>
        <v/>
      </c>
      <c r="BT420" s="21" t="str">
        <f ca="1">IFERROR(VLOOKUP(AB420,OFFSET(abbreviation[],0,ColumnLanguage),ColumnAbbreviation,FALSE),"")</f>
        <v/>
      </c>
      <c r="BU420" s="21" t="str">
        <f t="shared" ca="1" si="43"/>
        <v>__</v>
      </c>
      <c r="BV420" s="21" t="str">
        <f ca="1">IFERROR(VLOOKUP(AF420,OFFSET(abbreviation[],0,ColumnLanguage),ColumnAbbreviation,FALSE),"")</f>
        <v/>
      </c>
      <c r="BW420" s="21" t="str">
        <f ca="1">IFERROR(VLOOKUP(AH420,OFFSET(abbreviation[],0,ColumnLanguage),ColumnAbbreviation,FALSE),"")</f>
        <v/>
      </c>
      <c r="BX420" s="21" t="str">
        <f ca="1">IFERROR(VLOOKUP(AJ420,OFFSET(abbreviation[],0,ColumnLanguage),ColumnAbbreviation,FALSE),"")</f>
        <v/>
      </c>
      <c r="BY420" s="21" t="str">
        <f ca="1">IFERROR(VLOOKUP(AL420,OFFSET(abbreviation[],0,ColumnLanguage),ColumnAbbreviation,FALSE),"")</f>
        <v/>
      </c>
      <c r="BZ420" s="21" t="str">
        <f t="shared" ca="1" si="44"/>
        <v>_</v>
      </c>
      <c r="CA420" s="21" t="str">
        <f ca="1">IFERROR(VLOOKUP(AP420,OFFSET(abbreviation[],0,ColumnLanguage),ColumnAbbreviation,FALSE),"")</f>
        <v/>
      </c>
      <c r="CB420" s="21" t="str">
        <f ca="1">IFERROR(VLOOKUP(AR420,OFFSET(abbreviation[],0,ColumnLanguage),ColumnAbbreviation,FALSE),"")</f>
        <v/>
      </c>
      <c r="CC420" s="21" t="str">
        <f ca="1">IFERROR(VLOOKUP(AT420,OFFSET(abbreviation[],0,ColumnLanguage),ColumnAbbreviation,FALSE),"")</f>
        <v/>
      </c>
      <c r="CD420" s="21" t="str">
        <f ca="1">IFERROR(VLOOKUP(AV420,OFFSET(abbreviation[],0,ColumnLanguage),ColumnAbbreviation,FALSE),"")</f>
        <v/>
      </c>
      <c r="CE420" s="21" t="str">
        <f t="shared" ca="1" si="45"/>
        <v>__</v>
      </c>
      <c r="CF420" s="21" t="str">
        <f ca="1">IFERROR(VLOOKUP(AX420,OFFSET(abbreviation[],0,ColumnLanguage),ColumnAbbreviation,FALSE),"")</f>
        <v/>
      </c>
      <c r="CG420" s="21" t="str">
        <f ca="1">IFERROR(VLOOKUP(AZ420,OFFSET(abbreviation[],0,ColumnLanguage),ColumnAbbreviation,FALSE),"")</f>
        <v/>
      </c>
      <c r="CH420" s="21" t="str">
        <f ca="1">IFERROR(VLOOKUP(BB420,OFFSET(abbreviation[],0,ColumnLanguage),ColumnAbbreviation,FALSE),"")</f>
        <v/>
      </c>
      <c r="CI420" s="21" t="str">
        <f ca="1">IFERROR(VLOOKUP(BD420,OFFSET(abbreviation[],0,ColumnLanguage),ColumnAbbreviation,FALSE),"")</f>
        <v/>
      </c>
      <c r="CJ420" s="21" t="str">
        <f ca="1">IFERROR(VLOOKUP(BF420,OFFSET(abbreviation[],0,ColumnLanguage),ColumnAbbreviation,FALSE),"")</f>
        <v/>
      </c>
      <c r="CK420" s="21" t="str">
        <f t="shared" ca="1" si="46"/>
        <v/>
      </c>
      <c r="CL420" s="21" t="str">
        <f t="shared" si="47"/>
        <v/>
      </c>
      <c r="CM420" s="52"/>
      <c r="CN420" s="57" t="str">
        <f t="shared" si="48"/>
        <v/>
      </c>
    </row>
    <row r="421" spans="14:92" x14ac:dyDescent="0.25">
      <c r="N421" s="58"/>
      <c r="P421" s="60"/>
      <c r="Q421" s="13"/>
      <c r="V421" s="60"/>
      <c r="X421" s="61"/>
      <c r="AB421" s="60"/>
      <c r="AN421" s="54"/>
      <c r="AS421" s="15"/>
      <c r="BH421" s="52"/>
      <c r="BI421" s="21" t="str">
        <f ca="1">IFERROR(VLOOKUP(C421,OFFSET(abbreviation[],0,ColumnLanguage),ColumnAbbreviation,FALSE),"")</f>
        <v/>
      </c>
      <c r="BJ421" s="21" t="str">
        <f ca="1">IFERROR(VLOOKUP(E421,OFFSET(abbreviation[],0,ColumnLanguage),ColumnAbbreviation,FALSE),"")</f>
        <v/>
      </c>
      <c r="BK421" s="21" t="str">
        <f ca="1">IFERROR(VLOOKUP(G421,OFFSET(abbreviation[],0,ColumnLanguage),ColumnAbbreviation,FALSE),"")</f>
        <v/>
      </c>
      <c r="BL421" s="21" t="str">
        <f ca="1">IFERROR(VLOOKUP(I421,OFFSET(abbreviation[],0,ColumnLanguage),ColumnAbbreviation,FALSE),"")</f>
        <v/>
      </c>
      <c r="BM421" s="21" t="str">
        <f ca="1">IFERROR(VLOOKUP(K421,OFFSET(abbreviation[],0,ColumnLanguage),ColumnAbbreviation,FALSE),"")</f>
        <v/>
      </c>
      <c r="BN421" s="21" t="str">
        <f t="shared" ca="1" si="42"/>
        <v/>
      </c>
      <c r="BO421" s="21" t="str">
        <f ca="1">IFERROR(VLOOKUP(N421,OFFSET(abbreviation[],0,ColumnLanguage),ColumnAbbreviation,FALSE),"")</f>
        <v/>
      </c>
      <c r="BP421" s="21" t="str">
        <f ca="1">IFERROR(VLOOKUP(P421,OFFSET(abbreviation[],0,ColumnLanguage),ColumnAbbreviation,FALSE),"")</f>
        <v/>
      </c>
      <c r="BQ421" s="21" t="str">
        <f ca="1">IFERROR(VLOOKUP(T421,OFFSET(abbreviation[],0,ColumnLanguage),ColumnAbbreviation,FALSE),"")</f>
        <v/>
      </c>
      <c r="BR421" s="21" t="str">
        <f ca="1">IFERROR(VLOOKUP(V421,OFFSET(abbreviation[],0,ColumnLanguage),ColumnAbbreviation,FALSE),"")</f>
        <v/>
      </c>
      <c r="BS421" s="21" t="str">
        <f ca="1">IFERROR(VLOOKUP(Z421,OFFSET(abbreviation[],0,ColumnLanguage),ColumnAbbreviation,FALSE),"")</f>
        <v/>
      </c>
      <c r="BT421" s="21" t="str">
        <f ca="1">IFERROR(VLOOKUP(AB421,OFFSET(abbreviation[],0,ColumnLanguage),ColumnAbbreviation,FALSE),"")</f>
        <v/>
      </c>
      <c r="BU421" s="21" t="str">
        <f t="shared" ca="1" si="43"/>
        <v>__</v>
      </c>
      <c r="BV421" s="21" t="str">
        <f ca="1">IFERROR(VLOOKUP(AF421,OFFSET(abbreviation[],0,ColumnLanguage),ColumnAbbreviation,FALSE),"")</f>
        <v/>
      </c>
      <c r="BW421" s="21" t="str">
        <f ca="1">IFERROR(VLOOKUP(AH421,OFFSET(abbreviation[],0,ColumnLanguage),ColumnAbbreviation,FALSE),"")</f>
        <v/>
      </c>
      <c r="BX421" s="21" t="str">
        <f ca="1">IFERROR(VLOOKUP(AJ421,OFFSET(abbreviation[],0,ColumnLanguage),ColumnAbbreviation,FALSE),"")</f>
        <v/>
      </c>
      <c r="BY421" s="21" t="str">
        <f ca="1">IFERROR(VLOOKUP(AL421,OFFSET(abbreviation[],0,ColumnLanguage),ColumnAbbreviation,FALSE),"")</f>
        <v/>
      </c>
      <c r="BZ421" s="21" t="str">
        <f t="shared" ca="1" si="44"/>
        <v>_</v>
      </c>
      <c r="CA421" s="21" t="str">
        <f ca="1">IFERROR(VLOOKUP(AP421,OFFSET(abbreviation[],0,ColumnLanguage),ColumnAbbreviation,FALSE),"")</f>
        <v/>
      </c>
      <c r="CB421" s="21" t="str">
        <f ca="1">IFERROR(VLOOKUP(AR421,OFFSET(abbreviation[],0,ColumnLanguage),ColumnAbbreviation,FALSE),"")</f>
        <v/>
      </c>
      <c r="CC421" s="21" t="str">
        <f ca="1">IFERROR(VLOOKUP(AT421,OFFSET(abbreviation[],0,ColumnLanguage),ColumnAbbreviation,FALSE),"")</f>
        <v/>
      </c>
      <c r="CD421" s="21" t="str">
        <f ca="1">IFERROR(VLOOKUP(AV421,OFFSET(abbreviation[],0,ColumnLanguage),ColumnAbbreviation,FALSE),"")</f>
        <v/>
      </c>
      <c r="CE421" s="21" t="str">
        <f t="shared" ca="1" si="45"/>
        <v>__</v>
      </c>
      <c r="CF421" s="21" t="str">
        <f ca="1">IFERROR(VLOOKUP(AX421,OFFSET(abbreviation[],0,ColumnLanguage),ColumnAbbreviation,FALSE),"")</f>
        <v/>
      </c>
      <c r="CG421" s="21" t="str">
        <f ca="1">IFERROR(VLOOKUP(AZ421,OFFSET(abbreviation[],0,ColumnLanguage),ColumnAbbreviation,FALSE),"")</f>
        <v/>
      </c>
      <c r="CH421" s="21" t="str">
        <f ca="1">IFERROR(VLOOKUP(BB421,OFFSET(abbreviation[],0,ColumnLanguage),ColumnAbbreviation,FALSE),"")</f>
        <v/>
      </c>
      <c r="CI421" s="21" t="str">
        <f ca="1">IFERROR(VLOOKUP(BD421,OFFSET(abbreviation[],0,ColumnLanguage),ColumnAbbreviation,FALSE),"")</f>
        <v/>
      </c>
      <c r="CJ421" s="21" t="str">
        <f ca="1">IFERROR(VLOOKUP(BF421,OFFSET(abbreviation[],0,ColumnLanguage),ColumnAbbreviation,FALSE),"")</f>
        <v/>
      </c>
      <c r="CK421" s="21" t="str">
        <f t="shared" ca="1" si="46"/>
        <v/>
      </c>
      <c r="CL421" s="21" t="str">
        <f t="shared" si="47"/>
        <v/>
      </c>
      <c r="CM421" s="52"/>
      <c r="CN421" s="57" t="str">
        <f t="shared" si="48"/>
        <v/>
      </c>
    </row>
    <row r="422" spans="14:92" x14ac:dyDescent="0.25">
      <c r="N422" s="58"/>
      <c r="P422" s="60"/>
      <c r="Q422" s="13"/>
      <c r="V422" s="60"/>
      <c r="X422" s="61"/>
      <c r="AB422" s="60"/>
      <c r="AN422" s="54"/>
      <c r="AS422" s="15"/>
      <c r="BH422" s="52"/>
      <c r="BI422" s="21" t="str">
        <f ca="1">IFERROR(VLOOKUP(C422,OFFSET(abbreviation[],0,ColumnLanguage),ColumnAbbreviation,FALSE),"")</f>
        <v/>
      </c>
      <c r="BJ422" s="21" t="str">
        <f ca="1">IFERROR(VLOOKUP(E422,OFFSET(abbreviation[],0,ColumnLanguage),ColumnAbbreviation,FALSE),"")</f>
        <v/>
      </c>
      <c r="BK422" s="21" t="str">
        <f ca="1">IFERROR(VLOOKUP(G422,OFFSET(abbreviation[],0,ColumnLanguage),ColumnAbbreviation,FALSE),"")</f>
        <v/>
      </c>
      <c r="BL422" s="21" t="str">
        <f ca="1">IFERROR(VLOOKUP(I422,OFFSET(abbreviation[],0,ColumnLanguage),ColumnAbbreviation,FALSE),"")</f>
        <v/>
      </c>
      <c r="BM422" s="21" t="str">
        <f ca="1">IFERROR(VLOOKUP(K422,OFFSET(abbreviation[],0,ColumnLanguage),ColumnAbbreviation,FALSE),"")</f>
        <v/>
      </c>
      <c r="BN422" s="21" t="str">
        <f t="shared" ca="1" si="42"/>
        <v/>
      </c>
      <c r="BO422" s="21" t="str">
        <f ca="1">IFERROR(VLOOKUP(N422,OFFSET(abbreviation[],0,ColumnLanguage),ColumnAbbreviation,FALSE),"")</f>
        <v/>
      </c>
      <c r="BP422" s="21" t="str">
        <f ca="1">IFERROR(VLOOKUP(P422,OFFSET(abbreviation[],0,ColumnLanguage),ColumnAbbreviation,FALSE),"")</f>
        <v/>
      </c>
      <c r="BQ422" s="21" t="str">
        <f ca="1">IFERROR(VLOOKUP(T422,OFFSET(abbreviation[],0,ColumnLanguage),ColumnAbbreviation,FALSE),"")</f>
        <v/>
      </c>
      <c r="BR422" s="21" t="str">
        <f ca="1">IFERROR(VLOOKUP(V422,OFFSET(abbreviation[],0,ColumnLanguage),ColumnAbbreviation,FALSE),"")</f>
        <v/>
      </c>
      <c r="BS422" s="21" t="str">
        <f ca="1">IFERROR(VLOOKUP(Z422,OFFSET(abbreviation[],0,ColumnLanguage),ColumnAbbreviation,FALSE),"")</f>
        <v/>
      </c>
      <c r="BT422" s="21" t="str">
        <f ca="1">IFERROR(VLOOKUP(AB422,OFFSET(abbreviation[],0,ColumnLanguage),ColumnAbbreviation,FALSE),"")</f>
        <v/>
      </c>
      <c r="BU422" s="21" t="str">
        <f t="shared" ca="1" si="43"/>
        <v>__</v>
      </c>
      <c r="BV422" s="21" t="str">
        <f ca="1">IFERROR(VLOOKUP(AF422,OFFSET(abbreviation[],0,ColumnLanguage),ColumnAbbreviation,FALSE),"")</f>
        <v/>
      </c>
      <c r="BW422" s="21" t="str">
        <f ca="1">IFERROR(VLOOKUP(AH422,OFFSET(abbreviation[],0,ColumnLanguage),ColumnAbbreviation,FALSE),"")</f>
        <v/>
      </c>
      <c r="BX422" s="21" t="str">
        <f ca="1">IFERROR(VLOOKUP(AJ422,OFFSET(abbreviation[],0,ColumnLanguage),ColumnAbbreviation,FALSE),"")</f>
        <v/>
      </c>
      <c r="BY422" s="21" t="str">
        <f ca="1">IFERROR(VLOOKUP(AL422,OFFSET(abbreviation[],0,ColumnLanguage),ColumnAbbreviation,FALSE),"")</f>
        <v/>
      </c>
      <c r="BZ422" s="21" t="str">
        <f t="shared" ca="1" si="44"/>
        <v>_</v>
      </c>
      <c r="CA422" s="21" t="str">
        <f ca="1">IFERROR(VLOOKUP(AP422,OFFSET(abbreviation[],0,ColumnLanguage),ColumnAbbreviation,FALSE),"")</f>
        <v/>
      </c>
      <c r="CB422" s="21" t="str">
        <f ca="1">IFERROR(VLOOKUP(AR422,OFFSET(abbreviation[],0,ColumnLanguage),ColumnAbbreviation,FALSE),"")</f>
        <v/>
      </c>
      <c r="CC422" s="21" t="str">
        <f ca="1">IFERROR(VLOOKUP(AT422,OFFSET(abbreviation[],0,ColumnLanguage),ColumnAbbreviation,FALSE),"")</f>
        <v/>
      </c>
      <c r="CD422" s="21" t="str">
        <f ca="1">IFERROR(VLOOKUP(AV422,OFFSET(abbreviation[],0,ColumnLanguage),ColumnAbbreviation,FALSE),"")</f>
        <v/>
      </c>
      <c r="CE422" s="21" t="str">
        <f t="shared" ca="1" si="45"/>
        <v>__</v>
      </c>
      <c r="CF422" s="21" t="str">
        <f ca="1">IFERROR(VLOOKUP(AX422,OFFSET(abbreviation[],0,ColumnLanguage),ColumnAbbreviation,FALSE),"")</f>
        <v/>
      </c>
      <c r="CG422" s="21" t="str">
        <f ca="1">IFERROR(VLOOKUP(AZ422,OFFSET(abbreviation[],0,ColumnLanguage),ColumnAbbreviation,FALSE),"")</f>
        <v/>
      </c>
      <c r="CH422" s="21" t="str">
        <f ca="1">IFERROR(VLOOKUP(BB422,OFFSET(abbreviation[],0,ColumnLanguage),ColumnAbbreviation,FALSE),"")</f>
        <v/>
      </c>
      <c r="CI422" s="21" t="str">
        <f ca="1">IFERROR(VLOOKUP(BD422,OFFSET(abbreviation[],0,ColumnLanguage),ColumnAbbreviation,FALSE),"")</f>
        <v/>
      </c>
      <c r="CJ422" s="21" t="str">
        <f ca="1">IFERROR(VLOOKUP(BF422,OFFSET(abbreviation[],0,ColumnLanguage),ColumnAbbreviation,FALSE),"")</f>
        <v/>
      </c>
      <c r="CK422" s="21" t="str">
        <f t="shared" ca="1" si="46"/>
        <v/>
      </c>
      <c r="CL422" s="21" t="str">
        <f t="shared" si="47"/>
        <v/>
      </c>
      <c r="CM422" s="52"/>
      <c r="CN422" s="57" t="str">
        <f t="shared" si="48"/>
        <v/>
      </c>
    </row>
    <row r="423" spans="14:92" x14ac:dyDescent="0.25">
      <c r="N423" s="58"/>
      <c r="P423" s="60"/>
      <c r="Q423" s="13"/>
      <c r="V423" s="60"/>
      <c r="X423" s="61"/>
      <c r="AB423" s="60"/>
      <c r="AN423" s="54"/>
      <c r="AS423" s="15"/>
      <c r="BH423" s="52"/>
      <c r="BI423" s="21" t="str">
        <f ca="1">IFERROR(VLOOKUP(C423,OFFSET(abbreviation[],0,ColumnLanguage),ColumnAbbreviation,FALSE),"")</f>
        <v/>
      </c>
      <c r="BJ423" s="21" t="str">
        <f ca="1">IFERROR(VLOOKUP(E423,OFFSET(abbreviation[],0,ColumnLanguage),ColumnAbbreviation,FALSE),"")</f>
        <v/>
      </c>
      <c r="BK423" s="21" t="str">
        <f ca="1">IFERROR(VLOOKUP(G423,OFFSET(abbreviation[],0,ColumnLanguage),ColumnAbbreviation,FALSE),"")</f>
        <v/>
      </c>
      <c r="BL423" s="21" t="str">
        <f ca="1">IFERROR(VLOOKUP(I423,OFFSET(abbreviation[],0,ColumnLanguage),ColumnAbbreviation,FALSE),"")</f>
        <v/>
      </c>
      <c r="BM423" s="21" t="str">
        <f ca="1">IFERROR(VLOOKUP(K423,OFFSET(abbreviation[],0,ColumnLanguage),ColumnAbbreviation,FALSE),"")</f>
        <v/>
      </c>
      <c r="BN423" s="21" t="str">
        <f t="shared" ca="1" si="42"/>
        <v/>
      </c>
      <c r="BO423" s="21" t="str">
        <f ca="1">IFERROR(VLOOKUP(N423,OFFSET(abbreviation[],0,ColumnLanguage),ColumnAbbreviation,FALSE),"")</f>
        <v/>
      </c>
      <c r="BP423" s="21" t="str">
        <f ca="1">IFERROR(VLOOKUP(P423,OFFSET(abbreviation[],0,ColumnLanguage),ColumnAbbreviation,FALSE),"")</f>
        <v/>
      </c>
      <c r="BQ423" s="21" t="str">
        <f ca="1">IFERROR(VLOOKUP(T423,OFFSET(abbreviation[],0,ColumnLanguage),ColumnAbbreviation,FALSE),"")</f>
        <v/>
      </c>
      <c r="BR423" s="21" t="str">
        <f ca="1">IFERROR(VLOOKUP(V423,OFFSET(abbreviation[],0,ColumnLanguage),ColumnAbbreviation,FALSE),"")</f>
        <v/>
      </c>
      <c r="BS423" s="21" t="str">
        <f ca="1">IFERROR(VLOOKUP(Z423,OFFSET(abbreviation[],0,ColumnLanguage),ColumnAbbreviation,FALSE),"")</f>
        <v/>
      </c>
      <c r="BT423" s="21" t="str">
        <f ca="1">IFERROR(VLOOKUP(AB423,OFFSET(abbreviation[],0,ColumnLanguage),ColumnAbbreviation,FALSE),"")</f>
        <v/>
      </c>
      <c r="BU423" s="21" t="str">
        <f t="shared" ca="1" si="43"/>
        <v>__</v>
      </c>
      <c r="BV423" s="21" t="str">
        <f ca="1">IFERROR(VLOOKUP(AF423,OFFSET(abbreviation[],0,ColumnLanguage),ColumnAbbreviation,FALSE),"")</f>
        <v/>
      </c>
      <c r="BW423" s="21" t="str">
        <f ca="1">IFERROR(VLOOKUP(AH423,OFFSET(abbreviation[],0,ColumnLanguage),ColumnAbbreviation,FALSE),"")</f>
        <v/>
      </c>
      <c r="BX423" s="21" t="str">
        <f ca="1">IFERROR(VLOOKUP(AJ423,OFFSET(abbreviation[],0,ColumnLanguage),ColumnAbbreviation,FALSE),"")</f>
        <v/>
      </c>
      <c r="BY423" s="21" t="str">
        <f ca="1">IFERROR(VLOOKUP(AL423,OFFSET(abbreviation[],0,ColumnLanguage),ColumnAbbreviation,FALSE),"")</f>
        <v/>
      </c>
      <c r="BZ423" s="21" t="str">
        <f t="shared" ca="1" si="44"/>
        <v>_</v>
      </c>
      <c r="CA423" s="21" t="str">
        <f ca="1">IFERROR(VLOOKUP(AP423,OFFSET(abbreviation[],0,ColumnLanguage),ColumnAbbreviation,FALSE),"")</f>
        <v/>
      </c>
      <c r="CB423" s="21" t="str">
        <f ca="1">IFERROR(VLOOKUP(AR423,OFFSET(abbreviation[],0,ColumnLanguage),ColumnAbbreviation,FALSE),"")</f>
        <v/>
      </c>
      <c r="CC423" s="21" t="str">
        <f ca="1">IFERROR(VLOOKUP(AT423,OFFSET(abbreviation[],0,ColumnLanguage),ColumnAbbreviation,FALSE),"")</f>
        <v/>
      </c>
      <c r="CD423" s="21" t="str">
        <f ca="1">IFERROR(VLOOKUP(AV423,OFFSET(abbreviation[],0,ColumnLanguage),ColumnAbbreviation,FALSE),"")</f>
        <v/>
      </c>
      <c r="CE423" s="21" t="str">
        <f t="shared" ca="1" si="45"/>
        <v>__</v>
      </c>
      <c r="CF423" s="21" t="str">
        <f ca="1">IFERROR(VLOOKUP(AX423,OFFSET(abbreviation[],0,ColumnLanguage),ColumnAbbreviation,FALSE),"")</f>
        <v/>
      </c>
      <c r="CG423" s="21" t="str">
        <f ca="1">IFERROR(VLOOKUP(AZ423,OFFSET(abbreviation[],0,ColumnLanguage),ColumnAbbreviation,FALSE),"")</f>
        <v/>
      </c>
      <c r="CH423" s="21" t="str">
        <f ca="1">IFERROR(VLOOKUP(BB423,OFFSET(abbreviation[],0,ColumnLanguage),ColumnAbbreviation,FALSE),"")</f>
        <v/>
      </c>
      <c r="CI423" s="21" t="str">
        <f ca="1">IFERROR(VLOOKUP(BD423,OFFSET(abbreviation[],0,ColumnLanguage),ColumnAbbreviation,FALSE),"")</f>
        <v/>
      </c>
      <c r="CJ423" s="21" t="str">
        <f ca="1">IFERROR(VLOOKUP(BF423,OFFSET(abbreviation[],0,ColumnLanguage),ColumnAbbreviation,FALSE),"")</f>
        <v/>
      </c>
      <c r="CK423" s="21" t="str">
        <f t="shared" ca="1" si="46"/>
        <v/>
      </c>
      <c r="CL423" s="21" t="str">
        <f t="shared" si="47"/>
        <v/>
      </c>
      <c r="CM423" s="52"/>
      <c r="CN423" s="57" t="str">
        <f t="shared" si="48"/>
        <v/>
      </c>
    </row>
    <row r="424" spans="14:92" x14ac:dyDescent="0.25">
      <c r="N424" s="58"/>
      <c r="P424" s="60"/>
      <c r="Q424" s="13"/>
      <c r="V424" s="60"/>
      <c r="X424" s="61"/>
      <c r="AB424" s="60"/>
      <c r="AN424" s="54"/>
      <c r="AS424" s="15"/>
      <c r="BH424" s="52"/>
      <c r="BI424" s="21" t="str">
        <f ca="1">IFERROR(VLOOKUP(C424,OFFSET(abbreviation[],0,ColumnLanguage),ColumnAbbreviation,FALSE),"")</f>
        <v/>
      </c>
      <c r="BJ424" s="21" t="str">
        <f ca="1">IFERROR(VLOOKUP(E424,OFFSET(abbreviation[],0,ColumnLanguage),ColumnAbbreviation,FALSE),"")</f>
        <v/>
      </c>
      <c r="BK424" s="21" t="str">
        <f ca="1">IFERROR(VLOOKUP(G424,OFFSET(abbreviation[],0,ColumnLanguage),ColumnAbbreviation,FALSE),"")</f>
        <v/>
      </c>
      <c r="BL424" s="21" t="str">
        <f ca="1">IFERROR(VLOOKUP(I424,OFFSET(abbreviation[],0,ColumnLanguage),ColumnAbbreviation,FALSE),"")</f>
        <v/>
      </c>
      <c r="BM424" s="21" t="str">
        <f ca="1">IFERROR(VLOOKUP(K424,OFFSET(abbreviation[],0,ColumnLanguage),ColumnAbbreviation,FALSE),"")</f>
        <v/>
      </c>
      <c r="BN424" s="21" t="str">
        <f t="shared" ca="1" si="42"/>
        <v/>
      </c>
      <c r="BO424" s="21" t="str">
        <f ca="1">IFERROR(VLOOKUP(N424,OFFSET(abbreviation[],0,ColumnLanguage),ColumnAbbreviation,FALSE),"")</f>
        <v/>
      </c>
      <c r="BP424" s="21" t="str">
        <f ca="1">IFERROR(VLOOKUP(P424,OFFSET(abbreviation[],0,ColumnLanguage),ColumnAbbreviation,FALSE),"")</f>
        <v/>
      </c>
      <c r="BQ424" s="21" t="str">
        <f ca="1">IFERROR(VLOOKUP(T424,OFFSET(abbreviation[],0,ColumnLanguage),ColumnAbbreviation,FALSE),"")</f>
        <v/>
      </c>
      <c r="BR424" s="21" t="str">
        <f ca="1">IFERROR(VLOOKUP(V424,OFFSET(abbreviation[],0,ColumnLanguage),ColumnAbbreviation,FALSE),"")</f>
        <v/>
      </c>
      <c r="BS424" s="21" t="str">
        <f ca="1">IFERROR(VLOOKUP(Z424,OFFSET(abbreviation[],0,ColumnLanguage),ColumnAbbreviation,FALSE),"")</f>
        <v/>
      </c>
      <c r="BT424" s="21" t="str">
        <f ca="1">IFERROR(VLOOKUP(AB424,OFFSET(abbreviation[],0,ColumnLanguage),ColumnAbbreviation,FALSE),"")</f>
        <v/>
      </c>
      <c r="BU424" s="21" t="str">
        <f t="shared" ca="1" si="43"/>
        <v>__</v>
      </c>
      <c r="BV424" s="21" t="str">
        <f ca="1">IFERROR(VLOOKUP(AF424,OFFSET(abbreviation[],0,ColumnLanguage),ColumnAbbreviation,FALSE),"")</f>
        <v/>
      </c>
      <c r="BW424" s="21" t="str">
        <f ca="1">IFERROR(VLOOKUP(AH424,OFFSET(abbreviation[],0,ColumnLanguage),ColumnAbbreviation,FALSE),"")</f>
        <v/>
      </c>
      <c r="BX424" s="21" t="str">
        <f ca="1">IFERROR(VLOOKUP(AJ424,OFFSET(abbreviation[],0,ColumnLanguage),ColumnAbbreviation,FALSE),"")</f>
        <v/>
      </c>
      <c r="BY424" s="21" t="str">
        <f ca="1">IFERROR(VLOOKUP(AL424,OFFSET(abbreviation[],0,ColumnLanguage),ColumnAbbreviation,FALSE),"")</f>
        <v/>
      </c>
      <c r="BZ424" s="21" t="str">
        <f t="shared" ca="1" si="44"/>
        <v>_</v>
      </c>
      <c r="CA424" s="21" t="str">
        <f ca="1">IFERROR(VLOOKUP(AP424,OFFSET(abbreviation[],0,ColumnLanguage),ColumnAbbreviation,FALSE),"")</f>
        <v/>
      </c>
      <c r="CB424" s="21" t="str">
        <f ca="1">IFERROR(VLOOKUP(AR424,OFFSET(abbreviation[],0,ColumnLanguage),ColumnAbbreviation,FALSE),"")</f>
        <v/>
      </c>
      <c r="CC424" s="21" t="str">
        <f ca="1">IFERROR(VLOOKUP(AT424,OFFSET(abbreviation[],0,ColumnLanguage),ColumnAbbreviation,FALSE),"")</f>
        <v/>
      </c>
      <c r="CD424" s="21" t="str">
        <f ca="1">IFERROR(VLOOKUP(AV424,OFFSET(abbreviation[],0,ColumnLanguage),ColumnAbbreviation,FALSE),"")</f>
        <v/>
      </c>
      <c r="CE424" s="21" t="str">
        <f t="shared" ca="1" si="45"/>
        <v>__</v>
      </c>
      <c r="CF424" s="21" t="str">
        <f ca="1">IFERROR(VLOOKUP(AX424,OFFSET(abbreviation[],0,ColumnLanguage),ColumnAbbreviation,FALSE),"")</f>
        <v/>
      </c>
      <c r="CG424" s="21" t="str">
        <f ca="1">IFERROR(VLOOKUP(AZ424,OFFSET(abbreviation[],0,ColumnLanguage),ColumnAbbreviation,FALSE),"")</f>
        <v/>
      </c>
      <c r="CH424" s="21" t="str">
        <f ca="1">IFERROR(VLOOKUP(BB424,OFFSET(abbreviation[],0,ColumnLanguage),ColumnAbbreviation,FALSE),"")</f>
        <v/>
      </c>
      <c r="CI424" s="21" t="str">
        <f ca="1">IFERROR(VLOOKUP(BD424,OFFSET(abbreviation[],0,ColumnLanguage),ColumnAbbreviation,FALSE),"")</f>
        <v/>
      </c>
      <c r="CJ424" s="21" t="str">
        <f ca="1">IFERROR(VLOOKUP(BF424,OFFSET(abbreviation[],0,ColumnLanguage),ColumnAbbreviation,FALSE),"")</f>
        <v/>
      </c>
      <c r="CK424" s="21" t="str">
        <f t="shared" ca="1" si="46"/>
        <v/>
      </c>
      <c r="CL424" s="21" t="str">
        <f t="shared" si="47"/>
        <v/>
      </c>
      <c r="CM424" s="52"/>
      <c r="CN424" s="57" t="str">
        <f t="shared" si="48"/>
        <v/>
      </c>
    </row>
    <row r="425" spans="14:92" x14ac:dyDescent="0.25">
      <c r="N425" s="58"/>
      <c r="P425" s="60"/>
      <c r="Q425" s="13"/>
      <c r="V425" s="60"/>
      <c r="X425" s="61"/>
      <c r="AB425" s="60"/>
      <c r="AN425" s="54"/>
      <c r="AS425" s="15"/>
      <c r="BH425" s="52"/>
      <c r="BI425" s="21" t="str">
        <f ca="1">IFERROR(VLOOKUP(C425,OFFSET(abbreviation[],0,ColumnLanguage),ColumnAbbreviation,FALSE),"")</f>
        <v/>
      </c>
      <c r="BJ425" s="21" t="str">
        <f ca="1">IFERROR(VLOOKUP(E425,OFFSET(abbreviation[],0,ColumnLanguage),ColumnAbbreviation,FALSE),"")</f>
        <v/>
      </c>
      <c r="BK425" s="21" t="str">
        <f ca="1">IFERROR(VLOOKUP(G425,OFFSET(abbreviation[],0,ColumnLanguage),ColumnAbbreviation,FALSE),"")</f>
        <v/>
      </c>
      <c r="BL425" s="21" t="str">
        <f ca="1">IFERROR(VLOOKUP(I425,OFFSET(abbreviation[],0,ColumnLanguage),ColumnAbbreviation,FALSE),"")</f>
        <v/>
      </c>
      <c r="BM425" s="21" t="str">
        <f ca="1">IFERROR(VLOOKUP(K425,OFFSET(abbreviation[],0,ColumnLanguage),ColumnAbbreviation,FALSE),"")</f>
        <v/>
      </c>
      <c r="BN425" s="21" t="str">
        <f t="shared" ca="1" si="42"/>
        <v/>
      </c>
      <c r="BO425" s="21" t="str">
        <f ca="1">IFERROR(VLOOKUP(N425,OFFSET(abbreviation[],0,ColumnLanguage),ColumnAbbreviation,FALSE),"")</f>
        <v/>
      </c>
      <c r="BP425" s="21" t="str">
        <f ca="1">IFERROR(VLOOKUP(P425,OFFSET(abbreviation[],0,ColumnLanguage),ColumnAbbreviation,FALSE),"")</f>
        <v/>
      </c>
      <c r="BQ425" s="21" t="str">
        <f ca="1">IFERROR(VLOOKUP(T425,OFFSET(abbreviation[],0,ColumnLanguage),ColumnAbbreviation,FALSE),"")</f>
        <v/>
      </c>
      <c r="BR425" s="21" t="str">
        <f ca="1">IFERROR(VLOOKUP(V425,OFFSET(abbreviation[],0,ColumnLanguage),ColumnAbbreviation,FALSE),"")</f>
        <v/>
      </c>
      <c r="BS425" s="21" t="str">
        <f ca="1">IFERROR(VLOOKUP(Z425,OFFSET(abbreviation[],0,ColumnLanguage),ColumnAbbreviation,FALSE),"")</f>
        <v/>
      </c>
      <c r="BT425" s="21" t="str">
        <f ca="1">IFERROR(VLOOKUP(AB425,OFFSET(abbreviation[],0,ColumnLanguage),ColumnAbbreviation,FALSE),"")</f>
        <v/>
      </c>
      <c r="BU425" s="21" t="str">
        <f t="shared" ca="1" si="43"/>
        <v>__</v>
      </c>
      <c r="BV425" s="21" t="str">
        <f ca="1">IFERROR(VLOOKUP(AF425,OFFSET(abbreviation[],0,ColumnLanguage),ColumnAbbreviation,FALSE),"")</f>
        <v/>
      </c>
      <c r="BW425" s="21" t="str">
        <f ca="1">IFERROR(VLOOKUP(AH425,OFFSET(abbreviation[],0,ColumnLanguage),ColumnAbbreviation,FALSE),"")</f>
        <v/>
      </c>
      <c r="BX425" s="21" t="str">
        <f ca="1">IFERROR(VLOOKUP(AJ425,OFFSET(abbreviation[],0,ColumnLanguage),ColumnAbbreviation,FALSE),"")</f>
        <v/>
      </c>
      <c r="BY425" s="21" t="str">
        <f ca="1">IFERROR(VLOOKUP(AL425,OFFSET(abbreviation[],0,ColumnLanguage),ColumnAbbreviation,FALSE),"")</f>
        <v/>
      </c>
      <c r="BZ425" s="21" t="str">
        <f t="shared" ca="1" si="44"/>
        <v>_</v>
      </c>
      <c r="CA425" s="21" t="str">
        <f ca="1">IFERROR(VLOOKUP(AP425,OFFSET(abbreviation[],0,ColumnLanguage),ColumnAbbreviation,FALSE),"")</f>
        <v/>
      </c>
      <c r="CB425" s="21" t="str">
        <f ca="1">IFERROR(VLOOKUP(AR425,OFFSET(abbreviation[],0,ColumnLanguage),ColumnAbbreviation,FALSE),"")</f>
        <v/>
      </c>
      <c r="CC425" s="21" t="str">
        <f ca="1">IFERROR(VLOOKUP(AT425,OFFSET(abbreviation[],0,ColumnLanguage),ColumnAbbreviation,FALSE),"")</f>
        <v/>
      </c>
      <c r="CD425" s="21" t="str">
        <f ca="1">IFERROR(VLOOKUP(AV425,OFFSET(abbreviation[],0,ColumnLanguage),ColumnAbbreviation,FALSE),"")</f>
        <v/>
      </c>
      <c r="CE425" s="21" t="str">
        <f t="shared" ca="1" si="45"/>
        <v>__</v>
      </c>
      <c r="CF425" s="21" t="str">
        <f ca="1">IFERROR(VLOOKUP(AX425,OFFSET(abbreviation[],0,ColumnLanguage),ColumnAbbreviation,FALSE),"")</f>
        <v/>
      </c>
      <c r="CG425" s="21" t="str">
        <f ca="1">IFERROR(VLOOKUP(AZ425,OFFSET(abbreviation[],0,ColumnLanguage),ColumnAbbreviation,FALSE),"")</f>
        <v/>
      </c>
      <c r="CH425" s="21" t="str">
        <f ca="1">IFERROR(VLOOKUP(BB425,OFFSET(abbreviation[],0,ColumnLanguage),ColumnAbbreviation,FALSE),"")</f>
        <v/>
      </c>
      <c r="CI425" s="21" t="str">
        <f ca="1">IFERROR(VLOOKUP(BD425,OFFSET(abbreviation[],0,ColumnLanguage),ColumnAbbreviation,FALSE),"")</f>
        <v/>
      </c>
      <c r="CJ425" s="21" t="str">
        <f ca="1">IFERROR(VLOOKUP(BF425,OFFSET(abbreviation[],0,ColumnLanguage),ColumnAbbreviation,FALSE),"")</f>
        <v/>
      </c>
      <c r="CK425" s="21" t="str">
        <f t="shared" ca="1" si="46"/>
        <v/>
      </c>
      <c r="CL425" s="21" t="str">
        <f t="shared" si="47"/>
        <v/>
      </c>
      <c r="CM425" s="52"/>
      <c r="CN425" s="57" t="str">
        <f t="shared" si="48"/>
        <v/>
      </c>
    </row>
    <row r="426" spans="14:92" x14ac:dyDescent="0.25">
      <c r="N426" s="58"/>
      <c r="P426" s="60"/>
      <c r="Q426" s="13"/>
      <c r="V426" s="60"/>
      <c r="X426" s="61"/>
      <c r="AB426" s="60"/>
      <c r="AN426" s="54"/>
      <c r="AS426" s="15"/>
      <c r="BH426" s="52"/>
      <c r="BI426" s="21" t="str">
        <f ca="1">IFERROR(VLOOKUP(C426,OFFSET(abbreviation[],0,ColumnLanguage),ColumnAbbreviation,FALSE),"")</f>
        <v/>
      </c>
      <c r="BJ426" s="21" t="str">
        <f ca="1">IFERROR(VLOOKUP(E426,OFFSET(abbreviation[],0,ColumnLanguage),ColumnAbbreviation,FALSE),"")</f>
        <v/>
      </c>
      <c r="BK426" s="21" t="str">
        <f ca="1">IFERROR(VLOOKUP(G426,OFFSET(abbreviation[],0,ColumnLanguage),ColumnAbbreviation,FALSE),"")</f>
        <v/>
      </c>
      <c r="BL426" s="21" t="str">
        <f ca="1">IFERROR(VLOOKUP(I426,OFFSET(abbreviation[],0,ColumnLanguage),ColumnAbbreviation,FALSE),"")</f>
        <v/>
      </c>
      <c r="BM426" s="21" t="str">
        <f ca="1">IFERROR(VLOOKUP(K426,OFFSET(abbreviation[],0,ColumnLanguage),ColumnAbbreviation,FALSE),"")</f>
        <v/>
      </c>
      <c r="BN426" s="21" t="str">
        <f t="shared" ca="1" si="42"/>
        <v/>
      </c>
      <c r="BO426" s="21" t="str">
        <f ca="1">IFERROR(VLOOKUP(N426,OFFSET(abbreviation[],0,ColumnLanguage),ColumnAbbreviation,FALSE),"")</f>
        <v/>
      </c>
      <c r="BP426" s="21" t="str">
        <f ca="1">IFERROR(VLOOKUP(P426,OFFSET(abbreviation[],0,ColumnLanguage),ColumnAbbreviation,FALSE),"")</f>
        <v/>
      </c>
      <c r="BQ426" s="21" t="str">
        <f ca="1">IFERROR(VLOOKUP(T426,OFFSET(abbreviation[],0,ColumnLanguage),ColumnAbbreviation,FALSE),"")</f>
        <v/>
      </c>
      <c r="BR426" s="21" t="str">
        <f ca="1">IFERROR(VLOOKUP(V426,OFFSET(abbreviation[],0,ColumnLanguage),ColumnAbbreviation,FALSE),"")</f>
        <v/>
      </c>
      <c r="BS426" s="21" t="str">
        <f ca="1">IFERROR(VLOOKUP(Z426,OFFSET(abbreviation[],0,ColumnLanguage),ColumnAbbreviation,FALSE),"")</f>
        <v/>
      </c>
      <c r="BT426" s="21" t="str">
        <f ca="1">IFERROR(VLOOKUP(AB426,OFFSET(abbreviation[],0,ColumnLanguage),ColumnAbbreviation,FALSE),"")</f>
        <v/>
      </c>
      <c r="BU426" s="21" t="str">
        <f t="shared" ca="1" si="43"/>
        <v>__</v>
      </c>
      <c r="BV426" s="21" t="str">
        <f ca="1">IFERROR(VLOOKUP(AF426,OFFSET(abbreviation[],0,ColumnLanguage),ColumnAbbreviation,FALSE),"")</f>
        <v/>
      </c>
      <c r="BW426" s="21" t="str">
        <f ca="1">IFERROR(VLOOKUP(AH426,OFFSET(abbreviation[],0,ColumnLanguage),ColumnAbbreviation,FALSE),"")</f>
        <v/>
      </c>
      <c r="BX426" s="21" t="str">
        <f ca="1">IFERROR(VLOOKUP(AJ426,OFFSET(abbreviation[],0,ColumnLanguage),ColumnAbbreviation,FALSE),"")</f>
        <v/>
      </c>
      <c r="BY426" s="21" t="str">
        <f ca="1">IFERROR(VLOOKUP(AL426,OFFSET(abbreviation[],0,ColumnLanguage),ColumnAbbreviation,FALSE),"")</f>
        <v/>
      </c>
      <c r="BZ426" s="21" t="str">
        <f t="shared" ca="1" si="44"/>
        <v>_</v>
      </c>
      <c r="CA426" s="21" t="str">
        <f ca="1">IFERROR(VLOOKUP(AP426,OFFSET(abbreviation[],0,ColumnLanguage),ColumnAbbreviation,FALSE),"")</f>
        <v/>
      </c>
      <c r="CB426" s="21" t="str">
        <f ca="1">IFERROR(VLOOKUP(AR426,OFFSET(abbreviation[],0,ColumnLanguage),ColumnAbbreviation,FALSE),"")</f>
        <v/>
      </c>
      <c r="CC426" s="21" t="str">
        <f ca="1">IFERROR(VLOOKUP(AT426,OFFSET(abbreviation[],0,ColumnLanguage),ColumnAbbreviation,FALSE),"")</f>
        <v/>
      </c>
      <c r="CD426" s="21" t="str">
        <f ca="1">IFERROR(VLOOKUP(AV426,OFFSET(abbreviation[],0,ColumnLanguage),ColumnAbbreviation,FALSE),"")</f>
        <v/>
      </c>
      <c r="CE426" s="21" t="str">
        <f t="shared" ca="1" si="45"/>
        <v>__</v>
      </c>
      <c r="CF426" s="21" t="str">
        <f ca="1">IFERROR(VLOOKUP(AX426,OFFSET(abbreviation[],0,ColumnLanguage),ColumnAbbreviation,FALSE),"")</f>
        <v/>
      </c>
      <c r="CG426" s="21" t="str">
        <f ca="1">IFERROR(VLOOKUP(AZ426,OFFSET(abbreviation[],0,ColumnLanguage),ColumnAbbreviation,FALSE),"")</f>
        <v/>
      </c>
      <c r="CH426" s="21" t="str">
        <f ca="1">IFERROR(VLOOKUP(BB426,OFFSET(abbreviation[],0,ColumnLanguage),ColumnAbbreviation,FALSE),"")</f>
        <v/>
      </c>
      <c r="CI426" s="21" t="str">
        <f ca="1">IFERROR(VLOOKUP(BD426,OFFSET(abbreviation[],0,ColumnLanguage),ColumnAbbreviation,FALSE),"")</f>
        <v/>
      </c>
      <c r="CJ426" s="21" t="str">
        <f ca="1">IFERROR(VLOOKUP(BF426,OFFSET(abbreviation[],0,ColumnLanguage),ColumnAbbreviation,FALSE),"")</f>
        <v/>
      </c>
      <c r="CK426" s="21" t="str">
        <f t="shared" ca="1" si="46"/>
        <v/>
      </c>
      <c r="CL426" s="21" t="str">
        <f t="shared" si="47"/>
        <v/>
      </c>
      <c r="CM426" s="52"/>
      <c r="CN426" s="57" t="str">
        <f t="shared" si="48"/>
        <v/>
      </c>
    </row>
    <row r="427" spans="14:92" x14ac:dyDescent="0.25">
      <c r="N427" s="58"/>
      <c r="P427" s="60"/>
      <c r="Q427" s="13"/>
      <c r="V427" s="60"/>
      <c r="X427" s="61"/>
      <c r="AB427" s="60"/>
      <c r="AN427" s="54"/>
      <c r="AS427" s="15"/>
      <c r="BH427" s="52"/>
      <c r="BI427" s="21" t="str">
        <f ca="1">IFERROR(VLOOKUP(C427,OFFSET(abbreviation[],0,ColumnLanguage),ColumnAbbreviation,FALSE),"")</f>
        <v/>
      </c>
      <c r="BJ427" s="21" t="str">
        <f ca="1">IFERROR(VLOOKUP(E427,OFFSET(abbreviation[],0,ColumnLanguage),ColumnAbbreviation,FALSE),"")</f>
        <v/>
      </c>
      <c r="BK427" s="21" t="str">
        <f ca="1">IFERROR(VLOOKUP(G427,OFFSET(abbreviation[],0,ColumnLanguage),ColumnAbbreviation,FALSE),"")</f>
        <v/>
      </c>
      <c r="BL427" s="21" t="str">
        <f ca="1">IFERROR(VLOOKUP(I427,OFFSET(abbreviation[],0,ColumnLanguage),ColumnAbbreviation,FALSE),"")</f>
        <v/>
      </c>
      <c r="BM427" s="21" t="str">
        <f ca="1">IFERROR(VLOOKUP(K427,OFFSET(abbreviation[],0,ColumnLanguage),ColumnAbbreviation,FALSE),"")</f>
        <v/>
      </c>
      <c r="BN427" s="21" t="str">
        <f t="shared" ca="1" si="42"/>
        <v/>
      </c>
      <c r="BO427" s="21" t="str">
        <f ca="1">IFERROR(VLOOKUP(N427,OFFSET(abbreviation[],0,ColumnLanguage),ColumnAbbreviation,FALSE),"")</f>
        <v/>
      </c>
      <c r="BP427" s="21" t="str">
        <f ca="1">IFERROR(VLOOKUP(P427,OFFSET(abbreviation[],0,ColumnLanguage),ColumnAbbreviation,FALSE),"")</f>
        <v/>
      </c>
      <c r="BQ427" s="21" t="str">
        <f ca="1">IFERROR(VLOOKUP(T427,OFFSET(abbreviation[],0,ColumnLanguage),ColumnAbbreviation,FALSE),"")</f>
        <v/>
      </c>
      <c r="BR427" s="21" t="str">
        <f ca="1">IFERROR(VLOOKUP(V427,OFFSET(abbreviation[],0,ColumnLanguage),ColumnAbbreviation,FALSE),"")</f>
        <v/>
      </c>
      <c r="BS427" s="21" t="str">
        <f ca="1">IFERROR(VLOOKUP(Z427,OFFSET(abbreviation[],0,ColumnLanguage),ColumnAbbreviation,FALSE),"")</f>
        <v/>
      </c>
      <c r="BT427" s="21" t="str">
        <f ca="1">IFERROR(VLOOKUP(AB427,OFFSET(abbreviation[],0,ColumnLanguage),ColumnAbbreviation,FALSE),"")</f>
        <v/>
      </c>
      <c r="BU427" s="21" t="str">
        <f t="shared" ca="1" si="43"/>
        <v>__</v>
      </c>
      <c r="BV427" s="21" t="str">
        <f ca="1">IFERROR(VLOOKUP(AF427,OFFSET(abbreviation[],0,ColumnLanguage),ColumnAbbreviation,FALSE),"")</f>
        <v/>
      </c>
      <c r="BW427" s="21" t="str">
        <f ca="1">IFERROR(VLOOKUP(AH427,OFFSET(abbreviation[],0,ColumnLanguage),ColumnAbbreviation,FALSE),"")</f>
        <v/>
      </c>
      <c r="BX427" s="21" t="str">
        <f ca="1">IFERROR(VLOOKUP(AJ427,OFFSET(abbreviation[],0,ColumnLanguage),ColumnAbbreviation,FALSE),"")</f>
        <v/>
      </c>
      <c r="BY427" s="21" t="str">
        <f ca="1">IFERROR(VLOOKUP(AL427,OFFSET(abbreviation[],0,ColumnLanguage),ColumnAbbreviation,FALSE),"")</f>
        <v/>
      </c>
      <c r="BZ427" s="21" t="str">
        <f t="shared" ca="1" si="44"/>
        <v>_</v>
      </c>
      <c r="CA427" s="21" t="str">
        <f ca="1">IFERROR(VLOOKUP(AP427,OFFSET(abbreviation[],0,ColumnLanguage),ColumnAbbreviation,FALSE),"")</f>
        <v/>
      </c>
      <c r="CB427" s="21" t="str">
        <f ca="1">IFERROR(VLOOKUP(AR427,OFFSET(abbreviation[],0,ColumnLanguage),ColumnAbbreviation,FALSE),"")</f>
        <v/>
      </c>
      <c r="CC427" s="21" t="str">
        <f ca="1">IFERROR(VLOOKUP(AT427,OFFSET(abbreviation[],0,ColumnLanguage),ColumnAbbreviation,FALSE),"")</f>
        <v/>
      </c>
      <c r="CD427" s="21" t="str">
        <f ca="1">IFERROR(VLOOKUP(AV427,OFFSET(abbreviation[],0,ColumnLanguage),ColumnAbbreviation,FALSE),"")</f>
        <v/>
      </c>
      <c r="CE427" s="21" t="str">
        <f t="shared" ca="1" si="45"/>
        <v>__</v>
      </c>
      <c r="CF427" s="21" t="str">
        <f ca="1">IFERROR(VLOOKUP(AX427,OFFSET(abbreviation[],0,ColumnLanguage),ColumnAbbreviation,FALSE),"")</f>
        <v/>
      </c>
      <c r="CG427" s="21" t="str">
        <f ca="1">IFERROR(VLOOKUP(AZ427,OFFSET(abbreviation[],0,ColumnLanguage),ColumnAbbreviation,FALSE),"")</f>
        <v/>
      </c>
      <c r="CH427" s="21" t="str">
        <f ca="1">IFERROR(VLOOKUP(BB427,OFFSET(abbreviation[],0,ColumnLanguage),ColumnAbbreviation,FALSE),"")</f>
        <v/>
      </c>
      <c r="CI427" s="21" t="str">
        <f ca="1">IFERROR(VLOOKUP(BD427,OFFSET(abbreviation[],0,ColumnLanguage),ColumnAbbreviation,FALSE),"")</f>
        <v/>
      </c>
      <c r="CJ427" s="21" t="str">
        <f ca="1">IFERROR(VLOOKUP(BF427,OFFSET(abbreviation[],0,ColumnLanguage),ColumnAbbreviation,FALSE),"")</f>
        <v/>
      </c>
      <c r="CK427" s="21" t="str">
        <f t="shared" ca="1" si="46"/>
        <v/>
      </c>
      <c r="CL427" s="21" t="str">
        <f t="shared" si="47"/>
        <v/>
      </c>
      <c r="CM427" s="52"/>
      <c r="CN427" s="57" t="str">
        <f t="shared" si="48"/>
        <v/>
      </c>
    </row>
    <row r="428" spans="14:92" x14ac:dyDescent="0.25">
      <c r="N428" s="58"/>
      <c r="P428" s="60"/>
      <c r="Q428" s="13"/>
      <c r="V428" s="60"/>
      <c r="X428" s="61"/>
      <c r="AB428" s="60"/>
      <c r="AN428" s="54"/>
      <c r="AS428" s="15"/>
      <c r="BH428" s="52"/>
      <c r="BI428" s="21" t="str">
        <f ca="1">IFERROR(VLOOKUP(C428,OFFSET(abbreviation[],0,ColumnLanguage),ColumnAbbreviation,FALSE),"")</f>
        <v/>
      </c>
      <c r="BJ428" s="21" t="str">
        <f ca="1">IFERROR(VLOOKUP(E428,OFFSET(abbreviation[],0,ColumnLanguage),ColumnAbbreviation,FALSE),"")</f>
        <v/>
      </c>
      <c r="BK428" s="21" t="str">
        <f ca="1">IFERROR(VLOOKUP(G428,OFFSET(abbreviation[],0,ColumnLanguage),ColumnAbbreviation,FALSE),"")</f>
        <v/>
      </c>
      <c r="BL428" s="21" t="str">
        <f ca="1">IFERROR(VLOOKUP(I428,OFFSET(abbreviation[],0,ColumnLanguage),ColumnAbbreviation,FALSE),"")</f>
        <v/>
      </c>
      <c r="BM428" s="21" t="str">
        <f ca="1">IFERROR(VLOOKUP(K428,OFFSET(abbreviation[],0,ColumnLanguage),ColumnAbbreviation,FALSE),"")</f>
        <v/>
      </c>
      <c r="BN428" s="21" t="str">
        <f t="shared" ca="1" si="42"/>
        <v/>
      </c>
      <c r="BO428" s="21" t="str">
        <f ca="1">IFERROR(VLOOKUP(N428,OFFSET(abbreviation[],0,ColumnLanguage),ColumnAbbreviation,FALSE),"")</f>
        <v/>
      </c>
      <c r="BP428" s="21" t="str">
        <f ca="1">IFERROR(VLOOKUP(P428,OFFSET(abbreviation[],0,ColumnLanguage),ColumnAbbreviation,FALSE),"")</f>
        <v/>
      </c>
      <c r="BQ428" s="21" t="str">
        <f ca="1">IFERROR(VLOOKUP(T428,OFFSET(abbreviation[],0,ColumnLanguage),ColumnAbbreviation,FALSE),"")</f>
        <v/>
      </c>
      <c r="BR428" s="21" t="str">
        <f ca="1">IFERROR(VLOOKUP(V428,OFFSET(abbreviation[],0,ColumnLanguage),ColumnAbbreviation,FALSE),"")</f>
        <v/>
      </c>
      <c r="BS428" s="21" t="str">
        <f ca="1">IFERROR(VLOOKUP(Z428,OFFSET(abbreviation[],0,ColumnLanguage),ColumnAbbreviation,FALSE),"")</f>
        <v/>
      </c>
      <c r="BT428" s="21" t="str">
        <f ca="1">IFERROR(VLOOKUP(AB428,OFFSET(abbreviation[],0,ColumnLanguage),ColumnAbbreviation,FALSE),"")</f>
        <v/>
      </c>
      <c r="BU428" s="21" t="str">
        <f t="shared" ca="1" si="43"/>
        <v>__</v>
      </c>
      <c r="BV428" s="21" t="str">
        <f ca="1">IFERROR(VLOOKUP(AF428,OFFSET(abbreviation[],0,ColumnLanguage),ColumnAbbreviation,FALSE),"")</f>
        <v/>
      </c>
      <c r="BW428" s="21" t="str">
        <f ca="1">IFERROR(VLOOKUP(AH428,OFFSET(abbreviation[],0,ColumnLanguage),ColumnAbbreviation,FALSE),"")</f>
        <v/>
      </c>
      <c r="BX428" s="21" t="str">
        <f ca="1">IFERROR(VLOOKUP(AJ428,OFFSET(abbreviation[],0,ColumnLanguage),ColumnAbbreviation,FALSE),"")</f>
        <v/>
      </c>
      <c r="BY428" s="21" t="str">
        <f ca="1">IFERROR(VLOOKUP(AL428,OFFSET(abbreviation[],0,ColumnLanguage),ColumnAbbreviation,FALSE),"")</f>
        <v/>
      </c>
      <c r="BZ428" s="21" t="str">
        <f t="shared" ca="1" si="44"/>
        <v>_</v>
      </c>
      <c r="CA428" s="21" t="str">
        <f ca="1">IFERROR(VLOOKUP(AP428,OFFSET(abbreviation[],0,ColumnLanguage),ColumnAbbreviation,FALSE),"")</f>
        <v/>
      </c>
      <c r="CB428" s="21" t="str">
        <f ca="1">IFERROR(VLOOKUP(AR428,OFFSET(abbreviation[],0,ColumnLanguage),ColumnAbbreviation,FALSE),"")</f>
        <v/>
      </c>
      <c r="CC428" s="21" t="str">
        <f ca="1">IFERROR(VLOOKUP(AT428,OFFSET(abbreviation[],0,ColumnLanguage),ColumnAbbreviation,FALSE),"")</f>
        <v/>
      </c>
      <c r="CD428" s="21" t="str">
        <f ca="1">IFERROR(VLOOKUP(AV428,OFFSET(abbreviation[],0,ColumnLanguage),ColumnAbbreviation,FALSE),"")</f>
        <v/>
      </c>
      <c r="CE428" s="21" t="str">
        <f t="shared" ca="1" si="45"/>
        <v>__</v>
      </c>
      <c r="CF428" s="21" t="str">
        <f ca="1">IFERROR(VLOOKUP(AX428,OFFSET(abbreviation[],0,ColumnLanguage),ColumnAbbreviation,FALSE),"")</f>
        <v/>
      </c>
      <c r="CG428" s="21" t="str">
        <f ca="1">IFERROR(VLOOKUP(AZ428,OFFSET(abbreviation[],0,ColumnLanguage),ColumnAbbreviation,FALSE),"")</f>
        <v/>
      </c>
      <c r="CH428" s="21" t="str">
        <f ca="1">IFERROR(VLOOKUP(BB428,OFFSET(abbreviation[],0,ColumnLanguage),ColumnAbbreviation,FALSE),"")</f>
        <v/>
      </c>
      <c r="CI428" s="21" t="str">
        <f ca="1">IFERROR(VLOOKUP(BD428,OFFSET(abbreviation[],0,ColumnLanguage),ColumnAbbreviation,FALSE),"")</f>
        <v/>
      </c>
      <c r="CJ428" s="21" t="str">
        <f ca="1">IFERROR(VLOOKUP(BF428,OFFSET(abbreviation[],0,ColumnLanguage),ColumnAbbreviation,FALSE),"")</f>
        <v/>
      </c>
      <c r="CK428" s="21" t="str">
        <f t="shared" ca="1" si="46"/>
        <v/>
      </c>
      <c r="CL428" s="21" t="str">
        <f t="shared" si="47"/>
        <v/>
      </c>
      <c r="CM428" s="52"/>
      <c r="CN428" s="57" t="str">
        <f t="shared" si="48"/>
        <v/>
      </c>
    </row>
    <row r="429" spans="14:92" x14ac:dyDescent="0.25">
      <c r="N429" s="58"/>
      <c r="P429" s="60"/>
      <c r="Q429" s="13"/>
      <c r="V429" s="60"/>
      <c r="X429" s="61"/>
      <c r="AB429" s="60"/>
      <c r="AN429" s="54"/>
      <c r="AS429" s="15"/>
      <c r="BH429" s="52"/>
      <c r="BI429" s="21" t="str">
        <f ca="1">IFERROR(VLOOKUP(C429,OFFSET(abbreviation[],0,ColumnLanguage),ColumnAbbreviation,FALSE),"")</f>
        <v/>
      </c>
      <c r="BJ429" s="21" t="str">
        <f ca="1">IFERROR(VLOOKUP(E429,OFFSET(abbreviation[],0,ColumnLanguage),ColumnAbbreviation,FALSE),"")</f>
        <v/>
      </c>
      <c r="BK429" s="21" t="str">
        <f ca="1">IFERROR(VLOOKUP(G429,OFFSET(abbreviation[],0,ColumnLanguage),ColumnAbbreviation,FALSE),"")</f>
        <v/>
      </c>
      <c r="BL429" s="21" t="str">
        <f ca="1">IFERROR(VLOOKUP(I429,OFFSET(abbreviation[],0,ColumnLanguage),ColumnAbbreviation,FALSE),"")</f>
        <v/>
      </c>
      <c r="BM429" s="21" t="str">
        <f ca="1">IFERROR(VLOOKUP(K429,OFFSET(abbreviation[],0,ColumnLanguage),ColumnAbbreviation,FALSE),"")</f>
        <v/>
      </c>
      <c r="BN429" s="21" t="str">
        <f t="shared" ca="1" si="42"/>
        <v/>
      </c>
      <c r="BO429" s="21" t="str">
        <f ca="1">IFERROR(VLOOKUP(N429,OFFSET(abbreviation[],0,ColumnLanguage),ColumnAbbreviation,FALSE),"")</f>
        <v/>
      </c>
      <c r="BP429" s="21" t="str">
        <f ca="1">IFERROR(VLOOKUP(P429,OFFSET(abbreviation[],0,ColumnLanguage),ColumnAbbreviation,FALSE),"")</f>
        <v/>
      </c>
      <c r="BQ429" s="21" t="str">
        <f ca="1">IFERROR(VLOOKUP(T429,OFFSET(abbreviation[],0,ColumnLanguage),ColumnAbbreviation,FALSE),"")</f>
        <v/>
      </c>
      <c r="BR429" s="21" t="str">
        <f ca="1">IFERROR(VLOOKUP(V429,OFFSET(abbreviation[],0,ColumnLanguage),ColumnAbbreviation,FALSE),"")</f>
        <v/>
      </c>
      <c r="BS429" s="21" t="str">
        <f ca="1">IFERROR(VLOOKUP(Z429,OFFSET(abbreviation[],0,ColumnLanguage),ColumnAbbreviation,FALSE),"")</f>
        <v/>
      </c>
      <c r="BT429" s="21" t="str">
        <f ca="1">IFERROR(VLOOKUP(AB429,OFFSET(abbreviation[],0,ColumnLanguage),ColumnAbbreviation,FALSE),"")</f>
        <v/>
      </c>
      <c r="BU429" s="21" t="str">
        <f t="shared" ca="1" si="43"/>
        <v>__</v>
      </c>
      <c r="BV429" s="21" t="str">
        <f ca="1">IFERROR(VLOOKUP(AF429,OFFSET(abbreviation[],0,ColumnLanguage),ColumnAbbreviation,FALSE),"")</f>
        <v/>
      </c>
      <c r="BW429" s="21" t="str">
        <f ca="1">IFERROR(VLOOKUP(AH429,OFFSET(abbreviation[],0,ColumnLanguage),ColumnAbbreviation,FALSE),"")</f>
        <v/>
      </c>
      <c r="BX429" s="21" t="str">
        <f ca="1">IFERROR(VLOOKUP(AJ429,OFFSET(abbreviation[],0,ColumnLanguage),ColumnAbbreviation,FALSE),"")</f>
        <v/>
      </c>
      <c r="BY429" s="21" t="str">
        <f ca="1">IFERROR(VLOOKUP(AL429,OFFSET(abbreviation[],0,ColumnLanguage),ColumnAbbreviation,FALSE),"")</f>
        <v/>
      </c>
      <c r="BZ429" s="21" t="str">
        <f t="shared" ca="1" si="44"/>
        <v>_</v>
      </c>
      <c r="CA429" s="21" t="str">
        <f ca="1">IFERROR(VLOOKUP(AP429,OFFSET(abbreviation[],0,ColumnLanguage),ColumnAbbreviation,FALSE),"")</f>
        <v/>
      </c>
      <c r="CB429" s="21" t="str">
        <f ca="1">IFERROR(VLOOKUP(AR429,OFFSET(abbreviation[],0,ColumnLanguage),ColumnAbbreviation,FALSE),"")</f>
        <v/>
      </c>
      <c r="CC429" s="21" t="str">
        <f ca="1">IFERROR(VLOOKUP(AT429,OFFSET(abbreviation[],0,ColumnLanguage),ColumnAbbreviation,FALSE),"")</f>
        <v/>
      </c>
      <c r="CD429" s="21" t="str">
        <f ca="1">IFERROR(VLOOKUP(AV429,OFFSET(abbreviation[],0,ColumnLanguage),ColumnAbbreviation,FALSE),"")</f>
        <v/>
      </c>
      <c r="CE429" s="21" t="str">
        <f t="shared" ca="1" si="45"/>
        <v>__</v>
      </c>
      <c r="CF429" s="21" t="str">
        <f ca="1">IFERROR(VLOOKUP(AX429,OFFSET(abbreviation[],0,ColumnLanguage),ColumnAbbreviation,FALSE),"")</f>
        <v/>
      </c>
      <c r="CG429" s="21" t="str">
        <f ca="1">IFERROR(VLOOKUP(AZ429,OFFSET(abbreviation[],0,ColumnLanguage),ColumnAbbreviation,FALSE),"")</f>
        <v/>
      </c>
      <c r="CH429" s="21" t="str">
        <f ca="1">IFERROR(VLOOKUP(BB429,OFFSET(abbreviation[],0,ColumnLanguage),ColumnAbbreviation,FALSE),"")</f>
        <v/>
      </c>
      <c r="CI429" s="21" t="str">
        <f ca="1">IFERROR(VLOOKUP(BD429,OFFSET(abbreviation[],0,ColumnLanguage),ColumnAbbreviation,FALSE),"")</f>
        <v/>
      </c>
      <c r="CJ429" s="21" t="str">
        <f ca="1">IFERROR(VLOOKUP(BF429,OFFSET(abbreviation[],0,ColumnLanguage),ColumnAbbreviation,FALSE),"")</f>
        <v/>
      </c>
      <c r="CK429" s="21" t="str">
        <f t="shared" ca="1" si="46"/>
        <v/>
      </c>
      <c r="CL429" s="21" t="str">
        <f t="shared" si="47"/>
        <v/>
      </c>
      <c r="CM429" s="52"/>
      <c r="CN429" s="57" t="str">
        <f t="shared" si="48"/>
        <v/>
      </c>
    </row>
    <row r="430" spans="14:92" x14ac:dyDescent="0.25">
      <c r="N430" s="58"/>
      <c r="P430" s="60"/>
      <c r="Q430" s="13"/>
      <c r="V430" s="60"/>
      <c r="X430" s="61"/>
      <c r="AB430" s="60"/>
      <c r="AN430" s="54"/>
      <c r="AS430" s="15"/>
      <c r="BH430" s="52"/>
      <c r="BI430" s="21" t="str">
        <f ca="1">IFERROR(VLOOKUP(C430,OFFSET(abbreviation[],0,ColumnLanguage),ColumnAbbreviation,FALSE),"")</f>
        <v/>
      </c>
      <c r="BJ430" s="21" t="str">
        <f ca="1">IFERROR(VLOOKUP(E430,OFFSET(abbreviation[],0,ColumnLanguage),ColumnAbbreviation,FALSE),"")</f>
        <v/>
      </c>
      <c r="BK430" s="21" t="str">
        <f ca="1">IFERROR(VLOOKUP(G430,OFFSET(abbreviation[],0,ColumnLanguage),ColumnAbbreviation,FALSE),"")</f>
        <v/>
      </c>
      <c r="BL430" s="21" t="str">
        <f ca="1">IFERROR(VLOOKUP(I430,OFFSET(abbreviation[],0,ColumnLanguage),ColumnAbbreviation,FALSE),"")</f>
        <v/>
      </c>
      <c r="BM430" s="21" t="str">
        <f ca="1">IFERROR(VLOOKUP(K430,OFFSET(abbreviation[],0,ColumnLanguage),ColumnAbbreviation,FALSE),"")</f>
        <v/>
      </c>
      <c r="BN430" s="21" t="str">
        <f t="shared" ca="1" si="42"/>
        <v/>
      </c>
      <c r="BO430" s="21" t="str">
        <f ca="1">IFERROR(VLOOKUP(N430,OFFSET(abbreviation[],0,ColumnLanguage),ColumnAbbreviation,FALSE),"")</f>
        <v/>
      </c>
      <c r="BP430" s="21" t="str">
        <f ca="1">IFERROR(VLOOKUP(P430,OFFSET(abbreviation[],0,ColumnLanguage),ColumnAbbreviation,FALSE),"")</f>
        <v/>
      </c>
      <c r="BQ430" s="21" t="str">
        <f ca="1">IFERROR(VLOOKUP(T430,OFFSET(abbreviation[],0,ColumnLanguage),ColumnAbbreviation,FALSE),"")</f>
        <v/>
      </c>
      <c r="BR430" s="21" t="str">
        <f ca="1">IFERROR(VLOOKUP(V430,OFFSET(abbreviation[],0,ColumnLanguage),ColumnAbbreviation,FALSE),"")</f>
        <v/>
      </c>
      <c r="BS430" s="21" t="str">
        <f ca="1">IFERROR(VLOOKUP(Z430,OFFSET(abbreviation[],0,ColumnLanguage),ColumnAbbreviation,FALSE),"")</f>
        <v/>
      </c>
      <c r="BT430" s="21" t="str">
        <f ca="1">IFERROR(VLOOKUP(AB430,OFFSET(abbreviation[],0,ColumnLanguage),ColumnAbbreviation,FALSE),"")</f>
        <v/>
      </c>
      <c r="BU430" s="21" t="str">
        <f t="shared" ca="1" si="43"/>
        <v>__</v>
      </c>
      <c r="BV430" s="21" t="str">
        <f ca="1">IFERROR(VLOOKUP(AF430,OFFSET(abbreviation[],0,ColumnLanguage),ColumnAbbreviation,FALSE),"")</f>
        <v/>
      </c>
      <c r="BW430" s="21" t="str">
        <f ca="1">IFERROR(VLOOKUP(AH430,OFFSET(abbreviation[],0,ColumnLanguage),ColumnAbbreviation,FALSE),"")</f>
        <v/>
      </c>
      <c r="BX430" s="21" t="str">
        <f ca="1">IFERROR(VLOOKUP(AJ430,OFFSET(abbreviation[],0,ColumnLanguage),ColumnAbbreviation,FALSE),"")</f>
        <v/>
      </c>
      <c r="BY430" s="21" t="str">
        <f ca="1">IFERROR(VLOOKUP(AL430,OFFSET(abbreviation[],0,ColumnLanguage),ColumnAbbreviation,FALSE),"")</f>
        <v/>
      </c>
      <c r="BZ430" s="21" t="str">
        <f t="shared" ca="1" si="44"/>
        <v>_</v>
      </c>
      <c r="CA430" s="21" t="str">
        <f ca="1">IFERROR(VLOOKUP(AP430,OFFSET(abbreviation[],0,ColumnLanguage),ColumnAbbreviation,FALSE),"")</f>
        <v/>
      </c>
      <c r="CB430" s="21" t="str">
        <f ca="1">IFERROR(VLOOKUP(AR430,OFFSET(abbreviation[],0,ColumnLanguage),ColumnAbbreviation,FALSE),"")</f>
        <v/>
      </c>
      <c r="CC430" s="21" t="str">
        <f ca="1">IFERROR(VLOOKUP(AT430,OFFSET(abbreviation[],0,ColumnLanguage),ColumnAbbreviation,FALSE),"")</f>
        <v/>
      </c>
      <c r="CD430" s="21" t="str">
        <f ca="1">IFERROR(VLOOKUP(AV430,OFFSET(abbreviation[],0,ColumnLanguage),ColumnAbbreviation,FALSE),"")</f>
        <v/>
      </c>
      <c r="CE430" s="21" t="str">
        <f t="shared" ca="1" si="45"/>
        <v>__</v>
      </c>
      <c r="CF430" s="21" t="str">
        <f ca="1">IFERROR(VLOOKUP(AX430,OFFSET(abbreviation[],0,ColumnLanguage),ColumnAbbreviation,FALSE),"")</f>
        <v/>
      </c>
      <c r="CG430" s="21" t="str">
        <f ca="1">IFERROR(VLOOKUP(AZ430,OFFSET(abbreviation[],0,ColumnLanguage),ColumnAbbreviation,FALSE),"")</f>
        <v/>
      </c>
      <c r="CH430" s="21" t="str">
        <f ca="1">IFERROR(VLOOKUP(BB430,OFFSET(abbreviation[],0,ColumnLanguage),ColumnAbbreviation,FALSE),"")</f>
        <v/>
      </c>
      <c r="CI430" s="21" t="str">
        <f ca="1">IFERROR(VLOOKUP(BD430,OFFSET(abbreviation[],0,ColumnLanguage),ColumnAbbreviation,FALSE),"")</f>
        <v/>
      </c>
      <c r="CJ430" s="21" t="str">
        <f ca="1">IFERROR(VLOOKUP(BF430,OFFSET(abbreviation[],0,ColumnLanguage),ColumnAbbreviation,FALSE),"")</f>
        <v/>
      </c>
      <c r="CK430" s="21" t="str">
        <f t="shared" ca="1" si="46"/>
        <v/>
      </c>
      <c r="CL430" s="21" t="str">
        <f t="shared" si="47"/>
        <v/>
      </c>
      <c r="CM430" s="52"/>
      <c r="CN430" s="57" t="str">
        <f t="shared" si="48"/>
        <v/>
      </c>
    </row>
    <row r="431" spans="14:92" x14ac:dyDescent="0.25">
      <c r="N431" s="58"/>
      <c r="P431" s="60"/>
      <c r="Q431" s="13"/>
      <c r="V431" s="60"/>
      <c r="X431" s="61"/>
      <c r="AB431" s="60"/>
      <c r="AN431" s="54"/>
      <c r="AS431" s="15"/>
      <c r="BH431" s="52"/>
      <c r="BI431" s="21" t="str">
        <f ca="1">IFERROR(VLOOKUP(C431,OFFSET(abbreviation[],0,ColumnLanguage),ColumnAbbreviation,FALSE),"")</f>
        <v/>
      </c>
      <c r="BJ431" s="21" t="str">
        <f ca="1">IFERROR(VLOOKUP(E431,OFFSET(abbreviation[],0,ColumnLanguage),ColumnAbbreviation,FALSE),"")</f>
        <v/>
      </c>
      <c r="BK431" s="21" t="str">
        <f ca="1">IFERROR(VLOOKUP(G431,OFFSET(abbreviation[],0,ColumnLanguage),ColumnAbbreviation,FALSE),"")</f>
        <v/>
      </c>
      <c r="BL431" s="21" t="str">
        <f ca="1">IFERROR(VLOOKUP(I431,OFFSET(abbreviation[],0,ColumnLanguage),ColumnAbbreviation,FALSE),"")</f>
        <v/>
      </c>
      <c r="BM431" s="21" t="str">
        <f ca="1">IFERROR(VLOOKUP(K431,OFFSET(abbreviation[],0,ColumnLanguage),ColumnAbbreviation,FALSE),"")</f>
        <v/>
      </c>
      <c r="BN431" s="21" t="str">
        <f t="shared" ca="1" si="42"/>
        <v/>
      </c>
      <c r="BO431" s="21" t="str">
        <f ca="1">IFERROR(VLOOKUP(N431,OFFSET(abbreviation[],0,ColumnLanguage),ColumnAbbreviation,FALSE),"")</f>
        <v/>
      </c>
      <c r="BP431" s="21" t="str">
        <f ca="1">IFERROR(VLOOKUP(P431,OFFSET(abbreviation[],0,ColumnLanguage),ColumnAbbreviation,FALSE),"")</f>
        <v/>
      </c>
      <c r="BQ431" s="21" t="str">
        <f ca="1">IFERROR(VLOOKUP(T431,OFFSET(abbreviation[],0,ColumnLanguage),ColumnAbbreviation,FALSE),"")</f>
        <v/>
      </c>
      <c r="BR431" s="21" t="str">
        <f ca="1">IFERROR(VLOOKUP(V431,OFFSET(abbreviation[],0,ColumnLanguage),ColumnAbbreviation,FALSE),"")</f>
        <v/>
      </c>
      <c r="BS431" s="21" t="str">
        <f ca="1">IFERROR(VLOOKUP(Z431,OFFSET(abbreviation[],0,ColumnLanguage),ColumnAbbreviation,FALSE),"")</f>
        <v/>
      </c>
      <c r="BT431" s="21" t="str">
        <f ca="1">IFERROR(VLOOKUP(AB431,OFFSET(abbreviation[],0,ColumnLanguage),ColumnAbbreviation,FALSE),"")</f>
        <v/>
      </c>
      <c r="BU431" s="21" t="str">
        <f t="shared" ca="1" si="43"/>
        <v>__</v>
      </c>
      <c r="BV431" s="21" t="str">
        <f ca="1">IFERROR(VLOOKUP(AF431,OFFSET(abbreviation[],0,ColumnLanguage),ColumnAbbreviation,FALSE),"")</f>
        <v/>
      </c>
      <c r="BW431" s="21" t="str">
        <f ca="1">IFERROR(VLOOKUP(AH431,OFFSET(abbreviation[],0,ColumnLanguage),ColumnAbbreviation,FALSE),"")</f>
        <v/>
      </c>
      <c r="BX431" s="21" t="str">
        <f ca="1">IFERROR(VLOOKUP(AJ431,OFFSET(abbreviation[],0,ColumnLanguage),ColumnAbbreviation,FALSE),"")</f>
        <v/>
      </c>
      <c r="BY431" s="21" t="str">
        <f ca="1">IFERROR(VLOOKUP(AL431,OFFSET(abbreviation[],0,ColumnLanguage),ColumnAbbreviation,FALSE),"")</f>
        <v/>
      </c>
      <c r="BZ431" s="21" t="str">
        <f t="shared" ca="1" si="44"/>
        <v>_</v>
      </c>
      <c r="CA431" s="21" t="str">
        <f ca="1">IFERROR(VLOOKUP(AP431,OFFSET(abbreviation[],0,ColumnLanguage),ColumnAbbreviation,FALSE),"")</f>
        <v/>
      </c>
      <c r="CB431" s="21" t="str">
        <f ca="1">IFERROR(VLOOKUP(AR431,OFFSET(abbreviation[],0,ColumnLanguage),ColumnAbbreviation,FALSE),"")</f>
        <v/>
      </c>
      <c r="CC431" s="21" t="str">
        <f ca="1">IFERROR(VLOOKUP(AT431,OFFSET(abbreviation[],0,ColumnLanguage),ColumnAbbreviation,FALSE),"")</f>
        <v/>
      </c>
      <c r="CD431" s="21" t="str">
        <f ca="1">IFERROR(VLOOKUP(AV431,OFFSET(abbreviation[],0,ColumnLanguage),ColumnAbbreviation,FALSE),"")</f>
        <v/>
      </c>
      <c r="CE431" s="21" t="str">
        <f t="shared" ca="1" si="45"/>
        <v>__</v>
      </c>
      <c r="CF431" s="21" t="str">
        <f ca="1">IFERROR(VLOOKUP(AX431,OFFSET(abbreviation[],0,ColumnLanguage),ColumnAbbreviation,FALSE),"")</f>
        <v/>
      </c>
      <c r="CG431" s="21" t="str">
        <f ca="1">IFERROR(VLOOKUP(AZ431,OFFSET(abbreviation[],0,ColumnLanguage),ColumnAbbreviation,FALSE),"")</f>
        <v/>
      </c>
      <c r="CH431" s="21" t="str">
        <f ca="1">IFERROR(VLOOKUP(BB431,OFFSET(abbreviation[],0,ColumnLanguage),ColumnAbbreviation,FALSE),"")</f>
        <v/>
      </c>
      <c r="CI431" s="21" t="str">
        <f ca="1">IFERROR(VLOOKUP(BD431,OFFSET(abbreviation[],0,ColumnLanguage),ColumnAbbreviation,FALSE),"")</f>
        <v/>
      </c>
      <c r="CJ431" s="21" t="str">
        <f ca="1">IFERROR(VLOOKUP(BF431,OFFSET(abbreviation[],0,ColumnLanguage),ColumnAbbreviation,FALSE),"")</f>
        <v/>
      </c>
      <c r="CK431" s="21" t="str">
        <f t="shared" ca="1" si="46"/>
        <v/>
      </c>
      <c r="CL431" s="21" t="str">
        <f t="shared" si="47"/>
        <v/>
      </c>
      <c r="CM431" s="52"/>
      <c r="CN431" s="57" t="str">
        <f t="shared" si="48"/>
        <v/>
      </c>
    </row>
    <row r="432" spans="14:92" x14ac:dyDescent="0.25">
      <c r="N432" s="58"/>
      <c r="P432" s="60"/>
      <c r="Q432" s="13"/>
      <c r="V432" s="60"/>
      <c r="X432" s="61"/>
      <c r="AB432" s="60"/>
      <c r="AN432" s="54"/>
      <c r="AS432" s="15"/>
      <c r="BH432" s="52"/>
      <c r="BI432" s="21" t="str">
        <f ca="1">IFERROR(VLOOKUP(C432,OFFSET(abbreviation[],0,ColumnLanguage),ColumnAbbreviation,FALSE),"")</f>
        <v/>
      </c>
      <c r="BJ432" s="21" t="str">
        <f ca="1">IFERROR(VLOOKUP(E432,OFFSET(abbreviation[],0,ColumnLanguage),ColumnAbbreviation,FALSE),"")</f>
        <v/>
      </c>
      <c r="BK432" s="21" t="str">
        <f ca="1">IFERROR(VLOOKUP(G432,OFFSET(abbreviation[],0,ColumnLanguage),ColumnAbbreviation,FALSE),"")</f>
        <v/>
      </c>
      <c r="BL432" s="21" t="str">
        <f ca="1">IFERROR(VLOOKUP(I432,OFFSET(abbreviation[],0,ColumnLanguage),ColumnAbbreviation,FALSE),"")</f>
        <v/>
      </c>
      <c r="BM432" s="21" t="str">
        <f ca="1">IFERROR(VLOOKUP(K432,OFFSET(abbreviation[],0,ColumnLanguage),ColumnAbbreviation,FALSE),"")</f>
        <v/>
      </c>
      <c r="BN432" s="21" t="str">
        <f t="shared" ca="1" si="42"/>
        <v/>
      </c>
      <c r="BO432" s="21" t="str">
        <f ca="1">IFERROR(VLOOKUP(N432,OFFSET(abbreviation[],0,ColumnLanguage),ColumnAbbreviation,FALSE),"")</f>
        <v/>
      </c>
      <c r="BP432" s="21" t="str">
        <f ca="1">IFERROR(VLOOKUP(P432,OFFSET(abbreviation[],0,ColumnLanguage),ColumnAbbreviation,FALSE),"")</f>
        <v/>
      </c>
      <c r="BQ432" s="21" t="str">
        <f ca="1">IFERROR(VLOOKUP(T432,OFFSET(abbreviation[],0,ColumnLanguage),ColumnAbbreviation,FALSE),"")</f>
        <v/>
      </c>
      <c r="BR432" s="21" t="str">
        <f ca="1">IFERROR(VLOOKUP(V432,OFFSET(abbreviation[],0,ColumnLanguage),ColumnAbbreviation,FALSE),"")</f>
        <v/>
      </c>
      <c r="BS432" s="21" t="str">
        <f ca="1">IFERROR(VLOOKUP(Z432,OFFSET(abbreviation[],0,ColumnLanguage),ColumnAbbreviation,FALSE),"")</f>
        <v/>
      </c>
      <c r="BT432" s="21" t="str">
        <f ca="1">IFERROR(VLOOKUP(AB432,OFFSET(abbreviation[],0,ColumnLanguage),ColumnAbbreviation,FALSE),"")</f>
        <v/>
      </c>
      <c r="BU432" s="21" t="str">
        <f t="shared" ca="1" si="43"/>
        <v>__</v>
      </c>
      <c r="BV432" s="21" t="str">
        <f ca="1">IFERROR(VLOOKUP(AF432,OFFSET(abbreviation[],0,ColumnLanguage),ColumnAbbreviation,FALSE),"")</f>
        <v/>
      </c>
      <c r="BW432" s="21" t="str">
        <f ca="1">IFERROR(VLOOKUP(AH432,OFFSET(abbreviation[],0,ColumnLanguage),ColumnAbbreviation,FALSE),"")</f>
        <v/>
      </c>
      <c r="BX432" s="21" t="str">
        <f ca="1">IFERROR(VLOOKUP(AJ432,OFFSET(abbreviation[],0,ColumnLanguage),ColumnAbbreviation,FALSE),"")</f>
        <v/>
      </c>
      <c r="BY432" s="21" t="str">
        <f ca="1">IFERROR(VLOOKUP(AL432,OFFSET(abbreviation[],0,ColumnLanguage),ColumnAbbreviation,FALSE),"")</f>
        <v/>
      </c>
      <c r="BZ432" s="21" t="str">
        <f t="shared" ca="1" si="44"/>
        <v>_</v>
      </c>
      <c r="CA432" s="21" t="str">
        <f ca="1">IFERROR(VLOOKUP(AP432,OFFSET(abbreviation[],0,ColumnLanguage),ColumnAbbreviation,FALSE),"")</f>
        <v/>
      </c>
      <c r="CB432" s="21" t="str">
        <f ca="1">IFERROR(VLOOKUP(AR432,OFFSET(abbreviation[],0,ColumnLanguage),ColumnAbbreviation,FALSE),"")</f>
        <v/>
      </c>
      <c r="CC432" s="21" t="str">
        <f ca="1">IFERROR(VLOOKUP(AT432,OFFSET(abbreviation[],0,ColumnLanguage),ColumnAbbreviation,FALSE),"")</f>
        <v/>
      </c>
      <c r="CD432" s="21" t="str">
        <f ca="1">IFERROR(VLOOKUP(AV432,OFFSET(abbreviation[],0,ColumnLanguage),ColumnAbbreviation,FALSE),"")</f>
        <v/>
      </c>
      <c r="CE432" s="21" t="str">
        <f t="shared" ca="1" si="45"/>
        <v>__</v>
      </c>
      <c r="CF432" s="21" t="str">
        <f ca="1">IFERROR(VLOOKUP(AX432,OFFSET(abbreviation[],0,ColumnLanguage),ColumnAbbreviation,FALSE),"")</f>
        <v/>
      </c>
      <c r="CG432" s="21" t="str">
        <f ca="1">IFERROR(VLOOKUP(AZ432,OFFSET(abbreviation[],0,ColumnLanguage),ColumnAbbreviation,FALSE),"")</f>
        <v/>
      </c>
      <c r="CH432" s="21" t="str">
        <f ca="1">IFERROR(VLOOKUP(BB432,OFFSET(abbreviation[],0,ColumnLanguage),ColumnAbbreviation,FALSE),"")</f>
        <v/>
      </c>
      <c r="CI432" s="21" t="str">
        <f ca="1">IFERROR(VLOOKUP(BD432,OFFSET(abbreviation[],0,ColumnLanguage),ColumnAbbreviation,FALSE),"")</f>
        <v/>
      </c>
      <c r="CJ432" s="21" t="str">
        <f ca="1">IFERROR(VLOOKUP(BF432,OFFSET(abbreviation[],0,ColumnLanguage),ColumnAbbreviation,FALSE),"")</f>
        <v/>
      </c>
      <c r="CK432" s="21" t="str">
        <f t="shared" ca="1" si="46"/>
        <v/>
      </c>
      <c r="CL432" s="21" t="str">
        <f t="shared" si="47"/>
        <v/>
      </c>
      <c r="CM432" s="52"/>
      <c r="CN432" s="57" t="str">
        <f t="shared" si="48"/>
        <v/>
      </c>
    </row>
    <row r="433" spans="14:92" x14ac:dyDescent="0.25">
      <c r="N433" s="58"/>
      <c r="P433" s="60"/>
      <c r="Q433" s="13"/>
      <c r="V433" s="60"/>
      <c r="X433" s="61"/>
      <c r="AB433" s="60"/>
      <c r="AN433" s="54"/>
      <c r="AS433" s="15"/>
      <c r="BH433" s="52"/>
      <c r="BI433" s="21" t="str">
        <f ca="1">IFERROR(VLOOKUP(C433,OFFSET(abbreviation[],0,ColumnLanguage),ColumnAbbreviation,FALSE),"")</f>
        <v/>
      </c>
      <c r="BJ433" s="21" t="str">
        <f ca="1">IFERROR(VLOOKUP(E433,OFFSET(abbreviation[],0,ColumnLanguage),ColumnAbbreviation,FALSE),"")</f>
        <v/>
      </c>
      <c r="BK433" s="21" t="str">
        <f ca="1">IFERROR(VLOOKUP(G433,OFFSET(abbreviation[],0,ColumnLanguage),ColumnAbbreviation,FALSE),"")</f>
        <v/>
      </c>
      <c r="BL433" s="21" t="str">
        <f ca="1">IFERROR(VLOOKUP(I433,OFFSET(abbreviation[],0,ColumnLanguage),ColumnAbbreviation,FALSE),"")</f>
        <v/>
      </c>
      <c r="BM433" s="21" t="str">
        <f ca="1">IFERROR(VLOOKUP(K433,OFFSET(abbreviation[],0,ColumnLanguage),ColumnAbbreviation,FALSE),"")</f>
        <v/>
      </c>
      <c r="BN433" s="21" t="str">
        <f t="shared" ca="1" si="42"/>
        <v/>
      </c>
      <c r="BO433" s="21" t="str">
        <f ca="1">IFERROR(VLOOKUP(N433,OFFSET(abbreviation[],0,ColumnLanguage),ColumnAbbreviation,FALSE),"")</f>
        <v/>
      </c>
      <c r="BP433" s="21" t="str">
        <f ca="1">IFERROR(VLOOKUP(P433,OFFSET(abbreviation[],0,ColumnLanguage),ColumnAbbreviation,FALSE),"")</f>
        <v/>
      </c>
      <c r="BQ433" s="21" t="str">
        <f ca="1">IFERROR(VLOOKUP(T433,OFFSET(abbreviation[],0,ColumnLanguage),ColumnAbbreviation,FALSE),"")</f>
        <v/>
      </c>
      <c r="BR433" s="21" t="str">
        <f ca="1">IFERROR(VLOOKUP(V433,OFFSET(abbreviation[],0,ColumnLanguage),ColumnAbbreviation,FALSE),"")</f>
        <v/>
      </c>
      <c r="BS433" s="21" t="str">
        <f ca="1">IFERROR(VLOOKUP(Z433,OFFSET(abbreviation[],0,ColumnLanguage),ColumnAbbreviation,FALSE),"")</f>
        <v/>
      </c>
      <c r="BT433" s="21" t="str">
        <f ca="1">IFERROR(VLOOKUP(AB433,OFFSET(abbreviation[],0,ColumnLanguage),ColumnAbbreviation,FALSE),"")</f>
        <v/>
      </c>
      <c r="BU433" s="21" t="str">
        <f t="shared" ca="1" si="43"/>
        <v>__</v>
      </c>
      <c r="BV433" s="21" t="str">
        <f ca="1">IFERROR(VLOOKUP(AF433,OFFSET(abbreviation[],0,ColumnLanguage),ColumnAbbreviation,FALSE),"")</f>
        <v/>
      </c>
      <c r="BW433" s="21" t="str">
        <f ca="1">IFERROR(VLOOKUP(AH433,OFFSET(abbreviation[],0,ColumnLanguage),ColumnAbbreviation,FALSE),"")</f>
        <v/>
      </c>
      <c r="BX433" s="21" t="str">
        <f ca="1">IFERROR(VLOOKUP(AJ433,OFFSET(abbreviation[],0,ColumnLanguage),ColumnAbbreviation,FALSE),"")</f>
        <v/>
      </c>
      <c r="BY433" s="21" t="str">
        <f ca="1">IFERROR(VLOOKUP(AL433,OFFSET(abbreviation[],0,ColumnLanguage),ColumnAbbreviation,FALSE),"")</f>
        <v/>
      </c>
      <c r="BZ433" s="21" t="str">
        <f t="shared" ca="1" si="44"/>
        <v>_</v>
      </c>
      <c r="CA433" s="21" t="str">
        <f ca="1">IFERROR(VLOOKUP(AP433,OFFSET(abbreviation[],0,ColumnLanguage),ColumnAbbreviation,FALSE),"")</f>
        <v/>
      </c>
      <c r="CB433" s="21" t="str">
        <f ca="1">IFERROR(VLOOKUP(AR433,OFFSET(abbreviation[],0,ColumnLanguage),ColumnAbbreviation,FALSE),"")</f>
        <v/>
      </c>
      <c r="CC433" s="21" t="str">
        <f ca="1">IFERROR(VLOOKUP(AT433,OFFSET(abbreviation[],0,ColumnLanguage),ColumnAbbreviation,FALSE),"")</f>
        <v/>
      </c>
      <c r="CD433" s="21" t="str">
        <f ca="1">IFERROR(VLOOKUP(AV433,OFFSET(abbreviation[],0,ColumnLanguage),ColumnAbbreviation,FALSE),"")</f>
        <v/>
      </c>
      <c r="CE433" s="21" t="str">
        <f t="shared" ca="1" si="45"/>
        <v>__</v>
      </c>
      <c r="CF433" s="21" t="str">
        <f ca="1">IFERROR(VLOOKUP(AX433,OFFSET(abbreviation[],0,ColumnLanguage),ColumnAbbreviation,FALSE),"")</f>
        <v/>
      </c>
      <c r="CG433" s="21" t="str">
        <f ca="1">IFERROR(VLOOKUP(AZ433,OFFSET(abbreviation[],0,ColumnLanguage),ColumnAbbreviation,FALSE),"")</f>
        <v/>
      </c>
      <c r="CH433" s="21" t="str">
        <f ca="1">IFERROR(VLOOKUP(BB433,OFFSET(abbreviation[],0,ColumnLanguage),ColumnAbbreviation,FALSE),"")</f>
        <v/>
      </c>
      <c r="CI433" s="21" t="str">
        <f ca="1">IFERROR(VLOOKUP(BD433,OFFSET(abbreviation[],0,ColumnLanguage),ColumnAbbreviation,FALSE),"")</f>
        <v/>
      </c>
      <c r="CJ433" s="21" t="str">
        <f ca="1">IFERROR(VLOOKUP(BF433,OFFSET(abbreviation[],0,ColumnLanguage),ColumnAbbreviation,FALSE),"")</f>
        <v/>
      </c>
      <c r="CK433" s="21" t="str">
        <f t="shared" ca="1" si="46"/>
        <v/>
      </c>
      <c r="CL433" s="21" t="str">
        <f t="shared" si="47"/>
        <v/>
      </c>
      <c r="CM433" s="52"/>
      <c r="CN433" s="57" t="str">
        <f t="shared" si="48"/>
        <v/>
      </c>
    </row>
    <row r="434" spans="14:92" x14ac:dyDescent="0.25">
      <c r="N434" s="58"/>
      <c r="P434" s="60"/>
      <c r="Q434" s="13"/>
      <c r="V434" s="60"/>
      <c r="X434" s="61"/>
      <c r="AB434" s="60"/>
      <c r="AN434" s="54"/>
      <c r="AS434" s="15"/>
      <c r="BH434" s="52"/>
      <c r="BI434" s="21" t="str">
        <f ca="1">IFERROR(VLOOKUP(C434,OFFSET(abbreviation[],0,ColumnLanguage),ColumnAbbreviation,FALSE),"")</f>
        <v/>
      </c>
      <c r="BJ434" s="21" t="str">
        <f ca="1">IFERROR(VLOOKUP(E434,OFFSET(abbreviation[],0,ColumnLanguage),ColumnAbbreviation,FALSE),"")</f>
        <v/>
      </c>
      <c r="BK434" s="21" t="str">
        <f ca="1">IFERROR(VLOOKUP(G434,OFFSET(abbreviation[],0,ColumnLanguage),ColumnAbbreviation,FALSE),"")</f>
        <v/>
      </c>
      <c r="BL434" s="21" t="str">
        <f ca="1">IFERROR(VLOOKUP(I434,OFFSET(abbreviation[],0,ColumnLanguage),ColumnAbbreviation,FALSE),"")</f>
        <v/>
      </c>
      <c r="BM434" s="21" t="str">
        <f ca="1">IFERROR(VLOOKUP(K434,OFFSET(abbreviation[],0,ColumnLanguage),ColumnAbbreviation,FALSE),"")</f>
        <v/>
      </c>
      <c r="BN434" s="21" t="str">
        <f t="shared" ca="1" si="42"/>
        <v/>
      </c>
      <c r="BO434" s="21" t="str">
        <f ca="1">IFERROR(VLOOKUP(N434,OFFSET(abbreviation[],0,ColumnLanguage),ColumnAbbreviation,FALSE),"")</f>
        <v/>
      </c>
      <c r="BP434" s="21" t="str">
        <f ca="1">IFERROR(VLOOKUP(P434,OFFSET(abbreviation[],0,ColumnLanguage),ColumnAbbreviation,FALSE),"")</f>
        <v/>
      </c>
      <c r="BQ434" s="21" t="str">
        <f ca="1">IFERROR(VLOOKUP(T434,OFFSET(abbreviation[],0,ColumnLanguage),ColumnAbbreviation,FALSE),"")</f>
        <v/>
      </c>
      <c r="BR434" s="21" t="str">
        <f ca="1">IFERROR(VLOOKUP(V434,OFFSET(abbreviation[],0,ColumnLanguage),ColumnAbbreviation,FALSE),"")</f>
        <v/>
      </c>
      <c r="BS434" s="21" t="str">
        <f ca="1">IFERROR(VLOOKUP(Z434,OFFSET(abbreviation[],0,ColumnLanguage),ColumnAbbreviation,FALSE),"")</f>
        <v/>
      </c>
      <c r="BT434" s="21" t="str">
        <f ca="1">IFERROR(VLOOKUP(AB434,OFFSET(abbreviation[],0,ColumnLanguage),ColumnAbbreviation,FALSE),"")</f>
        <v/>
      </c>
      <c r="BU434" s="21" t="str">
        <f t="shared" ca="1" si="43"/>
        <v>__</v>
      </c>
      <c r="BV434" s="21" t="str">
        <f ca="1">IFERROR(VLOOKUP(AF434,OFFSET(abbreviation[],0,ColumnLanguage),ColumnAbbreviation,FALSE),"")</f>
        <v/>
      </c>
      <c r="BW434" s="21" t="str">
        <f ca="1">IFERROR(VLOOKUP(AH434,OFFSET(abbreviation[],0,ColumnLanguage),ColumnAbbreviation,FALSE),"")</f>
        <v/>
      </c>
      <c r="BX434" s="21" t="str">
        <f ca="1">IFERROR(VLOOKUP(AJ434,OFFSET(abbreviation[],0,ColumnLanguage),ColumnAbbreviation,FALSE),"")</f>
        <v/>
      </c>
      <c r="BY434" s="21" t="str">
        <f ca="1">IFERROR(VLOOKUP(AL434,OFFSET(abbreviation[],0,ColumnLanguage),ColumnAbbreviation,FALSE),"")</f>
        <v/>
      </c>
      <c r="BZ434" s="21" t="str">
        <f t="shared" ca="1" si="44"/>
        <v>_</v>
      </c>
      <c r="CA434" s="21" t="str">
        <f ca="1">IFERROR(VLOOKUP(AP434,OFFSET(abbreviation[],0,ColumnLanguage),ColumnAbbreviation,FALSE),"")</f>
        <v/>
      </c>
      <c r="CB434" s="21" t="str">
        <f ca="1">IFERROR(VLOOKUP(AR434,OFFSET(abbreviation[],0,ColumnLanguage),ColumnAbbreviation,FALSE),"")</f>
        <v/>
      </c>
      <c r="CC434" s="21" t="str">
        <f ca="1">IFERROR(VLOOKUP(AT434,OFFSET(abbreviation[],0,ColumnLanguage),ColumnAbbreviation,FALSE),"")</f>
        <v/>
      </c>
      <c r="CD434" s="21" t="str">
        <f ca="1">IFERROR(VLOOKUP(AV434,OFFSET(abbreviation[],0,ColumnLanguage),ColumnAbbreviation,FALSE),"")</f>
        <v/>
      </c>
      <c r="CE434" s="21" t="str">
        <f t="shared" ca="1" si="45"/>
        <v>__</v>
      </c>
      <c r="CF434" s="21" t="str">
        <f ca="1">IFERROR(VLOOKUP(AX434,OFFSET(abbreviation[],0,ColumnLanguage),ColumnAbbreviation,FALSE),"")</f>
        <v/>
      </c>
      <c r="CG434" s="21" t="str">
        <f ca="1">IFERROR(VLOOKUP(AZ434,OFFSET(abbreviation[],0,ColumnLanguage),ColumnAbbreviation,FALSE),"")</f>
        <v/>
      </c>
      <c r="CH434" s="21" t="str">
        <f ca="1">IFERROR(VLOOKUP(BB434,OFFSET(abbreviation[],0,ColumnLanguage),ColumnAbbreviation,FALSE),"")</f>
        <v/>
      </c>
      <c r="CI434" s="21" t="str">
        <f ca="1">IFERROR(VLOOKUP(BD434,OFFSET(abbreviation[],0,ColumnLanguage),ColumnAbbreviation,FALSE),"")</f>
        <v/>
      </c>
      <c r="CJ434" s="21" t="str">
        <f ca="1">IFERROR(VLOOKUP(BF434,OFFSET(abbreviation[],0,ColumnLanguage),ColumnAbbreviation,FALSE),"")</f>
        <v/>
      </c>
      <c r="CK434" s="21" t="str">
        <f t="shared" ca="1" si="46"/>
        <v/>
      </c>
      <c r="CL434" s="21" t="str">
        <f t="shared" si="47"/>
        <v/>
      </c>
      <c r="CM434" s="52"/>
      <c r="CN434" s="57" t="str">
        <f t="shared" si="48"/>
        <v/>
      </c>
    </row>
    <row r="435" spans="14:92" x14ac:dyDescent="0.25">
      <c r="N435" s="58"/>
      <c r="P435" s="60"/>
      <c r="Q435" s="13"/>
      <c r="V435" s="60"/>
      <c r="X435" s="61"/>
      <c r="AB435" s="60"/>
      <c r="AN435" s="54"/>
      <c r="AS435" s="15"/>
      <c r="BH435" s="52"/>
      <c r="BI435" s="21" t="str">
        <f ca="1">IFERROR(VLOOKUP(C435,OFFSET(abbreviation[],0,ColumnLanguage),ColumnAbbreviation,FALSE),"")</f>
        <v/>
      </c>
      <c r="BJ435" s="21" t="str">
        <f ca="1">IFERROR(VLOOKUP(E435,OFFSET(abbreviation[],0,ColumnLanguage),ColumnAbbreviation,FALSE),"")</f>
        <v/>
      </c>
      <c r="BK435" s="21" t="str">
        <f ca="1">IFERROR(VLOOKUP(G435,OFFSET(abbreviation[],0,ColumnLanguage),ColumnAbbreviation,FALSE),"")</f>
        <v/>
      </c>
      <c r="BL435" s="21" t="str">
        <f ca="1">IFERROR(VLOOKUP(I435,OFFSET(abbreviation[],0,ColumnLanguage),ColumnAbbreviation,FALSE),"")</f>
        <v/>
      </c>
      <c r="BM435" s="21" t="str">
        <f ca="1">IFERROR(VLOOKUP(K435,OFFSET(abbreviation[],0,ColumnLanguage),ColumnAbbreviation,FALSE),"")</f>
        <v/>
      </c>
      <c r="BN435" s="21" t="str">
        <f t="shared" ca="1" si="42"/>
        <v/>
      </c>
      <c r="BO435" s="21" t="str">
        <f ca="1">IFERROR(VLOOKUP(N435,OFFSET(abbreviation[],0,ColumnLanguage),ColumnAbbreviation,FALSE),"")</f>
        <v/>
      </c>
      <c r="BP435" s="21" t="str">
        <f ca="1">IFERROR(VLOOKUP(P435,OFFSET(abbreviation[],0,ColumnLanguage),ColumnAbbreviation,FALSE),"")</f>
        <v/>
      </c>
      <c r="BQ435" s="21" t="str">
        <f ca="1">IFERROR(VLOOKUP(T435,OFFSET(abbreviation[],0,ColumnLanguage),ColumnAbbreviation,FALSE),"")</f>
        <v/>
      </c>
      <c r="BR435" s="21" t="str">
        <f ca="1">IFERROR(VLOOKUP(V435,OFFSET(abbreviation[],0,ColumnLanguage),ColumnAbbreviation,FALSE),"")</f>
        <v/>
      </c>
      <c r="BS435" s="21" t="str">
        <f ca="1">IFERROR(VLOOKUP(Z435,OFFSET(abbreviation[],0,ColumnLanguage),ColumnAbbreviation,FALSE),"")</f>
        <v/>
      </c>
      <c r="BT435" s="21" t="str">
        <f ca="1">IFERROR(VLOOKUP(AB435,OFFSET(abbreviation[],0,ColumnLanguage),ColumnAbbreviation,FALSE),"")</f>
        <v/>
      </c>
      <c r="BU435" s="21" t="str">
        <f t="shared" ca="1" si="43"/>
        <v>__</v>
      </c>
      <c r="BV435" s="21" t="str">
        <f ca="1">IFERROR(VLOOKUP(AF435,OFFSET(abbreviation[],0,ColumnLanguage),ColumnAbbreviation,FALSE),"")</f>
        <v/>
      </c>
      <c r="BW435" s="21" t="str">
        <f ca="1">IFERROR(VLOOKUP(AH435,OFFSET(abbreviation[],0,ColumnLanguage),ColumnAbbreviation,FALSE),"")</f>
        <v/>
      </c>
      <c r="BX435" s="21" t="str">
        <f ca="1">IFERROR(VLOOKUP(AJ435,OFFSET(abbreviation[],0,ColumnLanguage),ColumnAbbreviation,FALSE),"")</f>
        <v/>
      </c>
      <c r="BY435" s="21" t="str">
        <f ca="1">IFERROR(VLOOKUP(AL435,OFFSET(abbreviation[],0,ColumnLanguage),ColumnAbbreviation,FALSE),"")</f>
        <v/>
      </c>
      <c r="BZ435" s="21" t="str">
        <f t="shared" ca="1" si="44"/>
        <v>_</v>
      </c>
      <c r="CA435" s="21" t="str">
        <f ca="1">IFERROR(VLOOKUP(AP435,OFFSET(abbreviation[],0,ColumnLanguage),ColumnAbbreviation,FALSE),"")</f>
        <v/>
      </c>
      <c r="CB435" s="21" t="str">
        <f ca="1">IFERROR(VLOOKUP(AR435,OFFSET(abbreviation[],0,ColumnLanguage),ColumnAbbreviation,FALSE),"")</f>
        <v/>
      </c>
      <c r="CC435" s="21" t="str">
        <f ca="1">IFERROR(VLOOKUP(AT435,OFFSET(abbreviation[],0,ColumnLanguage),ColumnAbbreviation,FALSE),"")</f>
        <v/>
      </c>
      <c r="CD435" s="21" t="str">
        <f ca="1">IFERROR(VLOOKUP(AV435,OFFSET(abbreviation[],0,ColumnLanguage),ColumnAbbreviation,FALSE),"")</f>
        <v/>
      </c>
      <c r="CE435" s="21" t="str">
        <f t="shared" ca="1" si="45"/>
        <v>__</v>
      </c>
      <c r="CF435" s="21" t="str">
        <f ca="1">IFERROR(VLOOKUP(AX435,OFFSET(abbreviation[],0,ColumnLanguage),ColumnAbbreviation,FALSE),"")</f>
        <v/>
      </c>
      <c r="CG435" s="21" t="str">
        <f ca="1">IFERROR(VLOOKUP(AZ435,OFFSET(abbreviation[],0,ColumnLanguage),ColumnAbbreviation,FALSE),"")</f>
        <v/>
      </c>
      <c r="CH435" s="21" t="str">
        <f ca="1">IFERROR(VLOOKUP(BB435,OFFSET(abbreviation[],0,ColumnLanguage),ColumnAbbreviation,FALSE),"")</f>
        <v/>
      </c>
      <c r="CI435" s="21" t="str">
        <f ca="1">IFERROR(VLOOKUP(BD435,OFFSET(abbreviation[],0,ColumnLanguage),ColumnAbbreviation,FALSE),"")</f>
        <v/>
      </c>
      <c r="CJ435" s="21" t="str">
        <f ca="1">IFERROR(VLOOKUP(BF435,OFFSET(abbreviation[],0,ColumnLanguage),ColumnAbbreviation,FALSE),"")</f>
        <v/>
      </c>
      <c r="CK435" s="21" t="str">
        <f t="shared" ca="1" si="46"/>
        <v/>
      </c>
      <c r="CL435" s="21" t="str">
        <f t="shared" si="47"/>
        <v/>
      </c>
      <c r="CM435" s="52"/>
      <c r="CN435" s="57" t="str">
        <f t="shared" si="48"/>
        <v/>
      </c>
    </row>
    <row r="436" spans="14:92" x14ac:dyDescent="0.25">
      <c r="N436" s="58"/>
      <c r="P436" s="60"/>
      <c r="Q436" s="13"/>
      <c r="V436" s="60"/>
      <c r="X436" s="61"/>
      <c r="AB436" s="60"/>
      <c r="AN436" s="54"/>
      <c r="AS436" s="15"/>
      <c r="BH436" s="52"/>
      <c r="BI436" s="21" t="str">
        <f ca="1">IFERROR(VLOOKUP(C436,OFFSET(abbreviation[],0,ColumnLanguage),ColumnAbbreviation,FALSE),"")</f>
        <v/>
      </c>
      <c r="BJ436" s="21" t="str">
        <f ca="1">IFERROR(VLOOKUP(E436,OFFSET(abbreviation[],0,ColumnLanguage),ColumnAbbreviation,FALSE),"")</f>
        <v/>
      </c>
      <c r="BK436" s="21" t="str">
        <f ca="1">IFERROR(VLOOKUP(G436,OFFSET(abbreviation[],0,ColumnLanguage),ColumnAbbreviation,FALSE),"")</f>
        <v/>
      </c>
      <c r="BL436" s="21" t="str">
        <f ca="1">IFERROR(VLOOKUP(I436,OFFSET(abbreviation[],0,ColumnLanguage),ColumnAbbreviation,FALSE),"")</f>
        <v/>
      </c>
      <c r="BM436" s="21" t="str">
        <f ca="1">IFERROR(VLOOKUP(K436,OFFSET(abbreviation[],0,ColumnLanguage),ColumnAbbreviation,FALSE),"")</f>
        <v/>
      </c>
      <c r="BN436" s="21" t="str">
        <f t="shared" ca="1" si="42"/>
        <v/>
      </c>
      <c r="BO436" s="21" t="str">
        <f ca="1">IFERROR(VLOOKUP(N436,OFFSET(abbreviation[],0,ColumnLanguage),ColumnAbbreviation,FALSE),"")</f>
        <v/>
      </c>
      <c r="BP436" s="21" t="str">
        <f ca="1">IFERROR(VLOOKUP(P436,OFFSET(abbreviation[],0,ColumnLanguage),ColumnAbbreviation,FALSE),"")</f>
        <v/>
      </c>
      <c r="BQ436" s="21" t="str">
        <f ca="1">IFERROR(VLOOKUP(T436,OFFSET(abbreviation[],0,ColumnLanguage),ColumnAbbreviation,FALSE),"")</f>
        <v/>
      </c>
      <c r="BR436" s="21" t="str">
        <f ca="1">IFERROR(VLOOKUP(V436,OFFSET(abbreviation[],0,ColumnLanguage),ColumnAbbreviation,FALSE),"")</f>
        <v/>
      </c>
      <c r="BS436" s="21" t="str">
        <f ca="1">IFERROR(VLOOKUP(Z436,OFFSET(abbreviation[],0,ColumnLanguage),ColumnAbbreviation,FALSE),"")</f>
        <v/>
      </c>
      <c r="BT436" s="21" t="str">
        <f ca="1">IFERROR(VLOOKUP(AB436,OFFSET(abbreviation[],0,ColumnLanguage),ColumnAbbreviation,FALSE),"")</f>
        <v/>
      </c>
      <c r="BU436" s="21" t="str">
        <f t="shared" ca="1" si="43"/>
        <v>__</v>
      </c>
      <c r="BV436" s="21" t="str">
        <f ca="1">IFERROR(VLOOKUP(AF436,OFFSET(abbreviation[],0,ColumnLanguage),ColumnAbbreviation,FALSE),"")</f>
        <v/>
      </c>
      <c r="BW436" s="21" t="str">
        <f ca="1">IFERROR(VLOOKUP(AH436,OFFSET(abbreviation[],0,ColumnLanguage),ColumnAbbreviation,FALSE),"")</f>
        <v/>
      </c>
      <c r="BX436" s="21" t="str">
        <f ca="1">IFERROR(VLOOKUP(AJ436,OFFSET(abbreviation[],0,ColumnLanguage),ColumnAbbreviation,FALSE),"")</f>
        <v/>
      </c>
      <c r="BY436" s="21" t="str">
        <f ca="1">IFERROR(VLOOKUP(AL436,OFFSET(abbreviation[],0,ColumnLanguage),ColumnAbbreviation,FALSE),"")</f>
        <v/>
      </c>
      <c r="BZ436" s="21" t="str">
        <f t="shared" ca="1" si="44"/>
        <v>_</v>
      </c>
      <c r="CA436" s="21" t="str">
        <f ca="1">IFERROR(VLOOKUP(AP436,OFFSET(abbreviation[],0,ColumnLanguage),ColumnAbbreviation,FALSE),"")</f>
        <v/>
      </c>
      <c r="CB436" s="21" t="str">
        <f ca="1">IFERROR(VLOOKUP(AR436,OFFSET(abbreviation[],0,ColumnLanguage),ColumnAbbreviation,FALSE),"")</f>
        <v/>
      </c>
      <c r="CC436" s="21" t="str">
        <f ca="1">IFERROR(VLOOKUP(AT436,OFFSET(abbreviation[],0,ColumnLanguage),ColumnAbbreviation,FALSE),"")</f>
        <v/>
      </c>
      <c r="CD436" s="21" t="str">
        <f ca="1">IFERROR(VLOOKUP(AV436,OFFSET(abbreviation[],0,ColumnLanguage),ColumnAbbreviation,FALSE),"")</f>
        <v/>
      </c>
      <c r="CE436" s="21" t="str">
        <f t="shared" ca="1" si="45"/>
        <v>__</v>
      </c>
      <c r="CF436" s="21" t="str">
        <f ca="1">IFERROR(VLOOKUP(AX436,OFFSET(abbreviation[],0,ColumnLanguage),ColumnAbbreviation,FALSE),"")</f>
        <v/>
      </c>
      <c r="CG436" s="21" t="str">
        <f ca="1">IFERROR(VLOOKUP(AZ436,OFFSET(abbreviation[],0,ColumnLanguage),ColumnAbbreviation,FALSE),"")</f>
        <v/>
      </c>
      <c r="CH436" s="21" t="str">
        <f ca="1">IFERROR(VLOOKUP(BB436,OFFSET(abbreviation[],0,ColumnLanguage),ColumnAbbreviation,FALSE),"")</f>
        <v/>
      </c>
      <c r="CI436" s="21" t="str">
        <f ca="1">IFERROR(VLOOKUP(BD436,OFFSET(abbreviation[],0,ColumnLanguage),ColumnAbbreviation,FALSE),"")</f>
        <v/>
      </c>
      <c r="CJ436" s="21" t="str">
        <f ca="1">IFERROR(VLOOKUP(BF436,OFFSET(abbreviation[],0,ColumnLanguage),ColumnAbbreviation,FALSE),"")</f>
        <v/>
      </c>
      <c r="CK436" s="21" t="str">
        <f t="shared" ca="1" si="46"/>
        <v/>
      </c>
      <c r="CL436" s="21" t="str">
        <f t="shared" si="47"/>
        <v/>
      </c>
      <c r="CM436" s="52"/>
      <c r="CN436" s="57" t="str">
        <f t="shared" si="48"/>
        <v/>
      </c>
    </row>
    <row r="437" spans="14:92" x14ac:dyDescent="0.25">
      <c r="N437" s="58"/>
      <c r="P437" s="60"/>
      <c r="Q437" s="13"/>
      <c r="V437" s="60"/>
      <c r="X437" s="61"/>
      <c r="AB437" s="60"/>
      <c r="AN437" s="54"/>
      <c r="AS437" s="15"/>
      <c r="BH437" s="52"/>
      <c r="BI437" s="21" t="str">
        <f ca="1">IFERROR(VLOOKUP(C437,OFFSET(abbreviation[],0,ColumnLanguage),ColumnAbbreviation,FALSE),"")</f>
        <v/>
      </c>
      <c r="BJ437" s="21" t="str">
        <f ca="1">IFERROR(VLOOKUP(E437,OFFSET(abbreviation[],0,ColumnLanguage),ColumnAbbreviation,FALSE),"")</f>
        <v/>
      </c>
      <c r="BK437" s="21" t="str">
        <f ca="1">IFERROR(VLOOKUP(G437,OFFSET(abbreviation[],0,ColumnLanguage),ColumnAbbreviation,FALSE),"")</f>
        <v/>
      </c>
      <c r="BL437" s="21" t="str">
        <f ca="1">IFERROR(VLOOKUP(I437,OFFSET(abbreviation[],0,ColumnLanguage),ColumnAbbreviation,FALSE),"")</f>
        <v/>
      </c>
      <c r="BM437" s="21" t="str">
        <f ca="1">IFERROR(VLOOKUP(K437,OFFSET(abbreviation[],0,ColumnLanguage),ColumnAbbreviation,FALSE),"")</f>
        <v/>
      </c>
      <c r="BN437" s="21" t="str">
        <f t="shared" ca="1" si="42"/>
        <v/>
      </c>
      <c r="BO437" s="21" t="str">
        <f ca="1">IFERROR(VLOOKUP(N437,OFFSET(abbreviation[],0,ColumnLanguage),ColumnAbbreviation,FALSE),"")</f>
        <v/>
      </c>
      <c r="BP437" s="21" t="str">
        <f ca="1">IFERROR(VLOOKUP(P437,OFFSET(abbreviation[],0,ColumnLanguage),ColumnAbbreviation,FALSE),"")</f>
        <v/>
      </c>
      <c r="BQ437" s="21" t="str">
        <f ca="1">IFERROR(VLOOKUP(T437,OFFSET(abbreviation[],0,ColumnLanguage),ColumnAbbreviation,FALSE),"")</f>
        <v/>
      </c>
      <c r="BR437" s="21" t="str">
        <f ca="1">IFERROR(VLOOKUP(V437,OFFSET(abbreviation[],0,ColumnLanguage),ColumnAbbreviation,FALSE),"")</f>
        <v/>
      </c>
      <c r="BS437" s="21" t="str">
        <f ca="1">IFERROR(VLOOKUP(Z437,OFFSET(abbreviation[],0,ColumnLanguage),ColumnAbbreviation,FALSE),"")</f>
        <v/>
      </c>
      <c r="BT437" s="21" t="str">
        <f ca="1">IFERROR(VLOOKUP(AB437,OFFSET(abbreviation[],0,ColumnLanguage),ColumnAbbreviation,FALSE),"")</f>
        <v/>
      </c>
      <c r="BU437" s="21" t="str">
        <f t="shared" ca="1" si="43"/>
        <v>__</v>
      </c>
      <c r="BV437" s="21" t="str">
        <f ca="1">IFERROR(VLOOKUP(AF437,OFFSET(abbreviation[],0,ColumnLanguage),ColumnAbbreviation,FALSE),"")</f>
        <v/>
      </c>
      <c r="BW437" s="21" t="str">
        <f ca="1">IFERROR(VLOOKUP(AH437,OFFSET(abbreviation[],0,ColumnLanguage),ColumnAbbreviation,FALSE),"")</f>
        <v/>
      </c>
      <c r="BX437" s="21" t="str">
        <f ca="1">IFERROR(VLOOKUP(AJ437,OFFSET(abbreviation[],0,ColumnLanguage),ColumnAbbreviation,FALSE),"")</f>
        <v/>
      </c>
      <c r="BY437" s="21" t="str">
        <f ca="1">IFERROR(VLOOKUP(AL437,OFFSET(abbreviation[],0,ColumnLanguage),ColumnAbbreviation,FALSE),"")</f>
        <v/>
      </c>
      <c r="BZ437" s="21" t="str">
        <f t="shared" ca="1" si="44"/>
        <v>_</v>
      </c>
      <c r="CA437" s="21" t="str">
        <f ca="1">IFERROR(VLOOKUP(AP437,OFFSET(abbreviation[],0,ColumnLanguage),ColumnAbbreviation,FALSE),"")</f>
        <v/>
      </c>
      <c r="CB437" s="21" t="str">
        <f ca="1">IFERROR(VLOOKUP(AR437,OFFSET(abbreviation[],0,ColumnLanguage),ColumnAbbreviation,FALSE),"")</f>
        <v/>
      </c>
      <c r="CC437" s="21" t="str">
        <f ca="1">IFERROR(VLOOKUP(AT437,OFFSET(abbreviation[],0,ColumnLanguage),ColumnAbbreviation,FALSE),"")</f>
        <v/>
      </c>
      <c r="CD437" s="21" t="str">
        <f ca="1">IFERROR(VLOOKUP(AV437,OFFSET(abbreviation[],0,ColumnLanguage),ColumnAbbreviation,FALSE),"")</f>
        <v/>
      </c>
      <c r="CE437" s="21" t="str">
        <f t="shared" ca="1" si="45"/>
        <v>__</v>
      </c>
      <c r="CF437" s="21" t="str">
        <f ca="1">IFERROR(VLOOKUP(AX437,OFFSET(abbreviation[],0,ColumnLanguage),ColumnAbbreviation,FALSE),"")</f>
        <v/>
      </c>
      <c r="CG437" s="21" t="str">
        <f ca="1">IFERROR(VLOOKUP(AZ437,OFFSET(abbreviation[],0,ColumnLanguage),ColumnAbbreviation,FALSE),"")</f>
        <v/>
      </c>
      <c r="CH437" s="21" t="str">
        <f ca="1">IFERROR(VLOOKUP(BB437,OFFSET(abbreviation[],0,ColumnLanguage),ColumnAbbreviation,FALSE),"")</f>
        <v/>
      </c>
      <c r="CI437" s="21" t="str">
        <f ca="1">IFERROR(VLOOKUP(BD437,OFFSET(abbreviation[],0,ColumnLanguage),ColumnAbbreviation,FALSE),"")</f>
        <v/>
      </c>
      <c r="CJ437" s="21" t="str">
        <f ca="1">IFERROR(VLOOKUP(BF437,OFFSET(abbreviation[],0,ColumnLanguage),ColumnAbbreviation,FALSE),"")</f>
        <v/>
      </c>
      <c r="CK437" s="21" t="str">
        <f t="shared" ca="1" si="46"/>
        <v/>
      </c>
      <c r="CL437" s="21" t="str">
        <f t="shared" si="47"/>
        <v/>
      </c>
      <c r="CM437" s="52"/>
      <c r="CN437" s="57" t="str">
        <f t="shared" si="48"/>
        <v/>
      </c>
    </row>
    <row r="438" spans="14:92" x14ac:dyDescent="0.25">
      <c r="N438" s="58"/>
      <c r="P438" s="60"/>
      <c r="Q438" s="13"/>
      <c r="V438" s="60"/>
      <c r="X438" s="61"/>
      <c r="AB438" s="60"/>
      <c r="AN438" s="54"/>
      <c r="AS438" s="15"/>
      <c r="BH438" s="52"/>
      <c r="BI438" s="21" t="str">
        <f ca="1">IFERROR(VLOOKUP(C438,OFFSET(abbreviation[],0,ColumnLanguage),ColumnAbbreviation,FALSE),"")</f>
        <v/>
      </c>
      <c r="BJ438" s="21" t="str">
        <f ca="1">IFERROR(VLOOKUP(E438,OFFSET(abbreviation[],0,ColumnLanguage),ColumnAbbreviation,FALSE),"")</f>
        <v/>
      </c>
      <c r="BK438" s="21" t="str">
        <f ca="1">IFERROR(VLOOKUP(G438,OFFSET(abbreviation[],0,ColumnLanguage),ColumnAbbreviation,FALSE),"")</f>
        <v/>
      </c>
      <c r="BL438" s="21" t="str">
        <f ca="1">IFERROR(VLOOKUP(I438,OFFSET(abbreviation[],0,ColumnLanguage),ColumnAbbreviation,FALSE),"")</f>
        <v/>
      </c>
      <c r="BM438" s="21" t="str">
        <f ca="1">IFERROR(VLOOKUP(K438,OFFSET(abbreviation[],0,ColumnLanguage),ColumnAbbreviation,FALSE),"")</f>
        <v/>
      </c>
      <c r="BN438" s="21" t="str">
        <f t="shared" ca="1" si="42"/>
        <v/>
      </c>
      <c r="BO438" s="21" t="str">
        <f ca="1">IFERROR(VLOOKUP(N438,OFFSET(abbreviation[],0,ColumnLanguage),ColumnAbbreviation,FALSE),"")</f>
        <v/>
      </c>
      <c r="BP438" s="21" t="str">
        <f ca="1">IFERROR(VLOOKUP(P438,OFFSET(abbreviation[],0,ColumnLanguage),ColumnAbbreviation,FALSE),"")</f>
        <v/>
      </c>
      <c r="BQ438" s="21" t="str">
        <f ca="1">IFERROR(VLOOKUP(T438,OFFSET(abbreviation[],0,ColumnLanguage),ColumnAbbreviation,FALSE),"")</f>
        <v/>
      </c>
      <c r="BR438" s="21" t="str">
        <f ca="1">IFERROR(VLOOKUP(V438,OFFSET(abbreviation[],0,ColumnLanguage),ColumnAbbreviation,FALSE),"")</f>
        <v/>
      </c>
      <c r="BS438" s="21" t="str">
        <f ca="1">IFERROR(VLOOKUP(Z438,OFFSET(abbreviation[],0,ColumnLanguage),ColumnAbbreviation,FALSE),"")</f>
        <v/>
      </c>
      <c r="BT438" s="21" t="str">
        <f ca="1">IFERROR(VLOOKUP(AB438,OFFSET(abbreviation[],0,ColumnLanguage),ColumnAbbreviation,FALSE),"")</f>
        <v/>
      </c>
      <c r="BU438" s="21" t="str">
        <f t="shared" ca="1" si="43"/>
        <v>__</v>
      </c>
      <c r="BV438" s="21" t="str">
        <f ca="1">IFERROR(VLOOKUP(AF438,OFFSET(abbreviation[],0,ColumnLanguage),ColumnAbbreviation,FALSE),"")</f>
        <v/>
      </c>
      <c r="BW438" s="21" t="str">
        <f ca="1">IFERROR(VLOOKUP(AH438,OFFSET(abbreviation[],0,ColumnLanguage),ColumnAbbreviation,FALSE),"")</f>
        <v/>
      </c>
      <c r="BX438" s="21" t="str">
        <f ca="1">IFERROR(VLOOKUP(AJ438,OFFSET(abbreviation[],0,ColumnLanguage),ColumnAbbreviation,FALSE),"")</f>
        <v/>
      </c>
      <c r="BY438" s="21" t="str">
        <f ca="1">IFERROR(VLOOKUP(AL438,OFFSET(abbreviation[],0,ColumnLanguage),ColumnAbbreviation,FALSE),"")</f>
        <v/>
      </c>
      <c r="BZ438" s="21" t="str">
        <f t="shared" ca="1" si="44"/>
        <v>_</v>
      </c>
      <c r="CA438" s="21" t="str">
        <f ca="1">IFERROR(VLOOKUP(AP438,OFFSET(abbreviation[],0,ColumnLanguage),ColumnAbbreviation,FALSE),"")</f>
        <v/>
      </c>
      <c r="CB438" s="21" t="str">
        <f ca="1">IFERROR(VLOOKUP(AR438,OFFSET(abbreviation[],0,ColumnLanguage),ColumnAbbreviation,FALSE),"")</f>
        <v/>
      </c>
      <c r="CC438" s="21" t="str">
        <f ca="1">IFERROR(VLOOKUP(AT438,OFFSET(abbreviation[],0,ColumnLanguage),ColumnAbbreviation,FALSE),"")</f>
        <v/>
      </c>
      <c r="CD438" s="21" t="str">
        <f ca="1">IFERROR(VLOOKUP(AV438,OFFSET(abbreviation[],0,ColumnLanguage),ColumnAbbreviation,FALSE),"")</f>
        <v/>
      </c>
      <c r="CE438" s="21" t="str">
        <f t="shared" ca="1" si="45"/>
        <v>__</v>
      </c>
      <c r="CF438" s="21" t="str">
        <f ca="1">IFERROR(VLOOKUP(AX438,OFFSET(abbreviation[],0,ColumnLanguage),ColumnAbbreviation,FALSE),"")</f>
        <v/>
      </c>
      <c r="CG438" s="21" t="str">
        <f ca="1">IFERROR(VLOOKUP(AZ438,OFFSET(abbreviation[],0,ColumnLanguage),ColumnAbbreviation,FALSE),"")</f>
        <v/>
      </c>
      <c r="CH438" s="21" t="str">
        <f ca="1">IFERROR(VLOOKUP(BB438,OFFSET(abbreviation[],0,ColumnLanguage),ColumnAbbreviation,FALSE),"")</f>
        <v/>
      </c>
      <c r="CI438" s="21" t="str">
        <f ca="1">IFERROR(VLOOKUP(BD438,OFFSET(abbreviation[],0,ColumnLanguage),ColumnAbbreviation,FALSE),"")</f>
        <v/>
      </c>
      <c r="CJ438" s="21" t="str">
        <f ca="1">IFERROR(VLOOKUP(BF438,OFFSET(abbreviation[],0,ColumnLanguage),ColumnAbbreviation,FALSE),"")</f>
        <v/>
      </c>
      <c r="CK438" s="21" t="str">
        <f t="shared" ca="1" si="46"/>
        <v/>
      </c>
      <c r="CL438" s="21" t="str">
        <f t="shared" si="47"/>
        <v/>
      </c>
      <c r="CM438" s="52"/>
      <c r="CN438" s="57" t="str">
        <f t="shared" si="48"/>
        <v/>
      </c>
    </row>
    <row r="439" spans="14:92" x14ac:dyDescent="0.25">
      <c r="N439" s="58"/>
      <c r="P439" s="60"/>
      <c r="Q439" s="13"/>
      <c r="V439" s="60"/>
      <c r="X439" s="61"/>
      <c r="AB439" s="60"/>
      <c r="AN439" s="54"/>
      <c r="AS439" s="15"/>
      <c r="BH439" s="52"/>
      <c r="BI439" s="21" t="str">
        <f ca="1">IFERROR(VLOOKUP(C439,OFFSET(abbreviation[],0,ColumnLanguage),ColumnAbbreviation,FALSE),"")</f>
        <v/>
      </c>
      <c r="BJ439" s="21" t="str">
        <f ca="1">IFERROR(VLOOKUP(E439,OFFSET(abbreviation[],0,ColumnLanguage),ColumnAbbreviation,FALSE),"")</f>
        <v/>
      </c>
      <c r="BK439" s="21" t="str">
        <f ca="1">IFERROR(VLOOKUP(G439,OFFSET(abbreviation[],0,ColumnLanguage),ColumnAbbreviation,FALSE),"")</f>
        <v/>
      </c>
      <c r="BL439" s="21" t="str">
        <f ca="1">IFERROR(VLOOKUP(I439,OFFSET(abbreviation[],0,ColumnLanguage),ColumnAbbreviation,FALSE),"")</f>
        <v/>
      </c>
      <c r="BM439" s="21" t="str">
        <f ca="1">IFERROR(VLOOKUP(K439,OFFSET(abbreviation[],0,ColumnLanguage),ColumnAbbreviation,FALSE),"")</f>
        <v/>
      </c>
      <c r="BN439" s="21" t="str">
        <f t="shared" ca="1" si="42"/>
        <v/>
      </c>
      <c r="BO439" s="21" t="str">
        <f ca="1">IFERROR(VLOOKUP(N439,OFFSET(abbreviation[],0,ColumnLanguage),ColumnAbbreviation,FALSE),"")</f>
        <v/>
      </c>
      <c r="BP439" s="21" t="str">
        <f ca="1">IFERROR(VLOOKUP(P439,OFFSET(abbreviation[],0,ColumnLanguage),ColumnAbbreviation,FALSE),"")</f>
        <v/>
      </c>
      <c r="BQ439" s="21" t="str">
        <f ca="1">IFERROR(VLOOKUP(T439,OFFSET(abbreviation[],0,ColumnLanguage),ColumnAbbreviation,FALSE),"")</f>
        <v/>
      </c>
      <c r="BR439" s="21" t="str">
        <f ca="1">IFERROR(VLOOKUP(V439,OFFSET(abbreviation[],0,ColumnLanguage),ColumnAbbreviation,FALSE),"")</f>
        <v/>
      </c>
      <c r="BS439" s="21" t="str">
        <f ca="1">IFERROR(VLOOKUP(Z439,OFFSET(abbreviation[],0,ColumnLanguage),ColumnAbbreviation,FALSE),"")</f>
        <v/>
      </c>
      <c r="BT439" s="21" t="str">
        <f ca="1">IFERROR(VLOOKUP(AB439,OFFSET(abbreviation[],0,ColumnLanguage),ColumnAbbreviation,FALSE),"")</f>
        <v/>
      </c>
      <c r="BU439" s="21" t="str">
        <f t="shared" ca="1" si="43"/>
        <v>__</v>
      </c>
      <c r="BV439" s="21" t="str">
        <f ca="1">IFERROR(VLOOKUP(AF439,OFFSET(abbreviation[],0,ColumnLanguage),ColumnAbbreviation,FALSE),"")</f>
        <v/>
      </c>
      <c r="BW439" s="21" t="str">
        <f ca="1">IFERROR(VLOOKUP(AH439,OFFSET(abbreviation[],0,ColumnLanguage),ColumnAbbreviation,FALSE),"")</f>
        <v/>
      </c>
      <c r="BX439" s="21" t="str">
        <f ca="1">IFERROR(VLOOKUP(AJ439,OFFSET(abbreviation[],0,ColumnLanguage),ColumnAbbreviation,FALSE),"")</f>
        <v/>
      </c>
      <c r="BY439" s="21" t="str">
        <f ca="1">IFERROR(VLOOKUP(AL439,OFFSET(abbreviation[],0,ColumnLanguage),ColumnAbbreviation,FALSE),"")</f>
        <v/>
      </c>
      <c r="BZ439" s="21" t="str">
        <f t="shared" ca="1" si="44"/>
        <v>_</v>
      </c>
      <c r="CA439" s="21" t="str">
        <f ca="1">IFERROR(VLOOKUP(AP439,OFFSET(abbreviation[],0,ColumnLanguage),ColumnAbbreviation,FALSE),"")</f>
        <v/>
      </c>
      <c r="CB439" s="21" t="str">
        <f ca="1">IFERROR(VLOOKUP(AR439,OFFSET(abbreviation[],0,ColumnLanguage),ColumnAbbreviation,FALSE),"")</f>
        <v/>
      </c>
      <c r="CC439" s="21" t="str">
        <f ca="1">IFERROR(VLOOKUP(AT439,OFFSET(abbreviation[],0,ColumnLanguage),ColumnAbbreviation,FALSE),"")</f>
        <v/>
      </c>
      <c r="CD439" s="21" t="str">
        <f ca="1">IFERROR(VLOOKUP(AV439,OFFSET(abbreviation[],0,ColumnLanguage),ColumnAbbreviation,FALSE),"")</f>
        <v/>
      </c>
      <c r="CE439" s="21" t="str">
        <f t="shared" ca="1" si="45"/>
        <v>__</v>
      </c>
      <c r="CF439" s="21" t="str">
        <f ca="1">IFERROR(VLOOKUP(AX439,OFFSET(abbreviation[],0,ColumnLanguage),ColumnAbbreviation,FALSE),"")</f>
        <v/>
      </c>
      <c r="CG439" s="21" t="str">
        <f ca="1">IFERROR(VLOOKUP(AZ439,OFFSET(abbreviation[],0,ColumnLanguage),ColumnAbbreviation,FALSE),"")</f>
        <v/>
      </c>
      <c r="CH439" s="21" t="str">
        <f ca="1">IFERROR(VLOOKUP(BB439,OFFSET(abbreviation[],0,ColumnLanguage),ColumnAbbreviation,FALSE),"")</f>
        <v/>
      </c>
      <c r="CI439" s="21" t="str">
        <f ca="1">IFERROR(VLOOKUP(BD439,OFFSET(abbreviation[],0,ColumnLanguage),ColumnAbbreviation,FALSE),"")</f>
        <v/>
      </c>
      <c r="CJ439" s="21" t="str">
        <f ca="1">IFERROR(VLOOKUP(BF439,OFFSET(abbreviation[],0,ColumnLanguage),ColumnAbbreviation,FALSE),"")</f>
        <v/>
      </c>
      <c r="CK439" s="21" t="str">
        <f t="shared" ca="1" si="46"/>
        <v/>
      </c>
      <c r="CL439" s="21" t="str">
        <f t="shared" si="47"/>
        <v/>
      </c>
      <c r="CM439" s="52"/>
      <c r="CN439" s="57" t="str">
        <f t="shared" si="48"/>
        <v/>
      </c>
    </row>
    <row r="440" spans="14:92" x14ac:dyDescent="0.25">
      <c r="N440" s="58"/>
      <c r="P440" s="60"/>
      <c r="Q440" s="13"/>
      <c r="V440" s="60"/>
      <c r="X440" s="61"/>
      <c r="AB440" s="60"/>
      <c r="AN440" s="54"/>
      <c r="AS440" s="15"/>
      <c r="BH440" s="52"/>
      <c r="BI440" s="21" t="str">
        <f ca="1">IFERROR(VLOOKUP(C440,OFFSET(abbreviation[],0,ColumnLanguage),ColumnAbbreviation,FALSE),"")</f>
        <v/>
      </c>
      <c r="BJ440" s="21" t="str">
        <f ca="1">IFERROR(VLOOKUP(E440,OFFSET(abbreviation[],0,ColumnLanguage),ColumnAbbreviation,FALSE),"")</f>
        <v/>
      </c>
      <c r="BK440" s="21" t="str">
        <f ca="1">IFERROR(VLOOKUP(G440,OFFSET(abbreviation[],0,ColumnLanguage),ColumnAbbreviation,FALSE),"")</f>
        <v/>
      </c>
      <c r="BL440" s="21" t="str">
        <f ca="1">IFERROR(VLOOKUP(I440,OFFSET(abbreviation[],0,ColumnLanguage),ColumnAbbreviation,FALSE),"")</f>
        <v/>
      </c>
      <c r="BM440" s="21" t="str">
        <f ca="1">IFERROR(VLOOKUP(K440,OFFSET(abbreviation[],0,ColumnLanguage),ColumnAbbreviation,FALSE),"")</f>
        <v/>
      </c>
      <c r="BN440" s="21" t="str">
        <f t="shared" ca="1" si="42"/>
        <v/>
      </c>
      <c r="BO440" s="21" t="str">
        <f ca="1">IFERROR(VLOOKUP(N440,OFFSET(abbreviation[],0,ColumnLanguage),ColumnAbbreviation,FALSE),"")</f>
        <v/>
      </c>
      <c r="BP440" s="21" t="str">
        <f ca="1">IFERROR(VLOOKUP(P440,OFFSET(abbreviation[],0,ColumnLanguage),ColumnAbbreviation,FALSE),"")</f>
        <v/>
      </c>
      <c r="BQ440" s="21" t="str">
        <f ca="1">IFERROR(VLOOKUP(T440,OFFSET(abbreviation[],0,ColumnLanguage),ColumnAbbreviation,FALSE),"")</f>
        <v/>
      </c>
      <c r="BR440" s="21" t="str">
        <f ca="1">IFERROR(VLOOKUP(V440,OFFSET(abbreviation[],0,ColumnLanguage),ColumnAbbreviation,FALSE),"")</f>
        <v/>
      </c>
      <c r="BS440" s="21" t="str">
        <f ca="1">IFERROR(VLOOKUP(Z440,OFFSET(abbreviation[],0,ColumnLanguage),ColumnAbbreviation,FALSE),"")</f>
        <v/>
      </c>
      <c r="BT440" s="21" t="str">
        <f ca="1">IFERROR(VLOOKUP(AB440,OFFSET(abbreviation[],0,ColumnLanguage),ColumnAbbreviation,FALSE),"")</f>
        <v/>
      </c>
      <c r="BU440" s="21" t="str">
        <f t="shared" ca="1" si="43"/>
        <v>__</v>
      </c>
      <c r="BV440" s="21" t="str">
        <f ca="1">IFERROR(VLOOKUP(AF440,OFFSET(abbreviation[],0,ColumnLanguage),ColumnAbbreviation,FALSE),"")</f>
        <v/>
      </c>
      <c r="BW440" s="21" t="str">
        <f ca="1">IFERROR(VLOOKUP(AH440,OFFSET(abbreviation[],0,ColumnLanguage),ColumnAbbreviation,FALSE),"")</f>
        <v/>
      </c>
      <c r="BX440" s="21" t="str">
        <f ca="1">IFERROR(VLOOKUP(AJ440,OFFSET(abbreviation[],0,ColumnLanguage),ColumnAbbreviation,FALSE),"")</f>
        <v/>
      </c>
      <c r="BY440" s="21" t="str">
        <f ca="1">IFERROR(VLOOKUP(AL440,OFFSET(abbreviation[],0,ColumnLanguage),ColumnAbbreviation,FALSE),"")</f>
        <v/>
      </c>
      <c r="BZ440" s="21" t="str">
        <f t="shared" ca="1" si="44"/>
        <v>_</v>
      </c>
      <c r="CA440" s="21" t="str">
        <f ca="1">IFERROR(VLOOKUP(AP440,OFFSET(abbreviation[],0,ColumnLanguage),ColumnAbbreviation,FALSE),"")</f>
        <v/>
      </c>
      <c r="CB440" s="21" t="str">
        <f ca="1">IFERROR(VLOOKUP(AR440,OFFSET(abbreviation[],0,ColumnLanguage),ColumnAbbreviation,FALSE),"")</f>
        <v/>
      </c>
      <c r="CC440" s="21" t="str">
        <f ca="1">IFERROR(VLOOKUP(AT440,OFFSET(abbreviation[],0,ColumnLanguage),ColumnAbbreviation,FALSE),"")</f>
        <v/>
      </c>
      <c r="CD440" s="21" t="str">
        <f ca="1">IFERROR(VLOOKUP(AV440,OFFSET(abbreviation[],0,ColumnLanguage),ColumnAbbreviation,FALSE),"")</f>
        <v/>
      </c>
      <c r="CE440" s="21" t="str">
        <f t="shared" ca="1" si="45"/>
        <v>__</v>
      </c>
      <c r="CF440" s="21" t="str">
        <f ca="1">IFERROR(VLOOKUP(AX440,OFFSET(abbreviation[],0,ColumnLanguage),ColumnAbbreviation,FALSE),"")</f>
        <v/>
      </c>
      <c r="CG440" s="21" t="str">
        <f ca="1">IFERROR(VLOOKUP(AZ440,OFFSET(abbreviation[],0,ColumnLanguage),ColumnAbbreviation,FALSE),"")</f>
        <v/>
      </c>
      <c r="CH440" s="21" t="str">
        <f ca="1">IFERROR(VLOOKUP(BB440,OFFSET(abbreviation[],0,ColumnLanguage),ColumnAbbreviation,FALSE),"")</f>
        <v/>
      </c>
      <c r="CI440" s="21" t="str">
        <f ca="1">IFERROR(VLOOKUP(BD440,OFFSET(abbreviation[],0,ColumnLanguage),ColumnAbbreviation,FALSE),"")</f>
        <v/>
      </c>
      <c r="CJ440" s="21" t="str">
        <f ca="1">IFERROR(VLOOKUP(BF440,OFFSET(abbreviation[],0,ColumnLanguage),ColumnAbbreviation,FALSE),"")</f>
        <v/>
      </c>
      <c r="CK440" s="21" t="str">
        <f t="shared" ca="1" si="46"/>
        <v/>
      </c>
      <c r="CL440" s="21" t="str">
        <f t="shared" si="47"/>
        <v/>
      </c>
      <c r="CM440" s="52"/>
      <c r="CN440" s="57" t="str">
        <f t="shared" si="48"/>
        <v/>
      </c>
    </row>
    <row r="441" spans="14:92" x14ac:dyDescent="0.25">
      <c r="N441" s="58"/>
      <c r="P441" s="60"/>
      <c r="Q441" s="13"/>
      <c r="V441" s="60"/>
      <c r="X441" s="61"/>
      <c r="AB441" s="60"/>
      <c r="AN441" s="54"/>
      <c r="AS441" s="15"/>
      <c r="BH441" s="52"/>
      <c r="BI441" s="21" t="str">
        <f ca="1">IFERROR(VLOOKUP(C441,OFFSET(abbreviation[],0,ColumnLanguage),ColumnAbbreviation,FALSE),"")</f>
        <v/>
      </c>
      <c r="BJ441" s="21" t="str">
        <f ca="1">IFERROR(VLOOKUP(E441,OFFSET(abbreviation[],0,ColumnLanguage),ColumnAbbreviation,FALSE),"")</f>
        <v/>
      </c>
      <c r="BK441" s="21" t="str">
        <f ca="1">IFERROR(VLOOKUP(G441,OFFSET(abbreviation[],0,ColumnLanguage),ColumnAbbreviation,FALSE),"")</f>
        <v/>
      </c>
      <c r="BL441" s="21" t="str">
        <f ca="1">IFERROR(VLOOKUP(I441,OFFSET(abbreviation[],0,ColumnLanguage),ColumnAbbreviation,FALSE),"")</f>
        <v/>
      </c>
      <c r="BM441" s="21" t="str">
        <f ca="1">IFERROR(VLOOKUP(K441,OFFSET(abbreviation[],0,ColumnLanguage),ColumnAbbreviation,FALSE),"")</f>
        <v/>
      </c>
      <c r="BN441" s="21" t="str">
        <f t="shared" ca="1" si="42"/>
        <v/>
      </c>
      <c r="BO441" s="21" t="str">
        <f ca="1">IFERROR(VLOOKUP(N441,OFFSET(abbreviation[],0,ColumnLanguage),ColumnAbbreviation,FALSE),"")</f>
        <v/>
      </c>
      <c r="BP441" s="21" t="str">
        <f ca="1">IFERROR(VLOOKUP(P441,OFFSET(abbreviation[],0,ColumnLanguage),ColumnAbbreviation,FALSE),"")</f>
        <v/>
      </c>
      <c r="BQ441" s="21" t="str">
        <f ca="1">IFERROR(VLOOKUP(T441,OFFSET(abbreviation[],0,ColumnLanguage),ColumnAbbreviation,FALSE),"")</f>
        <v/>
      </c>
      <c r="BR441" s="21" t="str">
        <f ca="1">IFERROR(VLOOKUP(V441,OFFSET(abbreviation[],0,ColumnLanguage),ColumnAbbreviation,FALSE),"")</f>
        <v/>
      </c>
      <c r="BS441" s="21" t="str">
        <f ca="1">IFERROR(VLOOKUP(Z441,OFFSET(abbreviation[],0,ColumnLanguage),ColumnAbbreviation,FALSE),"")</f>
        <v/>
      </c>
      <c r="BT441" s="21" t="str">
        <f ca="1">IFERROR(VLOOKUP(AB441,OFFSET(abbreviation[],0,ColumnLanguage),ColumnAbbreviation,FALSE),"")</f>
        <v/>
      </c>
      <c r="BU441" s="21" t="str">
        <f t="shared" ca="1" si="43"/>
        <v>__</v>
      </c>
      <c r="BV441" s="21" t="str">
        <f ca="1">IFERROR(VLOOKUP(AF441,OFFSET(abbreviation[],0,ColumnLanguage),ColumnAbbreviation,FALSE),"")</f>
        <v/>
      </c>
      <c r="BW441" s="21" t="str">
        <f ca="1">IFERROR(VLOOKUP(AH441,OFFSET(abbreviation[],0,ColumnLanguage),ColumnAbbreviation,FALSE),"")</f>
        <v/>
      </c>
      <c r="BX441" s="21" t="str">
        <f ca="1">IFERROR(VLOOKUP(AJ441,OFFSET(abbreviation[],0,ColumnLanguage),ColumnAbbreviation,FALSE),"")</f>
        <v/>
      </c>
      <c r="BY441" s="21" t="str">
        <f ca="1">IFERROR(VLOOKUP(AL441,OFFSET(abbreviation[],0,ColumnLanguage),ColumnAbbreviation,FALSE),"")</f>
        <v/>
      </c>
      <c r="BZ441" s="21" t="str">
        <f t="shared" ca="1" si="44"/>
        <v>_</v>
      </c>
      <c r="CA441" s="21" t="str">
        <f ca="1">IFERROR(VLOOKUP(AP441,OFFSET(abbreviation[],0,ColumnLanguage),ColumnAbbreviation,FALSE),"")</f>
        <v/>
      </c>
      <c r="CB441" s="21" t="str">
        <f ca="1">IFERROR(VLOOKUP(AR441,OFFSET(abbreviation[],0,ColumnLanguage),ColumnAbbreviation,FALSE),"")</f>
        <v/>
      </c>
      <c r="CC441" s="21" t="str">
        <f ca="1">IFERROR(VLOOKUP(AT441,OFFSET(abbreviation[],0,ColumnLanguage),ColumnAbbreviation,FALSE),"")</f>
        <v/>
      </c>
      <c r="CD441" s="21" t="str">
        <f ca="1">IFERROR(VLOOKUP(AV441,OFFSET(abbreviation[],0,ColumnLanguage),ColumnAbbreviation,FALSE),"")</f>
        <v/>
      </c>
      <c r="CE441" s="21" t="str">
        <f t="shared" ca="1" si="45"/>
        <v>__</v>
      </c>
      <c r="CF441" s="21" t="str">
        <f ca="1">IFERROR(VLOOKUP(AX441,OFFSET(abbreviation[],0,ColumnLanguage),ColumnAbbreviation,FALSE),"")</f>
        <v/>
      </c>
      <c r="CG441" s="21" t="str">
        <f ca="1">IFERROR(VLOOKUP(AZ441,OFFSET(abbreviation[],0,ColumnLanguage),ColumnAbbreviation,FALSE),"")</f>
        <v/>
      </c>
      <c r="CH441" s="21" t="str">
        <f ca="1">IFERROR(VLOOKUP(BB441,OFFSET(abbreviation[],0,ColumnLanguage),ColumnAbbreviation,FALSE),"")</f>
        <v/>
      </c>
      <c r="CI441" s="21" t="str">
        <f ca="1">IFERROR(VLOOKUP(BD441,OFFSET(abbreviation[],0,ColumnLanguage),ColumnAbbreviation,FALSE),"")</f>
        <v/>
      </c>
      <c r="CJ441" s="21" t="str">
        <f ca="1">IFERROR(VLOOKUP(BF441,OFFSET(abbreviation[],0,ColumnLanguage),ColumnAbbreviation,FALSE),"")</f>
        <v/>
      </c>
      <c r="CK441" s="21" t="str">
        <f t="shared" ca="1" si="46"/>
        <v/>
      </c>
      <c r="CL441" s="21" t="str">
        <f t="shared" si="47"/>
        <v/>
      </c>
      <c r="CM441" s="52"/>
      <c r="CN441" s="57" t="str">
        <f t="shared" si="48"/>
        <v/>
      </c>
    </row>
    <row r="442" spans="14:92" x14ac:dyDescent="0.25">
      <c r="N442" s="58"/>
      <c r="P442" s="60"/>
      <c r="Q442" s="13"/>
      <c r="V442" s="60"/>
      <c r="X442" s="61"/>
      <c r="AB442" s="60"/>
      <c r="AN442" s="54"/>
      <c r="AS442" s="15"/>
      <c r="BH442" s="52"/>
      <c r="BI442" s="21" t="str">
        <f ca="1">IFERROR(VLOOKUP(C442,OFFSET(abbreviation[],0,ColumnLanguage),ColumnAbbreviation,FALSE),"")</f>
        <v/>
      </c>
      <c r="BJ442" s="21" t="str">
        <f ca="1">IFERROR(VLOOKUP(E442,OFFSET(abbreviation[],0,ColumnLanguage),ColumnAbbreviation,FALSE),"")</f>
        <v/>
      </c>
      <c r="BK442" s="21" t="str">
        <f ca="1">IFERROR(VLOOKUP(G442,OFFSET(abbreviation[],0,ColumnLanguage),ColumnAbbreviation,FALSE),"")</f>
        <v/>
      </c>
      <c r="BL442" s="21" t="str">
        <f ca="1">IFERROR(VLOOKUP(I442,OFFSET(abbreviation[],0,ColumnLanguage),ColumnAbbreviation,FALSE),"")</f>
        <v/>
      </c>
      <c r="BM442" s="21" t="str">
        <f ca="1">IFERROR(VLOOKUP(K442,OFFSET(abbreviation[],0,ColumnLanguage),ColumnAbbreviation,FALSE),"")</f>
        <v/>
      </c>
      <c r="BN442" s="21" t="str">
        <f t="shared" ca="1" si="42"/>
        <v/>
      </c>
      <c r="BO442" s="21" t="str">
        <f ca="1">IFERROR(VLOOKUP(N442,OFFSET(abbreviation[],0,ColumnLanguage),ColumnAbbreviation,FALSE),"")</f>
        <v/>
      </c>
      <c r="BP442" s="21" t="str">
        <f ca="1">IFERROR(VLOOKUP(P442,OFFSET(abbreviation[],0,ColumnLanguage),ColumnAbbreviation,FALSE),"")</f>
        <v/>
      </c>
      <c r="BQ442" s="21" t="str">
        <f ca="1">IFERROR(VLOOKUP(T442,OFFSET(abbreviation[],0,ColumnLanguage),ColumnAbbreviation,FALSE),"")</f>
        <v/>
      </c>
      <c r="BR442" s="21" t="str">
        <f ca="1">IFERROR(VLOOKUP(V442,OFFSET(abbreviation[],0,ColumnLanguage),ColumnAbbreviation,FALSE),"")</f>
        <v/>
      </c>
      <c r="BS442" s="21" t="str">
        <f ca="1">IFERROR(VLOOKUP(Z442,OFFSET(abbreviation[],0,ColumnLanguage),ColumnAbbreviation,FALSE),"")</f>
        <v/>
      </c>
      <c r="BT442" s="21" t="str">
        <f ca="1">IFERROR(VLOOKUP(AB442,OFFSET(abbreviation[],0,ColumnLanguage),ColumnAbbreviation,FALSE),"")</f>
        <v/>
      </c>
      <c r="BU442" s="21" t="str">
        <f t="shared" ca="1" si="43"/>
        <v>__</v>
      </c>
      <c r="BV442" s="21" t="str">
        <f ca="1">IFERROR(VLOOKUP(AF442,OFFSET(abbreviation[],0,ColumnLanguage),ColumnAbbreviation,FALSE),"")</f>
        <v/>
      </c>
      <c r="BW442" s="21" t="str">
        <f ca="1">IFERROR(VLOOKUP(AH442,OFFSET(abbreviation[],0,ColumnLanguage),ColumnAbbreviation,FALSE),"")</f>
        <v/>
      </c>
      <c r="BX442" s="21" t="str">
        <f ca="1">IFERROR(VLOOKUP(AJ442,OFFSET(abbreviation[],0,ColumnLanguage),ColumnAbbreviation,FALSE),"")</f>
        <v/>
      </c>
      <c r="BY442" s="21" t="str">
        <f ca="1">IFERROR(VLOOKUP(AL442,OFFSET(abbreviation[],0,ColumnLanguage),ColumnAbbreviation,FALSE),"")</f>
        <v/>
      </c>
      <c r="BZ442" s="21" t="str">
        <f t="shared" ca="1" si="44"/>
        <v>_</v>
      </c>
      <c r="CA442" s="21" t="str">
        <f ca="1">IFERROR(VLOOKUP(AP442,OFFSET(abbreviation[],0,ColumnLanguage),ColumnAbbreviation,FALSE),"")</f>
        <v/>
      </c>
      <c r="CB442" s="21" t="str">
        <f ca="1">IFERROR(VLOOKUP(AR442,OFFSET(abbreviation[],0,ColumnLanguage),ColumnAbbreviation,FALSE),"")</f>
        <v/>
      </c>
      <c r="CC442" s="21" t="str">
        <f ca="1">IFERROR(VLOOKUP(AT442,OFFSET(abbreviation[],0,ColumnLanguage),ColumnAbbreviation,FALSE),"")</f>
        <v/>
      </c>
      <c r="CD442" s="21" t="str">
        <f ca="1">IFERROR(VLOOKUP(AV442,OFFSET(abbreviation[],0,ColumnLanguage),ColumnAbbreviation,FALSE),"")</f>
        <v/>
      </c>
      <c r="CE442" s="21" t="str">
        <f t="shared" ca="1" si="45"/>
        <v>__</v>
      </c>
      <c r="CF442" s="21" t="str">
        <f ca="1">IFERROR(VLOOKUP(AX442,OFFSET(abbreviation[],0,ColumnLanguage),ColumnAbbreviation,FALSE),"")</f>
        <v/>
      </c>
      <c r="CG442" s="21" t="str">
        <f ca="1">IFERROR(VLOOKUP(AZ442,OFFSET(abbreviation[],0,ColumnLanguage),ColumnAbbreviation,FALSE),"")</f>
        <v/>
      </c>
      <c r="CH442" s="21" t="str">
        <f ca="1">IFERROR(VLOOKUP(BB442,OFFSET(abbreviation[],0,ColumnLanguage),ColumnAbbreviation,FALSE),"")</f>
        <v/>
      </c>
      <c r="CI442" s="21" t="str">
        <f ca="1">IFERROR(VLOOKUP(BD442,OFFSET(abbreviation[],0,ColumnLanguage),ColumnAbbreviation,FALSE),"")</f>
        <v/>
      </c>
      <c r="CJ442" s="21" t="str">
        <f ca="1">IFERROR(VLOOKUP(BF442,OFFSET(abbreviation[],0,ColumnLanguage),ColumnAbbreviation,FALSE),"")</f>
        <v/>
      </c>
      <c r="CK442" s="21" t="str">
        <f t="shared" ca="1" si="46"/>
        <v/>
      </c>
      <c r="CL442" s="21" t="str">
        <f t="shared" si="47"/>
        <v/>
      </c>
      <c r="CM442" s="52"/>
      <c r="CN442" s="57" t="str">
        <f t="shared" si="48"/>
        <v/>
      </c>
    </row>
    <row r="443" spans="14:92" x14ac:dyDescent="0.25">
      <c r="N443" s="58"/>
      <c r="P443" s="60"/>
      <c r="Q443" s="13"/>
      <c r="V443" s="60"/>
      <c r="X443" s="61"/>
      <c r="AB443" s="60"/>
      <c r="AN443" s="54"/>
      <c r="AS443" s="15"/>
      <c r="BH443" s="52"/>
      <c r="BI443" s="21" t="str">
        <f ca="1">IFERROR(VLOOKUP(C443,OFFSET(abbreviation[],0,ColumnLanguage),ColumnAbbreviation,FALSE),"")</f>
        <v/>
      </c>
      <c r="BJ443" s="21" t="str">
        <f ca="1">IFERROR(VLOOKUP(E443,OFFSET(abbreviation[],0,ColumnLanguage),ColumnAbbreviation,FALSE),"")</f>
        <v/>
      </c>
      <c r="BK443" s="21" t="str">
        <f ca="1">IFERROR(VLOOKUP(G443,OFFSET(abbreviation[],0,ColumnLanguage),ColumnAbbreviation,FALSE),"")</f>
        <v/>
      </c>
      <c r="BL443" s="21" t="str">
        <f ca="1">IFERROR(VLOOKUP(I443,OFFSET(abbreviation[],0,ColumnLanguage),ColumnAbbreviation,FALSE),"")</f>
        <v/>
      </c>
      <c r="BM443" s="21" t="str">
        <f ca="1">IFERROR(VLOOKUP(K443,OFFSET(abbreviation[],0,ColumnLanguage),ColumnAbbreviation,FALSE),"")</f>
        <v/>
      </c>
      <c r="BN443" s="21" t="str">
        <f t="shared" ca="1" si="42"/>
        <v/>
      </c>
      <c r="BO443" s="21" t="str">
        <f ca="1">IFERROR(VLOOKUP(N443,OFFSET(abbreviation[],0,ColumnLanguage),ColumnAbbreviation,FALSE),"")</f>
        <v/>
      </c>
      <c r="BP443" s="21" t="str">
        <f ca="1">IFERROR(VLOOKUP(P443,OFFSET(abbreviation[],0,ColumnLanguage),ColumnAbbreviation,FALSE),"")</f>
        <v/>
      </c>
      <c r="BQ443" s="21" t="str">
        <f ca="1">IFERROR(VLOOKUP(T443,OFFSET(abbreviation[],0,ColumnLanguage),ColumnAbbreviation,FALSE),"")</f>
        <v/>
      </c>
      <c r="BR443" s="21" t="str">
        <f ca="1">IFERROR(VLOOKUP(V443,OFFSET(abbreviation[],0,ColumnLanguage),ColumnAbbreviation,FALSE),"")</f>
        <v/>
      </c>
      <c r="BS443" s="21" t="str">
        <f ca="1">IFERROR(VLOOKUP(Z443,OFFSET(abbreviation[],0,ColumnLanguage),ColumnAbbreviation,FALSE),"")</f>
        <v/>
      </c>
      <c r="BT443" s="21" t="str">
        <f ca="1">IFERROR(VLOOKUP(AB443,OFFSET(abbreviation[],0,ColumnLanguage),ColumnAbbreviation,FALSE),"")</f>
        <v/>
      </c>
      <c r="BU443" s="21" t="str">
        <f t="shared" ca="1" si="43"/>
        <v>__</v>
      </c>
      <c r="BV443" s="21" t="str">
        <f ca="1">IFERROR(VLOOKUP(AF443,OFFSET(abbreviation[],0,ColumnLanguage),ColumnAbbreviation,FALSE),"")</f>
        <v/>
      </c>
      <c r="BW443" s="21" t="str">
        <f ca="1">IFERROR(VLOOKUP(AH443,OFFSET(abbreviation[],0,ColumnLanguage),ColumnAbbreviation,FALSE),"")</f>
        <v/>
      </c>
      <c r="BX443" s="21" t="str">
        <f ca="1">IFERROR(VLOOKUP(AJ443,OFFSET(abbreviation[],0,ColumnLanguage),ColumnAbbreviation,FALSE),"")</f>
        <v/>
      </c>
      <c r="BY443" s="21" t="str">
        <f ca="1">IFERROR(VLOOKUP(AL443,OFFSET(abbreviation[],0,ColumnLanguage),ColumnAbbreviation,FALSE),"")</f>
        <v/>
      </c>
      <c r="BZ443" s="21" t="str">
        <f t="shared" ca="1" si="44"/>
        <v>_</v>
      </c>
      <c r="CA443" s="21" t="str">
        <f ca="1">IFERROR(VLOOKUP(AP443,OFFSET(abbreviation[],0,ColumnLanguage),ColumnAbbreviation,FALSE),"")</f>
        <v/>
      </c>
      <c r="CB443" s="21" t="str">
        <f ca="1">IFERROR(VLOOKUP(AR443,OFFSET(abbreviation[],0,ColumnLanguage),ColumnAbbreviation,FALSE),"")</f>
        <v/>
      </c>
      <c r="CC443" s="21" t="str">
        <f ca="1">IFERROR(VLOOKUP(AT443,OFFSET(abbreviation[],0,ColumnLanguage),ColumnAbbreviation,FALSE),"")</f>
        <v/>
      </c>
      <c r="CD443" s="21" t="str">
        <f ca="1">IFERROR(VLOOKUP(AV443,OFFSET(abbreviation[],0,ColumnLanguage),ColumnAbbreviation,FALSE),"")</f>
        <v/>
      </c>
      <c r="CE443" s="21" t="str">
        <f t="shared" ca="1" si="45"/>
        <v>__</v>
      </c>
      <c r="CF443" s="21" t="str">
        <f ca="1">IFERROR(VLOOKUP(AX443,OFFSET(abbreviation[],0,ColumnLanguage),ColumnAbbreviation,FALSE),"")</f>
        <v/>
      </c>
      <c r="CG443" s="21" t="str">
        <f ca="1">IFERROR(VLOOKUP(AZ443,OFFSET(abbreviation[],0,ColumnLanguage),ColumnAbbreviation,FALSE),"")</f>
        <v/>
      </c>
      <c r="CH443" s="21" t="str">
        <f ca="1">IFERROR(VLOOKUP(BB443,OFFSET(abbreviation[],0,ColumnLanguage),ColumnAbbreviation,FALSE),"")</f>
        <v/>
      </c>
      <c r="CI443" s="21" t="str">
        <f ca="1">IFERROR(VLOOKUP(BD443,OFFSET(abbreviation[],0,ColumnLanguage),ColumnAbbreviation,FALSE),"")</f>
        <v/>
      </c>
      <c r="CJ443" s="21" t="str">
        <f ca="1">IFERROR(VLOOKUP(BF443,OFFSET(abbreviation[],0,ColumnLanguage),ColumnAbbreviation,FALSE),"")</f>
        <v/>
      </c>
      <c r="CK443" s="21" t="str">
        <f t="shared" ca="1" si="46"/>
        <v/>
      </c>
      <c r="CL443" s="21" t="str">
        <f t="shared" si="47"/>
        <v/>
      </c>
      <c r="CM443" s="52"/>
      <c r="CN443" s="57" t="str">
        <f t="shared" si="48"/>
        <v/>
      </c>
    </row>
    <row r="444" spans="14:92" x14ac:dyDescent="0.25">
      <c r="N444" s="58"/>
      <c r="P444" s="60"/>
      <c r="Q444" s="13"/>
      <c r="V444" s="60"/>
      <c r="X444" s="61"/>
      <c r="AB444" s="60"/>
      <c r="AN444" s="54"/>
      <c r="AS444" s="15"/>
      <c r="BH444" s="52"/>
      <c r="BI444" s="21" t="str">
        <f ca="1">IFERROR(VLOOKUP(C444,OFFSET(abbreviation[],0,ColumnLanguage),ColumnAbbreviation,FALSE),"")</f>
        <v/>
      </c>
      <c r="BJ444" s="21" t="str">
        <f ca="1">IFERROR(VLOOKUP(E444,OFFSET(abbreviation[],0,ColumnLanguage),ColumnAbbreviation,FALSE),"")</f>
        <v/>
      </c>
      <c r="BK444" s="21" t="str">
        <f ca="1">IFERROR(VLOOKUP(G444,OFFSET(abbreviation[],0,ColumnLanguage),ColumnAbbreviation,FALSE),"")</f>
        <v/>
      </c>
      <c r="BL444" s="21" t="str">
        <f ca="1">IFERROR(VLOOKUP(I444,OFFSET(abbreviation[],0,ColumnLanguage),ColumnAbbreviation,FALSE),"")</f>
        <v/>
      </c>
      <c r="BM444" s="21" t="str">
        <f ca="1">IFERROR(VLOOKUP(K444,OFFSET(abbreviation[],0,ColumnLanguage),ColumnAbbreviation,FALSE),"")</f>
        <v/>
      </c>
      <c r="BN444" s="21" t="str">
        <f t="shared" ca="1" si="42"/>
        <v/>
      </c>
      <c r="BO444" s="21" t="str">
        <f ca="1">IFERROR(VLOOKUP(N444,OFFSET(abbreviation[],0,ColumnLanguage),ColumnAbbreviation,FALSE),"")</f>
        <v/>
      </c>
      <c r="BP444" s="21" t="str">
        <f ca="1">IFERROR(VLOOKUP(P444,OFFSET(abbreviation[],0,ColumnLanguage),ColumnAbbreviation,FALSE),"")</f>
        <v/>
      </c>
      <c r="BQ444" s="21" t="str">
        <f ca="1">IFERROR(VLOOKUP(T444,OFFSET(abbreviation[],0,ColumnLanguage),ColumnAbbreviation,FALSE),"")</f>
        <v/>
      </c>
      <c r="BR444" s="21" t="str">
        <f ca="1">IFERROR(VLOOKUP(V444,OFFSET(abbreviation[],0,ColumnLanguage),ColumnAbbreviation,FALSE),"")</f>
        <v/>
      </c>
      <c r="BS444" s="21" t="str">
        <f ca="1">IFERROR(VLOOKUP(Z444,OFFSET(abbreviation[],0,ColumnLanguage),ColumnAbbreviation,FALSE),"")</f>
        <v/>
      </c>
      <c r="BT444" s="21" t="str">
        <f ca="1">IFERROR(VLOOKUP(AB444,OFFSET(abbreviation[],0,ColumnLanguage),ColumnAbbreviation,FALSE),"")</f>
        <v/>
      </c>
      <c r="BU444" s="21" t="str">
        <f t="shared" ca="1" si="43"/>
        <v>__</v>
      </c>
      <c r="BV444" s="21" t="str">
        <f ca="1">IFERROR(VLOOKUP(AF444,OFFSET(abbreviation[],0,ColumnLanguage),ColumnAbbreviation,FALSE),"")</f>
        <v/>
      </c>
      <c r="BW444" s="21" t="str">
        <f ca="1">IFERROR(VLOOKUP(AH444,OFFSET(abbreviation[],0,ColumnLanguage),ColumnAbbreviation,FALSE),"")</f>
        <v/>
      </c>
      <c r="BX444" s="21" t="str">
        <f ca="1">IFERROR(VLOOKUP(AJ444,OFFSET(abbreviation[],0,ColumnLanguage),ColumnAbbreviation,FALSE),"")</f>
        <v/>
      </c>
      <c r="BY444" s="21" t="str">
        <f ca="1">IFERROR(VLOOKUP(AL444,OFFSET(abbreviation[],0,ColumnLanguage),ColumnAbbreviation,FALSE),"")</f>
        <v/>
      </c>
      <c r="BZ444" s="21" t="str">
        <f t="shared" ca="1" si="44"/>
        <v>_</v>
      </c>
      <c r="CA444" s="21" t="str">
        <f ca="1">IFERROR(VLOOKUP(AP444,OFFSET(abbreviation[],0,ColumnLanguage),ColumnAbbreviation,FALSE),"")</f>
        <v/>
      </c>
      <c r="CB444" s="21" t="str">
        <f ca="1">IFERROR(VLOOKUP(AR444,OFFSET(abbreviation[],0,ColumnLanguage),ColumnAbbreviation,FALSE),"")</f>
        <v/>
      </c>
      <c r="CC444" s="21" t="str">
        <f ca="1">IFERROR(VLOOKUP(AT444,OFFSET(abbreviation[],0,ColumnLanguage),ColumnAbbreviation,FALSE),"")</f>
        <v/>
      </c>
      <c r="CD444" s="21" t="str">
        <f ca="1">IFERROR(VLOOKUP(AV444,OFFSET(abbreviation[],0,ColumnLanguage),ColumnAbbreviation,FALSE),"")</f>
        <v/>
      </c>
      <c r="CE444" s="21" t="str">
        <f t="shared" ca="1" si="45"/>
        <v>__</v>
      </c>
      <c r="CF444" s="21" t="str">
        <f ca="1">IFERROR(VLOOKUP(AX444,OFFSET(abbreviation[],0,ColumnLanguage),ColumnAbbreviation,FALSE),"")</f>
        <v/>
      </c>
      <c r="CG444" s="21" t="str">
        <f ca="1">IFERROR(VLOOKUP(AZ444,OFFSET(abbreviation[],0,ColumnLanguage),ColumnAbbreviation,FALSE),"")</f>
        <v/>
      </c>
      <c r="CH444" s="21" t="str">
        <f ca="1">IFERROR(VLOOKUP(BB444,OFFSET(abbreviation[],0,ColumnLanguage),ColumnAbbreviation,FALSE),"")</f>
        <v/>
      </c>
      <c r="CI444" s="21" t="str">
        <f ca="1">IFERROR(VLOOKUP(BD444,OFFSET(abbreviation[],0,ColumnLanguage),ColumnAbbreviation,FALSE),"")</f>
        <v/>
      </c>
      <c r="CJ444" s="21" t="str">
        <f ca="1">IFERROR(VLOOKUP(BF444,OFFSET(abbreviation[],0,ColumnLanguage),ColumnAbbreviation,FALSE),"")</f>
        <v/>
      </c>
      <c r="CK444" s="21" t="str">
        <f t="shared" ca="1" si="46"/>
        <v/>
      </c>
      <c r="CL444" s="21" t="str">
        <f t="shared" si="47"/>
        <v/>
      </c>
      <c r="CM444" s="52"/>
      <c r="CN444" s="57" t="str">
        <f t="shared" si="48"/>
        <v/>
      </c>
    </row>
    <row r="445" spans="14:92" x14ac:dyDescent="0.25">
      <c r="N445" s="58"/>
      <c r="P445" s="60"/>
      <c r="Q445" s="13"/>
      <c r="V445" s="60"/>
      <c r="X445" s="61"/>
      <c r="AB445" s="60"/>
      <c r="AN445" s="54"/>
      <c r="AS445" s="15"/>
      <c r="BH445" s="52"/>
      <c r="BI445" s="21" t="str">
        <f ca="1">IFERROR(VLOOKUP(C445,OFFSET(abbreviation[],0,ColumnLanguage),ColumnAbbreviation,FALSE),"")</f>
        <v/>
      </c>
      <c r="BJ445" s="21" t="str">
        <f ca="1">IFERROR(VLOOKUP(E445,OFFSET(abbreviation[],0,ColumnLanguage),ColumnAbbreviation,FALSE),"")</f>
        <v/>
      </c>
      <c r="BK445" s="21" t="str">
        <f ca="1">IFERROR(VLOOKUP(G445,OFFSET(abbreviation[],0,ColumnLanguage),ColumnAbbreviation,FALSE),"")</f>
        <v/>
      </c>
      <c r="BL445" s="21" t="str">
        <f ca="1">IFERROR(VLOOKUP(I445,OFFSET(abbreviation[],0,ColumnLanguage),ColumnAbbreviation,FALSE),"")</f>
        <v/>
      </c>
      <c r="BM445" s="21" t="str">
        <f ca="1">IFERROR(VLOOKUP(K445,OFFSET(abbreviation[],0,ColumnLanguage),ColumnAbbreviation,FALSE),"")</f>
        <v/>
      </c>
      <c r="BN445" s="21" t="str">
        <f t="shared" ca="1" si="42"/>
        <v/>
      </c>
      <c r="BO445" s="21" t="str">
        <f ca="1">IFERROR(VLOOKUP(N445,OFFSET(abbreviation[],0,ColumnLanguage),ColumnAbbreviation,FALSE),"")</f>
        <v/>
      </c>
      <c r="BP445" s="21" t="str">
        <f ca="1">IFERROR(VLOOKUP(P445,OFFSET(abbreviation[],0,ColumnLanguage),ColumnAbbreviation,FALSE),"")</f>
        <v/>
      </c>
      <c r="BQ445" s="21" t="str">
        <f ca="1">IFERROR(VLOOKUP(T445,OFFSET(abbreviation[],0,ColumnLanguage),ColumnAbbreviation,FALSE),"")</f>
        <v/>
      </c>
      <c r="BR445" s="21" t="str">
        <f ca="1">IFERROR(VLOOKUP(V445,OFFSET(abbreviation[],0,ColumnLanguage),ColumnAbbreviation,FALSE),"")</f>
        <v/>
      </c>
      <c r="BS445" s="21" t="str">
        <f ca="1">IFERROR(VLOOKUP(Z445,OFFSET(abbreviation[],0,ColumnLanguage),ColumnAbbreviation,FALSE),"")</f>
        <v/>
      </c>
      <c r="BT445" s="21" t="str">
        <f ca="1">IFERROR(VLOOKUP(AB445,OFFSET(abbreviation[],0,ColumnLanguage),ColumnAbbreviation,FALSE),"")</f>
        <v/>
      </c>
      <c r="BU445" s="21" t="str">
        <f t="shared" ca="1" si="43"/>
        <v>__</v>
      </c>
      <c r="BV445" s="21" t="str">
        <f ca="1">IFERROR(VLOOKUP(AF445,OFFSET(abbreviation[],0,ColumnLanguage),ColumnAbbreviation,FALSE),"")</f>
        <v/>
      </c>
      <c r="BW445" s="21" t="str">
        <f ca="1">IFERROR(VLOOKUP(AH445,OFFSET(abbreviation[],0,ColumnLanguage),ColumnAbbreviation,FALSE),"")</f>
        <v/>
      </c>
      <c r="BX445" s="21" t="str">
        <f ca="1">IFERROR(VLOOKUP(AJ445,OFFSET(abbreviation[],0,ColumnLanguage),ColumnAbbreviation,FALSE),"")</f>
        <v/>
      </c>
      <c r="BY445" s="21" t="str">
        <f ca="1">IFERROR(VLOOKUP(AL445,OFFSET(abbreviation[],0,ColumnLanguage),ColumnAbbreviation,FALSE),"")</f>
        <v/>
      </c>
      <c r="BZ445" s="21" t="str">
        <f t="shared" ca="1" si="44"/>
        <v>_</v>
      </c>
      <c r="CA445" s="21" t="str">
        <f ca="1">IFERROR(VLOOKUP(AP445,OFFSET(abbreviation[],0,ColumnLanguage),ColumnAbbreviation,FALSE),"")</f>
        <v/>
      </c>
      <c r="CB445" s="21" t="str">
        <f ca="1">IFERROR(VLOOKUP(AR445,OFFSET(abbreviation[],0,ColumnLanguage),ColumnAbbreviation,FALSE),"")</f>
        <v/>
      </c>
      <c r="CC445" s="21" t="str">
        <f ca="1">IFERROR(VLOOKUP(AT445,OFFSET(abbreviation[],0,ColumnLanguage),ColumnAbbreviation,FALSE),"")</f>
        <v/>
      </c>
      <c r="CD445" s="21" t="str">
        <f ca="1">IFERROR(VLOOKUP(AV445,OFFSET(abbreviation[],0,ColumnLanguage),ColumnAbbreviation,FALSE),"")</f>
        <v/>
      </c>
      <c r="CE445" s="21" t="str">
        <f t="shared" ca="1" si="45"/>
        <v>__</v>
      </c>
      <c r="CF445" s="21" t="str">
        <f ca="1">IFERROR(VLOOKUP(AX445,OFFSET(abbreviation[],0,ColumnLanguage),ColumnAbbreviation,FALSE),"")</f>
        <v/>
      </c>
      <c r="CG445" s="21" t="str">
        <f ca="1">IFERROR(VLOOKUP(AZ445,OFFSET(abbreviation[],0,ColumnLanguage),ColumnAbbreviation,FALSE),"")</f>
        <v/>
      </c>
      <c r="CH445" s="21" t="str">
        <f ca="1">IFERROR(VLOOKUP(BB445,OFFSET(abbreviation[],0,ColumnLanguage),ColumnAbbreviation,FALSE),"")</f>
        <v/>
      </c>
      <c r="CI445" s="21" t="str">
        <f ca="1">IFERROR(VLOOKUP(BD445,OFFSET(abbreviation[],0,ColumnLanguage),ColumnAbbreviation,FALSE),"")</f>
        <v/>
      </c>
      <c r="CJ445" s="21" t="str">
        <f ca="1">IFERROR(VLOOKUP(BF445,OFFSET(abbreviation[],0,ColumnLanguage),ColumnAbbreviation,FALSE),"")</f>
        <v/>
      </c>
      <c r="CK445" s="21" t="str">
        <f t="shared" ca="1" si="46"/>
        <v/>
      </c>
      <c r="CL445" s="21" t="str">
        <f t="shared" si="47"/>
        <v/>
      </c>
      <c r="CM445" s="52"/>
      <c r="CN445" s="57" t="str">
        <f t="shared" si="48"/>
        <v/>
      </c>
    </row>
    <row r="446" spans="14:92" x14ac:dyDescent="0.25">
      <c r="N446" s="58"/>
      <c r="P446" s="60"/>
      <c r="Q446" s="13"/>
      <c r="V446" s="60"/>
      <c r="X446" s="61"/>
      <c r="AB446" s="60"/>
      <c r="AN446" s="54"/>
      <c r="AS446" s="15"/>
      <c r="BH446" s="52"/>
      <c r="BI446" s="21" t="str">
        <f ca="1">IFERROR(VLOOKUP(C446,OFFSET(abbreviation[],0,ColumnLanguage),ColumnAbbreviation,FALSE),"")</f>
        <v/>
      </c>
      <c r="BJ446" s="21" t="str">
        <f ca="1">IFERROR(VLOOKUP(E446,OFFSET(abbreviation[],0,ColumnLanguage),ColumnAbbreviation,FALSE),"")</f>
        <v/>
      </c>
      <c r="BK446" s="21" t="str">
        <f ca="1">IFERROR(VLOOKUP(G446,OFFSET(abbreviation[],0,ColumnLanguage),ColumnAbbreviation,FALSE),"")</f>
        <v/>
      </c>
      <c r="BL446" s="21" t="str">
        <f ca="1">IFERROR(VLOOKUP(I446,OFFSET(abbreviation[],0,ColumnLanguage),ColumnAbbreviation,FALSE),"")</f>
        <v/>
      </c>
      <c r="BM446" s="21" t="str">
        <f ca="1">IFERROR(VLOOKUP(K446,OFFSET(abbreviation[],0,ColumnLanguage),ColumnAbbreviation,FALSE),"")</f>
        <v/>
      </c>
      <c r="BN446" s="21" t="str">
        <f t="shared" ca="1" si="42"/>
        <v/>
      </c>
      <c r="BO446" s="21" t="str">
        <f ca="1">IFERROR(VLOOKUP(N446,OFFSET(abbreviation[],0,ColumnLanguage),ColumnAbbreviation,FALSE),"")</f>
        <v/>
      </c>
      <c r="BP446" s="21" t="str">
        <f ca="1">IFERROR(VLOOKUP(P446,OFFSET(abbreviation[],0,ColumnLanguage),ColumnAbbreviation,FALSE),"")</f>
        <v/>
      </c>
      <c r="BQ446" s="21" t="str">
        <f ca="1">IFERROR(VLOOKUP(T446,OFFSET(abbreviation[],0,ColumnLanguage),ColumnAbbreviation,FALSE),"")</f>
        <v/>
      </c>
      <c r="BR446" s="21" t="str">
        <f ca="1">IFERROR(VLOOKUP(V446,OFFSET(abbreviation[],0,ColumnLanguage),ColumnAbbreviation,FALSE),"")</f>
        <v/>
      </c>
      <c r="BS446" s="21" t="str">
        <f ca="1">IFERROR(VLOOKUP(Z446,OFFSET(abbreviation[],0,ColumnLanguage),ColumnAbbreviation,FALSE),"")</f>
        <v/>
      </c>
      <c r="BT446" s="21" t="str">
        <f ca="1">IFERROR(VLOOKUP(AB446,OFFSET(abbreviation[],0,ColumnLanguage),ColumnAbbreviation,FALSE),"")</f>
        <v/>
      </c>
      <c r="BU446" s="21" t="str">
        <f t="shared" ca="1" si="43"/>
        <v>__</v>
      </c>
      <c r="BV446" s="21" t="str">
        <f ca="1">IFERROR(VLOOKUP(AF446,OFFSET(abbreviation[],0,ColumnLanguage),ColumnAbbreviation,FALSE),"")</f>
        <v/>
      </c>
      <c r="BW446" s="21" t="str">
        <f ca="1">IFERROR(VLOOKUP(AH446,OFFSET(abbreviation[],0,ColumnLanguage),ColumnAbbreviation,FALSE),"")</f>
        <v/>
      </c>
      <c r="BX446" s="21" t="str">
        <f ca="1">IFERROR(VLOOKUP(AJ446,OFFSET(abbreviation[],0,ColumnLanguage),ColumnAbbreviation,FALSE),"")</f>
        <v/>
      </c>
      <c r="BY446" s="21" t="str">
        <f ca="1">IFERROR(VLOOKUP(AL446,OFFSET(abbreviation[],0,ColumnLanguage),ColumnAbbreviation,FALSE),"")</f>
        <v/>
      </c>
      <c r="BZ446" s="21" t="str">
        <f t="shared" ca="1" si="44"/>
        <v>_</v>
      </c>
      <c r="CA446" s="21" t="str">
        <f ca="1">IFERROR(VLOOKUP(AP446,OFFSET(abbreviation[],0,ColumnLanguage),ColumnAbbreviation,FALSE),"")</f>
        <v/>
      </c>
      <c r="CB446" s="21" t="str">
        <f ca="1">IFERROR(VLOOKUP(AR446,OFFSET(abbreviation[],0,ColumnLanguage),ColumnAbbreviation,FALSE),"")</f>
        <v/>
      </c>
      <c r="CC446" s="21" t="str">
        <f ca="1">IFERROR(VLOOKUP(AT446,OFFSET(abbreviation[],0,ColumnLanguage),ColumnAbbreviation,FALSE),"")</f>
        <v/>
      </c>
      <c r="CD446" s="21" t="str">
        <f ca="1">IFERROR(VLOOKUP(AV446,OFFSET(abbreviation[],0,ColumnLanguage),ColumnAbbreviation,FALSE),"")</f>
        <v/>
      </c>
      <c r="CE446" s="21" t="str">
        <f t="shared" ca="1" si="45"/>
        <v>__</v>
      </c>
      <c r="CF446" s="21" t="str">
        <f ca="1">IFERROR(VLOOKUP(AX446,OFFSET(abbreviation[],0,ColumnLanguage),ColumnAbbreviation,FALSE),"")</f>
        <v/>
      </c>
      <c r="CG446" s="21" t="str">
        <f ca="1">IFERROR(VLOOKUP(AZ446,OFFSET(abbreviation[],0,ColumnLanguage),ColumnAbbreviation,FALSE),"")</f>
        <v/>
      </c>
      <c r="CH446" s="21" t="str">
        <f ca="1">IFERROR(VLOOKUP(BB446,OFFSET(abbreviation[],0,ColumnLanguage),ColumnAbbreviation,FALSE),"")</f>
        <v/>
      </c>
      <c r="CI446" s="21" t="str">
        <f ca="1">IFERROR(VLOOKUP(BD446,OFFSET(abbreviation[],0,ColumnLanguage),ColumnAbbreviation,FALSE),"")</f>
        <v/>
      </c>
      <c r="CJ446" s="21" t="str">
        <f ca="1">IFERROR(VLOOKUP(BF446,OFFSET(abbreviation[],0,ColumnLanguage),ColumnAbbreviation,FALSE),"")</f>
        <v/>
      </c>
      <c r="CK446" s="21" t="str">
        <f t="shared" ca="1" si="46"/>
        <v/>
      </c>
      <c r="CL446" s="21" t="str">
        <f t="shared" si="47"/>
        <v/>
      </c>
      <c r="CM446" s="52"/>
      <c r="CN446" s="57" t="str">
        <f t="shared" si="48"/>
        <v/>
      </c>
    </row>
    <row r="447" spans="14:92" x14ac:dyDescent="0.25">
      <c r="N447" s="58"/>
      <c r="P447" s="60"/>
      <c r="Q447" s="13"/>
      <c r="V447" s="60"/>
      <c r="X447" s="61"/>
      <c r="AB447" s="60"/>
      <c r="AN447" s="54"/>
      <c r="AS447" s="15"/>
      <c r="BH447" s="52"/>
      <c r="BI447" s="21" t="str">
        <f ca="1">IFERROR(VLOOKUP(C447,OFFSET(abbreviation[],0,ColumnLanguage),ColumnAbbreviation,FALSE),"")</f>
        <v/>
      </c>
      <c r="BJ447" s="21" t="str">
        <f ca="1">IFERROR(VLOOKUP(E447,OFFSET(abbreviation[],0,ColumnLanguage),ColumnAbbreviation,FALSE),"")</f>
        <v/>
      </c>
      <c r="BK447" s="21" t="str">
        <f ca="1">IFERROR(VLOOKUP(G447,OFFSET(abbreviation[],0,ColumnLanguage),ColumnAbbreviation,FALSE),"")</f>
        <v/>
      </c>
      <c r="BL447" s="21" t="str">
        <f ca="1">IFERROR(VLOOKUP(I447,OFFSET(abbreviation[],0,ColumnLanguage),ColumnAbbreviation,FALSE),"")</f>
        <v/>
      </c>
      <c r="BM447" s="21" t="str">
        <f ca="1">IFERROR(VLOOKUP(K447,OFFSET(abbreviation[],0,ColumnLanguage),ColumnAbbreviation,FALSE),"")</f>
        <v/>
      </c>
      <c r="BN447" s="21" t="str">
        <f t="shared" ca="1" si="42"/>
        <v/>
      </c>
      <c r="BO447" s="21" t="str">
        <f ca="1">IFERROR(VLOOKUP(N447,OFFSET(abbreviation[],0,ColumnLanguage),ColumnAbbreviation,FALSE),"")</f>
        <v/>
      </c>
      <c r="BP447" s="21" t="str">
        <f ca="1">IFERROR(VLOOKUP(P447,OFFSET(abbreviation[],0,ColumnLanguage),ColumnAbbreviation,FALSE),"")</f>
        <v/>
      </c>
      <c r="BQ447" s="21" t="str">
        <f ca="1">IFERROR(VLOOKUP(T447,OFFSET(abbreviation[],0,ColumnLanguage),ColumnAbbreviation,FALSE),"")</f>
        <v/>
      </c>
      <c r="BR447" s="21" t="str">
        <f ca="1">IFERROR(VLOOKUP(V447,OFFSET(abbreviation[],0,ColumnLanguage),ColumnAbbreviation,FALSE),"")</f>
        <v/>
      </c>
      <c r="BS447" s="21" t="str">
        <f ca="1">IFERROR(VLOOKUP(Z447,OFFSET(abbreviation[],0,ColumnLanguage),ColumnAbbreviation,FALSE),"")</f>
        <v/>
      </c>
      <c r="BT447" s="21" t="str">
        <f ca="1">IFERROR(VLOOKUP(AB447,OFFSET(abbreviation[],0,ColumnLanguage),ColumnAbbreviation,FALSE),"")</f>
        <v/>
      </c>
      <c r="BU447" s="21" t="str">
        <f t="shared" ca="1" si="43"/>
        <v>__</v>
      </c>
      <c r="BV447" s="21" t="str">
        <f ca="1">IFERROR(VLOOKUP(AF447,OFFSET(abbreviation[],0,ColumnLanguage),ColumnAbbreviation,FALSE),"")</f>
        <v/>
      </c>
      <c r="BW447" s="21" t="str">
        <f ca="1">IFERROR(VLOOKUP(AH447,OFFSET(abbreviation[],0,ColumnLanguage),ColumnAbbreviation,FALSE),"")</f>
        <v/>
      </c>
      <c r="BX447" s="21" t="str">
        <f ca="1">IFERROR(VLOOKUP(AJ447,OFFSET(abbreviation[],0,ColumnLanguage),ColumnAbbreviation,FALSE),"")</f>
        <v/>
      </c>
      <c r="BY447" s="21" t="str">
        <f ca="1">IFERROR(VLOOKUP(AL447,OFFSET(abbreviation[],0,ColumnLanguage),ColumnAbbreviation,FALSE),"")</f>
        <v/>
      </c>
      <c r="BZ447" s="21" t="str">
        <f t="shared" ca="1" si="44"/>
        <v>_</v>
      </c>
      <c r="CA447" s="21" t="str">
        <f ca="1">IFERROR(VLOOKUP(AP447,OFFSET(abbreviation[],0,ColumnLanguage),ColumnAbbreviation,FALSE),"")</f>
        <v/>
      </c>
      <c r="CB447" s="21" t="str">
        <f ca="1">IFERROR(VLOOKUP(AR447,OFFSET(abbreviation[],0,ColumnLanguage),ColumnAbbreviation,FALSE),"")</f>
        <v/>
      </c>
      <c r="CC447" s="21" t="str">
        <f ca="1">IFERROR(VLOOKUP(AT447,OFFSET(abbreviation[],0,ColumnLanguage),ColumnAbbreviation,FALSE),"")</f>
        <v/>
      </c>
      <c r="CD447" s="21" t="str">
        <f ca="1">IFERROR(VLOOKUP(AV447,OFFSET(abbreviation[],0,ColumnLanguage),ColumnAbbreviation,FALSE),"")</f>
        <v/>
      </c>
      <c r="CE447" s="21" t="str">
        <f t="shared" ca="1" si="45"/>
        <v>__</v>
      </c>
      <c r="CF447" s="21" t="str">
        <f ca="1">IFERROR(VLOOKUP(AX447,OFFSET(abbreviation[],0,ColumnLanguage),ColumnAbbreviation,FALSE),"")</f>
        <v/>
      </c>
      <c r="CG447" s="21" t="str">
        <f ca="1">IFERROR(VLOOKUP(AZ447,OFFSET(abbreviation[],0,ColumnLanguage),ColumnAbbreviation,FALSE),"")</f>
        <v/>
      </c>
      <c r="CH447" s="21" t="str">
        <f ca="1">IFERROR(VLOOKUP(BB447,OFFSET(abbreviation[],0,ColumnLanguage),ColumnAbbreviation,FALSE),"")</f>
        <v/>
      </c>
      <c r="CI447" s="21" t="str">
        <f ca="1">IFERROR(VLOOKUP(BD447,OFFSET(abbreviation[],0,ColumnLanguage),ColumnAbbreviation,FALSE),"")</f>
        <v/>
      </c>
      <c r="CJ447" s="21" t="str">
        <f ca="1">IFERROR(VLOOKUP(BF447,OFFSET(abbreviation[],0,ColumnLanguage),ColumnAbbreviation,FALSE),"")</f>
        <v/>
      </c>
      <c r="CK447" s="21" t="str">
        <f t="shared" ca="1" si="46"/>
        <v/>
      </c>
      <c r="CL447" s="21" t="str">
        <f t="shared" si="47"/>
        <v/>
      </c>
      <c r="CM447" s="52"/>
      <c r="CN447" s="57" t="str">
        <f t="shared" si="48"/>
        <v/>
      </c>
    </row>
    <row r="448" spans="14:92" x14ac:dyDescent="0.25">
      <c r="N448" s="58"/>
      <c r="P448" s="60"/>
      <c r="Q448" s="13"/>
      <c r="V448" s="60"/>
      <c r="X448" s="61"/>
      <c r="AB448" s="60"/>
      <c r="AN448" s="54"/>
      <c r="AS448" s="15"/>
      <c r="BH448" s="52"/>
      <c r="BI448" s="21" t="str">
        <f ca="1">IFERROR(VLOOKUP(C448,OFFSET(abbreviation[],0,ColumnLanguage),ColumnAbbreviation,FALSE),"")</f>
        <v/>
      </c>
      <c r="BJ448" s="21" t="str">
        <f ca="1">IFERROR(VLOOKUP(E448,OFFSET(abbreviation[],0,ColumnLanguage),ColumnAbbreviation,FALSE),"")</f>
        <v/>
      </c>
      <c r="BK448" s="21" t="str">
        <f ca="1">IFERROR(VLOOKUP(G448,OFFSET(abbreviation[],0,ColumnLanguage),ColumnAbbreviation,FALSE),"")</f>
        <v/>
      </c>
      <c r="BL448" s="21" t="str">
        <f ca="1">IFERROR(VLOOKUP(I448,OFFSET(abbreviation[],0,ColumnLanguage),ColumnAbbreviation,FALSE),"")</f>
        <v/>
      </c>
      <c r="BM448" s="21" t="str">
        <f ca="1">IFERROR(VLOOKUP(K448,OFFSET(abbreviation[],0,ColumnLanguage),ColumnAbbreviation,FALSE),"")</f>
        <v/>
      </c>
      <c r="BN448" s="21" t="str">
        <f t="shared" ca="1" si="42"/>
        <v/>
      </c>
      <c r="BO448" s="21" t="str">
        <f ca="1">IFERROR(VLOOKUP(N448,OFFSET(abbreviation[],0,ColumnLanguage),ColumnAbbreviation,FALSE),"")</f>
        <v/>
      </c>
      <c r="BP448" s="21" t="str">
        <f ca="1">IFERROR(VLOOKUP(P448,OFFSET(abbreviation[],0,ColumnLanguage),ColumnAbbreviation,FALSE),"")</f>
        <v/>
      </c>
      <c r="BQ448" s="21" t="str">
        <f ca="1">IFERROR(VLOOKUP(T448,OFFSET(abbreviation[],0,ColumnLanguage),ColumnAbbreviation,FALSE),"")</f>
        <v/>
      </c>
      <c r="BR448" s="21" t="str">
        <f ca="1">IFERROR(VLOOKUP(V448,OFFSET(abbreviation[],0,ColumnLanguage),ColumnAbbreviation,FALSE),"")</f>
        <v/>
      </c>
      <c r="BS448" s="21" t="str">
        <f ca="1">IFERROR(VLOOKUP(Z448,OFFSET(abbreviation[],0,ColumnLanguage),ColumnAbbreviation,FALSE),"")</f>
        <v/>
      </c>
      <c r="BT448" s="21" t="str">
        <f ca="1">IFERROR(VLOOKUP(AB448,OFFSET(abbreviation[],0,ColumnLanguage),ColumnAbbreviation,FALSE),"")</f>
        <v/>
      </c>
      <c r="BU448" s="21" t="str">
        <f t="shared" ca="1" si="43"/>
        <v>__</v>
      </c>
      <c r="BV448" s="21" t="str">
        <f ca="1">IFERROR(VLOOKUP(AF448,OFFSET(abbreviation[],0,ColumnLanguage),ColumnAbbreviation,FALSE),"")</f>
        <v/>
      </c>
      <c r="BW448" s="21" t="str">
        <f ca="1">IFERROR(VLOOKUP(AH448,OFFSET(abbreviation[],0,ColumnLanguage),ColumnAbbreviation,FALSE),"")</f>
        <v/>
      </c>
      <c r="BX448" s="21" t="str">
        <f ca="1">IFERROR(VLOOKUP(AJ448,OFFSET(abbreviation[],0,ColumnLanguage),ColumnAbbreviation,FALSE),"")</f>
        <v/>
      </c>
      <c r="BY448" s="21" t="str">
        <f ca="1">IFERROR(VLOOKUP(AL448,OFFSET(abbreviation[],0,ColumnLanguage),ColumnAbbreviation,FALSE),"")</f>
        <v/>
      </c>
      <c r="BZ448" s="21" t="str">
        <f t="shared" ca="1" si="44"/>
        <v>_</v>
      </c>
      <c r="CA448" s="21" t="str">
        <f ca="1">IFERROR(VLOOKUP(AP448,OFFSET(abbreviation[],0,ColumnLanguage),ColumnAbbreviation,FALSE),"")</f>
        <v/>
      </c>
      <c r="CB448" s="21" t="str">
        <f ca="1">IFERROR(VLOOKUP(AR448,OFFSET(abbreviation[],0,ColumnLanguage),ColumnAbbreviation,FALSE),"")</f>
        <v/>
      </c>
      <c r="CC448" s="21" t="str">
        <f ca="1">IFERROR(VLOOKUP(AT448,OFFSET(abbreviation[],0,ColumnLanguage),ColumnAbbreviation,FALSE),"")</f>
        <v/>
      </c>
      <c r="CD448" s="21" t="str">
        <f ca="1">IFERROR(VLOOKUP(AV448,OFFSET(abbreviation[],0,ColumnLanguage),ColumnAbbreviation,FALSE),"")</f>
        <v/>
      </c>
      <c r="CE448" s="21" t="str">
        <f t="shared" ca="1" si="45"/>
        <v>__</v>
      </c>
      <c r="CF448" s="21" t="str">
        <f ca="1">IFERROR(VLOOKUP(AX448,OFFSET(abbreviation[],0,ColumnLanguage),ColumnAbbreviation,FALSE),"")</f>
        <v/>
      </c>
      <c r="CG448" s="21" t="str">
        <f ca="1">IFERROR(VLOOKUP(AZ448,OFFSET(abbreviation[],0,ColumnLanguage),ColumnAbbreviation,FALSE),"")</f>
        <v/>
      </c>
      <c r="CH448" s="21" t="str">
        <f ca="1">IFERROR(VLOOKUP(BB448,OFFSET(abbreviation[],0,ColumnLanguage),ColumnAbbreviation,FALSE),"")</f>
        <v/>
      </c>
      <c r="CI448" s="21" t="str">
        <f ca="1">IFERROR(VLOOKUP(BD448,OFFSET(abbreviation[],0,ColumnLanguage),ColumnAbbreviation,FALSE),"")</f>
        <v/>
      </c>
      <c r="CJ448" s="21" t="str">
        <f ca="1">IFERROR(VLOOKUP(BF448,OFFSET(abbreviation[],0,ColumnLanguage),ColumnAbbreviation,FALSE),"")</f>
        <v/>
      </c>
      <c r="CK448" s="21" t="str">
        <f t="shared" ca="1" si="46"/>
        <v/>
      </c>
      <c r="CL448" s="21" t="str">
        <f t="shared" si="47"/>
        <v/>
      </c>
      <c r="CM448" s="52"/>
      <c r="CN448" s="57" t="str">
        <f t="shared" si="48"/>
        <v/>
      </c>
    </row>
    <row r="449" spans="14:92" x14ac:dyDescent="0.25">
      <c r="N449" s="58"/>
      <c r="P449" s="60"/>
      <c r="Q449" s="13"/>
      <c r="V449" s="60"/>
      <c r="X449" s="61"/>
      <c r="AB449" s="60"/>
      <c r="AN449" s="54"/>
      <c r="AS449" s="15"/>
      <c r="BH449" s="52"/>
      <c r="BI449" s="21" t="str">
        <f ca="1">IFERROR(VLOOKUP(C449,OFFSET(abbreviation[],0,ColumnLanguage),ColumnAbbreviation,FALSE),"")</f>
        <v/>
      </c>
      <c r="BJ449" s="21" t="str">
        <f ca="1">IFERROR(VLOOKUP(E449,OFFSET(abbreviation[],0,ColumnLanguage),ColumnAbbreviation,FALSE),"")</f>
        <v/>
      </c>
      <c r="BK449" s="21" t="str">
        <f ca="1">IFERROR(VLOOKUP(G449,OFFSET(abbreviation[],0,ColumnLanguage),ColumnAbbreviation,FALSE),"")</f>
        <v/>
      </c>
      <c r="BL449" s="21" t="str">
        <f ca="1">IFERROR(VLOOKUP(I449,OFFSET(abbreviation[],0,ColumnLanguage),ColumnAbbreviation,FALSE),"")</f>
        <v/>
      </c>
      <c r="BM449" s="21" t="str">
        <f ca="1">IFERROR(VLOOKUP(K449,OFFSET(abbreviation[],0,ColumnLanguage),ColumnAbbreviation,FALSE),"")</f>
        <v/>
      </c>
      <c r="BN449" s="21" t="str">
        <f t="shared" ca="1" si="42"/>
        <v/>
      </c>
      <c r="BO449" s="21" t="str">
        <f ca="1">IFERROR(VLOOKUP(N449,OFFSET(abbreviation[],0,ColumnLanguage),ColumnAbbreviation,FALSE),"")</f>
        <v/>
      </c>
      <c r="BP449" s="21" t="str">
        <f ca="1">IFERROR(VLOOKUP(P449,OFFSET(abbreviation[],0,ColumnLanguage),ColumnAbbreviation,FALSE),"")</f>
        <v/>
      </c>
      <c r="BQ449" s="21" t="str">
        <f ca="1">IFERROR(VLOOKUP(T449,OFFSET(abbreviation[],0,ColumnLanguage),ColumnAbbreviation,FALSE),"")</f>
        <v/>
      </c>
      <c r="BR449" s="21" t="str">
        <f ca="1">IFERROR(VLOOKUP(V449,OFFSET(abbreviation[],0,ColumnLanguage),ColumnAbbreviation,FALSE),"")</f>
        <v/>
      </c>
      <c r="BS449" s="21" t="str">
        <f ca="1">IFERROR(VLOOKUP(Z449,OFFSET(abbreviation[],0,ColumnLanguage),ColumnAbbreviation,FALSE),"")</f>
        <v/>
      </c>
      <c r="BT449" s="21" t="str">
        <f ca="1">IFERROR(VLOOKUP(AB449,OFFSET(abbreviation[],0,ColumnLanguage),ColumnAbbreviation,FALSE),"")</f>
        <v/>
      </c>
      <c r="BU449" s="21" t="str">
        <f t="shared" ca="1" si="43"/>
        <v>__</v>
      </c>
      <c r="BV449" s="21" t="str">
        <f ca="1">IFERROR(VLOOKUP(AF449,OFFSET(abbreviation[],0,ColumnLanguage),ColumnAbbreviation,FALSE),"")</f>
        <v/>
      </c>
      <c r="BW449" s="21" t="str">
        <f ca="1">IFERROR(VLOOKUP(AH449,OFFSET(abbreviation[],0,ColumnLanguage),ColumnAbbreviation,FALSE),"")</f>
        <v/>
      </c>
      <c r="BX449" s="21" t="str">
        <f ca="1">IFERROR(VLOOKUP(AJ449,OFFSET(abbreviation[],0,ColumnLanguage),ColumnAbbreviation,FALSE),"")</f>
        <v/>
      </c>
      <c r="BY449" s="21" t="str">
        <f ca="1">IFERROR(VLOOKUP(AL449,OFFSET(abbreviation[],0,ColumnLanguage),ColumnAbbreviation,FALSE),"")</f>
        <v/>
      </c>
      <c r="BZ449" s="21" t="str">
        <f t="shared" ca="1" si="44"/>
        <v>_</v>
      </c>
      <c r="CA449" s="21" t="str">
        <f ca="1">IFERROR(VLOOKUP(AP449,OFFSET(abbreviation[],0,ColumnLanguage),ColumnAbbreviation,FALSE),"")</f>
        <v/>
      </c>
      <c r="CB449" s="21" t="str">
        <f ca="1">IFERROR(VLOOKUP(AR449,OFFSET(abbreviation[],0,ColumnLanguage),ColumnAbbreviation,FALSE),"")</f>
        <v/>
      </c>
      <c r="CC449" s="21" t="str">
        <f ca="1">IFERROR(VLOOKUP(AT449,OFFSET(abbreviation[],0,ColumnLanguage),ColumnAbbreviation,FALSE),"")</f>
        <v/>
      </c>
      <c r="CD449" s="21" t="str">
        <f ca="1">IFERROR(VLOOKUP(AV449,OFFSET(abbreviation[],0,ColumnLanguage),ColumnAbbreviation,FALSE),"")</f>
        <v/>
      </c>
      <c r="CE449" s="21" t="str">
        <f t="shared" ca="1" si="45"/>
        <v>__</v>
      </c>
      <c r="CF449" s="21" t="str">
        <f ca="1">IFERROR(VLOOKUP(AX449,OFFSET(abbreviation[],0,ColumnLanguage),ColumnAbbreviation,FALSE),"")</f>
        <v/>
      </c>
      <c r="CG449" s="21" t="str">
        <f ca="1">IFERROR(VLOOKUP(AZ449,OFFSET(abbreviation[],0,ColumnLanguage),ColumnAbbreviation,FALSE),"")</f>
        <v/>
      </c>
      <c r="CH449" s="21" t="str">
        <f ca="1">IFERROR(VLOOKUP(BB449,OFFSET(abbreviation[],0,ColumnLanguage),ColumnAbbreviation,FALSE),"")</f>
        <v/>
      </c>
      <c r="CI449" s="21" t="str">
        <f ca="1">IFERROR(VLOOKUP(BD449,OFFSET(abbreviation[],0,ColumnLanguage),ColumnAbbreviation,FALSE),"")</f>
        <v/>
      </c>
      <c r="CJ449" s="21" t="str">
        <f ca="1">IFERROR(VLOOKUP(BF449,OFFSET(abbreviation[],0,ColumnLanguage),ColumnAbbreviation,FALSE),"")</f>
        <v/>
      </c>
      <c r="CK449" s="21" t="str">
        <f t="shared" ca="1" si="46"/>
        <v/>
      </c>
      <c r="CL449" s="21" t="str">
        <f t="shared" si="47"/>
        <v/>
      </c>
      <c r="CM449" s="52"/>
      <c r="CN449" s="57" t="str">
        <f t="shared" si="48"/>
        <v/>
      </c>
    </row>
    <row r="450" spans="14:92" x14ac:dyDescent="0.25">
      <c r="N450" s="58"/>
      <c r="P450" s="60"/>
      <c r="Q450" s="13"/>
      <c r="V450" s="60"/>
      <c r="X450" s="61"/>
      <c r="AB450" s="60"/>
      <c r="AN450" s="54"/>
      <c r="AS450" s="15"/>
      <c r="BH450" s="52"/>
      <c r="BI450" s="21" t="str">
        <f ca="1">IFERROR(VLOOKUP(C450,OFFSET(abbreviation[],0,ColumnLanguage),ColumnAbbreviation,FALSE),"")</f>
        <v/>
      </c>
      <c r="BJ450" s="21" t="str">
        <f ca="1">IFERROR(VLOOKUP(E450,OFFSET(abbreviation[],0,ColumnLanguage),ColumnAbbreviation,FALSE),"")</f>
        <v/>
      </c>
      <c r="BK450" s="21" t="str">
        <f ca="1">IFERROR(VLOOKUP(G450,OFFSET(abbreviation[],0,ColumnLanguage),ColumnAbbreviation,FALSE),"")</f>
        <v/>
      </c>
      <c r="BL450" s="21" t="str">
        <f ca="1">IFERROR(VLOOKUP(I450,OFFSET(abbreviation[],0,ColumnLanguage),ColumnAbbreviation,FALSE),"")</f>
        <v/>
      </c>
      <c r="BM450" s="21" t="str">
        <f ca="1">IFERROR(VLOOKUP(K450,OFFSET(abbreviation[],0,ColumnLanguage),ColumnAbbreviation,FALSE),"")</f>
        <v/>
      </c>
      <c r="BN450" s="21" t="str">
        <f t="shared" ca="1" si="42"/>
        <v/>
      </c>
      <c r="BO450" s="21" t="str">
        <f ca="1">IFERROR(VLOOKUP(N450,OFFSET(abbreviation[],0,ColumnLanguage),ColumnAbbreviation,FALSE),"")</f>
        <v/>
      </c>
      <c r="BP450" s="21" t="str">
        <f ca="1">IFERROR(VLOOKUP(P450,OFFSET(abbreviation[],0,ColumnLanguage),ColumnAbbreviation,FALSE),"")</f>
        <v/>
      </c>
      <c r="BQ450" s="21" t="str">
        <f ca="1">IFERROR(VLOOKUP(T450,OFFSET(abbreviation[],0,ColumnLanguage),ColumnAbbreviation,FALSE),"")</f>
        <v/>
      </c>
      <c r="BR450" s="21" t="str">
        <f ca="1">IFERROR(VLOOKUP(V450,OFFSET(abbreviation[],0,ColumnLanguage),ColumnAbbreviation,FALSE),"")</f>
        <v/>
      </c>
      <c r="BS450" s="21" t="str">
        <f ca="1">IFERROR(VLOOKUP(Z450,OFFSET(abbreviation[],0,ColumnLanguage),ColumnAbbreviation,FALSE),"")</f>
        <v/>
      </c>
      <c r="BT450" s="21" t="str">
        <f ca="1">IFERROR(VLOOKUP(AB450,OFFSET(abbreviation[],0,ColumnLanguage),ColumnAbbreviation,FALSE),"")</f>
        <v/>
      </c>
      <c r="BU450" s="21" t="str">
        <f t="shared" ca="1" si="43"/>
        <v>__</v>
      </c>
      <c r="BV450" s="21" t="str">
        <f ca="1">IFERROR(VLOOKUP(AF450,OFFSET(abbreviation[],0,ColumnLanguage),ColumnAbbreviation,FALSE),"")</f>
        <v/>
      </c>
      <c r="BW450" s="21" t="str">
        <f ca="1">IFERROR(VLOOKUP(AH450,OFFSET(abbreviation[],0,ColumnLanguage),ColumnAbbreviation,FALSE),"")</f>
        <v/>
      </c>
      <c r="BX450" s="21" t="str">
        <f ca="1">IFERROR(VLOOKUP(AJ450,OFFSET(abbreviation[],0,ColumnLanguage),ColumnAbbreviation,FALSE),"")</f>
        <v/>
      </c>
      <c r="BY450" s="21" t="str">
        <f ca="1">IFERROR(VLOOKUP(AL450,OFFSET(abbreviation[],0,ColumnLanguage),ColumnAbbreviation,FALSE),"")</f>
        <v/>
      </c>
      <c r="BZ450" s="21" t="str">
        <f t="shared" ca="1" si="44"/>
        <v>_</v>
      </c>
      <c r="CA450" s="21" t="str">
        <f ca="1">IFERROR(VLOOKUP(AP450,OFFSET(abbreviation[],0,ColumnLanguage),ColumnAbbreviation,FALSE),"")</f>
        <v/>
      </c>
      <c r="CB450" s="21" t="str">
        <f ca="1">IFERROR(VLOOKUP(AR450,OFFSET(abbreviation[],0,ColumnLanguage),ColumnAbbreviation,FALSE),"")</f>
        <v/>
      </c>
      <c r="CC450" s="21" t="str">
        <f ca="1">IFERROR(VLOOKUP(AT450,OFFSET(abbreviation[],0,ColumnLanguage),ColumnAbbreviation,FALSE),"")</f>
        <v/>
      </c>
      <c r="CD450" s="21" t="str">
        <f ca="1">IFERROR(VLOOKUP(AV450,OFFSET(abbreviation[],0,ColumnLanguage),ColumnAbbreviation,FALSE),"")</f>
        <v/>
      </c>
      <c r="CE450" s="21" t="str">
        <f t="shared" ca="1" si="45"/>
        <v>__</v>
      </c>
      <c r="CF450" s="21" t="str">
        <f ca="1">IFERROR(VLOOKUP(AX450,OFFSET(abbreviation[],0,ColumnLanguage),ColumnAbbreviation,FALSE),"")</f>
        <v/>
      </c>
      <c r="CG450" s="21" t="str">
        <f ca="1">IFERROR(VLOOKUP(AZ450,OFFSET(abbreviation[],0,ColumnLanguage),ColumnAbbreviation,FALSE),"")</f>
        <v/>
      </c>
      <c r="CH450" s="21" t="str">
        <f ca="1">IFERROR(VLOOKUP(BB450,OFFSET(abbreviation[],0,ColumnLanguage),ColumnAbbreviation,FALSE),"")</f>
        <v/>
      </c>
      <c r="CI450" s="21" t="str">
        <f ca="1">IFERROR(VLOOKUP(BD450,OFFSET(abbreviation[],0,ColumnLanguage),ColumnAbbreviation,FALSE),"")</f>
        <v/>
      </c>
      <c r="CJ450" s="21" t="str">
        <f ca="1">IFERROR(VLOOKUP(BF450,OFFSET(abbreviation[],0,ColumnLanguage),ColumnAbbreviation,FALSE),"")</f>
        <v/>
      </c>
      <c r="CK450" s="21" t="str">
        <f t="shared" ca="1" si="46"/>
        <v/>
      </c>
      <c r="CL450" s="21" t="str">
        <f t="shared" si="47"/>
        <v/>
      </c>
      <c r="CM450" s="52"/>
      <c r="CN450" s="57" t="str">
        <f t="shared" si="48"/>
        <v/>
      </c>
    </row>
    <row r="451" spans="14:92" x14ac:dyDescent="0.25">
      <c r="N451" s="58"/>
      <c r="P451" s="60"/>
      <c r="Q451" s="13"/>
      <c r="V451" s="60"/>
      <c r="X451" s="61"/>
      <c r="AB451" s="60"/>
      <c r="AN451" s="54"/>
      <c r="AS451" s="15"/>
      <c r="BH451" s="52"/>
      <c r="BI451" s="21" t="str">
        <f ca="1">IFERROR(VLOOKUP(C451,OFFSET(abbreviation[],0,ColumnLanguage),ColumnAbbreviation,FALSE),"")</f>
        <v/>
      </c>
      <c r="BJ451" s="21" t="str">
        <f ca="1">IFERROR(VLOOKUP(E451,OFFSET(abbreviation[],0,ColumnLanguage),ColumnAbbreviation,FALSE),"")</f>
        <v/>
      </c>
      <c r="BK451" s="21" t="str">
        <f ca="1">IFERROR(VLOOKUP(G451,OFFSET(abbreviation[],0,ColumnLanguage),ColumnAbbreviation,FALSE),"")</f>
        <v/>
      </c>
      <c r="BL451" s="21" t="str">
        <f ca="1">IFERROR(VLOOKUP(I451,OFFSET(abbreviation[],0,ColumnLanguage),ColumnAbbreviation,FALSE),"")</f>
        <v/>
      </c>
      <c r="BM451" s="21" t="str">
        <f ca="1">IFERROR(VLOOKUP(K451,OFFSET(abbreviation[],0,ColumnLanguage),ColumnAbbreviation,FALSE),"")</f>
        <v/>
      </c>
      <c r="BN451" s="21" t="str">
        <f t="shared" ca="1" si="42"/>
        <v/>
      </c>
      <c r="BO451" s="21" t="str">
        <f ca="1">IFERROR(VLOOKUP(N451,OFFSET(abbreviation[],0,ColumnLanguage),ColumnAbbreviation,FALSE),"")</f>
        <v/>
      </c>
      <c r="BP451" s="21" t="str">
        <f ca="1">IFERROR(VLOOKUP(P451,OFFSET(abbreviation[],0,ColumnLanguage),ColumnAbbreviation,FALSE),"")</f>
        <v/>
      </c>
      <c r="BQ451" s="21" t="str">
        <f ca="1">IFERROR(VLOOKUP(T451,OFFSET(abbreviation[],0,ColumnLanguage),ColumnAbbreviation,FALSE),"")</f>
        <v/>
      </c>
      <c r="BR451" s="21" t="str">
        <f ca="1">IFERROR(VLOOKUP(V451,OFFSET(abbreviation[],0,ColumnLanguage),ColumnAbbreviation,FALSE),"")</f>
        <v/>
      </c>
      <c r="BS451" s="21" t="str">
        <f ca="1">IFERROR(VLOOKUP(Z451,OFFSET(abbreviation[],0,ColumnLanguage),ColumnAbbreviation,FALSE),"")</f>
        <v/>
      </c>
      <c r="BT451" s="21" t="str">
        <f ca="1">IFERROR(VLOOKUP(AB451,OFFSET(abbreviation[],0,ColumnLanguage),ColumnAbbreviation,FALSE),"")</f>
        <v/>
      </c>
      <c r="BU451" s="21" t="str">
        <f t="shared" ca="1" si="43"/>
        <v>__</v>
      </c>
      <c r="BV451" s="21" t="str">
        <f ca="1">IFERROR(VLOOKUP(AF451,OFFSET(abbreviation[],0,ColumnLanguage),ColumnAbbreviation,FALSE),"")</f>
        <v/>
      </c>
      <c r="BW451" s="21" t="str">
        <f ca="1">IFERROR(VLOOKUP(AH451,OFFSET(abbreviation[],0,ColumnLanguage),ColumnAbbreviation,FALSE),"")</f>
        <v/>
      </c>
      <c r="BX451" s="21" t="str">
        <f ca="1">IFERROR(VLOOKUP(AJ451,OFFSET(abbreviation[],0,ColumnLanguage),ColumnAbbreviation,FALSE),"")</f>
        <v/>
      </c>
      <c r="BY451" s="21" t="str">
        <f ca="1">IFERROR(VLOOKUP(AL451,OFFSET(abbreviation[],0,ColumnLanguage),ColumnAbbreviation,FALSE),"")</f>
        <v/>
      </c>
      <c r="BZ451" s="21" t="str">
        <f t="shared" ca="1" si="44"/>
        <v>_</v>
      </c>
      <c r="CA451" s="21" t="str">
        <f ca="1">IFERROR(VLOOKUP(AP451,OFFSET(abbreviation[],0,ColumnLanguage),ColumnAbbreviation,FALSE),"")</f>
        <v/>
      </c>
      <c r="CB451" s="21" t="str">
        <f ca="1">IFERROR(VLOOKUP(AR451,OFFSET(abbreviation[],0,ColumnLanguage),ColumnAbbreviation,FALSE),"")</f>
        <v/>
      </c>
      <c r="CC451" s="21" t="str">
        <f ca="1">IFERROR(VLOOKUP(AT451,OFFSET(abbreviation[],0,ColumnLanguage),ColumnAbbreviation,FALSE),"")</f>
        <v/>
      </c>
      <c r="CD451" s="21" t="str">
        <f ca="1">IFERROR(VLOOKUP(AV451,OFFSET(abbreviation[],0,ColumnLanguage),ColumnAbbreviation,FALSE),"")</f>
        <v/>
      </c>
      <c r="CE451" s="21" t="str">
        <f t="shared" ca="1" si="45"/>
        <v>__</v>
      </c>
      <c r="CF451" s="21" t="str">
        <f ca="1">IFERROR(VLOOKUP(AX451,OFFSET(abbreviation[],0,ColumnLanguage),ColumnAbbreviation,FALSE),"")</f>
        <v/>
      </c>
      <c r="CG451" s="21" t="str">
        <f ca="1">IFERROR(VLOOKUP(AZ451,OFFSET(abbreviation[],0,ColumnLanguage),ColumnAbbreviation,FALSE),"")</f>
        <v/>
      </c>
      <c r="CH451" s="21" t="str">
        <f ca="1">IFERROR(VLOOKUP(BB451,OFFSET(abbreviation[],0,ColumnLanguage),ColumnAbbreviation,FALSE),"")</f>
        <v/>
      </c>
      <c r="CI451" s="21" t="str">
        <f ca="1">IFERROR(VLOOKUP(BD451,OFFSET(abbreviation[],0,ColumnLanguage),ColumnAbbreviation,FALSE),"")</f>
        <v/>
      </c>
      <c r="CJ451" s="21" t="str">
        <f ca="1">IFERROR(VLOOKUP(BF451,OFFSET(abbreviation[],0,ColumnLanguage),ColumnAbbreviation,FALSE),"")</f>
        <v/>
      </c>
      <c r="CK451" s="21" t="str">
        <f t="shared" ca="1" si="46"/>
        <v/>
      </c>
      <c r="CL451" s="21" t="str">
        <f t="shared" si="47"/>
        <v/>
      </c>
      <c r="CM451" s="52"/>
      <c r="CN451" s="57" t="str">
        <f t="shared" si="48"/>
        <v/>
      </c>
    </row>
    <row r="452" spans="14:92" x14ac:dyDescent="0.25">
      <c r="N452" s="58"/>
      <c r="P452" s="60"/>
      <c r="Q452" s="13"/>
      <c r="V452" s="60"/>
      <c r="X452" s="61"/>
      <c r="AB452" s="60"/>
      <c r="AN452" s="54"/>
      <c r="AS452" s="15"/>
      <c r="BH452" s="52"/>
      <c r="BI452" s="21" t="str">
        <f ca="1">IFERROR(VLOOKUP(C452,OFFSET(abbreviation[],0,ColumnLanguage),ColumnAbbreviation,FALSE),"")</f>
        <v/>
      </c>
      <c r="BJ452" s="21" t="str">
        <f ca="1">IFERROR(VLOOKUP(E452,OFFSET(abbreviation[],0,ColumnLanguage),ColumnAbbreviation,FALSE),"")</f>
        <v/>
      </c>
      <c r="BK452" s="21" t="str">
        <f ca="1">IFERROR(VLOOKUP(G452,OFFSET(abbreviation[],0,ColumnLanguage),ColumnAbbreviation,FALSE),"")</f>
        <v/>
      </c>
      <c r="BL452" s="21" t="str">
        <f ca="1">IFERROR(VLOOKUP(I452,OFFSET(abbreviation[],0,ColumnLanguage),ColumnAbbreviation,FALSE),"")</f>
        <v/>
      </c>
      <c r="BM452" s="21" t="str">
        <f ca="1">IFERROR(VLOOKUP(K452,OFFSET(abbreviation[],0,ColumnLanguage),ColumnAbbreviation,FALSE),"")</f>
        <v/>
      </c>
      <c r="BN452" s="21" t="str">
        <f t="shared" ref="BN452:BN515" ca="1" si="49">(BI452&amp;IF(OR(ISNUMBER(D452),ISTEXT(D452)),"-"&amp;D452,))&amp;(IF(ISTEXT(E452),"_",)&amp;BJ452&amp;IF(OR(ISNUMBER(F452),ISTEXT(F452)),"-"&amp;F452,))&amp;(IF(ISTEXT(G452),"_",)&amp;BK452&amp;IF(OR(ISNUMBER(H452),ISTEXT(H452)),"-"&amp;H452,))&amp;(IF(ISTEXT(I452),"_",)&amp;BL452&amp;IF(OR(ISNUMBER(J452),ISTEXT(J452)),"-"&amp;J452,))&amp;(IF(ISTEXT(K452),"_",)&amp;BM452&amp;IF(OR(ISNUMBER(L452),ISTEXT(L452)),"-"&amp;L452,)&amp;IF(AND(ISTEXT(BI452),BI452&lt;&gt;""),"_._",))</f>
        <v/>
      </c>
      <c r="BO452" s="21" t="str">
        <f ca="1">IFERROR(VLOOKUP(N452,OFFSET(abbreviation[],0,ColumnLanguage),ColumnAbbreviation,FALSE),"")</f>
        <v/>
      </c>
      <c r="BP452" s="21" t="str">
        <f ca="1">IFERROR(VLOOKUP(P452,OFFSET(abbreviation[],0,ColumnLanguage),ColumnAbbreviation,FALSE),"")</f>
        <v/>
      </c>
      <c r="BQ452" s="21" t="str">
        <f ca="1">IFERROR(VLOOKUP(T452,OFFSET(abbreviation[],0,ColumnLanguage),ColumnAbbreviation,FALSE),"")</f>
        <v/>
      </c>
      <c r="BR452" s="21" t="str">
        <f ca="1">IFERROR(VLOOKUP(V452,OFFSET(abbreviation[],0,ColumnLanguage),ColumnAbbreviation,FALSE),"")</f>
        <v/>
      </c>
      <c r="BS452" s="21" t="str">
        <f ca="1">IFERROR(VLOOKUP(Z452,OFFSET(abbreviation[],0,ColumnLanguage),ColumnAbbreviation,FALSE),"")</f>
        <v/>
      </c>
      <c r="BT452" s="21" t="str">
        <f ca="1">IFERROR(VLOOKUP(AB452,OFFSET(abbreviation[],0,ColumnLanguage),ColumnAbbreviation,FALSE),"")</f>
        <v/>
      </c>
      <c r="BU452" s="21" t="str">
        <f t="shared" ref="BU452:BU515" ca="1" si="50">(BO452&amp;IF(ISTEXT(P452),"."&amp;BP452,)&amp;IF(OR(ISTEXT(R452),ISNUMBER(R452)),"-"&amp;R452,))&amp;("_"&amp;BQ452&amp;IF(ISTEXT(V452),"."&amp;BR452,)&amp;IF(OR(ISTEXT(X452),ISNUMBER(X452)),"-"&amp;X452,))&amp;("_"&amp;BS452&amp;IF(ISTEXT(AB452),"."&amp;BT452,)&amp;IF(OR(ISTEXT(AD452),ISNUMBER(AD452)),"-"&amp;AD452,))</f>
        <v>__</v>
      </c>
      <c r="BV452" s="21" t="str">
        <f ca="1">IFERROR(VLOOKUP(AF452,OFFSET(abbreviation[],0,ColumnLanguage),ColumnAbbreviation,FALSE),"")</f>
        <v/>
      </c>
      <c r="BW452" s="21" t="str">
        <f ca="1">IFERROR(VLOOKUP(AH452,OFFSET(abbreviation[],0,ColumnLanguage),ColumnAbbreviation,FALSE),"")</f>
        <v/>
      </c>
      <c r="BX452" s="21" t="str">
        <f ca="1">IFERROR(VLOOKUP(AJ452,OFFSET(abbreviation[],0,ColumnLanguage),ColumnAbbreviation,FALSE),"")</f>
        <v/>
      </c>
      <c r="BY452" s="21" t="str">
        <f ca="1">IFERROR(VLOOKUP(AL452,OFFSET(abbreviation[],0,ColumnLanguage),ColumnAbbreviation,FALSE),"")</f>
        <v/>
      </c>
      <c r="BZ452" s="21" t="str">
        <f t="shared" ref="BZ452:BZ515" ca="1" si="51">("_"&amp;BV452&amp;IF(ISTEXT(AH452),"."&amp;BW452,)&amp;IF(ISTEXT(AJ452),"."&amp;BX452,)&amp;IF(ISTEXT(AL452),"."&amp;BY452,)&amp;IF(OR(ISTEXT(AN452),ISNUMBER(AN452)),"-"&amp;AN452,))</f>
        <v>_</v>
      </c>
      <c r="CA452" s="21" t="str">
        <f ca="1">IFERROR(VLOOKUP(AP452,OFFSET(abbreviation[],0,ColumnLanguage),ColumnAbbreviation,FALSE),"")</f>
        <v/>
      </c>
      <c r="CB452" s="21" t="str">
        <f ca="1">IFERROR(VLOOKUP(AR452,OFFSET(abbreviation[],0,ColumnLanguage),ColumnAbbreviation,FALSE),"")</f>
        <v/>
      </c>
      <c r="CC452" s="21" t="str">
        <f ca="1">IFERROR(VLOOKUP(AT452,OFFSET(abbreviation[],0,ColumnLanguage),ColumnAbbreviation,FALSE),"")</f>
        <v/>
      </c>
      <c r="CD452" s="21" t="str">
        <f ca="1">IFERROR(VLOOKUP(AV452,OFFSET(abbreviation[],0,ColumnLanguage),ColumnAbbreviation,FALSE),"")</f>
        <v/>
      </c>
      <c r="CE452" s="21" t="str">
        <f t="shared" ref="CE452:CE515" ca="1" si="52">("_"&amp;CA452&amp;IF(ISTEXT(AR452),"."&amp;CB452,)&amp;IF(ISTEXT(AT452),"."&amp;CC452,))&amp;"_"&amp;CD452</f>
        <v>__</v>
      </c>
      <c r="CF452" s="21" t="str">
        <f ca="1">IFERROR(VLOOKUP(AX452,OFFSET(abbreviation[],0,ColumnLanguage),ColumnAbbreviation,FALSE),"")</f>
        <v/>
      </c>
      <c r="CG452" s="21" t="str">
        <f ca="1">IFERROR(VLOOKUP(AZ452,OFFSET(abbreviation[],0,ColumnLanguage),ColumnAbbreviation,FALSE),"")</f>
        <v/>
      </c>
      <c r="CH452" s="21" t="str">
        <f ca="1">IFERROR(VLOOKUP(BB452,OFFSET(abbreviation[],0,ColumnLanguage),ColumnAbbreviation,FALSE),"")</f>
        <v/>
      </c>
      <c r="CI452" s="21" t="str">
        <f ca="1">IFERROR(VLOOKUP(BD452,OFFSET(abbreviation[],0,ColumnLanguage),ColumnAbbreviation,FALSE),"")</f>
        <v/>
      </c>
      <c r="CJ452" s="21" t="str">
        <f ca="1">IFERROR(VLOOKUP(BF452,OFFSET(abbreviation[],0,ColumnLanguage),ColumnAbbreviation,FALSE),"")</f>
        <v/>
      </c>
      <c r="CK452" s="21" t="str">
        <f t="shared" ref="CK452:CK515" ca="1" si="53">(IF(ISTEXT(AX452),"_._",""))&amp;(IF(ISTEXT(AX452),"_",)&amp;CF452&amp;IF(OR(ISNUMBER(AY452),ISTEXT(AY452)),"-"&amp;AY452,))&amp;(IF(ISTEXT(AZ452),"_",)&amp;CG452&amp;IF(OR(ISNUMBER(BA452),ISTEXT(BA452)),"-"&amp;BA452,))&amp;(IF(ISTEXT(BB452),"_",)&amp;CH452&amp;IF(OR(ISNUMBER(BC452),ISTEXT(BC452)),"-"&amp;BC452,))&amp;(IF(ISTEXT(BD452),"_",)&amp;CI452&amp;IF(OR(ISNUMBER(BE452),ISTEXT(BE452)),"-"&amp;BE452,))&amp;(IF(ISTEXT(BF452),"_",)&amp;CJ452&amp;IF(OR(ISNUMBER(BG452),ISTEXT(BG452)),"-"&amp;BG452,))</f>
        <v/>
      </c>
      <c r="CL452" s="21" t="str">
        <f t="shared" ref="CL452:CL515" si="54">IF(OR(N452&lt;&gt;"",T452&lt;&gt;"",C452&lt;&gt;"",A452&lt;&gt;""),(BN452&amp;BU452&amp;BZ452&amp;CE452&amp;CK452),"")</f>
        <v/>
      </c>
      <c r="CM452" s="52"/>
      <c r="CN452" s="57" t="str">
        <f t="shared" ref="CN452:CN515" si="55">CL452</f>
        <v/>
      </c>
    </row>
    <row r="453" spans="14:92" x14ac:dyDescent="0.25">
      <c r="N453" s="58"/>
      <c r="P453" s="60"/>
      <c r="Q453" s="13"/>
      <c r="V453" s="60"/>
      <c r="X453" s="61"/>
      <c r="AB453" s="60"/>
      <c r="AN453" s="54"/>
      <c r="AS453" s="15"/>
      <c r="BH453" s="52"/>
      <c r="BI453" s="21" t="str">
        <f ca="1">IFERROR(VLOOKUP(C453,OFFSET(abbreviation[],0,ColumnLanguage),ColumnAbbreviation,FALSE),"")</f>
        <v/>
      </c>
      <c r="BJ453" s="21" t="str">
        <f ca="1">IFERROR(VLOOKUP(E453,OFFSET(abbreviation[],0,ColumnLanguage),ColumnAbbreviation,FALSE),"")</f>
        <v/>
      </c>
      <c r="BK453" s="21" t="str">
        <f ca="1">IFERROR(VLOOKUP(G453,OFFSET(abbreviation[],0,ColumnLanguage),ColumnAbbreviation,FALSE),"")</f>
        <v/>
      </c>
      <c r="BL453" s="21" t="str">
        <f ca="1">IFERROR(VLOOKUP(I453,OFFSET(abbreviation[],0,ColumnLanguage),ColumnAbbreviation,FALSE),"")</f>
        <v/>
      </c>
      <c r="BM453" s="21" t="str">
        <f ca="1">IFERROR(VLOOKUP(K453,OFFSET(abbreviation[],0,ColumnLanguage),ColumnAbbreviation,FALSE),"")</f>
        <v/>
      </c>
      <c r="BN453" s="21" t="str">
        <f t="shared" ca="1" si="49"/>
        <v/>
      </c>
      <c r="BO453" s="21" t="str">
        <f ca="1">IFERROR(VLOOKUP(N453,OFFSET(abbreviation[],0,ColumnLanguage),ColumnAbbreviation,FALSE),"")</f>
        <v/>
      </c>
      <c r="BP453" s="21" t="str">
        <f ca="1">IFERROR(VLOOKUP(P453,OFFSET(abbreviation[],0,ColumnLanguage),ColumnAbbreviation,FALSE),"")</f>
        <v/>
      </c>
      <c r="BQ453" s="21" t="str">
        <f ca="1">IFERROR(VLOOKUP(T453,OFFSET(abbreviation[],0,ColumnLanguage),ColumnAbbreviation,FALSE),"")</f>
        <v/>
      </c>
      <c r="BR453" s="21" t="str">
        <f ca="1">IFERROR(VLOOKUP(V453,OFFSET(abbreviation[],0,ColumnLanguage),ColumnAbbreviation,FALSE),"")</f>
        <v/>
      </c>
      <c r="BS453" s="21" t="str">
        <f ca="1">IFERROR(VLOOKUP(Z453,OFFSET(abbreviation[],0,ColumnLanguage),ColumnAbbreviation,FALSE),"")</f>
        <v/>
      </c>
      <c r="BT453" s="21" t="str">
        <f ca="1">IFERROR(VLOOKUP(AB453,OFFSET(abbreviation[],0,ColumnLanguage),ColumnAbbreviation,FALSE),"")</f>
        <v/>
      </c>
      <c r="BU453" s="21" t="str">
        <f t="shared" ca="1" si="50"/>
        <v>__</v>
      </c>
      <c r="BV453" s="21" t="str">
        <f ca="1">IFERROR(VLOOKUP(AF453,OFFSET(abbreviation[],0,ColumnLanguage),ColumnAbbreviation,FALSE),"")</f>
        <v/>
      </c>
      <c r="BW453" s="21" t="str">
        <f ca="1">IFERROR(VLOOKUP(AH453,OFFSET(abbreviation[],0,ColumnLanguage),ColumnAbbreviation,FALSE),"")</f>
        <v/>
      </c>
      <c r="BX453" s="21" t="str">
        <f ca="1">IFERROR(VLOOKUP(AJ453,OFFSET(abbreviation[],0,ColumnLanguage),ColumnAbbreviation,FALSE),"")</f>
        <v/>
      </c>
      <c r="BY453" s="21" t="str">
        <f ca="1">IFERROR(VLOOKUP(AL453,OFFSET(abbreviation[],0,ColumnLanguage),ColumnAbbreviation,FALSE),"")</f>
        <v/>
      </c>
      <c r="BZ453" s="21" t="str">
        <f t="shared" ca="1" si="51"/>
        <v>_</v>
      </c>
      <c r="CA453" s="21" t="str">
        <f ca="1">IFERROR(VLOOKUP(AP453,OFFSET(abbreviation[],0,ColumnLanguage),ColumnAbbreviation,FALSE),"")</f>
        <v/>
      </c>
      <c r="CB453" s="21" t="str">
        <f ca="1">IFERROR(VLOOKUP(AR453,OFFSET(abbreviation[],0,ColumnLanguage),ColumnAbbreviation,FALSE),"")</f>
        <v/>
      </c>
      <c r="CC453" s="21" t="str">
        <f ca="1">IFERROR(VLOOKUP(AT453,OFFSET(abbreviation[],0,ColumnLanguage),ColumnAbbreviation,FALSE),"")</f>
        <v/>
      </c>
      <c r="CD453" s="21" t="str">
        <f ca="1">IFERROR(VLOOKUP(AV453,OFFSET(abbreviation[],0,ColumnLanguage),ColumnAbbreviation,FALSE),"")</f>
        <v/>
      </c>
      <c r="CE453" s="21" t="str">
        <f t="shared" ca="1" si="52"/>
        <v>__</v>
      </c>
      <c r="CF453" s="21" t="str">
        <f ca="1">IFERROR(VLOOKUP(AX453,OFFSET(abbreviation[],0,ColumnLanguage),ColumnAbbreviation,FALSE),"")</f>
        <v/>
      </c>
      <c r="CG453" s="21" t="str">
        <f ca="1">IFERROR(VLOOKUP(AZ453,OFFSET(abbreviation[],0,ColumnLanguage),ColumnAbbreviation,FALSE),"")</f>
        <v/>
      </c>
      <c r="CH453" s="21" t="str">
        <f ca="1">IFERROR(VLOOKUP(BB453,OFFSET(abbreviation[],0,ColumnLanguage),ColumnAbbreviation,FALSE),"")</f>
        <v/>
      </c>
      <c r="CI453" s="21" t="str">
        <f ca="1">IFERROR(VLOOKUP(BD453,OFFSET(abbreviation[],0,ColumnLanguage),ColumnAbbreviation,FALSE),"")</f>
        <v/>
      </c>
      <c r="CJ453" s="21" t="str">
        <f ca="1">IFERROR(VLOOKUP(BF453,OFFSET(abbreviation[],0,ColumnLanguage),ColumnAbbreviation,FALSE),"")</f>
        <v/>
      </c>
      <c r="CK453" s="21" t="str">
        <f t="shared" ca="1" si="53"/>
        <v/>
      </c>
      <c r="CL453" s="21" t="str">
        <f t="shared" si="54"/>
        <v/>
      </c>
      <c r="CM453" s="52"/>
      <c r="CN453" s="57" t="str">
        <f t="shared" si="55"/>
        <v/>
      </c>
    </row>
    <row r="454" spans="14:92" x14ac:dyDescent="0.25">
      <c r="N454" s="58"/>
      <c r="P454" s="60"/>
      <c r="Q454" s="13"/>
      <c r="V454" s="60"/>
      <c r="X454" s="61"/>
      <c r="AB454" s="60"/>
      <c r="AN454" s="54"/>
      <c r="AS454" s="15"/>
      <c r="BH454" s="52"/>
      <c r="BI454" s="21" t="str">
        <f ca="1">IFERROR(VLOOKUP(C454,OFFSET(abbreviation[],0,ColumnLanguage),ColumnAbbreviation,FALSE),"")</f>
        <v/>
      </c>
      <c r="BJ454" s="21" t="str">
        <f ca="1">IFERROR(VLOOKUP(E454,OFFSET(abbreviation[],0,ColumnLanguage),ColumnAbbreviation,FALSE),"")</f>
        <v/>
      </c>
      <c r="BK454" s="21" t="str">
        <f ca="1">IFERROR(VLOOKUP(G454,OFFSET(abbreviation[],0,ColumnLanguage),ColumnAbbreviation,FALSE),"")</f>
        <v/>
      </c>
      <c r="BL454" s="21" t="str">
        <f ca="1">IFERROR(VLOOKUP(I454,OFFSET(abbreviation[],0,ColumnLanguage),ColumnAbbreviation,FALSE),"")</f>
        <v/>
      </c>
      <c r="BM454" s="21" t="str">
        <f ca="1">IFERROR(VLOOKUP(K454,OFFSET(abbreviation[],0,ColumnLanguage),ColumnAbbreviation,FALSE),"")</f>
        <v/>
      </c>
      <c r="BN454" s="21" t="str">
        <f t="shared" ca="1" si="49"/>
        <v/>
      </c>
      <c r="BO454" s="21" t="str">
        <f ca="1">IFERROR(VLOOKUP(N454,OFFSET(abbreviation[],0,ColumnLanguage),ColumnAbbreviation,FALSE),"")</f>
        <v/>
      </c>
      <c r="BP454" s="21" t="str">
        <f ca="1">IFERROR(VLOOKUP(P454,OFFSET(abbreviation[],0,ColumnLanguage),ColumnAbbreviation,FALSE),"")</f>
        <v/>
      </c>
      <c r="BQ454" s="21" t="str">
        <f ca="1">IFERROR(VLOOKUP(T454,OFFSET(abbreviation[],0,ColumnLanguage),ColumnAbbreviation,FALSE),"")</f>
        <v/>
      </c>
      <c r="BR454" s="21" t="str">
        <f ca="1">IFERROR(VLOOKUP(V454,OFFSET(abbreviation[],0,ColumnLanguage),ColumnAbbreviation,FALSE),"")</f>
        <v/>
      </c>
      <c r="BS454" s="21" t="str">
        <f ca="1">IFERROR(VLOOKUP(Z454,OFFSET(abbreviation[],0,ColumnLanguage),ColumnAbbreviation,FALSE),"")</f>
        <v/>
      </c>
      <c r="BT454" s="21" t="str">
        <f ca="1">IFERROR(VLOOKUP(AB454,OFFSET(abbreviation[],0,ColumnLanguage),ColumnAbbreviation,FALSE),"")</f>
        <v/>
      </c>
      <c r="BU454" s="21" t="str">
        <f t="shared" ca="1" si="50"/>
        <v>__</v>
      </c>
      <c r="BV454" s="21" t="str">
        <f ca="1">IFERROR(VLOOKUP(AF454,OFFSET(abbreviation[],0,ColumnLanguage),ColumnAbbreviation,FALSE),"")</f>
        <v/>
      </c>
      <c r="BW454" s="21" t="str">
        <f ca="1">IFERROR(VLOOKUP(AH454,OFFSET(abbreviation[],0,ColumnLanguage),ColumnAbbreviation,FALSE),"")</f>
        <v/>
      </c>
      <c r="BX454" s="21" t="str">
        <f ca="1">IFERROR(VLOOKUP(AJ454,OFFSET(abbreviation[],0,ColumnLanguage),ColumnAbbreviation,FALSE),"")</f>
        <v/>
      </c>
      <c r="BY454" s="21" t="str">
        <f ca="1">IFERROR(VLOOKUP(AL454,OFFSET(abbreviation[],0,ColumnLanguage),ColumnAbbreviation,FALSE),"")</f>
        <v/>
      </c>
      <c r="BZ454" s="21" t="str">
        <f t="shared" ca="1" si="51"/>
        <v>_</v>
      </c>
      <c r="CA454" s="21" t="str">
        <f ca="1">IFERROR(VLOOKUP(AP454,OFFSET(abbreviation[],0,ColumnLanguage),ColumnAbbreviation,FALSE),"")</f>
        <v/>
      </c>
      <c r="CB454" s="21" t="str">
        <f ca="1">IFERROR(VLOOKUP(AR454,OFFSET(abbreviation[],0,ColumnLanguage),ColumnAbbreviation,FALSE),"")</f>
        <v/>
      </c>
      <c r="CC454" s="21" t="str">
        <f ca="1">IFERROR(VLOOKUP(AT454,OFFSET(abbreviation[],0,ColumnLanguage),ColumnAbbreviation,FALSE),"")</f>
        <v/>
      </c>
      <c r="CD454" s="21" t="str">
        <f ca="1">IFERROR(VLOOKUP(AV454,OFFSET(abbreviation[],0,ColumnLanguage),ColumnAbbreviation,FALSE),"")</f>
        <v/>
      </c>
      <c r="CE454" s="21" t="str">
        <f t="shared" ca="1" si="52"/>
        <v>__</v>
      </c>
      <c r="CF454" s="21" t="str">
        <f ca="1">IFERROR(VLOOKUP(AX454,OFFSET(abbreviation[],0,ColumnLanguage),ColumnAbbreviation,FALSE),"")</f>
        <v/>
      </c>
      <c r="CG454" s="21" t="str">
        <f ca="1">IFERROR(VLOOKUP(AZ454,OFFSET(abbreviation[],0,ColumnLanguage),ColumnAbbreviation,FALSE),"")</f>
        <v/>
      </c>
      <c r="CH454" s="21" t="str">
        <f ca="1">IFERROR(VLOOKUP(BB454,OFFSET(abbreviation[],0,ColumnLanguage),ColumnAbbreviation,FALSE),"")</f>
        <v/>
      </c>
      <c r="CI454" s="21" t="str">
        <f ca="1">IFERROR(VLOOKUP(BD454,OFFSET(abbreviation[],0,ColumnLanguage),ColumnAbbreviation,FALSE),"")</f>
        <v/>
      </c>
      <c r="CJ454" s="21" t="str">
        <f ca="1">IFERROR(VLOOKUP(BF454,OFFSET(abbreviation[],0,ColumnLanguage),ColumnAbbreviation,FALSE),"")</f>
        <v/>
      </c>
      <c r="CK454" s="21" t="str">
        <f t="shared" ca="1" si="53"/>
        <v/>
      </c>
      <c r="CL454" s="21" t="str">
        <f t="shared" si="54"/>
        <v/>
      </c>
      <c r="CM454" s="52"/>
      <c r="CN454" s="57" t="str">
        <f t="shared" si="55"/>
        <v/>
      </c>
    </row>
    <row r="455" spans="14:92" x14ac:dyDescent="0.25">
      <c r="N455" s="58"/>
      <c r="P455" s="60"/>
      <c r="Q455" s="13"/>
      <c r="V455" s="60"/>
      <c r="X455" s="61"/>
      <c r="AB455" s="60"/>
      <c r="AN455" s="54"/>
      <c r="AS455" s="15"/>
      <c r="BH455" s="52"/>
      <c r="BI455" s="21" t="str">
        <f ca="1">IFERROR(VLOOKUP(C455,OFFSET(abbreviation[],0,ColumnLanguage),ColumnAbbreviation,FALSE),"")</f>
        <v/>
      </c>
      <c r="BJ455" s="21" t="str">
        <f ca="1">IFERROR(VLOOKUP(E455,OFFSET(abbreviation[],0,ColumnLanguage),ColumnAbbreviation,FALSE),"")</f>
        <v/>
      </c>
      <c r="BK455" s="21" t="str">
        <f ca="1">IFERROR(VLOOKUP(G455,OFFSET(abbreviation[],0,ColumnLanguage),ColumnAbbreviation,FALSE),"")</f>
        <v/>
      </c>
      <c r="BL455" s="21" t="str">
        <f ca="1">IFERROR(VLOOKUP(I455,OFFSET(abbreviation[],0,ColumnLanguage),ColumnAbbreviation,FALSE),"")</f>
        <v/>
      </c>
      <c r="BM455" s="21" t="str">
        <f ca="1">IFERROR(VLOOKUP(K455,OFFSET(abbreviation[],0,ColumnLanguage),ColumnAbbreviation,FALSE),"")</f>
        <v/>
      </c>
      <c r="BN455" s="21" t="str">
        <f t="shared" ca="1" si="49"/>
        <v/>
      </c>
      <c r="BO455" s="21" t="str">
        <f ca="1">IFERROR(VLOOKUP(N455,OFFSET(abbreviation[],0,ColumnLanguage),ColumnAbbreviation,FALSE),"")</f>
        <v/>
      </c>
      <c r="BP455" s="21" t="str">
        <f ca="1">IFERROR(VLOOKUP(P455,OFFSET(abbreviation[],0,ColumnLanguage),ColumnAbbreviation,FALSE),"")</f>
        <v/>
      </c>
      <c r="BQ455" s="21" t="str">
        <f ca="1">IFERROR(VLOOKUP(T455,OFFSET(abbreviation[],0,ColumnLanguage),ColumnAbbreviation,FALSE),"")</f>
        <v/>
      </c>
      <c r="BR455" s="21" t="str">
        <f ca="1">IFERROR(VLOOKUP(V455,OFFSET(abbreviation[],0,ColumnLanguage),ColumnAbbreviation,FALSE),"")</f>
        <v/>
      </c>
      <c r="BS455" s="21" t="str">
        <f ca="1">IFERROR(VLOOKUP(Z455,OFFSET(abbreviation[],0,ColumnLanguage),ColumnAbbreviation,FALSE),"")</f>
        <v/>
      </c>
      <c r="BT455" s="21" t="str">
        <f ca="1">IFERROR(VLOOKUP(AB455,OFFSET(abbreviation[],0,ColumnLanguage),ColumnAbbreviation,FALSE),"")</f>
        <v/>
      </c>
      <c r="BU455" s="21" t="str">
        <f t="shared" ca="1" si="50"/>
        <v>__</v>
      </c>
      <c r="BV455" s="21" t="str">
        <f ca="1">IFERROR(VLOOKUP(AF455,OFFSET(abbreviation[],0,ColumnLanguage),ColumnAbbreviation,FALSE),"")</f>
        <v/>
      </c>
      <c r="BW455" s="21" t="str">
        <f ca="1">IFERROR(VLOOKUP(AH455,OFFSET(abbreviation[],0,ColumnLanguage),ColumnAbbreviation,FALSE),"")</f>
        <v/>
      </c>
      <c r="BX455" s="21" t="str">
        <f ca="1">IFERROR(VLOOKUP(AJ455,OFFSET(abbreviation[],0,ColumnLanguage),ColumnAbbreviation,FALSE),"")</f>
        <v/>
      </c>
      <c r="BY455" s="21" t="str">
        <f ca="1">IFERROR(VLOOKUP(AL455,OFFSET(abbreviation[],0,ColumnLanguage),ColumnAbbreviation,FALSE),"")</f>
        <v/>
      </c>
      <c r="BZ455" s="21" t="str">
        <f t="shared" ca="1" si="51"/>
        <v>_</v>
      </c>
      <c r="CA455" s="21" t="str">
        <f ca="1">IFERROR(VLOOKUP(AP455,OFFSET(abbreviation[],0,ColumnLanguage),ColumnAbbreviation,FALSE),"")</f>
        <v/>
      </c>
      <c r="CB455" s="21" t="str">
        <f ca="1">IFERROR(VLOOKUP(AR455,OFFSET(abbreviation[],0,ColumnLanguage),ColumnAbbreviation,FALSE),"")</f>
        <v/>
      </c>
      <c r="CC455" s="21" t="str">
        <f ca="1">IFERROR(VLOOKUP(AT455,OFFSET(abbreviation[],0,ColumnLanguage),ColumnAbbreviation,FALSE),"")</f>
        <v/>
      </c>
      <c r="CD455" s="21" t="str">
        <f ca="1">IFERROR(VLOOKUP(AV455,OFFSET(abbreviation[],0,ColumnLanguage),ColumnAbbreviation,FALSE),"")</f>
        <v/>
      </c>
      <c r="CE455" s="21" t="str">
        <f t="shared" ca="1" si="52"/>
        <v>__</v>
      </c>
      <c r="CF455" s="21" t="str">
        <f ca="1">IFERROR(VLOOKUP(AX455,OFFSET(abbreviation[],0,ColumnLanguage),ColumnAbbreviation,FALSE),"")</f>
        <v/>
      </c>
      <c r="CG455" s="21" t="str">
        <f ca="1">IFERROR(VLOOKUP(AZ455,OFFSET(abbreviation[],0,ColumnLanguage),ColumnAbbreviation,FALSE),"")</f>
        <v/>
      </c>
      <c r="CH455" s="21" t="str">
        <f ca="1">IFERROR(VLOOKUP(BB455,OFFSET(abbreviation[],0,ColumnLanguage),ColumnAbbreviation,FALSE),"")</f>
        <v/>
      </c>
      <c r="CI455" s="21" t="str">
        <f ca="1">IFERROR(VLOOKUP(BD455,OFFSET(abbreviation[],0,ColumnLanguage),ColumnAbbreviation,FALSE),"")</f>
        <v/>
      </c>
      <c r="CJ455" s="21" t="str">
        <f ca="1">IFERROR(VLOOKUP(BF455,OFFSET(abbreviation[],0,ColumnLanguage),ColumnAbbreviation,FALSE),"")</f>
        <v/>
      </c>
      <c r="CK455" s="21" t="str">
        <f t="shared" ca="1" si="53"/>
        <v/>
      </c>
      <c r="CL455" s="21" t="str">
        <f t="shared" si="54"/>
        <v/>
      </c>
      <c r="CM455" s="52"/>
      <c r="CN455" s="57" t="str">
        <f t="shared" si="55"/>
        <v/>
      </c>
    </row>
    <row r="456" spans="14:92" x14ac:dyDescent="0.25">
      <c r="N456" s="58"/>
      <c r="P456" s="60"/>
      <c r="Q456" s="13"/>
      <c r="V456" s="60"/>
      <c r="X456" s="61"/>
      <c r="AB456" s="60"/>
      <c r="AN456" s="54"/>
      <c r="AS456" s="15"/>
      <c r="BH456" s="52"/>
      <c r="BI456" s="21" t="str">
        <f ca="1">IFERROR(VLOOKUP(C456,OFFSET(abbreviation[],0,ColumnLanguage),ColumnAbbreviation,FALSE),"")</f>
        <v/>
      </c>
      <c r="BJ456" s="21" t="str">
        <f ca="1">IFERROR(VLOOKUP(E456,OFFSET(abbreviation[],0,ColumnLanguage),ColumnAbbreviation,FALSE),"")</f>
        <v/>
      </c>
      <c r="BK456" s="21" t="str">
        <f ca="1">IFERROR(VLOOKUP(G456,OFFSET(abbreviation[],0,ColumnLanguage),ColumnAbbreviation,FALSE),"")</f>
        <v/>
      </c>
      <c r="BL456" s="21" t="str">
        <f ca="1">IFERROR(VLOOKUP(I456,OFFSET(abbreviation[],0,ColumnLanguage),ColumnAbbreviation,FALSE),"")</f>
        <v/>
      </c>
      <c r="BM456" s="21" t="str">
        <f ca="1">IFERROR(VLOOKUP(K456,OFFSET(abbreviation[],0,ColumnLanguage),ColumnAbbreviation,FALSE),"")</f>
        <v/>
      </c>
      <c r="BN456" s="21" t="str">
        <f t="shared" ca="1" si="49"/>
        <v/>
      </c>
      <c r="BO456" s="21" t="str">
        <f ca="1">IFERROR(VLOOKUP(N456,OFFSET(abbreviation[],0,ColumnLanguage),ColumnAbbreviation,FALSE),"")</f>
        <v/>
      </c>
      <c r="BP456" s="21" t="str">
        <f ca="1">IFERROR(VLOOKUP(P456,OFFSET(abbreviation[],0,ColumnLanguage),ColumnAbbreviation,FALSE),"")</f>
        <v/>
      </c>
      <c r="BQ456" s="21" t="str">
        <f ca="1">IFERROR(VLOOKUP(T456,OFFSET(abbreviation[],0,ColumnLanguage),ColumnAbbreviation,FALSE),"")</f>
        <v/>
      </c>
      <c r="BR456" s="21" t="str">
        <f ca="1">IFERROR(VLOOKUP(V456,OFFSET(abbreviation[],0,ColumnLanguage),ColumnAbbreviation,FALSE),"")</f>
        <v/>
      </c>
      <c r="BS456" s="21" t="str">
        <f ca="1">IFERROR(VLOOKUP(Z456,OFFSET(abbreviation[],0,ColumnLanguage),ColumnAbbreviation,FALSE),"")</f>
        <v/>
      </c>
      <c r="BT456" s="21" t="str">
        <f ca="1">IFERROR(VLOOKUP(AB456,OFFSET(abbreviation[],0,ColumnLanguage),ColumnAbbreviation,FALSE),"")</f>
        <v/>
      </c>
      <c r="BU456" s="21" t="str">
        <f t="shared" ca="1" si="50"/>
        <v>__</v>
      </c>
      <c r="BV456" s="21" t="str">
        <f ca="1">IFERROR(VLOOKUP(AF456,OFFSET(abbreviation[],0,ColumnLanguage),ColumnAbbreviation,FALSE),"")</f>
        <v/>
      </c>
      <c r="BW456" s="21" t="str">
        <f ca="1">IFERROR(VLOOKUP(AH456,OFFSET(abbreviation[],0,ColumnLanguage),ColumnAbbreviation,FALSE),"")</f>
        <v/>
      </c>
      <c r="BX456" s="21" t="str">
        <f ca="1">IFERROR(VLOOKUP(AJ456,OFFSET(abbreviation[],0,ColumnLanguage),ColumnAbbreviation,FALSE),"")</f>
        <v/>
      </c>
      <c r="BY456" s="21" t="str">
        <f ca="1">IFERROR(VLOOKUP(AL456,OFFSET(abbreviation[],0,ColumnLanguage),ColumnAbbreviation,FALSE),"")</f>
        <v/>
      </c>
      <c r="BZ456" s="21" t="str">
        <f t="shared" ca="1" si="51"/>
        <v>_</v>
      </c>
      <c r="CA456" s="21" t="str">
        <f ca="1">IFERROR(VLOOKUP(AP456,OFFSET(abbreviation[],0,ColumnLanguage),ColumnAbbreviation,FALSE),"")</f>
        <v/>
      </c>
      <c r="CB456" s="21" t="str">
        <f ca="1">IFERROR(VLOOKUP(AR456,OFFSET(abbreviation[],0,ColumnLanguage),ColumnAbbreviation,FALSE),"")</f>
        <v/>
      </c>
      <c r="CC456" s="21" t="str">
        <f ca="1">IFERROR(VLOOKUP(AT456,OFFSET(abbreviation[],0,ColumnLanguage),ColumnAbbreviation,FALSE),"")</f>
        <v/>
      </c>
      <c r="CD456" s="21" t="str">
        <f ca="1">IFERROR(VLOOKUP(AV456,OFFSET(abbreviation[],0,ColumnLanguage),ColumnAbbreviation,FALSE),"")</f>
        <v/>
      </c>
      <c r="CE456" s="21" t="str">
        <f t="shared" ca="1" si="52"/>
        <v>__</v>
      </c>
      <c r="CF456" s="21" t="str">
        <f ca="1">IFERROR(VLOOKUP(AX456,OFFSET(abbreviation[],0,ColumnLanguage),ColumnAbbreviation,FALSE),"")</f>
        <v/>
      </c>
      <c r="CG456" s="21" t="str">
        <f ca="1">IFERROR(VLOOKUP(AZ456,OFFSET(abbreviation[],0,ColumnLanguage),ColumnAbbreviation,FALSE),"")</f>
        <v/>
      </c>
      <c r="CH456" s="21" t="str">
        <f ca="1">IFERROR(VLOOKUP(BB456,OFFSET(abbreviation[],0,ColumnLanguage),ColumnAbbreviation,FALSE),"")</f>
        <v/>
      </c>
      <c r="CI456" s="21" t="str">
        <f ca="1">IFERROR(VLOOKUP(BD456,OFFSET(abbreviation[],0,ColumnLanguage),ColumnAbbreviation,FALSE),"")</f>
        <v/>
      </c>
      <c r="CJ456" s="21" t="str">
        <f ca="1">IFERROR(VLOOKUP(BF456,OFFSET(abbreviation[],0,ColumnLanguage),ColumnAbbreviation,FALSE),"")</f>
        <v/>
      </c>
      <c r="CK456" s="21" t="str">
        <f t="shared" ca="1" si="53"/>
        <v/>
      </c>
      <c r="CL456" s="21" t="str">
        <f t="shared" si="54"/>
        <v/>
      </c>
      <c r="CM456" s="52"/>
      <c r="CN456" s="57" t="str">
        <f t="shared" si="55"/>
        <v/>
      </c>
    </row>
    <row r="457" spans="14:92" x14ac:dyDescent="0.25">
      <c r="N457" s="58"/>
      <c r="P457" s="60"/>
      <c r="Q457" s="13"/>
      <c r="V457" s="60"/>
      <c r="X457" s="61"/>
      <c r="AB457" s="60"/>
      <c r="AN457" s="54"/>
      <c r="AS457" s="15"/>
      <c r="BH457" s="52"/>
      <c r="BI457" s="21" t="str">
        <f ca="1">IFERROR(VLOOKUP(C457,OFFSET(abbreviation[],0,ColumnLanguage),ColumnAbbreviation,FALSE),"")</f>
        <v/>
      </c>
      <c r="BJ457" s="21" t="str">
        <f ca="1">IFERROR(VLOOKUP(E457,OFFSET(abbreviation[],0,ColumnLanguage),ColumnAbbreviation,FALSE),"")</f>
        <v/>
      </c>
      <c r="BK457" s="21" t="str">
        <f ca="1">IFERROR(VLOOKUP(G457,OFFSET(abbreviation[],0,ColumnLanguage),ColumnAbbreviation,FALSE),"")</f>
        <v/>
      </c>
      <c r="BL457" s="21" t="str">
        <f ca="1">IFERROR(VLOOKUP(I457,OFFSET(abbreviation[],0,ColumnLanguage),ColumnAbbreviation,FALSE),"")</f>
        <v/>
      </c>
      <c r="BM457" s="21" t="str">
        <f ca="1">IFERROR(VLOOKUP(K457,OFFSET(abbreviation[],0,ColumnLanguage),ColumnAbbreviation,FALSE),"")</f>
        <v/>
      </c>
      <c r="BN457" s="21" t="str">
        <f t="shared" ca="1" si="49"/>
        <v/>
      </c>
      <c r="BO457" s="21" t="str">
        <f ca="1">IFERROR(VLOOKUP(N457,OFFSET(abbreviation[],0,ColumnLanguage),ColumnAbbreviation,FALSE),"")</f>
        <v/>
      </c>
      <c r="BP457" s="21" t="str">
        <f ca="1">IFERROR(VLOOKUP(P457,OFFSET(abbreviation[],0,ColumnLanguage),ColumnAbbreviation,FALSE),"")</f>
        <v/>
      </c>
      <c r="BQ457" s="21" t="str">
        <f ca="1">IFERROR(VLOOKUP(T457,OFFSET(abbreviation[],0,ColumnLanguage),ColumnAbbreviation,FALSE),"")</f>
        <v/>
      </c>
      <c r="BR457" s="21" t="str">
        <f ca="1">IFERROR(VLOOKUP(V457,OFFSET(abbreviation[],0,ColumnLanguage),ColumnAbbreviation,FALSE),"")</f>
        <v/>
      </c>
      <c r="BS457" s="21" t="str">
        <f ca="1">IFERROR(VLOOKUP(Z457,OFFSET(abbreviation[],0,ColumnLanguage),ColumnAbbreviation,FALSE),"")</f>
        <v/>
      </c>
      <c r="BT457" s="21" t="str">
        <f ca="1">IFERROR(VLOOKUP(AB457,OFFSET(abbreviation[],0,ColumnLanguage),ColumnAbbreviation,FALSE),"")</f>
        <v/>
      </c>
      <c r="BU457" s="21" t="str">
        <f t="shared" ca="1" si="50"/>
        <v>__</v>
      </c>
      <c r="BV457" s="21" t="str">
        <f ca="1">IFERROR(VLOOKUP(AF457,OFFSET(abbreviation[],0,ColumnLanguage),ColumnAbbreviation,FALSE),"")</f>
        <v/>
      </c>
      <c r="BW457" s="21" t="str">
        <f ca="1">IFERROR(VLOOKUP(AH457,OFFSET(abbreviation[],0,ColumnLanguage),ColumnAbbreviation,FALSE),"")</f>
        <v/>
      </c>
      <c r="BX457" s="21" t="str">
        <f ca="1">IFERROR(VLOOKUP(AJ457,OFFSET(abbreviation[],0,ColumnLanguage),ColumnAbbreviation,FALSE),"")</f>
        <v/>
      </c>
      <c r="BY457" s="21" t="str">
        <f ca="1">IFERROR(VLOOKUP(AL457,OFFSET(abbreviation[],0,ColumnLanguage),ColumnAbbreviation,FALSE),"")</f>
        <v/>
      </c>
      <c r="BZ457" s="21" t="str">
        <f t="shared" ca="1" si="51"/>
        <v>_</v>
      </c>
      <c r="CA457" s="21" t="str">
        <f ca="1">IFERROR(VLOOKUP(AP457,OFFSET(abbreviation[],0,ColumnLanguage),ColumnAbbreviation,FALSE),"")</f>
        <v/>
      </c>
      <c r="CB457" s="21" t="str">
        <f ca="1">IFERROR(VLOOKUP(AR457,OFFSET(abbreviation[],0,ColumnLanguage),ColumnAbbreviation,FALSE),"")</f>
        <v/>
      </c>
      <c r="CC457" s="21" t="str">
        <f ca="1">IFERROR(VLOOKUP(AT457,OFFSET(abbreviation[],0,ColumnLanguage),ColumnAbbreviation,FALSE),"")</f>
        <v/>
      </c>
      <c r="CD457" s="21" t="str">
        <f ca="1">IFERROR(VLOOKUP(AV457,OFFSET(abbreviation[],0,ColumnLanguage),ColumnAbbreviation,FALSE),"")</f>
        <v/>
      </c>
      <c r="CE457" s="21" t="str">
        <f t="shared" ca="1" si="52"/>
        <v>__</v>
      </c>
      <c r="CF457" s="21" t="str">
        <f ca="1">IFERROR(VLOOKUP(AX457,OFFSET(abbreviation[],0,ColumnLanguage),ColumnAbbreviation,FALSE),"")</f>
        <v/>
      </c>
      <c r="CG457" s="21" t="str">
        <f ca="1">IFERROR(VLOOKUP(AZ457,OFFSET(abbreviation[],0,ColumnLanguage),ColumnAbbreviation,FALSE),"")</f>
        <v/>
      </c>
      <c r="CH457" s="21" t="str">
        <f ca="1">IFERROR(VLOOKUP(BB457,OFFSET(abbreviation[],0,ColumnLanguage),ColumnAbbreviation,FALSE),"")</f>
        <v/>
      </c>
      <c r="CI457" s="21" t="str">
        <f ca="1">IFERROR(VLOOKUP(BD457,OFFSET(abbreviation[],0,ColumnLanguage),ColumnAbbreviation,FALSE),"")</f>
        <v/>
      </c>
      <c r="CJ457" s="21" t="str">
        <f ca="1">IFERROR(VLOOKUP(BF457,OFFSET(abbreviation[],0,ColumnLanguage),ColumnAbbreviation,FALSE),"")</f>
        <v/>
      </c>
      <c r="CK457" s="21" t="str">
        <f t="shared" ca="1" si="53"/>
        <v/>
      </c>
      <c r="CL457" s="21" t="str">
        <f t="shared" si="54"/>
        <v/>
      </c>
      <c r="CM457" s="52"/>
      <c r="CN457" s="57" t="str">
        <f t="shared" si="55"/>
        <v/>
      </c>
    </row>
    <row r="458" spans="14:92" x14ac:dyDescent="0.25">
      <c r="N458" s="58"/>
      <c r="P458" s="60"/>
      <c r="Q458" s="13"/>
      <c r="V458" s="60"/>
      <c r="X458" s="61"/>
      <c r="AB458" s="60"/>
      <c r="AN458" s="54"/>
      <c r="AS458" s="15"/>
      <c r="BH458" s="52"/>
      <c r="BI458" s="21" t="str">
        <f ca="1">IFERROR(VLOOKUP(C458,OFFSET(abbreviation[],0,ColumnLanguage),ColumnAbbreviation,FALSE),"")</f>
        <v/>
      </c>
      <c r="BJ458" s="21" t="str">
        <f ca="1">IFERROR(VLOOKUP(E458,OFFSET(abbreviation[],0,ColumnLanguage),ColumnAbbreviation,FALSE),"")</f>
        <v/>
      </c>
      <c r="BK458" s="21" t="str">
        <f ca="1">IFERROR(VLOOKUP(G458,OFFSET(abbreviation[],0,ColumnLanguage),ColumnAbbreviation,FALSE),"")</f>
        <v/>
      </c>
      <c r="BL458" s="21" t="str">
        <f ca="1">IFERROR(VLOOKUP(I458,OFFSET(abbreviation[],0,ColumnLanguage),ColumnAbbreviation,FALSE),"")</f>
        <v/>
      </c>
      <c r="BM458" s="21" t="str">
        <f ca="1">IFERROR(VLOOKUP(K458,OFFSET(abbreviation[],0,ColumnLanguage),ColumnAbbreviation,FALSE),"")</f>
        <v/>
      </c>
      <c r="BN458" s="21" t="str">
        <f t="shared" ca="1" si="49"/>
        <v/>
      </c>
      <c r="BO458" s="21" t="str">
        <f ca="1">IFERROR(VLOOKUP(N458,OFFSET(abbreviation[],0,ColumnLanguage),ColumnAbbreviation,FALSE),"")</f>
        <v/>
      </c>
      <c r="BP458" s="21" t="str">
        <f ca="1">IFERROR(VLOOKUP(P458,OFFSET(abbreviation[],0,ColumnLanguage),ColumnAbbreviation,FALSE),"")</f>
        <v/>
      </c>
      <c r="BQ458" s="21" t="str">
        <f ca="1">IFERROR(VLOOKUP(T458,OFFSET(abbreviation[],0,ColumnLanguage),ColumnAbbreviation,FALSE),"")</f>
        <v/>
      </c>
      <c r="BR458" s="21" t="str">
        <f ca="1">IFERROR(VLOOKUP(V458,OFFSET(abbreviation[],0,ColumnLanguage),ColumnAbbreviation,FALSE),"")</f>
        <v/>
      </c>
      <c r="BS458" s="21" t="str">
        <f ca="1">IFERROR(VLOOKUP(Z458,OFFSET(abbreviation[],0,ColumnLanguage),ColumnAbbreviation,FALSE),"")</f>
        <v/>
      </c>
      <c r="BT458" s="21" t="str">
        <f ca="1">IFERROR(VLOOKUP(AB458,OFFSET(abbreviation[],0,ColumnLanguage),ColumnAbbreviation,FALSE),"")</f>
        <v/>
      </c>
      <c r="BU458" s="21" t="str">
        <f t="shared" ca="1" si="50"/>
        <v>__</v>
      </c>
      <c r="BV458" s="21" t="str">
        <f ca="1">IFERROR(VLOOKUP(AF458,OFFSET(abbreviation[],0,ColumnLanguage),ColumnAbbreviation,FALSE),"")</f>
        <v/>
      </c>
      <c r="BW458" s="21" t="str">
        <f ca="1">IFERROR(VLOOKUP(AH458,OFFSET(abbreviation[],0,ColumnLanguage),ColumnAbbreviation,FALSE),"")</f>
        <v/>
      </c>
      <c r="BX458" s="21" t="str">
        <f ca="1">IFERROR(VLOOKUP(AJ458,OFFSET(abbreviation[],0,ColumnLanguage),ColumnAbbreviation,FALSE),"")</f>
        <v/>
      </c>
      <c r="BY458" s="21" t="str">
        <f ca="1">IFERROR(VLOOKUP(AL458,OFFSET(abbreviation[],0,ColumnLanguage),ColumnAbbreviation,FALSE),"")</f>
        <v/>
      </c>
      <c r="BZ458" s="21" t="str">
        <f t="shared" ca="1" si="51"/>
        <v>_</v>
      </c>
      <c r="CA458" s="21" t="str">
        <f ca="1">IFERROR(VLOOKUP(AP458,OFFSET(abbreviation[],0,ColumnLanguage),ColumnAbbreviation,FALSE),"")</f>
        <v/>
      </c>
      <c r="CB458" s="21" t="str">
        <f ca="1">IFERROR(VLOOKUP(AR458,OFFSET(abbreviation[],0,ColumnLanguage),ColumnAbbreviation,FALSE),"")</f>
        <v/>
      </c>
      <c r="CC458" s="21" t="str">
        <f ca="1">IFERROR(VLOOKUP(AT458,OFFSET(abbreviation[],0,ColumnLanguage),ColumnAbbreviation,FALSE),"")</f>
        <v/>
      </c>
      <c r="CD458" s="21" t="str">
        <f ca="1">IFERROR(VLOOKUP(AV458,OFFSET(abbreviation[],0,ColumnLanguage),ColumnAbbreviation,FALSE),"")</f>
        <v/>
      </c>
      <c r="CE458" s="21" t="str">
        <f t="shared" ca="1" si="52"/>
        <v>__</v>
      </c>
      <c r="CF458" s="21" t="str">
        <f ca="1">IFERROR(VLOOKUP(AX458,OFFSET(abbreviation[],0,ColumnLanguage),ColumnAbbreviation,FALSE),"")</f>
        <v/>
      </c>
      <c r="CG458" s="21" t="str">
        <f ca="1">IFERROR(VLOOKUP(AZ458,OFFSET(abbreviation[],0,ColumnLanguage),ColumnAbbreviation,FALSE),"")</f>
        <v/>
      </c>
      <c r="CH458" s="21" t="str">
        <f ca="1">IFERROR(VLOOKUP(BB458,OFFSET(abbreviation[],0,ColumnLanguage),ColumnAbbreviation,FALSE),"")</f>
        <v/>
      </c>
      <c r="CI458" s="21" t="str">
        <f ca="1">IFERROR(VLOOKUP(BD458,OFFSET(abbreviation[],0,ColumnLanguage),ColumnAbbreviation,FALSE),"")</f>
        <v/>
      </c>
      <c r="CJ458" s="21" t="str">
        <f ca="1">IFERROR(VLOOKUP(BF458,OFFSET(abbreviation[],0,ColumnLanguage),ColumnAbbreviation,FALSE),"")</f>
        <v/>
      </c>
      <c r="CK458" s="21" t="str">
        <f t="shared" ca="1" si="53"/>
        <v/>
      </c>
      <c r="CL458" s="21" t="str">
        <f t="shared" si="54"/>
        <v/>
      </c>
      <c r="CM458" s="52"/>
      <c r="CN458" s="57" t="str">
        <f t="shared" si="55"/>
        <v/>
      </c>
    </row>
    <row r="459" spans="14:92" x14ac:dyDescent="0.25">
      <c r="N459" s="58"/>
      <c r="P459" s="60"/>
      <c r="Q459" s="13"/>
      <c r="V459" s="60"/>
      <c r="X459" s="61"/>
      <c r="AB459" s="60"/>
      <c r="AN459" s="54"/>
      <c r="AS459" s="15"/>
      <c r="BH459" s="52"/>
      <c r="BI459" s="21" t="str">
        <f ca="1">IFERROR(VLOOKUP(C459,OFFSET(abbreviation[],0,ColumnLanguage),ColumnAbbreviation,FALSE),"")</f>
        <v/>
      </c>
      <c r="BJ459" s="21" t="str">
        <f ca="1">IFERROR(VLOOKUP(E459,OFFSET(abbreviation[],0,ColumnLanguage),ColumnAbbreviation,FALSE),"")</f>
        <v/>
      </c>
      <c r="BK459" s="21" t="str">
        <f ca="1">IFERROR(VLOOKUP(G459,OFFSET(abbreviation[],0,ColumnLanguage),ColumnAbbreviation,FALSE),"")</f>
        <v/>
      </c>
      <c r="BL459" s="21" t="str">
        <f ca="1">IFERROR(VLOOKUP(I459,OFFSET(abbreviation[],0,ColumnLanguage),ColumnAbbreviation,FALSE),"")</f>
        <v/>
      </c>
      <c r="BM459" s="21" t="str">
        <f ca="1">IFERROR(VLOOKUP(K459,OFFSET(abbreviation[],0,ColumnLanguage),ColumnAbbreviation,FALSE),"")</f>
        <v/>
      </c>
      <c r="BN459" s="21" t="str">
        <f t="shared" ca="1" si="49"/>
        <v/>
      </c>
      <c r="BO459" s="21" t="str">
        <f ca="1">IFERROR(VLOOKUP(N459,OFFSET(abbreviation[],0,ColumnLanguage),ColumnAbbreviation,FALSE),"")</f>
        <v/>
      </c>
      <c r="BP459" s="21" t="str">
        <f ca="1">IFERROR(VLOOKUP(P459,OFFSET(abbreviation[],0,ColumnLanguage),ColumnAbbreviation,FALSE),"")</f>
        <v/>
      </c>
      <c r="BQ459" s="21" t="str">
        <f ca="1">IFERROR(VLOOKUP(T459,OFFSET(abbreviation[],0,ColumnLanguage),ColumnAbbreviation,FALSE),"")</f>
        <v/>
      </c>
      <c r="BR459" s="21" t="str">
        <f ca="1">IFERROR(VLOOKUP(V459,OFFSET(abbreviation[],0,ColumnLanguage),ColumnAbbreviation,FALSE),"")</f>
        <v/>
      </c>
      <c r="BS459" s="21" t="str">
        <f ca="1">IFERROR(VLOOKUP(Z459,OFFSET(abbreviation[],0,ColumnLanguage),ColumnAbbreviation,FALSE),"")</f>
        <v/>
      </c>
      <c r="BT459" s="21" t="str">
        <f ca="1">IFERROR(VLOOKUP(AB459,OFFSET(abbreviation[],0,ColumnLanguage),ColumnAbbreviation,FALSE),"")</f>
        <v/>
      </c>
      <c r="BU459" s="21" t="str">
        <f t="shared" ca="1" si="50"/>
        <v>__</v>
      </c>
      <c r="BV459" s="21" t="str">
        <f ca="1">IFERROR(VLOOKUP(AF459,OFFSET(abbreviation[],0,ColumnLanguage),ColumnAbbreviation,FALSE),"")</f>
        <v/>
      </c>
      <c r="BW459" s="21" t="str">
        <f ca="1">IFERROR(VLOOKUP(AH459,OFFSET(abbreviation[],0,ColumnLanguage),ColumnAbbreviation,FALSE),"")</f>
        <v/>
      </c>
      <c r="BX459" s="21" t="str">
        <f ca="1">IFERROR(VLOOKUP(AJ459,OFFSET(abbreviation[],0,ColumnLanguage),ColumnAbbreviation,FALSE),"")</f>
        <v/>
      </c>
      <c r="BY459" s="21" t="str">
        <f ca="1">IFERROR(VLOOKUP(AL459,OFFSET(abbreviation[],0,ColumnLanguage),ColumnAbbreviation,FALSE),"")</f>
        <v/>
      </c>
      <c r="BZ459" s="21" t="str">
        <f t="shared" ca="1" si="51"/>
        <v>_</v>
      </c>
      <c r="CA459" s="21" t="str">
        <f ca="1">IFERROR(VLOOKUP(AP459,OFFSET(abbreviation[],0,ColumnLanguage),ColumnAbbreviation,FALSE),"")</f>
        <v/>
      </c>
      <c r="CB459" s="21" t="str">
        <f ca="1">IFERROR(VLOOKUP(AR459,OFFSET(abbreviation[],0,ColumnLanguage),ColumnAbbreviation,FALSE),"")</f>
        <v/>
      </c>
      <c r="CC459" s="21" t="str">
        <f ca="1">IFERROR(VLOOKUP(AT459,OFFSET(abbreviation[],0,ColumnLanguage),ColumnAbbreviation,FALSE),"")</f>
        <v/>
      </c>
      <c r="CD459" s="21" t="str">
        <f ca="1">IFERROR(VLOOKUP(AV459,OFFSET(abbreviation[],0,ColumnLanguage),ColumnAbbreviation,FALSE),"")</f>
        <v/>
      </c>
      <c r="CE459" s="21" t="str">
        <f t="shared" ca="1" si="52"/>
        <v>__</v>
      </c>
      <c r="CF459" s="21" t="str">
        <f ca="1">IFERROR(VLOOKUP(AX459,OFFSET(abbreviation[],0,ColumnLanguage),ColumnAbbreviation,FALSE),"")</f>
        <v/>
      </c>
      <c r="CG459" s="21" t="str">
        <f ca="1">IFERROR(VLOOKUP(AZ459,OFFSET(abbreviation[],0,ColumnLanguage),ColumnAbbreviation,FALSE),"")</f>
        <v/>
      </c>
      <c r="CH459" s="21" t="str">
        <f ca="1">IFERROR(VLOOKUP(BB459,OFFSET(abbreviation[],0,ColumnLanguage),ColumnAbbreviation,FALSE),"")</f>
        <v/>
      </c>
      <c r="CI459" s="21" t="str">
        <f ca="1">IFERROR(VLOOKUP(BD459,OFFSET(abbreviation[],0,ColumnLanguage),ColumnAbbreviation,FALSE),"")</f>
        <v/>
      </c>
      <c r="CJ459" s="21" t="str">
        <f ca="1">IFERROR(VLOOKUP(BF459,OFFSET(abbreviation[],0,ColumnLanguage),ColumnAbbreviation,FALSE),"")</f>
        <v/>
      </c>
      <c r="CK459" s="21" t="str">
        <f t="shared" ca="1" si="53"/>
        <v/>
      </c>
      <c r="CL459" s="21" t="str">
        <f t="shared" si="54"/>
        <v/>
      </c>
      <c r="CM459" s="52"/>
      <c r="CN459" s="57" t="str">
        <f t="shared" si="55"/>
        <v/>
      </c>
    </row>
    <row r="460" spans="14:92" x14ac:dyDescent="0.25">
      <c r="N460" s="58"/>
      <c r="P460" s="60"/>
      <c r="Q460" s="13"/>
      <c r="V460" s="60"/>
      <c r="X460" s="61"/>
      <c r="AB460" s="60"/>
      <c r="AN460" s="54"/>
      <c r="AS460" s="15"/>
      <c r="BH460" s="52"/>
      <c r="BI460" s="21" t="str">
        <f ca="1">IFERROR(VLOOKUP(C460,OFFSET(abbreviation[],0,ColumnLanguage),ColumnAbbreviation,FALSE),"")</f>
        <v/>
      </c>
      <c r="BJ460" s="21" t="str">
        <f ca="1">IFERROR(VLOOKUP(E460,OFFSET(abbreviation[],0,ColumnLanguage),ColumnAbbreviation,FALSE),"")</f>
        <v/>
      </c>
      <c r="BK460" s="21" t="str">
        <f ca="1">IFERROR(VLOOKUP(G460,OFFSET(abbreviation[],0,ColumnLanguage),ColumnAbbreviation,FALSE),"")</f>
        <v/>
      </c>
      <c r="BL460" s="21" t="str">
        <f ca="1">IFERROR(VLOOKUP(I460,OFFSET(abbreviation[],0,ColumnLanguage),ColumnAbbreviation,FALSE),"")</f>
        <v/>
      </c>
      <c r="BM460" s="21" t="str">
        <f ca="1">IFERROR(VLOOKUP(K460,OFFSET(abbreviation[],0,ColumnLanguage),ColumnAbbreviation,FALSE),"")</f>
        <v/>
      </c>
      <c r="BN460" s="21" t="str">
        <f t="shared" ca="1" si="49"/>
        <v/>
      </c>
      <c r="BO460" s="21" t="str">
        <f ca="1">IFERROR(VLOOKUP(N460,OFFSET(abbreviation[],0,ColumnLanguage),ColumnAbbreviation,FALSE),"")</f>
        <v/>
      </c>
      <c r="BP460" s="21" t="str">
        <f ca="1">IFERROR(VLOOKUP(P460,OFFSET(abbreviation[],0,ColumnLanguage),ColumnAbbreviation,FALSE),"")</f>
        <v/>
      </c>
      <c r="BQ460" s="21" t="str">
        <f ca="1">IFERROR(VLOOKUP(T460,OFFSET(abbreviation[],0,ColumnLanguage),ColumnAbbreviation,FALSE),"")</f>
        <v/>
      </c>
      <c r="BR460" s="21" t="str">
        <f ca="1">IFERROR(VLOOKUP(V460,OFFSET(abbreviation[],0,ColumnLanguage),ColumnAbbreviation,FALSE),"")</f>
        <v/>
      </c>
      <c r="BS460" s="21" t="str">
        <f ca="1">IFERROR(VLOOKUP(Z460,OFFSET(abbreviation[],0,ColumnLanguage),ColumnAbbreviation,FALSE),"")</f>
        <v/>
      </c>
      <c r="BT460" s="21" t="str">
        <f ca="1">IFERROR(VLOOKUP(AB460,OFFSET(abbreviation[],0,ColumnLanguage),ColumnAbbreviation,FALSE),"")</f>
        <v/>
      </c>
      <c r="BU460" s="21" t="str">
        <f t="shared" ca="1" si="50"/>
        <v>__</v>
      </c>
      <c r="BV460" s="21" t="str">
        <f ca="1">IFERROR(VLOOKUP(AF460,OFFSET(abbreviation[],0,ColumnLanguage),ColumnAbbreviation,FALSE),"")</f>
        <v/>
      </c>
      <c r="BW460" s="21" t="str">
        <f ca="1">IFERROR(VLOOKUP(AH460,OFFSET(abbreviation[],0,ColumnLanguage),ColumnAbbreviation,FALSE),"")</f>
        <v/>
      </c>
      <c r="BX460" s="21" t="str">
        <f ca="1">IFERROR(VLOOKUP(AJ460,OFFSET(abbreviation[],0,ColumnLanguage),ColumnAbbreviation,FALSE),"")</f>
        <v/>
      </c>
      <c r="BY460" s="21" t="str">
        <f ca="1">IFERROR(VLOOKUP(AL460,OFFSET(abbreviation[],0,ColumnLanguage),ColumnAbbreviation,FALSE),"")</f>
        <v/>
      </c>
      <c r="BZ460" s="21" t="str">
        <f t="shared" ca="1" si="51"/>
        <v>_</v>
      </c>
      <c r="CA460" s="21" t="str">
        <f ca="1">IFERROR(VLOOKUP(AP460,OFFSET(abbreviation[],0,ColumnLanguage),ColumnAbbreviation,FALSE),"")</f>
        <v/>
      </c>
      <c r="CB460" s="21" t="str">
        <f ca="1">IFERROR(VLOOKUP(AR460,OFFSET(abbreviation[],0,ColumnLanguage),ColumnAbbreviation,FALSE),"")</f>
        <v/>
      </c>
      <c r="CC460" s="21" t="str">
        <f ca="1">IFERROR(VLOOKUP(AT460,OFFSET(abbreviation[],0,ColumnLanguage),ColumnAbbreviation,FALSE),"")</f>
        <v/>
      </c>
      <c r="CD460" s="21" t="str">
        <f ca="1">IFERROR(VLOOKUP(AV460,OFFSET(abbreviation[],0,ColumnLanguage),ColumnAbbreviation,FALSE),"")</f>
        <v/>
      </c>
      <c r="CE460" s="21" t="str">
        <f t="shared" ca="1" si="52"/>
        <v>__</v>
      </c>
      <c r="CF460" s="21" t="str">
        <f ca="1">IFERROR(VLOOKUP(AX460,OFFSET(abbreviation[],0,ColumnLanguage),ColumnAbbreviation,FALSE),"")</f>
        <v/>
      </c>
      <c r="CG460" s="21" t="str">
        <f ca="1">IFERROR(VLOOKUP(AZ460,OFFSET(abbreviation[],0,ColumnLanguage),ColumnAbbreviation,FALSE),"")</f>
        <v/>
      </c>
      <c r="CH460" s="21" t="str">
        <f ca="1">IFERROR(VLOOKUP(BB460,OFFSET(abbreviation[],0,ColumnLanguage),ColumnAbbreviation,FALSE),"")</f>
        <v/>
      </c>
      <c r="CI460" s="21" t="str">
        <f ca="1">IFERROR(VLOOKUP(BD460,OFFSET(abbreviation[],0,ColumnLanguage),ColumnAbbreviation,FALSE),"")</f>
        <v/>
      </c>
      <c r="CJ460" s="21" t="str">
        <f ca="1">IFERROR(VLOOKUP(BF460,OFFSET(abbreviation[],0,ColumnLanguage),ColumnAbbreviation,FALSE),"")</f>
        <v/>
      </c>
      <c r="CK460" s="21" t="str">
        <f t="shared" ca="1" si="53"/>
        <v/>
      </c>
      <c r="CL460" s="21" t="str">
        <f t="shared" si="54"/>
        <v/>
      </c>
      <c r="CM460" s="52"/>
      <c r="CN460" s="57" t="str">
        <f t="shared" si="55"/>
        <v/>
      </c>
    </row>
    <row r="461" spans="14:92" x14ac:dyDescent="0.25">
      <c r="N461" s="58"/>
      <c r="P461" s="60"/>
      <c r="Q461" s="13"/>
      <c r="V461" s="60"/>
      <c r="X461" s="61"/>
      <c r="AB461" s="60"/>
      <c r="AN461" s="54"/>
      <c r="AS461" s="15"/>
      <c r="BH461" s="52"/>
      <c r="BI461" s="21" t="str">
        <f ca="1">IFERROR(VLOOKUP(C461,OFFSET(abbreviation[],0,ColumnLanguage),ColumnAbbreviation,FALSE),"")</f>
        <v/>
      </c>
      <c r="BJ461" s="21" t="str">
        <f ca="1">IFERROR(VLOOKUP(E461,OFFSET(abbreviation[],0,ColumnLanguage),ColumnAbbreviation,FALSE),"")</f>
        <v/>
      </c>
      <c r="BK461" s="21" t="str">
        <f ca="1">IFERROR(VLOOKUP(G461,OFFSET(abbreviation[],0,ColumnLanguage),ColumnAbbreviation,FALSE),"")</f>
        <v/>
      </c>
      <c r="BL461" s="21" t="str">
        <f ca="1">IFERROR(VLOOKUP(I461,OFFSET(abbreviation[],0,ColumnLanguage),ColumnAbbreviation,FALSE),"")</f>
        <v/>
      </c>
      <c r="BM461" s="21" t="str">
        <f ca="1">IFERROR(VLOOKUP(K461,OFFSET(abbreviation[],0,ColumnLanguage),ColumnAbbreviation,FALSE),"")</f>
        <v/>
      </c>
      <c r="BN461" s="21" t="str">
        <f t="shared" ca="1" si="49"/>
        <v/>
      </c>
      <c r="BO461" s="21" t="str">
        <f ca="1">IFERROR(VLOOKUP(N461,OFFSET(abbreviation[],0,ColumnLanguage),ColumnAbbreviation,FALSE),"")</f>
        <v/>
      </c>
      <c r="BP461" s="21" t="str">
        <f ca="1">IFERROR(VLOOKUP(P461,OFFSET(abbreviation[],0,ColumnLanguage),ColumnAbbreviation,FALSE),"")</f>
        <v/>
      </c>
      <c r="BQ461" s="21" t="str">
        <f ca="1">IFERROR(VLOOKUP(T461,OFFSET(abbreviation[],0,ColumnLanguage),ColumnAbbreviation,FALSE),"")</f>
        <v/>
      </c>
      <c r="BR461" s="21" t="str">
        <f ca="1">IFERROR(VLOOKUP(V461,OFFSET(abbreviation[],0,ColumnLanguage),ColumnAbbreviation,FALSE),"")</f>
        <v/>
      </c>
      <c r="BS461" s="21" t="str">
        <f ca="1">IFERROR(VLOOKUP(Z461,OFFSET(abbreviation[],0,ColumnLanguage),ColumnAbbreviation,FALSE),"")</f>
        <v/>
      </c>
      <c r="BT461" s="21" t="str">
        <f ca="1">IFERROR(VLOOKUP(AB461,OFFSET(abbreviation[],0,ColumnLanguage),ColumnAbbreviation,FALSE),"")</f>
        <v/>
      </c>
      <c r="BU461" s="21" t="str">
        <f t="shared" ca="1" si="50"/>
        <v>__</v>
      </c>
      <c r="BV461" s="21" t="str">
        <f ca="1">IFERROR(VLOOKUP(AF461,OFFSET(abbreviation[],0,ColumnLanguage),ColumnAbbreviation,FALSE),"")</f>
        <v/>
      </c>
      <c r="BW461" s="21" t="str">
        <f ca="1">IFERROR(VLOOKUP(AH461,OFFSET(abbreviation[],0,ColumnLanguage),ColumnAbbreviation,FALSE),"")</f>
        <v/>
      </c>
      <c r="BX461" s="21" t="str">
        <f ca="1">IFERROR(VLOOKUP(AJ461,OFFSET(abbreviation[],0,ColumnLanguage),ColumnAbbreviation,FALSE),"")</f>
        <v/>
      </c>
      <c r="BY461" s="21" t="str">
        <f ca="1">IFERROR(VLOOKUP(AL461,OFFSET(abbreviation[],0,ColumnLanguage),ColumnAbbreviation,FALSE),"")</f>
        <v/>
      </c>
      <c r="BZ461" s="21" t="str">
        <f t="shared" ca="1" si="51"/>
        <v>_</v>
      </c>
      <c r="CA461" s="21" t="str">
        <f ca="1">IFERROR(VLOOKUP(AP461,OFFSET(abbreviation[],0,ColumnLanguage),ColumnAbbreviation,FALSE),"")</f>
        <v/>
      </c>
      <c r="CB461" s="21" t="str">
        <f ca="1">IFERROR(VLOOKUP(AR461,OFFSET(abbreviation[],0,ColumnLanguage),ColumnAbbreviation,FALSE),"")</f>
        <v/>
      </c>
      <c r="CC461" s="21" t="str">
        <f ca="1">IFERROR(VLOOKUP(AT461,OFFSET(abbreviation[],0,ColumnLanguage),ColumnAbbreviation,FALSE),"")</f>
        <v/>
      </c>
      <c r="CD461" s="21" t="str">
        <f ca="1">IFERROR(VLOOKUP(AV461,OFFSET(abbreviation[],0,ColumnLanguage),ColumnAbbreviation,FALSE),"")</f>
        <v/>
      </c>
      <c r="CE461" s="21" t="str">
        <f t="shared" ca="1" si="52"/>
        <v>__</v>
      </c>
      <c r="CF461" s="21" t="str">
        <f ca="1">IFERROR(VLOOKUP(AX461,OFFSET(abbreviation[],0,ColumnLanguage),ColumnAbbreviation,FALSE),"")</f>
        <v/>
      </c>
      <c r="CG461" s="21" t="str">
        <f ca="1">IFERROR(VLOOKUP(AZ461,OFFSET(abbreviation[],0,ColumnLanguage),ColumnAbbreviation,FALSE),"")</f>
        <v/>
      </c>
      <c r="CH461" s="21" t="str">
        <f ca="1">IFERROR(VLOOKUP(BB461,OFFSET(abbreviation[],0,ColumnLanguage),ColumnAbbreviation,FALSE),"")</f>
        <v/>
      </c>
      <c r="CI461" s="21" t="str">
        <f ca="1">IFERROR(VLOOKUP(BD461,OFFSET(abbreviation[],0,ColumnLanguage),ColumnAbbreviation,FALSE),"")</f>
        <v/>
      </c>
      <c r="CJ461" s="21" t="str">
        <f ca="1">IFERROR(VLOOKUP(BF461,OFFSET(abbreviation[],0,ColumnLanguage),ColumnAbbreviation,FALSE),"")</f>
        <v/>
      </c>
      <c r="CK461" s="21" t="str">
        <f t="shared" ca="1" si="53"/>
        <v/>
      </c>
      <c r="CL461" s="21" t="str">
        <f t="shared" si="54"/>
        <v/>
      </c>
      <c r="CM461" s="52"/>
      <c r="CN461" s="57" t="str">
        <f t="shared" si="55"/>
        <v/>
      </c>
    </row>
    <row r="462" spans="14:92" x14ac:dyDescent="0.25">
      <c r="P462" s="60"/>
      <c r="Q462" s="13"/>
      <c r="V462" s="60"/>
      <c r="X462" s="61"/>
      <c r="AB462" s="60"/>
      <c r="AN462" s="54"/>
      <c r="AS462" s="15"/>
      <c r="BH462" s="52"/>
      <c r="BI462" s="21" t="str">
        <f ca="1">IFERROR(VLOOKUP(C462,OFFSET(abbreviation[],0,ColumnLanguage),ColumnAbbreviation,FALSE),"")</f>
        <v/>
      </c>
      <c r="BJ462" s="21" t="str">
        <f ca="1">IFERROR(VLOOKUP(E462,OFFSET(abbreviation[],0,ColumnLanguage),ColumnAbbreviation,FALSE),"")</f>
        <v/>
      </c>
      <c r="BK462" s="21" t="str">
        <f ca="1">IFERROR(VLOOKUP(G462,OFFSET(abbreviation[],0,ColumnLanguage),ColumnAbbreviation,FALSE),"")</f>
        <v/>
      </c>
      <c r="BL462" s="21" t="str">
        <f ca="1">IFERROR(VLOOKUP(I462,OFFSET(abbreviation[],0,ColumnLanguage),ColumnAbbreviation,FALSE),"")</f>
        <v/>
      </c>
      <c r="BM462" s="21" t="str">
        <f ca="1">IFERROR(VLOOKUP(K462,OFFSET(abbreviation[],0,ColumnLanguage),ColumnAbbreviation,FALSE),"")</f>
        <v/>
      </c>
      <c r="BN462" s="21" t="str">
        <f t="shared" ca="1" si="49"/>
        <v/>
      </c>
      <c r="BO462" s="21" t="str">
        <f ca="1">IFERROR(VLOOKUP(N462,OFFSET(abbreviation[],0,ColumnLanguage),ColumnAbbreviation,FALSE),"")</f>
        <v/>
      </c>
      <c r="BP462" s="21" t="str">
        <f ca="1">IFERROR(VLOOKUP(P462,OFFSET(abbreviation[],0,ColumnLanguage),ColumnAbbreviation,FALSE),"")</f>
        <v/>
      </c>
      <c r="BQ462" s="21" t="str">
        <f ca="1">IFERROR(VLOOKUP(T462,OFFSET(abbreviation[],0,ColumnLanguage),ColumnAbbreviation,FALSE),"")</f>
        <v/>
      </c>
      <c r="BR462" s="21" t="str">
        <f ca="1">IFERROR(VLOOKUP(V462,OFFSET(abbreviation[],0,ColumnLanguage),ColumnAbbreviation,FALSE),"")</f>
        <v/>
      </c>
      <c r="BS462" s="21" t="str">
        <f ca="1">IFERROR(VLOOKUP(Z462,OFFSET(abbreviation[],0,ColumnLanguage),ColumnAbbreviation,FALSE),"")</f>
        <v/>
      </c>
      <c r="BT462" s="21" t="str">
        <f ca="1">IFERROR(VLOOKUP(AB462,OFFSET(abbreviation[],0,ColumnLanguage),ColumnAbbreviation,FALSE),"")</f>
        <v/>
      </c>
      <c r="BU462" s="21" t="str">
        <f t="shared" ca="1" si="50"/>
        <v>__</v>
      </c>
      <c r="BV462" s="21" t="str">
        <f ca="1">IFERROR(VLOOKUP(AF462,OFFSET(abbreviation[],0,ColumnLanguage),ColumnAbbreviation,FALSE),"")</f>
        <v/>
      </c>
      <c r="BW462" s="21" t="str">
        <f ca="1">IFERROR(VLOOKUP(AH462,OFFSET(abbreviation[],0,ColumnLanguage),ColumnAbbreviation,FALSE),"")</f>
        <v/>
      </c>
      <c r="BX462" s="21" t="str">
        <f ca="1">IFERROR(VLOOKUP(AJ462,OFFSET(abbreviation[],0,ColumnLanguage),ColumnAbbreviation,FALSE),"")</f>
        <v/>
      </c>
      <c r="BY462" s="21" t="str">
        <f ca="1">IFERROR(VLOOKUP(AL462,OFFSET(abbreviation[],0,ColumnLanguage),ColumnAbbreviation,FALSE),"")</f>
        <v/>
      </c>
      <c r="BZ462" s="21" t="str">
        <f t="shared" ca="1" si="51"/>
        <v>_</v>
      </c>
      <c r="CA462" s="21" t="str">
        <f ca="1">IFERROR(VLOOKUP(AP462,OFFSET(abbreviation[],0,ColumnLanguage),ColumnAbbreviation,FALSE),"")</f>
        <v/>
      </c>
      <c r="CB462" s="21" t="str">
        <f ca="1">IFERROR(VLOOKUP(AR462,OFFSET(abbreviation[],0,ColumnLanguage),ColumnAbbreviation,FALSE),"")</f>
        <v/>
      </c>
      <c r="CC462" s="21" t="str">
        <f ca="1">IFERROR(VLOOKUP(AT462,OFFSET(abbreviation[],0,ColumnLanguage),ColumnAbbreviation,FALSE),"")</f>
        <v/>
      </c>
      <c r="CD462" s="21" t="str">
        <f ca="1">IFERROR(VLOOKUP(AV462,OFFSET(abbreviation[],0,ColumnLanguage),ColumnAbbreviation,FALSE),"")</f>
        <v/>
      </c>
      <c r="CE462" s="21" t="str">
        <f t="shared" ca="1" si="52"/>
        <v>__</v>
      </c>
      <c r="CF462" s="21" t="str">
        <f ca="1">IFERROR(VLOOKUP(AX462,OFFSET(abbreviation[],0,ColumnLanguage),ColumnAbbreviation,FALSE),"")</f>
        <v/>
      </c>
      <c r="CG462" s="21" t="str">
        <f ca="1">IFERROR(VLOOKUP(AZ462,OFFSET(abbreviation[],0,ColumnLanguage),ColumnAbbreviation,FALSE),"")</f>
        <v/>
      </c>
      <c r="CH462" s="21" t="str">
        <f ca="1">IFERROR(VLOOKUP(BB462,OFFSET(abbreviation[],0,ColumnLanguage),ColumnAbbreviation,FALSE),"")</f>
        <v/>
      </c>
      <c r="CI462" s="21" t="str">
        <f ca="1">IFERROR(VLOOKUP(BD462,OFFSET(abbreviation[],0,ColumnLanguage),ColumnAbbreviation,FALSE),"")</f>
        <v/>
      </c>
      <c r="CJ462" s="21" t="str">
        <f ca="1">IFERROR(VLOOKUP(BF462,OFFSET(abbreviation[],0,ColumnLanguage),ColumnAbbreviation,FALSE),"")</f>
        <v/>
      </c>
      <c r="CK462" s="21" t="str">
        <f t="shared" ca="1" si="53"/>
        <v/>
      </c>
      <c r="CL462" s="21" t="str">
        <f t="shared" si="54"/>
        <v/>
      </c>
      <c r="CM462" s="52"/>
      <c r="CN462" s="57" t="str">
        <f t="shared" si="55"/>
        <v/>
      </c>
    </row>
    <row r="463" spans="14:92" x14ac:dyDescent="0.25">
      <c r="P463" s="60"/>
      <c r="Q463" s="13"/>
      <c r="V463" s="60"/>
      <c r="X463" s="61"/>
      <c r="AB463" s="60"/>
      <c r="AN463" s="54"/>
      <c r="AS463" s="15"/>
      <c r="BH463" s="52"/>
      <c r="BI463" s="21" t="str">
        <f ca="1">IFERROR(VLOOKUP(C463,OFFSET(abbreviation[],0,ColumnLanguage),ColumnAbbreviation,FALSE),"")</f>
        <v/>
      </c>
      <c r="BJ463" s="21" t="str">
        <f ca="1">IFERROR(VLOOKUP(E463,OFFSET(abbreviation[],0,ColumnLanguage),ColumnAbbreviation,FALSE),"")</f>
        <v/>
      </c>
      <c r="BK463" s="21" t="str">
        <f ca="1">IFERROR(VLOOKUP(G463,OFFSET(abbreviation[],0,ColumnLanguage),ColumnAbbreviation,FALSE),"")</f>
        <v/>
      </c>
      <c r="BL463" s="21" t="str">
        <f ca="1">IFERROR(VLOOKUP(I463,OFFSET(abbreviation[],0,ColumnLanguage),ColumnAbbreviation,FALSE),"")</f>
        <v/>
      </c>
      <c r="BM463" s="21" t="str">
        <f ca="1">IFERROR(VLOOKUP(K463,OFFSET(abbreviation[],0,ColumnLanguage),ColumnAbbreviation,FALSE),"")</f>
        <v/>
      </c>
      <c r="BN463" s="21" t="str">
        <f t="shared" ca="1" si="49"/>
        <v/>
      </c>
      <c r="BO463" s="21" t="str">
        <f ca="1">IFERROR(VLOOKUP(N463,OFFSET(abbreviation[],0,ColumnLanguage),ColumnAbbreviation,FALSE),"")</f>
        <v/>
      </c>
      <c r="BP463" s="21" t="str">
        <f ca="1">IFERROR(VLOOKUP(P463,OFFSET(abbreviation[],0,ColumnLanguage),ColumnAbbreviation,FALSE),"")</f>
        <v/>
      </c>
      <c r="BQ463" s="21" t="str">
        <f ca="1">IFERROR(VLOOKUP(T463,OFFSET(abbreviation[],0,ColumnLanguage),ColumnAbbreviation,FALSE),"")</f>
        <v/>
      </c>
      <c r="BR463" s="21" t="str">
        <f ca="1">IFERROR(VLOOKUP(V463,OFFSET(abbreviation[],0,ColumnLanguage),ColumnAbbreviation,FALSE),"")</f>
        <v/>
      </c>
      <c r="BS463" s="21" t="str">
        <f ca="1">IFERROR(VLOOKUP(Z463,OFFSET(abbreviation[],0,ColumnLanguage),ColumnAbbreviation,FALSE),"")</f>
        <v/>
      </c>
      <c r="BT463" s="21" t="str">
        <f ca="1">IFERROR(VLOOKUP(AB463,OFFSET(abbreviation[],0,ColumnLanguage),ColumnAbbreviation,FALSE),"")</f>
        <v/>
      </c>
      <c r="BU463" s="21" t="str">
        <f t="shared" ca="1" si="50"/>
        <v>__</v>
      </c>
      <c r="BV463" s="21" t="str">
        <f ca="1">IFERROR(VLOOKUP(AF463,OFFSET(abbreviation[],0,ColumnLanguage),ColumnAbbreviation,FALSE),"")</f>
        <v/>
      </c>
      <c r="BW463" s="21" t="str">
        <f ca="1">IFERROR(VLOOKUP(AH463,OFFSET(abbreviation[],0,ColumnLanguage),ColumnAbbreviation,FALSE),"")</f>
        <v/>
      </c>
      <c r="BX463" s="21" t="str">
        <f ca="1">IFERROR(VLOOKUP(AJ463,OFFSET(abbreviation[],0,ColumnLanguage),ColumnAbbreviation,FALSE),"")</f>
        <v/>
      </c>
      <c r="BY463" s="21" t="str">
        <f ca="1">IFERROR(VLOOKUP(AL463,OFFSET(abbreviation[],0,ColumnLanguage),ColumnAbbreviation,FALSE),"")</f>
        <v/>
      </c>
      <c r="BZ463" s="21" t="str">
        <f t="shared" ca="1" si="51"/>
        <v>_</v>
      </c>
      <c r="CA463" s="21" t="str">
        <f ca="1">IFERROR(VLOOKUP(AP463,OFFSET(abbreviation[],0,ColumnLanguage),ColumnAbbreviation,FALSE),"")</f>
        <v/>
      </c>
      <c r="CB463" s="21" t="str">
        <f ca="1">IFERROR(VLOOKUP(AR463,OFFSET(abbreviation[],0,ColumnLanguage),ColumnAbbreviation,FALSE),"")</f>
        <v/>
      </c>
      <c r="CC463" s="21" t="str">
        <f ca="1">IFERROR(VLOOKUP(AT463,OFFSET(abbreviation[],0,ColumnLanguage),ColumnAbbreviation,FALSE),"")</f>
        <v/>
      </c>
      <c r="CD463" s="21" t="str">
        <f ca="1">IFERROR(VLOOKUP(AV463,OFFSET(abbreviation[],0,ColumnLanguage),ColumnAbbreviation,FALSE),"")</f>
        <v/>
      </c>
      <c r="CE463" s="21" t="str">
        <f t="shared" ca="1" si="52"/>
        <v>__</v>
      </c>
      <c r="CF463" s="21" t="str">
        <f ca="1">IFERROR(VLOOKUP(AX463,OFFSET(abbreviation[],0,ColumnLanguage),ColumnAbbreviation,FALSE),"")</f>
        <v/>
      </c>
      <c r="CG463" s="21" t="str">
        <f ca="1">IFERROR(VLOOKUP(AZ463,OFFSET(abbreviation[],0,ColumnLanguage),ColumnAbbreviation,FALSE),"")</f>
        <v/>
      </c>
      <c r="CH463" s="21" t="str">
        <f ca="1">IFERROR(VLOOKUP(BB463,OFFSET(abbreviation[],0,ColumnLanguage),ColumnAbbreviation,FALSE),"")</f>
        <v/>
      </c>
      <c r="CI463" s="21" t="str">
        <f ca="1">IFERROR(VLOOKUP(BD463,OFFSET(abbreviation[],0,ColumnLanguage),ColumnAbbreviation,FALSE),"")</f>
        <v/>
      </c>
      <c r="CJ463" s="21" t="str">
        <f ca="1">IFERROR(VLOOKUP(BF463,OFFSET(abbreviation[],0,ColumnLanguage),ColumnAbbreviation,FALSE),"")</f>
        <v/>
      </c>
      <c r="CK463" s="21" t="str">
        <f t="shared" ca="1" si="53"/>
        <v/>
      </c>
      <c r="CL463" s="21" t="str">
        <f t="shared" si="54"/>
        <v/>
      </c>
      <c r="CM463" s="52"/>
      <c r="CN463" s="57" t="str">
        <f t="shared" si="55"/>
        <v/>
      </c>
    </row>
    <row r="464" spans="14:92" x14ac:dyDescent="0.25">
      <c r="P464" s="60"/>
      <c r="Q464" s="13"/>
      <c r="V464" s="60"/>
      <c r="X464" s="61"/>
      <c r="AB464" s="60"/>
      <c r="AN464" s="54"/>
      <c r="AS464" s="15"/>
      <c r="BH464" s="52"/>
      <c r="BI464" s="21" t="str">
        <f ca="1">IFERROR(VLOOKUP(C464,OFFSET(abbreviation[],0,ColumnLanguage),ColumnAbbreviation,FALSE),"")</f>
        <v/>
      </c>
      <c r="BJ464" s="21" t="str">
        <f ca="1">IFERROR(VLOOKUP(E464,OFFSET(abbreviation[],0,ColumnLanguage),ColumnAbbreviation,FALSE),"")</f>
        <v/>
      </c>
      <c r="BK464" s="21" t="str">
        <f ca="1">IFERROR(VLOOKUP(G464,OFFSET(abbreviation[],0,ColumnLanguage),ColumnAbbreviation,FALSE),"")</f>
        <v/>
      </c>
      <c r="BL464" s="21" t="str">
        <f ca="1">IFERROR(VLOOKUP(I464,OFFSET(abbreviation[],0,ColumnLanguage),ColumnAbbreviation,FALSE),"")</f>
        <v/>
      </c>
      <c r="BM464" s="21" t="str">
        <f ca="1">IFERROR(VLOOKUP(K464,OFFSET(abbreviation[],0,ColumnLanguage),ColumnAbbreviation,FALSE),"")</f>
        <v/>
      </c>
      <c r="BN464" s="21" t="str">
        <f t="shared" ca="1" si="49"/>
        <v/>
      </c>
      <c r="BO464" s="21" t="str">
        <f ca="1">IFERROR(VLOOKUP(N464,OFFSET(abbreviation[],0,ColumnLanguage),ColumnAbbreviation,FALSE),"")</f>
        <v/>
      </c>
      <c r="BP464" s="21" t="str">
        <f ca="1">IFERROR(VLOOKUP(P464,OFFSET(abbreviation[],0,ColumnLanguage),ColumnAbbreviation,FALSE),"")</f>
        <v/>
      </c>
      <c r="BQ464" s="21" t="str">
        <f ca="1">IFERROR(VLOOKUP(T464,OFFSET(abbreviation[],0,ColumnLanguage),ColumnAbbreviation,FALSE),"")</f>
        <v/>
      </c>
      <c r="BR464" s="21" t="str">
        <f ca="1">IFERROR(VLOOKUP(V464,OFFSET(abbreviation[],0,ColumnLanguage),ColumnAbbreviation,FALSE),"")</f>
        <v/>
      </c>
      <c r="BS464" s="21" t="str">
        <f ca="1">IFERROR(VLOOKUP(Z464,OFFSET(abbreviation[],0,ColumnLanguage),ColumnAbbreviation,FALSE),"")</f>
        <v/>
      </c>
      <c r="BT464" s="21" t="str">
        <f ca="1">IFERROR(VLOOKUP(AB464,OFFSET(abbreviation[],0,ColumnLanguage),ColumnAbbreviation,FALSE),"")</f>
        <v/>
      </c>
      <c r="BU464" s="21" t="str">
        <f t="shared" ca="1" si="50"/>
        <v>__</v>
      </c>
      <c r="BV464" s="21" t="str">
        <f ca="1">IFERROR(VLOOKUP(AF464,OFFSET(abbreviation[],0,ColumnLanguage),ColumnAbbreviation,FALSE),"")</f>
        <v/>
      </c>
      <c r="BW464" s="21" t="str">
        <f ca="1">IFERROR(VLOOKUP(AH464,OFFSET(abbreviation[],0,ColumnLanguage),ColumnAbbreviation,FALSE),"")</f>
        <v/>
      </c>
      <c r="BX464" s="21" t="str">
        <f ca="1">IFERROR(VLOOKUP(AJ464,OFFSET(abbreviation[],0,ColumnLanguage),ColumnAbbreviation,FALSE),"")</f>
        <v/>
      </c>
      <c r="BY464" s="21" t="str">
        <f ca="1">IFERROR(VLOOKUP(AL464,OFFSET(abbreviation[],0,ColumnLanguage),ColumnAbbreviation,FALSE),"")</f>
        <v/>
      </c>
      <c r="BZ464" s="21" t="str">
        <f t="shared" ca="1" si="51"/>
        <v>_</v>
      </c>
      <c r="CA464" s="21" t="str">
        <f ca="1">IFERROR(VLOOKUP(AP464,OFFSET(abbreviation[],0,ColumnLanguage),ColumnAbbreviation,FALSE),"")</f>
        <v/>
      </c>
      <c r="CB464" s="21" t="str">
        <f ca="1">IFERROR(VLOOKUP(AR464,OFFSET(abbreviation[],0,ColumnLanguage),ColumnAbbreviation,FALSE),"")</f>
        <v/>
      </c>
      <c r="CC464" s="21" t="str">
        <f ca="1">IFERROR(VLOOKUP(AT464,OFFSET(abbreviation[],0,ColumnLanguage),ColumnAbbreviation,FALSE),"")</f>
        <v/>
      </c>
      <c r="CD464" s="21" t="str">
        <f ca="1">IFERROR(VLOOKUP(AV464,OFFSET(abbreviation[],0,ColumnLanguage),ColumnAbbreviation,FALSE),"")</f>
        <v/>
      </c>
      <c r="CE464" s="21" t="str">
        <f t="shared" ca="1" si="52"/>
        <v>__</v>
      </c>
      <c r="CF464" s="21" t="str">
        <f ca="1">IFERROR(VLOOKUP(AX464,OFFSET(abbreviation[],0,ColumnLanguage),ColumnAbbreviation,FALSE),"")</f>
        <v/>
      </c>
      <c r="CG464" s="21" t="str">
        <f ca="1">IFERROR(VLOOKUP(AZ464,OFFSET(abbreviation[],0,ColumnLanguage),ColumnAbbreviation,FALSE),"")</f>
        <v/>
      </c>
      <c r="CH464" s="21" t="str">
        <f ca="1">IFERROR(VLOOKUP(BB464,OFFSET(abbreviation[],0,ColumnLanguage),ColumnAbbreviation,FALSE),"")</f>
        <v/>
      </c>
      <c r="CI464" s="21" t="str">
        <f ca="1">IFERROR(VLOOKUP(BD464,OFFSET(abbreviation[],0,ColumnLanguage),ColumnAbbreviation,FALSE),"")</f>
        <v/>
      </c>
      <c r="CJ464" s="21" t="str">
        <f ca="1">IFERROR(VLOOKUP(BF464,OFFSET(abbreviation[],0,ColumnLanguage),ColumnAbbreviation,FALSE),"")</f>
        <v/>
      </c>
      <c r="CK464" s="21" t="str">
        <f t="shared" ca="1" si="53"/>
        <v/>
      </c>
      <c r="CL464" s="21" t="str">
        <f t="shared" si="54"/>
        <v/>
      </c>
      <c r="CM464" s="52"/>
      <c r="CN464" s="57" t="str">
        <f t="shared" si="55"/>
        <v/>
      </c>
    </row>
    <row r="465" spans="14:92" x14ac:dyDescent="0.25">
      <c r="P465" s="60"/>
      <c r="Q465" s="13"/>
      <c r="V465" s="60"/>
      <c r="X465" s="61"/>
      <c r="AB465" s="60"/>
      <c r="AN465" s="54"/>
      <c r="AS465" s="15"/>
      <c r="BH465" s="52"/>
      <c r="BI465" s="21" t="str">
        <f ca="1">IFERROR(VLOOKUP(C465,OFFSET(abbreviation[],0,ColumnLanguage),ColumnAbbreviation,FALSE),"")</f>
        <v/>
      </c>
      <c r="BJ465" s="21" t="str">
        <f ca="1">IFERROR(VLOOKUP(E465,OFFSET(abbreviation[],0,ColumnLanguage),ColumnAbbreviation,FALSE),"")</f>
        <v/>
      </c>
      <c r="BK465" s="21" t="str">
        <f ca="1">IFERROR(VLOOKUP(G465,OFFSET(abbreviation[],0,ColumnLanguage),ColumnAbbreviation,FALSE),"")</f>
        <v/>
      </c>
      <c r="BL465" s="21" t="str">
        <f ca="1">IFERROR(VLOOKUP(I465,OFFSET(abbreviation[],0,ColumnLanguage),ColumnAbbreviation,FALSE),"")</f>
        <v/>
      </c>
      <c r="BM465" s="21" t="str">
        <f ca="1">IFERROR(VLOOKUP(K465,OFFSET(abbreviation[],0,ColumnLanguage),ColumnAbbreviation,FALSE),"")</f>
        <v/>
      </c>
      <c r="BN465" s="21" t="str">
        <f t="shared" ca="1" si="49"/>
        <v/>
      </c>
      <c r="BO465" s="21" t="str">
        <f ca="1">IFERROR(VLOOKUP(N465,OFFSET(abbreviation[],0,ColumnLanguage),ColumnAbbreviation,FALSE),"")</f>
        <v/>
      </c>
      <c r="BP465" s="21" t="str">
        <f ca="1">IFERROR(VLOOKUP(P465,OFFSET(abbreviation[],0,ColumnLanguage),ColumnAbbreviation,FALSE),"")</f>
        <v/>
      </c>
      <c r="BQ465" s="21" t="str">
        <f ca="1">IFERROR(VLOOKUP(T465,OFFSET(abbreviation[],0,ColumnLanguage),ColumnAbbreviation,FALSE),"")</f>
        <v/>
      </c>
      <c r="BR465" s="21" t="str">
        <f ca="1">IFERROR(VLOOKUP(V465,OFFSET(abbreviation[],0,ColumnLanguage),ColumnAbbreviation,FALSE),"")</f>
        <v/>
      </c>
      <c r="BS465" s="21" t="str">
        <f ca="1">IFERROR(VLOOKUP(Z465,OFFSET(abbreviation[],0,ColumnLanguage),ColumnAbbreviation,FALSE),"")</f>
        <v/>
      </c>
      <c r="BT465" s="21" t="str">
        <f ca="1">IFERROR(VLOOKUP(AB465,OFFSET(abbreviation[],0,ColumnLanguage),ColumnAbbreviation,FALSE),"")</f>
        <v/>
      </c>
      <c r="BU465" s="21" t="str">
        <f t="shared" ca="1" si="50"/>
        <v>__</v>
      </c>
      <c r="BV465" s="21" t="str">
        <f ca="1">IFERROR(VLOOKUP(AF465,OFFSET(abbreviation[],0,ColumnLanguage),ColumnAbbreviation,FALSE),"")</f>
        <v/>
      </c>
      <c r="BW465" s="21" t="str">
        <f ca="1">IFERROR(VLOOKUP(AH465,OFFSET(abbreviation[],0,ColumnLanguage),ColumnAbbreviation,FALSE),"")</f>
        <v/>
      </c>
      <c r="BX465" s="21" t="str">
        <f ca="1">IFERROR(VLOOKUP(AJ465,OFFSET(abbreviation[],0,ColumnLanguage),ColumnAbbreviation,FALSE),"")</f>
        <v/>
      </c>
      <c r="BY465" s="21" t="str">
        <f ca="1">IFERROR(VLOOKUP(AL465,OFFSET(abbreviation[],0,ColumnLanguage),ColumnAbbreviation,FALSE),"")</f>
        <v/>
      </c>
      <c r="BZ465" s="21" t="str">
        <f t="shared" ca="1" si="51"/>
        <v>_</v>
      </c>
      <c r="CA465" s="21" t="str">
        <f ca="1">IFERROR(VLOOKUP(AP465,OFFSET(abbreviation[],0,ColumnLanguage),ColumnAbbreviation,FALSE),"")</f>
        <v/>
      </c>
      <c r="CB465" s="21" t="str">
        <f ca="1">IFERROR(VLOOKUP(AR465,OFFSET(abbreviation[],0,ColumnLanguage),ColumnAbbreviation,FALSE),"")</f>
        <v/>
      </c>
      <c r="CC465" s="21" t="str">
        <f ca="1">IFERROR(VLOOKUP(AT465,OFFSET(abbreviation[],0,ColumnLanguage),ColumnAbbreviation,FALSE),"")</f>
        <v/>
      </c>
      <c r="CD465" s="21" t="str">
        <f ca="1">IFERROR(VLOOKUP(AV465,OFFSET(abbreviation[],0,ColumnLanguage),ColumnAbbreviation,FALSE),"")</f>
        <v/>
      </c>
      <c r="CE465" s="21" t="str">
        <f t="shared" ca="1" si="52"/>
        <v>__</v>
      </c>
      <c r="CF465" s="21" t="str">
        <f ca="1">IFERROR(VLOOKUP(AX465,OFFSET(abbreviation[],0,ColumnLanguage),ColumnAbbreviation,FALSE),"")</f>
        <v/>
      </c>
      <c r="CG465" s="21" t="str">
        <f ca="1">IFERROR(VLOOKUP(AZ465,OFFSET(abbreviation[],0,ColumnLanguage),ColumnAbbreviation,FALSE),"")</f>
        <v/>
      </c>
      <c r="CH465" s="21" t="str">
        <f ca="1">IFERROR(VLOOKUP(BB465,OFFSET(abbreviation[],0,ColumnLanguage),ColumnAbbreviation,FALSE),"")</f>
        <v/>
      </c>
      <c r="CI465" s="21" t="str">
        <f ca="1">IFERROR(VLOOKUP(BD465,OFFSET(abbreviation[],0,ColumnLanguage),ColumnAbbreviation,FALSE),"")</f>
        <v/>
      </c>
      <c r="CJ465" s="21" t="str">
        <f ca="1">IFERROR(VLOOKUP(BF465,OFFSET(abbreviation[],0,ColumnLanguage),ColumnAbbreviation,FALSE),"")</f>
        <v/>
      </c>
      <c r="CK465" s="21" t="str">
        <f t="shared" ca="1" si="53"/>
        <v/>
      </c>
      <c r="CL465" s="21" t="str">
        <f t="shared" si="54"/>
        <v/>
      </c>
      <c r="CM465" s="52"/>
      <c r="CN465" s="57" t="str">
        <f t="shared" si="55"/>
        <v/>
      </c>
    </row>
    <row r="466" spans="14:92" x14ac:dyDescent="0.25">
      <c r="P466" s="60"/>
      <c r="Q466" s="13"/>
      <c r="V466" s="60"/>
      <c r="X466" s="61"/>
      <c r="AB466" s="60"/>
      <c r="AN466" s="54"/>
      <c r="AS466" s="15"/>
      <c r="BH466" s="52"/>
      <c r="BI466" s="21" t="str">
        <f ca="1">IFERROR(VLOOKUP(C466,OFFSET(abbreviation[],0,ColumnLanguage),ColumnAbbreviation,FALSE),"")</f>
        <v/>
      </c>
      <c r="BJ466" s="21" t="str">
        <f ca="1">IFERROR(VLOOKUP(E466,OFFSET(abbreviation[],0,ColumnLanguage),ColumnAbbreviation,FALSE),"")</f>
        <v/>
      </c>
      <c r="BK466" s="21" t="str">
        <f ca="1">IFERROR(VLOOKUP(G466,OFFSET(abbreviation[],0,ColumnLanguage),ColumnAbbreviation,FALSE),"")</f>
        <v/>
      </c>
      <c r="BL466" s="21" t="str">
        <f ca="1">IFERROR(VLOOKUP(I466,OFFSET(abbreviation[],0,ColumnLanguage),ColumnAbbreviation,FALSE),"")</f>
        <v/>
      </c>
      <c r="BM466" s="21" t="str">
        <f ca="1">IFERROR(VLOOKUP(K466,OFFSET(abbreviation[],0,ColumnLanguage),ColumnAbbreviation,FALSE),"")</f>
        <v/>
      </c>
      <c r="BN466" s="21" t="str">
        <f t="shared" ca="1" si="49"/>
        <v/>
      </c>
      <c r="BO466" s="21" t="str">
        <f ca="1">IFERROR(VLOOKUP(N466,OFFSET(abbreviation[],0,ColumnLanguage),ColumnAbbreviation,FALSE),"")</f>
        <v/>
      </c>
      <c r="BP466" s="21" t="str">
        <f ca="1">IFERROR(VLOOKUP(P466,OFFSET(abbreviation[],0,ColumnLanguage),ColumnAbbreviation,FALSE),"")</f>
        <v/>
      </c>
      <c r="BQ466" s="21" t="str">
        <f ca="1">IFERROR(VLOOKUP(T466,OFFSET(abbreviation[],0,ColumnLanguage),ColumnAbbreviation,FALSE),"")</f>
        <v/>
      </c>
      <c r="BR466" s="21" t="str">
        <f ca="1">IFERROR(VLOOKUP(V466,OFFSET(abbreviation[],0,ColumnLanguage),ColumnAbbreviation,FALSE),"")</f>
        <v/>
      </c>
      <c r="BS466" s="21" t="str">
        <f ca="1">IFERROR(VLOOKUP(Z466,OFFSET(abbreviation[],0,ColumnLanguage),ColumnAbbreviation,FALSE),"")</f>
        <v/>
      </c>
      <c r="BT466" s="21" t="str">
        <f ca="1">IFERROR(VLOOKUP(AB466,OFFSET(abbreviation[],0,ColumnLanguage),ColumnAbbreviation,FALSE),"")</f>
        <v/>
      </c>
      <c r="BU466" s="21" t="str">
        <f t="shared" ca="1" si="50"/>
        <v>__</v>
      </c>
      <c r="BV466" s="21" t="str">
        <f ca="1">IFERROR(VLOOKUP(AF466,OFFSET(abbreviation[],0,ColumnLanguage),ColumnAbbreviation,FALSE),"")</f>
        <v/>
      </c>
      <c r="BW466" s="21" t="str">
        <f ca="1">IFERROR(VLOOKUP(AH466,OFFSET(abbreviation[],0,ColumnLanguage),ColumnAbbreviation,FALSE),"")</f>
        <v/>
      </c>
      <c r="BX466" s="21" t="str">
        <f ca="1">IFERROR(VLOOKUP(AJ466,OFFSET(abbreviation[],0,ColumnLanguage),ColumnAbbreviation,FALSE),"")</f>
        <v/>
      </c>
      <c r="BY466" s="21" t="str">
        <f ca="1">IFERROR(VLOOKUP(AL466,OFFSET(abbreviation[],0,ColumnLanguage),ColumnAbbreviation,FALSE),"")</f>
        <v/>
      </c>
      <c r="BZ466" s="21" t="str">
        <f t="shared" ca="1" si="51"/>
        <v>_</v>
      </c>
      <c r="CA466" s="21" t="str">
        <f ca="1">IFERROR(VLOOKUP(AP466,OFFSET(abbreviation[],0,ColumnLanguage),ColumnAbbreviation,FALSE),"")</f>
        <v/>
      </c>
      <c r="CB466" s="21" t="str">
        <f ca="1">IFERROR(VLOOKUP(AR466,OFFSET(abbreviation[],0,ColumnLanguage),ColumnAbbreviation,FALSE),"")</f>
        <v/>
      </c>
      <c r="CC466" s="21" t="str">
        <f ca="1">IFERROR(VLOOKUP(AT466,OFFSET(abbreviation[],0,ColumnLanguage),ColumnAbbreviation,FALSE),"")</f>
        <v/>
      </c>
      <c r="CD466" s="21" t="str">
        <f ca="1">IFERROR(VLOOKUP(AV466,OFFSET(abbreviation[],0,ColumnLanguage),ColumnAbbreviation,FALSE),"")</f>
        <v/>
      </c>
      <c r="CE466" s="21" t="str">
        <f t="shared" ca="1" si="52"/>
        <v>__</v>
      </c>
      <c r="CF466" s="21" t="str">
        <f ca="1">IFERROR(VLOOKUP(AX466,OFFSET(abbreviation[],0,ColumnLanguage),ColumnAbbreviation,FALSE),"")</f>
        <v/>
      </c>
      <c r="CG466" s="21" t="str">
        <f ca="1">IFERROR(VLOOKUP(AZ466,OFFSET(abbreviation[],0,ColumnLanguage),ColumnAbbreviation,FALSE),"")</f>
        <v/>
      </c>
      <c r="CH466" s="21" t="str">
        <f ca="1">IFERROR(VLOOKUP(BB466,OFFSET(abbreviation[],0,ColumnLanguage),ColumnAbbreviation,FALSE),"")</f>
        <v/>
      </c>
      <c r="CI466" s="21" t="str">
        <f ca="1">IFERROR(VLOOKUP(BD466,OFFSET(abbreviation[],0,ColumnLanguage),ColumnAbbreviation,FALSE),"")</f>
        <v/>
      </c>
      <c r="CJ466" s="21" t="str">
        <f ca="1">IFERROR(VLOOKUP(BF466,OFFSET(abbreviation[],0,ColumnLanguage),ColumnAbbreviation,FALSE),"")</f>
        <v/>
      </c>
      <c r="CK466" s="21" t="str">
        <f t="shared" ca="1" si="53"/>
        <v/>
      </c>
      <c r="CL466" s="21" t="str">
        <f t="shared" si="54"/>
        <v/>
      </c>
      <c r="CM466" s="52"/>
      <c r="CN466" s="57" t="str">
        <f t="shared" si="55"/>
        <v/>
      </c>
    </row>
    <row r="467" spans="14:92" x14ac:dyDescent="0.25">
      <c r="N467" s="58"/>
      <c r="P467" s="60"/>
      <c r="Q467" s="13"/>
      <c r="V467" s="60"/>
      <c r="X467" s="61"/>
      <c r="AB467" s="60"/>
      <c r="AN467" s="54"/>
      <c r="AS467" s="15"/>
      <c r="BH467" s="52"/>
      <c r="BI467" s="21" t="str">
        <f ca="1">IFERROR(VLOOKUP(C467,OFFSET(abbreviation[],0,ColumnLanguage),ColumnAbbreviation,FALSE),"")</f>
        <v/>
      </c>
      <c r="BJ467" s="21" t="str">
        <f ca="1">IFERROR(VLOOKUP(E467,OFFSET(abbreviation[],0,ColumnLanguage),ColumnAbbreviation,FALSE),"")</f>
        <v/>
      </c>
      <c r="BK467" s="21" t="str">
        <f ca="1">IFERROR(VLOOKUP(G467,OFFSET(abbreviation[],0,ColumnLanguage),ColumnAbbreviation,FALSE),"")</f>
        <v/>
      </c>
      <c r="BL467" s="21" t="str">
        <f ca="1">IFERROR(VLOOKUP(I467,OFFSET(abbreviation[],0,ColumnLanguage),ColumnAbbreviation,FALSE),"")</f>
        <v/>
      </c>
      <c r="BM467" s="21" t="str">
        <f ca="1">IFERROR(VLOOKUP(K467,OFFSET(abbreviation[],0,ColumnLanguage),ColumnAbbreviation,FALSE),"")</f>
        <v/>
      </c>
      <c r="BN467" s="21" t="str">
        <f t="shared" ca="1" si="49"/>
        <v/>
      </c>
      <c r="BO467" s="21" t="str">
        <f ca="1">IFERROR(VLOOKUP(N467,OFFSET(abbreviation[],0,ColumnLanguage),ColumnAbbreviation,FALSE),"")</f>
        <v/>
      </c>
      <c r="BP467" s="21" t="str">
        <f ca="1">IFERROR(VLOOKUP(P467,OFFSET(abbreviation[],0,ColumnLanguage),ColumnAbbreviation,FALSE),"")</f>
        <v/>
      </c>
      <c r="BQ467" s="21" t="str">
        <f ca="1">IFERROR(VLOOKUP(T467,OFFSET(abbreviation[],0,ColumnLanguage),ColumnAbbreviation,FALSE),"")</f>
        <v/>
      </c>
      <c r="BR467" s="21" t="str">
        <f ca="1">IFERROR(VLOOKUP(V467,OFFSET(abbreviation[],0,ColumnLanguage),ColumnAbbreviation,FALSE),"")</f>
        <v/>
      </c>
      <c r="BS467" s="21" t="str">
        <f ca="1">IFERROR(VLOOKUP(Z467,OFFSET(abbreviation[],0,ColumnLanguage),ColumnAbbreviation,FALSE),"")</f>
        <v/>
      </c>
      <c r="BT467" s="21" t="str">
        <f ca="1">IFERROR(VLOOKUP(AB467,OFFSET(abbreviation[],0,ColumnLanguage),ColumnAbbreviation,FALSE),"")</f>
        <v/>
      </c>
      <c r="BU467" s="21" t="str">
        <f t="shared" ca="1" si="50"/>
        <v>__</v>
      </c>
      <c r="BV467" s="21" t="str">
        <f ca="1">IFERROR(VLOOKUP(AF467,OFFSET(abbreviation[],0,ColumnLanguage),ColumnAbbreviation,FALSE),"")</f>
        <v/>
      </c>
      <c r="BW467" s="21" t="str">
        <f ca="1">IFERROR(VLOOKUP(AH467,OFFSET(abbreviation[],0,ColumnLanguage),ColumnAbbreviation,FALSE),"")</f>
        <v/>
      </c>
      <c r="BX467" s="21" t="str">
        <f ca="1">IFERROR(VLOOKUP(AJ467,OFFSET(abbreviation[],0,ColumnLanguage),ColumnAbbreviation,FALSE),"")</f>
        <v/>
      </c>
      <c r="BY467" s="21" t="str">
        <f ca="1">IFERROR(VLOOKUP(AL467,OFFSET(abbreviation[],0,ColumnLanguage),ColumnAbbreviation,FALSE),"")</f>
        <v/>
      </c>
      <c r="BZ467" s="21" t="str">
        <f t="shared" ca="1" si="51"/>
        <v>_</v>
      </c>
      <c r="CA467" s="21" t="str">
        <f ca="1">IFERROR(VLOOKUP(AP467,OFFSET(abbreviation[],0,ColumnLanguage),ColumnAbbreviation,FALSE),"")</f>
        <v/>
      </c>
      <c r="CB467" s="21" t="str">
        <f ca="1">IFERROR(VLOOKUP(AR467,OFFSET(abbreviation[],0,ColumnLanguage),ColumnAbbreviation,FALSE),"")</f>
        <v/>
      </c>
      <c r="CC467" s="21" t="str">
        <f ca="1">IFERROR(VLOOKUP(AT467,OFFSET(abbreviation[],0,ColumnLanguage),ColumnAbbreviation,FALSE),"")</f>
        <v/>
      </c>
      <c r="CD467" s="21" t="str">
        <f ca="1">IFERROR(VLOOKUP(AV467,OFFSET(abbreviation[],0,ColumnLanguage),ColumnAbbreviation,FALSE),"")</f>
        <v/>
      </c>
      <c r="CE467" s="21" t="str">
        <f t="shared" ca="1" si="52"/>
        <v>__</v>
      </c>
      <c r="CF467" s="21" t="str">
        <f ca="1">IFERROR(VLOOKUP(AX467,OFFSET(abbreviation[],0,ColumnLanguage),ColumnAbbreviation,FALSE),"")</f>
        <v/>
      </c>
      <c r="CG467" s="21" t="str">
        <f ca="1">IFERROR(VLOOKUP(AZ467,OFFSET(abbreviation[],0,ColumnLanguage),ColumnAbbreviation,FALSE),"")</f>
        <v/>
      </c>
      <c r="CH467" s="21" t="str">
        <f ca="1">IFERROR(VLOOKUP(BB467,OFFSET(abbreviation[],0,ColumnLanguage),ColumnAbbreviation,FALSE),"")</f>
        <v/>
      </c>
      <c r="CI467" s="21" t="str">
        <f ca="1">IFERROR(VLOOKUP(BD467,OFFSET(abbreviation[],0,ColumnLanguage),ColumnAbbreviation,FALSE),"")</f>
        <v/>
      </c>
      <c r="CJ467" s="21" t="str">
        <f ca="1">IFERROR(VLOOKUP(BF467,OFFSET(abbreviation[],0,ColumnLanguage),ColumnAbbreviation,FALSE),"")</f>
        <v/>
      </c>
      <c r="CK467" s="21" t="str">
        <f t="shared" ca="1" si="53"/>
        <v/>
      </c>
      <c r="CL467" s="21" t="str">
        <f t="shared" si="54"/>
        <v/>
      </c>
      <c r="CM467" s="52"/>
      <c r="CN467" s="57" t="str">
        <f t="shared" si="55"/>
        <v/>
      </c>
    </row>
    <row r="468" spans="14:92" x14ac:dyDescent="0.25">
      <c r="N468" s="58"/>
      <c r="P468" s="60"/>
      <c r="Q468" s="13"/>
      <c r="V468" s="60"/>
      <c r="X468" s="61"/>
      <c r="AB468" s="60"/>
      <c r="AN468" s="54"/>
      <c r="AS468" s="15"/>
      <c r="BH468" s="52"/>
      <c r="BI468" s="21" t="str">
        <f ca="1">IFERROR(VLOOKUP(C468,OFFSET(abbreviation[],0,ColumnLanguage),ColumnAbbreviation,FALSE),"")</f>
        <v/>
      </c>
      <c r="BJ468" s="21" t="str">
        <f ca="1">IFERROR(VLOOKUP(E468,OFFSET(abbreviation[],0,ColumnLanguage),ColumnAbbreviation,FALSE),"")</f>
        <v/>
      </c>
      <c r="BK468" s="21" t="str">
        <f ca="1">IFERROR(VLOOKUP(G468,OFFSET(abbreviation[],0,ColumnLanguage),ColumnAbbreviation,FALSE),"")</f>
        <v/>
      </c>
      <c r="BL468" s="21" t="str">
        <f ca="1">IFERROR(VLOOKUP(I468,OFFSET(abbreviation[],0,ColumnLanguage),ColumnAbbreviation,FALSE),"")</f>
        <v/>
      </c>
      <c r="BM468" s="21" t="str">
        <f ca="1">IFERROR(VLOOKUP(K468,OFFSET(abbreviation[],0,ColumnLanguage),ColumnAbbreviation,FALSE),"")</f>
        <v/>
      </c>
      <c r="BN468" s="21" t="str">
        <f t="shared" ca="1" si="49"/>
        <v/>
      </c>
      <c r="BO468" s="21" t="str">
        <f ca="1">IFERROR(VLOOKUP(N468,OFFSET(abbreviation[],0,ColumnLanguage),ColumnAbbreviation,FALSE),"")</f>
        <v/>
      </c>
      <c r="BP468" s="21" t="str">
        <f ca="1">IFERROR(VLOOKUP(P468,OFFSET(abbreviation[],0,ColumnLanguage),ColumnAbbreviation,FALSE),"")</f>
        <v/>
      </c>
      <c r="BQ468" s="21" t="str">
        <f ca="1">IFERROR(VLOOKUP(T468,OFFSET(abbreviation[],0,ColumnLanguage),ColumnAbbreviation,FALSE),"")</f>
        <v/>
      </c>
      <c r="BR468" s="21" t="str">
        <f ca="1">IFERROR(VLOOKUP(V468,OFFSET(abbreviation[],0,ColumnLanguage),ColumnAbbreviation,FALSE),"")</f>
        <v/>
      </c>
      <c r="BS468" s="21" t="str">
        <f ca="1">IFERROR(VLOOKUP(Z468,OFFSET(abbreviation[],0,ColumnLanguage),ColumnAbbreviation,FALSE),"")</f>
        <v/>
      </c>
      <c r="BT468" s="21" t="str">
        <f ca="1">IFERROR(VLOOKUP(AB468,OFFSET(abbreviation[],0,ColumnLanguage),ColumnAbbreviation,FALSE),"")</f>
        <v/>
      </c>
      <c r="BU468" s="21" t="str">
        <f t="shared" ca="1" si="50"/>
        <v>__</v>
      </c>
      <c r="BV468" s="21" t="str">
        <f ca="1">IFERROR(VLOOKUP(AF468,OFFSET(abbreviation[],0,ColumnLanguage),ColumnAbbreviation,FALSE),"")</f>
        <v/>
      </c>
      <c r="BW468" s="21" t="str">
        <f ca="1">IFERROR(VLOOKUP(AH468,OFFSET(abbreviation[],0,ColumnLanguage),ColumnAbbreviation,FALSE),"")</f>
        <v/>
      </c>
      <c r="BX468" s="21" t="str">
        <f ca="1">IFERROR(VLOOKUP(AJ468,OFFSET(abbreviation[],0,ColumnLanguage),ColumnAbbreviation,FALSE),"")</f>
        <v/>
      </c>
      <c r="BY468" s="21" t="str">
        <f ca="1">IFERROR(VLOOKUP(AL468,OFFSET(abbreviation[],0,ColumnLanguage),ColumnAbbreviation,FALSE),"")</f>
        <v/>
      </c>
      <c r="BZ468" s="21" t="str">
        <f t="shared" ca="1" si="51"/>
        <v>_</v>
      </c>
      <c r="CA468" s="21" t="str">
        <f ca="1">IFERROR(VLOOKUP(AP468,OFFSET(abbreviation[],0,ColumnLanguage),ColumnAbbreviation,FALSE),"")</f>
        <v/>
      </c>
      <c r="CB468" s="21" t="str">
        <f ca="1">IFERROR(VLOOKUP(AR468,OFFSET(abbreviation[],0,ColumnLanguage),ColumnAbbreviation,FALSE),"")</f>
        <v/>
      </c>
      <c r="CC468" s="21" t="str">
        <f ca="1">IFERROR(VLOOKUP(AT468,OFFSET(abbreviation[],0,ColumnLanguage),ColumnAbbreviation,FALSE),"")</f>
        <v/>
      </c>
      <c r="CD468" s="21" t="str">
        <f ca="1">IFERROR(VLOOKUP(AV468,OFFSET(abbreviation[],0,ColumnLanguage),ColumnAbbreviation,FALSE),"")</f>
        <v/>
      </c>
      <c r="CE468" s="21" t="str">
        <f t="shared" ca="1" si="52"/>
        <v>__</v>
      </c>
      <c r="CF468" s="21" t="str">
        <f ca="1">IFERROR(VLOOKUP(AX468,OFFSET(abbreviation[],0,ColumnLanguage),ColumnAbbreviation,FALSE),"")</f>
        <v/>
      </c>
      <c r="CG468" s="21" t="str">
        <f ca="1">IFERROR(VLOOKUP(AZ468,OFFSET(abbreviation[],0,ColumnLanguage),ColumnAbbreviation,FALSE),"")</f>
        <v/>
      </c>
      <c r="CH468" s="21" t="str">
        <f ca="1">IFERROR(VLOOKUP(BB468,OFFSET(abbreviation[],0,ColumnLanguage),ColumnAbbreviation,FALSE),"")</f>
        <v/>
      </c>
      <c r="CI468" s="21" t="str">
        <f ca="1">IFERROR(VLOOKUP(BD468,OFFSET(abbreviation[],0,ColumnLanguage),ColumnAbbreviation,FALSE),"")</f>
        <v/>
      </c>
      <c r="CJ468" s="21" t="str">
        <f ca="1">IFERROR(VLOOKUP(BF468,OFFSET(abbreviation[],0,ColumnLanguage),ColumnAbbreviation,FALSE),"")</f>
        <v/>
      </c>
      <c r="CK468" s="21" t="str">
        <f t="shared" ca="1" si="53"/>
        <v/>
      </c>
      <c r="CL468" s="21" t="str">
        <f t="shared" si="54"/>
        <v/>
      </c>
      <c r="CM468" s="52"/>
      <c r="CN468" s="57" t="str">
        <f t="shared" si="55"/>
        <v/>
      </c>
    </row>
    <row r="469" spans="14:92" x14ac:dyDescent="0.25">
      <c r="N469" s="58"/>
      <c r="P469" s="60"/>
      <c r="Q469" s="13"/>
      <c r="V469" s="60"/>
      <c r="X469" s="61"/>
      <c r="AB469" s="60"/>
      <c r="AN469" s="54"/>
      <c r="AS469" s="15"/>
      <c r="BH469" s="52"/>
      <c r="BI469" s="21" t="str">
        <f ca="1">IFERROR(VLOOKUP(C469,OFFSET(abbreviation[],0,ColumnLanguage),ColumnAbbreviation,FALSE),"")</f>
        <v/>
      </c>
      <c r="BJ469" s="21" t="str">
        <f ca="1">IFERROR(VLOOKUP(E469,OFFSET(abbreviation[],0,ColumnLanguage),ColumnAbbreviation,FALSE),"")</f>
        <v/>
      </c>
      <c r="BK469" s="21" t="str">
        <f ca="1">IFERROR(VLOOKUP(G469,OFFSET(abbreviation[],0,ColumnLanguage),ColumnAbbreviation,FALSE),"")</f>
        <v/>
      </c>
      <c r="BL469" s="21" t="str">
        <f ca="1">IFERROR(VLOOKUP(I469,OFFSET(abbreviation[],0,ColumnLanguage),ColumnAbbreviation,FALSE),"")</f>
        <v/>
      </c>
      <c r="BM469" s="21" t="str">
        <f ca="1">IFERROR(VLOOKUP(K469,OFFSET(abbreviation[],0,ColumnLanguage),ColumnAbbreviation,FALSE),"")</f>
        <v/>
      </c>
      <c r="BN469" s="21" t="str">
        <f t="shared" ca="1" si="49"/>
        <v/>
      </c>
      <c r="BO469" s="21" t="str">
        <f ca="1">IFERROR(VLOOKUP(N469,OFFSET(abbreviation[],0,ColumnLanguage),ColumnAbbreviation,FALSE),"")</f>
        <v/>
      </c>
      <c r="BP469" s="21" t="str">
        <f ca="1">IFERROR(VLOOKUP(P469,OFFSET(abbreviation[],0,ColumnLanguage),ColumnAbbreviation,FALSE),"")</f>
        <v/>
      </c>
      <c r="BQ469" s="21" t="str">
        <f ca="1">IFERROR(VLOOKUP(T469,OFFSET(abbreviation[],0,ColumnLanguage),ColumnAbbreviation,FALSE),"")</f>
        <v/>
      </c>
      <c r="BR469" s="21" t="str">
        <f ca="1">IFERROR(VLOOKUP(V469,OFFSET(abbreviation[],0,ColumnLanguage),ColumnAbbreviation,FALSE),"")</f>
        <v/>
      </c>
      <c r="BS469" s="21" t="str">
        <f ca="1">IFERROR(VLOOKUP(Z469,OFFSET(abbreviation[],0,ColumnLanguage),ColumnAbbreviation,FALSE),"")</f>
        <v/>
      </c>
      <c r="BT469" s="21" t="str">
        <f ca="1">IFERROR(VLOOKUP(AB469,OFFSET(abbreviation[],0,ColumnLanguage),ColumnAbbreviation,FALSE),"")</f>
        <v/>
      </c>
      <c r="BU469" s="21" t="str">
        <f t="shared" ca="1" si="50"/>
        <v>__</v>
      </c>
      <c r="BV469" s="21" t="str">
        <f ca="1">IFERROR(VLOOKUP(AF469,OFFSET(abbreviation[],0,ColumnLanguage),ColumnAbbreviation,FALSE),"")</f>
        <v/>
      </c>
      <c r="BW469" s="21" t="str">
        <f ca="1">IFERROR(VLOOKUP(AH469,OFFSET(abbreviation[],0,ColumnLanguage),ColumnAbbreviation,FALSE),"")</f>
        <v/>
      </c>
      <c r="BX469" s="21" t="str">
        <f ca="1">IFERROR(VLOOKUP(AJ469,OFFSET(abbreviation[],0,ColumnLanguage),ColumnAbbreviation,FALSE),"")</f>
        <v/>
      </c>
      <c r="BY469" s="21" t="str">
        <f ca="1">IFERROR(VLOOKUP(AL469,OFFSET(abbreviation[],0,ColumnLanguage),ColumnAbbreviation,FALSE),"")</f>
        <v/>
      </c>
      <c r="BZ469" s="21" t="str">
        <f t="shared" ca="1" si="51"/>
        <v>_</v>
      </c>
      <c r="CA469" s="21" t="str">
        <f ca="1">IFERROR(VLOOKUP(AP469,OFFSET(abbreviation[],0,ColumnLanguage),ColumnAbbreviation,FALSE),"")</f>
        <v/>
      </c>
      <c r="CB469" s="21" t="str">
        <f ca="1">IFERROR(VLOOKUP(AR469,OFFSET(abbreviation[],0,ColumnLanguage),ColumnAbbreviation,FALSE),"")</f>
        <v/>
      </c>
      <c r="CC469" s="21" t="str">
        <f ca="1">IFERROR(VLOOKUP(AT469,OFFSET(abbreviation[],0,ColumnLanguage),ColumnAbbreviation,FALSE),"")</f>
        <v/>
      </c>
      <c r="CD469" s="21" t="str">
        <f ca="1">IFERROR(VLOOKUP(AV469,OFFSET(abbreviation[],0,ColumnLanguage),ColumnAbbreviation,FALSE),"")</f>
        <v/>
      </c>
      <c r="CE469" s="21" t="str">
        <f t="shared" ca="1" si="52"/>
        <v>__</v>
      </c>
      <c r="CF469" s="21" t="str">
        <f ca="1">IFERROR(VLOOKUP(AX469,OFFSET(abbreviation[],0,ColumnLanguage),ColumnAbbreviation,FALSE),"")</f>
        <v/>
      </c>
      <c r="CG469" s="21" t="str">
        <f ca="1">IFERROR(VLOOKUP(AZ469,OFFSET(abbreviation[],0,ColumnLanguage),ColumnAbbreviation,FALSE),"")</f>
        <v/>
      </c>
      <c r="CH469" s="21" t="str">
        <f ca="1">IFERROR(VLOOKUP(BB469,OFFSET(abbreviation[],0,ColumnLanguage),ColumnAbbreviation,FALSE),"")</f>
        <v/>
      </c>
      <c r="CI469" s="21" t="str">
        <f ca="1">IFERROR(VLOOKUP(BD469,OFFSET(abbreviation[],0,ColumnLanguage),ColumnAbbreviation,FALSE),"")</f>
        <v/>
      </c>
      <c r="CJ469" s="21" t="str">
        <f ca="1">IFERROR(VLOOKUP(BF469,OFFSET(abbreviation[],0,ColumnLanguage),ColumnAbbreviation,FALSE),"")</f>
        <v/>
      </c>
      <c r="CK469" s="21" t="str">
        <f t="shared" ca="1" si="53"/>
        <v/>
      </c>
      <c r="CL469" s="21" t="str">
        <f t="shared" si="54"/>
        <v/>
      </c>
      <c r="CM469" s="52"/>
      <c r="CN469" s="57" t="str">
        <f t="shared" si="55"/>
        <v/>
      </c>
    </row>
    <row r="470" spans="14:92" x14ac:dyDescent="0.25">
      <c r="N470" s="58"/>
      <c r="P470" s="60"/>
      <c r="Q470" s="13"/>
      <c r="V470" s="60"/>
      <c r="X470" s="61"/>
      <c r="AB470" s="60"/>
      <c r="AN470" s="54"/>
      <c r="AS470" s="15"/>
      <c r="BH470" s="52"/>
      <c r="BI470" s="21" t="str">
        <f ca="1">IFERROR(VLOOKUP(C470,OFFSET(abbreviation[],0,ColumnLanguage),ColumnAbbreviation,FALSE),"")</f>
        <v/>
      </c>
      <c r="BJ470" s="21" t="str">
        <f ca="1">IFERROR(VLOOKUP(E470,OFFSET(abbreviation[],0,ColumnLanguage),ColumnAbbreviation,FALSE),"")</f>
        <v/>
      </c>
      <c r="BK470" s="21" t="str">
        <f ca="1">IFERROR(VLOOKUP(G470,OFFSET(abbreviation[],0,ColumnLanguage),ColumnAbbreviation,FALSE),"")</f>
        <v/>
      </c>
      <c r="BL470" s="21" t="str">
        <f ca="1">IFERROR(VLOOKUP(I470,OFFSET(abbreviation[],0,ColumnLanguage),ColumnAbbreviation,FALSE),"")</f>
        <v/>
      </c>
      <c r="BM470" s="21" t="str">
        <f ca="1">IFERROR(VLOOKUP(K470,OFFSET(abbreviation[],0,ColumnLanguage),ColumnAbbreviation,FALSE),"")</f>
        <v/>
      </c>
      <c r="BN470" s="21" t="str">
        <f t="shared" ca="1" si="49"/>
        <v/>
      </c>
      <c r="BO470" s="21" t="str">
        <f ca="1">IFERROR(VLOOKUP(N470,OFFSET(abbreviation[],0,ColumnLanguage),ColumnAbbreviation,FALSE),"")</f>
        <v/>
      </c>
      <c r="BP470" s="21" t="str">
        <f ca="1">IFERROR(VLOOKUP(P470,OFFSET(abbreviation[],0,ColumnLanguage),ColumnAbbreviation,FALSE),"")</f>
        <v/>
      </c>
      <c r="BQ470" s="21" t="str">
        <f ca="1">IFERROR(VLOOKUP(T470,OFFSET(abbreviation[],0,ColumnLanguage),ColumnAbbreviation,FALSE),"")</f>
        <v/>
      </c>
      <c r="BR470" s="21" t="str">
        <f ca="1">IFERROR(VLOOKUP(V470,OFFSET(abbreviation[],0,ColumnLanguage),ColumnAbbreviation,FALSE),"")</f>
        <v/>
      </c>
      <c r="BS470" s="21" t="str">
        <f ca="1">IFERROR(VLOOKUP(Z470,OFFSET(abbreviation[],0,ColumnLanguage),ColumnAbbreviation,FALSE),"")</f>
        <v/>
      </c>
      <c r="BT470" s="21" t="str">
        <f ca="1">IFERROR(VLOOKUP(AB470,OFFSET(abbreviation[],0,ColumnLanguage),ColumnAbbreviation,FALSE),"")</f>
        <v/>
      </c>
      <c r="BU470" s="21" t="str">
        <f t="shared" ca="1" si="50"/>
        <v>__</v>
      </c>
      <c r="BV470" s="21" t="str">
        <f ca="1">IFERROR(VLOOKUP(AF470,OFFSET(abbreviation[],0,ColumnLanguage),ColumnAbbreviation,FALSE),"")</f>
        <v/>
      </c>
      <c r="BW470" s="21" t="str">
        <f ca="1">IFERROR(VLOOKUP(AH470,OFFSET(abbreviation[],0,ColumnLanguage),ColumnAbbreviation,FALSE),"")</f>
        <v/>
      </c>
      <c r="BX470" s="21" t="str">
        <f ca="1">IFERROR(VLOOKUP(AJ470,OFFSET(abbreviation[],0,ColumnLanguage),ColumnAbbreviation,FALSE),"")</f>
        <v/>
      </c>
      <c r="BY470" s="21" t="str">
        <f ca="1">IFERROR(VLOOKUP(AL470,OFFSET(abbreviation[],0,ColumnLanguage),ColumnAbbreviation,FALSE),"")</f>
        <v/>
      </c>
      <c r="BZ470" s="21" t="str">
        <f t="shared" ca="1" si="51"/>
        <v>_</v>
      </c>
      <c r="CA470" s="21" t="str">
        <f ca="1">IFERROR(VLOOKUP(AP470,OFFSET(abbreviation[],0,ColumnLanguage),ColumnAbbreviation,FALSE),"")</f>
        <v/>
      </c>
      <c r="CB470" s="21" t="str">
        <f ca="1">IFERROR(VLOOKUP(AR470,OFFSET(abbreviation[],0,ColumnLanguage),ColumnAbbreviation,FALSE),"")</f>
        <v/>
      </c>
      <c r="CC470" s="21" t="str">
        <f ca="1">IFERROR(VLOOKUP(AT470,OFFSET(abbreviation[],0,ColumnLanguage),ColumnAbbreviation,FALSE),"")</f>
        <v/>
      </c>
      <c r="CD470" s="21" t="str">
        <f ca="1">IFERROR(VLOOKUP(AV470,OFFSET(abbreviation[],0,ColumnLanguage),ColumnAbbreviation,FALSE),"")</f>
        <v/>
      </c>
      <c r="CE470" s="21" t="str">
        <f t="shared" ca="1" si="52"/>
        <v>__</v>
      </c>
      <c r="CF470" s="21" t="str">
        <f ca="1">IFERROR(VLOOKUP(AX470,OFFSET(abbreviation[],0,ColumnLanguage),ColumnAbbreviation,FALSE),"")</f>
        <v/>
      </c>
      <c r="CG470" s="21" t="str">
        <f ca="1">IFERROR(VLOOKUP(AZ470,OFFSET(abbreviation[],0,ColumnLanguage),ColumnAbbreviation,FALSE),"")</f>
        <v/>
      </c>
      <c r="CH470" s="21" t="str">
        <f ca="1">IFERROR(VLOOKUP(BB470,OFFSET(abbreviation[],0,ColumnLanguage),ColumnAbbreviation,FALSE),"")</f>
        <v/>
      </c>
      <c r="CI470" s="21" t="str">
        <f ca="1">IFERROR(VLOOKUP(BD470,OFFSET(abbreviation[],0,ColumnLanguage),ColumnAbbreviation,FALSE),"")</f>
        <v/>
      </c>
      <c r="CJ470" s="21" t="str">
        <f ca="1">IFERROR(VLOOKUP(BF470,OFFSET(abbreviation[],0,ColumnLanguage),ColumnAbbreviation,FALSE),"")</f>
        <v/>
      </c>
      <c r="CK470" s="21" t="str">
        <f t="shared" ca="1" si="53"/>
        <v/>
      </c>
      <c r="CL470" s="21" t="str">
        <f t="shared" si="54"/>
        <v/>
      </c>
      <c r="CM470" s="52"/>
      <c r="CN470" s="57" t="str">
        <f t="shared" si="55"/>
        <v/>
      </c>
    </row>
    <row r="471" spans="14:92" x14ac:dyDescent="0.25">
      <c r="N471" s="58"/>
      <c r="P471" s="60"/>
      <c r="Q471" s="13"/>
      <c r="V471" s="60"/>
      <c r="X471" s="61"/>
      <c r="AB471" s="60"/>
      <c r="AN471" s="54"/>
      <c r="AS471" s="15"/>
      <c r="BH471" s="52"/>
      <c r="BI471" s="21" t="str">
        <f ca="1">IFERROR(VLOOKUP(C471,OFFSET(abbreviation[],0,ColumnLanguage),ColumnAbbreviation,FALSE),"")</f>
        <v/>
      </c>
      <c r="BJ471" s="21" t="str">
        <f ca="1">IFERROR(VLOOKUP(E471,OFFSET(abbreviation[],0,ColumnLanguage),ColumnAbbreviation,FALSE),"")</f>
        <v/>
      </c>
      <c r="BK471" s="21" t="str">
        <f ca="1">IFERROR(VLOOKUP(G471,OFFSET(abbreviation[],0,ColumnLanguage),ColumnAbbreviation,FALSE),"")</f>
        <v/>
      </c>
      <c r="BL471" s="21" t="str">
        <f ca="1">IFERROR(VLOOKUP(I471,OFFSET(abbreviation[],0,ColumnLanguage),ColumnAbbreviation,FALSE),"")</f>
        <v/>
      </c>
      <c r="BM471" s="21" t="str">
        <f ca="1">IFERROR(VLOOKUP(K471,OFFSET(abbreviation[],0,ColumnLanguage),ColumnAbbreviation,FALSE),"")</f>
        <v/>
      </c>
      <c r="BN471" s="21" t="str">
        <f t="shared" ca="1" si="49"/>
        <v/>
      </c>
      <c r="BO471" s="21" t="str">
        <f ca="1">IFERROR(VLOOKUP(N471,OFFSET(abbreviation[],0,ColumnLanguage),ColumnAbbreviation,FALSE),"")</f>
        <v/>
      </c>
      <c r="BP471" s="21" t="str">
        <f ca="1">IFERROR(VLOOKUP(P471,OFFSET(abbreviation[],0,ColumnLanguage),ColumnAbbreviation,FALSE),"")</f>
        <v/>
      </c>
      <c r="BQ471" s="21" t="str">
        <f ca="1">IFERROR(VLOOKUP(T471,OFFSET(abbreviation[],0,ColumnLanguage),ColumnAbbreviation,FALSE),"")</f>
        <v/>
      </c>
      <c r="BR471" s="21" t="str">
        <f ca="1">IFERROR(VLOOKUP(V471,OFFSET(abbreviation[],0,ColumnLanguage),ColumnAbbreviation,FALSE),"")</f>
        <v/>
      </c>
      <c r="BS471" s="21" t="str">
        <f ca="1">IFERROR(VLOOKUP(Z471,OFFSET(abbreviation[],0,ColumnLanguage),ColumnAbbreviation,FALSE),"")</f>
        <v/>
      </c>
      <c r="BT471" s="21" t="str">
        <f ca="1">IFERROR(VLOOKUP(AB471,OFFSET(abbreviation[],0,ColumnLanguage),ColumnAbbreviation,FALSE),"")</f>
        <v/>
      </c>
      <c r="BU471" s="21" t="str">
        <f t="shared" ca="1" si="50"/>
        <v>__</v>
      </c>
      <c r="BV471" s="21" t="str">
        <f ca="1">IFERROR(VLOOKUP(AF471,OFFSET(abbreviation[],0,ColumnLanguage),ColumnAbbreviation,FALSE),"")</f>
        <v/>
      </c>
      <c r="BW471" s="21" t="str">
        <f ca="1">IFERROR(VLOOKUP(AH471,OFFSET(abbreviation[],0,ColumnLanguage),ColumnAbbreviation,FALSE),"")</f>
        <v/>
      </c>
      <c r="BX471" s="21" t="str">
        <f ca="1">IFERROR(VLOOKUP(AJ471,OFFSET(abbreviation[],0,ColumnLanguage),ColumnAbbreviation,FALSE),"")</f>
        <v/>
      </c>
      <c r="BY471" s="21" t="str">
        <f ca="1">IFERROR(VLOOKUP(AL471,OFFSET(abbreviation[],0,ColumnLanguage),ColumnAbbreviation,FALSE),"")</f>
        <v/>
      </c>
      <c r="BZ471" s="21" t="str">
        <f t="shared" ca="1" si="51"/>
        <v>_</v>
      </c>
      <c r="CA471" s="21" t="str">
        <f ca="1">IFERROR(VLOOKUP(AP471,OFFSET(abbreviation[],0,ColumnLanguage),ColumnAbbreviation,FALSE),"")</f>
        <v/>
      </c>
      <c r="CB471" s="21" t="str">
        <f ca="1">IFERROR(VLOOKUP(AR471,OFFSET(abbreviation[],0,ColumnLanguage),ColumnAbbreviation,FALSE),"")</f>
        <v/>
      </c>
      <c r="CC471" s="21" t="str">
        <f ca="1">IFERROR(VLOOKUP(AT471,OFFSET(abbreviation[],0,ColumnLanguage),ColumnAbbreviation,FALSE),"")</f>
        <v/>
      </c>
      <c r="CD471" s="21" t="str">
        <f ca="1">IFERROR(VLOOKUP(AV471,OFFSET(abbreviation[],0,ColumnLanguage),ColumnAbbreviation,FALSE),"")</f>
        <v/>
      </c>
      <c r="CE471" s="21" t="str">
        <f t="shared" ca="1" si="52"/>
        <v>__</v>
      </c>
      <c r="CF471" s="21" t="str">
        <f ca="1">IFERROR(VLOOKUP(AX471,OFFSET(abbreviation[],0,ColumnLanguage),ColumnAbbreviation,FALSE),"")</f>
        <v/>
      </c>
      <c r="CG471" s="21" t="str">
        <f ca="1">IFERROR(VLOOKUP(AZ471,OFFSET(abbreviation[],0,ColumnLanguage),ColumnAbbreviation,FALSE),"")</f>
        <v/>
      </c>
      <c r="CH471" s="21" t="str">
        <f ca="1">IFERROR(VLOOKUP(BB471,OFFSET(abbreviation[],0,ColumnLanguage),ColumnAbbreviation,FALSE),"")</f>
        <v/>
      </c>
      <c r="CI471" s="21" t="str">
        <f ca="1">IFERROR(VLOOKUP(BD471,OFFSET(abbreviation[],0,ColumnLanguage),ColumnAbbreviation,FALSE),"")</f>
        <v/>
      </c>
      <c r="CJ471" s="21" t="str">
        <f ca="1">IFERROR(VLOOKUP(BF471,OFFSET(abbreviation[],0,ColumnLanguage),ColumnAbbreviation,FALSE),"")</f>
        <v/>
      </c>
      <c r="CK471" s="21" t="str">
        <f t="shared" ca="1" si="53"/>
        <v/>
      </c>
      <c r="CL471" s="21" t="str">
        <f t="shared" si="54"/>
        <v/>
      </c>
      <c r="CM471" s="52"/>
      <c r="CN471" s="57" t="str">
        <f t="shared" si="55"/>
        <v/>
      </c>
    </row>
    <row r="472" spans="14:92" x14ac:dyDescent="0.25">
      <c r="N472" s="58"/>
      <c r="P472" s="60"/>
      <c r="Q472" s="13"/>
      <c r="V472" s="60"/>
      <c r="X472" s="61"/>
      <c r="AB472" s="60"/>
      <c r="AN472" s="54"/>
      <c r="AS472" s="15"/>
      <c r="BH472" s="52"/>
      <c r="BI472" s="21" t="str">
        <f ca="1">IFERROR(VLOOKUP(C472,OFFSET(abbreviation[],0,ColumnLanguage),ColumnAbbreviation,FALSE),"")</f>
        <v/>
      </c>
      <c r="BJ472" s="21" t="str">
        <f ca="1">IFERROR(VLOOKUP(E472,OFFSET(abbreviation[],0,ColumnLanguage),ColumnAbbreviation,FALSE),"")</f>
        <v/>
      </c>
      <c r="BK472" s="21" t="str">
        <f ca="1">IFERROR(VLOOKUP(G472,OFFSET(abbreviation[],0,ColumnLanguage),ColumnAbbreviation,FALSE),"")</f>
        <v/>
      </c>
      <c r="BL472" s="21" t="str">
        <f ca="1">IFERROR(VLOOKUP(I472,OFFSET(abbreviation[],0,ColumnLanguage),ColumnAbbreviation,FALSE),"")</f>
        <v/>
      </c>
      <c r="BM472" s="21" t="str">
        <f ca="1">IFERROR(VLOOKUP(K472,OFFSET(abbreviation[],0,ColumnLanguage),ColumnAbbreviation,FALSE),"")</f>
        <v/>
      </c>
      <c r="BN472" s="21" t="str">
        <f t="shared" ca="1" si="49"/>
        <v/>
      </c>
      <c r="BO472" s="21" t="str">
        <f ca="1">IFERROR(VLOOKUP(N472,OFFSET(abbreviation[],0,ColumnLanguage),ColumnAbbreviation,FALSE),"")</f>
        <v/>
      </c>
      <c r="BP472" s="21" t="str">
        <f ca="1">IFERROR(VLOOKUP(P472,OFFSET(abbreviation[],0,ColumnLanguage),ColumnAbbreviation,FALSE),"")</f>
        <v/>
      </c>
      <c r="BQ472" s="21" t="str">
        <f ca="1">IFERROR(VLOOKUP(T472,OFFSET(abbreviation[],0,ColumnLanguage),ColumnAbbreviation,FALSE),"")</f>
        <v/>
      </c>
      <c r="BR472" s="21" t="str">
        <f ca="1">IFERROR(VLOOKUP(V472,OFFSET(abbreviation[],0,ColumnLanguage),ColumnAbbreviation,FALSE),"")</f>
        <v/>
      </c>
      <c r="BS472" s="21" t="str">
        <f ca="1">IFERROR(VLOOKUP(Z472,OFFSET(abbreviation[],0,ColumnLanguage),ColumnAbbreviation,FALSE),"")</f>
        <v/>
      </c>
      <c r="BT472" s="21" t="str">
        <f ca="1">IFERROR(VLOOKUP(AB472,OFFSET(abbreviation[],0,ColumnLanguage),ColumnAbbreviation,FALSE),"")</f>
        <v/>
      </c>
      <c r="BU472" s="21" t="str">
        <f t="shared" ca="1" si="50"/>
        <v>__</v>
      </c>
      <c r="BV472" s="21" t="str">
        <f ca="1">IFERROR(VLOOKUP(AF472,OFFSET(abbreviation[],0,ColumnLanguage),ColumnAbbreviation,FALSE),"")</f>
        <v/>
      </c>
      <c r="BW472" s="21" t="str">
        <f ca="1">IFERROR(VLOOKUP(AH472,OFFSET(abbreviation[],0,ColumnLanguage),ColumnAbbreviation,FALSE),"")</f>
        <v/>
      </c>
      <c r="BX472" s="21" t="str">
        <f ca="1">IFERROR(VLOOKUP(AJ472,OFFSET(abbreviation[],0,ColumnLanguage),ColumnAbbreviation,FALSE),"")</f>
        <v/>
      </c>
      <c r="BY472" s="21" t="str">
        <f ca="1">IFERROR(VLOOKUP(AL472,OFFSET(abbreviation[],0,ColumnLanguage),ColumnAbbreviation,FALSE),"")</f>
        <v/>
      </c>
      <c r="BZ472" s="21" t="str">
        <f t="shared" ca="1" si="51"/>
        <v>_</v>
      </c>
      <c r="CA472" s="21" t="str">
        <f ca="1">IFERROR(VLOOKUP(AP472,OFFSET(abbreviation[],0,ColumnLanguage),ColumnAbbreviation,FALSE),"")</f>
        <v/>
      </c>
      <c r="CB472" s="21" t="str">
        <f ca="1">IFERROR(VLOOKUP(AR472,OFFSET(abbreviation[],0,ColumnLanguage),ColumnAbbreviation,FALSE),"")</f>
        <v/>
      </c>
      <c r="CC472" s="21" t="str">
        <f ca="1">IFERROR(VLOOKUP(AT472,OFFSET(abbreviation[],0,ColumnLanguage),ColumnAbbreviation,FALSE),"")</f>
        <v/>
      </c>
      <c r="CD472" s="21" t="str">
        <f ca="1">IFERROR(VLOOKUP(AV472,OFFSET(abbreviation[],0,ColumnLanguage),ColumnAbbreviation,FALSE),"")</f>
        <v/>
      </c>
      <c r="CE472" s="21" t="str">
        <f t="shared" ca="1" si="52"/>
        <v>__</v>
      </c>
      <c r="CF472" s="21" t="str">
        <f ca="1">IFERROR(VLOOKUP(AX472,OFFSET(abbreviation[],0,ColumnLanguage),ColumnAbbreviation,FALSE),"")</f>
        <v/>
      </c>
      <c r="CG472" s="21" t="str">
        <f ca="1">IFERROR(VLOOKUP(AZ472,OFFSET(abbreviation[],0,ColumnLanguage),ColumnAbbreviation,FALSE),"")</f>
        <v/>
      </c>
      <c r="CH472" s="21" t="str">
        <f ca="1">IFERROR(VLOOKUP(BB472,OFFSET(abbreviation[],0,ColumnLanguage),ColumnAbbreviation,FALSE),"")</f>
        <v/>
      </c>
      <c r="CI472" s="21" t="str">
        <f ca="1">IFERROR(VLOOKUP(BD472,OFFSET(abbreviation[],0,ColumnLanguage),ColumnAbbreviation,FALSE),"")</f>
        <v/>
      </c>
      <c r="CJ472" s="21" t="str">
        <f ca="1">IFERROR(VLOOKUP(BF472,OFFSET(abbreviation[],0,ColumnLanguage),ColumnAbbreviation,FALSE),"")</f>
        <v/>
      </c>
      <c r="CK472" s="21" t="str">
        <f t="shared" ca="1" si="53"/>
        <v/>
      </c>
      <c r="CL472" s="21" t="str">
        <f t="shared" si="54"/>
        <v/>
      </c>
      <c r="CM472" s="52"/>
      <c r="CN472" s="57" t="str">
        <f t="shared" si="55"/>
        <v/>
      </c>
    </row>
    <row r="473" spans="14:92" x14ac:dyDescent="0.25">
      <c r="N473" s="58"/>
      <c r="P473" s="60"/>
      <c r="Q473" s="13"/>
      <c r="V473" s="60"/>
      <c r="X473" s="61"/>
      <c r="AB473" s="60"/>
      <c r="AN473" s="54"/>
      <c r="AS473" s="15"/>
      <c r="BH473" s="52"/>
      <c r="BI473" s="21" t="str">
        <f ca="1">IFERROR(VLOOKUP(C473,OFFSET(abbreviation[],0,ColumnLanguage),ColumnAbbreviation,FALSE),"")</f>
        <v/>
      </c>
      <c r="BJ473" s="21" t="str">
        <f ca="1">IFERROR(VLOOKUP(E473,OFFSET(abbreviation[],0,ColumnLanguage),ColumnAbbreviation,FALSE),"")</f>
        <v/>
      </c>
      <c r="BK473" s="21" t="str">
        <f ca="1">IFERROR(VLOOKUP(G473,OFFSET(abbreviation[],0,ColumnLanguage),ColumnAbbreviation,FALSE),"")</f>
        <v/>
      </c>
      <c r="BL473" s="21" t="str">
        <f ca="1">IFERROR(VLOOKUP(I473,OFFSET(abbreviation[],0,ColumnLanguage),ColumnAbbreviation,FALSE),"")</f>
        <v/>
      </c>
      <c r="BM473" s="21" t="str">
        <f ca="1">IFERROR(VLOOKUP(K473,OFFSET(abbreviation[],0,ColumnLanguage),ColumnAbbreviation,FALSE),"")</f>
        <v/>
      </c>
      <c r="BN473" s="21" t="str">
        <f t="shared" ca="1" si="49"/>
        <v/>
      </c>
      <c r="BO473" s="21" t="str">
        <f ca="1">IFERROR(VLOOKUP(N473,OFFSET(abbreviation[],0,ColumnLanguage),ColumnAbbreviation,FALSE),"")</f>
        <v/>
      </c>
      <c r="BP473" s="21" t="str">
        <f ca="1">IFERROR(VLOOKUP(P473,OFFSET(abbreviation[],0,ColumnLanguage),ColumnAbbreviation,FALSE),"")</f>
        <v/>
      </c>
      <c r="BQ473" s="21" t="str">
        <f ca="1">IFERROR(VLOOKUP(T473,OFFSET(abbreviation[],0,ColumnLanguage),ColumnAbbreviation,FALSE),"")</f>
        <v/>
      </c>
      <c r="BR473" s="21" t="str">
        <f ca="1">IFERROR(VLOOKUP(V473,OFFSET(abbreviation[],0,ColumnLanguage),ColumnAbbreviation,FALSE),"")</f>
        <v/>
      </c>
      <c r="BS473" s="21" t="str">
        <f ca="1">IFERROR(VLOOKUP(Z473,OFFSET(abbreviation[],0,ColumnLanguage),ColumnAbbreviation,FALSE),"")</f>
        <v/>
      </c>
      <c r="BT473" s="21" t="str">
        <f ca="1">IFERROR(VLOOKUP(AB473,OFFSET(abbreviation[],0,ColumnLanguage),ColumnAbbreviation,FALSE),"")</f>
        <v/>
      </c>
      <c r="BU473" s="21" t="str">
        <f t="shared" ca="1" si="50"/>
        <v>__</v>
      </c>
      <c r="BV473" s="21" t="str">
        <f ca="1">IFERROR(VLOOKUP(AF473,OFFSET(abbreviation[],0,ColumnLanguage),ColumnAbbreviation,FALSE),"")</f>
        <v/>
      </c>
      <c r="BW473" s="21" t="str">
        <f ca="1">IFERROR(VLOOKUP(AH473,OFFSET(abbreviation[],0,ColumnLanguage),ColumnAbbreviation,FALSE),"")</f>
        <v/>
      </c>
      <c r="BX473" s="21" t="str">
        <f ca="1">IFERROR(VLOOKUP(AJ473,OFFSET(abbreviation[],0,ColumnLanguage),ColumnAbbreviation,FALSE),"")</f>
        <v/>
      </c>
      <c r="BY473" s="21" t="str">
        <f ca="1">IFERROR(VLOOKUP(AL473,OFFSET(abbreviation[],0,ColumnLanguage),ColumnAbbreviation,FALSE),"")</f>
        <v/>
      </c>
      <c r="BZ473" s="21" t="str">
        <f t="shared" ca="1" si="51"/>
        <v>_</v>
      </c>
      <c r="CA473" s="21" t="str">
        <f ca="1">IFERROR(VLOOKUP(AP473,OFFSET(abbreviation[],0,ColumnLanguage),ColumnAbbreviation,FALSE),"")</f>
        <v/>
      </c>
      <c r="CB473" s="21" t="str">
        <f ca="1">IFERROR(VLOOKUP(AR473,OFFSET(abbreviation[],0,ColumnLanguage),ColumnAbbreviation,FALSE),"")</f>
        <v/>
      </c>
      <c r="CC473" s="21" t="str">
        <f ca="1">IFERROR(VLOOKUP(AT473,OFFSET(abbreviation[],0,ColumnLanguage),ColumnAbbreviation,FALSE),"")</f>
        <v/>
      </c>
      <c r="CD473" s="21" t="str">
        <f ca="1">IFERROR(VLOOKUP(AV473,OFFSET(abbreviation[],0,ColumnLanguage),ColumnAbbreviation,FALSE),"")</f>
        <v/>
      </c>
      <c r="CE473" s="21" t="str">
        <f t="shared" ca="1" si="52"/>
        <v>__</v>
      </c>
      <c r="CF473" s="21" t="str">
        <f ca="1">IFERROR(VLOOKUP(AX473,OFFSET(abbreviation[],0,ColumnLanguage),ColumnAbbreviation,FALSE),"")</f>
        <v/>
      </c>
      <c r="CG473" s="21" t="str">
        <f ca="1">IFERROR(VLOOKUP(AZ473,OFFSET(abbreviation[],0,ColumnLanguage),ColumnAbbreviation,FALSE),"")</f>
        <v/>
      </c>
      <c r="CH473" s="21" t="str">
        <f ca="1">IFERROR(VLOOKUP(BB473,OFFSET(abbreviation[],0,ColumnLanguage),ColumnAbbreviation,FALSE),"")</f>
        <v/>
      </c>
      <c r="CI473" s="21" t="str">
        <f ca="1">IFERROR(VLOOKUP(BD473,OFFSET(abbreviation[],0,ColumnLanguage),ColumnAbbreviation,FALSE),"")</f>
        <v/>
      </c>
      <c r="CJ473" s="21" t="str">
        <f ca="1">IFERROR(VLOOKUP(BF473,OFFSET(abbreviation[],0,ColumnLanguage),ColumnAbbreviation,FALSE),"")</f>
        <v/>
      </c>
      <c r="CK473" s="21" t="str">
        <f t="shared" ca="1" si="53"/>
        <v/>
      </c>
      <c r="CL473" s="21" t="str">
        <f t="shared" si="54"/>
        <v/>
      </c>
      <c r="CM473" s="52"/>
      <c r="CN473" s="57" t="str">
        <f t="shared" si="55"/>
        <v/>
      </c>
    </row>
    <row r="474" spans="14:92" x14ac:dyDescent="0.25">
      <c r="N474" s="58"/>
      <c r="P474" s="60"/>
      <c r="Q474" s="13"/>
      <c r="V474" s="60"/>
      <c r="X474" s="61"/>
      <c r="AB474" s="60"/>
      <c r="AN474" s="54"/>
      <c r="AS474" s="15"/>
      <c r="BH474" s="52"/>
      <c r="BI474" s="21" t="str">
        <f ca="1">IFERROR(VLOOKUP(C474,OFFSET(abbreviation[],0,ColumnLanguage),ColumnAbbreviation,FALSE),"")</f>
        <v/>
      </c>
      <c r="BJ474" s="21" t="str">
        <f ca="1">IFERROR(VLOOKUP(E474,OFFSET(abbreviation[],0,ColumnLanguage),ColumnAbbreviation,FALSE),"")</f>
        <v/>
      </c>
      <c r="BK474" s="21" t="str">
        <f ca="1">IFERROR(VLOOKUP(G474,OFFSET(abbreviation[],0,ColumnLanguage),ColumnAbbreviation,FALSE),"")</f>
        <v/>
      </c>
      <c r="BL474" s="21" t="str">
        <f ca="1">IFERROR(VLOOKUP(I474,OFFSET(abbreviation[],0,ColumnLanguage),ColumnAbbreviation,FALSE),"")</f>
        <v/>
      </c>
      <c r="BM474" s="21" t="str">
        <f ca="1">IFERROR(VLOOKUP(K474,OFFSET(abbreviation[],0,ColumnLanguage),ColumnAbbreviation,FALSE),"")</f>
        <v/>
      </c>
      <c r="BN474" s="21" t="str">
        <f t="shared" ca="1" si="49"/>
        <v/>
      </c>
      <c r="BO474" s="21" t="str">
        <f ca="1">IFERROR(VLOOKUP(N474,OFFSET(abbreviation[],0,ColumnLanguage),ColumnAbbreviation,FALSE),"")</f>
        <v/>
      </c>
      <c r="BP474" s="21" t="str">
        <f ca="1">IFERROR(VLOOKUP(P474,OFFSET(abbreviation[],0,ColumnLanguage),ColumnAbbreviation,FALSE),"")</f>
        <v/>
      </c>
      <c r="BQ474" s="21" t="str">
        <f ca="1">IFERROR(VLOOKUP(T474,OFFSET(abbreviation[],0,ColumnLanguage),ColumnAbbreviation,FALSE),"")</f>
        <v/>
      </c>
      <c r="BR474" s="21" t="str">
        <f ca="1">IFERROR(VLOOKUP(V474,OFFSET(abbreviation[],0,ColumnLanguage),ColumnAbbreviation,FALSE),"")</f>
        <v/>
      </c>
      <c r="BS474" s="21" t="str">
        <f ca="1">IFERROR(VLOOKUP(Z474,OFFSET(abbreviation[],0,ColumnLanguage),ColumnAbbreviation,FALSE),"")</f>
        <v/>
      </c>
      <c r="BT474" s="21" t="str">
        <f ca="1">IFERROR(VLOOKUP(AB474,OFFSET(abbreviation[],0,ColumnLanguage),ColumnAbbreviation,FALSE),"")</f>
        <v/>
      </c>
      <c r="BU474" s="21" t="str">
        <f t="shared" ca="1" si="50"/>
        <v>__</v>
      </c>
      <c r="BV474" s="21" t="str">
        <f ca="1">IFERROR(VLOOKUP(AF474,OFFSET(abbreviation[],0,ColumnLanguage),ColumnAbbreviation,FALSE),"")</f>
        <v/>
      </c>
      <c r="BW474" s="21" t="str">
        <f ca="1">IFERROR(VLOOKUP(AH474,OFFSET(abbreviation[],0,ColumnLanguage),ColumnAbbreviation,FALSE),"")</f>
        <v/>
      </c>
      <c r="BX474" s="21" t="str">
        <f ca="1">IFERROR(VLOOKUP(AJ474,OFFSET(abbreviation[],0,ColumnLanguage),ColumnAbbreviation,FALSE),"")</f>
        <v/>
      </c>
      <c r="BY474" s="21" t="str">
        <f ca="1">IFERROR(VLOOKUP(AL474,OFFSET(abbreviation[],0,ColumnLanguage),ColumnAbbreviation,FALSE),"")</f>
        <v/>
      </c>
      <c r="BZ474" s="21" t="str">
        <f t="shared" ca="1" si="51"/>
        <v>_</v>
      </c>
      <c r="CA474" s="21" t="str">
        <f ca="1">IFERROR(VLOOKUP(AP474,OFFSET(abbreviation[],0,ColumnLanguage),ColumnAbbreviation,FALSE),"")</f>
        <v/>
      </c>
      <c r="CB474" s="21" t="str">
        <f ca="1">IFERROR(VLOOKUP(AR474,OFFSET(abbreviation[],0,ColumnLanguage),ColumnAbbreviation,FALSE),"")</f>
        <v/>
      </c>
      <c r="CC474" s="21" t="str">
        <f ca="1">IFERROR(VLOOKUP(AT474,OFFSET(abbreviation[],0,ColumnLanguage),ColumnAbbreviation,FALSE),"")</f>
        <v/>
      </c>
      <c r="CD474" s="21" t="str">
        <f ca="1">IFERROR(VLOOKUP(AV474,OFFSET(abbreviation[],0,ColumnLanguage),ColumnAbbreviation,FALSE),"")</f>
        <v/>
      </c>
      <c r="CE474" s="21" t="str">
        <f t="shared" ca="1" si="52"/>
        <v>__</v>
      </c>
      <c r="CF474" s="21" t="str">
        <f ca="1">IFERROR(VLOOKUP(AX474,OFFSET(abbreviation[],0,ColumnLanguage),ColumnAbbreviation,FALSE),"")</f>
        <v/>
      </c>
      <c r="CG474" s="21" t="str">
        <f ca="1">IFERROR(VLOOKUP(AZ474,OFFSET(abbreviation[],0,ColumnLanguage),ColumnAbbreviation,FALSE),"")</f>
        <v/>
      </c>
      <c r="CH474" s="21" t="str">
        <f ca="1">IFERROR(VLOOKUP(BB474,OFFSET(abbreviation[],0,ColumnLanguage),ColumnAbbreviation,FALSE),"")</f>
        <v/>
      </c>
      <c r="CI474" s="21" t="str">
        <f ca="1">IFERROR(VLOOKUP(BD474,OFFSET(abbreviation[],0,ColumnLanguage),ColumnAbbreviation,FALSE),"")</f>
        <v/>
      </c>
      <c r="CJ474" s="21" t="str">
        <f ca="1">IFERROR(VLOOKUP(BF474,OFFSET(abbreviation[],0,ColumnLanguage),ColumnAbbreviation,FALSE),"")</f>
        <v/>
      </c>
      <c r="CK474" s="21" t="str">
        <f t="shared" ca="1" si="53"/>
        <v/>
      </c>
      <c r="CL474" s="21" t="str">
        <f t="shared" si="54"/>
        <v/>
      </c>
      <c r="CM474" s="52"/>
      <c r="CN474" s="57" t="str">
        <f t="shared" si="55"/>
        <v/>
      </c>
    </row>
    <row r="475" spans="14:92" x14ac:dyDescent="0.25">
      <c r="N475" s="58"/>
      <c r="P475" s="60"/>
      <c r="Q475" s="13"/>
      <c r="V475" s="60"/>
      <c r="X475" s="61"/>
      <c r="AB475" s="60"/>
      <c r="AN475" s="54"/>
      <c r="AS475" s="15"/>
      <c r="BH475" s="52"/>
      <c r="BI475" s="21" t="str">
        <f ca="1">IFERROR(VLOOKUP(C475,OFFSET(abbreviation[],0,ColumnLanguage),ColumnAbbreviation,FALSE),"")</f>
        <v/>
      </c>
      <c r="BJ475" s="21" t="str">
        <f ca="1">IFERROR(VLOOKUP(E475,OFFSET(abbreviation[],0,ColumnLanguage),ColumnAbbreviation,FALSE),"")</f>
        <v/>
      </c>
      <c r="BK475" s="21" t="str">
        <f ca="1">IFERROR(VLOOKUP(G475,OFFSET(abbreviation[],0,ColumnLanguage),ColumnAbbreviation,FALSE),"")</f>
        <v/>
      </c>
      <c r="BL475" s="21" t="str">
        <f ca="1">IFERROR(VLOOKUP(I475,OFFSET(abbreviation[],0,ColumnLanguage),ColumnAbbreviation,FALSE),"")</f>
        <v/>
      </c>
      <c r="BM475" s="21" t="str">
        <f ca="1">IFERROR(VLOOKUP(K475,OFFSET(abbreviation[],0,ColumnLanguage),ColumnAbbreviation,FALSE),"")</f>
        <v/>
      </c>
      <c r="BN475" s="21" t="str">
        <f t="shared" ca="1" si="49"/>
        <v/>
      </c>
      <c r="BO475" s="21" t="str">
        <f ca="1">IFERROR(VLOOKUP(N475,OFFSET(abbreviation[],0,ColumnLanguage),ColumnAbbreviation,FALSE),"")</f>
        <v/>
      </c>
      <c r="BP475" s="21" t="str">
        <f ca="1">IFERROR(VLOOKUP(P475,OFFSET(abbreviation[],0,ColumnLanguage),ColumnAbbreviation,FALSE),"")</f>
        <v/>
      </c>
      <c r="BQ475" s="21" t="str">
        <f ca="1">IFERROR(VLOOKUP(T475,OFFSET(abbreviation[],0,ColumnLanguage),ColumnAbbreviation,FALSE),"")</f>
        <v/>
      </c>
      <c r="BR475" s="21" t="str">
        <f ca="1">IFERROR(VLOOKUP(V475,OFFSET(abbreviation[],0,ColumnLanguage),ColumnAbbreviation,FALSE),"")</f>
        <v/>
      </c>
      <c r="BS475" s="21" t="str">
        <f ca="1">IFERROR(VLOOKUP(Z475,OFFSET(abbreviation[],0,ColumnLanguage),ColumnAbbreviation,FALSE),"")</f>
        <v/>
      </c>
      <c r="BT475" s="21" t="str">
        <f ca="1">IFERROR(VLOOKUP(AB475,OFFSET(abbreviation[],0,ColumnLanguage),ColumnAbbreviation,FALSE),"")</f>
        <v/>
      </c>
      <c r="BU475" s="21" t="str">
        <f t="shared" ca="1" si="50"/>
        <v>__</v>
      </c>
      <c r="BV475" s="21" t="str">
        <f ca="1">IFERROR(VLOOKUP(AF475,OFFSET(abbreviation[],0,ColumnLanguage),ColumnAbbreviation,FALSE),"")</f>
        <v/>
      </c>
      <c r="BW475" s="21" t="str">
        <f ca="1">IFERROR(VLOOKUP(AH475,OFFSET(abbreviation[],0,ColumnLanguage),ColumnAbbreviation,FALSE),"")</f>
        <v/>
      </c>
      <c r="BX475" s="21" t="str">
        <f ca="1">IFERROR(VLOOKUP(AJ475,OFFSET(abbreviation[],0,ColumnLanguage),ColumnAbbreviation,FALSE),"")</f>
        <v/>
      </c>
      <c r="BY475" s="21" t="str">
        <f ca="1">IFERROR(VLOOKUP(AL475,OFFSET(abbreviation[],0,ColumnLanguage),ColumnAbbreviation,FALSE),"")</f>
        <v/>
      </c>
      <c r="BZ475" s="21" t="str">
        <f t="shared" ca="1" si="51"/>
        <v>_</v>
      </c>
      <c r="CA475" s="21" t="str">
        <f ca="1">IFERROR(VLOOKUP(AP475,OFFSET(abbreviation[],0,ColumnLanguage),ColumnAbbreviation,FALSE),"")</f>
        <v/>
      </c>
      <c r="CB475" s="21" t="str">
        <f ca="1">IFERROR(VLOOKUP(AR475,OFFSET(abbreviation[],0,ColumnLanguage),ColumnAbbreviation,FALSE),"")</f>
        <v/>
      </c>
      <c r="CC475" s="21" t="str">
        <f ca="1">IFERROR(VLOOKUP(AT475,OFFSET(abbreviation[],0,ColumnLanguage),ColumnAbbreviation,FALSE),"")</f>
        <v/>
      </c>
      <c r="CD475" s="21" t="str">
        <f ca="1">IFERROR(VLOOKUP(AV475,OFFSET(abbreviation[],0,ColumnLanguage),ColumnAbbreviation,FALSE),"")</f>
        <v/>
      </c>
      <c r="CE475" s="21" t="str">
        <f t="shared" ca="1" si="52"/>
        <v>__</v>
      </c>
      <c r="CF475" s="21" t="str">
        <f ca="1">IFERROR(VLOOKUP(AX475,OFFSET(abbreviation[],0,ColumnLanguage),ColumnAbbreviation,FALSE),"")</f>
        <v/>
      </c>
      <c r="CG475" s="21" t="str">
        <f ca="1">IFERROR(VLOOKUP(AZ475,OFFSET(abbreviation[],0,ColumnLanguage),ColumnAbbreviation,FALSE),"")</f>
        <v/>
      </c>
      <c r="CH475" s="21" t="str">
        <f ca="1">IFERROR(VLOOKUP(BB475,OFFSET(abbreviation[],0,ColumnLanguage),ColumnAbbreviation,FALSE),"")</f>
        <v/>
      </c>
      <c r="CI475" s="21" t="str">
        <f ca="1">IFERROR(VLOOKUP(BD475,OFFSET(abbreviation[],0,ColumnLanguage),ColumnAbbreviation,FALSE),"")</f>
        <v/>
      </c>
      <c r="CJ475" s="21" t="str">
        <f ca="1">IFERROR(VLOOKUP(BF475,OFFSET(abbreviation[],0,ColumnLanguage),ColumnAbbreviation,FALSE),"")</f>
        <v/>
      </c>
      <c r="CK475" s="21" t="str">
        <f t="shared" ca="1" si="53"/>
        <v/>
      </c>
      <c r="CL475" s="21" t="str">
        <f t="shared" si="54"/>
        <v/>
      </c>
      <c r="CM475" s="52"/>
      <c r="CN475" s="57" t="str">
        <f t="shared" si="55"/>
        <v/>
      </c>
    </row>
    <row r="476" spans="14:92" x14ac:dyDescent="0.25">
      <c r="N476" s="58"/>
      <c r="P476" s="60"/>
      <c r="Q476" s="13"/>
      <c r="V476" s="60"/>
      <c r="X476" s="61"/>
      <c r="AB476" s="60"/>
      <c r="AN476" s="54"/>
      <c r="AS476" s="15"/>
      <c r="BH476" s="52"/>
      <c r="BI476" s="21" t="str">
        <f ca="1">IFERROR(VLOOKUP(C476,OFFSET(abbreviation[],0,ColumnLanguage),ColumnAbbreviation,FALSE),"")</f>
        <v/>
      </c>
      <c r="BJ476" s="21" t="str">
        <f ca="1">IFERROR(VLOOKUP(E476,OFFSET(abbreviation[],0,ColumnLanguage),ColumnAbbreviation,FALSE),"")</f>
        <v/>
      </c>
      <c r="BK476" s="21" t="str">
        <f ca="1">IFERROR(VLOOKUP(G476,OFFSET(abbreviation[],0,ColumnLanguage),ColumnAbbreviation,FALSE),"")</f>
        <v/>
      </c>
      <c r="BL476" s="21" t="str">
        <f ca="1">IFERROR(VLOOKUP(I476,OFFSET(abbreviation[],0,ColumnLanguage),ColumnAbbreviation,FALSE),"")</f>
        <v/>
      </c>
      <c r="BM476" s="21" t="str">
        <f ca="1">IFERROR(VLOOKUP(K476,OFFSET(abbreviation[],0,ColumnLanguage),ColumnAbbreviation,FALSE),"")</f>
        <v/>
      </c>
      <c r="BN476" s="21" t="str">
        <f t="shared" ca="1" si="49"/>
        <v/>
      </c>
      <c r="BO476" s="21" t="str">
        <f ca="1">IFERROR(VLOOKUP(N476,OFFSET(abbreviation[],0,ColumnLanguage),ColumnAbbreviation,FALSE),"")</f>
        <v/>
      </c>
      <c r="BP476" s="21" t="str">
        <f ca="1">IFERROR(VLOOKUP(P476,OFFSET(abbreviation[],0,ColumnLanguage),ColumnAbbreviation,FALSE),"")</f>
        <v/>
      </c>
      <c r="BQ476" s="21" t="str">
        <f ca="1">IFERROR(VLOOKUP(T476,OFFSET(abbreviation[],0,ColumnLanguage),ColumnAbbreviation,FALSE),"")</f>
        <v/>
      </c>
      <c r="BR476" s="21" t="str">
        <f ca="1">IFERROR(VLOOKUP(V476,OFFSET(abbreviation[],0,ColumnLanguage),ColumnAbbreviation,FALSE),"")</f>
        <v/>
      </c>
      <c r="BS476" s="21" t="str">
        <f ca="1">IFERROR(VLOOKUP(Z476,OFFSET(abbreviation[],0,ColumnLanguage),ColumnAbbreviation,FALSE),"")</f>
        <v/>
      </c>
      <c r="BT476" s="21" t="str">
        <f ca="1">IFERROR(VLOOKUP(AB476,OFFSET(abbreviation[],0,ColumnLanguage),ColumnAbbreviation,FALSE),"")</f>
        <v/>
      </c>
      <c r="BU476" s="21" t="str">
        <f t="shared" ca="1" si="50"/>
        <v>__</v>
      </c>
      <c r="BV476" s="21" t="str">
        <f ca="1">IFERROR(VLOOKUP(AF476,OFFSET(abbreviation[],0,ColumnLanguage),ColumnAbbreviation,FALSE),"")</f>
        <v/>
      </c>
      <c r="BW476" s="21" t="str">
        <f ca="1">IFERROR(VLOOKUP(AH476,OFFSET(abbreviation[],0,ColumnLanguage),ColumnAbbreviation,FALSE),"")</f>
        <v/>
      </c>
      <c r="BX476" s="21" t="str">
        <f ca="1">IFERROR(VLOOKUP(AJ476,OFFSET(abbreviation[],0,ColumnLanguage),ColumnAbbreviation,FALSE),"")</f>
        <v/>
      </c>
      <c r="BY476" s="21" t="str">
        <f ca="1">IFERROR(VLOOKUP(AL476,OFFSET(abbreviation[],0,ColumnLanguage),ColumnAbbreviation,FALSE),"")</f>
        <v/>
      </c>
      <c r="BZ476" s="21" t="str">
        <f t="shared" ca="1" si="51"/>
        <v>_</v>
      </c>
      <c r="CA476" s="21" t="str">
        <f ca="1">IFERROR(VLOOKUP(AP476,OFFSET(abbreviation[],0,ColumnLanguage),ColumnAbbreviation,FALSE),"")</f>
        <v/>
      </c>
      <c r="CB476" s="21" t="str">
        <f ca="1">IFERROR(VLOOKUP(AR476,OFFSET(abbreviation[],0,ColumnLanguage),ColumnAbbreviation,FALSE),"")</f>
        <v/>
      </c>
      <c r="CC476" s="21" t="str">
        <f ca="1">IFERROR(VLOOKUP(AT476,OFFSET(abbreviation[],0,ColumnLanguage),ColumnAbbreviation,FALSE),"")</f>
        <v/>
      </c>
      <c r="CD476" s="21" t="str">
        <f ca="1">IFERROR(VLOOKUP(AV476,OFFSET(abbreviation[],0,ColumnLanguage),ColumnAbbreviation,FALSE),"")</f>
        <v/>
      </c>
      <c r="CE476" s="21" t="str">
        <f t="shared" ca="1" si="52"/>
        <v>__</v>
      </c>
      <c r="CF476" s="21" t="str">
        <f ca="1">IFERROR(VLOOKUP(AX476,OFFSET(abbreviation[],0,ColumnLanguage),ColumnAbbreviation,FALSE),"")</f>
        <v/>
      </c>
      <c r="CG476" s="21" t="str">
        <f ca="1">IFERROR(VLOOKUP(AZ476,OFFSET(abbreviation[],0,ColumnLanguage),ColumnAbbreviation,FALSE),"")</f>
        <v/>
      </c>
      <c r="CH476" s="21" t="str">
        <f ca="1">IFERROR(VLOOKUP(BB476,OFFSET(abbreviation[],0,ColumnLanguage),ColumnAbbreviation,FALSE),"")</f>
        <v/>
      </c>
      <c r="CI476" s="21" t="str">
        <f ca="1">IFERROR(VLOOKUP(BD476,OFFSET(abbreviation[],0,ColumnLanguage),ColumnAbbreviation,FALSE),"")</f>
        <v/>
      </c>
      <c r="CJ476" s="21" t="str">
        <f ca="1">IFERROR(VLOOKUP(BF476,OFFSET(abbreviation[],0,ColumnLanguage),ColumnAbbreviation,FALSE),"")</f>
        <v/>
      </c>
      <c r="CK476" s="21" t="str">
        <f t="shared" ca="1" si="53"/>
        <v/>
      </c>
      <c r="CL476" s="21" t="str">
        <f t="shared" si="54"/>
        <v/>
      </c>
      <c r="CM476" s="52"/>
      <c r="CN476" s="57" t="str">
        <f t="shared" si="55"/>
        <v/>
      </c>
    </row>
    <row r="477" spans="14:92" x14ac:dyDescent="0.25">
      <c r="N477" s="58"/>
      <c r="P477" s="60"/>
      <c r="Q477" s="13"/>
      <c r="V477" s="60"/>
      <c r="X477" s="61"/>
      <c r="AB477" s="60"/>
      <c r="AN477" s="54"/>
      <c r="AS477" s="15"/>
      <c r="BH477" s="52"/>
      <c r="BI477" s="21" t="str">
        <f ca="1">IFERROR(VLOOKUP(C477,OFFSET(abbreviation[],0,ColumnLanguage),ColumnAbbreviation,FALSE),"")</f>
        <v/>
      </c>
      <c r="BJ477" s="21" t="str">
        <f ca="1">IFERROR(VLOOKUP(E477,OFFSET(abbreviation[],0,ColumnLanguage),ColumnAbbreviation,FALSE),"")</f>
        <v/>
      </c>
      <c r="BK477" s="21" t="str">
        <f ca="1">IFERROR(VLOOKUP(G477,OFFSET(abbreviation[],0,ColumnLanguage),ColumnAbbreviation,FALSE),"")</f>
        <v/>
      </c>
      <c r="BL477" s="21" t="str">
        <f ca="1">IFERROR(VLOOKUP(I477,OFFSET(abbreviation[],0,ColumnLanguage),ColumnAbbreviation,FALSE),"")</f>
        <v/>
      </c>
      <c r="BM477" s="21" t="str">
        <f ca="1">IFERROR(VLOOKUP(K477,OFFSET(abbreviation[],0,ColumnLanguage),ColumnAbbreviation,FALSE),"")</f>
        <v/>
      </c>
      <c r="BN477" s="21" t="str">
        <f t="shared" ca="1" si="49"/>
        <v/>
      </c>
      <c r="BO477" s="21" t="str">
        <f ca="1">IFERROR(VLOOKUP(N477,OFFSET(abbreviation[],0,ColumnLanguage),ColumnAbbreviation,FALSE),"")</f>
        <v/>
      </c>
      <c r="BP477" s="21" t="str">
        <f ca="1">IFERROR(VLOOKUP(P477,OFFSET(abbreviation[],0,ColumnLanguage),ColumnAbbreviation,FALSE),"")</f>
        <v/>
      </c>
      <c r="BQ477" s="21" t="str">
        <f ca="1">IFERROR(VLOOKUP(T477,OFFSET(abbreviation[],0,ColumnLanguage),ColumnAbbreviation,FALSE),"")</f>
        <v/>
      </c>
      <c r="BR477" s="21" t="str">
        <f ca="1">IFERROR(VLOOKUP(V477,OFFSET(abbreviation[],0,ColumnLanguage),ColumnAbbreviation,FALSE),"")</f>
        <v/>
      </c>
      <c r="BS477" s="21" t="str">
        <f ca="1">IFERROR(VLOOKUP(Z477,OFFSET(abbreviation[],0,ColumnLanguage),ColumnAbbreviation,FALSE),"")</f>
        <v/>
      </c>
      <c r="BT477" s="21" t="str">
        <f ca="1">IFERROR(VLOOKUP(AB477,OFFSET(abbreviation[],0,ColumnLanguage),ColumnAbbreviation,FALSE),"")</f>
        <v/>
      </c>
      <c r="BU477" s="21" t="str">
        <f t="shared" ca="1" si="50"/>
        <v>__</v>
      </c>
      <c r="BV477" s="21" t="str">
        <f ca="1">IFERROR(VLOOKUP(AF477,OFFSET(abbreviation[],0,ColumnLanguage),ColumnAbbreviation,FALSE),"")</f>
        <v/>
      </c>
      <c r="BW477" s="21" t="str">
        <f ca="1">IFERROR(VLOOKUP(AH477,OFFSET(abbreviation[],0,ColumnLanguage),ColumnAbbreviation,FALSE),"")</f>
        <v/>
      </c>
      <c r="BX477" s="21" t="str">
        <f ca="1">IFERROR(VLOOKUP(AJ477,OFFSET(abbreviation[],0,ColumnLanguage),ColumnAbbreviation,FALSE),"")</f>
        <v/>
      </c>
      <c r="BY477" s="21" t="str">
        <f ca="1">IFERROR(VLOOKUP(AL477,OFFSET(abbreviation[],0,ColumnLanguage),ColumnAbbreviation,FALSE),"")</f>
        <v/>
      </c>
      <c r="BZ477" s="21" t="str">
        <f t="shared" ca="1" si="51"/>
        <v>_</v>
      </c>
      <c r="CA477" s="21" t="str">
        <f ca="1">IFERROR(VLOOKUP(AP477,OFFSET(abbreviation[],0,ColumnLanguage),ColumnAbbreviation,FALSE),"")</f>
        <v/>
      </c>
      <c r="CB477" s="21" t="str">
        <f ca="1">IFERROR(VLOOKUP(AR477,OFFSET(abbreviation[],0,ColumnLanguage),ColumnAbbreviation,FALSE),"")</f>
        <v/>
      </c>
      <c r="CC477" s="21" t="str">
        <f ca="1">IFERROR(VLOOKUP(AT477,OFFSET(abbreviation[],0,ColumnLanguage),ColumnAbbreviation,FALSE),"")</f>
        <v/>
      </c>
      <c r="CD477" s="21" t="str">
        <f ca="1">IFERROR(VLOOKUP(AV477,OFFSET(abbreviation[],0,ColumnLanguage),ColumnAbbreviation,FALSE),"")</f>
        <v/>
      </c>
      <c r="CE477" s="21" t="str">
        <f t="shared" ca="1" si="52"/>
        <v>__</v>
      </c>
      <c r="CF477" s="21" t="str">
        <f ca="1">IFERROR(VLOOKUP(AX477,OFFSET(abbreviation[],0,ColumnLanguage),ColumnAbbreviation,FALSE),"")</f>
        <v/>
      </c>
      <c r="CG477" s="21" t="str">
        <f ca="1">IFERROR(VLOOKUP(AZ477,OFFSET(abbreviation[],0,ColumnLanguage),ColumnAbbreviation,FALSE),"")</f>
        <v/>
      </c>
      <c r="CH477" s="21" t="str">
        <f ca="1">IFERROR(VLOOKUP(BB477,OFFSET(abbreviation[],0,ColumnLanguage),ColumnAbbreviation,FALSE),"")</f>
        <v/>
      </c>
      <c r="CI477" s="21" t="str">
        <f ca="1">IFERROR(VLOOKUP(BD477,OFFSET(abbreviation[],0,ColumnLanguage),ColumnAbbreviation,FALSE),"")</f>
        <v/>
      </c>
      <c r="CJ477" s="21" t="str">
        <f ca="1">IFERROR(VLOOKUP(BF477,OFFSET(abbreviation[],0,ColumnLanguage),ColumnAbbreviation,FALSE),"")</f>
        <v/>
      </c>
      <c r="CK477" s="21" t="str">
        <f t="shared" ca="1" si="53"/>
        <v/>
      </c>
      <c r="CL477" s="21" t="str">
        <f t="shared" si="54"/>
        <v/>
      </c>
      <c r="CM477" s="52"/>
      <c r="CN477" s="57" t="str">
        <f t="shared" si="55"/>
        <v/>
      </c>
    </row>
    <row r="478" spans="14:92" x14ac:dyDescent="0.25">
      <c r="N478" s="58"/>
      <c r="P478" s="60"/>
      <c r="Q478" s="13"/>
      <c r="V478" s="60"/>
      <c r="X478" s="61"/>
      <c r="AB478" s="60"/>
      <c r="AN478" s="54"/>
      <c r="AS478" s="15"/>
      <c r="BH478" s="52"/>
      <c r="BI478" s="21" t="str">
        <f ca="1">IFERROR(VLOOKUP(C478,OFFSET(abbreviation[],0,ColumnLanguage),ColumnAbbreviation,FALSE),"")</f>
        <v/>
      </c>
      <c r="BJ478" s="21" t="str">
        <f ca="1">IFERROR(VLOOKUP(E478,OFFSET(abbreviation[],0,ColumnLanguage),ColumnAbbreviation,FALSE),"")</f>
        <v/>
      </c>
      <c r="BK478" s="21" t="str">
        <f ca="1">IFERROR(VLOOKUP(G478,OFFSET(abbreviation[],0,ColumnLanguage),ColumnAbbreviation,FALSE),"")</f>
        <v/>
      </c>
      <c r="BL478" s="21" t="str">
        <f ca="1">IFERROR(VLOOKUP(I478,OFFSET(abbreviation[],0,ColumnLanguage),ColumnAbbreviation,FALSE),"")</f>
        <v/>
      </c>
      <c r="BM478" s="21" t="str">
        <f ca="1">IFERROR(VLOOKUP(K478,OFFSET(abbreviation[],0,ColumnLanguage),ColumnAbbreviation,FALSE),"")</f>
        <v/>
      </c>
      <c r="BN478" s="21" t="str">
        <f t="shared" ca="1" si="49"/>
        <v/>
      </c>
      <c r="BO478" s="21" t="str">
        <f ca="1">IFERROR(VLOOKUP(N478,OFFSET(abbreviation[],0,ColumnLanguage),ColumnAbbreviation,FALSE),"")</f>
        <v/>
      </c>
      <c r="BP478" s="21" t="str">
        <f ca="1">IFERROR(VLOOKUP(P478,OFFSET(abbreviation[],0,ColumnLanguage),ColumnAbbreviation,FALSE),"")</f>
        <v/>
      </c>
      <c r="BQ478" s="21" t="str">
        <f ca="1">IFERROR(VLOOKUP(T478,OFFSET(abbreviation[],0,ColumnLanguage),ColumnAbbreviation,FALSE),"")</f>
        <v/>
      </c>
      <c r="BR478" s="21" t="str">
        <f ca="1">IFERROR(VLOOKUP(V478,OFFSET(abbreviation[],0,ColumnLanguage),ColumnAbbreviation,FALSE),"")</f>
        <v/>
      </c>
      <c r="BS478" s="21" t="str">
        <f ca="1">IFERROR(VLOOKUP(Z478,OFFSET(abbreviation[],0,ColumnLanguage),ColumnAbbreviation,FALSE),"")</f>
        <v/>
      </c>
      <c r="BT478" s="21" t="str">
        <f ca="1">IFERROR(VLOOKUP(AB478,OFFSET(abbreviation[],0,ColumnLanguage),ColumnAbbreviation,FALSE),"")</f>
        <v/>
      </c>
      <c r="BU478" s="21" t="str">
        <f t="shared" ca="1" si="50"/>
        <v>__</v>
      </c>
      <c r="BV478" s="21" t="str">
        <f ca="1">IFERROR(VLOOKUP(AF478,OFFSET(abbreviation[],0,ColumnLanguage),ColumnAbbreviation,FALSE),"")</f>
        <v/>
      </c>
      <c r="BW478" s="21" t="str">
        <f ca="1">IFERROR(VLOOKUP(AH478,OFFSET(abbreviation[],0,ColumnLanguage),ColumnAbbreviation,FALSE),"")</f>
        <v/>
      </c>
      <c r="BX478" s="21" t="str">
        <f ca="1">IFERROR(VLOOKUP(AJ478,OFFSET(abbreviation[],0,ColumnLanguage),ColumnAbbreviation,FALSE),"")</f>
        <v/>
      </c>
      <c r="BY478" s="21" t="str">
        <f ca="1">IFERROR(VLOOKUP(AL478,OFFSET(abbreviation[],0,ColumnLanguage),ColumnAbbreviation,FALSE),"")</f>
        <v/>
      </c>
      <c r="BZ478" s="21" t="str">
        <f t="shared" ca="1" si="51"/>
        <v>_</v>
      </c>
      <c r="CA478" s="21" t="str">
        <f ca="1">IFERROR(VLOOKUP(AP478,OFFSET(abbreviation[],0,ColumnLanguage),ColumnAbbreviation,FALSE),"")</f>
        <v/>
      </c>
      <c r="CB478" s="21" t="str">
        <f ca="1">IFERROR(VLOOKUP(AR478,OFFSET(abbreviation[],0,ColumnLanguage),ColumnAbbreviation,FALSE),"")</f>
        <v/>
      </c>
      <c r="CC478" s="21" t="str">
        <f ca="1">IFERROR(VLOOKUP(AT478,OFFSET(abbreviation[],0,ColumnLanguage),ColumnAbbreviation,FALSE),"")</f>
        <v/>
      </c>
      <c r="CD478" s="21" t="str">
        <f ca="1">IFERROR(VLOOKUP(AV478,OFFSET(abbreviation[],0,ColumnLanguage),ColumnAbbreviation,FALSE),"")</f>
        <v/>
      </c>
      <c r="CE478" s="21" t="str">
        <f t="shared" ca="1" si="52"/>
        <v>__</v>
      </c>
      <c r="CF478" s="21" t="str">
        <f ca="1">IFERROR(VLOOKUP(AX478,OFFSET(abbreviation[],0,ColumnLanguage),ColumnAbbreviation,FALSE),"")</f>
        <v/>
      </c>
      <c r="CG478" s="21" t="str">
        <f ca="1">IFERROR(VLOOKUP(AZ478,OFFSET(abbreviation[],0,ColumnLanguage),ColumnAbbreviation,FALSE),"")</f>
        <v/>
      </c>
      <c r="CH478" s="21" t="str">
        <f ca="1">IFERROR(VLOOKUP(BB478,OFFSET(abbreviation[],0,ColumnLanguage),ColumnAbbreviation,FALSE),"")</f>
        <v/>
      </c>
      <c r="CI478" s="21" t="str">
        <f ca="1">IFERROR(VLOOKUP(BD478,OFFSET(abbreviation[],0,ColumnLanguage),ColumnAbbreviation,FALSE),"")</f>
        <v/>
      </c>
      <c r="CJ478" s="21" t="str">
        <f ca="1">IFERROR(VLOOKUP(BF478,OFFSET(abbreviation[],0,ColumnLanguage),ColumnAbbreviation,FALSE),"")</f>
        <v/>
      </c>
      <c r="CK478" s="21" t="str">
        <f t="shared" ca="1" si="53"/>
        <v/>
      </c>
      <c r="CL478" s="21" t="str">
        <f t="shared" si="54"/>
        <v/>
      </c>
      <c r="CM478" s="52"/>
      <c r="CN478" s="57" t="str">
        <f t="shared" si="55"/>
        <v/>
      </c>
    </row>
    <row r="479" spans="14:92" x14ac:dyDescent="0.25">
      <c r="N479" s="58"/>
      <c r="P479" s="60"/>
      <c r="Q479" s="13"/>
      <c r="V479" s="60"/>
      <c r="X479" s="61"/>
      <c r="AB479" s="60"/>
      <c r="AN479" s="54"/>
      <c r="AS479" s="15"/>
      <c r="BH479" s="52"/>
      <c r="BI479" s="21" t="str">
        <f ca="1">IFERROR(VLOOKUP(C479,OFFSET(abbreviation[],0,ColumnLanguage),ColumnAbbreviation,FALSE),"")</f>
        <v/>
      </c>
      <c r="BJ479" s="21" t="str">
        <f ca="1">IFERROR(VLOOKUP(E479,OFFSET(abbreviation[],0,ColumnLanguage),ColumnAbbreviation,FALSE),"")</f>
        <v/>
      </c>
      <c r="BK479" s="21" t="str">
        <f ca="1">IFERROR(VLOOKUP(G479,OFFSET(abbreviation[],0,ColumnLanguage),ColumnAbbreviation,FALSE),"")</f>
        <v/>
      </c>
      <c r="BL479" s="21" t="str">
        <f ca="1">IFERROR(VLOOKUP(I479,OFFSET(abbreviation[],0,ColumnLanguage),ColumnAbbreviation,FALSE),"")</f>
        <v/>
      </c>
      <c r="BM479" s="21" t="str">
        <f ca="1">IFERROR(VLOOKUP(K479,OFFSET(abbreviation[],0,ColumnLanguage),ColumnAbbreviation,FALSE),"")</f>
        <v/>
      </c>
      <c r="BN479" s="21" t="str">
        <f t="shared" ca="1" si="49"/>
        <v/>
      </c>
      <c r="BO479" s="21" t="str">
        <f ca="1">IFERROR(VLOOKUP(N479,OFFSET(abbreviation[],0,ColumnLanguage),ColumnAbbreviation,FALSE),"")</f>
        <v/>
      </c>
      <c r="BP479" s="21" t="str">
        <f ca="1">IFERROR(VLOOKUP(P479,OFFSET(abbreviation[],0,ColumnLanguage),ColumnAbbreviation,FALSE),"")</f>
        <v/>
      </c>
      <c r="BQ479" s="21" t="str">
        <f ca="1">IFERROR(VLOOKUP(T479,OFFSET(abbreviation[],0,ColumnLanguage),ColumnAbbreviation,FALSE),"")</f>
        <v/>
      </c>
      <c r="BR479" s="21" t="str">
        <f ca="1">IFERROR(VLOOKUP(V479,OFFSET(abbreviation[],0,ColumnLanguage),ColumnAbbreviation,FALSE),"")</f>
        <v/>
      </c>
      <c r="BS479" s="21" t="str">
        <f ca="1">IFERROR(VLOOKUP(Z479,OFFSET(abbreviation[],0,ColumnLanguage),ColumnAbbreviation,FALSE),"")</f>
        <v/>
      </c>
      <c r="BT479" s="21" t="str">
        <f ca="1">IFERROR(VLOOKUP(AB479,OFFSET(abbreviation[],0,ColumnLanguage),ColumnAbbreviation,FALSE),"")</f>
        <v/>
      </c>
      <c r="BU479" s="21" t="str">
        <f t="shared" ca="1" si="50"/>
        <v>__</v>
      </c>
      <c r="BV479" s="21" t="str">
        <f ca="1">IFERROR(VLOOKUP(AF479,OFFSET(abbreviation[],0,ColumnLanguage),ColumnAbbreviation,FALSE),"")</f>
        <v/>
      </c>
      <c r="BW479" s="21" t="str">
        <f ca="1">IFERROR(VLOOKUP(AH479,OFFSET(abbreviation[],0,ColumnLanguage),ColumnAbbreviation,FALSE),"")</f>
        <v/>
      </c>
      <c r="BX479" s="21" t="str">
        <f ca="1">IFERROR(VLOOKUP(AJ479,OFFSET(abbreviation[],0,ColumnLanguage),ColumnAbbreviation,FALSE),"")</f>
        <v/>
      </c>
      <c r="BY479" s="21" t="str">
        <f ca="1">IFERROR(VLOOKUP(AL479,OFFSET(abbreviation[],0,ColumnLanguage),ColumnAbbreviation,FALSE),"")</f>
        <v/>
      </c>
      <c r="BZ479" s="21" t="str">
        <f t="shared" ca="1" si="51"/>
        <v>_</v>
      </c>
      <c r="CA479" s="21" t="str">
        <f ca="1">IFERROR(VLOOKUP(AP479,OFFSET(abbreviation[],0,ColumnLanguage),ColumnAbbreviation,FALSE),"")</f>
        <v/>
      </c>
      <c r="CB479" s="21" t="str">
        <f ca="1">IFERROR(VLOOKUP(AR479,OFFSET(abbreviation[],0,ColumnLanguage),ColumnAbbreviation,FALSE),"")</f>
        <v/>
      </c>
      <c r="CC479" s="21" t="str">
        <f ca="1">IFERROR(VLOOKUP(AT479,OFFSET(abbreviation[],0,ColumnLanguage),ColumnAbbreviation,FALSE),"")</f>
        <v/>
      </c>
      <c r="CD479" s="21" t="str">
        <f ca="1">IFERROR(VLOOKUP(AV479,OFFSET(abbreviation[],0,ColumnLanguage),ColumnAbbreviation,FALSE),"")</f>
        <v/>
      </c>
      <c r="CE479" s="21" t="str">
        <f t="shared" ca="1" si="52"/>
        <v>__</v>
      </c>
      <c r="CF479" s="21" t="str">
        <f ca="1">IFERROR(VLOOKUP(AX479,OFFSET(abbreviation[],0,ColumnLanguage),ColumnAbbreviation,FALSE),"")</f>
        <v/>
      </c>
      <c r="CG479" s="21" t="str">
        <f ca="1">IFERROR(VLOOKUP(AZ479,OFFSET(abbreviation[],0,ColumnLanguage),ColumnAbbreviation,FALSE),"")</f>
        <v/>
      </c>
      <c r="CH479" s="21" t="str">
        <f ca="1">IFERROR(VLOOKUP(BB479,OFFSET(abbreviation[],0,ColumnLanguage),ColumnAbbreviation,FALSE),"")</f>
        <v/>
      </c>
      <c r="CI479" s="21" t="str">
        <f ca="1">IFERROR(VLOOKUP(BD479,OFFSET(abbreviation[],0,ColumnLanguage),ColumnAbbreviation,FALSE),"")</f>
        <v/>
      </c>
      <c r="CJ479" s="21" t="str">
        <f ca="1">IFERROR(VLOOKUP(BF479,OFFSET(abbreviation[],0,ColumnLanguage),ColumnAbbreviation,FALSE),"")</f>
        <v/>
      </c>
      <c r="CK479" s="21" t="str">
        <f t="shared" ca="1" si="53"/>
        <v/>
      </c>
      <c r="CL479" s="21" t="str">
        <f t="shared" si="54"/>
        <v/>
      </c>
      <c r="CM479" s="52"/>
      <c r="CN479" s="57" t="str">
        <f t="shared" si="55"/>
        <v/>
      </c>
    </row>
    <row r="480" spans="14:92" x14ac:dyDescent="0.25">
      <c r="N480" s="58"/>
      <c r="P480" s="60"/>
      <c r="Q480" s="13"/>
      <c r="V480" s="60"/>
      <c r="X480" s="61"/>
      <c r="AB480" s="60"/>
      <c r="AN480" s="54"/>
      <c r="AS480" s="15"/>
      <c r="BH480" s="52"/>
      <c r="BI480" s="21" t="str">
        <f ca="1">IFERROR(VLOOKUP(C480,OFFSET(abbreviation[],0,ColumnLanguage),ColumnAbbreviation,FALSE),"")</f>
        <v/>
      </c>
      <c r="BJ480" s="21" t="str">
        <f ca="1">IFERROR(VLOOKUP(E480,OFFSET(abbreviation[],0,ColumnLanguage),ColumnAbbreviation,FALSE),"")</f>
        <v/>
      </c>
      <c r="BK480" s="21" t="str">
        <f ca="1">IFERROR(VLOOKUP(G480,OFFSET(abbreviation[],0,ColumnLanguage),ColumnAbbreviation,FALSE),"")</f>
        <v/>
      </c>
      <c r="BL480" s="21" t="str">
        <f ca="1">IFERROR(VLOOKUP(I480,OFFSET(abbreviation[],0,ColumnLanguage),ColumnAbbreviation,FALSE),"")</f>
        <v/>
      </c>
      <c r="BM480" s="21" t="str">
        <f ca="1">IFERROR(VLOOKUP(K480,OFFSET(abbreviation[],0,ColumnLanguage),ColumnAbbreviation,FALSE),"")</f>
        <v/>
      </c>
      <c r="BN480" s="21" t="str">
        <f t="shared" ca="1" si="49"/>
        <v/>
      </c>
      <c r="BO480" s="21" t="str">
        <f ca="1">IFERROR(VLOOKUP(N480,OFFSET(abbreviation[],0,ColumnLanguage),ColumnAbbreviation,FALSE),"")</f>
        <v/>
      </c>
      <c r="BP480" s="21" t="str">
        <f ca="1">IFERROR(VLOOKUP(P480,OFFSET(abbreviation[],0,ColumnLanguage),ColumnAbbreviation,FALSE),"")</f>
        <v/>
      </c>
      <c r="BQ480" s="21" t="str">
        <f ca="1">IFERROR(VLOOKUP(T480,OFFSET(abbreviation[],0,ColumnLanguage),ColumnAbbreviation,FALSE),"")</f>
        <v/>
      </c>
      <c r="BR480" s="21" t="str">
        <f ca="1">IFERROR(VLOOKUP(V480,OFFSET(abbreviation[],0,ColumnLanguage),ColumnAbbreviation,FALSE),"")</f>
        <v/>
      </c>
      <c r="BS480" s="21" t="str">
        <f ca="1">IFERROR(VLOOKUP(Z480,OFFSET(abbreviation[],0,ColumnLanguage),ColumnAbbreviation,FALSE),"")</f>
        <v/>
      </c>
      <c r="BT480" s="21" t="str">
        <f ca="1">IFERROR(VLOOKUP(AB480,OFFSET(abbreviation[],0,ColumnLanguage),ColumnAbbreviation,FALSE),"")</f>
        <v/>
      </c>
      <c r="BU480" s="21" t="str">
        <f t="shared" ca="1" si="50"/>
        <v>__</v>
      </c>
      <c r="BV480" s="21" t="str">
        <f ca="1">IFERROR(VLOOKUP(AF480,OFFSET(abbreviation[],0,ColumnLanguage),ColumnAbbreviation,FALSE),"")</f>
        <v/>
      </c>
      <c r="BW480" s="21" t="str">
        <f ca="1">IFERROR(VLOOKUP(AH480,OFFSET(abbreviation[],0,ColumnLanguage),ColumnAbbreviation,FALSE),"")</f>
        <v/>
      </c>
      <c r="BX480" s="21" t="str">
        <f ca="1">IFERROR(VLOOKUP(AJ480,OFFSET(abbreviation[],0,ColumnLanguage),ColumnAbbreviation,FALSE),"")</f>
        <v/>
      </c>
      <c r="BY480" s="21" t="str">
        <f ca="1">IFERROR(VLOOKUP(AL480,OFFSET(abbreviation[],0,ColumnLanguage),ColumnAbbreviation,FALSE),"")</f>
        <v/>
      </c>
      <c r="BZ480" s="21" t="str">
        <f t="shared" ca="1" si="51"/>
        <v>_</v>
      </c>
      <c r="CA480" s="21" t="str">
        <f ca="1">IFERROR(VLOOKUP(AP480,OFFSET(abbreviation[],0,ColumnLanguage),ColumnAbbreviation,FALSE),"")</f>
        <v/>
      </c>
      <c r="CB480" s="21" t="str">
        <f ca="1">IFERROR(VLOOKUP(AR480,OFFSET(abbreviation[],0,ColumnLanguage),ColumnAbbreviation,FALSE),"")</f>
        <v/>
      </c>
      <c r="CC480" s="21" t="str">
        <f ca="1">IFERROR(VLOOKUP(AT480,OFFSET(abbreviation[],0,ColumnLanguage),ColumnAbbreviation,FALSE),"")</f>
        <v/>
      </c>
      <c r="CD480" s="21" t="str">
        <f ca="1">IFERROR(VLOOKUP(AV480,OFFSET(abbreviation[],0,ColumnLanguage),ColumnAbbreviation,FALSE),"")</f>
        <v/>
      </c>
      <c r="CE480" s="21" t="str">
        <f t="shared" ca="1" si="52"/>
        <v>__</v>
      </c>
      <c r="CF480" s="21" t="str">
        <f ca="1">IFERROR(VLOOKUP(AX480,OFFSET(abbreviation[],0,ColumnLanguage),ColumnAbbreviation,FALSE),"")</f>
        <v/>
      </c>
      <c r="CG480" s="21" t="str">
        <f ca="1">IFERROR(VLOOKUP(AZ480,OFFSET(abbreviation[],0,ColumnLanguage),ColumnAbbreviation,FALSE),"")</f>
        <v/>
      </c>
      <c r="CH480" s="21" t="str">
        <f ca="1">IFERROR(VLOOKUP(BB480,OFFSET(abbreviation[],0,ColumnLanguage),ColumnAbbreviation,FALSE),"")</f>
        <v/>
      </c>
      <c r="CI480" s="21" t="str">
        <f ca="1">IFERROR(VLOOKUP(BD480,OFFSET(abbreviation[],0,ColumnLanguage),ColumnAbbreviation,FALSE),"")</f>
        <v/>
      </c>
      <c r="CJ480" s="21" t="str">
        <f ca="1">IFERROR(VLOOKUP(BF480,OFFSET(abbreviation[],0,ColumnLanguage),ColumnAbbreviation,FALSE),"")</f>
        <v/>
      </c>
      <c r="CK480" s="21" t="str">
        <f t="shared" ca="1" si="53"/>
        <v/>
      </c>
      <c r="CL480" s="21" t="str">
        <f t="shared" si="54"/>
        <v/>
      </c>
      <c r="CM480" s="52"/>
      <c r="CN480" s="57" t="str">
        <f t="shared" si="55"/>
        <v/>
      </c>
    </row>
    <row r="481" spans="14:92" x14ac:dyDescent="0.25">
      <c r="N481" s="58"/>
      <c r="P481" s="60"/>
      <c r="Q481" s="13"/>
      <c r="V481" s="60"/>
      <c r="X481" s="61"/>
      <c r="AB481" s="60"/>
      <c r="AN481" s="54"/>
      <c r="AS481" s="15"/>
      <c r="BH481" s="52"/>
      <c r="BI481" s="21" t="str">
        <f ca="1">IFERROR(VLOOKUP(C481,OFFSET(abbreviation[],0,ColumnLanguage),ColumnAbbreviation,FALSE),"")</f>
        <v/>
      </c>
      <c r="BJ481" s="21" t="str">
        <f ca="1">IFERROR(VLOOKUP(E481,OFFSET(abbreviation[],0,ColumnLanguage),ColumnAbbreviation,FALSE),"")</f>
        <v/>
      </c>
      <c r="BK481" s="21" t="str">
        <f ca="1">IFERROR(VLOOKUP(G481,OFFSET(abbreviation[],0,ColumnLanguage),ColumnAbbreviation,FALSE),"")</f>
        <v/>
      </c>
      <c r="BL481" s="21" t="str">
        <f ca="1">IFERROR(VLOOKUP(I481,OFFSET(abbreviation[],0,ColumnLanguage),ColumnAbbreviation,FALSE),"")</f>
        <v/>
      </c>
      <c r="BM481" s="21" t="str">
        <f ca="1">IFERROR(VLOOKUP(K481,OFFSET(abbreviation[],0,ColumnLanguage),ColumnAbbreviation,FALSE),"")</f>
        <v/>
      </c>
      <c r="BN481" s="21" t="str">
        <f t="shared" ca="1" si="49"/>
        <v/>
      </c>
      <c r="BO481" s="21" t="str">
        <f ca="1">IFERROR(VLOOKUP(N481,OFFSET(abbreviation[],0,ColumnLanguage),ColumnAbbreviation,FALSE),"")</f>
        <v/>
      </c>
      <c r="BP481" s="21" t="str">
        <f ca="1">IFERROR(VLOOKUP(P481,OFFSET(abbreviation[],0,ColumnLanguage),ColumnAbbreviation,FALSE),"")</f>
        <v/>
      </c>
      <c r="BQ481" s="21" t="str">
        <f ca="1">IFERROR(VLOOKUP(T481,OFFSET(abbreviation[],0,ColumnLanguage),ColumnAbbreviation,FALSE),"")</f>
        <v/>
      </c>
      <c r="BR481" s="21" t="str">
        <f ca="1">IFERROR(VLOOKUP(V481,OFFSET(abbreviation[],0,ColumnLanguage),ColumnAbbreviation,FALSE),"")</f>
        <v/>
      </c>
      <c r="BS481" s="21" t="str">
        <f ca="1">IFERROR(VLOOKUP(Z481,OFFSET(abbreviation[],0,ColumnLanguage),ColumnAbbreviation,FALSE),"")</f>
        <v/>
      </c>
      <c r="BT481" s="21" t="str">
        <f ca="1">IFERROR(VLOOKUP(AB481,OFFSET(abbreviation[],0,ColumnLanguage),ColumnAbbreviation,FALSE),"")</f>
        <v/>
      </c>
      <c r="BU481" s="21" t="str">
        <f t="shared" ca="1" si="50"/>
        <v>__</v>
      </c>
      <c r="BV481" s="21" t="str">
        <f ca="1">IFERROR(VLOOKUP(AF481,OFFSET(abbreviation[],0,ColumnLanguage),ColumnAbbreviation,FALSE),"")</f>
        <v/>
      </c>
      <c r="BW481" s="21" t="str">
        <f ca="1">IFERROR(VLOOKUP(AH481,OFFSET(abbreviation[],0,ColumnLanguage),ColumnAbbreviation,FALSE),"")</f>
        <v/>
      </c>
      <c r="BX481" s="21" t="str">
        <f ca="1">IFERROR(VLOOKUP(AJ481,OFFSET(abbreviation[],0,ColumnLanguage),ColumnAbbreviation,FALSE),"")</f>
        <v/>
      </c>
      <c r="BY481" s="21" t="str">
        <f ca="1">IFERROR(VLOOKUP(AL481,OFFSET(abbreviation[],0,ColumnLanguage),ColumnAbbreviation,FALSE),"")</f>
        <v/>
      </c>
      <c r="BZ481" s="21" t="str">
        <f t="shared" ca="1" si="51"/>
        <v>_</v>
      </c>
      <c r="CA481" s="21" t="str">
        <f ca="1">IFERROR(VLOOKUP(AP481,OFFSET(abbreviation[],0,ColumnLanguage),ColumnAbbreviation,FALSE),"")</f>
        <v/>
      </c>
      <c r="CB481" s="21" t="str">
        <f ca="1">IFERROR(VLOOKUP(AR481,OFFSET(abbreviation[],0,ColumnLanguage),ColumnAbbreviation,FALSE),"")</f>
        <v/>
      </c>
      <c r="CC481" s="21" t="str">
        <f ca="1">IFERROR(VLOOKUP(AT481,OFFSET(abbreviation[],0,ColumnLanguage),ColumnAbbreviation,FALSE),"")</f>
        <v/>
      </c>
      <c r="CD481" s="21" t="str">
        <f ca="1">IFERROR(VLOOKUP(AV481,OFFSET(abbreviation[],0,ColumnLanguage),ColumnAbbreviation,FALSE),"")</f>
        <v/>
      </c>
      <c r="CE481" s="21" t="str">
        <f t="shared" ca="1" si="52"/>
        <v>__</v>
      </c>
      <c r="CF481" s="21" t="str">
        <f ca="1">IFERROR(VLOOKUP(AX481,OFFSET(abbreviation[],0,ColumnLanguage),ColumnAbbreviation,FALSE),"")</f>
        <v/>
      </c>
      <c r="CG481" s="21" t="str">
        <f ca="1">IFERROR(VLOOKUP(AZ481,OFFSET(abbreviation[],0,ColumnLanguage),ColumnAbbreviation,FALSE),"")</f>
        <v/>
      </c>
      <c r="CH481" s="21" t="str">
        <f ca="1">IFERROR(VLOOKUP(BB481,OFFSET(abbreviation[],0,ColumnLanguage),ColumnAbbreviation,FALSE),"")</f>
        <v/>
      </c>
      <c r="CI481" s="21" t="str">
        <f ca="1">IFERROR(VLOOKUP(BD481,OFFSET(abbreviation[],0,ColumnLanguage),ColumnAbbreviation,FALSE),"")</f>
        <v/>
      </c>
      <c r="CJ481" s="21" t="str">
        <f ca="1">IFERROR(VLOOKUP(BF481,OFFSET(abbreviation[],0,ColumnLanguage),ColumnAbbreviation,FALSE),"")</f>
        <v/>
      </c>
      <c r="CK481" s="21" t="str">
        <f t="shared" ca="1" si="53"/>
        <v/>
      </c>
      <c r="CL481" s="21" t="str">
        <f t="shared" si="54"/>
        <v/>
      </c>
      <c r="CM481" s="52"/>
      <c r="CN481" s="57" t="str">
        <f t="shared" si="55"/>
        <v/>
      </c>
    </row>
    <row r="482" spans="14:92" x14ac:dyDescent="0.25">
      <c r="N482" s="58"/>
      <c r="P482" s="60"/>
      <c r="Q482" s="13"/>
      <c r="V482" s="60"/>
      <c r="X482" s="61"/>
      <c r="AB482" s="60"/>
      <c r="AN482" s="54"/>
      <c r="AS482" s="15"/>
      <c r="BH482" s="52"/>
      <c r="BI482" s="21" t="str">
        <f ca="1">IFERROR(VLOOKUP(C482,OFFSET(abbreviation[],0,ColumnLanguage),ColumnAbbreviation,FALSE),"")</f>
        <v/>
      </c>
      <c r="BJ482" s="21" t="str">
        <f ca="1">IFERROR(VLOOKUP(E482,OFFSET(abbreviation[],0,ColumnLanguage),ColumnAbbreviation,FALSE),"")</f>
        <v/>
      </c>
      <c r="BK482" s="21" t="str">
        <f ca="1">IFERROR(VLOOKUP(G482,OFFSET(abbreviation[],0,ColumnLanguage),ColumnAbbreviation,FALSE),"")</f>
        <v/>
      </c>
      <c r="BL482" s="21" t="str">
        <f ca="1">IFERROR(VLOOKUP(I482,OFFSET(abbreviation[],0,ColumnLanguage),ColumnAbbreviation,FALSE),"")</f>
        <v/>
      </c>
      <c r="BM482" s="21" t="str">
        <f ca="1">IFERROR(VLOOKUP(K482,OFFSET(abbreviation[],0,ColumnLanguage),ColumnAbbreviation,FALSE),"")</f>
        <v/>
      </c>
      <c r="BN482" s="21" t="str">
        <f t="shared" ca="1" si="49"/>
        <v/>
      </c>
      <c r="BO482" s="21" t="str">
        <f ca="1">IFERROR(VLOOKUP(N482,OFFSET(abbreviation[],0,ColumnLanguage),ColumnAbbreviation,FALSE),"")</f>
        <v/>
      </c>
      <c r="BP482" s="21" t="str">
        <f ca="1">IFERROR(VLOOKUP(P482,OFFSET(abbreviation[],0,ColumnLanguage),ColumnAbbreviation,FALSE),"")</f>
        <v/>
      </c>
      <c r="BQ482" s="21" t="str">
        <f ca="1">IFERROR(VLOOKUP(T482,OFFSET(abbreviation[],0,ColumnLanguage),ColumnAbbreviation,FALSE),"")</f>
        <v/>
      </c>
      <c r="BR482" s="21" t="str">
        <f ca="1">IFERROR(VLOOKUP(V482,OFFSET(abbreviation[],0,ColumnLanguage),ColumnAbbreviation,FALSE),"")</f>
        <v/>
      </c>
      <c r="BS482" s="21" t="str">
        <f ca="1">IFERROR(VLOOKUP(Z482,OFFSET(abbreviation[],0,ColumnLanguage),ColumnAbbreviation,FALSE),"")</f>
        <v/>
      </c>
      <c r="BT482" s="21" t="str">
        <f ca="1">IFERROR(VLOOKUP(AB482,OFFSET(abbreviation[],0,ColumnLanguage),ColumnAbbreviation,FALSE),"")</f>
        <v/>
      </c>
      <c r="BU482" s="21" t="str">
        <f t="shared" ca="1" si="50"/>
        <v>__</v>
      </c>
      <c r="BV482" s="21" t="str">
        <f ca="1">IFERROR(VLOOKUP(AF482,OFFSET(abbreviation[],0,ColumnLanguage),ColumnAbbreviation,FALSE),"")</f>
        <v/>
      </c>
      <c r="BW482" s="21" t="str">
        <f ca="1">IFERROR(VLOOKUP(AH482,OFFSET(abbreviation[],0,ColumnLanguage),ColumnAbbreviation,FALSE),"")</f>
        <v/>
      </c>
      <c r="BX482" s="21" t="str">
        <f ca="1">IFERROR(VLOOKUP(AJ482,OFFSET(abbreviation[],0,ColumnLanguage),ColumnAbbreviation,FALSE),"")</f>
        <v/>
      </c>
      <c r="BY482" s="21" t="str">
        <f ca="1">IFERROR(VLOOKUP(AL482,OFFSET(abbreviation[],0,ColumnLanguage),ColumnAbbreviation,FALSE),"")</f>
        <v/>
      </c>
      <c r="BZ482" s="21" t="str">
        <f t="shared" ca="1" si="51"/>
        <v>_</v>
      </c>
      <c r="CA482" s="21" t="str">
        <f ca="1">IFERROR(VLOOKUP(AP482,OFFSET(abbreviation[],0,ColumnLanguage),ColumnAbbreviation,FALSE),"")</f>
        <v/>
      </c>
      <c r="CB482" s="21" t="str">
        <f ca="1">IFERROR(VLOOKUP(AR482,OFFSET(abbreviation[],0,ColumnLanguage),ColumnAbbreviation,FALSE),"")</f>
        <v/>
      </c>
      <c r="CC482" s="21" t="str">
        <f ca="1">IFERROR(VLOOKUP(AT482,OFFSET(abbreviation[],0,ColumnLanguage),ColumnAbbreviation,FALSE),"")</f>
        <v/>
      </c>
      <c r="CD482" s="21" t="str">
        <f ca="1">IFERROR(VLOOKUP(AV482,OFFSET(abbreviation[],0,ColumnLanguage),ColumnAbbreviation,FALSE),"")</f>
        <v/>
      </c>
      <c r="CE482" s="21" t="str">
        <f t="shared" ca="1" si="52"/>
        <v>__</v>
      </c>
      <c r="CF482" s="21" t="str">
        <f ca="1">IFERROR(VLOOKUP(AX482,OFFSET(abbreviation[],0,ColumnLanguage),ColumnAbbreviation,FALSE),"")</f>
        <v/>
      </c>
      <c r="CG482" s="21" t="str">
        <f ca="1">IFERROR(VLOOKUP(AZ482,OFFSET(abbreviation[],0,ColumnLanguage),ColumnAbbreviation,FALSE),"")</f>
        <v/>
      </c>
      <c r="CH482" s="21" t="str">
        <f ca="1">IFERROR(VLOOKUP(BB482,OFFSET(abbreviation[],0,ColumnLanguage),ColumnAbbreviation,FALSE),"")</f>
        <v/>
      </c>
      <c r="CI482" s="21" t="str">
        <f ca="1">IFERROR(VLOOKUP(BD482,OFFSET(abbreviation[],0,ColumnLanguage),ColumnAbbreviation,FALSE),"")</f>
        <v/>
      </c>
      <c r="CJ482" s="21" t="str">
        <f ca="1">IFERROR(VLOOKUP(BF482,OFFSET(abbreviation[],0,ColumnLanguage),ColumnAbbreviation,FALSE),"")</f>
        <v/>
      </c>
      <c r="CK482" s="21" t="str">
        <f t="shared" ca="1" si="53"/>
        <v/>
      </c>
      <c r="CL482" s="21" t="str">
        <f t="shared" si="54"/>
        <v/>
      </c>
      <c r="CM482" s="52"/>
      <c r="CN482" s="57" t="str">
        <f t="shared" si="55"/>
        <v/>
      </c>
    </row>
    <row r="483" spans="14:92" x14ac:dyDescent="0.25">
      <c r="N483" s="58"/>
      <c r="P483" s="60"/>
      <c r="Q483" s="13"/>
      <c r="V483" s="60"/>
      <c r="X483" s="61"/>
      <c r="AB483" s="60"/>
      <c r="AN483" s="54"/>
      <c r="AS483" s="15"/>
      <c r="BH483" s="52"/>
      <c r="BI483" s="21" t="str">
        <f ca="1">IFERROR(VLOOKUP(C483,OFFSET(abbreviation[],0,ColumnLanguage),ColumnAbbreviation,FALSE),"")</f>
        <v/>
      </c>
      <c r="BJ483" s="21" t="str">
        <f ca="1">IFERROR(VLOOKUP(E483,OFFSET(abbreviation[],0,ColumnLanguage),ColumnAbbreviation,FALSE),"")</f>
        <v/>
      </c>
      <c r="BK483" s="21" t="str">
        <f ca="1">IFERROR(VLOOKUP(G483,OFFSET(abbreviation[],0,ColumnLanguage),ColumnAbbreviation,FALSE),"")</f>
        <v/>
      </c>
      <c r="BL483" s="21" t="str">
        <f ca="1">IFERROR(VLOOKUP(I483,OFFSET(abbreviation[],0,ColumnLanguage),ColumnAbbreviation,FALSE),"")</f>
        <v/>
      </c>
      <c r="BM483" s="21" t="str">
        <f ca="1">IFERROR(VLOOKUP(K483,OFFSET(abbreviation[],0,ColumnLanguage),ColumnAbbreviation,FALSE),"")</f>
        <v/>
      </c>
      <c r="BN483" s="21" t="str">
        <f t="shared" ca="1" si="49"/>
        <v/>
      </c>
      <c r="BO483" s="21" t="str">
        <f ca="1">IFERROR(VLOOKUP(N483,OFFSET(abbreviation[],0,ColumnLanguage),ColumnAbbreviation,FALSE),"")</f>
        <v/>
      </c>
      <c r="BP483" s="21" t="str">
        <f ca="1">IFERROR(VLOOKUP(P483,OFFSET(abbreviation[],0,ColumnLanguage),ColumnAbbreviation,FALSE),"")</f>
        <v/>
      </c>
      <c r="BQ483" s="21" t="str">
        <f ca="1">IFERROR(VLOOKUP(T483,OFFSET(abbreviation[],0,ColumnLanguage),ColumnAbbreviation,FALSE),"")</f>
        <v/>
      </c>
      <c r="BR483" s="21" t="str">
        <f ca="1">IFERROR(VLOOKUP(V483,OFFSET(abbreviation[],0,ColumnLanguage),ColumnAbbreviation,FALSE),"")</f>
        <v/>
      </c>
      <c r="BS483" s="21" t="str">
        <f ca="1">IFERROR(VLOOKUP(Z483,OFFSET(abbreviation[],0,ColumnLanguage),ColumnAbbreviation,FALSE),"")</f>
        <v/>
      </c>
      <c r="BT483" s="21" t="str">
        <f ca="1">IFERROR(VLOOKUP(AB483,OFFSET(abbreviation[],0,ColumnLanguage),ColumnAbbreviation,FALSE),"")</f>
        <v/>
      </c>
      <c r="BU483" s="21" t="str">
        <f t="shared" ca="1" si="50"/>
        <v>__</v>
      </c>
      <c r="BV483" s="21" t="str">
        <f ca="1">IFERROR(VLOOKUP(AF483,OFFSET(abbreviation[],0,ColumnLanguage),ColumnAbbreviation,FALSE),"")</f>
        <v/>
      </c>
      <c r="BW483" s="21" t="str">
        <f ca="1">IFERROR(VLOOKUP(AH483,OFFSET(abbreviation[],0,ColumnLanguage),ColumnAbbreviation,FALSE),"")</f>
        <v/>
      </c>
      <c r="BX483" s="21" t="str">
        <f ca="1">IFERROR(VLOOKUP(AJ483,OFFSET(abbreviation[],0,ColumnLanguage),ColumnAbbreviation,FALSE),"")</f>
        <v/>
      </c>
      <c r="BY483" s="21" t="str">
        <f ca="1">IFERROR(VLOOKUP(AL483,OFFSET(abbreviation[],0,ColumnLanguage),ColumnAbbreviation,FALSE),"")</f>
        <v/>
      </c>
      <c r="BZ483" s="21" t="str">
        <f t="shared" ca="1" si="51"/>
        <v>_</v>
      </c>
      <c r="CA483" s="21" t="str">
        <f ca="1">IFERROR(VLOOKUP(AP483,OFFSET(abbreviation[],0,ColumnLanguage),ColumnAbbreviation,FALSE),"")</f>
        <v/>
      </c>
      <c r="CB483" s="21" t="str">
        <f ca="1">IFERROR(VLOOKUP(AR483,OFFSET(abbreviation[],0,ColumnLanguage),ColumnAbbreviation,FALSE),"")</f>
        <v/>
      </c>
      <c r="CC483" s="21" t="str">
        <f ca="1">IFERROR(VLOOKUP(AT483,OFFSET(abbreviation[],0,ColumnLanguage),ColumnAbbreviation,FALSE),"")</f>
        <v/>
      </c>
      <c r="CD483" s="21" t="str">
        <f ca="1">IFERROR(VLOOKUP(AV483,OFFSET(abbreviation[],0,ColumnLanguage),ColumnAbbreviation,FALSE),"")</f>
        <v/>
      </c>
      <c r="CE483" s="21" t="str">
        <f t="shared" ca="1" si="52"/>
        <v>__</v>
      </c>
      <c r="CF483" s="21" t="str">
        <f ca="1">IFERROR(VLOOKUP(AX483,OFFSET(abbreviation[],0,ColumnLanguage),ColumnAbbreviation,FALSE),"")</f>
        <v/>
      </c>
      <c r="CG483" s="21" t="str">
        <f ca="1">IFERROR(VLOOKUP(AZ483,OFFSET(abbreviation[],0,ColumnLanguage),ColumnAbbreviation,FALSE),"")</f>
        <v/>
      </c>
      <c r="CH483" s="21" t="str">
        <f ca="1">IFERROR(VLOOKUP(BB483,OFFSET(abbreviation[],0,ColumnLanguage),ColumnAbbreviation,FALSE),"")</f>
        <v/>
      </c>
      <c r="CI483" s="21" t="str">
        <f ca="1">IFERROR(VLOOKUP(BD483,OFFSET(abbreviation[],0,ColumnLanguage),ColumnAbbreviation,FALSE),"")</f>
        <v/>
      </c>
      <c r="CJ483" s="21" t="str">
        <f ca="1">IFERROR(VLOOKUP(BF483,OFFSET(abbreviation[],0,ColumnLanguage),ColumnAbbreviation,FALSE),"")</f>
        <v/>
      </c>
      <c r="CK483" s="21" t="str">
        <f t="shared" ca="1" si="53"/>
        <v/>
      </c>
      <c r="CL483" s="21" t="str">
        <f t="shared" si="54"/>
        <v/>
      </c>
      <c r="CM483" s="52"/>
      <c r="CN483" s="57" t="str">
        <f t="shared" si="55"/>
        <v/>
      </c>
    </row>
    <row r="484" spans="14:92" x14ac:dyDescent="0.25">
      <c r="N484" s="58"/>
      <c r="P484" s="60"/>
      <c r="Q484" s="13"/>
      <c r="V484" s="60"/>
      <c r="X484" s="61"/>
      <c r="AB484" s="60"/>
      <c r="AN484" s="54"/>
      <c r="AS484" s="15"/>
      <c r="BH484" s="52"/>
      <c r="BI484" s="21" t="str">
        <f ca="1">IFERROR(VLOOKUP(C484,OFFSET(abbreviation[],0,ColumnLanguage),ColumnAbbreviation,FALSE),"")</f>
        <v/>
      </c>
      <c r="BJ484" s="21" t="str">
        <f ca="1">IFERROR(VLOOKUP(E484,OFFSET(abbreviation[],0,ColumnLanguage),ColumnAbbreviation,FALSE),"")</f>
        <v/>
      </c>
      <c r="BK484" s="21" t="str">
        <f ca="1">IFERROR(VLOOKUP(G484,OFFSET(abbreviation[],0,ColumnLanguage),ColumnAbbreviation,FALSE),"")</f>
        <v/>
      </c>
      <c r="BL484" s="21" t="str">
        <f ca="1">IFERROR(VLOOKUP(I484,OFFSET(abbreviation[],0,ColumnLanguage),ColumnAbbreviation,FALSE),"")</f>
        <v/>
      </c>
      <c r="BM484" s="21" t="str">
        <f ca="1">IFERROR(VLOOKUP(K484,OFFSET(abbreviation[],0,ColumnLanguage),ColumnAbbreviation,FALSE),"")</f>
        <v/>
      </c>
      <c r="BN484" s="21" t="str">
        <f t="shared" ca="1" si="49"/>
        <v/>
      </c>
      <c r="BO484" s="21" t="str">
        <f ca="1">IFERROR(VLOOKUP(N484,OFFSET(abbreviation[],0,ColumnLanguage),ColumnAbbreviation,FALSE),"")</f>
        <v/>
      </c>
      <c r="BP484" s="21" t="str">
        <f ca="1">IFERROR(VLOOKUP(P484,OFFSET(abbreviation[],0,ColumnLanguage),ColumnAbbreviation,FALSE),"")</f>
        <v/>
      </c>
      <c r="BQ484" s="21" t="str">
        <f ca="1">IFERROR(VLOOKUP(T484,OFFSET(abbreviation[],0,ColumnLanguage),ColumnAbbreviation,FALSE),"")</f>
        <v/>
      </c>
      <c r="BR484" s="21" t="str">
        <f ca="1">IFERROR(VLOOKUP(V484,OFFSET(abbreviation[],0,ColumnLanguage),ColumnAbbreviation,FALSE),"")</f>
        <v/>
      </c>
      <c r="BS484" s="21" t="str">
        <f ca="1">IFERROR(VLOOKUP(Z484,OFFSET(abbreviation[],0,ColumnLanguage),ColumnAbbreviation,FALSE),"")</f>
        <v/>
      </c>
      <c r="BT484" s="21" t="str">
        <f ca="1">IFERROR(VLOOKUP(AB484,OFFSET(abbreviation[],0,ColumnLanguage),ColumnAbbreviation,FALSE),"")</f>
        <v/>
      </c>
      <c r="BU484" s="21" t="str">
        <f t="shared" ca="1" si="50"/>
        <v>__</v>
      </c>
      <c r="BV484" s="21" t="str">
        <f ca="1">IFERROR(VLOOKUP(AF484,OFFSET(abbreviation[],0,ColumnLanguage),ColumnAbbreviation,FALSE),"")</f>
        <v/>
      </c>
      <c r="BW484" s="21" t="str">
        <f ca="1">IFERROR(VLOOKUP(AH484,OFFSET(abbreviation[],0,ColumnLanguage),ColumnAbbreviation,FALSE),"")</f>
        <v/>
      </c>
      <c r="BX484" s="21" t="str">
        <f ca="1">IFERROR(VLOOKUP(AJ484,OFFSET(abbreviation[],0,ColumnLanguage),ColumnAbbreviation,FALSE),"")</f>
        <v/>
      </c>
      <c r="BY484" s="21" t="str">
        <f ca="1">IFERROR(VLOOKUP(AL484,OFFSET(abbreviation[],0,ColumnLanguage),ColumnAbbreviation,FALSE),"")</f>
        <v/>
      </c>
      <c r="BZ484" s="21" t="str">
        <f t="shared" ca="1" si="51"/>
        <v>_</v>
      </c>
      <c r="CA484" s="21" t="str">
        <f ca="1">IFERROR(VLOOKUP(AP484,OFFSET(abbreviation[],0,ColumnLanguage),ColumnAbbreviation,FALSE),"")</f>
        <v/>
      </c>
      <c r="CB484" s="21" t="str">
        <f ca="1">IFERROR(VLOOKUP(AR484,OFFSET(abbreviation[],0,ColumnLanguage),ColumnAbbreviation,FALSE),"")</f>
        <v/>
      </c>
      <c r="CC484" s="21" t="str">
        <f ca="1">IFERROR(VLOOKUP(AT484,OFFSET(abbreviation[],0,ColumnLanguage),ColumnAbbreviation,FALSE),"")</f>
        <v/>
      </c>
      <c r="CD484" s="21" t="str">
        <f ca="1">IFERROR(VLOOKUP(AV484,OFFSET(abbreviation[],0,ColumnLanguage),ColumnAbbreviation,FALSE),"")</f>
        <v/>
      </c>
      <c r="CE484" s="21" t="str">
        <f t="shared" ca="1" si="52"/>
        <v>__</v>
      </c>
      <c r="CF484" s="21" t="str">
        <f ca="1">IFERROR(VLOOKUP(AX484,OFFSET(abbreviation[],0,ColumnLanguage),ColumnAbbreviation,FALSE),"")</f>
        <v/>
      </c>
      <c r="CG484" s="21" t="str">
        <f ca="1">IFERROR(VLOOKUP(AZ484,OFFSET(abbreviation[],0,ColumnLanguage),ColumnAbbreviation,FALSE),"")</f>
        <v/>
      </c>
      <c r="CH484" s="21" t="str">
        <f ca="1">IFERROR(VLOOKUP(BB484,OFFSET(abbreviation[],0,ColumnLanguage),ColumnAbbreviation,FALSE),"")</f>
        <v/>
      </c>
      <c r="CI484" s="21" t="str">
        <f ca="1">IFERROR(VLOOKUP(BD484,OFFSET(abbreviation[],0,ColumnLanguage),ColumnAbbreviation,FALSE),"")</f>
        <v/>
      </c>
      <c r="CJ484" s="21" t="str">
        <f ca="1">IFERROR(VLOOKUP(BF484,OFFSET(abbreviation[],0,ColumnLanguage),ColumnAbbreviation,FALSE),"")</f>
        <v/>
      </c>
      <c r="CK484" s="21" t="str">
        <f t="shared" ca="1" si="53"/>
        <v/>
      </c>
      <c r="CL484" s="21" t="str">
        <f t="shared" si="54"/>
        <v/>
      </c>
      <c r="CM484" s="52"/>
      <c r="CN484" s="57" t="str">
        <f t="shared" si="55"/>
        <v/>
      </c>
    </row>
    <row r="485" spans="14:92" x14ac:dyDescent="0.25">
      <c r="N485" s="58"/>
      <c r="P485" s="60"/>
      <c r="Q485" s="13"/>
      <c r="V485" s="60"/>
      <c r="X485" s="61"/>
      <c r="AB485" s="60"/>
      <c r="AN485" s="54"/>
      <c r="AS485" s="15"/>
      <c r="BH485" s="52"/>
      <c r="BI485" s="21" t="str">
        <f ca="1">IFERROR(VLOOKUP(C485,OFFSET(abbreviation[],0,ColumnLanguage),ColumnAbbreviation,FALSE),"")</f>
        <v/>
      </c>
      <c r="BJ485" s="21" t="str">
        <f ca="1">IFERROR(VLOOKUP(E485,OFFSET(abbreviation[],0,ColumnLanguage),ColumnAbbreviation,FALSE),"")</f>
        <v/>
      </c>
      <c r="BK485" s="21" t="str">
        <f ca="1">IFERROR(VLOOKUP(G485,OFFSET(abbreviation[],0,ColumnLanguage),ColumnAbbreviation,FALSE),"")</f>
        <v/>
      </c>
      <c r="BL485" s="21" t="str">
        <f ca="1">IFERROR(VLOOKUP(I485,OFFSET(abbreviation[],0,ColumnLanguage),ColumnAbbreviation,FALSE),"")</f>
        <v/>
      </c>
      <c r="BM485" s="21" t="str">
        <f ca="1">IFERROR(VLOOKUP(K485,OFFSET(abbreviation[],0,ColumnLanguage),ColumnAbbreviation,FALSE),"")</f>
        <v/>
      </c>
      <c r="BN485" s="21" t="str">
        <f t="shared" ca="1" si="49"/>
        <v/>
      </c>
      <c r="BO485" s="21" t="str">
        <f ca="1">IFERROR(VLOOKUP(N485,OFFSET(abbreviation[],0,ColumnLanguage),ColumnAbbreviation,FALSE),"")</f>
        <v/>
      </c>
      <c r="BP485" s="21" t="str">
        <f ca="1">IFERROR(VLOOKUP(P485,OFFSET(abbreviation[],0,ColumnLanguage),ColumnAbbreviation,FALSE),"")</f>
        <v/>
      </c>
      <c r="BQ485" s="21" t="str">
        <f ca="1">IFERROR(VLOOKUP(T485,OFFSET(abbreviation[],0,ColumnLanguage),ColumnAbbreviation,FALSE),"")</f>
        <v/>
      </c>
      <c r="BR485" s="21" t="str">
        <f ca="1">IFERROR(VLOOKUP(V485,OFFSET(abbreviation[],0,ColumnLanguage),ColumnAbbreviation,FALSE),"")</f>
        <v/>
      </c>
      <c r="BS485" s="21" t="str">
        <f ca="1">IFERROR(VLOOKUP(Z485,OFFSET(abbreviation[],0,ColumnLanguage),ColumnAbbreviation,FALSE),"")</f>
        <v/>
      </c>
      <c r="BT485" s="21" t="str">
        <f ca="1">IFERROR(VLOOKUP(AB485,OFFSET(abbreviation[],0,ColumnLanguage),ColumnAbbreviation,FALSE),"")</f>
        <v/>
      </c>
      <c r="BU485" s="21" t="str">
        <f t="shared" ca="1" si="50"/>
        <v>__</v>
      </c>
      <c r="BV485" s="21" t="str">
        <f ca="1">IFERROR(VLOOKUP(AF485,OFFSET(abbreviation[],0,ColumnLanguage),ColumnAbbreviation,FALSE),"")</f>
        <v/>
      </c>
      <c r="BW485" s="21" t="str">
        <f ca="1">IFERROR(VLOOKUP(AH485,OFFSET(abbreviation[],0,ColumnLanguage),ColumnAbbreviation,FALSE),"")</f>
        <v/>
      </c>
      <c r="BX485" s="21" t="str">
        <f ca="1">IFERROR(VLOOKUP(AJ485,OFFSET(abbreviation[],0,ColumnLanguage),ColumnAbbreviation,FALSE),"")</f>
        <v/>
      </c>
      <c r="BY485" s="21" t="str">
        <f ca="1">IFERROR(VLOOKUP(AL485,OFFSET(abbreviation[],0,ColumnLanguage),ColumnAbbreviation,FALSE),"")</f>
        <v/>
      </c>
      <c r="BZ485" s="21" t="str">
        <f t="shared" ca="1" si="51"/>
        <v>_</v>
      </c>
      <c r="CA485" s="21" t="str">
        <f ca="1">IFERROR(VLOOKUP(AP485,OFFSET(abbreviation[],0,ColumnLanguage),ColumnAbbreviation,FALSE),"")</f>
        <v/>
      </c>
      <c r="CB485" s="21" t="str">
        <f ca="1">IFERROR(VLOOKUP(AR485,OFFSET(abbreviation[],0,ColumnLanguage),ColumnAbbreviation,FALSE),"")</f>
        <v/>
      </c>
      <c r="CC485" s="21" t="str">
        <f ca="1">IFERROR(VLOOKUP(AT485,OFFSET(abbreviation[],0,ColumnLanguage),ColumnAbbreviation,FALSE),"")</f>
        <v/>
      </c>
      <c r="CD485" s="21" t="str">
        <f ca="1">IFERROR(VLOOKUP(AV485,OFFSET(abbreviation[],0,ColumnLanguage),ColumnAbbreviation,FALSE),"")</f>
        <v/>
      </c>
      <c r="CE485" s="21" t="str">
        <f t="shared" ca="1" si="52"/>
        <v>__</v>
      </c>
      <c r="CF485" s="21" t="str">
        <f ca="1">IFERROR(VLOOKUP(AX485,OFFSET(abbreviation[],0,ColumnLanguage),ColumnAbbreviation,FALSE),"")</f>
        <v/>
      </c>
      <c r="CG485" s="21" t="str">
        <f ca="1">IFERROR(VLOOKUP(AZ485,OFFSET(abbreviation[],0,ColumnLanguage),ColumnAbbreviation,FALSE),"")</f>
        <v/>
      </c>
      <c r="CH485" s="21" t="str">
        <f ca="1">IFERROR(VLOOKUP(BB485,OFFSET(abbreviation[],0,ColumnLanguage),ColumnAbbreviation,FALSE),"")</f>
        <v/>
      </c>
      <c r="CI485" s="21" t="str">
        <f ca="1">IFERROR(VLOOKUP(BD485,OFFSET(abbreviation[],0,ColumnLanguage),ColumnAbbreviation,FALSE),"")</f>
        <v/>
      </c>
      <c r="CJ485" s="21" t="str">
        <f ca="1">IFERROR(VLOOKUP(BF485,OFFSET(abbreviation[],0,ColumnLanguage),ColumnAbbreviation,FALSE),"")</f>
        <v/>
      </c>
      <c r="CK485" s="21" t="str">
        <f t="shared" ca="1" si="53"/>
        <v/>
      </c>
      <c r="CL485" s="21" t="str">
        <f t="shared" si="54"/>
        <v/>
      </c>
      <c r="CM485" s="52"/>
      <c r="CN485" s="57" t="str">
        <f t="shared" si="55"/>
        <v/>
      </c>
    </row>
    <row r="486" spans="14:92" x14ac:dyDescent="0.25">
      <c r="N486" s="58"/>
      <c r="P486" s="60"/>
      <c r="Q486" s="13"/>
      <c r="V486" s="60"/>
      <c r="X486" s="61"/>
      <c r="AB486" s="60"/>
      <c r="AN486" s="54"/>
      <c r="AS486" s="15"/>
      <c r="BH486" s="52"/>
      <c r="BI486" s="21" t="str">
        <f ca="1">IFERROR(VLOOKUP(C486,OFFSET(abbreviation[],0,ColumnLanguage),ColumnAbbreviation,FALSE),"")</f>
        <v/>
      </c>
      <c r="BJ486" s="21" t="str">
        <f ca="1">IFERROR(VLOOKUP(E486,OFFSET(abbreviation[],0,ColumnLanguage),ColumnAbbreviation,FALSE),"")</f>
        <v/>
      </c>
      <c r="BK486" s="21" t="str">
        <f ca="1">IFERROR(VLOOKUP(G486,OFFSET(abbreviation[],0,ColumnLanguage),ColumnAbbreviation,FALSE),"")</f>
        <v/>
      </c>
      <c r="BL486" s="21" t="str">
        <f ca="1">IFERROR(VLOOKUP(I486,OFFSET(abbreviation[],0,ColumnLanguage),ColumnAbbreviation,FALSE),"")</f>
        <v/>
      </c>
      <c r="BM486" s="21" t="str">
        <f ca="1">IFERROR(VLOOKUP(K486,OFFSET(abbreviation[],0,ColumnLanguage),ColumnAbbreviation,FALSE),"")</f>
        <v/>
      </c>
      <c r="BN486" s="21" t="str">
        <f t="shared" ca="1" si="49"/>
        <v/>
      </c>
      <c r="BO486" s="21" t="str">
        <f ca="1">IFERROR(VLOOKUP(N486,OFFSET(abbreviation[],0,ColumnLanguage),ColumnAbbreviation,FALSE),"")</f>
        <v/>
      </c>
      <c r="BP486" s="21" t="str">
        <f ca="1">IFERROR(VLOOKUP(P486,OFFSET(abbreviation[],0,ColumnLanguage),ColumnAbbreviation,FALSE),"")</f>
        <v/>
      </c>
      <c r="BQ486" s="21" t="str">
        <f ca="1">IFERROR(VLOOKUP(T486,OFFSET(abbreviation[],0,ColumnLanguage),ColumnAbbreviation,FALSE),"")</f>
        <v/>
      </c>
      <c r="BR486" s="21" t="str">
        <f ca="1">IFERROR(VLOOKUP(V486,OFFSET(abbreviation[],0,ColumnLanguage),ColumnAbbreviation,FALSE),"")</f>
        <v/>
      </c>
      <c r="BS486" s="21" t="str">
        <f ca="1">IFERROR(VLOOKUP(Z486,OFFSET(abbreviation[],0,ColumnLanguage),ColumnAbbreviation,FALSE),"")</f>
        <v/>
      </c>
      <c r="BT486" s="21" t="str">
        <f ca="1">IFERROR(VLOOKUP(AB486,OFFSET(abbreviation[],0,ColumnLanguage),ColumnAbbreviation,FALSE),"")</f>
        <v/>
      </c>
      <c r="BU486" s="21" t="str">
        <f t="shared" ca="1" si="50"/>
        <v>__</v>
      </c>
      <c r="BV486" s="21" t="str">
        <f ca="1">IFERROR(VLOOKUP(AF486,OFFSET(abbreviation[],0,ColumnLanguage),ColumnAbbreviation,FALSE),"")</f>
        <v/>
      </c>
      <c r="BW486" s="21" t="str">
        <f ca="1">IFERROR(VLOOKUP(AH486,OFFSET(abbreviation[],0,ColumnLanguage),ColumnAbbreviation,FALSE),"")</f>
        <v/>
      </c>
      <c r="BX486" s="21" t="str">
        <f ca="1">IFERROR(VLOOKUP(AJ486,OFFSET(abbreviation[],0,ColumnLanguage),ColumnAbbreviation,FALSE),"")</f>
        <v/>
      </c>
      <c r="BY486" s="21" t="str">
        <f ca="1">IFERROR(VLOOKUP(AL486,OFFSET(abbreviation[],0,ColumnLanguage),ColumnAbbreviation,FALSE),"")</f>
        <v/>
      </c>
      <c r="BZ486" s="21" t="str">
        <f t="shared" ca="1" si="51"/>
        <v>_</v>
      </c>
      <c r="CA486" s="21" t="str">
        <f ca="1">IFERROR(VLOOKUP(AP486,OFFSET(abbreviation[],0,ColumnLanguage),ColumnAbbreviation,FALSE),"")</f>
        <v/>
      </c>
      <c r="CB486" s="21" t="str">
        <f ca="1">IFERROR(VLOOKUP(AR486,OFFSET(abbreviation[],0,ColumnLanguage),ColumnAbbreviation,FALSE),"")</f>
        <v/>
      </c>
      <c r="CC486" s="21" t="str">
        <f ca="1">IFERROR(VLOOKUP(AT486,OFFSET(abbreviation[],0,ColumnLanguage),ColumnAbbreviation,FALSE),"")</f>
        <v/>
      </c>
      <c r="CD486" s="21" t="str">
        <f ca="1">IFERROR(VLOOKUP(AV486,OFFSET(abbreviation[],0,ColumnLanguage),ColumnAbbreviation,FALSE),"")</f>
        <v/>
      </c>
      <c r="CE486" s="21" t="str">
        <f t="shared" ca="1" si="52"/>
        <v>__</v>
      </c>
      <c r="CF486" s="21" t="str">
        <f ca="1">IFERROR(VLOOKUP(AX486,OFFSET(abbreviation[],0,ColumnLanguage),ColumnAbbreviation,FALSE),"")</f>
        <v/>
      </c>
      <c r="CG486" s="21" t="str">
        <f ca="1">IFERROR(VLOOKUP(AZ486,OFFSET(abbreviation[],0,ColumnLanguage),ColumnAbbreviation,FALSE),"")</f>
        <v/>
      </c>
      <c r="CH486" s="21" t="str">
        <f ca="1">IFERROR(VLOOKUP(BB486,OFFSET(abbreviation[],0,ColumnLanguage),ColumnAbbreviation,FALSE),"")</f>
        <v/>
      </c>
      <c r="CI486" s="21" t="str">
        <f ca="1">IFERROR(VLOOKUP(BD486,OFFSET(abbreviation[],0,ColumnLanguage),ColumnAbbreviation,FALSE),"")</f>
        <v/>
      </c>
      <c r="CJ486" s="21" t="str">
        <f ca="1">IFERROR(VLOOKUP(BF486,OFFSET(abbreviation[],0,ColumnLanguage),ColumnAbbreviation,FALSE),"")</f>
        <v/>
      </c>
      <c r="CK486" s="21" t="str">
        <f t="shared" ca="1" si="53"/>
        <v/>
      </c>
      <c r="CL486" s="21" t="str">
        <f t="shared" si="54"/>
        <v/>
      </c>
      <c r="CM486" s="52"/>
      <c r="CN486" s="57" t="str">
        <f t="shared" si="55"/>
        <v/>
      </c>
    </row>
    <row r="487" spans="14:92" x14ac:dyDescent="0.25">
      <c r="N487" s="58"/>
      <c r="P487" s="60"/>
      <c r="Q487" s="13"/>
      <c r="V487" s="60"/>
      <c r="X487" s="61"/>
      <c r="AB487" s="60"/>
      <c r="AN487" s="54"/>
      <c r="AS487" s="15"/>
      <c r="BH487" s="52"/>
      <c r="BI487" s="21" t="str">
        <f ca="1">IFERROR(VLOOKUP(C487,OFFSET(abbreviation[],0,ColumnLanguage),ColumnAbbreviation,FALSE),"")</f>
        <v/>
      </c>
      <c r="BJ487" s="21" t="str">
        <f ca="1">IFERROR(VLOOKUP(E487,OFFSET(abbreviation[],0,ColumnLanguage),ColumnAbbreviation,FALSE),"")</f>
        <v/>
      </c>
      <c r="BK487" s="21" t="str">
        <f ca="1">IFERROR(VLOOKUP(G487,OFFSET(abbreviation[],0,ColumnLanguage),ColumnAbbreviation,FALSE),"")</f>
        <v/>
      </c>
      <c r="BL487" s="21" t="str">
        <f ca="1">IFERROR(VLOOKUP(I487,OFFSET(abbreviation[],0,ColumnLanguage),ColumnAbbreviation,FALSE),"")</f>
        <v/>
      </c>
      <c r="BM487" s="21" t="str">
        <f ca="1">IFERROR(VLOOKUP(K487,OFFSET(abbreviation[],0,ColumnLanguage),ColumnAbbreviation,FALSE),"")</f>
        <v/>
      </c>
      <c r="BN487" s="21" t="str">
        <f t="shared" ca="1" si="49"/>
        <v/>
      </c>
      <c r="BO487" s="21" t="str">
        <f ca="1">IFERROR(VLOOKUP(N487,OFFSET(abbreviation[],0,ColumnLanguage),ColumnAbbreviation,FALSE),"")</f>
        <v/>
      </c>
      <c r="BP487" s="21" t="str">
        <f ca="1">IFERROR(VLOOKUP(P487,OFFSET(abbreviation[],0,ColumnLanguage),ColumnAbbreviation,FALSE),"")</f>
        <v/>
      </c>
      <c r="BQ487" s="21" t="str">
        <f ca="1">IFERROR(VLOOKUP(T487,OFFSET(abbreviation[],0,ColumnLanguage),ColumnAbbreviation,FALSE),"")</f>
        <v/>
      </c>
      <c r="BR487" s="21" t="str">
        <f ca="1">IFERROR(VLOOKUP(V487,OFFSET(abbreviation[],0,ColumnLanguage),ColumnAbbreviation,FALSE),"")</f>
        <v/>
      </c>
      <c r="BS487" s="21" t="str">
        <f ca="1">IFERROR(VLOOKUP(Z487,OFFSET(abbreviation[],0,ColumnLanguage),ColumnAbbreviation,FALSE),"")</f>
        <v/>
      </c>
      <c r="BT487" s="21" t="str">
        <f ca="1">IFERROR(VLOOKUP(AB487,OFFSET(abbreviation[],0,ColumnLanguage),ColumnAbbreviation,FALSE),"")</f>
        <v/>
      </c>
      <c r="BU487" s="21" t="str">
        <f t="shared" ca="1" si="50"/>
        <v>__</v>
      </c>
      <c r="BV487" s="21" t="str">
        <f ca="1">IFERROR(VLOOKUP(AF487,OFFSET(abbreviation[],0,ColumnLanguage),ColumnAbbreviation,FALSE),"")</f>
        <v/>
      </c>
      <c r="BW487" s="21" t="str">
        <f ca="1">IFERROR(VLOOKUP(AH487,OFFSET(abbreviation[],0,ColumnLanguage),ColumnAbbreviation,FALSE),"")</f>
        <v/>
      </c>
      <c r="BX487" s="21" t="str">
        <f ca="1">IFERROR(VLOOKUP(AJ487,OFFSET(abbreviation[],0,ColumnLanguage),ColumnAbbreviation,FALSE),"")</f>
        <v/>
      </c>
      <c r="BY487" s="21" t="str">
        <f ca="1">IFERROR(VLOOKUP(AL487,OFFSET(abbreviation[],0,ColumnLanguage),ColumnAbbreviation,FALSE),"")</f>
        <v/>
      </c>
      <c r="BZ487" s="21" t="str">
        <f t="shared" ca="1" si="51"/>
        <v>_</v>
      </c>
      <c r="CA487" s="21" t="str">
        <f ca="1">IFERROR(VLOOKUP(AP487,OFFSET(abbreviation[],0,ColumnLanguage),ColumnAbbreviation,FALSE),"")</f>
        <v/>
      </c>
      <c r="CB487" s="21" t="str">
        <f ca="1">IFERROR(VLOOKUP(AR487,OFFSET(abbreviation[],0,ColumnLanguage),ColumnAbbreviation,FALSE),"")</f>
        <v/>
      </c>
      <c r="CC487" s="21" t="str">
        <f ca="1">IFERROR(VLOOKUP(AT487,OFFSET(abbreviation[],0,ColumnLanguage),ColumnAbbreviation,FALSE),"")</f>
        <v/>
      </c>
      <c r="CD487" s="21" t="str">
        <f ca="1">IFERROR(VLOOKUP(AV487,OFFSET(abbreviation[],0,ColumnLanguage),ColumnAbbreviation,FALSE),"")</f>
        <v/>
      </c>
      <c r="CE487" s="21" t="str">
        <f t="shared" ca="1" si="52"/>
        <v>__</v>
      </c>
      <c r="CF487" s="21" t="str">
        <f ca="1">IFERROR(VLOOKUP(AX487,OFFSET(abbreviation[],0,ColumnLanguage),ColumnAbbreviation,FALSE),"")</f>
        <v/>
      </c>
      <c r="CG487" s="21" t="str">
        <f ca="1">IFERROR(VLOOKUP(AZ487,OFFSET(abbreviation[],0,ColumnLanguage),ColumnAbbreviation,FALSE),"")</f>
        <v/>
      </c>
      <c r="CH487" s="21" t="str">
        <f ca="1">IFERROR(VLOOKUP(BB487,OFFSET(abbreviation[],0,ColumnLanguage),ColumnAbbreviation,FALSE),"")</f>
        <v/>
      </c>
      <c r="CI487" s="21" t="str">
        <f ca="1">IFERROR(VLOOKUP(BD487,OFFSET(abbreviation[],0,ColumnLanguage),ColumnAbbreviation,FALSE),"")</f>
        <v/>
      </c>
      <c r="CJ487" s="21" t="str">
        <f ca="1">IFERROR(VLOOKUP(BF487,OFFSET(abbreviation[],0,ColumnLanguage),ColumnAbbreviation,FALSE),"")</f>
        <v/>
      </c>
      <c r="CK487" s="21" t="str">
        <f t="shared" ca="1" si="53"/>
        <v/>
      </c>
      <c r="CL487" s="21" t="str">
        <f t="shared" si="54"/>
        <v/>
      </c>
      <c r="CM487" s="52"/>
      <c r="CN487" s="57" t="str">
        <f t="shared" si="55"/>
        <v/>
      </c>
    </row>
    <row r="488" spans="14:92" x14ac:dyDescent="0.25">
      <c r="N488" s="58"/>
      <c r="P488" s="60"/>
      <c r="Q488" s="13"/>
      <c r="V488" s="60"/>
      <c r="X488" s="61"/>
      <c r="AB488" s="60"/>
      <c r="AN488" s="54"/>
      <c r="AS488" s="15"/>
      <c r="BH488" s="52"/>
      <c r="BI488" s="21" t="str">
        <f ca="1">IFERROR(VLOOKUP(C488,OFFSET(abbreviation[],0,ColumnLanguage),ColumnAbbreviation,FALSE),"")</f>
        <v/>
      </c>
      <c r="BJ488" s="21" t="str">
        <f ca="1">IFERROR(VLOOKUP(E488,OFFSET(abbreviation[],0,ColumnLanguage),ColumnAbbreviation,FALSE),"")</f>
        <v/>
      </c>
      <c r="BK488" s="21" t="str">
        <f ca="1">IFERROR(VLOOKUP(G488,OFFSET(abbreviation[],0,ColumnLanguage),ColumnAbbreviation,FALSE),"")</f>
        <v/>
      </c>
      <c r="BL488" s="21" t="str">
        <f ca="1">IFERROR(VLOOKUP(I488,OFFSET(abbreviation[],0,ColumnLanguage),ColumnAbbreviation,FALSE),"")</f>
        <v/>
      </c>
      <c r="BM488" s="21" t="str">
        <f ca="1">IFERROR(VLOOKUP(K488,OFFSET(abbreviation[],0,ColumnLanguage),ColumnAbbreviation,FALSE),"")</f>
        <v/>
      </c>
      <c r="BN488" s="21" t="str">
        <f t="shared" ca="1" si="49"/>
        <v/>
      </c>
      <c r="BO488" s="21" t="str">
        <f ca="1">IFERROR(VLOOKUP(N488,OFFSET(abbreviation[],0,ColumnLanguage),ColumnAbbreviation,FALSE),"")</f>
        <v/>
      </c>
      <c r="BP488" s="21" t="str">
        <f ca="1">IFERROR(VLOOKUP(P488,OFFSET(abbreviation[],0,ColumnLanguage),ColumnAbbreviation,FALSE),"")</f>
        <v/>
      </c>
      <c r="BQ488" s="21" t="str">
        <f ca="1">IFERROR(VLOOKUP(T488,OFFSET(abbreviation[],0,ColumnLanguage),ColumnAbbreviation,FALSE),"")</f>
        <v/>
      </c>
      <c r="BR488" s="21" t="str">
        <f ca="1">IFERROR(VLOOKUP(V488,OFFSET(abbreviation[],0,ColumnLanguage),ColumnAbbreviation,FALSE),"")</f>
        <v/>
      </c>
      <c r="BS488" s="21" t="str">
        <f ca="1">IFERROR(VLOOKUP(Z488,OFFSET(abbreviation[],0,ColumnLanguage),ColumnAbbreviation,FALSE),"")</f>
        <v/>
      </c>
      <c r="BT488" s="21" t="str">
        <f ca="1">IFERROR(VLOOKUP(AB488,OFFSET(abbreviation[],0,ColumnLanguage),ColumnAbbreviation,FALSE),"")</f>
        <v/>
      </c>
      <c r="BU488" s="21" t="str">
        <f t="shared" ca="1" si="50"/>
        <v>__</v>
      </c>
      <c r="BV488" s="21" t="str">
        <f ca="1">IFERROR(VLOOKUP(AF488,OFFSET(abbreviation[],0,ColumnLanguage),ColumnAbbreviation,FALSE),"")</f>
        <v/>
      </c>
      <c r="BW488" s="21" t="str">
        <f ca="1">IFERROR(VLOOKUP(AH488,OFFSET(abbreviation[],0,ColumnLanguage),ColumnAbbreviation,FALSE),"")</f>
        <v/>
      </c>
      <c r="BX488" s="21" t="str">
        <f ca="1">IFERROR(VLOOKUP(AJ488,OFFSET(abbreviation[],0,ColumnLanguage),ColumnAbbreviation,FALSE),"")</f>
        <v/>
      </c>
      <c r="BY488" s="21" t="str">
        <f ca="1">IFERROR(VLOOKUP(AL488,OFFSET(abbreviation[],0,ColumnLanguage),ColumnAbbreviation,FALSE),"")</f>
        <v/>
      </c>
      <c r="BZ488" s="21" t="str">
        <f t="shared" ca="1" si="51"/>
        <v>_</v>
      </c>
      <c r="CA488" s="21" t="str">
        <f ca="1">IFERROR(VLOOKUP(AP488,OFFSET(abbreviation[],0,ColumnLanguage),ColumnAbbreviation,FALSE),"")</f>
        <v/>
      </c>
      <c r="CB488" s="21" t="str">
        <f ca="1">IFERROR(VLOOKUP(AR488,OFFSET(abbreviation[],0,ColumnLanguage),ColumnAbbreviation,FALSE),"")</f>
        <v/>
      </c>
      <c r="CC488" s="21" t="str">
        <f ca="1">IFERROR(VLOOKUP(AT488,OFFSET(abbreviation[],0,ColumnLanguage),ColumnAbbreviation,FALSE),"")</f>
        <v/>
      </c>
      <c r="CD488" s="21" t="str">
        <f ca="1">IFERROR(VLOOKUP(AV488,OFFSET(abbreviation[],0,ColumnLanguage),ColumnAbbreviation,FALSE),"")</f>
        <v/>
      </c>
      <c r="CE488" s="21" t="str">
        <f t="shared" ca="1" si="52"/>
        <v>__</v>
      </c>
      <c r="CF488" s="21" t="str">
        <f ca="1">IFERROR(VLOOKUP(AX488,OFFSET(abbreviation[],0,ColumnLanguage),ColumnAbbreviation,FALSE),"")</f>
        <v/>
      </c>
      <c r="CG488" s="21" t="str">
        <f ca="1">IFERROR(VLOOKUP(AZ488,OFFSET(abbreviation[],0,ColumnLanguage),ColumnAbbreviation,FALSE),"")</f>
        <v/>
      </c>
      <c r="CH488" s="21" t="str">
        <f ca="1">IFERROR(VLOOKUP(BB488,OFFSET(abbreviation[],0,ColumnLanguage),ColumnAbbreviation,FALSE),"")</f>
        <v/>
      </c>
      <c r="CI488" s="21" t="str">
        <f ca="1">IFERROR(VLOOKUP(BD488,OFFSET(abbreviation[],0,ColumnLanguage),ColumnAbbreviation,FALSE),"")</f>
        <v/>
      </c>
      <c r="CJ488" s="21" t="str">
        <f ca="1">IFERROR(VLOOKUP(BF488,OFFSET(abbreviation[],0,ColumnLanguage),ColumnAbbreviation,FALSE),"")</f>
        <v/>
      </c>
      <c r="CK488" s="21" t="str">
        <f t="shared" ca="1" si="53"/>
        <v/>
      </c>
      <c r="CL488" s="21" t="str">
        <f t="shared" si="54"/>
        <v/>
      </c>
      <c r="CM488" s="52"/>
      <c r="CN488" s="57" t="str">
        <f t="shared" si="55"/>
        <v/>
      </c>
    </row>
    <row r="489" spans="14:92" x14ac:dyDescent="0.25">
      <c r="N489" s="58"/>
      <c r="P489" s="60"/>
      <c r="Q489" s="13"/>
      <c r="V489" s="60"/>
      <c r="X489" s="61"/>
      <c r="AB489" s="60"/>
      <c r="AN489" s="54"/>
      <c r="AS489" s="15"/>
      <c r="BH489" s="52"/>
      <c r="BI489" s="21" t="str">
        <f ca="1">IFERROR(VLOOKUP(C489,OFFSET(abbreviation[],0,ColumnLanguage),ColumnAbbreviation,FALSE),"")</f>
        <v/>
      </c>
      <c r="BJ489" s="21" t="str">
        <f ca="1">IFERROR(VLOOKUP(E489,OFFSET(abbreviation[],0,ColumnLanguage),ColumnAbbreviation,FALSE),"")</f>
        <v/>
      </c>
      <c r="BK489" s="21" t="str">
        <f ca="1">IFERROR(VLOOKUP(G489,OFFSET(abbreviation[],0,ColumnLanguage),ColumnAbbreviation,FALSE),"")</f>
        <v/>
      </c>
      <c r="BL489" s="21" t="str">
        <f ca="1">IFERROR(VLOOKUP(I489,OFFSET(abbreviation[],0,ColumnLanguage),ColumnAbbreviation,FALSE),"")</f>
        <v/>
      </c>
      <c r="BM489" s="21" t="str">
        <f ca="1">IFERROR(VLOOKUP(K489,OFFSET(abbreviation[],0,ColumnLanguage),ColumnAbbreviation,FALSE),"")</f>
        <v/>
      </c>
      <c r="BN489" s="21" t="str">
        <f t="shared" ca="1" si="49"/>
        <v/>
      </c>
      <c r="BO489" s="21" t="str">
        <f ca="1">IFERROR(VLOOKUP(N489,OFFSET(abbreviation[],0,ColumnLanguage),ColumnAbbreviation,FALSE),"")</f>
        <v/>
      </c>
      <c r="BP489" s="21" t="str">
        <f ca="1">IFERROR(VLOOKUP(P489,OFFSET(abbreviation[],0,ColumnLanguage),ColumnAbbreviation,FALSE),"")</f>
        <v/>
      </c>
      <c r="BQ489" s="21" t="str">
        <f ca="1">IFERROR(VLOOKUP(T489,OFFSET(abbreviation[],0,ColumnLanguage),ColumnAbbreviation,FALSE),"")</f>
        <v/>
      </c>
      <c r="BR489" s="21" t="str">
        <f ca="1">IFERROR(VLOOKUP(V489,OFFSET(abbreviation[],0,ColumnLanguage),ColumnAbbreviation,FALSE),"")</f>
        <v/>
      </c>
      <c r="BS489" s="21" t="str">
        <f ca="1">IFERROR(VLOOKUP(Z489,OFFSET(abbreviation[],0,ColumnLanguage),ColumnAbbreviation,FALSE),"")</f>
        <v/>
      </c>
      <c r="BT489" s="21" t="str">
        <f ca="1">IFERROR(VLOOKUP(AB489,OFFSET(abbreviation[],0,ColumnLanguage),ColumnAbbreviation,FALSE),"")</f>
        <v/>
      </c>
      <c r="BU489" s="21" t="str">
        <f t="shared" ca="1" si="50"/>
        <v>__</v>
      </c>
      <c r="BV489" s="21" t="str">
        <f ca="1">IFERROR(VLOOKUP(AF489,OFFSET(abbreviation[],0,ColumnLanguage),ColumnAbbreviation,FALSE),"")</f>
        <v/>
      </c>
      <c r="BW489" s="21" t="str">
        <f ca="1">IFERROR(VLOOKUP(AH489,OFFSET(abbreviation[],0,ColumnLanguage),ColumnAbbreviation,FALSE),"")</f>
        <v/>
      </c>
      <c r="BX489" s="21" t="str">
        <f ca="1">IFERROR(VLOOKUP(AJ489,OFFSET(abbreviation[],0,ColumnLanguage),ColumnAbbreviation,FALSE),"")</f>
        <v/>
      </c>
      <c r="BY489" s="21" t="str">
        <f ca="1">IFERROR(VLOOKUP(AL489,OFFSET(abbreviation[],0,ColumnLanguage),ColumnAbbreviation,FALSE),"")</f>
        <v/>
      </c>
      <c r="BZ489" s="21" t="str">
        <f t="shared" ca="1" si="51"/>
        <v>_</v>
      </c>
      <c r="CA489" s="21" t="str">
        <f ca="1">IFERROR(VLOOKUP(AP489,OFFSET(abbreviation[],0,ColumnLanguage),ColumnAbbreviation,FALSE),"")</f>
        <v/>
      </c>
      <c r="CB489" s="21" t="str">
        <f ca="1">IFERROR(VLOOKUP(AR489,OFFSET(abbreviation[],0,ColumnLanguage),ColumnAbbreviation,FALSE),"")</f>
        <v/>
      </c>
      <c r="CC489" s="21" t="str">
        <f ca="1">IFERROR(VLOOKUP(AT489,OFFSET(abbreviation[],0,ColumnLanguage),ColumnAbbreviation,FALSE),"")</f>
        <v/>
      </c>
      <c r="CD489" s="21" t="str">
        <f ca="1">IFERROR(VLOOKUP(AV489,OFFSET(abbreviation[],0,ColumnLanguage),ColumnAbbreviation,FALSE),"")</f>
        <v/>
      </c>
      <c r="CE489" s="21" t="str">
        <f t="shared" ca="1" si="52"/>
        <v>__</v>
      </c>
      <c r="CF489" s="21" t="str">
        <f ca="1">IFERROR(VLOOKUP(AX489,OFFSET(abbreviation[],0,ColumnLanguage),ColumnAbbreviation,FALSE),"")</f>
        <v/>
      </c>
      <c r="CG489" s="21" t="str">
        <f ca="1">IFERROR(VLOOKUP(AZ489,OFFSET(abbreviation[],0,ColumnLanguage),ColumnAbbreviation,FALSE),"")</f>
        <v/>
      </c>
      <c r="CH489" s="21" t="str">
        <f ca="1">IFERROR(VLOOKUP(BB489,OFFSET(abbreviation[],0,ColumnLanguage),ColumnAbbreviation,FALSE),"")</f>
        <v/>
      </c>
      <c r="CI489" s="21" t="str">
        <f ca="1">IFERROR(VLOOKUP(BD489,OFFSET(abbreviation[],0,ColumnLanguage),ColumnAbbreviation,FALSE),"")</f>
        <v/>
      </c>
      <c r="CJ489" s="21" t="str">
        <f ca="1">IFERROR(VLOOKUP(BF489,OFFSET(abbreviation[],0,ColumnLanguage),ColumnAbbreviation,FALSE),"")</f>
        <v/>
      </c>
      <c r="CK489" s="21" t="str">
        <f t="shared" ca="1" si="53"/>
        <v/>
      </c>
      <c r="CL489" s="21" t="str">
        <f t="shared" si="54"/>
        <v/>
      </c>
      <c r="CM489" s="52"/>
      <c r="CN489" s="57" t="str">
        <f t="shared" si="55"/>
        <v/>
      </c>
    </row>
    <row r="490" spans="14:92" x14ac:dyDescent="0.25">
      <c r="N490" s="58"/>
      <c r="P490" s="60"/>
      <c r="Q490" s="13"/>
      <c r="V490" s="60"/>
      <c r="X490" s="61"/>
      <c r="AB490" s="60"/>
      <c r="AN490" s="54"/>
      <c r="AS490" s="15"/>
      <c r="BH490" s="52"/>
      <c r="BI490" s="21" t="str">
        <f ca="1">IFERROR(VLOOKUP(C490,OFFSET(abbreviation[],0,ColumnLanguage),ColumnAbbreviation,FALSE),"")</f>
        <v/>
      </c>
      <c r="BJ490" s="21" t="str">
        <f ca="1">IFERROR(VLOOKUP(E490,OFFSET(abbreviation[],0,ColumnLanguage),ColumnAbbreviation,FALSE),"")</f>
        <v/>
      </c>
      <c r="BK490" s="21" t="str">
        <f ca="1">IFERROR(VLOOKUP(G490,OFFSET(abbreviation[],0,ColumnLanguage),ColumnAbbreviation,FALSE),"")</f>
        <v/>
      </c>
      <c r="BL490" s="21" t="str">
        <f ca="1">IFERROR(VLOOKUP(I490,OFFSET(abbreviation[],0,ColumnLanguage),ColumnAbbreviation,FALSE),"")</f>
        <v/>
      </c>
      <c r="BM490" s="21" t="str">
        <f ca="1">IFERROR(VLOOKUP(K490,OFFSET(abbreviation[],0,ColumnLanguage),ColumnAbbreviation,FALSE),"")</f>
        <v/>
      </c>
      <c r="BN490" s="21" t="str">
        <f t="shared" ca="1" si="49"/>
        <v/>
      </c>
      <c r="BO490" s="21" t="str">
        <f ca="1">IFERROR(VLOOKUP(N490,OFFSET(abbreviation[],0,ColumnLanguage),ColumnAbbreviation,FALSE),"")</f>
        <v/>
      </c>
      <c r="BP490" s="21" t="str">
        <f ca="1">IFERROR(VLOOKUP(P490,OFFSET(abbreviation[],0,ColumnLanguage),ColumnAbbreviation,FALSE),"")</f>
        <v/>
      </c>
      <c r="BQ490" s="21" t="str">
        <f ca="1">IFERROR(VLOOKUP(T490,OFFSET(abbreviation[],0,ColumnLanguage),ColumnAbbreviation,FALSE),"")</f>
        <v/>
      </c>
      <c r="BR490" s="21" t="str">
        <f ca="1">IFERROR(VLOOKUP(V490,OFFSET(abbreviation[],0,ColumnLanguage),ColumnAbbreviation,FALSE),"")</f>
        <v/>
      </c>
      <c r="BS490" s="21" t="str">
        <f ca="1">IFERROR(VLOOKUP(Z490,OFFSET(abbreviation[],0,ColumnLanguage),ColumnAbbreviation,FALSE),"")</f>
        <v/>
      </c>
      <c r="BT490" s="21" t="str">
        <f ca="1">IFERROR(VLOOKUP(AB490,OFFSET(abbreviation[],0,ColumnLanguage),ColumnAbbreviation,FALSE),"")</f>
        <v/>
      </c>
      <c r="BU490" s="21" t="str">
        <f t="shared" ca="1" si="50"/>
        <v>__</v>
      </c>
      <c r="BV490" s="21" t="str">
        <f ca="1">IFERROR(VLOOKUP(AF490,OFFSET(abbreviation[],0,ColumnLanguage),ColumnAbbreviation,FALSE),"")</f>
        <v/>
      </c>
      <c r="BW490" s="21" t="str">
        <f ca="1">IFERROR(VLOOKUP(AH490,OFFSET(abbreviation[],0,ColumnLanguage),ColumnAbbreviation,FALSE),"")</f>
        <v/>
      </c>
      <c r="BX490" s="21" t="str">
        <f ca="1">IFERROR(VLOOKUP(AJ490,OFFSET(abbreviation[],0,ColumnLanguage),ColumnAbbreviation,FALSE),"")</f>
        <v/>
      </c>
      <c r="BY490" s="21" t="str">
        <f ca="1">IFERROR(VLOOKUP(AL490,OFFSET(abbreviation[],0,ColumnLanguage),ColumnAbbreviation,FALSE),"")</f>
        <v/>
      </c>
      <c r="BZ490" s="21" t="str">
        <f t="shared" ca="1" si="51"/>
        <v>_</v>
      </c>
      <c r="CA490" s="21" t="str">
        <f ca="1">IFERROR(VLOOKUP(AP490,OFFSET(abbreviation[],0,ColumnLanguage),ColumnAbbreviation,FALSE),"")</f>
        <v/>
      </c>
      <c r="CB490" s="21" t="str">
        <f ca="1">IFERROR(VLOOKUP(AR490,OFFSET(abbreviation[],0,ColumnLanguage),ColumnAbbreviation,FALSE),"")</f>
        <v/>
      </c>
      <c r="CC490" s="21" t="str">
        <f ca="1">IFERROR(VLOOKUP(AT490,OFFSET(abbreviation[],0,ColumnLanguage),ColumnAbbreviation,FALSE),"")</f>
        <v/>
      </c>
      <c r="CD490" s="21" t="str">
        <f ca="1">IFERROR(VLOOKUP(AV490,OFFSET(abbreviation[],0,ColumnLanguage),ColumnAbbreviation,FALSE),"")</f>
        <v/>
      </c>
      <c r="CE490" s="21" t="str">
        <f t="shared" ca="1" si="52"/>
        <v>__</v>
      </c>
      <c r="CF490" s="21" t="str">
        <f ca="1">IFERROR(VLOOKUP(AX490,OFFSET(abbreviation[],0,ColumnLanguage),ColumnAbbreviation,FALSE),"")</f>
        <v/>
      </c>
      <c r="CG490" s="21" t="str">
        <f ca="1">IFERROR(VLOOKUP(AZ490,OFFSET(abbreviation[],0,ColumnLanguage),ColumnAbbreviation,FALSE),"")</f>
        <v/>
      </c>
      <c r="CH490" s="21" t="str">
        <f ca="1">IFERROR(VLOOKUP(BB490,OFFSET(abbreviation[],0,ColumnLanguage),ColumnAbbreviation,FALSE),"")</f>
        <v/>
      </c>
      <c r="CI490" s="21" t="str">
        <f ca="1">IFERROR(VLOOKUP(BD490,OFFSET(abbreviation[],0,ColumnLanguage),ColumnAbbreviation,FALSE),"")</f>
        <v/>
      </c>
      <c r="CJ490" s="21" t="str">
        <f ca="1">IFERROR(VLOOKUP(BF490,OFFSET(abbreviation[],0,ColumnLanguage),ColumnAbbreviation,FALSE),"")</f>
        <v/>
      </c>
      <c r="CK490" s="21" t="str">
        <f t="shared" ca="1" si="53"/>
        <v/>
      </c>
      <c r="CL490" s="21" t="str">
        <f t="shared" si="54"/>
        <v/>
      </c>
      <c r="CM490" s="52"/>
      <c r="CN490" s="57" t="str">
        <f t="shared" si="55"/>
        <v/>
      </c>
    </row>
    <row r="491" spans="14:92" x14ac:dyDescent="0.25">
      <c r="N491" s="58"/>
      <c r="P491" s="60"/>
      <c r="Q491" s="13"/>
      <c r="V491" s="60"/>
      <c r="X491" s="61"/>
      <c r="AB491" s="60"/>
      <c r="AN491" s="54"/>
      <c r="AS491" s="15"/>
      <c r="BH491" s="52"/>
      <c r="BI491" s="21" t="str">
        <f ca="1">IFERROR(VLOOKUP(C491,OFFSET(abbreviation[],0,ColumnLanguage),ColumnAbbreviation,FALSE),"")</f>
        <v/>
      </c>
      <c r="BJ491" s="21" t="str">
        <f ca="1">IFERROR(VLOOKUP(E491,OFFSET(abbreviation[],0,ColumnLanguage),ColumnAbbreviation,FALSE),"")</f>
        <v/>
      </c>
      <c r="BK491" s="21" t="str">
        <f ca="1">IFERROR(VLOOKUP(G491,OFFSET(abbreviation[],0,ColumnLanguage),ColumnAbbreviation,FALSE),"")</f>
        <v/>
      </c>
      <c r="BL491" s="21" t="str">
        <f ca="1">IFERROR(VLOOKUP(I491,OFFSET(abbreviation[],0,ColumnLanguage),ColumnAbbreviation,FALSE),"")</f>
        <v/>
      </c>
      <c r="BM491" s="21" t="str">
        <f ca="1">IFERROR(VLOOKUP(K491,OFFSET(abbreviation[],0,ColumnLanguage),ColumnAbbreviation,FALSE),"")</f>
        <v/>
      </c>
      <c r="BN491" s="21" t="str">
        <f t="shared" ca="1" si="49"/>
        <v/>
      </c>
      <c r="BO491" s="21" t="str">
        <f ca="1">IFERROR(VLOOKUP(N491,OFFSET(abbreviation[],0,ColumnLanguage),ColumnAbbreviation,FALSE),"")</f>
        <v/>
      </c>
      <c r="BP491" s="21" t="str">
        <f ca="1">IFERROR(VLOOKUP(P491,OFFSET(abbreviation[],0,ColumnLanguage),ColumnAbbreviation,FALSE),"")</f>
        <v/>
      </c>
      <c r="BQ491" s="21" t="str">
        <f ca="1">IFERROR(VLOOKUP(T491,OFFSET(abbreviation[],0,ColumnLanguage),ColumnAbbreviation,FALSE),"")</f>
        <v/>
      </c>
      <c r="BR491" s="21" t="str">
        <f ca="1">IFERROR(VLOOKUP(V491,OFFSET(abbreviation[],0,ColumnLanguage),ColumnAbbreviation,FALSE),"")</f>
        <v/>
      </c>
      <c r="BS491" s="21" t="str">
        <f ca="1">IFERROR(VLOOKUP(Z491,OFFSET(abbreviation[],0,ColumnLanguage),ColumnAbbreviation,FALSE),"")</f>
        <v/>
      </c>
      <c r="BT491" s="21" t="str">
        <f ca="1">IFERROR(VLOOKUP(AB491,OFFSET(abbreviation[],0,ColumnLanguage),ColumnAbbreviation,FALSE),"")</f>
        <v/>
      </c>
      <c r="BU491" s="21" t="str">
        <f t="shared" ca="1" si="50"/>
        <v>__</v>
      </c>
      <c r="BV491" s="21" t="str">
        <f ca="1">IFERROR(VLOOKUP(AF491,OFFSET(abbreviation[],0,ColumnLanguage),ColumnAbbreviation,FALSE),"")</f>
        <v/>
      </c>
      <c r="BW491" s="21" t="str">
        <f ca="1">IFERROR(VLOOKUP(AH491,OFFSET(abbreviation[],0,ColumnLanguage),ColumnAbbreviation,FALSE),"")</f>
        <v/>
      </c>
      <c r="BX491" s="21" t="str">
        <f ca="1">IFERROR(VLOOKUP(AJ491,OFFSET(abbreviation[],0,ColumnLanguage),ColumnAbbreviation,FALSE),"")</f>
        <v/>
      </c>
      <c r="BY491" s="21" t="str">
        <f ca="1">IFERROR(VLOOKUP(AL491,OFFSET(abbreviation[],0,ColumnLanguage),ColumnAbbreviation,FALSE),"")</f>
        <v/>
      </c>
      <c r="BZ491" s="21" t="str">
        <f t="shared" ca="1" si="51"/>
        <v>_</v>
      </c>
      <c r="CA491" s="21" t="str">
        <f ca="1">IFERROR(VLOOKUP(AP491,OFFSET(abbreviation[],0,ColumnLanguage),ColumnAbbreviation,FALSE),"")</f>
        <v/>
      </c>
      <c r="CB491" s="21" t="str">
        <f ca="1">IFERROR(VLOOKUP(AR491,OFFSET(abbreviation[],0,ColumnLanguage),ColumnAbbreviation,FALSE),"")</f>
        <v/>
      </c>
      <c r="CC491" s="21" t="str">
        <f ca="1">IFERROR(VLOOKUP(AT491,OFFSET(abbreviation[],0,ColumnLanguage),ColumnAbbreviation,FALSE),"")</f>
        <v/>
      </c>
      <c r="CD491" s="21" t="str">
        <f ca="1">IFERROR(VLOOKUP(AV491,OFFSET(abbreviation[],0,ColumnLanguage),ColumnAbbreviation,FALSE),"")</f>
        <v/>
      </c>
      <c r="CE491" s="21" t="str">
        <f t="shared" ca="1" si="52"/>
        <v>__</v>
      </c>
      <c r="CF491" s="21" t="str">
        <f ca="1">IFERROR(VLOOKUP(AX491,OFFSET(abbreviation[],0,ColumnLanguage),ColumnAbbreviation,FALSE),"")</f>
        <v/>
      </c>
      <c r="CG491" s="21" t="str">
        <f ca="1">IFERROR(VLOOKUP(AZ491,OFFSET(abbreviation[],0,ColumnLanguage),ColumnAbbreviation,FALSE),"")</f>
        <v/>
      </c>
      <c r="CH491" s="21" t="str">
        <f ca="1">IFERROR(VLOOKUP(BB491,OFFSET(abbreviation[],0,ColumnLanguage),ColumnAbbreviation,FALSE),"")</f>
        <v/>
      </c>
      <c r="CI491" s="21" t="str">
        <f ca="1">IFERROR(VLOOKUP(BD491,OFFSET(abbreviation[],0,ColumnLanguage),ColumnAbbreviation,FALSE),"")</f>
        <v/>
      </c>
      <c r="CJ491" s="21" t="str">
        <f ca="1">IFERROR(VLOOKUP(BF491,OFFSET(abbreviation[],0,ColumnLanguage),ColumnAbbreviation,FALSE),"")</f>
        <v/>
      </c>
      <c r="CK491" s="21" t="str">
        <f t="shared" ca="1" si="53"/>
        <v/>
      </c>
      <c r="CL491" s="21" t="str">
        <f t="shared" si="54"/>
        <v/>
      </c>
      <c r="CM491" s="52"/>
      <c r="CN491" s="57" t="str">
        <f t="shared" si="55"/>
        <v/>
      </c>
    </row>
    <row r="492" spans="14:92" x14ac:dyDescent="0.25">
      <c r="N492" s="58"/>
      <c r="P492" s="60"/>
      <c r="Q492" s="13"/>
      <c r="V492" s="60"/>
      <c r="X492" s="61"/>
      <c r="AB492" s="60"/>
      <c r="AN492" s="54"/>
      <c r="AS492" s="15"/>
      <c r="BH492" s="52"/>
      <c r="BI492" s="21" t="str">
        <f ca="1">IFERROR(VLOOKUP(C492,OFFSET(abbreviation[],0,ColumnLanguage),ColumnAbbreviation,FALSE),"")</f>
        <v/>
      </c>
      <c r="BJ492" s="21" t="str">
        <f ca="1">IFERROR(VLOOKUP(E492,OFFSET(abbreviation[],0,ColumnLanguage),ColumnAbbreviation,FALSE),"")</f>
        <v/>
      </c>
      <c r="BK492" s="21" t="str">
        <f ca="1">IFERROR(VLOOKUP(G492,OFFSET(abbreviation[],0,ColumnLanguage),ColumnAbbreviation,FALSE),"")</f>
        <v/>
      </c>
      <c r="BL492" s="21" t="str">
        <f ca="1">IFERROR(VLOOKUP(I492,OFFSET(abbreviation[],0,ColumnLanguage),ColumnAbbreviation,FALSE),"")</f>
        <v/>
      </c>
      <c r="BM492" s="21" t="str">
        <f ca="1">IFERROR(VLOOKUP(K492,OFFSET(abbreviation[],0,ColumnLanguage),ColumnAbbreviation,FALSE),"")</f>
        <v/>
      </c>
      <c r="BN492" s="21" t="str">
        <f t="shared" ca="1" si="49"/>
        <v/>
      </c>
      <c r="BO492" s="21" t="str">
        <f ca="1">IFERROR(VLOOKUP(N492,OFFSET(abbreviation[],0,ColumnLanguage),ColumnAbbreviation,FALSE),"")</f>
        <v/>
      </c>
      <c r="BP492" s="21" t="str">
        <f ca="1">IFERROR(VLOOKUP(P492,OFFSET(abbreviation[],0,ColumnLanguage),ColumnAbbreviation,FALSE),"")</f>
        <v/>
      </c>
      <c r="BQ492" s="21" t="str">
        <f ca="1">IFERROR(VLOOKUP(T492,OFFSET(abbreviation[],0,ColumnLanguage),ColumnAbbreviation,FALSE),"")</f>
        <v/>
      </c>
      <c r="BR492" s="21" t="str">
        <f ca="1">IFERROR(VLOOKUP(V492,OFFSET(abbreviation[],0,ColumnLanguage),ColumnAbbreviation,FALSE),"")</f>
        <v/>
      </c>
      <c r="BS492" s="21" t="str">
        <f ca="1">IFERROR(VLOOKUP(Z492,OFFSET(abbreviation[],0,ColumnLanguage),ColumnAbbreviation,FALSE),"")</f>
        <v/>
      </c>
      <c r="BT492" s="21" t="str">
        <f ca="1">IFERROR(VLOOKUP(AB492,OFFSET(abbreviation[],0,ColumnLanguage),ColumnAbbreviation,FALSE),"")</f>
        <v/>
      </c>
      <c r="BU492" s="21" t="str">
        <f t="shared" ca="1" si="50"/>
        <v>__</v>
      </c>
      <c r="BV492" s="21" t="str">
        <f ca="1">IFERROR(VLOOKUP(AF492,OFFSET(abbreviation[],0,ColumnLanguage),ColumnAbbreviation,FALSE),"")</f>
        <v/>
      </c>
      <c r="BW492" s="21" t="str">
        <f ca="1">IFERROR(VLOOKUP(AH492,OFFSET(abbreviation[],0,ColumnLanguage),ColumnAbbreviation,FALSE),"")</f>
        <v/>
      </c>
      <c r="BX492" s="21" t="str">
        <f ca="1">IFERROR(VLOOKUP(AJ492,OFFSET(abbreviation[],0,ColumnLanguage),ColumnAbbreviation,FALSE),"")</f>
        <v/>
      </c>
      <c r="BY492" s="21" t="str">
        <f ca="1">IFERROR(VLOOKUP(AL492,OFFSET(abbreviation[],0,ColumnLanguage),ColumnAbbreviation,FALSE),"")</f>
        <v/>
      </c>
      <c r="BZ492" s="21" t="str">
        <f t="shared" ca="1" si="51"/>
        <v>_</v>
      </c>
      <c r="CA492" s="21" t="str">
        <f ca="1">IFERROR(VLOOKUP(AP492,OFFSET(abbreviation[],0,ColumnLanguage),ColumnAbbreviation,FALSE),"")</f>
        <v/>
      </c>
      <c r="CB492" s="21" t="str">
        <f ca="1">IFERROR(VLOOKUP(AR492,OFFSET(abbreviation[],0,ColumnLanguage),ColumnAbbreviation,FALSE),"")</f>
        <v/>
      </c>
      <c r="CC492" s="21" t="str">
        <f ca="1">IFERROR(VLOOKUP(AT492,OFFSET(abbreviation[],0,ColumnLanguage),ColumnAbbreviation,FALSE),"")</f>
        <v/>
      </c>
      <c r="CD492" s="21" t="str">
        <f ca="1">IFERROR(VLOOKUP(AV492,OFFSET(abbreviation[],0,ColumnLanguage),ColumnAbbreviation,FALSE),"")</f>
        <v/>
      </c>
      <c r="CE492" s="21" t="str">
        <f t="shared" ca="1" si="52"/>
        <v>__</v>
      </c>
      <c r="CF492" s="21" t="str">
        <f ca="1">IFERROR(VLOOKUP(AX492,OFFSET(abbreviation[],0,ColumnLanguage),ColumnAbbreviation,FALSE),"")</f>
        <v/>
      </c>
      <c r="CG492" s="21" t="str">
        <f ca="1">IFERROR(VLOOKUP(AZ492,OFFSET(abbreviation[],0,ColumnLanguage),ColumnAbbreviation,FALSE),"")</f>
        <v/>
      </c>
      <c r="CH492" s="21" t="str">
        <f ca="1">IFERROR(VLOOKUP(BB492,OFFSET(abbreviation[],0,ColumnLanguage),ColumnAbbreviation,FALSE),"")</f>
        <v/>
      </c>
      <c r="CI492" s="21" t="str">
        <f ca="1">IFERROR(VLOOKUP(BD492,OFFSET(abbreviation[],0,ColumnLanguage),ColumnAbbreviation,FALSE),"")</f>
        <v/>
      </c>
      <c r="CJ492" s="21" t="str">
        <f ca="1">IFERROR(VLOOKUP(BF492,OFFSET(abbreviation[],0,ColumnLanguage),ColumnAbbreviation,FALSE),"")</f>
        <v/>
      </c>
      <c r="CK492" s="21" t="str">
        <f t="shared" ca="1" si="53"/>
        <v/>
      </c>
      <c r="CL492" s="21" t="str">
        <f t="shared" si="54"/>
        <v/>
      </c>
      <c r="CM492" s="52"/>
      <c r="CN492" s="57" t="str">
        <f t="shared" si="55"/>
        <v/>
      </c>
    </row>
    <row r="493" spans="14:92" x14ac:dyDescent="0.25">
      <c r="N493" s="58"/>
      <c r="P493" s="60"/>
      <c r="Q493" s="13"/>
      <c r="V493" s="60"/>
      <c r="X493" s="61"/>
      <c r="AB493" s="60"/>
      <c r="AN493" s="54"/>
      <c r="AS493" s="15"/>
      <c r="BH493" s="52"/>
      <c r="BI493" s="21" t="str">
        <f ca="1">IFERROR(VLOOKUP(C493,OFFSET(abbreviation[],0,ColumnLanguage),ColumnAbbreviation,FALSE),"")</f>
        <v/>
      </c>
      <c r="BJ493" s="21" t="str">
        <f ca="1">IFERROR(VLOOKUP(E493,OFFSET(abbreviation[],0,ColumnLanguage),ColumnAbbreviation,FALSE),"")</f>
        <v/>
      </c>
      <c r="BK493" s="21" t="str">
        <f ca="1">IFERROR(VLOOKUP(G493,OFFSET(abbreviation[],0,ColumnLanguage),ColumnAbbreviation,FALSE),"")</f>
        <v/>
      </c>
      <c r="BL493" s="21" t="str">
        <f ca="1">IFERROR(VLOOKUP(I493,OFFSET(abbreviation[],0,ColumnLanguage),ColumnAbbreviation,FALSE),"")</f>
        <v/>
      </c>
      <c r="BM493" s="21" t="str">
        <f ca="1">IFERROR(VLOOKUP(K493,OFFSET(abbreviation[],0,ColumnLanguage),ColumnAbbreviation,FALSE),"")</f>
        <v/>
      </c>
      <c r="BN493" s="21" t="str">
        <f t="shared" ca="1" si="49"/>
        <v/>
      </c>
      <c r="BO493" s="21" t="str">
        <f ca="1">IFERROR(VLOOKUP(N493,OFFSET(abbreviation[],0,ColumnLanguage),ColumnAbbreviation,FALSE),"")</f>
        <v/>
      </c>
      <c r="BP493" s="21" t="str">
        <f ca="1">IFERROR(VLOOKUP(P493,OFFSET(abbreviation[],0,ColumnLanguage),ColumnAbbreviation,FALSE),"")</f>
        <v/>
      </c>
      <c r="BQ493" s="21" t="str">
        <f ca="1">IFERROR(VLOOKUP(T493,OFFSET(abbreviation[],0,ColumnLanguage),ColumnAbbreviation,FALSE),"")</f>
        <v/>
      </c>
      <c r="BR493" s="21" t="str">
        <f ca="1">IFERROR(VLOOKUP(V493,OFFSET(abbreviation[],0,ColumnLanguage),ColumnAbbreviation,FALSE),"")</f>
        <v/>
      </c>
      <c r="BS493" s="21" t="str">
        <f ca="1">IFERROR(VLOOKUP(Z493,OFFSET(abbreviation[],0,ColumnLanguage),ColumnAbbreviation,FALSE),"")</f>
        <v/>
      </c>
      <c r="BT493" s="21" t="str">
        <f ca="1">IFERROR(VLOOKUP(AB493,OFFSET(abbreviation[],0,ColumnLanguage),ColumnAbbreviation,FALSE),"")</f>
        <v/>
      </c>
      <c r="BU493" s="21" t="str">
        <f t="shared" ca="1" si="50"/>
        <v>__</v>
      </c>
      <c r="BV493" s="21" t="str">
        <f ca="1">IFERROR(VLOOKUP(AF493,OFFSET(abbreviation[],0,ColumnLanguage),ColumnAbbreviation,FALSE),"")</f>
        <v/>
      </c>
      <c r="BW493" s="21" t="str">
        <f ca="1">IFERROR(VLOOKUP(AH493,OFFSET(abbreviation[],0,ColumnLanguage),ColumnAbbreviation,FALSE),"")</f>
        <v/>
      </c>
      <c r="BX493" s="21" t="str">
        <f ca="1">IFERROR(VLOOKUP(AJ493,OFFSET(abbreviation[],0,ColumnLanguage),ColumnAbbreviation,FALSE),"")</f>
        <v/>
      </c>
      <c r="BY493" s="21" t="str">
        <f ca="1">IFERROR(VLOOKUP(AL493,OFFSET(abbreviation[],0,ColumnLanguage),ColumnAbbreviation,FALSE),"")</f>
        <v/>
      </c>
      <c r="BZ493" s="21" t="str">
        <f t="shared" ca="1" si="51"/>
        <v>_</v>
      </c>
      <c r="CA493" s="21" t="str">
        <f ca="1">IFERROR(VLOOKUP(AP493,OFFSET(abbreviation[],0,ColumnLanguage),ColumnAbbreviation,FALSE),"")</f>
        <v/>
      </c>
      <c r="CB493" s="21" t="str">
        <f ca="1">IFERROR(VLOOKUP(AR493,OFFSET(abbreviation[],0,ColumnLanguage),ColumnAbbreviation,FALSE),"")</f>
        <v/>
      </c>
      <c r="CC493" s="21" t="str">
        <f ca="1">IFERROR(VLOOKUP(AT493,OFFSET(abbreviation[],0,ColumnLanguage),ColumnAbbreviation,FALSE),"")</f>
        <v/>
      </c>
      <c r="CD493" s="21" t="str">
        <f ca="1">IFERROR(VLOOKUP(AV493,OFFSET(abbreviation[],0,ColumnLanguage),ColumnAbbreviation,FALSE),"")</f>
        <v/>
      </c>
      <c r="CE493" s="21" t="str">
        <f t="shared" ca="1" si="52"/>
        <v>__</v>
      </c>
      <c r="CF493" s="21" t="str">
        <f ca="1">IFERROR(VLOOKUP(AX493,OFFSET(abbreviation[],0,ColumnLanguage),ColumnAbbreviation,FALSE),"")</f>
        <v/>
      </c>
      <c r="CG493" s="21" t="str">
        <f ca="1">IFERROR(VLOOKUP(AZ493,OFFSET(abbreviation[],0,ColumnLanguage),ColumnAbbreviation,FALSE),"")</f>
        <v/>
      </c>
      <c r="CH493" s="21" t="str">
        <f ca="1">IFERROR(VLOOKUP(BB493,OFFSET(abbreviation[],0,ColumnLanguage),ColumnAbbreviation,FALSE),"")</f>
        <v/>
      </c>
      <c r="CI493" s="21" t="str">
        <f ca="1">IFERROR(VLOOKUP(BD493,OFFSET(abbreviation[],0,ColumnLanguage),ColumnAbbreviation,FALSE),"")</f>
        <v/>
      </c>
      <c r="CJ493" s="21" t="str">
        <f ca="1">IFERROR(VLOOKUP(BF493,OFFSET(abbreviation[],0,ColumnLanguage),ColumnAbbreviation,FALSE),"")</f>
        <v/>
      </c>
      <c r="CK493" s="21" t="str">
        <f t="shared" ca="1" si="53"/>
        <v/>
      </c>
      <c r="CL493" s="21" t="str">
        <f t="shared" si="54"/>
        <v/>
      </c>
      <c r="CM493" s="52"/>
      <c r="CN493" s="57" t="str">
        <f t="shared" si="55"/>
        <v/>
      </c>
    </row>
    <row r="494" spans="14:92" x14ac:dyDescent="0.25">
      <c r="N494" s="58"/>
      <c r="P494" s="60"/>
      <c r="Q494" s="13"/>
      <c r="V494" s="60"/>
      <c r="X494" s="61"/>
      <c r="AB494" s="60"/>
      <c r="AN494" s="54"/>
      <c r="AS494" s="15"/>
      <c r="BH494" s="52"/>
      <c r="BI494" s="21" t="str">
        <f ca="1">IFERROR(VLOOKUP(C494,OFFSET(abbreviation[],0,ColumnLanguage),ColumnAbbreviation,FALSE),"")</f>
        <v/>
      </c>
      <c r="BJ494" s="21" t="str">
        <f ca="1">IFERROR(VLOOKUP(E494,OFFSET(abbreviation[],0,ColumnLanguage),ColumnAbbreviation,FALSE),"")</f>
        <v/>
      </c>
      <c r="BK494" s="21" t="str">
        <f ca="1">IFERROR(VLOOKUP(G494,OFFSET(abbreviation[],0,ColumnLanguage),ColumnAbbreviation,FALSE),"")</f>
        <v/>
      </c>
      <c r="BL494" s="21" t="str">
        <f ca="1">IFERROR(VLOOKUP(I494,OFFSET(abbreviation[],0,ColumnLanguage),ColumnAbbreviation,FALSE),"")</f>
        <v/>
      </c>
      <c r="BM494" s="21" t="str">
        <f ca="1">IFERROR(VLOOKUP(K494,OFFSET(abbreviation[],0,ColumnLanguage),ColumnAbbreviation,FALSE),"")</f>
        <v/>
      </c>
      <c r="BN494" s="21" t="str">
        <f t="shared" ca="1" si="49"/>
        <v/>
      </c>
      <c r="BO494" s="21" t="str">
        <f ca="1">IFERROR(VLOOKUP(N494,OFFSET(abbreviation[],0,ColumnLanguage),ColumnAbbreviation,FALSE),"")</f>
        <v/>
      </c>
      <c r="BP494" s="21" t="str">
        <f ca="1">IFERROR(VLOOKUP(P494,OFFSET(abbreviation[],0,ColumnLanguage),ColumnAbbreviation,FALSE),"")</f>
        <v/>
      </c>
      <c r="BQ494" s="21" t="str">
        <f ca="1">IFERROR(VLOOKUP(T494,OFFSET(abbreviation[],0,ColumnLanguage),ColumnAbbreviation,FALSE),"")</f>
        <v/>
      </c>
      <c r="BR494" s="21" t="str">
        <f ca="1">IFERROR(VLOOKUP(V494,OFFSET(abbreviation[],0,ColumnLanguage),ColumnAbbreviation,FALSE),"")</f>
        <v/>
      </c>
      <c r="BS494" s="21" t="str">
        <f ca="1">IFERROR(VLOOKUP(Z494,OFFSET(abbreviation[],0,ColumnLanguage),ColumnAbbreviation,FALSE),"")</f>
        <v/>
      </c>
      <c r="BT494" s="21" t="str">
        <f ca="1">IFERROR(VLOOKUP(AB494,OFFSET(abbreviation[],0,ColumnLanguage),ColumnAbbreviation,FALSE),"")</f>
        <v/>
      </c>
      <c r="BU494" s="21" t="str">
        <f t="shared" ca="1" si="50"/>
        <v>__</v>
      </c>
      <c r="BV494" s="21" t="str">
        <f ca="1">IFERROR(VLOOKUP(AF494,OFFSET(abbreviation[],0,ColumnLanguage),ColumnAbbreviation,FALSE),"")</f>
        <v/>
      </c>
      <c r="BW494" s="21" t="str">
        <f ca="1">IFERROR(VLOOKUP(AH494,OFFSET(abbreviation[],0,ColumnLanguage),ColumnAbbreviation,FALSE),"")</f>
        <v/>
      </c>
      <c r="BX494" s="21" t="str">
        <f ca="1">IFERROR(VLOOKUP(AJ494,OFFSET(abbreviation[],0,ColumnLanguage),ColumnAbbreviation,FALSE),"")</f>
        <v/>
      </c>
      <c r="BY494" s="21" t="str">
        <f ca="1">IFERROR(VLOOKUP(AL494,OFFSET(abbreviation[],0,ColumnLanguage),ColumnAbbreviation,FALSE),"")</f>
        <v/>
      </c>
      <c r="BZ494" s="21" t="str">
        <f t="shared" ca="1" si="51"/>
        <v>_</v>
      </c>
      <c r="CA494" s="21" t="str">
        <f ca="1">IFERROR(VLOOKUP(AP494,OFFSET(abbreviation[],0,ColumnLanguage),ColumnAbbreviation,FALSE),"")</f>
        <v/>
      </c>
      <c r="CB494" s="21" t="str">
        <f ca="1">IFERROR(VLOOKUP(AR494,OFFSET(abbreviation[],0,ColumnLanguage),ColumnAbbreviation,FALSE),"")</f>
        <v/>
      </c>
      <c r="CC494" s="21" t="str">
        <f ca="1">IFERROR(VLOOKUP(AT494,OFFSET(abbreviation[],0,ColumnLanguage),ColumnAbbreviation,FALSE),"")</f>
        <v/>
      </c>
      <c r="CD494" s="21" t="str">
        <f ca="1">IFERROR(VLOOKUP(AV494,OFFSET(abbreviation[],0,ColumnLanguage),ColumnAbbreviation,FALSE),"")</f>
        <v/>
      </c>
      <c r="CE494" s="21" t="str">
        <f t="shared" ca="1" si="52"/>
        <v>__</v>
      </c>
      <c r="CF494" s="21" t="str">
        <f ca="1">IFERROR(VLOOKUP(AX494,OFFSET(abbreviation[],0,ColumnLanguage),ColumnAbbreviation,FALSE),"")</f>
        <v/>
      </c>
      <c r="CG494" s="21" t="str">
        <f ca="1">IFERROR(VLOOKUP(AZ494,OFFSET(abbreviation[],0,ColumnLanguage),ColumnAbbreviation,FALSE),"")</f>
        <v/>
      </c>
      <c r="CH494" s="21" t="str">
        <f ca="1">IFERROR(VLOOKUP(BB494,OFFSET(abbreviation[],0,ColumnLanguage),ColumnAbbreviation,FALSE),"")</f>
        <v/>
      </c>
      <c r="CI494" s="21" t="str">
        <f ca="1">IFERROR(VLOOKUP(BD494,OFFSET(abbreviation[],0,ColumnLanguage),ColumnAbbreviation,FALSE),"")</f>
        <v/>
      </c>
      <c r="CJ494" s="21" t="str">
        <f ca="1">IFERROR(VLOOKUP(BF494,OFFSET(abbreviation[],0,ColumnLanguage),ColumnAbbreviation,FALSE),"")</f>
        <v/>
      </c>
      <c r="CK494" s="21" t="str">
        <f t="shared" ca="1" si="53"/>
        <v/>
      </c>
      <c r="CL494" s="21" t="str">
        <f t="shared" si="54"/>
        <v/>
      </c>
      <c r="CM494" s="52"/>
      <c r="CN494" s="57" t="str">
        <f t="shared" si="55"/>
        <v/>
      </c>
    </row>
    <row r="495" spans="14:92" x14ac:dyDescent="0.25">
      <c r="N495" s="58"/>
      <c r="P495" s="60"/>
      <c r="Q495" s="13"/>
      <c r="V495" s="60"/>
      <c r="X495" s="61"/>
      <c r="AB495" s="60"/>
      <c r="AN495" s="54"/>
      <c r="AS495" s="15"/>
      <c r="BH495" s="52"/>
      <c r="BI495" s="21" t="str">
        <f ca="1">IFERROR(VLOOKUP(C495,OFFSET(abbreviation[],0,ColumnLanguage),ColumnAbbreviation,FALSE),"")</f>
        <v/>
      </c>
      <c r="BJ495" s="21" t="str">
        <f ca="1">IFERROR(VLOOKUP(E495,OFFSET(abbreviation[],0,ColumnLanguage),ColumnAbbreviation,FALSE),"")</f>
        <v/>
      </c>
      <c r="BK495" s="21" t="str">
        <f ca="1">IFERROR(VLOOKUP(G495,OFFSET(abbreviation[],0,ColumnLanguage),ColumnAbbreviation,FALSE),"")</f>
        <v/>
      </c>
      <c r="BL495" s="21" t="str">
        <f ca="1">IFERROR(VLOOKUP(I495,OFFSET(abbreviation[],0,ColumnLanguage),ColumnAbbreviation,FALSE),"")</f>
        <v/>
      </c>
      <c r="BM495" s="21" t="str">
        <f ca="1">IFERROR(VLOOKUP(K495,OFFSET(abbreviation[],0,ColumnLanguage),ColumnAbbreviation,FALSE),"")</f>
        <v/>
      </c>
      <c r="BN495" s="21" t="str">
        <f t="shared" ca="1" si="49"/>
        <v/>
      </c>
      <c r="BO495" s="21" t="str">
        <f ca="1">IFERROR(VLOOKUP(N495,OFFSET(abbreviation[],0,ColumnLanguage),ColumnAbbreviation,FALSE),"")</f>
        <v/>
      </c>
      <c r="BP495" s="21" t="str">
        <f ca="1">IFERROR(VLOOKUP(P495,OFFSET(abbreviation[],0,ColumnLanguage),ColumnAbbreviation,FALSE),"")</f>
        <v/>
      </c>
      <c r="BQ495" s="21" t="str">
        <f ca="1">IFERROR(VLOOKUP(T495,OFFSET(abbreviation[],0,ColumnLanguage),ColumnAbbreviation,FALSE),"")</f>
        <v/>
      </c>
      <c r="BR495" s="21" t="str">
        <f ca="1">IFERROR(VLOOKUP(V495,OFFSET(abbreviation[],0,ColumnLanguage),ColumnAbbreviation,FALSE),"")</f>
        <v/>
      </c>
      <c r="BS495" s="21" t="str">
        <f ca="1">IFERROR(VLOOKUP(Z495,OFFSET(abbreviation[],0,ColumnLanguage),ColumnAbbreviation,FALSE),"")</f>
        <v/>
      </c>
      <c r="BT495" s="21" t="str">
        <f ca="1">IFERROR(VLOOKUP(AB495,OFFSET(abbreviation[],0,ColumnLanguage),ColumnAbbreviation,FALSE),"")</f>
        <v/>
      </c>
      <c r="BU495" s="21" t="str">
        <f t="shared" ca="1" si="50"/>
        <v>__</v>
      </c>
      <c r="BV495" s="21" t="str">
        <f ca="1">IFERROR(VLOOKUP(AF495,OFFSET(abbreviation[],0,ColumnLanguage),ColumnAbbreviation,FALSE),"")</f>
        <v/>
      </c>
      <c r="BW495" s="21" t="str">
        <f ca="1">IFERROR(VLOOKUP(AH495,OFFSET(abbreviation[],0,ColumnLanguage),ColumnAbbreviation,FALSE),"")</f>
        <v/>
      </c>
      <c r="BX495" s="21" t="str">
        <f ca="1">IFERROR(VLOOKUP(AJ495,OFFSET(abbreviation[],0,ColumnLanguage),ColumnAbbreviation,FALSE),"")</f>
        <v/>
      </c>
      <c r="BY495" s="21" t="str">
        <f ca="1">IFERROR(VLOOKUP(AL495,OFFSET(abbreviation[],0,ColumnLanguage),ColumnAbbreviation,FALSE),"")</f>
        <v/>
      </c>
      <c r="BZ495" s="21" t="str">
        <f t="shared" ca="1" si="51"/>
        <v>_</v>
      </c>
      <c r="CA495" s="21" t="str">
        <f ca="1">IFERROR(VLOOKUP(AP495,OFFSET(abbreviation[],0,ColumnLanguage),ColumnAbbreviation,FALSE),"")</f>
        <v/>
      </c>
      <c r="CB495" s="21" t="str">
        <f ca="1">IFERROR(VLOOKUP(AR495,OFFSET(abbreviation[],0,ColumnLanguage),ColumnAbbreviation,FALSE),"")</f>
        <v/>
      </c>
      <c r="CC495" s="21" t="str">
        <f ca="1">IFERROR(VLOOKUP(AT495,OFFSET(abbreviation[],0,ColumnLanguage),ColumnAbbreviation,FALSE),"")</f>
        <v/>
      </c>
      <c r="CD495" s="21" t="str">
        <f ca="1">IFERROR(VLOOKUP(AV495,OFFSET(abbreviation[],0,ColumnLanguage),ColumnAbbreviation,FALSE),"")</f>
        <v/>
      </c>
      <c r="CE495" s="21" t="str">
        <f t="shared" ca="1" si="52"/>
        <v>__</v>
      </c>
      <c r="CF495" s="21" t="str">
        <f ca="1">IFERROR(VLOOKUP(AX495,OFFSET(abbreviation[],0,ColumnLanguage),ColumnAbbreviation,FALSE),"")</f>
        <v/>
      </c>
      <c r="CG495" s="21" t="str">
        <f ca="1">IFERROR(VLOOKUP(AZ495,OFFSET(abbreviation[],0,ColumnLanguage),ColumnAbbreviation,FALSE),"")</f>
        <v/>
      </c>
      <c r="CH495" s="21" t="str">
        <f ca="1">IFERROR(VLOOKUP(BB495,OFFSET(abbreviation[],0,ColumnLanguage),ColumnAbbreviation,FALSE),"")</f>
        <v/>
      </c>
      <c r="CI495" s="21" t="str">
        <f ca="1">IFERROR(VLOOKUP(BD495,OFFSET(abbreviation[],0,ColumnLanguage),ColumnAbbreviation,FALSE),"")</f>
        <v/>
      </c>
      <c r="CJ495" s="21" t="str">
        <f ca="1">IFERROR(VLOOKUP(BF495,OFFSET(abbreviation[],0,ColumnLanguage),ColumnAbbreviation,FALSE),"")</f>
        <v/>
      </c>
      <c r="CK495" s="21" t="str">
        <f t="shared" ca="1" si="53"/>
        <v/>
      </c>
      <c r="CL495" s="21" t="str">
        <f t="shared" si="54"/>
        <v/>
      </c>
      <c r="CM495" s="52"/>
      <c r="CN495" s="57" t="str">
        <f t="shared" si="55"/>
        <v/>
      </c>
    </row>
    <row r="496" spans="14:92" x14ac:dyDescent="0.25">
      <c r="N496" s="58"/>
      <c r="P496" s="60"/>
      <c r="Q496" s="13"/>
      <c r="V496" s="60"/>
      <c r="X496" s="61"/>
      <c r="AB496" s="60"/>
      <c r="AN496" s="54"/>
      <c r="AS496" s="15"/>
      <c r="BH496" s="52"/>
      <c r="BI496" s="21" t="str">
        <f ca="1">IFERROR(VLOOKUP(C496,OFFSET(abbreviation[],0,ColumnLanguage),ColumnAbbreviation,FALSE),"")</f>
        <v/>
      </c>
      <c r="BJ496" s="21" t="str">
        <f ca="1">IFERROR(VLOOKUP(E496,OFFSET(abbreviation[],0,ColumnLanguage),ColumnAbbreviation,FALSE),"")</f>
        <v/>
      </c>
      <c r="BK496" s="21" t="str">
        <f ca="1">IFERROR(VLOOKUP(G496,OFFSET(abbreviation[],0,ColumnLanguage),ColumnAbbreviation,FALSE),"")</f>
        <v/>
      </c>
      <c r="BL496" s="21" t="str">
        <f ca="1">IFERROR(VLOOKUP(I496,OFFSET(abbreviation[],0,ColumnLanguage),ColumnAbbreviation,FALSE),"")</f>
        <v/>
      </c>
      <c r="BM496" s="21" t="str">
        <f ca="1">IFERROR(VLOOKUP(K496,OFFSET(abbreviation[],0,ColumnLanguage),ColumnAbbreviation,FALSE),"")</f>
        <v/>
      </c>
      <c r="BN496" s="21" t="str">
        <f t="shared" ca="1" si="49"/>
        <v/>
      </c>
      <c r="BO496" s="21" t="str">
        <f ca="1">IFERROR(VLOOKUP(N496,OFFSET(abbreviation[],0,ColumnLanguage),ColumnAbbreviation,FALSE),"")</f>
        <v/>
      </c>
      <c r="BP496" s="21" t="str">
        <f ca="1">IFERROR(VLOOKUP(P496,OFFSET(abbreviation[],0,ColumnLanguage),ColumnAbbreviation,FALSE),"")</f>
        <v/>
      </c>
      <c r="BQ496" s="21" t="str">
        <f ca="1">IFERROR(VLOOKUP(T496,OFFSET(abbreviation[],0,ColumnLanguage),ColumnAbbreviation,FALSE),"")</f>
        <v/>
      </c>
      <c r="BR496" s="21" t="str">
        <f ca="1">IFERROR(VLOOKUP(V496,OFFSET(abbreviation[],0,ColumnLanguage),ColumnAbbreviation,FALSE),"")</f>
        <v/>
      </c>
      <c r="BS496" s="21" t="str">
        <f ca="1">IFERROR(VLOOKUP(Z496,OFFSET(abbreviation[],0,ColumnLanguage),ColumnAbbreviation,FALSE),"")</f>
        <v/>
      </c>
      <c r="BT496" s="21" t="str">
        <f ca="1">IFERROR(VLOOKUP(AB496,OFFSET(abbreviation[],0,ColumnLanguage),ColumnAbbreviation,FALSE),"")</f>
        <v/>
      </c>
      <c r="BU496" s="21" t="str">
        <f t="shared" ca="1" si="50"/>
        <v>__</v>
      </c>
      <c r="BV496" s="21" t="str">
        <f ca="1">IFERROR(VLOOKUP(AF496,OFFSET(abbreviation[],0,ColumnLanguage),ColumnAbbreviation,FALSE),"")</f>
        <v/>
      </c>
      <c r="BW496" s="21" t="str">
        <f ca="1">IFERROR(VLOOKUP(AH496,OFFSET(abbreviation[],0,ColumnLanguage),ColumnAbbreviation,FALSE),"")</f>
        <v/>
      </c>
      <c r="BX496" s="21" t="str">
        <f ca="1">IFERROR(VLOOKUP(AJ496,OFFSET(abbreviation[],0,ColumnLanguage),ColumnAbbreviation,FALSE),"")</f>
        <v/>
      </c>
      <c r="BY496" s="21" t="str">
        <f ca="1">IFERROR(VLOOKUP(AL496,OFFSET(abbreviation[],0,ColumnLanguage),ColumnAbbreviation,FALSE),"")</f>
        <v/>
      </c>
      <c r="BZ496" s="21" t="str">
        <f t="shared" ca="1" si="51"/>
        <v>_</v>
      </c>
      <c r="CA496" s="21" t="str">
        <f ca="1">IFERROR(VLOOKUP(AP496,OFFSET(abbreviation[],0,ColumnLanguage),ColumnAbbreviation,FALSE),"")</f>
        <v/>
      </c>
      <c r="CB496" s="21" t="str">
        <f ca="1">IFERROR(VLOOKUP(AR496,OFFSET(abbreviation[],0,ColumnLanguage),ColumnAbbreviation,FALSE),"")</f>
        <v/>
      </c>
      <c r="CC496" s="21" t="str">
        <f ca="1">IFERROR(VLOOKUP(AT496,OFFSET(abbreviation[],0,ColumnLanguage),ColumnAbbreviation,FALSE),"")</f>
        <v/>
      </c>
      <c r="CD496" s="21" t="str">
        <f ca="1">IFERROR(VLOOKUP(AV496,OFFSET(abbreviation[],0,ColumnLanguage),ColumnAbbreviation,FALSE),"")</f>
        <v/>
      </c>
      <c r="CE496" s="21" t="str">
        <f t="shared" ca="1" si="52"/>
        <v>__</v>
      </c>
      <c r="CF496" s="21" t="str">
        <f ca="1">IFERROR(VLOOKUP(AX496,OFFSET(abbreviation[],0,ColumnLanguage),ColumnAbbreviation,FALSE),"")</f>
        <v/>
      </c>
      <c r="CG496" s="21" t="str">
        <f ca="1">IFERROR(VLOOKUP(AZ496,OFFSET(abbreviation[],0,ColumnLanguage),ColumnAbbreviation,FALSE),"")</f>
        <v/>
      </c>
      <c r="CH496" s="21" t="str">
        <f ca="1">IFERROR(VLOOKUP(BB496,OFFSET(abbreviation[],0,ColumnLanguage),ColumnAbbreviation,FALSE),"")</f>
        <v/>
      </c>
      <c r="CI496" s="21" t="str">
        <f ca="1">IFERROR(VLOOKUP(BD496,OFFSET(abbreviation[],0,ColumnLanguage),ColumnAbbreviation,FALSE),"")</f>
        <v/>
      </c>
      <c r="CJ496" s="21" t="str">
        <f ca="1">IFERROR(VLOOKUP(BF496,OFFSET(abbreviation[],0,ColumnLanguage),ColumnAbbreviation,FALSE),"")</f>
        <v/>
      </c>
      <c r="CK496" s="21" t="str">
        <f t="shared" ca="1" si="53"/>
        <v/>
      </c>
      <c r="CL496" s="21" t="str">
        <f t="shared" si="54"/>
        <v/>
      </c>
      <c r="CM496" s="52"/>
      <c r="CN496" s="57" t="str">
        <f t="shared" si="55"/>
        <v/>
      </c>
    </row>
    <row r="497" spans="14:92" x14ac:dyDescent="0.25">
      <c r="N497" s="58"/>
      <c r="P497" s="60"/>
      <c r="Q497" s="13"/>
      <c r="V497" s="60"/>
      <c r="X497" s="61"/>
      <c r="AB497" s="60"/>
      <c r="AN497" s="54"/>
      <c r="AS497" s="15"/>
      <c r="BH497" s="52"/>
      <c r="BI497" s="21" t="str">
        <f ca="1">IFERROR(VLOOKUP(C497,OFFSET(abbreviation[],0,ColumnLanguage),ColumnAbbreviation,FALSE),"")</f>
        <v/>
      </c>
      <c r="BJ497" s="21" t="str">
        <f ca="1">IFERROR(VLOOKUP(E497,OFFSET(abbreviation[],0,ColumnLanguage),ColumnAbbreviation,FALSE),"")</f>
        <v/>
      </c>
      <c r="BK497" s="21" t="str">
        <f ca="1">IFERROR(VLOOKUP(G497,OFFSET(abbreviation[],0,ColumnLanguage),ColumnAbbreviation,FALSE),"")</f>
        <v/>
      </c>
      <c r="BL497" s="21" t="str">
        <f ca="1">IFERROR(VLOOKUP(I497,OFFSET(abbreviation[],0,ColumnLanguage),ColumnAbbreviation,FALSE),"")</f>
        <v/>
      </c>
      <c r="BM497" s="21" t="str">
        <f ca="1">IFERROR(VLOOKUP(K497,OFFSET(abbreviation[],0,ColumnLanguage),ColumnAbbreviation,FALSE),"")</f>
        <v/>
      </c>
      <c r="BN497" s="21" t="str">
        <f t="shared" ca="1" si="49"/>
        <v/>
      </c>
      <c r="BO497" s="21" t="str">
        <f ca="1">IFERROR(VLOOKUP(N497,OFFSET(abbreviation[],0,ColumnLanguage),ColumnAbbreviation,FALSE),"")</f>
        <v/>
      </c>
      <c r="BP497" s="21" t="str">
        <f ca="1">IFERROR(VLOOKUP(P497,OFFSET(abbreviation[],0,ColumnLanguage),ColumnAbbreviation,FALSE),"")</f>
        <v/>
      </c>
      <c r="BQ497" s="21" t="str">
        <f ca="1">IFERROR(VLOOKUP(T497,OFFSET(abbreviation[],0,ColumnLanguage),ColumnAbbreviation,FALSE),"")</f>
        <v/>
      </c>
      <c r="BR497" s="21" t="str">
        <f ca="1">IFERROR(VLOOKUP(V497,OFFSET(abbreviation[],0,ColumnLanguage),ColumnAbbreviation,FALSE),"")</f>
        <v/>
      </c>
      <c r="BS497" s="21" t="str">
        <f ca="1">IFERROR(VLOOKUP(Z497,OFFSET(abbreviation[],0,ColumnLanguage),ColumnAbbreviation,FALSE),"")</f>
        <v/>
      </c>
      <c r="BT497" s="21" t="str">
        <f ca="1">IFERROR(VLOOKUP(AB497,OFFSET(abbreviation[],0,ColumnLanguage),ColumnAbbreviation,FALSE),"")</f>
        <v/>
      </c>
      <c r="BU497" s="21" t="str">
        <f t="shared" ca="1" si="50"/>
        <v>__</v>
      </c>
      <c r="BV497" s="21" t="str">
        <f ca="1">IFERROR(VLOOKUP(AF497,OFFSET(abbreviation[],0,ColumnLanguage),ColumnAbbreviation,FALSE),"")</f>
        <v/>
      </c>
      <c r="BW497" s="21" t="str">
        <f ca="1">IFERROR(VLOOKUP(AH497,OFFSET(abbreviation[],0,ColumnLanguage),ColumnAbbreviation,FALSE),"")</f>
        <v/>
      </c>
      <c r="BX497" s="21" t="str">
        <f ca="1">IFERROR(VLOOKUP(AJ497,OFFSET(abbreviation[],0,ColumnLanguage),ColumnAbbreviation,FALSE),"")</f>
        <v/>
      </c>
      <c r="BY497" s="21" t="str">
        <f ca="1">IFERROR(VLOOKUP(AL497,OFFSET(abbreviation[],0,ColumnLanguage),ColumnAbbreviation,FALSE),"")</f>
        <v/>
      </c>
      <c r="BZ497" s="21" t="str">
        <f t="shared" ca="1" si="51"/>
        <v>_</v>
      </c>
      <c r="CA497" s="21" t="str">
        <f ca="1">IFERROR(VLOOKUP(AP497,OFFSET(abbreviation[],0,ColumnLanguage),ColumnAbbreviation,FALSE),"")</f>
        <v/>
      </c>
      <c r="CB497" s="21" t="str">
        <f ca="1">IFERROR(VLOOKUP(AR497,OFFSET(abbreviation[],0,ColumnLanguage),ColumnAbbreviation,FALSE),"")</f>
        <v/>
      </c>
      <c r="CC497" s="21" t="str">
        <f ca="1">IFERROR(VLOOKUP(AT497,OFFSET(abbreviation[],0,ColumnLanguage),ColumnAbbreviation,FALSE),"")</f>
        <v/>
      </c>
      <c r="CD497" s="21" t="str">
        <f ca="1">IFERROR(VLOOKUP(AV497,OFFSET(abbreviation[],0,ColumnLanguage),ColumnAbbreviation,FALSE),"")</f>
        <v/>
      </c>
      <c r="CE497" s="21" t="str">
        <f t="shared" ca="1" si="52"/>
        <v>__</v>
      </c>
      <c r="CF497" s="21" t="str">
        <f ca="1">IFERROR(VLOOKUP(AX497,OFFSET(abbreviation[],0,ColumnLanguage),ColumnAbbreviation,FALSE),"")</f>
        <v/>
      </c>
      <c r="CG497" s="21" t="str">
        <f ca="1">IFERROR(VLOOKUP(AZ497,OFFSET(abbreviation[],0,ColumnLanguage),ColumnAbbreviation,FALSE),"")</f>
        <v/>
      </c>
      <c r="CH497" s="21" t="str">
        <f ca="1">IFERROR(VLOOKUP(BB497,OFFSET(abbreviation[],0,ColumnLanguage),ColumnAbbreviation,FALSE),"")</f>
        <v/>
      </c>
      <c r="CI497" s="21" t="str">
        <f ca="1">IFERROR(VLOOKUP(BD497,OFFSET(abbreviation[],0,ColumnLanguage),ColumnAbbreviation,FALSE),"")</f>
        <v/>
      </c>
      <c r="CJ497" s="21" t="str">
        <f ca="1">IFERROR(VLOOKUP(BF497,OFFSET(abbreviation[],0,ColumnLanguage),ColumnAbbreviation,FALSE),"")</f>
        <v/>
      </c>
      <c r="CK497" s="21" t="str">
        <f t="shared" ca="1" si="53"/>
        <v/>
      </c>
      <c r="CL497" s="21" t="str">
        <f t="shared" si="54"/>
        <v/>
      </c>
      <c r="CM497" s="52"/>
      <c r="CN497" s="57" t="str">
        <f t="shared" si="55"/>
        <v/>
      </c>
    </row>
    <row r="498" spans="14:92" x14ac:dyDescent="0.25">
      <c r="N498" s="58"/>
      <c r="P498" s="60"/>
      <c r="Q498" s="13"/>
      <c r="V498" s="60"/>
      <c r="X498" s="61"/>
      <c r="AB498" s="60"/>
      <c r="AN498" s="54"/>
      <c r="AS498" s="15"/>
      <c r="BH498" s="52"/>
      <c r="BI498" s="21" t="str">
        <f ca="1">IFERROR(VLOOKUP(C498,OFFSET(abbreviation[],0,ColumnLanguage),ColumnAbbreviation,FALSE),"")</f>
        <v/>
      </c>
      <c r="BJ498" s="21" t="str">
        <f ca="1">IFERROR(VLOOKUP(E498,OFFSET(abbreviation[],0,ColumnLanguage),ColumnAbbreviation,FALSE),"")</f>
        <v/>
      </c>
      <c r="BK498" s="21" t="str">
        <f ca="1">IFERROR(VLOOKUP(G498,OFFSET(abbreviation[],0,ColumnLanguage),ColumnAbbreviation,FALSE),"")</f>
        <v/>
      </c>
      <c r="BL498" s="21" t="str">
        <f ca="1">IFERROR(VLOOKUP(I498,OFFSET(abbreviation[],0,ColumnLanguage),ColumnAbbreviation,FALSE),"")</f>
        <v/>
      </c>
      <c r="BM498" s="21" t="str">
        <f ca="1">IFERROR(VLOOKUP(K498,OFFSET(abbreviation[],0,ColumnLanguage),ColumnAbbreviation,FALSE),"")</f>
        <v/>
      </c>
      <c r="BN498" s="21" t="str">
        <f t="shared" ca="1" si="49"/>
        <v/>
      </c>
      <c r="BO498" s="21" t="str">
        <f ca="1">IFERROR(VLOOKUP(N498,OFFSET(abbreviation[],0,ColumnLanguage),ColumnAbbreviation,FALSE),"")</f>
        <v/>
      </c>
      <c r="BP498" s="21" t="str">
        <f ca="1">IFERROR(VLOOKUP(P498,OFFSET(abbreviation[],0,ColumnLanguage),ColumnAbbreviation,FALSE),"")</f>
        <v/>
      </c>
      <c r="BQ498" s="21" t="str">
        <f ca="1">IFERROR(VLOOKUP(T498,OFFSET(abbreviation[],0,ColumnLanguage),ColumnAbbreviation,FALSE),"")</f>
        <v/>
      </c>
      <c r="BR498" s="21" t="str">
        <f ca="1">IFERROR(VLOOKUP(V498,OFFSET(abbreviation[],0,ColumnLanguage),ColumnAbbreviation,FALSE),"")</f>
        <v/>
      </c>
      <c r="BS498" s="21" t="str">
        <f ca="1">IFERROR(VLOOKUP(Z498,OFFSET(abbreviation[],0,ColumnLanguage),ColumnAbbreviation,FALSE),"")</f>
        <v/>
      </c>
      <c r="BT498" s="21" t="str">
        <f ca="1">IFERROR(VLOOKUP(AB498,OFFSET(abbreviation[],0,ColumnLanguage),ColumnAbbreviation,FALSE),"")</f>
        <v/>
      </c>
      <c r="BU498" s="21" t="str">
        <f t="shared" ca="1" si="50"/>
        <v>__</v>
      </c>
      <c r="BV498" s="21" t="str">
        <f ca="1">IFERROR(VLOOKUP(AF498,OFFSET(abbreviation[],0,ColumnLanguage),ColumnAbbreviation,FALSE),"")</f>
        <v/>
      </c>
      <c r="BW498" s="21" t="str">
        <f ca="1">IFERROR(VLOOKUP(AH498,OFFSET(abbreviation[],0,ColumnLanguage),ColumnAbbreviation,FALSE),"")</f>
        <v/>
      </c>
      <c r="BX498" s="21" t="str">
        <f ca="1">IFERROR(VLOOKUP(AJ498,OFFSET(abbreviation[],0,ColumnLanguage),ColumnAbbreviation,FALSE),"")</f>
        <v/>
      </c>
      <c r="BY498" s="21" t="str">
        <f ca="1">IFERROR(VLOOKUP(AL498,OFFSET(abbreviation[],0,ColumnLanguage),ColumnAbbreviation,FALSE),"")</f>
        <v/>
      </c>
      <c r="BZ498" s="21" t="str">
        <f t="shared" ca="1" si="51"/>
        <v>_</v>
      </c>
      <c r="CA498" s="21" t="str">
        <f ca="1">IFERROR(VLOOKUP(AP498,OFFSET(abbreviation[],0,ColumnLanguage),ColumnAbbreviation,FALSE),"")</f>
        <v/>
      </c>
      <c r="CB498" s="21" t="str">
        <f ca="1">IFERROR(VLOOKUP(AR498,OFFSET(abbreviation[],0,ColumnLanguage),ColumnAbbreviation,FALSE),"")</f>
        <v/>
      </c>
      <c r="CC498" s="21" t="str">
        <f ca="1">IFERROR(VLOOKUP(AT498,OFFSET(abbreviation[],0,ColumnLanguage),ColumnAbbreviation,FALSE),"")</f>
        <v/>
      </c>
      <c r="CD498" s="21" t="str">
        <f ca="1">IFERROR(VLOOKUP(AV498,OFFSET(abbreviation[],0,ColumnLanguage),ColumnAbbreviation,FALSE),"")</f>
        <v/>
      </c>
      <c r="CE498" s="21" t="str">
        <f t="shared" ca="1" si="52"/>
        <v>__</v>
      </c>
      <c r="CF498" s="21" t="str">
        <f ca="1">IFERROR(VLOOKUP(AX498,OFFSET(abbreviation[],0,ColumnLanguage),ColumnAbbreviation,FALSE),"")</f>
        <v/>
      </c>
      <c r="CG498" s="21" t="str">
        <f ca="1">IFERROR(VLOOKUP(AZ498,OFFSET(abbreviation[],0,ColumnLanguage),ColumnAbbreviation,FALSE),"")</f>
        <v/>
      </c>
      <c r="CH498" s="21" t="str">
        <f ca="1">IFERROR(VLOOKUP(BB498,OFFSET(abbreviation[],0,ColumnLanguage),ColumnAbbreviation,FALSE),"")</f>
        <v/>
      </c>
      <c r="CI498" s="21" t="str">
        <f ca="1">IFERROR(VLOOKUP(BD498,OFFSET(abbreviation[],0,ColumnLanguage),ColumnAbbreviation,FALSE),"")</f>
        <v/>
      </c>
      <c r="CJ498" s="21" t="str">
        <f ca="1">IFERROR(VLOOKUP(BF498,OFFSET(abbreviation[],0,ColumnLanguage),ColumnAbbreviation,FALSE),"")</f>
        <v/>
      </c>
      <c r="CK498" s="21" t="str">
        <f t="shared" ca="1" si="53"/>
        <v/>
      </c>
      <c r="CL498" s="21" t="str">
        <f t="shared" si="54"/>
        <v/>
      </c>
      <c r="CM498" s="52"/>
      <c r="CN498" s="57" t="str">
        <f t="shared" si="55"/>
        <v/>
      </c>
    </row>
    <row r="499" spans="14:92" x14ac:dyDescent="0.25">
      <c r="N499" s="58"/>
      <c r="P499" s="60"/>
      <c r="Q499" s="13"/>
      <c r="V499" s="60"/>
      <c r="X499" s="61"/>
      <c r="AB499" s="60"/>
      <c r="AN499" s="54"/>
      <c r="AS499" s="15"/>
      <c r="BH499" s="52"/>
      <c r="BI499" s="21" t="str">
        <f ca="1">IFERROR(VLOOKUP(C499,OFFSET(abbreviation[],0,ColumnLanguage),ColumnAbbreviation,FALSE),"")</f>
        <v/>
      </c>
      <c r="BJ499" s="21" t="str">
        <f ca="1">IFERROR(VLOOKUP(E499,OFFSET(abbreviation[],0,ColumnLanguage),ColumnAbbreviation,FALSE),"")</f>
        <v/>
      </c>
      <c r="BK499" s="21" t="str">
        <f ca="1">IFERROR(VLOOKUP(G499,OFFSET(abbreviation[],0,ColumnLanguage),ColumnAbbreviation,FALSE),"")</f>
        <v/>
      </c>
      <c r="BL499" s="21" t="str">
        <f ca="1">IFERROR(VLOOKUP(I499,OFFSET(abbreviation[],0,ColumnLanguage),ColumnAbbreviation,FALSE),"")</f>
        <v/>
      </c>
      <c r="BM499" s="21" t="str">
        <f ca="1">IFERROR(VLOOKUP(K499,OFFSET(abbreviation[],0,ColumnLanguage),ColumnAbbreviation,FALSE),"")</f>
        <v/>
      </c>
      <c r="BN499" s="21" t="str">
        <f t="shared" ca="1" si="49"/>
        <v/>
      </c>
      <c r="BO499" s="21" t="str">
        <f ca="1">IFERROR(VLOOKUP(N499,OFFSET(abbreviation[],0,ColumnLanguage),ColumnAbbreviation,FALSE),"")</f>
        <v/>
      </c>
      <c r="BP499" s="21" t="str">
        <f ca="1">IFERROR(VLOOKUP(P499,OFFSET(abbreviation[],0,ColumnLanguage),ColumnAbbreviation,FALSE),"")</f>
        <v/>
      </c>
      <c r="BQ499" s="21" t="str">
        <f ca="1">IFERROR(VLOOKUP(T499,OFFSET(abbreviation[],0,ColumnLanguage),ColumnAbbreviation,FALSE),"")</f>
        <v/>
      </c>
      <c r="BR499" s="21" t="str">
        <f ca="1">IFERROR(VLOOKUP(V499,OFFSET(abbreviation[],0,ColumnLanguage),ColumnAbbreviation,FALSE),"")</f>
        <v/>
      </c>
      <c r="BS499" s="21" t="str">
        <f ca="1">IFERROR(VLOOKUP(Z499,OFFSET(abbreviation[],0,ColumnLanguage),ColumnAbbreviation,FALSE),"")</f>
        <v/>
      </c>
      <c r="BT499" s="21" t="str">
        <f ca="1">IFERROR(VLOOKUP(AB499,OFFSET(abbreviation[],0,ColumnLanguage),ColumnAbbreviation,FALSE),"")</f>
        <v/>
      </c>
      <c r="BU499" s="21" t="str">
        <f t="shared" ca="1" si="50"/>
        <v>__</v>
      </c>
      <c r="BV499" s="21" t="str">
        <f ca="1">IFERROR(VLOOKUP(AF499,OFFSET(abbreviation[],0,ColumnLanguage),ColumnAbbreviation,FALSE),"")</f>
        <v/>
      </c>
      <c r="BW499" s="21" t="str">
        <f ca="1">IFERROR(VLOOKUP(AH499,OFFSET(abbreviation[],0,ColumnLanguage),ColumnAbbreviation,FALSE),"")</f>
        <v/>
      </c>
      <c r="BX499" s="21" t="str">
        <f ca="1">IFERROR(VLOOKUP(AJ499,OFFSET(abbreviation[],0,ColumnLanguage),ColumnAbbreviation,FALSE),"")</f>
        <v/>
      </c>
      <c r="BY499" s="21" t="str">
        <f ca="1">IFERROR(VLOOKUP(AL499,OFFSET(abbreviation[],0,ColumnLanguage),ColumnAbbreviation,FALSE),"")</f>
        <v/>
      </c>
      <c r="BZ499" s="21" t="str">
        <f t="shared" ca="1" si="51"/>
        <v>_</v>
      </c>
      <c r="CA499" s="21" t="str">
        <f ca="1">IFERROR(VLOOKUP(AP499,OFFSET(abbreviation[],0,ColumnLanguage),ColumnAbbreviation,FALSE),"")</f>
        <v/>
      </c>
      <c r="CB499" s="21" t="str">
        <f ca="1">IFERROR(VLOOKUP(AR499,OFFSET(abbreviation[],0,ColumnLanguage),ColumnAbbreviation,FALSE),"")</f>
        <v/>
      </c>
      <c r="CC499" s="21" t="str">
        <f ca="1">IFERROR(VLOOKUP(AT499,OFFSET(abbreviation[],0,ColumnLanguage),ColumnAbbreviation,FALSE),"")</f>
        <v/>
      </c>
      <c r="CD499" s="21" t="str">
        <f ca="1">IFERROR(VLOOKUP(AV499,OFFSET(abbreviation[],0,ColumnLanguage),ColumnAbbreviation,FALSE),"")</f>
        <v/>
      </c>
      <c r="CE499" s="21" t="str">
        <f t="shared" ca="1" si="52"/>
        <v>__</v>
      </c>
      <c r="CF499" s="21" t="str">
        <f ca="1">IFERROR(VLOOKUP(AX499,OFFSET(abbreviation[],0,ColumnLanguage),ColumnAbbreviation,FALSE),"")</f>
        <v/>
      </c>
      <c r="CG499" s="21" t="str">
        <f ca="1">IFERROR(VLOOKUP(AZ499,OFFSET(abbreviation[],0,ColumnLanguage),ColumnAbbreviation,FALSE),"")</f>
        <v/>
      </c>
      <c r="CH499" s="21" t="str">
        <f ca="1">IFERROR(VLOOKUP(BB499,OFFSET(abbreviation[],0,ColumnLanguage),ColumnAbbreviation,FALSE),"")</f>
        <v/>
      </c>
      <c r="CI499" s="21" t="str">
        <f ca="1">IFERROR(VLOOKUP(BD499,OFFSET(abbreviation[],0,ColumnLanguage),ColumnAbbreviation,FALSE),"")</f>
        <v/>
      </c>
      <c r="CJ499" s="21" t="str">
        <f ca="1">IFERROR(VLOOKUP(BF499,OFFSET(abbreviation[],0,ColumnLanguage),ColumnAbbreviation,FALSE),"")</f>
        <v/>
      </c>
      <c r="CK499" s="21" t="str">
        <f t="shared" ca="1" si="53"/>
        <v/>
      </c>
      <c r="CL499" s="21" t="str">
        <f t="shared" si="54"/>
        <v/>
      </c>
      <c r="CM499" s="52"/>
      <c r="CN499" s="57" t="str">
        <f t="shared" si="55"/>
        <v/>
      </c>
    </row>
    <row r="500" spans="14:92" x14ac:dyDescent="0.25">
      <c r="N500" s="58"/>
      <c r="P500" s="60"/>
      <c r="Q500" s="13"/>
      <c r="V500" s="60"/>
      <c r="X500" s="61"/>
      <c r="AB500" s="60"/>
      <c r="AN500" s="54"/>
      <c r="AS500" s="15"/>
      <c r="BH500" s="52"/>
      <c r="BI500" s="21" t="str">
        <f ca="1">IFERROR(VLOOKUP(C500,OFFSET(abbreviation[],0,ColumnLanguage),ColumnAbbreviation,FALSE),"")</f>
        <v/>
      </c>
      <c r="BJ500" s="21" t="str">
        <f ca="1">IFERROR(VLOOKUP(E500,OFFSET(abbreviation[],0,ColumnLanguage),ColumnAbbreviation,FALSE),"")</f>
        <v/>
      </c>
      <c r="BK500" s="21" t="str">
        <f ca="1">IFERROR(VLOOKUP(G500,OFFSET(abbreviation[],0,ColumnLanguage),ColumnAbbreviation,FALSE),"")</f>
        <v/>
      </c>
      <c r="BL500" s="21" t="str">
        <f ca="1">IFERROR(VLOOKUP(I500,OFFSET(abbreviation[],0,ColumnLanguage),ColumnAbbreviation,FALSE),"")</f>
        <v/>
      </c>
      <c r="BM500" s="21" t="str">
        <f ca="1">IFERROR(VLOOKUP(K500,OFFSET(abbreviation[],0,ColumnLanguage),ColumnAbbreviation,FALSE),"")</f>
        <v/>
      </c>
      <c r="BN500" s="21" t="str">
        <f t="shared" ca="1" si="49"/>
        <v/>
      </c>
      <c r="BO500" s="21" t="str">
        <f ca="1">IFERROR(VLOOKUP(N500,OFFSET(abbreviation[],0,ColumnLanguage),ColumnAbbreviation,FALSE),"")</f>
        <v/>
      </c>
      <c r="BP500" s="21" t="str">
        <f ca="1">IFERROR(VLOOKUP(P500,OFFSET(abbreviation[],0,ColumnLanguage),ColumnAbbreviation,FALSE),"")</f>
        <v/>
      </c>
      <c r="BQ500" s="21" t="str">
        <f ca="1">IFERROR(VLOOKUP(T500,OFFSET(abbreviation[],0,ColumnLanguage),ColumnAbbreviation,FALSE),"")</f>
        <v/>
      </c>
      <c r="BR500" s="21" t="str">
        <f ca="1">IFERROR(VLOOKUP(V500,OFFSET(abbreviation[],0,ColumnLanguage),ColumnAbbreviation,FALSE),"")</f>
        <v/>
      </c>
      <c r="BS500" s="21" t="str">
        <f ca="1">IFERROR(VLOOKUP(Z500,OFFSET(abbreviation[],0,ColumnLanguage),ColumnAbbreviation,FALSE),"")</f>
        <v/>
      </c>
      <c r="BT500" s="21" t="str">
        <f ca="1">IFERROR(VLOOKUP(AB500,OFFSET(abbreviation[],0,ColumnLanguage),ColumnAbbreviation,FALSE),"")</f>
        <v/>
      </c>
      <c r="BU500" s="21" t="str">
        <f t="shared" ca="1" si="50"/>
        <v>__</v>
      </c>
      <c r="BV500" s="21" t="str">
        <f ca="1">IFERROR(VLOOKUP(AF500,OFFSET(abbreviation[],0,ColumnLanguage),ColumnAbbreviation,FALSE),"")</f>
        <v/>
      </c>
      <c r="BW500" s="21" t="str">
        <f ca="1">IFERROR(VLOOKUP(AH500,OFFSET(abbreviation[],0,ColumnLanguage),ColumnAbbreviation,FALSE),"")</f>
        <v/>
      </c>
      <c r="BX500" s="21" t="str">
        <f ca="1">IFERROR(VLOOKUP(AJ500,OFFSET(abbreviation[],0,ColumnLanguage),ColumnAbbreviation,FALSE),"")</f>
        <v/>
      </c>
      <c r="BY500" s="21" t="str">
        <f ca="1">IFERROR(VLOOKUP(AL500,OFFSET(abbreviation[],0,ColumnLanguage),ColumnAbbreviation,FALSE),"")</f>
        <v/>
      </c>
      <c r="BZ500" s="21" t="str">
        <f t="shared" ca="1" si="51"/>
        <v>_</v>
      </c>
      <c r="CA500" s="21" t="str">
        <f ca="1">IFERROR(VLOOKUP(AP500,OFFSET(abbreviation[],0,ColumnLanguage),ColumnAbbreviation,FALSE),"")</f>
        <v/>
      </c>
      <c r="CB500" s="21" t="str">
        <f ca="1">IFERROR(VLOOKUP(AR500,OFFSET(abbreviation[],0,ColumnLanguage),ColumnAbbreviation,FALSE),"")</f>
        <v/>
      </c>
      <c r="CC500" s="21" t="str">
        <f ca="1">IFERROR(VLOOKUP(AT500,OFFSET(abbreviation[],0,ColumnLanguage),ColumnAbbreviation,FALSE),"")</f>
        <v/>
      </c>
      <c r="CD500" s="21" t="str">
        <f ca="1">IFERROR(VLOOKUP(AV500,OFFSET(abbreviation[],0,ColumnLanguage),ColumnAbbreviation,FALSE),"")</f>
        <v/>
      </c>
      <c r="CE500" s="21" t="str">
        <f t="shared" ca="1" si="52"/>
        <v>__</v>
      </c>
      <c r="CF500" s="21" t="str">
        <f ca="1">IFERROR(VLOOKUP(AX500,OFFSET(abbreviation[],0,ColumnLanguage),ColumnAbbreviation,FALSE),"")</f>
        <v/>
      </c>
      <c r="CG500" s="21" t="str">
        <f ca="1">IFERROR(VLOOKUP(AZ500,OFFSET(abbreviation[],0,ColumnLanguage),ColumnAbbreviation,FALSE),"")</f>
        <v/>
      </c>
      <c r="CH500" s="21" t="str">
        <f ca="1">IFERROR(VLOOKUP(BB500,OFFSET(abbreviation[],0,ColumnLanguage),ColumnAbbreviation,FALSE),"")</f>
        <v/>
      </c>
      <c r="CI500" s="21" t="str">
        <f ca="1">IFERROR(VLOOKUP(BD500,OFFSET(abbreviation[],0,ColumnLanguage),ColumnAbbreviation,FALSE),"")</f>
        <v/>
      </c>
      <c r="CJ500" s="21" t="str">
        <f ca="1">IFERROR(VLOOKUP(BF500,OFFSET(abbreviation[],0,ColumnLanguage),ColumnAbbreviation,FALSE),"")</f>
        <v/>
      </c>
      <c r="CK500" s="21" t="str">
        <f t="shared" ca="1" si="53"/>
        <v/>
      </c>
      <c r="CL500" s="21" t="str">
        <f t="shared" si="54"/>
        <v/>
      </c>
      <c r="CM500" s="52"/>
      <c r="CN500" s="57" t="str">
        <f t="shared" si="55"/>
        <v/>
      </c>
    </row>
    <row r="501" spans="14:92" x14ac:dyDescent="0.25">
      <c r="N501" s="58"/>
      <c r="P501" s="60"/>
      <c r="Q501" s="13"/>
      <c r="V501" s="60"/>
      <c r="X501" s="61"/>
      <c r="AB501" s="60"/>
      <c r="AN501" s="54"/>
      <c r="AS501" s="15"/>
      <c r="BH501" s="52"/>
      <c r="BI501" s="21" t="str">
        <f ca="1">IFERROR(VLOOKUP(C501,OFFSET(abbreviation[],0,ColumnLanguage),ColumnAbbreviation,FALSE),"")</f>
        <v/>
      </c>
      <c r="BJ501" s="21" t="str">
        <f ca="1">IFERROR(VLOOKUP(E501,OFFSET(abbreviation[],0,ColumnLanguage),ColumnAbbreviation,FALSE),"")</f>
        <v/>
      </c>
      <c r="BK501" s="21" t="str">
        <f ca="1">IFERROR(VLOOKUP(G501,OFFSET(abbreviation[],0,ColumnLanguage),ColumnAbbreviation,FALSE),"")</f>
        <v/>
      </c>
      <c r="BL501" s="21" t="str">
        <f ca="1">IFERROR(VLOOKUP(I501,OFFSET(abbreviation[],0,ColumnLanguage),ColumnAbbreviation,FALSE),"")</f>
        <v/>
      </c>
      <c r="BM501" s="21" t="str">
        <f ca="1">IFERROR(VLOOKUP(K501,OFFSET(abbreviation[],0,ColumnLanguage),ColumnAbbreviation,FALSE),"")</f>
        <v/>
      </c>
      <c r="BN501" s="21" t="str">
        <f t="shared" ca="1" si="49"/>
        <v/>
      </c>
      <c r="BO501" s="21" t="str">
        <f ca="1">IFERROR(VLOOKUP(N501,OFFSET(abbreviation[],0,ColumnLanguage),ColumnAbbreviation,FALSE),"")</f>
        <v/>
      </c>
      <c r="BP501" s="21" t="str">
        <f ca="1">IFERROR(VLOOKUP(P501,OFFSET(abbreviation[],0,ColumnLanguage),ColumnAbbreviation,FALSE),"")</f>
        <v/>
      </c>
      <c r="BQ501" s="21" t="str">
        <f ca="1">IFERROR(VLOOKUP(T501,OFFSET(abbreviation[],0,ColumnLanguage),ColumnAbbreviation,FALSE),"")</f>
        <v/>
      </c>
      <c r="BR501" s="21" t="str">
        <f ca="1">IFERROR(VLOOKUP(V501,OFFSET(abbreviation[],0,ColumnLanguage),ColumnAbbreviation,FALSE),"")</f>
        <v/>
      </c>
      <c r="BS501" s="21" t="str">
        <f ca="1">IFERROR(VLOOKUP(Z501,OFFSET(abbreviation[],0,ColumnLanguage),ColumnAbbreviation,FALSE),"")</f>
        <v/>
      </c>
      <c r="BT501" s="21" t="str">
        <f ca="1">IFERROR(VLOOKUP(AB501,OFFSET(abbreviation[],0,ColumnLanguage),ColumnAbbreviation,FALSE),"")</f>
        <v/>
      </c>
      <c r="BU501" s="21" t="str">
        <f t="shared" ca="1" si="50"/>
        <v>__</v>
      </c>
      <c r="BV501" s="21" t="str">
        <f ca="1">IFERROR(VLOOKUP(AF501,OFFSET(abbreviation[],0,ColumnLanguage),ColumnAbbreviation,FALSE),"")</f>
        <v/>
      </c>
      <c r="BW501" s="21" t="str">
        <f ca="1">IFERROR(VLOOKUP(AH501,OFFSET(abbreviation[],0,ColumnLanguage),ColumnAbbreviation,FALSE),"")</f>
        <v/>
      </c>
      <c r="BX501" s="21" t="str">
        <f ca="1">IFERROR(VLOOKUP(AJ501,OFFSET(abbreviation[],0,ColumnLanguage),ColumnAbbreviation,FALSE),"")</f>
        <v/>
      </c>
      <c r="BY501" s="21" t="str">
        <f ca="1">IFERROR(VLOOKUP(AL501,OFFSET(abbreviation[],0,ColumnLanguage),ColumnAbbreviation,FALSE),"")</f>
        <v/>
      </c>
      <c r="BZ501" s="21" t="str">
        <f t="shared" ca="1" si="51"/>
        <v>_</v>
      </c>
      <c r="CA501" s="21" t="str">
        <f ca="1">IFERROR(VLOOKUP(AP501,OFFSET(abbreviation[],0,ColumnLanguage),ColumnAbbreviation,FALSE),"")</f>
        <v/>
      </c>
      <c r="CB501" s="21" t="str">
        <f ca="1">IFERROR(VLOOKUP(AR501,OFFSET(abbreviation[],0,ColumnLanguage),ColumnAbbreviation,FALSE),"")</f>
        <v/>
      </c>
      <c r="CC501" s="21" t="str">
        <f ca="1">IFERROR(VLOOKUP(AT501,OFFSET(abbreviation[],0,ColumnLanguage),ColumnAbbreviation,FALSE),"")</f>
        <v/>
      </c>
      <c r="CD501" s="21" t="str">
        <f ca="1">IFERROR(VLOOKUP(AV501,OFFSET(abbreviation[],0,ColumnLanguage),ColumnAbbreviation,FALSE),"")</f>
        <v/>
      </c>
      <c r="CE501" s="21" t="str">
        <f t="shared" ca="1" si="52"/>
        <v>__</v>
      </c>
      <c r="CF501" s="21" t="str">
        <f ca="1">IFERROR(VLOOKUP(AX501,OFFSET(abbreviation[],0,ColumnLanguage),ColumnAbbreviation,FALSE),"")</f>
        <v/>
      </c>
      <c r="CG501" s="21" t="str">
        <f ca="1">IFERROR(VLOOKUP(AZ501,OFFSET(abbreviation[],0,ColumnLanguage),ColumnAbbreviation,FALSE),"")</f>
        <v/>
      </c>
      <c r="CH501" s="21" t="str">
        <f ca="1">IFERROR(VLOOKUP(BB501,OFFSET(abbreviation[],0,ColumnLanguage),ColumnAbbreviation,FALSE),"")</f>
        <v/>
      </c>
      <c r="CI501" s="21" t="str">
        <f ca="1">IFERROR(VLOOKUP(BD501,OFFSET(abbreviation[],0,ColumnLanguage),ColumnAbbreviation,FALSE),"")</f>
        <v/>
      </c>
      <c r="CJ501" s="21" t="str">
        <f ca="1">IFERROR(VLOOKUP(BF501,OFFSET(abbreviation[],0,ColumnLanguage),ColumnAbbreviation,FALSE),"")</f>
        <v/>
      </c>
      <c r="CK501" s="21" t="str">
        <f t="shared" ca="1" si="53"/>
        <v/>
      </c>
      <c r="CL501" s="21" t="str">
        <f t="shared" si="54"/>
        <v/>
      </c>
      <c r="CM501" s="52"/>
      <c r="CN501" s="57" t="str">
        <f t="shared" si="55"/>
        <v/>
      </c>
    </row>
    <row r="502" spans="14:92" x14ac:dyDescent="0.25">
      <c r="N502" s="58"/>
      <c r="P502" s="60"/>
      <c r="Q502" s="13"/>
      <c r="V502" s="60"/>
      <c r="X502" s="61"/>
      <c r="AB502" s="60"/>
      <c r="AN502" s="54"/>
      <c r="AS502" s="15"/>
      <c r="BH502" s="52"/>
      <c r="BI502" s="21" t="str">
        <f ca="1">IFERROR(VLOOKUP(C502,OFFSET(abbreviation[],0,ColumnLanguage),ColumnAbbreviation,FALSE),"")</f>
        <v/>
      </c>
      <c r="BJ502" s="21" t="str">
        <f ca="1">IFERROR(VLOOKUP(E502,OFFSET(abbreviation[],0,ColumnLanguage),ColumnAbbreviation,FALSE),"")</f>
        <v/>
      </c>
      <c r="BK502" s="21" t="str">
        <f ca="1">IFERROR(VLOOKUP(G502,OFFSET(abbreviation[],0,ColumnLanguage),ColumnAbbreviation,FALSE),"")</f>
        <v/>
      </c>
      <c r="BL502" s="21" t="str">
        <f ca="1">IFERROR(VLOOKUP(I502,OFFSET(abbreviation[],0,ColumnLanguage),ColumnAbbreviation,FALSE),"")</f>
        <v/>
      </c>
      <c r="BM502" s="21" t="str">
        <f ca="1">IFERROR(VLOOKUP(K502,OFFSET(abbreviation[],0,ColumnLanguage),ColumnAbbreviation,FALSE),"")</f>
        <v/>
      </c>
      <c r="BN502" s="21" t="str">
        <f t="shared" ca="1" si="49"/>
        <v/>
      </c>
      <c r="BO502" s="21" t="str">
        <f ca="1">IFERROR(VLOOKUP(N502,OFFSET(abbreviation[],0,ColumnLanguage),ColumnAbbreviation,FALSE),"")</f>
        <v/>
      </c>
      <c r="BP502" s="21" t="str">
        <f ca="1">IFERROR(VLOOKUP(P502,OFFSET(abbreviation[],0,ColumnLanguage),ColumnAbbreviation,FALSE),"")</f>
        <v/>
      </c>
      <c r="BQ502" s="21" t="str">
        <f ca="1">IFERROR(VLOOKUP(T502,OFFSET(abbreviation[],0,ColumnLanguage),ColumnAbbreviation,FALSE),"")</f>
        <v/>
      </c>
      <c r="BR502" s="21" t="str">
        <f ca="1">IFERROR(VLOOKUP(V502,OFFSET(abbreviation[],0,ColumnLanguage),ColumnAbbreviation,FALSE),"")</f>
        <v/>
      </c>
      <c r="BS502" s="21" t="str">
        <f ca="1">IFERROR(VLOOKUP(Z502,OFFSET(abbreviation[],0,ColumnLanguage),ColumnAbbreviation,FALSE),"")</f>
        <v/>
      </c>
      <c r="BT502" s="21" t="str">
        <f ca="1">IFERROR(VLOOKUP(AB502,OFFSET(abbreviation[],0,ColumnLanguage),ColumnAbbreviation,FALSE),"")</f>
        <v/>
      </c>
      <c r="BU502" s="21" t="str">
        <f t="shared" ca="1" si="50"/>
        <v>__</v>
      </c>
      <c r="BV502" s="21" t="str">
        <f ca="1">IFERROR(VLOOKUP(AF502,OFFSET(abbreviation[],0,ColumnLanguage),ColumnAbbreviation,FALSE),"")</f>
        <v/>
      </c>
      <c r="BW502" s="21" t="str">
        <f ca="1">IFERROR(VLOOKUP(AH502,OFFSET(abbreviation[],0,ColumnLanguage),ColumnAbbreviation,FALSE),"")</f>
        <v/>
      </c>
      <c r="BX502" s="21" t="str">
        <f ca="1">IFERROR(VLOOKUP(AJ502,OFFSET(abbreviation[],0,ColumnLanguage),ColumnAbbreviation,FALSE),"")</f>
        <v/>
      </c>
      <c r="BY502" s="21" t="str">
        <f ca="1">IFERROR(VLOOKUP(AL502,OFFSET(abbreviation[],0,ColumnLanguage),ColumnAbbreviation,FALSE),"")</f>
        <v/>
      </c>
      <c r="BZ502" s="21" t="str">
        <f t="shared" ca="1" si="51"/>
        <v>_</v>
      </c>
      <c r="CA502" s="21" t="str">
        <f ca="1">IFERROR(VLOOKUP(AP502,OFFSET(abbreviation[],0,ColumnLanguage),ColumnAbbreviation,FALSE),"")</f>
        <v/>
      </c>
      <c r="CB502" s="21" t="str">
        <f ca="1">IFERROR(VLOOKUP(AR502,OFFSET(abbreviation[],0,ColumnLanguage),ColumnAbbreviation,FALSE),"")</f>
        <v/>
      </c>
      <c r="CC502" s="21" t="str">
        <f ca="1">IFERROR(VLOOKUP(AT502,OFFSET(abbreviation[],0,ColumnLanguage),ColumnAbbreviation,FALSE),"")</f>
        <v/>
      </c>
      <c r="CD502" s="21" t="str">
        <f ca="1">IFERROR(VLOOKUP(AV502,OFFSET(abbreviation[],0,ColumnLanguage),ColumnAbbreviation,FALSE),"")</f>
        <v/>
      </c>
      <c r="CE502" s="21" t="str">
        <f t="shared" ca="1" si="52"/>
        <v>__</v>
      </c>
      <c r="CF502" s="21" t="str">
        <f ca="1">IFERROR(VLOOKUP(AX502,OFFSET(abbreviation[],0,ColumnLanguage),ColumnAbbreviation,FALSE),"")</f>
        <v/>
      </c>
      <c r="CG502" s="21" t="str">
        <f ca="1">IFERROR(VLOOKUP(AZ502,OFFSET(abbreviation[],0,ColumnLanguage),ColumnAbbreviation,FALSE),"")</f>
        <v/>
      </c>
      <c r="CH502" s="21" t="str">
        <f ca="1">IFERROR(VLOOKUP(BB502,OFFSET(abbreviation[],0,ColumnLanguage),ColumnAbbreviation,FALSE),"")</f>
        <v/>
      </c>
      <c r="CI502" s="21" t="str">
        <f ca="1">IFERROR(VLOOKUP(BD502,OFFSET(abbreviation[],0,ColumnLanguage),ColumnAbbreviation,FALSE),"")</f>
        <v/>
      </c>
      <c r="CJ502" s="21" t="str">
        <f ca="1">IFERROR(VLOOKUP(BF502,OFFSET(abbreviation[],0,ColumnLanguage),ColumnAbbreviation,FALSE),"")</f>
        <v/>
      </c>
      <c r="CK502" s="21" t="str">
        <f t="shared" ca="1" si="53"/>
        <v/>
      </c>
      <c r="CL502" s="21" t="str">
        <f t="shared" si="54"/>
        <v/>
      </c>
      <c r="CM502" s="52"/>
      <c r="CN502" s="57" t="str">
        <f t="shared" si="55"/>
        <v/>
      </c>
    </row>
    <row r="503" spans="14:92" x14ac:dyDescent="0.25">
      <c r="N503" s="58"/>
      <c r="P503" s="60"/>
      <c r="Q503" s="13"/>
      <c r="V503" s="60"/>
      <c r="X503" s="61"/>
      <c r="AB503" s="60"/>
      <c r="AN503" s="54"/>
      <c r="AS503" s="15"/>
      <c r="BH503" s="52"/>
      <c r="BI503" s="21" t="str">
        <f ca="1">IFERROR(VLOOKUP(C503,OFFSET(abbreviation[],0,ColumnLanguage),ColumnAbbreviation,FALSE),"")</f>
        <v/>
      </c>
      <c r="BJ503" s="21" t="str">
        <f ca="1">IFERROR(VLOOKUP(E503,OFFSET(abbreviation[],0,ColumnLanguage),ColumnAbbreviation,FALSE),"")</f>
        <v/>
      </c>
      <c r="BK503" s="21" t="str">
        <f ca="1">IFERROR(VLOOKUP(G503,OFFSET(abbreviation[],0,ColumnLanguage),ColumnAbbreviation,FALSE),"")</f>
        <v/>
      </c>
      <c r="BL503" s="21" t="str">
        <f ca="1">IFERROR(VLOOKUP(I503,OFFSET(abbreviation[],0,ColumnLanguage),ColumnAbbreviation,FALSE),"")</f>
        <v/>
      </c>
      <c r="BM503" s="21" t="str">
        <f ca="1">IFERROR(VLOOKUP(K503,OFFSET(abbreviation[],0,ColumnLanguage),ColumnAbbreviation,FALSE),"")</f>
        <v/>
      </c>
      <c r="BN503" s="21" t="str">
        <f t="shared" ca="1" si="49"/>
        <v/>
      </c>
      <c r="BO503" s="21" t="str">
        <f ca="1">IFERROR(VLOOKUP(N503,OFFSET(abbreviation[],0,ColumnLanguage),ColumnAbbreviation,FALSE),"")</f>
        <v/>
      </c>
      <c r="BP503" s="21" t="str">
        <f ca="1">IFERROR(VLOOKUP(P503,OFFSET(abbreviation[],0,ColumnLanguage),ColumnAbbreviation,FALSE),"")</f>
        <v/>
      </c>
      <c r="BQ503" s="21" t="str">
        <f ca="1">IFERROR(VLOOKUP(T503,OFFSET(abbreviation[],0,ColumnLanguage),ColumnAbbreviation,FALSE),"")</f>
        <v/>
      </c>
      <c r="BR503" s="21" t="str">
        <f ca="1">IFERROR(VLOOKUP(V503,OFFSET(abbreviation[],0,ColumnLanguage),ColumnAbbreviation,FALSE),"")</f>
        <v/>
      </c>
      <c r="BS503" s="21" t="str">
        <f ca="1">IFERROR(VLOOKUP(Z503,OFFSET(abbreviation[],0,ColumnLanguage),ColumnAbbreviation,FALSE),"")</f>
        <v/>
      </c>
      <c r="BT503" s="21" t="str">
        <f ca="1">IFERROR(VLOOKUP(AB503,OFFSET(abbreviation[],0,ColumnLanguage),ColumnAbbreviation,FALSE),"")</f>
        <v/>
      </c>
      <c r="BU503" s="21" t="str">
        <f t="shared" ca="1" si="50"/>
        <v>__</v>
      </c>
      <c r="BV503" s="21" t="str">
        <f ca="1">IFERROR(VLOOKUP(AF503,OFFSET(abbreviation[],0,ColumnLanguage),ColumnAbbreviation,FALSE),"")</f>
        <v/>
      </c>
      <c r="BW503" s="21" t="str">
        <f ca="1">IFERROR(VLOOKUP(AH503,OFFSET(abbreviation[],0,ColumnLanguage),ColumnAbbreviation,FALSE),"")</f>
        <v/>
      </c>
      <c r="BX503" s="21" t="str">
        <f ca="1">IFERROR(VLOOKUP(AJ503,OFFSET(abbreviation[],0,ColumnLanguage),ColumnAbbreviation,FALSE),"")</f>
        <v/>
      </c>
      <c r="BY503" s="21" t="str">
        <f ca="1">IFERROR(VLOOKUP(AL503,OFFSET(abbreviation[],0,ColumnLanguage),ColumnAbbreviation,FALSE),"")</f>
        <v/>
      </c>
      <c r="BZ503" s="21" t="str">
        <f t="shared" ca="1" si="51"/>
        <v>_</v>
      </c>
      <c r="CA503" s="21" t="str">
        <f ca="1">IFERROR(VLOOKUP(AP503,OFFSET(abbreviation[],0,ColumnLanguage),ColumnAbbreviation,FALSE),"")</f>
        <v/>
      </c>
      <c r="CB503" s="21" t="str">
        <f ca="1">IFERROR(VLOOKUP(AR503,OFFSET(abbreviation[],0,ColumnLanguage),ColumnAbbreviation,FALSE),"")</f>
        <v/>
      </c>
      <c r="CC503" s="21" t="str">
        <f ca="1">IFERROR(VLOOKUP(AT503,OFFSET(abbreviation[],0,ColumnLanguage),ColumnAbbreviation,FALSE),"")</f>
        <v/>
      </c>
      <c r="CD503" s="21" t="str">
        <f ca="1">IFERROR(VLOOKUP(AV503,OFFSET(abbreviation[],0,ColumnLanguage),ColumnAbbreviation,FALSE),"")</f>
        <v/>
      </c>
      <c r="CE503" s="21" t="str">
        <f t="shared" ca="1" si="52"/>
        <v>__</v>
      </c>
      <c r="CF503" s="21" t="str">
        <f ca="1">IFERROR(VLOOKUP(AX503,OFFSET(abbreviation[],0,ColumnLanguage),ColumnAbbreviation,FALSE),"")</f>
        <v/>
      </c>
      <c r="CG503" s="21" t="str">
        <f ca="1">IFERROR(VLOOKUP(AZ503,OFFSET(abbreviation[],0,ColumnLanguage),ColumnAbbreviation,FALSE),"")</f>
        <v/>
      </c>
      <c r="CH503" s="21" t="str">
        <f ca="1">IFERROR(VLOOKUP(BB503,OFFSET(abbreviation[],0,ColumnLanguage),ColumnAbbreviation,FALSE),"")</f>
        <v/>
      </c>
      <c r="CI503" s="21" t="str">
        <f ca="1">IFERROR(VLOOKUP(BD503,OFFSET(abbreviation[],0,ColumnLanguage),ColumnAbbreviation,FALSE),"")</f>
        <v/>
      </c>
      <c r="CJ503" s="21" t="str">
        <f ca="1">IFERROR(VLOOKUP(BF503,OFFSET(abbreviation[],0,ColumnLanguage),ColumnAbbreviation,FALSE),"")</f>
        <v/>
      </c>
      <c r="CK503" s="21" t="str">
        <f t="shared" ca="1" si="53"/>
        <v/>
      </c>
      <c r="CL503" s="21" t="str">
        <f t="shared" si="54"/>
        <v/>
      </c>
      <c r="CM503" s="52"/>
      <c r="CN503" s="57" t="str">
        <f t="shared" si="55"/>
        <v/>
      </c>
    </row>
    <row r="504" spans="14:92" x14ac:dyDescent="0.25">
      <c r="N504" s="58"/>
      <c r="P504" s="60"/>
      <c r="Q504" s="13"/>
      <c r="V504" s="60"/>
      <c r="X504" s="61"/>
      <c r="AB504" s="60"/>
      <c r="AN504" s="54"/>
      <c r="AS504" s="15"/>
      <c r="BH504" s="52"/>
      <c r="BI504" s="21" t="str">
        <f ca="1">IFERROR(VLOOKUP(C504,OFFSET(abbreviation[],0,ColumnLanguage),ColumnAbbreviation,FALSE),"")</f>
        <v/>
      </c>
      <c r="BJ504" s="21" t="str">
        <f ca="1">IFERROR(VLOOKUP(E504,OFFSET(abbreviation[],0,ColumnLanguage),ColumnAbbreviation,FALSE),"")</f>
        <v/>
      </c>
      <c r="BK504" s="21" t="str">
        <f ca="1">IFERROR(VLOOKUP(G504,OFFSET(abbreviation[],0,ColumnLanguage),ColumnAbbreviation,FALSE),"")</f>
        <v/>
      </c>
      <c r="BL504" s="21" t="str">
        <f ca="1">IFERROR(VLOOKUP(I504,OFFSET(abbreviation[],0,ColumnLanguage),ColumnAbbreviation,FALSE),"")</f>
        <v/>
      </c>
      <c r="BM504" s="21" t="str">
        <f ca="1">IFERROR(VLOOKUP(K504,OFFSET(abbreviation[],0,ColumnLanguage),ColumnAbbreviation,FALSE),"")</f>
        <v/>
      </c>
      <c r="BN504" s="21" t="str">
        <f t="shared" ca="1" si="49"/>
        <v/>
      </c>
      <c r="BO504" s="21" t="str">
        <f ca="1">IFERROR(VLOOKUP(N504,OFFSET(abbreviation[],0,ColumnLanguage),ColumnAbbreviation,FALSE),"")</f>
        <v/>
      </c>
      <c r="BP504" s="21" t="str">
        <f ca="1">IFERROR(VLOOKUP(P504,OFFSET(abbreviation[],0,ColumnLanguage),ColumnAbbreviation,FALSE),"")</f>
        <v/>
      </c>
      <c r="BQ504" s="21" t="str">
        <f ca="1">IFERROR(VLOOKUP(T504,OFFSET(abbreviation[],0,ColumnLanguage),ColumnAbbreviation,FALSE),"")</f>
        <v/>
      </c>
      <c r="BR504" s="21" t="str">
        <f ca="1">IFERROR(VLOOKUP(V504,OFFSET(abbreviation[],0,ColumnLanguage),ColumnAbbreviation,FALSE),"")</f>
        <v/>
      </c>
      <c r="BS504" s="21" t="str">
        <f ca="1">IFERROR(VLOOKUP(Z504,OFFSET(abbreviation[],0,ColumnLanguage),ColumnAbbreviation,FALSE),"")</f>
        <v/>
      </c>
      <c r="BT504" s="21" t="str">
        <f ca="1">IFERROR(VLOOKUP(AB504,OFFSET(abbreviation[],0,ColumnLanguage),ColumnAbbreviation,FALSE),"")</f>
        <v/>
      </c>
      <c r="BU504" s="21" t="str">
        <f t="shared" ca="1" si="50"/>
        <v>__</v>
      </c>
      <c r="BV504" s="21" t="str">
        <f ca="1">IFERROR(VLOOKUP(AF504,OFFSET(abbreviation[],0,ColumnLanguage),ColumnAbbreviation,FALSE),"")</f>
        <v/>
      </c>
      <c r="BW504" s="21" t="str">
        <f ca="1">IFERROR(VLOOKUP(AH504,OFFSET(abbreviation[],0,ColumnLanguage),ColumnAbbreviation,FALSE),"")</f>
        <v/>
      </c>
      <c r="BX504" s="21" t="str">
        <f ca="1">IFERROR(VLOOKUP(AJ504,OFFSET(abbreviation[],0,ColumnLanguage),ColumnAbbreviation,FALSE),"")</f>
        <v/>
      </c>
      <c r="BY504" s="21" t="str">
        <f ca="1">IFERROR(VLOOKUP(AL504,OFFSET(abbreviation[],0,ColumnLanguage),ColumnAbbreviation,FALSE),"")</f>
        <v/>
      </c>
      <c r="BZ504" s="21" t="str">
        <f t="shared" ca="1" si="51"/>
        <v>_</v>
      </c>
      <c r="CA504" s="21" t="str">
        <f ca="1">IFERROR(VLOOKUP(AP504,OFFSET(abbreviation[],0,ColumnLanguage),ColumnAbbreviation,FALSE),"")</f>
        <v/>
      </c>
      <c r="CB504" s="21" t="str">
        <f ca="1">IFERROR(VLOOKUP(AR504,OFFSET(abbreviation[],0,ColumnLanguage),ColumnAbbreviation,FALSE),"")</f>
        <v/>
      </c>
      <c r="CC504" s="21" t="str">
        <f ca="1">IFERROR(VLOOKUP(AT504,OFFSET(abbreviation[],0,ColumnLanguage),ColumnAbbreviation,FALSE),"")</f>
        <v/>
      </c>
      <c r="CD504" s="21" t="str">
        <f ca="1">IFERROR(VLOOKUP(AV504,OFFSET(abbreviation[],0,ColumnLanguage),ColumnAbbreviation,FALSE),"")</f>
        <v/>
      </c>
      <c r="CE504" s="21" t="str">
        <f t="shared" ca="1" si="52"/>
        <v>__</v>
      </c>
      <c r="CF504" s="21" t="str">
        <f ca="1">IFERROR(VLOOKUP(AX504,OFFSET(abbreviation[],0,ColumnLanguage),ColumnAbbreviation,FALSE),"")</f>
        <v/>
      </c>
      <c r="CG504" s="21" t="str">
        <f ca="1">IFERROR(VLOOKUP(AZ504,OFFSET(abbreviation[],0,ColumnLanguage),ColumnAbbreviation,FALSE),"")</f>
        <v/>
      </c>
      <c r="CH504" s="21" t="str">
        <f ca="1">IFERROR(VLOOKUP(BB504,OFFSET(abbreviation[],0,ColumnLanguage),ColumnAbbreviation,FALSE),"")</f>
        <v/>
      </c>
      <c r="CI504" s="21" t="str">
        <f ca="1">IFERROR(VLOOKUP(BD504,OFFSET(abbreviation[],0,ColumnLanguage),ColumnAbbreviation,FALSE),"")</f>
        <v/>
      </c>
      <c r="CJ504" s="21" t="str">
        <f ca="1">IFERROR(VLOOKUP(BF504,OFFSET(abbreviation[],0,ColumnLanguage),ColumnAbbreviation,FALSE),"")</f>
        <v/>
      </c>
      <c r="CK504" s="21" t="str">
        <f t="shared" ca="1" si="53"/>
        <v/>
      </c>
      <c r="CL504" s="21" t="str">
        <f t="shared" si="54"/>
        <v/>
      </c>
      <c r="CM504" s="52"/>
      <c r="CN504" s="57" t="str">
        <f t="shared" si="55"/>
        <v/>
      </c>
    </row>
    <row r="505" spans="14:92" x14ac:dyDescent="0.25">
      <c r="N505" s="58"/>
      <c r="P505" s="60"/>
      <c r="Q505" s="13"/>
      <c r="V505" s="60"/>
      <c r="X505" s="61"/>
      <c r="AB505" s="60"/>
      <c r="AN505" s="54"/>
      <c r="AS505" s="15"/>
      <c r="BH505" s="52"/>
      <c r="BI505" s="21" t="str">
        <f ca="1">IFERROR(VLOOKUP(C505,OFFSET(abbreviation[],0,ColumnLanguage),ColumnAbbreviation,FALSE),"")</f>
        <v/>
      </c>
      <c r="BJ505" s="21" t="str">
        <f ca="1">IFERROR(VLOOKUP(E505,OFFSET(abbreviation[],0,ColumnLanguage),ColumnAbbreviation,FALSE),"")</f>
        <v/>
      </c>
      <c r="BK505" s="21" t="str">
        <f ca="1">IFERROR(VLOOKUP(G505,OFFSET(abbreviation[],0,ColumnLanguage),ColumnAbbreviation,FALSE),"")</f>
        <v/>
      </c>
      <c r="BL505" s="21" t="str">
        <f ca="1">IFERROR(VLOOKUP(I505,OFFSET(abbreviation[],0,ColumnLanguage),ColumnAbbreviation,FALSE),"")</f>
        <v/>
      </c>
      <c r="BM505" s="21" t="str">
        <f ca="1">IFERROR(VLOOKUP(K505,OFFSET(abbreviation[],0,ColumnLanguage),ColumnAbbreviation,FALSE),"")</f>
        <v/>
      </c>
      <c r="BN505" s="21" t="str">
        <f t="shared" ca="1" si="49"/>
        <v/>
      </c>
      <c r="BO505" s="21" t="str">
        <f ca="1">IFERROR(VLOOKUP(N505,OFFSET(abbreviation[],0,ColumnLanguage),ColumnAbbreviation,FALSE),"")</f>
        <v/>
      </c>
      <c r="BP505" s="21" t="str">
        <f ca="1">IFERROR(VLOOKUP(P505,OFFSET(abbreviation[],0,ColumnLanguage),ColumnAbbreviation,FALSE),"")</f>
        <v/>
      </c>
      <c r="BQ505" s="21" t="str">
        <f ca="1">IFERROR(VLOOKUP(T505,OFFSET(abbreviation[],0,ColumnLanguage),ColumnAbbreviation,FALSE),"")</f>
        <v/>
      </c>
      <c r="BR505" s="21" t="str">
        <f ca="1">IFERROR(VLOOKUP(V505,OFFSET(abbreviation[],0,ColumnLanguage),ColumnAbbreviation,FALSE),"")</f>
        <v/>
      </c>
      <c r="BS505" s="21" t="str">
        <f ca="1">IFERROR(VLOOKUP(Z505,OFFSET(abbreviation[],0,ColumnLanguage),ColumnAbbreviation,FALSE),"")</f>
        <v/>
      </c>
      <c r="BT505" s="21" t="str">
        <f ca="1">IFERROR(VLOOKUP(AB505,OFFSET(abbreviation[],0,ColumnLanguage),ColumnAbbreviation,FALSE),"")</f>
        <v/>
      </c>
      <c r="BU505" s="21" t="str">
        <f t="shared" ca="1" si="50"/>
        <v>__</v>
      </c>
      <c r="BV505" s="21" t="str">
        <f ca="1">IFERROR(VLOOKUP(AF505,OFFSET(abbreviation[],0,ColumnLanguage),ColumnAbbreviation,FALSE),"")</f>
        <v/>
      </c>
      <c r="BW505" s="21" t="str">
        <f ca="1">IFERROR(VLOOKUP(AH505,OFFSET(abbreviation[],0,ColumnLanguage),ColumnAbbreviation,FALSE),"")</f>
        <v/>
      </c>
      <c r="BX505" s="21" t="str">
        <f ca="1">IFERROR(VLOOKUP(AJ505,OFFSET(abbreviation[],0,ColumnLanguage),ColumnAbbreviation,FALSE),"")</f>
        <v/>
      </c>
      <c r="BY505" s="21" t="str">
        <f ca="1">IFERROR(VLOOKUP(AL505,OFFSET(abbreviation[],0,ColumnLanguage),ColumnAbbreviation,FALSE),"")</f>
        <v/>
      </c>
      <c r="BZ505" s="21" t="str">
        <f t="shared" ca="1" si="51"/>
        <v>_</v>
      </c>
      <c r="CA505" s="21" t="str">
        <f ca="1">IFERROR(VLOOKUP(AP505,OFFSET(abbreviation[],0,ColumnLanguage),ColumnAbbreviation,FALSE),"")</f>
        <v/>
      </c>
      <c r="CB505" s="21" t="str">
        <f ca="1">IFERROR(VLOOKUP(AR505,OFFSET(abbreviation[],0,ColumnLanguage),ColumnAbbreviation,FALSE),"")</f>
        <v/>
      </c>
      <c r="CC505" s="21" t="str">
        <f ca="1">IFERROR(VLOOKUP(AT505,OFFSET(abbreviation[],0,ColumnLanguage),ColumnAbbreviation,FALSE),"")</f>
        <v/>
      </c>
      <c r="CD505" s="21" t="str">
        <f ca="1">IFERROR(VLOOKUP(AV505,OFFSET(abbreviation[],0,ColumnLanguage),ColumnAbbreviation,FALSE),"")</f>
        <v/>
      </c>
      <c r="CE505" s="21" t="str">
        <f t="shared" ca="1" si="52"/>
        <v>__</v>
      </c>
      <c r="CF505" s="21" t="str">
        <f ca="1">IFERROR(VLOOKUP(AX505,OFFSET(abbreviation[],0,ColumnLanguage),ColumnAbbreviation,FALSE),"")</f>
        <v/>
      </c>
      <c r="CG505" s="21" t="str">
        <f ca="1">IFERROR(VLOOKUP(AZ505,OFFSET(abbreviation[],0,ColumnLanguage),ColumnAbbreviation,FALSE),"")</f>
        <v/>
      </c>
      <c r="CH505" s="21" t="str">
        <f ca="1">IFERROR(VLOOKUP(BB505,OFFSET(abbreviation[],0,ColumnLanguage),ColumnAbbreviation,FALSE),"")</f>
        <v/>
      </c>
      <c r="CI505" s="21" t="str">
        <f ca="1">IFERROR(VLOOKUP(BD505,OFFSET(abbreviation[],0,ColumnLanguage),ColumnAbbreviation,FALSE),"")</f>
        <v/>
      </c>
      <c r="CJ505" s="21" t="str">
        <f ca="1">IFERROR(VLOOKUP(BF505,OFFSET(abbreviation[],0,ColumnLanguage),ColumnAbbreviation,FALSE),"")</f>
        <v/>
      </c>
      <c r="CK505" s="21" t="str">
        <f t="shared" ca="1" si="53"/>
        <v/>
      </c>
      <c r="CL505" s="21" t="str">
        <f t="shared" si="54"/>
        <v/>
      </c>
      <c r="CM505" s="52"/>
      <c r="CN505" s="57" t="str">
        <f t="shared" si="55"/>
        <v/>
      </c>
    </row>
    <row r="506" spans="14:92" x14ac:dyDescent="0.25">
      <c r="N506" s="58"/>
      <c r="P506" s="60"/>
      <c r="Q506" s="13"/>
      <c r="V506" s="60"/>
      <c r="X506" s="61"/>
      <c r="AB506" s="60"/>
      <c r="AN506" s="54"/>
      <c r="AS506" s="15"/>
      <c r="BH506" s="52"/>
      <c r="BI506" s="21" t="str">
        <f ca="1">IFERROR(VLOOKUP(C506,OFFSET(abbreviation[],0,ColumnLanguage),ColumnAbbreviation,FALSE),"")</f>
        <v/>
      </c>
      <c r="BJ506" s="21" t="str">
        <f ca="1">IFERROR(VLOOKUP(E506,OFFSET(abbreviation[],0,ColumnLanguage),ColumnAbbreviation,FALSE),"")</f>
        <v/>
      </c>
      <c r="BK506" s="21" t="str">
        <f ca="1">IFERROR(VLOOKUP(G506,OFFSET(abbreviation[],0,ColumnLanguage),ColumnAbbreviation,FALSE),"")</f>
        <v/>
      </c>
      <c r="BL506" s="21" t="str">
        <f ca="1">IFERROR(VLOOKUP(I506,OFFSET(abbreviation[],0,ColumnLanguage),ColumnAbbreviation,FALSE),"")</f>
        <v/>
      </c>
      <c r="BM506" s="21" t="str">
        <f ca="1">IFERROR(VLOOKUP(K506,OFFSET(abbreviation[],0,ColumnLanguage),ColumnAbbreviation,FALSE),"")</f>
        <v/>
      </c>
      <c r="BN506" s="21" t="str">
        <f t="shared" ca="1" si="49"/>
        <v/>
      </c>
      <c r="BO506" s="21" t="str">
        <f ca="1">IFERROR(VLOOKUP(N506,OFFSET(abbreviation[],0,ColumnLanguage),ColumnAbbreviation,FALSE),"")</f>
        <v/>
      </c>
      <c r="BP506" s="21" t="str">
        <f ca="1">IFERROR(VLOOKUP(P506,OFFSET(abbreviation[],0,ColumnLanguage),ColumnAbbreviation,FALSE),"")</f>
        <v/>
      </c>
      <c r="BQ506" s="21" t="str">
        <f ca="1">IFERROR(VLOOKUP(T506,OFFSET(abbreviation[],0,ColumnLanguage),ColumnAbbreviation,FALSE),"")</f>
        <v/>
      </c>
      <c r="BR506" s="21" t="str">
        <f ca="1">IFERROR(VLOOKUP(V506,OFFSET(abbreviation[],0,ColumnLanguage),ColumnAbbreviation,FALSE),"")</f>
        <v/>
      </c>
      <c r="BS506" s="21" t="str">
        <f ca="1">IFERROR(VLOOKUP(Z506,OFFSET(abbreviation[],0,ColumnLanguage),ColumnAbbreviation,FALSE),"")</f>
        <v/>
      </c>
      <c r="BT506" s="21" t="str">
        <f ca="1">IFERROR(VLOOKUP(AB506,OFFSET(abbreviation[],0,ColumnLanguage),ColumnAbbreviation,FALSE),"")</f>
        <v/>
      </c>
      <c r="BU506" s="21" t="str">
        <f t="shared" ca="1" si="50"/>
        <v>__</v>
      </c>
      <c r="BV506" s="21" t="str">
        <f ca="1">IFERROR(VLOOKUP(AF506,OFFSET(abbreviation[],0,ColumnLanguage),ColumnAbbreviation,FALSE),"")</f>
        <v/>
      </c>
      <c r="BW506" s="21" t="str">
        <f ca="1">IFERROR(VLOOKUP(AH506,OFFSET(abbreviation[],0,ColumnLanguage),ColumnAbbreviation,FALSE),"")</f>
        <v/>
      </c>
      <c r="BX506" s="21" t="str">
        <f ca="1">IFERROR(VLOOKUP(AJ506,OFFSET(abbreviation[],0,ColumnLanguage),ColumnAbbreviation,FALSE),"")</f>
        <v/>
      </c>
      <c r="BY506" s="21" t="str">
        <f ca="1">IFERROR(VLOOKUP(AL506,OFFSET(abbreviation[],0,ColumnLanguage),ColumnAbbreviation,FALSE),"")</f>
        <v/>
      </c>
      <c r="BZ506" s="21" t="str">
        <f t="shared" ca="1" si="51"/>
        <v>_</v>
      </c>
      <c r="CA506" s="21" t="str">
        <f ca="1">IFERROR(VLOOKUP(AP506,OFFSET(abbreviation[],0,ColumnLanguage),ColumnAbbreviation,FALSE),"")</f>
        <v/>
      </c>
      <c r="CB506" s="21" t="str">
        <f ca="1">IFERROR(VLOOKUP(AR506,OFFSET(abbreviation[],0,ColumnLanguage),ColumnAbbreviation,FALSE),"")</f>
        <v/>
      </c>
      <c r="CC506" s="21" t="str">
        <f ca="1">IFERROR(VLOOKUP(AT506,OFFSET(abbreviation[],0,ColumnLanguage),ColumnAbbreviation,FALSE),"")</f>
        <v/>
      </c>
      <c r="CD506" s="21" t="str">
        <f ca="1">IFERROR(VLOOKUP(AV506,OFFSET(abbreviation[],0,ColumnLanguage),ColumnAbbreviation,FALSE),"")</f>
        <v/>
      </c>
      <c r="CE506" s="21" t="str">
        <f t="shared" ca="1" si="52"/>
        <v>__</v>
      </c>
      <c r="CF506" s="21" t="str">
        <f ca="1">IFERROR(VLOOKUP(AX506,OFFSET(abbreviation[],0,ColumnLanguage),ColumnAbbreviation,FALSE),"")</f>
        <v/>
      </c>
      <c r="CG506" s="21" t="str">
        <f ca="1">IFERROR(VLOOKUP(AZ506,OFFSET(abbreviation[],0,ColumnLanguage),ColumnAbbreviation,FALSE),"")</f>
        <v/>
      </c>
      <c r="CH506" s="21" t="str">
        <f ca="1">IFERROR(VLOOKUP(BB506,OFFSET(abbreviation[],0,ColumnLanguage),ColumnAbbreviation,FALSE),"")</f>
        <v/>
      </c>
      <c r="CI506" s="21" t="str">
        <f ca="1">IFERROR(VLOOKUP(BD506,OFFSET(abbreviation[],0,ColumnLanguage),ColumnAbbreviation,FALSE),"")</f>
        <v/>
      </c>
      <c r="CJ506" s="21" t="str">
        <f ca="1">IFERROR(VLOOKUP(BF506,OFFSET(abbreviation[],0,ColumnLanguage),ColumnAbbreviation,FALSE),"")</f>
        <v/>
      </c>
      <c r="CK506" s="21" t="str">
        <f t="shared" ca="1" si="53"/>
        <v/>
      </c>
      <c r="CL506" s="21" t="str">
        <f t="shared" si="54"/>
        <v/>
      </c>
      <c r="CM506" s="52"/>
      <c r="CN506" s="57" t="str">
        <f t="shared" si="55"/>
        <v/>
      </c>
    </row>
    <row r="507" spans="14:92" x14ac:dyDescent="0.25">
      <c r="N507" s="58"/>
      <c r="P507" s="60"/>
      <c r="Q507" s="13"/>
      <c r="V507" s="60"/>
      <c r="X507" s="61"/>
      <c r="AB507" s="60"/>
      <c r="AN507" s="54"/>
      <c r="AS507" s="15"/>
      <c r="BH507" s="52"/>
      <c r="BI507" s="21" t="str">
        <f ca="1">IFERROR(VLOOKUP(C507,OFFSET(abbreviation[],0,ColumnLanguage),ColumnAbbreviation,FALSE),"")</f>
        <v/>
      </c>
      <c r="BJ507" s="21" t="str">
        <f ca="1">IFERROR(VLOOKUP(E507,OFFSET(abbreviation[],0,ColumnLanguage),ColumnAbbreviation,FALSE),"")</f>
        <v/>
      </c>
      <c r="BK507" s="21" t="str">
        <f ca="1">IFERROR(VLOOKUP(G507,OFFSET(abbreviation[],0,ColumnLanguage),ColumnAbbreviation,FALSE),"")</f>
        <v/>
      </c>
      <c r="BL507" s="21" t="str">
        <f ca="1">IFERROR(VLOOKUP(I507,OFFSET(abbreviation[],0,ColumnLanguage),ColumnAbbreviation,FALSE),"")</f>
        <v/>
      </c>
      <c r="BM507" s="21" t="str">
        <f ca="1">IFERROR(VLOOKUP(K507,OFFSET(abbreviation[],0,ColumnLanguage),ColumnAbbreviation,FALSE),"")</f>
        <v/>
      </c>
      <c r="BN507" s="21" t="str">
        <f t="shared" ca="1" si="49"/>
        <v/>
      </c>
      <c r="BO507" s="21" t="str">
        <f ca="1">IFERROR(VLOOKUP(N507,OFFSET(abbreviation[],0,ColumnLanguage),ColumnAbbreviation,FALSE),"")</f>
        <v/>
      </c>
      <c r="BP507" s="21" t="str">
        <f ca="1">IFERROR(VLOOKUP(P507,OFFSET(abbreviation[],0,ColumnLanguage),ColumnAbbreviation,FALSE),"")</f>
        <v/>
      </c>
      <c r="BQ507" s="21" t="str">
        <f ca="1">IFERROR(VLOOKUP(T507,OFFSET(abbreviation[],0,ColumnLanguage),ColumnAbbreviation,FALSE),"")</f>
        <v/>
      </c>
      <c r="BR507" s="21" t="str">
        <f ca="1">IFERROR(VLOOKUP(V507,OFFSET(abbreviation[],0,ColumnLanguage),ColumnAbbreviation,FALSE),"")</f>
        <v/>
      </c>
      <c r="BS507" s="21" t="str">
        <f ca="1">IFERROR(VLOOKUP(Z507,OFFSET(abbreviation[],0,ColumnLanguage),ColumnAbbreviation,FALSE),"")</f>
        <v/>
      </c>
      <c r="BT507" s="21" t="str">
        <f ca="1">IFERROR(VLOOKUP(AB507,OFFSET(abbreviation[],0,ColumnLanguage),ColumnAbbreviation,FALSE),"")</f>
        <v/>
      </c>
      <c r="BU507" s="21" t="str">
        <f t="shared" ca="1" si="50"/>
        <v>__</v>
      </c>
      <c r="BV507" s="21" t="str">
        <f ca="1">IFERROR(VLOOKUP(AF507,OFFSET(abbreviation[],0,ColumnLanguage),ColumnAbbreviation,FALSE),"")</f>
        <v/>
      </c>
      <c r="BW507" s="21" t="str">
        <f ca="1">IFERROR(VLOOKUP(AH507,OFFSET(abbreviation[],0,ColumnLanguage),ColumnAbbreviation,FALSE),"")</f>
        <v/>
      </c>
      <c r="BX507" s="21" t="str">
        <f ca="1">IFERROR(VLOOKUP(AJ507,OFFSET(abbreviation[],0,ColumnLanguage),ColumnAbbreviation,FALSE),"")</f>
        <v/>
      </c>
      <c r="BY507" s="21" t="str">
        <f ca="1">IFERROR(VLOOKUP(AL507,OFFSET(abbreviation[],0,ColumnLanguage),ColumnAbbreviation,FALSE),"")</f>
        <v/>
      </c>
      <c r="BZ507" s="21" t="str">
        <f t="shared" ca="1" si="51"/>
        <v>_</v>
      </c>
      <c r="CA507" s="21" t="str">
        <f ca="1">IFERROR(VLOOKUP(AP507,OFFSET(abbreviation[],0,ColumnLanguage),ColumnAbbreviation,FALSE),"")</f>
        <v/>
      </c>
      <c r="CB507" s="21" t="str">
        <f ca="1">IFERROR(VLOOKUP(AR507,OFFSET(abbreviation[],0,ColumnLanguage),ColumnAbbreviation,FALSE),"")</f>
        <v/>
      </c>
      <c r="CC507" s="21" t="str">
        <f ca="1">IFERROR(VLOOKUP(AT507,OFFSET(abbreviation[],0,ColumnLanguage),ColumnAbbreviation,FALSE),"")</f>
        <v/>
      </c>
      <c r="CD507" s="21" t="str">
        <f ca="1">IFERROR(VLOOKUP(AV507,OFFSET(abbreviation[],0,ColumnLanguage),ColumnAbbreviation,FALSE),"")</f>
        <v/>
      </c>
      <c r="CE507" s="21" t="str">
        <f t="shared" ca="1" si="52"/>
        <v>__</v>
      </c>
      <c r="CF507" s="21" t="str">
        <f ca="1">IFERROR(VLOOKUP(AX507,OFFSET(abbreviation[],0,ColumnLanguage),ColumnAbbreviation,FALSE),"")</f>
        <v/>
      </c>
      <c r="CG507" s="21" t="str">
        <f ca="1">IFERROR(VLOOKUP(AZ507,OFFSET(abbreviation[],0,ColumnLanguage),ColumnAbbreviation,FALSE),"")</f>
        <v/>
      </c>
      <c r="CH507" s="21" t="str">
        <f ca="1">IFERROR(VLOOKUP(BB507,OFFSET(abbreviation[],0,ColumnLanguage),ColumnAbbreviation,FALSE),"")</f>
        <v/>
      </c>
      <c r="CI507" s="21" t="str">
        <f ca="1">IFERROR(VLOOKUP(BD507,OFFSET(abbreviation[],0,ColumnLanguage),ColumnAbbreviation,FALSE),"")</f>
        <v/>
      </c>
      <c r="CJ507" s="21" t="str">
        <f ca="1">IFERROR(VLOOKUP(BF507,OFFSET(abbreviation[],0,ColumnLanguage),ColumnAbbreviation,FALSE),"")</f>
        <v/>
      </c>
      <c r="CK507" s="21" t="str">
        <f t="shared" ca="1" si="53"/>
        <v/>
      </c>
      <c r="CL507" s="21" t="str">
        <f t="shared" si="54"/>
        <v/>
      </c>
      <c r="CM507" s="52"/>
      <c r="CN507" s="57" t="str">
        <f t="shared" si="55"/>
        <v/>
      </c>
    </row>
    <row r="508" spans="14:92" x14ac:dyDescent="0.25">
      <c r="N508" s="58"/>
      <c r="P508" s="60"/>
      <c r="Q508" s="13"/>
      <c r="V508" s="60"/>
      <c r="X508" s="61"/>
      <c r="AB508" s="60"/>
      <c r="AN508" s="54"/>
      <c r="AS508" s="15"/>
      <c r="BH508" s="52"/>
      <c r="BI508" s="21" t="str">
        <f ca="1">IFERROR(VLOOKUP(C508,OFFSET(abbreviation[],0,ColumnLanguage),ColumnAbbreviation,FALSE),"")</f>
        <v/>
      </c>
      <c r="BJ508" s="21" t="str">
        <f ca="1">IFERROR(VLOOKUP(E508,OFFSET(abbreviation[],0,ColumnLanguage),ColumnAbbreviation,FALSE),"")</f>
        <v/>
      </c>
      <c r="BK508" s="21" t="str">
        <f ca="1">IFERROR(VLOOKUP(G508,OFFSET(abbreviation[],0,ColumnLanguage),ColumnAbbreviation,FALSE),"")</f>
        <v/>
      </c>
      <c r="BL508" s="21" t="str">
        <f ca="1">IFERROR(VLOOKUP(I508,OFFSET(abbreviation[],0,ColumnLanguage),ColumnAbbreviation,FALSE),"")</f>
        <v/>
      </c>
      <c r="BM508" s="21" t="str">
        <f ca="1">IFERROR(VLOOKUP(K508,OFFSET(abbreviation[],0,ColumnLanguage),ColumnAbbreviation,FALSE),"")</f>
        <v/>
      </c>
      <c r="BN508" s="21" t="str">
        <f t="shared" ca="1" si="49"/>
        <v/>
      </c>
      <c r="BO508" s="21" t="str">
        <f ca="1">IFERROR(VLOOKUP(N508,OFFSET(abbreviation[],0,ColumnLanguage),ColumnAbbreviation,FALSE),"")</f>
        <v/>
      </c>
      <c r="BP508" s="21" t="str">
        <f ca="1">IFERROR(VLOOKUP(P508,OFFSET(abbreviation[],0,ColumnLanguage),ColumnAbbreviation,FALSE),"")</f>
        <v/>
      </c>
      <c r="BQ508" s="21" t="str">
        <f ca="1">IFERROR(VLOOKUP(T508,OFFSET(abbreviation[],0,ColumnLanguage),ColumnAbbreviation,FALSE),"")</f>
        <v/>
      </c>
      <c r="BR508" s="21" t="str">
        <f ca="1">IFERROR(VLOOKUP(V508,OFFSET(abbreviation[],0,ColumnLanguage),ColumnAbbreviation,FALSE),"")</f>
        <v/>
      </c>
      <c r="BS508" s="21" t="str">
        <f ca="1">IFERROR(VLOOKUP(Z508,OFFSET(abbreviation[],0,ColumnLanguage),ColumnAbbreviation,FALSE),"")</f>
        <v/>
      </c>
      <c r="BT508" s="21" t="str">
        <f ca="1">IFERROR(VLOOKUP(AB508,OFFSET(abbreviation[],0,ColumnLanguage),ColumnAbbreviation,FALSE),"")</f>
        <v/>
      </c>
      <c r="BU508" s="21" t="str">
        <f t="shared" ca="1" si="50"/>
        <v>__</v>
      </c>
      <c r="BV508" s="21" t="str">
        <f ca="1">IFERROR(VLOOKUP(AF508,OFFSET(abbreviation[],0,ColumnLanguage),ColumnAbbreviation,FALSE),"")</f>
        <v/>
      </c>
      <c r="BW508" s="21" t="str">
        <f ca="1">IFERROR(VLOOKUP(AH508,OFFSET(abbreviation[],0,ColumnLanguage),ColumnAbbreviation,FALSE),"")</f>
        <v/>
      </c>
      <c r="BX508" s="21" t="str">
        <f ca="1">IFERROR(VLOOKUP(AJ508,OFFSET(abbreviation[],0,ColumnLanguage),ColumnAbbreviation,FALSE),"")</f>
        <v/>
      </c>
      <c r="BY508" s="21" t="str">
        <f ca="1">IFERROR(VLOOKUP(AL508,OFFSET(abbreviation[],0,ColumnLanguage),ColumnAbbreviation,FALSE),"")</f>
        <v/>
      </c>
      <c r="BZ508" s="21" t="str">
        <f t="shared" ca="1" si="51"/>
        <v>_</v>
      </c>
      <c r="CA508" s="21" t="str">
        <f ca="1">IFERROR(VLOOKUP(AP508,OFFSET(abbreviation[],0,ColumnLanguage),ColumnAbbreviation,FALSE),"")</f>
        <v/>
      </c>
      <c r="CB508" s="21" t="str">
        <f ca="1">IFERROR(VLOOKUP(AR508,OFFSET(abbreviation[],0,ColumnLanguage),ColumnAbbreviation,FALSE),"")</f>
        <v/>
      </c>
      <c r="CC508" s="21" t="str">
        <f ca="1">IFERROR(VLOOKUP(AT508,OFFSET(abbreviation[],0,ColumnLanguage),ColumnAbbreviation,FALSE),"")</f>
        <v/>
      </c>
      <c r="CD508" s="21" t="str">
        <f ca="1">IFERROR(VLOOKUP(AV508,OFFSET(abbreviation[],0,ColumnLanguage),ColumnAbbreviation,FALSE),"")</f>
        <v/>
      </c>
      <c r="CE508" s="21" t="str">
        <f t="shared" ca="1" si="52"/>
        <v>__</v>
      </c>
      <c r="CF508" s="21" t="str">
        <f ca="1">IFERROR(VLOOKUP(AX508,OFFSET(abbreviation[],0,ColumnLanguage),ColumnAbbreviation,FALSE),"")</f>
        <v/>
      </c>
      <c r="CG508" s="21" t="str">
        <f ca="1">IFERROR(VLOOKUP(AZ508,OFFSET(abbreviation[],0,ColumnLanguage),ColumnAbbreviation,FALSE),"")</f>
        <v/>
      </c>
      <c r="CH508" s="21" t="str">
        <f ca="1">IFERROR(VLOOKUP(BB508,OFFSET(abbreviation[],0,ColumnLanguage),ColumnAbbreviation,FALSE),"")</f>
        <v/>
      </c>
      <c r="CI508" s="21" t="str">
        <f ca="1">IFERROR(VLOOKUP(BD508,OFFSET(abbreviation[],0,ColumnLanguage),ColumnAbbreviation,FALSE),"")</f>
        <v/>
      </c>
      <c r="CJ508" s="21" t="str">
        <f ca="1">IFERROR(VLOOKUP(BF508,OFFSET(abbreviation[],0,ColumnLanguage),ColumnAbbreviation,FALSE),"")</f>
        <v/>
      </c>
      <c r="CK508" s="21" t="str">
        <f t="shared" ca="1" si="53"/>
        <v/>
      </c>
      <c r="CL508" s="21" t="str">
        <f t="shared" si="54"/>
        <v/>
      </c>
      <c r="CM508" s="52"/>
      <c r="CN508" s="57" t="str">
        <f t="shared" si="55"/>
        <v/>
      </c>
    </row>
    <row r="509" spans="14:92" x14ac:dyDescent="0.25">
      <c r="N509" s="58"/>
      <c r="P509" s="60"/>
      <c r="Q509" s="13"/>
      <c r="V509" s="60"/>
      <c r="X509" s="61"/>
      <c r="AB509" s="60"/>
      <c r="AN509" s="54"/>
      <c r="AS509" s="15"/>
      <c r="BH509" s="52"/>
      <c r="BI509" s="21" t="str">
        <f ca="1">IFERROR(VLOOKUP(C509,OFFSET(abbreviation[],0,ColumnLanguage),ColumnAbbreviation,FALSE),"")</f>
        <v/>
      </c>
      <c r="BJ509" s="21" t="str">
        <f ca="1">IFERROR(VLOOKUP(E509,OFFSET(abbreviation[],0,ColumnLanguage),ColumnAbbreviation,FALSE),"")</f>
        <v/>
      </c>
      <c r="BK509" s="21" t="str">
        <f ca="1">IFERROR(VLOOKUP(G509,OFFSET(abbreviation[],0,ColumnLanguage),ColumnAbbreviation,FALSE),"")</f>
        <v/>
      </c>
      <c r="BL509" s="21" t="str">
        <f ca="1">IFERROR(VLOOKUP(I509,OFFSET(abbreviation[],0,ColumnLanguage),ColumnAbbreviation,FALSE),"")</f>
        <v/>
      </c>
      <c r="BM509" s="21" t="str">
        <f ca="1">IFERROR(VLOOKUP(K509,OFFSET(abbreviation[],0,ColumnLanguage),ColumnAbbreviation,FALSE),"")</f>
        <v/>
      </c>
      <c r="BN509" s="21" t="str">
        <f t="shared" ca="1" si="49"/>
        <v/>
      </c>
      <c r="BO509" s="21" t="str">
        <f ca="1">IFERROR(VLOOKUP(N509,OFFSET(abbreviation[],0,ColumnLanguage),ColumnAbbreviation,FALSE),"")</f>
        <v/>
      </c>
      <c r="BP509" s="21" t="str">
        <f ca="1">IFERROR(VLOOKUP(P509,OFFSET(abbreviation[],0,ColumnLanguage),ColumnAbbreviation,FALSE),"")</f>
        <v/>
      </c>
      <c r="BQ509" s="21" t="str">
        <f ca="1">IFERROR(VLOOKUP(T509,OFFSET(abbreviation[],0,ColumnLanguage),ColumnAbbreviation,FALSE),"")</f>
        <v/>
      </c>
      <c r="BR509" s="21" t="str">
        <f ca="1">IFERROR(VLOOKUP(V509,OFFSET(abbreviation[],0,ColumnLanguage),ColumnAbbreviation,FALSE),"")</f>
        <v/>
      </c>
      <c r="BS509" s="21" t="str">
        <f ca="1">IFERROR(VLOOKUP(Z509,OFFSET(abbreviation[],0,ColumnLanguage),ColumnAbbreviation,FALSE),"")</f>
        <v/>
      </c>
      <c r="BT509" s="21" t="str">
        <f ca="1">IFERROR(VLOOKUP(AB509,OFFSET(abbreviation[],0,ColumnLanguage),ColumnAbbreviation,FALSE),"")</f>
        <v/>
      </c>
      <c r="BU509" s="21" t="str">
        <f t="shared" ca="1" si="50"/>
        <v>__</v>
      </c>
      <c r="BV509" s="21" t="str">
        <f ca="1">IFERROR(VLOOKUP(AF509,OFFSET(abbreviation[],0,ColumnLanguage),ColumnAbbreviation,FALSE),"")</f>
        <v/>
      </c>
      <c r="BW509" s="21" t="str">
        <f ca="1">IFERROR(VLOOKUP(AH509,OFFSET(abbreviation[],0,ColumnLanguage),ColumnAbbreviation,FALSE),"")</f>
        <v/>
      </c>
      <c r="BX509" s="21" t="str">
        <f ca="1">IFERROR(VLOOKUP(AJ509,OFFSET(abbreviation[],0,ColumnLanguage),ColumnAbbreviation,FALSE),"")</f>
        <v/>
      </c>
      <c r="BY509" s="21" t="str">
        <f ca="1">IFERROR(VLOOKUP(AL509,OFFSET(abbreviation[],0,ColumnLanguage),ColumnAbbreviation,FALSE),"")</f>
        <v/>
      </c>
      <c r="BZ509" s="21" t="str">
        <f t="shared" ca="1" si="51"/>
        <v>_</v>
      </c>
      <c r="CA509" s="21" t="str">
        <f ca="1">IFERROR(VLOOKUP(AP509,OFFSET(abbreviation[],0,ColumnLanguage),ColumnAbbreviation,FALSE),"")</f>
        <v/>
      </c>
      <c r="CB509" s="21" t="str">
        <f ca="1">IFERROR(VLOOKUP(AR509,OFFSET(abbreviation[],0,ColumnLanguage),ColumnAbbreviation,FALSE),"")</f>
        <v/>
      </c>
      <c r="CC509" s="21" t="str">
        <f ca="1">IFERROR(VLOOKUP(AT509,OFFSET(abbreviation[],0,ColumnLanguage),ColumnAbbreviation,FALSE),"")</f>
        <v/>
      </c>
      <c r="CD509" s="21" t="str">
        <f ca="1">IFERROR(VLOOKUP(AV509,OFFSET(abbreviation[],0,ColumnLanguage),ColumnAbbreviation,FALSE),"")</f>
        <v/>
      </c>
      <c r="CE509" s="21" t="str">
        <f t="shared" ca="1" si="52"/>
        <v>__</v>
      </c>
      <c r="CF509" s="21" t="str">
        <f ca="1">IFERROR(VLOOKUP(AX509,OFFSET(abbreviation[],0,ColumnLanguage),ColumnAbbreviation,FALSE),"")</f>
        <v/>
      </c>
      <c r="CG509" s="21" t="str">
        <f ca="1">IFERROR(VLOOKUP(AZ509,OFFSET(abbreviation[],0,ColumnLanguage),ColumnAbbreviation,FALSE),"")</f>
        <v/>
      </c>
      <c r="CH509" s="21" t="str">
        <f ca="1">IFERROR(VLOOKUP(BB509,OFFSET(abbreviation[],0,ColumnLanguage),ColumnAbbreviation,FALSE),"")</f>
        <v/>
      </c>
      <c r="CI509" s="21" t="str">
        <f ca="1">IFERROR(VLOOKUP(BD509,OFFSET(abbreviation[],0,ColumnLanguage),ColumnAbbreviation,FALSE),"")</f>
        <v/>
      </c>
      <c r="CJ509" s="21" t="str">
        <f ca="1">IFERROR(VLOOKUP(BF509,OFFSET(abbreviation[],0,ColumnLanguage),ColumnAbbreviation,FALSE),"")</f>
        <v/>
      </c>
      <c r="CK509" s="21" t="str">
        <f t="shared" ca="1" si="53"/>
        <v/>
      </c>
      <c r="CL509" s="21" t="str">
        <f t="shared" si="54"/>
        <v/>
      </c>
      <c r="CM509" s="52"/>
      <c r="CN509" s="57" t="str">
        <f t="shared" si="55"/>
        <v/>
      </c>
    </row>
    <row r="510" spans="14:92" x14ac:dyDescent="0.25">
      <c r="N510" s="58"/>
      <c r="P510" s="60"/>
      <c r="Q510" s="13"/>
      <c r="V510" s="60"/>
      <c r="X510" s="61"/>
      <c r="AB510" s="60"/>
      <c r="AN510" s="54"/>
      <c r="AS510" s="15"/>
      <c r="BH510" s="52"/>
      <c r="BI510" s="21" t="str">
        <f ca="1">IFERROR(VLOOKUP(C510,OFFSET(abbreviation[],0,ColumnLanguage),ColumnAbbreviation,FALSE),"")</f>
        <v/>
      </c>
      <c r="BJ510" s="21" t="str">
        <f ca="1">IFERROR(VLOOKUP(E510,OFFSET(abbreviation[],0,ColumnLanguage),ColumnAbbreviation,FALSE),"")</f>
        <v/>
      </c>
      <c r="BK510" s="21" t="str">
        <f ca="1">IFERROR(VLOOKUP(G510,OFFSET(abbreviation[],0,ColumnLanguage),ColumnAbbreviation,FALSE),"")</f>
        <v/>
      </c>
      <c r="BL510" s="21" t="str">
        <f ca="1">IFERROR(VLOOKUP(I510,OFFSET(abbreviation[],0,ColumnLanguage),ColumnAbbreviation,FALSE),"")</f>
        <v/>
      </c>
      <c r="BM510" s="21" t="str">
        <f ca="1">IFERROR(VLOOKUP(K510,OFFSET(abbreviation[],0,ColumnLanguage),ColumnAbbreviation,FALSE),"")</f>
        <v/>
      </c>
      <c r="BN510" s="21" t="str">
        <f t="shared" ca="1" si="49"/>
        <v/>
      </c>
      <c r="BO510" s="21" t="str">
        <f ca="1">IFERROR(VLOOKUP(N510,OFFSET(abbreviation[],0,ColumnLanguage),ColumnAbbreviation,FALSE),"")</f>
        <v/>
      </c>
      <c r="BP510" s="21" t="str">
        <f ca="1">IFERROR(VLOOKUP(P510,OFFSET(abbreviation[],0,ColumnLanguage),ColumnAbbreviation,FALSE),"")</f>
        <v/>
      </c>
      <c r="BQ510" s="21" t="str">
        <f ca="1">IFERROR(VLOOKUP(T510,OFFSET(abbreviation[],0,ColumnLanguage),ColumnAbbreviation,FALSE),"")</f>
        <v/>
      </c>
      <c r="BR510" s="21" t="str">
        <f ca="1">IFERROR(VLOOKUP(V510,OFFSET(abbreviation[],0,ColumnLanguage),ColumnAbbreviation,FALSE),"")</f>
        <v/>
      </c>
      <c r="BS510" s="21" t="str">
        <f ca="1">IFERROR(VLOOKUP(Z510,OFFSET(abbreviation[],0,ColumnLanguage),ColumnAbbreviation,FALSE),"")</f>
        <v/>
      </c>
      <c r="BT510" s="21" t="str">
        <f ca="1">IFERROR(VLOOKUP(AB510,OFFSET(abbreviation[],0,ColumnLanguage),ColumnAbbreviation,FALSE),"")</f>
        <v/>
      </c>
      <c r="BU510" s="21" t="str">
        <f t="shared" ca="1" si="50"/>
        <v>__</v>
      </c>
      <c r="BV510" s="21" t="str">
        <f ca="1">IFERROR(VLOOKUP(AF510,OFFSET(abbreviation[],0,ColumnLanguage),ColumnAbbreviation,FALSE),"")</f>
        <v/>
      </c>
      <c r="BW510" s="21" t="str">
        <f ca="1">IFERROR(VLOOKUP(AH510,OFFSET(abbreviation[],0,ColumnLanguage),ColumnAbbreviation,FALSE),"")</f>
        <v/>
      </c>
      <c r="BX510" s="21" t="str">
        <f ca="1">IFERROR(VLOOKUP(AJ510,OFFSET(abbreviation[],0,ColumnLanguage),ColumnAbbreviation,FALSE),"")</f>
        <v/>
      </c>
      <c r="BY510" s="21" t="str">
        <f ca="1">IFERROR(VLOOKUP(AL510,OFFSET(abbreviation[],0,ColumnLanguage),ColumnAbbreviation,FALSE),"")</f>
        <v/>
      </c>
      <c r="BZ510" s="21" t="str">
        <f t="shared" ca="1" si="51"/>
        <v>_</v>
      </c>
      <c r="CA510" s="21" t="str">
        <f ca="1">IFERROR(VLOOKUP(AP510,OFFSET(abbreviation[],0,ColumnLanguage),ColumnAbbreviation,FALSE),"")</f>
        <v/>
      </c>
      <c r="CB510" s="21" t="str">
        <f ca="1">IFERROR(VLOOKUP(AR510,OFFSET(abbreviation[],0,ColumnLanguage),ColumnAbbreviation,FALSE),"")</f>
        <v/>
      </c>
      <c r="CC510" s="21" t="str">
        <f ca="1">IFERROR(VLOOKUP(AT510,OFFSET(abbreviation[],0,ColumnLanguage),ColumnAbbreviation,FALSE),"")</f>
        <v/>
      </c>
      <c r="CD510" s="21" t="str">
        <f ca="1">IFERROR(VLOOKUP(AV510,OFFSET(abbreviation[],0,ColumnLanguage),ColumnAbbreviation,FALSE),"")</f>
        <v/>
      </c>
      <c r="CE510" s="21" t="str">
        <f t="shared" ca="1" si="52"/>
        <v>__</v>
      </c>
      <c r="CF510" s="21" t="str">
        <f ca="1">IFERROR(VLOOKUP(AX510,OFFSET(abbreviation[],0,ColumnLanguage),ColumnAbbreviation,FALSE),"")</f>
        <v/>
      </c>
      <c r="CG510" s="21" t="str">
        <f ca="1">IFERROR(VLOOKUP(AZ510,OFFSET(abbreviation[],0,ColumnLanguage),ColumnAbbreviation,FALSE),"")</f>
        <v/>
      </c>
      <c r="CH510" s="21" t="str">
        <f ca="1">IFERROR(VLOOKUP(BB510,OFFSET(abbreviation[],0,ColumnLanguage),ColumnAbbreviation,FALSE),"")</f>
        <v/>
      </c>
      <c r="CI510" s="21" t="str">
        <f ca="1">IFERROR(VLOOKUP(BD510,OFFSET(abbreviation[],0,ColumnLanguage),ColumnAbbreviation,FALSE),"")</f>
        <v/>
      </c>
      <c r="CJ510" s="21" t="str">
        <f ca="1">IFERROR(VLOOKUP(BF510,OFFSET(abbreviation[],0,ColumnLanguage),ColumnAbbreviation,FALSE),"")</f>
        <v/>
      </c>
      <c r="CK510" s="21" t="str">
        <f t="shared" ca="1" si="53"/>
        <v/>
      </c>
      <c r="CL510" s="21" t="str">
        <f t="shared" si="54"/>
        <v/>
      </c>
      <c r="CM510" s="52"/>
      <c r="CN510" s="57" t="str">
        <f t="shared" si="55"/>
        <v/>
      </c>
    </row>
    <row r="511" spans="14:92" x14ac:dyDescent="0.25">
      <c r="N511" s="58"/>
      <c r="P511" s="60"/>
      <c r="Q511" s="13"/>
      <c r="V511" s="60"/>
      <c r="X511" s="61"/>
      <c r="AB511" s="60"/>
      <c r="AN511" s="54"/>
      <c r="AS511" s="15"/>
      <c r="BH511" s="52"/>
      <c r="BI511" s="21" t="str">
        <f ca="1">IFERROR(VLOOKUP(C511,OFFSET(abbreviation[],0,ColumnLanguage),ColumnAbbreviation,FALSE),"")</f>
        <v/>
      </c>
      <c r="BJ511" s="21" t="str">
        <f ca="1">IFERROR(VLOOKUP(E511,OFFSET(abbreviation[],0,ColumnLanguage),ColumnAbbreviation,FALSE),"")</f>
        <v/>
      </c>
      <c r="BK511" s="21" t="str">
        <f ca="1">IFERROR(VLOOKUP(G511,OFFSET(abbreviation[],0,ColumnLanguage),ColumnAbbreviation,FALSE),"")</f>
        <v/>
      </c>
      <c r="BL511" s="21" t="str">
        <f ca="1">IFERROR(VLOOKUP(I511,OFFSET(abbreviation[],0,ColumnLanguage),ColumnAbbreviation,FALSE),"")</f>
        <v/>
      </c>
      <c r="BM511" s="21" t="str">
        <f ca="1">IFERROR(VLOOKUP(K511,OFFSET(abbreviation[],0,ColumnLanguage),ColumnAbbreviation,FALSE),"")</f>
        <v/>
      </c>
      <c r="BN511" s="21" t="str">
        <f t="shared" ca="1" si="49"/>
        <v/>
      </c>
      <c r="BO511" s="21" t="str">
        <f ca="1">IFERROR(VLOOKUP(N511,OFFSET(abbreviation[],0,ColumnLanguage),ColumnAbbreviation,FALSE),"")</f>
        <v/>
      </c>
      <c r="BP511" s="21" t="str">
        <f ca="1">IFERROR(VLOOKUP(P511,OFFSET(abbreviation[],0,ColumnLanguage),ColumnAbbreviation,FALSE),"")</f>
        <v/>
      </c>
      <c r="BQ511" s="21" t="str">
        <f ca="1">IFERROR(VLOOKUP(T511,OFFSET(abbreviation[],0,ColumnLanguage),ColumnAbbreviation,FALSE),"")</f>
        <v/>
      </c>
      <c r="BR511" s="21" t="str">
        <f ca="1">IFERROR(VLOOKUP(V511,OFFSET(abbreviation[],0,ColumnLanguage),ColumnAbbreviation,FALSE),"")</f>
        <v/>
      </c>
      <c r="BS511" s="21" t="str">
        <f ca="1">IFERROR(VLOOKUP(Z511,OFFSET(abbreviation[],0,ColumnLanguage),ColumnAbbreviation,FALSE),"")</f>
        <v/>
      </c>
      <c r="BT511" s="21" t="str">
        <f ca="1">IFERROR(VLOOKUP(AB511,OFFSET(abbreviation[],0,ColumnLanguage),ColumnAbbreviation,FALSE),"")</f>
        <v/>
      </c>
      <c r="BU511" s="21" t="str">
        <f t="shared" ca="1" si="50"/>
        <v>__</v>
      </c>
      <c r="BV511" s="21" t="str">
        <f ca="1">IFERROR(VLOOKUP(AF511,OFFSET(abbreviation[],0,ColumnLanguage),ColumnAbbreviation,FALSE),"")</f>
        <v/>
      </c>
      <c r="BW511" s="21" t="str">
        <f ca="1">IFERROR(VLOOKUP(AH511,OFFSET(abbreviation[],0,ColumnLanguage),ColumnAbbreviation,FALSE),"")</f>
        <v/>
      </c>
      <c r="BX511" s="21" t="str">
        <f ca="1">IFERROR(VLOOKUP(AJ511,OFFSET(abbreviation[],0,ColumnLanguage),ColumnAbbreviation,FALSE),"")</f>
        <v/>
      </c>
      <c r="BY511" s="21" t="str">
        <f ca="1">IFERROR(VLOOKUP(AL511,OFFSET(abbreviation[],0,ColumnLanguage),ColumnAbbreviation,FALSE),"")</f>
        <v/>
      </c>
      <c r="BZ511" s="21" t="str">
        <f t="shared" ca="1" si="51"/>
        <v>_</v>
      </c>
      <c r="CA511" s="21" t="str">
        <f ca="1">IFERROR(VLOOKUP(AP511,OFFSET(abbreviation[],0,ColumnLanguage),ColumnAbbreviation,FALSE),"")</f>
        <v/>
      </c>
      <c r="CB511" s="21" t="str">
        <f ca="1">IFERROR(VLOOKUP(AR511,OFFSET(abbreviation[],0,ColumnLanguage),ColumnAbbreviation,FALSE),"")</f>
        <v/>
      </c>
      <c r="CC511" s="21" t="str">
        <f ca="1">IFERROR(VLOOKUP(AT511,OFFSET(abbreviation[],0,ColumnLanguage),ColumnAbbreviation,FALSE),"")</f>
        <v/>
      </c>
      <c r="CD511" s="21" t="str">
        <f ca="1">IFERROR(VLOOKUP(AV511,OFFSET(abbreviation[],0,ColumnLanguage),ColumnAbbreviation,FALSE),"")</f>
        <v/>
      </c>
      <c r="CE511" s="21" t="str">
        <f t="shared" ca="1" si="52"/>
        <v>__</v>
      </c>
      <c r="CF511" s="21" t="str">
        <f ca="1">IFERROR(VLOOKUP(AX511,OFFSET(abbreviation[],0,ColumnLanguage),ColumnAbbreviation,FALSE),"")</f>
        <v/>
      </c>
      <c r="CG511" s="21" t="str">
        <f ca="1">IFERROR(VLOOKUP(AZ511,OFFSET(abbreviation[],0,ColumnLanguage),ColumnAbbreviation,FALSE),"")</f>
        <v/>
      </c>
      <c r="CH511" s="21" t="str">
        <f ca="1">IFERROR(VLOOKUP(BB511,OFFSET(abbreviation[],0,ColumnLanguage),ColumnAbbreviation,FALSE),"")</f>
        <v/>
      </c>
      <c r="CI511" s="21" t="str">
        <f ca="1">IFERROR(VLOOKUP(BD511,OFFSET(abbreviation[],0,ColumnLanguage),ColumnAbbreviation,FALSE),"")</f>
        <v/>
      </c>
      <c r="CJ511" s="21" t="str">
        <f ca="1">IFERROR(VLOOKUP(BF511,OFFSET(abbreviation[],0,ColumnLanguage),ColumnAbbreviation,FALSE),"")</f>
        <v/>
      </c>
      <c r="CK511" s="21" t="str">
        <f t="shared" ca="1" si="53"/>
        <v/>
      </c>
      <c r="CL511" s="21" t="str">
        <f t="shared" si="54"/>
        <v/>
      </c>
      <c r="CM511" s="52"/>
      <c r="CN511" s="57" t="str">
        <f t="shared" si="55"/>
        <v/>
      </c>
    </row>
    <row r="512" spans="14:92" x14ac:dyDescent="0.25">
      <c r="N512" s="58"/>
      <c r="P512" s="60"/>
      <c r="Q512" s="13"/>
      <c r="V512" s="60"/>
      <c r="X512" s="61"/>
      <c r="AB512" s="60"/>
      <c r="AN512" s="54"/>
      <c r="AS512" s="15"/>
      <c r="BH512" s="52"/>
      <c r="BI512" s="21" t="str">
        <f ca="1">IFERROR(VLOOKUP(C512,OFFSET(abbreviation[],0,ColumnLanguage),ColumnAbbreviation,FALSE),"")</f>
        <v/>
      </c>
      <c r="BJ512" s="21" t="str">
        <f ca="1">IFERROR(VLOOKUP(E512,OFFSET(abbreviation[],0,ColumnLanguage),ColumnAbbreviation,FALSE),"")</f>
        <v/>
      </c>
      <c r="BK512" s="21" t="str">
        <f ca="1">IFERROR(VLOOKUP(G512,OFFSET(abbreviation[],0,ColumnLanguage),ColumnAbbreviation,FALSE),"")</f>
        <v/>
      </c>
      <c r="BL512" s="21" t="str">
        <f ca="1">IFERROR(VLOOKUP(I512,OFFSET(abbreviation[],0,ColumnLanguage),ColumnAbbreviation,FALSE),"")</f>
        <v/>
      </c>
      <c r="BM512" s="21" t="str">
        <f ca="1">IFERROR(VLOOKUP(K512,OFFSET(abbreviation[],0,ColumnLanguage),ColumnAbbreviation,FALSE),"")</f>
        <v/>
      </c>
      <c r="BN512" s="21" t="str">
        <f t="shared" ca="1" si="49"/>
        <v/>
      </c>
      <c r="BO512" s="21" t="str">
        <f ca="1">IFERROR(VLOOKUP(N512,OFFSET(abbreviation[],0,ColumnLanguage),ColumnAbbreviation,FALSE),"")</f>
        <v/>
      </c>
      <c r="BP512" s="21" t="str">
        <f ca="1">IFERROR(VLOOKUP(P512,OFFSET(abbreviation[],0,ColumnLanguage),ColumnAbbreviation,FALSE),"")</f>
        <v/>
      </c>
      <c r="BQ512" s="21" t="str">
        <f ca="1">IFERROR(VLOOKUP(T512,OFFSET(abbreviation[],0,ColumnLanguage),ColumnAbbreviation,FALSE),"")</f>
        <v/>
      </c>
      <c r="BR512" s="21" t="str">
        <f ca="1">IFERROR(VLOOKUP(V512,OFFSET(abbreviation[],0,ColumnLanguage),ColumnAbbreviation,FALSE),"")</f>
        <v/>
      </c>
      <c r="BS512" s="21" t="str">
        <f ca="1">IFERROR(VLOOKUP(Z512,OFFSET(abbreviation[],0,ColumnLanguage),ColumnAbbreviation,FALSE),"")</f>
        <v/>
      </c>
      <c r="BT512" s="21" t="str">
        <f ca="1">IFERROR(VLOOKUP(AB512,OFFSET(abbreviation[],0,ColumnLanguage),ColumnAbbreviation,FALSE),"")</f>
        <v/>
      </c>
      <c r="BU512" s="21" t="str">
        <f t="shared" ca="1" si="50"/>
        <v>__</v>
      </c>
      <c r="BV512" s="21" t="str">
        <f ca="1">IFERROR(VLOOKUP(AF512,OFFSET(abbreviation[],0,ColumnLanguage),ColumnAbbreviation,FALSE),"")</f>
        <v/>
      </c>
      <c r="BW512" s="21" t="str">
        <f ca="1">IFERROR(VLOOKUP(AH512,OFFSET(abbreviation[],0,ColumnLanguage),ColumnAbbreviation,FALSE),"")</f>
        <v/>
      </c>
      <c r="BX512" s="21" t="str">
        <f ca="1">IFERROR(VLOOKUP(AJ512,OFFSET(abbreviation[],0,ColumnLanguage),ColumnAbbreviation,FALSE),"")</f>
        <v/>
      </c>
      <c r="BY512" s="21" t="str">
        <f ca="1">IFERROR(VLOOKUP(AL512,OFFSET(abbreviation[],0,ColumnLanguage),ColumnAbbreviation,FALSE),"")</f>
        <v/>
      </c>
      <c r="BZ512" s="21" t="str">
        <f t="shared" ca="1" si="51"/>
        <v>_</v>
      </c>
      <c r="CA512" s="21" t="str">
        <f ca="1">IFERROR(VLOOKUP(AP512,OFFSET(abbreviation[],0,ColumnLanguage),ColumnAbbreviation,FALSE),"")</f>
        <v/>
      </c>
      <c r="CB512" s="21" t="str">
        <f ca="1">IFERROR(VLOOKUP(AR512,OFFSET(abbreviation[],0,ColumnLanguage),ColumnAbbreviation,FALSE),"")</f>
        <v/>
      </c>
      <c r="CC512" s="21" t="str">
        <f ca="1">IFERROR(VLOOKUP(AT512,OFFSET(abbreviation[],0,ColumnLanguage),ColumnAbbreviation,FALSE),"")</f>
        <v/>
      </c>
      <c r="CD512" s="21" t="str">
        <f ca="1">IFERROR(VLOOKUP(AV512,OFFSET(abbreviation[],0,ColumnLanguage),ColumnAbbreviation,FALSE),"")</f>
        <v/>
      </c>
      <c r="CE512" s="21" t="str">
        <f t="shared" ca="1" si="52"/>
        <v>__</v>
      </c>
      <c r="CF512" s="21" t="str">
        <f ca="1">IFERROR(VLOOKUP(AX512,OFFSET(abbreviation[],0,ColumnLanguage),ColumnAbbreviation,FALSE),"")</f>
        <v/>
      </c>
      <c r="CG512" s="21" t="str">
        <f ca="1">IFERROR(VLOOKUP(AZ512,OFFSET(abbreviation[],0,ColumnLanguage),ColumnAbbreviation,FALSE),"")</f>
        <v/>
      </c>
      <c r="CH512" s="21" t="str">
        <f ca="1">IFERROR(VLOOKUP(BB512,OFFSET(abbreviation[],0,ColumnLanguage),ColumnAbbreviation,FALSE),"")</f>
        <v/>
      </c>
      <c r="CI512" s="21" t="str">
        <f ca="1">IFERROR(VLOOKUP(BD512,OFFSET(abbreviation[],0,ColumnLanguage),ColumnAbbreviation,FALSE),"")</f>
        <v/>
      </c>
      <c r="CJ512" s="21" t="str">
        <f ca="1">IFERROR(VLOOKUP(BF512,OFFSET(abbreviation[],0,ColumnLanguage),ColumnAbbreviation,FALSE),"")</f>
        <v/>
      </c>
      <c r="CK512" s="21" t="str">
        <f t="shared" ca="1" si="53"/>
        <v/>
      </c>
      <c r="CL512" s="21" t="str">
        <f t="shared" si="54"/>
        <v/>
      </c>
      <c r="CM512" s="52"/>
      <c r="CN512" s="57" t="str">
        <f t="shared" si="55"/>
        <v/>
      </c>
    </row>
    <row r="513" spans="14:92" x14ac:dyDescent="0.25">
      <c r="N513" s="58"/>
      <c r="P513" s="60"/>
      <c r="Q513" s="13"/>
      <c r="V513" s="60"/>
      <c r="X513" s="61"/>
      <c r="AB513" s="60"/>
      <c r="AN513" s="54"/>
      <c r="AS513" s="15"/>
      <c r="BH513" s="52"/>
      <c r="BI513" s="21" t="str">
        <f ca="1">IFERROR(VLOOKUP(C513,OFFSET(abbreviation[],0,ColumnLanguage),ColumnAbbreviation,FALSE),"")</f>
        <v/>
      </c>
      <c r="BJ513" s="21" t="str">
        <f ca="1">IFERROR(VLOOKUP(E513,OFFSET(abbreviation[],0,ColumnLanguage),ColumnAbbreviation,FALSE),"")</f>
        <v/>
      </c>
      <c r="BK513" s="21" t="str">
        <f ca="1">IFERROR(VLOOKUP(G513,OFFSET(abbreviation[],0,ColumnLanguage),ColumnAbbreviation,FALSE),"")</f>
        <v/>
      </c>
      <c r="BL513" s="21" t="str">
        <f ca="1">IFERROR(VLOOKUP(I513,OFFSET(abbreviation[],0,ColumnLanguage),ColumnAbbreviation,FALSE),"")</f>
        <v/>
      </c>
      <c r="BM513" s="21" t="str">
        <f ca="1">IFERROR(VLOOKUP(K513,OFFSET(abbreviation[],0,ColumnLanguage),ColumnAbbreviation,FALSE),"")</f>
        <v/>
      </c>
      <c r="BN513" s="21" t="str">
        <f t="shared" ca="1" si="49"/>
        <v/>
      </c>
      <c r="BO513" s="21" t="str">
        <f ca="1">IFERROR(VLOOKUP(N513,OFFSET(abbreviation[],0,ColumnLanguage),ColumnAbbreviation,FALSE),"")</f>
        <v/>
      </c>
      <c r="BP513" s="21" t="str">
        <f ca="1">IFERROR(VLOOKUP(P513,OFFSET(abbreviation[],0,ColumnLanguage),ColumnAbbreviation,FALSE),"")</f>
        <v/>
      </c>
      <c r="BQ513" s="21" t="str">
        <f ca="1">IFERROR(VLOOKUP(T513,OFFSET(abbreviation[],0,ColumnLanguage),ColumnAbbreviation,FALSE),"")</f>
        <v/>
      </c>
      <c r="BR513" s="21" t="str">
        <f ca="1">IFERROR(VLOOKUP(V513,OFFSET(abbreviation[],0,ColumnLanguage),ColumnAbbreviation,FALSE),"")</f>
        <v/>
      </c>
      <c r="BS513" s="21" t="str">
        <f ca="1">IFERROR(VLOOKUP(Z513,OFFSET(abbreviation[],0,ColumnLanguage),ColumnAbbreviation,FALSE),"")</f>
        <v/>
      </c>
      <c r="BT513" s="21" t="str">
        <f ca="1">IFERROR(VLOOKUP(AB513,OFFSET(abbreviation[],0,ColumnLanguage),ColumnAbbreviation,FALSE),"")</f>
        <v/>
      </c>
      <c r="BU513" s="21" t="str">
        <f t="shared" ca="1" si="50"/>
        <v>__</v>
      </c>
      <c r="BV513" s="21" t="str">
        <f ca="1">IFERROR(VLOOKUP(AF513,OFFSET(abbreviation[],0,ColumnLanguage),ColumnAbbreviation,FALSE),"")</f>
        <v/>
      </c>
      <c r="BW513" s="21" t="str">
        <f ca="1">IFERROR(VLOOKUP(AH513,OFFSET(abbreviation[],0,ColumnLanguage),ColumnAbbreviation,FALSE),"")</f>
        <v/>
      </c>
      <c r="BX513" s="21" t="str">
        <f ca="1">IFERROR(VLOOKUP(AJ513,OFFSET(abbreviation[],0,ColumnLanguage),ColumnAbbreviation,FALSE),"")</f>
        <v/>
      </c>
      <c r="BY513" s="21" t="str">
        <f ca="1">IFERROR(VLOOKUP(AL513,OFFSET(abbreviation[],0,ColumnLanguage),ColumnAbbreviation,FALSE),"")</f>
        <v/>
      </c>
      <c r="BZ513" s="21" t="str">
        <f t="shared" ca="1" si="51"/>
        <v>_</v>
      </c>
      <c r="CA513" s="21" t="str">
        <f ca="1">IFERROR(VLOOKUP(AP513,OFFSET(abbreviation[],0,ColumnLanguage),ColumnAbbreviation,FALSE),"")</f>
        <v/>
      </c>
      <c r="CB513" s="21" t="str">
        <f ca="1">IFERROR(VLOOKUP(AR513,OFFSET(abbreviation[],0,ColumnLanguage),ColumnAbbreviation,FALSE),"")</f>
        <v/>
      </c>
      <c r="CC513" s="21" t="str">
        <f ca="1">IFERROR(VLOOKUP(AT513,OFFSET(abbreviation[],0,ColumnLanguage),ColumnAbbreviation,FALSE),"")</f>
        <v/>
      </c>
      <c r="CD513" s="21" t="str">
        <f ca="1">IFERROR(VLOOKUP(AV513,OFFSET(abbreviation[],0,ColumnLanguage),ColumnAbbreviation,FALSE),"")</f>
        <v/>
      </c>
      <c r="CE513" s="21" t="str">
        <f t="shared" ca="1" si="52"/>
        <v>__</v>
      </c>
      <c r="CF513" s="21" t="str">
        <f ca="1">IFERROR(VLOOKUP(AX513,OFFSET(abbreviation[],0,ColumnLanguage),ColumnAbbreviation,FALSE),"")</f>
        <v/>
      </c>
      <c r="CG513" s="21" t="str">
        <f ca="1">IFERROR(VLOOKUP(AZ513,OFFSET(abbreviation[],0,ColumnLanguage),ColumnAbbreviation,FALSE),"")</f>
        <v/>
      </c>
      <c r="CH513" s="21" t="str">
        <f ca="1">IFERROR(VLOOKUP(BB513,OFFSET(abbreviation[],0,ColumnLanguage),ColumnAbbreviation,FALSE),"")</f>
        <v/>
      </c>
      <c r="CI513" s="21" t="str">
        <f ca="1">IFERROR(VLOOKUP(BD513,OFFSET(abbreviation[],0,ColumnLanguage),ColumnAbbreviation,FALSE),"")</f>
        <v/>
      </c>
      <c r="CJ513" s="21" t="str">
        <f ca="1">IFERROR(VLOOKUP(BF513,OFFSET(abbreviation[],0,ColumnLanguage),ColumnAbbreviation,FALSE),"")</f>
        <v/>
      </c>
      <c r="CK513" s="21" t="str">
        <f t="shared" ca="1" si="53"/>
        <v/>
      </c>
      <c r="CL513" s="21" t="str">
        <f t="shared" si="54"/>
        <v/>
      </c>
      <c r="CM513" s="52"/>
      <c r="CN513" s="57" t="str">
        <f t="shared" si="55"/>
        <v/>
      </c>
    </row>
    <row r="514" spans="14:92" x14ac:dyDescent="0.25">
      <c r="N514" s="58"/>
      <c r="P514" s="60"/>
      <c r="Q514" s="13"/>
      <c r="V514" s="60"/>
      <c r="X514" s="61"/>
      <c r="AB514" s="60"/>
      <c r="AN514" s="54"/>
      <c r="AS514" s="15"/>
      <c r="BH514" s="52"/>
      <c r="BI514" s="21" t="str">
        <f ca="1">IFERROR(VLOOKUP(C514,OFFSET(abbreviation[],0,ColumnLanguage),ColumnAbbreviation,FALSE),"")</f>
        <v/>
      </c>
      <c r="BJ514" s="21" t="str">
        <f ca="1">IFERROR(VLOOKUP(E514,OFFSET(abbreviation[],0,ColumnLanguage),ColumnAbbreviation,FALSE),"")</f>
        <v/>
      </c>
      <c r="BK514" s="21" t="str">
        <f ca="1">IFERROR(VLOOKUP(G514,OFFSET(abbreviation[],0,ColumnLanguage),ColumnAbbreviation,FALSE),"")</f>
        <v/>
      </c>
      <c r="BL514" s="21" t="str">
        <f ca="1">IFERROR(VLOOKUP(I514,OFFSET(abbreviation[],0,ColumnLanguage),ColumnAbbreviation,FALSE),"")</f>
        <v/>
      </c>
      <c r="BM514" s="21" t="str">
        <f ca="1">IFERROR(VLOOKUP(K514,OFFSET(abbreviation[],0,ColumnLanguage),ColumnAbbreviation,FALSE),"")</f>
        <v/>
      </c>
      <c r="BN514" s="21" t="str">
        <f t="shared" ca="1" si="49"/>
        <v/>
      </c>
      <c r="BO514" s="21" t="str">
        <f ca="1">IFERROR(VLOOKUP(N514,OFFSET(abbreviation[],0,ColumnLanguage),ColumnAbbreviation,FALSE),"")</f>
        <v/>
      </c>
      <c r="BP514" s="21" t="str">
        <f ca="1">IFERROR(VLOOKUP(P514,OFFSET(abbreviation[],0,ColumnLanguage),ColumnAbbreviation,FALSE),"")</f>
        <v/>
      </c>
      <c r="BQ514" s="21" t="str">
        <f ca="1">IFERROR(VLOOKUP(T514,OFFSET(abbreviation[],0,ColumnLanguage),ColumnAbbreviation,FALSE),"")</f>
        <v/>
      </c>
      <c r="BR514" s="21" t="str">
        <f ca="1">IFERROR(VLOOKUP(V514,OFFSET(abbreviation[],0,ColumnLanguage),ColumnAbbreviation,FALSE),"")</f>
        <v/>
      </c>
      <c r="BS514" s="21" t="str">
        <f ca="1">IFERROR(VLOOKUP(Z514,OFFSET(abbreviation[],0,ColumnLanguage),ColumnAbbreviation,FALSE),"")</f>
        <v/>
      </c>
      <c r="BT514" s="21" t="str">
        <f ca="1">IFERROR(VLOOKUP(AB514,OFFSET(abbreviation[],0,ColumnLanguage),ColumnAbbreviation,FALSE),"")</f>
        <v/>
      </c>
      <c r="BU514" s="21" t="str">
        <f t="shared" ca="1" si="50"/>
        <v>__</v>
      </c>
      <c r="BV514" s="21" t="str">
        <f ca="1">IFERROR(VLOOKUP(AF514,OFFSET(abbreviation[],0,ColumnLanguage),ColumnAbbreviation,FALSE),"")</f>
        <v/>
      </c>
      <c r="BW514" s="21" t="str">
        <f ca="1">IFERROR(VLOOKUP(AH514,OFFSET(abbreviation[],0,ColumnLanguage),ColumnAbbreviation,FALSE),"")</f>
        <v/>
      </c>
      <c r="BX514" s="21" t="str">
        <f ca="1">IFERROR(VLOOKUP(AJ514,OFFSET(abbreviation[],0,ColumnLanguage),ColumnAbbreviation,FALSE),"")</f>
        <v/>
      </c>
      <c r="BY514" s="21" t="str">
        <f ca="1">IFERROR(VLOOKUP(AL514,OFFSET(abbreviation[],0,ColumnLanguage),ColumnAbbreviation,FALSE),"")</f>
        <v/>
      </c>
      <c r="BZ514" s="21" t="str">
        <f t="shared" ca="1" si="51"/>
        <v>_</v>
      </c>
      <c r="CA514" s="21" t="str">
        <f ca="1">IFERROR(VLOOKUP(AP514,OFFSET(abbreviation[],0,ColumnLanguage),ColumnAbbreviation,FALSE),"")</f>
        <v/>
      </c>
      <c r="CB514" s="21" t="str">
        <f ca="1">IFERROR(VLOOKUP(AR514,OFFSET(abbreviation[],0,ColumnLanguage),ColumnAbbreviation,FALSE),"")</f>
        <v/>
      </c>
      <c r="CC514" s="21" t="str">
        <f ca="1">IFERROR(VLOOKUP(AT514,OFFSET(abbreviation[],0,ColumnLanguage),ColumnAbbreviation,FALSE),"")</f>
        <v/>
      </c>
      <c r="CD514" s="21" t="str">
        <f ca="1">IFERROR(VLOOKUP(AV514,OFFSET(abbreviation[],0,ColumnLanguage),ColumnAbbreviation,FALSE),"")</f>
        <v/>
      </c>
      <c r="CE514" s="21" t="str">
        <f t="shared" ca="1" si="52"/>
        <v>__</v>
      </c>
      <c r="CF514" s="21" t="str">
        <f ca="1">IFERROR(VLOOKUP(AX514,OFFSET(abbreviation[],0,ColumnLanguage),ColumnAbbreviation,FALSE),"")</f>
        <v/>
      </c>
      <c r="CG514" s="21" t="str">
        <f ca="1">IFERROR(VLOOKUP(AZ514,OFFSET(abbreviation[],0,ColumnLanguage),ColumnAbbreviation,FALSE),"")</f>
        <v/>
      </c>
      <c r="CH514" s="21" t="str">
        <f ca="1">IFERROR(VLOOKUP(BB514,OFFSET(abbreviation[],0,ColumnLanguage),ColumnAbbreviation,FALSE),"")</f>
        <v/>
      </c>
      <c r="CI514" s="21" t="str">
        <f ca="1">IFERROR(VLOOKUP(BD514,OFFSET(abbreviation[],0,ColumnLanguage),ColumnAbbreviation,FALSE),"")</f>
        <v/>
      </c>
      <c r="CJ514" s="21" t="str">
        <f ca="1">IFERROR(VLOOKUP(BF514,OFFSET(abbreviation[],0,ColumnLanguage),ColumnAbbreviation,FALSE),"")</f>
        <v/>
      </c>
      <c r="CK514" s="21" t="str">
        <f t="shared" ca="1" si="53"/>
        <v/>
      </c>
      <c r="CL514" s="21" t="str">
        <f t="shared" si="54"/>
        <v/>
      </c>
      <c r="CM514" s="52"/>
      <c r="CN514" s="57" t="str">
        <f t="shared" si="55"/>
        <v/>
      </c>
    </row>
    <row r="515" spans="14:92" x14ac:dyDescent="0.25">
      <c r="N515" s="58"/>
      <c r="P515" s="60"/>
      <c r="Q515" s="13"/>
      <c r="V515" s="60"/>
      <c r="X515" s="61"/>
      <c r="AB515" s="60"/>
      <c r="AN515" s="54"/>
      <c r="AS515" s="15"/>
      <c r="BH515" s="52"/>
      <c r="BI515" s="21" t="str">
        <f ca="1">IFERROR(VLOOKUP(C515,OFFSET(abbreviation[],0,ColumnLanguage),ColumnAbbreviation,FALSE),"")</f>
        <v/>
      </c>
      <c r="BJ515" s="21" t="str">
        <f ca="1">IFERROR(VLOOKUP(E515,OFFSET(abbreviation[],0,ColumnLanguage),ColumnAbbreviation,FALSE),"")</f>
        <v/>
      </c>
      <c r="BK515" s="21" t="str">
        <f ca="1">IFERROR(VLOOKUP(G515,OFFSET(abbreviation[],0,ColumnLanguage),ColumnAbbreviation,FALSE),"")</f>
        <v/>
      </c>
      <c r="BL515" s="21" t="str">
        <f ca="1">IFERROR(VLOOKUP(I515,OFFSET(abbreviation[],0,ColumnLanguage),ColumnAbbreviation,FALSE),"")</f>
        <v/>
      </c>
      <c r="BM515" s="21" t="str">
        <f ca="1">IFERROR(VLOOKUP(K515,OFFSET(abbreviation[],0,ColumnLanguage),ColumnAbbreviation,FALSE),"")</f>
        <v/>
      </c>
      <c r="BN515" s="21" t="str">
        <f t="shared" ca="1" si="49"/>
        <v/>
      </c>
      <c r="BO515" s="21" t="str">
        <f ca="1">IFERROR(VLOOKUP(N515,OFFSET(abbreviation[],0,ColumnLanguage),ColumnAbbreviation,FALSE),"")</f>
        <v/>
      </c>
      <c r="BP515" s="21" t="str">
        <f ca="1">IFERROR(VLOOKUP(P515,OFFSET(abbreviation[],0,ColumnLanguage),ColumnAbbreviation,FALSE),"")</f>
        <v/>
      </c>
      <c r="BQ515" s="21" t="str">
        <f ca="1">IFERROR(VLOOKUP(T515,OFFSET(abbreviation[],0,ColumnLanguage),ColumnAbbreviation,FALSE),"")</f>
        <v/>
      </c>
      <c r="BR515" s="21" t="str">
        <f ca="1">IFERROR(VLOOKUP(V515,OFFSET(abbreviation[],0,ColumnLanguage),ColumnAbbreviation,FALSE),"")</f>
        <v/>
      </c>
      <c r="BS515" s="21" t="str">
        <f ca="1">IFERROR(VLOOKUP(Z515,OFFSET(abbreviation[],0,ColumnLanguage),ColumnAbbreviation,FALSE),"")</f>
        <v/>
      </c>
      <c r="BT515" s="21" t="str">
        <f ca="1">IFERROR(VLOOKUP(AB515,OFFSET(abbreviation[],0,ColumnLanguage),ColumnAbbreviation,FALSE),"")</f>
        <v/>
      </c>
      <c r="BU515" s="21" t="str">
        <f t="shared" ca="1" si="50"/>
        <v>__</v>
      </c>
      <c r="BV515" s="21" t="str">
        <f ca="1">IFERROR(VLOOKUP(AF515,OFFSET(abbreviation[],0,ColumnLanguage),ColumnAbbreviation,FALSE),"")</f>
        <v/>
      </c>
      <c r="BW515" s="21" t="str">
        <f ca="1">IFERROR(VLOOKUP(AH515,OFFSET(abbreviation[],0,ColumnLanguage),ColumnAbbreviation,FALSE),"")</f>
        <v/>
      </c>
      <c r="BX515" s="21" t="str">
        <f ca="1">IFERROR(VLOOKUP(AJ515,OFFSET(abbreviation[],0,ColumnLanguage),ColumnAbbreviation,FALSE),"")</f>
        <v/>
      </c>
      <c r="BY515" s="21" t="str">
        <f ca="1">IFERROR(VLOOKUP(AL515,OFFSET(abbreviation[],0,ColumnLanguage),ColumnAbbreviation,FALSE),"")</f>
        <v/>
      </c>
      <c r="BZ515" s="21" t="str">
        <f t="shared" ca="1" si="51"/>
        <v>_</v>
      </c>
      <c r="CA515" s="21" t="str">
        <f ca="1">IFERROR(VLOOKUP(AP515,OFFSET(abbreviation[],0,ColumnLanguage),ColumnAbbreviation,FALSE),"")</f>
        <v/>
      </c>
      <c r="CB515" s="21" t="str">
        <f ca="1">IFERROR(VLOOKUP(AR515,OFFSET(abbreviation[],0,ColumnLanguage),ColumnAbbreviation,FALSE),"")</f>
        <v/>
      </c>
      <c r="CC515" s="21" t="str">
        <f ca="1">IFERROR(VLOOKUP(AT515,OFFSET(abbreviation[],0,ColumnLanguage),ColumnAbbreviation,FALSE),"")</f>
        <v/>
      </c>
      <c r="CD515" s="21" t="str">
        <f ca="1">IFERROR(VLOOKUP(AV515,OFFSET(abbreviation[],0,ColumnLanguage),ColumnAbbreviation,FALSE),"")</f>
        <v/>
      </c>
      <c r="CE515" s="21" t="str">
        <f t="shared" ca="1" si="52"/>
        <v>__</v>
      </c>
      <c r="CF515" s="21" t="str">
        <f ca="1">IFERROR(VLOOKUP(AX515,OFFSET(abbreviation[],0,ColumnLanguage),ColumnAbbreviation,FALSE),"")</f>
        <v/>
      </c>
      <c r="CG515" s="21" t="str">
        <f ca="1">IFERROR(VLOOKUP(AZ515,OFFSET(abbreviation[],0,ColumnLanguage),ColumnAbbreviation,FALSE),"")</f>
        <v/>
      </c>
      <c r="CH515" s="21" t="str">
        <f ca="1">IFERROR(VLOOKUP(BB515,OFFSET(abbreviation[],0,ColumnLanguage),ColumnAbbreviation,FALSE),"")</f>
        <v/>
      </c>
      <c r="CI515" s="21" t="str">
        <f ca="1">IFERROR(VLOOKUP(BD515,OFFSET(abbreviation[],0,ColumnLanguage),ColumnAbbreviation,FALSE),"")</f>
        <v/>
      </c>
      <c r="CJ515" s="21" t="str">
        <f ca="1">IFERROR(VLOOKUP(BF515,OFFSET(abbreviation[],0,ColumnLanguage),ColumnAbbreviation,FALSE),"")</f>
        <v/>
      </c>
      <c r="CK515" s="21" t="str">
        <f t="shared" ca="1" si="53"/>
        <v/>
      </c>
      <c r="CL515" s="21" t="str">
        <f t="shared" si="54"/>
        <v/>
      </c>
      <c r="CM515" s="52"/>
      <c r="CN515" s="57" t="str">
        <f t="shared" si="55"/>
        <v/>
      </c>
    </row>
    <row r="516" spans="14:92" x14ac:dyDescent="0.25">
      <c r="N516" s="58"/>
      <c r="P516" s="60"/>
      <c r="Q516" s="13"/>
      <c r="V516" s="60"/>
      <c r="X516" s="61"/>
      <c r="AB516" s="60"/>
      <c r="AN516" s="54"/>
      <c r="AS516" s="15"/>
      <c r="BH516" s="52"/>
      <c r="BI516" s="21" t="str">
        <f ca="1">IFERROR(VLOOKUP(C516,OFFSET(abbreviation[],0,ColumnLanguage),ColumnAbbreviation,FALSE),"")</f>
        <v/>
      </c>
      <c r="BJ516" s="21" t="str">
        <f ca="1">IFERROR(VLOOKUP(E516,OFFSET(abbreviation[],0,ColumnLanguage),ColumnAbbreviation,FALSE),"")</f>
        <v/>
      </c>
      <c r="BK516" s="21" t="str">
        <f ca="1">IFERROR(VLOOKUP(G516,OFFSET(abbreviation[],0,ColumnLanguage),ColumnAbbreviation,FALSE),"")</f>
        <v/>
      </c>
      <c r="BL516" s="21" t="str">
        <f ca="1">IFERROR(VLOOKUP(I516,OFFSET(abbreviation[],0,ColumnLanguage),ColumnAbbreviation,FALSE),"")</f>
        <v/>
      </c>
      <c r="BM516" s="21" t="str">
        <f ca="1">IFERROR(VLOOKUP(K516,OFFSET(abbreviation[],0,ColumnLanguage),ColumnAbbreviation,FALSE),"")</f>
        <v/>
      </c>
      <c r="BN516" s="21" t="str">
        <f t="shared" ref="BN516:BN579" ca="1" si="56">(BI516&amp;IF(OR(ISNUMBER(D516),ISTEXT(D516)),"-"&amp;D516,))&amp;(IF(ISTEXT(E516),"_",)&amp;BJ516&amp;IF(OR(ISNUMBER(F516),ISTEXT(F516)),"-"&amp;F516,))&amp;(IF(ISTEXT(G516),"_",)&amp;BK516&amp;IF(OR(ISNUMBER(H516),ISTEXT(H516)),"-"&amp;H516,))&amp;(IF(ISTEXT(I516),"_",)&amp;BL516&amp;IF(OR(ISNUMBER(J516),ISTEXT(J516)),"-"&amp;J516,))&amp;(IF(ISTEXT(K516),"_",)&amp;BM516&amp;IF(OR(ISNUMBER(L516),ISTEXT(L516)),"-"&amp;L516,)&amp;IF(AND(ISTEXT(BI516),BI516&lt;&gt;""),"_._",))</f>
        <v/>
      </c>
      <c r="BO516" s="21" t="str">
        <f ca="1">IFERROR(VLOOKUP(N516,OFFSET(abbreviation[],0,ColumnLanguage),ColumnAbbreviation,FALSE),"")</f>
        <v/>
      </c>
      <c r="BP516" s="21" t="str">
        <f ca="1">IFERROR(VLOOKUP(P516,OFFSET(abbreviation[],0,ColumnLanguage),ColumnAbbreviation,FALSE),"")</f>
        <v/>
      </c>
      <c r="BQ516" s="21" t="str">
        <f ca="1">IFERROR(VLOOKUP(T516,OFFSET(abbreviation[],0,ColumnLanguage),ColumnAbbreviation,FALSE),"")</f>
        <v/>
      </c>
      <c r="BR516" s="21" t="str">
        <f ca="1">IFERROR(VLOOKUP(V516,OFFSET(abbreviation[],0,ColumnLanguage),ColumnAbbreviation,FALSE),"")</f>
        <v/>
      </c>
      <c r="BS516" s="21" t="str">
        <f ca="1">IFERROR(VLOOKUP(Z516,OFFSET(abbreviation[],0,ColumnLanguage),ColumnAbbreviation,FALSE),"")</f>
        <v/>
      </c>
      <c r="BT516" s="21" t="str">
        <f ca="1">IFERROR(VLOOKUP(AB516,OFFSET(abbreviation[],0,ColumnLanguage),ColumnAbbreviation,FALSE),"")</f>
        <v/>
      </c>
      <c r="BU516" s="21" t="str">
        <f t="shared" ref="BU516:BU579" ca="1" si="57">(BO516&amp;IF(ISTEXT(P516),"."&amp;BP516,)&amp;IF(OR(ISTEXT(R516),ISNUMBER(R516)),"-"&amp;R516,))&amp;("_"&amp;BQ516&amp;IF(ISTEXT(V516),"."&amp;BR516,)&amp;IF(OR(ISTEXT(X516),ISNUMBER(X516)),"-"&amp;X516,))&amp;("_"&amp;BS516&amp;IF(ISTEXT(AB516),"."&amp;BT516,)&amp;IF(OR(ISTEXT(AD516),ISNUMBER(AD516)),"-"&amp;AD516,))</f>
        <v>__</v>
      </c>
      <c r="BV516" s="21" t="str">
        <f ca="1">IFERROR(VLOOKUP(AF516,OFFSET(abbreviation[],0,ColumnLanguage),ColumnAbbreviation,FALSE),"")</f>
        <v/>
      </c>
      <c r="BW516" s="21" t="str">
        <f ca="1">IFERROR(VLOOKUP(AH516,OFFSET(abbreviation[],0,ColumnLanguage),ColumnAbbreviation,FALSE),"")</f>
        <v/>
      </c>
      <c r="BX516" s="21" t="str">
        <f ca="1">IFERROR(VLOOKUP(AJ516,OFFSET(abbreviation[],0,ColumnLanguage),ColumnAbbreviation,FALSE),"")</f>
        <v/>
      </c>
      <c r="BY516" s="21" t="str">
        <f ca="1">IFERROR(VLOOKUP(AL516,OFFSET(abbreviation[],0,ColumnLanguage),ColumnAbbreviation,FALSE),"")</f>
        <v/>
      </c>
      <c r="BZ516" s="21" t="str">
        <f t="shared" ref="BZ516:BZ579" ca="1" si="58">("_"&amp;BV516&amp;IF(ISTEXT(AH516),"."&amp;BW516,)&amp;IF(ISTEXT(AJ516),"."&amp;BX516,)&amp;IF(ISTEXT(AL516),"."&amp;BY516,)&amp;IF(OR(ISTEXT(AN516),ISNUMBER(AN516)),"-"&amp;AN516,))</f>
        <v>_</v>
      </c>
      <c r="CA516" s="21" t="str">
        <f ca="1">IFERROR(VLOOKUP(AP516,OFFSET(abbreviation[],0,ColumnLanguage),ColumnAbbreviation,FALSE),"")</f>
        <v/>
      </c>
      <c r="CB516" s="21" t="str">
        <f ca="1">IFERROR(VLOOKUP(AR516,OFFSET(abbreviation[],0,ColumnLanguage),ColumnAbbreviation,FALSE),"")</f>
        <v/>
      </c>
      <c r="CC516" s="21" t="str">
        <f ca="1">IFERROR(VLOOKUP(AT516,OFFSET(abbreviation[],0,ColumnLanguage),ColumnAbbreviation,FALSE),"")</f>
        <v/>
      </c>
      <c r="CD516" s="21" t="str">
        <f ca="1">IFERROR(VLOOKUP(AV516,OFFSET(abbreviation[],0,ColumnLanguage),ColumnAbbreviation,FALSE),"")</f>
        <v/>
      </c>
      <c r="CE516" s="21" t="str">
        <f t="shared" ref="CE516:CE579" ca="1" si="59">("_"&amp;CA516&amp;IF(ISTEXT(AR516),"."&amp;CB516,)&amp;IF(ISTEXT(AT516),"."&amp;CC516,))&amp;"_"&amp;CD516</f>
        <v>__</v>
      </c>
      <c r="CF516" s="21" t="str">
        <f ca="1">IFERROR(VLOOKUP(AX516,OFFSET(abbreviation[],0,ColumnLanguage),ColumnAbbreviation,FALSE),"")</f>
        <v/>
      </c>
      <c r="CG516" s="21" t="str">
        <f ca="1">IFERROR(VLOOKUP(AZ516,OFFSET(abbreviation[],0,ColumnLanguage),ColumnAbbreviation,FALSE),"")</f>
        <v/>
      </c>
      <c r="CH516" s="21" t="str">
        <f ca="1">IFERROR(VLOOKUP(BB516,OFFSET(abbreviation[],0,ColumnLanguage),ColumnAbbreviation,FALSE),"")</f>
        <v/>
      </c>
      <c r="CI516" s="21" t="str">
        <f ca="1">IFERROR(VLOOKUP(BD516,OFFSET(abbreviation[],0,ColumnLanguage),ColumnAbbreviation,FALSE),"")</f>
        <v/>
      </c>
      <c r="CJ516" s="21" t="str">
        <f ca="1">IFERROR(VLOOKUP(BF516,OFFSET(abbreviation[],0,ColumnLanguage),ColumnAbbreviation,FALSE),"")</f>
        <v/>
      </c>
      <c r="CK516" s="21" t="str">
        <f t="shared" ref="CK516:CK579" ca="1" si="60">(IF(ISTEXT(AX516),"_._",""))&amp;(IF(ISTEXT(AX516),"_",)&amp;CF516&amp;IF(OR(ISNUMBER(AY516),ISTEXT(AY516)),"-"&amp;AY516,))&amp;(IF(ISTEXT(AZ516),"_",)&amp;CG516&amp;IF(OR(ISNUMBER(BA516),ISTEXT(BA516)),"-"&amp;BA516,))&amp;(IF(ISTEXT(BB516),"_",)&amp;CH516&amp;IF(OR(ISNUMBER(BC516),ISTEXT(BC516)),"-"&amp;BC516,))&amp;(IF(ISTEXT(BD516),"_",)&amp;CI516&amp;IF(OR(ISNUMBER(BE516),ISTEXT(BE516)),"-"&amp;BE516,))&amp;(IF(ISTEXT(BF516),"_",)&amp;CJ516&amp;IF(OR(ISNUMBER(BG516),ISTEXT(BG516)),"-"&amp;BG516,))</f>
        <v/>
      </c>
      <c r="CL516" s="21" t="str">
        <f t="shared" ref="CL516:CL579" si="61">IF(OR(N516&lt;&gt;"",T516&lt;&gt;"",C516&lt;&gt;"",A516&lt;&gt;""),(BN516&amp;BU516&amp;BZ516&amp;CE516&amp;CK516),"")</f>
        <v/>
      </c>
      <c r="CM516" s="52"/>
      <c r="CN516" s="57" t="str">
        <f t="shared" ref="CN516:CN579" si="62">CL516</f>
        <v/>
      </c>
    </row>
    <row r="517" spans="14:92" x14ac:dyDescent="0.25">
      <c r="N517" s="58"/>
      <c r="P517" s="60"/>
      <c r="Q517" s="13"/>
      <c r="V517" s="60"/>
      <c r="X517" s="61"/>
      <c r="AB517" s="60"/>
      <c r="AN517" s="54"/>
      <c r="AS517" s="15"/>
      <c r="BH517" s="52"/>
      <c r="BI517" s="21" t="str">
        <f ca="1">IFERROR(VLOOKUP(C517,OFFSET(abbreviation[],0,ColumnLanguage),ColumnAbbreviation,FALSE),"")</f>
        <v/>
      </c>
      <c r="BJ517" s="21" t="str">
        <f ca="1">IFERROR(VLOOKUP(E517,OFFSET(abbreviation[],0,ColumnLanguage),ColumnAbbreviation,FALSE),"")</f>
        <v/>
      </c>
      <c r="BK517" s="21" t="str">
        <f ca="1">IFERROR(VLOOKUP(G517,OFFSET(abbreviation[],0,ColumnLanguage),ColumnAbbreviation,FALSE),"")</f>
        <v/>
      </c>
      <c r="BL517" s="21" t="str">
        <f ca="1">IFERROR(VLOOKUP(I517,OFFSET(abbreviation[],0,ColumnLanguage),ColumnAbbreviation,FALSE),"")</f>
        <v/>
      </c>
      <c r="BM517" s="21" t="str">
        <f ca="1">IFERROR(VLOOKUP(K517,OFFSET(abbreviation[],0,ColumnLanguage),ColumnAbbreviation,FALSE),"")</f>
        <v/>
      </c>
      <c r="BN517" s="21" t="str">
        <f t="shared" ca="1" si="56"/>
        <v/>
      </c>
      <c r="BO517" s="21" t="str">
        <f ca="1">IFERROR(VLOOKUP(N517,OFFSET(abbreviation[],0,ColumnLanguage),ColumnAbbreviation,FALSE),"")</f>
        <v/>
      </c>
      <c r="BP517" s="21" t="str">
        <f ca="1">IFERROR(VLOOKUP(P517,OFFSET(abbreviation[],0,ColumnLanguage),ColumnAbbreviation,FALSE),"")</f>
        <v/>
      </c>
      <c r="BQ517" s="21" t="str">
        <f ca="1">IFERROR(VLOOKUP(T517,OFFSET(abbreviation[],0,ColumnLanguage),ColumnAbbreviation,FALSE),"")</f>
        <v/>
      </c>
      <c r="BR517" s="21" t="str">
        <f ca="1">IFERROR(VLOOKUP(V517,OFFSET(abbreviation[],0,ColumnLanguage),ColumnAbbreviation,FALSE),"")</f>
        <v/>
      </c>
      <c r="BS517" s="21" t="str">
        <f ca="1">IFERROR(VLOOKUP(Z517,OFFSET(abbreviation[],0,ColumnLanguage),ColumnAbbreviation,FALSE),"")</f>
        <v/>
      </c>
      <c r="BT517" s="21" t="str">
        <f ca="1">IFERROR(VLOOKUP(AB517,OFFSET(abbreviation[],0,ColumnLanguage),ColumnAbbreviation,FALSE),"")</f>
        <v/>
      </c>
      <c r="BU517" s="21" t="str">
        <f t="shared" ca="1" si="57"/>
        <v>__</v>
      </c>
      <c r="BV517" s="21" t="str">
        <f ca="1">IFERROR(VLOOKUP(AF517,OFFSET(abbreviation[],0,ColumnLanguage),ColumnAbbreviation,FALSE),"")</f>
        <v/>
      </c>
      <c r="BW517" s="21" t="str">
        <f ca="1">IFERROR(VLOOKUP(AH517,OFFSET(abbreviation[],0,ColumnLanguage),ColumnAbbreviation,FALSE),"")</f>
        <v/>
      </c>
      <c r="BX517" s="21" t="str">
        <f ca="1">IFERROR(VLOOKUP(AJ517,OFFSET(abbreviation[],0,ColumnLanguage),ColumnAbbreviation,FALSE),"")</f>
        <v/>
      </c>
      <c r="BY517" s="21" t="str">
        <f ca="1">IFERROR(VLOOKUP(AL517,OFFSET(abbreviation[],0,ColumnLanguage),ColumnAbbreviation,FALSE),"")</f>
        <v/>
      </c>
      <c r="BZ517" s="21" t="str">
        <f t="shared" ca="1" si="58"/>
        <v>_</v>
      </c>
      <c r="CA517" s="21" t="str">
        <f ca="1">IFERROR(VLOOKUP(AP517,OFFSET(abbreviation[],0,ColumnLanguage),ColumnAbbreviation,FALSE),"")</f>
        <v/>
      </c>
      <c r="CB517" s="21" t="str">
        <f ca="1">IFERROR(VLOOKUP(AR517,OFFSET(abbreviation[],0,ColumnLanguage),ColumnAbbreviation,FALSE),"")</f>
        <v/>
      </c>
      <c r="CC517" s="21" t="str">
        <f ca="1">IFERROR(VLOOKUP(AT517,OFFSET(abbreviation[],0,ColumnLanguage),ColumnAbbreviation,FALSE),"")</f>
        <v/>
      </c>
      <c r="CD517" s="21" t="str">
        <f ca="1">IFERROR(VLOOKUP(AV517,OFFSET(abbreviation[],0,ColumnLanguage),ColumnAbbreviation,FALSE),"")</f>
        <v/>
      </c>
      <c r="CE517" s="21" t="str">
        <f t="shared" ca="1" si="59"/>
        <v>__</v>
      </c>
      <c r="CF517" s="21" t="str">
        <f ca="1">IFERROR(VLOOKUP(AX517,OFFSET(abbreviation[],0,ColumnLanguage),ColumnAbbreviation,FALSE),"")</f>
        <v/>
      </c>
      <c r="CG517" s="21" t="str">
        <f ca="1">IFERROR(VLOOKUP(AZ517,OFFSET(abbreviation[],0,ColumnLanguage),ColumnAbbreviation,FALSE),"")</f>
        <v/>
      </c>
      <c r="CH517" s="21" t="str">
        <f ca="1">IFERROR(VLOOKUP(BB517,OFFSET(abbreviation[],0,ColumnLanguage),ColumnAbbreviation,FALSE),"")</f>
        <v/>
      </c>
      <c r="CI517" s="21" t="str">
        <f ca="1">IFERROR(VLOOKUP(BD517,OFFSET(abbreviation[],0,ColumnLanguage),ColumnAbbreviation,FALSE),"")</f>
        <v/>
      </c>
      <c r="CJ517" s="21" t="str">
        <f ca="1">IFERROR(VLOOKUP(BF517,OFFSET(abbreviation[],0,ColumnLanguage),ColumnAbbreviation,FALSE),"")</f>
        <v/>
      </c>
      <c r="CK517" s="21" t="str">
        <f t="shared" ca="1" si="60"/>
        <v/>
      </c>
      <c r="CL517" s="21" t="str">
        <f t="shared" si="61"/>
        <v/>
      </c>
      <c r="CM517" s="52"/>
      <c r="CN517" s="57" t="str">
        <f t="shared" si="62"/>
        <v/>
      </c>
    </row>
    <row r="518" spans="14:92" x14ac:dyDescent="0.25">
      <c r="N518" s="58"/>
      <c r="P518" s="60"/>
      <c r="Q518" s="13"/>
      <c r="V518" s="60"/>
      <c r="X518" s="61"/>
      <c r="AB518" s="60"/>
      <c r="AN518" s="54"/>
      <c r="AS518" s="15"/>
      <c r="BH518" s="52"/>
      <c r="BI518" s="21" t="str">
        <f ca="1">IFERROR(VLOOKUP(C518,OFFSET(abbreviation[],0,ColumnLanguage),ColumnAbbreviation,FALSE),"")</f>
        <v/>
      </c>
      <c r="BJ518" s="21" t="str">
        <f ca="1">IFERROR(VLOOKUP(E518,OFFSET(abbreviation[],0,ColumnLanguage),ColumnAbbreviation,FALSE),"")</f>
        <v/>
      </c>
      <c r="BK518" s="21" t="str">
        <f ca="1">IFERROR(VLOOKUP(G518,OFFSET(abbreviation[],0,ColumnLanguage),ColumnAbbreviation,FALSE),"")</f>
        <v/>
      </c>
      <c r="BL518" s="21" t="str">
        <f ca="1">IFERROR(VLOOKUP(I518,OFFSET(abbreviation[],0,ColumnLanguage),ColumnAbbreviation,FALSE),"")</f>
        <v/>
      </c>
      <c r="BM518" s="21" t="str">
        <f ca="1">IFERROR(VLOOKUP(K518,OFFSET(abbreviation[],0,ColumnLanguage),ColumnAbbreviation,FALSE),"")</f>
        <v/>
      </c>
      <c r="BN518" s="21" t="str">
        <f t="shared" ca="1" si="56"/>
        <v/>
      </c>
      <c r="BO518" s="21" t="str">
        <f ca="1">IFERROR(VLOOKUP(N518,OFFSET(abbreviation[],0,ColumnLanguage),ColumnAbbreviation,FALSE),"")</f>
        <v/>
      </c>
      <c r="BP518" s="21" t="str">
        <f ca="1">IFERROR(VLOOKUP(P518,OFFSET(abbreviation[],0,ColumnLanguage),ColumnAbbreviation,FALSE),"")</f>
        <v/>
      </c>
      <c r="BQ518" s="21" t="str">
        <f ca="1">IFERROR(VLOOKUP(T518,OFFSET(abbreviation[],0,ColumnLanguage),ColumnAbbreviation,FALSE),"")</f>
        <v/>
      </c>
      <c r="BR518" s="21" t="str">
        <f ca="1">IFERROR(VLOOKUP(V518,OFFSET(abbreviation[],0,ColumnLanguage),ColumnAbbreviation,FALSE),"")</f>
        <v/>
      </c>
      <c r="BS518" s="21" t="str">
        <f ca="1">IFERROR(VLOOKUP(Z518,OFFSET(abbreviation[],0,ColumnLanguage),ColumnAbbreviation,FALSE),"")</f>
        <v/>
      </c>
      <c r="BT518" s="21" t="str">
        <f ca="1">IFERROR(VLOOKUP(AB518,OFFSET(abbreviation[],0,ColumnLanguage),ColumnAbbreviation,FALSE),"")</f>
        <v/>
      </c>
      <c r="BU518" s="21" t="str">
        <f t="shared" ca="1" si="57"/>
        <v>__</v>
      </c>
      <c r="BV518" s="21" t="str">
        <f ca="1">IFERROR(VLOOKUP(AF518,OFFSET(abbreviation[],0,ColumnLanguage),ColumnAbbreviation,FALSE),"")</f>
        <v/>
      </c>
      <c r="BW518" s="21" t="str">
        <f ca="1">IFERROR(VLOOKUP(AH518,OFFSET(abbreviation[],0,ColumnLanguage),ColumnAbbreviation,FALSE),"")</f>
        <v/>
      </c>
      <c r="BX518" s="21" t="str">
        <f ca="1">IFERROR(VLOOKUP(AJ518,OFFSET(abbreviation[],0,ColumnLanguage),ColumnAbbreviation,FALSE),"")</f>
        <v/>
      </c>
      <c r="BY518" s="21" t="str">
        <f ca="1">IFERROR(VLOOKUP(AL518,OFFSET(abbreviation[],0,ColumnLanguage),ColumnAbbreviation,FALSE),"")</f>
        <v/>
      </c>
      <c r="BZ518" s="21" t="str">
        <f t="shared" ca="1" si="58"/>
        <v>_</v>
      </c>
      <c r="CA518" s="21" t="str">
        <f ca="1">IFERROR(VLOOKUP(AP518,OFFSET(abbreviation[],0,ColumnLanguage),ColumnAbbreviation,FALSE),"")</f>
        <v/>
      </c>
      <c r="CB518" s="21" t="str">
        <f ca="1">IFERROR(VLOOKUP(AR518,OFFSET(abbreviation[],0,ColumnLanguage),ColumnAbbreviation,FALSE),"")</f>
        <v/>
      </c>
      <c r="CC518" s="21" t="str">
        <f ca="1">IFERROR(VLOOKUP(AT518,OFFSET(abbreviation[],0,ColumnLanguage),ColumnAbbreviation,FALSE),"")</f>
        <v/>
      </c>
      <c r="CD518" s="21" t="str">
        <f ca="1">IFERROR(VLOOKUP(AV518,OFFSET(abbreviation[],0,ColumnLanguage),ColumnAbbreviation,FALSE),"")</f>
        <v/>
      </c>
      <c r="CE518" s="21" t="str">
        <f t="shared" ca="1" si="59"/>
        <v>__</v>
      </c>
      <c r="CF518" s="21" t="str">
        <f ca="1">IFERROR(VLOOKUP(AX518,OFFSET(abbreviation[],0,ColumnLanguage),ColumnAbbreviation,FALSE),"")</f>
        <v/>
      </c>
      <c r="CG518" s="21" t="str">
        <f ca="1">IFERROR(VLOOKUP(AZ518,OFFSET(abbreviation[],0,ColumnLanguage),ColumnAbbreviation,FALSE),"")</f>
        <v/>
      </c>
      <c r="CH518" s="21" t="str">
        <f ca="1">IFERROR(VLOOKUP(BB518,OFFSET(abbreviation[],0,ColumnLanguage),ColumnAbbreviation,FALSE),"")</f>
        <v/>
      </c>
      <c r="CI518" s="21" t="str">
        <f ca="1">IFERROR(VLOOKUP(BD518,OFFSET(abbreviation[],0,ColumnLanguage),ColumnAbbreviation,FALSE),"")</f>
        <v/>
      </c>
      <c r="CJ518" s="21" t="str">
        <f ca="1">IFERROR(VLOOKUP(BF518,OFFSET(abbreviation[],0,ColumnLanguage),ColumnAbbreviation,FALSE),"")</f>
        <v/>
      </c>
      <c r="CK518" s="21" t="str">
        <f t="shared" ca="1" si="60"/>
        <v/>
      </c>
      <c r="CL518" s="21" t="str">
        <f t="shared" si="61"/>
        <v/>
      </c>
      <c r="CM518" s="52"/>
      <c r="CN518" s="57" t="str">
        <f t="shared" si="62"/>
        <v/>
      </c>
    </row>
    <row r="519" spans="14:92" x14ac:dyDescent="0.25">
      <c r="N519" s="58"/>
      <c r="P519" s="60"/>
      <c r="Q519" s="13"/>
      <c r="V519" s="60"/>
      <c r="X519" s="61"/>
      <c r="AB519" s="60"/>
      <c r="AN519" s="54"/>
      <c r="AS519" s="15"/>
      <c r="BH519" s="52"/>
      <c r="BI519" s="21" t="str">
        <f ca="1">IFERROR(VLOOKUP(C519,OFFSET(abbreviation[],0,ColumnLanguage),ColumnAbbreviation,FALSE),"")</f>
        <v/>
      </c>
      <c r="BJ519" s="21" t="str">
        <f ca="1">IFERROR(VLOOKUP(E519,OFFSET(abbreviation[],0,ColumnLanguage),ColumnAbbreviation,FALSE),"")</f>
        <v/>
      </c>
      <c r="BK519" s="21" t="str">
        <f ca="1">IFERROR(VLOOKUP(G519,OFFSET(abbreviation[],0,ColumnLanguage),ColumnAbbreviation,FALSE),"")</f>
        <v/>
      </c>
      <c r="BL519" s="21" t="str">
        <f ca="1">IFERROR(VLOOKUP(I519,OFFSET(abbreviation[],0,ColumnLanguage),ColumnAbbreviation,FALSE),"")</f>
        <v/>
      </c>
      <c r="BM519" s="21" t="str">
        <f ca="1">IFERROR(VLOOKUP(K519,OFFSET(abbreviation[],0,ColumnLanguage),ColumnAbbreviation,FALSE),"")</f>
        <v/>
      </c>
      <c r="BN519" s="21" t="str">
        <f t="shared" ca="1" si="56"/>
        <v/>
      </c>
      <c r="BO519" s="21" t="str">
        <f ca="1">IFERROR(VLOOKUP(N519,OFFSET(abbreviation[],0,ColumnLanguage),ColumnAbbreviation,FALSE),"")</f>
        <v/>
      </c>
      <c r="BP519" s="21" t="str">
        <f ca="1">IFERROR(VLOOKUP(P519,OFFSET(abbreviation[],0,ColumnLanguage),ColumnAbbreviation,FALSE),"")</f>
        <v/>
      </c>
      <c r="BQ519" s="21" t="str">
        <f ca="1">IFERROR(VLOOKUP(T519,OFFSET(abbreviation[],0,ColumnLanguage),ColumnAbbreviation,FALSE),"")</f>
        <v/>
      </c>
      <c r="BR519" s="21" t="str">
        <f ca="1">IFERROR(VLOOKUP(V519,OFFSET(abbreviation[],0,ColumnLanguage),ColumnAbbreviation,FALSE),"")</f>
        <v/>
      </c>
      <c r="BS519" s="21" t="str">
        <f ca="1">IFERROR(VLOOKUP(Z519,OFFSET(abbreviation[],0,ColumnLanguage),ColumnAbbreviation,FALSE),"")</f>
        <v/>
      </c>
      <c r="BT519" s="21" t="str">
        <f ca="1">IFERROR(VLOOKUP(AB519,OFFSET(abbreviation[],0,ColumnLanguage),ColumnAbbreviation,FALSE),"")</f>
        <v/>
      </c>
      <c r="BU519" s="21" t="str">
        <f t="shared" ca="1" si="57"/>
        <v>__</v>
      </c>
      <c r="BV519" s="21" t="str">
        <f ca="1">IFERROR(VLOOKUP(AF519,OFFSET(abbreviation[],0,ColumnLanguage),ColumnAbbreviation,FALSE),"")</f>
        <v/>
      </c>
      <c r="BW519" s="21" t="str">
        <f ca="1">IFERROR(VLOOKUP(AH519,OFFSET(abbreviation[],0,ColumnLanguage),ColumnAbbreviation,FALSE),"")</f>
        <v/>
      </c>
      <c r="BX519" s="21" t="str">
        <f ca="1">IFERROR(VLOOKUP(AJ519,OFFSET(abbreviation[],0,ColumnLanguage),ColumnAbbreviation,FALSE),"")</f>
        <v/>
      </c>
      <c r="BY519" s="21" t="str">
        <f ca="1">IFERROR(VLOOKUP(AL519,OFFSET(abbreviation[],0,ColumnLanguage),ColumnAbbreviation,FALSE),"")</f>
        <v/>
      </c>
      <c r="BZ519" s="21" t="str">
        <f t="shared" ca="1" si="58"/>
        <v>_</v>
      </c>
      <c r="CA519" s="21" t="str">
        <f ca="1">IFERROR(VLOOKUP(AP519,OFFSET(abbreviation[],0,ColumnLanguage),ColumnAbbreviation,FALSE),"")</f>
        <v/>
      </c>
      <c r="CB519" s="21" t="str">
        <f ca="1">IFERROR(VLOOKUP(AR519,OFFSET(abbreviation[],0,ColumnLanguage),ColumnAbbreviation,FALSE),"")</f>
        <v/>
      </c>
      <c r="CC519" s="21" t="str">
        <f ca="1">IFERROR(VLOOKUP(AT519,OFFSET(abbreviation[],0,ColumnLanguage),ColumnAbbreviation,FALSE),"")</f>
        <v/>
      </c>
      <c r="CD519" s="21" t="str">
        <f ca="1">IFERROR(VLOOKUP(AV519,OFFSET(abbreviation[],0,ColumnLanguage),ColumnAbbreviation,FALSE),"")</f>
        <v/>
      </c>
      <c r="CE519" s="21" t="str">
        <f t="shared" ca="1" si="59"/>
        <v>__</v>
      </c>
      <c r="CF519" s="21" t="str">
        <f ca="1">IFERROR(VLOOKUP(AX519,OFFSET(abbreviation[],0,ColumnLanguage),ColumnAbbreviation,FALSE),"")</f>
        <v/>
      </c>
      <c r="CG519" s="21" t="str">
        <f ca="1">IFERROR(VLOOKUP(AZ519,OFFSET(abbreviation[],0,ColumnLanguage),ColumnAbbreviation,FALSE),"")</f>
        <v/>
      </c>
      <c r="CH519" s="21" t="str">
        <f ca="1">IFERROR(VLOOKUP(BB519,OFFSET(abbreviation[],0,ColumnLanguage),ColumnAbbreviation,FALSE),"")</f>
        <v/>
      </c>
      <c r="CI519" s="21" t="str">
        <f ca="1">IFERROR(VLOOKUP(BD519,OFFSET(abbreviation[],0,ColumnLanguage),ColumnAbbreviation,FALSE),"")</f>
        <v/>
      </c>
      <c r="CJ519" s="21" t="str">
        <f ca="1">IFERROR(VLOOKUP(BF519,OFFSET(abbreviation[],0,ColumnLanguage),ColumnAbbreviation,FALSE),"")</f>
        <v/>
      </c>
      <c r="CK519" s="21" t="str">
        <f t="shared" ca="1" si="60"/>
        <v/>
      </c>
      <c r="CL519" s="21" t="str">
        <f t="shared" si="61"/>
        <v/>
      </c>
      <c r="CM519" s="52"/>
      <c r="CN519" s="57" t="str">
        <f t="shared" si="62"/>
        <v/>
      </c>
    </row>
    <row r="520" spans="14:92" x14ac:dyDescent="0.25">
      <c r="N520" s="58"/>
      <c r="P520" s="60"/>
      <c r="Q520" s="13"/>
      <c r="V520" s="60"/>
      <c r="X520" s="61"/>
      <c r="AB520" s="60"/>
      <c r="AN520" s="54"/>
      <c r="AS520" s="15"/>
      <c r="BH520" s="52"/>
      <c r="BI520" s="21" t="str">
        <f ca="1">IFERROR(VLOOKUP(C520,OFFSET(abbreviation[],0,ColumnLanguage),ColumnAbbreviation,FALSE),"")</f>
        <v/>
      </c>
      <c r="BJ520" s="21" t="str">
        <f ca="1">IFERROR(VLOOKUP(E520,OFFSET(abbreviation[],0,ColumnLanguage),ColumnAbbreviation,FALSE),"")</f>
        <v/>
      </c>
      <c r="BK520" s="21" t="str">
        <f ca="1">IFERROR(VLOOKUP(G520,OFFSET(abbreviation[],0,ColumnLanguage),ColumnAbbreviation,FALSE),"")</f>
        <v/>
      </c>
      <c r="BL520" s="21" t="str">
        <f ca="1">IFERROR(VLOOKUP(I520,OFFSET(abbreviation[],0,ColumnLanguage),ColumnAbbreviation,FALSE),"")</f>
        <v/>
      </c>
      <c r="BM520" s="21" t="str">
        <f ca="1">IFERROR(VLOOKUP(K520,OFFSET(abbreviation[],0,ColumnLanguage),ColumnAbbreviation,FALSE),"")</f>
        <v/>
      </c>
      <c r="BN520" s="21" t="str">
        <f t="shared" ca="1" si="56"/>
        <v/>
      </c>
      <c r="BO520" s="21" t="str">
        <f ca="1">IFERROR(VLOOKUP(N520,OFFSET(abbreviation[],0,ColumnLanguage),ColumnAbbreviation,FALSE),"")</f>
        <v/>
      </c>
      <c r="BP520" s="21" t="str">
        <f ca="1">IFERROR(VLOOKUP(P520,OFFSET(abbreviation[],0,ColumnLanguage),ColumnAbbreviation,FALSE),"")</f>
        <v/>
      </c>
      <c r="BQ520" s="21" t="str">
        <f ca="1">IFERROR(VLOOKUP(T520,OFFSET(abbreviation[],0,ColumnLanguage),ColumnAbbreviation,FALSE),"")</f>
        <v/>
      </c>
      <c r="BR520" s="21" t="str">
        <f ca="1">IFERROR(VLOOKUP(V520,OFFSET(abbreviation[],0,ColumnLanguage),ColumnAbbreviation,FALSE),"")</f>
        <v/>
      </c>
      <c r="BS520" s="21" t="str">
        <f ca="1">IFERROR(VLOOKUP(Z520,OFFSET(abbreviation[],0,ColumnLanguage),ColumnAbbreviation,FALSE),"")</f>
        <v/>
      </c>
      <c r="BT520" s="21" t="str">
        <f ca="1">IFERROR(VLOOKUP(AB520,OFFSET(abbreviation[],0,ColumnLanguage),ColumnAbbreviation,FALSE),"")</f>
        <v/>
      </c>
      <c r="BU520" s="21" t="str">
        <f t="shared" ca="1" si="57"/>
        <v>__</v>
      </c>
      <c r="BV520" s="21" t="str">
        <f ca="1">IFERROR(VLOOKUP(AF520,OFFSET(abbreviation[],0,ColumnLanguage),ColumnAbbreviation,FALSE),"")</f>
        <v/>
      </c>
      <c r="BW520" s="21" t="str">
        <f ca="1">IFERROR(VLOOKUP(AH520,OFFSET(abbreviation[],0,ColumnLanguage),ColumnAbbreviation,FALSE),"")</f>
        <v/>
      </c>
      <c r="BX520" s="21" t="str">
        <f ca="1">IFERROR(VLOOKUP(AJ520,OFFSET(abbreviation[],0,ColumnLanguage),ColumnAbbreviation,FALSE),"")</f>
        <v/>
      </c>
      <c r="BY520" s="21" t="str">
        <f ca="1">IFERROR(VLOOKUP(AL520,OFFSET(abbreviation[],0,ColumnLanguage),ColumnAbbreviation,FALSE),"")</f>
        <v/>
      </c>
      <c r="BZ520" s="21" t="str">
        <f t="shared" ca="1" si="58"/>
        <v>_</v>
      </c>
      <c r="CA520" s="21" t="str">
        <f ca="1">IFERROR(VLOOKUP(AP520,OFFSET(abbreviation[],0,ColumnLanguage),ColumnAbbreviation,FALSE),"")</f>
        <v/>
      </c>
      <c r="CB520" s="21" t="str">
        <f ca="1">IFERROR(VLOOKUP(AR520,OFFSET(abbreviation[],0,ColumnLanguage),ColumnAbbreviation,FALSE),"")</f>
        <v/>
      </c>
      <c r="CC520" s="21" t="str">
        <f ca="1">IFERROR(VLOOKUP(AT520,OFFSET(abbreviation[],0,ColumnLanguage),ColumnAbbreviation,FALSE),"")</f>
        <v/>
      </c>
      <c r="CD520" s="21" t="str">
        <f ca="1">IFERROR(VLOOKUP(AV520,OFFSET(abbreviation[],0,ColumnLanguage),ColumnAbbreviation,FALSE),"")</f>
        <v/>
      </c>
      <c r="CE520" s="21" t="str">
        <f t="shared" ca="1" si="59"/>
        <v>__</v>
      </c>
      <c r="CF520" s="21" t="str">
        <f ca="1">IFERROR(VLOOKUP(AX520,OFFSET(abbreviation[],0,ColumnLanguage),ColumnAbbreviation,FALSE),"")</f>
        <v/>
      </c>
      <c r="CG520" s="21" t="str">
        <f ca="1">IFERROR(VLOOKUP(AZ520,OFFSET(abbreviation[],0,ColumnLanguage),ColumnAbbreviation,FALSE),"")</f>
        <v/>
      </c>
      <c r="CH520" s="21" t="str">
        <f ca="1">IFERROR(VLOOKUP(BB520,OFFSET(abbreviation[],0,ColumnLanguage),ColumnAbbreviation,FALSE),"")</f>
        <v/>
      </c>
      <c r="CI520" s="21" t="str">
        <f ca="1">IFERROR(VLOOKUP(BD520,OFFSET(abbreviation[],0,ColumnLanguage),ColumnAbbreviation,FALSE),"")</f>
        <v/>
      </c>
      <c r="CJ520" s="21" t="str">
        <f ca="1">IFERROR(VLOOKUP(BF520,OFFSET(abbreviation[],0,ColumnLanguage),ColumnAbbreviation,FALSE),"")</f>
        <v/>
      </c>
      <c r="CK520" s="21" t="str">
        <f t="shared" ca="1" si="60"/>
        <v/>
      </c>
      <c r="CL520" s="21" t="str">
        <f t="shared" si="61"/>
        <v/>
      </c>
      <c r="CM520" s="52"/>
      <c r="CN520" s="57" t="str">
        <f t="shared" si="62"/>
        <v/>
      </c>
    </row>
    <row r="521" spans="14:92" x14ac:dyDescent="0.25">
      <c r="N521" s="58"/>
      <c r="P521" s="60"/>
      <c r="Q521" s="13"/>
      <c r="V521" s="60"/>
      <c r="X521" s="61"/>
      <c r="AB521" s="60"/>
      <c r="AN521" s="54"/>
      <c r="AS521" s="15"/>
      <c r="BH521" s="52"/>
      <c r="BI521" s="21" t="str">
        <f ca="1">IFERROR(VLOOKUP(C521,OFFSET(abbreviation[],0,ColumnLanguage),ColumnAbbreviation,FALSE),"")</f>
        <v/>
      </c>
      <c r="BJ521" s="21" t="str">
        <f ca="1">IFERROR(VLOOKUP(E521,OFFSET(abbreviation[],0,ColumnLanguage),ColumnAbbreviation,FALSE),"")</f>
        <v/>
      </c>
      <c r="BK521" s="21" t="str">
        <f ca="1">IFERROR(VLOOKUP(G521,OFFSET(abbreviation[],0,ColumnLanguage),ColumnAbbreviation,FALSE),"")</f>
        <v/>
      </c>
      <c r="BL521" s="21" t="str">
        <f ca="1">IFERROR(VLOOKUP(I521,OFFSET(abbreviation[],0,ColumnLanguage),ColumnAbbreviation,FALSE),"")</f>
        <v/>
      </c>
      <c r="BM521" s="21" t="str">
        <f ca="1">IFERROR(VLOOKUP(K521,OFFSET(abbreviation[],0,ColumnLanguage),ColumnAbbreviation,FALSE),"")</f>
        <v/>
      </c>
      <c r="BN521" s="21" t="str">
        <f t="shared" ca="1" si="56"/>
        <v/>
      </c>
      <c r="BO521" s="21" t="str">
        <f ca="1">IFERROR(VLOOKUP(N521,OFFSET(abbreviation[],0,ColumnLanguage),ColumnAbbreviation,FALSE),"")</f>
        <v/>
      </c>
      <c r="BP521" s="21" t="str">
        <f ca="1">IFERROR(VLOOKUP(P521,OFFSET(abbreviation[],0,ColumnLanguage),ColumnAbbreviation,FALSE),"")</f>
        <v/>
      </c>
      <c r="BQ521" s="21" t="str">
        <f ca="1">IFERROR(VLOOKUP(T521,OFFSET(abbreviation[],0,ColumnLanguage),ColumnAbbreviation,FALSE),"")</f>
        <v/>
      </c>
      <c r="BR521" s="21" t="str">
        <f ca="1">IFERROR(VLOOKUP(V521,OFFSET(abbreviation[],0,ColumnLanguage),ColumnAbbreviation,FALSE),"")</f>
        <v/>
      </c>
      <c r="BS521" s="21" t="str">
        <f ca="1">IFERROR(VLOOKUP(Z521,OFFSET(abbreviation[],0,ColumnLanguage),ColumnAbbreviation,FALSE),"")</f>
        <v/>
      </c>
      <c r="BT521" s="21" t="str">
        <f ca="1">IFERROR(VLOOKUP(AB521,OFFSET(abbreviation[],0,ColumnLanguage),ColumnAbbreviation,FALSE),"")</f>
        <v/>
      </c>
      <c r="BU521" s="21" t="str">
        <f t="shared" ca="1" si="57"/>
        <v>__</v>
      </c>
      <c r="BV521" s="21" t="str">
        <f ca="1">IFERROR(VLOOKUP(AF521,OFFSET(abbreviation[],0,ColumnLanguage),ColumnAbbreviation,FALSE),"")</f>
        <v/>
      </c>
      <c r="BW521" s="21" t="str">
        <f ca="1">IFERROR(VLOOKUP(AH521,OFFSET(abbreviation[],0,ColumnLanguage),ColumnAbbreviation,FALSE),"")</f>
        <v/>
      </c>
      <c r="BX521" s="21" t="str">
        <f ca="1">IFERROR(VLOOKUP(AJ521,OFFSET(abbreviation[],0,ColumnLanguage),ColumnAbbreviation,FALSE),"")</f>
        <v/>
      </c>
      <c r="BY521" s="21" t="str">
        <f ca="1">IFERROR(VLOOKUP(AL521,OFFSET(abbreviation[],0,ColumnLanguage),ColumnAbbreviation,FALSE),"")</f>
        <v/>
      </c>
      <c r="BZ521" s="21" t="str">
        <f t="shared" ca="1" si="58"/>
        <v>_</v>
      </c>
      <c r="CA521" s="21" t="str">
        <f ca="1">IFERROR(VLOOKUP(AP521,OFFSET(abbreviation[],0,ColumnLanguage),ColumnAbbreviation,FALSE),"")</f>
        <v/>
      </c>
      <c r="CB521" s="21" t="str">
        <f ca="1">IFERROR(VLOOKUP(AR521,OFFSET(abbreviation[],0,ColumnLanguage),ColumnAbbreviation,FALSE),"")</f>
        <v/>
      </c>
      <c r="CC521" s="21" t="str">
        <f ca="1">IFERROR(VLOOKUP(AT521,OFFSET(abbreviation[],0,ColumnLanguage),ColumnAbbreviation,FALSE),"")</f>
        <v/>
      </c>
      <c r="CD521" s="21" t="str">
        <f ca="1">IFERROR(VLOOKUP(AV521,OFFSET(abbreviation[],0,ColumnLanguage),ColumnAbbreviation,FALSE),"")</f>
        <v/>
      </c>
      <c r="CE521" s="21" t="str">
        <f t="shared" ca="1" si="59"/>
        <v>__</v>
      </c>
      <c r="CF521" s="21" t="str">
        <f ca="1">IFERROR(VLOOKUP(AX521,OFFSET(abbreviation[],0,ColumnLanguage),ColumnAbbreviation,FALSE),"")</f>
        <v/>
      </c>
      <c r="CG521" s="21" t="str">
        <f ca="1">IFERROR(VLOOKUP(AZ521,OFFSET(abbreviation[],0,ColumnLanguage),ColumnAbbreviation,FALSE),"")</f>
        <v/>
      </c>
      <c r="CH521" s="21" t="str">
        <f ca="1">IFERROR(VLOOKUP(BB521,OFFSET(abbreviation[],0,ColumnLanguage),ColumnAbbreviation,FALSE),"")</f>
        <v/>
      </c>
      <c r="CI521" s="21" t="str">
        <f ca="1">IFERROR(VLOOKUP(BD521,OFFSET(abbreviation[],0,ColumnLanguage),ColumnAbbreviation,FALSE),"")</f>
        <v/>
      </c>
      <c r="CJ521" s="21" t="str">
        <f ca="1">IFERROR(VLOOKUP(BF521,OFFSET(abbreviation[],0,ColumnLanguage),ColumnAbbreviation,FALSE),"")</f>
        <v/>
      </c>
      <c r="CK521" s="21" t="str">
        <f t="shared" ca="1" si="60"/>
        <v/>
      </c>
      <c r="CL521" s="21" t="str">
        <f t="shared" si="61"/>
        <v/>
      </c>
      <c r="CM521" s="52"/>
      <c r="CN521" s="57" t="str">
        <f t="shared" si="62"/>
        <v/>
      </c>
    </row>
    <row r="522" spans="14:92" x14ac:dyDescent="0.25">
      <c r="N522" s="58"/>
      <c r="P522" s="60"/>
      <c r="Q522" s="13"/>
      <c r="V522" s="60"/>
      <c r="X522" s="61"/>
      <c r="AB522" s="60"/>
      <c r="AN522" s="54"/>
      <c r="AS522" s="15"/>
      <c r="BH522" s="52"/>
      <c r="BI522" s="21" t="str">
        <f ca="1">IFERROR(VLOOKUP(C522,OFFSET(abbreviation[],0,ColumnLanguage),ColumnAbbreviation,FALSE),"")</f>
        <v/>
      </c>
      <c r="BJ522" s="21" t="str">
        <f ca="1">IFERROR(VLOOKUP(E522,OFFSET(abbreviation[],0,ColumnLanguage),ColumnAbbreviation,FALSE),"")</f>
        <v/>
      </c>
      <c r="BK522" s="21" t="str">
        <f ca="1">IFERROR(VLOOKUP(G522,OFFSET(abbreviation[],0,ColumnLanguage),ColumnAbbreviation,FALSE),"")</f>
        <v/>
      </c>
      <c r="BL522" s="21" t="str">
        <f ca="1">IFERROR(VLOOKUP(I522,OFFSET(abbreviation[],0,ColumnLanguage),ColumnAbbreviation,FALSE),"")</f>
        <v/>
      </c>
      <c r="BM522" s="21" t="str">
        <f ca="1">IFERROR(VLOOKUP(K522,OFFSET(abbreviation[],0,ColumnLanguage),ColumnAbbreviation,FALSE),"")</f>
        <v/>
      </c>
      <c r="BN522" s="21" t="str">
        <f t="shared" ca="1" si="56"/>
        <v/>
      </c>
      <c r="BO522" s="21" t="str">
        <f ca="1">IFERROR(VLOOKUP(N522,OFFSET(abbreviation[],0,ColumnLanguage),ColumnAbbreviation,FALSE),"")</f>
        <v/>
      </c>
      <c r="BP522" s="21" t="str">
        <f ca="1">IFERROR(VLOOKUP(P522,OFFSET(abbreviation[],0,ColumnLanguage),ColumnAbbreviation,FALSE),"")</f>
        <v/>
      </c>
      <c r="BQ522" s="21" t="str">
        <f ca="1">IFERROR(VLOOKUP(T522,OFFSET(abbreviation[],0,ColumnLanguage),ColumnAbbreviation,FALSE),"")</f>
        <v/>
      </c>
      <c r="BR522" s="21" t="str">
        <f ca="1">IFERROR(VLOOKUP(V522,OFFSET(abbreviation[],0,ColumnLanguage),ColumnAbbreviation,FALSE),"")</f>
        <v/>
      </c>
      <c r="BS522" s="21" t="str">
        <f ca="1">IFERROR(VLOOKUP(Z522,OFFSET(abbreviation[],0,ColumnLanguage),ColumnAbbreviation,FALSE),"")</f>
        <v/>
      </c>
      <c r="BT522" s="21" t="str">
        <f ca="1">IFERROR(VLOOKUP(AB522,OFFSET(abbreviation[],0,ColumnLanguage),ColumnAbbreviation,FALSE),"")</f>
        <v/>
      </c>
      <c r="BU522" s="21" t="str">
        <f t="shared" ca="1" si="57"/>
        <v>__</v>
      </c>
      <c r="BV522" s="21" t="str">
        <f ca="1">IFERROR(VLOOKUP(AF522,OFFSET(abbreviation[],0,ColumnLanguage),ColumnAbbreviation,FALSE),"")</f>
        <v/>
      </c>
      <c r="BW522" s="21" t="str">
        <f ca="1">IFERROR(VLOOKUP(AH522,OFFSET(abbreviation[],0,ColumnLanguage),ColumnAbbreviation,FALSE),"")</f>
        <v/>
      </c>
      <c r="BX522" s="21" t="str">
        <f ca="1">IFERROR(VLOOKUP(AJ522,OFFSET(abbreviation[],0,ColumnLanguage),ColumnAbbreviation,FALSE),"")</f>
        <v/>
      </c>
      <c r="BY522" s="21" t="str">
        <f ca="1">IFERROR(VLOOKUP(AL522,OFFSET(abbreviation[],0,ColumnLanguage),ColumnAbbreviation,FALSE),"")</f>
        <v/>
      </c>
      <c r="BZ522" s="21" t="str">
        <f t="shared" ca="1" si="58"/>
        <v>_</v>
      </c>
      <c r="CA522" s="21" t="str">
        <f ca="1">IFERROR(VLOOKUP(AP522,OFFSET(abbreviation[],0,ColumnLanguage),ColumnAbbreviation,FALSE),"")</f>
        <v/>
      </c>
      <c r="CB522" s="21" t="str">
        <f ca="1">IFERROR(VLOOKUP(AR522,OFFSET(abbreviation[],0,ColumnLanguage),ColumnAbbreviation,FALSE),"")</f>
        <v/>
      </c>
      <c r="CC522" s="21" t="str">
        <f ca="1">IFERROR(VLOOKUP(AT522,OFFSET(abbreviation[],0,ColumnLanguage),ColumnAbbreviation,FALSE),"")</f>
        <v/>
      </c>
      <c r="CD522" s="21" t="str">
        <f ca="1">IFERROR(VLOOKUP(AV522,OFFSET(abbreviation[],0,ColumnLanguage),ColumnAbbreviation,FALSE),"")</f>
        <v/>
      </c>
      <c r="CE522" s="21" t="str">
        <f t="shared" ca="1" si="59"/>
        <v>__</v>
      </c>
      <c r="CF522" s="21" t="str">
        <f ca="1">IFERROR(VLOOKUP(AX522,OFFSET(abbreviation[],0,ColumnLanguage),ColumnAbbreviation,FALSE),"")</f>
        <v/>
      </c>
      <c r="CG522" s="21" t="str">
        <f ca="1">IFERROR(VLOOKUP(AZ522,OFFSET(abbreviation[],0,ColumnLanguage),ColumnAbbreviation,FALSE),"")</f>
        <v/>
      </c>
      <c r="CH522" s="21" t="str">
        <f ca="1">IFERROR(VLOOKUP(BB522,OFFSET(abbreviation[],0,ColumnLanguage),ColumnAbbreviation,FALSE),"")</f>
        <v/>
      </c>
      <c r="CI522" s="21" t="str">
        <f ca="1">IFERROR(VLOOKUP(BD522,OFFSET(abbreviation[],0,ColumnLanguage),ColumnAbbreviation,FALSE),"")</f>
        <v/>
      </c>
      <c r="CJ522" s="21" t="str">
        <f ca="1">IFERROR(VLOOKUP(BF522,OFFSET(abbreviation[],0,ColumnLanguage),ColumnAbbreviation,FALSE),"")</f>
        <v/>
      </c>
      <c r="CK522" s="21" t="str">
        <f t="shared" ca="1" si="60"/>
        <v/>
      </c>
      <c r="CL522" s="21" t="str">
        <f t="shared" si="61"/>
        <v/>
      </c>
      <c r="CM522" s="52"/>
      <c r="CN522" s="57" t="str">
        <f t="shared" si="62"/>
        <v/>
      </c>
    </row>
    <row r="523" spans="14:92" x14ac:dyDescent="0.25">
      <c r="N523" s="58"/>
      <c r="P523" s="60"/>
      <c r="Q523" s="13"/>
      <c r="V523" s="60"/>
      <c r="X523" s="61"/>
      <c r="AB523" s="60"/>
      <c r="AN523" s="54"/>
      <c r="AS523" s="15"/>
      <c r="BH523" s="52"/>
      <c r="BI523" s="21" t="str">
        <f ca="1">IFERROR(VLOOKUP(C523,OFFSET(abbreviation[],0,ColumnLanguage),ColumnAbbreviation,FALSE),"")</f>
        <v/>
      </c>
      <c r="BJ523" s="21" t="str">
        <f ca="1">IFERROR(VLOOKUP(E523,OFFSET(abbreviation[],0,ColumnLanguage),ColumnAbbreviation,FALSE),"")</f>
        <v/>
      </c>
      <c r="BK523" s="21" t="str">
        <f ca="1">IFERROR(VLOOKUP(G523,OFFSET(abbreviation[],0,ColumnLanguage),ColumnAbbreviation,FALSE),"")</f>
        <v/>
      </c>
      <c r="BL523" s="21" t="str">
        <f ca="1">IFERROR(VLOOKUP(I523,OFFSET(abbreviation[],0,ColumnLanguage),ColumnAbbreviation,FALSE),"")</f>
        <v/>
      </c>
      <c r="BM523" s="21" t="str">
        <f ca="1">IFERROR(VLOOKUP(K523,OFFSET(abbreviation[],0,ColumnLanguage),ColumnAbbreviation,FALSE),"")</f>
        <v/>
      </c>
      <c r="BN523" s="21" t="str">
        <f t="shared" ca="1" si="56"/>
        <v/>
      </c>
      <c r="BO523" s="21" t="str">
        <f ca="1">IFERROR(VLOOKUP(N523,OFFSET(abbreviation[],0,ColumnLanguage),ColumnAbbreviation,FALSE),"")</f>
        <v/>
      </c>
      <c r="BP523" s="21" t="str">
        <f ca="1">IFERROR(VLOOKUP(P523,OFFSET(abbreviation[],0,ColumnLanguage),ColumnAbbreviation,FALSE),"")</f>
        <v/>
      </c>
      <c r="BQ523" s="21" t="str">
        <f ca="1">IFERROR(VLOOKUP(T523,OFFSET(abbreviation[],0,ColumnLanguage),ColumnAbbreviation,FALSE),"")</f>
        <v/>
      </c>
      <c r="BR523" s="21" t="str">
        <f ca="1">IFERROR(VLOOKUP(V523,OFFSET(abbreviation[],0,ColumnLanguage),ColumnAbbreviation,FALSE),"")</f>
        <v/>
      </c>
      <c r="BS523" s="21" t="str">
        <f ca="1">IFERROR(VLOOKUP(Z523,OFFSET(abbreviation[],0,ColumnLanguage),ColumnAbbreviation,FALSE),"")</f>
        <v/>
      </c>
      <c r="BT523" s="21" t="str">
        <f ca="1">IFERROR(VLOOKUP(AB523,OFFSET(abbreviation[],0,ColumnLanguage),ColumnAbbreviation,FALSE),"")</f>
        <v/>
      </c>
      <c r="BU523" s="21" t="str">
        <f t="shared" ca="1" si="57"/>
        <v>__</v>
      </c>
      <c r="BV523" s="21" t="str">
        <f ca="1">IFERROR(VLOOKUP(AF523,OFFSET(abbreviation[],0,ColumnLanguage),ColumnAbbreviation,FALSE),"")</f>
        <v/>
      </c>
      <c r="BW523" s="21" t="str">
        <f ca="1">IFERROR(VLOOKUP(AH523,OFFSET(abbreviation[],0,ColumnLanguage),ColumnAbbreviation,FALSE),"")</f>
        <v/>
      </c>
      <c r="BX523" s="21" t="str">
        <f ca="1">IFERROR(VLOOKUP(AJ523,OFFSET(abbreviation[],0,ColumnLanguage),ColumnAbbreviation,FALSE),"")</f>
        <v/>
      </c>
      <c r="BY523" s="21" t="str">
        <f ca="1">IFERROR(VLOOKUP(AL523,OFFSET(abbreviation[],0,ColumnLanguage),ColumnAbbreviation,FALSE),"")</f>
        <v/>
      </c>
      <c r="BZ523" s="21" t="str">
        <f t="shared" ca="1" si="58"/>
        <v>_</v>
      </c>
      <c r="CA523" s="21" t="str">
        <f ca="1">IFERROR(VLOOKUP(AP523,OFFSET(abbreviation[],0,ColumnLanguage),ColumnAbbreviation,FALSE),"")</f>
        <v/>
      </c>
      <c r="CB523" s="21" t="str">
        <f ca="1">IFERROR(VLOOKUP(AR523,OFFSET(abbreviation[],0,ColumnLanguage),ColumnAbbreviation,FALSE),"")</f>
        <v/>
      </c>
      <c r="CC523" s="21" t="str">
        <f ca="1">IFERROR(VLOOKUP(AT523,OFFSET(abbreviation[],0,ColumnLanguage),ColumnAbbreviation,FALSE),"")</f>
        <v/>
      </c>
      <c r="CD523" s="21" t="str">
        <f ca="1">IFERROR(VLOOKUP(AV523,OFFSET(abbreviation[],0,ColumnLanguage),ColumnAbbreviation,FALSE),"")</f>
        <v/>
      </c>
      <c r="CE523" s="21" t="str">
        <f t="shared" ca="1" si="59"/>
        <v>__</v>
      </c>
      <c r="CF523" s="21" t="str">
        <f ca="1">IFERROR(VLOOKUP(AX523,OFFSET(abbreviation[],0,ColumnLanguage),ColumnAbbreviation,FALSE),"")</f>
        <v/>
      </c>
      <c r="CG523" s="21" t="str">
        <f ca="1">IFERROR(VLOOKUP(AZ523,OFFSET(abbreviation[],0,ColumnLanguage),ColumnAbbreviation,FALSE),"")</f>
        <v/>
      </c>
      <c r="CH523" s="21" t="str">
        <f ca="1">IFERROR(VLOOKUP(BB523,OFFSET(abbreviation[],0,ColumnLanguage),ColumnAbbreviation,FALSE),"")</f>
        <v/>
      </c>
      <c r="CI523" s="21" t="str">
        <f ca="1">IFERROR(VLOOKUP(BD523,OFFSET(abbreviation[],0,ColumnLanguage),ColumnAbbreviation,FALSE),"")</f>
        <v/>
      </c>
      <c r="CJ523" s="21" t="str">
        <f ca="1">IFERROR(VLOOKUP(BF523,OFFSET(abbreviation[],0,ColumnLanguage),ColumnAbbreviation,FALSE),"")</f>
        <v/>
      </c>
      <c r="CK523" s="21" t="str">
        <f t="shared" ca="1" si="60"/>
        <v/>
      </c>
      <c r="CL523" s="21" t="str">
        <f t="shared" si="61"/>
        <v/>
      </c>
      <c r="CM523" s="52"/>
      <c r="CN523" s="57" t="str">
        <f t="shared" si="62"/>
        <v/>
      </c>
    </row>
    <row r="524" spans="14:92" x14ac:dyDescent="0.25">
      <c r="N524" s="58"/>
      <c r="P524" s="60"/>
      <c r="Q524" s="13"/>
      <c r="V524" s="60"/>
      <c r="X524" s="61"/>
      <c r="AB524" s="60"/>
      <c r="AN524" s="54"/>
      <c r="AS524" s="15"/>
      <c r="BH524" s="52"/>
      <c r="BI524" s="21" t="str">
        <f ca="1">IFERROR(VLOOKUP(C524,OFFSET(abbreviation[],0,ColumnLanguage),ColumnAbbreviation,FALSE),"")</f>
        <v/>
      </c>
      <c r="BJ524" s="21" t="str">
        <f ca="1">IFERROR(VLOOKUP(E524,OFFSET(abbreviation[],0,ColumnLanguage),ColumnAbbreviation,FALSE),"")</f>
        <v/>
      </c>
      <c r="BK524" s="21" t="str">
        <f ca="1">IFERROR(VLOOKUP(G524,OFFSET(abbreviation[],0,ColumnLanguage),ColumnAbbreviation,FALSE),"")</f>
        <v/>
      </c>
      <c r="BL524" s="21" t="str">
        <f ca="1">IFERROR(VLOOKUP(I524,OFFSET(abbreviation[],0,ColumnLanguage),ColumnAbbreviation,FALSE),"")</f>
        <v/>
      </c>
      <c r="BM524" s="21" t="str">
        <f ca="1">IFERROR(VLOOKUP(K524,OFFSET(abbreviation[],0,ColumnLanguage),ColumnAbbreviation,FALSE),"")</f>
        <v/>
      </c>
      <c r="BN524" s="21" t="str">
        <f t="shared" ca="1" si="56"/>
        <v/>
      </c>
      <c r="BO524" s="21" t="str">
        <f ca="1">IFERROR(VLOOKUP(N524,OFFSET(abbreviation[],0,ColumnLanguage),ColumnAbbreviation,FALSE),"")</f>
        <v/>
      </c>
      <c r="BP524" s="21" t="str">
        <f ca="1">IFERROR(VLOOKUP(P524,OFFSET(abbreviation[],0,ColumnLanguage),ColumnAbbreviation,FALSE),"")</f>
        <v/>
      </c>
      <c r="BQ524" s="21" t="str">
        <f ca="1">IFERROR(VLOOKUP(T524,OFFSET(abbreviation[],0,ColumnLanguage),ColumnAbbreviation,FALSE),"")</f>
        <v/>
      </c>
      <c r="BR524" s="21" t="str">
        <f ca="1">IFERROR(VLOOKUP(V524,OFFSET(abbreviation[],0,ColumnLanguage),ColumnAbbreviation,FALSE),"")</f>
        <v/>
      </c>
      <c r="BS524" s="21" t="str">
        <f ca="1">IFERROR(VLOOKUP(Z524,OFFSET(abbreviation[],0,ColumnLanguage),ColumnAbbreviation,FALSE),"")</f>
        <v/>
      </c>
      <c r="BT524" s="21" t="str">
        <f ca="1">IFERROR(VLOOKUP(AB524,OFFSET(abbreviation[],0,ColumnLanguage),ColumnAbbreviation,FALSE),"")</f>
        <v/>
      </c>
      <c r="BU524" s="21" t="str">
        <f t="shared" ca="1" si="57"/>
        <v>__</v>
      </c>
      <c r="BV524" s="21" t="str">
        <f ca="1">IFERROR(VLOOKUP(AF524,OFFSET(abbreviation[],0,ColumnLanguage),ColumnAbbreviation,FALSE),"")</f>
        <v/>
      </c>
      <c r="BW524" s="21" t="str">
        <f ca="1">IFERROR(VLOOKUP(AH524,OFFSET(abbreviation[],0,ColumnLanguage),ColumnAbbreviation,FALSE),"")</f>
        <v/>
      </c>
      <c r="BX524" s="21" t="str">
        <f ca="1">IFERROR(VLOOKUP(AJ524,OFFSET(abbreviation[],0,ColumnLanguage),ColumnAbbreviation,FALSE),"")</f>
        <v/>
      </c>
      <c r="BY524" s="21" t="str">
        <f ca="1">IFERROR(VLOOKUP(AL524,OFFSET(abbreviation[],0,ColumnLanguage),ColumnAbbreviation,FALSE),"")</f>
        <v/>
      </c>
      <c r="BZ524" s="21" t="str">
        <f t="shared" ca="1" si="58"/>
        <v>_</v>
      </c>
      <c r="CA524" s="21" t="str">
        <f ca="1">IFERROR(VLOOKUP(AP524,OFFSET(abbreviation[],0,ColumnLanguage),ColumnAbbreviation,FALSE),"")</f>
        <v/>
      </c>
      <c r="CB524" s="21" t="str">
        <f ca="1">IFERROR(VLOOKUP(AR524,OFFSET(abbreviation[],0,ColumnLanguage),ColumnAbbreviation,FALSE),"")</f>
        <v/>
      </c>
      <c r="CC524" s="21" t="str">
        <f ca="1">IFERROR(VLOOKUP(AT524,OFFSET(abbreviation[],0,ColumnLanguage),ColumnAbbreviation,FALSE),"")</f>
        <v/>
      </c>
      <c r="CD524" s="21" t="str">
        <f ca="1">IFERROR(VLOOKUP(AV524,OFFSET(abbreviation[],0,ColumnLanguage),ColumnAbbreviation,FALSE),"")</f>
        <v/>
      </c>
      <c r="CE524" s="21" t="str">
        <f t="shared" ca="1" si="59"/>
        <v>__</v>
      </c>
      <c r="CF524" s="21" t="str">
        <f ca="1">IFERROR(VLOOKUP(AX524,OFFSET(abbreviation[],0,ColumnLanguage),ColumnAbbreviation,FALSE),"")</f>
        <v/>
      </c>
      <c r="CG524" s="21" t="str">
        <f ca="1">IFERROR(VLOOKUP(AZ524,OFFSET(abbreviation[],0,ColumnLanguage),ColumnAbbreviation,FALSE),"")</f>
        <v/>
      </c>
      <c r="CH524" s="21" t="str">
        <f ca="1">IFERROR(VLOOKUP(BB524,OFFSET(abbreviation[],0,ColumnLanguage),ColumnAbbreviation,FALSE),"")</f>
        <v/>
      </c>
      <c r="CI524" s="21" t="str">
        <f ca="1">IFERROR(VLOOKUP(BD524,OFFSET(abbreviation[],0,ColumnLanguage),ColumnAbbreviation,FALSE),"")</f>
        <v/>
      </c>
      <c r="CJ524" s="21" t="str">
        <f ca="1">IFERROR(VLOOKUP(BF524,OFFSET(abbreviation[],0,ColumnLanguage),ColumnAbbreviation,FALSE),"")</f>
        <v/>
      </c>
      <c r="CK524" s="21" t="str">
        <f t="shared" ca="1" si="60"/>
        <v/>
      </c>
      <c r="CL524" s="21" t="str">
        <f t="shared" si="61"/>
        <v/>
      </c>
      <c r="CM524" s="52"/>
      <c r="CN524" s="57" t="str">
        <f t="shared" si="62"/>
        <v/>
      </c>
    </row>
    <row r="525" spans="14:92" x14ac:dyDescent="0.25">
      <c r="N525" s="58"/>
      <c r="P525" s="60"/>
      <c r="Q525" s="13"/>
      <c r="V525" s="60"/>
      <c r="X525" s="61"/>
      <c r="AB525" s="60"/>
      <c r="AN525" s="54"/>
      <c r="AS525" s="15"/>
      <c r="BH525" s="52"/>
      <c r="BI525" s="21" t="str">
        <f ca="1">IFERROR(VLOOKUP(C525,OFFSET(abbreviation[],0,ColumnLanguage),ColumnAbbreviation,FALSE),"")</f>
        <v/>
      </c>
      <c r="BJ525" s="21" t="str">
        <f ca="1">IFERROR(VLOOKUP(E525,OFFSET(abbreviation[],0,ColumnLanguage),ColumnAbbreviation,FALSE),"")</f>
        <v/>
      </c>
      <c r="BK525" s="21" t="str">
        <f ca="1">IFERROR(VLOOKUP(G525,OFFSET(abbreviation[],0,ColumnLanguage),ColumnAbbreviation,FALSE),"")</f>
        <v/>
      </c>
      <c r="BL525" s="21" t="str">
        <f ca="1">IFERROR(VLOOKUP(I525,OFFSET(abbreviation[],0,ColumnLanguage),ColumnAbbreviation,FALSE),"")</f>
        <v/>
      </c>
      <c r="BM525" s="21" t="str">
        <f ca="1">IFERROR(VLOOKUP(K525,OFFSET(abbreviation[],0,ColumnLanguage),ColumnAbbreviation,FALSE),"")</f>
        <v/>
      </c>
      <c r="BN525" s="21" t="str">
        <f t="shared" ca="1" si="56"/>
        <v/>
      </c>
      <c r="BO525" s="21" t="str">
        <f ca="1">IFERROR(VLOOKUP(N525,OFFSET(abbreviation[],0,ColumnLanguage),ColumnAbbreviation,FALSE),"")</f>
        <v/>
      </c>
      <c r="BP525" s="21" t="str">
        <f ca="1">IFERROR(VLOOKUP(P525,OFFSET(abbreviation[],0,ColumnLanguage),ColumnAbbreviation,FALSE),"")</f>
        <v/>
      </c>
      <c r="BQ525" s="21" t="str">
        <f ca="1">IFERROR(VLOOKUP(T525,OFFSET(abbreviation[],0,ColumnLanguage),ColumnAbbreviation,FALSE),"")</f>
        <v/>
      </c>
      <c r="BR525" s="21" t="str">
        <f ca="1">IFERROR(VLOOKUP(V525,OFFSET(abbreviation[],0,ColumnLanguage),ColumnAbbreviation,FALSE),"")</f>
        <v/>
      </c>
      <c r="BS525" s="21" t="str">
        <f ca="1">IFERROR(VLOOKUP(Z525,OFFSET(abbreviation[],0,ColumnLanguage),ColumnAbbreviation,FALSE),"")</f>
        <v/>
      </c>
      <c r="BT525" s="21" t="str">
        <f ca="1">IFERROR(VLOOKUP(AB525,OFFSET(abbreviation[],0,ColumnLanguage),ColumnAbbreviation,FALSE),"")</f>
        <v/>
      </c>
      <c r="BU525" s="21" t="str">
        <f t="shared" ca="1" si="57"/>
        <v>__</v>
      </c>
      <c r="BV525" s="21" t="str">
        <f ca="1">IFERROR(VLOOKUP(AF525,OFFSET(abbreviation[],0,ColumnLanguage),ColumnAbbreviation,FALSE),"")</f>
        <v/>
      </c>
      <c r="BW525" s="21" t="str">
        <f ca="1">IFERROR(VLOOKUP(AH525,OFFSET(abbreviation[],0,ColumnLanguage),ColumnAbbreviation,FALSE),"")</f>
        <v/>
      </c>
      <c r="BX525" s="21" t="str">
        <f ca="1">IFERROR(VLOOKUP(AJ525,OFFSET(abbreviation[],0,ColumnLanguage),ColumnAbbreviation,FALSE),"")</f>
        <v/>
      </c>
      <c r="BY525" s="21" t="str">
        <f ca="1">IFERROR(VLOOKUP(AL525,OFFSET(abbreviation[],0,ColumnLanguage),ColumnAbbreviation,FALSE),"")</f>
        <v/>
      </c>
      <c r="BZ525" s="21" t="str">
        <f t="shared" ca="1" si="58"/>
        <v>_</v>
      </c>
      <c r="CA525" s="21" t="str">
        <f ca="1">IFERROR(VLOOKUP(AP525,OFFSET(abbreviation[],0,ColumnLanguage),ColumnAbbreviation,FALSE),"")</f>
        <v/>
      </c>
      <c r="CB525" s="21" t="str">
        <f ca="1">IFERROR(VLOOKUP(AR525,OFFSET(abbreviation[],0,ColumnLanguage),ColumnAbbreviation,FALSE),"")</f>
        <v/>
      </c>
      <c r="CC525" s="21" t="str">
        <f ca="1">IFERROR(VLOOKUP(AT525,OFFSET(abbreviation[],0,ColumnLanguage),ColumnAbbreviation,FALSE),"")</f>
        <v/>
      </c>
      <c r="CD525" s="21" t="str">
        <f ca="1">IFERROR(VLOOKUP(AV525,OFFSET(abbreviation[],0,ColumnLanguage),ColumnAbbreviation,FALSE),"")</f>
        <v/>
      </c>
      <c r="CE525" s="21" t="str">
        <f t="shared" ca="1" si="59"/>
        <v>__</v>
      </c>
      <c r="CF525" s="21" t="str">
        <f ca="1">IFERROR(VLOOKUP(AX525,OFFSET(abbreviation[],0,ColumnLanguage),ColumnAbbreviation,FALSE),"")</f>
        <v/>
      </c>
      <c r="CG525" s="21" t="str">
        <f ca="1">IFERROR(VLOOKUP(AZ525,OFFSET(abbreviation[],0,ColumnLanguage),ColumnAbbreviation,FALSE),"")</f>
        <v/>
      </c>
      <c r="CH525" s="21" t="str">
        <f ca="1">IFERROR(VLOOKUP(BB525,OFFSET(abbreviation[],0,ColumnLanguage),ColumnAbbreviation,FALSE),"")</f>
        <v/>
      </c>
      <c r="CI525" s="21" t="str">
        <f ca="1">IFERROR(VLOOKUP(BD525,OFFSET(abbreviation[],0,ColumnLanguage),ColumnAbbreviation,FALSE),"")</f>
        <v/>
      </c>
      <c r="CJ525" s="21" t="str">
        <f ca="1">IFERROR(VLOOKUP(BF525,OFFSET(abbreviation[],0,ColumnLanguage),ColumnAbbreviation,FALSE),"")</f>
        <v/>
      </c>
      <c r="CK525" s="21" t="str">
        <f t="shared" ca="1" si="60"/>
        <v/>
      </c>
      <c r="CL525" s="21" t="str">
        <f t="shared" si="61"/>
        <v/>
      </c>
      <c r="CM525" s="52"/>
      <c r="CN525" s="57" t="str">
        <f t="shared" si="62"/>
        <v/>
      </c>
    </row>
    <row r="526" spans="14:92" x14ac:dyDescent="0.25">
      <c r="N526" s="58"/>
      <c r="P526" s="60"/>
      <c r="Q526" s="13"/>
      <c r="V526" s="60"/>
      <c r="X526" s="61"/>
      <c r="AB526" s="60"/>
      <c r="AN526" s="54"/>
      <c r="AS526" s="15"/>
      <c r="BH526" s="52"/>
      <c r="BI526" s="21" t="str">
        <f ca="1">IFERROR(VLOOKUP(C526,OFFSET(abbreviation[],0,ColumnLanguage),ColumnAbbreviation,FALSE),"")</f>
        <v/>
      </c>
      <c r="BJ526" s="21" t="str">
        <f ca="1">IFERROR(VLOOKUP(E526,OFFSET(abbreviation[],0,ColumnLanguage),ColumnAbbreviation,FALSE),"")</f>
        <v/>
      </c>
      <c r="BK526" s="21" t="str">
        <f ca="1">IFERROR(VLOOKUP(G526,OFFSET(abbreviation[],0,ColumnLanguage),ColumnAbbreviation,FALSE),"")</f>
        <v/>
      </c>
      <c r="BL526" s="21" t="str">
        <f ca="1">IFERROR(VLOOKUP(I526,OFFSET(abbreviation[],0,ColumnLanguage),ColumnAbbreviation,FALSE),"")</f>
        <v/>
      </c>
      <c r="BM526" s="21" t="str">
        <f ca="1">IFERROR(VLOOKUP(K526,OFFSET(abbreviation[],0,ColumnLanguage),ColumnAbbreviation,FALSE),"")</f>
        <v/>
      </c>
      <c r="BN526" s="21" t="str">
        <f t="shared" ca="1" si="56"/>
        <v/>
      </c>
      <c r="BO526" s="21" t="str">
        <f ca="1">IFERROR(VLOOKUP(N526,OFFSET(abbreviation[],0,ColumnLanguage),ColumnAbbreviation,FALSE),"")</f>
        <v/>
      </c>
      <c r="BP526" s="21" t="str">
        <f ca="1">IFERROR(VLOOKUP(P526,OFFSET(abbreviation[],0,ColumnLanguage),ColumnAbbreviation,FALSE),"")</f>
        <v/>
      </c>
      <c r="BQ526" s="21" t="str">
        <f ca="1">IFERROR(VLOOKUP(T526,OFFSET(abbreviation[],0,ColumnLanguage),ColumnAbbreviation,FALSE),"")</f>
        <v/>
      </c>
      <c r="BR526" s="21" t="str">
        <f ca="1">IFERROR(VLOOKUP(V526,OFFSET(abbreviation[],0,ColumnLanguage),ColumnAbbreviation,FALSE),"")</f>
        <v/>
      </c>
      <c r="BS526" s="21" t="str">
        <f ca="1">IFERROR(VLOOKUP(Z526,OFFSET(abbreviation[],0,ColumnLanguage),ColumnAbbreviation,FALSE),"")</f>
        <v/>
      </c>
      <c r="BT526" s="21" t="str">
        <f ca="1">IFERROR(VLOOKUP(AB526,OFFSET(abbreviation[],0,ColumnLanguage),ColumnAbbreviation,FALSE),"")</f>
        <v/>
      </c>
      <c r="BU526" s="21" t="str">
        <f t="shared" ca="1" si="57"/>
        <v>__</v>
      </c>
      <c r="BV526" s="21" t="str">
        <f ca="1">IFERROR(VLOOKUP(AF526,OFFSET(abbreviation[],0,ColumnLanguage),ColumnAbbreviation,FALSE),"")</f>
        <v/>
      </c>
      <c r="BW526" s="21" t="str">
        <f ca="1">IFERROR(VLOOKUP(AH526,OFFSET(abbreviation[],0,ColumnLanguage),ColumnAbbreviation,FALSE),"")</f>
        <v/>
      </c>
      <c r="BX526" s="21" t="str">
        <f ca="1">IFERROR(VLOOKUP(AJ526,OFFSET(abbreviation[],0,ColumnLanguage),ColumnAbbreviation,FALSE),"")</f>
        <v/>
      </c>
      <c r="BY526" s="21" t="str">
        <f ca="1">IFERROR(VLOOKUP(AL526,OFFSET(abbreviation[],0,ColumnLanguage),ColumnAbbreviation,FALSE),"")</f>
        <v/>
      </c>
      <c r="BZ526" s="21" t="str">
        <f t="shared" ca="1" si="58"/>
        <v>_</v>
      </c>
      <c r="CA526" s="21" t="str">
        <f ca="1">IFERROR(VLOOKUP(AP526,OFFSET(abbreviation[],0,ColumnLanguage),ColumnAbbreviation,FALSE),"")</f>
        <v/>
      </c>
      <c r="CB526" s="21" t="str">
        <f ca="1">IFERROR(VLOOKUP(AR526,OFFSET(abbreviation[],0,ColumnLanguage),ColumnAbbreviation,FALSE),"")</f>
        <v/>
      </c>
      <c r="CC526" s="21" t="str">
        <f ca="1">IFERROR(VLOOKUP(AT526,OFFSET(abbreviation[],0,ColumnLanguage),ColumnAbbreviation,FALSE),"")</f>
        <v/>
      </c>
      <c r="CD526" s="21" t="str">
        <f ca="1">IFERROR(VLOOKUP(AV526,OFFSET(abbreviation[],0,ColumnLanguage),ColumnAbbreviation,FALSE),"")</f>
        <v/>
      </c>
      <c r="CE526" s="21" t="str">
        <f t="shared" ca="1" si="59"/>
        <v>__</v>
      </c>
      <c r="CF526" s="21" t="str">
        <f ca="1">IFERROR(VLOOKUP(AX526,OFFSET(abbreviation[],0,ColumnLanguage),ColumnAbbreviation,FALSE),"")</f>
        <v/>
      </c>
      <c r="CG526" s="21" t="str">
        <f ca="1">IFERROR(VLOOKUP(AZ526,OFFSET(abbreviation[],0,ColumnLanguage),ColumnAbbreviation,FALSE),"")</f>
        <v/>
      </c>
      <c r="CH526" s="21" t="str">
        <f ca="1">IFERROR(VLOOKUP(BB526,OFFSET(abbreviation[],0,ColumnLanguage),ColumnAbbreviation,FALSE),"")</f>
        <v/>
      </c>
      <c r="CI526" s="21" t="str">
        <f ca="1">IFERROR(VLOOKUP(BD526,OFFSET(abbreviation[],0,ColumnLanguage),ColumnAbbreviation,FALSE),"")</f>
        <v/>
      </c>
      <c r="CJ526" s="21" t="str">
        <f ca="1">IFERROR(VLOOKUP(BF526,OFFSET(abbreviation[],0,ColumnLanguage),ColumnAbbreviation,FALSE),"")</f>
        <v/>
      </c>
      <c r="CK526" s="21" t="str">
        <f t="shared" ca="1" si="60"/>
        <v/>
      </c>
      <c r="CL526" s="21" t="str">
        <f t="shared" si="61"/>
        <v/>
      </c>
      <c r="CM526" s="52"/>
      <c r="CN526" s="57" t="str">
        <f t="shared" si="62"/>
        <v/>
      </c>
    </row>
    <row r="527" spans="14:92" x14ac:dyDescent="0.25">
      <c r="N527" s="58"/>
      <c r="P527" s="60"/>
      <c r="Q527" s="13"/>
      <c r="V527" s="60"/>
      <c r="X527" s="61"/>
      <c r="AB527" s="60"/>
      <c r="AN527" s="54"/>
      <c r="AS527" s="15"/>
      <c r="BH527" s="52"/>
      <c r="BI527" s="21" t="str">
        <f ca="1">IFERROR(VLOOKUP(C527,OFFSET(abbreviation[],0,ColumnLanguage),ColumnAbbreviation,FALSE),"")</f>
        <v/>
      </c>
      <c r="BJ527" s="21" t="str">
        <f ca="1">IFERROR(VLOOKUP(E527,OFFSET(abbreviation[],0,ColumnLanguage),ColumnAbbreviation,FALSE),"")</f>
        <v/>
      </c>
      <c r="BK527" s="21" t="str">
        <f ca="1">IFERROR(VLOOKUP(G527,OFFSET(abbreviation[],0,ColumnLanguage),ColumnAbbreviation,FALSE),"")</f>
        <v/>
      </c>
      <c r="BL527" s="21" t="str">
        <f ca="1">IFERROR(VLOOKUP(I527,OFFSET(abbreviation[],0,ColumnLanguage),ColumnAbbreviation,FALSE),"")</f>
        <v/>
      </c>
      <c r="BM527" s="21" t="str">
        <f ca="1">IFERROR(VLOOKUP(K527,OFFSET(abbreviation[],0,ColumnLanguage),ColumnAbbreviation,FALSE),"")</f>
        <v/>
      </c>
      <c r="BN527" s="21" t="str">
        <f t="shared" ca="1" si="56"/>
        <v/>
      </c>
      <c r="BO527" s="21" t="str">
        <f ca="1">IFERROR(VLOOKUP(N527,OFFSET(abbreviation[],0,ColumnLanguage),ColumnAbbreviation,FALSE),"")</f>
        <v/>
      </c>
      <c r="BP527" s="21" t="str">
        <f ca="1">IFERROR(VLOOKUP(P527,OFFSET(abbreviation[],0,ColumnLanguage),ColumnAbbreviation,FALSE),"")</f>
        <v/>
      </c>
      <c r="BQ527" s="21" t="str">
        <f ca="1">IFERROR(VLOOKUP(T527,OFFSET(abbreviation[],0,ColumnLanguage),ColumnAbbreviation,FALSE),"")</f>
        <v/>
      </c>
      <c r="BR527" s="21" t="str">
        <f ca="1">IFERROR(VLOOKUP(V527,OFFSET(abbreviation[],0,ColumnLanguage),ColumnAbbreviation,FALSE),"")</f>
        <v/>
      </c>
      <c r="BS527" s="21" t="str">
        <f ca="1">IFERROR(VLOOKUP(Z527,OFFSET(abbreviation[],0,ColumnLanguage),ColumnAbbreviation,FALSE),"")</f>
        <v/>
      </c>
      <c r="BT527" s="21" t="str">
        <f ca="1">IFERROR(VLOOKUP(AB527,OFFSET(abbreviation[],0,ColumnLanguage),ColumnAbbreviation,FALSE),"")</f>
        <v/>
      </c>
      <c r="BU527" s="21" t="str">
        <f t="shared" ca="1" si="57"/>
        <v>__</v>
      </c>
      <c r="BV527" s="21" t="str">
        <f ca="1">IFERROR(VLOOKUP(AF527,OFFSET(abbreviation[],0,ColumnLanguage),ColumnAbbreviation,FALSE),"")</f>
        <v/>
      </c>
      <c r="BW527" s="21" t="str">
        <f ca="1">IFERROR(VLOOKUP(AH527,OFFSET(abbreviation[],0,ColumnLanguage),ColumnAbbreviation,FALSE),"")</f>
        <v/>
      </c>
      <c r="BX527" s="21" t="str">
        <f ca="1">IFERROR(VLOOKUP(AJ527,OFFSET(abbreviation[],0,ColumnLanguage),ColumnAbbreviation,FALSE),"")</f>
        <v/>
      </c>
      <c r="BY527" s="21" t="str">
        <f ca="1">IFERROR(VLOOKUP(AL527,OFFSET(abbreviation[],0,ColumnLanguage),ColumnAbbreviation,FALSE),"")</f>
        <v/>
      </c>
      <c r="BZ527" s="21" t="str">
        <f t="shared" ca="1" si="58"/>
        <v>_</v>
      </c>
      <c r="CA527" s="21" t="str">
        <f ca="1">IFERROR(VLOOKUP(AP527,OFFSET(abbreviation[],0,ColumnLanguage),ColumnAbbreviation,FALSE),"")</f>
        <v/>
      </c>
      <c r="CB527" s="21" t="str">
        <f ca="1">IFERROR(VLOOKUP(AR527,OFFSET(abbreviation[],0,ColumnLanguage),ColumnAbbreviation,FALSE),"")</f>
        <v/>
      </c>
      <c r="CC527" s="21" t="str">
        <f ca="1">IFERROR(VLOOKUP(AT527,OFFSET(abbreviation[],0,ColumnLanguage),ColumnAbbreviation,FALSE),"")</f>
        <v/>
      </c>
      <c r="CD527" s="21" t="str">
        <f ca="1">IFERROR(VLOOKUP(AV527,OFFSET(abbreviation[],0,ColumnLanguage),ColumnAbbreviation,FALSE),"")</f>
        <v/>
      </c>
      <c r="CE527" s="21" t="str">
        <f t="shared" ca="1" si="59"/>
        <v>__</v>
      </c>
      <c r="CF527" s="21" t="str">
        <f ca="1">IFERROR(VLOOKUP(AX527,OFFSET(abbreviation[],0,ColumnLanguage),ColumnAbbreviation,FALSE),"")</f>
        <v/>
      </c>
      <c r="CG527" s="21" t="str">
        <f ca="1">IFERROR(VLOOKUP(AZ527,OFFSET(abbreviation[],0,ColumnLanguage),ColumnAbbreviation,FALSE),"")</f>
        <v/>
      </c>
      <c r="CH527" s="21" t="str">
        <f ca="1">IFERROR(VLOOKUP(BB527,OFFSET(abbreviation[],0,ColumnLanguage),ColumnAbbreviation,FALSE),"")</f>
        <v/>
      </c>
      <c r="CI527" s="21" t="str">
        <f ca="1">IFERROR(VLOOKUP(BD527,OFFSET(abbreviation[],0,ColumnLanguage),ColumnAbbreviation,FALSE),"")</f>
        <v/>
      </c>
      <c r="CJ527" s="21" t="str">
        <f ca="1">IFERROR(VLOOKUP(BF527,OFFSET(abbreviation[],0,ColumnLanguage),ColumnAbbreviation,FALSE),"")</f>
        <v/>
      </c>
      <c r="CK527" s="21" t="str">
        <f t="shared" ca="1" si="60"/>
        <v/>
      </c>
      <c r="CL527" s="21" t="str">
        <f t="shared" si="61"/>
        <v/>
      </c>
      <c r="CM527" s="52"/>
      <c r="CN527" s="57" t="str">
        <f t="shared" si="62"/>
        <v/>
      </c>
    </row>
    <row r="528" spans="14:92" x14ac:dyDescent="0.25">
      <c r="N528" s="58"/>
      <c r="P528" s="60"/>
      <c r="Q528" s="13"/>
      <c r="V528" s="60"/>
      <c r="X528" s="61"/>
      <c r="AB528" s="60"/>
      <c r="AN528" s="54"/>
      <c r="AS528" s="15"/>
      <c r="BH528" s="52"/>
      <c r="BI528" s="21" t="str">
        <f ca="1">IFERROR(VLOOKUP(C528,OFFSET(abbreviation[],0,ColumnLanguage),ColumnAbbreviation,FALSE),"")</f>
        <v/>
      </c>
      <c r="BJ528" s="21" t="str">
        <f ca="1">IFERROR(VLOOKUP(E528,OFFSET(abbreviation[],0,ColumnLanguage),ColumnAbbreviation,FALSE),"")</f>
        <v/>
      </c>
      <c r="BK528" s="21" t="str">
        <f ca="1">IFERROR(VLOOKUP(G528,OFFSET(abbreviation[],0,ColumnLanguage),ColumnAbbreviation,FALSE),"")</f>
        <v/>
      </c>
      <c r="BL528" s="21" t="str">
        <f ca="1">IFERROR(VLOOKUP(I528,OFFSET(abbreviation[],0,ColumnLanguage),ColumnAbbreviation,FALSE),"")</f>
        <v/>
      </c>
      <c r="BM528" s="21" t="str">
        <f ca="1">IFERROR(VLOOKUP(K528,OFFSET(abbreviation[],0,ColumnLanguage),ColumnAbbreviation,FALSE),"")</f>
        <v/>
      </c>
      <c r="BN528" s="21" t="str">
        <f t="shared" ca="1" si="56"/>
        <v/>
      </c>
      <c r="BO528" s="21" t="str">
        <f ca="1">IFERROR(VLOOKUP(N528,OFFSET(abbreviation[],0,ColumnLanguage),ColumnAbbreviation,FALSE),"")</f>
        <v/>
      </c>
      <c r="BP528" s="21" t="str">
        <f ca="1">IFERROR(VLOOKUP(P528,OFFSET(abbreviation[],0,ColumnLanguage),ColumnAbbreviation,FALSE),"")</f>
        <v/>
      </c>
      <c r="BQ528" s="21" t="str">
        <f ca="1">IFERROR(VLOOKUP(T528,OFFSET(abbreviation[],0,ColumnLanguage),ColumnAbbreviation,FALSE),"")</f>
        <v/>
      </c>
      <c r="BR528" s="21" t="str">
        <f ca="1">IFERROR(VLOOKUP(V528,OFFSET(abbreviation[],0,ColumnLanguage),ColumnAbbreviation,FALSE),"")</f>
        <v/>
      </c>
      <c r="BS528" s="21" t="str">
        <f ca="1">IFERROR(VLOOKUP(Z528,OFFSET(abbreviation[],0,ColumnLanguage),ColumnAbbreviation,FALSE),"")</f>
        <v/>
      </c>
      <c r="BT528" s="21" t="str">
        <f ca="1">IFERROR(VLOOKUP(AB528,OFFSET(abbreviation[],0,ColumnLanguage),ColumnAbbreviation,FALSE),"")</f>
        <v/>
      </c>
      <c r="BU528" s="21" t="str">
        <f t="shared" ca="1" si="57"/>
        <v>__</v>
      </c>
      <c r="BV528" s="21" t="str">
        <f ca="1">IFERROR(VLOOKUP(AF528,OFFSET(abbreviation[],0,ColumnLanguage),ColumnAbbreviation,FALSE),"")</f>
        <v/>
      </c>
      <c r="BW528" s="21" t="str">
        <f ca="1">IFERROR(VLOOKUP(AH528,OFFSET(abbreviation[],0,ColumnLanguage),ColumnAbbreviation,FALSE),"")</f>
        <v/>
      </c>
      <c r="BX528" s="21" t="str">
        <f ca="1">IFERROR(VLOOKUP(AJ528,OFFSET(abbreviation[],0,ColumnLanguage),ColumnAbbreviation,FALSE),"")</f>
        <v/>
      </c>
      <c r="BY528" s="21" t="str">
        <f ca="1">IFERROR(VLOOKUP(AL528,OFFSET(abbreviation[],0,ColumnLanguage),ColumnAbbreviation,FALSE),"")</f>
        <v/>
      </c>
      <c r="BZ528" s="21" t="str">
        <f t="shared" ca="1" si="58"/>
        <v>_</v>
      </c>
      <c r="CA528" s="21" t="str">
        <f ca="1">IFERROR(VLOOKUP(AP528,OFFSET(abbreviation[],0,ColumnLanguage),ColumnAbbreviation,FALSE),"")</f>
        <v/>
      </c>
      <c r="CB528" s="21" t="str">
        <f ca="1">IFERROR(VLOOKUP(AR528,OFFSET(abbreviation[],0,ColumnLanguage),ColumnAbbreviation,FALSE),"")</f>
        <v/>
      </c>
      <c r="CC528" s="21" t="str">
        <f ca="1">IFERROR(VLOOKUP(AT528,OFFSET(abbreviation[],0,ColumnLanguage),ColumnAbbreviation,FALSE),"")</f>
        <v/>
      </c>
      <c r="CD528" s="21" t="str">
        <f ca="1">IFERROR(VLOOKUP(AV528,OFFSET(abbreviation[],0,ColumnLanguage),ColumnAbbreviation,FALSE),"")</f>
        <v/>
      </c>
      <c r="CE528" s="21" t="str">
        <f t="shared" ca="1" si="59"/>
        <v>__</v>
      </c>
      <c r="CF528" s="21" t="str">
        <f ca="1">IFERROR(VLOOKUP(AX528,OFFSET(abbreviation[],0,ColumnLanguage),ColumnAbbreviation,FALSE),"")</f>
        <v/>
      </c>
      <c r="CG528" s="21" t="str">
        <f ca="1">IFERROR(VLOOKUP(AZ528,OFFSET(abbreviation[],0,ColumnLanguage),ColumnAbbreviation,FALSE),"")</f>
        <v/>
      </c>
      <c r="CH528" s="21" t="str">
        <f ca="1">IFERROR(VLOOKUP(BB528,OFFSET(abbreviation[],0,ColumnLanguage),ColumnAbbreviation,FALSE),"")</f>
        <v/>
      </c>
      <c r="CI528" s="21" t="str">
        <f ca="1">IFERROR(VLOOKUP(BD528,OFFSET(abbreviation[],0,ColumnLanguage),ColumnAbbreviation,FALSE),"")</f>
        <v/>
      </c>
      <c r="CJ528" s="21" t="str">
        <f ca="1">IFERROR(VLOOKUP(BF528,OFFSET(abbreviation[],0,ColumnLanguage),ColumnAbbreviation,FALSE),"")</f>
        <v/>
      </c>
      <c r="CK528" s="21" t="str">
        <f t="shared" ca="1" si="60"/>
        <v/>
      </c>
      <c r="CL528" s="21" t="str">
        <f t="shared" si="61"/>
        <v/>
      </c>
      <c r="CM528" s="52"/>
      <c r="CN528" s="57" t="str">
        <f t="shared" si="62"/>
        <v/>
      </c>
    </row>
    <row r="529" spans="14:92" x14ac:dyDescent="0.25">
      <c r="N529" s="58"/>
      <c r="P529" s="60"/>
      <c r="Q529" s="13"/>
      <c r="V529" s="60"/>
      <c r="X529" s="61"/>
      <c r="AB529" s="60"/>
      <c r="AN529" s="54"/>
      <c r="AS529" s="15"/>
      <c r="BH529" s="52"/>
      <c r="BI529" s="21" t="str">
        <f ca="1">IFERROR(VLOOKUP(C529,OFFSET(abbreviation[],0,ColumnLanguage),ColumnAbbreviation,FALSE),"")</f>
        <v/>
      </c>
      <c r="BJ529" s="21" t="str">
        <f ca="1">IFERROR(VLOOKUP(E529,OFFSET(abbreviation[],0,ColumnLanguage),ColumnAbbreviation,FALSE),"")</f>
        <v/>
      </c>
      <c r="BK529" s="21" t="str">
        <f ca="1">IFERROR(VLOOKUP(G529,OFFSET(abbreviation[],0,ColumnLanguage),ColumnAbbreviation,FALSE),"")</f>
        <v/>
      </c>
      <c r="BL529" s="21" t="str">
        <f ca="1">IFERROR(VLOOKUP(I529,OFFSET(abbreviation[],0,ColumnLanguage),ColumnAbbreviation,FALSE),"")</f>
        <v/>
      </c>
      <c r="BM529" s="21" t="str">
        <f ca="1">IFERROR(VLOOKUP(K529,OFFSET(abbreviation[],0,ColumnLanguage),ColumnAbbreviation,FALSE),"")</f>
        <v/>
      </c>
      <c r="BN529" s="21" t="str">
        <f t="shared" ca="1" si="56"/>
        <v/>
      </c>
      <c r="BO529" s="21" t="str">
        <f ca="1">IFERROR(VLOOKUP(N529,OFFSET(abbreviation[],0,ColumnLanguage),ColumnAbbreviation,FALSE),"")</f>
        <v/>
      </c>
      <c r="BP529" s="21" t="str">
        <f ca="1">IFERROR(VLOOKUP(P529,OFFSET(abbreviation[],0,ColumnLanguage),ColumnAbbreviation,FALSE),"")</f>
        <v/>
      </c>
      <c r="BQ529" s="21" t="str">
        <f ca="1">IFERROR(VLOOKUP(T529,OFFSET(abbreviation[],0,ColumnLanguage),ColumnAbbreviation,FALSE),"")</f>
        <v/>
      </c>
      <c r="BR529" s="21" t="str">
        <f ca="1">IFERROR(VLOOKUP(V529,OFFSET(abbreviation[],0,ColumnLanguage),ColumnAbbreviation,FALSE),"")</f>
        <v/>
      </c>
      <c r="BS529" s="21" t="str">
        <f ca="1">IFERROR(VLOOKUP(Z529,OFFSET(abbreviation[],0,ColumnLanguage),ColumnAbbreviation,FALSE),"")</f>
        <v/>
      </c>
      <c r="BT529" s="21" t="str">
        <f ca="1">IFERROR(VLOOKUP(AB529,OFFSET(abbreviation[],0,ColumnLanguage),ColumnAbbreviation,FALSE),"")</f>
        <v/>
      </c>
      <c r="BU529" s="21" t="str">
        <f t="shared" ca="1" si="57"/>
        <v>__</v>
      </c>
      <c r="BV529" s="21" t="str">
        <f ca="1">IFERROR(VLOOKUP(AF529,OFFSET(abbreviation[],0,ColumnLanguage),ColumnAbbreviation,FALSE),"")</f>
        <v/>
      </c>
      <c r="BW529" s="21" t="str">
        <f ca="1">IFERROR(VLOOKUP(AH529,OFFSET(abbreviation[],0,ColumnLanguage),ColumnAbbreviation,FALSE),"")</f>
        <v/>
      </c>
      <c r="BX529" s="21" t="str">
        <f ca="1">IFERROR(VLOOKUP(AJ529,OFFSET(abbreviation[],0,ColumnLanguage),ColumnAbbreviation,FALSE),"")</f>
        <v/>
      </c>
      <c r="BY529" s="21" t="str">
        <f ca="1">IFERROR(VLOOKUP(AL529,OFFSET(abbreviation[],0,ColumnLanguage),ColumnAbbreviation,FALSE),"")</f>
        <v/>
      </c>
      <c r="BZ529" s="21" t="str">
        <f t="shared" ca="1" si="58"/>
        <v>_</v>
      </c>
      <c r="CA529" s="21" t="str">
        <f ca="1">IFERROR(VLOOKUP(AP529,OFFSET(abbreviation[],0,ColumnLanguage),ColumnAbbreviation,FALSE),"")</f>
        <v/>
      </c>
      <c r="CB529" s="21" t="str">
        <f ca="1">IFERROR(VLOOKUP(AR529,OFFSET(abbreviation[],0,ColumnLanguage),ColumnAbbreviation,FALSE),"")</f>
        <v/>
      </c>
      <c r="CC529" s="21" t="str">
        <f ca="1">IFERROR(VLOOKUP(AT529,OFFSET(abbreviation[],0,ColumnLanguage),ColumnAbbreviation,FALSE),"")</f>
        <v/>
      </c>
      <c r="CD529" s="21" t="str">
        <f ca="1">IFERROR(VLOOKUP(AV529,OFFSET(abbreviation[],0,ColumnLanguage),ColumnAbbreviation,FALSE),"")</f>
        <v/>
      </c>
      <c r="CE529" s="21" t="str">
        <f t="shared" ca="1" si="59"/>
        <v>__</v>
      </c>
      <c r="CF529" s="21" t="str">
        <f ca="1">IFERROR(VLOOKUP(AX529,OFFSET(abbreviation[],0,ColumnLanguage),ColumnAbbreviation,FALSE),"")</f>
        <v/>
      </c>
      <c r="CG529" s="21" t="str">
        <f ca="1">IFERROR(VLOOKUP(AZ529,OFFSET(abbreviation[],0,ColumnLanguage),ColumnAbbreviation,FALSE),"")</f>
        <v/>
      </c>
      <c r="CH529" s="21" t="str">
        <f ca="1">IFERROR(VLOOKUP(BB529,OFFSET(abbreviation[],0,ColumnLanguage),ColumnAbbreviation,FALSE),"")</f>
        <v/>
      </c>
      <c r="CI529" s="21" t="str">
        <f ca="1">IFERROR(VLOOKUP(BD529,OFFSET(abbreviation[],0,ColumnLanguage),ColumnAbbreviation,FALSE),"")</f>
        <v/>
      </c>
      <c r="CJ529" s="21" t="str">
        <f ca="1">IFERROR(VLOOKUP(BF529,OFFSET(abbreviation[],0,ColumnLanguage),ColumnAbbreviation,FALSE),"")</f>
        <v/>
      </c>
      <c r="CK529" s="21" t="str">
        <f t="shared" ca="1" si="60"/>
        <v/>
      </c>
      <c r="CL529" s="21" t="str">
        <f t="shared" si="61"/>
        <v/>
      </c>
      <c r="CM529" s="52"/>
      <c r="CN529" s="57" t="str">
        <f t="shared" si="62"/>
        <v/>
      </c>
    </row>
    <row r="530" spans="14:92" x14ac:dyDescent="0.25">
      <c r="N530" s="58"/>
      <c r="P530" s="60"/>
      <c r="Q530" s="13"/>
      <c r="V530" s="60"/>
      <c r="X530" s="61"/>
      <c r="AB530" s="60"/>
      <c r="AN530" s="54"/>
      <c r="AS530" s="15"/>
      <c r="BH530" s="52"/>
      <c r="BI530" s="21" t="str">
        <f ca="1">IFERROR(VLOOKUP(C530,OFFSET(abbreviation[],0,ColumnLanguage),ColumnAbbreviation,FALSE),"")</f>
        <v/>
      </c>
      <c r="BJ530" s="21" t="str">
        <f ca="1">IFERROR(VLOOKUP(E530,OFFSET(abbreviation[],0,ColumnLanguage),ColumnAbbreviation,FALSE),"")</f>
        <v/>
      </c>
      <c r="BK530" s="21" t="str">
        <f ca="1">IFERROR(VLOOKUP(G530,OFFSET(abbreviation[],0,ColumnLanguage),ColumnAbbreviation,FALSE),"")</f>
        <v/>
      </c>
      <c r="BL530" s="21" t="str">
        <f ca="1">IFERROR(VLOOKUP(I530,OFFSET(abbreviation[],0,ColumnLanguage),ColumnAbbreviation,FALSE),"")</f>
        <v/>
      </c>
      <c r="BM530" s="21" t="str">
        <f ca="1">IFERROR(VLOOKUP(K530,OFFSET(abbreviation[],0,ColumnLanguage),ColumnAbbreviation,FALSE),"")</f>
        <v/>
      </c>
      <c r="BN530" s="21" t="str">
        <f t="shared" ca="1" si="56"/>
        <v/>
      </c>
      <c r="BO530" s="21" t="str">
        <f ca="1">IFERROR(VLOOKUP(N530,OFFSET(abbreviation[],0,ColumnLanguage),ColumnAbbreviation,FALSE),"")</f>
        <v/>
      </c>
      <c r="BP530" s="21" t="str">
        <f ca="1">IFERROR(VLOOKUP(P530,OFFSET(abbreviation[],0,ColumnLanguage),ColumnAbbreviation,FALSE),"")</f>
        <v/>
      </c>
      <c r="BQ530" s="21" t="str">
        <f ca="1">IFERROR(VLOOKUP(T530,OFFSET(abbreviation[],0,ColumnLanguage),ColumnAbbreviation,FALSE),"")</f>
        <v/>
      </c>
      <c r="BR530" s="21" t="str">
        <f ca="1">IFERROR(VLOOKUP(V530,OFFSET(abbreviation[],0,ColumnLanguage),ColumnAbbreviation,FALSE),"")</f>
        <v/>
      </c>
      <c r="BS530" s="21" t="str">
        <f ca="1">IFERROR(VLOOKUP(Z530,OFFSET(abbreviation[],0,ColumnLanguage),ColumnAbbreviation,FALSE),"")</f>
        <v/>
      </c>
      <c r="BT530" s="21" t="str">
        <f ca="1">IFERROR(VLOOKUP(AB530,OFFSET(abbreviation[],0,ColumnLanguage),ColumnAbbreviation,FALSE),"")</f>
        <v/>
      </c>
      <c r="BU530" s="21" t="str">
        <f t="shared" ca="1" si="57"/>
        <v>__</v>
      </c>
      <c r="BV530" s="21" t="str">
        <f ca="1">IFERROR(VLOOKUP(AF530,OFFSET(abbreviation[],0,ColumnLanguage),ColumnAbbreviation,FALSE),"")</f>
        <v/>
      </c>
      <c r="BW530" s="21" t="str">
        <f ca="1">IFERROR(VLOOKUP(AH530,OFFSET(abbreviation[],0,ColumnLanguage),ColumnAbbreviation,FALSE),"")</f>
        <v/>
      </c>
      <c r="BX530" s="21" t="str">
        <f ca="1">IFERROR(VLOOKUP(AJ530,OFFSET(abbreviation[],0,ColumnLanguage),ColumnAbbreviation,FALSE),"")</f>
        <v/>
      </c>
      <c r="BY530" s="21" t="str">
        <f ca="1">IFERROR(VLOOKUP(AL530,OFFSET(abbreviation[],0,ColumnLanguage),ColumnAbbreviation,FALSE),"")</f>
        <v/>
      </c>
      <c r="BZ530" s="21" t="str">
        <f t="shared" ca="1" si="58"/>
        <v>_</v>
      </c>
      <c r="CA530" s="21" t="str">
        <f ca="1">IFERROR(VLOOKUP(AP530,OFFSET(abbreviation[],0,ColumnLanguage),ColumnAbbreviation,FALSE),"")</f>
        <v/>
      </c>
      <c r="CB530" s="21" t="str">
        <f ca="1">IFERROR(VLOOKUP(AR530,OFFSET(abbreviation[],0,ColumnLanguage),ColumnAbbreviation,FALSE),"")</f>
        <v/>
      </c>
      <c r="CC530" s="21" t="str">
        <f ca="1">IFERROR(VLOOKUP(AT530,OFFSET(abbreviation[],0,ColumnLanguage),ColumnAbbreviation,FALSE),"")</f>
        <v/>
      </c>
      <c r="CD530" s="21" t="str">
        <f ca="1">IFERROR(VLOOKUP(AV530,OFFSET(abbreviation[],0,ColumnLanguage),ColumnAbbreviation,FALSE),"")</f>
        <v/>
      </c>
      <c r="CE530" s="21" t="str">
        <f t="shared" ca="1" si="59"/>
        <v>__</v>
      </c>
      <c r="CF530" s="21" t="str">
        <f ca="1">IFERROR(VLOOKUP(AX530,OFFSET(abbreviation[],0,ColumnLanguage),ColumnAbbreviation,FALSE),"")</f>
        <v/>
      </c>
      <c r="CG530" s="21" t="str">
        <f ca="1">IFERROR(VLOOKUP(AZ530,OFFSET(abbreviation[],0,ColumnLanguage),ColumnAbbreviation,FALSE),"")</f>
        <v/>
      </c>
      <c r="CH530" s="21" t="str">
        <f ca="1">IFERROR(VLOOKUP(BB530,OFFSET(abbreviation[],0,ColumnLanguage),ColumnAbbreviation,FALSE),"")</f>
        <v/>
      </c>
      <c r="CI530" s="21" t="str">
        <f ca="1">IFERROR(VLOOKUP(BD530,OFFSET(abbreviation[],0,ColumnLanguage),ColumnAbbreviation,FALSE),"")</f>
        <v/>
      </c>
      <c r="CJ530" s="21" t="str">
        <f ca="1">IFERROR(VLOOKUP(BF530,OFFSET(abbreviation[],0,ColumnLanguage),ColumnAbbreviation,FALSE),"")</f>
        <v/>
      </c>
      <c r="CK530" s="21" t="str">
        <f t="shared" ca="1" si="60"/>
        <v/>
      </c>
      <c r="CL530" s="21" t="str">
        <f t="shared" si="61"/>
        <v/>
      </c>
      <c r="CM530" s="52"/>
      <c r="CN530" s="57" t="str">
        <f t="shared" si="62"/>
        <v/>
      </c>
    </row>
    <row r="531" spans="14:92" x14ac:dyDescent="0.25">
      <c r="N531" s="58"/>
      <c r="P531" s="60"/>
      <c r="Q531" s="13"/>
      <c r="V531" s="60"/>
      <c r="X531" s="61"/>
      <c r="AB531" s="60"/>
      <c r="AN531" s="54"/>
      <c r="AS531" s="15"/>
      <c r="BH531" s="52"/>
      <c r="BI531" s="21" t="str">
        <f ca="1">IFERROR(VLOOKUP(C531,OFFSET(abbreviation[],0,ColumnLanguage),ColumnAbbreviation,FALSE),"")</f>
        <v/>
      </c>
      <c r="BJ531" s="21" t="str">
        <f ca="1">IFERROR(VLOOKUP(E531,OFFSET(abbreviation[],0,ColumnLanguage),ColumnAbbreviation,FALSE),"")</f>
        <v/>
      </c>
      <c r="BK531" s="21" t="str">
        <f ca="1">IFERROR(VLOOKUP(G531,OFFSET(abbreviation[],0,ColumnLanguage),ColumnAbbreviation,FALSE),"")</f>
        <v/>
      </c>
      <c r="BL531" s="21" t="str">
        <f ca="1">IFERROR(VLOOKUP(I531,OFFSET(abbreviation[],0,ColumnLanguage),ColumnAbbreviation,FALSE),"")</f>
        <v/>
      </c>
      <c r="BM531" s="21" t="str">
        <f ca="1">IFERROR(VLOOKUP(K531,OFFSET(abbreviation[],0,ColumnLanguage),ColumnAbbreviation,FALSE),"")</f>
        <v/>
      </c>
      <c r="BN531" s="21" t="str">
        <f t="shared" ca="1" si="56"/>
        <v/>
      </c>
      <c r="BO531" s="21" t="str">
        <f ca="1">IFERROR(VLOOKUP(N531,OFFSET(abbreviation[],0,ColumnLanguage),ColumnAbbreviation,FALSE),"")</f>
        <v/>
      </c>
      <c r="BP531" s="21" t="str">
        <f ca="1">IFERROR(VLOOKUP(P531,OFFSET(abbreviation[],0,ColumnLanguage),ColumnAbbreviation,FALSE),"")</f>
        <v/>
      </c>
      <c r="BQ531" s="21" t="str">
        <f ca="1">IFERROR(VLOOKUP(T531,OFFSET(abbreviation[],0,ColumnLanguage),ColumnAbbreviation,FALSE),"")</f>
        <v/>
      </c>
      <c r="BR531" s="21" t="str">
        <f ca="1">IFERROR(VLOOKUP(V531,OFFSET(abbreviation[],0,ColumnLanguage),ColumnAbbreviation,FALSE),"")</f>
        <v/>
      </c>
      <c r="BS531" s="21" t="str">
        <f ca="1">IFERROR(VLOOKUP(Z531,OFFSET(abbreviation[],0,ColumnLanguage),ColumnAbbreviation,FALSE),"")</f>
        <v/>
      </c>
      <c r="BT531" s="21" t="str">
        <f ca="1">IFERROR(VLOOKUP(AB531,OFFSET(abbreviation[],0,ColumnLanguage),ColumnAbbreviation,FALSE),"")</f>
        <v/>
      </c>
      <c r="BU531" s="21" t="str">
        <f t="shared" ca="1" si="57"/>
        <v>__</v>
      </c>
      <c r="BV531" s="21" t="str">
        <f ca="1">IFERROR(VLOOKUP(AF531,OFFSET(abbreviation[],0,ColumnLanguage),ColumnAbbreviation,FALSE),"")</f>
        <v/>
      </c>
      <c r="BW531" s="21" t="str">
        <f ca="1">IFERROR(VLOOKUP(AH531,OFFSET(abbreviation[],0,ColumnLanguage),ColumnAbbreviation,FALSE),"")</f>
        <v/>
      </c>
      <c r="BX531" s="21" t="str">
        <f ca="1">IFERROR(VLOOKUP(AJ531,OFFSET(abbreviation[],0,ColumnLanguage),ColumnAbbreviation,FALSE),"")</f>
        <v/>
      </c>
      <c r="BY531" s="21" t="str">
        <f ca="1">IFERROR(VLOOKUP(AL531,OFFSET(abbreviation[],0,ColumnLanguage),ColumnAbbreviation,FALSE),"")</f>
        <v/>
      </c>
      <c r="BZ531" s="21" t="str">
        <f t="shared" ca="1" si="58"/>
        <v>_</v>
      </c>
      <c r="CA531" s="21" t="str">
        <f ca="1">IFERROR(VLOOKUP(AP531,OFFSET(abbreviation[],0,ColumnLanguage),ColumnAbbreviation,FALSE),"")</f>
        <v/>
      </c>
      <c r="CB531" s="21" t="str">
        <f ca="1">IFERROR(VLOOKUP(AR531,OFFSET(abbreviation[],0,ColumnLanguage),ColumnAbbreviation,FALSE),"")</f>
        <v/>
      </c>
      <c r="CC531" s="21" t="str">
        <f ca="1">IFERROR(VLOOKUP(AT531,OFFSET(abbreviation[],0,ColumnLanguage),ColumnAbbreviation,FALSE),"")</f>
        <v/>
      </c>
      <c r="CD531" s="21" t="str">
        <f ca="1">IFERROR(VLOOKUP(AV531,OFFSET(abbreviation[],0,ColumnLanguage),ColumnAbbreviation,FALSE),"")</f>
        <v/>
      </c>
      <c r="CE531" s="21" t="str">
        <f t="shared" ca="1" si="59"/>
        <v>__</v>
      </c>
      <c r="CF531" s="21" t="str">
        <f ca="1">IFERROR(VLOOKUP(AX531,OFFSET(abbreviation[],0,ColumnLanguage),ColumnAbbreviation,FALSE),"")</f>
        <v/>
      </c>
      <c r="CG531" s="21" t="str">
        <f ca="1">IFERROR(VLOOKUP(AZ531,OFFSET(abbreviation[],0,ColumnLanguage),ColumnAbbreviation,FALSE),"")</f>
        <v/>
      </c>
      <c r="CH531" s="21" t="str">
        <f ca="1">IFERROR(VLOOKUP(BB531,OFFSET(abbreviation[],0,ColumnLanguage),ColumnAbbreviation,FALSE),"")</f>
        <v/>
      </c>
      <c r="CI531" s="21" t="str">
        <f ca="1">IFERROR(VLOOKUP(BD531,OFFSET(abbreviation[],0,ColumnLanguage),ColumnAbbreviation,FALSE),"")</f>
        <v/>
      </c>
      <c r="CJ531" s="21" t="str">
        <f ca="1">IFERROR(VLOOKUP(BF531,OFFSET(abbreviation[],0,ColumnLanguage),ColumnAbbreviation,FALSE),"")</f>
        <v/>
      </c>
      <c r="CK531" s="21" t="str">
        <f t="shared" ca="1" si="60"/>
        <v/>
      </c>
      <c r="CL531" s="21" t="str">
        <f t="shared" si="61"/>
        <v/>
      </c>
      <c r="CM531" s="52"/>
      <c r="CN531" s="57" t="str">
        <f t="shared" si="62"/>
        <v/>
      </c>
    </row>
    <row r="532" spans="14:92" x14ac:dyDescent="0.25">
      <c r="N532" s="58"/>
      <c r="P532" s="60"/>
      <c r="Q532" s="13"/>
      <c r="V532" s="60"/>
      <c r="X532" s="61"/>
      <c r="AB532" s="60"/>
      <c r="AN532" s="54"/>
      <c r="AS532" s="15"/>
      <c r="BH532" s="52"/>
      <c r="BI532" s="21" t="str">
        <f ca="1">IFERROR(VLOOKUP(C532,OFFSET(abbreviation[],0,ColumnLanguage),ColumnAbbreviation,FALSE),"")</f>
        <v/>
      </c>
      <c r="BJ532" s="21" t="str">
        <f ca="1">IFERROR(VLOOKUP(E532,OFFSET(abbreviation[],0,ColumnLanguage),ColumnAbbreviation,FALSE),"")</f>
        <v/>
      </c>
      <c r="BK532" s="21" t="str">
        <f ca="1">IFERROR(VLOOKUP(G532,OFFSET(abbreviation[],0,ColumnLanguage),ColumnAbbreviation,FALSE),"")</f>
        <v/>
      </c>
      <c r="BL532" s="21" t="str">
        <f ca="1">IFERROR(VLOOKUP(I532,OFFSET(abbreviation[],0,ColumnLanguage),ColumnAbbreviation,FALSE),"")</f>
        <v/>
      </c>
      <c r="BM532" s="21" t="str">
        <f ca="1">IFERROR(VLOOKUP(K532,OFFSET(abbreviation[],0,ColumnLanguage),ColumnAbbreviation,FALSE),"")</f>
        <v/>
      </c>
      <c r="BN532" s="21" t="str">
        <f t="shared" ca="1" si="56"/>
        <v/>
      </c>
      <c r="BO532" s="21" t="str">
        <f ca="1">IFERROR(VLOOKUP(N532,OFFSET(abbreviation[],0,ColumnLanguage),ColumnAbbreviation,FALSE),"")</f>
        <v/>
      </c>
      <c r="BP532" s="21" t="str">
        <f ca="1">IFERROR(VLOOKUP(P532,OFFSET(abbreviation[],0,ColumnLanguage),ColumnAbbreviation,FALSE),"")</f>
        <v/>
      </c>
      <c r="BQ532" s="21" t="str">
        <f ca="1">IFERROR(VLOOKUP(T532,OFFSET(abbreviation[],0,ColumnLanguage),ColumnAbbreviation,FALSE),"")</f>
        <v/>
      </c>
      <c r="BR532" s="21" t="str">
        <f ca="1">IFERROR(VLOOKUP(V532,OFFSET(abbreviation[],0,ColumnLanguage),ColumnAbbreviation,FALSE),"")</f>
        <v/>
      </c>
      <c r="BS532" s="21" t="str">
        <f ca="1">IFERROR(VLOOKUP(Z532,OFFSET(abbreviation[],0,ColumnLanguage),ColumnAbbreviation,FALSE),"")</f>
        <v/>
      </c>
      <c r="BT532" s="21" t="str">
        <f ca="1">IFERROR(VLOOKUP(AB532,OFFSET(abbreviation[],0,ColumnLanguage),ColumnAbbreviation,FALSE),"")</f>
        <v/>
      </c>
      <c r="BU532" s="21" t="str">
        <f t="shared" ca="1" si="57"/>
        <v>__</v>
      </c>
      <c r="BV532" s="21" t="str">
        <f ca="1">IFERROR(VLOOKUP(AF532,OFFSET(abbreviation[],0,ColumnLanguage),ColumnAbbreviation,FALSE),"")</f>
        <v/>
      </c>
      <c r="BW532" s="21" t="str">
        <f ca="1">IFERROR(VLOOKUP(AH532,OFFSET(abbreviation[],0,ColumnLanguage),ColumnAbbreviation,FALSE),"")</f>
        <v/>
      </c>
      <c r="BX532" s="21" t="str">
        <f ca="1">IFERROR(VLOOKUP(AJ532,OFFSET(abbreviation[],0,ColumnLanguage),ColumnAbbreviation,FALSE),"")</f>
        <v/>
      </c>
      <c r="BY532" s="21" t="str">
        <f ca="1">IFERROR(VLOOKUP(AL532,OFFSET(abbreviation[],0,ColumnLanguage),ColumnAbbreviation,FALSE),"")</f>
        <v/>
      </c>
      <c r="BZ532" s="21" t="str">
        <f t="shared" ca="1" si="58"/>
        <v>_</v>
      </c>
      <c r="CA532" s="21" t="str">
        <f ca="1">IFERROR(VLOOKUP(AP532,OFFSET(abbreviation[],0,ColumnLanguage),ColumnAbbreviation,FALSE),"")</f>
        <v/>
      </c>
      <c r="CB532" s="21" t="str">
        <f ca="1">IFERROR(VLOOKUP(AR532,OFFSET(abbreviation[],0,ColumnLanguage),ColumnAbbreviation,FALSE),"")</f>
        <v/>
      </c>
      <c r="CC532" s="21" t="str">
        <f ca="1">IFERROR(VLOOKUP(AT532,OFFSET(abbreviation[],0,ColumnLanguage),ColumnAbbreviation,FALSE),"")</f>
        <v/>
      </c>
      <c r="CD532" s="21" t="str">
        <f ca="1">IFERROR(VLOOKUP(AV532,OFFSET(abbreviation[],0,ColumnLanguage),ColumnAbbreviation,FALSE),"")</f>
        <v/>
      </c>
      <c r="CE532" s="21" t="str">
        <f t="shared" ca="1" si="59"/>
        <v>__</v>
      </c>
      <c r="CF532" s="21" t="str">
        <f ca="1">IFERROR(VLOOKUP(AX532,OFFSET(abbreviation[],0,ColumnLanguage),ColumnAbbreviation,FALSE),"")</f>
        <v/>
      </c>
      <c r="CG532" s="21" t="str">
        <f ca="1">IFERROR(VLOOKUP(AZ532,OFFSET(abbreviation[],0,ColumnLanguage),ColumnAbbreviation,FALSE),"")</f>
        <v/>
      </c>
      <c r="CH532" s="21" t="str">
        <f ca="1">IFERROR(VLOOKUP(BB532,OFFSET(abbreviation[],0,ColumnLanguage),ColumnAbbreviation,FALSE),"")</f>
        <v/>
      </c>
      <c r="CI532" s="21" t="str">
        <f ca="1">IFERROR(VLOOKUP(BD532,OFFSET(abbreviation[],0,ColumnLanguage),ColumnAbbreviation,FALSE),"")</f>
        <v/>
      </c>
      <c r="CJ532" s="21" t="str">
        <f ca="1">IFERROR(VLOOKUP(BF532,OFFSET(abbreviation[],0,ColumnLanguage),ColumnAbbreviation,FALSE),"")</f>
        <v/>
      </c>
      <c r="CK532" s="21" t="str">
        <f t="shared" ca="1" si="60"/>
        <v/>
      </c>
      <c r="CL532" s="21" t="str">
        <f t="shared" si="61"/>
        <v/>
      </c>
      <c r="CM532" s="52"/>
      <c r="CN532" s="57" t="str">
        <f t="shared" si="62"/>
        <v/>
      </c>
    </row>
    <row r="533" spans="14:92" x14ac:dyDescent="0.25">
      <c r="N533" s="58"/>
      <c r="P533" s="60"/>
      <c r="Q533" s="13"/>
      <c r="V533" s="60"/>
      <c r="X533" s="61"/>
      <c r="AB533" s="60"/>
      <c r="AN533" s="54"/>
      <c r="AS533" s="15"/>
      <c r="BH533" s="52"/>
      <c r="BI533" s="21" t="str">
        <f ca="1">IFERROR(VLOOKUP(C533,OFFSET(abbreviation[],0,ColumnLanguage),ColumnAbbreviation,FALSE),"")</f>
        <v/>
      </c>
      <c r="BJ533" s="21" t="str">
        <f ca="1">IFERROR(VLOOKUP(E533,OFFSET(abbreviation[],0,ColumnLanguage),ColumnAbbreviation,FALSE),"")</f>
        <v/>
      </c>
      <c r="BK533" s="21" t="str">
        <f ca="1">IFERROR(VLOOKUP(G533,OFFSET(abbreviation[],0,ColumnLanguage),ColumnAbbreviation,FALSE),"")</f>
        <v/>
      </c>
      <c r="BL533" s="21" t="str">
        <f ca="1">IFERROR(VLOOKUP(I533,OFFSET(abbreviation[],0,ColumnLanguage),ColumnAbbreviation,FALSE),"")</f>
        <v/>
      </c>
      <c r="BM533" s="21" t="str">
        <f ca="1">IFERROR(VLOOKUP(K533,OFFSET(abbreviation[],0,ColumnLanguage),ColumnAbbreviation,FALSE),"")</f>
        <v/>
      </c>
      <c r="BN533" s="21" t="str">
        <f t="shared" ca="1" si="56"/>
        <v/>
      </c>
      <c r="BO533" s="21" t="str">
        <f ca="1">IFERROR(VLOOKUP(N533,OFFSET(abbreviation[],0,ColumnLanguage),ColumnAbbreviation,FALSE),"")</f>
        <v/>
      </c>
      <c r="BP533" s="21" t="str">
        <f ca="1">IFERROR(VLOOKUP(P533,OFFSET(abbreviation[],0,ColumnLanguage),ColumnAbbreviation,FALSE),"")</f>
        <v/>
      </c>
      <c r="BQ533" s="21" t="str">
        <f ca="1">IFERROR(VLOOKUP(T533,OFFSET(abbreviation[],0,ColumnLanguage),ColumnAbbreviation,FALSE),"")</f>
        <v/>
      </c>
      <c r="BR533" s="21" t="str">
        <f ca="1">IFERROR(VLOOKUP(V533,OFFSET(abbreviation[],0,ColumnLanguage),ColumnAbbreviation,FALSE),"")</f>
        <v/>
      </c>
      <c r="BS533" s="21" t="str">
        <f ca="1">IFERROR(VLOOKUP(Z533,OFFSET(abbreviation[],0,ColumnLanguage),ColumnAbbreviation,FALSE),"")</f>
        <v/>
      </c>
      <c r="BT533" s="21" t="str">
        <f ca="1">IFERROR(VLOOKUP(AB533,OFFSET(abbreviation[],0,ColumnLanguage),ColumnAbbreviation,FALSE),"")</f>
        <v/>
      </c>
      <c r="BU533" s="21" t="str">
        <f t="shared" ca="1" si="57"/>
        <v>__</v>
      </c>
      <c r="BV533" s="21" t="str">
        <f ca="1">IFERROR(VLOOKUP(AF533,OFFSET(abbreviation[],0,ColumnLanguage),ColumnAbbreviation,FALSE),"")</f>
        <v/>
      </c>
      <c r="BW533" s="21" t="str">
        <f ca="1">IFERROR(VLOOKUP(AH533,OFFSET(abbreviation[],0,ColumnLanguage),ColumnAbbreviation,FALSE),"")</f>
        <v/>
      </c>
      <c r="BX533" s="21" t="str">
        <f ca="1">IFERROR(VLOOKUP(AJ533,OFFSET(abbreviation[],0,ColumnLanguage),ColumnAbbreviation,FALSE),"")</f>
        <v/>
      </c>
      <c r="BY533" s="21" t="str">
        <f ca="1">IFERROR(VLOOKUP(AL533,OFFSET(abbreviation[],0,ColumnLanguage),ColumnAbbreviation,FALSE),"")</f>
        <v/>
      </c>
      <c r="BZ533" s="21" t="str">
        <f t="shared" ca="1" si="58"/>
        <v>_</v>
      </c>
      <c r="CA533" s="21" t="str">
        <f ca="1">IFERROR(VLOOKUP(AP533,OFFSET(abbreviation[],0,ColumnLanguage),ColumnAbbreviation,FALSE),"")</f>
        <v/>
      </c>
      <c r="CB533" s="21" t="str">
        <f ca="1">IFERROR(VLOOKUP(AR533,OFFSET(abbreviation[],0,ColumnLanguage),ColumnAbbreviation,FALSE),"")</f>
        <v/>
      </c>
      <c r="CC533" s="21" t="str">
        <f ca="1">IFERROR(VLOOKUP(AT533,OFFSET(abbreviation[],0,ColumnLanguage),ColumnAbbreviation,FALSE),"")</f>
        <v/>
      </c>
      <c r="CD533" s="21" t="str">
        <f ca="1">IFERROR(VLOOKUP(AV533,OFFSET(abbreviation[],0,ColumnLanguage),ColumnAbbreviation,FALSE),"")</f>
        <v/>
      </c>
      <c r="CE533" s="21" t="str">
        <f t="shared" ca="1" si="59"/>
        <v>__</v>
      </c>
      <c r="CF533" s="21" t="str">
        <f ca="1">IFERROR(VLOOKUP(AX533,OFFSET(abbreviation[],0,ColumnLanguage),ColumnAbbreviation,FALSE),"")</f>
        <v/>
      </c>
      <c r="CG533" s="21" t="str">
        <f ca="1">IFERROR(VLOOKUP(AZ533,OFFSET(abbreviation[],0,ColumnLanguage),ColumnAbbreviation,FALSE),"")</f>
        <v/>
      </c>
      <c r="CH533" s="21" t="str">
        <f ca="1">IFERROR(VLOOKUP(BB533,OFFSET(abbreviation[],0,ColumnLanguage),ColumnAbbreviation,FALSE),"")</f>
        <v/>
      </c>
      <c r="CI533" s="21" t="str">
        <f ca="1">IFERROR(VLOOKUP(BD533,OFFSET(abbreviation[],0,ColumnLanguage),ColumnAbbreviation,FALSE),"")</f>
        <v/>
      </c>
      <c r="CJ533" s="21" t="str">
        <f ca="1">IFERROR(VLOOKUP(BF533,OFFSET(abbreviation[],0,ColumnLanguage),ColumnAbbreviation,FALSE),"")</f>
        <v/>
      </c>
      <c r="CK533" s="21" t="str">
        <f t="shared" ca="1" si="60"/>
        <v/>
      </c>
      <c r="CL533" s="21" t="str">
        <f t="shared" si="61"/>
        <v/>
      </c>
      <c r="CM533" s="52"/>
      <c r="CN533" s="57" t="str">
        <f t="shared" si="62"/>
        <v/>
      </c>
    </row>
    <row r="534" spans="14:92" x14ac:dyDescent="0.25">
      <c r="N534" s="58"/>
      <c r="P534" s="60"/>
      <c r="Q534" s="13"/>
      <c r="V534" s="60"/>
      <c r="X534" s="61"/>
      <c r="AB534" s="60"/>
      <c r="AN534" s="54"/>
      <c r="AS534" s="15"/>
      <c r="BH534" s="52"/>
      <c r="BI534" s="21" t="str">
        <f ca="1">IFERROR(VLOOKUP(C534,OFFSET(abbreviation[],0,ColumnLanguage),ColumnAbbreviation,FALSE),"")</f>
        <v/>
      </c>
      <c r="BJ534" s="21" t="str">
        <f ca="1">IFERROR(VLOOKUP(E534,OFFSET(abbreviation[],0,ColumnLanguage),ColumnAbbreviation,FALSE),"")</f>
        <v/>
      </c>
      <c r="BK534" s="21" t="str">
        <f ca="1">IFERROR(VLOOKUP(G534,OFFSET(abbreviation[],0,ColumnLanguage),ColumnAbbreviation,FALSE),"")</f>
        <v/>
      </c>
      <c r="BL534" s="21" t="str">
        <f ca="1">IFERROR(VLOOKUP(I534,OFFSET(abbreviation[],0,ColumnLanguage),ColumnAbbreviation,FALSE),"")</f>
        <v/>
      </c>
      <c r="BM534" s="21" t="str">
        <f ca="1">IFERROR(VLOOKUP(K534,OFFSET(abbreviation[],0,ColumnLanguage),ColumnAbbreviation,FALSE),"")</f>
        <v/>
      </c>
      <c r="BN534" s="21" t="str">
        <f t="shared" ca="1" si="56"/>
        <v/>
      </c>
      <c r="BO534" s="21" t="str">
        <f ca="1">IFERROR(VLOOKUP(N534,OFFSET(abbreviation[],0,ColumnLanguage),ColumnAbbreviation,FALSE),"")</f>
        <v/>
      </c>
      <c r="BP534" s="21" t="str">
        <f ca="1">IFERROR(VLOOKUP(P534,OFFSET(abbreviation[],0,ColumnLanguage),ColumnAbbreviation,FALSE),"")</f>
        <v/>
      </c>
      <c r="BQ534" s="21" t="str">
        <f ca="1">IFERROR(VLOOKUP(T534,OFFSET(abbreviation[],0,ColumnLanguage),ColumnAbbreviation,FALSE),"")</f>
        <v/>
      </c>
      <c r="BR534" s="21" t="str">
        <f ca="1">IFERROR(VLOOKUP(V534,OFFSET(abbreviation[],0,ColumnLanguage),ColumnAbbreviation,FALSE),"")</f>
        <v/>
      </c>
      <c r="BS534" s="21" t="str">
        <f ca="1">IFERROR(VLOOKUP(Z534,OFFSET(abbreviation[],0,ColumnLanguage),ColumnAbbreviation,FALSE),"")</f>
        <v/>
      </c>
      <c r="BT534" s="21" t="str">
        <f ca="1">IFERROR(VLOOKUP(AB534,OFFSET(abbreviation[],0,ColumnLanguage),ColumnAbbreviation,FALSE),"")</f>
        <v/>
      </c>
      <c r="BU534" s="21" t="str">
        <f t="shared" ca="1" si="57"/>
        <v>__</v>
      </c>
      <c r="BV534" s="21" t="str">
        <f ca="1">IFERROR(VLOOKUP(AF534,OFFSET(abbreviation[],0,ColumnLanguage),ColumnAbbreviation,FALSE),"")</f>
        <v/>
      </c>
      <c r="BW534" s="21" t="str">
        <f ca="1">IFERROR(VLOOKUP(AH534,OFFSET(abbreviation[],0,ColumnLanguage),ColumnAbbreviation,FALSE),"")</f>
        <v/>
      </c>
      <c r="BX534" s="21" t="str">
        <f ca="1">IFERROR(VLOOKUP(AJ534,OFFSET(abbreviation[],0,ColumnLanguage),ColumnAbbreviation,FALSE),"")</f>
        <v/>
      </c>
      <c r="BY534" s="21" t="str">
        <f ca="1">IFERROR(VLOOKUP(AL534,OFFSET(abbreviation[],0,ColumnLanguage),ColumnAbbreviation,FALSE),"")</f>
        <v/>
      </c>
      <c r="BZ534" s="21" t="str">
        <f t="shared" ca="1" si="58"/>
        <v>_</v>
      </c>
      <c r="CA534" s="21" t="str">
        <f ca="1">IFERROR(VLOOKUP(AP534,OFFSET(abbreviation[],0,ColumnLanguage),ColumnAbbreviation,FALSE),"")</f>
        <v/>
      </c>
      <c r="CB534" s="21" t="str">
        <f ca="1">IFERROR(VLOOKUP(AR534,OFFSET(abbreviation[],0,ColumnLanguage),ColumnAbbreviation,FALSE),"")</f>
        <v/>
      </c>
      <c r="CC534" s="21" t="str">
        <f ca="1">IFERROR(VLOOKUP(AT534,OFFSET(abbreviation[],0,ColumnLanguage),ColumnAbbreviation,FALSE),"")</f>
        <v/>
      </c>
      <c r="CD534" s="21" t="str">
        <f ca="1">IFERROR(VLOOKUP(AV534,OFFSET(abbreviation[],0,ColumnLanguage),ColumnAbbreviation,FALSE),"")</f>
        <v/>
      </c>
      <c r="CE534" s="21" t="str">
        <f t="shared" ca="1" si="59"/>
        <v>__</v>
      </c>
      <c r="CF534" s="21" t="str">
        <f ca="1">IFERROR(VLOOKUP(AX534,OFFSET(abbreviation[],0,ColumnLanguage),ColumnAbbreviation,FALSE),"")</f>
        <v/>
      </c>
      <c r="CG534" s="21" t="str">
        <f ca="1">IFERROR(VLOOKUP(AZ534,OFFSET(abbreviation[],0,ColumnLanguage),ColumnAbbreviation,FALSE),"")</f>
        <v/>
      </c>
      <c r="CH534" s="21" t="str">
        <f ca="1">IFERROR(VLOOKUP(BB534,OFFSET(abbreviation[],0,ColumnLanguage),ColumnAbbreviation,FALSE),"")</f>
        <v/>
      </c>
      <c r="CI534" s="21" t="str">
        <f ca="1">IFERROR(VLOOKUP(BD534,OFFSET(abbreviation[],0,ColumnLanguage),ColumnAbbreviation,FALSE),"")</f>
        <v/>
      </c>
      <c r="CJ534" s="21" t="str">
        <f ca="1">IFERROR(VLOOKUP(BF534,OFFSET(abbreviation[],0,ColumnLanguage),ColumnAbbreviation,FALSE),"")</f>
        <v/>
      </c>
      <c r="CK534" s="21" t="str">
        <f t="shared" ca="1" si="60"/>
        <v/>
      </c>
      <c r="CL534" s="21" t="str">
        <f t="shared" si="61"/>
        <v/>
      </c>
      <c r="CM534" s="52"/>
      <c r="CN534" s="57" t="str">
        <f t="shared" si="62"/>
        <v/>
      </c>
    </row>
    <row r="535" spans="14:92" x14ac:dyDescent="0.25">
      <c r="N535" s="58"/>
      <c r="P535" s="60"/>
      <c r="Q535" s="13"/>
      <c r="V535" s="60"/>
      <c r="X535" s="61"/>
      <c r="AB535" s="60"/>
      <c r="AN535" s="54"/>
      <c r="AS535" s="15"/>
      <c r="BH535" s="52"/>
      <c r="BI535" s="21" t="str">
        <f ca="1">IFERROR(VLOOKUP(C535,OFFSET(abbreviation[],0,ColumnLanguage),ColumnAbbreviation,FALSE),"")</f>
        <v/>
      </c>
      <c r="BJ535" s="21" t="str">
        <f ca="1">IFERROR(VLOOKUP(E535,OFFSET(abbreviation[],0,ColumnLanguage),ColumnAbbreviation,FALSE),"")</f>
        <v/>
      </c>
      <c r="BK535" s="21" t="str">
        <f ca="1">IFERROR(VLOOKUP(G535,OFFSET(abbreviation[],0,ColumnLanguage),ColumnAbbreviation,FALSE),"")</f>
        <v/>
      </c>
      <c r="BL535" s="21" t="str">
        <f ca="1">IFERROR(VLOOKUP(I535,OFFSET(abbreviation[],0,ColumnLanguage),ColumnAbbreviation,FALSE),"")</f>
        <v/>
      </c>
      <c r="BM535" s="21" t="str">
        <f ca="1">IFERROR(VLOOKUP(K535,OFFSET(abbreviation[],0,ColumnLanguage),ColumnAbbreviation,FALSE),"")</f>
        <v/>
      </c>
      <c r="BN535" s="21" t="str">
        <f t="shared" ca="1" si="56"/>
        <v/>
      </c>
      <c r="BO535" s="21" t="str">
        <f ca="1">IFERROR(VLOOKUP(N535,OFFSET(abbreviation[],0,ColumnLanguage),ColumnAbbreviation,FALSE),"")</f>
        <v/>
      </c>
      <c r="BP535" s="21" t="str">
        <f ca="1">IFERROR(VLOOKUP(P535,OFFSET(abbreviation[],0,ColumnLanguage),ColumnAbbreviation,FALSE),"")</f>
        <v/>
      </c>
      <c r="BQ535" s="21" t="str">
        <f ca="1">IFERROR(VLOOKUP(T535,OFFSET(abbreviation[],0,ColumnLanguage),ColumnAbbreviation,FALSE),"")</f>
        <v/>
      </c>
      <c r="BR535" s="21" t="str">
        <f ca="1">IFERROR(VLOOKUP(V535,OFFSET(abbreviation[],0,ColumnLanguage),ColumnAbbreviation,FALSE),"")</f>
        <v/>
      </c>
      <c r="BS535" s="21" t="str">
        <f ca="1">IFERROR(VLOOKUP(Z535,OFFSET(abbreviation[],0,ColumnLanguage),ColumnAbbreviation,FALSE),"")</f>
        <v/>
      </c>
      <c r="BT535" s="21" t="str">
        <f ca="1">IFERROR(VLOOKUP(AB535,OFFSET(abbreviation[],0,ColumnLanguage),ColumnAbbreviation,FALSE),"")</f>
        <v/>
      </c>
      <c r="BU535" s="21" t="str">
        <f t="shared" ca="1" si="57"/>
        <v>__</v>
      </c>
      <c r="BV535" s="21" t="str">
        <f ca="1">IFERROR(VLOOKUP(AF535,OFFSET(abbreviation[],0,ColumnLanguage),ColumnAbbreviation,FALSE),"")</f>
        <v/>
      </c>
      <c r="BW535" s="21" t="str">
        <f ca="1">IFERROR(VLOOKUP(AH535,OFFSET(abbreviation[],0,ColumnLanguage),ColumnAbbreviation,FALSE),"")</f>
        <v/>
      </c>
      <c r="BX535" s="21" t="str">
        <f ca="1">IFERROR(VLOOKUP(AJ535,OFFSET(abbreviation[],0,ColumnLanguage),ColumnAbbreviation,FALSE),"")</f>
        <v/>
      </c>
      <c r="BY535" s="21" t="str">
        <f ca="1">IFERROR(VLOOKUP(AL535,OFFSET(abbreviation[],0,ColumnLanguage),ColumnAbbreviation,FALSE),"")</f>
        <v/>
      </c>
      <c r="BZ535" s="21" t="str">
        <f t="shared" ca="1" si="58"/>
        <v>_</v>
      </c>
      <c r="CA535" s="21" t="str">
        <f ca="1">IFERROR(VLOOKUP(AP535,OFFSET(abbreviation[],0,ColumnLanguage),ColumnAbbreviation,FALSE),"")</f>
        <v/>
      </c>
      <c r="CB535" s="21" t="str">
        <f ca="1">IFERROR(VLOOKUP(AR535,OFFSET(abbreviation[],0,ColumnLanguage),ColumnAbbreviation,FALSE),"")</f>
        <v/>
      </c>
      <c r="CC535" s="21" t="str">
        <f ca="1">IFERROR(VLOOKUP(AT535,OFFSET(abbreviation[],0,ColumnLanguage),ColumnAbbreviation,FALSE),"")</f>
        <v/>
      </c>
      <c r="CD535" s="21" t="str">
        <f ca="1">IFERROR(VLOOKUP(AV535,OFFSET(abbreviation[],0,ColumnLanguage),ColumnAbbreviation,FALSE),"")</f>
        <v/>
      </c>
      <c r="CE535" s="21" t="str">
        <f t="shared" ca="1" si="59"/>
        <v>__</v>
      </c>
      <c r="CF535" s="21" t="str">
        <f ca="1">IFERROR(VLOOKUP(AX535,OFFSET(abbreviation[],0,ColumnLanguage),ColumnAbbreviation,FALSE),"")</f>
        <v/>
      </c>
      <c r="CG535" s="21" t="str">
        <f ca="1">IFERROR(VLOOKUP(AZ535,OFFSET(abbreviation[],0,ColumnLanguage),ColumnAbbreviation,FALSE),"")</f>
        <v/>
      </c>
      <c r="CH535" s="21" t="str">
        <f ca="1">IFERROR(VLOOKUP(BB535,OFFSET(abbreviation[],0,ColumnLanguage),ColumnAbbreviation,FALSE),"")</f>
        <v/>
      </c>
      <c r="CI535" s="21" t="str">
        <f ca="1">IFERROR(VLOOKUP(BD535,OFFSET(abbreviation[],0,ColumnLanguage),ColumnAbbreviation,FALSE),"")</f>
        <v/>
      </c>
      <c r="CJ535" s="21" t="str">
        <f ca="1">IFERROR(VLOOKUP(BF535,OFFSET(abbreviation[],0,ColumnLanguage),ColumnAbbreviation,FALSE),"")</f>
        <v/>
      </c>
      <c r="CK535" s="21" t="str">
        <f t="shared" ca="1" si="60"/>
        <v/>
      </c>
      <c r="CL535" s="21" t="str">
        <f t="shared" si="61"/>
        <v/>
      </c>
      <c r="CM535" s="52"/>
      <c r="CN535" s="57" t="str">
        <f t="shared" si="62"/>
        <v/>
      </c>
    </row>
    <row r="536" spans="14:92" x14ac:dyDescent="0.25">
      <c r="N536" s="58"/>
      <c r="P536" s="60"/>
      <c r="Q536" s="13"/>
      <c r="V536" s="60"/>
      <c r="X536" s="61"/>
      <c r="AB536" s="60"/>
      <c r="AN536" s="54"/>
      <c r="AS536" s="15"/>
      <c r="BH536" s="52"/>
      <c r="BI536" s="21" t="str">
        <f ca="1">IFERROR(VLOOKUP(C536,OFFSET(abbreviation[],0,ColumnLanguage),ColumnAbbreviation,FALSE),"")</f>
        <v/>
      </c>
      <c r="BJ536" s="21" t="str">
        <f ca="1">IFERROR(VLOOKUP(E536,OFFSET(abbreviation[],0,ColumnLanguage),ColumnAbbreviation,FALSE),"")</f>
        <v/>
      </c>
      <c r="BK536" s="21" t="str">
        <f ca="1">IFERROR(VLOOKUP(G536,OFFSET(abbreviation[],0,ColumnLanguage),ColumnAbbreviation,FALSE),"")</f>
        <v/>
      </c>
      <c r="BL536" s="21" t="str">
        <f ca="1">IFERROR(VLOOKUP(I536,OFFSET(abbreviation[],0,ColumnLanguage),ColumnAbbreviation,FALSE),"")</f>
        <v/>
      </c>
      <c r="BM536" s="21" t="str">
        <f ca="1">IFERROR(VLOOKUP(K536,OFFSET(abbreviation[],0,ColumnLanguage),ColumnAbbreviation,FALSE),"")</f>
        <v/>
      </c>
      <c r="BN536" s="21" t="str">
        <f t="shared" ca="1" si="56"/>
        <v/>
      </c>
      <c r="BO536" s="21" t="str">
        <f ca="1">IFERROR(VLOOKUP(N536,OFFSET(abbreviation[],0,ColumnLanguage),ColumnAbbreviation,FALSE),"")</f>
        <v/>
      </c>
      <c r="BP536" s="21" t="str">
        <f ca="1">IFERROR(VLOOKUP(P536,OFFSET(abbreviation[],0,ColumnLanguage),ColumnAbbreviation,FALSE),"")</f>
        <v/>
      </c>
      <c r="BQ536" s="21" t="str">
        <f ca="1">IFERROR(VLOOKUP(T536,OFFSET(abbreviation[],0,ColumnLanguage),ColumnAbbreviation,FALSE),"")</f>
        <v/>
      </c>
      <c r="BR536" s="21" t="str">
        <f ca="1">IFERROR(VLOOKUP(V536,OFFSET(abbreviation[],0,ColumnLanguage),ColumnAbbreviation,FALSE),"")</f>
        <v/>
      </c>
      <c r="BS536" s="21" t="str">
        <f ca="1">IFERROR(VLOOKUP(Z536,OFFSET(abbreviation[],0,ColumnLanguage),ColumnAbbreviation,FALSE),"")</f>
        <v/>
      </c>
      <c r="BT536" s="21" t="str">
        <f ca="1">IFERROR(VLOOKUP(AB536,OFFSET(abbreviation[],0,ColumnLanguage),ColumnAbbreviation,FALSE),"")</f>
        <v/>
      </c>
      <c r="BU536" s="21" t="str">
        <f t="shared" ca="1" si="57"/>
        <v>__</v>
      </c>
      <c r="BV536" s="21" t="str">
        <f ca="1">IFERROR(VLOOKUP(AF536,OFFSET(abbreviation[],0,ColumnLanguage),ColumnAbbreviation,FALSE),"")</f>
        <v/>
      </c>
      <c r="BW536" s="21" t="str">
        <f ca="1">IFERROR(VLOOKUP(AH536,OFFSET(abbreviation[],0,ColumnLanguage),ColumnAbbreviation,FALSE),"")</f>
        <v/>
      </c>
      <c r="BX536" s="21" t="str">
        <f ca="1">IFERROR(VLOOKUP(AJ536,OFFSET(abbreviation[],0,ColumnLanguage),ColumnAbbreviation,FALSE),"")</f>
        <v/>
      </c>
      <c r="BY536" s="21" t="str">
        <f ca="1">IFERROR(VLOOKUP(AL536,OFFSET(abbreviation[],0,ColumnLanguage),ColumnAbbreviation,FALSE),"")</f>
        <v/>
      </c>
      <c r="BZ536" s="21" t="str">
        <f t="shared" ca="1" si="58"/>
        <v>_</v>
      </c>
      <c r="CA536" s="21" t="str">
        <f ca="1">IFERROR(VLOOKUP(AP536,OFFSET(abbreviation[],0,ColumnLanguage),ColumnAbbreviation,FALSE),"")</f>
        <v/>
      </c>
      <c r="CB536" s="21" t="str">
        <f ca="1">IFERROR(VLOOKUP(AR536,OFFSET(abbreviation[],0,ColumnLanguage),ColumnAbbreviation,FALSE),"")</f>
        <v/>
      </c>
      <c r="CC536" s="21" t="str">
        <f ca="1">IFERROR(VLOOKUP(AT536,OFFSET(abbreviation[],0,ColumnLanguage),ColumnAbbreviation,FALSE),"")</f>
        <v/>
      </c>
      <c r="CD536" s="21" t="str">
        <f ca="1">IFERROR(VLOOKUP(AV536,OFFSET(abbreviation[],0,ColumnLanguage),ColumnAbbreviation,FALSE),"")</f>
        <v/>
      </c>
      <c r="CE536" s="21" t="str">
        <f t="shared" ca="1" si="59"/>
        <v>__</v>
      </c>
      <c r="CF536" s="21" t="str">
        <f ca="1">IFERROR(VLOOKUP(AX536,OFFSET(abbreviation[],0,ColumnLanguage),ColumnAbbreviation,FALSE),"")</f>
        <v/>
      </c>
      <c r="CG536" s="21" t="str">
        <f ca="1">IFERROR(VLOOKUP(AZ536,OFFSET(abbreviation[],0,ColumnLanguage),ColumnAbbreviation,FALSE),"")</f>
        <v/>
      </c>
      <c r="CH536" s="21" t="str">
        <f ca="1">IFERROR(VLOOKUP(BB536,OFFSET(abbreviation[],0,ColumnLanguage),ColumnAbbreviation,FALSE),"")</f>
        <v/>
      </c>
      <c r="CI536" s="21" t="str">
        <f ca="1">IFERROR(VLOOKUP(BD536,OFFSET(abbreviation[],0,ColumnLanguage),ColumnAbbreviation,FALSE),"")</f>
        <v/>
      </c>
      <c r="CJ536" s="21" t="str">
        <f ca="1">IFERROR(VLOOKUP(BF536,OFFSET(abbreviation[],0,ColumnLanguage),ColumnAbbreviation,FALSE),"")</f>
        <v/>
      </c>
      <c r="CK536" s="21" t="str">
        <f t="shared" ca="1" si="60"/>
        <v/>
      </c>
      <c r="CL536" s="21" t="str">
        <f t="shared" si="61"/>
        <v/>
      </c>
      <c r="CM536" s="52"/>
      <c r="CN536" s="57" t="str">
        <f t="shared" si="62"/>
        <v/>
      </c>
    </row>
    <row r="537" spans="14:92" x14ac:dyDescent="0.25">
      <c r="N537" s="58"/>
      <c r="P537" s="60"/>
      <c r="Q537" s="13"/>
      <c r="V537" s="60"/>
      <c r="X537" s="61"/>
      <c r="AB537" s="60"/>
      <c r="AN537" s="54"/>
      <c r="AS537" s="15"/>
      <c r="BH537" s="52"/>
      <c r="BI537" s="21" t="str">
        <f ca="1">IFERROR(VLOOKUP(C537,OFFSET(abbreviation[],0,ColumnLanguage),ColumnAbbreviation,FALSE),"")</f>
        <v/>
      </c>
      <c r="BJ537" s="21" t="str">
        <f ca="1">IFERROR(VLOOKUP(E537,OFFSET(abbreviation[],0,ColumnLanguage),ColumnAbbreviation,FALSE),"")</f>
        <v/>
      </c>
      <c r="BK537" s="21" t="str">
        <f ca="1">IFERROR(VLOOKUP(G537,OFFSET(abbreviation[],0,ColumnLanguage),ColumnAbbreviation,FALSE),"")</f>
        <v/>
      </c>
      <c r="BL537" s="21" t="str">
        <f ca="1">IFERROR(VLOOKUP(I537,OFFSET(abbreviation[],0,ColumnLanguage),ColumnAbbreviation,FALSE),"")</f>
        <v/>
      </c>
      <c r="BM537" s="21" t="str">
        <f ca="1">IFERROR(VLOOKUP(K537,OFFSET(abbreviation[],0,ColumnLanguage),ColumnAbbreviation,FALSE),"")</f>
        <v/>
      </c>
      <c r="BN537" s="21" t="str">
        <f t="shared" ca="1" si="56"/>
        <v/>
      </c>
      <c r="BO537" s="21" t="str">
        <f ca="1">IFERROR(VLOOKUP(N537,OFFSET(abbreviation[],0,ColumnLanguage),ColumnAbbreviation,FALSE),"")</f>
        <v/>
      </c>
      <c r="BP537" s="21" t="str">
        <f ca="1">IFERROR(VLOOKUP(P537,OFFSET(abbreviation[],0,ColumnLanguage),ColumnAbbreviation,FALSE),"")</f>
        <v/>
      </c>
      <c r="BQ537" s="21" t="str">
        <f ca="1">IFERROR(VLOOKUP(T537,OFFSET(abbreviation[],0,ColumnLanguage),ColumnAbbreviation,FALSE),"")</f>
        <v/>
      </c>
      <c r="BR537" s="21" t="str">
        <f ca="1">IFERROR(VLOOKUP(V537,OFFSET(abbreviation[],0,ColumnLanguage),ColumnAbbreviation,FALSE),"")</f>
        <v/>
      </c>
      <c r="BS537" s="21" t="str">
        <f ca="1">IFERROR(VLOOKUP(Z537,OFFSET(abbreviation[],0,ColumnLanguage),ColumnAbbreviation,FALSE),"")</f>
        <v/>
      </c>
      <c r="BT537" s="21" t="str">
        <f ca="1">IFERROR(VLOOKUP(AB537,OFFSET(abbreviation[],0,ColumnLanguage),ColumnAbbreviation,FALSE),"")</f>
        <v/>
      </c>
      <c r="BU537" s="21" t="str">
        <f t="shared" ca="1" si="57"/>
        <v>__</v>
      </c>
      <c r="BV537" s="21" t="str">
        <f ca="1">IFERROR(VLOOKUP(AF537,OFFSET(abbreviation[],0,ColumnLanguage),ColumnAbbreviation,FALSE),"")</f>
        <v/>
      </c>
      <c r="BW537" s="21" t="str">
        <f ca="1">IFERROR(VLOOKUP(AH537,OFFSET(abbreviation[],0,ColumnLanguage),ColumnAbbreviation,FALSE),"")</f>
        <v/>
      </c>
      <c r="BX537" s="21" t="str">
        <f ca="1">IFERROR(VLOOKUP(AJ537,OFFSET(abbreviation[],0,ColumnLanguage),ColumnAbbreviation,FALSE),"")</f>
        <v/>
      </c>
      <c r="BY537" s="21" t="str">
        <f ca="1">IFERROR(VLOOKUP(AL537,OFFSET(abbreviation[],0,ColumnLanguage),ColumnAbbreviation,FALSE),"")</f>
        <v/>
      </c>
      <c r="BZ537" s="21" t="str">
        <f t="shared" ca="1" si="58"/>
        <v>_</v>
      </c>
      <c r="CA537" s="21" t="str">
        <f ca="1">IFERROR(VLOOKUP(AP537,OFFSET(abbreviation[],0,ColumnLanguage),ColumnAbbreviation,FALSE),"")</f>
        <v/>
      </c>
      <c r="CB537" s="21" t="str">
        <f ca="1">IFERROR(VLOOKUP(AR537,OFFSET(abbreviation[],0,ColumnLanguage),ColumnAbbreviation,FALSE),"")</f>
        <v/>
      </c>
      <c r="CC537" s="21" t="str">
        <f ca="1">IFERROR(VLOOKUP(AT537,OFFSET(abbreviation[],0,ColumnLanguage),ColumnAbbreviation,FALSE),"")</f>
        <v/>
      </c>
      <c r="CD537" s="21" t="str">
        <f ca="1">IFERROR(VLOOKUP(AV537,OFFSET(abbreviation[],0,ColumnLanguage),ColumnAbbreviation,FALSE),"")</f>
        <v/>
      </c>
      <c r="CE537" s="21" t="str">
        <f t="shared" ca="1" si="59"/>
        <v>__</v>
      </c>
      <c r="CF537" s="21" t="str">
        <f ca="1">IFERROR(VLOOKUP(AX537,OFFSET(abbreviation[],0,ColumnLanguage),ColumnAbbreviation,FALSE),"")</f>
        <v/>
      </c>
      <c r="CG537" s="21" t="str">
        <f ca="1">IFERROR(VLOOKUP(AZ537,OFFSET(abbreviation[],0,ColumnLanguage),ColumnAbbreviation,FALSE),"")</f>
        <v/>
      </c>
      <c r="CH537" s="21" t="str">
        <f ca="1">IFERROR(VLOOKUP(BB537,OFFSET(abbreviation[],0,ColumnLanguage),ColumnAbbreviation,FALSE),"")</f>
        <v/>
      </c>
      <c r="CI537" s="21" t="str">
        <f ca="1">IFERROR(VLOOKUP(BD537,OFFSET(abbreviation[],0,ColumnLanguage),ColumnAbbreviation,FALSE),"")</f>
        <v/>
      </c>
      <c r="CJ537" s="21" t="str">
        <f ca="1">IFERROR(VLOOKUP(BF537,OFFSET(abbreviation[],0,ColumnLanguage),ColumnAbbreviation,FALSE),"")</f>
        <v/>
      </c>
      <c r="CK537" s="21" t="str">
        <f t="shared" ca="1" si="60"/>
        <v/>
      </c>
      <c r="CL537" s="21" t="str">
        <f t="shared" si="61"/>
        <v/>
      </c>
      <c r="CM537" s="52"/>
      <c r="CN537" s="57" t="str">
        <f t="shared" si="62"/>
        <v/>
      </c>
    </row>
    <row r="538" spans="14:92" x14ac:dyDescent="0.25">
      <c r="N538" s="58"/>
      <c r="P538" s="60"/>
      <c r="Q538" s="13"/>
      <c r="V538" s="60"/>
      <c r="X538" s="61"/>
      <c r="AB538" s="60"/>
      <c r="AN538" s="54"/>
      <c r="AS538" s="15"/>
      <c r="BH538" s="52"/>
      <c r="BI538" s="21" t="str">
        <f ca="1">IFERROR(VLOOKUP(C538,OFFSET(abbreviation[],0,ColumnLanguage),ColumnAbbreviation,FALSE),"")</f>
        <v/>
      </c>
      <c r="BJ538" s="21" t="str">
        <f ca="1">IFERROR(VLOOKUP(E538,OFFSET(abbreviation[],0,ColumnLanguage),ColumnAbbreviation,FALSE),"")</f>
        <v/>
      </c>
      <c r="BK538" s="21" t="str">
        <f ca="1">IFERROR(VLOOKUP(G538,OFFSET(abbreviation[],0,ColumnLanguage),ColumnAbbreviation,FALSE),"")</f>
        <v/>
      </c>
      <c r="BL538" s="21" t="str">
        <f ca="1">IFERROR(VLOOKUP(I538,OFFSET(abbreviation[],0,ColumnLanguage),ColumnAbbreviation,FALSE),"")</f>
        <v/>
      </c>
      <c r="BM538" s="21" t="str">
        <f ca="1">IFERROR(VLOOKUP(K538,OFFSET(abbreviation[],0,ColumnLanguage),ColumnAbbreviation,FALSE),"")</f>
        <v/>
      </c>
      <c r="BN538" s="21" t="str">
        <f t="shared" ca="1" si="56"/>
        <v/>
      </c>
      <c r="BO538" s="21" t="str">
        <f ca="1">IFERROR(VLOOKUP(N538,OFFSET(abbreviation[],0,ColumnLanguage),ColumnAbbreviation,FALSE),"")</f>
        <v/>
      </c>
      <c r="BP538" s="21" t="str">
        <f ca="1">IFERROR(VLOOKUP(P538,OFFSET(abbreviation[],0,ColumnLanguage),ColumnAbbreviation,FALSE),"")</f>
        <v/>
      </c>
      <c r="BQ538" s="21" t="str">
        <f ca="1">IFERROR(VLOOKUP(T538,OFFSET(abbreviation[],0,ColumnLanguage),ColumnAbbreviation,FALSE),"")</f>
        <v/>
      </c>
      <c r="BR538" s="21" t="str">
        <f ca="1">IFERROR(VLOOKUP(V538,OFFSET(abbreviation[],0,ColumnLanguage),ColumnAbbreviation,FALSE),"")</f>
        <v/>
      </c>
      <c r="BS538" s="21" t="str">
        <f ca="1">IFERROR(VLOOKUP(Z538,OFFSET(abbreviation[],0,ColumnLanguage),ColumnAbbreviation,FALSE),"")</f>
        <v/>
      </c>
      <c r="BT538" s="21" t="str">
        <f ca="1">IFERROR(VLOOKUP(AB538,OFFSET(abbreviation[],0,ColumnLanguage),ColumnAbbreviation,FALSE),"")</f>
        <v/>
      </c>
      <c r="BU538" s="21" t="str">
        <f t="shared" ca="1" si="57"/>
        <v>__</v>
      </c>
      <c r="BV538" s="21" t="str">
        <f ca="1">IFERROR(VLOOKUP(AF538,OFFSET(abbreviation[],0,ColumnLanguage),ColumnAbbreviation,FALSE),"")</f>
        <v/>
      </c>
      <c r="BW538" s="21" t="str">
        <f ca="1">IFERROR(VLOOKUP(AH538,OFFSET(abbreviation[],0,ColumnLanguage),ColumnAbbreviation,FALSE),"")</f>
        <v/>
      </c>
      <c r="BX538" s="21" t="str">
        <f ca="1">IFERROR(VLOOKUP(AJ538,OFFSET(abbreviation[],0,ColumnLanguage),ColumnAbbreviation,FALSE),"")</f>
        <v/>
      </c>
      <c r="BY538" s="21" t="str">
        <f ca="1">IFERROR(VLOOKUP(AL538,OFFSET(abbreviation[],0,ColumnLanguage),ColumnAbbreviation,FALSE),"")</f>
        <v/>
      </c>
      <c r="BZ538" s="21" t="str">
        <f t="shared" ca="1" si="58"/>
        <v>_</v>
      </c>
      <c r="CA538" s="21" t="str">
        <f ca="1">IFERROR(VLOOKUP(AP538,OFFSET(abbreviation[],0,ColumnLanguage),ColumnAbbreviation,FALSE),"")</f>
        <v/>
      </c>
      <c r="CB538" s="21" t="str">
        <f ca="1">IFERROR(VLOOKUP(AR538,OFFSET(abbreviation[],0,ColumnLanguage),ColumnAbbreviation,FALSE),"")</f>
        <v/>
      </c>
      <c r="CC538" s="21" t="str">
        <f ca="1">IFERROR(VLOOKUP(AT538,OFFSET(abbreviation[],0,ColumnLanguage),ColumnAbbreviation,FALSE),"")</f>
        <v/>
      </c>
      <c r="CD538" s="21" t="str">
        <f ca="1">IFERROR(VLOOKUP(AV538,OFFSET(abbreviation[],0,ColumnLanguage),ColumnAbbreviation,FALSE),"")</f>
        <v/>
      </c>
      <c r="CE538" s="21" t="str">
        <f t="shared" ca="1" si="59"/>
        <v>__</v>
      </c>
      <c r="CF538" s="21" t="str">
        <f ca="1">IFERROR(VLOOKUP(AX538,OFFSET(abbreviation[],0,ColumnLanguage),ColumnAbbreviation,FALSE),"")</f>
        <v/>
      </c>
      <c r="CG538" s="21" t="str">
        <f ca="1">IFERROR(VLOOKUP(AZ538,OFFSET(abbreviation[],0,ColumnLanguage),ColumnAbbreviation,FALSE),"")</f>
        <v/>
      </c>
      <c r="CH538" s="21" t="str">
        <f ca="1">IFERROR(VLOOKUP(BB538,OFFSET(abbreviation[],0,ColumnLanguage),ColumnAbbreviation,FALSE),"")</f>
        <v/>
      </c>
      <c r="CI538" s="21" t="str">
        <f ca="1">IFERROR(VLOOKUP(BD538,OFFSET(abbreviation[],0,ColumnLanguage),ColumnAbbreviation,FALSE),"")</f>
        <v/>
      </c>
      <c r="CJ538" s="21" t="str">
        <f ca="1">IFERROR(VLOOKUP(BF538,OFFSET(abbreviation[],0,ColumnLanguage),ColumnAbbreviation,FALSE),"")</f>
        <v/>
      </c>
      <c r="CK538" s="21" t="str">
        <f t="shared" ca="1" si="60"/>
        <v/>
      </c>
      <c r="CL538" s="21" t="str">
        <f t="shared" si="61"/>
        <v/>
      </c>
      <c r="CM538" s="52"/>
      <c r="CN538" s="57" t="str">
        <f t="shared" si="62"/>
        <v/>
      </c>
    </row>
    <row r="539" spans="14:92" x14ac:dyDescent="0.25">
      <c r="N539" s="58"/>
      <c r="P539" s="60"/>
      <c r="Q539" s="13"/>
      <c r="V539" s="60"/>
      <c r="X539" s="61"/>
      <c r="AB539" s="60"/>
      <c r="AN539" s="54"/>
      <c r="AS539" s="15"/>
      <c r="BH539" s="52"/>
      <c r="BI539" s="21" t="str">
        <f ca="1">IFERROR(VLOOKUP(C539,OFFSET(abbreviation[],0,ColumnLanguage),ColumnAbbreviation,FALSE),"")</f>
        <v/>
      </c>
      <c r="BJ539" s="21" t="str">
        <f ca="1">IFERROR(VLOOKUP(E539,OFFSET(abbreviation[],0,ColumnLanguage),ColumnAbbreviation,FALSE),"")</f>
        <v/>
      </c>
      <c r="BK539" s="21" t="str">
        <f ca="1">IFERROR(VLOOKUP(G539,OFFSET(abbreviation[],0,ColumnLanguage),ColumnAbbreviation,FALSE),"")</f>
        <v/>
      </c>
      <c r="BL539" s="21" t="str">
        <f ca="1">IFERROR(VLOOKUP(I539,OFFSET(abbreviation[],0,ColumnLanguage),ColumnAbbreviation,FALSE),"")</f>
        <v/>
      </c>
      <c r="BM539" s="21" t="str">
        <f ca="1">IFERROR(VLOOKUP(K539,OFFSET(abbreviation[],0,ColumnLanguage),ColumnAbbreviation,FALSE),"")</f>
        <v/>
      </c>
      <c r="BN539" s="21" t="str">
        <f t="shared" ca="1" si="56"/>
        <v/>
      </c>
      <c r="BO539" s="21" t="str">
        <f ca="1">IFERROR(VLOOKUP(N539,OFFSET(abbreviation[],0,ColumnLanguage),ColumnAbbreviation,FALSE),"")</f>
        <v/>
      </c>
      <c r="BP539" s="21" t="str">
        <f ca="1">IFERROR(VLOOKUP(P539,OFFSET(abbreviation[],0,ColumnLanguage),ColumnAbbreviation,FALSE),"")</f>
        <v/>
      </c>
      <c r="BQ539" s="21" t="str">
        <f ca="1">IFERROR(VLOOKUP(T539,OFFSET(abbreviation[],0,ColumnLanguage),ColumnAbbreviation,FALSE),"")</f>
        <v/>
      </c>
      <c r="BR539" s="21" t="str">
        <f ca="1">IFERROR(VLOOKUP(V539,OFFSET(abbreviation[],0,ColumnLanguage),ColumnAbbreviation,FALSE),"")</f>
        <v/>
      </c>
      <c r="BS539" s="21" t="str">
        <f ca="1">IFERROR(VLOOKUP(Z539,OFFSET(abbreviation[],0,ColumnLanguage),ColumnAbbreviation,FALSE),"")</f>
        <v/>
      </c>
      <c r="BT539" s="21" t="str">
        <f ca="1">IFERROR(VLOOKUP(AB539,OFFSET(abbreviation[],0,ColumnLanguage),ColumnAbbreviation,FALSE),"")</f>
        <v/>
      </c>
      <c r="BU539" s="21" t="str">
        <f t="shared" ca="1" si="57"/>
        <v>__</v>
      </c>
      <c r="BV539" s="21" t="str">
        <f ca="1">IFERROR(VLOOKUP(AF539,OFFSET(abbreviation[],0,ColumnLanguage),ColumnAbbreviation,FALSE),"")</f>
        <v/>
      </c>
      <c r="BW539" s="21" t="str">
        <f ca="1">IFERROR(VLOOKUP(AH539,OFFSET(abbreviation[],0,ColumnLanguage),ColumnAbbreviation,FALSE),"")</f>
        <v/>
      </c>
      <c r="BX539" s="21" t="str">
        <f ca="1">IFERROR(VLOOKUP(AJ539,OFFSET(abbreviation[],0,ColumnLanguage),ColumnAbbreviation,FALSE),"")</f>
        <v/>
      </c>
      <c r="BY539" s="21" t="str">
        <f ca="1">IFERROR(VLOOKUP(AL539,OFFSET(abbreviation[],0,ColumnLanguage),ColumnAbbreviation,FALSE),"")</f>
        <v/>
      </c>
      <c r="BZ539" s="21" t="str">
        <f t="shared" ca="1" si="58"/>
        <v>_</v>
      </c>
      <c r="CA539" s="21" t="str">
        <f ca="1">IFERROR(VLOOKUP(AP539,OFFSET(abbreviation[],0,ColumnLanguage),ColumnAbbreviation,FALSE),"")</f>
        <v/>
      </c>
      <c r="CB539" s="21" t="str">
        <f ca="1">IFERROR(VLOOKUP(AR539,OFFSET(abbreviation[],0,ColumnLanguage),ColumnAbbreviation,FALSE),"")</f>
        <v/>
      </c>
      <c r="CC539" s="21" t="str">
        <f ca="1">IFERROR(VLOOKUP(AT539,OFFSET(abbreviation[],0,ColumnLanguage),ColumnAbbreviation,FALSE),"")</f>
        <v/>
      </c>
      <c r="CD539" s="21" t="str">
        <f ca="1">IFERROR(VLOOKUP(AV539,OFFSET(abbreviation[],0,ColumnLanguage),ColumnAbbreviation,FALSE),"")</f>
        <v/>
      </c>
      <c r="CE539" s="21" t="str">
        <f t="shared" ca="1" si="59"/>
        <v>__</v>
      </c>
      <c r="CF539" s="21" t="str">
        <f ca="1">IFERROR(VLOOKUP(AX539,OFFSET(abbreviation[],0,ColumnLanguage),ColumnAbbreviation,FALSE),"")</f>
        <v/>
      </c>
      <c r="CG539" s="21" t="str">
        <f ca="1">IFERROR(VLOOKUP(AZ539,OFFSET(abbreviation[],0,ColumnLanguage),ColumnAbbreviation,FALSE),"")</f>
        <v/>
      </c>
      <c r="CH539" s="21" t="str">
        <f ca="1">IFERROR(VLOOKUP(BB539,OFFSET(abbreviation[],0,ColumnLanguage),ColumnAbbreviation,FALSE),"")</f>
        <v/>
      </c>
      <c r="CI539" s="21" t="str">
        <f ca="1">IFERROR(VLOOKUP(BD539,OFFSET(abbreviation[],0,ColumnLanguage),ColumnAbbreviation,FALSE),"")</f>
        <v/>
      </c>
      <c r="CJ539" s="21" t="str">
        <f ca="1">IFERROR(VLOOKUP(BF539,OFFSET(abbreviation[],0,ColumnLanguage),ColumnAbbreviation,FALSE),"")</f>
        <v/>
      </c>
      <c r="CK539" s="21" t="str">
        <f t="shared" ca="1" si="60"/>
        <v/>
      </c>
      <c r="CL539" s="21" t="str">
        <f t="shared" si="61"/>
        <v/>
      </c>
      <c r="CM539" s="52"/>
      <c r="CN539" s="57" t="str">
        <f t="shared" si="62"/>
        <v/>
      </c>
    </row>
    <row r="540" spans="14:92" x14ac:dyDescent="0.25">
      <c r="N540" s="58"/>
      <c r="P540" s="60"/>
      <c r="Q540" s="13"/>
      <c r="V540" s="60"/>
      <c r="X540" s="61"/>
      <c r="AB540" s="60"/>
      <c r="AN540" s="54"/>
      <c r="AS540" s="15"/>
      <c r="BH540" s="52"/>
      <c r="BI540" s="21" t="str">
        <f ca="1">IFERROR(VLOOKUP(C540,OFFSET(abbreviation[],0,ColumnLanguage),ColumnAbbreviation,FALSE),"")</f>
        <v/>
      </c>
      <c r="BJ540" s="21" t="str">
        <f ca="1">IFERROR(VLOOKUP(E540,OFFSET(abbreviation[],0,ColumnLanguage),ColumnAbbreviation,FALSE),"")</f>
        <v/>
      </c>
      <c r="BK540" s="21" t="str">
        <f ca="1">IFERROR(VLOOKUP(G540,OFFSET(abbreviation[],0,ColumnLanguage),ColumnAbbreviation,FALSE),"")</f>
        <v/>
      </c>
      <c r="BL540" s="21" t="str">
        <f ca="1">IFERROR(VLOOKUP(I540,OFFSET(abbreviation[],0,ColumnLanguage),ColumnAbbreviation,FALSE),"")</f>
        <v/>
      </c>
      <c r="BM540" s="21" t="str">
        <f ca="1">IFERROR(VLOOKUP(K540,OFFSET(abbreviation[],0,ColumnLanguage),ColumnAbbreviation,FALSE),"")</f>
        <v/>
      </c>
      <c r="BN540" s="21" t="str">
        <f t="shared" ca="1" si="56"/>
        <v/>
      </c>
      <c r="BO540" s="21" t="str">
        <f ca="1">IFERROR(VLOOKUP(N540,OFFSET(abbreviation[],0,ColumnLanguage),ColumnAbbreviation,FALSE),"")</f>
        <v/>
      </c>
      <c r="BP540" s="21" t="str">
        <f ca="1">IFERROR(VLOOKUP(P540,OFFSET(abbreviation[],0,ColumnLanguage),ColumnAbbreviation,FALSE),"")</f>
        <v/>
      </c>
      <c r="BQ540" s="21" t="str">
        <f ca="1">IFERROR(VLOOKUP(T540,OFFSET(abbreviation[],0,ColumnLanguage),ColumnAbbreviation,FALSE),"")</f>
        <v/>
      </c>
      <c r="BR540" s="21" t="str">
        <f ca="1">IFERROR(VLOOKUP(V540,OFFSET(abbreviation[],0,ColumnLanguage),ColumnAbbreviation,FALSE),"")</f>
        <v/>
      </c>
      <c r="BS540" s="21" t="str">
        <f ca="1">IFERROR(VLOOKUP(Z540,OFFSET(abbreviation[],0,ColumnLanguage),ColumnAbbreviation,FALSE),"")</f>
        <v/>
      </c>
      <c r="BT540" s="21" t="str">
        <f ca="1">IFERROR(VLOOKUP(AB540,OFFSET(abbreviation[],0,ColumnLanguage),ColumnAbbreviation,FALSE),"")</f>
        <v/>
      </c>
      <c r="BU540" s="21" t="str">
        <f t="shared" ca="1" si="57"/>
        <v>__</v>
      </c>
      <c r="BV540" s="21" t="str">
        <f ca="1">IFERROR(VLOOKUP(AF540,OFFSET(abbreviation[],0,ColumnLanguage),ColumnAbbreviation,FALSE),"")</f>
        <v/>
      </c>
      <c r="BW540" s="21" t="str">
        <f ca="1">IFERROR(VLOOKUP(AH540,OFFSET(abbreviation[],0,ColumnLanguage),ColumnAbbreviation,FALSE),"")</f>
        <v/>
      </c>
      <c r="BX540" s="21" t="str">
        <f ca="1">IFERROR(VLOOKUP(AJ540,OFFSET(abbreviation[],0,ColumnLanguage),ColumnAbbreviation,FALSE),"")</f>
        <v/>
      </c>
      <c r="BY540" s="21" t="str">
        <f ca="1">IFERROR(VLOOKUP(AL540,OFFSET(abbreviation[],0,ColumnLanguage),ColumnAbbreviation,FALSE),"")</f>
        <v/>
      </c>
      <c r="BZ540" s="21" t="str">
        <f t="shared" ca="1" si="58"/>
        <v>_</v>
      </c>
      <c r="CA540" s="21" t="str">
        <f ca="1">IFERROR(VLOOKUP(AP540,OFFSET(abbreviation[],0,ColumnLanguage),ColumnAbbreviation,FALSE),"")</f>
        <v/>
      </c>
      <c r="CB540" s="21" t="str">
        <f ca="1">IFERROR(VLOOKUP(AR540,OFFSET(abbreviation[],0,ColumnLanguage),ColumnAbbreviation,FALSE),"")</f>
        <v/>
      </c>
      <c r="CC540" s="21" t="str">
        <f ca="1">IFERROR(VLOOKUP(AT540,OFFSET(abbreviation[],0,ColumnLanguage),ColumnAbbreviation,FALSE),"")</f>
        <v/>
      </c>
      <c r="CD540" s="21" t="str">
        <f ca="1">IFERROR(VLOOKUP(AV540,OFFSET(abbreviation[],0,ColumnLanguage),ColumnAbbreviation,FALSE),"")</f>
        <v/>
      </c>
      <c r="CE540" s="21" t="str">
        <f t="shared" ca="1" si="59"/>
        <v>__</v>
      </c>
      <c r="CF540" s="21" t="str">
        <f ca="1">IFERROR(VLOOKUP(AX540,OFFSET(abbreviation[],0,ColumnLanguage),ColumnAbbreviation,FALSE),"")</f>
        <v/>
      </c>
      <c r="CG540" s="21" t="str">
        <f ca="1">IFERROR(VLOOKUP(AZ540,OFFSET(abbreviation[],0,ColumnLanguage),ColumnAbbreviation,FALSE),"")</f>
        <v/>
      </c>
      <c r="CH540" s="21" t="str">
        <f ca="1">IFERROR(VLOOKUP(BB540,OFFSET(abbreviation[],0,ColumnLanguage),ColumnAbbreviation,FALSE),"")</f>
        <v/>
      </c>
      <c r="CI540" s="21" t="str">
        <f ca="1">IFERROR(VLOOKUP(BD540,OFFSET(abbreviation[],0,ColumnLanguage),ColumnAbbreviation,FALSE),"")</f>
        <v/>
      </c>
      <c r="CJ540" s="21" t="str">
        <f ca="1">IFERROR(VLOOKUP(BF540,OFFSET(abbreviation[],0,ColumnLanguage),ColumnAbbreviation,FALSE),"")</f>
        <v/>
      </c>
      <c r="CK540" s="21" t="str">
        <f t="shared" ca="1" si="60"/>
        <v/>
      </c>
      <c r="CL540" s="21" t="str">
        <f t="shared" si="61"/>
        <v/>
      </c>
      <c r="CM540" s="52"/>
      <c r="CN540" s="57" t="str">
        <f t="shared" si="62"/>
        <v/>
      </c>
    </row>
    <row r="541" spans="14:92" x14ac:dyDescent="0.25">
      <c r="N541" s="58"/>
      <c r="P541" s="60"/>
      <c r="Q541" s="13"/>
      <c r="V541" s="60"/>
      <c r="X541" s="61"/>
      <c r="AB541" s="60"/>
      <c r="AN541" s="54"/>
      <c r="AS541" s="15"/>
      <c r="BH541" s="52"/>
      <c r="BI541" s="21" t="str">
        <f ca="1">IFERROR(VLOOKUP(C541,OFFSET(abbreviation[],0,ColumnLanguage),ColumnAbbreviation,FALSE),"")</f>
        <v/>
      </c>
      <c r="BJ541" s="21" t="str">
        <f ca="1">IFERROR(VLOOKUP(E541,OFFSET(abbreviation[],0,ColumnLanguage),ColumnAbbreviation,FALSE),"")</f>
        <v/>
      </c>
      <c r="BK541" s="21" t="str">
        <f ca="1">IFERROR(VLOOKUP(G541,OFFSET(abbreviation[],0,ColumnLanguage),ColumnAbbreviation,FALSE),"")</f>
        <v/>
      </c>
      <c r="BL541" s="21" t="str">
        <f ca="1">IFERROR(VLOOKUP(I541,OFFSET(abbreviation[],0,ColumnLanguage),ColumnAbbreviation,FALSE),"")</f>
        <v/>
      </c>
      <c r="BM541" s="21" t="str">
        <f ca="1">IFERROR(VLOOKUP(K541,OFFSET(abbreviation[],0,ColumnLanguage),ColumnAbbreviation,FALSE),"")</f>
        <v/>
      </c>
      <c r="BN541" s="21" t="str">
        <f t="shared" ca="1" si="56"/>
        <v/>
      </c>
      <c r="BO541" s="21" t="str">
        <f ca="1">IFERROR(VLOOKUP(N541,OFFSET(abbreviation[],0,ColumnLanguage),ColumnAbbreviation,FALSE),"")</f>
        <v/>
      </c>
      <c r="BP541" s="21" t="str">
        <f ca="1">IFERROR(VLOOKUP(P541,OFFSET(abbreviation[],0,ColumnLanguage),ColumnAbbreviation,FALSE),"")</f>
        <v/>
      </c>
      <c r="BQ541" s="21" t="str">
        <f ca="1">IFERROR(VLOOKUP(T541,OFFSET(abbreviation[],0,ColumnLanguage),ColumnAbbreviation,FALSE),"")</f>
        <v/>
      </c>
      <c r="BR541" s="21" t="str">
        <f ca="1">IFERROR(VLOOKUP(V541,OFFSET(abbreviation[],0,ColumnLanguage),ColumnAbbreviation,FALSE),"")</f>
        <v/>
      </c>
      <c r="BS541" s="21" t="str">
        <f ca="1">IFERROR(VLOOKUP(Z541,OFFSET(abbreviation[],0,ColumnLanguage),ColumnAbbreviation,FALSE),"")</f>
        <v/>
      </c>
      <c r="BT541" s="21" t="str">
        <f ca="1">IFERROR(VLOOKUP(AB541,OFFSET(abbreviation[],0,ColumnLanguage),ColumnAbbreviation,FALSE),"")</f>
        <v/>
      </c>
      <c r="BU541" s="21" t="str">
        <f t="shared" ca="1" si="57"/>
        <v>__</v>
      </c>
      <c r="BV541" s="21" t="str">
        <f ca="1">IFERROR(VLOOKUP(AF541,OFFSET(abbreviation[],0,ColumnLanguage),ColumnAbbreviation,FALSE),"")</f>
        <v/>
      </c>
      <c r="BW541" s="21" t="str">
        <f ca="1">IFERROR(VLOOKUP(AH541,OFFSET(abbreviation[],0,ColumnLanguage),ColumnAbbreviation,FALSE),"")</f>
        <v/>
      </c>
      <c r="BX541" s="21" t="str">
        <f ca="1">IFERROR(VLOOKUP(AJ541,OFFSET(abbreviation[],0,ColumnLanguage),ColumnAbbreviation,FALSE),"")</f>
        <v/>
      </c>
      <c r="BY541" s="21" t="str">
        <f ca="1">IFERROR(VLOOKUP(AL541,OFFSET(abbreviation[],0,ColumnLanguage),ColumnAbbreviation,FALSE),"")</f>
        <v/>
      </c>
      <c r="BZ541" s="21" t="str">
        <f t="shared" ca="1" si="58"/>
        <v>_</v>
      </c>
      <c r="CA541" s="21" t="str">
        <f ca="1">IFERROR(VLOOKUP(AP541,OFFSET(abbreviation[],0,ColumnLanguage),ColumnAbbreviation,FALSE),"")</f>
        <v/>
      </c>
      <c r="CB541" s="21" t="str">
        <f ca="1">IFERROR(VLOOKUP(AR541,OFFSET(abbreviation[],0,ColumnLanguage),ColumnAbbreviation,FALSE),"")</f>
        <v/>
      </c>
      <c r="CC541" s="21" t="str">
        <f ca="1">IFERROR(VLOOKUP(AT541,OFFSET(abbreviation[],0,ColumnLanguage),ColumnAbbreviation,FALSE),"")</f>
        <v/>
      </c>
      <c r="CD541" s="21" t="str">
        <f ca="1">IFERROR(VLOOKUP(AV541,OFFSET(abbreviation[],0,ColumnLanguage),ColumnAbbreviation,FALSE),"")</f>
        <v/>
      </c>
      <c r="CE541" s="21" t="str">
        <f t="shared" ca="1" si="59"/>
        <v>__</v>
      </c>
      <c r="CF541" s="21" t="str">
        <f ca="1">IFERROR(VLOOKUP(AX541,OFFSET(abbreviation[],0,ColumnLanguage),ColumnAbbreviation,FALSE),"")</f>
        <v/>
      </c>
      <c r="CG541" s="21" t="str">
        <f ca="1">IFERROR(VLOOKUP(AZ541,OFFSET(abbreviation[],0,ColumnLanguage),ColumnAbbreviation,FALSE),"")</f>
        <v/>
      </c>
      <c r="CH541" s="21" t="str">
        <f ca="1">IFERROR(VLOOKUP(BB541,OFFSET(abbreviation[],0,ColumnLanguage),ColumnAbbreviation,FALSE),"")</f>
        <v/>
      </c>
      <c r="CI541" s="21" t="str">
        <f ca="1">IFERROR(VLOOKUP(BD541,OFFSET(abbreviation[],0,ColumnLanguage),ColumnAbbreviation,FALSE),"")</f>
        <v/>
      </c>
      <c r="CJ541" s="21" t="str">
        <f ca="1">IFERROR(VLOOKUP(BF541,OFFSET(abbreviation[],0,ColumnLanguage),ColumnAbbreviation,FALSE),"")</f>
        <v/>
      </c>
      <c r="CK541" s="21" t="str">
        <f t="shared" ca="1" si="60"/>
        <v/>
      </c>
      <c r="CL541" s="21" t="str">
        <f t="shared" si="61"/>
        <v/>
      </c>
      <c r="CM541" s="52"/>
      <c r="CN541" s="57" t="str">
        <f t="shared" si="62"/>
        <v/>
      </c>
    </row>
    <row r="542" spans="14:92" x14ac:dyDescent="0.25">
      <c r="N542" s="58"/>
      <c r="P542" s="60"/>
      <c r="Q542" s="13"/>
      <c r="V542" s="60"/>
      <c r="X542" s="61"/>
      <c r="AB542" s="60"/>
      <c r="AN542" s="54"/>
      <c r="AS542" s="15"/>
      <c r="BH542" s="52"/>
      <c r="BI542" s="21" t="str">
        <f ca="1">IFERROR(VLOOKUP(C542,OFFSET(abbreviation[],0,ColumnLanguage),ColumnAbbreviation,FALSE),"")</f>
        <v/>
      </c>
      <c r="BJ542" s="21" t="str">
        <f ca="1">IFERROR(VLOOKUP(E542,OFFSET(abbreviation[],0,ColumnLanguage),ColumnAbbreviation,FALSE),"")</f>
        <v/>
      </c>
      <c r="BK542" s="21" t="str">
        <f ca="1">IFERROR(VLOOKUP(G542,OFFSET(abbreviation[],0,ColumnLanguage),ColumnAbbreviation,FALSE),"")</f>
        <v/>
      </c>
      <c r="BL542" s="21" t="str">
        <f ca="1">IFERROR(VLOOKUP(I542,OFFSET(abbreviation[],0,ColumnLanguage),ColumnAbbreviation,FALSE),"")</f>
        <v/>
      </c>
      <c r="BM542" s="21" t="str">
        <f ca="1">IFERROR(VLOOKUP(K542,OFFSET(abbreviation[],0,ColumnLanguage),ColumnAbbreviation,FALSE),"")</f>
        <v/>
      </c>
      <c r="BN542" s="21" t="str">
        <f t="shared" ca="1" si="56"/>
        <v/>
      </c>
      <c r="BO542" s="21" t="str">
        <f ca="1">IFERROR(VLOOKUP(N542,OFFSET(abbreviation[],0,ColumnLanguage),ColumnAbbreviation,FALSE),"")</f>
        <v/>
      </c>
      <c r="BP542" s="21" t="str">
        <f ca="1">IFERROR(VLOOKUP(P542,OFFSET(abbreviation[],0,ColumnLanguage),ColumnAbbreviation,FALSE),"")</f>
        <v/>
      </c>
      <c r="BQ542" s="21" t="str">
        <f ca="1">IFERROR(VLOOKUP(T542,OFFSET(abbreviation[],0,ColumnLanguage),ColumnAbbreviation,FALSE),"")</f>
        <v/>
      </c>
      <c r="BR542" s="21" t="str">
        <f ca="1">IFERROR(VLOOKUP(V542,OFFSET(abbreviation[],0,ColumnLanguage),ColumnAbbreviation,FALSE),"")</f>
        <v/>
      </c>
      <c r="BS542" s="21" t="str">
        <f ca="1">IFERROR(VLOOKUP(Z542,OFFSET(abbreviation[],0,ColumnLanguage),ColumnAbbreviation,FALSE),"")</f>
        <v/>
      </c>
      <c r="BT542" s="21" t="str">
        <f ca="1">IFERROR(VLOOKUP(AB542,OFFSET(abbreviation[],0,ColumnLanguage),ColumnAbbreviation,FALSE),"")</f>
        <v/>
      </c>
      <c r="BU542" s="21" t="str">
        <f t="shared" ca="1" si="57"/>
        <v>__</v>
      </c>
      <c r="BV542" s="21" t="str">
        <f ca="1">IFERROR(VLOOKUP(AF542,OFFSET(abbreviation[],0,ColumnLanguage),ColumnAbbreviation,FALSE),"")</f>
        <v/>
      </c>
      <c r="BW542" s="21" t="str">
        <f ca="1">IFERROR(VLOOKUP(AH542,OFFSET(abbreviation[],0,ColumnLanguage),ColumnAbbreviation,FALSE),"")</f>
        <v/>
      </c>
      <c r="BX542" s="21" t="str">
        <f ca="1">IFERROR(VLOOKUP(AJ542,OFFSET(abbreviation[],0,ColumnLanguage),ColumnAbbreviation,FALSE),"")</f>
        <v/>
      </c>
      <c r="BY542" s="21" t="str">
        <f ca="1">IFERROR(VLOOKUP(AL542,OFFSET(abbreviation[],0,ColumnLanguage),ColumnAbbreviation,FALSE),"")</f>
        <v/>
      </c>
      <c r="BZ542" s="21" t="str">
        <f t="shared" ca="1" si="58"/>
        <v>_</v>
      </c>
      <c r="CA542" s="21" t="str">
        <f ca="1">IFERROR(VLOOKUP(AP542,OFFSET(abbreviation[],0,ColumnLanguage),ColumnAbbreviation,FALSE),"")</f>
        <v/>
      </c>
      <c r="CB542" s="21" t="str">
        <f ca="1">IFERROR(VLOOKUP(AR542,OFFSET(abbreviation[],0,ColumnLanguage),ColumnAbbreviation,FALSE),"")</f>
        <v/>
      </c>
      <c r="CC542" s="21" t="str">
        <f ca="1">IFERROR(VLOOKUP(AT542,OFFSET(abbreviation[],0,ColumnLanguage),ColumnAbbreviation,FALSE),"")</f>
        <v/>
      </c>
      <c r="CD542" s="21" t="str">
        <f ca="1">IFERROR(VLOOKUP(AV542,OFFSET(abbreviation[],0,ColumnLanguage),ColumnAbbreviation,FALSE),"")</f>
        <v/>
      </c>
      <c r="CE542" s="21" t="str">
        <f t="shared" ca="1" si="59"/>
        <v>__</v>
      </c>
      <c r="CF542" s="21" t="str">
        <f ca="1">IFERROR(VLOOKUP(AX542,OFFSET(abbreviation[],0,ColumnLanguage),ColumnAbbreviation,FALSE),"")</f>
        <v/>
      </c>
      <c r="CG542" s="21" t="str">
        <f ca="1">IFERROR(VLOOKUP(AZ542,OFFSET(abbreviation[],0,ColumnLanguage),ColumnAbbreviation,FALSE),"")</f>
        <v/>
      </c>
      <c r="CH542" s="21" t="str">
        <f ca="1">IFERROR(VLOOKUP(BB542,OFFSET(abbreviation[],0,ColumnLanguage),ColumnAbbreviation,FALSE),"")</f>
        <v/>
      </c>
      <c r="CI542" s="21" t="str">
        <f ca="1">IFERROR(VLOOKUP(BD542,OFFSET(abbreviation[],0,ColumnLanguage),ColumnAbbreviation,FALSE),"")</f>
        <v/>
      </c>
      <c r="CJ542" s="21" t="str">
        <f ca="1">IFERROR(VLOOKUP(BF542,OFFSET(abbreviation[],0,ColumnLanguage),ColumnAbbreviation,FALSE),"")</f>
        <v/>
      </c>
      <c r="CK542" s="21" t="str">
        <f t="shared" ca="1" si="60"/>
        <v/>
      </c>
      <c r="CL542" s="21" t="str">
        <f t="shared" si="61"/>
        <v/>
      </c>
      <c r="CM542" s="52"/>
      <c r="CN542" s="57" t="str">
        <f t="shared" si="62"/>
        <v/>
      </c>
    </row>
    <row r="543" spans="14:92" x14ac:dyDescent="0.25">
      <c r="N543" s="58"/>
      <c r="P543" s="60"/>
      <c r="Q543" s="13"/>
      <c r="V543" s="60"/>
      <c r="X543" s="61"/>
      <c r="AB543" s="60"/>
      <c r="AN543" s="54"/>
      <c r="AS543" s="15"/>
      <c r="BH543" s="52"/>
      <c r="BI543" s="21" t="str">
        <f ca="1">IFERROR(VLOOKUP(C543,OFFSET(abbreviation[],0,ColumnLanguage),ColumnAbbreviation,FALSE),"")</f>
        <v/>
      </c>
      <c r="BJ543" s="21" t="str">
        <f ca="1">IFERROR(VLOOKUP(E543,OFFSET(abbreviation[],0,ColumnLanguage),ColumnAbbreviation,FALSE),"")</f>
        <v/>
      </c>
      <c r="BK543" s="21" t="str">
        <f ca="1">IFERROR(VLOOKUP(G543,OFFSET(abbreviation[],0,ColumnLanguage),ColumnAbbreviation,FALSE),"")</f>
        <v/>
      </c>
      <c r="BL543" s="21" t="str">
        <f ca="1">IFERROR(VLOOKUP(I543,OFFSET(abbreviation[],0,ColumnLanguage),ColumnAbbreviation,FALSE),"")</f>
        <v/>
      </c>
      <c r="BM543" s="21" t="str">
        <f ca="1">IFERROR(VLOOKUP(K543,OFFSET(abbreviation[],0,ColumnLanguage),ColumnAbbreviation,FALSE),"")</f>
        <v/>
      </c>
      <c r="BN543" s="21" t="str">
        <f t="shared" ca="1" si="56"/>
        <v/>
      </c>
      <c r="BO543" s="21" t="str">
        <f ca="1">IFERROR(VLOOKUP(N543,OFFSET(abbreviation[],0,ColumnLanguage),ColumnAbbreviation,FALSE),"")</f>
        <v/>
      </c>
      <c r="BP543" s="21" t="str">
        <f ca="1">IFERROR(VLOOKUP(P543,OFFSET(abbreviation[],0,ColumnLanguage),ColumnAbbreviation,FALSE),"")</f>
        <v/>
      </c>
      <c r="BQ543" s="21" t="str">
        <f ca="1">IFERROR(VLOOKUP(T543,OFFSET(abbreviation[],0,ColumnLanguage),ColumnAbbreviation,FALSE),"")</f>
        <v/>
      </c>
      <c r="BR543" s="21" t="str">
        <f ca="1">IFERROR(VLOOKUP(V543,OFFSET(abbreviation[],0,ColumnLanguage),ColumnAbbreviation,FALSE),"")</f>
        <v/>
      </c>
      <c r="BS543" s="21" t="str">
        <f ca="1">IFERROR(VLOOKUP(Z543,OFFSET(abbreviation[],0,ColumnLanguage),ColumnAbbreviation,FALSE),"")</f>
        <v/>
      </c>
      <c r="BT543" s="21" t="str">
        <f ca="1">IFERROR(VLOOKUP(AB543,OFFSET(abbreviation[],0,ColumnLanguage),ColumnAbbreviation,FALSE),"")</f>
        <v/>
      </c>
      <c r="BU543" s="21" t="str">
        <f t="shared" ca="1" si="57"/>
        <v>__</v>
      </c>
      <c r="BV543" s="21" t="str">
        <f ca="1">IFERROR(VLOOKUP(AF543,OFFSET(abbreviation[],0,ColumnLanguage),ColumnAbbreviation,FALSE),"")</f>
        <v/>
      </c>
      <c r="BW543" s="21" t="str">
        <f ca="1">IFERROR(VLOOKUP(AH543,OFFSET(abbreviation[],0,ColumnLanguage),ColumnAbbreviation,FALSE),"")</f>
        <v/>
      </c>
      <c r="BX543" s="21" t="str">
        <f ca="1">IFERROR(VLOOKUP(AJ543,OFFSET(abbreviation[],0,ColumnLanguage),ColumnAbbreviation,FALSE),"")</f>
        <v/>
      </c>
      <c r="BY543" s="21" t="str">
        <f ca="1">IFERROR(VLOOKUP(AL543,OFFSET(abbreviation[],0,ColumnLanguage),ColumnAbbreviation,FALSE),"")</f>
        <v/>
      </c>
      <c r="BZ543" s="21" t="str">
        <f t="shared" ca="1" si="58"/>
        <v>_</v>
      </c>
      <c r="CA543" s="21" t="str">
        <f ca="1">IFERROR(VLOOKUP(AP543,OFFSET(abbreviation[],0,ColumnLanguage),ColumnAbbreviation,FALSE),"")</f>
        <v/>
      </c>
      <c r="CB543" s="21" t="str">
        <f ca="1">IFERROR(VLOOKUP(AR543,OFFSET(abbreviation[],0,ColumnLanguage),ColumnAbbreviation,FALSE),"")</f>
        <v/>
      </c>
      <c r="CC543" s="21" t="str">
        <f ca="1">IFERROR(VLOOKUP(AT543,OFFSET(abbreviation[],0,ColumnLanguage),ColumnAbbreviation,FALSE),"")</f>
        <v/>
      </c>
      <c r="CD543" s="21" t="str">
        <f ca="1">IFERROR(VLOOKUP(AV543,OFFSET(abbreviation[],0,ColumnLanguage),ColumnAbbreviation,FALSE),"")</f>
        <v/>
      </c>
      <c r="CE543" s="21" t="str">
        <f t="shared" ca="1" si="59"/>
        <v>__</v>
      </c>
      <c r="CF543" s="21" t="str">
        <f ca="1">IFERROR(VLOOKUP(AX543,OFFSET(abbreviation[],0,ColumnLanguage),ColumnAbbreviation,FALSE),"")</f>
        <v/>
      </c>
      <c r="CG543" s="21" t="str">
        <f ca="1">IFERROR(VLOOKUP(AZ543,OFFSET(abbreviation[],0,ColumnLanguage),ColumnAbbreviation,FALSE),"")</f>
        <v/>
      </c>
      <c r="CH543" s="21" t="str">
        <f ca="1">IFERROR(VLOOKUP(BB543,OFFSET(abbreviation[],0,ColumnLanguage),ColumnAbbreviation,FALSE),"")</f>
        <v/>
      </c>
      <c r="CI543" s="21" t="str">
        <f ca="1">IFERROR(VLOOKUP(BD543,OFFSET(abbreviation[],0,ColumnLanguage),ColumnAbbreviation,FALSE),"")</f>
        <v/>
      </c>
      <c r="CJ543" s="21" t="str">
        <f ca="1">IFERROR(VLOOKUP(BF543,OFFSET(abbreviation[],0,ColumnLanguage),ColumnAbbreviation,FALSE),"")</f>
        <v/>
      </c>
      <c r="CK543" s="21" t="str">
        <f t="shared" ca="1" si="60"/>
        <v/>
      </c>
      <c r="CL543" s="21" t="str">
        <f t="shared" si="61"/>
        <v/>
      </c>
      <c r="CM543" s="52"/>
      <c r="CN543" s="57" t="str">
        <f t="shared" si="62"/>
        <v/>
      </c>
    </row>
    <row r="544" spans="14:92" x14ac:dyDescent="0.25">
      <c r="N544" s="58"/>
      <c r="P544" s="60"/>
      <c r="Q544" s="13"/>
      <c r="V544" s="60"/>
      <c r="X544" s="61"/>
      <c r="AB544" s="60"/>
      <c r="AN544" s="54"/>
      <c r="AS544" s="15"/>
      <c r="BH544" s="52"/>
      <c r="BI544" s="21" t="str">
        <f ca="1">IFERROR(VLOOKUP(C544,OFFSET(abbreviation[],0,ColumnLanguage),ColumnAbbreviation,FALSE),"")</f>
        <v/>
      </c>
      <c r="BJ544" s="21" t="str">
        <f ca="1">IFERROR(VLOOKUP(E544,OFFSET(abbreviation[],0,ColumnLanguage),ColumnAbbreviation,FALSE),"")</f>
        <v/>
      </c>
      <c r="BK544" s="21" t="str">
        <f ca="1">IFERROR(VLOOKUP(G544,OFFSET(abbreviation[],0,ColumnLanguage),ColumnAbbreviation,FALSE),"")</f>
        <v/>
      </c>
      <c r="BL544" s="21" t="str">
        <f ca="1">IFERROR(VLOOKUP(I544,OFFSET(abbreviation[],0,ColumnLanguage),ColumnAbbreviation,FALSE),"")</f>
        <v/>
      </c>
      <c r="BM544" s="21" t="str">
        <f ca="1">IFERROR(VLOOKUP(K544,OFFSET(abbreviation[],0,ColumnLanguage),ColumnAbbreviation,FALSE),"")</f>
        <v/>
      </c>
      <c r="BN544" s="21" t="str">
        <f t="shared" ca="1" si="56"/>
        <v/>
      </c>
      <c r="BO544" s="21" t="str">
        <f ca="1">IFERROR(VLOOKUP(N544,OFFSET(abbreviation[],0,ColumnLanguage),ColumnAbbreviation,FALSE),"")</f>
        <v/>
      </c>
      <c r="BP544" s="21" t="str">
        <f ca="1">IFERROR(VLOOKUP(P544,OFFSET(abbreviation[],0,ColumnLanguage),ColumnAbbreviation,FALSE),"")</f>
        <v/>
      </c>
      <c r="BQ544" s="21" t="str">
        <f ca="1">IFERROR(VLOOKUP(T544,OFFSET(abbreviation[],0,ColumnLanguage),ColumnAbbreviation,FALSE),"")</f>
        <v/>
      </c>
      <c r="BR544" s="21" t="str">
        <f ca="1">IFERROR(VLOOKUP(V544,OFFSET(abbreviation[],0,ColumnLanguage),ColumnAbbreviation,FALSE),"")</f>
        <v/>
      </c>
      <c r="BS544" s="21" t="str">
        <f ca="1">IFERROR(VLOOKUP(Z544,OFFSET(abbreviation[],0,ColumnLanguage),ColumnAbbreviation,FALSE),"")</f>
        <v/>
      </c>
      <c r="BT544" s="21" t="str">
        <f ca="1">IFERROR(VLOOKUP(AB544,OFFSET(abbreviation[],0,ColumnLanguage),ColumnAbbreviation,FALSE),"")</f>
        <v/>
      </c>
      <c r="BU544" s="21" t="str">
        <f t="shared" ca="1" si="57"/>
        <v>__</v>
      </c>
      <c r="BV544" s="21" t="str">
        <f ca="1">IFERROR(VLOOKUP(AF544,OFFSET(abbreviation[],0,ColumnLanguage),ColumnAbbreviation,FALSE),"")</f>
        <v/>
      </c>
      <c r="BW544" s="21" t="str">
        <f ca="1">IFERROR(VLOOKUP(AH544,OFFSET(abbreviation[],0,ColumnLanguage),ColumnAbbreviation,FALSE),"")</f>
        <v/>
      </c>
      <c r="BX544" s="21" t="str">
        <f ca="1">IFERROR(VLOOKUP(AJ544,OFFSET(abbreviation[],0,ColumnLanguage),ColumnAbbreviation,FALSE),"")</f>
        <v/>
      </c>
      <c r="BY544" s="21" t="str">
        <f ca="1">IFERROR(VLOOKUP(AL544,OFFSET(abbreviation[],0,ColumnLanguage),ColumnAbbreviation,FALSE),"")</f>
        <v/>
      </c>
      <c r="BZ544" s="21" t="str">
        <f t="shared" ca="1" si="58"/>
        <v>_</v>
      </c>
      <c r="CA544" s="21" t="str">
        <f ca="1">IFERROR(VLOOKUP(AP544,OFFSET(abbreviation[],0,ColumnLanguage),ColumnAbbreviation,FALSE),"")</f>
        <v/>
      </c>
      <c r="CB544" s="21" t="str">
        <f ca="1">IFERROR(VLOOKUP(AR544,OFFSET(abbreviation[],0,ColumnLanguage),ColumnAbbreviation,FALSE),"")</f>
        <v/>
      </c>
      <c r="CC544" s="21" t="str">
        <f ca="1">IFERROR(VLOOKUP(AT544,OFFSET(abbreviation[],0,ColumnLanguage),ColumnAbbreviation,FALSE),"")</f>
        <v/>
      </c>
      <c r="CD544" s="21" t="str">
        <f ca="1">IFERROR(VLOOKUP(AV544,OFFSET(abbreviation[],0,ColumnLanguage),ColumnAbbreviation,FALSE),"")</f>
        <v/>
      </c>
      <c r="CE544" s="21" t="str">
        <f t="shared" ca="1" si="59"/>
        <v>__</v>
      </c>
      <c r="CF544" s="21" t="str">
        <f ca="1">IFERROR(VLOOKUP(AX544,OFFSET(abbreviation[],0,ColumnLanguage),ColumnAbbreviation,FALSE),"")</f>
        <v/>
      </c>
      <c r="CG544" s="21" t="str">
        <f ca="1">IFERROR(VLOOKUP(AZ544,OFFSET(abbreviation[],0,ColumnLanguage),ColumnAbbreviation,FALSE),"")</f>
        <v/>
      </c>
      <c r="CH544" s="21" t="str">
        <f ca="1">IFERROR(VLOOKUP(BB544,OFFSET(abbreviation[],0,ColumnLanguage),ColumnAbbreviation,FALSE),"")</f>
        <v/>
      </c>
      <c r="CI544" s="21" t="str">
        <f ca="1">IFERROR(VLOOKUP(BD544,OFFSET(abbreviation[],0,ColumnLanguage),ColumnAbbreviation,FALSE),"")</f>
        <v/>
      </c>
      <c r="CJ544" s="21" t="str">
        <f ca="1">IFERROR(VLOOKUP(BF544,OFFSET(abbreviation[],0,ColumnLanguage),ColumnAbbreviation,FALSE),"")</f>
        <v/>
      </c>
      <c r="CK544" s="21" t="str">
        <f t="shared" ca="1" si="60"/>
        <v/>
      </c>
      <c r="CL544" s="21" t="str">
        <f t="shared" si="61"/>
        <v/>
      </c>
      <c r="CM544" s="52"/>
      <c r="CN544" s="57" t="str">
        <f t="shared" si="62"/>
        <v/>
      </c>
    </row>
    <row r="545" spans="14:92" x14ac:dyDescent="0.25">
      <c r="N545" s="58"/>
      <c r="P545" s="60"/>
      <c r="Q545" s="13"/>
      <c r="V545" s="60"/>
      <c r="X545" s="61"/>
      <c r="AB545" s="60"/>
      <c r="AN545" s="54"/>
      <c r="AS545" s="15"/>
      <c r="BH545" s="52"/>
      <c r="BI545" s="21" t="str">
        <f ca="1">IFERROR(VLOOKUP(C545,OFFSET(abbreviation[],0,ColumnLanguage),ColumnAbbreviation,FALSE),"")</f>
        <v/>
      </c>
      <c r="BJ545" s="21" t="str">
        <f ca="1">IFERROR(VLOOKUP(E545,OFFSET(abbreviation[],0,ColumnLanguage),ColumnAbbreviation,FALSE),"")</f>
        <v/>
      </c>
      <c r="BK545" s="21" t="str">
        <f ca="1">IFERROR(VLOOKUP(G545,OFFSET(abbreviation[],0,ColumnLanguage),ColumnAbbreviation,FALSE),"")</f>
        <v/>
      </c>
      <c r="BL545" s="21" t="str">
        <f ca="1">IFERROR(VLOOKUP(I545,OFFSET(abbreviation[],0,ColumnLanguage),ColumnAbbreviation,FALSE),"")</f>
        <v/>
      </c>
      <c r="BM545" s="21" t="str">
        <f ca="1">IFERROR(VLOOKUP(K545,OFFSET(abbreviation[],0,ColumnLanguage),ColumnAbbreviation,FALSE),"")</f>
        <v/>
      </c>
      <c r="BN545" s="21" t="str">
        <f t="shared" ca="1" si="56"/>
        <v/>
      </c>
      <c r="BO545" s="21" t="str">
        <f ca="1">IFERROR(VLOOKUP(N545,OFFSET(abbreviation[],0,ColumnLanguage),ColumnAbbreviation,FALSE),"")</f>
        <v/>
      </c>
      <c r="BP545" s="21" t="str">
        <f ca="1">IFERROR(VLOOKUP(P545,OFFSET(abbreviation[],0,ColumnLanguage),ColumnAbbreviation,FALSE),"")</f>
        <v/>
      </c>
      <c r="BQ545" s="21" t="str">
        <f ca="1">IFERROR(VLOOKUP(T545,OFFSET(abbreviation[],0,ColumnLanguage),ColumnAbbreviation,FALSE),"")</f>
        <v/>
      </c>
      <c r="BR545" s="21" t="str">
        <f ca="1">IFERROR(VLOOKUP(V545,OFFSET(abbreviation[],0,ColumnLanguage),ColumnAbbreviation,FALSE),"")</f>
        <v/>
      </c>
      <c r="BS545" s="21" t="str">
        <f ca="1">IFERROR(VLOOKUP(Z545,OFFSET(abbreviation[],0,ColumnLanguage),ColumnAbbreviation,FALSE),"")</f>
        <v/>
      </c>
      <c r="BT545" s="21" t="str">
        <f ca="1">IFERROR(VLOOKUP(AB545,OFFSET(abbreviation[],0,ColumnLanguage),ColumnAbbreviation,FALSE),"")</f>
        <v/>
      </c>
      <c r="BU545" s="21" t="str">
        <f t="shared" ca="1" si="57"/>
        <v>__</v>
      </c>
      <c r="BV545" s="21" t="str">
        <f ca="1">IFERROR(VLOOKUP(AF545,OFFSET(abbreviation[],0,ColumnLanguage),ColumnAbbreviation,FALSE),"")</f>
        <v/>
      </c>
      <c r="BW545" s="21" t="str">
        <f ca="1">IFERROR(VLOOKUP(AH545,OFFSET(abbreviation[],0,ColumnLanguage),ColumnAbbreviation,FALSE),"")</f>
        <v/>
      </c>
      <c r="BX545" s="21" t="str">
        <f ca="1">IFERROR(VLOOKUP(AJ545,OFFSET(abbreviation[],0,ColumnLanguage),ColumnAbbreviation,FALSE),"")</f>
        <v/>
      </c>
      <c r="BY545" s="21" t="str">
        <f ca="1">IFERROR(VLOOKUP(AL545,OFFSET(abbreviation[],0,ColumnLanguage),ColumnAbbreviation,FALSE),"")</f>
        <v/>
      </c>
      <c r="BZ545" s="21" t="str">
        <f t="shared" ca="1" si="58"/>
        <v>_</v>
      </c>
      <c r="CA545" s="21" t="str">
        <f ca="1">IFERROR(VLOOKUP(AP545,OFFSET(abbreviation[],0,ColumnLanguage),ColumnAbbreviation,FALSE),"")</f>
        <v/>
      </c>
      <c r="CB545" s="21" t="str">
        <f ca="1">IFERROR(VLOOKUP(AR545,OFFSET(abbreviation[],0,ColumnLanguage),ColumnAbbreviation,FALSE),"")</f>
        <v/>
      </c>
      <c r="CC545" s="21" t="str">
        <f ca="1">IFERROR(VLOOKUP(AT545,OFFSET(abbreviation[],0,ColumnLanguage),ColumnAbbreviation,FALSE),"")</f>
        <v/>
      </c>
      <c r="CD545" s="21" t="str">
        <f ca="1">IFERROR(VLOOKUP(AV545,OFFSET(abbreviation[],0,ColumnLanguage),ColumnAbbreviation,FALSE),"")</f>
        <v/>
      </c>
      <c r="CE545" s="21" t="str">
        <f t="shared" ca="1" si="59"/>
        <v>__</v>
      </c>
      <c r="CF545" s="21" t="str">
        <f ca="1">IFERROR(VLOOKUP(AX545,OFFSET(abbreviation[],0,ColumnLanguage),ColumnAbbreviation,FALSE),"")</f>
        <v/>
      </c>
      <c r="CG545" s="21" t="str">
        <f ca="1">IFERROR(VLOOKUP(AZ545,OFFSET(abbreviation[],0,ColumnLanguage),ColumnAbbreviation,FALSE),"")</f>
        <v/>
      </c>
      <c r="CH545" s="21" t="str">
        <f ca="1">IFERROR(VLOOKUP(BB545,OFFSET(abbreviation[],0,ColumnLanguage),ColumnAbbreviation,FALSE),"")</f>
        <v/>
      </c>
      <c r="CI545" s="21" t="str">
        <f ca="1">IFERROR(VLOOKUP(BD545,OFFSET(abbreviation[],0,ColumnLanguage),ColumnAbbreviation,FALSE),"")</f>
        <v/>
      </c>
      <c r="CJ545" s="21" t="str">
        <f ca="1">IFERROR(VLOOKUP(BF545,OFFSET(abbreviation[],0,ColumnLanguage),ColumnAbbreviation,FALSE),"")</f>
        <v/>
      </c>
      <c r="CK545" s="21" t="str">
        <f t="shared" ca="1" si="60"/>
        <v/>
      </c>
      <c r="CL545" s="21" t="str">
        <f t="shared" si="61"/>
        <v/>
      </c>
      <c r="CM545" s="52"/>
      <c r="CN545" s="57" t="str">
        <f t="shared" si="62"/>
        <v/>
      </c>
    </row>
    <row r="546" spans="14:92" x14ac:dyDescent="0.25">
      <c r="N546" s="58"/>
      <c r="P546" s="60"/>
      <c r="Q546" s="13"/>
      <c r="V546" s="60"/>
      <c r="X546" s="61"/>
      <c r="AB546" s="60"/>
      <c r="AN546" s="54"/>
      <c r="AS546" s="15"/>
      <c r="BH546" s="52"/>
      <c r="BI546" s="21" t="str">
        <f ca="1">IFERROR(VLOOKUP(C546,OFFSET(abbreviation[],0,ColumnLanguage),ColumnAbbreviation,FALSE),"")</f>
        <v/>
      </c>
      <c r="BJ546" s="21" t="str">
        <f ca="1">IFERROR(VLOOKUP(E546,OFFSET(abbreviation[],0,ColumnLanguage),ColumnAbbreviation,FALSE),"")</f>
        <v/>
      </c>
      <c r="BK546" s="21" t="str">
        <f ca="1">IFERROR(VLOOKUP(G546,OFFSET(abbreviation[],0,ColumnLanguage),ColumnAbbreviation,FALSE),"")</f>
        <v/>
      </c>
      <c r="BL546" s="21" t="str">
        <f ca="1">IFERROR(VLOOKUP(I546,OFFSET(abbreviation[],0,ColumnLanguage),ColumnAbbreviation,FALSE),"")</f>
        <v/>
      </c>
      <c r="BM546" s="21" t="str">
        <f ca="1">IFERROR(VLOOKUP(K546,OFFSET(abbreviation[],0,ColumnLanguage),ColumnAbbreviation,FALSE),"")</f>
        <v/>
      </c>
      <c r="BN546" s="21" t="str">
        <f t="shared" ca="1" si="56"/>
        <v/>
      </c>
      <c r="BO546" s="21" t="str">
        <f ca="1">IFERROR(VLOOKUP(N546,OFFSET(abbreviation[],0,ColumnLanguage),ColumnAbbreviation,FALSE),"")</f>
        <v/>
      </c>
      <c r="BP546" s="21" t="str">
        <f ca="1">IFERROR(VLOOKUP(P546,OFFSET(abbreviation[],0,ColumnLanguage),ColumnAbbreviation,FALSE),"")</f>
        <v/>
      </c>
      <c r="BQ546" s="21" t="str">
        <f ca="1">IFERROR(VLOOKUP(T546,OFFSET(abbreviation[],0,ColumnLanguage),ColumnAbbreviation,FALSE),"")</f>
        <v/>
      </c>
      <c r="BR546" s="21" t="str">
        <f ca="1">IFERROR(VLOOKUP(V546,OFFSET(abbreviation[],0,ColumnLanguage),ColumnAbbreviation,FALSE),"")</f>
        <v/>
      </c>
      <c r="BS546" s="21" t="str">
        <f ca="1">IFERROR(VLOOKUP(Z546,OFFSET(abbreviation[],0,ColumnLanguage),ColumnAbbreviation,FALSE),"")</f>
        <v/>
      </c>
      <c r="BT546" s="21" t="str">
        <f ca="1">IFERROR(VLOOKUP(AB546,OFFSET(abbreviation[],0,ColumnLanguage),ColumnAbbreviation,FALSE),"")</f>
        <v/>
      </c>
      <c r="BU546" s="21" t="str">
        <f t="shared" ca="1" si="57"/>
        <v>__</v>
      </c>
      <c r="BV546" s="21" t="str">
        <f ca="1">IFERROR(VLOOKUP(AF546,OFFSET(abbreviation[],0,ColumnLanguage),ColumnAbbreviation,FALSE),"")</f>
        <v/>
      </c>
      <c r="BW546" s="21" t="str">
        <f ca="1">IFERROR(VLOOKUP(AH546,OFFSET(abbreviation[],0,ColumnLanguage),ColumnAbbreviation,FALSE),"")</f>
        <v/>
      </c>
      <c r="BX546" s="21" t="str">
        <f ca="1">IFERROR(VLOOKUP(AJ546,OFFSET(abbreviation[],0,ColumnLanguage),ColumnAbbreviation,FALSE),"")</f>
        <v/>
      </c>
      <c r="BY546" s="21" t="str">
        <f ca="1">IFERROR(VLOOKUP(AL546,OFFSET(abbreviation[],0,ColumnLanguage),ColumnAbbreviation,FALSE),"")</f>
        <v/>
      </c>
      <c r="BZ546" s="21" t="str">
        <f t="shared" ca="1" si="58"/>
        <v>_</v>
      </c>
      <c r="CA546" s="21" t="str">
        <f ca="1">IFERROR(VLOOKUP(AP546,OFFSET(abbreviation[],0,ColumnLanguage),ColumnAbbreviation,FALSE),"")</f>
        <v/>
      </c>
      <c r="CB546" s="21" t="str">
        <f ca="1">IFERROR(VLOOKUP(AR546,OFFSET(abbreviation[],0,ColumnLanguage),ColumnAbbreviation,FALSE),"")</f>
        <v/>
      </c>
      <c r="CC546" s="21" t="str">
        <f ca="1">IFERROR(VLOOKUP(AT546,OFFSET(abbreviation[],0,ColumnLanguage),ColumnAbbreviation,FALSE),"")</f>
        <v/>
      </c>
      <c r="CD546" s="21" t="str">
        <f ca="1">IFERROR(VLOOKUP(AV546,OFFSET(abbreviation[],0,ColumnLanguage),ColumnAbbreviation,FALSE),"")</f>
        <v/>
      </c>
      <c r="CE546" s="21" t="str">
        <f t="shared" ca="1" si="59"/>
        <v>__</v>
      </c>
      <c r="CF546" s="21" t="str">
        <f ca="1">IFERROR(VLOOKUP(AX546,OFFSET(abbreviation[],0,ColumnLanguage),ColumnAbbreviation,FALSE),"")</f>
        <v/>
      </c>
      <c r="CG546" s="21" t="str">
        <f ca="1">IFERROR(VLOOKUP(AZ546,OFFSET(abbreviation[],0,ColumnLanguage),ColumnAbbreviation,FALSE),"")</f>
        <v/>
      </c>
      <c r="CH546" s="21" t="str">
        <f ca="1">IFERROR(VLOOKUP(BB546,OFFSET(abbreviation[],0,ColumnLanguage),ColumnAbbreviation,FALSE),"")</f>
        <v/>
      </c>
      <c r="CI546" s="21" t="str">
        <f ca="1">IFERROR(VLOOKUP(BD546,OFFSET(abbreviation[],0,ColumnLanguage),ColumnAbbreviation,FALSE),"")</f>
        <v/>
      </c>
      <c r="CJ546" s="21" t="str">
        <f ca="1">IFERROR(VLOOKUP(BF546,OFFSET(abbreviation[],0,ColumnLanguage),ColumnAbbreviation,FALSE),"")</f>
        <v/>
      </c>
      <c r="CK546" s="21" t="str">
        <f t="shared" ca="1" si="60"/>
        <v/>
      </c>
      <c r="CL546" s="21" t="str">
        <f t="shared" si="61"/>
        <v/>
      </c>
      <c r="CM546" s="52"/>
      <c r="CN546" s="57" t="str">
        <f t="shared" si="62"/>
        <v/>
      </c>
    </row>
    <row r="547" spans="14:92" x14ac:dyDescent="0.25">
      <c r="N547" s="58"/>
      <c r="P547" s="60"/>
      <c r="Q547" s="13"/>
      <c r="V547" s="60"/>
      <c r="X547" s="61"/>
      <c r="AB547" s="60"/>
      <c r="AN547" s="54"/>
      <c r="AS547" s="15"/>
      <c r="BH547" s="52"/>
      <c r="BI547" s="21" t="str">
        <f ca="1">IFERROR(VLOOKUP(C547,OFFSET(abbreviation[],0,ColumnLanguage),ColumnAbbreviation,FALSE),"")</f>
        <v/>
      </c>
      <c r="BJ547" s="21" t="str">
        <f ca="1">IFERROR(VLOOKUP(E547,OFFSET(abbreviation[],0,ColumnLanguage),ColumnAbbreviation,FALSE),"")</f>
        <v/>
      </c>
      <c r="BK547" s="21" t="str">
        <f ca="1">IFERROR(VLOOKUP(G547,OFFSET(abbreviation[],0,ColumnLanguage),ColumnAbbreviation,FALSE),"")</f>
        <v/>
      </c>
      <c r="BL547" s="21" t="str">
        <f ca="1">IFERROR(VLOOKUP(I547,OFFSET(abbreviation[],0,ColumnLanguage),ColumnAbbreviation,FALSE),"")</f>
        <v/>
      </c>
      <c r="BM547" s="21" t="str">
        <f ca="1">IFERROR(VLOOKUP(K547,OFFSET(abbreviation[],0,ColumnLanguage),ColumnAbbreviation,FALSE),"")</f>
        <v/>
      </c>
      <c r="BN547" s="21" t="str">
        <f t="shared" ca="1" si="56"/>
        <v/>
      </c>
      <c r="BO547" s="21" t="str">
        <f ca="1">IFERROR(VLOOKUP(N547,OFFSET(abbreviation[],0,ColumnLanguage),ColumnAbbreviation,FALSE),"")</f>
        <v/>
      </c>
      <c r="BP547" s="21" t="str">
        <f ca="1">IFERROR(VLOOKUP(P547,OFFSET(abbreviation[],0,ColumnLanguage),ColumnAbbreviation,FALSE),"")</f>
        <v/>
      </c>
      <c r="BQ547" s="21" t="str">
        <f ca="1">IFERROR(VLOOKUP(T547,OFFSET(abbreviation[],0,ColumnLanguage),ColumnAbbreviation,FALSE),"")</f>
        <v/>
      </c>
      <c r="BR547" s="21" t="str">
        <f ca="1">IFERROR(VLOOKUP(V547,OFFSET(abbreviation[],0,ColumnLanguage),ColumnAbbreviation,FALSE),"")</f>
        <v/>
      </c>
      <c r="BS547" s="21" t="str">
        <f ca="1">IFERROR(VLOOKUP(Z547,OFFSET(abbreviation[],0,ColumnLanguage),ColumnAbbreviation,FALSE),"")</f>
        <v/>
      </c>
      <c r="BT547" s="21" t="str">
        <f ca="1">IFERROR(VLOOKUP(AB547,OFFSET(abbreviation[],0,ColumnLanguage),ColumnAbbreviation,FALSE),"")</f>
        <v/>
      </c>
      <c r="BU547" s="21" t="str">
        <f t="shared" ca="1" si="57"/>
        <v>__</v>
      </c>
      <c r="BV547" s="21" t="str">
        <f ca="1">IFERROR(VLOOKUP(AF547,OFFSET(abbreviation[],0,ColumnLanguage),ColumnAbbreviation,FALSE),"")</f>
        <v/>
      </c>
      <c r="BW547" s="21" t="str">
        <f ca="1">IFERROR(VLOOKUP(AH547,OFFSET(abbreviation[],0,ColumnLanguage),ColumnAbbreviation,FALSE),"")</f>
        <v/>
      </c>
      <c r="BX547" s="21" t="str">
        <f ca="1">IFERROR(VLOOKUP(AJ547,OFFSET(abbreviation[],0,ColumnLanguage),ColumnAbbreviation,FALSE),"")</f>
        <v/>
      </c>
      <c r="BY547" s="21" t="str">
        <f ca="1">IFERROR(VLOOKUP(AL547,OFFSET(abbreviation[],0,ColumnLanguage),ColumnAbbreviation,FALSE),"")</f>
        <v/>
      </c>
      <c r="BZ547" s="21" t="str">
        <f t="shared" ca="1" si="58"/>
        <v>_</v>
      </c>
      <c r="CA547" s="21" t="str">
        <f ca="1">IFERROR(VLOOKUP(AP547,OFFSET(abbreviation[],0,ColumnLanguage),ColumnAbbreviation,FALSE),"")</f>
        <v/>
      </c>
      <c r="CB547" s="21" t="str">
        <f ca="1">IFERROR(VLOOKUP(AR547,OFFSET(abbreviation[],0,ColumnLanguage),ColumnAbbreviation,FALSE),"")</f>
        <v/>
      </c>
      <c r="CC547" s="21" t="str">
        <f ca="1">IFERROR(VLOOKUP(AT547,OFFSET(abbreviation[],0,ColumnLanguage),ColumnAbbreviation,FALSE),"")</f>
        <v/>
      </c>
      <c r="CD547" s="21" t="str">
        <f ca="1">IFERROR(VLOOKUP(AV547,OFFSET(abbreviation[],0,ColumnLanguage),ColumnAbbreviation,FALSE),"")</f>
        <v/>
      </c>
      <c r="CE547" s="21" t="str">
        <f t="shared" ca="1" si="59"/>
        <v>__</v>
      </c>
      <c r="CF547" s="21" t="str">
        <f ca="1">IFERROR(VLOOKUP(AX547,OFFSET(abbreviation[],0,ColumnLanguage),ColumnAbbreviation,FALSE),"")</f>
        <v/>
      </c>
      <c r="CG547" s="21" t="str">
        <f ca="1">IFERROR(VLOOKUP(AZ547,OFFSET(abbreviation[],0,ColumnLanguage),ColumnAbbreviation,FALSE),"")</f>
        <v/>
      </c>
      <c r="CH547" s="21" t="str">
        <f ca="1">IFERROR(VLOOKUP(BB547,OFFSET(abbreviation[],0,ColumnLanguage),ColumnAbbreviation,FALSE),"")</f>
        <v/>
      </c>
      <c r="CI547" s="21" t="str">
        <f ca="1">IFERROR(VLOOKUP(BD547,OFFSET(abbreviation[],0,ColumnLanguage),ColumnAbbreviation,FALSE),"")</f>
        <v/>
      </c>
      <c r="CJ547" s="21" t="str">
        <f ca="1">IFERROR(VLOOKUP(BF547,OFFSET(abbreviation[],0,ColumnLanguage),ColumnAbbreviation,FALSE),"")</f>
        <v/>
      </c>
      <c r="CK547" s="21" t="str">
        <f t="shared" ca="1" si="60"/>
        <v/>
      </c>
      <c r="CL547" s="21" t="str">
        <f t="shared" si="61"/>
        <v/>
      </c>
      <c r="CM547" s="52"/>
      <c r="CN547" s="57" t="str">
        <f t="shared" si="62"/>
        <v/>
      </c>
    </row>
    <row r="548" spans="14:92" x14ac:dyDescent="0.25">
      <c r="N548" s="58"/>
      <c r="P548" s="60"/>
      <c r="Q548" s="13"/>
      <c r="V548" s="60"/>
      <c r="X548" s="61"/>
      <c r="AB548" s="60"/>
      <c r="AN548" s="54"/>
      <c r="AS548" s="15"/>
      <c r="BH548" s="52"/>
      <c r="BI548" s="21" t="str">
        <f ca="1">IFERROR(VLOOKUP(C548,OFFSET(abbreviation[],0,ColumnLanguage),ColumnAbbreviation,FALSE),"")</f>
        <v/>
      </c>
      <c r="BJ548" s="21" t="str">
        <f ca="1">IFERROR(VLOOKUP(E548,OFFSET(abbreviation[],0,ColumnLanguage),ColumnAbbreviation,FALSE),"")</f>
        <v/>
      </c>
      <c r="BK548" s="21" t="str">
        <f ca="1">IFERROR(VLOOKUP(G548,OFFSET(abbreviation[],0,ColumnLanguage),ColumnAbbreviation,FALSE),"")</f>
        <v/>
      </c>
      <c r="BL548" s="21" t="str">
        <f ca="1">IFERROR(VLOOKUP(I548,OFFSET(abbreviation[],0,ColumnLanguage),ColumnAbbreviation,FALSE),"")</f>
        <v/>
      </c>
      <c r="BM548" s="21" t="str">
        <f ca="1">IFERROR(VLOOKUP(K548,OFFSET(abbreviation[],0,ColumnLanguage),ColumnAbbreviation,FALSE),"")</f>
        <v/>
      </c>
      <c r="BN548" s="21" t="str">
        <f t="shared" ca="1" si="56"/>
        <v/>
      </c>
      <c r="BO548" s="21" t="str">
        <f ca="1">IFERROR(VLOOKUP(N548,OFFSET(abbreviation[],0,ColumnLanguage),ColumnAbbreviation,FALSE),"")</f>
        <v/>
      </c>
      <c r="BP548" s="21" t="str">
        <f ca="1">IFERROR(VLOOKUP(P548,OFFSET(abbreviation[],0,ColumnLanguage),ColumnAbbreviation,FALSE),"")</f>
        <v/>
      </c>
      <c r="BQ548" s="21" t="str">
        <f ca="1">IFERROR(VLOOKUP(T548,OFFSET(abbreviation[],0,ColumnLanguage),ColumnAbbreviation,FALSE),"")</f>
        <v/>
      </c>
      <c r="BR548" s="21" t="str">
        <f ca="1">IFERROR(VLOOKUP(V548,OFFSET(abbreviation[],0,ColumnLanguage),ColumnAbbreviation,FALSE),"")</f>
        <v/>
      </c>
      <c r="BS548" s="21" t="str">
        <f ca="1">IFERROR(VLOOKUP(Z548,OFFSET(abbreviation[],0,ColumnLanguage),ColumnAbbreviation,FALSE),"")</f>
        <v/>
      </c>
      <c r="BT548" s="21" t="str">
        <f ca="1">IFERROR(VLOOKUP(AB548,OFFSET(abbreviation[],0,ColumnLanguage),ColumnAbbreviation,FALSE),"")</f>
        <v/>
      </c>
      <c r="BU548" s="21" t="str">
        <f t="shared" ca="1" si="57"/>
        <v>__</v>
      </c>
      <c r="BV548" s="21" t="str">
        <f ca="1">IFERROR(VLOOKUP(AF548,OFFSET(abbreviation[],0,ColumnLanguage),ColumnAbbreviation,FALSE),"")</f>
        <v/>
      </c>
      <c r="BW548" s="21" t="str">
        <f ca="1">IFERROR(VLOOKUP(AH548,OFFSET(abbreviation[],0,ColumnLanguage),ColumnAbbreviation,FALSE),"")</f>
        <v/>
      </c>
      <c r="BX548" s="21" t="str">
        <f ca="1">IFERROR(VLOOKUP(AJ548,OFFSET(abbreviation[],0,ColumnLanguage),ColumnAbbreviation,FALSE),"")</f>
        <v/>
      </c>
      <c r="BY548" s="21" t="str">
        <f ca="1">IFERROR(VLOOKUP(AL548,OFFSET(abbreviation[],0,ColumnLanguage),ColumnAbbreviation,FALSE),"")</f>
        <v/>
      </c>
      <c r="BZ548" s="21" t="str">
        <f t="shared" ca="1" si="58"/>
        <v>_</v>
      </c>
      <c r="CA548" s="21" t="str">
        <f ca="1">IFERROR(VLOOKUP(AP548,OFFSET(abbreviation[],0,ColumnLanguage),ColumnAbbreviation,FALSE),"")</f>
        <v/>
      </c>
      <c r="CB548" s="21" t="str">
        <f ca="1">IFERROR(VLOOKUP(AR548,OFFSET(abbreviation[],0,ColumnLanguage),ColumnAbbreviation,FALSE),"")</f>
        <v/>
      </c>
      <c r="CC548" s="21" t="str">
        <f ca="1">IFERROR(VLOOKUP(AT548,OFFSET(abbreviation[],0,ColumnLanguage),ColumnAbbreviation,FALSE),"")</f>
        <v/>
      </c>
      <c r="CD548" s="21" t="str">
        <f ca="1">IFERROR(VLOOKUP(AV548,OFFSET(abbreviation[],0,ColumnLanguage),ColumnAbbreviation,FALSE),"")</f>
        <v/>
      </c>
      <c r="CE548" s="21" t="str">
        <f t="shared" ca="1" si="59"/>
        <v>__</v>
      </c>
      <c r="CF548" s="21" t="str">
        <f ca="1">IFERROR(VLOOKUP(AX548,OFFSET(abbreviation[],0,ColumnLanguage),ColumnAbbreviation,FALSE),"")</f>
        <v/>
      </c>
      <c r="CG548" s="21" t="str">
        <f ca="1">IFERROR(VLOOKUP(AZ548,OFFSET(abbreviation[],0,ColumnLanguage),ColumnAbbreviation,FALSE),"")</f>
        <v/>
      </c>
      <c r="CH548" s="21" t="str">
        <f ca="1">IFERROR(VLOOKUP(BB548,OFFSET(abbreviation[],0,ColumnLanguage),ColumnAbbreviation,FALSE),"")</f>
        <v/>
      </c>
      <c r="CI548" s="21" t="str">
        <f ca="1">IFERROR(VLOOKUP(BD548,OFFSET(abbreviation[],0,ColumnLanguage),ColumnAbbreviation,FALSE),"")</f>
        <v/>
      </c>
      <c r="CJ548" s="21" t="str">
        <f ca="1">IFERROR(VLOOKUP(BF548,OFFSET(abbreviation[],0,ColumnLanguage),ColumnAbbreviation,FALSE),"")</f>
        <v/>
      </c>
      <c r="CK548" s="21" t="str">
        <f t="shared" ca="1" si="60"/>
        <v/>
      </c>
      <c r="CL548" s="21" t="str">
        <f t="shared" si="61"/>
        <v/>
      </c>
      <c r="CM548" s="52"/>
      <c r="CN548" s="57" t="str">
        <f t="shared" si="62"/>
        <v/>
      </c>
    </row>
    <row r="549" spans="14:92" x14ac:dyDescent="0.25">
      <c r="N549" s="58"/>
      <c r="P549" s="60"/>
      <c r="Q549" s="13"/>
      <c r="V549" s="60"/>
      <c r="X549" s="61"/>
      <c r="AB549" s="60"/>
      <c r="AN549" s="54"/>
      <c r="AS549" s="15"/>
      <c r="BH549" s="52"/>
      <c r="BI549" s="21" t="str">
        <f ca="1">IFERROR(VLOOKUP(C549,OFFSET(abbreviation[],0,ColumnLanguage),ColumnAbbreviation,FALSE),"")</f>
        <v/>
      </c>
      <c r="BJ549" s="21" t="str">
        <f ca="1">IFERROR(VLOOKUP(E549,OFFSET(abbreviation[],0,ColumnLanguage),ColumnAbbreviation,FALSE),"")</f>
        <v/>
      </c>
      <c r="BK549" s="21" t="str">
        <f ca="1">IFERROR(VLOOKUP(G549,OFFSET(abbreviation[],0,ColumnLanguage),ColumnAbbreviation,FALSE),"")</f>
        <v/>
      </c>
      <c r="BL549" s="21" t="str">
        <f ca="1">IFERROR(VLOOKUP(I549,OFFSET(abbreviation[],0,ColumnLanguage),ColumnAbbreviation,FALSE),"")</f>
        <v/>
      </c>
      <c r="BM549" s="21" t="str">
        <f ca="1">IFERROR(VLOOKUP(K549,OFFSET(abbreviation[],0,ColumnLanguage),ColumnAbbreviation,FALSE),"")</f>
        <v/>
      </c>
      <c r="BN549" s="21" t="str">
        <f t="shared" ca="1" si="56"/>
        <v/>
      </c>
      <c r="BO549" s="21" t="str">
        <f ca="1">IFERROR(VLOOKUP(N549,OFFSET(abbreviation[],0,ColumnLanguage),ColumnAbbreviation,FALSE),"")</f>
        <v/>
      </c>
      <c r="BP549" s="21" t="str">
        <f ca="1">IFERROR(VLOOKUP(P549,OFFSET(abbreviation[],0,ColumnLanguage),ColumnAbbreviation,FALSE),"")</f>
        <v/>
      </c>
      <c r="BQ549" s="21" t="str">
        <f ca="1">IFERROR(VLOOKUP(T549,OFFSET(abbreviation[],0,ColumnLanguage),ColumnAbbreviation,FALSE),"")</f>
        <v/>
      </c>
      <c r="BR549" s="21" t="str">
        <f ca="1">IFERROR(VLOOKUP(V549,OFFSET(abbreviation[],0,ColumnLanguage),ColumnAbbreviation,FALSE),"")</f>
        <v/>
      </c>
      <c r="BS549" s="21" t="str">
        <f ca="1">IFERROR(VLOOKUP(Z549,OFFSET(abbreviation[],0,ColumnLanguage),ColumnAbbreviation,FALSE),"")</f>
        <v/>
      </c>
      <c r="BT549" s="21" t="str">
        <f ca="1">IFERROR(VLOOKUP(AB549,OFFSET(abbreviation[],0,ColumnLanguage),ColumnAbbreviation,FALSE),"")</f>
        <v/>
      </c>
      <c r="BU549" s="21" t="str">
        <f t="shared" ca="1" si="57"/>
        <v>__</v>
      </c>
      <c r="BV549" s="21" t="str">
        <f ca="1">IFERROR(VLOOKUP(AF549,OFFSET(abbreviation[],0,ColumnLanguage),ColumnAbbreviation,FALSE),"")</f>
        <v/>
      </c>
      <c r="BW549" s="21" t="str">
        <f ca="1">IFERROR(VLOOKUP(AH549,OFFSET(abbreviation[],0,ColumnLanguage),ColumnAbbreviation,FALSE),"")</f>
        <v/>
      </c>
      <c r="BX549" s="21" t="str">
        <f ca="1">IFERROR(VLOOKUP(AJ549,OFFSET(abbreviation[],0,ColumnLanguage),ColumnAbbreviation,FALSE),"")</f>
        <v/>
      </c>
      <c r="BY549" s="21" t="str">
        <f ca="1">IFERROR(VLOOKUP(AL549,OFFSET(abbreviation[],0,ColumnLanguage),ColumnAbbreviation,FALSE),"")</f>
        <v/>
      </c>
      <c r="BZ549" s="21" t="str">
        <f t="shared" ca="1" si="58"/>
        <v>_</v>
      </c>
      <c r="CA549" s="21" t="str">
        <f ca="1">IFERROR(VLOOKUP(AP549,OFFSET(abbreviation[],0,ColumnLanguage),ColumnAbbreviation,FALSE),"")</f>
        <v/>
      </c>
      <c r="CB549" s="21" t="str">
        <f ca="1">IFERROR(VLOOKUP(AR549,OFFSET(abbreviation[],0,ColumnLanguage),ColumnAbbreviation,FALSE),"")</f>
        <v/>
      </c>
      <c r="CC549" s="21" t="str">
        <f ca="1">IFERROR(VLOOKUP(AT549,OFFSET(abbreviation[],0,ColumnLanguage),ColumnAbbreviation,FALSE),"")</f>
        <v/>
      </c>
      <c r="CD549" s="21" t="str">
        <f ca="1">IFERROR(VLOOKUP(AV549,OFFSET(abbreviation[],0,ColumnLanguage),ColumnAbbreviation,FALSE),"")</f>
        <v/>
      </c>
      <c r="CE549" s="21" t="str">
        <f t="shared" ca="1" si="59"/>
        <v>__</v>
      </c>
      <c r="CF549" s="21" t="str">
        <f ca="1">IFERROR(VLOOKUP(AX549,OFFSET(abbreviation[],0,ColumnLanguage),ColumnAbbreviation,FALSE),"")</f>
        <v/>
      </c>
      <c r="CG549" s="21" t="str">
        <f ca="1">IFERROR(VLOOKUP(AZ549,OFFSET(abbreviation[],0,ColumnLanguage),ColumnAbbreviation,FALSE),"")</f>
        <v/>
      </c>
      <c r="CH549" s="21" t="str">
        <f ca="1">IFERROR(VLOOKUP(BB549,OFFSET(abbreviation[],0,ColumnLanguage),ColumnAbbreviation,FALSE),"")</f>
        <v/>
      </c>
      <c r="CI549" s="21" t="str">
        <f ca="1">IFERROR(VLOOKUP(BD549,OFFSET(abbreviation[],0,ColumnLanguage),ColumnAbbreviation,FALSE),"")</f>
        <v/>
      </c>
      <c r="CJ549" s="21" t="str">
        <f ca="1">IFERROR(VLOOKUP(BF549,OFFSET(abbreviation[],0,ColumnLanguage),ColumnAbbreviation,FALSE),"")</f>
        <v/>
      </c>
      <c r="CK549" s="21" t="str">
        <f t="shared" ca="1" si="60"/>
        <v/>
      </c>
      <c r="CL549" s="21" t="str">
        <f t="shared" si="61"/>
        <v/>
      </c>
      <c r="CM549" s="52"/>
      <c r="CN549" s="57" t="str">
        <f t="shared" si="62"/>
        <v/>
      </c>
    </row>
    <row r="550" spans="14:92" x14ac:dyDescent="0.25">
      <c r="N550" s="58"/>
      <c r="P550" s="60"/>
      <c r="Q550" s="13"/>
      <c r="V550" s="60"/>
      <c r="X550" s="61"/>
      <c r="AB550" s="60"/>
      <c r="AN550" s="54"/>
      <c r="AS550" s="15"/>
      <c r="BH550" s="52"/>
      <c r="BI550" s="21" t="str">
        <f ca="1">IFERROR(VLOOKUP(C550,OFFSET(abbreviation[],0,ColumnLanguage),ColumnAbbreviation,FALSE),"")</f>
        <v/>
      </c>
      <c r="BJ550" s="21" t="str">
        <f ca="1">IFERROR(VLOOKUP(E550,OFFSET(abbreviation[],0,ColumnLanguage),ColumnAbbreviation,FALSE),"")</f>
        <v/>
      </c>
      <c r="BK550" s="21" t="str">
        <f ca="1">IFERROR(VLOOKUP(G550,OFFSET(abbreviation[],0,ColumnLanguage),ColumnAbbreviation,FALSE),"")</f>
        <v/>
      </c>
      <c r="BL550" s="21" t="str">
        <f ca="1">IFERROR(VLOOKUP(I550,OFFSET(abbreviation[],0,ColumnLanguage),ColumnAbbreviation,FALSE),"")</f>
        <v/>
      </c>
      <c r="BM550" s="21" t="str">
        <f ca="1">IFERROR(VLOOKUP(K550,OFFSET(abbreviation[],0,ColumnLanguage),ColumnAbbreviation,FALSE),"")</f>
        <v/>
      </c>
      <c r="BN550" s="21" t="str">
        <f t="shared" ca="1" si="56"/>
        <v/>
      </c>
      <c r="BO550" s="21" t="str">
        <f ca="1">IFERROR(VLOOKUP(N550,OFFSET(abbreviation[],0,ColumnLanguage),ColumnAbbreviation,FALSE),"")</f>
        <v/>
      </c>
      <c r="BP550" s="21" t="str">
        <f ca="1">IFERROR(VLOOKUP(P550,OFFSET(abbreviation[],0,ColumnLanguage),ColumnAbbreviation,FALSE),"")</f>
        <v/>
      </c>
      <c r="BQ550" s="21" t="str">
        <f ca="1">IFERROR(VLOOKUP(T550,OFFSET(abbreviation[],0,ColumnLanguage),ColumnAbbreviation,FALSE),"")</f>
        <v/>
      </c>
      <c r="BR550" s="21" t="str">
        <f ca="1">IFERROR(VLOOKUP(V550,OFFSET(abbreviation[],0,ColumnLanguage),ColumnAbbreviation,FALSE),"")</f>
        <v/>
      </c>
      <c r="BS550" s="21" t="str">
        <f ca="1">IFERROR(VLOOKUP(Z550,OFFSET(abbreviation[],0,ColumnLanguage),ColumnAbbreviation,FALSE),"")</f>
        <v/>
      </c>
      <c r="BT550" s="21" t="str">
        <f ca="1">IFERROR(VLOOKUP(AB550,OFFSET(abbreviation[],0,ColumnLanguage),ColumnAbbreviation,FALSE),"")</f>
        <v/>
      </c>
      <c r="BU550" s="21" t="str">
        <f t="shared" ca="1" si="57"/>
        <v>__</v>
      </c>
      <c r="BV550" s="21" t="str">
        <f ca="1">IFERROR(VLOOKUP(AF550,OFFSET(abbreviation[],0,ColumnLanguage),ColumnAbbreviation,FALSE),"")</f>
        <v/>
      </c>
      <c r="BW550" s="21" t="str">
        <f ca="1">IFERROR(VLOOKUP(AH550,OFFSET(abbreviation[],0,ColumnLanguage),ColumnAbbreviation,FALSE),"")</f>
        <v/>
      </c>
      <c r="BX550" s="21" t="str">
        <f ca="1">IFERROR(VLOOKUP(AJ550,OFFSET(abbreviation[],0,ColumnLanguage),ColumnAbbreviation,FALSE),"")</f>
        <v/>
      </c>
      <c r="BY550" s="21" t="str">
        <f ca="1">IFERROR(VLOOKUP(AL550,OFFSET(abbreviation[],0,ColumnLanguage),ColumnAbbreviation,FALSE),"")</f>
        <v/>
      </c>
      <c r="BZ550" s="21" t="str">
        <f t="shared" ca="1" si="58"/>
        <v>_</v>
      </c>
      <c r="CA550" s="21" t="str">
        <f ca="1">IFERROR(VLOOKUP(AP550,OFFSET(abbreviation[],0,ColumnLanguage),ColumnAbbreviation,FALSE),"")</f>
        <v/>
      </c>
      <c r="CB550" s="21" t="str">
        <f ca="1">IFERROR(VLOOKUP(AR550,OFFSET(abbreviation[],0,ColumnLanguage),ColumnAbbreviation,FALSE),"")</f>
        <v/>
      </c>
      <c r="CC550" s="21" t="str">
        <f ca="1">IFERROR(VLOOKUP(AT550,OFFSET(abbreviation[],0,ColumnLanguage),ColumnAbbreviation,FALSE),"")</f>
        <v/>
      </c>
      <c r="CD550" s="21" t="str">
        <f ca="1">IFERROR(VLOOKUP(AV550,OFFSET(abbreviation[],0,ColumnLanguage),ColumnAbbreviation,FALSE),"")</f>
        <v/>
      </c>
      <c r="CE550" s="21" t="str">
        <f t="shared" ca="1" si="59"/>
        <v>__</v>
      </c>
      <c r="CF550" s="21" t="str">
        <f ca="1">IFERROR(VLOOKUP(AX550,OFFSET(abbreviation[],0,ColumnLanguage),ColumnAbbreviation,FALSE),"")</f>
        <v/>
      </c>
      <c r="CG550" s="21" t="str">
        <f ca="1">IFERROR(VLOOKUP(AZ550,OFFSET(abbreviation[],0,ColumnLanguage),ColumnAbbreviation,FALSE),"")</f>
        <v/>
      </c>
      <c r="CH550" s="21" t="str">
        <f ca="1">IFERROR(VLOOKUP(BB550,OFFSET(abbreviation[],0,ColumnLanguage),ColumnAbbreviation,FALSE),"")</f>
        <v/>
      </c>
      <c r="CI550" s="21" t="str">
        <f ca="1">IFERROR(VLOOKUP(BD550,OFFSET(abbreviation[],0,ColumnLanguage),ColumnAbbreviation,FALSE),"")</f>
        <v/>
      </c>
      <c r="CJ550" s="21" t="str">
        <f ca="1">IFERROR(VLOOKUP(BF550,OFFSET(abbreviation[],0,ColumnLanguage),ColumnAbbreviation,FALSE),"")</f>
        <v/>
      </c>
      <c r="CK550" s="21" t="str">
        <f t="shared" ca="1" si="60"/>
        <v/>
      </c>
      <c r="CL550" s="21" t="str">
        <f t="shared" si="61"/>
        <v/>
      </c>
      <c r="CM550" s="52"/>
      <c r="CN550" s="57" t="str">
        <f t="shared" si="62"/>
        <v/>
      </c>
    </row>
    <row r="551" spans="14:92" x14ac:dyDescent="0.25">
      <c r="N551" s="58"/>
      <c r="P551" s="60"/>
      <c r="Q551" s="13"/>
      <c r="V551" s="60"/>
      <c r="X551" s="61"/>
      <c r="AB551" s="60"/>
      <c r="AN551" s="54"/>
      <c r="AS551" s="15"/>
      <c r="BH551" s="52"/>
      <c r="BI551" s="21" t="str">
        <f ca="1">IFERROR(VLOOKUP(C551,OFFSET(abbreviation[],0,ColumnLanguage),ColumnAbbreviation,FALSE),"")</f>
        <v/>
      </c>
      <c r="BJ551" s="21" t="str">
        <f ca="1">IFERROR(VLOOKUP(E551,OFFSET(abbreviation[],0,ColumnLanguage),ColumnAbbreviation,FALSE),"")</f>
        <v/>
      </c>
      <c r="BK551" s="21" t="str">
        <f ca="1">IFERROR(VLOOKUP(G551,OFFSET(abbreviation[],0,ColumnLanguage),ColumnAbbreviation,FALSE),"")</f>
        <v/>
      </c>
      <c r="BL551" s="21" t="str">
        <f ca="1">IFERROR(VLOOKUP(I551,OFFSET(abbreviation[],0,ColumnLanguage),ColumnAbbreviation,FALSE),"")</f>
        <v/>
      </c>
      <c r="BM551" s="21" t="str">
        <f ca="1">IFERROR(VLOOKUP(K551,OFFSET(abbreviation[],0,ColumnLanguage),ColumnAbbreviation,FALSE),"")</f>
        <v/>
      </c>
      <c r="BN551" s="21" t="str">
        <f t="shared" ca="1" si="56"/>
        <v/>
      </c>
      <c r="BO551" s="21" t="str">
        <f ca="1">IFERROR(VLOOKUP(N551,OFFSET(abbreviation[],0,ColumnLanguage),ColumnAbbreviation,FALSE),"")</f>
        <v/>
      </c>
      <c r="BP551" s="21" t="str">
        <f ca="1">IFERROR(VLOOKUP(P551,OFFSET(abbreviation[],0,ColumnLanguage),ColumnAbbreviation,FALSE),"")</f>
        <v/>
      </c>
      <c r="BQ551" s="21" t="str">
        <f ca="1">IFERROR(VLOOKUP(T551,OFFSET(abbreviation[],0,ColumnLanguage),ColumnAbbreviation,FALSE),"")</f>
        <v/>
      </c>
      <c r="BR551" s="21" t="str">
        <f ca="1">IFERROR(VLOOKUP(V551,OFFSET(abbreviation[],0,ColumnLanguage),ColumnAbbreviation,FALSE),"")</f>
        <v/>
      </c>
      <c r="BS551" s="21" t="str">
        <f ca="1">IFERROR(VLOOKUP(Z551,OFFSET(abbreviation[],0,ColumnLanguage),ColumnAbbreviation,FALSE),"")</f>
        <v/>
      </c>
      <c r="BT551" s="21" t="str">
        <f ca="1">IFERROR(VLOOKUP(AB551,OFFSET(abbreviation[],0,ColumnLanguage),ColumnAbbreviation,FALSE),"")</f>
        <v/>
      </c>
      <c r="BU551" s="21" t="str">
        <f t="shared" ca="1" si="57"/>
        <v>__</v>
      </c>
      <c r="BV551" s="21" t="str">
        <f ca="1">IFERROR(VLOOKUP(AF551,OFFSET(abbreviation[],0,ColumnLanguage),ColumnAbbreviation,FALSE),"")</f>
        <v/>
      </c>
      <c r="BW551" s="21" t="str">
        <f ca="1">IFERROR(VLOOKUP(AH551,OFFSET(abbreviation[],0,ColumnLanguage),ColumnAbbreviation,FALSE),"")</f>
        <v/>
      </c>
      <c r="BX551" s="21" t="str">
        <f ca="1">IFERROR(VLOOKUP(AJ551,OFFSET(abbreviation[],0,ColumnLanguage),ColumnAbbreviation,FALSE),"")</f>
        <v/>
      </c>
      <c r="BY551" s="21" t="str">
        <f ca="1">IFERROR(VLOOKUP(AL551,OFFSET(abbreviation[],0,ColumnLanguage),ColumnAbbreviation,FALSE),"")</f>
        <v/>
      </c>
      <c r="BZ551" s="21" t="str">
        <f t="shared" ca="1" si="58"/>
        <v>_</v>
      </c>
      <c r="CA551" s="21" t="str">
        <f ca="1">IFERROR(VLOOKUP(AP551,OFFSET(abbreviation[],0,ColumnLanguage),ColumnAbbreviation,FALSE),"")</f>
        <v/>
      </c>
      <c r="CB551" s="21" t="str">
        <f ca="1">IFERROR(VLOOKUP(AR551,OFFSET(abbreviation[],0,ColumnLanguage),ColumnAbbreviation,FALSE),"")</f>
        <v/>
      </c>
      <c r="CC551" s="21" t="str">
        <f ca="1">IFERROR(VLOOKUP(AT551,OFFSET(abbreviation[],0,ColumnLanguage),ColumnAbbreviation,FALSE),"")</f>
        <v/>
      </c>
      <c r="CD551" s="21" t="str">
        <f ca="1">IFERROR(VLOOKUP(AV551,OFFSET(abbreviation[],0,ColumnLanguage),ColumnAbbreviation,FALSE),"")</f>
        <v/>
      </c>
      <c r="CE551" s="21" t="str">
        <f t="shared" ca="1" si="59"/>
        <v>__</v>
      </c>
      <c r="CF551" s="21" t="str">
        <f ca="1">IFERROR(VLOOKUP(AX551,OFFSET(abbreviation[],0,ColumnLanguage),ColumnAbbreviation,FALSE),"")</f>
        <v/>
      </c>
      <c r="CG551" s="21" t="str">
        <f ca="1">IFERROR(VLOOKUP(AZ551,OFFSET(abbreviation[],0,ColumnLanguage),ColumnAbbreviation,FALSE),"")</f>
        <v/>
      </c>
      <c r="CH551" s="21" t="str">
        <f ca="1">IFERROR(VLOOKUP(BB551,OFFSET(abbreviation[],0,ColumnLanguage),ColumnAbbreviation,FALSE),"")</f>
        <v/>
      </c>
      <c r="CI551" s="21" t="str">
        <f ca="1">IFERROR(VLOOKUP(BD551,OFFSET(abbreviation[],0,ColumnLanguage),ColumnAbbreviation,FALSE),"")</f>
        <v/>
      </c>
      <c r="CJ551" s="21" t="str">
        <f ca="1">IFERROR(VLOOKUP(BF551,OFFSET(abbreviation[],0,ColumnLanguage),ColumnAbbreviation,FALSE),"")</f>
        <v/>
      </c>
      <c r="CK551" s="21" t="str">
        <f t="shared" ca="1" si="60"/>
        <v/>
      </c>
      <c r="CL551" s="21" t="str">
        <f t="shared" si="61"/>
        <v/>
      </c>
      <c r="CM551" s="52"/>
      <c r="CN551" s="57" t="str">
        <f t="shared" si="62"/>
        <v/>
      </c>
    </row>
    <row r="552" spans="14:92" x14ac:dyDescent="0.25">
      <c r="N552" s="58"/>
      <c r="P552" s="60"/>
      <c r="Q552" s="13"/>
      <c r="V552" s="60"/>
      <c r="X552" s="61"/>
      <c r="AB552" s="60"/>
      <c r="AN552" s="54"/>
      <c r="AS552" s="15"/>
      <c r="BH552" s="52"/>
      <c r="BI552" s="21" t="str">
        <f ca="1">IFERROR(VLOOKUP(C552,OFFSET(abbreviation[],0,ColumnLanguage),ColumnAbbreviation,FALSE),"")</f>
        <v/>
      </c>
      <c r="BJ552" s="21" t="str">
        <f ca="1">IFERROR(VLOOKUP(E552,OFFSET(abbreviation[],0,ColumnLanguage),ColumnAbbreviation,FALSE),"")</f>
        <v/>
      </c>
      <c r="BK552" s="21" t="str">
        <f ca="1">IFERROR(VLOOKUP(G552,OFFSET(abbreviation[],0,ColumnLanguage),ColumnAbbreviation,FALSE),"")</f>
        <v/>
      </c>
      <c r="BL552" s="21" t="str">
        <f ca="1">IFERROR(VLOOKUP(I552,OFFSET(abbreviation[],0,ColumnLanguage),ColumnAbbreviation,FALSE),"")</f>
        <v/>
      </c>
      <c r="BM552" s="21" t="str">
        <f ca="1">IFERROR(VLOOKUP(K552,OFFSET(abbreviation[],0,ColumnLanguage),ColumnAbbreviation,FALSE),"")</f>
        <v/>
      </c>
      <c r="BN552" s="21" t="str">
        <f t="shared" ca="1" si="56"/>
        <v/>
      </c>
      <c r="BO552" s="21" t="str">
        <f ca="1">IFERROR(VLOOKUP(N552,OFFSET(abbreviation[],0,ColumnLanguage),ColumnAbbreviation,FALSE),"")</f>
        <v/>
      </c>
      <c r="BP552" s="21" t="str">
        <f ca="1">IFERROR(VLOOKUP(P552,OFFSET(abbreviation[],0,ColumnLanguage),ColumnAbbreviation,FALSE),"")</f>
        <v/>
      </c>
      <c r="BQ552" s="21" t="str">
        <f ca="1">IFERROR(VLOOKUP(T552,OFFSET(abbreviation[],0,ColumnLanguage),ColumnAbbreviation,FALSE),"")</f>
        <v/>
      </c>
      <c r="BR552" s="21" t="str">
        <f ca="1">IFERROR(VLOOKUP(V552,OFFSET(abbreviation[],0,ColumnLanguage),ColumnAbbreviation,FALSE),"")</f>
        <v/>
      </c>
      <c r="BS552" s="21" t="str">
        <f ca="1">IFERROR(VLOOKUP(Z552,OFFSET(abbreviation[],0,ColumnLanguage),ColumnAbbreviation,FALSE),"")</f>
        <v/>
      </c>
      <c r="BT552" s="21" t="str">
        <f ca="1">IFERROR(VLOOKUP(AB552,OFFSET(abbreviation[],0,ColumnLanguage),ColumnAbbreviation,FALSE),"")</f>
        <v/>
      </c>
      <c r="BU552" s="21" t="str">
        <f t="shared" ca="1" si="57"/>
        <v>__</v>
      </c>
      <c r="BV552" s="21" t="str">
        <f ca="1">IFERROR(VLOOKUP(AF552,OFFSET(abbreviation[],0,ColumnLanguage),ColumnAbbreviation,FALSE),"")</f>
        <v/>
      </c>
      <c r="BW552" s="21" t="str">
        <f ca="1">IFERROR(VLOOKUP(AH552,OFFSET(abbreviation[],0,ColumnLanguage),ColumnAbbreviation,FALSE),"")</f>
        <v/>
      </c>
      <c r="BX552" s="21" t="str">
        <f ca="1">IFERROR(VLOOKUP(AJ552,OFFSET(abbreviation[],0,ColumnLanguage),ColumnAbbreviation,FALSE),"")</f>
        <v/>
      </c>
      <c r="BY552" s="21" t="str">
        <f ca="1">IFERROR(VLOOKUP(AL552,OFFSET(abbreviation[],0,ColumnLanguage),ColumnAbbreviation,FALSE),"")</f>
        <v/>
      </c>
      <c r="BZ552" s="21" t="str">
        <f t="shared" ca="1" si="58"/>
        <v>_</v>
      </c>
      <c r="CA552" s="21" t="str">
        <f ca="1">IFERROR(VLOOKUP(AP552,OFFSET(abbreviation[],0,ColumnLanguage),ColumnAbbreviation,FALSE),"")</f>
        <v/>
      </c>
      <c r="CB552" s="21" t="str">
        <f ca="1">IFERROR(VLOOKUP(AR552,OFFSET(abbreviation[],0,ColumnLanguage),ColumnAbbreviation,FALSE),"")</f>
        <v/>
      </c>
      <c r="CC552" s="21" t="str">
        <f ca="1">IFERROR(VLOOKUP(AT552,OFFSET(abbreviation[],0,ColumnLanguage),ColumnAbbreviation,FALSE),"")</f>
        <v/>
      </c>
      <c r="CD552" s="21" t="str">
        <f ca="1">IFERROR(VLOOKUP(AV552,OFFSET(abbreviation[],0,ColumnLanguage),ColumnAbbreviation,FALSE),"")</f>
        <v/>
      </c>
      <c r="CE552" s="21" t="str">
        <f t="shared" ca="1" si="59"/>
        <v>__</v>
      </c>
      <c r="CF552" s="21" t="str">
        <f ca="1">IFERROR(VLOOKUP(AX552,OFFSET(abbreviation[],0,ColumnLanguage),ColumnAbbreviation,FALSE),"")</f>
        <v/>
      </c>
      <c r="CG552" s="21" t="str">
        <f ca="1">IFERROR(VLOOKUP(AZ552,OFFSET(abbreviation[],0,ColumnLanguage),ColumnAbbreviation,FALSE),"")</f>
        <v/>
      </c>
      <c r="CH552" s="21" t="str">
        <f ca="1">IFERROR(VLOOKUP(BB552,OFFSET(abbreviation[],0,ColumnLanguage),ColumnAbbreviation,FALSE),"")</f>
        <v/>
      </c>
      <c r="CI552" s="21" t="str">
        <f ca="1">IFERROR(VLOOKUP(BD552,OFFSET(abbreviation[],0,ColumnLanguage),ColumnAbbreviation,FALSE),"")</f>
        <v/>
      </c>
      <c r="CJ552" s="21" t="str">
        <f ca="1">IFERROR(VLOOKUP(BF552,OFFSET(abbreviation[],0,ColumnLanguage),ColumnAbbreviation,FALSE),"")</f>
        <v/>
      </c>
      <c r="CK552" s="21" t="str">
        <f t="shared" ca="1" si="60"/>
        <v/>
      </c>
      <c r="CL552" s="21" t="str">
        <f t="shared" si="61"/>
        <v/>
      </c>
      <c r="CM552" s="52"/>
      <c r="CN552" s="57" t="str">
        <f t="shared" si="62"/>
        <v/>
      </c>
    </row>
    <row r="553" spans="14:92" x14ac:dyDescent="0.25">
      <c r="N553" s="58"/>
      <c r="P553" s="60"/>
      <c r="Q553" s="13"/>
      <c r="V553" s="60"/>
      <c r="X553" s="61"/>
      <c r="AB553" s="60"/>
      <c r="AN553" s="54"/>
      <c r="AS553" s="15"/>
      <c r="BH553" s="52"/>
      <c r="BI553" s="21" t="str">
        <f ca="1">IFERROR(VLOOKUP(C553,OFFSET(abbreviation[],0,ColumnLanguage),ColumnAbbreviation,FALSE),"")</f>
        <v/>
      </c>
      <c r="BJ553" s="21" t="str">
        <f ca="1">IFERROR(VLOOKUP(E553,OFFSET(abbreviation[],0,ColumnLanguage),ColumnAbbreviation,FALSE),"")</f>
        <v/>
      </c>
      <c r="BK553" s="21" t="str">
        <f ca="1">IFERROR(VLOOKUP(G553,OFFSET(abbreviation[],0,ColumnLanguage),ColumnAbbreviation,FALSE),"")</f>
        <v/>
      </c>
      <c r="BL553" s="21" t="str">
        <f ca="1">IFERROR(VLOOKUP(I553,OFFSET(abbreviation[],0,ColumnLanguage),ColumnAbbreviation,FALSE),"")</f>
        <v/>
      </c>
      <c r="BM553" s="21" t="str">
        <f ca="1">IFERROR(VLOOKUP(K553,OFFSET(abbreviation[],0,ColumnLanguage),ColumnAbbreviation,FALSE),"")</f>
        <v/>
      </c>
      <c r="BN553" s="21" t="str">
        <f t="shared" ca="1" si="56"/>
        <v/>
      </c>
      <c r="BO553" s="21" t="str">
        <f ca="1">IFERROR(VLOOKUP(N553,OFFSET(abbreviation[],0,ColumnLanguage),ColumnAbbreviation,FALSE),"")</f>
        <v/>
      </c>
      <c r="BP553" s="21" t="str">
        <f ca="1">IFERROR(VLOOKUP(P553,OFFSET(abbreviation[],0,ColumnLanguage),ColumnAbbreviation,FALSE),"")</f>
        <v/>
      </c>
      <c r="BQ553" s="21" t="str">
        <f ca="1">IFERROR(VLOOKUP(T553,OFFSET(abbreviation[],0,ColumnLanguage),ColumnAbbreviation,FALSE),"")</f>
        <v/>
      </c>
      <c r="BR553" s="21" t="str">
        <f ca="1">IFERROR(VLOOKUP(V553,OFFSET(abbreviation[],0,ColumnLanguage),ColumnAbbreviation,FALSE),"")</f>
        <v/>
      </c>
      <c r="BS553" s="21" t="str">
        <f ca="1">IFERROR(VLOOKUP(Z553,OFFSET(abbreviation[],0,ColumnLanguage),ColumnAbbreviation,FALSE),"")</f>
        <v/>
      </c>
      <c r="BT553" s="21" t="str">
        <f ca="1">IFERROR(VLOOKUP(AB553,OFFSET(abbreviation[],0,ColumnLanguage),ColumnAbbreviation,FALSE),"")</f>
        <v/>
      </c>
      <c r="BU553" s="21" t="str">
        <f t="shared" ca="1" si="57"/>
        <v>__</v>
      </c>
      <c r="BV553" s="21" t="str">
        <f ca="1">IFERROR(VLOOKUP(AF553,OFFSET(abbreviation[],0,ColumnLanguage),ColumnAbbreviation,FALSE),"")</f>
        <v/>
      </c>
      <c r="BW553" s="21" t="str">
        <f ca="1">IFERROR(VLOOKUP(AH553,OFFSET(abbreviation[],0,ColumnLanguage),ColumnAbbreviation,FALSE),"")</f>
        <v/>
      </c>
      <c r="BX553" s="21" t="str">
        <f ca="1">IFERROR(VLOOKUP(AJ553,OFFSET(abbreviation[],0,ColumnLanguage),ColumnAbbreviation,FALSE),"")</f>
        <v/>
      </c>
      <c r="BY553" s="21" t="str">
        <f ca="1">IFERROR(VLOOKUP(AL553,OFFSET(abbreviation[],0,ColumnLanguage),ColumnAbbreviation,FALSE),"")</f>
        <v/>
      </c>
      <c r="BZ553" s="21" t="str">
        <f t="shared" ca="1" si="58"/>
        <v>_</v>
      </c>
      <c r="CA553" s="21" t="str">
        <f ca="1">IFERROR(VLOOKUP(AP553,OFFSET(abbreviation[],0,ColumnLanguage),ColumnAbbreviation,FALSE),"")</f>
        <v/>
      </c>
      <c r="CB553" s="21" t="str">
        <f ca="1">IFERROR(VLOOKUP(AR553,OFFSET(abbreviation[],0,ColumnLanguage),ColumnAbbreviation,FALSE),"")</f>
        <v/>
      </c>
      <c r="CC553" s="21" t="str">
        <f ca="1">IFERROR(VLOOKUP(AT553,OFFSET(abbreviation[],0,ColumnLanguage),ColumnAbbreviation,FALSE),"")</f>
        <v/>
      </c>
      <c r="CD553" s="21" t="str">
        <f ca="1">IFERROR(VLOOKUP(AV553,OFFSET(abbreviation[],0,ColumnLanguage),ColumnAbbreviation,FALSE),"")</f>
        <v/>
      </c>
      <c r="CE553" s="21" t="str">
        <f t="shared" ca="1" si="59"/>
        <v>__</v>
      </c>
      <c r="CF553" s="21" t="str">
        <f ca="1">IFERROR(VLOOKUP(AX553,OFFSET(abbreviation[],0,ColumnLanguage),ColumnAbbreviation,FALSE),"")</f>
        <v/>
      </c>
      <c r="CG553" s="21" t="str">
        <f ca="1">IFERROR(VLOOKUP(AZ553,OFFSET(abbreviation[],0,ColumnLanguage),ColumnAbbreviation,FALSE),"")</f>
        <v/>
      </c>
      <c r="CH553" s="21" t="str">
        <f ca="1">IFERROR(VLOOKUP(BB553,OFFSET(abbreviation[],0,ColumnLanguage),ColumnAbbreviation,FALSE),"")</f>
        <v/>
      </c>
      <c r="CI553" s="21" t="str">
        <f ca="1">IFERROR(VLOOKUP(BD553,OFFSET(abbreviation[],0,ColumnLanguage),ColumnAbbreviation,FALSE),"")</f>
        <v/>
      </c>
      <c r="CJ553" s="21" t="str">
        <f ca="1">IFERROR(VLOOKUP(BF553,OFFSET(abbreviation[],0,ColumnLanguage),ColumnAbbreviation,FALSE),"")</f>
        <v/>
      </c>
      <c r="CK553" s="21" t="str">
        <f t="shared" ca="1" si="60"/>
        <v/>
      </c>
      <c r="CL553" s="21" t="str">
        <f t="shared" si="61"/>
        <v/>
      </c>
      <c r="CM553" s="52"/>
      <c r="CN553" s="57" t="str">
        <f t="shared" si="62"/>
        <v/>
      </c>
    </row>
    <row r="554" spans="14:92" x14ac:dyDescent="0.25">
      <c r="N554" s="58"/>
      <c r="P554" s="60"/>
      <c r="Q554" s="13"/>
      <c r="V554" s="60"/>
      <c r="X554" s="61"/>
      <c r="AB554" s="60"/>
      <c r="AN554" s="54"/>
      <c r="AS554" s="15"/>
      <c r="BH554" s="52"/>
      <c r="BI554" s="21" t="str">
        <f ca="1">IFERROR(VLOOKUP(C554,OFFSET(abbreviation[],0,ColumnLanguage),ColumnAbbreviation,FALSE),"")</f>
        <v/>
      </c>
      <c r="BJ554" s="21" t="str">
        <f ca="1">IFERROR(VLOOKUP(E554,OFFSET(abbreviation[],0,ColumnLanguage),ColumnAbbreviation,FALSE),"")</f>
        <v/>
      </c>
      <c r="BK554" s="21" t="str">
        <f ca="1">IFERROR(VLOOKUP(G554,OFFSET(abbreviation[],0,ColumnLanguage),ColumnAbbreviation,FALSE),"")</f>
        <v/>
      </c>
      <c r="BL554" s="21" t="str">
        <f ca="1">IFERROR(VLOOKUP(I554,OFFSET(abbreviation[],0,ColumnLanguage),ColumnAbbreviation,FALSE),"")</f>
        <v/>
      </c>
      <c r="BM554" s="21" t="str">
        <f ca="1">IFERROR(VLOOKUP(K554,OFFSET(abbreviation[],0,ColumnLanguage),ColumnAbbreviation,FALSE),"")</f>
        <v/>
      </c>
      <c r="BN554" s="21" t="str">
        <f t="shared" ca="1" si="56"/>
        <v/>
      </c>
      <c r="BO554" s="21" t="str">
        <f ca="1">IFERROR(VLOOKUP(N554,OFFSET(abbreviation[],0,ColumnLanguage),ColumnAbbreviation,FALSE),"")</f>
        <v/>
      </c>
      <c r="BP554" s="21" t="str">
        <f ca="1">IFERROR(VLOOKUP(P554,OFFSET(abbreviation[],0,ColumnLanguage),ColumnAbbreviation,FALSE),"")</f>
        <v/>
      </c>
      <c r="BQ554" s="21" t="str">
        <f ca="1">IFERROR(VLOOKUP(T554,OFFSET(abbreviation[],0,ColumnLanguage),ColumnAbbreviation,FALSE),"")</f>
        <v/>
      </c>
      <c r="BR554" s="21" t="str">
        <f ca="1">IFERROR(VLOOKUP(V554,OFFSET(abbreviation[],0,ColumnLanguage),ColumnAbbreviation,FALSE),"")</f>
        <v/>
      </c>
      <c r="BS554" s="21" t="str">
        <f ca="1">IFERROR(VLOOKUP(Z554,OFFSET(abbreviation[],0,ColumnLanguage),ColumnAbbreviation,FALSE),"")</f>
        <v/>
      </c>
      <c r="BT554" s="21" t="str">
        <f ca="1">IFERROR(VLOOKUP(AB554,OFFSET(abbreviation[],0,ColumnLanguage),ColumnAbbreviation,FALSE),"")</f>
        <v/>
      </c>
      <c r="BU554" s="21" t="str">
        <f t="shared" ca="1" si="57"/>
        <v>__</v>
      </c>
      <c r="BV554" s="21" t="str">
        <f ca="1">IFERROR(VLOOKUP(AF554,OFFSET(abbreviation[],0,ColumnLanguage),ColumnAbbreviation,FALSE),"")</f>
        <v/>
      </c>
      <c r="BW554" s="21" t="str">
        <f ca="1">IFERROR(VLOOKUP(AH554,OFFSET(abbreviation[],0,ColumnLanguage),ColumnAbbreviation,FALSE),"")</f>
        <v/>
      </c>
      <c r="BX554" s="21" t="str">
        <f ca="1">IFERROR(VLOOKUP(AJ554,OFFSET(abbreviation[],0,ColumnLanguage),ColumnAbbreviation,FALSE),"")</f>
        <v/>
      </c>
      <c r="BY554" s="21" t="str">
        <f ca="1">IFERROR(VLOOKUP(AL554,OFFSET(abbreviation[],0,ColumnLanguage),ColumnAbbreviation,FALSE),"")</f>
        <v/>
      </c>
      <c r="BZ554" s="21" t="str">
        <f t="shared" ca="1" si="58"/>
        <v>_</v>
      </c>
      <c r="CA554" s="21" t="str">
        <f ca="1">IFERROR(VLOOKUP(AP554,OFFSET(abbreviation[],0,ColumnLanguage),ColumnAbbreviation,FALSE),"")</f>
        <v/>
      </c>
      <c r="CB554" s="21" t="str">
        <f ca="1">IFERROR(VLOOKUP(AR554,OFFSET(abbreviation[],0,ColumnLanguage),ColumnAbbreviation,FALSE),"")</f>
        <v/>
      </c>
      <c r="CC554" s="21" t="str">
        <f ca="1">IFERROR(VLOOKUP(AT554,OFFSET(abbreviation[],0,ColumnLanguage),ColumnAbbreviation,FALSE),"")</f>
        <v/>
      </c>
      <c r="CD554" s="21" t="str">
        <f ca="1">IFERROR(VLOOKUP(AV554,OFFSET(abbreviation[],0,ColumnLanguage),ColumnAbbreviation,FALSE),"")</f>
        <v/>
      </c>
      <c r="CE554" s="21" t="str">
        <f t="shared" ca="1" si="59"/>
        <v>__</v>
      </c>
      <c r="CF554" s="21" t="str">
        <f ca="1">IFERROR(VLOOKUP(AX554,OFFSET(abbreviation[],0,ColumnLanguage),ColumnAbbreviation,FALSE),"")</f>
        <v/>
      </c>
      <c r="CG554" s="21" t="str">
        <f ca="1">IFERROR(VLOOKUP(AZ554,OFFSET(abbreviation[],0,ColumnLanguage),ColumnAbbreviation,FALSE),"")</f>
        <v/>
      </c>
      <c r="CH554" s="21" t="str">
        <f ca="1">IFERROR(VLOOKUP(BB554,OFFSET(abbreviation[],0,ColumnLanguage),ColumnAbbreviation,FALSE),"")</f>
        <v/>
      </c>
      <c r="CI554" s="21" t="str">
        <f ca="1">IFERROR(VLOOKUP(BD554,OFFSET(abbreviation[],0,ColumnLanguage),ColumnAbbreviation,FALSE),"")</f>
        <v/>
      </c>
      <c r="CJ554" s="21" t="str">
        <f ca="1">IFERROR(VLOOKUP(BF554,OFFSET(abbreviation[],0,ColumnLanguage),ColumnAbbreviation,FALSE),"")</f>
        <v/>
      </c>
      <c r="CK554" s="21" t="str">
        <f t="shared" ca="1" si="60"/>
        <v/>
      </c>
      <c r="CL554" s="21" t="str">
        <f t="shared" si="61"/>
        <v/>
      </c>
      <c r="CM554" s="52"/>
      <c r="CN554" s="57" t="str">
        <f t="shared" si="62"/>
        <v/>
      </c>
    </row>
    <row r="555" spans="14:92" x14ac:dyDescent="0.25">
      <c r="N555" s="58"/>
      <c r="P555" s="60"/>
      <c r="Q555" s="13"/>
      <c r="V555" s="60"/>
      <c r="X555" s="61"/>
      <c r="AB555" s="60"/>
      <c r="AN555" s="54"/>
      <c r="AS555" s="15"/>
      <c r="BH555" s="52"/>
      <c r="BI555" s="21" t="str">
        <f ca="1">IFERROR(VLOOKUP(C555,OFFSET(abbreviation[],0,ColumnLanguage),ColumnAbbreviation,FALSE),"")</f>
        <v/>
      </c>
      <c r="BJ555" s="21" t="str">
        <f ca="1">IFERROR(VLOOKUP(E555,OFFSET(abbreviation[],0,ColumnLanguage),ColumnAbbreviation,FALSE),"")</f>
        <v/>
      </c>
      <c r="BK555" s="21" t="str">
        <f ca="1">IFERROR(VLOOKUP(G555,OFFSET(abbreviation[],0,ColumnLanguage),ColumnAbbreviation,FALSE),"")</f>
        <v/>
      </c>
      <c r="BL555" s="21" t="str">
        <f ca="1">IFERROR(VLOOKUP(I555,OFFSET(abbreviation[],0,ColumnLanguage),ColumnAbbreviation,FALSE),"")</f>
        <v/>
      </c>
      <c r="BM555" s="21" t="str">
        <f ca="1">IFERROR(VLOOKUP(K555,OFFSET(abbreviation[],0,ColumnLanguage),ColumnAbbreviation,FALSE),"")</f>
        <v/>
      </c>
      <c r="BN555" s="21" t="str">
        <f t="shared" ca="1" si="56"/>
        <v/>
      </c>
      <c r="BO555" s="21" t="str">
        <f ca="1">IFERROR(VLOOKUP(N555,OFFSET(abbreviation[],0,ColumnLanguage),ColumnAbbreviation,FALSE),"")</f>
        <v/>
      </c>
      <c r="BP555" s="21" t="str">
        <f ca="1">IFERROR(VLOOKUP(P555,OFFSET(abbreviation[],0,ColumnLanguage),ColumnAbbreviation,FALSE),"")</f>
        <v/>
      </c>
      <c r="BQ555" s="21" t="str">
        <f ca="1">IFERROR(VLOOKUP(T555,OFFSET(abbreviation[],0,ColumnLanguage),ColumnAbbreviation,FALSE),"")</f>
        <v/>
      </c>
      <c r="BR555" s="21" t="str">
        <f ca="1">IFERROR(VLOOKUP(V555,OFFSET(abbreviation[],0,ColumnLanguage),ColumnAbbreviation,FALSE),"")</f>
        <v/>
      </c>
      <c r="BS555" s="21" t="str">
        <f ca="1">IFERROR(VLOOKUP(Z555,OFFSET(abbreviation[],0,ColumnLanguage),ColumnAbbreviation,FALSE),"")</f>
        <v/>
      </c>
      <c r="BT555" s="21" t="str">
        <f ca="1">IFERROR(VLOOKUP(AB555,OFFSET(abbreviation[],0,ColumnLanguage),ColumnAbbreviation,FALSE),"")</f>
        <v/>
      </c>
      <c r="BU555" s="21" t="str">
        <f t="shared" ca="1" si="57"/>
        <v>__</v>
      </c>
      <c r="BV555" s="21" t="str">
        <f ca="1">IFERROR(VLOOKUP(AF555,OFFSET(abbreviation[],0,ColumnLanguage),ColumnAbbreviation,FALSE),"")</f>
        <v/>
      </c>
      <c r="BW555" s="21" t="str">
        <f ca="1">IFERROR(VLOOKUP(AH555,OFFSET(abbreviation[],0,ColumnLanguage),ColumnAbbreviation,FALSE),"")</f>
        <v/>
      </c>
      <c r="BX555" s="21" t="str">
        <f ca="1">IFERROR(VLOOKUP(AJ555,OFFSET(abbreviation[],0,ColumnLanguage),ColumnAbbreviation,FALSE),"")</f>
        <v/>
      </c>
      <c r="BY555" s="21" t="str">
        <f ca="1">IFERROR(VLOOKUP(AL555,OFFSET(abbreviation[],0,ColumnLanguage),ColumnAbbreviation,FALSE),"")</f>
        <v/>
      </c>
      <c r="BZ555" s="21" t="str">
        <f t="shared" ca="1" si="58"/>
        <v>_</v>
      </c>
      <c r="CA555" s="21" t="str">
        <f ca="1">IFERROR(VLOOKUP(AP555,OFFSET(abbreviation[],0,ColumnLanguage),ColumnAbbreviation,FALSE),"")</f>
        <v/>
      </c>
      <c r="CB555" s="21" t="str">
        <f ca="1">IFERROR(VLOOKUP(AR555,OFFSET(abbreviation[],0,ColumnLanguage),ColumnAbbreviation,FALSE),"")</f>
        <v/>
      </c>
      <c r="CC555" s="21" t="str">
        <f ca="1">IFERROR(VLOOKUP(AT555,OFFSET(abbreviation[],0,ColumnLanguage),ColumnAbbreviation,FALSE),"")</f>
        <v/>
      </c>
      <c r="CD555" s="21" t="str">
        <f ca="1">IFERROR(VLOOKUP(AV555,OFFSET(abbreviation[],0,ColumnLanguage),ColumnAbbreviation,FALSE),"")</f>
        <v/>
      </c>
      <c r="CE555" s="21" t="str">
        <f t="shared" ca="1" si="59"/>
        <v>__</v>
      </c>
      <c r="CF555" s="21" t="str">
        <f ca="1">IFERROR(VLOOKUP(AX555,OFFSET(abbreviation[],0,ColumnLanguage),ColumnAbbreviation,FALSE),"")</f>
        <v/>
      </c>
      <c r="CG555" s="21" t="str">
        <f ca="1">IFERROR(VLOOKUP(AZ555,OFFSET(abbreviation[],0,ColumnLanguage),ColumnAbbreviation,FALSE),"")</f>
        <v/>
      </c>
      <c r="CH555" s="21" t="str">
        <f ca="1">IFERROR(VLOOKUP(BB555,OFFSET(abbreviation[],0,ColumnLanguage),ColumnAbbreviation,FALSE),"")</f>
        <v/>
      </c>
      <c r="CI555" s="21" t="str">
        <f ca="1">IFERROR(VLOOKUP(BD555,OFFSET(abbreviation[],0,ColumnLanguage),ColumnAbbreviation,FALSE),"")</f>
        <v/>
      </c>
      <c r="CJ555" s="21" t="str">
        <f ca="1">IFERROR(VLOOKUP(BF555,OFFSET(abbreviation[],0,ColumnLanguage),ColumnAbbreviation,FALSE),"")</f>
        <v/>
      </c>
      <c r="CK555" s="21" t="str">
        <f t="shared" ca="1" si="60"/>
        <v/>
      </c>
      <c r="CL555" s="21" t="str">
        <f t="shared" si="61"/>
        <v/>
      </c>
      <c r="CM555" s="52"/>
      <c r="CN555" s="57" t="str">
        <f t="shared" si="62"/>
        <v/>
      </c>
    </row>
    <row r="556" spans="14:92" x14ac:dyDescent="0.25">
      <c r="N556" s="58"/>
      <c r="P556" s="60"/>
      <c r="Q556" s="13"/>
      <c r="V556" s="60"/>
      <c r="X556" s="61"/>
      <c r="AB556" s="60"/>
      <c r="AN556" s="54"/>
      <c r="AS556" s="15"/>
      <c r="BH556" s="52"/>
      <c r="BI556" s="21" t="str">
        <f ca="1">IFERROR(VLOOKUP(C556,OFFSET(abbreviation[],0,ColumnLanguage),ColumnAbbreviation,FALSE),"")</f>
        <v/>
      </c>
      <c r="BJ556" s="21" t="str">
        <f ca="1">IFERROR(VLOOKUP(E556,OFFSET(abbreviation[],0,ColumnLanguage),ColumnAbbreviation,FALSE),"")</f>
        <v/>
      </c>
      <c r="BK556" s="21" t="str">
        <f ca="1">IFERROR(VLOOKUP(G556,OFFSET(abbreviation[],0,ColumnLanguage),ColumnAbbreviation,FALSE),"")</f>
        <v/>
      </c>
      <c r="BL556" s="21" t="str">
        <f ca="1">IFERROR(VLOOKUP(I556,OFFSET(abbreviation[],0,ColumnLanguage),ColumnAbbreviation,FALSE),"")</f>
        <v/>
      </c>
      <c r="BM556" s="21" t="str">
        <f ca="1">IFERROR(VLOOKUP(K556,OFFSET(abbreviation[],0,ColumnLanguage),ColumnAbbreviation,FALSE),"")</f>
        <v/>
      </c>
      <c r="BN556" s="21" t="str">
        <f t="shared" ca="1" si="56"/>
        <v/>
      </c>
      <c r="BO556" s="21" t="str">
        <f ca="1">IFERROR(VLOOKUP(N556,OFFSET(abbreviation[],0,ColumnLanguage),ColumnAbbreviation,FALSE),"")</f>
        <v/>
      </c>
      <c r="BP556" s="21" t="str">
        <f ca="1">IFERROR(VLOOKUP(P556,OFFSET(abbreviation[],0,ColumnLanguage),ColumnAbbreviation,FALSE),"")</f>
        <v/>
      </c>
      <c r="BQ556" s="21" t="str">
        <f ca="1">IFERROR(VLOOKUP(T556,OFFSET(abbreviation[],0,ColumnLanguage),ColumnAbbreviation,FALSE),"")</f>
        <v/>
      </c>
      <c r="BR556" s="21" t="str">
        <f ca="1">IFERROR(VLOOKUP(V556,OFFSET(abbreviation[],0,ColumnLanguage),ColumnAbbreviation,FALSE),"")</f>
        <v/>
      </c>
      <c r="BS556" s="21" t="str">
        <f ca="1">IFERROR(VLOOKUP(Z556,OFFSET(abbreviation[],0,ColumnLanguage),ColumnAbbreviation,FALSE),"")</f>
        <v/>
      </c>
      <c r="BT556" s="21" t="str">
        <f ca="1">IFERROR(VLOOKUP(AB556,OFFSET(abbreviation[],0,ColumnLanguage),ColumnAbbreviation,FALSE),"")</f>
        <v/>
      </c>
      <c r="BU556" s="21" t="str">
        <f t="shared" ca="1" si="57"/>
        <v>__</v>
      </c>
      <c r="BV556" s="21" t="str">
        <f ca="1">IFERROR(VLOOKUP(AF556,OFFSET(abbreviation[],0,ColumnLanguage),ColumnAbbreviation,FALSE),"")</f>
        <v/>
      </c>
      <c r="BW556" s="21" t="str">
        <f ca="1">IFERROR(VLOOKUP(AH556,OFFSET(abbreviation[],0,ColumnLanguage),ColumnAbbreviation,FALSE),"")</f>
        <v/>
      </c>
      <c r="BX556" s="21" t="str">
        <f ca="1">IFERROR(VLOOKUP(AJ556,OFFSET(abbreviation[],0,ColumnLanguage),ColumnAbbreviation,FALSE),"")</f>
        <v/>
      </c>
      <c r="BY556" s="21" t="str">
        <f ca="1">IFERROR(VLOOKUP(AL556,OFFSET(abbreviation[],0,ColumnLanguage),ColumnAbbreviation,FALSE),"")</f>
        <v/>
      </c>
      <c r="BZ556" s="21" t="str">
        <f t="shared" ca="1" si="58"/>
        <v>_</v>
      </c>
      <c r="CA556" s="21" t="str">
        <f ca="1">IFERROR(VLOOKUP(AP556,OFFSET(abbreviation[],0,ColumnLanguage),ColumnAbbreviation,FALSE),"")</f>
        <v/>
      </c>
      <c r="CB556" s="21" t="str">
        <f ca="1">IFERROR(VLOOKUP(AR556,OFFSET(abbreviation[],0,ColumnLanguage),ColumnAbbreviation,FALSE),"")</f>
        <v/>
      </c>
      <c r="CC556" s="21" t="str">
        <f ca="1">IFERROR(VLOOKUP(AT556,OFFSET(abbreviation[],0,ColumnLanguage),ColumnAbbreviation,FALSE),"")</f>
        <v/>
      </c>
      <c r="CD556" s="21" t="str">
        <f ca="1">IFERROR(VLOOKUP(AV556,OFFSET(abbreviation[],0,ColumnLanguage),ColumnAbbreviation,FALSE),"")</f>
        <v/>
      </c>
      <c r="CE556" s="21" t="str">
        <f t="shared" ca="1" si="59"/>
        <v>__</v>
      </c>
      <c r="CF556" s="21" t="str">
        <f ca="1">IFERROR(VLOOKUP(AX556,OFFSET(abbreviation[],0,ColumnLanguage),ColumnAbbreviation,FALSE),"")</f>
        <v/>
      </c>
      <c r="CG556" s="21" t="str">
        <f ca="1">IFERROR(VLOOKUP(AZ556,OFFSET(abbreviation[],0,ColumnLanguage),ColumnAbbreviation,FALSE),"")</f>
        <v/>
      </c>
      <c r="CH556" s="21" t="str">
        <f ca="1">IFERROR(VLOOKUP(BB556,OFFSET(abbreviation[],0,ColumnLanguage),ColumnAbbreviation,FALSE),"")</f>
        <v/>
      </c>
      <c r="CI556" s="21" t="str">
        <f ca="1">IFERROR(VLOOKUP(BD556,OFFSET(abbreviation[],0,ColumnLanguage),ColumnAbbreviation,FALSE),"")</f>
        <v/>
      </c>
      <c r="CJ556" s="21" t="str">
        <f ca="1">IFERROR(VLOOKUP(BF556,OFFSET(abbreviation[],0,ColumnLanguage),ColumnAbbreviation,FALSE),"")</f>
        <v/>
      </c>
      <c r="CK556" s="21" t="str">
        <f t="shared" ca="1" si="60"/>
        <v/>
      </c>
      <c r="CL556" s="21" t="str">
        <f t="shared" si="61"/>
        <v/>
      </c>
      <c r="CM556" s="52"/>
      <c r="CN556" s="57" t="str">
        <f t="shared" si="62"/>
        <v/>
      </c>
    </row>
    <row r="557" spans="14:92" x14ac:dyDescent="0.25">
      <c r="N557" s="58"/>
      <c r="P557" s="60"/>
      <c r="Q557" s="13"/>
      <c r="V557" s="60"/>
      <c r="X557" s="61"/>
      <c r="AB557" s="60"/>
      <c r="AN557" s="54"/>
      <c r="AS557" s="15"/>
      <c r="BH557" s="52"/>
      <c r="BI557" s="21" t="str">
        <f ca="1">IFERROR(VLOOKUP(C557,OFFSET(abbreviation[],0,ColumnLanguage),ColumnAbbreviation,FALSE),"")</f>
        <v/>
      </c>
      <c r="BJ557" s="21" t="str">
        <f ca="1">IFERROR(VLOOKUP(E557,OFFSET(abbreviation[],0,ColumnLanguage),ColumnAbbreviation,FALSE),"")</f>
        <v/>
      </c>
      <c r="BK557" s="21" t="str">
        <f ca="1">IFERROR(VLOOKUP(G557,OFFSET(abbreviation[],0,ColumnLanguage),ColumnAbbreviation,FALSE),"")</f>
        <v/>
      </c>
      <c r="BL557" s="21" t="str">
        <f ca="1">IFERROR(VLOOKUP(I557,OFFSET(abbreviation[],0,ColumnLanguage),ColumnAbbreviation,FALSE),"")</f>
        <v/>
      </c>
      <c r="BM557" s="21" t="str">
        <f ca="1">IFERROR(VLOOKUP(K557,OFFSET(abbreviation[],0,ColumnLanguage),ColumnAbbreviation,FALSE),"")</f>
        <v/>
      </c>
      <c r="BN557" s="21" t="str">
        <f t="shared" ca="1" si="56"/>
        <v/>
      </c>
      <c r="BO557" s="21" t="str">
        <f ca="1">IFERROR(VLOOKUP(N557,OFFSET(abbreviation[],0,ColumnLanguage),ColumnAbbreviation,FALSE),"")</f>
        <v/>
      </c>
      <c r="BP557" s="21" t="str">
        <f ca="1">IFERROR(VLOOKUP(P557,OFFSET(abbreviation[],0,ColumnLanguage),ColumnAbbreviation,FALSE),"")</f>
        <v/>
      </c>
      <c r="BQ557" s="21" t="str">
        <f ca="1">IFERROR(VLOOKUP(T557,OFFSET(abbreviation[],0,ColumnLanguage),ColumnAbbreviation,FALSE),"")</f>
        <v/>
      </c>
      <c r="BR557" s="21" t="str">
        <f ca="1">IFERROR(VLOOKUP(V557,OFFSET(abbreviation[],0,ColumnLanguage),ColumnAbbreviation,FALSE),"")</f>
        <v/>
      </c>
      <c r="BS557" s="21" t="str">
        <f ca="1">IFERROR(VLOOKUP(Z557,OFFSET(abbreviation[],0,ColumnLanguage),ColumnAbbreviation,FALSE),"")</f>
        <v/>
      </c>
      <c r="BT557" s="21" t="str">
        <f ca="1">IFERROR(VLOOKUP(AB557,OFFSET(abbreviation[],0,ColumnLanguage),ColumnAbbreviation,FALSE),"")</f>
        <v/>
      </c>
      <c r="BU557" s="21" t="str">
        <f t="shared" ca="1" si="57"/>
        <v>__</v>
      </c>
      <c r="BV557" s="21" t="str">
        <f ca="1">IFERROR(VLOOKUP(AF557,OFFSET(abbreviation[],0,ColumnLanguage),ColumnAbbreviation,FALSE),"")</f>
        <v/>
      </c>
      <c r="BW557" s="21" t="str">
        <f ca="1">IFERROR(VLOOKUP(AH557,OFFSET(abbreviation[],0,ColumnLanguage),ColumnAbbreviation,FALSE),"")</f>
        <v/>
      </c>
      <c r="BX557" s="21" t="str">
        <f ca="1">IFERROR(VLOOKUP(AJ557,OFFSET(abbreviation[],0,ColumnLanguage),ColumnAbbreviation,FALSE),"")</f>
        <v/>
      </c>
      <c r="BY557" s="21" t="str">
        <f ca="1">IFERROR(VLOOKUP(AL557,OFFSET(abbreviation[],0,ColumnLanguage),ColumnAbbreviation,FALSE),"")</f>
        <v/>
      </c>
      <c r="BZ557" s="21" t="str">
        <f t="shared" ca="1" si="58"/>
        <v>_</v>
      </c>
      <c r="CA557" s="21" t="str">
        <f ca="1">IFERROR(VLOOKUP(AP557,OFFSET(abbreviation[],0,ColumnLanguage),ColumnAbbreviation,FALSE),"")</f>
        <v/>
      </c>
      <c r="CB557" s="21" t="str">
        <f ca="1">IFERROR(VLOOKUP(AR557,OFFSET(abbreviation[],0,ColumnLanguage),ColumnAbbreviation,FALSE),"")</f>
        <v/>
      </c>
      <c r="CC557" s="21" t="str">
        <f ca="1">IFERROR(VLOOKUP(AT557,OFFSET(abbreviation[],0,ColumnLanguage),ColumnAbbreviation,FALSE),"")</f>
        <v/>
      </c>
      <c r="CD557" s="21" t="str">
        <f ca="1">IFERROR(VLOOKUP(AV557,OFFSET(abbreviation[],0,ColumnLanguage),ColumnAbbreviation,FALSE),"")</f>
        <v/>
      </c>
      <c r="CE557" s="21" t="str">
        <f t="shared" ca="1" si="59"/>
        <v>__</v>
      </c>
      <c r="CF557" s="21" t="str">
        <f ca="1">IFERROR(VLOOKUP(AX557,OFFSET(abbreviation[],0,ColumnLanguage),ColumnAbbreviation,FALSE),"")</f>
        <v/>
      </c>
      <c r="CG557" s="21" t="str">
        <f ca="1">IFERROR(VLOOKUP(AZ557,OFFSET(abbreviation[],0,ColumnLanguage),ColumnAbbreviation,FALSE),"")</f>
        <v/>
      </c>
      <c r="CH557" s="21" t="str">
        <f ca="1">IFERROR(VLOOKUP(BB557,OFFSET(abbreviation[],0,ColumnLanguage),ColumnAbbreviation,FALSE),"")</f>
        <v/>
      </c>
      <c r="CI557" s="21" t="str">
        <f ca="1">IFERROR(VLOOKUP(BD557,OFFSET(abbreviation[],0,ColumnLanguage),ColumnAbbreviation,FALSE),"")</f>
        <v/>
      </c>
      <c r="CJ557" s="21" t="str">
        <f ca="1">IFERROR(VLOOKUP(BF557,OFFSET(abbreviation[],0,ColumnLanguage),ColumnAbbreviation,FALSE),"")</f>
        <v/>
      </c>
      <c r="CK557" s="21" t="str">
        <f t="shared" ca="1" si="60"/>
        <v/>
      </c>
      <c r="CL557" s="21" t="str">
        <f t="shared" si="61"/>
        <v/>
      </c>
      <c r="CM557" s="52"/>
      <c r="CN557" s="57" t="str">
        <f t="shared" si="62"/>
        <v/>
      </c>
    </row>
    <row r="558" spans="14:92" x14ac:dyDescent="0.25">
      <c r="N558" s="58"/>
      <c r="P558" s="60"/>
      <c r="Q558" s="13"/>
      <c r="V558" s="60"/>
      <c r="X558" s="61"/>
      <c r="AB558" s="60"/>
      <c r="AN558" s="54"/>
      <c r="AS558" s="15"/>
      <c r="BH558" s="52"/>
      <c r="BI558" s="21" t="str">
        <f ca="1">IFERROR(VLOOKUP(C558,OFFSET(abbreviation[],0,ColumnLanguage),ColumnAbbreviation,FALSE),"")</f>
        <v/>
      </c>
      <c r="BJ558" s="21" t="str">
        <f ca="1">IFERROR(VLOOKUP(E558,OFFSET(abbreviation[],0,ColumnLanguage),ColumnAbbreviation,FALSE),"")</f>
        <v/>
      </c>
      <c r="BK558" s="21" t="str">
        <f ca="1">IFERROR(VLOOKUP(G558,OFFSET(abbreviation[],0,ColumnLanguage),ColumnAbbreviation,FALSE),"")</f>
        <v/>
      </c>
      <c r="BL558" s="21" t="str">
        <f ca="1">IFERROR(VLOOKUP(I558,OFFSET(abbreviation[],0,ColumnLanguage),ColumnAbbreviation,FALSE),"")</f>
        <v/>
      </c>
      <c r="BM558" s="21" t="str">
        <f ca="1">IFERROR(VLOOKUP(K558,OFFSET(abbreviation[],0,ColumnLanguage),ColumnAbbreviation,FALSE),"")</f>
        <v/>
      </c>
      <c r="BN558" s="21" t="str">
        <f t="shared" ca="1" si="56"/>
        <v/>
      </c>
      <c r="BO558" s="21" t="str">
        <f ca="1">IFERROR(VLOOKUP(N558,OFFSET(abbreviation[],0,ColumnLanguage),ColumnAbbreviation,FALSE),"")</f>
        <v/>
      </c>
      <c r="BP558" s="21" t="str">
        <f ca="1">IFERROR(VLOOKUP(P558,OFFSET(abbreviation[],0,ColumnLanguage),ColumnAbbreviation,FALSE),"")</f>
        <v/>
      </c>
      <c r="BQ558" s="21" t="str">
        <f ca="1">IFERROR(VLOOKUP(T558,OFFSET(abbreviation[],0,ColumnLanguage),ColumnAbbreviation,FALSE),"")</f>
        <v/>
      </c>
      <c r="BR558" s="21" t="str">
        <f ca="1">IFERROR(VLOOKUP(V558,OFFSET(abbreviation[],0,ColumnLanguage),ColumnAbbreviation,FALSE),"")</f>
        <v/>
      </c>
      <c r="BS558" s="21" t="str">
        <f ca="1">IFERROR(VLOOKUP(Z558,OFFSET(abbreviation[],0,ColumnLanguage),ColumnAbbreviation,FALSE),"")</f>
        <v/>
      </c>
      <c r="BT558" s="21" t="str">
        <f ca="1">IFERROR(VLOOKUP(AB558,OFFSET(abbreviation[],0,ColumnLanguage),ColumnAbbreviation,FALSE),"")</f>
        <v/>
      </c>
      <c r="BU558" s="21" t="str">
        <f t="shared" ca="1" si="57"/>
        <v>__</v>
      </c>
      <c r="BV558" s="21" t="str">
        <f ca="1">IFERROR(VLOOKUP(AF558,OFFSET(abbreviation[],0,ColumnLanguage),ColumnAbbreviation,FALSE),"")</f>
        <v/>
      </c>
      <c r="BW558" s="21" t="str">
        <f ca="1">IFERROR(VLOOKUP(AH558,OFFSET(abbreviation[],0,ColumnLanguage),ColumnAbbreviation,FALSE),"")</f>
        <v/>
      </c>
      <c r="BX558" s="21" t="str">
        <f ca="1">IFERROR(VLOOKUP(AJ558,OFFSET(abbreviation[],0,ColumnLanguage),ColumnAbbreviation,FALSE),"")</f>
        <v/>
      </c>
      <c r="BY558" s="21" t="str">
        <f ca="1">IFERROR(VLOOKUP(AL558,OFFSET(abbreviation[],0,ColumnLanguage),ColumnAbbreviation,FALSE),"")</f>
        <v/>
      </c>
      <c r="BZ558" s="21" t="str">
        <f t="shared" ca="1" si="58"/>
        <v>_</v>
      </c>
      <c r="CA558" s="21" t="str">
        <f ca="1">IFERROR(VLOOKUP(AP558,OFFSET(abbreviation[],0,ColumnLanguage),ColumnAbbreviation,FALSE),"")</f>
        <v/>
      </c>
      <c r="CB558" s="21" t="str">
        <f ca="1">IFERROR(VLOOKUP(AR558,OFFSET(abbreviation[],0,ColumnLanguage),ColumnAbbreviation,FALSE),"")</f>
        <v/>
      </c>
      <c r="CC558" s="21" t="str">
        <f ca="1">IFERROR(VLOOKUP(AT558,OFFSET(abbreviation[],0,ColumnLanguage),ColumnAbbreviation,FALSE),"")</f>
        <v/>
      </c>
      <c r="CD558" s="21" t="str">
        <f ca="1">IFERROR(VLOOKUP(AV558,OFFSET(abbreviation[],0,ColumnLanguage),ColumnAbbreviation,FALSE),"")</f>
        <v/>
      </c>
      <c r="CE558" s="21" t="str">
        <f t="shared" ca="1" si="59"/>
        <v>__</v>
      </c>
      <c r="CF558" s="21" t="str">
        <f ca="1">IFERROR(VLOOKUP(AX558,OFFSET(abbreviation[],0,ColumnLanguage),ColumnAbbreviation,FALSE),"")</f>
        <v/>
      </c>
      <c r="CG558" s="21" t="str">
        <f ca="1">IFERROR(VLOOKUP(AZ558,OFFSET(abbreviation[],0,ColumnLanguage),ColumnAbbreviation,FALSE),"")</f>
        <v/>
      </c>
      <c r="CH558" s="21" t="str">
        <f ca="1">IFERROR(VLOOKUP(BB558,OFFSET(abbreviation[],0,ColumnLanguage),ColumnAbbreviation,FALSE),"")</f>
        <v/>
      </c>
      <c r="CI558" s="21" t="str">
        <f ca="1">IFERROR(VLOOKUP(BD558,OFFSET(abbreviation[],0,ColumnLanguage),ColumnAbbreviation,FALSE),"")</f>
        <v/>
      </c>
      <c r="CJ558" s="21" t="str">
        <f ca="1">IFERROR(VLOOKUP(BF558,OFFSET(abbreviation[],0,ColumnLanguage),ColumnAbbreviation,FALSE),"")</f>
        <v/>
      </c>
      <c r="CK558" s="21" t="str">
        <f t="shared" ca="1" si="60"/>
        <v/>
      </c>
      <c r="CL558" s="21" t="str">
        <f t="shared" si="61"/>
        <v/>
      </c>
      <c r="CM558" s="52"/>
      <c r="CN558" s="57" t="str">
        <f t="shared" si="62"/>
        <v/>
      </c>
    </row>
    <row r="559" spans="14:92" x14ac:dyDescent="0.25">
      <c r="N559" s="58"/>
      <c r="P559" s="60"/>
      <c r="Q559" s="13"/>
      <c r="V559" s="60"/>
      <c r="X559" s="61"/>
      <c r="AB559" s="60"/>
      <c r="AN559" s="54"/>
      <c r="AS559" s="15"/>
      <c r="BH559" s="52"/>
      <c r="BI559" s="21" t="str">
        <f ca="1">IFERROR(VLOOKUP(C559,OFFSET(abbreviation[],0,ColumnLanguage),ColumnAbbreviation,FALSE),"")</f>
        <v/>
      </c>
      <c r="BJ559" s="21" t="str">
        <f ca="1">IFERROR(VLOOKUP(E559,OFFSET(abbreviation[],0,ColumnLanguage),ColumnAbbreviation,FALSE),"")</f>
        <v/>
      </c>
      <c r="BK559" s="21" t="str">
        <f ca="1">IFERROR(VLOOKUP(G559,OFFSET(abbreviation[],0,ColumnLanguage),ColumnAbbreviation,FALSE),"")</f>
        <v/>
      </c>
      <c r="BL559" s="21" t="str">
        <f ca="1">IFERROR(VLOOKUP(I559,OFFSET(abbreviation[],0,ColumnLanguage),ColumnAbbreviation,FALSE),"")</f>
        <v/>
      </c>
      <c r="BM559" s="21" t="str">
        <f ca="1">IFERROR(VLOOKUP(K559,OFFSET(abbreviation[],0,ColumnLanguage),ColumnAbbreviation,FALSE),"")</f>
        <v/>
      </c>
      <c r="BN559" s="21" t="str">
        <f t="shared" ca="1" si="56"/>
        <v/>
      </c>
      <c r="BO559" s="21" t="str">
        <f ca="1">IFERROR(VLOOKUP(N559,OFFSET(abbreviation[],0,ColumnLanguage),ColumnAbbreviation,FALSE),"")</f>
        <v/>
      </c>
      <c r="BP559" s="21" t="str">
        <f ca="1">IFERROR(VLOOKUP(P559,OFFSET(abbreviation[],0,ColumnLanguage),ColumnAbbreviation,FALSE),"")</f>
        <v/>
      </c>
      <c r="BQ559" s="21" t="str">
        <f ca="1">IFERROR(VLOOKUP(T559,OFFSET(abbreviation[],0,ColumnLanguage),ColumnAbbreviation,FALSE),"")</f>
        <v/>
      </c>
      <c r="BR559" s="21" t="str">
        <f ca="1">IFERROR(VLOOKUP(V559,OFFSET(abbreviation[],0,ColumnLanguage),ColumnAbbreviation,FALSE),"")</f>
        <v/>
      </c>
      <c r="BS559" s="21" t="str">
        <f ca="1">IFERROR(VLOOKUP(Z559,OFFSET(abbreviation[],0,ColumnLanguage),ColumnAbbreviation,FALSE),"")</f>
        <v/>
      </c>
      <c r="BT559" s="21" t="str">
        <f ca="1">IFERROR(VLOOKUP(AB559,OFFSET(abbreviation[],0,ColumnLanguage),ColumnAbbreviation,FALSE),"")</f>
        <v/>
      </c>
      <c r="BU559" s="21" t="str">
        <f t="shared" ca="1" si="57"/>
        <v>__</v>
      </c>
      <c r="BV559" s="21" t="str">
        <f ca="1">IFERROR(VLOOKUP(AF559,OFFSET(abbreviation[],0,ColumnLanguage),ColumnAbbreviation,FALSE),"")</f>
        <v/>
      </c>
      <c r="BW559" s="21" t="str">
        <f ca="1">IFERROR(VLOOKUP(AH559,OFFSET(abbreviation[],0,ColumnLanguage),ColumnAbbreviation,FALSE),"")</f>
        <v/>
      </c>
      <c r="BX559" s="21" t="str">
        <f ca="1">IFERROR(VLOOKUP(AJ559,OFFSET(abbreviation[],0,ColumnLanguage),ColumnAbbreviation,FALSE),"")</f>
        <v/>
      </c>
      <c r="BY559" s="21" t="str">
        <f ca="1">IFERROR(VLOOKUP(AL559,OFFSET(abbreviation[],0,ColumnLanguage),ColumnAbbreviation,FALSE),"")</f>
        <v/>
      </c>
      <c r="BZ559" s="21" t="str">
        <f t="shared" ca="1" si="58"/>
        <v>_</v>
      </c>
      <c r="CA559" s="21" t="str">
        <f ca="1">IFERROR(VLOOKUP(AP559,OFFSET(abbreviation[],0,ColumnLanguage),ColumnAbbreviation,FALSE),"")</f>
        <v/>
      </c>
      <c r="CB559" s="21" t="str">
        <f ca="1">IFERROR(VLOOKUP(AR559,OFFSET(abbreviation[],0,ColumnLanguage),ColumnAbbreviation,FALSE),"")</f>
        <v/>
      </c>
      <c r="CC559" s="21" t="str">
        <f ca="1">IFERROR(VLOOKUP(AT559,OFFSET(abbreviation[],0,ColumnLanguage),ColumnAbbreviation,FALSE),"")</f>
        <v/>
      </c>
      <c r="CD559" s="21" t="str">
        <f ca="1">IFERROR(VLOOKUP(AV559,OFFSET(abbreviation[],0,ColumnLanguage),ColumnAbbreviation,FALSE),"")</f>
        <v/>
      </c>
      <c r="CE559" s="21" t="str">
        <f t="shared" ca="1" si="59"/>
        <v>__</v>
      </c>
      <c r="CF559" s="21" t="str">
        <f ca="1">IFERROR(VLOOKUP(AX559,OFFSET(abbreviation[],0,ColumnLanguage),ColumnAbbreviation,FALSE),"")</f>
        <v/>
      </c>
      <c r="CG559" s="21" t="str">
        <f ca="1">IFERROR(VLOOKUP(AZ559,OFFSET(abbreviation[],0,ColumnLanguage),ColumnAbbreviation,FALSE),"")</f>
        <v/>
      </c>
      <c r="CH559" s="21" t="str">
        <f ca="1">IFERROR(VLOOKUP(BB559,OFFSET(abbreviation[],0,ColumnLanguage),ColumnAbbreviation,FALSE),"")</f>
        <v/>
      </c>
      <c r="CI559" s="21" t="str">
        <f ca="1">IFERROR(VLOOKUP(BD559,OFFSET(abbreviation[],0,ColumnLanguage),ColumnAbbreviation,FALSE),"")</f>
        <v/>
      </c>
      <c r="CJ559" s="21" t="str">
        <f ca="1">IFERROR(VLOOKUP(BF559,OFFSET(abbreviation[],0,ColumnLanguage),ColumnAbbreviation,FALSE),"")</f>
        <v/>
      </c>
      <c r="CK559" s="21" t="str">
        <f t="shared" ca="1" si="60"/>
        <v/>
      </c>
      <c r="CL559" s="21" t="str">
        <f t="shared" si="61"/>
        <v/>
      </c>
      <c r="CM559" s="52"/>
      <c r="CN559" s="57" t="str">
        <f t="shared" si="62"/>
        <v/>
      </c>
    </row>
    <row r="560" spans="14:92" x14ac:dyDescent="0.25">
      <c r="N560" s="58"/>
      <c r="P560" s="60"/>
      <c r="Q560" s="13"/>
      <c r="V560" s="60"/>
      <c r="X560" s="61"/>
      <c r="AB560" s="60"/>
      <c r="AN560" s="54"/>
      <c r="AS560" s="15"/>
      <c r="BH560" s="52"/>
      <c r="BI560" s="21" t="str">
        <f ca="1">IFERROR(VLOOKUP(C560,OFFSET(abbreviation[],0,ColumnLanguage),ColumnAbbreviation,FALSE),"")</f>
        <v/>
      </c>
      <c r="BJ560" s="21" t="str">
        <f ca="1">IFERROR(VLOOKUP(E560,OFFSET(abbreviation[],0,ColumnLanguage),ColumnAbbreviation,FALSE),"")</f>
        <v/>
      </c>
      <c r="BK560" s="21" t="str">
        <f ca="1">IFERROR(VLOOKUP(G560,OFFSET(abbreviation[],0,ColumnLanguage),ColumnAbbreviation,FALSE),"")</f>
        <v/>
      </c>
      <c r="BL560" s="21" t="str">
        <f ca="1">IFERROR(VLOOKUP(I560,OFFSET(abbreviation[],0,ColumnLanguage),ColumnAbbreviation,FALSE),"")</f>
        <v/>
      </c>
      <c r="BM560" s="21" t="str">
        <f ca="1">IFERROR(VLOOKUP(K560,OFFSET(abbreviation[],0,ColumnLanguage),ColumnAbbreviation,FALSE),"")</f>
        <v/>
      </c>
      <c r="BN560" s="21" t="str">
        <f t="shared" ca="1" si="56"/>
        <v/>
      </c>
      <c r="BO560" s="21" t="str">
        <f ca="1">IFERROR(VLOOKUP(N560,OFFSET(abbreviation[],0,ColumnLanguage),ColumnAbbreviation,FALSE),"")</f>
        <v/>
      </c>
      <c r="BP560" s="21" t="str">
        <f ca="1">IFERROR(VLOOKUP(P560,OFFSET(abbreviation[],0,ColumnLanguage),ColumnAbbreviation,FALSE),"")</f>
        <v/>
      </c>
      <c r="BQ560" s="21" t="str">
        <f ca="1">IFERROR(VLOOKUP(T560,OFFSET(abbreviation[],0,ColumnLanguage),ColumnAbbreviation,FALSE),"")</f>
        <v/>
      </c>
      <c r="BR560" s="21" t="str">
        <f ca="1">IFERROR(VLOOKUP(V560,OFFSET(abbreviation[],0,ColumnLanguage),ColumnAbbreviation,FALSE),"")</f>
        <v/>
      </c>
      <c r="BS560" s="21" t="str">
        <f ca="1">IFERROR(VLOOKUP(Z560,OFFSET(abbreviation[],0,ColumnLanguage),ColumnAbbreviation,FALSE),"")</f>
        <v/>
      </c>
      <c r="BT560" s="21" t="str">
        <f ca="1">IFERROR(VLOOKUP(AB560,OFFSET(abbreviation[],0,ColumnLanguage),ColumnAbbreviation,FALSE),"")</f>
        <v/>
      </c>
      <c r="BU560" s="21" t="str">
        <f t="shared" ca="1" si="57"/>
        <v>__</v>
      </c>
      <c r="BV560" s="21" t="str">
        <f ca="1">IFERROR(VLOOKUP(AF560,OFFSET(abbreviation[],0,ColumnLanguage),ColumnAbbreviation,FALSE),"")</f>
        <v/>
      </c>
      <c r="BW560" s="21" t="str">
        <f ca="1">IFERROR(VLOOKUP(AH560,OFFSET(abbreviation[],0,ColumnLanguage),ColumnAbbreviation,FALSE),"")</f>
        <v/>
      </c>
      <c r="BX560" s="21" t="str">
        <f ca="1">IFERROR(VLOOKUP(AJ560,OFFSET(abbreviation[],0,ColumnLanguage),ColumnAbbreviation,FALSE),"")</f>
        <v/>
      </c>
      <c r="BY560" s="21" t="str">
        <f ca="1">IFERROR(VLOOKUP(AL560,OFFSET(abbreviation[],0,ColumnLanguage),ColumnAbbreviation,FALSE),"")</f>
        <v/>
      </c>
      <c r="BZ560" s="21" t="str">
        <f t="shared" ca="1" si="58"/>
        <v>_</v>
      </c>
      <c r="CA560" s="21" t="str">
        <f ca="1">IFERROR(VLOOKUP(AP560,OFFSET(abbreviation[],0,ColumnLanguage),ColumnAbbreviation,FALSE),"")</f>
        <v/>
      </c>
      <c r="CB560" s="21" t="str">
        <f ca="1">IFERROR(VLOOKUP(AR560,OFFSET(abbreviation[],0,ColumnLanguage),ColumnAbbreviation,FALSE),"")</f>
        <v/>
      </c>
      <c r="CC560" s="21" t="str">
        <f ca="1">IFERROR(VLOOKUP(AT560,OFFSET(abbreviation[],0,ColumnLanguage),ColumnAbbreviation,FALSE),"")</f>
        <v/>
      </c>
      <c r="CD560" s="21" t="str">
        <f ca="1">IFERROR(VLOOKUP(AV560,OFFSET(abbreviation[],0,ColumnLanguage),ColumnAbbreviation,FALSE),"")</f>
        <v/>
      </c>
      <c r="CE560" s="21" t="str">
        <f t="shared" ca="1" si="59"/>
        <v>__</v>
      </c>
      <c r="CF560" s="21" t="str">
        <f ca="1">IFERROR(VLOOKUP(AX560,OFFSET(abbreviation[],0,ColumnLanguage),ColumnAbbreviation,FALSE),"")</f>
        <v/>
      </c>
      <c r="CG560" s="21" t="str">
        <f ca="1">IFERROR(VLOOKUP(AZ560,OFFSET(abbreviation[],0,ColumnLanguage),ColumnAbbreviation,FALSE),"")</f>
        <v/>
      </c>
      <c r="CH560" s="21" t="str">
        <f ca="1">IFERROR(VLOOKUP(BB560,OFFSET(abbreviation[],0,ColumnLanguage),ColumnAbbreviation,FALSE),"")</f>
        <v/>
      </c>
      <c r="CI560" s="21" t="str">
        <f ca="1">IFERROR(VLOOKUP(BD560,OFFSET(abbreviation[],0,ColumnLanguage),ColumnAbbreviation,FALSE),"")</f>
        <v/>
      </c>
      <c r="CJ560" s="21" t="str">
        <f ca="1">IFERROR(VLOOKUP(BF560,OFFSET(abbreviation[],0,ColumnLanguage),ColumnAbbreviation,FALSE),"")</f>
        <v/>
      </c>
      <c r="CK560" s="21" t="str">
        <f t="shared" ca="1" si="60"/>
        <v/>
      </c>
      <c r="CL560" s="21" t="str">
        <f t="shared" si="61"/>
        <v/>
      </c>
      <c r="CM560" s="52"/>
      <c r="CN560" s="57" t="str">
        <f t="shared" si="62"/>
        <v/>
      </c>
    </row>
    <row r="561" spans="14:92" x14ac:dyDescent="0.25">
      <c r="N561" s="58"/>
      <c r="P561" s="60"/>
      <c r="Q561" s="13"/>
      <c r="V561" s="60"/>
      <c r="X561" s="61"/>
      <c r="AB561" s="60"/>
      <c r="AN561" s="54"/>
      <c r="AS561" s="15"/>
      <c r="BH561" s="52"/>
      <c r="BI561" s="21" t="str">
        <f ca="1">IFERROR(VLOOKUP(C561,OFFSET(abbreviation[],0,ColumnLanguage),ColumnAbbreviation,FALSE),"")</f>
        <v/>
      </c>
      <c r="BJ561" s="21" t="str">
        <f ca="1">IFERROR(VLOOKUP(E561,OFFSET(abbreviation[],0,ColumnLanguage),ColumnAbbreviation,FALSE),"")</f>
        <v/>
      </c>
      <c r="BK561" s="21" t="str">
        <f ca="1">IFERROR(VLOOKUP(G561,OFFSET(abbreviation[],0,ColumnLanguage),ColumnAbbreviation,FALSE),"")</f>
        <v/>
      </c>
      <c r="BL561" s="21" t="str">
        <f ca="1">IFERROR(VLOOKUP(I561,OFFSET(abbreviation[],0,ColumnLanguage),ColumnAbbreviation,FALSE),"")</f>
        <v/>
      </c>
      <c r="BM561" s="21" t="str">
        <f ca="1">IFERROR(VLOOKUP(K561,OFFSET(abbreviation[],0,ColumnLanguage),ColumnAbbreviation,FALSE),"")</f>
        <v/>
      </c>
      <c r="BN561" s="21" t="str">
        <f t="shared" ca="1" si="56"/>
        <v/>
      </c>
      <c r="BO561" s="21" t="str">
        <f ca="1">IFERROR(VLOOKUP(N561,OFFSET(abbreviation[],0,ColumnLanguage),ColumnAbbreviation,FALSE),"")</f>
        <v/>
      </c>
      <c r="BP561" s="21" t="str">
        <f ca="1">IFERROR(VLOOKUP(P561,OFFSET(abbreviation[],0,ColumnLanguage),ColumnAbbreviation,FALSE),"")</f>
        <v/>
      </c>
      <c r="BQ561" s="21" t="str">
        <f ca="1">IFERROR(VLOOKUP(T561,OFFSET(abbreviation[],0,ColumnLanguage),ColumnAbbreviation,FALSE),"")</f>
        <v/>
      </c>
      <c r="BR561" s="21" t="str">
        <f ca="1">IFERROR(VLOOKUP(V561,OFFSET(abbreviation[],0,ColumnLanguage),ColumnAbbreviation,FALSE),"")</f>
        <v/>
      </c>
      <c r="BS561" s="21" t="str">
        <f ca="1">IFERROR(VLOOKUP(Z561,OFFSET(abbreviation[],0,ColumnLanguage),ColumnAbbreviation,FALSE),"")</f>
        <v/>
      </c>
      <c r="BT561" s="21" t="str">
        <f ca="1">IFERROR(VLOOKUP(AB561,OFFSET(abbreviation[],0,ColumnLanguage),ColumnAbbreviation,FALSE),"")</f>
        <v/>
      </c>
      <c r="BU561" s="21" t="str">
        <f t="shared" ca="1" si="57"/>
        <v>__</v>
      </c>
      <c r="BV561" s="21" t="str">
        <f ca="1">IFERROR(VLOOKUP(AF561,OFFSET(abbreviation[],0,ColumnLanguage),ColumnAbbreviation,FALSE),"")</f>
        <v/>
      </c>
      <c r="BW561" s="21" t="str">
        <f ca="1">IFERROR(VLOOKUP(AH561,OFFSET(abbreviation[],0,ColumnLanguage),ColumnAbbreviation,FALSE),"")</f>
        <v/>
      </c>
      <c r="BX561" s="21" t="str">
        <f ca="1">IFERROR(VLOOKUP(AJ561,OFFSET(abbreviation[],0,ColumnLanguage),ColumnAbbreviation,FALSE),"")</f>
        <v/>
      </c>
      <c r="BY561" s="21" t="str">
        <f ca="1">IFERROR(VLOOKUP(AL561,OFFSET(abbreviation[],0,ColumnLanguage),ColumnAbbreviation,FALSE),"")</f>
        <v/>
      </c>
      <c r="BZ561" s="21" t="str">
        <f t="shared" ca="1" si="58"/>
        <v>_</v>
      </c>
      <c r="CA561" s="21" t="str">
        <f ca="1">IFERROR(VLOOKUP(AP561,OFFSET(abbreviation[],0,ColumnLanguage),ColumnAbbreviation,FALSE),"")</f>
        <v/>
      </c>
      <c r="CB561" s="21" t="str">
        <f ca="1">IFERROR(VLOOKUP(AR561,OFFSET(abbreviation[],0,ColumnLanguage),ColumnAbbreviation,FALSE),"")</f>
        <v/>
      </c>
      <c r="CC561" s="21" t="str">
        <f ca="1">IFERROR(VLOOKUP(AT561,OFFSET(abbreviation[],0,ColumnLanguage),ColumnAbbreviation,FALSE),"")</f>
        <v/>
      </c>
      <c r="CD561" s="21" t="str">
        <f ca="1">IFERROR(VLOOKUP(AV561,OFFSET(abbreviation[],0,ColumnLanguage),ColumnAbbreviation,FALSE),"")</f>
        <v/>
      </c>
      <c r="CE561" s="21" t="str">
        <f t="shared" ca="1" si="59"/>
        <v>__</v>
      </c>
      <c r="CF561" s="21" t="str">
        <f ca="1">IFERROR(VLOOKUP(AX561,OFFSET(abbreviation[],0,ColumnLanguage),ColumnAbbreviation,FALSE),"")</f>
        <v/>
      </c>
      <c r="CG561" s="21" t="str">
        <f ca="1">IFERROR(VLOOKUP(AZ561,OFFSET(abbreviation[],0,ColumnLanguage),ColumnAbbreviation,FALSE),"")</f>
        <v/>
      </c>
      <c r="CH561" s="21" t="str">
        <f ca="1">IFERROR(VLOOKUP(BB561,OFFSET(abbreviation[],0,ColumnLanguage),ColumnAbbreviation,FALSE),"")</f>
        <v/>
      </c>
      <c r="CI561" s="21" t="str">
        <f ca="1">IFERROR(VLOOKUP(BD561,OFFSET(abbreviation[],0,ColumnLanguage),ColumnAbbreviation,FALSE),"")</f>
        <v/>
      </c>
      <c r="CJ561" s="21" t="str">
        <f ca="1">IFERROR(VLOOKUP(BF561,OFFSET(abbreviation[],0,ColumnLanguage),ColumnAbbreviation,FALSE),"")</f>
        <v/>
      </c>
      <c r="CK561" s="21" t="str">
        <f t="shared" ca="1" si="60"/>
        <v/>
      </c>
      <c r="CL561" s="21" t="str">
        <f t="shared" si="61"/>
        <v/>
      </c>
      <c r="CM561" s="52"/>
      <c r="CN561" s="57" t="str">
        <f t="shared" si="62"/>
        <v/>
      </c>
    </row>
    <row r="562" spans="14:92" x14ac:dyDescent="0.25">
      <c r="N562" s="58"/>
      <c r="P562" s="60"/>
      <c r="Q562" s="13"/>
      <c r="V562" s="60"/>
      <c r="X562" s="61"/>
      <c r="AB562" s="60"/>
      <c r="AN562" s="54"/>
      <c r="AS562" s="15"/>
      <c r="BH562" s="52"/>
      <c r="BI562" s="21" t="str">
        <f ca="1">IFERROR(VLOOKUP(C562,OFFSET(abbreviation[],0,ColumnLanguage),ColumnAbbreviation,FALSE),"")</f>
        <v/>
      </c>
      <c r="BJ562" s="21" t="str">
        <f ca="1">IFERROR(VLOOKUP(E562,OFFSET(abbreviation[],0,ColumnLanguage),ColumnAbbreviation,FALSE),"")</f>
        <v/>
      </c>
      <c r="BK562" s="21" t="str">
        <f ca="1">IFERROR(VLOOKUP(G562,OFFSET(abbreviation[],0,ColumnLanguage),ColumnAbbreviation,FALSE),"")</f>
        <v/>
      </c>
      <c r="BL562" s="21" t="str">
        <f ca="1">IFERROR(VLOOKUP(I562,OFFSET(abbreviation[],0,ColumnLanguage),ColumnAbbreviation,FALSE),"")</f>
        <v/>
      </c>
      <c r="BM562" s="21" t="str">
        <f ca="1">IFERROR(VLOOKUP(K562,OFFSET(abbreviation[],0,ColumnLanguage),ColumnAbbreviation,FALSE),"")</f>
        <v/>
      </c>
      <c r="BN562" s="21" t="str">
        <f t="shared" ca="1" si="56"/>
        <v/>
      </c>
      <c r="BO562" s="21" t="str">
        <f ca="1">IFERROR(VLOOKUP(N562,OFFSET(abbreviation[],0,ColumnLanguage),ColumnAbbreviation,FALSE),"")</f>
        <v/>
      </c>
      <c r="BP562" s="21" t="str">
        <f ca="1">IFERROR(VLOOKUP(P562,OFFSET(abbreviation[],0,ColumnLanguage),ColumnAbbreviation,FALSE),"")</f>
        <v/>
      </c>
      <c r="BQ562" s="21" t="str">
        <f ca="1">IFERROR(VLOOKUP(T562,OFFSET(abbreviation[],0,ColumnLanguage),ColumnAbbreviation,FALSE),"")</f>
        <v/>
      </c>
      <c r="BR562" s="21" t="str">
        <f ca="1">IFERROR(VLOOKUP(V562,OFFSET(abbreviation[],0,ColumnLanguage),ColumnAbbreviation,FALSE),"")</f>
        <v/>
      </c>
      <c r="BS562" s="21" t="str">
        <f ca="1">IFERROR(VLOOKUP(Z562,OFFSET(abbreviation[],0,ColumnLanguage),ColumnAbbreviation,FALSE),"")</f>
        <v/>
      </c>
      <c r="BT562" s="21" t="str">
        <f ca="1">IFERROR(VLOOKUP(AB562,OFFSET(abbreviation[],0,ColumnLanguage),ColumnAbbreviation,FALSE),"")</f>
        <v/>
      </c>
      <c r="BU562" s="21" t="str">
        <f t="shared" ca="1" si="57"/>
        <v>__</v>
      </c>
      <c r="BV562" s="21" t="str">
        <f ca="1">IFERROR(VLOOKUP(AF562,OFFSET(abbreviation[],0,ColumnLanguage),ColumnAbbreviation,FALSE),"")</f>
        <v/>
      </c>
      <c r="BW562" s="21" t="str">
        <f ca="1">IFERROR(VLOOKUP(AH562,OFFSET(abbreviation[],0,ColumnLanguage),ColumnAbbreviation,FALSE),"")</f>
        <v/>
      </c>
      <c r="BX562" s="21" t="str">
        <f ca="1">IFERROR(VLOOKUP(AJ562,OFFSET(abbreviation[],0,ColumnLanguage),ColumnAbbreviation,FALSE),"")</f>
        <v/>
      </c>
      <c r="BY562" s="21" t="str">
        <f ca="1">IFERROR(VLOOKUP(AL562,OFFSET(abbreviation[],0,ColumnLanguage),ColumnAbbreviation,FALSE),"")</f>
        <v/>
      </c>
      <c r="BZ562" s="21" t="str">
        <f t="shared" ca="1" si="58"/>
        <v>_</v>
      </c>
      <c r="CA562" s="21" t="str">
        <f ca="1">IFERROR(VLOOKUP(AP562,OFFSET(abbreviation[],0,ColumnLanguage),ColumnAbbreviation,FALSE),"")</f>
        <v/>
      </c>
      <c r="CB562" s="21" t="str">
        <f ca="1">IFERROR(VLOOKUP(AR562,OFFSET(abbreviation[],0,ColumnLanguage),ColumnAbbreviation,FALSE),"")</f>
        <v/>
      </c>
      <c r="CC562" s="21" t="str">
        <f ca="1">IFERROR(VLOOKUP(AT562,OFFSET(abbreviation[],0,ColumnLanguage),ColumnAbbreviation,FALSE),"")</f>
        <v/>
      </c>
      <c r="CD562" s="21" t="str">
        <f ca="1">IFERROR(VLOOKUP(AV562,OFFSET(abbreviation[],0,ColumnLanguage),ColumnAbbreviation,FALSE),"")</f>
        <v/>
      </c>
      <c r="CE562" s="21" t="str">
        <f t="shared" ca="1" si="59"/>
        <v>__</v>
      </c>
      <c r="CF562" s="21" t="str">
        <f ca="1">IFERROR(VLOOKUP(AX562,OFFSET(abbreviation[],0,ColumnLanguage),ColumnAbbreviation,FALSE),"")</f>
        <v/>
      </c>
      <c r="CG562" s="21" t="str">
        <f ca="1">IFERROR(VLOOKUP(AZ562,OFFSET(abbreviation[],0,ColumnLanguage),ColumnAbbreviation,FALSE),"")</f>
        <v/>
      </c>
      <c r="CH562" s="21" t="str">
        <f ca="1">IFERROR(VLOOKUP(BB562,OFFSET(abbreviation[],0,ColumnLanguage),ColumnAbbreviation,FALSE),"")</f>
        <v/>
      </c>
      <c r="CI562" s="21" t="str">
        <f ca="1">IFERROR(VLOOKUP(BD562,OFFSET(abbreviation[],0,ColumnLanguage),ColumnAbbreviation,FALSE),"")</f>
        <v/>
      </c>
      <c r="CJ562" s="21" t="str">
        <f ca="1">IFERROR(VLOOKUP(BF562,OFFSET(abbreviation[],0,ColumnLanguage),ColumnAbbreviation,FALSE),"")</f>
        <v/>
      </c>
      <c r="CK562" s="21" t="str">
        <f t="shared" ca="1" si="60"/>
        <v/>
      </c>
      <c r="CL562" s="21" t="str">
        <f t="shared" si="61"/>
        <v/>
      </c>
      <c r="CM562" s="52"/>
      <c r="CN562" s="57" t="str">
        <f t="shared" si="62"/>
        <v/>
      </c>
    </row>
    <row r="563" spans="14:92" x14ac:dyDescent="0.25">
      <c r="N563" s="58"/>
      <c r="P563" s="60"/>
      <c r="Q563" s="13"/>
      <c r="V563" s="60"/>
      <c r="X563" s="61"/>
      <c r="AB563" s="60"/>
      <c r="AN563" s="54"/>
      <c r="AS563" s="15"/>
      <c r="BH563" s="52"/>
      <c r="BI563" s="21" t="str">
        <f ca="1">IFERROR(VLOOKUP(C563,OFFSET(abbreviation[],0,ColumnLanguage),ColumnAbbreviation,FALSE),"")</f>
        <v/>
      </c>
      <c r="BJ563" s="21" t="str">
        <f ca="1">IFERROR(VLOOKUP(E563,OFFSET(abbreviation[],0,ColumnLanguage),ColumnAbbreviation,FALSE),"")</f>
        <v/>
      </c>
      <c r="BK563" s="21" t="str">
        <f ca="1">IFERROR(VLOOKUP(G563,OFFSET(abbreviation[],0,ColumnLanguage),ColumnAbbreviation,FALSE),"")</f>
        <v/>
      </c>
      <c r="BL563" s="21" t="str">
        <f ca="1">IFERROR(VLOOKUP(I563,OFFSET(abbreviation[],0,ColumnLanguage),ColumnAbbreviation,FALSE),"")</f>
        <v/>
      </c>
      <c r="BM563" s="21" t="str">
        <f ca="1">IFERROR(VLOOKUP(K563,OFFSET(abbreviation[],0,ColumnLanguage),ColumnAbbreviation,FALSE),"")</f>
        <v/>
      </c>
      <c r="BN563" s="21" t="str">
        <f t="shared" ca="1" si="56"/>
        <v/>
      </c>
      <c r="BO563" s="21" t="str">
        <f ca="1">IFERROR(VLOOKUP(N563,OFFSET(abbreviation[],0,ColumnLanguage),ColumnAbbreviation,FALSE),"")</f>
        <v/>
      </c>
      <c r="BP563" s="21" t="str">
        <f ca="1">IFERROR(VLOOKUP(P563,OFFSET(abbreviation[],0,ColumnLanguage),ColumnAbbreviation,FALSE),"")</f>
        <v/>
      </c>
      <c r="BQ563" s="21" t="str">
        <f ca="1">IFERROR(VLOOKUP(T563,OFFSET(abbreviation[],0,ColumnLanguage),ColumnAbbreviation,FALSE),"")</f>
        <v/>
      </c>
      <c r="BR563" s="21" t="str">
        <f ca="1">IFERROR(VLOOKUP(V563,OFFSET(abbreviation[],0,ColumnLanguage),ColumnAbbreviation,FALSE),"")</f>
        <v/>
      </c>
      <c r="BS563" s="21" t="str">
        <f ca="1">IFERROR(VLOOKUP(Z563,OFFSET(abbreviation[],0,ColumnLanguage),ColumnAbbreviation,FALSE),"")</f>
        <v/>
      </c>
      <c r="BT563" s="21" t="str">
        <f ca="1">IFERROR(VLOOKUP(AB563,OFFSET(abbreviation[],0,ColumnLanguage),ColumnAbbreviation,FALSE),"")</f>
        <v/>
      </c>
      <c r="BU563" s="21" t="str">
        <f t="shared" ca="1" si="57"/>
        <v>__</v>
      </c>
      <c r="BV563" s="21" t="str">
        <f ca="1">IFERROR(VLOOKUP(AF563,OFFSET(abbreviation[],0,ColumnLanguage),ColumnAbbreviation,FALSE),"")</f>
        <v/>
      </c>
      <c r="BW563" s="21" t="str">
        <f ca="1">IFERROR(VLOOKUP(AH563,OFFSET(abbreviation[],0,ColumnLanguage),ColumnAbbreviation,FALSE),"")</f>
        <v/>
      </c>
      <c r="BX563" s="21" t="str">
        <f ca="1">IFERROR(VLOOKUP(AJ563,OFFSET(abbreviation[],0,ColumnLanguage),ColumnAbbreviation,FALSE),"")</f>
        <v/>
      </c>
      <c r="BY563" s="21" t="str">
        <f ca="1">IFERROR(VLOOKUP(AL563,OFFSET(abbreviation[],0,ColumnLanguage),ColumnAbbreviation,FALSE),"")</f>
        <v/>
      </c>
      <c r="BZ563" s="21" t="str">
        <f t="shared" ca="1" si="58"/>
        <v>_</v>
      </c>
      <c r="CA563" s="21" t="str">
        <f ca="1">IFERROR(VLOOKUP(AP563,OFFSET(abbreviation[],0,ColumnLanguage),ColumnAbbreviation,FALSE),"")</f>
        <v/>
      </c>
      <c r="CB563" s="21" t="str">
        <f ca="1">IFERROR(VLOOKUP(AR563,OFFSET(abbreviation[],0,ColumnLanguage),ColumnAbbreviation,FALSE),"")</f>
        <v/>
      </c>
      <c r="CC563" s="21" t="str">
        <f ca="1">IFERROR(VLOOKUP(AT563,OFFSET(abbreviation[],0,ColumnLanguage),ColumnAbbreviation,FALSE),"")</f>
        <v/>
      </c>
      <c r="CD563" s="21" t="str">
        <f ca="1">IFERROR(VLOOKUP(AV563,OFFSET(abbreviation[],0,ColumnLanguage),ColumnAbbreviation,FALSE),"")</f>
        <v/>
      </c>
      <c r="CE563" s="21" t="str">
        <f t="shared" ca="1" si="59"/>
        <v>__</v>
      </c>
      <c r="CF563" s="21" t="str">
        <f ca="1">IFERROR(VLOOKUP(AX563,OFFSET(abbreviation[],0,ColumnLanguage),ColumnAbbreviation,FALSE),"")</f>
        <v/>
      </c>
      <c r="CG563" s="21" t="str">
        <f ca="1">IFERROR(VLOOKUP(AZ563,OFFSET(abbreviation[],0,ColumnLanguage),ColumnAbbreviation,FALSE),"")</f>
        <v/>
      </c>
      <c r="CH563" s="21" t="str">
        <f ca="1">IFERROR(VLOOKUP(BB563,OFFSET(abbreviation[],0,ColumnLanguage),ColumnAbbreviation,FALSE),"")</f>
        <v/>
      </c>
      <c r="CI563" s="21" t="str">
        <f ca="1">IFERROR(VLOOKUP(BD563,OFFSET(abbreviation[],0,ColumnLanguage),ColumnAbbreviation,FALSE),"")</f>
        <v/>
      </c>
      <c r="CJ563" s="21" t="str">
        <f ca="1">IFERROR(VLOOKUP(BF563,OFFSET(abbreviation[],0,ColumnLanguage),ColumnAbbreviation,FALSE),"")</f>
        <v/>
      </c>
      <c r="CK563" s="21" t="str">
        <f t="shared" ca="1" si="60"/>
        <v/>
      </c>
      <c r="CL563" s="21" t="str">
        <f t="shared" si="61"/>
        <v/>
      </c>
      <c r="CM563" s="52"/>
      <c r="CN563" s="57" t="str">
        <f t="shared" si="62"/>
        <v/>
      </c>
    </row>
    <row r="564" spans="14:92" x14ac:dyDescent="0.25">
      <c r="N564" s="58"/>
      <c r="P564" s="60"/>
      <c r="Q564" s="13"/>
      <c r="V564" s="60"/>
      <c r="X564" s="61"/>
      <c r="AB564" s="60"/>
      <c r="AN564" s="54"/>
      <c r="AS564" s="15"/>
      <c r="BH564" s="52"/>
      <c r="BI564" s="21" t="str">
        <f ca="1">IFERROR(VLOOKUP(C564,OFFSET(abbreviation[],0,ColumnLanguage),ColumnAbbreviation,FALSE),"")</f>
        <v/>
      </c>
      <c r="BJ564" s="21" t="str">
        <f ca="1">IFERROR(VLOOKUP(E564,OFFSET(abbreviation[],0,ColumnLanguage),ColumnAbbreviation,FALSE),"")</f>
        <v/>
      </c>
      <c r="BK564" s="21" t="str">
        <f ca="1">IFERROR(VLOOKUP(G564,OFFSET(abbreviation[],0,ColumnLanguage),ColumnAbbreviation,FALSE),"")</f>
        <v/>
      </c>
      <c r="BL564" s="21" t="str">
        <f ca="1">IFERROR(VLOOKUP(I564,OFFSET(abbreviation[],0,ColumnLanguage),ColumnAbbreviation,FALSE),"")</f>
        <v/>
      </c>
      <c r="BM564" s="21" t="str">
        <f ca="1">IFERROR(VLOOKUP(K564,OFFSET(abbreviation[],0,ColumnLanguage),ColumnAbbreviation,FALSE),"")</f>
        <v/>
      </c>
      <c r="BN564" s="21" t="str">
        <f t="shared" ca="1" si="56"/>
        <v/>
      </c>
      <c r="BO564" s="21" t="str">
        <f ca="1">IFERROR(VLOOKUP(N564,OFFSET(abbreviation[],0,ColumnLanguage),ColumnAbbreviation,FALSE),"")</f>
        <v/>
      </c>
      <c r="BP564" s="21" t="str">
        <f ca="1">IFERROR(VLOOKUP(P564,OFFSET(abbreviation[],0,ColumnLanguage),ColumnAbbreviation,FALSE),"")</f>
        <v/>
      </c>
      <c r="BQ564" s="21" t="str">
        <f ca="1">IFERROR(VLOOKUP(T564,OFFSET(abbreviation[],0,ColumnLanguage),ColumnAbbreviation,FALSE),"")</f>
        <v/>
      </c>
      <c r="BR564" s="21" t="str">
        <f ca="1">IFERROR(VLOOKUP(V564,OFFSET(abbreviation[],0,ColumnLanguage),ColumnAbbreviation,FALSE),"")</f>
        <v/>
      </c>
      <c r="BS564" s="21" t="str">
        <f ca="1">IFERROR(VLOOKUP(Z564,OFFSET(abbreviation[],0,ColumnLanguage),ColumnAbbreviation,FALSE),"")</f>
        <v/>
      </c>
      <c r="BT564" s="21" t="str">
        <f ca="1">IFERROR(VLOOKUP(AB564,OFFSET(abbreviation[],0,ColumnLanguage),ColumnAbbreviation,FALSE),"")</f>
        <v/>
      </c>
      <c r="BU564" s="21" t="str">
        <f t="shared" ca="1" si="57"/>
        <v>__</v>
      </c>
      <c r="BV564" s="21" t="str">
        <f ca="1">IFERROR(VLOOKUP(AF564,OFFSET(abbreviation[],0,ColumnLanguage),ColumnAbbreviation,FALSE),"")</f>
        <v/>
      </c>
      <c r="BW564" s="21" t="str">
        <f ca="1">IFERROR(VLOOKUP(AH564,OFFSET(abbreviation[],0,ColumnLanguage),ColumnAbbreviation,FALSE),"")</f>
        <v/>
      </c>
      <c r="BX564" s="21" t="str">
        <f ca="1">IFERROR(VLOOKUP(AJ564,OFFSET(abbreviation[],0,ColumnLanguage),ColumnAbbreviation,FALSE),"")</f>
        <v/>
      </c>
      <c r="BY564" s="21" t="str">
        <f ca="1">IFERROR(VLOOKUP(AL564,OFFSET(abbreviation[],0,ColumnLanguage),ColumnAbbreviation,FALSE),"")</f>
        <v/>
      </c>
      <c r="BZ564" s="21" t="str">
        <f t="shared" ca="1" si="58"/>
        <v>_</v>
      </c>
      <c r="CA564" s="21" t="str">
        <f ca="1">IFERROR(VLOOKUP(AP564,OFFSET(abbreviation[],0,ColumnLanguage),ColumnAbbreviation,FALSE),"")</f>
        <v/>
      </c>
      <c r="CB564" s="21" t="str">
        <f ca="1">IFERROR(VLOOKUP(AR564,OFFSET(abbreviation[],0,ColumnLanguage),ColumnAbbreviation,FALSE),"")</f>
        <v/>
      </c>
      <c r="CC564" s="21" t="str">
        <f ca="1">IFERROR(VLOOKUP(AT564,OFFSET(abbreviation[],0,ColumnLanguage),ColumnAbbreviation,FALSE),"")</f>
        <v/>
      </c>
      <c r="CD564" s="21" t="str">
        <f ca="1">IFERROR(VLOOKUP(AV564,OFFSET(abbreviation[],0,ColumnLanguage),ColumnAbbreviation,FALSE),"")</f>
        <v/>
      </c>
      <c r="CE564" s="21" t="str">
        <f t="shared" ca="1" si="59"/>
        <v>__</v>
      </c>
      <c r="CF564" s="21" t="str">
        <f ca="1">IFERROR(VLOOKUP(AX564,OFFSET(abbreviation[],0,ColumnLanguage),ColumnAbbreviation,FALSE),"")</f>
        <v/>
      </c>
      <c r="CG564" s="21" t="str">
        <f ca="1">IFERROR(VLOOKUP(AZ564,OFFSET(abbreviation[],0,ColumnLanguage),ColumnAbbreviation,FALSE),"")</f>
        <v/>
      </c>
      <c r="CH564" s="21" t="str">
        <f ca="1">IFERROR(VLOOKUP(BB564,OFFSET(abbreviation[],0,ColumnLanguage),ColumnAbbreviation,FALSE),"")</f>
        <v/>
      </c>
      <c r="CI564" s="21" t="str">
        <f ca="1">IFERROR(VLOOKUP(BD564,OFFSET(abbreviation[],0,ColumnLanguage),ColumnAbbreviation,FALSE),"")</f>
        <v/>
      </c>
      <c r="CJ564" s="21" t="str">
        <f ca="1">IFERROR(VLOOKUP(BF564,OFFSET(abbreviation[],0,ColumnLanguage),ColumnAbbreviation,FALSE),"")</f>
        <v/>
      </c>
      <c r="CK564" s="21" t="str">
        <f t="shared" ca="1" si="60"/>
        <v/>
      </c>
      <c r="CL564" s="21" t="str">
        <f t="shared" si="61"/>
        <v/>
      </c>
      <c r="CM564" s="52"/>
      <c r="CN564" s="57" t="str">
        <f t="shared" si="62"/>
        <v/>
      </c>
    </row>
    <row r="565" spans="14:92" x14ac:dyDescent="0.25">
      <c r="N565" s="58"/>
      <c r="P565" s="60"/>
      <c r="Q565" s="13"/>
      <c r="V565" s="60"/>
      <c r="X565" s="61"/>
      <c r="AB565" s="60"/>
      <c r="AN565" s="54"/>
      <c r="AS565" s="15"/>
      <c r="BH565" s="52"/>
      <c r="BI565" s="21" t="str">
        <f ca="1">IFERROR(VLOOKUP(C565,OFFSET(abbreviation[],0,ColumnLanguage),ColumnAbbreviation,FALSE),"")</f>
        <v/>
      </c>
      <c r="BJ565" s="21" t="str">
        <f ca="1">IFERROR(VLOOKUP(E565,OFFSET(abbreviation[],0,ColumnLanguage),ColumnAbbreviation,FALSE),"")</f>
        <v/>
      </c>
      <c r="BK565" s="21" t="str">
        <f ca="1">IFERROR(VLOOKUP(G565,OFFSET(abbreviation[],0,ColumnLanguage),ColumnAbbreviation,FALSE),"")</f>
        <v/>
      </c>
      <c r="BL565" s="21" t="str">
        <f ca="1">IFERROR(VLOOKUP(I565,OFFSET(abbreviation[],0,ColumnLanguage),ColumnAbbreviation,FALSE),"")</f>
        <v/>
      </c>
      <c r="BM565" s="21" t="str">
        <f ca="1">IFERROR(VLOOKUP(K565,OFFSET(abbreviation[],0,ColumnLanguage),ColumnAbbreviation,FALSE),"")</f>
        <v/>
      </c>
      <c r="BN565" s="21" t="str">
        <f t="shared" ca="1" si="56"/>
        <v/>
      </c>
      <c r="BO565" s="21" t="str">
        <f ca="1">IFERROR(VLOOKUP(N565,OFFSET(abbreviation[],0,ColumnLanguage),ColumnAbbreviation,FALSE),"")</f>
        <v/>
      </c>
      <c r="BP565" s="21" t="str">
        <f ca="1">IFERROR(VLOOKUP(P565,OFFSET(abbreviation[],0,ColumnLanguage),ColumnAbbreviation,FALSE),"")</f>
        <v/>
      </c>
      <c r="BQ565" s="21" t="str">
        <f ca="1">IFERROR(VLOOKUP(T565,OFFSET(abbreviation[],0,ColumnLanguage),ColumnAbbreviation,FALSE),"")</f>
        <v/>
      </c>
      <c r="BR565" s="21" t="str">
        <f ca="1">IFERROR(VLOOKUP(V565,OFFSET(abbreviation[],0,ColumnLanguage),ColumnAbbreviation,FALSE),"")</f>
        <v/>
      </c>
      <c r="BS565" s="21" t="str">
        <f ca="1">IFERROR(VLOOKUP(Z565,OFFSET(abbreviation[],0,ColumnLanguage),ColumnAbbreviation,FALSE),"")</f>
        <v/>
      </c>
      <c r="BT565" s="21" t="str">
        <f ca="1">IFERROR(VLOOKUP(AB565,OFFSET(abbreviation[],0,ColumnLanguage),ColumnAbbreviation,FALSE),"")</f>
        <v/>
      </c>
      <c r="BU565" s="21" t="str">
        <f t="shared" ca="1" si="57"/>
        <v>__</v>
      </c>
      <c r="BV565" s="21" t="str">
        <f ca="1">IFERROR(VLOOKUP(AF565,OFFSET(abbreviation[],0,ColumnLanguage),ColumnAbbreviation,FALSE),"")</f>
        <v/>
      </c>
      <c r="BW565" s="21" t="str">
        <f ca="1">IFERROR(VLOOKUP(AH565,OFFSET(abbreviation[],0,ColumnLanguage),ColumnAbbreviation,FALSE),"")</f>
        <v/>
      </c>
      <c r="BX565" s="21" t="str">
        <f ca="1">IFERROR(VLOOKUP(AJ565,OFFSET(abbreviation[],0,ColumnLanguage),ColumnAbbreviation,FALSE),"")</f>
        <v/>
      </c>
      <c r="BY565" s="21" t="str">
        <f ca="1">IFERROR(VLOOKUP(AL565,OFFSET(abbreviation[],0,ColumnLanguage),ColumnAbbreviation,FALSE),"")</f>
        <v/>
      </c>
      <c r="BZ565" s="21" t="str">
        <f t="shared" ca="1" si="58"/>
        <v>_</v>
      </c>
      <c r="CA565" s="21" t="str">
        <f ca="1">IFERROR(VLOOKUP(AP565,OFFSET(abbreviation[],0,ColumnLanguage),ColumnAbbreviation,FALSE),"")</f>
        <v/>
      </c>
      <c r="CB565" s="21" t="str">
        <f ca="1">IFERROR(VLOOKUP(AR565,OFFSET(abbreviation[],0,ColumnLanguage),ColumnAbbreviation,FALSE),"")</f>
        <v/>
      </c>
      <c r="CC565" s="21" t="str">
        <f ca="1">IFERROR(VLOOKUP(AT565,OFFSET(abbreviation[],0,ColumnLanguage),ColumnAbbreviation,FALSE),"")</f>
        <v/>
      </c>
      <c r="CD565" s="21" t="str">
        <f ca="1">IFERROR(VLOOKUP(AV565,OFFSET(abbreviation[],0,ColumnLanguage),ColumnAbbreviation,FALSE),"")</f>
        <v/>
      </c>
      <c r="CE565" s="21" t="str">
        <f t="shared" ca="1" si="59"/>
        <v>__</v>
      </c>
      <c r="CF565" s="21" t="str">
        <f ca="1">IFERROR(VLOOKUP(AX565,OFFSET(abbreviation[],0,ColumnLanguage),ColumnAbbreviation,FALSE),"")</f>
        <v/>
      </c>
      <c r="CG565" s="21" t="str">
        <f ca="1">IFERROR(VLOOKUP(AZ565,OFFSET(abbreviation[],0,ColumnLanguage),ColumnAbbreviation,FALSE),"")</f>
        <v/>
      </c>
      <c r="CH565" s="21" t="str">
        <f ca="1">IFERROR(VLOOKUP(BB565,OFFSET(abbreviation[],0,ColumnLanguage),ColumnAbbreviation,FALSE),"")</f>
        <v/>
      </c>
      <c r="CI565" s="21" t="str">
        <f ca="1">IFERROR(VLOOKUP(BD565,OFFSET(abbreviation[],0,ColumnLanguage),ColumnAbbreviation,FALSE),"")</f>
        <v/>
      </c>
      <c r="CJ565" s="21" t="str">
        <f ca="1">IFERROR(VLOOKUP(BF565,OFFSET(abbreviation[],0,ColumnLanguage),ColumnAbbreviation,FALSE),"")</f>
        <v/>
      </c>
      <c r="CK565" s="21" t="str">
        <f t="shared" ca="1" si="60"/>
        <v/>
      </c>
      <c r="CL565" s="21" t="str">
        <f t="shared" si="61"/>
        <v/>
      </c>
      <c r="CM565" s="52"/>
      <c r="CN565" s="57" t="str">
        <f t="shared" si="62"/>
        <v/>
      </c>
    </row>
    <row r="566" spans="14:92" x14ac:dyDescent="0.25">
      <c r="N566" s="58"/>
      <c r="P566" s="60"/>
      <c r="Q566" s="13"/>
      <c r="V566" s="60"/>
      <c r="X566" s="61"/>
      <c r="AB566" s="60"/>
      <c r="AN566" s="54"/>
      <c r="AS566" s="15"/>
      <c r="BH566" s="52"/>
      <c r="BI566" s="21" t="str">
        <f ca="1">IFERROR(VLOOKUP(C566,OFFSET(abbreviation[],0,ColumnLanguage),ColumnAbbreviation,FALSE),"")</f>
        <v/>
      </c>
      <c r="BJ566" s="21" t="str">
        <f ca="1">IFERROR(VLOOKUP(E566,OFFSET(abbreviation[],0,ColumnLanguage),ColumnAbbreviation,FALSE),"")</f>
        <v/>
      </c>
      <c r="BK566" s="21" t="str">
        <f ca="1">IFERROR(VLOOKUP(G566,OFFSET(abbreviation[],0,ColumnLanguage),ColumnAbbreviation,FALSE),"")</f>
        <v/>
      </c>
      <c r="BL566" s="21" t="str">
        <f ca="1">IFERROR(VLOOKUP(I566,OFFSET(abbreviation[],0,ColumnLanguage),ColumnAbbreviation,FALSE),"")</f>
        <v/>
      </c>
      <c r="BM566" s="21" t="str">
        <f ca="1">IFERROR(VLOOKUP(K566,OFFSET(abbreviation[],0,ColumnLanguage),ColumnAbbreviation,FALSE),"")</f>
        <v/>
      </c>
      <c r="BN566" s="21" t="str">
        <f t="shared" ca="1" si="56"/>
        <v/>
      </c>
      <c r="BO566" s="21" t="str">
        <f ca="1">IFERROR(VLOOKUP(N566,OFFSET(abbreviation[],0,ColumnLanguage),ColumnAbbreviation,FALSE),"")</f>
        <v/>
      </c>
      <c r="BP566" s="21" t="str">
        <f ca="1">IFERROR(VLOOKUP(P566,OFFSET(abbreviation[],0,ColumnLanguage),ColumnAbbreviation,FALSE),"")</f>
        <v/>
      </c>
      <c r="BQ566" s="21" t="str">
        <f ca="1">IFERROR(VLOOKUP(T566,OFFSET(abbreviation[],0,ColumnLanguage),ColumnAbbreviation,FALSE),"")</f>
        <v/>
      </c>
      <c r="BR566" s="21" t="str">
        <f ca="1">IFERROR(VLOOKUP(V566,OFFSET(abbreviation[],0,ColumnLanguage),ColumnAbbreviation,FALSE),"")</f>
        <v/>
      </c>
      <c r="BS566" s="21" t="str">
        <f ca="1">IFERROR(VLOOKUP(Z566,OFFSET(abbreviation[],0,ColumnLanguage),ColumnAbbreviation,FALSE),"")</f>
        <v/>
      </c>
      <c r="BT566" s="21" t="str">
        <f ca="1">IFERROR(VLOOKUP(AB566,OFFSET(abbreviation[],0,ColumnLanguage),ColumnAbbreviation,FALSE),"")</f>
        <v/>
      </c>
      <c r="BU566" s="21" t="str">
        <f t="shared" ca="1" si="57"/>
        <v>__</v>
      </c>
      <c r="BV566" s="21" t="str">
        <f ca="1">IFERROR(VLOOKUP(AF566,OFFSET(abbreviation[],0,ColumnLanguage),ColumnAbbreviation,FALSE),"")</f>
        <v/>
      </c>
      <c r="BW566" s="21" t="str">
        <f ca="1">IFERROR(VLOOKUP(AH566,OFFSET(abbreviation[],0,ColumnLanguage),ColumnAbbreviation,FALSE),"")</f>
        <v/>
      </c>
      <c r="BX566" s="21" t="str">
        <f ca="1">IFERROR(VLOOKUP(AJ566,OFFSET(abbreviation[],0,ColumnLanguage),ColumnAbbreviation,FALSE),"")</f>
        <v/>
      </c>
      <c r="BY566" s="21" t="str">
        <f ca="1">IFERROR(VLOOKUP(AL566,OFFSET(abbreviation[],0,ColumnLanguage),ColumnAbbreviation,FALSE),"")</f>
        <v/>
      </c>
      <c r="BZ566" s="21" t="str">
        <f t="shared" ca="1" si="58"/>
        <v>_</v>
      </c>
      <c r="CA566" s="21" t="str">
        <f ca="1">IFERROR(VLOOKUP(AP566,OFFSET(abbreviation[],0,ColumnLanguage),ColumnAbbreviation,FALSE),"")</f>
        <v/>
      </c>
      <c r="CB566" s="21" t="str">
        <f ca="1">IFERROR(VLOOKUP(AR566,OFFSET(abbreviation[],0,ColumnLanguage),ColumnAbbreviation,FALSE),"")</f>
        <v/>
      </c>
      <c r="CC566" s="21" t="str">
        <f ca="1">IFERROR(VLOOKUP(AT566,OFFSET(abbreviation[],0,ColumnLanguage),ColumnAbbreviation,FALSE),"")</f>
        <v/>
      </c>
      <c r="CD566" s="21" t="str">
        <f ca="1">IFERROR(VLOOKUP(AV566,OFFSET(abbreviation[],0,ColumnLanguage),ColumnAbbreviation,FALSE),"")</f>
        <v/>
      </c>
      <c r="CE566" s="21" t="str">
        <f t="shared" ca="1" si="59"/>
        <v>__</v>
      </c>
      <c r="CF566" s="21" t="str">
        <f ca="1">IFERROR(VLOOKUP(AX566,OFFSET(abbreviation[],0,ColumnLanguage),ColumnAbbreviation,FALSE),"")</f>
        <v/>
      </c>
      <c r="CG566" s="21" t="str">
        <f ca="1">IFERROR(VLOOKUP(AZ566,OFFSET(abbreviation[],0,ColumnLanguage),ColumnAbbreviation,FALSE),"")</f>
        <v/>
      </c>
      <c r="CH566" s="21" t="str">
        <f ca="1">IFERROR(VLOOKUP(BB566,OFFSET(abbreviation[],0,ColumnLanguage),ColumnAbbreviation,FALSE),"")</f>
        <v/>
      </c>
      <c r="CI566" s="21" t="str">
        <f ca="1">IFERROR(VLOOKUP(BD566,OFFSET(abbreviation[],0,ColumnLanguage),ColumnAbbreviation,FALSE),"")</f>
        <v/>
      </c>
      <c r="CJ566" s="21" t="str">
        <f ca="1">IFERROR(VLOOKUP(BF566,OFFSET(abbreviation[],0,ColumnLanguage),ColumnAbbreviation,FALSE),"")</f>
        <v/>
      </c>
      <c r="CK566" s="21" t="str">
        <f t="shared" ca="1" si="60"/>
        <v/>
      </c>
      <c r="CL566" s="21" t="str">
        <f t="shared" si="61"/>
        <v/>
      </c>
      <c r="CM566" s="52"/>
      <c r="CN566" s="57" t="str">
        <f t="shared" si="62"/>
        <v/>
      </c>
    </row>
    <row r="567" spans="14:92" x14ac:dyDescent="0.25">
      <c r="N567" s="58"/>
      <c r="P567" s="60"/>
      <c r="Q567" s="13"/>
      <c r="V567" s="60"/>
      <c r="X567" s="61"/>
      <c r="AB567" s="60"/>
      <c r="AN567" s="54"/>
      <c r="AS567" s="15"/>
      <c r="BH567" s="52"/>
      <c r="BI567" s="21" t="str">
        <f ca="1">IFERROR(VLOOKUP(C567,OFFSET(abbreviation[],0,ColumnLanguage),ColumnAbbreviation,FALSE),"")</f>
        <v/>
      </c>
      <c r="BJ567" s="21" t="str">
        <f ca="1">IFERROR(VLOOKUP(E567,OFFSET(abbreviation[],0,ColumnLanguage),ColumnAbbreviation,FALSE),"")</f>
        <v/>
      </c>
      <c r="BK567" s="21" t="str">
        <f ca="1">IFERROR(VLOOKUP(G567,OFFSET(abbreviation[],0,ColumnLanguage),ColumnAbbreviation,FALSE),"")</f>
        <v/>
      </c>
      <c r="BL567" s="21" t="str">
        <f ca="1">IFERROR(VLOOKUP(I567,OFFSET(abbreviation[],0,ColumnLanguage),ColumnAbbreviation,FALSE),"")</f>
        <v/>
      </c>
      <c r="BM567" s="21" t="str">
        <f ca="1">IFERROR(VLOOKUP(K567,OFFSET(abbreviation[],0,ColumnLanguage),ColumnAbbreviation,FALSE),"")</f>
        <v/>
      </c>
      <c r="BN567" s="21" t="str">
        <f t="shared" ca="1" si="56"/>
        <v/>
      </c>
      <c r="BO567" s="21" t="str">
        <f ca="1">IFERROR(VLOOKUP(N567,OFFSET(abbreviation[],0,ColumnLanguage),ColumnAbbreviation,FALSE),"")</f>
        <v/>
      </c>
      <c r="BP567" s="21" t="str">
        <f ca="1">IFERROR(VLOOKUP(P567,OFFSET(abbreviation[],0,ColumnLanguage),ColumnAbbreviation,FALSE),"")</f>
        <v/>
      </c>
      <c r="BQ567" s="21" t="str">
        <f ca="1">IFERROR(VLOOKUP(T567,OFFSET(abbreviation[],0,ColumnLanguage),ColumnAbbreviation,FALSE),"")</f>
        <v/>
      </c>
      <c r="BR567" s="21" t="str">
        <f ca="1">IFERROR(VLOOKUP(V567,OFFSET(abbreviation[],0,ColumnLanguage),ColumnAbbreviation,FALSE),"")</f>
        <v/>
      </c>
      <c r="BS567" s="21" t="str">
        <f ca="1">IFERROR(VLOOKUP(Z567,OFFSET(abbreviation[],0,ColumnLanguage),ColumnAbbreviation,FALSE),"")</f>
        <v/>
      </c>
      <c r="BT567" s="21" t="str">
        <f ca="1">IFERROR(VLOOKUP(AB567,OFFSET(abbreviation[],0,ColumnLanguage),ColumnAbbreviation,FALSE),"")</f>
        <v/>
      </c>
      <c r="BU567" s="21" t="str">
        <f t="shared" ca="1" si="57"/>
        <v>__</v>
      </c>
      <c r="BV567" s="21" t="str">
        <f ca="1">IFERROR(VLOOKUP(AF567,OFFSET(abbreviation[],0,ColumnLanguage),ColumnAbbreviation,FALSE),"")</f>
        <v/>
      </c>
      <c r="BW567" s="21" t="str">
        <f ca="1">IFERROR(VLOOKUP(AH567,OFFSET(abbreviation[],0,ColumnLanguage),ColumnAbbreviation,FALSE),"")</f>
        <v/>
      </c>
      <c r="BX567" s="21" t="str">
        <f ca="1">IFERROR(VLOOKUP(AJ567,OFFSET(abbreviation[],0,ColumnLanguage),ColumnAbbreviation,FALSE),"")</f>
        <v/>
      </c>
      <c r="BY567" s="21" t="str">
        <f ca="1">IFERROR(VLOOKUP(AL567,OFFSET(abbreviation[],0,ColumnLanguage),ColumnAbbreviation,FALSE),"")</f>
        <v/>
      </c>
      <c r="BZ567" s="21" t="str">
        <f t="shared" ca="1" si="58"/>
        <v>_</v>
      </c>
      <c r="CA567" s="21" t="str">
        <f ca="1">IFERROR(VLOOKUP(AP567,OFFSET(abbreviation[],0,ColumnLanguage),ColumnAbbreviation,FALSE),"")</f>
        <v/>
      </c>
      <c r="CB567" s="21" t="str">
        <f ca="1">IFERROR(VLOOKUP(AR567,OFFSET(abbreviation[],0,ColumnLanguage),ColumnAbbreviation,FALSE),"")</f>
        <v/>
      </c>
      <c r="CC567" s="21" t="str">
        <f ca="1">IFERROR(VLOOKUP(AT567,OFFSET(abbreviation[],0,ColumnLanguage),ColumnAbbreviation,FALSE),"")</f>
        <v/>
      </c>
      <c r="CD567" s="21" t="str">
        <f ca="1">IFERROR(VLOOKUP(AV567,OFFSET(abbreviation[],0,ColumnLanguage),ColumnAbbreviation,FALSE),"")</f>
        <v/>
      </c>
      <c r="CE567" s="21" t="str">
        <f t="shared" ca="1" si="59"/>
        <v>__</v>
      </c>
      <c r="CF567" s="21" t="str">
        <f ca="1">IFERROR(VLOOKUP(AX567,OFFSET(abbreviation[],0,ColumnLanguage),ColumnAbbreviation,FALSE),"")</f>
        <v/>
      </c>
      <c r="CG567" s="21" t="str">
        <f ca="1">IFERROR(VLOOKUP(AZ567,OFFSET(abbreviation[],0,ColumnLanguage),ColumnAbbreviation,FALSE),"")</f>
        <v/>
      </c>
      <c r="CH567" s="21" t="str">
        <f ca="1">IFERROR(VLOOKUP(BB567,OFFSET(abbreviation[],0,ColumnLanguage),ColumnAbbreviation,FALSE),"")</f>
        <v/>
      </c>
      <c r="CI567" s="21" t="str">
        <f ca="1">IFERROR(VLOOKUP(BD567,OFFSET(abbreviation[],0,ColumnLanguage),ColumnAbbreviation,FALSE),"")</f>
        <v/>
      </c>
      <c r="CJ567" s="21" t="str">
        <f ca="1">IFERROR(VLOOKUP(BF567,OFFSET(abbreviation[],0,ColumnLanguage),ColumnAbbreviation,FALSE),"")</f>
        <v/>
      </c>
      <c r="CK567" s="21" t="str">
        <f t="shared" ca="1" si="60"/>
        <v/>
      </c>
      <c r="CL567" s="21" t="str">
        <f t="shared" si="61"/>
        <v/>
      </c>
      <c r="CM567" s="52"/>
      <c r="CN567" s="57" t="str">
        <f t="shared" si="62"/>
        <v/>
      </c>
    </row>
    <row r="568" spans="14:92" x14ac:dyDescent="0.25">
      <c r="N568" s="58"/>
      <c r="P568" s="60"/>
      <c r="Q568" s="13"/>
      <c r="V568" s="60"/>
      <c r="X568" s="61"/>
      <c r="AB568" s="60"/>
      <c r="AN568" s="54"/>
      <c r="AS568" s="15"/>
      <c r="BH568" s="52"/>
      <c r="BI568" s="21" t="str">
        <f ca="1">IFERROR(VLOOKUP(C568,OFFSET(abbreviation[],0,ColumnLanguage),ColumnAbbreviation,FALSE),"")</f>
        <v/>
      </c>
      <c r="BJ568" s="21" t="str">
        <f ca="1">IFERROR(VLOOKUP(E568,OFFSET(abbreviation[],0,ColumnLanguage),ColumnAbbreviation,FALSE),"")</f>
        <v/>
      </c>
      <c r="BK568" s="21" t="str">
        <f ca="1">IFERROR(VLOOKUP(G568,OFFSET(abbreviation[],0,ColumnLanguage),ColumnAbbreviation,FALSE),"")</f>
        <v/>
      </c>
      <c r="BL568" s="21" t="str">
        <f ca="1">IFERROR(VLOOKUP(I568,OFFSET(abbreviation[],0,ColumnLanguage),ColumnAbbreviation,FALSE),"")</f>
        <v/>
      </c>
      <c r="BM568" s="21" t="str">
        <f ca="1">IFERROR(VLOOKUP(K568,OFFSET(abbreviation[],0,ColumnLanguage),ColumnAbbreviation,FALSE),"")</f>
        <v/>
      </c>
      <c r="BN568" s="21" t="str">
        <f t="shared" ca="1" si="56"/>
        <v/>
      </c>
      <c r="BO568" s="21" t="str">
        <f ca="1">IFERROR(VLOOKUP(N568,OFFSET(abbreviation[],0,ColumnLanguage),ColumnAbbreviation,FALSE),"")</f>
        <v/>
      </c>
      <c r="BP568" s="21" t="str">
        <f ca="1">IFERROR(VLOOKUP(P568,OFFSET(abbreviation[],0,ColumnLanguage),ColumnAbbreviation,FALSE),"")</f>
        <v/>
      </c>
      <c r="BQ568" s="21" t="str">
        <f ca="1">IFERROR(VLOOKUP(T568,OFFSET(abbreviation[],0,ColumnLanguage),ColumnAbbreviation,FALSE),"")</f>
        <v/>
      </c>
      <c r="BR568" s="21" t="str">
        <f ca="1">IFERROR(VLOOKUP(V568,OFFSET(abbreviation[],0,ColumnLanguage),ColumnAbbreviation,FALSE),"")</f>
        <v/>
      </c>
      <c r="BS568" s="21" t="str">
        <f ca="1">IFERROR(VLOOKUP(Z568,OFFSET(abbreviation[],0,ColumnLanguage),ColumnAbbreviation,FALSE),"")</f>
        <v/>
      </c>
      <c r="BT568" s="21" t="str">
        <f ca="1">IFERROR(VLOOKUP(AB568,OFFSET(abbreviation[],0,ColumnLanguage),ColumnAbbreviation,FALSE),"")</f>
        <v/>
      </c>
      <c r="BU568" s="21" t="str">
        <f t="shared" ca="1" si="57"/>
        <v>__</v>
      </c>
      <c r="BV568" s="21" t="str">
        <f ca="1">IFERROR(VLOOKUP(AF568,OFFSET(abbreviation[],0,ColumnLanguage),ColumnAbbreviation,FALSE),"")</f>
        <v/>
      </c>
      <c r="BW568" s="21" t="str">
        <f ca="1">IFERROR(VLOOKUP(AH568,OFFSET(abbreviation[],0,ColumnLanguage),ColumnAbbreviation,FALSE),"")</f>
        <v/>
      </c>
      <c r="BX568" s="21" t="str">
        <f ca="1">IFERROR(VLOOKUP(AJ568,OFFSET(abbreviation[],0,ColumnLanguage),ColumnAbbreviation,FALSE),"")</f>
        <v/>
      </c>
      <c r="BY568" s="21" t="str">
        <f ca="1">IFERROR(VLOOKUP(AL568,OFFSET(abbreviation[],0,ColumnLanguage),ColumnAbbreviation,FALSE),"")</f>
        <v/>
      </c>
      <c r="BZ568" s="21" t="str">
        <f t="shared" ca="1" si="58"/>
        <v>_</v>
      </c>
      <c r="CA568" s="21" t="str">
        <f ca="1">IFERROR(VLOOKUP(AP568,OFFSET(abbreviation[],0,ColumnLanguage),ColumnAbbreviation,FALSE),"")</f>
        <v/>
      </c>
      <c r="CB568" s="21" t="str">
        <f ca="1">IFERROR(VLOOKUP(AR568,OFFSET(abbreviation[],0,ColumnLanguage),ColumnAbbreviation,FALSE),"")</f>
        <v/>
      </c>
      <c r="CC568" s="21" t="str">
        <f ca="1">IFERROR(VLOOKUP(AT568,OFFSET(abbreviation[],0,ColumnLanguage),ColumnAbbreviation,FALSE),"")</f>
        <v/>
      </c>
      <c r="CD568" s="21" t="str">
        <f ca="1">IFERROR(VLOOKUP(AV568,OFFSET(abbreviation[],0,ColumnLanguage),ColumnAbbreviation,FALSE),"")</f>
        <v/>
      </c>
      <c r="CE568" s="21" t="str">
        <f t="shared" ca="1" si="59"/>
        <v>__</v>
      </c>
      <c r="CF568" s="21" t="str">
        <f ca="1">IFERROR(VLOOKUP(AX568,OFFSET(abbreviation[],0,ColumnLanguage),ColumnAbbreviation,FALSE),"")</f>
        <v/>
      </c>
      <c r="CG568" s="21" t="str">
        <f ca="1">IFERROR(VLOOKUP(AZ568,OFFSET(abbreviation[],0,ColumnLanguage),ColumnAbbreviation,FALSE),"")</f>
        <v/>
      </c>
      <c r="CH568" s="21" t="str">
        <f ca="1">IFERROR(VLOOKUP(BB568,OFFSET(abbreviation[],0,ColumnLanguage),ColumnAbbreviation,FALSE),"")</f>
        <v/>
      </c>
      <c r="CI568" s="21" t="str">
        <f ca="1">IFERROR(VLOOKUP(BD568,OFFSET(abbreviation[],0,ColumnLanguage),ColumnAbbreviation,FALSE),"")</f>
        <v/>
      </c>
      <c r="CJ568" s="21" t="str">
        <f ca="1">IFERROR(VLOOKUP(BF568,OFFSET(abbreviation[],0,ColumnLanguage),ColumnAbbreviation,FALSE),"")</f>
        <v/>
      </c>
      <c r="CK568" s="21" t="str">
        <f t="shared" ca="1" si="60"/>
        <v/>
      </c>
      <c r="CL568" s="21" t="str">
        <f t="shared" si="61"/>
        <v/>
      </c>
      <c r="CM568" s="52"/>
      <c r="CN568" s="57" t="str">
        <f t="shared" si="62"/>
        <v/>
      </c>
    </row>
    <row r="569" spans="14:92" x14ac:dyDescent="0.25">
      <c r="N569" s="58"/>
      <c r="P569" s="60"/>
      <c r="Q569" s="13"/>
      <c r="V569" s="60"/>
      <c r="X569" s="61"/>
      <c r="AB569" s="60"/>
      <c r="AN569" s="54"/>
      <c r="AS569" s="15"/>
      <c r="BH569" s="52"/>
      <c r="BI569" s="21" t="str">
        <f ca="1">IFERROR(VLOOKUP(C569,OFFSET(abbreviation[],0,ColumnLanguage),ColumnAbbreviation,FALSE),"")</f>
        <v/>
      </c>
      <c r="BJ569" s="21" t="str">
        <f ca="1">IFERROR(VLOOKUP(E569,OFFSET(abbreviation[],0,ColumnLanguage),ColumnAbbreviation,FALSE),"")</f>
        <v/>
      </c>
      <c r="BK569" s="21" t="str">
        <f ca="1">IFERROR(VLOOKUP(G569,OFFSET(abbreviation[],0,ColumnLanguage),ColumnAbbreviation,FALSE),"")</f>
        <v/>
      </c>
      <c r="BL569" s="21" t="str">
        <f ca="1">IFERROR(VLOOKUP(I569,OFFSET(abbreviation[],0,ColumnLanguage),ColumnAbbreviation,FALSE),"")</f>
        <v/>
      </c>
      <c r="BM569" s="21" t="str">
        <f ca="1">IFERROR(VLOOKUP(K569,OFFSET(abbreviation[],0,ColumnLanguage),ColumnAbbreviation,FALSE),"")</f>
        <v/>
      </c>
      <c r="BN569" s="21" t="str">
        <f t="shared" ca="1" si="56"/>
        <v/>
      </c>
      <c r="BO569" s="21" t="str">
        <f ca="1">IFERROR(VLOOKUP(N569,OFFSET(abbreviation[],0,ColumnLanguage),ColumnAbbreviation,FALSE),"")</f>
        <v/>
      </c>
      <c r="BP569" s="21" t="str">
        <f ca="1">IFERROR(VLOOKUP(P569,OFFSET(abbreviation[],0,ColumnLanguage),ColumnAbbreviation,FALSE),"")</f>
        <v/>
      </c>
      <c r="BQ569" s="21" t="str">
        <f ca="1">IFERROR(VLOOKUP(T569,OFFSET(abbreviation[],0,ColumnLanguage),ColumnAbbreviation,FALSE),"")</f>
        <v/>
      </c>
      <c r="BR569" s="21" t="str">
        <f ca="1">IFERROR(VLOOKUP(V569,OFFSET(abbreviation[],0,ColumnLanguage),ColumnAbbreviation,FALSE),"")</f>
        <v/>
      </c>
      <c r="BS569" s="21" t="str">
        <f ca="1">IFERROR(VLOOKUP(Z569,OFFSET(abbreviation[],0,ColumnLanguage),ColumnAbbreviation,FALSE),"")</f>
        <v/>
      </c>
      <c r="BT569" s="21" t="str">
        <f ca="1">IFERROR(VLOOKUP(AB569,OFFSET(abbreviation[],0,ColumnLanguage),ColumnAbbreviation,FALSE),"")</f>
        <v/>
      </c>
      <c r="BU569" s="21" t="str">
        <f t="shared" ca="1" si="57"/>
        <v>__</v>
      </c>
      <c r="BV569" s="21" t="str">
        <f ca="1">IFERROR(VLOOKUP(AF569,OFFSET(abbreviation[],0,ColumnLanguage),ColumnAbbreviation,FALSE),"")</f>
        <v/>
      </c>
      <c r="BW569" s="21" t="str">
        <f ca="1">IFERROR(VLOOKUP(AH569,OFFSET(abbreviation[],0,ColumnLanguage),ColumnAbbreviation,FALSE),"")</f>
        <v/>
      </c>
      <c r="BX569" s="21" t="str">
        <f ca="1">IFERROR(VLOOKUP(AJ569,OFFSET(abbreviation[],0,ColumnLanguage),ColumnAbbreviation,FALSE),"")</f>
        <v/>
      </c>
      <c r="BY569" s="21" t="str">
        <f ca="1">IFERROR(VLOOKUP(AL569,OFFSET(abbreviation[],0,ColumnLanguage),ColumnAbbreviation,FALSE),"")</f>
        <v/>
      </c>
      <c r="BZ569" s="21" t="str">
        <f t="shared" ca="1" si="58"/>
        <v>_</v>
      </c>
      <c r="CA569" s="21" t="str">
        <f ca="1">IFERROR(VLOOKUP(AP569,OFFSET(abbreviation[],0,ColumnLanguage),ColumnAbbreviation,FALSE),"")</f>
        <v/>
      </c>
      <c r="CB569" s="21" t="str">
        <f ca="1">IFERROR(VLOOKUP(AR569,OFFSET(abbreviation[],0,ColumnLanguage),ColumnAbbreviation,FALSE),"")</f>
        <v/>
      </c>
      <c r="CC569" s="21" t="str">
        <f ca="1">IFERROR(VLOOKUP(AT569,OFFSET(abbreviation[],0,ColumnLanguage),ColumnAbbreviation,FALSE),"")</f>
        <v/>
      </c>
      <c r="CD569" s="21" t="str">
        <f ca="1">IFERROR(VLOOKUP(AV569,OFFSET(abbreviation[],0,ColumnLanguage),ColumnAbbreviation,FALSE),"")</f>
        <v/>
      </c>
      <c r="CE569" s="21" t="str">
        <f t="shared" ca="1" si="59"/>
        <v>__</v>
      </c>
      <c r="CF569" s="21" t="str">
        <f ca="1">IFERROR(VLOOKUP(AX569,OFFSET(abbreviation[],0,ColumnLanguage),ColumnAbbreviation,FALSE),"")</f>
        <v/>
      </c>
      <c r="CG569" s="21" t="str">
        <f ca="1">IFERROR(VLOOKUP(AZ569,OFFSET(abbreviation[],0,ColumnLanguage),ColumnAbbreviation,FALSE),"")</f>
        <v/>
      </c>
      <c r="CH569" s="21" t="str">
        <f ca="1">IFERROR(VLOOKUP(BB569,OFFSET(abbreviation[],0,ColumnLanguage),ColumnAbbreviation,FALSE),"")</f>
        <v/>
      </c>
      <c r="CI569" s="21" t="str">
        <f ca="1">IFERROR(VLOOKUP(BD569,OFFSET(abbreviation[],0,ColumnLanguage),ColumnAbbreviation,FALSE),"")</f>
        <v/>
      </c>
      <c r="CJ569" s="21" t="str">
        <f ca="1">IFERROR(VLOOKUP(BF569,OFFSET(abbreviation[],0,ColumnLanguage),ColumnAbbreviation,FALSE),"")</f>
        <v/>
      </c>
      <c r="CK569" s="21" t="str">
        <f t="shared" ca="1" si="60"/>
        <v/>
      </c>
      <c r="CL569" s="21" t="str">
        <f t="shared" si="61"/>
        <v/>
      </c>
      <c r="CM569" s="52"/>
      <c r="CN569" s="57" t="str">
        <f t="shared" si="62"/>
        <v/>
      </c>
    </row>
    <row r="570" spans="14:92" x14ac:dyDescent="0.25">
      <c r="N570" s="58"/>
      <c r="P570" s="60"/>
      <c r="Q570" s="13"/>
      <c r="V570" s="60"/>
      <c r="X570" s="61"/>
      <c r="AB570" s="60"/>
      <c r="AN570" s="54"/>
      <c r="AS570" s="15"/>
      <c r="BH570" s="52"/>
      <c r="BI570" s="21" t="str">
        <f ca="1">IFERROR(VLOOKUP(C570,OFFSET(abbreviation[],0,ColumnLanguage),ColumnAbbreviation,FALSE),"")</f>
        <v/>
      </c>
      <c r="BJ570" s="21" t="str">
        <f ca="1">IFERROR(VLOOKUP(E570,OFFSET(abbreviation[],0,ColumnLanguage),ColumnAbbreviation,FALSE),"")</f>
        <v/>
      </c>
      <c r="BK570" s="21" t="str">
        <f ca="1">IFERROR(VLOOKUP(G570,OFFSET(abbreviation[],0,ColumnLanguage),ColumnAbbreviation,FALSE),"")</f>
        <v/>
      </c>
      <c r="BL570" s="21" t="str">
        <f ca="1">IFERROR(VLOOKUP(I570,OFFSET(abbreviation[],0,ColumnLanguage),ColumnAbbreviation,FALSE),"")</f>
        <v/>
      </c>
      <c r="BM570" s="21" t="str">
        <f ca="1">IFERROR(VLOOKUP(K570,OFFSET(abbreviation[],0,ColumnLanguage),ColumnAbbreviation,FALSE),"")</f>
        <v/>
      </c>
      <c r="BN570" s="21" t="str">
        <f t="shared" ca="1" si="56"/>
        <v/>
      </c>
      <c r="BO570" s="21" t="str">
        <f ca="1">IFERROR(VLOOKUP(N570,OFFSET(abbreviation[],0,ColumnLanguage),ColumnAbbreviation,FALSE),"")</f>
        <v/>
      </c>
      <c r="BP570" s="21" t="str">
        <f ca="1">IFERROR(VLOOKUP(P570,OFFSET(abbreviation[],0,ColumnLanguage),ColumnAbbreviation,FALSE),"")</f>
        <v/>
      </c>
      <c r="BQ570" s="21" t="str">
        <f ca="1">IFERROR(VLOOKUP(T570,OFFSET(abbreviation[],0,ColumnLanguage),ColumnAbbreviation,FALSE),"")</f>
        <v/>
      </c>
      <c r="BR570" s="21" t="str">
        <f ca="1">IFERROR(VLOOKUP(V570,OFFSET(abbreviation[],0,ColumnLanguage),ColumnAbbreviation,FALSE),"")</f>
        <v/>
      </c>
      <c r="BS570" s="21" t="str">
        <f ca="1">IFERROR(VLOOKUP(Z570,OFFSET(abbreviation[],0,ColumnLanguage),ColumnAbbreviation,FALSE),"")</f>
        <v/>
      </c>
      <c r="BT570" s="21" t="str">
        <f ca="1">IFERROR(VLOOKUP(AB570,OFFSET(abbreviation[],0,ColumnLanguage),ColumnAbbreviation,FALSE),"")</f>
        <v/>
      </c>
      <c r="BU570" s="21" t="str">
        <f t="shared" ca="1" si="57"/>
        <v>__</v>
      </c>
      <c r="BV570" s="21" t="str">
        <f ca="1">IFERROR(VLOOKUP(AF570,OFFSET(abbreviation[],0,ColumnLanguage),ColumnAbbreviation,FALSE),"")</f>
        <v/>
      </c>
      <c r="BW570" s="21" t="str">
        <f ca="1">IFERROR(VLOOKUP(AH570,OFFSET(abbreviation[],0,ColumnLanguage),ColumnAbbreviation,FALSE),"")</f>
        <v/>
      </c>
      <c r="BX570" s="21" t="str">
        <f ca="1">IFERROR(VLOOKUP(AJ570,OFFSET(abbreviation[],0,ColumnLanguage),ColumnAbbreviation,FALSE),"")</f>
        <v/>
      </c>
      <c r="BY570" s="21" t="str">
        <f ca="1">IFERROR(VLOOKUP(AL570,OFFSET(abbreviation[],0,ColumnLanguage),ColumnAbbreviation,FALSE),"")</f>
        <v/>
      </c>
      <c r="BZ570" s="21" t="str">
        <f t="shared" ca="1" si="58"/>
        <v>_</v>
      </c>
      <c r="CA570" s="21" t="str">
        <f ca="1">IFERROR(VLOOKUP(AP570,OFFSET(abbreviation[],0,ColumnLanguage),ColumnAbbreviation,FALSE),"")</f>
        <v/>
      </c>
      <c r="CB570" s="21" t="str">
        <f ca="1">IFERROR(VLOOKUP(AR570,OFFSET(abbreviation[],0,ColumnLanguage),ColumnAbbreviation,FALSE),"")</f>
        <v/>
      </c>
      <c r="CC570" s="21" t="str">
        <f ca="1">IFERROR(VLOOKUP(AT570,OFFSET(abbreviation[],0,ColumnLanguage),ColumnAbbreviation,FALSE),"")</f>
        <v/>
      </c>
      <c r="CD570" s="21" t="str">
        <f ca="1">IFERROR(VLOOKUP(AV570,OFFSET(abbreviation[],0,ColumnLanguage),ColumnAbbreviation,FALSE),"")</f>
        <v/>
      </c>
      <c r="CE570" s="21" t="str">
        <f t="shared" ca="1" si="59"/>
        <v>__</v>
      </c>
      <c r="CF570" s="21" t="str">
        <f ca="1">IFERROR(VLOOKUP(AX570,OFFSET(abbreviation[],0,ColumnLanguage),ColumnAbbreviation,FALSE),"")</f>
        <v/>
      </c>
      <c r="CG570" s="21" t="str">
        <f ca="1">IFERROR(VLOOKUP(AZ570,OFFSET(abbreviation[],0,ColumnLanguage),ColumnAbbreviation,FALSE),"")</f>
        <v/>
      </c>
      <c r="CH570" s="21" t="str">
        <f ca="1">IFERROR(VLOOKUP(BB570,OFFSET(abbreviation[],0,ColumnLanguage),ColumnAbbreviation,FALSE),"")</f>
        <v/>
      </c>
      <c r="CI570" s="21" t="str">
        <f ca="1">IFERROR(VLOOKUP(BD570,OFFSET(abbreviation[],0,ColumnLanguage),ColumnAbbreviation,FALSE),"")</f>
        <v/>
      </c>
      <c r="CJ570" s="21" t="str">
        <f ca="1">IFERROR(VLOOKUP(BF570,OFFSET(abbreviation[],0,ColumnLanguage),ColumnAbbreviation,FALSE),"")</f>
        <v/>
      </c>
      <c r="CK570" s="21" t="str">
        <f t="shared" ca="1" si="60"/>
        <v/>
      </c>
      <c r="CL570" s="21" t="str">
        <f t="shared" si="61"/>
        <v/>
      </c>
      <c r="CM570" s="52"/>
      <c r="CN570" s="57" t="str">
        <f t="shared" si="62"/>
        <v/>
      </c>
    </row>
    <row r="571" spans="14:92" x14ac:dyDescent="0.25">
      <c r="N571" s="58"/>
      <c r="P571" s="60"/>
      <c r="Q571" s="13"/>
      <c r="V571" s="60"/>
      <c r="X571" s="61"/>
      <c r="AB571" s="60"/>
      <c r="AN571" s="54"/>
      <c r="AS571" s="15"/>
      <c r="BH571" s="52"/>
      <c r="BI571" s="21" t="str">
        <f ca="1">IFERROR(VLOOKUP(C571,OFFSET(abbreviation[],0,ColumnLanguage),ColumnAbbreviation,FALSE),"")</f>
        <v/>
      </c>
      <c r="BJ571" s="21" t="str">
        <f ca="1">IFERROR(VLOOKUP(E571,OFFSET(abbreviation[],0,ColumnLanguage),ColumnAbbreviation,FALSE),"")</f>
        <v/>
      </c>
      <c r="BK571" s="21" t="str">
        <f ca="1">IFERROR(VLOOKUP(G571,OFFSET(abbreviation[],0,ColumnLanguage),ColumnAbbreviation,FALSE),"")</f>
        <v/>
      </c>
      <c r="BL571" s="21" t="str">
        <f ca="1">IFERROR(VLOOKUP(I571,OFFSET(abbreviation[],0,ColumnLanguage),ColumnAbbreviation,FALSE),"")</f>
        <v/>
      </c>
      <c r="BM571" s="21" t="str">
        <f ca="1">IFERROR(VLOOKUP(K571,OFFSET(abbreviation[],0,ColumnLanguage),ColumnAbbreviation,FALSE),"")</f>
        <v/>
      </c>
      <c r="BN571" s="21" t="str">
        <f t="shared" ca="1" si="56"/>
        <v/>
      </c>
      <c r="BO571" s="21" t="str">
        <f ca="1">IFERROR(VLOOKUP(N571,OFFSET(abbreviation[],0,ColumnLanguage),ColumnAbbreviation,FALSE),"")</f>
        <v/>
      </c>
      <c r="BP571" s="21" t="str">
        <f ca="1">IFERROR(VLOOKUP(P571,OFFSET(abbreviation[],0,ColumnLanguage),ColumnAbbreviation,FALSE),"")</f>
        <v/>
      </c>
      <c r="BQ571" s="21" t="str">
        <f ca="1">IFERROR(VLOOKUP(T571,OFFSET(abbreviation[],0,ColumnLanguage),ColumnAbbreviation,FALSE),"")</f>
        <v/>
      </c>
      <c r="BR571" s="21" t="str">
        <f ca="1">IFERROR(VLOOKUP(V571,OFFSET(abbreviation[],0,ColumnLanguage),ColumnAbbreviation,FALSE),"")</f>
        <v/>
      </c>
      <c r="BS571" s="21" t="str">
        <f ca="1">IFERROR(VLOOKUP(Z571,OFFSET(abbreviation[],0,ColumnLanguage),ColumnAbbreviation,FALSE),"")</f>
        <v/>
      </c>
      <c r="BT571" s="21" t="str">
        <f ca="1">IFERROR(VLOOKUP(AB571,OFFSET(abbreviation[],0,ColumnLanguage),ColumnAbbreviation,FALSE),"")</f>
        <v/>
      </c>
      <c r="BU571" s="21" t="str">
        <f t="shared" ca="1" si="57"/>
        <v>__</v>
      </c>
      <c r="BV571" s="21" t="str">
        <f ca="1">IFERROR(VLOOKUP(AF571,OFFSET(abbreviation[],0,ColumnLanguage),ColumnAbbreviation,FALSE),"")</f>
        <v/>
      </c>
      <c r="BW571" s="21" t="str">
        <f ca="1">IFERROR(VLOOKUP(AH571,OFFSET(abbreviation[],0,ColumnLanguage),ColumnAbbreviation,FALSE),"")</f>
        <v/>
      </c>
      <c r="BX571" s="21" t="str">
        <f ca="1">IFERROR(VLOOKUP(AJ571,OFFSET(abbreviation[],0,ColumnLanguage),ColumnAbbreviation,FALSE),"")</f>
        <v/>
      </c>
      <c r="BY571" s="21" t="str">
        <f ca="1">IFERROR(VLOOKUP(AL571,OFFSET(abbreviation[],0,ColumnLanguage),ColumnAbbreviation,FALSE),"")</f>
        <v/>
      </c>
      <c r="BZ571" s="21" t="str">
        <f t="shared" ca="1" si="58"/>
        <v>_</v>
      </c>
      <c r="CA571" s="21" t="str">
        <f ca="1">IFERROR(VLOOKUP(AP571,OFFSET(abbreviation[],0,ColumnLanguage),ColumnAbbreviation,FALSE),"")</f>
        <v/>
      </c>
      <c r="CB571" s="21" t="str">
        <f ca="1">IFERROR(VLOOKUP(AR571,OFFSET(abbreviation[],0,ColumnLanguage),ColumnAbbreviation,FALSE),"")</f>
        <v/>
      </c>
      <c r="CC571" s="21" t="str">
        <f ca="1">IFERROR(VLOOKUP(AT571,OFFSET(abbreviation[],0,ColumnLanguage),ColumnAbbreviation,FALSE),"")</f>
        <v/>
      </c>
      <c r="CD571" s="21" t="str">
        <f ca="1">IFERROR(VLOOKUP(AV571,OFFSET(abbreviation[],0,ColumnLanguage),ColumnAbbreviation,FALSE),"")</f>
        <v/>
      </c>
      <c r="CE571" s="21" t="str">
        <f t="shared" ca="1" si="59"/>
        <v>__</v>
      </c>
      <c r="CF571" s="21" t="str">
        <f ca="1">IFERROR(VLOOKUP(AX571,OFFSET(abbreviation[],0,ColumnLanguage),ColumnAbbreviation,FALSE),"")</f>
        <v/>
      </c>
      <c r="CG571" s="21" t="str">
        <f ca="1">IFERROR(VLOOKUP(AZ571,OFFSET(abbreviation[],0,ColumnLanguage),ColumnAbbreviation,FALSE),"")</f>
        <v/>
      </c>
      <c r="CH571" s="21" t="str">
        <f ca="1">IFERROR(VLOOKUP(BB571,OFFSET(abbreviation[],0,ColumnLanguage),ColumnAbbreviation,FALSE),"")</f>
        <v/>
      </c>
      <c r="CI571" s="21" t="str">
        <f ca="1">IFERROR(VLOOKUP(BD571,OFFSET(abbreviation[],0,ColumnLanguage),ColumnAbbreviation,FALSE),"")</f>
        <v/>
      </c>
      <c r="CJ571" s="21" t="str">
        <f ca="1">IFERROR(VLOOKUP(BF571,OFFSET(abbreviation[],0,ColumnLanguage),ColumnAbbreviation,FALSE),"")</f>
        <v/>
      </c>
      <c r="CK571" s="21" t="str">
        <f t="shared" ca="1" si="60"/>
        <v/>
      </c>
      <c r="CL571" s="21" t="str">
        <f t="shared" si="61"/>
        <v/>
      </c>
      <c r="CM571" s="52"/>
      <c r="CN571" s="57" t="str">
        <f t="shared" si="62"/>
        <v/>
      </c>
    </row>
    <row r="572" spans="14:92" x14ac:dyDescent="0.25">
      <c r="N572" s="58"/>
      <c r="P572" s="60"/>
      <c r="Q572" s="13"/>
      <c r="V572" s="60"/>
      <c r="X572" s="61"/>
      <c r="AB572" s="60"/>
      <c r="AN572" s="54"/>
      <c r="AS572" s="15"/>
      <c r="BH572" s="52"/>
      <c r="BI572" s="21" t="str">
        <f ca="1">IFERROR(VLOOKUP(C572,OFFSET(abbreviation[],0,ColumnLanguage),ColumnAbbreviation,FALSE),"")</f>
        <v/>
      </c>
      <c r="BJ572" s="21" t="str">
        <f ca="1">IFERROR(VLOOKUP(E572,OFFSET(abbreviation[],0,ColumnLanguage),ColumnAbbreviation,FALSE),"")</f>
        <v/>
      </c>
      <c r="BK572" s="21" t="str">
        <f ca="1">IFERROR(VLOOKUP(G572,OFFSET(abbreviation[],0,ColumnLanguage),ColumnAbbreviation,FALSE),"")</f>
        <v/>
      </c>
      <c r="BL572" s="21" t="str">
        <f ca="1">IFERROR(VLOOKUP(I572,OFFSET(abbreviation[],0,ColumnLanguage),ColumnAbbreviation,FALSE),"")</f>
        <v/>
      </c>
      <c r="BM572" s="21" t="str">
        <f ca="1">IFERROR(VLOOKUP(K572,OFFSET(abbreviation[],0,ColumnLanguage),ColumnAbbreviation,FALSE),"")</f>
        <v/>
      </c>
      <c r="BN572" s="21" t="str">
        <f t="shared" ca="1" si="56"/>
        <v/>
      </c>
      <c r="BO572" s="21" t="str">
        <f ca="1">IFERROR(VLOOKUP(N572,OFFSET(abbreviation[],0,ColumnLanguage),ColumnAbbreviation,FALSE),"")</f>
        <v/>
      </c>
      <c r="BP572" s="21" t="str">
        <f ca="1">IFERROR(VLOOKUP(P572,OFFSET(abbreviation[],0,ColumnLanguage),ColumnAbbreviation,FALSE),"")</f>
        <v/>
      </c>
      <c r="BQ572" s="21" t="str">
        <f ca="1">IFERROR(VLOOKUP(T572,OFFSET(abbreviation[],0,ColumnLanguage),ColumnAbbreviation,FALSE),"")</f>
        <v/>
      </c>
      <c r="BR572" s="21" t="str">
        <f ca="1">IFERROR(VLOOKUP(V572,OFFSET(abbreviation[],0,ColumnLanguage),ColumnAbbreviation,FALSE),"")</f>
        <v/>
      </c>
      <c r="BS572" s="21" t="str">
        <f ca="1">IFERROR(VLOOKUP(Z572,OFFSET(abbreviation[],0,ColumnLanguage),ColumnAbbreviation,FALSE),"")</f>
        <v/>
      </c>
      <c r="BT572" s="21" t="str">
        <f ca="1">IFERROR(VLOOKUP(AB572,OFFSET(abbreviation[],0,ColumnLanguage),ColumnAbbreviation,FALSE),"")</f>
        <v/>
      </c>
      <c r="BU572" s="21" t="str">
        <f t="shared" ca="1" si="57"/>
        <v>__</v>
      </c>
      <c r="BV572" s="21" t="str">
        <f ca="1">IFERROR(VLOOKUP(AF572,OFFSET(abbreviation[],0,ColumnLanguage),ColumnAbbreviation,FALSE),"")</f>
        <v/>
      </c>
      <c r="BW572" s="21" t="str">
        <f ca="1">IFERROR(VLOOKUP(AH572,OFFSET(abbreviation[],0,ColumnLanguage),ColumnAbbreviation,FALSE),"")</f>
        <v/>
      </c>
      <c r="BX572" s="21" t="str">
        <f ca="1">IFERROR(VLOOKUP(AJ572,OFFSET(abbreviation[],0,ColumnLanguage),ColumnAbbreviation,FALSE),"")</f>
        <v/>
      </c>
      <c r="BY572" s="21" t="str">
        <f ca="1">IFERROR(VLOOKUP(AL572,OFFSET(abbreviation[],0,ColumnLanguage),ColumnAbbreviation,FALSE),"")</f>
        <v/>
      </c>
      <c r="BZ572" s="21" t="str">
        <f t="shared" ca="1" si="58"/>
        <v>_</v>
      </c>
      <c r="CA572" s="21" t="str">
        <f ca="1">IFERROR(VLOOKUP(AP572,OFFSET(abbreviation[],0,ColumnLanguage),ColumnAbbreviation,FALSE),"")</f>
        <v/>
      </c>
      <c r="CB572" s="21" t="str">
        <f ca="1">IFERROR(VLOOKUP(AR572,OFFSET(abbreviation[],0,ColumnLanguage),ColumnAbbreviation,FALSE),"")</f>
        <v/>
      </c>
      <c r="CC572" s="21" t="str">
        <f ca="1">IFERROR(VLOOKUP(AT572,OFFSET(abbreviation[],0,ColumnLanguage),ColumnAbbreviation,FALSE),"")</f>
        <v/>
      </c>
      <c r="CD572" s="21" t="str">
        <f ca="1">IFERROR(VLOOKUP(AV572,OFFSET(abbreviation[],0,ColumnLanguage),ColumnAbbreviation,FALSE),"")</f>
        <v/>
      </c>
      <c r="CE572" s="21" t="str">
        <f t="shared" ca="1" si="59"/>
        <v>__</v>
      </c>
      <c r="CF572" s="21" t="str">
        <f ca="1">IFERROR(VLOOKUP(AX572,OFFSET(abbreviation[],0,ColumnLanguage),ColumnAbbreviation,FALSE),"")</f>
        <v/>
      </c>
      <c r="CG572" s="21" t="str">
        <f ca="1">IFERROR(VLOOKUP(AZ572,OFFSET(abbreviation[],0,ColumnLanguage),ColumnAbbreviation,FALSE),"")</f>
        <v/>
      </c>
      <c r="CH572" s="21" t="str">
        <f ca="1">IFERROR(VLOOKUP(BB572,OFFSET(abbreviation[],0,ColumnLanguage),ColumnAbbreviation,FALSE),"")</f>
        <v/>
      </c>
      <c r="CI572" s="21" t="str">
        <f ca="1">IFERROR(VLOOKUP(BD572,OFFSET(abbreviation[],0,ColumnLanguage),ColumnAbbreviation,FALSE),"")</f>
        <v/>
      </c>
      <c r="CJ572" s="21" t="str">
        <f ca="1">IFERROR(VLOOKUP(BF572,OFFSET(abbreviation[],0,ColumnLanguage),ColumnAbbreviation,FALSE),"")</f>
        <v/>
      </c>
      <c r="CK572" s="21" t="str">
        <f t="shared" ca="1" si="60"/>
        <v/>
      </c>
      <c r="CL572" s="21" t="str">
        <f t="shared" si="61"/>
        <v/>
      </c>
      <c r="CM572" s="52"/>
      <c r="CN572" s="57" t="str">
        <f t="shared" si="62"/>
        <v/>
      </c>
    </row>
    <row r="573" spans="14:92" x14ac:dyDescent="0.25">
      <c r="N573" s="58"/>
      <c r="P573" s="60"/>
      <c r="Q573" s="13"/>
      <c r="V573" s="60"/>
      <c r="X573" s="61"/>
      <c r="AB573" s="60"/>
      <c r="AN573" s="54"/>
      <c r="AS573" s="15"/>
      <c r="BH573" s="52"/>
      <c r="BI573" s="21" t="str">
        <f ca="1">IFERROR(VLOOKUP(C573,OFFSET(abbreviation[],0,ColumnLanguage),ColumnAbbreviation,FALSE),"")</f>
        <v/>
      </c>
      <c r="BJ573" s="21" t="str">
        <f ca="1">IFERROR(VLOOKUP(E573,OFFSET(abbreviation[],0,ColumnLanguage),ColumnAbbreviation,FALSE),"")</f>
        <v/>
      </c>
      <c r="BK573" s="21" t="str">
        <f ca="1">IFERROR(VLOOKUP(G573,OFFSET(abbreviation[],0,ColumnLanguage),ColumnAbbreviation,FALSE),"")</f>
        <v/>
      </c>
      <c r="BL573" s="21" t="str">
        <f ca="1">IFERROR(VLOOKUP(I573,OFFSET(abbreviation[],0,ColumnLanguage),ColumnAbbreviation,FALSE),"")</f>
        <v/>
      </c>
      <c r="BM573" s="21" t="str">
        <f ca="1">IFERROR(VLOOKUP(K573,OFFSET(abbreviation[],0,ColumnLanguage),ColumnAbbreviation,FALSE),"")</f>
        <v/>
      </c>
      <c r="BN573" s="21" t="str">
        <f t="shared" ca="1" si="56"/>
        <v/>
      </c>
      <c r="BO573" s="21" t="str">
        <f ca="1">IFERROR(VLOOKUP(N573,OFFSET(abbreviation[],0,ColumnLanguage),ColumnAbbreviation,FALSE),"")</f>
        <v/>
      </c>
      <c r="BP573" s="21" t="str">
        <f ca="1">IFERROR(VLOOKUP(P573,OFFSET(abbreviation[],0,ColumnLanguage),ColumnAbbreviation,FALSE),"")</f>
        <v/>
      </c>
      <c r="BQ573" s="21" t="str">
        <f ca="1">IFERROR(VLOOKUP(T573,OFFSET(abbreviation[],0,ColumnLanguage),ColumnAbbreviation,FALSE),"")</f>
        <v/>
      </c>
      <c r="BR573" s="21" t="str">
        <f ca="1">IFERROR(VLOOKUP(V573,OFFSET(abbreviation[],0,ColumnLanguage),ColumnAbbreviation,FALSE),"")</f>
        <v/>
      </c>
      <c r="BS573" s="21" t="str">
        <f ca="1">IFERROR(VLOOKUP(Z573,OFFSET(abbreviation[],0,ColumnLanguage),ColumnAbbreviation,FALSE),"")</f>
        <v/>
      </c>
      <c r="BT573" s="21" t="str">
        <f ca="1">IFERROR(VLOOKUP(AB573,OFFSET(abbreviation[],0,ColumnLanguage),ColumnAbbreviation,FALSE),"")</f>
        <v/>
      </c>
      <c r="BU573" s="21" t="str">
        <f t="shared" ca="1" si="57"/>
        <v>__</v>
      </c>
      <c r="BV573" s="21" t="str">
        <f ca="1">IFERROR(VLOOKUP(AF573,OFFSET(abbreviation[],0,ColumnLanguage),ColumnAbbreviation,FALSE),"")</f>
        <v/>
      </c>
      <c r="BW573" s="21" t="str">
        <f ca="1">IFERROR(VLOOKUP(AH573,OFFSET(abbreviation[],0,ColumnLanguage),ColumnAbbreviation,FALSE),"")</f>
        <v/>
      </c>
      <c r="BX573" s="21" t="str">
        <f ca="1">IFERROR(VLOOKUP(AJ573,OFFSET(abbreviation[],0,ColumnLanguage),ColumnAbbreviation,FALSE),"")</f>
        <v/>
      </c>
      <c r="BY573" s="21" t="str">
        <f ca="1">IFERROR(VLOOKUP(AL573,OFFSET(abbreviation[],0,ColumnLanguage),ColumnAbbreviation,FALSE),"")</f>
        <v/>
      </c>
      <c r="BZ573" s="21" t="str">
        <f t="shared" ca="1" si="58"/>
        <v>_</v>
      </c>
      <c r="CA573" s="21" t="str">
        <f ca="1">IFERROR(VLOOKUP(AP573,OFFSET(abbreviation[],0,ColumnLanguage),ColumnAbbreviation,FALSE),"")</f>
        <v/>
      </c>
      <c r="CB573" s="21" t="str">
        <f ca="1">IFERROR(VLOOKUP(AR573,OFFSET(abbreviation[],0,ColumnLanguage),ColumnAbbreviation,FALSE),"")</f>
        <v/>
      </c>
      <c r="CC573" s="21" t="str">
        <f ca="1">IFERROR(VLOOKUP(AT573,OFFSET(abbreviation[],0,ColumnLanguage),ColumnAbbreviation,FALSE),"")</f>
        <v/>
      </c>
      <c r="CD573" s="21" t="str">
        <f ca="1">IFERROR(VLOOKUP(AV573,OFFSET(abbreviation[],0,ColumnLanguage),ColumnAbbreviation,FALSE),"")</f>
        <v/>
      </c>
      <c r="CE573" s="21" t="str">
        <f t="shared" ca="1" si="59"/>
        <v>__</v>
      </c>
      <c r="CF573" s="21" t="str">
        <f ca="1">IFERROR(VLOOKUP(AX573,OFFSET(abbreviation[],0,ColumnLanguage),ColumnAbbreviation,FALSE),"")</f>
        <v/>
      </c>
      <c r="CG573" s="21" t="str">
        <f ca="1">IFERROR(VLOOKUP(AZ573,OFFSET(abbreviation[],0,ColumnLanguage),ColumnAbbreviation,FALSE),"")</f>
        <v/>
      </c>
      <c r="CH573" s="21" t="str">
        <f ca="1">IFERROR(VLOOKUP(BB573,OFFSET(abbreviation[],0,ColumnLanguage),ColumnAbbreviation,FALSE),"")</f>
        <v/>
      </c>
      <c r="CI573" s="21" t="str">
        <f ca="1">IFERROR(VLOOKUP(BD573,OFFSET(abbreviation[],0,ColumnLanguage),ColumnAbbreviation,FALSE),"")</f>
        <v/>
      </c>
      <c r="CJ573" s="21" t="str">
        <f ca="1">IFERROR(VLOOKUP(BF573,OFFSET(abbreviation[],0,ColumnLanguage),ColumnAbbreviation,FALSE),"")</f>
        <v/>
      </c>
      <c r="CK573" s="21" t="str">
        <f t="shared" ca="1" si="60"/>
        <v/>
      </c>
      <c r="CL573" s="21" t="str">
        <f t="shared" si="61"/>
        <v/>
      </c>
      <c r="CM573" s="52"/>
      <c r="CN573" s="57" t="str">
        <f t="shared" si="62"/>
        <v/>
      </c>
    </row>
    <row r="574" spans="14:92" x14ac:dyDescent="0.25">
      <c r="N574" s="58"/>
      <c r="P574" s="60"/>
      <c r="Q574" s="13"/>
      <c r="V574" s="60"/>
      <c r="X574" s="61"/>
      <c r="AB574" s="60"/>
      <c r="AN574" s="54"/>
      <c r="AS574" s="15"/>
      <c r="BH574" s="52"/>
      <c r="BI574" s="21" t="str">
        <f ca="1">IFERROR(VLOOKUP(C574,OFFSET(abbreviation[],0,ColumnLanguage),ColumnAbbreviation,FALSE),"")</f>
        <v/>
      </c>
      <c r="BJ574" s="21" t="str">
        <f ca="1">IFERROR(VLOOKUP(E574,OFFSET(abbreviation[],0,ColumnLanguage),ColumnAbbreviation,FALSE),"")</f>
        <v/>
      </c>
      <c r="BK574" s="21" t="str">
        <f ca="1">IFERROR(VLOOKUP(G574,OFFSET(abbreviation[],0,ColumnLanguage),ColumnAbbreviation,FALSE),"")</f>
        <v/>
      </c>
      <c r="BL574" s="21" t="str">
        <f ca="1">IFERROR(VLOOKUP(I574,OFFSET(abbreviation[],0,ColumnLanguage),ColumnAbbreviation,FALSE),"")</f>
        <v/>
      </c>
      <c r="BM574" s="21" t="str">
        <f ca="1">IFERROR(VLOOKUP(K574,OFFSET(abbreviation[],0,ColumnLanguage),ColumnAbbreviation,FALSE),"")</f>
        <v/>
      </c>
      <c r="BN574" s="21" t="str">
        <f t="shared" ca="1" si="56"/>
        <v/>
      </c>
      <c r="BO574" s="21" t="str">
        <f ca="1">IFERROR(VLOOKUP(N574,OFFSET(abbreviation[],0,ColumnLanguage),ColumnAbbreviation,FALSE),"")</f>
        <v/>
      </c>
      <c r="BP574" s="21" t="str">
        <f ca="1">IFERROR(VLOOKUP(P574,OFFSET(abbreviation[],0,ColumnLanguage),ColumnAbbreviation,FALSE),"")</f>
        <v/>
      </c>
      <c r="BQ574" s="21" t="str">
        <f ca="1">IFERROR(VLOOKUP(T574,OFFSET(abbreviation[],0,ColumnLanguage),ColumnAbbreviation,FALSE),"")</f>
        <v/>
      </c>
      <c r="BR574" s="21" t="str">
        <f ca="1">IFERROR(VLOOKUP(V574,OFFSET(abbreviation[],0,ColumnLanguage),ColumnAbbreviation,FALSE),"")</f>
        <v/>
      </c>
      <c r="BS574" s="21" t="str">
        <f ca="1">IFERROR(VLOOKUP(Z574,OFFSET(abbreviation[],0,ColumnLanguage),ColumnAbbreviation,FALSE),"")</f>
        <v/>
      </c>
      <c r="BT574" s="21" t="str">
        <f ca="1">IFERROR(VLOOKUP(AB574,OFFSET(abbreviation[],0,ColumnLanguage),ColumnAbbreviation,FALSE),"")</f>
        <v/>
      </c>
      <c r="BU574" s="21" t="str">
        <f t="shared" ca="1" si="57"/>
        <v>__</v>
      </c>
      <c r="BV574" s="21" t="str">
        <f ca="1">IFERROR(VLOOKUP(AF574,OFFSET(abbreviation[],0,ColumnLanguage),ColumnAbbreviation,FALSE),"")</f>
        <v/>
      </c>
      <c r="BW574" s="21" t="str">
        <f ca="1">IFERROR(VLOOKUP(AH574,OFFSET(abbreviation[],0,ColumnLanguage),ColumnAbbreviation,FALSE),"")</f>
        <v/>
      </c>
      <c r="BX574" s="21" t="str">
        <f ca="1">IFERROR(VLOOKUP(AJ574,OFFSET(abbreviation[],0,ColumnLanguage),ColumnAbbreviation,FALSE),"")</f>
        <v/>
      </c>
      <c r="BY574" s="21" t="str">
        <f ca="1">IFERROR(VLOOKUP(AL574,OFFSET(abbreviation[],0,ColumnLanguage),ColumnAbbreviation,FALSE),"")</f>
        <v/>
      </c>
      <c r="BZ574" s="21" t="str">
        <f t="shared" ca="1" si="58"/>
        <v>_</v>
      </c>
      <c r="CA574" s="21" t="str">
        <f ca="1">IFERROR(VLOOKUP(AP574,OFFSET(abbreviation[],0,ColumnLanguage),ColumnAbbreviation,FALSE),"")</f>
        <v/>
      </c>
      <c r="CB574" s="21" t="str">
        <f ca="1">IFERROR(VLOOKUP(AR574,OFFSET(abbreviation[],0,ColumnLanguage),ColumnAbbreviation,FALSE),"")</f>
        <v/>
      </c>
      <c r="CC574" s="21" t="str">
        <f ca="1">IFERROR(VLOOKUP(AT574,OFFSET(abbreviation[],0,ColumnLanguage),ColumnAbbreviation,FALSE),"")</f>
        <v/>
      </c>
      <c r="CD574" s="21" t="str">
        <f ca="1">IFERROR(VLOOKUP(AV574,OFFSET(abbreviation[],0,ColumnLanguage),ColumnAbbreviation,FALSE),"")</f>
        <v/>
      </c>
      <c r="CE574" s="21" t="str">
        <f t="shared" ca="1" si="59"/>
        <v>__</v>
      </c>
      <c r="CF574" s="21" t="str">
        <f ca="1">IFERROR(VLOOKUP(AX574,OFFSET(abbreviation[],0,ColumnLanguage),ColumnAbbreviation,FALSE),"")</f>
        <v/>
      </c>
      <c r="CG574" s="21" t="str">
        <f ca="1">IFERROR(VLOOKUP(AZ574,OFFSET(abbreviation[],0,ColumnLanguage),ColumnAbbreviation,FALSE),"")</f>
        <v/>
      </c>
      <c r="CH574" s="21" t="str">
        <f ca="1">IFERROR(VLOOKUP(BB574,OFFSET(abbreviation[],0,ColumnLanguage),ColumnAbbreviation,FALSE),"")</f>
        <v/>
      </c>
      <c r="CI574" s="21" t="str">
        <f ca="1">IFERROR(VLOOKUP(BD574,OFFSET(abbreviation[],0,ColumnLanguage),ColumnAbbreviation,FALSE),"")</f>
        <v/>
      </c>
      <c r="CJ574" s="21" t="str">
        <f ca="1">IFERROR(VLOOKUP(BF574,OFFSET(abbreviation[],0,ColumnLanguage),ColumnAbbreviation,FALSE),"")</f>
        <v/>
      </c>
      <c r="CK574" s="21" t="str">
        <f t="shared" ca="1" si="60"/>
        <v/>
      </c>
      <c r="CL574" s="21" t="str">
        <f t="shared" si="61"/>
        <v/>
      </c>
      <c r="CM574" s="52"/>
      <c r="CN574" s="57" t="str">
        <f t="shared" si="62"/>
        <v/>
      </c>
    </row>
    <row r="575" spans="14:92" x14ac:dyDescent="0.25">
      <c r="N575" s="58"/>
      <c r="P575" s="60"/>
      <c r="Q575" s="13"/>
      <c r="V575" s="60"/>
      <c r="X575" s="61"/>
      <c r="AB575" s="60"/>
      <c r="AN575" s="54"/>
      <c r="AS575" s="15"/>
      <c r="BH575" s="52"/>
      <c r="BI575" s="21" t="str">
        <f ca="1">IFERROR(VLOOKUP(C575,OFFSET(abbreviation[],0,ColumnLanguage),ColumnAbbreviation,FALSE),"")</f>
        <v/>
      </c>
      <c r="BJ575" s="21" t="str">
        <f ca="1">IFERROR(VLOOKUP(E575,OFFSET(abbreviation[],0,ColumnLanguage),ColumnAbbreviation,FALSE),"")</f>
        <v/>
      </c>
      <c r="BK575" s="21" t="str">
        <f ca="1">IFERROR(VLOOKUP(G575,OFFSET(abbreviation[],0,ColumnLanguage),ColumnAbbreviation,FALSE),"")</f>
        <v/>
      </c>
      <c r="BL575" s="21" t="str">
        <f ca="1">IFERROR(VLOOKUP(I575,OFFSET(abbreviation[],0,ColumnLanguage),ColumnAbbreviation,FALSE),"")</f>
        <v/>
      </c>
      <c r="BM575" s="21" t="str">
        <f ca="1">IFERROR(VLOOKUP(K575,OFFSET(abbreviation[],0,ColumnLanguage),ColumnAbbreviation,FALSE),"")</f>
        <v/>
      </c>
      <c r="BN575" s="21" t="str">
        <f t="shared" ca="1" si="56"/>
        <v/>
      </c>
      <c r="BO575" s="21" t="str">
        <f ca="1">IFERROR(VLOOKUP(N575,OFFSET(abbreviation[],0,ColumnLanguage),ColumnAbbreviation,FALSE),"")</f>
        <v/>
      </c>
      <c r="BP575" s="21" t="str">
        <f ca="1">IFERROR(VLOOKUP(P575,OFFSET(abbreviation[],0,ColumnLanguage),ColumnAbbreviation,FALSE),"")</f>
        <v/>
      </c>
      <c r="BQ575" s="21" t="str">
        <f ca="1">IFERROR(VLOOKUP(T575,OFFSET(abbreviation[],0,ColumnLanguage),ColumnAbbreviation,FALSE),"")</f>
        <v/>
      </c>
      <c r="BR575" s="21" t="str">
        <f ca="1">IFERROR(VLOOKUP(V575,OFFSET(abbreviation[],0,ColumnLanguage),ColumnAbbreviation,FALSE),"")</f>
        <v/>
      </c>
      <c r="BS575" s="21" t="str">
        <f ca="1">IFERROR(VLOOKUP(Z575,OFFSET(abbreviation[],0,ColumnLanguage),ColumnAbbreviation,FALSE),"")</f>
        <v/>
      </c>
      <c r="BT575" s="21" t="str">
        <f ca="1">IFERROR(VLOOKUP(AB575,OFFSET(abbreviation[],0,ColumnLanguage),ColumnAbbreviation,FALSE),"")</f>
        <v/>
      </c>
      <c r="BU575" s="21" t="str">
        <f t="shared" ca="1" si="57"/>
        <v>__</v>
      </c>
      <c r="BV575" s="21" t="str">
        <f ca="1">IFERROR(VLOOKUP(AF575,OFFSET(abbreviation[],0,ColumnLanguage),ColumnAbbreviation,FALSE),"")</f>
        <v/>
      </c>
      <c r="BW575" s="21" t="str">
        <f ca="1">IFERROR(VLOOKUP(AH575,OFFSET(abbreviation[],0,ColumnLanguage),ColumnAbbreviation,FALSE),"")</f>
        <v/>
      </c>
      <c r="BX575" s="21" t="str">
        <f ca="1">IFERROR(VLOOKUP(AJ575,OFFSET(abbreviation[],0,ColumnLanguage),ColumnAbbreviation,FALSE),"")</f>
        <v/>
      </c>
      <c r="BY575" s="21" t="str">
        <f ca="1">IFERROR(VLOOKUP(AL575,OFFSET(abbreviation[],0,ColumnLanguage),ColumnAbbreviation,FALSE),"")</f>
        <v/>
      </c>
      <c r="BZ575" s="21" t="str">
        <f t="shared" ca="1" si="58"/>
        <v>_</v>
      </c>
      <c r="CA575" s="21" t="str">
        <f ca="1">IFERROR(VLOOKUP(AP575,OFFSET(abbreviation[],0,ColumnLanguage),ColumnAbbreviation,FALSE),"")</f>
        <v/>
      </c>
      <c r="CB575" s="21" t="str">
        <f ca="1">IFERROR(VLOOKUP(AR575,OFFSET(abbreviation[],0,ColumnLanguage),ColumnAbbreviation,FALSE),"")</f>
        <v/>
      </c>
      <c r="CC575" s="21" t="str">
        <f ca="1">IFERROR(VLOOKUP(AT575,OFFSET(abbreviation[],0,ColumnLanguage),ColumnAbbreviation,FALSE),"")</f>
        <v/>
      </c>
      <c r="CD575" s="21" t="str">
        <f ca="1">IFERROR(VLOOKUP(AV575,OFFSET(abbreviation[],0,ColumnLanguage),ColumnAbbreviation,FALSE),"")</f>
        <v/>
      </c>
      <c r="CE575" s="21" t="str">
        <f t="shared" ca="1" si="59"/>
        <v>__</v>
      </c>
      <c r="CF575" s="21" t="str">
        <f ca="1">IFERROR(VLOOKUP(AX575,OFFSET(abbreviation[],0,ColumnLanguage),ColumnAbbreviation,FALSE),"")</f>
        <v/>
      </c>
      <c r="CG575" s="21" t="str">
        <f ca="1">IFERROR(VLOOKUP(AZ575,OFFSET(abbreviation[],0,ColumnLanguage),ColumnAbbreviation,FALSE),"")</f>
        <v/>
      </c>
      <c r="CH575" s="21" t="str">
        <f ca="1">IFERROR(VLOOKUP(BB575,OFFSET(abbreviation[],0,ColumnLanguage),ColumnAbbreviation,FALSE),"")</f>
        <v/>
      </c>
      <c r="CI575" s="21" t="str">
        <f ca="1">IFERROR(VLOOKUP(BD575,OFFSET(abbreviation[],0,ColumnLanguage),ColumnAbbreviation,FALSE),"")</f>
        <v/>
      </c>
      <c r="CJ575" s="21" t="str">
        <f ca="1">IFERROR(VLOOKUP(BF575,OFFSET(abbreviation[],0,ColumnLanguage),ColumnAbbreviation,FALSE),"")</f>
        <v/>
      </c>
      <c r="CK575" s="21" t="str">
        <f t="shared" ca="1" si="60"/>
        <v/>
      </c>
      <c r="CL575" s="21" t="str">
        <f t="shared" si="61"/>
        <v/>
      </c>
      <c r="CM575" s="52"/>
      <c r="CN575" s="57" t="str">
        <f t="shared" si="62"/>
        <v/>
      </c>
    </row>
    <row r="576" spans="14:92" x14ac:dyDescent="0.25">
      <c r="N576" s="58"/>
      <c r="P576" s="60"/>
      <c r="Q576" s="13"/>
      <c r="V576" s="60"/>
      <c r="X576" s="61"/>
      <c r="AB576" s="60"/>
      <c r="AN576" s="54"/>
      <c r="AS576" s="15"/>
      <c r="BH576" s="52"/>
      <c r="BI576" s="21" t="str">
        <f ca="1">IFERROR(VLOOKUP(C576,OFFSET(abbreviation[],0,ColumnLanguage),ColumnAbbreviation,FALSE),"")</f>
        <v/>
      </c>
      <c r="BJ576" s="21" t="str">
        <f ca="1">IFERROR(VLOOKUP(E576,OFFSET(abbreviation[],0,ColumnLanguage),ColumnAbbreviation,FALSE),"")</f>
        <v/>
      </c>
      <c r="BK576" s="21" t="str">
        <f ca="1">IFERROR(VLOOKUP(G576,OFFSET(abbreviation[],0,ColumnLanguage),ColumnAbbreviation,FALSE),"")</f>
        <v/>
      </c>
      <c r="BL576" s="21" t="str">
        <f ca="1">IFERROR(VLOOKUP(I576,OFFSET(abbreviation[],0,ColumnLanguage),ColumnAbbreviation,FALSE),"")</f>
        <v/>
      </c>
      <c r="BM576" s="21" t="str">
        <f ca="1">IFERROR(VLOOKUP(K576,OFFSET(abbreviation[],0,ColumnLanguage),ColumnAbbreviation,FALSE),"")</f>
        <v/>
      </c>
      <c r="BN576" s="21" t="str">
        <f t="shared" ca="1" si="56"/>
        <v/>
      </c>
      <c r="BO576" s="21" t="str">
        <f ca="1">IFERROR(VLOOKUP(N576,OFFSET(abbreviation[],0,ColumnLanguage),ColumnAbbreviation,FALSE),"")</f>
        <v/>
      </c>
      <c r="BP576" s="21" t="str">
        <f ca="1">IFERROR(VLOOKUP(P576,OFFSET(abbreviation[],0,ColumnLanguage),ColumnAbbreviation,FALSE),"")</f>
        <v/>
      </c>
      <c r="BQ576" s="21" t="str">
        <f ca="1">IFERROR(VLOOKUP(T576,OFFSET(abbreviation[],0,ColumnLanguage),ColumnAbbreviation,FALSE),"")</f>
        <v/>
      </c>
      <c r="BR576" s="21" t="str">
        <f ca="1">IFERROR(VLOOKUP(V576,OFFSET(abbreviation[],0,ColumnLanguage),ColumnAbbreviation,FALSE),"")</f>
        <v/>
      </c>
      <c r="BS576" s="21" t="str">
        <f ca="1">IFERROR(VLOOKUP(Z576,OFFSET(abbreviation[],0,ColumnLanguage),ColumnAbbreviation,FALSE),"")</f>
        <v/>
      </c>
      <c r="BT576" s="21" t="str">
        <f ca="1">IFERROR(VLOOKUP(AB576,OFFSET(abbreviation[],0,ColumnLanguage),ColumnAbbreviation,FALSE),"")</f>
        <v/>
      </c>
      <c r="BU576" s="21" t="str">
        <f t="shared" ca="1" si="57"/>
        <v>__</v>
      </c>
      <c r="BV576" s="21" t="str">
        <f ca="1">IFERROR(VLOOKUP(AF576,OFFSET(abbreviation[],0,ColumnLanguage),ColumnAbbreviation,FALSE),"")</f>
        <v/>
      </c>
      <c r="BW576" s="21" t="str">
        <f ca="1">IFERROR(VLOOKUP(AH576,OFFSET(abbreviation[],0,ColumnLanguage),ColumnAbbreviation,FALSE),"")</f>
        <v/>
      </c>
      <c r="BX576" s="21" t="str">
        <f ca="1">IFERROR(VLOOKUP(AJ576,OFFSET(abbreviation[],0,ColumnLanguage),ColumnAbbreviation,FALSE),"")</f>
        <v/>
      </c>
      <c r="BY576" s="21" t="str">
        <f ca="1">IFERROR(VLOOKUP(AL576,OFFSET(abbreviation[],0,ColumnLanguage),ColumnAbbreviation,FALSE),"")</f>
        <v/>
      </c>
      <c r="BZ576" s="21" t="str">
        <f t="shared" ca="1" si="58"/>
        <v>_</v>
      </c>
      <c r="CA576" s="21" t="str">
        <f ca="1">IFERROR(VLOOKUP(AP576,OFFSET(abbreviation[],0,ColumnLanguage),ColumnAbbreviation,FALSE),"")</f>
        <v/>
      </c>
      <c r="CB576" s="21" t="str">
        <f ca="1">IFERROR(VLOOKUP(AR576,OFFSET(abbreviation[],0,ColumnLanguage),ColumnAbbreviation,FALSE),"")</f>
        <v/>
      </c>
      <c r="CC576" s="21" t="str">
        <f ca="1">IFERROR(VLOOKUP(AT576,OFFSET(abbreviation[],0,ColumnLanguage),ColumnAbbreviation,FALSE),"")</f>
        <v/>
      </c>
      <c r="CD576" s="21" t="str">
        <f ca="1">IFERROR(VLOOKUP(AV576,OFFSET(abbreviation[],0,ColumnLanguage),ColumnAbbreviation,FALSE),"")</f>
        <v/>
      </c>
      <c r="CE576" s="21" t="str">
        <f t="shared" ca="1" si="59"/>
        <v>__</v>
      </c>
      <c r="CF576" s="21" t="str">
        <f ca="1">IFERROR(VLOOKUP(AX576,OFFSET(abbreviation[],0,ColumnLanguage),ColumnAbbreviation,FALSE),"")</f>
        <v/>
      </c>
      <c r="CG576" s="21" t="str">
        <f ca="1">IFERROR(VLOOKUP(AZ576,OFFSET(abbreviation[],0,ColumnLanguage),ColumnAbbreviation,FALSE),"")</f>
        <v/>
      </c>
      <c r="CH576" s="21" t="str">
        <f ca="1">IFERROR(VLOOKUP(BB576,OFFSET(abbreviation[],0,ColumnLanguage),ColumnAbbreviation,FALSE),"")</f>
        <v/>
      </c>
      <c r="CI576" s="21" t="str">
        <f ca="1">IFERROR(VLOOKUP(BD576,OFFSET(abbreviation[],0,ColumnLanguage),ColumnAbbreviation,FALSE),"")</f>
        <v/>
      </c>
      <c r="CJ576" s="21" t="str">
        <f ca="1">IFERROR(VLOOKUP(BF576,OFFSET(abbreviation[],0,ColumnLanguage),ColumnAbbreviation,FALSE),"")</f>
        <v/>
      </c>
      <c r="CK576" s="21" t="str">
        <f t="shared" ca="1" si="60"/>
        <v/>
      </c>
      <c r="CL576" s="21" t="str">
        <f t="shared" si="61"/>
        <v/>
      </c>
      <c r="CM576" s="52"/>
      <c r="CN576" s="57" t="str">
        <f t="shared" si="62"/>
        <v/>
      </c>
    </row>
    <row r="577" spans="14:92" x14ac:dyDescent="0.25">
      <c r="N577" s="58"/>
      <c r="P577" s="60"/>
      <c r="Q577" s="13"/>
      <c r="V577" s="60"/>
      <c r="X577" s="61"/>
      <c r="AB577" s="60"/>
      <c r="AN577" s="54"/>
      <c r="AS577" s="15"/>
      <c r="BH577" s="52"/>
      <c r="BI577" s="21" t="str">
        <f ca="1">IFERROR(VLOOKUP(C577,OFFSET(abbreviation[],0,ColumnLanguage),ColumnAbbreviation,FALSE),"")</f>
        <v/>
      </c>
      <c r="BJ577" s="21" t="str">
        <f ca="1">IFERROR(VLOOKUP(E577,OFFSET(abbreviation[],0,ColumnLanguage),ColumnAbbreviation,FALSE),"")</f>
        <v/>
      </c>
      <c r="BK577" s="21" t="str">
        <f ca="1">IFERROR(VLOOKUP(G577,OFFSET(abbreviation[],0,ColumnLanguage),ColumnAbbreviation,FALSE),"")</f>
        <v/>
      </c>
      <c r="BL577" s="21" t="str">
        <f ca="1">IFERROR(VLOOKUP(I577,OFFSET(abbreviation[],0,ColumnLanguage),ColumnAbbreviation,FALSE),"")</f>
        <v/>
      </c>
      <c r="BM577" s="21" t="str">
        <f ca="1">IFERROR(VLOOKUP(K577,OFFSET(abbreviation[],0,ColumnLanguage),ColumnAbbreviation,FALSE),"")</f>
        <v/>
      </c>
      <c r="BN577" s="21" t="str">
        <f t="shared" ca="1" si="56"/>
        <v/>
      </c>
      <c r="BO577" s="21" t="str">
        <f ca="1">IFERROR(VLOOKUP(N577,OFFSET(abbreviation[],0,ColumnLanguage),ColumnAbbreviation,FALSE),"")</f>
        <v/>
      </c>
      <c r="BP577" s="21" t="str">
        <f ca="1">IFERROR(VLOOKUP(P577,OFFSET(abbreviation[],0,ColumnLanguage),ColumnAbbreviation,FALSE),"")</f>
        <v/>
      </c>
      <c r="BQ577" s="21" t="str">
        <f ca="1">IFERROR(VLOOKUP(T577,OFFSET(abbreviation[],0,ColumnLanguage),ColumnAbbreviation,FALSE),"")</f>
        <v/>
      </c>
      <c r="BR577" s="21" t="str">
        <f ca="1">IFERROR(VLOOKUP(V577,OFFSET(abbreviation[],0,ColumnLanguage),ColumnAbbreviation,FALSE),"")</f>
        <v/>
      </c>
      <c r="BS577" s="21" t="str">
        <f ca="1">IFERROR(VLOOKUP(Z577,OFFSET(abbreviation[],0,ColumnLanguage),ColumnAbbreviation,FALSE),"")</f>
        <v/>
      </c>
      <c r="BT577" s="21" t="str">
        <f ca="1">IFERROR(VLOOKUP(AB577,OFFSET(abbreviation[],0,ColumnLanguage),ColumnAbbreviation,FALSE),"")</f>
        <v/>
      </c>
      <c r="BU577" s="21" t="str">
        <f t="shared" ca="1" si="57"/>
        <v>__</v>
      </c>
      <c r="BV577" s="21" t="str">
        <f ca="1">IFERROR(VLOOKUP(AF577,OFFSET(abbreviation[],0,ColumnLanguage),ColumnAbbreviation,FALSE),"")</f>
        <v/>
      </c>
      <c r="BW577" s="21" t="str">
        <f ca="1">IFERROR(VLOOKUP(AH577,OFFSET(abbreviation[],0,ColumnLanguage),ColumnAbbreviation,FALSE),"")</f>
        <v/>
      </c>
      <c r="BX577" s="21" t="str">
        <f ca="1">IFERROR(VLOOKUP(AJ577,OFFSET(abbreviation[],0,ColumnLanguage),ColumnAbbreviation,FALSE),"")</f>
        <v/>
      </c>
      <c r="BY577" s="21" t="str">
        <f ca="1">IFERROR(VLOOKUP(AL577,OFFSET(abbreviation[],0,ColumnLanguage),ColumnAbbreviation,FALSE),"")</f>
        <v/>
      </c>
      <c r="BZ577" s="21" t="str">
        <f t="shared" ca="1" si="58"/>
        <v>_</v>
      </c>
      <c r="CA577" s="21" t="str">
        <f ca="1">IFERROR(VLOOKUP(AP577,OFFSET(abbreviation[],0,ColumnLanguage),ColumnAbbreviation,FALSE),"")</f>
        <v/>
      </c>
      <c r="CB577" s="21" t="str">
        <f ca="1">IFERROR(VLOOKUP(AR577,OFFSET(abbreviation[],0,ColumnLanguage),ColumnAbbreviation,FALSE),"")</f>
        <v/>
      </c>
      <c r="CC577" s="21" t="str">
        <f ca="1">IFERROR(VLOOKUP(AT577,OFFSET(abbreviation[],0,ColumnLanguage),ColumnAbbreviation,FALSE),"")</f>
        <v/>
      </c>
      <c r="CD577" s="21" t="str">
        <f ca="1">IFERROR(VLOOKUP(AV577,OFFSET(abbreviation[],0,ColumnLanguage),ColumnAbbreviation,FALSE),"")</f>
        <v/>
      </c>
      <c r="CE577" s="21" t="str">
        <f t="shared" ca="1" si="59"/>
        <v>__</v>
      </c>
      <c r="CF577" s="21" t="str">
        <f ca="1">IFERROR(VLOOKUP(AX577,OFFSET(abbreviation[],0,ColumnLanguage),ColumnAbbreviation,FALSE),"")</f>
        <v/>
      </c>
      <c r="CG577" s="21" t="str">
        <f ca="1">IFERROR(VLOOKUP(AZ577,OFFSET(abbreviation[],0,ColumnLanguage),ColumnAbbreviation,FALSE),"")</f>
        <v/>
      </c>
      <c r="CH577" s="21" t="str">
        <f ca="1">IFERROR(VLOOKUP(BB577,OFFSET(abbreviation[],0,ColumnLanguage),ColumnAbbreviation,FALSE),"")</f>
        <v/>
      </c>
      <c r="CI577" s="21" t="str">
        <f ca="1">IFERROR(VLOOKUP(BD577,OFFSET(abbreviation[],0,ColumnLanguage),ColumnAbbreviation,FALSE),"")</f>
        <v/>
      </c>
      <c r="CJ577" s="21" t="str">
        <f ca="1">IFERROR(VLOOKUP(BF577,OFFSET(abbreviation[],0,ColumnLanguage),ColumnAbbreviation,FALSE),"")</f>
        <v/>
      </c>
      <c r="CK577" s="21" t="str">
        <f t="shared" ca="1" si="60"/>
        <v/>
      </c>
      <c r="CL577" s="21" t="str">
        <f t="shared" si="61"/>
        <v/>
      </c>
      <c r="CM577" s="52"/>
      <c r="CN577" s="57" t="str">
        <f t="shared" si="62"/>
        <v/>
      </c>
    </row>
    <row r="578" spans="14:92" x14ac:dyDescent="0.25">
      <c r="N578" s="58"/>
      <c r="P578" s="60"/>
      <c r="Q578" s="13"/>
      <c r="V578" s="60"/>
      <c r="X578" s="61"/>
      <c r="AB578" s="60"/>
      <c r="AN578" s="54"/>
      <c r="AS578" s="15"/>
      <c r="BH578" s="52"/>
      <c r="BI578" s="21" t="str">
        <f ca="1">IFERROR(VLOOKUP(C578,OFFSET(abbreviation[],0,ColumnLanguage),ColumnAbbreviation,FALSE),"")</f>
        <v/>
      </c>
      <c r="BJ578" s="21" t="str">
        <f ca="1">IFERROR(VLOOKUP(E578,OFFSET(abbreviation[],0,ColumnLanguage),ColumnAbbreviation,FALSE),"")</f>
        <v/>
      </c>
      <c r="BK578" s="21" t="str">
        <f ca="1">IFERROR(VLOOKUP(G578,OFFSET(abbreviation[],0,ColumnLanguage),ColumnAbbreviation,FALSE),"")</f>
        <v/>
      </c>
      <c r="BL578" s="21" t="str">
        <f ca="1">IFERROR(VLOOKUP(I578,OFFSET(abbreviation[],0,ColumnLanguage),ColumnAbbreviation,FALSE),"")</f>
        <v/>
      </c>
      <c r="BM578" s="21" t="str">
        <f ca="1">IFERROR(VLOOKUP(K578,OFFSET(abbreviation[],0,ColumnLanguage),ColumnAbbreviation,FALSE),"")</f>
        <v/>
      </c>
      <c r="BN578" s="21" t="str">
        <f t="shared" ca="1" si="56"/>
        <v/>
      </c>
      <c r="BO578" s="21" t="str">
        <f ca="1">IFERROR(VLOOKUP(N578,OFFSET(abbreviation[],0,ColumnLanguage),ColumnAbbreviation,FALSE),"")</f>
        <v/>
      </c>
      <c r="BP578" s="21" t="str">
        <f ca="1">IFERROR(VLOOKUP(P578,OFFSET(abbreviation[],0,ColumnLanguage),ColumnAbbreviation,FALSE),"")</f>
        <v/>
      </c>
      <c r="BQ578" s="21" t="str">
        <f ca="1">IFERROR(VLOOKUP(T578,OFFSET(abbreviation[],0,ColumnLanguage),ColumnAbbreviation,FALSE),"")</f>
        <v/>
      </c>
      <c r="BR578" s="21" t="str">
        <f ca="1">IFERROR(VLOOKUP(V578,OFFSET(abbreviation[],0,ColumnLanguage),ColumnAbbreviation,FALSE),"")</f>
        <v/>
      </c>
      <c r="BS578" s="21" t="str">
        <f ca="1">IFERROR(VLOOKUP(Z578,OFFSET(abbreviation[],0,ColumnLanguage),ColumnAbbreviation,FALSE),"")</f>
        <v/>
      </c>
      <c r="BT578" s="21" t="str">
        <f ca="1">IFERROR(VLOOKUP(AB578,OFFSET(abbreviation[],0,ColumnLanguage),ColumnAbbreviation,FALSE),"")</f>
        <v/>
      </c>
      <c r="BU578" s="21" t="str">
        <f t="shared" ca="1" si="57"/>
        <v>__</v>
      </c>
      <c r="BV578" s="21" t="str">
        <f ca="1">IFERROR(VLOOKUP(AF578,OFFSET(abbreviation[],0,ColumnLanguage),ColumnAbbreviation,FALSE),"")</f>
        <v/>
      </c>
      <c r="BW578" s="21" t="str">
        <f ca="1">IFERROR(VLOOKUP(AH578,OFFSET(abbreviation[],0,ColumnLanguage),ColumnAbbreviation,FALSE),"")</f>
        <v/>
      </c>
      <c r="BX578" s="21" t="str">
        <f ca="1">IFERROR(VLOOKUP(AJ578,OFFSET(abbreviation[],0,ColumnLanguage),ColumnAbbreviation,FALSE),"")</f>
        <v/>
      </c>
      <c r="BY578" s="21" t="str">
        <f ca="1">IFERROR(VLOOKUP(AL578,OFFSET(abbreviation[],0,ColumnLanguage),ColumnAbbreviation,FALSE),"")</f>
        <v/>
      </c>
      <c r="BZ578" s="21" t="str">
        <f t="shared" ca="1" si="58"/>
        <v>_</v>
      </c>
      <c r="CA578" s="21" t="str">
        <f ca="1">IFERROR(VLOOKUP(AP578,OFFSET(abbreviation[],0,ColumnLanguage),ColumnAbbreviation,FALSE),"")</f>
        <v/>
      </c>
      <c r="CB578" s="21" t="str">
        <f ca="1">IFERROR(VLOOKUP(AR578,OFFSET(abbreviation[],0,ColumnLanguage),ColumnAbbreviation,FALSE),"")</f>
        <v/>
      </c>
      <c r="CC578" s="21" t="str">
        <f ca="1">IFERROR(VLOOKUP(AT578,OFFSET(abbreviation[],0,ColumnLanguage),ColumnAbbreviation,FALSE),"")</f>
        <v/>
      </c>
      <c r="CD578" s="21" t="str">
        <f ca="1">IFERROR(VLOOKUP(AV578,OFFSET(abbreviation[],0,ColumnLanguage),ColumnAbbreviation,FALSE),"")</f>
        <v/>
      </c>
      <c r="CE578" s="21" t="str">
        <f t="shared" ca="1" si="59"/>
        <v>__</v>
      </c>
      <c r="CF578" s="21" t="str">
        <f ca="1">IFERROR(VLOOKUP(AX578,OFFSET(abbreviation[],0,ColumnLanguage),ColumnAbbreviation,FALSE),"")</f>
        <v/>
      </c>
      <c r="CG578" s="21" t="str">
        <f ca="1">IFERROR(VLOOKUP(AZ578,OFFSET(abbreviation[],0,ColumnLanguage),ColumnAbbreviation,FALSE),"")</f>
        <v/>
      </c>
      <c r="CH578" s="21" t="str">
        <f ca="1">IFERROR(VLOOKUP(BB578,OFFSET(abbreviation[],0,ColumnLanguage),ColumnAbbreviation,FALSE),"")</f>
        <v/>
      </c>
      <c r="CI578" s="21" t="str">
        <f ca="1">IFERROR(VLOOKUP(BD578,OFFSET(abbreviation[],0,ColumnLanguage),ColumnAbbreviation,FALSE),"")</f>
        <v/>
      </c>
      <c r="CJ578" s="21" t="str">
        <f ca="1">IFERROR(VLOOKUP(BF578,OFFSET(abbreviation[],0,ColumnLanguage),ColumnAbbreviation,FALSE),"")</f>
        <v/>
      </c>
      <c r="CK578" s="21" t="str">
        <f t="shared" ca="1" si="60"/>
        <v/>
      </c>
      <c r="CL578" s="21" t="str">
        <f t="shared" si="61"/>
        <v/>
      </c>
      <c r="CM578" s="52"/>
      <c r="CN578" s="57" t="str">
        <f t="shared" si="62"/>
        <v/>
      </c>
    </row>
    <row r="579" spans="14:92" x14ac:dyDescent="0.25">
      <c r="N579" s="58"/>
      <c r="P579" s="60"/>
      <c r="Q579" s="13"/>
      <c r="V579" s="60"/>
      <c r="X579" s="61"/>
      <c r="AB579" s="60"/>
      <c r="AN579" s="54"/>
      <c r="AS579" s="15"/>
      <c r="BH579" s="52"/>
      <c r="BI579" s="21" t="str">
        <f ca="1">IFERROR(VLOOKUP(C579,OFFSET(abbreviation[],0,ColumnLanguage),ColumnAbbreviation,FALSE),"")</f>
        <v/>
      </c>
      <c r="BJ579" s="21" t="str">
        <f ca="1">IFERROR(VLOOKUP(E579,OFFSET(abbreviation[],0,ColumnLanguage),ColumnAbbreviation,FALSE),"")</f>
        <v/>
      </c>
      <c r="BK579" s="21" t="str">
        <f ca="1">IFERROR(VLOOKUP(G579,OFFSET(abbreviation[],0,ColumnLanguage),ColumnAbbreviation,FALSE),"")</f>
        <v/>
      </c>
      <c r="BL579" s="21" t="str">
        <f ca="1">IFERROR(VLOOKUP(I579,OFFSET(abbreviation[],0,ColumnLanguage),ColumnAbbreviation,FALSE),"")</f>
        <v/>
      </c>
      <c r="BM579" s="21" t="str">
        <f ca="1">IFERROR(VLOOKUP(K579,OFFSET(abbreviation[],0,ColumnLanguage),ColumnAbbreviation,FALSE),"")</f>
        <v/>
      </c>
      <c r="BN579" s="21" t="str">
        <f t="shared" ca="1" si="56"/>
        <v/>
      </c>
      <c r="BO579" s="21" t="str">
        <f ca="1">IFERROR(VLOOKUP(N579,OFFSET(abbreviation[],0,ColumnLanguage),ColumnAbbreviation,FALSE),"")</f>
        <v/>
      </c>
      <c r="BP579" s="21" t="str">
        <f ca="1">IFERROR(VLOOKUP(P579,OFFSET(abbreviation[],0,ColumnLanguage),ColumnAbbreviation,FALSE),"")</f>
        <v/>
      </c>
      <c r="BQ579" s="21" t="str">
        <f ca="1">IFERROR(VLOOKUP(T579,OFFSET(abbreviation[],0,ColumnLanguage),ColumnAbbreviation,FALSE),"")</f>
        <v/>
      </c>
      <c r="BR579" s="21" t="str">
        <f ca="1">IFERROR(VLOOKUP(V579,OFFSET(abbreviation[],0,ColumnLanguage),ColumnAbbreviation,FALSE),"")</f>
        <v/>
      </c>
      <c r="BS579" s="21" t="str">
        <f ca="1">IFERROR(VLOOKUP(Z579,OFFSET(abbreviation[],0,ColumnLanguage),ColumnAbbreviation,FALSE),"")</f>
        <v/>
      </c>
      <c r="BT579" s="21" t="str">
        <f ca="1">IFERROR(VLOOKUP(AB579,OFFSET(abbreviation[],0,ColumnLanguage),ColumnAbbreviation,FALSE),"")</f>
        <v/>
      </c>
      <c r="BU579" s="21" t="str">
        <f t="shared" ca="1" si="57"/>
        <v>__</v>
      </c>
      <c r="BV579" s="21" t="str">
        <f ca="1">IFERROR(VLOOKUP(AF579,OFFSET(abbreviation[],0,ColumnLanguage),ColumnAbbreviation,FALSE),"")</f>
        <v/>
      </c>
      <c r="BW579" s="21" t="str">
        <f ca="1">IFERROR(VLOOKUP(AH579,OFFSET(abbreviation[],0,ColumnLanguage),ColumnAbbreviation,FALSE),"")</f>
        <v/>
      </c>
      <c r="BX579" s="21" t="str">
        <f ca="1">IFERROR(VLOOKUP(AJ579,OFFSET(abbreviation[],0,ColumnLanguage),ColumnAbbreviation,FALSE),"")</f>
        <v/>
      </c>
      <c r="BY579" s="21" t="str">
        <f ca="1">IFERROR(VLOOKUP(AL579,OFFSET(abbreviation[],0,ColumnLanguage),ColumnAbbreviation,FALSE),"")</f>
        <v/>
      </c>
      <c r="BZ579" s="21" t="str">
        <f t="shared" ca="1" si="58"/>
        <v>_</v>
      </c>
      <c r="CA579" s="21" t="str">
        <f ca="1">IFERROR(VLOOKUP(AP579,OFFSET(abbreviation[],0,ColumnLanguage),ColumnAbbreviation,FALSE),"")</f>
        <v/>
      </c>
      <c r="CB579" s="21" t="str">
        <f ca="1">IFERROR(VLOOKUP(AR579,OFFSET(abbreviation[],0,ColumnLanguage),ColumnAbbreviation,FALSE),"")</f>
        <v/>
      </c>
      <c r="CC579" s="21" t="str">
        <f ca="1">IFERROR(VLOOKUP(AT579,OFFSET(abbreviation[],0,ColumnLanguage),ColumnAbbreviation,FALSE),"")</f>
        <v/>
      </c>
      <c r="CD579" s="21" t="str">
        <f ca="1">IFERROR(VLOOKUP(AV579,OFFSET(abbreviation[],0,ColumnLanguage),ColumnAbbreviation,FALSE),"")</f>
        <v/>
      </c>
      <c r="CE579" s="21" t="str">
        <f t="shared" ca="1" si="59"/>
        <v>__</v>
      </c>
      <c r="CF579" s="21" t="str">
        <f ca="1">IFERROR(VLOOKUP(AX579,OFFSET(abbreviation[],0,ColumnLanguage),ColumnAbbreviation,FALSE),"")</f>
        <v/>
      </c>
      <c r="CG579" s="21" t="str">
        <f ca="1">IFERROR(VLOOKUP(AZ579,OFFSET(abbreviation[],0,ColumnLanguage),ColumnAbbreviation,FALSE),"")</f>
        <v/>
      </c>
      <c r="CH579" s="21" t="str">
        <f ca="1">IFERROR(VLOOKUP(BB579,OFFSET(abbreviation[],0,ColumnLanguage),ColumnAbbreviation,FALSE),"")</f>
        <v/>
      </c>
      <c r="CI579" s="21" t="str">
        <f ca="1">IFERROR(VLOOKUP(BD579,OFFSET(abbreviation[],0,ColumnLanguage),ColumnAbbreviation,FALSE),"")</f>
        <v/>
      </c>
      <c r="CJ579" s="21" t="str">
        <f ca="1">IFERROR(VLOOKUP(BF579,OFFSET(abbreviation[],0,ColumnLanguage),ColumnAbbreviation,FALSE),"")</f>
        <v/>
      </c>
      <c r="CK579" s="21" t="str">
        <f t="shared" ca="1" si="60"/>
        <v/>
      </c>
      <c r="CL579" s="21" t="str">
        <f t="shared" si="61"/>
        <v/>
      </c>
      <c r="CM579" s="52"/>
      <c r="CN579" s="57" t="str">
        <f t="shared" si="62"/>
        <v/>
      </c>
    </row>
    <row r="580" spans="14:92" x14ac:dyDescent="0.25">
      <c r="N580" s="58"/>
      <c r="P580" s="60"/>
      <c r="Q580" s="13"/>
      <c r="V580" s="60"/>
      <c r="X580" s="61"/>
      <c r="AB580" s="60"/>
      <c r="AN580" s="54"/>
      <c r="AS580" s="15"/>
      <c r="BH580" s="52"/>
      <c r="BI580" s="21" t="str">
        <f ca="1">IFERROR(VLOOKUP(C580,OFFSET(abbreviation[],0,ColumnLanguage),ColumnAbbreviation,FALSE),"")</f>
        <v/>
      </c>
      <c r="BJ580" s="21" t="str">
        <f ca="1">IFERROR(VLOOKUP(E580,OFFSET(abbreviation[],0,ColumnLanguage),ColumnAbbreviation,FALSE),"")</f>
        <v/>
      </c>
      <c r="BK580" s="21" t="str">
        <f ca="1">IFERROR(VLOOKUP(G580,OFFSET(abbreviation[],0,ColumnLanguage),ColumnAbbreviation,FALSE),"")</f>
        <v/>
      </c>
      <c r="BL580" s="21" t="str">
        <f ca="1">IFERROR(VLOOKUP(I580,OFFSET(abbreviation[],0,ColumnLanguage),ColumnAbbreviation,FALSE),"")</f>
        <v/>
      </c>
      <c r="BM580" s="21" t="str">
        <f ca="1">IFERROR(VLOOKUP(K580,OFFSET(abbreviation[],0,ColumnLanguage),ColumnAbbreviation,FALSE),"")</f>
        <v/>
      </c>
      <c r="BN580" s="21" t="str">
        <f t="shared" ref="BN580:BN643" ca="1" si="63">(BI580&amp;IF(OR(ISNUMBER(D580),ISTEXT(D580)),"-"&amp;D580,))&amp;(IF(ISTEXT(E580),"_",)&amp;BJ580&amp;IF(OR(ISNUMBER(F580),ISTEXT(F580)),"-"&amp;F580,))&amp;(IF(ISTEXT(G580),"_",)&amp;BK580&amp;IF(OR(ISNUMBER(H580),ISTEXT(H580)),"-"&amp;H580,))&amp;(IF(ISTEXT(I580),"_",)&amp;BL580&amp;IF(OR(ISNUMBER(J580),ISTEXT(J580)),"-"&amp;J580,))&amp;(IF(ISTEXT(K580),"_",)&amp;BM580&amp;IF(OR(ISNUMBER(L580),ISTEXT(L580)),"-"&amp;L580,)&amp;IF(AND(ISTEXT(BI580),BI580&lt;&gt;""),"_._",))</f>
        <v/>
      </c>
      <c r="BO580" s="21" t="str">
        <f ca="1">IFERROR(VLOOKUP(N580,OFFSET(abbreviation[],0,ColumnLanguage),ColumnAbbreviation,FALSE),"")</f>
        <v/>
      </c>
      <c r="BP580" s="21" t="str">
        <f ca="1">IFERROR(VLOOKUP(P580,OFFSET(abbreviation[],0,ColumnLanguage),ColumnAbbreviation,FALSE),"")</f>
        <v/>
      </c>
      <c r="BQ580" s="21" t="str">
        <f ca="1">IFERROR(VLOOKUP(T580,OFFSET(abbreviation[],0,ColumnLanguage),ColumnAbbreviation,FALSE),"")</f>
        <v/>
      </c>
      <c r="BR580" s="21" t="str">
        <f ca="1">IFERROR(VLOOKUP(V580,OFFSET(abbreviation[],0,ColumnLanguage),ColumnAbbreviation,FALSE),"")</f>
        <v/>
      </c>
      <c r="BS580" s="21" t="str">
        <f ca="1">IFERROR(VLOOKUP(Z580,OFFSET(abbreviation[],0,ColumnLanguage),ColumnAbbreviation,FALSE),"")</f>
        <v/>
      </c>
      <c r="BT580" s="21" t="str">
        <f ca="1">IFERROR(VLOOKUP(AB580,OFFSET(abbreviation[],0,ColumnLanguage),ColumnAbbreviation,FALSE),"")</f>
        <v/>
      </c>
      <c r="BU580" s="21" t="str">
        <f t="shared" ref="BU580:BU643" ca="1" si="64">(BO580&amp;IF(ISTEXT(P580),"."&amp;BP580,)&amp;IF(OR(ISTEXT(R580),ISNUMBER(R580)),"-"&amp;R580,))&amp;("_"&amp;BQ580&amp;IF(ISTEXT(V580),"."&amp;BR580,)&amp;IF(OR(ISTEXT(X580),ISNUMBER(X580)),"-"&amp;X580,))&amp;("_"&amp;BS580&amp;IF(ISTEXT(AB580),"."&amp;BT580,)&amp;IF(OR(ISTEXT(AD580),ISNUMBER(AD580)),"-"&amp;AD580,))</f>
        <v>__</v>
      </c>
      <c r="BV580" s="21" t="str">
        <f ca="1">IFERROR(VLOOKUP(AF580,OFFSET(abbreviation[],0,ColumnLanguage),ColumnAbbreviation,FALSE),"")</f>
        <v/>
      </c>
      <c r="BW580" s="21" t="str">
        <f ca="1">IFERROR(VLOOKUP(AH580,OFFSET(abbreviation[],0,ColumnLanguage),ColumnAbbreviation,FALSE),"")</f>
        <v/>
      </c>
      <c r="BX580" s="21" t="str">
        <f ca="1">IFERROR(VLOOKUP(AJ580,OFFSET(abbreviation[],0,ColumnLanguage),ColumnAbbreviation,FALSE),"")</f>
        <v/>
      </c>
      <c r="BY580" s="21" t="str">
        <f ca="1">IFERROR(VLOOKUP(AL580,OFFSET(abbreviation[],0,ColumnLanguage),ColumnAbbreviation,FALSE),"")</f>
        <v/>
      </c>
      <c r="BZ580" s="21" t="str">
        <f t="shared" ref="BZ580:BZ643" ca="1" si="65">("_"&amp;BV580&amp;IF(ISTEXT(AH580),"."&amp;BW580,)&amp;IF(ISTEXT(AJ580),"."&amp;BX580,)&amp;IF(ISTEXT(AL580),"."&amp;BY580,)&amp;IF(OR(ISTEXT(AN580),ISNUMBER(AN580)),"-"&amp;AN580,))</f>
        <v>_</v>
      </c>
      <c r="CA580" s="21" t="str">
        <f ca="1">IFERROR(VLOOKUP(AP580,OFFSET(abbreviation[],0,ColumnLanguage),ColumnAbbreviation,FALSE),"")</f>
        <v/>
      </c>
      <c r="CB580" s="21" t="str">
        <f ca="1">IFERROR(VLOOKUP(AR580,OFFSET(abbreviation[],0,ColumnLanguage),ColumnAbbreviation,FALSE),"")</f>
        <v/>
      </c>
      <c r="CC580" s="21" t="str">
        <f ca="1">IFERROR(VLOOKUP(AT580,OFFSET(abbreviation[],0,ColumnLanguage),ColumnAbbreviation,FALSE),"")</f>
        <v/>
      </c>
      <c r="CD580" s="21" t="str">
        <f ca="1">IFERROR(VLOOKUP(AV580,OFFSET(abbreviation[],0,ColumnLanguage),ColumnAbbreviation,FALSE),"")</f>
        <v/>
      </c>
      <c r="CE580" s="21" t="str">
        <f t="shared" ref="CE580:CE643" ca="1" si="66">("_"&amp;CA580&amp;IF(ISTEXT(AR580),"."&amp;CB580,)&amp;IF(ISTEXT(AT580),"."&amp;CC580,))&amp;"_"&amp;CD580</f>
        <v>__</v>
      </c>
      <c r="CF580" s="21" t="str">
        <f ca="1">IFERROR(VLOOKUP(AX580,OFFSET(abbreviation[],0,ColumnLanguage),ColumnAbbreviation,FALSE),"")</f>
        <v/>
      </c>
      <c r="CG580" s="21" t="str">
        <f ca="1">IFERROR(VLOOKUP(AZ580,OFFSET(abbreviation[],0,ColumnLanguage),ColumnAbbreviation,FALSE),"")</f>
        <v/>
      </c>
      <c r="CH580" s="21" t="str">
        <f ca="1">IFERROR(VLOOKUP(BB580,OFFSET(abbreviation[],0,ColumnLanguage),ColumnAbbreviation,FALSE),"")</f>
        <v/>
      </c>
      <c r="CI580" s="21" t="str">
        <f ca="1">IFERROR(VLOOKUP(BD580,OFFSET(abbreviation[],0,ColumnLanguage),ColumnAbbreviation,FALSE),"")</f>
        <v/>
      </c>
      <c r="CJ580" s="21" t="str">
        <f ca="1">IFERROR(VLOOKUP(BF580,OFFSET(abbreviation[],0,ColumnLanguage),ColumnAbbreviation,FALSE),"")</f>
        <v/>
      </c>
      <c r="CK580" s="21" t="str">
        <f t="shared" ref="CK580:CK643" ca="1" si="67">(IF(ISTEXT(AX580),"_._",""))&amp;(IF(ISTEXT(AX580),"_",)&amp;CF580&amp;IF(OR(ISNUMBER(AY580),ISTEXT(AY580)),"-"&amp;AY580,))&amp;(IF(ISTEXT(AZ580),"_",)&amp;CG580&amp;IF(OR(ISNUMBER(BA580),ISTEXT(BA580)),"-"&amp;BA580,))&amp;(IF(ISTEXT(BB580),"_",)&amp;CH580&amp;IF(OR(ISNUMBER(BC580),ISTEXT(BC580)),"-"&amp;BC580,))&amp;(IF(ISTEXT(BD580),"_",)&amp;CI580&amp;IF(OR(ISNUMBER(BE580),ISTEXT(BE580)),"-"&amp;BE580,))&amp;(IF(ISTEXT(BF580),"_",)&amp;CJ580&amp;IF(OR(ISNUMBER(BG580),ISTEXT(BG580)),"-"&amp;BG580,))</f>
        <v/>
      </c>
      <c r="CL580" s="21" t="str">
        <f t="shared" ref="CL580:CL643" si="68">IF(OR(N580&lt;&gt;"",T580&lt;&gt;"",C580&lt;&gt;"",A580&lt;&gt;""),(BN580&amp;BU580&amp;BZ580&amp;CE580&amp;CK580),"")</f>
        <v/>
      </c>
      <c r="CM580" s="52"/>
      <c r="CN580" s="57" t="str">
        <f t="shared" ref="CN580:CN643" si="69">CL580</f>
        <v/>
      </c>
    </row>
    <row r="581" spans="14:92" x14ac:dyDescent="0.25">
      <c r="N581" s="58"/>
      <c r="P581" s="60"/>
      <c r="Q581" s="13"/>
      <c r="V581" s="60"/>
      <c r="X581" s="61"/>
      <c r="AB581" s="60"/>
      <c r="AN581" s="54"/>
      <c r="AS581" s="15"/>
      <c r="BH581" s="52"/>
      <c r="BI581" s="21" t="str">
        <f ca="1">IFERROR(VLOOKUP(C581,OFFSET(abbreviation[],0,ColumnLanguage),ColumnAbbreviation,FALSE),"")</f>
        <v/>
      </c>
      <c r="BJ581" s="21" t="str">
        <f ca="1">IFERROR(VLOOKUP(E581,OFFSET(abbreviation[],0,ColumnLanguage),ColumnAbbreviation,FALSE),"")</f>
        <v/>
      </c>
      <c r="BK581" s="21" t="str">
        <f ca="1">IFERROR(VLOOKUP(G581,OFFSET(abbreviation[],0,ColumnLanguage),ColumnAbbreviation,FALSE),"")</f>
        <v/>
      </c>
      <c r="BL581" s="21" t="str">
        <f ca="1">IFERROR(VLOOKUP(I581,OFFSET(abbreviation[],0,ColumnLanguage),ColumnAbbreviation,FALSE),"")</f>
        <v/>
      </c>
      <c r="BM581" s="21" t="str">
        <f ca="1">IFERROR(VLOOKUP(K581,OFFSET(abbreviation[],0,ColumnLanguage),ColumnAbbreviation,FALSE),"")</f>
        <v/>
      </c>
      <c r="BN581" s="21" t="str">
        <f t="shared" ca="1" si="63"/>
        <v/>
      </c>
      <c r="BO581" s="21" t="str">
        <f ca="1">IFERROR(VLOOKUP(N581,OFFSET(abbreviation[],0,ColumnLanguage),ColumnAbbreviation,FALSE),"")</f>
        <v/>
      </c>
      <c r="BP581" s="21" t="str">
        <f ca="1">IFERROR(VLOOKUP(P581,OFFSET(abbreviation[],0,ColumnLanguage),ColumnAbbreviation,FALSE),"")</f>
        <v/>
      </c>
      <c r="BQ581" s="21" t="str">
        <f ca="1">IFERROR(VLOOKUP(T581,OFFSET(abbreviation[],0,ColumnLanguage),ColumnAbbreviation,FALSE),"")</f>
        <v/>
      </c>
      <c r="BR581" s="21" t="str">
        <f ca="1">IFERROR(VLOOKUP(V581,OFFSET(abbreviation[],0,ColumnLanguage),ColumnAbbreviation,FALSE),"")</f>
        <v/>
      </c>
      <c r="BS581" s="21" t="str">
        <f ca="1">IFERROR(VLOOKUP(Z581,OFFSET(abbreviation[],0,ColumnLanguage),ColumnAbbreviation,FALSE),"")</f>
        <v/>
      </c>
      <c r="BT581" s="21" t="str">
        <f ca="1">IFERROR(VLOOKUP(AB581,OFFSET(abbreviation[],0,ColumnLanguage),ColumnAbbreviation,FALSE),"")</f>
        <v/>
      </c>
      <c r="BU581" s="21" t="str">
        <f t="shared" ca="1" si="64"/>
        <v>__</v>
      </c>
      <c r="BV581" s="21" t="str">
        <f ca="1">IFERROR(VLOOKUP(AF581,OFFSET(abbreviation[],0,ColumnLanguage),ColumnAbbreviation,FALSE),"")</f>
        <v/>
      </c>
      <c r="BW581" s="21" t="str">
        <f ca="1">IFERROR(VLOOKUP(AH581,OFFSET(abbreviation[],0,ColumnLanguage),ColumnAbbreviation,FALSE),"")</f>
        <v/>
      </c>
      <c r="BX581" s="21" t="str">
        <f ca="1">IFERROR(VLOOKUP(AJ581,OFFSET(abbreviation[],0,ColumnLanguage),ColumnAbbreviation,FALSE),"")</f>
        <v/>
      </c>
      <c r="BY581" s="21" t="str">
        <f ca="1">IFERROR(VLOOKUP(AL581,OFFSET(abbreviation[],0,ColumnLanguage),ColumnAbbreviation,FALSE),"")</f>
        <v/>
      </c>
      <c r="BZ581" s="21" t="str">
        <f t="shared" ca="1" si="65"/>
        <v>_</v>
      </c>
      <c r="CA581" s="21" t="str">
        <f ca="1">IFERROR(VLOOKUP(AP581,OFFSET(abbreviation[],0,ColumnLanguage),ColumnAbbreviation,FALSE),"")</f>
        <v/>
      </c>
      <c r="CB581" s="21" t="str">
        <f ca="1">IFERROR(VLOOKUP(AR581,OFFSET(abbreviation[],0,ColumnLanguage),ColumnAbbreviation,FALSE),"")</f>
        <v/>
      </c>
      <c r="CC581" s="21" t="str">
        <f ca="1">IFERROR(VLOOKUP(AT581,OFFSET(abbreviation[],0,ColumnLanguage),ColumnAbbreviation,FALSE),"")</f>
        <v/>
      </c>
      <c r="CD581" s="21" t="str">
        <f ca="1">IFERROR(VLOOKUP(AV581,OFFSET(abbreviation[],0,ColumnLanguage),ColumnAbbreviation,FALSE),"")</f>
        <v/>
      </c>
      <c r="CE581" s="21" t="str">
        <f t="shared" ca="1" si="66"/>
        <v>__</v>
      </c>
      <c r="CF581" s="21" t="str">
        <f ca="1">IFERROR(VLOOKUP(AX581,OFFSET(abbreviation[],0,ColumnLanguage),ColumnAbbreviation,FALSE),"")</f>
        <v/>
      </c>
      <c r="CG581" s="21" t="str">
        <f ca="1">IFERROR(VLOOKUP(AZ581,OFFSET(abbreviation[],0,ColumnLanguage),ColumnAbbreviation,FALSE),"")</f>
        <v/>
      </c>
      <c r="CH581" s="21" t="str">
        <f ca="1">IFERROR(VLOOKUP(BB581,OFFSET(abbreviation[],0,ColumnLanguage),ColumnAbbreviation,FALSE),"")</f>
        <v/>
      </c>
      <c r="CI581" s="21" t="str">
        <f ca="1">IFERROR(VLOOKUP(BD581,OFFSET(abbreviation[],0,ColumnLanguage),ColumnAbbreviation,FALSE),"")</f>
        <v/>
      </c>
      <c r="CJ581" s="21" t="str">
        <f ca="1">IFERROR(VLOOKUP(BF581,OFFSET(abbreviation[],0,ColumnLanguage),ColumnAbbreviation,FALSE),"")</f>
        <v/>
      </c>
      <c r="CK581" s="21" t="str">
        <f t="shared" ca="1" si="67"/>
        <v/>
      </c>
      <c r="CL581" s="21" t="str">
        <f t="shared" si="68"/>
        <v/>
      </c>
      <c r="CM581" s="52"/>
      <c r="CN581" s="57" t="str">
        <f t="shared" si="69"/>
        <v/>
      </c>
    </row>
    <row r="582" spans="14:92" x14ac:dyDescent="0.25">
      <c r="N582" s="58"/>
      <c r="P582" s="60"/>
      <c r="Q582" s="13"/>
      <c r="V582" s="60"/>
      <c r="X582" s="61"/>
      <c r="AB582" s="60"/>
      <c r="AN582" s="54"/>
      <c r="AS582" s="15"/>
      <c r="BH582" s="52"/>
      <c r="BI582" s="21" t="str">
        <f ca="1">IFERROR(VLOOKUP(C582,OFFSET(abbreviation[],0,ColumnLanguage),ColumnAbbreviation,FALSE),"")</f>
        <v/>
      </c>
      <c r="BJ582" s="21" t="str">
        <f ca="1">IFERROR(VLOOKUP(E582,OFFSET(abbreviation[],0,ColumnLanguage),ColumnAbbreviation,FALSE),"")</f>
        <v/>
      </c>
      <c r="BK582" s="21" t="str">
        <f ca="1">IFERROR(VLOOKUP(G582,OFFSET(abbreviation[],0,ColumnLanguage),ColumnAbbreviation,FALSE),"")</f>
        <v/>
      </c>
      <c r="BL582" s="21" t="str">
        <f ca="1">IFERROR(VLOOKUP(I582,OFFSET(abbreviation[],0,ColumnLanguage),ColumnAbbreviation,FALSE),"")</f>
        <v/>
      </c>
      <c r="BM582" s="21" t="str">
        <f ca="1">IFERROR(VLOOKUP(K582,OFFSET(abbreviation[],0,ColumnLanguage),ColumnAbbreviation,FALSE),"")</f>
        <v/>
      </c>
      <c r="BN582" s="21" t="str">
        <f t="shared" ca="1" si="63"/>
        <v/>
      </c>
      <c r="BO582" s="21" t="str">
        <f ca="1">IFERROR(VLOOKUP(N582,OFFSET(abbreviation[],0,ColumnLanguage),ColumnAbbreviation,FALSE),"")</f>
        <v/>
      </c>
      <c r="BP582" s="21" t="str">
        <f ca="1">IFERROR(VLOOKUP(P582,OFFSET(abbreviation[],0,ColumnLanguage),ColumnAbbreviation,FALSE),"")</f>
        <v/>
      </c>
      <c r="BQ582" s="21" t="str">
        <f ca="1">IFERROR(VLOOKUP(T582,OFFSET(abbreviation[],0,ColumnLanguage),ColumnAbbreviation,FALSE),"")</f>
        <v/>
      </c>
      <c r="BR582" s="21" t="str">
        <f ca="1">IFERROR(VLOOKUP(V582,OFFSET(abbreviation[],0,ColumnLanguage),ColumnAbbreviation,FALSE),"")</f>
        <v/>
      </c>
      <c r="BS582" s="21" t="str">
        <f ca="1">IFERROR(VLOOKUP(Z582,OFFSET(abbreviation[],0,ColumnLanguage),ColumnAbbreviation,FALSE),"")</f>
        <v/>
      </c>
      <c r="BT582" s="21" t="str">
        <f ca="1">IFERROR(VLOOKUP(AB582,OFFSET(abbreviation[],0,ColumnLanguage),ColumnAbbreviation,FALSE),"")</f>
        <v/>
      </c>
      <c r="BU582" s="21" t="str">
        <f t="shared" ca="1" si="64"/>
        <v>__</v>
      </c>
      <c r="BV582" s="21" t="str">
        <f ca="1">IFERROR(VLOOKUP(AF582,OFFSET(abbreviation[],0,ColumnLanguage),ColumnAbbreviation,FALSE),"")</f>
        <v/>
      </c>
      <c r="BW582" s="21" t="str">
        <f ca="1">IFERROR(VLOOKUP(AH582,OFFSET(abbreviation[],0,ColumnLanguage),ColumnAbbreviation,FALSE),"")</f>
        <v/>
      </c>
      <c r="BX582" s="21" t="str">
        <f ca="1">IFERROR(VLOOKUP(AJ582,OFFSET(abbreviation[],0,ColumnLanguage),ColumnAbbreviation,FALSE),"")</f>
        <v/>
      </c>
      <c r="BY582" s="21" t="str">
        <f ca="1">IFERROR(VLOOKUP(AL582,OFFSET(abbreviation[],0,ColumnLanguage),ColumnAbbreviation,FALSE),"")</f>
        <v/>
      </c>
      <c r="BZ582" s="21" t="str">
        <f t="shared" ca="1" si="65"/>
        <v>_</v>
      </c>
      <c r="CA582" s="21" t="str">
        <f ca="1">IFERROR(VLOOKUP(AP582,OFFSET(abbreviation[],0,ColumnLanguage),ColumnAbbreviation,FALSE),"")</f>
        <v/>
      </c>
      <c r="CB582" s="21" t="str">
        <f ca="1">IFERROR(VLOOKUP(AR582,OFFSET(abbreviation[],0,ColumnLanguage),ColumnAbbreviation,FALSE),"")</f>
        <v/>
      </c>
      <c r="CC582" s="21" t="str">
        <f ca="1">IFERROR(VLOOKUP(AT582,OFFSET(abbreviation[],0,ColumnLanguage),ColumnAbbreviation,FALSE),"")</f>
        <v/>
      </c>
      <c r="CD582" s="21" t="str">
        <f ca="1">IFERROR(VLOOKUP(AV582,OFFSET(abbreviation[],0,ColumnLanguage),ColumnAbbreviation,FALSE),"")</f>
        <v/>
      </c>
      <c r="CE582" s="21" t="str">
        <f t="shared" ca="1" si="66"/>
        <v>__</v>
      </c>
      <c r="CF582" s="21" t="str">
        <f ca="1">IFERROR(VLOOKUP(AX582,OFFSET(abbreviation[],0,ColumnLanguage),ColumnAbbreviation,FALSE),"")</f>
        <v/>
      </c>
      <c r="CG582" s="21" t="str">
        <f ca="1">IFERROR(VLOOKUP(AZ582,OFFSET(abbreviation[],0,ColumnLanguage),ColumnAbbreviation,FALSE),"")</f>
        <v/>
      </c>
      <c r="CH582" s="21" t="str">
        <f ca="1">IFERROR(VLOOKUP(BB582,OFFSET(abbreviation[],0,ColumnLanguage),ColumnAbbreviation,FALSE),"")</f>
        <v/>
      </c>
      <c r="CI582" s="21" t="str">
        <f ca="1">IFERROR(VLOOKUP(BD582,OFFSET(abbreviation[],0,ColumnLanguage),ColumnAbbreviation,FALSE),"")</f>
        <v/>
      </c>
      <c r="CJ582" s="21" t="str">
        <f ca="1">IFERROR(VLOOKUP(BF582,OFFSET(abbreviation[],0,ColumnLanguage),ColumnAbbreviation,FALSE),"")</f>
        <v/>
      </c>
      <c r="CK582" s="21" t="str">
        <f t="shared" ca="1" si="67"/>
        <v/>
      </c>
      <c r="CL582" s="21" t="str">
        <f t="shared" si="68"/>
        <v/>
      </c>
      <c r="CM582" s="52"/>
      <c r="CN582" s="57" t="str">
        <f t="shared" si="69"/>
        <v/>
      </c>
    </row>
    <row r="583" spans="14:92" x14ac:dyDescent="0.25">
      <c r="N583" s="58"/>
      <c r="P583" s="60"/>
      <c r="Q583" s="13"/>
      <c r="V583" s="60"/>
      <c r="X583" s="61"/>
      <c r="AB583" s="60"/>
      <c r="AN583" s="54"/>
      <c r="AS583" s="15"/>
      <c r="BH583" s="52"/>
      <c r="BI583" s="21" t="str">
        <f ca="1">IFERROR(VLOOKUP(C583,OFFSET(abbreviation[],0,ColumnLanguage),ColumnAbbreviation,FALSE),"")</f>
        <v/>
      </c>
      <c r="BJ583" s="21" t="str">
        <f ca="1">IFERROR(VLOOKUP(E583,OFFSET(abbreviation[],0,ColumnLanguage),ColumnAbbreviation,FALSE),"")</f>
        <v/>
      </c>
      <c r="BK583" s="21" t="str">
        <f ca="1">IFERROR(VLOOKUP(G583,OFFSET(abbreviation[],0,ColumnLanguage),ColumnAbbreviation,FALSE),"")</f>
        <v/>
      </c>
      <c r="BL583" s="21" t="str">
        <f ca="1">IFERROR(VLOOKUP(I583,OFFSET(abbreviation[],0,ColumnLanguage),ColumnAbbreviation,FALSE),"")</f>
        <v/>
      </c>
      <c r="BM583" s="21" t="str">
        <f ca="1">IFERROR(VLOOKUP(K583,OFFSET(abbreviation[],0,ColumnLanguage),ColumnAbbreviation,FALSE),"")</f>
        <v/>
      </c>
      <c r="BN583" s="21" t="str">
        <f t="shared" ca="1" si="63"/>
        <v/>
      </c>
      <c r="BO583" s="21" t="str">
        <f ca="1">IFERROR(VLOOKUP(N583,OFFSET(abbreviation[],0,ColumnLanguage),ColumnAbbreviation,FALSE),"")</f>
        <v/>
      </c>
      <c r="BP583" s="21" t="str">
        <f ca="1">IFERROR(VLOOKUP(P583,OFFSET(abbreviation[],0,ColumnLanguage),ColumnAbbreviation,FALSE),"")</f>
        <v/>
      </c>
      <c r="BQ583" s="21" t="str">
        <f ca="1">IFERROR(VLOOKUP(T583,OFFSET(abbreviation[],0,ColumnLanguage),ColumnAbbreviation,FALSE),"")</f>
        <v/>
      </c>
      <c r="BR583" s="21" t="str">
        <f ca="1">IFERROR(VLOOKUP(V583,OFFSET(abbreviation[],0,ColumnLanguage),ColumnAbbreviation,FALSE),"")</f>
        <v/>
      </c>
      <c r="BS583" s="21" t="str">
        <f ca="1">IFERROR(VLOOKUP(Z583,OFFSET(abbreviation[],0,ColumnLanguage),ColumnAbbreviation,FALSE),"")</f>
        <v/>
      </c>
      <c r="BT583" s="21" t="str">
        <f ca="1">IFERROR(VLOOKUP(AB583,OFFSET(abbreviation[],0,ColumnLanguage),ColumnAbbreviation,FALSE),"")</f>
        <v/>
      </c>
      <c r="BU583" s="21" t="str">
        <f t="shared" ca="1" si="64"/>
        <v>__</v>
      </c>
      <c r="BV583" s="21" t="str">
        <f ca="1">IFERROR(VLOOKUP(AF583,OFFSET(abbreviation[],0,ColumnLanguage),ColumnAbbreviation,FALSE),"")</f>
        <v/>
      </c>
      <c r="BW583" s="21" t="str">
        <f ca="1">IFERROR(VLOOKUP(AH583,OFFSET(abbreviation[],0,ColumnLanguage),ColumnAbbreviation,FALSE),"")</f>
        <v/>
      </c>
      <c r="BX583" s="21" t="str">
        <f ca="1">IFERROR(VLOOKUP(AJ583,OFFSET(abbreviation[],0,ColumnLanguage),ColumnAbbreviation,FALSE),"")</f>
        <v/>
      </c>
      <c r="BY583" s="21" t="str">
        <f ca="1">IFERROR(VLOOKUP(AL583,OFFSET(abbreviation[],0,ColumnLanguage),ColumnAbbreviation,FALSE),"")</f>
        <v/>
      </c>
      <c r="BZ583" s="21" t="str">
        <f t="shared" ca="1" si="65"/>
        <v>_</v>
      </c>
      <c r="CA583" s="21" t="str">
        <f ca="1">IFERROR(VLOOKUP(AP583,OFFSET(abbreviation[],0,ColumnLanguage),ColumnAbbreviation,FALSE),"")</f>
        <v/>
      </c>
      <c r="CB583" s="21" t="str">
        <f ca="1">IFERROR(VLOOKUP(AR583,OFFSET(abbreviation[],0,ColumnLanguage),ColumnAbbreviation,FALSE),"")</f>
        <v/>
      </c>
      <c r="CC583" s="21" t="str">
        <f ca="1">IFERROR(VLOOKUP(AT583,OFFSET(abbreviation[],0,ColumnLanguage),ColumnAbbreviation,FALSE),"")</f>
        <v/>
      </c>
      <c r="CD583" s="21" t="str">
        <f ca="1">IFERROR(VLOOKUP(AV583,OFFSET(abbreviation[],0,ColumnLanguage),ColumnAbbreviation,FALSE),"")</f>
        <v/>
      </c>
      <c r="CE583" s="21" t="str">
        <f t="shared" ca="1" si="66"/>
        <v>__</v>
      </c>
      <c r="CF583" s="21" t="str">
        <f ca="1">IFERROR(VLOOKUP(AX583,OFFSET(abbreviation[],0,ColumnLanguage),ColumnAbbreviation,FALSE),"")</f>
        <v/>
      </c>
      <c r="CG583" s="21" t="str">
        <f ca="1">IFERROR(VLOOKUP(AZ583,OFFSET(abbreviation[],0,ColumnLanguage),ColumnAbbreviation,FALSE),"")</f>
        <v/>
      </c>
      <c r="CH583" s="21" t="str">
        <f ca="1">IFERROR(VLOOKUP(BB583,OFFSET(abbreviation[],0,ColumnLanguage),ColumnAbbreviation,FALSE),"")</f>
        <v/>
      </c>
      <c r="CI583" s="21" t="str">
        <f ca="1">IFERROR(VLOOKUP(BD583,OFFSET(abbreviation[],0,ColumnLanguage),ColumnAbbreviation,FALSE),"")</f>
        <v/>
      </c>
      <c r="CJ583" s="21" t="str">
        <f ca="1">IFERROR(VLOOKUP(BF583,OFFSET(abbreviation[],0,ColumnLanguage),ColumnAbbreviation,FALSE),"")</f>
        <v/>
      </c>
      <c r="CK583" s="21" t="str">
        <f t="shared" ca="1" si="67"/>
        <v/>
      </c>
      <c r="CL583" s="21" t="str">
        <f t="shared" si="68"/>
        <v/>
      </c>
      <c r="CM583" s="52"/>
      <c r="CN583" s="57" t="str">
        <f t="shared" si="69"/>
        <v/>
      </c>
    </row>
    <row r="584" spans="14:92" x14ac:dyDescent="0.25">
      <c r="N584" s="58"/>
      <c r="P584" s="60"/>
      <c r="Q584" s="13"/>
      <c r="V584" s="60"/>
      <c r="X584" s="61"/>
      <c r="AB584" s="60"/>
      <c r="AN584" s="54"/>
      <c r="AS584" s="15"/>
      <c r="BH584" s="52"/>
      <c r="BI584" s="21" t="str">
        <f ca="1">IFERROR(VLOOKUP(C584,OFFSET(abbreviation[],0,ColumnLanguage),ColumnAbbreviation,FALSE),"")</f>
        <v/>
      </c>
      <c r="BJ584" s="21" t="str">
        <f ca="1">IFERROR(VLOOKUP(E584,OFFSET(abbreviation[],0,ColumnLanguage),ColumnAbbreviation,FALSE),"")</f>
        <v/>
      </c>
      <c r="BK584" s="21" t="str">
        <f ca="1">IFERROR(VLOOKUP(G584,OFFSET(abbreviation[],0,ColumnLanguage),ColumnAbbreviation,FALSE),"")</f>
        <v/>
      </c>
      <c r="BL584" s="21" t="str">
        <f ca="1">IFERROR(VLOOKUP(I584,OFFSET(abbreviation[],0,ColumnLanguage),ColumnAbbreviation,FALSE),"")</f>
        <v/>
      </c>
      <c r="BM584" s="21" t="str">
        <f ca="1">IFERROR(VLOOKUP(K584,OFFSET(abbreviation[],0,ColumnLanguage),ColumnAbbreviation,FALSE),"")</f>
        <v/>
      </c>
      <c r="BN584" s="21" t="str">
        <f t="shared" ca="1" si="63"/>
        <v/>
      </c>
      <c r="BO584" s="21" t="str">
        <f ca="1">IFERROR(VLOOKUP(N584,OFFSET(abbreviation[],0,ColumnLanguage),ColumnAbbreviation,FALSE),"")</f>
        <v/>
      </c>
      <c r="BP584" s="21" t="str">
        <f ca="1">IFERROR(VLOOKUP(P584,OFFSET(abbreviation[],0,ColumnLanguage),ColumnAbbreviation,FALSE),"")</f>
        <v/>
      </c>
      <c r="BQ584" s="21" t="str">
        <f ca="1">IFERROR(VLOOKUP(T584,OFFSET(abbreviation[],0,ColumnLanguage),ColumnAbbreviation,FALSE),"")</f>
        <v/>
      </c>
      <c r="BR584" s="21" t="str">
        <f ca="1">IFERROR(VLOOKUP(V584,OFFSET(abbreviation[],0,ColumnLanguage),ColumnAbbreviation,FALSE),"")</f>
        <v/>
      </c>
      <c r="BS584" s="21" t="str">
        <f ca="1">IFERROR(VLOOKUP(Z584,OFFSET(abbreviation[],0,ColumnLanguage),ColumnAbbreviation,FALSE),"")</f>
        <v/>
      </c>
      <c r="BT584" s="21" t="str">
        <f ca="1">IFERROR(VLOOKUP(AB584,OFFSET(abbreviation[],0,ColumnLanguage),ColumnAbbreviation,FALSE),"")</f>
        <v/>
      </c>
      <c r="BU584" s="21" t="str">
        <f t="shared" ca="1" si="64"/>
        <v>__</v>
      </c>
      <c r="BV584" s="21" t="str">
        <f ca="1">IFERROR(VLOOKUP(AF584,OFFSET(abbreviation[],0,ColumnLanguage),ColumnAbbreviation,FALSE),"")</f>
        <v/>
      </c>
      <c r="BW584" s="21" t="str">
        <f ca="1">IFERROR(VLOOKUP(AH584,OFFSET(abbreviation[],0,ColumnLanguage),ColumnAbbreviation,FALSE),"")</f>
        <v/>
      </c>
      <c r="BX584" s="21" t="str">
        <f ca="1">IFERROR(VLOOKUP(AJ584,OFFSET(abbreviation[],0,ColumnLanguage),ColumnAbbreviation,FALSE),"")</f>
        <v/>
      </c>
      <c r="BY584" s="21" t="str">
        <f ca="1">IFERROR(VLOOKUP(AL584,OFFSET(abbreviation[],0,ColumnLanguage),ColumnAbbreviation,FALSE),"")</f>
        <v/>
      </c>
      <c r="BZ584" s="21" t="str">
        <f t="shared" ca="1" si="65"/>
        <v>_</v>
      </c>
      <c r="CA584" s="21" t="str">
        <f ca="1">IFERROR(VLOOKUP(AP584,OFFSET(abbreviation[],0,ColumnLanguage),ColumnAbbreviation,FALSE),"")</f>
        <v/>
      </c>
      <c r="CB584" s="21" t="str">
        <f ca="1">IFERROR(VLOOKUP(AR584,OFFSET(abbreviation[],0,ColumnLanguage),ColumnAbbreviation,FALSE),"")</f>
        <v/>
      </c>
      <c r="CC584" s="21" t="str">
        <f ca="1">IFERROR(VLOOKUP(AT584,OFFSET(abbreviation[],0,ColumnLanguage),ColumnAbbreviation,FALSE),"")</f>
        <v/>
      </c>
      <c r="CD584" s="21" t="str">
        <f ca="1">IFERROR(VLOOKUP(AV584,OFFSET(abbreviation[],0,ColumnLanguage),ColumnAbbreviation,FALSE),"")</f>
        <v/>
      </c>
      <c r="CE584" s="21" t="str">
        <f t="shared" ca="1" si="66"/>
        <v>__</v>
      </c>
      <c r="CF584" s="21" t="str">
        <f ca="1">IFERROR(VLOOKUP(AX584,OFFSET(abbreviation[],0,ColumnLanguage),ColumnAbbreviation,FALSE),"")</f>
        <v/>
      </c>
      <c r="CG584" s="21" t="str">
        <f ca="1">IFERROR(VLOOKUP(AZ584,OFFSET(abbreviation[],0,ColumnLanguage),ColumnAbbreviation,FALSE),"")</f>
        <v/>
      </c>
      <c r="CH584" s="21" t="str">
        <f ca="1">IFERROR(VLOOKUP(BB584,OFFSET(abbreviation[],0,ColumnLanguage),ColumnAbbreviation,FALSE),"")</f>
        <v/>
      </c>
      <c r="CI584" s="21" t="str">
        <f ca="1">IFERROR(VLOOKUP(BD584,OFFSET(abbreviation[],0,ColumnLanguage),ColumnAbbreviation,FALSE),"")</f>
        <v/>
      </c>
      <c r="CJ584" s="21" t="str">
        <f ca="1">IFERROR(VLOOKUP(BF584,OFFSET(abbreviation[],0,ColumnLanguage),ColumnAbbreviation,FALSE),"")</f>
        <v/>
      </c>
      <c r="CK584" s="21" t="str">
        <f t="shared" ca="1" si="67"/>
        <v/>
      </c>
      <c r="CL584" s="21" t="str">
        <f t="shared" si="68"/>
        <v/>
      </c>
      <c r="CM584" s="52"/>
      <c r="CN584" s="57" t="str">
        <f t="shared" si="69"/>
        <v/>
      </c>
    </row>
    <row r="585" spans="14:92" x14ac:dyDescent="0.25">
      <c r="N585" s="58"/>
      <c r="P585" s="60"/>
      <c r="Q585" s="13"/>
      <c r="V585" s="60"/>
      <c r="X585" s="61"/>
      <c r="AB585" s="60"/>
      <c r="AN585" s="54"/>
      <c r="AS585" s="15"/>
      <c r="BH585" s="52"/>
      <c r="BI585" s="21" t="str">
        <f ca="1">IFERROR(VLOOKUP(C585,OFFSET(abbreviation[],0,ColumnLanguage),ColumnAbbreviation,FALSE),"")</f>
        <v/>
      </c>
      <c r="BJ585" s="21" t="str">
        <f ca="1">IFERROR(VLOOKUP(E585,OFFSET(abbreviation[],0,ColumnLanguage),ColumnAbbreviation,FALSE),"")</f>
        <v/>
      </c>
      <c r="BK585" s="21" t="str">
        <f ca="1">IFERROR(VLOOKUP(G585,OFFSET(abbreviation[],0,ColumnLanguage),ColumnAbbreviation,FALSE),"")</f>
        <v/>
      </c>
      <c r="BL585" s="21" t="str">
        <f ca="1">IFERROR(VLOOKUP(I585,OFFSET(abbreviation[],0,ColumnLanguage),ColumnAbbreviation,FALSE),"")</f>
        <v/>
      </c>
      <c r="BM585" s="21" t="str">
        <f ca="1">IFERROR(VLOOKUP(K585,OFFSET(abbreviation[],0,ColumnLanguage),ColumnAbbreviation,FALSE),"")</f>
        <v/>
      </c>
      <c r="BN585" s="21" t="str">
        <f t="shared" ca="1" si="63"/>
        <v/>
      </c>
      <c r="BO585" s="21" t="str">
        <f ca="1">IFERROR(VLOOKUP(N585,OFFSET(abbreviation[],0,ColumnLanguage),ColumnAbbreviation,FALSE),"")</f>
        <v/>
      </c>
      <c r="BP585" s="21" t="str">
        <f ca="1">IFERROR(VLOOKUP(P585,OFFSET(abbreviation[],0,ColumnLanguage),ColumnAbbreviation,FALSE),"")</f>
        <v/>
      </c>
      <c r="BQ585" s="21" t="str">
        <f ca="1">IFERROR(VLOOKUP(T585,OFFSET(abbreviation[],0,ColumnLanguage),ColumnAbbreviation,FALSE),"")</f>
        <v/>
      </c>
      <c r="BR585" s="21" t="str">
        <f ca="1">IFERROR(VLOOKUP(V585,OFFSET(abbreviation[],0,ColumnLanguage),ColumnAbbreviation,FALSE),"")</f>
        <v/>
      </c>
      <c r="BS585" s="21" t="str">
        <f ca="1">IFERROR(VLOOKUP(Z585,OFFSET(abbreviation[],0,ColumnLanguage),ColumnAbbreviation,FALSE),"")</f>
        <v/>
      </c>
      <c r="BT585" s="21" t="str">
        <f ca="1">IFERROR(VLOOKUP(AB585,OFFSET(abbreviation[],0,ColumnLanguage),ColumnAbbreviation,FALSE),"")</f>
        <v/>
      </c>
      <c r="BU585" s="21" t="str">
        <f t="shared" ca="1" si="64"/>
        <v>__</v>
      </c>
      <c r="BV585" s="21" t="str">
        <f ca="1">IFERROR(VLOOKUP(AF585,OFFSET(abbreviation[],0,ColumnLanguage),ColumnAbbreviation,FALSE),"")</f>
        <v/>
      </c>
      <c r="BW585" s="21" t="str">
        <f ca="1">IFERROR(VLOOKUP(AH585,OFFSET(abbreviation[],0,ColumnLanguage),ColumnAbbreviation,FALSE),"")</f>
        <v/>
      </c>
      <c r="BX585" s="21" t="str">
        <f ca="1">IFERROR(VLOOKUP(AJ585,OFFSET(abbreviation[],0,ColumnLanguage),ColumnAbbreviation,FALSE),"")</f>
        <v/>
      </c>
      <c r="BY585" s="21" t="str">
        <f ca="1">IFERROR(VLOOKUP(AL585,OFFSET(abbreviation[],0,ColumnLanguage),ColumnAbbreviation,FALSE),"")</f>
        <v/>
      </c>
      <c r="BZ585" s="21" t="str">
        <f t="shared" ca="1" si="65"/>
        <v>_</v>
      </c>
      <c r="CA585" s="21" t="str">
        <f ca="1">IFERROR(VLOOKUP(AP585,OFFSET(abbreviation[],0,ColumnLanguage),ColumnAbbreviation,FALSE),"")</f>
        <v/>
      </c>
      <c r="CB585" s="21" t="str">
        <f ca="1">IFERROR(VLOOKUP(AR585,OFFSET(abbreviation[],0,ColumnLanguage),ColumnAbbreviation,FALSE),"")</f>
        <v/>
      </c>
      <c r="CC585" s="21" t="str">
        <f ca="1">IFERROR(VLOOKUP(AT585,OFFSET(abbreviation[],0,ColumnLanguage),ColumnAbbreviation,FALSE),"")</f>
        <v/>
      </c>
      <c r="CD585" s="21" t="str">
        <f ca="1">IFERROR(VLOOKUP(AV585,OFFSET(abbreviation[],0,ColumnLanguage),ColumnAbbreviation,FALSE),"")</f>
        <v/>
      </c>
      <c r="CE585" s="21" t="str">
        <f t="shared" ca="1" si="66"/>
        <v>__</v>
      </c>
      <c r="CF585" s="21" t="str">
        <f ca="1">IFERROR(VLOOKUP(AX585,OFFSET(abbreviation[],0,ColumnLanguage),ColumnAbbreviation,FALSE),"")</f>
        <v/>
      </c>
      <c r="CG585" s="21" t="str">
        <f ca="1">IFERROR(VLOOKUP(AZ585,OFFSET(abbreviation[],0,ColumnLanguage),ColumnAbbreviation,FALSE),"")</f>
        <v/>
      </c>
      <c r="CH585" s="21" t="str">
        <f ca="1">IFERROR(VLOOKUP(BB585,OFFSET(abbreviation[],0,ColumnLanguage),ColumnAbbreviation,FALSE),"")</f>
        <v/>
      </c>
      <c r="CI585" s="21" t="str">
        <f ca="1">IFERROR(VLOOKUP(BD585,OFFSET(abbreviation[],0,ColumnLanguage),ColumnAbbreviation,FALSE),"")</f>
        <v/>
      </c>
      <c r="CJ585" s="21" t="str">
        <f ca="1">IFERROR(VLOOKUP(BF585,OFFSET(abbreviation[],0,ColumnLanguage),ColumnAbbreviation,FALSE),"")</f>
        <v/>
      </c>
      <c r="CK585" s="21" t="str">
        <f t="shared" ca="1" si="67"/>
        <v/>
      </c>
      <c r="CL585" s="21" t="str">
        <f t="shared" si="68"/>
        <v/>
      </c>
      <c r="CM585" s="52"/>
      <c r="CN585" s="57" t="str">
        <f t="shared" si="69"/>
        <v/>
      </c>
    </row>
    <row r="586" spans="14:92" x14ac:dyDescent="0.25">
      <c r="N586" s="58"/>
      <c r="P586" s="60"/>
      <c r="Q586" s="13"/>
      <c r="V586" s="60"/>
      <c r="X586" s="61"/>
      <c r="AB586" s="60"/>
      <c r="AN586" s="54"/>
      <c r="AS586" s="15"/>
      <c r="BH586" s="52"/>
      <c r="BI586" s="21" t="str">
        <f ca="1">IFERROR(VLOOKUP(C586,OFFSET(abbreviation[],0,ColumnLanguage),ColumnAbbreviation,FALSE),"")</f>
        <v/>
      </c>
      <c r="BJ586" s="21" t="str">
        <f ca="1">IFERROR(VLOOKUP(E586,OFFSET(abbreviation[],0,ColumnLanguage),ColumnAbbreviation,FALSE),"")</f>
        <v/>
      </c>
      <c r="BK586" s="21" t="str">
        <f ca="1">IFERROR(VLOOKUP(G586,OFFSET(abbreviation[],0,ColumnLanguage),ColumnAbbreviation,FALSE),"")</f>
        <v/>
      </c>
      <c r="BL586" s="21" t="str">
        <f ca="1">IFERROR(VLOOKUP(I586,OFFSET(abbreviation[],0,ColumnLanguage),ColumnAbbreviation,FALSE),"")</f>
        <v/>
      </c>
      <c r="BM586" s="21" t="str">
        <f ca="1">IFERROR(VLOOKUP(K586,OFFSET(abbreviation[],0,ColumnLanguage),ColumnAbbreviation,FALSE),"")</f>
        <v/>
      </c>
      <c r="BN586" s="21" t="str">
        <f t="shared" ca="1" si="63"/>
        <v/>
      </c>
      <c r="BO586" s="21" t="str">
        <f ca="1">IFERROR(VLOOKUP(N586,OFFSET(abbreviation[],0,ColumnLanguage),ColumnAbbreviation,FALSE),"")</f>
        <v/>
      </c>
      <c r="BP586" s="21" t="str">
        <f ca="1">IFERROR(VLOOKUP(P586,OFFSET(abbreviation[],0,ColumnLanguage),ColumnAbbreviation,FALSE),"")</f>
        <v/>
      </c>
      <c r="BQ586" s="21" t="str">
        <f ca="1">IFERROR(VLOOKUP(T586,OFFSET(abbreviation[],0,ColumnLanguage),ColumnAbbreviation,FALSE),"")</f>
        <v/>
      </c>
      <c r="BR586" s="21" t="str">
        <f ca="1">IFERROR(VLOOKUP(V586,OFFSET(abbreviation[],0,ColumnLanguage),ColumnAbbreviation,FALSE),"")</f>
        <v/>
      </c>
      <c r="BS586" s="21" t="str">
        <f ca="1">IFERROR(VLOOKUP(Z586,OFFSET(abbreviation[],0,ColumnLanguage),ColumnAbbreviation,FALSE),"")</f>
        <v/>
      </c>
      <c r="BT586" s="21" t="str">
        <f ca="1">IFERROR(VLOOKUP(AB586,OFFSET(abbreviation[],0,ColumnLanguage),ColumnAbbreviation,FALSE),"")</f>
        <v/>
      </c>
      <c r="BU586" s="21" t="str">
        <f t="shared" ca="1" si="64"/>
        <v>__</v>
      </c>
      <c r="BV586" s="21" t="str">
        <f ca="1">IFERROR(VLOOKUP(AF586,OFFSET(abbreviation[],0,ColumnLanguage),ColumnAbbreviation,FALSE),"")</f>
        <v/>
      </c>
      <c r="BW586" s="21" t="str">
        <f ca="1">IFERROR(VLOOKUP(AH586,OFFSET(abbreviation[],0,ColumnLanguage),ColumnAbbreviation,FALSE),"")</f>
        <v/>
      </c>
      <c r="BX586" s="21" t="str">
        <f ca="1">IFERROR(VLOOKUP(AJ586,OFFSET(abbreviation[],0,ColumnLanguage),ColumnAbbreviation,FALSE),"")</f>
        <v/>
      </c>
      <c r="BY586" s="21" t="str">
        <f ca="1">IFERROR(VLOOKUP(AL586,OFFSET(abbreviation[],0,ColumnLanguage),ColumnAbbreviation,FALSE),"")</f>
        <v/>
      </c>
      <c r="BZ586" s="21" t="str">
        <f t="shared" ca="1" si="65"/>
        <v>_</v>
      </c>
      <c r="CA586" s="21" t="str">
        <f ca="1">IFERROR(VLOOKUP(AP586,OFFSET(abbreviation[],0,ColumnLanguage),ColumnAbbreviation,FALSE),"")</f>
        <v/>
      </c>
      <c r="CB586" s="21" t="str">
        <f ca="1">IFERROR(VLOOKUP(AR586,OFFSET(abbreviation[],0,ColumnLanguage),ColumnAbbreviation,FALSE),"")</f>
        <v/>
      </c>
      <c r="CC586" s="21" t="str">
        <f ca="1">IFERROR(VLOOKUP(AT586,OFFSET(abbreviation[],0,ColumnLanguage),ColumnAbbreviation,FALSE),"")</f>
        <v/>
      </c>
      <c r="CD586" s="21" t="str">
        <f ca="1">IFERROR(VLOOKUP(AV586,OFFSET(abbreviation[],0,ColumnLanguage),ColumnAbbreviation,FALSE),"")</f>
        <v/>
      </c>
      <c r="CE586" s="21" t="str">
        <f t="shared" ca="1" si="66"/>
        <v>__</v>
      </c>
      <c r="CF586" s="21" t="str">
        <f ca="1">IFERROR(VLOOKUP(AX586,OFFSET(abbreviation[],0,ColumnLanguage),ColumnAbbreviation,FALSE),"")</f>
        <v/>
      </c>
      <c r="CG586" s="21" t="str">
        <f ca="1">IFERROR(VLOOKUP(AZ586,OFFSET(abbreviation[],0,ColumnLanguage),ColumnAbbreviation,FALSE),"")</f>
        <v/>
      </c>
      <c r="CH586" s="21" t="str">
        <f ca="1">IFERROR(VLOOKUP(BB586,OFFSET(abbreviation[],0,ColumnLanguage),ColumnAbbreviation,FALSE),"")</f>
        <v/>
      </c>
      <c r="CI586" s="21" t="str">
        <f ca="1">IFERROR(VLOOKUP(BD586,OFFSET(abbreviation[],0,ColumnLanguage),ColumnAbbreviation,FALSE),"")</f>
        <v/>
      </c>
      <c r="CJ586" s="21" t="str">
        <f ca="1">IFERROR(VLOOKUP(BF586,OFFSET(abbreviation[],0,ColumnLanguage),ColumnAbbreviation,FALSE),"")</f>
        <v/>
      </c>
      <c r="CK586" s="21" t="str">
        <f t="shared" ca="1" si="67"/>
        <v/>
      </c>
      <c r="CL586" s="21" t="str">
        <f t="shared" si="68"/>
        <v/>
      </c>
      <c r="CM586" s="52"/>
      <c r="CN586" s="57" t="str">
        <f t="shared" si="69"/>
        <v/>
      </c>
    </row>
    <row r="587" spans="14:92" x14ac:dyDescent="0.25">
      <c r="N587" s="58"/>
      <c r="P587" s="60"/>
      <c r="Q587" s="13"/>
      <c r="V587" s="60"/>
      <c r="X587" s="61"/>
      <c r="AB587" s="60"/>
      <c r="AN587" s="54"/>
      <c r="AS587" s="15"/>
      <c r="BH587" s="52"/>
      <c r="BI587" s="21" t="str">
        <f ca="1">IFERROR(VLOOKUP(C587,OFFSET(abbreviation[],0,ColumnLanguage),ColumnAbbreviation,FALSE),"")</f>
        <v/>
      </c>
      <c r="BJ587" s="21" t="str">
        <f ca="1">IFERROR(VLOOKUP(E587,OFFSET(abbreviation[],0,ColumnLanguage),ColumnAbbreviation,FALSE),"")</f>
        <v/>
      </c>
      <c r="BK587" s="21" t="str">
        <f ca="1">IFERROR(VLOOKUP(G587,OFFSET(abbreviation[],0,ColumnLanguage),ColumnAbbreviation,FALSE),"")</f>
        <v/>
      </c>
      <c r="BL587" s="21" t="str">
        <f ca="1">IFERROR(VLOOKUP(I587,OFFSET(abbreviation[],0,ColumnLanguage),ColumnAbbreviation,FALSE),"")</f>
        <v/>
      </c>
      <c r="BM587" s="21" t="str">
        <f ca="1">IFERROR(VLOOKUP(K587,OFFSET(abbreviation[],0,ColumnLanguage),ColumnAbbreviation,FALSE),"")</f>
        <v/>
      </c>
      <c r="BN587" s="21" t="str">
        <f t="shared" ca="1" si="63"/>
        <v/>
      </c>
      <c r="BO587" s="21" t="str">
        <f ca="1">IFERROR(VLOOKUP(N587,OFFSET(abbreviation[],0,ColumnLanguage),ColumnAbbreviation,FALSE),"")</f>
        <v/>
      </c>
      <c r="BP587" s="21" t="str">
        <f ca="1">IFERROR(VLOOKUP(P587,OFFSET(abbreviation[],0,ColumnLanguage),ColumnAbbreviation,FALSE),"")</f>
        <v/>
      </c>
      <c r="BQ587" s="21" t="str">
        <f ca="1">IFERROR(VLOOKUP(T587,OFFSET(abbreviation[],0,ColumnLanguage),ColumnAbbreviation,FALSE),"")</f>
        <v/>
      </c>
      <c r="BR587" s="21" t="str">
        <f ca="1">IFERROR(VLOOKUP(V587,OFFSET(abbreviation[],0,ColumnLanguage),ColumnAbbreviation,FALSE),"")</f>
        <v/>
      </c>
      <c r="BS587" s="21" t="str">
        <f ca="1">IFERROR(VLOOKUP(Z587,OFFSET(abbreviation[],0,ColumnLanguage),ColumnAbbreviation,FALSE),"")</f>
        <v/>
      </c>
      <c r="BT587" s="21" t="str">
        <f ca="1">IFERROR(VLOOKUP(AB587,OFFSET(abbreviation[],0,ColumnLanguage),ColumnAbbreviation,FALSE),"")</f>
        <v/>
      </c>
      <c r="BU587" s="21" t="str">
        <f t="shared" ca="1" si="64"/>
        <v>__</v>
      </c>
      <c r="BV587" s="21" t="str">
        <f ca="1">IFERROR(VLOOKUP(AF587,OFFSET(abbreviation[],0,ColumnLanguage),ColumnAbbreviation,FALSE),"")</f>
        <v/>
      </c>
      <c r="BW587" s="21" t="str">
        <f ca="1">IFERROR(VLOOKUP(AH587,OFFSET(abbreviation[],0,ColumnLanguage),ColumnAbbreviation,FALSE),"")</f>
        <v/>
      </c>
      <c r="BX587" s="21" t="str">
        <f ca="1">IFERROR(VLOOKUP(AJ587,OFFSET(abbreviation[],0,ColumnLanguage),ColumnAbbreviation,FALSE),"")</f>
        <v/>
      </c>
      <c r="BY587" s="21" t="str">
        <f ca="1">IFERROR(VLOOKUP(AL587,OFFSET(abbreviation[],0,ColumnLanguage),ColumnAbbreviation,FALSE),"")</f>
        <v/>
      </c>
      <c r="BZ587" s="21" t="str">
        <f t="shared" ca="1" si="65"/>
        <v>_</v>
      </c>
      <c r="CA587" s="21" t="str">
        <f ca="1">IFERROR(VLOOKUP(AP587,OFFSET(abbreviation[],0,ColumnLanguage),ColumnAbbreviation,FALSE),"")</f>
        <v/>
      </c>
      <c r="CB587" s="21" t="str">
        <f ca="1">IFERROR(VLOOKUP(AR587,OFFSET(abbreviation[],0,ColumnLanguage),ColumnAbbreviation,FALSE),"")</f>
        <v/>
      </c>
      <c r="CC587" s="21" t="str">
        <f ca="1">IFERROR(VLOOKUP(AT587,OFFSET(abbreviation[],0,ColumnLanguage),ColumnAbbreviation,FALSE),"")</f>
        <v/>
      </c>
      <c r="CD587" s="21" t="str">
        <f ca="1">IFERROR(VLOOKUP(AV587,OFFSET(abbreviation[],0,ColumnLanguage),ColumnAbbreviation,FALSE),"")</f>
        <v/>
      </c>
      <c r="CE587" s="21" t="str">
        <f t="shared" ca="1" si="66"/>
        <v>__</v>
      </c>
      <c r="CF587" s="21" t="str">
        <f ca="1">IFERROR(VLOOKUP(AX587,OFFSET(abbreviation[],0,ColumnLanguage),ColumnAbbreviation,FALSE),"")</f>
        <v/>
      </c>
      <c r="CG587" s="21" t="str">
        <f ca="1">IFERROR(VLOOKUP(AZ587,OFFSET(abbreviation[],0,ColumnLanguage),ColumnAbbreviation,FALSE),"")</f>
        <v/>
      </c>
      <c r="CH587" s="21" t="str">
        <f ca="1">IFERROR(VLOOKUP(BB587,OFFSET(abbreviation[],0,ColumnLanguage),ColumnAbbreviation,FALSE),"")</f>
        <v/>
      </c>
      <c r="CI587" s="21" t="str">
        <f ca="1">IFERROR(VLOOKUP(BD587,OFFSET(abbreviation[],0,ColumnLanguage),ColumnAbbreviation,FALSE),"")</f>
        <v/>
      </c>
      <c r="CJ587" s="21" t="str">
        <f ca="1">IFERROR(VLOOKUP(BF587,OFFSET(abbreviation[],0,ColumnLanguage),ColumnAbbreviation,FALSE),"")</f>
        <v/>
      </c>
      <c r="CK587" s="21" t="str">
        <f t="shared" ca="1" si="67"/>
        <v/>
      </c>
      <c r="CL587" s="21" t="str">
        <f t="shared" si="68"/>
        <v/>
      </c>
      <c r="CM587" s="52"/>
      <c r="CN587" s="57" t="str">
        <f t="shared" si="69"/>
        <v/>
      </c>
    </row>
    <row r="588" spans="14:92" x14ac:dyDescent="0.25">
      <c r="N588" s="58"/>
      <c r="P588" s="60"/>
      <c r="Q588" s="13"/>
      <c r="V588" s="60"/>
      <c r="X588" s="61"/>
      <c r="AB588" s="60"/>
      <c r="AN588" s="54"/>
      <c r="AS588" s="15"/>
      <c r="BH588" s="52"/>
      <c r="BI588" s="21" t="str">
        <f ca="1">IFERROR(VLOOKUP(C588,OFFSET(abbreviation[],0,ColumnLanguage),ColumnAbbreviation,FALSE),"")</f>
        <v/>
      </c>
      <c r="BJ588" s="21" t="str">
        <f ca="1">IFERROR(VLOOKUP(E588,OFFSET(abbreviation[],0,ColumnLanguage),ColumnAbbreviation,FALSE),"")</f>
        <v/>
      </c>
      <c r="BK588" s="21" t="str">
        <f ca="1">IFERROR(VLOOKUP(G588,OFFSET(abbreviation[],0,ColumnLanguage),ColumnAbbreviation,FALSE),"")</f>
        <v/>
      </c>
      <c r="BL588" s="21" t="str">
        <f ca="1">IFERROR(VLOOKUP(I588,OFFSET(abbreviation[],0,ColumnLanguage),ColumnAbbreviation,FALSE),"")</f>
        <v/>
      </c>
      <c r="BM588" s="21" t="str">
        <f ca="1">IFERROR(VLOOKUP(K588,OFFSET(abbreviation[],0,ColumnLanguage),ColumnAbbreviation,FALSE),"")</f>
        <v/>
      </c>
      <c r="BN588" s="21" t="str">
        <f t="shared" ca="1" si="63"/>
        <v/>
      </c>
      <c r="BO588" s="21" t="str">
        <f ca="1">IFERROR(VLOOKUP(N588,OFFSET(abbreviation[],0,ColumnLanguage),ColumnAbbreviation,FALSE),"")</f>
        <v/>
      </c>
      <c r="BP588" s="21" t="str">
        <f ca="1">IFERROR(VLOOKUP(P588,OFFSET(abbreviation[],0,ColumnLanguage),ColumnAbbreviation,FALSE),"")</f>
        <v/>
      </c>
      <c r="BQ588" s="21" t="str">
        <f ca="1">IFERROR(VLOOKUP(T588,OFFSET(abbreviation[],0,ColumnLanguage),ColumnAbbreviation,FALSE),"")</f>
        <v/>
      </c>
      <c r="BR588" s="21" t="str">
        <f ca="1">IFERROR(VLOOKUP(V588,OFFSET(abbreviation[],0,ColumnLanguage),ColumnAbbreviation,FALSE),"")</f>
        <v/>
      </c>
      <c r="BS588" s="21" t="str">
        <f ca="1">IFERROR(VLOOKUP(Z588,OFFSET(abbreviation[],0,ColumnLanguage),ColumnAbbreviation,FALSE),"")</f>
        <v/>
      </c>
      <c r="BT588" s="21" t="str">
        <f ca="1">IFERROR(VLOOKUP(AB588,OFFSET(abbreviation[],0,ColumnLanguage),ColumnAbbreviation,FALSE),"")</f>
        <v/>
      </c>
      <c r="BU588" s="21" t="str">
        <f t="shared" ca="1" si="64"/>
        <v>__</v>
      </c>
      <c r="BV588" s="21" t="str">
        <f ca="1">IFERROR(VLOOKUP(AF588,OFFSET(abbreviation[],0,ColumnLanguage),ColumnAbbreviation,FALSE),"")</f>
        <v/>
      </c>
      <c r="BW588" s="21" t="str">
        <f ca="1">IFERROR(VLOOKUP(AH588,OFFSET(abbreviation[],0,ColumnLanguage),ColumnAbbreviation,FALSE),"")</f>
        <v/>
      </c>
      <c r="BX588" s="21" t="str">
        <f ca="1">IFERROR(VLOOKUP(AJ588,OFFSET(abbreviation[],0,ColumnLanguage),ColumnAbbreviation,FALSE),"")</f>
        <v/>
      </c>
      <c r="BY588" s="21" t="str">
        <f ca="1">IFERROR(VLOOKUP(AL588,OFFSET(abbreviation[],0,ColumnLanguage),ColumnAbbreviation,FALSE),"")</f>
        <v/>
      </c>
      <c r="BZ588" s="21" t="str">
        <f t="shared" ca="1" si="65"/>
        <v>_</v>
      </c>
      <c r="CA588" s="21" t="str">
        <f ca="1">IFERROR(VLOOKUP(AP588,OFFSET(abbreviation[],0,ColumnLanguage),ColumnAbbreviation,FALSE),"")</f>
        <v/>
      </c>
      <c r="CB588" s="21" t="str">
        <f ca="1">IFERROR(VLOOKUP(AR588,OFFSET(abbreviation[],0,ColumnLanguage),ColumnAbbreviation,FALSE),"")</f>
        <v/>
      </c>
      <c r="CC588" s="21" t="str">
        <f ca="1">IFERROR(VLOOKUP(AT588,OFFSET(abbreviation[],0,ColumnLanguage),ColumnAbbreviation,FALSE),"")</f>
        <v/>
      </c>
      <c r="CD588" s="21" t="str">
        <f ca="1">IFERROR(VLOOKUP(AV588,OFFSET(abbreviation[],0,ColumnLanguage),ColumnAbbreviation,FALSE),"")</f>
        <v/>
      </c>
      <c r="CE588" s="21" t="str">
        <f t="shared" ca="1" si="66"/>
        <v>__</v>
      </c>
      <c r="CF588" s="21" t="str">
        <f ca="1">IFERROR(VLOOKUP(AX588,OFFSET(abbreviation[],0,ColumnLanguage),ColumnAbbreviation,FALSE),"")</f>
        <v/>
      </c>
      <c r="CG588" s="21" t="str">
        <f ca="1">IFERROR(VLOOKUP(AZ588,OFFSET(abbreviation[],0,ColumnLanguage),ColumnAbbreviation,FALSE),"")</f>
        <v/>
      </c>
      <c r="CH588" s="21" t="str">
        <f ca="1">IFERROR(VLOOKUP(BB588,OFFSET(abbreviation[],0,ColumnLanguage),ColumnAbbreviation,FALSE),"")</f>
        <v/>
      </c>
      <c r="CI588" s="21" t="str">
        <f ca="1">IFERROR(VLOOKUP(BD588,OFFSET(abbreviation[],0,ColumnLanguage),ColumnAbbreviation,FALSE),"")</f>
        <v/>
      </c>
      <c r="CJ588" s="21" t="str">
        <f ca="1">IFERROR(VLOOKUP(BF588,OFFSET(abbreviation[],0,ColumnLanguage),ColumnAbbreviation,FALSE),"")</f>
        <v/>
      </c>
      <c r="CK588" s="21" t="str">
        <f t="shared" ca="1" si="67"/>
        <v/>
      </c>
      <c r="CL588" s="21" t="str">
        <f t="shared" si="68"/>
        <v/>
      </c>
      <c r="CM588" s="52"/>
      <c r="CN588" s="57" t="str">
        <f t="shared" si="69"/>
        <v/>
      </c>
    </row>
    <row r="589" spans="14:92" x14ac:dyDescent="0.25">
      <c r="N589" s="58"/>
      <c r="P589" s="60"/>
      <c r="Q589" s="13"/>
      <c r="V589" s="60"/>
      <c r="X589" s="61"/>
      <c r="AB589" s="60"/>
      <c r="AN589" s="54"/>
      <c r="AS589" s="15"/>
      <c r="BH589" s="52"/>
      <c r="BI589" s="21" t="str">
        <f ca="1">IFERROR(VLOOKUP(C589,OFFSET(abbreviation[],0,ColumnLanguage),ColumnAbbreviation,FALSE),"")</f>
        <v/>
      </c>
      <c r="BJ589" s="21" t="str">
        <f ca="1">IFERROR(VLOOKUP(E589,OFFSET(abbreviation[],0,ColumnLanguage),ColumnAbbreviation,FALSE),"")</f>
        <v/>
      </c>
      <c r="BK589" s="21" t="str">
        <f ca="1">IFERROR(VLOOKUP(G589,OFFSET(abbreviation[],0,ColumnLanguage),ColumnAbbreviation,FALSE),"")</f>
        <v/>
      </c>
      <c r="BL589" s="21" t="str">
        <f ca="1">IFERROR(VLOOKUP(I589,OFFSET(abbreviation[],0,ColumnLanguage),ColumnAbbreviation,FALSE),"")</f>
        <v/>
      </c>
      <c r="BM589" s="21" t="str">
        <f ca="1">IFERROR(VLOOKUP(K589,OFFSET(abbreviation[],0,ColumnLanguage),ColumnAbbreviation,FALSE),"")</f>
        <v/>
      </c>
      <c r="BN589" s="21" t="str">
        <f t="shared" ca="1" si="63"/>
        <v/>
      </c>
      <c r="BO589" s="21" t="str">
        <f ca="1">IFERROR(VLOOKUP(N589,OFFSET(abbreviation[],0,ColumnLanguage),ColumnAbbreviation,FALSE),"")</f>
        <v/>
      </c>
      <c r="BP589" s="21" t="str">
        <f ca="1">IFERROR(VLOOKUP(P589,OFFSET(abbreviation[],0,ColumnLanguage),ColumnAbbreviation,FALSE),"")</f>
        <v/>
      </c>
      <c r="BQ589" s="21" t="str">
        <f ca="1">IFERROR(VLOOKUP(T589,OFFSET(abbreviation[],0,ColumnLanguage),ColumnAbbreviation,FALSE),"")</f>
        <v/>
      </c>
      <c r="BR589" s="21" t="str">
        <f ca="1">IFERROR(VLOOKUP(V589,OFFSET(abbreviation[],0,ColumnLanguage),ColumnAbbreviation,FALSE),"")</f>
        <v/>
      </c>
      <c r="BS589" s="21" t="str">
        <f ca="1">IFERROR(VLOOKUP(Z589,OFFSET(abbreviation[],0,ColumnLanguage),ColumnAbbreviation,FALSE),"")</f>
        <v/>
      </c>
      <c r="BT589" s="21" t="str">
        <f ca="1">IFERROR(VLOOKUP(AB589,OFFSET(abbreviation[],0,ColumnLanguage),ColumnAbbreviation,FALSE),"")</f>
        <v/>
      </c>
      <c r="BU589" s="21" t="str">
        <f t="shared" ca="1" si="64"/>
        <v>__</v>
      </c>
      <c r="BV589" s="21" t="str">
        <f ca="1">IFERROR(VLOOKUP(AF589,OFFSET(abbreviation[],0,ColumnLanguage),ColumnAbbreviation,FALSE),"")</f>
        <v/>
      </c>
      <c r="BW589" s="21" t="str">
        <f ca="1">IFERROR(VLOOKUP(AH589,OFFSET(abbreviation[],0,ColumnLanguage),ColumnAbbreviation,FALSE),"")</f>
        <v/>
      </c>
      <c r="BX589" s="21" t="str">
        <f ca="1">IFERROR(VLOOKUP(AJ589,OFFSET(abbreviation[],0,ColumnLanguage),ColumnAbbreviation,FALSE),"")</f>
        <v/>
      </c>
      <c r="BY589" s="21" t="str">
        <f ca="1">IFERROR(VLOOKUP(AL589,OFFSET(abbreviation[],0,ColumnLanguage),ColumnAbbreviation,FALSE),"")</f>
        <v/>
      </c>
      <c r="BZ589" s="21" t="str">
        <f t="shared" ca="1" si="65"/>
        <v>_</v>
      </c>
      <c r="CA589" s="21" t="str">
        <f ca="1">IFERROR(VLOOKUP(AP589,OFFSET(abbreviation[],0,ColumnLanguage),ColumnAbbreviation,FALSE),"")</f>
        <v/>
      </c>
      <c r="CB589" s="21" t="str">
        <f ca="1">IFERROR(VLOOKUP(AR589,OFFSET(abbreviation[],0,ColumnLanguage),ColumnAbbreviation,FALSE),"")</f>
        <v/>
      </c>
      <c r="CC589" s="21" t="str">
        <f ca="1">IFERROR(VLOOKUP(AT589,OFFSET(abbreviation[],0,ColumnLanguage),ColumnAbbreviation,FALSE),"")</f>
        <v/>
      </c>
      <c r="CD589" s="21" t="str">
        <f ca="1">IFERROR(VLOOKUP(AV589,OFFSET(abbreviation[],0,ColumnLanguage),ColumnAbbreviation,FALSE),"")</f>
        <v/>
      </c>
      <c r="CE589" s="21" t="str">
        <f t="shared" ca="1" si="66"/>
        <v>__</v>
      </c>
      <c r="CF589" s="21" t="str">
        <f ca="1">IFERROR(VLOOKUP(AX589,OFFSET(abbreviation[],0,ColumnLanguage),ColumnAbbreviation,FALSE),"")</f>
        <v/>
      </c>
      <c r="CG589" s="21" t="str">
        <f ca="1">IFERROR(VLOOKUP(AZ589,OFFSET(abbreviation[],0,ColumnLanguage),ColumnAbbreviation,FALSE),"")</f>
        <v/>
      </c>
      <c r="CH589" s="21" t="str">
        <f ca="1">IFERROR(VLOOKUP(BB589,OFFSET(abbreviation[],0,ColumnLanguage),ColumnAbbreviation,FALSE),"")</f>
        <v/>
      </c>
      <c r="CI589" s="21" t="str">
        <f ca="1">IFERROR(VLOOKUP(BD589,OFFSET(abbreviation[],0,ColumnLanguage),ColumnAbbreviation,FALSE),"")</f>
        <v/>
      </c>
      <c r="CJ589" s="21" t="str">
        <f ca="1">IFERROR(VLOOKUP(BF589,OFFSET(abbreviation[],0,ColumnLanguage),ColumnAbbreviation,FALSE),"")</f>
        <v/>
      </c>
      <c r="CK589" s="21" t="str">
        <f t="shared" ca="1" si="67"/>
        <v/>
      </c>
      <c r="CL589" s="21" t="str">
        <f t="shared" si="68"/>
        <v/>
      </c>
      <c r="CM589" s="52"/>
      <c r="CN589" s="57" t="str">
        <f t="shared" si="69"/>
        <v/>
      </c>
    </row>
    <row r="590" spans="14:92" x14ac:dyDescent="0.25">
      <c r="N590" s="58"/>
      <c r="P590" s="60"/>
      <c r="Q590" s="13"/>
      <c r="V590" s="60"/>
      <c r="X590" s="61"/>
      <c r="AB590" s="60"/>
      <c r="AN590" s="54"/>
      <c r="AS590" s="15"/>
      <c r="BH590" s="52"/>
      <c r="BI590" s="21" t="str">
        <f ca="1">IFERROR(VLOOKUP(C590,OFFSET(abbreviation[],0,ColumnLanguage),ColumnAbbreviation,FALSE),"")</f>
        <v/>
      </c>
      <c r="BJ590" s="21" t="str">
        <f ca="1">IFERROR(VLOOKUP(E590,OFFSET(abbreviation[],0,ColumnLanguage),ColumnAbbreviation,FALSE),"")</f>
        <v/>
      </c>
      <c r="BK590" s="21" t="str">
        <f ca="1">IFERROR(VLOOKUP(G590,OFFSET(abbreviation[],0,ColumnLanguage),ColumnAbbreviation,FALSE),"")</f>
        <v/>
      </c>
      <c r="BL590" s="21" t="str">
        <f ca="1">IFERROR(VLOOKUP(I590,OFFSET(abbreviation[],0,ColumnLanguage),ColumnAbbreviation,FALSE),"")</f>
        <v/>
      </c>
      <c r="BM590" s="21" t="str">
        <f ca="1">IFERROR(VLOOKUP(K590,OFFSET(abbreviation[],0,ColumnLanguage),ColumnAbbreviation,FALSE),"")</f>
        <v/>
      </c>
      <c r="BN590" s="21" t="str">
        <f t="shared" ca="1" si="63"/>
        <v/>
      </c>
      <c r="BO590" s="21" t="str">
        <f ca="1">IFERROR(VLOOKUP(N590,OFFSET(abbreviation[],0,ColumnLanguage),ColumnAbbreviation,FALSE),"")</f>
        <v/>
      </c>
      <c r="BP590" s="21" t="str">
        <f ca="1">IFERROR(VLOOKUP(P590,OFFSET(abbreviation[],0,ColumnLanguage),ColumnAbbreviation,FALSE),"")</f>
        <v/>
      </c>
      <c r="BQ590" s="21" t="str">
        <f ca="1">IFERROR(VLOOKUP(T590,OFFSET(abbreviation[],0,ColumnLanguage),ColumnAbbreviation,FALSE),"")</f>
        <v/>
      </c>
      <c r="BR590" s="21" t="str">
        <f ca="1">IFERROR(VLOOKUP(V590,OFFSET(abbreviation[],0,ColumnLanguage),ColumnAbbreviation,FALSE),"")</f>
        <v/>
      </c>
      <c r="BS590" s="21" t="str">
        <f ca="1">IFERROR(VLOOKUP(Z590,OFFSET(abbreviation[],0,ColumnLanguage),ColumnAbbreviation,FALSE),"")</f>
        <v/>
      </c>
      <c r="BT590" s="21" t="str">
        <f ca="1">IFERROR(VLOOKUP(AB590,OFFSET(abbreviation[],0,ColumnLanguage),ColumnAbbreviation,FALSE),"")</f>
        <v/>
      </c>
      <c r="BU590" s="21" t="str">
        <f t="shared" ca="1" si="64"/>
        <v>__</v>
      </c>
      <c r="BV590" s="21" t="str">
        <f ca="1">IFERROR(VLOOKUP(AF590,OFFSET(abbreviation[],0,ColumnLanguage),ColumnAbbreviation,FALSE),"")</f>
        <v/>
      </c>
      <c r="BW590" s="21" t="str">
        <f ca="1">IFERROR(VLOOKUP(AH590,OFFSET(abbreviation[],0,ColumnLanguage),ColumnAbbreviation,FALSE),"")</f>
        <v/>
      </c>
      <c r="BX590" s="21" t="str">
        <f ca="1">IFERROR(VLOOKUP(AJ590,OFFSET(abbreviation[],0,ColumnLanguage),ColumnAbbreviation,FALSE),"")</f>
        <v/>
      </c>
      <c r="BY590" s="21" t="str">
        <f ca="1">IFERROR(VLOOKUP(AL590,OFFSET(abbreviation[],0,ColumnLanguage),ColumnAbbreviation,FALSE),"")</f>
        <v/>
      </c>
      <c r="BZ590" s="21" t="str">
        <f t="shared" ca="1" si="65"/>
        <v>_</v>
      </c>
      <c r="CA590" s="21" t="str">
        <f ca="1">IFERROR(VLOOKUP(AP590,OFFSET(abbreviation[],0,ColumnLanguage),ColumnAbbreviation,FALSE),"")</f>
        <v/>
      </c>
      <c r="CB590" s="21" t="str">
        <f ca="1">IFERROR(VLOOKUP(AR590,OFFSET(abbreviation[],0,ColumnLanguage),ColumnAbbreviation,FALSE),"")</f>
        <v/>
      </c>
      <c r="CC590" s="21" t="str">
        <f ca="1">IFERROR(VLOOKUP(AT590,OFFSET(abbreviation[],0,ColumnLanguage),ColumnAbbreviation,FALSE),"")</f>
        <v/>
      </c>
      <c r="CD590" s="21" t="str">
        <f ca="1">IFERROR(VLOOKUP(AV590,OFFSET(abbreviation[],0,ColumnLanguage),ColumnAbbreviation,FALSE),"")</f>
        <v/>
      </c>
      <c r="CE590" s="21" t="str">
        <f t="shared" ca="1" si="66"/>
        <v>__</v>
      </c>
      <c r="CF590" s="21" t="str">
        <f ca="1">IFERROR(VLOOKUP(AX590,OFFSET(abbreviation[],0,ColumnLanguage),ColumnAbbreviation,FALSE),"")</f>
        <v/>
      </c>
      <c r="CG590" s="21" t="str">
        <f ca="1">IFERROR(VLOOKUP(AZ590,OFFSET(abbreviation[],0,ColumnLanguage),ColumnAbbreviation,FALSE),"")</f>
        <v/>
      </c>
      <c r="CH590" s="21" t="str">
        <f ca="1">IFERROR(VLOOKUP(BB590,OFFSET(abbreviation[],0,ColumnLanguage),ColumnAbbreviation,FALSE),"")</f>
        <v/>
      </c>
      <c r="CI590" s="21" t="str">
        <f ca="1">IFERROR(VLOOKUP(BD590,OFFSET(abbreviation[],0,ColumnLanguage),ColumnAbbreviation,FALSE),"")</f>
        <v/>
      </c>
      <c r="CJ590" s="21" t="str">
        <f ca="1">IFERROR(VLOOKUP(BF590,OFFSET(abbreviation[],0,ColumnLanguage),ColumnAbbreviation,FALSE),"")</f>
        <v/>
      </c>
      <c r="CK590" s="21" t="str">
        <f t="shared" ca="1" si="67"/>
        <v/>
      </c>
      <c r="CL590" s="21" t="str">
        <f t="shared" si="68"/>
        <v/>
      </c>
      <c r="CM590" s="52"/>
      <c r="CN590" s="57" t="str">
        <f t="shared" si="69"/>
        <v/>
      </c>
    </row>
    <row r="591" spans="14:92" x14ac:dyDescent="0.25">
      <c r="N591" s="58"/>
      <c r="P591" s="60"/>
      <c r="Q591" s="13"/>
      <c r="V591" s="60"/>
      <c r="X591" s="61"/>
      <c r="AB591" s="60"/>
      <c r="AN591" s="54"/>
      <c r="AS591" s="15"/>
      <c r="BH591" s="52"/>
      <c r="BI591" s="21" t="str">
        <f ca="1">IFERROR(VLOOKUP(C591,OFFSET(abbreviation[],0,ColumnLanguage),ColumnAbbreviation,FALSE),"")</f>
        <v/>
      </c>
      <c r="BJ591" s="21" t="str">
        <f ca="1">IFERROR(VLOOKUP(E591,OFFSET(abbreviation[],0,ColumnLanguage),ColumnAbbreviation,FALSE),"")</f>
        <v/>
      </c>
      <c r="BK591" s="21" t="str">
        <f ca="1">IFERROR(VLOOKUP(G591,OFFSET(abbreviation[],0,ColumnLanguage),ColumnAbbreviation,FALSE),"")</f>
        <v/>
      </c>
      <c r="BL591" s="21" t="str">
        <f ca="1">IFERROR(VLOOKUP(I591,OFFSET(abbreviation[],0,ColumnLanguage),ColumnAbbreviation,FALSE),"")</f>
        <v/>
      </c>
      <c r="BM591" s="21" t="str">
        <f ca="1">IFERROR(VLOOKUP(K591,OFFSET(abbreviation[],0,ColumnLanguage),ColumnAbbreviation,FALSE),"")</f>
        <v/>
      </c>
      <c r="BN591" s="21" t="str">
        <f t="shared" ca="1" si="63"/>
        <v/>
      </c>
      <c r="BO591" s="21" t="str">
        <f ca="1">IFERROR(VLOOKUP(N591,OFFSET(abbreviation[],0,ColumnLanguage),ColumnAbbreviation,FALSE),"")</f>
        <v/>
      </c>
      <c r="BP591" s="21" t="str">
        <f ca="1">IFERROR(VLOOKUP(P591,OFFSET(abbreviation[],0,ColumnLanguage),ColumnAbbreviation,FALSE),"")</f>
        <v/>
      </c>
      <c r="BQ591" s="21" t="str">
        <f ca="1">IFERROR(VLOOKUP(T591,OFFSET(abbreviation[],0,ColumnLanguage),ColumnAbbreviation,FALSE),"")</f>
        <v/>
      </c>
      <c r="BR591" s="21" t="str">
        <f ca="1">IFERROR(VLOOKUP(V591,OFFSET(abbreviation[],0,ColumnLanguage),ColumnAbbreviation,FALSE),"")</f>
        <v/>
      </c>
      <c r="BS591" s="21" t="str">
        <f ca="1">IFERROR(VLOOKUP(Z591,OFFSET(abbreviation[],0,ColumnLanguage),ColumnAbbreviation,FALSE),"")</f>
        <v/>
      </c>
      <c r="BT591" s="21" t="str">
        <f ca="1">IFERROR(VLOOKUP(AB591,OFFSET(abbreviation[],0,ColumnLanguage),ColumnAbbreviation,FALSE),"")</f>
        <v/>
      </c>
      <c r="BU591" s="21" t="str">
        <f t="shared" ca="1" si="64"/>
        <v>__</v>
      </c>
      <c r="BV591" s="21" t="str">
        <f ca="1">IFERROR(VLOOKUP(AF591,OFFSET(abbreviation[],0,ColumnLanguage),ColumnAbbreviation,FALSE),"")</f>
        <v/>
      </c>
      <c r="BW591" s="21" t="str">
        <f ca="1">IFERROR(VLOOKUP(AH591,OFFSET(abbreviation[],0,ColumnLanguage),ColumnAbbreviation,FALSE),"")</f>
        <v/>
      </c>
      <c r="BX591" s="21" t="str">
        <f ca="1">IFERROR(VLOOKUP(AJ591,OFFSET(abbreviation[],0,ColumnLanguage),ColumnAbbreviation,FALSE),"")</f>
        <v/>
      </c>
      <c r="BY591" s="21" t="str">
        <f ca="1">IFERROR(VLOOKUP(AL591,OFFSET(abbreviation[],0,ColumnLanguage),ColumnAbbreviation,FALSE),"")</f>
        <v/>
      </c>
      <c r="BZ591" s="21" t="str">
        <f t="shared" ca="1" si="65"/>
        <v>_</v>
      </c>
      <c r="CA591" s="21" t="str">
        <f ca="1">IFERROR(VLOOKUP(AP591,OFFSET(abbreviation[],0,ColumnLanguage),ColumnAbbreviation,FALSE),"")</f>
        <v/>
      </c>
      <c r="CB591" s="21" t="str">
        <f ca="1">IFERROR(VLOOKUP(AR591,OFFSET(abbreviation[],0,ColumnLanguage),ColumnAbbreviation,FALSE),"")</f>
        <v/>
      </c>
      <c r="CC591" s="21" t="str">
        <f ca="1">IFERROR(VLOOKUP(AT591,OFFSET(abbreviation[],0,ColumnLanguage),ColumnAbbreviation,FALSE),"")</f>
        <v/>
      </c>
      <c r="CD591" s="21" t="str">
        <f ca="1">IFERROR(VLOOKUP(AV591,OFFSET(abbreviation[],0,ColumnLanguage),ColumnAbbreviation,FALSE),"")</f>
        <v/>
      </c>
      <c r="CE591" s="21" t="str">
        <f t="shared" ca="1" si="66"/>
        <v>__</v>
      </c>
      <c r="CF591" s="21" t="str">
        <f ca="1">IFERROR(VLOOKUP(AX591,OFFSET(abbreviation[],0,ColumnLanguage),ColumnAbbreviation,FALSE),"")</f>
        <v/>
      </c>
      <c r="CG591" s="21" t="str">
        <f ca="1">IFERROR(VLOOKUP(AZ591,OFFSET(abbreviation[],0,ColumnLanguage),ColumnAbbreviation,FALSE),"")</f>
        <v/>
      </c>
      <c r="CH591" s="21" t="str">
        <f ca="1">IFERROR(VLOOKUP(BB591,OFFSET(abbreviation[],0,ColumnLanguage),ColumnAbbreviation,FALSE),"")</f>
        <v/>
      </c>
      <c r="CI591" s="21" t="str">
        <f ca="1">IFERROR(VLOOKUP(BD591,OFFSET(abbreviation[],0,ColumnLanguage),ColumnAbbreviation,FALSE),"")</f>
        <v/>
      </c>
      <c r="CJ591" s="21" t="str">
        <f ca="1">IFERROR(VLOOKUP(BF591,OFFSET(abbreviation[],0,ColumnLanguage),ColumnAbbreviation,FALSE),"")</f>
        <v/>
      </c>
      <c r="CK591" s="21" t="str">
        <f t="shared" ca="1" si="67"/>
        <v/>
      </c>
      <c r="CL591" s="21" t="str">
        <f t="shared" si="68"/>
        <v/>
      </c>
      <c r="CM591" s="52"/>
      <c r="CN591" s="57" t="str">
        <f t="shared" si="69"/>
        <v/>
      </c>
    </row>
    <row r="592" spans="14:92" x14ac:dyDescent="0.25">
      <c r="N592" s="58"/>
      <c r="P592" s="60"/>
      <c r="Q592" s="13"/>
      <c r="V592" s="60"/>
      <c r="X592" s="61"/>
      <c r="AB592" s="60"/>
      <c r="AN592" s="54"/>
      <c r="AS592" s="15"/>
      <c r="BH592" s="52"/>
      <c r="BI592" s="21" t="str">
        <f ca="1">IFERROR(VLOOKUP(C592,OFFSET(abbreviation[],0,ColumnLanguage),ColumnAbbreviation,FALSE),"")</f>
        <v/>
      </c>
      <c r="BJ592" s="21" t="str">
        <f ca="1">IFERROR(VLOOKUP(E592,OFFSET(abbreviation[],0,ColumnLanguage),ColumnAbbreviation,FALSE),"")</f>
        <v/>
      </c>
      <c r="BK592" s="21" t="str">
        <f ca="1">IFERROR(VLOOKUP(G592,OFFSET(abbreviation[],0,ColumnLanguage),ColumnAbbreviation,FALSE),"")</f>
        <v/>
      </c>
      <c r="BL592" s="21" t="str">
        <f ca="1">IFERROR(VLOOKUP(I592,OFFSET(abbreviation[],0,ColumnLanguage),ColumnAbbreviation,FALSE),"")</f>
        <v/>
      </c>
      <c r="BM592" s="21" t="str">
        <f ca="1">IFERROR(VLOOKUP(K592,OFFSET(abbreviation[],0,ColumnLanguage),ColumnAbbreviation,FALSE),"")</f>
        <v/>
      </c>
      <c r="BN592" s="21" t="str">
        <f t="shared" ca="1" si="63"/>
        <v/>
      </c>
      <c r="BO592" s="21" t="str">
        <f ca="1">IFERROR(VLOOKUP(N592,OFFSET(abbreviation[],0,ColumnLanguage),ColumnAbbreviation,FALSE),"")</f>
        <v/>
      </c>
      <c r="BP592" s="21" t="str">
        <f ca="1">IFERROR(VLOOKUP(P592,OFFSET(abbreviation[],0,ColumnLanguage),ColumnAbbreviation,FALSE),"")</f>
        <v/>
      </c>
      <c r="BQ592" s="21" t="str">
        <f ca="1">IFERROR(VLOOKUP(T592,OFFSET(abbreviation[],0,ColumnLanguage),ColumnAbbreviation,FALSE),"")</f>
        <v/>
      </c>
      <c r="BR592" s="21" t="str">
        <f ca="1">IFERROR(VLOOKUP(V592,OFFSET(abbreviation[],0,ColumnLanguage),ColumnAbbreviation,FALSE),"")</f>
        <v/>
      </c>
      <c r="BS592" s="21" t="str">
        <f ca="1">IFERROR(VLOOKUP(Z592,OFFSET(abbreviation[],0,ColumnLanguage),ColumnAbbreviation,FALSE),"")</f>
        <v/>
      </c>
      <c r="BT592" s="21" t="str">
        <f ca="1">IFERROR(VLOOKUP(AB592,OFFSET(abbreviation[],0,ColumnLanguage),ColumnAbbreviation,FALSE),"")</f>
        <v/>
      </c>
      <c r="BU592" s="21" t="str">
        <f t="shared" ca="1" si="64"/>
        <v>__</v>
      </c>
      <c r="BV592" s="21" t="str">
        <f ca="1">IFERROR(VLOOKUP(AF592,OFFSET(abbreviation[],0,ColumnLanguage),ColumnAbbreviation,FALSE),"")</f>
        <v/>
      </c>
      <c r="BW592" s="21" t="str">
        <f ca="1">IFERROR(VLOOKUP(AH592,OFFSET(abbreviation[],0,ColumnLanguage),ColumnAbbreviation,FALSE),"")</f>
        <v/>
      </c>
      <c r="BX592" s="21" t="str">
        <f ca="1">IFERROR(VLOOKUP(AJ592,OFFSET(abbreviation[],0,ColumnLanguage),ColumnAbbreviation,FALSE),"")</f>
        <v/>
      </c>
      <c r="BY592" s="21" t="str">
        <f ca="1">IFERROR(VLOOKUP(AL592,OFFSET(abbreviation[],0,ColumnLanguage),ColumnAbbreviation,FALSE),"")</f>
        <v/>
      </c>
      <c r="BZ592" s="21" t="str">
        <f t="shared" ca="1" si="65"/>
        <v>_</v>
      </c>
      <c r="CA592" s="21" t="str">
        <f ca="1">IFERROR(VLOOKUP(AP592,OFFSET(abbreviation[],0,ColumnLanguage),ColumnAbbreviation,FALSE),"")</f>
        <v/>
      </c>
      <c r="CB592" s="21" t="str">
        <f ca="1">IFERROR(VLOOKUP(AR592,OFFSET(abbreviation[],0,ColumnLanguage),ColumnAbbreviation,FALSE),"")</f>
        <v/>
      </c>
      <c r="CC592" s="21" t="str">
        <f ca="1">IFERROR(VLOOKUP(AT592,OFFSET(abbreviation[],0,ColumnLanguage),ColumnAbbreviation,FALSE),"")</f>
        <v/>
      </c>
      <c r="CD592" s="21" t="str">
        <f ca="1">IFERROR(VLOOKUP(AV592,OFFSET(abbreviation[],0,ColumnLanguage),ColumnAbbreviation,FALSE),"")</f>
        <v/>
      </c>
      <c r="CE592" s="21" t="str">
        <f t="shared" ca="1" si="66"/>
        <v>__</v>
      </c>
      <c r="CF592" s="21" t="str">
        <f ca="1">IFERROR(VLOOKUP(AX592,OFFSET(abbreviation[],0,ColumnLanguage),ColumnAbbreviation,FALSE),"")</f>
        <v/>
      </c>
      <c r="CG592" s="21" t="str">
        <f ca="1">IFERROR(VLOOKUP(AZ592,OFFSET(abbreviation[],0,ColumnLanguage),ColumnAbbreviation,FALSE),"")</f>
        <v/>
      </c>
      <c r="CH592" s="21" t="str">
        <f ca="1">IFERROR(VLOOKUP(BB592,OFFSET(abbreviation[],0,ColumnLanguage),ColumnAbbreviation,FALSE),"")</f>
        <v/>
      </c>
      <c r="CI592" s="21" t="str">
        <f ca="1">IFERROR(VLOOKUP(BD592,OFFSET(abbreviation[],0,ColumnLanguage),ColumnAbbreviation,FALSE),"")</f>
        <v/>
      </c>
      <c r="CJ592" s="21" t="str">
        <f ca="1">IFERROR(VLOOKUP(BF592,OFFSET(abbreviation[],0,ColumnLanguage),ColumnAbbreviation,FALSE),"")</f>
        <v/>
      </c>
      <c r="CK592" s="21" t="str">
        <f t="shared" ca="1" si="67"/>
        <v/>
      </c>
      <c r="CL592" s="21" t="str">
        <f t="shared" si="68"/>
        <v/>
      </c>
      <c r="CM592" s="52"/>
      <c r="CN592" s="57" t="str">
        <f t="shared" si="69"/>
        <v/>
      </c>
    </row>
    <row r="593" spans="14:92" x14ac:dyDescent="0.25">
      <c r="N593" s="58"/>
      <c r="P593" s="60"/>
      <c r="Q593" s="13"/>
      <c r="V593" s="60"/>
      <c r="X593" s="61"/>
      <c r="AB593" s="60"/>
      <c r="AN593" s="54"/>
      <c r="AS593" s="15"/>
      <c r="BH593" s="52"/>
      <c r="BI593" s="21" t="str">
        <f ca="1">IFERROR(VLOOKUP(C593,OFFSET(abbreviation[],0,ColumnLanguage),ColumnAbbreviation,FALSE),"")</f>
        <v/>
      </c>
      <c r="BJ593" s="21" t="str">
        <f ca="1">IFERROR(VLOOKUP(E593,OFFSET(abbreviation[],0,ColumnLanguage),ColumnAbbreviation,FALSE),"")</f>
        <v/>
      </c>
      <c r="BK593" s="21" t="str">
        <f ca="1">IFERROR(VLOOKUP(G593,OFFSET(abbreviation[],0,ColumnLanguage),ColumnAbbreviation,FALSE),"")</f>
        <v/>
      </c>
      <c r="BL593" s="21" t="str">
        <f ca="1">IFERROR(VLOOKUP(I593,OFFSET(abbreviation[],0,ColumnLanguage),ColumnAbbreviation,FALSE),"")</f>
        <v/>
      </c>
      <c r="BM593" s="21" t="str">
        <f ca="1">IFERROR(VLOOKUP(K593,OFFSET(abbreviation[],0,ColumnLanguage),ColumnAbbreviation,FALSE),"")</f>
        <v/>
      </c>
      <c r="BN593" s="21" t="str">
        <f t="shared" ca="1" si="63"/>
        <v/>
      </c>
      <c r="BO593" s="21" t="str">
        <f ca="1">IFERROR(VLOOKUP(N593,OFFSET(abbreviation[],0,ColumnLanguage),ColumnAbbreviation,FALSE),"")</f>
        <v/>
      </c>
      <c r="BP593" s="21" t="str">
        <f ca="1">IFERROR(VLOOKUP(P593,OFFSET(abbreviation[],0,ColumnLanguage),ColumnAbbreviation,FALSE),"")</f>
        <v/>
      </c>
      <c r="BQ593" s="21" t="str">
        <f ca="1">IFERROR(VLOOKUP(T593,OFFSET(abbreviation[],0,ColumnLanguage),ColumnAbbreviation,FALSE),"")</f>
        <v/>
      </c>
      <c r="BR593" s="21" t="str">
        <f ca="1">IFERROR(VLOOKUP(V593,OFFSET(abbreviation[],0,ColumnLanguage),ColumnAbbreviation,FALSE),"")</f>
        <v/>
      </c>
      <c r="BS593" s="21" t="str">
        <f ca="1">IFERROR(VLOOKUP(Z593,OFFSET(abbreviation[],0,ColumnLanguage),ColumnAbbreviation,FALSE),"")</f>
        <v/>
      </c>
      <c r="BT593" s="21" t="str">
        <f ca="1">IFERROR(VLOOKUP(AB593,OFFSET(abbreviation[],0,ColumnLanguage),ColumnAbbreviation,FALSE),"")</f>
        <v/>
      </c>
      <c r="BU593" s="21" t="str">
        <f t="shared" ca="1" si="64"/>
        <v>__</v>
      </c>
      <c r="BV593" s="21" t="str">
        <f ca="1">IFERROR(VLOOKUP(AF593,OFFSET(abbreviation[],0,ColumnLanguage),ColumnAbbreviation,FALSE),"")</f>
        <v/>
      </c>
      <c r="BW593" s="21" t="str">
        <f ca="1">IFERROR(VLOOKUP(AH593,OFFSET(abbreviation[],0,ColumnLanguage),ColumnAbbreviation,FALSE),"")</f>
        <v/>
      </c>
      <c r="BX593" s="21" t="str">
        <f ca="1">IFERROR(VLOOKUP(AJ593,OFFSET(abbreviation[],0,ColumnLanguage),ColumnAbbreviation,FALSE),"")</f>
        <v/>
      </c>
      <c r="BY593" s="21" t="str">
        <f ca="1">IFERROR(VLOOKUP(AL593,OFFSET(abbreviation[],0,ColumnLanguage),ColumnAbbreviation,FALSE),"")</f>
        <v/>
      </c>
      <c r="BZ593" s="21" t="str">
        <f t="shared" ca="1" si="65"/>
        <v>_</v>
      </c>
      <c r="CA593" s="21" t="str">
        <f ca="1">IFERROR(VLOOKUP(AP593,OFFSET(abbreviation[],0,ColumnLanguage),ColumnAbbreviation,FALSE),"")</f>
        <v/>
      </c>
      <c r="CB593" s="21" t="str">
        <f ca="1">IFERROR(VLOOKUP(AR593,OFFSET(abbreviation[],0,ColumnLanguage),ColumnAbbreviation,FALSE),"")</f>
        <v/>
      </c>
      <c r="CC593" s="21" t="str">
        <f ca="1">IFERROR(VLOOKUP(AT593,OFFSET(abbreviation[],0,ColumnLanguage),ColumnAbbreviation,FALSE),"")</f>
        <v/>
      </c>
      <c r="CD593" s="21" t="str">
        <f ca="1">IFERROR(VLOOKUP(AV593,OFFSET(abbreviation[],0,ColumnLanguage),ColumnAbbreviation,FALSE),"")</f>
        <v/>
      </c>
      <c r="CE593" s="21" t="str">
        <f t="shared" ca="1" si="66"/>
        <v>__</v>
      </c>
      <c r="CF593" s="21" t="str">
        <f ca="1">IFERROR(VLOOKUP(AX593,OFFSET(abbreviation[],0,ColumnLanguage),ColumnAbbreviation,FALSE),"")</f>
        <v/>
      </c>
      <c r="CG593" s="21" t="str">
        <f ca="1">IFERROR(VLOOKUP(AZ593,OFFSET(abbreviation[],0,ColumnLanguage),ColumnAbbreviation,FALSE),"")</f>
        <v/>
      </c>
      <c r="CH593" s="21" t="str">
        <f ca="1">IFERROR(VLOOKUP(BB593,OFFSET(abbreviation[],0,ColumnLanguage),ColumnAbbreviation,FALSE),"")</f>
        <v/>
      </c>
      <c r="CI593" s="21" t="str">
        <f ca="1">IFERROR(VLOOKUP(BD593,OFFSET(abbreviation[],0,ColumnLanguage),ColumnAbbreviation,FALSE),"")</f>
        <v/>
      </c>
      <c r="CJ593" s="21" t="str">
        <f ca="1">IFERROR(VLOOKUP(BF593,OFFSET(abbreviation[],0,ColumnLanguage),ColumnAbbreviation,FALSE),"")</f>
        <v/>
      </c>
      <c r="CK593" s="21" t="str">
        <f t="shared" ca="1" si="67"/>
        <v/>
      </c>
      <c r="CL593" s="21" t="str">
        <f t="shared" si="68"/>
        <v/>
      </c>
      <c r="CM593" s="52"/>
      <c r="CN593" s="57" t="str">
        <f t="shared" si="69"/>
        <v/>
      </c>
    </row>
    <row r="594" spans="14:92" x14ac:dyDescent="0.25">
      <c r="N594" s="58"/>
      <c r="P594" s="60"/>
      <c r="Q594" s="13"/>
      <c r="V594" s="60"/>
      <c r="X594" s="61"/>
      <c r="AB594" s="60"/>
      <c r="AN594" s="54"/>
      <c r="AS594" s="15"/>
      <c r="BH594" s="52"/>
      <c r="BI594" s="21" t="str">
        <f ca="1">IFERROR(VLOOKUP(C594,OFFSET(abbreviation[],0,ColumnLanguage),ColumnAbbreviation,FALSE),"")</f>
        <v/>
      </c>
      <c r="BJ594" s="21" t="str">
        <f ca="1">IFERROR(VLOOKUP(E594,OFFSET(abbreviation[],0,ColumnLanguage),ColumnAbbreviation,FALSE),"")</f>
        <v/>
      </c>
      <c r="BK594" s="21" t="str">
        <f ca="1">IFERROR(VLOOKUP(G594,OFFSET(abbreviation[],0,ColumnLanguage),ColumnAbbreviation,FALSE),"")</f>
        <v/>
      </c>
      <c r="BL594" s="21" t="str">
        <f ca="1">IFERROR(VLOOKUP(I594,OFFSET(abbreviation[],0,ColumnLanguage),ColumnAbbreviation,FALSE),"")</f>
        <v/>
      </c>
      <c r="BM594" s="21" t="str">
        <f ca="1">IFERROR(VLOOKUP(K594,OFFSET(abbreviation[],0,ColumnLanguage),ColumnAbbreviation,FALSE),"")</f>
        <v/>
      </c>
      <c r="BN594" s="21" t="str">
        <f t="shared" ca="1" si="63"/>
        <v/>
      </c>
      <c r="BO594" s="21" t="str">
        <f ca="1">IFERROR(VLOOKUP(N594,OFFSET(abbreviation[],0,ColumnLanguage),ColumnAbbreviation,FALSE),"")</f>
        <v/>
      </c>
      <c r="BP594" s="21" t="str">
        <f ca="1">IFERROR(VLOOKUP(P594,OFFSET(abbreviation[],0,ColumnLanguage),ColumnAbbreviation,FALSE),"")</f>
        <v/>
      </c>
      <c r="BQ594" s="21" t="str">
        <f ca="1">IFERROR(VLOOKUP(T594,OFFSET(abbreviation[],0,ColumnLanguage),ColumnAbbreviation,FALSE),"")</f>
        <v/>
      </c>
      <c r="BR594" s="21" t="str">
        <f ca="1">IFERROR(VLOOKUP(V594,OFFSET(abbreviation[],0,ColumnLanguage),ColumnAbbreviation,FALSE),"")</f>
        <v/>
      </c>
      <c r="BS594" s="21" t="str">
        <f ca="1">IFERROR(VLOOKUP(Z594,OFFSET(abbreviation[],0,ColumnLanguage),ColumnAbbreviation,FALSE),"")</f>
        <v/>
      </c>
      <c r="BT594" s="21" t="str">
        <f ca="1">IFERROR(VLOOKUP(AB594,OFFSET(abbreviation[],0,ColumnLanguage),ColumnAbbreviation,FALSE),"")</f>
        <v/>
      </c>
      <c r="BU594" s="21" t="str">
        <f t="shared" ca="1" si="64"/>
        <v>__</v>
      </c>
      <c r="BV594" s="21" t="str">
        <f ca="1">IFERROR(VLOOKUP(AF594,OFFSET(abbreviation[],0,ColumnLanguage),ColumnAbbreviation,FALSE),"")</f>
        <v/>
      </c>
      <c r="BW594" s="21" t="str">
        <f ca="1">IFERROR(VLOOKUP(AH594,OFFSET(abbreviation[],0,ColumnLanguage),ColumnAbbreviation,FALSE),"")</f>
        <v/>
      </c>
      <c r="BX594" s="21" t="str">
        <f ca="1">IFERROR(VLOOKUP(AJ594,OFFSET(abbreviation[],0,ColumnLanguage),ColumnAbbreviation,FALSE),"")</f>
        <v/>
      </c>
      <c r="BY594" s="21" t="str">
        <f ca="1">IFERROR(VLOOKUP(AL594,OFFSET(abbreviation[],0,ColumnLanguage),ColumnAbbreviation,FALSE),"")</f>
        <v/>
      </c>
      <c r="BZ594" s="21" t="str">
        <f t="shared" ca="1" si="65"/>
        <v>_</v>
      </c>
      <c r="CA594" s="21" t="str">
        <f ca="1">IFERROR(VLOOKUP(AP594,OFFSET(abbreviation[],0,ColumnLanguage),ColumnAbbreviation,FALSE),"")</f>
        <v/>
      </c>
      <c r="CB594" s="21" t="str">
        <f ca="1">IFERROR(VLOOKUP(AR594,OFFSET(abbreviation[],0,ColumnLanguage),ColumnAbbreviation,FALSE),"")</f>
        <v/>
      </c>
      <c r="CC594" s="21" t="str">
        <f ca="1">IFERROR(VLOOKUP(AT594,OFFSET(abbreviation[],0,ColumnLanguage),ColumnAbbreviation,FALSE),"")</f>
        <v/>
      </c>
      <c r="CD594" s="21" t="str">
        <f ca="1">IFERROR(VLOOKUP(AV594,OFFSET(abbreviation[],0,ColumnLanguage),ColumnAbbreviation,FALSE),"")</f>
        <v/>
      </c>
      <c r="CE594" s="21" t="str">
        <f t="shared" ca="1" si="66"/>
        <v>__</v>
      </c>
      <c r="CF594" s="21" t="str">
        <f ca="1">IFERROR(VLOOKUP(AX594,OFFSET(abbreviation[],0,ColumnLanguage),ColumnAbbreviation,FALSE),"")</f>
        <v/>
      </c>
      <c r="CG594" s="21" t="str">
        <f ca="1">IFERROR(VLOOKUP(AZ594,OFFSET(abbreviation[],0,ColumnLanguage),ColumnAbbreviation,FALSE),"")</f>
        <v/>
      </c>
      <c r="CH594" s="21" t="str">
        <f ca="1">IFERROR(VLOOKUP(BB594,OFFSET(abbreviation[],0,ColumnLanguage),ColumnAbbreviation,FALSE),"")</f>
        <v/>
      </c>
      <c r="CI594" s="21" t="str">
        <f ca="1">IFERROR(VLOOKUP(BD594,OFFSET(abbreviation[],0,ColumnLanguage),ColumnAbbreviation,FALSE),"")</f>
        <v/>
      </c>
      <c r="CJ594" s="21" t="str">
        <f ca="1">IFERROR(VLOOKUP(BF594,OFFSET(abbreviation[],0,ColumnLanguage),ColumnAbbreviation,FALSE),"")</f>
        <v/>
      </c>
      <c r="CK594" s="21" t="str">
        <f t="shared" ca="1" si="67"/>
        <v/>
      </c>
      <c r="CL594" s="21" t="str">
        <f t="shared" si="68"/>
        <v/>
      </c>
      <c r="CM594" s="52"/>
      <c r="CN594" s="57" t="str">
        <f t="shared" si="69"/>
        <v/>
      </c>
    </row>
    <row r="595" spans="14:92" x14ac:dyDescent="0.25">
      <c r="N595" s="58"/>
      <c r="P595" s="60"/>
      <c r="Q595" s="13"/>
      <c r="V595" s="60"/>
      <c r="X595" s="61"/>
      <c r="AB595" s="60"/>
      <c r="AN595" s="54"/>
      <c r="AS595" s="15"/>
      <c r="BH595" s="52"/>
      <c r="BI595" s="21" t="str">
        <f ca="1">IFERROR(VLOOKUP(C595,OFFSET(abbreviation[],0,ColumnLanguage),ColumnAbbreviation,FALSE),"")</f>
        <v/>
      </c>
      <c r="BJ595" s="21" t="str">
        <f ca="1">IFERROR(VLOOKUP(E595,OFFSET(abbreviation[],0,ColumnLanguage),ColumnAbbreviation,FALSE),"")</f>
        <v/>
      </c>
      <c r="BK595" s="21" t="str">
        <f ca="1">IFERROR(VLOOKUP(G595,OFFSET(abbreviation[],0,ColumnLanguage),ColumnAbbreviation,FALSE),"")</f>
        <v/>
      </c>
      <c r="BL595" s="21" t="str">
        <f ca="1">IFERROR(VLOOKUP(I595,OFFSET(abbreviation[],0,ColumnLanguage),ColumnAbbreviation,FALSE),"")</f>
        <v/>
      </c>
      <c r="BM595" s="21" t="str">
        <f ca="1">IFERROR(VLOOKUP(K595,OFFSET(abbreviation[],0,ColumnLanguage),ColumnAbbreviation,FALSE),"")</f>
        <v/>
      </c>
      <c r="BN595" s="21" t="str">
        <f t="shared" ca="1" si="63"/>
        <v/>
      </c>
      <c r="BO595" s="21" t="str">
        <f ca="1">IFERROR(VLOOKUP(N595,OFFSET(abbreviation[],0,ColumnLanguage),ColumnAbbreviation,FALSE),"")</f>
        <v/>
      </c>
      <c r="BP595" s="21" t="str">
        <f ca="1">IFERROR(VLOOKUP(P595,OFFSET(abbreviation[],0,ColumnLanguage),ColumnAbbreviation,FALSE),"")</f>
        <v/>
      </c>
      <c r="BQ595" s="21" t="str">
        <f ca="1">IFERROR(VLOOKUP(T595,OFFSET(abbreviation[],0,ColumnLanguage),ColumnAbbreviation,FALSE),"")</f>
        <v/>
      </c>
      <c r="BR595" s="21" t="str">
        <f ca="1">IFERROR(VLOOKUP(V595,OFFSET(abbreviation[],0,ColumnLanguage),ColumnAbbreviation,FALSE),"")</f>
        <v/>
      </c>
      <c r="BS595" s="21" t="str">
        <f ca="1">IFERROR(VLOOKUP(Z595,OFFSET(abbreviation[],0,ColumnLanguage),ColumnAbbreviation,FALSE),"")</f>
        <v/>
      </c>
      <c r="BT595" s="21" t="str">
        <f ca="1">IFERROR(VLOOKUP(AB595,OFFSET(abbreviation[],0,ColumnLanguage),ColumnAbbreviation,FALSE),"")</f>
        <v/>
      </c>
      <c r="BU595" s="21" t="str">
        <f t="shared" ca="1" si="64"/>
        <v>__</v>
      </c>
      <c r="BV595" s="21" t="str">
        <f ca="1">IFERROR(VLOOKUP(AF595,OFFSET(abbreviation[],0,ColumnLanguage),ColumnAbbreviation,FALSE),"")</f>
        <v/>
      </c>
      <c r="BW595" s="21" t="str">
        <f ca="1">IFERROR(VLOOKUP(AH595,OFFSET(abbreviation[],0,ColumnLanguage),ColumnAbbreviation,FALSE),"")</f>
        <v/>
      </c>
      <c r="BX595" s="21" t="str">
        <f ca="1">IFERROR(VLOOKUP(AJ595,OFFSET(abbreviation[],0,ColumnLanguage),ColumnAbbreviation,FALSE),"")</f>
        <v/>
      </c>
      <c r="BY595" s="21" t="str">
        <f ca="1">IFERROR(VLOOKUP(AL595,OFFSET(abbreviation[],0,ColumnLanguage),ColumnAbbreviation,FALSE),"")</f>
        <v/>
      </c>
      <c r="BZ595" s="21" t="str">
        <f t="shared" ca="1" si="65"/>
        <v>_</v>
      </c>
      <c r="CA595" s="21" t="str">
        <f ca="1">IFERROR(VLOOKUP(AP595,OFFSET(abbreviation[],0,ColumnLanguage),ColumnAbbreviation,FALSE),"")</f>
        <v/>
      </c>
      <c r="CB595" s="21" t="str">
        <f ca="1">IFERROR(VLOOKUP(AR595,OFFSET(abbreviation[],0,ColumnLanguage),ColumnAbbreviation,FALSE),"")</f>
        <v/>
      </c>
      <c r="CC595" s="21" t="str">
        <f ca="1">IFERROR(VLOOKUP(AT595,OFFSET(abbreviation[],0,ColumnLanguage),ColumnAbbreviation,FALSE),"")</f>
        <v/>
      </c>
      <c r="CD595" s="21" t="str">
        <f ca="1">IFERROR(VLOOKUP(AV595,OFFSET(abbreviation[],0,ColumnLanguage),ColumnAbbreviation,FALSE),"")</f>
        <v/>
      </c>
      <c r="CE595" s="21" t="str">
        <f t="shared" ca="1" si="66"/>
        <v>__</v>
      </c>
      <c r="CF595" s="21" t="str">
        <f ca="1">IFERROR(VLOOKUP(AX595,OFFSET(abbreviation[],0,ColumnLanguage),ColumnAbbreviation,FALSE),"")</f>
        <v/>
      </c>
      <c r="CG595" s="21" t="str">
        <f ca="1">IFERROR(VLOOKUP(AZ595,OFFSET(abbreviation[],0,ColumnLanguage),ColumnAbbreviation,FALSE),"")</f>
        <v/>
      </c>
      <c r="CH595" s="21" t="str">
        <f ca="1">IFERROR(VLOOKUP(BB595,OFFSET(abbreviation[],0,ColumnLanguage),ColumnAbbreviation,FALSE),"")</f>
        <v/>
      </c>
      <c r="CI595" s="21" t="str">
        <f ca="1">IFERROR(VLOOKUP(BD595,OFFSET(abbreviation[],0,ColumnLanguage),ColumnAbbreviation,FALSE),"")</f>
        <v/>
      </c>
      <c r="CJ595" s="21" t="str">
        <f ca="1">IFERROR(VLOOKUP(BF595,OFFSET(abbreviation[],0,ColumnLanguage),ColumnAbbreviation,FALSE),"")</f>
        <v/>
      </c>
      <c r="CK595" s="21" t="str">
        <f t="shared" ca="1" si="67"/>
        <v/>
      </c>
      <c r="CL595" s="21" t="str">
        <f t="shared" si="68"/>
        <v/>
      </c>
      <c r="CM595" s="52"/>
      <c r="CN595" s="57" t="str">
        <f t="shared" si="69"/>
        <v/>
      </c>
    </row>
    <row r="596" spans="14:92" x14ac:dyDescent="0.25">
      <c r="N596" s="58"/>
      <c r="P596" s="60"/>
      <c r="Q596" s="13"/>
      <c r="V596" s="60"/>
      <c r="X596" s="61"/>
      <c r="AB596" s="60"/>
      <c r="AN596" s="54"/>
      <c r="AS596" s="15"/>
      <c r="BH596" s="52"/>
      <c r="BI596" s="21" t="str">
        <f ca="1">IFERROR(VLOOKUP(C596,OFFSET(abbreviation[],0,ColumnLanguage),ColumnAbbreviation,FALSE),"")</f>
        <v/>
      </c>
      <c r="BJ596" s="21" t="str">
        <f ca="1">IFERROR(VLOOKUP(E596,OFFSET(abbreviation[],0,ColumnLanguage),ColumnAbbreviation,FALSE),"")</f>
        <v/>
      </c>
      <c r="BK596" s="21" t="str">
        <f ca="1">IFERROR(VLOOKUP(G596,OFFSET(abbreviation[],0,ColumnLanguage),ColumnAbbreviation,FALSE),"")</f>
        <v/>
      </c>
      <c r="BL596" s="21" t="str">
        <f ca="1">IFERROR(VLOOKUP(I596,OFFSET(abbreviation[],0,ColumnLanguage),ColumnAbbreviation,FALSE),"")</f>
        <v/>
      </c>
      <c r="BM596" s="21" t="str">
        <f ca="1">IFERROR(VLOOKUP(K596,OFFSET(abbreviation[],0,ColumnLanguage),ColumnAbbreviation,FALSE),"")</f>
        <v/>
      </c>
      <c r="BN596" s="21" t="str">
        <f t="shared" ca="1" si="63"/>
        <v/>
      </c>
      <c r="BO596" s="21" t="str">
        <f ca="1">IFERROR(VLOOKUP(N596,OFFSET(abbreviation[],0,ColumnLanguage),ColumnAbbreviation,FALSE),"")</f>
        <v/>
      </c>
      <c r="BP596" s="21" t="str">
        <f ca="1">IFERROR(VLOOKUP(P596,OFFSET(abbreviation[],0,ColumnLanguage),ColumnAbbreviation,FALSE),"")</f>
        <v/>
      </c>
      <c r="BQ596" s="21" t="str">
        <f ca="1">IFERROR(VLOOKUP(T596,OFFSET(abbreviation[],0,ColumnLanguage),ColumnAbbreviation,FALSE),"")</f>
        <v/>
      </c>
      <c r="BR596" s="21" t="str">
        <f ca="1">IFERROR(VLOOKUP(V596,OFFSET(abbreviation[],0,ColumnLanguage),ColumnAbbreviation,FALSE),"")</f>
        <v/>
      </c>
      <c r="BS596" s="21" t="str">
        <f ca="1">IFERROR(VLOOKUP(Z596,OFFSET(abbreviation[],0,ColumnLanguage),ColumnAbbreviation,FALSE),"")</f>
        <v/>
      </c>
      <c r="BT596" s="21" t="str">
        <f ca="1">IFERROR(VLOOKUP(AB596,OFFSET(abbreviation[],0,ColumnLanguage),ColumnAbbreviation,FALSE),"")</f>
        <v/>
      </c>
      <c r="BU596" s="21" t="str">
        <f t="shared" ca="1" si="64"/>
        <v>__</v>
      </c>
      <c r="BV596" s="21" t="str">
        <f ca="1">IFERROR(VLOOKUP(AF596,OFFSET(abbreviation[],0,ColumnLanguage),ColumnAbbreviation,FALSE),"")</f>
        <v/>
      </c>
      <c r="BW596" s="21" t="str">
        <f ca="1">IFERROR(VLOOKUP(AH596,OFFSET(abbreviation[],0,ColumnLanguage),ColumnAbbreviation,FALSE),"")</f>
        <v/>
      </c>
      <c r="BX596" s="21" t="str">
        <f ca="1">IFERROR(VLOOKUP(AJ596,OFFSET(abbreviation[],0,ColumnLanguage),ColumnAbbreviation,FALSE),"")</f>
        <v/>
      </c>
      <c r="BY596" s="21" t="str">
        <f ca="1">IFERROR(VLOOKUP(AL596,OFFSET(abbreviation[],0,ColumnLanguage),ColumnAbbreviation,FALSE),"")</f>
        <v/>
      </c>
      <c r="BZ596" s="21" t="str">
        <f t="shared" ca="1" si="65"/>
        <v>_</v>
      </c>
      <c r="CA596" s="21" t="str">
        <f ca="1">IFERROR(VLOOKUP(AP596,OFFSET(abbreviation[],0,ColumnLanguage),ColumnAbbreviation,FALSE),"")</f>
        <v/>
      </c>
      <c r="CB596" s="21" t="str">
        <f ca="1">IFERROR(VLOOKUP(AR596,OFFSET(abbreviation[],0,ColumnLanguage),ColumnAbbreviation,FALSE),"")</f>
        <v/>
      </c>
      <c r="CC596" s="21" t="str">
        <f ca="1">IFERROR(VLOOKUP(AT596,OFFSET(abbreviation[],0,ColumnLanguage),ColumnAbbreviation,FALSE),"")</f>
        <v/>
      </c>
      <c r="CD596" s="21" t="str">
        <f ca="1">IFERROR(VLOOKUP(AV596,OFFSET(abbreviation[],0,ColumnLanguage),ColumnAbbreviation,FALSE),"")</f>
        <v/>
      </c>
      <c r="CE596" s="21" t="str">
        <f t="shared" ca="1" si="66"/>
        <v>__</v>
      </c>
      <c r="CF596" s="21" t="str">
        <f ca="1">IFERROR(VLOOKUP(AX596,OFFSET(abbreviation[],0,ColumnLanguage),ColumnAbbreviation,FALSE),"")</f>
        <v/>
      </c>
      <c r="CG596" s="21" t="str">
        <f ca="1">IFERROR(VLOOKUP(AZ596,OFFSET(abbreviation[],0,ColumnLanguage),ColumnAbbreviation,FALSE),"")</f>
        <v/>
      </c>
      <c r="CH596" s="21" t="str">
        <f ca="1">IFERROR(VLOOKUP(BB596,OFFSET(abbreviation[],0,ColumnLanguage),ColumnAbbreviation,FALSE),"")</f>
        <v/>
      </c>
      <c r="CI596" s="21" t="str">
        <f ca="1">IFERROR(VLOOKUP(BD596,OFFSET(abbreviation[],0,ColumnLanguage),ColumnAbbreviation,FALSE),"")</f>
        <v/>
      </c>
      <c r="CJ596" s="21" t="str">
        <f ca="1">IFERROR(VLOOKUP(BF596,OFFSET(abbreviation[],0,ColumnLanguage),ColumnAbbreviation,FALSE),"")</f>
        <v/>
      </c>
      <c r="CK596" s="21" t="str">
        <f t="shared" ca="1" si="67"/>
        <v/>
      </c>
      <c r="CL596" s="21" t="str">
        <f t="shared" si="68"/>
        <v/>
      </c>
      <c r="CM596" s="52"/>
      <c r="CN596" s="57" t="str">
        <f t="shared" si="69"/>
        <v/>
      </c>
    </row>
    <row r="597" spans="14:92" x14ac:dyDescent="0.25">
      <c r="N597" s="58"/>
      <c r="P597" s="60"/>
      <c r="Q597" s="13"/>
      <c r="V597" s="60"/>
      <c r="X597" s="61"/>
      <c r="AB597" s="60"/>
      <c r="AN597" s="54"/>
      <c r="AS597" s="15"/>
      <c r="BH597" s="52"/>
      <c r="BI597" s="21" t="str">
        <f ca="1">IFERROR(VLOOKUP(C597,OFFSET(abbreviation[],0,ColumnLanguage),ColumnAbbreviation,FALSE),"")</f>
        <v/>
      </c>
      <c r="BJ597" s="21" t="str">
        <f ca="1">IFERROR(VLOOKUP(E597,OFFSET(abbreviation[],0,ColumnLanguage),ColumnAbbreviation,FALSE),"")</f>
        <v/>
      </c>
      <c r="BK597" s="21" t="str">
        <f ca="1">IFERROR(VLOOKUP(G597,OFFSET(abbreviation[],0,ColumnLanguage),ColumnAbbreviation,FALSE),"")</f>
        <v/>
      </c>
      <c r="BL597" s="21" t="str">
        <f ca="1">IFERROR(VLOOKUP(I597,OFFSET(abbreviation[],0,ColumnLanguage),ColumnAbbreviation,FALSE),"")</f>
        <v/>
      </c>
      <c r="BM597" s="21" t="str">
        <f ca="1">IFERROR(VLOOKUP(K597,OFFSET(abbreviation[],0,ColumnLanguage),ColumnAbbreviation,FALSE),"")</f>
        <v/>
      </c>
      <c r="BN597" s="21" t="str">
        <f t="shared" ca="1" si="63"/>
        <v/>
      </c>
      <c r="BO597" s="21" t="str">
        <f ca="1">IFERROR(VLOOKUP(N597,OFFSET(abbreviation[],0,ColumnLanguage),ColumnAbbreviation,FALSE),"")</f>
        <v/>
      </c>
      <c r="BP597" s="21" t="str">
        <f ca="1">IFERROR(VLOOKUP(P597,OFFSET(abbreviation[],0,ColumnLanguage),ColumnAbbreviation,FALSE),"")</f>
        <v/>
      </c>
      <c r="BQ597" s="21" t="str">
        <f ca="1">IFERROR(VLOOKUP(T597,OFFSET(abbreviation[],0,ColumnLanguage),ColumnAbbreviation,FALSE),"")</f>
        <v/>
      </c>
      <c r="BR597" s="21" t="str">
        <f ca="1">IFERROR(VLOOKUP(V597,OFFSET(abbreviation[],0,ColumnLanguage),ColumnAbbreviation,FALSE),"")</f>
        <v/>
      </c>
      <c r="BS597" s="21" t="str">
        <f ca="1">IFERROR(VLOOKUP(Z597,OFFSET(abbreviation[],0,ColumnLanguage),ColumnAbbreviation,FALSE),"")</f>
        <v/>
      </c>
      <c r="BT597" s="21" t="str">
        <f ca="1">IFERROR(VLOOKUP(AB597,OFFSET(abbreviation[],0,ColumnLanguage),ColumnAbbreviation,FALSE),"")</f>
        <v/>
      </c>
      <c r="BU597" s="21" t="str">
        <f t="shared" ca="1" si="64"/>
        <v>__</v>
      </c>
      <c r="BV597" s="21" t="str">
        <f ca="1">IFERROR(VLOOKUP(AF597,OFFSET(abbreviation[],0,ColumnLanguage),ColumnAbbreviation,FALSE),"")</f>
        <v/>
      </c>
      <c r="BW597" s="21" t="str">
        <f ca="1">IFERROR(VLOOKUP(AH597,OFFSET(abbreviation[],0,ColumnLanguage),ColumnAbbreviation,FALSE),"")</f>
        <v/>
      </c>
      <c r="BX597" s="21" t="str">
        <f ca="1">IFERROR(VLOOKUP(AJ597,OFFSET(abbreviation[],0,ColumnLanguage),ColumnAbbreviation,FALSE),"")</f>
        <v/>
      </c>
      <c r="BY597" s="21" t="str">
        <f ca="1">IFERROR(VLOOKUP(AL597,OFFSET(abbreviation[],0,ColumnLanguage),ColumnAbbreviation,FALSE),"")</f>
        <v/>
      </c>
      <c r="BZ597" s="21" t="str">
        <f t="shared" ca="1" si="65"/>
        <v>_</v>
      </c>
      <c r="CA597" s="21" t="str">
        <f ca="1">IFERROR(VLOOKUP(AP597,OFFSET(abbreviation[],0,ColumnLanguage),ColumnAbbreviation,FALSE),"")</f>
        <v/>
      </c>
      <c r="CB597" s="21" t="str">
        <f ca="1">IFERROR(VLOOKUP(AR597,OFFSET(abbreviation[],0,ColumnLanguage),ColumnAbbreviation,FALSE),"")</f>
        <v/>
      </c>
      <c r="CC597" s="21" t="str">
        <f ca="1">IFERROR(VLOOKUP(AT597,OFFSET(abbreviation[],0,ColumnLanguage),ColumnAbbreviation,FALSE),"")</f>
        <v/>
      </c>
      <c r="CD597" s="21" t="str">
        <f ca="1">IFERROR(VLOOKUP(AV597,OFFSET(abbreviation[],0,ColumnLanguage),ColumnAbbreviation,FALSE),"")</f>
        <v/>
      </c>
      <c r="CE597" s="21" t="str">
        <f t="shared" ca="1" si="66"/>
        <v>__</v>
      </c>
      <c r="CF597" s="21" t="str">
        <f ca="1">IFERROR(VLOOKUP(AX597,OFFSET(abbreviation[],0,ColumnLanguage),ColumnAbbreviation,FALSE),"")</f>
        <v/>
      </c>
      <c r="CG597" s="21" t="str">
        <f ca="1">IFERROR(VLOOKUP(AZ597,OFFSET(abbreviation[],0,ColumnLanguage),ColumnAbbreviation,FALSE),"")</f>
        <v/>
      </c>
      <c r="CH597" s="21" t="str">
        <f ca="1">IFERROR(VLOOKUP(BB597,OFFSET(abbreviation[],0,ColumnLanguage),ColumnAbbreviation,FALSE),"")</f>
        <v/>
      </c>
      <c r="CI597" s="21" t="str">
        <f ca="1">IFERROR(VLOOKUP(BD597,OFFSET(abbreviation[],0,ColumnLanguage),ColumnAbbreviation,FALSE),"")</f>
        <v/>
      </c>
      <c r="CJ597" s="21" t="str">
        <f ca="1">IFERROR(VLOOKUP(BF597,OFFSET(abbreviation[],0,ColumnLanguage),ColumnAbbreviation,FALSE),"")</f>
        <v/>
      </c>
      <c r="CK597" s="21" t="str">
        <f t="shared" ca="1" si="67"/>
        <v/>
      </c>
      <c r="CL597" s="21" t="str">
        <f t="shared" si="68"/>
        <v/>
      </c>
      <c r="CM597" s="52"/>
      <c r="CN597" s="57" t="str">
        <f t="shared" si="69"/>
        <v/>
      </c>
    </row>
    <row r="598" spans="14:92" x14ac:dyDescent="0.25">
      <c r="N598" s="58"/>
      <c r="P598" s="60"/>
      <c r="Q598" s="13"/>
      <c r="V598" s="60"/>
      <c r="X598" s="61"/>
      <c r="AB598" s="60"/>
      <c r="AN598" s="54"/>
      <c r="AS598" s="15"/>
      <c r="BH598" s="52"/>
      <c r="BI598" s="21" t="str">
        <f ca="1">IFERROR(VLOOKUP(C598,OFFSET(abbreviation[],0,ColumnLanguage),ColumnAbbreviation,FALSE),"")</f>
        <v/>
      </c>
      <c r="BJ598" s="21" t="str">
        <f ca="1">IFERROR(VLOOKUP(E598,OFFSET(abbreviation[],0,ColumnLanguage),ColumnAbbreviation,FALSE),"")</f>
        <v/>
      </c>
      <c r="BK598" s="21" t="str">
        <f ca="1">IFERROR(VLOOKUP(G598,OFFSET(abbreviation[],0,ColumnLanguage),ColumnAbbreviation,FALSE),"")</f>
        <v/>
      </c>
      <c r="BL598" s="21" t="str">
        <f ca="1">IFERROR(VLOOKUP(I598,OFFSET(abbreviation[],0,ColumnLanguage),ColumnAbbreviation,FALSE),"")</f>
        <v/>
      </c>
      <c r="BM598" s="21" t="str">
        <f ca="1">IFERROR(VLOOKUP(K598,OFFSET(abbreviation[],0,ColumnLanguage),ColumnAbbreviation,FALSE),"")</f>
        <v/>
      </c>
      <c r="BN598" s="21" t="str">
        <f t="shared" ca="1" si="63"/>
        <v/>
      </c>
      <c r="BO598" s="21" t="str">
        <f ca="1">IFERROR(VLOOKUP(N598,OFFSET(abbreviation[],0,ColumnLanguage),ColumnAbbreviation,FALSE),"")</f>
        <v/>
      </c>
      <c r="BP598" s="21" t="str">
        <f ca="1">IFERROR(VLOOKUP(P598,OFFSET(abbreviation[],0,ColumnLanguage),ColumnAbbreviation,FALSE),"")</f>
        <v/>
      </c>
      <c r="BQ598" s="21" t="str">
        <f ca="1">IFERROR(VLOOKUP(T598,OFFSET(abbreviation[],0,ColumnLanguage),ColumnAbbreviation,FALSE),"")</f>
        <v/>
      </c>
      <c r="BR598" s="21" t="str">
        <f ca="1">IFERROR(VLOOKUP(V598,OFFSET(abbreviation[],0,ColumnLanguage),ColumnAbbreviation,FALSE),"")</f>
        <v/>
      </c>
      <c r="BS598" s="21" t="str">
        <f ca="1">IFERROR(VLOOKUP(Z598,OFFSET(abbreviation[],0,ColumnLanguage),ColumnAbbreviation,FALSE),"")</f>
        <v/>
      </c>
      <c r="BT598" s="21" t="str">
        <f ca="1">IFERROR(VLOOKUP(AB598,OFFSET(abbreviation[],0,ColumnLanguage),ColumnAbbreviation,FALSE),"")</f>
        <v/>
      </c>
      <c r="BU598" s="21" t="str">
        <f t="shared" ca="1" si="64"/>
        <v>__</v>
      </c>
      <c r="BV598" s="21" t="str">
        <f ca="1">IFERROR(VLOOKUP(AF598,OFFSET(abbreviation[],0,ColumnLanguage),ColumnAbbreviation,FALSE),"")</f>
        <v/>
      </c>
      <c r="BW598" s="21" t="str">
        <f ca="1">IFERROR(VLOOKUP(AH598,OFFSET(abbreviation[],0,ColumnLanguage),ColumnAbbreviation,FALSE),"")</f>
        <v/>
      </c>
      <c r="BX598" s="21" t="str">
        <f ca="1">IFERROR(VLOOKUP(AJ598,OFFSET(abbreviation[],0,ColumnLanguage),ColumnAbbreviation,FALSE),"")</f>
        <v/>
      </c>
      <c r="BY598" s="21" t="str">
        <f ca="1">IFERROR(VLOOKUP(AL598,OFFSET(abbreviation[],0,ColumnLanguage),ColumnAbbreviation,FALSE),"")</f>
        <v/>
      </c>
      <c r="BZ598" s="21" t="str">
        <f t="shared" ca="1" si="65"/>
        <v>_</v>
      </c>
      <c r="CA598" s="21" t="str">
        <f ca="1">IFERROR(VLOOKUP(AP598,OFFSET(abbreviation[],0,ColumnLanguage),ColumnAbbreviation,FALSE),"")</f>
        <v/>
      </c>
      <c r="CB598" s="21" t="str">
        <f ca="1">IFERROR(VLOOKUP(AR598,OFFSET(abbreviation[],0,ColumnLanguage),ColumnAbbreviation,FALSE),"")</f>
        <v/>
      </c>
      <c r="CC598" s="21" t="str">
        <f ca="1">IFERROR(VLOOKUP(AT598,OFFSET(abbreviation[],0,ColumnLanguage),ColumnAbbreviation,FALSE),"")</f>
        <v/>
      </c>
      <c r="CD598" s="21" t="str">
        <f ca="1">IFERROR(VLOOKUP(AV598,OFFSET(abbreviation[],0,ColumnLanguage),ColumnAbbreviation,FALSE),"")</f>
        <v/>
      </c>
      <c r="CE598" s="21" t="str">
        <f t="shared" ca="1" si="66"/>
        <v>__</v>
      </c>
      <c r="CF598" s="21" t="str">
        <f ca="1">IFERROR(VLOOKUP(AX598,OFFSET(abbreviation[],0,ColumnLanguage),ColumnAbbreviation,FALSE),"")</f>
        <v/>
      </c>
      <c r="CG598" s="21" t="str">
        <f ca="1">IFERROR(VLOOKUP(AZ598,OFFSET(abbreviation[],0,ColumnLanguage),ColumnAbbreviation,FALSE),"")</f>
        <v/>
      </c>
      <c r="CH598" s="21" t="str">
        <f ca="1">IFERROR(VLOOKUP(BB598,OFFSET(abbreviation[],0,ColumnLanguage),ColumnAbbreviation,FALSE),"")</f>
        <v/>
      </c>
      <c r="CI598" s="21" t="str">
        <f ca="1">IFERROR(VLOOKUP(BD598,OFFSET(abbreviation[],0,ColumnLanguage),ColumnAbbreviation,FALSE),"")</f>
        <v/>
      </c>
      <c r="CJ598" s="21" t="str">
        <f ca="1">IFERROR(VLOOKUP(BF598,OFFSET(abbreviation[],0,ColumnLanguage),ColumnAbbreviation,FALSE),"")</f>
        <v/>
      </c>
      <c r="CK598" s="21" t="str">
        <f t="shared" ca="1" si="67"/>
        <v/>
      </c>
      <c r="CL598" s="21" t="str">
        <f t="shared" si="68"/>
        <v/>
      </c>
      <c r="CM598" s="52"/>
      <c r="CN598" s="57" t="str">
        <f t="shared" si="69"/>
        <v/>
      </c>
    </row>
    <row r="599" spans="14:92" x14ac:dyDescent="0.25">
      <c r="N599" s="58"/>
      <c r="P599" s="60"/>
      <c r="Q599" s="13"/>
      <c r="V599" s="60"/>
      <c r="X599" s="61"/>
      <c r="AB599" s="60"/>
      <c r="AN599" s="54"/>
      <c r="AS599" s="15"/>
      <c r="BH599" s="52"/>
      <c r="BI599" s="21" t="str">
        <f ca="1">IFERROR(VLOOKUP(C599,OFFSET(abbreviation[],0,ColumnLanguage),ColumnAbbreviation,FALSE),"")</f>
        <v/>
      </c>
      <c r="BJ599" s="21" t="str">
        <f ca="1">IFERROR(VLOOKUP(E599,OFFSET(abbreviation[],0,ColumnLanguage),ColumnAbbreviation,FALSE),"")</f>
        <v/>
      </c>
      <c r="BK599" s="21" t="str">
        <f ca="1">IFERROR(VLOOKUP(G599,OFFSET(abbreviation[],0,ColumnLanguage),ColumnAbbreviation,FALSE),"")</f>
        <v/>
      </c>
      <c r="BL599" s="21" t="str">
        <f ca="1">IFERROR(VLOOKUP(I599,OFFSET(abbreviation[],0,ColumnLanguage),ColumnAbbreviation,FALSE),"")</f>
        <v/>
      </c>
      <c r="BM599" s="21" t="str">
        <f ca="1">IFERROR(VLOOKUP(K599,OFFSET(abbreviation[],0,ColumnLanguage),ColumnAbbreviation,FALSE),"")</f>
        <v/>
      </c>
      <c r="BN599" s="21" t="str">
        <f t="shared" ca="1" si="63"/>
        <v/>
      </c>
      <c r="BO599" s="21" t="str">
        <f ca="1">IFERROR(VLOOKUP(N599,OFFSET(abbreviation[],0,ColumnLanguage),ColumnAbbreviation,FALSE),"")</f>
        <v/>
      </c>
      <c r="BP599" s="21" t="str">
        <f ca="1">IFERROR(VLOOKUP(P599,OFFSET(abbreviation[],0,ColumnLanguage),ColumnAbbreviation,FALSE),"")</f>
        <v/>
      </c>
      <c r="BQ599" s="21" t="str">
        <f ca="1">IFERROR(VLOOKUP(T599,OFFSET(abbreviation[],0,ColumnLanguage),ColumnAbbreviation,FALSE),"")</f>
        <v/>
      </c>
      <c r="BR599" s="21" t="str">
        <f ca="1">IFERROR(VLOOKUP(V599,OFFSET(abbreviation[],0,ColumnLanguage),ColumnAbbreviation,FALSE),"")</f>
        <v/>
      </c>
      <c r="BS599" s="21" t="str">
        <f ca="1">IFERROR(VLOOKUP(Z599,OFFSET(abbreviation[],0,ColumnLanguage),ColumnAbbreviation,FALSE),"")</f>
        <v/>
      </c>
      <c r="BT599" s="21" t="str">
        <f ca="1">IFERROR(VLOOKUP(AB599,OFFSET(abbreviation[],0,ColumnLanguage),ColumnAbbreviation,FALSE),"")</f>
        <v/>
      </c>
      <c r="BU599" s="21" t="str">
        <f t="shared" ca="1" si="64"/>
        <v>__</v>
      </c>
      <c r="BV599" s="21" t="str">
        <f ca="1">IFERROR(VLOOKUP(AF599,OFFSET(abbreviation[],0,ColumnLanguage),ColumnAbbreviation,FALSE),"")</f>
        <v/>
      </c>
      <c r="BW599" s="21" t="str">
        <f ca="1">IFERROR(VLOOKUP(AH599,OFFSET(abbreviation[],0,ColumnLanguage),ColumnAbbreviation,FALSE),"")</f>
        <v/>
      </c>
      <c r="BX599" s="21" t="str">
        <f ca="1">IFERROR(VLOOKUP(AJ599,OFFSET(abbreviation[],0,ColumnLanguage),ColumnAbbreviation,FALSE),"")</f>
        <v/>
      </c>
      <c r="BY599" s="21" t="str">
        <f ca="1">IFERROR(VLOOKUP(AL599,OFFSET(abbreviation[],0,ColumnLanguage),ColumnAbbreviation,FALSE),"")</f>
        <v/>
      </c>
      <c r="BZ599" s="21" t="str">
        <f t="shared" ca="1" si="65"/>
        <v>_</v>
      </c>
      <c r="CA599" s="21" t="str">
        <f ca="1">IFERROR(VLOOKUP(AP599,OFFSET(abbreviation[],0,ColumnLanguage),ColumnAbbreviation,FALSE),"")</f>
        <v/>
      </c>
      <c r="CB599" s="21" t="str">
        <f ca="1">IFERROR(VLOOKUP(AR599,OFFSET(abbreviation[],0,ColumnLanguage),ColumnAbbreviation,FALSE),"")</f>
        <v/>
      </c>
      <c r="CC599" s="21" t="str">
        <f ca="1">IFERROR(VLOOKUP(AT599,OFFSET(abbreviation[],0,ColumnLanguage),ColumnAbbreviation,FALSE),"")</f>
        <v/>
      </c>
      <c r="CD599" s="21" t="str">
        <f ca="1">IFERROR(VLOOKUP(AV599,OFFSET(abbreviation[],0,ColumnLanguage),ColumnAbbreviation,FALSE),"")</f>
        <v/>
      </c>
      <c r="CE599" s="21" t="str">
        <f t="shared" ca="1" si="66"/>
        <v>__</v>
      </c>
      <c r="CF599" s="21" t="str">
        <f ca="1">IFERROR(VLOOKUP(AX599,OFFSET(abbreviation[],0,ColumnLanguage),ColumnAbbreviation,FALSE),"")</f>
        <v/>
      </c>
      <c r="CG599" s="21" t="str">
        <f ca="1">IFERROR(VLOOKUP(AZ599,OFFSET(abbreviation[],0,ColumnLanguage),ColumnAbbreviation,FALSE),"")</f>
        <v/>
      </c>
      <c r="CH599" s="21" t="str">
        <f ca="1">IFERROR(VLOOKUP(BB599,OFFSET(abbreviation[],0,ColumnLanguage),ColumnAbbreviation,FALSE),"")</f>
        <v/>
      </c>
      <c r="CI599" s="21" t="str">
        <f ca="1">IFERROR(VLOOKUP(BD599,OFFSET(abbreviation[],0,ColumnLanguage),ColumnAbbreviation,FALSE),"")</f>
        <v/>
      </c>
      <c r="CJ599" s="21" t="str">
        <f ca="1">IFERROR(VLOOKUP(BF599,OFFSET(abbreviation[],0,ColumnLanguage),ColumnAbbreviation,FALSE),"")</f>
        <v/>
      </c>
      <c r="CK599" s="21" t="str">
        <f t="shared" ca="1" si="67"/>
        <v/>
      </c>
      <c r="CL599" s="21" t="str">
        <f t="shared" si="68"/>
        <v/>
      </c>
      <c r="CM599" s="52"/>
      <c r="CN599" s="57" t="str">
        <f t="shared" si="69"/>
        <v/>
      </c>
    </row>
    <row r="600" spans="14:92" x14ac:dyDescent="0.25">
      <c r="N600" s="58"/>
      <c r="P600" s="60"/>
      <c r="Q600" s="13"/>
      <c r="V600" s="60"/>
      <c r="X600" s="61"/>
      <c r="AB600" s="60"/>
      <c r="AN600" s="54"/>
      <c r="AS600" s="15"/>
      <c r="BH600" s="52"/>
      <c r="BI600" s="21" t="str">
        <f ca="1">IFERROR(VLOOKUP(C600,OFFSET(abbreviation[],0,ColumnLanguage),ColumnAbbreviation,FALSE),"")</f>
        <v/>
      </c>
      <c r="BJ600" s="21" t="str">
        <f ca="1">IFERROR(VLOOKUP(E600,OFFSET(abbreviation[],0,ColumnLanguage),ColumnAbbreviation,FALSE),"")</f>
        <v/>
      </c>
      <c r="BK600" s="21" t="str">
        <f ca="1">IFERROR(VLOOKUP(G600,OFFSET(abbreviation[],0,ColumnLanguage),ColumnAbbreviation,FALSE),"")</f>
        <v/>
      </c>
      <c r="BL600" s="21" t="str">
        <f ca="1">IFERROR(VLOOKUP(I600,OFFSET(abbreviation[],0,ColumnLanguage),ColumnAbbreviation,FALSE),"")</f>
        <v/>
      </c>
      <c r="BM600" s="21" t="str">
        <f ca="1">IFERROR(VLOOKUP(K600,OFFSET(abbreviation[],0,ColumnLanguage),ColumnAbbreviation,FALSE),"")</f>
        <v/>
      </c>
      <c r="BN600" s="21" t="str">
        <f t="shared" ca="1" si="63"/>
        <v/>
      </c>
      <c r="BO600" s="21" t="str">
        <f ca="1">IFERROR(VLOOKUP(N600,OFFSET(abbreviation[],0,ColumnLanguage),ColumnAbbreviation,FALSE),"")</f>
        <v/>
      </c>
      <c r="BP600" s="21" t="str">
        <f ca="1">IFERROR(VLOOKUP(P600,OFFSET(abbreviation[],0,ColumnLanguage),ColumnAbbreviation,FALSE),"")</f>
        <v/>
      </c>
      <c r="BQ600" s="21" t="str">
        <f ca="1">IFERROR(VLOOKUP(T600,OFFSET(abbreviation[],0,ColumnLanguage),ColumnAbbreviation,FALSE),"")</f>
        <v/>
      </c>
      <c r="BR600" s="21" t="str">
        <f ca="1">IFERROR(VLOOKUP(V600,OFFSET(abbreviation[],0,ColumnLanguage),ColumnAbbreviation,FALSE),"")</f>
        <v/>
      </c>
      <c r="BS600" s="21" t="str">
        <f ca="1">IFERROR(VLOOKUP(Z600,OFFSET(abbreviation[],0,ColumnLanguage),ColumnAbbreviation,FALSE),"")</f>
        <v/>
      </c>
      <c r="BT600" s="21" t="str">
        <f ca="1">IFERROR(VLOOKUP(AB600,OFFSET(abbreviation[],0,ColumnLanguage),ColumnAbbreviation,FALSE),"")</f>
        <v/>
      </c>
      <c r="BU600" s="21" t="str">
        <f t="shared" ca="1" si="64"/>
        <v>__</v>
      </c>
      <c r="BV600" s="21" t="str">
        <f ca="1">IFERROR(VLOOKUP(AF600,OFFSET(abbreviation[],0,ColumnLanguage),ColumnAbbreviation,FALSE),"")</f>
        <v/>
      </c>
      <c r="BW600" s="21" t="str">
        <f ca="1">IFERROR(VLOOKUP(AH600,OFFSET(abbreviation[],0,ColumnLanguage),ColumnAbbreviation,FALSE),"")</f>
        <v/>
      </c>
      <c r="BX600" s="21" t="str">
        <f ca="1">IFERROR(VLOOKUP(AJ600,OFFSET(abbreviation[],0,ColumnLanguage),ColumnAbbreviation,FALSE),"")</f>
        <v/>
      </c>
      <c r="BY600" s="21" t="str">
        <f ca="1">IFERROR(VLOOKUP(AL600,OFFSET(abbreviation[],0,ColumnLanguage),ColumnAbbreviation,FALSE),"")</f>
        <v/>
      </c>
      <c r="BZ600" s="21" t="str">
        <f t="shared" ca="1" si="65"/>
        <v>_</v>
      </c>
      <c r="CA600" s="21" t="str">
        <f ca="1">IFERROR(VLOOKUP(AP600,OFFSET(abbreviation[],0,ColumnLanguage),ColumnAbbreviation,FALSE),"")</f>
        <v/>
      </c>
      <c r="CB600" s="21" t="str">
        <f ca="1">IFERROR(VLOOKUP(AR600,OFFSET(abbreviation[],0,ColumnLanguage),ColumnAbbreviation,FALSE),"")</f>
        <v/>
      </c>
      <c r="CC600" s="21" t="str">
        <f ca="1">IFERROR(VLOOKUP(AT600,OFFSET(abbreviation[],0,ColumnLanguage),ColumnAbbreviation,FALSE),"")</f>
        <v/>
      </c>
      <c r="CD600" s="21" t="str">
        <f ca="1">IFERROR(VLOOKUP(AV600,OFFSET(abbreviation[],0,ColumnLanguage),ColumnAbbreviation,FALSE),"")</f>
        <v/>
      </c>
      <c r="CE600" s="21" t="str">
        <f t="shared" ca="1" si="66"/>
        <v>__</v>
      </c>
      <c r="CF600" s="21" t="str">
        <f ca="1">IFERROR(VLOOKUP(AX600,OFFSET(abbreviation[],0,ColumnLanguage),ColumnAbbreviation,FALSE),"")</f>
        <v/>
      </c>
      <c r="CG600" s="21" t="str">
        <f ca="1">IFERROR(VLOOKUP(AZ600,OFFSET(abbreviation[],0,ColumnLanguage),ColumnAbbreviation,FALSE),"")</f>
        <v/>
      </c>
      <c r="CH600" s="21" t="str">
        <f ca="1">IFERROR(VLOOKUP(BB600,OFFSET(abbreviation[],0,ColumnLanguage),ColumnAbbreviation,FALSE),"")</f>
        <v/>
      </c>
      <c r="CI600" s="21" t="str">
        <f ca="1">IFERROR(VLOOKUP(BD600,OFFSET(abbreviation[],0,ColumnLanguage),ColumnAbbreviation,FALSE),"")</f>
        <v/>
      </c>
      <c r="CJ600" s="21" t="str">
        <f ca="1">IFERROR(VLOOKUP(BF600,OFFSET(abbreviation[],0,ColumnLanguage),ColumnAbbreviation,FALSE),"")</f>
        <v/>
      </c>
      <c r="CK600" s="21" t="str">
        <f t="shared" ca="1" si="67"/>
        <v/>
      </c>
      <c r="CL600" s="21" t="str">
        <f t="shared" si="68"/>
        <v/>
      </c>
      <c r="CM600" s="52"/>
      <c r="CN600" s="57" t="str">
        <f t="shared" si="69"/>
        <v/>
      </c>
    </row>
    <row r="601" spans="14:92" x14ac:dyDescent="0.25">
      <c r="N601" s="58"/>
      <c r="P601" s="60"/>
      <c r="Q601" s="13"/>
      <c r="V601" s="60"/>
      <c r="X601" s="61"/>
      <c r="AB601" s="60"/>
      <c r="AN601" s="54"/>
      <c r="AS601" s="15"/>
      <c r="BH601" s="52"/>
      <c r="BI601" s="21" t="str">
        <f ca="1">IFERROR(VLOOKUP(C601,OFFSET(abbreviation[],0,ColumnLanguage),ColumnAbbreviation,FALSE),"")</f>
        <v/>
      </c>
      <c r="BJ601" s="21" t="str">
        <f ca="1">IFERROR(VLOOKUP(E601,OFFSET(abbreviation[],0,ColumnLanguage),ColumnAbbreviation,FALSE),"")</f>
        <v/>
      </c>
      <c r="BK601" s="21" t="str">
        <f ca="1">IFERROR(VLOOKUP(G601,OFFSET(abbreviation[],0,ColumnLanguage),ColumnAbbreviation,FALSE),"")</f>
        <v/>
      </c>
      <c r="BL601" s="21" t="str">
        <f ca="1">IFERROR(VLOOKUP(I601,OFFSET(abbreviation[],0,ColumnLanguage),ColumnAbbreviation,FALSE),"")</f>
        <v/>
      </c>
      <c r="BM601" s="21" t="str">
        <f ca="1">IFERROR(VLOOKUP(K601,OFFSET(abbreviation[],0,ColumnLanguage),ColumnAbbreviation,FALSE),"")</f>
        <v/>
      </c>
      <c r="BN601" s="21" t="str">
        <f t="shared" ca="1" si="63"/>
        <v/>
      </c>
      <c r="BO601" s="21" t="str">
        <f ca="1">IFERROR(VLOOKUP(N601,OFFSET(abbreviation[],0,ColumnLanguage),ColumnAbbreviation,FALSE),"")</f>
        <v/>
      </c>
      <c r="BP601" s="21" t="str">
        <f ca="1">IFERROR(VLOOKUP(P601,OFFSET(abbreviation[],0,ColumnLanguage),ColumnAbbreviation,FALSE),"")</f>
        <v/>
      </c>
      <c r="BQ601" s="21" t="str">
        <f ca="1">IFERROR(VLOOKUP(T601,OFFSET(abbreviation[],0,ColumnLanguage),ColumnAbbreviation,FALSE),"")</f>
        <v/>
      </c>
      <c r="BR601" s="21" t="str">
        <f ca="1">IFERROR(VLOOKUP(V601,OFFSET(abbreviation[],0,ColumnLanguage),ColumnAbbreviation,FALSE),"")</f>
        <v/>
      </c>
      <c r="BS601" s="21" t="str">
        <f ca="1">IFERROR(VLOOKUP(Z601,OFFSET(abbreviation[],0,ColumnLanguage),ColumnAbbreviation,FALSE),"")</f>
        <v/>
      </c>
      <c r="BT601" s="21" t="str">
        <f ca="1">IFERROR(VLOOKUP(AB601,OFFSET(abbreviation[],0,ColumnLanguage),ColumnAbbreviation,FALSE),"")</f>
        <v/>
      </c>
      <c r="BU601" s="21" t="str">
        <f t="shared" ca="1" si="64"/>
        <v>__</v>
      </c>
      <c r="BV601" s="21" t="str">
        <f ca="1">IFERROR(VLOOKUP(AF601,OFFSET(abbreviation[],0,ColumnLanguage),ColumnAbbreviation,FALSE),"")</f>
        <v/>
      </c>
      <c r="BW601" s="21" t="str">
        <f ca="1">IFERROR(VLOOKUP(AH601,OFFSET(abbreviation[],0,ColumnLanguage),ColumnAbbreviation,FALSE),"")</f>
        <v/>
      </c>
      <c r="BX601" s="21" t="str">
        <f ca="1">IFERROR(VLOOKUP(AJ601,OFFSET(abbreviation[],0,ColumnLanguage),ColumnAbbreviation,FALSE),"")</f>
        <v/>
      </c>
      <c r="BY601" s="21" t="str">
        <f ca="1">IFERROR(VLOOKUP(AL601,OFFSET(abbreviation[],0,ColumnLanguage),ColumnAbbreviation,FALSE),"")</f>
        <v/>
      </c>
      <c r="BZ601" s="21" t="str">
        <f t="shared" ca="1" si="65"/>
        <v>_</v>
      </c>
      <c r="CA601" s="21" t="str">
        <f ca="1">IFERROR(VLOOKUP(AP601,OFFSET(abbreviation[],0,ColumnLanguage),ColumnAbbreviation,FALSE),"")</f>
        <v/>
      </c>
      <c r="CB601" s="21" t="str">
        <f ca="1">IFERROR(VLOOKUP(AR601,OFFSET(abbreviation[],0,ColumnLanguage),ColumnAbbreviation,FALSE),"")</f>
        <v/>
      </c>
      <c r="CC601" s="21" t="str">
        <f ca="1">IFERROR(VLOOKUP(AT601,OFFSET(abbreviation[],0,ColumnLanguage),ColumnAbbreviation,FALSE),"")</f>
        <v/>
      </c>
      <c r="CD601" s="21" t="str">
        <f ca="1">IFERROR(VLOOKUP(AV601,OFFSET(abbreviation[],0,ColumnLanguage),ColumnAbbreviation,FALSE),"")</f>
        <v/>
      </c>
      <c r="CE601" s="21" t="str">
        <f t="shared" ca="1" si="66"/>
        <v>__</v>
      </c>
      <c r="CF601" s="21" t="str">
        <f ca="1">IFERROR(VLOOKUP(AX601,OFFSET(abbreviation[],0,ColumnLanguage),ColumnAbbreviation,FALSE),"")</f>
        <v/>
      </c>
      <c r="CG601" s="21" t="str">
        <f ca="1">IFERROR(VLOOKUP(AZ601,OFFSET(abbreviation[],0,ColumnLanguage),ColumnAbbreviation,FALSE),"")</f>
        <v/>
      </c>
      <c r="CH601" s="21" t="str">
        <f ca="1">IFERROR(VLOOKUP(BB601,OFFSET(abbreviation[],0,ColumnLanguage),ColumnAbbreviation,FALSE),"")</f>
        <v/>
      </c>
      <c r="CI601" s="21" t="str">
        <f ca="1">IFERROR(VLOOKUP(BD601,OFFSET(abbreviation[],0,ColumnLanguage),ColumnAbbreviation,FALSE),"")</f>
        <v/>
      </c>
      <c r="CJ601" s="21" t="str">
        <f ca="1">IFERROR(VLOOKUP(BF601,OFFSET(abbreviation[],0,ColumnLanguage),ColumnAbbreviation,FALSE),"")</f>
        <v/>
      </c>
      <c r="CK601" s="21" t="str">
        <f t="shared" ca="1" si="67"/>
        <v/>
      </c>
      <c r="CL601" s="21" t="str">
        <f t="shared" si="68"/>
        <v/>
      </c>
      <c r="CM601" s="52"/>
      <c r="CN601" s="57" t="str">
        <f t="shared" si="69"/>
        <v/>
      </c>
    </row>
    <row r="602" spans="14:92" x14ac:dyDescent="0.25">
      <c r="N602" s="58"/>
      <c r="P602" s="60"/>
      <c r="Q602" s="13"/>
      <c r="V602" s="60"/>
      <c r="X602" s="61"/>
      <c r="AB602" s="60"/>
      <c r="AN602" s="54"/>
      <c r="AS602" s="15"/>
      <c r="BH602" s="52"/>
      <c r="BI602" s="21" t="str">
        <f ca="1">IFERROR(VLOOKUP(C602,OFFSET(abbreviation[],0,ColumnLanguage),ColumnAbbreviation,FALSE),"")</f>
        <v/>
      </c>
      <c r="BJ602" s="21" t="str">
        <f ca="1">IFERROR(VLOOKUP(E602,OFFSET(abbreviation[],0,ColumnLanguage),ColumnAbbreviation,FALSE),"")</f>
        <v/>
      </c>
      <c r="BK602" s="21" t="str">
        <f ca="1">IFERROR(VLOOKUP(G602,OFFSET(abbreviation[],0,ColumnLanguage),ColumnAbbreviation,FALSE),"")</f>
        <v/>
      </c>
      <c r="BL602" s="21" t="str">
        <f ca="1">IFERROR(VLOOKUP(I602,OFFSET(abbreviation[],0,ColumnLanguage),ColumnAbbreviation,FALSE),"")</f>
        <v/>
      </c>
      <c r="BM602" s="21" t="str">
        <f ca="1">IFERROR(VLOOKUP(K602,OFFSET(abbreviation[],0,ColumnLanguage),ColumnAbbreviation,FALSE),"")</f>
        <v/>
      </c>
      <c r="BN602" s="21" t="str">
        <f t="shared" ca="1" si="63"/>
        <v/>
      </c>
      <c r="BO602" s="21" t="str">
        <f ca="1">IFERROR(VLOOKUP(N602,OFFSET(abbreviation[],0,ColumnLanguage),ColumnAbbreviation,FALSE),"")</f>
        <v/>
      </c>
      <c r="BP602" s="21" t="str">
        <f ca="1">IFERROR(VLOOKUP(P602,OFFSET(abbreviation[],0,ColumnLanguage),ColumnAbbreviation,FALSE),"")</f>
        <v/>
      </c>
      <c r="BQ602" s="21" t="str">
        <f ca="1">IFERROR(VLOOKUP(T602,OFFSET(abbreviation[],0,ColumnLanguage),ColumnAbbreviation,FALSE),"")</f>
        <v/>
      </c>
      <c r="BR602" s="21" t="str">
        <f ca="1">IFERROR(VLOOKUP(V602,OFFSET(abbreviation[],0,ColumnLanguage),ColumnAbbreviation,FALSE),"")</f>
        <v/>
      </c>
      <c r="BS602" s="21" t="str">
        <f ca="1">IFERROR(VLOOKUP(Z602,OFFSET(abbreviation[],0,ColumnLanguage),ColumnAbbreviation,FALSE),"")</f>
        <v/>
      </c>
      <c r="BT602" s="21" t="str">
        <f ca="1">IFERROR(VLOOKUP(AB602,OFFSET(abbreviation[],0,ColumnLanguage),ColumnAbbreviation,FALSE),"")</f>
        <v/>
      </c>
      <c r="BU602" s="21" t="str">
        <f t="shared" ca="1" si="64"/>
        <v>__</v>
      </c>
      <c r="BV602" s="21" t="str">
        <f ca="1">IFERROR(VLOOKUP(AF602,OFFSET(abbreviation[],0,ColumnLanguage),ColumnAbbreviation,FALSE),"")</f>
        <v/>
      </c>
      <c r="BW602" s="21" t="str">
        <f ca="1">IFERROR(VLOOKUP(AH602,OFFSET(abbreviation[],0,ColumnLanguage),ColumnAbbreviation,FALSE),"")</f>
        <v/>
      </c>
      <c r="BX602" s="21" t="str">
        <f ca="1">IFERROR(VLOOKUP(AJ602,OFFSET(abbreviation[],0,ColumnLanguage),ColumnAbbreviation,FALSE),"")</f>
        <v/>
      </c>
      <c r="BY602" s="21" t="str">
        <f ca="1">IFERROR(VLOOKUP(AL602,OFFSET(abbreviation[],0,ColumnLanguage),ColumnAbbreviation,FALSE),"")</f>
        <v/>
      </c>
      <c r="BZ602" s="21" t="str">
        <f t="shared" ca="1" si="65"/>
        <v>_</v>
      </c>
      <c r="CA602" s="21" t="str">
        <f ca="1">IFERROR(VLOOKUP(AP602,OFFSET(abbreviation[],0,ColumnLanguage),ColumnAbbreviation,FALSE),"")</f>
        <v/>
      </c>
      <c r="CB602" s="21" t="str">
        <f ca="1">IFERROR(VLOOKUP(AR602,OFFSET(abbreviation[],0,ColumnLanguage),ColumnAbbreviation,FALSE),"")</f>
        <v/>
      </c>
      <c r="CC602" s="21" t="str">
        <f ca="1">IFERROR(VLOOKUP(AT602,OFFSET(abbreviation[],0,ColumnLanguage),ColumnAbbreviation,FALSE),"")</f>
        <v/>
      </c>
      <c r="CD602" s="21" t="str">
        <f ca="1">IFERROR(VLOOKUP(AV602,OFFSET(abbreviation[],0,ColumnLanguage),ColumnAbbreviation,FALSE),"")</f>
        <v/>
      </c>
      <c r="CE602" s="21" t="str">
        <f t="shared" ca="1" si="66"/>
        <v>__</v>
      </c>
      <c r="CF602" s="21" t="str">
        <f ca="1">IFERROR(VLOOKUP(AX602,OFFSET(abbreviation[],0,ColumnLanguage),ColumnAbbreviation,FALSE),"")</f>
        <v/>
      </c>
      <c r="CG602" s="21" t="str">
        <f ca="1">IFERROR(VLOOKUP(AZ602,OFFSET(abbreviation[],0,ColumnLanguage),ColumnAbbreviation,FALSE),"")</f>
        <v/>
      </c>
      <c r="CH602" s="21" t="str">
        <f ca="1">IFERROR(VLOOKUP(BB602,OFFSET(abbreviation[],0,ColumnLanguage),ColumnAbbreviation,FALSE),"")</f>
        <v/>
      </c>
      <c r="CI602" s="21" t="str">
        <f ca="1">IFERROR(VLOOKUP(BD602,OFFSET(abbreviation[],0,ColumnLanguage),ColumnAbbreviation,FALSE),"")</f>
        <v/>
      </c>
      <c r="CJ602" s="21" t="str">
        <f ca="1">IFERROR(VLOOKUP(BF602,OFFSET(abbreviation[],0,ColumnLanguage),ColumnAbbreviation,FALSE),"")</f>
        <v/>
      </c>
      <c r="CK602" s="21" t="str">
        <f t="shared" ca="1" si="67"/>
        <v/>
      </c>
      <c r="CL602" s="21" t="str">
        <f t="shared" si="68"/>
        <v/>
      </c>
      <c r="CM602" s="52"/>
      <c r="CN602" s="57" t="str">
        <f t="shared" si="69"/>
        <v/>
      </c>
    </row>
    <row r="603" spans="14:92" x14ac:dyDescent="0.25">
      <c r="N603" s="58"/>
      <c r="P603" s="60"/>
      <c r="Q603" s="13"/>
      <c r="V603" s="60"/>
      <c r="X603" s="61"/>
      <c r="AB603" s="60"/>
      <c r="AN603" s="54"/>
      <c r="AS603" s="15"/>
      <c r="BH603" s="52"/>
      <c r="BI603" s="21" t="str">
        <f ca="1">IFERROR(VLOOKUP(C603,OFFSET(abbreviation[],0,ColumnLanguage),ColumnAbbreviation,FALSE),"")</f>
        <v/>
      </c>
      <c r="BJ603" s="21" t="str">
        <f ca="1">IFERROR(VLOOKUP(E603,OFFSET(abbreviation[],0,ColumnLanguage),ColumnAbbreviation,FALSE),"")</f>
        <v/>
      </c>
      <c r="BK603" s="21" t="str">
        <f ca="1">IFERROR(VLOOKUP(G603,OFFSET(abbreviation[],0,ColumnLanguage),ColumnAbbreviation,FALSE),"")</f>
        <v/>
      </c>
      <c r="BL603" s="21" t="str">
        <f ca="1">IFERROR(VLOOKUP(I603,OFFSET(abbreviation[],0,ColumnLanguage),ColumnAbbreviation,FALSE),"")</f>
        <v/>
      </c>
      <c r="BM603" s="21" t="str">
        <f ca="1">IFERROR(VLOOKUP(K603,OFFSET(abbreviation[],0,ColumnLanguage),ColumnAbbreviation,FALSE),"")</f>
        <v/>
      </c>
      <c r="BN603" s="21" t="str">
        <f t="shared" ca="1" si="63"/>
        <v/>
      </c>
      <c r="BO603" s="21" t="str">
        <f ca="1">IFERROR(VLOOKUP(N603,OFFSET(abbreviation[],0,ColumnLanguage),ColumnAbbreviation,FALSE),"")</f>
        <v/>
      </c>
      <c r="BP603" s="21" t="str">
        <f ca="1">IFERROR(VLOOKUP(P603,OFFSET(abbreviation[],0,ColumnLanguage),ColumnAbbreviation,FALSE),"")</f>
        <v/>
      </c>
      <c r="BQ603" s="21" t="str">
        <f ca="1">IFERROR(VLOOKUP(T603,OFFSET(abbreviation[],0,ColumnLanguage),ColumnAbbreviation,FALSE),"")</f>
        <v/>
      </c>
      <c r="BR603" s="21" t="str">
        <f ca="1">IFERROR(VLOOKUP(V603,OFFSET(abbreviation[],0,ColumnLanguage),ColumnAbbreviation,FALSE),"")</f>
        <v/>
      </c>
      <c r="BS603" s="21" t="str">
        <f ca="1">IFERROR(VLOOKUP(Z603,OFFSET(abbreviation[],0,ColumnLanguage),ColumnAbbreviation,FALSE),"")</f>
        <v/>
      </c>
      <c r="BT603" s="21" t="str">
        <f ca="1">IFERROR(VLOOKUP(AB603,OFFSET(abbreviation[],0,ColumnLanguage),ColumnAbbreviation,FALSE),"")</f>
        <v/>
      </c>
      <c r="BU603" s="21" t="str">
        <f t="shared" ca="1" si="64"/>
        <v>__</v>
      </c>
      <c r="BV603" s="21" t="str">
        <f ca="1">IFERROR(VLOOKUP(AF603,OFFSET(abbreviation[],0,ColumnLanguage),ColumnAbbreviation,FALSE),"")</f>
        <v/>
      </c>
      <c r="BW603" s="21" t="str">
        <f ca="1">IFERROR(VLOOKUP(AH603,OFFSET(abbreviation[],0,ColumnLanguage),ColumnAbbreviation,FALSE),"")</f>
        <v/>
      </c>
      <c r="BX603" s="21" t="str">
        <f ca="1">IFERROR(VLOOKUP(AJ603,OFFSET(abbreviation[],0,ColumnLanguage),ColumnAbbreviation,FALSE),"")</f>
        <v/>
      </c>
      <c r="BY603" s="21" t="str">
        <f ca="1">IFERROR(VLOOKUP(AL603,OFFSET(abbreviation[],0,ColumnLanguage),ColumnAbbreviation,FALSE),"")</f>
        <v/>
      </c>
      <c r="BZ603" s="21" t="str">
        <f t="shared" ca="1" si="65"/>
        <v>_</v>
      </c>
      <c r="CA603" s="21" t="str">
        <f ca="1">IFERROR(VLOOKUP(AP603,OFFSET(abbreviation[],0,ColumnLanguage),ColumnAbbreviation,FALSE),"")</f>
        <v/>
      </c>
      <c r="CB603" s="21" t="str">
        <f ca="1">IFERROR(VLOOKUP(AR603,OFFSET(abbreviation[],0,ColumnLanguage),ColumnAbbreviation,FALSE),"")</f>
        <v/>
      </c>
      <c r="CC603" s="21" t="str">
        <f ca="1">IFERROR(VLOOKUP(AT603,OFFSET(abbreviation[],0,ColumnLanguage),ColumnAbbreviation,FALSE),"")</f>
        <v/>
      </c>
      <c r="CD603" s="21" t="str">
        <f ca="1">IFERROR(VLOOKUP(AV603,OFFSET(abbreviation[],0,ColumnLanguage),ColumnAbbreviation,FALSE),"")</f>
        <v/>
      </c>
      <c r="CE603" s="21" t="str">
        <f t="shared" ca="1" si="66"/>
        <v>__</v>
      </c>
      <c r="CF603" s="21" t="str">
        <f ca="1">IFERROR(VLOOKUP(AX603,OFFSET(abbreviation[],0,ColumnLanguage),ColumnAbbreviation,FALSE),"")</f>
        <v/>
      </c>
      <c r="CG603" s="21" t="str">
        <f ca="1">IFERROR(VLOOKUP(AZ603,OFFSET(abbreviation[],0,ColumnLanguage),ColumnAbbreviation,FALSE),"")</f>
        <v/>
      </c>
      <c r="CH603" s="21" t="str">
        <f ca="1">IFERROR(VLOOKUP(BB603,OFFSET(abbreviation[],0,ColumnLanguage),ColumnAbbreviation,FALSE),"")</f>
        <v/>
      </c>
      <c r="CI603" s="21" t="str">
        <f ca="1">IFERROR(VLOOKUP(BD603,OFFSET(abbreviation[],0,ColumnLanguage),ColumnAbbreviation,FALSE),"")</f>
        <v/>
      </c>
      <c r="CJ603" s="21" t="str">
        <f ca="1">IFERROR(VLOOKUP(BF603,OFFSET(abbreviation[],0,ColumnLanguage),ColumnAbbreviation,FALSE),"")</f>
        <v/>
      </c>
      <c r="CK603" s="21" t="str">
        <f t="shared" ca="1" si="67"/>
        <v/>
      </c>
      <c r="CL603" s="21" t="str">
        <f t="shared" si="68"/>
        <v/>
      </c>
      <c r="CM603" s="52"/>
      <c r="CN603" s="57" t="str">
        <f t="shared" si="69"/>
        <v/>
      </c>
    </row>
    <row r="604" spans="14:92" x14ac:dyDescent="0.25">
      <c r="N604" s="58"/>
      <c r="P604" s="60"/>
      <c r="Q604" s="13"/>
      <c r="V604" s="60"/>
      <c r="X604" s="61"/>
      <c r="AB604" s="60"/>
      <c r="AN604" s="54"/>
      <c r="AS604" s="15"/>
      <c r="BH604" s="52"/>
      <c r="BI604" s="21" t="str">
        <f ca="1">IFERROR(VLOOKUP(C604,OFFSET(abbreviation[],0,ColumnLanguage),ColumnAbbreviation,FALSE),"")</f>
        <v/>
      </c>
      <c r="BJ604" s="21" t="str">
        <f ca="1">IFERROR(VLOOKUP(E604,OFFSET(abbreviation[],0,ColumnLanguage),ColumnAbbreviation,FALSE),"")</f>
        <v/>
      </c>
      <c r="BK604" s="21" t="str">
        <f ca="1">IFERROR(VLOOKUP(G604,OFFSET(abbreviation[],0,ColumnLanguage),ColumnAbbreviation,FALSE),"")</f>
        <v/>
      </c>
      <c r="BL604" s="21" t="str">
        <f ca="1">IFERROR(VLOOKUP(I604,OFFSET(abbreviation[],0,ColumnLanguage),ColumnAbbreviation,FALSE),"")</f>
        <v/>
      </c>
      <c r="BM604" s="21" t="str">
        <f ca="1">IFERROR(VLOOKUP(K604,OFFSET(abbreviation[],0,ColumnLanguage),ColumnAbbreviation,FALSE),"")</f>
        <v/>
      </c>
      <c r="BN604" s="21" t="str">
        <f t="shared" ca="1" si="63"/>
        <v/>
      </c>
      <c r="BO604" s="21" t="str">
        <f ca="1">IFERROR(VLOOKUP(N604,OFFSET(abbreviation[],0,ColumnLanguage),ColumnAbbreviation,FALSE),"")</f>
        <v/>
      </c>
      <c r="BP604" s="21" t="str">
        <f ca="1">IFERROR(VLOOKUP(P604,OFFSET(abbreviation[],0,ColumnLanguage),ColumnAbbreviation,FALSE),"")</f>
        <v/>
      </c>
      <c r="BQ604" s="21" t="str">
        <f ca="1">IFERROR(VLOOKUP(T604,OFFSET(abbreviation[],0,ColumnLanguage),ColumnAbbreviation,FALSE),"")</f>
        <v/>
      </c>
      <c r="BR604" s="21" t="str">
        <f ca="1">IFERROR(VLOOKUP(V604,OFFSET(abbreviation[],0,ColumnLanguage),ColumnAbbreviation,FALSE),"")</f>
        <v/>
      </c>
      <c r="BS604" s="21" t="str">
        <f ca="1">IFERROR(VLOOKUP(Z604,OFFSET(abbreviation[],0,ColumnLanguage),ColumnAbbreviation,FALSE),"")</f>
        <v/>
      </c>
      <c r="BT604" s="21" t="str">
        <f ca="1">IFERROR(VLOOKUP(AB604,OFFSET(abbreviation[],0,ColumnLanguage),ColumnAbbreviation,FALSE),"")</f>
        <v/>
      </c>
      <c r="BU604" s="21" t="str">
        <f t="shared" ca="1" si="64"/>
        <v>__</v>
      </c>
      <c r="BV604" s="21" t="str">
        <f ca="1">IFERROR(VLOOKUP(AF604,OFFSET(abbreviation[],0,ColumnLanguage),ColumnAbbreviation,FALSE),"")</f>
        <v/>
      </c>
      <c r="BW604" s="21" t="str">
        <f ca="1">IFERROR(VLOOKUP(AH604,OFFSET(abbreviation[],0,ColumnLanguage),ColumnAbbreviation,FALSE),"")</f>
        <v/>
      </c>
      <c r="BX604" s="21" t="str">
        <f ca="1">IFERROR(VLOOKUP(AJ604,OFFSET(abbreviation[],0,ColumnLanguage),ColumnAbbreviation,FALSE),"")</f>
        <v/>
      </c>
      <c r="BY604" s="21" t="str">
        <f ca="1">IFERROR(VLOOKUP(AL604,OFFSET(abbreviation[],0,ColumnLanguage),ColumnAbbreviation,FALSE),"")</f>
        <v/>
      </c>
      <c r="BZ604" s="21" t="str">
        <f t="shared" ca="1" si="65"/>
        <v>_</v>
      </c>
      <c r="CA604" s="21" t="str">
        <f ca="1">IFERROR(VLOOKUP(AP604,OFFSET(abbreviation[],0,ColumnLanguage),ColumnAbbreviation,FALSE),"")</f>
        <v/>
      </c>
      <c r="CB604" s="21" t="str">
        <f ca="1">IFERROR(VLOOKUP(AR604,OFFSET(abbreviation[],0,ColumnLanguage),ColumnAbbreviation,FALSE),"")</f>
        <v/>
      </c>
      <c r="CC604" s="21" t="str">
        <f ca="1">IFERROR(VLOOKUP(AT604,OFFSET(abbreviation[],0,ColumnLanguage),ColumnAbbreviation,FALSE),"")</f>
        <v/>
      </c>
      <c r="CD604" s="21" t="str">
        <f ca="1">IFERROR(VLOOKUP(AV604,OFFSET(abbreviation[],0,ColumnLanguage),ColumnAbbreviation,FALSE),"")</f>
        <v/>
      </c>
      <c r="CE604" s="21" t="str">
        <f t="shared" ca="1" si="66"/>
        <v>__</v>
      </c>
      <c r="CF604" s="21" t="str">
        <f ca="1">IFERROR(VLOOKUP(AX604,OFFSET(abbreviation[],0,ColumnLanguage),ColumnAbbreviation,FALSE),"")</f>
        <v/>
      </c>
      <c r="CG604" s="21" t="str">
        <f ca="1">IFERROR(VLOOKUP(AZ604,OFFSET(abbreviation[],0,ColumnLanguage),ColumnAbbreviation,FALSE),"")</f>
        <v/>
      </c>
      <c r="CH604" s="21" t="str">
        <f ca="1">IFERROR(VLOOKUP(BB604,OFFSET(abbreviation[],0,ColumnLanguage),ColumnAbbreviation,FALSE),"")</f>
        <v/>
      </c>
      <c r="CI604" s="21" t="str">
        <f ca="1">IFERROR(VLOOKUP(BD604,OFFSET(abbreviation[],0,ColumnLanguage),ColumnAbbreviation,FALSE),"")</f>
        <v/>
      </c>
      <c r="CJ604" s="21" t="str">
        <f ca="1">IFERROR(VLOOKUP(BF604,OFFSET(abbreviation[],0,ColumnLanguage),ColumnAbbreviation,FALSE),"")</f>
        <v/>
      </c>
      <c r="CK604" s="21" t="str">
        <f t="shared" ca="1" si="67"/>
        <v/>
      </c>
      <c r="CL604" s="21" t="str">
        <f t="shared" si="68"/>
        <v/>
      </c>
      <c r="CM604" s="52"/>
      <c r="CN604" s="57" t="str">
        <f t="shared" si="69"/>
        <v/>
      </c>
    </row>
    <row r="605" spans="14:92" x14ac:dyDescent="0.25">
      <c r="N605" s="58"/>
      <c r="P605" s="60"/>
      <c r="Q605" s="13"/>
      <c r="V605" s="60"/>
      <c r="X605" s="61"/>
      <c r="AB605" s="60"/>
      <c r="AN605" s="54"/>
      <c r="AS605" s="15"/>
      <c r="BH605" s="52"/>
      <c r="BI605" s="21" t="str">
        <f ca="1">IFERROR(VLOOKUP(C605,OFFSET(abbreviation[],0,ColumnLanguage),ColumnAbbreviation,FALSE),"")</f>
        <v/>
      </c>
      <c r="BJ605" s="21" t="str">
        <f ca="1">IFERROR(VLOOKUP(E605,OFFSET(abbreviation[],0,ColumnLanguage),ColumnAbbreviation,FALSE),"")</f>
        <v/>
      </c>
      <c r="BK605" s="21" t="str">
        <f ca="1">IFERROR(VLOOKUP(G605,OFFSET(abbreviation[],0,ColumnLanguage),ColumnAbbreviation,FALSE),"")</f>
        <v/>
      </c>
      <c r="BL605" s="21" t="str">
        <f ca="1">IFERROR(VLOOKUP(I605,OFFSET(abbreviation[],0,ColumnLanguage),ColumnAbbreviation,FALSE),"")</f>
        <v/>
      </c>
      <c r="BM605" s="21" t="str">
        <f ca="1">IFERROR(VLOOKUP(K605,OFFSET(abbreviation[],0,ColumnLanguage),ColumnAbbreviation,FALSE),"")</f>
        <v/>
      </c>
      <c r="BN605" s="21" t="str">
        <f t="shared" ca="1" si="63"/>
        <v/>
      </c>
      <c r="BO605" s="21" t="str">
        <f ca="1">IFERROR(VLOOKUP(N605,OFFSET(abbreviation[],0,ColumnLanguage),ColumnAbbreviation,FALSE),"")</f>
        <v/>
      </c>
      <c r="BP605" s="21" t="str">
        <f ca="1">IFERROR(VLOOKUP(P605,OFFSET(abbreviation[],0,ColumnLanguage),ColumnAbbreviation,FALSE),"")</f>
        <v/>
      </c>
      <c r="BQ605" s="21" t="str">
        <f ca="1">IFERROR(VLOOKUP(T605,OFFSET(abbreviation[],0,ColumnLanguage),ColumnAbbreviation,FALSE),"")</f>
        <v/>
      </c>
      <c r="BR605" s="21" t="str">
        <f ca="1">IFERROR(VLOOKUP(V605,OFFSET(abbreviation[],0,ColumnLanguage),ColumnAbbreviation,FALSE),"")</f>
        <v/>
      </c>
      <c r="BS605" s="21" t="str">
        <f ca="1">IFERROR(VLOOKUP(Z605,OFFSET(abbreviation[],0,ColumnLanguage),ColumnAbbreviation,FALSE),"")</f>
        <v/>
      </c>
      <c r="BT605" s="21" t="str">
        <f ca="1">IFERROR(VLOOKUP(AB605,OFFSET(abbreviation[],0,ColumnLanguage),ColumnAbbreviation,FALSE),"")</f>
        <v/>
      </c>
      <c r="BU605" s="21" t="str">
        <f t="shared" ca="1" si="64"/>
        <v>__</v>
      </c>
      <c r="BV605" s="21" t="str">
        <f ca="1">IFERROR(VLOOKUP(AF605,OFFSET(abbreviation[],0,ColumnLanguage),ColumnAbbreviation,FALSE),"")</f>
        <v/>
      </c>
      <c r="BW605" s="21" t="str">
        <f ca="1">IFERROR(VLOOKUP(AH605,OFFSET(abbreviation[],0,ColumnLanguage),ColumnAbbreviation,FALSE),"")</f>
        <v/>
      </c>
      <c r="BX605" s="21" t="str">
        <f ca="1">IFERROR(VLOOKUP(AJ605,OFFSET(abbreviation[],0,ColumnLanguage),ColumnAbbreviation,FALSE),"")</f>
        <v/>
      </c>
      <c r="BY605" s="21" t="str">
        <f ca="1">IFERROR(VLOOKUP(AL605,OFFSET(abbreviation[],0,ColumnLanguage),ColumnAbbreviation,FALSE),"")</f>
        <v/>
      </c>
      <c r="BZ605" s="21" t="str">
        <f t="shared" ca="1" si="65"/>
        <v>_</v>
      </c>
      <c r="CA605" s="21" t="str">
        <f ca="1">IFERROR(VLOOKUP(AP605,OFFSET(abbreviation[],0,ColumnLanguage),ColumnAbbreviation,FALSE),"")</f>
        <v/>
      </c>
      <c r="CB605" s="21" t="str">
        <f ca="1">IFERROR(VLOOKUP(AR605,OFFSET(abbreviation[],0,ColumnLanguage),ColumnAbbreviation,FALSE),"")</f>
        <v/>
      </c>
      <c r="CC605" s="21" t="str">
        <f ca="1">IFERROR(VLOOKUP(AT605,OFFSET(abbreviation[],0,ColumnLanguage),ColumnAbbreviation,FALSE),"")</f>
        <v/>
      </c>
      <c r="CD605" s="21" t="str">
        <f ca="1">IFERROR(VLOOKUP(AV605,OFFSET(abbreviation[],0,ColumnLanguage),ColumnAbbreviation,FALSE),"")</f>
        <v/>
      </c>
      <c r="CE605" s="21" t="str">
        <f t="shared" ca="1" si="66"/>
        <v>__</v>
      </c>
      <c r="CF605" s="21" t="str">
        <f ca="1">IFERROR(VLOOKUP(AX605,OFFSET(abbreviation[],0,ColumnLanguage),ColumnAbbreviation,FALSE),"")</f>
        <v/>
      </c>
      <c r="CG605" s="21" t="str">
        <f ca="1">IFERROR(VLOOKUP(AZ605,OFFSET(abbreviation[],0,ColumnLanguage),ColumnAbbreviation,FALSE),"")</f>
        <v/>
      </c>
      <c r="CH605" s="21" t="str">
        <f ca="1">IFERROR(VLOOKUP(BB605,OFFSET(abbreviation[],0,ColumnLanguage),ColumnAbbreviation,FALSE),"")</f>
        <v/>
      </c>
      <c r="CI605" s="21" t="str">
        <f ca="1">IFERROR(VLOOKUP(BD605,OFFSET(abbreviation[],0,ColumnLanguage),ColumnAbbreviation,FALSE),"")</f>
        <v/>
      </c>
      <c r="CJ605" s="21" t="str">
        <f ca="1">IFERROR(VLOOKUP(BF605,OFFSET(abbreviation[],0,ColumnLanguage),ColumnAbbreviation,FALSE),"")</f>
        <v/>
      </c>
      <c r="CK605" s="21" t="str">
        <f t="shared" ca="1" si="67"/>
        <v/>
      </c>
      <c r="CL605" s="21" t="str">
        <f t="shared" si="68"/>
        <v/>
      </c>
      <c r="CM605" s="52"/>
      <c r="CN605" s="57" t="str">
        <f t="shared" si="69"/>
        <v/>
      </c>
    </row>
    <row r="606" spans="14:92" x14ac:dyDescent="0.25">
      <c r="N606" s="58"/>
      <c r="P606" s="60"/>
      <c r="Q606" s="13"/>
      <c r="V606" s="60"/>
      <c r="X606" s="61"/>
      <c r="AB606" s="60"/>
      <c r="AN606" s="54"/>
      <c r="AS606" s="15"/>
      <c r="BH606" s="52"/>
      <c r="BI606" s="21" t="str">
        <f ca="1">IFERROR(VLOOKUP(C606,OFFSET(abbreviation[],0,ColumnLanguage),ColumnAbbreviation,FALSE),"")</f>
        <v/>
      </c>
      <c r="BJ606" s="21" t="str">
        <f ca="1">IFERROR(VLOOKUP(E606,OFFSET(abbreviation[],0,ColumnLanguage),ColumnAbbreviation,FALSE),"")</f>
        <v/>
      </c>
      <c r="BK606" s="21" t="str">
        <f ca="1">IFERROR(VLOOKUP(G606,OFFSET(abbreviation[],0,ColumnLanguage),ColumnAbbreviation,FALSE),"")</f>
        <v/>
      </c>
      <c r="BL606" s="21" t="str">
        <f ca="1">IFERROR(VLOOKUP(I606,OFFSET(abbreviation[],0,ColumnLanguage),ColumnAbbreviation,FALSE),"")</f>
        <v/>
      </c>
      <c r="BM606" s="21" t="str">
        <f ca="1">IFERROR(VLOOKUP(K606,OFFSET(abbreviation[],0,ColumnLanguage),ColumnAbbreviation,FALSE),"")</f>
        <v/>
      </c>
      <c r="BN606" s="21" t="str">
        <f t="shared" ca="1" si="63"/>
        <v/>
      </c>
      <c r="BO606" s="21" t="str">
        <f ca="1">IFERROR(VLOOKUP(N606,OFFSET(abbreviation[],0,ColumnLanguage),ColumnAbbreviation,FALSE),"")</f>
        <v/>
      </c>
      <c r="BP606" s="21" t="str">
        <f ca="1">IFERROR(VLOOKUP(P606,OFFSET(abbreviation[],0,ColumnLanguage),ColumnAbbreviation,FALSE),"")</f>
        <v/>
      </c>
      <c r="BQ606" s="21" t="str">
        <f ca="1">IFERROR(VLOOKUP(T606,OFFSET(abbreviation[],0,ColumnLanguage),ColumnAbbreviation,FALSE),"")</f>
        <v/>
      </c>
      <c r="BR606" s="21" t="str">
        <f ca="1">IFERROR(VLOOKUP(V606,OFFSET(abbreviation[],0,ColumnLanguage),ColumnAbbreviation,FALSE),"")</f>
        <v/>
      </c>
      <c r="BS606" s="21" t="str">
        <f ca="1">IFERROR(VLOOKUP(Z606,OFFSET(abbreviation[],0,ColumnLanguage),ColumnAbbreviation,FALSE),"")</f>
        <v/>
      </c>
      <c r="BT606" s="21" t="str">
        <f ca="1">IFERROR(VLOOKUP(AB606,OFFSET(abbreviation[],0,ColumnLanguage),ColumnAbbreviation,FALSE),"")</f>
        <v/>
      </c>
      <c r="BU606" s="21" t="str">
        <f t="shared" ca="1" si="64"/>
        <v>__</v>
      </c>
      <c r="BV606" s="21" t="str">
        <f ca="1">IFERROR(VLOOKUP(AF606,OFFSET(abbreviation[],0,ColumnLanguage),ColumnAbbreviation,FALSE),"")</f>
        <v/>
      </c>
      <c r="BW606" s="21" t="str">
        <f ca="1">IFERROR(VLOOKUP(AH606,OFFSET(abbreviation[],0,ColumnLanguage),ColumnAbbreviation,FALSE),"")</f>
        <v/>
      </c>
      <c r="BX606" s="21" t="str">
        <f ca="1">IFERROR(VLOOKUP(AJ606,OFFSET(abbreviation[],0,ColumnLanguage),ColumnAbbreviation,FALSE),"")</f>
        <v/>
      </c>
      <c r="BY606" s="21" t="str">
        <f ca="1">IFERROR(VLOOKUP(AL606,OFFSET(abbreviation[],0,ColumnLanguage),ColumnAbbreviation,FALSE),"")</f>
        <v/>
      </c>
      <c r="BZ606" s="21" t="str">
        <f t="shared" ca="1" si="65"/>
        <v>_</v>
      </c>
      <c r="CA606" s="21" t="str">
        <f ca="1">IFERROR(VLOOKUP(AP606,OFFSET(abbreviation[],0,ColumnLanguage),ColumnAbbreviation,FALSE),"")</f>
        <v/>
      </c>
      <c r="CB606" s="21" t="str">
        <f ca="1">IFERROR(VLOOKUP(AR606,OFFSET(abbreviation[],0,ColumnLanguage),ColumnAbbreviation,FALSE),"")</f>
        <v/>
      </c>
      <c r="CC606" s="21" t="str">
        <f ca="1">IFERROR(VLOOKUP(AT606,OFFSET(abbreviation[],0,ColumnLanguage),ColumnAbbreviation,FALSE),"")</f>
        <v/>
      </c>
      <c r="CD606" s="21" t="str">
        <f ca="1">IFERROR(VLOOKUP(AV606,OFFSET(abbreviation[],0,ColumnLanguage),ColumnAbbreviation,FALSE),"")</f>
        <v/>
      </c>
      <c r="CE606" s="21" t="str">
        <f t="shared" ca="1" si="66"/>
        <v>__</v>
      </c>
      <c r="CF606" s="21" t="str">
        <f ca="1">IFERROR(VLOOKUP(AX606,OFFSET(abbreviation[],0,ColumnLanguage),ColumnAbbreviation,FALSE),"")</f>
        <v/>
      </c>
      <c r="CG606" s="21" t="str">
        <f ca="1">IFERROR(VLOOKUP(AZ606,OFFSET(abbreviation[],0,ColumnLanguage),ColumnAbbreviation,FALSE),"")</f>
        <v/>
      </c>
      <c r="CH606" s="21" t="str">
        <f ca="1">IFERROR(VLOOKUP(BB606,OFFSET(abbreviation[],0,ColumnLanguage),ColumnAbbreviation,FALSE),"")</f>
        <v/>
      </c>
      <c r="CI606" s="21" t="str">
        <f ca="1">IFERROR(VLOOKUP(BD606,OFFSET(abbreviation[],0,ColumnLanguage),ColumnAbbreviation,FALSE),"")</f>
        <v/>
      </c>
      <c r="CJ606" s="21" t="str">
        <f ca="1">IFERROR(VLOOKUP(BF606,OFFSET(abbreviation[],0,ColumnLanguage),ColumnAbbreviation,FALSE),"")</f>
        <v/>
      </c>
      <c r="CK606" s="21" t="str">
        <f t="shared" ca="1" si="67"/>
        <v/>
      </c>
      <c r="CL606" s="21" t="str">
        <f t="shared" si="68"/>
        <v/>
      </c>
      <c r="CM606" s="52"/>
      <c r="CN606" s="57" t="str">
        <f t="shared" si="69"/>
        <v/>
      </c>
    </row>
    <row r="607" spans="14:92" x14ac:dyDescent="0.25">
      <c r="N607" s="58"/>
      <c r="P607" s="60"/>
      <c r="Q607" s="13"/>
      <c r="V607" s="60"/>
      <c r="X607" s="61"/>
      <c r="AB607" s="60"/>
      <c r="AN607" s="54"/>
      <c r="AS607" s="15"/>
      <c r="BH607" s="52"/>
      <c r="BI607" s="21" t="str">
        <f ca="1">IFERROR(VLOOKUP(C607,OFFSET(abbreviation[],0,ColumnLanguage),ColumnAbbreviation,FALSE),"")</f>
        <v/>
      </c>
      <c r="BJ607" s="21" t="str">
        <f ca="1">IFERROR(VLOOKUP(E607,OFFSET(abbreviation[],0,ColumnLanguage),ColumnAbbreviation,FALSE),"")</f>
        <v/>
      </c>
      <c r="BK607" s="21" t="str">
        <f ca="1">IFERROR(VLOOKUP(G607,OFFSET(abbreviation[],0,ColumnLanguage),ColumnAbbreviation,FALSE),"")</f>
        <v/>
      </c>
      <c r="BL607" s="21" t="str">
        <f ca="1">IFERROR(VLOOKUP(I607,OFFSET(abbreviation[],0,ColumnLanguage),ColumnAbbreviation,FALSE),"")</f>
        <v/>
      </c>
      <c r="BM607" s="21" t="str">
        <f ca="1">IFERROR(VLOOKUP(K607,OFFSET(abbreviation[],0,ColumnLanguage),ColumnAbbreviation,FALSE),"")</f>
        <v/>
      </c>
      <c r="BN607" s="21" t="str">
        <f t="shared" ca="1" si="63"/>
        <v/>
      </c>
      <c r="BO607" s="21" t="str">
        <f ca="1">IFERROR(VLOOKUP(N607,OFFSET(abbreviation[],0,ColumnLanguage),ColumnAbbreviation,FALSE),"")</f>
        <v/>
      </c>
      <c r="BP607" s="21" t="str">
        <f ca="1">IFERROR(VLOOKUP(P607,OFFSET(abbreviation[],0,ColumnLanguage),ColumnAbbreviation,FALSE),"")</f>
        <v/>
      </c>
      <c r="BQ607" s="21" t="str">
        <f ca="1">IFERROR(VLOOKUP(T607,OFFSET(abbreviation[],0,ColumnLanguage),ColumnAbbreviation,FALSE),"")</f>
        <v/>
      </c>
      <c r="BR607" s="21" t="str">
        <f ca="1">IFERROR(VLOOKUP(V607,OFFSET(abbreviation[],0,ColumnLanguage),ColumnAbbreviation,FALSE),"")</f>
        <v/>
      </c>
      <c r="BS607" s="21" t="str">
        <f ca="1">IFERROR(VLOOKUP(Z607,OFFSET(abbreviation[],0,ColumnLanguage),ColumnAbbreviation,FALSE),"")</f>
        <v/>
      </c>
      <c r="BT607" s="21" t="str">
        <f ca="1">IFERROR(VLOOKUP(AB607,OFFSET(abbreviation[],0,ColumnLanguage),ColumnAbbreviation,FALSE),"")</f>
        <v/>
      </c>
      <c r="BU607" s="21" t="str">
        <f t="shared" ca="1" si="64"/>
        <v>__</v>
      </c>
      <c r="BV607" s="21" t="str">
        <f ca="1">IFERROR(VLOOKUP(AF607,OFFSET(abbreviation[],0,ColumnLanguage),ColumnAbbreviation,FALSE),"")</f>
        <v/>
      </c>
      <c r="BW607" s="21" t="str">
        <f ca="1">IFERROR(VLOOKUP(AH607,OFFSET(abbreviation[],0,ColumnLanguage),ColumnAbbreviation,FALSE),"")</f>
        <v/>
      </c>
      <c r="BX607" s="21" t="str">
        <f ca="1">IFERROR(VLOOKUP(AJ607,OFFSET(abbreviation[],0,ColumnLanguage),ColumnAbbreviation,FALSE),"")</f>
        <v/>
      </c>
      <c r="BY607" s="21" t="str">
        <f ca="1">IFERROR(VLOOKUP(AL607,OFFSET(abbreviation[],0,ColumnLanguage),ColumnAbbreviation,FALSE),"")</f>
        <v/>
      </c>
      <c r="BZ607" s="21" t="str">
        <f t="shared" ca="1" si="65"/>
        <v>_</v>
      </c>
      <c r="CA607" s="21" t="str">
        <f ca="1">IFERROR(VLOOKUP(AP607,OFFSET(abbreviation[],0,ColumnLanguage),ColumnAbbreviation,FALSE),"")</f>
        <v/>
      </c>
      <c r="CB607" s="21" t="str">
        <f ca="1">IFERROR(VLOOKUP(AR607,OFFSET(abbreviation[],0,ColumnLanguage),ColumnAbbreviation,FALSE),"")</f>
        <v/>
      </c>
      <c r="CC607" s="21" t="str">
        <f ca="1">IFERROR(VLOOKUP(AT607,OFFSET(abbreviation[],0,ColumnLanguage),ColumnAbbreviation,FALSE),"")</f>
        <v/>
      </c>
      <c r="CD607" s="21" t="str">
        <f ca="1">IFERROR(VLOOKUP(AV607,OFFSET(abbreviation[],0,ColumnLanguage),ColumnAbbreviation,FALSE),"")</f>
        <v/>
      </c>
      <c r="CE607" s="21" t="str">
        <f t="shared" ca="1" si="66"/>
        <v>__</v>
      </c>
      <c r="CF607" s="21" t="str">
        <f ca="1">IFERROR(VLOOKUP(AX607,OFFSET(abbreviation[],0,ColumnLanguage),ColumnAbbreviation,FALSE),"")</f>
        <v/>
      </c>
      <c r="CG607" s="21" t="str">
        <f ca="1">IFERROR(VLOOKUP(AZ607,OFFSET(abbreviation[],0,ColumnLanguage),ColumnAbbreviation,FALSE),"")</f>
        <v/>
      </c>
      <c r="CH607" s="21" t="str">
        <f ca="1">IFERROR(VLOOKUP(BB607,OFFSET(abbreviation[],0,ColumnLanguage),ColumnAbbreviation,FALSE),"")</f>
        <v/>
      </c>
      <c r="CI607" s="21" t="str">
        <f ca="1">IFERROR(VLOOKUP(BD607,OFFSET(abbreviation[],0,ColumnLanguage),ColumnAbbreviation,FALSE),"")</f>
        <v/>
      </c>
      <c r="CJ607" s="21" t="str">
        <f ca="1">IFERROR(VLOOKUP(BF607,OFFSET(abbreviation[],0,ColumnLanguage),ColumnAbbreviation,FALSE),"")</f>
        <v/>
      </c>
      <c r="CK607" s="21" t="str">
        <f t="shared" ca="1" si="67"/>
        <v/>
      </c>
      <c r="CL607" s="21" t="str">
        <f t="shared" si="68"/>
        <v/>
      </c>
      <c r="CM607" s="52"/>
      <c r="CN607" s="57" t="str">
        <f t="shared" si="69"/>
        <v/>
      </c>
    </row>
    <row r="608" spans="14:92" x14ac:dyDescent="0.25">
      <c r="N608" s="58"/>
      <c r="P608" s="60"/>
      <c r="Q608" s="13"/>
      <c r="V608" s="60"/>
      <c r="X608" s="61"/>
      <c r="AB608" s="60"/>
      <c r="AN608" s="54"/>
      <c r="AS608" s="15"/>
      <c r="BH608" s="52"/>
      <c r="BI608" s="21" t="str">
        <f ca="1">IFERROR(VLOOKUP(C608,OFFSET(abbreviation[],0,ColumnLanguage),ColumnAbbreviation,FALSE),"")</f>
        <v/>
      </c>
      <c r="BJ608" s="21" t="str">
        <f ca="1">IFERROR(VLOOKUP(E608,OFFSET(abbreviation[],0,ColumnLanguage),ColumnAbbreviation,FALSE),"")</f>
        <v/>
      </c>
      <c r="BK608" s="21" t="str">
        <f ca="1">IFERROR(VLOOKUP(G608,OFFSET(abbreviation[],0,ColumnLanguage),ColumnAbbreviation,FALSE),"")</f>
        <v/>
      </c>
      <c r="BL608" s="21" t="str">
        <f ca="1">IFERROR(VLOOKUP(I608,OFFSET(abbreviation[],0,ColumnLanguage),ColumnAbbreviation,FALSE),"")</f>
        <v/>
      </c>
      <c r="BM608" s="21" t="str">
        <f ca="1">IFERROR(VLOOKUP(K608,OFFSET(abbreviation[],0,ColumnLanguage),ColumnAbbreviation,FALSE),"")</f>
        <v/>
      </c>
      <c r="BN608" s="21" t="str">
        <f t="shared" ca="1" si="63"/>
        <v/>
      </c>
      <c r="BO608" s="21" t="str">
        <f ca="1">IFERROR(VLOOKUP(N608,OFFSET(abbreviation[],0,ColumnLanguage),ColumnAbbreviation,FALSE),"")</f>
        <v/>
      </c>
      <c r="BP608" s="21" t="str">
        <f ca="1">IFERROR(VLOOKUP(P608,OFFSET(abbreviation[],0,ColumnLanguage),ColumnAbbreviation,FALSE),"")</f>
        <v/>
      </c>
      <c r="BQ608" s="21" t="str">
        <f ca="1">IFERROR(VLOOKUP(T608,OFFSET(abbreviation[],0,ColumnLanguage),ColumnAbbreviation,FALSE),"")</f>
        <v/>
      </c>
      <c r="BR608" s="21" t="str">
        <f ca="1">IFERROR(VLOOKUP(V608,OFFSET(abbreviation[],0,ColumnLanguage),ColumnAbbreviation,FALSE),"")</f>
        <v/>
      </c>
      <c r="BS608" s="21" t="str">
        <f ca="1">IFERROR(VLOOKUP(Z608,OFFSET(abbreviation[],0,ColumnLanguage),ColumnAbbreviation,FALSE),"")</f>
        <v/>
      </c>
      <c r="BT608" s="21" t="str">
        <f ca="1">IFERROR(VLOOKUP(AB608,OFFSET(abbreviation[],0,ColumnLanguage),ColumnAbbreviation,FALSE),"")</f>
        <v/>
      </c>
      <c r="BU608" s="21" t="str">
        <f t="shared" ca="1" si="64"/>
        <v>__</v>
      </c>
      <c r="BV608" s="21" t="str">
        <f ca="1">IFERROR(VLOOKUP(AF608,OFFSET(abbreviation[],0,ColumnLanguage),ColumnAbbreviation,FALSE),"")</f>
        <v/>
      </c>
      <c r="BW608" s="21" t="str">
        <f ca="1">IFERROR(VLOOKUP(AH608,OFFSET(abbreviation[],0,ColumnLanguage),ColumnAbbreviation,FALSE),"")</f>
        <v/>
      </c>
      <c r="BX608" s="21" t="str">
        <f ca="1">IFERROR(VLOOKUP(AJ608,OFFSET(abbreviation[],0,ColumnLanguage),ColumnAbbreviation,FALSE),"")</f>
        <v/>
      </c>
      <c r="BY608" s="21" t="str">
        <f ca="1">IFERROR(VLOOKUP(AL608,OFFSET(abbreviation[],0,ColumnLanguage),ColumnAbbreviation,FALSE),"")</f>
        <v/>
      </c>
      <c r="BZ608" s="21" t="str">
        <f t="shared" ca="1" si="65"/>
        <v>_</v>
      </c>
      <c r="CA608" s="21" t="str">
        <f ca="1">IFERROR(VLOOKUP(AP608,OFFSET(abbreviation[],0,ColumnLanguage),ColumnAbbreviation,FALSE),"")</f>
        <v/>
      </c>
      <c r="CB608" s="21" t="str">
        <f ca="1">IFERROR(VLOOKUP(AR608,OFFSET(abbreviation[],0,ColumnLanguage),ColumnAbbreviation,FALSE),"")</f>
        <v/>
      </c>
      <c r="CC608" s="21" t="str">
        <f ca="1">IFERROR(VLOOKUP(AT608,OFFSET(abbreviation[],0,ColumnLanguage),ColumnAbbreviation,FALSE),"")</f>
        <v/>
      </c>
      <c r="CD608" s="21" t="str">
        <f ca="1">IFERROR(VLOOKUP(AV608,OFFSET(abbreviation[],0,ColumnLanguage),ColumnAbbreviation,FALSE),"")</f>
        <v/>
      </c>
      <c r="CE608" s="21" t="str">
        <f t="shared" ca="1" si="66"/>
        <v>__</v>
      </c>
      <c r="CF608" s="21" t="str">
        <f ca="1">IFERROR(VLOOKUP(AX608,OFFSET(abbreviation[],0,ColumnLanguage),ColumnAbbreviation,FALSE),"")</f>
        <v/>
      </c>
      <c r="CG608" s="21" t="str">
        <f ca="1">IFERROR(VLOOKUP(AZ608,OFFSET(abbreviation[],0,ColumnLanguage),ColumnAbbreviation,FALSE),"")</f>
        <v/>
      </c>
      <c r="CH608" s="21" t="str">
        <f ca="1">IFERROR(VLOOKUP(BB608,OFFSET(abbreviation[],0,ColumnLanguage),ColumnAbbreviation,FALSE),"")</f>
        <v/>
      </c>
      <c r="CI608" s="21" t="str">
        <f ca="1">IFERROR(VLOOKUP(BD608,OFFSET(abbreviation[],0,ColumnLanguage),ColumnAbbreviation,FALSE),"")</f>
        <v/>
      </c>
      <c r="CJ608" s="21" t="str">
        <f ca="1">IFERROR(VLOOKUP(BF608,OFFSET(abbreviation[],0,ColumnLanguage),ColumnAbbreviation,FALSE),"")</f>
        <v/>
      </c>
      <c r="CK608" s="21" t="str">
        <f t="shared" ca="1" si="67"/>
        <v/>
      </c>
      <c r="CL608" s="21" t="str">
        <f t="shared" si="68"/>
        <v/>
      </c>
      <c r="CM608" s="52"/>
      <c r="CN608" s="57" t="str">
        <f t="shared" si="69"/>
        <v/>
      </c>
    </row>
    <row r="609" spans="14:92" x14ac:dyDescent="0.25">
      <c r="N609" s="58"/>
      <c r="P609" s="60"/>
      <c r="Q609" s="13"/>
      <c r="V609" s="60"/>
      <c r="X609" s="61"/>
      <c r="AB609" s="60"/>
      <c r="AN609" s="54"/>
      <c r="AS609" s="15"/>
      <c r="BH609" s="52"/>
      <c r="BI609" s="21" t="str">
        <f ca="1">IFERROR(VLOOKUP(C609,OFFSET(abbreviation[],0,ColumnLanguage),ColumnAbbreviation,FALSE),"")</f>
        <v/>
      </c>
      <c r="BJ609" s="21" t="str">
        <f ca="1">IFERROR(VLOOKUP(E609,OFFSET(abbreviation[],0,ColumnLanguage),ColumnAbbreviation,FALSE),"")</f>
        <v/>
      </c>
      <c r="BK609" s="21" t="str">
        <f ca="1">IFERROR(VLOOKUP(G609,OFFSET(abbreviation[],0,ColumnLanguage),ColumnAbbreviation,FALSE),"")</f>
        <v/>
      </c>
      <c r="BL609" s="21" t="str">
        <f ca="1">IFERROR(VLOOKUP(I609,OFFSET(abbreviation[],0,ColumnLanguage),ColumnAbbreviation,FALSE),"")</f>
        <v/>
      </c>
      <c r="BM609" s="21" t="str">
        <f ca="1">IFERROR(VLOOKUP(K609,OFFSET(abbreviation[],0,ColumnLanguage),ColumnAbbreviation,FALSE),"")</f>
        <v/>
      </c>
      <c r="BN609" s="21" t="str">
        <f t="shared" ca="1" si="63"/>
        <v/>
      </c>
      <c r="BO609" s="21" t="str">
        <f ca="1">IFERROR(VLOOKUP(N609,OFFSET(abbreviation[],0,ColumnLanguage),ColumnAbbreviation,FALSE),"")</f>
        <v/>
      </c>
      <c r="BP609" s="21" t="str">
        <f ca="1">IFERROR(VLOOKUP(P609,OFFSET(abbreviation[],0,ColumnLanguage),ColumnAbbreviation,FALSE),"")</f>
        <v/>
      </c>
      <c r="BQ609" s="21" t="str">
        <f ca="1">IFERROR(VLOOKUP(T609,OFFSET(abbreviation[],0,ColumnLanguage),ColumnAbbreviation,FALSE),"")</f>
        <v/>
      </c>
      <c r="BR609" s="21" t="str">
        <f ca="1">IFERROR(VLOOKUP(V609,OFFSET(abbreviation[],0,ColumnLanguage),ColumnAbbreviation,FALSE),"")</f>
        <v/>
      </c>
      <c r="BS609" s="21" t="str">
        <f ca="1">IFERROR(VLOOKUP(Z609,OFFSET(abbreviation[],0,ColumnLanguage),ColumnAbbreviation,FALSE),"")</f>
        <v/>
      </c>
      <c r="BT609" s="21" t="str">
        <f ca="1">IFERROR(VLOOKUP(AB609,OFFSET(abbreviation[],0,ColumnLanguage),ColumnAbbreviation,FALSE),"")</f>
        <v/>
      </c>
      <c r="BU609" s="21" t="str">
        <f t="shared" ca="1" si="64"/>
        <v>__</v>
      </c>
      <c r="BV609" s="21" t="str">
        <f ca="1">IFERROR(VLOOKUP(AF609,OFFSET(abbreviation[],0,ColumnLanguage),ColumnAbbreviation,FALSE),"")</f>
        <v/>
      </c>
      <c r="BW609" s="21" t="str">
        <f ca="1">IFERROR(VLOOKUP(AH609,OFFSET(abbreviation[],0,ColumnLanguage),ColumnAbbreviation,FALSE),"")</f>
        <v/>
      </c>
      <c r="BX609" s="21" t="str">
        <f ca="1">IFERROR(VLOOKUP(AJ609,OFFSET(abbreviation[],0,ColumnLanguage),ColumnAbbreviation,FALSE),"")</f>
        <v/>
      </c>
      <c r="BY609" s="21" t="str">
        <f ca="1">IFERROR(VLOOKUP(AL609,OFFSET(abbreviation[],0,ColumnLanguage),ColumnAbbreviation,FALSE),"")</f>
        <v/>
      </c>
      <c r="BZ609" s="21" t="str">
        <f t="shared" ca="1" si="65"/>
        <v>_</v>
      </c>
      <c r="CA609" s="21" t="str">
        <f ca="1">IFERROR(VLOOKUP(AP609,OFFSET(abbreviation[],0,ColumnLanguage),ColumnAbbreviation,FALSE),"")</f>
        <v/>
      </c>
      <c r="CB609" s="21" t="str">
        <f ca="1">IFERROR(VLOOKUP(AR609,OFFSET(abbreviation[],0,ColumnLanguage),ColumnAbbreviation,FALSE),"")</f>
        <v/>
      </c>
      <c r="CC609" s="21" t="str">
        <f ca="1">IFERROR(VLOOKUP(AT609,OFFSET(abbreviation[],0,ColumnLanguage),ColumnAbbreviation,FALSE),"")</f>
        <v/>
      </c>
      <c r="CD609" s="21" t="str">
        <f ca="1">IFERROR(VLOOKUP(AV609,OFFSET(abbreviation[],0,ColumnLanguage),ColumnAbbreviation,FALSE),"")</f>
        <v/>
      </c>
      <c r="CE609" s="21" t="str">
        <f t="shared" ca="1" si="66"/>
        <v>__</v>
      </c>
      <c r="CF609" s="21" t="str">
        <f ca="1">IFERROR(VLOOKUP(AX609,OFFSET(abbreviation[],0,ColumnLanguage),ColumnAbbreviation,FALSE),"")</f>
        <v/>
      </c>
      <c r="CG609" s="21" t="str">
        <f ca="1">IFERROR(VLOOKUP(AZ609,OFFSET(abbreviation[],0,ColumnLanguage),ColumnAbbreviation,FALSE),"")</f>
        <v/>
      </c>
      <c r="CH609" s="21" t="str">
        <f ca="1">IFERROR(VLOOKUP(BB609,OFFSET(abbreviation[],0,ColumnLanguage),ColumnAbbreviation,FALSE),"")</f>
        <v/>
      </c>
      <c r="CI609" s="21" t="str">
        <f ca="1">IFERROR(VLOOKUP(BD609,OFFSET(abbreviation[],0,ColumnLanguage),ColumnAbbreviation,FALSE),"")</f>
        <v/>
      </c>
      <c r="CJ609" s="21" t="str">
        <f ca="1">IFERROR(VLOOKUP(BF609,OFFSET(abbreviation[],0,ColumnLanguage),ColumnAbbreviation,FALSE),"")</f>
        <v/>
      </c>
      <c r="CK609" s="21" t="str">
        <f t="shared" ca="1" si="67"/>
        <v/>
      </c>
      <c r="CL609" s="21" t="str">
        <f t="shared" si="68"/>
        <v/>
      </c>
      <c r="CM609" s="52"/>
      <c r="CN609" s="57" t="str">
        <f t="shared" si="69"/>
        <v/>
      </c>
    </row>
    <row r="610" spans="14:92" x14ac:dyDescent="0.25">
      <c r="N610" s="58"/>
      <c r="P610" s="60"/>
      <c r="Q610" s="13"/>
      <c r="V610" s="60"/>
      <c r="X610" s="61"/>
      <c r="AB610" s="60"/>
      <c r="AN610" s="54"/>
      <c r="AS610" s="15"/>
      <c r="BH610" s="52"/>
      <c r="BI610" s="21" t="str">
        <f ca="1">IFERROR(VLOOKUP(C610,OFFSET(abbreviation[],0,ColumnLanguage),ColumnAbbreviation,FALSE),"")</f>
        <v/>
      </c>
      <c r="BJ610" s="21" t="str">
        <f ca="1">IFERROR(VLOOKUP(E610,OFFSET(abbreviation[],0,ColumnLanguage),ColumnAbbreviation,FALSE),"")</f>
        <v/>
      </c>
      <c r="BK610" s="21" t="str">
        <f ca="1">IFERROR(VLOOKUP(G610,OFFSET(abbreviation[],0,ColumnLanguage),ColumnAbbreviation,FALSE),"")</f>
        <v/>
      </c>
      <c r="BL610" s="21" t="str">
        <f ca="1">IFERROR(VLOOKUP(I610,OFFSET(abbreviation[],0,ColumnLanguage),ColumnAbbreviation,FALSE),"")</f>
        <v/>
      </c>
      <c r="BM610" s="21" t="str">
        <f ca="1">IFERROR(VLOOKUP(K610,OFFSET(abbreviation[],0,ColumnLanguage),ColumnAbbreviation,FALSE),"")</f>
        <v/>
      </c>
      <c r="BN610" s="21" t="str">
        <f t="shared" ca="1" si="63"/>
        <v/>
      </c>
      <c r="BO610" s="21" t="str">
        <f ca="1">IFERROR(VLOOKUP(N610,OFFSET(abbreviation[],0,ColumnLanguage),ColumnAbbreviation,FALSE),"")</f>
        <v/>
      </c>
      <c r="BP610" s="21" t="str">
        <f ca="1">IFERROR(VLOOKUP(P610,OFFSET(abbreviation[],0,ColumnLanguage),ColumnAbbreviation,FALSE),"")</f>
        <v/>
      </c>
      <c r="BQ610" s="21" t="str">
        <f ca="1">IFERROR(VLOOKUP(T610,OFFSET(abbreviation[],0,ColumnLanguage),ColumnAbbreviation,FALSE),"")</f>
        <v/>
      </c>
      <c r="BR610" s="21" t="str">
        <f ca="1">IFERROR(VLOOKUP(V610,OFFSET(abbreviation[],0,ColumnLanguage),ColumnAbbreviation,FALSE),"")</f>
        <v/>
      </c>
      <c r="BS610" s="21" t="str">
        <f ca="1">IFERROR(VLOOKUP(Z610,OFFSET(abbreviation[],0,ColumnLanguage),ColumnAbbreviation,FALSE),"")</f>
        <v/>
      </c>
      <c r="BT610" s="21" t="str">
        <f ca="1">IFERROR(VLOOKUP(AB610,OFFSET(abbreviation[],0,ColumnLanguage),ColumnAbbreviation,FALSE),"")</f>
        <v/>
      </c>
      <c r="BU610" s="21" t="str">
        <f t="shared" ca="1" si="64"/>
        <v>__</v>
      </c>
      <c r="BV610" s="21" t="str">
        <f ca="1">IFERROR(VLOOKUP(AF610,OFFSET(abbreviation[],0,ColumnLanguage),ColumnAbbreviation,FALSE),"")</f>
        <v/>
      </c>
      <c r="BW610" s="21" t="str">
        <f ca="1">IFERROR(VLOOKUP(AH610,OFFSET(abbreviation[],0,ColumnLanguage),ColumnAbbreviation,FALSE),"")</f>
        <v/>
      </c>
      <c r="BX610" s="21" t="str">
        <f ca="1">IFERROR(VLOOKUP(AJ610,OFFSET(abbreviation[],0,ColumnLanguage),ColumnAbbreviation,FALSE),"")</f>
        <v/>
      </c>
      <c r="BY610" s="21" t="str">
        <f ca="1">IFERROR(VLOOKUP(AL610,OFFSET(abbreviation[],0,ColumnLanguage),ColumnAbbreviation,FALSE),"")</f>
        <v/>
      </c>
      <c r="BZ610" s="21" t="str">
        <f t="shared" ca="1" si="65"/>
        <v>_</v>
      </c>
      <c r="CA610" s="21" t="str">
        <f ca="1">IFERROR(VLOOKUP(AP610,OFFSET(abbreviation[],0,ColumnLanguage),ColumnAbbreviation,FALSE),"")</f>
        <v/>
      </c>
      <c r="CB610" s="21" t="str">
        <f ca="1">IFERROR(VLOOKUP(AR610,OFFSET(abbreviation[],0,ColumnLanguage),ColumnAbbreviation,FALSE),"")</f>
        <v/>
      </c>
      <c r="CC610" s="21" t="str">
        <f ca="1">IFERROR(VLOOKUP(AT610,OFFSET(abbreviation[],0,ColumnLanguage),ColumnAbbreviation,FALSE),"")</f>
        <v/>
      </c>
      <c r="CD610" s="21" t="str">
        <f ca="1">IFERROR(VLOOKUP(AV610,OFFSET(abbreviation[],0,ColumnLanguage),ColumnAbbreviation,FALSE),"")</f>
        <v/>
      </c>
      <c r="CE610" s="21" t="str">
        <f t="shared" ca="1" si="66"/>
        <v>__</v>
      </c>
      <c r="CF610" s="21" t="str">
        <f ca="1">IFERROR(VLOOKUP(AX610,OFFSET(abbreviation[],0,ColumnLanguage),ColumnAbbreviation,FALSE),"")</f>
        <v/>
      </c>
      <c r="CG610" s="21" t="str">
        <f ca="1">IFERROR(VLOOKUP(AZ610,OFFSET(abbreviation[],0,ColumnLanguage),ColumnAbbreviation,FALSE),"")</f>
        <v/>
      </c>
      <c r="CH610" s="21" t="str">
        <f ca="1">IFERROR(VLOOKUP(BB610,OFFSET(abbreviation[],0,ColumnLanguage),ColumnAbbreviation,FALSE),"")</f>
        <v/>
      </c>
      <c r="CI610" s="21" t="str">
        <f ca="1">IFERROR(VLOOKUP(BD610,OFFSET(abbreviation[],0,ColumnLanguage),ColumnAbbreviation,FALSE),"")</f>
        <v/>
      </c>
      <c r="CJ610" s="21" t="str">
        <f ca="1">IFERROR(VLOOKUP(BF610,OFFSET(abbreviation[],0,ColumnLanguage),ColumnAbbreviation,FALSE),"")</f>
        <v/>
      </c>
      <c r="CK610" s="21" t="str">
        <f t="shared" ca="1" si="67"/>
        <v/>
      </c>
      <c r="CL610" s="21" t="str">
        <f t="shared" si="68"/>
        <v/>
      </c>
      <c r="CM610" s="52"/>
      <c r="CN610" s="57" t="str">
        <f t="shared" si="69"/>
        <v/>
      </c>
    </row>
    <row r="611" spans="14:92" x14ac:dyDescent="0.25">
      <c r="N611" s="58"/>
      <c r="P611" s="60"/>
      <c r="Q611" s="13"/>
      <c r="V611" s="60"/>
      <c r="X611" s="61"/>
      <c r="AB611" s="60"/>
      <c r="AN611" s="54"/>
      <c r="AS611" s="15"/>
      <c r="BH611" s="52"/>
      <c r="BI611" s="21" t="str">
        <f ca="1">IFERROR(VLOOKUP(C611,OFFSET(abbreviation[],0,ColumnLanguage),ColumnAbbreviation,FALSE),"")</f>
        <v/>
      </c>
      <c r="BJ611" s="21" t="str">
        <f ca="1">IFERROR(VLOOKUP(E611,OFFSET(abbreviation[],0,ColumnLanguage),ColumnAbbreviation,FALSE),"")</f>
        <v/>
      </c>
      <c r="BK611" s="21" t="str">
        <f ca="1">IFERROR(VLOOKUP(G611,OFFSET(abbreviation[],0,ColumnLanguage),ColumnAbbreviation,FALSE),"")</f>
        <v/>
      </c>
      <c r="BL611" s="21" t="str">
        <f ca="1">IFERROR(VLOOKUP(I611,OFFSET(abbreviation[],0,ColumnLanguage),ColumnAbbreviation,FALSE),"")</f>
        <v/>
      </c>
      <c r="BM611" s="21" t="str">
        <f ca="1">IFERROR(VLOOKUP(K611,OFFSET(abbreviation[],0,ColumnLanguage),ColumnAbbreviation,FALSE),"")</f>
        <v/>
      </c>
      <c r="BN611" s="21" t="str">
        <f t="shared" ca="1" si="63"/>
        <v/>
      </c>
      <c r="BO611" s="21" t="str">
        <f ca="1">IFERROR(VLOOKUP(N611,OFFSET(abbreviation[],0,ColumnLanguage),ColumnAbbreviation,FALSE),"")</f>
        <v/>
      </c>
      <c r="BP611" s="21" t="str">
        <f ca="1">IFERROR(VLOOKUP(P611,OFFSET(abbreviation[],0,ColumnLanguage),ColumnAbbreviation,FALSE),"")</f>
        <v/>
      </c>
      <c r="BQ611" s="21" t="str">
        <f ca="1">IFERROR(VLOOKUP(T611,OFFSET(abbreviation[],0,ColumnLanguage),ColumnAbbreviation,FALSE),"")</f>
        <v/>
      </c>
      <c r="BR611" s="21" t="str">
        <f ca="1">IFERROR(VLOOKUP(V611,OFFSET(abbreviation[],0,ColumnLanguage),ColumnAbbreviation,FALSE),"")</f>
        <v/>
      </c>
      <c r="BS611" s="21" t="str">
        <f ca="1">IFERROR(VLOOKUP(Z611,OFFSET(abbreviation[],0,ColumnLanguage),ColumnAbbreviation,FALSE),"")</f>
        <v/>
      </c>
      <c r="BT611" s="21" t="str">
        <f ca="1">IFERROR(VLOOKUP(AB611,OFFSET(abbreviation[],0,ColumnLanguage),ColumnAbbreviation,FALSE),"")</f>
        <v/>
      </c>
      <c r="BU611" s="21" t="str">
        <f t="shared" ca="1" si="64"/>
        <v>__</v>
      </c>
      <c r="BV611" s="21" t="str">
        <f ca="1">IFERROR(VLOOKUP(AF611,OFFSET(abbreviation[],0,ColumnLanguage),ColumnAbbreviation,FALSE),"")</f>
        <v/>
      </c>
      <c r="BW611" s="21" t="str">
        <f ca="1">IFERROR(VLOOKUP(AH611,OFFSET(abbreviation[],0,ColumnLanguage),ColumnAbbreviation,FALSE),"")</f>
        <v/>
      </c>
      <c r="BX611" s="21" t="str">
        <f ca="1">IFERROR(VLOOKUP(AJ611,OFFSET(abbreviation[],0,ColumnLanguage),ColumnAbbreviation,FALSE),"")</f>
        <v/>
      </c>
      <c r="BY611" s="21" t="str">
        <f ca="1">IFERROR(VLOOKUP(AL611,OFFSET(abbreviation[],0,ColumnLanguage),ColumnAbbreviation,FALSE),"")</f>
        <v/>
      </c>
      <c r="BZ611" s="21" t="str">
        <f t="shared" ca="1" si="65"/>
        <v>_</v>
      </c>
      <c r="CA611" s="21" t="str">
        <f ca="1">IFERROR(VLOOKUP(AP611,OFFSET(abbreviation[],0,ColumnLanguage),ColumnAbbreviation,FALSE),"")</f>
        <v/>
      </c>
      <c r="CB611" s="21" t="str">
        <f ca="1">IFERROR(VLOOKUP(AR611,OFFSET(abbreviation[],0,ColumnLanguage),ColumnAbbreviation,FALSE),"")</f>
        <v/>
      </c>
      <c r="CC611" s="21" t="str">
        <f ca="1">IFERROR(VLOOKUP(AT611,OFFSET(abbreviation[],0,ColumnLanguage),ColumnAbbreviation,FALSE),"")</f>
        <v/>
      </c>
      <c r="CD611" s="21" t="str">
        <f ca="1">IFERROR(VLOOKUP(AV611,OFFSET(abbreviation[],0,ColumnLanguage),ColumnAbbreviation,FALSE),"")</f>
        <v/>
      </c>
      <c r="CE611" s="21" t="str">
        <f t="shared" ca="1" si="66"/>
        <v>__</v>
      </c>
      <c r="CF611" s="21" t="str">
        <f ca="1">IFERROR(VLOOKUP(AX611,OFFSET(abbreviation[],0,ColumnLanguage),ColumnAbbreviation,FALSE),"")</f>
        <v/>
      </c>
      <c r="CG611" s="21" t="str">
        <f ca="1">IFERROR(VLOOKUP(AZ611,OFFSET(abbreviation[],0,ColumnLanguage),ColumnAbbreviation,FALSE),"")</f>
        <v/>
      </c>
      <c r="CH611" s="21" t="str">
        <f ca="1">IFERROR(VLOOKUP(BB611,OFFSET(abbreviation[],0,ColumnLanguage),ColumnAbbreviation,FALSE),"")</f>
        <v/>
      </c>
      <c r="CI611" s="21" t="str">
        <f ca="1">IFERROR(VLOOKUP(BD611,OFFSET(abbreviation[],0,ColumnLanguage),ColumnAbbreviation,FALSE),"")</f>
        <v/>
      </c>
      <c r="CJ611" s="21" t="str">
        <f ca="1">IFERROR(VLOOKUP(BF611,OFFSET(abbreviation[],0,ColumnLanguage),ColumnAbbreviation,FALSE),"")</f>
        <v/>
      </c>
      <c r="CK611" s="21" t="str">
        <f t="shared" ca="1" si="67"/>
        <v/>
      </c>
      <c r="CL611" s="21" t="str">
        <f t="shared" si="68"/>
        <v/>
      </c>
      <c r="CM611" s="52"/>
      <c r="CN611" s="57" t="str">
        <f t="shared" si="69"/>
        <v/>
      </c>
    </row>
    <row r="612" spans="14:92" x14ac:dyDescent="0.25">
      <c r="N612" s="58"/>
      <c r="P612" s="60"/>
      <c r="Q612" s="13"/>
      <c r="V612" s="60"/>
      <c r="X612" s="61"/>
      <c r="AB612" s="60"/>
      <c r="AN612" s="54"/>
      <c r="AS612" s="15"/>
      <c r="BH612" s="52"/>
      <c r="BI612" s="21" t="str">
        <f ca="1">IFERROR(VLOOKUP(C612,OFFSET(abbreviation[],0,ColumnLanguage),ColumnAbbreviation,FALSE),"")</f>
        <v/>
      </c>
      <c r="BJ612" s="21" t="str">
        <f ca="1">IFERROR(VLOOKUP(E612,OFFSET(abbreviation[],0,ColumnLanguage),ColumnAbbreviation,FALSE),"")</f>
        <v/>
      </c>
      <c r="BK612" s="21" t="str">
        <f ca="1">IFERROR(VLOOKUP(G612,OFFSET(abbreviation[],0,ColumnLanguage),ColumnAbbreviation,FALSE),"")</f>
        <v/>
      </c>
      <c r="BL612" s="21" t="str">
        <f ca="1">IFERROR(VLOOKUP(I612,OFFSET(abbreviation[],0,ColumnLanguage),ColumnAbbreviation,FALSE),"")</f>
        <v/>
      </c>
      <c r="BM612" s="21" t="str">
        <f ca="1">IFERROR(VLOOKUP(K612,OFFSET(abbreviation[],0,ColumnLanguage),ColumnAbbreviation,FALSE),"")</f>
        <v/>
      </c>
      <c r="BN612" s="21" t="str">
        <f t="shared" ca="1" si="63"/>
        <v/>
      </c>
      <c r="BO612" s="21" t="str">
        <f ca="1">IFERROR(VLOOKUP(N612,OFFSET(abbreviation[],0,ColumnLanguage),ColumnAbbreviation,FALSE),"")</f>
        <v/>
      </c>
      <c r="BP612" s="21" t="str">
        <f ca="1">IFERROR(VLOOKUP(P612,OFFSET(abbreviation[],0,ColumnLanguage),ColumnAbbreviation,FALSE),"")</f>
        <v/>
      </c>
      <c r="BQ612" s="21" t="str">
        <f ca="1">IFERROR(VLOOKUP(T612,OFFSET(abbreviation[],0,ColumnLanguage),ColumnAbbreviation,FALSE),"")</f>
        <v/>
      </c>
      <c r="BR612" s="21" t="str">
        <f ca="1">IFERROR(VLOOKUP(V612,OFFSET(abbreviation[],0,ColumnLanguage),ColumnAbbreviation,FALSE),"")</f>
        <v/>
      </c>
      <c r="BS612" s="21" t="str">
        <f ca="1">IFERROR(VLOOKUP(Z612,OFFSET(abbreviation[],0,ColumnLanguage),ColumnAbbreviation,FALSE),"")</f>
        <v/>
      </c>
      <c r="BT612" s="21" t="str">
        <f ca="1">IFERROR(VLOOKUP(AB612,OFFSET(abbreviation[],0,ColumnLanguage),ColumnAbbreviation,FALSE),"")</f>
        <v/>
      </c>
      <c r="BU612" s="21" t="str">
        <f t="shared" ca="1" si="64"/>
        <v>__</v>
      </c>
      <c r="BV612" s="21" t="str">
        <f ca="1">IFERROR(VLOOKUP(AF612,OFFSET(abbreviation[],0,ColumnLanguage),ColumnAbbreviation,FALSE),"")</f>
        <v/>
      </c>
      <c r="BW612" s="21" t="str">
        <f ca="1">IFERROR(VLOOKUP(AH612,OFFSET(abbreviation[],0,ColumnLanguage),ColumnAbbreviation,FALSE),"")</f>
        <v/>
      </c>
      <c r="BX612" s="21" t="str">
        <f ca="1">IFERROR(VLOOKUP(AJ612,OFFSET(abbreviation[],0,ColumnLanguage),ColumnAbbreviation,FALSE),"")</f>
        <v/>
      </c>
      <c r="BY612" s="21" t="str">
        <f ca="1">IFERROR(VLOOKUP(AL612,OFFSET(abbreviation[],0,ColumnLanguage),ColumnAbbreviation,FALSE),"")</f>
        <v/>
      </c>
      <c r="BZ612" s="21" t="str">
        <f t="shared" ca="1" si="65"/>
        <v>_</v>
      </c>
      <c r="CA612" s="21" t="str">
        <f ca="1">IFERROR(VLOOKUP(AP612,OFFSET(abbreviation[],0,ColumnLanguage),ColumnAbbreviation,FALSE),"")</f>
        <v/>
      </c>
      <c r="CB612" s="21" t="str">
        <f ca="1">IFERROR(VLOOKUP(AR612,OFFSET(abbreviation[],0,ColumnLanguage),ColumnAbbreviation,FALSE),"")</f>
        <v/>
      </c>
      <c r="CC612" s="21" t="str">
        <f ca="1">IFERROR(VLOOKUP(AT612,OFFSET(abbreviation[],0,ColumnLanguage),ColumnAbbreviation,FALSE),"")</f>
        <v/>
      </c>
      <c r="CD612" s="21" t="str">
        <f ca="1">IFERROR(VLOOKUP(AV612,OFFSET(abbreviation[],0,ColumnLanguage),ColumnAbbreviation,FALSE),"")</f>
        <v/>
      </c>
      <c r="CE612" s="21" t="str">
        <f t="shared" ca="1" si="66"/>
        <v>__</v>
      </c>
      <c r="CF612" s="21" t="str">
        <f ca="1">IFERROR(VLOOKUP(AX612,OFFSET(abbreviation[],0,ColumnLanguage),ColumnAbbreviation,FALSE),"")</f>
        <v/>
      </c>
      <c r="CG612" s="21" t="str">
        <f ca="1">IFERROR(VLOOKUP(AZ612,OFFSET(abbreviation[],0,ColumnLanguage),ColumnAbbreviation,FALSE),"")</f>
        <v/>
      </c>
      <c r="CH612" s="21" t="str">
        <f ca="1">IFERROR(VLOOKUP(BB612,OFFSET(abbreviation[],0,ColumnLanguage),ColumnAbbreviation,FALSE),"")</f>
        <v/>
      </c>
      <c r="CI612" s="21" t="str">
        <f ca="1">IFERROR(VLOOKUP(BD612,OFFSET(abbreviation[],0,ColumnLanguage),ColumnAbbreviation,FALSE),"")</f>
        <v/>
      </c>
      <c r="CJ612" s="21" t="str">
        <f ca="1">IFERROR(VLOOKUP(BF612,OFFSET(abbreviation[],0,ColumnLanguage),ColumnAbbreviation,FALSE),"")</f>
        <v/>
      </c>
      <c r="CK612" s="21" t="str">
        <f t="shared" ca="1" si="67"/>
        <v/>
      </c>
      <c r="CL612" s="21" t="str">
        <f t="shared" si="68"/>
        <v/>
      </c>
      <c r="CM612" s="52"/>
      <c r="CN612" s="57" t="str">
        <f t="shared" si="69"/>
        <v/>
      </c>
    </row>
    <row r="613" spans="14:92" x14ac:dyDescent="0.25">
      <c r="N613" s="58"/>
      <c r="P613" s="60"/>
      <c r="Q613" s="13"/>
      <c r="V613" s="60"/>
      <c r="X613" s="61"/>
      <c r="AB613" s="60"/>
      <c r="AN613" s="54"/>
      <c r="AS613" s="15"/>
      <c r="BH613" s="52"/>
      <c r="BI613" s="21" t="str">
        <f ca="1">IFERROR(VLOOKUP(C613,OFFSET(abbreviation[],0,ColumnLanguage),ColumnAbbreviation,FALSE),"")</f>
        <v/>
      </c>
      <c r="BJ613" s="21" t="str">
        <f ca="1">IFERROR(VLOOKUP(E613,OFFSET(abbreviation[],0,ColumnLanguage),ColumnAbbreviation,FALSE),"")</f>
        <v/>
      </c>
      <c r="BK613" s="21" t="str">
        <f ca="1">IFERROR(VLOOKUP(G613,OFFSET(abbreviation[],0,ColumnLanguage),ColumnAbbreviation,FALSE),"")</f>
        <v/>
      </c>
      <c r="BL613" s="21" t="str">
        <f ca="1">IFERROR(VLOOKUP(I613,OFFSET(abbreviation[],0,ColumnLanguage),ColumnAbbreviation,FALSE),"")</f>
        <v/>
      </c>
      <c r="BM613" s="21" t="str">
        <f ca="1">IFERROR(VLOOKUP(K613,OFFSET(abbreviation[],0,ColumnLanguage),ColumnAbbreviation,FALSE),"")</f>
        <v/>
      </c>
      <c r="BN613" s="21" t="str">
        <f t="shared" ca="1" si="63"/>
        <v/>
      </c>
      <c r="BO613" s="21" t="str">
        <f ca="1">IFERROR(VLOOKUP(N613,OFFSET(abbreviation[],0,ColumnLanguage),ColumnAbbreviation,FALSE),"")</f>
        <v/>
      </c>
      <c r="BP613" s="21" t="str">
        <f ca="1">IFERROR(VLOOKUP(P613,OFFSET(abbreviation[],0,ColumnLanguage),ColumnAbbreviation,FALSE),"")</f>
        <v/>
      </c>
      <c r="BQ613" s="21" t="str">
        <f ca="1">IFERROR(VLOOKUP(T613,OFFSET(abbreviation[],0,ColumnLanguage),ColumnAbbreviation,FALSE),"")</f>
        <v/>
      </c>
      <c r="BR613" s="21" t="str">
        <f ca="1">IFERROR(VLOOKUP(V613,OFFSET(abbreviation[],0,ColumnLanguage),ColumnAbbreviation,FALSE),"")</f>
        <v/>
      </c>
      <c r="BS613" s="21" t="str">
        <f ca="1">IFERROR(VLOOKUP(Z613,OFFSET(abbreviation[],0,ColumnLanguage),ColumnAbbreviation,FALSE),"")</f>
        <v/>
      </c>
      <c r="BT613" s="21" t="str">
        <f ca="1">IFERROR(VLOOKUP(AB613,OFFSET(abbreviation[],0,ColumnLanguage),ColumnAbbreviation,FALSE),"")</f>
        <v/>
      </c>
      <c r="BU613" s="21" t="str">
        <f t="shared" ca="1" si="64"/>
        <v>__</v>
      </c>
      <c r="BV613" s="21" t="str">
        <f ca="1">IFERROR(VLOOKUP(AF613,OFFSET(abbreviation[],0,ColumnLanguage),ColumnAbbreviation,FALSE),"")</f>
        <v/>
      </c>
      <c r="BW613" s="21" t="str">
        <f ca="1">IFERROR(VLOOKUP(AH613,OFFSET(abbreviation[],0,ColumnLanguage),ColumnAbbreviation,FALSE),"")</f>
        <v/>
      </c>
      <c r="BX613" s="21" t="str">
        <f ca="1">IFERROR(VLOOKUP(AJ613,OFFSET(abbreviation[],0,ColumnLanguage),ColumnAbbreviation,FALSE),"")</f>
        <v/>
      </c>
      <c r="BY613" s="21" t="str">
        <f ca="1">IFERROR(VLOOKUP(AL613,OFFSET(abbreviation[],0,ColumnLanguage),ColumnAbbreviation,FALSE),"")</f>
        <v/>
      </c>
      <c r="BZ613" s="21" t="str">
        <f t="shared" ca="1" si="65"/>
        <v>_</v>
      </c>
      <c r="CA613" s="21" t="str">
        <f ca="1">IFERROR(VLOOKUP(AP613,OFFSET(abbreviation[],0,ColumnLanguage),ColumnAbbreviation,FALSE),"")</f>
        <v/>
      </c>
      <c r="CB613" s="21" t="str">
        <f ca="1">IFERROR(VLOOKUP(AR613,OFFSET(abbreviation[],0,ColumnLanguage),ColumnAbbreviation,FALSE),"")</f>
        <v/>
      </c>
      <c r="CC613" s="21" t="str">
        <f ca="1">IFERROR(VLOOKUP(AT613,OFFSET(abbreviation[],0,ColumnLanguage),ColumnAbbreviation,FALSE),"")</f>
        <v/>
      </c>
      <c r="CD613" s="21" t="str">
        <f ca="1">IFERROR(VLOOKUP(AV613,OFFSET(abbreviation[],0,ColumnLanguage),ColumnAbbreviation,FALSE),"")</f>
        <v/>
      </c>
      <c r="CE613" s="21" t="str">
        <f t="shared" ca="1" si="66"/>
        <v>__</v>
      </c>
      <c r="CF613" s="21" t="str">
        <f ca="1">IFERROR(VLOOKUP(AX613,OFFSET(abbreviation[],0,ColumnLanguage),ColumnAbbreviation,FALSE),"")</f>
        <v/>
      </c>
      <c r="CG613" s="21" t="str">
        <f ca="1">IFERROR(VLOOKUP(AZ613,OFFSET(abbreviation[],0,ColumnLanguage),ColumnAbbreviation,FALSE),"")</f>
        <v/>
      </c>
      <c r="CH613" s="21" t="str">
        <f ca="1">IFERROR(VLOOKUP(BB613,OFFSET(abbreviation[],0,ColumnLanguage),ColumnAbbreviation,FALSE),"")</f>
        <v/>
      </c>
      <c r="CI613" s="21" t="str">
        <f ca="1">IFERROR(VLOOKUP(BD613,OFFSET(abbreviation[],0,ColumnLanguage),ColumnAbbreviation,FALSE),"")</f>
        <v/>
      </c>
      <c r="CJ613" s="21" t="str">
        <f ca="1">IFERROR(VLOOKUP(BF613,OFFSET(abbreviation[],0,ColumnLanguage),ColumnAbbreviation,FALSE),"")</f>
        <v/>
      </c>
      <c r="CK613" s="21" t="str">
        <f t="shared" ca="1" si="67"/>
        <v/>
      </c>
      <c r="CL613" s="21" t="str">
        <f t="shared" si="68"/>
        <v/>
      </c>
      <c r="CM613" s="52"/>
      <c r="CN613" s="57" t="str">
        <f t="shared" si="69"/>
        <v/>
      </c>
    </row>
    <row r="614" spans="14:92" x14ac:dyDescent="0.25">
      <c r="N614" s="10"/>
      <c r="P614" s="60"/>
      <c r="Q614" s="13"/>
      <c r="V614" s="60"/>
      <c r="X614" s="61"/>
      <c r="AB614" s="60"/>
      <c r="AN614" s="54"/>
      <c r="AS614" s="15"/>
      <c r="BH614" s="52"/>
      <c r="BI614" s="21" t="str">
        <f ca="1">IFERROR(VLOOKUP(C614,OFFSET(abbreviation[],0,ColumnLanguage),ColumnAbbreviation,FALSE),"")</f>
        <v/>
      </c>
      <c r="BJ614" s="21" t="str">
        <f ca="1">IFERROR(VLOOKUP(E614,OFFSET(abbreviation[],0,ColumnLanguage),ColumnAbbreviation,FALSE),"")</f>
        <v/>
      </c>
      <c r="BK614" s="21" t="str">
        <f ca="1">IFERROR(VLOOKUP(G614,OFFSET(abbreviation[],0,ColumnLanguage),ColumnAbbreviation,FALSE),"")</f>
        <v/>
      </c>
      <c r="BL614" s="21" t="str">
        <f ca="1">IFERROR(VLOOKUP(I614,OFFSET(abbreviation[],0,ColumnLanguage),ColumnAbbreviation,FALSE),"")</f>
        <v/>
      </c>
      <c r="BM614" s="21" t="str">
        <f ca="1">IFERROR(VLOOKUP(K614,OFFSET(abbreviation[],0,ColumnLanguage),ColumnAbbreviation,FALSE),"")</f>
        <v/>
      </c>
      <c r="BN614" s="21" t="str">
        <f t="shared" ca="1" si="63"/>
        <v/>
      </c>
      <c r="BO614" s="21" t="str">
        <f ca="1">IFERROR(VLOOKUP(N614,OFFSET(abbreviation[],0,ColumnLanguage),ColumnAbbreviation,FALSE),"")</f>
        <v/>
      </c>
      <c r="BP614" s="21" t="str">
        <f ca="1">IFERROR(VLOOKUP(P614,OFFSET(abbreviation[],0,ColumnLanguage),ColumnAbbreviation,FALSE),"")</f>
        <v/>
      </c>
      <c r="BQ614" s="21" t="str">
        <f ca="1">IFERROR(VLOOKUP(T614,OFFSET(abbreviation[],0,ColumnLanguage),ColumnAbbreviation,FALSE),"")</f>
        <v/>
      </c>
      <c r="BR614" s="21" t="str">
        <f ca="1">IFERROR(VLOOKUP(V614,OFFSET(abbreviation[],0,ColumnLanguage),ColumnAbbreviation,FALSE),"")</f>
        <v/>
      </c>
      <c r="BS614" s="21" t="str">
        <f ca="1">IFERROR(VLOOKUP(Z614,OFFSET(abbreviation[],0,ColumnLanguage),ColumnAbbreviation,FALSE),"")</f>
        <v/>
      </c>
      <c r="BT614" s="21" t="str">
        <f ca="1">IFERROR(VLOOKUP(AB614,OFFSET(abbreviation[],0,ColumnLanguage),ColumnAbbreviation,FALSE),"")</f>
        <v/>
      </c>
      <c r="BU614" s="21" t="str">
        <f t="shared" ca="1" si="64"/>
        <v>__</v>
      </c>
      <c r="BV614" s="21" t="str">
        <f ca="1">IFERROR(VLOOKUP(AF614,OFFSET(abbreviation[],0,ColumnLanguage),ColumnAbbreviation,FALSE),"")</f>
        <v/>
      </c>
      <c r="BW614" s="21" t="str">
        <f ca="1">IFERROR(VLOOKUP(AH614,OFFSET(abbreviation[],0,ColumnLanguage),ColumnAbbreviation,FALSE),"")</f>
        <v/>
      </c>
      <c r="BX614" s="21" t="str">
        <f ca="1">IFERROR(VLOOKUP(AJ614,OFFSET(abbreviation[],0,ColumnLanguage),ColumnAbbreviation,FALSE),"")</f>
        <v/>
      </c>
      <c r="BY614" s="21" t="str">
        <f ca="1">IFERROR(VLOOKUP(AL614,OFFSET(abbreviation[],0,ColumnLanguage),ColumnAbbreviation,FALSE),"")</f>
        <v/>
      </c>
      <c r="BZ614" s="21" t="str">
        <f t="shared" ca="1" si="65"/>
        <v>_</v>
      </c>
      <c r="CA614" s="21" t="str">
        <f ca="1">IFERROR(VLOOKUP(AP614,OFFSET(abbreviation[],0,ColumnLanguage),ColumnAbbreviation,FALSE),"")</f>
        <v/>
      </c>
      <c r="CB614" s="21" t="str">
        <f ca="1">IFERROR(VLOOKUP(AR614,OFFSET(abbreviation[],0,ColumnLanguage),ColumnAbbreviation,FALSE),"")</f>
        <v/>
      </c>
      <c r="CC614" s="21" t="str">
        <f ca="1">IFERROR(VLOOKUP(AT614,OFFSET(abbreviation[],0,ColumnLanguage),ColumnAbbreviation,FALSE),"")</f>
        <v/>
      </c>
      <c r="CD614" s="21" t="str">
        <f ca="1">IFERROR(VLOOKUP(AV614,OFFSET(abbreviation[],0,ColumnLanguage),ColumnAbbreviation,FALSE),"")</f>
        <v/>
      </c>
      <c r="CE614" s="21" t="str">
        <f t="shared" ca="1" si="66"/>
        <v>__</v>
      </c>
      <c r="CF614" s="21" t="str">
        <f ca="1">IFERROR(VLOOKUP(AX614,OFFSET(abbreviation[],0,ColumnLanguage),ColumnAbbreviation,FALSE),"")</f>
        <v/>
      </c>
      <c r="CG614" s="21" t="str">
        <f ca="1">IFERROR(VLOOKUP(AZ614,OFFSET(abbreviation[],0,ColumnLanguage),ColumnAbbreviation,FALSE),"")</f>
        <v/>
      </c>
      <c r="CH614" s="21" t="str">
        <f ca="1">IFERROR(VLOOKUP(BB614,OFFSET(abbreviation[],0,ColumnLanguage),ColumnAbbreviation,FALSE),"")</f>
        <v/>
      </c>
      <c r="CI614" s="21" t="str">
        <f ca="1">IFERROR(VLOOKUP(BD614,OFFSET(abbreviation[],0,ColumnLanguage),ColumnAbbreviation,FALSE),"")</f>
        <v/>
      </c>
      <c r="CJ614" s="21" t="str">
        <f ca="1">IFERROR(VLOOKUP(BF614,OFFSET(abbreviation[],0,ColumnLanguage),ColumnAbbreviation,FALSE),"")</f>
        <v/>
      </c>
      <c r="CK614" s="21" t="str">
        <f t="shared" ca="1" si="67"/>
        <v/>
      </c>
      <c r="CL614" s="21" t="str">
        <f t="shared" si="68"/>
        <v/>
      </c>
      <c r="CM614" s="52"/>
      <c r="CN614" s="57" t="str">
        <f t="shared" si="69"/>
        <v/>
      </c>
    </row>
    <row r="615" spans="14:92" x14ac:dyDescent="0.25">
      <c r="N615" s="10"/>
      <c r="P615" s="60"/>
      <c r="Q615" s="13"/>
      <c r="V615" s="60"/>
      <c r="X615" s="61"/>
      <c r="AB615" s="60"/>
      <c r="AN615" s="54"/>
      <c r="AS615" s="15"/>
      <c r="BH615" s="52"/>
      <c r="BI615" s="21" t="str">
        <f ca="1">IFERROR(VLOOKUP(C615,OFFSET(abbreviation[],0,ColumnLanguage),ColumnAbbreviation,FALSE),"")</f>
        <v/>
      </c>
      <c r="BJ615" s="21" t="str">
        <f ca="1">IFERROR(VLOOKUP(E615,OFFSET(abbreviation[],0,ColumnLanguage),ColumnAbbreviation,FALSE),"")</f>
        <v/>
      </c>
      <c r="BK615" s="21" t="str">
        <f ca="1">IFERROR(VLOOKUP(G615,OFFSET(abbreviation[],0,ColumnLanguage),ColumnAbbreviation,FALSE),"")</f>
        <v/>
      </c>
      <c r="BL615" s="21" t="str">
        <f ca="1">IFERROR(VLOOKUP(I615,OFFSET(abbreviation[],0,ColumnLanguage),ColumnAbbreviation,FALSE),"")</f>
        <v/>
      </c>
      <c r="BM615" s="21" t="str">
        <f ca="1">IFERROR(VLOOKUP(K615,OFFSET(abbreviation[],0,ColumnLanguage),ColumnAbbreviation,FALSE),"")</f>
        <v/>
      </c>
      <c r="BN615" s="21" t="str">
        <f t="shared" ca="1" si="63"/>
        <v/>
      </c>
      <c r="BO615" s="21" t="str">
        <f ca="1">IFERROR(VLOOKUP(N615,OFFSET(abbreviation[],0,ColumnLanguage),ColumnAbbreviation,FALSE),"")</f>
        <v/>
      </c>
      <c r="BP615" s="21" t="str">
        <f ca="1">IFERROR(VLOOKUP(P615,OFFSET(abbreviation[],0,ColumnLanguage),ColumnAbbreviation,FALSE),"")</f>
        <v/>
      </c>
      <c r="BQ615" s="21" t="str">
        <f ca="1">IFERROR(VLOOKUP(T615,OFFSET(abbreviation[],0,ColumnLanguage),ColumnAbbreviation,FALSE),"")</f>
        <v/>
      </c>
      <c r="BR615" s="21" t="str">
        <f ca="1">IFERROR(VLOOKUP(V615,OFFSET(abbreviation[],0,ColumnLanguage),ColumnAbbreviation,FALSE),"")</f>
        <v/>
      </c>
      <c r="BS615" s="21" t="str">
        <f ca="1">IFERROR(VLOOKUP(Z615,OFFSET(abbreviation[],0,ColumnLanguage),ColumnAbbreviation,FALSE),"")</f>
        <v/>
      </c>
      <c r="BT615" s="21" t="str">
        <f ca="1">IFERROR(VLOOKUP(AB615,OFFSET(abbreviation[],0,ColumnLanguage),ColumnAbbreviation,FALSE),"")</f>
        <v/>
      </c>
      <c r="BU615" s="21" t="str">
        <f t="shared" ca="1" si="64"/>
        <v>__</v>
      </c>
      <c r="BV615" s="21" t="str">
        <f ca="1">IFERROR(VLOOKUP(AF615,OFFSET(abbreviation[],0,ColumnLanguage),ColumnAbbreviation,FALSE),"")</f>
        <v/>
      </c>
      <c r="BW615" s="21" t="str">
        <f ca="1">IFERROR(VLOOKUP(AH615,OFFSET(abbreviation[],0,ColumnLanguage),ColumnAbbreviation,FALSE),"")</f>
        <v/>
      </c>
      <c r="BX615" s="21" t="str">
        <f ca="1">IFERROR(VLOOKUP(AJ615,OFFSET(abbreviation[],0,ColumnLanguage),ColumnAbbreviation,FALSE),"")</f>
        <v/>
      </c>
      <c r="BY615" s="21" t="str">
        <f ca="1">IFERROR(VLOOKUP(AL615,OFFSET(abbreviation[],0,ColumnLanguage),ColumnAbbreviation,FALSE),"")</f>
        <v/>
      </c>
      <c r="BZ615" s="21" t="str">
        <f t="shared" ca="1" si="65"/>
        <v>_</v>
      </c>
      <c r="CA615" s="21" t="str">
        <f ca="1">IFERROR(VLOOKUP(AP615,OFFSET(abbreviation[],0,ColumnLanguage),ColumnAbbreviation,FALSE),"")</f>
        <v/>
      </c>
      <c r="CB615" s="21" t="str">
        <f ca="1">IFERROR(VLOOKUP(AR615,OFFSET(abbreviation[],0,ColumnLanguage),ColumnAbbreviation,FALSE),"")</f>
        <v/>
      </c>
      <c r="CC615" s="21" t="str">
        <f ca="1">IFERROR(VLOOKUP(AT615,OFFSET(abbreviation[],0,ColumnLanguage),ColumnAbbreviation,FALSE),"")</f>
        <v/>
      </c>
      <c r="CD615" s="21" t="str">
        <f ca="1">IFERROR(VLOOKUP(AV615,OFFSET(abbreviation[],0,ColumnLanguage),ColumnAbbreviation,FALSE),"")</f>
        <v/>
      </c>
      <c r="CE615" s="21" t="str">
        <f t="shared" ca="1" si="66"/>
        <v>__</v>
      </c>
      <c r="CF615" s="21" t="str">
        <f ca="1">IFERROR(VLOOKUP(AX615,OFFSET(abbreviation[],0,ColumnLanguage),ColumnAbbreviation,FALSE),"")</f>
        <v/>
      </c>
      <c r="CG615" s="21" t="str">
        <f ca="1">IFERROR(VLOOKUP(AZ615,OFFSET(abbreviation[],0,ColumnLanguage),ColumnAbbreviation,FALSE),"")</f>
        <v/>
      </c>
      <c r="CH615" s="21" t="str">
        <f ca="1">IFERROR(VLOOKUP(BB615,OFFSET(abbreviation[],0,ColumnLanguage),ColumnAbbreviation,FALSE),"")</f>
        <v/>
      </c>
      <c r="CI615" s="21" t="str">
        <f ca="1">IFERROR(VLOOKUP(BD615,OFFSET(abbreviation[],0,ColumnLanguage),ColumnAbbreviation,FALSE),"")</f>
        <v/>
      </c>
      <c r="CJ615" s="21" t="str">
        <f ca="1">IFERROR(VLOOKUP(BF615,OFFSET(abbreviation[],0,ColumnLanguage),ColumnAbbreviation,FALSE),"")</f>
        <v/>
      </c>
      <c r="CK615" s="21" t="str">
        <f t="shared" ca="1" si="67"/>
        <v/>
      </c>
      <c r="CL615" s="21" t="str">
        <f t="shared" si="68"/>
        <v/>
      </c>
      <c r="CM615" s="52"/>
      <c r="CN615" s="57" t="str">
        <f t="shared" si="69"/>
        <v/>
      </c>
    </row>
    <row r="616" spans="14:92" x14ac:dyDescent="0.25">
      <c r="P616" s="60"/>
      <c r="Q616" s="13"/>
      <c r="V616" s="60"/>
      <c r="X616" s="61"/>
      <c r="AB616" s="60"/>
      <c r="AN616" s="54"/>
      <c r="AS616" s="15"/>
      <c r="BH616" s="52"/>
      <c r="BI616" s="21" t="str">
        <f ca="1">IFERROR(VLOOKUP(C616,OFFSET(abbreviation[],0,ColumnLanguage),ColumnAbbreviation,FALSE),"")</f>
        <v/>
      </c>
      <c r="BJ616" s="21" t="str">
        <f ca="1">IFERROR(VLOOKUP(E616,OFFSET(abbreviation[],0,ColumnLanguage),ColumnAbbreviation,FALSE),"")</f>
        <v/>
      </c>
      <c r="BK616" s="21" t="str">
        <f ca="1">IFERROR(VLOOKUP(G616,OFFSET(abbreviation[],0,ColumnLanguage),ColumnAbbreviation,FALSE),"")</f>
        <v/>
      </c>
      <c r="BL616" s="21" t="str">
        <f ca="1">IFERROR(VLOOKUP(I616,OFFSET(abbreviation[],0,ColumnLanguage),ColumnAbbreviation,FALSE),"")</f>
        <v/>
      </c>
      <c r="BM616" s="21" t="str">
        <f ca="1">IFERROR(VLOOKUP(K616,OFFSET(abbreviation[],0,ColumnLanguage),ColumnAbbreviation,FALSE),"")</f>
        <v/>
      </c>
      <c r="BN616" s="21" t="str">
        <f t="shared" ca="1" si="63"/>
        <v/>
      </c>
      <c r="BO616" s="21" t="str">
        <f ca="1">IFERROR(VLOOKUP(N616,OFFSET(abbreviation[],0,ColumnLanguage),ColumnAbbreviation,FALSE),"")</f>
        <v/>
      </c>
      <c r="BP616" s="21" t="str">
        <f ca="1">IFERROR(VLOOKUP(P616,OFFSET(abbreviation[],0,ColumnLanguage),ColumnAbbreviation,FALSE),"")</f>
        <v/>
      </c>
      <c r="BQ616" s="21" t="str">
        <f ca="1">IFERROR(VLOOKUP(T616,OFFSET(abbreviation[],0,ColumnLanguage),ColumnAbbreviation,FALSE),"")</f>
        <v/>
      </c>
      <c r="BR616" s="21" t="str">
        <f ca="1">IFERROR(VLOOKUP(V616,OFFSET(abbreviation[],0,ColumnLanguage),ColumnAbbreviation,FALSE),"")</f>
        <v/>
      </c>
      <c r="BS616" s="21" t="str">
        <f ca="1">IFERROR(VLOOKUP(Z616,OFFSET(abbreviation[],0,ColumnLanguage),ColumnAbbreviation,FALSE),"")</f>
        <v/>
      </c>
      <c r="BT616" s="21" t="str">
        <f ca="1">IFERROR(VLOOKUP(AB616,OFFSET(abbreviation[],0,ColumnLanguage),ColumnAbbreviation,FALSE),"")</f>
        <v/>
      </c>
      <c r="BU616" s="21" t="str">
        <f t="shared" ca="1" si="64"/>
        <v>__</v>
      </c>
      <c r="BV616" s="21" t="str">
        <f ca="1">IFERROR(VLOOKUP(AF616,OFFSET(abbreviation[],0,ColumnLanguage),ColumnAbbreviation,FALSE),"")</f>
        <v/>
      </c>
      <c r="BW616" s="21" t="str">
        <f ca="1">IFERROR(VLOOKUP(AH616,OFFSET(abbreviation[],0,ColumnLanguage),ColumnAbbreviation,FALSE),"")</f>
        <v/>
      </c>
      <c r="BX616" s="21" t="str">
        <f ca="1">IFERROR(VLOOKUP(AJ616,OFFSET(abbreviation[],0,ColumnLanguage),ColumnAbbreviation,FALSE),"")</f>
        <v/>
      </c>
      <c r="BY616" s="21" t="str">
        <f ca="1">IFERROR(VLOOKUP(AL616,OFFSET(abbreviation[],0,ColumnLanguage),ColumnAbbreviation,FALSE),"")</f>
        <v/>
      </c>
      <c r="BZ616" s="21" t="str">
        <f t="shared" ca="1" si="65"/>
        <v>_</v>
      </c>
      <c r="CA616" s="21" t="str">
        <f ca="1">IFERROR(VLOOKUP(AP616,OFFSET(abbreviation[],0,ColumnLanguage),ColumnAbbreviation,FALSE),"")</f>
        <v/>
      </c>
      <c r="CB616" s="21" t="str">
        <f ca="1">IFERROR(VLOOKUP(AR616,OFFSET(abbreviation[],0,ColumnLanguage),ColumnAbbreviation,FALSE),"")</f>
        <v/>
      </c>
      <c r="CC616" s="21" t="str">
        <f ca="1">IFERROR(VLOOKUP(AT616,OFFSET(abbreviation[],0,ColumnLanguage),ColumnAbbreviation,FALSE),"")</f>
        <v/>
      </c>
      <c r="CD616" s="21" t="str">
        <f ca="1">IFERROR(VLOOKUP(AV616,OFFSET(abbreviation[],0,ColumnLanguage),ColumnAbbreviation,FALSE),"")</f>
        <v/>
      </c>
      <c r="CE616" s="21" t="str">
        <f t="shared" ca="1" si="66"/>
        <v>__</v>
      </c>
      <c r="CF616" s="21" t="str">
        <f ca="1">IFERROR(VLOOKUP(AX616,OFFSET(abbreviation[],0,ColumnLanguage),ColumnAbbreviation,FALSE),"")</f>
        <v/>
      </c>
      <c r="CG616" s="21" t="str">
        <f ca="1">IFERROR(VLOOKUP(AZ616,OFFSET(abbreviation[],0,ColumnLanguage),ColumnAbbreviation,FALSE),"")</f>
        <v/>
      </c>
      <c r="CH616" s="21" t="str">
        <f ca="1">IFERROR(VLOOKUP(BB616,OFFSET(abbreviation[],0,ColumnLanguage),ColumnAbbreviation,FALSE),"")</f>
        <v/>
      </c>
      <c r="CI616" s="21" t="str">
        <f ca="1">IFERROR(VLOOKUP(BD616,OFFSET(abbreviation[],0,ColumnLanguage),ColumnAbbreviation,FALSE),"")</f>
        <v/>
      </c>
      <c r="CJ616" s="21" t="str">
        <f ca="1">IFERROR(VLOOKUP(BF616,OFFSET(abbreviation[],0,ColumnLanguage),ColumnAbbreviation,FALSE),"")</f>
        <v/>
      </c>
      <c r="CK616" s="21" t="str">
        <f t="shared" ca="1" si="67"/>
        <v/>
      </c>
      <c r="CL616" s="21" t="str">
        <f t="shared" si="68"/>
        <v/>
      </c>
      <c r="CM616" s="52"/>
      <c r="CN616" s="57" t="str">
        <f t="shared" si="69"/>
        <v/>
      </c>
    </row>
    <row r="617" spans="14:92" x14ac:dyDescent="0.25">
      <c r="P617" s="60"/>
      <c r="Q617" s="13"/>
      <c r="V617" s="60"/>
      <c r="X617" s="61"/>
      <c r="AB617" s="60"/>
      <c r="AN617" s="54"/>
      <c r="AS617" s="15"/>
      <c r="BH617" s="52"/>
      <c r="BI617" s="21" t="str">
        <f ca="1">IFERROR(VLOOKUP(C617,OFFSET(abbreviation[],0,ColumnLanguage),ColumnAbbreviation,FALSE),"")</f>
        <v/>
      </c>
      <c r="BJ617" s="21" t="str">
        <f ca="1">IFERROR(VLOOKUP(E617,OFFSET(abbreviation[],0,ColumnLanguage),ColumnAbbreviation,FALSE),"")</f>
        <v/>
      </c>
      <c r="BK617" s="21" t="str">
        <f ca="1">IFERROR(VLOOKUP(G617,OFFSET(abbreviation[],0,ColumnLanguage),ColumnAbbreviation,FALSE),"")</f>
        <v/>
      </c>
      <c r="BL617" s="21" t="str">
        <f ca="1">IFERROR(VLOOKUP(I617,OFFSET(abbreviation[],0,ColumnLanguage),ColumnAbbreviation,FALSE),"")</f>
        <v/>
      </c>
      <c r="BM617" s="21" t="str">
        <f ca="1">IFERROR(VLOOKUP(K617,OFFSET(abbreviation[],0,ColumnLanguage),ColumnAbbreviation,FALSE),"")</f>
        <v/>
      </c>
      <c r="BN617" s="21" t="str">
        <f t="shared" ca="1" si="63"/>
        <v/>
      </c>
      <c r="BO617" s="21" t="str">
        <f ca="1">IFERROR(VLOOKUP(N617,OFFSET(abbreviation[],0,ColumnLanguage),ColumnAbbreviation,FALSE),"")</f>
        <v/>
      </c>
      <c r="BP617" s="21" t="str">
        <f ca="1">IFERROR(VLOOKUP(P617,OFFSET(abbreviation[],0,ColumnLanguage),ColumnAbbreviation,FALSE),"")</f>
        <v/>
      </c>
      <c r="BQ617" s="21" t="str">
        <f ca="1">IFERROR(VLOOKUP(T617,OFFSET(abbreviation[],0,ColumnLanguage),ColumnAbbreviation,FALSE),"")</f>
        <v/>
      </c>
      <c r="BR617" s="21" t="str">
        <f ca="1">IFERROR(VLOOKUP(V617,OFFSET(abbreviation[],0,ColumnLanguage),ColumnAbbreviation,FALSE),"")</f>
        <v/>
      </c>
      <c r="BS617" s="21" t="str">
        <f ca="1">IFERROR(VLOOKUP(Z617,OFFSET(abbreviation[],0,ColumnLanguage),ColumnAbbreviation,FALSE),"")</f>
        <v/>
      </c>
      <c r="BT617" s="21" t="str">
        <f ca="1">IFERROR(VLOOKUP(AB617,OFFSET(abbreviation[],0,ColumnLanguage),ColumnAbbreviation,FALSE),"")</f>
        <v/>
      </c>
      <c r="BU617" s="21" t="str">
        <f t="shared" ca="1" si="64"/>
        <v>__</v>
      </c>
      <c r="BV617" s="21" t="str">
        <f ca="1">IFERROR(VLOOKUP(AF617,OFFSET(abbreviation[],0,ColumnLanguage),ColumnAbbreviation,FALSE),"")</f>
        <v/>
      </c>
      <c r="BW617" s="21" t="str">
        <f ca="1">IFERROR(VLOOKUP(AH617,OFFSET(abbreviation[],0,ColumnLanguage),ColumnAbbreviation,FALSE),"")</f>
        <v/>
      </c>
      <c r="BX617" s="21" t="str">
        <f ca="1">IFERROR(VLOOKUP(AJ617,OFFSET(abbreviation[],0,ColumnLanguage),ColumnAbbreviation,FALSE),"")</f>
        <v/>
      </c>
      <c r="BY617" s="21" t="str">
        <f ca="1">IFERROR(VLOOKUP(AL617,OFFSET(abbreviation[],0,ColumnLanguage),ColumnAbbreviation,FALSE),"")</f>
        <v/>
      </c>
      <c r="BZ617" s="21" t="str">
        <f t="shared" ca="1" si="65"/>
        <v>_</v>
      </c>
      <c r="CA617" s="21" t="str">
        <f ca="1">IFERROR(VLOOKUP(AP617,OFFSET(abbreviation[],0,ColumnLanguage),ColumnAbbreviation,FALSE),"")</f>
        <v/>
      </c>
      <c r="CB617" s="21" t="str">
        <f ca="1">IFERROR(VLOOKUP(AR617,OFFSET(abbreviation[],0,ColumnLanguage),ColumnAbbreviation,FALSE),"")</f>
        <v/>
      </c>
      <c r="CC617" s="21" t="str">
        <f ca="1">IFERROR(VLOOKUP(AT617,OFFSET(abbreviation[],0,ColumnLanguage),ColumnAbbreviation,FALSE),"")</f>
        <v/>
      </c>
      <c r="CD617" s="21" t="str">
        <f ca="1">IFERROR(VLOOKUP(AV617,OFFSET(abbreviation[],0,ColumnLanguage),ColumnAbbreviation,FALSE),"")</f>
        <v/>
      </c>
      <c r="CE617" s="21" t="str">
        <f t="shared" ca="1" si="66"/>
        <v>__</v>
      </c>
      <c r="CF617" s="21" t="str">
        <f ca="1">IFERROR(VLOOKUP(AX617,OFFSET(abbreviation[],0,ColumnLanguage),ColumnAbbreviation,FALSE),"")</f>
        <v/>
      </c>
      <c r="CG617" s="21" t="str">
        <f ca="1">IFERROR(VLOOKUP(AZ617,OFFSET(abbreviation[],0,ColumnLanguage),ColumnAbbreviation,FALSE),"")</f>
        <v/>
      </c>
      <c r="CH617" s="21" t="str">
        <f ca="1">IFERROR(VLOOKUP(BB617,OFFSET(abbreviation[],0,ColumnLanguage),ColumnAbbreviation,FALSE),"")</f>
        <v/>
      </c>
      <c r="CI617" s="21" t="str">
        <f ca="1">IFERROR(VLOOKUP(BD617,OFFSET(abbreviation[],0,ColumnLanguage),ColumnAbbreviation,FALSE),"")</f>
        <v/>
      </c>
      <c r="CJ617" s="21" t="str">
        <f ca="1">IFERROR(VLOOKUP(BF617,OFFSET(abbreviation[],0,ColumnLanguage),ColumnAbbreviation,FALSE),"")</f>
        <v/>
      </c>
      <c r="CK617" s="21" t="str">
        <f t="shared" ca="1" si="67"/>
        <v/>
      </c>
      <c r="CL617" s="21" t="str">
        <f t="shared" si="68"/>
        <v/>
      </c>
      <c r="CM617" s="52"/>
      <c r="CN617" s="57" t="str">
        <f t="shared" si="69"/>
        <v/>
      </c>
    </row>
    <row r="618" spans="14:92" x14ac:dyDescent="0.25">
      <c r="P618" s="60"/>
      <c r="Q618" s="13"/>
      <c r="V618" s="60"/>
      <c r="X618" s="61"/>
      <c r="AB618" s="60"/>
      <c r="AN618" s="54"/>
      <c r="AS618" s="15"/>
      <c r="BH618" s="52"/>
      <c r="BI618" s="21" t="str">
        <f ca="1">IFERROR(VLOOKUP(C618,OFFSET(abbreviation[],0,ColumnLanguage),ColumnAbbreviation,FALSE),"")</f>
        <v/>
      </c>
      <c r="BJ618" s="21" t="str">
        <f ca="1">IFERROR(VLOOKUP(E618,OFFSET(abbreviation[],0,ColumnLanguage),ColumnAbbreviation,FALSE),"")</f>
        <v/>
      </c>
      <c r="BK618" s="21" t="str">
        <f ca="1">IFERROR(VLOOKUP(G618,OFFSET(abbreviation[],0,ColumnLanguage),ColumnAbbreviation,FALSE),"")</f>
        <v/>
      </c>
      <c r="BL618" s="21" t="str">
        <f ca="1">IFERROR(VLOOKUP(I618,OFFSET(abbreviation[],0,ColumnLanguage),ColumnAbbreviation,FALSE),"")</f>
        <v/>
      </c>
      <c r="BM618" s="21" t="str">
        <f ca="1">IFERROR(VLOOKUP(K618,OFFSET(abbreviation[],0,ColumnLanguage),ColumnAbbreviation,FALSE),"")</f>
        <v/>
      </c>
      <c r="BN618" s="21" t="str">
        <f t="shared" ca="1" si="63"/>
        <v/>
      </c>
      <c r="BO618" s="21" t="str">
        <f ca="1">IFERROR(VLOOKUP(N618,OFFSET(abbreviation[],0,ColumnLanguage),ColumnAbbreviation,FALSE),"")</f>
        <v/>
      </c>
      <c r="BP618" s="21" t="str">
        <f ca="1">IFERROR(VLOOKUP(P618,OFFSET(abbreviation[],0,ColumnLanguage),ColumnAbbreviation,FALSE),"")</f>
        <v/>
      </c>
      <c r="BQ618" s="21" t="str">
        <f ca="1">IFERROR(VLOOKUP(T618,OFFSET(abbreviation[],0,ColumnLanguage),ColumnAbbreviation,FALSE),"")</f>
        <v/>
      </c>
      <c r="BR618" s="21" t="str">
        <f ca="1">IFERROR(VLOOKUP(V618,OFFSET(abbreviation[],0,ColumnLanguage),ColumnAbbreviation,FALSE),"")</f>
        <v/>
      </c>
      <c r="BS618" s="21" t="str">
        <f ca="1">IFERROR(VLOOKUP(Z618,OFFSET(abbreviation[],0,ColumnLanguage),ColumnAbbreviation,FALSE),"")</f>
        <v/>
      </c>
      <c r="BT618" s="21" t="str">
        <f ca="1">IFERROR(VLOOKUP(AB618,OFFSET(abbreviation[],0,ColumnLanguage),ColumnAbbreviation,FALSE),"")</f>
        <v/>
      </c>
      <c r="BU618" s="21" t="str">
        <f t="shared" ca="1" si="64"/>
        <v>__</v>
      </c>
      <c r="BV618" s="21" t="str">
        <f ca="1">IFERROR(VLOOKUP(AF618,OFFSET(abbreviation[],0,ColumnLanguage),ColumnAbbreviation,FALSE),"")</f>
        <v/>
      </c>
      <c r="BW618" s="21" t="str">
        <f ca="1">IFERROR(VLOOKUP(AH618,OFFSET(abbreviation[],0,ColumnLanguage),ColumnAbbreviation,FALSE),"")</f>
        <v/>
      </c>
      <c r="BX618" s="21" t="str">
        <f ca="1">IFERROR(VLOOKUP(AJ618,OFFSET(abbreviation[],0,ColumnLanguage),ColumnAbbreviation,FALSE),"")</f>
        <v/>
      </c>
      <c r="BY618" s="21" t="str">
        <f ca="1">IFERROR(VLOOKUP(AL618,OFFSET(abbreviation[],0,ColumnLanguage),ColumnAbbreviation,FALSE),"")</f>
        <v/>
      </c>
      <c r="BZ618" s="21" t="str">
        <f t="shared" ca="1" si="65"/>
        <v>_</v>
      </c>
      <c r="CA618" s="21" t="str">
        <f ca="1">IFERROR(VLOOKUP(AP618,OFFSET(abbreviation[],0,ColumnLanguage),ColumnAbbreviation,FALSE),"")</f>
        <v/>
      </c>
      <c r="CB618" s="21" t="str">
        <f ca="1">IFERROR(VLOOKUP(AR618,OFFSET(abbreviation[],0,ColumnLanguage),ColumnAbbreviation,FALSE),"")</f>
        <v/>
      </c>
      <c r="CC618" s="21" t="str">
        <f ca="1">IFERROR(VLOOKUP(AT618,OFFSET(abbreviation[],0,ColumnLanguage),ColumnAbbreviation,FALSE),"")</f>
        <v/>
      </c>
      <c r="CD618" s="21" t="str">
        <f ca="1">IFERROR(VLOOKUP(AV618,OFFSET(abbreviation[],0,ColumnLanguage),ColumnAbbreviation,FALSE),"")</f>
        <v/>
      </c>
      <c r="CE618" s="21" t="str">
        <f t="shared" ca="1" si="66"/>
        <v>__</v>
      </c>
      <c r="CF618" s="21" t="str">
        <f ca="1">IFERROR(VLOOKUP(AX618,OFFSET(abbreviation[],0,ColumnLanguage),ColumnAbbreviation,FALSE),"")</f>
        <v/>
      </c>
      <c r="CG618" s="21" t="str">
        <f ca="1">IFERROR(VLOOKUP(AZ618,OFFSET(abbreviation[],0,ColumnLanguage),ColumnAbbreviation,FALSE),"")</f>
        <v/>
      </c>
      <c r="CH618" s="21" t="str">
        <f ca="1">IFERROR(VLOOKUP(BB618,OFFSET(abbreviation[],0,ColumnLanguage),ColumnAbbreviation,FALSE),"")</f>
        <v/>
      </c>
      <c r="CI618" s="21" t="str">
        <f ca="1">IFERROR(VLOOKUP(BD618,OFFSET(abbreviation[],0,ColumnLanguage),ColumnAbbreviation,FALSE),"")</f>
        <v/>
      </c>
      <c r="CJ618" s="21" t="str">
        <f ca="1">IFERROR(VLOOKUP(BF618,OFFSET(abbreviation[],0,ColumnLanguage),ColumnAbbreviation,FALSE),"")</f>
        <v/>
      </c>
      <c r="CK618" s="21" t="str">
        <f t="shared" ca="1" si="67"/>
        <v/>
      </c>
      <c r="CL618" s="21" t="str">
        <f t="shared" si="68"/>
        <v/>
      </c>
      <c r="CM618" s="52"/>
      <c r="CN618" s="57" t="str">
        <f t="shared" si="69"/>
        <v/>
      </c>
    </row>
    <row r="619" spans="14:92" x14ac:dyDescent="0.25">
      <c r="P619" s="60"/>
      <c r="Q619" s="13"/>
      <c r="V619" s="60"/>
      <c r="X619" s="61"/>
      <c r="AB619" s="60"/>
      <c r="AN619" s="54"/>
      <c r="AS619" s="15"/>
      <c r="BH619" s="52"/>
      <c r="BI619" s="21" t="str">
        <f ca="1">IFERROR(VLOOKUP(C619,OFFSET(abbreviation[],0,ColumnLanguage),ColumnAbbreviation,FALSE),"")</f>
        <v/>
      </c>
      <c r="BJ619" s="21" t="str">
        <f ca="1">IFERROR(VLOOKUP(E619,OFFSET(abbreviation[],0,ColumnLanguage),ColumnAbbreviation,FALSE),"")</f>
        <v/>
      </c>
      <c r="BK619" s="21" t="str">
        <f ca="1">IFERROR(VLOOKUP(G619,OFFSET(abbreviation[],0,ColumnLanguage),ColumnAbbreviation,FALSE),"")</f>
        <v/>
      </c>
      <c r="BL619" s="21" t="str">
        <f ca="1">IFERROR(VLOOKUP(I619,OFFSET(abbreviation[],0,ColumnLanguage),ColumnAbbreviation,FALSE),"")</f>
        <v/>
      </c>
      <c r="BM619" s="21" t="str">
        <f ca="1">IFERROR(VLOOKUP(K619,OFFSET(abbreviation[],0,ColumnLanguage),ColumnAbbreviation,FALSE),"")</f>
        <v/>
      </c>
      <c r="BN619" s="21" t="str">
        <f t="shared" ca="1" si="63"/>
        <v/>
      </c>
      <c r="BO619" s="21" t="str">
        <f ca="1">IFERROR(VLOOKUP(N619,OFFSET(abbreviation[],0,ColumnLanguage),ColumnAbbreviation,FALSE),"")</f>
        <v/>
      </c>
      <c r="BP619" s="21" t="str">
        <f ca="1">IFERROR(VLOOKUP(P619,OFFSET(abbreviation[],0,ColumnLanguage),ColumnAbbreviation,FALSE),"")</f>
        <v/>
      </c>
      <c r="BQ619" s="21" t="str">
        <f ca="1">IFERROR(VLOOKUP(T619,OFFSET(abbreviation[],0,ColumnLanguage),ColumnAbbreviation,FALSE),"")</f>
        <v/>
      </c>
      <c r="BR619" s="21" t="str">
        <f ca="1">IFERROR(VLOOKUP(V619,OFFSET(abbreviation[],0,ColumnLanguage),ColumnAbbreviation,FALSE),"")</f>
        <v/>
      </c>
      <c r="BS619" s="21" t="str">
        <f ca="1">IFERROR(VLOOKUP(Z619,OFFSET(abbreviation[],0,ColumnLanguage),ColumnAbbreviation,FALSE),"")</f>
        <v/>
      </c>
      <c r="BT619" s="21" t="str">
        <f ca="1">IFERROR(VLOOKUP(AB619,OFFSET(abbreviation[],0,ColumnLanguage),ColumnAbbreviation,FALSE),"")</f>
        <v/>
      </c>
      <c r="BU619" s="21" t="str">
        <f t="shared" ca="1" si="64"/>
        <v>__</v>
      </c>
      <c r="BV619" s="21" t="str">
        <f ca="1">IFERROR(VLOOKUP(AF619,OFFSET(abbreviation[],0,ColumnLanguage),ColumnAbbreviation,FALSE),"")</f>
        <v/>
      </c>
      <c r="BW619" s="21" t="str">
        <f ca="1">IFERROR(VLOOKUP(AH619,OFFSET(abbreviation[],0,ColumnLanguage),ColumnAbbreviation,FALSE),"")</f>
        <v/>
      </c>
      <c r="BX619" s="21" t="str">
        <f ca="1">IFERROR(VLOOKUP(AJ619,OFFSET(abbreviation[],0,ColumnLanguage),ColumnAbbreviation,FALSE),"")</f>
        <v/>
      </c>
      <c r="BY619" s="21" t="str">
        <f ca="1">IFERROR(VLOOKUP(AL619,OFFSET(abbreviation[],0,ColumnLanguage),ColumnAbbreviation,FALSE),"")</f>
        <v/>
      </c>
      <c r="BZ619" s="21" t="str">
        <f t="shared" ca="1" si="65"/>
        <v>_</v>
      </c>
      <c r="CA619" s="21" t="str">
        <f ca="1">IFERROR(VLOOKUP(AP619,OFFSET(abbreviation[],0,ColumnLanguage),ColumnAbbreviation,FALSE),"")</f>
        <v/>
      </c>
      <c r="CB619" s="21" t="str">
        <f ca="1">IFERROR(VLOOKUP(AR619,OFFSET(abbreviation[],0,ColumnLanguage),ColumnAbbreviation,FALSE),"")</f>
        <v/>
      </c>
      <c r="CC619" s="21" t="str">
        <f ca="1">IFERROR(VLOOKUP(AT619,OFFSET(abbreviation[],0,ColumnLanguage),ColumnAbbreviation,FALSE),"")</f>
        <v/>
      </c>
      <c r="CD619" s="21" t="str">
        <f ca="1">IFERROR(VLOOKUP(AV619,OFFSET(abbreviation[],0,ColumnLanguage),ColumnAbbreviation,FALSE),"")</f>
        <v/>
      </c>
      <c r="CE619" s="21" t="str">
        <f t="shared" ca="1" si="66"/>
        <v>__</v>
      </c>
      <c r="CF619" s="21" t="str">
        <f ca="1">IFERROR(VLOOKUP(AX619,OFFSET(abbreviation[],0,ColumnLanguage),ColumnAbbreviation,FALSE),"")</f>
        <v/>
      </c>
      <c r="CG619" s="21" t="str">
        <f ca="1">IFERROR(VLOOKUP(AZ619,OFFSET(abbreviation[],0,ColumnLanguage),ColumnAbbreviation,FALSE),"")</f>
        <v/>
      </c>
      <c r="CH619" s="21" t="str">
        <f ca="1">IFERROR(VLOOKUP(BB619,OFFSET(abbreviation[],0,ColumnLanguage),ColumnAbbreviation,FALSE),"")</f>
        <v/>
      </c>
      <c r="CI619" s="21" t="str">
        <f ca="1">IFERROR(VLOOKUP(BD619,OFFSET(abbreviation[],0,ColumnLanguage),ColumnAbbreviation,FALSE),"")</f>
        <v/>
      </c>
      <c r="CJ619" s="21" t="str">
        <f ca="1">IFERROR(VLOOKUP(BF619,OFFSET(abbreviation[],0,ColumnLanguage),ColumnAbbreviation,FALSE),"")</f>
        <v/>
      </c>
      <c r="CK619" s="21" t="str">
        <f t="shared" ca="1" si="67"/>
        <v/>
      </c>
      <c r="CL619" s="21" t="str">
        <f t="shared" si="68"/>
        <v/>
      </c>
      <c r="CM619" s="52"/>
      <c r="CN619" s="57" t="str">
        <f t="shared" si="69"/>
        <v/>
      </c>
    </row>
    <row r="620" spans="14:92" x14ac:dyDescent="0.25">
      <c r="P620" s="60"/>
      <c r="Q620" s="13"/>
      <c r="V620" s="60"/>
      <c r="X620" s="61"/>
      <c r="AB620" s="60"/>
      <c r="AN620" s="54"/>
      <c r="AS620" s="15"/>
      <c r="BH620" s="52"/>
      <c r="BI620" s="21" t="str">
        <f ca="1">IFERROR(VLOOKUP(C620,OFFSET(abbreviation[],0,ColumnLanguage),ColumnAbbreviation,FALSE),"")</f>
        <v/>
      </c>
      <c r="BJ620" s="21" t="str">
        <f ca="1">IFERROR(VLOOKUP(E620,OFFSET(abbreviation[],0,ColumnLanguage),ColumnAbbreviation,FALSE),"")</f>
        <v/>
      </c>
      <c r="BK620" s="21" t="str">
        <f ca="1">IFERROR(VLOOKUP(G620,OFFSET(abbreviation[],0,ColumnLanguage),ColumnAbbreviation,FALSE),"")</f>
        <v/>
      </c>
      <c r="BL620" s="21" t="str">
        <f ca="1">IFERROR(VLOOKUP(I620,OFFSET(abbreviation[],0,ColumnLanguage),ColumnAbbreviation,FALSE),"")</f>
        <v/>
      </c>
      <c r="BM620" s="21" t="str">
        <f ca="1">IFERROR(VLOOKUP(K620,OFFSET(abbreviation[],0,ColumnLanguage),ColumnAbbreviation,FALSE),"")</f>
        <v/>
      </c>
      <c r="BN620" s="21" t="str">
        <f t="shared" ca="1" si="63"/>
        <v/>
      </c>
      <c r="BO620" s="21" t="str">
        <f ca="1">IFERROR(VLOOKUP(N620,OFFSET(abbreviation[],0,ColumnLanguage),ColumnAbbreviation,FALSE),"")</f>
        <v/>
      </c>
      <c r="BP620" s="21" t="str">
        <f ca="1">IFERROR(VLOOKUP(P620,OFFSET(abbreviation[],0,ColumnLanguage),ColumnAbbreviation,FALSE),"")</f>
        <v/>
      </c>
      <c r="BQ620" s="21" t="str">
        <f ca="1">IFERROR(VLOOKUP(T620,OFFSET(abbreviation[],0,ColumnLanguage),ColumnAbbreviation,FALSE),"")</f>
        <v/>
      </c>
      <c r="BR620" s="21" t="str">
        <f ca="1">IFERROR(VLOOKUP(V620,OFFSET(abbreviation[],0,ColumnLanguage),ColumnAbbreviation,FALSE),"")</f>
        <v/>
      </c>
      <c r="BS620" s="21" t="str">
        <f ca="1">IFERROR(VLOOKUP(Z620,OFFSET(abbreviation[],0,ColumnLanguage),ColumnAbbreviation,FALSE),"")</f>
        <v/>
      </c>
      <c r="BT620" s="21" t="str">
        <f ca="1">IFERROR(VLOOKUP(AB620,OFFSET(abbreviation[],0,ColumnLanguage),ColumnAbbreviation,FALSE),"")</f>
        <v/>
      </c>
      <c r="BU620" s="21" t="str">
        <f t="shared" ca="1" si="64"/>
        <v>__</v>
      </c>
      <c r="BV620" s="21" t="str">
        <f ca="1">IFERROR(VLOOKUP(AF620,OFFSET(abbreviation[],0,ColumnLanguage),ColumnAbbreviation,FALSE),"")</f>
        <v/>
      </c>
      <c r="BW620" s="21" t="str">
        <f ca="1">IFERROR(VLOOKUP(AH620,OFFSET(abbreviation[],0,ColumnLanguage),ColumnAbbreviation,FALSE),"")</f>
        <v/>
      </c>
      <c r="BX620" s="21" t="str">
        <f ca="1">IFERROR(VLOOKUP(AJ620,OFFSET(abbreviation[],0,ColumnLanguage),ColumnAbbreviation,FALSE),"")</f>
        <v/>
      </c>
      <c r="BY620" s="21" t="str">
        <f ca="1">IFERROR(VLOOKUP(AL620,OFFSET(abbreviation[],0,ColumnLanguage),ColumnAbbreviation,FALSE),"")</f>
        <v/>
      </c>
      <c r="BZ620" s="21" t="str">
        <f t="shared" ca="1" si="65"/>
        <v>_</v>
      </c>
      <c r="CA620" s="21" t="str">
        <f ca="1">IFERROR(VLOOKUP(AP620,OFFSET(abbreviation[],0,ColumnLanguage),ColumnAbbreviation,FALSE),"")</f>
        <v/>
      </c>
      <c r="CB620" s="21" t="str">
        <f ca="1">IFERROR(VLOOKUP(AR620,OFFSET(abbreviation[],0,ColumnLanguage),ColumnAbbreviation,FALSE),"")</f>
        <v/>
      </c>
      <c r="CC620" s="21" t="str">
        <f ca="1">IFERROR(VLOOKUP(AT620,OFFSET(abbreviation[],0,ColumnLanguage),ColumnAbbreviation,FALSE),"")</f>
        <v/>
      </c>
      <c r="CD620" s="21" t="str">
        <f ca="1">IFERROR(VLOOKUP(AV620,OFFSET(abbreviation[],0,ColumnLanguage),ColumnAbbreviation,FALSE),"")</f>
        <v/>
      </c>
      <c r="CE620" s="21" t="str">
        <f t="shared" ca="1" si="66"/>
        <v>__</v>
      </c>
      <c r="CF620" s="21" t="str">
        <f ca="1">IFERROR(VLOOKUP(AX620,OFFSET(abbreviation[],0,ColumnLanguage),ColumnAbbreviation,FALSE),"")</f>
        <v/>
      </c>
      <c r="CG620" s="21" t="str">
        <f ca="1">IFERROR(VLOOKUP(AZ620,OFFSET(abbreviation[],0,ColumnLanguage),ColumnAbbreviation,FALSE),"")</f>
        <v/>
      </c>
      <c r="CH620" s="21" t="str">
        <f ca="1">IFERROR(VLOOKUP(BB620,OFFSET(abbreviation[],0,ColumnLanguage),ColumnAbbreviation,FALSE),"")</f>
        <v/>
      </c>
      <c r="CI620" s="21" t="str">
        <f ca="1">IFERROR(VLOOKUP(BD620,OFFSET(abbreviation[],0,ColumnLanguage),ColumnAbbreviation,FALSE),"")</f>
        <v/>
      </c>
      <c r="CJ620" s="21" t="str">
        <f ca="1">IFERROR(VLOOKUP(BF620,OFFSET(abbreviation[],0,ColumnLanguage),ColumnAbbreviation,FALSE),"")</f>
        <v/>
      </c>
      <c r="CK620" s="21" t="str">
        <f t="shared" ca="1" si="67"/>
        <v/>
      </c>
      <c r="CL620" s="21" t="str">
        <f t="shared" si="68"/>
        <v/>
      </c>
      <c r="CM620" s="52"/>
      <c r="CN620" s="57" t="str">
        <f t="shared" si="69"/>
        <v/>
      </c>
    </row>
    <row r="621" spans="14:92" x14ac:dyDescent="0.25">
      <c r="P621" s="60"/>
      <c r="Q621" s="13"/>
      <c r="V621" s="60"/>
      <c r="X621" s="61"/>
      <c r="AB621" s="60"/>
      <c r="AN621" s="54"/>
      <c r="AS621" s="15"/>
      <c r="BH621" s="52"/>
      <c r="BI621" s="21" t="str">
        <f ca="1">IFERROR(VLOOKUP(C621,OFFSET(abbreviation[],0,ColumnLanguage),ColumnAbbreviation,FALSE),"")</f>
        <v/>
      </c>
      <c r="BJ621" s="21" t="str">
        <f ca="1">IFERROR(VLOOKUP(E621,OFFSET(abbreviation[],0,ColumnLanguage),ColumnAbbreviation,FALSE),"")</f>
        <v/>
      </c>
      <c r="BK621" s="21" t="str">
        <f ca="1">IFERROR(VLOOKUP(G621,OFFSET(abbreviation[],0,ColumnLanguage),ColumnAbbreviation,FALSE),"")</f>
        <v/>
      </c>
      <c r="BL621" s="21" t="str">
        <f ca="1">IFERROR(VLOOKUP(I621,OFFSET(abbreviation[],0,ColumnLanguage),ColumnAbbreviation,FALSE),"")</f>
        <v/>
      </c>
      <c r="BM621" s="21" t="str">
        <f ca="1">IFERROR(VLOOKUP(K621,OFFSET(abbreviation[],0,ColumnLanguage),ColumnAbbreviation,FALSE),"")</f>
        <v/>
      </c>
      <c r="BN621" s="21" t="str">
        <f t="shared" ca="1" si="63"/>
        <v/>
      </c>
      <c r="BO621" s="21" t="str">
        <f ca="1">IFERROR(VLOOKUP(N621,OFFSET(abbreviation[],0,ColumnLanguage),ColumnAbbreviation,FALSE),"")</f>
        <v/>
      </c>
      <c r="BP621" s="21" t="str">
        <f ca="1">IFERROR(VLOOKUP(P621,OFFSET(abbreviation[],0,ColumnLanguage),ColumnAbbreviation,FALSE),"")</f>
        <v/>
      </c>
      <c r="BQ621" s="21" t="str">
        <f ca="1">IFERROR(VLOOKUP(T621,OFFSET(abbreviation[],0,ColumnLanguage),ColumnAbbreviation,FALSE),"")</f>
        <v/>
      </c>
      <c r="BR621" s="21" t="str">
        <f ca="1">IFERROR(VLOOKUP(V621,OFFSET(abbreviation[],0,ColumnLanguage),ColumnAbbreviation,FALSE),"")</f>
        <v/>
      </c>
      <c r="BS621" s="21" t="str">
        <f ca="1">IFERROR(VLOOKUP(Z621,OFFSET(abbreviation[],0,ColumnLanguage),ColumnAbbreviation,FALSE),"")</f>
        <v/>
      </c>
      <c r="BT621" s="21" t="str">
        <f ca="1">IFERROR(VLOOKUP(AB621,OFFSET(abbreviation[],0,ColumnLanguage),ColumnAbbreviation,FALSE),"")</f>
        <v/>
      </c>
      <c r="BU621" s="21" t="str">
        <f t="shared" ca="1" si="64"/>
        <v>__</v>
      </c>
      <c r="BV621" s="21" t="str">
        <f ca="1">IFERROR(VLOOKUP(AF621,OFFSET(abbreviation[],0,ColumnLanguage),ColumnAbbreviation,FALSE),"")</f>
        <v/>
      </c>
      <c r="BW621" s="21" t="str">
        <f ca="1">IFERROR(VLOOKUP(AH621,OFFSET(abbreviation[],0,ColumnLanguage),ColumnAbbreviation,FALSE),"")</f>
        <v/>
      </c>
      <c r="BX621" s="21" t="str">
        <f ca="1">IFERROR(VLOOKUP(AJ621,OFFSET(abbreviation[],0,ColumnLanguage),ColumnAbbreviation,FALSE),"")</f>
        <v/>
      </c>
      <c r="BY621" s="21" t="str">
        <f ca="1">IFERROR(VLOOKUP(AL621,OFFSET(abbreviation[],0,ColumnLanguage),ColumnAbbreviation,FALSE),"")</f>
        <v/>
      </c>
      <c r="BZ621" s="21" t="str">
        <f t="shared" ca="1" si="65"/>
        <v>_</v>
      </c>
      <c r="CA621" s="21" t="str">
        <f ca="1">IFERROR(VLOOKUP(AP621,OFFSET(abbreviation[],0,ColumnLanguage),ColumnAbbreviation,FALSE),"")</f>
        <v/>
      </c>
      <c r="CB621" s="21" t="str">
        <f ca="1">IFERROR(VLOOKUP(AR621,OFFSET(abbreviation[],0,ColumnLanguage),ColumnAbbreviation,FALSE),"")</f>
        <v/>
      </c>
      <c r="CC621" s="21" t="str">
        <f ca="1">IFERROR(VLOOKUP(AT621,OFFSET(abbreviation[],0,ColumnLanguage),ColumnAbbreviation,FALSE),"")</f>
        <v/>
      </c>
      <c r="CD621" s="21" t="str">
        <f ca="1">IFERROR(VLOOKUP(AV621,OFFSET(abbreviation[],0,ColumnLanguage),ColumnAbbreviation,FALSE),"")</f>
        <v/>
      </c>
      <c r="CE621" s="21" t="str">
        <f t="shared" ca="1" si="66"/>
        <v>__</v>
      </c>
      <c r="CF621" s="21" t="str">
        <f ca="1">IFERROR(VLOOKUP(AX621,OFFSET(abbreviation[],0,ColumnLanguage),ColumnAbbreviation,FALSE),"")</f>
        <v/>
      </c>
      <c r="CG621" s="21" t="str">
        <f ca="1">IFERROR(VLOOKUP(AZ621,OFFSET(abbreviation[],0,ColumnLanguage),ColumnAbbreviation,FALSE),"")</f>
        <v/>
      </c>
      <c r="CH621" s="21" t="str">
        <f ca="1">IFERROR(VLOOKUP(BB621,OFFSET(abbreviation[],0,ColumnLanguage),ColumnAbbreviation,FALSE),"")</f>
        <v/>
      </c>
      <c r="CI621" s="21" t="str">
        <f ca="1">IFERROR(VLOOKUP(BD621,OFFSET(abbreviation[],0,ColumnLanguage),ColumnAbbreviation,FALSE),"")</f>
        <v/>
      </c>
      <c r="CJ621" s="21" t="str">
        <f ca="1">IFERROR(VLOOKUP(BF621,OFFSET(abbreviation[],0,ColumnLanguage),ColumnAbbreviation,FALSE),"")</f>
        <v/>
      </c>
      <c r="CK621" s="21" t="str">
        <f t="shared" ca="1" si="67"/>
        <v/>
      </c>
      <c r="CL621" s="21" t="str">
        <f t="shared" si="68"/>
        <v/>
      </c>
      <c r="CM621" s="52"/>
      <c r="CN621" s="57" t="str">
        <f t="shared" si="69"/>
        <v/>
      </c>
    </row>
    <row r="622" spans="14:92" x14ac:dyDescent="0.25">
      <c r="P622" s="60"/>
      <c r="Q622" s="13"/>
      <c r="V622" s="60"/>
      <c r="X622" s="61"/>
      <c r="AB622" s="60"/>
      <c r="AN622" s="54"/>
      <c r="AS622" s="15"/>
      <c r="BH622" s="52"/>
      <c r="BI622" s="21" t="str">
        <f ca="1">IFERROR(VLOOKUP(C622,OFFSET(abbreviation[],0,ColumnLanguage),ColumnAbbreviation,FALSE),"")</f>
        <v/>
      </c>
      <c r="BJ622" s="21" t="str">
        <f ca="1">IFERROR(VLOOKUP(E622,OFFSET(abbreviation[],0,ColumnLanguage),ColumnAbbreviation,FALSE),"")</f>
        <v/>
      </c>
      <c r="BK622" s="21" t="str">
        <f ca="1">IFERROR(VLOOKUP(G622,OFFSET(abbreviation[],0,ColumnLanguage),ColumnAbbreviation,FALSE),"")</f>
        <v/>
      </c>
      <c r="BL622" s="21" t="str">
        <f ca="1">IFERROR(VLOOKUP(I622,OFFSET(abbreviation[],0,ColumnLanguage),ColumnAbbreviation,FALSE),"")</f>
        <v/>
      </c>
      <c r="BM622" s="21" t="str">
        <f ca="1">IFERROR(VLOOKUP(K622,OFFSET(abbreviation[],0,ColumnLanguage),ColumnAbbreviation,FALSE),"")</f>
        <v/>
      </c>
      <c r="BN622" s="21" t="str">
        <f t="shared" ca="1" si="63"/>
        <v/>
      </c>
      <c r="BO622" s="21" t="str">
        <f ca="1">IFERROR(VLOOKUP(N622,OFFSET(abbreviation[],0,ColumnLanguage),ColumnAbbreviation,FALSE),"")</f>
        <v/>
      </c>
      <c r="BP622" s="21" t="str">
        <f ca="1">IFERROR(VLOOKUP(P622,OFFSET(abbreviation[],0,ColumnLanguage),ColumnAbbreviation,FALSE),"")</f>
        <v/>
      </c>
      <c r="BQ622" s="21" t="str">
        <f ca="1">IFERROR(VLOOKUP(T622,OFFSET(abbreviation[],0,ColumnLanguage),ColumnAbbreviation,FALSE),"")</f>
        <v/>
      </c>
      <c r="BR622" s="21" t="str">
        <f ca="1">IFERROR(VLOOKUP(V622,OFFSET(abbreviation[],0,ColumnLanguage),ColumnAbbreviation,FALSE),"")</f>
        <v/>
      </c>
      <c r="BS622" s="21" t="str">
        <f ca="1">IFERROR(VLOOKUP(Z622,OFFSET(abbreviation[],0,ColumnLanguage),ColumnAbbreviation,FALSE),"")</f>
        <v/>
      </c>
      <c r="BT622" s="21" t="str">
        <f ca="1">IFERROR(VLOOKUP(AB622,OFFSET(abbreviation[],0,ColumnLanguage),ColumnAbbreviation,FALSE),"")</f>
        <v/>
      </c>
      <c r="BU622" s="21" t="str">
        <f t="shared" ca="1" si="64"/>
        <v>__</v>
      </c>
      <c r="BV622" s="21" t="str">
        <f ca="1">IFERROR(VLOOKUP(AF622,OFFSET(abbreviation[],0,ColumnLanguage),ColumnAbbreviation,FALSE),"")</f>
        <v/>
      </c>
      <c r="BW622" s="21" t="str">
        <f ca="1">IFERROR(VLOOKUP(AH622,OFFSET(abbreviation[],0,ColumnLanguage),ColumnAbbreviation,FALSE),"")</f>
        <v/>
      </c>
      <c r="BX622" s="21" t="str">
        <f ca="1">IFERROR(VLOOKUP(AJ622,OFFSET(abbreviation[],0,ColumnLanguage),ColumnAbbreviation,FALSE),"")</f>
        <v/>
      </c>
      <c r="BY622" s="21" t="str">
        <f ca="1">IFERROR(VLOOKUP(AL622,OFFSET(abbreviation[],0,ColumnLanguage),ColumnAbbreviation,FALSE),"")</f>
        <v/>
      </c>
      <c r="BZ622" s="21" t="str">
        <f t="shared" ca="1" si="65"/>
        <v>_</v>
      </c>
      <c r="CA622" s="21" t="str">
        <f ca="1">IFERROR(VLOOKUP(AP622,OFFSET(abbreviation[],0,ColumnLanguage),ColumnAbbreviation,FALSE),"")</f>
        <v/>
      </c>
      <c r="CB622" s="21" t="str">
        <f ca="1">IFERROR(VLOOKUP(AR622,OFFSET(abbreviation[],0,ColumnLanguage),ColumnAbbreviation,FALSE),"")</f>
        <v/>
      </c>
      <c r="CC622" s="21" t="str">
        <f ca="1">IFERROR(VLOOKUP(AT622,OFFSET(abbreviation[],0,ColumnLanguage),ColumnAbbreviation,FALSE),"")</f>
        <v/>
      </c>
      <c r="CD622" s="21" t="str">
        <f ca="1">IFERROR(VLOOKUP(AV622,OFFSET(abbreviation[],0,ColumnLanguage),ColumnAbbreviation,FALSE),"")</f>
        <v/>
      </c>
      <c r="CE622" s="21" t="str">
        <f t="shared" ca="1" si="66"/>
        <v>__</v>
      </c>
      <c r="CF622" s="21" t="str">
        <f ca="1">IFERROR(VLOOKUP(AX622,OFFSET(abbreviation[],0,ColumnLanguage),ColumnAbbreviation,FALSE),"")</f>
        <v/>
      </c>
      <c r="CG622" s="21" t="str">
        <f ca="1">IFERROR(VLOOKUP(AZ622,OFFSET(abbreviation[],0,ColumnLanguage),ColumnAbbreviation,FALSE),"")</f>
        <v/>
      </c>
      <c r="CH622" s="21" t="str">
        <f ca="1">IFERROR(VLOOKUP(BB622,OFFSET(abbreviation[],0,ColumnLanguage),ColumnAbbreviation,FALSE),"")</f>
        <v/>
      </c>
      <c r="CI622" s="21" t="str">
        <f ca="1">IFERROR(VLOOKUP(BD622,OFFSET(abbreviation[],0,ColumnLanguage),ColumnAbbreviation,FALSE),"")</f>
        <v/>
      </c>
      <c r="CJ622" s="21" t="str">
        <f ca="1">IFERROR(VLOOKUP(BF622,OFFSET(abbreviation[],0,ColumnLanguage),ColumnAbbreviation,FALSE),"")</f>
        <v/>
      </c>
      <c r="CK622" s="21" t="str">
        <f t="shared" ca="1" si="67"/>
        <v/>
      </c>
      <c r="CL622" s="21" t="str">
        <f t="shared" si="68"/>
        <v/>
      </c>
      <c r="CM622" s="52"/>
      <c r="CN622" s="57" t="str">
        <f t="shared" si="69"/>
        <v/>
      </c>
    </row>
    <row r="623" spans="14:92" x14ac:dyDescent="0.25">
      <c r="P623" s="60"/>
      <c r="Q623" s="13"/>
      <c r="V623" s="60"/>
      <c r="X623" s="61"/>
      <c r="AB623" s="60"/>
      <c r="AN623" s="54"/>
      <c r="AS623" s="15"/>
      <c r="BH623" s="52"/>
      <c r="BI623" s="21" t="str">
        <f ca="1">IFERROR(VLOOKUP(C623,OFFSET(abbreviation[],0,ColumnLanguage),ColumnAbbreviation,FALSE),"")</f>
        <v/>
      </c>
      <c r="BJ623" s="21" t="str">
        <f ca="1">IFERROR(VLOOKUP(E623,OFFSET(abbreviation[],0,ColumnLanguage),ColumnAbbreviation,FALSE),"")</f>
        <v/>
      </c>
      <c r="BK623" s="21" t="str">
        <f ca="1">IFERROR(VLOOKUP(G623,OFFSET(abbreviation[],0,ColumnLanguage),ColumnAbbreviation,FALSE),"")</f>
        <v/>
      </c>
      <c r="BL623" s="21" t="str">
        <f ca="1">IFERROR(VLOOKUP(I623,OFFSET(abbreviation[],0,ColumnLanguage),ColumnAbbreviation,FALSE),"")</f>
        <v/>
      </c>
      <c r="BM623" s="21" t="str">
        <f ca="1">IFERROR(VLOOKUP(K623,OFFSET(abbreviation[],0,ColumnLanguage),ColumnAbbreviation,FALSE),"")</f>
        <v/>
      </c>
      <c r="BN623" s="21" t="str">
        <f t="shared" ca="1" si="63"/>
        <v/>
      </c>
      <c r="BO623" s="21" t="str">
        <f ca="1">IFERROR(VLOOKUP(N623,OFFSET(abbreviation[],0,ColumnLanguage),ColumnAbbreviation,FALSE),"")</f>
        <v/>
      </c>
      <c r="BP623" s="21" t="str">
        <f ca="1">IFERROR(VLOOKUP(P623,OFFSET(abbreviation[],0,ColumnLanguage),ColumnAbbreviation,FALSE),"")</f>
        <v/>
      </c>
      <c r="BQ623" s="21" t="str">
        <f ca="1">IFERROR(VLOOKUP(T623,OFFSET(abbreviation[],0,ColumnLanguage),ColumnAbbreviation,FALSE),"")</f>
        <v/>
      </c>
      <c r="BR623" s="21" t="str">
        <f ca="1">IFERROR(VLOOKUP(V623,OFFSET(abbreviation[],0,ColumnLanguage),ColumnAbbreviation,FALSE),"")</f>
        <v/>
      </c>
      <c r="BS623" s="21" t="str">
        <f ca="1">IFERROR(VLOOKUP(Z623,OFFSET(abbreviation[],0,ColumnLanguage),ColumnAbbreviation,FALSE),"")</f>
        <v/>
      </c>
      <c r="BT623" s="21" t="str">
        <f ca="1">IFERROR(VLOOKUP(AB623,OFFSET(abbreviation[],0,ColumnLanguage),ColumnAbbreviation,FALSE),"")</f>
        <v/>
      </c>
      <c r="BU623" s="21" t="str">
        <f t="shared" ca="1" si="64"/>
        <v>__</v>
      </c>
      <c r="BV623" s="21" t="str">
        <f ca="1">IFERROR(VLOOKUP(AF623,OFFSET(abbreviation[],0,ColumnLanguage),ColumnAbbreviation,FALSE),"")</f>
        <v/>
      </c>
      <c r="BW623" s="21" t="str">
        <f ca="1">IFERROR(VLOOKUP(AH623,OFFSET(abbreviation[],0,ColumnLanguage),ColumnAbbreviation,FALSE),"")</f>
        <v/>
      </c>
      <c r="BX623" s="21" t="str">
        <f ca="1">IFERROR(VLOOKUP(AJ623,OFFSET(abbreviation[],0,ColumnLanguage),ColumnAbbreviation,FALSE),"")</f>
        <v/>
      </c>
      <c r="BY623" s="21" t="str">
        <f ca="1">IFERROR(VLOOKUP(AL623,OFFSET(abbreviation[],0,ColumnLanguage),ColumnAbbreviation,FALSE),"")</f>
        <v/>
      </c>
      <c r="BZ623" s="21" t="str">
        <f t="shared" ca="1" si="65"/>
        <v>_</v>
      </c>
      <c r="CA623" s="21" t="str">
        <f ca="1">IFERROR(VLOOKUP(AP623,OFFSET(abbreviation[],0,ColumnLanguage),ColumnAbbreviation,FALSE),"")</f>
        <v/>
      </c>
      <c r="CB623" s="21" t="str">
        <f ca="1">IFERROR(VLOOKUP(AR623,OFFSET(abbreviation[],0,ColumnLanguage),ColumnAbbreviation,FALSE),"")</f>
        <v/>
      </c>
      <c r="CC623" s="21" t="str">
        <f ca="1">IFERROR(VLOOKUP(AT623,OFFSET(abbreviation[],0,ColumnLanguage),ColumnAbbreviation,FALSE),"")</f>
        <v/>
      </c>
      <c r="CD623" s="21" t="str">
        <f ca="1">IFERROR(VLOOKUP(AV623,OFFSET(abbreviation[],0,ColumnLanguage),ColumnAbbreviation,FALSE),"")</f>
        <v/>
      </c>
      <c r="CE623" s="21" t="str">
        <f t="shared" ca="1" si="66"/>
        <v>__</v>
      </c>
      <c r="CF623" s="21" t="str">
        <f ca="1">IFERROR(VLOOKUP(AX623,OFFSET(abbreviation[],0,ColumnLanguage),ColumnAbbreviation,FALSE),"")</f>
        <v/>
      </c>
      <c r="CG623" s="21" t="str">
        <f ca="1">IFERROR(VLOOKUP(AZ623,OFFSET(abbreviation[],0,ColumnLanguage),ColumnAbbreviation,FALSE),"")</f>
        <v/>
      </c>
      <c r="CH623" s="21" t="str">
        <f ca="1">IFERROR(VLOOKUP(BB623,OFFSET(abbreviation[],0,ColumnLanguage),ColumnAbbreviation,FALSE),"")</f>
        <v/>
      </c>
      <c r="CI623" s="21" t="str">
        <f ca="1">IFERROR(VLOOKUP(BD623,OFFSET(abbreviation[],0,ColumnLanguage),ColumnAbbreviation,FALSE),"")</f>
        <v/>
      </c>
      <c r="CJ623" s="21" t="str">
        <f ca="1">IFERROR(VLOOKUP(BF623,OFFSET(abbreviation[],0,ColumnLanguage),ColumnAbbreviation,FALSE),"")</f>
        <v/>
      </c>
      <c r="CK623" s="21" t="str">
        <f t="shared" ca="1" si="67"/>
        <v/>
      </c>
      <c r="CL623" s="21" t="str">
        <f t="shared" si="68"/>
        <v/>
      </c>
      <c r="CM623" s="52"/>
      <c r="CN623" s="57" t="str">
        <f t="shared" si="69"/>
        <v/>
      </c>
    </row>
    <row r="624" spans="14:92" x14ac:dyDescent="0.25">
      <c r="N624" s="10"/>
      <c r="P624" s="60"/>
      <c r="Q624" s="13"/>
      <c r="V624" s="60"/>
      <c r="X624" s="61"/>
      <c r="AB624" s="60"/>
      <c r="AN624" s="54"/>
      <c r="AS624" s="15"/>
      <c r="BH624" s="52"/>
      <c r="BI624" s="21" t="str">
        <f ca="1">IFERROR(VLOOKUP(C624,OFFSET(abbreviation[],0,ColumnLanguage),ColumnAbbreviation,FALSE),"")</f>
        <v/>
      </c>
      <c r="BJ624" s="21" t="str">
        <f ca="1">IFERROR(VLOOKUP(E624,OFFSET(abbreviation[],0,ColumnLanguage),ColumnAbbreviation,FALSE),"")</f>
        <v/>
      </c>
      <c r="BK624" s="21" t="str">
        <f ca="1">IFERROR(VLOOKUP(G624,OFFSET(abbreviation[],0,ColumnLanguage),ColumnAbbreviation,FALSE),"")</f>
        <v/>
      </c>
      <c r="BL624" s="21" t="str">
        <f ca="1">IFERROR(VLOOKUP(I624,OFFSET(abbreviation[],0,ColumnLanguage),ColumnAbbreviation,FALSE),"")</f>
        <v/>
      </c>
      <c r="BM624" s="21" t="str">
        <f ca="1">IFERROR(VLOOKUP(K624,OFFSET(abbreviation[],0,ColumnLanguage),ColumnAbbreviation,FALSE),"")</f>
        <v/>
      </c>
      <c r="BN624" s="21" t="str">
        <f t="shared" ca="1" si="63"/>
        <v/>
      </c>
      <c r="BO624" s="21" t="str">
        <f ca="1">IFERROR(VLOOKUP(N624,OFFSET(abbreviation[],0,ColumnLanguage),ColumnAbbreviation,FALSE),"")</f>
        <v/>
      </c>
      <c r="BP624" s="21" t="str">
        <f ca="1">IFERROR(VLOOKUP(P624,OFFSET(abbreviation[],0,ColumnLanguage),ColumnAbbreviation,FALSE),"")</f>
        <v/>
      </c>
      <c r="BQ624" s="21" t="str">
        <f ca="1">IFERROR(VLOOKUP(T624,OFFSET(abbreviation[],0,ColumnLanguage),ColumnAbbreviation,FALSE),"")</f>
        <v/>
      </c>
      <c r="BR624" s="21" t="str">
        <f ca="1">IFERROR(VLOOKUP(V624,OFFSET(abbreviation[],0,ColumnLanguage),ColumnAbbreviation,FALSE),"")</f>
        <v/>
      </c>
      <c r="BS624" s="21" t="str">
        <f ca="1">IFERROR(VLOOKUP(Z624,OFFSET(abbreviation[],0,ColumnLanguage),ColumnAbbreviation,FALSE),"")</f>
        <v/>
      </c>
      <c r="BT624" s="21" t="str">
        <f ca="1">IFERROR(VLOOKUP(AB624,OFFSET(abbreviation[],0,ColumnLanguage),ColumnAbbreviation,FALSE),"")</f>
        <v/>
      </c>
      <c r="BU624" s="21" t="str">
        <f t="shared" ca="1" si="64"/>
        <v>__</v>
      </c>
      <c r="BV624" s="21" t="str">
        <f ca="1">IFERROR(VLOOKUP(AF624,OFFSET(abbreviation[],0,ColumnLanguage),ColumnAbbreviation,FALSE),"")</f>
        <v/>
      </c>
      <c r="BW624" s="21" t="str">
        <f ca="1">IFERROR(VLOOKUP(AH624,OFFSET(abbreviation[],0,ColumnLanguage),ColumnAbbreviation,FALSE),"")</f>
        <v/>
      </c>
      <c r="BX624" s="21" t="str">
        <f ca="1">IFERROR(VLOOKUP(AJ624,OFFSET(abbreviation[],0,ColumnLanguage),ColumnAbbreviation,FALSE),"")</f>
        <v/>
      </c>
      <c r="BY624" s="21" t="str">
        <f ca="1">IFERROR(VLOOKUP(AL624,OFFSET(abbreviation[],0,ColumnLanguage),ColumnAbbreviation,FALSE),"")</f>
        <v/>
      </c>
      <c r="BZ624" s="21" t="str">
        <f t="shared" ca="1" si="65"/>
        <v>_</v>
      </c>
      <c r="CA624" s="21" t="str">
        <f ca="1">IFERROR(VLOOKUP(AP624,OFFSET(abbreviation[],0,ColumnLanguage),ColumnAbbreviation,FALSE),"")</f>
        <v/>
      </c>
      <c r="CB624" s="21" t="str">
        <f ca="1">IFERROR(VLOOKUP(AR624,OFFSET(abbreviation[],0,ColumnLanguage),ColumnAbbreviation,FALSE),"")</f>
        <v/>
      </c>
      <c r="CC624" s="21" t="str">
        <f ca="1">IFERROR(VLOOKUP(AT624,OFFSET(abbreviation[],0,ColumnLanguage),ColumnAbbreviation,FALSE),"")</f>
        <v/>
      </c>
      <c r="CD624" s="21" t="str">
        <f ca="1">IFERROR(VLOOKUP(AV624,OFFSET(abbreviation[],0,ColumnLanguage),ColumnAbbreviation,FALSE),"")</f>
        <v/>
      </c>
      <c r="CE624" s="21" t="str">
        <f t="shared" ca="1" si="66"/>
        <v>__</v>
      </c>
      <c r="CF624" s="21" t="str">
        <f ca="1">IFERROR(VLOOKUP(AX624,OFFSET(abbreviation[],0,ColumnLanguage),ColumnAbbreviation,FALSE),"")</f>
        <v/>
      </c>
      <c r="CG624" s="21" t="str">
        <f ca="1">IFERROR(VLOOKUP(AZ624,OFFSET(abbreviation[],0,ColumnLanguage),ColumnAbbreviation,FALSE),"")</f>
        <v/>
      </c>
      <c r="CH624" s="21" t="str">
        <f ca="1">IFERROR(VLOOKUP(BB624,OFFSET(abbreviation[],0,ColumnLanguage),ColumnAbbreviation,FALSE),"")</f>
        <v/>
      </c>
      <c r="CI624" s="21" t="str">
        <f ca="1">IFERROR(VLOOKUP(BD624,OFFSET(abbreviation[],0,ColumnLanguage),ColumnAbbreviation,FALSE),"")</f>
        <v/>
      </c>
      <c r="CJ624" s="21" t="str">
        <f ca="1">IFERROR(VLOOKUP(BF624,OFFSET(abbreviation[],0,ColumnLanguage),ColumnAbbreviation,FALSE),"")</f>
        <v/>
      </c>
      <c r="CK624" s="21" t="str">
        <f t="shared" ca="1" si="67"/>
        <v/>
      </c>
      <c r="CL624" s="21" t="str">
        <f t="shared" si="68"/>
        <v/>
      </c>
      <c r="CM624" s="52"/>
      <c r="CN624" s="57" t="str">
        <f t="shared" si="69"/>
        <v/>
      </c>
    </row>
    <row r="625" spans="14:92" x14ac:dyDescent="0.25">
      <c r="N625" s="10"/>
      <c r="P625" s="60"/>
      <c r="Q625" s="13"/>
      <c r="V625" s="60"/>
      <c r="X625" s="61"/>
      <c r="AB625" s="60"/>
      <c r="AN625" s="54"/>
      <c r="AS625" s="15"/>
      <c r="BH625" s="52"/>
      <c r="BI625" s="21" t="str">
        <f ca="1">IFERROR(VLOOKUP(C625,OFFSET(abbreviation[],0,ColumnLanguage),ColumnAbbreviation,FALSE),"")</f>
        <v/>
      </c>
      <c r="BJ625" s="21" t="str">
        <f ca="1">IFERROR(VLOOKUP(E625,OFFSET(abbreviation[],0,ColumnLanguage),ColumnAbbreviation,FALSE),"")</f>
        <v/>
      </c>
      <c r="BK625" s="21" t="str">
        <f ca="1">IFERROR(VLOOKUP(G625,OFFSET(abbreviation[],0,ColumnLanguage),ColumnAbbreviation,FALSE),"")</f>
        <v/>
      </c>
      <c r="BL625" s="21" t="str">
        <f ca="1">IFERROR(VLOOKUP(I625,OFFSET(abbreviation[],0,ColumnLanguage),ColumnAbbreviation,FALSE),"")</f>
        <v/>
      </c>
      <c r="BM625" s="21" t="str">
        <f ca="1">IFERROR(VLOOKUP(K625,OFFSET(abbreviation[],0,ColumnLanguage),ColumnAbbreviation,FALSE),"")</f>
        <v/>
      </c>
      <c r="BN625" s="21" t="str">
        <f t="shared" ca="1" si="63"/>
        <v/>
      </c>
      <c r="BO625" s="21" t="str">
        <f ca="1">IFERROR(VLOOKUP(N625,OFFSET(abbreviation[],0,ColumnLanguage),ColumnAbbreviation,FALSE),"")</f>
        <v/>
      </c>
      <c r="BP625" s="21" t="str">
        <f ca="1">IFERROR(VLOOKUP(P625,OFFSET(abbreviation[],0,ColumnLanguage),ColumnAbbreviation,FALSE),"")</f>
        <v/>
      </c>
      <c r="BQ625" s="21" t="str">
        <f ca="1">IFERROR(VLOOKUP(T625,OFFSET(abbreviation[],0,ColumnLanguage),ColumnAbbreviation,FALSE),"")</f>
        <v/>
      </c>
      <c r="BR625" s="21" t="str">
        <f ca="1">IFERROR(VLOOKUP(V625,OFFSET(abbreviation[],0,ColumnLanguage),ColumnAbbreviation,FALSE),"")</f>
        <v/>
      </c>
      <c r="BS625" s="21" t="str">
        <f ca="1">IFERROR(VLOOKUP(Z625,OFFSET(abbreviation[],0,ColumnLanguage),ColumnAbbreviation,FALSE),"")</f>
        <v/>
      </c>
      <c r="BT625" s="21" t="str">
        <f ca="1">IFERROR(VLOOKUP(AB625,OFFSET(abbreviation[],0,ColumnLanguage),ColumnAbbreviation,FALSE),"")</f>
        <v/>
      </c>
      <c r="BU625" s="21" t="str">
        <f t="shared" ca="1" si="64"/>
        <v>__</v>
      </c>
      <c r="BV625" s="21" t="str">
        <f ca="1">IFERROR(VLOOKUP(AF625,OFFSET(abbreviation[],0,ColumnLanguage),ColumnAbbreviation,FALSE),"")</f>
        <v/>
      </c>
      <c r="BW625" s="21" t="str">
        <f ca="1">IFERROR(VLOOKUP(AH625,OFFSET(abbreviation[],0,ColumnLanguage),ColumnAbbreviation,FALSE),"")</f>
        <v/>
      </c>
      <c r="BX625" s="21" t="str">
        <f ca="1">IFERROR(VLOOKUP(AJ625,OFFSET(abbreviation[],0,ColumnLanguage),ColumnAbbreviation,FALSE),"")</f>
        <v/>
      </c>
      <c r="BY625" s="21" t="str">
        <f ca="1">IFERROR(VLOOKUP(AL625,OFFSET(abbreviation[],0,ColumnLanguage),ColumnAbbreviation,FALSE),"")</f>
        <v/>
      </c>
      <c r="BZ625" s="21" t="str">
        <f t="shared" ca="1" si="65"/>
        <v>_</v>
      </c>
      <c r="CA625" s="21" t="str">
        <f ca="1">IFERROR(VLOOKUP(AP625,OFFSET(abbreviation[],0,ColumnLanguage),ColumnAbbreviation,FALSE),"")</f>
        <v/>
      </c>
      <c r="CB625" s="21" t="str">
        <f ca="1">IFERROR(VLOOKUP(AR625,OFFSET(abbreviation[],0,ColumnLanguage),ColumnAbbreviation,FALSE),"")</f>
        <v/>
      </c>
      <c r="CC625" s="21" t="str">
        <f ca="1">IFERROR(VLOOKUP(AT625,OFFSET(abbreviation[],0,ColumnLanguage),ColumnAbbreviation,FALSE),"")</f>
        <v/>
      </c>
      <c r="CD625" s="21" t="str">
        <f ca="1">IFERROR(VLOOKUP(AV625,OFFSET(abbreviation[],0,ColumnLanguage),ColumnAbbreviation,FALSE),"")</f>
        <v/>
      </c>
      <c r="CE625" s="21" t="str">
        <f t="shared" ca="1" si="66"/>
        <v>__</v>
      </c>
      <c r="CF625" s="21" t="str">
        <f ca="1">IFERROR(VLOOKUP(AX625,OFFSET(abbreviation[],0,ColumnLanguage),ColumnAbbreviation,FALSE),"")</f>
        <v/>
      </c>
      <c r="CG625" s="21" t="str">
        <f ca="1">IFERROR(VLOOKUP(AZ625,OFFSET(abbreviation[],0,ColumnLanguage),ColumnAbbreviation,FALSE),"")</f>
        <v/>
      </c>
      <c r="CH625" s="21" t="str">
        <f ca="1">IFERROR(VLOOKUP(BB625,OFFSET(abbreviation[],0,ColumnLanguage),ColumnAbbreviation,FALSE),"")</f>
        <v/>
      </c>
      <c r="CI625" s="21" t="str">
        <f ca="1">IFERROR(VLOOKUP(BD625,OFFSET(abbreviation[],0,ColumnLanguage),ColumnAbbreviation,FALSE),"")</f>
        <v/>
      </c>
      <c r="CJ625" s="21" t="str">
        <f ca="1">IFERROR(VLOOKUP(BF625,OFFSET(abbreviation[],0,ColumnLanguage),ColumnAbbreviation,FALSE),"")</f>
        <v/>
      </c>
      <c r="CK625" s="21" t="str">
        <f t="shared" ca="1" si="67"/>
        <v/>
      </c>
      <c r="CL625" s="21" t="str">
        <f t="shared" si="68"/>
        <v/>
      </c>
      <c r="CM625" s="52"/>
      <c r="CN625" s="57" t="str">
        <f t="shared" si="69"/>
        <v/>
      </c>
    </row>
    <row r="626" spans="14:92" x14ac:dyDescent="0.25">
      <c r="P626" s="60"/>
      <c r="Q626" s="13"/>
      <c r="V626" s="60"/>
      <c r="X626" s="61"/>
      <c r="AB626" s="60"/>
      <c r="AN626" s="54"/>
      <c r="AS626" s="15"/>
      <c r="BH626" s="52"/>
      <c r="BI626" s="21" t="str">
        <f ca="1">IFERROR(VLOOKUP(C626,OFFSET(abbreviation[],0,ColumnLanguage),ColumnAbbreviation,FALSE),"")</f>
        <v/>
      </c>
      <c r="BJ626" s="21" t="str">
        <f ca="1">IFERROR(VLOOKUP(E626,OFFSET(abbreviation[],0,ColumnLanguage),ColumnAbbreviation,FALSE),"")</f>
        <v/>
      </c>
      <c r="BK626" s="21" t="str">
        <f ca="1">IFERROR(VLOOKUP(G626,OFFSET(abbreviation[],0,ColumnLanguage),ColumnAbbreviation,FALSE),"")</f>
        <v/>
      </c>
      <c r="BL626" s="21" t="str">
        <f ca="1">IFERROR(VLOOKUP(I626,OFFSET(abbreviation[],0,ColumnLanguage),ColumnAbbreviation,FALSE),"")</f>
        <v/>
      </c>
      <c r="BM626" s="21" t="str">
        <f ca="1">IFERROR(VLOOKUP(K626,OFFSET(abbreviation[],0,ColumnLanguage),ColumnAbbreviation,FALSE),"")</f>
        <v/>
      </c>
      <c r="BN626" s="21" t="str">
        <f t="shared" ca="1" si="63"/>
        <v/>
      </c>
      <c r="BO626" s="21" t="str">
        <f ca="1">IFERROR(VLOOKUP(N626,OFFSET(abbreviation[],0,ColumnLanguage),ColumnAbbreviation,FALSE),"")</f>
        <v/>
      </c>
      <c r="BP626" s="21" t="str">
        <f ca="1">IFERROR(VLOOKUP(P626,OFFSET(abbreviation[],0,ColumnLanguage),ColumnAbbreviation,FALSE),"")</f>
        <v/>
      </c>
      <c r="BQ626" s="21" t="str">
        <f ca="1">IFERROR(VLOOKUP(T626,OFFSET(abbreviation[],0,ColumnLanguage),ColumnAbbreviation,FALSE),"")</f>
        <v/>
      </c>
      <c r="BR626" s="21" t="str">
        <f ca="1">IFERROR(VLOOKUP(V626,OFFSET(abbreviation[],0,ColumnLanguage),ColumnAbbreviation,FALSE),"")</f>
        <v/>
      </c>
      <c r="BS626" s="21" t="str">
        <f ca="1">IFERROR(VLOOKUP(Z626,OFFSET(abbreviation[],0,ColumnLanguage),ColumnAbbreviation,FALSE),"")</f>
        <v/>
      </c>
      <c r="BT626" s="21" t="str">
        <f ca="1">IFERROR(VLOOKUP(AB626,OFFSET(abbreviation[],0,ColumnLanguage),ColumnAbbreviation,FALSE),"")</f>
        <v/>
      </c>
      <c r="BU626" s="21" t="str">
        <f t="shared" ca="1" si="64"/>
        <v>__</v>
      </c>
      <c r="BV626" s="21" t="str">
        <f ca="1">IFERROR(VLOOKUP(AF626,OFFSET(abbreviation[],0,ColumnLanguage),ColumnAbbreviation,FALSE),"")</f>
        <v/>
      </c>
      <c r="BW626" s="21" t="str">
        <f ca="1">IFERROR(VLOOKUP(AH626,OFFSET(abbreviation[],0,ColumnLanguage),ColumnAbbreviation,FALSE),"")</f>
        <v/>
      </c>
      <c r="BX626" s="21" t="str">
        <f ca="1">IFERROR(VLOOKUP(AJ626,OFFSET(abbreviation[],0,ColumnLanguage),ColumnAbbreviation,FALSE),"")</f>
        <v/>
      </c>
      <c r="BY626" s="21" t="str">
        <f ca="1">IFERROR(VLOOKUP(AL626,OFFSET(abbreviation[],0,ColumnLanguage),ColumnAbbreviation,FALSE),"")</f>
        <v/>
      </c>
      <c r="BZ626" s="21" t="str">
        <f t="shared" ca="1" si="65"/>
        <v>_</v>
      </c>
      <c r="CA626" s="21" t="str">
        <f ca="1">IFERROR(VLOOKUP(AP626,OFFSET(abbreviation[],0,ColumnLanguage),ColumnAbbreviation,FALSE),"")</f>
        <v/>
      </c>
      <c r="CB626" s="21" t="str">
        <f ca="1">IFERROR(VLOOKUP(AR626,OFFSET(abbreviation[],0,ColumnLanguage),ColumnAbbreviation,FALSE),"")</f>
        <v/>
      </c>
      <c r="CC626" s="21" t="str">
        <f ca="1">IFERROR(VLOOKUP(AT626,OFFSET(abbreviation[],0,ColumnLanguage),ColumnAbbreviation,FALSE),"")</f>
        <v/>
      </c>
      <c r="CD626" s="21" t="str">
        <f ca="1">IFERROR(VLOOKUP(AV626,OFFSET(abbreviation[],0,ColumnLanguage),ColumnAbbreviation,FALSE),"")</f>
        <v/>
      </c>
      <c r="CE626" s="21" t="str">
        <f t="shared" ca="1" si="66"/>
        <v>__</v>
      </c>
      <c r="CF626" s="21" t="str">
        <f ca="1">IFERROR(VLOOKUP(AX626,OFFSET(abbreviation[],0,ColumnLanguage),ColumnAbbreviation,FALSE),"")</f>
        <v/>
      </c>
      <c r="CG626" s="21" t="str">
        <f ca="1">IFERROR(VLOOKUP(AZ626,OFFSET(abbreviation[],0,ColumnLanguage),ColumnAbbreviation,FALSE),"")</f>
        <v/>
      </c>
      <c r="CH626" s="21" t="str">
        <f ca="1">IFERROR(VLOOKUP(BB626,OFFSET(abbreviation[],0,ColumnLanguage),ColumnAbbreviation,FALSE),"")</f>
        <v/>
      </c>
      <c r="CI626" s="21" t="str">
        <f ca="1">IFERROR(VLOOKUP(BD626,OFFSET(abbreviation[],0,ColumnLanguage),ColumnAbbreviation,FALSE),"")</f>
        <v/>
      </c>
      <c r="CJ626" s="21" t="str">
        <f ca="1">IFERROR(VLOOKUP(BF626,OFFSET(abbreviation[],0,ColumnLanguage),ColumnAbbreviation,FALSE),"")</f>
        <v/>
      </c>
      <c r="CK626" s="21" t="str">
        <f t="shared" ca="1" si="67"/>
        <v/>
      </c>
      <c r="CL626" s="21" t="str">
        <f t="shared" si="68"/>
        <v/>
      </c>
      <c r="CM626" s="52"/>
      <c r="CN626" s="57" t="str">
        <f t="shared" si="69"/>
        <v/>
      </c>
    </row>
    <row r="627" spans="14:92" x14ac:dyDescent="0.25">
      <c r="P627" s="60"/>
      <c r="Q627" s="13"/>
      <c r="V627" s="60"/>
      <c r="X627" s="61"/>
      <c r="AB627" s="60"/>
      <c r="AN627" s="54"/>
      <c r="AS627" s="15"/>
      <c r="BH627" s="52"/>
      <c r="BI627" s="21" t="str">
        <f ca="1">IFERROR(VLOOKUP(C627,OFFSET(abbreviation[],0,ColumnLanguage),ColumnAbbreviation,FALSE),"")</f>
        <v/>
      </c>
      <c r="BJ627" s="21" t="str">
        <f ca="1">IFERROR(VLOOKUP(E627,OFFSET(abbreviation[],0,ColumnLanguage),ColumnAbbreviation,FALSE),"")</f>
        <v/>
      </c>
      <c r="BK627" s="21" t="str">
        <f ca="1">IFERROR(VLOOKUP(G627,OFFSET(abbreviation[],0,ColumnLanguage),ColumnAbbreviation,FALSE),"")</f>
        <v/>
      </c>
      <c r="BL627" s="21" t="str">
        <f ca="1">IFERROR(VLOOKUP(I627,OFFSET(abbreviation[],0,ColumnLanguage),ColumnAbbreviation,FALSE),"")</f>
        <v/>
      </c>
      <c r="BM627" s="21" t="str">
        <f ca="1">IFERROR(VLOOKUP(K627,OFFSET(abbreviation[],0,ColumnLanguage),ColumnAbbreviation,FALSE),"")</f>
        <v/>
      </c>
      <c r="BN627" s="21" t="str">
        <f t="shared" ca="1" si="63"/>
        <v/>
      </c>
      <c r="BO627" s="21" t="str">
        <f ca="1">IFERROR(VLOOKUP(N627,OFFSET(abbreviation[],0,ColumnLanguage),ColumnAbbreviation,FALSE),"")</f>
        <v/>
      </c>
      <c r="BP627" s="21" t="str">
        <f ca="1">IFERROR(VLOOKUP(P627,OFFSET(abbreviation[],0,ColumnLanguage),ColumnAbbreviation,FALSE),"")</f>
        <v/>
      </c>
      <c r="BQ627" s="21" t="str">
        <f ca="1">IFERROR(VLOOKUP(T627,OFFSET(abbreviation[],0,ColumnLanguage),ColumnAbbreviation,FALSE),"")</f>
        <v/>
      </c>
      <c r="BR627" s="21" t="str">
        <f ca="1">IFERROR(VLOOKUP(V627,OFFSET(abbreviation[],0,ColumnLanguage),ColumnAbbreviation,FALSE),"")</f>
        <v/>
      </c>
      <c r="BS627" s="21" t="str">
        <f ca="1">IFERROR(VLOOKUP(Z627,OFFSET(abbreviation[],0,ColumnLanguage),ColumnAbbreviation,FALSE),"")</f>
        <v/>
      </c>
      <c r="BT627" s="21" t="str">
        <f ca="1">IFERROR(VLOOKUP(AB627,OFFSET(abbreviation[],0,ColumnLanguage),ColumnAbbreviation,FALSE),"")</f>
        <v/>
      </c>
      <c r="BU627" s="21" t="str">
        <f t="shared" ca="1" si="64"/>
        <v>__</v>
      </c>
      <c r="BV627" s="21" t="str">
        <f ca="1">IFERROR(VLOOKUP(AF627,OFFSET(abbreviation[],0,ColumnLanguage),ColumnAbbreviation,FALSE),"")</f>
        <v/>
      </c>
      <c r="BW627" s="21" t="str">
        <f ca="1">IFERROR(VLOOKUP(AH627,OFFSET(abbreviation[],0,ColumnLanguage),ColumnAbbreviation,FALSE),"")</f>
        <v/>
      </c>
      <c r="BX627" s="21" t="str">
        <f ca="1">IFERROR(VLOOKUP(AJ627,OFFSET(abbreviation[],0,ColumnLanguage),ColumnAbbreviation,FALSE),"")</f>
        <v/>
      </c>
      <c r="BY627" s="21" t="str">
        <f ca="1">IFERROR(VLOOKUP(AL627,OFFSET(abbreviation[],0,ColumnLanguage),ColumnAbbreviation,FALSE),"")</f>
        <v/>
      </c>
      <c r="BZ627" s="21" t="str">
        <f t="shared" ca="1" si="65"/>
        <v>_</v>
      </c>
      <c r="CA627" s="21" t="str">
        <f ca="1">IFERROR(VLOOKUP(AP627,OFFSET(abbreviation[],0,ColumnLanguage),ColumnAbbreviation,FALSE),"")</f>
        <v/>
      </c>
      <c r="CB627" s="21" t="str">
        <f ca="1">IFERROR(VLOOKUP(AR627,OFFSET(abbreviation[],0,ColumnLanguage),ColumnAbbreviation,FALSE),"")</f>
        <v/>
      </c>
      <c r="CC627" s="21" t="str">
        <f ca="1">IFERROR(VLOOKUP(AT627,OFFSET(abbreviation[],0,ColumnLanguage),ColumnAbbreviation,FALSE),"")</f>
        <v/>
      </c>
      <c r="CD627" s="21" t="str">
        <f ca="1">IFERROR(VLOOKUP(AV627,OFFSET(abbreviation[],0,ColumnLanguage),ColumnAbbreviation,FALSE),"")</f>
        <v/>
      </c>
      <c r="CE627" s="21" t="str">
        <f t="shared" ca="1" si="66"/>
        <v>__</v>
      </c>
      <c r="CF627" s="21" t="str">
        <f ca="1">IFERROR(VLOOKUP(AX627,OFFSET(abbreviation[],0,ColumnLanguage),ColumnAbbreviation,FALSE),"")</f>
        <v/>
      </c>
      <c r="CG627" s="21" t="str">
        <f ca="1">IFERROR(VLOOKUP(AZ627,OFFSET(abbreviation[],0,ColumnLanguage),ColumnAbbreviation,FALSE),"")</f>
        <v/>
      </c>
      <c r="CH627" s="21" t="str">
        <f ca="1">IFERROR(VLOOKUP(BB627,OFFSET(abbreviation[],0,ColumnLanguage),ColumnAbbreviation,FALSE),"")</f>
        <v/>
      </c>
      <c r="CI627" s="21" t="str">
        <f ca="1">IFERROR(VLOOKUP(BD627,OFFSET(abbreviation[],0,ColumnLanguage),ColumnAbbreviation,FALSE),"")</f>
        <v/>
      </c>
      <c r="CJ627" s="21" t="str">
        <f ca="1">IFERROR(VLOOKUP(BF627,OFFSET(abbreviation[],0,ColumnLanguage),ColumnAbbreviation,FALSE),"")</f>
        <v/>
      </c>
      <c r="CK627" s="21" t="str">
        <f t="shared" ca="1" si="67"/>
        <v/>
      </c>
      <c r="CL627" s="21" t="str">
        <f t="shared" si="68"/>
        <v/>
      </c>
      <c r="CM627" s="52"/>
      <c r="CN627" s="57" t="str">
        <f t="shared" si="69"/>
        <v/>
      </c>
    </row>
    <row r="628" spans="14:92" x14ac:dyDescent="0.25">
      <c r="P628" s="60"/>
      <c r="Q628" s="13"/>
      <c r="V628" s="60"/>
      <c r="X628" s="61"/>
      <c r="AB628" s="60"/>
      <c r="AN628" s="54"/>
      <c r="AS628" s="15"/>
      <c r="BH628" s="52"/>
      <c r="BI628" s="21" t="str">
        <f ca="1">IFERROR(VLOOKUP(C628,OFFSET(abbreviation[],0,ColumnLanguage),ColumnAbbreviation,FALSE),"")</f>
        <v/>
      </c>
      <c r="BJ628" s="21" t="str">
        <f ca="1">IFERROR(VLOOKUP(E628,OFFSET(abbreviation[],0,ColumnLanguage),ColumnAbbreviation,FALSE),"")</f>
        <v/>
      </c>
      <c r="BK628" s="21" t="str">
        <f ca="1">IFERROR(VLOOKUP(G628,OFFSET(abbreviation[],0,ColumnLanguage),ColumnAbbreviation,FALSE),"")</f>
        <v/>
      </c>
      <c r="BL628" s="21" t="str">
        <f ca="1">IFERROR(VLOOKUP(I628,OFFSET(abbreviation[],0,ColumnLanguage),ColumnAbbreviation,FALSE),"")</f>
        <v/>
      </c>
      <c r="BM628" s="21" t="str">
        <f ca="1">IFERROR(VLOOKUP(K628,OFFSET(abbreviation[],0,ColumnLanguage),ColumnAbbreviation,FALSE),"")</f>
        <v/>
      </c>
      <c r="BN628" s="21" t="str">
        <f t="shared" ca="1" si="63"/>
        <v/>
      </c>
      <c r="BO628" s="21" t="str">
        <f ca="1">IFERROR(VLOOKUP(N628,OFFSET(abbreviation[],0,ColumnLanguage),ColumnAbbreviation,FALSE),"")</f>
        <v/>
      </c>
      <c r="BP628" s="21" t="str">
        <f ca="1">IFERROR(VLOOKUP(P628,OFFSET(abbreviation[],0,ColumnLanguage),ColumnAbbreviation,FALSE),"")</f>
        <v/>
      </c>
      <c r="BQ628" s="21" t="str">
        <f ca="1">IFERROR(VLOOKUP(T628,OFFSET(abbreviation[],0,ColumnLanguage),ColumnAbbreviation,FALSE),"")</f>
        <v/>
      </c>
      <c r="BR628" s="21" t="str">
        <f ca="1">IFERROR(VLOOKUP(V628,OFFSET(abbreviation[],0,ColumnLanguage),ColumnAbbreviation,FALSE),"")</f>
        <v/>
      </c>
      <c r="BS628" s="21" t="str">
        <f ca="1">IFERROR(VLOOKUP(Z628,OFFSET(abbreviation[],0,ColumnLanguage),ColumnAbbreviation,FALSE),"")</f>
        <v/>
      </c>
      <c r="BT628" s="21" t="str">
        <f ca="1">IFERROR(VLOOKUP(AB628,OFFSET(abbreviation[],0,ColumnLanguage),ColumnAbbreviation,FALSE),"")</f>
        <v/>
      </c>
      <c r="BU628" s="21" t="str">
        <f t="shared" ca="1" si="64"/>
        <v>__</v>
      </c>
      <c r="BV628" s="21" t="str">
        <f ca="1">IFERROR(VLOOKUP(AF628,OFFSET(abbreviation[],0,ColumnLanguage),ColumnAbbreviation,FALSE),"")</f>
        <v/>
      </c>
      <c r="BW628" s="21" t="str">
        <f ca="1">IFERROR(VLOOKUP(AH628,OFFSET(abbreviation[],0,ColumnLanguage),ColumnAbbreviation,FALSE),"")</f>
        <v/>
      </c>
      <c r="BX628" s="21" t="str">
        <f ca="1">IFERROR(VLOOKUP(AJ628,OFFSET(abbreviation[],0,ColumnLanguage),ColumnAbbreviation,FALSE),"")</f>
        <v/>
      </c>
      <c r="BY628" s="21" t="str">
        <f ca="1">IFERROR(VLOOKUP(AL628,OFFSET(abbreviation[],0,ColumnLanguage),ColumnAbbreviation,FALSE),"")</f>
        <v/>
      </c>
      <c r="BZ628" s="21" t="str">
        <f t="shared" ca="1" si="65"/>
        <v>_</v>
      </c>
      <c r="CA628" s="21" t="str">
        <f ca="1">IFERROR(VLOOKUP(AP628,OFFSET(abbreviation[],0,ColumnLanguage),ColumnAbbreviation,FALSE),"")</f>
        <v/>
      </c>
      <c r="CB628" s="21" t="str">
        <f ca="1">IFERROR(VLOOKUP(AR628,OFFSET(abbreviation[],0,ColumnLanguage),ColumnAbbreviation,FALSE),"")</f>
        <v/>
      </c>
      <c r="CC628" s="21" t="str">
        <f ca="1">IFERROR(VLOOKUP(AT628,OFFSET(abbreviation[],0,ColumnLanguage),ColumnAbbreviation,FALSE),"")</f>
        <v/>
      </c>
      <c r="CD628" s="21" t="str">
        <f ca="1">IFERROR(VLOOKUP(AV628,OFFSET(abbreviation[],0,ColumnLanguage),ColumnAbbreviation,FALSE),"")</f>
        <v/>
      </c>
      <c r="CE628" s="21" t="str">
        <f t="shared" ca="1" si="66"/>
        <v>__</v>
      </c>
      <c r="CF628" s="21" t="str">
        <f ca="1">IFERROR(VLOOKUP(AX628,OFFSET(abbreviation[],0,ColumnLanguage),ColumnAbbreviation,FALSE),"")</f>
        <v/>
      </c>
      <c r="CG628" s="21" t="str">
        <f ca="1">IFERROR(VLOOKUP(AZ628,OFFSET(abbreviation[],0,ColumnLanguage),ColumnAbbreviation,FALSE),"")</f>
        <v/>
      </c>
      <c r="CH628" s="21" t="str">
        <f ca="1">IFERROR(VLOOKUP(BB628,OFFSET(abbreviation[],0,ColumnLanguage),ColumnAbbreviation,FALSE),"")</f>
        <v/>
      </c>
      <c r="CI628" s="21" t="str">
        <f ca="1">IFERROR(VLOOKUP(BD628,OFFSET(abbreviation[],0,ColumnLanguage),ColumnAbbreviation,FALSE),"")</f>
        <v/>
      </c>
      <c r="CJ628" s="21" t="str">
        <f ca="1">IFERROR(VLOOKUP(BF628,OFFSET(abbreviation[],0,ColumnLanguage),ColumnAbbreviation,FALSE),"")</f>
        <v/>
      </c>
      <c r="CK628" s="21" t="str">
        <f t="shared" ca="1" si="67"/>
        <v/>
      </c>
      <c r="CL628" s="21" t="str">
        <f t="shared" si="68"/>
        <v/>
      </c>
      <c r="CM628" s="52"/>
      <c r="CN628" s="57" t="str">
        <f t="shared" si="69"/>
        <v/>
      </c>
    </row>
    <row r="629" spans="14:92" x14ac:dyDescent="0.25">
      <c r="P629" s="60"/>
      <c r="Q629" s="13"/>
      <c r="V629" s="60"/>
      <c r="X629" s="61"/>
      <c r="AB629" s="60"/>
      <c r="AN629" s="54"/>
      <c r="AS629" s="15"/>
      <c r="BH629" s="52"/>
      <c r="BI629" s="21" t="str">
        <f ca="1">IFERROR(VLOOKUP(C629,OFFSET(abbreviation[],0,ColumnLanguage),ColumnAbbreviation,FALSE),"")</f>
        <v/>
      </c>
      <c r="BJ629" s="21" t="str">
        <f ca="1">IFERROR(VLOOKUP(E629,OFFSET(abbreviation[],0,ColumnLanguage),ColumnAbbreviation,FALSE),"")</f>
        <v/>
      </c>
      <c r="BK629" s="21" t="str">
        <f ca="1">IFERROR(VLOOKUP(G629,OFFSET(abbreviation[],0,ColumnLanguage),ColumnAbbreviation,FALSE),"")</f>
        <v/>
      </c>
      <c r="BL629" s="21" t="str">
        <f ca="1">IFERROR(VLOOKUP(I629,OFFSET(abbreviation[],0,ColumnLanguage),ColumnAbbreviation,FALSE),"")</f>
        <v/>
      </c>
      <c r="BM629" s="21" t="str">
        <f ca="1">IFERROR(VLOOKUP(K629,OFFSET(abbreviation[],0,ColumnLanguage),ColumnAbbreviation,FALSE),"")</f>
        <v/>
      </c>
      <c r="BN629" s="21" t="str">
        <f t="shared" ca="1" si="63"/>
        <v/>
      </c>
      <c r="BO629" s="21" t="str">
        <f ca="1">IFERROR(VLOOKUP(N629,OFFSET(abbreviation[],0,ColumnLanguage),ColumnAbbreviation,FALSE),"")</f>
        <v/>
      </c>
      <c r="BP629" s="21" t="str">
        <f ca="1">IFERROR(VLOOKUP(P629,OFFSET(abbreviation[],0,ColumnLanguage),ColumnAbbreviation,FALSE),"")</f>
        <v/>
      </c>
      <c r="BQ629" s="21" t="str">
        <f ca="1">IFERROR(VLOOKUP(T629,OFFSET(abbreviation[],0,ColumnLanguage),ColumnAbbreviation,FALSE),"")</f>
        <v/>
      </c>
      <c r="BR629" s="21" t="str">
        <f ca="1">IFERROR(VLOOKUP(V629,OFFSET(abbreviation[],0,ColumnLanguage),ColumnAbbreviation,FALSE),"")</f>
        <v/>
      </c>
      <c r="BS629" s="21" t="str">
        <f ca="1">IFERROR(VLOOKUP(Z629,OFFSET(abbreviation[],0,ColumnLanguage),ColumnAbbreviation,FALSE),"")</f>
        <v/>
      </c>
      <c r="BT629" s="21" t="str">
        <f ca="1">IFERROR(VLOOKUP(AB629,OFFSET(abbreviation[],0,ColumnLanguage),ColumnAbbreviation,FALSE),"")</f>
        <v/>
      </c>
      <c r="BU629" s="21" t="str">
        <f t="shared" ca="1" si="64"/>
        <v>__</v>
      </c>
      <c r="BV629" s="21" t="str">
        <f ca="1">IFERROR(VLOOKUP(AF629,OFFSET(abbreviation[],0,ColumnLanguage),ColumnAbbreviation,FALSE),"")</f>
        <v/>
      </c>
      <c r="BW629" s="21" t="str">
        <f ca="1">IFERROR(VLOOKUP(AH629,OFFSET(abbreviation[],0,ColumnLanguage),ColumnAbbreviation,FALSE),"")</f>
        <v/>
      </c>
      <c r="BX629" s="21" t="str">
        <f ca="1">IFERROR(VLOOKUP(AJ629,OFFSET(abbreviation[],0,ColumnLanguage),ColumnAbbreviation,FALSE),"")</f>
        <v/>
      </c>
      <c r="BY629" s="21" t="str">
        <f ca="1">IFERROR(VLOOKUP(AL629,OFFSET(abbreviation[],0,ColumnLanguage),ColumnAbbreviation,FALSE),"")</f>
        <v/>
      </c>
      <c r="BZ629" s="21" t="str">
        <f t="shared" ca="1" si="65"/>
        <v>_</v>
      </c>
      <c r="CA629" s="21" t="str">
        <f ca="1">IFERROR(VLOOKUP(AP629,OFFSET(abbreviation[],0,ColumnLanguage),ColumnAbbreviation,FALSE),"")</f>
        <v/>
      </c>
      <c r="CB629" s="21" t="str">
        <f ca="1">IFERROR(VLOOKUP(AR629,OFFSET(abbreviation[],0,ColumnLanguage),ColumnAbbreviation,FALSE),"")</f>
        <v/>
      </c>
      <c r="CC629" s="21" t="str">
        <f ca="1">IFERROR(VLOOKUP(AT629,OFFSET(abbreviation[],0,ColumnLanguage),ColumnAbbreviation,FALSE),"")</f>
        <v/>
      </c>
      <c r="CD629" s="21" t="str">
        <f ca="1">IFERROR(VLOOKUP(AV629,OFFSET(abbreviation[],0,ColumnLanguage),ColumnAbbreviation,FALSE),"")</f>
        <v/>
      </c>
      <c r="CE629" s="21" t="str">
        <f t="shared" ca="1" si="66"/>
        <v>__</v>
      </c>
      <c r="CF629" s="21" t="str">
        <f ca="1">IFERROR(VLOOKUP(AX629,OFFSET(abbreviation[],0,ColumnLanguage),ColumnAbbreviation,FALSE),"")</f>
        <v/>
      </c>
      <c r="CG629" s="21" t="str">
        <f ca="1">IFERROR(VLOOKUP(AZ629,OFFSET(abbreviation[],0,ColumnLanguage),ColumnAbbreviation,FALSE),"")</f>
        <v/>
      </c>
      <c r="CH629" s="21" t="str">
        <f ca="1">IFERROR(VLOOKUP(BB629,OFFSET(abbreviation[],0,ColumnLanguage),ColumnAbbreviation,FALSE),"")</f>
        <v/>
      </c>
      <c r="CI629" s="21" t="str">
        <f ca="1">IFERROR(VLOOKUP(BD629,OFFSET(abbreviation[],0,ColumnLanguage),ColumnAbbreviation,FALSE),"")</f>
        <v/>
      </c>
      <c r="CJ629" s="21" t="str">
        <f ca="1">IFERROR(VLOOKUP(BF629,OFFSET(abbreviation[],0,ColumnLanguage),ColumnAbbreviation,FALSE),"")</f>
        <v/>
      </c>
      <c r="CK629" s="21" t="str">
        <f t="shared" ca="1" si="67"/>
        <v/>
      </c>
      <c r="CL629" s="21" t="str">
        <f t="shared" si="68"/>
        <v/>
      </c>
      <c r="CM629" s="52"/>
      <c r="CN629" s="57" t="str">
        <f t="shared" si="69"/>
        <v/>
      </c>
    </row>
    <row r="630" spans="14:92" x14ac:dyDescent="0.25">
      <c r="P630" s="60"/>
      <c r="Q630" s="13"/>
      <c r="V630" s="60"/>
      <c r="X630" s="61"/>
      <c r="AB630" s="60"/>
      <c r="AN630" s="54"/>
      <c r="AS630" s="15"/>
      <c r="BH630" s="52"/>
      <c r="BI630" s="21" t="str">
        <f ca="1">IFERROR(VLOOKUP(C630,OFFSET(abbreviation[],0,ColumnLanguage),ColumnAbbreviation,FALSE),"")</f>
        <v/>
      </c>
      <c r="BJ630" s="21" t="str">
        <f ca="1">IFERROR(VLOOKUP(E630,OFFSET(abbreviation[],0,ColumnLanguage),ColumnAbbreviation,FALSE),"")</f>
        <v/>
      </c>
      <c r="BK630" s="21" t="str">
        <f ca="1">IFERROR(VLOOKUP(G630,OFFSET(abbreviation[],0,ColumnLanguage),ColumnAbbreviation,FALSE),"")</f>
        <v/>
      </c>
      <c r="BL630" s="21" t="str">
        <f ca="1">IFERROR(VLOOKUP(I630,OFFSET(abbreviation[],0,ColumnLanguage),ColumnAbbreviation,FALSE),"")</f>
        <v/>
      </c>
      <c r="BM630" s="21" t="str">
        <f ca="1">IFERROR(VLOOKUP(K630,OFFSET(abbreviation[],0,ColumnLanguage),ColumnAbbreviation,FALSE),"")</f>
        <v/>
      </c>
      <c r="BN630" s="21" t="str">
        <f t="shared" ca="1" si="63"/>
        <v/>
      </c>
      <c r="BO630" s="21" t="str">
        <f ca="1">IFERROR(VLOOKUP(N630,OFFSET(abbreviation[],0,ColumnLanguage),ColumnAbbreviation,FALSE),"")</f>
        <v/>
      </c>
      <c r="BP630" s="21" t="str">
        <f ca="1">IFERROR(VLOOKUP(P630,OFFSET(abbreviation[],0,ColumnLanguage),ColumnAbbreviation,FALSE),"")</f>
        <v/>
      </c>
      <c r="BQ630" s="21" t="str">
        <f ca="1">IFERROR(VLOOKUP(T630,OFFSET(abbreviation[],0,ColumnLanguage),ColumnAbbreviation,FALSE),"")</f>
        <v/>
      </c>
      <c r="BR630" s="21" t="str">
        <f ca="1">IFERROR(VLOOKUP(V630,OFFSET(abbreviation[],0,ColumnLanguage),ColumnAbbreviation,FALSE),"")</f>
        <v/>
      </c>
      <c r="BS630" s="21" t="str">
        <f ca="1">IFERROR(VLOOKUP(Z630,OFFSET(abbreviation[],0,ColumnLanguage),ColumnAbbreviation,FALSE),"")</f>
        <v/>
      </c>
      <c r="BT630" s="21" t="str">
        <f ca="1">IFERROR(VLOOKUP(AB630,OFFSET(abbreviation[],0,ColumnLanguage),ColumnAbbreviation,FALSE),"")</f>
        <v/>
      </c>
      <c r="BU630" s="21" t="str">
        <f t="shared" ca="1" si="64"/>
        <v>__</v>
      </c>
      <c r="BV630" s="21" t="str">
        <f ca="1">IFERROR(VLOOKUP(AF630,OFFSET(abbreviation[],0,ColumnLanguage),ColumnAbbreviation,FALSE),"")</f>
        <v/>
      </c>
      <c r="BW630" s="21" t="str">
        <f ca="1">IFERROR(VLOOKUP(AH630,OFFSET(abbreviation[],0,ColumnLanguage),ColumnAbbreviation,FALSE),"")</f>
        <v/>
      </c>
      <c r="BX630" s="21" t="str">
        <f ca="1">IFERROR(VLOOKUP(AJ630,OFFSET(abbreviation[],0,ColumnLanguage),ColumnAbbreviation,FALSE),"")</f>
        <v/>
      </c>
      <c r="BY630" s="21" t="str">
        <f ca="1">IFERROR(VLOOKUP(AL630,OFFSET(abbreviation[],0,ColumnLanguage),ColumnAbbreviation,FALSE),"")</f>
        <v/>
      </c>
      <c r="BZ630" s="21" t="str">
        <f t="shared" ca="1" si="65"/>
        <v>_</v>
      </c>
      <c r="CA630" s="21" t="str">
        <f ca="1">IFERROR(VLOOKUP(AP630,OFFSET(abbreviation[],0,ColumnLanguage),ColumnAbbreviation,FALSE),"")</f>
        <v/>
      </c>
      <c r="CB630" s="21" t="str">
        <f ca="1">IFERROR(VLOOKUP(AR630,OFFSET(abbreviation[],0,ColumnLanguage),ColumnAbbreviation,FALSE),"")</f>
        <v/>
      </c>
      <c r="CC630" s="21" t="str">
        <f ca="1">IFERROR(VLOOKUP(AT630,OFFSET(abbreviation[],0,ColumnLanguage),ColumnAbbreviation,FALSE),"")</f>
        <v/>
      </c>
      <c r="CD630" s="21" t="str">
        <f ca="1">IFERROR(VLOOKUP(AV630,OFFSET(abbreviation[],0,ColumnLanguage),ColumnAbbreviation,FALSE),"")</f>
        <v/>
      </c>
      <c r="CE630" s="21" t="str">
        <f t="shared" ca="1" si="66"/>
        <v>__</v>
      </c>
      <c r="CF630" s="21" t="str">
        <f ca="1">IFERROR(VLOOKUP(AX630,OFFSET(abbreviation[],0,ColumnLanguage),ColumnAbbreviation,FALSE),"")</f>
        <v/>
      </c>
      <c r="CG630" s="21" t="str">
        <f ca="1">IFERROR(VLOOKUP(AZ630,OFFSET(abbreviation[],0,ColumnLanguage),ColumnAbbreviation,FALSE),"")</f>
        <v/>
      </c>
      <c r="CH630" s="21" t="str">
        <f ca="1">IFERROR(VLOOKUP(BB630,OFFSET(abbreviation[],0,ColumnLanguage),ColumnAbbreviation,FALSE),"")</f>
        <v/>
      </c>
      <c r="CI630" s="21" t="str">
        <f ca="1">IFERROR(VLOOKUP(BD630,OFFSET(abbreviation[],0,ColumnLanguage),ColumnAbbreviation,FALSE),"")</f>
        <v/>
      </c>
      <c r="CJ630" s="21" t="str">
        <f ca="1">IFERROR(VLOOKUP(BF630,OFFSET(abbreviation[],0,ColumnLanguage),ColumnAbbreviation,FALSE),"")</f>
        <v/>
      </c>
      <c r="CK630" s="21" t="str">
        <f t="shared" ca="1" si="67"/>
        <v/>
      </c>
      <c r="CL630" s="21" t="str">
        <f t="shared" si="68"/>
        <v/>
      </c>
      <c r="CM630" s="52"/>
      <c r="CN630" s="57" t="str">
        <f t="shared" si="69"/>
        <v/>
      </c>
    </row>
    <row r="631" spans="14:92" x14ac:dyDescent="0.25">
      <c r="P631" s="60"/>
      <c r="Q631" s="13"/>
      <c r="V631" s="60"/>
      <c r="X631" s="61"/>
      <c r="AB631" s="60"/>
      <c r="AN631" s="54"/>
      <c r="AS631" s="15"/>
      <c r="BH631" s="52"/>
      <c r="BI631" s="21" t="str">
        <f ca="1">IFERROR(VLOOKUP(C631,OFFSET(abbreviation[],0,ColumnLanguage),ColumnAbbreviation,FALSE),"")</f>
        <v/>
      </c>
      <c r="BJ631" s="21" t="str">
        <f ca="1">IFERROR(VLOOKUP(E631,OFFSET(abbreviation[],0,ColumnLanguage),ColumnAbbreviation,FALSE),"")</f>
        <v/>
      </c>
      <c r="BK631" s="21" t="str">
        <f ca="1">IFERROR(VLOOKUP(G631,OFFSET(abbreviation[],0,ColumnLanguage),ColumnAbbreviation,FALSE),"")</f>
        <v/>
      </c>
      <c r="BL631" s="21" t="str">
        <f ca="1">IFERROR(VLOOKUP(I631,OFFSET(abbreviation[],0,ColumnLanguage),ColumnAbbreviation,FALSE),"")</f>
        <v/>
      </c>
      <c r="BM631" s="21" t="str">
        <f ca="1">IFERROR(VLOOKUP(K631,OFFSET(abbreviation[],0,ColumnLanguage),ColumnAbbreviation,FALSE),"")</f>
        <v/>
      </c>
      <c r="BN631" s="21" t="str">
        <f t="shared" ca="1" si="63"/>
        <v/>
      </c>
      <c r="BO631" s="21" t="str">
        <f ca="1">IFERROR(VLOOKUP(N631,OFFSET(abbreviation[],0,ColumnLanguage),ColumnAbbreviation,FALSE),"")</f>
        <v/>
      </c>
      <c r="BP631" s="21" t="str">
        <f ca="1">IFERROR(VLOOKUP(P631,OFFSET(abbreviation[],0,ColumnLanguage),ColumnAbbreviation,FALSE),"")</f>
        <v/>
      </c>
      <c r="BQ631" s="21" t="str">
        <f ca="1">IFERROR(VLOOKUP(T631,OFFSET(abbreviation[],0,ColumnLanguage),ColumnAbbreviation,FALSE),"")</f>
        <v/>
      </c>
      <c r="BR631" s="21" t="str">
        <f ca="1">IFERROR(VLOOKUP(V631,OFFSET(abbreviation[],0,ColumnLanguage),ColumnAbbreviation,FALSE),"")</f>
        <v/>
      </c>
      <c r="BS631" s="21" t="str">
        <f ca="1">IFERROR(VLOOKUP(Z631,OFFSET(abbreviation[],0,ColumnLanguage),ColumnAbbreviation,FALSE),"")</f>
        <v/>
      </c>
      <c r="BT631" s="21" t="str">
        <f ca="1">IFERROR(VLOOKUP(AB631,OFFSET(abbreviation[],0,ColumnLanguage),ColumnAbbreviation,FALSE),"")</f>
        <v/>
      </c>
      <c r="BU631" s="21" t="str">
        <f t="shared" ca="1" si="64"/>
        <v>__</v>
      </c>
      <c r="BV631" s="21" t="str">
        <f ca="1">IFERROR(VLOOKUP(AF631,OFFSET(abbreviation[],0,ColumnLanguage),ColumnAbbreviation,FALSE),"")</f>
        <v/>
      </c>
      <c r="BW631" s="21" t="str">
        <f ca="1">IFERROR(VLOOKUP(AH631,OFFSET(abbreviation[],0,ColumnLanguage),ColumnAbbreviation,FALSE),"")</f>
        <v/>
      </c>
      <c r="BX631" s="21" t="str">
        <f ca="1">IFERROR(VLOOKUP(AJ631,OFFSET(abbreviation[],0,ColumnLanguage),ColumnAbbreviation,FALSE),"")</f>
        <v/>
      </c>
      <c r="BY631" s="21" t="str">
        <f ca="1">IFERROR(VLOOKUP(AL631,OFFSET(abbreviation[],0,ColumnLanguage),ColumnAbbreviation,FALSE),"")</f>
        <v/>
      </c>
      <c r="BZ631" s="21" t="str">
        <f t="shared" ca="1" si="65"/>
        <v>_</v>
      </c>
      <c r="CA631" s="21" t="str">
        <f ca="1">IFERROR(VLOOKUP(AP631,OFFSET(abbreviation[],0,ColumnLanguage),ColumnAbbreviation,FALSE),"")</f>
        <v/>
      </c>
      <c r="CB631" s="21" t="str">
        <f ca="1">IFERROR(VLOOKUP(AR631,OFFSET(abbreviation[],0,ColumnLanguage),ColumnAbbreviation,FALSE),"")</f>
        <v/>
      </c>
      <c r="CC631" s="21" t="str">
        <f ca="1">IFERROR(VLOOKUP(AT631,OFFSET(abbreviation[],0,ColumnLanguage),ColumnAbbreviation,FALSE),"")</f>
        <v/>
      </c>
      <c r="CD631" s="21" t="str">
        <f ca="1">IFERROR(VLOOKUP(AV631,OFFSET(abbreviation[],0,ColumnLanguage),ColumnAbbreviation,FALSE),"")</f>
        <v/>
      </c>
      <c r="CE631" s="21" t="str">
        <f t="shared" ca="1" si="66"/>
        <v>__</v>
      </c>
      <c r="CF631" s="21" t="str">
        <f ca="1">IFERROR(VLOOKUP(AX631,OFFSET(abbreviation[],0,ColumnLanguage),ColumnAbbreviation,FALSE),"")</f>
        <v/>
      </c>
      <c r="CG631" s="21" t="str">
        <f ca="1">IFERROR(VLOOKUP(AZ631,OFFSET(abbreviation[],0,ColumnLanguage),ColumnAbbreviation,FALSE),"")</f>
        <v/>
      </c>
      <c r="CH631" s="21" t="str">
        <f ca="1">IFERROR(VLOOKUP(BB631,OFFSET(abbreviation[],0,ColumnLanguage),ColumnAbbreviation,FALSE),"")</f>
        <v/>
      </c>
      <c r="CI631" s="21" t="str">
        <f ca="1">IFERROR(VLOOKUP(BD631,OFFSET(abbreviation[],0,ColumnLanguage),ColumnAbbreviation,FALSE),"")</f>
        <v/>
      </c>
      <c r="CJ631" s="21" t="str">
        <f ca="1">IFERROR(VLOOKUP(BF631,OFFSET(abbreviation[],0,ColumnLanguage),ColumnAbbreviation,FALSE),"")</f>
        <v/>
      </c>
      <c r="CK631" s="21" t="str">
        <f t="shared" ca="1" si="67"/>
        <v/>
      </c>
      <c r="CL631" s="21" t="str">
        <f t="shared" si="68"/>
        <v/>
      </c>
      <c r="CM631" s="52"/>
      <c r="CN631" s="57" t="str">
        <f t="shared" si="69"/>
        <v/>
      </c>
    </row>
    <row r="632" spans="14:92" x14ac:dyDescent="0.25">
      <c r="P632" s="60"/>
      <c r="Q632" s="13"/>
      <c r="V632" s="60"/>
      <c r="X632" s="61"/>
      <c r="AB632" s="60"/>
      <c r="AN632" s="54"/>
      <c r="AS632" s="15"/>
      <c r="BH632" s="52"/>
      <c r="BI632" s="21" t="str">
        <f ca="1">IFERROR(VLOOKUP(C632,OFFSET(abbreviation[],0,ColumnLanguage),ColumnAbbreviation,FALSE),"")</f>
        <v/>
      </c>
      <c r="BJ632" s="21" t="str">
        <f ca="1">IFERROR(VLOOKUP(E632,OFFSET(abbreviation[],0,ColumnLanguage),ColumnAbbreviation,FALSE),"")</f>
        <v/>
      </c>
      <c r="BK632" s="21" t="str">
        <f ca="1">IFERROR(VLOOKUP(G632,OFFSET(abbreviation[],0,ColumnLanguage),ColumnAbbreviation,FALSE),"")</f>
        <v/>
      </c>
      <c r="BL632" s="21" t="str">
        <f ca="1">IFERROR(VLOOKUP(I632,OFFSET(abbreviation[],0,ColumnLanguage),ColumnAbbreviation,FALSE),"")</f>
        <v/>
      </c>
      <c r="BM632" s="21" t="str">
        <f ca="1">IFERROR(VLOOKUP(K632,OFFSET(abbreviation[],0,ColumnLanguage),ColumnAbbreviation,FALSE),"")</f>
        <v/>
      </c>
      <c r="BN632" s="21" t="str">
        <f t="shared" ca="1" si="63"/>
        <v/>
      </c>
      <c r="BO632" s="21" t="str">
        <f ca="1">IFERROR(VLOOKUP(N632,OFFSET(abbreviation[],0,ColumnLanguage),ColumnAbbreviation,FALSE),"")</f>
        <v/>
      </c>
      <c r="BP632" s="21" t="str">
        <f ca="1">IFERROR(VLOOKUP(P632,OFFSET(abbreviation[],0,ColumnLanguage),ColumnAbbreviation,FALSE),"")</f>
        <v/>
      </c>
      <c r="BQ632" s="21" t="str">
        <f ca="1">IFERROR(VLOOKUP(T632,OFFSET(abbreviation[],0,ColumnLanguage),ColumnAbbreviation,FALSE),"")</f>
        <v/>
      </c>
      <c r="BR632" s="21" t="str">
        <f ca="1">IFERROR(VLOOKUP(V632,OFFSET(abbreviation[],0,ColumnLanguage),ColumnAbbreviation,FALSE),"")</f>
        <v/>
      </c>
      <c r="BS632" s="21" t="str">
        <f ca="1">IFERROR(VLOOKUP(Z632,OFFSET(abbreviation[],0,ColumnLanguage),ColumnAbbreviation,FALSE),"")</f>
        <v/>
      </c>
      <c r="BT632" s="21" t="str">
        <f ca="1">IFERROR(VLOOKUP(AB632,OFFSET(abbreviation[],0,ColumnLanguage),ColumnAbbreviation,FALSE),"")</f>
        <v/>
      </c>
      <c r="BU632" s="21" t="str">
        <f t="shared" ca="1" si="64"/>
        <v>__</v>
      </c>
      <c r="BV632" s="21" t="str">
        <f ca="1">IFERROR(VLOOKUP(AF632,OFFSET(abbreviation[],0,ColumnLanguage),ColumnAbbreviation,FALSE),"")</f>
        <v/>
      </c>
      <c r="BW632" s="21" t="str">
        <f ca="1">IFERROR(VLOOKUP(AH632,OFFSET(abbreviation[],0,ColumnLanguage),ColumnAbbreviation,FALSE),"")</f>
        <v/>
      </c>
      <c r="BX632" s="21" t="str">
        <f ca="1">IFERROR(VLOOKUP(AJ632,OFFSET(abbreviation[],0,ColumnLanguage),ColumnAbbreviation,FALSE),"")</f>
        <v/>
      </c>
      <c r="BY632" s="21" t="str">
        <f ca="1">IFERROR(VLOOKUP(AL632,OFFSET(abbreviation[],0,ColumnLanguage),ColumnAbbreviation,FALSE),"")</f>
        <v/>
      </c>
      <c r="BZ632" s="21" t="str">
        <f t="shared" ca="1" si="65"/>
        <v>_</v>
      </c>
      <c r="CA632" s="21" t="str">
        <f ca="1">IFERROR(VLOOKUP(AP632,OFFSET(abbreviation[],0,ColumnLanguage),ColumnAbbreviation,FALSE),"")</f>
        <v/>
      </c>
      <c r="CB632" s="21" t="str">
        <f ca="1">IFERROR(VLOOKUP(AR632,OFFSET(abbreviation[],0,ColumnLanguage),ColumnAbbreviation,FALSE),"")</f>
        <v/>
      </c>
      <c r="CC632" s="21" t="str">
        <f ca="1">IFERROR(VLOOKUP(AT632,OFFSET(abbreviation[],0,ColumnLanguage),ColumnAbbreviation,FALSE),"")</f>
        <v/>
      </c>
      <c r="CD632" s="21" t="str">
        <f ca="1">IFERROR(VLOOKUP(AV632,OFFSET(abbreviation[],0,ColumnLanguage),ColumnAbbreviation,FALSE),"")</f>
        <v/>
      </c>
      <c r="CE632" s="21" t="str">
        <f t="shared" ca="1" si="66"/>
        <v>__</v>
      </c>
      <c r="CF632" s="21" t="str">
        <f ca="1">IFERROR(VLOOKUP(AX632,OFFSET(abbreviation[],0,ColumnLanguage),ColumnAbbreviation,FALSE),"")</f>
        <v/>
      </c>
      <c r="CG632" s="21" t="str">
        <f ca="1">IFERROR(VLOOKUP(AZ632,OFFSET(abbreviation[],0,ColumnLanguage),ColumnAbbreviation,FALSE),"")</f>
        <v/>
      </c>
      <c r="CH632" s="21" t="str">
        <f ca="1">IFERROR(VLOOKUP(BB632,OFFSET(abbreviation[],0,ColumnLanguage),ColumnAbbreviation,FALSE),"")</f>
        <v/>
      </c>
      <c r="CI632" s="21" t="str">
        <f ca="1">IFERROR(VLOOKUP(BD632,OFFSET(abbreviation[],0,ColumnLanguage),ColumnAbbreviation,FALSE),"")</f>
        <v/>
      </c>
      <c r="CJ632" s="21" t="str">
        <f ca="1">IFERROR(VLOOKUP(BF632,OFFSET(abbreviation[],0,ColumnLanguage),ColumnAbbreviation,FALSE),"")</f>
        <v/>
      </c>
      <c r="CK632" s="21" t="str">
        <f t="shared" ca="1" si="67"/>
        <v/>
      </c>
      <c r="CL632" s="21" t="str">
        <f t="shared" si="68"/>
        <v/>
      </c>
      <c r="CM632" s="52"/>
      <c r="CN632" s="57" t="str">
        <f t="shared" si="69"/>
        <v/>
      </c>
    </row>
    <row r="633" spans="14:92" x14ac:dyDescent="0.25">
      <c r="P633" s="60"/>
      <c r="Q633" s="13"/>
      <c r="V633" s="60"/>
      <c r="X633" s="61"/>
      <c r="AB633" s="60"/>
      <c r="AN633" s="54"/>
      <c r="AS633" s="15"/>
      <c r="BH633" s="52"/>
      <c r="BI633" s="21" t="str">
        <f ca="1">IFERROR(VLOOKUP(C633,OFFSET(abbreviation[],0,ColumnLanguage),ColumnAbbreviation,FALSE),"")</f>
        <v/>
      </c>
      <c r="BJ633" s="21" t="str">
        <f ca="1">IFERROR(VLOOKUP(E633,OFFSET(abbreviation[],0,ColumnLanguage),ColumnAbbreviation,FALSE),"")</f>
        <v/>
      </c>
      <c r="BK633" s="21" t="str">
        <f ca="1">IFERROR(VLOOKUP(G633,OFFSET(abbreviation[],0,ColumnLanguage),ColumnAbbreviation,FALSE),"")</f>
        <v/>
      </c>
      <c r="BL633" s="21" t="str">
        <f ca="1">IFERROR(VLOOKUP(I633,OFFSET(abbreviation[],0,ColumnLanguage),ColumnAbbreviation,FALSE),"")</f>
        <v/>
      </c>
      <c r="BM633" s="21" t="str">
        <f ca="1">IFERROR(VLOOKUP(K633,OFFSET(abbreviation[],0,ColumnLanguage),ColumnAbbreviation,FALSE),"")</f>
        <v/>
      </c>
      <c r="BN633" s="21" t="str">
        <f t="shared" ca="1" si="63"/>
        <v/>
      </c>
      <c r="BO633" s="21" t="str">
        <f ca="1">IFERROR(VLOOKUP(N633,OFFSET(abbreviation[],0,ColumnLanguage),ColumnAbbreviation,FALSE),"")</f>
        <v/>
      </c>
      <c r="BP633" s="21" t="str">
        <f ca="1">IFERROR(VLOOKUP(P633,OFFSET(abbreviation[],0,ColumnLanguage),ColumnAbbreviation,FALSE),"")</f>
        <v/>
      </c>
      <c r="BQ633" s="21" t="str">
        <f ca="1">IFERROR(VLOOKUP(T633,OFFSET(abbreviation[],0,ColumnLanguage),ColumnAbbreviation,FALSE),"")</f>
        <v/>
      </c>
      <c r="BR633" s="21" t="str">
        <f ca="1">IFERROR(VLOOKUP(V633,OFFSET(abbreviation[],0,ColumnLanguage),ColumnAbbreviation,FALSE),"")</f>
        <v/>
      </c>
      <c r="BS633" s="21" t="str">
        <f ca="1">IFERROR(VLOOKUP(Z633,OFFSET(abbreviation[],0,ColumnLanguage),ColumnAbbreviation,FALSE),"")</f>
        <v/>
      </c>
      <c r="BT633" s="21" t="str">
        <f ca="1">IFERROR(VLOOKUP(AB633,OFFSET(abbreviation[],0,ColumnLanguage),ColumnAbbreviation,FALSE),"")</f>
        <v/>
      </c>
      <c r="BU633" s="21" t="str">
        <f t="shared" ca="1" si="64"/>
        <v>__</v>
      </c>
      <c r="BV633" s="21" t="str">
        <f ca="1">IFERROR(VLOOKUP(AF633,OFFSET(abbreviation[],0,ColumnLanguage),ColumnAbbreviation,FALSE),"")</f>
        <v/>
      </c>
      <c r="BW633" s="21" t="str">
        <f ca="1">IFERROR(VLOOKUP(AH633,OFFSET(abbreviation[],0,ColumnLanguage),ColumnAbbreviation,FALSE),"")</f>
        <v/>
      </c>
      <c r="BX633" s="21" t="str">
        <f ca="1">IFERROR(VLOOKUP(AJ633,OFFSET(abbreviation[],0,ColumnLanguage),ColumnAbbreviation,FALSE),"")</f>
        <v/>
      </c>
      <c r="BY633" s="21" t="str">
        <f ca="1">IFERROR(VLOOKUP(AL633,OFFSET(abbreviation[],0,ColumnLanguage),ColumnAbbreviation,FALSE),"")</f>
        <v/>
      </c>
      <c r="BZ633" s="21" t="str">
        <f t="shared" ca="1" si="65"/>
        <v>_</v>
      </c>
      <c r="CA633" s="21" t="str">
        <f ca="1">IFERROR(VLOOKUP(AP633,OFFSET(abbreviation[],0,ColumnLanguage),ColumnAbbreviation,FALSE),"")</f>
        <v/>
      </c>
      <c r="CB633" s="21" t="str">
        <f ca="1">IFERROR(VLOOKUP(AR633,OFFSET(abbreviation[],0,ColumnLanguage),ColumnAbbreviation,FALSE),"")</f>
        <v/>
      </c>
      <c r="CC633" s="21" t="str">
        <f ca="1">IFERROR(VLOOKUP(AT633,OFFSET(abbreviation[],0,ColumnLanguage),ColumnAbbreviation,FALSE),"")</f>
        <v/>
      </c>
      <c r="CD633" s="21" t="str">
        <f ca="1">IFERROR(VLOOKUP(AV633,OFFSET(abbreviation[],0,ColumnLanguage),ColumnAbbreviation,FALSE),"")</f>
        <v/>
      </c>
      <c r="CE633" s="21" t="str">
        <f t="shared" ca="1" si="66"/>
        <v>__</v>
      </c>
      <c r="CF633" s="21" t="str">
        <f ca="1">IFERROR(VLOOKUP(AX633,OFFSET(abbreviation[],0,ColumnLanguage),ColumnAbbreviation,FALSE),"")</f>
        <v/>
      </c>
      <c r="CG633" s="21" t="str">
        <f ca="1">IFERROR(VLOOKUP(AZ633,OFFSET(abbreviation[],0,ColumnLanguage),ColumnAbbreviation,FALSE),"")</f>
        <v/>
      </c>
      <c r="CH633" s="21" t="str">
        <f ca="1">IFERROR(VLOOKUP(BB633,OFFSET(abbreviation[],0,ColumnLanguage),ColumnAbbreviation,FALSE),"")</f>
        <v/>
      </c>
      <c r="CI633" s="21" t="str">
        <f ca="1">IFERROR(VLOOKUP(BD633,OFFSET(abbreviation[],0,ColumnLanguage),ColumnAbbreviation,FALSE),"")</f>
        <v/>
      </c>
      <c r="CJ633" s="21" t="str">
        <f ca="1">IFERROR(VLOOKUP(BF633,OFFSET(abbreviation[],0,ColumnLanguage),ColumnAbbreviation,FALSE),"")</f>
        <v/>
      </c>
      <c r="CK633" s="21" t="str">
        <f t="shared" ca="1" si="67"/>
        <v/>
      </c>
      <c r="CL633" s="21" t="str">
        <f t="shared" si="68"/>
        <v/>
      </c>
      <c r="CM633" s="52"/>
      <c r="CN633" s="57" t="str">
        <f t="shared" si="69"/>
        <v/>
      </c>
    </row>
    <row r="634" spans="14:92" x14ac:dyDescent="0.25">
      <c r="P634" s="60"/>
      <c r="Q634" s="13"/>
      <c r="V634" s="60"/>
      <c r="X634" s="61"/>
      <c r="AB634" s="60"/>
      <c r="AN634" s="54"/>
      <c r="AS634" s="15"/>
      <c r="BH634" s="52"/>
      <c r="BI634" s="21" t="str">
        <f ca="1">IFERROR(VLOOKUP(C634,OFFSET(abbreviation[],0,ColumnLanguage),ColumnAbbreviation,FALSE),"")</f>
        <v/>
      </c>
      <c r="BJ634" s="21" t="str">
        <f ca="1">IFERROR(VLOOKUP(E634,OFFSET(abbreviation[],0,ColumnLanguage),ColumnAbbreviation,FALSE),"")</f>
        <v/>
      </c>
      <c r="BK634" s="21" t="str">
        <f ca="1">IFERROR(VLOOKUP(G634,OFFSET(abbreviation[],0,ColumnLanguage),ColumnAbbreviation,FALSE),"")</f>
        <v/>
      </c>
      <c r="BL634" s="21" t="str">
        <f ca="1">IFERROR(VLOOKUP(I634,OFFSET(abbreviation[],0,ColumnLanguage),ColumnAbbreviation,FALSE),"")</f>
        <v/>
      </c>
      <c r="BM634" s="21" t="str">
        <f ca="1">IFERROR(VLOOKUP(K634,OFFSET(abbreviation[],0,ColumnLanguage),ColumnAbbreviation,FALSE),"")</f>
        <v/>
      </c>
      <c r="BN634" s="21" t="str">
        <f t="shared" ca="1" si="63"/>
        <v/>
      </c>
      <c r="BO634" s="21" t="str">
        <f ca="1">IFERROR(VLOOKUP(N634,OFFSET(abbreviation[],0,ColumnLanguage),ColumnAbbreviation,FALSE),"")</f>
        <v/>
      </c>
      <c r="BP634" s="21" t="str">
        <f ca="1">IFERROR(VLOOKUP(P634,OFFSET(abbreviation[],0,ColumnLanguage),ColumnAbbreviation,FALSE),"")</f>
        <v/>
      </c>
      <c r="BQ634" s="21" t="str">
        <f ca="1">IFERROR(VLOOKUP(T634,OFFSET(abbreviation[],0,ColumnLanguage),ColumnAbbreviation,FALSE),"")</f>
        <v/>
      </c>
      <c r="BR634" s="21" t="str">
        <f ca="1">IFERROR(VLOOKUP(V634,OFFSET(abbreviation[],0,ColumnLanguage),ColumnAbbreviation,FALSE),"")</f>
        <v/>
      </c>
      <c r="BS634" s="21" t="str">
        <f ca="1">IFERROR(VLOOKUP(Z634,OFFSET(abbreviation[],0,ColumnLanguage),ColumnAbbreviation,FALSE),"")</f>
        <v/>
      </c>
      <c r="BT634" s="21" t="str">
        <f ca="1">IFERROR(VLOOKUP(AB634,OFFSET(abbreviation[],0,ColumnLanguage),ColumnAbbreviation,FALSE),"")</f>
        <v/>
      </c>
      <c r="BU634" s="21" t="str">
        <f t="shared" ca="1" si="64"/>
        <v>__</v>
      </c>
      <c r="BV634" s="21" t="str">
        <f ca="1">IFERROR(VLOOKUP(AF634,OFFSET(abbreviation[],0,ColumnLanguage),ColumnAbbreviation,FALSE),"")</f>
        <v/>
      </c>
      <c r="BW634" s="21" t="str">
        <f ca="1">IFERROR(VLOOKUP(AH634,OFFSET(abbreviation[],0,ColumnLanguage),ColumnAbbreviation,FALSE),"")</f>
        <v/>
      </c>
      <c r="BX634" s="21" t="str">
        <f ca="1">IFERROR(VLOOKUP(AJ634,OFFSET(abbreviation[],0,ColumnLanguage),ColumnAbbreviation,FALSE),"")</f>
        <v/>
      </c>
      <c r="BY634" s="21" t="str">
        <f ca="1">IFERROR(VLOOKUP(AL634,OFFSET(abbreviation[],0,ColumnLanguage),ColumnAbbreviation,FALSE),"")</f>
        <v/>
      </c>
      <c r="BZ634" s="21" t="str">
        <f t="shared" ca="1" si="65"/>
        <v>_</v>
      </c>
      <c r="CA634" s="21" t="str">
        <f ca="1">IFERROR(VLOOKUP(AP634,OFFSET(abbreviation[],0,ColumnLanguage),ColumnAbbreviation,FALSE),"")</f>
        <v/>
      </c>
      <c r="CB634" s="21" t="str">
        <f ca="1">IFERROR(VLOOKUP(AR634,OFFSET(abbreviation[],0,ColumnLanguage),ColumnAbbreviation,FALSE),"")</f>
        <v/>
      </c>
      <c r="CC634" s="21" t="str">
        <f ca="1">IFERROR(VLOOKUP(AT634,OFFSET(abbreviation[],0,ColumnLanguage),ColumnAbbreviation,FALSE),"")</f>
        <v/>
      </c>
      <c r="CD634" s="21" t="str">
        <f ca="1">IFERROR(VLOOKUP(AV634,OFFSET(abbreviation[],0,ColumnLanguage),ColumnAbbreviation,FALSE),"")</f>
        <v/>
      </c>
      <c r="CE634" s="21" t="str">
        <f t="shared" ca="1" si="66"/>
        <v>__</v>
      </c>
      <c r="CF634" s="21" t="str">
        <f ca="1">IFERROR(VLOOKUP(AX634,OFFSET(abbreviation[],0,ColumnLanguage),ColumnAbbreviation,FALSE),"")</f>
        <v/>
      </c>
      <c r="CG634" s="21" t="str">
        <f ca="1">IFERROR(VLOOKUP(AZ634,OFFSET(abbreviation[],0,ColumnLanguage),ColumnAbbreviation,FALSE),"")</f>
        <v/>
      </c>
      <c r="CH634" s="21" t="str">
        <f ca="1">IFERROR(VLOOKUP(BB634,OFFSET(abbreviation[],0,ColumnLanguage),ColumnAbbreviation,FALSE),"")</f>
        <v/>
      </c>
      <c r="CI634" s="21" t="str">
        <f ca="1">IFERROR(VLOOKUP(BD634,OFFSET(abbreviation[],0,ColumnLanguage),ColumnAbbreviation,FALSE),"")</f>
        <v/>
      </c>
      <c r="CJ634" s="21" t="str">
        <f ca="1">IFERROR(VLOOKUP(BF634,OFFSET(abbreviation[],0,ColumnLanguage),ColumnAbbreviation,FALSE),"")</f>
        <v/>
      </c>
      <c r="CK634" s="21" t="str">
        <f t="shared" ca="1" si="67"/>
        <v/>
      </c>
      <c r="CL634" s="21" t="str">
        <f t="shared" si="68"/>
        <v/>
      </c>
      <c r="CM634" s="52"/>
      <c r="CN634" s="57" t="str">
        <f t="shared" si="69"/>
        <v/>
      </c>
    </row>
    <row r="635" spans="14:92" x14ac:dyDescent="0.25">
      <c r="P635" s="60"/>
      <c r="Q635" s="13"/>
      <c r="V635" s="60"/>
      <c r="X635" s="61"/>
      <c r="AB635" s="60"/>
      <c r="AN635" s="54"/>
      <c r="AS635" s="15"/>
      <c r="BH635" s="52"/>
      <c r="BI635" s="21" t="str">
        <f ca="1">IFERROR(VLOOKUP(C635,OFFSET(abbreviation[],0,ColumnLanguage),ColumnAbbreviation,FALSE),"")</f>
        <v/>
      </c>
      <c r="BJ635" s="21" t="str">
        <f ca="1">IFERROR(VLOOKUP(E635,OFFSET(abbreviation[],0,ColumnLanguage),ColumnAbbreviation,FALSE),"")</f>
        <v/>
      </c>
      <c r="BK635" s="21" t="str">
        <f ca="1">IFERROR(VLOOKUP(G635,OFFSET(abbreviation[],0,ColumnLanguage),ColumnAbbreviation,FALSE),"")</f>
        <v/>
      </c>
      <c r="BL635" s="21" t="str">
        <f ca="1">IFERROR(VLOOKUP(I635,OFFSET(abbreviation[],0,ColumnLanguage),ColumnAbbreviation,FALSE),"")</f>
        <v/>
      </c>
      <c r="BM635" s="21" t="str">
        <f ca="1">IFERROR(VLOOKUP(K635,OFFSET(abbreviation[],0,ColumnLanguage),ColumnAbbreviation,FALSE),"")</f>
        <v/>
      </c>
      <c r="BN635" s="21" t="str">
        <f t="shared" ca="1" si="63"/>
        <v/>
      </c>
      <c r="BO635" s="21" t="str">
        <f ca="1">IFERROR(VLOOKUP(N635,OFFSET(abbreviation[],0,ColumnLanguage),ColumnAbbreviation,FALSE),"")</f>
        <v/>
      </c>
      <c r="BP635" s="21" t="str">
        <f ca="1">IFERROR(VLOOKUP(P635,OFFSET(abbreviation[],0,ColumnLanguage),ColumnAbbreviation,FALSE),"")</f>
        <v/>
      </c>
      <c r="BQ635" s="21" t="str">
        <f ca="1">IFERROR(VLOOKUP(T635,OFFSET(abbreviation[],0,ColumnLanguage),ColumnAbbreviation,FALSE),"")</f>
        <v/>
      </c>
      <c r="BR635" s="21" t="str">
        <f ca="1">IFERROR(VLOOKUP(V635,OFFSET(abbreviation[],0,ColumnLanguage),ColumnAbbreviation,FALSE),"")</f>
        <v/>
      </c>
      <c r="BS635" s="21" t="str">
        <f ca="1">IFERROR(VLOOKUP(Z635,OFFSET(abbreviation[],0,ColumnLanguage),ColumnAbbreviation,FALSE),"")</f>
        <v/>
      </c>
      <c r="BT635" s="21" t="str">
        <f ca="1">IFERROR(VLOOKUP(AB635,OFFSET(abbreviation[],0,ColumnLanguage),ColumnAbbreviation,FALSE),"")</f>
        <v/>
      </c>
      <c r="BU635" s="21" t="str">
        <f t="shared" ca="1" si="64"/>
        <v>__</v>
      </c>
      <c r="BV635" s="21" t="str">
        <f ca="1">IFERROR(VLOOKUP(AF635,OFFSET(abbreviation[],0,ColumnLanguage),ColumnAbbreviation,FALSE),"")</f>
        <v/>
      </c>
      <c r="BW635" s="21" t="str">
        <f ca="1">IFERROR(VLOOKUP(AH635,OFFSET(abbreviation[],0,ColumnLanguage),ColumnAbbreviation,FALSE),"")</f>
        <v/>
      </c>
      <c r="BX635" s="21" t="str">
        <f ca="1">IFERROR(VLOOKUP(AJ635,OFFSET(abbreviation[],0,ColumnLanguage),ColumnAbbreviation,FALSE),"")</f>
        <v/>
      </c>
      <c r="BY635" s="21" t="str">
        <f ca="1">IFERROR(VLOOKUP(AL635,OFFSET(abbreviation[],0,ColumnLanguage),ColumnAbbreviation,FALSE),"")</f>
        <v/>
      </c>
      <c r="BZ635" s="21" t="str">
        <f t="shared" ca="1" si="65"/>
        <v>_</v>
      </c>
      <c r="CA635" s="21" t="str">
        <f ca="1">IFERROR(VLOOKUP(AP635,OFFSET(abbreviation[],0,ColumnLanguage),ColumnAbbreviation,FALSE),"")</f>
        <v/>
      </c>
      <c r="CB635" s="21" t="str">
        <f ca="1">IFERROR(VLOOKUP(AR635,OFFSET(abbreviation[],0,ColumnLanguage),ColumnAbbreviation,FALSE),"")</f>
        <v/>
      </c>
      <c r="CC635" s="21" t="str">
        <f ca="1">IFERROR(VLOOKUP(AT635,OFFSET(abbreviation[],0,ColumnLanguage),ColumnAbbreviation,FALSE),"")</f>
        <v/>
      </c>
      <c r="CD635" s="21" t="str">
        <f ca="1">IFERROR(VLOOKUP(AV635,OFFSET(abbreviation[],0,ColumnLanguage),ColumnAbbreviation,FALSE),"")</f>
        <v/>
      </c>
      <c r="CE635" s="21" t="str">
        <f t="shared" ca="1" si="66"/>
        <v>__</v>
      </c>
      <c r="CF635" s="21" t="str">
        <f ca="1">IFERROR(VLOOKUP(AX635,OFFSET(abbreviation[],0,ColumnLanguage),ColumnAbbreviation,FALSE),"")</f>
        <v/>
      </c>
      <c r="CG635" s="21" t="str">
        <f ca="1">IFERROR(VLOOKUP(AZ635,OFFSET(abbreviation[],0,ColumnLanguage),ColumnAbbreviation,FALSE),"")</f>
        <v/>
      </c>
      <c r="CH635" s="21" t="str">
        <f ca="1">IFERROR(VLOOKUP(BB635,OFFSET(abbreviation[],0,ColumnLanguage),ColumnAbbreviation,FALSE),"")</f>
        <v/>
      </c>
      <c r="CI635" s="21" t="str">
        <f ca="1">IFERROR(VLOOKUP(BD635,OFFSET(abbreviation[],0,ColumnLanguage),ColumnAbbreviation,FALSE),"")</f>
        <v/>
      </c>
      <c r="CJ635" s="21" t="str">
        <f ca="1">IFERROR(VLOOKUP(BF635,OFFSET(abbreviation[],0,ColumnLanguage),ColumnAbbreviation,FALSE),"")</f>
        <v/>
      </c>
      <c r="CK635" s="21" t="str">
        <f t="shared" ca="1" si="67"/>
        <v/>
      </c>
      <c r="CL635" s="21" t="str">
        <f t="shared" si="68"/>
        <v/>
      </c>
      <c r="CM635" s="52"/>
      <c r="CN635" s="57" t="str">
        <f t="shared" si="69"/>
        <v/>
      </c>
    </row>
    <row r="636" spans="14:92" x14ac:dyDescent="0.25">
      <c r="P636" s="60"/>
      <c r="Q636" s="13"/>
      <c r="V636" s="60"/>
      <c r="X636" s="61"/>
      <c r="AB636" s="60"/>
      <c r="AN636" s="54"/>
      <c r="AS636" s="15"/>
      <c r="BH636" s="52"/>
      <c r="BI636" s="21" t="str">
        <f ca="1">IFERROR(VLOOKUP(C636,OFFSET(abbreviation[],0,ColumnLanguage),ColumnAbbreviation,FALSE),"")</f>
        <v/>
      </c>
      <c r="BJ636" s="21" t="str">
        <f ca="1">IFERROR(VLOOKUP(E636,OFFSET(abbreviation[],0,ColumnLanguage),ColumnAbbreviation,FALSE),"")</f>
        <v/>
      </c>
      <c r="BK636" s="21" t="str">
        <f ca="1">IFERROR(VLOOKUP(G636,OFFSET(abbreviation[],0,ColumnLanguage),ColumnAbbreviation,FALSE),"")</f>
        <v/>
      </c>
      <c r="BL636" s="21" t="str">
        <f ca="1">IFERROR(VLOOKUP(I636,OFFSET(abbreviation[],0,ColumnLanguage),ColumnAbbreviation,FALSE),"")</f>
        <v/>
      </c>
      <c r="BM636" s="21" t="str">
        <f ca="1">IFERROR(VLOOKUP(K636,OFFSET(abbreviation[],0,ColumnLanguage),ColumnAbbreviation,FALSE),"")</f>
        <v/>
      </c>
      <c r="BN636" s="21" t="str">
        <f t="shared" ca="1" si="63"/>
        <v/>
      </c>
      <c r="BO636" s="21" t="str">
        <f ca="1">IFERROR(VLOOKUP(N636,OFFSET(abbreviation[],0,ColumnLanguage),ColumnAbbreviation,FALSE),"")</f>
        <v/>
      </c>
      <c r="BP636" s="21" t="str">
        <f ca="1">IFERROR(VLOOKUP(P636,OFFSET(abbreviation[],0,ColumnLanguage),ColumnAbbreviation,FALSE),"")</f>
        <v/>
      </c>
      <c r="BQ636" s="21" t="str">
        <f ca="1">IFERROR(VLOOKUP(T636,OFFSET(abbreviation[],0,ColumnLanguage),ColumnAbbreviation,FALSE),"")</f>
        <v/>
      </c>
      <c r="BR636" s="21" t="str">
        <f ca="1">IFERROR(VLOOKUP(V636,OFFSET(abbreviation[],0,ColumnLanguage),ColumnAbbreviation,FALSE),"")</f>
        <v/>
      </c>
      <c r="BS636" s="21" t="str">
        <f ca="1">IFERROR(VLOOKUP(Z636,OFFSET(abbreviation[],0,ColumnLanguage),ColumnAbbreviation,FALSE),"")</f>
        <v/>
      </c>
      <c r="BT636" s="21" t="str">
        <f ca="1">IFERROR(VLOOKUP(AB636,OFFSET(abbreviation[],0,ColumnLanguage),ColumnAbbreviation,FALSE),"")</f>
        <v/>
      </c>
      <c r="BU636" s="21" t="str">
        <f t="shared" ca="1" si="64"/>
        <v>__</v>
      </c>
      <c r="BV636" s="21" t="str">
        <f ca="1">IFERROR(VLOOKUP(AF636,OFFSET(abbreviation[],0,ColumnLanguage),ColumnAbbreviation,FALSE),"")</f>
        <v/>
      </c>
      <c r="BW636" s="21" t="str">
        <f ca="1">IFERROR(VLOOKUP(AH636,OFFSET(abbreviation[],0,ColumnLanguage),ColumnAbbreviation,FALSE),"")</f>
        <v/>
      </c>
      <c r="BX636" s="21" t="str">
        <f ca="1">IFERROR(VLOOKUP(AJ636,OFFSET(abbreviation[],0,ColumnLanguage),ColumnAbbreviation,FALSE),"")</f>
        <v/>
      </c>
      <c r="BY636" s="21" t="str">
        <f ca="1">IFERROR(VLOOKUP(AL636,OFFSET(abbreviation[],0,ColumnLanguage),ColumnAbbreviation,FALSE),"")</f>
        <v/>
      </c>
      <c r="BZ636" s="21" t="str">
        <f t="shared" ca="1" si="65"/>
        <v>_</v>
      </c>
      <c r="CA636" s="21" t="str">
        <f ca="1">IFERROR(VLOOKUP(AP636,OFFSET(abbreviation[],0,ColumnLanguage),ColumnAbbreviation,FALSE),"")</f>
        <v/>
      </c>
      <c r="CB636" s="21" t="str">
        <f ca="1">IFERROR(VLOOKUP(AR636,OFFSET(abbreviation[],0,ColumnLanguage),ColumnAbbreviation,FALSE),"")</f>
        <v/>
      </c>
      <c r="CC636" s="21" t="str">
        <f ca="1">IFERROR(VLOOKUP(AT636,OFFSET(abbreviation[],0,ColumnLanguage),ColumnAbbreviation,FALSE),"")</f>
        <v/>
      </c>
      <c r="CD636" s="21" t="str">
        <f ca="1">IFERROR(VLOOKUP(AV636,OFFSET(abbreviation[],0,ColumnLanguage),ColumnAbbreviation,FALSE),"")</f>
        <v/>
      </c>
      <c r="CE636" s="21" t="str">
        <f t="shared" ca="1" si="66"/>
        <v>__</v>
      </c>
      <c r="CF636" s="21" t="str">
        <f ca="1">IFERROR(VLOOKUP(AX636,OFFSET(abbreviation[],0,ColumnLanguage),ColumnAbbreviation,FALSE),"")</f>
        <v/>
      </c>
      <c r="CG636" s="21" t="str">
        <f ca="1">IFERROR(VLOOKUP(AZ636,OFFSET(abbreviation[],0,ColumnLanguage),ColumnAbbreviation,FALSE),"")</f>
        <v/>
      </c>
      <c r="CH636" s="21" t="str">
        <f ca="1">IFERROR(VLOOKUP(BB636,OFFSET(abbreviation[],0,ColumnLanguage),ColumnAbbreviation,FALSE),"")</f>
        <v/>
      </c>
      <c r="CI636" s="21" t="str">
        <f ca="1">IFERROR(VLOOKUP(BD636,OFFSET(abbreviation[],0,ColumnLanguage),ColumnAbbreviation,FALSE),"")</f>
        <v/>
      </c>
      <c r="CJ636" s="21" t="str">
        <f ca="1">IFERROR(VLOOKUP(BF636,OFFSET(abbreviation[],0,ColumnLanguage),ColumnAbbreviation,FALSE),"")</f>
        <v/>
      </c>
      <c r="CK636" s="21" t="str">
        <f t="shared" ca="1" si="67"/>
        <v/>
      </c>
      <c r="CL636" s="21" t="str">
        <f t="shared" si="68"/>
        <v/>
      </c>
      <c r="CM636" s="52"/>
      <c r="CN636" s="57" t="str">
        <f t="shared" si="69"/>
        <v/>
      </c>
    </row>
    <row r="637" spans="14:92" x14ac:dyDescent="0.25">
      <c r="P637" s="60"/>
      <c r="Q637" s="13"/>
      <c r="V637" s="60"/>
      <c r="X637" s="61"/>
      <c r="AB637" s="60"/>
      <c r="AN637" s="54"/>
      <c r="AS637" s="15"/>
      <c r="BH637" s="52"/>
      <c r="BI637" s="21" t="str">
        <f ca="1">IFERROR(VLOOKUP(C637,OFFSET(abbreviation[],0,ColumnLanguage),ColumnAbbreviation,FALSE),"")</f>
        <v/>
      </c>
      <c r="BJ637" s="21" t="str">
        <f ca="1">IFERROR(VLOOKUP(E637,OFFSET(abbreviation[],0,ColumnLanguage),ColumnAbbreviation,FALSE),"")</f>
        <v/>
      </c>
      <c r="BK637" s="21" t="str">
        <f ca="1">IFERROR(VLOOKUP(G637,OFFSET(abbreviation[],0,ColumnLanguage),ColumnAbbreviation,FALSE),"")</f>
        <v/>
      </c>
      <c r="BL637" s="21" t="str">
        <f ca="1">IFERROR(VLOOKUP(I637,OFFSET(abbreviation[],0,ColumnLanguage),ColumnAbbreviation,FALSE),"")</f>
        <v/>
      </c>
      <c r="BM637" s="21" t="str">
        <f ca="1">IFERROR(VLOOKUP(K637,OFFSET(abbreviation[],0,ColumnLanguage),ColumnAbbreviation,FALSE),"")</f>
        <v/>
      </c>
      <c r="BN637" s="21" t="str">
        <f t="shared" ca="1" si="63"/>
        <v/>
      </c>
      <c r="BO637" s="21" t="str">
        <f ca="1">IFERROR(VLOOKUP(N637,OFFSET(abbreviation[],0,ColumnLanguage),ColumnAbbreviation,FALSE),"")</f>
        <v/>
      </c>
      <c r="BP637" s="21" t="str">
        <f ca="1">IFERROR(VLOOKUP(P637,OFFSET(abbreviation[],0,ColumnLanguage),ColumnAbbreviation,FALSE),"")</f>
        <v/>
      </c>
      <c r="BQ637" s="21" t="str">
        <f ca="1">IFERROR(VLOOKUP(T637,OFFSET(abbreviation[],0,ColumnLanguage),ColumnAbbreviation,FALSE),"")</f>
        <v/>
      </c>
      <c r="BR637" s="21" t="str">
        <f ca="1">IFERROR(VLOOKUP(V637,OFFSET(abbreviation[],0,ColumnLanguage),ColumnAbbreviation,FALSE),"")</f>
        <v/>
      </c>
      <c r="BS637" s="21" t="str">
        <f ca="1">IFERROR(VLOOKUP(Z637,OFFSET(abbreviation[],0,ColumnLanguage),ColumnAbbreviation,FALSE),"")</f>
        <v/>
      </c>
      <c r="BT637" s="21" t="str">
        <f ca="1">IFERROR(VLOOKUP(AB637,OFFSET(abbreviation[],0,ColumnLanguage),ColumnAbbreviation,FALSE),"")</f>
        <v/>
      </c>
      <c r="BU637" s="21" t="str">
        <f t="shared" ca="1" si="64"/>
        <v>__</v>
      </c>
      <c r="BV637" s="21" t="str">
        <f ca="1">IFERROR(VLOOKUP(AF637,OFFSET(abbreviation[],0,ColumnLanguage),ColumnAbbreviation,FALSE),"")</f>
        <v/>
      </c>
      <c r="BW637" s="21" t="str">
        <f ca="1">IFERROR(VLOOKUP(AH637,OFFSET(abbreviation[],0,ColumnLanguage),ColumnAbbreviation,FALSE),"")</f>
        <v/>
      </c>
      <c r="BX637" s="21" t="str">
        <f ca="1">IFERROR(VLOOKUP(AJ637,OFFSET(abbreviation[],0,ColumnLanguage),ColumnAbbreviation,FALSE),"")</f>
        <v/>
      </c>
      <c r="BY637" s="21" t="str">
        <f ca="1">IFERROR(VLOOKUP(AL637,OFFSET(abbreviation[],0,ColumnLanguage),ColumnAbbreviation,FALSE),"")</f>
        <v/>
      </c>
      <c r="BZ637" s="21" t="str">
        <f t="shared" ca="1" si="65"/>
        <v>_</v>
      </c>
      <c r="CA637" s="21" t="str">
        <f ca="1">IFERROR(VLOOKUP(AP637,OFFSET(abbreviation[],0,ColumnLanguage),ColumnAbbreviation,FALSE),"")</f>
        <v/>
      </c>
      <c r="CB637" s="21" t="str">
        <f ca="1">IFERROR(VLOOKUP(AR637,OFFSET(abbreviation[],0,ColumnLanguage),ColumnAbbreviation,FALSE),"")</f>
        <v/>
      </c>
      <c r="CC637" s="21" t="str">
        <f ca="1">IFERROR(VLOOKUP(AT637,OFFSET(abbreviation[],0,ColumnLanguage),ColumnAbbreviation,FALSE),"")</f>
        <v/>
      </c>
      <c r="CD637" s="21" t="str">
        <f ca="1">IFERROR(VLOOKUP(AV637,OFFSET(abbreviation[],0,ColumnLanguage),ColumnAbbreviation,FALSE),"")</f>
        <v/>
      </c>
      <c r="CE637" s="21" t="str">
        <f t="shared" ca="1" si="66"/>
        <v>__</v>
      </c>
      <c r="CF637" s="21" t="str">
        <f ca="1">IFERROR(VLOOKUP(AX637,OFFSET(abbreviation[],0,ColumnLanguage),ColumnAbbreviation,FALSE),"")</f>
        <v/>
      </c>
      <c r="CG637" s="21" t="str">
        <f ca="1">IFERROR(VLOOKUP(AZ637,OFFSET(abbreviation[],0,ColumnLanguage),ColumnAbbreviation,FALSE),"")</f>
        <v/>
      </c>
      <c r="CH637" s="21" t="str">
        <f ca="1">IFERROR(VLOOKUP(BB637,OFFSET(abbreviation[],0,ColumnLanguage),ColumnAbbreviation,FALSE),"")</f>
        <v/>
      </c>
      <c r="CI637" s="21" t="str">
        <f ca="1">IFERROR(VLOOKUP(BD637,OFFSET(abbreviation[],0,ColumnLanguage),ColumnAbbreviation,FALSE),"")</f>
        <v/>
      </c>
      <c r="CJ637" s="21" t="str">
        <f ca="1">IFERROR(VLOOKUP(BF637,OFFSET(abbreviation[],0,ColumnLanguage),ColumnAbbreviation,FALSE),"")</f>
        <v/>
      </c>
      <c r="CK637" s="21" t="str">
        <f t="shared" ca="1" si="67"/>
        <v/>
      </c>
      <c r="CL637" s="21" t="str">
        <f t="shared" si="68"/>
        <v/>
      </c>
      <c r="CM637" s="52"/>
      <c r="CN637" s="57" t="str">
        <f t="shared" si="69"/>
        <v/>
      </c>
    </row>
    <row r="638" spans="14:92" x14ac:dyDescent="0.25">
      <c r="P638" s="60"/>
      <c r="Q638" s="13"/>
      <c r="V638" s="60"/>
      <c r="X638" s="61"/>
      <c r="AB638" s="60"/>
      <c r="AN638" s="54"/>
      <c r="AS638" s="15"/>
      <c r="BH638" s="52"/>
      <c r="BI638" s="21" t="str">
        <f ca="1">IFERROR(VLOOKUP(C638,OFFSET(abbreviation[],0,ColumnLanguage),ColumnAbbreviation,FALSE),"")</f>
        <v/>
      </c>
      <c r="BJ638" s="21" t="str">
        <f ca="1">IFERROR(VLOOKUP(E638,OFFSET(abbreviation[],0,ColumnLanguage),ColumnAbbreviation,FALSE),"")</f>
        <v/>
      </c>
      <c r="BK638" s="21" t="str">
        <f ca="1">IFERROR(VLOOKUP(G638,OFFSET(abbreviation[],0,ColumnLanguage),ColumnAbbreviation,FALSE),"")</f>
        <v/>
      </c>
      <c r="BL638" s="21" t="str">
        <f ca="1">IFERROR(VLOOKUP(I638,OFFSET(abbreviation[],0,ColumnLanguage),ColumnAbbreviation,FALSE),"")</f>
        <v/>
      </c>
      <c r="BM638" s="21" t="str">
        <f ca="1">IFERROR(VLOOKUP(K638,OFFSET(abbreviation[],0,ColumnLanguage),ColumnAbbreviation,FALSE),"")</f>
        <v/>
      </c>
      <c r="BN638" s="21" t="str">
        <f t="shared" ca="1" si="63"/>
        <v/>
      </c>
      <c r="BO638" s="21" t="str">
        <f ca="1">IFERROR(VLOOKUP(N638,OFFSET(abbreviation[],0,ColumnLanguage),ColumnAbbreviation,FALSE),"")</f>
        <v/>
      </c>
      <c r="BP638" s="21" t="str">
        <f ca="1">IFERROR(VLOOKUP(P638,OFFSET(abbreviation[],0,ColumnLanguage),ColumnAbbreviation,FALSE),"")</f>
        <v/>
      </c>
      <c r="BQ638" s="21" t="str">
        <f ca="1">IFERROR(VLOOKUP(T638,OFFSET(abbreviation[],0,ColumnLanguage),ColumnAbbreviation,FALSE),"")</f>
        <v/>
      </c>
      <c r="BR638" s="21" t="str">
        <f ca="1">IFERROR(VLOOKUP(V638,OFFSET(abbreviation[],0,ColumnLanguage),ColumnAbbreviation,FALSE),"")</f>
        <v/>
      </c>
      <c r="BS638" s="21" t="str">
        <f ca="1">IFERROR(VLOOKUP(Z638,OFFSET(abbreviation[],0,ColumnLanguage),ColumnAbbreviation,FALSE),"")</f>
        <v/>
      </c>
      <c r="BT638" s="21" t="str">
        <f ca="1">IFERROR(VLOOKUP(AB638,OFFSET(abbreviation[],0,ColumnLanguage),ColumnAbbreviation,FALSE),"")</f>
        <v/>
      </c>
      <c r="BU638" s="21" t="str">
        <f t="shared" ca="1" si="64"/>
        <v>__</v>
      </c>
      <c r="BV638" s="21" t="str">
        <f ca="1">IFERROR(VLOOKUP(AF638,OFFSET(abbreviation[],0,ColumnLanguage),ColumnAbbreviation,FALSE),"")</f>
        <v/>
      </c>
      <c r="BW638" s="21" t="str">
        <f ca="1">IFERROR(VLOOKUP(AH638,OFFSET(abbreviation[],0,ColumnLanguage),ColumnAbbreviation,FALSE),"")</f>
        <v/>
      </c>
      <c r="BX638" s="21" t="str">
        <f ca="1">IFERROR(VLOOKUP(AJ638,OFFSET(abbreviation[],0,ColumnLanguage),ColumnAbbreviation,FALSE),"")</f>
        <v/>
      </c>
      <c r="BY638" s="21" t="str">
        <f ca="1">IFERROR(VLOOKUP(AL638,OFFSET(abbreviation[],0,ColumnLanguage),ColumnAbbreviation,FALSE),"")</f>
        <v/>
      </c>
      <c r="BZ638" s="21" t="str">
        <f t="shared" ca="1" si="65"/>
        <v>_</v>
      </c>
      <c r="CA638" s="21" t="str">
        <f ca="1">IFERROR(VLOOKUP(AP638,OFFSET(abbreviation[],0,ColumnLanguage),ColumnAbbreviation,FALSE),"")</f>
        <v/>
      </c>
      <c r="CB638" s="21" t="str">
        <f ca="1">IFERROR(VLOOKUP(AR638,OFFSET(abbreviation[],0,ColumnLanguage),ColumnAbbreviation,FALSE),"")</f>
        <v/>
      </c>
      <c r="CC638" s="21" t="str">
        <f ca="1">IFERROR(VLOOKUP(AT638,OFFSET(abbreviation[],0,ColumnLanguage),ColumnAbbreviation,FALSE),"")</f>
        <v/>
      </c>
      <c r="CD638" s="21" t="str">
        <f ca="1">IFERROR(VLOOKUP(AV638,OFFSET(abbreviation[],0,ColumnLanguage),ColumnAbbreviation,FALSE),"")</f>
        <v/>
      </c>
      <c r="CE638" s="21" t="str">
        <f t="shared" ca="1" si="66"/>
        <v>__</v>
      </c>
      <c r="CF638" s="21" t="str">
        <f ca="1">IFERROR(VLOOKUP(AX638,OFFSET(abbreviation[],0,ColumnLanguage),ColumnAbbreviation,FALSE),"")</f>
        <v/>
      </c>
      <c r="CG638" s="21" t="str">
        <f ca="1">IFERROR(VLOOKUP(AZ638,OFFSET(abbreviation[],0,ColumnLanguage),ColumnAbbreviation,FALSE),"")</f>
        <v/>
      </c>
      <c r="CH638" s="21" t="str">
        <f ca="1">IFERROR(VLOOKUP(BB638,OFFSET(abbreviation[],0,ColumnLanguage),ColumnAbbreviation,FALSE),"")</f>
        <v/>
      </c>
      <c r="CI638" s="21" t="str">
        <f ca="1">IFERROR(VLOOKUP(BD638,OFFSET(abbreviation[],0,ColumnLanguage),ColumnAbbreviation,FALSE),"")</f>
        <v/>
      </c>
      <c r="CJ638" s="21" t="str">
        <f ca="1">IFERROR(VLOOKUP(BF638,OFFSET(abbreviation[],0,ColumnLanguage),ColumnAbbreviation,FALSE),"")</f>
        <v/>
      </c>
      <c r="CK638" s="21" t="str">
        <f t="shared" ca="1" si="67"/>
        <v/>
      </c>
      <c r="CL638" s="21" t="str">
        <f t="shared" si="68"/>
        <v/>
      </c>
      <c r="CM638" s="52"/>
      <c r="CN638" s="57" t="str">
        <f t="shared" si="69"/>
        <v/>
      </c>
    </row>
    <row r="639" spans="14:92" x14ac:dyDescent="0.25">
      <c r="P639" s="60"/>
      <c r="Q639" s="13"/>
      <c r="V639" s="60"/>
      <c r="X639" s="61"/>
      <c r="AB639" s="60"/>
      <c r="AN639" s="54"/>
      <c r="AS639" s="15"/>
      <c r="BH639" s="52"/>
      <c r="BI639" s="21" t="str">
        <f ca="1">IFERROR(VLOOKUP(C639,OFFSET(abbreviation[],0,ColumnLanguage),ColumnAbbreviation,FALSE),"")</f>
        <v/>
      </c>
      <c r="BJ639" s="21" t="str">
        <f ca="1">IFERROR(VLOOKUP(E639,OFFSET(abbreviation[],0,ColumnLanguage),ColumnAbbreviation,FALSE),"")</f>
        <v/>
      </c>
      <c r="BK639" s="21" t="str">
        <f ca="1">IFERROR(VLOOKUP(G639,OFFSET(abbreviation[],0,ColumnLanguage),ColumnAbbreviation,FALSE),"")</f>
        <v/>
      </c>
      <c r="BL639" s="21" t="str">
        <f ca="1">IFERROR(VLOOKUP(I639,OFFSET(abbreviation[],0,ColumnLanguage),ColumnAbbreviation,FALSE),"")</f>
        <v/>
      </c>
      <c r="BM639" s="21" t="str">
        <f ca="1">IFERROR(VLOOKUP(K639,OFFSET(abbreviation[],0,ColumnLanguage),ColumnAbbreviation,FALSE),"")</f>
        <v/>
      </c>
      <c r="BN639" s="21" t="str">
        <f t="shared" ca="1" si="63"/>
        <v/>
      </c>
      <c r="BO639" s="21" t="str">
        <f ca="1">IFERROR(VLOOKUP(N639,OFFSET(abbreviation[],0,ColumnLanguage),ColumnAbbreviation,FALSE),"")</f>
        <v/>
      </c>
      <c r="BP639" s="21" t="str">
        <f ca="1">IFERROR(VLOOKUP(P639,OFFSET(abbreviation[],0,ColumnLanguage),ColumnAbbreviation,FALSE),"")</f>
        <v/>
      </c>
      <c r="BQ639" s="21" t="str">
        <f ca="1">IFERROR(VLOOKUP(T639,OFFSET(abbreviation[],0,ColumnLanguage),ColumnAbbreviation,FALSE),"")</f>
        <v/>
      </c>
      <c r="BR639" s="21" t="str">
        <f ca="1">IFERROR(VLOOKUP(V639,OFFSET(abbreviation[],0,ColumnLanguage),ColumnAbbreviation,FALSE),"")</f>
        <v/>
      </c>
      <c r="BS639" s="21" t="str">
        <f ca="1">IFERROR(VLOOKUP(Z639,OFFSET(abbreviation[],0,ColumnLanguage),ColumnAbbreviation,FALSE),"")</f>
        <v/>
      </c>
      <c r="BT639" s="21" t="str">
        <f ca="1">IFERROR(VLOOKUP(AB639,OFFSET(abbreviation[],0,ColumnLanguage),ColumnAbbreviation,FALSE),"")</f>
        <v/>
      </c>
      <c r="BU639" s="21" t="str">
        <f t="shared" ca="1" si="64"/>
        <v>__</v>
      </c>
      <c r="BV639" s="21" t="str">
        <f ca="1">IFERROR(VLOOKUP(AF639,OFFSET(abbreviation[],0,ColumnLanguage),ColumnAbbreviation,FALSE),"")</f>
        <v/>
      </c>
      <c r="BW639" s="21" t="str">
        <f ca="1">IFERROR(VLOOKUP(AH639,OFFSET(abbreviation[],0,ColumnLanguage),ColumnAbbreviation,FALSE),"")</f>
        <v/>
      </c>
      <c r="BX639" s="21" t="str">
        <f ca="1">IFERROR(VLOOKUP(AJ639,OFFSET(abbreviation[],0,ColumnLanguage),ColumnAbbreviation,FALSE),"")</f>
        <v/>
      </c>
      <c r="BY639" s="21" t="str">
        <f ca="1">IFERROR(VLOOKUP(AL639,OFFSET(abbreviation[],0,ColumnLanguage),ColumnAbbreviation,FALSE),"")</f>
        <v/>
      </c>
      <c r="BZ639" s="21" t="str">
        <f t="shared" ca="1" si="65"/>
        <v>_</v>
      </c>
      <c r="CA639" s="21" t="str">
        <f ca="1">IFERROR(VLOOKUP(AP639,OFFSET(abbreviation[],0,ColumnLanguage),ColumnAbbreviation,FALSE),"")</f>
        <v/>
      </c>
      <c r="CB639" s="21" t="str">
        <f ca="1">IFERROR(VLOOKUP(AR639,OFFSET(abbreviation[],0,ColumnLanguage),ColumnAbbreviation,FALSE),"")</f>
        <v/>
      </c>
      <c r="CC639" s="21" t="str">
        <f ca="1">IFERROR(VLOOKUP(AT639,OFFSET(abbreviation[],0,ColumnLanguage),ColumnAbbreviation,FALSE),"")</f>
        <v/>
      </c>
      <c r="CD639" s="21" t="str">
        <f ca="1">IFERROR(VLOOKUP(AV639,OFFSET(abbreviation[],0,ColumnLanguage),ColumnAbbreviation,FALSE),"")</f>
        <v/>
      </c>
      <c r="CE639" s="21" t="str">
        <f t="shared" ca="1" si="66"/>
        <v>__</v>
      </c>
      <c r="CF639" s="21" t="str">
        <f ca="1">IFERROR(VLOOKUP(AX639,OFFSET(abbreviation[],0,ColumnLanguage),ColumnAbbreviation,FALSE),"")</f>
        <v/>
      </c>
      <c r="CG639" s="21" t="str">
        <f ca="1">IFERROR(VLOOKUP(AZ639,OFFSET(abbreviation[],0,ColumnLanguage),ColumnAbbreviation,FALSE),"")</f>
        <v/>
      </c>
      <c r="CH639" s="21" t="str">
        <f ca="1">IFERROR(VLOOKUP(BB639,OFFSET(abbreviation[],0,ColumnLanguage),ColumnAbbreviation,FALSE),"")</f>
        <v/>
      </c>
      <c r="CI639" s="21" t="str">
        <f ca="1">IFERROR(VLOOKUP(BD639,OFFSET(abbreviation[],0,ColumnLanguage),ColumnAbbreviation,FALSE),"")</f>
        <v/>
      </c>
      <c r="CJ639" s="21" t="str">
        <f ca="1">IFERROR(VLOOKUP(BF639,OFFSET(abbreviation[],0,ColumnLanguage),ColumnAbbreviation,FALSE),"")</f>
        <v/>
      </c>
      <c r="CK639" s="21" t="str">
        <f t="shared" ca="1" si="67"/>
        <v/>
      </c>
      <c r="CL639" s="21" t="str">
        <f t="shared" si="68"/>
        <v/>
      </c>
      <c r="CM639" s="52"/>
      <c r="CN639" s="57" t="str">
        <f t="shared" si="69"/>
        <v/>
      </c>
    </row>
    <row r="640" spans="14:92" x14ac:dyDescent="0.25">
      <c r="P640" s="60"/>
      <c r="Q640" s="13"/>
      <c r="V640" s="60"/>
      <c r="X640" s="61"/>
      <c r="AB640" s="60"/>
      <c r="AN640" s="54"/>
      <c r="AS640" s="15"/>
      <c r="BH640" s="52"/>
      <c r="BI640" s="21" t="str">
        <f ca="1">IFERROR(VLOOKUP(C640,OFFSET(abbreviation[],0,ColumnLanguage),ColumnAbbreviation,FALSE),"")</f>
        <v/>
      </c>
      <c r="BJ640" s="21" t="str">
        <f ca="1">IFERROR(VLOOKUP(E640,OFFSET(abbreviation[],0,ColumnLanguage),ColumnAbbreviation,FALSE),"")</f>
        <v/>
      </c>
      <c r="BK640" s="21" t="str">
        <f ca="1">IFERROR(VLOOKUP(G640,OFFSET(abbreviation[],0,ColumnLanguage),ColumnAbbreviation,FALSE),"")</f>
        <v/>
      </c>
      <c r="BL640" s="21" t="str">
        <f ca="1">IFERROR(VLOOKUP(I640,OFFSET(abbreviation[],0,ColumnLanguage),ColumnAbbreviation,FALSE),"")</f>
        <v/>
      </c>
      <c r="BM640" s="21" t="str">
        <f ca="1">IFERROR(VLOOKUP(K640,OFFSET(abbreviation[],0,ColumnLanguage),ColumnAbbreviation,FALSE),"")</f>
        <v/>
      </c>
      <c r="BN640" s="21" t="str">
        <f t="shared" ca="1" si="63"/>
        <v/>
      </c>
      <c r="BO640" s="21" t="str">
        <f ca="1">IFERROR(VLOOKUP(N640,OFFSET(abbreviation[],0,ColumnLanguage),ColumnAbbreviation,FALSE),"")</f>
        <v/>
      </c>
      <c r="BP640" s="21" t="str">
        <f ca="1">IFERROR(VLOOKUP(P640,OFFSET(abbreviation[],0,ColumnLanguage),ColumnAbbreviation,FALSE),"")</f>
        <v/>
      </c>
      <c r="BQ640" s="21" t="str">
        <f ca="1">IFERROR(VLOOKUP(T640,OFFSET(abbreviation[],0,ColumnLanguage),ColumnAbbreviation,FALSE),"")</f>
        <v/>
      </c>
      <c r="BR640" s="21" t="str">
        <f ca="1">IFERROR(VLOOKUP(V640,OFFSET(abbreviation[],0,ColumnLanguage),ColumnAbbreviation,FALSE),"")</f>
        <v/>
      </c>
      <c r="BS640" s="21" t="str">
        <f ca="1">IFERROR(VLOOKUP(Z640,OFFSET(abbreviation[],0,ColumnLanguage),ColumnAbbreviation,FALSE),"")</f>
        <v/>
      </c>
      <c r="BT640" s="21" t="str">
        <f ca="1">IFERROR(VLOOKUP(AB640,OFFSET(abbreviation[],0,ColumnLanguage),ColumnAbbreviation,FALSE),"")</f>
        <v/>
      </c>
      <c r="BU640" s="21" t="str">
        <f t="shared" ca="1" si="64"/>
        <v>__</v>
      </c>
      <c r="BV640" s="21" t="str">
        <f ca="1">IFERROR(VLOOKUP(AF640,OFFSET(abbreviation[],0,ColumnLanguage),ColumnAbbreviation,FALSE),"")</f>
        <v/>
      </c>
      <c r="BW640" s="21" t="str">
        <f ca="1">IFERROR(VLOOKUP(AH640,OFFSET(abbreviation[],0,ColumnLanguage),ColumnAbbreviation,FALSE),"")</f>
        <v/>
      </c>
      <c r="BX640" s="21" t="str">
        <f ca="1">IFERROR(VLOOKUP(AJ640,OFFSET(abbreviation[],0,ColumnLanguage),ColumnAbbreviation,FALSE),"")</f>
        <v/>
      </c>
      <c r="BY640" s="21" t="str">
        <f ca="1">IFERROR(VLOOKUP(AL640,OFFSET(abbreviation[],0,ColumnLanguage),ColumnAbbreviation,FALSE),"")</f>
        <v/>
      </c>
      <c r="BZ640" s="21" t="str">
        <f t="shared" ca="1" si="65"/>
        <v>_</v>
      </c>
      <c r="CA640" s="21" t="str">
        <f ca="1">IFERROR(VLOOKUP(AP640,OFFSET(abbreviation[],0,ColumnLanguage),ColumnAbbreviation,FALSE),"")</f>
        <v/>
      </c>
      <c r="CB640" s="21" t="str">
        <f ca="1">IFERROR(VLOOKUP(AR640,OFFSET(abbreviation[],0,ColumnLanguage),ColumnAbbreviation,FALSE),"")</f>
        <v/>
      </c>
      <c r="CC640" s="21" t="str">
        <f ca="1">IFERROR(VLOOKUP(AT640,OFFSET(abbreviation[],0,ColumnLanguage),ColumnAbbreviation,FALSE),"")</f>
        <v/>
      </c>
      <c r="CD640" s="21" t="str">
        <f ca="1">IFERROR(VLOOKUP(AV640,OFFSET(abbreviation[],0,ColumnLanguage),ColumnAbbreviation,FALSE),"")</f>
        <v/>
      </c>
      <c r="CE640" s="21" t="str">
        <f t="shared" ca="1" si="66"/>
        <v>__</v>
      </c>
      <c r="CF640" s="21" t="str">
        <f ca="1">IFERROR(VLOOKUP(AX640,OFFSET(abbreviation[],0,ColumnLanguage),ColumnAbbreviation,FALSE),"")</f>
        <v/>
      </c>
      <c r="CG640" s="21" t="str">
        <f ca="1">IFERROR(VLOOKUP(AZ640,OFFSET(abbreviation[],0,ColumnLanguage),ColumnAbbreviation,FALSE),"")</f>
        <v/>
      </c>
      <c r="CH640" s="21" t="str">
        <f ca="1">IFERROR(VLOOKUP(BB640,OFFSET(abbreviation[],0,ColumnLanguage),ColumnAbbreviation,FALSE),"")</f>
        <v/>
      </c>
      <c r="CI640" s="21" t="str">
        <f ca="1">IFERROR(VLOOKUP(BD640,OFFSET(abbreviation[],0,ColumnLanguage),ColumnAbbreviation,FALSE),"")</f>
        <v/>
      </c>
      <c r="CJ640" s="21" t="str">
        <f ca="1">IFERROR(VLOOKUP(BF640,OFFSET(abbreviation[],0,ColumnLanguage),ColumnAbbreviation,FALSE),"")</f>
        <v/>
      </c>
      <c r="CK640" s="21" t="str">
        <f t="shared" ca="1" si="67"/>
        <v/>
      </c>
      <c r="CL640" s="21" t="str">
        <f t="shared" si="68"/>
        <v/>
      </c>
      <c r="CM640" s="52"/>
      <c r="CN640" s="57" t="str">
        <f t="shared" si="69"/>
        <v/>
      </c>
    </row>
    <row r="641" spans="16:92" x14ac:dyDescent="0.25">
      <c r="P641" s="60"/>
      <c r="Q641" s="13"/>
      <c r="V641" s="60"/>
      <c r="X641" s="61"/>
      <c r="AB641" s="60"/>
      <c r="AN641" s="54"/>
      <c r="AS641" s="15"/>
      <c r="BH641" s="52"/>
      <c r="BI641" s="21" t="str">
        <f ca="1">IFERROR(VLOOKUP(C641,OFFSET(abbreviation[],0,ColumnLanguage),ColumnAbbreviation,FALSE),"")</f>
        <v/>
      </c>
      <c r="BJ641" s="21" t="str">
        <f ca="1">IFERROR(VLOOKUP(E641,OFFSET(abbreviation[],0,ColumnLanguage),ColumnAbbreviation,FALSE),"")</f>
        <v/>
      </c>
      <c r="BK641" s="21" t="str">
        <f ca="1">IFERROR(VLOOKUP(G641,OFFSET(abbreviation[],0,ColumnLanguage),ColumnAbbreviation,FALSE),"")</f>
        <v/>
      </c>
      <c r="BL641" s="21" t="str">
        <f ca="1">IFERROR(VLOOKUP(I641,OFFSET(abbreviation[],0,ColumnLanguage),ColumnAbbreviation,FALSE),"")</f>
        <v/>
      </c>
      <c r="BM641" s="21" t="str">
        <f ca="1">IFERROR(VLOOKUP(K641,OFFSET(abbreviation[],0,ColumnLanguage),ColumnAbbreviation,FALSE),"")</f>
        <v/>
      </c>
      <c r="BN641" s="21" t="str">
        <f t="shared" ca="1" si="63"/>
        <v/>
      </c>
      <c r="BO641" s="21" t="str">
        <f ca="1">IFERROR(VLOOKUP(N641,OFFSET(abbreviation[],0,ColumnLanguage),ColumnAbbreviation,FALSE),"")</f>
        <v/>
      </c>
      <c r="BP641" s="21" t="str">
        <f ca="1">IFERROR(VLOOKUP(P641,OFFSET(abbreviation[],0,ColumnLanguage),ColumnAbbreviation,FALSE),"")</f>
        <v/>
      </c>
      <c r="BQ641" s="21" t="str">
        <f ca="1">IFERROR(VLOOKUP(T641,OFFSET(abbreviation[],0,ColumnLanguage),ColumnAbbreviation,FALSE),"")</f>
        <v/>
      </c>
      <c r="BR641" s="21" t="str">
        <f ca="1">IFERROR(VLOOKUP(V641,OFFSET(abbreviation[],0,ColumnLanguage),ColumnAbbreviation,FALSE),"")</f>
        <v/>
      </c>
      <c r="BS641" s="21" t="str">
        <f ca="1">IFERROR(VLOOKUP(Z641,OFFSET(abbreviation[],0,ColumnLanguage),ColumnAbbreviation,FALSE),"")</f>
        <v/>
      </c>
      <c r="BT641" s="21" t="str">
        <f ca="1">IFERROR(VLOOKUP(AB641,OFFSET(abbreviation[],0,ColumnLanguage),ColumnAbbreviation,FALSE),"")</f>
        <v/>
      </c>
      <c r="BU641" s="21" t="str">
        <f t="shared" ca="1" si="64"/>
        <v>__</v>
      </c>
      <c r="BV641" s="21" t="str">
        <f ca="1">IFERROR(VLOOKUP(AF641,OFFSET(abbreviation[],0,ColumnLanguage),ColumnAbbreviation,FALSE),"")</f>
        <v/>
      </c>
      <c r="BW641" s="21" t="str">
        <f ca="1">IFERROR(VLOOKUP(AH641,OFFSET(abbreviation[],0,ColumnLanguage),ColumnAbbreviation,FALSE),"")</f>
        <v/>
      </c>
      <c r="BX641" s="21" t="str">
        <f ca="1">IFERROR(VLOOKUP(AJ641,OFFSET(abbreviation[],0,ColumnLanguage),ColumnAbbreviation,FALSE),"")</f>
        <v/>
      </c>
      <c r="BY641" s="21" t="str">
        <f ca="1">IFERROR(VLOOKUP(AL641,OFFSET(abbreviation[],0,ColumnLanguage),ColumnAbbreviation,FALSE),"")</f>
        <v/>
      </c>
      <c r="BZ641" s="21" t="str">
        <f t="shared" ca="1" si="65"/>
        <v>_</v>
      </c>
      <c r="CA641" s="21" t="str">
        <f ca="1">IFERROR(VLOOKUP(AP641,OFFSET(abbreviation[],0,ColumnLanguage),ColumnAbbreviation,FALSE),"")</f>
        <v/>
      </c>
      <c r="CB641" s="21" t="str">
        <f ca="1">IFERROR(VLOOKUP(AR641,OFFSET(abbreviation[],0,ColumnLanguage),ColumnAbbreviation,FALSE),"")</f>
        <v/>
      </c>
      <c r="CC641" s="21" t="str">
        <f ca="1">IFERROR(VLOOKUP(AT641,OFFSET(abbreviation[],0,ColumnLanguage),ColumnAbbreviation,FALSE),"")</f>
        <v/>
      </c>
      <c r="CD641" s="21" t="str">
        <f ca="1">IFERROR(VLOOKUP(AV641,OFFSET(abbreviation[],0,ColumnLanguage),ColumnAbbreviation,FALSE),"")</f>
        <v/>
      </c>
      <c r="CE641" s="21" t="str">
        <f t="shared" ca="1" si="66"/>
        <v>__</v>
      </c>
      <c r="CF641" s="21" t="str">
        <f ca="1">IFERROR(VLOOKUP(AX641,OFFSET(abbreviation[],0,ColumnLanguage),ColumnAbbreviation,FALSE),"")</f>
        <v/>
      </c>
      <c r="CG641" s="21" t="str">
        <f ca="1">IFERROR(VLOOKUP(AZ641,OFFSET(abbreviation[],0,ColumnLanguage),ColumnAbbreviation,FALSE),"")</f>
        <v/>
      </c>
      <c r="CH641" s="21" t="str">
        <f ca="1">IFERROR(VLOOKUP(BB641,OFFSET(abbreviation[],0,ColumnLanguage),ColumnAbbreviation,FALSE),"")</f>
        <v/>
      </c>
      <c r="CI641" s="21" t="str">
        <f ca="1">IFERROR(VLOOKUP(BD641,OFFSET(abbreviation[],0,ColumnLanguage),ColumnAbbreviation,FALSE),"")</f>
        <v/>
      </c>
      <c r="CJ641" s="21" t="str">
        <f ca="1">IFERROR(VLOOKUP(BF641,OFFSET(abbreviation[],0,ColumnLanguage),ColumnAbbreviation,FALSE),"")</f>
        <v/>
      </c>
      <c r="CK641" s="21" t="str">
        <f t="shared" ca="1" si="67"/>
        <v/>
      </c>
      <c r="CL641" s="21" t="str">
        <f t="shared" si="68"/>
        <v/>
      </c>
      <c r="CM641" s="52"/>
      <c r="CN641" s="57" t="str">
        <f t="shared" si="69"/>
        <v/>
      </c>
    </row>
    <row r="642" spans="16:92" x14ac:dyDescent="0.25">
      <c r="P642" s="60"/>
      <c r="Q642" s="13"/>
      <c r="V642" s="60"/>
      <c r="X642" s="61"/>
      <c r="AB642" s="60"/>
      <c r="AN642" s="54"/>
      <c r="AS642" s="15"/>
      <c r="BH642" s="52"/>
      <c r="BI642" s="21" t="str">
        <f ca="1">IFERROR(VLOOKUP(C642,OFFSET(abbreviation[],0,ColumnLanguage),ColumnAbbreviation,FALSE),"")</f>
        <v/>
      </c>
      <c r="BJ642" s="21" t="str">
        <f ca="1">IFERROR(VLOOKUP(E642,OFFSET(abbreviation[],0,ColumnLanguage),ColumnAbbreviation,FALSE),"")</f>
        <v/>
      </c>
      <c r="BK642" s="21" t="str">
        <f ca="1">IFERROR(VLOOKUP(G642,OFFSET(abbreviation[],0,ColumnLanguage),ColumnAbbreviation,FALSE),"")</f>
        <v/>
      </c>
      <c r="BL642" s="21" t="str">
        <f ca="1">IFERROR(VLOOKUP(I642,OFFSET(abbreviation[],0,ColumnLanguage),ColumnAbbreviation,FALSE),"")</f>
        <v/>
      </c>
      <c r="BM642" s="21" t="str">
        <f ca="1">IFERROR(VLOOKUP(K642,OFFSET(abbreviation[],0,ColumnLanguage),ColumnAbbreviation,FALSE),"")</f>
        <v/>
      </c>
      <c r="BN642" s="21" t="str">
        <f t="shared" ca="1" si="63"/>
        <v/>
      </c>
      <c r="BO642" s="21" t="str">
        <f ca="1">IFERROR(VLOOKUP(N642,OFFSET(abbreviation[],0,ColumnLanguage),ColumnAbbreviation,FALSE),"")</f>
        <v/>
      </c>
      <c r="BP642" s="21" t="str">
        <f ca="1">IFERROR(VLOOKUP(P642,OFFSET(abbreviation[],0,ColumnLanguage),ColumnAbbreviation,FALSE),"")</f>
        <v/>
      </c>
      <c r="BQ642" s="21" t="str">
        <f ca="1">IFERROR(VLOOKUP(T642,OFFSET(abbreviation[],0,ColumnLanguage),ColumnAbbreviation,FALSE),"")</f>
        <v/>
      </c>
      <c r="BR642" s="21" t="str">
        <f ca="1">IFERROR(VLOOKUP(V642,OFFSET(abbreviation[],0,ColumnLanguage),ColumnAbbreviation,FALSE),"")</f>
        <v/>
      </c>
      <c r="BS642" s="21" t="str">
        <f ca="1">IFERROR(VLOOKUP(Z642,OFFSET(abbreviation[],0,ColumnLanguage),ColumnAbbreviation,FALSE),"")</f>
        <v/>
      </c>
      <c r="BT642" s="21" t="str">
        <f ca="1">IFERROR(VLOOKUP(AB642,OFFSET(abbreviation[],0,ColumnLanguage),ColumnAbbreviation,FALSE),"")</f>
        <v/>
      </c>
      <c r="BU642" s="21" t="str">
        <f t="shared" ca="1" si="64"/>
        <v>__</v>
      </c>
      <c r="BV642" s="21" t="str">
        <f ca="1">IFERROR(VLOOKUP(AF642,OFFSET(abbreviation[],0,ColumnLanguage),ColumnAbbreviation,FALSE),"")</f>
        <v/>
      </c>
      <c r="BW642" s="21" t="str">
        <f ca="1">IFERROR(VLOOKUP(AH642,OFFSET(abbreviation[],0,ColumnLanguage),ColumnAbbreviation,FALSE),"")</f>
        <v/>
      </c>
      <c r="BX642" s="21" t="str">
        <f ca="1">IFERROR(VLOOKUP(AJ642,OFFSET(abbreviation[],0,ColumnLanguage),ColumnAbbreviation,FALSE),"")</f>
        <v/>
      </c>
      <c r="BY642" s="21" t="str">
        <f ca="1">IFERROR(VLOOKUP(AL642,OFFSET(abbreviation[],0,ColumnLanguage),ColumnAbbreviation,FALSE),"")</f>
        <v/>
      </c>
      <c r="BZ642" s="21" t="str">
        <f t="shared" ca="1" si="65"/>
        <v>_</v>
      </c>
      <c r="CA642" s="21" t="str">
        <f ca="1">IFERROR(VLOOKUP(AP642,OFFSET(abbreviation[],0,ColumnLanguage),ColumnAbbreviation,FALSE),"")</f>
        <v/>
      </c>
      <c r="CB642" s="21" t="str">
        <f ca="1">IFERROR(VLOOKUP(AR642,OFFSET(abbreviation[],0,ColumnLanguage),ColumnAbbreviation,FALSE),"")</f>
        <v/>
      </c>
      <c r="CC642" s="21" t="str">
        <f ca="1">IFERROR(VLOOKUP(AT642,OFFSET(abbreviation[],0,ColumnLanguage),ColumnAbbreviation,FALSE),"")</f>
        <v/>
      </c>
      <c r="CD642" s="21" t="str">
        <f ca="1">IFERROR(VLOOKUP(AV642,OFFSET(abbreviation[],0,ColumnLanguage),ColumnAbbreviation,FALSE),"")</f>
        <v/>
      </c>
      <c r="CE642" s="21" t="str">
        <f t="shared" ca="1" si="66"/>
        <v>__</v>
      </c>
      <c r="CF642" s="21" t="str">
        <f ca="1">IFERROR(VLOOKUP(AX642,OFFSET(abbreviation[],0,ColumnLanguage),ColumnAbbreviation,FALSE),"")</f>
        <v/>
      </c>
      <c r="CG642" s="21" t="str">
        <f ca="1">IFERROR(VLOOKUP(AZ642,OFFSET(abbreviation[],0,ColumnLanguage),ColumnAbbreviation,FALSE),"")</f>
        <v/>
      </c>
      <c r="CH642" s="21" t="str">
        <f ca="1">IFERROR(VLOOKUP(BB642,OFFSET(abbreviation[],0,ColumnLanguage),ColumnAbbreviation,FALSE),"")</f>
        <v/>
      </c>
      <c r="CI642" s="21" t="str">
        <f ca="1">IFERROR(VLOOKUP(BD642,OFFSET(abbreviation[],0,ColumnLanguage),ColumnAbbreviation,FALSE),"")</f>
        <v/>
      </c>
      <c r="CJ642" s="21" t="str">
        <f ca="1">IFERROR(VLOOKUP(BF642,OFFSET(abbreviation[],0,ColumnLanguage),ColumnAbbreviation,FALSE),"")</f>
        <v/>
      </c>
      <c r="CK642" s="21" t="str">
        <f t="shared" ca="1" si="67"/>
        <v/>
      </c>
      <c r="CL642" s="21" t="str">
        <f t="shared" si="68"/>
        <v/>
      </c>
      <c r="CM642" s="52"/>
      <c r="CN642" s="57" t="str">
        <f t="shared" si="69"/>
        <v/>
      </c>
    </row>
    <row r="643" spans="16:92" x14ac:dyDescent="0.25">
      <c r="P643" s="60"/>
      <c r="Q643" s="13"/>
      <c r="V643" s="60"/>
      <c r="X643" s="61"/>
      <c r="AB643" s="60"/>
      <c r="AN643" s="54"/>
      <c r="AS643" s="15"/>
      <c r="BH643" s="52"/>
      <c r="BI643" s="21" t="str">
        <f ca="1">IFERROR(VLOOKUP(C643,OFFSET(abbreviation[],0,ColumnLanguage),ColumnAbbreviation,FALSE),"")</f>
        <v/>
      </c>
      <c r="BJ643" s="21" t="str">
        <f ca="1">IFERROR(VLOOKUP(E643,OFFSET(abbreviation[],0,ColumnLanguage),ColumnAbbreviation,FALSE),"")</f>
        <v/>
      </c>
      <c r="BK643" s="21" t="str">
        <f ca="1">IFERROR(VLOOKUP(G643,OFFSET(abbreviation[],0,ColumnLanguage),ColumnAbbreviation,FALSE),"")</f>
        <v/>
      </c>
      <c r="BL643" s="21" t="str">
        <f ca="1">IFERROR(VLOOKUP(I643,OFFSET(abbreviation[],0,ColumnLanguage),ColumnAbbreviation,FALSE),"")</f>
        <v/>
      </c>
      <c r="BM643" s="21" t="str">
        <f ca="1">IFERROR(VLOOKUP(K643,OFFSET(abbreviation[],0,ColumnLanguage),ColumnAbbreviation,FALSE),"")</f>
        <v/>
      </c>
      <c r="BN643" s="21" t="str">
        <f t="shared" ca="1" si="63"/>
        <v/>
      </c>
      <c r="BO643" s="21" t="str">
        <f ca="1">IFERROR(VLOOKUP(N643,OFFSET(abbreviation[],0,ColumnLanguage),ColumnAbbreviation,FALSE),"")</f>
        <v/>
      </c>
      <c r="BP643" s="21" t="str">
        <f ca="1">IFERROR(VLOOKUP(P643,OFFSET(abbreviation[],0,ColumnLanguage),ColumnAbbreviation,FALSE),"")</f>
        <v/>
      </c>
      <c r="BQ643" s="21" t="str">
        <f ca="1">IFERROR(VLOOKUP(T643,OFFSET(abbreviation[],0,ColumnLanguage),ColumnAbbreviation,FALSE),"")</f>
        <v/>
      </c>
      <c r="BR643" s="21" t="str">
        <f ca="1">IFERROR(VLOOKUP(V643,OFFSET(abbreviation[],0,ColumnLanguage),ColumnAbbreviation,FALSE),"")</f>
        <v/>
      </c>
      <c r="BS643" s="21" t="str">
        <f ca="1">IFERROR(VLOOKUP(Z643,OFFSET(abbreviation[],0,ColumnLanguage),ColumnAbbreviation,FALSE),"")</f>
        <v/>
      </c>
      <c r="BT643" s="21" t="str">
        <f ca="1">IFERROR(VLOOKUP(AB643,OFFSET(abbreviation[],0,ColumnLanguage),ColumnAbbreviation,FALSE),"")</f>
        <v/>
      </c>
      <c r="BU643" s="21" t="str">
        <f t="shared" ca="1" si="64"/>
        <v>__</v>
      </c>
      <c r="BV643" s="21" t="str">
        <f ca="1">IFERROR(VLOOKUP(AF643,OFFSET(abbreviation[],0,ColumnLanguage),ColumnAbbreviation,FALSE),"")</f>
        <v/>
      </c>
      <c r="BW643" s="21" t="str">
        <f ca="1">IFERROR(VLOOKUP(AH643,OFFSET(abbreviation[],0,ColumnLanguage),ColumnAbbreviation,FALSE),"")</f>
        <v/>
      </c>
      <c r="BX643" s="21" t="str">
        <f ca="1">IFERROR(VLOOKUP(AJ643,OFFSET(abbreviation[],0,ColumnLanguage),ColumnAbbreviation,FALSE),"")</f>
        <v/>
      </c>
      <c r="BY643" s="21" t="str">
        <f ca="1">IFERROR(VLOOKUP(AL643,OFFSET(abbreviation[],0,ColumnLanguage),ColumnAbbreviation,FALSE),"")</f>
        <v/>
      </c>
      <c r="BZ643" s="21" t="str">
        <f t="shared" ca="1" si="65"/>
        <v>_</v>
      </c>
      <c r="CA643" s="21" t="str">
        <f ca="1">IFERROR(VLOOKUP(AP643,OFFSET(abbreviation[],0,ColumnLanguage),ColumnAbbreviation,FALSE),"")</f>
        <v/>
      </c>
      <c r="CB643" s="21" t="str">
        <f ca="1">IFERROR(VLOOKUP(AR643,OFFSET(abbreviation[],0,ColumnLanguage),ColumnAbbreviation,FALSE),"")</f>
        <v/>
      </c>
      <c r="CC643" s="21" t="str">
        <f ca="1">IFERROR(VLOOKUP(AT643,OFFSET(abbreviation[],0,ColumnLanguage),ColumnAbbreviation,FALSE),"")</f>
        <v/>
      </c>
      <c r="CD643" s="21" t="str">
        <f ca="1">IFERROR(VLOOKUP(AV643,OFFSET(abbreviation[],0,ColumnLanguage),ColumnAbbreviation,FALSE),"")</f>
        <v/>
      </c>
      <c r="CE643" s="21" t="str">
        <f t="shared" ca="1" si="66"/>
        <v>__</v>
      </c>
      <c r="CF643" s="21" t="str">
        <f ca="1">IFERROR(VLOOKUP(AX643,OFFSET(abbreviation[],0,ColumnLanguage),ColumnAbbreviation,FALSE),"")</f>
        <v/>
      </c>
      <c r="CG643" s="21" t="str">
        <f ca="1">IFERROR(VLOOKUP(AZ643,OFFSET(abbreviation[],0,ColumnLanguage),ColumnAbbreviation,FALSE),"")</f>
        <v/>
      </c>
      <c r="CH643" s="21" t="str">
        <f ca="1">IFERROR(VLOOKUP(BB643,OFFSET(abbreviation[],0,ColumnLanguage),ColumnAbbreviation,FALSE),"")</f>
        <v/>
      </c>
      <c r="CI643" s="21" t="str">
        <f ca="1">IFERROR(VLOOKUP(BD643,OFFSET(abbreviation[],0,ColumnLanguage),ColumnAbbreviation,FALSE),"")</f>
        <v/>
      </c>
      <c r="CJ643" s="21" t="str">
        <f ca="1">IFERROR(VLOOKUP(BF643,OFFSET(abbreviation[],0,ColumnLanguage),ColumnAbbreviation,FALSE),"")</f>
        <v/>
      </c>
      <c r="CK643" s="21" t="str">
        <f t="shared" ca="1" si="67"/>
        <v/>
      </c>
      <c r="CL643" s="21" t="str">
        <f t="shared" si="68"/>
        <v/>
      </c>
      <c r="CM643" s="52"/>
      <c r="CN643" s="57" t="str">
        <f t="shared" si="69"/>
        <v/>
      </c>
    </row>
    <row r="644" spans="16:92" x14ac:dyDescent="0.25">
      <c r="P644" s="60"/>
      <c r="Q644" s="13"/>
      <c r="V644" s="60"/>
      <c r="X644" s="61"/>
      <c r="AB644" s="60"/>
      <c r="AN644" s="54"/>
      <c r="AS644" s="15"/>
      <c r="BH644" s="52"/>
      <c r="BI644" s="21" t="str">
        <f ca="1">IFERROR(VLOOKUP(C644,OFFSET(abbreviation[],0,ColumnLanguage),ColumnAbbreviation,FALSE),"")</f>
        <v/>
      </c>
      <c r="BJ644" s="21" t="str">
        <f ca="1">IFERROR(VLOOKUP(E644,OFFSET(abbreviation[],0,ColumnLanguage),ColumnAbbreviation,FALSE),"")</f>
        <v/>
      </c>
      <c r="BK644" s="21" t="str">
        <f ca="1">IFERROR(VLOOKUP(G644,OFFSET(abbreviation[],0,ColumnLanguage),ColumnAbbreviation,FALSE),"")</f>
        <v/>
      </c>
      <c r="BL644" s="21" t="str">
        <f ca="1">IFERROR(VLOOKUP(I644,OFFSET(abbreviation[],0,ColumnLanguage),ColumnAbbreviation,FALSE),"")</f>
        <v/>
      </c>
      <c r="BM644" s="21" t="str">
        <f ca="1">IFERROR(VLOOKUP(K644,OFFSET(abbreviation[],0,ColumnLanguage),ColumnAbbreviation,FALSE),"")</f>
        <v/>
      </c>
      <c r="BN644" s="21" t="str">
        <f t="shared" ref="BN644:BN707" ca="1" si="70">(BI644&amp;IF(OR(ISNUMBER(D644),ISTEXT(D644)),"-"&amp;D644,))&amp;(IF(ISTEXT(E644),"_",)&amp;BJ644&amp;IF(OR(ISNUMBER(F644),ISTEXT(F644)),"-"&amp;F644,))&amp;(IF(ISTEXT(G644),"_",)&amp;BK644&amp;IF(OR(ISNUMBER(H644),ISTEXT(H644)),"-"&amp;H644,))&amp;(IF(ISTEXT(I644),"_",)&amp;BL644&amp;IF(OR(ISNUMBER(J644),ISTEXT(J644)),"-"&amp;J644,))&amp;(IF(ISTEXT(K644),"_",)&amp;BM644&amp;IF(OR(ISNUMBER(L644),ISTEXT(L644)),"-"&amp;L644,)&amp;IF(AND(ISTEXT(BI644),BI644&lt;&gt;""),"_._",))</f>
        <v/>
      </c>
      <c r="BO644" s="21" t="str">
        <f ca="1">IFERROR(VLOOKUP(N644,OFFSET(abbreviation[],0,ColumnLanguage),ColumnAbbreviation,FALSE),"")</f>
        <v/>
      </c>
      <c r="BP644" s="21" t="str">
        <f ca="1">IFERROR(VLOOKUP(P644,OFFSET(abbreviation[],0,ColumnLanguage),ColumnAbbreviation,FALSE),"")</f>
        <v/>
      </c>
      <c r="BQ644" s="21" t="str">
        <f ca="1">IFERROR(VLOOKUP(T644,OFFSET(abbreviation[],0,ColumnLanguage),ColumnAbbreviation,FALSE),"")</f>
        <v/>
      </c>
      <c r="BR644" s="21" t="str">
        <f ca="1">IFERROR(VLOOKUP(V644,OFFSET(abbreviation[],0,ColumnLanguage),ColumnAbbreviation,FALSE),"")</f>
        <v/>
      </c>
      <c r="BS644" s="21" t="str">
        <f ca="1">IFERROR(VLOOKUP(Z644,OFFSET(abbreviation[],0,ColumnLanguage),ColumnAbbreviation,FALSE),"")</f>
        <v/>
      </c>
      <c r="BT644" s="21" t="str">
        <f ca="1">IFERROR(VLOOKUP(AB644,OFFSET(abbreviation[],0,ColumnLanguage),ColumnAbbreviation,FALSE),"")</f>
        <v/>
      </c>
      <c r="BU644" s="21" t="str">
        <f t="shared" ref="BU644:BU707" ca="1" si="71">(BO644&amp;IF(ISTEXT(P644),"."&amp;BP644,)&amp;IF(OR(ISTEXT(R644),ISNUMBER(R644)),"-"&amp;R644,))&amp;("_"&amp;BQ644&amp;IF(ISTEXT(V644),"."&amp;BR644,)&amp;IF(OR(ISTEXT(X644),ISNUMBER(X644)),"-"&amp;X644,))&amp;("_"&amp;BS644&amp;IF(ISTEXT(AB644),"."&amp;BT644,)&amp;IF(OR(ISTEXT(AD644),ISNUMBER(AD644)),"-"&amp;AD644,))</f>
        <v>__</v>
      </c>
      <c r="BV644" s="21" t="str">
        <f ca="1">IFERROR(VLOOKUP(AF644,OFFSET(abbreviation[],0,ColumnLanguage),ColumnAbbreviation,FALSE),"")</f>
        <v/>
      </c>
      <c r="BW644" s="21" t="str">
        <f ca="1">IFERROR(VLOOKUP(AH644,OFFSET(abbreviation[],0,ColumnLanguage),ColumnAbbreviation,FALSE),"")</f>
        <v/>
      </c>
      <c r="BX644" s="21" t="str">
        <f ca="1">IFERROR(VLOOKUP(AJ644,OFFSET(abbreviation[],0,ColumnLanguage),ColumnAbbreviation,FALSE),"")</f>
        <v/>
      </c>
      <c r="BY644" s="21" t="str">
        <f ca="1">IFERROR(VLOOKUP(AL644,OFFSET(abbreviation[],0,ColumnLanguage),ColumnAbbreviation,FALSE),"")</f>
        <v/>
      </c>
      <c r="BZ644" s="21" t="str">
        <f t="shared" ref="BZ644:BZ707" ca="1" si="72">("_"&amp;BV644&amp;IF(ISTEXT(AH644),"."&amp;BW644,)&amp;IF(ISTEXT(AJ644),"."&amp;BX644,)&amp;IF(ISTEXT(AL644),"."&amp;BY644,)&amp;IF(OR(ISTEXT(AN644),ISNUMBER(AN644)),"-"&amp;AN644,))</f>
        <v>_</v>
      </c>
      <c r="CA644" s="21" t="str">
        <f ca="1">IFERROR(VLOOKUP(AP644,OFFSET(abbreviation[],0,ColumnLanguage),ColumnAbbreviation,FALSE),"")</f>
        <v/>
      </c>
      <c r="CB644" s="21" t="str">
        <f ca="1">IFERROR(VLOOKUP(AR644,OFFSET(abbreviation[],0,ColumnLanguage),ColumnAbbreviation,FALSE),"")</f>
        <v/>
      </c>
      <c r="CC644" s="21" t="str">
        <f ca="1">IFERROR(VLOOKUP(AT644,OFFSET(abbreviation[],0,ColumnLanguage),ColumnAbbreviation,FALSE),"")</f>
        <v/>
      </c>
      <c r="CD644" s="21" t="str">
        <f ca="1">IFERROR(VLOOKUP(AV644,OFFSET(abbreviation[],0,ColumnLanguage),ColumnAbbreviation,FALSE),"")</f>
        <v/>
      </c>
      <c r="CE644" s="21" t="str">
        <f t="shared" ref="CE644:CE707" ca="1" si="73">("_"&amp;CA644&amp;IF(ISTEXT(AR644),"."&amp;CB644,)&amp;IF(ISTEXT(AT644),"."&amp;CC644,))&amp;"_"&amp;CD644</f>
        <v>__</v>
      </c>
      <c r="CF644" s="21" t="str">
        <f ca="1">IFERROR(VLOOKUP(AX644,OFFSET(abbreviation[],0,ColumnLanguage),ColumnAbbreviation,FALSE),"")</f>
        <v/>
      </c>
      <c r="CG644" s="21" t="str">
        <f ca="1">IFERROR(VLOOKUP(AZ644,OFFSET(abbreviation[],0,ColumnLanguage),ColumnAbbreviation,FALSE),"")</f>
        <v/>
      </c>
      <c r="CH644" s="21" t="str">
        <f ca="1">IFERROR(VLOOKUP(BB644,OFFSET(abbreviation[],0,ColumnLanguage),ColumnAbbreviation,FALSE),"")</f>
        <v/>
      </c>
      <c r="CI644" s="21" t="str">
        <f ca="1">IFERROR(VLOOKUP(BD644,OFFSET(abbreviation[],0,ColumnLanguage),ColumnAbbreviation,FALSE),"")</f>
        <v/>
      </c>
      <c r="CJ644" s="21" t="str">
        <f ca="1">IFERROR(VLOOKUP(BF644,OFFSET(abbreviation[],0,ColumnLanguage),ColumnAbbreviation,FALSE),"")</f>
        <v/>
      </c>
      <c r="CK644" s="21" t="str">
        <f t="shared" ref="CK644:CK707" ca="1" si="74">(IF(ISTEXT(AX644),"_._",""))&amp;(IF(ISTEXT(AX644),"_",)&amp;CF644&amp;IF(OR(ISNUMBER(AY644),ISTEXT(AY644)),"-"&amp;AY644,))&amp;(IF(ISTEXT(AZ644),"_",)&amp;CG644&amp;IF(OR(ISNUMBER(BA644),ISTEXT(BA644)),"-"&amp;BA644,))&amp;(IF(ISTEXT(BB644),"_",)&amp;CH644&amp;IF(OR(ISNUMBER(BC644),ISTEXT(BC644)),"-"&amp;BC644,))&amp;(IF(ISTEXT(BD644),"_",)&amp;CI644&amp;IF(OR(ISNUMBER(BE644),ISTEXT(BE644)),"-"&amp;BE644,))&amp;(IF(ISTEXT(BF644),"_",)&amp;CJ644&amp;IF(OR(ISNUMBER(BG644),ISTEXT(BG644)),"-"&amp;BG644,))</f>
        <v/>
      </c>
      <c r="CL644" s="21" t="str">
        <f t="shared" ref="CL644:CL707" si="75">IF(OR(N644&lt;&gt;"",T644&lt;&gt;"",C644&lt;&gt;"",A644&lt;&gt;""),(BN644&amp;BU644&amp;BZ644&amp;CE644&amp;CK644),"")</f>
        <v/>
      </c>
      <c r="CM644" s="52"/>
      <c r="CN644" s="57" t="str">
        <f t="shared" ref="CN644:CN707" si="76">CL644</f>
        <v/>
      </c>
    </row>
    <row r="645" spans="16:92" x14ac:dyDescent="0.25">
      <c r="P645" s="60"/>
      <c r="Q645" s="13"/>
      <c r="V645" s="60"/>
      <c r="X645" s="61"/>
      <c r="AB645" s="60"/>
      <c r="AN645" s="54"/>
      <c r="AS645" s="15"/>
      <c r="BH645" s="52"/>
      <c r="BI645" s="21" t="str">
        <f ca="1">IFERROR(VLOOKUP(C645,OFFSET(abbreviation[],0,ColumnLanguage),ColumnAbbreviation,FALSE),"")</f>
        <v/>
      </c>
      <c r="BJ645" s="21" t="str">
        <f ca="1">IFERROR(VLOOKUP(E645,OFFSET(abbreviation[],0,ColumnLanguage),ColumnAbbreviation,FALSE),"")</f>
        <v/>
      </c>
      <c r="BK645" s="21" t="str">
        <f ca="1">IFERROR(VLOOKUP(G645,OFFSET(abbreviation[],0,ColumnLanguage),ColumnAbbreviation,FALSE),"")</f>
        <v/>
      </c>
      <c r="BL645" s="21" t="str">
        <f ca="1">IFERROR(VLOOKUP(I645,OFFSET(abbreviation[],0,ColumnLanguage),ColumnAbbreviation,FALSE),"")</f>
        <v/>
      </c>
      <c r="BM645" s="21" t="str">
        <f ca="1">IFERROR(VLOOKUP(K645,OFFSET(abbreviation[],0,ColumnLanguage),ColumnAbbreviation,FALSE),"")</f>
        <v/>
      </c>
      <c r="BN645" s="21" t="str">
        <f t="shared" ca="1" si="70"/>
        <v/>
      </c>
      <c r="BO645" s="21" t="str">
        <f ca="1">IFERROR(VLOOKUP(N645,OFFSET(abbreviation[],0,ColumnLanguage),ColumnAbbreviation,FALSE),"")</f>
        <v/>
      </c>
      <c r="BP645" s="21" t="str">
        <f ca="1">IFERROR(VLOOKUP(P645,OFFSET(abbreviation[],0,ColumnLanguage),ColumnAbbreviation,FALSE),"")</f>
        <v/>
      </c>
      <c r="BQ645" s="21" t="str">
        <f ca="1">IFERROR(VLOOKUP(T645,OFFSET(abbreviation[],0,ColumnLanguage),ColumnAbbreviation,FALSE),"")</f>
        <v/>
      </c>
      <c r="BR645" s="21" t="str">
        <f ca="1">IFERROR(VLOOKUP(V645,OFFSET(abbreviation[],0,ColumnLanguage),ColumnAbbreviation,FALSE),"")</f>
        <v/>
      </c>
      <c r="BS645" s="21" t="str">
        <f ca="1">IFERROR(VLOOKUP(Z645,OFFSET(abbreviation[],0,ColumnLanguage),ColumnAbbreviation,FALSE),"")</f>
        <v/>
      </c>
      <c r="BT645" s="21" t="str">
        <f ca="1">IFERROR(VLOOKUP(AB645,OFFSET(abbreviation[],0,ColumnLanguage),ColumnAbbreviation,FALSE),"")</f>
        <v/>
      </c>
      <c r="BU645" s="21" t="str">
        <f t="shared" ca="1" si="71"/>
        <v>__</v>
      </c>
      <c r="BV645" s="21" t="str">
        <f ca="1">IFERROR(VLOOKUP(AF645,OFFSET(abbreviation[],0,ColumnLanguage),ColumnAbbreviation,FALSE),"")</f>
        <v/>
      </c>
      <c r="BW645" s="21" t="str">
        <f ca="1">IFERROR(VLOOKUP(AH645,OFFSET(abbreviation[],0,ColumnLanguage),ColumnAbbreviation,FALSE),"")</f>
        <v/>
      </c>
      <c r="BX645" s="21" t="str">
        <f ca="1">IFERROR(VLOOKUP(AJ645,OFFSET(abbreviation[],0,ColumnLanguage),ColumnAbbreviation,FALSE),"")</f>
        <v/>
      </c>
      <c r="BY645" s="21" t="str">
        <f ca="1">IFERROR(VLOOKUP(AL645,OFFSET(abbreviation[],0,ColumnLanguage),ColumnAbbreviation,FALSE),"")</f>
        <v/>
      </c>
      <c r="BZ645" s="21" t="str">
        <f t="shared" ca="1" si="72"/>
        <v>_</v>
      </c>
      <c r="CA645" s="21" t="str">
        <f ca="1">IFERROR(VLOOKUP(AP645,OFFSET(abbreviation[],0,ColumnLanguage),ColumnAbbreviation,FALSE),"")</f>
        <v/>
      </c>
      <c r="CB645" s="21" t="str">
        <f ca="1">IFERROR(VLOOKUP(AR645,OFFSET(abbreviation[],0,ColumnLanguage),ColumnAbbreviation,FALSE),"")</f>
        <v/>
      </c>
      <c r="CC645" s="21" t="str">
        <f ca="1">IFERROR(VLOOKUP(AT645,OFFSET(abbreviation[],0,ColumnLanguage),ColumnAbbreviation,FALSE),"")</f>
        <v/>
      </c>
      <c r="CD645" s="21" t="str">
        <f ca="1">IFERROR(VLOOKUP(AV645,OFFSET(abbreviation[],0,ColumnLanguage),ColumnAbbreviation,FALSE),"")</f>
        <v/>
      </c>
      <c r="CE645" s="21" t="str">
        <f t="shared" ca="1" si="73"/>
        <v>__</v>
      </c>
      <c r="CF645" s="21" t="str">
        <f ca="1">IFERROR(VLOOKUP(AX645,OFFSET(abbreviation[],0,ColumnLanguage),ColumnAbbreviation,FALSE),"")</f>
        <v/>
      </c>
      <c r="CG645" s="21" t="str">
        <f ca="1">IFERROR(VLOOKUP(AZ645,OFFSET(abbreviation[],0,ColumnLanguage),ColumnAbbreviation,FALSE),"")</f>
        <v/>
      </c>
      <c r="CH645" s="21" t="str">
        <f ca="1">IFERROR(VLOOKUP(BB645,OFFSET(abbreviation[],0,ColumnLanguage),ColumnAbbreviation,FALSE),"")</f>
        <v/>
      </c>
      <c r="CI645" s="21" t="str">
        <f ca="1">IFERROR(VLOOKUP(BD645,OFFSET(abbreviation[],0,ColumnLanguage),ColumnAbbreviation,FALSE),"")</f>
        <v/>
      </c>
      <c r="CJ645" s="21" t="str">
        <f ca="1">IFERROR(VLOOKUP(BF645,OFFSET(abbreviation[],0,ColumnLanguage),ColumnAbbreviation,FALSE),"")</f>
        <v/>
      </c>
      <c r="CK645" s="21" t="str">
        <f t="shared" ca="1" si="74"/>
        <v/>
      </c>
      <c r="CL645" s="21" t="str">
        <f t="shared" si="75"/>
        <v/>
      </c>
      <c r="CM645" s="52"/>
      <c r="CN645" s="57" t="str">
        <f t="shared" si="76"/>
        <v/>
      </c>
    </row>
    <row r="646" spans="16:92" x14ac:dyDescent="0.25">
      <c r="P646" s="60"/>
      <c r="Q646" s="13"/>
      <c r="V646" s="60"/>
      <c r="X646" s="61"/>
      <c r="AB646" s="60"/>
      <c r="AN646" s="54"/>
      <c r="AS646" s="15"/>
      <c r="BH646" s="52"/>
      <c r="BI646" s="21" t="str">
        <f ca="1">IFERROR(VLOOKUP(C646,OFFSET(abbreviation[],0,ColumnLanguage),ColumnAbbreviation,FALSE),"")</f>
        <v/>
      </c>
      <c r="BJ646" s="21" t="str">
        <f ca="1">IFERROR(VLOOKUP(E646,OFFSET(abbreviation[],0,ColumnLanguage),ColumnAbbreviation,FALSE),"")</f>
        <v/>
      </c>
      <c r="BK646" s="21" t="str">
        <f ca="1">IFERROR(VLOOKUP(G646,OFFSET(abbreviation[],0,ColumnLanguage),ColumnAbbreviation,FALSE),"")</f>
        <v/>
      </c>
      <c r="BL646" s="21" t="str">
        <f ca="1">IFERROR(VLOOKUP(I646,OFFSET(abbreviation[],0,ColumnLanguage),ColumnAbbreviation,FALSE),"")</f>
        <v/>
      </c>
      <c r="BM646" s="21" t="str">
        <f ca="1">IFERROR(VLOOKUP(K646,OFFSET(abbreviation[],0,ColumnLanguage),ColumnAbbreviation,FALSE),"")</f>
        <v/>
      </c>
      <c r="BN646" s="21" t="str">
        <f t="shared" ca="1" si="70"/>
        <v/>
      </c>
      <c r="BO646" s="21" t="str">
        <f ca="1">IFERROR(VLOOKUP(N646,OFFSET(abbreviation[],0,ColumnLanguage),ColumnAbbreviation,FALSE),"")</f>
        <v/>
      </c>
      <c r="BP646" s="21" t="str">
        <f ca="1">IFERROR(VLOOKUP(P646,OFFSET(abbreviation[],0,ColumnLanguage),ColumnAbbreviation,FALSE),"")</f>
        <v/>
      </c>
      <c r="BQ646" s="21" t="str">
        <f ca="1">IFERROR(VLOOKUP(T646,OFFSET(abbreviation[],0,ColumnLanguage),ColumnAbbreviation,FALSE),"")</f>
        <v/>
      </c>
      <c r="BR646" s="21" t="str">
        <f ca="1">IFERROR(VLOOKUP(V646,OFFSET(abbreviation[],0,ColumnLanguage),ColumnAbbreviation,FALSE),"")</f>
        <v/>
      </c>
      <c r="BS646" s="21" t="str">
        <f ca="1">IFERROR(VLOOKUP(Z646,OFFSET(abbreviation[],0,ColumnLanguage),ColumnAbbreviation,FALSE),"")</f>
        <v/>
      </c>
      <c r="BT646" s="21" t="str">
        <f ca="1">IFERROR(VLOOKUP(AB646,OFFSET(abbreviation[],0,ColumnLanguage),ColumnAbbreviation,FALSE),"")</f>
        <v/>
      </c>
      <c r="BU646" s="21" t="str">
        <f t="shared" ca="1" si="71"/>
        <v>__</v>
      </c>
      <c r="BV646" s="21" t="str">
        <f ca="1">IFERROR(VLOOKUP(AF646,OFFSET(abbreviation[],0,ColumnLanguage),ColumnAbbreviation,FALSE),"")</f>
        <v/>
      </c>
      <c r="BW646" s="21" t="str">
        <f ca="1">IFERROR(VLOOKUP(AH646,OFFSET(abbreviation[],0,ColumnLanguage),ColumnAbbreviation,FALSE),"")</f>
        <v/>
      </c>
      <c r="BX646" s="21" t="str">
        <f ca="1">IFERROR(VLOOKUP(AJ646,OFFSET(abbreviation[],0,ColumnLanguage),ColumnAbbreviation,FALSE),"")</f>
        <v/>
      </c>
      <c r="BY646" s="21" t="str">
        <f ca="1">IFERROR(VLOOKUP(AL646,OFFSET(abbreviation[],0,ColumnLanguage),ColumnAbbreviation,FALSE),"")</f>
        <v/>
      </c>
      <c r="BZ646" s="21" t="str">
        <f t="shared" ca="1" si="72"/>
        <v>_</v>
      </c>
      <c r="CA646" s="21" t="str">
        <f ca="1">IFERROR(VLOOKUP(AP646,OFFSET(abbreviation[],0,ColumnLanguage),ColumnAbbreviation,FALSE),"")</f>
        <v/>
      </c>
      <c r="CB646" s="21" t="str">
        <f ca="1">IFERROR(VLOOKUP(AR646,OFFSET(abbreviation[],0,ColumnLanguage),ColumnAbbreviation,FALSE),"")</f>
        <v/>
      </c>
      <c r="CC646" s="21" t="str">
        <f ca="1">IFERROR(VLOOKUP(AT646,OFFSET(abbreviation[],0,ColumnLanguage),ColumnAbbreviation,FALSE),"")</f>
        <v/>
      </c>
      <c r="CD646" s="21" t="str">
        <f ca="1">IFERROR(VLOOKUP(AV646,OFFSET(abbreviation[],0,ColumnLanguage),ColumnAbbreviation,FALSE),"")</f>
        <v/>
      </c>
      <c r="CE646" s="21" t="str">
        <f t="shared" ca="1" si="73"/>
        <v>__</v>
      </c>
      <c r="CF646" s="21" t="str">
        <f ca="1">IFERROR(VLOOKUP(AX646,OFFSET(abbreviation[],0,ColumnLanguage),ColumnAbbreviation,FALSE),"")</f>
        <v/>
      </c>
      <c r="CG646" s="21" t="str">
        <f ca="1">IFERROR(VLOOKUP(AZ646,OFFSET(abbreviation[],0,ColumnLanguage),ColumnAbbreviation,FALSE),"")</f>
        <v/>
      </c>
      <c r="CH646" s="21" t="str">
        <f ca="1">IFERROR(VLOOKUP(BB646,OFFSET(abbreviation[],0,ColumnLanguage),ColumnAbbreviation,FALSE),"")</f>
        <v/>
      </c>
      <c r="CI646" s="21" t="str">
        <f ca="1">IFERROR(VLOOKUP(BD646,OFFSET(abbreviation[],0,ColumnLanguage),ColumnAbbreviation,FALSE),"")</f>
        <v/>
      </c>
      <c r="CJ646" s="21" t="str">
        <f ca="1">IFERROR(VLOOKUP(BF646,OFFSET(abbreviation[],0,ColumnLanguage),ColumnAbbreviation,FALSE),"")</f>
        <v/>
      </c>
      <c r="CK646" s="21" t="str">
        <f t="shared" ca="1" si="74"/>
        <v/>
      </c>
      <c r="CL646" s="21" t="str">
        <f t="shared" si="75"/>
        <v/>
      </c>
      <c r="CM646" s="52"/>
      <c r="CN646" s="57" t="str">
        <f t="shared" si="76"/>
        <v/>
      </c>
    </row>
    <row r="647" spans="16:92" x14ac:dyDescent="0.25">
      <c r="P647" s="60"/>
      <c r="Q647" s="13"/>
      <c r="V647" s="60"/>
      <c r="X647" s="61"/>
      <c r="AB647" s="60"/>
      <c r="AN647" s="54"/>
      <c r="AS647" s="15"/>
      <c r="BH647" s="52"/>
      <c r="BI647" s="21" t="str">
        <f ca="1">IFERROR(VLOOKUP(C647,OFFSET(abbreviation[],0,ColumnLanguage),ColumnAbbreviation,FALSE),"")</f>
        <v/>
      </c>
      <c r="BJ647" s="21" t="str">
        <f ca="1">IFERROR(VLOOKUP(E647,OFFSET(abbreviation[],0,ColumnLanguage),ColumnAbbreviation,FALSE),"")</f>
        <v/>
      </c>
      <c r="BK647" s="21" t="str">
        <f ca="1">IFERROR(VLOOKUP(G647,OFFSET(abbreviation[],0,ColumnLanguage),ColumnAbbreviation,FALSE),"")</f>
        <v/>
      </c>
      <c r="BL647" s="21" t="str">
        <f ca="1">IFERROR(VLOOKUP(I647,OFFSET(abbreviation[],0,ColumnLanguage),ColumnAbbreviation,FALSE),"")</f>
        <v/>
      </c>
      <c r="BM647" s="21" t="str">
        <f ca="1">IFERROR(VLOOKUP(K647,OFFSET(abbreviation[],0,ColumnLanguage),ColumnAbbreviation,FALSE),"")</f>
        <v/>
      </c>
      <c r="BN647" s="21" t="str">
        <f t="shared" ca="1" si="70"/>
        <v/>
      </c>
      <c r="BO647" s="21" t="str">
        <f ca="1">IFERROR(VLOOKUP(N647,OFFSET(abbreviation[],0,ColumnLanguage),ColumnAbbreviation,FALSE),"")</f>
        <v/>
      </c>
      <c r="BP647" s="21" t="str">
        <f ca="1">IFERROR(VLOOKUP(P647,OFFSET(abbreviation[],0,ColumnLanguage),ColumnAbbreviation,FALSE),"")</f>
        <v/>
      </c>
      <c r="BQ647" s="21" t="str">
        <f ca="1">IFERROR(VLOOKUP(T647,OFFSET(abbreviation[],0,ColumnLanguage),ColumnAbbreviation,FALSE),"")</f>
        <v/>
      </c>
      <c r="BR647" s="21" t="str">
        <f ca="1">IFERROR(VLOOKUP(V647,OFFSET(abbreviation[],0,ColumnLanguage),ColumnAbbreviation,FALSE),"")</f>
        <v/>
      </c>
      <c r="BS647" s="21" t="str">
        <f ca="1">IFERROR(VLOOKUP(Z647,OFFSET(abbreviation[],0,ColumnLanguage),ColumnAbbreviation,FALSE),"")</f>
        <v/>
      </c>
      <c r="BT647" s="21" t="str">
        <f ca="1">IFERROR(VLOOKUP(AB647,OFFSET(abbreviation[],0,ColumnLanguage),ColumnAbbreviation,FALSE),"")</f>
        <v/>
      </c>
      <c r="BU647" s="21" t="str">
        <f t="shared" ca="1" si="71"/>
        <v>__</v>
      </c>
      <c r="BV647" s="21" t="str">
        <f ca="1">IFERROR(VLOOKUP(AF647,OFFSET(abbreviation[],0,ColumnLanguage),ColumnAbbreviation,FALSE),"")</f>
        <v/>
      </c>
      <c r="BW647" s="21" t="str">
        <f ca="1">IFERROR(VLOOKUP(AH647,OFFSET(abbreviation[],0,ColumnLanguage),ColumnAbbreviation,FALSE),"")</f>
        <v/>
      </c>
      <c r="BX647" s="21" t="str">
        <f ca="1">IFERROR(VLOOKUP(AJ647,OFFSET(abbreviation[],0,ColumnLanguage),ColumnAbbreviation,FALSE),"")</f>
        <v/>
      </c>
      <c r="BY647" s="21" t="str">
        <f ca="1">IFERROR(VLOOKUP(AL647,OFFSET(abbreviation[],0,ColumnLanguage),ColumnAbbreviation,FALSE),"")</f>
        <v/>
      </c>
      <c r="BZ647" s="21" t="str">
        <f t="shared" ca="1" si="72"/>
        <v>_</v>
      </c>
      <c r="CA647" s="21" t="str">
        <f ca="1">IFERROR(VLOOKUP(AP647,OFFSET(abbreviation[],0,ColumnLanguage),ColumnAbbreviation,FALSE),"")</f>
        <v/>
      </c>
      <c r="CB647" s="21" t="str">
        <f ca="1">IFERROR(VLOOKUP(AR647,OFFSET(abbreviation[],0,ColumnLanguage),ColumnAbbreviation,FALSE),"")</f>
        <v/>
      </c>
      <c r="CC647" s="21" t="str">
        <f ca="1">IFERROR(VLOOKUP(AT647,OFFSET(abbreviation[],0,ColumnLanguage),ColumnAbbreviation,FALSE),"")</f>
        <v/>
      </c>
      <c r="CD647" s="21" t="str">
        <f ca="1">IFERROR(VLOOKUP(AV647,OFFSET(abbreviation[],0,ColumnLanguage),ColumnAbbreviation,FALSE),"")</f>
        <v/>
      </c>
      <c r="CE647" s="21" t="str">
        <f t="shared" ca="1" si="73"/>
        <v>__</v>
      </c>
      <c r="CF647" s="21" t="str">
        <f ca="1">IFERROR(VLOOKUP(AX647,OFFSET(abbreviation[],0,ColumnLanguage),ColumnAbbreviation,FALSE),"")</f>
        <v/>
      </c>
      <c r="CG647" s="21" t="str">
        <f ca="1">IFERROR(VLOOKUP(AZ647,OFFSET(abbreviation[],0,ColumnLanguage),ColumnAbbreviation,FALSE),"")</f>
        <v/>
      </c>
      <c r="CH647" s="21" t="str">
        <f ca="1">IFERROR(VLOOKUP(BB647,OFFSET(abbreviation[],0,ColumnLanguage),ColumnAbbreviation,FALSE),"")</f>
        <v/>
      </c>
      <c r="CI647" s="21" t="str">
        <f ca="1">IFERROR(VLOOKUP(BD647,OFFSET(abbreviation[],0,ColumnLanguage),ColumnAbbreviation,FALSE),"")</f>
        <v/>
      </c>
      <c r="CJ647" s="21" t="str">
        <f ca="1">IFERROR(VLOOKUP(BF647,OFFSET(abbreviation[],0,ColumnLanguage),ColumnAbbreviation,FALSE),"")</f>
        <v/>
      </c>
      <c r="CK647" s="21" t="str">
        <f t="shared" ca="1" si="74"/>
        <v/>
      </c>
      <c r="CL647" s="21" t="str">
        <f t="shared" si="75"/>
        <v/>
      </c>
      <c r="CM647" s="52"/>
      <c r="CN647" s="57" t="str">
        <f t="shared" si="76"/>
        <v/>
      </c>
    </row>
    <row r="648" spans="16:92" x14ac:dyDescent="0.25">
      <c r="P648" s="60"/>
      <c r="Q648" s="13"/>
      <c r="V648" s="60"/>
      <c r="X648" s="61"/>
      <c r="AB648" s="60"/>
      <c r="AN648" s="54"/>
      <c r="AS648" s="15"/>
      <c r="BH648" s="52"/>
      <c r="BI648" s="21" t="str">
        <f ca="1">IFERROR(VLOOKUP(C648,OFFSET(abbreviation[],0,ColumnLanguage),ColumnAbbreviation,FALSE),"")</f>
        <v/>
      </c>
      <c r="BJ648" s="21" t="str">
        <f ca="1">IFERROR(VLOOKUP(E648,OFFSET(abbreviation[],0,ColumnLanguage),ColumnAbbreviation,FALSE),"")</f>
        <v/>
      </c>
      <c r="BK648" s="21" t="str">
        <f ca="1">IFERROR(VLOOKUP(G648,OFFSET(abbreviation[],0,ColumnLanguage),ColumnAbbreviation,FALSE),"")</f>
        <v/>
      </c>
      <c r="BL648" s="21" t="str">
        <f ca="1">IFERROR(VLOOKUP(I648,OFFSET(abbreviation[],0,ColumnLanguage),ColumnAbbreviation,FALSE),"")</f>
        <v/>
      </c>
      <c r="BM648" s="21" t="str">
        <f ca="1">IFERROR(VLOOKUP(K648,OFFSET(abbreviation[],0,ColumnLanguage),ColumnAbbreviation,FALSE),"")</f>
        <v/>
      </c>
      <c r="BN648" s="21" t="str">
        <f t="shared" ca="1" si="70"/>
        <v/>
      </c>
      <c r="BO648" s="21" t="str">
        <f ca="1">IFERROR(VLOOKUP(N648,OFFSET(abbreviation[],0,ColumnLanguage),ColumnAbbreviation,FALSE),"")</f>
        <v/>
      </c>
      <c r="BP648" s="21" t="str">
        <f ca="1">IFERROR(VLOOKUP(P648,OFFSET(abbreviation[],0,ColumnLanguage),ColumnAbbreviation,FALSE),"")</f>
        <v/>
      </c>
      <c r="BQ648" s="21" t="str">
        <f ca="1">IFERROR(VLOOKUP(T648,OFFSET(abbreviation[],0,ColumnLanguage),ColumnAbbreviation,FALSE),"")</f>
        <v/>
      </c>
      <c r="BR648" s="21" t="str">
        <f ca="1">IFERROR(VLOOKUP(V648,OFFSET(abbreviation[],0,ColumnLanguage),ColumnAbbreviation,FALSE),"")</f>
        <v/>
      </c>
      <c r="BS648" s="21" t="str">
        <f ca="1">IFERROR(VLOOKUP(Z648,OFFSET(abbreviation[],0,ColumnLanguage),ColumnAbbreviation,FALSE),"")</f>
        <v/>
      </c>
      <c r="BT648" s="21" t="str">
        <f ca="1">IFERROR(VLOOKUP(AB648,OFFSET(abbreviation[],0,ColumnLanguage),ColumnAbbreviation,FALSE),"")</f>
        <v/>
      </c>
      <c r="BU648" s="21" t="str">
        <f t="shared" ca="1" si="71"/>
        <v>__</v>
      </c>
      <c r="BV648" s="21" t="str">
        <f ca="1">IFERROR(VLOOKUP(AF648,OFFSET(abbreviation[],0,ColumnLanguage),ColumnAbbreviation,FALSE),"")</f>
        <v/>
      </c>
      <c r="BW648" s="21" t="str">
        <f ca="1">IFERROR(VLOOKUP(AH648,OFFSET(abbreviation[],0,ColumnLanguage),ColumnAbbreviation,FALSE),"")</f>
        <v/>
      </c>
      <c r="BX648" s="21" t="str">
        <f ca="1">IFERROR(VLOOKUP(AJ648,OFFSET(abbreviation[],0,ColumnLanguage),ColumnAbbreviation,FALSE),"")</f>
        <v/>
      </c>
      <c r="BY648" s="21" t="str">
        <f ca="1">IFERROR(VLOOKUP(AL648,OFFSET(abbreviation[],0,ColumnLanguage),ColumnAbbreviation,FALSE),"")</f>
        <v/>
      </c>
      <c r="BZ648" s="21" t="str">
        <f t="shared" ca="1" si="72"/>
        <v>_</v>
      </c>
      <c r="CA648" s="21" t="str">
        <f ca="1">IFERROR(VLOOKUP(AP648,OFFSET(abbreviation[],0,ColumnLanguage),ColumnAbbreviation,FALSE),"")</f>
        <v/>
      </c>
      <c r="CB648" s="21" t="str">
        <f ca="1">IFERROR(VLOOKUP(AR648,OFFSET(abbreviation[],0,ColumnLanguage),ColumnAbbreviation,FALSE),"")</f>
        <v/>
      </c>
      <c r="CC648" s="21" t="str">
        <f ca="1">IFERROR(VLOOKUP(AT648,OFFSET(abbreviation[],0,ColumnLanguage),ColumnAbbreviation,FALSE),"")</f>
        <v/>
      </c>
      <c r="CD648" s="21" t="str">
        <f ca="1">IFERROR(VLOOKUP(AV648,OFFSET(abbreviation[],0,ColumnLanguage),ColumnAbbreviation,FALSE),"")</f>
        <v/>
      </c>
      <c r="CE648" s="21" t="str">
        <f t="shared" ca="1" si="73"/>
        <v>__</v>
      </c>
      <c r="CF648" s="21" t="str">
        <f ca="1">IFERROR(VLOOKUP(AX648,OFFSET(abbreviation[],0,ColumnLanguage),ColumnAbbreviation,FALSE),"")</f>
        <v/>
      </c>
      <c r="CG648" s="21" t="str">
        <f ca="1">IFERROR(VLOOKUP(AZ648,OFFSET(abbreviation[],0,ColumnLanguage),ColumnAbbreviation,FALSE),"")</f>
        <v/>
      </c>
      <c r="CH648" s="21" t="str">
        <f ca="1">IFERROR(VLOOKUP(BB648,OFFSET(abbreviation[],0,ColumnLanguage),ColumnAbbreviation,FALSE),"")</f>
        <v/>
      </c>
      <c r="CI648" s="21" t="str">
        <f ca="1">IFERROR(VLOOKUP(BD648,OFFSET(abbreviation[],0,ColumnLanguage),ColumnAbbreviation,FALSE),"")</f>
        <v/>
      </c>
      <c r="CJ648" s="21" t="str">
        <f ca="1">IFERROR(VLOOKUP(BF648,OFFSET(abbreviation[],0,ColumnLanguage),ColumnAbbreviation,FALSE),"")</f>
        <v/>
      </c>
      <c r="CK648" s="21" t="str">
        <f t="shared" ca="1" si="74"/>
        <v/>
      </c>
      <c r="CL648" s="21" t="str">
        <f t="shared" si="75"/>
        <v/>
      </c>
      <c r="CM648" s="52"/>
      <c r="CN648" s="57" t="str">
        <f t="shared" si="76"/>
        <v/>
      </c>
    </row>
    <row r="649" spans="16:92" x14ac:dyDescent="0.25">
      <c r="P649" s="60"/>
      <c r="Q649" s="13"/>
      <c r="V649" s="60"/>
      <c r="X649" s="61"/>
      <c r="AB649" s="60"/>
      <c r="AN649" s="54"/>
      <c r="AS649" s="15"/>
      <c r="BH649" s="52"/>
      <c r="BI649" s="21" t="str">
        <f ca="1">IFERROR(VLOOKUP(C649,OFFSET(abbreviation[],0,ColumnLanguage),ColumnAbbreviation,FALSE),"")</f>
        <v/>
      </c>
      <c r="BJ649" s="21" t="str">
        <f ca="1">IFERROR(VLOOKUP(E649,OFFSET(abbreviation[],0,ColumnLanguage),ColumnAbbreviation,FALSE),"")</f>
        <v/>
      </c>
      <c r="BK649" s="21" t="str">
        <f ca="1">IFERROR(VLOOKUP(G649,OFFSET(abbreviation[],0,ColumnLanguage),ColumnAbbreviation,FALSE),"")</f>
        <v/>
      </c>
      <c r="BL649" s="21" t="str">
        <f ca="1">IFERROR(VLOOKUP(I649,OFFSET(abbreviation[],0,ColumnLanguage),ColumnAbbreviation,FALSE),"")</f>
        <v/>
      </c>
      <c r="BM649" s="21" t="str">
        <f ca="1">IFERROR(VLOOKUP(K649,OFFSET(abbreviation[],0,ColumnLanguage),ColumnAbbreviation,FALSE),"")</f>
        <v/>
      </c>
      <c r="BN649" s="21" t="str">
        <f t="shared" ca="1" si="70"/>
        <v/>
      </c>
      <c r="BO649" s="21" t="str">
        <f ca="1">IFERROR(VLOOKUP(N649,OFFSET(abbreviation[],0,ColumnLanguage),ColumnAbbreviation,FALSE),"")</f>
        <v/>
      </c>
      <c r="BP649" s="21" t="str">
        <f ca="1">IFERROR(VLOOKUP(P649,OFFSET(abbreviation[],0,ColumnLanguage),ColumnAbbreviation,FALSE),"")</f>
        <v/>
      </c>
      <c r="BQ649" s="21" t="str">
        <f ca="1">IFERROR(VLOOKUP(T649,OFFSET(abbreviation[],0,ColumnLanguage),ColumnAbbreviation,FALSE),"")</f>
        <v/>
      </c>
      <c r="BR649" s="21" t="str">
        <f ca="1">IFERROR(VLOOKUP(V649,OFFSET(abbreviation[],0,ColumnLanguage),ColumnAbbreviation,FALSE),"")</f>
        <v/>
      </c>
      <c r="BS649" s="21" t="str">
        <f ca="1">IFERROR(VLOOKUP(Z649,OFFSET(abbreviation[],0,ColumnLanguage),ColumnAbbreviation,FALSE),"")</f>
        <v/>
      </c>
      <c r="BT649" s="21" t="str">
        <f ca="1">IFERROR(VLOOKUP(AB649,OFFSET(abbreviation[],0,ColumnLanguage),ColumnAbbreviation,FALSE),"")</f>
        <v/>
      </c>
      <c r="BU649" s="21" t="str">
        <f t="shared" ca="1" si="71"/>
        <v>__</v>
      </c>
      <c r="BV649" s="21" t="str">
        <f ca="1">IFERROR(VLOOKUP(AF649,OFFSET(abbreviation[],0,ColumnLanguage),ColumnAbbreviation,FALSE),"")</f>
        <v/>
      </c>
      <c r="BW649" s="21" t="str">
        <f ca="1">IFERROR(VLOOKUP(AH649,OFFSET(abbreviation[],0,ColumnLanguage),ColumnAbbreviation,FALSE),"")</f>
        <v/>
      </c>
      <c r="BX649" s="21" t="str">
        <f ca="1">IFERROR(VLOOKUP(AJ649,OFFSET(abbreviation[],0,ColumnLanguage),ColumnAbbreviation,FALSE),"")</f>
        <v/>
      </c>
      <c r="BY649" s="21" t="str">
        <f ca="1">IFERROR(VLOOKUP(AL649,OFFSET(abbreviation[],0,ColumnLanguage),ColumnAbbreviation,FALSE),"")</f>
        <v/>
      </c>
      <c r="BZ649" s="21" t="str">
        <f t="shared" ca="1" si="72"/>
        <v>_</v>
      </c>
      <c r="CA649" s="21" t="str">
        <f ca="1">IFERROR(VLOOKUP(AP649,OFFSET(abbreviation[],0,ColumnLanguage),ColumnAbbreviation,FALSE),"")</f>
        <v/>
      </c>
      <c r="CB649" s="21" t="str">
        <f ca="1">IFERROR(VLOOKUP(AR649,OFFSET(abbreviation[],0,ColumnLanguage),ColumnAbbreviation,FALSE),"")</f>
        <v/>
      </c>
      <c r="CC649" s="21" t="str">
        <f ca="1">IFERROR(VLOOKUP(AT649,OFFSET(abbreviation[],0,ColumnLanguage),ColumnAbbreviation,FALSE),"")</f>
        <v/>
      </c>
      <c r="CD649" s="21" t="str">
        <f ca="1">IFERROR(VLOOKUP(AV649,OFFSET(abbreviation[],0,ColumnLanguage),ColumnAbbreviation,FALSE),"")</f>
        <v/>
      </c>
      <c r="CE649" s="21" t="str">
        <f t="shared" ca="1" si="73"/>
        <v>__</v>
      </c>
      <c r="CF649" s="21" t="str">
        <f ca="1">IFERROR(VLOOKUP(AX649,OFFSET(abbreviation[],0,ColumnLanguage),ColumnAbbreviation,FALSE),"")</f>
        <v/>
      </c>
      <c r="CG649" s="21" t="str">
        <f ca="1">IFERROR(VLOOKUP(AZ649,OFFSET(abbreviation[],0,ColumnLanguage),ColumnAbbreviation,FALSE),"")</f>
        <v/>
      </c>
      <c r="CH649" s="21" t="str">
        <f ca="1">IFERROR(VLOOKUP(BB649,OFFSET(abbreviation[],0,ColumnLanguage),ColumnAbbreviation,FALSE),"")</f>
        <v/>
      </c>
      <c r="CI649" s="21" t="str">
        <f ca="1">IFERROR(VLOOKUP(BD649,OFFSET(abbreviation[],0,ColumnLanguage),ColumnAbbreviation,FALSE),"")</f>
        <v/>
      </c>
      <c r="CJ649" s="21" t="str">
        <f ca="1">IFERROR(VLOOKUP(BF649,OFFSET(abbreviation[],0,ColumnLanguage),ColumnAbbreviation,FALSE),"")</f>
        <v/>
      </c>
      <c r="CK649" s="21" t="str">
        <f t="shared" ca="1" si="74"/>
        <v/>
      </c>
      <c r="CL649" s="21" t="str">
        <f t="shared" si="75"/>
        <v/>
      </c>
      <c r="CM649" s="52"/>
      <c r="CN649" s="57" t="str">
        <f t="shared" si="76"/>
        <v/>
      </c>
    </row>
    <row r="650" spans="16:92" x14ac:dyDescent="0.25">
      <c r="P650" s="60"/>
      <c r="Q650" s="13"/>
      <c r="V650" s="60"/>
      <c r="X650" s="61"/>
      <c r="AB650" s="60"/>
      <c r="AN650" s="54"/>
      <c r="AS650" s="15"/>
      <c r="BH650" s="52"/>
      <c r="BI650" s="21" t="str">
        <f ca="1">IFERROR(VLOOKUP(C650,OFFSET(abbreviation[],0,ColumnLanguage),ColumnAbbreviation,FALSE),"")</f>
        <v/>
      </c>
      <c r="BJ650" s="21" t="str">
        <f ca="1">IFERROR(VLOOKUP(E650,OFFSET(abbreviation[],0,ColumnLanguage),ColumnAbbreviation,FALSE),"")</f>
        <v/>
      </c>
      <c r="BK650" s="21" t="str">
        <f ca="1">IFERROR(VLOOKUP(G650,OFFSET(abbreviation[],0,ColumnLanguage),ColumnAbbreviation,FALSE),"")</f>
        <v/>
      </c>
      <c r="BL650" s="21" t="str">
        <f ca="1">IFERROR(VLOOKUP(I650,OFFSET(abbreviation[],0,ColumnLanguage),ColumnAbbreviation,FALSE),"")</f>
        <v/>
      </c>
      <c r="BM650" s="21" t="str">
        <f ca="1">IFERROR(VLOOKUP(K650,OFFSET(abbreviation[],0,ColumnLanguage),ColumnAbbreviation,FALSE),"")</f>
        <v/>
      </c>
      <c r="BN650" s="21" t="str">
        <f t="shared" ca="1" si="70"/>
        <v/>
      </c>
      <c r="BO650" s="21" t="str">
        <f ca="1">IFERROR(VLOOKUP(N650,OFFSET(abbreviation[],0,ColumnLanguage),ColumnAbbreviation,FALSE),"")</f>
        <v/>
      </c>
      <c r="BP650" s="21" t="str">
        <f ca="1">IFERROR(VLOOKUP(P650,OFFSET(abbreviation[],0,ColumnLanguage),ColumnAbbreviation,FALSE),"")</f>
        <v/>
      </c>
      <c r="BQ650" s="21" t="str">
        <f ca="1">IFERROR(VLOOKUP(T650,OFFSET(abbreviation[],0,ColumnLanguage),ColumnAbbreviation,FALSE),"")</f>
        <v/>
      </c>
      <c r="BR650" s="21" t="str">
        <f ca="1">IFERROR(VLOOKUP(V650,OFFSET(abbreviation[],0,ColumnLanguage),ColumnAbbreviation,FALSE),"")</f>
        <v/>
      </c>
      <c r="BS650" s="21" t="str">
        <f ca="1">IFERROR(VLOOKUP(Z650,OFFSET(abbreviation[],0,ColumnLanguage),ColumnAbbreviation,FALSE),"")</f>
        <v/>
      </c>
      <c r="BT650" s="21" t="str">
        <f ca="1">IFERROR(VLOOKUP(AB650,OFFSET(abbreviation[],0,ColumnLanguage),ColumnAbbreviation,FALSE),"")</f>
        <v/>
      </c>
      <c r="BU650" s="21" t="str">
        <f t="shared" ca="1" si="71"/>
        <v>__</v>
      </c>
      <c r="BV650" s="21" t="str">
        <f ca="1">IFERROR(VLOOKUP(AF650,OFFSET(abbreviation[],0,ColumnLanguage),ColumnAbbreviation,FALSE),"")</f>
        <v/>
      </c>
      <c r="BW650" s="21" t="str">
        <f ca="1">IFERROR(VLOOKUP(AH650,OFFSET(abbreviation[],0,ColumnLanguage),ColumnAbbreviation,FALSE),"")</f>
        <v/>
      </c>
      <c r="BX650" s="21" t="str">
        <f ca="1">IFERROR(VLOOKUP(AJ650,OFFSET(abbreviation[],0,ColumnLanguage),ColumnAbbreviation,FALSE),"")</f>
        <v/>
      </c>
      <c r="BY650" s="21" t="str">
        <f ca="1">IFERROR(VLOOKUP(AL650,OFFSET(abbreviation[],0,ColumnLanguage),ColumnAbbreviation,FALSE),"")</f>
        <v/>
      </c>
      <c r="BZ650" s="21" t="str">
        <f t="shared" ca="1" si="72"/>
        <v>_</v>
      </c>
      <c r="CA650" s="21" t="str">
        <f ca="1">IFERROR(VLOOKUP(AP650,OFFSET(abbreviation[],0,ColumnLanguage),ColumnAbbreviation,FALSE),"")</f>
        <v/>
      </c>
      <c r="CB650" s="21" t="str">
        <f ca="1">IFERROR(VLOOKUP(AR650,OFFSET(abbreviation[],0,ColumnLanguage),ColumnAbbreviation,FALSE),"")</f>
        <v/>
      </c>
      <c r="CC650" s="21" t="str">
        <f ca="1">IFERROR(VLOOKUP(AT650,OFFSET(abbreviation[],0,ColumnLanguage),ColumnAbbreviation,FALSE),"")</f>
        <v/>
      </c>
      <c r="CD650" s="21" t="str">
        <f ca="1">IFERROR(VLOOKUP(AV650,OFFSET(abbreviation[],0,ColumnLanguage),ColumnAbbreviation,FALSE),"")</f>
        <v/>
      </c>
      <c r="CE650" s="21" t="str">
        <f t="shared" ca="1" si="73"/>
        <v>__</v>
      </c>
      <c r="CF650" s="21" t="str">
        <f ca="1">IFERROR(VLOOKUP(AX650,OFFSET(abbreviation[],0,ColumnLanguage),ColumnAbbreviation,FALSE),"")</f>
        <v/>
      </c>
      <c r="CG650" s="21" t="str">
        <f ca="1">IFERROR(VLOOKUP(AZ650,OFFSET(abbreviation[],0,ColumnLanguage),ColumnAbbreviation,FALSE),"")</f>
        <v/>
      </c>
      <c r="CH650" s="21" t="str">
        <f ca="1">IFERROR(VLOOKUP(BB650,OFFSET(abbreviation[],0,ColumnLanguage),ColumnAbbreviation,FALSE),"")</f>
        <v/>
      </c>
      <c r="CI650" s="21" t="str">
        <f ca="1">IFERROR(VLOOKUP(BD650,OFFSET(abbreviation[],0,ColumnLanguage),ColumnAbbreviation,FALSE),"")</f>
        <v/>
      </c>
      <c r="CJ650" s="21" t="str">
        <f ca="1">IFERROR(VLOOKUP(BF650,OFFSET(abbreviation[],0,ColumnLanguage),ColumnAbbreviation,FALSE),"")</f>
        <v/>
      </c>
      <c r="CK650" s="21" t="str">
        <f t="shared" ca="1" si="74"/>
        <v/>
      </c>
      <c r="CL650" s="21" t="str">
        <f t="shared" si="75"/>
        <v/>
      </c>
      <c r="CM650" s="52"/>
      <c r="CN650" s="57" t="str">
        <f t="shared" si="76"/>
        <v/>
      </c>
    </row>
    <row r="651" spans="16:92" x14ac:dyDescent="0.25">
      <c r="P651" s="60"/>
      <c r="Q651" s="13"/>
      <c r="V651" s="60"/>
      <c r="X651" s="61"/>
      <c r="AB651" s="60"/>
      <c r="AN651" s="54"/>
      <c r="AS651" s="15"/>
      <c r="BH651" s="52"/>
      <c r="BI651" s="21" t="str">
        <f ca="1">IFERROR(VLOOKUP(C651,OFFSET(abbreviation[],0,ColumnLanguage),ColumnAbbreviation,FALSE),"")</f>
        <v/>
      </c>
      <c r="BJ651" s="21" t="str">
        <f ca="1">IFERROR(VLOOKUP(E651,OFFSET(abbreviation[],0,ColumnLanguage),ColumnAbbreviation,FALSE),"")</f>
        <v/>
      </c>
      <c r="BK651" s="21" t="str">
        <f ca="1">IFERROR(VLOOKUP(G651,OFFSET(abbreviation[],0,ColumnLanguage),ColumnAbbreviation,FALSE),"")</f>
        <v/>
      </c>
      <c r="BL651" s="21" t="str">
        <f ca="1">IFERROR(VLOOKUP(I651,OFFSET(abbreviation[],0,ColumnLanguage),ColumnAbbreviation,FALSE),"")</f>
        <v/>
      </c>
      <c r="BM651" s="21" t="str">
        <f ca="1">IFERROR(VLOOKUP(K651,OFFSET(abbreviation[],0,ColumnLanguage),ColumnAbbreviation,FALSE),"")</f>
        <v/>
      </c>
      <c r="BN651" s="21" t="str">
        <f t="shared" ca="1" si="70"/>
        <v/>
      </c>
      <c r="BO651" s="21" t="str">
        <f ca="1">IFERROR(VLOOKUP(N651,OFFSET(abbreviation[],0,ColumnLanguage),ColumnAbbreviation,FALSE),"")</f>
        <v/>
      </c>
      <c r="BP651" s="21" t="str">
        <f ca="1">IFERROR(VLOOKUP(P651,OFFSET(abbreviation[],0,ColumnLanguage),ColumnAbbreviation,FALSE),"")</f>
        <v/>
      </c>
      <c r="BQ651" s="21" t="str">
        <f ca="1">IFERROR(VLOOKUP(T651,OFFSET(abbreviation[],0,ColumnLanguage),ColumnAbbreviation,FALSE),"")</f>
        <v/>
      </c>
      <c r="BR651" s="21" t="str">
        <f ca="1">IFERROR(VLOOKUP(V651,OFFSET(abbreviation[],0,ColumnLanguage),ColumnAbbreviation,FALSE),"")</f>
        <v/>
      </c>
      <c r="BS651" s="21" t="str">
        <f ca="1">IFERROR(VLOOKUP(Z651,OFFSET(abbreviation[],0,ColumnLanguage),ColumnAbbreviation,FALSE),"")</f>
        <v/>
      </c>
      <c r="BT651" s="21" t="str">
        <f ca="1">IFERROR(VLOOKUP(AB651,OFFSET(abbreviation[],0,ColumnLanguage),ColumnAbbreviation,FALSE),"")</f>
        <v/>
      </c>
      <c r="BU651" s="21" t="str">
        <f t="shared" ca="1" si="71"/>
        <v>__</v>
      </c>
      <c r="BV651" s="21" t="str">
        <f ca="1">IFERROR(VLOOKUP(AF651,OFFSET(abbreviation[],0,ColumnLanguage),ColumnAbbreviation,FALSE),"")</f>
        <v/>
      </c>
      <c r="BW651" s="21" t="str">
        <f ca="1">IFERROR(VLOOKUP(AH651,OFFSET(abbreviation[],0,ColumnLanguage),ColumnAbbreviation,FALSE),"")</f>
        <v/>
      </c>
      <c r="BX651" s="21" t="str">
        <f ca="1">IFERROR(VLOOKUP(AJ651,OFFSET(abbreviation[],0,ColumnLanguage),ColumnAbbreviation,FALSE),"")</f>
        <v/>
      </c>
      <c r="BY651" s="21" t="str">
        <f ca="1">IFERROR(VLOOKUP(AL651,OFFSET(abbreviation[],0,ColumnLanguage),ColumnAbbreviation,FALSE),"")</f>
        <v/>
      </c>
      <c r="BZ651" s="21" t="str">
        <f t="shared" ca="1" si="72"/>
        <v>_</v>
      </c>
      <c r="CA651" s="21" t="str">
        <f ca="1">IFERROR(VLOOKUP(AP651,OFFSET(abbreviation[],0,ColumnLanguage),ColumnAbbreviation,FALSE),"")</f>
        <v/>
      </c>
      <c r="CB651" s="21" t="str">
        <f ca="1">IFERROR(VLOOKUP(AR651,OFFSET(abbreviation[],0,ColumnLanguage),ColumnAbbreviation,FALSE),"")</f>
        <v/>
      </c>
      <c r="CC651" s="21" t="str">
        <f ca="1">IFERROR(VLOOKUP(AT651,OFFSET(abbreviation[],0,ColumnLanguage),ColumnAbbreviation,FALSE),"")</f>
        <v/>
      </c>
      <c r="CD651" s="21" t="str">
        <f ca="1">IFERROR(VLOOKUP(AV651,OFFSET(abbreviation[],0,ColumnLanguage),ColumnAbbreviation,FALSE),"")</f>
        <v/>
      </c>
      <c r="CE651" s="21" t="str">
        <f t="shared" ca="1" si="73"/>
        <v>__</v>
      </c>
      <c r="CF651" s="21" t="str">
        <f ca="1">IFERROR(VLOOKUP(AX651,OFFSET(abbreviation[],0,ColumnLanguage),ColumnAbbreviation,FALSE),"")</f>
        <v/>
      </c>
      <c r="CG651" s="21" t="str">
        <f ca="1">IFERROR(VLOOKUP(AZ651,OFFSET(abbreviation[],0,ColumnLanguage),ColumnAbbreviation,FALSE),"")</f>
        <v/>
      </c>
      <c r="CH651" s="21" t="str">
        <f ca="1">IFERROR(VLOOKUP(BB651,OFFSET(abbreviation[],0,ColumnLanguage),ColumnAbbreviation,FALSE),"")</f>
        <v/>
      </c>
      <c r="CI651" s="21" t="str">
        <f ca="1">IFERROR(VLOOKUP(BD651,OFFSET(abbreviation[],0,ColumnLanguage),ColumnAbbreviation,FALSE),"")</f>
        <v/>
      </c>
      <c r="CJ651" s="21" t="str">
        <f ca="1">IFERROR(VLOOKUP(BF651,OFFSET(abbreviation[],0,ColumnLanguage),ColumnAbbreviation,FALSE),"")</f>
        <v/>
      </c>
      <c r="CK651" s="21" t="str">
        <f t="shared" ca="1" si="74"/>
        <v/>
      </c>
      <c r="CL651" s="21" t="str">
        <f t="shared" si="75"/>
        <v/>
      </c>
      <c r="CM651" s="52"/>
      <c r="CN651" s="57" t="str">
        <f t="shared" si="76"/>
        <v/>
      </c>
    </row>
    <row r="652" spans="16:92" x14ac:dyDescent="0.25">
      <c r="P652" s="60"/>
      <c r="Q652" s="13"/>
      <c r="V652" s="60"/>
      <c r="X652" s="61"/>
      <c r="AB652" s="60"/>
      <c r="AN652" s="54"/>
      <c r="AS652" s="15"/>
      <c r="BH652" s="52"/>
      <c r="BI652" s="21" t="str">
        <f ca="1">IFERROR(VLOOKUP(C652,OFFSET(abbreviation[],0,ColumnLanguage),ColumnAbbreviation,FALSE),"")</f>
        <v/>
      </c>
      <c r="BJ652" s="21" t="str">
        <f ca="1">IFERROR(VLOOKUP(E652,OFFSET(abbreviation[],0,ColumnLanguage),ColumnAbbreviation,FALSE),"")</f>
        <v/>
      </c>
      <c r="BK652" s="21" t="str">
        <f ca="1">IFERROR(VLOOKUP(G652,OFFSET(abbreviation[],0,ColumnLanguage),ColumnAbbreviation,FALSE),"")</f>
        <v/>
      </c>
      <c r="BL652" s="21" t="str">
        <f ca="1">IFERROR(VLOOKUP(I652,OFFSET(abbreviation[],0,ColumnLanguage),ColumnAbbreviation,FALSE),"")</f>
        <v/>
      </c>
      <c r="BM652" s="21" t="str">
        <f ca="1">IFERROR(VLOOKUP(K652,OFFSET(abbreviation[],0,ColumnLanguage),ColumnAbbreviation,FALSE),"")</f>
        <v/>
      </c>
      <c r="BN652" s="21" t="str">
        <f t="shared" ca="1" si="70"/>
        <v/>
      </c>
      <c r="BO652" s="21" t="str">
        <f ca="1">IFERROR(VLOOKUP(N652,OFFSET(abbreviation[],0,ColumnLanguage),ColumnAbbreviation,FALSE),"")</f>
        <v/>
      </c>
      <c r="BP652" s="21" t="str">
        <f ca="1">IFERROR(VLOOKUP(P652,OFFSET(abbreviation[],0,ColumnLanguage),ColumnAbbreviation,FALSE),"")</f>
        <v/>
      </c>
      <c r="BQ652" s="21" t="str">
        <f ca="1">IFERROR(VLOOKUP(T652,OFFSET(abbreviation[],0,ColumnLanguage),ColumnAbbreviation,FALSE),"")</f>
        <v/>
      </c>
      <c r="BR652" s="21" t="str">
        <f ca="1">IFERROR(VLOOKUP(V652,OFFSET(abbreviation[],0,ColumnLanguage),ColumnAbbreviation,FALSE),"")</f>
        <v/>
      </c>
      <c r="BS652" s="21" t="str">
        <f ca="1">IFERROR(VLOOKUP(Z652,OFFSET(abbreviation[],0,ColumnLanguage),ColumnAbbreviation,FALSE),"")</f>
        <v/>
      </c>
      <c r="BT652" s="21" t="str">
        <f ca="1">IFERROR(VLOOKUP(AB652,OFFSET(abbreviation[],0,ColumnLanguage),ColumnAbbreviation,FALSE),"")</f>
        <v/>
      </c>
      <c r="BU652" s="21" t="str">
        <f t="shared" ca="1" si="71"/>
        <v>__</v>
      </c>
      <c r="BV652" s="21" t="str">
        <f ca="1">IFERROR(VLOOKUP(AF652,OFFSET(abbreviation[],0,ColumnLanguage),ColumnAbbreviation,FALSE),"")</f>
        <v/>
      </c>
      <c r="BW652" s="21" t="str">
        <f ca="1">IFERROR(VLOOKUP(AH652,OFFSET(abbreviation[],0,ColumnLanguage),ColumnAbbreviation,FALSE),"")</f>
        <v/>
      </c>
      <c r="BX652" s="21" t="str">
        <f ca="1">IFERROR(VLOOKUP(AJ652,OFFSET(abbreviation[],0,ColumnLanguage),ColumnAbbreviation,FALSE),"")</f>
        <v/>
      </c>
      <c r="BY652" s="21" t="str">
        <f ca="1">IFERROR(VLOOKUP(AL652,OFFSET(abbreviation[],0,ColumnLanguage),ColumnAbbreviation,FALSE),"")</f>
        <v/>
      </c>
      <c r="BZ652" s="21" t="str">
        <f t="shared" ca="1" si="72"/>
        <v>_</v>
      </c>
      <c r="CA652" s="21" t="str">
        <f ca="1">IFERROR(VLOOKUP(AP652,OFFSET(abbreviation[],0,ColumnLanguage),ColumnAbbreviation,FALSE),"")</f>
        <v/>
      </c>
      <c r="CB652" s="21" t="str">
        <f ca="1">IFERROR(VLOOKUP(AR652,OFFSET(abbreviation[],0,ColumnLanguage),ColumnAbbreviation,FALSE),"")</f>
        <v/>
      </c>
      <c r="CC652" s="21" t="str">
        <f ca="1">IFERROR(VLOOKUP(AT652,OFFSET(abbreviation[],0,ColumnLanguage),ColumnAbbreviation,FALSE),"")</f>
        <v/>
      </c>
      <c r="CD652" s="21" t="str">
        <f ca="1">IFERROR(VLOOKUP(AV652,OFFSET(abbreviation[],0,ColumnLanguage),ColumnAbbreviation,FALSE),"")</f>
        <v/>
      </c>
      <c r="CE652" s="21" t="str">
        <f t="shared" ca="1" si="73"/>
        <v>__</v>
      </c>
      <c r="CF652" s="21" t="str">
        <f ca="1">IFERROR(VLOOKUP(AX652,OFFSET(abbreviation[],0,ColumnLanguage),ColumnAbbreviation,FALSE),"")</f>
        <v/>
      </c>
      <c r="CG652" s="21" t="str">
        <f ca="1">IFERROR(VLOOKUP(AZ652,OFFSET(abbreviation[],0,ColumnLanguage),ColumnAbbreviation,FALSE),"")</f>
        <v/>
      </c>
      <c r="CH652" s="21" t="str">
        <f ca="1">IFERROR(VLOOKUP(BB652,OFFSET(abbreviation[],0,ColumnLanguage),ColumnAbbreviation,FALSE),"")</f>
        <v/>
      </c>
      <c r="CI652" s="21" t="str">
        <f ca="1">IFERROR(VLOOKUP(BD652,OFFSET(abbreviation[],0,ColumnLanguage),ColumnAbbreviation,FALSE),"")</f>
        <v/>
      </c>
      <c r="CJ652" s="21" t="str">
        <f ca="1">IFERROR(VLOOKUP(BF652,OFFSET(abbreviation[],0,ColumnLanguage),ColumnAbbreviation,FALSE),"")</f>
        <v/>
      </c>
      <c r="CK652" s="21" t="str">
        <f t="shared" ca="1" si="74"/>
        <v/>
      </c>
      <c r="CL652" s="21" t="str">
        <f t="shared" si="75"/>
        <v/>
      </c>
      <c r="CM652" s="52"/>
      <c r="CN652" s="57" t="str">
        <f t="shared" si="76"/>
        <v/>
      </c>
    </row>
    <row r="653" spans="16:92" x14ac:dyDescent="0.25">
      <c r="P653" s="60"/>
      <c r="Q653" s="13"/>
      <c r="V653" s="60"/>
      <c r="X653" s="61"/>
      <c r="AB653" s="60"/>
      <c r="AN653" s="54"/>
      <c r="AS653" s="15"/>
      <c r="BH653" s="52"/>
      <c r="BI653" s="21" t="str">
        <f ca="1">IFERROR(VLOOKUP(C653,OFFSET(abbreviation[],0,ColumnLanguage),ColumnAbbreviation,FALSE),"")</f>
        <v/>
      </c>
      <c r="BJ653" s="21" t="str">
        <f ca="1">IFERROR(VLOOKUP(E653,OFFSET(abbreviation[],0,ColumnLanguage),ColumnAbbreviation,FALSE),"")</f>
        <v/>
      </c>
      <c r="BK653" s="21" t="str">
        <f ca="1">IFERROR(VLOOKUP(G653,OFFSET(abbreviation[],0,ColumnLanguage),ColumnAbbreviation,FALSE),"")</f>
        <v/>
      </c>
      <c r="BL653" s="21" t="str">
        <f ca="1">IFERROR(VLOOKUP(I653,OFFSET(abbreviation[],0,ColumnLanguage),ColumnAbbreviation,FALSE),"")</f>
        <v/>
      </c>
      <c r="BM653" s="21" t="str">
        <f ca="1">IFERROR(VLOOKUP(K653,OFFSET(abbreviation[],0,ColumnLanguage),ColumnAbbreviation,FALSE),"")</f>
        <v/>
      </c>
      <c r="BN653" s="21" t="str">
        <f t="shared" ca="1" si="70"/>
        <v/>
      </c>
      <c r="BO653" s="21" t="str">
        <f ca="1">IFERROR(VLOOKUP(N653,OFFSET(abbreviation[],0,ColumnLanguage),ColumnAbbreviation,FALSE),"")</f>
        <v/>
      </c>
      <c r="BP653" s="21" t="str">
        <f ca="1">IFERROR(VLOOKUP(P653,OFFSET(abbreviation[],0,ColumnLanguage),ColumnAbbreviation,FALSE),"")</f>
        <v/>
      </c>
      <c r="BQ653" s="21" t="str">
        <f ca="1">IFERROR(VLOOKUP(T653,OFFSET(abbreviation[],0,ColumnLanguage),ColumnAbbreviation,FALSE),"")</f>
        <v/>
      </c>
      <c r="BR653" s="21" t="str">
        <f ca="1">IFERROR(VLOOKUP(V653,OFFSET(abbreviation[],0,ColumnLanguage),ColumnAbbreviation,FALSE),"")</f>
        <v/>
      </c>
      <c r="BS653" s="21" t="str">
        <f ca="1">IFERROR(VLOOKUP(Z653,OFFSET(abbreviation[],0,ColumnLanguage),ColumnAbbreviation,FALSE),"")</f>
        <v/>
      </c>
      <c r="BT653" s="21" t="str">
        <f ca="1">IFERROR(VLOOKUP(AB653,OFFSET(abbreviation[],0,ColumnLanguage),ColumnAbbreviation,FALSE),"")</f>
        <v/>
      </c>
      <c r="BU653" s="21" t="str">
        <f t="shared" ca="1" si="71"/>
        <v>__</v>
      </c>
      <c r="BV653" s="21" t="str">
        <f ca="1">IFERROR(VLOOKUP(AF653,OFFSET(abbreviation[],0,ColumnLanguage),ColumnAbbreviation,FALSE),"")</f>
        <v/>
      </c>
      <c r="BW653" s="21" t="str">
        <f ca="1">IFERROR(VLOOKUP(AH653,OFFSET(abbreviation[],0,ColumnLanguage),ColumnAbbreviation,FALSE),"")</f>
        <v/>
      </c>
      <c r="BX653" s="21" t="str">
        <f ca="1">IFERROR(VLOOKUP(AJ653,OFFSET(abbreviation[],0,ColumnLanguage),ColumnAbbreviation,FALSE),"")</f>
        <v/>
      </c>
      <c r="BY653" s="21" t="str">
        <f ca="1">IFERROR(VLOOKUP(AL653,OFFSET(abbreviation[],0,ColumnLanguage),ColumnAbbreviation,FALSE),"")</f>
        <v/>
      </c>
      <c r="BZ653" s="21" t="str">
        <f t="shared" ca="1" si="72"/>
        <v>_</v>
      </c>
      <c r="CA653" s="21" t="str">
        <f ca="1">IFERROR(VLOOKUP(AP653,OFFSET(abbreviation[],0,ColumnLanguage),ColumnAbbreviation,FALSE),"")</f>
        <v/>
      </c>
      <c r="CB653" s="21" t="str">
        <f ca="1">IFERROR(VLOOKUP(AR653,OFFSET(abbreviation[],0,ColumnLanguage),ColumnAbbreviation,FALSE),"")</f>
        <v/>
      </c>
      <c r="CC653" s="21" t="str">
        <f ca="1">IFERROR(VLOOKUP(AT653,OFFSET(abbreviation[],0,ColumnLanguage),ColumnAbbreviation,FALSE),"")</f>
        <v/>
      </c>
      <c r="CD653" s="21" t="str">
        <f ca="1">IFERROR(VLOOKUP(AV653,OFFSET(abbreviation[],0,ColumnLanguage),ColumnAbbreviation,FALSE),"")</f>
        <v/>
      </c>
      <c r="CE653" s="21" t="str">
        <f t="shared" ca="1" si="73"/>
        <v>__</v>
      </c>
      <c r="CF653" s="21" t="str">
        <f ca="1">IFERROR(VLOOKUP(AX653,OFFSET(abbreviation[],0,ColumnLanguage),ColumnAbbreviation,FALSE),"")</f>
        <v/>
      </c>
      <c r="CG653" s="21" t="str">
        <f ca="1">IFERROR(VLOOKUP(AZ653,OFFSET(abbreviation[],0,ColumnLanguage),ColumnAbbreviation,FALSE),"")</f>
        <v/>
      </c>
      <c r="CH653" s="21" t="str">
        <f ca="1">IFERROR(VLOOKUP(BB653,OFFSET(abbreviation[],0,ColumnLanguage),ColumnAbbreviation,FALSE),"")</f>
        <v/>
      </c>
      <c r="CI653" s="21" t="str">
        <f ca="1">IFERROR(VLOOKUP(BD653,OFFSET(abbreviation[],0,ColumnLanguage),ColumnAbbreviation,FALSE),"")</f>
        <v/>
      </c>
      <c r="CJ653" s="21" t="str">
        <f ca="1">IFERROR(VLOOKUP(BF653,OFFSET(abbreviation[],0,ColumnLanguage),ColumnAbbreviation,FALSE),"")</f>
        <v/>
      </c>
      <c r="CK653" s="21" t="str">
        <f t="shared" ca="1" si="74"/>
        <v/>
      </c>
      <c r="CL653" s="21" t="str">
        <f t="shared" si="75"/>
        <v/>
      </c>
      <c r="CM653" s="52"/>
      <c r="CN653" s="57" t="str">
        <f t="shared" si="76"/>
        <v/>
      </c>
    </row>
    <row r="654" spans="16:92" x14ac:dyDescent="0.25">
      <c r="P654" s="60"/>
      <c r="Q654" s="13"/>
      <c r="V654" s="60"/>
      <c r="X654" s="61"/>
      <c r="AB654" s="60"/>
      <c r="AN654" s="54"/>
      <c r="AS654" s="15"/>
      <c r="BH654" s="52"/>
      <c r="BI654" s="21" t="str">
        <f ca="1">IFERROR(VLOOKUP(C654,OFFSET(abbreviation[],0,ColumnLanguage),ColumnAbbreviation,FALSE),"")</f>
        <v/>
      </c>
      <c r="BJ654" s="21" t="str">
        <f ca="1">IFERROR(VLOOKUP(E654,OFFSET(abbreviation[],0,ColumnLanguage),ColumnAbbreviation,FALSE),"")</f>
        <v/>
      </c>
      <c r="BK654" s="21" t="str">
        <f ca="1">IFERROR(VLOOKUP(G654,OFFSET(abbreviation[],0,ColumnLanguage),ColumnAbbreviation,FALSE),"")</f>
        <v/>
      </c>
      <c r="BL654" s="21" t="str">
        <f ca="1">IFERROR(VLOOKUP(I654,OFFSET(abbreviation[],0,ColumnLanguage),ColumnAbbreviation,FALSE),"")</f>
        <v/>
      </c>
      <c r="BM654" s="21" t="str">
        <f ca="1">IFERROR(VLOOKUP(K654,OFFSET(abbreviation[],0,ColumnLanguage),ColumnAbbreviation,FALSE),"")</f>
        <v/>
      </c>
      <c r="BN654" s="21" t="str">
        <f t="shared" ca="1" si="70"/>
        <v/>
      </c>
      <c r="BO654" s="21" t="str">
        <f ca="1">IFERROR(VLOOKUP(N654,OFFSET(abbreviation[],0,ColumnLanguage),ColumnAbbreviation,FALSE),"")</f>
        <v/>
      </c>
      <c r="BP654" s="21" t="str">
        <f ca="1">IFERROR(VLOOKUP(P654,OFFSET(abbreviation[],0,ColumnLanguage),ColumnAbbreviation,FALSE),"")</f>
        <v/>
      </c>
      <c r="BQ654" s="21" t="str">
        <f ca="1">IFERROR(VLOOKUP(T654,OFFSET(abbreviation[],0,ColumnLanguage),ColumnAbbreviation,FALSE),"")</f>
        <v/>
      </c>
      <c r="BR654" s="21" t="str">
        <f ca="1">IFERROR(VLOOKUP(V654,OFFSET(abbreviation[],0,ColumnLanguage),ColumnAbbreviation,FALSE),"")</f>
        <v/>
      </c>
      <c r="BS654" s="21" t="str">
        <f ca="1">IFERROR(VLOOKUP(Z654,OFFSET(abbreviation[],0,ColumnLanguage),ColumnAbbreviation,FALSE),"")</f>
        <v/>
      </c>
      <c r="BT654" s="21" t="str">
        <f ca="1">IFERROR(VLOOKUP(AB654,OFFSET(abbreviation[],0,ColumnLanguage),ColumnAbbreviation,FALSE),"")</f>
        <v/>
      </c>
      <c r="BU654" s="21" t="str">
        <f t="shared" ca="1" si="71"/>
        <v>__</v>
      </c>
      <c r="BV654" s="21" t="str">
        <f ca="1">IFERROR(VLOOKUP(AF654,OFFSET(abbreviation[],0,ColumnLanguage),ColumnAbbreviation,FALSE),"")</f>
        <v/>
      </c>
      <c r="BW654" s="21" t="str">
        <f ca="1">IFERROR(VLOOKUP(AH654,OFFSET(abbreviation[],0,ColumnLanguage),ColumnAbbreviation,FALSE),"")</f>
        <v/>
      </c>
      <c r="BX654" s="21" t="str">
        <f ca="1">IFERROR(VLOOKUP(AJ654,OFFSET(abbreviation[],0,ColumnLanguage),ColumnAbbreviation,FALSE),"")</f>
        <v/>
      </c>
      <c r="BY654" s="21" t="str">
        <f ca="1">IFERROR(VLOOKUP(AL654,OFFSET(abbreviation[],0,ColumnLanguage),ColumnAbbreviation,FALSE),"")</f>
        <v/>
      </c>
      <c r="BZ654" s="21" t="str">
        <f t="shared" ca="1" si="72"/>
        <v>_</v>
      </c>
      <c r="CA654" s="21" t="str">
        <f ca="1">IFERROR(VLOOKUP(AP654,OFFSET(abbreviation[],0,ColumnLanguage),ColumnAbbreviation,FALSE),"")</f>
        <v/>
      </c>
      <c r="CB654" s="21" t="str">
        <f ca="1">IFERROR(VLOOKUP(AR654,OFFSET(abbreviation[],0,ColumnLanguage),ColumnAbbreviation,FALSE),"")</f>
        <v/>
      </c>
      <c r="CC654" s="21" t="str">
        <f ca="1">IFERROR(VLOOKUP(AT654,OFFSET(abbreviation[],0,ColumnLanguage),ColumnAbbreviation,FALSE),"")</f>
        <v/>
      </c>
      <c r="CD654" s="21" t="str">
        <f ca="1">IFERROR(VLOOKUP(AV654,OFFSET(abbreviation[],0,ColumnLanguage),ColumnAbbreviation,FALSE),"")</f>
        <v/>
      </c>
      <c r="CE654" s="21" t="str">
        <f t="shared" ca="1" si="73"/>
        <v>__</v>
      </c>
      <c r="CF654" s="21" t="str">
        <f ca="1">IFERROR(VLOOKUP(AX654,OFFSET(abbreviation[],0,ColumnLanguage),ColumnAbbreviation,FALSE),"")</f>
        <v/>
      </c>
      <c r="CG654" s="21" t="str">
        <f ca="1">IFERROR(VLOOKUP(AZ654,OFFSET(abbreviation[],0,ColumnLanguage),ColumnAbbreviation,FALSE),"")</f>
        <v/>
      </c>
      <c r="CH654" s="21" t="str">
        <f ca="1">IFERROR(VLOOKUP(BB654,OFFSET(abbreviation[],0,ColumnLanguage),ColumnAbbreviation,FALSE),"")</f>
        <v/>
      </c>
      <c r="CI654" s="21" t="str">
        <f ca="1">IFERROR(VLOOKUP(BD654,OFFSET(abbreviation[],0,ColumnLanguage),ColumnAbbreviation,FALSE),"")</f>
        <v/>
      </c>
      <c r="CJ654" s="21" t="str">
        <f ca="1">IFERROR(VLOOKUP(BF654,OFFSET(abbreviation[],0,ColumnLanguage),ColumnAbbreviation,FALSE),"")</f>
        <v/>
      </c>
      <c r="CK654" s="21" t="str">
        <f t="shared" ca="1" si="74"/>
        <v/>
      </c>
      <c r="CL654" s="21" t="str">
        <f t="shared" si="75"/>
        <v/>
      </c>
      <c r="CM654" s="52"/>
      <c r="CN654" s="57" t="str">
        <f t="shared" si="76"/>
        <v/>
      </c>
    </row>
    <row r="655" spans="16:92" x14ac:dyDescent="0.25">
      <c r="P655" s="60"/>
      <c r="Q655" s="13"/>
      <c r="V655" s="60"/>
      <c r="X655" s="61"/>
      <c r="AB655" s="60"/>
      <c r="AN655" s="54"/>
      <c r="AS655" s="15"/>
      <c r="BH655" s="52"/>
      <c r="BI655" s="21" t="str">
        <f ca="1">IFERROR(VLOOKUP(C655,OFFSET(abbreviation[],0,ColumnLanguage),ColumnAbbreviation,FALSE),"")</f>
        <v/>
      </c>
      <c r="BJ655" s="21" t="str">
        <f ca="1">IFERROR(VLOOKUP(E655,OFFSET(abbreviation[],0,ColumnLanguage),ColumnAbbreviation,FALSE),"")</f>
        <v/>
      </c>
      <c r="BK655" s="21" t="str">
        <f ca="1">IFERROR(VLOOKUP(G655,OFFSET(abbreviation[],0,ColumnLanguage),ColumnAbbreviation,FALSE),"")</f>
        <v/>
      </c>
      <c r="BL655" s="21" t="str">
        <f ca="1">IFERROR(VLOOKUP(I655,OFFSET(abbreviation[],0,ColumnLanguage),ColumnAbbreviation,FALSE),"")</f>
        <v/>
      </c>
      <c r="BM655" s="21" t="str">
        <f ca="1">IFERROR(VLOOKUP(K655,OFFSET(abbreviation[],0,ColumnLanguage),ColumnAbbreviation,FALSE),"")</f>
        <v/>
      </c>
      <c r="BN655" s="21" t="str">
        <f t="shared" ca="1" si="70"/>
        <v/>
      </c>
      <c r="BO655" s="21" t="str">
        <f ca="1">IFERROR(VLOOKUP(N655,OFFSET(abbreviation[],0,ColumnLanguage),ColumnAbbreviation,FALSE),"")</f>
        <v/>
      </c>
      <c r="BP655" s="21" t="str">
        <f ca="1">IFERROR(VLOOKUP(P655,OFFSET(abbreviation[],0,ColumnLanguage),ColumnAbbreviation,FALSE),"")</f>
        <v/>
      </c>
      <c r="BQ655" s="21" t="str">
        <f ca="1">IFERROR(VLOOKUP(T655,OFFSET(abbreviation[],0,ColumnLanguage),ColumnAbbreviation,FALSE),"")</f>
        <v/>
      </c>
      <c r="BR655" s="21" t="str">
        <f ca="1">IFERROR(VLOOKUP(V655,OFFSET(abbreviation[],0,ColumnLanguage),ColumnAbbreviation,FALSE),"")</f>
        <v/>
      </c>
      <c r="BS655" s="21" t="str">
        <f ca="1">IFERROR(VLOOKUP(Z655,OFFSET(abbreviation[],0,ColumnLanguage),ColumnAbbreviation,FALSE),"")</f>
        <v/>
      </c>
      <c r="BT655" s="21" t="str">
        <f ca="1">IFERROR(VLOOKUP(AB655,OFFSET(abbreviation[],0,ColumnLanguage),ColumnAbbreviation,FALSE),"")</f>
        <v/>
      </c>
      <c r="BU655" s="21" t="str">
        <f t="shared" ca="1" si="71"/>
        <v>__</v>
      </c>
      <c r="BV655" s="21" t="str">
        <f ca="1">IFERROR(VLOOKUP(AF655,OFFSET(abbreviation[],0,ColumnLanguage),ColumnAbbreviation,FALSE),"")</f>
        <v/>
      </c>
      <c r="BW655" s="21" t="str">
        <f ca="1">IFERROR(VLOOKUP(AH655,OFFSET(abbreviation[],0,ColumnLanguage),ColumnAbbreviation,FALSE),"")</f>
        <v/>
      </c>
      <c r="BX655" s="21" t="str">
        <f ca="1">IFERROR(VLOOKUP(AJ655,OFFSET(abbreviation[],0,ColumnLanguage),ColumnAbbreviation,FALSE),"")</f>
        <v/>
      </c>
      <c r="BY655" s="21" t="str">
        <f ca="1">IFERROR(VLOOKUP(AL655,OFFSET(abbreviation[],0,ColumnLanguage),ColumnAbbreviation,FALSE),"")</f>
        <v/>
      </c>
      <c r="BZ655" s="21" t="str">
        <f t="shared" ca="1" si="72"/>
        <v>_</v>
      </c>
      <c r="CA655" s="21" t="str">
        <f ca="1">IFERROR(VLOOKUP(AP655,OFFSET(abbreviation[],0,ColumnLanguage),ColumnAbbreviation,FALSE),"")</f>
        <v/>
      </c>
      <c r="CB655" s="21" t="str">
        <f ca="1">IFERROR(VLOOKUP(AR655,OFFSET(abbreviation[],0,ColumnLanguage),ColumnAbbreviation,FALSE),"")</f>
        <v/>
      </c>
      <c r="CC655" s="21" t="str">
        <f ca="1">IFERROR(VLOOKUP(AT655,OFFSET(abbreviation[],0,ColumnLanguage),ColumnAbbreviation,FALSE),"")</f>
        <v/>
      </c>
      <c r="CD655" s="21" t="str">
        <f ca="1">IFERROR(VLOOKUP(AV655,OFFSET(abbreviation[],0,ColumnLanguage),ColumnAbbreviation,FALSE),"")</f>
        <v/>
      </c>
      <c r="CE655" s="21" t="str">
        <f t="shared" ca="1" si="73"/>
        <v>__</v>
      </c>
      <c r="CF655" s="21" t="str">
        <f ca="1">IFERROR(VLOOKUP(AX655,OFFSET(abbreviation[],0,ColumnLanguage),ColumnAbbreviation,FALSE),"")</f>
        <v/>
      </c>
      <c r="CG655" s="21" t="str">
        <f ca="1">IFERROR(VLOOKUP(AZ655,OFFSET(abbreviation[],0,ColumnLanguage),ColumnAbbreviation,FALSE),"")</f>
        <v/>
      </c>
      <c r="CH655" s="21" t="str">
        <f ca="1">IFERROR(VLOOKUP(BB655,OFFSET(abbreviation[],0,ColumnLanguage),ColumnAbbreviation,FALSE),"")</f>
        <v/>
      </c>
      <c r="CI655" s="21" t="str">
        <f ca="1">IFERROR(VLOOKUP(BD655,OFFSET(abbreviation[],0,ColumnLanguage),ColumnAbbreviation,FALSE),"")</f>
        <v/>
      </c>
      <c r="CJ655" s="21" t="str">
        <f ca="1">IFERROR(VLOOKUP(BF655,OFFSET(abbreviation[],0,ColumnLanguage),ColumnAbbreviation,FALSE),"")</f>
        <v/>
      </c>
      <c r="CK655" s="21" t="str">
        <f t="shared" ca="1" si="74"/>
        <v/>
      </c>
      <c r="CL655" s="21" t="str">
        <f t="shared" si="75"/>
        <v/>
      </c>
      <c r="CM655" s="52"/>
      <c r="CN655" s="57" t="str">
        <f t="shared" si="76"/>
        <v/>
      </c>
    </row>
    <row r="656" spans="16:92" x14ac:dyDescent="0.25">
      <c r="P656" s="60"/>
      <c r="Q656" s="13"/>
      <c r="V656" s="60"/>
      <c r="X656" s="61"/>
      <c r="AB656" s="60"/>
      <c r="AN656" s="54"/>
      <c r="AS656" s="15"/>
      <c r="BH656" s="52"/>
      <c r="BI656" s="21" t="str">
        <f ca="1">IFERROR(VLOOKUP(C656,OFFSET(abbreviation[],0,ColumnLanguage),ColumnAbbreviation,FALSE),"")</f>
        <v/>
      </c>
      <c r="BJ656" s="21" t="str">
        <f ca="1">IFERROR(VLOOKUP(E656,OFFSET(abbreviation[],0,ColumnLanguage),ColumnAbbreviation,FALSE),"")</f>
        <v/>
      </c>
      <c r="BK656" s="21" t="str">
        <f ca="1">IFERROR(VLOOKUP(G656,OFFSET(abbreviation[],0,ColumnLanguage),ColumnAbbreviation,FALSE),"")</f>
        <v/>
      </c>
      <c r="BL656" s="21" t="str">
        <f ca="1">IFERROR(VLOOKUP(I656,OFFSET(abbreviation[],0,ColumnLanguage),ColumnAbbreviation,FALSE),"")</f>
        <v/>
      </c>
      <c r="BM656" s="21" t="str">
        <f ca="1">IFERROR(VLOOKUP(K656,OFFSET(abbreviation[],0,ColumnLanguage),ColumnAbbreviation,FALSE),"")</f>
        <v/>
      </c>
      <c r="BN656" s="21" t="str">
        <f t="shared" ca="1" si="70"/>
        <v/>
      </c>
      <c r="BO656" s="21" t="str">
        <f ca="1">IFERROR(VLOOKUP(N656,OFFSET(abbreviation[],0,ColumnLanguage),ColumnAbbreviation,FALSE),"")</f>
        <v/>
      </c>
      <c r="BP656" s="21" t="str">
        <f ca="1">IFERROR(VLOOKUP(P656,OFFSET(abbreviation[],0,ColumnLanguage),ColumnAbbreviation,FALSE),"")</f>
        <v/>
      </c>
      <c r="BQ656" s="21" t="str">
        <f ca="1">IFERROR(VLOOKUP(T656,OFFSET(abbreviation[],0,ColumnLanguage),ColumnAbbreviation,FALSE),"")</f>
        <v/>
      </c>
      <c r="BR656" s="21" t="str">
        <f ca="1">IFERROR(VLOOKUP(V656,OFFSET(abbreviation[],0,ColumnLanguage),ColumnAbbreviation,FALSE),"")</f>
        <v/>
      </c>
      <c r="BS656" s="21" t="str">
        <f ca="1">IFERROR(VLOOKUP(Z656,OFFSET(abbreviation[],0,ColumnLanguage),ColumnAbbreviation,FALSE),"")</f>
        <v/>
      </c>
      <c r="BT656" s="21" t="str">
        <f ca="1">IFERROR(VLOOKUP(AB656,OFFSET(abbreviation[],0,ColumnLanguage),ColumnAbbreviation,FALSE),"")</f>
        <v/>
      </c>
      <c r="BU656" s="21" t="str">
        <f t="shared" ca="1" si="71"/>
        <v>__</v>
      </c>
      <c r="BV656" s="21" t="str">
        <f ca="1">IFERROR(VLOOKUP(AF656,OFFSET(abbreviation[],0,ColumnLanguage),ColumnAbbreviation,FALSE),"")</f>
        <v/>
      </c>
      <c r="BW656" s="21" t="str">
        <f ca="1">IFERROR(VLOOKUP(AH656,OFFSET(abbreviation[],0,ColumnLanguage),ColumnAbbreviation,FALSE),"")</f>
        <v/>
      </c>
      <c r="BX656" s="21" t="str">
        <f ca="1">IFERROR(VLOOKUP(AJ656,OFFSET(abbreviation[],0,ColumnLanguage),ColumnAbbreviation,FALSE),"")</f>
        <v/>
      </c>
      <c r="BY656" s="21" t="str">
        <f ca="1">IFERROR(VLOOKUP(AL656,OFFSET(abbreviation[],0,ColumnLanguage),ColumnAbbreviation,FALSE),"")</f>
        <v/>
      </c>
      <c r="BZ656" s="21" t="str">
        <f t="shared" ca="1" si="72"/>
        <v>_</v>
      </c>
      <c r="CA656" s="21" t="str">
        <f ca="1">IFERROR(VLOOKUP(AP656,OFFSET(abbreviation[],0,ColumnLanguage),ColumnAbbreviation,FALSE),"")</f>
        <v/>
      </c>
      <c r="CB656" s="21" t="str">
        <f ca="1">IFERROR(VLOOKUP(AR656,OFFSET(abbreviation[],0,ColumnLanguage),ColumnAbbreviation,FALSE),"")</f>
        <v/>
      </c>
      <c r="CC656" s="21" t="str">
        <f ca="1">IFERROR(VLOOKUP(AT656,OFFSET(abbreviation[],0,ColumnLanguage),ColumnAbbreviation,FALSE),"")</f>
        <v/>
      </c>
      <c r="CD656" s="21" t="str">
        <f ca="1">IFERROR(VLOOKUP(AV656,OFFSET(abbreviation[],0,ColumnLanguage),ColumnAbbreviation,FALSE),"")</f>
        <v/>
      </c>
      <c r="CE656" s="21" t="str">
        <f t="shared" ca="1" si="73"/>
        <v>__</v>
      </c>
      <c r="CF656" s="21" t="str">
        <f ca="1">IFERROR(VLOOKUP(AX656,OFFSET(abbreviation[],0,ColumnLanguage),ColumnAbbreviation,FALSE),"")</f>
        <v/>
      </c>
      <c r="CG656" s="21" t="str">
        <f ca="1">IFERROR(VLOOKUP(AZ656,OFFSET(abbreviation[],0,ColumnLanguage),ColumnAbbreviation,FALSE),"")</f>
        <v/>
      </c>
      <c r="CH656" s="21" t="str">
        <f ca="1">IFERROR(VLOOKUP(BB656,OFFSET(abbreviation[],0,ColumnLanguage),ColumnAbbreviation,FALSE),"")</f>
        <v/>
      </c>
      <c r="CI656" s="21" t="str">
        <f ca="1">IFERROR(VLOOKUP(BD656,OFFSET(abbreviation[],0,ColumnLanguage),ColumnAbbreviation,FALSE),"")</f>
        <v/>
      </c>
      <c r="CJ656" s="21" t="str">
        <f ca="1">IFERROR(VLOOKUP(BF656,OFFSET(abbreviation[],0,ColumnLanguage),ColumnAbbreviation,FALSE),"")</f>
        <v/>
      </c>
      <c r="CK656" s="21" t="str">
        <f t="shared" ca="1" si="74"/>
        <v/>
      </c>
      <c r="CL656" s="21" t="str">
        <f t="shared" si="75"/>
        <v/>
      </c>
      <c r="CM656" s="52"/>
      <c r="CN656" s="57" t="str">
        <f t="shared" si="76"/>
        <v/>
      </c>
    </row>
    <row r="657" spans="16:92" x14ac:dyDescent="0.25">
      <c r="P657" s="60"/>
      <c r="Q657" s="13"/>
      <c r="V657" s="60"/>
      <c r="X657" s="61"/>
      <c r="AB657" s="60"/>
      <c r="AN657" s="54"/>
      <c r="AS657" s="15"/>
      <c r="BH657" s="52"/>
      <c r="BI657" s="21" t="str">
        <f ca="1">IFERROR(VLOOKUP(C657,OFFSET(abbreviation[],0,ColumnLanguage),ColumnAbbreviation,FALSE),"")</f>
        <v/>
      </c>
      <c r="BJ657" s="21" t="str">
        <f ca="1">IFERROR(VLOOKUP(E657,OFFSET(abbreviation[],0,ColumnLanguage),ColumnAbbreviation,FALSE),"")</f>
        <v/>
      </c>
      <c r="BK657" s="21" t="str">
        <f ca="1">IFERROR(VLOOKUP(G657,OFFSET(abbreviation[],0,ColumnLanguage),ColumnAbbreviation,FALSE),"")</f>
        <v/>
      </c>
      <c r="BL657" s="21" t="str">
        <f ca="1">IFERROR(VLOOKUP(I657,OFFSET(abbreviation[],0,ColumnLanguage),ColumnAbbreviation,FALSE),"")</f>
        <v/>
      </c>
      <c r="BM657" s="21" t="str">
        <f ca="1">IFERROR(VLOOKUP(K657,OFFSET(abbreviation[],0,ColumnLanguage),ColumnAbbreviation,FALSE),"")</f>
        <v/>
      </c>
      <c r="BN657" s="21" t="str">
        <f t="shared" ca="1" si="70"/>
        <v/>
      </c>
      <c r="BO657" s="21" t="str">
        <f ca="1">IFERROR(VLOOKUP(N657,OFFSET(abbreviation[],0,ColumnLanguage),ColumnAbbreviation,FALSE),"")</f>
        <v/>
      </c>
      <c r="BP657" s="21" t="str">
        <f ca="1">IFERROR(VLOOKUP(P657,OFFSET(abbreviation[],0,ColumnLanguage),ColumnAbbreviation,FALSE),"")</f>
        <v/>
      </c>
      <c r="BQ657" s="21" t="str">
        <f ca="1">IFERROR(VLOOKUP(T657,OFFSET(abbreviation[],0,ColumnLanguage),ColumnAbbreviation,FALSE),"")</f>
        <v/>
      </c>
      <c r="BR657" s="21" t="str">
        <f ca="1">IFERROR(VLOOKUP(V657,OFFSET(abbreviation[],0,ColumnLanguage),ColumnAbbreviation,FALSE),"")</f>
        <v/>
      </c>
      <c r="BS657" s="21" t="str">
        <f ca="1">IFERROR(VLOOKUP(Z657,OFFSET(abbreviation[],0,ColumnLanguage),ColumnAbbreviation,FALSE),"")</f>
        <v/>
      </c>
      <c r="BT657" s="21" t="str">
        <f ca="1">IFERROR(VLOOKUP(AB657,OFFSET(abbreviation[],0,ColumnLanguage),ColumnAbbreviation,FALSE),"")</f>
        <v/>
      </c>
      <c r="BU657" s="21" t="str">
        <f t="shared" ca="1" si="71"/>
        <v>__</v>
      </c>
      <c r="BV657" s="21" t="str">
        <f ca="1">IFERROR(VLOOKUP(AF657,OFFSET(abbreviation[],0,ColumnLanguage),ColumnAbbreviation,FALSE),"")</f>
        <v/>
      </c>
      <c r="BW657" s="21" t="str">
        <f ca="1">IFERROR(VLOOKUP(AH657,OFFSET(abbreviation[],0,ColumnLanguage),ColumnAbbreviation,FALSE),"")</f>
        <v/>
      </c>
      <c r="BX657" s="21" t="str">
        <f ca="1">IFERROR(VLOOKUP(AJ657,OFFSET(abbreviation[],0,ColumnLanguage),ColumnAbbreviation,FALSE),"")</f>
        <v/>
      </c>
      <c r="BY657" s="21" t="str">
        <f ca="1">IFERROR(VLOOKUP(AL657,OFFSET(abbreviation[],0,ColumnLanguage),ColumnAbbreviation,FALSE),"")</f>
        <v/>
      </c>
      <c r="BZ657" s="21" t="str">
        <f t="shared" ca="1" si="72"/>
        <v>_</v>
      </c>
      <c r="CA657" s="21" t="str">
        <f ca="1">IFERROR(VLOOKUP(AP657,OFFSET(abbreviation[],0,ColumnLanguage),ColumnAbbreviation,FALSE),"")</f>
        <v/>
      </c>
      <c r="CB657" s="21" t="str">
        <f ca="1">IFERROR(VLOOKUP(AR657,OFFSET(abbreviation[],0,ColumnLanguage),ColumnAbbreviation,FALSE),"")</f>
        <v/>
      </c>
      <c r="CC657" s="21" t="str">
        <f ca="1">IFERROR(VLOOKUP(AT657,OFFSET(abbreviation[],0,ColumnLanguage),ColumnAbbreviation,FALSE),"")</f>
        <v/>
      </c>
      <c r="CD657" s="21" t="str">
        <f ca="1">IFERROR(VLOOKUP(AV657,OFFSET(abbreviation[],0,ColumnLanguage),ColumnAbbreviation,FALSE),"")</f>
        <v/>
      </c>
      <c r="CE657" s="21" t="str">
        <f t="shared" ca="1" si="73"/>
        <v>__</v>
      </c>
      <c r="CF657" s="21" t="str">
        <f ca="1">IFERROR(VLOOKUP(AX657,OFFSET(abbreviation[],0,ColumnLanguage),ColumnAbbreviation,FALSE),"")</f>
        <v/>
      </c>
      <c r="CG657" s="21" t="str">
        <f ca="1">IFERROR(VLOOKUP(AZ657,OFFSET(abbreviation[],0,ColumnLanguage),ColumnAbbreviation,FALSE),"")</f>
        <v/>
      </c>
      <c r="CH657" s="21" t="str">
        <f ca="1">IFERROR(VLOOKUP(BB657,OFFSET(abbreviation[],0,ColumnLanguage),ColumnAbbreviation,FALSE),"")</f>
        <v/>
      </c>
      <c r="CI657" s="21" t="str">
        <f ca="1">IFERROR(VLOOKUP(BD657,OFFSET(abbreviation[],0,ColumnLanguage),ColumnAbbreviation,FALSE),"")</f>
        <v/>
      </c>
      <c r="CJ657" s="21" t="str">
        <f ca="1">IFERROR(VLOOKUP(BF657,OFFSET(abbreviation[],0,ColumnLanguage),ColumnAbbreviation,FALSE),"")</f>
        <v/>
      </c>
      <c r="CK657" s="21" t="str">
        <f t="shared" ca="1" si="74"/>
        <v/>
      </c>
      <c r="CL657" s="21" t="str">
        <f t="shared" si="75"/>
        <v/>
      </c>
      <c r="CM657" s="52"/>
      <c r="CN657" s="57" t="str">
        <f t="shared" si="76"/>
        <v/>
      </c>
    </row>
    <row r="658" spans="16:92" x14ac:dyDescent="0.25">
      <c r="P658" s="60"/>
      <c r="Q658" s="13"/>
      <c r="V658" s="60"/>
      <c r="X658" s="61"/>
      <c r="AB658" s="60"/>
      <c r="AN658" s="54"/>
      <c r="AS658" s="15"/>
      <c r="BH658" s="52"/>
      <c r="BI658" s="21" t="str">
        <f ca="1">IFERROR(VLOOKUP(C658,OFFSET(abbreviation[],0,ColumnLanguage),ColumnAbbreviation,FALSE),"")</f>
        <v/>
      </c>
      <c r="BJ658" s="21" t="str">
        <f ca="1">IFERROR(VLOOKUP(E658,OFFSET(abbreviation[],0,ColumnLanguage),ColumnAbbreviation,FALSE),"")</f>
        <v/>
      </c>
      <c r="BK658" s="21" t="str">
        <f ca="1">IFERROR(VLOOKUP(G658,OFFSET(abbreviation[],0,ColumnLanguage),ColumnAbbreviation,FALSE),"")</f>
        <v/>
      </c>
      <c r="BL658" s="21" t="str">
        <f ca="1">IFERROR(VLOOKUP(I658,OFFSET(abbreviation[],0,ColumnLanguage),ColumnAbbreviation,FALSE),"")</f>
        <v/>
      </c>
      <c r="BM658" s="21" t="str">
        <f ca="1">IFERROR(VLOOKUP(K658,OFFSET(abbreviation[],0,ColumnLanguage),ColumnAbbreviation,FALSE),"")</f>
        <v/>
      </c>
      <c r="BN658" s="21" t="str">
        <f t="shared" ca="1" si="70"/>
        <v/>
      </c>
      <c r="BO658" s="21" t="str">
        <f ca="1">IFERROR(VLOOKUP(N658,OFFSET(abbreviation[],0,ColumnLanguage),ColumnAbbreviation,FALSE),"")</f>
        <v/>
      </c>
      <c r="BP658" s="21" t="str">
        <f ca="1">IFERROR(VLOOKUP(P658,OFFSET(abbreviation[],0,ColumnLanguage),ColumnAbbreviation,FALSE),"")</f>
        <v/>
      </c>
      <c r="BQ658" s="21" t="str">
        <f ca="1">IFERROR(VLOOKUP(T658,OFFSET(abbreviation[],0,ColumnLanguage),ColumnAbbreviation,FALSE),"")</f>
        <v/>
      </c>
      <c r="BR658" s="21" t="str">
        <f ca="1">IFERROR(VLOOKUP(V658,OFFSET(abbreviation[],0,ColumnLanguage),ColumnAbbreviation,FALSE),"")</f>
        <v/>
      </c>
      <c r="BS658" s="21" t="str">
        <f ca="1">IFERROR(VLOOKUP(Z658,OFFSET(abbreviation[],0,ColumnLanguage),ColumnAbbreviation,FALSE),"")</f>
        <v/>
      </c>
      <c r="BT658" s="21" t="str">
        <f ca="1">IFERROR(VLOOKUP(AB658,OFFSET(abbreviation[],0,ColumnLanguage),ColumnAbbreviation,FALSE),"")</f>
        <v/>
      </c>
      <c r="BU658" s="21" t="str">
        <f t="shared" ca="1" si="71"/>
        <v>__</v>
      </c>
      <c r="BV658" s="21" t="str">
        <f ca="1">IFERROR(VLOOKUP(AF658,OFFSET(abbreviation[],0,ColumnLanguage),ColumnAbbreviation,FALSE),"")</f>
        <v/>
      </c>
      <c r="BW658" s="21" t="str">
        <f ca="1">IFERROR(VLOOKUP(AH658,OFFSET(abbreviation[],0,ColumnLanguage),ColumnAbbreviation,FALSE),"")</f>
        <v/>
      </c>
      <c r="BX658" s="21" t="str">
        <f ca="1">IFERROR(VLOOKUP(AJ658,OFFSET(abbreviation[],0,ColumnLanguage),ColumnAbbreviation,FALSE),"")</f>
        <v/>
      </c>
      <c r="BY658" s="21" t="str">
        <f ca="1">IFERROR(VLOOKUP(AL658,OFFSET(abbreviation[],0,ColumnLanguage),ColumnAbbreviation,FALSE),"")</f>
        <v/>
      </c>
      <c r="BZ658" s="21" t="str">
        <f t="shared" ca="1" si="72"/>
        <v>_</v>
      </c>
      <c r="CA658" s="21" t="str">
        <f ca="1">IFERROR(VLOOKUP(AP658,OFFSET(abbreviation[],0,ColumnLanguage),ColumnAbbreviation,FALSE),"")</f>
        <v/>
      </c>
      <c r="CB658" s="21" t="str">
        <f ca="1">IFERROR(VLOOKUP(AR658,OFFSET(abbreviation[],0,ColumnLanguage),ColumnAbbreviation,FALSE),"")</f>
        <v/>
      </c>
      <c r="CC658" s="21" t="str">
        <f ca="1">IFERROR(VLOOKUP(AT658,OFFSET(abbreviation[],0,ColumnLanguage),ColumnAbbreviation,FALSE),"")</f>
        <v/>
      </c>
      <c r="CD658" s="21" t="str">
        <f ca="1">IFERROR(VLOOKUP(AV658,OFFSET(abbreviation[],0,ColumnLanguage),ColumnAbbreviation,FALSE),"")</f>
        <v/>
      </c>
      <c r="CE658" s="21" t="str">
        <f t="shared" ca="1" si="73"/>
        <v>__</v>
      </c>
      <c r="CF658" s="21" t="str">
        <f ca="1">IFERROR(VLOOKUP(AX658,OFFSET(abbreviation[],0,ColumnLanguage),ColumnAbbreviation,FALSE),"")</f>
        <v/>
      </c>
      <c r="CG658" s="21" t="str">
        <f ca="1">IFERROR(VLOOKUP(AZ658,OFFSET(abbreviation[],0,ColumnLanguage),ColumnAbbreviation,FALSE),"")</f>
        <v/>
      </c>
      <c r="CH658" s="21" t="str">
        <f ca="1">IFERROR(VLOOKUP(BB658,OFFSET(abbreviation[],0,ColumnLanguage),ColumnAbbreviation,FALSE),"")</f>
        <v/>
      </c>
      <c r="CI658" s="21" t="str">
        <f ca="1">IFERROR(VLOOKUP(BD658,OFFSET(abbreviation[],0,ColumnLanguage),ColumnAbbreviation,FALSE),"")</f>
        <v/>
      </c>
      <c r="CJ658" s="21" t="str">
        <f ca="1">IFERROR(VLOOKUP(BF658,OFFSET(abbreviation[],0,ColumnLanguage),ColumnAbbreviation,FALSE),"")</f>
        <v/>
      </c>
      <c r="CK658" s="21" t="str">
        <f t="shared" ca="1" si="74"/>
        <v/>
      </c>
      <c r="CL658" s="21" t="str">
        <f t="shared" si="75"/>
        <v/>
      </c>
      <c r="CM658" s="52"/>
      <c r="CN658" s="57" t="str">
        <f t="shared" si="76"/>
        <v/>
      </c>
    </row>
    <row r="659" spans="16:92" x14ac:dyDescent="0.25">
      <c r="P659" s="60"/>
      <c r="Q659" s="13"/>
      <c r="V659" s="60"/>
      <c r="X659" s="61"/>
      <c r="AB659" s="60"/>
      <c r="AN659" s="54"/>
      <c r="AS659" s="15"/>
      <c r="BH659" s="52"/>
      <c r="BI659" s="21" t="str">
        <f ca="1">IFERROR(VLOOKUP(C659,OFFSET(abbreviation[],0,ColumnLanguage),ColumnAbbreviation,FALSE),"")</f>
        <v/>
      </c>
      <c r="BJ659" s="21" t="str">
        <f ca="1">IFERROR(VLOOKUP(E659,OFFSET(abbreviation[],0,ColumnLanguage),ColumnAbbreviation,FALSE),"")</f>
        <v/>
      </c>
      <c r="BK659" s="21" t="str">
        <f ca="1">IFERROR(VLOOKUP(G659,OFFSET(abbreviation[],0,ColumnLanguage),ColumnAbbreviation,FALSE),"")</f>
        <v/>
      </c>
      <c r="BL659" s="21" t="str">
        <f ca="1">IFERROR(VLOOKUP(I659,OFFSET(abbreviation[],0,ColumnLanguage),ColumnAbbreviation,FALSE),"")</f>
        <v/>
      </c>
      <c r="BM659" s="21" t="str">
        <f ca="1">IFERROR(VLOOKUP(K659,OFFSET(abbreviation[],0,ColumnLanguage),ColumnAbbreviation,FALSE),"")</f>
        <v/>
      </c>
      <c r="BN659" s="21" t="str">
        <f t="shared" ca="1" si="70"/>
        <v/>
      </c>
      <c r="BO659" s="21" t="str">
        <f ca="1">IFERROR(VLOOKUP(N659,OFFSET(abbreviation[],0,ColumnLanguage),ColumnAbbreviation,FALSE),"")</f>
        <v/>
      </c>
      <c r="BP659" s="21" t="str">
        <f ca="1">IFERROR(VLOOKUP(P659,OFFSET(abbreviation[],0,ColumnLanguage),ColumnAbbreviation,FALSE),"")</f>
        <v/>
      </c>
      <c r="BQ659" s="21" t="str">
        <f ca="1">IFERROR(VLOOKUP(T659,OFFSET(abbreviation[],0,ColumnLanguage),ColumnAbbreviation,FALSE),"")</f>
        <v/>
      </c>
      <c r="BR659" s="21" t="str">
        <f ca="1">IFERROR(VLOOKUP(V659,OFFSET(abbreviation[],0,ColumnLanguage),ColumnAbbreviation,FALSE),"")</f>
        <v/>
      </c>
      <c r="BS659" s="21" t="str">
        <f ca="1">IFERROR(VLOOKUP(Z659,OFFSET(abbreviation[],0,ColumnLanguage),ColumnAbbreviation,FALSE),"")</f>
        <v/>
      </c>
      <c r="BT659" s="21" t="str">
        <f ca="1">IFERROR(VLOOKUP(AB659,OFFSET(abbreviation[],0,ColumnLanguage),ColumnAbbreviation,FALSE),"")</f>
        <v/>
      </c>
      <c r="BU659" s="21" t="str">
        <f t="shared" ca="1" si="71"/>
        <v>__</v>
      </c>
      <c r="BV659" s="21" t="str">
        <f ca="1">IFERROR(VLOOKUP(AF659,OFFSET(abbreviation[],0,ColumnLanguage),ColumnAbbreviation,FALSE),"")</f>
        <v/>
      </c>
      <c r="BW659" s="21" t="str">
        <f ca="1">IFERROR(VLOOKUP(AH659,OFFSET(abbreviation[],0,ColumnLanguage),ColumnAbbreviation,FALSE),"")</f>
        <v/>
      </c>
      <c r="BX659" s="21" t="str">
        <f ca="1">IFERROR(VLOOKUP(AJ659,OFFSET(abbreviation[],0,ColumnLanguage),ColumnAbbreviation,FALSE),"")</f>
        <v/>
      </c>
      <c r="BY659" s="21" t="str">
        <f ca="1">IFERROR(VLOOKUP(AL659,OFFSET(abbreviation[],0,ColumnLanguage),ColumnAbbreviation,FALSE),"")</f>
        <v/>
      </c>
      <c r="BZ659" s="21" t="str">
        <f t="shared" ca="1" si="72"/>
        <v>_</v>
      </c>
      <c r="CA659" s="21" t="str">
        <f ca="1">IFERROR(VLOOKUP(AP659,OFFSET(abbreviation[],0,ColumnLanguage),ColumnAbbreviation,FALSE),"")</f>
        <v/>
      </c>
      <c r="CB659" s="21" t="str">
        <f ca="1">IFERROR(VLOOKUP(AR659,OFFSET(abbreviation[],0,ColumnLanguage),ColumnAbbreviation,FALSE),"")</f>
        <v/>
      </c>
      <c r="CC659" s="21" t="str">
        <f ca="1">IFERROR(VLOOKUP(AT659,OFFSET(abbreviation[],0,ColumnLanguage),ColumnAbbreviation,FALSE),"")</f>
        <v/>
      </c>
      <c r="CD659" s="21" t="str">
        <f ca="1">IFERROR(VLOOKUP(AV659,OFFSET(abbreviation[],0,ColumnLanguage),ColumnAbbreviation,FALSE),"")</f>
        <v/>
      </c>
      <c r="CE659" s="21" t="str">
        <f t="shared" ca="1" si="73"/>
        <v>__</v>
      </c>
      <c r="CF659" s="21" t="str">
        <f ca="1">IFERROR(VLOOKUP(AX659,OFFSET(abbreviation[],0,ColumnLanguage),ColumnAbbreviation,FALSE),"")</f>
        <v/>
      </c>
      <c r="CG659" s="21" t="str">
        <f ca="1">IFERROR(VLOOKUP(AZ659,OFFSET(abbreviation[],0,ColumnLanguage),ColumnAbbreviation,FALSE),"")</f>
        <v/>
      </c>
      <c r="CH659" s="21" t="str">
        <f ca="1">IFERROR(VLOOKUP(BB659,OFFSET(abbreviation[],0,ColumnLanguage),ColumnAbbreviation,FALSE),"")</f>
        <v/>
      </c>
      <c r="CI659" s="21" t="str">
        <f ca="1">IFERROR(VLOOKUP(BD659,OFFSET(abbreviation[],0,ColumnLanguage),ColumnAbbreviation,FALSE),"")</f>
        <v/>
      </c>
      <c r="CJ659" s="21" t="str">
        <f ca="1">IFERROR(VLOOKUP(BF659,OFFSET(abbreviation[],0,ColumnLanguage),ColumnAbbreviation,FALSE),"")</f>
        <v/>
      </c>
      <c r="CK659" s="21" t="str">
        <f t="shared" ca="1" si="74"/>
        <v/>
      </c>
      <c r="CL659" s="21" t="str">
        <f t="shared" si="75"/>
        <v/>
      </c>
      <c r="CM659" s="52"/>
      <c r="CN659" s="57" t="str">
        <f t="shared" si="76"/>
        <v/>
      </c>
    </row>
    <row r="660" spans="16:92" x14ac:dyDescent="0.25">
      <c r="P660" s="60"/>
      <c r="Q660" s="13"/>
      <c r="V660" s="60"/>
      <c r="X660" s="61"/>
      <c r="AB660" s="60"/>
      <c r="AN660" s="54"/>
      <c r="AS660" s="15"/>
      <c r="BH660" s="52"/>
      <c r="BI660" s="21" t="str">
        <f ca="1">IFERROR(VLOOKUP(C660,OFFSET(abbreviation[],0,ColumnLanguage),ColumnAbbreviation,FALSE),"")</f>
        <v/>
      </c>
      <c r="BJ660" s="21" t="str">
        <f ca="1">IFERROR(VLOOKUP(E660,OFFSET(abbreviation[],0,ColumnLanguage),ColumnAbbreviation,FALSE),"")</f>
        <v/>
      </c>
      <c r="BK660" s="21" t="str">
        <f ca="1">IFERROR(VLOOKUP(G660,OFFSET(abbreviation[],0,ColumnLanguage),ColumnAbbreviation,FALSE),"")</f>
        <v/>
      </c>
      <c r="BL660" s="21" t="str">
        <f ca="1">IFERROR(VLOOKUP(I660,OFFSET(abbreviation[],0,ColumnLanguage),ColumnAbbreviation,FALSE),"")</f>
        <v/>
      </c>
      <c r="BM660" s="21" t="str">
        <f ca="1">IFERROR(VLOOKUP(K660,OFFSET(abbreviation[],0,ColumnLanguage),ColumnAbbreviation,FALSE),"")</f>
        <v/>
      </c>
      <c r="BN660" s="21" t="str">
        <f t="shared" ca="1" si="70"/>
        <v/>
      </c>
      <c r="BO660" s="21" t="str">
        <f ca="1">IFERROR(VLOOKUP(N660,OFFSET(abbreviation[],0,ColumnLanguage),ColumnAbbreviation,FALSE),"")</f>
        <v/>
      </c>
      <c r="BP660" s="21" t="str">
        <f ca="1">IFERROR(VLOOKUP(P660,OFFSET(abbreviation[],0,ColumnLanguage),ColumnAbbreviation,FALSE),"")</f>
        <v/>
      </c>
      <c r="BQ660" s="21" t="str">
        <f ca="1">IFERROR(VLOOKUP(T660,OFFSET(abbreviation[],0,ColumnLanguage),ColumnAbbreviation,FALSE),"")</f>
        <v/>
      </c>
      <c r="BR660" s="21" t="str">
        <f ca="1">IFERROR(VLOOKUP(V660,OFFSET(abbreviation[],0,ColumnLanguage),ColumnAbbreviation,FALSE),"")</f>
        <v/>
      </c>
      <c r="BS660" s="21" t="str">
        <f ca="1">IFERROR(VLOOKUP(Z660,OFFSET(abbreviation[],0,ColumnLanguage),ColumnAbbreviation,FALSE),"")</f>
        <v/>
      </c>
      <c r="BT660" s="21" t="str">
        <f ca="1">IFERROR(VLOOKUP(AB660,OFFSET(abbreviation[],0,ColumnLanguage),ColumnAbbreviation,FALSE),"")</f>
        <v/>
      </c>
      <c r="BU660" s="21" t="str">
        <f t="shared" ca="1" si="71"/>
        <v>__</v>
      </c>
      <c r="BV660" s="21" t="str">
        <f ca="1">IFERROR(VLOOKUP(AF660,OFFSET(abbreviation[],0,ColumnLanguage),ColumnAbbreviation,FALSE),"")</f>
        <v/>
      </c>
      <c r="BW660" s="21" t="str">
        <f ca="1">IFERROR(VLOOKUP(AH660,OFFSET(abbreviation[],0,ColumnLanguage),ColumnAbbreviation,FALSE),"")</f>
        <v/>
      </c>
      <c r="BX660" s="21" t="str">
        <f ca="1">IFERROR(VLOOKUP(AJ660,OFFSET(abbreviation[],0,ColumnLanguage),ColumnAbbreviation,FALSE),"")</f>
        <v/>
      </c>
      <c r="BY660" s="21" t="str">
        <f ca="1">IFERROR(VLOOKUP(AL660,OFFSET(abbreviation[],0,ColumnLanguage),ColumnAbbreviation,FALSE),"")</f>
        <v/>
      </c>
      <c r="BZ660" s="21" t="str">
        <f t="shared" ca="1" si="72"/>
        <v>_</v>
      </c>
      <c r="CA660" s="21" t="str">
        <f ca="1">IFERROR(VLOOKUP(AP660,OFFSET(abbreviation[],0,ColumnLanguage),ColumnAbbreviation,FALSE),"")</f>
        <v/>
      </c>
      <c r="CB660" s="21" t="str">
        <f ca="1">IFERROR(VLOOKUP(AR660,OFFSET(abbreviation[],0,ColumnLanguage),ColumnAbbreviation,FALSE),"")</f>
        <v/>
      </c>
      <c r="CC660" s="21" t="str">
        <f ca="1">IFERROR(VLOOKUP(AT660,OFFSET(abbreviation[],0,ColumnLanguage),ColumnAbbreviation,FALSE),"")</f>
        <v/>
      </c>
      <c r="CD660" s="21" t="str">
        <f ca="1">IFERROR(VLOOKUP(AV660,OFFSET(abbreviation[],0,ColumnLanguage),ColumnAbbreviation,FALSE),"")</f>
        <v/>
      </c>
      <c r="CE660" s="21" t="str">
        <f t="shared" ca="1" si="73"/>
        <v>__</v>
      </c>
      <c r="CF660" s="21" t="str">
        <f ca="1">IFERROR(VLOOKUP(AX660,OFFSET(abbreviation[],0,ColumnLanguage),ColumnAbbreviation,FALSE),"")</f>
        <v/>
      </c>
      <c r="CG660" s="21" t="str">
        <f ca="1">IFERROR(VLOOKUP(AZ660,OFFSET(abbreviation[],0,ColumnLanguage),ColumnAbbreviation,FALSE),"")</f>
        <v/>
      </c>
      <c r="CH660" s="21" t="str">
        <f ca="1">IFERROR(VLOOKUP(BB660,OFFSET(abbreviation[],0,ColumnLanguage),ColumnAbbreviation,FALSE),"")</f>
        <v/>
      </c>
      <c r="CI660" s="21" t="str">
        <f ca="1">IFERROR(VLOOKUP(BD660,OFFSET(abbreviation[],0,ColumnLanguage),ColumnAbbreviation,FALSE),"")</f>
        <v/>
      </c>
      <c r="CJ660" s="21" t="str">
        <f ca="1">IFERROR(VLOOKUP(BF660,OFFSET(abbreviation[],0,ColumnLanguage),ColumnAbbreviation,FALSE),"")</f>
        <v/>
      </c>
      <c r="CK660" s="21" t="str">
        <f t="shared" ca="1" si="74"/>
        <v/>
      </c>
      <c r="CL660" s="21" t="str">
        <f t="shared" si="75"/>
        <v/>
      </c>
      <c r="CM660" s="52"/>
      <c r="CN660" s="57" t="str">
        <f t="shared" si="76"/>
        <v/>
      </c>
    </row>
    <row r="661" spans="16:92" x14ac:dyDescent="0.25">
      <c r="P661" s="60"/>
      <c r="Q661" s="13"/>
      <c r="V661" s="60"/>
      <c r="X661" s="61"/>
      <c r="AB661" s="60"/>
      <c r="AN661" s="54"/>
      <c r="AS661" s="15"/>
      <c r="BH661" s="52"/>
      <c r="BI661" s="21" t="str">
        <f ca="1">IFERROR(VLOOKUP(C661,OFFSET(abbreviation[],0,ColumnLanguage),ColumnAbbreviation,FALSE),"")</f>
        <v/>
      </c>
      <c r="BJ661" s="21" t="str">
        <f ca="1">IFERROR(VLOOKUP(E661,OFFSET(abbreviation[],0,ColumnLanguage),ColumnAbbreviation,FALSE),"")</f>
        <v/>
      </c>
      <c r="BK661" s="21" t="str">
        <f ca="1">IFERROR(VLOOKUP(G661,OFFSET(abbreviation[],0,ColumnLanguage),ColumnAbbreviation,FALSE),"")</f>
        <v/>
      </c>
      <c r="BL661" s="21" t="str">
        <f ca="1">IFERROR(VLOOKUP(I661,OFFSET(abbreviation[],0,ColumnLanguage),ColumnAbbreviation,FALSE),"")</f>
        <v/>
      </c>
      <c r="BM661" s="21" t="str">
        <f ca="1">IFERROR(VLOOKUP(K661,OFFSET(abbreviation[],0,ColumnLanguage),ColumnAbbreviation,FALSE),"")</f>
        <v/>
      </c>
      <c r="BN661" s="21" t="str">
        <f t="shared" ca="1" si="70"/>
        <v/>
      </c>
      <c r="BO661" s="21" t="str">
        <f ca="1">IFERROR(VLOOKUP(N661,OFFSET(abbreviation[],0,ColumnLanguage),ColumnAbbreviation,FALSE),"")</f>
        <v/>
      </c>
      <c r="BP661" s="21" t="str">
        <f ca="1">IFERROR(VLOOKUP(P661,OFFSET(abbreviation[],0,ColumnLanguage),ColumnAbbreviation,FALSE),"")</f>
        <v/>
      </c>
      <c r="BQ661" s="21" t="str">
        <f ca="1">IFERROR(VLOOKUP(T661,OFFSET(abbreviation[],0,ColumnLanguage),ColumnAbbreviation,FALSE),"")</f>
        <v/>
      </c>
      <c r="BR661" s="21" t="str">
        <f ca="1">IFERROR(VLOOKUP(V661,OFFSET(abbreviation[],0,ColumnLanguage),ColumnAbbreviation,FALSE),"")</f>
        <v/>
      </c>
      <c r="BS661" s="21" t="str">
        <f ca="1">IFERROR(VLOOKUP(Z661,OFFSET(abbreviation[],0,ColumnLanguage),ColumnAbbreviation,FALSE),"")</f>
        <v/>
      </c>
      <c r="BT661" s="21" t="str">
        <f ca="1">IFERROR(VLOOKUP(AB661,OFFSET(abbreviation[],0,ColumnLanguage),ColumnAbbreviation,FALSE),"")</f>
        <v/>
      </c>
      <c r="BU661" s="21" t="str">
        <f t="shared" ca="1" si="71"/>
        <v>__</v>
      </c>
      <c r="BV661" s="21" t="str">
        <f ca="1">IFERROR(VLOOKUP(AF661,OFFSET(abbreviation[],0,ColumnLanguage),ColumnAbbreviation,FALSE),"")</f>
        <v/>
      </c>
      <c r="BW661" s="21" t="str">
        <f ca="1">IFERROR(VLOOKUP(AH661,OFFSET(abbreviation[],0,ColumnLanguage),ColumnAbbreviation,FALSE),"")</f>
        <v/>
      </c>
      <c r="BX661" s="21" t="str">
        <f ca="1">IFERROR(VLOOKUP(AJ661,OFFSET(abbreviation[],0,ColumnLanguage),ColumnAbbreviation,FALSE),"")</f>
        <v/>
      </c>
      <c r="BY661" s="21" t="str">
        <f ca="1">IFERROR(VLOOKUP(AL661,OFFSET(abbreviation[],0,ColumnLanguage),ColumnAbbreviation,FALSE),"")</f>
        <v/>
      </c>
      <c r="BZ661" s="21" t="str">
        <f t="shared" ca="1" si="72"/>
        <v>_</v>
      </c>
      <c r="CA661" s="21" t="str">
        <f ca="1">IFERROR(VLOOKUP(AP661,OFFSET(abbreviation[],0,ColumnLanguage),ColumnAbbreviation,FALSE),"")</f>
        <v/>
      </c>
      <c r="CB661" s="21" t="str">
        <f ca="1">IFERROR(VLOOKUP(AR661,OFFSET(abbreviation[],0,ColumnLanguage),ColumnAbbreviation,FALSE),"")</f>
        <v/>
      </c>
      <c r="CC661" s="21" t="str">
        <f ca="1">IFERROR(VLOOKUP(AT661,OFFSET(abbreviation[],0,ColumnLanguage),ColumnAbbreviation,FALSE),"")</f>
        <v/>
      </c>
      <c r="CD661" s="21" t="str">
        <f ca="1">IFERROR(VLOOKUP(AV661,OFFSET(abbreviation[],0,ColumnLanguage),ColumnAbbreviation,FALSE),"")</f>
        <v/>
      </c>
      <c r="CE661" s="21" t="str">
        <f t="shared" ca="1" si="73"/>
        <v>__</v>
      </c>
      <c r="CF661" s="21" t="str">
        <f ca="1">IFERROR(VLOOKUP(AX661,OFFSET(abbreviation[],0,ColumnLanguage),ColumnAbbreviation,FALSE),"")</f>
        <v/>
      </c>
      <c r="CG661" s="21" t="str">
        <f ca="1">IFERROR(VLOOKUP(AZ661,OFFSET(abbreviation[],0,ColumnLanguage),ColumnAbbreviation,FALSE),"")</f>
        <v/>
      </c>
      <c r="CH661" s="21" t="str">
        <f ca="1">IFERROR(VLOOKUP(BB661,OFFSET(abbreviation[],0,ColumnLanguage),ColumnAbbreviation,FALSE),"")</f>
        <v/>
      </c>
      <c r="CI661" s="21" t="str">
        <f ca="1">IFERROR(VLOOKUP(BD661,OFFSET(abbreviation[],0,ColumnLanguage),ColumnAbbreviation,FALSE),"")</f>
        <v/>
      </c>
      <c r="CJ661" s="21" t="str">
        <f ca="1">IFERROR(VLOOKUP(BF661,OFFSET(abbreviation[],0,ColumnLanguage),ColumnAbbreviation,FALSE),"")</f>
        <v/>
      </c>
      <c r="CK661" s="21" t="str">
        <f t="shared" ca="1" si="74"/>
        <v/>
      </c>
      <c r="CL661" s="21" t="str">
        <f t="shared" si="75"/>
        <v/>
      </c>
      <c r="CM661" s="52"/>
      <c r="CN661" s="57" t="str">
        <f t="shared" si="76"/>
        <v/>
      </c>
    </row>
    <row r="662" spans="16:92" x14ac:dyDescent="0.25">
      <c r="P662" s="60"/>
      <c r="Q662" s="13"/>
      <c r="V662" s="60"/>
      <c r="X662" s="61"/>
      <c r="AB662" s="60"/>
      <c r="AN662" s="54"/>
      <c r="AS662" s="15"/>
      <c r="BH662" s="52"/>
      <c r="BI662" s="21" t="str">
        <f ca="1">IFERROR(VLOOKUP(C662,OFFSET(abbreviation[],0,ColumnLanguage),ColumnAbbreviation,FALSE),"")</f>
        <v/>
      </c>
      <c r="BJ662" s="21" t="str">
        <f ca="1">IFERROR(VLOOKUP(E662,OFFSET(abbreviation[],0,ColumnLanguage),ColumnAbbreviation,FALSE),"")</f>
        <v/>
      </c>
      <c r="BK662" s="21" t="str">
        <f ca="1">IFERROR(VLOOKUP(G662,OFFSET(abbreviation[],0,ColumnLanguage),ColumnAbbreviation,FALSE),"")</f>
        <v/>
      </c>
      <c r="BL662" s="21" t="str">
        <f ca="1">IFERROR(VLOOKUP(I662,OFFSET(abbreviation[],0,ColumnLanguage),ColumnAbbreviation,FALSE),"")</f>
        <v/>
      </c>
      <c r="BM662" s="21" t="str">
        <f ca="1">IFERROR(VLOOKUP(K662,OFFSET(abbreviation[],0,ColumnLanguage),ColumnAbbreviation,FALSE),"")</f>
        <v/>
      </c>
      <c r="BN662" s="21" t="str">
        <f t="shared" ca="1" si="70"/>
        <v/>
      </c>
      <c r="BO662" s="21" t="str">
        <f ca="1">IFERROR(VLOOKUP(N662,OFFSET(abbreviation[],0,ColumnLanguage),ColumnAbbreviation,FALSE),"")</f>
        <v/>
      </c>
      <c r="BP662" s="21" t="str">
        <f ca="1">IFERROR(VLOOKUP(P662,OFFSET(abbreviation[],0,ColumnLanguage),ColumnAbbreviation,FALSE),"")</f>
        <v/>
      </c>
      <c r="BQ662" s="21" t="str">
        <f ca="1">IFERROR(VLOOKUP(T662,OFFSET(abbreviation[],0,ColumnLanguage),ColumnAbbreviation,FALSE),"")</f>
        <v/>
      </c>
      <c r="BR662" s="21" t="str">
        <f ca="1">IFERROR(VLOOKUP(V662,OFFSET(abbreviation[],0,ColumnLanguage),ColumnAbbreviation,FALSE),"")</f>
        <v/>
      </c>
      <c r="BS662" s="21" t="str">
        <f ca="1">IFERROR(VLOOKUP(Z662,OFFSET(abbreviation[],0,ColumnLanguage),ColumnAbbreviation,FALSE),"")</f>
        <v/>
      </c>
      <c r="BT662" s="21" t="str">
        <f ca="1">IFERROR(VLOOKUP(AB662,OFFSET(abbreviation[],0,ColumnLanguage),ColumnAbbreviation,FALSE),"")</f>
        <v/>
      </c>
      <c r="BU662" s="21" t="str">
        <f t="shared" ca="1" si="71"/>
        <v>__</v>
      </c>
      <c r="BV662" s="21" t="str">
        <f ca="1">IFERROR(VLOOKUP(AF662,OFFSET(abbreviation[],0,ColumnLanguage),ColumnAbbreviation,FALSE),"")</f>
        <v/>
      </c>
      <c r="BW662" s="21" t="str">
        <f ca="1">IFERROR(VLOOKUP(AH662,OFFSET(abbreviation[],0,ColumnLanguage),ColumnAbbreviation,FALSE),"")</f>
        <v/>
      </c>
      <c r="BX662" s="21" t="str">
        <f ca="1">IFERROR(VLOOKUP(AJ662,OFFSET(abbreviation[],0,ColumnLanguage),ColumnAbbreviation,FALSE),"")</f>
        <v/>
      </c>
      <c r="BY662" s="21" t="str">
        <f ca="1">IFERROR(VLOOKUP(AL662,OFFSET(abbreviation[],0,ColumnLanguage),ColumnAbbreviation,FALSE),"")</f>
        <v/>
      </c>
      <c r="BZ662" s="21" t="str">
        <f t="shared" ca="1" si="72"/>
        <v>_</v>
      </c>
      <c r="CA662" s="21" t="str">
        <f ca="1">IFERROR(VLOOKUP(AP662,OFFSET(abbreviation[],0,ColumnLanguage),ColumnAbbreviation,FALSE),"")</f>
        <v/>
      </c>
      <c r="CB662" s="21" t="str">
        <f ca="1">IFERROR(VLOOKUP(AR662,OFFSET(abbreviation[],0,ColumnLanguage),ColumnAbbreviation,FALSE),"")</f>
        <v/>
      </c>
      <c r="CC662" s="21" t="str">
        <f ca="1">IFERROR(VLOOKUP(AT662,OFFSET(abbreviation[],0,ColumnLanguage),ColumnAbbreviation,FALSE),"")</f>
        <v/>
      </c>
      <c r="CD662" s="21" t="str">
        <f ca="1">IFERROR(VLOOKUP(AV662,OFFSET(abbreviation[],0,ColumnLanguage),ColumnAbbreviation,FALSE),"")</f>
        <v/>
      </c>
      <c r="CE662" s="21" t="str">
        <f t="shared" ca="1" si="73"/>
        <v>__</v>
      </c>
      <c r="CF662" s="21" t="str">
        <f ca="1">IFERROR(VLOOKUP(AX662,OFFSET(abbreviation[],0,ColumnLanguage),ColumnAbbreviation,FALSE),"")</f>
        <v/>
      </c>
      <c r="CG662" s="21" t="str">
        <f ca="1">IFERROR(VLOOKUP(AZ662,OFFSET(abbreviation[],0,ColumnLanguage),ColumnAbbreviation,FALSE),"")</f>
        <v/>
      </c>
      <c r="CH662" s="21" t="str">
        <f ca="1">IFERROR(VLOOKUP(BB662,OFFSET(abbreviation[],0,ColumnLanguage),ColumnAbbreviation,FALSE),"")</f>
        <v/>
      </c>
      <c r="CI662" s="21" t="str">
        <f ca="1">IFERROR(VLOOKUP(BD662,OFFSET(abbreviation[],0,ColumnLanguage),ColumnAbbreviation,FALSE),"")</f>
        <v/>
      </c>
      <c r="CJ662" s="21" t="str">
        <f ca="1">IFERROR(VLOOKUP(BF662,OFFSET(abbreviation[],0,ColumnLanguage),ColumnAbbreviation,FALSE),"")</f>
        <v/>
      </c>
      <c r="CK662" s="21" t="str">
        <f t="shared" ca="1" si="74"/>
        <v/>
      </c>
      <c r="CL662" s="21" t="str">
        <f t="shared" si="75"/>
        <v/>
      </c>
      <c r="CM662" s="52"/>
      <c r="CN662" s="57" t="str">
        <f t="shared" si="76"/>
        <v/>
      </c>
    </row>
    <row r="663" spans="16:92" x14ac:dyDescent="0.25">
      <c r="P663" s="60"/>
      <c r="Q663" s="13"/>
      <c r="V663" s="60"/>
      <c r="X663" s="61"/>
      <c r="AB663" s="60"/>
      <c r="AN663" s="54"/>
      <c r="AS663" s="15"/>
      <c r="BH663" s="52"/>
      <c r="BI663" s="21" t="str">
        <f ca="1">IFERROR(VLOOKUP(C663,OFFSET(abbreviation[],0,ColumnLanguage),ColumnAbbreviation,FALSE),"")</f>
        <v/>
      </c>
      <c r="BJ663" s="21" t="str">
        <f ca="1">IFERROR(VLOOKUP(E663,OFFSET(abbreviation[],0,ColumnLanguage),ColumnAbbreviation,FALSE),"")</f>
        <v/>
      </c>
      <c r="BK663" s="21" t="str">
        <f ca="1">IFERROR(VLOOKUP(G663,OFFSET(abbreviation[],0,ColumnLanguage),ColumnAbbreviation,FALSE),"")</f>
        <v/>
      </c>
      <c r="BL663" s="21" t="str">
        <f ca="1">IFERROR(VLOOKUP(I663,OFFSET(abbreviation[],0,ColumnLanguage),ColumnAbbreviation,FALSE),"")</f>
        <v/>
      </c>
      <c r="BM663" s="21" t="str">
        <f ca="1">IFERROR(VLOOKUP(K663,OFFSET(abbreviation[],0,ColumnLanguage),ColumnAbbreviation,FALSE),"")</f>
        <v/>
      </c>
      <c r="BN663" s="21" t="str">
        <f t="shared" ca="1" si="70"/>
        <v/>
      </c>
      <c r="BO663" s="21" t="str">
        <f ca="1">IFERROR(VLOOKUP(N663,OFFSET(abbreviation[],0,ColumnLanguage),ColumnAbbreviation,FALSE),"")</f>
        <v/>
      </c>
      <c r="BP663" s="21" t="str">
        <f ca="1">IFERROR(VLOOKUP(P663,OFFSET(abbreviation[],0,ColumnLanguage),ColumnAbbreviation,FALSE),"")</f>
        <v/>
      </c>
      <c r="BQ663" s="21" t="str">
        <f ca="1">IFERROR(VLOOKUP(T663,OFFSET(abbreviation[],0,ColumnLanguage),ColumnAbbreviation,FALSE),"")</f>
        <v/>
      </c>
      <c r="BR663" s="21" t="str">
        <f ca="1">IFERROR(VLOOKUP(V663,OFFSET(abbreviation[],0,ColumnLanguage),ColumnAbbreviation,FALSE),"")</f>
        <v/>
      </c>
      <c r="BS663" s="21" t="str">
        <f ca="1">IFERROR(VLOOKUP(Z663,OFFSET(abbreviation[],0,ColumnLanguage),ColumnAbbreviation,FALSE),"")</f>
        <v/>
      </c>
      <c r="BT663" s="21" t="str">
        <f ca="1">IFERROR(VLOOKUP(AB663,OFFSET(abbreviation[],0,ColumnLanguage),ColumnAbbreviation,FALSE),"")</f>
        <v/>
      </c>
      <c r="BU663" s="21" t="str">
        <f t="shared" ca="1" si="71"/>
        <v>__</v>
      </c>
      <c r="BV663" s="21" t="str">
        <f ca="1">IFERROR(VLOOKUP(AF663,OFFSET(abbreviation[],0,ColumnLanguage),ColumnAbbreviation,FALSE),"")</f>
        <v/>
      </c>
      <c r="BW663" s="21" t="str">
        <f ca="1">IFERROR(VLOOKUP(AH663,OFFSET(abbreviation[],0,ColumnLanguage),ColumnAbbreviation,FALSE),"")</f>
        <v/>
      </c>
      <c r="BX663" s="21" t="str">
        <f ca="1">IFERROR(VLOOKUP(AJ663,OFFSET(abbreviation[],0,ColumnLanguage),ColumnAbbreviation,FALSE),"")</f>
        <v/>
      </c>
      <c r="BY663" s="21" t="str">
        <f ca="1">IFERROR(VLOOKUP(AL663,OFFSET(abbreviation[],0,ColumnLanguage),ColumnAbbreviation,FALSE),"")</f>
        <v/>
      </c>
      <c r="BZ663" s="21" t="str">
        <f t="shared" ca="1" si="72"/>
        <v>_</v>
      </c>
      <c r="CA663" s="21" t="str">
        <f ca="1">IFERROR(VLOOKUP(AP663,OFFSET(abbreviation[],0,ColumnLanguage),ColumnAbbreviation,FALSE),"")</f>
        <v/>
      </c>
      <c r="CB663" s="21" t="str">
        <f ca="1">IFERROR(VLOOKUP(AR663,OFFSET(abbreviation[],0,ColumnLanguage),ColumnAbbreviation,FALSE),"")</f>
        <v/>
      </c>
      <c r="CC663" s="21" t="str">
        <f ca="1">IFERROR(VLOOKUP(AT663,OFFSET(abbreviation[],0,ColumnLanguage),ColumnAbbreviation,FALSE),"")</f>
        <v/>
      </c>
      <c r="CD663" s="21" t="str">
        <f ca="1">IFERROR(VLOOKUP(AV663,OFFSET(abbreviation[],0,ColumnLanguage),ColumnAbbreviation,FALSE),"")</f>
        <v/>
      </c>
      <c r="CE663" s="21" t="str">
        <f t="shared" ca="1" si="73"/>
        <v>__</v>
      </c>
      <c r="CF663" s="21" t="str">
        <f ca="1">IFERROR(VLOOKUP(AX663,OFFSET(abbreviation[],0,ColumnLanguage),ColumnAbbreviation,FALSE),"")</f>
        <v/>
      </c>
      <c r="CG663" s="21" t="str">
        <f ca="1">IFERROR(VLOOKUP(AZ663,OFFSET(abbreviation[],0,ColumnLanguage),ColumnAbbreviation,FALSE),"")</f>
        <v/>
      </c>
      <c r="CH663" s="21" t="str">
        <f ca="1">IFERROR(VLOOKUP(BB663,OFFSET(abbreviation[],0,ColumnLanguage),ColumnAbbreviation,FALSE),"")</f>
        <v/>
      </c>
      <c r="CI663" s="21" t="str">
        <f ca="1">IFERROR(VLOOKUP(BD663,OFFSET(abbreviation[],0,ColumnLanguage),ColumnAbbreviation,FALSE),"")</f>
        <v/>
      </c>
      <c r="CJ663" s="21" t="str">
        <f ca="1">IFERROR(VLOOKUP(BF663,OFFSET(abbreviation[],0,ColumnLanguage),ColumnAbbreviation,FALSE),"")</f>
        <v/>
      </c>
      <c r="CK663" s="21" t="str">
        <f t="shared" ca="1" si="74"/>
        <v/>
      </c>
      <c r="CL663" s="21" t="str">
        <f t="shared" si="75"/>
        <v/>
      </c>
      <c r="CM663" s="52"/>
      <c r="CN663" s="57" t="str">
        <f t="shared" si="76"/>
        <v/>
      </c>
    </row>
    <row r="664" spans="16:92" x14ac:dyDescent="0.25">
      <c r="P664" s="60"/>
      <c r="Q664" s="13"/>
      <c r="V664" s="60"/>
      <c r="X664" s="61"/>
      <c r="AB664" s="60"/>
      <c r="AN664" s="54"/>
      <c r="AS664" s="15"/>
      <c r="BH664" s="52"/>
      <c r="BI664" s="21" t="str">
        <f ca="1">IFERROR(VLOOKUP(C664,OFFSET(abbreviation[],0,ColumnLanguage),ColumnAbbreviation,FALSE),"")</f>
        <v/>
      </c>
      <c r="BJ664" s="21" t="str">
        <f ca="1">IFERROR(VLOOKUP(E664,OFFSET(abbreviation[],0,ColumnLanguage),ColumnAbbreviation,FALSE),"")</f>
        <v/>
      </c>
      <c r="BK664" s="21" t="str">
        <f ca="1">IFERROR(VLOOKUP(G664,OFFSET(abbreviation[],0,ColumnLanguage),ColumnAbbreviation,FALSE),"")</f>
        <v/>
      </c>
      <c r="BL664" s="21" t="str">
        <f ca="1">IFERROR(VLOOKUP(I664,OFFSET(abbreviation[],0,ColumnLanguage),ColumnAbbreviation,FALSE),"")</f>
        <v/>
      </c>
      <c r="BM664" s="21" t="str">
        <f ca="1">IFERROR(VLOOKUP(K664,OFFSET(abbreviation[],0,ColumnLanguage),ColumnAbbreviation,FALSE),"")</f>
        <v/>
      </c>
      <c r="BN664" s="21" t="str">
        <f t="shared" ca="1" si="70"/>
        <v/>
      </c>
      <c r="BO664" s="21" t="str">
        <f ca="1">IFERROR(VLOOKUP(N664,OFFSET(abbreviation[],0,ColumnLanguage),ColumnAbbreviation,FALSE),"")</f>
        <v/>
      </c>
      <c r="BP664" s="21" t="str">
        <f ca="1">IFERROR(VLOOKUP(P664,OFFSET(abbreviation[],0,ColumnLanguage),ColumnAbbreviation,FALSE),"")</f>
        <v/>
      </c>
      <c r="BQ664" s="21" t="str">
        <f ca="1">IFERROR(VLOOKUP(T664,OFFSET(abbreviation[],0,ColumnLanguage),ColumnAbbreviation,FALSE),"")</f>
        <v/>
      </c>
      <c r="BR664" s="21" t="str">
        <f ca="1">IFERROR(VLOOKUP(V664,OFFSET(abbreviation[],0,ColumnLanguage),ColumnAbbreviation,FALSE),"")</f>
        <v/>
      </c>
      <c r="BS664" s="21" t="str">
        <f ca="1">IFERROR(VLOOKUP(Z664,OFFSET(abbreviation[],0,ColumnLanguage),ColumnAbbreviation,FALSE),"")</f>
        <v/>
      </c>
      <c r="BT664" s="21" t="str">
        <f ca="1">IFERROR(VLOOKUP(AB664,OFFSET(abbreviation[],0,ColumnLanguage),ColumnAbbreviation,FALSE),"")</f>
        <v/>
      </c>
      <c r="BU664" s="21" t="str">
        <f t="shared" ca="1" si="71"/>
        <v>__</v>
      </c>
      <c r="BV664" s="21" t="str">
        <f ca="1">IFERROR(VLOOKUP(AF664,OFFSET(abbreviation[],0,ColumnLanguage),ColumnAbbreviation,FALSE),"")</f>
        <v/>
      </c>
      <c r="BW664" s="21" t="str">
        <f ca="1">IFERROR(VLOOKUP(AH664,OFFSET(abbreviation[],0,ColumnLanguage),ColumnAbbreviation,FALSE),"")</f>
        <v/>
      </c>
      <c r="BX664" s="21" t="str">
        <f ca="1">IFERROR(VLOOKUP(AJ664,OFFSET(abbreviation[],0,ColumnLanguage),ColumnAbbreviation,FALSE),"")</f>
        <v/>
      </c>
      <c r="BY664" s="21" t="str">
        <f ca="1">IFERROR(VLOOKUP(AL664,OFFSET(abbreviation[],0,ColumnLanguage),ColumnAbbreviation,FALSE),"")</f>
        <v/>
      </c>
      <c r="BZ664" s="21" t="str">
        <f t="shared" ca="1" si="72"/>
        <v>_</v>
      </c>
      <c r="CA664" s="21" t="str">
        <f ca="1">IFERROR(VLOOKUP(AP664,OFFSET(abbreviation[],0,ColumnLanguage),ColumnAbbreviation,FALSE),"")</f>
        <v/>
      </c>
      <c r="CB664" s="21" t="str">
        <f ca="1">IFERROR(VLOOKUP(AR664,OFFSET(abbreviation[],0,ColumnLanguage),ColumnAbbreviation,FALSE),"")</f>
        <v/>
      </c>
      <c r="CC664" s="21" t="str">
        <f ca="1">IFERROR(VLOOKUP(AT664,OFFSET(abbreviation[],0,ColumnLanguage),ColumnAbbreviation,FALSE),"")</f>
        <v/>
      </c>
      <c r="CD664" s="21" t="str">
        <f ca="1">IFERROR(VLOOKUP(AV664,OFFSET(abbreviation[],0,ColumnLanguage),ColumnAbbreviation,FALSE),"")</f>
        <v/>
      </c>
      <c r="CE664" s="21" t="str">
        <f t="shared" ca="1" si="73"/>
        <v>__</v>
      </c>
      <c r="CF664" s="21" t="str">
        <f ca="1">IFERROR(VLOOKUP(AX664,OFFSET(abbreviation[],0,ColumnLanguage),ColumnAbbreviation,FALSE),"")</f>
        <v/>
      </c>
      <c r="CG664" s="21" t="str">
        <f ca="1">IFERROR(VLOOKUP(AZ664,OFFSET(abbreviation[],0,ColumnLanguage),ColumnAbbreviation,FALSE),"")</f>
        <v/>
      </c>
      <c r="CH664" s="21" t="str">
        <f ca="1">IFERROR(VLOOKUP(BB664,OFFSET(abbreviation[],0,ColumnLanguage),ColumnAbbreviation,FALSE),"")</f>
        <v/>
      </c>
      <c r="CI664" s="21" t="str">
        <f ca="1">IFERROR(VLOOKUP(BD664,OFFSET(abbreviation[],0,ColumnLanguage),ColumnAbbreviation,FALSE),"")</f>
        <v/>
      </c>
      <c r="CJ664" s="21" t="str">
        <f ca="1">IFERROR(VLOOKUP(BF664,OFFSET(abbreviation[],0,ColumnLanguage),ColumnAbbreviation,FALSE),"")</f>
        <v/>
      </c>
      <c r="CK664" s="21" t="str">
        <f t="shared" ca="1" si="74"/>
        <v/>
      </c>
      <c r="CL664" s="21" t="str">
        <f t="shared" si="75"/>
        <v/>
      </c>
      <c r="CM664" s="52"/>
      <c r="CN664" s="57" t="str">
        <f t="shared" si="76"/>
        <v/>
      </c>
    </row>
    <row r="665" spans="16:92" x14ac:dyDescent="0.25">
      <c r="P665" s="60"/>
      <c r="Q665" s="13"/>
      <c r="V665" s="60"/>
      <c r="X665" s="61"/>
      <c r="AB665" s="60"/>
      <c r="AN665" s="54"/>
      <c r="AS665" s="15"/>
      <c r="BH665" s="52"/>
      <c r="BI665" s="21" t="str">
        <f ca="1">IFERROR(VLOOKUP(C665,OFFSET(abbreviation[],0,ColumnLanguage),ColumnAbbreviation,FALSE),"")</f>
        <v/>
      </c>
      <c r="BJ665" s="21" t="str">
        <f ca="1">IFERROR(VLOOKUP(E665,OFFSET(abbreviation[],0,ColumnLanguage),ColumnAbbreviation,FALSE),"")</f>
        <v/>
      </c>
      <c r="BK665" s="21" t="str">
        <f ca="1">IFERROR(VLOOKUP(G665,OFFSET(abbreviation[],0,ColumnLanguage),ColumnAbbreviation,FALSE),"")</f>
        <v/>
      </c>
      <c r="BL665" s="21" t="str">
        <f ca="1">IFERROR(VLOOKUP(I665,OFFSET(abbreviation[],0,ColumnLanguage),ColumnAbbreviation,FALSE),"")</f>
        <v/>
      </c>
      <c r="BM665" s="21" t="str">
        <f ca="1">IFERROR(VLOOKUP(K665,OFFSET(abbreviation[],0,ColumnLanguage),ColumnAbbreviation,FALSE),"")</f>
        <v/>
      </c>
      <c r="BN665" s="21" t="str">
        <f t="shared" ca="1" si="70"/>
        <v/>
      </c>
      <c r="BO665" s="21" t="str">
        <f ca="1">IFERROR(VLOOKUP(N665,OFFSET(abbreviation[],0,ColumnLanguage),ColumnAbbreviation,FALSE),"")</f>
        <v/>
      </c>
      <c r="BP665" s="21" t="str">
        <f ca="1">IFERROR(VLOOKUP(P665,OFFSET(abbreviation[],0,ColumnLanguage),ColumnAbbreviation,FALSE),"")</f>
        <v/>
      </c>
      <c r="BQ665" s="21" t="str">
        <f ca="1">IFERROR(VLOOKUP(T665,OFFSET(abbreviation[],0,ColumnLanguage),ColumnAbbreviation,FALSE),"")</f>
        <v/>
      </c>
      <c r="BR665" s="21" t="str">
        <f ca="1">IFERROR(VLOOKUP(V665,OFFSET(abbreviation[],0,ColumnLanguage),ColumnAbbreviation,FALSE),"")</f>
        <v/>
      </c>
      <c r="BS665" s="21" t="str">
        <f ca="1">IFERROR(VLOOKUP(Z665,OFFSET(abbreviation[],0,ColumnLanguage),ColumnAbbreviation,FALSE),"")</f>
        <v/>
      </c>
      <c r="BT665" s="21" t="str">
        <f ca="1">IFERROR(VLOOKUP(AB665,OFFSET(abbreviation[],0,ColumnLanguage),ColumnAbbreviation,FALSE),"")</f>
        <v/>
      </c>
      <c r="BU665" s="21" t="str">
        <f t="shared" ca="1" si="71"/>
        <v>__</v>
      </c>
      <c r="BV665" s="21" t="str">
        <f ca="1">IFERROR(VLOOKUP(AF665,OFFSET(abbreviation[],0,ColumnLanguage),ColumnAbbreviation,FALSE),"")</f>
        <v/>
      </c>
      <c r="BW665" s="21" t="str">
        <f ca="1">IFERROR(VLOOKUP(AH665,OFFSET(abbreviation[],0,ColumnLanguage),ColumnAbbreviation,FALSE),"")</f>
        <v/>
      </c>
      <c r="BX665" s="21" t="str">
        <f ca="1">IFERROR(VLOOKUP(AJ665,OFFSET(abbreviation[],0,ColumnLanguage),ColumnAbbreviation,FALSE),"")</f>
        <v/>
      </c>
      <c r="BY665" s="21" t="str">
        <f ca="1">IFERROR(VLOOKUP(AL665,OFFSET(abbreviation[],0,ColumnLanguage),ColumnAbbreviation,FALSE),"")</f>
        <v/>
      </c>
      <c r="BZ665" s="21" t="str">
        <f t="shared" ca="1" si="72"/>
        <v>_</v>
      </c>
      <c r="CA665" s="21" t="str">
        <f ca="1">IFERROR(VLOOKUP(AP665,OFFSET(abbreviation[],0,ColumnLanguage),ColumnAbbreviation,FALSE),"")</f>
        <v/>
      </c>
      <c r="CB665" s="21" t="str">
        <f ca="1">IFERROR(VLOOKUP(AR665,OFFSET(abbreviation[],0,ColumnLanguage),ColumnAbbreviation,FALSE),"")</f>
        <v/>
      </c>
      <c r="CC665" s="21" t="str">
        <f ca="1">IFERROR(VLOOKUP(AT665,OFFSET(abbreviation[],0,ColumnLanguage),ColumnAbbreviation,FALSE),"")</f>
        <v/>
      </c>
      <c r="CD665" s="21" t="str">
        <f ca="1">IFERROR(VLOOKUP(AV665,OFFSET(abbreviation[],0,ColumnLanguage),ColumnAbbreviation,FALSE),"")</f>
        <v/>
      </c>
      <c r="CE665" s="21" t="str">
        <f t="shared" ca="1" si="73"/>
        <v>__</v>
      </c>
      <c r="CF665" s="21" t="str">
        <f ca="1">IFERROR(VLOOKUP(AX665,OFFSET(abbreviation[],0,ColumnLanguage),ColumnAbbreviation,FALSE),"")</f>
        <v/>
      </c>
      <c r="CG665" s="21" t="str">
        <f ca="1">IFERROR(VLOOKUP(AZ665,OFFSET(abbreviation[],0,ColumnLanguage),ColumnAbbreviation,FALSE),"")</f>
        <v/>
      </c>
      <c r="CH665" s="21" t="str">
        <f ca="1">IFERROR(VLOOKUP(BB665,OFFSET(abbreviation[],0,ColumnLanguage),ColumnAbbreviation,FALSE),"")</f>
        <v/>
      </c>
      <c r="CI665" s="21" t="str">
        <f ca="1">IFERROR(VLOOKUP(BD665,OFFSET(abbreviation[],0,ColumnLanguage),ColumnAbbreviation,FALSE),"")</f>
        <v/>
      </c>
      <c r="CJ665" s="21" t="str">
        <f ca="1">IFERROR(VLOOKUP(BF665,OFFSET(abbreviation[],0,ColumnLanguage),ColumnAbbreviation,FALSE),"")</f>
        <v/>
      </c>
      <c r="CK665" s="21" t="str">
        <f t="shared" ca="1" si="74"/>
        <v/>
      </c>
      <c r="CL665" s="21" t="str">
        <f t="shared" si="75"/>
        <v/>
      </c>
      <c r="CM665" s="52"/>
      <c r="CN665" s="57" t="str">
        <f t="shared" si="76"/>
        <v/>
      </c>
    </row>
    <row r="666" spans="16:92" x14ac:dyDescent="0.25">
      <c r="P666" s="60"/>
      <c r="Q666" s="13"/>
      <c r="V666" s="60"/>
      <c r="X666" s="61"/>
      <c r="AB666" s="60"/>
      <c r="AN666" s="54"/>
      <c r="AS666" s="15"/>
      <c r="BH666" s="52"/>
      <c r="BI666" s="21" t="str">
        <f ca="1">IFERROR(VLOOKUP(C666,OFFSET(abbreviation[],0,ColumnLanguage),ColumnAbbreviation,FALSE),"")</f>
        <v/>
      </c>
      <c r="BJ666" s="21" t="str">
        <f ca="1">IFERROR(VLOOKUP(E666,OFFSET(abbreviation[],0,ColumnLanguage),ColumnAbbreviation,FALSE),"")</f>
        <v/>
      </c>
      <c r="BK666" s="21" t="str">
        <f ca="1">IFERROR(VLOOKUP(G666,OFFSET(abbreviation[],0,ColumnLanguage),ColumnAbbreviation,FALSE),"")</f>
        <v/>
      </c>
      <c r="BL666" s="21" t="str">
        <f ca="1">IFERROR(VLOOKUP(I666,OFFSET(abbreviation[],0,ColumnLanguage),ColumnAbbreviation,FALSE),"")</f>
        <v/>
      </c>
      <c r="BM666" s="21" t="str">
        <f ca="1">IFERROR(VLOOKUP(K666,OFFSET(abbreviation[],0,ColumnLanguage),ColumnAbbreviation,FALSE),"")</f>
        <v/>
      </c>
      <c r="BN666" s="21" t="str">
        <f t="shared" ca="1" si="70"/>
        <v/>
      </c>
      <c r="BO666" s="21" t="str">
        <f ca="1">IFERROR(VLOOKUP(N666,OFFSET(abbreviation[],0,ColumnLanguage),ColumnAbbreviation,FALSE),"")</f>
        <v/>
      </c>
      <c r="BP666" s="21" t="str">
        <f ca="1">IFERROR(VLOOKUP(P666,OFFSET(abbreviation[],0,ColumnLanguage),ColumnAbbreviation,FALSE),"")</f>
        <v/>
      </c>
      <c r="BQ666" s="21" t="str">
        <f ca="1">IFERROR(VLOOKUP(T666,OFFSET(abbreviation[],0,ColumnLanguage),ColumnAbbreviation,FALSE),"")</f>
        <v/>
      </c>
      <c r="BR666" s="21" t="str">
        <f ca="1">IFERROR(VLOOKUP(V666,OFFSET(abbreviation[],0,ColumnLanguage),ColumnAbbreviation,FALSE),"")</f>
        <v/>
      </c>
      <c r="BS666" s="21" t="str">
        <f ca="1">IFERROR(VLOOKUP(Z666,OFFSET(abbreviation[],0,ColumnLanguage),ColumnAbbreviation,FALSE),"")</f>
        <v/>
      </c>
      <c r="BT666" s="21" t="str">
        <f ca="1">IFERROR(VLOOKUP(AB666,OFFSET(abbreviation[],0,ColumnLanguage),ColumnAbbreviation,FALSE),"")</f>
        <v/>
      </c>
      <c r="BU666" s="21" t="str">
        <f t="shared" ca="1" si="71"/>
        <v>__</v>
      </c>
      <c r="BV666" s="21" t="str">
        <f ca="1">IFERROR(VLOOKUP(AF666,OFFSET(abbreviation[],0,ColumnLanguage),ColumnAbbreviation,FALSE),"")</f>
        <v/>
      </c>
      <c r="BW666" s="21" t="str">
        <f ca="1">IFERROR(VLOOKUP(AH666,OFFSET(abbreviation[],0,ColumnLanguage),ColumnAbbreviation,FALSE),"")</f>
        <v/>
      </c>
      <c r="BX666" s="21" t="str">
        <f ca="1">IFERROR(VLOOKUP(AJ666,OFFSET(abbreviation[],0,ColumnLanguage),ColumnAbbreviation,FALSE),"")</f>
        <v/>
      </c>
      <c r="BY666" s="21" t="str">
        <f ca="1">IFERROR(VLOOKUP(AL666,OFFSET(abbreviation[],0,ColumnLanguage),ColumnAbbreviation,FALSE),"")</f>
        <v/>
      </c>
      <c r="BZ666" s="21" t="str">
        <f t="shared" ca="1" si="72"/>
        <v>_</v>
      </c>
      <c r="CA666" s="21" t="str">
        <f ca="1">IFERROR(VLOOKUP(AP666,OFFSET(abbreviation[],0,ColumnLanguage),ColumnAbbreviation,FALSE),"")</f>
        <v/>
      </c>
      <c r="CB666" s="21" t="str">
        <f ca="1">IFERROR(VLOOKUP(AR666,OFFSET(abbreviation[],0,ColumnLanguage),ColumnAbbreviation,FALSE),"")</f>
        <v/>
      </c>
      <c r="CC666" s="21" t="str">
        <f ca="1">IFERROR(VLOOKUP(AT666,OFFSET(abbreviation[],0,ColumnLanguage),ColumnAbbreviation,FALSE),"")</f>
        <v/>
      </c>
      <c r="CD666" s="21" t="str">
        <f ca="1">IFERROR(VLOOKUP(AV666,OFFSET(abbreviation[],0,ColumnLanguage),ColumnAbbreviation,FALSE),"")</f>
        <v/>
      </c>
      <c r="CE666" s="21" t="str">
        <f t="shared" ca="1" si="73"/>
        <v>__</v>
      </c>
      <c r="CF666" s="21" t="str">
        <f ca="1">IFERROR(VLOOKUP(AX666,OFFSET(abbreviation[],0,ColumnLanguage),ColumnAbbreviation,FALSE),"")</f>
        <v/>
      </c>
      <c r="CG666" s="21" t="str">
        <f ca="1">IFERROR(VLOOKUP(AZ666,OFFSET(abbreviation[],0,ColumnLanguage),ColumnAbbreviation,FALSE),"")</f>
        <v/>
      </c>
      <c r="CH666" s="21" t="str">
        <f ca="1">IFERROR(VLOOKUP(BB666,OFFSET(abbreviation[],0,ColumnLanguage),ColumnAbbreviation,FALSE),"")</f>
        <v/>
      </c>
      <c r="CI666" s="21" t="str">
        <f ca="1">IFERROR(VLOOKUP(BD666,OFFSET(abbreviation[],0,ColumnLanguage),ColumnAbbreviation,FALSE),"")</f>
        <v/>
      </c>
      <c r="CJ666" s="21" t="str">
        <f ca="1">IFERROR(VLOOKUP(BF666,OFFSET(abbreviation[],0,ColumnLanguage),ColumnAbbreviation,FALSE),"")</f>
        <v/>
      </c>
      <c r="CK666" s="21" t="str">
        <f t="shared" ca="1" si="74"/>
        <v/>
      </c>
      <c r="CL666" s="21" t="str">
        <f t="shared" si="75"/>
        <v/>
      </c>
      <c r="CM666" s="52"/>
      <c r="CN666" s="57" t="str">
        <f t="shared" si="76"/>
        <v/>
      </c>
    </row>
    <row r="667" spans="16:92" x14ac:dyDescent="0.25">
      <c r="P667" s="60"/>
      <c r="Q667" s="13"/>
      <c r="V667" s="60"/>
      <c r="X667" s="61"/>
      <c r="AB667" s="60"/>
      <c r="AN667" s="54"/>
      <c r="AS667" s="15"/>
      <c r="BH667" s="52"/>
      <c r="BI667" s="21" t="str">
        <f ca="1">IFERROR(VLOOKUP(C667,OFFSET(abbreviation[],0,ColumnLanguage),ColumnAbbreviation,FALSE),"")</f>
        <v/>
      </c>
      <c r="BJ667" s="21" t="str">
        <f ca="1">IFERROR(VLOOKUP(E667,OFFSET(abbreviation[],0,ColumnLanguage),ColumnAbbreviation,FALSE),"")</f>
        <v/>
      </c>
      <c r="BK667" s="21" t="str">
        <f ca="1">IFERROR(VLOOKUP(G667,OFFSET(abbreviation[],0,ColumnLanguage),ColumnAbbreviation,FALSE),"")</f>
        <v/>
      </c>
      <c r="BL667" s="21" t="str">
        <f ca="1">IFERROR(VLOOKUP(I667,OFFSET(abbreviation[],0,ColumnLanguage),ColumnAbbreviation,FALSE),"")</f>
        <v/>
      </c>
      <c r="BM667" s="21" t="str">
        <f ca="1">IFERROR(VLOOKUP(K667,OFFSET(abbreviation[],0,ColumnLanguage),ColumnAbbreviation,FALSE),"")</f>
        <v/>
      </c>
      <c r="BN667" s="21" t="str">
        <f t="shared" ca="1" si="70"/>
        <v/>
      </c>
      <c r="BO667" s="21" t="str">
        <f ca="1">IFERROR(VLOOKUP(N667,OFFSET(abbreviation[],0,ColumnLanguage),ColumnAbbreviation,FALSE),"")</f>
        <v/>
      </c>
      <c r="BP667" s="21" t="str">
        <f ca="1">IFERROR(VLOOKUP(P667,OFFSET(abbreviation[],0,ColumnLanguage),ColumnAbbreviation,FALSE),"")</f>
        <v/>
      </c>
      <c r="BQ667" s="21" t="str">
        <f ca="1">IFERROR(VLOOKUP(T667,OFFSET(abbreviation[],0,ColumnLanguage),ColumnAbbreviation,FALSE),"")</f>
        <v/>
      </c>
      <c r="BR667" s="21" t="str">
        <f ca="1">IFERROR(VLOOKUP(V667,OFFSET(abbreviation[],0,ColumnLanguage),ColumnAbbreviation,FALSE),"")</f>
        <v/>
      </c>
      <c r="BS667" s="21" t="str">
        <f ca="1">IFERROR(VLOOKUP(Z667,OFFSET(abbreviation[],0,ColumnLanguage),ColumnAbbreviation,FALSE),"")</f>
        <v/>
      </c>
      <c r="BT667" s="21" t="str">
        <f ca="1">IFERROR(VLOOKUP(AB667,OFFSET(abbreviation[],0,ColumnLanguage),ColumnAbbreviation,FALSE),"")</f>
        <v/>
      </c>
      <c r="BU667" s="21" t="str">
        <f t="shared" ca="1" si="71"/>
        <v>__</v>
      </c>
      <c r="BV667" s="21" t="str">
        <f ca="1">IFERROR(VLOOKUP(AF667,OFFSET(abbreviation[],0,ColumnLanguage),ColumnAbbreviation,FALSE),"")</f>
        <v/>
      </c>
      <c r="BW667" s="21" t="str">
        <f ca="1">IFERROR(VLOOKUP(AH667,OFFSET(abbreviation[],0,ColumnLanguage),ColumnAbbreviation,FALSE),"")</f>
        <v/>
      </c>
      <c r="BX667" s="21" t="str">
        <f ca="1">IFERROR(VLOOKUP(AJ667,OFFSET(abbreviation[],0,ColumnLanguage),ColumnAbbreviation,FALSE),"")</f>
        <v/>
      </c>
      <c r="BY667" s="21" t="str">
        <f ca="1">IFERROR(VLOOKUP(AL667,OFFSET(abbreviation[],0,ColumnLanguage),ColumnAbbreviation,FALSE),"")</f>
        <v/>
      </c>
      <c r="BZ667" s="21" t="str">
        <f t="shared" ca="1" si="72"/>
        <v>_</v>
      </c>
      <c r="CA667" s="21" t="str">
        <f ca="1">IFERROR(VLOOKUP(AP667,OFFSET(abbreviation[],0,ColumnLanguage),ColumnAbbreviation,FALSE),"")</f>
        <v/>
      </c>
      <c r="CB667" s="21" t="str">
        <f ca="1">IFERROR(VLOOKUP(AR667,OFFSET(abbreviation[],0,ColumnLanguage),ColumnAbbreviation,FALSE),"")</f>
        <v/>
      </c>
      <c r="CC667" s="21" t="str">
        <f ca="1">IFERROR(VLOOKUP(AT667,OFFSET(abbreviation[],0,ColumnLanguage),ColumnAbbreviation,FALSE),"")</f>
        <v/>
      </c>
      <c r="CD667" s="21" t="str">
        <f ca="1">IFERROR(VLOOKUP(AV667,OFFSET(abbreviation[],0,ColumnLanguage),ColumnAbbreviation,FALSE),"")</f>
        <v/>
      </c>
      <c r="CE667" s="21" t="str">
        <f t="shared" ca="1" si="73"/>
        <v>__</v>
      </c>
      <c r="CF667" s="21" t="str">
        <f ca="1">IFERROR(VLOOKUP(AX667,OFFSET(abbreviation[],0,ColumnLanguage),ColumnAbbreviation,FALSE),"")</f>
        <v/>
      </c>
      <c r="CG667" s="21" t="str">
        <f ca="1">IFERROR(VLOOKUP(AZ667,OFFSET(abbreviation[],0,ColumnLanguage),ColumnAbbreviation,FALSE),"")</f>
        <v/>
      </c>
      <c r="CH667" s="21" t="str">
        <f ca="1">IFERROR(VLOOKUP(BB667,OFFSET(abbreviation[],0,ColumnLanguage),ColumnAbbreviation,FALSE),"")</f>
        <v/>
      </c>
      <c r="CI667" s="21" t="str">
        <f ca="1">IFERROR(VLOOKUP(BD667,OFFSET(abbreviation[],0,ColumnLanguage),ColumnAbbreviation,FALSE),"")</f>
        <v/>
      </c>
      <c r="CJ667" s="21" t="str">
        <f ca="1">IFERROR(VLOOKUP(BF667,OFFSET(abbreviation[],0,ColumnLanguage),ColumnAbbreviation,FALSE),"")</f>
        <v/>
      </c>
      <c r="CK667" s="21" t="str">
        <f t="shared" ca="1" si="74"/>
        <v/>
      </c>
      <c r="CL667" s="21" t="str">
        <f t="shared" si="75"/>
        <v/>
      </c>
      <c r="CM667" s="52"/>
      <c r="CN667" s="57" t="str">
        <f t="shared" si="76"/>
        <v/>
      </c>
    </row>
    <row r="668" spans="16:92" x14ac:dyDescent="0.25">
      <c r="P668" s="60"/>
      <c r="Q668" s="13"/>
      <c r="V668" s="60"/>
      <c r="X668" s="61"/>
      <c r="AB668" s="60"/>
      <c r="AN668" s="54"/>
      <c r="AS668" s="15"/>
      <c r="BH668" s="52"/>
      <c r="BI668" s="21" t="str">
        <f ca="1">IFERROR(VLOOKUP(C668,OFFSET(abbreviation[],0,ColumnLanguage),ColumnAbbreviation,FALSE),"")</f>
        <v/>
      </c>
      <c r="BJ668" s="21" t="str">
        <f ca="1">IFERROR(VLOOKUP(E668,OFFSET(abbreviation[],0,ColumnLanguage),ColumnAbbreviation,FALSE),"")</f>
        <v/>
      </c>
      <c r="BK668" s="21" t="str">
        <f ca="1">IFERROR(VLOOKUP(G668,OFFSET(abbreviation[],0,ColumnLanguage),ColumnAbbreviation,FALSE),"")</f>
        <v/>
      </c>
      <c r="BL668" s="21" t="str">
        <f ca="1">IFERROR(VLOOKUP(I668,OFFSET(abbreviation[],0,ColumnLanguage),ColumnAbbreviation,FALSE),"")</f>
        <v/>
      </c>
      <c r="BM668" s="21" t="str">
        <f ca="1">IFERROR(VLOOKUP(K668,OFFSET(abbreviation[],0,ColumnLanguage),ColumnAbbreviation,FALSE),"")</f>
        <v/>
      </c>
      <c r="BN668" s="21" t="str">
        <f t="shared" ca="1" si="70"/>
        <v/>
      </c>
      <c r="BO668" s="21" t="str">
        <f ca="1">IFERROR(VLOOKUP(N668,OFFSET(abbreviation[],0,ColumnLanguage),ColumnAbbreviation,FALSE),"")</f>
        <v/>
      </c>
      <c r="BP668" s="21" t="str">
        <f ca="1">IFERROR(VLOOKUP(P668,OFFSET(abbreviation[],0,ColumnLanguage),ColumnAbbreviation,FALSE),"")</f>
        <v/>
      </c>
      <c r="BQ668" s="21" t="str">
        <f ca="1">IFERROR(VLOOKUP(T668,OFFSET(abbreviation[],0,ColumnLanguage),ColumnAbbreviation,FALSE),"")</f>
        <v/>
      </c>
      <c r="BR668" s="21" t="str">
        <f ca="1">IFERROR(VLOOKUP(V668,OFFSET(abbreviation[],0,ColumnLanguage),ColumnAbbreviation,FALSE),"")</f>
        <v/>
      </c>
      <c r="BS668" s="21" t="str">
        <f ca="1">IFERROR(VLOOKUP(Z668,OFFSET(abbreviation[],0,ColumnLanguage),ColumnAbbreviation,FALSE),"")</f>
        <v/>
      </c>
      <c r="BT668" s="21" t="str">
        <f ca="1">IFERROR(VLOOKUP(AB668,OFFSET(abbreviation[],0,ColumnLanguage),ColumnAbbreviation,FALSE),"")</f>
        <v/>
      </c>
      <c r="BU668" s="21" t="str">
        <f t="shared" ca="1" si="71"/>
        <v>__</v>
      </c>
      <c r="BV668" s="21" t="str">
        <f ca="1">IFERROR(VLOOKUP(AF668,OFFSET(abbreviation[],0,ColumnLanguage),ColumnAbbreviation,FALSE),"")</f>
        <v/>
      </c>
      <c r="BW668" s="21" t="str">
        <f ca="1">IFERROR(VLOOKUP(AH668,OFFSET(abbreviation[],0,ColumnLanguage),ColumnAbbreviation,FALSE),"")</f>
        <v/>
      </c>
      <c r="BX668" s="21" t="str">
        <f ca="1">IFERROR(VLOOKUP(AJ668,OFFSET(abbreviation[],0,ColumnLanguage),ColumnAbbreviation,FALSE),"")</f>
        <v/>
      </c>
      <c r="BY668" s="21" t="str">
        <f ca="1">IFERROR(VLOOKUP(AL668,OFFSET(abbreviation[],0,ColumnLanguage),ColumnAbbreviation,FALSE),"")</f>
        <v/>
      </c>
      <c r="BZ668" s="21" t="str">
        <f t="shared" ca="1" si="72"/>
        <v>_</v>
      </c>
      <c r="CA668" s="21" t="str">
        <f ca="1">IFERROR(VLOOKUP(AP668,OFFSET(abbreviation[],0,ColumnLanguage),ColumnAbbreviation,FALSE),"")</f>
        <v/>
      </c>
      <c r="CB668" s="21" t="str">
        <f ca="1">IFERROR(VLOOKUP(AR668,OFFSET(abbreviation[],0,ColumnLanguage),ColumnAbbreviation,FALSE),"")</f>
        <v/>
      </c>
      <c r="CC668" s="21" t="str">
        <f ca="1">IFERROR(VLOOKUP(AT668,OFFSET(abbreviation[],0,ColumnLanguage),ColumnAbbreviation,FALSE),"")</f>
        <v/>
      </c>
      <c r="CD668" s="21" t="str">
        <f ca="1">IFERROR(VLOOKUP(AV668,OFFSET(abbreviation[],0,ColumnLanguage),ColumnAbbreviation,FALSE),"")</f>
        <v/>
      </c>
      <c r="CE668" s="21" t="str">
        <f t="shared" ca="1" si="73"/>
        <v>__</v>
      </c>
      <c r="CF668" s="21" t="str">
        <f ca="1">IFERROR(VLOOKUP(AX668,OFFSET(abbreviation[],0,ColumnLanguage),ColumnAbbreviation,FALSE),"")</f>
        <v/>
      </c>
      <c r="CG668" s="21" t="str">
        <f ca="1">IFERROR(VLOOKUP(AZ668,OFFSET(abbreviation[],0,ColumnLanguage),ColumnAbbreviation,FALSE),"")</f>
        <v/>
      </c>
      <c r="CH668" s="21" t="str">
        <f ca="1">IFERROR(VLOOKUP(BB668,OFFSET(abbreviation[],0,ColumnLanguage),ColumnAbbreviation,FALSE),"")</f>
        <v/>
      </c>
      <c r="CI668" s="21" t="str">
        <f ca="1">IFERROR(VLOOKUP(BD668,OFFSET(abbreviation[],0,ColumnLanguage),ColumnAbbreviation,FALSE),"")</f>
        <v/>
      </c>
      <c r="CJ668" s="21" t="str">
        <f ca="1">IFERROR(VLOOKUP(BF668,OFFSET(abbreviation[],0,ColumnLanguage),ColumnAbbreviation,FALSE),"")</f>
        <v/>
      </c>
      <c r="CK668" s="21" t="str">
        <f t="shared" ca="1" si="74"/>
        <v/>
      </c>
      <c r="CL668" s="21" t="str">
        <f t="shared" si="75"/>
        <v/>
      </c>
      <c r="CM668" s="52"/>
      <c r="CN668" s="57" t="str">
        <f t="shared" si="76"/>
        <v/>
      </c>
    </row>
    <row r="669" spans="16:92" x14ac:dyDescent="0.25">
      <c r="P669" s="60"/>
      <c r="Q669" s="13"/>
      <c r="V669" s="60"/>
      <c r="X669" s="61"/>
      <c r="AB669" s="60"/>
      <c r="AN669" s="54"/>
      <c r="AS669" s="15"/>
      <c r="BH669" s="52"/>
      <c r="BI669" s="21" t="str">
        <f ca="1">IFERROR(VLOOKUP(C669,OFFSET(abbreviation[],0,ColumnLanguage),ColumnAbbreviation,FALSE),"")</f>
        <v/>
      </c>
      <c r="BJ669" s="21" t="str">
        <f ca="1">IFERROR(VLOOKUP(E669,OFFSET(abbreviation[],0,ColumnLanguage),ColumnAbbreviation,FALSE),"")</f>
        <v/>
      </c>
      <c r="BK669" s="21" t="str">
        <f ca="1">IFERROR(VLOOKUP(G669,OFFSET(abbreviation[],0,ColumnLanguage),ColumnAbbreviation,FALSE),"")</f>
        <v/>
      </c>
      <c r="BL669" s="21" t="str">
        <f ca="1">IFERROR(VLOOKUP(I669,OFFSET(abbreviation[],0,ColumnLanguage),ColumnAbbreviation,FALSE),"")</f>
        <v/>
      </c>
      <c r="BM669" s="21" t="str">
        <f ca="1">IFERROR(VLOOKUP(K669,OFFSET(abbreviation[],0,ColumnLanguage),ColumnAbbreviation,FALSE),"")</f>
        <v/>
      </c>
      <c r="BN669" s="21" t="str">
        <f t="shared" ca="1" si="70"/>
        <v/>
      </c>
      <c r="BO669" s="21" t="str">
        <f ca="1">IFERROR(VLOOKUP(N669,OFFSET(abbreviation[],0,ColumnLanguage),ColumnAbbreviation,FALSE),"")</f>
        <v/>
      </c>
      <c r="BP669" s="21" t="str">
        <f ca="1">IFERROR(VLOOKUP(P669,OFFSET(abbreviation[],0,ColumnLanguage),ColumnAbbreviation,FALSE),"")</f>
        <v/>
      </c>
      <c r="BQ669" s="21" t="str">
        <f ca="1">IFERROR(VLOOKUP(T669,OFFSET(abbreviation[],0,ColumnLanguage),ColumnAbbreviation,FALSE),"")</f>
        <v/>
      </c>
      <c r="BR669" s="21" t="str">
        <f ca="1">IFERROR(VLOOKUP(V669,OFFSET(abbreviation[],0,ColumnLanguage),ColumnAbbreviation,FALSE),"")</f>
        <v/>
      </c>
      <c r="BS669" s="21" t="str">
        <f ca="1">IFERROR(VLOOKUP(Z669,OFFSET(abbreviation[],0,ColumnLanguage),ColumnAbbreviation,FALSE),"")</f>
        <v/>
      </c>
      <c r="BT669" s="21" t="str">
        <f ca="1">IFERROR(VLOOKUP(AB669,OFFSET(abbreviation[],0,ColumnLanguage),ColumnAbbreviation,FALSE),"")</f>
        <v/>
      </c>
      <c r="BU669" s="21" t="str">
        <f t="shared" ca="1" si="71"/>
        <v>__</v>
      </c>
      <c r="BV669" s="21" t="str">
        <f ca="1">IFERROR(VLOOKUP(AF669,OFFSET(abbreviation[],0,ColumnLanguage),ColumnAbbreviation,FALSE),"")</f>
        <v/>
      </c>
      <c r="BW669" s="21" t="str">
        <f ca="1">IFERROR(VLOOKUP(AH669,OFFSET(abbreviation[],0,ColumnLanguage),ColumnAbbreviation,FALSE),"")</f>
        <v/>
      </c>
      <c r="BX669" s="21" t="str">
        <f ca="1">IFERROR(VLOOKUP(AJ669,OFFSET(abbreviation[],0,ColumnLanguage),ColumnAbbreviation,FALSE),"")</f>
        <v/>
      </c>
      <c r="BY669" s="21" t="str">
        <f ca="1">IFERROR(VLOOKUP(AL669,OFFSET(abbreviation[],0,ColumnLanguage),ColumnAbbreviation,FALSE),"")</f>
        <v/>
      </c>
      <c r="BZ669" s="21" t="str">
        <f t="shared" ca="1" si="72"/>
        <v>_</v>
      </c>
      <c r="CA669" s="21" t="str">
        <f ca="1">IFERROR(VLOOKUP(AP669,OFFSET(abbreviation[],0,ColumnLanguage),ColumnAbbreviation,FALSE),"")</f>
        <v/>
      </c>
      <c r="CB669" s="21" t="str">
        <f ca="1">IFERROR(VLOOKUP(AR669,OFFSET(abbreviation[],0,ColumnLanguage),ColumnAbbreviation,FALSE),"")</f>
        <v/>
      </c>
      <c r="CC669" s="21" t="str">
        <f ca="1">IFERROR(VLOOKUP(AT669,OFFSET(abbreviation[],0,ColumnLanguage),ColumnAbbreviation,FALSE),"")</f>
        <v/>
      </c>
      <c r="CD669" s="21" t="str">
        <f ca="1">IFERROR(VLOOKUP(AV669,OFFSET(abbreviation[],0,ColumnLanguage),ColumnAbbreviation,FALSE),"")</f>
        <v/>
      </c>
      <c r="CE669" s="21" t="str">
        <f t="shared" ca="1" si="73"/>
        <v>__</v>
      </c>
      <c r="CF669" s="21" t="str">
        <f ca="1">IFERROR(VLOOKUP(AX669,OFFSET(abbreviation[],0,ColumnLanguage),ColumnAbbreviation,FALSE),"")</f>
        <v/>
      </c>
      <c r="CG669" s="21" t="str">
        <f ca="1">IFERROR(VLOOKUP(AZ669,OFFSET(abbreviation[],0,ColumnLanguage),ColumnAbbreviation,FALSE),"")</f>
        <v/>
      </c>
      <c r="CH669" s="21" t="str">
        <f ca="1">IFERROR(VLOOKUP(BB669,OFFSET(abbreviation[],0,ColumnLanguage),ColumnAbbreviation,FALSE),"")</f>
        <v/>
      </c>
      <c r="CI669" s="21" t="str">
        <f ca="1">IFERROR(VLOOKUP(BD669,OFFSET(abbreviation[],0,ColumnLanguage),ColumnAbbreviation,FALSE),"")</f>
        <v/>
      </c>
      <c r="CJ669" s="21" t="str">
        <f ca="1">IFERROR(VLOOKUP(BF669,OFFSET(abbreviation[],0,ColumnLanguage),ColumnAbbreviation,FALSE),"")</f>
        <v/>
      </c>
      <c r="CK669" s="21" t="str">
        <f t="shared" ca="1" si="74"/>
        <v/>
      </c>
      <c r="CL669" s="21" t="str">
        <f t="shared" si="75"/>
        <v/>
      </c>
      <c r="CM669" s="52"/>
      <c r="CN669" s="57" t="str">
        <f t="shared" si="76"/>
        <v/>
      </c>
    </row>
    <row r="670" spans="16:92" x14ac:dyDescent="0.25">
      <c r="P670" s="60"/>
      <c r="Q670" s="13"/>
      <c r="V670" s="60"/>
      <c r="X670" s="61"/>
      <c r="AB670" s="60"/>
      <c r="AN670" s="54"/>
      <c r="AS670" s="15"/>
      <c r="BH670" s="52"/>
      <c r="BI670" s="21" t="str">
        <f ca="1">IFERROR(VLOOKUP(C670,OFFSET(abbreviation[],0,ColumnLanguage),ColumnAbbreviation,FALSE),"")</f>
        <v/>
      </c>
      <c r="BJ670" s="21" t="str">
        <f ca="1">IFERROR(VLOOKUP(E670,OFFSET(abbreviation[],0,ColumnLanguage),ColumnAbbreviation,FALSE),"")</f>
        <v/>
      </c>
      <c r="BK670" s="21" t="str">
        <f ca="1">IFERROR(VLOOKUP(G670,OFFSET(abbreviation[],0,ColumnLanguage),ColumnAbbreviation,FALSE),"")</f>
        <v/>
      </c>
      <c r="BL670" s="21" t="str">
        <f ca="1">IFERROR(VLOOKUP(I670,OFFSET(abbreviation[],0,ColumnLanguage),ColumnAbbreviation,FALSE),"")</f>
        <v/>
      </c>
      <c r="BM670" s="21" t="str">
        <f ca="1">IFERROR(VLOOKUP(K670,OFFSET(abbreviation[],0,ColumnLanguage),ColumnAbbreviation,FALSE),"")</f>
        <v/>
      </c>
      <c r="BN670" s="21" t="str">
        <f t="shared" ca="1" si="70"/>
        <v/>
      </c>
      <c r="BO670" s="21" t="str">
        <f ca="1">IFERROR(VLOOKUP(N670,OFFSET(abbreviation[],0,ColumnLanguage),ColumnAbbreviation,FALSE),"")</f>
        <v/>
      </c>
      <c r="BP670" s="21" t="str">
        <f ca="1">IFERROR(VLOOKUP(P670,OFFSET(abbreviation[],0,ColumnLanguage),ColumnAbbreviation,FALSE),"")</f>
        <v/>
      </c>
      <c r="BQ670" s="21" t="str">
        <f ca="1">IFERROR(VLOOKUP(T670,OFFSET(abbreviation[],0,ColumnLanguage),ColumnAbbreviation,FALSE),"")</f>
        <v/>
      </c>
      <c r="BR670" s="21" t="str">
        <f ca="1">IFERROR(VLOOKUP(V670,OFFSET(abbreviation[],0,ColumnLanguage),ColumnAbbreviation,FALSE),"")</f>
        <v/>
      </c>
      <c r="BS670" s="21" t="str">
        <f ca="1">IFERROR(VLOOKUP(Z670,OFFSET(abbreviation[],0,ColumnLanguage),ColumnAbbreviation,FALSE),"")</f>
        <v/>
      </c>
      <c r="BT670" s="21" t="str">
        <f ca="1">IFERROR(VLOOKUP(AB670,OFFSET(abbreviation[],0,ColumnLanguage),ColumnAbbreviation,FALSE),"")</f>
        <v/>
      </c>
      <c r="BU670" s="21" t="str">
        <f t="shared" ca="1" si="71"/>
        <v>__</v>
      </c>
      <c r="BV670" s="21" t="str">
        <f ca="1">IFERROR(VLOOKUP(AF670,OFFSET(abbreviation[],0,ColumnLanguage),ColumnAbbreviation,FALSE),"")</f>
        <v/>
      </c>
      <c r="BW670" s="21" t="str">
        <f ca="1">IFERROR(VLOOKUP(AH670,OFFSET(abbreviation[],0,ColumnLanguage),ColumnAbbreviation,FALSE),"")</f>
        <v/>
      </c>
      <c r="BX670" s="21" t="str">
        <f ca="1">IFERROR(VLOOKUP(AJ670,OFFSET(abbreviation[],0,ColumnLanguage),ColumnAbbreviation,FALSE),"")</f>
        <v/>
      </c>
      <c r="BY670" s="21" t="str">
        <f ca="1">IFERROR(VLOOKUP(AL670,OFFSET(abbreviation[],0,ColumnLanguage),ColumnAbbreviation,FALSE),"")</f>
        <v/>
      </c>
      <c r="BZ670" s="21" t="str">
        <f t="shared" ca="1" si="72"/>
        <v>_</v>
      </c>
      <c r="CA670" s="21" t="str">
        <f ca="1">IFERROR(VLOOKUP(AP670,OFFSET(abbreviation[],0,ColumnLanguage),ColumnAbbreviation,FALSE),"")</f>
        <v/>
      </c>
      <c r="CB670" s="21" t="str">
        <f ca="1">IFERROR(VLOOKUP(AR670,OFFSET(abbreviation[],0,ColumnLanguage),ColumnAbbreviation,FALSE),"")</f>
        <v/>
      </c>
      <c r="CC670" s="21" t="str">
        <f ca="1">IFERROR(VLOOKUP(AT670,OFFSET(abbreviation[],0,ColumnLanguage),ColumnAbbreviation,FALSE),"")</f>
        <v/>
      </c>
      <c r="CD670" s="21" t="str">
        <f ca="1">IFERROR(VLOOKUP(AV670,OFFSET(abbreviation[],0,ColumnLanguage),ColumnAbbreviation,FALSE),"")</f>
        <v/>
      </c>
      <c r="CE670" s="21" t="str">
        <f t="shared" ca="1" si="73"/>
        <v>__</v>
      </c>
      <c r="CF670" s="21" t="str">
        <f ca="1">IFERROR(VLOOKUP(AX670,OFFSET(abbreviation[],0,ColumnLanguage),ColumnAbbreviation,FALSE),"")</f>
        <v/>
      </c>
      <c r="CG670" s="21" t="str">
        <f ca="1">IFERROR(VLOOKUP(AZ670,OFFSET(abbreviation[],0,ColumnLanguage),ColumnAbbreviation,FALSE),"")</f>
        <v/>
      </c>
      <c r="CH670" s="21" t="str">
        <f ca="1">IFERROR(VLOOKUP(BB670,OFFSET(abbreviation[],0,ColumnLanguage),ColumnAbbreviation,FALSE),"")</f>
        <v/>
      </c>
      <c r="CI670" s="21" t="str">
        <f ca="1">IFERROR(VLOOKUP(BD670,OFFSET(abbreviation[],0,ColumnLanguage),ColumnAbbreviation,FALSE),"")</f>
        <v/>
      </c>
      <c r="CJ670" s="21" t="str">
        <f ca="1">IFERROR(VLOOKUP(BF670,OFFSET(abbreviation[],0,ColumnLanguage),ColumnAbbreviation,FALSE),"")</f>
        <v/>
      </c>
      <c r="CK670" s="21" t="str">
        <f t="shared" ca="1" si="74"/>
        <v/>
      </c>
      <c r="CL670" s="21" t="str">
        <f t="shared" si="75"/>
        <v/>
      </c>
      <c r="CM670" s="52"/>
      <c r="CN670" s="57" t="str">
        <f t="shared" si="76"/>
        <v/>
      </c>
    </row>
    <row r="671" spans="16:92" x14ac:dyDescent="0.25">
      <c r="P671" s="60"/>
      <c r="Q671" s="13"/>
      <c r="V671" s="60"/>
      <c r="X671" s="61"/>
      <c r="AB671" s="60"/>
      <c r="AN671" s="54"/>
      <c r="AS671" s="15"/>
      <c r="BH671" s="52"/>
      <c r="BI671" s="21" t="str">
        <f ca="1">IFERROR(VLOOKUP(C671,OFFSET(abbreviation[],0,ColumnLanguage),ColumnAbbreviation,FALSE),"")</f>
        <v/>
      </c>
      <c r="BJ671" s="21" t="str">
        <f ca="1">IFERROR(VLOOKUP(E671,OFFSET(abbreviation[],0,ColumnLanguage),ColumnAbbreviation,FALSE),"")</f>
        <v/>
      </c>
      <c r="BK671" s="21" t="str">
        <f ca="1">IFERROR(VLOOKUP(G671,OFFSET(abbreviation[],0,ColumnLanguage),ColumnAbbreviation,FALSE),"")</f>
        <v/>
      </c>
      <c r="BL671" s="21" t="str">
        <f ca="1">IFERROR(VLOOKUP(I671,OFFSET(abbreviation[],0,ColumnLanguage),ColumnAbbreviation,FALSE),"")</f>
        <v/>
      </c>
      <c r="BM671" s="21" t="str">
        <f ca="1">IFERROR(VLOOKUP(K671,OFFSET(abbreviation[],0,ColumnLanguage),ColumnAbbreviation,FALSE),"")</f>
        <v/>
      </c>
      <c r="BN671" s="21" t="str">
        <f t="shared" ca="1" si="70"/>
        <v/>
      </c>
      <c r="BO671" s="21" t="str">
        <f ca="1">IFERROR(VLOOKUP(N671,OFFSET(abbreviation[],0,ColumnLanguage),ColumnAbbreviation,FALSE),"")</f>
        <v/>
      </c>
      <c r="BP671" s="21" t="str">
        <f ca="1">IFERROR(VLOOKUP(P671,OFFSET(abbreviation[],0,ColumnLanguage),ColumnAbbreviation,FALSE),"")</f>
        <v/>
      </c>
      <c r="BQ671" s="21" t="str">
        <f ca="1">IFERROR(VLOOKUP(T671,OFFSET(abbreviation[],0,ColumnLanguage),ColumnAbbreviation,FALSE),"")</f>
        <v/>
      </c>
      <c r="BR671" s="21" t="str">
        <f ca="1">IFERROR(VLOOKUP(V671,OFFSET(abbreviation[],0,ColumnLanguage),ColumnAbbreviation,FALSE),"")</f>
        <v/>
      </c>
      <c r="BS671" s="21" t="str">
        <f ca="1">IFERROR(VLOOKUP(Z671,OFFSET(abbreviation[],0,ColumnLanguage),ColumnAbbreviation,FALSE),"")</f>
        <v/>
      </c>
      <c r="BT671" s="21" t="str">
        <f ca="1">IFERROR(VLOOKUP(AB671,OFFSET(abbreviation[],0,ColumnLanguage),ColumnAbbreviation,FALSE),"")</f>
        <v/>
      </c>
      <c r="BU671" s="21" t="str">
        <f t="shared" ca="1" si="71"/>
        <v>__</v>
      </c>
      <c r="BV671" s="21" t="str">
        <f ca="1">IFERROR(VLOOKUP(AF671,OFFSET(abbreviation[],0,ColumnLanguage),ColumnAbbreviation,FALSE),"")</f>
        <v/>
      </c>
      <c r="BW671" s="21" t="str">
        <f ca="1">IFERROR(VLOOKUP(AH671,OFFSET(abbreviation[],0,ColumnLanguage),ColumnAbbreviation,FALSE),"")</f>
        <v/>
      </c>
      <c r="BX671" s="21" t="str">
        <f ca="1">IFERROR(VLOOKUP(AJ671,OFFSET(abbreviation[],0,ColumnLanguage),ColumnAbbreviation,FALSE),"")</f>
        <v/>
      </c>
      <c r="BY671" s="21" t="str">
        <f ca="1">IFERROR(VLOOKUP(AL671,OFFSET(abbreviation[],0,ColumnLanguage),ColumnAbbreviation,FALSE),"")</f>
        <v/>
      </c>
      <c r="BZ671" s="21" t="str">
        <f t="shared" ca="1" si="72"/>
        <v>_</v>
      </c>
      <c r="CA671" s="21" t="str">
        <f ca="1">IFERROR(VLOOKUP(AP671,OFFSET(abbreviation[],0,ColumnLanguage),ColumnAbbreviation,FALSE),"")</f>
        <v/>
      </c>
      <c r="CB671" s="21" t="str">
        <f ca="1">IFERROR(VLOOKUP(AR671,OFFSET(abbreviation[],0,ColumnLanguage),ColumnAbbreviation,FALSE),"")</f>
        <v/>
      </c>
      <c r="CC671" s="21" t="str">
        <f ca="1">IFERROR(VLOOKUP(AT671,OFFSET(abbreviation[],0,ColumnLanguage),ColumnAbbreviation,FALSE),"")</f>
        <v/>
      </c>
      <c r="CD671" s="21" t="str">
        <f ca="1">IFERROR(VLOOKUP(AV671,OFFSET(abbreviation[],0,ColumnLanguage),ColumnAbbreviation,FALSE),"")</f>
        <v/>
      </c>
      <c r="CE671" s="21" t="str">
        <f t="shared" ca="1" si="73"/>
        <v>__</v>
      </c>
      <c r="CF671" s="21" t="str">
        <f ca="1">IFERROR(VLOOKUP(AX671,OFFSET(abbreviation[],0,ColumnLanguage),ColumnAbbreviation,FALSE),"")</f>
        <v/>
      </c>
      <c r="CG671" s="21" t="str">
        <f ca="1">IFERROR(VLOOKUP(AZ671,OFFSET(abbreviation[],0,ColumnLanguage),ColumnAbbreviation,FALSE),"")</f>
        <v/>
      </c>
      <c r="CH671" s="21" t="str">
        <f ca="1">IFERROR(VLOOKUP(BB671,OFFSET(abbreviation[],0,ColumnLanguage),ColumnAbbreviation,FALSE),"")</f>
        <v/>
      </c>
      <c r="CI671" s="21" t="str">
        <f ca="1">IFERROR(VLOOKUP(BD671,OFFSET(abbreviation[],0,ColumnLanguage),ColumnAbbreviation,FALSE),"")</f>
        <v/>
      </c>
      <c r="CJ671" s="21" t="str">
        <f ca="1">IFERROR(VLOOKUP(BF671,OFFSET(abbreviation[],0,ColumnLanguage),ColumnAbbreviation,FALSE),"")</f>
        <v/>
      </c>
      <c r="CK671" s="21" t="str">
        <f t="shared" ca="1" si="74"/>
        <v/>
      </c>
      <c r="CL671" s="21" t="str">
        <f t="shared" si="75"/>
        <v/>
      </c>
      <c r="CM671" s="52"/>
      <c r="CN671" s="57" t="str">
        <f t="shared" si="76"/>
        <v/>
      </c>
    </row>
    <row r="672" spans="16:92" x14ac:dyDescent="0.25">
      <c r="P672" s="60"/>
      <c r="Q672" s="13"/>
      <c r="V672" s="60"/>
      <c r="X672" s="61"/>
      <c r="AB672" s="60"/>
      <c r="AN672" s="54"/>
      <c r="AS672" s="15"/>
      <c r="BH672" s="52"/>
      <c r="BI672" s="21" t="str">
        <f ca="1">IFERROR(VLOOKUP(C672,OFFSET(abbreviation[],0,ColumnLanguage),ColumnAbbreviation,FALSE),"")</f>
        <v/>
      </c>
      <c r="BJ672" s="21" t="str">
        <f ca="1">IFERROR(VLOOKUP(E672,OFFSET(abbreviation[],0,ColumnLanguage),ColumnAbbreviation,FALSE),"")</f>
        <v/>
      </c>
      <c r="BK672" s="21" t="str">
        <f ca="1">IFERROR(VLOOKUP(G672,OFFSET(abbreviation[],0,ColumnLanguage),ColumnAbbreviation,FALSE),"")</f>
        <v/>
      </c>
      <c r="BL672" s="21" t="str">
        <f ca="1">IFERROR(VLOOKUP(I672,OFFSET(abbreviation[],0,ColumnLanguage),ColumnAbbreviation,FALSE),"")</f>
        <v/>
      </c>
      <c r="BM672" s="21" t="str">
        <f ca="1">IFERROR(VLOOKUP(K672,OFFSET(abbreviation[],0,ColumnLanguage),ColumnAbbreviation,FALSE),"")</f>
        <v/>
      </c>
      <c r="BN672" s="21" t="str">
        <f t="shared" ca="1" si="70"/>
        <v/>
      </c>
      <c r="BO672" s="21" t="str">
        <f ca="1">IFERROR(VLOOKUP(N672,OFFSET(abbreviation[],0,ColumnLanguage),ColumnAbbreviation,FALSE),"")</f>
        <v/>
      </c>
      <c r="BP672" s="21" t="str">
        <f ca="1">IFERROR(VLOOKUP(P672,OFFSET(abbreviation[],0,ColumnLanguage),ColumnAbbreviation,FALSE),"")</f>
        <v/>
      </c>
      <c r="BQ672" s="21" t="str">
        <f ca="1">IFERROR(VLOOKUP(T672,OFFSET(abbreviation[],0,ColumnLanguage),ColumnAbbreviation,FALSE),"")</f>
        <v/>
      </c>
      <c r="BR672" s="21" t="str">
        <f ca="1">IFERROR(VLOOKUP(V672,OFFSET(abbreviation[],0,ColumnLanguage),ColumnAbbreviation,FALSE),"")</f>
        <v/>
      </c>
      <c r="BS672" s="21" t="str">
        <f ca="1">IFERROR(VLOOKUP(Z672,OFFSET(abbreviation[],0,ColumnLanguage),ColumnAbbreviation,FALSE),"")</f>
        <v/>
      </c>
      <c r="BT672" s="21" t="str">
        <f ca="1">IFERROR(VLOOKUP(AB672,OFFSET(abbreviation[],0,ColumnLanguage),ColumnAbbreviation,FALSE),"")</f>
        <v/>
      </c>
      <c r="BU672" s="21" t="str">
        <f t="shared" ca="1" si="71"/>
        <v>__</v>
      </c>
      <c r="BV672" s="21" t="str">
        <f ca="1">IFERROR(VLOOKUP(AF672,OFFSET(abbreviation[],0,ColumnLanguage),ColumnAbbreviation,FALSE),"")</f>
        <v/>
      </c>
      <c r="BW672" s="21" t="str">
        <f ca="1">IFERROR(VLOOKUP(AH672,OFFSET(abbreviation[],0,ColumnLanguage),ColumnAbbreviation,FALSE),"")</f>
        <v/>
      </c>
      <c r="BX672" s="21" t="str">
        <f ca="1">IFERROR(VLOOKUP(AJ672,OFFSET(abbreviation[],0,ColumnLanguage),ColumnAbbreviation,FALSE),"")</f>
        <v/>
      </c>
      <c r="BY672" s="21" t="str">
        <f ca="1">IFERROR(VLOOKUP(AL672,OFFSET(abbreviation[],0,ColumnLanguage),ColumnAbbreviation,FALSE),"")</f>
        <v/>
      </c>
      <c r="BZ672" s="21" t="str">
        <f t="shared" ca="1" si="72"/>
        <v>_</v>
      </c>
      <c r="CA672" s="21" t="str">
        <f ca="1">IFERROR(VLOOKUP(AP672,OFFSET(abbreviation[],0,ColumnLanguage),ColumnAbbreviation,FALSE),"")</f>
        <v/>
      </c>
      <c r="CB672" s="21" t="str">
        <f ca="1">IFERROR(VLOOKUP(AR672,OFFSET(abbreviation[],0,ColumnLanguage),ColumnAbbreviation,FALSE),"")</f>
        <v/>
      </c>
      <c r="CC672" s="21" t="str">
        <f ca="1">IFERROR(VLOOKUP(AT672,OFFSET(abbreviation[],0,ColumnLanguage),ColumnAbbreviation,FALSE),"")</f>
        <v/>
      </c>
      <c r="CD672" s="21" t="str">
        <f ca="1">IFERROR(VLOOKUP(AV672,OFFSET(abbreviation[],0,ColumnLanguage),ColumnAbbreviation,FALSE),"")</f>
        <v/>
      </c>
      <c r="CE672" s="21" t="str">
        <f t="shared" ca="1" si="73"/>
        <v>__</v>
      </c>
      <c r="CF672" s="21" t="str">
        <f ca="1">IFERROR(VLOOKUP(AX672,OFFSET(abbreviation[],0,ColumnLanguage),ColumnAbbreviation,FALSE),"")</f>
        <v/>
      </c>
      <c r="CG672" s="21" t="str">
        <f ca="1">IFERROR(VLOOKUP(AZ672,OFFSET(abbreviation[],0,ColumnLanguage),ColumnAbbreviation,FALSE),"")</f>
        <v/>
      </c>
      <c r="CH672" s="21" t="str">
        <f ca="1">IFERROR(VLOOKUP(BB672,OFFSET(abbreviation[],0,ColumnLanguage),ColumnAbbreviation,FALSE),"")</f>
        <v/>
      </c>
      <c r="CI672" s="21" t="str">
        <f ca="1">IFERROR(VLOOKUP(BD672,OFFSET(abbreviation[],0,ColumnLanguage),ColumnAbbreviation,FALSE),"")</f>
        <v/>
      </c>
      <c r="CJ672" s="21" t="str">
        <f ca="1">IFERROR(VLOOKUP(BF672,OFFSET(abbreviation[],0,ColumnLanguage),ColumnAbbreviation,FALSE),"")</f>
        <v/>
      </c>
      <c r="CK672" s="21" t="str">
        <f t="shared" ca="1" si="74"/>
        <v/>
      </c>
      <c r="CL672" s="21" t="str">
        <f t="shared" si="75"/>
        <v/>
      </c>
      <c r="CM672" s="52"/>
      <c r="CN672" s="57" t="str">
        <f t="shared" si="76"/>
        <v/>
      </c>
    </row>
    <row r="673" spans="14:92" x14ac:dyDescent="0.25">
      <c r="P673" s="60"/>
      <c r="Q673" s="13"/>
      <c r="V673" s="60"/>
      <c r="X673" s="61"/>
      <c r="AB673" s="60"/>
      <c r="AN673" s="54"/>
      <c r="AS673" s="15"/>
      <c r="BH673" s="52"/>
      <c r="BI673" s="21" t="str">
        <f ca="1">IFERROR(VLOOKUP(C673,OFFSET(abbreviation[],0,ColumnLanguage),ColumnAbbreviation,FALSE),"")</f>
        <v/>
      </c>
      <c r="BJ673" s="21" t="str">
        <f ca="1">IFERROR(VLOOKUP(E673,OFFSET(abbreviation[],0,ColumnLanguage),ColumnAbbreviation,FALSE),"")</f>
        <v/>
      </c>
      <c r="BK673" s="21" t="str">
        <f ca="1">IFERROR(VLOOKUP(G673,OFFSET(abbreviation[],0,ColumnLanguage),ColumnAbbreviation,FALSE),"")</f>
        <v/>
      </c>
      <c r="BL673" s="21" t="str">
        <f ca="1">IFERROR(VLOOKUP(I673,OFFSET(abbreviation[],0,ColumnLanguage),ColumnAbbreviation,FALSE),"")</f>
        <v/>
      </c>
      <c r="BM673" s="21" t="str">
        <f ca="1">IFERROR(VLOOKUP(K673,OFFSET(abbreviation[],0,ColumnLanguage),ColumnAbbreviation,FALSE),"")</f>
        <v/>
      </c>
      <c r="BN673" s="21" t="str">
        <f t="shared" ca="1" si="70"/>
        <v/>
      </c>
      <c r="BO673" s="21" t="str">
        <f ca="1">IFERROR(VLOOKUP(N673,OFFSET(abbreviation[],0,ColumnLanguage),ColumnAbbreviation,FALSE),"")</f>
        <v/>
      </c>
      <c r="BP673" s="21" t="str">
        <f ca="1">IFERROR(VLOOKUP(P673,OFFSET(abbreviation[],0,ColumnLanguage),ColumnAbbreviation,FALSE),"")</f>
        <v/>
      </c>
      <c r="BQ673" s="21" t="str">
        <f ca="1">IFERROR(VLOOKUP(T673,OFFSET(abbreviation[],0,ColumnLanguage),ColumnAbbreviation,FALSE),"")</f>
        <v/>
      </c>
      <c r="BR673" s="21" t="str">
        <f ca="1">IFERROR(VLOOKUP(V673,OFFSET(abbreviation[],0,ColumnLanguage),ColumnAbbreviation,FALSE),"")</f>
        <v/>
      </c>
      <c r="BS673" s="21" t="str">
        <f ca="1">IFERROR(VLOOKUP(Z673,OFFSET(abbreviation[],0,ColumnLanguage),ColumnAbbreviation,FALSE),"")</f>
        <v/>
      </c>
      <c r="BT673" s="21" t="str">
        <f ca="1">IFERROR(VLOOKUP(AB673,OFFSET(abbreviation[],0,ColumnLanguage),ColumnAbbreviation,FALSE),"")</f>
        <v/>
      </c>
      <c r="BU673" s="21" t="str">
        <f t="shared" ca="1" si="71"/>
        <v>__</v>
      </c>
      <c r="BV673" s="21" t="str">
        <f ca="1">IFERROR(VLOOKUP(AF673,OFFSET(abbreviation[],0,ColumnLanguage),ColumnAbbreviation,FALSE),"")</f>
        <v/>
      </c>
      <c r="BW673" s="21" t="str">
        <f ca="1">IFERROR(VLOOKUP(AH673,OFFSET(abbreviation[],0,ColumnLanguage),ColumnAbbreviation,FALSE),"")</f>
        <v/>
      </c>
      <c r="BX673" s="21" t="str">
        <f ca="1">IFERROR(VLOOKUP(AJ673,OFFSET(abbreviation[],0,ColumnLanguage),ColumnAbbreviation,FALSE),"")</f>
        <v/>
      </c>
      <c r="BY673" s="21" t="str">
        <f ca="1">IFERROR(VLOOKUP(AL673,OFFSET(abbreviation[],0,ColumnLanguage),ColumnAbbreviation,FALSE),"")</f>
        <v/>
      </c>
      <c r="BZ673" s="21" t="str">
        <f t="shared" ca="1" si="72"/>
        <v>_</v>
      </c>
      <c r="CA673" s="21" t="str">
        <f ca="1">IFERROR(VLOOKUP(AP673,OFFSET(abbreviation[],0,ColumnLanguage),ColumnAbbreviation,FALSE),"")</f>
        <v/>
      </c>
      <c r="CB673" s="21" t="str">
        <f ca="1">IFERROR(VLOOKUP(AR673,OFFSET(abbreviation[],0,ColumnLanguage),ColumnAbbreviation,FALSE),"")</f>
        <v/>
      </c>
      <c r="CC673" s="21" t="str">
        <f ca="1">IFERROR(VLOOKUP(AT673,OFFSET(abbreviation[],0,ColumnLanguage),ColumnAbbreviation,FALSE),"")</f>
        <v/>
      </c>
      <c r="CD673" s="21" t="str">
        <f ca="1">IFERROR(VLOOKUP(AV673,OFFSET(abbreviation[],0,ColumnLanguage),ColumnAbbreviation,FALSE),"")</f>
        <v/>
      </c>
      <c r="CE673" s="21" t="str">
        <f t="shared" ca="1" si="73"/>
        <v>__</v>
      </c>
      <c r="CF673" s="21" t="str">
        <f ca="1">IFERROR(VLOOKUP(AX673,OFFSET(abbreviation[],0,ColumnLanguage),ColumnAbbreviation,FALSE),"")</f>
        <v/>
      </c>
      <c r="CG673" s="21" t="str">
        <f ca="1">IFERROR(VLOOKUP(AZ673,OFFSET(abbreviation[],0,ColumnLanguage),ColumnAbbreviation,FALSE),"")</f>
        <v/>
      </c>
      <c r="CH673" s="21" t="str">
        <f ca="1">IFERROR(VLOOKUP(BB673,OFFSET(abbreviation[],0,ColumnLanguage),ColumnAbbreviation,FALSE),"")</f>
        <v/>
      </c>
      <c r="CI673" s="21" t="str">
        <f ca="1">IFERROR(VLOOKUP(BD673,OFFSET(abbreviation[],0,ColumnLanguage),ColumnAbbreviation,FALSE),"")</f>
        <v/>
      </c>
      <c r="CJ673" s="21" t="str">
        <f ca="1">IFERROR(VLOOKUP(BF673,OFFSET(abbreviation[],0,ColumnLanguage),ColumnAbbreviation,FALSE),"")</f>
        <v/>
      </c>
      <c r="CK673" s="21" t="str">
        <f t="shared" ca="1" si="74"/>
        <v/>
      </c>
      <c r="CL673" s="21" t="str">
        <f t="shared" si="75"/>
        <v/>
      </c>
      <c r="CM673" s="52"/>
      <c r="CN673" s="57" t="str">
        <f t="shared" si="76"/>
        <v/>
      </c>
    </row>
    <row r="674" spans="14:92" x14ac:dyDescent="0.25">
      <c r="P674" s="60"/>
      <c r="Q674" s="13"/>
      <c r="V674" s="60"/>
      <c r="X674" s="61"/>
      <c r="AB674" s="60"/>
      <c r="AN674" s="54"/>
      <c r="AS674" s="15"/>
      <c r="BH674" s="52"/>
      <c r="BI674" s="21" t="str">
        <f ca="1">IFERROR(VLOOKUP(C674,OFFSET(abbreviation[],0,ColumnLanguage),ColumnAbbreviation,FALSE),"")</f>
        <v/>
      </c>
      <c r="BJ674" s="21" t="str">
        <f ca="1">IFERROR(VLOOKUP(E674,OFFSET(abbreviation[],0,ColumnLanguage),ColumnAbbreviation,FALSE),"")</f>
        <v/>
      </c>
      <c r="BK674" s="21" t="str">
        <f ca="1">IFERROR(VLOOKUP(G674,OFFSET(abbreviation[],0,ColumnLanguage),ColumnAbbreviation,FALSE),"")</f>
        <v/>
      </c>
      <c r="BL674" s="21" t="str">
        <f ca="1">IFERROR(VLOOKUP(I674,OFFSET(abbreviation[],0,ColumnLanguage),ColumnAbbreviation,FALSE),"")</f>
        <v/>
      </c>
      <c r="BM674" s="21" t="str">
        <f ca="1">IFERROR(VLOOKUP(K674,OFFSET(abbreviation[],0,ColumnLanguage),ColumnAbbreviation,FALSE),"")</f>
        <v/>
      </c>
      <c r="BN674" s="21" t="str">
        <f t="shared" ca="1" si="70"/>
        <v/>
      </c>
      <c r="BO674" s="21" t="str">
        <f ca="1">IFERROR(VLOOKUP(N674,OFFSET(abbreviation[],0,ColumnLanguage),ColumnAbbreviation,FALSE),"")</f>
        <v/>
      </c>
      <c r="BP674" s="21" t="str">
        <f ca="1">IFERROR(VLOOKUP(P674,OFFSET(abbreviation[],0,ColumnLanguage),ColumnAbbreviation,FALSE),"")</f>
        <v/>
      </c>
      <c r="BQ674" s="21" t="str">
        <f ca="1">IFERROR(VLOOKUP(T674,OFFSET(abbreviation[],0,ColumnLanguage),ColumnAbbreviation,FALSE),"")</f>
        <v/>
      </c>
      <c r="BR674" s="21" t="str">
        <f ca="1">IFERROR(VLOOKUP(V674,OFFSET(abbreviation[],0,ColumnLanguage),ColumnAbbreviation,FALSE),"")</f>
        <v/>
      </c>
      <c r="BS674" s="21" t="str">
        <f ca="1">IFERROR(VLOOKUP(Z674,OFFSET(abbreviation[],0,ColumnLanguage),ColumnAbbreviation,FALSE),"")</f>
        <v/>
      </c>
      <c r="BT674" s="21" t="str">
        <f ca="1">IFERROR(VLOOKUP(AB674,OFFSET(abbreviation[],0,ColumnLanguage),ColumnAbbreviation,FALSE),"")</f>
        <v/>
      </c>
      <c r="BU674" s="21" t="str">
        <f t="shared" ca="1" si="71"/>
        <v>__</v>
      </c>
      <c r="BV674" s="21" t="str">
        <f ca="1">IFERROR(VLOOKUP(AF674,OFFSET(abbreviation[],0,ColumnLanguage),ColumnAbbreviation,FALSE),"")</f>
        <v/>
      </c>
      <c r="BW674" s="21" t="str">
        <f ca="1">IFERROR(VLOOKUP(AH674,OFFSET(abbreviation[],0,ColumnLanguage),ColumnAbbreviation,FALSE),"")</f>
        <v/>
      </c>
      <c r="BX674" s="21" t="str">
        <f ca="1">IFERROR(VLOOKUP(AJ674,OFFSET(abbreviation[],0,ColumnLanguage),ColumnAbbreviation,FALSE),"")</f>
        <v/>
      </c>
      <c r="BY674" s="21" t="str">
        <f ca="1">IFERROR(VLOOKUP(AL674,OFFSET(abbreviation[],0,ColumnLanguage),ColumnAbbreviation,FALSE),"")</f>
        <v/>
      </c>
      <c r="BZ674" s="21" t="str">
        <f t="shared" ca="1" si="72"/>
        <v>_</v>
      </c>
      <c r="CA674" s="21" t="str">
        <f ca="1">IFERROR(VLOOKUP(AP674,OFFSET(abbreviation[],0,ColumnLanguage),ColumnAbbreviation,FALSE),"")</f>
        <v/>
      </c>
      <c r="CB674" s="21" t="str">
        <f ca="1">IFERROR(VLOOKUP(AR674,OFFSET(abbreviation[],0,ColumnLanguage),ColumnAbbreviation,FALSE),"")</f>
        <v/>
      </c>
      <c r="CC674" s="21" t="str">
        <f ca="1">IFERROR(VLOOKUP(AT674,OFFSET(abbreviation[],0,ColumnLanguage),ColumnAbbreviation,FALSE),"")</f>
        <v/>
      </c>
      <c r="CD674" s="21" t="str">
        <f ca="1">IFERROR(VLOOKUP(AV674,OFFSET(abbreviation[],0,ColumnLanguage),ColumnAbbreviation,FALSE),"")</f>
        <v/>
      </c>
      <c r="CE674" s="21" t="str">
        <f t="shared" ca="1" si="73"/>
        <v>__</v>
      </c>
      <c r="CF674" s="21" t="str">
        <f ca="1">IFERROR(VLOOKUP(AX674,OFFSET(abbreviation[],0,ColumnLanguage),ColumnAbbreviation,FALSE),"")</f>
        <v/>
      </c>
      <c r="CG674" s="21" t="str">
        <f ca="1">IFERROR(VLOOKUP(AZ674,OFFSET(abbreviation[],0,ColumnLanguage),ColumnAbbreviation,FALSE),"")</f>
        <v/>
      </c>
      <c r="CH674" s="21" t="str">
        <f ca="1">IFERROR(VLOOKUP(BB674,OFFSET(abbreviation[],0,ColumnLanguage),ColumnAbbreviation,FALSE),"")</f>
        <v/>
      </c>
      <c r="CI674" s="21" t="str">
        <f ca="1">IFERROR(VLOOKUP(BD674,OFFSET(abbreviation[],0,ColumnLanguage),ColumnAbbreviation,FALSE),"")</f>
        <v/>
      </c>
      <c r="CJ674" s="21" t="str">
        <f ca="1">IFERROR(VLOOKUP(BF674,OFFSET(abbreviation[],0,ColumnLanguage),ColumnAbbreviation,FALSE),"")</f>
        <v/>
      </c>
      <c r="CK674" s="21" t="str">
        <f t="shared" ca="1" si="74"/>
        <v/>
      </c>
      <c r="CL674" s="21" t="str">
        <f t="shared" si="75"/>
        <v/>
      </c>
      <c r="CM674" s="52"/>
      <c r="CN674" s="57" t="str">
        <f t="shared" si="76"/>
        <v/>
      </c>
    </row>
    <row r="675" spans="14:92" x14ac:dyDescent="0.25">
      <c r="P675" s="60"/>
      <c r="Q675" s="13"/>
      <c r="V675" s="60"/>
      <c r="X675" s="61"/>
      <c r="AB675" s="60"/>
      <c r="AN675" s="54"/>
      <c r="AS675" s="15"/>
      <c r="BH675" s="52"/>
      <c r="BI675" s="21" t="str">
        <f ca="1">IFERROR(VLOOKUP(C675,OFFSET(abbreviation[],0,ColumnLanguage),ColumnAbbreviation,FALSE),"")</f>
        <v/>
      </c>
      <c r="BJ675" s="21" t="str">
        <f ca="1">IFERROR(VLOOKUP(E675,OFFSET(abbreviation[],0,ColumnLanguage),ColumnAbbreviation,FALSE),"")</f>
        <v/>
      </c>
      <c r="BK675" s="21" t="str">
        <f ca="1">IFERROR(VLOOKUP(G675,OFFSET(abbreviation[],0,ColumnLanguage),ColumnAbbreviation,FALSE),"")</f>
        <v/>
      </c>
      <c r="BL675" s="21" t="str">
        <f ca="1">IFERROR(VLOOKUP(I675,OFFSET(abbreviation[],0,ColumnLanguage),ColumnAbbreviation,FALSE),"")</f>
        <v/>
      </c>
      <c r="BM675" s="21" t="str">
        <f ca="1">IFERROR(VLOOKUP(K675,OFFSET(abbreviation[],0,ColumnLanguage),ColumnAbbreviation,FALSE),"")</f>
        <v/>
      </c>
      <c r="BN675" s="21" t="str">
        <f t="shared" ca="1" si="70"/>
        <v/>
      </c>
      <c r="BO675" s="21" t="str">
        <f ca="1">IFERROR(VLOOKUP(N675,OFFSET(abbreviation[],0,ColumnLanguage),ColumnAbbreviation,FALSE),"")</f>
        <v/>
      </c>
      <c r="BP675" s="21" t="str">
        <f ca="1">IFERROR(VLOOKUP(P675,OFFSET(abbreviation[],0,ColumnLanguage),ColumnAbbreviation,FALSE),"")</f>
        <v/>
      </c>
      <c r="BQ675" s="21" t="str">
        <f ca="1">IFERROR(VLOOKUP(T675,OFFSET(abbreviation[],0,ColumnLanguage),ColumnAbbreviation,FALSE),"")</f>
        <v/>
      </c>
      <c r="BR675" s="21" t="str">
        <f ca="1">IFERROR(VLOOKUP(V675,OFFSET(abbreviation[],0,ColumnLanguage),ColumnAbbreviation,FALSE),"")</f>
        <v/>
      </c>
      <c r="BS675" s="21" t="str">
        <f ca="1">IFERROR(VLOOKUP(Z675,OFFSET(abbreviation[],0,ColumnLanguage),ColumnAbbreviation,FALSE),"")</f>
        <v/>
      </c>
      <c r="BT675" s="21" t="str">
        <f ca="1">IFERROR(VLOOKUP(AB675,OFFSET(abbreviation[],0,ColumnLanguage),ColumnAbbreviation,FALSE),"")</f>
        <v/>
      </c>
      <c r="BU675" s="21" t="str">
        <f t="shared" ca="1" si="71"/>
        <v>__</v>
      </c>
      <c r="BV675" s="21" t="str">
        <f ca="1">IFERROR(VLOOKUP(AF675,OFFSET(abbreviation[],0,ColumnLanguage),ColumnAbbreviation,FALSE),"")</f>
        <v/>
      </c>
      <c r="BW675" s="21" t="str">
        <f ca="1">IFERROR(VLOOKUP(AH675,OFFSET(abbreviation[],0,ColumnLanguage),ColumnAbbreviation,FALSE),"")</f>
        <v/>
      </c>
      <c r="BX675" s="21" t="str">
        <f ca="1">IFERROR(VLOOKUP(AJ675,OFFSET(abbreviation[],0,ColumnLanguage),ColumnAbbreviation,FALSE),"")</f>
        <v/>
      </c>
      <c r="BY675" s="21" t="str">
        <f ca="1">IFERROR(VLOOKUP(AL675,OFFSET(abbreviation[],0,ColumnLanguage),ColumnAbbreviation,FALSE),"")</f>
        <v/>
      </c>
      <c r="BZ675" s="21" t="str">
        <f t="shared" ca="1" si="72"/>
        <v>_</v>
      </c>
      <c r="CA675" s="21" t="str">
        <f ca="1">IFERROR(VLOOKUP(AP675,OFFSET(abbreviation[],0,ColumnLanguage),ColumnAbbreviation,FALSE),"")</f>
        <v/>
      </c>
      <c r="CB675" s="21" t="str">
        <f ca="1">IFERROR(VLOOKUP(AR675,OFFSET(abbreviation[],0,ColumnLanguage),ColumnAbbreviation,FALSE),"")</f>
        <v/>
      </c>
      <c r="CC675" s="21" t="str">
        <f ca="1">IFERROR(VLOOKUP(AT675,OFFSET(abbreviation[],0,ColumnLanguage),ColumnAbbreviation,FALSE),"")</f>
        <v/>
      </c>
      <c r="CD675" s="21" t="str">
        <f ca="1">IFERROR(VLOOKUP(AV675,OFFSET(abbreviation[],0,ColumnLanguage),ColumnAbbreviation,FALSE),"")</f>
        <v/>
      </c>
      <c r="CE675" s="21" t="str">
        <f t="shared" ca="1" si="73"/>
        <v>__</v>
      </c>
      <c r="CF675" s="21" t="str">
        <f ca="1">IFERROR(VLOOKUP(AX675,OFFSET(abbreviation[],0,ColumnLanguage),ColumnAbbreviation,FALSE),"")</f>
        <v/>
      </c>
      <c r="CG675" s="21" t="str">
        <f ca="1">IFERROR(VLOOKUP(AZ675,OFFSET(abbreviation[],0,ColumnLanguage),ColumnAbbreviation,FALSE),"")</f>
        <v/>
      </c>
      <c r="CH675" s="21" t="str">
        <f ca="1">IFERROR(VLOOKUP(BB675,OFFSET(abbreviation[],0,ColumnLanguage),ColumnAbbreviation,FALSE),"")</f>
        <v/>
      </c>
      <c r="CI675" s="21" t="str">
        <f ca="1">IFERROR(VLOOKUP(BD675,OFFSET(abbreviation[],0,ColumnLanguage),ColumnAbbreviation,FALSE),"")</f>
        <v/>
      </c>
      <c r="CJ675" s="21" t="str">
        <f ca="1">IFERROR(VLOOKUP(BF675,OFFSET(abbreviation[],0,ColumnLanguage),ColumnAbbreviation,FALSE),"")</f>
        <v/>
      </c>
      <c r="CK675" s="21" t="str">
        <f t="shared" ca="1" si="74"/>
        <v/>
      </c>
      <c r="CL675" s="21" t="str">
        <f t="shared" si="75"/>
        <v/>
      </c>
      <c r="CM675" s="52"/>
      <c r="CN675" s="57" t="str">
        <f t="shared" si="76"/>
        <v/>
      </c>
    </row>
    <row r="676" spans="14:92" x14ac:dyDescent="0.25">
      <c r="P676" s="60"/>
      <c r="Q676" s="13"/>
      <c r="V676" s="60"/>
      <c r="X676" s="61"/>
      <c r="AB676" s="60"/>
      <c r="AN676" s="54"/>
      <c r="AS676" s="15"/>
      <c r="BH676" s="52"/>
      <c r="BI676" s="21" t="str">
        <f ca="1">IFERROR(VLOOKUP(C676,OFFSET(abbreviation[],0,ColumnLanguage),ColumnAbbreviation,FALSE),"")</f>
        <v/>
      </c>
      <c r="BJ676" s="21" t="str">
        <f ca="1">IFERROR(VLOOKUP(E676,OFFSET(abbreviation[],0,ColumnLanguage),ColumnAbbreviation,FALSE),"")</f>
        <v/>
      </c>
      <c r="BK676" s="21" t="str">
        <f ca="1">IFERROR(VLOOKUP(G676,OFFSET(abbreviation[],0,ColumnLanguage),ColumnAbbreviation,FALSE),"")</f>
        <v/>
      </c>
      <c r="BL676" s="21" t="str">
        <f ca="1">IFERROR(VLOOKUP(I676,OFFSET(abbreviation[],0,ColumnLanguage),ColumnAbbreviation,FALSE),"")</f>
        <v/>
      </c>
      <c r="BM676" s="21" t="str">
        <f ca="1">IFERROR(VLOOKUP(K676,OFFSET(abbreviation[],0,ColumnLanguage),ColumnAbbreviation,FALSE),"")</f>
        <v/>
      </c>
      <c r="BN676" s="21" t="str">
        <f t="shared" ca="1" si="70"/>
        <v/>
      </c>
      <c r="BO676" s="21" t="str">
        <f ca="1">IFERROR(VLOOKUP(N676,OFFSET(abbreviation[],0,ColumnLanguage),ColumnAbbreviation,FALSE),"")</f>
        <v/>
      </c>
      <c r="BP676" s="21" t="str">
        <f ca="1">IFERROR(VLOOKUP(P676,OFFSET(abbreviation[],0,ColumnLanguage),ColumnAbbreviation,FALSE),"")</f>
        <v/>
      </c>
      <c r="BQ676" s="21" t="str">
        <f ca="1">IFERROR(VLOOKUP(T676,OFFSET(abbreviation[],0,ColumnLanguage),ColumnAbbreviation,FALSE),"")</f>
        <v/>
      </c>
      <c r="BR676" s="21" t="str">
        <f ca="1">IFERROR(VLOOKUP(V676,OFFSET(abbreviation[],0,ColumnLanguage),ColumnAbbreviation,FALSE),"")</f>
        <v/>
      </c>
      <c r="BS676" s="21" t="str">
        <f ca="1">IFERROR(VLOOKUP(Z676,OFFSET(abbreviation[],0,ColumnLanguage),ColumnAbbreviation,FALSE),"")</f>
        <v/>
      </c>
      <c r="BT676" s="21" t="str">
        <f ca="1">IFERROR(VLOOKUP(AB676,OFFSET(abbreviation[],0,ColumnLanguage),ColumnAbbreviation,FALSE),"")</f>
        <v/>
      </c>
      <c r="BU676" s="21" t="str">
        <f t="shared" ca="1" si="71"/>
        <v>__</v>
      </c>
      <c r="BV676" s="21" t="str">
        <f ca="1">IFERROR(VLOOKUP(AF676,OFFSET(abbreviation[],0,ColumnLanguage),ColumnAbbreviation,FALSE),"")</f>
        <v/>
      </c>
      <c r="BW676" s="21" t="str">
        <f ca="1">IFERROR(VLOOKUP(AH676,OFFSET(abbreviation[],0,ColumnLanguage),ColumnAbbreviation,FALSE),"")</f>
        <v/>
      </c>
      <c r="BX676" s="21" t="str">
        <f ca="1">IFERROR(VLOOKUP(AJ676,OFFSET(abbreviation[],0,ColumnLanguage),ColumnAbbreviation,FALSE),"")</f>
        <v/>
      </c>
      <c r="BY676" s="21" t="str">
        <f ca="1">IFERROR(VLOOKUP(AL676,OFFSET(abbreviation[],0,ColumnLanguage),ColumnAbbreviation,FALSE),"")</f>
        <v/>
      </c>
      <c r="BZ676" s="21" t="str">
        <f t="shared" ca="1" si="72"/>
        <v>_</v>
      </c>
      <c r="CA676" s="21" t="str">
        <f ca="1">IFERROR(VLOOKUP(AP676,OFFSET(abbreviation[],0,ColumnLanguage),ColumnAbbreviation,FALSE),"")</f>
        <v/>
      </c>
      <c r="CB676" s="21" t="str">
        <f ca="1">IFERROR(VLOOKUP(AR676,OFFSET(abbreviation[],0,ColumnLanguage),ColumnAbbreviation,FALSE),"")</f>
        <v/>
      </c>
      <c r="CC676" s="21" t="str">
        <f ca="1">IFERROR(VLOOKUP(AT676,OFFSET(abbreviation[],0,ColumnLanguage),ColumnAbbreviation,FALSE),"")</f>
        <v/>
      </c>
      <c r="CD676" s="21" t="str">
        <f ca="1">IFERROR(VLOOKUP(AV676,OFFSET(abbreviation[],0,ColumnLanguage),ColumnAbbreviation,FALSE),"")</f>
        <v/>
      </c>
      <c r="CE676" s="21" t="str">
        <f t="shared" ca="1" si="73"/>
        <v>__</v>
      </c>
      <c r="CF676" s="21" t="str">
        <f ca="1">IFERROR(VLOOKUP(AX676,OFFSET(abbreviation[],0,ColumnLanguage),ColumnAbbreviation,FALSE),"")</f>
        <v/>
      </c>
      <c r="CG676" s="21" t="str">
        <f ca="1">IFERROR(VLOOKUP(AZ676,OFFSET(abbreviation[],0,ColumnLanguage),ColumnAbbreviation,FALSE),"")</f>
        <v/>
      </c>
      <c r="CH676" s="21" t="str">
        <f ca="1">IFERROR(VLOOKUP(BB676,OFFSET(abbreviation[],0,ColumnLanguage),ColumnAbbreviation,FALSE),"")</f>
        <v/>
      </c>
      <c r="CI676" s="21" t="str">
        <f ca="1">IFERROR(VLOOKUP(BD676,OFFSET(abbreviation[],0,ColumnLanguage),ColumnAbbreviation,FALSE),"")</f>
        <v/>
      </c>
      <c r="CJ676" s="21" t="str">
        <f ca="1">IFERROR(VLOOKUP(BF676,OFFSET(abbreviation[],0,ColumnLanguage),ColumnAbbreviation,FALSE),"")</f>
        <v/>
      </c>
      <c r="CK676" s="21" t="str">
        <f t="shared" ca="1" si="74"/>
        <v/>
      </c>
      <c r="CL676" s="21" t="str">
        <f t="shared" si="75"/>
        <v/>
      </c>
      <c r="CM676" s="52"/>
      <c r="CN676" s="57" t="str">
        <f t="shared" si="76"/>
        <v/>
      </c>
    </row>
    <row r="677" spans="14:92" x14ac:dyDescent="0.25">
      <c r="P677" s="60"/>
      <c r="Q677" s="13"/>
      <c r="V677" s="60"/>
      <c r="X677" s="61"/>
      <c r="AB677" s="60"/>
      <c r="AN677" s="54"/>
      <c r="AS677" s="15"/>
      <c r="BH677" s="52"/>
      <c r="BI677" s="21" t="str">
        <f ca="1">IFERROR(VLOOKUP(C677,OFFSET(abbreviation[],0,ColumnLanguage),ColumnAbbreviation,FALSE),"")</f>
        <v/>
      </c>
      <c r="BJ677" s="21" t="str">
        <f ca="1">IFERROR(VLOOKUP(E677,OFFSET(abbreviation[],0,ColumnLanguage),ColumnAbbreviation,FALSE),"")</f>
        <v/>
      </c>
      <c r="BK677" s="21" t="str">
        <f ca="1">IFERROR(VLOOKUP(G677,OFFSET(abbreviation[],0,ColumnLanguage),ColumnAbbreviation,FALSE),"")</f>
        <v/>
      </c>
      <c r="BL677" s="21" t="str">
        <f ca="1">IFERROR(VLOOKUP(I677,OFFSET(abbreviation[],0,ColumnLanguage),ColumnAbbreviation,FALSE),"")</f>
        <v/>
      </c>
      <c r="BM677" s="21" t="str">
        <f ca="1">IFERROR(VLOOKUP(K677,OFFSET(abbreviation[],0,ColumnLanguage),ColumnAbbreviation,FALSE),"")</f>
        <v/>
      </c>
      <c r="BN677" s="21" t="str">
        <f t="shared" ca="1" si="70"/>
        <v/>
      </c>
      <c r="BO677" s="21" t="str">
        <f ca="1">IFERROR(VLOOKUP(N677,OFFSET(abbreviation[],0,ColumnLanguage),ColumnAbbreviation,FALSE),"")</f>
        <v/>
      </c>
      <c r="BP677" s="21" t="str">
        <f ca="1">IFERROR(VLOOKUP(P677,OFFSET(abbreviation[],0,ColumnLanguage),ColumnAbbreviation,FALSE),"")</f>
        <v/>
      </c>
      <c r="BQ677" s="21" t="str">
        <f ca="1">IFERROR(VLOOKUP(T677,OFFSET(abbreviation[],0,ColumnLanguage),ColumnAbbreviation,FALSE),"")</f>
        <v/>
      </c>
      <c r="BR677" s="21" t="str">
        <f ca="1">IFERROR(VLOOKUP(V677,OFFSET(abbreviation[],0,ColumnLanguage),ColumnAbbreviation,FALSE),"")</f>
        <v/>
      </c>
      <c r="BS677" s="21" t="str">
        <f ca="1">IFERROR(VLOOKUP(Z677,OFFSET(abbreviation[],0,ColumnLanguage),ColumnAbbreviation,FALSE),"")</f>
        <v/>
      </c>
      <c r="BT677" s="21" t="str">
        <f ca="1">IFERROR(VLOOKUP(AB677,OFFSET(abbreviation[],0,ColumnLanguage),ColumnAbbreviation,FALSE),"")</f>
        <v/>
      </c>
      <c r="BU677" s="21" t="str">
        <f t="shared" ca="1" si="71"/>
        <v>__</v>
      </c>
      <c r="BV677" s="21" t="str">
        <f ca="1">IFERROR(VLOOKUP(AF677,OFFSET(abbreviation[],0,ColumnLanguage),ColumnAbbreviation,FALSE),"")</f>
        <v/>
      </c>
      <c r="BW677" s="21" t="str">
        <f ca="1">IFERROR(VLOOKUP(AH677,OFFSET(abbreviation[],0,ColumnLanguage),ColumnAbbreviation,FALSE),"")</f>
        <v/>
      </c>
      <c r="BX677" s="21" t="str">
        <f ca="1">IFERROR(VLOOKUP(AJ677,OFFSET(abbreviation[],0,ColumnLanguage),ColumnAbbreviation,FALSE),"")</f>
        <v/>
      </c>
      <c r="BY677" s="21" t="str">
        <f ca="1">IFERROR(VLOOKUP(AL677,OFFSET(abbreviation[],0,ColumnLanguage),ColumnAbbreviation,FALSE),"")</f>
        <v/>
      </c>
      <c r="BZ677" s="21" t="str">
        <f t="shared" ca="1" si="72"/>
        <v>_</v>
      </c>
      <c r="CA677" s="21" t="str">
        <f ca="1">IFERROR(VLOOKUP(AP677,OFFSET(abbreviation[],0,ColumnLanguage),ColumnAbbreviation,FALSE),"")</f>
        <v/>
      </c>
      <c r="CB677" s="21" t="str">
        <f ca="1">IFERROR(VLOOKUP(AR677,OFFSET(abbreviation[],0,ColumnLanguage),ColumnAbbreviation,FALSE),"")</f>
        <v/>
      </c>
      <c r="CC677" s="21" t="str">
        <f ca="1">IFERROR(VLOOKUP(AT677,OFFSET(abbreviation[],0,ColumnLanguage),ColumnAbbreviation,FALSE),"")</f>
        <v/>
      </c>
      <c r="CD677" s="21" t="str">
        <f ca="1">IFERROR(VLOOKUP(AV677,OFFSET(abbreviation[],0,ColumnLanguage),ColumnAbbreviation,FALSE),"")</f>
        <v/>
      </c>
      <c r="CE677" s="21" t="str">
        <f t="shared" ca="1" si="73"/>
        <v>__</v>
      </c>
      <c r="CF677" s="21" t="str">
        <f ca="1">IFERROR(VLOOKUP(AX677,OFFSET(abbreviation[],0,ColumnLanguage),ColumnAbbreviation,FALSE),"")</f>
        <v/>
      </c>
      <c r="CG677" s="21" t="str">
        <f ca="1">IFERROR(VLOOKUP(AZ677,OFFSET(abbreviation[],0,ColumnLanguage),ColumnAbbreviation,FALSE),"")</f>
        <v/>
      </c>
      <c r="CH677" s="21" t="str">
        <f ca="1">IFERROR(VLOOKUP(BB677,OFFSET(abbreviation[],0,ColumnLanguage),ColumnAbbreviation,FALSE),"")</f>
        <v/>
      </c>
      <c r="CI677" s="21" t="str">
        <f ca="1">IFERROR(VLOOKUP(BD677,OFFSET(abbreviation[],0,ColumnLanguage),ColumnAbbreviation,FALSE),"")</f>
        <v/>
      </c>
      <c r="CJ677" s="21" t="str">
        <f ca="1">IFERROR(VLOOKUP(BF677,OFFSET(abbreviation[],0,ColumnLanguage),ColumnAbbreviation,FALSE),"")</f>
        <v/>
      </c>
      <c r="CK677" s="21" t="str">
        <f t="shared" ca="1" si="74"/>
        <v/>
      </c>
      <c r="CL677" s="21" t="str">
        <f t="shared" si="75"/>
        <v/>
      </c>
      <c r="CM677" s="52"/>
      <c r="CN677" s="57" t="str">
        <f t="shared" si="76"/>
        <v/>
      </c>
    </row>
    <row r="678" spans="14:92" x14ac:dyDescent="0.25">
      <c r="P678" s="60"/>
      <c r="Q678" s="13"/>
      <c r="V678" s="60"/>
      <c r="X678" s="61"/>
      <c r="AB678" s="60"/>
      <c r="AN678" s="54"/>
      <c r="AS678" s="15"/>
      <c r="BH678" s="52"/>
      <c r="BI678" s="21" t="str">
        <f ca="1">IFERROR(VLOOKUP(C678,OFFSET(abbreviation[],0,ColumnLanguage),ColumnAbbreviation,FALSE),"")</f>
        <v/>
      </c>
      <c r="BJ678" s="21" t="str">
        <f ca="1">IFERROR(VLOOKUP(E678,OFFSET(abbreviation[],0,ColumnLanguage),ColumnAbbreviation,FALSE),"")</f>
        <v/>
      </c>
      <c r="BK678" s="21" t="str">
        <f ca="1">IFERROR(VLOOKUP(G678,OFFSET(abbreviation[],0,ColumnLanguage),ColumnAbbreviation,FALSE),"")</f>
        <v/>
      </c>
      <c r="BL678" s="21" t="str">
        <f ca="1">IFERROR(VLOOKUP(I678,OFFSET(abbreviation[],0,ColumnLanguage),ColumnAbbreviation,FALSE),"")</f>
        <v/>
      </c>
      <c r="BM678" s="21" t="str">
        <f ca="1">IFERROR(VLOOKUP(K678,OFFSET(abbreviation[],0,ColumnLanguage),ColumnAbbreviation,FALSE),"")</f>
        <v/>
      </c>
      <c r="BN678" s="21" t="str">
        <f t="shared" ca="1" si="70"/>
        <v/>
      </c>
      <c r="BO678" s="21" t="str">
        <f ca="1">IFERROR(VLOOKUP(N678,OFFSET(abbreviation[],0,ColumnLanguage),ColumnAbbreviation,FALSE),"")</f>
        <v/>
      </c>
      <c r="BP678" s="21" t="str">
        <f ca="1">IFERROR(VLOOKUP(P678,OFFSET(abbreviation[],0,ColumnLanguage),ColumnAbbreviation,FALSE),"")</f>
        <v/>
      </c>
      <c r="BQ678" s="21" t="str">
        <f ca="1">IFERROR(VLOOKUP(T678,OFFSET(abbreviation[],0,ColumnLanguage),ColumnAbbreviation,FALSE),"")</f>
        <v/>
      </c>
      <c r="BR678" s="21" t="str">
        <f ca="1">IFERROR(VLOOKUP(V678,OFFSET(abbreviation[],0,ColumnLanguage),ColumnAbbreviation,FALSE),"")</f>
        <v/>
      </c>
      <c r="BS678" s="21" t="str">
        <f ca="1">IFERROR(VLOOKUP(Z678,OFFSET(abbreviation[],0,ColumnLanguage),ColumnAbbreviation,FALSE),"")</f>
        <v/>
      </c>
      <c r="BT678" s="21" t="str">
        <f ca="1">IFERROR(VLOOKUP(AB678,OFFSET(abbreviation[],0,ColumnLanguage),ColumnAbbreviation,FALSE),"")</f>
        <v/>
      </c>
      <c r="BU678" s="21" t="str">
        <f t="shared" ca="1" si="71"/>
        <v>__</v>
      </c>
      <c r="BV678" s="21" t="str">
        <f ca="1">IFERROR(VLOOKUP(AF678,OFFSET(abbreviation[],0,ColumnLanguage),ColumnAbbreviation,FALSE),"")</f>
        <v/>
      </c>
      <c r="BW678" s="21" t="str">
        <f ca="1">IFERROR(VLOOKUP(AH678,OFFSET(abbreviation[],0,ColumnLanguage),ColumnAbbreviation,FALSE),"")</f>
        <v/>
      </c>
      <c r="BX678" s="21" t="str">
        <f ca="1">IFERROR(VLOOKUP(AJ678,OFFSET(abbreviation[],0,ColumnLanguage),ColumnAbbreviation,FALSE),"")</f>
        <v/>
      </c>
      <c r="BY678" s="21" t="str">
        <f ca="1">IFERROR(VLOOKUP(AL678,OFFSET(abbreviation[],0,ColumnLanguage),ColumnAbbreviation,FALSE),"")</f>
        <v/>
      </c>
      <c r="BZ678" s="21" t="str">
        <f t="shared" ca="1" si="72"/>
        <v>_</v>
      </c>
      <c r="CA678" s="21" t="str">
        <f ca="1">IFERROR(VLOOKUP(AP678,OFFSET(abbreviation[],0,ColumnLanguage),ColumnAbbreviation,FALSE),"")</f>
        <v/>
      </c>
      <c r="CB678" s="21" t="str">
        <f ca="1">IFERROR(VLOOKUP(AR678,OFFSET(abbreviation[],0,ColumnLanguage),ColumnAbbreviation,FALSE),"")</f>
        <v/>
      </c>
      <c r="CC678" s="21" t="str">
        <f ca="1">IFERROR(VLOOKUP(AT678,OFFSET(abbreviation[],0,ColumnLanguage),ColumnAbbreviation,FALSE),"")</f>
        <v/>
      </c>
      <c r="CD678" s="21" t="str">
        <f ca="1">IFERROR(VLOOKUP(AV678,OFFSET(abbreviation[],0,ColumnLanguage),ColumnAbbreviation,FALSE),"")</f>
        <v/>
      </c>
      <c r="CE678" s="21" t="str">
        <f t="shared" ca="1" si="73"/>
        <v>__</v>
      </c>
      <c r="CF678" s="21" t="str">
        <f ca="1">IFERROR(VLOOKUP(AX678,OFFSET(abbreviation[],0,ColumnLanguage),ColumnAbbreviation,FALSE),"")</f>
        <v/>
      </c>
      <c r="CG678" s="21" t="str">
        <f ca="1">IFERROR(VLOOKUP(AZ678,OFFSET(abbreviation[],0,ColumnLanguage),ColumnAbbreviation,FALSE),"")</f>
        <v/>
      </c>
      <c r="CH678" s="21" t="str">
        <f ca="1">IFERROR(VLOOKUP(BB678,OFFSET(abbreviation[],0,ColumnLanguage),ColumnAbbreviation,FALSE),"")</f>
        <v/>
      </c>
      <c r="CI678" s="21" t="str">
        <f ca="1">IFERROR(VLOOKUP(BD678,OFFSET(abbreviation[],0,ColumnLanguage),ColumnAbbreviation,FALSE),"")</f>
        <v/>
      </c>
      <c r="CJ678" s="21" t="str">
        <f ca="1">IFERROR(VLOOKUP(BF678,OFFSET(abbreviation[],0,ColumnLanguage),ColumnAbbreviation,FALSE),"")</f>
        <v/>
      </c>
      <c r="CK678" s="21" t="str">
        <f t="shared" ca="1" si="74"/>
        <v/>
      </c>
      <c r="CL678" s="21" t="str">
        <f t="shared" si="75"/>
        <v/>
      </c>
      <c r="CM678" s="52"/>
      <c r="CN678" s="57" t="str">
        <f t="shared" si="76"/>
        <v/>
      </c>
    </row>
    <row r="679" spans="14:92" x14ac:dyDescent="0.25">
      <c r="P679" s="60"/>
      <c r="Q679" s="13"/>
      <c r="V679" s="60"/>
      <c r="X679" s="61"/>
      <c r="AB679" s="60"/>
      <c r="AN679" s="54"/>
      <c r="AS679" s="15"/>
      <c r="BH679" s="52"/>
      <c r="BI679" s="21" t="str">
        <f ca="1">IFERROR(VLOOKUP(C679,OFFSET(abbreviation[],0,ColumnLanguage),ColumnAbbreviation,FALSE),"")</f>
        <v/>
      </c>
      <c r="BJ679" s="21" t="str">
        <f ca="1">IFERROR(VLOOKUP(E679,OFFSET(abbreviation[],0,ColumnLanguage),ColumnAbbreviation,FALSE),"")</f>
        <v/>
      </c>
      <c r="BK679" s="21" t="str">
        <f ca="1">IFERROR(VLOOKUP(G679,OFFSET(abbreviation[],0,ColumnLanguage),ColumnAbbreviation,FALSE),"")</f>
        <v/>
      </c>
      <c r="BL679" s="21" t="str">
        <f ca="1">IFERROR(VLOOKUP(I679,OFFSET(abbreviation[],0,ColumnLanguage),ColumnAbbreviation,FALSE),"")</f>
        <v/>
      </c>
      <c r="BM679" s="21" t="str">
        <f ca="1">IFERROR(VLOOKUP(K679,OFFSET(abbreviation[],0,ColumnLanguage),ColumnAbbreviation,FALSE),"")</f>
        <v/>
      </c>
      <c r="BN679" s="21" t="str">
        <f t="shared" ca="1" si="70"/>
        <v/>
      </c>
      <c r="BO679" s="21" t="str">
        <f ca="1">IFERROR(VLOOKUP(N679,OFFSET(abbreviation[],0,ColumnLanguage),ColumnAbbreviation,FALSE),"")</f>
        <v/>
      </c>
      <c r="BP679" s="21" t="str">
        <f ca="1">IFERROR(VLOOKUP(P679,OFFSET(abbreviation[],0,ColumnLanguage),ColumnAbbreviation,FALSE),"")</f>
        <v/>
      </c>
      <c r="BQ679" s="21" t="str">
        <f ca="1">IFERROR(VLOOKUP(T679,OFFSET(abbreviation[],0,ColumnLanguage),ColumnAbbreviation,FALSE),"")</f>
        <v/>
      </c>
      <c r="BR679" s="21" t="str">
        <f ca="1">IFERROR(VLOOKUP(V679,OFFSET(abbreviation[],0,ColumnLanguage),ColumnAbbreviation,FALSE),"")</f>
        <v/>
      </c>
      <c r="BS679" s="21" t="str">
        <f ca="1">IFERROR(VLOOKUP(Z679,OFFSET(abbreviation[],0,ColumnLanguage),ColumnAbbreviation,FALSE),"")</f>
        <v/>
      </c>
      <c r="BT679" s="21" t="str">
        <f ca="1">IFERROR(VLOOKUP(AB679,OFFSET(abbreviation[],0,ColumnLanguage),ColumnAbbreviation,FALSE),"")</f>
        <v/>
      </c>
      <c r="BU679" s="21" t="str">
        <f t="shared" ca="1" si="71"/>
        <v>__</v>
      </c>
      <c r="BV679" s="21" t="str">
        <f ca="1">IFERROR(VLOOKUP(AF679,OFFSET(abbreviation[],0,ColumnLanguage),ColumnAbbreviation,FALSE),"")</f>
        <v/>
      </c>
      <c r="BW679" s="21" t="str">
        <f ca="1">IFERROR(VLOOKUP(AH679,OFFSET(abbreviation[],0,ColumnLanguage),ColumnAbbreviation,FALSE),"")</f>
        <v/>
      </c>
      <c r="BX679" s="21" t="str">
        <f ca="1">IFERROR(VLOOKUP(AJ679,OFFSET(abbreviation[],0,ColumnLanguage),ColumnAbbreviation,FALSE),"")</f>
        <v/>
      </c>
      <c r="BY679" s="21" t="str">
        <f ca="1">IFERROR(VLOOKUP(AL679,OFFSET(abbreviation[],0,ColumnLanguage),ColumnAbbreviation,FALSE),"")</f>
        <v/>
      </c>
      <c r="BZ679" s="21" t="str">
        <f t="shared" ca="1" si="72"/>
        <v>_</v>
      </c>
      <c r="CA679" s="21" t="str">
        <f ca="1">IFERROR(VLOOKUP(AP679,OFFSET(abbreviation[],0,ColumnLanguage),ColumnAbbreviation,FALSE),"")</f>
        <v/>
      </c>
      <c r="CB679" s="21" t="str">
        <f ca="1">IFERROR(VLOOKUP(AR679,OFFSET(abbreviation[],0,ColumnLanguage),ColumnAbbreviation,FALSE),"")</f>
        <v/>
      </c>
      <c r="CC679" s="21" t="str">
        <f ca="1">IFERROR(VLOOKUP(AT679,OFFSET(abbreviation[],0,ColumnLanguage),ColumnAbbreviation,FALSE),"")</f>
        <v/>
      </c>
      <c r="CD679" s="21" t="str">
        <f ca="1">IFERROR(VLOOKUP(AV679,OFFSET(abbreviation[],0,ColumnLanguage),ColumnAbbreviation,FALSE),"")</f>
        <v/>
      </c>
      <c r="CE679" s="21" t="str">
        <f t="shared" ca="1" si="73"/>
        <v>__</v>
      </c>
      <c r="CF679" s="21" t="str">
        <f ca="1">IFERROR(VLOOKUP(AX679,OFFSET(abbreviation[],0,ColumnLanguage),ColumnAbbreviation,FALSE),"")</f>
        <v/>
      </c>
      <c r="CG679" s="21" t="str">
        <f ca="1">IFERROR(VLOOKUP(AZ679,OFFSET(abbreviation[],0,ColumnLanguage),ColumnAbbreviation,FALSE),"")</f>
        <v/>
      </c>
      <c r="CH679" s="21" t="str">
        <f ca="1">IFERROR(VLOOKUP(BB679,OFFSET(abbreviation[],0,ColumnLanguage),ColumnAbbreviation,FALSE),"")</f>
        <v/>
      </c>
      <c r="CI679" s="21" t="str">
        <f ca="1">IFERROR(VLOOKUP(BD679,OFFSET(abbreviation[],0,ColumnLanguage),ColumnAbbreviation,FALSE),"")</f>
        <v/>
      </c>
      <c r="CJ679" s="21" t="str">
        <f ca="1">IFERROR(VLOOKUP(BF679,OFFSET(abbreviation[],0,ColumnLanguage),ColumnAbbreviation,FALSE),"")</f>
        <v/>
      </c>
      <c r="CK679" s="21" t="str">
        <f t="shared" ca="1" si="74"/>
        <v/>
      </c>
      <c r="CL679" s="21" t="str">
        <f t="shared" si="75"/>
        <v/>
      </c>
      <c r="CM679" s="52"/>
      <c r="CN679" s="57" t="str">
        <f t="shared" si="76"/>
        <v/>
      </c>
    </row>
    <row r="680" spans="14:92" x14ac:dyDescent="0.25">
      <c r="P680" s="60"/>
      <c r="Q680" s="13"/>
      <c r="V680" s="60"/>
      <c r="X680" s="61"/>
      <c r="AB680" s="60"/>
      <c r="AN680" s="54"/>
      <c r="AS680" s="15"/>
      <c r="BH680" s="52"/>
      <c r="BI680" s="21" t="str">
        <f ca="1">IFERROR(VLOOKUP(C680,OFFSET(abbreviation[],0,ColumnLanguage),ColumnAbbreviation,FALSE),"")</f>
        <v/>
      </c>
      <c r="BJ680" s="21" t="str">
        <f ca="1">IFERROR(VLOOKUP(E680,OFFSET(abbreviation[],0,ColumnLanguage),ColumnAbbreviation,FALSE),"")</f>
        <v/>
      </c>
      <c r="BK680" s="21" t="str">
        <f ca="1">IFERROR(VLOOKUP(G680,OFFSET(abbreviation[],0,ColumnLanguage),ColumnAbbreviation,FALSE),"")</f>
        <v/>
      </c>
      <c r="BL680" s="21" t="str">
        <f ca="1">IFERROR(VLOOKUP(I680,OFFSET(abbreviation[],0,ColumnLanguage),ColumnAbbreviation,FALSE),"")</f>
        <v/>
      </c>
      <c r="BM680" s="21" t="str">
        <f ca="1">IFERROR(VLOOKUP(K680,OFFSET(abbreviation[],0,ColumnLanguage),ColumnAbbreviation,FALSE),"")</f>
        <v/>
      </c>
      <c r="BN680" s="21" t="str">
        <f t="shared" ca="1" si="70"/>
        <v/>
      </c>
      <c r="BO680" s="21" t="str">
        <f ca="1">IFERROR(VLOOKUP(N680,OFFSET(abbreviation[],0,ColumnLanguage),ColumnAbbreviation,FALSE),"")</f>
        <v/>
      </c>
      <c r="BP680" s="21" t="str">
        <f ca="1">IFERROR(VLOOKUP(P680,OFFSET(abbreviation[],0,ColumnLanguage),ColumnAbbreviation,FALSE),"")</f>
        <v/>
      </c>
      <c r="BQ680" s="21" t="str">
        <f ca="1">IFERROR(VLOOKUP(T680,OFFSET(abbreviation[],0,ColumnLanguage),ColumnAbbreviation,FALSE),"")</f>
        <v/>
      </c>
      <c r="BR680" s="21" t="str">
        <f ca="1">IFERROR(VLOOKUP(V680,OFFSET(abbreviation[],0,ColumnLanguage),ColumnAbbreviation,FALSE),"")</f>
        <v/>
      </c>
      <c r="BS680" s="21" t="str">
        <f ca="1">IFERROR(VLOOKUP(Z680,OFFSET(abbreviation[],0,ColumnLanguage),ColumnAbbreviation,FALSE),"")</f>
        <v/>
      </c>
      <c r="BT680" s="21" t="str">
        <f ca="1">IFERROR(VLOOKUP(AB680,OFFSET(abbreviation[],0,ColumnLanguage),ColumnAbbreviation,FALSE),"")</f>
        <v/>
      </c>
      <c r="BU680" s="21" t="str">
        <f t="shared" ca="1" si="71"/>
        <v>__</v>
      </c>
      <c r="BV680" s="21" t="str">
        <f ca="1">IFERROR(VLOOKUP(AF680,OFFSET(abbreviation[],0,ColumnLanguage),ColumnAbbreviation,FALSE),"")</f>
        <v/>
      </c>
      <c r="BW680" s="21" t="str">
        <f ca="1">IFERROR(VLOOKUP(AH680,OFFSET(abbreviation[],0,ColumnLanguage),ColumnAbbreviation,FALSE),"")</f>
        <v/>
      </c>
      <c r="BX680" s="21" t="str">
        <f ca="1">IFERROR(VLOOKUP(AJ680,OFFSET(abbreviation[],0,ColumnLanguage),ColumnAbbreviation,FALSE),"")</f>
        <v/>
      </c>
      <c r="BY680" s="21" t="str">
        <f ca="1">IFERROR(VLOOKUP(AL680,OFFSET(abbreviation[],0,ColumnLanguage),ColumnAbbreviation,FALSE),"")</f>
        <v/>
      </c>
      <c r="BZ680" s="21" t="str">
        <f t="shared" ca="1" si="72"/>
        <v>_</v>
      </c>
      <c r="CA680" s="21" t="str">
        <f ca="1">IFERROR(VLOOKUP(AP680,OFFSET(abbreviation[],0,ColumnLanguage),ColumnAbbreviation,FALSE),"")</f>
        <v/>
      </c>
      <c r="CB680" s="21" t="str">
        <f ca="1">IFERROR(VLOOKUP(AR680,OFFSET(abbreviation[],0,ColumnLanguage),ColumnAbbreviation,FALSE),"")</f>
        <v/>
      </c>
      <c r="CC680" s="21" t="str">
        <f ca="1">IFERROR(VLOOKUP(AT680,OFFSET(abbreviation[],0,ColumnLanguage),ColumnAbbreviation,FALSE),"")</f>
        <v/>
      </c>
      <c r="CD680" s="21" t="str">
        <f ca="1">IFERROR(VLOOKUP(AV680,OFFSET(abbreviation[],0,ColumnLanguage),ColumnAbbreviation,FALSE),"")</f>
        <v/>
      </c>
      <c r="CE680" s="21" t="str">
        <f t="shared" ca="1" si="73"/>
        <v>__</v>
      </c>
      <c r="CF680" s="21" t="str">
        <f ca="1">IFERROR(VLOOKUP(AX680,OFFSET(abbreviation[],0,ColumnLanguage),ColumnAbbreviation,FALSE),"")</f>
        <v/>
      </c>
      <c r="CG680" s="21" t="str">
        <f ca="1">IFERROR(VLOOKUP(AZ680,OFFSET(abbreviation[],0,ColumnLanguage),ColumnAbbreviation,FALSE),"")</f>
        <v/>
      </c>
      <c r="CH680" s="21" t="str">
        <f ca="1">IFERROR(VLOOKUP(BB680,OFFSET(abbreviation[],0,ColumnLanguage),ColumnAbbreviation,FALSE),"")</f>
        <v/>
      </c>
      <c r="CI680" s="21" t="str">
        <f ca="1">IFERROR(VLOOKUP(BD680,OFFSET(abbreviation[],0,ColumnLanguage),ColumnAbbreviation,FALSE),"")</f>
        <v/>
      </c>
      <c r="CJ680" s="21" t="str">
        <f ca="1">IFERROR(VLOOKUP(BF680,OFFSET(abbreviation[],0,ColumnLanguage),ColumnAbbreviation,FALSE),"")</f>
        <v/>
      </c>
      <c r="CK680" s="21" t="str">
        <f t="shared" ca="1" si="74"/>
        <v/>
      </c>
      <c r="CL680" s="21" t="str">
        <f t="shared" si="75"/>
        <v/>
      </c>
      <c r="CM680" s="52"/>
      <c r="CN680" s="57" t="str">
        <f t="shared" si="76"/>
        <v/>
      </c>
    </row>
    <row r="681" spans="14:92" x14ac:dyDescent="0.25">
      <c r="P681" s="60"/>
      <c r="Q681" s="13"/>
      <c r="V681" s="60"/>
      <c r="X681" s="61"/>
      <c r="AB681" s="60"/>
      <c r="AN681" s="54"/>
      <c r="AS681" s="15"/>
      <c r="BH681" s="52"/>
      <c r="BI681" s="21" t="str">
        <f ca="1">IFERROR(VLOOKUP(C681,OFFSET(abbreviation[],0,ColumnLanguage),ColumnAbbreviation,FALSE),"")</f>
        <v/>
      </c>
      <c r="BJ681" s="21" t="str">
        <f ca="1">IFERROR(VLOOKUP(E681,OFFSET(abbreviation[],0,ColumnLanguage),ColumnAbbreviation,FALSE),"")</f>
        <v/>
      </c>
      <c r="BK681" s="21" t="str">
        <f ca="1">IFERROR(VLOOKUP(G681,OFFSET(abbreviation[],0,ColumnLanguage),ColumnAbbreviation,FALSE),"")</f>
        <v/>
      </c>
      <c r="BL681" s="21" t="str">
        <f ca="1">IFERROR(VLOOKUP(I681,OFFSET(abbreviation[],0,ColumnLanguage),ColumnAbbreviation,FALSE),"")</f>
        <v/>
      </c>
      <c r="BM681" s="21" t="str">
        <f ca="1">IFERROR(VLOOKUP(K681,OFFSET(abbreviation[],0,ColumnLanguage),ColumnAbbreviation,FALSE),"")</f>
        <v/>
      </c>
      <c r="BN681" s="21" t="str">
        <f t="shared" ca="1" si="70"/>
        <v/>
      </c>
      <c r="BO681" s="21" t="str">
        <f ca="1">IFERROR(VLOOKUP(N681,OFFSET(abbreviation[],0,ColumnLanguage),ColumnAbbreviation,FALSE),"")</f>
        <v/>
      </c>
      <c r="BP681" s="21" t="str">
        <f ca="1">IFERROR(VLOOKUP(P681,OFFSET(abbreviation[],0,ColumnLanguage),ColumnAbbreviation,FALSE),"")</f>
        <v/>
      </c>
      <c r="BQ681" s="21" t="str">
        <f ca="1">IFERROR(VLOOKUP(T681,OFFSET(abbreviation[],0,ColumnLanguage),ColumnAbbreviation,FALSE),"")</f>
        <v/>
      </c>
      <c r="BR681" s="21" t="str">
        <f ca="1">IFERROR(VLOOKUP(V681,OFFSET(abbreviation[],0,ColumnLanguage),ColumnAbbreviation,FALSE),"")</f>
        <v/>
      </c>
      <c r="BS681" s="21" t="str">
        <f ca="1">IFERROR(VLOOKUP(Z681,OFFSET(abbreviation[],0,ColumnLanguage),ColumnAbbreviation,FALSE),"")</f>
        <v/>
      </c>
      <c r="BT681" s="21" t="str">
        <f ca="1">IFERROR(VLOOKUP(AB681,OFFSET(abbreviation[],0,ColumnLanguage),ColumnAbbreviation,FALSE),"")</f>
        <v/>
      </c>
      <c r="BU681" s="21" t="str">
        <f t="shared" ca="1" si="71"/>
        <v>__</v>
      </c>
      <c r="BV681" s="21" t="str">
        <f ca="1">IFERROR(VLOOKUP(AF681,OFFSET(abbreviation[],0,ColumnLanguage),ColumnAbbreviation,FALSE),"")</f>
        <v/>
      </c>
      <c r="BW681" s="21" t="str">
        <f ca="1">IFERROR(VLOOKUP(AH681,OFFSET(abbreviation[],0,ColumnLanguage),ColumnAbbreviation,FALSE),"")</f>
        <v/>
      </c>
      <c r="BX681" s="21" t="str">
        <f ca="1">IFERROR(VLOOKUP(AJ681,OFFSET(abbreviation[],0,ColumnLanguage),ColumnAbbreviation,FALSE),"")</f>
        <v/>
      </c>
      <c r="BY681" s="21" t="str">
        <f ca="1">IFERROR(VLOOKUP(AL681,OFFSET(abbreviation[],0,ColumnLanguage),ColumnAbbreviation,FALSE),"")</f>
        <v/>
      </c>
      <c r="BZ681" s="21" t="str">
        <f t="shared" ca="1" si="72"/>
        <v>_</v>
      </c>
      <c r="CA681" s="21" t="str">
        <f ca="1">IFERROR(VLOOKUP(AP681,OFFSET(abbreviation[],0,ColumnLanguage),ColumnAbbreviation,FALSE),"")</f>
        <v/>
      </c>
      <c r="CB681" s="21" t="str">
        <f ca="1">IFERROR(VLOOKUP(AR681,OFFSET(abbreviation[],0,ColumnLanguage),ColumnAbbreviation,FALSE),"")</f>
        <v/>
      </c>
      <c r="CC681" s="21" t="str">
        <f ca="1">IFERROR(VLOOKUP(AT681,OFFSET(abbreviation[],0,ColumnLanguage),ColumnAbbreviation,FALSE),"")</f>
        <v/>
      </c>
      <c r="CD681" s="21" t="str">
        <f ca="1">IFERROR(VLOOKUP(AV681,OFFSET(abbreviation[],0,ColumnLanguage),ColumnAbbreviation,FALSE),"")</f>
        <v/>
      </c>
      <c r="CE681" s="21" t="str">
        <f t="shared" ca="1" si="73"/>
        <v>__</v>
      </c>
      <c r="CF681" s="21" t="str">
        <f ca="1">IFERROR(VLOOKUP(AX681,OFFSET(abbreviation[],0,ColumnLanguage),ColumnAbbreviation,FALSE),"")</f>
        <v/>
      </c>
      <c r="CG681" s="21" t="str">
        <f ca="1">IFERROR(VLOOKUP(AZ681,OFFSET(abbreviation[],0,ColumnLanguage),ColumnAbbreviation,FALSE),"")</f>
        <v/>
      </c>
      <c r="CH681" s="21" t="str">
        <f ca="1">IFERROR(VLOOKUP(BB681,OFFSET(abbreviation[],0,ColumnLanguage),ColumnAbbreviation,FALSE),"")</f>
        <v/>
      </c>
      <c r="CI681" s="21" t="str">
        <f ca="1">IFERROR(VLOOKUP(BD681,OFFSET(abbreviation[],0,ColumnLanguage),ColumnAbbreviation,FALSE),"")</f>
        <v/>
      </c>
      <c r="CJ681" s="21" t="str">
        <f ca="1">IFERROR(VLOOKUP(BF681,OFFSET(abbreviation[],0,ColumnLanguage),ColumnAbbreviation,FALSE),"")</f>
        <v/>
      </c>
      <c r="CK681" s="21" t="str">
        <f t="shared" ca="1" si="74"/>
        <v/>
      </c>
      <c r="CL681" s="21" t="str">
        <f t="shared" si="75"/>
        <v/>
      </c>
      <c r="CM681" s="52"/>
      <c r="CN681" s="57" t="str">
        <f t="shared" si="76"/>
        <v/>
      </c>
    </row>
    <row r="682" spans="14:92" x14ac:dyDescent="0.25">
      <c r="P682" s="60"/>
      <c r="Q682" s="13"/>
      <c r="V682" s="60"/>
      <c r="X682" s="61"/>
      <c r="AB682" s="60"/>
      <c r="AN682" s="54"/>
      <c r="AS682" s="15"/>
      <c r="BH682" s="52"/>
      <c r="BI682" s="21" t="str">
        <f ca="1">IFERROR(VLOOKUP(C682,OFFSET(abbreviation[],0,ColumnLanguage),ColumnAbbreviation,FALSE),"")</f>
        <v/>
      </c>
      <c r="BJ682" s="21" t="str">
        <f ca="1">IFERROR(VLOOKUP(E682,OFFSET(abbreviation[],0,ColumnLanguage),ColumnAbbreviation,FALSE),"")</f>
        <v/>
      </c>
      <c r="BK682" s="21" t="str">
        <f ca="1">IFERROR(VLOOKUP(G682,OFFSET(abbreviation[],0,ColumnLanguage),ColumnAbbreviation,FALSE),"")</f>
        <v/>
      </c>
      <c r="BL682" s="21" t="str">
        <f ca="1">IFERROR(VLOOKUP(I682,OFFSET(abbreviation[],0,ColumnLanguage),ColumnAbbreviation,FALSE),"")</f>
        <v/>
      </c>
      <c r="BM682" s="21" t="str">
        <f ca="1">IFERROR(VLOOKUP(K682,OFFSET(abbreviation[],0,ColumnLanguage),ColumnAbbreviation,FALSE),"")</f>
        <v/>
      </c>
      <c r="BN682" s="21" t="str">
        <f t="shared" ca="1" si="70"/>
        <v/>
      </c>
      <c r="BO682" s="21" t="str">
        <f ca="1">IFERROR(VLOOKUP(N682,OFFSET(abbreviation[],0,ColumnLanguage),ColumnAbbreviation,FALSE),"")</f>
        <v/>
      </c>
      <c r="BP682" s="21" t="str">
        <f ca="1">IFERROR(VLOOKUP(P682,OFFSET(abbreviation[],0,ColumnLanguage),ColumnAbbreviation,FALSE),"")</f>
        <v/>
      </c>
      <c r="BQ682" s="21" t="str">
        <f ca="1">IFERROR(VLOOKUP(T682,OFFSET(abbreviation[],0,ColumnLanguage),ColumnAbbreviation,FALSE),"")</f>
        <v/>
      </c>
      <c r="BR682" s="21" t="str">
        <f ca="1">IFERROR(VLOOKUP(V682,OFFSET(abbreviation[],0,ColumnLanguage),ColumnAbbreviation,FALSE),"")</f>
        <v/>
      </c>
      <c r="BS682" s="21" t="str">
        <f ca="1">IFERROR(VLOOKUP(Z682,OFFSET(abbreviation[],0,ColumnLanguage),ColumnAbbreviation,FALSE),"")</f>
        <v/>
      </c>
      <c r="BT682" s="21" t="str">
        <f ca="1">IFERROR(VLOOKUP(AB682,OFFSET(abbreviation[],0,ColumnLanguage),ColumnAbbreviation,FALSE),"")</f>
        <v/>
      </c>
      <c r="BU682" s="21" t="str">
        <f t="shared" ca="1" si="71"/>
        <v>__</v>
      </c>
      <c r="BV682" s="21" t="str">
        <f ca="1">IFERROR(VLOOKUP(AF682,OFFSET(abbreviation[],0,ColumnLanguage),ColumnAbbreviation,FALSE),"")</f>
        <v/>
      </c>
      <c r="BW682" s="21" t="str">
        <f ca="1">IFERROR(VLOOKUP(AH682,OFFSET(abbreviation[],0,ColumnLanguage),ColumnAbbreviation,FALSE),"")</f>
        <v/>
      </c>
      <c r="BX682" s="21" t="str">
        <f ca="1">IFERROR(VLOOKUP(AJ682,OFFSET(abbreviation[],0,ColumnLanguage),ColumnAbbreviation,FALSE),"")</f>
        <v/>
      </c>
      <c r="BY682" s="21" t="str">
        <f ca="1">IFERROR(VLOOKUP(AL682,OFFSET(abbreviation[],0,ColumnLanguage),ColumnAbbreviation,FALSE),"")</f>
        <v/>
      </c>
      <c r="BZ682" s="21" t="str">
        <f t="shared" ca="1" si="72"/>
        <v>_</v>
      </c>
      <c r="CA682" s="21" t="str">
        <f ca="1">IFERROR(VLOOKUP(AP682,OFFSET(abbreviation[],0,ColumnLanguage),ColumnAbbreviation,FALSE),"")</f>
        <v/>
      </c>
      <c r="CB682" s="21" t="str">
        <f ca="1">IFERROR(VLOOKUP(AR682,OFFSET(abbreviation[],0,ColumnLanguage),ColumnAbbreviation,FALSE),"")</f>
        <v/>
      </c>
      <c r="CC682" s="21" t="str">
        <f ca="1">IFERROR(VLOOKUP(AT682,OFFSET(abbreviation[],0,ColumnLanguage),ColumnAbbreviation,FALSE),"")</f>
        <v/>
      </c>
      <c r="CD682" s="21" t="str">
        <f ca="1">IFERROR(VLOOKUP(AV682,OFFSET(abbreviation[],0,ColumnLanguage),ColumnAbbreviation,FALSE),"")</f>
        <v/>
      </c>
      <c r="CE682" s="21" t="str">
        <f t="shared" ca="1" si="73"/>
        <v>__</v>
      </c>
      <c r="CF682" s="21" t="str">
        <f ca="1">IFERROR(VLOOKUP(AX682,OFFSET(abbreviation[],0,ColumnLanguage),ColumnAbbreviation,FALSE),"")</f>
        <v/>
      </c>
      <c r="CG682" s="21" t="str">
        <f ca="1">IFERROR(VLOOKUP(AZ682,OFFSET(abbreviation[],0,ColumnLanguage),ColumnAbbreviation,FALSE),"")</f>
        <v/>
      </c>
      <c r="CH682" s="21" t="str">
        <f ca="1">IFERROR(VLOOKUP(BB682,OFFSET(abbreviation[],0,ColumnLanguage),ColumnAbbreviation,FALSE),"")</f>
        <v/>
      </c>
      <c r="CI682" s="21" t="str">
        <f ca="1">IFERROR(VLOOKUP(BD682,OFFSET(abbreviation[],0,ColumnLanguage),ColumnAbbreviation,FALSE),"")</f>
        <v/>
      </c>
      <c r="CJ682" s="21" t="str">
        <f ca="1">IFERROR(VLOOKUP(BF682,OFFSET(abbreviation[],0,ColumnLanguage),ColumnAbbreviation,FALSE),"")</f>
        <v/>
      </c>
      <c r="CK682" s="21" t="str">
        <f t="shared" ca="1" si="74"/>
        <v/>
      </c>
      <c r="CL682" s="21" t="str">
        <f t="shared" si="75"/>
        <v/>
      </c>
      <c r="CM682" s="52"/>
      <c r="CN682" s="57" t="str">
        <f t="shared" si="76"/>
        <v/>
      </c>
    </row>
    <row r="683" spans="14:92" x14ac:dyDescent="0.25">
      <c r="N683" s="10"/>
      <c r="P683" s="60"/>
      <c r="Q683" s="13"/>
      <c r="V683" s="60"/>
      <c r="X683" s="61"/>
      <c r="AB683" s="60"/>
      <c r="AN683" s="54"/>
      <c r="AS683" s="15"/>
      <c r="BH683" s="52"/>
      <c r="BI683" s="21" t="str">
        <f ca="1">IFERROR(VLOOKUP(C683,OFFSET(abbreviation[],0,ColumnLanguage),ColumnAbbreviation,FALSE),"")</f>
        <v/>
      </c>
      <c r="BJ683" s="21" t="str">
        <f ca="1">IFERROR(VLOOKUP(E683,OFFSET(abbreviation[],0,ColumnLanguage),ColumnAbbreviation,FALSE),"")</f>
        <v/>
      </c>
      <c r="BK683" s="21" t="str">
        <f ca="1">IFERROR(VLOOKUP(G683,OFFSET(abbreviation[],0,ColumnLanguage),ColumnAbbreviation,FALSE),"")</f>
        <v/>
      </c>
      <c r="BL683" s="21" t="str">
        <f ca="1">IFERROR(VLOOKUP(I683,OFFSET(abbreviation[],0,ColumnLanguage),ColumnAbbreviation,FALSE),"")</f>
        <v/>
      </c>
      <c r="BM683" s="21" t="str">
        <f ca="1">IFERROR(VLOOKUP(K683,OFFSET(abbreviation[],0,ColumnLanguage),ColumnAbbreviation,FALSE),"")</f>
        <v/>
      </c>
      <c r="BN683" s="21" t="str">
        <f t="shared" ca="1" si="70"/>
        <v/>
      </c>
      <c r="BO683" s="21" t="str">
        <f ca="1">IFERROR(VLOOKUP(N683,OFFSET(abbreviation[],0,ColumnLanguage),ColumnAbbreviation,FALSE),"")</f>
        <v/>
      </c>
      <c r="BP683" s="21" t="str">
        <f ca="1">IFERROR(VLOOKUP(P683,OFFSET(abbreviation[],0,ColumnLanguage),ColumnAbbreviation,FALSE),"")</f>
        <v/>
      </c>
      <c r="BQ683" s="21" t="str">
        <f ca="1">IFERROR(VLOOKUP(T683,OFFSET(abbreviation[],0,ColumnLanguage),ColumnAbbreviation,FALSE),"")</f>
        <v/>
      </c>
      <c r="BR683" s="21" t="str">
        <f ca="1">IFERROR(VLOOKUP(V683,OFFSET(abbreviation[],0,ColumnLanguage),ColumnAbbreviation,FALSE),"")</f>
        <v/>
      </c>
      <c r="BS683" s="21" t="str">
        <f ca="1">IFERROR(VLOOKUP(Z683,OFFSET(abbreviation[],0,ColumnLanguage),ColumnAbbreviation,FALSE),"")</f>
        <v/>
      </c>
      <c r="BT683" s="21" t="str">
        <f ca="1">IFERROR(VLOOKUP(AB683,OFFSET(abbreviation[],0,ColumnLanguage),ColumnAbbreviation,FALSE),"")</f>
        <v/>
      </c>
      <c r="BU683" s="21" t="str">
        <f t="shared" ca="1" si="71"/>
        <v>__</v>
      </c>
      <c r="BV683" s="21" t="str">
        <f ca="1">IFERROR(VLOOKUP(AF683,OFFSET(abbreviation[],0,ColumnLanguage),ColumnAbbreviation,FALSE),"")</f>
        <v/>
      </c>
      <c r="BW683" s="21" t="str">
        <f ca="1">IFERROR(VLOOKUP(AH683,OFFSET(abbreviation[],0,ColumnLanguage),ColumnAbbreviation,FALSE),"")</f>
        <v/>
      </c>
      <c r="BX683" s="21" t="str">
        <f ca="1">IFERROR(VLOOKUP(AJ683,OFFSET(abbreviation[],0,ColumnLanguage),ColumnAbbreviation,FALSE),"")</f>
        <v/>
      </c>
      <c r="BY683" s="21" t="str">
        <f ca="1">IFERROR(VLOOKUP(AL683,OFFSET(abbreviation[],0,ColumnLanguage),ColumnAbbreviation,FALSE),"")</f>
        <v/>
      </c>
      <c r="BZ683" s="21" t="str">
        <f t="shared" ca="1" si="72"/>
        <v>_</v>
      </c>
      <c r="CA683" s="21" t="str">
        <f ca="1">IFERROR(VLOOKUP(AP683,OFFSET(abbreviation[],0,ColumnLanguage),ColumnAbbreviation,FALSE),"")</f>
        <v/>
      </c>
      <c r="CB683" s="21" t="str">
        <f ca="1">IFERROR(VLOOKUP(AR683,OFFSET(abbreviation[],0,ColumnLanguage),ColumnAbbreviation,FALSE),"")</f>
        <v/>
      </c>
      <c r="CC683" s="21" t="str">
        <f ca="1">IFERROR(VLOOKUP(AT683,OFFSET(abbreviation[],0,ColumnLanguage),ColumnAbbreviation,FALSE),"")</f>
        <v/>
      </c>
      <c r="CD683" s="21" t="str">
        <f ca="1">IFERROR(VLOOKUP(AV683,OFFSET(abbreviation[],0,ColumnLanguage),ColumnAbbreviation,FALSE),"")</f>
        <v/>
      </c>
      <c r="CE683" s="21" t="str">
        <f t="shared" ca="1" si="73"/>
        <v>__</v>
      </c>
      <c r="CF683" s="21" t="str">
        <f ca="1">IFERROR(VLOOKUP(AX683,OFFSET(abbreviation[],0,ColumnLanguage),ColumnAbbreviation,FALSE),"")</f>
        <v/>
      </c>
      <c r="CG683" s="21" t="str">
        <f ca="1">IFERROR(VLOOKUP(AZ683,OFFSET(abbreviation[],0,ColumnLanguage),ColumnAbbreviation,FALSE),"")</f>
        <v/>
      </c>
      <c r="CH683" s="21" t="str">
        <f ca="1">IFERROR(VLOOKUP(BB683,OFFSET(abbreviation[],0,ColumnLanguage),ColumnAbbreviation,FALSE),"")</f>
        <v/>
      </c>
      <c r="CI683" s="21" t="str">
        <f ca="1">IFERROR(VLOOKUP(BD683,OFFSET(abbreviation[],0,ColumnLanguage),ColumnAbbreviation,FALSE),"")</f>
        <v/>
      </c>
      <c r="CJ683" s="21" t="str">
        <f ca="1">IFERROR(VLOOKUP(BF683,OFFSET(abbreviation[],0,ColumnLanguage),ColumnAbbreviation,FALSE),"")</f>
        <v/>
      </c>
      <c r="CK683" s="21" t="str">
        <f t="shared" ca="1" si="74"/>
        <v/>
      </c>
      <c r="CL683" s="21" t="str">
        <f t="shared" si="75"/>
        <v/>
      </c>
      <c r="CM683" s="52"/>
      <c r="CN683" s="57" t="str">
        <f t="shared" si="76"/>
        <v/>
      </c>
    </row>
    <row r="684" spans="14:92" x14ac:dyDescent="0.25">
      <c r="N684" s="10"/>
      <c r="P684" s="60"/>
      <c r="Q684" s="13"/>
      <c r="V684" s="60"/>
      <c r="X684" s="61"/>
      <c r="AB684" s="60"/>
      <c r="AN684" s="54"/>
      <c r="AS684" s="15"/>
      <c r="BH684" s="52"/>
      <c r="BI684" s="21" t="str">
        <f ca="1">IFERROR(VLOOKUP(C684,OFFSET(abbreviation[],0,ColumnLanguage),ColumnAbbreviation,FALSE),"")</f>
        <v/>
      </c>
      <c r="BJ684" s="21" t="str">
        <f ca="1">IFERROR(VLOOKUP(E684,OFFSET(abbreviation[],0,ColumnLanguage),ColumnAbbreviation,FALSE),"")</f>
        <v/>
      </c>
      <c r="BK684" s="21" t="str">
        <f ca="1">IFERROR(VLOOKUP(G684,OFFSET(abbreviation[],0,ColumnLanguage),ColumnAbbreviation,FALSE),"")</f>
        <v/>
      </c>
      <c r="BL684" s="21" t="str">
        <f ca="1">IFERROR(VLOOKUP(I684,OFFSET(abbreviation[],0,ColumnLanguage),ColumnAbbreviation,FALSE),"")</f>
        <v/>
      </c>
      <c r="BM684" s="21" t="str">
        <f ca="1">IFERROR(VLOOKUP(K684,OFFSET(abbreviation[],0,ColumnLanguage),ColumnAbbreviation,FALSE),"")</f>
        <v/>
      </c>
      <c r="BN684" s="21" t="str">
        <f t="shared" ca="1" si="70"/>
        <v/>
      </c>
      <c r="BO684" s="21" t="str">
        <f ca="1">IFERROR(VLOOKUP(N684,OFFSET(abbreviation[],0,ColumnLanguage),ColumnAbbreviation,FALSE),"")</f>
        <v/>
      </c>
      <c r="BP684" s="21" t="str">
        <f ca="1">IFERROR(VLOOKUP(P684,OFFSET(abbreviation[],0,ColumnLanguage),ColumnAbbreviation,FALSE),"")</f>
        <v/>
      </c>
      <c r="BQ684" s="21" t="str">
        <f ca="1">IFERROR(VLOOKUP(T684,OFFSET(abbreviation[],0,ColumnLanguage),ColumnAbbreviation,FALSE),"")</f>
        <v/>
      </c>
      <c r="BR684" s="21" t="str">
        <f ca="1">IFERROR(VLOOKUP(V684,OFFSET(abbreviation[],0,ColumnLanguage),ColumnAbbreviation,FALSE),"")</f>
        <v/>
      </c>
      <c r="BS684" s="21" t="str">
        <f ca="1">IFERROR(VLOOKUP(Z684,OFFSET(abbreviation[],0,ColumnLanguage),ColumnAbbreviation,FALSE),"")</f>
        <v/>
      </c>
      <c r="BT684" s="21" t="str">
        <f ca="1">IFERROR(VLOOKUP(AB684,OFFSET(abbreviation[],0,ColumnLanguage),ColumnAbbreviation,FALSE),"")</f>
        <v/>
      </c>
      <c r="BU684" s="21" t="str">
        <f t="shared" ca="1" si="71"/>
        <v>__</v>
      </c>
      <c r="BV684" s="21" t="str">
        <f ca="1">IFERROR(VLOOKUP(AF684,OFFSET(abbreviation[],0,ColumnLanguage),ColumnAbbreviation,FALSE),"")</f>
        <v/>
      </c>
      <c r="BW684" s="21" t="str">
        <f ca="1">IFERROR(VLOOKUP(AH684,OFFSET(abbreviation[],0,ColumnLanguage),ColumnAbbreviation,FALSE),"")</f>
        <v/>
      </c>
      <c r="BX684" s="21" t="str">
        <f ca="1">IFERROR(VLOOKUP(AJ684,OFFSET(abbreviation[],0,ColumnLanguage),ColumnAbbreviation,FALSE),"")</f>
        <v/>
      </c>
      <c r="BY684" s="21" t="str">
        <f ca="1">IFERROR(VLOOKUP(AL684,OFFSET(abbreviation[],0,ColumnLanguage),ColumnAbbreviation,FALSE),"")</f>
        <v/>
      </c>
      <c r="BZ684" s="21" t="str">
        <f t="shared" ca="1" si="72"/>
        <v>_</v>
      </c>
      <c r="CA684" s="21" t="str">
        <f ca="1">IFERROR(VLOOKUP(AP684,OFFSET(abbreviation[],0,ColumnLanguage),ColumnAbbreviation,FALSE),"")</f>
        <v/>
      </c>
      <c r="CB684" s="21" t="str">
        <f ca="1">IFERROR(VLOOKUP(AR684,OFFSET(abbreviation[],0,ColumnLanguage),ColumnAbbreviation,FALSE),"")</f>
        <v/>
      </c>
      <c r="CC684" s="21" t="str">
        <f ca="1">IFERROR(VLOOKUP(AT684,OFFSET(abbreviation[],0,ColumnLanguage),ColumnAbbreviation,FALSE),"")</f>
        <v/>
      </c>
      <c r="CD684" s="21" t="str">
        <f ca="1">IFERROR(VLOOKUP(AV684,OFFSET(abbreviation[],0,ColumnLanguage),ColumnAbbreviation,FALSE),"")</f>
        <v/>
      </c>
      <c r="CE684" s="21" t="str">
        <f t="shared" ca="1" si="73"/>
        <v>__</v>
      </c>
      <c r="CF684" s="21" t="str">
        <f ca="1">IFERROR(VLOOKUP(AX684,OFFSET(abbreviation[],0,ColumnLanguage),ColumnAbbreviation,FALSE),"")</f>
        <v/>
      </c>
      <c r="CG684" s="21" t="str">
        <f ca="1">IFERROR(VLOOKUP(AZ684,OFFSET(abbreviation[],0,ColumnLanguage),ColumnAbbreviation,FALSE),"")</f>
        <v/>
      </c>
      <c r="CH684" s="21" t="str">
        <f ca="1">IFERROR(VLOOKUP(BB684,OFFSET(abbreviation[],0,ColumnLanguage),ColumnAbbreviation,FALSE),"")</f>
        <v/>
      </c>
      <c r="CI684" s="21" t="str">
        <f ca="1">IFERROR(VLOOKUP(BD684,OFFSET(abbreviation[],0,ColumnLanguage),ColumnAbbreviation,FALSE),"")</f>
        <v/>
      </c>
      <c r="CJ684" s="21" t="str">
        <f ca="1">IFERROR(VLOOKUP(BF684,OFFSET(abbreviation[],0,ColumnLanguage),ColumnAbbreviation,FALSE),"")</f>
        <v/>
      </c>
      <c r="CK684" s="21" t="str">
        <f t="shared" ca="1" si="74"/>
        <v/>
      </c>
      <c r="CL684" s="21" t="str">
        <f t="shared" si="75"/>
        <v/>
      </c>
      <c r="CM684" s="52"/>
      <c r="CN684" s="57" t="str">
        <f t="shared" si="76"/>
        <v/>
      </c>
    </row>
    <row r="685" spans="14:92" x14ac:dyDescent="0.25">
      <c r="N685" s="59"/>
      <c r="P685" s="60"/>
      <c r="Q685" s="13"/>
      <c r="V685" s="60"/>
      <c r="X685" s="61"/>
      <c r="AB685" s="60"/>
      <c r="AN685" s="54"/>
      <c r="AS685" s="15"/>
      <c r="BH685" s="52"/>
      <c r="BI685" s="21" t="str">
        <f ca="1">IFERROR(VLOOKUP(C685,OFFSET(abbreviation[],0,ColumnLanguage),ColumnAbbreviation,FALSE),"")</f>
        <v/>
      </c>
      <c r="BJ685" s="21" t="str">
        <f ca="1">IFERROR(VLOOKUP(E685,OFFSET(abbreviation[],0,ColumnLanguage),ColumnAbbreviation,FALSE),"")</f>
        <v/>
      </c>
      <c r="BK685" s="21" t="str">
        <f ca="1">IFERROR(VLOOKUP(G685,OFFSET(abbreviation[],0,ColumnLanguage),ColumnAbbreviation,FALSE),"")</f>
        <v/>
      </c>
      <c r="BL685" s="21" t="str">
        <f ca="1">IFERROR(VLOOKUP(I685,OFFSET(abbreviation[],0,ColumnLanguage),ColumnAbbreviation,FALSE),"")</f>
        <v/>
      </c>
      <c r="BM685" s="21" t="str">
        <f ca="1">IFERROR(VLOOKUP(K685,OFFSET(abbreviation[],0,ColumnLanguage),ColumnAbbreviation,FALSE),"")</f>
        <v/>
      </c>
      <c r="BN685" s="21" t="str">
        <f t="shared" ca="1" si="70"/>
        <v/>
      </c>
      <c r="BO685" s="21" t="str">
        <f ca="1">IFERROR(VLOOKUP(N685,OFFSET(abbreviation[],0,ColumnLanguage),ColumnAbbreviation,FALSE),"")</f>
        <v/>
      </c>
      <c r="BP685" s="21" t="str">
        <f ca="1">IFERROR(VLOOKUP(P685,OFFSET(abbreviation[],0,ColumnLanguage),ColumnAbbreviation,FALSE),"")</f>
        <v/>
      </c>
      <c r="BQ685" s="21" t="str">
        <f ca="1">IFERROR(VLOOKUP(T685,OFFSET(abbreviation[],0,ColumnLanguage),ColumnAbbreviation,FALSE),"")</f>
        <v/>
      </c>
      <c r="BR685" s="21" t="str">
        <f ca="1">IFERROR(VLOOKUP(V685,OFFSET(abbreviation[],0,ColumnLanguage),ColumnAbbreviation,FALSE),"")</f>
        <v/>
      </c>
      <c r="BS685" s="21" t="str">
        <f ca="1">IFERROR(VLOOKUP(Z685,OFFSET(abbreviation[],0,ColumnLanguage),ColumnAbbreviation,FALSE),"")</f>
        <v/>
      </c>
      <c r="BT685" s="21" t="str">
        <f ca="1">IFERROR(VLOOKUP(AB685,OFFSET(abbreviation[],0,ColumnLanguage),ColumnAbbreviation,FALSE),"")</f>
        <v/>
      </c>
      <c r="BU685" s="21" t="str">
        <f t="shared" ca="1" si="71"/>
        <v>__</v>
      </c>
      <c r="BV685" s="21" t="str">
        <f ca="1">IFERROR(VLOOKUP(AF685,OFFSET(abbreviation[],0,ColumnLanguage),ColumnAbbreviation,FALSE),"")</f>
        <v/>
      </c>
      <c r="BW685" s="21" t="str">
        <f ca="1">IFERROR(VLOOKUP(AH685,OFFSET(abbreviation[],0,ColumnLanguage),ColumnAbbreviation,FALSE),"")</f>
        <v/>
      </c>
      <c r="BX685" s="21" t="str">
        <f ca="1">IFERROR(VLOOKUP(AJ685,OFFSET(abbreviation[],0,ColumnLanguage),ColumnAbbreviation,FALSE),"")</f>
        <v/>
      </c>
      <c r="BY685" s="21" t="str">
        <f ca="1">IFERROR(VLOOKUP(AL685,OFFSET(abbreviation[],0,ColumnLanguage),ColumnAbbreviation,FALSE),"")</f>
        <v/>
      </c>
      <c r="BZ685" s="21" t="str">
        <f t="shared" ca="1" si="72"/>
        <v>_</v>
      </c>
      <c r="CA685" s="21" t="str">
        <f ca="1">IFERROR(VLOOKUP(AP685,OFFSET(abbreviation[],0,ColumnLanguage),ColumnAbbreviation,FALSE),"")</f>
        <v/>
      </c>
      <c r="CB685" s="21" t="str">
        <f ca="1">IFERROR(VLOOKUP(AR685,OFFSET(abbreviation[],0,ColumnLanguage),ColumnAbbreviation,FALSE),"")</f>
        <v/>
      </c>
      <c r="CC685" s="21" t="str">
        <f ca="1">IFERROR(VLOOKUP(AT685,OFFSET(abbreviation[],0,ColumnLanguage),ColumnAbbreviation,FALSE),"")</f>
        <v/>
      </c>
      <c r="CD685" s="21" t="str">
        <f ca="1">IFERROR(VLOOKUP(AV685,OFFSET(abbreviation[],0,ColumnLanguage),ColumnAbbreviation,FALSE),"")</f>
        <v/>
      </c>
      <c r="CE685" s="21" t="str">
        <f t="shared" ca="1" si="73"/>
        <v>__</v>
      </c>
      <c r="CF685" s="21" t="str">
        <f ca="1">IFERROR(VLOOKUP(AX685,OFFSET(abbreviation[],0,ColumnLanguage),ColumnAbbreviation,FALSE),"")</f>
        <v/>
      </c>
      <c r="CG685" s="21" t="str">
        <f ca="1">IFERROR(VLOOKUP(AZ685,OFFSET(abbreviation[],0,ColumnLanguage),ColumnAbbreviation,FALSE),"")</f>
        <v/>
      </c>
      <c r="CH685" s="21" t="str">
        <f ca="1">IFERROR(VLOOKUP(BB685,OFFSET(abbreviation[],0,ColumnLanguage),ColumnAbbreviation,FALSE),"")</f>
        <v/>
      </c>
      <c r="CI685" s="21" t="str">
        <f ca="1">IFERROR(VLOOKUP(BD685,OFFSET(abbreviation[],0,ColumnLanguage),ColumnAbbreviation,FALSE),"")</f>
        <v/>
      </c>
      <c r="CJ685" s="21" t="str">
        <f ca="1">IFERROR(VLOOKUP(BF685,OFFSET(abbreviation[],0,ColumnLanguage),ColumnAbbreviation,FALSE),"")</f>
        <v/>
      </c>
      <c r="CK685" s="21" t="str">
        <f t="shared" ca="1" si="74"/>
        <v/>
      </c>
      <c r="CL685" s="21" t="str">
        <f t="shared" si="75"/>
        <v/>
      </c>
      <c r="CM685" s="52"/>
      <c r="CN685" s="57" t="str">
        <f t="shared" si="76"/>
        <v/>
      </c>
    </row>
    <row r="686" spans="14:92" x14ac:dyDescent="0.25">
      <c r="N686" s="58"/>
      <c r="P686" s="60"/>
      <c r="Q686" s="13"/>
      <c r="V686" s="60"/>
      <c r="X686" s="61"/>
      <c r="AB686" s="60"/>
      <c r="AN686" s="54"/>
      <c r="AS686" s="15"/>
      <c r="BH686" s="52"/>
      <c r="BI686" s="21" t="str">
        <f ca="1">IFERROR(VLOOKUP(C686,OFFSET(abbreviation[],0,ColumnLanguage),ColumnAbbreviation,FALSE),"")</f>
        <v/>
      </c>
      <c r="BJ686" s="21" t="str">
        <f ca="1">IFERROR(VLOOKUP(E686,OFFSET(abbreviation[],0,ColumnLanguage),ColumnAbbreviation,FALSE),"")</f>
        <v/>
      </c>
      <c r="BK686" s="21" t="str">
        <f ca="1">IFERROR(VLOOKUP(G686,OFFSET(abbreviation[],0,ColumnLanguage),ColumnAbbreviation,FALSE),"")</f>
        <v/>
      </c>
      <c r="BL686" s="21" t="str">
        <f ca="1">IFERROR(VLOOKUP(I686,OFFSET(abbreviation[],0,ColumnLanguage),ColumnAbbreviation,FALSE),"")</f>
        <v/>
      </c>
      <c r="BM686" s="21" t="str">
        <f ca="1">IFERROR(VLOOKUP(K686,OFFSET(abbreviation[],0,ColumnLanguage),ColumnAbbreviation,FALSE),"")</f>
        <v/>
      </c>
      <c r="BN686" s="21" t="str">
        <f t="shared" ca="1" si="70"/>
        <v/>
      </c>
      <c r="BO686" s="21" t="str">
        <f ca="1">IFERROR(VLOOKUP(N686,OFFSET(abbreviation[],0,ColumnLanguage),ColumnAbbreviation,FALSE),"")</f>
        <v/>
      </c>
      <c r="BP686" s="21" t="str">
        <f ca="1">IFERROR(VLOOKUP(P686,OFFSET(abbreviation[],0,ColumnLanguage),ColumnAbbreviation,FALSE),"")</f>
        <v/>
      </c>
      <c r="BQ686" s="21" t="str">
        <f ca="1">IFERROR(VLOOKUP(T686,OFFSET(abbreviation[],0,ColumnLanguage),ColumnAbbreviation,FALSE),"")</f>
        <v/>
      </c>
      <c r="BR686" s="21" t="str">
        <f ca="1">IFERROR(VLOOKUP(V686,OFFSET(abbreviation[],0,ColumnLanguage),ColumnAbbreviation,FALSE),"")</f>
        <v/>
      </c>
      <c r="BS686" s="21" t="str">
        <f ca="1">IFERROR(VLOOKUP(Z686,OFFSET(abbreviation[],0,ColumnLanguage),ColumnAbbreviation,FALSE),"")</f>
        <v/>
      </c>
      <c r="BT686" s="21" t="str">
        <f ca="1">IFERROR(VLOOKUP(AB686,OFFSET(abbreviation[],0,ColumnLanguage),ColumnAbbreviation,FALSE),"")</f>
        <v/>
      </c>
      <c r="BU686" s="21" t="str">
        <f t="shared" ca="1" si="71"/>
        <v>__</v>
      </c>
      <c r="BV686" s="21" t="str">
        <f ca="1">IFERROR(VLOOKUP(AF686,OFFSET(abbreviation[],0,ColumnLanguage),ColumnAbbreviation,FALSE),"")</f>
        <v/>
      </c>
      <c r="BW686" s="21" t="str">
        <f ca="1">IFERROR(VLOOKUP(AH686,OFFSET(abbreviation[],0,ColumnLanguage),ColumnAbbreviation,FALSE),"")</f>
        <v/>
      </c>
      <c r="BX686" s="21" t="str">
        <f ca="1">IFERROR(VLOOKUP(AJ686,OFFSET(abbreviation[],0,ColumnLanguage),ColumnAbbreviation,FALSE),"")</f>
        <v/>
      </c>
      <c r="BY686" s="21" t="str">
        <f ca="1">IFERROR(VLOOKUP(AL686,OFFSET(abbreviation[],0,ColumnLanguage),ColumnAbbreviation,FALSE),"")</f>
        <v/>
      </c>
      <c r="BZ686" s="21" t="str">
        <f t="shared" ca="1" si="72"/>
        <v>_</v>
      </c>
      <c r="CA686" s="21" t="str">
        <f ca="1">IFERROR(VLOOKUP(AP686,OFFSET(abbreviation[],0,ColumnLanguage),ColumnAbbreviation,FALSE),"")</f>
        <v/>
      </c>
      <c r="CB686" s="21" t="str">
        <f ca="1">IFERROR(VLOOKUP(AR686,OFFSET(abbreviation[],0,ColumnLanguage),ColumnAbbreviation,FALSE),"")</f>
        <v/>
      </c>
      <c r="CC686" s="21" t="str">
        <f ca="1">IFERROR(VLOOKUP(AT686,OFFSET(abbreviation[],0,ColumnLanguage),ColumnAbbreviation,FALSE),"")</f>
        <v/>
      </c>
      <c r="CD686" s="21" t="str">
        <f ca="1">IFERROR(VLOOKUP(AV686,OFFSET(abbreviation[],0,ColumnLanguage),ColumnAbbreviation,FALSE),"")</f>
        <v/>
      </c>
      <c r="CE686" s="21" t="str">
        <f t="shared" ca="1" si="73"/>
        <v>__</v>
      </c>
      <c r="CF686" s="21" t="str">
        <f ca="1">IFERROR(VLOOKUP(AX686,OFFSET(abbreviation[],0,ColumnLanguage),ColumnAbbreviation,FALSE),"")</f>
        <v/>
      </c>
      <c r="CG686" s="21" t="str">
        <f ca="1">IFERROR(VLOOKUP(AZ686,OFFSET(abbreviation[],0,ColumnLanguage),ColumnAbbreviation,FALSE),"")</f>
        <v/>
      </c>
      <c r="CH686" s="21" t="str">
        <f ca="1">IFERROR(VLOOKUP(BB686,OFFSET(abbreviation[],0,ColumnLanguage),ColumnAbbreviation,FALSE),"")</f>
        <v/>
      </c>
      <c r="CI686" s="21" t="str">
        <f ca="1">IFERROR(VLOOKUP(BD686,OFFSET(abbreviation[],0,ColumnLanguage),ColumnAbbreviation,FALSE),"")</f>
        <v/>
      </c>
      <c r="CJ686" s="21" t="str">
        <f ca="1">IFERROR(VLOOKUP(BF686,OFFSET(abbreviation[],0,ColumnLanguage),ColumnAbbreviation,FALSE),"")</f>
        <v/>
      </c>
      <c r="CK686" s="21" t="str">
        <f t="shared" ca="1" si="74"/>
        <v/>
      </c>
      <c r="CL686" s="21" t="str">
        <f t="shared" si="75"/>
        <v/>
      </c>
      <c r="CM686" s="52"/>
      <c r="CN686" s="57" t="str">
        <f t="shared" si="76"/>
        <v/>
      </c>
    </row>
    <row r="687" spans="14:92" x14ac:dyDescent="0.25">
      <c r="N687" s="58"/>
      <c r="P687" s="60"/>
      <c r="Q687" s="13"/>
      <c r="V687" s="60"/>
      <c r="X687" s="61"/>
      <c r="AB687" s="60"/>
      <c r="AN687" s="54"/>
      <c r="AS687" s="15"/>
      <c r="BH687" s="52"/>
      <c r="BI687" s="21" t="str">
        <f ca="1">IFERROR(VLOOKUP(C687,OFFSET(abbreviation[],0,ColumnLanguage),ColumnAbbreviation,FALSE),"")</f>
        <v/>
      </c>
      <c r="BJ687" s="21" t="str">
        <f ca="1">IFERROR(VLOOKUP(E687,OFFSET(abbreviation[],0,ColumnLanguage),ColumnAbbreviation,FALSE),"")</f>
        <v/>
      </c>
      <c r="BK687" s="21" t="str">
        <f ca="1">IFERROR(VLOOKUP(G687,OFFSET(abbreviation[],0,ColumnLanguage),ColumnAbbreviation,FALSE),"")</f>
        <v/>
      </c>
      <c r="BL687" s="21" t="str">
        <f ca="1">IFERROR(VLOOKUP(I687,OFFSET(abbreviation[],0,ColumnLanguage),ColumnAbbreviation,FALSE),"")</f>
        <v/>
      </c>
      <c r="BM687" s="21" t="str">
        <f ca="1">IFERROR(VLOOKUP(K687,OFFSET(abbreviation[],0,ColumnLanguage),ColumnAbbreviation,FALSE),"")</f>
        <v/>
      </c>
      <c r="BN687" s="21" t="str">
        <f t="shared" ca="1" si="70"/>
        <v/>
      </c>
      <c r="BO687" s="21" t="str">
        <f ca="1">IFERROR(VLOOKUP(N687,OFFSET(abbreviation[],0,ColumnLanguage),ColumnAbbreviation,FALSE),"")</f>
        <v/>
      </c>
      <c r="BP687" s="21" t="str">
        <f ca="1">IFERROR(VLOOKUP(P687,OFFSET(abbreviation[],0,ColumnLanguage),ColumnAbbreviation,FALSE),"")</f>
        <v/>
      </c>
      <c r="BQ687" s="21" t="str">
        <f ca="1">IFERROR(VLOOKUP(T687,OFFSET(abbreviation[],0,ColumnLanguage),ColumnAbbreviation,FALSE),"")</f>
        <v/>
      </c>
      <c r="BR687" s="21" t="str">
        <f ca="1">IFERROR(VLOOKUP(V687,OFFSET(abbreviation[],0,ColumnLanguage),ColumnAbbreviation,FALSE),"")</f>
        <v/>
      </c>
      <c r="BS687" s="21" t="str">
        <f ca="1">IFERROR(VLOOKUP(Z687,OFFSET(abbreviation[],0,ColumnLanguage),ColumnAbbreviation,FALSE),"")</f>
        <v/>
      </c>
      <c r="BT687" s="21" t="str">
        <f ca="1">IFERROR(VLOOKUP(AB687,OFFSET(abbreviation[],0,ColumnLanguage),ColumnAbbreviation,FALSE),"")</f>
        <v/>
      </c>
      <c r="BU687" s="21" t="str">
        <f t="shared" ca="1" si="71"/>
        <v>__</v>
      </c>
      <c r="BV687" s="21" t="str">
        <f ca="1">IFERROR(VLOOKUP(AF687,OFFSET(abbreviation[],0,ColumnLanguage),ColumnAbbreviation,FALSE),"")</f>
        <v/>
      </c>
      <c r="BW687" s="21" t="str">
        <f ca="1">IFERROR(VLOOKUP(AH687,OFFSET(abbreviation[],0,ColumnLanguage),ColumnAbbreviation,FALSE),"")</f>
        <v/>
      </c>
      <c r="BX687" s="21" t="str">
        <f ca="1">IFERROR(VLOOKUP(AJ687,OFFSET(abbreviation[],0,ColumnLanguage),ColumnAbbreviation,FALSE),"")</f>
        <v/>
      </c>
      <c r="BY687" s="21" t="str">
        <f ca="1">IFERROR(VLOOKUP(AL687,OFFSET(abbreviation[],0,ColumnLanguage),ColumnAbbreviation,FALSE),"")</f>
        <v/>
      </c>
      <c r="BZ687" s="21" t="str">
        <f t="shared" ca="1" si="72"/>
        <v>_</v>
      </c>
      <c r="CA687" s="21" t="str">
        <f ca="1">IFERROR(VLOOKUP(AP687,OFFSET(abbreviation[],0,ColumnLanguage),ColumnAbbreviation,FALSE),"")</f>
        <v/>
      </c>
      <c r="CB687" s="21" t="str">
        <f ca="1">IFERROR(VLOOKUP(AR687,OFFSET(abbreviation[],0,ColumnLanguage),ColumnAbbreviation,FALSE),"")</f>
        <v/>
      </c>
      <c r="CC687" s="21" t="str">
        <f ca="1">IFERROR(VLOOKUP(AT687,OFFSET(abbreviation[],0,ColumnLanguage),ColumnAbbreviation,FALSE),"")</f>
        <v/>
      </c>
      <c r="CD687" s="21" t="str">
        <f ca="1">IFERROR(VLOOKUP(AV687,OFFSET(abbreviation[],0,ColumnLanguage),ColumnAbbreviation,FALSE),"")</f>
        <v/>
      </c>
      <c r="CE687" s="21" t="str">
        <f t="shared" ca="1" si="73"/>
        <v>__</v>
      </c>
      <c r="CF687" s="21" t="str">
        <f ca="1">IFERROR(VLOOKUP(AX687,OFFSET(abbreviation[],0,ColumnLanguage),ColumnAbbreviation,FALSE),"")</f>
        <v/>
      </c>
      <c r="CG687" s="21" t="str">
        <f ca="1">IFERROR(VLOOKUP(AZ687,OFFSET(abbreviation[],0,ColumnLanguage),ColumnAbbreviation,FALSE),"")</f>
        <v/>
      </c>
      <c r="CH687" s="21" t="str">
        <f ca="1">IFERROR(VLOOKUP(BB687,OFFSET(abbreviation[],0,ColumnLanguage),ColumnAbbreviation,FALSE),"")</f>
        <v/>
      </c>
      <c r="CI687" s="21" t="str">
        <f ca="1">IFERROR(VLOOKUP(BD687,OFFSET(abbreviation[],0,ColumnLanguage),ColumnAbbreviation,FALSE),"")</f>
        <v/>
      </c>
      <c r="CJ687" s="21" t="str">
        <f ca="1">IFERROR(VLOOKUP(BF687,OFFSET(abbreviation[],0,ColumnLanguage),ColumnAbbreviation,FALSE),"")</f>
        <v/>
      </c>
      <c r="CK687" s="21" t="str">
        <f t="shared" ca="1" si="74"/>
        <v/>
      </c>
      <c r="CL687" s="21" t="str">
        <f t="shared" si="75"/>
        <v/>
      </c>
      <c r="CM687" s="52"/>
      <c r="CN687" s="57" t="str">
        <f t="shared" si="76"/>
        <v/>
      </c>
    </row>
    <row r="688" spans="14:92" x14ac:dyDescent="0.25">
      <c r="N688" s="58"/>
      <c r="P688" s="60"/>
      <c r="Q688" s="13"/>
      <c r="V688" s="60"/>
      <c r="X688" s="61"/>
      <c r="AB688" s="60"/>
      <c r="AN688" s="54"/>
      <c r="AS688" s="15"/>
      <c r="BH688" s="52"/>
      <c r="BI688" s="21" t="str">
        <f ca="1">IFERROR(VLOOKUP(C688,OFFSET(abbreviation[],0,ColumnLanguage),ColumnAbbreviation,FALSE),"")</f>
        <v/>
      </c>
      <c r="BJ688" s="21" t="str">
        <f ca="1">IFERROR(VLOOKUP(E688,OFFSET(abbreviation[],0,ColumnLanguage),ColumnAbbreviation,FALSE),"")</f>
        <v/>
      </c>
      <c r="BK688" s="21" t="str">
        <f ca="1">IFERROR(VLOOKUP(G688,OFFSET(abbreviation[],0,ColumnLanguage),ColumnAbbreviation,FALSE),"")</f>
        <v/>
      </c>
      <c r="BL688" s="21" t="str">
        <f ca="1">IFERROR(VLOOKUP(I688,OFFSET(abbreviation[],0,ColumnLanguage),ColumnAbbreviation,FALSE),"")</f>
        <v/>
      </c>
      <c r="BM688" s="21" t="str">
        <f ca="1">IFERROR(VLOOKUP(K688,OFFSET(abbreviation[],0,ColumnLanguage),ColumnAbbreviation,FALSE),"")</f>
        <v/>
      </c>
      <c r="BN688" s="21" t="str">
        <f t="shared" ca="1" si="70"/>
        <v/>
      </c>
      <c r="BO688" s="21" t="str">
        <f ca="1">IFERROR(VLOOKUP(N688,OFFSET(abbreviation[],0,ColumnLanguage),ColumnAbbreviation,FALSE),"")</f>
        <v/>
      </c>
      <c r="BP688" s="21" t="str">
        <f ca="1">IFERROR(VLOOKUP(P688,OFFSET(abbreviation[],0,ColumnLanguage),ColumnAbbreviation,FALSE),"")</f>
        <v/>
      </c>
      <c r="BQ688" s="21" t="str">
        <f ca="1">IFERROR(VLOOKUP(T688,OFFSET(abbreviation[],0,ColumnLanguage),ColumnAbbreviation,FALSE),"")</f>
        <v/>
      </c>
      <c r="BR688" s="21" t="str">
        <f ca="1">IFERROR(VLOOKUP(V688,OFFSET(abbreviation[],0,ColumnLanguage),ColumnAbbreviation,FALSE),"")</f>
        <v/>
      </c>
      <c r="BS688" s="21" t="str">
        <f ca="1">IFERROR(VLOOKUP(Z688,OFFSET(abbreviation[],0,ColumnLanguage),ColumnAbbreviation,FALSE),"")</f>
        <v/>
      </c>
      <c r="BT688" s="21" t="str">
        <f ca="1">IFERROR(VLOOKUP(AB688,OFFSET(abbreviation[],0,ColumnLanguage),ColumnAbbreviation,FALSE),"")</f>
        <v/>
      </c>
      <c r="BU688" s="21" t="str">
        <f t="shared" ca="1" si="71"/>
        <v>__</v>
      </c>
      <c r="BV688" s="21" t="str">
        <f ca="1">IFERROR(VLOOKUP(AF688,OFFSET(abbreviation[],0,ColumnLanguage),ColumnAbbreviation,FALSE),"")</f>
        <v/>
      </c>
      <c r="BW688" s="21" t="str">
        <f ca="1">IFERROR(VLOOKUP(AH688,OFFSET(abbreviation[],0,ColumnLanguage),ColumnAbbreviation,FALSE),"")</f>
        <v/>
      </c>
      <c r="BX688" s="21" t="str">
        <f ca="1">IFERROR(VLOOKUP(AJ688,OFFSET(abbreviation[],0,ColumnLanguage),ColumnAbbreviation,FALSE),"")</f>
        <v/>
      </c>
      <c r="BY688" s="21" t="str">
        <f ca="1">IFERROR(VLOOKUP(AL688,OFFSET(abbreviation[],0,ColumnLanguage),ColumnAbbreviation,FALSE),"")</f>
        <v/>
      </c>
      <c r="BZ688" s="21" t="str">
        <f t="shared" ca="1" si="72"/>
        <v>_</v>
      </c>
      <c r="CA688" s="21" t="str">
        <f ca="1">IFERROR(VLOOKUP(AP688,OFFSET(abbreviation[],0,ColumnLanguage),ColumnAbbreviation,FALSE),"")</f>
        <v/>
      </c>
      <c r="CB688" s="21" t="str">
        <f ca="1">IFERROR(VLOOKUP(AR688,OFFSET(abbreviation[],0,ColumnLanguage),ColumnAbbreviation,FALSE),"")</f>
        <v/>
      </c>
      <c r="CC688" s="21" t="str">
        <f ca="1">IFERROR(VLOOKUP(AT688,OFFSET(abbreviation[],0,ColumnLanguage),ColumnAbbreviation,FALSE),"")</f>
        <v/>
      </c>
      <c r="CD688" s="21" t="str">
        <f ca="1">IFERROR(VLOOKUP(AV688,OFFSET(abbreviation[],0,ColumnLanguage),ColumnAbbreviation,FALSE),"")</f>
        <v/>
      </c>
      <c r="CE688" s="21" t="str">
        <f t="shared" ca="1" si="73"/>
        <v>__</v>
      </c>
      <c r="CF688" s="21" t="str">
        <f ca="1">IFERROR(VLOOKUP(AX688,OFFSET(abbreviation[],0,ColumnLanguage),ColumnAbbreviation,FALSE),"")</f>
        <v/>
      </c>
      <c r="CG688" s="21" t="str">
        <f ca="1">IFERROR(VLOOKUP(AZ688,OFFSET(abbreviation[],0,ColumnLanguage),ColumnAbbreviation,FALSE),"")</f>
        <v/>
      </c>
      <c r="CH688" s="21" t="str">
        <f ca="1">IFERROR(VLOOKUP(BB688,OFFSET(abbreviation[],0,ColumnLanguage),ColumnAbbreviation,FALSE),"")</f>
        <v/>
      </c>
      <c r="CI688" s="21" t="str">
        <f ca="1">IFERROR(VLOOKUP(BD688,OFFSET(abbreviation[],0,ColumnLanguage),ColumnAbbreviation,FALSE),"")</f>
        <v/>
      </c>
      <c r="CJ688" s="21" t="str">
        <f ca="1">IFERROR(VLOOKUP(BF688,OFFSET(abbreviation[],0,ColumnLanguage),ColumnAbbreviation,FALSE),"")</f>
        <v/>
      </c>
      <c r="CK688" s="21" t="str">
        <f t="shared" ca="1" si="74"/>
        <v/>
      </c>
      <c r="CL688" s="21" t="str">
        <f t="shared" si="75"/>
        <v/>
      </c>
      <c r="CM688" s="52"/>
      <c r="CN688" s="57" t="str">
        <f t="shared" si="76"/>
        <v/>
      </c>
    </row>
    <row r="689" spans="14:92" x14ac:dyDescent="0.25">
      <c r="N689" s="58"/>
      <c r="P689" s="60"/>
      <c r="Q689" s="13"/>
      <c r="V689" s="60"/>
      <c r="X689" s="61"/>
      <c r="AB689" s="60"/>
      <c r="AN689" s="54"/>
      <c r="AS689" s="15"/>
      <c r="BH689" s="52"/>
      <c r="BI689" s="21" t="str">
        <f ca="1">IFERROR(VLOOKUP(C689,OFFSET(abbreviation[],0,ColumnLanguage),ColumnAbbreviation,FALSE),"")</f>
        <v/>
      </c>
      <c r="BJ689" s="21" t="str">
        <f ca="1">IFERROR(VLOOKUP(E689,OFFSET(abbreviation[],0,ColumnLanguage),ColumnAbbreviation,FALSE),"")</f>
        <v/>
      </c>
      <c r="BK689" s="21" t="str">
        <f ca="1">IFERROR(VLOOKUP(G689,OFFSET(abbreviation[],0,ColumnLanguage),ColumnAbbreviation,FALSE),"")</f>
        <v/>
      </c>
      <c r="BL689" s="21" t="str">
        <f ca="1">IFERROR(VLOOKUP(I689,OFFSET(abbreviation[],0,ColumnLanguage),ColumnAbbreviation,FALSE),"")</f>
        <v/>
      </c>
      <c r="BM689" s="21" t="str">
        <f ca="1">IFERROR(VLOOKUP(K689,OFFSET(abbreviation[],0,ColumnLanguage),ColumnAbbreviation,FALSE),"")</f>
        <v/>
      </c>
      <c r="BN689" s="21" t="str">
        <f t="shared" ca="1" si="70"/>
        <v/>
      </c>
      <c r="BO689" s="21" t="str">
        <f ca="1">IFERROR(VLOOKUP(N689,OFFSET(abbreviation[],0,ColumnLanguage),ColumnAbbreviation,FALSE),"")</f>
        <v/>
      </c>
      <c r="BP689" s="21" t="str">
        <f ca="1">IFERROR(VLOOKUP(P689,OFFSET(abbreviation[],0,ColumnLanguage),ColumnAbbreviation,FALSE),"")</f>
        <v/>
      </c>
      <c r="BQ689" s="21" t="str">
        <f ca="1">IFERROR(VLOOKUP(T689,OFFSET(abbreviation[],0,ColumnLanguage),ColumnAbbreviation,FALSE),"")</f>
        <v/>
      </c>
      <c r="BR689" s="21" t="str">
        <f ca="1">IFERROR(VLOOKUP(V689,OFFSET(abbreviation[],0,ColumnLanguage),ColumnAbbreviation,FALSE),"")</f>
        <v/>
      </c>
      <c r="BS689" s="21" t="str">
        <f ca="1">IFERROR(VLOOKUP(Z689,OFFSET(abbreviation[],0,ColumnLanguage),ColumnAbbreviation,FALSE),"")</f>
        <v/>
      </c>
      <c r="BT689" s="21" t="str">
        <f ca="1">IFERROR(VLOOKUP(AB689,OFFSET(abbreviation[],0,ColumnLanguage),ColumnAbbreviation,FALSE),"")</f>
        <v/>
      </c>
      <c r="BU689" s="21" t="str">
        <f t="shared" ca="1" si="71"/>
        <v>__</v>
      </c>
      <c r="BV689" s="21" t="str">
        <f ca="1">IFERROR(VLOOKUP(AF689,OFFSET(abbreviation[],0,ColumnLanguage),ColumnAbbreviation,FALSE),"")</f>
        <v/>
      </c>
      <c r="BW689" s="21" t="str">
        <f ca="1">IFERROR(VLOOKUP(AH689,OFFSET(abbreviation[],0,ColumnLanguage),ColumnAbbreviation,FALSE),"")</f>
        <v/>
      </c>
      <c r="BX689" s="21" t="str">
        <f ca="1">IFERROR(VLOOKUP(AJ689,OFFSET(abbreviation[],0,ColumnLanguage),ColumnAbbreviation,FALSE),"")</f>
        <v/>
      </c>
      <c r="BY689" s="21" t="str">
        <f ca="1">IFERROR(VLOOKUP(AL689,OFFSET(abbreviation[],0,ColumnLanguage),ColumnAbbreviation,FALSE),"")</f>
        <v/>
      </c>
      <c r="BZ689" s="21" t="str">
        <f t="shared" ca="1" si="72"/>
        <v>_</v>
      </c>
      <c r="CA689" s="21" t="str">
        <f ca="1">IFERROR(VLOOKUP(AP689,OFFSET(abbreviation[],0,ColumnLanguage),ColumnAbbreviation,FALSE),"")</f>
        <v/>
      </c>
      <c r="CB689" s="21" t="str">
        <f ca="1">IFERROR(VLOOKUP(AR689,OFFSET(abbreviation[],0,ColumnLanguage),ColumnAbbreviation,FALSE),"")</f>
        <v/>
      </c>
      <c r="CC689" s="21" t="str">
        <f ca="1">IFERROR(VLOOKUP(AT689,OFFSET(abbreviation[],0,ColumnLanguage),ColumnAbbreviation,FALSE),"")</f>
        <v/>
      </c>
      <c r="CD689" s="21" t="str">
        <f ca="1">IFERROR(VLOOKUP(AV689,OFFSET(abbreviation[],0,ColumnLanguage),ColumnAbbreviation,FALSE),"")</f>
        <v/>
      </c>
      <c r="CE689" s="21" t="str">
        <f t="shared" ca="1" si="73"/>
        <v>__</v>
      </c>
      <c r="CF689" s="21" t="str">
        <f ca="1">IFERROR(VLOOKUP(AX689,OFFSET(abbreviation[],0,ColumnLanguage),ColumnAbbreviation,FALSE),"")</f>
        <v/>
      </c>
      <c r="CG689" s="21" t="str">
        <f ca="1">IFERROR(VLOOKUP(AZ689,OFFSET(abbreviation[],0,ColumnLanguage),ColumnAbbreviation,FALSE),"")</f>
        <v/>
      </c>
      <c r="CH689" s="21" t="str">
        <f ca="1">IFERROR(VLOOKUP(BB689,OFFSET(abbreviation[],0,ColumnLanguage),ColumnAbbreviation,FALSE),"")</f>
        <v/>
      </c>
      <c r="CI689" s="21" t="str">
        <f ca="1">IFERROR(VLOOKUP(BD689,OFFSET(abbreviation[],0,ColumnLanguage),ColumnAbbreviation,FALSE),"")</f>
        <v/>
      </c>
      <c r="CJ689" s="21" t="str">
        <f ca="1">IFERROR(VLOOKUP(BF689,OFFSET(abbreviation[],0,ColumnLanguage),ColumnAbbreviation,FALSE),"")</f>
        <v/>
      </c>
      <c r="CK689" s="21" t="str">
        <f t="shared" ca="1" si="74"/>
        <v/>
      </c>
      <c r="CL689" s="21" t="str">
        <f t="shared" si="75"/>
        <v/>
      </c>
      <c r="CM689" s="52"/>
      <c r="CN689" s="57" t="str">
        <f t="shared" si="76"/>
        <v/>
      </c>
    </row>
    <row r="690" spans="14:92" x14ac:dyDescent="0.25">
      <c r="N690" s="59"/>
      <c r="P690" s="60"/>
      <c r="Q690" s="13"/>
      <c r="V690" s="60"/>
      <c r="X690" s="61"/>
      <c r="AB690" s="60"/>
      <c r="AN690" s="54"/>
      <c r="AS690" s="15"/>
      <c r="BH690" s="52"/>
      <c r="BI690" s="21" t="str">
        <f ca="1">IFERROR(VLOOKUP(C690,OFFSET(abbreviation[],0,ColumnLanguage),ColumnAbbreviation,FALSE),"")</f>
        <v/>
      </c>
      <c r="BJ690" s="21" t="str">
        <f ca="1">IFERROR(VLOOKUP(E690,OFFSET(abbreviation[],0,ColumnLanguage),ColumnAbbreviation,FALSE),"")</f>
        <v/>
      </c>
      <c r="BK690" s="21" t="str">
        <f ca="1">IFERROR(VLOOKUP(G690,OFFSET(abbreviation[],0,ColumnLanguage),ColumnAbbreviation,FALSE),"")</f>
        <v/>
      </c>
      <c r="BL690" s="21" t="str">
        <f ca="1">IFERROR(VLOOKUP(I690,OFFSET(abbreviation[],0,ColumnLanguage),ColumnAbbreviation,FALSE),"")</f>
        <v/>
      </c>
      <c r="BM690" s="21" t="str">
        <f ca="1">IFERROR(VLOOKUP(K690,OFFSET(abbreviation[],0,ColumnLanguage),ColumnAbbreviation,FALSE),"")</f>
        <v/>
      </c>
      <c r="BN690" s="21" t="str">
        <f t="shared" ca="1" si="70"/>
        <v/>
      </c>
      <c r="BO690" s="21" t="str">
        <f ca="1">IFERROR(VLOOKUP(N690,OFFSET(abbreviation[],0,ColumnLanguage),ColumnAbbreviation,FALSE),"")</f>
        <v/>
      </c>
      <c r="BP690" s="21" t="str">
        <f ca="1">IFERROR(VLOOKUP(P690,OFFSET(abbreviation[],0,ColumnLanguage),ColumnAbbreviation,FALSE),"")</f>
        <v/>
      </c>
      <c r="BQ690" s="21" t="str">
        <f ca="1">IFERROR(VLOOKUP(T690,OFFSET(abbreviation[],0,ColumnLanguage),ColumnAbbreviation,FALSE),"")</f>
        <v/>
      </c>
      <c r="BR690" s="21" t="str">
        <f ca="1">IFERROR(VLOOKUP(V690,OFFSET(abbreviation[],0,ColumnLanguage),ColumnAbbreviation,FALSE),"")</f>
        <v/>
      </c>
      <c r="BS690" s="21" t="str">
        <f ca="1">IFERROR(VLOOKUP(Z690,OFFSET(abbreviation[],0,ColumnLanguage),ColumnAbbreviation,FALSE),"")</f>
        <v/>
      </c>
      <c r="BT690" s="21" t="str">
        <f ca="1">IFERROR(VLOOKUP(AB690,OFFSET(abbreviation[],0,ColumnLanguage),ColumnAbbreviation,FALSE),"")</f>
        <v/>
      </c>
      <c r="BU690" s="21" t="str">
        <f t="shared" ca="1" si="71"/>
        <v>__</v>
      </c>
      <c r="BV690" s="21" t="str">
        <f ca="1">IFERROR(VLOOKUP(AF690,OFFSET(abbreviation[],0,ColumnLanguage),ColumnAbbreviation,FALSE),"")</f>
        <v/>
      </c>
      <c r="BW690" s="21" t="str">
        <f ca="1">IFERROR(VLOOKUP(AH690,OFFSET(abbreviation[],0,ColumnLanguage),ColumnAbbreviation,FALSE),"")</f>
        <v/>
      </c>
      <c r="BX690" s="21" t="str">
        <f ca="1">IFERROR(VLOOKUP(AJ690,OFFSET(abbreviation[],0,ColumnLanguage),ColumnAbbreviation,FALSE),"")</f>
        <v/>
      </c>
      <c r="BY690" s="21" t="str">
        <f ca="1">IFERROR(VLOOKUP(AL690,OFFSET(abbreviation[],0,ColumnLanguage),ColumnAbbreviation,FALSE),"")</f>
        <v/>
      </c>
      <c r="BZ690" s="21" t="str">
        <f t="shared" ca="1" si="72"/>
        <v>_</v>
      </c>
      <c r="CA690" s="21" t="str">
        <f ca="1">IFERROR(VLOOKUP(AP690,OFFSET(abbreviation[],0,ColumnLanguage),ColumnAbbreviation,FALSE),"")</f>
        <v/>
      </c>
      <c r="CB690" s="21" t="str">
        <f ca="1">IFERROR(VLOOKUP(AR690,OFFSET(abbreviation[],0,ColumnLanguage),ColumnAbbreviation,FALSE),"")</f>
        <v/>
      </c>
      <c r="CC690" s="21" t="str">
        <f ca="1">IFERROR(VLOOKUP(AT690,OFFSET(abbreviation[],0,ColumnLanguage),ColumnAbbreviation,FALSE),"")</f>
        <v/>
      </c>
      <c r="CD690" s="21" t="str">
        <f ca="1">IFERROR(VLOOKUP(AV690,OFFSET(abbreviation[],0,ColumnLanguage),ColumnAbbreviation,FALSE),"")</f>
        <v/>
      </c>
      <c r="CE690" s="21" t="str">
        <f t="shared" ca="1" si="73"/>
        <v>__</v>
      </c>
      <c r="CF690" s="21" t="str">
        <f ca="1">IFERROR(VLOOKUP(AX690,OFFSET(abbreviation[],0,ColumnLanguage),ColumnAbbreviation,FALSE),"")</f>
        <v/>
      </c>
      <c r="CG690" s="21" t="str">
        <f ca="1">IFERROR(VLOOKUP(AZ690,OFFSET(abbreviation[],0,ColumnLanguage),ColumnAbbreviation,FALSE),"")</f>
        <v/>
      </c>
      <c r="CH690" s="21" t="str">
        <f ca="1">IFERROR(VLOOKUP(BB690,OFFSET(abbreviation[],0,ColumnLanguage),ColumnAbbreviation,FALSE),"")</f>
        <v/>
      </c>
      <c r="CI690" s="21" t="str">
        <f ca="1">IFERROR(VLOOKUP(BD690,OFFSET(abbreviation[],0,ColumnLanguage),ColumnAbbreviation,FALSE),"")</f>
        <v/>
      </c>
      <c r="CJ690" s="21" t="str">
        <f ca="1">IFERROR(VLOOKUP(BF690,OFFSET(abbreviation[],0,ColumnLanguage),ColumnAbbreviation,FALSE),"")</f>
        <v/>
      </c>
      <c r="CK690" s="21" t="str">
        <f t="shared" ca="1" si="74"/>
        <v/>
      </c>
      <c r="CL690" s="21" t="str">
        <f t="shared" si="75"/>
        <v/>
      </c>
      <c r="CM690" s="52"/>
      <c r="CN690" s="57" t="str">
        <f t="shared" si="76"/>
        <v/>
      </c>
    </row>
    <row r="691" spans="14:92" x14ac:dyDescent="0.25">
      <c r="N691" s="58"/>
      <c r="P691" s="60"/>
      <c r="Q691" s="13"/>
      <c r="V691" s="60"/>
      <c r="X691" s="61"/>
      <c r="AB691" s="60"/>
      <c r="AN691" s="54"/>
      <c r="AS691" s="15"/>
      <c r="BH691" s="52"/>
      <c r="BI691" s="21" t="str">
        <f ca="1">IFERROR(VLOOKUP(C691,OFFSET(abbreviation[],0,ColumnLanguage),ColumnAbbreviation,FALSE),"")</f>
        <v/>
      </c>
      <c r="BJ691" s="21" t="str">
        <f ca="1">IFERROR(VLOOKUP(E691,OFFSET(abbreviation[],0,ColumnLanguage),ColumnAbbreviation,FALSE),"")</f>
        <v/>
      </c>
      <c r="BK691" s="21" t="str">
        <f ca="1">IFERROR(VLOOKUP(G691,OFFSET(abbreviation[],0,ColumnLanguage),ColumnAbbreviation,FALSE),"")</f>
        <v/>
      </c>
      <c r="BL691" s="21" t="str">
        <f ca="1">IFERROR(VLOOKUP(I691,OFFSET(abbreviation[],0,ColumnLanguage),ColumnAbbreviation,FALSE),"")</f>
        <v/>
      </c>
      <c r="BM691" s="21" t="str">
        <f ca="1">IFERROR(VLOOKUP(K691,OFFSET(abbreviation[],0,ColumnLanguage),ColumnAbbreviation,FALSE),"")</f>
        <v/>
      </c>
      <c r="BN691" s="21" t="str">
        <f t="shared" ca="1" si="70"/>
        <v/>
      </c>
      <c r="BO691" s="21" t="str">
        <f ca="1">IFERROR(VLOOKUP(N691,OFFSET(abbreviation[],0,ColumnLanguage),ColumnAbbreviation,FALSE),"")</f>
        <v/>
      </c>
      <c r="BP691" s="21" t="str">
        <f ca="1">IFERROR(VLOOKUP(P691,OFFSET(abbreviation[],0,ColumnLanguage),ColumnAbbreviation,FALSE),"")</f>
        <v/>
      </c>
      <c r="BQ691" s="21" t="str">
        <f ca="1">IFERROR(VLOOKUP(T691,OFFSET(abbreviation[],0,ColumnLanguage),ColumnAbbreviation,FALSE),"")</f>
        <v/>
      </c>
      <c r="BR691" s="21" t="str">
        <f ca="1">IFERROR(VLOOKUP(V691,OFFSET(abbreviation[],0,ColumnLanguage),ColumnAbbreviation,FALSE),"")</f>
        <v/>
      </c>
      <c r="BS691" s="21" t="str">
        <f ca="1">IFERROR(VLOOKUP(Z691,OFFSET(abbreviation[],0,ColumnLanguage),ColumnAbbreviation,FALSE),"")</f>
        <v/>
      </c>
      <c r="BT691" s="21" t="str">
        <f ca="1">IFERROR(VLOOKUP(AB691,OFFSET(abbreviation[],0,ColumnLanguage),ColumnAbbreviation,FALSE),"")</f>
        <v/>
      </c>
      <c r="BU691" s="21" t="str">
        <f t="shared" ca="1" si="71"/>
        <v>__</v>
      </c>
      <c r="BV691" s="21" t="str">
        <f ca="1">IFERROR(VLOOKUP(AF691,OFFSET(abbreviation[],0,ColumnLanguage),ColumnAbbreviation,FALSE),"")</f>
        <v/>
      </c>
      <c r="BW691" s="21" t="str">
        <f ca="1">IFERROR(VLOOKUP(AH691,OFFSET(abbreviation[],0,ColumnLanguage),ColumnAbbreviation,FALSE),"")</f>
        <v/>
      </c>
      <c r="BX691" s="21" t="str">
        <f ca="1">IFERROR(VLOOKUP(AJ691,OFFSET(abbreviation[],0,ColumnLanguage),ColumnAbbreviation,FALSE),"")</f>
        <v/>
      </c>
      <c r="BY691" s="21" t="str">
        <f ca="1">IFERROR(VLOOKUP(AL691,OFFSET(abbreviation[],0,ColumnLanguage),ColumnAbbreviation,FALSE),"")</f>
        <v/>
      </c>
      <c r="BZ691" s="21" t="str">
        <f t="shared" ca="1" si="72"/>
        <v>_</v>
      </c>
      <c r="CA691" s="21" t="str">
        <f ca="1">IFERROR(VLOOKUP(AP691,OFFSET(abbreviation[],0,ColumnLanguage),ColumnAbbreviation,FALSE),"")</f>
        <v/>
      </c>
      <c r="CB691" s="21" t="str">
        <f ca="1">IFERROR(VLOOKUP(AR691,OFFSET(abbreviation[],0,ColumnLanguage),ColumnAbbreviation,FALSE),"")</f>
        <v/>
      </c>
      <c r="CC691" s="21" t="str">
        <f ca="1">IFERROR(VLOOKUP(AT691,OFFSET(abbreviation[],0,ColumnLanguage),ColumnAbbreviation,FALSE),"")</f>
        <v/>
      </c>
      <c r="CD691" s="21" t="str">
        <f ca="1">IFERROR(VLOOKUP(AV691,OFFSET(abbreviation[],0,ColumnLanguage),ColumnAbbreviation,FALSE),"")</f>
        <v/>
      </c>
      <c r="CE691" s="21" t="str">
        <f t="shared" ca="1" si="73"/>
        <v>__</v>
      </c>
      <c r="CF691" s="21" t="str">
        <f ca="1">IFERROR(VLOOKUP(AX691,OFFSET(abbreviation[],0,ColumnLanguage),ColumnAbbreviation,FALSE),"")</f>
        <v/>
      </c>
      <c r="CG691" s="21" t="str">
        <f ca="1">IFERROR(VLOOKUP(AZ691,OFFSET(abbreviation[],0,ColumnLanguage),ColumnAbbreviation,FALSE),"")</f>
        <v/>
      </c>
      <c r="CH691" s="21" t="str">
        <f ca="1">IFERROR(VLOOKUP(BB691,OFFSET(abbreviation[],0,ColumnLanguage),ColumnAbbreviation,FALSE),"")</f>
        <v/>
      </c>
      <c r="CI691" s="21" t="str">
        <f ca="1">IFERROR(VLOOKUP(BD691,OFFSET(abbreviation[],0,ColumnLanguage),ColumnAbbreviation,FALSE),"")</f>
        <v/>
      </c>
      <c r="CJ691" s="21" t="str">
        <f ca="1">IFERROR(VLOOKUP(BF691,OFFSET(abbreviation[],0,ColumnLanguage),ColumnAbbreviation,FALSE),"")</f>
        <v/>
      </c>
      <c r="CK691" s="21" t="str">
        <f t="shared" ca="1" si="74"/>
        <v/>
      </c>
      <c r="CL691" s="21" t="str">
        <f t="shared" si="75"/>
        <v/>
      </c>
      <c r="CM691" s="52"/>
      <c r="CN691" s="57" t="str">
        <f t="shared" si="76"/>
        <v/>
      </c>
    </row>
    <row r="692" spans="14:92" x14ac:dyDescent="0.25">
      <c r="N692" s="58"/>
      <c r="P692" s="60"/>
      <c r="Q692" s="13"/>
      <c r="V692" s="60"/>
      <c r="X692" s="61"/>
      <c r="AB692" s="60"/>
      <c r="AN692" s="54"/>
      <c r="AS692" s="15"/>
      <c r="BH692" s="52"/>
      <c r="BI692" s="21" t="str">
        <f ca="1">IFERROR(VLOOKUP(C692,OFFSET(abbreviation[],0,ColumnLanguage),ColumnAbbreviation,FALSE),"")</f>
        <v/>
      </c>
      <c r="BJ692" s="21" t="str">
        <f ca="1">IFERROR(VLOOKUP(E692,OFFSET(abbreviation[],0,ColumnLanguage),ColumnAbbreviation,FALSE),"")</f>
        <v/>
      </c>
      <c r="BK692" s="21" t="str">
        <f ca="1">IFERROR(VLOOKUP(G692,OFFSET(abbreviation[],0,ColumnLanguage),ColumnAbbreviation,FALSE),"")</f>
        <v/>
      </c>
      <c r="BL692" s="21" t="str">
        <f ca="1">IFERROR(VLOOKUP(I692,OFFSET(abbreviation[],0,ColumnLanguage),ColumnAbbreviation,FALSE),"")</f>
        <v/>
      </c>
      <c r="BM692" s="21" t="str">
        <f ca="1">IFERROR(VLOOKUP(K692,OFFSET(abbreviation[],0,ColumnLanguage),ColumnAbbreviation,FALSE),"")</f>
        <v/>
      </c>
      <c r="BN692" s="21" t="str">
        <f t="shared" ca="1" si="70"/>
        <v/>
      </c>
      <c r="BO692" s="21" t="str">
        <f ca="1">IFERROR(VLOOKUP(N692,OFFSET(abbreviation[],0,ColumnLanguage),ColumnAbbreviation,FALSE),"")</f>
        <v/>
      </c>
      <c r="BP692" s="21" t="str">
        <f ca="1">IFERROR(VLOOKUP(P692,OFFSET(abbreviation[],0,ColumnLanguage),ColumnAbbreviation,FALSE),"")</f>
        <v/>
      </c>
      <c r="BQ692" s="21" t="str">
        <f ca="1">IFERROR(VLOOKUP(T692,OFFSET(abbreviation[],0,ColumnLanguage),ColumnAbbreviation,FALSE),"")</f>
        <v/>
      </c>
      <c r="BR692" s="21" t="str">
        <f ca="1">IFERROR(VLOOKUP(V692,OFFSET(abbreviation[],0,ColumnLanguage),ColumnAbbreviation,FALSE),"")</f>
        <v/>
      </c>
      <c r="BS692" s="21" t="str">
        <f ca="1">IFERROR(VLOOKUP(Z692,OFFSET(abbreviation[],0,ColumnLanguage),ColumnAbbreviation,FALSE),"")</f>
        <v/>
      </c>
      <c r="BT692" s="21" t="str">
        <f ca="1">IFERROR(VLOOKUP(AB692,OFFSET(abbreviation[],0,ColumnLanguage),ColumnAbbreviation,FALSE),"")</f>
        <v/>
      </c>
      <c r="BU692" s="21" t="str">
        <f t="shared" ca="1" si="71"/>
        <v>__</v>
      </c>
      <c r="BV692" s="21" t="str">
        <f ca="1">IFERROR(VLOOKUP(AF692,OFFSET(abbreviation[],0,ColumnLanguage),ColumnAbbreviation,FALSE),"")</f>
        <v/>
      </c>
      <c r="BW692" s="21" t="str">
        <f ca="1">IFERROR(VLOOKUP(AH692,OFFSET(abbreviation[],0,ColumnLanguage),ColumnAbbreviation,FALSE),"")</f>
        <v/>
      </c>
      <c r="BX692" s="21" t="str">
        <f ca="1">IFERROR(VLOOKUP(AJ692,OFFSET(abbreviation[],0,ColumnLanguage),ColumnAbbreviation,FALSE),"")</f>
        <v/>
      </c>
      <c r="BY692" s="21" t="str">
        <f ca="1">IFERROR(VLOOKUP(AL692,OFFSET(abbreviation[],0,ColumnLanguage),ColumnAbbreviation,FALSE),"")</f>
        <v/>
      </c>
      <c r="BZ692" s="21" t="str">
        <f t="shared" ca="1" si="72"/>
        <v>_</v>
      </c>
      <c r="CA692" s="21" t="str">
        <f ca="1">IFERROR(VLOOKUP(AP692,OFFSET(abbreviation[],0,ColumnLanguage),ColumnAbbreviation,FALSE),"")</f>
        <v/>
      </c>
      <c r="CB692" s="21" t="str">
        <f ca="1">IFERROR(VLOOKUP(AR692,OFFSET(abbreviation[],0,ColumnLanguage),ColumnAbbreviation,FALSE),"")</f>
        <v/>
      </c>
      <c r="CC692" s="21" t="str">
        <f ca="1">IFERROR(VLOOKUP(AT692,OFFSET(abbreviation[],0,ColumnLanguage),ColumnAbbreviation,FALSE),"")</f>
        <v/>
      </c>
      <c r="CD692" s="21" t="str">
        <f ca="1">IFERROR(VLOOKUP(AV692,OFFSET(abbreviation[],0,ColumnLanguage),ColumnAbbreviation,FALSE),"")</f>
        <v/>
      </c>
      <c r="CE692" s="21" t="str">
        <f t="shared" ca="1" si="73"/>
        <v>__</v>
      </c>
      <c r="CF692" s="21" t="str">
        <f ca="1">IFERROR(VLOOKUP(AX692,OFFSET(abbreviation[],0,ColumnLanguage),ColumnAbbreviation,FALSE),"")</f>
        <v/>
      </c>
      <c r="CG692" s="21" t="str">
        <f ca="1">IFERROR(VLOOKUP(AZ692,OFFSET(abbreviation[],0,ColumnLanguage),ColumnAbbreviation,FALSE),"")</f>
        <v/>
      </c>
      <c r="CH692" s="21" t="str">
        <f ca="1">IFERROR(VLOOKUP(BB692,OFFSET(abbreviation[],0,ColumnLanguage),ColumnAbbreviation,FALSE),"")</f>
        <v/>
      </c>
      <c r="CI692" s="21" t="str">
        <f ca="1">IFERROR(VLOOKUP(BD692,OFFSET(abbreviation[],0,ColumnLanguage),ColumnAbbreviation,FALSE),"")</f>
        <v/>
      </c>
      <c r="CJ692" s="21" t="str">
        <f ca="1">IFERROR(VLOOKUP(BF692,OFFSET(abbreviation[],0,ColumnLanguage),ColumnAbbreviation,FALSE),"")</f>
        <v/>
      </c>
      <c r="CK692" s="21" t="str">
        <f t="shared" ca="1" si="74"/>
        <v/>
      </c>
      <c r="CL692" s="21" t="str">
        <f t="shared" si="75"/>
        <v/>
      </c>
      <c r="CM692" s="52"/>
      <c r="CN692" s="57" t="str">
        <f t="shared" si="76"/>
        <v/>
      </c>
    </row>
    <row r="693" spans="14:92" x14ac:dyDescent="0.25">
      <c r="N693" s="58"/>
      <c r="P693" s="60"/>
      <c r="Q693" s="13"/>
      <c r="V693" s="60"/>
      <c r="X693" s="61"/>
      <c r="AB693" s="60"/>
      <c r="AN693" s="54"/>
      <c r="AS693" s="15"/>
      <c r="BH693" s="52"/>
      <c r="BI693" s="21" t="str">
        <f ca="1">IFERROR(VLOOKUP(C693,OFFSET(abbreviation[],0,ColumnLanguage),ColumnAbbreviation,FALSE),"")</f>
        <v/>
      </c>
      <c r="BJ693" s="21" t="str">
        <f ca="1">IFERROR(VLOOKUP(E693,OFFSET(abbreviation[],0,ColumnLanguage),ColumnAbbreviation,FALSE),"")</f>
        <v/>
      </c>
      <c r="BK693" s="21" t="str">
        <f ca="1">IFERROR(VLOOKUP(G693,OFFSET(abbreviation[],0,ColumnLanguage),ColumnAbbreviation,FALSE),"")</f>
        <v/>
      </c>
      <c r="BL693" s="21" t="str">
        <f ca="1">IFERROR(VLOOKUP(I693,OFFSET(abbreviation[],0,ColumnLanguage),ColumnAbbreviation,FALSE),"")</f>
        <v/>
      </c>
      <c r="BM693" s="21" t="str">
        <f ca="1">IFERROR(VLOOKUP(K693,OFFSET(abbreviation[],0,ColumnLanguage),ColumnAbbreviation,FALSE),"")</f>
        <v/>
      </c>
      <c r="BN693" s="21" t="str">
        <f t="shared" ca="1" si="70"/>
        <v/>
      </c>
      <c r="BO693" s="21" t="str">
        <f ca="1">IFERROR(VLOOKUP(N693,OFFSET(abbreviation[],0,ColumnLanguage),ColumnAbbreviation,FALSE),"")</f>
        <v/>
      </c>
      <c r="BP693" s="21" t="str">
        <f ca="1">IFERROR(VLOOKUP(P693,OFFSET(abbreviation[],0,ColumnLanguage),ColumnAbbreviation,FALSE),"")</f>
        <v/>
      </c>
      <c r="BQ693" s="21" t="str">
        <f ca="1">IFERROR(VLOOKUP(T693,OFFSET(abbreviation[],0,ColumnLanguage),ColumnAbbreviation,FALSE),"")</f>
        <v/>
      </c>
      <c r="BR693" s="21" t="str">
        <f ca="1">IFERROR(VLOOKUP(V693,OFFSET(abbreviation[],0,ColumnLanguage),ColumnAbbreviation,FALSE),"")</f>
        <v/>
      </c>
      <c r="BS693" s="21" t="str">
        <f ca="1">IFERROR(VLOOKUP(Z693,OFFSET(abbreviation[],0,ColumnLanguage),ColumnAbbreviation,FALSE),"")</f>
        <v/>
      </c>
      <c r="BT693" s="21" t="str">
        <f ca="1">IFERROR(VLOOKUP(AB693,OFFSET(abbreviation[],0,ColumnLanguage),ColumnAbbreviation,FALSE),"")</f>
        <v/>
      </c>
      <c r="BU693" s="21" t="str">
        <f t="shared" ca="1" si="71"/>
        <v>__</v>
      </c>
      <c r="BV693" s="21" t="str">
        <f ca="1">IFERROR(VLOOKUP(AF693,OFFSET(abbreviation[],0,ColumnLanguage),ColumnAbbreviation,FALSE),"")</f>
        <v/>
      </c>
      <c r="BW693" s="21" t="str">
        <f ca="1">IFERROR(VLOOKUP(AH693,OFFSET(abbreviation[],0,ColumnLanguage),ColumnAbbreviation,FALSE),"")</f>
        <v/>
      </c>
      <c r="BX693" s="21" t="str">
        <f ca="1">IFERROR(VLOOKUP(AJ693,OFFSET(abbreviation[],0,ColumnLanguage),ColumnAbbreviation,FALSE),"")</f>
        <v/>
      </c>
      <c r="BY693" s="21" t="str">
        <f ca="1">IFERROR(VLOOKUP(AL693,OFFSET(abbreviation[],0,ColumnLanguage),ColumnAbbreviation,FALSE),"")</f>
        <v/>
      </c>
      <c r="BZ693" s="21" t="str">
        <f t="shared" ca="1" si="72"/>
        <v>_</v>
      </c>
      <c r="CA693" s="21" t="str">
        <f ca="1">IFERROR(VLOOKUP(AP693,OFFSET(abbreviation[],0,ColumnLanguage),ColumnAbbreviation,FALSE),"")</f>
        <v/>
      </c>
      <c r="CB693" s="21" t="str">
        <f ca="1">IFERROR(VLOOKUP(AR693,OFFSET(abbreviation[],0,ColumnLanguage),ColumnAbbreviation,FALSE),"")</f>
        <v/>
      </c>
      <c r="CC693" s="21" t="str">
        <f ca="1">IFERROR(VLOOKUP(AT693,OFFSET(abbreviation[],0,ColumnLanguage),ColumnAbbreviation,FALSE),"")</f>
        <v/>
      </c>
      <c r="CD693" s="21" t="str">
        <f ca="1">IFERROR(VLOOKUP(AV693,OFFSET(abbreviation[],0,ColumnLanguage),ColumnAbbreviation,FALSE),"")</f>
        <v/>
      </c>
      <c r="CE693" s="21" t="str">
        <f t="shared" ca="1" si="73"/>
        <v>__</v>
      </c>
      <c r="CF693" s="21" t="str">
        <f ca="1">IFERROR(VLOOKUP(AX693,OFFSET(abbreviation[],0,ColumnLanguage),ColumnAbbreviation,FALSE),"")</f>
        <v/>
      </c>
      <c r="CG693" s="21" t="str">
        <f ca="1">IFERROR(VLOOKUP(AZ693,OFFSET(abbreviation[],0,ColumnLanguage),ColumnAbbreviation,FALSE),"")</f>
        <v/>
      </c>
      <c r="CH693" s="21" t="str">
        <f ca="1">IFERROR(VLOOKUP(BB693,OFFSET(abbreviation[],0,ColumnLanguage),ColumnAbbreviation,FALSE),"")</f>
        <v/>
      </c>
      <c r="CI693" s="21" t="str">
        <f ca="1">IFERROR(VLOOKUP(BD693,OFFSET(abbreviation[],0,ColumnLanguage),ColumnAbbreviation,FALSE),"")</f>
        <v/>
      </c>
      <c r="CJ693" s="21" t="str">
        <f ca="1">IFERROR(VLOOKUP(BF693,OFFSET(abbreviation[],0,ColumnLanguage),ColumnAbbreviation,FALSE),"")</f>
        <v/>
      </c>
      <c r="CK693" s="21" t="str">
        <f t="shared" ca="1" si="74"/>
        <v/>
      </c>
      <c r="CL693" s="21" t="str">
        <f t="shared" si="75"/>
        <v/>
      </c>
      <c r="CM693" s="52"/>
      <c r="CN693" s="57" t="str">
        <f t="shared" si="76"/>
        <v/>
      </c>
    </row>
    <row r="694" spans="14:92" x14ac:dyDescent="0.25">
      <c r="N694" s="58"/>
      <c r="P694" s="60"/>
      <c r="Q694" s="13"/>
      <c r="V694" s="60"/>
      <c r="X694" s="61"/>
      <c r="AB694" s="60"/>
      <c r="AN694" s="54"/>
      <c r="AS694" s="15"/>
      <c r="BH694" s="52"/>
      <c r="BI694" s="21" t="str">
        <f ca="1">IFERROR(VLOOKUP(C694,OFFSET(abbreviation[],0,ColumnLanguage),ColumnAbbreviation,FALSE),"")</f>
        <v/>
      </c>
      <c r="BJ694" s="21" t="str">
        <f ca="1">IFERROR(VLOOKUP(E694,OFFSET(abbreviation[],0,ColumnLanguage),ColumnAbbreviation,FALSE),"")</f>
        <v/>
      </c>
      <c r="BK694" s="21" t="str">
        <f ca="1">IFERROR(VLOOKUP(G694,OFFSET(abbreviation[],0,ColumnLanguage),ColumnAbbreviation,FALSE),"")</f>
        <v/>
      </c>
      <c r="BL694" s="21" t="str">
        <f ca="1">IFERROR(VLOOKUP(I694,OFFSET(abbreviation[],0,ColumnLanguage),ColumnAbbreviation,FALSE),"")</f>
        <v/>
      </c>
      <c r="BM694" s="21" t="str">
        <f ca="1">IFERROR(VLOOKUP(K694,OFFSET(abbreviation[],0,ColumnLanguage),ColumnAbbreviation,FALSE),"")</f>
        <v/>
      </c>
      <c r="BN694" s="21" t="str">
        <f t="shared" ca="1" si="70"/>
        <v/>
      </c>
      <c r="BO694" s="21" t="str">
        <f ca="1">IFERROR(VLOOKUP(N694,OFFSET(abbreviation[],0,ColumnLanguage),ColumnAbbreviation,FALSE),"")</f>
        <v/>
      </c>
      <c r="BP694" s="21" t="str">
        <f ca="1">IFERROR(VLOOKUP(P694,OFFSET(abbreviation[],0,ColumnLanguage),ColumnAbbreviation,FALSE),"")</f>
        <v/>
      </c>
      <c r="BQ694" s="21" t="str">
        <f ca="1">IFERROR(VLOOKUP(T694,OFFSET(abbreviation[],0,ColumnLanguage),ColumnAbbreviation,FALSE),"")</f>
        <v/>
      </c>
      <c r="BR694" s="21" t="str">
        <f ca="1">IFERROR(VLOOKUP(V694,OFFSET(abbreviation[],0,ColumnLanguage),ColumnAbbreviation,FALSE),"")</f>
        <v/>
      </c>
      <c r="BS694" s="21" t="str">
        <f ca="1">IFERROR(VLOOKUP(Z694,OFFSET(abbreviation[],0,ColumnLanguage),ColumnAbbreviation,FALSE),"")</f>
        <v/>
      </c>
      <c r="BT694" s="21" t="str">
        <f ca="1">IFERROR(VLOOKUP(AB694,OFFSET(abbreviation[],0,ColumnLanguage),ColumnAbbreviation,FALSE),"")</f>
        <v/>
      </c>
      <c r="BU694" s="21" t="str">
        <f t="shared" ca="1" si="71"/>
        <v>__</v>
      </c>
      <c r="BV694" s="21" t="str">
        <f ca="1">IFERROR(VLOOKUP(AF694,OFFSET(abbreviation[],0,ColumnLanguage),ColumnAbbreviation,FALSE),"")</f>
        <v/>
      </c>
      <c r="BW694" s="21" t="str">
        <f ca="1">IFERROR(VLOOKUP(AH694,OFFSET(abbreviation[],0,ColumnLanguage),ColumnAbbreviation,FALSE),"")</f>
        <v/>
      </c>
      <c r="BX694" s="21" t="str">
        <f ca="1">IFERROR(VLOOKUP(AJ694,OFFSET(abbreviation[],0,ColumnLanguage),ColumnAbbreviation,FALSE),"")</f>
        <v/>
      </c>
      <c r="BY694" s="21" t="str">
        <f ca="1">IFERROR(VLOOKUP(AL694,OFFSET(abbreviation[],0,ColumnLanguage),ColumnAbbreviation,FALSE),"")</f>
        <v/>
      </c>
      <c r="BZ694" s="21" t="str">
        <f t="shared" ca="1" si="72"/>
        <v>_</v>
      </c>
      <c r="CA694" s="21" t="str">
        <f ca="1">IFERROR(VLOOKUP(AP694,OFFSET(abbreviation[],0,ColumnLanguage),ColumnAbbreviation,FALSE),"")</f>
        <v/>
      </c>
      <c r="CB694" s="21" t="str">
        <f ca="1">IFERROR(VLOOKUP(AR694,OFFSET(abbreviation[],0,ColumnLanguage),ColumnAbbreviation,FALSE),"")</f>
        <v/>
      </c>
      <c r="CC694" s="21" t="str">
        <f ca="1">IFERROR(VLOOKUP(AT694,OFFSET(abbreviation[],0,ColumnLanguage),ColumnAbbreviation,FALSE),"")</f>
        <v/>
      </c>
      <c r="CD694" s="21" t="str">
        <f ca="1">IFERROR(VLOOKUP(AV694,OFFSET(abbreviation[],0,ColumnLanguage),ColumnAbbreviation,FALSE),"")</f>
        <v/>
      </c>
      <c r="CE694" s="21" t="str">
        <f t="shared" ca="1" si="73"/>
        <v>__</v>
      </c>
      <c r="CF694" s="21" t="str">
        <f ca="1">IFERROR(VLOOKUP(AX694,OFFSET(abbreviation[],0,ColumnLanguage),ColumnAbbreviation,FALSE),"")</f>
        <v/>
      </c>
      <c r="CG694" s="21" t="str">
        <f ca="1">IFERROR(VLOOKUP(AZ694,OFFSET(abbreviation[],0,ColumnLanguage),ColumnAbbreviation,FALSE),"")</f>
        <v/>
      </c>
      <c r="CH694" s="21" t="str">
        <f ca="1">IFERROR(VLOOKUP(BB694,OFFSET(abbreviation[],0,ColumnLanguage),ColumnAbbreviation,FALSE),"")</f>
        <v/>
      </c>
      <c r="CI694" s="21" t="str">
        <f ca="1">IFERROR(VLOOKUP(BD694,OFFSET(abbreviation[],0,ColumnLanguage),ColumnAbbreviation,FALSE),"")</f>
        <v/>
      </c>
      <c r="CJ694" s="21" t="str">
        <f ca="1">IFERROR(VLOOKUP(BF694,OFFSET(abbreviation[],0,ColumnLanguage),ColumnAbbreviation,FALSE),"")</f>
        <v/>
      </c>
      <c r="CK694" s="21" t="str">
        <f t="shared" ca="1" si="74"/>
        <v/>
      </c>
      <c r="CL694" s="21" t="str">
        <f t="shared" si="75"/>
        <v/>
      </c>
      <c r="CM694" s="52"/>
      <c r="CN694" s="57" t="str">
        <f t="shared" si="76"/>
        <v/>
      </c>
    </row>
    <row r="695" spans="14:92" x14ac:dyDescent="0.25">
      <c r="N695" s="58"/>
      <c r="P695" s="60"/>
      <c r="Q695" s="13"/>
      <c r="V695" s="60"/>
      <c r="X695" s="61"/>
      <c r="AB695" s="60"/>
      <c r="AN695" s="54"/>
      <c r="AS695" s="15"/>
      <c r="BH695" s="52"/>
      <c r="BI695" s="21" t="str">
        <f ca="1">IFERROR(VLOOKUP(C695,OFFSET(abbreviation[],0,ColumnLanguage),ColumnAbbreviation,FALSE),"")</f>
        <v/>
      </c>
      <c r="BJ695" s="21" t="str">
        <f ca="1">IFERROR(VLOOKUP(E695,OFFSET(abbreviation[],0,ColumnLanguage),ColumnAbbreviation,FALSE),"")</f>
        <v/>
      </c>
      <c r="BK695" s="21" t="str">
        <f ca="1">IFERROR(VLOOKUP(G695,OFFSET(abbreviation[],0,ColumnLanguage),ColumnAbbreviation,FALSE),"")</f>
        <v/>
      </c>
      <c r="BL695" s="21" t="str">
        <f ca="1">IFERROR(VLOOKUP(I695,OFFSET(abbreviation[],0,ColumnLanguage),ColumnAbbreviation,FALSE),"")</f>
        <v/>
      </c>
      <c r="BM695" s="21" t="str">
        <f ca="1">IFERROR(VLOOKUP(K695,OFFSET(abbreviation[],0,ColumnLanguage),ColumnAbbreviation,FALSE),"")</f>
        <v/>
      </c>
      <c r="BN695" s="21" t="str">
        <f t="shared" ca="1" si="70"/>
        <v/>
      </c>
      <c r="BO695" s="21" t="str">
        <f ca="1">IFERROR(VLOOKUP(N695,OFFSET(abbreviation[],0,ColumnLanguage),ColumnAbbreviation,FALSE),"")</f>
        <v/>
      </c>
      <c r="BP695" s="21" t="str">
        <f ca="1">IFERROR(VLOOKUP(P695,OFFSET(abbreviation[],0,ColumnLanguage),ColumnAbbreviation,FALSE),"")</f>
        <v/>
      </c>
      <c r="BQ695" s="21" t="str">
        <f ca="1">IFERROR(VLOOKUP(T695,OFFSET(abbreviation[],0,ColumnLanguage),ColumnAbbreviation,FALSE),"")</f>
        <v/>
      </c>
      <c r="BR695" s="21" t="str">
        <f ca="1">IFERROR(VLOOKUP(V695,OFFSET(abbreviation[],0,ColumnLanguage),ColumnAbbreviation,FALSE),"")</f>
        <v/>
      </c>
      <c r="BS695" s="21" t="str">
        <f ca="1">IFERROR(VLOOKUP(Z695,OFFSET(abbreviation[],0,ColumnLanguage),ColumnAbbreviation,FALSE),"")</f>
        <v/>
      </c>
      <c r="BT695" s="21" t="str">
        <f ca="1">IFERROR(VLOOKUP(AB695,OFFSET(abbreviation[],0,ColumnLanguage),ColumnAbbreviation,FALSE),"")</f>
        <v/>
      </c>
      <c r="BU695" s="21" t="str">
        <f t="shared" ca="1" si="71"/>
        <v>__</v>
      </c>
      <c r="BV695" s="21" t="str">
        <f ca="1">IFERROR(VLOOKUP(AF695,OFFSET(abbreviation[],0,ColumnLanguage),ColumnAbbreviation,FALSE),"")</f>
        <v/>
      </c>
      <c r="BW695" s="21" t="str">
        <f ca="1">IFERROR(VLOOKUP(AH695,OFFSET(abbreviation[],0,ColumnLanguage),ColumnAbbreviation,FALSE),"")</f>
        <v/>
      </c>
      <c r="BX695" s="21" t="str">
        <f ca="1">IFERROR(VLOOKUP(AJ695,OFFSET(abbreviation[],0,ColumnLanguage),ColumnAbbreviation,FALSE),"")</f>
        <v/>
      </c>
      <c r="BY695" s="21" t="str">
        <f ca="1">IFERROR(VLOOKUP(AL695,OFFSET(abbreviation[],0,ColumnLanguage),ColumnAbbreviation,FALSE),"")</f>
        <v/>
      </c>
      <c r="BZ695" s="21" t="str">
        <f t="shared" ca="1" si="72"/>
        <v>_</v>
      </c>
      <c r="CA695" s="21" t="str">
        <f ca="1">IFERROR(VLOOKUP(AP695,OFFSET(abbreviation[],0,ColumnLanguage),ColumnAbbreviation,FALSE),"")</f>
        <v/>
      </c>
      <c r="CB695" s="21" t="str">
        <f ca="1">IFERROR(VLOOKUP(AR695,OFFSET(abbreviation[],0,ColumnLanguage),ColumnAbbreviation,FALSE),"")</f>
        <v/>
      </c>
      <c r="CC695" s="21" t="str">
        <f ca="1">IFERROR(VLOOKUP(AT695,OFFSET(abbreviation[],0,ColumnLanguage),ColumnAbbreviation,FALSE),"")</f>
        <v/>
      </c>
      <c r="CD695" s="21" t="str">
        <f ca="1">IFERROR(VLOOKUP(AV695,OFFSET(abbreviation[],0,ColumnLanguage),ColumnAbbreviation,FALSE),"")</f>
        <v/>
      </c>
      <c r="CE695" s="21" t="str">
        <f t="shared" ca="1" si="73"/>
        <v>__</v>
      </c>
      <c r="CF695" s="21" t="str">
        <f ca="1">IFERROR(VLOOKUP(AX695,OFFSET(abbreviation[],0,ColumnLanguage),ColumnAbbreviation,FALSE),"")</f>
        <v/>
      </c>
      <c r="CG695" s="21" t="str">
        <f ca="1">IFERROR(VLOOKUP(AZ695,OFFSET(abbreviation[],0,ColumnLanguage),ColumnAbbreviation,FALSE),"")</f>
        <v/>
      </c>
      <c r="CH695" s="21" t="str">
        <f ca="1">IFERROR(VLOOKUP(BB695,OFFSET(abbreviation[],0,ColumnLanguage),ColumnAbbreviation,FALSE),"")</f>
        <v/>
      </c>
      <c r="CI695" s="21" t="str">
        <f ca="1">IFERROR(VLOOKUP(BD695,OFFSET(abbreviation[],0,ColumnLanguage),ColumnAbbreviation,FALSE),"")</f>
        <v/>
      </c>
      <c r="CJ695" s="21" t="str">
        <f ca="1">IFERROR(VLOOKUP(BF695,OFFSET(abbreviation[],0,ColumnLanguage),ColumnAbbreviation,FALSE),"")</f>
        <v/>
      </c>
      <c r="CK695" s="21" t="str">
        <f t="shared" ca="1" si="74"/>
        <v/>
      </c>
      <c r="CL695" s="21" t="str">
        <f t="shared" si="75"/>
        <v/>
      </c>
      <c r="CM695" s="52"/>
      <c r="CN695" s="57" t="str">
        <f t="shared" si="76"/>
        <v/>
      </c>
    </row>
    <row r="696" spans="14:92" x14ac:dyDescent="0.25">
      <c r="N696" s="10"/>
      <c r="P696" s="60"/>
      <c r="Q696" s="13"/>
      <c r="V696" s="60"/>
      <c r="X696" s="61"/>
      <c r="AB696" s="60"/>
      <c r="AN696" s="54"/>
      <c r="AS696" s="15"/>
      <c r="BH696" s="52"/>
      <c r="BI696" s="21" t="str">
        <f ca="1">IFERROR(VLOOKUP(C696,OFFSET(abbreviation[],0,ColumnLanguage),ColumnAbbreviation,FALSE),"")</f>
        <v/>
      </c>
      <c r="BJ696" s="21" t="str">
        <f ca="1">IFERROR(VLOOKUP(E696,OFFSET(abbreviation[],0,ColumnLanguage),ColumnAbbreviation,FALSE),"")</f>
        <v/>
      </c>
      <c r="BK696" s="21" t="str">
        <f ca="1">IFERROR(VLOOKUP(G696,OFFSET(abbreviation[],0,ColumnLanguage),ColumnAbbreviation,FALSE),"")</f>
        <v/>
      </c>
      <c r="BL696" s="21" t="str">
        <f ca="1">IFERROR(VLOOKUP(I696,OFFSET(abbreviation[],0,ColumnLanguage),ColumnAbbreviation,FALSE),"")</f>
        <v/>
      </c>
      <c r="BM696" s="21" t="str">
        <f ca="1">IFERROR(VLOOKUP(K696,OFFSET(abbreviation[],0,ColumnLanguage),ColumnAbbreviation,FALSE),"")</f>
        <v/>
      </c>
      <c r="BN696" s="21" t="str">
        <f t="shared" ca="1" si="70"/>
        <v/>
      </c>
      <c r="BO696" s="21" t="str">
        <f ca="1">IFERROR(VLOOKUP(N696,OFFSET(abbreviation[],0,ColumnLanguage),ColumnAbbreviation,FALSE),"")</f>
        <v/>
      </c>
      <c r="BP696" s="21" t="str">
        <f ca="1">IFERROR(VLOOKUP(P696,OFFSET(abbreviation[],0,ColumnLanguage),ColumnAbbreviation,FALSE),"")</f>
        <v/>
      </c>
      <c r="BQ696" s="21" t="str">
        <f ca="1">IFERROR(VLOOKUP(T696,OFFSET(abbreviation[],0,ColumnLanguage),ColumnAbbreviation,FALSE),"")</f>
        <v/>
      </c>
      <c r="BR696" s="21" t="str">
        <f ca="1">IFERROR(VLOOKUP(V696,OFFSET(abbreviation[],0,ColumnLanguage),ColumnAbbreviation,FALSE),"")</f>
        <v/>
      </c>
      <c r="BS696" s="21" t="str">
        <f ca="1">IFERROR(VLOOKUP(Z696,OFFSET(abbreviation[],0,ColumnLanguage),ColumnAbbreviation,FALSE),"")</f>
        <v/>
      </c>
      <c r="BT696" s="21" t="str">
        <f ca="1">IFERROR(VLOOKUP(AB696,OFFSET(abbreviation[],0,ColumnLanguage),ColumnAbbreviation,FALSE),"")</f>
        <v/>
      </c>
      <c r="BU696" s="21" t="str">
        <f t="shared" ca="1" si="71"/>
        <v>__</v>
      </c>
      <c r="BV696" s="21" t="str">
        <f ca="1">IFERROR(VLOOKUP(AF696,OFFSET(abbreviation[],0,ColumnLanguage),ColumnAbbreviation,FALSE),"")</f>
        <v/>
      </c>
      <c r="BW696" s="21" t="str">
        <f ca="1">IFERROR(VLOOKUP(AH696,OFFSET(abbreviation[],0,ColumnLanguage),ColumnAbbreviation,FALSE),"")</f>
        <v/>
      </c>
      <c r="BX696" s="21" t="str">
        <f ca="1">IFERROR(VLOOKUP(AJ696,OFFSET(abbreviation[],0,ColumnLanguage),ColumnAbbreviation,FALSE),"")</f>
        <v/>
      </c>
      <c r="BY696" s="21" t="str">
        <f ca="1">IFERROR(VLOOKUP(AL696,OFFSET(abbreviation[],0,ColumnLanguage),ColumnAbbreviation,FALSE),"")</f>
        <v/>
      </c>
      <c r="BZ696" s="21" t="str">
        <f t="shared" ca="1" si="72"/>
        <v>_</v>
      </c>
      <c r="CA696" s="21" t="str">
        <f ca="1">IFERROR(VLOOKUP(AP696,OFFSET(abbreviation[],0,ColumnLanguage),ColumnAbbreviation,FALSE),"")</f>
        <v/>
      </c>
      <c r="CB696" s="21" t="str">
        <f ca="1">IFERROR(VLOOKUP(AR696,OFFSET(abbreviation[],0,ColumnLanguage),ColumnAbbreviation,FALSE),"")</f>
        <v/>
      </c>
      <c r="CC696" s="21" t="str">
        <f ca="1">IFERROR(VLOOKUP(AT696,OFFSET(abbreviation[],0,ColumnLanguage),ColumnAbbreviation,FALSE),"")</f>
        <v/>
      </c>
      <c r="CD696" s="21" t="str">
        <f ca="1">IFERROR(VLOOKUP(AV696,OFFSET(abbreviation[],0,ColumnLanguage),ColumnAbbreviation,FALSE),"")</f>
        <v/>
      </c>
      <c r="CE696" s="21" t="str">
        <f t="shared" ca="1" si="73"/>
        <v>__</v>
      </c>
      <c r="CF696" s="21" t="str">
        <f ca="1">IFERROR(VLOOKUP(AX696,OFFSET(abbreviation[],0,ColumnLanguage),ColumnAbbreviation,FALSE),"")</f>
        <v/>
      </c>
      <c r="CG696" s="21" t="str">
        <f ca="1">IFERROR(VLOOKUP(AZ696,OFFSET(abbreviation[],0,ColumnLanguage),ColumnAbbreviation,FALSE),"")</f>
        <v/>
      </c>
      <c r="CH696" s="21" t="str">
        <f ca="1">IFERROR(VLOOKUP(BB696,OFFSET(abbreviation[],0,ColumnLanguage),ColumnAbbreviation,FALSE),"")</f>
        <v/>
      </c>
      <c r="CI696" s="21" t="str">
        <f ca="1">IFERROR(VLOOKUP(BD696,OFFSET(abbreviation[],0,ColumnLanguage),ColumnAbbreviation,FALSE),"")</f>
        <v/>
      </c>
      <c r="CJ696" s="21" t="str">
        <f ca="1">IFERROR(VLOOKUP(BF696,OFFSET(abbreviation[],0,ColumnLanguage),ColumnAbbreviation,FALSE),"")</f>
        <v/>
      </c>
      <c r="CK696" s="21" t="str">
        <f t="shared" ca="1" si="74"/>
        <v/>
      </c>
      <c r="CL696" s="21" t="str">
        <f t="shared" si="75"/>
        <v/>
      </c>
      <c r="CM696" s="52"/>
      <c r="CN696" s="57" t="str">
        <f t="shared" si="76"/>
        <v/>
      </c>
    </row>
    <row r="697" spans="14:92" x14ac:dyDescent="0.25">
      <c r="N697" s="10"/>
      <c r="P697" s="60"/>
      <c r="Q697" s="13"/>
      <c r="V697" s="60"/>
      <c r="X697" s="61"/>
      <c r="AB697" s="60"/>
      <c r="AN697" s="54"/>
      <c r="AS697" s="15"/>
      <c r="BH697" s="52"/>
      <c r="BI697" s="21" t="str">
        <f ca="1">IFERROR(VLOOKUP(C697,OFFSET(abbreviation[],0,ColumnLanguage),ColumnAbbreviation,FALSE),"")</f>
        <v/>
      </c>
      <c r="BJ697" s="21" t="str">
        <f ca="1">IFERROR(VLOOKUP(E697,OFFSET(abbreviation[],0,ColumnLanguage),ColumnAbbreviation,FALSE),"")</f>
        <v/>
      </c>
      <c r="BK697" s="21" t="str">
        <f ca="1">IFERROR(VLOOKUP(G697,OFFSET(abbreviation[],0,ColumnLanguage),ColumnAbbreviation,FALSE),"")</f>
        <v/>
      </c>
      <c r="BL697" s="21" t="str">
        <f ca="1">IFERROR(VLOOKUP(I697,OFFSET(abbreviation[],0,ColumnLanguage),ColumnAbbreviation,FALSE),"")</f>
        <v/>
      </c>
      <c r="BM697" s="21" t="str">
        <f ca="1">IFERROR(VLOOKUP(K697,OFFSET(abbreviation[],0,ColumnLanguage),ColumnAbbreviation,FALSE),"")</f>
        <v/>
      </c>
      <c r="BN697" s="21" t="str">
        <f t="shared" ca="1" si="70"/>
        <v/>
      </c>
      <c r="BO697" s="21" t="str">
        <f ca="1">IFERROR(VLOOKUP(N697,OFFSET(abbreviation[],0,ColumnLanguage),ColumnAbbreviation,FALSE),"")</f>
        <v/>
      </c>
      <c r="BP697" s="21" t="str">
        <f ca="1">IFERROR(VLOOKUP(P697,OFFSET(abbreviation[],0,ColumnLanguage),ColumnAbbreviation,FALSE),"")</f>
        <v/>
      </c>
      <c r="BQ697" s="21" t="str">
        <f ca="1">IFERROR(VLOOKUP(T697,OFFSET(abbreviation[],0,ColumnLanguage),ColumnAbbreviation,FALSE),"")</f>
        <v/>
      </c>
      <c r="BR697" s="21" t="str">
        <f ca="1">IFERROR(VLOOKUP(V697,OFFSET(abbreviation[],0,ColumnLanguage),ColumnAbbreviation,FALSE),"")</f>
        <v/>
      </c>
      <c r="BS697" s="21" t="str">
        <f ca="1">IFERROR(VLOOKUP(Z697,OFFSET(abbreviation[],0,ColumnLanguage),ColumnAbbreviation,FALSE),"")</f>
        <v/>
      </c>
      <c r="BT697" s="21" t="str">
        <f ca="1">IFERROR(VLOOKUP(AB697,OFFSET(abbreviation[],0,ColumnLanguage),ColumnAbbreviation,FALSE),"")</f>
        <v/>
      </c>
      <c r="BU697" s="21" t="str">
        <f t="shared" ca="1" si="71"/>
        <v>__</v>
      </c>
      <c r="BV697" s="21" t="str">
        <f ca="1">IFERROR(VLOOKUP(AF697,OFFSET(abbreviation[],0,ColumnLanguage),ColumnAbbreviation,FALSE),"")</f>
        <v/>
      </c>
      <c r="BW697" s="21" t="str">
        <f ca="1">IFERROR(VLOOKUP(AH697,OFFSET(abbreviation[],0,ColumnLanguage),ColumnAbbreviation,FALSE),"")</f>
        <v/>
      </c>
      <c r="BX697" s="21" t="str">
        <f ca="1">IFERROR(VLOOKUP(AJ697,OFFSET(abbreviation[],0,ColumnLanguage),ColumnAbbreviation,FALSE),"")</f>
        <v/>
      </c>
      <c r="BY697" s="21" t="str">
        <f ca="1">IFERROR(VLOOKUP(AL697,OFFSET(abbreviation[],0,ColumnLanguage),ColumnAbbreviation,FALSE),"")</f>
        <v/>
      </c>
      <c r="BZ697" s="21" t="str">
        <f t="shared" ca="1" si="72"/>
        <v>_</v>
      </c>
      <c r="CA697" s="21" t="str">
        <f ca="1">IFERROR(VLOOKUP(AP697,OFFSET(abbreviation[],0,ColumnLanguage),ColumnAbbreviation,FALSE),"")</f>
        <v/>
      </c>
      <c r="CB697" s="21" t="str">
        <f ca="1">IFERROR(VLOOKUP(AR697,OFFSET(abbreviation[],0,ColumnLanguage),ColumnAbbreviation,FALSE),"")</f>
        <v/>
      </c>
      <c r="CC697" s="21" t="str">
        <f ca="1">IFERROR(VLOOKUP(AT697,OFFSET(abbreviation[],0,ColumnLanguage),ColumnAbbreviation,FALSE),"")</f>
        <v/>
      </c>
      <c r="CD697" s="21" t="str">
        <f ca="1">IFERROR(VLOOKUP(AV697,OFFSET(abbreviation[],0,ColumnLanguage),ColumnAbbreviation,FALSE),"")</f>
        <v/>
      </c>
      <c r="CE697" s="21" t="str">
        <f t="shared" ca="1" si="73"/>
        <v>__</v>
      </c>
      <c r="CF697" s="21" t="str">
        <f ca="1">IFERROR(VLOOKUP(AX697,OFFSET(abbreviation[],0,ColumnLanguage),ColumnAbbreviation,FALSE),"")</f>
        <v/>
      </c>
      <c r="CG697" s="21" t="str">
        <f ca="1">IFERROR(VLOOKUP(AZ697,OFFSET(abbreviation[],0,ColumnLanguage),ColumnAbbreviation,FALSE),"")</f>
        <v/>
      </c>
      <c r="CH697" s="21" t="str">
        <f ca="1">IFERROR(VLOOKUP(BB697,OFFSET(abbreviation[],0,ColumnLanguage),ColumnAbbreviation,FALSE),"")</f>
        <v/>
      </c>
      <c r="CI697" s="21" t="str">
        <f ca="1">IFERROR(VLOOKUP(BD697,OFFSET(abbreviation[],0,ColumnLanguage),ColumnAbbreviation,FALSE),"")</f>
        <v/>
      </c>
      <c r="CJ697" s="21" t="str">
        <f ca="1">IFERROR(VLOOKUP(BF697,OFFSET(abbreviation[],0,ColumnLanguage),ColumnAbbreviation,FALSE),"")</f>
        <v/>
      </c>
      <c r="CK697" s="21" t="str">
        <f t="shared" ca="1" si="74"/>
        <v/>
      </c>
      <c r="CL697" s="21" t="str">
        <f t="shared" si="75"/>
        <v/>
      </c>
      <c r="CM697" s="52"/>
      <c r="CN697" s="57" t="str">
        <f t="shared" si="76"/>
        <v/>
      </c>
    </row>
    <row r="698" spans="14:92" x14ac:dyDescent="0.25">
      <c r="P698" s="60"/>
      <c r="Q698" s="13"/>
      <c r="V698" s="60"/>
      <c r="X698" s="61"/>
      <c r="AB698" s="60"/>
      <c r="AN698" s="54"/>
      <c r="AS698" s="15"/>
      <c r="BH698" s="52"/>
      <c r="BI698" s="21" t="str">
        <f ca="1">IFERROR(VLOOKUP(C698,OFFSET(abbreviation[],0,ColumnLanguage),ColumnAbbreviation,FALSE),"")</f>
        <v/>
      </c>
      <c r="BJ698" s="21" t="str">
        <f ca="1">IFERROR(VLOOKUP(E698,OFFSET(abbreviation[],0,ColumnLanguage),ColumnAbbreviation,FALSE),"")</f>
        <v/>
      </c>
      <c r="BK698" s="21" t="str">
        <f ca="1">IFERROR(VLOOKUP(G698,OFFSET(abbreviation[],0,ColumnLanguage),ColumnAbbreviation,FALSE),"")</f>
        <v/>
      </c>
      <c r="BL698" s="21" t="str">
        <f ca="1">IFERROR(VLOOKUP(I698,OFFSET(abbreviation[],0,ColumnLanguage),ColumnAbbreviation,FALSE),"")</f>
        <v/>
      </c>
      <c r="BM698" s="21" t="str">
        <f ca="1">IFERROR(VLOOKUP(K698,OFFSET(abbreviation[],0,ColumnLanguage),ColumnAbbreviation,FALSE),"")</f>
        <v/>
      </c>
      <c r="BN698" s="21" t="str">
        <f t="shared" ca="1" si="70"/>
        <v/>
      </c>
      <c r="BO698" s="21" t="str">
        <f ca="1">IFERROR(VLOOKUP(N698,OFFSET(abbreviation[],0,ColumnLanguage),ColumnAbbreviation,FALSE),"")</f>
        <v/>
      </c>
      <c r="BP698" s="21" t="str">
        <f ca="1">IFERROR(VLOOKUP(P698,OFFSET(abbreviation[],0,ColumnLanguage),ColumnAbbreviation,FALSE),"")</f>
        <v/>
      </c>
      <c r="BQ698" s="21" t="str">
        <f ca="1">IFERROR(VLOOKUP(T698,OFFSET(abbreviation[],0,ColumnLanguage),ColumnAbbreviation,FALSE),"")</f>
        <v/>
      </c>
      <c r="BR698" s="21" t="str">
        <f ca="1">IFERROR(VLOOKUP(V698,OFFSET(abbreviation[],0,ColumnLanguage),ColumnAbbreviation,FALSE),"")</f>
        <v/>
      </c>
      <c r="BS698" s="21" t="str">
        <f ca="1">IFERROR(VLOOKUP(Z698,OFFSET(abbreviation[],0,ColumnLanguage),ColumnAbbreviation,FALSE),"")</f>
        <v/>
      </c>
      <c r="BT698" s="21" t="str">
        <f ca="1">IFERROR(VLOOKUP(AB698,OFFSET(abbreviation[],0,ColumnLanguage),ColumnAbbreviation,FALSE),"")</f>
        <v/>
      </c>
      <c r="BU698" s="21" t="str">
        <f t="shared" ca="1" si="71"/>
        <v>__</v>
      </c>
      <c r="BV698" s="21" t="str">
        <f ca="1">IFERROR(VLOOKUP(AF698,OFFSET(abbreviation[],0,ColumnLanguage),ColumnAbbreviation,FALSE),"")</f>
        <v/>
      </c>
      <c r="BW698" s="21" t="str">
        <f ca="1">IFERROR(VLOOKUP(AH698,OFFSET(abbreviation[],0,ColumnLanguage),ColumnAbbreviation,FALSE),"")</f>
        <v/>
      </c>
      <c r="BX698" s="21" t="str">
        <f ca="1">IFERROR(VLOOKUP(AJ698,OFFSET(abbreviation[],0,ColumnLanguage),ColumnAbbreviation,FALSE),"")</f>
        <v/>
      </c>
      <c r="BY698" s="21" t="str">
        <f ca="1">IFERROR(VLOOKUP(AL698,OFFSET(abbreviation[],0,ColumnLanguage),ColumnAbbreviation,FALSE),"")</f>
        <v/>
      </c>
      <c r="BZ698" s="21" t="str">
        <f t="shared" ca="1" si="72"/>
        <v>_</v>
      </c>
      <c r="CA698" s="21" t="str">
        <f ca="1">IFERROR(VLOOKUP(AP698,OFFSET(abbreviation[],0,ColumnLanguage),ColumnAbbreviation,FALSE),"")</f>
        <v/>
      </c>
      <c r="CB698" s="21" t="str">
        <f ca="1">IFERROR(VLOOKUP(AR698,OFFSET(abbreviation[],0,ColumnLanguage),ColumnAbbreviation,FALSE),"")</f>
        <v/>
      </c>
      <c r="CC698" s="21" t="str">
        <f ca="1">IFERROR(VLOOKUP(AT698,OFFSET(abbreviation[],0,ColumnLanguage),ColumnAbbreviation,FALSE),"")</f>
        <v/>
      </c>
      <c r="CD698" s="21" t="str">
        <f ca="1">IFERROR(VLOOKUP(AV698,OFFSET(abbreviation[],0,ColumnLanguage),ColumnAbbreviation,FALSE),"")</f>
        <v/>
      </c>
      <c r="CE698" s="21" t="str">
        <f t="shared" ca="1" si="73"/>
        <v>__</v>
      </c>
      <c r="CF698" s="21" t="str">
        <f ca="1">IFERROR(VLOOKUP(AX698,OFFSET(abbreviation[],0,ColumnLanguage),ColumnAbbreviation,FALSE),"")</f>
        <v/>
      </c>
      <c r="CG698" s="21" t="str">
        <f ca="1">IFERROR(VLOOKUP(AZ698,OFFSET(abbreviation[],0,ColumnLanguage),ColumnAbbreviation,FALSE),"")</f>
        <v/>
      </c>
      <c r="CH698" s="21" t="str">
        <f ca="1">IFERROR(VLOOKUP(BB698,OFFSET(abbreviation[],0,ColumnLanguage),ColumnAbbreviation,FALSE),"")</f>
        <v/>
      </c>
      <c r="CI698" s="21" t="str">
        <f ca="1">IFERROR(VLOOKUP(BD698,OFFSET(abbreviation[],0,ColumnLanguage),ColumnAbbreviation,FALSE),"")</f>
        <v/>
      </c>
      <c r="CJ698" s="21" t="str">
        <f ca="1">IFERROR(VLOOKUP(BF698,OFFSET(abbreviation[],0,ColumnLanguage),ColumnAbbreviation,FALSE),"")</f>
        <v/>
      </c>
      <c r="CK698" s="21" t="str">
        <f t="shared" ca="1" si="74"/>
        <v/>
      </c>
      <c r="CL698" s="21" t="str">
        <f t="shared" si="75"/>
        <v/>
      </c>
      <c r="CM698" s="52"/>
      <c r="CN698" s="57" t="str">
        <f t="shared" si="76"/>
        <v/>
      </c>
    </row>
    <row r="699" spans="14:92" x14ac:dyDescent="0.25">
      <c r="P699" s="60"/>
      <c r="Q699" s="13"/>
      <c r="V699" s="60"/>
      <c r="X699" s="61"/>
      <c r="AB699" s="60"/>
      <c r="AN699" s="54"/>
      <c r="AS699" s="15"/>
      <c r="BH699" s="52"/>
      <c r="BI699" s="21" t="str">
        <f ca="1">IFERROR(VLOOKUP(C699,OFFSET(abbreviation[],0,ColumnLanguage),ColumnAbbreviation,FALSE),"")</f>
        <v/>
      </c>
      <c r="BJ699" s="21" t="str">
        <f ca="1">IFERROR(VLOOKUP(E699,OFFSET(abbreviation[],0,ColumnLanguage),ColumnAbbreviation,FALSE),"")</f>
        <v/>
      </c>
      <c r="BK699" s="21" t="str">
        <f ca="1">IFERROR(VLOOKUP(G699,OFFSET(abbreviation[],0,ColumnLanguage),ColumnAbbreviation,FALSE),"")</f>
        <v/>
      </c>
      <c r="BL699" s="21" t="str">
        <f ca="1">IFERROR(VLOOKUP(I699,OFFSET(abbreviation[],0,ColumnLanguage),ColumnAbbreviation,FALSE),"")</f>
        <v/>
      </c>
      <c r="BM699" s="21" t="str">
        <f ca="1">IFERROR(VLOOKUP(K699,OFFSET(abbreviation[],0,ColumnLanguage),ColumnAbbreviation,FALSE),"")</f>
        <v/>
      </c>
      <c r="BN699" s="21" t="str">
        <f t="shared" ca="1" si="70"/>
        <v/>
      </c>
      <c r="BO699" s="21" t="str">
        <f ca="1">IFERROR(VLOOKUP(N699,OFFSET(abbreviation[],0,ColumnLanguage),ColumnAbbreviation,FALSE),"")</f>
        <v/>
      </c>
      <c r="BP699" s="21" t="str">
        <f ca="1">IFERROR(VLOOKUP(P699,OFFSET(abbreviation[],0,ColumnLanguage),ColumnAbbreviation,FALSE),"")</f>
        <v/>
      </c>
      <c r="BQ699" s="21" t="str">
        <f ca="1">IFERROR(VLOOKUP(T699,OFFSET(abbreviation[],0,ColumnLanguage),ColumnAbbreviation,FALSE),"")</f>
        <v/>
      </c>
      <c r="BR699" s="21" t="str">
        <f ca="1">IFERROR(VLOOKUP(V699,OFFSET(abbreviation[],0,ColumnLanguage),ColumnAbbreviation,FALSE),"")</f>
        <v/>
      </c>
      <c r="BS699" s="21" t="str">
        <f ca="1">IFERROR(VLOOKUP(Z699,OFFSET(abbreviation[],0,ColumnLanguage),ColumnAbbreviation,FALSE),"")</f>
        <v/>
      </c>
      <c r="BT699" s="21" t="str">
        <f ca="1">IFERROR(VLOOKUP(AB699,OFFSET(abbreviation[],0,ColumnLanguage),ColumnAbbreviation,FALSE),"")</f>
        <v/>
      </c>
      <c r="BU699" s="21" t="str">
        <f t="shared" ca="1" si="71"/>
        <v>__</v>
      </c>
      <c r="BV699" s="21" t="str">
        <f ca="1">IFERROR(VLOOKUP(AF699,OFFSET(abbreviation[],0,ColumnLanguage),ColumnAbbreviation,FALSE),"")</f>
        <v/>
      </c>
      <c r="BW699" s="21" t="str">
        <f ca="1">IFERROR(VLOOKUP(AH699,OFFSET(abbreviation[],0,ColumnLanguage),ColumnAbbreviation,FALSE),"")</f>
        <v/>
      </c>
      <c r="BX699" s="21" t="str">
        <f ca="1">IFERROR(VLOOKUP(AJ699,OFFSET(abbreviation[],0,ColumnLanguage),ColumnAbbreviation,FALSE),"")</f>
        <v/>
      </c>
      <c r="BY699" s="21" t="str">
        <f ca="1">IFERROR(VLOOKUP(AL699,OFFSET(abbreviation[],0,ColumnLanguage),ColumnAbbreviation,FALSE),"")</f>
        <v/>
      </c>
      <c r="BZ699" s="21" t="str">
        <f t="shared" ca="1" si="72"/>
        <v>_</v>
      </c>
      <c r="CA699" s="21" t="str">
        <f ca="1">IFERROR(VLOOKUP(AP699,OFFSET(abbreviation[],0,ColumnLanguage),ColumnAbbreviation,FALSE),"")</f>
        <v/>
      </c>
      <c r="CB699" s="21" t="str">
        <f ca="1">IFERROR(VLOOKUP(AR699,OFFSET(abbreviation[],0,ColumnLanguage),ColumnAbbreviation,FALSE),"")</f>
        <v/>
      </c>
      <c r="CC699" s="21" t="str">
        <f ca="1">IFERROR(VLOOKUP(AT699,OFFSET(abbreviation[],0,ColumnLanguage),ColumnAbbreviation,FALSE),"")</f>
        <v/>
      </c>
      <c r="CD699" s="21" t="str">
        <f ca="1">IFERROR(VLOOKUP(AV699,OFFSET(abbreviation[],0,ColumnLanguage),ColumnAbbreviation,FALSE),"")</f>
        <v/>
      </c>
      <c r="CE699" s="21" t="str">
        <f t="shared" ca="1" si="73"/>
        <v>__</v>
      </c>
      <c r="CF699" s="21" t="str">
        <f ca="1">IFERROR(VLOOKUP(AX699,OFFSET(abbreviation[],0,ColumnLanguage),ColumnAbbreviation,FALSE),"")</f>
        <v/>
      </c>
      <c r="CG699" s="21" t="str">
        <f ca="1">IFERROR(VLOOKUP(AZ699,OFFSET(abbreviation[],0,ColumnLanguage),ColumnAbbreviation,FALSE),"")</f>
        <v/>
      </c>
      <c r="CH699" s="21" t="str">
        <f ca="1">IFERROR(VLOOKUP(BB699,OFFSET(abbreviation[],0,ColumnLanguage),ColumnAbbreviation,FALSE),"")</f>
        <v/>
      </c>
      <c r="CI699" s="21" t="str">
        <f ca="1">IFERROR(VLOOKUP(BD699,OFFSET(abbreviation[],0,ColumnLanguage),ColumnAbbreviation,FALSE),"")</f>
        <v/>
      </c>
      <c r="CJ699" s="21" t="str">
        <f ca="1">IFERROR(VLOOKUP(BF699,OFFSET(abbreviation[],0,ColumnLanguage),ColumnAbbreviation,FALSE),"")</f>
        <v/>
      </c>
      <c r="CK699" s="21" t="str">
        <f t="shared" ca="1" si="74"/>
        <v/>
      </c>
      <c r="CL699" s="21" t="str">
        <f t="shared" si="75"/>
        <v/>
      </c>
      <c r="CM699" s="52"/>
      <c r="CN699" s="57" t="str">
        <f t="shared" si="76"/>
        <v/>
      </c>
    </row>
    <row r="700" spans="14:92" x14ac:dyDescent="0.25">
      <c r="P700" s="60"/>
      <c r="Q700" s="13"/>
      <c r="V700" s="60"/>
      <c r="X700" s="61"/>
      <c r="AB700" s="60"/>
      <c r="AN700" s="54"/>
      <c r="AS700" s="15"/>
      <c r="BH700" s="52"/>
      <c r="BI700" s="21" t="str">
        <f ca="1">IFERROR(VLOOKUP(C700,OFFSET(abbreviation[],0,ColumnLanguage),ColumnAbbreviation,FALSE),"")</f>
        <v/>
      </c>
      <c r="BJ700" s="21" t="str">
        <f ca="1">IFERROR(VLOOKUP(E700,OFFSET(abbreviation[],0,ColumnLanguage),ColumnAbbreviation,FALSE),"")</f>
        <v/>
      </c>
      <c r="BK700" s="21" t="str">
        <f ca="1">IFERROR(VLOOKUP(G700,OFFSET(abbreviation[],0,ColumnLanguage),ColumnAbbreviation,FALSE),"")</f>
        <v/>
      </c>
      <c r="BL700" s="21" t="str">
        <f ca="1">IFERROR(VLOOKUP(I700,OFFSET(abbreviation[],0,ColumnLanguage),ColumnAbbreviation,FALSE),"")</f>
        <v/>
      </c>
      <c r="BM700" s="21" t="str">
        <f ca="1">IFERROR(VLOOKUP(K700,OFFSET(abbreviation[],0,ColumnLanguage),ColumnAbbreviation,FALSE),"")</f>
        <v/>
      </c>
      <c r="BN700" s="21" t="str">
        <f t="shared" ca="1" si="70"/>
        <v/>
      </c>
      <c r="BO700" s="21" t="str">
        <f ca="1">IFERROR(VLOOKUP(N700,OFFSET(abbreviation[],0,ColumnLanguage),ColumnAbbreviation,FALSE),"")</f>
        <v/>
      </c>
      <c r="BP700" s="21" t="str">
        <f ca="1">IFERROR(VLOOKUP(P700,OFFSET(abbreviation[],0,ColumnLanguage),ColumnAbbreviation,FALSE),"")</f>
        <v/>
      </c>
      <c r="BQ700" s="21" t="str">
        <f ca="1">IFERROR(VLOOKUP(T700,OFFSET(abbreviation[],0,ColumnLanguage),ColumnAbbreviation,FALSE),"")</f>
        <v/>
      </c>
      <c r="BR700" s="21" t="str">
        <f ca="1">IFERROR(VLOOKUP(V700,OFFSET(abbreviation[],0,ColumnLanguage),ColumnAbbreviation,FALSE),"")</f>
        <v/>
      </c>
      <c r="BS700" s="21" t="str">
        <f ca="1">IFERROR(VLOOKUP(Z700,OFFSET(abbreviation[],0,ColumnLanguage),ColumnAbbreviation,FALSE),"")</f>
        <v/>
      </c>
      <c r="BT700" s="21" t="str">
        <f ca="1">IFERROR(VLOOKUP(AB700,OFFSET(abbreviation[],0,ColumnLanguage),ColumnAbbreviation,FALSE),"")</f>
        <v/>
      </c>
      <c r="BU700" s="21" t="str">
        <f t="shared" ca="1" si="71"/>
        <v>__</v>
      </c>
      <c r="BV700" s="21" t="str">
        <f ca="1">IFERROR(VLOOKUP(AF700,OFFSET(abbreviation[],0,ColumnLanguage),ColumnAbbreviation,FALSE),"")</f>
        <v/>
      </c>
      <c r="BW700" s="21" t="str">
        <f ca="1">IFERROR(VLOOKUP(AH700,OFFSET(abbreviation[],0,ColumnLanguage),ColumnAbbreviation,FALSE),"")</f>
        <v/>
      </c>
      <c r="BX700" s="21" t="str">
        <f ca="1">IFERROR(VLOOKUP(AJ700,OFFSET(abbreviation[],0,ColumnLanguage),ColumnAbbreviation,FALSE),"")</f>
        <v/>
      </c>
      <c r="BY700" s="21" t="str">
        <f ca="1">IFERROR(VLOOKUP(AL700,OFFSET(abbreviation[],0,ColumnLanguage),ColumnAbbreviation,FALSE),"")</f>
        <v/>
      </c>
      <c r="BZ700" s="21" t="str">
        <f t="shared" ca="1" si="72"/>
        <v>_</v>
      </c>
      <c r="CA700" s="21" t="str">
        <f ca="1">IFERROR(VLOOKUP(AP700,OFFSET(abbreviation[],0,ColumnLanguage),ColumnAbbreviation,FALSE),"")</f>
        <v/>
      </c>
      <c r="CB700" s="21" t="str">
        <f ca="1">IFERROR(VLOOKUP(AR700,OFFSET(abbreviation[],0,ColumnLanguage),ColumnAbbreviation,FALSE),"")</f>
        <v/>
      </c>
      <c r="CC700" s="21" t="str">
        <f ca="1">IFERROR(VLOOKUP(AT700,OFFSET(abbreviation[],0,ColumnLanguage),ColumnAbbreviation,FALSE),"")</f>
        <v/>
      </c>
      <c r="CD700" s="21" t="str">
        <f ca="1">IFERROR(VLOOKUP(AV700,OFFSET(abbreviation[],0,ColumnLanguage),ColumnAbbreviation,FALSE),"")</f>
        <v/>
      </c>
      <c r="CE700" s="21" t="str">
        <f t="shared" ca="1" si="73"/>
        <v>__</v>
      </c>
      <c r="CF700" s="21" t="str">
        <f ca="1">IFERROR(VLOOKUP(AX700,OFFSET(abbreviation[],0,ColumnLanguage),ColumnAbbreviation,FALSE),"")</f>
        <v/>
      </c>
      <c r="CG700" s="21" t="str">
        <f ca="1">IFERROR(VLOOKUP(AZ700,OFFSET(abbreviation[],0,ColumnLanguage),ColumnAbbreviation,FALSE),"")</f>
        <v/>
      </c>
      <c r="CH700" s="21" t="str">
        <f ca="1">IFERROR(VLOOKUP(BB700,OFFSET(abbreviation[],0,ColumnLanguage),ColumnAbbreviation,FALSE),"")</f>
        <v/>
      </c>
      <c r="CI700" s="21" t="str">
        <f ca="1">IFERROR(VLOOKUP(BD700,OFFSET(abbreviation[],0,ColumnLanguage),ColumnAbbreviation,FALSE),"")</f>
        <v/>
      </c>
      <c r="CJ700" s="21" t="str">
        <f ca="1">IFERROR(VLOOKUP(BF700,OFFSET(abbreviation[],0,ColumnLanguage),ColumnAbbreviation,FALSE),"")</f>
        <v/>
      </c>
      <c r="CK700" s="21" t="str">
        <f t="shared" ca="1" si="74"/>
        <v/>
      </c>
      <c r="CL700" s="21" t="str">
        <f t="shared" si="75"/>
        <v/>
      </c>
      <c r="CM700" s="52"/>
      <c r="CN700" s="57" t="str">
        <f t="shared" si="76"/>
        <v/>
      </c>
    </row>
    <row r="701" spans="14:92" x14ac:dyDescent="0.25">
      <c r="P701" s="60"/>
      <c r="Q701" s="13"/>
      <c r="V701" s="60"/>
      <c r="X701" s="61"/>
      <c r="AB701" s="60"/>
      <c r="AN701" s="54"/>
      <c r="AS701" s="15"/>
      <c r="BH701" s="52"/>
      <c r="BI701" s="21" t="str">
        <f ca="1">IFERROR(VLOOKUP(C701,OFFSET(abbreviation[],0,ColumnLanguage),ColumnAbbreviation,FALSE),"")</f>
        <v/>
      </c>
      <c r="BJ701" s="21" t="str">
        <f ca="1">IFERROR(VLOOKUP(E701,OFFSET(abbreviation[],0,ColumnLanguage),ColumnAbbreviation,FALSE),"")</f>
        <v/>
      </c>
      <c r="BK701" s="21" t="str">
        <f ca="1">IFERROR(VLOOKUP(G701,OFFSET(abbreviation[],0,ColumnLanguage),ColumnAbbreviation,FALSE),"")</f>
        <v/>
      </c>
      <c r="BL701" s="21" t="str">
        <f ca="1">IFERROR(VLOOKUP(I701,OFFSET(abbreviation[],0,ColumnLanguage),ColumnAbbreviation,FALSE),"")</f>
        <v/>
      </c>
      <c r="BM701" s="21" t="str">
        <f ca="1">IFERROR(VLOOKUP(K701,OFFSET(abbreviation[],0,ColumnLanguage),ColumnAbbreviation,FALSE),"")</f>
        <v/>
      </c>
      <c r="BN701" s="21" t="str">
        <f t="shared" ca="1" si="70"/>
        <v/>
      </c>
      <c r="BO701" s="21" t="str">
        <f ca="1">IFERROR(VLOOKUP(N701,OFFSET(abbreviation[],0,ColumnLanguage),ColumnAbbreviation,FALSE),"")</f>
        <v/>
      </c>
      <c r="BP701" s="21" t="str">
        <f ca="1">IFERROR(VLOOKUP(P701,OFFSET(abbreviation[],0,ColumnLanguage),ColumnAbbreviation,FALSE),"")</f>
        <v/>
      </c>
      <c r="BQ701" s="21" t="str">
        <f ca="1">IFERROR(VLOOKUP(T701,OFFSET(abbreviation[],0,ColumnLanguage),ColumnAbbreviation,FALSE),"")</f>
        <v/>
      </c>
      <c r="BR701" s="21" t="str">
        <f ca="1">IFERROR(VLOOKUP(V701,OFFSET(abbreviation[],0,ColumnLanguage),ColumnAbbreviation,FALSE),"")</f>
        <v/>
      </c>
      <c r="BS701" s="21" t="str">
        <f ca="1">IFERROR(VLOOKUP(Z701,OFFSET(abbreviation[],0,ColumnLanguage),ColumnAbbreviation,FALSE),"")</f>
        <v/>
      </c>
      <c r="BT701" s="21" t="str">
        <f ca="1">IFERROR(VLOOKUP(AB701,OFFSET(abbreviation[],0,ColumnLanguage),ColumnAbbreviation,FALSE),"")</f>
        <v/>
      </c>
      <c r="BU701" s="21" t="str">
        <f t="shared" ca="1" si="71"/>
        <v>__</v>
      </c>
      <c r="BV701" s="21" t="str">
        <f ca="1">IFERROR(VLOOKUP(AF701,OFFSET(abbreviation[],0,ColumnLanguage),ColumnAbbreviation,FALSE),"")</f>
        <v/>
      </c>
      <c r="BW701" s="21" t="str">
        <f ca="1">IFERROR(VLOOKUP(AH701,OFFSET(abbreviation[],0,ColumnLanguage),ColumnAbbreviation,FALSE),"")</f>
        <v/>
      </c>
      <c r="BX701" s="21" t="str">
        <f ca="1">IFERROR(VLOOKUP(AJ701,OFFSET(abbreviation[],0,ColumnLanguage),ColumnAbbreviation,FALSE),"")</f>
        <v/>
      </c>
      <c r="BY701" s="21" t="str">
        <f ca="1">IFERROR(VLOOKUP(AL701,OFFSET(abbreviation[],0,ColumnLanguage),ColumnAbbreviation,FALSE),"")</f>
        <v/>
      </c>
      <c r="BZ701" s="21" t="str">
        <f t="shared" ca="1" si="72"/>
        <v>_</v>
      </c>
      <c r="CA701" s="21" t="str">
        <f ca="1">IFERROR(VLOOKUP(AP701,OFFSET(abbreviation[],0,ColumnLanguage),ColumnAbbreviation,FALSE),"")</f>
        <v/>
      </c>
      <c r="CB701" s="21" t="str">
        <f ca="1">IFERROR(VLOOKUP(AR701,OFFSET(abbreviation[],0,ColumnLanguage),ColumnAbbreviation,FALSE),"")</f>
        <v/>
      </c>
      <c r="CC701" s="21" t="str">
        <f ca="1">IFERROR(VLOOKUP(AT701,OFFSET(abbreviation[],0,ColumnLanguage),ColumnAbbreviation,FALSE),"")</f>
        <v/>
      </c>
      <c r="CD701" s="21" t="str">
        <f ca="1">IFERROR(VLOOKUP(AV701,OFFSET(abbreviation[],0,ColumnLanguage),ColumnAbbreviation,FALSE),"")</f>
        <v/>
      </c>
      <c r="CE701" s="21" t="str">
        <f t="shared" ca="1" si="73"/>
        <v>__</v>
      </c>
      <c r="CF701" s="21" t="str">
        <f ca="1">IFERROR(VLOOKUP(AX701,OFFSET(abbreviation[],0,ColumnLanguage),ColumnAbbreviation,FALSE),"")</f>
        <v/>
      </c>
      <c r="CG701" s="21" t="str">
        <f ca="1">IFERROR(VLOOKUP(AZ701,OFFSET(abbreviation[],0,ColumnLanguage),ColumnAbbreviation,FALSE),"")</f>
        <v/>
      </c>
      <c r="CH701" s="21" t="str">
        <f ca="1">IFERROR(VLOOKUP(BB701,OFFSET(abbreviation[],0,ColumnLanguage),ColumnAbbreviation,FALSE),"")</f>
        <v/>
      </c>
      <c r="CI701" s="21" t="str">
        <f ca="1">IFERROR(VLOOKUP(BD701,OFFSET(abbreviation[],0,ColumnLanguage),ColumnAbbreviation,FALSE),"")</f>
        <v/>
      </c>
      <c r="CJ701" s="21" t="str">
        <f ca="1">IFERROR(VLOOKUP(BF701,OFFSET(abbreviation[],0,ColumnLanguage),ColumnAbbreviation,FALSE),"")</f>
        <v/>
      </c>
      <c r="CK701" s="21" t="str">
        <f t="shared" ca="1" si="74"/>
        <v/>
      </c>
      <c r="CL701" s="21" t="str">
        <f t="shared" si="75"/>
        <v/>
      </c>
      <c r="CM701" s="52"/>
      <c r="CN701" s="57" t="str">
        <f t="shared" si="76"/>
        <v/>
      </c>
    </row>
    <row r="702" spans="14:92" x14ac:dyDescent="0.25">
      <c r="P702" s="60"/>
      <c r="Q702" s="13"/>
      <c r="V702" s="60"/>
      <c r="X702" s="61"/>
      <c r="AB702" s="60"/>
      <c r="AN702" s="54"/>
      <c r="AS702" s="15"/>
      <c r="BH702" s="52"/>
      <c r="BI702" s="21" t="str">
        <f ca="1">IFERROR(VLOOKUP(C702,OFFSET(abbreviation[],0,ColumnLanguage),ColumnAbbreviation,FALSE),"")</f>
        <v/>
      </c>
      <c r="BJ702" s="21" t="str">
        <f ca="1">IFERROR(VLOOKUP(E702,OFFSET(abbreviation[],0,ColumnLanguage),ColumnAbbreviation,FALSE),"")</f>
        <v/>
      </c>
      <c r="BK702" s="21" t="str">
        <f ca="1">IFERROR(VLOOKUP(G702,OFFSET(abbreviation[],0,ColumnLanguage),ColumnAbbreviation,FALSE),"")</f>
        <v/>
      </c>
      <c r="BL702" s="21" t="str">
        <f ca="1">IFERROR(VLOOKUP(I702,OFFSET(abbreviation[],0,ColumnLanguage),ColumnAbbreviation,FALSE),"")</f>
        <v/>
      </c>
      <c r="BM702" s="21" t="str">
        <f ca="1">IFERROR(VLOOKUP(K702,OFFSET(abbreviation[],0,ColumnLanguage),ColumnAbbreviation,FALSE),"")</f>
        <v/>
      </c>
      <c r="BN702" s="21" t="str">
        <f t="shared" ca="1" si="70"/>
        <v/>
      </c>
      <c r="BO702" s="21" t="str">
        <f ca="1">IFERROR(VLOOKUP(N702,OFFSET(abbreviation[],0,ColumnLanguage),ColumnAbbreviation,FALSE),"")</f>
        <v/>
      </c>
      <c r="BP702" s="21" t="str">
        <f ca="1">IFERROR(VLOOKUP(P702,OFFSET(abbreviation[],0,ColumnLanguage),ColumnAbbreviation,FALSE),"")</f>
        <v/>
      </c>
      <c r="BQ702" s="21" t="str">
        <f ca="1">IFERROR(VLOOKUP(T702,OFFSET(abbreviation[],0,ColumnLanguage),ColumnAbbreviation,FALSE),"")</f>
        <v/>
      </c>
      <c r="BR702" s="21" t="str">
        <f ca="1">IFERROR(VLOOKUP(V702,OFFSET(abbreviation[],0,ColumnLanguage),ColumnAbbreviation,FALSE),"")</f>
        <v/>
      </c>
      <c r="BS702" s="21" t="str">
        <f ca="1">IFERROR(VLOOKUP(Z702,OFFSET(abbreviation[],0,ColumnLanguage),ColumnAbbreviation,FALSE),"")</f>
        <v/>
      </c>
      <c r="BT702" s="21" t="str">
        <f ca="1">IFERROR(VLOOKUP(AB702,OFFSET(abbreviation[],0,ColumnLanguage),ColumnAbbreviation,FALSE),"")</f>
        <v/>
      </c>
      <c r="BU702" s="21" t="str">
        <f t="shared" ca="1" si="71"/>
        <v>__</v>
      </c>
      <c r="BV702" s="21" t="str">
        <f ca="1">IFERROR(VLOOKUP(AF702,OFFSET(abbreviation[],0,ColumnLanguage),ColumnAbbreviation,FALSE),"")</f>
        <v/>
      </c>
      <c r="BW702" s="21" t="str">
        <f ca="1">IFERROR(VLOOKUP(AH702,OFFSET(abbreviation[],0,ColumnLanguage),ColumnAbbreviation,FALSE),"")</f>
        <v/>
      </c>
      <c r="BX702" s="21" t="str">
        <f ca="1">IFERROR(VLOOKUP(AJ702,OFFSET(abbreviation[],0,ColumnLanguage),ColumnAbbreviation,FALSE),"")</f>
        <v/>
      </c>
      <c r="BY702" s="21" t="str">
        <f ca="1">IFERROR(VLOOKUP(AL702,OFFSET(abbreviation[],0,ColumnLanguage),ColumnAbbreviation,FALSE),"")</f>
        <v/>
      </c>
      <c r="BZ702" s="21" t="str">
        <f t="shared" ca="1" si="72"/>
        <v>_</v>
      </c>
      <c r="CA702" s="21" t="str">
        <f ca="1">IFERROR(VLOOKUP(AP702,OFFSET(abbreviation[],0,ColumnLanguage),ColumnAbbreviation,FALSE),"")</f>
        <v/>
      </c>
      <c r="CB702" s="21" t="str">
        <f ca="1">IFERROR(VLOOKUP(AR702,OFFSET(abbreviation[],0,ColumnLanguage),ColumnAbbreviation,FALSE),"")</f>
        <v/>
      </c>
      <c r="CC702" s="21" t="str">
        <f ca="1">IFERROR(VLOOKUP(AT702,OFFSET(abbreviation[],0,ColumnLanguage),ColumnAbbreviation,FALSE),"")</f>
        <v/>
      </c>
      <c r="CD702" s="21" t="str">
        <f ca="1">IFERROR(VLOOKUP(AV702,OFFSET(abbreviation[],0,ColumnLanguage),ColumnAbbreviation,FALSE),"")</f>
        <v/>
      </c>
      <c r="CE702" s="21" t="str">
        <f t="shared" ca="1" si="73"/>
        <v>__</v>
      </c>
      <c r="CF702" s="21" t="str">
        <f ca="1">IFERROR(VLOOKUP(AX702,OFFSET(abbreviation[],0,ColumnLanguage),ColumnAbbreviation,FALSE),"")</f>
        <v/>
      </c>
      <c r="CG702" s="21" t="str">
        <f ca="1">IFERROR(VLOOKUP(AZ702,OFFSET(abbreviation[],0,ColumnLanguage),ColumnAbbreviation,FALSE),"")</f>
        <v/>
      </c>
      <c r="CH702" s="21" t="str">
        <f ca="1">IFERROR(VLOOKUP(BB702,OFFSET(abbreviation[],0,ColumnLanguage),ColumnAbbreviation,FALSE),"")</f>
        <v/>
      </c>
      <c r="CI702" s="21" t="str">
        <f ca="1">IFERROR(VLOOKUP(BD702,OFFSET(abbreviation[],0,ColumnLanguage),ColumnAbbreviation,FALSE),"")</f>
        <v/>
      </c>
      <c r="CJ702" s="21" t="str">
        <f ca="1">IFERROR(VLOOKUP(BF702,OFFSET(abbreviation[],0,ColumnLanguage),ColumnAbbreviation,FALSE),"")</f>
        <v/>
      </c>
      <c r="CK702" s="21" t="str">
        <f t="shared" ca="1" si="74"/>
        <v/>
      </c>
      <c r="CL702" s="21" t="str">
        <f t="shared" si="75"/>
        <v/>
      </c>
      <c r="CM702" s="52"/>
      <c r="CN702" s="57" t="str">
        <f t="shared" si="76"/>
        <v/>
      </c>
    </row>
    <row r="703" spans="14:92" x14ac:dyDescent="0.25">
      <c r="P703" s="60"/>
      <c r="Q703" s="13"/>
      <c r="V703" s="60"/>
      <c r="X703" s="61"/>
      <c r="AB703" s="60"/>
      <c r="AN703" s="54"/>
      <c r="AS703" s="15"/>
      <c r="BH703" s="52"/>
      <c r="BI703" s="21" t="str">
        <f ca="1">IFERROR(VLOOKUP(C703,OFFSET(abbreviation[],0,ColumnLanguage),ColumnAbbreviation,FALSE),"")</f>
        <v/>
      </c>
      <c r="BJ703" s="21" t="str">
        <f ca="1">IFERROR(VLOOKUP(E703,OFFSET(abbreviation[],0,ColumnLanguage),ColumnAbbreviation,FALSE),"")</f>
        <v/>
      </c>
      <c r="BK703" s="21" t="str">
        <f ca="1">IFERROR(VLOOKUP(G703,OFFSET(abbreviation[],0,ColumnLanguage),ColumnAbbreviation,FALSE),"")</f>
        <v/>
      </c>
      <c r="BL703" s="21" t="str">
        <f ca="1">IFERROR(VLOOKUP(I703,OFFSET(abbreviation[],0,ColumnLanguage),ColumnAbbreviation,FALSE),"")</f>
        <v/>
      </c>
      <c r="BM703" s="21" t="str">
        <f ca="1">IFERROR(VLOOKUP(K703,OFFSET(abbreviation[],0,ColumnLanguage),ColumnAbbreviation,FALSE),"")</f>
        <v/>
      </c>
      <c r="BN703" s="21" t="str">
        <f t="shared" ca="1" si="70"/>
        <v/>
      </c>
      <c r="BO703" s="21" t="str">
        <f ca="1">IFERROR(VLOOKUP(N703,OFFSET(abbreviation[],0,ColumnLanguage),ColumnAbbreviation,FALSE),"")</f>
        <v/>
      </c>
      <c r="BP703" s="21" t="str">
        <f ca="1">IFERROR(VLOOKUP(P703,OFFSET(abbreviation[],0,ColumnLanguage),ColumnAbbreviation,FALSE),"")</f>
        <v/>
      </c>
      <c r="BQ703" s="21" t="str">
        <f ca="1">IFERROR(VLOOKUP(T703,OFFSET(abbreviation[],0,ColumnLanguage),ColumnAbbreviation,FALSE),"")</f>
        <v/>
      </c>
      <c r="BR703" s="21" t="str">
        <f ca="1">IFERROR(VLOOKUP(V703,OFFSET(abbreviation[],0,ColumnLanguage),ColumnAbbreviation,FALSE),"")</f>
        <v/>
      </c>
      <c r="BS703" s="21" t="str">
        <f ca="1">IFERROR(VLOOKUP(Z703,OFFSET(abbreviation[],0,ColumnLanguage),ColumnAbbreviation,FALSE),"")</f>
        <v/>
      </c>
      <c r="BT703" s="21" t="str">
        <f ca="1">IFERROR(VLOOKUP(AB703,OFFSET(abbreviation[],0,ColumnLanguage),ColumnAbbreviation,FALSE),"")</f>
        <v/>
      </c>
      <c r="BU703" s="21" t="str">
        <f t="shared" ca="1" si="71"/>
        <v>__</v>
      </c>
      <c r="BV703" s="21" t="str">
        <f ca="1">IFERROR(VLOOKUP(AF703,OFFSET(abbreviation[],0,ColumnLanguage),ColumnAbbreviation,FALSE),"")</f>
        <v/>
      </c>
      <c r="BW703" s="21" t="str">
        <f ca="1">IFERROR(VLOOKUP(AH703,OFFSET(abbreviation[],0,ColumnLanguage),ColumnAbbreviation,FALSE),"")</f>
        <v/>
      </c>
      <c r="BX703" s="21" t="str">
        <f ca="1">IFERROR(VLOOKUP(AJ703,OFFSET(abbreviation[],0,ColumnLanguage),ColumnAbbreviation,FALSE),"")</f>
        <v/>
      </c>
      <c r="BY703" s="21" t="str">
        <f ca="1">IFERROR(VLOOKUP(AL703,OFFSET(abbreviation[],0,ColumnLanguage),ColumnAbbreviation,FALSE),"")</f>
        <v/>
      </c>
      <c r="BZ703" s="21" t="str">
        <f t="shared" ca="1" si="72"/>
        <v>_</v>
      </c>
      <c r="CA703" s="21" t="str">
        <f ca="1">IFERROR(VLOOKUP(AP703,OFFSET(abbreviation[],0,ColumnLanguage),ColumnAbbreviation,FALSE),"")</f>
        <v/>
      </c>
      <c r="CB703" s="21" t="str">
        <f ca="1">IFERROR(VLOOKUP(AR703,OFFSET(abbreviation[],0,ColumnLanguage),ColumnAbbreviation,FALSE),"")</f>
        <v/>
      </c>
      <c r="CC703" s="21" t="str">
        <f ca="1">IFERROR(VLOOKUP(AT703,OFFSET(abbreviation[],0,ColumnLanguage),ColumnAbbreviation,FALSE),"")</f>
        <v/>
      </c>
      <c r="CD703" s="21" t="str">
        <f ca="1">IFERROR(VLOOKUP(AV703,OFFSET(abbreviation[],0,ColumnLanguage),ColumnAbbreviation,FALSE),"")</f>
        <v/>
      </c>
      <c r="CE703" s="21" t="str">
        <f t="shared" ca="1" si="73"/>
        <v>__</v>
      </c>
      <c r="CF703" s="21" t="str">
        <f ca="1">IFERROR(VLOOKUP(AX703,OFFSET(abbreviation[],0,ColumnLanguage),ColumnAbbreviation,FALSE),"")</f>
        <v/>
      </c>
      <c r="CG703" s="21" t="str">
        <f ca="1">IFERROR(VLOOKUP(AZ703,OFFSET(abbreviation[],0,ColumnLanguage),ColumnAbbreviation,FALSE),"")</f>
        <v/>
      </c>
      <c r="CH703" s="21" t="str">
        <f ca="1">IFERROR(VLOOKUP(BB703,OFFSET(abbreviation[],0,ColumnLanguage),ColumnAbbreviation,FALSE),"")</f>
        <v/>
      </c>
      <c r="CI703" s="21" t="str">
        <f ca="1">IFERROR(VLOOKUP(BD703,OFFSET(abbreviation[],0,ColumnLanguage),ColumnAbbreviation,FALSE),"")</f>
        <v/>
      </c>
      <c r="CJ703" s="21" t="str">
        <f ca="1">IFERROR(VLOOKUP(BF703,OFFSET(abbreviation[],0,ColumnLanguage),ColumnAbbreviation,FALSE),"")</f>
        <v/>
      </c>
      <c r="CK703" s="21" t="str">
        <f t="shared" ca="1" si="74"/>
        <v/>
      </c>
      <c r="CL703" s="21" t="str">
        <f t="shared" si="75"/>
        <v/>
      </c>
      <c r="CM703" s="52"/>
      <c r="CN703" s="57" t="str">
        <f t="shared" si="76"/>
        <v/>
      </c>
    </row>
    <row r="704" spans="14:92" x14ac:dyDescent="0.25">
      <c r="P704" s="60"/>
      <c r="Q704" s="13"/>
      <c r="V704" s="60"/>
      <c r="X704" s="61"/>
      <c r="AB704" s="60"/>
      <c r="AN704" s="54"/>
      <c r="AS704" s="15"/>
      <c r="BH704" s="52"/>
      <c r="BI704" s="21" t="str">
        <f ca="1">IFERROR(VLOOKUP(C704,OFFSET(abbreviation[],0,ColumnLanguage),ColumnAbbreviation,FALSE),"")</f>
        <v/>
      </c>
      <c r="BJ704" s="21" t="str">
        <f ca="1">IFERROR(VLOOKUP(E704,OFFSET(abbreviation[],0,ColumnLanguage),ColumnAbbreviation,FALSE),"")</f>
        <v/>
      </c>
      <c r="BK704" s="21" t="str">
        <f ca="1">IFERROR(VLOOKUP(G704,OFFSET(abbreviation[],0,ColumnLanguage),ColumnAbbreviation,FALSE),"")</f>
        <v/>
      </c>
      <c r="BL704" s="21" t="str">
        <f ca="1">IFERROR(VLOOKUP(I704,OFFSET(abbreviation[],0,ColumnLanguage),ColumnAbbreviation,FALSE),"")</f>
        <v/>
      </c>
      <c r="BM704" s="21" t="str">
        <f ca="1">IFERROR(VLOOKUP(K704,OFFSET(abbreviation[],0,ColumnLanguage),ColumnAbbreviation,FALSE),"")</f>
        <v/>
      </c>
      <c r="BN704" s="21" t="str">
        <f t="shared" ca="1" si="70"/>
        <v/>
      </c>
      <c r="BO704" s="21" t="str">
        <f ca="1">IFERROR(VLOOKUP(N704,OFFSET(abbreviation[],0,ColumnLanguage),ColumnAbbreviation,FALSE),"")</f>
        <v/>
      </c>
      <c r="BP704" s="21" t="str">
        <f ca="1">IFERROR(VLOOKUP(P704,OFFSET(abbreviation[],0,ColumnLanguage),ColumnAbbreviation,FALSE),"")</f>
        <v/>
      </c>
      <c r="BQ704" s="21" t="str">
        <f ca="1">IFERROR(VLOOKUP(T704,OFFSET(abbreviation[],0,ColumnLanguage),ColumnAbbreviation,FALSE),"")</f>
        <v/>
      </c>
      <c r="BR704" s="21" t="str">
        <f ca="1">IFERROR(VLOOKUP(V704,OFFSET(abbreviation[],0,ColumnLanguage),ColumnAbbreviation,FALSE),"")</f>
        <v/>
      </c>
      <c r="BS704" s="21" t="str">
        <f ca="1">IFERROR(VLOOKUP(Z704,OFFSET(abbreviation[],0,ColumnLanguage),ColumnAbbreviation,FALSE),"")</f>
        <v/>
      </c>
      <c r="BT704" s="21" t="str">
        <f ca="1">IFERROR(VLOOKUP(AB704,OFFSET(abbreviation[],0,ColumnLanguage),ColumnAbbreviation,FALSE),"")</f>
        <v/>
      </c>
      <c r="BU704" s="21" t="str">
        <f t="shared" ca="1" si="71"/>
        <v>__</v>
      </c>
      <c r="BV704" s="21" t="str">
        <f ca="1">IFERROR(VLOOKUP(AF704,OFFSET(abbreviation[],0,ColumnLanguage),ColumnAbbreviation,FALSE),"")</f>
        <v/>
      </c>
      <c r="BW704" s="21" t="str">
        <f ca="1">IFERROR(VLOOKUP(AH704,OFFSET(abbreviation[],0,ColumnLanguage),ColumnAbbreviation,FALSE),"")</f>
        <v/>
      </c>
      <c r="BX704" s="21" t="str">
        <f ca="1">IFERROR(VLOOKUP(AJ704,OFFSET(abbreviation[],0,ColumnLanguage),ColumnAbbreviation,FALSE),"")</f>
        <v/>
      </c>
      <c r="BY704" s="21" t="str">
        <f ca="1">IFERROR(VLOOKUP(AL704,OFFSET(abbreviation[],0,ColumnLanguage),ColumnAbbreviation,FALSE),"")</f>
        <v/>
      </c>
      <c r="BZ704" s="21" t="str">
        <f t="shared" ca="1" si="72"/>
        <v>_</v>
      </c>
      <c r="CA704" s="21" t="str">
        <f ca="1">IFERROR(VLOOKUP(AP704,OFFSET(abbreviation[],0,ColumnLanguage),ColumnAbbreviation,FALSE),"")</f>
        <v/>
      </c>
      <c r="CB704" s="21" t="str">
        <f ca="1">IFERROR(VLOOKUP(AR704,OFFSET(abbreviation[],0,ColumnLanguage),ColumnAbbreviation,FALSE),"")</f>
        <v/>
      </c>
      <c r="CC704" s="21" t="str">
        <f ca="1">IFERROR(VLOOKUP(AT704,OFFSET(abbreviation[],0,ColumnLanguage),ColumnAbbreviation,FALSE),"")</f>
        <v/>
      </c>
      <c r="CD704" s="21" t="str">
        <f ca="1">IFERROR(VLOOKUP(AV704,OFFSET(abbreviation[],0,ColumnLanguage),ColumnAbbreviation,FALSE),"")</f>
        <v/>
      </c>
      <c r="CE704" s="21" t="str">
        <f t="shared" ca="1" si="73"/>
        <v>__</v>
      </c>
      <c r="CF704" s="21" t="str">
        <f ca="1">IFERROR(VLOOKUP(AX704,OFFSET(abbreviation[],0,ColumnLanguage),ColumnAbbreviation,FALSE),"")</f>
        <v/>
      </c>
      <c r="CG704" s="21" t="str">
        <f ca="1">IFERROR(VLOOKUP(AZ704,OFFSET(abbreviation[],0,ColumnLanguage),ColumnAbbreviation,FALSE),"")</f>
        <v/>
      </c>
      <c r="CH704" s="21" t="str">
        <f ca="1">IFERROR(VLOOKUP(BB704,OFFSET(abbreviation[],0,ColumnLanguage),ColumnAbbreviation,FALSE),"")</f>
        <v/>
      </c>
      <c r="CI704" s="21" t="str">
        <f ca="1">IFERROR(VLOOKUP(BD704,OFFSET(abbreviation[],0,ColumnLanguage),ColumnAbbreviation,FALSE),"")</f>
        <v/>
      </c>
      <c r="CJ704" s="21" t="str">
        <f ca="1">IFERROR(VLOOKUP(BF704,OFFSET(abbreviation[],0,ColumnLanguage),ColumnAbbreviation,FALSE),"")</f>
        <v/>
      </c>
      <c r="CK704" s="21" t="str">
        <f t="shared" ca="1" si="74"/>
        <v/>
      </c>
      <c r="CL704" s="21" t="str">
        <f t="shared" si="75"/>
        <v/>
      </c>
      <c r="CM704" s="52"/>
      <c r="CN704" s="57" t="str">
        <f t="shared" si="76"/>
        <v/>
      </c>
    </row>
    <row r="705" spans="14:92" x14ac:dyDescent="0.25">
      <c r="P705" s="60"/>
      <c r="Q705" s="13"/>
      <c r="V705" s="60"/>
      <c r="X705" s="61"/>
      <c r="AB705" s="60"/>
      <c r="AN705" s="54"/>
      <c r="AS705" s="15"/>
      <c r="BH705" s="52"/>
      <c r="BI705" s="21" t="str">
        <f ca="1">IFERROR(VLOOKUP(C705,OFFSET(abbreviation[],0,ColumnLanguage),ColumnAbbreviation,FALSE),"")</f>
        <v/>
      </c>
      <c r="BJ705" s="21" t="str">
        <f ca="1">IFERROR(VLOOKUP(E705,OFFSET(abbreviation[],0,ColumnLanguage),ColumnAbbreviation,FALSE),"")</f>
        <v/>
      </c>
      <c r="BK705" s="21" t="str">
        <f ca="1">IFERROR(VLOOKUP(G705,OFFSET(abbreviation[],0,ColumnLanguage),ColumnAbbreviation,FALSE),"")</f>
        <v/>
      </c>
      <c r="BL705" s="21" t="str">
        <f ca="1">IFERROR(VLOOKUP(I705,OFFSET(abbreviation[],0,ColumnLanguage),ColumnAbbreviation,FALSE),"")</f>
        <v/>
      </c>
      <c r="BM705" s="21" t="str">
        <f ca="1">IFERROR(VLOOKUP(K705,OFFSET(abbreviation[],0,ColumnLanguage),ColumnAbbreviation,FALSE),"")</f>
        <v/>
      </c>
      <c r="BN705" s="21" t="str">
        <f t="shared" ca="1" si="70"/>
        <v/>
      </c>
      <c r="BO705" s="21" t="str">
        <f ca="1">IFERROR(VLOOKUP(N705,OFFSET(abbreviation[],0,ColumnLanguage),ColumnAbbreviation,FALSE),"")</f>
        <v/>
      </c>
      <c r="BP705" s="21" t="str">
        <f ca="1">IFERROR(VLOOKUP(P705,OFFSET(abbreviation[],0,ColumnLanguage),ColumnAbbreviation,FALSE),"")</f>
        <v/>
      </c>
      <c r="BQ705" s="21" t="str">
        <f ca="1">IFERROR(VLOOKUP(T705,OFFSET(abbreviation[],0,ColumnLanguage),ColumnAbbreviation,FALSE),"")</f>
        <v/>
      </c>
      <c r="BR705" s="21" t="str">
        <f ca="1">IFERROR(VLOOKUP(V705,OFFSET(abbreviation[],0,ColumnLanguage),ColumnAbbreviation,FALSE),"")</f>
        <v/>
      </c>
      <c r="BS705" s="21" t="str">
        <f ca="1">IFERROR(VLOOKUP(Z705,OFFSET(abbreviation[],0,ColumnLanguage),ColumnAbbreviation,FALSE),"")</f>
        <v/>
      </c>
      <c r="BT705" s="21" t="str">
        <f ca="1">IFERROR(VLOOKUP(AB705,OFFSET(abbreviation[],0,ColumnLanguage),ColumnAbbreviation,FALSE),"")</f>
        <v/>
      </c>
      <c r="BU705" s="21" t="str">
        <f t="shared" ca="1" si="71"/>
        <v>__</v>
      </c>
      <c r="BV705" s="21" t="str">
        <f ca="1">IFERROR(VLOOKUP(AF705,OFFSET(abbreviation[],0,ColumnLanguage),ColumnAbbreviation,FALSE),"")</f>
        <v/>
      </c>
      <c r="BW705" s="21" t="str">
        <f ca="1">IFERROR(VLOOKUP(AH705,OFFSET(abbreviation[],0,ColumnLanguage),ColumnAbbreviation,FALSE),"")</f>
        <v/>
      </c>
      <c r="BX705" s="21" t="str">
        <f ca="1">IFERROR(VLOOKUP(AJ705,OFFSET(abbreviation[],0,ColumnLanguage),ColumnAbbreviation,FALSE),"")</f>
        <v/>
      </c>
      <c r="BY705" s="21" t="str">
        <f ca="1">IFERROR(VLOOKUP(AL705,OFFSET(abbreviation[],0,ColumnLanguage),ColumnAbbreviation,FALSE),"")</f>
        <v/>
      </c>
      <c r="BZ705" s="21" t="str">
        <f t="shared" ca="1" si="72"/>
        <v>_</v>
      </c>
      <c r="CA705" s="21" t="str">
        <f ca="1">IFERROR(VLOOKUP(AP705,OFFSET(abbreviation[],0,ColumnLanguage),ColumnAbbreviation,FALSE),"")</f>
        <v/>
      </c>
      <c r="CB705" s="21" t="str">
        <f ca="1">IFERROR(VLOOKUP(AR705,OFFSET(abbreviation[],0,ColumnLanguage),ColumnAbbreviation,FALSE),"")</f>
        <v/>
      </c>
      <c r="CC705" s="21" t="str">
        <f ca="1">IFERROR(VLOOKUP(AT705,OFFSET(abbreviation[],0,ColumnLanguage),ColumnAbbreviation,FALSE),"")</f>
        <v/>
      </c>
      <c r="CD705" s="21" t="str">
        <f ca="1">IFERROR(VLOOKUP(AV705,OFFSET(abbreviation[],0,ColumnLanguage),ColumnAbbreviation,FALSE),"")</f>
        <v/>
      </c>
      <c r="CE705" s="21" t="str">
        <f t="shared" ca="1" si="73"/>
        <v>__</v>
      </c>
      <c r="CF705" s="21" t="str">
        <f ca="1">IFERROR(VLOOKUP(AX705,OFFSET(abbreviation[],0,ColumnLanguage),ColumnAbbreviation,FALSE),"")</f>
        <v/>
      </c>
      <c r="CG705" s="21" t="str">
        <f ca="1">IFERROR(VLOOKUP(AZ705,OFFSET(abbreviation[],0,ColumnLanguage),ColumnAbbreviation,FALSE),"")</f>
        <v/>
      </c>
      <c r="CH705" s="21" t="str">
        <f ca="1">IFERROR(VLOOKUP(BB705,OFFSET(abbreviation[],0,ColumnLanguage),ColumnAbbreviation,FALSE),"")</f>
        <v/>
      </c>
      <c r="CI705" s="21" t="str">
        <f ca="1">IFERROR(VLOOKUP(BD705,OFFSET(abbreviation[],0,ColumnLanguage),ColumnAbbreviation,FALSE),"")</f>
        <v/>
      </c>
      <c r="CJ705" s="21" t="str">
        <f ca="1">IFERROR(VLOOKUP(BF705,OFFSET(abbreviation[],0,ColumnLanguage),ColumnAbbreviation,FALSE),"")</f>
        <v/>
      </c>
      <c r="CK705" s="21" t="str">
        <f t="shared" ca="1" si="74"/>
        <v/>
      </c>
      <c r="CL705" s="21" t="str">
        <f t="shared" si="75"/>
        <v/>
      </c>
      <c r="CM705" s="52"/>
      <c r="CN705" s="57" t="str">
        <f t="shared" si="76"/>
        <v/>
      </c>
    </row>
    <row r="706" spans="14:92" x14ac:dyDescent="0.25">
      <c r="P706" s="60"/>
      <c r="Q706" s="13"/>
      <c r="V706" s="60"/>
      <c r="X706" s="61"/>
      <c r="AB706" s="60"/>
      <c r="AN706" s="54"/>
      <c r="AS706" s="15"/>
      <c r="BH706" s="52"/>
      <c r="BI706" s="21" t="str">
        <f ca="1">IFERROR(VLOOKUP(C706,OFFSET(abbreviation[],0,ColumnLanguage),ColumnAbbreviation,FALSE),"")</f>
        <v/>
      </c>
      <c r="BJ706" s="21" t="str">
        <f ca="1">IFERROR(VLOOKUP(E706,OFFSET(abbreviation[],0,ColumnLanguage),ColumnAbbreviation,FALSE),"")</f>
        <v/>
      </c>
      <c r="BK706" s="21" t="str">
        <f ca="1">IFERROR(VLOOKUP(G706,OFFSET(abbreviation[],0,ColumnLanguage),ColumnAbbreviation,FALSE),"")</f>
        <v/>
      </c>
      <c r="BL706" s="21" t="str">
        <f ca="1">IFERROR(VLOOKUP(I706,OFFSET(abbreviation[],0,ColumnLanguage),ColumnAbbreviation,FALSE),"")</f>
        <v/>
      </c>
      <c r="BM706" s="21" t="str">
        <f ca="1">IFERROR(VLOOKUP(K706,OFFSET(abbreviation[],0,ColumnLanguage),ColumnAbbreviation,FALSE),"")</f>
        <v/>
      </c>
      <c r="BN706" s="21" t="str">
        <f t="shared" ca="1" si="70"/>
        <v/>
      </c>
      <c r="BO706" s="21" t="str">
        <f ca="1">IFERROR(VLOOKUP(N706,OFFSET(abbreviation[],0,ColumnLanguage),ColumnAbbreviation,FALSE),"")</f>
        <v/>
      </c>
      <c r="BP706" s="21" t="str">
        <f ca="1">IFERROR(VLOOKUP(P706,OFFSET(abbreviation[],0,ColumnLanguage),ColumnAbbreviation,FALSE),"")</f>
        <v/>
      </c>
      <c r="BQ706" s="21" t="str">
        <f ca="1">IFERROR(VLOOKUP(T706,OFFSET(abbreviation[],0,ColumnLanguage),ColumnAbbreviation,FALSE),"")</f>
        <v/>
      </c>
      <c r="BR706" s="21" t="str">
        <f ca="1">IFERROR(VLOOKUP(V706,OFFSET(abbreviation[],0,ColumnLanguage),ColumnAbbreviation,FALSE),"")</f>
        <v/>
      </c>
      <c r="BS706" s="21" t="str">
        <f ca="1">IFERROR(VLOOKUP(Z706,OFFSET(abbreviation[],0,ColumnLanguage),ColumnAbbreviation,FALSE),"")</f>
        <v/>
      </c>
      <c r="BT706" s="21" t="str">
        <f ca="1">IFERROR(VLOOKUP(AB706,OFFSET(abbreviation[],0,ColumnLanguage),ColumnAbbreviation,FALSE),"")</f>
        <v/>
      </c>
      <c r="BU706" s="21" t="str">
        <f t="shared" ca="1" si="71"/>
        <v>__</v>
      </c>
      <c r="BV706" s="21" t="str">
        <f ca="1">IFERROR(VLOOKUP(AF706,OFFSET(abbreviation[],0,ColumnLanguage),ColumnAbbreviation,FALSE),"")</f>
        <v/>
      </c>
      <c r="BW706" s="21" t="str">
        <f ca="1">IFERROR(VLOOKUP(AH706,OFFSET(abbreviation[],0,ColumnLanguage),ColumnAbbreviation,FALSE),"")</f>
        <v/>
      </c>
      <c r="BX706" s="21" t="str">
        <f ca="1">IFERROR(VLOOKUP(AJ706,OFFSET(abbreviation[],0,ColumnLanguage),ColumnAbbreviation,FALSE),"")</f>
        <v/>
      </c>
      <c r="BY706" s="21" t="str">
        <f ca="1">IFERROR(VLOOKUP(AL706,OFFSET(abbreviation[],0,ColumnLanguage),ColumnAbbreviation,FALSE),"")</f>
        <v/>
      </c>
      <c r="BZ706" s="21" t="str">
        <f t="shared" ca="1" si="72"/>
        <v>_</v>
      </c>
      <c r="CA706" s="21" t="str">
        <f ca="1">IFERROR(VLOOKUP(AP706,OFFSET(abbreviation[],0,ColumnLanguage),ColumnAbbreviation,FALSE),"")</f>
        <v/>
      </c>
      <c r="CB706" s="21" t="str">
        <f ca="1">IFERROR(VLOOKUP(AR706,OFFSET(abbreviation[],0,ColumnLanguage),ColumnAbbreviation,FALSE),"")</f>
        <v/>
      </c>
      <c r="CC706" s="21" t="str">
        <f ca="1">IFERROR(VLOOKUP(AT706,OFFSET(abbreviation[],0,ColumnLanguage),ColumnAbbreviation,FALSE),"")</f>
        <v/>
      </c>
      <c r="CD706" s="21" t="str">
        <f ca="1">IFERROR(VLOOKUP(AV706,OFFSET(abbreviation[],0,ColumnLanguage),ColumnAbbreviation,FALSE),"")</f>
        <v/>
      </c>
      <c r="CE706" s="21" t="str">
        <f t="shared" ca="1" si="73"/>
        <v>__</v>
      </c>
      <c r="CF706" s="21" t="str">
        <f ca="1">IFERROR(VLOOKUP(AX706,OFFSET(abbreviation[],0,ColumnLanguage),ColumnAbbreviation,FALSE),"")</f>
        <v/>
      </c>
      <c r="CG706" s="21" t="str">
        <f ca="1">IFERROR(VLOOKUP(AZ706,OFFSET(abbreviation[],0,ColumnLanguage),ColumnAbbreviation,FALSE),"")</f>
        <v/>
      </c>
      <c r="CH706" s="21" t="str">
        <f ca="1">IFERROR(VLOOKUP(BB706,OFFSET(abbreviation[],0,ColumnLanguage),ColumnAbbreviation,FALSE),"")</f>
        <v/>
      </c>
      <c r="CI706" s="21" t="str">
        <f ca="1">IFERROR(VLOOKUP(BD706,OFFSET(abbreviation[],0,ColumnLanguage),ColumnAbbreviation,FALSE),"")</f>
        <v/>
      </c>
      <c r="CJ706" s="21" t="str">
        <f ca="1">IFERROR(VLOOKUP(BF706,OFFSET(abbreviation[],0,ColumnLanguage),ColumnAbbreviation,FALSE),"")</f>
        <v/>
      </c>
      <c r="CK706" s="21" t="str">
        <f t="shared" ca="1" si="74"/>
        <v/>
      </c>
      <c r="CL706" s="21" t="str">
        <f t="shared" si="75"/>
        <v/>
      </c>
      <c r="CM706" s="52"/>
      <c r="CN706" s="57" t="str">
        <f t="shared" si="76"/>
        <v/>
      </c>
    </row>
    <row r="707" spans="14:92" x14ac:dyDescent="0.25">
      <c r="N707" s="10"/>
      <c r="P707" s="60"/>
      <c r="Q707" s="13"/>
      <c r="V707" s="60"/>
      <c r="X707" s="61"/>
      <c r="AB707" s="60"/>
      <c r="AN707" s="54"/>
      <c r="AS707" s="15"/>
      <c r="BH707" s="52"/>
      <c r="BI707" s="21" t="str">
        <f ca="1">IFERROR(VLOOKUP(C707,OFFSET(abbreviation[],0,ColumnLanguage),ColumnAbbreviation,FALSE),"")</f>
        <v/>
      </c>
      <c r="BJ707" s="21" t="str">
        <f ca="1">IFERROR(VLOOKUP(E707,OFFSET(abbreviation[],0,ColumnLanguage),ColumnAbbreviation,FALSE),"")</f>
        <v/>
      </c>
      <c r="BK707" s="21" t="str">
        <f ca="1">IFERROR(VLOOKUP(G707,OFFSET(abbreviation[],0,ColumnLanguage),ColumnAbbreviation,FALSE),"")</f>
        <v/>
      </c>
      <c r="BL707" s="21" t="str">
        <f ca="1">IFERROR(VLOOKUP(I707,OFFSET(abbreviation[],0,ColumnLanguage),ColumnAbbreviation,FALSE),"")</f>
        <v/>
      </c>
      <c r="BM707" s="21" t="str">
        <f ca="1">IFERROR(VLOOKUP(K707,OFFSET(abbreviation[],0,ColumnLanguage),ColumnAbbreviation,FALSE),"")</f>
        <v/>
      </c>
      <c r="BN707" s="21" t="str">
        <f t="shared" ca="1" si="70"/>
        <v/>
      </c>
      <c r="BO707" s="21" t="str">
        <f ca="1">IFERROR(VLOOKUP(N707,OFFSET(abbreviation[],0,ColumnLanguage),ColumnAbbreviation,FALSE),"")</f>
        <v/>
      </c>
      <c r="BP707" s="21" t="str">
        <f ca="1">IFERROR(VLOOKUP(P707,OFFSET(abbreviation[],0,ColumnLanguage),ColumnAbbreviation,FALSE),"")</f>
        <v/>
      </c>
      <c r="BQ707" s="21" t="str">
        <f ca="1">IFERROR(VLOOKUP(T707,OFFSET(abbreviation[],0,ColumnLanguage),ColumnAbbreviation,FALSE),"")</f>
        <v/>
      </c>
      <c r="BR707" s="21" t="str">
        <f ca="1">IFERROR(VLOOKUP(V707,OFFSET(abbreviation[],0,ColumnLanguage),ColumnAbbreviation,FALSE),"")</f>
        <v/>
      </c>
      <c r="BS707" s="21" t="str">
        <f ca="1">IFERROR(VLOOKUP(Z707,OFFSET(abbreviation[],0,ColumnLanguage),ColumnAbbreviation,FALSE),"")</f>
        <v/>
      </c>
      <c r="BT707" s="21" t="str">
        <f ca="1">IFERROR(VLOOKUP(AB707,OFFSET(abbreviation[],0,ColumnLanguage),ColumnAbbreviation,FALSE),"")</f>
        <v/>
      </c>
      <c r="BU707" s="21" t="str">
        <f t="shared" ca="1" si="71"/>
        <v>__</v>
      </c>
      <c r="BV707" s="21" t="str">
        <f ca="1">IFERROR(VLOOKUP(AF707,OFFSET(abbreviation[],0,ColumnLanguage),ColumnAbbreviation,FALSE),"")</f>
        <v/>
      </c>
      <c r="BW707" s="21" t="str">
        <f ca="1">IFERROR(VLOOKUP(AH707,OFFSET(abbreviation[],0,ColumnLanguage),ColumnAbbreviation,FALSE),"")</f>
        <v/>
      </c>
      <c r="BX707" s="21" t="str">
        <f ca="1">IFERROR(VLOOKUP(AJ707,OFFSET(abbreviation[],0,ColumnLanguage),ColumnAbbreviation,FALSE),"")</f>
        <v/>
      </c>
      <c r="BY707" s="21" t="str">
        <f ca="1">IFERROR(VLOOKUP(AL707,OFFSET(abbreviation[],0,ColumnLanguage),ColumnAbbreviation,FALSE),"")</f>
        <v/>
      </c>
      <c r="BZ707" s="21" t="str">
        <f t="shared" ca="1" si="72"/>
        <v>_</v>
      </c>
      <c r="CA707" s="21" t="str">
        <f ca="1">IFERROR(VLOOKUP(AP707,OFFSET(abbreviation[],0,ColumnLanguage),ColumnAbbreviation,FALSE),"")</f>
        <v/>
      </c>
      <c r="CB707" s="21" t="str">
        <f ca="1">IFERROR(VLOOKUP(AR707,OFFSET(abbreviation[],0,ColumnLanguage),ColumnAbbreviation,FALSE),"")</f>
        <v/>
      </c>
      <c r="CC707" s="21" t="str">
        <f ca="1">IFERROR(VLOOKUP(AT707,OFFSET(abbreviation[],0,ColumnLanguage),ColumnAbbreviation,FALSE),"")</f>
        <v/>
      </c>
      <c r="CD707" s="21" t="str">
        <f ca="1">IFERROR(VLOOKUP(AV707,OFFSET(abbreviation[],0,ColumnLanguage),ColumnAbbreviation,FALSE),"")</f>
        <v/>
      </c>
      <c r="CE707" s="21" t="str">
        <f t="shared" ca="1" si="73"/>
        <v>__</v>
      </c>
      <c r="CF707" s="21" t="str">
        <f ca="1">IFERROR(VLOOKUP(AX707,OFFSET(abbreviation[],0,ColumnLanguage),ColumnAbbreviation,FALSE),"")</f>
        <v/>
      </c>
      <c r="CG707" s="21" t="str">
        <f ca="1">IFERROR(VLOOKUP(AZ707,OFFSET(abbreviation[],0,ColumnLanguage),ColumnAbbreviation,FALSE),"")</f>
        <v/>
      </c>
      <c r="CH707" s="21" t="str">
        <f ca="1">IFERROR(VLOOKUP(BB707,OFFSET(abbreviation[],0,ColumnLanguage),ColumnAbbreviation,FALSE),"")</f>
        <v/>
      </c>
      <c r="CI707" s="21" t="str">
        <f ca="1">IFERROR(VLOOKUP(BD707,OFFSET(abbreviation[],0,ColumnLanguage),ColumnAbbreviation,FALSE),"")</f>
        <v/>
      </c>
      <c r="CJ707" s="21" t="str">
        <f ca="1">IFERROR(VLOOKUP(BF707,OFFSET(abbreviation[],0,ColumnLanguage),ColumnAbbreviation,FALSE),"")</f>
        <v/>
      </c>
      <c r="CK707" s="21" t="str">
        <f t="shared" ca="1" si="74"/>
        <v/>
      </c>
      <c r="CL707" s="21" t="str">
        <f t="shared" si="75"/>
        <v/>
      </c>
      <c r="CM707" s="52"/>
      <c r="CN707" s="57" t="str">
        <f t="shared" si="76"/>
        <v/>
      </c>
    </row>
    <row r="708" spans="14:92" x14ac:dyDescent="0.25">
      <c r="N708" s="10"/>
      <c r="P708" s="60"/>
      <c r="Q708" s="13"/>
      <c r="V708" s="60"/>
      <c r="X708" s="61"/>
      <c r="AB708" s="60"/>
      <c r="AN708" s="54"/>
      <c r="AS708" s="15"/>
      <c r="BH708" s="52"/>
      <c r="BI708" s="21" t="str">
        <f ca="1">IFERROR(VLOOKUP(C708,OFFSET(abbreviation[],0,ColumnLanguage),ColumnAbbreviation,FALSE),"")</f>
        <v/>
      </c>
      <c r="BJ708" s="21" t="str">
        <f ca="1">IFERROR(VLOOKUP(E708,OFFSET(abbreviation[],0,ColumnLanguage),ColumnAbbreviation,FALSE),"")</f>
        <v/>
      </c>
      <c r="BK708" s="21" t="str">
        <f ca="1">IFERROR(VLOOKUP(G708,OFFSET(abbreviation[],0,ColumnLanguage),ColumnAbbreviation,FALSE),"")</f>
        <v/>
      </c>
      <c r="BL708" s="21" t="str">
        <f ca="1">IFERROR(VLOOKUP(I708,OFFSET(abbreviation[],0,ColumnLanguage),ColumnAbbreviation,FALSE),"")</f>
        <v/>
      </c>
      <c r="BM708" s="21" t="str">
        <f ca="1">IFERROR(VLOOKUP(K708,OFFSET(abbreviation[],0,ColumnLanguage),ColumnAbbreviation,FALSE),"")</f>
        <v/>
      </c>
      <c r="BN708" s="21" t="str">
        <f t="shared" ref="BN708:BN771" ca="1" si="77">(BI708&amp;IF(OR(ISNUMBER(D708),ISTEXT(D708)),"-"&amp;D708,))&amp;(IF(ISTEXT(E708),"_",)&amp;BJ708&amp;IF(OR(ISNUMBER(F708),ISTEXT(F708)),"-"&amp;F708,))&amp;(IF(ISTEXT(G708),"_",)&amp;BK708&amp;IF(OR(ISNUMBER(H708),ISTEXT(H708)),"-"&amp;H708,))&amp;(IF(ISTEXT(I708),"_",)&amp;BL708&amp;IF(OR(ISNUMBER(J708),ISTEXT(J708)),"-"&amp;J708,))&amp;(IF(ISTEXT(K708),"_",)&amp;BM708&amp;IF(OR(ISNUMBER(L708),ISTEXT(L708)),"-"&amp;L708,)&amp;IF(AND(ISTEXT(BI708),BI708&lt;&gt;""),"_._",))</f>
        <v/>
      </c>
      <c r="BO708" s="21" t="str">
        <f ca="1">IFERROR(VLOOKUP(N708,OFFSET(abbreviation[],0,ColumnLanguage),ColumnAbbreviation,FALSE),"")</f>
        <v/>
      </c>
      <c r="BP708" s="21" t="str">
        <f ca="1">IFERROR(VLOOKUP(P708,OFFSET(abbreviation[],0,ColumnLanguage),ColumnAbbreviation,FALSE),"")</f>
        <v/>
      </c>
      <c r="BQ708" s="21" t="str">
        <f ca="1">IFERROR(VLOOKUP(T708,OFFSET(abbreviation[],0,ColumnLanguage),ColumnAbbreviation,FALSE),"")</f>
        <v/>
      </c>
      <c r="BR708" s="21" t="str">
        <f ca="1">IFERROR(VLOOKUP(V708,OFFSET(abbreviation[],0,ColumnLanguage),ColumnAbbreviation,FALSE),"")</f>
        <v/>
      </c>
      <c r="BS708" s="21" t="str">
        <f ca="1">IFERROR(VLOOKUP(Z708,OFFSET(abbreviation[],0,ColumnLanguage),ColumnAbbreviation,FALSE),"")</f>
        <v/>
      </c>
      <c r="BT708" s="21" t="str">
        <f ca="1">IFERROR(VLOOKUP(AB708,OFFSET(abbreviation[],0,ColumnLanguage),ColumnAbbreviation,FALSE),"")</f>
        <v/>
      </c>
      <c r="BU708" s="21" t="str">
        <f t="shared" ref="BU708:BU771" ca="1" si="78">(BO708&amp;IF(ISTEXT(P708),"."&amp;BP708,)&amp;IF(OR(ISTEXT(R708),ISNUMBER(R708)),"-"&amp;R708,))&amp;("_"&amp;BQ708&amp;IF(ISTEXT(V708),"."&amp;BR708,)&amp;IF(OR(ISTEXT(X708),ISNUMBER(X708)),"-"&amp;X708,))&amp;("_"&amp;BS708&amp;IF(ISTEXT(AB708),"."&amp;BT708,)&amp;IF(OR(ISTEXT(AD708),ISNUMBER(AD708)),"-"&amp;AD708,))</f>
        <v>__</v>
      </c>
      <c r="BV708" s="21" t="str">
        <f ca="1">IFERROR(VLOOKUP(AF708,OFFSET(abbreviation[],0,ColumnLanguage),ColumnAbbreviation,FALSE),"")</f>
        <v/>
      </c>
      <c r="BW708" s="21" t="str">
        <f ca="1">IFERROR(VLOOKUP(AH708,OFFSET(abbreviation[],0,ColumnLanguage),ColumnAbbreviation,FALSE),"")</f>
        <v/>
      </c>
      <c r="BX708" s="21" t="str">
        <f ca="1">IFERROR(VLOOKUP(AJ708,OFFSET(abbreviation[],0,ColumnLanguage),ColumnAbbreviation,FALSE),"")</f>
        <v/>
      </c>
      <c r="BY708" s="21" t="str">
        <f ca="1">IFERROR(VLOOKUP(AL708,OFFSET(abbreviation[],0,ColumnLanguage),ColumnAbbreviation,FALSE),"")</f>
        <v/>
      </c>
      <c r="BZ708" s="21" t="str">
        <f t="shared" ref="BZ708:BZ771" ca="1" si="79">("_"&amp;BV708&amp;IF(ISTEXT(AH708),"."&amp;BW708,)&amp;IF(ISTEXT(AJ708),"."&amp;BX708,)&amp;IF(ISTEXT(AL708),"."&amp;BY708,)&amp;IF(OR(ISTEXT(AN708),ISNUMBER(AN708)),"-"&amp;AN708,))</f>
        <v>_</v>
      </c>
      <c r="CA708" s="21" t="str">
        <f ca="1">IFERROR(VLOOKUP(AP708,OFFSET(abbreviation[],0,ColumnLanguage),ColumnAbbreviation,FALSE),"")</f>
        <v/>
      </c>
      <c r="CB708" s="21" t="str">
        <f ca="1">IFERROR(VLOOKUP(AR708,OFFSET(abbreviation[],0,ColumnLanguage),ColumnAbbreviation,FALSE),"")</f>
        <v/>
      </c>
      <c r="CC708" s="21" t="str">
        <f ca="1">IFERROR(VLOOKUP(AT708,OFFSET(abbreviation[],0,ColumnLanguage),ColumnAbbreviation,FALSE),"")</f>
        <v/>
      </c>
      <c r="CD708" s="21" t="str">
        <f ca="1">IFERROR(VLOOKUP(AV708,OFFSET(abbreviation[],0,ColumnLanguage),ColumnAbbreviation,FALSE),"")</f>
        <v/>
      </c>
      <c r="CE708" s="21" t="str">
        <f t="shared" ref="CE708:CE771" ca="1" si="80">("_"&amp;CA708&amp;IF(ISTEXT(AR708),"."&amp;CB708,)&amp;IF(ISTEXT(AT708),"."&amp;CC708,))&amp;"_"&amp;CD708</f>
        <v>__</v>
      </c>
      <c r="CF708" s="21" t="str">
        <f ca="1">IFERROR(VLOOKUP(AX708,OFFSET(abbreviation[],0,ColumnLanguage),ColumnAbbreviation,FALSE),"")</f>
        <v/>
      </c>
      <c r="CG708" s="21" t="str">
        <f ca="1">IFERROR(VLOOKUP(AZ708,OFFSET(abbreviation[],0,ColumnLanguage),ColumnAbbreviation,FALSE),"")</f>
        <v/>
      </c>
      <c r="CH708" s="21" t="str">
        <f ca="1">IFERROR(VLOOKUP(BB708,OFFSET(abbreviation[],0,ColumnLanguage),ColumnAbbreviation,FALSE),"")</f>
        <v/>
      </c>
      <c r="CI708" s="21" t="str">
        <f ca="1">IFERROR(VLOOKUP(BD708,OFFSET(abbreviation[],0,ColumnLanguage),ColumnAbbreviation,FALSE),"")</f>
        <v/>
      </c>
      <c r="CJ708" s="21" t="str">
        <f ca="1">IFERROR(VLOOKUP(BF708,OFFSET(abbreviation[],0,ColumnLanguage),ColumnAbbreviation,FALSE),"")</f>
        <v/>
      </c>
      <c r="CK708" s="21" t="str">
        <f t="shared" ref="CK708:CK771" ca="1" si="81">(IF(ISTEXT(AX708),"_._",""))&amp;(IF(ISTEXT(AX708),"_",)&amp;CF708&amp;IF(OR(ISNUMBER(AY708),ISTEXT(AY708)),"-"&amp;AY708,))&amp;(IF(ISTEXT(AZ708),"_",)&amp;CG708&amp;IF(OR(ISNUMBER(BA708),ISTEXT(BA708)),"-"&amp;BA708,))&amp;(IF(ISTEXT(BB708),"_",)&amp;CH708&amp;IF(OR(ISNUMBER(BC708),ISTEXT(BC708)),"-"&amp;BC708,))&amp;(IF(ISTEXT(BD708),"_",)&amp;CI708&amp;IF(OR(ISNUMBER(BE708),ISTEXT(BE708)),"-"&amp;BE708,))&amp;(IF(ISTEXT(BF708),"_",)&amp;CJ708&amp;IF(OR(ISNUMBER(BG708),ISTEXT(BG708)),"-"&amp;BG708,))</f>
        <v/>
      </c>
      <c r="CL708" s="21" t="str">
        <f t="shared" ref="CL708:CL771" si="82">IF(OR(N708&lt;&gt;"",T708&lt;&gt;"",C708&lt;&gt;"",A708&lt;&gt;""),(BN708&amp;BU708&amp;BZ708&amp;CE708&amp;CK708),"")</f>
        <v/>
      </c>
      <c r="CM708" s="52"/>
      <c r="CN708" s="57" t="str">
        <f t="shared" ref="CN708:CN771" si="83">CL708</f>
        <v/>
      </c>
    </row>
    <row r="709" spans="14:92" x14ac:dyDescent="0.25">
      <c r="P709" s="60"/>
      <c r="Q709" s="13"/>
      <c r="V709" s="60"/>
      <c r="X709" s="61"/>
      <c r="AB709" s="60"/>
      <c r="AN709" s="54"/>
      <c r="AS709" s="15"/>
      <c r="BH709" s="52"/>
      <c r="BI709" s="21" t="str">
        <f ca="1">IFERROR(VLOOKUP(C709,OFFSET(abbreviation[],0,ColumnLanguage),ColumnAbbreviation,FALSE),"")</f>
        <v/>
      </c>
      <c r="BJ709" s="21" t="str">
        <f ca="1">IFERROR(VLOOKUP(E709,OFFSET(abbreviation[],0,ColumnLanguage),ColumnAbbreviation,FALSE),"")</f>
        <v/>
      </c>
      <c r="BK709" s="21" t="str">
        <f ca="1">IFERROR(VLOOKUP(G709,OFFSET(abbreviation[],0,ColumnLanguage),ColumnAbbreviation,FALSE),"")</f>
        <v/>
      </c>
      <c r="BL709" s="21" t="str">
        <f ca="1">IFERROR(VLOOKUP(I709,OFFSET(abbreviation[],0,ColumnLanguage),ColumnAbbreviation,FALSE),"")</f>
        <v/>
      </c>
      <c r="BM709" s="21" t="str">
        <f ca="1">IFERROR(VLOOKUP(K709,OFFSET(abbreviation[],0,ColumnLanguage),ColumnAbbreviation,FALSE),"")</f>
        <v/>
      </c>
      <c r="BN709" s="21" t="str">
        <f t="shared" ca="1" si="77"/>
        <v/>
      </c>
      <c r="BO709" s="21" t="str">
        <f ca="1">IFERROR(VLOOKUP(N709,OFFSET(abbreviation[],0,ColumnLanguage),ColumnAbbreviation,FALSE),"")</f>
        <v/>
      </c>
      <c r="BP709" s="21" t="str">
        <f ca="1">IFERROR(VLOOKUP(P709,OFFSET(abbreviation[],0,ColumnLanguage),ColumnAbbreviation,FALSE),"")</f>
        <v/>
      </c>
      <c r="BQ709" s="21" t="str">
        <f ca="1">IFERROR(VLOOKUP(T709,OFFSET(abbreviation[],0,ColumnLanguage),ColumnAbbreviation,FALSE),"")</f>
        <v/>
      </c>
      <c r="BR709" s="21" t="str">
        <f ca="1">IFERROR(VLOOKUP(V709,OFFSET(abbreviation[],0,ColumnLanguage),ColumnAbbreviation,FALSE),"")</f>
        <v/>
      </c>
      <c r="BS709" s="21" t="str">
        <f ca="1">IFERROR(VLOOKUP(Z709,OFFSET(abbreviation[],0,ColumnLanguage),ColumnAbbreviation,FALSE),"")</f>
        <v/>
      </c>
      <c r="BT709" s="21" t="str">
        <f ca="1">IFERROR(VLOOKUP(AB709,OFFSET(abbreviation[],0,ColumnLanguage),ColumnAbbreviation,FALSE),"")</f>
        <v/>
      </c>
      <c r="BU709" s="21" t="str">
        <f t="shared" ca="1" si="78"/>
        <v>__</v>
      </c>
      <c r="BV709" s="21" t="str">
        <f ca="1">IFERROR(VLOOKUP(AF709,OFFSET(abbreviation[],0,ColumnLanguage),ColumnAbbreviation,FALSE),"")</f>
        <v/>
      </c>
      <c r="BW709" s="21" t="str">
        <f ca="1">IFERROR(VLOOKUP(AH709,OFFSET(abbreviation[],0,ColumnLanguage),ColumnAbbreviation,FALSE),"")</f>
        <v/>
      </c>
      <c r="BX709" s="21" t="str">
        <f ca="1">IFERROR(VLOOKUP(AJ709,OFFSET(abbreviation[],0,ColumnLanguage),ColumnAbbreviation,FALSE),"")</f>
        <v/>
      </c>
      <c r="BY709" s="21" t="str">
        <f ca="1">IFERROR(VLOOKUP(AL709,OFFSET(abbreviation[],0,ColumnLanguage),ColumnAbbreviation,FALSE),"")</f>
        <v/>
      </c>
      <c r="BZ709" s="21" t="str">
        <f t="shared" ca="1" si="79"/>
        <v>_</v>
      </c>
      <c r="CA709" s="21" t="str">
        <f ca="1">IFERROR(VLOOKUP(AP709,OFFSET(abbreviation[],0,ColumnLanguage),ColumnAbbreviation,FALSE),"")</f>
        <v/>
      </c>
      <c r="CB709" s="21" t="str">
        <f ca="1">IFERROR(VLOOKUP(AR709,OFFSET(abbreviation[],0,ColumnLanguage),ColumnAbbreviation,FALSE),"")</f>
        <v/>
      </c>
      <c r="CC709" s="21" t="str">
        <f ca="1">IFERROR(VLOOKUP(AT709,OFFSET(abbreviation[],0,ColumnLanguage),ColumnAbbreviation,FALSE),"")</f>
        <v/>
      </c>
      <c r="CD709" s="21" t="str">
        <f ca="1">IFERROR(VLOOKUP(AV709,OFFSET(abbreviation[],0,ColumnLanguage),ColumnAbbreviation,FALSE),"")</f>
        <v/>
      </c>
      <c r="CE709" s="21" t="str">
        <f t="shared" ca="1" si="80"/>
        <v>__</v>
      </c>
      <c r="CF709" s="21" t="str">
        <f ca="1">IFERROR(VLOOKUP(AX709,OFFSET(abbreviation[],0,ColumnLanguage),ColumnAbbreviation,FALSE),"")</f>
        <v/>
      </c>
      <c r="CG709" s="21" t="str">
        <f ca="1">IFERROR(VLOOKUP(AZ709,OFFSET(abbreviation[],0,ColumnLanguage),ColumnAbbreviation,FALSE),"")</f>
        <v/>
      </c>
      <c r="CH709" s="21" t="str">
        <f ca="1">IFERROR(VLOOKUP(BB709,OFFSET(abbreviation[],0,ColumnLanguage),ColumnAbbreviation,FALSE),"")</f>
        <v/>
      </c>
      <c r="CI709" s="21" t="str">
        <f ca="1">IFERROR(VLOOKUP(BD709,OFFSET(abbreviation[],0,ColumnLanguage),ColumnAbbreviation,FALSE),"")</f>
        <v/>
      </c>
      <c r="CJ709" s="21" t="str">
        <f ca="1">IFERROR(VLOOKUP(BF709,OFFSET(abbreviation[],0,ColumnLanguage),ColumnAbbreviation,FALSE),"")</f>
        <v/>
      </c>
      <c r="CK709" s="21" t="str">
        <f t="shared" ca="1" si="81"/>
        <v/>
      </c>
      <c r="CL709" s="21" t="str">
        <f t="shared" si="82"/>
        <v/>
      </c>
      <c r="CM709" s="52"/>
      <c r="CN709" s="57" t="str">
        <f t="shared" si="83"/>
        <v/>
      </c>
    </row>
    <row r="710" spans="14:92" x14ac:dyDescent="0.25">
      <c r="P710" s="60"/>
      <c r="Q710" s="13"/>
      <c r="V710" s="60"/>
      <c r="X710" s="61"/>
      <c r="AB710" s="60"/>
      <c r="AN710" s="54"/>
      <c r="AS710" s="15"/>
      <c r="BH710" s="52"/>
      <c r="BI710" s="21" t="str">
        <f ca="1">IFERROR(VLOOKUP(C710,OFFSET(abbreviation[],0,ColumnLanguage),ColumnAbbreviation,FALSE),"")</f>
        <v/>
      </c>
      <c r="BJ710" s="21" t="str">
        <f ca="1">IFERROR(VLOOKUP(E710,OFFSET(abbreviation[],0,ColumnLanguage),ColumnAbbreviation,FALSE),"")</f>
        <v/>
      </c>
      <c r="BK710" s="21" t="str">
        <f ca="1">IFERROR(VLOOKUP(G710,OFFSET(abbreviation[],0,ColumnLanguage),ColumnAbbreviation,FALSE),"")</f>
        <v/>
      </c>
      <c r="BL710" s="21" t="str">
        <f ca="1">IFERROR(VLOOKUP(I710,OFFSET(abbreviation[],0,ColumnLanguage),ColumnAbbreviation,FALSE),"")</f>
        <v/>
      </c>
      <c r="BM710" s="21" t="str">
        <f ca="1">IFERROR(VLOOKUP(K710,OFFSET(abbreviation[],0,ColumnLanguage),ColumnAbbreviation,FALSE),"")</f>
        <v/>
      </c>
      <c r="BN710" s="21" t="str">
        <f t="shared" ca="1" si="77"/>
        <v/>
      </c>
      <c r="BO710" s="21" t="str">
        <f ca="1">IFERROR(VLOOKUP(N710,OFFSET(abbreviation[],0,ColumnLanguage),ColumnAbbreviation,FALSE),"")</f>
        <v/>
      </c>
      <c r="BP710" s="21" t="str">
        <f ca="1">IFERROR(VLOOKUP(P710,OFFSET(abbreviation[],0,ColumnLanguage),ColumnAbbreviation,FALSE),"")</f>
        <v/>
      </c>
      <c r="BQ710" s="21" t="str">
        <f ca="1">IFERROR(VLOOKUP(T710,OFFSET(abbreviation[],0,ColumnLanguage),ColumnAbbreviation,FALSE),"")</f>
        <v/>
      </c>
      <c r="BR710" s="21" t="str">
        <f ca="1">IFERROR(VLOOKUP(V710,OFFSET(abbreviation[],0,ColumnLanguage),ColumnAbbreviation,FALSE),"")</f>
        <v/>
      </c>
      <c r="BS710" s="21" t="str">
        <f ca="1">IFERROR(VLOOKUP(Z710,OFFSET(abbreviation[],0,ColumnLanguage),ColumnAbbreviation,FALSE),"")</f>
        <v/>
      </c>
      <c r="BT710" s="21" t="str">
        <f ca="1">IFERROR(VLOOKUP(AB710,OFFSET(abbreviation[],0,ColumnLanguage),ColumnAbbreviation,FALSE),"")</f>
        <v/>
      </c>
      <c r="BU710" s="21" t="str">
        <f t="shared" ca="1" si="78"/>
        <v>__</v>
      </c>
      <c r="BV710" s="21" t="str">
        <f ca="1">IFERROR(VLOOKUP(AF710,OFFSET(abbreviation[],0,ColumnLanguage),ColumnAbbreviation,FALSE),"")</f>
        <v/>
      </c>
      <c r="BW710" s="21" t="str">
        <f ca="1">IFERROR(VLOOKUP(AH710,OFFSET(abbreviation[],0,ColumnLanguage),ColumnAbbreviation,FALSE),"")</f>
        <v/>
      </c>
      <c r="BX710" s="21" t="str">
        <f ca="1">IFERROR(VLOOKUP(AJ710,OFFSET(abbreviation[],0,ColumnLanguage),ColumnAbbreviation,FALSE),"")</f>
        <v/>
      </c>
      <c r="BY710" s="21" t="str">
        <f ca="1">IFERROR(VLOOKUP(AL710,OFFSET(abbreviation[],0,ColumnLanguage),ColumnAbbreviation,FALSE),"")</f>
        <v/>
      </c>
      <c r="BZ710" s="21" t="str">
        <f t="shared" ca="1" si="79"/>
        <v>_</v>
      </c>
      <c r="CA710" s="21" t="str">
        <f ca="1">IFERROR(VLOOKUP(AP710,OFFSET(abbreviation[],0,ColumnLanguage),ColumnAbbreviation,FALSE),"")</f>
        <v/>
      </c>
      <c r="CB710" s="21" t="str">
        <f ca="1">IFERROR(VLOOKUP(AR710,OFFSET(abbreviation[],0,ColumnLanguage),ColumnAbbreviation,FALSE),"")</f>
        <v/>
      </c>
      <c r="CC710" s="21" t="str">
        <f ca="1">IFERROR(VLOOKUP(AT710,OFFSET(abbreviation[],0,ColumnLanguage),ColumnAbbreviation,FALSE),"")</f>
        <v/>
      </c>
      <c r="CD710" s="21" t="str">
        <f ca="1">IFERROR(VLOOKUP(AV710,OFFSET(abbreviation[],0,ColumnLanguage),ColumnAbbreviation,FALSE),"")</f>
        <v/>
      </c>
      <c r="CE710" s="21" t="str">
        <f t="shared" ca="1" si="80"/>
        <v>__</v>
      </c>
      <c r="CF710" s="21" t="str">
        <f ca="1">IFERROR(VLOOKUP(AX710,OFFSET(abbreviation[],0,ColumnLanguage),ColumnAbbreviation,FALSE),"")</f>
        <v/>
      </c>
      <c r="CG710" s="21" t="str">
        <f ca="1">IFERROR(VLOOKUP(AZ710,OFFSET(abbreviation[],0,ColumnLanguage),ColumnAbbreviation,FALSE),"")</f>
        <v/>
      </c>
      <c r="CH710" s="21" t="str">
        <f ca="1">IFERROR(VLOOKUP(BB710,OFFSET(abbreviation[],0,ColumnLanguage),ColumnAbbreviation,FALSE),"")</f>
        <v/>
      </c>
      <c r="CI710" s="21" t="str">
        <f ca="1">IFERROR(VLOOKUP(BD710,OFFSET(abbreviation[],0,ColumnLanguage),ColumnAbbreviation,FALSE),"")</f>
        <v/>
      </c>
      <c r="CJ710" s="21" t="str">
        <f ca="1">IFERROR(VLOOKUP(BF710,OFFSET(abbreviation[],0,ColumnLanguage),ColumnAbbreviation,FALSE),"")</f>
        <v/>
      </c>
      <c r="CK710" s="21" t="str">
        <f t="shared" ca="1" si="81"/>
        <v/>
      </c>
      <c r="CL710" s="21" t="str">
        <f t="shared" si="82"/>
        <v/>
      </c>
      <c r="CM710" s="52"/>
      <c r="CN710" s="57" t="str">
        <f t="shared" si="83"/>
        <v/>
      </c>
    </row>
    <row r="711" spans="14:92" x14ac:dyDescent="0.25">
      <c r="P711" s="60"/>
      <c r="Q711" s="13"/>
      <c r="V711" s="60"/>
      <c r="X711" s="61"/>
      <c r="AB711" s="60"/>
      <c r="AN711" s="54"/>
      <c r="AS711" s="15"/>
      <c r="BH711" s="52"/>
      <c r="BI711" s="21" t="str">
        <f ca="1">IFERROR(VLOOKUP(C711,OFFSET(abbreviation[],0,ColumnLanguage),ColumnAbbreviation,FALSE),"")</f>
        <v/>
      </c>
      <c r="BJ711" s="21" t="str">
        <f ca="1">IFERROR(VLOOKUP(E711,OFFSET(abbreviation[],0,ColumnLanguage),ColumnAbbreviation,FALSE),"")</f>
        <v/>
      </c>
      <c r="BK711" s="21" t="str">
        <f ca="1">IFERROR(VLOOKUP(G711,OFFSET(abbreviation[],0,ColumnLanguage),ColumnAbbreviation,FALSE),"")</f>
        <v/>
      </c>
      <c r="BL711" s="21" t="str">
        <f ca="1">IFERROR(VLOOKUP(I711,OFFSET(abbreviation[],0,ColumnLanguage),ColumnAbbreviation,FALSE),"")</f>
        <v/>
      </c>
      <c r="BM711" s="21" t="str">
        <f ca="1">IFERROR(VLOOKUP(K711,OFFSET(abbreviation[],0,ColumnLanguage),ColumnAbbreviation,FALSE),"")</f>
        <v/>
      </c>
      <c r="BN711" s="21" t="str">
        <f t="shared" ca="1" si="77"/>
        <v/>
      </c>
      <c r="BO711" s="21" t="str">
        <f ca="1">IFERROR(VLOOKUP(N711,OFFSET(abbreviation[],0,ColumnLanguage),ColumnAbbreviation,FALSE),"")</f>
        <v/>
      </c>
      <c r="BP711" s="21" t="str">
        <f ca="1">IFERROR(VLOOKUP(P711,OFFSET(abbreviation[],0,ColumnLanguage),ColumnAbbreviation,FALSE),"")</f>
        <v/>
      </c>
      <c r="BQ711" s="21" t="str">
        <f ca="1">IFERROR(VLOOKUP(T711,OFFSET(abbreviation[],0,ColumnLanguage),ColumnAbbreviation,FALSE),"")</f>
        <v/>
      </c>
      <c r="BR711" s="21" t="str">
        <f ca="1">IFERROR(VLOOKUP(V711,OFFSET(abbreviation[],0,ColumnLanguage),ColumnAbbreviation,FALSE),"")</f>
        <v/>
      </c>
      <c r="BS711" s="21" t="str">
        <f ca="1">IFERROR(VLOOKUP(Z711,OFFSET(abbreviation[],0,ColumnLanguage),ColumnAbbreviation,FALSE),"")</f>
        <v/>
      </c>
      <c r="BT711" s="21" t="str">
        <f ca="1">IFERROR(VLOOKUP(AB711,OFFSET(abbreviation[],0,ColumnLanguage),ColumnAbbreviation,FALSE),"")</f>
        <v/>
      </c>
      <c r="BU711" s="21" t="str">
        <f t="shared" ca="1" si="78"/>
        <v>__</v>
      </c>
      <c r="BV711" s="21" t="str">
        <f ca="1">IFERROR(VLOOKUP(AF711,OFFSET(abbreviation[],0,ColumnLanguage),ColumnAbbreviation,FALSE),"")</f>
        <v/>
      </c>
      <c r="BW711" s="21" t="str">
        <f ca="1">IFERROR(VLOOKUP(AH711,OFFSET(abbreviation[],0,ColumnLanguage),ColumnAbbreviation,FALSE),"")</f>
        <v/>
      </c>
      <c r="BX711" s="21" t="str">
        <f ca="1">IFERROR(VLOOKUP(AJ711,OFFSET(abbreviation[],0,ColumnLanguage),ColumnAbbreviation,FALSE),"")</f>
        <v/>
      </c>
      <c r="BY711" s="21" t="str">
        <f ca="1">IFERROR(VLOOKUP(AL711,OFFSET(abbreviation[],0,ColumnLanguage),ColumnAbbreviation,FALSE),"")</f>
        <v/>
      </c>
      <c r="BZ711" s="21" t="str">
        <f t="shared" ca="1" si="79"/>
        <v>_</v>
      </c>
      <c r="CA711" s="21" t="str">
        <f ca="1">IFERROR(VLOOKUP(AP711,OFFSET(abbreviation[],0,ColumnLanguage),ColumnAbbreviation,FALSE),"")</f>
        <v/>
      </c>
      <c r="CB711" s="21" t="str">
        <f ca="1">IFERROR(VLOOKUP(AR711,OFFSET(abbreviation[],0,ColumnLanguage),ColumnAbbreviation,FALSE),"")</f>
        <v/>
      </c>
      <c r="CC711" s="21" t="str">
        <f ca="1">IFERROR(VLOOKUP(AT711,OFFSET(abbreviation[],0,ColumnLanguage),ColumnAbbreviation,FALSE),"")</f>
        <v/>
      </c>
      <c r="CD711" s="21" t="str">
        <f ca="1">IFERROR(VLOOKUP(AV711,OFFSET(abbreviation[],0,ColumnLanguage),ColumnAbbreviation,FALSE),"")</f>
        <v/>
      </c>
      <c r="CE711" s="21" t="str">
        <f t="shared" ca="1" si="80"/>
        <v>__</v>
      </c>
      <c r="CF711" s="21" t="str">
        <f ca="1">IFERROR(VLOOKUP(AX711,OFFSET(abbreviation[],0,ColumnLanguage),ColumnAbbreviation,FALSE),"")</f>
        <v/>
      </c>
      <c r="CG711" s="21" t="str">
        <f ca="1">IFERROR(VLOOKUP(AZ711,OFFSET(abbreviation[],0,ColumnLanguage),ColumnAbbreviation,FALSE),"")</f>
        <v/>
      </c>
      <c r="CH711" s="21" t="str">
        <f ca="1">IFERROR(VLOOKUP(BB711,OFFSET(abbreviation[],0,ColumnLanguage),ColumnAbbreviation,FALSE),"")</f>
        <v/>
      </c>
      <c r="CI711" s="21" t="str">
        <f ca="1">IFERROR(VLOOKUP(BD711,OFFSET(abbreviation[],0,ColumnLanguage),ColumnAbbreviation,FALSE),"")</f>
        <v/>
      </c>
      <c r="CJ711" s="21" t="str">
        <f ca="1">IFERROR(VLOOKUP(BF711,OFFSET(abbreviation[],0,ColumnLanguage),ColumnAbbreviation,FALSE),"")</f>
        <v/>
      </c>
      <c r="CK711" s="21" t="str">
        <f t="shared" ca="1" si="81"/>
        <v/>
      </c>
      <c r="CL711" s="21" t="str">
        <f t="shared" si="82"/>
        <v/>
      </c>
      <c r="CM711" s="52"/>
      <c r="CN711" s="57" t="str">
        <f t="shared" si="83"/>
        <v/>
      </c>
    </row>
    <row r="712" spans="14:92" x14ac:dyDescent="0.25">
      <c r="P712" s="60"/>
      <c r="Q712" s="13"/>
      <c r="V712" s="60"/>
      <c r="X712" s="61"/>
      <c r="AB712" s="60"/>
      <c r="AN712" s="54"/>
      <c r="AS712" s="15"/>
      <c r="BH712" s="52"/>
      <c r="BI712" s="21" t="str">
        <f ca="1">IFERROR(VLOOKUP(C712,OFFSET(abbreviation[],0,ColumnLanguage),ColumnAbbreviation,FALSE),"")</f>
        <v/>
      </c>
      <c r="BJ712" s="21" t="str">
        <f ca="1">IFERROR(VLOOKUP(E712,OFFSET(abbreviation[],0,ColumnLanguage),ColumnAbbreviation,FALSE),"")</f>
        <v/>
      </c>
      <c r="BK712" s="21" t="str">
        <f ca="1">IFERROR(VLOOKUP(G712,OFFSET(abbreviation[],0,ColumnLanguage),ColumnAbbreviation,FALSE),"")</f>
        <v/>
      </c>
      <c r="BL712" s="21" t="str">
        <f ca="1">IFERROR(VLOOKUP(I712,OFFSET(abbreviation[],0,ColumnLanguage),ColumnAbbreviation,FALSE),"")</f>
        <v/>
      </c>
      <c r="BM712" s="21" t="str">
        <f ca="1">IFERROR(VLOOKUP(K712,OFFSET(abbreviation[],0,ColumnLanguage),ColumnAbbreviation,FALSE),"")</f>
        <v/>
      </c>
      <c r="BN712" s="21" t="str">
        <f t="shared" ca="1" si="77"/>
        <v/>
      </c>
      <c r="BO712" s="21" t="str">
        <f ca="1">IFERROR(VLOOKUP(N712,OFFSET(abbreviation[],0,ColumnLanguage),ColumnAbbreviation,FALSE),"")</f>
        <v/>
      </c>
      <c r="BP712" s="21" t="str">
        <f ca="1">IFERROR(VLOOKUP(P712,OFFSET(abbreviation[],0,ColumnLanguage),ColumnAbbreviation,FALSE),"")</f>
        <v/>
      </c>
      <c r="BQ712" s="21" t="str">
        <f ca="1">IFERROR(VLOOKUP(T712,OFFSET(abbreviation[],0,ColumnLanguage),ColumnAbbreviation,FALSE),"")</f>
        <v/>
      </c>
      <c r="BR712" s="21" t="str">
        <f ca="1">IFERROR(VLOOKUP(V712,OFFSET(abbreviation[],0,ColumnLanguage),ColumnAbbreviation,FALSE),"")</f>
        <v/>
      </c>
      <c r="BS712" s="21" t="str">
        <f ca="1">IFERROR(VLOOKUP(Z712,OFFSET(abbreviation[],0,ColumnLanguage),ColumnAbbreviation,FALSE),"")</f>
        <v/>
      </c>
      <c r="BT712" s="21" t="str">
        <f ca="1">IFERROR(VLOOKUP(AB712,OFFSET(abbreviation[],0,ColumnLanguage),ColumnAbbreviation,FALSE),"")</f>
        <v/>
      </c>
      <c r="BU712" s="21" t="str">
        <f t="shared" ca="1" si="78"/>
        <v>__</v>
      </c>
      <c r="BV712" s="21" t="str">
        <f ca="1">IFERROR(VLOOKUP(AF712,OFFSET(abbreviation[],0,ColumnLanguage),ColumnAbbreviation,FALSE),"")</f>
        <v/>
      </c>
      <c r="BW712" s="21" t="str">
        <f ca="1">IFERROR(VLOOKUP(AH712,OFFSET(abbreviation[],0,ColumnLanguage),ColumnAbbreviation,FALSE),"")</f>
        <v/>
      </c>
      <c r="BX712" s="21" t="str">
        <f ca="1">IFERROR(VLOOKUP(AJ712,OFFSET(abbreviation[],0,ColumnLanguage),ColumnAbbreviation,FALSE),"")</f>
        <v/>
      </c>
      <c r="BY712" s="21" t="str">
        <f ca="1">IFERROR(VLOOKUP(AL712,OFFSET(abbreviation[],0,ColumnLanguage),ColumnAbbreviation,FALSE),"")</f>
        <v/>
      </c>
      <c r="BZ712" s="21" t="str">
        <f t="shared" ca="1" si="79"/>
        <v>_</v>
      </c>
      <c r="CA712" s="21" t="str">
        <f ca="1">IFERROR(VLOOKUP(AP712,OFFSET(abbreviation[],0,ColumnLanguage),ColumnAbbreviation,FALSE),"")</f>
        <v/>
      </c>
      <c r="CB712" s="21" t="str">
        <f ca="1">IFERROR(VLOOKUP(AR712,OFFSET(abbreviation[],0,ColumnLanguage),ColumnAbbreviation,FALSE),"")</f>
        <v/>
      </c>
      <c r="CC712" s="21" t="str">
        <f ca="1">IFERROR(VLOOKUP(AT712,OFFSET(abbreviation[],0,ColumnLanguage),ColumnAbbreviation,FALSE),"")</f>
        <v/>
      </c>
      <c r="CD712" s="21" t="str">
        <f ca="1">IFERROR(VLOOKUP(AV712,OFFSET(abbreviation[],0,ColumnLanguage),ColumnAbbreviation,FALSE),"")</f>
        <v/>
      </c>
      <c r="CE712" s="21" t="str">
        <f t="shared" ca="1" si="80"/>
        <v>__</v>
      </c>
      <c r="CF712" s="21" t="str">
        <f ca="1">IFERROR(VLOOKUP(AX712,OFFSET(abbreviation[],0,ColumnLanguage),ColumnAbbreviation,FALSE),"")</f>
        <v/>
      </c>
      <c r="CG712" s="21" t="str">
        <f ca="1">IFERROR(VLOOKUP(AZ712,OFFSET(abbreviation[],0,ColumnLanguage),ColumnAbbreviation,FALSE),"")</f>
        <v/>
      </c>
      <c r="CH712" s="21" t="str">
        <f ca="1">IFERROR(VLOOKUP(BB712,OFFSET(abbreviation[],0,ColumnLanguage),ColumnAbbreviation,FALSE),"")</f>
        <v/>
      </c>
      <c r="CI712" s="21" t="str">
        <f ca="1">IFERROR(VLOOKUP(BD712,OFFSET(abbreviation[],0,ColumnLanguage),ColumnAbbreviation,FALSE),"")</f>
        <v/>
      </c>
      <c r="CJ712" s="21" t="str">
        <f ca="1">IFERROR(VLOOKUP(BF712,OFFSET(abbreviation[],0,ColumnLanguage),ColumnAbbreviation,FALSE),"")</f>
        <v/>
      </c>
      <c r="CK712" s="21" t="str">
        <f t="shared" ca="1" si="81"/>
        <v/>
      </c>
      <c r="CL712" s="21" t="str">
        <f t="shared" si="82"/>
        <v/>
      </c>
      <c r="CM712" s="52"/>
      <c r="CN712" s="57" t="str">
        <f t="shared" si="83"/>
        <v/>
      </c>
    </row>
    <row r="713" spans="14:92" x14ac:dyDescent="0.25">
      <c r="P713" s="60"/>
      <c r="Q713" s="13"/>
      <c r="V713" s="60"/>
      <c r="X713" s="61"/>
      <c r="AB713" s="60"/>
      <c r="AN713" s="54"/>
      <c r="AS713" s="15"/>
      <c r="BH713" s="52"/>
      <c r="BI713" s="21" t="str">
        <f ca="1">IFERROR(VLOOKUP(C713,OFFSET(abbreviation[],0,ColumnLanguage),ColumnAbbreviation,FALSE),"")</f>
        <v/>
      </c>
      <c r="BJ713" s="21" t="str">
        <f ca="1">IFERROR(VLOOKUP(E713,OFFSET(abbreviation[],0,ColumnLanguage),ColumnAbbreviation,FALSE),"")</f>
        <v/>
      </c>
      <c r="BK713" s="21" t="str">
        <f ca="1">IFERROR(VLOOKUP(G713,OFFSET(abbreviation[],0,ColumnLanguage),ColumnAbbreviation,FALSE),"")</f>
        <v/>
      </c>
      <c r="BL713" s="21" t="str">
        <f ca="1">IFERROR(VLOOKUP(I713,OFFSET(abbreviation[],0,ColumnLanguage),ColumnAbbreviation,FALSE),"")</f>
        <v/>
      </c>
      <c r="BM713" s="21" t="str">
        <f ca="1">IFERROR(VLOOKUP(K713,OFFSET(abbreviation[],0,ColumnLanguage),ColumnAbbreviation,FALSE),"")</f>
        <v/>
      </c>
      <c r="BN713" s="21" t="str">
        <f t="shared" ca="1" si="77"/>
        <v/>
      </c>
      <c r="BO713" s="21" t="str">
        <f ca="1">IFERROR(VLOOKUP(N713,OFFSET(abbreviation[],0,ColumnLanguage),ColumnAbbreviation,FALSE),"")</f>
        <v/>
      </c>
      <c r="BP713" s="21" t="str">
        <f ca="1">IFERROR(VLOOKUP(P713,OFFSET(abbreviation[],0,ColumnLanguage),ColumnAbbreviation,FALSE),"")</f>
        <v/>
      </c>
      <c r="BQ713" s="21" t="str">
        <f ca="1">IFERROR(VLOOKUP(T713,OFFSET(abbreviation[],0,ColumnLanguage),ColumnAbbreviation,FALSE),"")</f>
        <v/>
      </c>
      <c r="BR713" s="21" t="str">
        <f ca="1">IFERROR(VLOOKUP(V713,OFFSET(abbreviation[],0,ColumnLanguage),ColumnAbbreviation,FALSE),"")</f>
        <v/>
      </c>
      <c r="BS713" s="21" t="str">
        <f ca="1">IFERROR(VLOOKUP(Z713,OFFSET(abbreviation[],0,ColumnLanguage),ColumnAbbreviation,FALSE),"")</f>
        <v/>
      </c>
      <c r="BT713" s="21" t="str">
        <f ca="1">IFERROR(VLOOKUP(AB713,OFFSET(abbreviation[],0,ColumnLanguage),ColumnAbbreviation,FALSE),"")</f>
        <v/>
      </c>
      <c r="BU713" s="21" t="str">
        <f t="shared" ca="1" si="78"/>
        <v>__</v>
      </c>
      <c r="BV713" s="21" t="str">
        <f ca="1">IFERROR(VLOOKUP(AF713,OFFSET(abbreviation[],0,ColumnLanguage),ColumnAbbreviation,FALSE),"")</f>
        <v/>
      </c>
      <c r="BW713" s="21" t="str">
        <f ca="1">IFERROR(VLOOKUP(AH713,OFFSET(abbreviation[],0,ColumnLanguage),ColumnAbbreviation,FALSE),"")</f>
        <v/>
      </c>
      <c r="BX713" s="21" t="str">
        <f ca="1">IFERROR(VLOOKUP(AJ713,OFFSET(abbreviation[],0,ColumnLanguage),ColumnAbbreviation,FALSE),"")</f>
        <v/>
      </c>
      <c r="BY713" s="21" t="str">
        <f ca="1">IFERROR(VLOOKUP(AL713,OFFSET(abbreviation[],0,ColumnLanguage),ColumnAbbreviation,FALSE),"")</f>
        <v/>
      </c>
      <c r="BZ713" s="21" t="str">
        <f t="shared" ca="1" si="79"/>
        <v>_</v>
      </c>
      <c r="CA713" s="21" t="str">
        <f ca="1">IFERROR(VLOOKUP(AP713,OFFSET(abbreviation[],0,ColumnLanguage),ColumnAbbreviation,FALSE),"")</f>
        <v/>
      </c>
      <c r="CB713" s="21" t="str">
        <f ca="1">IFERROR(VLOOKUP(AR713,OFFSET(abbreviation[],0,ColumnLanguage),ColumnAbbreviation,FALSE),"")</f>
        <v/>
      </c>
      <c r="CC713" s="21" t="str">
        <f ca="1">IFERROR(VLOOKUP(AT713,OFFSET(abbreviation[],0,ColumnLanguage),ColumnAbbreviation,FALSE),"")</f>
        <v/>
      </c>
      <c r="CD713" s="21" t="str">
        <f ca="1">IFERROR(VLOOKUP(AV713,OFFSET(abbreviation[],0,ColumnLanguage),ColumnAbbreviation,FALSE),"")</f>
        <v/>
      </c>
      <c r="CE713" s="21" t="str">
        <f t="shared" ca="1" si="80"/>
        <v>__</v>
      </c>
      <c r="CF713" s="21" t="str">
        <f ca="1">IFERROR(VLOOKUP(AX713,OFFSET(abbreviation[],0,ColumnLanguage),ColumnAbbreviation,FALSE),"")</f>
        <v/>
      </c>
      <c r="CG713" s="21" t="str">
        <f ca="1">IFERROR(VLOOKUP(AZ713,OFFSET(abbreviation[],0,ColumnLanguage),ColumnAbbreviation,FALSE),"")</f>
        <v/>
      </c>
      <c r="CH713" s="21" t="str">
        <f ca="1">IFERROR(VLOOKUP(BB713,OFFSET(abbreviation[],0,ColumnLanguage),ColumnAbbreviation,FALSE),"")</f>
        <v/>
      </c>
      <c r="CI713" s="21" t="str">
        <f ca="1">IFERROR(VLOOKUP(BD713,OFFSET(abbreviation[],0,ColumnLanguage),ColumnAbbreviation,FALSE),"")</f>
        <v/>
      </c>
      <c r="CJ713" s="21" t="str">
        <f ca="1">IFERROR(VLOOKUP(BF713,OFFSET(abbreviation[],0,ColumnLanguage),ColumnAbbreviation,FALSE),"")</f>
        <v/>
      </c>
      <c r="CK713" s="21" t="str">
        <f t="shared" ca="1" si="81"/>
        <v/>
      </c>
      <c r="CL713" s="21" t="str">
        <f t="shared" si="82"/>
        <v/>
      </c>
      <c r="CM713" s="52"/>
      <c r="CN713" s="57" t="str">
        <f t="shared" si="83"/>
        <v/>
      </c>
    </row>
    <row r="714" spans="14:92" x14ac:dyDescent="0.25">
      <c r="P714" s="60"/>
      <c r="Q714" s="13"/>
      <c r="V714" s="60"/>
      <c r="X714" s="61"/>
      <c r="AB714" s="60"/>
      <c r="AN714" s="54"/>
      <c r="AS714" s="15"/>
      <c r="BH714" s="52"/>
      <c r="BI714" s="21" t="str">
        <f ca="1">IFERROR(VLOOKUP(C714,OFFSET(abbreviation[],0,ColumnLanguage),ColumnAbbreviation,FALSE),"")</f>
        <v/>
      </c>
      <c r="BJ714" s="21" t="str">
        <f ca="1">IFERROR(VLOOKUP(E714,OFFSET(abbreviation[],0,ColumnLanguage),ColumnAbbreviation,FALSE),"")</f>
        <v/>
      </c>
      <c r="BK714" s="21" t="str">
        <f ca="1">IFERROR(VLOOKUP(G714,OFFSET(abbreviation[],0,ColumnLanguage),ColumnAbbreviation,FALSE),"")</f>
        <v/>
      </c>
      <c r="BL714" s="21" t="str">
        <f ca="1">IFERROR(VLOOKUP(I714,OFFSET(abbreviation[],0,ColumnLanguage),ColumnAbbreviation,FALSE),"")</f>
        <v/>
      </c>
      <c r="BM714" s="21" t="str">
        <f ca="1">IFERROR(VLOOKUP(K714,OFFSET(abbreviation[],0,ColumnLanguage),ColumnAbbreviation,FALSE),"")</f>
        <v/>
      </c>
      <c r="BN714" s="21" t="str">
        <f t="shared" ca="1" si="77"/>
        <v/>
      </c>
      <c r="BO714" s="21" t="str">
        <f ca="1">IFERROR(VLOOKUP(N714,OFFSET(abbreviation[],0,ColumnLanguage),ColumnAbbreviation,FALSE),"")</f>
        <v/>
      </c>
      <c r="BP714" s="21" t="str">
        <f ca="1">IFERROR(VLOOKUP(P714,OFFSET(abbreviation[],0,ColumnLanguage),ColumnAbbreviation,FALSE),"")</f>
        <v/>
      </c>
      <c r="BQ714" s="21" t="str">
        <f ca="1">IFERROR(VLOOKUP(T714,OFFSET(abbreviation[],0,ColumnLanguage),ColumnAbbreviation,FALSE),"")</f>
        <v/>
      </c>
      <c r="BR714" s="21" t="str">
        <f ca="1">IFERROR(VLOOKUP(V714,OFFSET(abbreviation[],0,ColumnLanguage),ColumnAbbreviation,FALSE),"")</f>
        <v/>
      </c>
      <c r="BS714" s="21" t="str">
        <f ca="1">IFERROR(VLOOKUP(Z714,OFFSET(abbreviation[],0,ColumnLanguage),ColumnAbbreviation,FALSE),"")</f>
        <v/>
      </c>
      <c r="BT714" s="21" t="str">
        <f ca="1">IFERROR(VLOOKUP(AB714,OFFSET(abbreviation[],0,ColumnLanguage),ColumnAbbreviation,FALSE),"")</f>
        <v/>
      </c>
      <c r="BU714" s="21" t="str">
        <f t="shared" ca="1" si="78"/>
        <v>__</v>
      </c>
      <c r="BV714" s="21" t="str">
        <f ca="1">IFERROR(VLOOKUP(AF714,OFFSET(abbreviation[],0,ColumnLanguage),ColumnAbbreviation,FALSE),"")</f>
        <v/>
      </c>
      <c r="BW714" s="21" t="str">
        <f ca="1">IFERROR(VLOOKUP(AH714,OFFSET(abbreviation[],0,ColumnLanguage),ColumnAbbreviation,FALSE),"")</f>
        <v/>
      </c>
      <c r="BX714" s="21" t="str">
        <f ca="1">IFERROR(VLOOKUP(AJ714,OFFSET(abbreviation[],0,ColumnLanguage),ColumnAbbreviation,FALSE),"")</f>
        <v/>
      </c>
      <c r="BY714" s="21" t="str">
        <f ca="1">IFERROR(VLOOKUP(AL714,OFFSET(abbreviation[],0,ColumnLanguage),ColumnAbbreviation,FALSE),"")</f>
        <v/>
      </c>
      <c r="BZ714" s="21" t="str">
        <f t="shared" ca="1" si="79"/>
        <v>_</v>
      </c>
      <c r="CA714" s="21" t="str">
        <f ca="1">IFERROR(VLOOKUP(AP714,OFFSET(abbreviation[],0,ColumnLanguage),ColumnAbbreviation,FALSE),"")</f>
        <v/>
      </c>
      <c r="CB714" s="21" t="str">
        <f ca="1">IFERROR(VLOOKUP(AR714,OFFSET(abbreviation[],0,ColumnLanguage),ColumnAbbreviation,FALSE),"")</f>
        <v/>
      </c>
      <c r="CC714" s="21" t="str">
        <f ca="1">IFERROR(VLOOKUP(AT714,OFFSET(abbreviation[],0,ColumnLanguage),ColumnAbbreviation,FALSE),"")</f>
        <v/>
      </c>
      <c r="CD714" s="21" t="str">
        <f ca="1">IFERROR(VLOOKUP(AV714,OFFSET(abbreviation[],0,ColumnLanguage),ColumnAbbreviation,FALSE),"")</f>
        <v/>
      </c>
      <c r="CE714" s="21" t="str">
        <f t="shared" ca="1" si="80"/>
        <v>__</v>
      </c>
      <c r="CF714" s="21" t="str">
        <f ca="1">IFERROR(VLOOKUP(AX714,OFFSET(abbreviation[],0,ColumnLanguage),ColumnAbbreviation,FALSE),"")</f>
        <v/>
      </c>
      <c r="CG714" s="21" t="str">
        <f ca="1">IFERROR(VLOOKUP(AZ714,OFFSET(abbreviation[],0,ColumnLanguage),ColumnAbbreviation,FALSE),"")</f>
        <v/>
      </c>
      <c r="CH714" s="21" t="str">
        <f ca="1">IFERROR(VLOOKUP(BB714,OFFSET(abbreviation[],0,ColumnLanguage),ColumnAbbreviation,FALSE),"")</f>
        <v/>
      </c>
      <c r="CI714" s="21" t="str">
        <f ca="1">IFERROR(VLOOKUP(BD714,OFFSET(abbreviation[],0,ColumnLanguage),ColumnAbbreviation,FALSE),"")</f>
        <v/>
      </c>
      <c r="CJ714" s="21" t="str">
        <f ca="1">IFERROR(VLOOKUP(BF714,OFFSET(abbreviation[],0,ColumnLanguage),ColumnAbbreviation,FALSE),"")</f>
        <v/>
      </c>
      <c r="CK714" s="21" t="str">
        <f t="shared" ca="1" si="81"/>
        <v/>
      </c>
      <c r="CL714" s="21" t="str">
        <f t="shared" si="82"/>
        <v/>
      </c>
      <c r="CM714" s="52"/>
      <c r="CN714" s="57" t="str">
        <f t="shared" si="83"/>
        <v/>
      </c>
    </row>
    <row r="715" spans="14:92" x14ac:dyDescent="0.25">
      <c r="N715" s="10"/>
      <c r="Q715" s="13"/>
      <c r="V715" s="60"/>
      <c r="X715" s="61"/>
      <c r="AB715" s="60"/>
      <c r="AN715" s="54"/>
      <c r="AS715" s="15"/>
      <c r="BH715" s="52"/>
      <c r="BI715" s="21" t="str">
        <f ca="1">IFERROR(VLOOKUP(C715,OFFSET(abbreviation[],0,ColumnLanguage),ColumnAbbreviation,FALSE),"")</f>
        <v/>
      </c>
      <c r="BJ715" s="21" t="str">
        <f ca="1">IFERROR(VLOOKUP(E715,OFFSET(abbreviation[],0,ColumnLanguage),ColumnAbbreviation,FALSE),"")</f>
        <v/>
      </c>
      <c r="BK715" s="21" t="str">
        <f ca="1">IFERROR(VLOOKUP(G715,OFFSET(abbreviation[],0,ColumnLanguage),ColumnAbbreviation,FALSE),"")</f>
        <v/>
      </c>
      <c r="BL715" s="21" t="str">
        <f ca="1">IFERROR(VLOOKUP(I715,OFFSET(abbreviation[],0,ColumnLanguage),ColumnAbbreviation,FALSE),"")</f>
        <v/>
      </c>
      <c r="BM715" s="21" t="str">
        <f ca="1">IFERROR(VLOOKUP(K715,OFFSET(abbreviation[],0,ColumnLanguage),ColumnAbbreviation,FALSE),"")</f>
        <v/>
      </c>
      <c r="BN715" s="21" t="str">
        <f t="shared" ca="1" si="77"/>
        <v/>
      </c>
      <c r="BO715" s="21" t="str">
        <f ca="1">IFERROR(VLOOKUP(N715,OFFSET(abbreviation[],0,ColumnLanguage),ColumnAbbreviation,FALSE),"")</f>
        <v/>
      </c>
      <c r="BP715" s="21" t="str">
        <f ca="1">IFERROR(VLOOKUP(P715,OFFSET(abbreviation[],0,ColumnLanguage),ColumnAbbreviation,FALSE),"")</f>
        <v/>
      </c>
      <c r="BQ715" s="21" t="str">
        <f ca="1">IFERROR(VLOOKUP(T715,OFFSET(abbreviation[],0,ColumnLanguage),ColumnAbbreviation,FALSE),"")</f>
        <v/>
      </c>
      <c r="BR715" s="21" t="str">
        <f ca="1">IFERROR(VLOOKUP(V715,OFFSET(abbreviation[],0,ColumnLanguage),ColumnAbbreviation,FALSE),"")</f>
        <v/>
      </c>
      <c r="BS715" s="21" t="str">
        <f ca="1">IFERROR(VLOOKUP(Z715,OFFSET(abbreviation[],0,ColumnLanguage),ColumnAbbreviation,FALSE),"")</f>
        <v/>
      </c>
      <c r="BT715" s="21" t="str">
        <f ca="1">IFERROR(VLOOKUP(AB715,OFFSET(abbreviation[],0,ColumnLanguage),ColumnAbbreviation,FALSE),"")</f>
        <v/>
      </c>
      <c r="BU715" s="21" t="str">
        <f t="shared" ca="1" si="78"/>
        <v>__</v>
      </c>
      <c r="BV715" s="21" t="str">
        <f ca="1">IFERROR(VLOOKUP(AF715,OFFSET(abbreviation[],0,ColumnLanguage),ColumnAbbreviation,FALSE),"")</f>
        <v/>
      </c>
      <c r="BW715" s="21" t="str">
        <f ca="1">IFERROR(VLOOKUP(AH715,OFFSET(abbreviation[],0,ColumnLanguage),ColumnAbbreviation,FALSE),"")</f>
        <v/>
      </c>
      <c r="BX715" s="21" t="str">
        <f ca="1">IFERROR(VLOOKUP(AJ715,OFFSET(abbreviation[],0,ColumnLanguage),ColumnAbbreviation,FALSE),"")</f>
        <v/>
      </c>
      <c r="BY715" s="21" t="str">
        <f ca="1">IFERROR(VLOOKUP(AL715,OFFSET(abbreviation[],0,ColumnLanguage),ColumnAbbreviation,FALSE),"")</f>
        <v/>
      </c>
      <c r="BZ715" s="21" t="str">
        <f t="shared" ca="1" si="79"/>
        <v>_</v>
      </c>
      <c r="CA715" s="21" t="str">
        <f ca="1">IFERROR(VLOOKUP(AP715,OFFSET(abbreviation[],0,ColumnLanguage),ColumnAbbreviation,FALSE),"")</f>
        <v/>
      </c>
      <c r="CB715" s="21" t="str">
        <f ca="1">IFERROR(VLOOKUP(AR715,OFFSET(abbreviation[],0,ColumnLanguage),ColumnAbbreviation,FALSE),"")</f>
        <v/>
      </c>
      <c r="CC715" s="21" t="str">
        <f ca="1">IFERROR(VLOOKUP(AT715,OFFSET(abbreviation[],0,ColumnLanguage),ColumnAbbreviation,FALSE),"")</f>
        <v/>
      </c>
      <c r="CD715" s="21" t="str">
        <f ca="1">IFERROR(VLOOKUP(AV715,OFFSET(abbreviation[],0,ColumnLanguage),ColumnAbbreviation,FALSE),"")</f>
        <v/>
      </c>
      <c r="CE715" s="21" t="str">
        <f t="shared" ca="1" si="80"/>
        <v>__</v>
      </c>
      <c r="CF715" s="21" t="str">
        <f ca="1">IFERROR(VLOOKUP(AX715,OFFSET(abbreviation[],0,ColumnLanguage),ColumnAbbreviation,FALSE),"")</f>
        <v/>
      </c>
      <c r="CG715" s="21" t="str">
        <f ca="1">IFERROR(VLOOKUP(AZ715,OFFSET(abbreviation[],0,ColumnLanguage),ColumnAbbreviation,FALSE),"")</f>
        <v/>
      </c>
      <c r="CH715" s="21" t="str">
        <f ca="1">IFERROR(VLOOKUP(BB715,OFFSET(abbreviation[],0,ColumnLanguage),ColumnAbbreviation,FALSE),"")</f>
        <v/>
      </c>
      <c r="CI715" s="21" t="str">
        <f ca="1">IFERROR(VLOOKUP(BD715,OFFSET(abbreviation[],0,ColumnLanguage),ColumnAbbreviation,FALSE),"")</f>
        <v/>
      </c>
      <c r="CJ715" s="21" t="str">
        <f ca="1">IFERROR(VLOOKUP(BF715,OFFSET(abbreviation[],0,ColumnLanguage),ColumnAbbreviation,FALSE),"")</f>
        <v/>
      </c>
      <c r="CK715" s="21" t="str">
        <f t="shared" ca="1" si="81"/>
        <v/>
      </c>
      <c r="CL715" s="21" t="str">
        <f t="shared" si="82"/>
        <v/>
      </c>
      <c r="CM715" s="52"/>
      <c r="CN715" s="57" t="str">
        <f t="shared" si="83"/>
        <v/>
      </c>
    </row>
    <row r="716" spans="14:92" x14ac:dyDescent="0.25">
      <c r="N716" s="10"/>
      <c r="Q716" s="13"/>
      <c r="V716" s="60"/>
      <c r="X716" s="61"/>
      <c r="AB716" s="60"/>
      <c r="AN716" s="54"/>
      <c r="AS716" s="15"/>
      <c r="BH716" s="52"/>
      <c r="BI716" s="21" t="str">
        <f ca="1">IFERROR(VLOOKUP(C716,OFFSET(abbreviation[],0,ColumnLanguage),ColumnAbbreviation,FALSE),"")</f>
        <v/>
      </c>
      <c r="BJ716" s="21" t="str">
        <f ca="1">IFERROR(VLOOKUP(E716,OFFSET(abbreviation[],0,ColumnLanguage),ColumnAbbreviation,FALSE),"")</f>
        <v/>
      </c>
      <c r="BK716" s="21" t="str">
        <f ca="1">IFERROR(VLOOKUP(G716,OFFSET(abbreviation[],0,ColumnLanguage),ColumnAbbreviation,FALSE),"")</f>
        <v/>
      </c>
      <c r="BL716" s="21" t="str">
        <f ca="1">IFERROR(VLOOKUP(I716,OFFSET(abbreviation[],0,ColumnLanguage),ColumnAbbreviation,FALSE),"")</f>
        <v/>
      </c>
      <c r="BM716" s="21" t="str">
        <f ca="1">IFERROR(VLOOKUP(K716,OFFSET(abbreviation[],0,ColumnLanguage),ColumnAbbreviation,FALSE),"")</f>
        <v/>
      </c>
      <c r="BN716" s="21" t="str">
        <f t="shared" ca="1" si="77"/>
        <v/>
      </c>
      <c r="BO716" s="21" t="str">
        <f ca="1">IFERROR(VLOOKUP(N716,OFFSET(abbreviation[],0,ColumnLanguage),ColumnAbbreviation,FALSE),"")</f>
        <v/>
      </c>
      <c r="BP716" s="21" t="str">
        <f ca="1">IFERROR(VLOOKUP(P716,OFFSET(abbreviation[],0,ColumnLanguage),ColumnAbbreviation,FALSE),"")</f>
        <v/>
      </c>
      <c r="BQ716" s="21" t="str">
        <f ca="1">IFERROR(VLOOKUP(T716,OFFSET(abbreviation[],0,ColumnLanguage),ColumnAbbreviation,FALSE),"")</f>
        <v/>
      </c>
      <c r="BR716" s="21" t="str">
        <f ca="1">IFERROR(VLOOKUP(V716,OFFSET(abbreviation[],0,ColumnLanguage),ColumnAbbreviation,FALSE),"")</f>
        <v/>
      </c>
      <c r="BS716" s="21" t="str">
        <f ca="1">IFERROR(VLOOKUP(Z716,OFFSET(abbreviation[],0,ColumnLanguage),ColumnAbbreviation,FALSE),"")</f>
        <v/>
      </c>
      <c r="BT716" s="21" t="str">
        <f ca="1">IFERROR(VLOOKUP(AB716,OFFSET(abbreviation[],0,ColumnLanguage),ColumnAbbreviation,FALSE),"")</f>
        <v/>
      </c>
      <c r="BU716" s="21" t="str">
        <f t="shared" ca="1" si="78"/>
        <v>__</v>
      </c>
      <c r="BV716" s="21" t="str">
        <f ca="1">IFERROR(VLOOKUP(AF716,OFFSET(abbreviation[],0,ColumnLanguage),ColumnAbbreviation,FALSE),"")</f>
        <v/>
      </c>
      <c r="BW716" s="21" t="str">
        <f ca="1">IFERROR(VLOOKUP(AH716,OFFSET(abbreviation[],0,ColumnLanguage),ColumnAbbreviation,FALSE),"")</f>
        <v/>
      </c>
      <c r="BX716" s="21" t="str">
        <f ca="1">IFERROR(VLOOKUP(AJ716,OFFSET(abbreviation[],0,ColumnLanguage),ColumnAbbreviation,FALSE),"")</f>
        <v/>
      </c>
      <c r="BY716" s="21" t="str">
        <f ca="1">IFERROR(VLOOKUP(AL716,OFFSET(abbreviation[],0,ColumnLanguage),ColumnAbbreviation,FALSE),"")</f>
        <v/>
      </c>
      <c r="BZ716" s="21" t="str">
        <f t="shared" ca="1" si="79"/>
        <v>_</v>
      </c>
      <c r="CA716" s="21" t="str">
        <f ca="1">IFERROR(VLOOKUP(AP716,OFFSET(abbreviation[],0,ColumnLanguage),ColumnAbbreviation,FALSE),"")</f>
        <v/>
      </c>
      <c r="CB716" s="21" t="str">
        <f ca="1">IFERROR(VLOOKUP(AR716,OFFSET(abbreviation[],0,ColumnLanguage),ColumnAbbreviation,FALSE),"")</f>
        <v/>
      </c>
      <c r="CC716" s="21" t="str">
        <f ca="1">IFERROR(VLOOKUP(AT716,OFFSET(abbreviation[],0,ColumnLanguage),ColumnAbbreviation,FALSE),"")</f>
        <v/>
      </c>
      <c r="CD716" s="21" t="str">
        <f ca="1">IFERROR(VLOOKUP(AV716,OFFSET(abbreviation[],0,ColumnLanguage),ColumnAbbreviation,FALSE),"")</f>
        <v/>
      </c>
      <c r="CE716" s="21" t="str">
        <f t="shared" ca="1" si="80"/>
        <v>__</v>
      </c>
      <c r="CF716" s="21" t="str">
        <f ca="1">IFERROR(VLOOKUP(AX716,OFFSET(abbreviation[],0,ColumnLanguage),ColumnAbbreviation,FALSE),"")</f>
        <v/>
      </c>
      <c r="CG716" s="21" t="str">
        <f ca="1">IFERROR(VLOOKUP(AZ716,OFFSET(abbreviation[],0,ColumnLanguage),ColumnAbbreviation,FALSE),"")</f>
        <v/>
      </c>
      <c r="CH716" s="21" t="str">
        <f ca="1">IFERROR(VLOOKUP(BB716,OFFSET(abbreviation[],0,ColumnLanguage),ColumnAbbreviation,FALSE),"")</f>
        <v/>
      </c>
      <c r="CI716" s="21" t="str">
        <f ca="1">IFERROR(VLOOKUP(BD716,OFFSET(abbreviation[],0,ColumnLanguage),ColumnAbbreviation,FALSE),"")</f>
        <v/>
      </c>
      <c r="CJ716" s="21" t="str">
        <f ca="1">IFERROR(VLOOKUP(BF716,OFFSET(abbreviation[],0,ColumnLanguage),ColumnAbbreviation,FALSE),"")</f>
        <v/>
      </c>
      <c r="CK716" s="21" t="str">
        <f t="shared" ca="1" si="81"/>
        <v/>
      </c>
      <c r="CL716" s="21" t="str">
        <f t="shared" si="82"/>
        <v/>
      </c>
      <c r="CM716" s="52"/>
      <c r="CN716" s="57" t="str">
        <f t="shared" si="83"/>
        <v/>
      </c>
    </row>
    <row r="717" spans="14:92" x14ac:dyDescent="0.25">
      <c r="Q717" s="13"/>
      <c r="V717" s="60"/>
      <c r="X717" s="61"/>
      <c r="AB717" s="60"/>
      <c r="AN717" s="54"/>
      <c r="AS717" s="15"/>
      <c r="BH717" s="52"/>
      <c r="BI717" s="21" t="str">
        <f ca="1">IFERROR(VLOOKUP(C717,OFFSET(abbreviation[],0,ColumnLanguage),ColumnAbbreviation,FALSE),"")</f>
        <v/>
      </c>
      <c r="BJ717" s="21" t="str">
        <f ca="1">IFERROR(VLOOKUP(E717,OFFSET(abbreviation[],0,ColumnLanguage),ColumnAbbreviation,FALSE),"")</f>
        <v/>
      </c>
      <c r="BK717" s="21" t="str">
        <f ca="1">IFERROR(VLOOKUP(G717,OFFSET(abbreviation[],0,ColumnLanguage),ColumnAbbreviation,FALSE),"")</f>
        <v/>
      </c>
      <c r="BL717" s="21" t="str">
        <f ca="1">IFERROR(VLOOKUP(I717,OFFSET(abbreviation[],0,ColumnLanguage),ColumnAbbreviation,FALSE),"")</f>
        <v/>
      </c>
      <c r="BM717" s="21" t="str">
        <f ca="1">IFERROR(VLOOKUP(K717,OFFSET(abbreviation[],0,ColumnLanguage),ColumnAbbreviation,FALSE),"")</f>
        <v/>
      </c>
      <c r="BN717" s="21" t="str">
        <f t="shared" ca="1" si="77"/>
        <v/>
      </c>
      <c r="BO717" s="21" t="str">
        <f ca="1">IFERROR(VLOOKUP(N717,OFFSET(abbreviation[],0,ColumnLanguage),ColumnAbbreviation,FALSE),"")</f>
        <v/>
      </c>
      <c r="BP717" s="21" t="str">
        <f ca="1">IFERROR(VLOOKUP(P717,OFFSET(abbreviation[],0,ColumnLanguage),ColumnAbbreviation,FALSE),"")</f>
        <v/>
      </c>
      <c r="BQ717" s="21" t="str">
        <f ca="1">IFERROR(VLOOKUP(T717,OFFSET(abbreviation[],0,ColumnLanguage),ColumnAbbreviation,FALSE),"")</f>
        <v/>
      </c>
      <c r="BR717" s="21" t="str">
        <f ca="1">IFERROR(VLOOKUP(V717,OFFSET(abbreviation[],0,ColumnLanguage),ColumnAbbreviation,FALSE),"")</f>
        <v/>
      </c>
      <c r="BS717" s="21" t="str">
        <f ca="1">IFERROR(VLOOKUP(Z717,OFFSET(abbreviation[],0,ColumnLanguage),ColumnAbbreviation,FALSE),"")</f>
        <v/>
      </c>
      <c r="BT717" s="21" t="str">
        <f ca="1">IFERROR(VLOOKUP(AB717,OFFSET(abbreviation[],0,ColumnLanguage),ColumnAbbreviation,FALSE),"")</f>
        <v/>
      </c>
      <c r="BU717" s="21" t="str">
        <f t="shared" ca="1" si="78"/>
        <v>__</v>
      </c>
      <c r="BV717" s="21" t="str">
        <f ca="1">IFERROR(VLOOKUP(AF717,OFFSET(abbreviation[],0,ColumnLanguage),ColumnAbbreviation,FALSE),"")</f>
        <v/>
      </c>
      <c r="BW717" s="21" t="str">
        <f ca="1">IFERROR(VLOOKUP(AH717,OFFSET(abbreviation[],0,ColumnLanguage),ColumnAbbreviation,FALSE),"")</f>
        <v/>
      </c>
      <c r="BX717" s="21" t="str">
        <f ca="1">IFERROR(VLOOKUP(AJ717,OFFSET(abbreviation[],0,ColumnLanguage),ColumnAbbreviation,FALSE),"")</f>
        <v/>
      </c>
      <c r="BY717" s="21" t="str">
        <f ca="1">IFERROR(VLOOKUP(AL717,OFFSET(abbreviation[],0,ColumnLanguage),ColumnAbbreviation,FALSE),"")</f>
        <v/>
      </c>
      <c r="BZ717" s="21" t="str">
        <f t="shared" ca="1" si="79"/>
        <v>_</v>
      </c>
      <c r="CA717" s="21" t="str">
        <f ca="1">IFERROR(VLOOKUP(AP717,OFFSET(abbreviation[],0,ColumnLanguage),ColumnAbbreviation,FALSE),"")</f>
        <v/>
      </c>
      <c r="CB717" s="21" t="str">
        <f ca="1">IFERROR(VLOOKUP(AR717,OFFSET(abbreviation[],0,ColumnLanguage),ColumnAbbreviation,FALSE),"")</f>
        <v/>
      </c>
      <c r="CC717" s="21" t="str">
        <f ca="1">IFERROR(VLOOKUP(AT717,OFFSET(abbreviation[],0,ColumnLanguage),ColumnAbbreviation,FALSE),"")</f>
        <v/>
      </c>
      <c r="CD717" s="21" t="str">
        <f ca="1">IFERROR(VLOOKUP(AV717,OFFSET(abbreviation[],0,ColumnLanguage),ColumnAbbreviation,FALSE),"")</f>
        <v/>
      </c>
      <c r="CE717" s="21" t="str">
        <f t="shared" ca="1" si="80"/>
        <v>__</v>
      </c>
      <c r="CF717" s="21" t="str">
        <f ca="1">IFERROR(VLOOKUP(AX717,OFFSET(abbreviation[],0,ColumnLanguage),ColumnAbbreviation,FALSE),"")</f>
        <v/>
      </c>
      <c r="CG717" s="21" t="str">
        <f ca="1">IFERROR(VLOOKUP(AZ717,OFFSET(abbreviation[],0,ColumnLanguage),ColumnAbbreviation,FALSE),"")</f>
        <v/>
      </c>
      <c r="CH717" s="21" t="str">
        <f ca="1">IFERROR(VLOOKUP(BB717,OFFSET(abbreviation[],0,ColumnLanguage),ColumnAbbreviation,FALSE),"")</f>
        <v/>
      </c>
      <c r="CI717" s="21" t="str">
        <f ca="1">IFERROR(VLOOKUP(BD717,OFFSET(abbreviation[],0,ColumnLanguage),ColumnAbbreviation,FALSE),"")</f>
        <v/>
      </c>
      <c r="CJ717" s="21" t="str">
        <f ca="1">IFERROR(VLOOKUP(BF717,OFFSET(abbreviation[],0,ColumnLanguage),ColumnAbbreviation,FALSE),"")</f>
        <v/>
      </c>
      <c r="CK717" s="21" t="str">
        <f t="shared" ca="1" si="81"/>
        <v/>
      </c>
      <c r="CL717" s="21" t="str">
        <f t="shared" si="82"/>
        <v/>
      </c>
      <c r="CM717" s="52"/>
      <c r="CN717" s="57" t="str">
        <f t="shared" si="83"/>
        <v/>
      </c>
    </row>
    <row r="718" spans="14:92" x14ac:dyDescent="0.25">
      <c r="Q718" s="13"/>
      <c r="V718" s="60"/>
      <c r="X718" s="61"/>
      <c r="AB718" s="60"/>
      <c r="AN718" s="54"/>
      <c r="AS718" s="15"/>
      <c r="BH718" s="52"/>
      <c r="BI718" s="21" t="str">
        <f ca="1">IFERROR(VLOOKUP(C718,OFFSET(abbreviation[],0,ColumnLanguage),ColumnAbbreviation,FALSE),"")</f>
        <v/>
      </c>
      <c r="BJ718" s="21" t="str">
        <f ca="1">IFERROR(VLOOKUP(E718,OFFSET(abbreviation[],0,ColumnLanguage),ColumnAbbreviation,FALSE),"")</f>
        <v/>
      </c>
      <c r="BK718" s="21" t="str">
        <f ca="1">IFERROR(VLOOKUP(G718,OFFSET(abbreviation[],0,ColumnLanguage),ColumnAbbreviation,FALSE),"")</f>
        <v/>
      </c>
      <c r="BL718" s="21" t="str">
        <f ca="1">IFERROR(VLOOKUP(I718,OFFSET(abbreviation[],0,ColumnLanguage),ColumnAbbreviation,FALSE),"")</f>
        <v/>
      </c>
      <c r="BM718" s="21" t="str">
        <f ca="1">IFERROR(VLOOKUP(K718,OFFSET(abbreviation[],0,ColumnLanguage),ColumnAbbreviation,FALSE),"")</f>
        <v/>
      </c>
      <c r="BN718" s="21" t="str">
        <f t="shared" ca="1" si="77"/>
        <v/>
      </c>
      <c r="BO718" s="21" t="str">
        <f ca="1">IFERROR(VLOOKUP(N718,OFFSET(abbreviation[],0,ColumnLanguage),ColumnAbbreviation,FALSE),"")</f>
        <v/>
      </c>
      <c r="BP718" s="21" t="str">
        <f ca="1">IFERROR(VLOOKUP(P718,OFFSET(abbreviation[],0,ColumnLanguage),ColumnAbbreviation,FALSE),"")</f>
        <v/>
      </c>
      <c r="BQ718" s="21" t="str">
        <f ca="1">IFERROR(VLOOKUP(T718,OFFSET(abbreviation[],0,ColumnLanguage),ColumnAbbreviation,FALSE),"")</f>
        <v/>
      </c>
      <c r="BR718" s="21" t="str">
        <f ca="1">IFERROR(VLOOKUP(V718,OFFSET(abbreviation[],0,ColumnLanguage),ColumnAbbreviation,FALSE),"")</f>
        <v/>
      </c>
      <c r="BS718" s="21" t="str">
        <f ca="1">IFERROR(VLOOKUP(Z718,OFFSET(abbreviation[],0,ColumnLanguage),ColumnAbbreviation,FALSE),"")</f>
        <v/>
      </c>
      <c r="BT718" s="21" t="str">
        <f ca="1">IFERROR(VLOOKUP(AB718,OFFSET(abbreviation[],0,ColumnLanguage),ColumnAbbreviation,FALSE),"")</f>
        <v/>
      </c>
      <c r="BU718" s="21" t="str">
        <f t="shared" ca="1" si="78"/>
        <v>__</v>
      </c>
      <c r="BV718" s="21" t="str">
        <f ca="1">IFERROR(VLOOKUP(AF718,OFFSET(abbreviation[],0,ColumnLanguage),ColumnAbbreviation,FALSE),"")</f>
        <v/>
      </c>
      <c r="BW718" s="21" t="str">
        <f ca="1">IFERROR(VLOOKUP(AH718,OFFSET(abbreviation[],0,ColumnLanguage),ColumnAbbreviation,FALSE),"")</f>
        <v/>
      </c>
      <c r="BX718" s="21" t="str">
        <f ca="1">IFERROR(VLOOKUP(AJ718,OFFSET(abbreviation[],0,ColumnLanguage),ColumnAbbreviation,FALSE),"")</f>
        <v/>
      </c>
      <c r="BY718" s="21" t="str">
        <f ca="1">IFERROR(VLOOKUP(AL718,OFFSET(abbreviation[],0,ColumnLanguage),ColumnAbbreviation,FALSE),"")</f>
        <v/>
      </c>
      <c r="BZ718" s="21" t="str">
        <f t="shared" ca="1" si="79"/>
        <v>_</v>
      </c>
      <c r="CA718" s="21" t="str">
        <f ca="1">IFERROR(VLOOKUP(AP718,OFFSET(abbreviation[],0,ColumnLanguage),ColumnAbbreviation,FALSE),"")</f>
        <v/>
      </c>
      <c r="CB718" s="21" t="str">
        <f ca="1">IFERROR(VLOOKUP(AR718,OFFSET(abbreviation[],0,ColumnLanguage),ColumnAbbreviation,FALSE),"")</f>
        <v/>
      </c>
      <c r="CC718" s="21" t="str">
        <f ca="1">IFERROR(VLOOKUP(AT718,OFFSET(abbreviation[],0,ColumnLanguage),ColumnAbbreviation,FALSE),"")</f>
        <v/>
      </c>
      <c r="CD718" s="21" t="str">
        <f ca="1">IFERROR(VLOOKUP(AV718,OFFSET(abbreviation[],0,ColumnLanguage),ColumnAbbreviation,FALSE),"")</f>
        <v/>
      </c>
      <c r="CE718" s="21" t="str">
        <f t="shared" ca="1" si="80"/>
        <v>__</v>
      </c>
      <c r="CF718" s="21" t="str">
        <f ca="1">IFERROR(VLOOKUP(AX718,OFFSET(abbreviation[],0,ColumnLanguage),ColumnAbbreviation,FALSE),"")</f>
        <v/>
      </c>
      <c r="CG718" s="21" t="str">
        <f ca="1">IFERROR(VLOOKUP(AZ718,OFFSET(abbreviation[],0,ColumnLanguage),ColumnAbbreviation,FALSE),"")</f>
        <v/>
      </c>
      <c r="CH718" s="21" t="str">
        <f ca="1">IFERROR(VLOOKUP(BB718,OFFSET(abbreviation[],0,ColumnLanguage),ColumnAbbreviation,FALSE),"")</f>
        <v/>
      </c>
      <c r="CI718" s="21" t="str">
        <f ca="1">IFERROR(VLOOKUP(BD718,OFFSET(abbreviation[],0,ColumnLanguage),ColumnAbbreviation,FALSE),"")</f>
        <v/>
      </c>
      <c r="CJ718" s="21" t="str">
        <f ca="1">IFERROR(VLOOKUP(BF718,OFFSET(abbreviation[],0,ColumnLanguage),ColumnAbbreviation,FALSE),"")</f>
        <v/>
      </c>
      <c r="CK718" s="21" t="str">
        <f t="shared" ca="1" si="81"/>
        <v/>
      </c>
      <c r="CL718" s="21" t="str">
        <f t="shared" si="82"/>
        <v/>
      </c>
      <c r="CM718" s="52"/>
      <c r="CN718" s="57" t="str">
        <f t="shared" si="83"/>
        <v/>
      </c>
    </row>
    <row r="719" spans="14:92" x14ac:dyDescent="0.25">
      <c r="Q719" s="13"/>
      <c r="V719" s="60"/>
      <c r="X719" s="61"/>
      <c r="AB719" s="60"/>
      <c r="AN719" s="54"/>
      <c r="AS719" s="15"/>
      <c r="BH719" s="52"/>
      <c r="BI719" s="21" t="str">
        <f ca="1">IFERROR(VLOOKUP(C719,OFFSET(abbreviation[],0,ColumnLanguage),ColumnAbbreviation,FALSE),"")</f>
        <v/>
      </c>
      <c r="BJ719" s="21" t="str">
        <f ca="1">IFERROR(VLOOKUP(E719,OFFSET(abbreviation[],0,ColumnLanguage),ColumnAbbreviation,FALSE),"")</f>
        <v/>
      </c>
      <c r="BK719" s="21" t="str">
        <f ca="1">IFERROR(VLOOKUP(G719,OFFSET(abbreviation[],0,ColumnLanguage),ColumnAbbreviation,FALSE),"")</f>
        <v/>
      </c>
      <c r="BL719" s="21" t="str">
        <f ca="1">IFERROR(VLOOKUP(I719,OFFSET(abbreviation[],0,ColumnLanguage),ColumnAbbreviation,FALSE),"")</f>
        <v/>
      </c>
      <c r="BM719" s="21" t="str">
        <f ca="1">IFERROR(VLOOKUP(K719,OFFSET(abbreviation[],0,ColumnLanguage),ColumnAbbreviation,FALSE),"")</f>
        <v/>
      </c>
      <c r="BN719" s="21" t="str">
        <f t="shared" ca="1" si="77"/>
        <v/>
      </c>
      <c r="BO719" s="21" t="str">
        <f ca="1">IFERROR(VLOOKUP(N719,OFFSET(abbreviation[],0,ColumnLanguage),ColumnAbbreviation,FALSE),"")</f>
        <v/>
      </c>
      <c r="BP719" s="21" t="str">
        <f ca="1">IFERROR(VLOOKUP(P719,OFFSET(abbreviation[],0,ColumnLanguage),ColumnAbbreviation,FALSE),"")</f>
        <v/>
      </c>
      <c r="BQ719" s="21" t="str">
        <f ca="1">IFERROR(VLOOKUP(T719,OFFSET(abbreviation[],0,ColumnLanguage),ColumnAbbreviation,FALSE),"")</f>
        <v/>
      </c>
      <c r="BR719" s="21" t="str">
        <f ca="1">IFERROR(VLOOKUP(V719,OFFSET(abbreviation[],0,ColumnLanguage),ColumnAbbreviation,FALSE),"")</f>
        <v/>
      </c>
      <c r="BS719" s="21" t="str">
        <f ca="1">IFERROR(VLOOKUP(Z719,OFFSET(abbreviation[],0,ColumnLanguage),ColumnAbbreviation,FALSE),"")</f>
        <v/>
      </c>
      <c r="BT719" s="21" t="str">
        <f ca="1">IFERROR(VLOOKUP(AB719,OFFSET(abbreviation[],0,ColumnLanguage),ColumnAbbreviation,FALSE),"")</f>
        <v/>
      </c>
      <c r="BU719" s="21" t="str">
        <f t="shared" ca="1" si="78"/>
        <v>__</v>
      </c>
      <c r="BV719" s="21" t="str">
        <f ca="1">IFERROR(VLOOKUP(AF719,OFFSET(abbreviation[],0,ColumnLanguage),ColumnAbbreviation,FALSE),"")</f>
        <v/>
      </c>
      <c r="BW719" s="21" t="str">
        <f ca="1">IFERROR(VLOOKUP(AH719,OFFSET(abbreviation[],0,ColumnLanguage),ColumnAbbreviation,FALSE),"")</f>
        <v/>
      </c>
      <c r="BX719" s="21" t="str">
        <f ca="1">IFERROR(VLOOKUP(AJ719,OFFSET(abbreviation[],0,ColumnLanguage),ColumnAbbreviation,FALSE),"")</f>
        <v/>
      </c>
      <c r="BY719" s="21" t="str">
        <f ca="1">IFERROR(VLOOKUP(AL719,OFFSET(abbreviation[],0,ColumnLanguage),ColumnAbbreviation,FALSE),"")</f>
        <v/>
      </c>
      <c r="BZ719" s="21" t="str">
        <f t="shared" ca="1" si="79"/>
        <v>_</v>
      </c>
      <c r="CA719" s="21" t="str">
        <f ca="1">IFERROR(VLOOKUP(AP719,OFFSET(abbreviation[],0,ColumnLanguage),ColumnAbbreviation,FALSE),"")</f>
        <v/>
      </c>
      <c r="CB719" s="21" t="str">
        <f ca="1">IFERROR(VLOOKUP(AR719,OFFSET(abbreviation[],0,ColumnLanguage),ColumnAbbreviation,FALSE),"")</f>
        <v/>
      </c>
      <c r="CC719" s="21" t="str">
        <f ca="1">IFERROR(VLOOKUP(AT719,OFFSET(abbreviation[],0,ColumnLanguage),ColumnAbbreviation,FALSE),"")</f>
        <v/>
      </c>
      <c r="CD719" s="21" t="str">
        <f ca="1">IFERROR(VLOOKUP(AV719,OFFSET(abbreviation[],0,ColumnLanguage),ColumnAbbreviation,FALSE),"")</f>
        <v/>
      </c>
      <c r="CE719" s="21" t="str">
        <f t="shared" ca="1" si="80"/>
        <v>__</v>
      </c>
      <c r="CF719" s="21" t="str">
        <f ca="1">IFERROR(VLOOKUP(AX719,OFFSET(abbreviation[],0,ColumnLanguage),ColumnAbbreviation,FALSE),"")</f>
        <v/>
      </c>
      <c r="CG719" s="21" t="str">
        <f ca="1">IFERROR(VLOOKUP(AZ719,OFFSET(abbreviation[],0,ColumnLanguage),ColumnAbbreviation,FALSE),"")</f>
        <v/>
      </c>
      <c r="CH719" s="21" t="str">
        <f ca="1">IFERROR(VLOOKUP(BB719,OFFSET(abbreviation[],0,ColumnLanguage),ColumnAbbreviation,FALSE),"")</f>
        <v/>
      </c>
      <c r="CI719" s="21" t="str">
        <f ca="1">IFERROR(VLOOKUP(BD719,OFFSET(abbreviation[],0,ColumnLanguage),ColumnAbbreviation,FALSE),"")</f>
        <v/>
      </c>
      <c r="CJ719" s="21" t="str">
        <f ca="1">IFERROR(VLOOKUP(BF719,OFFSET(abbreviation[],0,ColumnLanguage),ColumnAbbreviation,FALSE),"")</f>
        <v/>
      </c>
      <c r="CK719" s="21" t="str">
        <f t="shared" ca="1" si="81"/>
        <v/>
      </c>
      <c r="CL719" s="21" t="str">
        <f t="shared" si="82"/>
        <v/>
      </c>
      <c r="CM719" s="52"/>
      <c r="CN719" s="57" t="str">
        <f t="shared" si="83"/>
        <v/>
      </c>
    </row>
    <row r="720" spans="14:92" x14ac:dyDescent="0.25">
      <c r="Q720" s="13"/>
      <c r="V720" s="60"/>
      <c r="X720" s="61"/>
      <c r="AB720" s="60"/>
      <c r="AN720" s="54"/>
      <c r="AS720" s="15"/>
      <c r="BH720" s="52"/>
      <c r="BI720" s="21" t="str">
        <f ca="1">IFERROR(VLOOKUP(C720,OFFSET(abbreviation[],0,ColumnLanguage),ColumnAbbreviation,FALSE),"")</f>
        <v/>
      </c>
      <c r="BJ720" s="21" t="str">
        <f ca="1">IFERROR(VLOOKUP(E720,OFFSET(abbreviation[],0,ColumnLanguage),ColumnAbbreviation,FALSE),"")</f>
        <v/>
      </c>
      <c r="BK720" s="21" t="str">
        <f ca="1">IFERROR(VLOOKUP(G720,OFFSET(abbreviation[],0,ColumnLanguage),ColumnAbbreviation,FALSE),"")</f>
        <v/>
      </c>
      <c r="BL720" s="21" t="str">
        <f ca="1">IFERROR(VLOOKUP(I720,OFFSET(abbreviation[],0,ColumnLanguage),ColumnAbbreviation,FALSE),"")</f>
        <v/>
      </c>
      <c r="BM720" s="21" t="str">
        <f ca="1">IFERROR(VLOOKUP(K720,OFFSET(abbreviation[],0,ColumnLanguage),ColumnAbbreviation,FALSE),"")</f>
        <v/>
      </c>
      <c r="BN720" s="21" t="str">
        <f t="shared" ca="1" si="77"/>
        <v/>
      </c>
      <c r="BO720" s="21" t="str">
        <f ca="1">IFERROR(VLOOKUP(N720,OFFSET(abbreviation[],0,ColumnLanguage),ColumnAbbreviation,FALSE),"")</f>
        <v/>
      </c>
      <c r="BP720" s="21" t="str">
        <f ca="1">IFERROR(VLOOKUP(P720,OFFSET(abbreviation[],0,ColumnLanguage),ColumnAbbreviation,FALSE),"")</f>
        <v/>
      </c>
      <c r="BQ720" s="21" t="str">
        <f ca="1">IFERROR(VLOOKUP(T720,OFFSET(abbreviation[],0,ColumnLanguage),ColumnAbbreviation,FALSE),"")</f>
        <v/>
      </c>
      <c r="BR720" s="21" t="str">
        <f ca="1">IFERROR(VLOOKUP(V720,OFFSET(abbreviation[],0,ColumnLanguage),ColumnAbbreviation,FALSE),"")</f>
        <v/>
      </c>
      <c r="BS720" s="21" t="str">
        <f ca="1">IFERROR(VLOOKUP(Z720,OFFSET(abbreviation[],0,ColumnLanguage),ColumnAbbreviation,FALSE),"")</f>
        <v/>
      </c>
      <c r="BT720" s="21" t="str">
        <f ca="1">IFERROR(VLOOKUP(AB720,OFFSET(abbreviation[],0,ColumnLanguage),ColumnAbbreviation,FALSE),"")</f>
        <v/>
      </c>
      <c r="BU720" s="21" t="str">
        <f t="shared" ca="1" si="78"/>
        <v>__</v>
      </c>
      <c r="BV720" s="21" t="str">
        <f ca="1">IFERROR(VLOOKUP(AF720,OFFSET(abbreviation[],0,ColumnLanguage),ColumnAbbreviation,FALSE),"")</f>
        <v/>
      </c>
      <c r="BW720" s="21" t="str">
        <f ca="1">IFERROR(VLOOKUP(AH720,OFFSET(abbreviation[],0,ColumnLanguage),ColumnAbbreviation,FALSE),"")</f>
        <v/>
      </c>
      <c r="BX720" s="21" t="str">
        <f ca="1">IFERROR(VLOOKUP(AJ720,OFFSET(abbreviation[],0,ColumnLanguage),ColumnAbbreviation,FALSE),"")</f>
        <v/>
      </c>
      <c r="BY720" s="21" t="str">
        <f ca="1">IFERROR(VLOOKUP(AL720,OFFSET(abbreviation[],0,ColumnLanguage),ColumnAbbreviation,FALSE),"")</f>
        <v/>
      </c>
      <c r="BZ720" s="21" t="str">
        <f t="shared" ca="1" si="79"/>
        <v>_</v>
      </c>
      <c r="CA720" s="21" t="str">
        <f ca="1">IFERROR(VLOOKUP(AP720,OFFSET(abbreviation[],0,ColumnLanguage),ColumnAbbreviation,FALSE),"")</f>
        <v/>
      </c>
      <c r="CB720" s="21" t="str">
        <f ca="1">IFERROR(VLOOKUP(AR720,OFFSET(abbreviation[],0,ColumnLanguage),ColumnAbbreviation,FALSE),"")</f>
        <v/>
      </c>
      <c r="CC720" s="21" t="str">
        <f ca="1">IFERROR(VLOOKUP(AT720,OFFSET(abbreviation[],0,ColumnLanguage),ColumnAbbreviation,FALSE),"")</f>
        <v/>
      </c>
      <c r="CD720" s="21" t="str">
        <f ca="1">IFERROR(VLOOKUP(AV720,OFFSET(abbreviation[],0,ColumnLanguage),ColumnAbbreviation,FALSE),"")</f>
        <v/>
      </c>
      <c r="CE720" s="21" t="str">
        <f t="shared" ca="1" si="80"/>
        <v>__</v>
      </c>
      <c r="CF720" s="21" t="str">
        <f ca="1">IFERROR(VLOOKUP(AX720,OFFSET(abbreviation[],0,ColumnLanguage),ColumnAbbreviation,FALSE),"")</f>
        <v/>
      </c>
      <c r="CG720" s="21" t="str">
        <f ca="1">IFERROR(VLOOKUP(AZ720,OFFSET(abbreviation[],0,ColumnLanguage),ColumnAbbreviation,FALSE),"")</f>
        <v/>
      </c>
      <c r="CH720" s="21" t="str">
        <f ca="1">IFERROR(VLOOKUP(BB720,OFFSET(abbreviation[],0,ColumnLanguage),ColumnAbbreviation,FALSE),"")</f>
        <v/>
      </c>
      <c r="CI720" s="21" t="str">
        <f ca="1">IFERROR(VLOOKUP(BD720,OFFSET(abbreviation[],0,ColumnLanguage),ColumnAbbreviation,FALSE),"")</f>
        <v/>
      </c>
      <c r="CJ720" s="21" t="str">
        <f ca="1">IFERROR(VLOOKUP(BF720,OFFSET(abbreviation[],0,ColumnLanguage),ColumnAbbreviation,FALSE),"")</f>
        <v/>
      </c>
      <c r="CK720" s="21" t="str">
        <f t="shared" ca="1" si="81"/>
        <v/>
      </c>
      <c r="CL720" s="21" t="str">
        <f t="shared" si="82"/>
        <v/>
      </c>
      <c r="CM720" s="52"/>
      <c r="CN720" s="57" t="str">
        <f t="shared" si="83"/>
        <v/>
      </c>
    </row>
    <row r="721" spans="17:92" x14ac:dyDescent="0.25">
      <c r="Q721" s="13"/>
      <c r="V721" s="60"/>
      <c r="X721" s="61"/>
      <c r="AB721" s="60"/>
      <c r="AN721" s="54"/>
      <c r="AS721" s="15"/>
      <c r="BH721" s="52"/>
      <c r="BI721" s="21" t="str">
        <f ca="1">IFERROR(VLOOKUP(C721,OFFSET(abbreviation[],0,ColumnLanguage),ColumnAbbreviation,FALSE),"")</f>
        <v/>
      </c>
      <c r="BJ721" s="21" t="str">
        <f ca="1">IFERROR(VLOOKUP(E721,OFFSET(abbreviation[],0,ColumnLanguage),ColumnAbbreviation,FALSE),"")</f>
        <v/>
      </c>
      <c r="BK721" s="21" t="str">
        <f ca="1">IFERROR(VLOOKUP(G721,OFFSET(abbreviation[],0,ColumnLanguage),ColumnAbbreviation,FALSE),"")</f>
        <v/>
      </c>
      <c r="BL721" s="21" t="str">
        <f ca="1">IFERROR(VLOOKUP(I721,OFFSET(abbreviation[],0,ColumnLanguage),ColumnAbbreviation,FALSE),"")</f>
        <v/>
      </c>
      <c r="BM721" s="21" t="str">
        <f ca="1">IFERROR(VLOOKUP(K721,OFFSET(abbreviation[],0,ColumnLanguage),ColumnAbbreviation,FALSE),"")</f>
        <v/>
      </c>
      <c r="BN721" s="21" t="str">
        <f t="shared" ca="1" si="77"/>
        <v/>
      </c>
      <c r="BO721" s="21" t="str">
        <f ca="1">IFERROR(VLOOKUP(N721,OFFSET(abbreviation[],0,ColumnLanguage),ColumnAbbreviation,FALSE),"")</f>
        <v/>
      </c>
      <c r="BP721" s="21" t="str">
        <f ca="1">IFERROR(VLOOKUP(P721,OFFSET(abbreviation[],0,ColumnLanguage),ColumnAbbreviation,FALSE),"")</f>
        <v/>
      </c>
      <c r="BQ721" s="21" t="str">
        <f ca="1">IFERROR(VLOOKUP(T721,OFFSET(abbreviation[],0,ColumnLanguage),ColumnAbbreviation,FALSE),"")</f>
        <v/>
      </c>
      <c r="BR721" s="21" t="str">
        <f ca="1">IFERROR(VLOOKUP(V721,OFFSET(abbreviation[],0,ColumnLanguage),ColumnAbbreviation,FALSE),"")</f>
        <v/>
      </c>
      <c r="BS721" s="21" t="str">
        <f ca="1">IFERROR(VLOOKUP(Z721,OFFSET(abbreviation[],0,ColumnLanguage),ColumnAbbreviation,FALSE),"")</f>
        <v/>
      </c>
      <c r="BT721" s="21" t="str">
        <f ca="1">IFERROR(VLOOKUP(AB721,OFFSET(abbreviation[],0,ColumnLanguage),ColumnAbbreviation,FALSE),"")</f>
        <v/>
      </c>
      <c r="BU721" s="21" t="str">
        <f t="shared" ca="1" si="78"/>
        <v>__</v>
      </c>
      <c r="BV721" s="21" t="str">
        <f ca="1">IFERROR(VLOOKUP(AF721,OFFSET(abbreviation[],0,ColumnLanguage),ColumnAbbreviation,FALSE),"")</f>
        <v/>
      </c>
      <c r="BW721" s="21" t="str">
        <f ca="1">IFERROR(VLOOKUP(AH721,OFFSET(abbreviation[],0,ColumnLanguage),ColumnAbbreviation,FALSE),"")</f>
        <v/>
      </c>
      <c r="BX721" s="21" t="str">
        <f ca="1">IFERROR(VLOOKUP(AJ721,OFFSET(abbreviation[],0,ColumnLanguage),ColumnAbbreviation,FALSE),"")</f>
        <v/>
      </c>
      <c r="BY721" s="21" t="str">
        <f ca="1">IFERROR(VLOOKUP(AL721,OFFSET(abbreviation[],0,ColumnLanguage),ColumnAbbreviation,FALSE),"")</f>
        <v/>
      </c>
      <c r="BZ721" s="21" t="str">
        <f t="shared" ca="1" si="79"/>
        <v>_</v>
      </c>
      <c r="CA721" s="21" t="str">
        <f ca="1">IFERROR(VLOOKUP(AP721,OFFSET(abbreviation[],0,ColumnLanguage),ColumnAbbreviation,FALSE),"")</f>
        <v/>
      </c>
      <c r="CB721" s="21" t="str">
        <f ca="1">IFERROR(VLOOKUP(AR721,OFFSET(abbreviation[],0,ColumnLanguage),ColumnAbbreviation,FALSE),"")</f>
        <v/>
      </c>
      <c r="CC721" s="21" t="str">
        <f ca="1">IFERROR(VLOOKUP(AT721,OFFSET(abbreviation[],0,ColumnLanguage),ColumnAbbreviation,FALSE),"")</f>
        <v/>
      </c>
      <c r="CD721" s="21" t="str">
        <f ca="1">IFERROR(VLOOKUP(AV721,OFFSET(abbreviation[],0,ColumnLanguage),ColumnAbbreviation,FALSE),"")</f>
        <v/>
      </c>
      <c r="CE721" s="21" t="str">
        <f t="shared" ca="1" si="80"/>
        <v>__</v>
      </c>
      <c r="CF721" s="21" t="str">
        <f ca="1">IFERROR(VLOOKUP(AX721,OFFSET(abbreviation[],0,ColumnLanguage),ColumnAbbreviation,FALSE),"")</f>
        <v/>
      </c>
      <c r="CG721" s="21" t="str">
        <f ca="1">IFERROR(VLOOKUP(AZ721,OFFSET(abbreviation[],0,ColumnLanguage),ColumnAbbreviation,FALSE),"")</f>
        <v/>
      </c>
      <c r="CH721" s="21" t="str">
        <f ca="1">IFERROR(VLOOKUP(BB721,OFFSET(abbreviation[],0,ColumnLanguage),ColumnAbbreviation,FALSE),"")</f>
        <v/>
      </c>
      <c r="CI721" s="21" t="str">
        <f ca="1">IFERROR(VLOOKUP(BD721,OFFSET(abbreviation[],0,ColumnLanguage),ColumnAbbreviation,FALSE),"")</f>
        <v/>
      </c>
      <c r="CJ721" s="21" t="str">
        <f ca="1">IFERROR(VLOOKUP(BF721,OFFSET(abbreviation[],0,ColumnLanguage),ColumnAbbreviation,FALSE),"")</f>
        <v/>
      </c>
      <c r="CK721" s="21" t="str">
        <f t="shared" ca="1" si="81"/>
        <v/>
      </c>
      <c r="CL721" s="21" t="str">
        <f t="shared" si="82"/>
        <v/>
      </c>
      <c r="CM721" s="52"/>
      <c r="CN721" s="57" t="str">
        <f t="shared" si="83"/>
        <v/>
      </c>
    </row>
    <row r="722" spans="17:92" x14ac:dyDescent="0.25">
      <c r="Q722" s="13"/>
      <c r="V722" s="60"/>
      <c r="X722" s="61"/>
      <c r="AB722" s="60"/>
      <c r="AN722" s="54"/>
      <c r="AS722" s="15"/>
      <c r="BH722" s="52"/>
      <c r="BI722" s="21" t="str">
        <f ca="1">IFERROR(VLOOKUP(C722,OFFSET(abbreviation[],0,ColumnLanguage),ColumnAbbreviation,FALSE),"")</f>
        <v/>
      </c>
      <c r="BJ722" s="21" t="str">
        <f ca="1">IFERROR(VLOOKUP(E722,OFFSET(abbreviation[],0,ColumnLanguage),ColumnAbbreviation,FALSE),"")</f>
        <v/>
      </c>
      <c r="BK722" s="21" t="str">
        <f ca="1">IFERROR(VLOOKUP(G722,OFFSET(abbreviation[],0,ColumnLanguage),ColumnAbbreviation,FALSE),"")</f>
        <v/>
      </c>
      <c r="BL722" s="21" t="str">
        <f ca="1">IFERROR(VLOOKUP(I722,OFFSET(abbreviation[],0,ColumnLanguage),ColumnAbbreviation,FALSE),"")</f>
        <v/>
      </c>
      <c r="BM722" s="21" t="str">
        <f ca="1">IFERROR(VLOOKUP(K722,OFFSET(abbreviation[],0,ColumnLanguage),ColumnAbbreviation,FALSE),"")</f>
        <v/>
      </c>
      <c r="BN722" s="21" t="str">
        <f t="shared" ca="1" si="77"/>
        <v/>
      </c>
      <c r="BO722" s="21" t="str">
        <f ca="1">IFERROR(VLOOKUP(N722,OFFSET(abbreviation[],0,ColumnLanguage),ColumnAbbreviation,FALSE),"")</f>
        <v/>
      </c>
      <c r="BP722" s="21" t="str">
        <f ca="1">IFERROR(VLOOKUP(P722,OFFSET(abbreviation[],0,ColumnLanguage),ColumnAbbreviation,FALSE),"")</f>
        <v/>
      </c>
      <c r="BQ722" s="21" t="str">
        <f ca="1">IFERROR(VLOOKUP(T722,OFFSET(abbreviation[],0,ColumnLanguage),ColumnAbbreviation,FALSE),"")</f>
        <v/>
      </c>
      <c r="BR722" s="21" t="str">
        <f ca="1">IFERROR(VLOOKUP(V722,OFFSET(abbreviation[],0,ColumnLanguage),ColumnAbbreviation,FALSE),"")</f>
        <v/>
      </c>
      <c r="BS722" s="21" t="str">
        <f ca="1">IFERROR(VLOOKUP(Z722,OFFSET(abbreviation[],0,ColumnLanguage),ColumnAbbreviation,FALSE),"")</f>
        <v/>
      </c>
      <c r="BT722" s="21" t="str">
        <f ca="1">IFERROR(VLOOKUP(AB722,OFFSET(abbreviation[],0,ColumnLanguage),ColumnAbbreviation,FALSE),"")</f>
        <v/>
      </c>
      <c r="BU722" s="21" t="str">
        <f t="shared" ca="1" si="78"/>
        <v>__</v>
      </c>
      <c r="BV722" s="21" t="str">
        <f ca="1">IFERROR(VLOOKUP(AF722,OFFSET(abbreviation[],0,ColumnLanguage),ColumnAbbreviation,FALSE),"")</f>
        <v/>
      </c>
      <c r="BW722" s="21" t="str">
        <f ca="1">IFERROR(VLOOKUP(AH722,OFFSET(abbreviation[],0,ColumnLanguage),ColumnAbbreviation,FALSE),"")</f>
        <v/>
      </c>
      <c r="BX722" s="21" t="str">
        <f ca="1">IFERROR(VLOOKUP(AJ722,OFFSET(abbreviation[],0,ColumnLanguage),ColumnAbbreviation,FALSE),"")</f>
        <v/>
      </c>
      <c r="BY722" s="21" t="str">
        <f ca="1">IFERROR(VLOOKUP(AL722,OFFSET(abbreviation[],0,ColumnLanguage),ColumnAbbreviation,FALSE),"")</f>
        <v/>
      </c>
      <c r="BZ722" s="21" t="str">
        <f t="shared" ca="1" si="79"/>
        <v>_</v>
      </c>
      <c r="CA722" s="21" t="str">
        <f ca="1">IFERROR(VLOOKUP(AP722,OFFSET(abbreviation[],0,ColumnLanguage),ColumnAbbreviation,FALSE),"")</f>
        <v/>
      </c>
      <c r="CB722" s="21" t="str">
        <f ca="1">IFERROR(VLOOKUP(AR722,OFFSET(abbreviation[],0,ColumnLanguage),ColumnAbbreviation,FALSE),"")</f>
        <v/>
      </c>
      <c r="CC722" s="21" t="str">
        <f ca="1">IFERROR(VLOOKUP(AT722,OFFSET(abbreviation[],0,ColumnLanguage),ColumnAbbreviation,FALSE),"")</f>
        <v/>
      </c>
      <c r="CD722" s="21" t="str">
        <f ca="1">IFERROR(VLOOKUP(AV722,OFFSET(abbreviation[],0,ColumnLanguage),ColumnAbbreviation,FALSE),"")</f>
        <v/>
      </c>
      <c r="CE722" s="21" t="str">
        <f t="shared" ca="1" si="80"/>
        <v>__</v>
      </c>
      <c r="CF722" s="21" t="str">
        <f ca="1">IFERROR(VLOOKUP(AX722,OFFSET(abbreviation[],0,ColumnLanguage),ColumnAbbreviation,FALSE),"")</f>
        <v/>
      </c>
      <c r="CG722" s="21" t="str">
        <f ca="1">IFERROR(VLOOKUP(AZ722,OFFSET(abbreviation[],0,ColumnLanguage),ColumnAbbreviation,FALSE),"")</f>
        <v/>
      </c>
      <c r="CH722" s="21" t="str">
        <f ca="1">IFERROR(VLOOKUP(BB722,OFFSET(abbreviation[],0,ColumnLanguage),ColumnAbbreviation,FALSE),"")</f>
        <v/>
      </c>
      <c r="CI722" s="21" t="str">
        <f ca="1">IFERROR(VLOOKUP(BD722,OFFSET(abbreviation[],0,ColumnLanguage),ColumnAbbreviation,FALSE),"")</f>
        <v/>
      </c>
      <c r="CJ722" s="21" t="str">
        <f ca="1">IFERROR(VLOOKUP(BF722,OFFSET(abbreviation[],0,ColumnLanguage),ColumnAbbreviation,FALSE),"")</f>
        <v/>
      </c>
      <c r="CK722" s="21" t="str">
        <f t="shared" ca="1" si="81"/>
        <v/>
      </c>
      <c r="CL722" s="21" t="str">
        <f t="shared" si="82"/>
        <v/>
      </c>
      <c r="CM722" s="52"/>
      <c r="CN722" s="57" t="str">
        <f t="shared" si="83"/>
        <v/>
      </c>
    </row>
    <row r="723" spans="17:92" x14ac:dyDescent="0.25">
      <c r="Q723" s="13"/>
      <c r="V723" s="60"/>
      <c r="X723" s="61"/>
      <c r="AB723" s="60"/>
      <c r="AN723" s="54"/>
      <c r="AS723" s="15"/>
      <c r="BH723" s="52"/>
      <c r="BI723" s="21" t="str">
        <f ca="1">IFERROR(VLOOKUP(C723,OFFSET(abbreviation[],0,ColumnLanguage),ColumnAbbreviation,FALSE),"")</f>
        <v/>
      </c>
      <c r="BJ723" s="21" t="str">
        <f ca="1">IFERROR(VLOOKUP(E723,OFFSET(abbreviation[],0,ColumnLanguage),ColumnAbbreviation,FALSE),"")</f>
        <v/>
      </c>
      <c r="BK723" s="21" t="str">
        <f ca="1">IFERROR(VLOOKUP(G723,OFFSET(abbreviation[],0,ColumnLanguage),ColumnAbbreviation,FALSE),"")</f>
        <v/>
      </c>
      <c r="BL723" s="21" t="str">
        <f ca="1">IFERROR(VLOOKUP(I723,OFFSET(abbreviation[],0,ColumnLanguage),ColumnAbbreviation,FALSE),"")</f>
        <v/>
      </c>
      <c r="BM723" s="21" t="str">
        <f ca="1">IFERROR(VLOOKUP(K723,OFFSET(abbreviation[],0,ColumnLanguage),ColumnAbbreviation,FALSE),"")</f>
        <v/>
      </c>
      <c r="BN723" s="21" t="str">
        <f t="shared" ca="1" si="77"/>
        <v/>
      </c>
      <c r="BO723" s="21" t="str">
        <f ca="1">IFERROR(VLOOKUP(N723,OFFSET(abbreviation[],0,ColumnLanguage),ColumnAbbreviation,FALSE),"")</f>
        <v/>
      </c>
      <c r="BP723" s="21" t="str">
        <f ca="1">IFERROR(VLOOKUP(P723,OFFSET(abbreviation[],0,ColumnLanguage),ColumnAbbreviation,FALSE),"")</f>
        <v/>
      </c>
      <c r="BQ723" s="21" t="str">
        <f ca="1">IFERROR(VLOOKUP(T723,OFFSET(abbreviation[],0,ColumnLanguage),ColumnAbbreviation,FALSE),"")</f>
        <v/>
      </c>
      <c r="BR723" s="21" t="str">
        <f ca="1">IFERROR(VLOOKUP(V723,OFFSET(abbreviation[],0,ColumnLanguage),ColumnAbbreviation,FALSE),"")</f>
        <v/>
      </c>
      <c r="BS723" s="21" t="str">
        <f ca="1">IFERROR(VLOOKUP(Z723,OFFSET(abbreviation[],0,ColumnLanguage),ColumnAbbreviation,FALSE),"")</f>
        <v/>
      </c>
      <c r="BT723" s="21" t="str">
        <f ca="1">IFERROR(VLOOKUP(AB723,OFFSET(abbreviation[],0,ColumnLanguage),ColumnAbbreviation,FALSE),"")</f>
        <v/>
      </c>
      <c r="BU723" s="21" t="str">
        <f t="shared" ca="1" si="78"/>
        <v>__</v>
      </c>
      <c r="BV723" s="21" t="str">
        <f ca="1">IFERROR(VLOOKUP(AF723,OFFSET(abbreviation[],0,ColumnLanguage),ColumnAbbreviation,FALSE),"")</f>
        <v/>
      </c>
      <c r="BW723" s="21" t="str">
        <f ca="1">IFERROR(VLOOKUP(AH723,OFFSET(abbreviation[],0,ColumnLanguage),ColumnAbbreviation,FALSE),"")</f>
        <v/>
      </c>
      <c r="BX723" s="21" t="str">
        <f ca="1">IFERROR(VLOOKUP(AJ723,OFFSET(abbreviation[],0,ColumnLanguage),ColumnAbbreviation,FALSE),"")</f>
        <v/>
      </c>
      <c r="BY723" s="21" t="str">
        <f ca="1">IFERROR(VLOOKUP(AL723,OFFSET(abbreviation[],0,ColumnLanguage),ColumnAbbreviation,FALSE),"")</f>
        <v/>
      </c>
      <c r="BZ723" s="21" t="str">
        <f t="shared" ca="1" si="79"/>
        <v>_</v>
      </c>
      <c r="CA723" s="21" t="str">
        <f ca="1">IFERROR(VLOOKUP(AP723,OFFSET(abbreviation[],0,ColumnLanguage),ColumnAbbreviation,FALSE),"")</f>
        <v/>
      </c>
      <c r="CB723" s="21" t="str">
        <f ca="1">IFERROR(VLOOKUP(AR723,OFFSET(abbreviation[],0,ColumnLanguage),ColumnAbbreviation,FALSE),"")</f>
        <v/>
      </c>
      <c r="CC723" s="21" t="str">
        <f ca="1">IFERROR(VLOOKUP(AT723,OFFSET(abbreviation[],0,ColumnLanguage),ColumnAbbreviation,FALSE),"")</f>
        <v/>
      </c>
      <c r="CD723" s="21" t="str">
        <f ca="1">IFERROR(VLOOKUP(AV723,OFFSET(abbreviation[],0,ColumnLanguage),ColumnAbbreviation,FALSE),"")</f>
        <v/>
      </c>
      <c r="CE723" s="21" t="str">
        <f t="shared" ca="1" si="80"/>
        <v>__</v>
      </c>
      <c r="CF723" s="21" t="str">
        <f ca="1">IFERROR(VLOOKUP(AX723,OFFSET(abbreviation[],0,ColumnLanguage),ColumnAbbreviation,FALSE),"")</f>
        <v/>
      </c>
      <c r="CG723" s="21" t="str">
        <f ca="1">IFERROR(VLOOKUP(AZ723,OFFSET(abbreviation[],0,ColumnLanguage),ColumnAbbreviation,FALSE),"")</f>
        <v/>
      </c>
      <c r="CH723" s="21" t="str">
        <f ca="1">IFERROR(VLOOKUP(BB723,OFFSET(abbreviation[],0,ColumnLanguage),ColumnAbbreviation,FALSE),"")</f>
        <v/>
      </c>
      <c r="CI723" s="21" t="str">
        <f ca="1">IFERROR(VLOOKUP(BD723,OFFSET(abbreviation[],0,ColumnLanguage),ColumnAbbreviation,FALSE),"")</f>
        <v/>
      </c>
      <c r="CJ723" s="21" t="str">
        <f ca="1">IFERROR(VLOOKUP(BF723,OFFSET(abbreviation[],0,ColumnLanguage),ColumnAbbreviation,FALSE),"")</f>
        <v/>
      </c>
      <c r="CK723" s="21" t="str">
        <f t="shared" ca="1" si="81"/>
        <v/>
      </c>
      <c r="CL723" s="21" t="str">
        <f t="shared" si="82"/>
        <v/>
      </c>
      <c r="CM723" s="52"/>
      <c r="CN723" s="57" t="str">
        <f t="shared" si="83"/>
        <v/>
      </c>
    </row>
    <row r="724" spans="17:92" x14ac:dyDescent="0.25">
      <c r="Q724" s="13"/>
      <c r="V724" s="60"/>
      <c r="X724" s="61"/>
      <c r="AB724" s="60"/>
      <c r="AN724" s="54"/>
      <c r="AS724" s="15"/>
      <c r="BH724" s="52"/>
      <c r="BI724" s="21" t="str">
        <f ca="1">IFERROR(VLOOKUP(C724,OFFSET(abbreviation[],0,ColumnLanguage),ColumnAbbreviation,FALSE),"")</f>
        <v/>
      </c>
      <c r="BJ724" s="21" t="str">
        <f ca="1">IFERROR(VLOOKUP(E724,OFFSET(abbreviation[],0,ColumnLanguage),ColumnAbbreviation,FALSE),"")</f>
        <v/>
      </c>
      <c r="BK724" s="21" t="str">
        <f ca="1">IFERROR(VLOOKUP(G724,OFFSET(abbreviation[],0,ColumnLanguage),ColumnAbbreviation,FALSE),"")</f>
        <v/>
      </c>
      <c r="BL724" s="21" t="str">
        <f ca="1">IFERROR(VLOOKUP(I724,OFFSET(abbreviation[],0,ColumnLanguage),ColumnAbbreviation,FALSE),"")</f>
        <v/>
      </c>
      <c r="BM724" s="21" t="str">
        <f ca="1">IFERROR(VLOOKUP(K724,OFFSET(abbreviation[],0,ColumnLanguage),ColumnAbbreviation,FALSE),"")</f>
        <v/>
      </c>
      <c r="BN724" s="21" t="str">
        <f t="shared" ca="1" si="77"/>
        <v/>
      </c>
      <c r="BO724" s="21" t="str">
        <f ca="1">IFERROR(VLOOKUP(N724,OFFSET(abbreviation[],0,ColumnLanguage),ColumnAbbreviation,FALSE),"")</f>
        <v/>
      </c>
      <c r="BP724" s="21" t="str">
        <f ca="1">IFERROR(VLOOKUP(P724,OFFSET(abbreviation[],0,ColumnLanguage),ColumnAbbreviation,FALSE),"")</f>
        <v/>
      </c>
      <c r="BQ724" s="21" t="str">
        <f ca="1">IFERROR(VLOOKUP(T724,OFFSET(abbreviation[],0,ColumnLanguage),ColumnAbbreviation,FALSE),"")</f>
        <v/>
      </c>
      <c r="BR724" s="21" t="str">
        <f ca="1">IFERROR(VLOOKUP(V724,OFFSET(abbreviation[],0,ColumnLanguage),ColumnAbbreviation,FALSE),"")</f>
        <v/>
      </c>
      <c r="BS724" s="21" t="str">
        <f ca="1">IFERROR(VLOOKUP(Z724,OFFSET(abbreviation[],0,ColumnLanguage),ColumnAbbreviation,FALSE),"")</f>
        <v/>
      </c>
      <c r="BT724" s="21" t="str">
        <f ca="1">IFERROR(VLOOKUP(AB724,OFFSET(abbreviation[],0,ColumnLanguage),ColumnAbbreviation,FALSE),"")</f>
        <v/>
      </c>
      <c r="BU724" s="21" t="str">
        <f t="shared" ca="1" si="78"/>
        <v>__</v>
      </c>
      <c r="BV724" s="21" t="str">
        <f ca="1">IFERROR(VLOOKUP(AF724,OFFSET(abbreviation[],0,ColumnLanguage),ColumnAbbreviation,FALSE),"")</f>
        <v/>
      </c>
      <c r="BW724" s="21" t="str">
        <f ca="1">IFERROR(VLOOKUP(AH724,OFFSET(abbreviation[],0,ColumnLanguage),ColumnAbbreviation,FALSE),"")</f>
        <v/>
      </c>
      <c r="BX724" s="21" t="str">
        <f ca="1">IFERROR(VLOOKUP(AJ724,OFFSET(abbreviation[],0,ColumnLanguage),ColumnAbbreviation,FALSE),"")</f>
        <v/>
      </c>
      <c r="BY724" s="21" t="str">
        <f ca="1">IFERROR(VLOOKUP(AL724,OFFSET(abbreviation[],0,ColumnLanguage),ColumnAbbreviation,FALSE),"")</f>
        <v/>
      </c>
      <c r="BZ724" s="21" t="str">
        <f t="shared" ca="1" si="79"/>
        <v>_</v>
      </c>
      <c r="CA724" s="21" t="str">
        <f ca="1">IFERROR(VLOOKUP(AP724,OFFSET(abbreviation[],0,ColumnLanguage),ColumnAbbreviation,FALSE),"")</f>
        <v/>
      </c>
      <c r="CB724" s="21" t="str">
        <f ca="1">IFERROR(VLOOKUP(AR724,OFFSET(abbreviation[],0,ColumnLanguage),ColumnAbbreviation,FALSE),"")</f>
        <v/>
      </c>
      <c r="CC724" s="21" t="str">
        <f ca="1">IFERROR(VLOOKUP(AT724,OFFSET(abbreviation[],0,ColumnLanguage),ColumnAbbreviation,FALSE),"")</f>
        <v/>
      </c>
      <c r="CD724" s="21" t="str">
        <f ca="1">IFERROR(VLOOKUP(AV724,OFFSET(abbreviation[],0,ColumnLanguage),ColumnAbbreviation,FALSE),"")</f>
        <v/>
      </c>
      <c r="CE724" s="21" t="str">
        <f t="shared" ca="1" si="80"/>
        <v>__</v>
      </c>
      <c r="CF724" s="21" t="str">
        <f ca="1">IFERROR(VLOOKUP(AX724,OFFSET(abbreviation[],0,ColumnLanguage),ColumnAbbreviation,FALSE),"")</f>
        <v/>
      </c>
      <c r="CG724" s="21" t="str">
        <f ca="1">IFERROR(VLOOKUP(AZ724,OFFSET(abbreviation[],0,ColumnLanguage),ColumnAbbreviation,FALSE),"")</f>
        <v/>
      </c>
      <c r="CH724" s="21" t="str">
        <f ca="1">IFERROR(VLOOKUP(BB724,OFFSET(abbreviation[],0,ColumnLanguage),ColumnAbbreviation,FALSE),"")</f>
        <v/>
      </c>
      <c r="CI724" s="21" t="str">
        <f ca="1">IFERROR(VLOOKUP(BD724,OFFSET(abbreviation[],0,ColumnLanguage),ColumnAbbreviation,FALSE),"")</f>
        <v/>
      </c>
      <c r="CJ724" s="21" t="str">
        <f ca="1">IFERROR(VLOOKUP(BF724,OFFSET(abbreviation[],0,ColumnLanguage),ColumnAbbreviation,FALSE),"")</f>
        <v/>
      </c>
      <c r="CK724" s="21" t="str">
        <f t="shared" ca="1" si="81"/>
        <v/>
      </c>
      <c r="CL724" s="21" t="str">
        <f t="shared" si="82"/>
        <v/>
      </c>
      <c r="CM724" s="52"/>
      <c r="CN724" s="57" t="str">
        <f t="shared" si="83"/>
        <v/>
      </c>
    </row>
    <row r="725" spans="17:92" x14ac:dyDescent="0.25">
      <c r="Q725" s="13"/>
      <c r="V725" s="60"/>
      <c r="X725" s="61"/>
      <c r="AB725" s="60"/>
      <c r="AN725" s="54"/>
      <c r="AS725" s="15"/>
      <c r="BH725" s="52"/>
      <c r="BI725" s="21" t="str">
        <f ca="1">IFERROR(VLOOKUP(C725,OFFSET(abbreviation[],0,ColumnLanguage),ColumnAbbreviation,FALSE),"")</f>
        <v/>
      </c>
      <c r="BJ725" s="21" t="str">
        <f ca="1">IFERROR(VLOOKUP(E725,OFFSET(abbreviation[],0,ColumnLanguage),ColumnAbbreviation,FALSE),"")</f>
        <v/>
      </c>
      <c r="BK725" s="21" t="str">
        <f ca="1">IFERROR(VLOOKUP(G725,OFFSET(abbreviation[],0,ColumnLanguage),ColumnAbbreviation,FALSE),"")</f>
        <v/>
      </c>
      <c r="BL725" s="21" t="str">
        <f ca="1">IFERROR(VLOOKUP(I725,OFFSET(abbreviation[],0,ColumnLanguage),ColumnAbbreviation,FALSE),"")</f>
        <v/>
      </c>
      <c r="BM725" s="21" t="str">
        <f ca="1">IFERROR(VLOOKUP(K725,OFFSET(abbreviation[],0,ColumnLanguage),ColumnAbbreviation,FALSE),"")</f>
        <v/>
      </c>
      <c r="BN725" s="21" t="str">
        <f t="shared" ca="1" si="77"/>
        <v/>
      </c>
      <c r="BO725" s="21" t="str">
        <f ca="1">IFERROR(VLOOKUP(N725,OFFSET(abbreviation[],0,ColumnLanguage),ColumnAbbreviation,FALSE),"")</f>
        <v/>
      </c>
      <c r="BP725" s="21" t="str">
        <f ca="1">IFERROR(VLOOKUP(P725,OFFSET(abbreviation[],0,ColumnLanguage),ColumnAbbreviation,FALSE),"")</f>
        <v/>
      </c>
      <c r="BQ725" s="21" t="str">
        <f ca="1">IFERROR(VLOOKUP(T725,OFFSET(abbreviation[],0,ColumnLanguage),ColumnAbbreviation,FALSE),"")</f>
        <v/>
      </c>
      <c r="BR725" s="21" t="str">
        <f ca="1">IFERROR(VLOOKUP(V725,OFFSET(abbreviation[],0,ColumnLanguage),ColumnAbbreviation,FALSE),"")</f>
        <v/>
      </c>
      <c r="BS725" s="21" t="str">
        <f ca="1">IFERROR(VLOOKUP(Z725,OFFSET(abbreviation[],0,ColumnLanguage),ColumnAbbreviation,FALSE),"")</f>
        <v/>
      </c>
      <c r="BT725" s="21" t="str">
        <f ca="1">IFERROR(VLOOKUP(AB725,OFFSET(abbreviation[],0,ColumnLanguage),ColumnAbbreviation,FALSE),"")</f>
        <v/>
      </c>
      <c r="BU725" s="21" t="str">
        <f t="shared" ca="1" si="78"/>
        <v>__</v>
      </c>
      <c r="BV725" s="21" t="str">
        <f ca="1">IFERROR(VLOOKUP(AF725,OFFSET(abbreviation[],0,ColumnLanguage),ColumnAbbreviation,FALSE),"")</f>
        <v/>
      </c>
      <c r="BW725" s="21" t="str">
        <f ca="1">IFERROR(VLOOKUP(AH725,OFFSET(abbreviation[],0,ColumnLanguage),ColumnAbbreviation,FALSE),"")</f>
        <v/>
      </c>
      <c r="BX725" s="21" t="str">
        <f ca="1">IFERROR(VLOOKUP(AJ725,OFFSET(abbreviation[],0,ColumnLanguage),ColumnAbbreviation,FALSE),"")</f>
        <v/>
      </c>
      <c r="BY725" s="21" t="str">
        <f ca="1">IFERROR(VLOOKUP(AL725,OFFSET(abbreviation[],0,ColumnLanguage),ColumnAbbreviation,FALSE),"")</f>
        <v/>
      </c>
      <c r="BZ725" s="21" t="str">
        <f t="shared" ca="1" si="79"/>
        <v>_</v>
      </c>
      <c r="CA725" s="21" t="str">
        <f ca="1">IFERROR(VLOOKUP(AP725,OFFSET(abbreviation[],0,ColumnLanguage),ColumnAbbreviation,FALSE),"")</f>
        <v/>
      </c>
      <c r="CB725" s="21" t="str">
        <f ca="1">IFERROR(VLOOKUP(AR725,OFFSET(abbreviation[],0,ColumnLanguage),ColumnAbbreviation,FALSE),"")</f>
        <v/>
      </c>
      <c r="CC725" s="21" t="str">
        <f ca="1">IFERROR(VLOOKUP(AT725,OFFSET(abbreviation[],0,ColumnLanguage),ColumnAbbreviation,FALSE),"")</f>
        <v/>
      </c>
      <c r="CD725" s="21" t="str">
        <f ca="1">IFERROR(VLOOKUP(AV725,OFFSET(abbreviation[],0,ColumnLanguage),ColumnAbbreviation,FALSE),"")</f>
        <v/>
      </c>
      <c r="CE725" s="21" t="str">
        <f t="shared" ca="1" si="80"/>
        <v>__</v>
      </c>
      <c r="CF725" s="21" t="str">
        <f ca="1">IFERROR(VLOOKUP(AX725,OFFSET(abbreviation[],0,ColumnLanguage),ColumnAbbreviation,FALSE),"")</f>
        <v/>
      </c>
      <c r="CG725" s="21" t="str">
        <f ca="1">IFERROR(VLOOKUP(AZ725,OFFSET(abbreviation[],0,ColumnLanguage),ColumnAbbreviation,FALSE),"")</f>
        <v/>
      </c>
      <c r="CH725" s="21" t="str">
        <f ca="1">IFERROR(VLOOKUP(BB725,OFFSET(abbreviation[],0,ColumnLanguage),ColumnAbbreviation,FALSE),"")</f>
        <v/>
      </c>
      <c r="CI725" s="21" t="str">
        <f ca="1">IFERROR(VLOOKUP(BD725,OFFSET(abbreviation[],0,ColumnLanguage),ColumnAbbreviation,FALSE),"")</f>
        <v/>
      </c>
      <c r="CJ725" s="21" t="str">
        <f ca="1">IFERROR(VLOOKUP(BF725,OFFSET(abbreviation[],0,ColumnLanguage),ColumnAbbreviation,FALSE),"")</f>
        <v/>
      </c>
      <c r="CK725" s="21" t="str">
        <f t="shared" ca="1" si="81"/>
        <v/>
      </c>
      <c r="CL725" s="21" t="str">
        <f t="shared" si="82"/>
        <v/>
      </c>
      <c r="CM725" s="52"/>
      <c r="CN725" s="57" t="str">
        <f t="shared" si="83"/>
        <v/>
      </c>
    </row>
    <row r="726" spans="17:92" x14ac:dyDescent="0.25">
      <c r="Q726" s="13"/>
      <c r="V726" s="60"/>
      <c r="X726" s="61"/>
      <c r="AB726" s="60"/>
      <c r="AN726" s="54"/>
      <c r="AS726" s="15"/>
      <c r="BH726" s="52"/>
      <c r="BI726" s="21" t="str">
        <f ca="1">IFERROR(VLOOKUP(C726,OFFSET(abbreviation[],0,ColumnLanguage),ColumnAbbreviation,FALSE),"")</f>
        <v/>
      </c>
      <c r="BJ726" s="21" t="str">
        <f ca="1">IFERROR(VLOOKUP(E726,OFFSET(abbreviation[],0,ColumnLanguage),ColumnAbbreviation,FALSE),"")</f>
        <v/>
      </c>
      <c r="BK726" s="21" t="str">
        <f ca="1">IFERROR(VLOOKUP(G726,OFFSET(abbreviation[],0,ColumnLanguage),ColumnAbbreviation,FALSE),"")</f>
        <v/>
      </c>
      <c r="BL726" s="21" t="str">
        <f ca="1">IFERROR(VLOOKUP(I726,OFFSET(abbreviation[],0,ColumnLanguage),ColumnAbbreviation,FALSE),"")</f>
        <v/>
      </c>
      <c r="BM726" s="21" t="str">
        <f ca="1">IFERROR(VLOOKUP(K726,OFFSET(abbreviation[],0,ColumnLanguage),ColumnAbbreviation,FALSE),"")</f>
        <v/>
      </c>
      <c r="BN726" s="21" t="str">
        <f t="shared" ca="1" si="77"/>
        <v/>
      </c>
      <c r="BO726" s="21" t="str">
        <f ca="1">IFERROR(VLOOKUP(N726,OFFSET(abbreviation[],0,ColumnLanguage),ColumnAbbreviation,FALSE),"")</f>
        <v/>
      </c>
      <c r="BP726" s="21" t="str">
        <f ca="1">IFERROR(VLOOKUP(P726,OFFSET(abbreviation[],0,ColumnLanguage),ColumnAbbreviation,FALSE),"")</f>
        <v/>
      </c>
      <c r="BQ726" s="21" t="str">
        <f ca="1">IFERROR(VLOOKUP(T726,OFFSET(abbreviation[],0,ColumnLanguage),ColumnAbbreviation,FALSE),"")</f>
        <v/>
      </c>
      <c r="BR726" s="21" t="str">
        <f ca="1">IFERROR(VLOOKUP(V726,OFFSET(abbreviation[],0,ColumnLanguage),ColumnAbbreviation,FALSE),"")</f>
        <v/>
      </c>
      <c r="BS726" s="21" t="str">
        <f ca="1">IFERROR(VLOOKUP(Z726,OFFSET(abbreviation[],0,ColumnLanguage),ColumnAbbreviation,FALSE),"")</f>
        <v/>
      </c>
      <c r="BT726" s="21" t="str">
        <f ca="1">IFERROR(VLOOKUP(AB726,OFFSET(abbreviation[],0,ColumnLanguage),ColumnAbbreviation,FALSE),"")</f>
        <v/>
      </c>
      <c r="BU726" s="21" t="str">
        <f t="shared" ca="1" si="78"/>
        <v>__</v>
      </c>
      <c r="BV726" s="21" t="str">
        <f ca="1">IFERROR(VLOOKUP(AF726,OFFSET(abbreviation[],0,ColumnLanguage),ColumnAbbreviation,FALSE),"")</f>
        <v/>
      </c>
      <c r="BW726" s="21" t="str">
        <f ca="1">IFERROR(VLOOKUP(AH726,OFFSET(abbreviation[],0,ColumnLanguage),ColumnAbbreviation,FALSE),"")</f>
        <v/>
      </c>
      <c r="BX726" s="21" t="str">
        <f ca="1">IFERROR(VLOOKUP(AJ726,OFFSET(abbreviation[],0,ColumnLanguage),ColumnAbbreviation,FALSE),"")</f>
        <v/>
      </c>
      <c r="BY726" s="21" t="str">
        <f ca="1">IFERROR(VLOOKUP(AL726,OFFSET(abbreviation[],0,ColumnLanguage),ColumnAbbreviation,FALSE),"")</f>
        <v/>
      </c>
      <c r="BZ726" s="21" t="str">
        <f t="shared" ca="1" si="79"/>
        <v>_</v>
      </c>
      <c r="CA726" s="21" t="str">
        <f ca="1">IFERROR(VLOOKUP(AP726,OFFSET(abbreviation[],0,ColumnLanguage),ColumnAbbreviation,FALSE),"")</f>
        <v/>
      </c>
      <c r="CB726" s="21" t="str">
        <f ca="1">IFERROR(VLOOKUP(AR726,OFFSET(abbreviation[],0,ColumnLanguage),ColumnAbbreviation,FALSE),"")</f>
        <v/>
      </c>
      <c r="CC726" s="21" t="str">
        <f ca="1">IFERROR(VLOOKUP(AT726,OFFSET(abbreviation[],0,ColumnLanguage),ColumnAbbreviation,FALSE),"")</f>
        <v/>
      </c>
      <c r="CD726" s="21" t="str">
        <f ca="1">IFERROR(VLOOKUP(AV726,OFFSET(abbreviation[],0,ColumnLanguage),ColumnAbbreviation,FALSE),"")</f>
        <v/>
      </c>
      <c r="CE726" s="21" t="str">
        <f t="shared" ca="1" si="80"/>
        <v>__</v>
      </c>
      <c r="CF726" s="21" t="str">
        <f ca="1">IFERROR(VLOOKUP(AX726,OFFSET(abbreviation[],0,ColumnLanguage),ColumnAbbreviation,FALSE),"")</f>
        <v/>
      </c>
      <c r="CG726" s="21" t="str">
        <f ca="1">IFERROR(VLOOKUP(AZ726,OFFSET(abbreviation[],0,ColumnLanguage),ColumnAbbreviation,FALSE),"")</f>
        <v/>
      </c>
      <c r="CH726" s="21" t="str">
        <f ca="1">IFERROR(VLOOKUP(BB726,OFFSET(abbreviation[],0,ColumnLanguage),ColumnAbbreviation,FALSE),"")</f>
        <v/>
      </c>
      <c r="CI726" s="21" t="str">
        <f ca="1">IFERROR(VLOOKUP(BD726,OFFSET(abbreviation[],0,ColumnLanguage),ColumnAbbreviation,FALSE),"")</f>
        <v/>
      </c>
      <c r="CJ726" s="21" t="str">
        <f ca="1">IFERROR(VLOOKUP(BF726,OFFSET(abbreviation[],0,ColumnLanguage),ColumnAbbreviation,FALSE),"")</f>
        <v/>
      </c>
      <c r="CK726" s="21" t="str">
        <f t="shared" ca="1" si="81"/>
        <v/>
      </c>
      <c r="CL726" s="21" t="str">
        <f t="shared" si="82"/>
        <v/>
      </c>
      <c r="CM726" s="52"/>
      <c r="CN726" s="57" t="str">
        <f t="shared" si="83"/>
        <v/>
      </c>
    </row>
    <row r="727" spans="17:92" x14ac:dyDescent="0.25">
      <c r="Q727" s="13"/>
      <c r="V727" s="60"/>
      <c r="X727" s="61"/>
      <c r="AB727" s="60"/>
      <c r="AN727" s="54"/>
      <c r="AS727" s="15"/>
      <c r="BH727" s="52"/>
      <c r="BI727" s="21" t="str">
        <f ca="1">IFERROR(VLOOKUP(C727,OFFSET(abbreviation[],0,ColumnLanguage),ColumnAbbreviation,FALSE),"")</f>
        <v/>
      </c>
      <c r="BJ727" s="21" t="str">
        <f ca="1">IFERROR(VLOOKUP(E727,OFFSET(abbreviation[],0,ColumnLanguage),ColumnAbbreviation,FALSE),"")</f>
        <v/>
      </c>
      <c r="BK727" s="21" t="str">
        <f ca="1">IFERROR(VLOOKUP(G727,OFFSET(abbreviation[],0,ColumnLanguage),ColumnAbbreviation,FALSE),"")</f>
        <v/>
      </c>
      <c r="BL727" s="21" t="str">
        <f ca="1">IFERROR(VLOOKUP(I727,OFFSET(abbreviation[],0,ColumnLanguage),ColumnAbbreviation,FALSE),"")</f>
        <v/>
      </c>
      <c r="BM727" s="21" t="str">
        <f ca="1">IFERROR(VLOOKUP(K727,OFFSET(abbreviation[],0,ColumnLanguage),ColumnAbbreviation,FALSE),"")</f>
        <v/>
      </c>
      <c r="BN727" s="21" t="str">
        <f t="shared" ca="1" si="77"/>
        <v/>
      </c>
      <c r="BO727" s="21" t="str">
        <f ca="1">IFERROR(VLOOKUP(N727,OFFSET(abbreviation[],0,ColumnLanguage),ColumnAbbreviation,FALSE),"")</f>
        <v/>
      </c>
      <c r="BP727" s="21" t="str">
        <f ca="1">IFERROR(VLOOKUP(P727,OFFSET(abbreviation[],0,ColumnLanguage),ColumnAbbreviation,FALSE),"")</f>
        <v/>
      </c>
      <c r="BQ727" s="21" t="str">
        <f ca="1">IFERROR(VLOOKUP(T727,OFFSET(abbreviation[],0,ColumnLanguage),ColumnAbbreviation,FALSE),"")</f>
        <v/>
      </c>
      <c r="BR727" s="21" t="str">
        <f ca="1">IFERROR(VLOOKUP(V727,OFFSET(abbreviation[],0,ColumnLanguage),ColumnAbbreviation,FALSE),"")</f>
        <v/>
      </c>
      <c r="BS727" s="21" t="str">
        <f ca="1">IFERROR(VLOOKUP(Z727,OFFSET(abbreviation[],0,ColumnLanguage),ColumnAbbreviation,FALSE),"")</f>
        <v/>
      </c>
      <c r="BT727" s="21" t="str">
        <f ca="1">IFERROR(VLOOKUP(AB727,OFFSET(abbreviation[],0,ColumnLanguage),ColumnAbbreviation,FALSE),"")</f>
        <v/>
      </c>
      <c r="BU727" s="21" t="str">
        <f t="shared" ca="1" si="78"/>
        <v>__</v>
      </c>
      <c r="BV727" s="21" t="str">
        <f ca="1">IFERROR(VLOOKUP(AF727,OFFSET(abbreviation[],0,ColumnLanguage),ColumnAbbreviation,FALSE),"")</f>
        <v/>
      </c>
      <c r="BW727" s="21" t="str">
        <f ca="1">IFERROR(VLOOKUP(AH727,OFFSET(abbreviation[],0,ColumnLanguage),ColumnAbbreviation,FALSE),"")</f>
        <v/>
      </c>
      <c r="BX727" s="21" t="str">
        <f ca="1">IFERROR(VLOOKUP(AJ727,OFFSET(abbreviation[],0,ColumnLanguage),ColumnAbbreviation,FALSE),"")</f>
        <v/>
      </c>
      <c r="BY727" s="21" t="str">
        <f ca="1">IFERROR(VLOOKUP(AL727,OFFSET(abbreviation[],0,ColumnLanguage),ColumnAbbreviation,FALSE),"")</f>
        <v/>
      </c>
      <c r="BZ727" s="21" t="str">
        <f t="shared" ca="1" si="79"/>
        <v>_</v>
      </c>
      <c r="CA727" s="21" t="str">
        <f ca="1">IFERROR(VLOOKUP(AP727,OFFSET(abbreviation[],0,ColumnLanguage),ColumnAbbreviation,FALSE),"")</f>
        <v/>
      </c>
      <c r="CB727" s="21" t="str">
        <f ca="1">IFERROR(VLOOKUP(AR727,OFFSET(abbreviation[],0,ColumnLanguage),ColumnAbbreviation,FALSE),"")</f>
        <v/>
      </c>
      <c r="CC727" s="21" t="str">
        <f ca="1">IFERROR(VLOOKUP(AT727,OFFSET(abbreviation[],0,ColumnLanguage),ColumnAbbreviation,FALSE),"")</f>
        <v/>
      </c>
      <c r="CD727" s="21" t="str">
        <f ca="1">IFERROR(VLOOKUP(AV727,OFFSET(abbreviation[],0,ColumnLanguage),ColumnAbbreviation,FALSE),"")</f>
        <v/>
      </c>
      <c r="CE727" s="21" t="str">
        <f t="shared" ca="1" si="80"/>
        <v>__</v>
      </c>
      <c r="CF727" s="21" t="str">
        <f ca="1">IFERROR(VLOOKUP(AX727,OFFSET(abbreviation[],0,ColumnLanguage),ColumnAbbreviation,FALSE),"")</f>
        <v/>
      </c>
      <c r="CG727" s="21" t="str">
        <f ca="1">IFERROR(VLOOKUP(AZ727,OFFSET(abbreviation[],0,ColumnLanguage),ColumnAbbreviation,FALSE),"")</f>
        <v/>
      </c>
      <c r="CH727" s="21" t="str">
        <f ca="1">IFERROR(VLOOKUP(BB727,OFFSET(abbreviation[],0,ColumnLanguage),ColumnAbbreviation,FALSE),"")</f>
        <v/>
      </c>
      <c r="CI727" s="21" t="str">
        <f ca="1">IFERROR(VLOOKUP(BD727,OFFSET(abbreviation[],0,ColumnLanguage),ColumnAbbreviation,FALSE),"")</f>
        <v/>
      </c>
      <c r="CJ727" s="21" t="str">
        <f ca="1">IFERROR(VLOOKUP(BF727,OFFSET(abbreviation[],0,ColumnLanguage),ColumnAbbreviation,FALSE),"")</f>
        <v/>
      </c>
      <c r="CK727" s="21" t="str">
        <f t="shared" ca="1" si="81"/>
        <v/>
      </c>
      <c r="CL727" s="21" t="str">
        <f t="shared" si="82"/>
        <v/>
      </c>
      <c r="CM727" s="52"/>
      <c r="CN727" s="57" t="str">
        <f t="shared" si="83"/>
        <v/>
      </c>
    </row>
    <row r="728" spans="17:92" x14ac:dyDescent="0.25">
      <c r="Q728" s="13"/>
      <c r="V728" s="60"/>
      <c r="X728" s="61"/>
      <c r="AB728" s="60"/>
      <c r="AN728" s="54"/>
      <c r="AS728" s="15"/>
      <c r="BH728" s="52"/>
      <c r="BI728" s="21" t="str">
        <f ca="1">IFERROR(VLOOKUP(C728,OFFSET(abbreviation[],0,ColumnLanguage),ColumnAbbreviation,FALSE),"")</f>
        <v/>
      </c>
      <c r="BJ728" s="21" t="str">
        <f ca="1">IFERROR(VLOOKUP(E728,OFFSET(abbreviation[],0,ColumnLanguage),ColumnAbbreviation,FALSE),"")</f>
        <v/>
      </c>
      <c r="BK728" s="21" t="str">
        <f ca="1">IFERROR(VLOOKUP(G728,OFFSET(abbreviation[],0,ColumnLanguage),ColumnAbbreviation,FALSE),"")</f>
        <v/>
      </c>
      <c r="BL728" s="21" t="str">
        <f ca="1">IFERROR(VLOOKUP(I728,OFFSET(abbreviation[],0,ColumnLanguage),ColumnAbbreviation,FALSE),"")</f>
        <v/>
      </c>
      <c r="BM728" s="21" t="str">
        <f ca="1">IFERROR(VLOOKUP(K728,OFFSET(abbreviation[],0,ColumnLanguage),ColumnAbbreviation,FALSE),"")</f>
        <v/>
      </c>
      <c r="BN728" s="21" t="str">
        <f t="shared" ca="1" si="77"/>
        <v/>
      </c>
      <c r="BO728" s="21" t="str">
        <f ca="1">IFERROR(VLOOKUP(N728,OFFSET(abbreviation[],0,ColumnLanguage),ColumnAbbreviation,FALSE),"")</f>
        <v/>
      </c>
      <c r="BP728" s="21" t="str">
        <f ca="1">IFERROR(VLOOKUP(P728,OFFSET(abbreviation[],0,ColumnLanguage),ColumnAbbreviation,FALSE),"")</f>
        <v/>
      </c>
      <c r="BQ728" s="21" t="str">
        <f ca="1">IFERROR(VLOOKUP(T728,OFFSET(abbreviation[],0,ColumnLanguage),ColumnAbbreviation,FALSE),"")</f>
        <v/>
      </c>
      <c r="BR728" s="21" t="str">
        <f ca="1">IFERROR(VLOOKUP(V728,OFFSET(abbreviation[],0,ColumnLanguage),ColumnAbbreviation,FALSE),"")</f>
        <v/>
      </c>
      <c r="BS728" s="21" t="str">
        <f ca="1">IFERROR(VLOOKUP(Z728,OFFSET(abbreviation[],0,ColumnLanguage),ColumnAbbreviation,FALSE),"")</f>
        <v/>
      </c>
      <c r="BT728" s="21" t="str">
        <f ca="1">IFERROR(VLOOKUP(AB728,OFFSET(abbreviation[],0,ColumnLanguage),ColumnAbbreviation,FALSE),"")</f>
        <v/>
      </c>
      <c r="BU728" s="21" t="str">
        <f t="shared" ca="1" si="78"/>
        <v>__</v>
      </c>
      <c r="BV728" s="21" t="str">
        <f ca="1">IFERROR(VLOOKUP(AF728,OFFSET(abbreviation[],0,ColumnLanguage),ColumnAbbreviation,FALSE),"")</f>
        <v/>
      </c>
      <c r="BW728" s="21" t="str">
        <f ca="1">IFERROR(VLOOKUP(AH728,OFFSET(abbreviation[],0,ColumnLanguage),ColumnAbbreviation,FALSE),"")</f>
        <v/>
      </c>
      <c r="BX728" s="21" t="str">
        <f ca="1">IFERROR(VLOOKUP(AJ728,OFFSET(abbreviation[],0,ColumnLanguage),ColumnAbbreviation,FALSE),"")</f>
        <v/>
      </c>
      <c r="BY728" s="21" t="str">
        <f ca="1">IFERROR(VLOOKUP(AL728,OFFSET(abbreviation[],0,ColumnLanguage),ColumnAbbreviation,FALSE),"")</f>
        <v/>
      </c>
      <c r="BZ728" s="21" t="str">
        <f t="shared" ca="1" si="79"/>
        <v>_</v>
      </c>
      <c r="CA728" s="21" t="str">
        <f ca="1">IFERROR(VLOOKUP(AP728,OFFSET(abbreviation[],0,ColumnLanguage),ColumnAbbreviation,FALSE),"")</f>
        <v/>
      </c>
      <c r="CB728" s="21" t="str">
        <f ca="1">IFERROR(VLOOKUP(AR728,OFFSET(abbreviation[],0,ColumnLanguage),ColumnAbbreviation,FALSE),"")</f>
        <v/>
      </c>
      <c r="CC728" s="21" t="str">
        <f ca="1">IFERROR(VLOOKUP(AT728,OFFSET(abbreviation[],0,ColumnLanguage),ColumnAbbreviation,FALSE),"")</f>
        <v/>
      </c>
      <c r="CD728" s="21" t="str">
        <f ca="1">IFERROR(VLOOKUP(AV728,OFFSET(abbreviation[],0,ColumnLanguage),ColumnAbbreviation,FALSE),"")</f>
        <v/>
      </c>
      <c r="CE728" s="21" t="str">
        <f t="shared" ca="1" si="80"/>
        <v>__</v>
      </c>
      <c r="CF728" s="21" t="str">
        <f ca="1">IFERROR(VLOOKUP(AX728,OFFSET(abbreviation[],0,ColumnLanguage),ColumnAbbreviation,FALSE),"")</f>
        <v/>
      </c>
      <c r="CG728" s="21" t="str">
        <f ca="1">IFERROR(VLOOKUP(AZ728,OFFSET(abbreviation[],0,ColumnLanguage),ColumnAbbreviation,FALSE),"")</f>
        <v/>
      </c>
      <c r="CH728" s="21" t="str">
        <f ca="1">IFERROR(VLOOKUP(BB728,OFFSET(abbreviation[],0,ColumnLanguage),ColumnAbbreviation,FALSE),"")</f>
        <v/>
      </c>
      <c r="CI728" s="21" t="str">
        <f ca="1">IFERROR(VLOOKUP(BD728,OFFSET(abbreviation[],0,ColumnLanguage),ColumnAbbreviation,FALSE),"")</f>
        <v/>
      </c>
      <c r="CJ728" s="21" t="str">
        <f ca="1">IFERROR(VLOOKUP(BF728,OFFSET(abbreviation[],0,ColumnLanguage),ColumnAbbreviation,FALSE),"")</f>
        <v/>
      </c>
      <c r="CK728" s="21" t="str">
        <f t="shared" ca="1" si="81"/>
        <v/>
      </c>
      <c r="CL728" s="21" t="str">
        <f t="shared" si="82"/>
        <v/>
      </c>
      <c r="CM728" s="52"/>
      <c r="CN728" s="57" t="str">
        <f t="shared" si="83"/>
        <v/>
      </c>
    </row>
    <row r="729" spans="17:92" x14ac:dyDescent="0.25">
      <c r="Q729" s="13"/>
      <c r="V729" s="60"/>
      <c r="X729" s="61"/>
      <c r="AB729" s="60"/>
      <c r="AN729" s="54"/>
      <c r="AS729" s="15"/>
      <c r="BH729" s="52"/>
      <c r="BI729" s="21" t="str">
        <f ca="1">IFERROR(VLOOKUP(C729,OFFSET(abbreviation[],0,ColumnLanguage),ColumnAbbreviation,FALSE),"")</f>
        <v/>
      </c>
      <c r="BJ729" s="21" t="str">
        <f ca="1">IFERROR(VLOOKUP(E729,OFFSET(abbreviation[],0,ColumnLanguage),ColumnAbbreviation,FALSE),"")</f>
        <v/>
      </c>
      <c r="BK729" s="21" t="str">
        <f ca="1">IFERROR(VLOOKUP(G729,OFFSET(abbreviation[],0,ColumnLanguage),ColumnAbbreviation,FALSE),"")</f>
        <v/>
      </c>
      <c r="BL729" s="21" t="str">
        <f ca="1">IFERROR(VLOOKUP(I729,OFFSET(abbreviation[],0,ColumnLanguage),ColumnAbbreviation,FALSE),"")</f>
        <v/>
      </c>
      <c r="BM729" s="21" t="str">
        <f ca="1">IFERROR(VLOOKUP(K729,OFFSET(abbreviation[],0,ColumnLanguage),ColumnAbbreviation,FALSE),"")</f>
        <v/>
      </c>
      <c r="BN729" s="21" t="str">
        <f t="shared" ca="1" si="77"/>
        <v/>
      </c>
      <c r="BO729" s="21" t="str">
        <f ca="1">IFERROR(VLOOKUP(N729,OFFSET(abbreviation[],0,ColumnLanguage),ColumnAbbreviation,FALSE),"")</f>
        <v/>
      </c>
      <c r="BP729" s="21" t="str">
        <f ca="1">IFERROR(VLOOKUP(P729,OFFSET(abbreviation[],0,ColumnLanguage),ColumnAbbreviation,FALSE),"")</f>
        <v/>
      </c>
      <c r="BQ729" s="21" t="str">
        <f ca="1">IFERROR(VLOOKUP(T729,OFFSET(abbreviation[],0,ColumnLanguage),ColumnAbbreviation,FALSE),"")</f>
        <v/>
      </c>
      <c r="BR729" s="21" t="str">
        <f ca="1">IFERROR(VLOOKUP(V729,OFFSET(abbreviation[],0,ColumnLanguage),ColumnAbbreviation,FALSE),"")</f>
        <v/>
      </c>
      <c r="BS729" s="21" t="str">
        <f ca="1">IFERROR(VLOOKUP(Z729,OFFSET(abbreviation[],0,ColumnLanguage),ColumnAbbreviation,FALSE),"")</f>
        <v/>
      </c>
      <c r="BT729" s="21" t="str">
        <f ca="1">IFERROR(VLOOKUP(AB729,OFFSET(abbreviation[],0,ColumnLanguage),ColumnAbbreviation,FALSE),"")</f>
        <v/>
      </c>
      <c r="BU729" s="21" t="str">
        <f t="shared" ca="1" si="78"/>
        <v>__</v>
      </c>
      <c r="BV729" s="21" t="str">
        <f ca="1">IFERROR(VLOOKUP(AF729,OFFSET(abbreviation[],0,ColumnLanguage),ColumnAbbreviation,FALSE),"")</f>
        <v/>
      </c>
      <c r="BW729" s="21" t="str">
        <f ca="1">IFERROR(VLOOKUP(AH729,OFFSET(abbreviation[],0,ColumnLanguage),ColumnAbbreviation,FALSE),"")</f>
        <v/>
      </c>
      <c r="BX729" s="21" t="str">
        <f ca="1">IFERROR(VLOOKUP(AJ729,OFFSET(abbreviation[],0,ColumnLanguage),ColumnAbbreviation,FALSE),"")</f>
        <v/>
      </c>
      <c r="BY729" s="21" t="str">
        <f ca="1">IFERROR(VLOOKUP(AL729,OFFSET(abbreviation[],0,ColumnLanguage),ColumnAbbreviation,FALSE),"")</f>
        <v/>
      </c>
      <c r="BZ729" s="21" t="str">
        <f t="shared" ca="1" si="79"/>
        <v>_</v>
      </c>
      <c r="CA729" s="21" t="str">
        <f ca="1">IFERROR(VLOOKUP(AP729,OFFSET(abbreviation[],0,ColumnLanguage),ColumnAbbreviation,FALSE),"")</f>
        <v/>
      </c>
      <c r="CB729" s="21" t="str">
        <f ca="1">IFERROR(VLOOKUP(AR729,OFFSET(abbreviation[],0,ColumnLanguage),ColumnAbbreviation,FALSE),"")</f>
        <v/>
      </c>
      <c r="CC729" s="21" t="str">
        <f ca="1">IFERROR(VLOOKUP(AT729,OFFSET(abbreviation[],0,ColumnLanguage),ColumnAbbreviation,FALSE),"")</f>
        <v/>
      </c>
      <c r="CD729" s="21" t="str">
        <f ca="1">IFERROR(VLOOKUP(AV729,OFFSET(abbreviation[],0,ColumnLanguage),ColumnAbbreviation,FALSE),"")</f>
        <v/>
      </c>
      <c r="CE729" s="21" t="str">
        <f t="shared" ca="1" si="80"/>
        <v>__</v>
      </c>
      <c r="CF729" s="21" t="str">
        <f ca="1">IFERROR(VLOOKUP(AX729,OFFSET(abbreviation[],0,ColumnLanguage),ColumnAbbreviation,FALSE),"")</f>
        <v/>
      </c>
      <c r="CG729" s="21" t="str">
        <f ca="1">IFERROR(VLOOKUP(AZ729,OFFSET(abbreviation[],0,ColumnLanguage),ColumnAbbreviation,FALSE),"")</f>
        <v/>
      </c>
      <c r="CH729" s="21" t="str">
        <f ca="1">IFERROR(VLOOKUP(BB729,OFFSET(abbreviation[],0,ColumnLanguage),ColumnAbbreviation,FALSE),"")</f>
        <v/>
      </c>
      <c r="CI729" s="21" t="str">
        <f ca="1">IFERROR(VLOOKUP(BD729,OFFSET(abbreviation[],0,ColumnLanguage),ColumnAbbreviation,FALSE),"")</f>
        <v/>
      </c>
      <c r="CJ729" s="21" t="str">
        <f ca="1">IFERROR(VLOOKUP(BF729,OFFSET(abbreviation[],0,ColumnLanguage),ColumnAbbreviation,FALSE),"")</f>
        <v/>
      </c>
      <c r="CK729" s="21" t="str">
        <f t="shared" ca="1" si="81"/>
        <v/>
      </c>
      <c r="CL729" s="21" t="str">
        <f t="shared" si="82"/>
        <v/>
      </c>
      <c r="CM729" s="52"/>
      <c r="CN729" s="57" t="str">
        <f t="shared" si="83"/>
        <v/>
      </c>
    </row>
    <row r="730" spans="17:92" x14ac:dyDescent="0.25">
      <c r="Q730" s="13"/>
      <c r="V730" s="60"/>
      <c r="X730" s="61"/>
      <c r="AB730" s="60"/>
      <c r="AN730" s="54"/>
      <c r="AS730" s="15"/>
      <c r="BH730" s="52"/>
      <c r="BI730" s="21" t="str">
        <f ca="1">IFERROR(VLOOKUP(C730,OFFSET(abbreviation[],0,ColumnLanguage),ColumnAbbreviation,FALSE),"")</f>
        <v/>
      </c>
      <c r="BJ730" s="21" t="str">
        <f ca="1">IFERROR(VLOOKUP(E730,OFFSET(abbreviation[],0,ColumnLanguage),ColumnAbbreviation,FALSE),"")</f>
        <v/>
      </c>
      <c r="BK730" s="21" t="str">
        <f ca="1">IFERROR(VLOOKUP(G730,OFFSET(abbreviation[],0,ColumnLanguage),ColumnAbbreviation,FALSE),"")</f>
        <v/>
      </c>
      <c r="BL730" s="21" t="str">
        <f ca="1">IFERROR(VLOOKUP(I730,OFFSET(abbreviation[],0,ColumnLanguage),ColumnAbbreviation,FALSE),"")</f>
        <v/>
      </c>
      <c r="BM730" s="21" t="str">
        <f ca="1">IFERROR(VLOOKUP(K730,OFFSET(abbreviation[],0,ColumnLanguage),ColumnAbbreviation,FALSE),"")</f>
        <v/>
      </c>
      <c r="BN730" s="21" t="str">
        <f t="shared" ca="1" si="77"/>
        <v/>
      </c>
      <c r="BO730" s="21" t="str">
        <f ca="1">IFERROR(VLOOKUP(N730,OFFSET(abbreviation[],0,ColumnLanguage),ColumnAbbreviation,FALSE),"")</f>
        <v/>
      </c>
      <c r="BP730" s="21" t="str">
        <f ca="1">IFERROR(VLOOKUP(P730,OFFSET(abbreviation[],0,ColumnLanguage),ColumnAbbreviation,FALSE),"")</f>
        <v/>
      </c>
      <c r="BQ730" s="21" t="str">
        <f ca="1">IFERROR(VLOOKUP(T730,OFFSET(abbreviation[],0,ColumnLanguage),ColumnAbbreviation,FALSE),"")</f>
        <v/>
      </c>
      <c r="BR730" s="21" t="str">
        <f ca="1">IFERROR(VLOOKUP(V730,OFFSET(abbreviation[],0,ColumnLanguage),ColumnAbbreviation,FALSE),"")</f>
        <v/>
      </c>
      <c r="BS730" s="21" t="str">
        <f ca="1">IFERROR(VLOOKUP(Z730,OFFSET(abbreviation[],0,ColumnLanguage),ColumnAbbreviation,FALSE),"")</f>
        <v/>
      </c>
      <c r="BT730" s="21" t="str">
        <f ca="1">IFERROR(VLOOKUP(AB730,OFFSET(abbreviation[],0,ColumnLanguage),ColumnAbbreviation,FALSE),"")</f>
        <v/>
      </c>
      <c r="BU730" s="21" t="str">
        <f t="shared" ca="1" si="78"/>
        <v>__</v>
      </c>
      <c r="BV730" s="21" t="str">
        <f ca="1">IFERROR(VLOOKUP(AF730,OFFSET(abbreviation[],0,ColumnLanguage),ColumnAbbreviation,FALSE),"")</f>
        <v/>
      </c>
      <c r="BW730" s="21" t="str">
        <f ca="1">IFERROR(VLOOKUP(AH730,OFFSET(abbreviation[],0,ColumnLanguage),ColumnAbbreviation,FALSE),"")</f>
        <v/>
      </c>
      <c r="BX730" s="21" t="str">
        <f ca="1">IFERROR(VLOOKUP(AJ730,OFFSET(abbreviation[],0,ColumnLanguage),ColumnAbbreviation,FALSE),"")</f>
        <v/>
      </c>
      <c r="BY730" s="21" t="str">
        <f ca="1">IFERROR(VLOOKUP(AL730,OFFSET(abbreviation[],0,ColumnLanguage),ColumnAbbreviation,FALSE),"")</f>
        <v/>
      </c>
      <c r="BZ730" s="21" t="str">
        <f t="shared" ca="1" si="79"/>
        <v>_</v>
      </c>
      <c r="CA730" s="21" t="str">
        <f ca="1">IFERROR(VLOOKUP(AP730,OFFSET(abbreviation[],0,ColumnLanguage),ColumnAbbreviation,FALSE),"")</f>
        <v/>
      </c>
      <c r="CB730" s="21" t="str">
        <f ca="1">IFERROR(VLOOKUP(AR730,OFFSET(abbreviation[],0,ColumnLanguage),ColumnAbbreviation,FALSE),"")</f>
        <v/>
      </c>
      <c r="CC730" s="21" t="str">
        <f ca="1">IFERROR(VLOOKUP(AT730,OFFSET(abbreviation[],0,ColumnLanguage),ColumnAbbreviation,FALSE),"")</f>
        <v/>
      </c>
      <c r="CD730" s="21" t="str">
        <f ca="1">IFERROR(VLOOKUP(AV730,OFFSET(abbreviation[],0,ColumnLanguage),ColumnAbbreviation,FALSE),"")</f>
        <v/>
      </c>
      <c r="CE730" s="21" t="str">
        <f t="shared" ca="1" si="80"/>
        <v>__</v>
      </c>
      <c r="CF730" s="21" t="str">
        <f ca="1">IFERROR(VLOOKUP(AX730,OFFSET(abbreviation[],0,ColumnLanguage),ColumnAbbreviation,FALSE),"")</f>
        <v/>
      </c>
      <c r="CG730" s="21" t="str">
        <f ca="1">IFERROR(VLOOKUP(AZ730,OFFSET(abbreviation[],0,ColumnLanguage),ColumnAbbreviation,FALSE),"")</f>
        <v/>
      </c>
      <c r="CH730" s="21" t="str">
        <f ca="1">IFERROR(VLOOKUP(BB730,OFFSET(abbreviation[],0,ColumnLanguage),ColumnAbbreviation,FALSE),"")</f>
        <v/>
      </c>
      <c r="CI730" s="21" t="str">
        <f ca="1">IFERROR(VLOOKUP(BD730,OFFSET(abbreviation[],0,ColumnLanguage),ColumnAbbreviation,FALSE),"")</f>
        <v/>
      </c>
      <c r="CJ730" s="21" t="str">
        <f ca="1">IFERROR(VLOOKUP(BF730,OFFSET(abbreviation[],0,ColumnLanguage),ColumnAbbreviation,FALSE),"")</f>
        <v/>
      </c>
      <c r="CK730" s="21" t="str">
        <f t="shared" ca="1" si="81"/>
        <v/>
      </c>
      <c r="CL730" s="21" t="str">
        <f t="shared" si="82"/>
        <v/>
      </c>
      <c r="CM730" s="52"/>
      <c r="CN730" s="57" t="str">
        <f t="shared" si="83"/>
        <v/>
      </c>
    </row>
    <row r="731" spans="17:92" x14ac:dyDescent="0.25">
      <c r="Q731" s="13"/>
      <c r="V731" s="60"/>
      <c r="X731" s="61"/>
      <c r="AB731" s="60"/>
      <c r="AN731" s="54"/>
      <c r="AS731" s="15"/>
      <c r="BH731" s="52"/>
      <c r="BI731" s="21" t="str">
        <f ca="1">IFERROR(VLOOKUP(C731,OFFSET(abbreviation[],0,ColumnLanguage),ColumnAbbreviation,FALSE),"")</f>
        <v/>
      </c>
      <c r="BJ731" s="21" t="str">
        <f ca="1">IFERROR(VLOOKUP(E731,OFFSET(abbreviation[],0,ColumnLanguage),ColumnAbbreviation,FALSE),"")</f>
        <v/>
      </c>
      <c r="BK731" s="21" t="str">
        <f ca="1">IFERROR(VLOOKUP(G731,OFFSET(abbreviation[],0,ColumnLanguage),ColumnAbbreviation,FALSE),"")</f>
        <v/>
      </c>
      <c r="BL731" s="21" t="str">
        <f ca="1">IFERROR(VLOOKUP(I731,OFFSET(abbreviation[],0,ColumnLanguage),ColumnAbbreviation,FALSE),"")</f>
        <v/>
      </c>
      <c r="BM731" s="21" t="str">
        <f ca="1">IFERROR(VLOOKUP(K731,OFFSET(abbreviation[],0,ColumnLanguage),ColumnAbbreviation,FALSE),"")</f>
        <v/>
      </c>
      <c r="BN731" s="21" t="str">
        <f t="shared" ca="1" si="77"/>
        <v/>
      </c>
      <c r="BO731" s="21" t="str">
        <f ca="1">IFERROR(VLOOKUP(N731,OFFSET(abbreviation[],0,ColumnLanguage),ColumnAbbreviation,FALSE),"")</f>
        <v/>
      </c>
      <c r="BP731" s="21" t="str">
        <f ca="1">IFERROR(VLOOKUP(P731,OFFSET(abbreviation[],0,ColumnLanguage),ColumnAbbreviation,FALSE),"")</f>
        <v/>
      </c>
      <c r="BQ731" s="21" t="str">
        <f ca="1">IFERROR(VLOOKUP(T731,OFFSET(abbreviation[],0,ColumnLanguage),ColumnAbbreviation,FALSE),"")</f>
        <v/>
      </c>
      <c r="BR731" s="21" t="str">
        <f ca="1">IFERROR(VLOOKUP(V731,OFFSET(abbreviation[],0,ColumnLanguage),ColumnAbbreviation,FALSE),"")</f>
        <v/>
      </c>
      <c r="BS731" s="21" t="str">
        <f ca="1">IFERROR(VLOOKUP(Z731,OFFSET(abbreviation[],0,ColumnLanguage),ColumnAbbreviation,FALSE),"")</f>
        <v/>
      </c>
      <c r="BT731" s="21" t="str">
        <f ca="1">IFERROR(VLOOKUP(AB731,OFFSET(abbreviation[],0,ColumnLanguage),ColumnAbbreviation,FALSE),"")</f>
        <v/>
      </c>
      <c r="BU731" s="21" t="str">
        <f t="shared" ca="1" si="78"/>
        <v>__</v>
      </c>
      <c r="BV731" s="21" t="str">
        <f ca="1">IFERROR(VLOOKUP(AF731,OFFSET(abbreviation[],0,ColumnLanguage),ColumnAbbreviation,FALSE),"")</f>
        <v/>
      </c>
      <c r="BW731" s="21" t="str">
        <f ca="1">IFERROR(VLOOKUP(AH731,OFFSET(abbreviation[],0,ColumnLanguage),ColumnAbbreviation,FALSE),"")</f>
        <v/>
      </c>
      <c r="BX731" s="21" t="str">
        <f ca="1">IFERROR(VLOOKUP(AJ731,OFFSET(abbreviation[],0,ColumnLanguage),ColumnAbbreviation,FALSE),"")</f>
        <v/>
      </c>
      <c r="BY731" s="21" t="str">
        <f ca="1">IFERROR(VLOOKUP(AL731,OFFSET(abbreviation[],0,ColumnLanguage),ColumnAbbreviation,FALSE),"")</f>
        <v/>
      </c>
      <c r="BZ731" s="21" t="str">
        <f t="shared" ca="1" si="79"/>
        <v>_</v>
      </c>
      <c r="CA731" s="21" t="str">
        <f ca="1">IFERROR(VLOOKUP(AP731,OFFSET(abbreviation[],0,ColumnLanguage),ColumnAbbreviation,FALSE),"")</f>
        <v/>
      </c>
      <c r="CB731" s="21" t="str">
        <f ca="1">IFERROR(VLOOKUP(AR731,OFFSET(abbreviation[],0,ColumnLanguage),ColumnAbbreviation,FALSE),"")</f>
        <v/>
      </c>
      <c r="CC731" s="21" t="str">
        <f ca="1">IFERROR(VLOOKUP(AT731,OFFSET(abbreviation[],0,ColumnLanguage),ColumnAbbreviation,FALSE),"")</f>
        <v/>
      </c>
      <c r="CD731" s="21" t="str">
        <f ca="1">IFERROR(VLOOKUP(AV731,OFFSET(abbreviation[],0,ColumnLanguage),ColumnAbbreviation,FALSE),"")</f>
        <v/>
      </c>
      <c r="CE731" s="21" t="str">
        <f t="shared" ca="1" si="80"/>
        <v>__</v>
      </c>
      <c r="CF731" s="21" t="str">
        <f ca="1">IFERROR(VLOOKUP(AX731,OFFSET(abbreviation[],0,ColumnLanguage),ColumnAbbreviation,FALSE),"")</f>
        <v/>
      </c>
      <c r="CG731" s="21" t="str">
        <f ca="1">IFERROR(VLOOKUP(AZ731,OFFSET(abbreviation[],0,ColumnLanguage),ColumnAbbreviation,FALSE),"")</f>
        <v/>
      </c>
      <c r="CH731" s="21" t="str">
        <f ca="1">IFERROR(VLOOKUP(BB731,OFFSET(abbreviation[],0,ColumnLanguage),ColumnAbbreviation,FALSE),"")</f>
        <v/>
      </c>
      <c r="CI731" s="21" t="str">
        <f ca="1">IFERROR(VLOOKUP(BD731,OFFSET(abbreviation[],0,ColumnLanguage),ColumnAbbreviation,FALSE),"")</f>
        <v/>
      </c>
      <c r="CJ731" s="21" t="str">
        <f ca="1">IFERROR(VLOOKUP(BF731,OFFSET(abbreviation[],0,ColumnLanguage),ColumnAbbreviation,FALSE),"")</f>
        <v/>
      </c>
      <c r="CK731" s="21" t="str">
        <f t="shared" ca="1" si="81"/>
        <v/>
      </c>
      <c r="CL731" s="21" t="str">
        <f t="shared" si="82"/>
        <v/>
      </c>
      <c r="CM731" s="52"/>
      <c r="CN731" s="57" t="str">
        <f t="shared" si="83"/>
        <v/>
      </c>
    </row>
    <row r="732" spans="17:92" x14ac:dyDescent="0.25">
      <c r="Q732" s="13"/>
      <c r="V732" s="60"/>
      <c r="X732" s="61"/>
      <c r="AB732" s="60"/>
      <c r="AN732" s="54"/>
      <c r="AS732" s="15"/>
      <c r="BH732" s="52"/>
      <c r="BI732" s="21" t="str">
        <f ca="1">IFERROR(VLOOKUP(C732,OFFSET(abbreviation[],0,ColumnLanguage),ColumnAbbreviation,FALSE),"")</f>
        <v/>
      </c>
      <c r="BJ732" s="21" t="str">
        <f ca="1">IFERROR(VLOOKUP(E732,OFFSET(abbreviation[],0,ColumnLanguage),ColumnAbbreviation,FALSE),"")</f>
        <v/>
      </c>
      <c r="BK732" s="21" t="str">
        <f ca="1">IFERROR(VLOOKUP(G732,OFFSET(abbreviation[],0,ColumnLanguage),ColumnAbbreviation,FALSE),"")</f>
        <v/>
      </c>
      <c r="BL732" s="21" t="str">
        <f ca="1">IFERROR(VLOOKUP(I732,OFFSET(abbreviation[],0,ColumnLanguage),ColumnAbbreviation,FALSE),"")</f>
        <v/>
      </c>
      <c r="BM732" s="21" t="str">
        <f ca="1">IFERROR(VLOOKUP(K732,OFFSET(abbreviation[],0,ColumnLanguage),ColumnAbbreviation,FALSE),"")</f>
        <v/>
      </c>
      <c r="BN732" s="21" t="str">
        <f t="shared" ca="1" si="77"/>
        <v/>
      </c>
      <c r="BO732" s="21" t="str">
        <f ca="1">IFERROR(VLOOKUP(N732,OFFSET(abbreviation[],0,ColumnLanguage),ColumnAbbreviation,FALSE),"")</f>
        <v/>
      </c>
      <c r="BP732" s="21" t="str">
        <f ca="1">IFERROR(VLOOKUP(P732,OFFSET(abbreviation[],0,ColumnLanguage),ColumnAbbreviation,FALSE),"")</f>
        <v/>
      </c>
      <c r="BQ732" s="21" t="str">
        <f ca="1">IFERROR(VLOOKUP(T732,OFFSET(abbreviation[],0,ColumnLanguage),ColumnAbbreviation,FALSE),"")</f>
        <v/>
      </c>
      <c r="BR732" s="21" t="str">
        <f ca="1">IFERROR(VLOOKUP(V732,OFFSET(abbreviation[],0,ColumnLanguage),ColumnAbbreviation,FALSE),"")</f>
        <v/>
      </c>
      <c r="BS732" s="21" t="str">
        <f ca="1">IFERROR(VLOOKUP(Z732,OFFSET(abbreviation[],0,ColumnLanguage),ColumnAbbreviation,FALSE),"")</f>
        <v/>
      </c>
      <c r="BT732" s="21" t="str">
        <f ca="1">IFERROR(VLOOKUP(AB732,OFFSET(abbreviation[],0,ColumnLanguage),ColumnAbbreviation,FALSE),"")</f>
        <v/>
      </c>
      <c r="BU732" s="21" t="str">
        <f t="shared" ca="1" si="78"/>
        <v>__</v>
      </c>
      <c r="BV732" s="21" t="str">
        <f ca="1">IFERROR(VLOOKUP(AF732,OFFSET(abbreviation[],0,ColumnLanguage),ColumnAbbreviation,FALSE),"")</f>
        <v/>
      </c>
      <c r="BW732" s="21" t="str">
        <f ca="1">IFERROR(VLOOKUP(AH732,OFFSET(abbreviation[],0,ColumnLanguage),ColumnAbbreviation,FALSE),"")</f>
        <v/>
      </c>
      <c r="BX732" s="21" t="str">
        <f ca="1">IFERROR(VLOOKUP(AJ732,OFFSET(abbreviation[],0,ColumnLanguage),ColumnAbbreviation,FALSE),"")</f>
        <v/>
      </c>
      <c r="BY732" s="21" t="str">
        <f ca="1">IFERROR(VLOOKUP(AL732,OFFSET(abbreviation[],0,ColumnLanguage),ColumnAbbreviation,FALSE),"")</f>
        <v/>
      </c>
      <c r="BZ732" s="21" t="str">
        <f t="shared" ca="1" si="79"/>
        <v>_</v>
      </c>
      <c r="CA732" s="21" t="str">
        <f ca="1">IFERROR(VLOOKUP(AP732,OFFSET(abbreviation[],0,ColumnLanguage),ColumnAbbreviation,FALSE),"")</f>
        <v/>
      </c>
      <c r="CB732" s="21" t="str">
        <f ca="1">IFERROR(VLOOKUP(AR732,OFFSET(abbreviation[],0,ColumnLanguage),ColumnAbbreviation,FALSE),"")</f>
        <v/>
      </c>
      <c r="CC732" s="21" t="str">
        <f ca="1">IFERROR(VLOOKUP(AT732,OFFSET(abbreviation[],0,ColumnLanguage),ColumnAbbreviation,FALSE),"")</f>
        <v/>
      </c>
      <c r="CD732" s="21" t="str">
        <f ca="1">IFERROR(VLOOKUP(AV732,OFFSET(abbreviation[],0,ColumnLanguage),ColumnAbbreviation,FALSE),"")</f>
        <v/>
      </c>
      <c r="CE732" s="21" t="str">
        <f t="shared" ca="1" si="80"/>
        <v>__</v>
      </c>
      <c r="CF732" s="21" t="str">
        <f ca="1">IFERROR(VLOOKUP(AX732,OFFSET(abbreviation[],0,ColumnLanguage),ColumnAbbreviation,FALSE),"")</f>
        <v/>
      </c>
      <c r="CG732" s="21" t="str">
        <f ca="1">IFERROR(VLOOKUP(AZ732,OFFSET(abbreviation[],0,ColumnLanguage),ColumnAbbreviation,FALSE),"")</f>
        <v/>
      </c>
      <c r="CH732" s="21" t="str">
        <f ca="1">IFERROR(VLOOKUP(BB732,OFFSET(abbreviation[],0,ColumnLanguage),ColumnAbbreviation,FALSE),"")</f>
        <v/>
      </c>
      <c r="CI732" s="21" t="str">
        <f ca="1">IFERROR(VLOOKUP(BD732,OFFSET(abbreviation[],0,ColumnLanguage),ColumnAbbreviation,FALSE),"")</f>
        <v/>
      </c>
      <c r="CJ732" s="21" t="str">
        <f ca="1">IFERROR(VLOOKUP(BF732,OFFSET(abbreviation[],0,ColumnLanguage),ColumnAbbreviation,FALSE),"")</f>
        <v/>
      </c>
      <c r="CK732" s="21" t="str">
        <f t="shared" ca="1" si="81"/>
        <v/>
      </c>
      <c r="CL732" s="21" t="str">
        <f t="shared" si="82"/>
        <v/>
      </c>
      <c r="CM732" s="52"/>
      <c r="CN732" s="57" t="str">
        <f t="shared" si="83"/>
        <v/>
      </c>
    </row>
    <row r="733" spans="17:92" x14ac:dyDescent="0.25">
      <c r="Q733" s="13"/>
      <c r="V733" s="60"/>
      <c r="X733" s="61"/>
      <c r="AB733" s="60"/>
      <c r="AN733" s="54"/>
      <c r="AS733" s="15"/>
      <c r="BH733" s="52"/>
      <c r="BI733" s="21" t="str">
        <f ca="1">IFERROR(VLOOKUP(C733,OFFSET(abbreviation[],0,ColumnLanguage),ColumnAbbreviation,FALSE),"")</f>
        <v/>
      </c>
      <c r="BJ733" s="21" t="str">
        <f ca="1">IFERROR(VLOOKUP(E733,OFFSET(abbreviation[],0,ColumnLanguage),ColumnAbbreviation,FALSE),"")</f>
        <v/>
      </c>
      <c r="BK733" s="21" t="str">
        <f ca="1">IFERROR(VLOOKUP(G733,OFFSET(abbreviation[],0,ColumnLanguage),ColumnAbbreviation,FALSE),"")</f>
        <v/>
      </c>
      <c r="BL733" s="21" t="str">
        <f ca="1">IFERROR(VLOOKUP(I733,OFFSET(abbreviation[],0,ColumnLanguage),ColumnAbbreviation,FALSE),"")</f>
        <v/>
      </c>
      <c r="BM733" s="21" t="str">
        <f ca="1">IFERROR(VLOOKUP(K733,OFFSET(abbreviation[],0,ColumnLanguage),ColumnAbbreviation,FALSE),"")</f>
        <v/>
      </c>
      <c r="BN733" s="21" t="str">
        <f t="shared" ca="1" si="77"/>
        <v/>
      </c>
      <c r="BO733" s="21" t="str">
        <f ca="1">IFERROR(VLOOKUP(N733,OFFSET(abbreviation[],0,ColumnLanguage),ColumnAbbreviation,FALSE),"")</f>
        <v/>
      </c>
      <c r="BP733" s="21" t="str">
        <f ca="1">IFERROR(VLOOKUP(P733,OFFSET(abbreviation[],0,ColumnLanguage),ColumnAbbreviation,FALSE),"")</f>
        <v/>
      </c>
      <c r="BQ733" s="21" t="str">
        <f ca="1">IFERROR(VLOOKUP(T733,OFFSET(abbreviation[],0,ColumnLanguage),ColumnAbbreviation,FALSE),"")</f>
        <v/>
      </c>
      <c r="BR733" s="21" t="str">
        <f ca="1">IFERROR(VLOOKUP(V733,OFFSET(abbreviation[],0,ColumnLanguage),ColumnAbbreviation,FALSE),"")</f>
        <v/>
      </c>
      <c r="BS733" s="21" t="str">
        <f ca="1">IFERROR(VLOOKUP(Z733,OFFSET(abbreviation[],0,ColumnLanguage),ColumnAbbreviation,FALSE),"")</f>
        <v/>
      </c>
      <c r="BT733" s="21" t="str">
        <f ca="1">IFERROR(VLOOKUP(AB733,OFFSET(abbreviation[],0,ColumnLanguage),ColumnAbbreviation,FALSE),"")</f>
        <v/>
      </c>
      <c r="BU733" s="21" t="str">
        <f t="shared" ca="1" si="78"/>
        <v>__</v>
      </c>
      <c r="BV733" s="21" t="str">
        <f ca="1">IFERROR(VLOOKUP(AF733,OFFSET(abbreviation[],0,ColumnLanguage),ColumnAbbreviation,FALSE),"")</f>
        <v/>
      </c>
      <c r="BW733" s="21" t="str">
        <f ca="1">IFERROR(VLOOKUP(AH733,OFFSET(abbreviation[],0,ColumnLanguage),ColumnAbbreviation,FALSE),"")</f>
        <v/>
      </c>
      <c r="BX733" s="21" t="str">
        <f ca="1">IFERROR(VLOOKUP(AJ733,OFFSET(abbreviation[],0,ColumnLanguage),ColumnAbbreviation,FALSE),"")</f>
        <v/>
      </c>
      <c r="BY733" s="21" t="str">
        <f ca="1">IFERROR(VLOOKUP(AL733,OFFSET(abbreviation[],0,ColumnLanguage),ColumnAbbreviation,FALSE),"")</f>
        <v/>
      </c>
      <c r="BZ733" s="21" t="str">
        <f t="shared" ca="1" si="79"/>
        <v>_</v>
      </c>
      <c r="CA733" s="21" t="str">
        <f ca="1">IFERROR(VLOOKUP(AP733,OFFSET(abbreviation[],0,ColumnLanguage),ColumnAbbreviation,FALSE),"")</f>
        <v/>
      </c>
      <c r="CB733" s="21" t="str">
        <f ca="1">IFERROR(VLOOKUP(AR733,OFFSET(abbreviation[],0,ColumnLanguage),ColumnAbbreviation,FALSE),"")</f>
        <v/>
      </c>
      <c r="CC733" s="21" t="str">
        <f ca="1">IFERROR(VLOOKUP(AT733,OFFSET(abbreviation[],0,ColumnLanguage),ColumnAbbreviation,FALSE),"")</f>
        <v/>
      </c>
      <c r="CD733" s="21" t="str">
        <f ca="1">IFERROR(VLOOKUP(AV733,OFFSET(abbreviation[],0,ColumnLanguage),ColumnAbbreviation,FALSE),"")</f>
        <v/>
      </c>
      <c r="CE733" s="21" t="str">
        <f t="shared" ca="1" si="80"/>
        <v>__</v>
      </c>
      <c r="CF733" s="21" t="str">
        <f ca="1">IFERROR(VLOOKUP(AX733,OFFSET(abbreviation[],0,ColumnLanguage),ColumnAbbreviation,FALSE),"")</f>
        <v/>
      </c>
      <c r="CG733" s="21" t="str">
        <f ca="1">IFERROR(VLOOKUP(AZ733,OFFSET(abbreviation[],0,ColumnLanguage),ColumnAbbreviation,FALSE),"")</f>
        <v/>
      </c>
      <c r="CH733" s="21" t="str">
        <f ca="1">IFERROR(VLOOKUP(BB733,OFFSET(abbreviation[],0,ColumnLanguage),ColumnAbbreviation,FALSE),"")</f>
        <v/>
      </c>
      <c r="CI733" s="21" t="str">
        <f ca="1">IFERROR(VLOOKUP(BD733,OFFSET(abbreviation[],0,ColumnLanguage),ColumnAbbreviation,FALSE),"")</f>
        <v/>
      </c>
      <c r="CJ733" s="21" t="str">
        <f ca="1">IFERROR(VLOOKUP(BF733,OFFSET(abbreviation[],0,ColumnLanguage),ColumnAbbreviation,FALSE),"")</f>
        <v/>
      </c>
      <c r="CK733" s="21" t="str">
        <f t="shared" ca="1" si="81"/>
        <v/>
      </c>
      <c r="CL733" s="21" t="str">
        <f t="shared" si="82"/>
        <v/>
      </c>
      <c r="CM733" s="52"/>
      <c r="CN733" s="57" t="str">
        <f t="shared" si="83"/>
        <v/>
      </c>
    </row>
    <row r="734" spans="17:92" x14ac:dyDescent="0.25">
      <c r="Q734" s="13"/>
      <c r="V734" s="60"/>
      <c r="X734" s="61"/>
      <c r="AB734" s="60"/>
      <c r="AN734" s="54"/>
      <c r="AS734" s="15"/>
      <c r="BH734" s="52"/>
      <c r="BI734" s="21" t="str">
        <f ca="1">IFERROR(VLOOKUP(C734,OFFSET(abbreviation[],0,ColumnLanguage),ColumnAbbreviation,FALSE),"")</f>
        <v/>
      </c>
      <c r="BJ734" s="21" t="str">
        <f ca="1">IFERROR(VLOOKUP(E734,OFFSET(abbreviation[],0,ColumnLanguage),ColumnAbbreviation,FALSE),"")</f>
        <v/>
      </c>
      <c r="BK734" s="21" t="str">
        <f ca="1">IFERROR(VLOOKUP(G734,OFFSET(abbreviation[],0,ColumnLanguage),ColumnAbbreviation,FALSE),"")</f>
        <v/>
      </c>
      <c r="BL734" s="21" t="str">
        <f ca="1">IFERROR(VLOOKUP(I734,OFFSET(abbreviation[],0,ColumnLanguage),ColumnAbbreviation,FALSE),"")</f>
        <v/>
      </c>
      <c r="BM734" s="21" t="str">
        <f ca="1">IFERROR(VLOOKUP(K734,OFFSET(abbreviation[],0,ColumnLanguage),ColumnAbbreviation,FALSE),"")</f>
        <v/>
      </c>
      <c r="BN734" s="21" t="str">
        <f t="shared" ca="1" si="77"/>
        <v/>
      </c>
      <c r="BO734" s="21" t="str">
        <f ca="1">IFERROR(VLOOKUP(N734,OFFSET(abbreviation[],0,ColumnLanguage),ColumnAbbreviation,FALSE),"")</f>
        <v/>
      </c>
      <c r="BP734" s="21" t="str">
        <f ca="1">IFERROR(VLOOKUP(P734,OFFSET(abbreviation[],0,ColumnLanguage),ColumnAbbreviation,FALSE),"")</f>
        <v/>
      </c>
      <c r="BQ734" s="21" t="str">
        <f ca="1">IFERROR(VLOOKUP(T734,OFFSET(abbreviation[],0,ColumnLanguage),ColumnAbbreviation,FALSE),"")</f>
        <v/>
      </c>
      <c r="BR734" s="21" t="str">
        <f ca="1">IFERROR(VLOOKUP(V734,OFFSET(abbreviation[],0,ColumnLanguage),ColumnAbbreviation,FALSE),"")</f>
        <v/>
      </c>
      <c r="BS734" s="21" t="str">
        <f ca="1">IFERROR(VLOOKUP(Z734,OFFSET(abbreviation[],0,ColumnLanguage),ColumnAbbreviation,FALSE),"")</f>
        <v/>
      </c>
      <c r="BT734" s="21" t="str">
        <f ca="1">IFERROR(VLOOKUP(AB734,OFFSET(abbreviation[],0,ColumnLanguage),ColumnAbbreviation,FALSE),"")</f>
        <v/>
      </c>
      <c r="BU734" s="21" t="str">
        <f t="shared" ca="1" si="78"/>
        <v>__</v>
      </c>
      <c r="BV734" s="21" t="str">
        <f ca="1">IFERROR(VLOOKUP(AF734,OFFSET(abbreviation[],0,ColumnLanguage),ColumnAbbreviation,FALSE),"")</f>
        <v/>
      </c>
      <c r="BW734" s="21" t="str">
        <f ca="1">IFERROR(VLOOKUP(AH734,OFFSET(abbreviation[],0,ColumnLanguage),ColumnAbbreviation,FALSE),"")</f>
        <v/>
      </c>
      <c r="BX734" s="21" t="str">
        <f ca="1">IFERROR(VLOOKUP(AJ734,OFFSET(abbreviation[],0,ColumnLanguage),ColumnAbbreviation,FALSE),"")</f>
        <v/>
      </c>
      <c r="BY734" s="21" t="str">
        <f ca="1">IFERROR(VLOOKUP(AL734,OFFSET(abbreviation[],0,ColumnLanguage),ColumnAbbreviation,FALSE),"")</f>
        <v/>
      </c>
      <c r="BZ734" s="21" t="str">
        <f t="shared" ca="1" si="79"/>
        <v>_</v>
      </c>
      <c r="CA734" s="21" t="str">
        <f ca="1">IFERROR(VLOOKUP(AP734,OFFSET(abbreviation[],0,ColumnLanguage),ColumnAbbreviation,FALSE),"")</f>
        <v/>
      </c>
      <c r="CB734" s="21" t="str">
        <f ca="1">IFERROR(VLOOKUP(AR734,OFFSET(abbreviation[],0,ColumnLanguage),ColumnAbbreviation,FALSE),"")</f>
        <v/>
      </c>
      <c r="CC734" s="21" t="str">
        <f ca="1">IFERROR(VLOOKUP(AT734,OFFSET(abbreviation[],0,ColumnLanguage),ColumnAbbreviation,FALSE),"")</f>
        <v/>
      </c>
      <c r="CD734" s="21" t="str">
        <f ca="1">IFERROR(VLOOKUP(AV734,OFFSET(abbreviation[],0,ColumnLanguage),ColumnAbbreviation,FALSE),"")</f>
        <v/>
      </c>
      <c r="CE734" s="21" t="str">
        <f t="shared" ca="1" si="80"/>
        <v>__</v>
      </c>
      <c r="CF734" s="21" t="str">
        <f ca="1">IFERROR(VLOOKUP(AX734,OFFSET(abbreviation[],0,ColumnLanguage),ColumnAbbreviation,FALSE),"")</f>
        <v/>
      </c>
      <c r="CG734" s="21" t="str">
        <f ca="1">IFERROR(VLOOKUP(AZ734,OFFSET(abbreviation[],0,ColumnLanguage),ColumnAbbreviation,FALSE),"")</f>
        <v/>
      </c>
      <c r="CH734" s="21" t="str">
        <f ca="1">IFERROR(VLOOKUP(BB734,OFFSET(abbreviation[],0,ColumnLanguage),ColumnAbbreviation,FALSE),"")</f>
        <v/>
      </c>
      <c r="CI734" s="21" t="str">
        <f ca="1">IFERROR(VLOOKUP(BD734,OFFSET(abbreviation[],0,ColumnLanguage),ColumnAbbreviation,FALSE),"")</f>
        <v/>
      </c>
      <c r="CJ734" s="21" t="str">
        <f ca="1">IFERROR(VLOOKUP(BF734,OFFSET(abbreviation[],0,ColumnLanguage),ColumnAbbreviation,FALSE),"")</f>
        <v/>
      </c>
      <c r="CK734" s="21" t="str">
        <f t="shared" ca="1" si="81"/>
        <v/>
      </c>
      <c r="CL734" s="21" t="str">
        <f t="shared" si="82"/>
        <v/>
      </c>
      <c r="CM734" s="52"/>
      <c r="CN734" s="57" t="str">
        <f t="shared" si="83"/>
        <v/>
      </c>
    </row>
    <row r="735" spans="17:92" x14ac:dyDescent="0.25">
      <c r="Q735" s="13"/>
      <c r="V735" s="60"/>
      <c r="X735" s="61"/>
      <c r="AB735" s="60"/>
      <c r="AN735" s="54"/>
      <c r="AS735" s="15"/>
      <c r="BH735" s="52"/>
      <c r="BI735" s="21" t="str">
        <f ca="1">IFERROR(VLOOKUP(C735,OFFSET(abbreviation[],0,ColumnLanguage),ColumnAbbreviation,FALSE),"")</f>
        <v/>
      </c>
      <c r="BJ735" s="21" t="str">
        <f ca="1">IFERROR(VLOOKUP(E735,OFFSET(abbreviation[],0,ColumnLanguage),ColumnAbbreviation,FALSE),"")</f>
        <v/>
      </c>
      <c r="BK735" s="21" t="str">
        <f ca="1">IFERROR(VLOOKUP(G735,OFFSET(abbreviation[],0,ColumnLanguage),ColumnAbbreviation,FALSE),"")</f>
        <v/>
      </c>
      <c r="BL735" s="21" t="str">
        <f ca="1">IFERROR(VLOOKUP(I735,OFFSET(abbreviation[],0,ColumnLanguage),ColumnAbbreviation,FALSE),"")</f>
        <v/>
      </c>
      <c r="BM735" s="21" t="str">
        <f ca="1">IFERROR(VLOOKUP(K735,OFFSET(abbreviation[],0,ColumnLanguage),ColumnAbbreviation,FALSE),"")</f>
        <v/>
      </c>
      <c r="BN735" s="21" t="str">
        <f t="shared" ca="1" si="77"/>
        <v/>
      </c>
      <c r="BO735" s="21" t="str">
        <f ca="1">IFERROR(VLOOKUP(N735,OFFSET(abbreviation[],0,ColumnLanguage),ColumnAbbreviation,FALSE),"")</f>
        <v/>
      </c>
      <c r="BP735" s="21" t="str">
        <f ca="1">IFERROR(VLOOKUP(P735,OFFSET(abbreviation[],0,ColumnLanguage),ColumnAbbreviation,FALSE),"")</f>
        <v/>
      </c>
      <c r="BQ735" s="21" t="str">
        <f ca="1">IFERROR(VLOOKUP(T735,OFFSET(abbreviation[],0,ColumnLanguage),ColumnAbbreviation,FALSE),"")</f>
        <v/>
      </c>
      <c r="BR735" s="21" t="str">
        <f ca="1">IFERROR(VLOOKUP(V735,OFFSET(abbreviation[],0,ColumnLanguage),ColumnAbbreviation,FALSE),"")</f>
        <v/>
      </c>
      <c r="BS735" s="21" t="str">
        <f ca="1">IFERROR(VLOOKUP(Z735,OFFSET(abbreviation[],0,ColumnLanguage),ColumnAbbreviation,FALSE),"")</f>
        <v/>
      </c>
      <c r="BT735" s="21" t="str">
        <f ca="1">IFERROR(VLOOKUP(AB735,OFFSET(abbreviation[],0,ColumnLanguage),ColumnAbbreviation,FALSE),"")</f>
        <v/>
      </c>
      <c r="BU735" s="21" t="str">
        <f t="shared" ca="1" si="78"/>
        <v>__</v>
      </c>
      <c r="BV735" s="21" t="str">
        <f ca="1">IFERROR(VLOOKUP(AF735,OFFSET(abbreviation[],0,ColumnLanguage),ColumnAbbreviation,FALSE),"")</f>
        <v/>
      </c>
      <c r="BW735" s="21" t="str">
        <f ca="1">IFERROR(VLOOKUP(AH735,OFFSET(abbreviation[],0,ColumnLanguage),ColumnAbbreviation,FALSE),"")</f>
        <v/>
      </c>
      <c r="BX735" s="21" t="str">
        <f ca="1">IFERROR(VLOOKUP(AJ735,OFFSET(abbreviation[],0,ColumnLanguage),ColumnAbbreviation,FALSE),"")</f>
        <v/>
      </c>
      <c r="BY735" s="21" t="str">
        <f ca="1">IFERROR(VLOOKUP(AL735,OFFSET(abbreviation[],0,ColumnLanguage),ColumnAbbreviation,FALSE),"")</f>
        <v/>
      </c>
      <c r="BZ735" s="21" t="str">
        <f t="shared" ca="1" si="79"/>
        <v>_</v>
      </c>
      <c r="CA735" s="21" t="str">
        <f ca="1">IFERROR(VLOOKUP(AP735,OFFSET(abbreviation[],0,ColumnLanguage),ColumnAbbreviation,FALSE),"")</f>
        <v/>
      </c>
      <c r="CB735" s="21" t="str">
        <f ca="1">IFERROR(VLOOKUP(AR735,OFFSET(abbreviation[],0,ColumnLanguage),ColumnAbbreviation,FALSE),"")</f>
        <v/>
      </c>
      <c r="CC735" s="21" t="str">
        <f ca="1">IFERROR(VLOOKUP(AT735,OFFSET(abbreviation[],0,ColumnLanguage),ColumnAbbreviation,FALSE),"")</f>
        <v/>
      </c>
      <c r="CD735" s="21" t="str">
        <f ca="1">IFERROR(VLOOKUP(AV735,OFFSET(abbreviation[],0,ColumnLanguage),ColumnAbbreviation,FALSE),"")</f>
        <v/>
      </c>
      <c r="CE735" s="21" t="str">
        <f t="shared" ca="1" si="80"/>
        <v>__</v>
      </c>
      <c r="CF735" s="21" t="str">
        <f ca="1">IFERROR(VLOOKUP(AX735,OFFSET(abbreviation[],0,ColumnLanguage),ColumnAbbreviation,FALSE),"")</f>
        <v/>
      </c>
      <c r="CG735" s="21" t="str">
        <f ca="1">IFERROR(VLOOKUP(AZ735,OFFSET(abbreviation[],0,ColumnLanguage),ColumnAbbreviation,FALSE),"")</f>
        <v/>
      </c>
      <c r="CH735" s="21" t="str">
        <f ca="1">IFERROR(VLOOKUP(BB735,OFFSET(abbreviation[],0,ColumnLanguage),ColumnAbbreviation,FALSE),"")</f>
        <v/>
      </c>
      <c r="CI735" s="21" t="str">
        <f ca="1">IFERROR(VLOOKUP(BD735,OFFSET(abbreviation[],0,ColumnLanguage),ColumnAbbreviation,FALSE),"")</f>
        <v/>
      </c>
      <c r="CJ735" s="21" t="str">
        <f ca="1">IFERROR(VLOOKUP(BF735,OFFSET(abbreviation[],0,ColumnLanguage),ColumnAbbreviation,FALSE),"")</f>
        <v/>
      </c>
      <c r="CK735" s="21" t="str">
        <f t="shared" ca="1" si="81"/>
        <v/>
      </c>
      <c r="CL735" s="21" t="str">
        <f t="shared" si="82"/>
        <v/>
      </c>
      <c r="CM735" s="52"/>
      <c r="CN735" s="57" t="str">
        <f t="shared" si="83"/>
        <v/>
      </c>
    </row>
    <row r="736" spans="17:92" x14ac:dyDescent="0.25">
      <c r="Q736" s="13"/>
      <c r="V736" s="60"/>
      <c r="X736" s="61"/>
      <c r="AB736" s="60"/>
      <c r="AN736" s="54"/>
      <c r="AS736" s="15"/>
      <c r="BH736" s="52"/>
      <c r="BI736" s="21" t="str">
        <f ca="1">IFERROR(VLOOKUP(C736,OFFSET(abbreviation[],0,ColumnLanguage),ColumnAbbreviation,FALSE),"")</f>
        <v/>
      </c>
      <c r="BJ736" s="21" t="str">
        <f ca="1">IFERROR(VLOOKUP(E736,OFFSET(abbreviation[],0,ColumnLanguage),ColumnAbbreviation,FALSE),"")</f>
        <v/>
      </c>
      <c r="BK736" s="21" t="str">
        <f ca="1">IFERROR(VLOOKUP(G736,OFFSET(abbreviation[],0,ColumnLanguage),ColumnAbbreviation,FALSE),"")</f>
        <v/>
      </c>
      <c r="BL736" s="21" t="str">
        <f ca="1">IFERROR(VLOOKUP(I736,OFFSET(abbreviation[],0,ColumnLanguage),ColumnAbbreviation,FALSE),"")</f>
        <v/>
      </c>
      <c r="BM736" s="21" t="str">
        <f ca="1">IFERROR(VLOOKUP(K736,OFFSET(abbreviation[],0,ColumnLanguage),ColumnAbbreviation,FALSE),"")</f>
        <v/>
      </c>
      <c r="BN736" s="21" t="str">
        <f t="shared" ca="1" si="77"/>
        <v/>
      </c>
      <c r="BO736" s="21" t="str">
        <f ca="1">IFERROR(VLOOKUP(N736,OFFSET(abbreviation[],0,ColumnLanguage),ColumnAbbreviation,FALSE),"")</f>
        <v/>
      </c>
      <c r="BP736" s="21" t="str">
        <f ca="1">IFERROR(VLOOKUP(P736,OFFSET(abbreviation[],0,ColumnLanguage),ColumnAbbreviation,FALSE),"")</f>
        <v/>
      </c>
      <c r="BQ736" s="21" t="str">
        <f ca="1">IFERROR(VLOOKUP(T736,OFFSET(abbreviation[],0,ColumnLanguage),ColumnAbbreviation,FALSE),"")</f>
        <v/>
      </c>
      <c r="BR736" s="21" t="str">
        <f ca="1">IFERROR(VLOOKUP(V736,OFFSET(abbreviation[],0,ColumnLanguage),ColumnAbbreviation,FALSE),"")</f>
        <v/>
      </c>
      <c r="BS736" s="21" t="str">
        <f ca="1">IFERROR(VLOOKUP(Z736,OFFSET(abbreviation[],0,ColumnLanguage),ColumnAbbreviation,FALSE),"")</f>
        <v/>
      </c>
      <c r="BT736" s="21" t="str">
        <f ca="1">IFERROR(VLOOKUP(AB736,OFFSET(abbreviation[],0,ColumnLanguage),ColumnAbbreviation,FALSE),"")</f>
        <v/>
      </c>
      <c r="BU736" s="21" t="str">
        <f t="shared" ca="1" si="78"/>
        <v>__</v>
      </c>
      <c r="BV736" s="21" t="str">
        <f ca="1">IFERROR(VLOOKUP(AF736,OFFSET(abbreviation[],0,ColumnLanguage),ColumnAbbreviation,FALSE),"")</f>
        <v/>
      </c>
      <c r="BW736" s="21" t="str">
        <f ca="1">IFERROR(VLOOKUP(AH736,OFFSET(abbreviation[],0,ColumnLanguage),ColumnAbbreviation,FALSE),"")</f>
        <v/>
      </c>
      <c r="BX736" s="21" t="str">
        <f ca="1">IFERROR(VLOOKUP(AJ736,OFFSET(abbreviation[],0,ColumnLanguage),ColumnAbbreviation,FALSE),"")</f>
        <v/>
      </c>
      <c r="BY736" s="21" t="str">
        <f ca="1">IFERROR(VLOOKUP(AL736,OFFSET(abbreviation[],0,ColumnLanguage),ColumnAbbreviation,FALSE),"")</f>
        <v/>
      </c>
      <c r="BZ736" s="21" t="str">
        <f t="shared" ca="1" si="79"/>
        <v>_</v>
      </c>
      <c r="CA736" s="21" t="str">
        <f ca="1">IFERROR(VLOOKUP(AP736,OFFSET(abbreviation[],0,ColumnLanguage),ColumnAbbreviation,FALSE),"")</f>
        <v/>
      </c>
      <c r="CB736" s="21" t="str">
        <f ca="1">IFERROR(VLOOKUP(AR736,OFFSET(abbreviation[],0,ColumnLanguage),ColumnAbbreviation,FALSE),"")</f>
        <v/>
      </c>
      <c r="CC736" s="21" t="str">
        <f ca="1">IFERROR(VLOOKUP(AT736,OFFSET(abbreviation[],0,ColumnLanguage),ColumnAbbreviation,FALSE),"")</f>
        <v/>
      </c>
      <c r="CD736" s="21" t="str">
        <f ca="1">IFERROR(VLOOKUP(AV736,OFFSET(abbreviation[],0,ColumnLanguage),ColumnAbbreviation,FALSE),"")</f>
        <v/>
      </c>
      <c r="CE736" s="21" t="str">
        <f t="shared" ca="1" si="80"/>
        <v>__</v>
      </c>
      <c r="CF736" s="21" t="str">
        <f ca="1">IFERROR(VLOOKUP(AX736,OFFSET(abbreviation[],0,ColumnLanguage),ColumnAbbreviation,FALSE),"")</f>
        <v/>
      </c>
      <c r="CG736" s="21" t="str">
        <f ca="1">IFERROR(VLOOKUP(AZ736,OFFSET(abbreviation[],0,ColumnLanguage),ColumnAbbreviation,FALSE),"")</f>
        <v/>
      </c>
      <c r="CH736" s="21" t="str">
        <f ca="1">IFERROR(VLOOKUP(BB736,OFFSET(abbreviation[],0,ColumnLanguage),ColumnAbbreviation,FALSE),"")</f>
        <v/>
      </c>
      <c r="CI736" s="21" t="str">
        <f ca="1">IFERROR(VLOOKUP(BD736,OFFSET(abbreviation[],0,ColumnLanguage),ColumnAbbreviation,FALSE),"")</f>
        <v/>
      </c>
      <c r="CJ736" s="21" t="str">
        <f ca="1">IFERROR(VLOOKUP(BF736,OFFSET(abbreviation[],0,ColumnLanguage),ColumnAbbreviation,FALSE),"")</f>
        <v/>
      </c>
      <c r="CK736" s="21" t="str">
        <f t="shared" ca="1" si="81"/>
        <v/>
      </c>
      <c r="CL736" s="21" t="str">
        <f t="shared" si="82"/>
        <v/>
      </c>
      <c r="CM736" s="52"/>
      <c r="CN736" s="57" t="str">
        <f t="shared" si="83"/>
        <v/>
      </c>
    </row>
    <row r="737" spans="14:92" x14ac:dyDescent="0.25">
      <c r="Q737" s="13"/>
      <c r="V737" s="60"/>
      <c r="X737" s="61"/>
      <c r="AB737" s="60"/>
      <c r="AN737" s="54"/>
      <c r="AS737" s="15"/>
      <c r="BH737" s="52"/>
      <c r="BI737" s="21" t="str">
        <f ca="1">IFERROR(VLOOKUP(C737,OFFSET(abbreviation[],0,ColumnLanguage),ColumnAbbreviation,FALSE),"")</f>
        <v/>
      </c>
      <c r="BJ737" s="21" t="str">
        <f ca="1">IFERROR(VLOOKUP(E737,OFFSET(abbreviation[],0,ColumnLanguage),ColumnAbbreviation,FALSE),"")</f>
        <v/>
      </c>
      <c r="BK737" s="21" t="str">
        <f ca="1">IFERROR(VLOOKUP(G737,OFFSET(abbreviation[],0,ColumnLanguage),ColumnAbbreviation,FALSE),"")</f>
        <v/>
      </c>
      <c r="BL737" s="21" t="str">
        <f ca="1">IFERROR(VLOOKUP(I737,OFFSET(abbreviation[],0,ColumnLanguage),ColumnAbbreviation,FALSE),"")</f>
        <v/>
      </c>
      <c r="BM737" s="21" t="str">
        <f ca="1">IFERROR(VLOOKUP(K737,OFFSET(abbreviation[],0,ColumnLanguage),ColumnAbbreviation,FALSE),"")</f>
        <v/>
      </c>
      <c r="BN737" s="21" t="str">
        <f t="shared" ca="1" si="77"/>
        <v/>
      </c>
      <c r="BO737" s="21" t="str">
        <f ca="1">IFERROR(VLOOKUP(N737,OFFSET(abbreviation[],0,ColumnLanguage),ColumnAbbreviation,FALSE),"")</f>
        <v/>
      </c>
      <c r="BP737" s="21" t="str">
        <f ca="1">IFERROR(VLOOKUP(P737,OFFSET(abbreviation[],0,ColumnLanguage),ColumnAbbreviation,FALSE),"")</f>
        <v/>
      </c>
      <c r="BQ737" s="21" t="str">
        <f ca="1">IFERROR(VLOOKUP(T737,OFFSET(abbreviation[],0,ColumnLanguage),ColumnAbbreviation,FALSE),"")</f>
        <v/>
      </c>
      <c r="BR737" s="21" t="str">
        <f ca="1">IFERROR(VLOOKUP(V737,OFFSET(abbreviation[],0,ColumnLanguage),ColumnAbbreviation,FALSE),"")</f>
        <v/>
      </c>
      <c r="BS737" s="21" t="str">
        <f ca="1">IFERROR(VLOOKUP(Z737,OFFSET(abbreviation[],0,ColumnLanguage),ColumnAbbreviation,FALSE),"")</f>
        <v/>
      </c>
      <c r="BT737" s="21" t="str">
        <f ca="1">IFERROR(VLOOKUP(AB737,OFFSET(abbreviation[],0,ColumnLanguage),ColumnAbbreviation,FALSE),"")</f>
        <v/>
      </c>
      <c r="BU737" s="21" t="str">
        <f t="shared" ca="1" si="78"/>
        <v>__</v>
      </c>
      <c r="BV737" s="21" t="str">
        <f ca="1">IFERROR(VLOOKUP(AF737,OFFSET(abbreviation[],0,ColumnLanguage),ColumnAbbreviation,FALSE),"")</f>
        <v/>
      </c>
      <c r="BW737" s="21" t="str">
        <f ca="1">IFERROR(VLOOKUP(AH737,OFFSET(abbreviation[],0,ColumnLanguage),ColumnAbbreviation,FALSE),"")</f>
        <v/>
      </c>
      <c r="BX737" s="21" t="str">
        <f ca="1">IFERROR(VLOOKUP(AJ737,OFFSET(abbreviation[],0,ColumnLanguage),ColumnAbbreviation,FALSE),"")</f>
        <v/>
      </c>
      <c r="BY737" s="21" t="str">
        <f ca="1">IFERROR(VLOOKUP(AL737,OFFSET(abbreviation[],0,ColumnLanguage),ColumnAbbreviation,FALSE),"")</f>
        <v/>
      </c>
      <c r="BZ737" s="21" t="str">
        <f t="shared" ca="1" si="79"/>
        <v>_</v>
      </c>
      <c r="CA737" s="21" t="str">
        <f ca="1">IFERROR(VLOOKUP(AP737,OFFSET(abbreviation[],0,ColumnLanguage),ColumnAbbreviation,FALSE),"")</f>
        <v/>
      </c>
      <c r="CB737" s="21" t="str">
        <f ca="1">IFERROR(VLOOKUP(AR737,OFFSET(abbreviation[],0,ColumnLanguage),ColumnAbbreviation,FALSE),"")</f>
        <v/>
      </c>
      <c r="CC737" s="21" t="str">
        <f ca="1">IFERROR(VLOOKUP(AT737,OFFSET(abbreviation[],0,ColumnLanguage),ColumnAbbreviation,FALSE),"")</f>
        <v/>
      </c>
      <c r="CD737" s="21" t="str">
        <f ca="1">IFERROR(VLOOKUP(AV737,OFFSET(abbreviation[],0,ColumnLanguage),ColumnAbbreviation,FALSE),"")</f>
        <v/>
      </c>
      <c r="CE737" s="21" t="str">
        <f t="shared" ca="1" si="80"/>
        <v>__</v>
      </c>
      <c r="CF737" s="21" t="str">
        <f ca="1">IFERROR(VLOOKUP(AX737,OFFSET(abbreviation[],0,ColumnLanguage),ColumnAbbreviation,FALSE),"")</f>
        <v/>
      </c>
      <c r="CG737" s="21" t="str">
        <f ca="1">IFERROR(VLOOKUP(AZ737,OFFSET(abbreviation[],0,ColumnLanguage),ColumnAbbreviation,FALSE),"")</f>
        <v/>
      </c>
      <c r="CH737" s="21" t="str">
        <f ca="1">IFERROR(VLOOKUP(BB737,OFFSET(abbreviation[],0,ColumnLanguage),ColumnAbbreviation,FALSE),"")</f>
        <v/>
      </c>
      <c r="CI737" s="21" t="str">
        <f ca="1">IFERROR(VLOOKUP(BD737,OFFSET(abbreviation[],0,ColumnLanguage),ColumnAbbreviation,FALSE),"")</f>
        <v/>
      </c>
      <c r="CJ737" s="21" t="str">
        <f ca="1">IFERROR(VLOOKUP(BF737,OFFSET(abbreviation[],0,ColumnLanguage),ColumnAbbreviation,FALSE),"")</f>
        <v/>
      </c>
      <c r="CK737" s="21" t="str">
        <f t="shared" ca="1" si="81"/>
        <v/>
      </c>
      <c r="CL737" s="21" t="str">
        <f t="shared" si="82"/>
        <v/>
      </c>
      <c r="CM737" s="52"/>
      <c r="CN737" s="57" t="str">
        <f t="shared" si="83"/>
        <v/>
      </c>
    </row>
    <row r="738" spans="14:92" x14ac:dyDescent="0.25">
      <c r="Q738" s="13"/>
      <c r="V738" s="60"/>
      <c r="X738" s="61"/>
      <c r="AB738" s="60"/>
      <c r="AN738" s="54"/>
      <c r="AS738" s="15"/>
      <c r="BH738" s="52"/>
      <c r="BI738" s="21" t="str">
        <f ca="1">IFERROR(VLOOKUP(C738,OFFSET(abbreviation[],0,ColumnLanguage),ColumnAbbreviation,FALSE),"")</f>
        <v/>
      </c>
      <c r="BJ738" s="21" t="str">
        <f ca="1">IFERROR(VLOOKUP(E738,OFFSET(abbreviation[],0,ColumnLanguage),ColumnAbbreviation,FALSE),"")</f>
        <v/>
      </c>
      <c r="BK738" s="21" t="str">
        <f ca="1">IFERROR(VLOOKUP(G738,OFFSET(abbreviation[],0,ColumnLanguage),ColumnAbbreviation,FALSE),"")</f>
        <v/>
      </c>
      <c r="BL738" s="21" t="str">
        <f ca="1">IFERROR(VLOOKUP(I738,OFFSET(abbreviation[],0,ColumnLanguage),ColumnAbbreviation,FALSE),"")</f>
        <v/>
      </c>
      <c r="BM738" s="21" t="str">
        <f ca="1">IFERROR(VLOOKUP(K738,OFFSET(abbreviation[],0,ColumnLanguage),ColumnAbbreviation,FALSE),"")</f>
        <v/>
      </c>
      <c r="BN738" s="21" t="str">
        <f t="shared" ca="1" si="77"/>
        <v/>
      </c>
      <c r="BO738" s="21" t="str">
        <f ca="1">IFERROR(VLOOKUP(N738,OFFSET(abbreviation[],0,ColumnLanguage),ColumnAbbreviation,FALSE),"")</f>
        <v/>
      </c>
      <c r="BP738" s="21" t="str">
        <f ca="1">IFERROR(VLOOKUP(P738,OFFSET(abbreviation[],0,ColumnLanguage),ColumnAbbreviation,FALSE),"")</f>
        <v/>
      </c>
      <c r="BQ738" s="21" t="str">
        <f ca="1">IFERROR(VLOOKUP(T738,OFFSET(abbreviation[],0,ColumnLanguage),ColumnAbbreviation,FALSE),"")</f>
        <v/>
      </c>
      <c r="BR738" s="21" t="str">
        <f ca="1">IFERROR(VLOOKUP(V738,OFFSET(abbreviation[],0,ColumnLanguage),ColumnAbbreviation,FALSE),"")</f>
        <v/>
      </c>
      <c r="BS738" s="21" t="str">
        <f ca="1">IFERROR(VLOOKUP(Z738,OFFSET(abbreviation[],0,ColumnLanguage),ColumnAbbreviation,FALSE),"")</f>
        <v/>
      </c>
      <c r="BT738" s="21" t="str">
        <f ca="1">IFERROR(VLOOKUP(AB738,OFFSET(abbreviation[],0,ColumnLanguage),ColumnAbbreviation,FALSE),"")</f>
        <v/>
      </c>
      <c r="BU738" s="21" t="str">
        <f t="shared" ca="1" si="78"/>
        <v>__</v>
      </c>
      <c r="BV738" s="21" t="str">
        <f ca="1">IFERROR(VLOOKUP(AF738,OFFSET(abbreviation[],0,ColumnLanguage),ColumnAbbreviation,FALSE),"")</f>
        <v/>
      </c>
      <c r="BW738" s="21" t="str">
        <f ca="1">IFERROR(VLOOKUP(AH738,OFFSET(abbreviation[],0,ColumnLanguage),ColumnAbbreviation,FALSE),"")</f>
        <v/>
      </c>
      <c r="BX738" s="21" t="str">
        <f ca="1">IFERROR(VLOOKUP(AJ738,OFFSET(abbreviation[],0,ColumnLanguage),ColumnAbbreviation,FALSE),"")</f>
        <v/>
      </c>
      <c r="BY738" s="21" t="str">
        <f ca="1">IFERROR(VLOOKUP(AL738,OFFSET(abbreviation[],0,ColumnLanguage),ColumnAbbreviation,FALSE),"")</f>
        <v/>
      </c>
      <c r="BZ738" s="21" t="str">
        <f t="shared" ca="1" si="79"/>
        <v>_</v>
      </c>
      <c r="CA738" s="21" t="str">
        <f ca="1">IFERROR(VLOOKUP(AP738,OFFSET(abbreviation[],0,ColumnLanguage),ColumnAbbreviation,FALSE),"")</f>
        <v/>
      </c>
      <c r="CB738" s="21" t="str">
        <f ca="1">IFERROR(VLOOKUP(AR738,OFFSET(abbreviation[],0,ColumnLanguage),ColumnAbbreviation,FALSE),"")</f>
        <v/>
      </c>
      <c r="CC738" s="21" t="str">
        <f ca="1">IFERROR(VLOOKUP(AT738,OFFSET(abbreviation[],0,ColumnLanguage),ColumnAbbreviation,FALSE),"")</f>
        <v/>
      </c>
      <c r="CD738" s="21" t="str">
        <f ca="1">IFERROR(VLOOKUP(AV738,OFFSET(abbreviation[],0,ColumnLanguage),ColumnAbbreviation,FALSE),"")</f>
        <v/>
      </c>
      <c r="CE738" s="21" t="str">
        <f t="shared" ca="1" si="80"/>
        <v>__</v>
      </c>
      <c r="CF738" s="21" t="str">
        <f ca="1">IFERROR(VLOOKUP(AX738,OFFSET(abbreviation[],0,ColumnLanguage),ColumnAbbreviation,FALSE),"")</f>
        <v/>
      </c>
      <c r="CG738" s="21" t="str">
        <f ca="1">IFERROR(VLOOKUP(AZ738,OFFSET(abbreviation[],0,ColumnLanguage),ColumnAbbreviation,FALSE),"")</f>
        <v/>
      </c>
      <c r="CH738" s="21" t="str">
        <f ca="1">IFERROR(VLOOKUP(BB738,OFFSET(abbreviation[],0,ColumnLanguage),ColumnAbbreviation,FALSE),"")</f>
        <v/>
      </c>
      <c r="CI738" s="21" t="str">
        <f ca="1">IFERROR(VLOOKUP(BD738,OFFSET(abbreviation[],0,ColumnLanguage),ColumnAbbreviation,FALSE),"")</f>
        <v/>
      </c>
      <c r="CJ738" s="21" t="str">
        <f ca="1">IFERROR(VLOOKUP(BF738,OFFSET(abbreviation[],0,ColumnLanguage),ColumnAbbreviation,FALSE),"")</f>
        <v/>
      </c>
      <c r="CK738" s="21" t="str">
        <f t="shared" ca="1" si="81"/>
        <v/>
      </c>
      <c r="CL738" s="21" t="str">
        <f t="shared" si="82"/>
        <v/>
      </c>
      <c r="CM738" s="52"/>
      <c r="CN738" s="57" t="str">
        <f t="shared" si="83"/>
        <v/>
      </c>
    </row>
    <row r="739" spans="14:92" x14ac:dyDescent="0.25">
      <c r="Q739" s="13"/>
      <c r="V739" s="60"/>
      <c r="X739" s="61"/>
      <c r="AB739" s="60"/>
      <c r="AN739" s="54"/>
      <c r="AS739" s="15"/>
      <c r="BH739" s="52"/>
      <c r="BI739" s="21" t="str">
        <f ca="1">IFERROR(VLOOKUP(C739,OFFSET(abbreviation[],0,ColumnLanguage),ColumnAbbreviation,FALSE),"")</f>
        <v/>
      </c>
      <c r="BJ739" s="21" t="str">
        <f ca="1">IFERROR(VLOOKUP(E739,OFFSET(abbreviation[],0,ColumnLanguage),ColumnAbbreviation,FALSE),"")</f>
        <v/>
      </c>
      <c r="BK739" s="21" t="str">
        <f ca="1">IFERROR(VLOOKUP(G739,OFFSET(abbreviation[],0,ColumnLanguage),ColumnAbbreviation,FALSE),"")</f>
        <v/>
      </c>
      <c r="BL739" s="21" t="str">
        <f ca="1">IFERROR(VLOOKUP(I739,OFFSET(abbreviation[],0,ColumnLanguage),ColumnAbbreviation,FALSE),"")</f>
        <v/>
      </c>
      <c r="BM739" s="21" t="str">
        <f ca="1">IFERROR(VLOOKUP(K739,OFFSET(abbreviation[],0,ColumnLanguage),ColumnAbbreviation,FALSE),"")</f>
        <v/>
      </c>
      <c r="BN739" s="21" t="str">
        <f t="shared" ca="1" si="77"/>
        <v/>
      </c>
      <c r="BO739" s="21" t="str">
        <f ca="1">IFERROR(VLOOKUP(N739,OFFSET(abbreviation[],0,ColumnLanguage),ColumnAbbreviation,FALSE),"")</f>
        <v/>
      </c>
      <c r="BP739" s="21" t="str">
        <f ca="1">IFERROR(VLOOKUP(P739,OFFSET(abbreviation[],0,ColumnLanguage),ColumnAbbreviation,FALSE),"")</f>
        <v/>
      </c>
      <c r="BQ739" s="21" t="str">
        <f ca="1">IFERROR(VLOOKUP(T739,OFFSET(abbreviation[],0,ColumnLanguage),ColumnAbbreviation,FALSE),"")</f>
        <v/>
      </c>
      <c r="BR739" s="21" t="str">
        <f ca="1">IFERROR(VLOOKUP(V739,OFFSET(abbreviation[],0,ColumnLanguage),ColumnAbbreviation,FALSE),"")</f>
        <v/>
      </c>
      <c r="BS739" s="21" t="str">
        <f ca="1">IFERROR(VLOOKUP(Z739,OFFSET(abbreviation[],0,ColumnLanguage),ColumnAbbreviation,FALSE),"")</f>
        <v/>
      </c>
      <c r="BT739" s="21" t="str">
        <f ca="1">IFERROR(VLOOKUP(AB739,OFFSET(abbreviation[],0,ColumnLanguage),ColumnAbbreviation,FALSE),"")</f>
        <v/>
      </c>
      <c r="BU739" s="21" t="str">
        <f t="shared" ca="1" si="78"/>
        <v>__</v>
      </c>
      <c r="BV739" s="21" t="str">
        <f ca="1">IFERROR(VLOOKUP(AF739,OFFSET(abbreviation[],0,ColumnLanguage),ColumnAbbreviation,FALSE),"")</f>
        <v/>
      </c>
      <c r="BW739" s="21" t="str">
        <f ca="1">IFERROR(VLOOKUP(AH739,OFFSET(abbreviation[],0,ColumnLanguage),ColumnAbbreviation,FALSE),"")</f>
        <v/>
      </c>
      <c r="BX739" s="21" t="str">
        <f ca="1">IFERROR(VLOOKUP(AJ739,OFFSET(abbreviation[],0,ColumnLanguage),ColumnAbbreviation,FALSE),"")</f>
        <v/>
      </c>
      <c r="BY739" s="21" t="str">
        <f ca="1">IFERROR(VLOOKUP(AL739,OFFSET(abbreviation[],0,ColumnLanguage),ColumnAbbreviation,FALSE),"")</f>
        <v/>
      </c>
      <c r="BZ739" s="21" t="str">
        <f t="shared" ca="1" si="79"/>
        <v>_</v>
      </c>
      <c r="CA739" s="21" t="str">
        <f ca="1">IFERROR(VLOOKUP(AP739,OFFSET(abbreviation[],0,ColumnLanguage),ColumnAbbreviation,FALSE),"")</f>
        <v/>
      </c>
      <c r="CB739" s="21" t="str">
        <f ca="1">IFERROR(VLOOKUP(AR739,OFFSET(abbreviation[],0,ColumnLanguage),ColumnAbbreviation,FALSE),"")</f>
        <v/>
      </c>
      <c r="CC739" s="21" t="str">
        <f ca="1">IFERROR(VLOOKUP(AT739,OFFSET(abbreviation[],0,ColumnLanguage),ColumnAbbreviation,FALSE),"")</f>
        <v/>
      </c>
      <c r="CD739" s="21" t="str">
        <f ca="1">IFERROR(VLOOKUP(AV739,OFFSET(abbreviation[],0,ColumnLanguage),ColumnAbbreviation,FALSE),"")</f>
        <v/>
      </c>
      <c r="CE739" s="21" t="str">
        <f t="shared" ca="1" si="80"/>
        <v>__</v>
      </c>
      <c r="CF739" s="21" t="str">
        <f ca="1">IFERROR(VLOOKUP(AX739,OFFSET(abbreviation[],0,ColumnLanguage),ColumnAbbreviation,FALSE),"")</f>
        <v/>
      </c>
      <c r="CG739" s="21" t="str">
        <f ca="1">IFERROR(VLOOKUP(AZ739,OFFSET(abbreviation[],0,ColumnLanguage),ColumnAbbreviation,FALSE),"")</f>
        <v/>
      </c>
      <c r="CH739" s="21" t="str">
        <f ca="1">IFERROR(VLOOKUP(BB739,OFFSET(abbreviation[],0,ColumnLanguage),ColumnAbbreviation,FALSE),"")</f>
        <v/>
      </c>
      <c r="CI739" s="21" t="str">
        <f ca="1">IFERROR(VLOOKUP(BD739,OFFSET(abbreviation[],0,ColumnLanguage),ColumnAbbreviation,FALSE),"")</f>
        <v/>
      </c>
      <c r="CJ739" s="21" t="str">
        <f ca="1">IFERROR(VLOOKUP(BF739,OFFSET(abbreviation[],0,ColumnLanguage),ColumnAbbreviation,FALSE),"")</f>
        <v/>
      </c>
      <c r="CK739" s="21" t="str">
        <f t="shared" ca="1" si="81"/>
        <v/>
      </c>
      <c r="CL739" s="21" t="str">
        <f t="shared" si="82"/>
        <v/>
      </c>
      <c r="CM739" s="52"/>
      <c r="CN739" s="57" t="str">
        <f t="shared" si="83"/>
        <v/>
      </c>
    </row>
    <row r="740" spans="14:92" x14ac:dyDescent="0.25">
      <c r="Q740" s="13"/>
      <c r="V740" s="60"/>
      <c r="X740" s="61"/>
      <c r="AB740" s="60"/>
      <c r="AN740" s="54"/>
      <c r="AS740" s="15"/>
      <c r="BH740" s="52"/>
      <c r="BI740" s="21" t="str">
        <f ca="1">IFERROR(VLOOKUP(C740,OFFSET(abbreviation[],0,ColumnLanguage),ColumnAbbreviation,FALSE),"")</f>
        <v/>
      </c>
      <c r="BJ740" s="21" t="str">
        <f ca="1">IFERROR(VLOOKUP(E740,OFFSET(abbreviation[],0,ColumnLanguage),ColumnAbbreviation,FALSE),"")</f>
        <v/>
      </c>
      <c r="BK740" s="21" t="str">
        <f ca="1">IFERROR(VLOOKUP(G740,OFFSET(abbreviation[],0,ColumnLanguage),ColumnAbbreviation,FALSE),"")</f>
        <v/>
      </c>
      <c r="BL740" s="21" t="str">
        <f ca="1">IFERROR(VLOOKUP(I740,OFFSET(abbreviation[],0,ColumnLanguage),ColumnAbbreviation,FALSE),"")</f>
        <v/>
      </c>
      <c r="BM740" s="21" t="str">
        <f ca="1">IFERROR(VLOOKUP(K740,OFFSET(abbreviation[],0,ColumnLanguage),ColumnAbbreviation,FALSE),"")</f>
        <v/>
      </c>
      <c r="BN740" s="21" t="str">
        <f t="shared" ca="1" si="77"/>
        <v/>
      </c>
      <c r="BO740" s="21" t="str">
        <f ca="1">IFERROR(VLOOKUP(N740,OFFSET(abbreviation[],0,ColumnLanguage),ColumnAbbreviation,FALSE),"")</f>
        <v/>
      </c>
      <c r="BP740" s="21" t="str">
        <f ca="1">IFERROR(VLOOKUP(P740,OFFSET(abbreviation[],0,ColumnLanguage),ColumnAbbreviation,FALSE),"")</f>
        <v/>
      </c>
      <c r="BQ740" s="21" t="str">
        <f ca="1">IFERROR(VLOOKUP(T740,OFFSET(abbreviation[],0,ColumnLanguage),ColumnAbbreviation,FALSE),"")</f>
        <v/>
      </c>
      <c r="BR740" s="21" t="str">
        <f ca="1">IFERROR(VLOOKUP(V740,OFFSET(abbreviation[],0,ColumnLanguage),ColumnAbbreviation,FALSE),"")</f>
        <v/>
      </c>
      <c r="BS740" s="21" t="str">
        <f ca="1">IFERROR(VLOOKUP(Z740,OFFSET(abbreviation[],0,ColumnLanguage),ColumnAbbreviation,FALSE),"")</f>
        <v/>
      </c>
      <c r="BT740" s="21" t="str">
        <f ca="1">IFERROR(VLOOKUP(AB740,OFFSET(abbreviation[],0,ColumnLanguage),ColumnAbbreviation,FALSE),"")</f>
        <v/>
      </c>
      <c r="BU740" s="21" t="str">
        <f t="shared" ca="1" si="78"/>
        <v>__</v>
      </c>
      <c r="BV740" s="21" t="str">
        <f ca="1">IFERROR(VLOOKUP(AF740,OFFSET(abbreviation[],0,ColumnLanguage),ColumnAbbreviation,FALSE),"")</f>
        <v/>
      </c>
      <c r="BW740" s="21" t="str">
        <f ca="1">IFERROR(VLOOKUP(AH740,OFFSET(abbreviation[],0,ColumnLanguage),ColumnAbbreviation,FALSE),"")</f>
        <v/>
      </c>
      <c r="BX740" s="21" t="str">
        <f ca="1">IFERROR(VLOOKUP(AJ740,OFFSET(abbreviation[],0,ColumnLanguage),ColumnAbbreviation,FALSE),"")</f>
        <v/>
      </c>
      <c r="BY740" s="21" t="str">
        <f ca="1">IFERROR(VLOOKUP(AL740,OFFSET(abbreviation[],0,ColumnLanguage),ColumnAbbreviation,FALSE),"")</f>
        <v/>
      </c>
      <c r="BZ740" s="21" t="str">
        <f t="shared" ca="1" si="79"/>
        <v>_</v>
      </c>
      <c r="CA740" s="21" t="str">
        <f ca="1">IFERROR(VLOOKUP(AP740,OFFSET(abbreviation[],0,ColumnLanguage),ColumnAbbreviation,FALSE),"")</f>
        <v/>
      </c>
      <c r="CB740" s="21" t="str">
        <f ca="1">IFERROR(VLOOKUP(AR740,OFFSET(abbreviation[],0,ColumnLanguage),ColumnAbbreviation,FALSE),"")</f>
        <v/>
      </c>
      <c r="CC740" s="21" t="str">
        <f ca="1">IFERROR(VLOOKUP(AT740,OFFSET(abbreviation[],0,ColumnLanguage),ColumnAbbreviation,FALSE),"")</f>
        <v/>
      </c>
      <c r="CD740" s="21" t="str">
        <f ca="1">IFERROR(VLOOKUP(AV740,OFFSET(abbreviation[],0,ColumnLanguage),ColumnAbbreviation,FALSE),"")</f>
        <v/>
      </c>
      <c r="CE740" s="21" t="str">
        <f t="shared" ca="1" si="80"/>
        <v>__</v>
      </c>
      <c r="CF740" s="21" t="str">
        <f ca="1">IFERROR(VLOOKUP(AX740,OFFSET(abbreviation[],0,ColumnLanguage),ColumnAbbreviation,FALSE),"")</f>
        <v/>
      </c>
      <c r="CG740" s="21" t="str">
        <f ca="1">IFERROR(VLOOKUP(AZ740,OFFSET(abbreviation[],0,ColumnLanguage),ColumnAbbreviation,FALSE),"")</f>
        <v/>
      </c>
      <c r="CH740" s="21" t="str">
        <f ca="1">IFERROR(VLOOKUP(BB740,OFFSET(abbreviation[],0,ColumnLanguage),ColumnAbbreviation,FALSE),"")</f>
        <v/>
      </c>
      <c r="CI740" s="21" t="str">
        <f ca="1">IFERROR(VLOOKUP(BD740,OFFSET(abbreviation[],0,ColumnLanguage),ColumnAbbreviation,FALSE),"")</f>
        <v/>
      </c>
      <c r="CJ740" s="21" t="str">
        <f ca="1">IFERROR(VLOOKUP(BF740,OFFSET(abbreviation[],0,ColumnLanguage),ColumnAbbreviation,FALSE),"")</f>
        <v/>
      </c>
      <c r="CK740" s="21" t="str">
        <f t="shared" ca="1" si="81"/>
        <v/>
      </c>
      <c r="CL740" s="21" t="str">
        <f t="shared" si="82"/>
        <v/>
      </c>
      <c r="CM740" s="52"/>
      <c r="CN740" s="57" t="str">
        <f t="shared" si="83"/>
        <v/>
      </c>
    </row>
    <row r="741" spans="14:92" x14ac:dyDescent="0.25">
      <c r="Q741" s="13"/>
      <c r="V741" s="60"/>
      <c r="X741" s="61"/>
      <c r="AB741" s="60"/>
      <c r="AN741" s="54"/>
      <c r="AS741" s="15"/>
      <c r="BH741" s="52"/>
      <c r="BI741" s="21" t="str">
        <f ca="1">IFERROR(VLOOKUP(C741,OFFSET(abbreviation[],0,ColumnLanguage),ColumnAbbreviation,FALSE),"")</f>
        <v/>
      </c>
      <c r="BJ741" s="21" t="str">
        <f ca="1">IFERROR(VLOOKUP(E741,OFFSET(abbreviation[],0,ColumnLanguage),ColumnAbbreviation,FALSE),"")</f>
        <v/>
      </c>
      <c r="BK741" s="21" t="str">
        <f ca="1">IFERROR(VLOOKUP(G741,OFFSET(abbreviation[],0,ColumnLanguage),ColumnAbbreviation,FALSE),"")</f>
        <v/>
      </c>
      <c r="BL741" s="21" t="str">
        <f ca="1">IFERROR(VLOOKUP(I741,OFFSET(abbreviation[],0,ColumnLanguage),ColumnAbbreviation,FALSE),"")</f>
        <v/>
      </c>
      <c r="BM741" s="21" t="str">
        <f ca="1">IFERROR(VLOOKUP(K741,OFFSET(abbreviation[],0,ColumnLanguage),ColumnAbbreviation,FALSE),"")</f>
        <v/>
      </c>
      <c r="BN741" s="21" t="str">
        <f t="shared" ca="1" si="77"/>
        <v/>
      </c>
      <c r="BO741" s="21" t="str">
        <f ca="1">IFERROR(VLOOKUP(N741,OFFSET(abbreviation[],0,ColumnLanguage),ColumnAbbreviation,FALSE),"")</f>
        <v/>
      </c>
      <c r="BP741" s="21" t="str">
        <f ca="1">IFERROR(VLOOKUP(P741,OFFSET(abbreviation[],0,ColumnLanguage),ColumnAbbreviation,FALSE),"")</f>
        <v/>
      </c>
      <c r="BQ741" s="21" t="str">
        <f ca="1">IFERROR(VLOOKUP(T741,OFFSET(abbreviation[],0,ColumnLanguage),ColumnAbbreviation,FALSE),"")</f>
        <v/>
      </c>
      <c r="BR741" s="21" t="str">
        <f ca="1">IFERROR(VLOOKUP(V741,OFFSET(abbreviation[],0,ColumnLanguage),ColumnAbbreviation,FALSE),"")</f>
        <v/>
      </c>
      <c r="BS741" s="21" t="str">
        <f ca="1">IFERROR(VLOOKUP(Z741,OFFSET(abbreviation[],0,ColumnLanguage),ColumnAbbreviation,FALSE),"")</f>
        <v/>
      </c>
      <c r="BT741" s="21" t="str">
        <f ca="1">IFERROR(VLOOKUP(AB741,OFFSET(abbreviation[],0,ColumnLanguage),ColumnAbbreviation,FALSE),"")</f>
        <v/>
      </c>
      <c r="BU741" s="21" t="str">
        <f t="shared" ca="1" si="78"/>
        <v>__</v>
      </c>
      <c r="BV741" s="21" t="str">
        <f ca="1">IFERROR(VLOOKUP(AF741,OFFSET(abbreviation[],0,ColumnLanguage),ColumnAbbreviation,FALSE),"")</f>
        <v/>
      </c>
      <c r="BW741" s="21" t="str">
        <f ca="1">IFERROR(VLOOKUP(AH741,OFFSET(abbreviation[],0,ColumnLanguage),ColumnAbbreviation,FALSE),"")</f>
        <v/>
      </c>
      <c r="BX741" s="21" t="str">
        <f ca="1">IFERROR(VLOOKUP(AJ741,OFFSET(abbreviation[],0,ColumnLanguage),ColumnAbbreviation,FALSE),"")</f>
        <v/>
      </c>
      <c r="BY741" s="21" t="str">
        <f ca="1">IFERROR(VLOOKUP(AL741,OFFSET(abbreviation[],0,ColumnLanguage),ColumnAbbreviation,FALSE),"")</f>
        <v/>
      </c>
      <c r="BZ741" s="21" t="str">
        <f t="shared" ca="1" si="79"/>
        <v>_</v>
      </c>
      <c r="CA741" s="21" t="str">
        <f ca="1">IFERROR(VLOOKUP(AP741,OFFSET(abbreviation[],0,ColumnLanguage),ColumnAbbreviation,FALSE),"")</f>
        <v/>
      </c>
      <c r="CB741" s="21" t="str">
        <f ca="1">IFERROR(VLOOKUP(AR741,OFFSET(abbreviation[],0,ColumnLanguage),ColumnAbbreviation,FALSE),"")</f>
        <v/>
      </c>
      <c r="CC741" s="21" t="str">
        <f ca="1">IFERROR(VLOOKUP(AT741,OFFSET(abbreviation[],0,ColumnLanguage),ColumnAbbreviation,FALSE),"")</f>
        <v/>
      </c>
      <c r="CD741" s="21" t="str">
        <f ca="1">IFERROR(VLOOKUP(AV741,OFFSET(abbreviation[],0,ColumnLanguage),ColumnAbbreviation,FALSE),"")</f>
        <v/>
      </c>
      <c r="CE741" s="21" t="str">
        <f t="shared" ca="1" si="80"/>
        <v>__</v>
      </c>
      <c r="CF741" s="21" t="str">
        <f ca="1">IFERROR(VLOOKUP(AX741,OFFSET(abbreviation[],0,ColumnLanguage),ColumnAbbreviation,FALSE),"")</f>
        <v/>
      </c>
      <c r="CG741" s="21" t="str">
        <f ca="1">IFERROR(VLOOKUP(AZ741,OFFSET(abbreviation[],0,ColumnLanguage),ColumnAbbreviation,FALSE),"")</f>
        <v/>
      </c>
      <c r="CH741" s="21" t="str">
        <f ca="1">IFERROR(VLOOKUP(BB741,OFFSET(abbreviation[],0,ColumnLanguage),ColumnAbbreviation,FALSE),"")</f>
        <v/>
      </c>
      <c r="CI741" s="21" t="str">
        <f ca="1">IFERROR(VLOOKUP(BD741,OFFSET(abbreviation[],0,ColumnLanguage),ColumnAbbreviation,FALSE),"")</f>
        <v/>
      </c>
      <c r="CJ741" s="21" t="str">
        <f ca="1">IFERROR(VLOOKUP(BF741,OFFSET(abbreviation[],0,ColumnLanguage),ColumnAbbreviation,FALSE),"")</f>
        <v/>
      </c>
      <c r="CK741" s="21" t="str">
        <f t="shared" ca="1" si="81"/>
        <v/>
      </c>
      <c r="CL741" s="21" t="str">
        <f t="shared" si="82"/>
        <v/>
      </c>
      <c r="CM741" s="52"/>
      <c r="CN741" s="57" t="str">
        <f t="shared" si="83"/>
        <v/>
      </c>
    </row>
    <row r="742" spans="14:92" x14ac:dyDescent="0.25">
      <c r="Q742" s="13"/>
      <c r="V742" s="60"/>
      <c r="X742" s="61"/>
      <c r="AB742" s="60"/>
      <c r="AN742" s="54"/>
      <c r="AS742" s="15"/>
      <c r="BH742" s="52"/>
      <c r="BI742" s="21" t="str">
        <f ca="1">IFERROR(VLOOKUP(C742,OFFSET(abbreviation[],0,ColumnLanguage),ColumnAbbreviation,FALSE),"")</f>
        <v/>
      </c>
      <c r="BJ742" s="21" t="str">
        <f ca="1">IFERROR(VLOOKUP(E742,OFFSET(abbreviation[],0,ColumnLanguage),ColumnAbbreviation,FALSE),"")</f>
        <v/>
      </c>
      <c r="BK742" s="21" t="str">
        <f ca="1">IFERROR(VLOOKUP(G742,OFFSET(abbreviation[],0,ColumnLanguage),ColumnAbbreviation,FALSE),"")</f>
        <v/>
      </c>
      <c r="BL742" s="21" t="str">
        <f ca="1">IFERROR(VLOOKUP(I742,OFFSET(abbreviation[],0,ColumnLanguage),ColumnAbbreviation,FALSE),"")</f>
        <v/>
      </c>
      <c r="BM742" s="21" t="str">
        <f ca="1">IFERROR(VLOOKUP(K742,OFFSET(abbreviation[],0,ColumnLanguage),ColumnAbbreviation,FALSE),"")</f>
        <v/>
      </c>
      <c r="BN742" s="21" t="str">
        <f t="shared" ca="1" si="77"/>
        <v/>
      </c>
      <c r="BO742" s="21" t="str">
        <f ca="1">IFERROR(VLOOKUP(N742,OFFSET(abbreviation[],0,ColumnLanguage),ColumnAbbreviation,FALSE),"")</f>
        <v/>
      </c>
      <c r="BP742" s="21" t="str">
        <f ca="1">IFERROR(VLOOKUP(P742,OFFSET(abbreviation[],0,ColumnLanguage),ColumnAbbreviation,FALSE),"")</f>
        <v/>
      </c>
      <c r="BQ742" s="21" t="str">
        <f ca="1">IFERROR(VLOOKUP(T742,OFFSET(abbreviation[],0,ColumnLanguage),ColumnAbbreviation,FALSE),"")</f>
        <v/>
      </c>
      <c r="BR742" s="21" t="str">
        <f ca="1">IFERROR(VLOOKUP(V742,OFFSET(abbreviation[],0,ColumnLanguage),ColumnAbbreviation,FALSE),"")</f>
        <v/>
      </c>
      <c r="BS742" s="21" t="str">
        <f ca="1">IFERROR(VLOOKUP(Z742,OFFSET(abbreviation[],0,ColumnLanguage),ColumnAbbreviation,FALSE),"")</f>
        <v/>
      </c>
      <c r="BT742" s="21" t="str">
        <f ca="1">IFERROR(VLOOKUP(AB742,OFFSET(abbreviation[],0,ColumnLanguage),ColumnAbbreviation,FALSE),"")</f>
        <v/>
      </c>
      <c r="BU742" s="21" t="str">
        <f t="shared" ca="1" si="78"/>
        <v>__</v>
      </c>
      <c r="BV742" s="21" t="str">
        <f ca="1">IFERROR(VLOOKUP(AF742,OFFSET(abbreviation[],0,ColumnLanguage),ColumnAbbreviation,FALSE),"")</f>
        <v/>
      </c>
      <c r="BW742" s="21" t="str">
        <f ca="1">IFERROR(VLOOKUP(AH742,OFFSET(abbreviation[],0,ColumnLanguage),ColumnAbbreviation,FALSE),"")</f>
        <v/>
      </c>
      <c r="BX742" s="21" t="str">
        <f ca="1">IFERROR(VLOOKUP(AJ742,OFFSET(abbreviation[],0,ColumnLanguage),ColumnAbbreviation,FALSE),"")</f>
        <v/>
      </c>
      <c r="BY742" s="21" t="str">
        <f ca="1">IFERROR(VLOOKUP(AL742,OFFSET(abbreviation[],0,ColumnLanguage),ColumnAbbreviation,FALSE),"")</f>
        <v/>
      </c>
      <c r="BZ742" s="21" t="str">
        <f t="shared" ca="1" si="79"/>
        <v>_</v>
      </c>
      <c r="CA742" s="21" t="str">
        <f ca="1">IFERROR(VLOOKUP(AP742,OFFSET(abbreviation[],0,ColumnLanguage),ColumnAbbreviation,FALSE),"")</f>
        <v/>
      </c>
      <c r="CB742" s="21" t="str">
        <f ca="1">IFERROR(VLOOKUP(AR742,OFFSET(abbreviation[],0,ColumnLanguage),ColumnAbbreviation,FALSE),"")</f>
        <v/>
      </c>
      <c r="CC742" s="21" t="str">
        <f ca="1">IFERROR(VLOOKUP(AT742,OFFSET(abbreviation[],0,ColumnLanguage),ColumnAbbreviation,FALSE),"")</f>
        <v/>
      </c>
      <c r="CD742" s="21" t="str">
        <f ca="1">IFERROR(VLOOKUP(AV742,OFFSET(abbreviation[],0,ColumnLanguage),ColumnAbbreviation,FALSE),"")</f>
        <v/>
      </c>
      <c r="CE742" s="21" t="str">
        <f t="shared" ca="1" si="80"/>
        <v>__</v>
      </c>
      <c r="CF742" s="21" t="str">
        <f ca="1">IFERROR(VLOOKUP(AX742,OFFSET(abbreviation[],0,ColumnLanguage),ColumnAbbreviation,FALSE),"")</f>
        <v/>
      </c>
      <c r="CG742" s="21" t="str">
        <f ca="1">IFERROR(VLOOKUP(AZ742,OFFSET(abbreviation[],0,ColumnLanguage),ColumnAbbreviation,FALSE),"")</f>
        <v/>
      </c>
      <c r="CH742" s="21" t="str">
        <f ca="1">IFERROR(VLOOKUP(BB742,OFFSET(abbreviation[],0,ColumnLanguage),ColumnAbbreviation,FALSE),"")</f>
        <v/>
      </c>
      <c r="CI742" s="21" t="str">
        <f ca="1">IFERROR(VLOOKUP(BD742,OFFSET(abbreviation[],0,ColumnLanguage),ColumnAbbreviation,FALSE),"")</f>
        <v/>
      </c>
      <c r="CJ742" s="21" t="str">
        <f ca="1">IFERROR(VLOOKUP(BF742,OFFSET(abbreviation[],0,ColumnLanguage),ColumnAbbreviation,FALSE),"")</f>
        <v/>
      </c>
      <c r="CK742" s="21" t="str">
        <f t="shared" ca="1" si="81"/>
        <v/>
      </c>
      <c r="CL742" s="21" t="str">
        <f t="shared" si="82"/>
        <v/>
      </c>
      <c r="CM742" s="52"/>
      <c r="CN742" s="57" t="str">
        <f t="shared" si="83"/>
        <v/>
      </c>
    </row>
    <row r="743" spans="14:92" x14ac:dyDescent="0.25">
      <c r="Q743" s="13"/>
      <c r="V743" s="60"/>
      <c r="X743" s="61"/>
      <c r="AB743" s="60"/>
      <c r="AN743" s="54"/>
      <c r="AS743" s="15"/>
      <c r="BH743" s="52"/>
      <c r="BI743" s="21" t="str">
        <f ca="1">IFERROR(VLOOKUP(C743,OFFSET(abbreviation[],0,ColumnLanguage),ColumnAbbreviation,FALSE),"")</f>
        <v/>
      </c>
      <c r="BJ743" s="21" t="str">
        <f ca="1">IFERROR(VLOOKUP(E743,OFFSET(abbreviation[],0,ColumnLanguage),ColumnAbbreviation,FALSE),"")</f>
        <v/>
      </c>
      <c r="BK743" s="21" t="str">
        <f ca="1">IFERROR(VLOOKUP(G743,OFFSET(abbreviation[],0,ColumnLanguage),ColumnAbbreviation,FALSE),"")</f>
        <v/>
      </c>
      <c r="BL743" s="21" t="str">
        <f ca="1">IFERROR(VLOOKUP(I743,OFFSET(abbreviation[],0,ColumnLanguage),ColumnAbbreviation,FALSE),"")</f>
        <v/>
      </c>
      <c r="BM743" s="21" t="str">
        <f ca="1">IFERROR(VLOOKUP(K743,OFFSET(abbreviation[],0,ColumnLanguage),ColumnAbbreviation,FALSE),"")</f>
        <v/>
      </c>
      <c r="BN743" s="21" t="str">
        <f t="shared" ca="1" si="77"/>
        <v/>
      </c>
      <c r="BO743" s="21" t="str">
        <f ca="1">IFERROR(VLOOKUP(N743,OFFSET(abbreviation[],0,ColumnLanguage),ColumnAbbreviation,FALSE),"")</f>
        <v/>
      </c>
      <c r="BP743" s="21" t="str">
        <f ca="1">IFERROR(VLOOKUP(P743,OFFSET(abbreviation[],0,ColumnLanguage),ColumnAbbreviation,FALSE),"")</f>
        <v/>
      </c>
      <c r="BQ743" s="21" t="str">
        <f ca="1">IFERROR(VLOOKUP(T743,OFFSET(abbreviation[],0,ColumnLanguage),ColumnAbbreviation,FALSE),"")</f>
        <v/>
      </c>
      <c r="BR743" s="21" t="str">
        <f ca="1">IFERROR(VLOOKUP(V743,OFFSET(abbreviation[],0,ColumnLanguage),ColumnAbbreviation,FALSE),"")</f>
        <v/>
      </c>
      <c r="BS743" s="21" t="str">
        <f ca="1">IFERROR(VLOOKUP(Z743,OFFSET(abbreviation[],0,ColumnLanguage),ColumnAbbreviation,FALSE),"")</f>
        <v/>
      </c>
      <c r="BT743" s="21" t="str">
        <f ca="1">IFERROR(VLOOKUP(AB743,OFFSET(abbreviation[],0,ColumnLanguage),ColumnAbbreviation,FALSE),"")</f>
        <v/>
      </c>
      <c r="BU743" s="21" t="str">
        <f t="shared" ca="1" si="78"/>
        <v>__</v>
      </c>
      <c r="BV743" s="21" t="str">
        <f ca="1">IFERROR(VLOOKUP(AF743,OFFSET(abbreviation[],0,ColumnLanguage),ColumnAbbreviation,FALSE),"")</f>
        <v/>
      </c>
      <c r="BW743" s="21" t="str">
        <f ca="1">IFERROR(VLOOKUP(AH743,OFFSET(abbreviation[],0,ColumnLanguage),ColumnAbbreviation,FALSE),"")</f>
        <v/>
      </c>
      <c r="BX743" s="21" t="str">
        <f ca="1">IFERROR(VLOOKUP(AJ743,OFFSET(abbreviation[],0,ColumnLanguage),ColumnAbbreviation,FALSE),"")</f>
        <v/>
      </c>
      <c r="BY743" s="21" t="str">
        <f ca="1">IFERROR(VLOOKUP(AL743,OFFSET(abbreviation[],0,ColumnLanguage),ColumnAbbreviation,FALSE),"")</f>
        <v/>
      </c>
      <c r="BZ743" s="21" t="str">
        <f t="shared" ca="1" si="79"/>
        <v>_</v>
      </c>
      <c r="CA743" s="21" t="str">
        <f ca="1">IFERROR(VLOOKUP(AP743,OFFSET(abbreviation[],0,ColumnLanguage),ColumnAbbreviation,FALSE),"")</f>
        <v/>
      </c>
      <c r="CB743" s="21" t="str">
        <f ca="1">IFERROR(VLOOKUP(AR743,OFFSET(abbreviation[],0,ColumnLanguage),ColumnAbbreviation,FALSE),"")</f>
        <v/>
      </c>
      <c r="CC743" s="21" t="str">
        <f ca="1">IFERROR(VLOOKUP(AT743,OFFSET(abbreviation[],0,ColumnLanguage),ColumnAbbreviation,FALSE),"")</f>
        <v/>
      </c>
      <c r="CD743" s="21" t="str">
        <f ca="1">IFERROR(VLOOKUP(AV743,OFFSET(abbreviation[],0,ColumnLanguage),ColumnAbbreviation,FALSE),"")</f>
        <v/>
      </c>
      <c r="CE743" s="21" t="str">
        <f t="shared" ca="1" si="80"/>
        <v>__</v>
      </c>
      <c r="CF743" s="21" t="str">
        <f ca="1">IFERROR(VLOOKUP(AX743,OFFSET(abbreviation[],0,ColumnLanguage),ColumnAbbreviation,FALSE),"")</f>
        <v/>
      </c>
      <c r="CG743" s="21" t="str">
        <f ca="1">IFERROR(VLOOKUP(AZ743,OFFSET(abbreviation[],0,ColumnLanguage),ColumnAbbreviation,FALSE),"")</f>
        <v/>
      </c>
      <c r="CH743" s="21" t="str">
        <f ca="1">IFERROR(VLOOKUP(BB743,OFFSET(abbreviation[],0,ColumnLanguage),ColumnAbbreviation,FALSE),"")</f>
        <v/>
      </c>
      <c r="CI743" s="21" t="str">
        <f ca="1">IFERROR(VLOOKUP(BD743,OFFSET(abbreviation[],0,ColumnLanguage),ColumnAbbreviation,FALSE),"")</f>
        <v/>
      </c>
      <c r="CJ743" s="21" t="str">
        <f ca="1">IFERROR(VLOOKUP(BF743,OFFSET(abbreviation[],0,ColumnLanguage),ColumnAbbreviation,FALSE),"")</f>
        <v/>
      </c>
      <c r="CK743" s="21" t="str">
        <f t="shared" ca="1" si="81"/>
        <v/>
      </c>
      <c r="CL743" s="21" t="str">
        <f t="shared" si="82"/>
        <v/>
      </c>
      <c r="CM743" s="52"/>
      <c r="CN743" s="57" t="str">
        <f t="shared" si="83"/>
        <v/>
      </c>
    </row>
    <row r="744" spans="14:92" x14ac:dyDescent="0.25">
      <c r="Q744" s="13"/>
      <c r="V744" s="60"/>
      <c r="X744" s="61"/>
      <c r="AB744" s="60"/>
      <c r="AN744" s="54"/>
      <c r="AS744" s="15"/>
      <c r="BH744" s="52"/>
      <c r="BI744" s="21" t="str">
        <f ca="1">IFERROR(VLOOKUP(C744,OFFSET(abbreviation[],0,ColumnLanguage),ColumnAbbreviation,FALSE),"")</f>
        <v/>
      </c>
      <c r="BJ744" s="21" t="str">
        <f ca="1">IFERROR(VLOOKUP(E744,OFFSET(abbreviation[],0,ColumnLanguage),ColumnAbbreviation,FALSE),"")</f>
        <v/>
      </c>
      <c r="BK744" s="21" t="str">
        <f ca="1">IFERROR(VLOOKUP(G744,OFFSET(abbreviation[],0,ColumnLanguage),ColumnAbbreviation,FALSE),"")</f>
        <v/>
      </c>
      <c r="BL744" s="21" t="str">
        <f ca="1">IFERROR(VLOOKUP(I744,OFFSET(abbreviation[],0,ColumnLanguage),ColumnAbbreviation,FALSE),"")</f>
        <v/>
      </c>
      <c r="BM744" s="21" t="str">
        <f ca="1">IFERROR(VLOOKUP(K744,OFFSET(abbreviation[],0,ColumnLanguage),ColumnAbbreviation,FALSE),"")</f>
        <v/>
      </c>
      <c r="BN744" s="21" t="str">
        <f t="shared" ca="1" si="77"/>
        <v/>
      </c>
      <c r="BO744" s="21" t="str">
        <f ca="1">IFERROR(VLOOKUP(N744,OFFSET(abbreviation[],0,ColumnLanguage),ColumnAbbreviation,FALSE),"")</f>
        <v/>
      </c>
      <c r="BP744" s="21" t="str">
        <f ca="1">IFERROR(VLOOKUP(P744,OFFSET(abbreviation[],0,ColumnLanguage),ColumnAbbreviation,FALSE),"")</f>
        <v/>
      </c>
      <c r="BQ744" s="21" t="str">
        <f ca="1">IFERROR(VLOOKUP(T744,OFFSET(abbreviation[],0,ColumnLanguage),ColumnAbbreviation,FALSE),"")</f>
        <v/>
      </c>
      <c r="BR744" s="21" t="str">
        <f ca="1">IFERROR(VLOOKUP(V744,OFFSET(abbreviation[],0,ColumnLanguage),ColumnAbbreviation,FALSE),"")</f>
        <v/>
      </c>
      <c r="BS744" s="21" t="str">
        <f ca="1">IFERROR(VLOOKUP(Z744,OFFSET(abbreviation[],0,ColumnLanguage),ColumnAbbreviation,FALSE),"")</f>
        <v/>
      </c>
      <c r="BT744" s="21" t="str">
        <f ca="1">IFERROR(VLOOKUP(AB744,OFFSET(abbreviation[],0,ColumnLanguage),ColumnAbbreviation,FALSE),"")</f>
        <v/>
      </c>
      <c r="BU744" s="21" t="str">
        <f t="shared" ca="1" si="78"/>
        <v>__</v>
      </c>
      <c r="BV744" s="21" t="str">
        <f ca="1">IFERROR(VLOOKUP(AF744,OFFSET(abbreviation[],0,ColumnLanguage),ColumnAbbreviation,FALSE),"")</f>
        <v/>
      </c>
      <c r="BW744" s="21" t="str">
        <f ca="1">IFERROR(VLOOKUP(AH744,OFFSET(abbreviation[],0,ColumnLanguage),ColumnAbbreviation,FALSE),"")</f>
        <v/>
      </c>
      <c r="BX744" s="21" t="str">
        <f ca="1">IFERROR(VLOOKUP(AJ744,OFFSET(abbreviation[],0,ColumnLanguage),ColumnAbbreviation,FALSE),"")</f>
        <v/>
      </c>
      <c r="BY744" s="21" t="str">
        <f ca="1">IFERROR(VLOOKUP(AL744,OFFSET(abbreviation[],0,ColumnLanguage),ColumnAbbreviation,FALSE),"")</f>
        <v/>
      </c>
      <c r="BZ744" s="21" t="str">
        <f t="shared" ca="1" si="79"/>
        <v>_</v>
      </c>
      <c r="CA744" s="21" t="str">
        <f ca="1">IFERROR(VLOOKUP(AP744,OFFSET(abbreviation[],0,ColumnLanguage),ColumnAbbreviation,FALSE),"")</f>
        <v/>
      </c>
      <c r="CB744" s="21" t="str">
        <f ca="1">IFERROR(VLOOKUP(AR744,OFFSET(abbreviation[],0,ColumnLanguage),ColumnAbbreviation,FALSE),"")</f>
        <v/>
      </c>
      <c r="CC744" s="21" t="str">
        <f ca="1">IFERROR(VLOOKUP(AT744,OFFSET(abbreviation[],0,ColumnLanguage),ColumnAbbreviation,FALSE),"")</f>
        <v/>
      </c>
      <c r="CD744" s="21" t="str">
        <f ca="1">IFERROR(VLOOKUP(AV744,OFFSET(abbreviation[],0,ColumnLanguage),ColumnAbbreviation,FALSE),"")</f>
        <v/>
      </c>
      <c r="CE744" s="21" t="str">
        <f t="shared" ca="1" si="80"/>
        <v>__</v>
      </c>
      <c r="CF744" s="21" t="str">
        <f ca="1">IFERROR(VLOOKUP(AX744,OFFSET(abbreviation[],0,ColumnLanguage),ColumnAbbreviation,FALSE),"")</f>
        <v/>
      </c>
      <c r="CG744" s="21" t="str">
        <f ca="1">IFERROR(VLOOKUP(AZ744,OFFSET(abbreviation[],0,ColumnLanguage),ColumnAbbreviation,FALSE),"")</f>
        <v/>
      </c>
      <c r="CH744" s="21" t="str">
        <f ca="1">IFERROR(VLOOKUP(BB744,OFFSET(abbreviation[],0,ColumnLanguage),ColumnAbbreviation,FALSE),"")</f>
        <v/>
      </c>
      <c r="CI744" s="21" t="str">
        <f ca="1">IFERROR(VLOOKUP(BD744,OFFSET(abbreviation[],0,ColumnLanguage),ColumnAbbreviation,FALSE),"")</f>
        <v/>
      </c>
      <c r="CJ744" s="21" t="str">
        <f ca="1">IFERROR(VLOOKUP(BF744,OFFSET(abbreviation[],0,ColumnLanguage),ColumnAbbreviation,FALSE),"")</f>
        <v/>
      </c>
      <c r="CK744" s="21" t="str">
        <f t="shared" ca="1" si="81"/>
        <v/>
      </c>
      <c r="CL744" s="21" t="str">
        <f t="shared" si="82"/>
        <v/>
      </c>
      <c r="CM744" s="52"/>
      <c r="CN744" s="57" t="str">
        <f t="shared" si="83"/>
        <v/>
      </c>
    </row>
    <row r="745" spans="14:92" x14ac:dyDescent="0.25">
      <c r="Q745" s="13"/>
      <c r="V745" s="60"/>
      <c r="X745" s="61"/>
      <c r="AB745" s="60"/>
      <c r="AN745" s="54"/>
      <c r="AS745" s="15"/>
      <c r="BH745" s="52"/>
      <c r="BI745" s="21" t="str">
        <f ca="1">IFERROR(VLOOKUP(C745,OFFSET(abbreviation[],0,ColumnLanguage),ColumnAbbreviation,FALSE),"")</f>
        <v/>
      </c>
      <c r="BJ745" s="21" t="str">
        <f ca="1">IFERROR(VLOOKUP(E745,OFFSET(abbreviation[],0,ColumnLanguage),ColumnAbbreviation,FALSE),"")</f>
        <v/>
      </c>
      <c r="BK745" s="21" t="str">
        <f ca="1">IFERROR(VLOOKUP(G745,OFFSET(abbreviation[],0,ColumnLanguage),ColumnAbbreviation,FALSE),"")</f>
        <v/>
      </c>
      <c r="BL745" s="21" t="str">
        <f ca="1">IFERROR(VLOOKUP(I745,OFFSET(abbreviation[],0,ColumnLanguage),ColumnAbbreviation,FALSE),"")</f>
        <v/>
      </c>
      <c r="BM745" s="21" t="str">
        <f ca="1">IFERROR(VLOOKUP(K745,OFFSET(abbreviation[],0,ColumnLanguage),ColumnAbbreviation,FALSE),"")</f>
        <v/>
      </c>
      <c r="BN745" s="21" t="str">
        <f t="shared" ca="1" si="77"/>
        <v/>
      </c>
      <c r="BO745" s="21" t="str">
        <f ca="1">IFERROR(VLOOKUP(N745,OFFSET(abbreviation[],0,ColumnLanguage),ColumnAbbreviation,FALSE),"")</f>
        <v/>
      </c>
      <c r="BP745" s="21" t="str">
        <f ca="1">IFERROR(VLOOKUP(P745,OFFSET(abbreviation[],0,ColumnLanguage),ColumnAbbreviation,FALSE),"")</f>
        <v/>
      </c>
      <c r="BQ745" s="21" t="str">
        <f ca="1">IFERROR(VLOOKUP(T745,OFFSET(abbreviation[],0,ColumnLanguage),ColumnAbbreviation,FALSE),"")</f>
        <v/>
      </c>
      <c r="BR745" s="21" t="str">
        <f ca="1">IFERROR(VLOOKUP(V745,OFFSET(abbreviation[],0,ColumnLanguage),ColumnAbbreviation,FALSE),"")</f>
        <v/>
      </c>
      <c r="BS745" s="21" t="str">
        <f ca="1">IFERROR(VLOOKUP(Z745,OFFSET(abbreviation[],0,ColumnLanguage),ColumnAbbreviation,FALSE),"")</f>
        <v/>
      </c>
      <c r="BT745" s="21" t="str">
        <f ca="1">IFERROR(VLOOKUP(AB745,OFFSET(abbreviation[],0,ColumnLanguage),ColumnAbbreviation,FALSE),"")</f>
        <v/>
      </c>
      <c r="BU745" s="21" t="str">
        <f t="shared" ca="1" si="78"/>
        <v>__</v>
      </c>
      <c r="BV745" s="21" t="str">
        <f ca="1">IFERROR(VLOOKUP(AF745,OFFSET(abbreviation[],0,ColumnLanguage),ColumnAbbreviation,FALSE),"")</f>
        <v/>
      </c>
      <c r="BW745" s="21" t="str">
        <f ca="1">IFERROR(VLOOKUP(AH745,OFFSET(abbreviation[],0,ColumnLanguage),ColumnAbbreviation,FALSE),"")</f>
        <v/>
      </c>
      <c r="BX745" s="21" t="str">
        <f ca="1">IFERROR(VLOOKUP(AJ745,OFFSET(abbreviation[],0,ColumnLanguage),ColumnAbbreviation,FALSE),"")</f>
        <v/>
      </c>
      <c r="BY745" s="21" t="str">
        <f ca="1">IFERROR(VLOOKUP(AL745,OFFSET(abbreviation[],0,ColumnLanguage),ColumnAbbreviation,FALSE),"")</f>
        <v/>
      </c>
      <c r="BZ745" s="21" t="str">
        <f t="shared" ca="1" si="79"/>
        <v>_</v>
      </c>
      <c r="CA745" s="21" t="str">
        <f ca="1">IFERROR(VLOOKUP(AP745,OFFSET(abbreviation[],0,ColumnLanguage),ColumnAbbreviation,FALSE),"")</f>
        <v/>
      </c>
      <c r="CB745" s="21" t="str">
        <f ca="1">IFERROR(VLOOKUP(AR745,OFFSET(abbreviation[],0,ColumnLanguage),ColumnAbbreviation,FALSE),"")</f>
        <v/>
      </c>
      <c r="CC745" s="21" t="str">
        <f ca="1">IFERROR(VLOOKUP(AT745,OFFSET(abbreviation[],0,ColumnLanguage),ColumnAbbreviation,FALSE),"")</f>
        <v/>
      </c>
      <c r="CD745" s="21" t="str">
        <f ca="1">IFERROR(VLOOKUP(AV745,OFFSET(abbreviation[],0,ColumnLanguage),ColumnAbbreviation,FALSE),"")</f>
        <v/>
      </c>
      <c r="CE745" s="21" t="str">
        <f t="shared" ca="1" si="80"/>
        <v>__</v>
      </c>
      <c r="CF745" s="21" t="str">
        <f ca="1">IFERROR(VLOOKUP(AX745,OFFSET(abbreviation[],0,ColumnLanguage),ColumnAbbreviation,FALSE),"")</f>
        <v/>
      </c>
      <c r="CG745" s="21" t="str">
        <f ca="1">IFERROR(VLOOKUP(AZ745,OFFSET(abbreviation[],0,ColumnLanguage),ColumnAbbreviation,FALSE),"")</f>
        <v/>
      </c>
      <c r="CH745" s="21" t="str">
        <f ca="1">IFERROR(VLOOKUP(BB745,OFFSET(abbreviation[],0,ColumnLanguage),ColumnAbbreviation,FALSE),"")</f>
        <v/>
      </c>
      <c r="CI745" s="21" t="str">
        <f ca="1">IFERROR(VLOOKUP(BD745,OFFSET(abbreviation[],0,ColumnLanguage),ColumnAbbreviation,FALSE),"")</f>
        <v/>
      </c>
      <c r="CJ745" s="21" t="str">
        <f ca="1">IFERROR(VLOOKUP(BF745,OFFSET(abbreviation[],0,ColumnLanguage),ColumnAbbreviation,FALSE),"")</f>
        <v/>
      </c>
      <c r="CK745" s="21" t="str">
        <f t="shared" ca="1" si="81"/>
        <v/>
      </c>
      <c r="CL745" s="21" t="str">
        <f t="shared" si="82"/>
        <v/>
      </c>
      <c r="CM745" s="52"/>
      <c r="CN745" s="57" t="str">
        <f t="shared" si="83"/>
        <v/>
      </c>
    </row>
    <row r="746" spans="14:92" x14ac:dyDescent="0.25">
      <c r="Q746" s="13"/>
      <c r="V746" s="60"/>
      <c r="X746" s="61"/>
      <c r="AB746" s="60"/>
      <c r="AN746" s="54"/>
      <c r="AS746" s="15"/>
      <c r="BH746" s="52"/>
      <c r="BI746" s="21" t="str">
        <f ca="1">IFERROR(VLOOKUP(C746,OFFSET(abbreviation[],0,ColumnLanguage),ColumnAbbreviation,FALSE),"")</f>
        <v/>
      </c>
      <c r="BJ746" s="21" t="str">
        <f ca="1">IFERROR(VLOOKUP(E746,OFFSET(abbreviation[],0,ColumnLanguage),ColumnAbbreviation,FALSE),"")</f>
        <v/>
      </c>
      <c r="BK746" s="21" t="str">
        <f ca="1">IFERROR(VLOOKUP(G746,OFFSET(abbreviation[],0,ColumnLanguage),ColumnAbbreviation,FALSE),"")</f>
        <v/>
      </c>
      <c r="BL746" s="21" t="str">
        <f ca="1">IFERROR(VLOOKUP(I746,OFFSET(abbreviation[],0,ColumnLanguage),ColumnAbbreviation,FALSE),"")</f>
        <v/>
      </c>
      <c r="BM746" s="21" t="str">
        <f ca="1">IFERROR(VLOOKUP(K746,OFFSET(abbreviation[],0,ColumnLanguage),ColumnAbbreviation,FALSE),"")</f>
        <v/>
      </c>
      <c r="BN746" s="21" t="str">
        <f t="shared" ca="1" si="77"/>
        <v/>
      </c>
      <c r="BO746" s="21" t="str">
        <f ca="1">IFERROR(VLOOKUP(N746,OFFSET(abbreviation[],0,ColumnLanguage),ColumnAbbreviation,FALSE),"")</f>
        <v/>
      </c>
      <c r="BP746" s="21" t="str">
        <f ca="1">IFERROR(VLOOKUP(P746,OFFSET(abbreviation[],0,ColumnLanguage),ColumnAbbreviation,FALSE),"")</f>
        <v/>
      </c>
      <c r="BQ746" s="21" t="str">
        <f ca="1">IFERROR(VLOOKUP(T746,OFFSET(abbreviation[],0,ColumnLanguage),ColumnAbbreviation,FALSE),"")</f>
        <v/>
      </c>
      <c r="BR746" s="21" t="str">
        <f ca="1">IFERROR(VLOOKUP(V746,OFFSET(abbreviation[],0,ColumnLanguage),ColumnAbbreviation,FALSE),"")</f>
        <v/>
      </c>
      <c r="BS746" s="21" t="str">
        <f ca="1">IFERROR(VLOOKUP(Z746,OFFSET(abbreviation[],0,ColumnLanguage),ColumnAbbreviation,FALSE),"")</f>
        <v/>
      </c>
      <c r="BT746" s="21" t="str">
        <f ca="1">IFERROR(VLOOKUP(AB746,OFFSET(abbreviation[],0,ColumnLanguage),ColumnAbbreviation,FALSE),"")</f>
        <v/>
      </c>
      <c r="BU746" s="21" t="str">
        <f t="shared" ca="1" si="78"/>
        <v>__</v>
      </c>
      <c r="BV746" s="21" t="str">
        <f ca="1">IFERROR(VLOOKUP(AF746,OFFSET(abbreviation[],0,ColumnLanguage),ColumnAbbreviation,FALSE),"")</f>
        <v/>
      </c>
      <c r="BW746" s="21" t="str">
        <f ca="1">IFERROR(VLOOKUP(AH746,OFFSET(abbreviation[],0,ColumnLanguage),ColumnAbbreviation,FALSE),"")</f>
        <v/>
      </c>
      <c r="BX746" s="21" t="str">
        <f ca="1">IFERROR(VLOOKUP(AJ746,OFFSET(abbreviation[],0,ColumnLanguage),ColumnAbbreviation,FALSE),"")</f>
        <v/>
      </c>
      <c r="BY746" s="21" t="str">
        <f ca="1">IFERROR(VLOOKUP(AL746,OFFSET(abbreviation[],0,ColumnLanguage),ColumnAbbreviation,FALSE),"")</f>
        <v/>
      </c>
      <c r="BZ746" s="21" t="str">
        <f t="shared" ca="1" si="79"/>
        <v>_</v>
      </c>
      <c r="CA746" s="21" t="str">
        <f ca="1">IFERROR(VLOOKUP(AP746,OFFSET(abbreviation[],0,ColumnLanguage),ColumnAbbreviation,FALSE),"")</f>
        <v/>
      </c>
      <c r="CB746" s="21" t="str">
        <f ca="1">IFERROR(VLOOKUP(AR746,OFFSET(abbreviation[],0,ColumnLanguage),ColumnAbbreviation,FALSE),"")</f>
        <v/>
      </c>
      <c r="CC746" s="21" t="str">
        <f ca="1">IFERROR(VLOOKUP(AT746,OFFSET(abbreviation[],0,ColumnLanguage),ColumnAbbreviation,FALSE),"")</f>
        <v/>
      </c>
      <c r="CD746" s="21" t="str">
        <f ca="1">IFERROR(VLOOKUP(AV746,OFFSET(abbreviation[],0,ColumnLanguage),ColumnAbbreviation,FALSE),"")</f>
        <v/>
      </c>
      <c r="CE746" s="21" t="str">
        <f t="shared" ca="1" si="80"/>
        <v>__</v>
      </c>
      <c r="CF746" s="21" t="str">
        <f ca="1">IFERROR(VLOOKUP(AX746,OFFSET(abbreviation[],0,ColumnLanguage),ColumnAbbreviation,FALSE),"")</f>
        <v/>
      </c>
      <c r="CG746" s="21" t="str">
        <f ca="1">IFERROR(VLOOKUP(AZ746,OFFSET(abbreviation[],0,ColumnLanguage),ColumnAbbreviation,FALSE),"")</f>
        <v/>
      </c>
      <c r="CH746" s="21" t="str">
        <f ca="1">IFERROR(VLOOKUP(BB746,OFFSET(abbreviation[],0,ColumnLanguage),ColumnAbbreviation,FALSE),"")</f>
        <v/>
      </c>
      <c r="CI746" s="21" t="str">
        <f ca="1">IFERROR(VLOOKUP(BD746,OFFSET(abbreviation[],0,ColumnLanguage),ColumnAbbreviation,FALSE),"")</f>
        <v/>
      </c>
      <c r="CJ746" s="21" t="str">
        <f ca="1">IFERROR(VLOOKUP(BF746,OFFSET(abbreviation[],0,ColumnLanguage),ColumnAbbreviation,FALSE),"")</f>
        <v/>
      </c>
      <c r="CK746" s="21" t="str">
        <f t="shared" ca="1" si="81"/>
        <v/>
      </c>
      <c r="CL746" s="21" t="str">
        <f t="shared" si="82"/>
        <v/>
      </c>
      <c r="CM746" s="52"/>
      <c r="CN746" s="57" t="str">
        <f t="shared" si="83"/>
        <v/>
      </c>
    </row>
    <row r="747" spans="14:92" x14ac:dyDescent="0.25">
      <c r="N747" s="10"/>
      <c r="Q747" s="13"/>
      <c r="V747" s="60"/>
      <c r="X747" s="61"/>
      <c r="AB747" s="60"/>
      <c r="AN747" s="54"/>
      <c r="AS747" s="15"/>
      <c r="BH747" s="52"/>
      <c r="BI747" s="21" t="str">
        <f ca="1">IFERROR(VLOOKUP(C747,OFFSET(abbreviation[],0,ColumnLanguage),ColumnAbbreviation,FALSE),"")</f>
        <v/>
      </c>
      <c r="BJ747" s="21" t="str">
        <f ca="1">IFERROR(VLOOKUP(E747,OFFSET(abbreviation[],0,ColumnLanguage),ColumnAbbreviation,FALSE),"")</f>
        <v/>
      </c>
      <c r="BK747" s="21" t="str">
        <f ca="1">IFERROR(VLOOKUP(G747,OFFSET(abbreviation[],0,ColumnLanguage),ColumnAbbreviation,FALSE),"")</f>
        <v/>
      </c>
      <c r="BL747" s="21" t="str">
        <f ca="1">IFERROR(VLOOKUP(I747,OFFSET(abbreviation[],0,ColumnLanguage),ColumnAbbreviation,FALSE),"")</f>
        <v/>
      </c>
      <c r="BM747" s="21" t="str">
        <f ca="1">IFERROR(VLOOKUP(K747,OFFSET(abbreviation[],0,ColumnLanguage),ColumnAbbreviation,FALSE),"")</f>
        <v/>
      </c>
      <c r="BN747" s="21" t="str">
        <f t="shared" ca="1" si="77"/>
        <v/>
      </c>
      <c r="BO747" s="21" t="str">
        <f ca="1">IFERROR(VLOOKUP(N747,OFFSET(abbreviation[],0,ColumnLanguage),ColumnAbbreviation,FALSE),"")</f>
        <v/>
      </c>
      <c r="BP747" s="21" t="str">
        <f ca="1">IFERROR(VLOOKUP(P747,OFFSET(abbreviation[],0,ColumnLanguage),ColumnAbbreviation,FALSE),"")</f>
        <v/>
      </c>
      <c r="BQ747" s="21" t="str">
        <f ca="1">IFERROR(VLOOKUP(T747,OFFSET(abbreviation[],0,ColumnLanguage),ColumnAbbreviation,FALSE),"")</f>
        <v/>
      </c>
      <c r="BR747" s="21" t="str">
        <f ca="1">IFERROR(VLOOKUP(V747,OFFSET(abbreviation[],0,ColumnLanguage),ColumnAbbreviation,FALSE),"")</f>
        <v/>
      </c>
      <c r="BS747" s="21" t="str">
        <f ca="1">IFERROR(VLOOKUP(Z747,OFFSET(abbreviation[],0,ColumnLanguage),ColumnAbbreviation,FALSE),"")</f>
        <v/>
      </c>
      <c r="BT747" s="21" t="str">
        <f ca="1">IFERROR(VLOOKUP(AB747,OFFSET(abbreviation[],0,ColumnLanguage),ColumnAbbreviation,FALSE),"")</f>
        <v/>
      </c>
      <c r="BU747" s="21" t="str">
        <f t="shared" ca="1" si="78"/>
        <v>__</v>
      </c>
      <c r="BV747" s="21" t="str">
        <f ca="1">IFERROR(VLOOKUP(AF747,OFFSET(abbreviation[],0,ColumnLanguage),ColumnAbbreviation,FALSE),"")</f>
        <v/>
      </c>
      <c r="BW747" s="21" t="str">
        <f ca="1">IFERROR(VLOOKUP(AH747,OFFSET(abbreviation[],0,ColumnLanguage),ColumnAbbreviation,FALSE),"")</f>
        <v/>
      </c>
      <c r="BX747" s="21" t="str">
        <f ca="1">IFERROR(VLOOKUP(AJ747,OFFSET(abbreviation[],0,ColumnLanguage),ColumnAbbreviation,FALSE),"")</f>
        <v/>
      </c>
      <c r="BY747" s="21" t="str">
        <f ca="1">IFERROR(VLOOKUP(AL747,OFFSET(abbreviation[],0,ColumnLanguage),ColumnAbbreviation,FALSE),"")</f>
        <v/>
      </c>
      <c r="BZ747" s="21" t="str">
        <f t="shared" ca="1" si="79"/>
        <v>_</v>
      </c>
      <c r="CA747" s="21" t="str">
        <f ca="1">IFERROR(VLOOKUP(AP747,OFFSET(abbreviation[],0,ColumnLanguage),ColumnAbbreviation,FALSE),"")</f>
        <v/>
      </c>
      <c r="CB747" s="21" t="str">
        <f ca="1">IFERROR(VLOOKUP(AR747,OFFSET(abbreviation[],0,ColumnLanguage),ColumnAbbreviation,FALSE),"")</f>
        <v/>
      </c>
      <c r="CC747" s="21" t="str">
        <f ca="1">IFERROR(VLOOKUP(AT747,OFFSET(abbreviation[],0,ColumnLanguage),ColumnAbbreviation,FALSE),"")</f>
        <v/>
      </c>
      <c r="CD747" s="21" t="str">
        <f ca="1">IFERROR(VLOOKUP(AV747,OFFSET(abbreviation[],0,ColumnLanguage),ColumnAbbreviation,FALSE),"")</f>
        <v/>
      </c>
      <c r="CE747" s="21" t="str">
        <f t="shared" ca="1" si="80"/>
        <v>__</v>
      </c>
      <c r="CF747" s="21" t="str">
        <f ca="1">IFERROR(VLOOKUP(AX747,OFFSET(abbreviation[],0,ColumnLanguage),ColumnAbbreviation,FALSE),"")</f>
        <v/>
      </c>
      <c r="CG747" s="21" t="str">
        <f ca="1">IFERROR(VLOOKUP(AZ747,OFFSET(abbreviation[],0,ColumnLanguage),ColumnAbbreviation,FALSE),"")</f>
        <v/>
      </c>
      <c r="CH747" s="21" t="str">
        <f ca="1">IFERROR(VLOOKUP(BB747,OFFSET(abbreviation[],0,ColumnLanguage),ColumnAbbreviation,FALSE),"")</f>
        <v/>
      </c>
      <c r="CI747" s="21" t="str">
        <f ca="1">IFERROR(VLOOKUP(BD747,OFFSET(abbreviation[],0,ColumnLanguage),ColumnAbbreviation,FALSE),"")</f>
        <v/>
      </c>
      <c r="CJ747" s="21" t="str">
        <f ca="1">IFERROR(VLOOKUP(BF747,OFFSET(abbreviation[],0,ColumnLanguage),ColumnAbbreviation,FALSE),"")</f>
        <v/>
      </c>
      <c r="CK747" s="21" t="str">
        <f t="shared" ca="1" si="81"/>
        <v/>
      </c>
      <c r="CL747" s="21" t="str">
        <f t="shared" si="82"/>
        <v/>
      </c>
      <c r="CM747" s="52"/>
      <c r="CN747" s="57" t="str">
        <f t="shared" si="83"/>
        <v/>
      </c>
    </row>
    <row r="748" spans="14:92" x14ac:dyDescent="0.25">
      <c r="N748" s="10"/>
      <c r="Q748" s="13"/>
      <c r="V748" s="60"/>
      <c r="X748" s="61"/>
      <c r="AB748" s="60"/>
      <c r="AN748" s="54"/>
      <c r="AS748" s="15"/>
      <c r="BH748" s="52"/>
      <c r="BI748" s="21" t="str">
        <f ca="1">IFERROR(VLOOKUP(C748,OFFSET(abbreviation[],0,ColumnLanguage),ColumnAbbreviation,FALSE),"")</f>
        <v/>
      </c>
      <c r="BJ748" s="21" t="str">
        <f ca="1">IFERROR(VLOOKUP(E748,OFFSET(abbreviation[],0,ColumnLanguage),ColumnAbbreviation,FALSE),"")</f>
        <v/>
      </c>
      <c r="BK748" s="21" t="str">
        <f ca="1">IFERROR(VLOOKUP(G748,OFFSET(abbreviation[],0,ColumnLanguage),ColumnAbbreviation,FALSE),"")</f>
        <v/>
      </c>
      <c r="BL748" s="21" t="str">
        <f ca="1">IFERROR(VLOOKUP(I748,OFFSET(abbreviation[],0,ColumnLanguage),ColumnAbbreviation,FALSE),"")</f>
        <v/>
      </c>
      <c r="BM748" s="21" t="str">
        <f ca="1">IFERROR(VLOOKUP(K748,OFFSET(abbreviation[],0,ColumnLanguage),ColumnAbbreviation,FALSE),"")</f>
        <v/>
      </c>
      <c r="BN748" s="21" t="str">
        <f t="shared" ca="1" si="77"/>
        <v/>
      </c>
      <c r="BO748" s="21" t="str">
        <f ca="1">IFERROR(VLOOKUP(N748,OFFSET(abbreviation[],0,ColumnLanguage),ColumnAbbreviation,FALSE),"")</f>
        <v/>
      </c>
      <c r="BP748" s="21" t="str">
        <f ca="1">IFERROR(VLOOKUP(P748,OFFSET(abbreviation[],0,ColumnLanguage),ColumnAbbreviation,FALSE),"")</f>
        <v/>
      </c>
      <c r="BQ748" s="21" t="str">
        <f ca="1">IFERROR(VLOOKUP(T748,OFFSET(abbreviation[],0,ColumnLanguage),ColumnAbbreviation,FALSE),"")</f>
        <v/>
      </c>
      <c r="BR748" s="21" t="str">
        <f ca="1">IFERROR(VLOOKUP(V748,OFFSET(abbreviation[],0,ColumnLanguage),ColumnAbbreviation,FALSE),"")</f>
        <v/>
      </c>
      <c r="BS748" s="21" t="str">
        <f ca="1">IFERROR(VLOOKUP(Z748,OFFSET(abbreviation[],0,ColumnLanguage),ColumnAbbreviation,FALSE),"")</f>
        <v/>
      </c>
      <c r="BT748" s="21" t="str">
        <f ca="1">IFERROR(VLOOKUP(AB748,OFFSET(abbreviation[],0,ColumnLanguage),ColumnAbbreviation,FALSE),"")</f>
        <v/>
      </c>
      <c r="BU748" s="21" t="str">
        <f t="shared" ca="1" si="78"/>
        <v>__</v>
      </c>
      <c r="BV748" s="21" t="str">
        <f ca="1">IFERROR(VLOOKUP(AF748,OFFSET(abbreviation[],0,ColumnLanguage),ColumnAbbreviation,FALSE),"")</f>
        <v/>
      </c>
      <c r="BW748" s="21" t="str">
        <f ca="1">IFERROR(VLOOKUP(AH748,OFFSET(abbreviation[],0,ColumnLanguage),ColumnAbbreviation,FALSE),"")</f>
        <v/>
      </c>
      <c r="BX748" s="21" t="str">
        <f ca="1">IFERROR(VLOOKUP(AJ748,OFFSET(abbreviation[],0,ColumnLanguage),ColumnAbbreviation,FALSE),"")</f>
        <v/>
      </c>
      <c r="BY748" s="21" t="str">
        <f ca="1">IFERROR(VLOOKUP(AL748,OFFSET(abbreviation[],0,ColumnLanguage),ColumnAbbreviation,FALSE),"")</f>
        <v/>
      </c>
      <c r="BZ748" s="21" t="str">
        <f t="shared" ca="1" si="79"/>
        <v>_</v>
      </c>
      <c r="CA748" s="21" t="str">
        <f ca="1">IFERROR(VLOOKUP(AP748,OFFSET(abbreviation[],0,ColumnLanguage),ColumnAbbreviation,FALSE),"")</f>
        <v/>
      </c>
      <c r="CB748" s="21" t="str">
        <f ca="1">IFERROR(VLOOKUP(AR748,OFFSET(abbreviation[],0,ColumnLanguage),ColumnAbbreviation,FALSE),"")</f>
        <v/>
      </c>
      <c r="CC748" s="21" t="str">
        <f ca="1">IFERROR(VLOOKUP(AT748,OFFSET(abbreviation[],0,ColumnLanguage),ColumnAbbreviation,FALSE),"")</f>
        <v/>
      </c>
      <c r="CD748" s="21" t="str">
        <f ca="1">IFERROR(VLOOKUP(AV748,OFFSET(abbreviation[],0,ColumnLanguage),ColumnAbbreviation,FALSE),"")</f>
        <v/>
      </c>
      <c r="CE748" s="21" t="str">
        <f t="shared" ca="1" si="80"/>
        <v>__</v>
      </c>
      <c r="CF748" s="21" t="str">
        <f ca="1">IFERROR(VLOOKUP(AX748,OFFSET(abbreviation[],0,ColumnLanguage),ColumnAbbreviation,FALSE),"")</f>
        <v/>
      </c>
      <c r="CG748" s="21" t="str">
        <f ca="1">IFERROR(VLOOKUP(AZ748,OFFSET(abbreviation[],0,ColumnLanguage),ColumnAbbreviation,FALSE),"")</f>
        <v/>
      </c>
      <c r="CH748" s="21" t="str">
        <f ca="1">IFERROR(VLOOKUP(BB748,OFFSET(abbreviation[],0,ColumnLanguage),ColumnAbbreviation,FALSE),"")</f>
        <v/>
      </c>
      <c r="CI748" s="21" t="str">
        <f ca="1">IFERROR(VLOOKUP(BD748,OFFSET(abbreviation[],0,ColumnLanguage),ColumnAbbreviation,FALSE),"")</f>
        <v/>
      </c>
      <c r="CJ748" s="21" t="str">
        <f ca="1">IFERROR(VLOOKUP(BF748,OFFSET(abbreviation[],0,ColumnLanguage),ColumnAbbreviation,FALSE),"")</f>
        <v/>
      </c>
      <c r="CK748" s="21" t="str">
        <f t="shared" ca="1" si="81"/>
        <v/>
      </c>
      <c r="CL748" s="21" t="str">
        <f t="shared" si="82"/>
        <v/>
      </c>
      <c r="CM748" s="52"/>
      <c r="CN748" s="57" t="str">
        <f t="shared" si="83"/>
        <v/>
      </c>
    </row>
    <row r="749" spans="14:92" x14ac:dyDescent="0.25">
      <c r="Q749" s="13"/>
      <c r="V749" s="60"/>
      <c r="X749" s="61"/>
      <c r="AB749" s="60"/>
      <c r="AN749" s="54"/>
      <c r="AS749" s="15"/>
      <c r="BH749" s="52"/>
      <c r="BI749" s="21" t="str">
        <f ca="1">IFERROR(VLOOKUP(C749,OFFSET(abbreviation[],0,ColumnLanguage),ColumnAbbreviation,FALSE),"")</f>
        <v/>
      </c>
      <c r="BJ749" s="21" t="str">
        <f ca="1">IFERROR(VLOOKUP(E749,OFFSET(abbreviation[],0,ColumnLanguage),ColumnAbbreviation,FALSE),"")</f>
        <v/>
      </c>
      <c r="BK749" s="21" t="str">
        <f ca="1">IFERROR(VLOOKUP(G749,OFFSET(abbreviation[],0,ColumnLanguage),ColumnAbbreviation,FALSE),"")</f>
        <v/>
      </c>
      <c r="BL749" s="21" t="str">
        <f ca="1">IFERROR(VLOOKUP(I749,OFFSET(abbreviation[],0,ColumnLanguage),ColumnAbbreviation,FALSE),"")</f>
        <v/>
      </c>
      <c r="BM749" s="21" t="str">
        <f ca="1">IFERROR(VLOOKUP(K749,OFFSET(abbreviation[],0,ColumnLanguage),ColumnAbbreviation,FALSE),"")</f>
        <v/>
      </c>
      <c r="BN749" s="21" t="str">
        <f t="shared" ca="1" si="77"/>
        <v/>
      </c>
      <c r="BO749" s="21" t="str">
        <f ca="1">IFERROR(VLOOKUP(N749,OFFSET(abbreviation[],0,ColumnLanguage),ColumnAbbreviation,FALSE),"")</f>
        <v/>
      </c>
      <c r="BP749" s="21" t="str">
        <f ca="1">IFERROR(VLOOKUP(P749,OFFSET(abbreviation[],0,ColumnLanguage),ColumnAbbreviation,FALSE),"")</f>
        <v/>
      </c>
      <c r="BQ749" s="21" t="str">
        <f ca="1">IFERROR(VLOOKUP(T749,OFFSET(abbreviation[],0,ColumnLanguage),ColumnAbbreviation,FALSE),"")</f>
        <v/>
      </c>
      <c r="BR749" s="21" t="str">
        <f ca="1">IFERROR(VLOOKUP(V749,OFFSET(abbreviation[],0,ColumnLanguage),ColumnAbbreviation,FALSE),"")</f>
        <v/>
      </c>
      <c r="BS749" s="21" t="str">
        <f ca="1">IFERROR(VLOOKUP(Z749,OFFSET(abbreviation[],0,ColumnLanguage),ColumnAbbreviation,FALSE),"")</f>
        <v/>
      </c>
      <c r="BT749" s="21" t="str">
        <f ca="1">IFERROR(VLOOKUP(AB749,OFFSET(abbreviation[],0,ColumnLanguage),ColumnAbbreviation,FALSE),"")</f>
        <v/>
      </c>
      <c r="BU749" s="21" t="str">
        <f t="shared" ca="1" si="78"/>
        <v>__</v>
      </c>
      <c r="BV749" s="21" t="str">
        <f ca="1">IFERROR(VLOOKUP(AF749,OFFSET(abbreviation[],0,ColumnLanguage),ColumnAbbreviation,FALSE),"")</f>
        <v/>
      </c>
      <c r="BW749" s="21" t="str">
        <f ca="1">IFERROR(VLOOKUP(AH749,OFFSET(abbreviation[],0,ColumnLanguage),ColumnAbbreviation,FALSE),"")</f>
        <v/>
      </c>
      <c r="BX749" s="21" t="str">
        <f ca="1">IFERROR(VLOOKUP(AJ749,OFFSET(abbreviation[],0,ColumnLanguage),ColumnAbbreviation,FALSE),"")</f>
        <v/>
      </c>
      <c r="BY749" s="21" t="str">
        <f ca="1">IFERROR(VLOOKUP(AL749,OFFSET(abbreviation[],0,ColumnLanguage),ColumnAbbreviation,FALSE),"")</f>
        <v/>
      </c>
      <c r="BZ749" s="21" t="str">
        <f t="shared" ca="1" si="79"/>
        <v>_</v>
      </c>
      <c r="CA749" s="21" t="str">
        <f ca="1">IFERROR(VLOOKUP(AP749,OFFSET(abbreviation[],0,ColumnLanguage),ColumnAbbreviation,FALSE),"")</f>
        <v/>
      </c>
      <c r="CB749" s="21" t="str">
        <f ca="1">IFERROR(VLOOKUP(AR749,OFFSET(abbreviation[],0,ColumnLanguage),ColumnAbbreviation,FALSE),"")</f>
        <v/>
      </c>
      <c r="CC749" s="21" t="str">
        <f ca="1">IFERROR(VLOOKUP(AT749,OFFSET(abbreviation[],0,ColumnLanguage),ColumnAbbreviation,FALSE),"")</f>
        <v/>
      </c>
      <c r="CD749" s="21" t="str">
        <f ca="1">IFERROR(VLOOKUP(AV749,OFFSET(abbreviation[],0,ColumnLanguage),ColumnAbbreviation,FALSE),"")</f>
        <v/>
      </c>
      <c r="CE749" s="21" t="str">
        <f t="shared" ca="1" si="80"/>
        <v>__</v>
      </c>
      <c r="CF749" s="21" t="str">
        <f ca="1">IFERROR(VLOOKUP(AX749,OFFSET(abbreviation[],0,ColumnLanguage),ColumnAbbreviation,FALSE),"")</f>
        <v/>
      </c>
      <c r="CG749" s="21" t="str">
        <f ca="1">IFERROR(VLOOKUP(AZ749,OFFSET(abbreviation[],0,ColumnLanguage),ColumnAbbreviation,FALSE),"")</f>
        <v/>
      </c>
      <c r="CH749" s="21" t="str">
        <f ca="1">IFERROR(VLOOKUP(BB749,OFFSET(abbreviation[],0,ColumnLanguage),ColumnAbbreviation,FALSE),"")</f>
        <v/>
      </c>
      <c r="CI749" s="21" t="str">
        <f ca="1">IFERROR(VLOOKUP(BD749,OFFSET(abbreviation[],0,ColumnLanguage),ColumnAbbreviation,FALSE),"")</f>
        <v/>
      </c>
      <c r="CJ749" s="21" t="str">
        <f ca="1">IFERROR(VLOOKUP(BF749,OFFSET(abbreviation[],0,ColumnLanguage),ColumnAbbreviation,FALSE),"")</f>
        <v/>
      </c>
      <c r="CK749" s="21" t="str">
        <f t="shared" ca="1" si="81"/>
        <v/>
      </c>
      <c r="CL749" s="21" t="str">
        <f t="shared" si="82"/>
        <v/>
      </c>
      <c r="CM749" s="52"/>
      <c r="CN749" s="57" t="str">
        <f t="shared" si="83"/>
        <v/>
      </c>
    </row>
    <row r="750" spans="14:92" x14ac:dyDescent="0.25">
      <c r="Q750" s="13"/>
      <c r="V750" s="60"/>
      <c r="X750" s="61"/>
      <c r="AB750" s="60"/>
      <c r="AN750" s="54"/>
      <c r="AS750" s="15"/>
      <c r="BH750" s="52"/>
      <c r="BI750" s="21" t="str">
        <f ca="1">IFERROR(VLOOKUP(C750,OFFSET(abbreviation[],0,ColumnLanguage),ColumnAbbreviation,FALSE),"")</f>
        <v/>
      </c>
      <c r="BJ750" s="21" t="str">
        <f ca="1">IFERROR(VLOOKUP(E750,OFFSET(abbreviation[],0,ColumnLanguage),ColumnAbbreviation,FALSE),"")</f>
        <v/>
      </c>
      <c r="BK750" s="21" t="str">
        <f ca="1">IFERROR(VLOOKUP(G750,OFFSET(abbreviation[],0,ColumnLanguage),ColumnAbbreviation,FALSE),"")</f>
        <v/>
      </c>
      <c r="BL750" s="21" t="str">
        <f ca="1">IFERROR(VLOOKUP(I750,OFFSET(abbreviation[],0,ColumnLanguage),ColumnAbbreviation,FALSE),"")</f>
        <v/>
      </c>
      <c r="BM750" s="21" t="str">
        <f ca="1">IFERROR(VLOOKUP(K750,OFFSET(abbreviation[],0,ColumnLanguage),ColumnAbbreviation,FALSE),"")</f>
        <v/>
      </c>
      <c r="BN750" s="21" t="str">
        <f t="shared" ca="1" si="77"/>
        <v/>
      </c>
      <c r="BO750" s="21" t="str">
        <f ca="1">IFERROR(VLOOKUP(N750,OFFSET(abbreviation[],0,ColumnLanguage),ColumnAbbreviation,FALSE),"")</f>
        <v/>
      </c>
      <c r="BP750" s="21" t="str">
        <f ca="1">IFERROR(VLOOKUP(P750,OFFSET(abbreviation[],0,ColumnLanguage),ColumnAbbreviation,FALSE),"")</f>
        <v/>
      </c>
      <c r="BQ750" s="21" t="str">
        <f ca="1">IFERROR(VLOOKUP(T750,OFFSET(abbreviation[],0,ColumnLanguage),ColumnAbbreviation,FALSE),"")</f>
        <v/>
      </c>
      <c r="BR750" s="21" t="str">
        <f ca="1">IFERROR(VLOOKUP(V750,OFFSET(abbreviation[],0,ColumnLanguage),ColumnAbbreviation,FALSE),"")</f>
        <v/>
      </c>
      <c r="BS750" s="21" t="str">
        <f ca="1">IFERROR(VLOOKUP(Z750,OFFSET(abbreviation[],0,ColumnLanguage),ColumnAbbreviation,FALSE),"")</f>
        <v/>
      </c>
      <c r="BT750" s="21" t="str">
        <f ca="1">IFERROR(VLOOKUP(AB750,OFFSET(abbreviation[],0,ColumnLanguage),ColumnAbbreviation,FALSE),"")</f>
        <v/>
      </c>
      <c r="BU750" s="21" t="str">
        <f t="shared" ca="1" si="78"/>
        <v>__</v>
      </c>
      <c r="BV750" s="21" t="str">
        <f ca="1">IFERROR(VLOOKUP(AF750,OFFSET(abbreviation[],0,ColumnLanguage),ColumnAbbreviation,FALSE),"")</f>
        <v/>
      </c>
      <c r="BW750" s="21" t="str">
        <f ca="1">IFERROR(VLOOKUP(AH750,OFFSET(abbreviation[],0,ColumnLanguage),ColumnAbbreviation,FALSE),"")</f>
        <v/>
      </c>
      <c r="BX750" s="21" t="str">
        <f ca="1">IFERROR(VLOOKUP(AJ750,OFFSET(abbreviation[],0,ColumnLanguage),ColumnAbbreviation,FALSE),"")</f>
        <v/>
      </c>
      <c r="BY750" s="21" t="str">
        <f ca="1">IFERROR(VLOOKUP(AL750,OFFSET(abbreviation[],0,ColumnLanguage),ColumnAbbreviation,FALSE),"")</f>
        <v/>
      </c>
      <c r="BZ750" s="21" t="str">
        <f t="shared" ca="1" si="79"/>
        <v>_</v>
      </c>
      <c r="CA750" s="21" t="str">
        <f ca="1">IFERROR(VLOOKUP(AP750,OFFSET(abbreviation[],0,ColumnLanguage),ColumnAbbreviation,FALSE),"")</f>
        <v/>
      </c>
      <c r="CB750" s="21" t="str">
        <f ca="1">IFERROR(VLOOKUP(AR750,OFFSET(abbreviation[],0,ColumnLanguage),ColumnAbbreviation,FALSE),"")</f>
        <v/>
      </c>
      <c r="CC750" s="21" t="str">
        <f ca="1">IFERROR(VLOOKUP(AT750,OFFSET(abbreviation[],0,ColumnLanguage),ColumnAbbreviation,FALSE),"")</f>
        <v/>
      </c>
      <c r="CD750" s="21" t="str">
        <f ca="1">IFERROR(VLOOKUP(AV750,OFFSET(abbreviation[],0,ColumnLanguage),ColumnAbbreviation,FALSE),"")</f>
        <v/>
      </c>
      <c r="CE750" s="21" t="str">
        <f t="shared" ca="1" si="80"/>
        <v>__</v>
      </c>
      <c r="CF750" s="21" t="str">
        <f ca="1">IFERROR(VLOOKUP(AX750,OFFSET(abbreviation[],0,ColumnLanguage),ColumnAbbreviation,FALSE),"")</f>
        <v/>
      </c>
      <c r="CG750" s="21" t="str">
        <f ca="1">IFERROR(VLOOKUP(AZ750,OFFSET(abbreviation[],0,ColumnLanguage),ColumnAbbreviation,FALSE),"")</f>
        <v/>
      </c>
      <c r="CH750" s="21" t="str">
        <f ca="1">IFERROR(VLOOKUP(BB750,OFFSET(abbreviation[],0,ColumnLanguage),ColumnAbbreviation,FALSE),"")</f>
        <v/>
      </c>
      <c r="CI750" s="21" t="str">
        <f ca="1">IFERROR(VLOOKUP(BD750,OFFSET(abbreviation[],0,ColumnLanguage),ColumnAbbreviation,FALSE),"")</f>
        <v/>
      </c>
      <c r="CJ750" s="21" t="str">
        <f ca="1">IFERROR(VLOOKUP(BF750,OFFSET(abbreviation[],0,ColumnLanguage),ColumnAbbreviation,FALSE),"")</f>
        <v/>
      </c>
      <c r="CK750" s="21" t="str">
        <f t="shared" ca="1" si="81"/>
        <v/>
      </c>
      <c r="CL750" s="21" t="str">
        <f t="shared" si="82"/>
        <v/>
      </c>
      <c r="CM750" s="52"/>
      <c r="CN750" s="57" t="str">
        <f t="shared" si="83"/>
        <v/>
      </c>
    </row>
    <row r="751" spans="14:92" x14ac:dyDescent="0.25">
      <c r="Q751" s="13"/>
      <c r="V751" s="60"/>
      <c r="X751" s="61"/>
      <c r="AB751" s="60"/>
      <c r="AN751" s="54"/>
      <c r="AS751" s="15"/>
      <c r="BH751" s="52"/>
      <c r="BI751" s="21" t="str">
        <f ca="1">IFERROR(VLOOKUP(C751,OFFSET(abbreviation[],0,ColumnLanguage),ColumnAbbreviation,FALSE),"")</f>
        <v/>
      </c>
      <c r="BJ751" s="21" t="str">
        <f ca="1">IFERROR(VLOOKUP(E751,OFFSET(abbreviation[],0,ColumnLanguage),ColumnAbbreviation,FALSE),"")</f>
        <v/>
      </c>
      <c r="BK751" s="21" t="str">
        <f ca="1">IFERROR(VLOOKUP(G751,OFFSET(abbreviation[],0,ColumnLanguage),ColumnAbbreviation,FALSE),"")</f>
        <v/>
      </c>
      <c r="BL751" s="21" t="str">
        <f ca="1">IFERROR(VLOOKUP(I751,OFFSET(abbreviation[],0,ColumnLanguage),ColumnAbbreviation,FALSE),"")</f>
        <v/>
      </c>
      <c r="BM751" s="21" t="str">
        <f ca="1">IFERROR(VLOOKUP(K751,OFFSET(abbreviation[],0,ColumnLanguage),ColumnAbbreviation,FALSE),"")</f>
        <v/>
      </c>
      <c r="BN751" s="21" t="str">
        <f t="shared" ca="1" si="77"/>
        <v/>
      </c>
      <c r="BO751" s="21" t="str">
        <f ca="1">IFERROR(VLOOKUP(N751,OFFSET(abbreviation[],0,ColumnLanguage),ColumnAbbreviation,FALSE),"")</f>
        <v/>
      </c>
      <c r="BP751" s="21" t="str">
        <f ca="1">IFERROR(VLOOKUP(P751,OFFSET(abbreviation[],0,ColumnLanguage),ColumnAbbreviation,FALSE),"")</f>
        <v/>
      </c>
      <c r="BQ751" s="21" t="str">
        <f ca="1">IFERROR(VLOOKUP(T751,OFFSET(abbreviation[],0,ColumnLanguage),ColumnAbbreviation,FALSE),"")</f>
        <v/>
      </c>
      <c r="BR751" s="21" t="str">
        <f ca="1">IFERROR(VLOOKUP(V751,OFFSET(abbreviation[],0,ColumnLanguage),ColumnAbbreviation,FALSE),"")</f>
        <v/>
      </c>
      <c r="BS751" s="21" t="str">
        <f ca="1">IFERROR(VLOOKUP(Z751,OFFSET(abbreviation[],0,ColumnLanguage),ColumnAbbreviation,FALSE),"")</f>
        <v/>
      </c>
      <c r="BT751" s="21" t="str">
        <f ca="1">IFERROR(VLOOKUP(AB751,OFFSET(abbreviation[],0,ColumnLanguage),ColumnAbbreviation,FALSE),"")</f>
        <v/>
      </c>
      <c r="BU751" s="21" t="str">
        <f t="shared" ca="1" si="78"/>
        <v>__</v>
      </c>
      <c r="BV751" s="21" t="str">
        <f ca="1">IFERROR(VLOOKUP(AF751,OFFSET(abbreviation[],0,ColumnLanguage),ColumnAbbreviation,FALSE),"")</f>
        <v/>
      </c>
      <c r="BW751" s="21" t="str">
        <f ca="1">IFERROR(VLOOKUP(AH751,OFFSET(abbreviation[],0,ColumnLanguage),ColumnAbbreviation,FALSE),"")</f>
        <v/>
      </c>
      <c r="BX751" s="21" t="str">
        <f ca="1">IFERROR(VLOOKUP(AJ751,OFFSET(abbreviation[],0,ColumnLanguage),ColumnAbbreviation,FALSE),"")</f>
        <v/>
      </c>
      <c r="BY751" s="21" t="str">
        <f ca="1">IFERROR(VLOOKUP(AL751,OFFSET(abbreviation[],0,ColumnLanguage),ColumnAbbreviation,FALSE),"")</f>
        <v/>
      </c>
      <c r="BZ751" s="21" t="str">
        <f t="shared" ca="1" si="79"/>
        <v>_</v>
      </c>
      <c r="CA751" s="21" t="str">
        <f ca="1">IFERROR(VLOOKUP(AP751,OFFSET(abbreviation[],0,ColumnLanguage),ColumnAbbreviation,FALSE),"")</f>
        <v/>
      </c>
      <c r="CB751" s="21" t="str">
        <f ca="1">IFERROR(VLOOKUP(AR751,OFFSET(abbreviation[],0,ColumnLanguage),ColumnAbbreviation,FALSE),"")</f>
        <v/>
      </c>
      <c r="CC751" s="21" t="str">
        <f ca="1">IFERROR(VLOOKUP(AT751,OFFSET(abbreviation[],0,ColumnLanguage),ColumnAbbreviation,FALSE),"")</f>
        <v/>
      </c>
      <c r="CD751" s="21" t="str">
        <f ca="1">IFERROR(VLOOKUP(AV751,OFFSET(abbreviation[],0,ColumnLanguage),ColumnAbbreviation,FALSE),"")</f>
        <v/>
      </c>
      <c r="CE751" s="21" t="str">
        <f t="shared" ca="1" si="80"/>
        <v>__</v>
      </c>
      <c r="CF751" s="21" t="str">
        <f ca="1">IFERROR(VLOOKUP(AX751,OFFSET(abbreviation[],0,ColumnLanguage),ColumnAbbreviation,FALSE),"")</f>
        <v/>
      </c>
      <c r="CG751" s="21" t="str">
        <f ca="1">IFERROR(VLOOKUP(AZ751,OFFSET(abbreviation[],0,ColumnLanguage),ColumnAbbreviation,FALSE),"")</f>
        <v/>
      </c>
      <c r="CH751" s="21" t="str">
        <f ca="1">IFERROR(VLOOKUP(BB751,OFFSET(abbreviation[],0,ColumnLanguage),ColumnAbbreviation,FALSE),"")</f>
        <v/>
      </c>
      <c r="CI751" s="21" t="str">
        <f ca="1">IFERROR(VLOOKUP(BD751,OFFSET(abbreviation[],0,ColumnLanguage),ColumnAbbreviation,FALSE),"")</f>
        <v/>
      </c>
      <c r="CJ751" s="21" t="str">
        <f ca="1">IFERROR(VLOOKUP(BF751,OFFSET(abbreviation[],0,ColumnLanguage),ColumnAbbreviation,FALSE),"")</f>
        <v/>
      </c>
      <c r="CK751" s="21" t="str">
        <f t="shared" ca="1" si="81"/>
        <v/>
      </c>
      <c r="CL751" s="21" t="str">
        <f t="shared" si="82"/>
        <v/>
      </c>
      <c r="CM751" s="52"/>
      <c r="CN751" s="57" t="str">
        <f t="shared" si="83"/>
        <v/>
      </c>
    </row>
    <row r="752" spans="14:92" x14ac:dyDescent="0.25">
      <c r="Q752" s="13"/>
      <c r="V752" s="60"/>
      <c r="X752" s="61"/>
      <c r="AB752" s="60"/>
      <c r="AN752" s="54"/>
      <c r="AS752" s="15"/>
      <c r="BH752" s="52"/>
      <c r="BI752" s="21" t="str">
        <f ca="1">IFERROR(VLOOKUP(C752,OFFSET(abbreviation[],0,ColumnLanguage),ColumnAbbreviation,FALSE),"")</f>
        <v/>
      </c>
      <c r="BJ752" s="21" t="str">
        <f ca="1">IFERROR(VLOOKUP(E752,OFFSET(abbreviation[],0,ColumnLanguage),ColumnAbbreviation,FALSE),"")</f>
        <v/>
      </c>
      <c r="BK752" s="21" t="str">
        <f ca="1">IFERROR(VLOOKUP(G752,OFFSET(abbreviation[],0,ColumnLanguage),ColumnAbbreviation,FALSE),"")</f>
        <v/>
      </c>
      <c r="BL752" s="21" t="str">
        <f ca="1">IFERROR(VLOOKUP(I752,OFFSET(abbreviation[],0,ColumnLanguage),ColumnAbbreviation,FALSE),"")</f>
        <v/>
      </c>
      <c r="BM752" s="21" t="str">
        <f ca="1">IFERROR(VLOOKUP(K752,OFFSET(abbreviation[],0,ColumnLanguage),ColumnAbbreviation,FALSE),"")</f>
        <v/>
      </c>
      <c r="BN752" s="21" t="str">
        <f t="shared" ca="1" si="77"/>
        <v/>
      </c>
      <c r="BO752" s="21" t="str">
        <f ca="1">IFERROR(VLOOKUP(N752,OFFSET(abbreviation[],0,ColumnLanguage),ColumnAbbreviation,FALSE),"")</f>
        <v/>
      </c>
      <c r="BP752" s="21" t="str">
        <f ca="1">IFERROR(VLOOKUP(P752,OFFSET(abbreviation[],0,ColumnLanguage),ColumnAbbreviation,FALSE),"")</f>
        <v/>
      </c>
      <c r="BQ752" s="21" t="str">
        <f ca="1">IFERROR(VLOOKUP(T752,OFFSET(abbreviation[],0,ColumnLanguage),ColumnAbbreviation,FALSE),"")</f>
        <v/>
      </c>
      <c r="BR752" s="21" t="str">
        <f ca="1">IFERROR(VLOOKUP(V752,OFFSET(abbreviation[],0,ColumnLanguage),ColumnAbbreviation,FALSE),"")</f>
        <v/>
      </c>
      <c r="BS752" s="21" t="str">
        <f ca="1">IFERROR(VLOOKUP(Z752,OFFSET(abbreviation[],0,ColumnLanguage),ColumnAbbreviation,FALSE),"")</f>
        <v/>
      </c>
      <c r="BT752" s="21" t="str">
        <f ca="1">IFERROR(VLOOKUP(AB752,OFFSET(abbreviation[],0,ColumnLanguage),ColumnAbbreviation,FALSE),"")</f>
        <v/>
      </c>
      <c r="BU752" s="21" t="str">
        <f t="shared" ca="1" si="78"/>
        <v>__</v>
      </c>
      <c r="BV752" s="21" t="str">
        <f ca="1">IFERROR(VLOOKUP(AF752,OFFSET(abbreviation[],0,ColumnLanguage),ColumnAbbreviation,FALSE),"")</f>
        <v/>
      </c>
      <c r="BW752" s="21" t="str">
        <f ca="1">IFERROR(VLOOKUP(AH752,OFFSET(abbreviation[],0,ColumnLanguage),ColumnAbbreviation,FALSE),"")</f>
        <v/>
      </c>
      <c r="BX752" s="21" t="str">
        <f ca="1">IFERROR(VLOOKUP(AJ752,OFFSET(abbreviation[],0,ColumnLanguage),ColumnAbbreviation,FALSE),"")</f>
        <v/>
      </c>
      <c r="BY752" s="21" t="str">
        <f ca="1">IFERROR(VLOOKUP(AL752,OFFSET(abbreviation[],0,ColumnLanguage),ColumnAbbreviation,FALSE),"")</f>
        <v/>
      </c>
      <c r="BZ752" s="21" t="str">
        <f t="shared" ca="1" si="79"/>
        <v>_</v>
      </c>
      <c r="CA752" s="21" t="str">
        <f ca="1">IFERROR(VLOOKUP(AP752,OFFSET(abbreviation[],0,ColumnLanguage),ColumnAbbreviation,FALSE),"")</f>
        <v/>
      </c>
      <c r="CB752" s="21" t="str">
        <f ca="1">IFERROR(VLOOKUP(AR752,OFFSET(abbreviation[],0,ColumnLanguage),ColumnAbbreviation,FALSE),"")</f>
        <v/>
      </c>
      <c r="CC752" s="21" t="str">
        <f ca="1">IFERROR(VLOOKUP(AT752,OFFSET(abbreviation[],0,ColumnLanguage),ColumnAbbreviation,FALSE),"")</f>
        <v/>
      </c>
      <c r="CD752" s="21" t="str">
        <f ca="1">IFERROR(VLOOKUP(AV752,OFFSET(abbreviation[],0,ColumnLanguage),ColumnAbbreviation,FALSE),"")</f>
        <v/>
      </c>
      <c r="CE752" s="21" t="str">
        <f t="shared" ca="1" si="80"/>
        <v>__</v>
      </c>
      <c r="CF752" s="21" t="str">
        <f ca="1">IFERROR(VLOOKUP(AX752,OFFSET(abbreviation[],0,ColumnLanguage),ColumnAbbreviation,FALSE),"")</f>
        <v/>
      </c>
      <c r="CG752" s="21" t="str">
        <f ca="1">IFERROR(VLOOKUP(AZ752,OFFSET(abbreviation[],0,ColumnLanguage),ColumnAbbreviation,FALSE),"")</f>
        <v/>
      </c>
      <c r="CH752" s="21" t="str">
        <f ca="1">IFERROR(VLOOKUP(BB752,OFFSET(abbreviation[],0,ColumnLanguage),ColumnAbbreviation,FALSE),"")</f>
        <v/>
      </c>
      <c r="CI752" s="21" t="str">
        <f ca="1">IFERROR(VLOOKUP(BD752,OFFSET(abbreviation[],0,ColumnLanguage),ColumnAbbreviation,FALSE),"")</f>
        <v/>
      </c>
      <c r="CJ752" s="21" t="str">
        <f ca="1">IFERROR(VLOOKUP(BF752,OFFSET(abbreviation[],0,ColumnLanguage),ColumnAbbreviation,FALSE),"")</f>
        <v/>
      </c>
      <c r="CK752" s="21" t="str">
        <f t="shared" ca="1" si="81"/>
        <v/>
      </c>
      <c r="CL752" s="21" t="str">
        <f t="shared" si="82"/>
        <v/>
      </c>
      <c r="CM752" s="52"/>
      <c r="CN752" s="57" t="str">
        <f t="shared" si="83"/>
        <v/>
      </c>
    </row>
    <row r="753" spans="17:92" x14ac:dyDescent="0.25">
      <c r="Q753" s="13"/>
      <c r="V753" s="60"/>
      <c r="X753" s="61"/>
      <c r="AB753" s="60"/>
      <c r="AN753" s="54"/>
      <c r="AS753" s="15"/>
      <c r="BH753" s="52"/>
      <c r="BI753" s="21" t="str">
        <f ca="1">IFERROR(VLOOKUP(C753,OFFSET(abbreviation[],0,ColumnLanguage),ColumnAbbreviation,FALSE),"")</f>
        <v/>
      </c>
      <c r="BJ753" s="21" t="str">
        <f ca="1">IFERROR(VLOOKUP(E753,OFFSET(abbreviation[],0,ColumnLanguage),ColumnAbbreviation,FALSE),"")</f>
        <v/>
      </c>
      <c r="BK753" s="21" t="str">
        <f ca="1">IFERROR(VLOOKUP(G753,OFFSET(abbreviation[],0,ColumnLanguage),ColumnAbbreviation,FALSE),"")</f>
        <v/>
      </c>
      <c r="BL753" s="21" t="str">
        <f ca="1">IFERROR(VLOOKUP(I753,OFFSET(abbreviation[],0,ColumnLanguage),ColumnAbbreviation,FALSE),"")</f>
        <v/>
      </c>
      <c r="BM753" s="21" t="str">
        <f ca="1">IFERROR(VLOOKUP(K753,OFFSET(abbreviation[],0,ColumnLanguage),ColumnAbbreviation,FALSE),"")</f>
        <v/>
      </c>
      <c r="BN753" s="21" t="str">
        <f t="shared" ca="1" si="77"/>
        <v/>
      </c>
      <c r="BO753" s="21" t="str">
        <f ca="1">IFERROR(VLOOKUP(N753,OFFSET(abbreviation[],0,ColumnLanguage),ColumnAbbreviation,FALSE),"")</f>
        <v/>
      </c>
      <c r="BP753" s="21" t="str">
        <f ca="1">IFERROR(VLOOKUP(P753,OFFSET(abbreviation[],0,ColumnLanguage),ColumnAbbreviation,FALSE),"")</f>
        <v/>
      </c>
      <c r="BQ753" s="21" t="str">
        <f ca="1">IFERROR(VLOOKUP(T753,OFFSET(abbreviation[],0,ColumnLanguage),ColumnAbbreviation,FALSE),"")</f>
        <v/>
      </c>
      <c r="BR753" s="21" t="str">
        <f ca="1">IFERROR(VLOOKUP(V753,OFFSET(abbreviation[],0,ColumnLanguage),ColumnAbbreviation,FALSE),"")</f>
        <v/>
      </c>
      <c r="BS753" s="21" t="str">
        <f ca="1">IFERROR(VLOOKUP(Z753,OFFSET(abbreviation[],0,ColumnLanguage),ColumnAbbreviation,FALSE),"")</f>
        <v/>
      </c>
      <c r="BT753" s="21" t="str">
        <f ca="1">IFERROR(VLOOKUP(AB753,OFFSET(abbreviation[],0,ColumnLanguage),ColumnAbbreviation,FALSE),"")</f>
        <v/>
      </c>
      <c r="BU753" s="21" t="str">
        <f t="shared" ca="1" si="78"/>
        <v>__</v>
      </c>
      <c r="BV753" s="21" t="str">
        <f ca="1">IFERROR(VLOOKUP(AF753,OFFSET(abbreviation[],0,ColumnLanguage),ColumnAbbreviation,FALSE),"")</f>
        <v/>
      </c>
      <c r="BW753" s="21" t="str">
        <f ca="1">IFERROR(VLOOKUP(AH753,OFFSET(abbreviation[],0,ColumnLanguage),ColumnAbbreviation,FALSE),"")</f>
        <v/>
      </c>
      <c r="BX753" s="21" t="str">
        <f ca="1">IFERROR(VLOOKUP(AJ753,OFFSET(abbreviation[],0,ColumnLanguage),ColumnAbbreviation,FALSE),"")</f>
        <v/>
      </c>
      <c r="BY753" s="21" t="str">
        <f ca="1">IFERROR(VLOOKUP(AL753,OFFSET(abbreviation[],0,ColumnLanguage),ColumnAbbreviation,FALSE),"")</f>
        <v/>
      </c>
      <c r="BZ753" s="21" t="str">
        <f t="shared" ca="1" si="79"/>
        <v>_</v>
      </c>
      <c r="CA753" s="21" t="str">
        <f ca="1">IFERROR(VLOOKUP(AP753,OFFSET(abbreviation[],0,ColumnLanguage),ColumnAbbreviation,FALSE),"")</f>
        <v/>
      </c>
      <c r="CB753" s="21" t="str">
        <f ca="1">IFERROR(VLOOKUP(AR753,OFFSET(abbreviation[],0,ColumnLanguage),ColumnAbbreviation,FALSE),"")</f>
        <v/>
      </c>
      <c r="CC753" s="21" t="str">
        <f ca="1">IFERROR(VLOOKUP(AT753,OFFSET(abbreviation[],0,ColumnLanguage),ColumnAbbreviation,FALSE),"")</f>
        <v/>
      </c>
      <c r="CD753" s="21" t="str">
        <f ca="1">IFERROR(VLOOKUP(AV753,OFFSET(abbreviation[],0,ColumnLanguage),ColumnAbbreviation,FALSE),"")</f>
        <v/>
      </c>
      <c r="CE753" s="21" t="str">
        <f t="shared" ca="1" si="80"/>
        <v>__</v>
      </c>
      <c r="CF753" s="21" t="str">
        <f ca="1">IFERROR(VLOOKUP(AX753,OFFSET(abbreviation[],0,ColumnLanguage),ColumnAbbreviation,FALSE),"")</f>
        <v/>
      </c>
      <c r="CG753" s="21" t="str">
        <f ca="1">IFERROR(VLOOKUP(AZ753,OFFSET(abbreviation[],0,ColumnLanguage),ColumnAbbreviation,FALSE),"")</f>
        <v/>
      </c>
      <c r="CH753" s="21" t="str">
        <f ca="1">IFERROR(VLOOKUP(BB753,OFFSET(abbreviation[],0,ColumnLanguage),ColumnAbbreviation,FALSE),"")</f>
        <v/>
      </c>
      <c r="CI753" s="21" t="str">
        <f ca="1">IFERROR(VLOOKUP(BD753,OFFSET(abbreviation[],0,ColumnLanguage),ColumnAbbreviation,FALSE),"")</f>
        <v/>
      </c>
      <c r="CJ753" s="21" t="str">
        <f ca="1">IFERROR(VLOOKUP(BF753,OFFSET(abbreviation[],0,ColumnLanguage),ColumnAbbreviation,FALSE),"")</f>
        <v/>
      </c>
      <c r="CK753" s="21" t="str">
        <f t="shared" ca="1" si="81"/>
        <v/>
      </c>
      <c r="CL753" s="21" t="str">
        <f t="shared" si="82"/>
        <v/>
      </c>
      <c r="CM753" s="52"/>
      <c r="CN753" s="57" t="str">
        <f t="shared" si="83"/>
        <v/>
      </c>
    </row>
    <row r="754" spans="17:92" x14ac:dyDescent="0.25">
      <c r="Q754" s="13"/>
      <c r="V754" s="60"/>
      <c r="X754" s="61"/>
      <c r="AB754" s="60"/>
      <c r="AN754" s="54"/>
      <c r="AS754" s="15"/>
      <c r="BH754" s="52"/>
      <c r="BI754" s="21" t="str">
        <f ca="1">IFERROR(VLOOKUP(C754,OFFSET(abbreviation[],0,ColumnLanguage),ColumnAbbreviation,FALSE),"")</f>
        <v/>
      </c>
      <c r="BJ754" s="21" t="str">
        <f ca="1">IFERROR(VLOOKUP(E754,OFFSET(abbreviation[],0,ColumnLanguage),ColumnAbbreviation,FALSE),"")</f>
        <v/>
      </c>
      <c r="BK754" s="21" t="str">
        <f ca="1">IFERROR(VLOOKUP(G754,OFFSET(abbreviation[],0,ColumnLanguage),ColumnAbbreviation,FALSE),"")</f>
        <v/>
      </c>
      <c r="BL754" s="21" t="str">
        <f ca="1">IFERROR(VLOOKUP(I754,OFFSET(abbreviation[],0,ColumnLanguage),ColumnAbbreviation,FALSE),"")</f>
        <v/>
      </c>
      <c r="BM754" s="21" t="str">
        <f ca="1">IFERROR(VLOOKUP(K754,OFFSET(abbreviation[],0,ColumnLanguage),ColumnAbbreviation,FALSE),"")</f>
        <v/>
      </c>
      <c r="BN754" s="21" t="str">
        <f t="shared" ca="1" si="77"/>
        <v/>
      </c>
      <c r="BO754" s="21" t="str">
        <f ca="1">IFERROR(VLOOKUP(N754,OFFSET(abbreviation[],0,ColumnLanguage),ColumnAbbreviation,FALSE),"")</f>
        <v/>
      </c>
      <c r="BP754" s="21" t="str">
        <f ca="1">IFERROR(VLOOKUP(P754,OFFSET(abbreviation[],0,ColumnLanguage),ColumnAbbreviation,FALSE),"")</f>
        <v/>
      </c>
      <c r="BQ754" s="21" t="str">
        <f ca="1">IFERROR(VLOOKUP(T754,OFFSET(abbreviation[],0,ColumnLanguage),ColumnAbbreviation,FALSE),"")</f>
        <v/>
      </c>
      <c r="BR754" s="21" t="str">
        <f ca="1">IFERROR(VLOOKUP(V754,OFFSET(abbreviation[],0,ColumnLanguage),ColumnAbbreviation,FALSE),"")</f>
        <v/>
      </c>
      <c r="BS754" s="21" t="str">
        <f ca="1">IFERROR(VLOOKUP(Z754,OFFSET(abbreviation[],0,ColumnLanguage),ColumnAbbreviation,FALSE),"")</f>
        <v/>
      </c>
      <c r="BT754" s="21" t="str">
        <f ca="1">IFERROR(VLOOKUP(AB754,OFFSET(abbreviation[],0,ColumnLanguage),ColumnAbbreviation,FALSE),"")</f>
        <v/>
      </c>
      <c r="BU754" s="21" t="str">
        <f t="shared" ca="1" si="78"/>
        <v>__</v>
      </c>
      <c r="BV754" s="21" t="str">
        <f ca="1">IFERROR(VLOOKUP(AF754,OFFSET(abbreviation[],0,ColumnLanguage),ColumnAbbreviation,FALSE),"")</f>
        <v/>
      </c>
      <c r="BW754" s="21" t="str">
        <f ca="1">IFERROR(VLOOKUP(AH754,OFFSET(abbreviation[],0,ColumnLanguage),ColumnAbbreviation,FALSE),"")</f>
        <v/>
      </c>
      <c r="BX754" s="21" t="str">
        <f ca="1">IFERROR(VLOOKUP(AJ754,OFFSET(abbreviation[],0,ColumnLanguage),ColumnAbbreviation,FALSE),"")</f>
        <v/>
      </c>
      <c r="BY754" s="21" t="str">
        <f ca="1">IFERROR(VLOOKUP(AL754,OFFSET(abbreviation[],0,ColumnLanguage),ColumnAbbreviation,FALSE),"")</f>
        <v/>
      </c>
      <c r="BZ754" s="21" t="str">
        <f t="shared" ca="1" si="79"/>
        <v>_</v>
      </c>
      <c r="CA754" s="21" t="str">
        <f ca="1">IFERROR(VLOOKUP(AP754,OFFSET(abbreviation[],0,ColumnLanguage),ColumnAbbreviation,FALSE),"")</f>
        <v/>
      </c>
      <c r="CB754" s="21" t="str">
        <f ca="1">IFERROR(VLOOKUP(AR754,OFFSET(abbreviation[],0,ColumnLanguage),ColumnAbbreviation,FALSE),"")</f>
        <v/>
      </c>
      <c r="CC754" s="21" t="str">
        <f ca="1">IFERROR(VLOOKUP(AT754,OFFSET(abbreviation[],0,ColumnLanguage),ColumnAbbreviation,FALSE),"")</f>
        <v/>
      </c>
      <c r="CD754" s="21" t="str">
        <f ca="1">IFERROR(VLOOKUP(AV754,OFFSET(abbreviation[],0,ColumnLanguage),ColumnAbbreviation,FALSE),"")</f>
        <v/>
      </c>
      <c r="CE754" s="21" t="str">
        <f t="shared" ca="1" si="80"/>
        <v>__</v>
      </c>
      <c r="CF754" s="21" t="str">
        <f ca="1">IFERROR(VLOOKUP(AX754,OFFSET(abbreviation[],0,ColumnLanguage),ColumnAbbreviation,FALSE),"")</f>
        <v/>
      </c>
      <c r="CG754" s="21" t="str">
        <f ca="1">IFERROR(VLOOKUP(AZ754,OFFSET(abbreviation[],0,ColumnLanguage),ColumnAbbreviation,FALSE),"")</f>
        <v/>
      </c>
      <c r="CH754" s="21" t="str">
        <f ca="1">IFERROR(VLOOKUP(BB754,OFFSET(abbreviation[],0,ColumnLanguage),ColumnAbbreviation,FALSE),"")</f>
        <v/>
      </c>
      <c r="CI754" s="21" t="str">
        <f ca="1">IFERROR(VLOOKUP(BD754,OFFSET(abbreviation[],0,ColumnLanguage),ColumnAbbreviation,FALSE),"")</f>
        <v/>
      </c>
      <c r="CJ754" s="21" t="str">
        <f ca="1">IFERROR(VLOOKUP(BF754,OFFSET(abbreviation[],0,ColumnLanguage),ColumnAbbreviation,FALSE),"")</f>
        <v/>
      </c>
      <c r="CK754" s="21" t="str">
        <f t="shared" ca="1" si="81"/>
        <v/>
      </c>
      <c r="CL754" s="21" t="str">
        <f t="shared" si="82"/>
        <v/>
      </c>
      <c r="CM754" s="52"/>
      <c r="CN754" s="57" t="str">
        <f t="shared" si="83"/>
        <v/>
      </c>
    </row>
    <row r="755" spans="17:92" x14ac:dyDescent="0.25">
      <c r="Q755" s="13"/>
      <c r="V755" s="60"/>
      <c r="X755" s="61"/>
      <c r="AB755" s="60"/>
      <c r="AN755" s="54"/>
      <c r="AS755" s="15"/>
      <c r="BH755" s="52"/>
      <c r="BI755" s="21" t="str">
        <f ca="1">IFERROR(VLOOKUP(C755,OFFSET(abbreviation[],0,ColumnLanguage),ColumnAbbreviation,FALSE),"")</f>
        <v/>
      </c>
      <c r="BJ755" s="21" t="str">
        <f ca="1">IFERROR(VLOOKUP(E755,OFFSET(abbreviation[],0,ColumnLanguage),ColumnAbbreviation,FALSE),"")</f>
        <v/>
      </c>
      <c r="BK755" s="21" t="str">
        <f ca="1">IFERROR(VLOOKUP(G755,OFFSET(abbreviation[],0,ColumnLanguage),ColumnAbbreviation,FALSE),"")</f>
        <v/>
      </c>
      <c r="BL755" s="21" t="str">
        <f ca="1">IFERROR(VLOOKUP(I755,OFFSET(abbreviation[],0,ColumnLanguage),ColumnAbbreviation,FALSE),"")</f>
        <v/>
      </c>
      <c r="BM755" s="21" t="str">
        <f ca="1">IFERROR(VLOOKUP(K755,OFFSET(abbreviation[],0,ColumnLanguage),ColumnAbbreviation,FALSE),"")</f>
        <v/>
      </c>
      <c r="BN755" s="21" t="str">
        <f t="shared" ca="1" si="77"/>
        <v/>
      </c>
      <c r="BO755" s="21" t="str">
        <f ca="1">IFERROR(VLOOKUP(N755,OFFSET(abbreviation[],0,ColumnLanguage),ColumnAbbreviation,FALSE),"")</f>
        <v/>
      </c>
      <c r="BP755" s="21" t="str">
        <f ca="1">IFERROR(VLOOKUP(P755,OFFSET(abbreviation[],0,ColumnLanguage),ColumnAbbreviation,FALSE),"")</f>
        <v/>
      </c>
      <c r="BQ755" s="21" t="str">
        <f ca="1">IFERROR(VLOOKUP(T755,OFFSET(abbreviation[],0,ColumnLanguage),ColumnAbbreviation,FALSE),"")</f>
        <v/>
      </c>
      <c r="BR755" s="21" t="str">
        <f ca="1">IFERROR(VLOOKUP(V755,OFFSET(abbreviation[],0,ColumnLanguage),ColumnAbbreviation,FALSE),"")</f>
        <v/>
      </c>
      <c r="BS755" s="21" t="str">
        <f ca="1">IFERROR(VLOOKUP(Z755,OFFSET(abbreviation[],0,ColumnLanguage),ColumnAbbreviation,FALSE),"")</f>
        <v/>
      </c>
      <c r="BT755" s="21" t="str">
        <f ca="1">IFERROR(VLOOKUP(AB755,OFFSET(abbreviation[],0,ColumnLanguage),ColumnAbbreviation,FALSE),"")</f>
        <v/>
      </c>
      <c r="BU755" s="21" t="str">
        <f t="shared" ca="1" si="78"/>
        <v>__</v>
      </c>
      <c r="BV755" s="21" t="str">
        <f ca="1">IFERROR(VLOOKUP(AF755,OFFSET(abbreviation[],0,ColumnLanguage),ColumnAbbreviation,FALSE),"")</f>
        <v/>
      </c>
      <c r="BW755" s="21" t="str">
        <f ca="1">IFERROR(VLOOKUP(AH755,OFFSET(abbreviation[],0,ColumnLanguage),ColumnAbbreviation,FALSE),"")</f>
        <v/>
      </c>
      <c r="BX755" s="21" t="str">
        <f ca="1">IFERROR(VLOOKUP(AJ755,OFFSET(abbreviation[],0,ColumnLanguage),ColumnAbbreviation,FALSE),"")</f>
        <v/>
      </c>
      <c r="BY755" s="21" t="str">
        <f ca="1">IFERROR(VLOOKUP(AL755,OFFSET(abbreviation[],0,ColumnLanguage),ColumnAbbreviation,FALSE),"")</f>
        <v/>
      </c>
      <c r="BZ755" s="21" t="str">
        <f t="shared" ca="1" si="79"/>
        <v>_</v>
      </c>
      <c r="CA755" s="21" t="str">
        <f ca="1">IFERROR(VLOOKUP(AP755,OFFSET(abbreviation[],0,ColumnLanguage),ColumnAbbreviation,FALSE),"")</f>
        <v/>
      </c>
      <c r="CB755" s="21" t="str">
        <f ca="1">IFERROR(VLOOKUP(AR755,OFFSET(abbreviation[],0,ColumnLanguage),ColumnAbbreviation,FALSE),"")</f>
        <v/>
      </c>
      <c r="CC755" s="21" t="str">
        <f ca="1">IFERROR(VLOOKUP(AT755,OFFSET(abbreviation[],0,ColumnLanguage),ColumnAbbreviation,FALSE),"")</f>
        <v/>
      </c>
      <c r="CD755" s="21" t="str">
        <f ca="1">IFERROR(VLOOKUP(AV755,OFFSET(abbreviation[],0,ColumnLanguage),ColumnAbbreviation,FALSE),"")</f>
        <v/>
      </c>
      <c r="CE755" s="21" t="str">
        <f t="shared" ca="1" si="80"/>
        <v>__</v>
      </c>
      <c r="CF755" s="21" t="str">
        <f ca="1">IFERROR(VLOOKUP(AX755,OFFSET(abbreviation[],0,ColumnLanguage),ColumnAbbreviation,FALSE),"")</f>
        <v/>
      </c>
      <c r="CG755" s="21" t="str">
        <f ca="1">IFERROR(VLOOKUP(AZ755,OFFSET(abbreviation[],0,ColumnLanguage),ColumnAbbreviation,FALSE),"")</f>
        <v/>
      </c>
      <c r="CH755" s="21" t="str">
        <f ca="1">IFERROR(VLOOKUP(BB755,OFFSET(abbreviation[],0,ColumnLanguage),ColumnAbbreviation,FALSE),"")</f>
        <v/>
      </c>
      <c r="CI755" s="21" t="str">
        <f ca="1">IFERROR(VLOOKUP(BD755,OFFSET(abbreviation[],0,ColumnLanguage),ColumnAbbreviation,FALSE),"")</f>
        <v/>
      </c>
      <c r="CJ755" s="21" t="str">
        <f ca="1">IFERROR(VLOOKUP(BF755,OFFSET(abbreviation[],0,ColumnLanguage),ColumnAbbreviation,FALSE),"")</f>
        <v/>
      </c>
      <c r="CK755" s="21" t="str">
        <f t="shared" ca="1" si="81"/>
        <v/>
      </c>
      <c r="CL755" s="21" t="str">
        <f t="shared" si="82"/>
        <v/>
      </c>
      <c r="CM755" s="52"/>
      <c r="CN755" s="57" t="str">
        <f t="shared" si="83"/>
        <v/>
      </c>
    </row>
    <row r="756" spans="17:92" x14ac:dyDescent="0.25">
      <c r="Q756" s="13"/>
      <c r="V756" s="60"/>
      <c r="X756" s="61"/>
      <c r="AB756" s="60"/>
      <c r="AN756" s="54"/>
      <c r="AS756" s="15"/>
      <c r="BH756" s="52"/>
      <c r="BI756" s="21" t="str">
        <f ca="1">IFERROR(VLOOKUP(C756,OFFSET(abbreviation[],0,ColumnLanguage),ColumnAbbreviation,FALSE),"")</f>
        <v/>
      </c>
      <c r="BJ756" s="21" t="str">
        <f ca="1">IFERROR(VLOOKUP(E756,OFFSET(abbreviation[],0,ColumnLanguage),ColumnAbbreviation,FALSE),"")</f>
        <v/>
      </c>
      <c r="BK756" s="21" t="str">
        <f ca="1">IFERROR(VLOOKUP(G756,OFFSET(abbreviation[],0,ColumnLanguage),ColumnAbbreviation,FALSE),"")</f>
        <v/>
      </c>
      <c r="BL756" s="21" t="str">
        <f ca="1">IFERROR(VLOOKUP(I756,OFFSET(abbreviation[],0,ColumnLanguage),ColumnAbbreviation,FALSE),"")</f>
        <v/>
      </c>
      <c r="BM756" s="21" t="str">
        <f ca="1">IFERROR(VLOOKUP(K756,OFFSET(abbreviation[],0,ColumnLanguage),ColumnAbbreviation,FALSE),"")</f>
        <v/>
      </c>
      <c r="BN756" s="21" t="str">
        <f t="shared" ca="1" si="77"/>
        <v/>
      </c>
      <c r="BO756" s="21" t="str">
        <f ca="1">IFERROR(VLOOKUP(N756,OFFSET(abbreviation[],0,ColumnLanguage),ColumnAbbreviation,FALSE),"")</f>
        <v/>
      </c>
      <c r="BP756" s="21" t="str">
        <f ca="1">IFERROR(VLOOKUP(P756,OFFSET(abbreviation[],0,ColumnLanguage),ColumnAbbreviation,FALSE),"")</f>
        <v/>
      </c>
      <c r="BQ756" s="21" t="str">
        <f ca="1">IFERROR(VLOOKUP(T756,OFFSET(abbreviation[],0,ColumnLanguage),ColumnAbbreviation,FALSE),"")</f>
        <v/>
      </c>
      <c r="BR756" s="21" t="str">
        <f ca="1">IFERROR(VLOOKUP(V756,OFFSET(abbreviation[],0,ColumnLanguage),ColumnAbbreviation,FALSE),"")</f>
        <v/>
      </c>
      <c r="BS756" s="21" t="str">
        <f ca="1">IFERROR(VLOOKUP(Z756,OFFSET(abbreviation[],0,ColumnLanguage),ColumnAbbreviation,FALSE),"")</f>
        <v/>
      </c>
      <c r="BT756" s="21" t="str">
        <f ca="1">IFERROR(VLOOKUP(AB756,OFFSET(abbreviation[],0,ColumnLanguage),ColumnAbbreviation,FALSE),"")</f>
        <v/>
      </c>
      <c r="BU756" s="21" t="str">
        <f t="shared" ca="1" si="78"/>
        <v>__</v>
      </c>
      <c r="BV756" s="21" t="str">
        <f ca="1">IFERROR(VLOOKUP(AF756,OFFSET(abbreviation[],0,ColumnLanguage),ColumnAbbreviation,FALSE),"")</f>
        <v/>
      </c>
      <c r="BW756" s="21" t="str">
        <f ca="1">IFERROR(VLOOKUP(AH756,OFFSET(abbreviation[],0,ColumnLanguage),ColumnAbbreviation,FALSE),"")</f>
        <v/>
      </c>
      <c r="BX756" s="21" t="str">
        <f ca="1">IFERROR(VLOOKUP(AJ756,OFFSET(abbreviation[],0,ColumnLanguage),ColumnAbbreviation,FALSE),"")</f>
        <v/>
      </c>
      <c r="BY756" s="21" t="str">
        <f ca="1">IFERROR(VLOOKUP(AL756,OFFSET(abbreviation[],0,ColumnLanguage),ColumnAbbreviation,FALSE),"")</f>
        <v/>
      </c>
      <c r="BZ756" s="21" t="str">
        <f t="shared" ca="1" si="79"/>
        <v>_</v>
      </c>
      <c r="CA756" s="21" t="str">
        <f ca="1">IFERROR(VLOOKUP(AP756,OFFSET(abbreviation[],0,ColumnLanguage),ColumnAbbreviation,FALSE),"")</f>
        <v/>
      </c>
      <c r="CB756" s="21" t="str">
        <f ca="1">IFERROR(VLOOKUP(AR756,OFFSET(abbreviation[],0,ColumnLanguage),ColumnAbbreviation,FALSE),"")</f>
        <v/>
      </c>
      <c r="CC756" s="21" t="str">
        <f ca="1">IFERROR(VLOOKUP(AT756,OFFSET(abbreviation[],0,ColumnLanguage),ColumnAbbreviation,FALSE),"")</f>
        <v/>
      </c>
      <c r="CD756" s="21" t="str">
        <f ca="1">IFERROR(VLOOKUP(AV756,OFFSET(abbreviation[],0,ColumnLanguage),ColumnAbbreviation,FALSE),"")</f>
        <v/>
      </c>
      <c r="CE756" s="21" t="str">
        <f t="shared" ca="1" si="80"/>
        <v>__</v>
      </c>
      <c r="CF756" s="21" t="str">
        <f ca="1">IFERROR(VLOOKUP(AX756,OFFSET(abbreviation[],0,ColumnLanguage),ColumnAbbreviation,FALSE),"")</f>
        <v/>
      </c>
      <c r="CG756" s="21" t="str">
        <f ca="1">IFERROR(VLOOKUP(AZ756,OFFSET(abbreviation[],0,ColumnLanguage),ColumnAbbreviation,FALSE),"")</f>
        <v/>
      </c>
      <c r="CH756" s="21" t="str">
        <f ca="1">IFERROR(VLOOKUP(BB756,OFFSET(abbreviation[],0,ColumnLanguage),ColumnAbbreviation,FALSE),"")</f>
        <v/>
      </c>
      <c r="CI756" s="21" t="str">
        <f ca="1">IFERROR(VLOOKUP(BD756,OFFSET(abbreviation[],0,ColumnLanguage),ColumnAbbreviation,FALSE),"")</f>
        <v/>
      </c>
      <c r="CJ756" s="21" t="str">
        <f ca="1">IFERROR(VLOOKUP(BF756,OFFSET(abbreviation[],0,ColumnLanguage),ColumnAbbreviation,FALSE),"")</f>
        <v/>
      </c>
      <c r="CK756" s="21" t="str">
        <f t="shared" ca="1" si="81"/>
        <v/>
      </c>
      <c r="CL756" s="21" t="str">
        <f t="shared" si="82"/>
        <v/>
      </c>
      <c r="CM756" s="52"/>
      <c r="CN756" s="57" t="str">
        <f t="shared" si="83"/>
        <v/>
      </c>
    </row>
    <row r="757" spans="17:92" x14ac:dyDescent="0.25">
      <c r="Q757" s="13"/>
      <c r="V757" s="60"/>
      <c r="X757" s="61"/>
      <c r="AB757" s="60"/>
      <c r="AN757" s="54"/>
      <c r="AS757" s="15"/>
      <c r="BH757" s="52"/>
      <c r="BI757" s="21" t="str">
        <f ca="1">IFERROR(VLOOKUP(C757,OFFSET(abbreviation[],0,ColumnLanguage),ColumnAbbreviation,FALSE),"")</f>
        <v/>
      </c>
      <c r="BJ757" s="21" t="str">
        <f ca="1">IFERROR(VLOOKUP(E757,OFFSET(abbreviation[],0,ColumnLanguage),ColumnAbbreviation,FALSE),"")</f>
        <v/>
      </c>
      <c r="BK757" s="21" t="str">
        <f ca="1">IFERROR(VLOOKUP(G757,OFFSET(abbreviation[],0,ColumnLanguage),ColumnAbbreviation,FALSE),"")</f>
        <v/>
      </c>
      <c r="BL757" s="21" t="str">
        <f ca="1">IFERROR(VLOOKUP(I757,OFFSET(abbreviation[],0,ColumnLanguage),ColumnAbbreviation,FALSE),"")</f>
        <v/>
      </c>
      <c r="BM757" s="21" t="str">
        <f ca="1">IFERROR(VLOOKUP(K757,OFFSET(abbreviation[],0,ColumnLanguage),ColumnAbbreviation,FALSE),"")</f>
        <v/>
      </c>
      <c r="BN757" s="21" t="str">
        <f t="shared" ca="1" si="77"/>
        <v/>
      </c>
      <c r="BO757" s="21" t="str">
        <f ca="1">IFERROR(VLOOKUP(N757,OFFSET(abbreviation[],0,ColumnLanguage),ColumnAbbreviation,FALSE),"")</f>
        <v/>
      </c>
      <c r="BP757" s="21" t="str">
        <f ca="1">IFERROR(VLOOKUP(P757,OFFSET(abbreviation[],0,ColumnLanguage),ColumnAbbreviation,FALSE),"")</f>
        <v/>
      </c>
      <c r="BQ757" s="21" t="str">
        <f ca="1">IFERROR(VLOOKUP(T757,OFFSET(abbreviation[],0,ColumnLanguage),ColumnAbbreviation,FALSE),"")</f>
        <v/>
      </c>
      <c r="BR757" s="21" t="str">
        <f ca="1">IFERROR(VLOOKUP(V757,OFFSET(abbreviation[],0,ColumnLanguage),ColumnAbbreviation,FALSE),"")</f>
        <v/>
      </c>
      <c r="BS757" s="21" t="str">
        <f ca="1">IFERROR(VLOOKUP(Z757,OFFSET(abbreviation[],0,ColumnLanguage),ColumnAbbreviation,FALSE),"")</f>
        <v/>
      </c>
      <c r="BT757" s="21" t="str">
        <f ca="1">IFERROR(VLOOKUP(AB757,OFFSET(abbreviation[],0,ColumnLanguage),ColumnAbbreviation,FALSE),"")</f>
        <v/>
      </c>
      <c r="BU757" s="21" t="str">
        <f t="shared" ca="1" si="78"/>
        <v>__</v>
      </c>
      <c r="BV757" s="21" t="str">
        <f ca="1">IFERROR(VLOOKUP(AF757,OFFSET(abbreviation[],0,ColumnLanguage),ColumnAbbreviation,FALSE),"")</f>
        <v/>
      </c>
      <c r="BW757" s="21" t="str">
        <f ca="1">IFERROR(VLOOKUP(AH757,OFFSET(abbreviation[],0,ColumnLanguage),ColumnAbbreviation,FALSE),"")</f>
        <v/>
      </c>
      <c r="BX757" s="21" t="str">
        <f ca="1">IFERROR(VLOOKUP(AJ757,OFFSET(abbreviation[],0,ColumnLanguage),ColumnAbbreviation,FALSE),"")</f>
        <v/>
      </c>
      <c r="BY757" s="21" t="str">
        <f ca="1">IFERROR(VLOOKUP(AL757,OFFSET(abbreviation[],0,ColumnLanguage),ColumnAbbreviation,FALSE),"")</f>
        <v/>
      </c>
      <c r="BZ757" s="21" t="str">
        <f t="shared" ca="1" si="79"/>
        <v>_</v>
      </c>
      <c r="CA757" s="21" t="str">
        <f ca="1">IFERROR(VLOOKUP(AP757,OFFSET(abbreviation[],0,ColumnLanguage),ColumnAbbreviation,FALSE),"")</f>
        <v/>
      </c>
      <c r="CB757" s="21" t="str">
        <f ca="1">IFERROR(VLOOKUP(AR757,OFFSET(abbreviation[],0,ColumnLanguage),ColumnAbbreviation,FALSE),"")</f>
        <v/>
      </c>
      <c r="CC757" s="21" t="str">
        <f ca="1">IFERROR(VLOOKUP(AT757,OFFSET(abbreviation[],0,ColumnLanguage),ColumnAbbreviation,FALSE),"")</f>
        <v/>
      </c>
      <c r="CD757" s="21" t="str">
        <f ca="1">IFERROR(VLOOKUP(AV757,OFFSET(abbreviation[],0,ColumnLanguage),ColumnAbbreviation,FALSE),"")</f>
        <v/>
      </c>
      <c r="CE757" s="21" t="str">
        <f t="shared" ca="1" si="80"/>
        <v>__</v>
      </c>
      <c r="CF757" s="21" t="str">
        <f ca="1">IFERROR(VLOOKUP(AX757,OFFSET(abbreviation[],0,ColumnLanguage),ColumnAbbreviation,FALSE),"")</f>
        <v/>
      </c>
      <c r="CG757" s="21" t="str">
        <f ca="1">IFERROR(VLOOKUP(AZ757,OFFSET(abbreviation[],0,ColumnLanguage),ColumnAbbreviation,FALSE),"")</f>
        <v/>
      </c>
      <c r="CH757" s="21" t="str">
        <f ca="1">IFERROR(VLOOKUP(BB757,OFFSET(abbreviation[],0,ColumnLanguage),ColumnAbbreviation,FALSE),"")</f>
        <v/>
      </c>
      <c r="CI757" s="21" t="str">
        <f ca="1">IFERROR(VLOOKUP(BD757,OFFSET(abbreviation[],0,ColumnLanguage),ColumnAbbreviation,FALSE),"")</f>
        <v/>
      </c>
      <c r="CJ757" s="21" t="str">
        <f ca="1">IFERROR(VLOOKUP(BF757,OFFSET(abbreviation[],0,ColumnLanguage),ColumnAbbreviation,FALSE),"")</f>
        <v/>
      </c>
      <c r="CK757" s="21" t="str">
        <f t="shared" ca="1" si="81"/>
        <v/>
      </c>
      <c r="CL757" s="21" t="str">
        <f t="shared" si="82"/>
        <v/>
      </c>
      <c r="CM757" s="52"/>
      <c r="CN757" s="57" t="str">
        <f t="shared" si="83"/>
        <v/>
      </c>
    </row>
    <row r="758" spans="17:92" x14ac:dyDescent="0.25">
      <c r="Q758" s="13"/>
      <c r="V758" s="60"/>
      <c r="X758" s="61"/>
      <c r="AB758" s="60"/>
      <c r="AN758" s="54"/>
      <c r="AS758" s="15"/>
      <c r="BH758" s="52"/>
      <c r="BI758" s="21" t="str">
        <f ca="1">IFERROR(VLOOKUP(C758,OFFSET(abbreviation[],0,ColumnLanguage),ColumnAbbreviation,FALSE),"")</f>
        <v/>
      </c>
      <c r="BJ758" s="21" t="str">
        <f ca="1">IFERROR(VLOOKUP(E758,OFFSET(abbreviation[],0,ColumnLanguage),ColumnAbbreviation,FALSE),"")</f>
        <v/>
      </c>
      <c r="BK758" s="21" t="str">
        <f ca="1">IFERROR(VLOOKUP(G758,OFFSET(abbreviation[],0,ColumnLanguage),ColumnAbbreviation,FALSE),"")</f>
        <v/>
      </c>
      <c r="BL758" s="21" t="str">
        <f ca="1">IFERROR(VLOOKUP(I758,OFFSET(abbreviation[],0,ColumnLanguage),ColumnAbbreviation,FALSE),"")</f>
        <v/>
      </c>
      <c r="BM758" s="21" t="str">
        <f ca="1">IFERROR(VLOOKUP(K758,OFFSET(abbreviation[],0,ColumnLanguage),ColumnAbbreviation,FALSE),"")</f>
        <v/>
      </c>
      <c r="BN758" s="21" t="str">
        <f t="shared" ca="1" si="77"/>
        <v/>
      </c>
      <c r="BO758" s="21" t="str">
        <f ca="1">IFERROR(VLOOKUP(N758,OFFSET(abbreviation[],0,ColumnLanguage),ColumnAbbreviation,FALSE),"")</f>
        <v/>
      </c>
      <c r="BP758" s="21" t="str">
        <f ca="1">IFERROR(VLOOKUP(P758,OFFSET(abbreviation[],0,ColumnLanguage),ColumnAbbreviation,FALSE),"")</f>
        <v/>
      </c>
      <c r="BQ758" s="21" t="str">
        <f ca="1">IFERROR(VLOOKUP(T758,OFFSET(abbreviation[],0,ColumnLanguage),ColumnAbbreviation,FALSE),"")</f>
        <v/>
      </c>
      <c r="BR758" s="21" t="str">
        <f ca="1">IFERROR(VLOOKUP(V758,OFFSET(abbreviation[],0,ColumnLanguage),ColumnAbbreviation,FALSE),"")</f>
        <v/>
      </c>
      <c r="BS758" s="21" t="str">
        <f ca="1">IFERROR(VLOOKUP(Z758,OFFSET(abbreviation[],0,ColumnLanguage),ColumnAbbreviation,FALSE),"")</f>
        <v/>
      </c>
      <c r="BT758" s="21" t="str">
        <f ca="1">IFERROR(VLOOKUP(AB758,OFFSET(abbreviation[],0,ColumnLanguage),ColumnAbbreviation,FALSE),"")</f>
        <v/>
      </c>
      <c r="BU758" s="21" t="str">
        <f t="shared" ca="1" si="78"/>
        <v>__</v>
      </c>
      <c r="BV758" s="21" t="str">
        <f ca="1">IFERROR(VLOOKUP(AF758,OFFSET(abbreviation[],0,ColumnLanguage),ColumnAbbreviation,FALSE),"")</f>
        <v/>
      </c>
      <c r="BW758" s="21" t="str">
        <f ca="1">IFERROR(VLOOKUP(AH758,OFFSET(abbreviation[],0,ColumnLanguage),ColumnAbbreviation,FALSE),"")</f>
        <v/>
      </c>
      <c r="BX758" s="21" t="str">
        <f ca="1">IFERROR(VLOOKUP(AJ758,OFFSET(abbreviation[],0,ColumnLanguage),ColumnAbbreviation,FALSE),"")</f>
        <v/>
      </c>
      <c r="BY758" s="21" t="str">
        <f ca="1">IFERROR(VLOOKUP(AL758,OFFSET(abbreviation[],0,ColumnLanguage),ColumnAbbreviation,FALSE),"")</f>
        <v/>
      </c>
      <c r="BZ758" s="21" t="str">
        <f t="shared" ca="1" si="79"/>
        <v>_</v>
      </c>
      <c r="CA758" s="21" t="str">
        <f ca="1">IFERROR(VLOOKUP(AP758,OFFSET(abbreviation[],0,ColumnLanguage),ColumnAbbreviation,FALSE),"")</f>
        <v/>
      </c>
      <c r="CB758" s="21" t="str">
        <f ca="1">IFERROR(VLOOKUP(AR758,OFFSET(abbreviation[],0,ColumnLanguage),ColumnAbbreviation,FALSE),"")</f>
        <v/>
      </c>
      <c r="CC758" s="21" t="str">
        <f ca="1">IFERROR(VLOOKUP(AT758,OFFSET(abbreviation[],0,ColumnLanguage),ColumnAbbreviation,FALSE),"")</f>
        <v/>
      </c>
      <c r="CD758" s="21" t="str">
        <f ca="1">IFERROR(VLOOKUP(AV758,OFFSET(abbreviation[],0,ColumnLanguage),ColumnAbbreviation,FALSE),"")</f>
        <v/>
      </c>
      <c r="CE758" s="21" t="str">
        <f t="shared" ca="1" si="80"/>
        <v>__</v>
      </c>
      <c r="CF758" s="21" t="str">
        <f ca="1">IFERROR(VLOOKUP(AX758,OFFSET(abbreviation[],0,ColumnLanguage),ColumnAbbreviation,FALSE),"")</f>
        <v/>
      </c>
      <c r="CG758" s="21" t="str">
        <f ca="1">IFERROR(VLOOKUP(AZ758,OFFSET(abbreviation[],0,ColumnLanguage),ColumnAbbreviation,FALSE),"")</f>
        <v/>
      </c>
      <c r="CH758" s="21" t="str">
        <f ca="1">IFERROR(VLOOKUP(BB758,OFFSET(abbreviation[],0,ColumnLanguage),ColumnAbbreviation,FALSE),"")</f>
        <v/>
      </c>
      <c r="CI758" s="21" t="str">
        <f ca="1">IFERROR(VLOOKUP(BD758,OFFSET(abbreviation[],0,ColumnLanguage),ColumnAbbreviation,FALSE),"")</f>
        <v/>
      </c>
      <c r="CJ758" s="21" t="str">
        <f ca="1">IFERROR(VLOOKUP(BF758,OFFSET(abbreviation[],0,ColumnLanguage),ColumnAbbreviation,FALSE),"")</f>
        <v/>
      </c>
      <c r="CK758" s="21" t="str">
        <f t="shared" ca="1" si="81"/>
        <v/>
      </c>
      <c r="CL758" s="21" t="str">
        <f t="shared" si="82"/>
        <v/>
      </c>
      <c r="CM758" s="52"/>
      <c r="CN758" s="57" t="str">
        <f t="shared" si="83"/>
        <v/>
      </c>
    </row>
    <row r="759" spans="17:92" x14ac:dyDescent="0.25">
      <c r="Q759" s="13"/>
      <c r="V759" s="60"/>
      <c r="X759" s="61"/>
      <c r="AB759" s="60"/>
      <c r="AN759" s="54"/>
      <c r="AS759" s="15"/>
      <c r="BH759" s="52"/>
      <c r="BI759" s="21" t="str">
        <f ca="1">IFERROR(VLOOKUP(C759,OFFSET(abbreviation[],0,ColumnLanguage),ColumnAbbreviation,FALSE),"")</f>
        <v/>
      </c>
      <c r="BJ759" s="21" t="str">
        <f ca="1">IFERROR(VLOOKUP(E759,OFFSET(abbreviation[],0,ColumnLanguage),ColumnAbbreviation,FALSE),"")</f>
        <v/>
      </c>
      <c r="BK759" s="21" t="str">
        <f ca="1">IFERROR(VLOOKUP(G759,OFFSET(abbreviation[],0,ColumnLanguage),ColumnAbbreviation,FALSE),"")</f>
        <v/>
      </c>
      <c r="BL759" s="21" t="str">
        <f ca="1">IFERROR(VLOOKUP(I759,OFFSET(abbreviation[],0,ColumnLanguage),ColumnAbbreviation,FALSE),"")</f>
        <v/>
      </c>
      <c r="BM759" s="21" t="str">
        <f ca="1">IFERROR(VLOOKUP(K759,OFFSET(abbreviation[],0,ColumnLanguage),ColumnAbbreviation,FALSE),"")</f>
        <v/>
      </c>
      <c r="BN759" s="21" t="str">
        <f t="shared" ca="1" si="77"/>
        <v/>
      </c>
      <c r="BO759" s="21" t="str">
        <f ca="1">IFERROR(VLOOKUP(N759,OFFSET(abbreviation[],0,ColumnLanguage),ColumnAbbreviation,FALSE),"")</f>
        <v/>
      </c>
      <c r="BP759" s="21" t="str">
        <f ca="1">IFERROR(VLOOKUP(P759,OFFSET(abbreviation[],0,ColumnLanguage),ColumnAbbreviation,FALSE),"")</f>
        <v/>
      </c>
      <c r="BQ759" s="21" t="str">
        <f ca="1">IFERROR(VLOOKUP(T759,OFFSET(abbreviation[],0,ColumnLanguage),ColumnAbbreviation,FALSE),"")</f>
        <v/>
      </c>
      <c r="BR759" s="21" t="str">
        <f ca="1">IFERROR(VLOOKUP(V759,OFFSET(abbreviation[],0,ColumnLanguage),ColumnAbbreviation,FALSE),"")</f>
        <v/>
      </c>
      <c r="BS759" s="21" t="str">
        <f ca="1">IFERROR(VLOOKUP(Z759,OFFSET(abbreviation[],0,ColumnLanguage),ColumnAbbreviation,FALSE),"")</f>
        <v/>
      </c>
      <c r="BT759" s="21" t="str">
        <f ca="1">IFERROR(VLOOKUP(AB759,OFFSET(abbreviation[],0,ColumnLanguage),ColumnAbbreviation,FALSE),"")</f>
        <v/>
      </c>
      <c r="BU759" s="21" t="str">
        <f t="shared" ca="1" si="78"/>
        <v>__</v>
      </c>
      <c r="BV759" s="21" t="str">
        <f ca="1">IFERROR(VLOOKUP(AF759,OFFSET(abbreviation[],0,ColumnLanguage),ColumnAbbreviation,FALSE),"")</f>
        <v/>
      </c>
      <c r="BW759" s="21" t="str">
        <f ca="1">IFERROR(VLOOKUP(AH759,OFFSET(abbreviation[],0,ColumnLanguage),ColumnAbbreviation,FALSE),"")</f>
        <v/>
      </c>
      <c r="BX759" s="21" t="str">
        <f ca="1">IFERROR(VLOOKUP(AJ759,OFFSET(abbreviation[],0,ColumnLanguage),ColumnAbbreviation,FALSE),"")</f>
        <v/>
      </c>
      <c r="BY759" s="21" t="str">
        <f ca="1">IFERROR(VLOOKUP(AL759,OFFSET(abbreviation[],0,ColumnLanguage),ColumnAbbreviation,FALSE),"")</f>
        <v/>
      </c>
      <c r="BZ759" s="21" t="str">
        <f t="shared" ca="1" si="79"/>
        <v>_</v>
      </c>
      <c r="CA759" s="21" t="str">
        <f ca="1">IFERROR(VLOOKUP(AP759,OFFSET(abbreviation[],0,ColumnLanguage),ColumnAbbreviation,FALSE),"")</f>
        <v/>
      </c>
      <c r="CB759" s="21" t="str">
        <f ca="1">IFERROR(VLOOKUP(AR759,OFFSET(abbreviation[],0,ColumnLanguage),ColumnAbbreviation,FALSE),"")</f>
        <v/>
      </c>
      <c r="CC759" s="21" t="str">
        <f ca="1">IFERROR(VLOOKUP(AT759,OFFSET(abbreviation[],0,ColumnLanguage),ColumnAbbreviation,FALSE),"")</f>
        <v/>
      </c>
      <c r="CD759" s="21" t="str">
        <f ca="1">IFERROR(VLOOKUP(AV759,OFFSET(abbreviation[],0,ColumnLanguage),ColumnAbbreviation,FALSE),"")</f>
        <v/>
      </c>
      <c r="CE759" s="21" t="str">
        <f t="shared" ca="1" si="80"/>
        <v>__</v>
      </c>
      <c r="CF759" s="21" t="str">
        <f ca="1">IFERROR(VLOOKUP(AX759,OFFSET(abbreviation[],0,ColumnLanguage),ColumnAbbreviation,FALSE),"")</f>
        <v/>
      </c>
      <c r="CG759" s="21" t="str">
        <f ca="1">IFERROR(VLOOKUP(AZ759,OFFSET(abbreviation[],0,ColumnLanguage),ColumnAbbreviation,FALSE),"")</f>
        <v/>
      </c>
      <c r="CH759" s="21" t="str">
        <f ca="1">IFERROR(VLOOKUP(BB759,OFFSET(abbreviation[],0,ColumnLanguage),ColumnAbbreviation,FALSE),"")</f>
        <v/>
      </c>
      <c r="CI759" s="21" t="str">
        <f ca="1">IFERROR(VLOOKUP(BD759,OFFSET(abbreviation[],0,ColumnLanguage),ColumnAbbreviation,FALSE),"")</f>
        <v/>
      </c>
      <c r="CJ759" s="21" t="str">
        <f ca="1">IFERROR(VLOOKUP(BF759,OFFSET(abbreviation[],0,ColumnLanguage),ColumnAbbreviation,FALSE),"")</f>
        <v/>
      </c>
      <c r="CK759" s="21" t="str">
        <f t="shared" ca="1" si="81"/>
        <v/>
      </c>
      <c r="CL759" s="21" t="str">
        <f t="shared" si="82"/>
        <v/>
      </c>
      <c r="CM759" s="52"/>
      <c r="CN759" s="57" t="str">
        <f t="shared" si="83"/>
        <v/>
      </c>
    </row>
    <row r="760" spans="17:92" x14ac:dyDescent="0.25">
      <c r="Q760" s="13"/>
      <c r="V760" s="60"/>
      <c r="X760" s="61"/>
      <c r="AB760" s="60"/>
      <c r="AN760" s="54"/>
      <c r="AS760" s="15"/>
      <c r="BH760" s="52"/>
      <c r="BI760" s="21" t="str">
        <f ca="1">IFERROR(VLOOKUP(C760,OFFSET(abbreviation[],0,ColumnLanguage),ColumnAbbreviation,FALSE),"")</f>
        <v/>
      </c>
      <c r="BJ760" s="21" t="str">
        <f ca="1">IFERROR(VLOOKUP(E760,OFFSET(abbreviation[],0,ColumnLanguage),ColumnAbbreviation,FALSE),"")</f>
        <v/>
      </c>
      <c r="BK760" s="21" t="str">
        <f ca="1">IFERROR(VLOOKUP(G760,OFFSET(abbreviation[],0,ColumnLanguage),ColumnAbbreviation,FALSE),"")</f>
        <v/>
      </c>
      <c r="BL760" s="21" t="str">
        <f ca="1">IFERROR(VLOOKUP(I760,OFFSET(abbreviation[],0,ColumnLanguage),ColumnAbbreviation,FALSE),"")</f>
        <v/>
      </c>
      <c r="BM760" s="21" t="str">
        <f ca="1">IFERROR(VLOOKUP(K760,OFFSET(abbreviation[],0,ColumnLanguage),ColumnAbbreviation,FALSE),"")</f>
        <v/>
      </c>
      <c r="BN760" s="21" t="str">
        <f t="shared" ca="1" si="77"/>
        <v/>
      </c>
      <c r="BO760" s="21" t="str">
        <f ca="1">IFERROR(VLOOKUP(N760,OFFSET(abbreviation[],0,ColumnLanguage),ColumnAbbreviation,FALSE),"")</f>
        <v/>
      </c>
      <c r="BP760" s="21" t="str">
        <f ca="1">IFERROR(VLOOKUP(P760,OFFSET(abbreviation[],0,ColumnLanguage),ColumnAbbreviation,FALSE),"")</f>
        <v/>
      </c>
      <c r="BQ760" s="21" t="str">
        <f ca="1">IFERROR(VLOOKUP(T760,OFFSET(abbreviation[],0,ColumnLanguage),ColumnAbbreviation,FALSE),"")</f>
        <v/>
      </c>
      <c r="BR760" s="21" t="str">
        <f ca="1">IFERROR(VLOOKUP(V760,OFFSET(abbreviation[],0,ColumnLanguage),ColumnAbbreviation,FALSE),"")</f>
        <v/>
      </c>
      <c r="BS760" s="21" t="str">
        <f ca="1">IFERROR(VLOOKUP(Z760,OFFSET(abbreviation[],0,ColumnLanguage),ColumnAbbreviation,FALSE),"")</f>
        <v/>
      </c>
      <c r="BT760" s="21" t="str">
        <f ca="1">IFERROR(VLOOKUP(AB760,OFFSET(abbreviation[],0,ColumnLanguage),ColumnAbbreviation,FALSE),"")</f>
        <v/>
      </c>
      <c r="BU760" s="21" t="str">
        <f t="shared" ca="1" si="78"/>
        <v>__</v>
      </c>
      <c r="BV760" s="21" t="str">
        <f ca="1">IFERROR(VLOOKUP(AF760,OFFSET(abbreviation[],0,ColumnLanguage),ColumnAbbreviation,FALSE),"")</f>
        <v/>
      </c>
      <c r="BW760" s="21" t="str">
        <f ca="1">IFERROR(VLOOKUP(AH760,OFFSET(abbreviation[],0,ColumnLanguage),ColumnAbbreviation,FALSE),"")</f>
        <v/>
      </c>
      <c r="BX760" s="21" t="str">
        <f ca="1">IFERROR(VLOOKUP(AJ760,OFFSET(abbreviation[],0,ColumnLanguage),ColumnAbbreviation,FALSE),"")</f>
        <v/>
      </c>
      <c r="BY760" s="21" t="str">
        <f ca="1">IFERROR(VLOOKUP(AL760,OFFSET(abbreviation[],0,ColumnLanguage),ColumnAbbreviation,FALSE),"")</f>
        <v/>
      </c>
      <c r="BZ760" s="21" t="str">
        <f t="shared" ca="1" si="79"/>
        <v>_</v>
      </c>
      <c r="CA760" s="21" t="str">
        <f ca="1">IFERROR(VLOOKUP(AP760,OFFSET(abbreviation[],0,ColumnLanguage),ColumnAbbreviation,FALSE),"")</f>
        <v/>
      </c>
      <c r="CB760" s="21" t="str">
        <f ca="1">IFERROR(VLOOKUP(AR760,OFFSET(abbreviation[],0,ColumnLanguage),ColumnAbbreviation,FALSE),"")</f>
        <v/>
      </c>
      <c r="CC760" s="21" t="str">
        <f ca="1">IFERROR(VLOOKUP(AT760,OFFSET(abbreviation[],0,ColumnLanguage),ColumnAbbreviation,FALSE),"")</f>
        <v/>
      </c>
      <c r="CD760" s="21" t="str">
        <f ca="1">IFERROR(VLOOKUP(AV760,OFFSET(abbreviation[],0,ColumnLanguage),ColumnAbbreviation,FALSE),"")</f>
        <v/>
      </c>
      <c r="CE760" s="21" t="str">
        <f t="shared" ca="1" si="80"/>
        <v>__</v>
      </c>
      <c r="CF760" s="21" t="str">
        <f ca="1">IFERROR(VLOOKUP(AX760,OFFSET(abbreviation[],0,ColumnLanguage),ColumnAbbreviation,FALSE),"")</f>
        <v/>
      </c>
      <c r="CG760" s="21" t="str">
        <f ca="1">IFERROR(VLOOKUP(AZ760,OFFSET(abbreviation[],0,ColumnLanguage),ColumnAbbreviation,FALSE),"")</f>
        <v/>
      </c>
      <c r="CH760" s="21" t="str">
        <f ca="1">IFERROR(VLOOKUP(BB760,OFFSET(abbreviation[],0,ColumnLanguage),ColumnAbbreviation,FALSE),"")</f>
        <v/>
      </c>
      <c r="CI760" s="21" t="str">
        <f ca="1">IFERROR(VLOOKUP(BD760,OFFSET(abbreviation[],0,ColumnLanguage),ColumnAbbreviation,FALSE),"")</f>
        <v/>
      </c>
      <c r="CJ760" s="21" t="str">
        <f ca="1">IFERROR(VLOOKUP(BF760,OFFSET(abbreviation[],0,ColumnLanguage),ColumnAbbreviation,FALSE),"")</f>
        <v/>
      </c>
      <c r="CK760" s="21" t="str">
        <f t="shared" ca="1" si="81"/>
        <v/>
      </c>
      <c r="CL760" s="21" t="str">
        <f t="shared" si="82"/>
        <v/>
      </c>
      <c r="CM760" s="52"/>
      <c r="CN760" s="57" t="str">
        <f t="shared" si="83"/>
        <v/>
      </c>
    </row>
    <row r="761" spans="17:92" x14ac:dyDescent="0.25">
      <c r="Q761" s="13"/>
      <c r="V761" s="60"/>
      <c r="X761" s="61"/>
      <c r="AB761" s="60"/>
      <c r="AN761" s="54"/>
      <c r="AS761" s="15"/>
      <c r="BH761" s="52"/>
      <c r="BI761" s="21" t="str">
        <f ca="1">IFERROR(VLOOKUP(C761,OFFSET(abbreviation[],0,ColumnLanguage),ColumnAbbreviation,FALSE),"")</f>
        <v/>
      </c>
      <c r="BJ761" s="21" t="str">
        <f ca="1">IFERROR(VLOOKUP(E761,OFFSET(abbreviation[],0,ColumnLanguage),ColumnAbbreviation,FALSE),"")</f>
        <v/>
      </c>
      <c r="BK761" s="21" t="str">
        <f ca="1">IFERROR(VLOOKUP(G761,OFFSET(abbreviation[],0,ColumnLanguage),ColumnAbbreviation,FALSE),"")</f>
        <v/>
      </c>
      <c r="BL761" s="21" t="str">
        <f ca="1">IFERROR(VLOOKUP(I761,OFFSET(abbreviation[],0,ColumnLanguage),ColumnAbbreviation,FALSE),"")</f>
        <v/>
      </c>
      <c r="BM761" s="21" t="str">
        <f ca="1">IFERROR(VLOOKUP(K761,OFFSET(abbreviation[],0,ColumnLanguage),ColumnAbbreviation,FALSE),"")</f>
        <v/>
      </c>
      <c r="BN761" s="21" t="str">
        <f t="shared" ca="1" si="77"/>
        <v/>
      </c>
      <c r="BO761" s="21" t="str">
        <f ca="1">IFERROR(VLOOKUP(N761,OFFSET(abbreviation[],0,ColumnLanguage),ColumnAbbreviation,FALSE),"")</f>
        <v/>
      </c>
      <c r="BP761" s="21" t="str">
        <f ca="1">IFERROR(VLOOKUP(P761,OFFSET(abbreviation[],0,ColumnLanguage),ColumnAbbreviation,FALSE),"")</f>
        <v/>
      </c>
      <c r="BQ761" s="21" t="str">
        <f ca="1">IFERROR(VLOOKUP(T761,OFFSET(abbreviation[],0,ColumnLanguage),ColumnAbbreviation,FALSE),"")</f>
        <v/>
      </c>
      <c r="BR761" s="21" t="str">
        <f ca="1">IFERROR(VLOOKUP(V761,OFFSET(abbreviation[],0,ColumnLanguage),ColumnAbbreviation,FALSE),"")</f>
        <v/>
      </c>
      <c r="BS761" s="21" t="str">
        <f ca="1">IFERROR(VLOOKUP(Z761,OFFSET(abbreviation[],0,ColumnLanguage),ColumnAbbreviation,FALSE),"")</f>
        <v/>
      </c>
      <c r="BT761" s="21" t="str">
        <f ca="1">IFERROR(VLOOKUP(AB761,OFFSET(abbreviation[],0,ColumnLanguage),ColumnAbbreviation,FALSE),"")</f>
        <v/>
      </c>
      <c r="BU761" s="21" t="str">
        <f t="shared" ca="1" si="78"/>
        <v>__</v>
      </c>
      <c r="BV761" s="21" t="str">
        <f ca="1">IFERROR(VLOOKUP(AF761,OFFSET(abbreviation[],0,ColumnLanguage),ColumnAbbreviation,FALSE),"")</f>
        <v/>
      </c>
      <c r="BW761" s="21" t="str">
        <f ca="1">IFERROR(VLOOKUP(AH761,OFFSET(abbreviation[],0,ColumnLanguage),ColumnAbbreviation,FALSE),"")</f>
        <v/>
      </c>
      <c r="BX761" s="21" t="str">
        <f ca="1">IFERROR(VLOOKUP(AJ761,OFFSET(abbreviation[],0,ColumnLanguage),ColumnAbbreviation,FALSE),"")</f>
        <v/>
      </c>
      <c r="BY761" s="21" t="str">
        <f ca="1">IFERROR(VLOOKUP(AL761,OFFSET(abbreviation[],0,ColumnLanguage),ColumnAbbreviation,FALSE),"")</f>
        <v/>
      </c>
      <c r="BZ761" s="21" t="str">
        <f t="shared" ca="1" si="79"/>
        <v>_</v>
      </c>
      <c r="CA761" s="21" t="str">
        <f ca="1">IFERROR(VLOOKUP(AP761,OFFSET(abbreviation[],0,ColumnLanguage),ColumnAbbreviation,FALSE),"")</f>
        <v/>
      </c>
      <c r="CB761" s="21" t="str">
        <f ca="1">IFERROR(VLOOKUP(AR761,OFFSET(abbreviation[],0,ColumnLanguage),ColumnAbbreviation,FALSE),"")</f>
        <v/>
      </c>
      <c r="CC761" s="21" t="str">
        <f ca="1">IFERROR(VLOOKUP(AT761,OFFSET(abbreviation[],0,ColumnLanguage),ColumnAbbreviation,FALSE),"")</f>
        <v/>
      </c>
      <c r="CD761" s="21" t="str">
        <f ca="1">IFERROR(VLOOKUP(AV761,OFFSET(abbreviation[],0,ColumnLanguage),ColumnAbbreviation,FALSE),"")</f>
        <v/>
      </c>
      <c r="CE761" s="21" t="str">
        <f t="shared" ca="1" si="80"/>
        <v>__</v>
      </c>
      <c r="CF761" s="21" t="str">
        <f ca="1">IFERROR(VLOOKUP(AX761,OFFSET(abbreviation[],0,ColumnLanguage),ColumnAbbreviation,FALSE),"")</f>
        <v/>
      </c>
      <c r="CG761" s="21" t="str">
        <f ca="1">IFERROR(VLOOKUP(AZ761,OFFSET(abbreviation[],0,ColumnLanguage),ColumnAbbreviation,FALSE),"")</f>
        <v/>
      </c>
      <c r="CH761" s="21" t="str">
        <f ca="1">IFERROR(VLOOKUP(BB761,OFFSET(abbreviation[],0,ColumnLanguage),ColumnAbbreviation,FALSE),"")</f>
        <v/>
      </c>
      <c r="CI761" s="21" t="str">
        <f ca="1">IFERROR(VLOOKUP(BD761,OFFSET(abbreviation[],0,ColumnLanguage),ColumnAbbreviation,FALSE),"")</f>
        <v/>
      </c>
      <c r="CJ761" s="21" t="str">
        <f ca="1">IFERROR(VLOOKUP(BF761,OFFSET(abbreviation[],0,ColumnLanguage),ColumnAbbreviation,FALSE),"")</f>
        <v/>
      </c>
      <c r="CK761" s="21" t="str">
        <f t="shared" ca="1" si="81"/>
        <v/>
      </c>
      <c r="CL761" s="21" t="str">
        <f t="shared" si="82"/>
        <v/>
      </c>
      <c r="CM761" s="52"/>
      <c r="CN761" s="57" t="str">
        <f t="shared" si="83"/>
        <v/>
      </c>
    </row>
    <row r="762" spans="17:92" x14ac:dyDescent="0.25">
      <c r="Q762" s="13"/>
      <c r="V762" s="60"/>
      <c r="X762" s="61"/>
      <c r="AB762" s="60"/>
      <c r="AN762" s="54"/>
      <c r="AS762" s="15"/>
      <c r="BH762" s="52"/>
      <c r="BI762" s="21" t="str">
        <f ca="1">IFERROR(VLOOKUP(C762,OFFSET(abbreviation[],0,ColumnLanguage),ColumnAbbreviation,FALSE),"")</f>
        <v/>
      </c>
      <c r="BJ762" s="21" t="str">
        <f ca="1">IFERROR(VLOOKUP(E762,OFFSET(abbreviation[],0,ColumnLanguage),ColumnAbbreviation,FALSE),"")</f>
        <v/>
      </c>
      <c r="BK762" s="21" t="str">
        <f ca="1">IFERROR(VLOOKUP(G762,OFFSET(abbreviation[],0,ColumnLanguage),ColumnAbbreviation,FALSE),"")</f>
        <v/>
      </c>
      <c r="BL762" s="21" t="str">
        <f ca="1">IFERROR(VLOOKUP(I762,OFFSET(abbreviation[],0,ColumnLanguage),ColumnAbbreviation,FALSE),"")</f>
        <v/>
      </c>
      <c r="BM762" s="21" t="str">
        <f ca="1">IFERROR(VLOOKUP(K762,OFFSET(abbreviation[],0,ColumnLanguage),ColumnAbbreviation,FALSE),"")</f>
        <v/>
      </c>
      <c r="BN762" s="21" t="str">
        <f t="shared" ca="1" si="77"/>
        <v/>
      </c>
      <c r="BO762" s="21" t="str">
        <f ca="1">IFERROR(VLOOKUP(N762,OFFSET(abbreviation[],0,ColumnLanguage),ColumnAbbreviation,FALSE),"")</f>
        <v/>
      </c>
      <c r="BP762" s="21" t="str">
        <f ca="1">IFERROR(VLOOKUP(P762,OFFSET(abbreviation[],0,ColumnLanguage),ColumnAbbreviation,FALSE),"")</f>
        <v/>
      </c>
      <c r="BQ762" s="21" t="str">
        <f ca="1">IFERROR(VLOOKUP(T762,OFFSET(abbreviation[],0,ColumnLanguage),ColumnAbbreviation,FALSE),"")</f>
        <v/>
      </c>
      <c r="BR762" s="21" t="str">
        <f ca="1">IFERROR(VLOOKUP(V762,OFFSET(abbreviation[],0,ColumnLanguage),ColumnAbbreviation,FALSE),"")</f>
        <v/>
      </c>
      <c r="BS762" s="21" t="str">
        <f ca="1">IFERROR(VLOOKUP(Z762,OFFSET(abbreviation[],0,ColumnLanguage),ColumnAbbreviation,FALSE),"")</f>
        <v/>
      </c>
      <c r="BT762" s="21" t="str">
        <f ca="1">IFERROR(VLOOKUP(AB762,OFFSET(abbreviation[],0,ColumnLanguage),ColumnAbbreviation,FALSE),"")</f>
        <v/>
      </c>
      <c r="BU762" s="21" t="str">
        <f t="shared" ca="1" si="78"/>
        <v>__</v>
      </c>
      <c r="BV762" s="21" t="str">
        <f ca="1">IFERROR(VLOOKUP(AF762,OFFSET(abbreviation[],0,ColumnLanguage),ColumnAbbreviation,FALSE),"")</f>
        <v/>
      </c>
      <c r="BW762" s="21" t="str">
        <f ca="1">IFERROR(VLOOKUP(AH762,OFFSET(abbreviation[],0,ColumnLanguage),ColumnAbbreviation,FALSE),"")</f>
        <v/>
      </c>
      <c r="BX762" s="21" t="str">
        <f ca="1">IFERROR(VLOOKUP(AJ762,OFFSET(abbreviation[],0,ColumnLanguage),ColumnAbbreviation,FALSE),"")</f>
        <v/>
      </c>
      <c r="BY762" s="21" t="str">
        <f ca="1">IFERROR(VLOOKUP(AL762,OFFSET(abbreviation[],0,ColumnLanguage),ColumnAbbreviation,FALSE),"")</f>
        <v/>
      </c>
      <c r="BZ762" s="21" t="str">
        <f t="shared" ca="1" si="79"/>
        <v>_</v>
      </c>
      <c r="CA762" s="21" t="str">
        <f ca="1">IFERROR(VLOOKUP(AP762,OFFSET(abbreviation[],0,ColumnLanguage),ColumnAbbreviation,FALSE),"")</f>
        <v/>
      </c>
      <c r="CB762" s="21" t="str">
        <f ca="1">IFERROR(VLOOKUP(AR762,OFFSET(abbreviation[],0,ColumnLanguage),ColumnAbbreviation,FALSE),"")</f>
        <v/>
      </c>
      <c r="CC762" s="21" t="str">
        <f ca="1">IFERROR(VLOOKUP(AT762,OFFSET(abbreviation[],0,ColumnLanguage),ColumnAbbreviation,FALSE),"")</f>
        <v/>
      </c>
      <c r="CD762" s="21" t="str">
        <f ca="1">IFERROR(VLOOKUP(AV762,OFFSET(abbreviation[],0,ColumnLanguage),ColumnAbbreviation,FALSE),"")</f>
        <v/>
      </c>
      <c r="CE762" s="21" t="str">
        <f t="shared" ca="1" si="80"/>
        <v>__</v>
      </c>
      <c r="CF762" s="21" t="str">
        <f ca="1">IFERROR(VLOOKUP(AX762,OFFSET(abbreviation[],0,ColumnLanguage),ColumnAbbreviation,FALSE),"")</f>
        <v/>
      </c>
      <c r="CG762" s="21" t="str">
        <f ca="1">IFERROR(VLOOKUP(AZ762,OFFSET(abbreviation[],0,ColumnLanguage),ColumnAbbreviation,FALSE),"")</f>
        <v/>
      </c>
      <c r="CH762" s="21" t="str">
        <f ca="1">IFERROR(VLOOKUP(BB762,OFFSET(abbreviation[],0,ColumnLanguage),ColumnAbbreviation,FALSE),"")</f>
        <v/>
      </c>
      <c r="CI762" s="21" t="str">
        <f ca="1">IFERROR(VLOOKUP(BD762,OFFSET(abbreviation[],0,ColumnLanguage),ColumnAbbreviation,FALSE),"")</f>
        <v/>
      </c>
      <c r="CJ762" s="21" t="str">
        <f ca="1">IFERROR(VLOOKUP(BF762,OFFSET(abbreviation[],0,ColumnLanguage),ColumnAbbreviation,FALSE),"")</f>
        <v/>
      </c>
      <c r="CK762" s="21" t="str">
        <f t="shared" ca="1" si="81"/>
        <v/>
      </c>
      <c r="CL762" s="21" t="str">
        <f t="shared" si="82"/>
        <v/>
      </c>
      <c r="CM762" s="52"/>
      <c r="CN762" s="57" t="str">
        <f t="shared" si="83"/>
        <v/>
      </c>
    </row>
    <row r="763" spans="17:92" x14ac:dyDescent="0.25">
      <c r="Q763" s="13"/>
      <c r="V763" s="60"/>
      <c r="X763" s="61"/>
      <c r="AB763" s="60"/>
      <c r="AN763" s="54"/>
      <c r="AS763" s="15"/>
      <c r="BH763" s="52"/>
      <c r="BI763" s="21" t="str">
        <f ca="1">IFERROR(VLOOKUP(C763,OFFSET(abbreviation[],0,ColumnLanguage),ColumnAbbreviation,FALSE),"")</f>
        <v/>
      </c>
      <c r="BJ763" s="21" t="str">
        <f ca="1">IFERROR(VLOOKUP(E763,OFFSET(abbreviation[],0,ColumnLanguage),ColumnAbbreviation,FALSE),"")</f>
        <v/>
      </c>
      <c r="BK763" s="21" t="str">
        <f ca="1">IFERROR(VLOOKUP(G763,OFFSET(abbreviation[],0,ColumnLanguage),ColumnAbbreviation,FALSE),"")</f>
        <v/>
      </c>
      <c r="BL763" s="21" t="str">
        <f ca="1">IFERROR(VLOOKUP(I763,OFFSET(abbreviation[],0,ColumnLanguage),ColumnAbbreviation,FALSE),"")</f>
        <v/>
      </c>
      <c r="BM763" s="21" t="str">
        <f ca="1">IFERROR(VLOOKUP(K763,OFFSET(abbreviation[],0,ColumnLanguage),ColumnAbbreviation,FALSE),"")</f>
        <v/>
      </c>
      <c r="BN763" s="21" t="str">
        <f t="shared" ca="1" si="77"/>
        <v/>
      </c>
      <c r="BO763" s="21" t="str">
        <f ca="1">IFERROR(VLOOKUP(N763,OFFSET(abbreviation[],0,ColumnLanguage),ColumnAbbreviation,FALSE),"")</f>
        <v/>
      </c>
      <c r="BP763" s="21" t="str">
        <f ca="1">IFERROR(VLOOKUP(P763,OFFSET(abbreviation[],0,ColumnLanguage),ColumnAbbreviation,FALSE),"")</f>
        <v/>
      </c>
      <c r="BQ763" s="21" t="str">
        <f ca="1">IFERROR(VLOOKUP(T763,OFFSET(abbreviation[],0,ColumnLanguage),ColumnAbbreviation,FALSE),"")</f>
        <v/>
      </c>
      <c r="BR763" s="21" t="str">
        <f ca="1">IFERROR(VLOOKUP(V763,OFFSET(abbreviation[],0,ColumnLanguage),ColumnAbbreviation,FALSE),"")</f>
        <v/>
      </c>
      <c r="BS763" s="21" t="str">
        <f ca="1">IFERROR(VLOOKUP(Z763,OFFSET(abbreviation[],0,ColumnLanguage),ColumnAbbreviation,FALSE),"")</f>
        <v/>
      </c>
      <c r="BT763" s="21" t="str">
        <f ca="1">IFERROR(VLOOKUP(AB763,OFFSET(abbreviation[],0,ColumnLanguage),ColumnAbbreviation,FALSE),"")</f>
        <v/>
      </c>
      <c r="BU763" s="21" t="str">
        <f t="shared" ca="1" si="78"/>
        <v>__</v>
      </c>
      <c r="BV763" s="21" t="str">
        <f ca="1">IFERROR(VLOOKUP(AF763,OFFSET(abbreviation[],0,ColumnLanguage),ColumnAbbreviation,FALSE),"")</f>
        <v/>
      </c>
      <c r="BW763" s="21" t="str">
        <f ca="1">IFERROR(VLOOKUP(AH763,OFFSET(abbreviation[],0,ColumnLanguage),ColumnAbbreviation,FALSE),"")</f>
        <v/>
      </c>
      <c r="BX763" s="21" t="str">
        <f ca="1">IFERROR(VLOOKUP(AJ763,OFFSET(abbreviation[],0,ColumnLanguage),ColumnAbbreviation,FALSE),"")</f>
        <v/>
      </c>
      <c r="BY763" s="21" t="str">
        <f ca="1">IFERROR(VLOOKUP(AL763,OFFSET(abbreviation[],0,ColumnLanguage),ColumnAbbreviation,FALSE),"")</f>
        <v/>
      </c>
      <c r="BZ763" s="21" t="str">
        <f t="shared" ca="1" si="79"/>
        <v>_</v>
      </c>
      <c r="CA763" s="21" t="str">
        <f ca="1">IFERROR(VLOOKUP(AP763,OFFSET(abbreviation[],0,ColumnLanguage),ColumnAbbreviation,FALSE),"")</f>
        <v/>
      </c>
      <c r="CB763" s="21" t="str">
        <f ca="1">IFERROR(VLOOKUP(AR763,OFFSET(abbreviation[],0,ColumnLanguage),ColumnAbbreviation,FALSE),"")</f>
        <v/>
      </c>
      <c r="CC763" s="21" t="str">
        <f ca="1">IFERROR(VLOOKUP(AT763,OFFSET(abbreviation[],0,ColumnLanguage),ColumnAbbreviation,FALSE),"")</f>
        <v/>
      </c>
      <c r="CD763" s="21" t="str">
        <f ca="1">IFERROR(VLOOKUP(AV763,OFFSET(abbreviation[],0,ColumnLanguage),ColumnAbbreviation,FALSE),"")</f>
        <v/>
      </c>
      <c r="CE763" s="21" t="str">
        <f t="shared" ca="1" si="80"/>
        <v>__</v>
      </c>
      <c r="CF763" s="21" t="str">
        <f ca="1">IFERROR(VLOOKUP(AX763,OFFSET(abbreviation[],0,ColumnLanguage),ColumnAbbreviation,FALSE),"")</f>
        <v/>
      </c>
      <c r="CG763" s="21" t="str">
        <f ca="1">IFERROR(VLOOKUP(AZ763,OFFSET(abbreviation[],0,ColumnLanguage),ColumnAbbreviation,FALSE),"")</f>
        <v/>
      </c>
      <c r="CH763" s="21" t="str">
        <f ca="1">IFERROR(VLOOKUP(BB763,OFFSET(abbreviation[],0,ColumnLanguage),ColumnAbbreviation,FALSE),"")</f>
        <v/>
      </c>
      <c r="CI763" s="21" t="str">
        <f ca="1">IFERROR(VLOOKUP(BD763,OFFSET(abbreviation[],0,ColumnLanguage),ColumnAbbreviation,FALSE),"")</f>
        <v/>
      </c>
      <c r="CJ763" s="21" t="str">
        <f ca="1">IFERROR(VLOOKUP(BF763,OFFSET(abbreviation[],0,ColumnLanguage),ColumnAbbreviation,FALSE),"")</f>
        <v/>
      </c>
      <c r="CK763" s="21" t="str">
        <f t="shared" ca="1" si="81"/>
        <v/>
      </c>
      <c r="CL763" s="21" t="str">
        <f t="shared" si="82"/>
        <v/>
      </c>
      <c r="CM763" s="52"/>
      <c r="CN763" s="57" t="str">
        <f t="shared" si="83"/>
        <v/>
      </c>
    </row>
    <row r="764" spans="17:92" x14ac:dyDescent="0.25">
      <c r="Q764" s="13"/>
      <c r="V764" s="60"/>
      <c r="X764" s="61"/>
      <c r="AB764" s="60"/>
      <c r="AN764" s="54"/>
      <c r="AS764" s="15"/>
      <c r="BH764" s="52"/>
      <c r="BI764" s="21" t="str">
        <f ca="1">IFERROR(VLOOKUP(C764,OFFSET(abbreviation[],0,ColumnLanguage),ColumnAbbreviation,FALSE),"")</f>
        <v/>
      </c>
      <c r="BJ764" s="21" t="str">
        <f ca="1">IFERROR(VLOOKUP(E764,OFFSET(abbreviation[],0,ColumnLanguage),ColumnAbbreviation,FALSE),"")</f>
        <v/>
      </c>
      <c r="BK764" s="21" t="str">
        <f ca="1">IFERROR(VLOOKUP(G764,OFFSET(abbreviation[],0,ColumnLanguage),ColumnAbbreviation,FALSE),"")</f>
        <v/>
      </c>
      <c r="BL764" s="21" t="str">
        <f ca="1">IFERROR(VLOOKUP(I764,OFFSET(abbreviation[],0,ColumnLanguage),ColumnAbbreviation,FALSE),"")</f>
        <v/>
      </c>
      <c r="BM764" s="21" t="str">
        <f ca="1">IFERROR(VLOOKUP(K764,OFFSET(abbreviation[],0,ColumnLanguage),ColumnAbbreviation,FALSE),"")</f>
        <v/>
      </c>
      <c r="BN764" s="21" t="str">
        <f t="shared" ca="1" si="77"/>
        <v/>
      </c>
      <c r="BO764" s="21" t="str">
        <f ca="1">IFERROR(VLOOKUP(N764,OFFSET(abbreviation[],0,ColumnLanguage),ColumnAbbreviation,FALSE),"")</f>
        <v/>
      </c>
      <c r="BP764" s="21" t="str">
        <f ca="1">IFERROR(VLOOKUP(P764,OFFSET(abbreviation[],0,ColumnLanguage),ColumnAbbreviation,FALSE),"")</f>
        <v/>
      </c>
      <c r="BQ764" s="21" t="str">
        <f ca="1">IFERROR(VLOOKUP(T764,OFFSET(abbreviation[],0,ColumnLanguage),ColumnAbbreviation,FALSE),"")</f>
        <v/>
      </c>
      <c r="BR764" s="21" t="str">
        <f ca="1">IFERROR(VLOOKUP(V764,OFFSET(abbreviation[],0,ColumnLanguage),ColumnAbbreviation,FALSE),"")</f>
        <v/>
      </c>
      <c r="BS764" s="21" t="str">
        <f ca="1">IFERROR(VLOOKUP(Z764,OFFSET(abbreviation[],0,ColumnLanguage),ColumnAbbreviation,FALSE),"")</f>
        <v/>
      </c>
      <c r="BT764" s="21" t="str">
        <f ca="1">IFERROR(VLOOKUP(AB764,OFFSET(abbreviation[],0,ColumnLanguage),ColumnAbbreviation,FALSE),"")</f>
        <v/>
      </c>
      <c r="BU764" s="21" t="str">
        <f t="shared" ca="1" si="78"/>
        <v>__</v>
      </c>
      <c r="BV764" s="21" t="str">
        <f ca="1">IFERROR(VLOOKUP(AF764,OFFSET(abbreviation[],0,ColumnLanguage),ColumnAbbreviation,FALSE),"")</f>
        <v/>
      </c>
      <c r="BW764" s="21" t="str">
        <f ca="1">IFERROR(VLOOKUP(AH764,OFFSET(abbreviation[],0,ColumnLanguage),ColumnAbbreviation,FALSE),"")</f>
        <v/>
      </c>
      <c r="BX764" s="21" t="str">
        <f ca="1">IFERROR(VLOOKUP(AJ764,OFFSET(abbreviation[],0,ColumnLanguage),ColumnAbbreviation,FALSE),"")</f>
        <v/>
      </c>
      <c r="BY764" s="21" t="str">
        <f ca="1">IFERROR(VLOOKUP(AL764,OFFSET(abbreviation[],0,ColumnLanguage),ColumnAbbreviation,FALSE),"")</f>
        <v/>
      </c>
      <c r="BZ764" s="21" t="str">
        <f t="shared" ca="1" si="79"/>
        <v>_</v>
      </c>
      <c r="CA764" s="21" t="str">
        <f ca="1">IFERROR(VLOOKUP(AP764,OFFSET(abbreviation[],0,ColumnLanguage),ColumnAbbreviation,FALSE),"")</f>
        <v/>
      </c>
      <c r="CB764" s="21" t="str">
        <f ca="1">IFERROR(VLOOKUP(AR764,OFFSET(abbreviation[],0,ColumnLanguage),ColumnAbbreviation,FALSE),"")</f>
        <v/>
      </c>
      <c r="CC764" s="21" t="str">
        <f ca="1">IFERROR(VLOOKUP(AT764,OFFSET(abbreviation[],0,ColumnLanguage),ColumnAbbreviation,FALSE),"")</f>
        <v/>
      </c>
      <c r="CD764" s="21" t="str">
        <f ca="1">IFERROR(VLOOKUP(AV764,OFFSET(abbreviation[],0,ColumnLanguage),ColumnAbbreviation,FALSE),"")</f>
        <v/>
      </c>
      <c r="CE764" s="21" t="str">
        <f t="shared" ca="1" si="80"/>
        <v>__</v>
      </c>
      <c r="CF764" s="21" t="str">
        <f ca="1">IFERROR(VLOOKUP(AX764,OFFSET(abbreviation[],0,ColumnLanguage),ColumnAbbreviation,FALSE),"")</f>
        <v/>
      </c>
      <c r="CG764" s="21" t="str">
        <f ca="1">IFERROR(VLOOKUP(AZ764,OFFSET(abbreviation[],0,ColumnLanguage),ColumnAbbreviation,FALSE),"")</f>
        <v/>
      </c>
      <c r="CH764" s="21" t="str">
        <f ca="1">IFERROR(VLOOKUP(BB764,OFFSET(abbreviation[],0,ColumnLanguage),ColumnAbbreviation,FALSE),"")</f>
        <v/>
      </c>
      <c r="CI764" s="21" t="str">
        <f ca="1">IFERROR(VLOOKUP(BD764,OFFSET(abbreviation[],0,ColumnLanguage),ColumnAbbreviation,FALSE),"")</f>
        <v/>
      </c>
      <c r="CJ764" s="21" t="str">
        <f ca="1">IFERROR(VLOOKUP(BF764,OFFSET(abbreviation[],0,ColumnLanguage),ColumnAbbreviation,FALSE),"")</f>
        <v/>
      </c>
      <c r="CK764" s="21" t="str">
        <f t="shared" ca="1" si="81"/>
        <v/>
      </c>
      <c r="CL764" s="21" t="str">
        <f t="shared" si="82"/>
        <v/>
      </c>
      <c r="CM764" s="52"/>
      <c r="CN764" s="57" t="str">
        <f t="shared" si="83"/>
        <v/>
      </c>
    </row>
    <row r="765" spans="17:92" x14ac:dyDescent="0.25">
      <c r="Q765" s="13"/>
      <c r="V765" s="60"/>
      <c r="X765" s="61"/>
      <c r="AB765" s="60"/>
      <c r="AN765" s="54"/>
      <c r="AS765" s="15"/>
      <c r="BH765" s="52"/>
      <c r="BI765" s="21" t="str">
        <f ca="1">IFERROR(VLOOKUP(C765,OFFSET(abbreviation[],0,ColumnLanguage),ColumnAbbreviation,FALSE),"")</f>
        <v/>
      </c>
      <c r="BJ765" s="21" t="str">
        <f ca="1">IFERROR(VLOOKUP(E765,OFFSET(abbreviation[],0,ColumnLanguage),ColumnAbbreviation,FALSE),"")</f>
        <v/>
      </c>
      <c r="BK765" s="21" t="str">
        <f ca="1">IFERROR(VLOOKUP(G765,OFFSET(abbreviation[],0,ColumnLanguage),ColumnAbbreviation,FALSE),"")</f>
        <v/>
      </c>
      <c r="BL765" s="21" t="str">
        <f ca="1">IFERROR(VLOOKUP(I765,OFFSET(abbreviation[],0,ColumnLanguage),ColumnAbbreviation,FALSE),"")</f>
        <v/>
      </c>
      <c r="BM765" s="21" t="str">
        <f ca="1">IFERROR(VLOOKUP(K765,OFFSET(abbreviation[],0,ColumnLanguage),ColumnAbbreviation,FALSE),"")</f>
        <v/>
      </c>
      <c r="BN765" s="21" t="str">
        <f t="shared" ca="1" si="77"/>
        <v/>
      </c>
      <c r="BO765" s="21" t="str">
        <f ca="1">IFERROR(VLOOKUP(N765,OFFSET(abbreviation[],0,ColumnLanguage),ColumnAbbreviation,FALSE),"")</f>
        <v/>
      </c>
      <c r="BP765" s="21" t="str">
        <f ca="1">IFERROR(VLOOKUP(P765,OFFSET(abbreviation[],0,ColumnLanguage),ColumnAbbreviation,FALSE),"")</f>
        <v/>
      </c>
      <c r="BQ765" s="21" t="str">
        <f ca="1">IFERROR(VLOOKUP(T765,OFFSET(abbreviation[],0,ColumnLanguage),ColumnAbbreviation,FALSE),"")</f>
        <v/>
      </c>
      <c r="BR765" s="21" t="str">
        <f ca="1">IFERROR(VLOOKUP(V765,OFFSET(abbreviation[],0,ColumnLanguage),ColumnAbbreviation,FALSE),"")</f>
        <v/>
      </c>
      <c r="BS765" s="21" t="str">
        <f ca="1">IFERROR(VLOOKUP(Z765,OFFSET(abbreviation[],0,ColumnLanguage),ColumnAbbreviation,FALSE),"")</f>
        <v/>
      </c>
      <c r="BT765" s="21" t="str">
        <f ca="1">IFERROR(VLOOKUP(AB765,OFFSET(abbreviation[],0,ColumnLanguage),ColumnAbbreviation,FALSE),"")</f>
        <v/>
      </c>
      <c r="BU765" s="21" t="str">
        <f t="shared" ca="1" si="78"/>
        <v>__</v>
      </c>
      <c r="BV765" s="21" t="str">
        <f ca="1">IFERROR(VLOOKUP(AF765,OFFSET(abbreviation[],0,ColumnLanguage),ColumnAbbreviation,FALSE),"")</f>
        <v/>
      </c>
      <c r="BW765" s="21" t="str">
        <f ca="1">IFERROR(VLOOKUP(AH765,OFFSET(abbreviation[],0,ColumnLanguage),ColumnAbbreviation,FALSE),"")</f>
        <v/>
      </c>
      <c r="BX765" s="21" t="str">
        <f ca="1">IFERROR(VLOOKUP(AJ765,OFFSET(abbreviation[],0,ColumnLanguage),ColumnAbbreviation,FALSE),"")</f>
        <v/>
      </c>
      <c r="BY765" s="21" t="str">
        <f ca="1">IFERROR(VLOOKUP(AL765,OFFSET(abbreviation[],0,ColumnLanguage),ColumnAbbreviation,FALSE),"")</f>
        <v/>
      </c>
      <c r="BZ765" s="21" t="str">
        <f t="shared" ca="1" si="79"/>
        <v>_</v>
      </c>
      <c r="CA765" s="21" t="str">
        <f ca="1">IFERROR(VLOOKUP(AP765,OFFSET(abbreviation[],0,ColumnLanguage),ColumnAbbreviation,FALSE),"")</f>
        <v/>
      </c>
      <c r="CB765" s="21" t="str">
        <f ca="1">IFERROR(VLOOKUP(AR765,OFFSET(abbreviation[],0,ColumnLanguage),ColumnAbbreviation,FALSE),"")</f>
        <v/>
      </c>
      <c r="CC765" s="21" t="str">
        <f ca="1">IFERROR(VLOOKUP(AT765,OFFSET(abbreviation[],0,ColumnLanguage),ColumnAbbreviation,FALSE),"")</f>
        <v/>
      </c>
      <c r="CD765" s="21" t="str">
        <f ca="1">IFERROR(VLOOKUP(AV765,OFFSET(abbreviation[],0,ColumnLanguage),ColumnAbbreviation,FALSE),"")</f>
        <v/>
      </c>
      <c r="CE765" s="21" t="str">
        <f t="shared" ca="1" si="80"/>
        <v>__</v>
      </c>
      <c r="CF765" s="21" t="str">
        <f ca="1">IFERROR(VLOOKUP(AX765,OFFSET(abbreviation[],0,ColumnLanguage),ColumnAbbreviation,FALSE),"")</f>
        <v/>
      </c>
      <c r="CG765" s="21" t="str">
        <f ca="1">IFERROR(VLOOKUP(AZ765,OFFSET(abbreviation[],0,ColumnLanguage),ColumnAbbreviation,FALSE),"")</f>
        <v/>
      </c>
      <c r="CH765" s="21" t="str">
        <f ca="1">IFERROR(VLOOKUP(BB765,OFFSET(abbreviation[],0,ColumnLanguage),ColumnAbbreviation,FALSE),"")</f>
        <v/>
      </c>
      <c r="CI765" s="21" t="str">
        <f ca="1">IFERROR(VLOOKUP(BD765,OFFSET(abbreviation[],0,ColumnLanguage),ColumnAbbreviation,FALSE),"")</f>
        <v/>
      </c>
      <c r="CJ765" s="21" t="str">
        <f ca="1">IFERROR(VLOOKUP(BF765,OFFSET(abbreviation[],0,ColumnLanguage),ColumnAbbreviation,FALSE),"")</f>
        <v/>
      </c>
      <c r="CK765" s="21" t="str">
        <f t="shared" ca="1" si="81"/>
        <v/>
      </c>
      <c r="CL765" s="21" t="str">
        <f t="shared" si="82"/>
        <v/>
      </c>
      <c r="CM765" s="52"/>
      <c r="CN765" s="57" t="str">
        <f t="shared" si="83"/>
        <v/>
      </c>
    </row>
    <row r="766" spans="17:92" x14ac:dyDescent="0.25">
      <c r="Q766" s="13"/>
      <c r="V766" s="60"/>
      <c r="X766" s="61"/>
      <c r="AB766" s="60"/>
      <c r="AN766" s="54"/>
      <c r="AS766" s="15"/>
      <c r="BH766" s="52"/>
      <c r="BI766" s="21" t="str">
        <f ca="1">IFERROR(VLOOKUP(C766,OFFSET(abbreviation[],0,ColumnLanguage),ColumnAbbreviation,FALSE),"")</f>
        <v/>
      </c>
      <c r="BJ766" s="21" t="str">
        <f ca="1">IFERROR(VLOOKUP(E766,OFFSET(abbreviation[],0,ColumnLanguage),ColumnAbbreviation,FALSE),"")</f>
        <v/>
      </c>
      <c r="BK766" s="21" t="str">
        <f ca="1">IFERROR(VLOOKUP(G766,OFFSET(abbreviation[],0,ColumnLanguage),ColumnAbbreviation,FALSE),"")</f>
        <v/>
      </c>
      <c r="BL766" s="21" t="str">
        <f ca="1">IFERROR(VLOOKUP(I766,OFFSET(abbreviation[],0,ColumnLanguage),ColumnAbbreviation,FALSE),"")</f>
        <v/>
      </c>
      <c r="BM766" s="21" t="str">
        <f ca="1">IFERROR(VLOOKUP(K766,OFFSET(abbreviation[],0,ColumnLanguage),ColumnAbbreviation,FALSE),"")</f>
        <v/>
      </c>
      <c r="BN766" s="21" t="str">
        <f t="shared" ca="1" si="77"/>
        <v/>
      </c>
      <c r="BO766" s="21" t="str">
        <f ca="1">IFERROR(VLOOKUP(N766,OFFSET(abbreviation[],0,ColumnLanguage),ColumnAbbreviation,FALSE),"")</f>
        <v/>
      </c>
      <c r="BP766" s="21" t="str">
        <f ca="1">IFERROR(VLOOKUP(P766,OFFSET(abbreviation[],0,ColumnLanguage),ColumnAbbreviation,FALSE),"")</f>
        <v/>
      </c>
      <c r="BQ766" s="21" t="str">
        <f ca="1">IFERROR(VLOOKUP(T766,OFFSET(abbreviation[],0,ColumnLanguage),ColumnAbbreviation,FALSE),"")</f>
        <v/>
      </c>
      <c r="BR766" s="21" t="str">
        <f ca="1">IFERROR(VLOOKUP(V766,OFFSET(abbreviation[],0,ColumnLanguage),ColumnAbbreviation,FALSE),"")</f>
        <v/>
      </c>
      <c r="BS766" s="21" t="str">
        <f ca="1">IFERROR(VLOOKUP(Z766,OFFSET(abbreviation[],0,ColumnLanguage),ColumnAbbreviation,FALSE),"")</f>
        <v/>
      </c>
      <c r="BT766" s="21" t="str">
        <f ca="1">IFERROR(VLOOKUP(AB766,OFFSET(abbreviation[],0,ColumnLanguage),ColumnAbbreviation,FALSE),"")</f>
        <v/>
      </c>
      <c r="BU766" s="21" t="str">
        <f t="shared" ca="1" si="78"/>
        <v>__</v>
      </c>
      <c r="BV766" s="21" t="str">
        <f ca="1">IFERROR(VLOOKUP(AF766,OFFSET(abbreviation[],0,ColumnLanguage),ColumnAbbreviation,FALSE),"")</f>
        <v/>
      </c>
      <c r="BW766" s="21" t="str">
        <f ca="1">IFERROR(VLOOKUP(AH766,OFFSET(abbreviation[],0,ColumnLanguage),ColumnAbbreviation,FALSE),"")</f>
        <v/>
      </c>
      <c r="BX766" s="21" t="str">
        <f ca="1">IFERROR(VLOOKUP(AJ766,OFFSET(abbreviation[],0,ColumnLanguage),ColumnAbbreviation,FALSE),"")</f>
        <v/>
      </c>
      <c r="BY766" s="21" t="str">
        <f ca="1">IFERROR(VLOOKUP(AL766,OFFSET(abbreviation[],0,ColumnLanguage),ColumnAbbreviation,FALSE),"")</f>
        <v/>
      </c>
      <c r="BZ766" s="21" t="str">
        <f t="shared" ca="1" si="79"/>
        <v>_</v>
      </c>
      <c r="CA766" s="21" t="str">
        <f ca="1">IFERROR(VLOOKUP(AP766,OFFSET(abbreviation[],0,ColumnLanguage),ColumnAbbreviation,FALSE),"")</f>
        <v/>
      </c>
      <c r="CB766" s="21" t="str">
        <f ca="1">IFERROR(VLOOKUP(AR766,OFFSET(abbreviation[],0,ColumnLanguage),ColumnAbbreviation,FALSE),"")</f>
        <v/>
      </c>
      <c r="CC766" s="21" t="str">
        <f ca="1">IFERROR(VLOOKUP(AT766,OFFSET(abbreviation[],0,ColumnLanguage),ColumnAbbreviation,FALSE),"")</f>
        <v/>
      </c>
      <c r="CD766" s="21" t="str">
        <f ca="1">IFERROR(VLOOKUP(AV766,OFFSET(abbreviation[],0,ColumnLanguage),ColumnAbbreviation,FALSE),"")</f>
        <v/>
      </c>
      <c r="CE766" s="21" t="str">
        <f t="shared" ca="1" si="80"/>
        <v>__</v>
      </c>
      <c r="CF766" s="21" t="str">
        <f ca="1">IFERROR(VLOOKUP(AX766,OFFSET(abbreviation[],0,ColumnLanguage),ColumnAbbreviation,FALSE),"")</f>
        <v/>
      </c>
      <c r="CG766" s="21" t="str">
        <f ca="1">IFERROR(VLOOKUP(AZ766,OFFSET(abbreviation[],0,ColumnLanguage),ColumnAbbreviation,FALSE),"")</f>
        <v/>
      </c>
      <c r="CH766" s="21" t="str">
        <f ca="1">IFERROR(VLOOKUP(BB766,OFFSET(abbreviation[],0,ColumnLanguage),ColumnAbbreviation,FALSE),"")</f>
        <v/>
      </c>
      <c r="CI766" s="21" t="str">
        <f ca="1">IFERROR(VLOOKUP(BD766,OFFSET(abbreviation[],0,ColumnLanguage),ColumnAbbreviation,FALSE),"")</f>
        <v/>
      </c>
      <c r="CJ766" s="21" t="str">
        <f ca="1">IFERROR(VLOOKUP(BF766,OFFSET(abbreviation[],0,ColumnLanguage),ColumnAbbreviation,FALSE),"")</f>
        <v/>
      </c>
      <c r="CK766" s="21" t="str">
        <f t="shared" ca="1" si="81"/>
        <v/>
      </c>
      <c r="CL766" s="21" t="str">
        <f t="shared" si="82"/>
        <v/>
      </c>
      <c r="CM766" s="52"/>
      <c r="CN766" s="57" t="str">
        <f t="shared" si="83"/>
        <v/>
      </c>
    </row>
    <row r="767" spans="17:92" x14ac:dyDescent="0.25">
      <c r="Q767" s="13"/>
      <c r="V767" s="60"/>
      <c r="X767" s="61"/>
      <c r="AB767" s="60"/>
      <c r="AN767" s="54"/>
      <c r="AS767" s="15"/>
      <c r="BH767" s="52"/>
      <c r="BI767" s="21" t="str">
        <f ca="1">IFERROR(VLOOKUP(C767,OFFSET(abbreviation[],0,ColumnLanguage),ColumnAbbreviation,FALSE),"")</f>
        <v/>
      </c>
      <c r="BJ767" s="21" t="str">
        <f ca="1">IFERROR(VLOOKUP(E767,OFFSET(abbreviation[],0,ColumnLanguage),ColumnAbbreviation,FALSE),"")</f>
        <v/>
      </c>
      <c r="BK767" s="21" t="str">
        <f ca="1">IFERROR(VLOOKUP(G767,OFFSET(abbreviation[],0,ColumnLanguage),ColumnAbbreviation,FALSE),"")</f>
        <v/>
      </c>
      <c r="BL767" s="21" t="str">
        <f ca="1">IFERROR(VLOOKUP(I767,OFFSET(abbreviation[],0,ColumnLanguage),ColumnAbbreviation,FALSE),"")</f>
        <v/>
      </c>
      <c r="BM767" s="21" t="str">
        <f ca="1">IFERROR(VLOOKUP(K767,OFFSET(abbreviation[],0,ColumnLanguage),ColumnAbbreviation,FALSE),"")</f>
        <v/>
      </c>
      <c r="BN767" s="21" t="str">
        <f t="shared" ca="1" si="77"/>
        <v/>
      </c>
      <c r="BO767" s="21" t="str">
        <f ca="1">IFERROR(VLOOKUP(N767,OFFSET(abbreviation[],0,ColumnLanguage),ColumnAbbreviation,FALSE),"")</f>
        <v/>
      </c>
      <c r="BP767" s="21" t="str">
        <f ca="1">IFERROR(VLOOKUP(P767,OFFSET(abbreviation[],0,ColumnLanguage),ColumnAbbreviation,FALSE),"")</f>
        <v/>
      </c>
      <c r="BQ767" s="21" t="str">
        <f ca="1">IFERROR(VLOOKUP(T767,OFFSET(abbreviation[],0,ColumnLanguage),ColumnAbbreviation,FALSE),"")</f>
        <v/>
      </c>
      <c r="BR767" s="21" t="str">
        <f ca="1">IFERROR(VLOOKUP(V767,OFFSET(abbreviation[],0,ColumnLanguage),ColumnAbbreviation,FALSE),"")</f>
        <v/>
      </c>
      <c r="BS767" s="21" t="str">
        <f ca="1">IFERROR(VLOOKUP(Z767,OFFSET(abbreviation[],0,ColumnLanguage),ColumnAbbreviation,FALSE),"")</f>
        <v/>
      </c>
      <c r="BT767" s="21" t="str">
        <f ca="1">IFERROR(VLOOKUP(AB767,OFFSET(abbreviation[],0,ColumnLanguage),ColumnAbbreviation,FALSE),"")</f>
        <v/>
      </c>
      <c r="BU767" s="21" t="str">
        <f t="shared" ca="1" si="78"/>
        <v>__</v>
      </c>
      <c r="BV767" s="21" t="str">
        <f ca="1">IFERROR(VLOOKUP(AF767,OFFSET(abbreviation[],0,ColumnLanguage),ColumnAbbreviation,FALSE),"")</f>
        <v/>
      </c>
      <c r="BW767" s="21" t="str">
        <f ca="1">IFERROR(VLOOKUP(AH767,OFFSET(abbreviation[],0,ColumnLanguage),ColumnAbbreviation,FALSE),"")</f>
        <v/>
      </c>
      <c r="BX767" s="21" t="str">
        <f ca="1">IFERROR(VLOOKUP(AJ767,OFFSET(abbreviation[],0,ColumnLanguage),ColumnAbbreviation,FALSE),"")</f>
        <v/>
      </c>
      <c r="BY767" s="21" t="str">
        <f ca="1">IFERROR(VLOOKUP(AL767,OFFSET(abbreviation[],0,ColumnLanguage),ColumnAbbreviation,FALSE),"")</f>
        <v/>
      </c>
      <c r="BZ767" s="21" t="str">
        <f t="shared" ca="1" si="79"/>
        <v>_</v>
      </c>
      <c r="CA767" s="21" t="str">
        <f ca="1">IFERROR(VLOOKUP(AP767,OFFSET(abbreviation[],0,ColumnLanguage),ColumnAbbreviation,FALSE),"")</f>
        <v/>
      </c>
      <c r="CB767" s="21" t="str">
        <f ca="1">IFERROR(VLOOKUP(AR767,OFFSET(abbreviation[],0,ColumnLanguage),ColumnAbbreviation,FALSE),"")</f>
        <v/>
      </c>
      <c r="CC767" s="21" t="str">
        <f ca="1">IFERROR(VLOOKUP(AT767,OFFSET(abbreviation[],0,ColumnLanguage),ColumnAbbreviation,FALSE),"")</f>
        <v/>
      </c>
      <c r="CD767" s="21" t="str">
        <f ca="1">IFERROR(VLOOKUP(AV767,OFFSET(abbreviation[],0,ColumnLanguage),ColumnAbbreviation,FALSE),"")</f>
        <v/>
      </c>
      <c r="CE767" s="21" t="str">
        <f t="shared" ca="1" si="80"/>
        <v>__</v>
      </c>
      <c r="CF767" s="21" t="str">
        <f ca="1">IFERROR(VLOOKUP(AX767,OFFSET(abbreviation[],0,ColumnLanguage),ColumnAbbreviation,FALSE),"")</f>
        <v/>
      </c>
      <c r="CG767" s="21" t="str">
        <f ca="1">IFERROR(VLOOKUP(AZ767,OFFSET(abbreviation[],0,ColumnLanguage),ColumnAbbreviation,FALSE),"")</f>
        <v/>
      </c>
      <c r="CH767" s="21" t="str">
        <f ca="1">IFERROR(VLOOKUP(BB767,OFFSET(abbreviation[],0,ColumnLanguage),ColumnAbbreviation,FALSE),"")</f>
        <v/>
      </c>
      <c r="CI767" s="21" t="str">
        <f ca="1">IFERROR(VLOOKUP(BD767,OFFSET(abbreviation[],0,ColumnLanguage),ColumnAbbreviation,FALSE),"")</f>
        <v/>
      </c>
      <c r="CJ767" s="21" t="str">
        <f ca="1">IFERROR(VLOOKUP(BF767,OFFSET(abbreviation[],0,ColumnLanguage),ColumnAbbreviation,FALSE),"")</f>
        <v/>
      </c>
      <c r="CK767" s="21" t="str">
        <f t="shared" ca="1" si="81"/>
        <v/>
      </c>
      <c r="CL767" s="21" t="str">
        <f t="shared" si="82"/>
        <v/>
      </c>
      <c r="CM767" s="52"/>
      <c r="CN767" s="57" t="str">
        <f t="shared" si="83"/>
        <v/>
      </c>
    </row>
    <row r="768" spans="17:92" x14ac:dyDescent="0.25">
      <c r="Q768" s="13"/>
      <c r="V768" s="60"/>
      <c r="X768" s="61"/>
      <c r="AB768" s="60"/>
      <c r="AN768" s="54"/>
      <c r="AS768" s="15"/>
      <c r="BH768" s="52"/>
      <c r="BI768" s="21" t="str">
        <f ca="1">IFERROR(VLOOKUP(C768,OFFSET(abbreviation[],0,ColumnLanguage),ColumnAbbreviation,FALSE),"")</f>
        <v/>
      </c>
      <c r="BJ768" s="21" t="str">
        <f ca="1">IFERROR(VLOOKUP(E768,OFFSET(abbreviation[],0,ColumnLanguage),ColumnAbbreviation,FALSE),"")</f>
        <v/>
      </c>
      <c r="BK768" s="21" t="str">
        <f ca="1">IFERROR(VLOOKUP(G768,OFFSET(abbreviation[],0,ColumnLanguage),ColumnAbbreviation,FALSE),"")</f>
        <v/>
      </c>
      <c r="BL768" s="21" t="str">
        <f ca="1">IFERROR(VLOOKUP(I768,OFFSET(abbreviation[],0,ColumnLanguage),ColumnAbbreviation,FALSE),"")</f>
        <v/>
      </c>
      <c r="BM768" s="21" t="str">
        <f ca="1">IFERROR(VLOOKUP(K768,OFFSET(abbreviation[],0,ColumnLanguage),ColumnAbbreviation,FALSE),"")</f>
        <v/>
      </c>
      <c r="BN768" s="21" t="str">
        <f t="shared" ca="1" si="77"/>
        <v/>
      </c>
      <c r="BO768" s="21" t="str">
        <f ca="1">IFERROR(VLOOKUP(N768,OFFSET(abbreviation[],0,ColumnLanguage),ColumnAbbreviation,FALSE),"")</f>
        <v/>
      </c>
      <c r="BP768" s="21" t="str">
        <f ca="1">IFERROR(VLOOKUP(P768,OFFSET(abbreviation[],0,ColumnLanguage),ColumnAbbreviation,FALSE),"")</f>
        <v/>
      </c>
      <c r="BQ768" s="21" t="str">
        <f ca="1">IFERROR(VLOOKUP(T768,OFFSET(abbreviation[],0,ColumnLanguage),ColumnAbbreviation,FALSE),"")</f>
        <v/>
      </c>
      <c r="BR768" s="21" t="str">
        <f ca="1">IFERROR(VLOOKUP(V768,OFFSET(abbreviation[],0,ColumnLanguage),ColumnAbbreviation,FALSE),"")</f>
        <v/>
      </c>
      <c r="BS768" s="21" t="str">
        <f ca="1">IFERROR(VLOOKUP(Z768,OFFSET(abbreviation[],0,ColumnLanguage),ColumnAbbreviation,FALSE),"")</f>
        <v/>
      </c>
      <c r="BT768" s="21" t="str">
        <f ca="1">IFERROR(VLOOKUP(AB768,OFFSET(abbreviation[],0,ColumnLanguage),ColumnAbbreviation,FALSE),"")</f>
        <v/>
      </c>
      <c r="BU768" s="21" t="str">
        <f t="shared" ca="1" si="78"/>
        <v>__</v>
      </c>
      <c r="BV768" s="21" t="str">
        <f ca="1">IFERROR(VLOOKUP(AF768,OFFSET(abbreviation[],0,ColumnLanguage),ColumnAbbreviation,FALSE),"")</f>
        <v/>
      </c>
      <c r="BW768" s="21" t="str">
        <f ca="1">IFERROR(VLOOKUP(AH768,OFFSET(abbreviation[],0,ColumnLanguage),ColumnAbbreviation,FALSE),"")</f>
        <v/>
      </c>
      <c r="BX768" s="21" t="str">
        <f ca="1">IFERROR(VLOOKUP(AJ768,OFFSET(abbreviation[],0,ColumnLanguage),ColumnAbbreviation,FALSE),"")</f>
        <v/>
      </c>
      <c r="BY768" s="21" t="str">
        <f ca="1">IFERROR(VLOOKUP(AL768,OFFSET(abbreviation[],0,ColumnLanguage),ColumnAbbreviation,FALSE),"")</f>
        <v/>
      </c>
      <c r="BZ768" s="21" t="str">
        <f t="shared" ca="1" si="79"/>
        <v>_</v>
      </c>
      <c r="CA768" s="21" t="str">
        <f ca="1">IFERROR(VLOOKUP(AP768,OFFSET(abbreviation[],0,ColumnLanguage),ColumnAbbreviation,FALSE),"")</f>
        <v/>
      </c>
      <c r="CB768" s="21" t="str">
        <f ca="1">IFERROR(VLOOKUP(AR768,OFFSET(abbreviation[],0,ColumnLanguage),ColumnAbbreviation,FALSE),"")</f>
        <v/>
      </c>
      <c r="CC768" s="21" t="str">
        <f ca="1">IFERROR(VLOOKUP(AT768,OFFSET(abbreviation[],0,ColumnLanguage),ColumnAbbreviation,FALSE),"")</f>
        <v/>
      </c>
      <c r="CD768" s="21" t="str">
        <f ca="1">IFERROR(VLOOKUP(AV768,OFFSET(abbreviation[],0,ColumnLanguage),ColumnAbbreviation,FALSE),"")</f>
        <v/>
      </c>
      <c r="CE768" s="21" t="str">
        <f t="shared" ca="1" si="80"/>
        <v>__</v>
      </c>
      <c r="CF768" s="21" t="str">
        <f ca="1">IFERROR(VLOOKUP(AX768,OFFSET(abbreviation[],0,ColumnLanguage),ColumnAbbreviation,FALSE),"")</f>
        <v/>
      </c>
      <c r="CG768" s="21" t="str">
        <f ca="1">IFERROR(VLOOKUP(AZ768,OFFSET(abbreviation[],0,ColumnLanguage),ColumnAbbreviation,FALSE),"")</f>
        <v/>
      </c>
      <c r="CH768" s="21" t="str">
        <f ca="1">IFERROR(VLOOKUP(BB768,OFFSET(abbreviation[],0,ColumnLanguage),ColumnAbbreviation,FALSE),"")</f>
        <v/>
      </c>
      <c r="CI768" s="21" t="str">
        <f ca="1">IFERROR(VLOOKUP(BD768,OFFSET(abbreviation[],0,ColumnLanguage),ColumnAbbreviation,FALSE),"")</f>
        <v/>
      </c>
      <c r="CJ768" s="21" t="str">
        <f ca="1">IFERROR(VLOOKUP(BF768,OFFSET(abbreviation[],0,ColumnLanguage),ColumnAbbreviation,FALSE),"")</f>
        <v/>
      </c>
      <c r="CK768" s="21" t="str">
        <f t="shared" ca="1" si="81"/>
        <v/>
      </c>
      <c r="CL768" s="21" t="str">
        <f t="shared" si="82"/>
        <v/>
      </c>
      <c r="CM768" s="52"/>
      <c r="CN768" s="57" t="str">
        <f t="shared" si="83"/>
        <v/>
      </c>
    </row>
    <row r="769" spans="17:92" x14ac:dyDescent="0.25">
      <c r="Q769" s="13"/>
      <c r="V769" s="60"/>
      <c r="X769" s="61"/>
      <c r="AB769" s="60"/>
      <c r="AN769" s="54"/>
      <c r="AS769" s="15"/>
      <c r="BH769" s="52"/>
      <c r="BI769" s="21" t="str">
        <f ca="1">IFERROR(VLOOKUP(C769,OFFSET(abbreviation[],0,ColumnLanguage),ColumnAbbreviation,FALSE),"")</f>
        <v/>
      </c>
      <c r="BJ769" s="21" t="str">
        <f ca="1">IFERROR(VLOOKUP(E769,OFFSET(abbreviation[],0,ColumnLanguage),ColumnAbbreviation,FALSE),"")</f>
        <v/>
      </c>
      <c r="BK769" s="21" t="str">
        <f ca="1">IFERROR(VLOOKUP(G769,OFFSET(abbreviation[],0,ColumnLanguage),ColumnAbbreviation,FALSE),"")</f>
        <v/>
      </c>
      <c r="BL769" s="21" t="str">
        <f ca="1">IFERROR(VLOOKUP(I769,OFFSET(abbreviation[],0,ColumnLanguage),ColumnAbbreviation,FALSE),"")</f>
        <v/>
      </c>
      <c r="BM769" s="21" t="str">
        <f ca="1">IFERROR(VLOOKUP(K769,OFFSET(abbreviation[],0,ColumnLanguage),ColumnAbbreviation,FALSE),"")</f>
        <v/>
      </c>
      <c r="BN769" s="21" t="str">
        <f t="shared" ca="1" si="77"/>
        <v/>
      </c>
      <c r="BO769" s="21" t="str">
        <f ca="1">IFERROR(VLOOKUP(N769,OFFSET(abbreviation[],0,ColumnLanguage),ColumnAbbreviation,FALSE),"")</f>
        <v/>
      </c>
      <c r="BP769" s="21" t="str">
        <f ca="1">IFERROR(VLOOKUP(P769,OFFSET(abbreviation[],0,ColumnLanguage),ColumnAbbreviation,FALSE),"")</f>
        <v/>
      </c>
      <c r="BQ769" s="21" t="str">
        <f ca="1">IFERROR(VLOOKUP(T769,OFFSET(abbreviation[],0,ColumnLanguage),ColumnAbbreviation,FALSE),"")</f>
        <v/>
      </c>
      <c r="BR769" s="21" t="str">
        <f ca="1">IFERROR(VLOOKUP(V769,OFFSET(abbreviation[],0,ColumnLanguage),ColumnAbbreviation,FALSE),"")</f>
        <v/>
      </c>
      <c r="BS769" s="21" t="str">
        <f ca="1">IFERROR(VLOOKUP(Z769,OFFSET(abbreviation[],0,ColumnLanguage),ColumnAbbreviation,FALSE),"")</f>
        <v/>
      </c>
      <c r="BT769" s="21" t="str">
        <f ca="1">IFERROR(VLOOKUP(AB769,OFFSET(abbreviation[],0,ColumnLanguage),ColumnAbbreviation,FALSE),"")</f>
        <v/>
      </c>
      <c r="BU769" s="21" t="str">
        <f t="shared" ca="1" si="78"/>
        <v>__</v>
      </c>
      <c r="BV769" s="21" t="str">
        <f ca="1">IFERROR(VLOOKUP(AF769,OFFSET(abbreviation[],0,ColumnLanguage),ColumnAbbreviation,FALSE),"")</f>
        <v/>
      </c>
      <c r="BW769" s="21" t="str">
        <f ca="1">IFERROR(VLOOKUP(AH769,OFFSET(abbreviation[],0,ColumnLanguage),ColumnAbbreviation,FALSE),"")</f>
        <v/>
      </c>
      <c r="BX769" s="21" t="str">
        <f ca="1">IFERROR(VLOOKUP(AJ769,OFFSET(abbreviation[],0,ColumnLanguage),ColumnAbbreviation,FALSE),"")</f>
        <v/>
      </c>
      <c r="BY769" s="21" t="str">
        <f ca="1">IFERROR(VLOOKUP(AL769,OFFSET(abbreviation[],0,ColumnLanguage),ColumnAbbreviation,FALSE),"")</f>
        <v/>
      </c>
      <c r="BZ769" s="21" t="str">
        <f t="shared" ca="1" si="79"/>
        <v>_</v>
      </c>
      <c r="CA769" s="21" t="str">
        <f ca="1">IFERROR(VLOOKUP(AP769,OFFSET(abbreviation[],0,ColumnLanguage),ColumnAbbreviation,FALSE),"")</f>
        <v/>
      </c>
      <c r="CB769" s="21" t="str">
        <f ca="1">IFERROR(VLOOKUP(AR769,OFFSET(abbreviation[],0,ColumnLanguage),ColumnAbbreviation,FALSE),"")</f>
        <v/>
      </c>
      <c r="CC769" s="21" t="str">
        <f ca="1">IFERROR(VLOOKUP(AT769,OFFSET(abbreviation[],0,ColumnLanguage),ColumnAbbreviation,FALSE),"")</f>
        <v/>
      </c>
      <c r="CD769" s="21" t="str">
        <f ca="1">IFERROR(VLOOKUP(AV769,OFFSET(abbreviation[],0,ColumnLanguage),ColumnAbbreviation,FALSE),"")</f>
        <v/>
      </c>
      <c r="CE769" s="21" t="str">
        <f t="shared" ca="1" si="80"/>
        <v>__</v>
      </c>
      <c r="CF769" s="21" t="str">
        <f ca="1">IFERROR(VLOOKUP(AX769,OFFSET(abbreviation[],0,ColumnLanguage),ColumnAbbreviation,FALSE),"")</f>
        <v/>
      </c>
      <c r="CG769" s="21" t="str">
        <f ca="1">IFERROR(VLOOKUP(AZ769,OFFSET(abbreviation[],0,ColumnLanguage),ColumnAbbreviation,FALSE),"")</f>
        <v/>
      </c>
      <c r="CH769" s="21" t="str">
        <f ca="1">IFERROR(VLOOKUP(BB769,OFFSET(abbreviation[],0,ColumnLanguage),ColumnAbbreviation,FALSE),"")</f>
        <v/>
      </c>
      <c r="CI769" s="21" t="str">
        <f ca="1">IFERROR(VLOOKUP(BD769,OFFSET(abbreviation[],0,ColumnLanguage),ColumnAbbreviation,FALSE),"")</f>
        <v/>
      </c>
      <c r="CJ769" s="21" t="str">
        <f ca="1">IFERROR(VLOOKUP(BF769,OFFSET(abbreviation[],0,ColumnLanguage),ColumnAbbreviation,FALSE),"")</f>
        <v/>
      </c>
      <c r="CK769" s="21" t="str">
        <f t="shared" ca="1" si="81"/>
        <v/>
      </c>
      <c r="CL769" s="21" t="str">
        <f t="shared" si="82"/>
        <v/>
      </c>
      <c r="CM769" s="52"/>
      <c r="CN769" s="57" t="str">
        <f t="shared" si="83"/>
        <v/>
      </c>
    </row>
    <row r="770" spans="17:92" x14ac:dyDescent="0.25">
      <c r="Q770" s="13"/>
      <c r="V770" s="60"/>
      <c r="X770" s="61"/>
      <c r="AB770" s="60"/>
      <c r="AN770" s="54"/>
      <c r="AS770" s="15"/>
      <c r="BH770" s="52"/>
      <c r="BI770" s="21" t="str">
        <f ca="1">IFERROR(VLOOKUP(C770,OFFSET(abbreviation[],0,ColumnLanguage),ColumnAbbreviation,FALSE),"")</f>
        <v/>
      </c>
      <c r="BJ770" s="21" t="str">
        <f ca="1">IFERROR(VLOOKUP(E770,OFFSET(abbreviation[],0,ColumnLanguage),ColumnAbbreviation,FALSE),"")</f>
        <v/>
      </c>
      <c r="BK770" s="21" t="str">
        <f ca="1">IFERROR(VLOOKUP(G770,OFFSET(abbreviation[],0,ColumnLanguage),ColumnAbbreviation,FALSE),"")</f>
        <v/>
      </c>
      <c r="BL770" s="21" t="str">
        <f ca="1">IFERROR(VLOOKUP(I770,OFFSET(abbreviation[],0,ColumnLanguage),ColumnAbbreviation,FALSE),"")</f>
        <v/>
      </c>
      <c r="BM770" s="21" t="str">
        <f ca="1">IFERROR(VLOOKUP(K770,OFFSET(abbreviation[],0,ColumnLanguage),ColumnAbbreviation,FALSE),"")</f>
        <v/>
      </c>
      <c r="BN770" s="21" t="str">
        <f t="shared" ca="1" si="77"/>
        <v/>
      </c>
      <c r="BO770" s="21" t="str">
        <f ca="1">IFERROR(VLOOKUP(N770,OFFSET(abbreviation[],0,ColumnLanguage),ColumnAbbreviation,FALSE),"")</f>
        <v/>
      </c>
      <c r="BP770" s="21" t="str">
        <f ca="1">IFERROR(VLOOKUP(P770,OFFSET(abbreviation[],0,ColumnLanguage),ColumnAbbreviation,FALSE),"")</f>
        <v/>
      </c>
      <c r="BQ770" s="21" t="str">
        <f ca="1">IFERROR(VLOOKUP(T770,OFFSET(abbreviation[],0,ColumnLanguage),ColumnAbbreviation,FALSE),"")</f>
        <v/>
      </c>
      <c r="BR770" s="21" t="str">
        <f ca="1">IFERROR(VLOOKUP(V770,OFFSET(abbreviation[],0,ColumnLanguage),ColumnAbbreviation,FALSE),"")</f>
        <v/>
      </c>
      <c r="BS770" s="21" t="str">
        <f ca="1">IFERROR(VLOOKUP(Z770,OFFSET(abbreviation[],0,ColumnLanguage),ColumnAbbreviation,FALSE),"")</f>
        <v/>
      </c>
      <c r="BT770" s="21" t="str">
        <f ca="1">IFERROR(VLOOKUP(AB770,OFFSET(abbreviation[],0,ColumnLanguage),ColumnAbbreviation,FALSE),"")</f>
        <v/>
      </c>
      <c r="BU770" s="21" t="str">
        <f t="shared" ca="1" si="78"/>
        <v>__</v>
      </c>
      <c r="BV770" s="21" t="str">
        <f ca="1">IFERROR(VLOOKUP(AF770,OFFSET(abbreviation[],0,ColumnLanguage),ColumnAbbreviation,FALSE),"")</f>
        <v/>
      </c>
      <c r="BW770" s="21" t="str">
        <f ca="1">IFERROR(VLOOKUP(AH770,OFFSET(abbreviation[],0,ColumnLanguage),ColumnAbbreviation,FALSE),"")</f>
        <v/>
      </c>
      <c r="BX770" s="21" t="str">
        <f ca="1">IFERROR(VLOOKUP(AJ770,OFFSET(abbreviation[],0,ColumnLanguage),ColumnAbbreviation,FALSE),"")</f>
        <v/>
      </c>
      <c r="BY770" s="21" t="str">
        <f ca="1">IFERROR(VLOOKUP(AL770,OFFSET(abbreviation[],0,ColumnLanguage),ColumnAbbreviation,FALSE),"")</f>
        <v/>
      </c>
      <c r="BZ770" s="21" t="str">
        <f t="shared" ca="1" si="79"/>
        <v>_</v>
      </c>
      <c r="CA770" s="21" t="str">
        <f ca="1">IFERROR(VLOOKUP(AP770,OFFSET(abbreviation[],0,ColumnLanguage),ColumnAbbreviation,FALSE),"")</f>
        <v/>
      </c>
      <c r="CB770" s="21" t="str">
        <f ca="1">IFERROR(VLOOKUP(AR770,OFFSET(abbreviation[],0,ColumnLanguage),ColumnAbbreviation,FALSE),"")</f>
        <v/>
      </c>
      <c r="CC770" s="21" t="str">
        <f ca="1">IFERROR(VLOOKUP(AT770,OFFSET(abbreviation[],0,ColumnLanguage),ColumnAbbreviation,FALSE),"")</f>
        <v/>
      </c>
      <c r="CD770" s="21" t="str">
        <f ca="1">IFERROR(VLOOKUP(AV770,OFFSET(abbreviation[],0,ColumnLanguage),ColumnAbbreviation,FALSE),"")</f>
        <v/>
      </c>
      <c r="CE770" s="21" t="str">
        <f t="shared" ca="1" si="80"/>
        <v>__</v>
      </c>
      <c r="CF770" s="21" t="str">
        <f ca="1">IFERROR(VLOOKUP(AX770,OFFSET(abbreviation[],0,ColumnLanguage),ColumnAbbreviation,FALSE),"")</f>
        <v/>
      </c>
      <c r="CG770" s="21" t="str">
        <f ca="1">IFERROR(VLOOKUP(AZ770,OFFSET(abbreviation[],0,ColumnLanguage),ColumnAbbreviation,FALSE),"")</f>
        <v/>
      </c>
      <c r="CH770" s="21" t="str">
        <f ca="1">IFERROR(VLOOKUP(BB770,OFFSET(abbreviation[],0,ColumnLanguage),ColumnAbbreviation,FALSE),"")</f>
        <v/>
      </c>
      <c r="CI770" s="21" t="str">
        <f ca="1">IFERROR(VLOOKUP(BD770,OFFSET(abbreviation[],0,ColumnLanguage),ColumnAbbreviation,FALSE),"")</f>
        <v/>
      </c>
      <c r="CJ770" s="21" t="str">
        <f ca="1">IFERROR(VLOOKUP(BF770,OFFSET(abbreviation[],0,ColumnLanguage),ColumnAbbreviation,FALSE),"")</f>
        <v/>
      </c>
      <c r="CK770" s="21" t="str">
        <f t="shared" ca="1" si="81"/>
        <v/>
      </c>
      <c r="CL770" s="21" t="str">
        <f t="shared" si="82"/>
        <v/>
      </c>
      <c r="CM770" s="52"/>
      <c r="CN770" s="57" t="str">
        <f t="shared" si="83"/>
        <v/>
      </c>
    </row>
    <row r="771" spans="17:92" x14ac:dyDescent="0.25">
      <c r="Q771" s="13"/>
      <c r="V771" s="60"/>
      <c r="X771" s="61"/>
      <c r="AB771" s="60"/>
      <c r="AN771" s="54"/>
      <c r="AS771" s="15"/>
      <c r="BH771" s="52"/>
      <c r="BI771" s="21" t="str">
        <f ca="1">IFERROR(VLOOKUP(C771,OFFSET(abbreviation[],0,ColumnLanguage),ColumnAbbreviation,FALSE),"")</f>
        <v/>
      </c>
      <c r="BJ771" s="21" t="str">
        <f ca="1">IFERROR(VLOOKUP(E771,OFFSET(abbreviation[],0,ColumnLanguage),ColumnAbbreviation,FALSE),"")</f>
        <v/>
      </c>
      <c r="BK771" s="21" t="str">
        <f ca="1">IFERROR(VLOOKUP(G771,OFFSET(abbreviation[],0,ColumnLanguage),ColumnAbbreviation,FALSE),"")</f>
        <v/>
      </c>
      <c r="BL771" s="21" t="str">
        <f ca="1">IFERROR(VLOOKUP(I771,OFFSET(abbreviation[],0,ColumnLanguage),ColumnAbbreviation,FALSE),"")</f>
        <v/>
      </c>
      <c r="BM771" s="21" t="str">
        <f ca="1">IFERROR(VLOOKUP(K771,OFFSET(abbreviation[],0,ColumnLanguage),ColumnAbbreviation,FALSE),"")</f>
        <v/>
      </c>
      <c r="BN771" s="21" t="str">
        <f t="shared" ca="1" si="77"/>
        <v/>
      </c>
      <c r="BO771" s="21" t="str">
        <f ca="1">IFERROR(VLOOKUP(N771,OFFSET(abbreviation[],0,ColumnLanguage),ColumnAbbreviation,FALSE),"")</f>
        <v/>
      </c>
      <c r="BP771" s="21" t="str">
        <f ca="1">IFERROR(VLOOKUP(P771,OFFSET(abbreviation[],0,ColumnLanguage),ColumnAbbreviation,FALSE),"")</f>
        <v/>
      </c>
      <c r="BQ771" s="21" t="str">
        <f ca="1">IFERROR(VLOOKUP(T771,OFFSET(abbreviation[],0,ColumnLanguage),ColumnAbbreviation,FALSE),"")</f>
        <v/>
      </c>
      <c r="BR771" s="21" t="str">
        <f ca="1">IFERROR(VLOOKUP(V771,OFFSET(abbreviation[],0,ColumnLanguage),ColumnAbbreviation,FALSE),"")</f>
        <v/>
      </c>
      <c r="BS771" s="21" t="str">
        <f ca="1">IFERROR(VLOOKUP(Z771,OFFSET(abbreviation[],0,ColumnLanguage),ColumnAbbreviation,FALSE),"")</f>
        <v/>
      </c>
      <c r="BT771" s="21" t="str">
        <f ca="1">IFERROR(VLOOKUP(AB771,OFFSET(abbreviation[],0,ColumnLanguage),ColumnAbbreviation,FALSE),"")</f>
        <v/>
      </c>
      <c r="BU771" s="21" t="str">
        <f t="shared" ca="1" si="78"/>
        <v>__</v>
      </c>
      <c r="BV771" s="21" t="str">
        <f ca="1">IFERROR(VLOOKUP(AF771,OFFSET(abbreviation[],0,ColumnLanguage),ColumnAbbreviation,FALSE),"")</f>
        <v/>
      </c>
      <c r="BW771" s="21" t="str">
        <f ca="1">IFERROR(VLOOKUP(AH771,OFFSET(abbreviation[],0,ColumnLanguage),ColumnAbbreviation,FALSE),"")</f>
        <v/>
      </c>
      <c r="BX771" s="21" t="str">
        <f ca="1">IFERROR(VLOOKUP(AJ771,OFFSET(abbreviation[],0,ColumnLanguage),ColumnAbbreviation,FALSE),"")</f>
        <v/>
      </c>
      <c r="BY771" s="21" t="str">
        <f ca="1">IFERROR(VLOOKUP(AL771,OFFSET(abbreviation[],0,ColumnLanguage),ColumnAbbreviation,FALSE),"")</f>
        <v/>
      </c>
      <c r="BZ771" s="21" t="str">
        <f t="shared" ca="1" si="79"/>
        <v>_</v>
      </c>
      <c r="CA771" s="21" t="str">
        <f ca="1">IFERROR(VLOOKUP(AP771,OFFSET(abbreviation[],0,ColumnLanguage),ColumnAbbreviation,FALSE),"")</f>
        <v/>
      </c>
      <c r="CB771" s="21" t="str">
        <f ca="1">IFERROR(VLOOKUP(AR771,OFFSET(abbreviation[],0,ColumnLanguage),ColumnAbbreviation,FALSE),"")</f>
        <v/>
      </c>
      <c r="CC771" s="21" t="str">
        <f ca="1">IFERROR(VLOOKUP(AT771,OFFSET(abbreviation[],0,ColumnLanguage),ColumnAbbreviation,FALSE),"")</f>
        <v/>
      </c>
      <c r="CD771" s="21" t="str">
        <f ca="1">IFERROR(VLOOKUP(AV771,OFFSET(abbreviation[],0,ColumnLanguage),ColumnAbbreviation,FALSE),"")</f>
        <v/>
      </c>
      <c r="CE771" s="21" t="str">
        <f t="shared" ca="1" si="80"/>
        <v>__</v>
      </c>
      <c r="CF771" s="21" t="str">
        <f ca="1">IFERROR(VLOOKUP(AX771,OFFSET(abbreviation[],0,ColumnLanguage),ColumnAbbreviation,FALSE),"")</f>
        <v/>
      </c>
      <c r="CG771" s="21" t="str">
        <f ca="1">IFERROR(VLOOKUP(AZ771,OFFSET(abbreviation[],0,ColumnLanguage),ColumnAbbreviation,FALSE),"")</f>
        <v/>
      </c>
      <c r="CH771" s="21" t="str">
        <f ca="1">IFERROR(VLOOKUP(BB771,OFFSET(abbreviation[],0,ColumnLanguage),ColumnAbbreviation,FALSE),"")</f>
        <v/>
      </c>
      <c r="CI771" s="21" t="str">
        <f ca="1">IFERROR(VLOOKUP(BD771,OFFSET(abbreviation[],0,ColumnLanguage),ColumnAbbreviation,FALSE),"")</f>
        <v/>
      </c>
      <c r="CJ771" s="21" t="str">
        <f ca="1">IFERROR(VLOOKUP(BF771,OFFSET(abbreviation[],0,ColumnLanguage),ColumnAbbreviation,FALSE),"")</f>
        <v/>
      </c>
      <c r="CK771" s="21" t="str">
        <f t="shared" ca="1" si="81"/>
        <v/>
      </c>
      <c r="CL771" s="21" t="str">
        <f t="shared" si="82"/>
        <v/>
      </c>
      <c r="CM771" s="52"/>
      <c r="CN771" s="57" t="str">
        <f t="shared" si="83"/>
        <v/>
      </c>
    </row>
    <row r="772" spans="17:92" x14ac:dyDescent="0.25">
      <c r="Q772" s="13"/>
      <c r="V772" s="60"/>
      <c r="X772" s="61"/>
      <c r="AB772" s="60"/>
      <c r="AN772" s="54"/>
      <c r="AS772" s="15"/>
      <c r="BH772" s="52"/>
      <c r="BI772" s="21" t="str">
        <f ca="1">IFERROR(VLOOKUP(C772,OFFSET(abbreviation[],0,ColumnLanguage),ColumnAbbreviation,FALSE),"")</f>
        <v/>
      </c>
      <c r="BJ772" s="21" t="str">
        <f ca="1">IFERROR(VLOOKUP(E772,OFFSET(abbreviation[],0,ColumnLanguage),ColumnAbbreviation,FALSE),"")</f>
        <v/>
      </c>
      <c r="BK772" s="21" t="str">
        <f ca="1">IFERROR(VLOOKUP(G772,OFFSET(abbreviation[],0,ColumnLanguage),ColumnAbbreviation,FALSE),"")</f>
        <v/>
      </c>
      <c r="BL772" s="21" t="str">
        <f ca="1">IFERROR(VLOOKUP(I772,OFFSET(abbreviation[],0,ColumnLanguage),ColumnAbbreviation,FALSE),"")</f>
        <v/>
      </c>
      <c r="BM772" s="21" t="str">
        <f ca="1">IFERROR(VLOOKUP(K772,OFFSET(abbreviation[],0,ColumnLanguage),ColumnAbbreviation,FALSE),"")</f>
        <v/>
      </c>
      <c r="BN772" s="21" t="str">
        <f t="shared" ref="BN772:BN835" ca="1" si="84">(BI772&amp;IF(OR(ISNUMBER(D772),ISTEXT(D772)),"-"&amp;D772,))&amp;(IF(ISTEXT(E772),"_",)&amp;BJ772&amp;IF(OR(ISNUMBER(F772),ISTEXT(F772)),"-"&amp;F772,))&amp;(IF(ISTEXT(G772),"_",)&amp;BK772&amp;IF(OR(ISNUMBER(H772),ISTEXT(H772)),"-"&amp;H772,))&amp;(IF(ISTEXT(I772),"_",)&amp;BL772&amp;IF(OR(ISNUMBER(J772),ISTEXT(J772)),"-"&amp;J772,))&amp;(IF(ISTEXT(K772),"_",)&amp;BM772&amp;IF(OR(ISNUMBER(L772),ISTEXT(L772)),"-"&amp;L772,)&amp;IF(AND(ISTEXT(BI772),BI772&lt;&gt;""),"_._",))</f>
        <v/>
      </c>
      <c r="BO772" s="21" t="str">
        <f ca="1">IFERROR(VLOOKUP(N772,OFFSET(abbreviation[],0,ColumnLanguage),ColumnAbbreviation,FALSE),"")</f>
        <v/>
      </c>
      <c r="BP772" s="21" t="str">
        <f ca="1">IFERROR(VLOOKUP(P772,OFFSET(abbreviation[],0,ColumnLanguage),ColumnAbbreviation,FALSE),"")</f>
        <v/>
      </c>
      <c r="BQ772" s="21" t="str">
        <f ca="1">IFERROR(VLOOKUP(T772,OFFSET(abbreviation[],0,ColumnLanguage),ColumnAbbreviation,FALSE),"")</f>
        <v/>
      </c>
      <c r="BR772" s="21" t="str">
        <f ca="1">IFERROR(VLOOKUP(V772,OFFSET(abbreviation[],0,ColumnLanguage),ColumnAbbreviation,FALSE),"")</f>
        <v/>
      </c>
      <c r="BS772" s="21" t="str">
        <f ca="1">IFERROR(VLOOKUP(Z772,OFFSET(abbreviation[],0,ColumnLanguage),ColumnAbbreviation,FALSE),"")</f>
        <v/>
      </c>
      <c r="BT772" s="21" t="str">
        <f ca="1">IFERROR(VLOOKUP(AB772,OFFSET(abbreviation[],0,ColumnLanguage),ColumnAbbreviation,FALSE),"")</f>
        <v/>
      </c>
      <c r="BU772" s="21" t="str">
        <f t="shared" ref="BU772:BU835" ca="1" si="85">(BO772&amp;IF(ISTEXT(P772),"."&amp;BP772,)&amp;IF(OR(ISTEXT(R772),ISNUMBER(R772)),"-"&amp;R772,))&amp;("_"&amp;BQ772&amp;IF(ISTEXT(V772),"."&amp;BR772,)&amp;IF(OR(ISTEXT(X772),ISNUMBER(X772)),"-"&amp;X772,))&amp;("_"&amp;BS772&amp;IF(ISTEXT(AB772),"."&amp;BT772,)&amp;IF(OR(ISTEXT(AD772),ISNUMBER(AD772)),"-"&amp;AD772,))</f>
        <v>__</v>
      </c>
      <c r="BV772" s="21" t="str">
        <f ca="1">IFERROR(VLOOKUP(AF772,OFFSET(abbreviation[],0,ColumnLanguage),ColumnAbbreviation,FALSE),"")</f>
        <v/>
      </c>
      <c r="BW772" s="21" t="str">
        <f ca="1">IFERROR(VLOOKUP(AH772,OFFSET(abbreviation[],0,ColumnLanguage),ColumnAbbreviation,FALSE),"")</f>
        <v/>
      </c>
      <c r="BX772" s="21" t="str">
        <f ca="1">IFERROR(VLOOKUP(AJ772,OFFSET(abbreviation[],0,ColumnLanguage),ColumnAbbreviation,FALSE),"")</f>
        <v/>
      </c>
      <c r="BY772" s="21" t="str">
        <f ca="1">IFERROR(VLOOKUP(AL772,OFFSET(abbreviation[],0,ColumnLanguage),ColumnAbbreviation,FALSE),"")</f>
        <v/>
      </c>
      <c r="BZ772" s="21" t="str">
        <f t="shared" ref="BZ772:BZ835" ca="1" si="86">("_"&amp;BV772&amp;IF(ISTEXT(AH772),"."&amp;BW772,)&amp;IF(ISTEXT(AJ772),"."&amp;BX772,)&amp;IF(ISTEXT(AL772),"."&amp;BY772,)&amp;IF(OR(ISTEXT(AN772),ISNUMBER(AN772)),"-"&amp;AN772,))</f>
        <v>_</v>
      </c>
      <c r="CA772" s="21" t="str">
        <f ca="1">IFERROR(VLOOKUP(AP772,OFFSET(abbreviation[],0,ColumnLanguage),ColumnAbbreviation,FALSE),"")</f>
        <v/>
      </c>
      <c r="CB772" s="21" t="str">
        <f ca="1">IFERROR(VLOOKUP(AR772,OFFSET(abbreviation[],0,ColumnLanguage),ColumnAbbreviation,FALSE),"")</f>
        <v/>
      </c>
      <c r="CC772" s="21" t="str">
        <f ca="1">IFERROR(VLOOKUP(AT772,OFFSET(abbreviation[],0,ColumnLanguage),ColumnAbbreviation,FALSE),"")</f>
        <v/>
      </c>
      <c r="CD772" s="21" t="str">
        <f ca="1">IFERROR(VLOOKUP(AV772,OFFSET(abbreviation[],0,ColumnLanguage),ColumnAbbreviation,FALSE),"")</f>
        <v/>
      </c>
      <c r="CE772" s="21" t="str">
        <f t="shared" ref="CE772:CE835" ca="1" si="87">("_"&amp;CA772&amp;IF(ISTEXT(AR772),"."&amp;CB772,)&amp;IF(ISTEXT(AT772),"."&amp;CC772,))&amp;"_"&amp;CD772</f>
        <v>__</v>
      </c>
      <c r="CF772" s="21" t="str">
        <f ca="1">IFERROR(VLOOKUP(AX772,OFFSET(abbreviation[],0,ColumnLanguage),ColumnAbbreviation,FALSE),"")</f>
        <v/>
      </c>
      <c r="CG772" s="21" t="str">
        <f ca="1">IFERROR(VLOOKUP(AZ772,OFFSET(abbreviation[],0,ColumnLanguage),ColumnAbbreviation,FALSE),"")</f>
        <v/>
      </c>
      <c r="CH772" s="21" t="str">
        <f ca="1">IFERROR(VLOOKUP(BB772,OFFSET(abbreviation[],0,ColumnLanguage),ColumnAbbreviation,FALSE),"")</f>
        <v/>
      </c>
      <c r="CI772" s="21" t="str">
        <f ca="1">IFERROR(VLOOKUP(BD772,OFFSET(abbreviation[],0,ColumnLanguage),ColumnAbbreviation,FALSE),"")</f>
        <v/>
      </c>
      <c r="CJ772" s="21" t="str">
        <f ca="1">IFERROR(VLOOKUP(BF772,OFFSET(abbreviation[],0,ColumnLanguage),ColumnAbbreviation,FALSE),"")</f>
        <v/>
      </c>
      <c r="CK772" s="21" t="str">
        <f t="shared" ref="CK772:CK835" ca="1" si="88">(IF(ISTEXT(AX772),"_._",""))&amp;(IF(ISTEXT(AX772),"_",)&amp;CF772&amp;IF(OR(ISNUMBER(AY772),ISTEXT(AY772)),"-"&amp;AY772,))&amp;(IF(ISTEXT(AZ772),"_",)&amp;CG772&amp;IF(OR(ISNUMBER(BA772),ISTEXT(BA772)),"-"&amp;BA772,))&amp;(IF(ISTEXT(BB772),"_",)&amp;CH772&amp;IF(OR(ISNUMBER(BC772),ISTEXT(BC772)),"-"&amp;BC772,))&amp;(IF(ISTEXT(BD772),"_",)&amp;CI772&amp;IF(OR(ISNUMBER(BE772),ISTEXT(BE772)),"-"&amp;BE772,))&amp;(IF(ISTEXT(BF772),"_",)&amp;CJ772&amp;IF(OR(ISNUMBER(BG772),ISTEXT(BG772)),"-"&amp;BG772,))</f>
        <v/>
      </c>
      <c r="CL772" s="21" t="str">
        <f t="shared" ref="CL772:CL835" si="89">IF(OR(N772&lt;&gt;"",T772&lt;&gt;"",C772&lt;&gt;"",A772&lt;&gt;""),(BN772&amp;BU772&amp;BZ772&amp;CE772&amp;CK772),"")</f>
        <v/>
      </c>
      <c r="CM772" s="52"/>
      <c r="CN772" s="57" t="str">
        <f t="shared" ref="CN772:CN835" si="90">CL772</f>
        <v/>
      </c>
    </row>
    <row r="773" spans="17:92" x14ac:dyDescent="0.25">
      <c r="Q773" s="13"/>
      <c r="T773" s="12"/>
      <c r="V773" s="60"/>
      <c r="X773" s="61"/>
      <c r="AB773" s="60"/>
      <c r="AD773" s="61"/>
      <c r="AN773" s="54"/>
      <c r="AS773" s="15"/>
      <c r="BH773" s="52"/>
      <c r="BI773" s="21" t="str">
        <f ca="1">IFERROR(VLOOKUP(C773,OFFSET(abbreviation[],0,ColumnLanguage),ColumnAbbreviation,FALSE),"")</f>
        <v/>
      </c>
      <c r="BJ773" s="21" t="str">
        <f ca="1">IFERROR(VLOOKUP(E773,OFFSET(abbreviation[],0,ColumnLanguage),ColumnAbbreviation,FALSE),"")</f>
        <v/>
      </c>
      <c r="BK773" s="21" t="str">
        <f ca="1">IFERROR(VLOOKUP(G773,OFFSET(abbreviation[],0,ColumnLanguage),ColumnAbbreviation,FALSE),"")</f>
        <v/>
      </c>
      <c r="BL773" s="21" t="str">
        <f ca="1">IFERROR(VLOOKUP(I773,OFFSET(abbreviation[],0,ColumnLanguage),ColumnAbbreviation,FALSE),"")</f>
        <v/>
      </c>
      <c r="BM773" s="21" t="str">
        <f ca="1">IFERROR(VLOOKUP(K773,OFFSET(abbreviation[],0,ColumnLanguage),ColumnAbbreviation,FALSE),"")</f>
        <v/>
      </c>
      <c r="BN773" s="21" t="str">
        <f t="shared" ca="1" si="84"/>
        <v/>
      </c>
      <c r="BO773" s="21" t="str">
        <f ca="1">IFERROR(VLOOKUP(N773,OFFSET(abbreviation[],0,ColumnLanguage),ColumnAbbreviation,FALSE),"")</f>
        <v/>
      </c>
      <c r="BP773" s="21" t="str">
        <f ca="1">IFERROR(VLOOKUP(P773,OFFSET(abbreviation[],0,ColumnLanguage),ColumnAbbreviation,FALSE),"")</f>
        <v/>
      </c>
      <c r="BQ773" s="21" t="str">
        <f ca="1">IFERROR(VLOOKUP(T773,OFFSET(abbreviation[],0,ColumnLanguage),ColumnAbbreviation,FALSE),"")</f>
        <v/>
      </c>
      <c r="BR773" s="21" t="str">
        <f ca="1">IFERROR(VLOOKUP(V773,OFFSET(abbreviation[],0,ColumnLanguage),ColumnAbbreviation,FALSE),"")</f>
        <v/>
      </c>
      <c r="BS773" s="21" t="str">
        <f ca="1">IFERROR(VLOOKUP(Z773,OFFSET(abbreviation[],0,ColumnLanguage),ColumnAbbreviation,FALSE),"")</f>
        <v/>
      </c>
      <c r="BT773" s="21" t="str">
        <f ca="1">IFERROR(VLOOKUP(AB773,OFFSET(abbreviation[],0,ColumnLanguage),ColumnAbbreviation,FALSE),"")</f>
        <v/>
      </c>
      <c r="BU773" s="21" t="str">
        <f t="shared" ca="1" si="85"/>
        <v>__</v>
      </c>
      <c r="BV773" s="21" t="str">
        <f ca="1">IFERROR(VLOOKUP(AF773,OFFSET(abbreviation[],0,ColumnLanguage),ColumnAbbreviation,FALSE),"")</f>
        <v/>
      </c>
      <c r="BW773" s="21" t="str">
        <f ca="1">IFERROR(VLOOKUP(AH773,OFFSET(abbreviation[],0,ColumnLanguage),ColumnAbbreviation,FALSE),"")</f>
        <v/>
      </c>
      <c r="BX773" s="21" t="str">
        <f ca="1">IFERROR(VLOOKUP(AJ773,OFFSET(abbreviation[],0,ColumnLanguage),ColumnAbbreviation,FALSE),"")</f>
        <v/>
      </c>
      <c r="BY773" s="21" t="str">
        <f ca="1">IFERROR(VLOOKUP(AL773,OFFSET(abbreviation[],0,ColumnLanguage),ColumnAbbreviation,FALSE),"")</f>
        <v/>
      </c>
      <c r="BZ773" s="21" t="str">
        <f t="shared" ca="1" si="86"/>
        <v>_</v>
      </c>
      <c r="CA773" s="21" t="str">
        <f ca="1">IFERROR(VLOOKUP(AP773,OFFSET(abbreviation[],0,ColumnLanguage),ColumnAbbreviation,FALSE),"")</f>
        <v/>
      </c>
      <c r="CB773" s="21" t="str">
        <f ca="1">IFERROR(VLOOKUP(AR773,OFFSET(abbreviation[],0,ColumnLanguage),ColumnAbbreviation,FALSE),"")</f>
        <v/>
      </c>
      <c r="CC773" s="21" t="str">
        <f ca="1">IFERROR(VLOOKUP(AT773,OFFSET(abbreviation[],0,ColumnLanguage),ColumnAbbreviation,FALSE),"")</f>
        <v/>
      </c>
      <c r="CD773" s="21" t="str">
        <f ca="1">IFERROR(VLOOKUP(AV773,OFFSET(abbreviation[],0,ColumnLanguage),ColumnAbbreviation,FALSE),"")</f>
        <v/>
      </c>
      <c r="CE773" s="21" t="str">
        <f t="shared" ca="1" si="87"/>
        <v>__</v>
      </c>
      <c r="CF773" s="21" t="str">
        <f ca="1">IFERROR(VLOOKUP(AX773,OFFSET(abbreviation[],0,ColumnLanguage),ColumnAbbreviation,FALSE),"")</f>
        <v/>
      </c>
      <c r="CG773" s="21" t="str">
        <f ca="1">IFERROR(VLOOKUP(AZ773,OFFSET(abbreviation[],0,ColumnLanguage),ColumnAbbreviation,FALSE),"")</f>
        <v/>
      </c>
      <c r="CH773" s="21" t="str">
        <f ca="1">IFERROR(VLOOKUP(BB773,OFFSET(abbreviation[],0,ColumnLanguage),ColumnAbbreviation,FALSE),"")</f>
        <v/>
      </c>
      <c r="CI773" s="21" t="str">
        <f ca="1">IFERROR(VLOOKUP(BD773,OFFSET(abbreviation[],0,ColumnLanguage),ColumnAbbreviation,FALSE),"")</f>
        <v/>
      </c>
      <c r="CJ773" s="21" t="str">
        <f ca="1">IFERROR(VLOOKUP(BF773,OFFSET(abbreviation[],0,ColumnLanguage),ColumnAbbreviation,FALSE),"")</f>
        <v/>
      </c>
      <c r="CK773" s="21" t="str">
        <f t="shared" ca="1" si="88"/>
        <v/>
      </c>
      <c r="CL773" s="21" t="str">
        <f t="shared" si="89"/>
        <v/>
      </c>
      <c r="CM773" s="52"/>
      <c r="CN773" s="57" t="str">
        <f t="shared" si="90"/>
        <v/>
      </c>
    </row>
    <row r="774" spans="17:92" x14ac:dyDescent="0.25">
      <c r="Q774" s="13"/>
      <c r="T774" s="12"/>
      <c r="V774" s="60"/>
      <c r="X774" s="61"/>
      <c r="AB774" s="60"/>
      <c r="AD774" s="61"/>
      <c r="AN774" s="54"/>
      <c r="AS774" s="15"/>
      <c r="BH774" s="52"/>
      <c r="BI774" s="21" t="str">
        <f ca="1">IFERROR(VLOOKUP(C774,OFFSET(abbreviation[],0,ColumnLanguage),ColumnAbbreviation,FALSE),"")</f>
        <v/>
      </c>
      <c r="BJ774" s="21" t="str">
        <f ca="1">IFERROR(VLOOKUP(E774,OFFSET(abbreviation[],0,ColumnLanguage),ColumnAbbreviation,FALSE),"")</f>
        <v/>
      </c>
      <c r="BK774" s="21" t="str">
        <f ca="1">IFERROR(VLOOKUP(G774,OFFSET(abbreviation[],0,ColumnLanguage),ColumnAbbreviation,FALSE),"")</f>
        <v/>
      </c>
      <c r="BL774" s="21" t="str">
        <f ca="1">IFERROR(VLOOKUP(I774,OFFSET(abbreviation[],0,ColumnLanguage),ColumnAbbreviation,FALSE),"")</f>
        <v/>
      </c>
      <c r="BM774" s="21" t="str">
        <f ca="1">IFERROR(VLOOKUP(K774,OFFSET(abbreviation[],0,ColumnLanguage),ColumnAbbreviation,FALSE),"")</f>
        <v/>
      </c>
      <c r="BN774" s="21" t="str">
        <f t="shared" ca="1" si="84"/>
        <v/>
      </c>
      <c r="BO774" s="21" t="str">
        <f ca="1">IFERROR(VLOOKUP(N774,OFFSET(abbreviation[],0,ColumnLanguage),ColumnAbbreviation,FALSE),"")</f>
        <v/>
      </c>
      <c r="BP774" s="21" t="str">
        <f ca="1">IFERROR(VLOOKUP(P774,OFFSET(abbreviation[],0,ColumnLanguage),ColumnAbbreviation,FALSE),"")</f>
        <v/>
      </c>
      <c r="BQ774" s="21" t="str">
        <f ca="1">IFERROR(VLOOKUP(T774,OFFSET(abbreviation[],0,ColumnLanguage),ColumnAbbreviation,FALSE),"")</f>
        <v/>
      </c>
      <c r="BR774" s="21" t="str">
        <f ca="1">IFERROR(VLOOKUP(V774,OFFSET(abbreviation[],0,ColumnLanguage),ColumnAbbreviation,FALSE),"")</f>
        <v/>
      </c>
      <c r="BS774" s="21" t="str">
        <f ca="1">IFERROR(VLOOKUP(Z774,OFFSET(abbreviation[],0,ColumnLanguage),ColumnAbbreviation,FALSE),"")</f>
        <v/>
      </c>
      <c r="BT774" s="21" t="str">
        <f ca="1">IFERROR(VLOOKUP(AB774,OFFSET(abbreviation[],0,ColumnLanguage),ColumnAbbreviation,FALSE),"")</f>
        <v/>
      </c>
      <c r="BU774" s="21" t="str">
        <f t="shared" ca="1" si="85"/>
        <v>__</v>
      </c>
      <c r="BV774" s="21" t="str">
        <f ca="1">IFERROR(VLOOKUP(AF774,OFFSET(abbreviation[],0,ColumnLanguage),ColumnAbbreviation,FALSE),"")</f>
        <v/>
      </c>
      <c r="BW774" s="21" t="str">
        <f ca="1">IFERROR(VLOOKUP(AH774,OFFSET(abbreviation[],0,ColumnLanguage),ColumnAbbreviation,FALSE),"")</f>
        <v/>
      </c>
      <c r="BX774" s="21" t="str">
        <f ca="1">IFERROR(VLOOKUP(AJ774,OFFSET(abbreviation[],0,ColumnLanguage),ColumnAbbreviation,FALSE),"")</f>
        <v/>
      </c>
      <c r="BY774" s="21" t="str">
        <f ca="1">IFERROR(VLOOKUP(AL774,OFFSET(abbreviation[],0,ColumnLanguage),ColumnAbbreviation,FALSE),"")</f>
        <v/>
      </c>
      <c r="BZ774" s="21" t="str">
        <f t="shared" ca="1" si="86"/>
        <v>_</v>
      </c>
      <c r="CA774" s="21" t="str">
        <f ca="1">IFERROR(VLOOKUP(AP774,OFFSET(abbreviation[],0,ColumnLanguage),ColumnAbbreviation,FALSE),"")</f>
        <v/>
      </c>
      <c r="CB774" s="21" t="str">
        <f ca="1">IFERROR(VLOOKUP(AR774,OFFSET(abbreviation[],0,ColumnLanguage),ColumnAbbreviation,FALSE),"")</f>
        <v/>
      </c>
      <c r="CC774" s="21" t="str">
        <f ca="1">IFERROR(VLOOKUP(AT774,OFFSET(abbreviation[],0,ColumnLanguage),ColumnAbbreviation,FALSE),"")</f>
        <v/>
      </c>
      <c r="CD774" s="21" t="str">
        <f ca="1">IFERROR(VLOOKUP(AV774,OFFSET(abbreviation[],0,ColumnLanguage),ColumnAbbreviation,FALSE),"")</f>
        <v/>
      </c>
      <c r="CE774" s="21" t="str">
        <f t="shared" ca="1" si="87"/>
        <v>__</v>
      </c>
      <c r="CF774" s="21" t="str">
        <f ca="1">IFERROR(VLOOKUP(AX774,OFFSET(abbreviation[],0,ColumnLanguage),ColumnAbbreviation,FALSE),"")</f>
        <v/>
      </c>
      <c r="CG774" s="21" t="str">
        <f ca="1">IFERROR(VLOOKUP(AZ774,OFFSET(abbreviation[],0,ColumnLanguage),ColumnAbbreviation,FALSE),"")</f>
        <v/>
      </c>
      <c r="CH774" s="21" t="str">
        <f ca="1">IFERROR(VLOOKUP(BB774,OFFSET(abbreviation[],0,ColumnLanguage),ColumnAbbreviation,FALSE),"")</f>
        <v/>
      </c>
      <c r="CI774" s="21" t="str">
        <f ca="1">IFERROR(VLOOKUP(BD774,OFFSET(abbreviation[],0,ColumnLanguage),ColumnAbbreviation,FALSE),"")</f>
        <v/>
      </c>
      <c r="CJ774" s="21" t="str">
        <f ca="1">IFERROR(VLOOKUP(BF774,OFFSET(abbreviation[],0,ColumnLanguage),ColumnAbbreviation,FALSE),"")</f>
        <v/>
      </c>
      <c r="CK774" s="21" t="str">
        <f t="shared" ca="1" si="88"/>
        <v/>
      </c>
      <c r="CL774" s="21" t="str">
        <f t="shared" si="89"/>
        <v/>
      </c>
      <c r="CM774" s="52"/>
      <c r="CN774" s="57" t="str">
        <f t="shared" si="90"/>
        <v/>
      </c>
    </row>
    <row r="775" spans="17:92" x14ac:dyDescent="0.25">
      <c r="Q775" s="13"/>
      <c r="T775" s="12"/>
      <c r="V775" s="60"/>
      <c r="X775" s="61"/>
      <c r="AB775" s="60"/>
      <c r="AD775" s="61"/>
      <c r="AN775" s="54"/>
      <c r="AS775" s="15"/>
      <c r="BH775" s="52"/>
      <c r="BI775" s="21" t="str">
        <f ca="1">IFERROR(VLOOKUP(C775,OFFSET(abbreviation[],0,ColumnLanguage),ColumnAbbreviation,FALSE),"")</f>
        <v/>
      </c>
      <c r="BJ775" s="21" t="str">
        <f ca="1">IFERROR(VLOOKUP(E775,OFFSET(abbreviation[],0,ColumnLanguage),ColumnAbbreviation,FALSE),"")</f>
        <v/>
      </c>
      <c r="BK775" s="21" t="str">
        <f ca="1">IFERROR(VLOOKUP(G775,OFFSET(abbreviation[],0,ColumnLanguage),ColumnAbbreviation,FALSE),"")</f>
        <v/>
      </c>
      <c r="BL775" s="21" t="str">
        <f ca="1">IFERROR(VLOOKUP(I775,OFFSET(abbreviation[],0,ColumnLanguage),ColumnAbbreviation,FALSE),"")</f>
        <v/>
      </c>
      <c r="BM775" s="21" t="str">
        <f ca="1">IFERROR(VLOOKUP(K775,OFFSET(abbreviation[],0,ColumnLanguage),ColumnAbbreviation,FALSE),"")</f>
        <v/>
      </c>
      <c r="BN775" s="21" t="str">
        <f t="shared" ca="1" si="84"/>
        <v/>
      </c>
      <c r="BO775" s="21" t="str">
        <f ca="1">IFERROR(VLOOKUP(N775,OFFSET(abbreviation[],0,ColumnLanguage),ColumnAbbreviation,FALSE),"")</f>
        <v/>
      </c>
      <c r="BP775" s="21" t="str">
        <f ca="1">IFERROR(VLOOKUP(P775,OFFSET(abbreviation[],0,ColumnLanguage),ColumnAbbreviation,FALSE),"")</f>
        <v/>
      </c>
      <c r="BQ775" s="21" t="str">
        <f ca="1">IFERROR(VLOOKUP(T775,OFFSET(abbreviation[],0,ColumnLanguage),ColumnAbbreviation,FALSE),"")</f>
        <v/>
      </c>
      <c r="BR775" s="21" t="str">
        <f ca="1">IFERROR(VLOOKUP(V775,OFFSET(abbreviation[],0,ColumnLanguage),ColumnAbbreviation,FALSE),"")</f>
        <v/>
      </c>
      <c r="BS775" s="21" t="str">
        <f ca="1">IFERROR(VLOOKUP(Z775,OFFSET(abbreviation[],0,ColumnLanguage),ColumnAbbreviation,FALSE),"")</f>
        <v/>
      </c>
      <c r="BT775" s="21" t="str">
        <f ca="1">IFERROR(VLOOKUP(AB775,OFFSET(abbreviation[],0,ColumnLanguage),ColumnAbbreviation,FALSE),"")</f>
        <v/>
      </c>
      <c r="BU775" s="21" t="str">
        <f t="shared" ca="1" si="85"/>
        <v>__</v>
      </c>
      <c r="BV775" s="21" t="str">
        <f ca="1">IFERROR(VLOOKUP(AF775,OFFSET(abbreviation[],0,ColumnLanguage),ColumnAbbreviation,FALSE),"")</f>
        <v/>
      </c>
      <c r="BW775" s="21" t="str">
        <f ca="1">IFERROR(VLOOKUP(AH775,OFFSET(abbreviation[],0,ColumnLanguage),ColumnAbbreviation,FALSE),"")</f>
        <v/>
      </c>
      <c r="BX775" s="21" t="str">
        <f ca="1">IFERROR(VLOOKUP(AJ775,OFFSET(abbreviation[],0,ColumnLanguage),ColumnAbbreviation,FALSE),"")</f>
        <v/>
      </c>
      <c r="BY775" s="21" t="str">
        <f ca="1">IFERROR(VLOOKUP(AL775,OFFSET(abbreviation[],0,ColumnLanguage),ColumnAbbreviation,FALSE),"")</f>
        <v/>
      </c>
      <c r="BZ775" s="21" t="str">
        <f t="shared" ca="1" si="86"/>
        <v>_</v>
      </c>
      <c r="CA775" s="21" t="str">
        <f ca="1">IFERROR(VLOOKUP(AP775,OFFSET(abbreviation[],0,ColumnLanguage),ColumnAbbreviation,FALSE),"")</f>
        <v/>
      </c>
      <c r="CB775" s="21" t="str">
        <f ca="1">IFERROR(VLOOKUP(AR775,OFFSET(abbreviation[],0,ColumnLanguage),ColumnAbbreviation,FALSE),"")</f>
        <v/>
      </c>
      <c r="CC775" s="21" t="str">
        <f ca="1">IFERROR(VLOOKUP(AT775,OFFSET(abbreviation[],0,ColumnLanguage),ColumnAbbreviation,FALSE),"")</f>
        <v/>
      </c>
      <c r="CD775" s="21" t="str">
        <f ca="1">IFERROR(VLOOKUP(AV775,OFFSET(abbreviation[],0,ColumnLanguage),ColumnAbbreviation,FALSE),"")</f>
        <v/>
      </c>
      <c r="CE775" s="21" t="str">
        <f t="shared" ca="1" si="87"/>
        <v>__</v>
      </c>
      <c r="CF775" s="21" t="str">
        <f ca="1">IFERROR(VLOOKUP(AX775,OFFSET(abbreviation[],0,ColumnLanguage),ColumnAbbreviation,FALSE),"")</f>
        <v/>
      </c>
      <c r="CG775" s="21" t="str">
        <f ca="1">IFERROR(VLOOKUP(AZ775,OFFSET(abbreviation[],0,ColumnLanguage),ColumnAbbreviation,FALSE),"")</f>
        <v/>
      </c>
      <c r="CH775" s="21" t="str">
        <f ca="1">IFERROR(VLOOKUP(BB775,OFFSET(abbreviation[],0,ColumnLanguage),ColumnAbbreviation,FALSE),"")</f>
        <v/>
      </c>
      <c r="CI775" s="21" t="str">
        <f ca="1">IFERROR(VLOOKUP(BD775,OFFSET(abbreviation[],0,ColumnLanguage),ColumnAbbreviation,FALSE),"")</f>
        <v/>
      </c>
      <c r="CJ775" s="21" t="str">
        <f ca="1">IFERROR(VLOOKUP(BF775,OFFSET(abbreviation[],0,ColumnLanguage),ColumnAbbreviation,FALSE),"")</f>
        <v/>
      </c>
      <c r="CK775" s="21" t="str">
        <f t="shared" ca="1" si="88"/>
        <v/>
      </c>
      <c r="CL775" s="21" t="str">
        <f t="shared" si="89"/>
        <v/>
      </c>
      <c r="CM775" s="52"/>
      <c r="CN775" s="57" t="str">
        <f t="shared" si="90"/>
        <v/>
      </c>
    </row>
    <row r="776" spans="17:92" x14ac:dyDescent="0.25">
      <c r="Q776" s="13"/>
      <c r="T776" s="12"/>
      <c r="V776" s="60"/>
      <c r="X776" s="61"/>
      <c r="AB776" s="60"/>
      <c r="AD776" s="61"/>
      <c r="AN776" s="54"/>
      <c r="AS776" s="15"/>
      <c r="BH776" s="52"/>
      <c r="BI776" s="21" t="str">
        <f ca="1">IFERROR(VLOOKUP(C776,OFFSET(abbreviation[],0,ColumnLanguage),ColumnAbbreviation,FALSE),"")</f>
        <v/>
      </c>
      <c r="BJ776" s="21" t="str">
        <f ca="1">IFERROR(VLOOKUP(E776,OFFSET(abbreviation[],0,ColumnLanguage),ColumnAbbreviation,FALSE),"")</f>
        <v/>
      </c>
      <c r="BK776" s="21" t="str">
        <f ca="1">IFERROR(VLOOKUP(G776,OFFSET(abbreviation[],0,ColumnLanguage),ColumnAbbreviation,FALSE),"")</f>
        <v/>
      </c>
      <c r="BL776" s="21" t="str">
        <f ca="1">IFERROR(VLOOKUP(I776,OFFSET(abbreviation[],0,ColumnLanguage),ColumnAbbreviation,FALSE),"")</f>
        <v/>
      </c>
      <c r="BM776" s="21" t="str">
        <f ca="1">IFERROR(VLOOKUP(K776,OFFSET(abbreviation[],0,ColumnLanguage),ColumnAbbreviation,FALSE),"")</f>
        <v/>
      </c>
      <c r="BN776" s="21" t="str">
        <f t="shared" ca="1" si="84"/>
        <v/>
      </c>
      <c r="BO776" s="21" t="str">
        <f ca="1">IFERROR(VLOOKUP(N776,OFFSET(abbreviation[],0,ColumnLanguage),ColumnAbbreviation,FALSE),"")</f>
        <v/>
      </c>
      <c r="BP776" s="21" t="str">
        <f ca="1">IFERROR(VLOOKUP(P776,OFFSET(abbreviation[],0,ColumnLanguage),ColumnAbbreviation,FALSE),"")</f>
        <v/>
      </c>
      <c r="BQ776" s="21" t="str">
        <f ca="1">IFERROR(VLOOKUP(T776,OFFSET(abbreviation[],0,ColumnLanguage),ColumnAbbreviation,FALSE),"")</f>
        <v/>
      </c>
      <c r="BR776" s="21" t="str">
        <f ca="1">IFERROR(VLOOKUP(V776,OFFSET(abbreviation[],0,ColumnLanguage),ColumnAbbreviation,FALSE),"")</f>
        <v/>
      </c>
      <c r="BS776" s="21" t="str">
        <f ca="1">IFERROR(VLOOKUP(Z776,OFFSET(abbreviation[],0,ColumnLanguage),ColumnAbbreviation,FALSE),"")</f>
        <v/>
      </c>
      <c r="BT776" s="21" t="str">
        <f ca="1">IFERROR(VLOOKUP(AB776,OFFSET(abbreviation[],0,ColumnLanguage),ColumnAbbreviation,FALSE),"")</f>
        <v/>
      </c>
      <c r="BU776" s="21" t="str">
        <f t="shared" ca="1" si="85"/>
        <v>__</v>
      </c>
      <c r="BV776" s="21" t="str">
        <f ca="1">IFERROR(VLOOKUP(AF776,OFFSET(abbreviation[],0,ColumnLanguage),ColumnAbbreviation,FALSE),"")</f>
        <v/>
      </c>
      <c r="BW776" s="21" t="str">
        <f ca="1">IFERROR(VLOOKUP(AH776,OFFSET(abbreviation[],0,ColumnLanguage),ColumnAbbreviation,FALSE),"")</f>
        <v/>
      </c>
      <c r="BX776" s="21" t="str">
        <f ca="1">IFERROR(VLOOKUP(AJ776,OFFSET(abbreviation[],0,ColumnLanguage),ColumnAbbreviation,FALSE),"")</f>
        <v/>
      </c>
      <c r="BY776" s="21" t="str">
        <f ca="1">IFERROR(VLOOKUP(AL776,OFFSET(abbreviation[],0,ColumnLanguage),ColumnAbbreviation,FALSE),"")</f>
        <v/>
      </c>
      <c r="BZ776" s="21" t="str">
        <f t="shared" ca="1" si="86"/>
        <v>_</v>
      </c>
      <c r="CA776" s="21" t="str">
        <f ca="1">IFERROR(VLOOKUP(AP776,OFFSET(abbreviation[],0,ColumnLanguage),ColumnAbbreviation,FALSE),"")</f>
        <v/>
      </c>
      <c r="CB776" s="21" t="str">
        <f ca="1">IFERROR(VLOOKUP(AR776,OFFSET(abbreviation[],0,ColumnLanguage),ColumnAbbreviation,FALSE),"")</f>
        <v/>
      </c>
      <c r="CC776" s="21" t="str">
        <f ca="1">IFERROR(VLOOKUP(AT776,OFFSET(abbreviation[],0,ColumnLanguage),ColumnAbbreviation,FALSE),"")</f>
        <v/>
      </c>
      <c r="CD776" s="21" t="str">
        <f ca="1">IFERROR(VLOOKUP(AV776,OFFSET(abbreviation[],0,ColumnLanguage),ColumnAbbreviation,FALSE),"")</f>
        <v/>
      </c>
      <c r="CE776" s="21" t="str">
        <f t="shared" ca="1" si="87"/>
        <v>__</v>
      </c>
      <c r="CF776" s="21" t="str">
        <f ca="1">IFERROR(VLOOKUP(AX776,OFFSET(abbreviation[],0,ColumnLanguage),ColumnAbbreviation,FALSE),"")</f>
        <v/>
      </c>
      <c r="CG776" s="21" t="str">
        <f ca="1">IFERROR(VLOOKUP(AZ776,OFFSET(abbreviation[],0,ColumnLanguage),ColumnAbbreviation,FALSE),"")</f>
        <v/>
      </c>
      <c r="CH776" s="21" t="str">
        <f ca="1">IFERROR(VLOOKUP(BB776,OFFSET(abbreviation[],0,ColumnLanguage),ColumnAbbreviation,FALSE),"")</f>
        <v/>
      </c>
      <c r="CI776" s="21" t="str">
        <f ca="1">IFERROR(VLOOKUP(BD776,OFFSET(abbreviation[],0,ColumnLanguage),ColumnAbbreviation,FALSE),"")</f>
        <v/>
      </c>
      <c r="CJ776" s="21" t="str">
        <f ca="1">IFERROR(VLOOKUP(BF776,OFFSET(abbreviation[],0,ColumnLanguage),ColumnAbbreviation,FALSE),"")</f>
        <v/>
      </c>
      <c r="CK776" s="21" t="str">
        <f t="shared" ca="1" si="88"/>
        <v/>
      </c>
      <c r="CL776" s="21" t="str">
        <f t="shared" si="89"/>
        <v/>
      </c>
      <c r="CM776" s="52"/>
      <c r="CN776" s="57" t="str">
        <f t="shared" si="90"/>
        <v/>
      </c>
    </row>
    <row r="777" spans="17:92" x14ac:dyDescent="0.25">
      <c r="Q777" s="13"/>
      <c r="T777" s="12"/>
      <c r="V777" s="60"/>
      <c r="X777" s="61"/>
      <c r="AB777" s="60"/>
      <c r="AD777" s="61"/>
      <c r="AN777" s="54"/>
      <c r="AS777" s="15"/>
      <c r="BH777" s="52"/>
      <c r="BI777" s="21" t="str">
        <f ca="1">IFERROR(VLOOKUP(C777,OFFSET(abbreviation[],0,ColumnLanguage),ColumnAbbreviation,FALSE),"")</f>
        <v/>
      </c>
      <c r="BJ777" s="21" t="str">
        <f ca="1">IFERROR(VLOOKUP(E777,OFFSET(abbreviation[],0,ColumnLanguage),ColumnAbbreviation,FALSE),"")</f>
        <v/>
      </c>
      <c r="BK777" s="21" t="str">
        <f ca="1">IFERROR(VLOOKUP(G777,OFFSET(abbreviation[],0,ColumnLanguage),ColumnAbbreviation,FALSE),"")</f>
        <v/>
      </c>
      <c r="BL777" s="21" t="str">
        <f ca="1">IFERROR(VLOOKUP(I777,OFFSET(abbreviation[],0,ColumnLanguage),ColumnAbbreviation,FALSE),"")</f>
        <v/>
      </c>
      <c r="BM777" s="21" t="str">
        <f ca="1">IFERROR(VLOOKUP(K777,OFFSET(abbreviation[],0,ColumnLanguage),ColumnAbbreviation,FALSE),"")</f>
        <v/>
      </c>
      <c r="BN777" s="21" t="str">
        <f t="shared" ca="1" si="84"/>
        <v/>
      </c>
      <c r="BO777" s="21" t="str">
        <f ca="1">IFERROR(VLOOKUP(N777,OFFSET(abbreviation[],0,ColumnLanguage),ColumnAbbreviation,FALSE),"")</f>
        <v/>
      </c>
      <c r="BP777" s="21" t="str">
        <f ca="1">IFERROR(VLOOKUP(P777,OFFSET(abbreviation[],0,ColumnLanguage),ColumnAbbreviation,FALSE),"")</f>
        <v/>
      </c>
      <c r="BQ777" s="21" t="str">
        <f ca="1">IFERROR(VLOOKUP(T777,OFFSET(abbreviation[],0,ColumnLanguage),ColumnAbbreviation,FALSE),"")</f>
        <v/>
      </c>
      <c r="BR777" s="21" t="str">
        <f ca="1">IFERROR(VLOOKUP(V777,OFFSET(abbreviation[],0,ColumnLanguage),ColumnAbbreviation,FALSE),"")</f>
        <v/>
      </c>
      <c r="BS777" s="21" t="str">
        <f ca="1">IFERROR(VLOOKUP(Z777,OFFSET(abbreviation[],0,ColumnLanguage),ColumnAbbreviation,FALSE),"")</f>
        <v/>
      </c>
      <c r="BT777" s="21" t="str">
        <f ca="1">IFERROR(VLOOKUP(AB777,OFFSET(abbreviation[],0,ColumnLanguage),ColumnAbbreviation,FALSE),"")</f>
        <v/>
      </c>
      <c r="BU777" s="21" t="str">
        <f t="shared" ca="1" si="85"/>
        <v>__</v>
      </c>
      <c r="BV777" s="21" t="str">
        <f ca="1">IFERROR(VLOOKUP(AF777,OFFSET(abbreviation[],0,ColumnLanguage),ColumnAbbreviation,FALSE),"")</f>
        <v/>
      </c>
      <c r="BW777" s="21" t="str">
        <f ca="1">IFERROR(VLOOKUP(AH777,OFFSET(abbreviation[],0,ColumnLanguage),ColumnAbbreviation,FALSE),"")</f>
        <v/>
      </c>
      <c r="BX777" s="21" t="str">
        <f ca="1">IFERROR(VLOOKUP(AJ777,OFFSET(abbreviation[],0,ColumnLanguage),ColumnAbbreviation,FALSE),"")</f>
        <v/>
      </c>
      <c r="BY777" s="21" t="str">
        <f ca="1">IFERROR(VLOOKUP(AL777,OFFSET(abbreviation[],0,ColumnLanguage),ColumnAbbreviation,FALSE),"")</f>
        <v/>
      </c>
      <c r="BZ777" s="21" t="str">
        <f t="shared" ca="1" si="86"/>
        <v>_</v>
      </c>
      <c r="CA777" s="21" t="str">
        <f ca="1">IFERROR(VLOOKUP(AP777,OFFSET(abbreviation[],0,ColumnLanguage),ColumnAbbreviation,FALSE),"")</f>
        <v/>
      </c>
      <c r="CB777" s="21" t="str">
        <f ca="1">IFERROR(VLOOKUP(AR777,OFFSET(abbreviation[],0,ColumnLanguage),ColumnAbbreviation,FALSE),"")</f>
        <v/>
      </c>
      <c r="CC777" s="21" t="str">
        <f ca="1">IFERROR(VLOOKUP(AT777,OFFSET(abbreviation[],0,ColumnLanguage),ColumnAbbreviation,FALSE),"")</f>
        <v/>
      </c>
      <c r="CD777" s="21" t="str">
        <f ca="1">IFERROR(VLOOKUP(AV777,OFFSET(abbreviation[],0,ColumnLanguage),ColumnAbbreviation,FALSE),"")</f>
        <v/>
      </c>
      <c r="CE777" s="21" t="str">
        <f t="shared" ca="1" si="87"/>
        <v>__</v>
      </c>
      <c r="CF777" s="21" t="str">
        <f ca="1">IFERROR(VLOOKUP(AX777,OFFSET(abbreviation[],0,ColumnLanguage),ColumnAbbreviation,FALSE),"")</f>
        <v/>
      </c>
      <c r="CG777" s="21" t="str">
        <f ca="1">IFERROR(VLOOKUP(AZ777,OFFSET(abbreviation[],0,ColumnLanguage),ColumnAbbreviation,FALSE),"")</f>
        <v/>
      </c>
      <c r="CH777" s="21" t="str">
        <f ca="1">IFERROR(VLOOKUP(BB777,OFFSET(abbreviation[],0,ColumnLanguage),ColumnAbbreviation,FALSE),"")</f>
        <v/>
      </c>
      <c r="CI777" s="21" t="str">
        <f ca="1">IFERROR(VLOOKUP(BD777,OFFSET(abbreviation[],0,ColumnLanguage),ColumnAbbreviation,FALSE),"")</f>
        <v/>
      </c>
      <c r="CJ777" s="21" t="str">
        <f ca="1">IFERROR(VLOOKUP(BF777,OFFSET(abbreviation[],0,ColumnLanguage),ColumnAbbreviation,FALSE),"")</f>
        <v/>
      </c>
      <c r="CK777" s="21" t="str">
        <f t="shared" ca="1" si="88"/>
        <v/>
      </c>
      <c r="CL777" s="21" t="str">
        <f t="shared" si="89"/>
        <v/>
      </c>
      <c r="CM777" s="52"/>
      <c r="CN777" s="57" t="str">
        <f t="shared" si="90"/>
        <v/>
      </c>
    </row>
    <row r="778" spans="17:92" x14ac:dyDescent="0.25">
      <c r="Q778" s="13"/>
      <c r="T778" s="12"/>
      <c r="V778" s="60"/>
      <c r="X778" s="61"/>
      <c r="AB778" s="60"/>
      <c r="AD778" s="61"/>
      <c r="AN778" s="54"/>
      <c r="AS778" s="15"/>
      <c r="BH778" s="52"/>
      <c r="BI778" s="21" t="str">
        <f ca="1">IFERROR(VLOOKUP(C778,OFFSET(abbreviation[],0,ColumnLanguage),ColumnAbbreviation,FALSE),"")</f>
        <v/>
      </c>
      <c r="BJ778" s="21" t="str">
        <f ca="1">IFERROR(VLOOKUP(E778,OFFSET(abbreviation[],0,ColumnLanguage),ColumnAbbreviation,FALSE),"")</f>
        <v/>
      </c>
      <c r="BK778" s="21" t="str">
        <f ca="1">IFERROR(VLOOKUP(G778,OFFSET(abbreviation[],0,ColumnLanguage),ColumnAbbreviation,FALSE),"")</f>
        <v/>
      </c>
      <c r="BL778" s="21" t="str">
        <f ca="1">IFERROR(VLOOKUP(I778,OFFSET(abbreviation[],0,ColumnLanguage),ColumnAbbreviation,FALSE),"")</f>
        <v/>
      </c>
      <c r="BM778" s="21" t="str">
        <f ca="1">IFERROR(VLOOKUP(K778,OFFSET(abbreviation[],0,ColumnLanguage),ColumnAbbreviation,FALSE),"")</f>
        <v/>
      </c>
      <c r="BN778" s="21" t="str">
        <f t="shared" ca="1" si="84"/>
        <v/>
      </c>
      <c r="BO778" s="21" t="str">
        <f ca="1">IFERROR(VLOOKUP(N778,OFFSET(abbreviation[],0,ColumnLanguage),ColumnAbbreviation,FALSE),"")</f>
        <v/>
      </c>
      <c r="BP778" s="21" t="str">
        <f ca="1">IFERROR(VLOOKUP(P778,OFFSET(abbreviation[],0,ColumnLanguage),ColumnAbbreviation,FALSE),"")</f>
        <v/>
      </c>
      <c r="BQ778" s="21" t="str">
        <f ca="1">IFERROR(VLOOKUP(T778,OFFSET(abbreviation[],0,ColumnLanguage),ColumnAbbreviation,FALSE),"")</f>
        <v/>
      </c>
      <c r="BR778" s="21" t="str">
        <f ca="1">IFERROR(VLOOKUP(V778,OFFSET(abbreviation[],0,ColumnLanguage),ColumnAbbreviation,FALSE),"")</f>
        <v/>
      </c>
      <c r="BS778" s="21" t="str">
        <f ca="1">IFERROR(VLOOKUP(Z778,OFFSET(abbreviation[],0,ColumnLanguage),ColumnAbbreviation,FALSE),"")</f>
        <v/>
      </c>
      <c r="BT778" s="21" t="str">
        <f ca="1">IFERROR(VLOOKUP(AB778,OFFSET(abbreviation[],0,ColumnLanguage),ColumnAbbreviation,FALSE),"")</f>
        <v/>
      </c>
      <c r="BU778" s="21" t="str">
        <f t="shared" ca="1" si="85"/>
        <v>__</v>
      </c>
      <c r="BV778" s="21" t="str">
        <f ca="1">IFERROR(VLOOKUP(AF778,OFFSET(abbreviation[],0,ColumnLanguage),ColumnAbbreviation,FALSE),"")</f>
        <v/>
      </c>
      <c r="BW778" s="21" t="str">
        <f ca="1">IFERROR(VLOOKUP(AH778,OFFSET(abbreviation[],0,ColumnLanguage),ColumnAbbreviation,FALSE),"")</f>
        <v/>
      </c>
      <c r="BX778" s="21" t="str">
        <f ca="1">IFERROR(VLOOKUP(AJ778,OFFSET(abbreviation[],0,ColumnLanguage),ColumnAbbreviation,FALSE),"")</f>
        <v/>
      </c>
      <c r="BY778" s="21" t="str">
        <f ca="1">IFERROR(VLOOKUP(AL778,OFFSET(abbreviation[],0,ColumnLanguage),ColumnAbbreviation,FALSE),"")</f>
        <v/>
      </c>
      <c r="BZ778" s="21" t="str">
        <f t="shared" ca="1" si="86"/>
        <v>_</v>
      </c>
      <c r="CA778" s="21" t="str">
        <f ca="1">IFERROR(VLOOKUP(AP778,OFFSET(abbreviation[],0,ColumnLanguage),ColumnAbbreviation,FALSE),"")</f>
        <v/>
      </c>
      <c r="CB778" s="21" t="str">
        <f ca="1">IFERROR(VLOOKUP(AR778,OFFSET(abbreviation[],0,ColumnLanguage),ColumnAbbreviation,FALSE),"")</f>
        <v/>
      </c>
      <c r="CC778" s="21" t="str">
        <f ca="1">IFERROR(VLOOKUP(AT778,OFFSET(abbreviation[],0,ColumnLanguage),ColumnAbbreviation,FALSE),"")</f>
        <v/>
      </c>
      <c r="CD778" s="21" t="str">
        <f ca="1">IFERROR(VLOOKUP(AV778,OFFSET(abbreviation[],0,ColumnLanguage),ColumnAbbreviation,FALSE),"")</f>
        <v/>
      </c>
      <c r="CE778" s="21" t="str">
        <f t="shared" ca="1" si="87"/>
        <v>__</v>
      </c>
      <c r="CF778" s="21" t="str">
        <f ca="1">IFERROR(VLOOKUP(AX778,OFFSET(abbreviation[],0,ColumnLanguage),ColumnAbbreviation,FALSE),"")</f>
        <v/>
      </c>
      <c r="CG778" s="21" t="str">
        <f ca="1">IFERROR(VLOOKUP(AZ778,OFFSET(abbreviation[],0,ColumnLanguage),ColumnAbbreviation,FALSE),"")</f>
        <v/>
      </c>
      <c r="CH778" s="21" t="str">
        <f ca="1">IFERROR(VLOOKUP(BB778,OFFSET(abbreviation[],0,ColumnLanguage),ColumnAbbreviation,FALSE),"")</f>
        <v/>
      </c>
      <c r="CI778" s="21" t="str">
        <f ca="1">IFERROR(VLOOKUP(BD778,OFFSET(abbreviation[],0,ColumnLanguage),ColumnAbbreviation,FALSE),"")</f>
        <v/>
      </c>
      <c r="CJ778" s="21" t="str">
        <f ca="1">IFERROR(VLOOKUP(BF778,OFFSET(abbreviation[],0,ColumnLanguage),ColumnAbbreviation,FALSE),"")</f>
        <v/>
      </c>
      <c r="CK778" s="21" t="str">
        <f t="shared" ca="1" si="88"/>
        <v/>
      </c>
      <c r="CL778" s="21" t="str">
        <f t="shared" si="89"/>
        <v/>
      </c>
      <c r="CM778" s="52"/>
      <c r="CN778" s="57" t="str">
        <f t="shared" si="90"/>
        <v/>
      </c>
    </row>
    <row r="779" spans="17:92" x14ac:dyDescent="0.25">
      <c r="Q779" s="13"/>
      <c r="T779" s="12"/>
      <c r="V779" s="60"/>
      <c r="X779" s="61"/>
      <c r="AB779" s="60"/>
      <c r="AD779" s="61"/>
      <c r="AN779" s="54"/>
      <c r="AS779" s="15"/>
      <c r="BH779" s="52"/>
      <c r="BI779" s="21" t="str">
        <f ca="1">IFERROR(VLOOKUP(C779,OFFSET(abbreviation[],0,ColumnLanguage),ColumnAbbreviation,FALSE),"")</f>
        <v/>
      </c>
      <c r="BJ779" s="21" t="str">
        <f ca="1">IFERROR(VLOOKUP(E779,OFFSET(abbreviation[],0,ColumnLanguage),ColumnAbbreviation,FALSE),"")</f>
        <v/>
      </c>
      <c r="BK779" s="21" t="str">
        <f ca="1">IFERROR(VLOOKUP(G779,OFFSET(abbreviation[],0,ColumnLanguage),ColumnAbbreviation,FALSE),"")</f>
        <v/>
      </c>
      <c r="BL779" s="21" t="str">
        <f ca="1">IFERROR(VLOOKUP(I779,OFFSET(abbreviation[],0,ColumnLanguage),ColumnAbbreviation,FALSE),"")</f>
        <v/>
      </c>
      <c r="BM779" s="21" t="str">
        <f ca="1">IFERROR(VLOOKUP(K779,OFFSET(abbreviation[],0,ColumnLanguage),ColumnAbbreviation,FALSE),"")</f>
        <v/>
      </c>
      <c r="BN779" s="21" t="str">
        <f t="shared" ca="1" si="84"/>
        <v/>
      </c>
      <c r="BO779" s="21" t="str">
        <f ca="1">IFERROR(VLOOKUP(N779,OFFSET(abbreviation[],0,ColumnLanguage),ColumnAbbreviation,FALSE),"")</f>
        <v/>
      </c>
      <c r="BP779" s="21" t="str">
        <f ca="1">IFERROR(VLOOKUP(P779,OFFSET(abbreviation[],0,ColumnLanguage),ColumnAbbreviation,FALSE),"")</f>
        <v/>
      </c>
      <c r="BQ779" s="21" t="str">
        <f ca="1">IFERROR(VLOOKUP(T779,OFFSET(abbreviation[],0,ColumnLanguage),ColumnAbbreviation,FALSE),"")</f>
        <v/>
      </c>
      <c r="BR779" s="21" t="str">
        <f ca="1">IFERROR(VLOOKUP(V779,OFFSET(abbreviation[],0,ColumnLanguage),ColumnAbbreviation,FALSE),"")</f>
        <v/>
      </c>
      <c r="BS779" s="21" t="str">
        <f ca="1">IFERROR(VLOOKUP(Z779,OFFSET(abbreviation[],0,ColumnLanguage),ColumnAbbreviation,FALSE),"")</f>
        <v/>
      </c>
      <c r="BT779" s="21" t="str">
        <f ca="1">IFERROR(VLOOKUP(AB779,OFFSET(abbreviation[],0,ColumnLanguage),ColumnAbbreviation,FALSE),"")</f>
        <v/>
      </c>
      <c r="BU779" s="21" t="str">
        <f t="shared" ca="1" si="85"/>
        <v>__</v>
      </c>
      <c r="BV779" s="21" t="str">
        <f ca="1">IFERROR(VLOOKUP(AF779,OFFSET(abbreviation[],0,ColumnLanguage),ColumnAbbreviation,FALSE),"")</f>
        <v/>
      </c>
      <c r="BW779" s="21" t="str">
        <f ca="1">IFERROR(VLOOKUP(AH779,OFFSET(abbreviation[],0,ColumnLanguage),ColumnAbbreviation,FALSE),"")</f>
        <v/>
      </c>
      <c r="BX779" s="21" t="str">
        <f ca="1">IFERROR(VLOOKUP(AJ779,OFFSET(abbreviation[],0,ColumnLanguage),ColumnAbbreviation,FALSE),"")</f>
        <v/>
      </c>
      <c r="BY779" s="21" t="str">
        <f ca="1">IFERROR(VLOOKUP(AL779,OFFSET(abbreviation[],0,ColumnLanguage),ColumnAbbreviation,FALSE),"")</f>
        <v/>
      </c>
      <c r="BZ779" s="21" t="str">
        <f t="shared" ca="1" si="86"/>
        <v>_</v>
      </c>
      <c r="CA779" s="21" t="str">
        <f ca="1">IFERROR(VLOOKUP(AP779,OFFSET(abbreviation[],0,ColumnLanguage),ColumnAbbreviation,FALSE),"")</f>
        <v/>
      </c>
      <c r="CB779" s="21" t="str">
        <f ca="1">IFERROR(VLOOKUP(AR779,OFFSET(abbreviation[],0,ColumnLanguage),ColumnAbbreviation,FALSE),"")</f>
        <v/>
      </c>
      <c r="CC779" s="21" t="str">
        <f ca="1">IFERROR(VLOOKUP(AT779,OFFSET(abbreviation[],0,ColumnLanguage),ColumnAbbreviation,FALSE),"")</f>
        <v/>
      </c>
      <c r="CD779" s="21" t="str">
        <f ca="1">IFERROR(VLOOKUP(AV779,OFFSET(abbreviation[],0,ColumnLanguage),ColumnAbbreviation,FALSE),"")</f>
        <v/>
      </c>
      <c r="CE779" s="21" t="str">
        <f t="shared" ca="1" si="87"/>
        <v>__</v>
      </c>
      <c r="CF779" s="21" t="str">
        <f ca="1">IFERROR(VLOOKUP(AX779,OFFSET(abbreviation[],0,ColumnLanguage),ColumnAbbreviation,FALSE),"")</f>
        <v/>
      </c>
      <c r="CG779" s="21" t="str">
        <f ca="1">IFERROR(VLOOKUP(AZ779,OFFSET(abbreviation[],0,ColumnLanguage),ColumnAbbreviation,FALSE),"")</f>
        <v/>
      </c>
      <c r="CH779" s="21" t="str">
        <f ca="1">IFERROR(VLOOKUP(BB779,OFFSET(abbreviation[],0,ColumnLanguage),ColumnAbbreviation,FALSE),"")</f>
        <v/>
      </c>
      <c r="CI779" s="21" t="str">
        <f ca="1">IFERROR(VLOOKUP(BD779,OFFSET(abbreviation[],0,ColumnLanguage),ColumnAbbreviation,FALSE),"")</f>
        <v/>
      </c>
      <c r="CJ779" s="21" t="str">
        <f ca="1">IFERROR(VLOOKUP(BF779,OFFSET(abbreviation[],0,ColumnLanguage),ColumnAbbreviation,FALSE),"")</f>
        <v/>
      </c>
      <c r="CK779" s="21" t="str">
        <f t="shared" ca="1" si="88"/>
        <v/>
      </c>
      <c r="CL779" s="21" t="str">
        <f t="shared" si="89"/>
        <v/>
      </c>
      <c r="CM779" s="52"/>
      <c r="CN779" s="57" t="str">
        <f t="shared" si="90"/>
        <v/>
      </c>
    </row>
    <row r="780" spans="17:92" x14ac:dyDescent="0.25">
      <c r="Q780" s="13"/>
      <c r="T780" s="12"/>
      <c r="V780" s="60"/>
      <c r="X780" s="61"/>
      <c r="AB780" s="60"/>
      <c r="AD780" s="61"/>
      <c r="AN780" s="54"/>
      <c r="AS780" s="15"/>
      <c r="BH780" s="52"/>
      <c r="BI780" s="21" t="str">
        <f ca="1">IFERROR(VLOOKUP(C780,OFFSET(abbreviation[],0,ColumnLanguage),ColumnAbbreviation,FALSE),"")</f>
        <v/>
      </c>
      <c r="BJ780" s="21" t="str">
        <f ca="1">IFERROR(VLOOKUP(E780,OFFSET(abbreviation[],0,ColumnLanguage),ColumnAbbreviation,FALSE),"")</f>
        <v/>
      </c>
      <c r="BK780" s="21" t="str">
        <f ca="1">IFERROR(VLOOKUP(G780,OFFSET(abbreviation[],0,ColumnLanguage),ColumnAbbreviation,FALSE),"")</f>
        <v/>
      </c>
      <c r="BL780" s="21" t="str">
        <f ca="1">IFERROR(VLOOKUP(I780,OFFSET(abbreviation[],0,ColumnLanguage),ColumnAbbreviation,FALSE),"")</f>
        <v/>
      </c>
      <c r="BM780" s="21" t="str">
        <f ca="1">IFERROR(VLOOKUP(K780,OFFSET(abbreviation[],0,ColumnLanguage),ColumnAbbreviation,FALSE),"")</f>
        <v/>
      </c>
      <c r="BN780" s="21" t="str">
        <f t="shared" ca="1" si="84"/>
        <v/>
      </c>
      <c r="BO780" s="21" t="str">
        <f ca="1">IFERROR(VLOOKUP(N780,OFFSET(abbreviation[],0,ColumnLanguage),ColumnAbbreviation,FALSE),"")</f>
        <v/>
      </c>
      <c r="BP780" s="21" t="str">
        <f ca="1">IFERROR(VLOOKUP(P780,OFFSET(abbreviation[],0,ColumnLanguage),ColumnAbbreviation,FALSE),"")</f>
        <v/>
      </c>
      <c r="BQ780" s="21" t="str">
        <f ca="1">IFERROR(VLOOKUP(T780,OFFSET(abbreviation[],0,ColumnLanguage),ColumnAbbreviation,FALSE),"")</f>
        <v/>
      </c>
      <c r="BR780" s="21" t="str">
        <f ca="1">IFERROR(VLOOKUP(V780,OFFSET(abbreviation[],0,ColumnLanguage),ColumnAbbreviation,FALSE),"")</f>
        <v/>
      </c>
      <c r="BS780" s="21" t="str">
        <f ca="1">IFERROR(VLOOKUP(Z780,OFFSET(abbreviation[],0,ColumnLanguage),ColumnAbbreviation,FALSE),"")</f>
        <v/>
      </c>
      <c r="BT780" s="21" t="str">
        <f ca="1">IFERROR(VLOOKUP(AB780,OFFSET(abbreviation[],0,ColumnLanguage),ColumnAbbreviation,FALSE),"")</f>
        <v/>
      </c>
      <c r="BU780" s="21" t="str">
        <f t="shared" ca="1" si="85"/>
        <v>__</v>
      </c>
      <c r="BV780" s="21" t="str">
        <f ca="1">IFERROR(VLOOKUP(AF780,OFFSET(abbreviation[],0,ColumnLanguage),ColumnAbbreviation,FALSE),"")</f>
        <v/>
      </c>
      <c r="BW780" s="21" t="str">
        <f ca="1">IFERROR(VLOOKUP(AH780,OFFSET(abbreviation[],0,ColumnLanguage),ColumnAbbreviation,FALSE),"")</f>
        <v/>
      </c>
      <c r="BX780" s="21" t="str">
        <f ca="1">IFERROR(VLOOKUP(AJ780,OFFSET(abbreviation[],0,ColumnLanguage),ColumnAbbreviation,FALSE),"")</f>
        <v/>
      </c>
      <c r="BY780" s="21" t="str">
        <f ca="1">IFERROR(VLOOKUP(AL780,OFFSET(abbreviation[],0,ColumnLanguage),ColumnAbbreviation,FALSE),"")</f>
        <v/>
      </c>
      <c r="BZ780" s="21" t="str">
        <f t="shared" ca="1" si="86"/>
        <v>_</v>
      </c>
      <c r="CA780" s="21" t="str">
        <f ca="1">IFERROR(VLOOKUP(AP780,OFFSET(abbreviation[],0,ColumnLanguage),ColumnAbbreviation,FALSE),"")</f>
        <v/>
      </c>
      <c r="CB780" s="21" t="str">
        <f ca="1">IFERROR(VLOOKUP(AR780,OFFSET(abbreviation[],0,ColumnLanguage),ColumnAbbreviation,FALSE),"")</f>
        <v/>
      </c>
      <c r="CC780" s="21" t="str">
        <f ca="1">IFERROR(VLOOKUP(AT780,OFFSET(abbreviation[],0,ColumnLanguage),ColumnAbbreviation,FALSE),"")</f>
        <v/>
      </c>
      <c r="CD780" s="21" t="str">
        <f ca="1">IFERROR(VLOOKUP(AV780,OFFSET(abbreviation[],0,ColumnLanguage),ColumnAbbreviation,FALSE),"")</f>
        <v/>
      </c>
      <c r="CE780" s="21" t="str">
        <f t="shared" ca="1" si="87"/>
        <v>__</v>
      </c>
      <c r="CF780" s="21" t="str">
        <f ca="1">IFERROR(VLOOKUP(AX780,OFFSET(abbreviation[],0,ColumnLanguage),ColumnAbbreviation,FALSE),"")</f>
        <v/>
      </c>
      <c r="CG780" s="21" t="str">
        <f ca="1">IFERROR(VLOOKUP(AZ780,OFFSET(abbreviation[],0,ColumnLanguage),ColumnAbbreviation,FALSE),"")</f>
        <v/>
      </c>
      <c r="CH780" s="21" t="str">
        <f ca="1">IFERROR(VLOOKUP(BB780,OFFSET(abbreviation[],0,ColumnLanguage),ColumnAbbreviation,FALSE),"")</f>
        <v/>
      </c>
      <c r="CI780" s="21" t="str">
        <f ca="1">IFERROR(VLOOKUP(BD780,OFFSET(abbreviation[],0,ColumnLanguage),ColumnAbbreviation,FALSE),"")</f>
        <v/>
      </c>
      <c r="CJ780" s="21" t="str">
        <f ca="1">IFERROR(VLOOKUP(BF780,OFFSET(abbreviation[],0,ColumnLanguage),ColumnAbbreviation,FALSE),"")</f>
        <v/>
      </c>
      <c r="CK780" s="21" t="str">
        <f t="shared" ca="1" si="88"/>
        <v/>
      </c>
      <c r="CL780" s="21" t="str">
        <f t="shared" si="89"/>
        <v/>
      </c>
      <c r="CM780" s="52"/>
      <c r="CN780" s="57" t="str">
        <f t="shared" si="90"/>
        <v/>
      </c>
    </row>
    <row r="781" spans="17:92" x14ac:dyDescent="0.25">
      <c r="Q781" s="13"/>
      <c r="T781" s="12"/>
      <c r="V781" s="60"/>
      <c r="X781" s="61"/>
      <c r="AB781" s="60"/>
      <c r="AD781" s="61"/>
      <c r="AN781" s="54"/>
      <c r="AS781" s="15"/>
      <c r="BH781" s="52"/>
      <c r="BI781" s="21" t="str">
        <f ca="1">IFERROR(VLOOKUP(C781,OFFSET(abbreviation[],0,ColumnLanguage),ColumnAbbreviation,FALSE),"")</f>
        <v/>
      </c>
      <c r="BJ781" s="21" t="str">
        <f ca="1">IFERROR(VLOOKUP(E781,OFFSET(abbreviation[],0,ColumnLanguage),ColumnAbbreviation,FALSE),"")</f>
        <v/>
      </c>
      <c r="BK781" s="21" t="str">
        <f ca="1">IFERROR(VLOOKUP(G781,OFFSET(abbreviation[],0,ColumnLanguage),ColumnAbbreviation,FALSE),"")</f>
        <v/>
      </c>
      <c r="BL781" s="21" t="str">
        <f ca="1">IFERROR(VLOOKUP(I781,OFFSET(abbreviation[],0,ColumnLanguage),ColumnAbbreviation,FALSE),"")</f>
        <v/>
      </c>
      <c r="BM781" s="21" t="str">
        <f ca="1">IFERROR(VLOOKUP(K781,OFFSET(abbreviation[],0,ColumnLanguage),ColumnAbbreviation,FALSE),"")</f>
        <v/>
      </c>
      <c r="BN781" s="21" t="str">
        <f t="shared" ca="1" si="84"/>
        <v/>
      </c>
      <c r="BO781" s="21" t="str">
        <f ca="1">IFERROR(VLOOKUP(N781,OFFSET(abbreviation[],0,ColumnLanguage),ColumnAbbreviation,FALSE),"")</f>
        <v/>
      </c>
      <c r="BP781" s="21" t="str">
        <f ca="1">IFERROR(VLOOKUP(P781,OFFSET(abbreviation[],0,ColumnLanguage),ColumnAbbreviation,FALSE),"")</f>
        <v/>
      </c>
      <c r="BQ781" s="21" t="str">
        <f ca="1">IFERROR(VLOOKUP(T781,OFFSET(abbreviation[],0,ColumnLanguage),ColumnAbbreviation,FALSE),"")</f>
        <v/>
      </c>
      <c r="BR781" s="21" t="str">
        <f ca="1">IFERROR(VLOOKUP(V781,OFFSET(abbreviation[],0,ColumnLanguage),ColumnAbbreviation,FALSE),"")</f>
        <v/>
      </c>
      <c r="BS781" s="21" t="str">
        <f ca="1">IFERROR(VLOOKUP(Z781,OFFSET(abbreviation[],0,ColumnLanguage),ColumnAbbreviation,FALSE),"")</f>
        <v/>
      </c>
      <c r="BT781" s="21" t="str">
        <f ca="1">IFERROR(VLOOKUP(AB781,OFFSET(abbreviation[],0,ColumnLanguage),ColumnAbbreviation,FALSE),"")</f>
        <v/>
      </c>
      <c r="BU781" s="21" t="str">
        <f t="shared" ca="1" si="85"/>
        <v>__</v>
      </c>
      <c r="BV781" s="21" t="str">
        <f ca="1">IFERROR(VLOOKUP(AF781,OFFSET(abbreviation[],0,ColumnLanguage),ColumnAbbreviation,FALSE),"")</f>
        <v/>
      </c>
      <c r="BW781" s="21" t="str">
        <f ca="1">IFERROR(VLOOKUP(AH781,OFFSET(abbreviation[],0,ColumnLanguage),ColumnAbbreviation,FALSE),"")</f>
        <v/>
      </c>
      <c r="BX781" s="21" t="str">
        <f ca="1">IFERROR(VLOOKUP(AJ781,OFFSET(abbreviation[],0,ColumnLanguage),ColumnAbbreviation,FALSE),"")</f>
        <v/>
      </c>
      <c r="BY781" s="21" t="str">
        <f ca="1">IFERROR(VLOOKUP(AL781,OFFSET(abbreviation[],0,ColumnLanguage),ColumnAbbreviation,FALSE),"")</f>
        <v/>
      </c>
      <c r="BZ781" s="21" t="str">
        <f t="shared" ca="1" si="86"/>
        <v>_</v>
      </c>
      <c r="CA781" s="21" t="str">
        <f ca="1">IFERROR(VLOOKUP(AP781,OFFSET(abbreviation[],0,ColumnLanguage),ColumnAbbreviation,FALSE),"")</f>
        <v/>
      </c>
      <c r="CB781" s="21" t="str">
        <f ca="1">IFERROR(VLOOKUP(AR781,OFFSET(abbreviation[],0,ColumnLanguage),ColumnAbbreviation,FALSE),"")</f>
        <v/>
      </c>
      <c r="CC781" s="21" t="str">
        <f ca="1">IFERROR(VLOOKUP(AT781,OFFSET(abbreviation[],0,ColumnLanguage),ColumnAbbreviation,FALSE),"")</f>
        <v/>
      </c>
      <c r="CD781" s="21" t="str">
        <f ca="1">IFERROR(VLOOKUP(AV781,OFFSET(abbreviation[],0,ColumnLanguage),ColumnAbbreviation,FALSE),"")</f>
        <v/>
      </c>
      <c r="CE781" s="21" t="str">
        <f t="shared" ca="1" si="87"/>
        <v>__</v>
      </c>
      <c r="CF781" s="21" t="str">
        <f ca="1">IFERROR(VLOOKUP(AX781,OFFSET(abbreviation[],0,ColumnLanguage),ColumnAbbreviation,FALSE),"")</f>
        <v/>
      </c>
      <c r="CG781" s="21" t="str">
        <f ca="1">IFERROR(VLOOKUP(AZ781,OFFSET(abbreviation[],0,ColumnLanguage),ColumnAbbreviation,FALSE),"")</f>
        <v/>
      </c>
      <c r="CH781" s="21" t="str">
        <f ca="1">IFERROR(VLOOKUP(BB781,OFFSET(abbreviation[],0,ColumnLanguage),ColumnAbbreviation,FALSE),"")</f>
        <v/>
      </c>
      <c r="CI781" s="21" t="str">
        <f ca="1">IFERROR(VLOOKUP(BD781,OFFSET(abbreviation[],0,ColumnLanguage),ColumnAbbreviation,FALSE),"")</f>
        <v/>
      </c>
      <c r="CJ781" s="21" t="str">
        <f ca="1">IFERROR(VLOOKUP(BF781,OFFSET(abbreviation[],0,ColumnLanguage),ColumnAbbreviation,FALSE),"")</f>
        <v/>
      </c>
      <c r="CK781" s="21" t="str">
        <f t="shared" ca="1" si="88"/>
        <v/>
      </c>
      <c r="CL781" s="21" t="str">
        <f t="shared" si="89"/>
        <v/>
      </c>
      <c r="CM781" s="52"/>
      <c r="CN781" s="57" t="str">
        <f t="shared" si="90"/>
        <v/>
      </c>
    </row>
    <row r="782" spans="17:92" x14ac:dyDescent="0.25">
      <c r="Q782" s="13"/>
      <c r="T782" s="12"/>
      <c r="V782" s="60"/>
      <c r="X782" s="61"/>
      <c r="AB782" s="60"/>
      <c r="AD782" s="61"/>
      <c r="AN782" s="54"/>
      <c r="AS782" s="15"/>
      <c r="BH782" s="52"/>
      <c r="BI782" s="21" t="str">
        <f ca="1">IFERROR(VLOOKUP(C782,OFFSET(abbreviation[],0,ColumnLanguage),ColumnAbbreviation,FALSE),"")</f>
        <v/>
      </c>
      <c r="BJ782" s="21" t="str">
        <f ca="1">IFERROR(VLOOKUP(E782,OFFSET(abbreviation[],0,ColumnLanguage),ColumnAbbreviation,FALSE),"")</f>
        <v/>
      </c>
      <c r="BK782" s="21" t="str">
        <f ca="1">IFERROR(VLOOKUP(G782,OFFSET(abbreviation[],0,ColumnLanguage),ColumnAbbreviation,FALSE),"")</f>
        <v/>
      </c>
      <c r="BL782" s="21" t="str">
        <f ca="1">IFERROR(VLOOKUP(I782,OFFSET(abbreviation[],0,ColumnLanguage),ColumnAbbreviation,FALSE),"")</f>
        <v/>
      </c>
      <c r="BM782" s="21" t="str">
        <f ca="1">IFERROR(VLOOKUP(K782,OFFSET(abbreviation[],0,ColumnLanguage),ColumnAbbreviation,FALSE),"")</f>
        <v/>
      </c>
      <c r="BN782" s="21" t="str">
        <f t="shared" ca="1" si="84"/>
        <v/>
      </c>
      <c r="BO782" s="21" t="str">
        <f ca="1">IFERROR(VLOOKUP(N782,OFFSET(abbreviation[],0,ColumnLanguage),ColumnAbbreviation,FALSE),"")</f>
        <v/>
      </c>
      <c r="BP782" s="21" t="str">
        <f ca="1">IFERROR(VLOOKUP(P782,OFFSET(abbreviation[],0,ColumnLanguage),ColumnAbbreviation,FALSE),"")</f>
        <v/>
      </c>
      <c r="BQ782" s="21" t="str">
        <f ca="1">IFERROR(VLOOKUP(T782,OFFSET(abbreviation[],0,ColumnLanguage),ColumnAbbreviation,FALSE),"")</f>
        <v/>
      </c>
      <c r="BR782" s="21" t="str">
        <f ca="1">IFERROR(VLOOKUP(V782,OFFSET(abbreviation[],0,ColumnLanguage),ColumnAbbreviation,FALSE),"")</f>
        <v/>
      </c>
      <c r="BS782" s="21" t="str">
        <f ca="1">IFERROR(VLOOKUP(Z782,OFFSET(abbreviation[],0,ColumnLanguage),ColumnAbbreviation,FALSE),"")</f>
        <v/>
      </c>
      <c r="BT782" s="21" t="str">
        <f ca="1">IFERROR(VLOOKUP(AB782,OFFSET(abbreviation[],0,ColumnLanguage),ColumnAbbreviation,FALSE),"")</f>
        <v/>
      </c>
      <c r="BU782" s="21" t="str">
        <f t="shared" ca="1" si="85"/>
        <v>__</v>
      </c>
      <c r="BV782" s="21" t="str">
        <f ca="1">IFERROR(VLOOKUP(AF782,OFFSET(abbreviation[],0,ColumnLanguage),ColumnAbbreviation,FALSE),"")</f>
        <v/>
      </c>
      <c r="BW782" s="21" t="str">
        <f ca="1">IFERROR(VLOOKUP(AH782,OFFSET(abbreviation[],0,ColumnLanguage),ColumnAbbreviation,FALSE),"")</f>
        <v/>
      </c>
      <c r="BX782" s="21" t="str">
        <f ca="1">IFERROR(VLOOKUP(AJ782,OFFSET(abbreviation[],0,ColumnLanguage),ColumnAbbreviation,FALSE),"")</f>
        <v/>
      </c>
      <c r="BY782" s="21" t="str">
        <f ca="1">IFERROR(VLOOKUP(AL782,OFFSET(abbreviation[],0,ColumnLanguage),ColumnAbbreviation,FALSE),"")</f>
        <v/>
      </c>
      <c r="BZ782" s="21" t="str">
        <f t="shared" ca="1" si="86"/>
        <v>_</v>
      </c>
      <c r="CA782" s="21" t="str">
        <f ca="1">IFERROR(VLOOKUP(AP782,OFFSET(abbreviation[],0,ColumnLanguage),ColumnAbbreviation,FALSE),"")</f>
        <v/>
      </c>
      <c r="CB782" s="21" t="str">
        <f ca="1">IFERROR(VLOOKUP(AR782,OFFSET(abbreviation[],0,ColumnLanguage),ColumnAbbreviation,FALSE),"")</f>
        <v/>
      </c>
      <c r="CC782" s="21" t="str">
        <f ca="1">IFERROR(VLOOKUP(AT782,OFFSET(abbreviation[],0,ColumnLanguage),ColumnAbbreviation,FALSE),"")</f>
        <v/>
      </c>
      <c r="CD782" s="21" t="str">
        <f ca="1">IFERROR(VLOOKUP(AV782,OFFSET(abbreviation[],0,ColumnLanguage),ColumnAbbreviation,FALSE),"")</f>
        <v/>
      </c>
      <c r="CE782" s="21" t="str">
        <f t="shared" ca="1" si="87"/>
        <v>__</v>
      </c>
      <c r="CF782" s="21" t="str">
        <f ca="1">IFERROR(VLOOKUP(AX782,OFFSET(abbreviation[],0,ColumnLanguage),ColumnAbbreviation,FALSE),"")</f>
        <v/>
      </c>
      <c r="CG782" s="21" t="str">
        <f ca="1">IFERROR(VLOOKUP(AZ782,OFFSET(abbreviation[],0,ColumnLanguage),ColumnAbbreviation,FALSE),"")</f>
        <v/>
      </c>
      <c r="CH782" s="21" t="str">
        <f ca="1">IFERROR(VLOOKUP(BB782,OFFSET(abbreviation[],0,ColumnLanguage),ColumnAbbreviation,FALSE),"")</f>
        <v/>
      </c>
      <c r="CI782" s="21" t="str">
        <f ca="1">IFERROR(VLOOKUP(BD782,OFFSET(abbreviation[],0,ColumnLanguage),ColumnAbbreviation,FALSE),"")</f>
        <v/>
      </c>
      <c r="CJ782" s="21" t="str">
        <f ca="1">IFERROR(VLOOKUP(BF782,OFFSET(abbreviation[],0,ColumnLanguage),ColumnAbbreviation,FALSE),"")</f>
        <v/>
      </c>
      <c r="CK782" s="21" t="str">
        <f t="shared" ca="1" si="88"/>
        <v/>
      </c>
      <c r="CL782" s="21" t="str">
        <f t="shared" si="89"/>
        <v/>
      </c>
      <c r="CM782" s="52"/>
      <c r="CN782" s="57" t="str">
        <f t="shared" si="90"/>
        <v/>
      </c>
    </row>
    <row r="783" spans="17:92" x14ac:dyDescent="0.25">
      <c r="Q783" s="13"/>
      <c r="T783" s="12"/>
      <c r="V783" s="60"/>
      <c r="X783" s="61"/>
      <c r="AB783" s="60"/>
      <c r="AD783" s="61"/>
      <c r="AN783" s="54"/>
      <c r="AS783" s="15"/>
      <c r="BH783" s="52"/>
      <c r="BI783" s="21" t="str">
        <f ca="1">IFERROR(VLOOKUP(C783,OFFSET(abbreviation[],0,ColumnLanguage),ColumnAbbreviation,FALSE),"")</f>
        <v/>
      </c>
      <c r="BJ783" s="21" t="str">
        <f ca="1">IFERROR(VLOOKUP(E783,OFFSET(abbreviation[],0,ColumnLanguage),ColumnAbbreviation,FALSE),"")</f>
        <v/>
      </c>
      <c r="BK783" s="21" t="str">
        <f ca="1">IFERROR(VLOOKUP(G783,OFFSET(abbreviation[],0,ColumnLanguage),ColumnAbbreviation,FALSE),"")</f>
        <v/>
      </c>
      <c r="BL783" s="21" t="str">
        <f ca="1">IFERROR(VLOOKUP(I783,OFFSET(abbreviation[],0,ColumnLanguage),ColumnAbbreviation,FALSE),"")</f>
        <v/>
      </c>
      <c r="BM783" s="21" t="str">
        <f ca="1">IFERROR(VLOOKUP(K783,OFFSET(abbreviation[],0,ColumnLanguage),ColumnAbbreviation,FALSE),"")</f>
        <v/>
      </c>
      <c r="BN783" s="21" t="str">
        <f t="shared" ca="1" si="84"/>
        <v/>
      </c>
      <c r="BO783" s="21" t="str">
        <f ca="1">IFERROR(VLOOKUP(N783,OFFSET(abbreviation[],0,ColumnLanguage),ColumnAbbreviation,FALSE),"")</f>
        <v/>
      </c>
      <c r="BP783" s="21" t="str">
        <f ca="1">IFERROR(VLOOKUP(P783,OFFSET(abbreviation[],0,ColumnLanguage),ColumnAbbreviation,FALSE),"")</f>
        <v/>
      </c>
      <c r="BQ783" s="21" t="str">
        <f ca="1">IFERROR(VLOOKUP(T783,OFFSET(abbreviation[],0,ColumnLanguage),ColumnAbbreviation,FALSE),"")</f>
        <v/>
      </c>
      <c r="BR783" s="21" t="str">
        <f ca="1">IFERROR(VLOOKUP(V783,OFFSET(abbreviation[],0,ColumnLanguage),ColumnAbbreviation,FALSE),"")</f>
        <v/>
      </c>
      <c r="BS783" s="21" t="str">
        <f ca="1">IFERROR(VLOOKUP(Z783,OFFSET(abbreviation[],0,ColumnLanguage),ColumnAbbreviation,FALSE),"")</f>
        <v/>
      </c>
      <c r="BT783" s="21" t="str">
        <f ca="1">IFERROR(VLOOKUP(AB783,OFFSET(abbreviation[],0,ColumnLanguage),ColumnAbbreviation,FALSE),"")</f>
        <v/>
      </c>
      <c r="BU783" s="21" t="str">
        <f t="shared" ca="1" si="85"/>
        <v>__</v>
      </c>
      <c r="BV783" s="21" t="str">
        <f ca="1">IFERROR(VLOOKUP(AF783,OFFSET(abbreviation[],0,ColumnLanguage),ColumnAbbreviation,FALSE),"")</f>
        <v/>
      </c>
      <c r="BW783" s="21" t="str">
        <f ca="1">IFERROR(VLOOKUP(AH783,OFFSET(abbreviation[],0,ColumnLanguage),ColumnAbbreviation,FALSE),"")</f>
        <v/>
      </c>
      <c r="BX783" s="21" t="str">
        <f ca="1">IFERROR(VLOOKUP(AJ783,OFFSET(abbreviation[],0,ColumnLanguage),ColumnAbbreviation,FALSE),"")</f>
        <v/>
      </c>
      <c r="BY783" s="21" t="str">
        <f ca="1">IFERROR(VLOOKUP(AL783,OFFSET(abbreviation[],0,ColumnLanguage),ColumnAbbreviation,FALSE),"")</f>
        <v/>
      </c>
      <c r="BZ783" s="21" t="str">
        <f t="shared" ca="1" si="86"/>
        <v>_</v>
      </c>
      <c r="CA783" s="21" t="str">
        <f ca="1">IFERROR(VLOOKUP(AP783,OFFSET(abbreviation[],0,ColumnLanguage),ColumnAbbreviation,FALSE),"")</f>
        <v/>
      </c>
      <c r="CB783" s="21" t="str">
        <f ca="1">IFERROR(VLOOKUP(AR783,OFFSET(abbreviation[],0,ColumnLanguage),ColumnAbbreviation,FALSE),"")</f>
        <v/>
      </c>
      <c r="CC783" s="21" t="str">
        <f ca="1">IFERROR(VLOOKUP(AT783,OFFSET(abbreviation[],0,ColumnLanguage),ColumnAbbreviation,FALSE),"")</f>
        <v/>
      </c>
      <c r="CD783" s="21" t="str">
        <f ca="1">IFERROR(VLOOKUP(AV783,OFFSET(abbreviation[],0,ColumnLanguage),ColumnAbbreviation,FALSE),"")</f>
        <v/>
      </c>
      <c r="CE783" s="21" t="str">
        <f t="shared" ca="1" si="87"/>
        <v>__</v>
      </c>
      <c r="CF783" s="21" t="str">
        <f ca="1">IFERROR(VLOOKUP(AX783,OFFSET(abbreviation[],0,ColumnLanguage),ColumnAbbreviation,FALSE),"")</f>
        <v/>
      </c>
      <c r="CG783" s="21" t="str">
        <f ca="1">IFERROR(VLOOKUP(AZ783,OFFSET(abbreviation[],0,ColumnLanguage),ColumnAbbreviation,FALSE),"")</f>
        <v/>
      </c>
      <c r="CH783" s="21" t="str">
        <f ca="1">IFERROR(VLOOKUP(BB783,OFFSET(abbreviation[],0,ColumnLanguage),ColumnAbbreviation,FALSE),"")</f>
        <v/>
      </c>
      <c r="CI783" s="21" t="str">
        <f ca="1">IFERROR(VLOOKUP(BD783,OFFSET(abbreviation[],0,ColumnLanguage),ColumnAbbreviation,FALSE),"")</f>
        <v/>
      </c>
      <c r="CJ783" s="21" t="str">
        <f ca="1">IFERROR(VLOOKUP(BF783,OFFSET(abbreviation[],0,ColumnLanguage),ColumnAbbreviation,FALSE),"")</f>
        <v/>
      </c>
      <c r="CK783" s="21" t="str">
        <f t="shared" ca="1" si="88"/>
        <v/>
      </c>
      <c r="CL783" s="21" t="str">
        <f t="shared" si="89"/>
        <v/>
      </c>
      <c r="CM783" s="52"/>
      <c r="CN783" s="57" t="str">
        <f t="shared" si="90"/>
        <v/>
      </c>
    </row>
    <row r="784" spans="17:92" x14ac:dyDescent="0.25">
      <c r="Q784" s="13"/>
      <c r="T784" s="12"/>
      <c r="V784" s="60"/>
      <c r="X784" s="61"/>
      <c r="AB784" s="60"/>
      <c r="AD784" s="61"/>
      <c r="AN784" s="54"/>
      <c r="AS784" s="15"/>
      <c r="BH784" s="52"/>
      <c r="BI784" s="21" t="str">
        <f ca="1">IFERROR(VLOOKUP(C784,OFFSET(abbreviation[],0,ColumnLanguage),ColumnAbbreviation,FALSE),"")</f>
        <v/>
      </c>
      <c r="BJ784" s="21" t="str">
        <f ca="1">IFERROR(VLOOKUP(E784,OFFSET(abbreviation[],0,ColumnLanguage),ColumnAbbreviation,FALSE),"")</f>
        <v/>
      </c>
      <c r="BK784" s="21" t="str">
        <f ca="1">IFERROR(VLOOKUP(G784,OFFSET(abbreviation[],0,ColumnLanguage),ColumnAbbreviation,FALSE),"")</f>
        <v/>
      </c>
      <c r="BL784" s="21" t="str">
        <f ca="1">IFERROR(VLOOKUP(I784,OFFSET(abbreviation[],0,ColumnLanguage),ColumnAbbreviation,FALSE),"")</f>
        <v/>
      </c>
      <c r="BM784" s="21" t="str">
        <f ca="1">IFERROR(VLOOKUP(K784,OFFSET(abbreviation[],0,ColumnLanguage),ColumnAbbreviation,FALSE),"")</f>
        <v/>
      </c>
      <c r="BN784" s="21" t="str">
        <f t="shared" ca="1" si="84"/>
        <v/>
      </c>
      <c r="BO784" s="21" t="str">
        <f ca="1">IFERROR(VLOOKUP(N784,OFFSET(abbreviation[],0,ColumnLanguage),ColumnAbbreviation,FALSE),"")</f>
        <v/>
      </c>
      <c r="BP784" s="21" t="str">
        <f ca="1">IFERROR(VLOOKUP(P784,OFFSET(abbreviation[],0,ColumnLanguage),ColumnAbbreviation,FALSE),"")</f>
        <v/>
      </c>
      <c r="BQ784" s="21" t="str">
        <f ca="1">IFERROR(VLOOKUP(T784,OFFSET(abbreviation[],0,ColumnLanguage),ColumnAbbreviation,FALSE),"")</f>
        <v/>
      </c>
      <c r="BR784" s="21" t="str">
        <f ca="1">IFERROR(VLOOKUP(V784,OFFSET(abbreviation[],0,ColumnLanguage),ColumnAbbreviation,FALSE),"")</f>
        <v/>
      </c>
      <c r="BS784" s="21" t="str">
        <f ca="1">IFERROR(VLOOKUP(Z784,OFFSET(abbreviation[],0,ColumnLanguage),ColumnAbbreviation,FALSE),"")</f>
        <v/>
      </c>
      <c r="BT784" s="21" t="str">
        <f ca="1">IFERROR(VLOOKUP(AB784,OFFSET(abbreviation[],0,ColumnLanguage),ColumnAbbreviation,FALSE),"")</f>
        <v/>
      </c>
      <c r="BU784" s="21" t="str">
        <f t="shared" ca="1" si="85"/>
        <v>__</v>
      </c>
      <c r="BV784" s="21" t="str">
        <f ca="1">IFERROR(VLOOKUP(AF784,OFFSET(abbreviation[],0,ColumnLanguage),ColumnAbbreviation,FALSE),"")</f>
        <v/>
      </c>
      <c r="BW784" s="21" t="str">
        <f ca="1">IFERROR(VLOOKUP(AH784,OFFSET(abbreviation[],0,ColumnLanguage),ColumnAbbreviation,FALSE),"")</f>
        <v/>
      </c>
      <c r="BX784" s="21" t="str">
        <f ca="1">IFERROR(VLOOKUP(AJ784,OFFSET(abbreviation[],0,ColumnLanguage),ColumnAbbreviation,FALSE),"")</f>
        <v/>
      </c>
      <c r="BY784" s="21" t="str">
        <f ca="1">IFERROR(VLOOKUP(AL784,OFFSET(abbreviation[],0,ColumnLanguage),ColumnAbbreviation,FALSE),"")</f>
        <v/>
      </c>
      <c r="BZ784" s="21" t="str">
        <f t="shared" ca="1" si="86"/>
        <v>_</v>
      </c>
      <c r="CA784" s="21" t="str">
        <f ca="1">IFERROR(VLOOKUP(AP784,OFFSET(abbreviation[],0,ColumnLanguage),ColumnAbbreviation,FALSE),"")</f>
        <v/>
      </c>
      <c r="CB784" s="21" t="str">
        <f ca="1">IFERROR(VLOOKUP(AR784,OFFSET(abbreviation[],0,ColumnLanguage),ColumnAbbreviation,FALSE),"")</f>
        <v/>
      </c>
      <c r="CC784" s="21" t="str">
        <f ca="1">IFERROR(VLOOKUP(AT784,OFFSET(abbreviation[],0,ColumnLanguage),ColumnAbbreviation,FALSE),"")</f>
        <v/>
      </c>
      <c r="CD784" s="21" t="str">
        <f ca="1">IFERROR(VLOOKUP(AV784,OFFSET(abbreviation[],0,ColumnLanguage),ColumnAbbreviation,FALSE),"")</f>
        <v/>
      </c>
      <c r="CE784" s="21" t="str">
        <f t="shared" ca="1" si="87"/>
        <v>__</v>
      </c>
      <c r="CF784" s="21" t="str">
        <f ca="1">IFERROR(VLOOKUP(AX784,OFFSET(abbreviation[],0,ColumnLanguage),ColumnAbbreviation,FALSE),"")</f>
        <v/>
      </c>
      <c r="CG784" s="21" t="str">
        <f ca="1">IFERROR(VLOOKUP(AZ784,OFFSET(abbreviation[],0,ColumnLanguage),ColumnAbbreviation,FALSE),"")</f>
        <v/>
      </c>
      <c r="CH784" s="21" t="str">
        <f ca="1">IFERROR(VLOOKUP(BB784,OFFSET(abbreviation[],0,ColumnLanguage),ColumnAbbreviation,FALSE),"")</f>
        <v/>
      </c>
      <c r="CI784" s="21" t="str">
        <f ca="1">IFERROR(VLOOKUP(BD784,OFFSET(abbreviation[],0,ColumnLanguage),ColumnAbbreviation,FALSE),"")</f>
        <v/>
      </c>
      <c r="CJ784" s="21" t="str">
        <f ca="1">IFERROR(VLOOKUP(BF784,OFFSET(abbreviation[],0,ColumnLanguage),ColumnAbbreviation,FALSE),"")</f>
        <v/>
      </c>
      <c r="CK784" s="21" t="str">
        <f t="shared" ca="1" si="88"/>
        <v/>
      </c>
      <c r="CL784" s="21" t="str">
        <f t="shared" si="89"/>
        <v/>
      </c>
      <c r="CM784" s="52"/>
      <c r="CN784" s="57" t="str">
        <f t="shared" si="90"/>
        <v/>
      </c>
    </row>
    <row r="785" spans="17:92" x14ac:dyDescent="0.25">
      <c r="Q785" s="13"/>
      <c r="T785" s="12"/>
      <c r="V785" s="60"/>
      <c r="X785" s="61"/>
      <c r="AB785" s="60"/>
      <c r="AD785" s="61"/>
      <c r="AN785" s="54"/>
      <c r="AS785" s="15"/>
      <c r="BH785" s="52"/>
      <c r="BI785" s="21" t="str">
        <f ca="1">IFERROR(VLOOKUP(C785,OFFSET(abbreviation[],0,ColumnLanguage),ColumnAbbreviation,FALSE),"")</f>
        <v/>
      </c>
      <c r="BJ785" s="21" t="str">
        <f ca="1">IFERROR(VLOOKUP(E785,OFFSET(abbreviation[],0,ColumnLanguage),ColumnAbbreviation,FALSE),"")</f>
        <v/>
      </c>
      <c r="BK785" s="21" t="str">
        <f ca="1">IFERROR(VLOOKUP(G785,OFFSET(abbreviation[],0,ColumnLanguage),ColumnAbbreviation,FALSE),"")</f>
        <v/>
      </c>
      <c r="BL785" s="21" t="str">
        <f ca="1">IFERROR(VLOOKUP(I785,OFFSET(abbreviation[],0,ColumnLanguage),ColumnAbbreviation,FALSE),"")</f>
        <v/>
      </c>
      <c r="BM785" s="21" t="str">
        <f ca="1">IFERROR(VLOOKUP(K785,OFFSET(abbreviation[],0,ColumnLanguage),ColumnAbbreviation,FALSE),"")</f>
        <v/>
      </c>
      <c r="BN785" s="21" t="str">
        <f t="shared" ca="1" si="84"/>
        <v/>
      </c>
      <c r="BO785" s="21" t="str">
        <f ca="1">IFERROR(VLOOKUP(N785,OFFSET(abbreviation[],0,ColumnLanguage),ColumnAbbreviation,FALSE),"")</f>
        <v/>
      </c>
      <c r="BP785" s="21" t="str">
        <f ca="1">IFERROR(VLOOKUP(P785,OFFSET(abbreviation[],0,ColumnLanguage),ColumnAbbreviation,FALSE),"")</f>
        <v/>
      </c>
      <c r="BQ785" s="21" t="str">
        <f ca="1">IFERROR(VLOOKUP(T785,OFFSET(abbreviation[],0,ColumnLanguage),ColumnAbbreviation,FALSE),"")</f>
        <v/>
      </c>
      <c r="BR785" s="21" t="str">
        <f ca="1">IFERROR(VLOOKUP(V785,OFFSET(abbreviation[],0,ColumnLanguage),ColumnAbbreviation,FALSE),"")</f>
        <v/>
      </c>
      <c r="BS785" s="21" t="str">
        <f ca="1">IFERROR(VLOOKUP(Z785,OFFSET(abbreviation[],0,ColumnLanguage),ColumnAbbreviation,FALSE),"")</f>
        <v/>
      </c>
      <c r="BT785" s="21" t="str">
        <f ca="1">IFERROR(VLOOKUP(AB785,OFFSET(abbreviation[],0,ColumnLanguage),ColumnAbbreviation,FALSE),"")</f>
        <v/>
      </c>
      <c r="BU785" s="21" t="str">
        <f t="shared" ca="1" si="85"/>
        <v>__</v>
      </c>
      <c r="BV785" s="21" t="str">
        <f ca="1">IFERROR(VLOOKUP(AF785,OFFSET(abbreviation[],0,ColumnLanguage),ColumnAbbreviation,FALSE),"")</f>
        <v/>
      </c>
      <c r="BW785" s="21" t="str">
        <f ca="1">IFERROR(VLOOKUP(AH785,OFFSET(abbreviation[],0,ColumnLanguage),ColumnAbbreviation,FALSE),"")</f>
        <v/>
      </c>
      <c r="BX785" s="21" t="str">
        <f ca="1">IFERROR(VLOOKUP(AJ785,OFFSET(abbreviation[],0,ColumnLanguage),ColumnAbbreviation,FALSE),"")</f>
        <v/>
      </c>
      <c r="BY785" s="21" t="str">
        <f ca="1">IFERROR(VLOOKUP(AL785,OFFSET(abbreviation[],0,ColumnLanguage),ColumnAbbreviation,FALSE),"")</f>
        <v/>
      </c>
      <c r="BZ785" s="21" t="str">
        <f t="shared" ca="1" si="86"/>
        <v>_</v>
      </c>
      <c r="CA785" s="21" t="str">
        <f ca="1">IFERROR(VLOOKUP(AP785,OFFSET(abbreviation[],0,ColumnLanguage),ColumnAbbreviation,FALSE),"")</f>
        <v/>
      </c>
      <c r="CB785" s="21" t="str">
        <f ca="1">IFERROR(VLOOKUP(AR785,OFFSET(abbreviation[],0,ColumnLanguage),ColumnAbbreviation,FALSE),"")</f>
        <v/>
      </c>
      <c r="CC785" s="21" t="str">
        <f ca="1">IFERROR(VLOOKUP(AT785,OFFSET(abbreviation[],0,ColumnLanguage),ColumnAbbreviation,FALSE),"")</f>
        <v/>
      </c>
      <c r="CD785" s="21" t="str">
        <f ca="1">IFERROR(VLOOKUP(AV785,OFFSET(abbreviation[],0,ColumnLanguage),ColumnAbbreviation,FALSE),"")</f>
        <v/>
      </c>
      <c r="CE785" s="21" t="str">
        <f t="shared" ca="1" si="87"/>
        <v>__</v>
      </c>
      <c r="CF785" s="21" t="str">
        <f ca="1">IFERROR(VLOOKUP(AX785,OFFSET(abbreviation[],0,ColumnLanguage),ColumnAbbreviation,FALSE),"")</f>
        <v/>
      </c>
      <c r="CG785" s="21" t="str">
        <f ca="1">IFERROR(VLOOKUP(AZ785,OFFSET(abbreviation[],0,ColumnLanguage),ColumnAbbreviation,FALSE),"")</f>
        <v/>
      </c>
      <c r="CH785" s="21" t="str">
        <f ca="1">IFERROR(VLOOKUP(BB785,OFFSET(abbreviation[],0,ColumnLanguage),ColumnAbbreviation,FALSE),"")</f>
        <v/>
      </c>
      <c r="CI785" s="21" t="str">
        <f ca="1">IFERROR(VLOOKUP(BD785,OFFSET(abbreviation[],0,ColumnLanguage),ColumnAbbreviation,FALSE),"")</f>
        <v/>
      </c>
      <c r="CJ785" s="21" t="str">
        <f ca="1">IFERROR(VLOOKUP(BF785,OFFSET(abbreviation[],0,ColumnLanguage),ColumnAbbreviation,FALSE),"")</f>
        <v/>
      </c>
      <c r="CK785" s="21" t="str">
        <f t="shared" ca="1" si="88"/>
        <v/>
      </c>
      <c r="CL785" s="21" t="str">
        <f t="shared" si="89"/>
        <v/>
      </c>
      <c r="CM785" s="52"/>
      <c r="CN785" s="57" t="str">
        <f t="shared" si="90"/>
        <v/>
      </c>
    </row>
    <row r="786" spans="17:92" x14ac:dyDescent="0.25">
      <c r="Q786" s="13"/>
      <c r="T786" s="12"/>
      <c r="V786" s="60"/>
      <c r="X786" s="61"/>
      <c r="AB786" s="60"/>
      <c r="AD786" s="61"/>
      <c r="AN786" s="54"/>
      <c r="AS786" s="15"/>
      <c r="BH786" s="52"/>
      <c r="BI786" s="21" t="str">
        <f ca="1">IFERROR(VLOOKUP(C786,OFFSET(abbreviation[],0,ColumnLanguage),ColumnAbbreviation,FALSE),"")</f>
        <v/>
      </c>
      <c r="BJ786" s="21" t="str">
        <f ca="1">IFERROR(VLOOKUP(E786,OFFSET(abbreviation[],0,ColumnLanguage),ColumnAbbreviation,FALSE),"")</f>
        <v/>
      </c>
      <c r="BK786" s="21" t="str">
        <f ca="1">IFERROR(VLOOKUP(G786,OFFSET(abbreviation[],0,ColumnLanguage),ColumnAbbreviation,FALSE),"")</f>
        <v/>
      </c>
      <c r="BL786" s="21" t="str">
        <f ca="1">IFERROR(VLOOKUP(I786,OFFSET(abbreviation[],0,ColumnLanguage),ColumnAbbreviation,FALSE),"")</f>
        <v/>
      </c>
      <c r="BM786" s="21" t="str">
        <f ca="1">IFERROR(VLOOKUP(K786,OFFSET(abbreviation[],0,ColumnLanguage),ColumnAbbreviation,FALSE),"")</f>
        <v/>
      </c>
      <c r="BN786" s="21" t="str">
        <f t="shared" ca="1" si="84"/>
        <v/>
      </c>
      <c r="BO786" s="21" t="str">
        <f ca="1">IFERROR(VLOOKUP(N786,OFFSET(abbreviation[],0,ColumnLanguage),ColumnAbbreviation,FALSE),"")</f>
        <v/>
      </c>
      <c r="BP786" s="21" t="str">
        <f ca="1">IFERROR(VLOOKUP(P786,OFFSET(abbreviation[],0,ColumnLanguage),ColumnAbbreviation,FALSE),"")</f>
        <v/>
      </c>
      <c r="BQ786" s="21" t="str">
        <f ca="1">IFERROR(VLOOKUP(T786,OFFSET(abbreviation[],0,ColumnLanguage),ColumnAbbreviation,FALSE),"")</f>
        <v/>
      </c>
      <c r="BR786" s="21" t="str">
        <f ca="1">IFERROR(VLOOKUP(V786,OFFSET(abbreviation[],0,ColumnLanguage),ColumnAbbreviation,FALSE),"")</f>
        <v/>
      </c>
      <c r="BS786" s="21" t="str">
        <f ca="1">IFERROR(VLOOKUP(Z786,OFFSET(abbreviation[],0,ColumnLanguage),ColumnAbbreviation,FALSE),"")</f>
        <v/>
      </c>
      <c r="BT786" s="21" t="str">
        <f ca="1">IFERROR(VLOOKUP(AB786,OFFSET(abbreviation[],0,ColumnLanguage),ColumnAbbreviation,FALSE),"")</f>
        <v/>
      </c>
      <c r="BU786" s="21" t="str">
        <f t="shared" ca="1" si="85"/>
        <v>__</v>
      </c>
      <c r="BV786" s="21" t="str">
        <f ca="1">IFERROR(VLOOKUP(AF786,OFFSET(abbreviation[],0,ColumnLanguage),ColumnAbbreviation,FALSE),"")</f>
        <v/>
      </c>
      <c r="BW786" s="21" t="str">
        <f ca="1">IFERROR(VLOOKUP(AH786,OFFSET(abbreviation[],0,ColumnLanguage),ColumnAbbreviation,FALSE),"")</f>
        <v/>
      </c>
      <c r="BX786" s="21" t="str">
        <f ca="1">IFERROR(VLOOKUP(AJ786,OFFSET(abbreviation[],0,ColumnLanguage),ColumnAbbreviation,FALSE),"")</f>
        <v/>
      </c>
      <c r="BY786" s="21" t="str">
        <f ca="1">IFERROR(VLOOKUP(AL786,OFFSET(abbreviation[],0,ColumnLanguage),ColumnAbbreviation,FALSE),"")</f>
        <v/>
      </c>
      <c r="BZ786" s="21" t="str">
        <f t="shared" ca="1" si="86"/>
        <v>_</v>
      </c>
      <c r="CA786" s="21" t="str">
        <f ca="1">IFERROR(VLOOKUP(AP786,OFFSET(abbreviation[],0,ColumnLanguage),ColumnAbbreviation,FALSE),"")</f>
        <v/>
      </c>
      <c r="CB786" s="21" t="str">
        <f ca="1">IFERROR(VLOOKUP(AR786,OFFSET(abbreviation[],0,ColumnLanguage),ColumnAbbreviation,FALSE),"")</f>
        <v/>
      </c>
      <c r="CC786" s="21" t="str">
        <f ca="1">IFERROR(VLOOKUP(AT786,OFFSET(abbreviation[],0,ColumnLanguage),ColumnAbbreviation,FALSE),"")</f>
        <v/>
      </c>
      <c r="CD786" s="21" t="str">
        <f ca="1">IFERROR(VLOOKUP(AV786,OFFSET(abbreviation[],0,ColumnLanguage),ColumnAbbreviation,FALSE),"")</f>
        <v/>
      </c>
      <c r="CE786" s="21" t="str">
        <f t="shared" ca="1" si="87"/>
        <v>__</v>
      </c>
      <c r="CF786" s="21" t="str">
        <f ca="1">IFERROR(VLOOKUP(AX786,OFFSET(abbreviation[],0,ColumnLanguage),ColumnAbbreviation,FALSE),"")</f>
        <v/>
      </c>
      <c r="CG786" s="21" t="str">
        <f ca="1">IFERROR(VLOOKUP(AZ786,OFFSET(abbreviation[],0,ColumnLanguage),ColumnAbbreviation,FALSE),"")</f>
        <v/>
      </c>
      <c r="CH786" s="21" t="str">
        <f ca="1">IFERROR(VLOOKUP(BB786,OFFSET(abbreviation[],0,ColumnLanguage),ColumnAbbreviation,FALSE),"")</f>
        <v/>
      </c>
      <c r="CI786" s="21" t="str">
        <f ca="1">IFERROR(VLOOKUP(BD786,OFFSET(abbreviation[],0,ColumnLanguage),ColumnAbbreviation,FALSE),"")</f>
        <v/>
      </c>
      <c r="CJ786" s="21" t="str">
        <f ca="1">IFERROR(VLOOKUP(BF786,OFFSET(abbreviation[],0,ColumnLanguage),ColumnAbbreviation,FALSE),"")</f>
        <v/>
      </c>
      <c r="CK786" s="21" t="str">
        <f t="shared" ca="1" si="88"/>
        <v/>
      </c>
      <c r="CL786" s="21" t="str">
        <f t="shared" si="89"/>
        <v/>
      </c>
      <c r="CM786" s="52"/>
      <c r="CN786" s="57" t="str">
        <f t="shared" si="90"/>
        <v/>
      </c>
    </row>
    <row r="787" spans="17:92" x14ac:dyDescent="0.25">
      <c r="Q787" s="13"/>
      <c r="T787" s="12"/>
      <c r="V787" s="60"/>
      <c r="X787" s="61"/>
      <c r="AB787" s="60"/>
      <c r="AD787" s="61"/>
      <c r="AN787" s="54"/>
      <c r="AS787" s="15"/>
      <c r="BH787" s="52"/>
      <c r="BI787" s="21" t="str">
        <f ca="1">IFERROR(VLOOKUP(C787,OFFSET(abbreviation[],0,ColumnLanguage),ColumnAbbreviation,FALSE),"")</f>
        <v/>
      </c>
      <c r="BJ787" s="21" t="str">
        <f ca="1">IFERROR(VLOOKUP(E787,OFFSET(abbreviation[],0,ColumnLanguage),ColumnAbbreviation,FALSE),"")</f>
        <v/>
      </c>
      <c r="BK787" s="21" t="str">
        <f ca="1">IFERROR(VLOOKUP(G787,OFFSET(abbreviation[],0,ColumnLanguage),ColumnAbbreviation,FALSE),"")</f>
        <v/>
      </c>
      <c r="BL787" s="21" t="str">
        <f ca="1">IFERROR(VLOOKUP(I787,OFFSET(abbreviation[],0,ColumnLanguage),ColumnAbbreviation,FALSE),"")</f>
        <v/>
      </c>
      <c r="BM787" s="21" t="str">
        <f ca="1">IFERROR(VLOOKUP(K787,OFFSET(abbreviation[],0,ColumnLanguage),ColumnAbbreviation,FALSE),"")</f>
        <v/>
      </c>
      <c r="BN787" s="21" t="str">
        <f t="shared" ca="1" si="84"/>
        <v/>
      </c>
      <c r="BO787" s="21" t="str">
        <f ca="1">IFERROR(VLOOKUP(N787,OFFSET(abbreviation[],0,ColumnLanguage),ColumnAbbreviation,FALSE),"")</f>
        <v/>
      </c>
      <c r="BP787" s="21" t="str">
        <f ca="1">IFERROR(VLOOKUP(P787,OFFSET(abbreviation[],0,ColumnLanguage),ColumnAbbreviation,FALSE),"")</f>
        <v/>
      </c>
      <c r="BQ787" s="21" t="str">
        <f ca="1">IFERROR(VLOOKUP(T787,OFFSET(abbreviation[],0,ColumnLanguage),ColumnAbbreviation,FALSE),"")</f>
        <v/>
      </c>
      <c r="BR787" s="21" t="str">
        <f ca="1">IFERROR(VLOOKUP(V787,OFFSET(abbreviation[],0,ColumnLanguage),ColumnAbbreviation,FALSE),"")</f>
        <v/>
      </c>
      <c r="BS787" s="21" t="str">
        <f ca="1">IFERROR(VLOOKUP(Z787,OFFSET(abbreviation[],0,ColumnLanguage),ColumnAbbreviation,FALSE),"")</f>
        <v/>
      </c>
      <c r="BT787" s="21" t="str">
        <f ca="1">IFERROR(VLOOKUP(AB787,OFFSET(abbreviation[],0,ColumnLanguage),ColumnAbbreviation,FALSE),"")</f>
        <v/>
      </c>
      <c r="BU787" s="21" t="str">
        <f t="shared" ca="1" si="85"/>
        <v>__</v>
      </c>
      <c r="BV787" s="21" t="str">
        <f ca="1">IFERROR(VLOOKUP(AF787,OFFSET(abbreviation[],0,ColumnLanguage),ColumnAbbreviation,FALSE),"")</f>
        <v/>
      </c>
      <c r="BW787" s="21" t="str">
        <f ca="1">IFERROR(VLOOKUP(AH787,OFFSET(abbreviation[],0,ColumnLanguage),ColumnAbbreviation,FALSE),"")</f>
        <v/>
      </c>
      <c r="BX787" s="21" t="str">
        <f ca="1">IFERROR(VLOOKUP(AJ787,OFFSET(abbreviation[],0,ColumnLanguage),ColumnAbbreviation,FALSE),"")</f>
        <v/>
      </c>
      <c r="BY787" s="21" t="str">
        <f ca="1">IFERROR(VLOOKUP(AL787,OFFSET(abbreviation[],0,ColumnLanguage),ColumnAbbreviation,FALSE),"")</f>
        <v/>
      </c>
      <c r="BZ787" s="21" t="str">
        <f t="shared" ca="1" si="86"/>
        <v>_</v>
      </c>
      <c r="CA787" s="21" t="str">
        <f ca="1">IFERROR(VLOOKUP(AP787,OFFSET(abbreviation[],0,ColumnLanguage),ColumnAbbreviation,FALSE),"")</f>
        <v/>
      </c>
      <c r="CB787" s="21" t="str">
        <f ca="1">IFERROR(VLOOKUP(AR787,OFFSET(abbreviation[],0,ColumnLanguage),ColumnAbbreviation,FALSE),"")</f>
        <v/>
      </c>
      <c r="CC787" s="21" t="str">
        <f ca="1">IFERROR(VLOOKUP(AT787,OFFSET(abbreviation[],0,ColumnLanguage),ColumnAbbreviation,FALSE),"")</f>
        <v/>
      </c>
      <c r="CD787" s="21" t="str">
        <f ca="1">IFERROR(VLOOKUP(AV787,OFFSET(abbreviation[],0,ColumnLanguage),ColumnAbbreviation,FALSE),"")</f>
        <v/>
      </c>
      <c r="CE787" s="21" t="str">
        <f t="shared" ca="1" si="87"/>
        <v>__</v>
      </c>
      <c r="CF787" s="21" t="str">
        <f ca="1">IFERROR(VLOOKUP(AX787,OFFSET(abbreviation[],0,ColumnLanguage),ColumnAbbreviation,FALSE),"")</f>
        <v/>
      </c>
      <c r="CG787" s="21" t="str">
        <f ca="1">IFERROR(VLOOKUP(AZ787,OFFSET(abbreviation[],0,ColumnLanguage),ColumnAbbreviation,FALSE),"")</f>
        <v/>
      </c>
      <c r="CH787" s="21" t="str">
        <f ca="1">IFERROR(VLOOKUP(BB787,OFFSET(abbreviation[],0,ColumnLanguage),ColumnAbbreviation,FALSE),"")</f>
        <v/>
      </c>
      <c r="CI787" s="21" t="str">
        <f ca="1">IFERROR(VLOOKUP(BD787,OFFSET(abbreviation[],0,ColumnLanguage),ColumnAbbreviation,FALSE),"")</f>
        <v/>
      </c>
      <c r="CJ787" s="21" t="str">
        <f ca="1">IFERROR(VLOOKUP(BF787,OFFSET(abbreviation[],0,ColumnLanguage),ColumnAbbreviation,FALSE),"")</f>
        <v/>
      </c>
      <c r="CK787" s="21" t="str">
        <f t="shared" ca="1" si="88"/>
        <v/>
      </c>
      <c r="CL787" s="21" t="str">
        <f t="shared" si="89"/>
        <v/>
      </c>
      <c r="CM787" s="52"/>
      <c r="CN787" s="57" t="str">
        <f t="shared" si="90"/>
        <v/>
      </c>
    </row>
    <row r="788" spans="17:92" x14ac:dyDescent="0.25">
      <c r="Q788" s="13"/>
      <c r="T788" s="12"/>
      <c r="V788" s="60"/>
      <c r="X788" s="61"/>
      <c r="AB788" s="60"/>
      <c r="AD788" s="61"/>
      <c r="AN788" s="54"/>
      <c r="AS788" s="15"/>
      <c r="BH788" s="52"/>
      <c r="BI788" s="21" t="str">
        <f ca="1">IFERROR(VLOOKUP(C788,OFFSET(abbreviation[],0,ColumnLanguage),ColumnAbbreviation,FALSE),"")</f>
        <v/>
      </c>
      <c r="BJ788" s="21" t="str">
        <f ca="1">IFERROR(VLOOKUP(E788,OFFSET(abbreviation[],0,ColumnLanguage),ColumnAbbreviation,FALSE),"")</f>
        <v/>
      </c>
      <c r="BK788" s="21" t="str">
        <f ca="1">IFERROR(VLOOKUP(G788,OFFSET(abbreviation[],0,ColumnLanguage),ColumnAbbreviation,FALSE),"")</f>
        <v/>
      </c>
      <c r="BL788" s="21" t="str">
        <f ca="1">IFERROR(VLOOKUP(I788,OFFSET(abbreviation[],0,ColumnLanguage),ColumnAbbreviation,FALSE),"")</f>
        <v/>
      </c>
      <c r="BM788" s="21" t="str">
        <f ca="1">IFERROR(VLOOKUP(K788,OFFSET(abbreviation[],0,ColumnLanguage),ColumnAbbreviation,FALSE),"")</f>
        <v/>
      </c>
      <c r="BN788" s="21" t="str">
        <f t="shared" ca="1" si="84"/>
        <v/>
      </c>
      <c r="BO788" s="21" t="str">
        <f ca="1">IFERROR(VLOOKUP(N788,OFFSET(abbreviation[],0,ColumnLanguage),ColumnAbbreviation,FALSE),"")</f>
        <v/>
      </c>
      <c r="BP788" s="21" t="str">
        <f ca="1">IFERROR(VLOOKUP(P788,OFFSET(abbreviation[],0,ColumnLanguage),ColumnAbbreviation,FALSE),"")</f>
        <v/>
      </c>
      <c r="BQ788" s="21" t="str">
        <f ca="1">IFERROR(VLOOKUP(T788,OFFSET(abbreviation[],0,ColumnLanguage),ColumnAbbreviation,FALSE),"")</f>
        <v/>
      </c>
      <c r="BR788" s="21" t="str">
        <f ca="1">IFERROR(VLOOKUP(V788,OFFSET(abbreviation[],0,ColumnLanguage),ColumnAbbreviation,FALSE),"")</f>
        <v/>
      </c>
      <c r="BS788" s="21" t="str">
        <f ca="1">IFERROR(VLOOKUP(Z788,OFFSET(abbreviation[],0,ColumnLanguage),ColumnAbbreviation,FALSE),"")</f>
        <v/>
      </c>
      <c r="BT788" s="21" t="str">
        <f ca="1">IFERROR(VLOOKUP(AB788,OFFSET(abbreviation[],0,ColumnLanguage),ColumnAbbreviation,FALSE),"")</f>
        <v/>
      </c>
      <c r="BU788" s="21" t="str">
        <f t="shared" ca="1" si="85"/>
        <v>__</v>
      </c>
      <c r="BV788" s="21" t="str">
        <f ca="1">IFERROR(VLOOKUP(AF788,OFFSET(abbreviation[],0,ColumnLanguage),ColumnAbbreviation,FALSE),"")</f>
        <v/>
      </c>
      <c r="BW788" s="21" t="str">
        <f ca="1">IFERROR(VLOOKUP(AH788,OFFSET(abbreviation[],0,ColumnLanguage),ColumnAbbreviation,FALSE),"")</f>
        <v/>
      </c>
      <c r="BX788" s="21" t="str">
        <f ca="1">IFERROR(VLOOKUP(AJ788,OFFSET(abbreviation[],0,ColumnLanguage),ColumnAbbreviation,FALSE),"")</f>
        <v/>
      </c>
      <c r="BY788" s="21" t="str">
        <f ca="1">IFERROR(VLOOKUP(AL788,OFFSET(abbreviation[],0,ColumnLanguage),ColumnAbbreviation,FALSE),"")</f>
        <v/>
      </c>
      <c r="BZ788" s="21" t="str">
        <f t="shared" ca="1" si="86"/>
        <v>_</v>
      </c>
      <c r="CA788" s="21" t="str">
        <f ca="1">IFERROR(VLOOKUP(AP788,OFFSET(abbreviation[],0,ColumnLanguage),ColumnAbbreviation,FALSE),"")</f>
        <v/>
      </c>
      <c r="CB788" s="21" t="str">
        <f ca="1">IFERROR(VLOOKUP(AR788,OFFSET(abbreviation[],0,ColumnLanguage),ColumnAbbreviation,FALSE),"")</f>
        <v/>
      </c>
      <c r="CC788" s="21" t="str">
        <f ca="1">IFERROR(VLOOKUP(AT788,OFFSET(abbreviation[],0,ColumnLanguage),ColumnAbbreviation,FALSE),"")</f>
        <v/>
      </c>
      <c r="CD788" s="21" t="str">
        <f ca="1">IFERROR(VLOOKUP(AV788,OFFSET(abbreviation[],0,ColumnLanguage),ColumnAbbreviation,FALSE),"")</f>
        <v/>
      </c>
      <c r="CE788" s="21" t="str">
        <f t="shared" ca="1" si="87"/>
        <v>__</v>
      </c>
      <c r="CF788" s="21" t="str">
        <f ca="1">IFERROR(VLOOKUP(AX788,OFFSET(abbreviation[],0,ColumnLanguage),ColumnAbbreviation,FALSE),"")</f>
        <v/>
      </c>
      <c r="CG788" s="21" t="str">
        <f ca="1">IFERROR(VLOOKUP(AZ788,OFFSET(abbreviation[],0,ColumnLanguage),ColumnAbbreviation,FALSE),"")</f>
        <v/>
      </c>
      <c r="CH788" s="21" t="str">
        <f ca="1">IFERROR(VLOOKUP(BB788,OFFSET(abbreviation[],0,ColumnLanguage),ColumnAbbreviation,FALSE),"")</f>
        <v/>
      </c>
      <c r="CI788" s="21" t="str">
        <f ca="1">IFERROR(VLOOKUP(BD788,OFFSET(abbreviation[],0,ColumnLanguage),ColumnAbbreviation,FALSE),"")</f>
        <v/>
      </c>
      <c r="CJ788" s="21" t="str">
        <f ca="1">IFERROR(VLOOKUP(BF788,OFFSET(abbreviation[],0,ColumnLanguage),ColumnAbbreviation,FALSE),"")</f>
        <v/>
      </c>
      <c r="CK788" s="21" t="str">
        <f t="shared" ca="1" si="88"/>
        <v/>
      </c>
      <c r="CL788" s="21" t="str">
        <f t="shared" si="89"/>
        <v/>
      </c>
      <c r="CM788" s="52"/>
      <c r="CN788" s="57" t="str">
        <f t="shared" si="90"/>
        <v/>
      </c>
    </row>
    <row r="789" spans="17:92" x14ac:dyDescent="0.25">
      <c r="Q789" s="13"/>
      <c r="T789" s="12"/>
      <c r="V789" s="60"/>
      <c r="X789" s="61"/>
      <c r="AB789" s="60"/>
      <c r="AD789" s="61"/>
      <c r="AN789" s="54"/>
      <c r="AS789" s="15"/>
      <c r="BH789" s="52"/>
      <c r="BI789" s="21" t="str">
        <f ca="1">IFERROR(VLOOKUP(C789,OFFSET(abbreviation[],0,ColumnLanguage),ColumnAbbreviation,FALSE),"")</f>
        <v/>
      </c>
      <c r="BJ789" s="21" t="str">
        <f ca="1">IFERROR(VLOOKUP(E789,OFFSET(abbreviation[],0,ColumnLanguage),ColumnAbbreviation,FALSE),"")</f>
        <v/>
      </c>
      <c r="BK789" s="21" t="str">
        <f ca="1">IFERROR(VLOOKUP(G789,OFFSET(abbreviation[],0,ColumnLanguage),ColumnAbbreviation,FALSE),"")</f>
        <v/>
      </c>
      <c r="BL789" s="21" t="str">
        <f ca="1">IFERROR(VLOOKUP(I789,OFFSET(abbreviation[],0,ColumnLanguage),ColumnAbbreviation,FALSE),"")</f>
        <v/>
      </c>
      <c r="BM789" s="21" t="str">
        <f ca="1">IFERROR(VLOOKUP(K789,OFFSET(abbreviation[],0,ColumnLanguage),ColumnAbbreviation,FALSE),"")</f>
        <v/>
      </c>
      <c r="BN789" s="21" t="str">
        <f t="shared" ca="1" si="84"/>
        <v/>
      </c>
      <c r="BO789" s="21" t="str">
        <f ca="1">IFERROR(VLOOKUP(N789,OFFSET(abbreviation[],0,ColumnLanguage),ColumnAbbreviation,FALSE),"")</f>
        <v/>
      </c>
      <c r="BP789" s="21" t="str">
        <f ca="1">IFERROR(VLOOKUP(P789,OFFSET(abbreviation[],0,ColumnLanguage),ColumnAbbreviation,FALSE),"")</f>
        <v/>
      </c>
      <c r="BQ789" s="21" t="str">
        <f ca="1">IFERROR(VLOOKUP(T789,OFFSET(abbreviation[],0,ColumnLanguage),ColumnAbbreviation,FALSE),"")</f>
        <v/>
      </c>
      <c r="BR789" s="21" t="str">
        <f ca="1">IFERROR(VLOOKUP(V789,OFFSET(abbreviation[],0,ColumnLanguage),ColumnAbbreviation,FALSE),"")</f>
        <v/>
      </c>
      <c r="BS789" s="21" t="str">
        <f ca="1">IFERROR(VLOOKUP(Z789,OFFSET(abbreviation[],0,ColumnLanguage),ColumnAbbreviation,FALSE),"")</f>
        <v/>
      </c>
      <c r="BT789" s="21" t="str">
        <f ca="1">IFERROR(VLOOKUP(AB789,OFFSET(abbreviation[],0,ColumnLanguage),ColumnAbbreviation,FALSE),"")</f>
        <v/>
      </c>
      <c r="BU789" s="21" t="str">
        <f t="shared" ca="1" si="85"/>
        <v>__</v>
      </c>
      <c r="BV789" s="21" t="str">
        <f ca="1">IFERROR(VLOOKUP(AF789,OFFSET(abbreviation[],0,ColumnLanguage),ColumnAbbreviation,FALSE),"")</f>
        <v/>
      </c>
      <c r="BW789" s="21" t="str">
        <f ca="1">IFERROR(VLOOKUP(AH789,OFFSET(abbreviation[],0,ColumnLanguage),ColumnAbbreviation,FALSE),"")</f>
        <v/>
      </c>
      <c r="BX789" s="21" t="str">
        <f ca="1">IFERROR(VLOOKUP(AJ789,OFFSET(abbreviation[],0,ColumnLanguage),ColumnAbbreviation,FALSE),"")</f>
        <v/>
      </c>
      <c r="BY789" s="21" t="str">
        <f ca="1">IFERROR(VLOOKUP(AL789,OFFSET(abbreviation[],0,ColumnLanguage),ColumnAbbreviation,FALSE),"")</f>
        <v/>
      </c>
      <c r="BZ789" s="21" t="str">
        <f t="shared" ca="1" si="86"/>
        <v>_</v>
      </c>
      <c r="CA789" s="21" t="str">
        <f ca="1">IFERROR(VLOOKUP(AP789,OFFSET(abbreviation[],0,ColumnLanguage),ColumnAbbreviation,FALSE),"")</f>
        <v/>
      </c>
      <c r="CB789" s="21" t="str">
        <f ca="1">IFERROR(VLOOKUP(AR789,OFFSET(abbreviation[],0,ColumnLanguage),ColumnAbbreviation,FALSE),"")</f>
        <v/>
      </c>
      <c r="CC789" s="21" t="str">
        <f ca="1">IFERROR(VLOOKUP(AT789,OFFSET(abbreviation[],0,ColumnLanguage),ColumnAbbreviation,FALSE),"")</f>
        <v/>
      </c>
      <c r="CD789" s="21" t="str">
        <f ca="1">IFERROR(VLOOKUP(AV789,OFFSET(abbreviation[],0,ColumnLanguage),ColumnAbbreviation,FALSE),"")</f>
        <v/>
      </c>
      <c r="CE789" s="21" t="str">
        <f t="shared" ca="1" si="87"/>
        <v>__</v>
      </c>
      <c r="CF789" s="21" t="str">
        <f ca="1">IFERROR(VLOOKUP(AX789,OFFSET(abbreviation[],0,ColumnLanguage),ColumnAbbreviation,FALSE),"")</f>
        <v/>
      </c>
      <c r="CG789" s="21" t="str">
        <f ca="1">IFERROR(VLOOKUP(AZ789,OFFSET(abbreviation[],0,ColumnLanguage),ColumnAbbreviation,FALSE),"")</f>
        <v/>
      </c>
      <c r="CH789" s="21" t="str">
        <f ca="1">IFERROR(VLOOKUP(BB789,OFFSET(abbreviation[],0,ColumnLanguage),ColumnAbbreviation,FALSE),"")</f>
        <v/>
      </c>
      <c r="CI789" s="21" t="str">
        <f ca="1">IFERROR(VLOOKUP(BD789,OFFSET(abbreviation[],0,ColumnLanguage),ColumnAbbreviation,FALSE),"")</f>
        <v/>
      </c>
      <c r="CJ789" s="21" t="str">
        <f ca="1">IFERROR(VLOOKUP(BF789,OFFSET(abbreviation[],0,ColumnLanguage),ColumnAbbreviation,FALSE),"")</f>
        <v/>
      </c>
      <c r="CK789" s="21" t="str">
        <f t="shared" ca="1" si="88"/>
        <v/>
      </c>
      <c r="CL789" s="21" t="str">
        <f t="shared" si="89"/>
        <v/>
      </c>
      <c r="CM789" s="52"/>
      <c r="CN789" s="57" t="str">
        <f t="shared" si="90"/>
        <v/>
      </c>
    </row>
    <row r="790" spans="17:92" x14ac:dyDescent="0.25">
      <c r="Q790" s="13"/>
      <c r="T790" s="12"/>
      <c r="V790" s="60"/>
      <c r="X790" s="61"/>
      <c r="AB790" s="60"/>
      <c r="AD790" s="61"/>
      <c r="AN790" s="54"/>
      <c r="AS790" s="15"/>
      <c r="BH790" s="52"/>
      <c r="BI790" s="21" t="str">
        <f ca="1">IFERROR(VLOOKUP(C790,OFFSET(abbreviation[],0,ColumnLanguage),ColumnAbbreviation,FALSE),"")</f>
        <v/>
      </c>
      <c r="BJ790" s="21" t="str">
        <f ca="1">IFERROR(VLOOKUP(E790,OFFSET(abbreviation[],0,ColumnLanguage),ColumnAbbreviation,FALSE),"")</f>
        <v/>
      </c>
      <c r="BK790" s="21" t="str">
        <f ca="1">IFERROR(VLOOKUP(G790,OFFSET(abbreviation[],0,ColumnLanguage),ColumnAbbreviation,FALSE),"")</f>
        <v/>
      </c>
      <c r="BL790" s="21" t="str">
        <f ca="1">IFERROR(VLOOKUP(I790,OFFSET(abbreviation[],0,ColumnLanguage),ColumnAbbreviation,FALSE),"")</f>
        <v/>
      </c>
      <c r="BM790" s="21" t="str">
        <f ca="1">IFERROR(VLOOKUP(K790,OFFSET(abbreviation[],0,ColumnLanguage),ColumnAbbreviation,FALSE),"")</f>
        <v/>
      </c>
      <c r="BN790" s="21" t="str">
        <f t="shared" ca="1" si="84"/>
        <v/>
      </c>
      <c r="BO790" s="21" t="str">
        <f ca="1">IFERROR(VLOOKUP(N790,OFFSET(abbreviation[],0,ColumnLanguage),ColumnAbbreviation,FALSE),"")</f>
        <v/>
      </c>
      <c r="BP790" s="21" t="str">
        <f ca="1">IFERROR(VLOOKUP(P790,OFFSET(abbreviation[],0,ColumnLanguage),ColumnAbbreviation,FALSE),"")</f>
        <v/>
      </c>
      <c r="BQ790" s="21" t="str">
        <f ca="1">IFERROR(VLOOKUP(T790,OFFSET(abbreviation[],0,ColumnLanguage),ColumnAbbreviation,FALSE),"")</f>
        <v/>
      </c>
      <c r="BR790" s="21" t="str">
        <f ca="1">IFERROR(VLOOKUP(V790,OFFSET(abbreviation[],0,ColumnLanguage),ColumnAbbreviation,FALSE),"")</f>
        <v/>
      </c>
      <c r="BS790" s="21" t="str">
        <f ca="1">IFERROR(VLOOKUP(Z790,OFFSET(abbreviation[],0,ColumnLanguage),ColumnAbbreviation,FALSE),"")</f>
        <v/>
      </c>
      <c r="BT790" s="21" t="str">
        <f ca="1">IFERROR(VLOOKUP(AB790,OFFSET(abbreviation[],0,ColumnLanguage),ColumnAbbreviation,FALSE),"")</f>
        <v/>
      </c>
      <c r="BU790" s="21" t="str">
        <f t="shared" ca="1" si="85"/>
        <v>__</v>
      </c>
      <c r="BV790" s="21" t="str">
        <f ca="1">IFERROR(VLOOKUP(AF790,OFFSET(abbreviation[],0,ColumnLanguage),ColumnAbbreviation,FALSE),"")</f>
        <v/>
      </c>
      <c r="BW790" s="21" t="str">
        <f ca="1">IFERROR(VLOOKUP(AH790,OFFSET(abbreviation[],0,ColumnLanguage),ColumnAbbreviation,FALSE),"")</f>
        <v/>
      </c>
      <c r="BX790" s="21" t="str">
        <f ca="1">IFERROR(VLOOKUP(AJ790,OFFSET(abbreviation[],0,ColumnLanguage),ColumnAbbreviation,FALSE),"")</f>
        <v/>
      </c>
      <c r="BY790" s="21" t="str">
        <f ca="1">IFERROR(VLOOKUP(AL790,OFFSET(abbreviation[],0,ColumnLanguage),ColumnAbbreviation,FALSE),"")</f>
        <v/>
      </c>
      <c r="BZ790" s="21" t="str">
        <f t="shared" ca="1" si="86"/>
        <v>_</v>
      </c>
      <c r="CA790" s="21" t="str">
        <f ca="1">IFERROR(VLOOKUP(AP790,OFFSET(abbreviation[],0,ColumnLanguage),ColumnAbbreviation,FALSE),"")</f>
        <v/>
      </c>
      <c r="CB790" s="21" t="str">
        <f ca="1">IFERROR(VLOOKUP(AR790,OFFSET(abbreviation[],0,ColumnLanguage),ColumnAbbreviation,FALSE),"")</f>
        <v/>
      </c>
      <c r="CC790" s="21" t="str">
        <f ca="1">IFERROR(VLOOKUP(AT790,OFFSET(abbreviation[],0,ColumnLanguage),ColumnAbbreviation,FALSE),"")</f>
        <v/>
      </c>
      <c r="CD790" s="21" t="str">
        <f ca="1">IFERROR(VLOOKUP(AV790,OFFSET(abbreviation[],0,ColumnLanguage),ColumnAbbreviation,FALSE),"")</f>
        <v/>
      </c>
      <c r="CE790" s="21" t="str">
        <f t="shared" ca="1" si="87"/>
        <v>__</v>
      </c>
      <c r="CF790" s="21" t="str">
        <f ca="1">IFERROR(VLOOKUP(AX790,OFFSET(abbreviation[],0,ColumnLanguage),ColumnAbbreviation,FALSE),"")</f>
        <v/>
      </c>
      <c r="CG790" s="21" t="str">
        <f ca="1">IFERROR(VLOOKUP(AZ790,OFFSET(abbreviation[],0,ColumnLanguage),ColumnAbbreviation,FALSE),"")</f>
        <v/>
      </c>
      <c r="CH790" s="21" t="str">
        <f ca="1">IFERROR(VLOOKUP(BB790,OFFSET(abbreviation[],0,ColumnLanguage),ColumnAbbreviation,FALSE),"")</f>
        <v/>
      </c>
      <c r="CI790" s="21" t="str">
        <f ca="1">IFERROR(VLOOKUP(BD790,OFFSET(abbreviation[],0,ColumnLanguage),ColumnAbbreviation,FALSE),"")</f>
        <v/>
      </c>
      <c r="CJ790" s="21" t="str">
        <f ca="1">IFERROR(VLOOKUP(BF790,OFFSET(abbreviation[],0,ColumnLanguage),ColumnAbbreviation,FALSE),"")</f>
        <v/>
      </c>
      <c r="CK790" s="21" t="str">
        <f t="shared" ca="1" si="88"/>
        <v/>
      </c>
      <c r="CL790" s="21" t="str">
        <f t="shared" si="89"/>
        <v/>
      </c>
      <c r="CM790" s="52"/>
      <c r="CN790" s="57" t="str">
        <f t="shared" si="90"/>
        <v/>
      </c>
    </row>
    <row r="791" spans="17:92" x14ac:dyDescent="0.25">
      <c r="Q791" s="13"/>
      <c r="T791" s="12"/>
      <c r="V791" s="60"/>
      <c r="X791" s="61"/>
      <c r="AB791" s="60"/>
      <c r="AD791" s="61"/>
      <c r="AN791" s="54"/>
      <c r="AS791" s="15"/>
      <c r="BH791" s="52"/>
      <c r="BI791" s="21" t="str">
        <f ca="1">IFERROR(VLOOKUP(C791,OFFSET(abbreviation[],0,ColumnLanguage),ColumnAbbreviation,FALSE),"")</f>
        <v/>
      </c>
      <c r="BJ791" s="21" t="str">
        <f ca="1">IFERROR(VLOOKUP(E791,OFFSET(abbreviation[],0,ColumnLanguage),ColumnAbbreviation,FALSE),"")</f>
        <v/>
      </c>
      <c r="BK791" s="21" t="str">
        <f ca="1">IFERROR(VLOOKUP(G791,OFFSET(abbreviation[],0,ColumnLanguage),ColumnAbbreviation,FALSE),"")</f>
        <v/>
      </c>
      <c r="BL791" s="21" t="str">
        <f ca="1">IFERROR(VLOOKUP(I791,OFFSET(abbreviation[],0,ColumnLanguage),ColumnAbbreviation,FALSE),"")</f>
        <v/>
      </c>
      <c r="BM791" s="21" t="str">
        <f ca="1">IFERROR(VLOOKUP(K791,OFFSET(abbreviation[],0,ColumnLanguage),ColumnAbbreviation,FALSE),"")</f>
        <v/>
      </c>
      <c r="BN791" s="21" t="str">
        <f t="shared" ca="1" si="84"/>
        <v/>
      </c>
      <c r="BO791" s="21" t="str">
        <f ca="1">IFERROR(VLOOKUP(N791,OFFSET(abbreviation[],0,ColumnLanguage),ColumnAbbreviation,FALSE),"")</f>
        <v/>
      </c>
      <c r="BP791" s="21" t="str">
        <f ca="1">IFERROR(VLOOKUP(P791,OFFSET(abbreviation[],0,ColumnLanguage),ColumnAbbreviation,FALSE),"")</f>
        <v/>
      </c>
      <c r="BQ791" s="21" t="str">
        <f ca="1">IFERROR(VLOOKUP(T791,OFFSET(abbreviation[],0,ColumnLanguage),ColumnAbbreviation,FALSE),"")</f>
        <v/>
      </c>
      <c r="BR791" s="21" t="str">
        <f ca="1">IFERROR(VLOOKUP(V791,OFFSET(abbreviation[],0,ColumnLanguage),ColumnAbbreviation,FALSE),"")</f>
        <v/>
      </c>
      <c r="BS791" s="21" t="str">
        <f ca="1">IFERROR(VLOOKUP(Z791,OFFSET(abbreviation[],0,ColumnLanguage),ColumnAbbreviation,FALSE),"")</f>
        <v/>
      </c>
      <c r="BT791" s="21" t="str">
        <f ca="1">IFERROR(VLOOKUP(AB791,OFFSET(abbreviation[],0,ColumnLanguage),ColumnAbbreviation,FALSE),"")</f>
        <v/>
      </c>
      <c r="BU791" s="21" t="str">
        <f t="shared" ca="1" si="85"/>
        <v>__</v>
      </c>
      <c r="BV791" s="21" t="str">
        <f ca="1">IFERROR(VLOOKUP(AF791,OFFSET(abbreviation[],0,ColumnLanguage),ColumnAbbreviation,FALSE),"")</f>
        <v/>
      </c>
      <c r="BW791" s="21" t="str">
        <f ca="1">IFERROR(VLOOKUP(AH791,OFFSET(abbreviation[],0,ColumnLanguage),ColumnAbbreviation,FALSE),"")</f>
        <v/>
      </c>
      <c r="BX791" s="21" t="str">
        <f ca="1">IFERROR(VLOOKUP(AJ791,OFFSET(abbreviation[],0,ColumnLanguage),ColumnAbbreviation,FALSE),"")</f>
        <v/>
      </c>
      <c r="BY791" s="21" t="str">
        <f ca="1">IFERROR(VLOOKUP(AL791,OFFSET(abbreviation[],0,ColumnLanguage),ColumnAbbreviation,FALSE),"")</f>
        <v/>
      </c>
      <c r="BZ791" s="21" t="str">
        <f t="shared" ca="1" si="86"/>
        <v>_</v>
      </c>
      <c r="CA791" s="21" t="str">
        <f ca="1">IFERROR(VLOOKUP(AP791,OFFSET(abbreviation[],0,ColumnLanguage),ColumnAbbreviation,FALSE),"")</f>
        <v/>
      </c>
      <c r="CB791" s="21" t="str">
        <f ca="1">IFERROR(VLOOKUP(AR791,OFFSET(abbreviation[],0,ColumnLanguage),ColumnAbbreviation,FALSE),"")</f>
        <v/>
      </c>
      <c r="CC791" s="21" t="str">
        <f ca="1">IFERROR(VLOOKUP(AT791,OFFSET(abbreviation[],0,ColumnLanguage),ColumnAbbreviation,FALSE),"")</f>
        <v/>
      </c>
      <c r="CD791" s="21" t="str">
        <f ca="1">IFERROR(VLOOKUP(AV791,OFFSET(abbreviation[],0,ColumnLanguage),ColumnAbbreviation,FALSE),"")</f>
        <v/>
      </c>
      <c r="CE791" s="21" t="str">
        <f t="shared" ca="1" si="87"/>
        <v>__</v>
      </c>
      <c r="CF791" s="21" t="str">
        <f ca="1">IFERROR(VLOOKUP(AX791,OFFSET(abbreviation[],0,ColumnLanguage),ColumnAbbreviation,FALSE),"")</f>
        <v/>
      </c>
      <c r="CG791" s="21" t="str">
        <f ca="1">IFERROR(VLOOKUP(AZ791,OFFSET(abbreviation[],0,ColumnLanguage),ColumnAbbreviation,FALSE),"")</f>
        <v/>
      </c>
      <c r="CH791" s="21" t="str">
        <f ca="1">IFERROR(VLOOKUP(BB791,OFFSET(abbreviation[],0,ColumnLanguage),ColumnAbbreviation,FALSE),"")</f>
        <v/>
      </c>
      <c r="CI791" s="21" t="str">
        <f ca="1">IFERROR(VLOOKUP(BD791,OFFSET(abbreviation[],0,ColumnLanguage),ColumnAbbreviation,FALSE),"")</f>
        <v/>
      </c>
      <c r="CJ791" s="21" t="str">
        <f ca="1">IFERROR(VLOOKUP(BF791,OFFSET(abbreviation[],0,ColumnLanguage),ColumnAbbreviation,FALSE),"")</f>
        <v/>
      </c>
      <c r="CK791" s="21" t="str">
        <f t="shared" ca="1" si="88"/>
        <v/>
      </c>
      <c r="CL791" s="21" t="str">
        <f t="shared" si="89"/>
        <v/>
      </c>
      <c r="CM791" s="52"/>
      <c r="CN791" s="57" t="str">
        <f t="shared" si="90"/>
        <v/>
      </c>
    </row>
    <row r="792" spans="17:92" x14ac:dyDescent="0.25">
      <c r="Q792" s="13"/>
      <c r="T792" s="12"/>
      <c r="V792" s="60"/>
      <c r="X792" s="61"/>
      <c r="AB792" s="60"/>
      <c r="AD792" s="61"/>
      <c r="AN792" s="54"/>
      <c r="AS792" s="15"/>
      <c r="BH792" s="52"/>
      <c r="BI792" s="21" t="str">
        <f ca="1">IFERROR(VLOOKUP(C792,OFFSET(abbreviation[],0,ColumnLanguage),ColumnAbbreviation,FALSE),"")</f>
        <v/>
      </c>
      <c r="BJ792" s="21" t="str">
        <f ca="1">IFERROR(VLOOKUP(E792,OFFSET(abbreviation[],0,ColumnLanguage),ColumnAbbreviation,FALSE),"")</f>
        <v/>
      </c>
      <c r="BK792" s="21" t="str">
        <f ca="1">IFERROR(VLOOKUP(G792,OFFSET(abbreviation[],0,ColumnLanguage),ColumnAbbreviation,FALSE),"")</f>
        <v/>
      </c>
      <c r="BL792" s="21" t="str">
        <f ca="1">IFERROR(VLOOKUP(I792,OFFSET(abbreviation[],0,ColumnLanguage),ColumnAbbreviation,FALSE),"")</f>
        <v/>
      </c>
      <c r="BM792" s="21" t="str">
        <f ca="1">IFERROR(VLOOKUP(K792,OFFSET(abbreviation[],0,ColumnLanguage),ColumnAbbreviation,FALSE),"")</f>
        <v/>
      </c>
      <c r="BN792" s="21" t="str">
        <f t="shared" ca="1" si="84"/>
        <v/>
      </c>
      <c r="BO792" s="21" t="str">
        <f ca="1">IFERROR(VLOOKUP(N792,OFFSET(abbreviation[],0,ColumnLanguage),ColumnAbbreviation,FALSE),"")</f>
        <v/>
      </c>
      <c r="BP792" s="21" t="str">
        <f ca="1">IFERROR(VLOOKUP(P792,OFFSET(abbreviation[],0,ColumnLanguage),ColumnAbbreviation,FALSE),"")</f>
        <v/>
      </c>
      <c r="BQ792" s="21" t="str">
        <f ca="1">IFERROR(VLOOKUP(T792,OFFSET(abbreviation[],0,ColumnLanguage),ColumnAbbreviation,FALSE),"")</f>
        <v/>
      </c>
      <c r="BR792" s="21" t="str">
        <f ca="1">IFERROR(VLOOKUP(V792,OFFSET(abbreviation[],0,ColumnLanguage),ColumnAbbreviation,FALSE),"")</f>
        <v/>
      </c>
      <c r="BS792" s="21" t="str">
        <f ca="1">IFERROR(VLOOKUP(Z792,OFFSET(abbreviation[],0,ColumnLanguage),ColumnAbbreviation,FALSE),"")</f>
        <v/>
      </c>
      <c r="BT792" s="21" t="str">
        <f ca="1">IFERROR(VLOOKUP(AB792,OFFSET(abbreviation[],0,ColumnLanguage),ColumnAbbreviation,FALSE),"")</f>
        <v/>
      </c>
      <c r="BU792" s="21" t="str">
        <f t="shared" ca="1" si="85"/>
        <v>__</v>
      </c>
      <c r="BV792" s="21" t="str">
        <f ca="1">IFERROR(VLOOKUP(AF792,OFFSET(abbreviation[],0,ColumnLanguage),ColumnAbbreviation,FALSE),"")</f>
        <v/>
      </c>
      <c r="BW792" s="21" t="str">
        <f ca="1">IFERROR(VLOOKUP(AH792,OFFSET(abbreviation[],0,ColumnLanguage),ColumnAbbreviation,FALSE),"")</f>
        <v/>
      </c>
      <c r="BX792" s="21" t="str">
        <f ca="1">IFERROR(VLOOKUP(AJ792,OFFSET(abbreviation[],0,ColumnLanguage),ColumnAbbreviation,FALSE),"")</f>
        <v/>
      </c>
      <c r="BY792" s="21" t="str">
        <f ca="1">IFERROR(VLOOKUP(AL792,OFFSET(abbreviation[],0,ColumnLanguage),ColumnAbbreviation,FALSE),"")</f>
        <v/>
      </c>
      <c r="BZ792" s="21" t="str">
        <f t="shared" ca="1" si="86"/>
        <v>_</v>
      </c>
      <c r="CA792" s="21" t="str">
        <f ca="1">IFERROR(VLOOKUP(AP792,OFFSET(abbreviation[],0,ColumnLanguage),ColumnAbbreviation,FALSE),"")</f>
        <v/>
      </c>
      <c r="CB792" s="21" t="str">
        <f ca="1">IFERROR(VLOOKUP(AR792,OFFSET(abbreviation[],0,ColumnLanguage),ColumnAbbreviation,FALSE),"")</f>
        <v/>
      </c>
      <c r="CC792" s="21" t="str">
        <f ca="1">IFERROR(VLOOKUP(AT792,OFFSET(abbreviation[],0,ColumnLanguage),ColumnAbbreviation,FALSE),"")</f>
        <v/>
      </c>
      <c r="CD792" s="21" t="str">
        <f ca="1">IFERROR(VLOOKUP(AV792,OFFSET(abbreviation[],0,ColumnLanguage),ColumnAbbreviation,FALSE),"")</f>
        <v/>
      </c>
      <c r="CE792" s="21" t="str">
        <f t="shared" ca="1" si="87"/>
        <v>__</v>
      </c>
      <c r="CF792" s="21" t="str">
        <f ca="1">IFERROR(VLOOKUP(AX792,OFFSET(abbreviation[],0,ColumnLanguage),ColumnAbbreviation,FALSE),"")</f>
        <v/>
      </c>
      <c r="CG792" s="21" t="str">
        <f ca="1">IFERROR(VLOOKUP(AZ792,OFFSET(abbreviation[],0,ColumnLanguage),ColumnAbbreviation,FALSE),"")</f>
        <v/>
      </c>
      <c r="CH792" s="21" t="str">
        <f ca="1">IFERROR(VLOOKUP(BB792,OFFSET(abbreviation[],0,ColumnLanguage),ColumnAbbreviation,FALSE),"")</f>
        <v/>
      </c>
      <c r="CI792" s="21" t="str">
        <f ca="1">IFERROR(VLOOKUP(BD792,OFFSET(abbreviation[],0,ColumnLanguage),ColumnAbbreviation,FALSE),"")</f>
        <v/>
      </c>
      <c r="CJ792" s="21" t="str">
        <f ca="1">IFERROR(VLOOKUP(BF792,OFFSET(abbreviation[],0,ColumnLanguage),ColumnAbbreviation,FALSE),"")</f>
        <v/>
      </c>
      <c r="CK792" s="21" t="str">
        <f t="shared" ca="1" si="88"/>
        <v/>
      </c>
      <c r="CL792" s="21" t="str">
        <f t="shared" si="89"/>
        <v/>
      </c>
      <c r="CM792" s="52"/>
      <c r="CN792" s="57" t="str">
        <f t="shared" si="90"/>
        <v/>
      </c>
    </row>
    <row r="793" spans="17:92" x14ac:dyDescent="0.25">
      <c r="Q793" s="13"/>
      <c r="T793" s="12"/>
      <c r="V793" s="60"/>
      <c r="X793" s="61"/>
      <c r="AB793" s="60"/>
      <c r="AD793" s="61"/>
      <c r="AN793" s="54"/>
      <c r="AS793" s="15"/>
      <c r="BH793" s="52"/>
      <c r="BI793" s="21" t="str">
        <f ca="1">IFERROR(VLOOKUP(C793,OFFSET(abbreviation[],0,ColumnLanguage),ColumnAbbreviation,FALSE),"")</f>
        <v/>
      </c>
      <c r="BJ793" s="21" t="str">
        <f ca="1">IFERROR(VLOOKUP(E793,OFFSET(abbreviation[],0,ColumnLanguage),ColumnAbbreviation,FALSE),"")</f>
        <v/>
      </c>
      <c r="BK793" s="21" t="str">
        <f ca="1">IFERROR(VLOOKUP(G793,OFFSET(abbreviation[],0,ColumnLanguage),ColumnAbbreviation,FALSE),"")</f>
        <v/>
      </c>
      <c r="BL793" s="21" t="str">
        <f ca="1">IFERROR(VLOOKUP(I793,OFFSET(abbreviation[],0,ColumnLanguage),ColumnAbbreviation,FALSE),"")</f>
        <v/>
      </c>
      <c r="BM793" s="21" t="str">
        <f ca="1">IFERROR(VLOOKUP(K793,OFFSET(abbreviation[],0,ColumnLanguage),ColumnAbbreviation,FALSE),"")</f>
        <v/>
      </c>
      <c r="BN793" s="21" t="str">
        <f t="shared" ca="1" si="84"/>
        <v/>
      </c>
      <c r="BO793" s="21" t="str">
        <f ca="1">IFERROR(VLOOKUP(N793,OFFSET(abbreviation[],0,ColumnLanguage),ColumnAbbreviation,FALSE),"")</f>
        <v/>
      </c>
      <c r="BP793" s="21" t="str">
        <f ca="1">IFERROR(VLOOKUP(P793,OFFSET(abbreviation[],0,ColumnLanguage),ColumnAbbreviation,FALSE),"")</f>
        <v/>
      </c>
      <c r="BQ793" s="21" t="str">
        <f ca="1">IFERROR(VLOOKUP(T793,OFFSET(abbreviation[],0,ColumnLanguage),ColumnAbbreviation,FALSE),"")</f>
        <v/>
      </c>
      <c r="BR793" s="21" t="str">
        <f ca="1">IFERROR(VLOOKUP(V793,OFFSET(abbreviation[],0,ColumnLanguage),ColumnAbbreviation,FALSE),"")</f>
        <v/>
      </c>
      <c r="BS793" s="21" t="str">
        <f ca="1">IFERROR(VLOOKUP(Z793,OFFSET(abbreviation[],0,ColumnLanguage),ColumnAbbreviation,FALSE),"")</f>
        <v/>
      </c>
      <c r="BT793" s="21" t="str">
        <f ca="1">IFERROR(VLOOKUP(AB793,OFFSET(abbreviation[],0,ColumnLanguage),ColumnAbbreviation,FALSE),"")</f>
        <v/>
      </c>
      <c r="BU793" s="21" t="str">
        <f t="shared" ca="1" si="85"/>
        <v>__</v>
      </c>
      <c r="BV793" s="21" t="str">
        <f ca="1">IFERROR(VLOOKUP(AF793,OFFSET(abbreviation[],0,ColumnLanguage),ColumnAbbreviation,FALSE),"")</f>
        <v/>
      </c>
      <c r="BW793" s="21" t="str">
        <f ca="1">IFERROR(VLOOKUP(AH793,OFFSET(abbreviation[],0,ColumnLanguage),ColumnAbbreviation,FALSE),"")</f>
        <v/>
      </c>
      <c r="BX793" s="21" t="str">
        <f ca="1">IFERROR(VLOOKUP(AJ793,OFFSET(abbreviation[],0,ColumnLanguage),ColumnAbbreviation,FALSE),"")</f>
        <v/>
      </c>
      <c r="BY793" s="21" t="str">
        <f ca="1">IFERROR(VLOOKUP(AL793,OFFSET(abbreviation[],0,ColumnLanguage),ColumnAbbreviation,FALSE),"")</f>
        <v/>
      </c>
      <c r="BZ793" s="21" t="str">
        <f t="shared" ca="1" si="86"/>
        <v>_</v>
      </c>
      <c r="CA793" s="21" t="str">
        <f ca="1">IFERROR(VLOOKUP(AP793,OFFSET(abbreviation[],0,ColumnLanguage),ColumnAbbreviation,FALSE),"")</f>
        <v/>
      </c>
      <c r="CB793" s="21" t="str">
        <f ca="1">IFERROR(VLOOKUP(AR793,OFFSET(abbreviation[],0,ColumnLanguage),ColumnAbbreviation,FALSE),"")</f>
        <v/>
      </c>
      <c r="CC793" s="21" t="str">
        <f ca="1">IFERROR(VLOOKUP(AT793,OFFSET(abbreviation[],0,ColumnLanguage),ColumnAbbreviation,FALSE),"")</f>
        <v/>
      </c>
      <c r="CD793" s="21" t="str">
        <f ca="1">IFERROR(VLOOKUP(AV793,OFFSET(abbreviation[],0,ColumnLanguage),ColumnAbbreviation,FALSE),"")</f>
        <v/>
      </c>
      <c r="CE793" s="21" t="str">
        <f t="shared" ca="1" si="87"/>
        <v>__</v>
      </c>
      <c r="CF793" s="21" t="str">
        <f ca="1">IFERROR(VLOOKUP(AX793,OFFSET(abbreviation[],0,ColumnLanguage),ColumnAbbreviation,FALSE),"")</f>
        <v/>
      </c>
      <c r="CG793" s="21" t="str">
        <f ca="1">IFERROR(VLOOKUP(AZ793,OFFSET(abbreviation[],0,ColumnLanguage),ColumnAbbreviation,FALSE),"")</f>
        <v/>
      </c>
      <c r="CH793" s="21" t="str">
        <f ca="1">IFERROR(VLOOKUP(BB793,OFFSET(abbreviation[],0,ColumnLanguage),ColumnAbbreviation,FALSE),"")</f>
        <v/>
      </c>
      <c r="CI793" s="21" t="str">
        <f ca="1">IFERROR(VLOOKUP(BD793,OFFSET(abbreviation[],0,ColumnLanguage),ColumnAbbreviation,FALSE),"")</f>
        <v/>
      </c>
      <c r="CJ793" s="21" t="str">
        <f ca="1">IFERROR(VLOOKUP(BF793,OFFSET(abbreviation[],0,ColumnLanguage),ColumnAbbreviation,FALSE),"")</f>
        <v/>
      </c>
      <c r="CK793" s="21" t="str">
        <f t="shared" ca="1" si="88"/>
        <v/>
      </c>
      <c r="CL793" s="21" t="str">
        <f t="shared" si="89"/>
        <v/>
      </c>
      <c r="CM793" s="52"/>
      <c r="CN793" s="57" t="str">
        <f t="shared" si="90"/>
        <v/>
      </c>
    </row>
    <row r="794" spans="17:92" x14ac:dyDescent="0.25">
      <c r="Q794" s="13"/>
      <c r="T794" s="12"/>
      <c r="V794" s="60"/>
      <c r="X794" s="61"/>
      <c r="AB794" s="60"/>
      <c r="AD794" s="61"/>
      <c r="AN794" s="54"/>
      <c r="AS794" s="15"/>
      <c r="BH794" s="52"/>
      <c r="BI794" s="21" t="str">
        <f ca="1">IFERROR(VLOOKUP(C794,OFFSET(abbreviation[],0,ColumnLanguage),ColumnAbbreviation,FALSE),"")</f>
        <v/>
      </c>
      <c r="BJ794" s="21" t="str">
        <f ca="1">IFERROR(VLOOKUP(E794,OFFSET(abbreviation[],0,ColumnLanguage),ColumnAbbreviation,FALSE),"")</f>
        <v/>
      </c>
      <c r="BK794" s="21" t="str">
        <f ca="1">IFERROR(VLOOKUP(G794,OFFSET(abbreviation[],0,ColumnLanguage),ColumnAbbreviation,FALSE),"")</f>
        <v/>
      </c>
      <c r="BL794" s="21" t="str">
        <f ca="1">IFERROR(VLOOKUP(I794,OFFSET(abbreviation[],0,ColumnLanguage),ColumnAbbreviation,FALSE),"")</f>
        <v/>
      </c>
      <c r="BM794" s="21" t="str">
        <f ca="1">IFERROR(VLOOKUP(K794,OFFSET(abbreviation[],0,ColumnLanguage),ColumnAbbreviation,FALSE),"")</f>
        <v/>
      </c>
      <c r="BN794" s="21" t="str">
        <f t="shared" ca="1" si="84"/>
        <v/>
      </c>
      <c r="BO794" s="21" t="str">
        <f ca="1">IFERROR(VLOOKUP(N794,OFFSET(abbreviation[],0,ColumnLanguage),ColumnAbbreviation,FALSE),"")</f>
        <v/>
      </c>
      <c r="BP794" s="21" t="str">
        <f ca="1">IFERROR(VLOOKUP(P794,OFFSET(abbreviation[],0,ColumnLanguage),ColumnAbbreviation,FALSE),"")</f>
        <v/>
      </c>
      <c r="BQ794" s="21" t="str">
        <f ca="1">IFERROR(VLOOKUP(T794,OFFSET(abbreviation[],0,ColumnLanguage),ColumnAbbreviation,FALSE),"")</f>
        <v/>
      </c>
      <c r="BR794" s="21" t="str">
        <f ca="1">IFERROR(VLOOKUP(V794,OFFSET(abbreviation[],0,ColumnLanguage),ColumnAbbreviation,FALSE),"")</f>
        <v/>
      </c>
      <c r="BS794" s="21" t="str">
        <f ca="1">IFERROR(VLOOKUP(Z794,OFFSET(abbreviation[],0,ColumnLanguage),ColumnAbbreviation,FALSE),"")</f>
        <v/>
      </c>
      <c r="BT794" s="21" t="str">
        <f ca="1">IFERROR(VLOOKUP(AB794,OFFSET(abbreviation[],0,ColumnLanguage),ColumnAbbreviation,FALSE),"")</f>
        <v/>
      </c>
      <c r="BU794" s="21" t="str">
        <f t="shared" ca="1" si="85"/>
        <v>__</v>
      </c>
      <c r="BV794" s="21" t="str">
        <f ca="1">IFERROR(VLOOKUP(AF794,OFFSET(abbreviation[],0,ColumnLanguage),ColumnAbbreviation,FALSE),"")</f>
        <v/>
      </c>
      <c r="BW794" s="21" t="str">
        <f ca="1">IFERROR(VLOOKUP(AH794,OFFSET(abbreviation[],0,ColumnLanguage),ColumnAbbreviation,FALSE),"")</f>
        <v/>
      </c>
      <c r="BX794" s="21" t="str">
        <f ca="1">IFERROR(VLOOKUP(AJ794,OFFSET(abbreviation[],0,ColumnLanguage),ColumnAbbreviation,FALSE),"")</f>
        <v/>
      </c>
      <c r="BY794" s="21" t="str">
        <f ca="1">IFERROR(VLOOKUP(AL794,OFFSET(abbreviation[],0,ColumnLanguage),ColumnAbbreviation,FALSE),"")</f>
        <v/>
      </c>
      <c r="BZ794" s="21" t="str">
        <f t="shared" ca="1" si="86"/>
        <v>_</v>
      </c>
      <c r="CA794" s="21" t="str">
        <f ca="1">IFERROR(VLOOKUP(AP794,OFFSET(abbreviation[],0,ColumnLanguage),ColumnAbbreviation,FALSE),"")</f>
        <v/>
      </c>
      <c r="CB794" s="21" t="str">
        <f ca="1">IFERROR(VLOOKUP(AR794,OFFSET(abbreviation[],0,ColumnLanguage),ColumnAbbreviation,FALSE),"")</f>
        <v/>
      </c>
      <c r="CC794" s="21" t="str">
        <f ca="1">IFERROR(VLOOKUP(AT794,OFFSET(abbreviation[],0,ColumnLanguage),ColumnAbbreviation,FALSE),"")</f>
        <v/>
      </c>
      <c r="CD794" s="21" t="str">
        <f ca="1">IFERROR(VLOOKUP(AV794,OFFSET(abbreviation[],0,ColumnLanguage),ColumnAbbreviation,FALSE),"")</f>
        <v/>
      </c>
      <c r="CE794" s="21" t="str">
        <f t="shared" ca="1" si="87"/>
        <v>__</v>
      </c>
      <c r="CF794" s="21" t="str">
        <f ca="1">IFERROR(VLOOKUP(AX794,OFFSET(abbreviation[],0,ColumnLanguage),ColumnAbbreviation,FALSE),"")</f>
        <v/>
      </c>
      <c r="CG794" s="21" t="str">
        <f ca="1">IFERROR(VLOOKUP(AZ794,OFFSET(abbreviation[],0,ColumnLanguage),ColumnAbbreviation,FALSE),"")</f>
        <v/>
      </c>
      <c r="CH794" s="21" t="str">
        <f ca="1">IFERROR(VLOOKUP(BB794,OFFSET(abbreviation[],0,ColumnLanguage),ColumnAbbreviation,FALSE),"")</f>
        <v/>
      </c>
      <c r="CI794" s="21" t="str">
        <f ca="1">IFERROR(VLOOKUP(BD794,OFFSET(abbreviation[],0,ColumnLanguage),ColumnAbbreviation,FALSE),"")</f>
        <v/>
      </c>
      <c r="CJ794" s="21" t="str">
        <f ca="1">IFERROR(VLOOKUP(BF794,OFFSET(abbreviation[],0,ColumnLanguage),ColumnAbbreviation,FALSE),"")</f>
        <v/>
      </c>
      <c r="CK794" s="21" t="str">
        <f t="shared" ca="1" si="88"/>
        <v/>
      </c>
      <c r="CL794" s="21" t="str">
        <f t="shared" si="89"/>
        <v/>
      </c>
      <c r="CM794" s="52"/>
      <c r="CN794" s="57" t="str">
        <f t="shared" si="90"/>
        <v/>
      </c>
    </row>
    <row r="795" spans="17:92" x14ac:dyDescent="0.25">
      <c r="Q795" s="13"/>
      <c r="T795" s="12"/>
      <c r="V795" s="60"/>
      <c r="X795" s="61"/>
      <c r="AB795" s="60"/>
      <c r="AD795" s="61"/>
      <c r="AN795" s="54"/>
      <c r="AS795" s="15"/>
      <c r="BH795" s="52"/>
      <c r="BI795" s="21" t="str">
        <f ca="1">IFERROR(VLOOKUP(C795,OFFSET(abbreviation[],0,ColumnLanguage),ColumnAbbreviation,FALSE),"")</f>
        <v/>
      </c>
      <c r="BJ795" s="21" t="str">
        <f ca="1">IFERROR(VLOOKUP(E795,OFFSET(abbreviation[],0,ColumnLanguage),ColumnAbbreviation,FALSE),"")</f>
        <v/>
      </c>
      <c r="BK795" s="21" t="str">
        <f ca="1">IFERROR(VLOOKUP(G795,OFFSET(abbreviation[],0,ColumnLanguage),ColumnAbbreviation,FALSE),"")</f>
        <v/>
      </c>
      <c r="BL795" s="21" t="str">
        <f ca="1">IFERROR(VLOOKUP(I795,OFFSET(abbreviation[],0,ColumnLanguage),ColumnAbbreviation,FALSE),"")</f>
        <v/>
      </c>
      <c r="BM795" s="21" t="str">
        <f ca="1">IFERROR(VLOOKUP(K795,OFFSET(abbreviation[],0,ColumnLanguage),ColumnAbbreviation,FALSE),"")</f>
        <v/>
      </c>
      <c r="BN795" s="21" t="str">
        <f t="shared" ca="1" si="84"/>
        <v/>
      </c>
      <c r="BO795" s="21" t="str">
        <f ca="1">IFERROR(VLOOKUP(N795,OFFSET(abbreviation[],0,ColumnLanguage),ColumnAbbreviation,FALSE),"")</f>
        <v/>
      </c>
      <c r="BP795" s="21" t="str">
        <f ca="1">IFERROR(VLOOKUP(P795,OFFSET(abbreviation[],0,ColumnLanguage),ColumnAbbreviation,FALSE),"")</f>
        <v/>
      </c>
      <c r="BQ795" s="21" t="str">
        <f ca="1">IFERROR(VLOOKUP(T795,OFFSET(abbreviation[],0,ColumnLanguage),ColumnAbbreviation,FALSE),"")</f>
        <v/>
      </c>
      <c r="BR795" s="21" t="str">
        <f ca="1">IFERROR(VLOOKUP(V795,OFFSET(abbreviation[],0,ColumnLanguage),ColumnAbbreviation,FALSE),"")</f>
        <v/>
      </c>
      <c r="BS795" s="21" t="str">
        <f ca="1">IFERROR(VLOOKUP(Z795,OFFSET(abbreviation[],0,ColumnLanguage),ColumnAbbreviation,FALSE),"")</f>
        <v/>
      </c>
      <c r="BT795" s="21" t="str">
        <f ca="1">IFERROR(VLOOKUP(AB795,OFFSET(abbreviation[],0,ColumnLanguage),ColumnAbbreviation,FALSE),"")</f>
        <v/>
      </c>
      <c r="BU795" s="21" t="str">
        <f t="shared" ca="1" si="85"/>
        <v>__</v>
      </c>
      <c r="BV795" s="21" t="str">
        <f ca="1">IFERROR(VLOOKUP(AF795,OFFSET(abbreviation[],0,ColumnLanguage),ColumnAbbreviation,FALSE),"")</f>
        <v/>
      </c>
      <c r="BW795" s="21" t="str">
        <f ca="1">IFERROR(VLOOKUP(AH795,OFFSET(abbreviation[],0,ColumnLanguage),ColumnAbbreviation,FALSE),"")</f>
        <v/>
      </c>
      <c r="BX795" s="21" t="str">
        <f ca="1">IFERROR(VLOOKUP(AJ795,OFFSET(abbreviation[],0,ColumnLanguage),ColumnAbbreviation,FALSE),"")</f>
        <v/>
      </c>
      <c r="BY795" s="21" t="str">
        <f ca="1">IFERROR(VLOOKUP(AL795,OFFSET(abbreviation[],0,ColumnLanguage),ColumnAbbreviation,FALSE),"")</f>
        <v/>
      </c>
      <c r="BZ795" s="21" t="str">
        <f t="shared" ca="1" si="86"/>
        <v>_</v>
      </c>
      <c r="CA795" s="21" t="str">
        <f ca="1">IFERROR(VLOOKUP(AP795,OFFSET(abbreviation[],0,ColumnLanguage),ColumnAbbreviation,FALSE),"")</f>
        <v/>
      </c>
      <c r="CB795" s="21" t="str">
        <f ca="1">IFERROR(VLOOKUP(AR795,OFFSET(abbreviation[],0,ColumnLanguage),ColumnAbbreviation,FALSE),"")</f>
        <v/>
      </c>
      <c r="CC795" s="21" t="str">
        <f ca="1">IFERROR(VLOOKUP(AT795,OFFSET(abbreviation[],0,ColumnLanguage),ColumnAbbreviation,FALSE),"")</f>
        <v/>
      </c>
      <c r="CD795" s="21" t="str">
        <f ca="1">IFERROR(VLOOKUP(AV795,OFFSET(abbreviation[],0,ColumnLanguage),ColumnAbbreviation,FALSE),"")</f>
        <v/>
      </c>
      <c r="CE795" s="21" t="str">
        <f t="shared" ca="1" si="87"/>
        <v>__</v>
      </c>
      <c r="CF795" s="21" t="str">
        <f ca="1">IFERROR(VLOOKUP(AX795,OFFSET(abbreviation[],0,ColumnLanguage),ColumnAbbreviation,FALSE),"")</f>
        <v/>
      </c>
      <c r="CG795" s="21" t="str">
        <f ca="1">IFERROR(VLOOKUP(AZ795,OFFSET(abbreviation[],0,ColumnLanguage),ColumnAbbreviation,FALSE),"")</f>
        <v/>
      </c>
      <c r="CH795" s="21" t="str">
        <f ca="1">IFERROR(VLOOKUP(BB795,OFFSET(abbreviation[],0,ColumnLanguage),ColumnAbbreviation,FALSE),"")</f>
        <v/>
      </c>
      <c r="CI795" s="21" t="str">
        <f ca="1">IFERROR(VLOOKUP(BD795,OFFSET(abbreviation[],0,ColumnLanguage),ColumnAbbreviation,FALSE),"")</f>
        <v/>
      </c>
      <c r="CJ795" s="21" t="str">
        <f ca="1">IFERROR(VLOOKUP(BF795,OFFSET(abbreviation[],0,ColumnLanguage),ColumnAbbreviation,FALSE),"")</f>
        <v/>
      </c>
      <c r="CK795" s="21" t="str">
        <f t="shared" ca="1" si="88"/>
        <v/>
      </c>
      <c r="CL795" s="21" t="str">
        <f t="shared" si="89"/>
        <v/>
      </c>
      <c r="CM795" s="52"/>
      <c r="CN795" s="57" t="str">
        <f t="shared" si="90"/>
        <v/>
      </c>
    </row>
    <row r="796" spans="17:92" x14ac:dyDescent="0.25">
      <c r="Q796" s="13"/>
      <c r="T796" s="12"/>
      <c r="V796" s="60"/>
      <c r="X796" s="61"/>
      <c r="AB796" s="60"/>
      <c r="AD796" s="61"/>
      <c r="AN796" s="54"/>
      <c r="AS796" s="15"/>
      <c r="BH796" s="52"/>
      <c r="BI796" s="21" t="str">
        <f ca="1">IFERROR(VLOOKUP(C796,OFFSET(abbreviation[],0,ColumnLanguage),ColumnAbbreviation,FALSE),"")</f>
        <v/>
      </c>
      <c r="BJ796" s="21" t="str">
        <f ca="1">IFERROR(VLOOKUP(E796,OFFSET(abbreviation[],0,ColumnLanguage),ColumnAbbreviation,FALSE),"")</f>
        <v/>
      </c>
      <c r="BK796" s="21" t="str">
        <f ca="1">IFERROR(VLOOKUP(G796,OFFSET(abbreviation[],0,ColumnLanguage),ColumnAbbreviation,FALSE),"")</f>
        <v/>
      </c>
      <c r="BL796" s="21" t="str">
        <f ca="1">IFERROR(VLOOKUP(I796,OFFSET(abbreviation[],0,ColumnLanguage),ColumnAbbreviation,FALSE),"")</f>
        <v/>
      </c>
      <c r="BM796" s="21" t="str">
        <f ca="1">IFERROR(VLOOKUP(K796,OFFSET(abbreviation[],0,ColumnLanguage),ColumnAbbreviation,FALSE),"")</f>
        <v/>
      </c>
      <c r="BN796" s="21" t="str">
        <f t="shared" ca="1" si="84"/>
        <v/>
      </c>
      <c r="BO796" s="21" t="str">
        <f ca="1">IFERROR(VLOOKUP(N796,OFFSET(abbreviation[],0,ColumnLanguage),ColumnAbbreviation,FALSE),"")</f>
        <v/>
      </c>
      <c r="BP796" s="21" t="str">
        <f ca="1">IFERROR(VLOOKUP(P796,OFFSET(abbreviation[],0,ColumnLanguage),ColumnAbbreviation,FALSE),"")</f>
        <v/>
      </c>
      <c r="BQ796" s="21" t="str">
        <f ca="1">IFERROR(VLOOKUP(T796,OFFSET(abbreviation[],0,ColumnLanguage),ColumnAbbreviation,FALSE),"")</f>
        <v/>
      </c>
      <c r="BR796" s="21" t="str">
        <f ca="1">IFERROR(VLOOKUP(V796,OFFSET(abbreviation[],0,ColumnLanguage),ColumnAbbreviation,FALSE),"")</f>
        <v/>
      </c>
      <c r="BS796" s="21" t="str">
        <f ca="1">IFERROR(VLOOKUP(Z796,OFFSET(abbreviation[],0,ColumnLanguage),ColumnAbbreviation,FALSE),"")</f>
        <v/>
      </c>
      <c r="BT796" s="21" t="str">
        <f ca="1">IFERROR(VLOOKUP(AB796,OFFSET(abbreviation[],0,ColumnLanguage),ColumnAbbreviation,FALSE),"")</f>
        <v/>
      </c>
      <c r="BU796" s="21" t="str">
        <f t="shared" ca="1" si="85"/>
        <v>__</v>
      </c>
      <c r="BV796" s="21" t="str">
        <f ca="1">IFERROR(VLOOKUP(AF796,OFFSET(abbreviation[],0,ColumnLanguage),ColumnAbbreviation,FALSE),"")</f>
        <v/>
      </c>
      <c r="BW796" s="21" t="str">
        <f ca="1">IFERROR(VLOOKUP(AH796,OFFSET(abbreviation[],0,ColumnLanguage),ColumnAbbreviation,FALSE),"")</f>
        <v/>
      </c>
      <c r="BX796" s="21" t="str">
        <f ca="1">IFERROR(VLOOKUP(AJ796,OFFSET(abbreviation[],0,ColumnLanguage),ColumnAbbreviation,FALSE),"")</f>
        <v/>
      </c>
      <c r="BY796" s="21" t="str">
        <f ca="1">IFERROR(VLOOKUP(AL796,OFFSET(abbreviation[],0,ColumnLanguage),ColumnAbbreviation,FALSE),"")</f>
        <v/>
      </c>
      <c r="BZ796" s="21" t="str">
        <f t="shared" ca="1" si="86"/>
        <v>_</v>
      </c>
      <c r="CA796" s="21" t="str">
        <f ca="1">IFERROR(VLOOKUP(AP796,OFFSET(abbreviation[],0,ColumnLanguage),ColumnAbbreviation,FALSE),"")</f>
        <v/>
      </c>
      <c r="CB796" s="21" t="str">
        <f ca="1">IFERROR(VLOOKUP(AR796,OFFSET(abbreviation[],0,ColumnLanguage),ColumnAbbreviation,FALSE),"")</f>
        <v/>
      </c>
      <c r="CC796" s="21" t="str">
        <f ca="1">IFERROR(VLOOKUP(AT796,OFFSET(abbreviation[],0,ColumnLanguage),ColumnAbbreviation,FALSE),"")</f>
        <v/>
      </c>
      <c r="CD796" s="21" t="str">
        <f ca="1">IFERROR(VLOOKUP(AV796,OFFSET(abbreviation[],0,ColumnLanguage),ColumnAbbreviation,FALSE),"")</f>
        <v/>
      </c>
      <c r="CE796" s="21" t="str">
        <f t="shared" ca="1" si="87"/>
        <v>__</v>
      </c>
      <c r="CF796" s="21" t="str">
        <f ca="1">IFERROR(VLOOKUP(AX796,OFFSET(abbreviation[],0,ColumnLanguage),ColumnAbbreviation,FALSE),"")</f>
        <v/>
      </c>
      <c r="CG796" s="21" t="str">
        <f ca="1">IFERROR(VLOOKUP(AZ796,OFFSET(abbreviation[],0,ColumnLanguage),ColumnAbbreviation,FALSE),"")</f>
        <v/>
      </c>
      <c r="CH796" s="21" t="str">
        <f ca="1">IFERROR(VLOOKUP(BB796,OFFSET(abbreviation[],0,ColumnLanguage),ColumnAbbreviation,FALSE),"")</f>
        <v/>
      </c>
      <c r="CI796" s="21" t="str">
        <f ca="1">IFERROR(VLOOKUP(BD796,OFFSET(abbreviation[],0,ColumnLanguage),ColumnAbbreviation,FALSE),"")</f>
        <v/>
      </c>
      <c r="CJ796" s="21" t="str">
        <f ca="1">IFERROR(VLOOKUP(BF796,OFFSET(abbreviation[],0,ColumnLanguage),ColumnAbbreviation,FALSE),"")</f>
        <v/>
      </c>
      <c r="CK796" s="21" t="str">
        <f t="shared" ca="1" si="88"/>
        <v/>
      </c>
      <c r="CL796" s="21" t="str">
        <f t="shared" si="89"/>
        <v/>
      </c>
      <c r="CM796" s="52"/>
      <c r="CN796" s="57" t="str">
        <f t="shared" si="90"/>
        <v/>
      </c>
    </row>
    <row r="797" spans="17:92" x14ac:dyDescent="0.25">
      <c r="Q797" s="13"/>
      <c r="T797" s="12"/>
      <c r="V797" s="60"/>
      <c r="X797" s="61"/>
      <c r="AB797" s="60"/>
      <c r="AD797" s="61"/>
      <c r="AN797" s="54"/>
      <c r="AS797" s="15"/>
      <c r="BH797" s="52"/>
      <c r="BI797" s="21" t="str">
        <f ca="1">IFERROR(VLOOKUP(C797,OFFSET(abbreviation[],0,ColumnLanguage),ColumnAbbreviation,FALSE),"")</f>
        <v/>
      </c>
      <c r="BJ797" s="21" t="str">
        <f ca="1">IFERROR(VLOOKUP(E797,OFFSET(abbreviation[],0,ColumnLanguage),ColumnAbbreviation,FALSE),"")</f>
        <v/>
      </c>
      <c r="BK797" s="21" t="str">
        <f ca="1">IFERROR(VLOOKUP(G797,OFFSET(abbreviation[],0,ColumnLanguage),ColumnAbbreviation,FALSE),"")</f>
        <v/>
      </c>
      <c r="BL797" s="21" t="str">
        <f ca="1">IFERROR(VLOOKUP(I797,OFFSET(abbreviation[],0,ColumnLanguage),ColumnAbbreviation,FALSE),"")</f>
        <v/>
      </c>
      <c r="BM797" s="21" t="str">
        <f ca="1">IFERROR(VLOOKUP(K797,OFFSET(abbreviation[],0,ColumnLanguage),ColumnAbbreviation,FALSE),"")</f>
        <v/>
      </c>
      <c r="BN797" s="21" t="str">
        <f t="shared" ca="1" si="84"/>
        <v/>
      </c>
      <c r="BO797" s="21" t="str">
        <f ca="1">IFERROR(VLOOKUP(N797,OFFSET(abbreviation[],0,ColumnLanguage),ColumnAbbreviation,FALSE),"")</f>
        <v/>
      </c>
      <c r="BP797" s="21" t="str">
        <f ca="1">IFERROR(VLOOKUP(P797,OFFSET(abbreviation[],0,ColumnLanguage),ColumnAbbreviation,FALSE),"")</f>
        <v/>
      </c>
      <c r="BQ797" s="21" t="str">
        <f ca="1">IFERROR(VLOOKUP(T797,OFFSET(abbreviation[],0,ColumnLanguage),ColumnAbbreviation,FALSE),"")</f>
        <v/>
      </c>
      <c r="BR797" s="21" t="str">
        <f ca="1">IFERROR(VLOOKUP(V797,OFFSET(abbreviation[],0,ColumnLanguage),ColumnAbbreviation,FALSE),"")</f>
        <v/>
      </c>
      <c r="BS797" s="21" t="str">
        <f ca="1">IFERROR(VLOOKUP(Z797,OFFSET(abbreviation[],0,ColumnLanguage),ColumnAbbreviation,FALSE),"")</f>
        <v/>
      </c>
      <c r="BT797" s="21" t="str">
        <f ca="1">IFERROR(VLOOKUP(AB797,OFFSET(abbreviation[],0,ColumnLanguage),ColumnAbbreviation,FALSE),"")</f>
        <v/>
      </c>
      <c r="BU797" s="21" t="str">
        <f t="shared" ca="1" si="85"/>
        <v>__</v>
      </c>
      <c r="BV797" s="21" t="str">
        <f ca="1">IFERROR(VLOOKUP(AF797,OFFSET(abbreviation[],0,ColumnLanguage),ColumnAbbreviation,FALSE),"")</f>
        <v/>
      </c>
      <c r="BW797" s="21" t="str">
        <f ca="1">IFERROR(VLOOKUP(AH797,OFFSET(abbreviation[],0,ColumnLanguage),ColumnAbbreviation,FALSE),"")</f>
        <v/>
      </c>
      <c r="BX797" s="21" t="str">
        <f ca="1">IFERROR(VLOOKUP(AJ797,OFFSET(abbreviation[],0,ColumnLanguage),ColumnAbbreviation,FALSE),"")</f>
        <v/>
      </c>
      <c r="BY797" s="21" t="str">
        <f ca="1">IFERROR(VLOOKUP(AL797,OFFSET(abbreviation[],0,ColumnLanguage),ColumnAbbreviation,FALSE),"")</f>
        <v/>
      </c>
      <c r="BZ797" s="21" t="str">
        <f t="shared" ca="1" si="86"/>
        <v>_</v>
      </c>
      <c r="CA797" s="21" t="str">
        <f ca="1">IFERROR(VLOOKUP(AP797,OFFSET(abbreviation[],0,ColumnLanguage),ColumnAbbreviation,FALSE),"")</f>
        <v/>
      </c>
      <c r="CB797" s="21" t="str">
        <f ca="1">IFERROR(VLOOKUP(AR797,OFFSET(abbreviation[],0,ColumnLanguage),ColumnAbbreviation,FALSE),"")</f>
        <v/>
      </c>
      <c r="CC797" s="21" t="str">
        <f ca="1">IFERROR(VLOOKUP(AT797,OFFSET(abbreviation[],0,ColumnLanguage),ColumnAbbreviation,FALSE),"")</f>
        <v/>
      </c>
      <c r="CD797" s="21" t="str">
        <f ca="1">IFERROR(VLOOKUP(AV797,OFFSET(abbreviation[],0,ColumnLanguage),ColumnAbbreviation,FALSE),"")</f>
        <v/>
      </c>
      <c r="CE797" s="21" t="str">
        <f t="shared" ca="1" si="87"/>
        <v>__</v>
      </c>
      <c r="CF797" s="21" t="str">
        <f ca="1">IFERROR(VLOOKUP(AX797,OFFSET(abbreviation[],0,ColumnLanguage),ColumnAbbreviation,FALSE),"")</f>
        <v/>
      </c>
      <c r="CG797" s="21" t="str">
        <f ca="1">IFERROR(VLOOKUP(AZ797,OFFSET(abbreviation[],0,ColumnLanguage),ColumnAbbreviation,FALSE),"")</f>
        <v/>
      </c>
      <c r="CH797" s="21" t="str">
        <f ca="1">IFERROR(VLOOKUP(BB797,OFFSET(abbreviation[],0,ColumnLanguage),ColumnAbbreviation,FALSE),"")</f>
        <v/>
      </c>
      <c r="CI797" s="21" t="str">
        <f ca="1">IFERROR(VLOOKUP(BD797,OFFSET(abbreviation[],0,ColumnLanguage),ColumnAbbreviation,FALSE),"")</f>
        <v/>
      </c>
      <c r="CJ797" s="21" t="str">
        <f ca="1">IFERROR(VLOOKUP(BF797,OFFSET(abbreviation[],0,ColumnLanguage),ColumnAbbreviation,FALSE),"")</f>
        <v/>
      </c>
      <c r="CK797" s="21" t="str">
        <f t="shared" ca="1" si="88"/>
        <v/>
      </c>
      <c r="CL797" s="21" t="str">
        <f t="shared" si="89"/>
        <v/>
      </c>
      <c r="CM797" s="52"/>
      <c r="CN797" s="57" t="str">
        <f t="shared" si="90"/>
        <v/>
      </c>
    </row>
    <row r="798" spans="17:92" x14ac:dyDescent="0.25">
      <c r="Q798" s="13"/>
      <c r="T798" s="12"/>
      <c r="V798" s="60"/>
      <c r="X798" s="61"/>
      <c r="AB798" s="60"/>
      <c r="AD798" s="61"/>
      <c r="AN798" s="54"/>
      <c r="AS798" s="15"/>
      <c r="BH798" s="52"/>
      <c r="BI798" s="21" t="str">
        <f ca="1">IFERROR(VLOOKUP(C798,OFFSET(abbreviation[],0,ColumnLanguage),ColumnAbbreviation,FALSE),"")</f>
        <v/>
      </c>
      <c r="BJ798" s="21" t="str">
        <f ca="1">IFERROR(VLOOKUP(E798,OFFSET(abbreviation[],0,ColumnLanguage),ColumnAbbreviation,FALSE),"")</f>
        <v/>
      </c>
      <c r="BK798" s="21" t="str">
        <f ca="1">IFERROR(VLOOKUP(G798,OFFSET(abbreviation[],0,ColumnLanguage),ColumnAbbreviation,FALSE),"")</f>
        <v/>
      </c>
      <c r="BL798" s="21" t="str">
        <f ca="1">IFERROR(VLOOKUP(I798,OFFSET(abbreviation[],0,ColumnLanguage),ColumnAbbreviation,FALSE),"")</f>
        <v/>
      </c>
      <c r="BM798" s="21" t="str">
        <f ca="1">IFERROR(VLOOKUP(K798,OFFSET(abbreviation[],0,ColumnLanguage),ColumnAbbreviation,FALSE),"")</f>
        <v/>
      </c>
      <c r="BN798" s="21" t="str">
        <f t="shared" ca="1" si="84"/>
        <v/>
      </c>
      <c r="BO798" s="21" t="str">
        <f ca="1">IFERROR(VLOOKUP(N798,OFFSET(abbreviation[],0,ColumnLanguage),ColumnAbbreviation,FALSE),"")</f>
        <v/>
      </c>
      <c r="BP798" s="21" t="str">
        <f ca="1">IFERROR(VLOOKUP(P798,OFFSET(abbreviation[],0,ColumnLanguage),ColumnAbbreviation,FALSE),"")</f>
        <v/>
      </c>
      <c r="BQ798" s="21" t="str">
        <f ca="1">IFERROR(VLOOKUP(T798,OFFSET(abbreviation[],0,ColumnLanguage),ColumnAbbreviation,FALSE),"")</f>
        <v/>
      </c>
      <c r="BR798" s="21" t="str">
        <f ca="1">IFERROR(VLOOKUP(V798,OFFSET(abbreviation[],0,ColumnLanguage),ColumnAbbreviation,FALSE),"")</f>
        <v/>
      </c>
      <c r="BS798" s="21" t="str">
        <f ca="1">IFERROR(VLOOKUP(Z798,OFFSET(abbreviation[],0,ColumnLanguage),ColumnAbbreviation,FALSE),"")</f>
        <v/>
      </c>
      <c r="BT798" s="21" t="str">
        <f ca="1">IFERROR(VLOOKUP(AB798,OFFSET(abbreviation[],0,ColumnLanguage),ColumnAbbreviation,FALSE),"")</f>
        <v/>
      </c>
      <c r="BU798" s="21" t="str">
        <f t="shared" ca="1" si="85"/>
        <v>__</v>
      </c>
      <c r="BV798" s="21" t="str">
        <f ca="1">IFERROR(VLOOKUP(AF798,OFFSET(abbreviation[],0,ColumnLanguage),ColumnAbbreviation,FALSE),"")</f>
        <v/>
      </c>
      <c r="BW798" s="21" t="str">
        <f ca="1">IFERROR(VLOOKUP(AH798,OFFSET(abbreviation[],0,ColumnLanguage),ColumnAbbreviation,FALSE),"")</f>
        <v/>
      </c>
      <c r="BX798" s="21" t="str">
        <f ca="1">IFERROR(VLOOKUP(AJ798,OFFSET(abbreviation[],0,ColumnLanguage),ColumnAbbreviation,FALSE),"")</f>
        <v/>
      </c>
      <c r="BY798" s="21" t="str">
        <f ca="1">IFERROR(VLOOKUP(AL798,OFFSET(abbreviation[],0,ColumnLanguage),ColumnAbbreviation,FALSE),"")</f>
        <v/>
      </c>
      <c r="BZ798" s="21" t="str">
        <f t="shared" ca="1" si="86"/>
        <v>_</v>
      </c>
      <c r="CA798" s="21" t="str">
        <f ca="1">IFERROR(VLOOKUP(AP798,OFFSET(abbreviation[],0,ColumnLanguage),ColumnAbbreviation,FALSE),"")</f>
        <v/>
      </c>
      <c r="CB798" s="21" t="str">
        <f ca="1">IFERROR(VLOOKUP(AR798,OFFSET(abbreviation[],0,ColumnLanguage),ColumnAbbreviation,FALSE),"")</f>
        <v/>
      </c>
      <c r="CC798" s="21" t="str">
        <f ca="1">IFERROR(VLOOKUP(AT798,OFFSET(abbreviation[],0,ColumnLanguage),ColumnAbbreviation,FALSE),"")</f>
        <v/>
      </c>
      <c r="CD798" s="21" t="str">
        <f ca="1">IFERROR(VLOOKUP(AV798,OFFSET(abbreviation[],0,ColumnLanguage),ColumnAbbreviation,FALSE),"")</f>
        <v/>
      </c>
      <c r="CE798" s="21" t="str">
        <f t="shared" ca="1" si="87"/>
        <v>__</v>
      </c>
      <c r="CF798" s="21" t="str">
        <f ca="1">IFERROR(VLOOKUP(AX798,OFFSET(abbreviation[],0,ColumnLanguage),ColumnAbbreviation,FALSE),"")</f>
        <v/>
      </c>
      <c r="CG798" s="21" t="str">
        <f ca="1">IFERROR(VLOOKUP(AZ798,OFFSET(abbreviation[],0,ColumnLanguage),ColumnAbbreviation,FALSE),"")</f>
        <v/>
      </c>
      <c r="CH798" s="21" t="str">
        <f ca="1">IFERROR(VLOOKUP(BB798,OFFSET(abbreviation[],0,ColumnLanguage),ColumnAbbreviation,FALSE),"")</f>
        <v/>
      </c>
      <c r="CI798" s="21" t="str">
        <f ca="1">IFERROR(VLOOKUP(BD798,OFFSET(abbreviation[],0,ColumnLanguage),ColumnAbbreviation,FALSE),"")</f>
        <v/>
      </c>
      <c r="CJ798" s="21" t="str">
        <f ca="1">IFERROR(VLOOKUP(BF798,OFFSET(abbreviation[],0,ColumnLanguage),ColumnAbbreviation,FALSE),"")</f>
        <v/>
      </c>
      <c r="CK798" s="21" t="str">
        <f t="shared" ca="1" si="88"/>
        <v/>
      </c>
      <c r="CL798" s="21" t="str">
        <f t="shared" si="89"/>
        <v/>
      </c>
      <c r="CM798" s="52"/>
      <c r="CN798" s="57" t="str">
        <f t="shared" si="90"/>
        <v/>
      </c>
    </row>
    <row r="799" spans="17:92" x14ac:dyDescent="0.25">
      <c r="Q799" s="13"/>
      <c r="T799" s="12"/>
      <c r="V799" s="60"/>
      <c r="X799" s="61"/>
      <c r="AB799" s="60"/>
      <c r="AD799" s="61"/>
      <c r="AN799" s="54"/>
      <c r="AS799" s="15"/>
      <c r="BH799" s="52"/>
      <c r="BI799" s="21" t="str">
        <f ca="1">IFERROR(VLOOKUP(C799,OFFSET(abbreviation[],0,ColumnLanguage),ColumnAbbreviation,FALSE),"")</f>
        <v/>
      </c>
      <c r="BJ799" s="21" t="str">
        <f ca="1">IFERROR(VLOOKUP(E799,OFFSET(abbreviation[],0,ColumnLanguage),ColumnAbbreviation,FALSE),"")</f>
        <v/>
      </c>
      <c r="BK799" s="21" t="str">
        <f ca="1">IFERROR(VLOOKUP(G799,OFFSET(abbreviation[],0,ColumnLanguage),ColumnAbbreviation,FALSE),"")</f>
        <v/>
      </c>
      <c r="BL799" s="21" t="str">
        <f ca="1">IFERROR(VLOOKUP(I799,OFFSET(abbreviation[],0,ColumnLanguage),ColumnAbbreviation,FALSE),"")</f>
        <v/>
      </c>
      <c r="BM799" s="21" t="str">
        <f ca="1">IFERROR(VLOOKUP(K799,OFFSET(abbreviation[],0,ColumnLanguage),ColumnAbbreviation,FALSE),"")</f>
        <v/>
      </c>
      <c r="BN799" s="21" t="str">
        <f ca="1">(BI799&amp;IF(OR(ISNUMBER(D799),ISTEXT(D799)),"-"&amp;D799,))&amp;(IF(ISTEXT(E799),"_",)&amp;BJ799&amp;IF(OR(ISNUMBER(F799),ISTEXT(F799)),"-"&amp;F799,))&amp;(IF(ISTEXT(G799),"_",)&amp;BK799&amp;IF(OR(ISNUMBER(H799),ISTEXT(H799)),"-"&amp;H799,))&amp;(IF(ISTEXT(I799),"_",)&amp;BL799&amp;IF(OR(ISNUMBER(J799),ISTEXT(J799)),"-"&amp;J799,))&amp;(IF(ISTEXT(K799),"_",)&amp;BM799&amp;IF(OR(ISNUMBER(L799),ISTEXT(L799)),"-"&amp;L799,)&amp;IF(AND(ISTEXT(BI799),BI799&lt;&gt;""),"_._",))</f>
        <v/>
      </c>
      <c r="BO799" s="21" t="str">
        <f ca="1">IFERROR(VLOOKUP(N799,OFFSET(abbreviation[],0,ColumnLanguage),ColumnAbbreviation,FALSE),"")</f>
        <v/>
      </c>
      <c r="BP799" s="21" t="str">
        <f ca="1">IFERROR(VLOOKUP(P799,OFFSET(abbreviation[],0,ColumnLanguage),ColumnAbbreviation,FALSE),"")</f>
        <v/>
      </c>
      <c r="BQ799" s="21" t="str">
        <f ca="1">IFERROR(VLOOKUP(T799,OFFSET(abbreviation[],0,ColumnLanguage),ColumnAbbreviation,FALSE),"")</f>
        <v/>
      </c>
      <c r="BR799" s="21" t="str">
        <f ca="1">IFERROR(VLOOKUP(V799,OFFSET(abbreviation[],0,ColumnLanguage),ColumnAbbreviation,FALSE),"")</f>
        <v/>
      </c>
      <c r="BS799" s="21" t="str">
        <f ca="1">IFERROR(VLOOKUP(Z799,OFFSET(abbreviation[],0,ColumnLanguage),ColumnAbbreviation,FALSE),"")</f>
        <v/>
      </c>
      <c r="BT799" s="21" t="str">
        <f ca="1">IFERROR(VLOOKUP(AB799,OFFSET(abbreviation[],0,ColumnLanguage),ColumnAbbreviation,FALSE),"")</f>
        <v/>
      </c>
      <c r="BU799" s="21" t="str">
        <f t="shared" ca="1" si="85"/>
        <v>__</v>
      </c>
      <c r="BV799" s="21" t="str">
        <f ca="1">IFERROR(VLOOKUP(AF799,OFFSET(abbreviation[],0,ColumnLanguage),ColumnAbbreviation,FALSE),"")</f>
        <v/>
      </c>
      <c r="BW799" s="21" t="str">
        <f ca="1">IFERROR(VLOOKUP(AH799,OFFSET(abbreviation[],0,ColumnLanguage),ColumnAbbreviation,FALSE),"")</f>
        <v/>
      </c>
      <c r="BX799" s="21" t="str">
        <f ca="1">IFERROR(VLOOKUP(AJ799,OFFSET(abbreviation[],0,ColumnLanguage),ColumnAbbreviation,FALSE),"")</f>
        <v/>
      </c>
      <c r="BY799" s="21" t="str">
        <f ca="1">IFERROR(VLOOKUP(AL799,OFFSET(abbreviation[],0,ColumnLanguage),ColumnAbbreviation,FALSE),"")</f>
        <v/>
      </c>
      <c r="BZ799" s="21" t="str">
        <f t="shared" ca="1" si="86"/>
        <v>_</v>
      </c>
      <c r="CA799" s="21" t="str">
        <f ca="1">IFERROR(VLOOKUP(AP799,OFFSET(abbreviation[],0,ColumnLanguage),ColumnAbbreviation,FALSE),"")</f>
        <v/>
      </c>
      <c r="CB799" s="21" t="str">
        <f ca="1">IFERROR(VLOOKUP(AR799,OFFSET(abbreviation[],0,ColumnLanguage),ColumnAbbreviation,FALSE),"")</f>
        <v/>
      </c>
      <c r="CC799" s="21" t="str">
        <f ca="1">IFERROR(VLOOKUP(AT799,OFFSET(abbreviation[],0,ColumnLanguage),ColumnAbbreviation,FALSE),"")</f>
        <v/>
      </c>
      <c r="CD799" s="21" t="str">
        <f ca="1">IFERROR(VLOOKUP(AV799,OFFSET(abbreviation[],0,ColumnLanguage),ColumnAbbreviation,FALSE),"")</f>
        <v/>
      </c>
      <c r="CE799" s="21" t="str">
        <f t="shared" ca="1" si="87"/>
        <v>__</v>
      </c>
      <c r="CF799" s="21" t="str">
        <f ca="1">IFERROR(VLOOKUP(AX799,OFFSET(abbreviation[],0,ColumnLanguage),ColumnAbbreviation,FALSE),"")</f>
        <v/>
      </c>
      <c r="CG799" s="21" t="str">
        <f ca="1">IFERROR(VLOOKUP(AZ799,OFFSET(abbreviation[],0,ColumnLanguage),ColumnAbbreviation,FALSE),"")</f>
        <v/>
      </c>
      <c r="CH799" s="21" t="str">
        <f ca="1">IFERROR(VLOOKUP(BB799,OFFSET(abbreviation[],0,ColumnLanguage),ColumnAbbreviation,FALSE),"")</f>
        <v/>
      </c>
      <c r="CI799" s="21" t="str">
        <f ca="1">IFERROR(VLOOKUP(BD799,OFFSET(abbreviation[],0,ColumnLanguage),ColumnAbbreviation,FALSE),"")</f>
        <v/>
      </c>
      <c r="CJ799" s="21" t="str">
        <f ca="1">IFERROR(VLOOKUP(BF799,OFFSET(abbreviation[],0,ColumnLanguage),ColumnAbbreviation,FALSE),"")</f>
        <v/>
      </c>
      <c r="CK799" s="21" t="str">
        <f t="shared" ca="1" si="88"/>
        <v/>
      </c>
      <c r="CL799" s="21" t="str">
        <f t="shared" si="89"/>
        <v/>
      </c>
      <c r="CM799" s="52"/>
      <c r="CN799" s="57" t="str">
        <f t="shared" si="90"/>
        <v/>
      </c>
    </row>
    <row r="800" spans="17:92" x14ac:dyDescent="0.25">
      <c r="Q800" s="13"/>
      <c r="T800" s="12"/>
      <c r="V800" s="60"/>
      <c r="X800" s="61"/>
      <c r="AB800" s="60"/>
      <c r="AD800" s="61"/>
      <c r="AN800" s="54"/>
      <c r="AS800" s="15"/>
      <c r="BH800" s="52"/>
      <c r="BI800" s="21" t="str">
        <f ca="1">IFERROR(VLOOKUP(C800,OFFSET(abbreviation[],0,ColumnLanguage),ColumnAbbreviation,FALSE),"")</f>
        <v/>
      </c>
      <c r="BJ800" s="21" t="str">
        <f ca="1">IFERROR(VLOOKUP(E800,OFFSET(abbreviation[],0,ColumnLanguage),ColumnAbbreviation,FALSE),"")</f>
        <v/>
      </c>
      <c r="BK800" s="21" t="str">
        <f ca="1">IFERROR(VLOOKUP(G800,OFFSET(abbreviation[],0,ColumnLanguage),ColumnAbbreviation,FALSE),"")</f>
        <v/>
      </c>
      <c r="BL800" s="21" t="str">
        <f ca="1">IFERROR(VLOOKUP(I800,OFFSET(abbreviation[],0,ColumnLanguage),ColumnAbbreviation,FALSE),"")</f>
        <v/>
      </c>
      <c r="BM800" s="21" t="str">
        <f ca="1">IFERROR(VLOOKUP(K800,OFFSET(abbreviation[],0,ColumnLanguage),ColumnAbbreviation,FALSE),"")</f>
        <v/>
      </c>
      <c r="BN800" s="21" t="str">
        <f t="shared" ca="1" si="84"/>
        <v/>
      </c>
      <c r="BO800" s="21" t="str">
        <f ca="1">IFERROR(VLOOKUP(N800,OFFSET(abbreviation[],0,ColumnLanguage),ColumnAbbreviation,FALSE),"")</f>
        <v/>
      </c>
      <c r="BP800" s="21" t="str">
        <f ca="1">IFERROR(VLOOKUP(P800,OFFSET(abbreviation[],0,ColumnLanguage),ColumnAbbreviation,FALSE),"")</f>
        <v/>
      </c>
      <c r="BQ800" s="21" t="str">
        <f ca="1">IFERROR(VLOOKUP(T800,OFFSET(abbreviation[],0,ColumnLanguage),ColumnAbbreviation,FALSE),"")</f>
        <v/>
      </c>
      <c r="BR800" s="21" t="str">
        <f ca="1">IFERROR(VLOOKUP(V800,OFFSET(abbreviation[],0,ColumnLanguage),ColumnAbbreviation,FALSE),"")</f>
        <v/>
      </c>
      <c r="BS800" s="21" t="str">
        <f ca="1">IFERROR(VLOOKUP(Z800,OFFSET(abbreviation[],0,ColumnLanguage),ColumnAbbreviation,FALSE),"")</f>
        <v/>
      </c>
      <c r="BT800" s="21" t="str">
        <f ca="1">IFERROR(VLOOKUP(AB800,OFFSET(abbreviation[],0,ColumnLanguage),ColumnAbbreviation,FALSE),"")</f>
        <v/>
      </c>
      <c r="BU800" s="21" t="str">
        <f t="shared" ca="1" si="85"/>
        <v>__</v>
      </c>
      <c r="BV800" s="21" t="str">
        <f ca="1">IFERROR(VLOOKUP(AF800,OFFSET(abbreviation[],0,ColumnLanguage),ColumnAbbreviation,FALSE),"")</f>
        <v/>
      </c>
      <c r="BW800" s="21" t="str">
        <f ca="1">IFERROR(VLOOKUP(AH800,OFFSET(abbreviation[],0,ColumnLanguage),ColumnAbbreviation,FALSE),"")</f>
        <v/>
      </c>
      <c r="BX800" s="21" t="str">
        <f ca="1">IFERROR(VLOOKUP(AJ800,OFFSET(abbreviation[],0,ColumnLanguage),ColumnAbbreviation,FALSE),"")</f>
        <v/>
      </c>
      <c r="BY800" s="21" t="str">
        <f ca="1">IFERROR(VLOOKUP(AL800,OFFSET(abbreviation[],0,ColumnLanguage),ColumnAbbreviation,FALSE),"")</f>
        <v/>
      </c>
      <c r="BZ800" s="21" t="str">
        <f t="shared" ca="1" si="86"/>
        <v>_</v>
      </c>
      <c r="CA800" s="21" t="str">
        <f ca="1">IFERROR(VLOOKUP(AP800,OFFSET(abbreviation[],0,ColumnLanguage),ColumnAbbreviation,FALSE),"")</f>
        <v/>
      </c>
      <c r="CB800" s="21" t="str">
        <f ca="1">IFERROR(VLOOKUP(AR800,OFFSET(abbreviation[],0,ColumnLanguage),ColumnAbbreviation,FALSE),"")</f>
        <v/>
      </c>
      <c r="CC800" s="21" t="str">
        <f ca="1">IFERROR(VLOOKUP(AT800,OFFSET(abbreviation[],0,ColumnLanguage),ColumnAbbreviation,FALSE),"")</f>
        <v/>
      </c>
      <c r="CD800" s="21" t="str">
        <f ca="1">IFERROR(VLOOKUP(AV800,OFFSET(abbreviation[],0,ColumnLanguage),ColumnAbbreviation,FALSE),"")</f>
        <v/>
      </c>
      <c r="CE800" s="21" t="str">
        <f t="shared" ca="1" si="87"/>
        <v>__</v>
      </c>
      <c r="CF800" s="21" t="str">
        <f ca="1">IFERROR(VLOOKUP(AX800,OFFSET(abbreviation[],0,ColumnLanguage),ColumnAbbreviation,FALSE),"")</f>
        <v/>
      </c>
      <c r="CG800" s="21" t="str">
        <f ca="1">IFERROR(VLOOKUP(AZ800,OFFSET(abbreviation[],0,ColumnLanguage),ColumnAbbreviation,FALSE),"")</f>
        <v/>
      </c>
      <c r="CH800" s="21" t="str">
        <f ca="1">IFERROR(VLOOKUP(BB800,OFFSET(abbreviation[],0,ColumnLanguage),ColumnAbbreviation,FALSE),"")</f>
        <v/>
      </c>
      <c r="CI800" s="21" t="str">
        <f ca="1">IFERROR(VLOOKUP(BD800,OFFSET(abbreviation[],0,ColumnLanguage),ColumnAbbreviation,FALSE),"")</f>
        <v/>
      </c>
      <c r="CJ800" s="21" t="str">
        <f ca="1">IFERROR(VLOOKUP(BF800,OFFSET(abbreviation[],0,ColumnLanguage),ColumnAbbreviation,FALSE),"")</f>
        <v/>
      </c>
      <c r="CK800" s="21" t="str">
        <f t="shared" ca="1" si="88"/>
        <v/>
      </c>
      <c r="CL800" s="21" t="str">
        <f t="shared" si="89"/>
        <v/>
      </c>
      <c r="CM800" s="52"/>
      <c r="CN800" s="57" t="str">
        <f t="shared" si="90"/>
        <v/>
      </c>
    </row>
    <row r="801" spans="14:92" x14ac:dyDescent="0.25">
      <c r="Q801" s="13"/>
      <c r="T801" s="12"/>
      <c r="V801" s="60"/>
      <c r="X801" s="61"/>
      <c r="AB801" s="60"/>
      <c r="AD801" s="61"/>
      <c r="AN801" s="54"/>
      <c r="AS801" s="15"/>
      <c r="BH801" s="52"/>
      <c r="BI801" s="21" t="str">
        <f ca="1">IFERROR(VLOOKUP(C801,OFFSET(abbreviation[],0,ColumnLanguage),ColumnAbbreviation,FALSE),"")</f>
        <v/>
      </c>
      <c r="BJ801" s="21" t="str">
        <f ca="1">IFERROR(VLOOKUP(E801,OFFSET(abbreviation[],0,ColumnLanguage),ColumnAbbreviation,FALSE),"")</f>
        <v/>
      </c>
      <c r="BK801" s="21" t="str">
        <f ca="1">IFERROR(VLOOKUP(G801,OFFSET(abbreviation[],0,ColumnLanguage),ColumnAbbreviation,FALSE),"")</f>
        <v/>
      </c>
      <c r="BL801" s="21" t="str">
        <f ca="1">IFERROR(VLOOKUP(I801,OFFSET(abbreviation[],0,ColumnLanguage),ColumnAbbreviation,FALSE),"")</f>
        <v/>
      </c>
      <c r="BM801" s="21" t="str">
        <f ca="1">IFERROR(VLOOKUP(K801,OFFSET(abbreviation[],0,ColumnLanguage),ColumnAbbreviation,FALSE),"")</f>
        <v/>
      </c>
      <c r="BN801" s="21" t="str">
        <f t="shared" ca="1" si="84"/>
        <v/>
      </c>
      <c r="BO801" s="21" t="str">
        <f ca="1">IFERROR(VLOOKUP(N801,OFFSET(abbreviation[],0,ColumnLanguage),ColumnAbbreviation,FALSE),"")</f>
        <v/>
      </c>
      <c r="BP801" s="21" t="str">
        <f ca="1">IFERROR(VLOOKUP(P801,OFFSET(abbreviation[],0,ColumnLanguage),ColumnAbbreviation,FALSE),"")</f>
        <v/>
      </c>
      <c r="BQ801" s="21" t="str">
        <f ca="1">IFERROR(VLOOKUP(T801,OFFSET(abbreviation[],0,ColumnLanguage),ColumnAbbreviation,FALSE),"")</f>
        <v/>
      </c>
      <c r="BR801" s="21" t="str">
        <f ca="1">IFERROR(VLOOKUP(V801,OFFSET(abbreviation[],0,ColumnLanguage),ColumnAbbreviation,FALSE),"")</f>
        <v/>
      </c>
      <c r="BS801" s="21" t="str">
        <f ca="1">IFERROR(VLOOKUP(Z801,OFFSET(abbreviation[],0,ColumnLanguage),ColumnAbbreviation,FALSE),"")</f>
        <v/>
      </c>
      <c r="BT801" s="21" t="str">
        <f ca="1">IFERROR(VLOOKUP(AB801,OFFSET(abbreviation[],0,ColumnLanguage),ColumnAbbreviation,FALSE),"")</f>
        <v/>
      </c>
      <c r="BU801" s="21" t="str">
        <f t="shared" ca="1" si="85"/>
        <v>__</v>
      </c>
      <c r="BV801" s="21" t="str">
        <f ca="1">IFERROR(VLOOKUP(AF801,OFFSET(abbreviation[],0,ColumnLanguage),ColumnAbbreviation,FALSE),"")</f>
        <v/>
      </c>
      <c r="BW801" s="21" t="str">
        <f ca="1">IFERROR(VLOOKUP(AH801,OFFSET(abbreviation[],0,ColumnLanguage),ColumnAbbreviation,FALSE),"")</f>
        <v/>
      </c>
      <c r="BX801" s="21" t="str">
        <f ca="1">IFERROR(VLOOKUP(AJ801,OFFSET(abbreviation[],0,ColumnLanguage),ColumnAbbreviation,FALSE),"")</f>
        <v/>
      </c>
      <c r="BY801" s="21" t="str">
        <f ca="1">IFERROR(VLOOKUP(AL801,OFFSET(abbreviation[],0,ColumnLanguage),ColumnAbbreviation,FALSE),"")</f>
        <v/>
      </c>
      <c r="BZ801" s="21" t="str">
        <f t="shared" ca="1" si="86"/>
        <v>_</v>
      </c>
      <c r="CA801" s="21" t="str">
        <f ca="1">IFERROR(VLOOKUP(AP801,OFFSET(abbreviation[],0,ColumnLanguage),ColumnAbbreviation,FALSE),"")</f>
        <v/>
      </c>
      <c r="CB801" s="21" t="str">
        <f ca="1">IFERROR(VLOOKUP(AR801,OFFSET(abbreviation[],0,ColumnLanguage),ColumnAbbreviation,FALSE),"")</f>
        <v/>
      </c>
      <c r="CC801" s="21" t="str">
        <f ca="1">IFERROR(VLOOKUP(AT801,OFFSET(abbreviation[],0,ColumnLanguage),ColumnAbbreviation,FALSE),"")</f>
        <v/>
      </c>
      <c r="CD801" s="21" t="str">
        <f ca="1">IFERROR(VLOOKUP(AV801,OFFSET(abbreviation[],0,ColumnLanguage),ColumnAbbreviation,FALSE),"")</f>
        <v/>
      </c>
      <c r="CE801" s="21" t="str">
        <f t="shared" ca="1" si="87"/>
        <v>__</v>
      </c>
      <c r="CF801" s="21" t="str">
        <f ca="1">IFERROR(VLOOKUP(AX801,OFFSET(abbreviation[],0,ColumnLanguage),ColumnAbbreviation,FALSE),"")</f>
        <v/>
      </c>
      <c r="CG801" s="21" t="str">
        <f ca="1">IFERROR(VLOOKUP(AZ801,OFFSET(abbreviation[],0,ColumnLanguage),ColumnAbbreviation,FALSE),"")</f>
        <v/>
      </c>
      <c r="CH801" s="21" t="str">
        <f ca="1">IFERROR(VLOOKUP(BB801,OFFSET(abbreviation[],0,ColumnLanguage),ColumnAbbreviation,FALSE),"")</f>
        <v/>
      </c>
      <c r="CI801" s="21" t="str">
        <f ca="1">IFERROR(VLOOKUP(BD801,OFFSET(abbreviation[],0,ColumnLanguage),ColumnAbbreviation,FALSE),"")</f>
        <v/>
      </c>
      <c r="CJ801" s="21" t="str">
        <f ca="1">IFERROR(VLOOKUP(BF801,OFFSET(abbreviation[],0,ColumnLanguage),ColumnAbbreviation,FALSE),"")</f>
        <v/>
      </c>
      <c r="CK801" s="21" t="str">
        <f t="shared" ca="1" si="88"/>
        <v/>
      </c>
      <c r="CL801" s="21" t="str">
        <f t="shared" si="89"/>
        <v/>
      </c>
      <c r="CM801" s="52"/>
      <c r="CN801" s="57" t="str">
        <f t="shared" si="90"/>
        <v/>
      </c>
    </row>
    <row r="802" spans="14:92" x14ac:dyDescent="0.25">
      <c r="Q802" s="13"/>
      <c r="T802" s="12"/>
      <c r="V802" s="60"/>
      <c r="X802" s="61"/>
      <c r="AB802" s="60"/>
      <c r="AD802" s="61"/>
      <c r="AN802" s="54"/>
      <c r="AS802" s="15"/>
      <c r="BH802" s="52"/>
      <c r="BI802" s="21" t="str">
        <f ca="1">IFERROR(VLOOKUP(C802,OFFSET(abbreviation[],0,ColumnLanguage),ColumnAbbreviation,FALSE),"")</f>
        <v/>
      </c>
      <c r="BJ802" s="21" t="str">
        <f ca="1">IFERROR(VLOOKUP(E802,OFFSET(abbreviation[],0,ColumnLanguage),ColumnAbbreviation,FALSE),"")</f>
        <v/>
      </c>
      <c r="BK802" s="21" t="str">
        <f ca="1">IFERROR(VLOOKUP(G802,OFFSET(abbreviation[],0,ColumnLanguage),ColumnAbbreviation,FALSE),"")</f>
        <v/>
      </c>
      <c r="BL802" s="21" t="str">
        <f ca="1">IFERROR(VLOOKUP(I802,OFFSET(abbreviation[],0,ColumnLanguage),ColumnAbbreviation,FALSE),"")</f>
        <v/>
      </c>
      <c r="BM802" s="21" t="str">
        <f ca="1">IFERROR(VLOOKUP(K802,OFFSET(abbreviation[],0,ColumnLanguage),ColumnAbbreviation,FALSE),"")</f>
        <v/>
      </c>
      <c r="BN802" s="21" t="str">
        <f t="shared" ca="1" si="84"/>
        <v/>
      </c>
      <c r="BO802" s="21" t="str">
        <f ca="1">IFERROR(VLOOKUP(N802,OFFSET(abbreviation[],0,ColumnLanguage),ColumnAbbreviation,FALSE),"")</f>
        <v/>
      </c>
      <c r="BP802" s="21" t="str">
        <f ca="1">IFERROR(VLOOKUP(P802,OFFSET(abbreviation[],0,ColumnLanguage),ColumnAbbreviation,FALSE),"")</f>
        <v/>
      </c>
      <c r="BQ802" s="21" t="str">
        <f ca="1">IFERROR(VLOOKUP(T802,OFFSET(abbreviation[],0,ColumnLanguage),ColumnAbbreviation,FALSE),"")</f>
        <v/>
      </c>
      <c r="BR802" s="21" t="str">
        <f ca="1">IFERROR(VLOOKUP(V802,OFFSET(abbreviation[],0,ColumnLanguage),ColumnAbbreviation,FALSE),"")</f>
        <v/>
      </c>
      <c r="BS802" s="21" t="str">
        <f ca="1">IFERROR(VLOOKUP(Z802,OFFSET(abbreviation[],0,ColumnLanguage),ColumnAbbreviation,FALSE),"")</f>
        <v/>
      </c>
      <c r="BT802" s="21" t="str">
        <f ca="1">IFERROR(VLOOKUP(AB802,OFFSET(abbreviation[],0,ColumnLanguage),ColumnAbbreviation,FALSE),"")</f>
        <v/>
      </c>
      <c r="BU802" s="21" t="str">
        <f t="shared" ca="1" si="85"/>
        <v>__</v>
      </c>
      <c r="BV802" s="21" t="str">
        <f ca="1">IFERROR(VLOOKUP(AF802,OFFSET(abbreviation[],0,ColumnLanguage),ColumnAbbreviation,FALSE),"")</f>
        <v/>
      </c>
      <c r="BW802" s="21" t="str">
        <f ca="1">IFERROR(VLOOKUP(AH802,OFFSET(abbreviation[],0,ColumnLanguage),ColumnAbbreviation,FALSE),"")</f>
        <v/>
      </c>
      <c r="BX802" s="21" t="str">
        <f ca="1">IFERROR(VLOOKUP(AJ802,OFFSET(abbreviation[],0,ColumnLanguage),ColumnAbbreviation,FALSE),"")</f>
        <v/>
      </c>
      <c r="BY802" s="21" t="str">
        <f ca="1">IFERROR(VLOOKUP(AL802,OFFSET(abbreviation[],0,ColumnLanguage),ColumnAbbreviation,FALSE),"")</f>
        <v/>
      </c>
      <c r="BZ802" s="21" t="str">
        <f t="shared" ca="1" si="86"/>
        <v>_</v>
      </c>
      <c r="CA802" s="21" t="str">
        <f ca="1">IFERROR(VLOOKUP(AP802,OFFSET(abbreviation[],0,ColumnLanguage),ColumnAbbreviation,FALSE),"")</f>
        <v/>
      </c>
      <c r="CB802" s="21" t="str">
        <f ca="1">IFERROR(VLOOKUP(AR802,OFFSET(abbreviation[],0,ColumnLanguage),ColumnAbbreviation,FALSE),"")</f>
        <v/>
      </c>
      <c r="CC802" s="21" t="str">
        <f ca="1">IFERROR(VLOOKUP(AT802,OFFSET(abbreviation[],0,ColumnLanguage),ColumnAbbreviation,FALSE),"")</f>
        <v/>
      </c>
      <c r="CD802" s="21" t="str">
        <f ca="1">IFERROR(VLOOKUP(AV802,OFFSET(abbreviation[],0,ColumnLanguage),ColumnAbbreviation,FALSE),"")</f>
        <v/>
      </c>
      <c r="CE802" s="21" t="str">
        <f t="shared" ca="1" si="87"/>
        <v>__</v>
      </c>
      <c r="CF802" s="21" t="str">
        <f ca="1">IFERROR(VLOOKUP(AX802,OFFSET(abbreviation[],0,ColumnLanguage),ColumnAbbreviation,FALSE),"")</f>
        <v/>
      </c>
      <c r="CG802" s="21" t="str">
        <f ca="1">IFERROR(VLOOKUP(AZ802,OFFSET(abbreviation[],0,ColumnLanguage),ColumnAbbreviation,FALSE),"")</f>
        <v/>
      </c>
      <c r="CH802" s="21" t="str">
        <f ca="1">IFERROR(VLOOKUP(BB802,OFFSET(abbreviation[],0,ColumnLanguage),ColumnAbbreviation,FALSE),"")</f>
        <v/>
      </c>
      <c r="CI802" s="21" t="str">
        <f ca="1">IFERROR(VLOOKUP(BD802,OFFSET(abbreviation[],0,ColumnLanguage),ColumnAbbreviation,FALSE),"")</f>
        <v/>
      </c>
      <c r="CJ802" s="21" t="str">
        <f ca="1">IFERROR(VLOOKUP(BF802,OFFSET(abbreviation[],0,ColumnLanguage),ColumnAbbreviation,FALSE),"")</f>
        <v/>
      </c>
      <c r="CK802" s="21" t="str">
        <f t="shared" ca="1" si="88"/>
        <v/>
      </c>
      <c r="CL802" s="21" t="str">
        <f t="shared" si="89"/>
        <v/>
      </c>
      <c r="CM802" s="52"/>
      <c r="CN802" s="57" t="str">
        <f t="shared" si="90"/>
        <v/>
      </c>
    </row>
    <row r="803" spans="14:92" x14ac:dyDescent="0.25">
      <c r="Q803" s="13"/>
      <c r="T803" s="12"/>
      <c r="V803" s="60"/>
      <c r="X803" s="61"/>
      <c r="AB803" s="60"/>
      <c r="AD803" s="61"/>
      <c r="AN803" s="54"/>
      <c r="AS803" s="15"/>
      <c r="BH803" s="52"/>
      <c r="BI803" s="21" t="str">
        <f ca="1">IFERROR(VLOOKUP(C803,OFFSET(abbreviation[],0,ColumnLanguage),ColumnAbbreviation,FALSE),"")</f>
        <v/>
      </c>
      <c r="BJ803" s="21" t="str">
        <f ca="1">IFERROR(VLOOKUP(E803,OFFSET(abbreviation[],0,ColumnLanguage),ColumnAbbreviation,FALSE),"")</f>
        <v/>
      </c>
      <c r="BK803" s="21" t="str">
        <f ca="1">IFERROR(VLOOKUP(G803,OFFSET(abbreviation[],0,ColumnLanguage),ColumnAbbreviation,FALSE),"")</f>
        <v/>
      </c>
      <c r="BL803" s="21" t="str">
        <f ca="1">IFERROR(VLOOKUP(I803,OFFSET(abbreviation[],0,ColumnLanguage),ColumnAbbreviation,FALSE),"")</f>
        <v/>
      </c>
      <c r="BM803" s="21" t="str">
        <f ca="1">IFERROR(VLOOKUP(K803,OFFSET(abbreviation[],0,ColumnLanguage),ColumnAbbreviation,FALSE),"")</f>
        <v/>
      </c>
      <c r="BN803" s="21" t="str">
        <f t="shared" ca="1" si="84"/>
        <v/>
      </c>
      <c r="BO803" s="21" t="str">
        <f ca="1">IFERROR(VLOOKUP(N803,OFFSET(abbreviation[],0,ColumnLanguage),ColumnAbbreviation,FALSE),"")</f>
        <v/>
      </c>
      <c r="BP803" s="21" t="str">
        <f ca="1">IFERROR(VLOOKUP(P803,OFFSET(abbreviation[],0,ColumnLanguage),ColumnAbbreviation,FALSE),"")</f>
        <v/>
      </c>
      <c r="BQ803" s="21" t="str">
        <f ca="1">IFERROR(VLOOKUP(T803,OFFSET(abbreviation[],0,ColumnLanguage),ColumnAbbreviation,FALSE),"")</f>
        <v/>
      </c>
      <c r="BR803" s="21" t="str">
        <f ca="1">IFERROR(VLOOKUP(V803,OFFSET(abbreviation[],0,ColumnLanguage),ColumnAbbreviation,FALSE),"")</f>
        <v/>
      </c>
      <c r="BS803" s="21" t="str">
        <f ca="1">IFERROR(VLOOKUP(Z803,OFFSET(abbreviation[],0,ColumnLanguage),ColumnAbbreviation,FALSE),"")</f>
        <v/>
      </c>
      <c r="BT803" s="21" t="str">
        <f ca="1">IFERROR(VLOOKUP(AB803,OFFSET(abbreviation[],0,ColumnLanguage),ColumnAbbreviation,FALSE),"")</f>
        <v/>
      </c>
      <c r="BU803" s="21" t="str">
        <f t="shared" ca="1" si="85"/>
        <v>__</v>
      </c>
      <c r="BV803" s="21" t="str">
        <f ca="1">IFERROR(VLOOKUP(AF803,OFFSET(abbreviation[],0,ColumnLanguage),ColumnAbbreviation,FALSE),"")</f>
        <v/>
      </c>
      <c r="BW803" s="21" t="str">
        <f ca="1">IFERROR(VLOOKUP(AH803,OFFSET(abbreviation[],0,ColumnLanguage),ColumnAbbreviation,FALSE),"")</f>
        <v/>
      </c>
      <c r="BX803" s="21" t="str">
        <f ca="1">IFERROR(VLOOKUP(AJ803,OFFSET(abbreviation[],0,ColumnLanguage),ColumnAbbreviation,FALSE),"")</f>
        <v/>
      </c>
      <c r="BY803" s="21" t="str">
        <f ca="1">IFERROR(VLOOKUP(AL803,OFFSET(abbreviation[],0,ColumnLanguage),ColumnAbbreviation,FALSE),"")</f>
        <v/>
      </c>
      <c r="BZ803" s="21" t="str">
        <f t="shared" ca="1" si="86"/>
        <v>_</v>
      </c>
      <c r="CA803" s="21" t="str">
        <f ca="1">IFERROR(VLOOKUP(AP803,OFFSET(abbreviation[],0,ColumnLanguage),ColumnAbbreviation,FALSE),"")</f>
        <v/>
      </c>
      <c r="CB803" s="21" t="str">
        <f ca="1">IFERROR(VLOOKUP(AR803,OFFSET(abbreviation[],0,ColumnLanguage),ColumnAbbreviation,FALSE),"")</f>
        <v/>
      </c>
      <c r="CC803" s="21" t="str">
        <f ca="1">IFERROR(VLOOKUP(AT803,OFFSET(abbreviation[],0,ColumnLanguage),ColumnAbbreviation,FALSE),"")</f>
        <v/>
      </c>
      <c r="CD803" s="21" t="str">
        <f ca="1">IFERROR(VLOOKUP(AV803,OFFSET(abbreviation[],0,ColumnLanguage),ColumnAbbreviation,FALSE),"")</f>
        <v/>
      </c>
      <c r="CE803" s="21" t="str">
        <f t="shared" ca="1" si="87"/>
        <v>__</v>
      </c>
      <c r="CF803" s="21" t="str">
        <f ca="1">IFERROR(VLOOKUP(AX803,OFFSET(abbreviation[],0,ColumnLanguage),ColumnAbbreviation,FALSE),"")</f>
        <v/>
      </c>
      <c r="CG803" s="21" t="str">
        <f ca="1">IFERROR(VLOOKUP(AZ803,OFFSET(abbreviation[],0,ColumnLanguage),ColumnAbbreviation,FALSE),"")</f>
        <v/>
      </c>
      <c r="CH803" s="21" t="str">
        <f ca="1">IFERROR(VLOOKUP(BB803,OFFSET(abbreviation[],0,ColumnLanguage),ColumnAbbreviation,FALSE),"")</f>
        <v/>
      </c>
      <c r="CI803" s="21" t="str">
        <f ca="1">IFERROR(VLOOKUP(BD803,OFFSET(abbreviation[],0,ColumnLanguage),ColumnAbbreviation,FALSE),"")</f>
        <v/>
      </c>
      <c r="CJ803" s="21" t="str">
        <f ca="1">IFERROR(VLOOKUP(BF803,OFFSET(abbreviation[],0,ColumnLanguage),ColumnAbbreviation,FALSE),"")</f>
        <v/>
      </c>
      <c r="CK803" s="21" t="str">
        <f t="shared" ca="1" si="88"/>
        <v/>
      </c>
      <c r="CL803" s="21" t="str">
        <f t="shared" si="89"/>
        <v/>
      </c>
      <c r="CM803" s="52"/>
      <c r="CN803" s="57" t="str">
        <f t="shared" si="90"/>
        <v/>
      </c>
    </row>
    <row r="804" spans="14:92" x14ac:dyDescent="0.25">
      <c r="Q804" s="13"/>
      <c r="T804" s="12"/>
      <c r="V804" s="60"/>
      <c r="X804" s="61"/>
      <c r="AB804" s="60"/>
      <c r="AD804" s="61"/>
      <c r="AN804" s="54"/>
      <c r="AS804" s="15"/>
      <c r="BH804" s="52"/>
      <c r="BI804" s="21" t="str">
        <f ca="1">IFERROR(VLOOKUP(C804,OFFSET(abbreviation[],0,ColumnLanguage),ColumnAbbreviation,FALSE),"")</f>
        <v/>
      </c>
      <c r="BJ804" s="21" t="str">
        <f ca="1">IFERROR(VLOOKUP(E804,OFFSET(abbreviation[],0,ColumnLanguage),ColumnAbbreviation,FALSE),"")</f>
        <v/>
      </c>
      <c r="BK804" s="21" t="str">
        <f ca="1">IFERROR(VLOOKUP(G804,OFFSET(abbreviation[],0,ColumnLanguage),ColumnAbbreviation,FALSE),"")</f>
        <v/>
      </c>
      <c r="BL804" s="21" t="str">
        <f ca="1">IFERROR(VLOOKUP(I804,OFFSET(abbreviation[],0,ColumnLanguage),ColumnAbbreviation,FALSE),"")</f>
        <v/>
      </c>
      <c r="BM804" s="21" t="str">
        <f ca="1">IFERROR(VLOOKUP(K804,OFFSET(abbreviation[],0,ColumnLanguage),ColumnAbbreviation,FALSE),"")</f>
        <v/>
      </c>
      <c r="BN804" s="21" t="str">
        <f t="shared" ca="1" si="84"/>
        <v/>
      </c>
      <c r="BO804" s="21" t="str">
        <f ca="1">IFERROR(VLOOKUP(N804,OFFSET(abbreviation[],0,ColumnLanguage),ColumnAbbreviation,FALSE),"")</f>
        <v/>
      </c>
      <c r="BP804" s="21" t="str">
        <f ca="1">IFERROR(VLOOKUP(P804,OFFSET(abbreviation[],0,ColumnLanguage),ColumnAbbreviation,FALSE),"")</f>
        <v/>
      </c>
      <c r="BQ804" s="21" t="str">
        <f ca="1">IFERROR(VLOOKUP(T804,OFFSET(abbreviation[],0,ColumnLanguage),ColumnAbbreviation,FALSE),"")</f>
        <v/>
      </c>
      <c r="BR804" s="21" t="str">
        <f ca="1">IFERROR(VLOOKUP(V804,OFFSET(abbreviation[],0,ColumnLanguage),ColumnAbbreviation,FALSE),"")</f>
        <v/>
      </c>
      <c r="BS804" s="21" t="str">
        <f ca="1">IFERROR(VLOOKUP(Z804,OFFSET(abbreviation[],0,ColumnLanguage),ColumnAbbreviation,FALSE),"")</f>
        <v/>
      </c>
      <c r="BT804" s="21" t="str">
        <f ca="1">IFERROR(VLOOKUP(AB804,OFFSET(abbreviation[],0,ColumnLanguage),ColumnAbbreviation,FALSE),"")</f>
        <v/>
      </c>
      <c r="BU804" s="21" t="str">
        <f t="shared" ca="1" si="85"/>
        <v>__</v>
      </c>
      <c r="BV804" s="21" t="str">
        <f ca="1">IFERROR(VLOOKUP(AF804,OFFSET(abbreviation[],0,ColumnLanguage),ColumnAbbreviation,FALSE),"")</f>
        <v/>
      </c>
      <c r="BW804" s="21" t="str">
        <f ca="1">IFERROR(VLOOKUP(AH804,OFFSET(abbreviation[],0,ColumnLanguage),ColumnAbbreviation,FALSE),"")</f>
        <v/>
      </c>
      <c r="BX804" s="21" t="str">
        <f ca="1">IFERROR(VLOOKUP(AJ804,OFFSET(abbreviation[],0,ColumnLanguage),ColumnAbbreviation,FALSE),"")</f>
        <v/>
      </c>
      <c r="BY804" s="21" t="str">
        <f ca="1">IFERROR(VLOOKUP(AL804,OFFSET(abbreviation[],0,ColumnLanguage),ColumnAbbreviation,FALSE),"")</f>
        <v/>
      </c>
      <c r="BZ804" s="21" t="str">
        <f t="shared" ca="1" si="86"/>
        <v>_</v>
      </c>
      <c r="CA804" s="21" t="str">
        <f ca="1">IFERROR(VLOOKUP(AP804,OFFSET(abbreviation[],0,ColumnLanguage),ColumnAbbreviation,FALSE),"")</f>
        <v/>
      </c>
      <c r="CB804" s="21" t="str">
        <f ca="1">IFERROR(VLOOKUP(AR804,OFFSET(abbreviation[],0,ColumnLanguage),ColumnAbbreviation,FALSE),"")</f>
        <v/>
      </c>
      <c r="CC804" s="21" t="str">
        <f ca="1">IFERROR(VLOOKUP(AT804,OFFSET(abbreviation[],0,ColumnLanguage),ColumnAbbreviation,FALSE),"")</f>
        <v/>
      </c>
      <c r="CD804" s="21" t="str">
        <f ca="1">IFERROR(VLOOKUP(AV804,OFFSET(abbreviation[],0,ColumnLanguage),ColumnAbbreviation,FALSE),"")</f>
        <v/>
      </c>
      <c r="CE804" s="21" t="str">
        <f t="shared" ca="1" si="87"/>
        <v>__</v>
      </c>
      <c r="CF804" s="21" t="str">
        <f ca="1">IFERROR(VLOOKUP(AX804,OFFSET(abbreviation[],0,ColumnLanguage),ColumnAbbreviation,FALSE),"")</f>
        <v/>
      </c>
      <c r="CG804" s="21" t="str">
        <f ca="1">IFERROR(VLOOKUP(AZ804,OFFSET(abbreviation[],0,ColumnLanguage),ColumnAbbreviation,FALSE),"")</f>
        <v/>
      </c>
      <c r="CH804" s="21" t="str">
        <f ca="1">IFERROR(VLOOKUP(BB804,OFFSET(abbreviation[],0,ColumnLanguage),ColumnAbbreviation,FALSE),"")</f>
        <v/>
      </c>
      <c r="CI804" s="21" t="str">
        <f ca="1">IFERROR(VLOOKUP(BD804,OFFSET(abbreviation[],0,ColumnLanguage),ColumnAbbreviation,FALSE),"")</f>
        <v/>
      </c>
      <c r="CJ804" s="21" t="str">
        <f ca="1">IFERROR(VLOOKUP(BF804,OFFSET(abbreviation[],0,ColumnLanguage),ColumnAbbreviation,FALSE),"")</f>
        <v/>
      </c>
      <c r="CK804" s="21" t="str">
        <f t="shared" ca="1" si="88"/>
        <v/>
      </c>
      <c r="CL804" s="21" t="str">
        <f t="shared" si="89"/>
        <v/>
      </c>
      <c r="CM804" s="52"/>
      <c r="CN804" s="57" t="str">
        <f t="shared" si="90"/>
        <v/>
      </c>
    </row>
    <row r="805" spans="14:92" x14ac:dyDescent="0.25">
      <c r="N805" s="10"/>
      <c r="Q805" s="13"/>
      <c r="V805" s="60"/>
      <c r="X805" s="61"/>
      <c r="AN805" s="54"/>
      <c r="AS805" s="15"/>
      <c r="BH805" s="52"/>
      <c r="BI805" s="21" t="str">
        <f ca="1">IFERROR(VLOOKUP(C805,OFFSET(abbreviation[],0,ColumnLanguage),ColumnAbbreviation,FALSE),"")</f>
        <v/>
      </c>
      <c r="BJ805" s="21" t="str">
        <f ca="1">IFERROR(VLOOKUP(E805,OFFSET(abbreviation[],0,ColumnLanguage),ColumnAbbreviation,FALSE),"")</f>
        <v/>
      </c>
      <c r="BK805" s="21" t="str">
        <f ca="1">IFERROR(VLOOKUP(G805,OFFSET(abbreviation[],0,ColumnLanguage),ColumnAbbreviation,FALSE),"")</f>
        <v/>
      </c>
      <c r="BL805" s="21" t="str">
        <f ca="1">IFERROR(VLOOKUP(I805,OFFSET(abbreviation[],0,ColumnLanguage),ColumnAbbreviation,FALSE),"")</f>
        <v/>
      </c>
      <c r="BM805" s="21" t="str">
        <f ca="1">IFERROR(VLOOKUP(K805,OFFSET(abbreviation[],0,ColumnLanguage),ColumnAbbreviation,FALSE),"")</f>
        <v/>
      </c>
      <c r="BN805" s="21" t="str">
        <f t="shared" ca="1" si="84"/>
        <v/>
      </c>
      <c r="BO805" s="21" t="str">
        <f ca="1">IFERROR(VLOOKUP(N805,OFFSET(abbreviation[],0,ColumnLanguage),ColumnAbbreviation,FALSE),"")</f>
        <v/>
      </c>
      <c r="BP805" s="21" t="str">
        <f ca="1">IFERROR(VLOOKUP(P805,OFFSET(abbreviation[],0,ColumnLanguage),ColumnAbbreviation,FALSE),"")</f>
        <v/>
      </c>
      <c r="BQ805" s="21" t="str">
        <f ca="1">IFERROR(VLOOKUP(T805,OFFSET(abbreviation[],0,ColumnLanguage),ColumnAbbreviation,FALSE),"")</f>
        <v/>
      </c>
      <c r="BR805" s="21" t="str">
        <f ca="1">IFERROR(VLOOKUP(V805,OFFSET(abbreviation[],0,ColumnLanguage),ColumnAbbreviation,FALSE),"")</f>
        <v/>
      </c>
      <c r="BS805" s="21" t="str">
        <f ca="1">IFERROR(VLOOKUP(Z805,OFFSET(abbreviation[],0,ColumnLanguage),ColumnAbbreviation,FALSE),"")</f>
        <v/>
      </c>
      <c r="BT805" s="21" t="str">
        <f ca="1">IFERROR(VLOOKUP(AB805,OFFSET(abbreviation[],0,ColumnLanguage),ColumnAbbreviation,FALSE),"")</f>
        <v/>
      </c>
      <c r="BU805" s="21" t="str">
        <f t="shared" ca="1" si="85"/>
        <v>__</v>
      </c>
      <c r="BV805" s="21" t="str">
        <f ca="1">IFERROR(VLOOKUP(AF805,OFFSET(abbreviation[],0,ColumnLanguage),ColumnAbbreviation,FALSE),"")</f>
        <v/>
      </c>
      <c r="BW805" s="21" t="str">
        <f ca="1">IFERROR(VLOOKUP(AH805,OFFSET(abbreviation[],0,ColumnLanguage),ColumnAbbreviation,FALSE),"")</f>
        <v/>
      </c>
      <c r="BX805" s="21" t="str">
        <f ca="1">IFERROR(VLOOKUP(AJ805,OFFSET(abbreviation[],0,ColumnLanguage),ColumnAbbreviation,FALSE),"")</f>
        <v/>
      </c>
      <c r="BY805" s="21" t="str">
        <f ca="1">IFERROR(VLOOKUP(AL805,OFFSET(abbreviation[],0,ColumnLanguage),ColumnAbbreviation,FALSE),"")</f>
        <v/>
      </c>
      <c r="BZ805" s="21" t="str">
        <f t="shared" ca="1" si="86"/>
        <v>_</v>
      </c>
      <c r="CA805" s="21" t="str">
        <f ca="1">IFERROR(VLOOKUP(AP805,OFFSET(abbreviation[],0,ColumnLanguage),ColumnAbbreviation,FALSE),"")</f>
        <v/>
      </c>
      <c r="CB805" s="21" t="str">
        <f ca="1">IFERROR(VLOOKUP(AR805,OFFSET(abbreviation[],0,ColumnLanguage),ColumnAbbreviation,FALSE),"")</f>
        <v/>
      </c>
      <c r="CC805" s="21" t="str">
        <f ca="1">IFERROR(VLOOKUP(AT805,OFFSET(abbreviation[],0,ColumnLanguage),ColumnAbbreviation,FALSE),"")</f>
        <v/>
      </c>
      <c r="CD805" s="21" t="str">
        <f ca="1">IFERROR(VLOOKUP(AV805,OFFSET(abbreviation[],0,ColumnLanguage),ColumnAbbreviation,FALSE),"")</f>
        <v/>
      </c>
      <c r="CE805" s="21" t="str">
        <f t="shared" ca="1" si="87"/>
        <v>__</v>
      </c>
      <c r="CF805" s="21" t="str">
        <f ca="1">IFERROR(VLOOKUP(AX805,OFFSET(abbreviation[],0,ColumnLanguage),ColumnAbbreviation,FALSE),"")</f>
        <v/>
      </c>
      <c r="CG805" s="21" t="str">
        <f ca="1">IFERROR(VLOOKUP(AZ805,OFFSET(abbreviation[],0,ColumnLanguage),ColumnAbbreviation,FALSE),"")</f>
        <v/>
      </c>
      <c r="CH805" s="21" t="str">
        <f ca="1">IFERROR(VLOOKUP(BB805,OFFSET(abbreviation[],0,ColumnLanguage),ColumnAbbreviation,FALSE),"")</f>
        <v/>
      </c>
      <c r="CI805" s="21" t="str">
        <f ca="1">IFERROR(VLOOKUP(BD805,OFFSET(abbreviation[],0,ColumnLanguage),ColumnAbbreviation,FALSE),"")</f>
        <v/>
      </c>
      <c r="CJ805" s="21" t="str">
        <f ca="1">IFERROR(VLOOKUP(BF805,OFFSET(abbreviation[],0,ColumnLanguage),ColumnAbbreviation,FALSE),"")</f>
        <v/>
      </c>
      <c r="CK805" s="21" t="str">
        <f t="shared" ca="1" si="88"/>
        <v/>
      </c>
      <c r="CL805" s="21" t="str">
        <f t="shared" si="89"/>
        <v/>
      </c>
      <c r="CM805" s="52"/>
      <c r="CN805" s="57" t="str">
        <f t="shared" si="90"/>
        <v/>
      </c>
    </row>
    <row r="806" spans="14:92" x14ac:dyDescent="0.25">
      <c r="N806" s="10"/>
      <c r="Q806" s="13"/>
      <c r="V806" s="60"/>
      <c r="X806" s="61"/>
      <c r="AN806" s="54"/>
      <c r="AS806" s="15"/>
      <c r="BH806" s="52"/>
      <c r="BI806" s="21" t="str">
        <f ca="1">IFERROR(VLOOKUP(C806,OFFSET(abbreviation[],0,ColumnLanguage),ColumnAbbreviation,FALSE),"")</f>
        <v/>
      </c>
      <c r="BJ806" s="21" t="str">
        <f ca="1">IFERROR(VLOOKUP(E806,OFFSET(abbreviation[],0,ColumnLanguage),ColumnAbbreviation,FALSE),"")</f>
        <v/>
      </c>
      <c r="BK806" s="21" t="str">
        <f ca="1">IFERROR(VLOOKUP(G806,OFFSET(abbreviation[],0,ColumnLanguage),ColumnAbbreviation,FALSE),"")</f>
        <v/>
      </c>
      <c r="BL806" s="21" t="str">
        <f ca="1">IFERROR(VLOOKUP(I806,OFFSET(abbreviation[],0,ColumnLanguage),ColumnAbbreviation,FALSE),"")</f>
        <v/>
      </c>
      <c r="BM806" s="21" t="str">
        <f ca="1">IFERROR(VLOOKUP(K806,OFFSET(abbreviation[],0,ColumnLanguage),ColumnAbbreviation,FALSE),"")</f>
        <v/>
      </c>
      <c r="BN806" s="21" t="str">
        <f t="shared" ca="1" si="84"/>
        <v/>
      </c>
      <c r="BO806" s="21" t="str">
        <f ca="1">IFERROR(VLOOKUP(N806,OFFSET(abbreviation[],0,ColumnLanguage),ColumnAbbreviation,FALSE),"")</f>
        <v/>
      </c>
      <c r="BP806" s="21" t="str">
        <f ca="1">IFERROR(VLOOKUP(P806,OFFSET(abbreviation[],0,ColumnLanguage),ColumnAbbreviation,FALSE),"")</f>
        <v/>
      </c>
      <c r="BQ806" s="21" t="str">
        <f ca="1">IFERROR(VLOOKUP(T806,OFFSET(abbreviation[],0,ColumnLanguage),ColumnAbbreviation,FALSE),"")</f>
        <v/>
      </c>
      <c r="BR806" s="21" t="str">
        <f ca="1">IFERROR(VLOOKUP(V806,OFFSET(abbreviation[],0,ColumnLanguage),ColumnAbbreviation,FALSE),"")</f>
        <v/>
      </c>
      <c r="BS806" s="21" t="str">
        <f ca="1">IFERROR(VLOOKUP(Z806,OFFSET(abbreviation[],0,ColumnLanguage),ColumnAbbreviation,FALSE),"")</f>
        <v/>
      </c>
      <c r="BT806" s="21" t="str">
        <f ca="1">IFERROR(VLOOKUP(AB806,OFFSET(abbreviation[],0,ColumnLanguage),ColumnAbbreviation,FALSE),"")</f>
        <v/>
      </c>
      <c r="BU806" s="21" t="str">
        <f t="shared" ca="1" si="85"/>
        <v>__</v>
      </c>
      <c r="BV806" s="21" t="str">
        <f ca="1">IFERROR(VLOOKUP(AF806,OFFSET(abbreviation[],0,ColumnLanguage),ColumnAbbreviation,FALSE),"")</f>
        <v/>
      </c>
      <c r="BW806" s="21" t="str">
        <f ca="1">IFERROR(VLOOKUP(AH806,OFFSET(abbreviation[],0,ColumnLanguage),ColumnAbbreviation,FALSE),"")</f>
        <v/>
      </c>
      <c r="BX806" s="21" t="str">
        <f ca="1">IFERROR(VLOOKUP(AJ806,OFFSET(abbreviation[],0,ColumnLanguage),ColumnAbbreviation,FALSE),"")</f>
        <v/>
      </c>
      <c r="BY806" s="21" t="str">
        <f ca="1">IFERROR(VLOOKUP(AL806,OFFSET(abbreviation[],0,ColumnLanguage),ColumnAbbreviation,FALSE),"")</f>
        <v/>
      </c>
      <c r="BZ806" s="21" t="str">
        <f t="shared" ca="1" si="86"/>
        <v>_</v>
      </c>
      <c r="CA806" s="21" t="str">
        <f ca="1">IFERROR(VLOOKUP(AP806,OFFSET(abbreviation[],0,ColumnLanguage),ColumnAbbreviation,FALSE),"")</f>
        <v/>
      </c>
      <c r="CB806" s="21" t="str">
        <f ca="1">IFERROR(VLOOKUP(AR806,OFFSET(abbreviation[],0,ColumnLanguage),ColumnAbbreviation,FALSE),"")</f>
        <v/>
      </c>
      <c r="CC806" s="21" t="str">
        <f ca="1">IFERROR(VLOOKUP(AT806,OFFSET(abbreviation[],0,ColumnLanguage),ColumnAbbreviation,FALSE),"")</f>
        <v/>
      </c>
      <c r="CD806" s="21" t="str">
        <f ca="1">IFERROR(VLOOKUP(AV806,OFFSET(abbreviation[],0,ColumnLanguage),ColumnAbbreviation,FALSE),"")</f>
        <v/>
      </c>
      <c r="CE806" s="21" t="str">
        <f t="shared" ca="1" si="87"/>
        <v>__</v>
      </c>
      <c r="CF806" s="21" t="str">
        <f ca="1">IFERROR(VLOOKUP(AX806,OFFSET(abbreviation[],0,ColumnLanguage),ColumnAbbreviation,FALSE),"")</f>
        <v/>
      </c>
      <c r="CG806" s="21" t="str">
        <f ca="1">IFERROR(VLOOKUP(AZ806,OFFSET(abbreviation[],0,ColumnLanguage),ColumnAbbreviation,FALSE),"")</f>
        <v/>
      </c>
      <c r="CH806" s="21" t="str">
        <f ca="1">IFERROR(VLOOKUP(BB806,OFFSET(abbreviation[],0,ColumnLanguage),ColumnAbbreviation,FALSE),"")</f>
        <v/>
      </c>
      <c r="CI806" s="21" t="str">
        <f ca="1">IFERROR(VLOOKUP(BD806,OFFSET(abbreviation[],0,ColumnLanguage),ColumnAbbreviation,FALSE),"")</f>
        <v/>
      </c>
      <c r="CJ806" s="21" t="str">
        <f ca="1">IFERROR(VLOOKUP(BF806,OFFSET(abbreviation[],0,ColumnLanguage),ColumnAbbreviation,FALSE),"")</f>
        <v/>
      </c>
      <c r="CK806" s="21" t="str">
        <f t="shared" ca="1" si="88"/>
        <v/>
      </c>
      <c r="CL806" s="21" t="str">
        <f t="shared" si="89"/>
        <v/>
      </c>
      <c r="CM806" s="52"/>
      <c r="CN806" s="57" t="str">
        <f t="shared" si="90"/>
        <v/>
      </c>
    </row>
    <row r="807" spans="14:92" x14ac:dyDescent="0.25">
      <c r="Q807" s="13"/>
      <c r="V807" s="60"/>
      <c r="X807" s="61"/>
      <c r="AN807" s="54"/>
      <c r="AS807" s="15"/>
      <c r="BH807" s="52"/>
      <c r="BI807" s="21" t="str">
        <f ca="1">IFERROR(VLOOKUP(C807,OFFSET(abbreviation[],0,ColumnLanguage),ColumnAbbreviation,FALSE),"")</f>
        <v/>
      </c>
      <c r="BJ807" s="21" t="str">
        <f ca="1">IFERROR(VLOOKUP(E807,OFFSET(abbreviation[],0,ColumnLanguage),ColumnAbbreviation,FALSE),"")</f>
        <v/>
      </c>
      <c r="BK807" s="21" t="str">
        <f ca="1">IFERROR(VLOOKUP(G807,OFFSET(abbreviation[],0,ColumnLanguage),ColumnAbbreviation,FALSE),"")</f>
        <v/>
      </c>
      <c r="BL807" s="21" t="str">
        <f ca="1">IFERROR(VLOOKUP(I807,OFFSET(abbreviation[],0,ColumnLanguage),ColumnAbbreviation,FALSE),"")</f>
        <v/>
      </c>
      <c r="BM807" s="21" t="str">
        <f ca="1">IFERROR(VLOOKUP(K807,OFFSET(abbreviation[],0,ColumnLanguage),ColumnAbbreviation,FALSE),"")</f>
        <v/>
      </c>
      <c r="BN807" s="21" t="str">
        <f t="shared" ca="1" si="84"/>
        <v/>
      </c>
      <c r="BO807" s="21" t="str">
        <f ca="1">IFERROR(VLOOKUP(N807,OFFSET(abbreviation[],0,ColumnLanguage),ColumnAbbreviation,FALSE),"")</f>
        <v/>
      </c>
      <c r="BP807" s="21" t="str">
        <f ca="1">IFERROR(VLOOKUP(P807,OFFSET(abbreviation[],0,ColumnLanguage),ColumnAbbreviation,FALSE),"")</f>
        <v/>
      </c>
      <c r="BQ807" s="21" t="str">
        <f ca="1">IFERROR(VLOOKUP(T807,OFFSET(abbreviation[],0,ColumnLanguage),ColumnAbbreviation,FALSE),"")</f>
        <v/>
      </c>
      <c r="BR807" s="21" t="str">
        <f ca="1">IFERROR(VLOOKUP(V807,OFFSET(abbreviation[],0,ColumnLanguage),ColumnAbbreviation,FALSE),"")</f>
        <v/>
      </c>
      <c r="BS807" s="21" t="str">
        <f ca="1">IFERROR(VLOOKUP(Z807,OFFSET(abbreviation[],0,ColumnLanguage),ColumnAbbreviation,FALSE),"")</f>
        <v/>
      </c>
      <c r="BT807" s="21" t="str">
        <f ca="1">IFERROR(VLOOKUP(AB807,OFFSET(abbreviation[],0,ColumnLanguage),ColumnAbbreviation,FALSE),"")</f>
        <v/>
      </c>
      <c r="BU807" s="21" t="str">
        <f t="shared" ca="1" si="85"/>
        <v>__</v>
      </c>
      <c r="BV807" s="21" t="str">
        <f ca="1">IFERROR(VLOOKUP(AF807,OFFSET(abbreviation[],0,ColumnLanguage),ColumnAbbreviation,FALSE),"")</f>
        <v/>
      </c>
      <c r="BW807" s="21" t="str">
        <f ca="1">IFERROR(VLOOKUP(AH807,OFFSET(abbreviation[],0,ColumnLanguage),ColumnAbbreviation,FALSE),"")</f>
        <v/>
      </c>
      <c r="BX807" s="21" t="str">
        <f ca="1">IFERROR(VLOOKUP(AJ807,OFFSET(abbreviation[],0,ColumnLanguage),ColumnAbbreviation,FALSE),"")</f>
        <v/>
      </c>
      <c r="BY807" s="21" t="str">
        <f ca="1">IFERROR(VLOOKUP(AL807,OFFSET(abbreviation[],0,ColumnLanguage),ColumnAbbreviation,FALSE),"")</f>
        <v/>
      </c>
      <c r="BZ807" s="21" t="str">
        <f t="shared" ca="1" si="86"/>
        <v>_</v>
      </c>
      <c r="CA807" s="21" t="str">
        <f ca="1">IFERROR(VLOOKUP(AP807,OFFSET(abbreviation[],0,ColumnLanguage),ColumnAbbreviation,FALSE),"")</f>
        <v/>
      </c>
      <c r="CB807" s="21" t="str">
        <f ca="1">IFERROR(VLOOKUP(AR807,OFFSET(abbreviation[],0,ColumnLanguage),ColumnAbbreviation,FALSE),"")</f>
        <v/>
      </c>
      <c r="CC807" s="21" t="str">
        <f ca="1">IFERROR(VLOOKUP(AT807,OFFSET(abbreviation[],0,ColumnLanguage),ColumnAbbreviation,FALSE),"")</f>
        <v/>
      </c>
      <c r="CD807" s="21" t="str">
        <f ca="1">IFERROR(VLOOKUP(AV807,OFFSET(abbreviation[],0,ColumnLanguage),ColumnAbbreviation,FALSE),"")</f>
        <v/>
      </c>
      <c r="CE807" s="21" t="str">
        <f t="shared" ca="1" si="87"/>
        <v>__</v>
      </c>
      <c r="CF807" s="21" t="str">
        <f ca="1">IFERROR(VLOOKUP(AX807,OFFSET(abbreviation[],0,ColumnLanguage),ColumnAbbreviation,FALSE),"")</f>
        <v/>
      </c>
      <c r="CG807" s="21" t="str">
        <f ca="1">IFERROR(VLOOKUP(AZ807,OFFSET(abbreviation[],0,ColumnLanguage),ColumnAbbreviation,FALSE),"")</f>
        <v/>
      </c>
      <c r="CH807" s="21" t="str">
        <f ca="1">IFERROR(VLOOKUP(BB807,OFFSET(abbreviation[],0,ColumnLanguage),ColumnAbbreviation,FALSE),"")</f>
        <v/>
      </c>
      <c r="CI807" s="21" t="str">
        <f ca="1">IFERROR(VLOOKUP(BD807,OFFSET(abbreviation[],0,ColumnLanguage),ColumnAbbreviation,FALSE),"")</f>
        <v/>
      </c>
      <c r="CJ807" s="21" t="str">
        <f ca="1">IFERROR(VLOOKUP(BF807,OFFSET(abbreviation[],0,ColumnLanguage),ColumnAbbreviation,FALSE),"")</f>
        <v/>
      </c>
      <c r="CK807" s="21" t="str">
        <f t="shared" ca="1" si="88"/>
        <v/>
      </c>
      <c r="CL807" s="21" t="str">
        <f t="shared" si="89"/>
        <v/>
      </c>
      <c r="CM807" s="52"/>
      <c r="CN807" s="57" t="str">
        <f t="shared" si="90"/>
        <v/>
      </c>
    </row>
    <row r="808" spans="14:92" x14ac:dyDescent="0.25">
      <c r="Q808" s="13"/>
      <c r="V808" s="60"/>
      <c r="X808" s="61"/>
      <c r="AN808" s="54"/>
      <c r="AS808" s="15"/>
      <c r="BH808" s="52"/>
      <c r="BI808" s="21" t="str">
        <f ca="1">IFERROR(VLOOKUP(C808,OFFSET(abbreviation[],0,ColumnLanguage),ColumnAbbreviation,FALSE),"")</f>
        <v/>
      </c>
      <c r="BJ808" s="21" t="str">
        <f ca="1">IFERROR(VLOOKUP(E808,OFFSET(abbreviation[],0,ColumnLanguage),ColumnAbbreviation,FALSE),"")</f>
        <v/>
      </c>
      <c r="BK808" s="21" t="str">
        <f ca="1">IFERROR(VLOOKUP(G808,OFFSET(abbreviation[],0,ColumnLanguage),ColumnAbbreviation,FALSE),"")</f>
        <v/>
      </c>
      <c r="BL808" s="21" t="str">
        <f ca="1">IFERROR(VLOOKUP(I808,OFFSET(abbreviation[],0,ColumnLanguage),ColumnAbbreviation,FALSE),"")</f>
        <v/>
      </c>
      <c r="BM808" s="21" t="str">
        <f ca="1">IFERROR(VLOOKUP(K808,OFFSET(abbreviation[],0,ColumnLanguage),ColumnAbbreviation,FALSE),"")</f>
        <v/>
      </c>
      <c r="BN808" s="21" t="str">
        <f t="shared" ca="1" si="84"/>
        <v/>
      </c>
      <c r="BO808" s="21" t="str">
        <f ca="1">IFERROR(VLOOKUP(N808,OFFSET(abbreviation[],0,ColumnLanguage),ColumnAbbreviation,FALSE),"")</f>
        <v/>
      </c>
      <c r="BP808" s="21" t="str">
        <f ca="1">IFERROR(VLOOKUP(P808,OFFSET(abbreviation[],0,ColumnLanguage),ColumnAbbreviation,FALSE),"")</f>
        <v/>
      </c>
      <c r="BQ808" s="21" t="str">
        <f ca="1">IFERROR(VLOOKUP(T808,OFFSET(abbreviation[],0,ColumnLanguage),ColumnAbbreviation,FALSE),"")</f>
        <v/>
      </c>
      <c r="BR808" s="21" t="str">
        <f ca="1">IFERROR(VLOOKUP(V808,OFFSET(abbreviation[],0,ColumnLanguage),ColumnAbbreviation,FALSE),"")</f>
        <v/>
      </c>
      <c r="BS808" s="21" t="str">
        <f ca="1">IFERROR(VLOOKUP(Z808,OFFSET(abbreviation[],0,ColumnLanguage),ColumnAbbreviation,FALSE),"")</f>
        <v/>
      </c>
      <c r="BT808" s="21" t="str">
        <f ca="1">IFERROR(VLOOKUP(AB808,OFFSET(abbreviation[],0,ColumnLanguage),ColumnAbbreviation,FALSE),"")</f>
        <v/>
      </c>
      <c r="BU808" s="21" t="str">
        <f t="shared" ca="1" si="85"/>
        <v>__</v>
      </c>
      <c r="BV808" s="21" t="str">
        <f ca="1">IFERROR(VLOOKUP(AF808,OFFSET(abbreviation[],0,ColumnLanguage),ColumnAbbreviation,FALSE),"")</f>
        <v/>
      </c>
      <c r="BW808" s="21" t="str">
        <f ca="1">IFERROR(VLOOKUP(AH808,OFFSET(abbreviation[],0,ColumnLanguage),ColumnAbbreviation,FALSE),"")</f>
        <v/>
      </c>
      <c r="BX808" s="21" t="str">
        <f ca="1">IFERROR(VLOOKUP(AJ808,OFFSET(abbreviation[],0,ColumnLanguage),ColumnAbbreviation,FALSE),"")</f>
        <v/>
      </c>
      <c r="BY808" s="21" t="str">
        <f ca="1">IFERROR(VLOOKUP(AL808,OFFSET(abbreviation[],0,ColumnLanguage),ColumnAbbreviation,FALSE),"")</f>
        <v/>
      </c>
      <c r="BZ808" s="21" t="str">
        <f t="shared" ca="1" si="86"/>
        <v>_</v>
      </c>
      <c r="CA808" s="21" t="str">
        <f ca="1">IFERROR(VLOOKUP(AP808,OFFSET(abbreviation[],0,ColumnLanguage),ColumnAbbreviation,FALSE),"")</f>
        <v/>
      </c>
      <c r="CB808" s="21" t="str">
        <f ca="1">IFERROR(VLOOKUP(AR808,OFFSET(abbreviation[],0,ColumnLanguage),ColumnAbbreviation,FALSE),"")</f>
        <v/>
      </c>
      <c r="CC808" s="21" t="str">
        <f ca="1">IFERROR(VLOOKUP(AT808,OFFSET(abbreviation[],0,ColumnLanguage),ColumnAbbreviation,FALSE),"")</f>
        <v/>
      </c>
      <c r="CD808" s="21" t="str">
        <f ca="1">IFERROR(VLOOKUP(AV808,OFFSET(abbreviation[],0,ColumnLanguage),ColumnAbbreviation,FALSE),"")</f>
        <v/>
      </c>
      <c r="CE808" s="21" t="str">
        <f t="shared" ca="1" si="87"/>
        <v>__</v>
      </c>
      <c r="CF808" s="21" t="str">
        <f ca="1">IFERROR(VLOOKUP(AX808,OFFSET(abbreviation[],0,ColumnLanguage),ColumnAbbreviation,FALSE),"")</f>
        <v/>
      </c>
      <c r="CG808" s="21" t="str">
        <f ca="1">IFERROR(VLOOKUP(AZ808,OFFSET(abbreviation[],0,ColumnLanguage),ColumnAbbreviation,FALSE),"")</f>
        <v/>
      </c>
      <c r="CH808" s="21" t="str">
        <f ca="1">IFERROR(VLOOKUP(BB808,OFFSET(abbreviation[],0,ColumnLanguage),ColumnAbbreviation,FALSE),"")</f>
        <v/>
      </c>
      <c r="CI808" s="21" t="str">
        <f ca="1">IFERROR(VLOOKUP(BD808,OFFSET(abbreviation[],0,ColumnLanguage),ColumnAbbreviation,FALSE),"")</f>
        <v/>
      </c>
      <c r="CJ808" s="21" t="str">
        <f ca="1">IFERROR(VLOOKUP(BF808,OFFSET(abbreviation[],0,ColumnLanguage),ColumnAbbreviation,FALSE),"")</f>
        <v/>
      </c>
      <c r="CK808" s="21" t="str">
        <f t="shared" ca="1" si="88"/>
        <v/>
      </c>
      <c r="CL808" s="21" t="str">
        <f t="shared" si="89"/>
        <v/>
      </c>
      <c r="CM808" s="52"/>
      <c r="CN808" s="57" t="str">
        <f t="shared" si="90"/>
        <v/>
      </c>
    </row>
    <row r="809" spans="14:92" x14ac:dyDescent="0.25">
      <c r="Q809" s="13"/>
      <c r="V809" s="60"/>
      <c r="X809" s="61"/>
      <c r="AN809" s="54"/>
      <c r="AS809" s="15"/>
      <c r="BH809" s="52"/>
      <c r="BI809" s="21" t="str">
        <f ca="1">IFERROR(VLOOKUP(C809,OFFSET(abbreviation[],0,ColumnLanguage),ColumnAbbreviation,FALSE),"")</f>
        <v/>
      </c>
      <c r="BJ809" s="21" t="str">
        <f ca="1">IFERROR(VLOOKUP(E809,OFFSET(abbreviation[],0,ColumnLanguage),ColumnAbbreviation,FALSE),"")</f>
        <v/>
      </c>
      <c r="BK809" s="21" t="str">
        <f ca="1">IFERROR(VLOOKUP(G809,OFFSET(abbreviation[],0,ColumnLanguage),ColumnAbbreviation,FALSE),"")</f>
        <v/>
      </c>
      <c r="BL809" s="21" t="str">
        <f ca="1">IFERROR(VLOOKUP(I809,OFFSET(abbreviation[],0,ColumnLanguage),ColumnAbbreviation,FALSE),"")</f>
        <v/>
      </c>
      <c r="BM809" s="21" t="str">
        <f ca="1">IFERROR(VLOOKUP(K809,OFFSET(abbreviation[],0,ColumnLanguage),ColumnAbbreviation,FALSE),"")</f>
        <v/>
      </c>
      <c r="BN809" s="21" t="str">
        <f t="shared" ca="1" si="84"/>
        <v/>
      </c>
      <c r="BO809" s="21" t="str">
        <f ca="1">IFERROR(VLOOKUP(N809,OFFSET(abbreviation[],0,ColumnLanguage),ColumnAbbreviation,FALSE),"")</f>
        <v/>
      </c>
      <c r="BP809" s="21" t="str">
        <f ca="1">IFERROR(VLOOKUP(P809,OFFSET(abbreviation[],0,ColumnLanguage),ColumnAbbreviation,FALSE),"")</f>
        <v/>
      </c>
      <c r="BQ809" s="21" t="str">
        <f ca="1">IFERROR(VLOOKUP(T809,OFFSET(abbreviation[],0,ColumnLanguage),ColumnAbbreviation,FALSE),"")</f>
        <v/>
      </c>
      <c r="BR809" s="21" t="str">
        <f ca="1">IFERROR(VLOOKUP(V809,OFFSET(abbreviation[],0,ColumnLanguage),ColumnAbbreviation,FALSE),"")</f>
        <v/>
      </c>
      <c r="BS809" s="21" t="str">
        <f ca="1">IFERROR(VLOOKUP(Z809,OFFSET(abbreviation[],0,ColumnLanguage),ColumnAbbreviation,FALSE),"")</f>
        <v/>
      </c>
      <c r="BT809" s="21" t="str">
        <f ca="1">IFERROR(VLOOKUP(AB809,OFFSET(abbreviation[],0,ColumnLanguage),ColumnAbbreviation,FALSE),"")</f>
        <v/>
      </c>
      <c r="BU809" s="21" t="str">
        <f t="shared" ca="1" si="85"/>
        <v>__</v>
      </c>
      <c r="BV809" s="21" t="str">
        <f ca="1">IFERROR(VLOOKUP(AF809,OFFSET(abbreviation[],0,ColumnLanguage),ColumnAbbreviation,FALSE),"")</f>
        <v/>
      </c>
      <c r="BW809" s="21" t="str">
        <f ca="1">IFERROR(VLOOKUP(AH809,OFFSET(abbreviation[],0,ColumnLanguage),ColumnAbbreviation,FALSE),"")</f>
        <v/>
      </c>
      <c r="BX809" s="21" t="str">
        <f ca="1">IFERROR(VLOOKUP(AJ809,OFFSET(abbreviation[],0,ColumnLanguage),ColumnAbbreviation,FALSE),"")</f>
        <v/>
      </c>
      <c r="BY809" s="21" t="str">
        <f ca="1">IFERROR(VLOOKUP(AL809,OFFSET(abbreviation[],0,ColumnLanguage),ColumnAbbreviation,FALSE),"")</f>
        <v/>
      </c>
      <c r="BZ809" s="21" t="str">
        <f t="shared" ca="1" si="86"/>
        <v>_</v>
      </c>
      <c r="CA809" s="21" t="str">
        <f ca="1">IFERROR(VLOOKUP(AP809,OFFSET(abbreviation[],0,ColumnLanguage),ColumnAbbreviation,FALSE),"")</f>
        <v/>
      </c>
      <c r="CB809" s="21" t="str">
        <f ca="1">IFERROR(VLOOKUP(AR809,OFFSET(abbreviation[],0,ColumnLanguage),ColumnAbbreviation,FALSE),"")</f>
        <v/>
      </c>
      <c r="CC809" s="21" t="str">
        <f ca="1">IFERROR(VLOOKUP(AT809,OFFSET(abbreviation[],0,ColumnLanguage),ColumnAbbreviation,FALSE),"")</f>
        <v/>
      </c>
      <c r="CD809" s="21" t="str">
        <f ca="1">IFERROR(VLOOKUP(AV809,OFFSET(abbreviation[],0,ColumnLanguage),ColumnAbbreviation,FALSE),"")</f>
        <v/>
      </c>
      <c r="CE809" s="21" t="str">
        <f t="shared" ca="1" si="87"/>
        <v>__</v>
      </c>
      <c r="CF809" s="21" t="str">
        <f ca="1">IFERROR(VLOOKUP(AX809,OFFSET(abbreviation[],0,ColumnLanguage),ColumnAbbreviation,FALSE),"")</f>
        <v/>
      </c>
      <c r="CG809" s="21" t="str">
        <f ca="1">IFERROR(VLOOKUP(AZ809,OFFSET(abbreviation[],0,ColumnLanguage),ColumnAbbreviation,FALSE),"")</f>
        <v/>
      </c>
      <c r="CH809" s="21" t="str">
        <f ca="1">IFERROR(VLOOKUP(BB809,OFFSET(abbreviation[],0,ColumnLanguage),ColumnAbbreviation,FALSE),"")</f>
        <v/>
      </c>
      <c r="CI809" s="21" t="str">
        <f ca="1">IFERROR(VLOOKUP(BD809,OFFSET(abbreviation[],0,ColumnLanguage),ColumnAbbreviation,FALSE),"")</f>
        <v/>
      </c>
      <c r="CJ809" s="21" t="str">
        <f ca="1">IFERROR(VLOOKUP(BF809,OFFSET(abbreviation[],0,ColumnLanguage),ColumnAbbreviation,FALSE),"")</f>
        <v/>
      </c>
      <c r="CK809" s="21" t="str">
        <f t="shared" ca="1" si="88"/>
        <v/>
      </c>
      <c r="CL809" s="21" t="str">
        <f t="shared" si="89"/>
        <v/>
      </c>
      <c r="CM809" s="52"/>
      <c r="CN809" s="57" t="str">
        <f t="shared" si="90"/>
        <v/>
      </c>
    </row>
    <row r="810" spans="14:92" x14ac:dyDescent="0.25">
      <c r="Q810" s="13"/>
      <c r="V810" s="60"/>
      <c r="X810" s="61"/>
      <c r="AN810" s="54"/>
      <c r="AS810" s="15"/>
      <c r="BH810" s="52"/>
      <c r="BI810" s="21" t="str">
        <f ca="1">IFERROR(VLOOKUP(C810,OFFSET(abbreviation[],0,ColumnLanguage),ColumnAbbreviation,FALSE),"")</f>
        <v/>
      </c>
      <c r="BJ810" s="21" t="str">
        <f ca="1">IFERROR(VLOOKUP(E810,OFFSET(abbreviation[],0,ColumnLanguage),ColumnAbbreviation,FALSE),"")</f>
        <v/>
      </c>
      <c r="BK810" s="21" t="str">
        <f ca="1">IFERROR(VLOOKUP(G810,OFFSET(abbreviation[],0,ColumnLanguage),ColumnAbbreviation,FALSE),"")</f>
        <v/>
      </c>
      <c r="BL810" s="21" t="str">
        <f ca="1">IFERROR(VLOOKUP(I810,OFFSET(abbreviation[],0,ColumnLanguage),ColumnAbbreviation,FALSE),"")</f>
        <v/>
      </c>
      <c r="BM810" s="21" t="str">
        <f ca="1">IFERROR(VLOOKUP(K810,OFFSET(abbreviation[],0,ColumnLanguage),ColumnAbbreviation,FALSE),"")</f>
        <v/>
      </c>
      <c r="BN810" s="21" t="str">
        <f t="shared" ca="1" si="84"/>
        <v/>
      </c>
      <c r="BO810" s="21" t="str">
        <f ca="1">IFERROR(VLOOKUP(N810,OFFSET(abbreviation[],0,ColumnLanguage),ColumnAbbreviation,FALSE),"")</f>
        <v/>
      </c>
      <c r="BP810" s="21" t="str">
        <f ca="1">IFERROR(VLOOKUP(P810,OFFSET(abbreviation[],0,ColumnLanguage),ColumnAbbreviation,FALSE),"")</f>
        <v/>
      </c>
      <c r="BQ810" s="21" t="str">
        <f ca="1">IFERROR(VLOOKUP(T810,OFFSET(abbreviation[],0,ColumnLanguage),ColumnAbbreviation,FALSE),"")</f>
        <v/>
      </c>
      <c r="BR810" s="21" t="str">
        <f ca="1">IFERROR(VLOOKUP(V810,OFFSET(abbreviation[],0,ColumnLanguage),ColumnAbbreviation,FALSE),"")</f>
        <v/>
      </c>
      <c r="BS810" s="21" t="str">
        <f ca="1">IFERROR(VLOOKUP(Z810,OFFSET(abbreviation[],0,ColumnLanguage),ColumnAbbreviation,FALSE),"")</f>
        <v/>
      </c>
      <c r="BT810" s="21" t="str">
        <f ca="1">IFERROR(VLOOKUP(AB810,OFFSET(abbreviation[],0,ColumnLanguage),ColumnAbbreviation,FALSE),"")</f>
        <v/>
      </c>
      <c r="BU810" s="21" t="str">
        <f t="shared" ca="1" si="85"/>
        <v>__</v>
      </c>
      <c r="BV810" s="21" t="str">
        <f ca="1">IFERROR(VLOOKUP(AF810,OFFSET(abbreviation[],0,ColumnLanguage),ColumnAbbreviation,FALSE),"")</f>
        <v/>
      </c>
      <c r="BW810" s="21" t="str">
        <f ca="1">IFERROR(VLOOKUP(AH810,OFFSET(abbreviation[],0,ColumnLanguage),ColumnAbbreviation,FALSE),"")</f>
        <v/>
      </c>
      <c r="BX810" s="21" t="str">
        <f ca="1">IFERROR(VLOOKUP(AJ810,OFFSET(abbreviation[],0,ColumnLanguage),ColumnAbbreviation,FALSE),"")</f>
        <v/>
      </c>
      <c r="BY810" s="21" t="str">
        <f ca="1">IFERROR(VLOOKUP(AL810,OFFSET(abbreviation[],0,ColumnLanguage),ColumnAbbreviation,FALSE),"")</f>
        <v/>
      </c>
      <c r="BZ810" s="21" t="str">
        <f t="shared" ca="1" si="86"/>
        <v>_</v>
      </c>
      <c r="CA810" s="21" t="str">
        <f ca="1">IFERROR(VLOOKUP(AP810,OFFSET(abbreviation[],0,ColumnLanguage),ColumnAbbreviation,FALSE),"")</f>
        <v/>
      </c>
      <c r="CB810" s="21" t="str">
        <f ca="1">IFERROR(VLOOKUP(AR810,OFFSET(abbreviation[],0,ColumnLanguage),ColumnAbbreviation,FALSE),"")</f>
        <v/>
      </c>
      <c r="CC810" s="21" t="str">
        <f ca="1">IFERROR(VLOOKUP(AT810,OFFSET(abbreviation[],0,ColumnLanguage),ColumnAbbreviation,FALSE),"")</f>
        <v/>
      </c>
      <c r="CD810" s="21" t="str">
        <f ca="1">IFERROR(VLOOKUP(AV810,OFFSET(abbreviation[],0,ColumnLanguage),ColumnAbbreviation,FALSE),"")</f>
        <v/>
      </c>
      <c r="CE810" s="21" t="str">
        <f t="shared" ca="1" si="87"/>
        <v>__</v>
      </c>
      <c r="CF810" s="21" t="str">
        <f ca="1">IFERROR(VLOOKUP(AX810,OFFSET(abbreviation[],0,ColumnLanguage),ColumnAbbreviation,FALSE),"")</f>
        <v/>
      </c>
      <c r="CG810" s="21" t="str">
        <f ca="1">IFERROR(VLOOKUP(AZ810,OFFSET(abbreviation[],0,ColumnLanguage),ColumnAbbreviation,FALSE),"")</f>
        <v/>
      </c>
      <c r="CH810" s="21" t="str">
        <f ca="1">IFERROR(VLOOKUP(BB810,OFFSET(abbreviation[],0,ColumnLanguage),ColumnAbbreviation,FALSE),"")</f>
        <v/>
      </c>
      <c r="CI810" s="21" t="str">
        <f ca="1">IFERROR(VLOOKUP(BD810,OFFSET(abbreviation[],0,ColumnLanguage),ColumnAbbreviation,FALSE),"")</f>
        <v/>
      </c>
      <c r="CJ810" s="21" t="str">
        <f ca="1">IFERROR(VLOOKUP(BF810,OFFSET(abbreviation[],0,ColumnLanguage),ColumnAbbreviation,FALSE),"")</f>
        <v/>
      </c>
      <c r="CK810" s="21" t="str">
        <f t="shared" ca="1" si="88"/>
        <v/>
      </c>
      <c r="CL810" s="21" t="str">
        <f t="shared" si="89"/>
        <v/>
      </c>
      <c r="CM810" s="52"/>
      <c r="CN810" s="57" t="str">
        <f t="shared" si="90"/>
        <v/>
      </c>
    </row>
    <row r="811" spans="14:92" x14ac:dyDescent="0.25">
      <c r="Q811" s="13"/>
      <c r="V811" s="60"/>
      <c r="X811" s="61"/>
      <c r="AN811" s="54"/>
      <c r="AS811" s="15"/>
      <c r="BH811" s="52"/>
      <c r="BI811" s="21" t="str">
        <f ca="1">IFERROR(VLOOKUP(C811,OFFSET(abbreviation[],0,ColumnLanguage),ColumnAbbreviation,FALSE),"")</f>
        <v/>
      </c>
      <c r="BJ811" s="21" t="str">
        <f ca="1">IFERROR(VLOOKUP(E811,OFFSET(abbreviation[],0,ColumnLanguage),ColumnAbbreviation,FALSE),"")</f>
        <v/>
      </c>
      <c r="BK811" s="21" t="str">
        <f ca="1">IFERROR(VLOOKUP(G811,OFFSET(abbreviation[],0,ColumnLanguage),ColumnAbbreviation,FALSE),"")</f>
        <v/>
      </c>
      <c r="BL811" s="21" t="str">
        <f ca="1">IFERROR(VLOOKUP(I811,OFFSET(abbreviation[],0,ColumnLanguage),ColumnAbbreviation,FALSE),"")</f>
        <v/>
      </c>
      <c r="BM811" s="21" t="str">
        <f ca="1">IFERROR(VLOOKUP(K811,OFFSET(abbreviation[],0,ColumnLanguage),ColumnAbbreviation,FALSE),"")</f>
        <v/>
      </c>
      <c r="BN811" s="21" t="str">
        <f t="shared" ca="1" si="84"/>
        <v/>
      </c>
      <c r="BO811" s="21" t="str">
        <f ca="1">IFERROR(VLOOKUP(N811,OFFSET(abbreviation[],0,ColumnLanguage),ColumnAbbreviation,FALSE),"")</f>
        <v/>
      </c>
      <c r="BP811" s="21" t="str">
        <f ca="1">IFERROR(VLOOKUP(P811,OFFSET(abbreviation[],0,ColumnLanguage),ColumnAbbreviation,FALSE),"")</f>
        <v/>
      </c>
      <c r="BQ811" s="21" t="str">
        <f ca="1">IFERROR(VLOOKUP(T811,OFFSET(abbreviation[],0,ColumnLanguage),ColumnAbbreviation,FALSE),"")</f>
        <v/>
      </c>
      <c r="BR811" s="21" t="str">
        <f ca="1">IFERROR(VLOOKUP(V811,OFFSET(abbreviation[],0,ColumnLanguage),ColumnAbbreviation,FALSE),"")</f>
        <v/>
      </c>
      <c r="BS811" s="21" t="str">
        <f ca="1">IFERROR(VLOOKUP(Z811,OFFSET(abbreviation[],0,ColumnLanguage),ColumnAbbreviation,FALSE),"")</f>
        <v/>
      </c>
      <c r="BT811" s="21" t="str">
        <f ca="1">IFERROR(VLOOKUP(AB811,OFFSET(abbreviation[],0,ColumnLanguage),ColumnAbbreviation,FALSE),"")</f>
        <v/>
      </c>
      <c r="BU811" s="21" t="str">
        <f t="shared" ca="1" si="85"/>
        <v>__</v>
      </c>
      <c r="BV811" s="21" t="str">
        <f ca="1">IFERROR(VLOOKUP(AF811,OFFSET(abbreviation[],0,ColumnLanguage),ColumnAbbreviation,FALSE),"")</f>
        <v/>
      </c>
      <c r="BW811" s="21" t="str">
        <f ca="1">IFERROR(VLOOKUP(AH811,OFFSET(abbreviation[],0,ColumnLanguage),ColumnAbbreviation,FALSE),"")</f>
        <v/>
      </c>
      <c r="BX811" s="21" t="str">
        <f ca="1">IFERROR(VLOOKUP(AJ811,OFFSET(abbreviation[],0,ColumnLanguage),ColumnAbbreviation,FALSE),"")</f>
        <v/>
      </c>
      <c r="BY811" s="21" t="str">
        <f ca="1">IFERROR(VLOOKUP(AL811,OFFSET(abbreviation[],0,ColumnLanguage),ColumnAbbreviation,FALSE),"")</f>
        <v/>
      </c>
      <c r="BZ811" s="21" t="str">
        <f t="shared" ca="1" si="86"/>
        <v>_</v>
      </c>
      <c r="CA811" s="21" t="str">
        <f ca="1">IFERROR(VLOOKUP(AP811,OFFSET(abbreviation[],0,ColumnLanguage),ColumnAbbreviation,FALSE),"")</f>
        <v/>
      </c>
      <c r="CB811" s="21" t="str">
        <f ca="1">IFERROR(VLOOKUP(AR811,OFFSET(abbreviation[],0,ColumnLanguage),ColumnAbbreviation,FALSE),"")</f>
        <v/>
      </c>
      <c r="CC811" s="21" t="str">
        <f ca="1">IFERROR(VLOOKUP(AT811,OFFSET(abbreviation[],0,ColumnLanguage),ColumnAbbreviation,FALSE),"")</f>
        <v/>
      </c>
      <c r="CD811" s="21" t="str">
        <f ca="1">IFERROR(VLOOKUP(AV811,OFFSET(abbreviation[],0,ColumnLanguage),ColumnAbbreviation,FALSE),"")</f>
        <v/>
      </c>
      <c r="CE811" s="21" t="str">
        <f t="shared" ca="1" si="87"/>
        <v>__</v>
      </c>
      <c r="CF811" s="21" t="str">
        <f ca="1">IFERROR(VLOOKUP(AX811,OFFSET(abbreviation[],0,ColumnLanguage),ColumnAbbreviation,FALSE),"")</f>
        <v/>
      </c>
      <c r="CG811" s="21" t="str">
        <f ca="1">IFERROR(VLOOKUP(AZ811,OFFSET(abbreviation[],0,ColumnLanguage),ColumnAbbreviation,FALSE),"")</f>
        <v/>
      </c>
      <c r="CH811" s="21" t="str">
        <f ca="1">IFERROR(VLOOKUP(BB811,OFFSET(abbreviation[],0,ColumnLanguage),ColumnAbbreviation,FALSE),"")</f>
        <v/>
      </c>
      <c r="CI811" s="21" t="str">
        <f ca="1">IFERROR(VLOOKUP(BD811,OFFSET(abbreviation[],0,ColumnLanguage),ColumnAbbreviation,FALSE),"")</f>
        <v/>
      </c>
      <c r="CJ811" s="21" t="str">
        <f ca="1">IFERROR(VLOOKUP(BF811,OFFSET(abbreviation[],0,ColumnLanguage),ColumnAbbreviation,FALSE),"")</f>
        <v/>
      </c>
      <c r="CK811" s="21" t="str">
        <f t="shared" ca="1" si="88"/>
        <v/>
      </c>
      <c r="CL811" s="21" t="str">
        <f t="shared" si="89"/>
        <v/>
      </c>
      <c r="CM811" s="52"/>
      <c r="CN811" s="57" t="str">
        <f t="shared" si="90"/>
        <v/>
      </c>
    </row>
    <row r="812" spans="14:92" x14ac:dyDescent="0.25">
      <c r="Q812" s="13"/>
      <c r="V812" s="60"/>
      <c r="X812" s="61"/>
      <c r="AN812" s="54"/>
      <c r="AS812" s="15"/>
      <c r="BH812" s="52"/>
      <c r="BI812" s="21" t="str">
        <f ca="1">IFERROR(VLOOKUP(C812,OFFSET(abbreviation[],0,ColumnLanguage),ColumnAbbreviation,FALSE),"")</f>
        <v/>
      </c>
      <c r="BJ812" s="21" t="str">
        <f ca="1">IFERROR(VLOOKUP(E812,OFFSET(abbreviation[],0,ColumnLanguage),ColumnAbbreviation,FALSE),"")</f>
        <v/>
      </c>
      <c r="BK812" s="21" t="str">
        <f ca="1">IFERROR(VLOOKUP(G812,OFFSET(abbreviation[],0,ColumnLanguage),ColumnAbbreviation,FALSE),"")</f>
        <v/>
      </c>
      <c r="BL812" s="21" t="str">
        <f ca="1">IFERROR(VLOOKUP(I812,OFFSET(abbreviation[],0,ColumnLanguage),ColumnAbbreviation,FALSE),"")</f>
        <v/>
      </c>
      <c r="BM812" s="21" t="str">
        <f ca="1">IFERROR(VLOOKUP(K812,OFFSET(abbreviation[],0,ColumnLanguage),ColumnAbbreviation,FALSE),"")</f>
        <v/>
      </c>
      <c r="BN812" s="21" t="str">
        <f t="shared" ca="1" si="84"/>
        <v/>
      </c>
      <c r="BO812" s="21" t="str">
        <f ca="1">IFERROR(VLOOKUP(N812,OFFSET(abbreviation[],0,ColumnLanguage),ColumnAbbreviation,FALSE),"")</f>
        <v/>
      </c>
      <c r="BP812" s="21" t="str">
        <f ca="1">IFERROR(VLOOKUP(P812,OFFSET(abbreviation[],0,ColumnLanguage),ColumnAbbreviation,FALSE),"")</f>
        <v/>
      </c>
      <c r="BQ812" s="21" t="str">
        <f ca="1">IFERROR(VLOOKUP(T812,OFFSET(abbreviation[],0,ColumnLanguage),ColumnAbbreviation,FALSE),"")</f>
        <v/>
      </c>
      <c r="BR812" s="21" t="str">
        <f ca="1">IFERROR(VLOOKUP(V812,OFFSET(abbreviation[],0,ColumnLanguage),ColumnAbbreviation,FALSE),"")</f>
        <v/>
      </c>
      <c r="BS812" s="21" t="str">
        <f ca="1">IFERROR(VLOOKUP(Z812,OFFSET(abbreviation[],0,ColumnLanguage),ColumnAbbreviation,FALSE),"")</f>
        <v/>
      </c>
      <c r="BT812" s="21" t="str">
        <f ca="1">IFERROR(VLOOKUP(AB812,OFFSET(abbreviation[],0,ColumnLanguage),ColumnAbbreviation,FALSE),"")</f>
        <v/>
      </c>
      <c r="BU812" s="21" t="str">
        <f t="shared" ca="1" si="85"/>
        <v>__</v>
      </c>
      <c r="BV812" s="21" t="str">
        <f ca="1">IFERROR(VLOOKUP(AF812,OFFSET(abbreviation[],0,ColumnLanguage),ColumnAbbreviation,FALSE),"")</f>
        <v/>
      </c>
      <c r="BW812" s="21" t="str">
        <f ca="1">IFERROR(VLOOKUP(AH812,OFFSET(abbreviation[],0,ColumnLanguage),ColumnAbbreviation,FALSE),"")</f>
        <v/>
      </c>
      <c r="BX812" s="21" t="str">
        <f ca="1">IFERROR(VLOOKUP(AJ812,OFFSET(abbreviation[],0,ColumnLanguage),ColumnAbbreviation,FALSE),"")</f>
        <v/>
      </c>
      <c r="BY812" s="21" t="str">
        <f ca="1">IFERROR(VLOOKUP(AL812,OFFSET(abbreviation[],0,ColumnLanguage),ColumnAbbreviation,FALSE),"")</f>
        <v/>
      </c>
      <c r="BZ812" s="21" t="str">
        <f t="shared" ca="1" si="86"/>
        <v>_</v>
      </c>
      <c r="CA812" s="21" t="str">
        <f ca="1">IFERROR(VLOOKUP(AP812,OFFSET(abbreviation[],0,ColumnLanguage),ColumnAbbreviation,FALSE),"")</f>
        <v/>
      </c>
      <c r="CB812" s="21" t="str">
        <f ca="1">IFERROR(VLOOKUP(AR812,OFFSET(abbreviation[],0,ColumnLanguage),ColumnAbbreviation,FALSE),"")</f>
        <v/>
      </c>
      <c r="CC812" s="21" t="str">
        <f ca="1">IFERROR(VLOOKUP(AT812,OFFSET(abbreviation[],0,ColumnLanguage),ColumnAbbreviation,FALSE),"")</f>
        <v/>
      </c>
      <c r="CD812" s="21" t="str">
        <f ca="1">IFERROR(VLOOKUP(AV812,OFFSET(abbreviation[],0,ColumnLanguage),ColumnAbbreviation,FALSE),"")</f>
        <v/>
      </c>
      <c r="CE812" s="21" t="str">
        <f t="shared" ca="1" si="87"/>
        <v>__</v>
      </c>
      <c r="CF812" s="21" t="str">
        <f ca="1">IFERROR(VLOOKUP(AX812,OFFSET(abbreviation[],0,ColumnLanguage),ColumnAbbreviation,FALSE),"")</f>
        <v/>
      </c>
      <c r="CG812" s="21" t="str">
        <f ca="1">IFERROR(VLOOKUP(AZ812,OFFSET(abbreviation[],0,ColumnLanguage),ColumnAbbreviation,FALSE),"")</f>
        <v/>
      </c>
      <c r="CH812" s="21" t="str">
        <f ca="1">IFERROR(VLOOKUP(BB812,OFFSET(abbreviation[],0,ColumnLanguage),ColumnAbbreviation,FALSE),"")</f>
        <v/>
      </c>
      <c r="CI812" s="21" t="str">
        <f ca="1">IFERROR(VLOOKUP(BD812,OFFSET(abbreviation[],0,ColumnLanguage),ColumnAbbreviation,FALSE),"")</f>
        <v/>
      </c>
      <c r="CJ812" s="21" t="str">
        <f ca="1">IFERROR(VLOOKUP(BF812,OFFSET(abbreviation[],0,ColumnLanguage),ColumnAbbreviation,FALSE),"")</f>
        <v/>
      </c>
      <c r="CK812" s="21" t="str">
        <f t="shared" ca="1" si="88"/>
        <v/>
      </c>
      <c r="CL812" s="21" t="str">
        <f t="shared" si="89"/>
        <v/>
      </c>
      <c r="CM812" s="52"/>
      <c r="CN812" s="57" t="str">
        <f t="shared" si="90"/>
        <v/>
      </c>
    </row>
    <row r="813" spans="14:92" x14ac:dyDescent="0.25">
      <c r="Q813" s="13"/>
      <c r="V813" s="60"/>
      <c r="X813" s="61"/>
      <c r="AN813" s="54"/>
      <c r="AS813" s="15"/>
      <c r="BH813" s="52"/>
      <c r="BI813" s="21" t="str">
        <f ca="1">IFERROR(VLOOKUP(C813,OFFSET(abbreviation[],0,ColumnLanguage),ColumnAbbreviation,FALSE),"")</f>
        <v/>
      </c>
      <c r="BJ813" s="21" t="str">
        <f ca="1">IFERROR(VLOOKUP(E813,OFFSET(abbreviation[],0,ColumnLanguage),ColumnAbbreviation,FALSE),"")</f>
        <v/>
      </c>
      <c r="BK813" s="21" t="str">
        <f ca="1">IFERROR(VLOOKUP(G813,OFFSET(abbreviation[],0,ColumnLanguage),ColumnAbbreviation,FALSE),"")</f>
        <v/>
      </c>
      <c r="BL813" s="21" t="str">
        <f ca="1">IFERROR(VLOOKUP(I813,OFFSET(abbreviation[],0,ColumnLanguage),ColumnAbbreviation,FALSE),"")</f>
        <v/>
      </c>
      <c r="BM813" s="21" t="str">
        <f ca="1">IFERROR(VLOOKUP(K813,OFFSET(abbreviation[],0,ColumnLanguage),ColumnAbbreviation,FALSE),"")</f>
        <v/>
      </c>
      <c r="BN813" s="21" t="str">
        <f t="shared" ca="1" si="84"/>
        <v/>
      </c>
      <c r="BO813" s="21" t="str">
        <f ca="1">IFERROR(VLOOKUP(N813,OFFSET(abbreviation[],0,ColumnLanguage),ColumnAbbreviation,FALSE),"")</f>
        <v/>
      </c>
      <c r="BP813" s="21" t="str">
        <f ca="1">IFERROR(VLOOKUP(P813,OFFSET(abbreviation[],0,ColumnLanguage),ColumnAbbreviation,FALSE),"")</f>
        <v/>
      </c>
      <c r="BQ813" s="21" t="str">
        <f ca="1">IFERROR(VLOOKUP(T813,OFFSET(abbreviation[],0,ColumnLanguage),ColumnAbbreviation,FALSE),"")</f>
        <v/>
      </c>
      <c r="BR813" s="21" t="str">
        <f ca="1">IFERROR(VLOOKUP(V813,OFFSET(abbreviation[],0,ColumnLanguage),ColumnAbbreviation,FALSE),"")</f>
        <v/>
      </c>
      <c r="BS813" s="21" t="str">
        <f ca="1">IFERROR(VLOOKUP(Z813,OFFSET(abbreviation[],0,ColumnLanguage),ColumnAbbreviation,FALSE),"")</f>
        <v/>
      </c>
      <c r="BT813" s="21" t="str">
        <f ca="1">IFERROR(VLOOKUP(AB813,OFFSET(abbreviation[],0,ColumnLanguage),ColumnAbbreviation,FALSE),"")</f>
        <v/>
      </c>
      <c r="BU813" s="21" t="str">
        <f t="shared" ca="1" si="85"/>
        <v>__</v>
      </c>
      <c r="BV813" s="21" t="str">
        <f ca="1">IFERROR(VLOOKUP(AF813,OFFSET(abbreviation[],0,ColumnLanguage),ColumnAbbreviation,FALSE),"")</f>
        <v/>
      </c>
      <c r="BW813" s="21" t="str">
        <f ca="1">IFERROR(VLOOKUP(AH813,OFFSET(abbreviation[],0,ColumnLanguage),ColumnAbbreviation,FALSE),"")</f>
        <v/>
      </c>
      <c r="BX813" s="21" t="str">
        <f ca="1">IFERROR(VLOOKUP(AJ813,OFFSET(abbreviation[],0,ColumnLanguage),ColumnAbbreviation,FALSE),"")</f>
        <v/>
      </c>
      <c r="BY813" s="21" t="str">
        <f ca="1">IFERROR(VLOOKUP(AL813,OFFSET(abbreviation[],0,ColumnLanguage),ColumnAbbreviation,FALSE),"")</f>
        <v/>
      </c>
      <c r="BZ813" s="21" t="str">
        <f t="shared" ca="1" si="86"/>
        <v>_</v>
      </c>
      <c r="CA813" s="21" t="str">
        <f ca="1">IFERROR(VLOOKUP(AP813,OFFSET(abbreviation[],0,ColumnLanguage),ColumnAbbreviation,FALSE),"")</f>
        <v/>
      </c>
      <c r="CB813" s="21" t="str">
        <f ca="1">IFERROR(VLOOKUP(AR813,OFFSET(abbreviation[],0,ColumnLanguage),ColumnAbbreviation,FALSE),"")</f>
        <v/>
      </c>
      <c r="CC813" s="21" t="str">
        <f ca="1">IFERROR(VLOOKUP(AT813,OFFSET(abbreviation[],0,ColumnLanguage),ColumnAbbreviation,FALSE),"")</f>
        <v/>
      </c>
      <c r="CD813" s="21" t="str">
        <f ca="1">IFERROR(VLOOKUP(AV813,OFFSET(abbreviation[],0,ColumnLanguage),ColumnAbbreviation,FALSE),"")</f>
        <v/>
      </c>
      <c r="CE813" s="21" t="str">
        <f t="shared" ca="1" si="87"/>
        <v>__</v>
      </c>
      <c r="CF813" s="21" t="str">
        <f ca="1">IFERROR(VLOOKUP(AX813,OFFSET(abbreviation[],0,ColumnLanguage),ColumnAbbreviation,FALSE),"")</f>
        <v/>
      </c>
      <c r="CG813" s="21" t="str">
        <f ca="1">IFERROR(VLOOKUP(AZ813,OFFSET(abbreviation[],0,ColumnLanguage),ColumnAbbreviation,FALSE),"")</f>
        <v/>
      </c>
      <c r="CH813" s="21" t="str">
        <f ca="1">IFERROR(VLOOKUP(BB813,OFFSET(abbreviation[],0,ColumnLanguage),ColumnAbbreviation,FALSE),"")</f>
        <v/>
      </c>
      <c r="CI813" s="21" t="str">
        <f ca="1">IFERROR(VLOOKUP(BD813,OFFSET(abbreviation[],0,ColumnLanguage),ColumnAbbreviation,FALSE),"")</f>
        <v/>
      </c>
      <c r="CJ813" s="21" t="str">
        <f ca="1">IFERROR(VLOOKUP(BF813,OFFSET(abbreviation[],0,ColumnLanguage),ColumnAbbreviation,FALSE),"")</f>
        <v/>
      </c>
      <c r="CK813" s="21" t="str">
        <f t="shared" ca="1" si="88"/>
        <v/>
      </c>
      <c r="CL813" s="21" t="str">
        <f t="shared" si="89"/>
        <v/>
      </c>
      <c r="CM813" s="52"/>
      <c r="CN813" s="57" t="str">
        <f t="shared" si="90"/>
        <v/>
      </c>
    </row>
    <row r="814" spans="14:92" x14ac:dyDescent="0.25">
      <c r="Q814" s="13"/>
      <c r="V814" s="60"/>
      <c r="X814" s="61"/>
      <c r="AN814" s="54"/>
      <c r="AS814" s="15"/>
      <c r="BH814" s="52"/>
      <c r="BI814" s="21" t="str">
        <f ca="1">IFERROR(VLOOKUP(C814,OFFSET(abbreviation[],0,ColumnLanguage),ColumnAbbreviation,FALSE),"")</f>
        <v/>
      </c>
      <c r="BJ814" s="21" t="str">
        <f ca="1">IFERROR(VLOOKUP(E814,OFFSET(abbreviation[],0,ColumnLanguage),ColumnAbbreviation,FALSE),"")</f>
        <v/>
      </c>
      <c r="BK814" s="21" t="str">
        <f ca="1">IFERROR(VLOOKUP(G814,OFFSET(abbreviation[],0,ColumnLanguage),ColumnAbbreviation,FALSE),"")</f>
        <v/>
      </c>
      <c r="BL814" s="21" t="str">
        <f ca="1">IFERROR(VLOOKUP(I814,OFFSET(abbreviation[],0,ColumnLanguage),ColumnAbbreviation,FALSE),"")</f>
        <v/>
      </c>
      <c r="BM814" s="21" t="str">
        <f ca="1">IFERROR(VLOOKUP(K814,OFFSET(abbreviation[],0,ColumnLanguage),ColumnAbbreviation,FALSE),"")</f>
        <v/>
      </c>
      <c r="BN814" s="21" t="str">
        <f t="shared" ca="1" si="84"/>
        <v/>
      </c>
      <c r="BO814" s="21" t="str">
        <f ca="1">IFERROR(VLOOKUP(N814,OFFSET(abbreviation[],0,ColumnLanguage),ColumnAbbreviation,FALSE),"")</f>
        <v/>
      </c>
      <c r="BP814" s="21" t="str">
        <f ca="1">IFERROR(VLOOKUP(P814,OFFSET(abbreviation[],0,ColumnLanguage),ColumnAbbreviation,FALSE),"")</f>
        <v/>
      </c>
      <c r="BQ814" s="21" t="str">
        <f ca="1">IFERROR(VLOOKUP(T814,OFFSET(abbreviation[],0,ColumnLanguage),ColumnAbbreviation,FALSE),"")</f>
        <v/>
      </c>
      <c r="BR814" s="21" t="str">
        <f ca="1">IFERROR(VLOOKUP(V814,OFFSET(abbreviation[],0,ColumnLanguage),ColumnAbbreviation,FALSE),"")</f>
        <v/>
      </c>
      <c r="BS814" s="21" t="str">
        <f ca="1">IFERROR(VLOOKUP(Z814,OFFSET(abbreviation[],0,ColumnLanguage),ColumnAbbreviation,FALSE),"")</f>
        <v/>
      </c>
      <c r="BT814" s="21" t="str">
        <f ca="1">IFERROR(VLOOKUP(AB814,OFFSET(abbreviation[],0,ColumnLanguage),ColumnAbbreviation,FALSE),"")</f>
        <v/>
      </c>
      <c r="BU814" s="21" t="str">
        <f t="shared" ca="1" si="85"/>
        <v>__</v>
      </c>
      <c r="BV814" s="21" t="str">
        <f ca="1">IFERROR(VLOOKUP(AF814,OFFSET(abbreviation[],0,ColumnLanguage),ColumnAbbreviation,FALSE),"")</f>
        <v/>
      </c>
      <c r="BW814" s="21" t="str">
        <f ca="1">IFERROR(VLOOKUP(AH814,OFFSET(abbreviation[],0,ColumnLanguage),ColumnAbbreviation,FALSE),"")</f>
        <v/>
      </c>
      <c r="BX814" s="21" t="str">
        <f ca="1">IFERROR(VLOOKUP(AJ814,OFFSET(abbreviation[],0,ColumnLanguage),ColumnAbbreviation,FALSE),"")</f>
        <v/>
      </c>
      <c r="BY814" s="21" t="str">
        <f ca="1">IFERROR(VLOOKUP(AL814,OFFSET(abbreviation[],0,ColumnLanguage),ColumnAbbreviation,FALSE),"")</f>
        <v/>
      </c>
      <c r="BZ814" s="21" t="str">
        <f t="shared" ca="1" si="86"/>
        <v>_</v>
      </c>
      <c r="CA814" s="21" t="str">
        <f ca="1">IFERROR(VLOOKUP(AP814,OFFSET(abbreviation[],0,ColumnLanguage),ColumnAbbreviation,FALSE),"")</f>
        <v/>
      </c>
      <c r="CB814" s="21" t="str">
        <f ca="1">IFERROR(VLOOKUP(AR814,OFFSET(abbreviation[],0,ColumnLanguage),ColumnAbbreviation,FALSE),"")</f>
        <v/>
      </c>
      <c r="CC814" s="21" t="str">
        <f ca="1">IFERROR(VLOOKUP(AT814,OFFSET(abbreviation[],0,ColumnLanguage),ColumnAbbreviation,FALSE),"")</f>
        <v/>
      </c>
      <c r="CD814" s="21" t="str">
        <f ca="1">IFERROR(VLOOKUP(AV814,OFFSET(abbreviation[],0,ColumnLanguage),ColumnAbbreviation,FALSE),"")</f>
        <v/>
      </c>
      <c r="CE814" s="21" t="str">
        <f t="shared" ca="1" si="87"/>
        <v>__</v>
      </c>
      <c r="CF814" s="21" t="str">
        <f ca="1">IFERROR(VLOOKUP(AX814,OFFSET(abbreviation[],0,ColumnLanguage),ColumnAbbreviation,FALSE),"")</f>
        <v/>
      </c>
      <c r="CG814" s="21" t="str">
        <f ca="1">IFERROR(VLOOKUP(AZ814,OFFSET(abbreviation[],0,ColumnLanguage),ColumnAbbreviation,FALSE),"")</f>
        <v/>
      </c>
      <c r="CH814" s="21" t="str">
        <f ca="1">IFERROR(VLOOKUP(BB814,OFFSET(abbreviation[],0,ColumnLanguage),ColumnAbbreviation,FALSE),"")</f>
        <v/>
      </c>
      <c r="CI814" s="21" t="str">
        <f ca="1">IFERROR(VLOOKUP(BD814,OFFSET(abbreviation[],0,ColumnLanguage),ColumnAbbreviation,FALSE),"")</f>
        <v/>
      </c>
      <c r="CJ814" s="21" t="str">
        <f ca="1">IFERROR(VLOOKUP(BF814,OFFSET(abbreviation[],0,ColumnLanguage),ColumnAbbreviation,FALSE),"")</f>
        <v/>
      </c>
      <c r="CK814" s="21" t="str">
        <f t="shared" ca="1" si="88"/>
        <v/>
      </c>
      <c r="CL814" s="21" t="str">
        <f t="shared" si="89"/>
        <v/>
      </c>
      <c r="CM814" s="52"/>
      <c r="CN814" s="57" t="str">
        <f t="shared" si="90"/>
        <v/>
      </c>
    </row>
    <row r="815" spans="14:92" x14ac:dyDescent="0.25">
      <c r="Q815" s="13"/>
      <c r="V815" s="60"/>
      <c r="X815" s="61"/>
      <c r="AN815" s="54"/>
      <c r="AS815" s="15"/>
      <c r="BH815" s="52"/>
      <c r="BI815" s="21" t="str">
        <f ca="1">IFERROR(VLOOKUP(C815,OFFSET(abbreviation[],0,ColumnLanguage),ColumnAbbreviation,FALSE),"")</f>
        <v/>
      </c>
      <c r="BJ815" s="21" t="str">
        <f ca="1">IFERROR(VLOOKUP(E815,OFFSET(abbreviation[],0,ColumnLanguage),ColumnAbbreviation,FALSE),"")</f>
        <v/>
      </c>
      <c r="BK815" s="21" t="str">
        <f ca="1">IFERROR(VLOOKUP(G815,OFFSET(abbreviation[],0,ColumnLanguage),ColumnAbbreviation,FALSE),"")</f>
        <v/>
      </c>
      <c r="BL815" s="21" t="str">
        <f ca="1">IFERROR(VLOOKUP(I815,OFFSET(abbreviation[],0,ColumnLanguage),ColumnAbbreviation,FALSE),"")</f>
        <v/>
      </c>
      <c r="BM815" s="21" t="str">
        <f ca="1">IFERROR(VLOOKUP(K815,OFFSET(abbreviation[],0,ColumnLanguage),ColumnAbbreviation,FALSE),"")</f>
        <v/>
      </c>
      <c r="BN815" s="21" t="str">
        <f t="shared" ca="1" si="84"/>
        <v/>
      </c>
      <c r="BO815" s="21" t="str">
        <f ca="1">IFERROR(VLOOKUP(N815,OFFSET(abbreviation[],0,ColumnLanguage),ColumnAbbreviation,FALSE),"")</f>
        <v/>
      </c>
      <c r="BP815" s="21" t="str">
        <f ca="1">IFERROR(VLOOKUP(P815,OFFSET(abbreviation[],0,ColumnLanguage),ColumnAbbreviation,FALSE),"")</f>
        <v/>
      </c>
      <c r="BQ815" s="21" t="str">
        <f ca="1">IFERROR(VLOOKUP(T815,OFFSET(abbreviation[],0,ColumnLanguage),ColumnAbbreviation,FALSE),"")</f>
        <v/>
      </c>
      <c r="BR815" s="21" t="str">
        <f ca="1">IFERROR(VLOOKUP(V815,OFFSET(abbreviation[],0,ColumnLanguage),ColumnAbbreviation,FALSE),"")</f>
        <v/>
      </c>
      <c r="BS815" s="21" t="str">
        <f ca="1">IFERROR(VLOOKUP(Z815,OFFSET(abbreviation[],0,ColumnLanguage),ColumnAbbreviation,FALSE),"")</f>
        <v/>
      </c>
      <c r="BT815" s="21" t="str">
        <f ca="1">IFERROR(VLOOKUP(AB815,OFFSET(abbreviation[],0,ColumnLanguage),ColumnAbbreviation,FALSE),"")</f>
        <v/>
      </c>
      <c r="BU815" s="21" t="str">
        <f t="shared" ca="1" si="85"/>
        <v>__</v>
      </c>
      <c r="BV815" s="21" t="str">
        <f ca="1">IFERROR(VLOOKUP(AF815,OFFSET(abbreviation[],0,ColumnLanguage),ColumnAbbreviation,FALSE),"")</f>
        <v/>
      </c>
      <c r="BW815" s="21" t="str">
        <f ca="1">IFERROR(VLOOKUP(AH815,OFFSET(abbreviation[],0,ColumnLanguage),ColumnAbbreviation,FALSE),"")</f>
        <v/>
      </c>
      <c r="BX815" s="21" t="str">
        <f ca="1">IFERROR(VLOOKUP(AJ815,OFFSET(abbreviation[],0,ColumnLanguage),ColumnAbbreviation,FALSE),"")</f>
        <v/>
      </c>
      <c r="BY815" s="21" t="str">
        <f ca="1">IFERROR(VLOOKUP(AL815,OFFSET(abbreviation[],0,ColumnLanguage),ColumnAbbreviation,FALSE),"")</f>
        <v/>
      </c>
      <c r="BZ815" s="21" t="str">
        <f t="shared" ca="1" si="86"/>
        <v>_</v>
      </c>
      <c r="CA815" s="21" t="str">
        <f ca="1">IFERROR(VLOOKUP(AP815,OFFSET(abbreviation[],0,ColumnLanguage),ColumnAbbreviation,FALSE),"")</f>
        <v/>
      </c>
      <c r="CB815" s="21" t="str">
        <f ca="1">IFERROR(VLOOKUP(AR815,OFFSET(abbreviation[],0,ColumnLanguage),ColumnAbbreviation,FALSE),"")</f>
        <v/>
      </c>
      <c r="CC815" s="21" t="str">
        <f ca="1">IFERROR(VLOOKUP(AT815,OFFSET(abbreviation[],0,ColumnLanguage),ColumnAbbreviation,FALSE),"")</f>
        <v/>
      </c>
      <c r="CD815" s="21" t="str">
        <f ca="1">IFERROR(VLOOKUP(AV815,OFFSET(abbreviation[],0,ColumnLanguage),ColumnAbbreviation,FALSE),"")</f>
        <v/>
      </c>
      <c r="CE815" s="21" t="str">
        <f t="shared" ca="1" si="87"/>
        <v>__</v>
      </c>
      <c r="CF815" s="21" t="str">
        <f ca="1">IFERROR(VLOOKUP(AX815,OFFSET(abbreviation[],0,ColumnLanguage),ColumnAbbreviation,FALSE),"")</f>
        <v/>
      </c>
      <c r="CG815" s="21" t="str">
        <f ca="1">IFERROR(VLOOKUP(AZ815,OFFSET(abbreviation[],0,ColumnLanguage),ColumnAbbreviation,FALSE),"")</f>
        <v/>
      </c>
      <c r="CH815" s="21" t="str">
        <f ca="1">IFERROR(VLOOKUP(BB815,OFFSET(abbreviation[],0,ColumnLanguage),ColumnAbbreviation,FALSE),"")</f>
        <v/>
      </c>
      <c r="CI815" s="21" t="str">
        <f ca="1">IFERROR(VLOOKUP(BD815,OFFSET(abbreviation[],0,ColumnLanguage),ColumnAbbreviation,FALSE),"")</f>
        <v/>
      </c>
      <c r="CJ815" s="21" t="str">
        <f ca="1">IFERROR(VLOOKUP(BF815,OFFSET(abbreviation[],0,ColumnLanguage),ColumnAbbreviation,FALSE),"")</f>
        <v/>
      </c>
      <c r="CK815" s="21" t="str">
        <f t="shared" ca="1" si="88"/>
        <v/>
      </c>
      <c r="CL815" s="21" t="str">
        <f t="shared" si="89"/>
        <v/>
      </c>
      <c r="CM815" s="52"/>
      <c r="CN815" s="57" t="str">
        <f t="shared" si="90"/>
        <v/>
      </c>
    </row>
    <row r="816" spans="14:92" x14ac:dyDescent="0.25">
      <c r="Q816" s="13"/>
      <c r="V816" s="60"/>
      <c r="X816" s="61"/>
      <c r="AN816" s="54"/>
      <c r="AS816" s="15"/>
      <c r="BH816" s="52"/>
      <c r="BI816" s="21" t="str">
        <f ca="1">IFERROR(VLOOKUP(C816,OFFSET(abbreviation[],0,ColumnLanguage),ColumnAbbreviation,FALSE),"")</f>
        <v/>
      </c>
      <c r="BJ816" s="21" t="str">
        <f ca="1">IFERROR(VLOOKUP(E816,OFFSET(abbreviation[],0,ColumnLanguage),ColumnAbbreviation,FALSE),"")</f>
        <v/>
      </c>
      <c r="BK816" s="21" t="str">
        <f ca="1">IFERROR(VLOOKUP(G816,OFFSET(abbreviation[],0,ColumnLanguage),ColumnAbbreviation,FALSE),"")</f>
        <v/>
      </c>
      <c r="BL816" s="21" t="str">
        <f ca="1">IFERROR(VLOOKUP(I816,OFFSET(abbreviation[],0,ColumnLanguage),ColumnAbbreviation,FALSE),"")</f>
        <v/>
      </c>
      <c r="BM816" s="21" t="str">
        <f ca="1">IFERROR(VLOOKUP(K816,OFFSET(abbreviation[],0,ColumnLanguage),ColumnAbbreviation,FALSE),"")</f>
        <v/>
      </c>
      <c r="BN816" s="21" t="str">
        <f t="shared" ca="1" si="84"/>
        <v/>
      </c>
      <c r="BO816" s="21" t="str">
        <f ca="1">IFERROR(VLOOKUP(N816,OFFSET(abbreviation[],0,ColumnLanguage),ColumnAbbreviation,FALSE),"")</f>
        <v/>
      </c>
      <c r="BP816" s="21" t="str">
        <f ca="1">IFERROR(VLOOKUP(P816,OFFSET(abbreviation[],0,ColumnLanguage),ColumnAbbreviation,FALSE),"")</f>
        <v/>
      </c>
      <c r="BQ816" s="21" t="str">
        <f ca="1">IFERROR(VLOOKUP(T816,OFFSET(abbreviation[],0,ColumnLanguage),ColumnAbbreviation,FALSE),"")</f>
        <v/>
      </c>
      <c r="BR816" s="21" t="str">
        <f ca="1">IFERROR(VLOOKUP(V816,OFFSET(abbreviation[],0,ColumnLanguage),ColumnAbbreviation,FALSE),"")</f>
        <v/>
      </c>
      <c r="BS816" s="21" t="str">
        <f ca="1">IFERROR(VLOOKUP(Z816,OFFSET(abbreviation[],0,ColumnLanguage),ColumnAbbreviation,FALSE),"")</f>
        <v/>
      </c>
      <c r="BT816" s="21" t="str">
        <f ca="1">IFERROR(VLOOKUP(AB816,OFFSET(abbreviation[],0,ColumnLanguage),ColumnAbbreviation,FALSE),"")</f>
        <v/>
      </c>
      <c r="BU816" s="21" t="str">
        <f t="shared" ca="1" si="85"/>
        <v>__</v>
      </c>
      <c r="BV816" s="21" t="str">
        <f ca="1">IFERROR(VLOOKUP(AF816,OFFSET(abbreviation[],0,ColumnLanguage),ColumnAbbreviation,FALSE),"")</f>
        <v/>
      </c>
      <c r="BW816" s="21" t="str">
        <f ca="1">IFERROR(VLOOKUP(AH816,OFFSET(abbreviation[],0,ColumnLanguage),ColumnAbbreviation,FALSE),"")</f>
        <v/>
      </c>
      <c r="BX816" s="21" t="str">
        <f ca="1">IFERROR(VLOOKUP(AJ816,OFFSET(abbreviation[],0,ColumnLanguage),ColumnAbbreviation,FALSE),"")</f>
        <v/>
      </c>
      <c r="BY816" s="21" t="str">
        <f ca="1">IFERROR(VLOOKUP(AL816,OFFSET(abbreviation[],0,ColumnLanguage),ColumnAbbreviation,FALSE),"")</f>
        <v/>
      </c>
      <c r="BZ816" s="21" t="str">
        <f t="shared" ca="1" si="86"/>
        <v>_</v>
      </c>
      <c r="CA816" s="21" t="str">
        <f ca="1">IFERROR(VLOOKUP(AP816,OFFSET(abbreviation[],0,ColumnLanguage),ColumnAbbreviation,FALSE),"")</f>
        <v/>
      </c>
      <c r="CB816" s="21" t="str">
        <f ca="1">IFERROR(VLOOKUP(AR816,OFFSET(abbreviation[],0,ColumnLanguage),ColumnAbbreviation,FALSE),"")</f>
        <v/>
      </c>
      <c r="CC816" s="21" t="str">
        <f ca="1">IFERROR(VLOOKUP(AT816,OFFSET(abbreviation[],0,ColumnLanguage),ColumnAbbreviation,FALSE),"")</f>
        <v/>
      </c>
      <c r="CD816" s="21" t="str">
        <f ca="1">IFERROR(VLOOKUP(AV816,OFFSET(abbreviation[],0,ColumnLanguage),ColumnAbbreviation,FALSE),"")</f>
        <v/>
      </c>
      <c r="CE816" s="21" t="str">
        <f t="shared" ca="1" si="87"/>
        <v>__</v>
      </c>
      <c r="CF816" s="21" t="str">
        <f ca="1">IFERROR(VLOOKUP(AX816,OFFSET(abbreviation[],0,ColumnLanguage),ColumnAbbreviation,FALSE),"")</f>
        <v/>
      </c>
      <c r="CG816" s="21" t="str">
        <f ca="1">IFERROR(VLOOKUP(AZ816,OFFSET(abbreviation[],0,ColumnLanguage),ColumnAbbreviation,FALSE),"")</f>
        <v/>
      </c>
      <c r="CH816" s="21" t="str">
        <f ca="1">IFERROR(VLOOKUP(BB816,OFFSET(abbreviation[],0,ColumnLanguage),ColumnAbbreviation,FALSE),"")</f>
        <v/>
      </c>
      <c r="CI816" s="21" t="str">
        <f ca="1">IFERROR(VLOOKUP(BD816,OFFSET(abbreviation[],0,ColumnLanguage),ColumnAbbreviation,FALSE),"")</f>
        <v/>
      </c>
      <c r="CJ816" s="21" t="str">
        <f ca="1">IFERROR(VLOOKUP(BF816,OFFSET(abbreviation[],0,ColumnLanguage),ColumnAbbreviation,FALSE),"")</f>
        <v/>
      </c>
      <c r="CK816" s="21" t="str">
        <f t="shared" ca="1" si="88"/>
        <v/>
      </c>
      <c r="CL816" s="21" t="str">
        <f t="shared" si="89"/>
        <v/>
      </c>
      <c r="CM816" s="52"/>
      <c r="CN816" s="57" t="str">
        <f t="shared" si="90"/>
        <v/>
      </c>
    </row>
    <row r="817" spans="17:92" x14ac:dyDescent="0.25">
      <c r="Q817" s="13"/>
      <c r="V817" s="60"/>
      <c r="X817" s="61"/>
      <c r="AN817" s="54"/>
      <c r="AS817" s="15"/>
      <c r="BH817" s="52"/>
      <c r="BI817" s="21" t="str">
        <f ca="1">IFERROR(VLOOKUP(C817,OFFSET(abbreviation[],0,ColumnLanguage),ColumnAbbreviation,FALSE),"")</f>
        <v/>
      </c>
      <c r="BJ817" s="21" t="str">
        <f ca="1">IFERROR(VLOOKUP(E817,OFFSET(abbreviation[],0,ColumnLanguage),ColumnAbbreviation,FALSE),"")</f>
        <v/>
      </c>
      <c r="BK817" s="21" t="str">
        <f ca="1">IFERROR(VLOOKUP(G817,OFFSET(abbreviation[],0,ColumnLanguage),ColumnAbbreviation,FALSE),"")</f>
        <v/>
      </c>
      <c r="BL817" s="21" t="str">
        <f ca="1">IFERROR(VLOOKUP(I817,OFFSET(abbreviation[],0,ColumnLanguage),ColumnAbbreviation,FALSE),"")</f>
        <v/>
      </c>
      <c r="BM817" s="21" t="str">
        <f ca="1">IFERROR(VLOOKUP(K817,OFFSET(abbreviation[],0,ColumnLanguage),ColumnAbbreviation,FALSE),"")</f>
        <v/>
      </c>
      <c r="BN817" s="21" t="str">
        <f t="shared" ca="1" si="84"/>
        <v/>
      </c>
      <c r="BO817" s="21" t="str">
        <f ca="1">IFERROR(VLOOKUP(N817,OFFSET(abbreviation[],0,ColumnLanguage),ColumnAbbreviation,FALSE),"")</f>
        <v/>
      </c>
      <c r="BP817" s="21" t="str">
        <f ca="1">IFERROR(VLOOKUP(P817,OFFSET(abbreviation[],0,ColumnLanguage),ColumnAbbreviation,FALSE),"")</f>
        <v/>
      </c>
      <c r="BQ817" s="21" t="str">
        <f ca="1">IFERROR(VLOOKUP(T817,OFFSET(abbreviation[],0,ColumnLanguage),ColumnAbbreviation,FALSE),"")</f>
        <v/>
      </c>
      <c r="BR817" s="21" t="str">
        <f ca="1">IFERROR(VLOOKUP(V817,OFFSET(abbreviation[],0,ColumnLanguage),ColumnAbbreviation,FALSE),"")</f>
        <v/>
      </c>
      <c r="BS817" s="21" t="str">
        <f ca="1">IFERROR(VLOOKUP(Z817,OFFSET(abbreviation[],0,ColumnLanguage),ColumnAbbreviation,FALSE),"")</f>
        <v/>
      </c>
      <c r="BT817" s="21" t="str">
        <f ca="1">IFERROR(VLOOKUP(AB817,OFFSET(abbreviation[],0,ColumnLanguage),ColumnAbbreviation,FALSE),"")</f>
        <v/>
      </c>
      <c r="BU817" s="21" t="str">
        <f t="shared" ca="1" si="85"/>
        <v>__</v>
      </c>
      <c r="BV817" s="21" t="str">
        <f ca="1">IFERROR(VLOOKUP(AF817,OFFSET(abbreviation[],0,ColumnLanguage),ColumnAbbreviation,FALSE),"")</f>
        <v/>
      </c>
      <c r="BW817" s="21" t="str">
        <f ca="1">IFERROR(VLOOKUP(AH817,OFFSET(abbreviation[],0,ColumnLanguage),ColumnAbbreviation,FALSE),"")</f>
        <v/>
      </c>
      <c r="BX817" s="21" t="str">
        <f ca="1">IFERROR(VLOOKUP(AJ817,OFFSET(abbreviation[],0,ColumnLanguage),ColumnAbbreviation,FALSE),"")</f>
        <v/>
      </c>
      <c r="BY817" s="21" t="str">
        <f ca="1">IFERROR(VLOOKUP(AL817,OFFSET(abbreviation[],0,ColumnLanguage),ColumnAbbreviation,FALSE),"")</f>
        <v/>
      </c>
      <c r="BZ817" s="21" t="str">
        <f t="shared" ca="1" si="86"/>
        <v>_</v>
      </c>
      <c r="CA817" s="21" t="str">
        <f ca="1">IFERROR(VLOOKUP(AP817,OFFSET(abbreviation[],0,ColumnLanguage),ColumnAbbreviation,FALSE),"")</f>
        <v/>
      </c>
      <c r="CB817" s="21" t="str">
        <f ca="1">IFERROR(VLOOKUP(AR817,OFFSET(abbreviation[],0,ColumnLanguage),ColumnAbbreviation,FALSE),"")</f>
        <v/>
      </c>
      <c r="CC817" s="21" t="str">
        <f ca="1">IFERROR(VLOOKUP(AT817,OFFSET(abbreviation[],0,ColumnLanguage),ColumnAbbreviation,FALSE),"")</f>
        <v/>
      </c>
      <c r="CD817" s="21" t="str">
        <f ca="1">IFERROR(VLOOKUP(AV817,OFFSET(abbreviation[],0,ColumnLanguage),ColumnAbbreviation,FALSE),"")</f>
        <v/>
      </c>
      <c r="CE817" s="21" t="str">
        <f t="shared" ca="1" si="87"/>
        <v>__</v>
      </c>
      <c r="CF817" s="21" t="str">
        <f ca="1">IFERROR(VLOOKUP(AX817,OFFSET(abbreviation[],0,ColumnLanguage),ColumnAbbreviation,FALSE),"")</f>
        <v/>
      </c>
      <c r="CG817" s="21" t="str">
        <f ca="1">IFERROR(VLOOKUP(AZ817,OFFSET(abbreviation[],0,ColumnLanguage),ColumnAbbreviation,FALSE),"")</f>
        <v/>
      </c>
      <c r="CH817" s="21" t="str">
        <f ca="1">IFERROR(VLOOKUP(BB817,OFFSET(abbreviation[],0,ColumnLanguage),ColumnAbbreviation,FALSE),"")</f>
        <v/>
      </c>
      <c r="CI817" s="21" t="str">
        <f ca="1">IFERROR(VLOOKUP(BD817,OFFSET(abbreviation[],0,ColumnLanguage),ColumnAbbreviation,FALSE),"")</f>
        <v/>
      </c>
      <c r="CJ817" s="21" t="str">
        <f ca="1">IFERROR(VLOOKUP(BF817,OFFSET(abbreviation[],0,ColumnLanguage),ColumnAbbreviation,FALSE),"")</f>
        <v/>
      </c>
      <c r="CK817" s="21" t="str">
        <f t="shared" ca="1" si="88"/>
        <v/>
      </c>
      <c r="CL817" s="21" t="str">
        <f t="shared" si="89"/>
        <v/>
      </c>
      <c r="CM817" s="52"/>
      <c r="CN817" s="57" t="str">
        <f t="shared" si="90"/>
        <v/>
      </c>
    </row>
    <row r="818" spans="17:92" x14ac:dyDescent="0.25">
      <c r="Q818" s="13"/>
      <c r="V818" s="60"/>
      <c r="X818" s="61"/>
      <c r="AN818" s="54"/>
      <c r="AS818" s="15"/>
      <c r="BH818" s="52"/>
      <c r="BI818" s="21" t="str">
        <f ca="1">IFERROR(VLOOKUP(C818,OFFSET(abbreviation[],0,ColumnLanguage),ColumnAbbreviation,FALSE),"")</f>
        <v/>
      </c>
      <c r="BJ818" s="21" t="str">
        <f ca="1">IFERROR(VLOOKUP(E818,OFFSET(abbreviation[],0,ColumnLanguage),ColumnAbbreviation,FALSE),"")</f>
        <v/>
      </c>
      <c r="BK818" s="21" t="str">
        <f ca="1">IFERROR(VLOOKUP(G818,OFFSET(abbreviation[],0,ColumnLanguage),ColumnAbbreviation,FALSE),"")</f>
        <v/>
      </c>
      <c r="BL818" s="21" t="str">
        <f ca="1">IFERROR(VLOOKUP(I818,OFFSET(abbreviation[],0,ColumnLanguage),ColumnAbbreviation,FALSE),"")</f>
        <v/>
      </c>
      <c r="BM818" s="21" t="str">
        <f ca="1">IFERROR(VLOOKUP(K818,OFFSET(abbreviation[],0,ColumnLanguage),ColumnAbbreviation,FALSE),"")</f>
        <v/>
      </c>
      <c r="BN818" s="21" t="str">
        <f t="shared" ca="1" si="84"/>
        <v/>
      </c>
      <c r="BO818" s="21" t="str">
        <f ca="1">IFERROR(VLOOKUP(N818,OFFSET(abbreviation[],0,ColumnLanguage),ColumnAbbreviation,FALSE),"")</f>
        <v/>
      </c>
      <c r="BP818" s="21" t="str">
        <f ca="1">IFERROR(VLOOKUP(P818,OFFSET(abbreviation[],0,ColumnLanguage),ColumnAbbreviation,FALSE),"")</f>
        <v/>
      </c>
      <c r="BQ818" s="21" t="str">
        <f ca="1">IFERROR(VLOOKUP(T818,OFFSET(abbreviation[],0,ColumnLanguage),ColumnAbbreviation,FALSE),"")</f>
        <v/>
      </c>
      <c r="BR818" s="21" t="str">
        <f ca="1">IFERROR(VLOOKUP(V818,OFFSET(abbreviation[],0,ColumnLanguage),ColumnAbbreviation,FALSE),"")</f>
        <v/>
      </c>
      <c r="BS818" s="21" t="str">
        <f ca="1">IFERROR(VLOOKUP(Z818,OFFSET(abbreviation[],0,ColumnLanguage),ColumnAbbreviation,FALSE),"")</f>
        <v/>
      </c>
      <c r="BT818" s="21" t="str">
        <f ca="1">IFERROR(VLOOKUP(AB818,OFFSET(abbreviation[],0,ColumnLanguage),ColumnAbbreviation,FALSE),"")</f>
        <v/>
      </c>
      <c r="BU818" s="21" t="str">
        <f t="shared" ca="1" si="85"/>
        <v>__</v>
      </c>
      <c r="BV818" s="21" t="str">
        <f ca="1">IFERROR(VLOOKUP(AF818,OFFSET(abbreviation[],0,ColumnLanguage),ColumnAbbreviation,FALSE),"")</f>
        <v/>
      </c>
      <c r="BW818" s="21" t="str">
        <f ca="1">IFERROR(VLOOKUP(AH818,OFFSET(abbreviation[],0,ColumnLanguage),ColumnAbbreviation,FALSE),"")</f>
        <v/>
      </c>
      <c r="BX818" s="21" t="str">
        <f ca="1">IFERROR(VLOOKUP(AJ818,OFFSET(abbreviation[],0,ColumnLanguage),ColumnAbbreviation,FALSE),"")</f>
        <v/>
      </c>
      <c r="BY818" s="21" t="str">
        <f ca="1">IFERROR(VLOOKUP(AL818,OFFSET(abbreviation[],0,ColumnLanguage),ColumnAbbreviation,FALSE),"")</f>
        <v/>
      </c>
      <c r="BZ818" s="21" t="str">
        <f t="shared" ca="1" si="86"/>
        <v>_</v>
      </c>
      <c r="CA818" s="21" t="str">
        <f ca="1">IFERROR(VLOOKUP(AP818,OFFSET(abbreviation[],0,ColumnLanguage),ColumnAbbreviation,FALSE),"")</f>
        <v/>
      </c>
      <c r="CB818" s="21" t="str">
        <f ca="1">IFERROR(VLOOKUP(AR818,OFFSET(abbreviation[],0,ColumnLanguage),ColumnAbbreviation,FALSE),"")</f>
        <v/>
      </c>
      <c r="CC818" s="21" t="str">
        <f ca="1">IFERROR(VLOOKUP(AT818,OFFSET(abbreviation[],0,ColumnLanguage),ColumnAbbreviation,FALSE),"")</f>
        <v/>
      </c>
      <c r="CD818" s="21" t="str">
        <f ca="1">IFERROR(VLOOKUP(AV818,OFFSET(abbreviation[],0,ColumnLanguage),ColumnAbbreviation,FALSE),"")</f>
        <v/>
      </c>
      <c r="CE818" s="21" t="str">
        <f t="shared" ca="1" si="87"/>
        <v>__</v>
      </c>
      <c r="CF818" s="21" t="str">
        <f ca="1">IFERROR(VLOOKUP(AX818,OFFSET(abbreviation[],0,ColumnLanguage),ColumnAbbreviation,FALSE),"")</f>
        <v/>
      </c>
      <c r="CG818" s="21" t="str">
        <f ca="1">IFERROR(VLOOKUP(AZ818,OFFSET(abbreviation[],0,ColumnLanguage),ColumnAbbreviation,FALSE),"")</f>
        <v/>
      </c>
      <c r="CH818" s="21" t="str">
        <f ca="1">IFERROR(VLOOKUP(BB818,OFFSET(abbreviation[],0,ColumnLanguage),ColumnAbbreviation,FALSE),"")</f>
        <v/>
      </c>
      <c r="CI818" s="21" t="str">
        <f ca="1">IFERROR(VLOOKUP(BD818,OFFSET(abbreviation[],0,ColumnLanguage),ColumnAbbreviation,FALSE),"")</f>
        <v/>
      </c>
      <c r="CJ818" s="21" t="str">
        <f ca="1">IFERROR(VLOOKUP(BF818,OFFSET(abbreviation[],0,ColumnLanguage),ColumnAbbreviation,FALSE),"")</f>
        <v/>
      </c>
      <c r="CK818" s="21" t="str">
        <f t="shared" ca="1" si="88"/>
        <v/>
      </c>
      <c r="CL818" s="21" t="str">
        <f t="shared" si="89"/>
        <v/>
      </c>
      <c r="CM818" s="52"/>
      <c r="CN818" s="57" t="str">
        <f t="shared" si="90"/>
        <v/>
      </c>
    </row>
    <row r="819" spans="17:92" x14ac:dyDescent="0.25">
      <c r="Q819" s="13"/>
      <c r="V819" s="60"/>
      <c r="X819" s="61"/>
      <c r="AN819" s="54"/>
      <c r="AS819" s="15"/>
      <c r="BH819" s="52"/>
      <c r="BI819" s="21" t="str">
        <f ca="1">IFERROR(VLOOKUP(C819,OFFSET(abbreviation[],0,ColumnLanguage),ColumnAbbreviation,FALSE),"")</f>
        <v/>
      </c>
      <c r="BJ819" s="21" t="str">
        <f ca="1">IFERROR(VLOOKUP(E819,OFFSET(abbreviation[],0,ColumnLanguage),ColumnAbbreviation,FALSE),"")</f>
        <v/>
      </c>
      <c r="BK819" s="21" t="str">
        <f ca="1">IFERROR(VLOOKUP(G819,OFFSET(abbreviation[],0,ColumnLanguage),ColumnAbbreviation,FALSE),"")</f>
        <v/>
      </c>
      <c r="BL819" s="21" t="str">
        <f ca="1">IFERROR(VLOOKUP(I819,OFFSET(abbreviation[],0,ColumnLanguage),ColumnAbbreviation,FALSE),"")</f>
        <v/>
      </c>
      <c r="BM819" s="21" t="str">
        <f ca="1">IFERROR(VLOOKUP(K819,OFFSET(abbreviation[],0,ColumnLanguage),ColumnAbbreviation,FALSE),"")</f>
        <v/>
      </c>
      <c r="BN819" s="21" t="str">
        <f t="shared" ca="1" si="84"/>
        <v/>
      </c>
      <c r="BO819" s="21" t="str">
        <f ca="1">IFERROR(VLOOKUP(N819,OFFSET(abbreviation[],0,ColumnLanguage),ColumnAbbreviation,FALSE),"")</f>
        <v/>
      </c>
      <c r="BP819" s="21" t="str">
        <f ca="1">IFERROR(VLOOKUP(P819,OFFSET(abbreviation[],0,ColumnLanguage),ColumnAbbreviation,FALSE),"")</f>
        <v/>
      </c>
      <c r="BQ819" s="21" t="str">
        <f ca="1">IFERROR(VLOOKUP(T819,OFFSET(abbreviation[],0,ColumnLanguage),ColumnAbbreviation,FALSE),"")</f>
        <v/>
      </c>
      <c r="BR819" s="21" t="str">
        <f ca="1">IFERROR(VLOOKUP(V819,OFFSET(abbreviation[],0,ColumnLanguage),ColumnAbbreviation,FALSE),"")</f>
        <v/>
      </c>
      <c r="BS819" s="21" t="str">
        <f ca="1">IFERROR(VLOOKUP(Z819,OFFSET(abbreviation[],0,ColumnLanguage),ColumnAbbreviation,FALSE),"")</f>
        <v/>
      </c>
      <c r="BT819" s="21" t="str">
        <f ca="1">IFERROR(VLOOKUP(AB819,OFFSET(abbreviation[],0,ColumnLanguage),ColumnAbbreviation,FALSE),"")</f>
        <v/>
      </c>
      <c r="BU819" s="21" t="str">
        <f t="shared" ca="1" si="85"/>
        <v>__</v>
      </c>
      <c r="BV819" s="21" t="str">
        <f ca="1">IFERROR(VLOOKUP(AF819,OFFSET(abbreviation[],0,ColumnLanguage),ColumnAbbreviation,FALSE),"")</f>
        <v/>
      </c>
      <c r="BW819" s="21" t="str">
        <f ca="1">IFERROR(VLOOKUP(AH819,OFFSET(abbreviation[],0,ColumnLanguage),ColumnAbbreviation,FALSE),"")</f>
        <v/>
      </c>
      <c r="BX819" s="21" t="str">
        <f ca="1">IFERROR(VLOOKUP(AJ819,OFFSET(abbreviation[],0,ColumnLanguage),ColumnAbbreviation,FALSE),"")</f>
        <v/>
      </c>
      <c r="BY819" s="21" t="str">
        <f ca="1">IFERROR(VLOOKUP(AL819,OFFSET(abbreviation[],0,ColumnLanguage),ColumnAbbreviation,FALSE),"")</f>
        <v/>
      </c>
      <c r="BZ819" s="21" t="str">
        <f t="shared" ca="1" si="86"/>
        <v>_</v>
      </c>
      <c r="CA819" s="21" t="str">
        <f ca="1">IFERROR(VLOOKUP(AP819,OFFSET(abbreviation[],0,ColumnLanguage),ColumnAbbreviation,FALSE),"")</f>
        <v/>
      </c>
      <c r="CB819" s="21" t="str">
        <f ca="1">IFERROR(VLOOKUP(AR819,OFFSET(abbreviation[],0,ColumnLanguage),ColumnAbbreviation,FALSE),"")</f>
        <v/>
      </c>
      <c r="CC819" s="21" t="str">
        <f ca="1">IFERROR(VLOOKUP(AT819,OFFSET(abbreviation[],0,ColumnLanguage),ColumnAbbreviation,FALSE),"")</f>
        <v/>
      </c>
      <c r="CD819" s="21" t="str">
        <f ca="1">IFERROR(VLOOKUP(AV819,OFFSET(abbreviation[],0,ColumnLanguage),ColumnAbbreviation,FALSE),"")</f>
        <v/>
      </c>
      <c r="CE819" s="21" t="str">
        <f t="shared" ca="1" si="87"/>
        <v>__</v>
      </c>
      <c r="CF819" s="21" t="str">
        <f ca="1">IFERROR(VLOOKUP(AX819,OFFSET(abbreviation[],0,ColumnLanguage),ColumnAbbreviation,FALSE),"")</f>
        <v/>
      </c>
      <c r="CG819" s="21" t="str">
        <f ca="1">IFERROR(VLOOKUP(AZ819,OFFSET(abbreviation[],0,ColumnLanguage),ColumnAbbreviation,FALSE),"")</f>
        <v/>
      </c>
      <c r="CH819" s="21" t="str">
        <f ca="1">IFERROR(VLOOKUP(BB819,OFFSET(abbreviation[],0,ColumnLanguage),ColumnAbbreviation,FALSE),"")</f>
        <v/>
      </c>
      <c r="CI819" s="21" t="str">
        <f ca="1">IFERROR(VLOOKUP(BD819,OFFSET(abbreviation[],0,ColumnLanguage),ColumnAbbreviation,FALSE),"")</f>
        <v/>
      </c>
      <c r="CJ819" s="21" t="str">
        <f ca="1">IFERROR(VLOOKUP(BF819,OFFSET(abbreviation[],0,ColumnLanguage),ColumnAbbreviation,FALSE),"")</f>
        <v/>
      </c>
      <c r="CK819" s="21" t="str">
        <f t="shared" ca="1" si="88"/>
        <v/>
      </c>
      <c r="CL819" s="21" t="str">
        <f t="shared" si="89"/>
        <v/>
      </c>
      <c r="CM819" s="52"/>
      <c r="CN819" s="57" t="str">
        <f t="shared" si="90"/>
        <v/>
      </c>
    </row>
    <row r="820" spans="17:92" x14ac:dyDescent="0.25">
      <c r="Q820" s="13"/>
      <c r="V820" s="60"/>
      <c r="X820" s="61"/>
      <c r="AN820" s="54"/>
      <c r="AS820" s="15"/>
      <c r="BH820" s="52"/>
      <c r="BI820" s="21" t="str">
        <f ca="1">IFERROR(VLOOKUP(C820,OFFSET(abbreviation[],0,ColumnLanguage),ColumnAbbreviation,FALSE),"")</f>
        <v/>
      </c>
      <c r="BJ820" s="21" t="str">
        <f ca="1">IFERROR(VLOOKUP(E820,OFFSET(abbreviation[],0,ColumnLanguage),ColumnAbbreviation,FALSE),"")</f>
        <v/>
      </c>
      <c r="BK820" s="21" t="str">
        <f ca="1">IFERROR(VLOOKUP(G820,OFFSET(abbreviation[],0,ColumnLanguage),ColumnAbbreviation,FALSE),"")</f>
        <v/>
      </c>
      <c r="BL820" s="21" t="str">
        <f ca="1">IFERROR(VLOOKUP(I820,OFFSET(abbreviation[],0,ColumnLanguage),ColumnAbbreviation,FALSE),"")</f>
        <v/>
      </c>
      <c r="BM820" s="21" t="str">
        <f ca="1">IFERROR(VLOOKUP(K820,OFFSET(abbreviation[],0,ColumnLanguage),ColumnAbbreviation,FALSE),"")</f>
        <v/>
      </c>
      <c r="BN820" s="21" t="str">
        <f t="shared" ca="1" si="84"/>
        <v/>
      </c>
      <c r="BO820" s="21" t="str">
        <f ca="1">IFERROR(VLOOKUP(N820,OFFSET(abbreviation[],0,ColumnLanguage),ColumnAbbreviation,FALSE),"")</f>
        <v/>
      </c>
      <c r="BP820" s="21" t="str">
        <f ca="1">IFERROR(VLOOKUP(P820,OFFSET(abbreviation[],0,ColumnLanguage),ColumnAbbreviation,FALSE),"")</f>
        <v/>
      </c>
      <c r="BQ820" s="21" t="str">
        <f ca="1">IFERROR(VLOOKUP(T820,OFFSET(abbreviation[],0,ColumnLanguage),ColumnAbbreviation,FALSE),"")</f>
        <v/>
      </c>
      <c r="BR820" s="21" t="str">
        <f ca="1">IFERROR(VLOOKUP(V820,OFFSET(abbreviation[],0,ColumnLanguage),ColumnAbbreviation,FALSE),"")</f>
        <v/>
      </c>
      <c r="BS820" s="21" t="str">
        <f ca="1">IFERROR(VLOOKUP(Z820,OFFSET(abbreviation[],0,ColumnLanguage),ColumnAbbreviation,FALSE),"")</f>
        <v/>
      </c>
      <c r="BT820" s="21" t="str">
        <f ca="1">IFERROR(VLOOKUP(AB820,OFFSET(abbreviation[],0,ColumnLanguage),ColumnAbbreviation,FALSE),"")</f>
        <v/>
      </c>
      <c r="BU820" s="21" t="str">
        <f t="shared" ca="1" si="85"/>
        <v>__</v>
      </c>
      <c r="BV820" s="21" t="str">
        <f ca="1">IFERROR(VLOOKUP(AF820,OFFSET(abbreviation[],0,ColumnLanguage),ColumnAbbreviation,FALSE),"")</f>
        <v/>
      </c>
      <c r="BW820" s="21" t="str">
        <f ca="1">IFERROR(VLOOKUP(AH820,OFFSET(abbreviation[],0,ColumnLanguage),ColumnAbbreviation,FALSE),"")</f>
        <v/>
      </c>
      <c r="BX820" s="21" t="str">
        <f ca="1">IFERROR(VLOOKUP(AJ820,OFFSET(abbreviation[],0,ColumnLanguage),ColumnAbbreviation,FALSE),"")</f>
        <v/>
      </c>
      <c r="BY820" s="21" t="str">
        <f ca="1">IFERROR(VLOOKUP(AL820,OFFSET(abbreviation[],0,ColumnLanguage),ColumnAbbreviation,FALSE),"")</f>
        <v/>
      </c>
      <c r="BZ820" s="21" t="str">
        <f t="shared" ca="1" si="86"/>
        <v>_</v>
      </c>
      <c r="CA820" s="21" t="str">
        <f ca="1">IFERROR(VLOOKUP(AP820,OFFSET(abbreviation[],0,ColumnLanguage),ColumnAbbreviation,FALSE),"")</f>
        <v/>
      </c>
      <c r="CB820" s="21" t="str">
        <f ca="1">IFERROR(VLOOKUP(AR820,OFFSET(abbreviation[],0,ColumnLanguage),ColumnAbbreviation,FALSE),"")</f>
        <v/>
      </c>
      <c r="CC820" s="21" t="str">
        <f ca="1">IFERROR(VLOOKUP(AT820,OFFSET(abbreviation[],0,ColumnLanguage),ColumnAbbreviation,FALSE),"")</f>
        <v/>
      </c>
      <c r="CD820" s="21" t="str">
        <f ca="1">IFERROR(VLOOKUP(AV820,OFFSET(abbreviation[],0,ColumnLanguage),ColumnAbbreviation,FALSE),"")</f>
        <v/>
      </c>
      <c r="CE820" s="21" t="str">
        <f t="shared" ca="1" si="87"/>
        <v>__</v>
      </c>
      <c r="CF820" s="21" t="str">
        <f ca="1">IFERROR(VLOOKUP(AX820,OFFSET(abbreviation[],0,ColumnLanguage),ColumnAbbreviation,FALSE),"")</f>
        <v/>
      </c>
      <c r="CG820" s="21" t="str">
        <f ca="1">IFERROR(VLOOKUP(AZ820,OFFSET(abbreviation[],0,ColumnLanguage),ColumnAbbreviation,FALSE),"")</f>
        <v/>
      </c>
      <c r="CH820" s="21" t="str">
        <f ca="1">IFERROR(VLOOKUP(BB820,OFFSET(abbreviation[],0,ColumnLanguage),ColumnAbbreviation,FALSE),"")</f>
        <v/>
      </c>
      <c r="CI820" s="21" t="str">
        <f ca="1">IFERROR(VLOOKUP(BD820,OFFSET(abbreviation[],0,ColumnLanguage),ColumnAbbreviation,FALSE),"")</f>
        <v/>
      </c>
      <c r="CJ820" s="21" t="str">
        <f ca="1">IFERROR(VLOOKUP(BF820,OFFSET(abbreviation[],0,ColumnLanguage),ColumnAbbreviation,FALSE),"")</f>
        <v/>
      </c>
      <c r="CK820" s="21" t="str">
        <f t="shared" ca="1" si="88"/>
        <v/>
      </c>
      <c r="CL820" s="21" t="str">
        <f t="shared" si="89"/>
        <v/>
      </c>
      <c r="CM820" s="52"/>
      <c r="CN820" s="57" t="str">
        <f t="shared" si="90"/>
        <v/>
      </c>
    </row>
    <row r="821" spans="17:92" x14ac:dyDescent="0.25">
      <c r="Q821" s="13"/>
      <c r="V821" s="60"/>
      <c r="X821" s="61"/>
      <c r="AN821" s="54"/>
      <c r="AS821" s="15"/>
      <c r="BH821" s="52"/>
      <c r="BI821" s="21" t="str">
        <f ca="1">IFERROR(VLOOKUP(C821,OFFSET(abbreviation[],0,ColumnLanguage),ColumnAbbreviation,FALSE),"")</f>
        <v/>
      </c>
      <c r="BJ821" s="21" t="str">
        <f ca="1">IFERROR(VLOOKUP(E821,OFFSET(abbreviation[],0,ColumnLanguage),ColumnAbbreviation,FALSE),"")</f>
        <v/>
      </c>
      <c r="BK821" s="21" t="str">
        <f ca="1">IFERROR(VLOOKUP(G821,OFFSET(abbreviation[],0,ColumnLanguage),ColumnAbbreviation,FALSE),"")</f>
        <v/>
      </c>
      <c r="BL821" s="21" t="str">
        <f ca="1">IFERROR(VLOOKUP(I821,OFFSET(abbreviation[],0,ColumnLanguage),ColumnAbbreviation,FALSE),"")</f>
        <v/>
      </c>
      <c r="BM821" s="21" t="str">
        <f ca="1">IFERROR(VLOOKUP(K821,OFFSET(abbreviation[],0,ColumnLanguage),ColumnAbbreviation,FALSE),"")</f>
        <v/>
      </c>
      <c r="BN821" s="21" t="str">
        <f t="shared" ca="1" si="84"/>
        <v/>
      </c>
      <c r="BO821" s="21" t="str">
        <f ca="1">IFERROR(VLOOKUP(N821,OFFSET(abbreviation[],0,ColumnLanguage),ColumnAbbreviation,FALSE),"")</f>
        <v/>
      </c>
      <c r="BP821" s="21" t="str">
        <f ca="1">IFERROR(VLOOKUP(P821,OFFSET(abbreviation[],0,ColumnLanguage),ColumnAbbreviation,FALSE),"")</f>
        <v/>
      </c>
      <c r="BQ821" s="21" t="str">
        <f ca="1">IFERROR(VLOOKUP(T821,OFFSET(abbreviation[],0,ColumnLanguage),ColumnAbbreviation,FALSE),"")</f>
        <v/>
      </c>
      <c r="BR821" s="21" t="str">
        <f ca="1">IFERROR(VLOOKUP(V821,OFFSET(abbreviation[],0,ColumnLanguage),ColumnAbbreviation,FALSE),"")</f>
        <v/>
      </c>
      <c r="BS821" s="21" t="str">
        <f ca="1">IFERROR(VLOOKUP(Z821,OFFSET(abbreviation[],0,ColumnLanguage),ColumnAbbreviation,FALSE),"")</f>
        <v/>
      </c>
      <c r="BT821" s="21" t="str">
        <f ca="1">IFERROR(VLOOKUP(AB821,OFFSET(abbreviation[],0,ColumnLanguage),ColumnAbbreviation,FALSE),"")</f>
        <v/>
      </c>
      <c r="BU821" s="21" t="str">
        <f t="shared" ca="1" si="85"/>
        <v>__</v>
      </c>
      <c r="BV821" s="21" t="str">
        <f ca="1">IFERROR(VLOOKUP(AF821,OFFSET(abbreviation[],0,ColumnLanguage),ColumnAbbreviation,FALSE),"")</f>
        <v/>
      </c>
      <c r="BW821" s="21" t="str">
        <f ca="1">IFERROR(VLOOKUP(AH821,OFFSET(abbreviation[],0,ColumnLanguage),ColumnAbbreviation,FALSE),"")</f>
        <v/>
      </c>
      <c r="BX821" s="21" t="str">
        <f ca="1">IFERROR(VLOOKUP(AJ821,OFFSET(abbreviation[],0,ColumnLanguage),ColumnAbbreviation,FALSE),"")</f>
        <v/>
      </c>
      <c r="BY821" s="21" t="str">
        <f ca="1">IFERROR(VLOOKUP(AL821,OFFSET(abbreviation[],0,ColumnLanguage),ColumnAbbreviation,FALSE),"")</f>
        <v/>
      </c>
      <c r="BZ821" s="21" t="str">
        <f t="shared" ca="1" si="86"/>
        <v>_</v>
      </c>
      <c r="CA821" s="21" t="str">
        <f ca="1">IFERROR(VLOOKUP(AP821,OFFSET(abbreviation[],0,ColumnLanguage),ColumnAbbreviation,FALSE),"")</f>
        <v/>
      </c>
      <c r="CB821" s="21" t="str">
        <f ca="1">IFERROR(VLOOKUP(AR821,OFFSET(abbreviation[],0,ColumnLanguage),ColumnAbbreviation,FALSE),"")</f>
        <v/>
      </c>
      <c r="CC821" s="21" t="str">
        <f ca="1">IFERROR(VLOOKUP(AT821,OFFSET(abbreviation[],0,ColumnLanguage),ColumnAbbreviation,FALSE),"")</f>
        <v/>
      </c>
      <c r="CD821" s="21" t="str">
        <f ca="1">IFERROR(VLOOKUP(AV821,OFFSET(abbreviation[],0,ColumnLanguage),ColumnAbbreviation,FALSE),"")</f>
        <v/>
      </c>
      <c r="CE821" s="21" t="str">
        <f t="shared" ca="1" si="87"/>
        <v>__</v>
      </c>
      <c r="CF821" s="21" t="str">
        <f ca="1">IFERROR(VLOOKUP(AX821,OFFSET(abbreviation[],0,ColumnLanguage),ColumnAbbreviation,FALSE),"")</f>
        <v/>
      </c>
      <c r="CG821" s="21" t="str">
        <f ca="1">IFERROR(VLOOKUP(AZ821,OFFSET(abbreviation[],0,ColumnLanguage),ColumnAbbreviation,FALSE),"")</f>
        <v/>
      </c>
      <c r="CH821" s="21" t="str">
        <f ca="1">IFERROR(VLOOKUP(BB821,OFFSET(abbreviation[],0,ColumnLanguage),ColumnAbbreviation,FALSE),"")</f>
        <v/>
      </c>
      <c r="CI821" s="21" t="str">
        <f ca="1">IFERROR(VLOOKUP(BD821,OFFSET(abbreviation[],0,ColumnLanguage),ColumnAbbreviation,FALSE),"")</f>
        <v/>
      </c>
      <c r="CJ821" s="21" t="str">
        <f ca="1">IFERROR(VLOOKUP(BF821,OFFSET(abbreviation[],0,ColumnLanguage),ColumnAbbreviation,FALSE),"")</f>
        <v/>
      </c>
      <c r="CK821" s="21" t="str">
        <f t="shared" ca="1" si="88"/>
        <v/>
      </c>
      <c r="CL821" s="21" t="str">
        <f t="shared" si="89"/>
        <v/>
      </c>
      <c r="CM821" s="52"/>
      <c r="CN821" s="57" t="str">
        <f t="shared" si="90"/>
        <v/>
      </c>
    </row>
    <row r="822" spans="17:92" x14ac:dyDescent="0.25">
      <c r="Q822" s="13"/>
      <c r="V822" s="60"/>
      <c r="X822" s="61"/>
      <c r="AN822" s="54"/>
      <c r="AS822" s="15"/>
      <c r="BH822" s="52"/>
      <c r="BI822" s="21" t="str">
        <f ca="1">IFERROR(VLOOKUP(C822,OFFSET(abbreviation[],0,ColumnLanguage),ColumnAbbreviation,FALSE),"")</f>
        <v/>
      </c>
      <c r="BJ822" s="21" t="str">
        <f ca="1">IFERROR(VLOOKUP(E822,OFFSET(abbreviation[],0,ColumnLanguage),ColumnAbbreviation,FALSE),"")</f>
        <v/>
      </c>
      <c r="BK822" s="21" t="str">
        <f ca="1">IFERROR(VLOOKUP(G822,OFFSET(abbreviation[],0,ColumnLanguage),ColumnAbbreviation,FALSE),"")</f>
        <v/>
      </c>
      <c r="BL822" s="21" t="str">
        <f ca="1">IFERROR(VLOOKUP(I822,OFFSET(abbreviation[],0,ColumnLanguage),ColumnAbbreviation,FALSE),"")</f>
        <v/>
      </c>
      <c r="BM822" s="21" t="str">
        <f ca="1">IFERROR(VLOOKUP(K822,OFFSET(abbreviation[],0,ColumnLanguage),ColumnAbbreviation,FALSE),"")</f>
        <v/>
      </c>
      <c r="BN822" s="21" t="str">
        <f t="shared" ca="1" si="84"/>
        <v/>
      </c>
      <c r="BO822" s="21" t="str">
        <f ca="1">IFERROR(VLOOKUP(N822,OFFSET(abbreviation[],0,ColumnLanguage),ColumnAbbreviation,FALSE),"")</f>
        <v/>
      </c>
      <c r="BP822" s="21" t="str">
        <f ca="1">IFERROR(VLOOKUP(P822,OFFSET(abbreviation[],0,ColumnLanguage),ColumnAbbreviation,FALSE),"")</f>
        <v/>
      </c>
      <c r="BQ822" s="21" t="str">
        <f ca="1">IFERROR(VLOOKUP(T822,OFFSET(abbreviation[],0,ColumnLanguage),ColumnAbbreviation,FALSE),"")</f>
        <v/>
      </c>
      <c r="BR822" s="21" t="str">
        <f ca="1">IFERROR(VLOOKUP(V822,OFFSET(abbreviation[],0,ColumnLanguage),ColumnAbbreviation,FALSE),"")</f>
        <v/>
      </c>
      <c r="BS822" s="21" t="str">
        <f ca="1">IFERROR(VLOOKUP(Z822,OFFSET(abbreviation[],0,ColumnLanguage),ColumnAbbreviation,FALSE),"")</f>
        <v/>
      </c>
      <c r="BT822" s="21" t="str">
        <f ca="1">IFERROR(VLOOKUP(AB822,OFFSET(abbreviation[],0,ColumnLanguage),ColumnAbbreviation,FALSE),"")</f>
        <v/>
      </c>
      <c r="BU822" s="21" t="str">
        <f t="shared" ca="1" si="85"/>
        <v>__</v>
      </c>
      <c r="BV822" s="21" t="str">
        <f ca="1">IFERROR(VLOOKUP(AF822,OFFSET(abbreviation[],0,ColumnLanguage),ColumnAbbreviation,FALSE),"")</f>
        <v/>
      </c>
      <c r="BW822" s="21" t="str">
        <f ca="1">IFERROR(VLOOKUP(AH822,OFFSET(abbreviation[],0,ColumnLanguage),ColumnAbbreviation,FALSE),"")</f>
        <v/>
      </c>
      <c r="BX822" s="21" t="str">
        <f ca="1">IFERROR(VLOOKUP(AJ822,OFFSET(abbreviation[],0,ColumnLanguage),ColumnAbbreviation,FALSE),"")</f>
        <v/>
      </c>
      <c r="BY822" s="21" t="str">
        <f ca="1">IFERROR(VLOOKUP(AL822,OFFSET(abbreviation[],0,ColumnLanguage),ColumnAbbreviation,FALSE),"")</f>
        <v/>
      </c>
      <c r="BZ822" s="21" t="str">
        <f t="shared" ca="1" si="86"/>
        <v>_</v>
      </c>
      <c r="CA822" s="21" t="str">
        <f ca="1">IFERROR(VLOOKUP(AP822,OFFSET(abbreviation[],0,ColumnLanguage),ColumnAbbreviation,FALSE),"")</f>
        <v/>
      </c>
      <c r="CB822" s="21" t="str">
        <f ca="1">IFERROR(VLOOKUP(AR822,OFFSET(abbreviation[],0,ColumnLanguage),ColumnAbbreviation,FALSE),"")</f>
        <v/>
      </c>
      <c r="CC822" s="21" t="str">
        <f ca="1">IFERROR(VLOOKUP(AT822,OFFSET(abbreviation[],0,ColumnLanguage),ColumnAbbreviation,FALSE),"")</f>
        <v/>
      </c>
      <c r="CD822" s="21" t="str">
        <f ca="1">IFERROR(VLOOKUP(AV822,OFFSET(abbreviation[],0,ColumnLanguage),ColumnAbbreviation,FALSE),"")</f>
        <v/>
      </c>
      <c r="CE822" s="21" t="str">
        <f t="shared" ca="1" si="87"/>
        <v>__</v>
      </c>
      <c r="CF822" s="21" t="str">
        <f ca="1">IFERROR(VLOOKUP(AX822,OFFSET(abbreviation[],0,ColumnLanguage),ColumnAbbreviation,FALSE),"")</f>
        <v/>
      </c>
      <c r="CG822" s="21" t="str">
        <f ca="1">IFERROR(VLOOKUP(AZ822,OFFSET(abbreviation[],0,ColumnLanguage),ColumnAbbreviation,FALSE),"")</f>
        <v/>
      </c>
      <c r="CH822" s="21" t="str">
        <f ca="1">IFERROR(VLOOKUP(BB822,OFFSET(abbreviation[],0,ColumnLanguage),ColumnAbbreviation,FALSE),"")</f>
        <v/>
      </c>
      <c r="CI822" s="21" t="str">
        <f ca="1">IFERROR(VLOOKUP(BD822,OFFSET(abbreviation[],0,ColumnLanguage),ColumnAbbreviation,FALSE),"")</f>
        <v/>
      </c>
      <c r="CJ822" s="21" t="str">
        <f ca="1">IFERROR(VLOOKUP(BF822,OFFSET(abbreviation[],0,ColumnLanguage),ColumnAbbreviation,FALSE),"")</f>
        <v/>
      </c>
      <c r="CK822" s="21" t="str">
        <f t="shared" ca="1" si="88"/>
        <v/>
      </c>
      <c r="CL822" s="21" t="str">
        <f t="shared" si="89"/>
        <v/>
      </c>
      <c r="CM822" s="52"/>
      <c r="CN822" s="57" t="str">
        <f t="shared" si="90"/>
        <v/>
      </c>
    </row>
    <row r="823" spans="17:92" x14ac:dyDescent="0.25">
      <c r="Q823" s="13"/>
      <c r="V823" s="60"/>
      <c r="X823" s="61"/>
      <c r="AN823" s="54"/>
      <c r="AS823" s="15"/>
      <c r="BH823" s="52"/>
      <c r="BI823" s="21" t="str">
        <f ca="1">IFERROR(VLOOKUP(C823,OFFSET(abbreviation[],0,ColumnLanguage),ColumnAbbreviation,FALSE),"")</f>
        <v/>
      </c>
      <c r="BJ823" s="21" t="str">
        <f ca="1">IFERROR(VLOOKUP(E823,OFFSET(abbreviation[],0,ColumnLanguage),ColumnAbbreviation,FALSE),"")</f>
        <v/>
      </c>
      <c r="BK823" s="21" t="str">
        <f ca="1">IFERROR(VLOOKUP(G823,OFFSET(abbreviation[],0,ColumnLanguage),ColumnAbbreviation,FALSE),"")</f>
        <v/>
      </c>
      <c r="BL823" s="21" t="str">
        <f ca="1">IFERROR(VLOOKUP(I823,OFFSET(abbreviation[],0,ColumnLanguage),ColumnAbbreviation,FALSE),"")</f>
        <v/>
      </c>
      <c r="BM823" s="21" t="str">
        <f ca="1">IFERROR(VLOOKUP(K823,OFFSET(abbreviation[],0,ColumnLanguage),ColumnAbbreviation,FALSE),"")</f>
        <v/>
      </c>
      <c r="BN823" s="21" t="str">
        <f t="shared" ca="1" si="84"/>
        <v/>
      </c>
      <c r="BO823" s="21" t="str">
        <f ca="1">IFERROR(VLOOKUP(N823,OFFSET(abbreviation[],0,ColumnLanguage),ColumnAbbreviation,FALSE),"")</f>
        <v/>
      </c>
      <c r="BP823" s="21" t="str">
        <f ca="1">IFERROR(VLOOKUP(P823,OFFSET(abbreviation[],0,ColumnLanguage),ColumnAbbreviation,FALSE),"")</f>
        <v/>
      </c>
      <c r="BQ823" s="21" t="str">
        <f ca="1">IFERROR(VLOOKUP(T823,OFFSET(abbreviation[],0,ColumnLanguage),ColumnAbbreviation,FALSE),"")</f>
        <v/>
      </c>
      <c r="BR823" s="21" t="str">
        <f ca="1">IFERROR(VLOOKUP(V823,OFFSET(abbreviation[],0,ColumnLanguage),ColumnAbbreviation,FALSE),"")</f>
        <v/>
      </c>
      <c r="BS823" s="21" t="str">
        <f ca="1">IFERROR(VLOOKUP(Z823,OFFSET(abbreviation[],0,ColumnLanguage),ColumnAbbreviation,FALSE),"")</f>
        <v/>
      </c>
      <c r="BT823" s="21" t="str">
        <f ca="1">IFERROR(VLOOKUP(AB823,OFFSET(abbreviation[],0,ColumnLanguage),ColumnAbbreviation,FALSE),"")</f>
        <v/>
      </c>
      <c r="BU823" s="21" t="str">
        <f t="shared" ca="1" si="85"/>
        <v>__</v>
      </c>
      <c r="BV823" s="21" t="str">
        <f ca="1">IFERROR(VLOOKUP(AF823,OFFSET(abbreviation[],0,ColumnLanguage),ColumnAbbreviation,FALSE),"")</f>
        <v/>
      </c>
      <c r="BW823" s="21" t="str">
        <f ca="1">IFERROR(VLOOKUP(AH823,OFFSET(abbreviation[],0,ColumnLanguage),ColumnAbbreviation,FALSE),"")</f>
        <v/>
      </c>
      <c r="BX823" s="21" t="str">
        <f ca="1">IFERROR(VLOOKUP(AJ823,OFFSET(abbreviation[],0,ColumnLanguage),ColumnAbbreviation,FALSE),"")</f>
        <v/>
      </c>
      <c r="BY823" s="21" t="str">
        <f ca="1">IFERROR(VLOOKUP(AL823,OFFSET(abbreviation[],0,ColumnLanguage),ColumnAbbreviation,FALSE),"")</f>
        <v/>
      </c>
      <c r="BZ823" s="21" t="str">
        <f t="shared" ca="1" si="86"/>
        <v>_</v>
      </c>
      <c r="CA823" s="21" t="str">
        <f ca="1">IFERROR(VLOOKUP(AP823,OFFSET(abbreviation[],0,ColumnLanguage),ColumnAbbreviation,FALSE),"")</f>
        <v/>
      </c>
      <c r="CB823" s="21" t="str">
        <f ca="1">IFERROR(VLOOKUP(AR823,OFFSET(abbreviation[],0,ColumnLanguage),ColumnAbbreviation,FALSE),"")</f>
        <v/>
      </c>
      <c r="CC823" s="21" t="str">
        <f ca="1">IFERROR(VLOOKUP(AT823,OFFSET(abbreviation[],0,ColumnLanguage),ColumnAbbreviation,FALSE),"")</f>
        <v/>
      </c>
      <c r="CD823" s="21" t="str">
        <f ca="1">IFERROR(VLOOKUP(AV823,OFFSET(abbreviation[],0,ColumnLanguage),ColumnAbbreviation,FALSE),"")</f>
        <v/>
      </c>
      <c r="CE823" s="21" t="str">
        <f t="shared" ca="1" si="87"/>
        <v>__</v>
      </c>
      <c r="CF823" s="21" t="str">
        <f ca="1">IFERROR(VLOOKUP(AX823,OFFSET(abbreviation[],0,ColumnLanguage),ColumnAbbreviation,FALSE),"")</f>
        <v/>
      </c>
      <c r="CG823" s="21" t="str">
        <f ca="1">IFERROR(VLOOKUP(AZ823,OFFSET(abbreviation[],0,ColumnLanguage),ColumnAbbreviation,FALSE),"")</f>
        <v/>
      </c>
      <c r="CH823" s="21" t="str">
        <f ca="1">IFERROR(VLOOKUP(BB823,OFFSET(abbreviation[],0,ColumnLanguage),ColumnAbbreviation,FALSE),"")</f>
        <v/>
      </c>
      <c r="CI823" s="21" t="str">
        <f ca="1">IFERROR(VLOOKUP(BD823,OFFSET(abbreviation[],0,ColumnLanguage),ColumnAbbreviation,FALSE),"")</f>
        <v/>
      </c>
      <c r="CJ823" s="21" t="str">
        <f ca="1">IFERROR(VLOOKUP(BF823,OFFSET(abbreviation[],0,ColumnLanguage),ColumnAbbreviation,FALSE),"")</f>
        <v/>
      </c>
      <c r="CK823" s="21" t="str">
        <f t="shared" ca="1" si="88"/>
        <v/>
      </c>
      <c r="CL823" s="21" t="str">
        <f t="shared" si="89"/>
        <v/>
      </c>
      <c r="CM823" s="52"/>
      <c r="CN823" s="57" t="str">
        <f t="shared" si="90"/>
        <v/>
      </c>
    </row>
    <row r="824" spans="17:92" x14ac:dyDescent="0.25">
      <c r="Q824" s="13"/>
      <c r="V824" s="60"/>
      <c r="X824" s="61"/>
      <c r="AN824" s="54"/>
      <c r="AS824" s="15"/>
      <c r="BH824" s="52"/>
      <c r="BI824" s="21" t="str">
        <f ca="1">IFERROR(VLOOKUP(C824,OFFSET(abbreviation[],0,ColumnLanguage),ColumnAbbreviation,FALSE),"")</f>
        <v/>
      </c>
      <c r="BJ824" s="21" t="str">
        <f ca="1">IFERROR(VLOOKUP(E824,OFFSET(abbreviation[],0,ColumnLanguage),ColumnAbbreviation,FALSE),"")</f>
        <v/>
      </c>
      <c r="BK824" s="21" t="str">
        <f ca="1">IFERROR(VLOOKUP(G824,OFFSET(abbreviation[],0,ColumnLanguage),ColumnAbbreviation,FALSE),"")</f>
        <v/>
      </c>
      <c r="BL824" s="21" t="str">
        <f ca="1">IFERROR(VLOOKUP(I824,OFFSET(abbreviation[],0,ColumnLanguage),ColumnAbbreviation,FALSE),"")</f>
        <v/>
      </c>
      <c r="BM824" s="21" t="str">
        <f ca="1">IFERROR(VLOOKUP(K824,OFFSET(abbreviation[],0,ColumnLanguage),ColumnAbbreviation,FALSE),"")</f>
        <v/>
      </c>
      <c r="BN824" s="21" t="str">
        <f t="shared" ca="1" si="84"/>
        <v/>
      </c>
      <c r="BO824" s="21" t="str">
        <f ca="1">IFERROR(VLOOKUP(N824,OFFSET(abbreviation[],0,ColumnLanguage),ColumnAbbreviation,FALSE),"")</f>
        <v/>
      </c>
      <c r="BP824" s="21" t="str">
        <f ca="1">IFERROR(VLOOKUP(P824,OFFSET(abbreviation[],0,ColumnLanguage),ColumnAbbreviation,FALSE),"")</f>
        <v/>
      </c>
      <c r="BQ824" s="21" t="str">
        <f ca="1">IFERROR(VLOOKUP(T824,OFFSET(abbreviation[],0,ColumnLanguage),ColumnAbbreviation,FALSE),"")</f>
        <v/>
      </c>
      <c r="BR824" s="21" t="str">
        <f ca="1">IFERROR(VLOOKUP(V824,OFFSET(abbreviation[],0,ColumnLanguage),ColumnAbbreviation,FALSE),"")</f>
        <v/>
      </c>
      <c r="BS824" s="21" t="str">
        <f ca="1">IFERROR(VLOOKUP(Z824,OFFSET(abbreviation[],0,ColumnLanguage),ColumnAbbreviation,FALSE),"")</f>
        <v/>
      </c>
      <c r="BT824" s="21" t="str">
        <f ca="1">IFERROR(VLOOKUP(AB824,OFFSET(abbreviation[],0,ColumnLanguage),ColumnAbbreviation,FALSE),"")</f>
        <v/>
      </c>
      <c r="BU824" s="21" t="str">
        <f t="shared" ca="1" si="85"/>
        <v>__</v>
      </c>
      <c r="BV824" s="21" t="str">
        <f ca="1">IFERROR(VLOOKUP(AF824,OFFSET(abbreviation[],0,ColumnLanguage),ColumnAbbreviation,FALSE),"")</f>
        <v/>
      </c>
      <c r="BW824" s="21" t="str">
        <f ca="1">IFERROR(VLOOKUP(AH824,OFFSET(abbreviation[],0,ColumnLanguage),ColumnAbbreviation,FALSE),"")</f>
        <v/>
      </c>
      <c r="BX824" s="21" t="str">
        <f ca="1">IFERROR(VLOOKUP(AJ824,OFFSET(abbreviation[],0,ColumnLanguage),ColumnAbbreviation,FALSE),"")</f>
        <v/>
      </c>
      <c r="BY824" s="21" t="str">
        <f ca="1">IFERROR(VLOOKUP(AL824,OFFSET(abbreviation[],0,ColumnLanguage),ColumnAbbreviation,FALSE),"")</f>
        <v/>
      </c>
      <c r="BZ824" s="21" t="str">
        <f t="shared" ca="1" si="86"/>
        <v>_</v>
      </c>
      <c r="CA824" s="21" t="str">
        <f ca="1">IFERROR(VLOOKUP(AP824,OFFSET(abbreviation[],0,ColumnLanguage),ColumnAbbreviation,FALSE),"")</f>
        <v/>
      </c>
      <c r="CB824" s="21" t="str">
        <f ca="1">IFERROR(VLOOKUP(AR824,OFFSET(abbreviation[],0,ColumnLanguage),ColumnAbbreviation,FALSE),"")</f>
        <v/>
      </c>
      <c r="CC824" s="21" t="str">
        <f ca="1">IFERROR(VLOOKUP(AT824,OFFSET(abbreviation[],0,ColumnLanguage),ColumnAbbreviation,FALSE),"")</f>
        <v/>
      </c>
      <c r="CD824" s="21" t="str">
        <f ca="1">IFERROR(VLOOKUP(AV824,OFFSET(abbreviation[],0,ColumnLanguage),ColumnAbbreviation,FALSE),"")</f>
        <v/>
      </c>
      <c r="CE824" s="21" t="str">
        <f t="shared" ca="1" si="87"/>
        <v>__</v>
      </c>
      <c r="CF824" s="21" t="str">
        <f ca="1">IFERROR(VLOOKUP(AX824,OFFSET(abbreviation[],0,ColumnLanguage),ColumnAbbreviation,FALSE),"")</f>
        <v/>
      </c>
      <c r="CG824" s="21" t="str">
        <f ca="1">IFERROR(VLOOKUP(AZ824,OFFSET(abbreviation[],0,ColumnLanguage),ColumnAbbreviation,FALSE),"")</f>
        <v/>
      </c>
      <c r="CH824" s="21" t="str">
        <f ca="1">IFERROR(VLOOKUP(BB824,OFFSET(abbreviation[],0,ColumnLanguage),ColumnAbbreviation,FALSE),"")</f>
        <v/>
      </c>
      <c r="CI824" s="21" t="str">
        <f ca="1">IFERROR(VLOOKUP(BD824,OFFSET(abbreviation[],0,ColumnLanguage),ColumnAbbreviation,FALSE),"")</f>
        <v/>
      </c>
      <c r="CJ824" s="21" t="str">
        <f ca="1">IFERROR(VLOOKUP(BF824,OFFSET(abbreviation[],0,ColumnLanguage),ColumnAbbreviation,FALSE),"")</f>
        <v/>
      </c>
      <c r="CK824" s="21" t="str">
        <f t="shared" ca="1" si="88"/>
        <v/>
      </c>
      <c r="CL824" s="21" t="str">
        <f t="shared" si="89"/>
        <v/>
      </c>
      <c r="CM824" s="52"/>
      <c r="CN824" s="57" t="str">
        <f t="shared" si="90"/>
        <v/>
      </c>
    </row>
    <row r="825" spans="17:92" x14ac:dyDescent="0.25">
      <c r="Q825" s="13"/>
      <c r="V825" s="60"/>
      <c r="X825" s="61"/>
      <c r="AN825" s="54"/>
      <c r="AS825" s="15"/>
      <c r="BH825" s="52"/>
      <c r="BI825" s="21" t="str">
        <f ca="1">IFERROR(VLOOKUP(C825,OFFSET(abbreviation[],0,ColumnLanguage),ColumnAbbreviation,FALSE),"")</f>
        <v/>
      </c>
      <c r="BJ825" s="21" t="str">
        <f ca="1">IFERROR(VLOOKUP(E825,OFFSET(abbreviation[],0,ColumnLanguage),ColumnAbbreviation,FALSE),"")</f>
        <v/>
      </c>
      <c r="BK825" s="21" t="str">
        <f ca="1">IFERROR(VLOOKUP(G825,OFFSET(abbreviation[],0,ColumnLanguage),ColumnAbbreviation,FALSE),"")</f>
        <v/>
      </c>
      <c r="BL825" s="21" t="str">
        <f ca="1">IFERROR(VLOOKUP(I825,OFFSET(abbreviation[],0,ColumnLanguage),ColumnAbbreviation,FALSE),"")</f>
        <v/>
      </c>
      <c r="BM825" s="21" t="str">
        <f ca="1">IFERROR(VLOOKUP(K825,OFFSET(abbreviation[],0,ColumnLanguage),ColumnAbbreviation,FALSE),"")</f>
        <v/>
      </c>
      <c r="BN825" s="21" t="str">
        <f t="shared" ca="1" si="84"/>
        <v/>
      </c>
      <c r="BO825" s="21" t="str">
        <f ca="1">IFERROR(VLOOKUP(N825,OFFSET(abbreviation[],0,ColumnLanguage),ColumnAbbreviation,FALSE),"")</f>
        <v/>
      </c>
      <c r="BP825" s="21" t="str">
        <f ca="1">IFERROR(VLOOKUP(P825,OFFSET(abbreviation[],0,ColumnLanguage),ColumnAbbreviation,FALSE),"")</f>
        <v/>
      </c>
      <c r="BQ825" s="21" t="str">
        <f ca="1">IFERROR(VLOOKUP(T825,OFFSET(abbreviation[],0,ColumnLanguage),ColumnAbbreviation,FALSE),"")</f>
        <v/>
      </c>
      <c r="BR825" s="21" t="str">
        <f ca="1">IFERROR(VLOOKUP(V825,OFFSET(abbreviation[],0,ColumnLanguage),ColumnAbbreviation,FALSE),"")</f>
        <v/>
      </c>
      <c r="BS825" s="21" t="str">
        <f ca="1">IFERROR(VLOOKUP(Z825,OFFSET(abbreviation[],0,ColumnLanguage),ColumnAbbreviation,FALSE),"")</f>
        <v/>
      </c>
      <c r="BT825" s="21" t="str">
        <f ca="1">IFERROR(VLOOKUP(AB825,OFFSET(abbreviation[],0,ColumnLanguage),ColumnAbbreviation,FALSE),"")</f>
        <v/>
      </c>
      <c r="BU825" s="21" t="str">
        <f t="shared" ca="1" si="85"/>
        <v>__</v>
      </c>
      <c r="BV825" s="21" t="str">
        <f ca="1">IFERROR(VLOOKUP(AF825,OFFSET(abbreviation[],0,ColumnLanguage),ColumnAbbreviation,FALSE),"")</f>
        <v/>
      </c>
      <c r="BW825" s="21" t="str">
        <f ca="1">IFERROR(VLOOKUP(AH825,OFFSET(abbreviation[],0,ColumnLanguage),ColumnAbbreviation,FALSE),"")</f>
        <v/>
      </c>
      <c r="BX825" s="21" t="str">
        <f ca="1">IFERROR(VLOOKUP(AJ825,OFFSET(abbreviation[],0,ColumnLanguage),ColumnAbbreviation,FALSE),"")</f>
        <v/>
      </c>
      <c r="BY825" s="21" t="str">
        <f ca="1">IFERROR(VLOOKUP(AL825,OFFSET(abbreviation[],0,ColumnLanguage),ColumnAbbreviation,FALSE),"")</f>
        <v/>
      </c>
      <c r="BZ825" s="21" t="str">
        <f t="shared" ca="1" si="86"/>
        <v>_</v>
      </c>
      <c r="CA825" s="21" t="str">
        <f ca="1">IFERROR(VLOOKUP(AP825,OFFSET(abbreviation[],0,ColumnLanguage),ColumnAbbreviation,FALSE),"")</f>
        <v/>
      </c>
      <c r="CB825" s="21" t="str">
        <f ca="1">IFERROR(VLOOKUP(AR825,OFFSET(abbreviation[],0,ColumnLanguage),ColumnAbbreviation,FALSE),"")</f>
        <v/>
      </c>
      <c r="CC825" s="21" t="str">
        <f ca="1">IFERROR(VLOOKUP(AT825,OFFSET(abbreviation[],0,ColumnLanguage),ColumnAbbreviation,FALSE),"")</f>
        <v/>
      </c>
      <c r="CD825" s="21" t="str">
        <f ca="1">IFERROR(VLOOKUP(AV825,OFFSET(abbreviation[],0,ColumnLanguage),ColumnAbbreviation,FALSE),"")</f>
        <v/>
      </c>
      <c r="CE825" s="21" t="str">
        <f t="shared" ca="1" si="87"/>
        <v>__</v>
      </c>
      <c r="CF825" s="21" t="str">
        <f ca="1">IFERROR(VLOOKUP(AX825,OFFSET(abbreviation[],0,ColumnLanguage),ColumnAbbreviation,FALSE),"")</f>
        <v/>
      </c>
      <c r="CG825" s="21" t="str">
        <f ca="1">IFERROR(VLOOKUP(AZ825,OFFSET(abbreviation[],0,ColumnLanguage),ColumnAbbreviation,FALSE),"")</f>
        <v/>
      </c>
      <c r="CH825" s="21" t="str">
        <f ca="1">IFERROR(VLOOKUP(BB825,OFFSET(abbreviation[],0,ColumnLanguage),ColumnAbbreviation,FALSE),"")</f>
        <v/>
      </c>
      <c r="CI825" s="21" t="str">
        <f ca="1">IFERROR(VLOOKUP(BD825,OFFSET(abbreviation[],0,ColumnLanguage),ColumnAbbreviation,FALSE),"")</f>
        <v/>
      </c>
      <c r="CJ825" s="21" t="str">
        <f ca="1">IFERROR(VLOOKUP(BF825,OFFSET(abbreviation[],0,ColumnLanguage),ColumnAbbreviation,FALSE),"")</f>
        <v/>
      </c>
      <c r="CK825" s="21" t="str">
        <f t="shared" ca="1" si="88"/>
        <v/>
      </c>
      <c r="CL825" s="21" t="str">
        <f t="shared" si="89"/>
        <v/>
      </c>
      <c r="CM825" s="52"/>
      <c r="CN825" s="57" t="str">
        <f t="shared" si="90"/>
        <v/>
      </c>
    </row>
    <row r="826" spans="17:92" x14ac:dyDescent="0.25">
      <c r="Q826" s="13"/>
      <c r="V826" s="60"/>
      <c r="X826" s="61"/>
      <c r="AN826" s="54"/>
      <c r="AS826" s="15"/>
      <c r="BH826" s="52"/>
      <c r="BI826" s="21" t="str">
        <f ca="1">IFERROR(VLOOKUP(C826,OFFSET(abbreviation[],0,ColumnLanguage),ColumnAbbreviation,FALSE),"")</f>
        <v/>
      </c>
      <c r="BJ826" s="21" t="str">
        <f ca="1">IFERROR(VLOOKUP(E826,OFFSET(abbreviation[],0,ColumnLanguage),ColumnAbbreviation,FALSE),"")</f>
        <v/>
      </c>
      <c r="BK826" s="21" t="str">
        <f ca="1">IFERROR(VLOOKUP(G826,OFFSET(abbreviation[],0,ColumnLanguage),ColumnAbbreviation,FALSE),"")</f>
        <v/>
      </c>
      <c r="BL826" s="21" t="str">
        <f ca="1">IFERROR(VLOOKUP(I826,OFFSET(abbreviation[],0,ColumnLanguage),ColumnAbbreviation,FALSE),"")</f>
        <v/>
      </c>
      <c r="BM826" s="21" t="str">
        <f ca="1">IFERROR(VLOOKUP(K826,OFFSET(abbreviation[],0,ColumnLanguage),ColumnAbbreviation,FALSE),"")</f>
        <v/>
      </c>
      <c r="BN826" s="21" t="str">
        <f t="shared" ca="1" si="84"/>
        <v/>
      </c>
      <c r="BO826" s="21" t="str">
        <f ca="1">IFERROR(VLOOKUP(N826,OFFSET(abbreviation[],0,ColumnLanguage),ColumnAbbreviation,FALSE),"")</f>
        <v/>
      </c>
      <c r="BP826" s="21" t="str">
        <f ca="1">IFERROR(VLOOKUP(P826,OFFSET(abbreviation[],0,ColumnLanguage),ColumnAbbreviation,FALSE),"")</f>
        <v/>
      </c>
      <c r="BQ826" s="21" t="str">
        <f ca="1">IFERROR(VLOOKUP(T826,OFFSET(abbreviation[],0,ColumnLanguage),ColumnAbbreviation,FALSE),"")</f>
        <v/>
      </c>
      <c r="BR826" s="21" t="str">
        <f ca="1">IFERROR(VLOOKUP(V826,OFFSET(abbreviation[],0,ColumnLanguage),ColumnAbbreviation,FALSE),"")</f>
        <v/>
      </c>
      <c r="BS826" s="21" t="str">
        <f ca="1">IFERROR(VLOOKUP(Z826,OFFSET(abbreviation[],0,ColumnLanguage),ColumnAbbreviation,FALSE),"")</f>
        <v/>
      </c>
      <c r="BT826" s="21" t="str">
        <f ca="1">IFERROR(VLOOKUP(AB826,OFFSET(abbreviation[],0,ColumnLanguage),ColumnAbbreviation,FALSE),"")</f>
        <v/>
      </c>
      <c r="BU826" s="21" t="str">
        <f t="shared" ca="1" si="85"/>
        <v>__</v>
      </c>
      <c r="BV826" s="21" t="str">
        <f ca="1">IFERROR(VLOOKUP(AF826,OFFSET(abbreviation[],0,ColumnLanguage),ColumnAbbreviation,FALSE),"")</f>
        <v/>
      </c>
      <c r="BW826" s="21" t="str">
        <f ca="1">IFERROR(VLOOKUP(AH826,OFFSET(abbreviation[],0,ColumnLanguage),ColumnAbbreviation,FALSE),"")</f>
        <v/>
      </c>
      <c r="BX826" s="21" t="str">
        <f ca="1">IFERROR(VLOOKUP(AJ826,OFFSET(abbreviation[],0,ColumnLanguage),ColumnAbbreviation,FALSE),"")</f>
        <v/>
      </c>
      <c r="BY826" s="21" t="str">
        <f ca="1">IFERROR(VLOOKUP(AL826,OFFSET(abbreviation[],0,ColumnLanguage),ColumnAbbreviation,FALSE),"")</f>
        <v/>
      </c>
      <c r="BZ826" s="21" t="str">
        <f t="shared" ca="1" si="86"/>
        <v>_</v>
      </c>
      <c r="CA826" s="21" t="str">
        <f ca="1">IFERROR(VLOOKUP(AP826,OFFSET(abbreviation[],0,ColumnLanguage),ColumnAbbreviation,FALSE),"")</f>
        <v/>
      </c>
      <c r="CB826" s="21" t="str">
        <f ca="1">IFERROR(VLOOKUP(AR826,OFFSET(abbreviation[],0,ColumnLanguage),ColumnAbbreviation,FALSE),"")</f>
        <v/>
      </c>
      <c r="CC826" s="21" t="str">
        <f ca="1">IFERROR(VLOOKUP(AT826,OFFSET(abbreviation[],0,ColumnLanguage),ColumnAbbreviation,FALSE),"")</f>
        <v/>
      </c>
      <c r="CD826" s="21" t="str">
        <f ca="1">IFERROR(VLOOKUP(AV826,OFFSET(abbreviation[],0,ColumnLanguage),ColumnAbbreviation,FALSE),"")</f>
        <v/>
      </c>
      <c r="CE826" s="21" t="str">
        <f t="shared" ca="1" si="87"/>
        <v>__</v>
      </c>
      <c r="CF826" s="21" t="str">
        <f ca="1">IFERROR(VLOOKUP(AX826,OFFSET(abbreviation[],0,ColumnLanguage),ColumnAbbreviation,FALSE),"")</f>
        <v/>
      </c>
      <c r="CG826" s="21" t="str">
        <f ca="1">IFERROR(VLOOKUP(AZ826,OFFSET(abbreviation[],0,ColumnLanguage),ColumnAbbreviation,FALSE),"")</f>
        <v/>
      </c>
      <c r="CH826" s="21" t="str">
        <f ca="1">IFERROR(VLOOKUP(BB826,OFFSET(abbreviation[],0,ColumnLanguage),ColumnAbbreviation,FALSE),"")</f>
        <v/>
      </c>
      <c r="CI826" s="21" t="str">
        <f ca="1">IFERROR(VLOOKUP(BD826,OFFSET(abbreviation[],0,ColumnLanguage),ColumnAbbreviation,FALSE),"")</f>
        <v/>
      </c>
      <c r="CJ826" s="21" t="str">
        <f ca="1">IFERROR(VLOOKUP(BF826,OFFSET(abbreviation[],0,ColumnLanguage),ColumnAbbreviation,FALSE),"")</f>
        <v/>
      </c>
      <c r="CK826" s="21" t="str">
        <f t="shared" ca="1" si="88"/>
        <v/>
      </c>
      <c r="CL826" s="21" t="str">
        <f t="shared" si="89"/>
        <v/>
      </c>
      <c r="CM826" s="52"/>
      <c r="CN826" s="57" t="str">
        <f t="shared" si="90"/>
        <v/>
      </c>
    </row>
    <row r="827" spans="17:92" x14ac:dyDescent="0.25">
      <c r="Q827" s="13"/>
      <c r="V827" s="60"/>
      <c r="X827" s="61"/>
      <c r="AN827" s="54"/>
      <c r="AS827" s="15"/>
      <c r="BH827" s="52"/>
      <c r="BI827" s="21" t="str">
        <f ca="1">IFERROR(VLOOKUP(C827,OFFSET(abbreviation[],0,ColumnLanguage),ColumnAbbreviation,FALSE),"")</f>
        <v/>
      </c>
      <c r="BJ827" s="21" t="str">
        <f ca="1">IFERROR(VLOOKUP(E827,OFFSET(abbreviation[],0,ColumnLanguage),ColumnAbbreviation,FALSE),"")</f>
        <v/>
      </c>
      <c r="BK827" s="21" t="str">
        <f ca="1">IFERROR(VLOOKUP(G827,OFFSET(abbreviation[],0,ColumnLanguage),ColumnAbbreviation,FALSE),"")</f>
        <v/>
      </c>
      <c r="BL827" s="21" t="str">
        <f ca="1">IFERROR(VLOOKUP(I827,OFFSET(abbreviation[],0,ColumnLanguage),ColumnAbbreviation,FALSE),"")</f>
        <v/>
      </c>
      <c r="BM827" s="21" t="str">
        <f ca="1">IFERROR(VLOOKUP(K827,OFFSET(abbreviation[],0,ColumnLanguage),ColumnAbbreviation,FALSE),"")</f>
        <v/>
      </c>
      <c r="BN827" s="21" t="str">
        <f t="shared" ca="1" si="84"/>
        <v/>
      </c>
      <c r="BO827" s="21" t="str">
        <f ca="1">IFERROR(VLOOKUP(N827,OFFSET(abbreviation[],0,ColumnLanguage),ColumnAbbreviation,FALSE),"")</f>
        <v/>
      </c>
      <c r="BP827" s="21" t="str">
        <f ca="1">IFERROR(VLOOKUP(P827,OFFSET(abbreviation[],0,ColumnLanguage),ColumnAbbreviation,FALSE),"")</f>
        <v/>
      </c>
      <c r="BQ827" s="21" t="str">
        <f ca="1">IFERROR(VLOOKUP(T827,OFFSET(abbreviation[],0,ColumnLanguage),ColumnAbbreviation,FALSE),"")</f>
        <v/>
      </c>
      <c r="BR827" s="21" t="str">
        <f ca="1">IFERROR(VLOOKUP(V827,OFFSET(abbreviation[],0,ColumnLanguage),ColumnAbbreviation,FALSE),"")</f>
        <v/>
      </c>
      <c r="BS827" s="21" t="str">
        <f ca="1">IFERROR(VLOOKUP(Z827,OFFSET(abbreviation[],0,ColumnLanguage),ColumnAbbreviation,FALSE),"")</f>
        <v/>
      </c>
      <c r="BT827" s="21" t="str">
        <f ca="1">IFERROR(VLOOKUP(AB827,OFFSET(abbreviation[],0,ColumnLanguage),ColumnAbbreviation,FALSE),"")</f>
        <v/>
      </c>
      <c r="BU827" s="21" t="str">
        <f t="shared" ca="1" si="85"/>
        <v>__</v>
      </c>
      <c r="BV827" s="21" t="str">
        <f ca="1">IFERROR(VLOOKUP(AF827,OFFSET(abbreviation[],0,ColumnLanguage),ColumnAbbreviation,FALSE),"")</f>
        <v/>
      </c>
      <c r="BW827" s="21" t="str">
        <f ca="1">IFERROR(VLOOKUP(AH827,OFFSET(abbreviation[],0,ColumnLanguage),ColumnAbbreviation,FALSE),"")</f>
        <v/>
      </c>
      <c r="BX827" s="21" t="str">
        <f ca="1">IFERROR(VLOOKUP(AJ827,OFFSET(abbreviation[],0,ColumnLanguage),ColumnAbbreviation,FALSE),"")</f>
        <v/>
      </c>
      <c r="BY827" s="21" t="str">
        <f ca="1">IFERROR(VLOOKUP(AL827,OFFSET(abbreviation[],0,ColumnLanguage),ColumnAbbreviation,FALSE),"")</f>
        <v/>
      </c>
      <c r="BZ827" s="21" t="str">
        <f t="shared" ca="1" si="86"/>
        <v>_</v>
      </c>
      <c r="CA827" s="21" t="str">
        <f ca="1">IFERROR(VLOOKUP(AP827,OFFSET(abbreviation[],0,ColumnLanguage),ColumnAbbreviation,FALSE),"")</f>
        <v/>
      </c>
      <c r="CB827" s="21" t="str">
        <f ca="1">IFERROR(VLOOKUP(AR827,OFFSET(abbreviation[],0,ColumnLanguage),ColumnAbbreviation,FALSE),"")</f>
        <v/>
      </c>
      <c r="CC827" s="21" t="str">
        <f ca="1">IFERROR(VLOOKUP(AT827,OFFSET(abbreviation[],0,ColumnLanguage),ColumnAbbreviation,FALSE),"")</f>
        <v/>
      </c>
      <c r="CD827" s="21" t="str">
        <f ca="1">IFERROR(VLOOKUP(AV827,OFFSET(abbreviation[],0,ColumnLanguage),ColumnAbbreviation,FALSE),"")</f>
        <v/>
      </c>
      <c r="CE827" s="21" t="str">
        <f t="shared" ca="1" si="87"/>
        <v>__</v>
      </c>
      <c r="CF827" s="21" t="str">
        <f ca="1">IFERROR(VLOOKUP(AX827,OFFSET(abbreviation[],0,ColumnLanguage),ColumnAbbreviation,FALSE),"")</f>
        <v/>
      </c>
      <c r="CG827" s="21" t="str">
        <f ca="1">IFERROR(VLOOKUP(AZ827,OFFSET(abbreviation[],0,ColumnLanguage),ColumnAbbreviation,FALSE),"")</f>
        <v/>
      </c>
      <c r="CH827" s="21" t="str">
        <f ca="1">IFERROR(VLOOKUP(BB827,OFFSET(abbreviation[],0,ColumnLanguage),ColumnAbbreviation,FALSE),"")</f>
        <v/>
      </c>
      <c r="CI827" s="21" t="str">
        <f ca="1">IFERROR(VLOOKUP(BD827,OFFSET(abbreviation[],0,ColumnLanguage),ColumnAbbreviation,FALSE),"")</f>
        <v/>
      </c>
      <c r="CJ827" s="21" t="str">
        <f ca="1">IFERROR(VLOOKUP(BF827,OFFSET(abbreviation[],0,ColumnLanguage),ColumnAbbreviation,FALSE),"")</f>
        <v/>
      </c>
      <c r="CK827" s="21" t="str">
        <f t="shared" ca="1" si="88"/>
        <v/>
      </c>
      <c r="CL827" s="21" t="str">
        <f t="shared" si="89"/>
        <v/>
      </c>
      <c r="CM827" s="52"/>
      <c r="CN827" s="57" t="str">
        <f t="shared" si="90"/>
        <v/>
      </c>
    </row>
    <row r="828" spans="17:92" x14ac:dyDescent="0.25">
      <c r="Q828" s="13"/>
      <c r="V828" s="60"/>
      <c r="X828" s="61"/>
      <c r="AN828" s="54"/>
      <c r="AS828" s="15"/>
      <c r="BH828" s="52"/>
      <c r="BI828" s="21" t="str">
        <f ca="1">IFERROR(VLOOKUP(C828,OFFSET(abbreviation[],0,ColumnLanguage),ColumnAbbreviation,FALSE),"")</f>
        <v/>
      </c>
      <c r="BJ828" s="21" t="str">
        <f ca="1">IFERROR(VLOOKUP(E828,OFFSET(abbreviation[],0,ColumnLanguage),ColumnAbbreviation,FALSE),"")</f>
        <v/>
      </c>
      <c r="BK828" s="21" t="str">
        <f ca="1">IFERROR(VLOOKUP(G828,OFFSET(abbreviation[],0,ColumnLanguage),ColumnAbbreviation,FALSE),"")</f>
        <v/>
      </c>
      <c r="BL828" s="21" t="str">
        <f ca="1">IFERROR(VLOOKUP(I828,OFFSET(abbreviation[],0,ColumnLanguage),ColumnAbbreviation,FALSE),"")</f>
        <v/>
      </c>
      <c r="BM828" s="21" t="str">
        <f ca="1">IFERROR(VLOOKUP(K828,OFFSET(abbreviation[],0,ColumnLanguage),ColumnAbbreviation,FALSE),"")</f>
        <v/>
      </c>
      <c r="BN828" s="21" t="str">
        <f t="shared" ca="1" si="84"/>
        <v/>
      </c>
      <c r="BO828" s="21" t="str">
        <f ca="1">IFERROR(VLOOKUP(N828,OFFSET(abbreviation[],0,ColumnLanguage),ColumnAbbreviation,FALSE),"")</f>
        <v/>
      </c>
      <c r="BP828" s="21" t="str">
        <f ca="1">IFERROR(VLOOKUP(P828,OFFSET(abbreviation[],0,ColumnLanguage),ColumnAbbreviation,FALSE),"")</f>
        <v/>
      </c>
      <c r="BQ828" s="21" t="str">
        <f ca="1">IFERROR(VLOOKUP(T828,OFFSET(abbreviation[],0,ColumnLanguage),ColumnAbbreviation,FALSE),"")</f>
        <v/>
      </c>
      <c r="BR828" s="21" t="str">
        <f ca="1">IFERROR(VLOOKUP(V828,OFFSET(abbreviation[],0,ColumnLanguage),ColumnAbbreviation,FALSE),"")</f>
        <v/>
      </c>
      <c r="BS828" s="21" t="str">
        <f ca="1">IFERROR(VLOOKUP(Z828,OFFSET(abbreviation[],0,ColumnLanguage),ColumnAbbreviation,FALSE),"")</f>
        <v/>
      </c>
      <c r="BT828" s="21" t="str">
        <f ca="1">IFERROR(VLOOKUP(AB828,OFFSET(abbreviation[],0,ColumnLanguage),ColumnAbbreviation,FALSE),"")</f>
        <v/>
      </c>
      <c r="BU828" s="21" t="str">
        <f t="shared" ca="1" si="85"/>
        <v>__</v>
      </c>
      <c r="BV828" s="21" t="str">
        <f ca="1">IFERROR(VLOOKUP(AF828,OFFSET(abbreviation[],0,ColumnLanguage),ColumnAbbreviation,FALSE),"")</f>
        <v/>
      </c>
      <c r="BW828" s="21" t="str">
        <f ca="1">IFERROR(VLOOKUP(AH828,OFFSET(abbreviation[],0,ColumnLanguage),ColumnAbbreviation,FALSE),"")</f>
        <v/>
      </c>
      <c r="BX828" s="21" t="str">
        <f ca="1">IFERROR(VLOOKUP(AJ828,OFFSET(abbreviation[],0,ColumnLanguage),ColumnAbbreviation,FALSE),"")</f>
        <v/>
      </c>
      <c r="BY828" s="21" t="str">
        <f ca="1">IFERROR(VLOOKUP(AL828,OFFSET(abbreviation[],0,ColumnLanguage),ColumnAbbreviation,FALSE),"")</f>
        <v/>
      </c>
      <c r="BZ828" s="21" t="str">
        <f t="shared" ca="1" si="86"/>
        <v>_</v>
      </c>
      <c r="CA828" s="21" t="str">
        <f ca="1">IFERROR(VLOOKUP(AP828,OFFSET(abbreviation[],0,ColumnLanguage),ColumnAbbreviation,FALSE),"")</f>
        <v/>
      </c>
      <c r="CB828" s="21" t="str">
        <f ca="1">IFERROR(VLOOKUP(AR828,OFFSET(abbreviation[],0,ColumnLanguage),ColumnAbbreviation,FALSE),"")</f>
        <v/>
      </c>
      <c r="CC828" s="21" t="str">
        <f ca="1">IFERROR(VLOOKUP(AT828,OFFSET(abbreviation[],0,ColumnLanguage),ColumnAbbreviation,FALSE),"")</f>
        <v/>
      </c>
      <c r="CD828" s="21" t="str">
        <f ca="1">IFERROR(VLOOKUP(AV828,OFFSET(abbreviation[],0,ColumnLanguage),ColumnAbbreviation,FALSE),"")</f>
        <v/>
      </c>
      <c r="CE828" s="21" t="str">
        <f t="shared" ca="1" si="87"/>
        <v>__</v>
      </c>
      <c r="CF828" s="21" t="str">
        <f ca="1">IFERROR(VLOOKUP(AX828,OFFSET(abbreviation[],0,ColumnLanguage),ColumnAbbreviation,FALSE),"")</f>
        <v/>
      </c>
      <c r="CG828" s="21" t="str">
        <f ca="1">IFERROR(VLOOKUP(AZ828,OFFSET(abbreviation[],0,ColumnLanguage),ColumnAbbreviation,FALSE),"")</f>
        <v/>
      </c>
      <c r="CH828" s="21" t="str">
        <f ca="1">IFERROR(VLOOKUP(BB828,OFFSET(abbreviation[],0,ColumnLanguage),ColumnAbbreviation,FALSE),"")</f>
        <v/>
      </c>
      <c r="CI828" s="21" t="str">
        <f ca="1">IFERROR(VLOOKUP(BD828,OFFSET(abbreviation[],0,ColumnLanguage),ColumnAbbreviation,FALSE),"")</f>
        <v/>
      </c>
      <c r="CJ828" s="21" t="str">
        <f ca="1">IFERROR(VLOOKUP(BF828,OFFSET(abbreviation[],0,ColumnLanguage),ColumnAbbreviation,FALSE),"")</f>
        <v/>
      </c>
      <c r="CK828" s="21" t="str">
        <f t="shared" ca="1" si="88"/>
        <v/>
      </c>
      <c r="CL828" s="21" t="str">
        <f t="shared" si="89"/>
        <v/>
      </c>
      <c r="CM828" s="52"/>
      <c r="CN828" s="57" t="str">
        <f t="shared" si="90"/>
        <v/>
      </c>
    </row>
    <row r="829" spans="17:92" x14ac:dyDescent="0.25">
      <c r="Q829" s="13"/>
      <c r="V829" s="60"/>
      <c r="X829" s="61"/>
      <c r="AN829" s="54"/>
      <c r="AS829" s="15"/>
      <c r="BH829" s="52"/>
      <c r="BI829" s="21" t="str">
        <f ca="1">IFERROR(VLOOKUP(C829,OFFSET(abbreviation[],0,ColumnLanguage),ColumnAbbreviation,FALSE),"")</f>
        <v/>
      </c>
      <c r="BJ829" s="21" t="str">
        <f ca="1">IFERROR(VLOOKUP(E829,OFFSET(abbreviation[],0,ColumnLanguage),ColumnAbbreviation,FALSE),"")</f>
        <v/>
      </c>
      <c r="BK829" s="21" t="str">
        <f ca="1">IFERROR(VLOOKUP(G829,OFFSET(abbreviation[],0,ColumnLanguage),ColumnAbbreviation,FALSE),"")</f>
        <v/>
      </c>
      <c r="BL829" s="21" t="str">
        <f ca="1">IFERROR(VLOOKUP(I829,OFFSET(abbreviation[],0,ColumnLanguage),ColumnAbbreviation,FALSE),"")</f>
        <v/>
      </c>
      <c r="BM829" s="21" t="str">
        <f ca="1">IFERROR(VLOOKUP(K829,OFFSET(abbreviation[],0,ColumnLanguage),ColumnAbbreviation,FALSE),"")</f>
        <v/>
      </c>
      <c r="BN829" s="21" t="str">
        <f t="shared" ca="1" si="84"/>
        <v/>
      </c>
      <c r="BO829" s="21" t="str">
        <f ca="1">IFERROR(VLOOKUP(N829,OFFSET(abbreviation[],0,ColumnLanguage),ColumnAbbreviation,FALSE),"")</f>
        <v/>
      </c>
      <c r="BP829" s="21" t="str">
        <f ca="1">IFERROR(VLOOKUP(P829,OFFSET(abbreviation[],0,ColumnLanguage),ColumnAbbreviation,FALSE),"")</f>
        <v/>
      </c>
      <c r="BQ829" s="21" t="str">
        <f ca="1">IFERROR(VLOOKUP(T829,OFFSET(abbreviation[],0,ColumnLanguage),ColumnAbbreviation,FALSE),"")</f>
        <v/>
      </c>
      <c r="BR829" s="21" t="str">
        <f ca="1">IFERROR(VLOOKUP(V829,OFFSET(abbreviation[],0,ColumnLanguage),ColumnAbbreviation,FALSE),"")</f>
        <v/>
      </c>
      <c r="BS829" s="21" t="str">
        <f ca="1">IFERROR(VLOOKUP(Z829,OFFSET(abbreviation[],0,ColumnLanguage),ColumnAbbreviation,FALSE),"")</f>
        <v/>
      </c>
      <c r="BT829" s="21" t="str">
        <f ca="1">IFERROR(VLOOKUP(AB829,OFFSET(abbreviation[],0,ColumnLanguage),ColumnAbbreviation,FALSE),"")</f>
        <v/>
      </c>
      <c r="BU829" s="21" t="str">
        <f t="shared" ca="1" si="85"/>
        <v>__</v>
      </c>
      <c r="BV829" s="21" t="str">
        <f ca="1">IFERROR(VLOOKUP(AF829,OFFSET(abbreviation[],0,ColumnLanguage),ColumnAbbreviation,FALSE),"")</f>
        <v/>
      </c>
      <c r="BW829" s="21" t="str">
        <f ca="1">IFERROR(VLOOKUP(AH829,OFFSET(abbreviation[],0,ColumnLanguage),ColumnAbbreviation,FALSE),"")</f>
        <v/>
      </c>
      <c r="BX829" s="21" t="str">
        <f ca="1">IFERROR(VLOOKUP(AJ829,OFFSET(abbreviation[],0,ColumnLanguage),ColumnAbbreviation,FALSE),"")</f>
        <v/>
      </c>
      <c r="BY829" s="21" t="str">
        <f ca="1">IFERROR(VLOOKUP(AL829,OFFSET(abbreviation[],0,ColumnLanguage),ColumnAbbreviation,FALSE),"")</f>
        <v/>
      </c>
      <c r="BZ829" s="21" t="str">
        <f t="shared" ca="1" si="86"/>
        <v>_</v>
      </c>
      <c r="CA829" s="21" t="str">
        <f ca="1">IFERROR(VLOOKUP(AP829,OFFSET(abbreviation[],0,ColumnLanguage),ColumnAbbreviation,FALSE),"")</f>
        <v/>
      </c>
      <c r="CB829" s="21" t="str">
        <f ca="1">IFERROR(VLOOKUP(AR829,OFFSET(abbreviation[],0,ColumnLanguage),ColumnAbbreviation,FALSE),"")</f>
        <v/>
      </c>
      <c r="CC829" s="21" t="str">
        <f ca="1">IFERROR(VLOOKUP(AT829,OFFSET(abbreviation[],0,ColumnLanguage),ColumnAbbreviation,FALSE),"")</f>
        <v/>
      </c>
      <c r="CD829" s="21" t="str">
        <f ca="1">IFERROR(VLOOKUP(AV829,OFFSET(abbreviation[],0,ColumnLanguage),ColumnAbbreviation,FALSE),"")</f>
        <v/>
      </c>
      <c r="CE829" s="21" t="str">
        <f t="shared" ca="1" si="87"/>
        <v>__</v>
      </c>
      <c r="CF829" s="21" t="str">
        <f ca="1">IFERROR(VLOOKUP(AX829,OFFSET(abbreviation[],0,ColumnLanguage),ColumnAbbreviation,FALSE),"")</f>
        <v/>
      </c>
      <c r="CG829" s="21" t="str">
        <f ca="1">IFERROR(VLOOKUP(AZ829,OFFSET(abbreviation[],0,ColumnLanguage),ColumnAbbreviation,FALSE),"")</f>
        <v/>
      </c>
      <c r="CH829" s="21" t="str">
        <f ca="1">IFERROR(VLOOKUP(BB829,OFFSET(abbreviation[],0,ColumnLanguage),ColumnAbbreviation,FALSE),"")</f>
        <v/>
      </c>
      <c r="CI829" s="21" t="str">
        <f ca="1">IFERROR(VLOOKUP(BD829,OFFSET(abbreviation[],0,ColumnLanguage),ColumnAbbreviation,FALSE),"")</f>
        <v/>
      </c>
      <c r="CJ829" s="21" t="str">
        <f ca="1">IFERROR(VLOOKUP(BF829,OFFSET(abbreviation[],0,ColumnLanguage),ColumnAbbreviation,FALSE),"")</f>
        <v/>
      </c>
      <c r="CK829" s="21" t="str">
        <f t="shared" ca="1" si="88"/>
        <v/>
      </c>
      <c r="CL829" s="21" t="str">
        <f t="shared" si="89"/>
        <v/>
      </c>
      <c r="CM829" s="52"/>
      <c r="CN829" s="57" t="str">
        <f t="shared" si="90"/>
        <v/>
      </c>
    </row>
    <row r="830" spans="17:92" x14ac:dyDescent="0.25">
      <c r="Q830" s="13"/>
      <c r="V830" s="60"/>
      <c r="X830" s="61"/>
      <c r="AN830" s="54"/>
      <c r="AS830" s="15"/>
      <c r="BH830" s="52"/>
      <c r="BI830" s="21" t="str">
        <f ca="1">IFERROR(VLOOKUP(C830,OFFSET(abbreviation[],0,ColumnLanguage),ColumnAbbreviation,FALSE),"")</f>
        <v/>
      </c>
      <c r="BJ830" s="21" t="str">
        <f ca="1">IFERROR(VLOOKUP(E830,OFFSET(abbreviation[],0,ColumnLanguage),ColumnAbbreviation,FALSE),"")</f>
        <v/>
      </c>
      <c r="BK830" s="21" t="str">
        <f ca="1">IFERROR(VLOOKUP(G830,OFFSET(abbreviation[],0,ColumnLanguage),ColumnAbbreviation,FALSE),"")</f>
        <v/>
      </c>
      <c r="BL830" s="21" t="str">
        <f ca="1">IFERROR(VLOOKUP(I830,OFFSET(abbreviation[],0,ColumnLanguage),ColumnAbbreviation,FALSE),"")</f>
        <v/>
      </c>
      <c r="BM830" s="21" t="str">
        <f ca="1">IFERROR(VLOOKUP(K830,OFFSET(abbreviation[],0,ColumnLanguage),ColumnAbbreviation,FALSE),"")</f>
        <v/>
      </c>
      <c r="BN830" s="21" t="str">
        <f t="shared" ca="1" si="84"/>
        <v/>
      </c>
      <c r="BO830" s="21" t="str">
        <f ca="1">IFERROR(VLOOKUP(N830,OFFSET(abbreviation[],0,ColumnLanguage),ColumnAbbreviation,FALSE),"")</f>
        <v/>
      </c>
      <c r="BP830" s="21" t="str">
        <f ca="1">IFERROR(VLOOKUP(P830,OFFSET(abbreviation[],0,ColumnLanguage),ColumnAbbreviation,FALSE),"")</f>
        <v/>
      </c>
      <c r="BQ830" s="21" t="str">
        <f ca="1">IFERROR(VLOOKUP(T830,OFFSET(abbreviation[],0,ColumnLanguage),ColumnAbbreviation,FALSE),"")</f>
        <v/>
      </c>
      <c r="BR830" s="21" t="str">
        <f ca="1">IFERROR(VLOOKUP(V830,OFFSET(abbreviation[],0,ColumnLanguage),ColumnAbbreviation,FALSE),"")</f>
        <v/>
      </c>
      <c r="BS830" s="21" t="str">
        <f ca="1">IFERROR(VLOOKUP(Z830,OFFSET(abbreviation[],0,ColumnLanguage),ColumnAbbreviation,FALSE),"")</f>
        <v/>
      </c>
      <c r="BT830" s="21" t="str">
        <f ca="1">IFERROR(VLOOKUP(AB830,OFFSET(abbreviation[],0,ColumnLanguage),ColumnAbbreviation,FALSE),"")</f>
        <v/>
      </c>
      <c r="BU830" s="21" t="str">
        <f t="shared" ca="1" si="85"/>
        <v>__</v>
      </c>
      <c r="BV830" s="21" t="str">
        <f ca="1">IFERROR(VLOOKUP(AF830,OFFSET(abbreviation[],0,ColumnLanguage),ColumnAbbreviation,FALSE),"")</f>
        <v/>
      </c>
      <c r="BW830" s="21" t="str">
        <f ca="1">IFERROR(VLOOKUP(AH830,OFFSET(abbreviation[],0,ColumnLanguage),ColumnAbbreviation,FALSE),"")</f>
        <v/>
      </c>
      <c r="BX830" s="21" t="str">
        <f ca="1">IFERROR(VLOOKUP(AJ830,OFFSET(abbreviation[],0,ColumnLanguage),ColumnAbbreviation,FALSE),"")</f>
        <v/>
      </c>
      <c r="BY830" s="21" t="str">
        <f ca="1">IFERROR(VLOOKUP(AL830,OFFSET(abbreviation[],0,ColumnLanguage),ColumnAbbreviation,FALSE),"")</f>
        <v/>
      </c>
      <c r="BZ830" s="21" t="str">
        <f t="shared" ca="1" si="86"/>
        <v>_</v>
      </c>
      <c r="CA830" s="21" t="str">
        <f ca="1">IFERROR(VLOOKUP(AP830,OFFSET(abbreviation[],0,ColumnLanguage),ColumnAbbreviation,FALSE),"")</f>
        <v/>
      </c>
      <c r="CB830" s="21" t="str">
        <f ca="1">IFERROR(VLOOKUP(AR830,OFFSET(abbreviation[],0,ColumnLanguage),ColumnAbbreviation,FALSE),"")</f>
        <v/>
      </c>
      <c r="CC830" s="21" t="str">
        <f ca="1">IFERROR(VLOOKUP(AT830,OFFSET(abbreviation[],0,ColumnLanguage),ColumnAbbreviation,FALSE),"")</f>
        <v/>
      </c>
      <c r="CD830" s="21" t="str">
        <f ca="1">IFERROR(VLOOKUP(AV830,OFFSET(abbreviation[],0,ColumnLanguage),ColumnAbbreviation,FALSE),"")</f>
        <v/>
      </c>
      <c r="CE830" s="21" t="str">
        <f t="shared" ca="1" si="87"/>
        <v>__</v>
      </c>
      <c r="CF830" s="21" t="str">
        <f ca="1">IFERROR(VLOOKUP(AX830,OFFSET(abbreviation[],0,ColumnLanguage),ColumnAbbreviation,FALSE),"")</f>
        <v/>
      </c>
      <c r="CG830" s="21" t="str">
        <f ca="1">IFERROR(VLOOKUP(AZ830,OFFSET(abbreviation[],0,ColumnLanguage),ColumnAbbreviation,FALSE),"")</f>
        <v/>
      </c>
      <c r="CH830" s="21" t="str">
        <f ca="1">IFERROR(VLOOKUP(BB830,OFFSET(abbreviation[],0,ColumnLanguage),ColumnAbbreviation,FALSE),"")</f>
        <v/>
      </c>
      <c r="CI830" s="21" t="str">
        <f ca="1">IFERROR(VLOOKUP(BD830,OFFSET(abbreviation[],0,ColumnLanguage),ColumnAbbreviation,FALSE),"")</f>
        <v/>
      </c>
      <c r="CJ830" s="21" t="str">
        <f ca="1">IFERROR(VLOOKUP(BF830,OFFSET(abbreviation[],0,ColumnLanguage),ColumnAbbreviation,FALSE),"")</f>
        <v/>
      </c>
      <c r="CK830" s="21" t="str">
        <f t="shared" ca="1" si="88"/>
        <v/>
      </c>
      <c r="CL830" s="21" t="str">
        <f t="shared" si="89"/>
        <v/>
      </c>
      <c r="CM830" s="52"/>
      <c r="CN830" s="57" t="str">
        <f t="shared" si="90"/>
        <v/>
      </c>
    </row>
    <row r="831" spans="17:92" x14ac:dyDescent="0.25">
      <c r="Q831" s="13"/>
      <c r="V831" s="60"/>
      <c r="X831" s="61"/>
      <c r="AN831" s="54"/>
      <c r="AS831" s="15"/>
      <c r="BH831" s="52"/>
      <c r="BI831" s="21" t="str">
        <f ca="1">IFERROR(VLOOKUP(C831,OFFSET(abbreviation[],0,ColumnLanguage),ColumnAbbreviation,FALSE),"")</f>
        <v/>
      </c>
      <c r="BJ831" s="21" t="str">
        <f ca="1">IFERROR(VLOOKUP(E831,OFFSET(abbreviation[],0,ColumnLanguage),ColumnAbbreviation,FALSE),"")</f>
        <v/>
      </c>
      <c r="BK831" s="21" t="str">
        <f ca="1">IFERROR(VLOOKUP(G831,OFFSET(abbreviation[],0,ColumnLanguage),ColumnAbbreviation,FALSE),"")</f>
        <v/>
      </c>
      <c r="BL831" s="21" t="str">
        <f ca="1">IFERROR(VLOOKUP(I831,OFFSET(abbreviation[],0,ColumnLanguage),ColumnAbbreviation,FALSE),"")</f>
        <v/>
      </c>
      <c r="BM831" s="21" t="str">
        <f ca="1">IFERROR(VLOOKUP(K831,OFFSET(abbreviation[],0,ColumnLanguage),ColumnAbbreviation,FALSE),"")</f>
        <v/>
      </c>
      <c r="BN831" s="21" t="str">
        <f t="shared" ca="1" si="84"/>
        <v/>
      </c>
      <c r="BO831" s="21" t="str">
        <f ca="1">IFERROR(VLOOKUP(N831,OFFSET(abbreviation[],0,ColumnLanguage),ColumnAbbreviation,FALSE),"")</f>
        <v/>
      </c>
      <c r="BP831" s="21" t="str">
        <f ca="1">IFERROR(VLOOKUP(P831,OFFSET(abbreviation[],0,ColumnLanguage),ColumnAbbreviation,FALSE),"")</f>
        <v/>
      </c>
      <c r="BQ831" s="21" t="str">
        <f ca="1">IFERROR(VLOOKUP(T831,OFFSET(abbreviation[],0,ColumnLanguage),ColumnAbbreviation,FALSE),"")</f>
        <v/>
      </c>
      <c r="BR831" s="21" t="str">
        <f ca="1">IFERROR(VLOOKUP(V831,OFFSET(abbreviation[],0,ColumnLanguage),ColumnAbbreviation,FALSE),"")</f>
        <v/>
      </c>
      <c r="BS831" s="21" t="str">
        <f ca="1">IFERROR(VLOOKUP(Z831,OFFSET(abbreviation[],0,ColumnLanguage),ColumnAbbreviation,FALSE),"")</f>
        <v/>
      </c>
      <c r="BT831" s="21" t="str">
        <f ca="1">IFERROR(VLOOKUP(AB831,OFFSET(abbreviation[],0,ColumnLanguage),ColumnAbbreviation,FALSE),"")</f>
        <v/>
      </c>
      <c r="BU831" s="21" t="str">
        <f t="shared" ca="1" si="85"/>
        <v>__</v>
      </c>
      <c r="BV831" s="21" t="str">
        <f ca="1">IFERROR(VLOOKUP(AF831,OFFSET(abbreviation[],0,ColumnLanguage),ColumnAbbreviation,FALSE),"")</f>
        <v/>
      </c>
      <c r="BW831" s="21" t="str">
        <f ca="1">IFERROR(VLOOKUP(AH831,OFFSET(abbreviation[],0,ColumnLanguage),ColumnAbbreviation,FALSE),"")</f>
        <v/>
      </c>
      <c r="BX831" s="21" t="str">
        <f ca="1">IFERROR(VLOOKUP(AJ831,OFFSET(abbreviation[],0,ColumnLanguage),ColumnAbbreviation,FALSE),"")</f>
        <v/>
      </c>
      <c r="BY831" s="21" t="str">
        <f ca="1">IFERROR(VLOOKUP(AL831,OFFSET(abbreviation[],0,ColumnLanguage),ColumnAbbreviation,FALSE),"")</f>
        <v/>
      </c>
      <c r="BZ831" s="21" t="str">
        <f t="shared" ca="1" si="86"/>
        <v>_</v>
      </c>
      <c r="CA831" s="21" t="str">
        <f ca="1">IFERROR(VLOOKUP(AP831,OFFSET(abbreviation[],0,ColumnLanguage),ColumnAbbreviation,FALSE),"")</f>
        <v/>
      </c>
      <c r="CB831" s="21" t="str">
        <f ca="1">IFERROR(VLOOKUP(AR831,OFFSET(abbreviation[],0,ColumnLanguage),ColumnAbbreviation,FALSE),"")</f>
        <v/>
      </c>
      <c r="CC831" s="21" t="str">
        <f ca="1">IFERROR(VLOOKUP(AT831,OFFSET(abbreviation[],0,ColumnLanguage),ColumnAbbreviation,FALSE),"")</f>
        <v/>
      </c>
      <c r="CD831" s="21" t="str">
        <f ca="1">IFERROR(VLOOKUP(AV831,OFFSET(abbreviation[],0,ColumnLanguage),ColumnAbbreviation,FALSE),"")</f>
        <v/>
      </c>
      <c r="CE831" s="21" t="str">
        <f t="shared" ca="1" si="87"/>
        <v>__</v>
      </c>
      <c r="CF831" s="21" t="str">
        <f ca="1">IFERROR(VLOOKUP(AX831,OFFSET(abbreviation[],0,ColumnLanguage),ColumnAbbreviation,FALSE),"")</f>
        <v/>
      </c>
      <c r="CG831" s="21" t="str">
        <f ca="1">IFERROR(VLOOKUP(AZ831,OFFSET(abbreviation[],0,ColumnLanguage),ColumnAbbreviation,FALSE),"")</f>
        <v/>
      </c>
      <c r="CH831" s="21" t="str">
        <f ca="1">IFERROR(VLOOKUP(BB831,OFFSET(abbreviation[],0,ColumnLanguage),ColumnAbbreviation,FALSE),"")</f>
        <v/>
      </c>
      <c r="CI831" s="21" t="str">
        <f ca="1">IFERROR(VLOOKUP(BD831,OFFSET(abbreviation[],0,ColumnLanguage),ColumnAbbreviation,FALSE),"")</f>
        <v/>
      </c>
      <c r="CJ831" s="21" t="str">
        <f ca="1">IFERROR(VLOOKUP(BF831,OFFSET(abbreviation[],0,ColumnLanguage),ColumnAbbreviation,FALSE),"")</f>
        <v/>
      </c>
      <c r="CK831" s="21" t="str">
        <f t="shared" ca="1" si="88"/>
        <v/>
      </c>
      <c r="CL831" s="21" t="str">
        <f t="shared" si="89"/>
        <v/>
      </c>
      <c r="CM831" s="52"/>
      <c r="CN831" s="57" t="str">
        <f t="shared" si="90"/>
        <v/>
      </c>
    </row>
    <row r="832" spans="17:92" x14ac:dyDescent="0.25">
      <c r="Q832" s="13"/>
      <c r="V832" s="60"/>
      <c r="X832" s="61"/>
      <c r="AN832" s="54"/>
      <c r="AS832" s="15"/>
      <c r="BH832" s="52"/>
      <c r="BI832" s="21" t="str">
        <f ca="1">IFERROR(VLOOKUP(C832,OFFSET(abbreviation[],0,ColumnLanguage),ColumnAbbreviation,FALSE),"")</f>
        <v/>
      </c>
      <c r="BJ832" s="21" t="str">
        <f ca="1">IFERROR(VLOOKUP(E832,OFFSET(abbreviation[],0,ColumnLanguage),ColumnAbbreviation,FALSE),"")</f>
        <v/>
      </c>
      <c r="BK832" s="21" t="str">
        <f ca="1">IFERROR(VLOOKUP(G832,OFFSET(abbreviation[],0,ColumnLanguage),ColumnAbbreviation,FALSE),"")</f>
        <v/>
      </c>
      <c r="BL832" s="21" t="str">
        <f ca="1">IFERROR(VLOOKUP(I832,OFFSET(abbreviation[],0,ColumnLanguage),ColumnAbbreviation,FALSE),"")</f>
        <v/>
      </c>
      <c r="BM832" s="21" t="str">
        <f ca="1">IFERROR(VLOOKUP(K832,OFFSET(abbreviation[],0,ColumnLanguage),ColumnAbbreviation,FALSE),"")</f>
        <v/>
      </c>
      <c r="BN832" s="21" t="str">
        <f t="shared" ca="1" si="84"/>
        <v/>
      </c>
      <c r="BO832" s="21" t="str">
        <f ca="1">IFERROR(VLOOKUP(N832,OFFSET(abbreviation[],0,ColumnLanguage),ColumnAbbreviation,FALSE),"")</f>
        <v/>
      </c>
      <c r="BP832" s="21" t="str">
        <f ca="1">IFERROR(VLOOKUP(P832,OFFSET(abbreviation[],0,ColumnLanguage),ColumnAbbreviation,FALSE),"")</f>
        <v/>
      </c>
      <c r="BQ832" s="21" t="str">
        <f ca="1">IFERROR(VLOOKUP(T832,OFFSET(abbreviation[],0,ColumnLanguage),ColumnAbbreviation,FALSE),"")</f>
        <v/>
      </c>
      <c r="BR832" s="21" t="str">
        <f ca="1">IFERROR(VLOOKUP(V832,OFFSET(abbreviation[],0,ColumnLanguage),ColumnAbbreviation,FALSE),"")</f>
        <v/>
      </c>
      <c r="BS832" s="21" t="str">
        <f ca="1">IFERROR(VLOOKUP(Z832,OFFSET(abbreviation[],0,ColumnLanguage),ColumnAbbreviation,FALSE),"")</f>
        <v/>
      </c>
      <c r="BT832" s="21" t="str">
        <f ca="1">IFERROR(VLOOKUP(AB832,OFFSET(abbreviation[],0,ColumnLanguage),ColumnAbbreviation,FALSE),"")</f>
        <v/>
      </c>
      <c r="BU832" s="21" t="str">
        <f t="shared" ca="1" si="85"/>
        <v>__</v>
      </c>
      <c r="BV832" s="21" t="str">
        <f ca="1">IFERROR(VLOOKUP(AF832,OFFSET(abbreviation[],0,ColumnLanguage),ColumnAbbreviation,FALSE),"")</f>
        <v/>
      </c>
      <c r="BW832" s="21" t="str">
        <f ca="1">IFERROR(VLOOKUP(AH832,OFFSET(abbreviation[],0,ColumnLanguage),ColumnAbbreviation,FALSE),"")</f>
        <v/>
      </c>
      <c r="BX832" s="21" t="str">
        <f ca="1">IFERROR(VLOOKUP(AJ832,OFFSET(abbreviation[],0,ColumnLanguage),ColumnAbbreviation,FALSE),"")</f>
        <v/>
      </c>
      <c r="BY832" s="21" t="str">
        <f ca="1">IFERROR(VLOOKUP(AL832,OFFSET(abbreviation[],0,ColumnLanguage),ColumnAbbreviation,FALSE),"")</f>
        <v/>
      </c>
      <c r="BZ832" s="21" t="str">
        <f t="shared" ca="1" si="86"/>
        <v>_</v>
      </c>
      <c r="CA832" s="21" t="str">
        <f ca="1">IFERROR(VLOOKUP(AP832,OFFSET(abbreviation[],0,ColumnLanguage),ColumnAbbreviation,FALSE),"")</f>
        <v/>
      </c>
      <c r="CB832" s="21" t="str">
        <f ca="1">IFERROR(VLOOKUP(AR832,OFFSET(abbreviation[],0,ColumnLanguage),ColumnAbbreviation,FALSE),"")</f>
        <v/>
      </c>
      <c r="CC832" s="21" t="str">
        <f ca="1">IFERROR(VLOOKUP(AT832,OFFSET(abbreviation[],0,ColumnLanguage),ColumnAbbreviation,FALSE),"")</f>
        <v/>
      </c>
      <c r="CD832" s="21" t="str">
        <f ca="1">IFERROR(VLOOKUP(AV832,OFFSET(abbreviation[],0,ColumnLanguage),ColumnAbbreviation,FALSE),"")</f>
        <v/>
      </c>
      <c r="CE832" s="21" t="str">
        <f t="shared" ca="1" si="87"/>
        <v>__</v>
      </c>
      <c r="CF832" s="21" t="str">
        <f ca="1">IFERROR(VLOOKUP(AX832,OFFSET(abbreviation[],0,ColumnLanguage),ColumnAbbreviation,FALSE),"")</f>
        <v/>
      </c>
      <c r="CG832" s="21" t="str">
        <f ca="1">IFERROR(VLOOKUP(AZ832,OFFSET(abbreviation[],0,ColumnLanguage),ColumnAbbreviation,FALSE),"")</f>
        <v/>
      </c>
      <c r="CH832" s="21" t="str">
        <f ca="1">IFERROR(VLOOKUP(BB832,OFFSET(abbreviation[],0,ColumnLanguage),ColumnAbbreviation,FALSE),"")</f>
        <v/>
      </c>
      <c r="CI832" s="21" t="str">
        <f ca="1">IFERROR(VLOOKUP(BD832,OFFSET(abbreviation[],0,ColumnLanguage),ColumnAbbreviation,FALSE),"")</f>
        <v/>
      </c>
      <c r="CJ832" s="21" t="str">
        <f ca="1">IFERROR(VLOOKUP(BF832,OFFSET(abbreviation[],0,ColumnLanguage),ColumnAbbreviation,FALSE),"")</f>
        <v/>
      </c>
      <c r="CK832" s="21" t="str">
        <f t="shared" ca="1" si="88"/>
        <v/>
      </c>
      <c r="CL832" s="21" t="str">
        <f t="shared" si="89"/>
        <v/>
      </c>
      <c r="CM832" s="52"/>
      <c r="CN832" s="57" t="str">
        <f t="shared" si="90"/>
        <v/>
      </c>
    </row>
    <row r="833" spans="17:92" x14ac:dyDescent="0.25">
      <c r="Q833" s="13"/>
      <c r="V833" s="60"/>
      <c r="X833" s="61"/>
      <c r="AN833" s="54"/>
      <c r="AS833" s="15"/>
      <c r="BH833" s="52"/>
      <c r="BI833" s="21" t="str">
        <f ca="1">IFERROR(VLOOKUP(C833,OFFSET(abbreviation[],0,ColumnLanguage),ColumnAbbreviation,FALSE),"")</f>
        <v/>
      </c>
      <c r="BJ833" s="21" t="str">
        <f ca="1">IFERROR(VLOOKUP(E833,OFFSET(abbreviation[],0,ColumnLanguage),ColumnAbbreviation,FALSE),"")</f>
        <v/>
      </c>
      <c r="BK833" s="21" t="str">
        <f ca="1">IFERROR(VLOOKUP(G833,OFFSET(abbreviation[],0,ColumnLanguage),ColumnAbbreviation,FALSE),"")</f>
        <v/>
      </c>
      <c r="BL833" s="21" t="str">
        <f ca="1">IFERROR(VLOOKUP(I833,OFFSET(abbreviation[],0,ColumnLanguage),ColumnAbbreviation,FALSE),"")</f>
        <v/>
      </c>
      <c r="BM833" s="21" t="str">
        <f ca="1">IFERROR(VLOOKUP(K833,OFFSET(abbreviation[],0,ColumnLanguage),ColumnAbbreviation,FALSE),"")</f>
        <v/>
      </c>
      <c r="BN833" s="21" t="str">
        <f t="shared" ca="1" si="84"/>
        <v/>
      </c>
      <c r="BO833" s="21" t="str">
        <f ca="1">IFERROR(VLOOKUP(N833,OFFSET(abbreviation[],0,ColumnLanguage),ColumnAbbreviation,FALSE),"")</f>
        <v/>
      </c>
      <c r="BP833" s="21" t="str">
        <f ca="1">IFERROR(VLOOKUP(P833,OFFSET(abbreviation[],0,ColumnLanguage),ColumnAbbreviation,FALSE),"")</f>
        <v/>
      </c>
      <c r="BQ833" s="21" t="str">
        <f ca="1">IFERROR(VLOOKUP(T833,OFFSET(abbreviation[],0,ColumnLanguage),ColumnAbbreviation,FALSE),"")</f>
        <v/>
      </c>
      <c r="BR833" s="21" t="str">
        <f ca="1">IFERROR(VLOOKUP(V833,OFFSET(abbreviation[],0,ColumnLanguage),ColumnAbbreviation,FALSE),"")</f>
        <v/>
      </c>
      <c r="BS833" s="21" t="str">
        <f ca="1">IFERROR(VLOOKUP(Z833,OFFSET(abbreviation[],0,ColumnLanguage),ColumnAbbreviation,FALSE),"")</f>
        <v/>
      </c>
      <c r="BT833" s="21" t="str">
        <f ca="1">IFERROR(VLOOKUP(AB833,OFFSET(abbreviation[],0,ColumnLanguage),ColumnAbbreviation,FALSE),"")</f>
        <v/>
      </c>
      <c r="BU833" s="21" t="str">
        <f t="shared" ca="1" si="85"/>
        <v>__</v>
      </c>
      <c r="BV833" s="21" t="str">
        <f ca="1">IFERROR(VLOOKUP(AF833,OFFSET(abbreviation[],0,ColumnLanguage),ColumnAbbreviation,FALSE),"")</f>
        <v/>
      </c>
      <c r="BW833" s="21" t="str">
        <f ca="1">IFERROR(VLOOKUP(AH833,OFFSET(abbreviation[],0,ColumnLanguage),ColumnAbbreviation,FALSE),"")</f>
        <v/>
      </c>
      <c r="BX833" s="21" t="str">
        <f ca="1">IFERROR(VLOOKUP(AJ833,OFFSET(abbreviation[],0,ColumnLanguage),ColumnAbbreviation,FALSE),"")</f>
        <v/>
      </c>
      <c r="BY833" s="21" t="str">
        <f ca="1">IFERROR(VLOOKUP(AL833,OFFSET(abbreviation[],0,ColumnLanguage),ColumnAbbreviation,FALSE),"")</f>
        <v/>
      </c>
      <c r="BZ833" s="21" t="str">
        <f t="shared" ca="1" si="86"/>
        <v>_</v>
      </c>
      <c r="CA833" s="21" t="str">
        <f ca="1">IFERROR(VLOOKUP(AP833,OFFSET(abbreviation[],0,ColumnLanguage),ColumnAbbreviation,FALSE),"")</f>
        <v/>
      </c>
      <c r="CB833" s="21" t="str">
        <f ca="1">IFERROR(VLOOKUP(AR833,OFFSET(abbreviation[],0,ColumnLanguage),ColumnAbbreviation,FALSE),"")</f>
        <v/>
      </c>
      <c r="CC833" s="21" t="str">
        <f ca="1">IFERROR(VLOOKUP(AT833,OFFSET(abbreviation[],0,ColumnLanguage),ColumnAbbreviation,FALSE),"")</f>
        <v/>
      </c>
      <c r="CD833" s="21" t="str">
        <f ca="1">IFERROR(VLOOKUP(AV833,OFFSET(abbreviation[],0,ColumnLanguage),ColumnAbbreviation,FALSE),"")</f>
        <v/>
      </c>
      <c r="CE833" s="21" t="str">
        <f t="shared" ca="1" si="87"/>
        <v>__</v>
      </c>
      <c r="CF833" s="21" t="str">
        <f ca="1">IFERROR(VLOOKUP(AX833,OFFSET(abbreviation[],0,ColumnLanguage),ColumnAbbreviation,FALSE),"")</f>
        <v/>
      </c>
      <c r="CG833" s="21" t="str">
        <f ca="1">IFERROR(VLOOKUP(AZ833,OFFSET(abbreviation[],0,ColumnLanguage),ColumnAbbreviation,FALSE),"")</f>
        <v/>
      </c>
      <c r="CH833" s="21" t="str">
        <f ca="1">IFERROR(VLOOKUP(BB833,OFFSET(abbreviation[],0,ColumnLanguage),ColumnAbbreviation,FALSE),"")</f>
        <v/>
      </c>
      <c r="CI833" s="21" t="str">
        <f ca="1">IFERROR(VLOOKUP(BD833,OFFSET(abbreviation[],0,ColumnLanguage),ColumnAbbreviation,FALSE),"")</f>
        <v/>
      </c>
      <c r="CJ833" s="21" t="str">
        <f ca="1">IFERROR(VLOOKUP(BF833,OFFSET(abbreviation[],0,ColumnLanguage),ColumnAbbreviation,FALSE),"")</f>
        <v/>
      </c>
      <c r="CK833" s="21" t="str">
        <f t="shared" ca="1" si="88"/>
        <v/>
      </c>
      <c r="CL833" s="21" t="str">
        <f t="shared" si="89"/>
        <v/>
      </c>
      <c r="CM833" s="52"/>
      <c r="CN833" s="57" t="str">
        <f t="shared" si="90"/>
        <v/>
      </c>
    </row>
    <row r="834" spans="17:92" x14ac:dyDescent="0.25">
      <c r="Q834" s="13"/>
      <c r="V834" s="60"/>
      <c r="X834" s="61"/>
      <c r="AN834" s="54"/>
      <c r="AS834" s="15"/>
      <c r="BH834" s="52"/>
      <c r="BI834" s="21" t="str">
        <f ca="1">IFERROR(VLOOKUP(C834,OFFSET(abbreviation[],0,ColumnLanguage),ColumnAbbreviation,FALSE),"")</f>
        <v/>
      </c>
      <c r="BJ834" s="21" t="str">
        <f ca="1">IFERROR(VLOOKUP(E834,OFFSET(abbreviation[],0,ColumnLanguage),ColumnAbbreviation,FALSE),"")</f>
        <v/>
      </c>
      <c r="BK834" s="21" t="str">
        <f ca="1">IFERROR(VLOOKUP(G834,OFFSET(abbreviation[],0,ColumnLanguage),ColumnAbbreviation,FALSE),"")</f>
        <v/>
      </c>
      <c r="BL834" s="21" t="str">
        <f ca="1">IFERROR(VLOOKUP(I834,OFFSET(abbreviation[],0,ColumnLanguage),ColumnAbbreviation,FALSE),"")</f>
        <v/>
      </c>
      <c r="BM834" s="21" t="str">
        <f ca="1">IFERROR(VLOOKUP(K834,OFFSET(abbreviation[],0,ColumnLanguage),ColumnAbbreviation,FALSE),"")</f>
        <v/>
      </c>
      <c r="BN834" s="21" t="str">
        <f t="shared" ca="1" si="84"/>
        <v/>
      </c>
      <c r="BO834" s="21" t="str">
        <f ca="1">IFERROR(VLOOKUP(N834,OFFSET(abbreviation[],0,ColumnLanguage),ColumnAbbreviation,FALSE),"")</f>
        <v/>
      </c>
      <c r="BP834" s="21" t="str">
        <f ca="1">IFERROR(VLOOKUP(P834,OFFSET(abbreviation[],0,ColumnLanguage),ColumnAbbreviation,FALSE),"")</f>
        <v/>
      </c>
      <c r="BQ834" s="21" t="str">
        <f ca="1">IFERROR(VLOOKUP(T834,OFFSET(abbreviation[],0,ColumnLanguage),ColumnAbbreviation,FALSE),"")</f>
        <v/>
      </c>
      <c r="BR834" s="21" t="str">
        <f ca="1">IFERROR(VLOOKUP(V834,OFFSET(abbreviation[],0,ColumnLanguage),ColumnAbbreviation,FALSE),"")</f>
        <v/>
      </c>
      <c r="BS834" s="21" t="str">
        <f ca="1">IFERROR(VLOOKUP(Z834,OFFSET(abbreviation[],0,ColumnLanguage),ColumnAbbreviation,FALSE),"")</f>
        <v/>
      </c>
      <c r="BT834" s="21" t="str">
        <f ca="1">IFERROR(VLOOKUP(AB834,OFFSET(abbreviation[],0,ColumnLanguage),ColumnAbbreviation,FALSE),"")</f>
        <v/>
      </c>
      <c r="BU834" s="21" t="str">
        <f t="shared" ca="1" si="85"/>
        <v>__</v>
      </c>
      <c r="BV834" s="21" t="str">
        <f ca="1">IFERROR(VLOOKUP(AF834,OFFSET(abbreviation[],0,ColumnLanguage),ColumnAbbreviation,FALSE),"")</f>
        <v/>
      </c>
      <c r="BW834" s="21" t="str">
        <f ca="1">IFERROR(VLOOKUP(AH834,OFFSET(abbreviation[],0,ColumnLanguage),ColumnAbbreviation,FALSE),"")</f>
        <v/>
      </c>
      <c r="BX834" s="21" t="str">
        <f ca="1">IFERROR(VLOOKUP(AJ834,OFFSET(abbreviation[],0,ColumnLanguage),ColumnAbbreviation,FALSE),"")</f>
        <v/>
      </c>
      <c r="BY834" s="21" t="str">
        <f ca="1">IFERROR(VLOOKUP(AL834,OFFSET(abbreviation[],0,ColumnLanguage),ColumnAbbreviation,FALSE),"")</f>
        <v/>
      </c>
      <c r="BZ834" s="21" t="str">
        <f t="shared" ca="1" si="86"/>
        <v>_</v>
      </c>
      <c r="CA834" s="21" t="str">
        <f ca="1">IFERROR(VLOOKUP(AP834,OFFSET(abbreviation[],0,ColumnLanguage),ColumnAbbreviation,FALSE),"")</f>
        <v/>
      </c>
      <c r="CB834" s="21" t="str">
        <f ca="1">IFERROR(VLOOKUP(AR834,OFFSET(abbreviation[],0,ColumnLanguage),ColumnAbbreviation,FALSE),"")</f>
        <v/>
      </c>
      <c r="CC834" s="21" t="str">
        <f ca="1">IFERROR(VLOOKUP(AT834,OFFSET(abbreviation[],0,ColumnLanguage),ColumnAbbreviation,FALSE),"")</f>
        <v/>
      </c>
      <c r="CD834" s="21" t="str">
        <f ca="1">IFERROR(VLOOKUP(AV834,OFFSET(abbreviation[],0,ColumnLanguage),ColumnAbbreviation,FALSE),"")</f>
        <v/>
      </c>
      <c r="CE834" s="21" t="str">
        <f t="shared" ca="1" si="87"/>
        <v>__</v>
      </c>
      <c r="CF834" s="21" t="str">
        <f ca="1">IFERROR(VLOOKUP(AX834,OFFSET(abbreviation[],0,ColumnLanguage),ColumnAbbreviation,FALSE),"")</f>
        <v/>
      </c>
      <c r="CG834" s="21" t="str">
        <f ca="1">IFERROR(VLOOKUP(AZ834,OFFSET(abbreviation[],0,ColumnLanguage),ColumnAbbreviation,FALSE),"")</f>
        <v/>
      </c>
      <c r="CH834" s="21" t="str">
        <f ca="1">IFERROR(VLOOKUP(BB834,OFFSET(abbreviation[],0,ColumnLanguage),ColumnAbbreviation,FALSE),"")</f>
        <v/>
      </c>
      <c r="CI834" s="21" t="str">
        <f ca="1">IFERROR(VLOOKUP(BD834,OFFSET(abbreviation[],0,ColumnLanguage),ColumnAbbreviation,FALSE),"")</f>
        <v/>
      </c>
      <c r="CJ834" s="21" t="str">
        <f ca="1">IFERROR(VLOOKUP(BF834,OFFSET(abbreviation[],0,ColumnLanguage),ColumnAbbreviation,FALSE),"")</f>
        <v/>
      </c>
      <c r="CK834" s="21" t="str">
        <f t="shared" ca="1" si="88"/>
        <v/>
      </c>
      <c r="CL834" s="21" t="str">
        <f t="shared" si="89"/>
        <v/>
      </c>
      <c r="CM834" s="52"/>
      <c r="CN834" s="57" t="str">
        <f t="shared" si="90"/>
        <v/>
      </c>
    </row>
    <row r="835" spans="17:92" x14ac:dyDescent="0.25">
      <c r="Q835" s="13"/>
      <c r="V835" s="60"/>
      <c r="X835" s="61"/>
      <c r="AN835" s="54"/>
      <c r="AS835" s="15"/>
      <c r="BH835" s="52"/>
      <c r="BI835" s="21" t="str">
        <f ca="1">IFERROR(VLOOKUP(C835,OFFSET(abbreviation[],0,ColumnLanguage),ColumnAbbreviation,FALSE),"")</f>
        <v/>
      </c>
      <c r="BJ835" s="21" t="str">
        <f ca="1">IFERROR(VLOOKUP(E835,OFFSET(abbreviation[],0,ColumnLanguage),ColumnAbbreviation,FALSE),"")</f>
        <v/>
      </c>
      <c r="BK835" s="21" t="str">
        <f ca="1">IFERROR(VLOOKUP(G835,OFFSET(abbreviation[],0,ColumnLanguage),ColumnAbbreviation,FALSE),"")</f>
        <v/>
      </c>
      <c r="BL835" s="21" t="str">
        <f ca="1">IFERROR(VLOOKUP(I835,OFFSET(abbreviation[],0,ColumnLanguage),ColumnAbbreviation,FALSE),"")</f>
        <v/>
      </c>
      <c r="BM835" s="21" t="str">
        <f ca="1">IFERROR(VLOOKUP(K835,OFFSET(abbreviation[],0,ColumnLanguage),ColumnAbbreviation,FALSE),"")</f>
        <v/>
      </c>
      <c r="BN835" s="21" t="str">
        <f t="shared" ca="1" si="84"/>
        <v/>
      </c>
      <c r="BO835" s="21" t="str">
        <f ca="1">IFERROR(VLOOKUP(N835,OFFSET(abbreviation[],0,ColumnLanguage),ColumnAbbreviation,FALSE),"")</f>
        <v/>
      </c>
      <c r="BP835" s="21" t="str">
        <f ca="1">IFERROR(VLOOKUP(P835,OFFSET(abbreviation[],0,ColumnLanguage),ColumnAbbreviation,FALSE),"")</f>
        <v/>
      </c>
      <c r="BQ835" s="21" t="str">
        <f ca="1">IFERROR(VLOOKUP(T835,OFFSET(abbreviation[],0,ColumnLanguage),ColumnAbbreviation,FALSE),"")</f>
        <v/>
      </c>
      <c r="BR835" s="21" t="str">
        <f ca="1">IFERROR(VLOOKUP(V835,OFFSET(abbreviation[],0,ColumnLanguage),ColumnAbbreviation,FALSE),"")</f>
        <v/>
      </c>
      <c r="BS835" s="21" t="str">
        <f ca="1">IFERROR(VLOOKUP(Z835,OFFSET(abbreviation[],0,ColumnLanguage),ColumnAbbreviation,FALSE),"")</f>
        <v/>
      </c>
      <c r="BT835" s="21" t="str">
        <f ca="1">IFERROR(VLOOKUP(AB835,OFFSET(abbreviation[],0,ColumnLanguage),ColumnAbbreviation,FALSE),"")</f>
        <v/>
      </c>
      <c r="BU835" s="21" t="str">
        <f t="shared" ca="1" si="85"/>
        <v>__</v>
      </c>
      <c r="BV835" s="21" t="str">
        <f ca="1">IFERROR(VLOOKUP(AF835,OFFSET(abbreviation[],0,ColumnLanguage),ColumnAbbreviation,FALSE),"")</f>
        <v/>
      </c>
      <c r="BW835" s="21" t="str">
        <f ca="1">IFERROR(VLOOKUP(AH835,OFFSET(abbreviation[],0,ColumnLanguage),ColumnAbbreviation,FALSE),"")</f>
        <v/>
      </c>
      <c r="BX835" s="21" t="str">
        <f ca="1">IFERROR(VLOOKUP(AJ835,OFFSET(abbreviation[],0,ColumnLanguage),ColumnAbbreviation,FALSE),"")</f>
        <v/>
      </c>
      <c r="BY835" s="21" t="str">
        <f ca="1">IFERROR(VLOOKUP(AL835,OFFSET(abbreviation[],0,ColumnLanguage),ColumnAbbreviation,FALSE),"")</f>
        <v/>
      </c>
      <c r="BZ835" s="21" t="str">
        <f t="shared" ca="1" si="86"/>
        <v>_</v>
      </c>
      <c r="CA835" s="21" t="str">
        <f ca="1">IFERROR(VLOOKUP(AP835,OFFSET(abbreviation[],0,ColumnLanguage),ColumnAbbreviation,FALSE),"")</f>
        <v/>
      </c>
      <c r="CB835" s="21" t="str">
        <f ca="1">IFERROR(VLOOKUP(AR835,OFFSET(abbreviation[],0,ColumnLanguage),ColumnAbbreviation,FALSE),"")</f>
        <v/>
      </c>
      <c r="CC835" s="21" t="str">
        <f ca="1">IFERROR(VLOOKUP(AT835,OFFSET(abbreviation[],0,ColumnLanguage),ColumnAbbreviation,FALSE),"")</f>
        <v/>
      </c>
      <c r="CD835" s="21" t="str">
        <f ca="1">IFERROR(VLOOKUP(AV835,OFFSET(abbreviation[],0,ColumnLanguage),ColumnAbbreviation,FALSE),"")</f>
        <v/>
      </c>
      <c r="CE835" s="21" t="str">
        <f t="shared" ca="1" si="87"/>
        <v>__</v>
      </c>
      <c r="CF835" s="21" t="str">
        <f ca="1">IFERROR(VLOOKUP(AX835,OFFSET(abbreviation[],0,ColumnLanguage),ColumnAbbreviation,FALSE),"")</f>
        <v/>
      </c>
      <c r="CG835" s="21" t="str">
        <f ca="1">IFERROR(VLOOKUP(AZ835,OFFSET(abbreviation[],0,ColumnLanguage),ColumnAbbreviation,FALSE),"")</f>
        <v/>
      </c>
      <c r="CH835" s="21" t="str">
        <f ca="1">IFERROR(VLOOKUP(BB835,OFFSET(abbreviation[],0,ColumnLanguage),ColumnAbbreviation,FALSE),"")</f>
        <v/>
      </c>
      <c r="CI835" s="21" t="str">
        <f ca="1">IFERROR(VLOOKUP(BD835,OFFSET(abbreviation[],0,ColumnLanguage),ColumnAbbreviation,FALSE),"")</f>
        <v/>
      </c>
      <c r="CJ835" s="21" t="str">
        <f ca="1">IFERROR(VLOOKUP(BF835,OFFSET(abbreviation[],0,ColumnLanguage),ColumnAbbreviation,FALSE),"")</f>
        <v/>
      </c>
      <c r="CK835" s="21" t="str">
        <f t="shared" ca="1" si="88"/>
        <v/>
      </c>
      <c r="CL835" s="21" t="str">
        <f t="shared" si="89"/>
        <v/>
      </c>
      <c r="CM835" s="52"/>
      <c r="CN835" s="57" t="str">
        <f t="shared" si="90"/>
        <v/>
      </c>
    </row>
    <row r="836" spans="17:92" x14ac:dyDescent="0.25">
      <c r="Q836" s="13"/>
      <c r="V836" s="60"/>
      <c r="X836" s="61"/>
      <c r="AN836" s="54"/>
      <c r="AS836" s="15"/>
      <c r="BH836" s="52"/>
      <c r="BI836" s="21" t="str">
        <f ca="1">IFERROR(VLOOKUP(C836,OFFSET(abbreviation[],0,ColumnLanguage),ColumnAbbreviation,FALSE),"")</f>
        <v/>
      </c>
      <c r="BJ836" s="21" t="str">
        <f ca="1">IFERROR(VLOOKUP(E836,OFFSET(abbreviation[],0,ColumnLanguage),ColumnAbbreviation,FALSE),"")</f>
        <v/>
      </c>
      <c r="BK836" s="21" t="str">
        <f ca="1">IFERROR(VLOOKUP(G836,OFFSET(abbreviation[],0,ColumnLanguage),ColumnAbbreviation,FALSE),"")</f>
        <v/>
      </c>
      <c r="BL836" s="21" t="str">
        <f ca="1">IFERROR(VLOOKUP(I836,OFFSET(abbreviation[],0,ColumnLanguage),ColumnAbbreviation,FALSE),"")</f>
        <v/>
      </c>
      <c r="BM836" s="21" t="str">
        <f ca="1">IFERROR(VLOOKUP(K836,OFFSET(abbreviation[],0,ColumnLanguage),ColumnAbbreviation,FALSE),"")</f>
        <v/>
      </c>
      <c r="BN836" s="21" t="str">
        <f t="shared" ref="BN836:BN899" ca="1" si="91">(BI836&amp;IF(OR(ISNUMBER(D836),ISTEXT(D836)),"-"&amp;D836,))&amp;(IF(ISTEXT(E836),"_",)&amp;BJ836&amp;IF(OR(ISNUMBER(F836),ISTEXT(F836)),"-"&amp;F836,))&amp;(IF(ISTEXT(G836),"_",)&amp;BK836&amp;IF(OR(ISNUMBER(H836),ISTEXT(H836)),"-"&amp;H836,))&amp;(IF(ISTEXT(I836),"_",)&amp;BL836&amp;IF(OR(ISNUMBER(J836),ISTEXT(J836)),"-"&amp;J836,))&amp;(IF(ISTEXT(K836),"_",)&amp;BM836&amp;IF(OR(ISNUMBER(L836),ISTEXT(L836)),"-"&amp;L836,)&amp;IF(AND(ISTEXT(BI836),BI836&lt;&gt;""),"_._",))</f>
        <v/>
      </c>
      <c r="BO836" s="21" t="str">
        <f ca="1">IFERROR(VLOOKUP(N836,OFFSET(abbreviation[],0,ColumnLanguage),ColumnAbbreviation,FALSE),"")</f>
        <v/>
      </c>
      <c r="BP836" s="21" t="str">
        <f ca="1">IFERROR(VLOOKUP(P836,OFFSET(abbreviation[],0,ColumnLanguage),ColumnAbbreviation,FALSE),"")</f>
        <v/>
      </c>
      <c r="BQ836" s="21" t="str">
        <f ca="1">IFERROR(VLOOKUP(T836,OFFSET(abbreviation[],0,ColumnLanguage),ColumnAbbreviation,FALSE),"")</f>
        <v/>
      </c>
      <c r="BR836" s="21" t="str">
        <f ca="1">IFERROR(VLOOKUP(V836,OFFSET(abbreviation[],0,ColumnLanguage),ColumnAbbreviation,FALSE),"")</f>
        <v/>
      </c>
      <c r="BS836" s="21" t="str">
        <f ca="1">IFERROR(VLOOKUP(Z836,OFFSET(abbreviation[],0,ColumnLanguage),ColumnAbbreviation,FALSE),"")</f>
        <v/>
      </c>
      <c r="BT836" s="21" t="str">
        <f ca="1">IFERROR(VLOOKUP(AB836,OFFSET(abbreviation[],0,ColumnLanguage),ColumnAbbreviation,FALSE),"")</f>
        <v/>
      </c>
      <c r="BU836" s="21" t="str">
        <f t="shared" ref="BU836:BU899" ca="1" si="92">(BO836&amp;IF(ISTEXT(P836),"."&amp;BP836,)&amp;IF(OR(ISTEXT(R836),ISNUMBER(R836)),"-"&amp;R836,))&amp;("_"&amp;BQ836&amp;IF(ISTEXT(V836),"."&amp;BR836,)&amp;IF(OR(ISTEXT(X836),ISNUMBER(X836)),"-"&amp;X836,))&amp;("_"&amp;BS836&amp;IF(ISTEXT(AB836),"."&amp;BT836,)&amp;IF(OR(ISTEXT(AD836),ISNUMBER(AD836)),"-"&amp;AD836,))</f>
        <v>__</v>
      </c>
      <c r="BV836" s="21" t="str">
        <f ca="1">IFERROR(VLOOKUP(AF836,OFFSET(abbreviation[],0,ColumnLanguage),ColumnAbbreviation,FALSE),"")</f>
        <v/>
      </c>
      <c r="BW836" s="21" t="str">
        <f ca="1">IFERROR(VLOOKUP(AH836,OFFSET(abbreviation[],0,ColumnLanguage),ColumnAbbreviation,FALSE),"")</f>
        <v/>
      </c>
      <c r="BX836" s="21" t="str">
        <f ca="1">IFERROR(VLOOKUP(AJ836,OFFSET(abbreviation[],0,ColumnLanguage),ColumnAbbreviation,FALSE),"")</f>
        <v/>
      </c>
      <c r="BY836" s="21" t="str">
        <f ca="1">IFERROR(VLOOKUP(AL836,OFFSET(abbreviation[],0,ColumnLanguage),ColumnAbbreviation,FALSE),"")</f>
        <v/>
      </c>
      <c r="BZ836" s="21" t="str">
        <f t="shared" ref="BZ836:BZ899" ca="1" si="93">("_"&amp;BV836&amp;IF(ISTEXT(AH836),"."&amp;BW836,)&amp;IF(ISTEXT(AJ836),"."&amp;BX836,)&amp;IF(ISTEXT(AL836),"."&amp;BY836,)&amp;IF(OR(ISTEXT(AN836),ISNUMBER(AN836)),"-"&amp;AN836,))</f>
        <v>_</v>
      </c>
      <c r="CA836" s="21" t="str">
        <f ca="1">IFERROR(VLOOKUP(AP836,OFFSET(abbreviation[],0,ColumnLanguage),ColumnAbbreviation,FALSE),"")</f>
        <v/>
      </c>
      <c r="CB836" s="21" t="str">
        <f ca="1">IFERROR(VLOOKUP(AR836,OFFSET(abbreviation[],0,ColumnLanguage),ColumnAbbreviation,FALSE),"")</f>
        <v/>
      </c>
      <c r="CC836" s="21" t="str">
        <f ca="1">IFERROR(VLOOKUP(AT836,OFFSET(abbreviation[],0,ColumnLanguage),ColumnAbbreviation,FALSE),"")</f>
        <v/>
      </c>
      <c r="CD836" s="21" t="str">
        <f ca="1">IFERROR(VLOOKUP(AV836,OFFSET(abbreviation[],0,ColumnLanguage),ColumnAbbreviation,FALSE),"")</f>
        <v/>
      </c>
      <c r="CE836" s="21" t="str">
        <f t="shared" ref="CE836:CE899" ca="1" si="94">("_"&amp;CA836&amp;IF(ISTEXT(AR836),"."&amp;CB836,)&amp;IF(ISTEXT(AT836),"."&amp;CC836,))&amp;"_"&amp;CD836</f>
        <v>__</v>
      </c>
      <c r="CF836" s="21" t="str">
        <f ca="1">IFERROR(VLOOKUP(AX836,OFFSET(abbreviation[],0,ColumnLanguage),ColumnAbbreviation,FALSE),"")</f>
        <v/>
      </c>
      <c r="CG836" s="21" t="str">
        <f ca="1">IFERROR(VLOOKUP(AZ836,OFFSET(abbreviation[],0,ColumnLanguage),ColumnAbbreviation,FALSE),"")</f>
        <v/>
      </c>
      <c r="CH836" s="21" t="str">
        <f ca="1">IFERROR(VLOOKUP(BB836,OFFSET(abbreviation[],0,ColumnLanguage),ColumnAbbreviation,FALSE),"")</f>
        <v/>
      </c>
      <c r="CI836" s="21" t="str">
        <f ca="1">IFERROR(VLOOKUP(BD836,OFFSET(abbreviation[],0,ColumnLanguage),ColumnAbbreviation,FALSE),"")</f>
        <v/>
      </c>
      <c r="CJ836" s="21" t="str">
        <f ca="1">IFERROR(VLOOKUP(BF836,OFFSET(abbreviation[],0,ColumnLanguage),ColumnAbbreviation,FALSE),"")</f>
        <v/>
      </c>
      <c r="CK836" s="21" t="str">
        <f t="shared" ref="CK836:CK899" ca="1" si="95">(IF(ISTEXT(AX836),"_._",""))&amp;(IF(ISTEXT(AX836),"_",)&amp;CF836&amp;IF(OR(ISNUMBER(AY836),ISTEXT(AY836)),"-"&amp;AY836,))&amp;(IF(ISTEXT(AZ836),"_",)&amp;CG836&amp;IF(OR(ISNUMBER(BA836),ISTEXT(BA836)),"-"&amp;BA836,))&amp;(IF(ISTEXT(BB836),"_",)&amp;CH836&amp;IF(OR(ISNUMBER(BC836),ISTEXT(BC836)),"-"&amp;BC836,))&amp;(IF(ISTEXT(BD836),"_",)&amp;CI836&amp;IF(OR(ISNUMBER(BE836),ISTEXT(BE836)),"-"&amp;BE836,))&amp;(IF(ISTEXT(BF836),"_",)&amp;CJ836&amp;IF(OR(ISNUMBER(BG836),ISTEXT(BG836)),"-"&amp;BG836,))</f>
        <v/>
      </c>
      <c r="CL836" s="21" t="str">
        <f t="shared" ref="CL836:CL899" si="96">IF(OR(N836&lt;&gt;"",T836&lt;&gt;"",C836&lt;&gt;"",A836&lt;&gt;""),(BN836&amp;BU836&amp;BZ836&amp;CE836&amp;CK836),"")</f>
        <v/>
      </c>
      <c r="CM836" s="52"/>
      <c r="CN836" s="57" t="str">
        <f t="shared" ref="CN836:CN899" si="97">CL836</f>
        <v/>
      </c>
    </row>
    <row r="837" spans="17:92" x14ac:dyDescent="0.25">
      <c r="Q837" s="13"/>
      <c r="V837" s="60"/>
      <c r="X837" s="61"/>
      <c r="AN837" s="54"/>
      <c r="AS837" s="15"/>
      <c r="BH837" s="52"/>
      <c r="BI837" s="21" t="str">
        <f ca="1">IFERROR(VLOOKUP(C837,OFFSET(abbreviation[],0,ColumnLanguage),ColumnAbbreviation,FALSE),"")</f>
        <v/>
      </c>
      <c r="BJ837" s="21" t="str">
        <f ca="1">IFERROR(VLOOKUP(E837,OFFSET(abbreviation[],0,ColumnLanguage),ColumnAbbreviation,FALSE),"")</f>
        <v/>
      </c>
      <c r="BK837" s="21" t="str">
        <f ca="1">IFERROR(VLOOKUP(G837,OFFSET(abbreviation[],0,ColumnLanguage),ColumnAbbreviation,FALSE),"")</f>
        <v/>
      </c>
      <c r="BL837" s="21" t="str">
        <f ca="1">IFERROR(VLOOKUP(I837,OFFSET(abbreviation[],0,ColumnLanguage),ColumnAbbreviation,FALSE),"")</f>
        <v/>
      </c>
      <c r="BM837" s="21" t="str">
        <f ca="1">IFERROR(VLOOKUP(K837,OFFSET(abbreviation[],0,ColumnLanguage),ColumnAbbreviation,FALSE),"")</f>
        <v/>
      </c>
      <c r="BN837" s="21" t="str">
        <f t="shared" ca="1" si="91"/>
        <v/>
      </c>
      <c r="BO837" s="21" t="str">
        <f ca="1">IFERROR(VLOOKUP(N837,OFFSET(abbreviation[],0,ColumnLanguage),ColumnAbbreviation,FALSE),"")</f>
        <v/>
      </c>
      <c r="BP837" s="21" t="str">
        <f ca="1">IFERROR(VLOOKUP(P837,OFFSET(abbreviation[],0,ColumnLanguage),ColumnAbbreviation,FALSE),"")</f>
        <v/>
      </c>
      <c r="BQ837" s="21" t="str">
        <f ca="1">IFERROR(VLOOKUP(T837,OFFSET(abbreviation[],0,ColumnLanguage),ColumnAbbreviation,FALSE),"")</f>
        <v/>
      </c>
      <c r="BR837" s="21" t="str">
        <f ca="1">IFERROR(VLOOKUP(V837,OFFSET(abbreviation[],0,ColumnLanguage),ColumnAbbreviation,FALSE),"")</f>
        <v/>
      </c>
      <c r="BS837" s="21" t="str">
        <f ca="1">IFERROR(VLOOKUP(Z837,OFFSET(abbreviation[],0,ColumnLanguage),ColumnAbbreviation,FALSE),"")</f>
        <v/>
      </c>
      <c r="BT837" s="21" t="str">
        <f ca="1">IFERROR(VLOOKUP(AB837,OFFSET(abbreviation[],0,ColumnLanguage),ColumnAbbreviation,FALSE),"")</f>
        <v/>
      </c>
      <c r="BU837" s="21" t="str">
        <f t="shared" ca="1" si="92"/>
        <v>__</v>
      </c>
      <c r="BV837" s="21" t="str">
        <f ca="1">IFERROR(VLOOKUP(AF837,OFFSET(abbreviation[],0,ColumnLanguage),ColumnAbbreviation,FALSE),"")</f>
        <v/>
      </c>
      <c r="BW837" s="21" t="str">
        <f ca="1">IFERROR(VLOOKUP(AH837,OFFSET(abbreviation[],0,ColumnLanguage),ColumnAbbreviation,FALSE),"")</f>
        <v/>
      </c>
      <c r="BX837" s="21" t="str">
        <f ca="1">IFERROR(VLOOKUP(AJ837,OFFSET(abbreviation[],0,ColumnLanguage),ColumnAbbreviation,FALSE),"")</f>
        <v/>
      </c>
      <c r="BY837" s="21" t="str">
        <f ca="1">IFERROR(VLOOKUP(AL837,OFFSET(abbreviation[],0,ColumnLanguage),ColumnAbbreviation,FALSE),"")</f>
        <v/>
      </c>
      <c r="BZ837" s="21" t="str">
        <f t="shared" ca="1" si="93"/>
        <v>_</v>
      </c>
      <c r="CA837" s="21" t="str">
        <f ca="1">IFERROR(VLOOKUP(AP837,OFFSET(abbreviation[],0,ColumnLanguage),ColumnAbbreviation,FALSE),"")</f>
        <v/>
      </c>
      <c r="CB837" s="21" t="str">
        <f ca="1">IFERROR(VLOOKUP(AR837,OFFSET(abbreviation[],0,ColumnLanguage),ColumnAbbreviation,FALSE),"")</f>
        <v/>
      </c>
      <c r="CC837" s="21" t="str">
        <f ca="1">IFERROR(VLOOKUP(AT837,OFFSET(abbreviation[],0,ColumnLanguage),ColumnAbbreviation,FALSE),"")</f>
        <v/>
      </c>
      <c r="CD837" s="21" t="str">
        <f ca="1">IFERROR(VLOOKUP(AV837,OFFSET(abbreviation[],0,ColumnLanguage),ColumnAbbreviation,FALSE),"")</f>
        <v/>
      </c>
      <c r="CE837" s="21" t="str">
        <f t="shared" ca="1" si="94"/>
        <v>__</v>
      </c>
      <c r="CF837" s="21" t="str">
        <f ca="1">IFERROR(VLOOKUP(AX837,OFFSET(abbreviation[],0,ColumnLanguage),ColumnAbbreviation,FALSE),"")</f>
        <v/>
      </c>
      <c r="CG837" s="21" t="str">
        <f ca="1">IFERROR(VLOOKUP(AZ837,OFFSET(abbreviation[],0,ColumnLanguage),ColumnAbbreviation,FALSE),"")</f>
        <v/>
      </c>
      <c r="CH837" s="21" t="str">
        <f ca="1">IFERROR(VLOOKUP(BB837,OFFSET(abbreviation[],0,ColumnLanguage),ColumnAbbreviation,FALSE),"")</f>
        <v/>
      </c>
      <c r="CI837" s="21" t="str">
        <f ca="1">IFERROR(VLOOKUP(BD837,OFFSET(abbreviation[],0,ColumnLanguage),ColumnAbbreviation,FALSE),"")</f>
        <v/>
      </c>
      <c r="CJ837" s="21" t="str">
        <f ca="1">IFERROR(VLOOKUP(BF837,OFFSET(abbreviation[],0,ColumnLanguage),ColumnAbbreviation,FALSE),"")</f>
        <v/>
      </c>
      <c r="CK837" s="21" t="str">
        <f t="shared" ca="1" si="95"/>
        <v/>
      </c>
      <c r="CL837" s="21" t="str">
        <f t="shared" si="96"/>
        <v/>
      </c>
      <c r="CM837" s="52"/>
      <c r="CN837" s="57" t="str">
        <f t="shared" si="97"/>
        <v/>
      </c>
    </row>
    <row r="838" spans="17:92" x14ac:dyDescent="0.25">
      <c r="Q838" s="13"/>
      <c r="V838" s="60"/>
      <c r="X838" s="61"/>
      <c r="AN838" s="54"/>
      <c r="AS838" s="15"/>
      <c r="BH838" s="52"/>
      <c r="BI838" s="21" t="str">
        <f ca="1">IFERROR(VLOOKUP(C838,OFFSET(abbreviation[],0,ColumnLanguage),ColumnAbbreviation,FALSE),"")</f>
        <v/>
      </c>
      <c r="BJ838" s="21" t="str">
        <f ca="1">IFERROR(VLOOKUP(E838,OFFSET(abbreviation[],0,ColumnLanguage),ColumnAbbreviation,FALSE),"")</f>
        <v/>
      </c>
      <c r="BK838" s="21" t="str">
        <f ca="1">IFERROR(VLOOKUP(G838,OFFSET(abbreviation[],0,ColumnLanguage),ColumnAbbreviation,FALSE),"")</f>
        <v/>
      </c>
      <c r="BL838" s="21" t="str">
        <f ca="1">IFERROR(VLOOKUP(I838,OFFSET(abbreviation[],0,ColumnLanguage),ColumnAbbreviation,FALSE),"")</f>
        <v/>
      </c>
      <c r="BM838" s="21" t="str">
        <f ca="1">IFERROR(VLOOKUP(K838,OFFSET(abbreviation[],0,ColumnLanguage),ColumnAbbreviation,FALSE),"")</f>
        <v/>
      </c>
      <c r="BN838" s="21" t="str">
        <f t="shared" ca="1" si="91"/>
        <v/>
      </c>
      <c r="BO838" s="21" t="str">
        <f ca="1">IFERROR(VLOOKUP(N838,OFFSET(abbreviation[],0,ColumnLanguage),ColumnAbbreviation,FALSE),"")</f>
        <v/>
      </c>
      <c r="BP838" s="21" t="str">
        <f ca="1">IFERROR(VLOOKUP(P838,OFFSET(abbreviation[],0,ColumnLanguage),ColumnAbbreviation,FALSE),"")</f>
        <v/>
      </c>
      <c r="BQ838" s="21" t="str">
        <f ca="1">IFERROR(VLOOKUP(T838,OFFSET(abbreviation[],0,ColumnLanguage),ColumnAbbreviation,FALSE),"")</f>
        <v/>
      </c>
      <c r="BR838" s="21" t="str">
        <f ca="1">IFERROR(VLOOKUP(V838,OFFSET(abbreviation[],0,ColumnLanguage),ColumnAbbreviation,FALSE),"")</f>
        <v/>
      </c>
      <c r="BS838" s="21" t="str">
        <f ca="1">IFERROR(VLOOKUP(Z838,OFFSET(abbreviation[],0,ColumnLanguage),ColumnAbbreviation,FALSE),"")</f>
        <v/>
      </c>
      <c r="BT838" s="21" t="str">
        <f ca="1">IFERROR(VLOOKUP(AB838,OFFSET(abbreviation[],0,ColumnLanguage),ColumnAbbreviation,FALSE),"")</f>
        <v/>
      </c>
      <c r="BU838" s="21" t="str">
        <f t="shared" ca="1" si="92"/>
        <v>__</v>
      </c>
      <c r="BV838" s="21" t="str">
        <f ca="1">IFERROR(VLOOKUP(AF838,OFFSET(abbreviation[],0,ColumnLanguage),ColumnAbbreviation,FALSE),"")</f>
        <v/>
      </c>
      <c r="BW838" s="21" t="str">
        <f ca="1">IFERROR(VLOOKUP(AH838,OFFSET(abbreviation[],0,ColumnLanguage),ColumnAbbreviation,FALSE),"")</f>
        <v/>
      </c>
      <c r="BX838" s="21" t="str">
        <f ca="1">IFERROR(VLOOKUP(AJ838,OFFSET(abbreviation[],0,ColumnLanguage),ColumnAbbreviation,FALSE),"")</f>
        <v/>
      </c>
      <c r="BY838" s="21" t="str">
        <f ca="1">IFERROR(VLOOKUP(AL838,OFFSET(abbreviation[],0,ColumnLanguage),ColumnAbbreviation,FALSE),"")</f>
        <v/>
      </c>
      <c r="BZ838" s="21" t="str">
        <f t="shared" ca="1" si="93"/>
        <v>_</v>
      </c>
      <c r="CA838" s="21" t="str">
        <f ca="1">IFERROR(VLOOKUP(AP838,OFFSET(abbreviation[],0,ColumnLanguage),ColumnAbbreviation,FALSE),"")</f>
        <v/>
      </c>
      <c r="CB838" s="21" t="str">
        <f ca="1">IFERROR(VLOOKUP(AR838,OFFSET(abbreviation[],0,ColumnLanguage),ColumnAbbreviation,FALSE),"")</f>
        <v/>
      </c>
      <c r="CC838" s="21" t="str">
        <f ca="1">IFERROR(VLOOKUP(AT838,OFFSET(abbreviation[],0,ColumnLanguage),ColumnAbbreviation,FALSE),"")</f>
        <v/>
      </c>
      <c r="CD838" s="21" t="str">
        <f ca="1">IFERROR(VLOOKUP(AV838,OFFSET(abbreviation[],0,ColumnLanguage),ColumnAbbreviation,FALSE),"")</f>
        <v/>
      </c>
      <c r="CE838" s="21" t="str">
        <f t="shared" ca="1" si="94"/>
        <v>__</v>
      </c>
      <c r="CF838" s="21" t="str">
        <f ca="1">IFERROR(VLOOKUP(AX838,OFFSET(abbreviation[],0,ColumnLanguage),ColumnAbbreviation,FALSE),"")</f>
        <v/>
      </c>
      <c r="CG838" s="21" t="str">
        <f ca="1">IFERROR(VLOOKUP(AZ838,OFFSET(abbreviation[],0,ColumnLanguage),ColumnAbbreviation,FALSE),"")</f>
        <v/>
      </c>
      <c r="CH838" s="21" t="str">
        <f ca="1">IFERROR(VLOOKUP(BB838,OFFSET(abbreviation[],0,ColumnLanguage),ColumnAbbreviation,FALSE),"")</f>
        <v/>
      </c>
      <c r="CI838" s="21" t="str">
        <f ca="1">IFERROR(VLOOKUP(BD838,OFFSET(abbreviation[],0,ColumnLanguage),ColumnAbbreviation,FALSE),"")</f>
        <v/>
      </c>
      <c r="CJ838" s="21" t="str">
        <f ca="1">IFERROR(VLOOKUP(BF838,OFFSET(abbreviation[],0,ColumnLanguage),ColumnAbbreviation,FALSE),"")</f>
        <v/>
      </c>
      <c r="CK838" s="21" t="str">
        <f t="shared" ca="1" si="95"/>
        <v/>
      </c>
      <c r="CL838" s="21" t="str">
        <f t="shared" si="96"/>
        <v/>
      </c>
      <c r="CM838" s="52"/>
      <c r="CN838" s="57" t="str">
        <f t="shared" si="97"/>
        <v/>
      </c>
    </row>
    <row r="839" spans="17:92" x14ac:dyDescent="0.25">
      <c r="Q839" s="13"/>
      <c r="V839" s="60"/>
      <c r="X839" s="61"/>
      <c r="AN839" s="54"/>
      <c r="AS839" s="15"/>
      <c r="BH839" s="52"/>
      <c r="BI839" s="21" t="str">
        <f ca="1">IFERROR(VLOOKUP(C839,OFFSET(abbreviation[],0,ColumnLanguage),ColumnAbbreviation,FALSE),"")</f>
        <v/>
      </c>
      <c r="BJ839" s="21" t="str">
        <f ca="1">IFERROR(VLOOKUP(E839,OFFSET(abbreviation[],0,ColumnLanguage),ColumnAbbreviation,FALSE),"")</f>
        <v/>
      </c>
      <c r="BK839" s="21" t="str">
        <f ca="1">IFERROR(VLOOKUP(G839,OFFSET(abbreviation[],0,ColumnLanguage),ColumnAbbreviation,FALSE),"")</f>
        <v/>
      </c>
      <c r="BL839" s="21" t="str">
        <f ca="1">IFERROR(VLOOKUP(I839,OFFSET(abbreviation[],0,ColumnLanguage),ColumnAbbreviation,FALSE),"")</f>
        <v/>
      </c>
      <c r="BM839" s="21" t="str">
        <f ca="1">IFERROR(VLOOKUP(K839,OFFSET(abbreviation[],0,ColumnLanguage),ColumnAbbreviation,FALSE),"")</f>
        <v/>
      </c>
      <c r="BN839" s="21" t="str">
        <f t="shared" ca="1" si="91"/>
        <v/>
      </c>
      <c r="BO839" s="21" t="str">
        <f ca="1">IFERROR(VLOOKUP(N839,OFFSET(abbreviation[],0,ColumnLanguage),ColumnAbbreviation,FALSE),"")</f>
        <v/>
      </c>
      <c r="BP839" s="21" t="str">
        <f ca="1">IFERROR(VLOOKUP(P839,OFFSET(abbreviation[],0,ColumnLanguage),ColumnAbbreviation,FALSE),"")</f>
        <v/>
      </c>
      <c r="BQ839" s="21" t="str">
        <f ca="1">IFERROR(VLOOKUP(T839,OFFSET(abbreviation[],0,ColumnLanguage),ColumnAbbreviation,FALSE),"")</f>
        <v/>
      </c>
      <c r="BR839" s="21" t="str">
        <f ca="1">IFERROR(VLOOKUP(V839,OFFSET(abbreviation[],0,ColumnLanguage),ColumnAbbreviation,FALSE),"")</f>
        <v/>
      </c>
      <c r="BS839" s="21" t="str">
        <f ca="1">IFERROR(VLOOKUP(Z839,OFFSET(abbreviation[],0,ColumnLanguage),ColumnAbbreviation,FALSE),"")</f>
        <v/>
      </c>
      <c r="BT839" s="21" t="str">
        <f ca="1">IFERROR(VLOOKUP(AB839,OFFSET(abbreviation[],0,ColumnLanguage),ColumnAbbreviation,FALSE),"")</f>
        <v/>
      </c>
      <c r="BU839" s="21" t="str">
        <f t="shared" ca="1" si="92"/>
        <v>__</v>
      </c>
      <c r="BV839" s="21" t="str">
        <f ca="1">IFERROR(VLOOKUP(AF839,OFFSET(abbreviation[],0,ColumnLanguage),ColumnAbbreviation,FALSE),"")</f>
        <v/>
      </c>
      <c r="BW839" s="21" t="str">
        <f ca="1">IFERROR(VLOOKUP(AH839,OFFSET(abbreviation[],0,ColumnLanguage),ColumnAbbreviation,FALSE),"")</f>
        <v/>
      </c>
      <c r="BX839" s="21" t="str">
        <f ca="1">IFERROR(VLOOKUP(AJ839,OFFSET(abbreviation[],0,ColumnLanguage),ColumnAbbreviation,FALSE),"")</f>
        <v/>
      </c>
      <c r="BY839" s="21" t="str">
        <f ca="1">IFERROR(VLOOKUP(AL839,OFFSET(abbreviation[],0,ColumnLanguage),ColumnAbbreviation,FALSE),"")</f>
        <v/>
      </c>
      <c r="BZ839" s="21" t="str">
        <f t="shared" ca="1" si="93"/>
        <v>_</v>
      </c>
      <c r="CA839" s="21" t="str">
        <f ca="1">IFERROR(VLOOKUP(AP839,OFFSET(abbreviation[],0,ColumnLanguage),ColumnAbbreviation,FALSE),"")</f>
        <v/>
      </c>
      <c r="CB839" s="21" t="str">
        <f ca="1">IFERROR(VLOOKUP(AR839,OFFSET(abbreviation[],0,ColumnLanguage),ColumnAbbreviation,FALSE),"")</f>
        <v/>
      </c>
      <c r="CC839" s="21" t="str">
        <f ca="1">IFERROR(VLOOKUP(AT839,OFFSET(abbreviation[],0,ColumnLanguage),ColumnAbbreviation,FALSE),"")</f>
        <v/>
      </c>
      <c r="CD839" s="21" t="str">
        <f ca="1">IFERROR(VLOOKUP(AV839,OFFSET(abbreviation[],0,ColumnLanguage),ColumnAbbreviation,FALSE),"")</f>
        <v/>
      </c>
      <c r="CE839" s="21" t="str">
        <f t="shared" ca="1" si="94"/>
        <v>__</v>
      </c>
      <c r="CF839" s="21" t="str">
        <f ca="1">IFERROR(VLOOKUP(AX839,OFFSET(abbreviation[],0,ColumnLanguage),ColumnAbbreviation,FALSE),"")</f>
        <v/>
      </c>
      <c r="CG839" s="21" t="str">
        <f ca="1">IFERROR(VLOOKUP(AZ839,OFFSET(abbreviation[],0,ColumnLanguage),ColumnAbbreviation,FALSE),"")</f>
        <v/>
      </c>
      <c r="CH839" s="21" t="str">
        <f ca="1">IFERROR(VLOOKUP(BB839,OFFSET(abbreviation[],0,ColumnLanguage),ColumnAbbreviation,FALSE),"")</f>
        <v/>
      </c>
      <c r="CI839" s="21" t="str">
        <f ca="1">IFERROR(VLOOKUP(BD839,OFFSET(abbreviation[],0,ColumnLanguage),ColumnAbbreviation,FALSE),"")</f>
        <v/>
      </c>
      <c r="CJ839" s="21" t="str">
        <f ca="1">IFERROR(VLOOKUP(BF839,OFFSET(abbreviation[],0,ColumnLanguage),ColumnAbbreviation,FALSE),"")</f>
        <v/>
      </c>
      <c r="CK839" s="21" t="str">
        <f t="shared" ca="1" si="95"/>
        <v/>
      </c>
      <c r="CL839" s="21" t="str">
        <f t="shared" si="96"/>
        <v/>
      </c>
      <c r="CM839" s="52"/>
      <c r="CN839" s="57" t="str">
        <f t="shared" si="97"/>
        <v/>
      </c>
    </row>
    <row r="840" spans="17:92" x14ac:dyDescent="0.25">
      <c r="Q840" s="13"/>
      <c r="V840" s="60"/>
      <c r="X840" s="61"/>
      <c r="AN840" s="54"/>
      <c r="AS840" s="15"/>
      <c r="BH840" s="52"/>
      <c r="BI840" s="21" t="str">
        <f ca="1">IFERROR(VLOOKUP(C840,OFFSET(abbreviation[],0,ColumnLanguage),ColumnAbbreviation,FALSE),"")</f>
        <v/>
      </c>
      <c r="BJ840" s="21" t="str">
        <f ca="1">IFERROR(VLOOKUP(E840,OFFSET(abbreviation[],0,ColumnLanguage),ColumnAbbreviation,FALSE),"")</f>
        <v/>
      </c>
      <c r="BK840" s="21" t="str">
        <f ca="1">IFERROR(VLOOKUP(G840,OFFSET(abbreviation[],0,ColumnLanguage),ColumnAbbreviation,FALSE),"")</f>
        <v/>
      </c>
      <c r="BL840" s="21" t="str">
        <f ca="1">IFERROR(VLOOKUP(I840,OFFSET(abbreviation[],0,ColumnLanguage),ColumnAbbreviation,FALSE),"")</f>
        <v/>
      </c>
      <c r="BM840" s="21" t="str">
        <f ca="1">IFERROR(VLOOKUP(K840,OFFSET(abbreviation[],0,ColumnLanguage),ColumnAbbreviation,FALSE),"")</f>
        <v/>
      </c>
      <c r="BN840" s="21" t="str">
        <f t="shared" ca="1" si="91"/>
        <v/>
      </c>
      <c r="BO840" s="21" t="str">
        <f ca="1">IFERROR(VLOOKUP(N840,OFFSET(abbreviation[],0,ColumnLanguage),ColumnAbbreviation,FALSE),"")</f>
        <v/>
      </c>
      <c r="BP840" s="21" t="str">
        <f ca="1">IFERROR(VLOOKUP(P840,OFFSET(abbreviation[],0,ColumnLanguage),ColumnAbbreviation,FALSE),"")</f>
        <v/>
      </c>
      <c r="BQ840" s="21" t="str">
        <f ca="1">IFERROR(VLOOKUP(T840,OFFSET(abbreviation[],0,ColumnLanguage),ColumnAbbreviation,FALSE),"")</f>
        <v/>
      </c>
      <c r="BR840" s="21" t="str">
        <f ca="1">IFERROR(VLOOKUP(V840,OFFSET(abbreviation[],0,ColumnLanguage),ColumnAbbreviation,FALSE),"")</f>
        <v/>
      </c>
      <c r="BS840" s="21" t="str">
        <f ca="1">IFERROR(VLOOKUP(Z840,OFFSET(abbreviation[],0,ColumnLanguage),ColumnAbbreviation,FALSE),"")</f>
        <v/>
      </c>
      <c r="BT840" s="21" t="str">
        <f ca="1">IFERROR(VLOOKUP(AB840,OFFSET(abbreviation[],0,ColumnLanguage),ColumnAbbreviation,FALSE),"")</f>
        <v/>
      </c>
      <c r="BU840" s="21" t="str">
        <f t="shared" ca="1" si="92"/>
        <v>__</v>
      </c>
      <c r="BV840" s="21" t="str">
        <f ca="1">IFERROR(VLOOKUP(AF840,OFFSET(abbreviation[],0,ColumnLanguage),ColumnAbbreviation,FALSE),"")</f>
        <v/>
      </c>
      <c r="BW840" s="21" t="str">
        <f ca="1">IFERROR(VLOOKUP(AH840,OFFSET(abbreviation[],0,ColumnLanguage),ColumnAbbreviation,FALSE),"")</f>
        <v/>
      </c>
      <c r="BX840" s="21" t="str">
        <f ca="1">IFERROR(VLOOKUP(AJ840,OFFSET(abbreviation[],0,ColumnLanguage),ColumnAbbreviation,FALSE),"")</f>
        <v/>
      </c>
      <c r="BY840" s="21" t="str">
        <f ca="1">IFERROR(VLOOKUP(AL840,OFFSET(abbreviation[],0,ColumnLanguage),ColumnAbbreviation,FALSE),"")</f>
        <v/>
      </c>
      <c r="BZ840" s="21" t="str">
        <f t="shared" ca="1" si="93"/>
        <v>_</v>
      </c>
      <c r="CA840" s="21" t="str">
        <f ca="1">IFERROR(VLOOKUP(AP840,OFFSET(abbreviation[],0,ColumnLanguage),ColumnAbbreviation,FALSE),"")</f>
        <v/>
      </c>
      <c r="CB840" s="21" t="str">
        <f ca="1">IFERROR(VLOOKUP(AR840,OFFSET(abbreviation[],0,ColumnLanguage),ColumnAbbreviation,FALSE),"")</f>
        <v/>
      </c>
      <c r="CC840" s="21" t="str">
        <f ca="1">IFERROR(VLOOKUP(AT840,OFFSET(abbreviation[],0,ColumnLanguage),ColumnAbbreviation,FALSE),"")</f>
        <v/>
      </c>
      <c r="CD840" s="21" t="str">
        <f ca="1">IFERROR(VLOOKUP(AV840,OFFSET(abbreviation[],0,ColumnLanguage),ColumnAbbreviation,FALSE),"")</f>
        <v/>
      </c>
      <c r="CE840" s="21" t="str">
        <f t="shared" ca="1" si="94"/>
        <v>__</v>
      </c>
      <c r="CF840" s="21" t="str">
        <f ca="1">IFERROR(VLOOKUP(AX840,OFFSET(abbreviation[],0,ColumnLanguage),ColumnAbbreviation,FALSE),"")</f>
        <v/>
      </c>
      <c r="CG840" s="21" t="str">
        <f ca="1">IFERROR(VLOOKUP(AZ840,OFFSET(abbreviation[],0,ColumnLanguage),ColumnAbbreviation,FALSE),"")</f>
        <v/>
      </c>
      <c r="CH840" s="21" t="str">
        <f ca="1">IFERROR(VLOOKUP(BB840,OFFSET(abbreviation[],0,ColumnLanguage),ColumnAbbreviation,FALSE),"")</f>
        <v/>
      </c>
      <c r="CI840" s="21" t="str">
        <f ca="1">IFERROR(VLOOKUP(BD840,OFFSET(abbreviation[],0,ColumnLanguage),ColumnAbbreviation,FALSE),"")</f>
        <v/>
      </c>
      <c r="CJ840" s="21" t="str">
        <f ca="1">IFERROR(VLOOKUP(BF840,OFFSET(abbreviation[],0,ColumnLanguage),ColumnAbbreviation,FALSE),"")</f>
        <v/>
      </c>
      <c r="CK840" s="21" t="str">
        <f t="shared" ca="1" si="95"/>
        <v/>
      </c>
      <c r="CL840" s="21" t="str">
        <f t="shared" si="96"/>
        <v/>
      </c>
      <c r="CM840" s="52"/>
      <c r="CN840" s="57" t="str">
        <f t="shared" si="97"/>
        <v/>
      </c>
    </row>
    <row r="841" spans="17:92" x14ac:dyDescent="0.25">
      <c r="Q841" s="13"/>
      <c r="V841" s="60"/>
      <c r="X841" s="61"/>
      <c r="AN841" s="54"/>
      <c r="AS841" s="15"/>
      <c r="BH841" s="52"/>
      <c r="BI841" s="21" t="str">
        <f ca="1">IFERROR(VLOOKUP(C841,OFFSET(abbreviation[],0,ColumnLanguage),ColumnAbbreviation,FALSE),"")</f>
        <v/>
      </c>
      <c r="BJ841" s="21" t="str">
        <f ca="1">IFERROR(VLOOKUP(E841,OFFSET(abbreviation[],0,ColumnLanguage),ColumnAbbreviation,FALSE),"")</f>
        <v/>
      </c>
      <c r="BK841" s="21" t="str">
        <f ca="1">IFERROR(VLOOKUP(G841,OFFSET(abbreviation[],0,ColumnLanguage),ColumnAbbreviation,FALSE),"")</f>
        <v/>
      </c>
      <c r="BL841" s="21" t="str">
        <f ca="1">IFERROR(VLOOKUP(I841,OFFSET(abbreviation[],0,ColumnLanguage),ColumnAbbreviation,FALSE),"")</f>
        <v/>
      </c>
      <c r="BM841" s="21" t="str">
        <f ca="1">IFERROR(VLOOKUP(K841,OFFSET(abbreviation[],0,ColumnLanguage),ColumnAbbreviation,FALSE),"")</f>
        <v/>
      </c>
      <c r="BN841" s="21" t="str">
        <f t="shared" ca="1" si="91"/>
        <v/>
      </c>
      <c r="BO841" s="21" t="str">
        <f ca="1">IFERROR(VLOOKUP(N841,OFFSET(abbreviation[],0,ColumnLanguage),ColumnAbbreviation,FALSE),"")</f>
        <v/>
      </c>
      <c r="BP841" s="21" t="str">
        <f ca="1">IFERROR(VLOOKUP(P841,OFFSET(abbreviation[],0,ColumnLanguage),ColumnAbbreviation,FALSE),"")</f>
        <v/>
      </c>
      <c r="BQ841" s="21" t="str">
        <f ca="1">IFERROR(VLOOKUP(T841,OFFSET(abbreviation[],0,ColumnLanguage),ColumnAbbreviation,FALSE),"")</f>
        <v/>
      </c>
      <c r="BR841" s="21" t="str">
        <f ca="1">IFERROR(VLOOKUP(V841,OFFSET(abbreviation[],0,ColumnLanguage),ColumnAbbreviation,FALSE),"")</f>
        <v/>
      </c>
      <c r="BS841" s="21" t="str">
        <f ca="1">IFERROR(VLOOKUP(Z841,OFFSET(abbreviation[],0,ColumnLanguage),ColumnAbbreviation,FALSE),"")</f>
        <v/>
      </c>
      <c r="BT841" s="21" t="str">
        <f ca="1">IFERROR(VLOOKUP(AB841,OFFSET(abbreviation[],0,ColumnLanguage),ColumnAbbreviation,FALSE),"")</f>
        <v/>
      </c>
      <c r="BU841" s="21" t="str">
        <f t="shared" ca="1" si="92"/>
        <v>__</v>
      </c>
      <c r="BV841" s="21" t="str">
        <f ca="1">IFERROR(VLOOKUP(AF841,OFFSET(abbreviation[],0,ColumnLanguage),ColumnAbbreviation,FALSE),"")</f>
        <v/>
      </c>
      <c r="BW841" s="21" t="str">
        <f ca="1">IFERROR(VLOOKUP(AH841,OFFSET(abbreviation[],0,ColumnLanguage),ColumnAbbreviation,FALSE),"")</f>
        <v/>
      </c>
      <c r="BX841" s="21" t="str">
        <f ca="1">IFERROR(VLOOKUP(AJ841,OFFSET(abbreviation[],0,ColumnLanguage),ColumnAbbreviation,FALSE),"")</f>
        <v/>
      </c>
      <c r="BY841" s="21" t="str">
        <f ca="1">IFERROR(VLOOKUP(AL841,OFFSET(abbreviation[],0,ColumnLanguage),ColumnAbbreviation,FALSE),"")</f>
        <v/>
      </c>
      <c r="BZ841" s="21" t="str">
        <f t="shared" ca="1" si="93"/>
        <v>_</v>
      </c>
      <c r="CA841" s="21" t="str">
        <f ca="1">IFERROR(VLOOKUP(AP841,OFFSET(abbreviation[],0,ColumnLanguage),ColumnAbbreviation,FALSE),"")</f>
        <v/>
      </c>
      <c r="CB841" s="21" t="str">
        <f ca="1">IFERROR(VLOOKUP(AR841,OFFSET(abbreviation[],0,ColumnLanguage),ColumnAbbreviation,FALSE),"")</f>
        <v/>
      </c>
      <c r="CC841" s="21" t="str">
        <f ca="1">IFERROR(VLOOKUP(AT841,OFFSET(abbreviation[],0,ColumnLanguage),ColumnAbbreviation,FALSE),"")</f>
        <v/>
      </c>
      <c r="CD841" s="21" t="str">
        <f ca="1">IFERROR(VLOOKUP(AV841,OFFSET(abbreviation[],0,ColumnLanguage),ColumnAbbreviation,FALSE),"")</f>
        <v/>
      </c>
      <c r="CE841" s="21" t="str">
        <f t="shared" ca="1" si="94"/>
        <v>__</v>
      </c>
      <c r="CF841" s="21" t="str">
        <f ca="1">IFERROR(VLOOKUP(AX841,OFFSET(abbreviation[],0,ColumnLanguage),ColumnAbbreviation,FALSE),"")</f>
        <v/>
      </c>
      <c r="CG841" s="21" t="str">
        <f ca="1">IFERROR(VLOOKUP(AZ841,OFFSET(abbreviation[],0,ColumnLanguage),ColumnAbbreviation,FALSE),"")</f>
        <v/>
      </c>
      <c r="CH841" s="21" t="str">
        <f ca="1">IFERROR(VLOOKUP(BB841,OFFSET(abbreviation[],0,ColumnLanguage),ColumnAbbreviation,FALSE),"")</f>
        <v/>
      </c>
      <c r="CI841" s="21" t="str">
        <f ca="1">IFERROR(VLOOKUP(BD841,OFFSET(abbreviation[],0,ColumnLanguage),ColumnAbbreviation,FALSE),"")</f>
        <v/>
      </c>
      <c r="CJ841" s="21" t="str">
        <f ca="1">IFERROR(VLOOKUP(BF841,OFFSET(abbreviation[],0,ColumnLanguage),ColumnAbbreviation,FALSE),"")</f>
        <v/>
      </c>
      <c r="CK841" s="21" t="str">
        <f t="shared" ca="1" si="95"/>
        <v/>
      </c>
      <c r="CL841" s="21" t="str">
        <f t="shared" si="96"/>
        <v/>
      </c>
      <c r="CM841" s="52"/>
      <c r="CN841" s="57" t="str">
        <f t="shared" si="97"/>
        <v/>
      </c>
    </row>
    <row r="842" spans="17:92" x14ac:dyDescent="0.25">
      <c r="Q842" s="13"/>
      <c r="V842" s="60"/>
      <c r="X842" s="61"/>
      <c r="AN842" s="54"/>
      <c r="AS842" s="15"/>
      <c r="BH842" s="52"/>
      <c r="BI842" s="21" t="str">
        <f ca="1">IFERROR(VLOOKUP(C842,OFFSET(abbreviation[],0,ColumnLanguage),ColumnAbbreviation,FALSE),"")</f>
        <v/>
      </c>
      <c r="BJ842" s="21" t="str">
        <f ca="1">IFERROR(VLOOKUP(E842,OFFSET(abbreviation[],0,ColumnLanguage),ColumnAbbreviation,FALSE),"")</f>
        <v/>
      </c>
      <c r="BK842" s="21" t="str">
        <f ca="1">IFERROR(VLOOKUP(G842,OFFSET(abbreviation[],0,ColumnLanguage),ColumnAbbreviation,FALSE),"")</f>
        <v/>
      </c>
      <c r="BL842" s="21" t="str">
        <f ca="1">IFERROR(VLOOKUP(I842,OFFSET(abbreviation[],0,ColumnLanguage),ColumnAbbreviation,FALSE),"")</f>
        <v/>
      </c>
      <c r="BM842" s="21" t="str">
        <f ca="1">IFERROR(VLOOKUP(K842,OFFSET(abbreviation[],0,ColumnLanguage),ColumnAbbreviation,FALSE),"")</f>
        <v/>
      </c>
      <c r="BN842" s="21" t="str">
        <f t="shared" ca="1" si="91"/>
        <v/>
      </c>
      <c r="BO842" s="21" t="str">
        <f ca="1">IFERROR(VLOOKUP(N842,OFFSET(abbreviation[],0,ColumnLanguage),ColumnAbbreviation,FALSE),"")</f>
        <v/>
      </c>
      <c r="BP842" s="21" t="str">
        <f ca="1">IFERROR(VLOOKUP(P842,OFFSET(abbreviation[],0,ColumnLanguage),ColumnAbbreviation,FALSE),"")</f>
        <v/>
      </c>
      <c r="BQ842" s="21" t="str">
        <f ca="1">IFERROR(VLOOKUP(T842,OFFSET(abbreviation[],0,ColumnLanguage),ColumnAbbreviation,FALSE),"")</f>
        <v/>
      </c>
      <c r="BR842" s="21" t="str">
        <f ca="1">IFERROR(VLOOKUP(V842,OFFSET(abbreviation[],0,ColumnLanguage),ColumnAbbreviation,FALSE),"")</f>
        <v/>
      </c>
      <c r="BS842" s="21" t="str">
        <f ca="1">IFERROR(VLOOKUP(Z842,OFFSET(abbreviation[],0,ColumnLanguage),ColumnAbbreviation,FALSE),"")</f>
        <v/>
      </c>
      <c r="BT842" s="21" t="str">
        <f ca="1">IFERROR(VLOOKUP(AB842,OFFSET(abbreviation[],0,ColumnLanguage),ColumnAbbreviation,FALSE),"")</f>
        <v/>
      </c>
      <c r="BU842" s="21" t="str">
        <f t="shared" ca="1" si="92"/>
        <v>__</v>
      </c>
      <c r="BV842" s="21" t="str">
        <f ca="1">IFERROR(VLOOKUP(AF842,OFFSET(abbreviation[],0,ColumnLanguage),ColumnAbbreviation,FALSE),"")</f>
        <v/>
      </c>
      <c r="BW842" s="21" t="str">
        <f ca="1">IFERROR(VLOOKUP(AH842,OFFSET(abbreviation[],0,ColumnLanguage),ColumnAbbreviation,FALSE),"")</f>
        <v/>
      </c>
      <c r="BX842" s="21" t="str">
        <f ca="1">IFERROR(VLOOKUP(AJ842,OFFSET(abbreviation[],0,ColumnLanguage),ColumnAbbreviation,FALSE),"")</f>
        <v/>
      </c>
      <c r="BY842" s="21" t="str">
        <f ca="1">IFERROR(VLOOKUP(AL842,OFFSET(abbreviation[],0,ColumnLanguage),ColumnAbbreviation,FALSE),"")</f>
        <v/>
      </c>
      <c r="BZ842" s="21" t="str">
        <f t="shared" ca="1" si="93"/>
        <v>_</v>
      </c>
      <c r="CA842" s="21" t="str">
        <f ca="1">IFERROR(VLOOKUP(AP842,OFFSET(abbreviation[],0,ColumnLanguage),ColumnAbbreviation,FALSE),"")</f>
        <v/>
      </c>
      <c r="CB842" s="21" t="str">
        <f ca="1">IFERROR(VLOOKUP(AR842,OFFSET(abbreviation[],0,ColumnLanguage),ColumnAbbreviation,FALSE),"")</f>
        <v/>
      </c>
      <c r="CC842" s="21" t="str">
        <f ca="1">IFERROR(VLOOKUP(AT842,OFFSET(abbreviation[],0,ColumnLanguage),ColumnAbbreviation,FALSE),"")</f>
        <v/>
      </c>
      <c r="CD842" s="21" t="str">
        <f ca="1">IFERROR(VLOOKUP(AV842,OFFSET(abbreviation[],0,ColumnLanguage),ColumnAbbreviation,FALSE),"")</f>
        <v/>
      </c>
      <c r="CE842" s="21" t="str">
        <f t="shared" ca="1" si="94"/>
        <v>__</v>
      </c>
      <c r="CF842" s="21" t="str">
        <f ca="1">IFERROR(VLOOKUP(AX842,OFFSET(abbreviation[],0,ColumnLanguage),ColumnAbbreviation,FALSE),"")</f>
        <v/>
      </c>
      <c r="CG842" s="21" t="str">
        <f ca="1">IFERROR(VLOOKUP(AZ842,OFFSET(abbreviation[],0,ColumnLanguage),ColumnAbbreviation,FALSE),"")</f>
        <v/>
      </c>
      <c r="CH842" s="21" t="str">
        <f ca="1">IFERROR(VLOOKUP(BB842,OFFSET(abbreviation[],0,ColumnLanguage),ColumnAbbreviation,FALSE),"")</f>
        <v/>
      </c>
      <c r="CI842" s="21" t="str">
        <f ca="1">IFERROR(VLOOKUP(BD842,OFFSET(abbreviation[],0,ColumnLanguage),ColumnAbbreviation,FALSE),"")</f>
        <v/>
      </c>
      <c r="CJ842" s="21" t="str">
        <f ca="1">IFERROR(VLOOKUP(BF842,OFFSET(abbreviation[],0,ColumnLanguage),ColumnAbbreviation,FALSE),"")</f>
        <v/>
      </c>
      <c r="CK842" s="21" t="str">
        <f t="shared" ca="1" si="95"/>
        <v/>
      </c>
      <c r="CL842" s="21" t="str">
        <f t="shared" si="96"/>
        <v/>
      </c>
      <c r="CM842" s="52"/>
      <c r="CN842" s="57" t="str">
        <f t="shared" si="97"/>
        <v/>
      </c>
    </row>
    <row r="843" spans="17:92" x14ac:dyDescent="0.25">
      <c r="Q843" s="13"/>
      <c r="V843" s="60"/>
      <c r="X843" s="61"/>
      <c r="AN843" s="54"/>
      <c r="AS843" s="15"/>
      <c r="BH843" s="52"/>
      <c r="BI843" s="21" t="str">
        <f ca="1">IFERROR(VLOOKUP(C843,OFFSET(abbreviation[],0,ColumnLanguage),ColumnAbbreviation,FALSE),"")</f>
        <v/>
      </c>
      <c r="BJ843" s="21" t="str">
        <f ca="1">IFERROR(VLOOKUP(E843,OFFSET(abbreviation[],0,ColumnLanguage),ColumnAbbreviation,FALSE),"")</f>
        <v/>
      </c>
      <c r="BK843" s="21" t="str">
        <f ca="1">IFERROR(VLOOKUP(G843,OFFSET(abbreviation[],0,ColumnLanguage),ColumnAbbreviation,FALSE),"")</f>
        <v/>
      </c>
      <c r="BL843" s="21" t="str">
        <f ca="1">IFERROR(VLOOKUP(I843,OFFSET(abbreviation[],0,ColumnLanguage),ColumnAbbreviation,FALSE),"")</f>
        <v/>
      </c>
      <c r="BM843" s="21" t="str">
        <f ca="1">IFERROR(VLOOKUP(K843,OFFSET(abbreviation[],0,ColumnLanguage),ColumnAbbreviation,FALSE),"")</f>
        <v/>
      </c>
      <c r="BN843" s="21" t="str">
        <f t="shared" ca="1" si="91"/>
        <v/>
      </c>
      <c r="BO843" s="21" t="str">
        <f ca="1">IFERROR(VLOOKUP(N843,OFFSET(abbreviation[],0,ColumnLanguage),ColumnAbbreviation,FALSE),"")</f>
        <v/>
      </c>
      <c r="BP843" s="21" t="str">
        <f ca="1">IFERROR(VLOOKUP(P843,OFFSET(abbreviation[],0,ColumnLanguage),ColumnAbbreviation,FALSE),"")</f>
        <v/>
      </c>
      <c r="BQ843" s="21" t="str">
        <f ca="1">IFERROR(VLOOKUP(T843,OFFSET(abbreviation[],0,ColumnLanguage),ColumnAbbreviation,FALSE),"")</f>
        <v/>
      </c>
      <c r="BR843" s="21" t="str">
        <f ca="1">IFERROR(VLOOKUP(V843,OFFSET(abbreviation[],0,ColumnLanguage),ColumnAbbreviation,FALSE),"")</f>
        <v/>
      </c>
      <c r="BS843" s="21" t="str">
        <f ca="1">IFERROR(VLOOKUP(Z843,OFFSET(abbreviation[],0,ColumnLanguage),ColumnAbbreviation,FALSE),"")</f>
        <v/>
      </c>
      <c r="BT843" s="21" t="str">
        <f ca="1">IFERROR(VLOOKUP(AB843,OFFSET(abbreviation[],0,ColumnLanguage),ColumnAbbreviation,FALSE),"")</f>
        <v/>
      </c>
      <c r="BU843" s="21" t="str">
        <f t="shared" ca="1" si="92"/>
        <v>__</v>
      </c>
      <c r="BV843" s="21" t="str">
        <f ca="1">IFERROR(VLOOKUP(AF843,OFFSET(abbreviation[],0,ColumnLanguage),ColumnAbbreviation,FALSE),"")</f>
        <v/>
      </c>
      <c r="BW843" s="21" t="str">
        <f ca="1">IFERROR(VLOOKUP(AH843,OFFSET(abbreviation[],0,ColumnLanguage),ColumnAbbreviation,FALSE),"")</f>
        <v/>
      </c>
      <c r="BX843" s="21" t="str">
        <f ca="1">IFERROR(VLOOKUP(AJ843,OFFSET(abbreviation[],0,ColumnLanguage),ColumnAbbreviation,FALSE),"")</f>
        <v/>
      </c>
      <c r="BY843" s="21" t="str">
        <f ca="1">IFERROR(VLOOKUP(AL843,OFFSET(abbreviation[],0,ColumnLanguage),ColumnAbbreviation,FALSE),"")</f>
        <v/>
      </c>
      <c r="BZ843" s="21" t="str">
        <f t="shared" ca="1" si="93"/>
        <v>_</v>
      </c>
      <c r="CA843" s="21" t="str">
        <f ca="1">IFERROR(VLOOKUP(AP843,OFFSET(abbreviation[],0,ColumnLanguage),ColumnAbbreviation,FALSE),"")</f>
        <v/>
      </c>
      <c r="CB843" s="21" t="str">
        <f ca="1">IFERROR(VLOOKUP(AR843,OFFSET(abbreviation[],0,ColumnLanguage),ColumnAbbreviation,FALSE),"")</f>
        <v/>
      </c>
      <c r="CC843" s="21" t="str">
        <f ca="1">IFERROR(VLOOKUP(AT843,OFFSET(abbreviation[],0,ColumnLanguage),ColumnAbbreviation,FALSE),"")</f>
        <v/>
      </c>
      <c r="CD843" s="21" t="str">
        <f ca="1">IFERROR(VLOOKUP(AV843,OFFSET(abbreviation[],0,ColumnLanguage),ColumnAbbreviation,FALSE),"")</f>
        <v/>
      </c>
      <c r="CE843" s="21" t="str">
        <f t="shared" ca="1" si="94"/>
        <v>__</v>
      </c>
      <c r="CF843" s="21" t="str">
        <f ca="1">IFERROR(VLOOKUP(AX843,OFFSET(abbreviation[],0,ColumnLanguage),ColumnAbbreviation,FALSE),"")</f>
        <v/>
      </c>
      <c r="CG843" s="21" t="str">
        <f ca="1">IFERROR(VLOOKUP(AZ843,OFFSET(abbreviation[],0,ColumnLanguage),ColumnAbbreviation,FALSE),"")</f>
        <v/>
      </c>
      <c r="CH843" s="21" t="str">
        <f ca="1">IFERROR(VLOOKUP(BB843,OFFSET(abbreviation[],0,ColumnLanguage),ColumnAbbreviation,FALSE),"")</f>
        <v/>
      </c>
      <c r="CI843" s="21" t="str">
        <f ca="1">IFERROR(VLOOKUP(BD843,OFFSET(abbreviation[],0,ColumnLanguage),ColumnAbbreviation,FALSE),"")</f>
        <v/>
      </c>
      <c r="CJ843" s="21" t="str">
        <f ca="1">IFERROR(VLOOKUP(BF843,OFFSET(abbreviation[],0,ColumnLanguage),ColumnAbbreviation,FALSE),"")</f>
        <v/>
      </c>
      <c r="CK843" s="21" t="str">
        <f t="shared" ca="1" si="95"/>
        <v/>
      </c>
      <c r="CL843" s="21" t="str">
        <f t="shared" si="96"/>
        <v/>
      </c>
      <c r="CM843" s="52"/>
      <c r="CN843" s="57" t="str">
        <f t="shared" si="97"/>
        <v/>
      </c>
    </row>
    <row r="844" spans="17:92" x14ac:dyDescent="0.25">
      <c r="Q844" s="13"/>
      <c r="V844" s="60"/>
      <c r="X844" s="61"/>
      <c r="AN844" s="54"/>
      <c r="AS844" s="15"/>
      <c r="BH844" s="52"/>
      <c r="BI844" s="21" t="str">
        <f ca="1">IFERROR(VLOOKUP(C844,OFFSET(abbreviation[],0,ColumnLanguage),ColumnAbbreviation,FALSE),"")</f>
        <v/>
      </c>
      <c r="BJ844" s="21" t="str">
        <f ca="1">IFERROR(VLOOKUP(E844,OFFSET(abbreviation[],0,ColumnLanguage),ColumnAbbreviation,FALSE),"")</f>
        <v/>
      </c>
      <c r="BK844" s="21" t="str">
        <f ca="1">IFERROR(VLOOKUP(G844,OFFSET(abbreviation[],0,ColumnLanguage),ColumnAbbreviation,FALSE),"")</f>
        <v/>
      </c>
      <c r="BL844" s="21" t="str">
        <f ca="1">IFERROR(VLOOKUP(I844,OFFSET(abbreviation[],0,ColumnLanguage),ColumnAbbreviation,FALSE),"")</f>
        <v/>
      </c>
      <c r="BM844" s="21" t="str">
        <f ca="1">IFERROR(VLOOKUP(K844,OFFSET(abbreviation[],0,ColumnLanguage),ColumnAbbreviation,FALSE),"")</f>
        <v/>
      </c>
      <c r="BN844" s="21" t="str">
        <f t="shared" ca="1" si="91"/>
        <v/>
      </c>
      <c r="BO844" s="21" t="str">
        <f ca="1">IFERROR(VLOOKUP(N844,OFFSET(abbreviation[],0,ColumnLanguage),ColumnAbbreviation,FALSE),"")</f>
        <v/>
      </c>
      <c r="BP844" s="21" t="str">
        <f ca="1">IFERROR(VLOOKUP(P844,OFFSET(abbreviation[],0,ColumnLanguage),ColumnAbbreviation,FALSE),"")</f>
        <v/>
      </c>
      <c r="BQ844" s="21" t="str">
        <f ca="1">IFERROR(VLOOKUP(T844,OFFSET(abbreviation[],0,ColumnLanguage),ColumnAbbreviation,FALSE),"")</f>
        <v/>
      </c>
      <c r="BR844" s="21" t="str">
        <f ca="1">IFERROR(VLOOKUP(V844,OFFSET(abbreviation[],0,ColumnLanguage),ColumnAbbreviation,FALSE),"")</f>
        <v/>
      </c>
      <c r="BS844" s="21" t="str">
        <f ca="1">IFERROR(VLOOKUP(Z844,OFFSET(abbreviation[],0,ColumnLanguage),ColumnAbbreviation,FALSE),"")</f>
        <v/>
      </c>
      <c r="BT844" s="21" t="str">
        <f ca="1">IFERROR(VLOOKUP(AB844,OFFSET(abbreviation[],0,ColumnLanguage),ColumnAbbreviation,FALSE),"")</f>
        <v/>
      </c>
      <c r="BU844" s="21" t="str">
        <f t="shared" ca="1" si="92"/>
        <v>__</v>
      </c>
      <c r="BV844" s="21" t="str">
        <f ca="1">IFERROR(VLOOKUP(AF844,OFFSET(abbreviation[],0,ColumnLanguage),ColumnAbbreviation,FALSE),"")</f>
        <v/>
      </c>
      <c r="BW844" s="21" t="str">
        <f ca="1">IFERROR(VLOOKUP(AH844,OFFSET(abbreviation[],0,ColumnLanguage),ColumnAbbreviation,FALSE),"")</f>
        <v/>
      </c>
      <c r="BX844" s="21" t="str">
        <f ca="1">IFERROR(VLOOKUP(AJ844,OFFSET(abbreviation[],0,ColumnLanguage),ColumnAbbreviation,FALSE),"")</f>
        <v/>
      </c>
      <c r="BY844" s="21" t="str">
        <f ca="1">IFERROR(VLOOKUP(AL844,OFFSET(abbreviation[],0,ColumnLanguage),ColumnAbbreviation,FALSE),"")</f>
        <v/>
      </c>
      <c r="BZ844" s="21" t="str">
        <f t="shared" ca="1" si="93"/>
        <v>_</v>
      </c>
      <c r="CA844" s="21" t="str">
        <f ca="1">IFERROR(VLOOKUP(AP844,OFFSET(abbreviation[],0,ColumnLanguage),ColumnAbbreviation,FALSE),"")</f>
        <v/>
      </c>
      <c r="CB844" s="21" t="str">
        <f ca="1">IFERROR(VLOOKUP(AR844,OFFSET(abbreviation[],0,ColumnLanguage),ColumnAbbreviation,FALSE),"")</f>
        <v/>
      </c>
      <c r="CC844" s="21" t="str">
        <f ca="1">IFERROR(VLOOKUP(AT844,OFFSET(abbreviation[],0,ColumnLanguage),ColumnAbbreviation,FALSE),"")</f>
        <v/>
      </c>
      <c r="CD844" s="21" t="str">
        <f ca="1">IFERROR(VLOOKUP(AV844,OFFSET(abbreviation[],0,ColumnLanguage),ColumnAbbreviation,FALSE),"")</f>
        <v/>
      </c>
      <c r="CE844" s="21" t="str">
        <f t="shared" ca="1" si="94"/>
        <v>__</v>
      </c>
      <c r="CF844" s="21" t="str">
        <f ca="1">IFERROR(VLOOKUP(AX844,OFFSET(abbreviation[],0,ColumnLanguage),ColumnAbbreviation,FALSE),"")</f>
        <v/>
      </c>
      <c r="CG844" s="21" t="str">
        <f ca="1">IFERROR(VLOOKUP(AZ844,OFFSET(abbreviation[],0,ColumnLanguage),ColumnAbbreviation,FALSE),"")</f>
        <v/>
      </c>
      <c r="CH844" s="21" t="str">
        <f ca="1">IFERROR(VLOOKUP(BB844,OFFSET(abbreviation[],0,ColumnLanguage),ColumnAbbreviation,FALSE),"")</f>
        <v/>
      </c>
      <c r="CI844" s="21" t="str">
        <f ca="1">IFERROR(VLOOKUP(BD844,OFFSET(abbreviation[],0,ColumnLanguage),ColumnAbbreviation,FALSE),"")</f>
        <v/>
      </c>
      <c r="CJ844" s="21" t="str">
        <f ca="1">IFERROR(VLOOKUP(BF844,OFFSET(abbreviation[],0,ColumnLanguage),ColumnAbbreviation,FALSE),"")</f>
        <v/>
      </c>
      <c r="CK844" s="21" t="str">
        <f t="shared" ca="1" si="95"/>
        <v/>
      </c>
      <c r="CL844" s="21" t="str">
        <f t="shared" si="96"/>
        <v/>
      </c>
      <c r="CM844" s="52"/>
      <c r="CN844" s="57" t="str">
        <f t="shared" si="97"/>
        <v/>
      </c>
    </row>
    <row r="845" spans="17:92" x14ac:dyDescent="0.25">
      <c r="Q845" s="13"/>
      <c r="V845" s="60"/>
      <c r="X845" s="61"/>
      <c r="AN845" s="54"/>
      <c r="AS845" s="15"/>
      <c r="BH845" s="52"/>
      <c r="BI845" s="21" t="str">
        <f ca="1">IFERROR(VLOOKUP(C845,OFFSET(abbreviation[],0,ColumnLanguage),ColumnAbbreviation,FALSE),"")</f>
        <v/>
      </c>
      <c r="BJ845" s="21" t="str">
        <f ca="1">IFERROR(VLOOKUP(E845,OFFSET(abbreviation[],0,ColumnLanguage),ColumnAbbreviation,FALSE),"")</f>
        <v/>
      </c>
      <c r="BK845" s="21" t="str">
        <f ca="1">IFERROR(VLOOKUP(G845,OFFSET(abbreviation[],0,ColumnLanguage),ColumnAbbreviation,FALSE),"")</f>
        <v/>
      </c>
      <c r="BL845" s="21" t="str">
        <f ca="1">IFERROR(VLOOKUP(I845,OFFSET(abbreviation[],0,ColumnLanguage),ColumnAbbreviation,FALSE),"")</f>
        <v/>
      </c>
      <c r="BM845" s="21" t="str">
        <f ca="1">IFERROR(VLOOKUP(K845,OFFSET(abbreviation[],0,ColumnLanguage),ColumnAbbreviation,FALSE),"")</f>
        <v/>
      </c>
      <c r="BN845" s="21" t="str">
        <f t="shared" ca="1" si="91"/>
        <v/>
      </c>
      <c r="BO845" s="21" t="str">
        <f ca="1">IFERROR(VLOOKUP(N845,OFFSET(abbreviation[],0,ColumnLanguage),ColumnAbbreviation,FALSE),"")</f>
        <v/>
      </c>
      <c r="BP845" s="21" t="str">
        <f ca="1">IFERROR(VLOOKUP(P845,OFFSET(abbreviation[],0,ColumnLanguage),ColumnAbbreviation,FALSE),"")</f>
        <v/>
      </c>
      <c r="BQ845" s="21" t="str">
        <f ca="1">IFERROR(VLOOKUP(T845,OFFSET(abbreviation[],0,ColumnLanguage),ColumnAbbreviation,FALSE),"")</f>
        <v/>
      </c>
      <c r="BR845" s="21" t="str">
        <f ca="1">IFERROR(VLOOKUP(V845,OFFSET(abbreviation[],0,ColumnLanguage),ColumnAbbreviation,FALSE),"")</f>
        <v/>
      </c>
      <c r="BS845" s="21" t="str">
        <f ca="1">IFERROR(VLOOKUP(Z845,OFFSET(abbreviation[],0,ColumnLanguage),ColumnAbbreviation,FALSE),"")</f>
        <v/>
      </c>
      <c r="BT845" s="21" t="str">
        <f ca="1">IFERROR(VLOOKUP(AB845,OFFSET(abbreviation[],0,ColumnLanguage),ColumnAbbreviation,FALSE),"")</f>
        <v/>
      </c>
      <c r="BU845" s="21" t="str">
        <f t="shared" ca="1" si="92"/>
        <v>__</v>
      </c>
      <c r="BV845" s="21" t="str">
        <f ca="1">IFERROR(VLOOKUP(AF845,OFFSET(abbreviation[],0,ColumnLanguage),ColumnAbbreviation,FALSE),"")</f>
        <v/>
      </c>
      <c r="BW845" s="21" t="str">
        <f ca="1">IFERROR(VLOOKUP(AH845,OFFSET(abbreviation[],0,ColumnLanguage),ColumnAbbreviation,FALSE),"")</f>
        <v/>
      </c>
      <c r="BX845" s="21" t="str">
        <f ca="1">IFERROR(VLOOKUP(AJ845,OFFSET(abbreviation[],0,ColumnLanguage),ColumnAbbreviation,FALSE),"")</f>
        <v/>
      </c>
      <c r="BY845" s="21" t="str">
        <f ca="1">IFERROR(VLOOKUP(AL845,OFFSET(abbreviation[],0,ColumnLanguage),ColumnAbbreviation,FALSE),"")</f>
        <v/>
      </c>
      <c r="BZ845" s="21" t="str">
        <f t="shared" ca="1" si="93"/>
        <v>_</v>
      </c>
      <c r="CA845" s="21" t="str">
        <f ca="1">IFERROR(VLOOKUP(AP845,OFFSET(abbreviation[],0,ColumnLanguage),ColumnAbbreviation,FALSE),"")</f>
        <v/>
      </c>
      <c r="CB845" s="21" t="str">
        <f ca="1">IFERROR(VLOOKUP(AR845,OFFSET(abbreviation[],0,ColumnLanguage),ColumnAbbreviation,FALSE),"")</f>
        <v/>
      </c>
      <c r="CC845" s="21" t="str">
        <f ca="1">IFERROR(VLOOKUP(AT845,OFFSET(abbreviation[],0,ColumnLanguage),ColumnAbbreviation,FALSE),"")</f>
        <v/>
      </c>
      <c r="CD845" s="21" t="str">
        <f ca="1">IFERROR(VLOOKUP(AV845,OFFSET(abbreviation[],0,ColumnLanguage),ColumnAbbreviation,FALSE),"")</f>
        <v/>
      </c>
      <c r="CE845" s="21" t="str">
        <f t="shared" ca="1" si="94"/>
        <v>__</v>
      </c>
      <c r="CF845" s="21" t="str">
        <f ca="1">IFERROR(VLOOKUP(AX845,OFFSET(abbreviation[],0,ColumnLanguage),ColumnAbbreviation,FALSE),"")</f>
        <v/>
      </c>
      <c r="CG845" s="21" t="str">
        <f ca="1">IFERROR(VLOOKUP(AZ845,OFFSET(abbreviation[],0,ColumnLanguage),ColumnAbbreviation,FALSE),"")</f>
        <v/>
      </c>
      <c r="CH845" s="21" t="str">
        <f ca="1">IFERROR(VLOOKUP(BB845,OFFSET(abbreviation[],0,ColumnLanguage),ColumnAbbreviation,FALSE),"")</f>
        <v/>
      </c>
      <c r="CI845" s="21" t="str">
        <f ca="1">IFERROR(VLOOKUP(BD845,OFFSET(abbreviation[],0,ColumnLanguage),ColumnAbbreviation,FALSE),"")</f>
        <v/>
      </c>
      <c r="CJ845" s="21" t="str">
        <f ca="1">IFERROR(VLOOKUP(BF845,OFFSET(abbreviation[],0,ColumnLanguage),ColumnAbbreviation,FALSE),"")</f>
        <v/>
      </c>
      <c r="CK845" s="21" t="str">
        <f t="shared" ca="1" si="95"/>
        <v/>
      </c>
      <c r="CL845" s="21" t="str">
        <f t="shared" si="96"/>
        <v/>
      </c>
      <c r="CM845" s="52"/>
      <c r="CN845" s="57" t="str">
        <f t="shared" si="97"/>
        <v/>
      </c>
    </row>
    <row r="846" spans="17:92" x14ac:dyDescent="0.25">
      <c r="Q846" s="13"/>
      <c r="V846" s="60"/>
      <c r="X846" s="61"/>
      <c r="AN846" s="54"/>
      <c r="AS846" s="15"/>
      <c r="BH846" s="52"/>
      <c r="BI846" s="21" t="str">
        <f ca="1">IFERROR(VLOOKUP(C846,OFFSET(abbreviation[],0,ColumnLanguage),ColumnAbbreviation,FALSE),"")</f>
        <v/>
      </c>
      <c r="BJ846" s="21" t="str">
        <f ca="1">IFERROR(VLOOKUP(E846,OFFSET(abbreviation[],0,ColumnLanguage),ColumnAbbreviation,FALSE),"")</f>
        <v/>
      </c>
      <c r="BK846" s="21" t="str">
        <f ca="1">IFERROR(VLOOKUP(G846,OFFSET(abbreviation[],0,ColumnLanguage),ColumnAbbreviation,FALSE),"")</f>
        <v/>
      </c>
      <c r="BL846" s="21" t="str">
        <f ca="1">IFERROR(VLOOKUP(I846,OFFSET(abbreviation[],0,ColumnLanguage),ColumnAbbreviation,FALSE),"")</f>
        <v/>
      </c>
      <c r="BM846" s="21" t="str">
        <f ca="1">IFERROR(VLOOKUP(K846,OFFSET(abbreviation[],0,ColumnLanguage),ColumnAbbreviation,FALSE),"")</f>
        <v/>
      </c>
      <c r="BN846" s="21" t="str">
        <f t="shared" ca="1" si="91"/>
        <v/>
      </c>
      <c r="BO846" s="21" t="str">
        <f ca="1">IFERROR(VLOOKUP(N846,OFFSET(abbreviation[],0,ColumnLanguage),ColumnAbbreviation,FALSE),"")</f>
        <v/>
      </c>
      <c r="BP846" s="21" t="str">
        <f ca="1">IFERROR(VLOOKUP(P846,OFFSET(abbreviation[],0,ColumnLanguage),ColumnAbbreviation,FALSE),"")</f>
        <v/>
      </c>
      <c r="BQ846" s="21" t="str">
        <f ca="1">IFERROR(VLOOKUP(T846,OFFSET(abbreviation[],0,ColumnLanguage),ColumnAbbreviation,FALSE),"")</f>
        <v/>
      </c>
      <c r="BR846" s="21" t="str">
        <f ca="1">IFERROR(VLOOKUP(V846,OFFSET(abbreviation[],0,ColumnLanguage),ColumnAbbreviation,FALSE),"")</f>
        <v/>
      </c>
      <c r="BS846" s="21" t="str">
        <f ca="1">IFERROR(VLOOKUP(Z846,OFFSET(abbreviation[],0,ColumnLanguage),ColumnAbbreviation,FALSE),"")</f>
        <v/>
      </c>
      <c r="BT846" s="21" t="str">
        <f ca="1">IFERROR(VLOOKUP(AB846,OFFSET(abbreviation[],0,ColumnLanguage),ColumnAbbreviation,FALSE),"")</f>
        <v/>
      </c>
      <c r="BU846" s="21" t="str">
        <f t="shared" ca="1" si="92"/>
        <v>__</v>
      </c>
      <c r="BV846" s="21" t="str">
        <f ca="1">IFERROR(VLOOKUP(AF846,OFFSET(abbreviation[],0,ColumnLanguage),ColumnAbbreviation,FALSE),"")</f>
        <v/>
      </c>
      <c r="BW846" s="21" t="str">
        <f ca="1">IFERROR(VLOOKUP(AH846,OFFSET(abbreviation[],0,ColumnLanguage),ColumnAbbreviation,FALSE),"")</f>
        <v/>
      </c>
      <c r="BX846" s="21" t="str">
        <f ca="1">IFERROR(VLOOKUP(AJ846,OFFSET(abbreviation[],0,ColumnLanguage),ColumnAbbreviation,FALSE),"")</f>
        <v/>
      </c>
      <c r="BY846" s="21" t="str">
        <f ca="1">IFERROR(VLOOKUP(AL846,OFFSET(abbreviation[],0,ColumnLanguage),ColumnAbbreviation,FALSE),"")</f>
        <v/>
      </c>
      <c r="BZ846" s="21" t="str">
        <f t="shared" ca="1" si="93"/>
        <v>_</v>
      </c>
      <c r="CA846" s="21" t="str">
        <f ca="1">IFERROR(VLOOKUP(AP846,OFFSET(abbreviation[],0,ColumnLanguage),ColumnAbbreviation,FALSE),"")</f>
        <v/>
      </c>
      <c r="CB846" s="21" t="str">
        <f ca="1">IFERROR(VLOOKUP(AR846,OFFSET(abbreviation[],0,ColumnLanguage),ColumnAbbreviation,FALSE),"")</f>
        <v/>
      </c>
      <c r="CC846" s="21" t="str">
        <f ca="1">IFERROR(VLOOKUP(AT846,OFFSET(abbreviation[],0,ColumnLanguage),ColumnAbbreviation,FALSE),"")</f>
        <v/>
      </c>
      <c r="CD846" s="21" t="str">
        <f ca="1">IFERROR(VLOOKUP(AV846,OFFSET(abbreviation[],0,ColumnLanguage),ColumnAbbreviation,FALSE),"")</f>
        <v/>
      </c>
      <c r="CE846" s="21" t="str">
        <f t="shared" ca="1" si="94"/>
        <v>__</v>
      </c>
      <c r="CF846" s="21" t="str">
        <f ca="1">IFERROR(VLOOKUP(AX846,OFFSET(abbreviation[],0,ColumnLanguage),ColumnAbbreviation,FALSE),"")</f>
        <v/>
      </c>
      <c r="CG846" s="21" t="str">
        <f ca="1">IFERROR(VLOOKUP(AZ846,OFFSET(abbreviation[],0,ColumnLanguage),ColumnAbbreviation,FALSE),"")</f>
        <v/>
      </c>
      <c r="CH846" s="21" t="str">
        <f ca="1">IFERROR(VLOOKUP(BB846,OFFSET(abbreviation[],0,ColumnLanguage),ColumnAbbreviation,FALSE),"")</f>
        <v/>
      </c>
      <c r="CI846" s="21" t="str">
        <f ca="1">IFERROR(VLOOKUP(BD846,OFFSET(abbreviation[],0,ColumnLanguage),ColumnAbbreviation,FALSE),"")</f>
        <v/>
      </c>
      <c r="CJ846" s="21" t="str">
        <f ca="1">IFERROR(VLOOKUP(BF846,OFFSET(abbreviation[],0,ColumnLanguage),ColumnAbbreviation,FALSE),"")</f>
        <v/>
      </c>
      <c r="CK846" s="21" t="str">
        <f t="shared" ca="1" si="95"/>
        <v/>
      </c>
      <c r="CL846" s="21" t="str">
        <f t="shared" si="96"/>
        <v/>
      </c>
      <c r="CM846" s="52"/>
      <c r="CN846" s="57" t="str">
        <f t="shared" si="97"/>
        <v/>
      </c>
    </row>
    <row r="847" spans="17:92" x14ac:dyDescent="0.25">
      <c r="Q847" s="13"/>
      <c r="V847" s="60"/>
      <c r="X847" s="61"/>
      <c r="AN847" s="54"/>
      <c r="AS847" s="15"/>
      <c r="BH847" s="52"/>
      <c r="BI847" s="21" t="str">
        <f ca="1">IFERROR(VLOOKUP(C847,OFFSET(abbreviation[],0,ColumnLanguage),ColumnAbbreviation,FALSE),"")</f>
        <v/>
      </c>
      <c r="BJ847" s="21" t="str">
        <f ca="1">IFERROR(VLOOKUP(E847,OFFSET(abbreviation[],0,ColumnLanguage),ColumnAbbreviation,FALSE),"")</f>
        <v/>
      </c>
      <c r="BK847" s="21" t="str">
        <f ca="1">IFERROR(VLOOKUP(G847,OFFSET(abbreviation[],0,ColumnLanguage),ColumnAbbreviation,FALSE),"")</f>
        <v/>
      </c>
      <c r="BL847" s="21" t="str">
        <f ca="1">IFERROR(VLOOKUP(I847,OFFSET(abbreviation[],0,ColumnLanguage),ColumnAbbreviation,FALSE),"")</f>
        <v/>
      </c>
      <c r="BM847" s="21" t="str">
        <f ca="1">IFERROR(VLOOKUP(K847,OFFSET(abbreviation[],0,ColumnLanguage),ColumnAbbreviation,FALSE),"")</f>
        <v/>
      </c>
      <c r="BN847" s="21" t="str">
        <f t="shared" ca="1" si="91"/>
        <v/>
      </c>
      <c r="BO847" s="21" t="str">
        <f ca="1">IFERROR(VLOOKUP(N847,OFFSET(abbreviation[],0,ColumnLanguage),ColumnAbbreviation,FALSE),"")</f>
        <v/>
      </c>
      <c r="BP847" s="21" t="str">
        <f ca="1">IFERROR(VLOOKUP(P847,OFFSET(abbreviation[],0,ColumnLanguage),ColumnAbbreviation,FALSE),"")</f>
        <v/>
      </c>
      <c r="BQ847" s="21" t="str">
        <f ca="1">IFERROR(VLOOKUP(T847,OFFSET(abbreviation[],0,ColumnLanguage),ColumnAbbreviation,FALSE),"")</f>
        <v/>
      </c>
      <c r="BR847" s="21" t="str">
        <f ca="1">IFERROR(VLOOKUP(V847,OFFSET(abbreviation[],0,ColumnLanguage),ColumnAbbreviation,FALSE),"")</f>
        <v/>
      </c>
      <c r="BS847" s="21" t="str">
        <f ca="1">IFERROR(VLOOKUP(Z847,OFFSET(abbreviation[],0,ColumnLanguage),ColumnAbbreviation,FALSE),"")</f>
        <v/>
      </c>
      <c r="BT847" s="21" t="str">
        <f ca="1">IFERROR(VLOOKUP(AB847,OFFSET(abbreviation[],0,ColumnLanguage),ColumnAbbreviation,FALSE),"")</f>
        <v/>
      </c>
      <c r="BU847" s="21" t="str">
        <f t="shared" ca="1" si="92"/>
        <v>__</v>
      </c>
      <c r="BV847" s="21" t="str">
        <f ca="1">IFERROR(VLOOKUP(AF847,OFFSET(abbreviation[],0,ColumnLanguage),ColumnAbbreviation,FALSE),"")</f>
        <v/>
      </c>
      <c r="BW847" s="21" t="str">
        <f ca="1">IFERROR(VLOOKUP(AH847,OFFSET(abbreviation[],0,ColumnLanguage),ColumnAbbreviation,FALSE),"")</f>
        <v/>
      </c>
      <c r="BX847" s="21" t="str">
        <f ca="1">IFERROR(VLOOKUP(AJ847,OFFSET(abbreviation[],0,ColumnLanguage),ColumnAbbreviation,FALSE),"")</f>
        <v/>
      </c>
      <c r="BY847" s="21" t="str">
        <f ca="1">IFERROR(VLOOKUP(AL847,OFFSET(abbreviation[],0,ColumnLanguage),ColumnAbbreviation,FALSE),"")</f>
        <v/>
      </c>
      <c r="BZ847" s="21" t="str">
        <f t="shared" ca="1" si="93"/>
        <v>_</v>
      </c>
      <c r="CA847" s="21" t="str">
        <f ca="1">IFERROR(VLOOKUP(AP847,OFFSET(abbreviation[],0,ColumnLanguage),ColumnAbbreviation,FALSE),"")</f>
        <v/>
      </c>
      <c r="CB847" s="21" t="str">
        <f ca="1">IFERROR(VLOOKUP(AR847,OFFSET(abbreviation[],0,ColumnLanguage),ColumnAbbreviation,FALSE),"")</f>
        <v/>
      </c>
      <c r="CC847" s="21" t="str">
        <f ca="1">IFERROR(VLOOKUP(AT847,OFFSET(abbreviation[],0,ColumnLanguage),ColumnAbbreviation,FALSE),"")</f>
        <v/>
      </c>
      <c r="CD847" s="21" t="str">
        <f ca="1">IFERROR(VLOOKUP(AV847,OFFSET(abbreviation[],0,ColumnLanguage),ColumnAbbreviation,FALSE),"")</f>
        <v/>
      </c>
      <c r="CE847" s="21" t="str">
        <f t="shared" ca="1" si="94"/>
        <v>__</v>
      </c>
      <c r="CF847" s="21" t="str">
        <f ca="1">IFERROR(VLOOKUP(AX847,OFFSET(abbreviation[],0,ColumnLanguage),ColumnAbbreviation,FALSE),"")</f>
        <v/>
      </c>
      <c r="CG847" s="21" t="str">
        <f ca="1">IFERROR(VLOOKUP(AZ847,OFFSET(abbreviation[],0,ColumnLanguage),ColumnAbbreviation,FALSE),"")</f>
        <v/>
      </c>
      <c r="CH847" s="21" t="str">
        <f ca="1">IFERROR(VLOOKUP(BB847,OFFSET(abbreviation[],0,ColumnLanguage),ColumnAbbreviation,FALSE),"")</f>
        <v/>
      </c>
      <c r="CI847" s="21" t="str">
        <f ca="1">IFERROR(VLOOKUP(BD847,OFFSET(abbreviation[],0,ColumnLanguage),ColumnAbbreviation,FALSE),"")</f>
        <v/>
      </c>
      <c r="CJ847" s="21" t="str">
        <f ca="1">IFERROR(VLOOKUP(BF847,OFFSET(abbreviation[],0,ColumnLanguage),ColumnAbbreviation,FALSE),"")</f>
        <v/>
      </c>
      <c r="CK847" s="21" t="str">
        <f t="shared" ca="1" si="95"/>
        <v/>
      </c>
      <c r="CL847" s="21" t="str">
        <f t="shared" si="96"/>
        <v/>
      </c>
      <c r="CM847" s="52"/>
      <c r="CN847" s="57" t="str">
        <f t="shared" si="97"/>
        <v/>
      </c>
    </row>
    <row r="848" spans="17:92" x14ac:dyDescent="0.25">
      <c r="Q848" s="13"/>
      <c r="V848" s="60"/>
      <c r="X848" s="61"/>
      <c r="AN848" s="54"/>
      <c r="AS848" s="15"/>
      <c r="BH848" s="52"/>
      <c r="BI848" s="21" t="str">
        <f ca="1">IFERROR(VLOOKUP(C848,OFFSET(abbreviation[],0,ColumnLanguage),ColumnAbbreviation,FALSE),"")</f>
        <v/>
      </c>
      <c r="BJ848" s="21" t="str">
        <f ca="1">IFERROR(VLOOKUP(E848,OFFSET(abbreviation[],0,ColumnLanguage),ColumnAbbreviation,FALSE),"")</f>
        <v/>
      </c>
      <c r="BK848" s="21" t="str">
        <f ca="1">IFERROR(VLOOKUP(G848,OFFSET(abbreviation[],0,ColumnLanguage),ColumnAbbreviation,FALSE),"")</f>
        <v/>
      </c>
      <c r="BL848" s="21" t="str">
        <f ca="1">IFERROR(VLOOKUP(I848,OFFSET(abbreviation[],0,ColumnLanguage),ColumnAbbreviation,FALSE),"")</f>
        <v/>
      </c>
      <c r="BM848" s="21" t="str">
        <f ca="1">IFERROR(VLOOKUP(K848,OFFSET(abbreviation[],0,ColumnLanguage),ColumnAbbreviation,FALSE),"")</f>
        <v/>
      </c>
      <c r="BN848" s="21" t="str">
        <f t="shared" ca="1" si="91"/>
        <v/>
      </c>
      <c r="BO848" s="21" t="str">
        <f ca="1">IFERROR(VLOOKUP(N848,OFFSET(abbreviation[],0,ColumnLanguage),ColumnAbbreviation,FALSE),"")</f>
        <v/>
      </c>
      <c r="BP848" s="21" t="str">
        <f ca="1">IFERROR(VLOOKUP(P848,OFFSET(abbreviation[],0,ColumnLanguage),ColumnAbbreviation,FALSE),"")</f>
        <v/>
      </c>
      <c r="BQ848" s="21" t="str">
        <f ca="1">IFERROR(VLOOKUP(T848,OFFSET(abbreviation[],0,ColumnLanguage),ColumnAbbreviation,FALSE),"")</f>
        <v/>
      </c>
      <c r="BR848" s="21" t="str">
        <f ca="1">IFERROR(VLOOKUP(V848,OFFSET(abbreviation[],0,ColumnLanguage),ColumnAbbreviation,FALSE),"")</f>
        <v/>
      </c>
      <c r="BS848" s="21" t="str">
        <f ca="1">IFERROR(VLOOKUP(Z848,OFFSET(abbreviation[],0,ColumnLanguage),ColumnAbbreviation,FALSE),"")</f>
        <v/>
      </c>
      <c r="BT848" s="21" t="str">
        <f ca="1">IFERROR(VLOOKUP(AB848,OFFSET(abbreviation[],0,ColumnLanguage),ColumnAbbreviation,FALSE),"")</f>
        <v/>
      </c>
      <c r="BU848" s="21" t="str">
        <f t="shared" ca="1" si="92"/>
        <v>__</v>
      </c>
      <c r="BV848" s="21" t="str">
        <f ca="1">IFERROR(VLOOKUP(AF848,OFFSET(abbreviation[],0,ColumnLanguage),ColumnAbbreviation,FALSE),"")</f>
        <v/>
      </c>
      <c r="BW848" s="21" t="str">
        <f ca="1">IFERROR(VLOOKUP(AH848,OFFSET(abbreviation[],0,ColumnLanguage),ColumnAbbreviation,FALSE),"")</f>
        <v/>
      </c>
      <c r="BX848" s="21" t="str">
        <f ca="1">IFERROR(VLOOKUP(AJ848,OFFSET(abbreviation[],0,ColumnLanguage),ColumnAbbreviation,FALSE),"")</f>
        <v/>
      </c>
      <c r="BY848" s="21" t="str">
        <f ca="1">IFERROR(VLOOKUP(AL848,OFFSET(abbreviation[],0,ColumnLanguage),ColumnAbbreviation,FALSE),"")</f>
        <v/>
      </c>
      <c r="BZ848" s="21" t="str">
        <f t="shared" ca="1" si="93"/>
        <v>_</v>
      </c>
      <c r="CA848" s="21" t="str">
        <f ca="1">IFERROR(VLOOKUP(AP848,OFFSET(abbreviation[],0,ColumnLanguage),ColumnAbbreviation,FALSE),"")</f>
        <v/>
      </c>
      <c r="CB848" s="21" t="str">
        <f ca="1">IFERROR(VLOOKUP(AR848,OFFSET(abbreviation[],0,ColumnLanguage),ColumnAbbreviation,FALSE),"")</f>
        <v/>
      </c>
      <c r="CC848" s="21" t="str">
        <f ca="1">IFERROR(VLOOKUP(AT848,OFFSET(abbreviation[],0,ColumnLanguage),ColumnAbbreviation,FALSE),"")</f>
        <v/>
      </c>
      <c r="CD848" s="21" t="str">
        <f ca="1">IFERROR(VLOOKUP(AV848,OFFSET(abbreviation[],0,ColumnLanguage),ColumnAbbreviation,FALSE),"")</f>
        <v/>
      </c>
      <c r="CE848" s="21" t="str">
        <f t="shared" ca="1" si="94"/>
        <v>__</v>
      </c>
      <c r="CF848" s="21" t="str">
        <f ca="1">IFERROR(VLOOKUP(AX848,OFFSET(abbreviation[],0,ColumnLanguage),ColumnAbbreviation,FALSE),"")</f>
        <v/>
      </c>
      <c r="CG848" s="21" t="str">
        <f ca="1">IFERROR(VLOOKUP(AZ848,OFFSET(abbreviation[],0,ColumnLanguage),ColumnAbbreviation,FALSE),"")</f>
        <v/>
      </c>
      <c r="CH848" s="21" t="str">
        <f ca="1">IFERROR(VLOOKUP(BB848,OFFSET(abbreviation[],0,ColumnLanguage),ColumnAbbreviation,FALSE),"")</f>
        <v/>
      </c>
      <c r="CI848" s="21" t="str">
        <f ca="1">IFERROR(VLOOKUP(BD848,OFFSET(abbreviation[],0,ColumnLanguage),ColumnAbbreviation,FALSE),"")</f>
        <v/>
      </c>
      <c r="CJ848" s="21" t="str">
        <f ca="1">IFERROR(VLOOKUP(BF848,OFFSET(abbreviation[],0,ColumnLanguage),ColumnAbbreviation,FALSE),"")</f>
        <v/>
      </c>
      <c r="CK848" s="21" t="str">
        <f t="shared" ca="1" si="95"/>
        <v/>
      </c>
      <c r="CL848" s="21" t="str">
        <f t="shared" si="96"/>
        <v/>
      </c>
      <c r="CM848" s="52"/>
      <c r="CN848" s="57" t="str">
        <f t="shared" si="97"/>
        <v/>
      </c>
    </row>
    <row r="849" spans="17:92" x14ac:dyDescent="0.25">
      <c r="Q849" s="13"/>
      <c r="V849" s="60"/>
      <c r="X849" s="61"/>
      <c r="AN849" s="54"/>
      <c r="AS849" s="15"/>
      <c r="BH849" s="52"/>
      <c r="BI849" s="21" t="str">
        <f ca="1">IFERROR(VLOOKUP(C849,OFFSET(abbreviation[],0,ColumnLanguage),ColumnAbbreviation,FALSE),"")</f>
        <v/>
      </c>
      <c r="BJ849" s="21" t="str">
        <f ca="1">IFERROR(VLOOKUP(E849,OFFSET(abbreviation[],0,ColumnLanguage),ColumnAbbreviation,FALSE),"")</f>
        <v/>
      </c>
      <c r="BK849" s="21" t="str">
        <f ca="1">IFERROR(VLOOKUP(G849,OFFSET(abbreviation[],0,ColumnLanguage),ColumnAbbreviation,FALSE),"")</f>
        <v/>
      </c>
      <c r="BL849" s="21" t="str">
        <f ca="1">IFERROR(VLOOKUP(I849,OFFSET(abbreviation[],0,ColumnLanguage),ColumnAbbreviation,FALSE),"")</f>
        <v/>
      </c>
      <c r="BM849" s="21" t="str">
        <f ca="1">IFERROR(VLOOKUP(K849,OFFSET(abbreviation[],0,ColumnLanguage),ColumnAbbreviation,FALSE),"")</f>
        <v/>
      </c>
      <c r="BN849" s="21" t="str">
        <f t="shared" ca="1" si="91"/>
        <v/>
      </c>
      <c r="BO849" s="21" t="str">
        <f ca="1">IFERROR(VLOOKUP(N849,OFFSET(abbreviation[],0,ColumnLanguage),ColumnAbbreviation,FALSE),"")</f>
        <v/>
      </c>
      <c r="BP849" s="21" t="str">
        <f ca="1">IFERROR(VLOOKUP(P849,OFFSET(abbreviation[],0,ColumnLanguage),ColumnAbbreviation,FALSE),"")</f>
        <v/>
      </c>
      <c r="BQ849" s="21" t="str">
        <f ca="1">IFERROR(VLOOKUP(T849,OFFSET(abbreviation[],0,ColumnLanguage),ColumnAbbreviation,FALSE),"")</f>
        <v/>
      </c>
      <c r="BR849" s="21" t="str">
        <f ca="1">IFERROR(VLOOKUP(V849,OFFSET(abbreviation[],0,ColumnLanguage),ColumnAbbreviation,FALSE),"")</f>
        <v/>
      </c>
      <c r="BS849" s="21" t="str">
        <f ca="1">IFERROR(VLOOKUP(Z849,OFFSET(abbreviation[],0,ColumnLanguage),ColumnAbbreviation,FALSE),"")</f>
        <v/>
      </c>
      <c r="BT849" s="21" t="str">
        <f ca="1">IFERROR(VLOOKUP(AB849,OFFSET(abbreviation[],0,ColumnLanguage),ColumnAbbreviation,FALSE),"")</f>
        <v/>
      </c>
      <c r="BU849" s="21" t="str">
        <f t="shared" ca="1" si="92"/>
        <v>__</v>
      </c>
      <c r="BV849" s="21" t="str">
        <f ca="1">IFERROR(VLOOKUP(AF849,OFFSET(abbreviation[],0,ColumnLanguage),ColumnAbbreviation,FALSE),"")</f>
        <v/>
      </c>
      <c r="BW849" s="21" t="str">
        <f ca="1">IFERROR(VLOOKUP(AH849,OFFSET(abbreviation[],0,ColumnLanguage),ColumnAbbreviation,FALSE),"")</f>
        <v/>
      </c>
      <c r="BX849" s="21" t="str">
        <f ca="1">IFERROR(VLOOKUP(AJ849,OFFSET(abbreviation[],0,ColumnLanguage),ColumnAbbreviation,FALSE),"")</f>
        <v/>
      </c>
      <c r="BY849" s="21" t="str">
        <f ca="1">IFERROR(VLOOKUP(AL849,OFFSET(abbreviation[],0,ColumnLanguage),ColumnAbbreviation,FALSE),"")</f>
        <v/>
      </c>
      <c r="BZ849" s="21" t="str">
        <f t="shared" ca="1" si="93"/>
        <v>_</v>
      </c>
      <c r="CA849" s="21" t="str">
        <f ca="1">IFERROR(VLOOKUP(AP849,OFFSET(abbreviation[],0,ColumnLanguage),ColumnAbbreviation,FALSE),"")</f>
        <v/>
      </c>
      <c r="CB849" s="21" t="str">
        <f ca="1">IFERROR(VLOOKUP(AR849,OFFSET(abbreviation[],0,ColumnLanguage),ColumnAbbreviation,FALSE),"")</f>
        <v/>
      </c>
      <c r="CC849" s="21" t="str">
        <f ca="1">IFERROR(VLOOKUP(AT849,OFFSET(abbreviation[],0,ColumnLanguage),ColumnAbbreviation,FALSE),"")</f>
        <v/>
      </c>
      <c r="CD849" s="21" t="str">
        <f ca="1">IFERROR(VLOOKUP(AV849,OFFSET(abbreviation[],0,ColumnLanguage),ColumnAbbreviation,FALSE),"")</f>
        <v/>
      </c>
      <c r="CE849" s="21" t="str">
        <f t="shared" ca="1" si="94"/>
        <v>__</v>
      </c>
      <c r="CF849" s="21" t="str">
        <f ca="1">IFERROR(VLOOKUP(AX849,OFFSET(abbreviation[],0,ColumnLanguage),ColumnAbbreviation,FALSE),"")</f>
        <v/>
      </c>
      <c r="CG849" s="21" t="str">
        <f ca="1">IFERROR(VLOOKUP(AZ849,OFFSET(abbreviation[],0,ColumnLanguage),ColumnAbbreviation,FALSE),"")</f>
        <v/>
      </c>
      <c r="CH849" s="21" t="str">
        <f ca="1">IFERROR(VLOOKUP(BB849,OFFSET(abbreviation[],0,ColumnLanguage),ColumnAbbreviation,FALSE),"")</f>
        <v/>
      </c>
      <c r="CI849" s="21" t="str">
        <f ca="1">IFERROR(VLOOKUP(BD849,OFFSET(abbreviation[],0,ColumnLanguage),ColumnAbbreviation,FALSE),"")</f>
        <v/>
      </c>
      <c r="CJ849" s="21" t="str">
        <f ca="1">IFERROR(VLOOKUP(BF849,OFFSET(abbreviation[],0,ColumnLanguage),ColumnAbbreviation,FALSE),"")</f>
        <v/>
      </c>
      <c r="CK849" s="21" t="str">
        <f t="shared" ca="1" si="95"/>
        <v/>
      </c>
      <c r="CL849" s="21" t="str">
        <f t="shared" si="96"/>
        <v/>
      </c>
      <c r="CM849" s="52"/>
      <c r="CN849" s="57" t="str">
        <f t="shared" si="97"/>
        <v/>
      </c>
    </row>
    <row r="850" spans="17:92" x14ac:dyDescent="0.25">
      <c r="Q850" s="13"/>
      <c r="V850" s="60"/>
      <c r="X850" s="61"/>
      <c r="AN850" s="54"/>
      <c r="AS850" s="15"/>
      <c r="BH850" s="52"/>
      <c r="BI850" s="21" t="str">
        <f ca="1">IFERROR(VLOOKUP(C850,OFFSET(abbreviation[],0,ColumnLanguage),ColumnAbbreviation,FALSE),"")</f>
        <v/>
      </c>
      <c r="BJ850" s="21" t="str">
        <f ca="1">IFERROR(VLOOKUP(E850,OFFSET(abbreviation[],0,ColumnLanguage),ColumnAbbreviation,FALSE),"")</f>
        <v/>
      </c>
      <c r="BK850" s="21" t="str">
        <f ca="1">IFERROR(VLOOKUP(G850,OFFSET(abbreviation[],0,ColumnLanguage),ColumnAbbreviation,FALSE),"")</f>
        <v/>
      </c>
      <c r="BL850" s="21" t="str">
        <f ca="1">IFERROR(VLOOKUP(I850,OFFSET(abbreviation[],0,ColumnLanguage),ColumnAbbreviation,FALSE),"")</f>
        <v/>
      </c>
      <c r="BM850" s="21" t="str">
        <f ca="1">IFERROR(VLOOKUP(K850,OFFSET(abbreviation[],0,ColumnLanguage),ColumnAbbreviation,FALSE),"")</f>
        <v/>
      </c>
      <c r="BN850" s="21" t="str">
        <f t="shared" ca="1" si="91"/>
        <v/>
      </c>
      <c r="BO850" s="21" t="str">
        <f ca="1">IFERROR(VLOOKUP(N850,OFFSET(abbreviation[],0,ColumnLanguage),ColumnAbbreviation,FALSE),"")</f>
        <v/>
      </c>
      <c r="BP850" s="21" t="str">
        <f ca="1">IFERROR(VLOOKUP(P850,OFFSET(abbreviation[],0,ColumnLanguage),ColumnAbbreviation,FALSE),"")</f>
        <v/>
      </c>
      <c r="BQ850" s="21" t="str">
        <f ca="1">IFERROR(VLOOKUP(T850,OFFSET(abbreviation[],0,ColumnLanguage),ColumnAbbreviation,FALSE),"")</f>
        <v/>
      </c>
      <c r="BR850" s="21" t="str">
        <f ca="1">IFERROR(VLOOKUP(V850,OFFSET(abbreviation[],0,ColumnLanguage),ColumnAbbreviation,FALSE),"")</f>
        <v/>
      </c>
      <c r="BS850" s="21" t="str">
        <f ca="1">IFERROR(VLOOKUP(Z850,OFFSET(abbreviation[],0,ColumnLanguage),ColumnAbbreviation,FALSE),"")</f>
        <v/>
      </c>
      <c r="BT850" s="21" t="str">
        <f ca="1">IFERROR(VLOOKUP(AB850,OFFSET(abbreviation[],0,ColumnLanguage),ColumnAbbreviation,FALSE),"")</f>
        <v/>
      </c>
      <c r="BU850" s="21" t="str">
        <f t="shared" ca="1" si="92"/>
        <v>__</v>
      </c>
      <c r="BV850" s="21" t="str">
        <f ca="1">IFERROR(VLOOKUP(AF850,OFFSET(abbreviation[],0,ColumnLanguage),ColumnAbbreviation,FALSE),"")</f>
        <v/>
      </c>
      <c r="BW850" s="21" t="str">
        <f ca="1">IFERROR(VLOOKUP(AH850,OFFSET(abbreviation[],0,ColumnLanguage),ColumnAbbreviation,FALSE),"")</f>
        <v/>
      </c>
      <c r="BX850" s="21" t="str">
        <f ca="1">IFERROR(VLOOKUP(AJ850,OFFSET(abbreviation[],0,ColumnLanguage),ColumnAbbreviation,FALSE),"")</f>
        <v/>
      </c>
      <c r="BY850" s="21" t="str">
        <f ca="1">IFERROR(VLOOKUP(AL850,OFFSET(abbreviation[],0,ColumnLanguage),ColumnAbbreviation,FALSE),"")</f>
        <v/>
      </c>
      <c r="BZ850" s="21" t="str">
        <f t="shared" ca="1" si="93"/>
        <v>_</v>
      </c>
      <c r="CA850" s="21" t="str">
        <f ca="1">IFERROR(VLOOKUP(AP850,OFFSET(abbreviation[],0,ColumnLanguage),ColumnAbbreviation,FALSE),"")</f>
        <v/>
      </c>
      <c r="CB850" s="21" t="str">
        <f ca="1">IFERROR(VLOOKUP(AR850,OFFSET(abbreviation[],0,ColumnLanguage),ColumnAbbreviation,FALSE),"")</f>
        <v/>
      </c>
      <c r="CC850" s="21" t="str">
        <f ca="1">IFERROR(VLOOKUP(AT850,OFFSET(abbreviation[],0,ColumnLanguage),ColumnAbbreviation,FALSE),"")</f>
        <v/>
      </c>
      <c r="CD850" s="21" t="str">
        <f ca="1">IFERROR(VLOOKUP(AV850,OFFSET(abbreviation[],0,ColumnLanguage),ColumnAbbreviation,FALSE),"")</f>
        <v/>
      </c>
      <c r="CE850" s="21" t="str">
        <f t="shared" ca="1" si="94"/>
        <v>__</v>
      </c>
      <c r="CF850" s="21" t="str">
        <f ca="1">IFERROR(VLOOKUP(AX850,OFFSET(abbreviation[],0,ColumnLanguage),ColumnAbbreviation,FALSE),"")</f>
        <v/>
      </c>
      <c r="CG850" s="21" t="str">
        <f ca="1">IFERROR(VLOOKUP(AZ850,OFFSET(abbreviation[],0,ColumnLanguage),ColumnAbbreviation,FALSE),"")</f>
        <v/>
      </c>
      <c r="CH850" s="21" t="str">
        <f ca="1">IFERROR(VLOOKUP(BB850,OFFSET(abbreviation[],0,ColumnLanguage),ColumnAbbreviation,FALSE),"")</f>
        <v/>
      </c>
      <c r="CI850" s="21" t="str">
        <f ca="1">IFERROR(VLOOKUP(BD850,OFFSET(abbreviation[],0,ColumnLanguage),ColumnAbbreviation,FALSE),"")</f>
        <v/>
      </c>
      <c r="CJ850" s="21" t="str">
        <f ca="1">IFERROR(VLOOKUP(BF850,OFFSET(abbreviation[],0,ColumnLanguage),ColumnAbbreviation,FALSE),"")</f>
        <v/>
      </c>
      <c r="CK850" s="21" t="str">
        <f t="shared" ca="1" si="95"/>
        <v/>
      </c>
      <c r="CL850" s="21" t="str">
        <f t="shared" si="96"/>
        <v/>
      </c>
      <c r="CM850" s="52"/>
      <c r="CN850" s="57" t="str">
        <f t="shared" si="97"/>
        <v/>
      </c>
    </row>
    <row r="851" spans="17:92" x14ac:dyDescent="0.25">
      <c r="Q851" s="13"/>
      <c r="V851" s="60"/>
      <c r="X851" s="61"/>
      <c r="AN851" s="54"/>
      <c r="AS851" s="15"/>
      <c r="BH851" s="52"/>
      <c r="BI851" s="21" t="str">
        <f ca="1">IFERROR(VLOOKUP(C851,OFFSET(abbreviation[],0,ColumnLanguage),ColumnAbbreviation,FALSE),"")</f>
        <v/>
      </c>
      <c r="BJ851" s="21" t="str">
        <f ca="1">IFERROR(VLOOKUP(E851,OFFSET(abbreviation[],0,ColumnLanguage),ColumnAbbreviation,FALSE),"")</f>
        <v/>
      </c>
      <c r="BK851" s="21" t="str">
        <f ca="1">IFERROR(VLOOKUP(G851,OFFSET(abbreviation[],0,ColumnLanguage),ColumnAbbreviation,FALSE),"")</f>
        <v/>
      </c>
      <c r="BL851" s="21" t="str">
        <f ca="1">IFERROR(VLOOKUP(I851,OFFSET(abbreviation[],0,ColumnLanguage),ColumnAbbreviation,FALSE),"")</f>
        <v/>
      </c>
      <c r="BM851" s="21" t="str">
        <f ca="1">IFERROR(VLOOKUP(K851,OFFSET(abbreviation[],0,ColumnLanguage),ColumnAbbreviation,FALSE),"")</f>
        <v/>
      </c>
      <c r="BN851" s="21" t="str">
        <f t="shared" ca="1" si="91"/>
        <v/>
      </c>
      <c r="BO851" s="21" t="str">
        <f ca="1">IFERROR(VLOOKUP(N851,OFFSET(abbreviation[],0,ColumnLanguage),ColumnAbbreviation,FALSE),"")</f>
        <v/>
      </c>
      <c r="BP851" s="21" t="str">
        <f ca="1">IFERROR(VLOOKUP(P851,OFFSET(abbreviation[],0,ColumnLanguage),ColumnAbbreviation,FALSE),"")</f>
        <v/>
      </c>
      <c r="BQ851" s="21" t="str">
        <f ca="1">IFERROR(VLOOKUP(T851,OFFSET(abbreviation[],0,ColumnLanguage),ColumnAbbreviation,FALSE),"")</f>
        <v/>
      </c>
      <c r="BR851" s="21" t="str">
        <f ca="1">IFERROR(VLOOKUP(V851,OFFSET(abbreviation[],0,ColumnLanguage),ColumnAbbreviation,FALSE),"")</f>
        <v/>
      </c>
      <c r="BS851" s="21" t="str">
        <f ca="1">IFERROR(VLOOKUP(Z851,OFFSET(abbreviation[],0,ColumnLanguage),ColumnAbbreviation,FALSE),"")</f>
        <v/>
      </c>
      <c r="BT851" s="21" t="str">
        <f ca="1">IFERROR(VLOOKUP(AB851,OFFSET(abbreviation[],0,ColumnLanguage),ColumnAbbreviation,FALSE),"")</f>
        <v/>
      </c>
      <c r="BU851" s="21" t="str">
        <f t="shared" ca="1" si="92"/>
        <v>__</v>
      </c>
      <c r="BV851" s="21" t="str">
        <f ca="1">IFERROR(VLOOKUP(AF851,OFFSET(abbreviation[],0,ColumnLanguage),ColumnAbbreviation,FALSE),"")</f>
        <v/>
      </c>
      <c r="BW851" s="21" t="str">
        <f ca="1">IFERROR(VLOOKUP(AH851,OFFSET(abbreviation[],0,ColumnLanguage),ColumnAbbreviation,FALSE),"")</f>
        <v/>
      </c>
      <c r="BX851" s="21" t="str">
        <f ca="1">IFERROR(VLOOKUP(AJ851,OFFSET(abbreviation[],0,ColumnLanguage),ColumnAbbreviation,FALSE),"")</f>
        <v/>
      </c>
      <c r="BY851" s="21" t="str">
        <f ca="1">IFERROR(VLOOKUP(AL851,OFFSET(abbreviation[],0,ColumnLanguage),ColumnAbbreviation,FALSE),"")</f>
        <v/>
      </c>
      <c r="BZ851" s="21" t="str">
        <f t="shared" ca="1" si="93"/>
        <v>_</v>
      </c>
      <c r="CA851" s="21" t="str">
        <f ca="1">IFERROR(VLOOKUP(AP851,OFFSET(abbreviation[],0,ColumnLanguage),ColumnAbbreviation,FALSE),"")</f>
        <v/>
      </c>
      <c r="CB851" s="21" t="str">
        <f ca="1">IFERROR(VLOOKUP(AR851,OFFSET(abbreviation[],0,ColumnLanguage),ColumnAbbreviation,FALSE),"")</f>
        <v/>
      </c>
      <c r="CC851" s="21" t="str">
        <f ca="1">IFERROR(VLOOKUP(AT851,OFFSET(abbreviation[],0,ColumnLanguage),ColumnAbbreviation,FALSE),"")</f>
        <v/>
      </c>
      <c r="CD851" s="21" t="str">
        <f ca="1">IFERROR(VLOOKUP(AV851,OFFSET(abbreviation[],0,ColumnLanguage),ColumnAbbreviation,FALSE),"")</f>
        <v/>
      </c>
      <c r="CE851" s="21" t="str">
        <f t="shared" ca="1" si="94"/>
        <v>__</v>
      </c>
      <c r="CF851" s="21" t="str">
        <f ca="1">IFERROR(VLOOKUP(AX851,OFFSET(abbreviation[],0,ColumnLanguage),ColumnAbbreviation,FALSE),"")</f>
        <v/>
      </c>
      <c r="CG851" s="21" t="str">
        <f ca="1">IFERROR(VLOOKUP(AZ851,OFFSET(abbreviation[],0,ColumnLanguage),ColumnAbbreviation,FALSE),"")</f>
        <v/>
      </c>
      <c r="CH851" s="21" t="str">
        <f ca="1">IFERROR(VLOOKUP(BB851,OFFSET(abbreviation[],0,ColumnLanguage),ColumnAbbreviation,FALSE),"")</f>
        <v/>
      </c>
      <c r="CI851" s="21" t="str">
        <f ca="1">IFERROR(VLOOKUP(BD851,OFFSET(abbreviation[],0,ColumnLanguage),ColumnAbbreviation,FALSE),"")</f>
        <v/>
      </c>
      <c r="CJ851" s="21" t="str">
        <f ca="1">IFERROR(VLOOKUP(BF851,OFFSET(abbreviation[],0,ColumnLanguage),ColumnAbbreviation,FALSE),"")</f>
        <v/>
      </c>
      <c r="CK851" s="21" t="str">
        <f t="shared" ca="1" si="95"/>
        <v/>
      </c>
      <c r="CL851" s="21" t="str">
        <f t="shared" si="96"/>
        <v/>
      </c>
      <c r="CM851" s="52"/>
      <c r="CN851" s="57" t="str">
        <f t="shared" si="97"/>
        <v/>
      </c>
    </row>
    <row r="852" spans="17:92" x14ac:dyDescent="0.25">
      <c r="Q852" s="13"/>
      <c r="V852" s="60"/>
      <c r="X852" s="61"/>
      <c r="AN852" s="54"/>
      <c r="AS852" s="15"/>
      <c r="BH852" s="52"/>
      <c r="BI852" s="21" t="str">
        <f ca="1">IFERROR(VLOOKUP(C852,OFFSET(abbreviation[],0,ColumnLanguage),ColumnAbbreviation,FALSE),"")</f>
        <v/>
      </c>
      <c r="BJ852" s="21" t="str">
        <f ca="1">IFERROR(VLOOKUP(E852,OFFSET(abbreviation[],0,ColumnLanguage),ColumnAbbreviation,FALSE),"")</f>
        <v/>
      </c>
      <c r="BK852" s="21" t="str">
        <f ca="1">IFERROR(VLOOKUP(G852,OFFSET(abbreviation[],0,ColumnLanguage),ColumnAbbreviation,FALSE),"")</f>
        <v/>
      </c>
      <c r="BL852" s="21" t="str">
        <f ca="1">IFERROR(VLOOKUP(I852,OFFSET(abbreviation[],0,ColumnLanguage),ColumnAbbreviation,FALSE),"")</f>
        <v/>
      </c>
      <c r="BM852" s="21" t="str">
        <f ca="1">IFERROR(VLOOKUP(K852,OFFSET(abbreviation[],0,ColumnLanguage),ColumnAbbreviation,FALSE),"")</f>
        <v/>
      </c>
      <c r="BN852" s="21" t="str">
        <f t="shared" ca="1" si="91"/>
        <v/>
      </c>
      <c r="BO852" s="21" t="str">
        <f ca="1">IFERROR(VLOOKUP(N852,OFFSET(abbreviation[],0,ColumnLanguage),ColumnAbbreviation,FALSE),"")</f>
        <v/>
      </c>
      <c r="BP852" s="21" t="str">
        <f ca="1">IFERROR(VLOOKUP(P852,OFFSET(abbreviation[],0,ColumnLanguage),ColumnAbbreviation,FALSE),"")</f>
        <v/>
      </c>
      <c r="BQ852" s="21" t="str">
        <f ca="1">IFERROR(VLOOKUP(T852,OFFSET(abbreviation[],0,ColumnLanguage),ColumnAbbreviation,FALSE),"")</f>
        <v/>
      </c>
      <c r="BR852" s="21" t="str">
        <f ca="1">IFERROR(VLOOKUP(V852,OFFSET(abbreviation[],0,ColumnLanguage),ColumnAbbreviation,FALSE),"")</f>
        <v/>
      </c>
      <c r="BS852" s="21" t="str">
        <f ca="1">IFERROR(VLOOKUP(Z852,OFFSET(abbreviation[],0,ColumnLanguage),ColumnAbbreviation,FALSE),"")</f>
        <v/>
      </c>
      <c r="BT852" s="21" t="str">
        <f ca="1">IFERROR(VLOOKUP(AB852,OFFSET(abbreviation[],0,ColumnLanguage),ColumnAbbreviation,FALSE),"")</f>
        <v/>
      </c>
      <c r="BU852" s="21" t="str">
        <f t="shared" ca="1" si="92"/>
        <v>__</v>
      </c>
      <c r="BV852" s="21" t="str">
        <f ca="1">IFERROR(VLOOKUP(AF852,OFFSET(abbreviation[],0,ColumnLanguage),ColumnAbbreviation,FALSE),"")</f>
        <v/>
      </c>
      <c r="BW852" s="21" t="str">
        <f ca="1">IFERROR(VLOOKUP(AH852,OFFSET(abbreviation[],0,ColumnLanguage),ColumnAbbreviation,FALSE),"")</f>
        <v/>
      </c>
      <c r="BX852" s="21" t="str">
        <f ca="1">IFERROR(VLOOKUP(AJ852,OFFSET(abbreviation[],0,ColumnLanguage),ColumnAbbreviation,FALSE),"")</f>
        <v/>
      </c>
      <c r="BY852" s="21" t="str">
        <f ca="1">IFERROR(VLOOKUP(AL852,OFFSET(abbreviation[],0,ColumnLanguage),ColumnAbbreviation,FALSE),"")</f>
        <v/>
      </c>
      <c r="BZ852" s="21" t="str">
        <f t="shared" ca="1" si="93"/>
        <v>_</v>
      </c>
      <c r="CA852" s="21" t="str">
        <f ca="1">IFERROR(VLOOKUP(AP852,OFFSET(abbreviation[],0,ColumnLanguage),ColumnAbbreviation,FALSE),"")</f>
        <v/>
      </c>
      <c r="CB852" s="21" t="str">
        <f ca="1">IFERROR(VLOOKUP(AR852,OFFSET(abbreviation[],0,ColumnLanguage),ColumnAbbreviation,FALSE),"")</f>
        <v/>
      </c>
      <c r="CC852" s="21" t="str">
        <f ca="1">IFERROR(VLOOKUP(AT852,OFFSET(abbreviation[],0,ColumnLanguage),ColumnAbbreviation,FALSE),"")</f>
        <v/>
      </c>
      <c r="CD852" s="21" t="str">
        <f ca="1">IFERROR(VLOOKUP(AV852,OFFSET(abbreviation[],0,ColumnLanguage),ColumnAbbreviation,FALSE),"")</f>
        <v/>
      </c>
      <c r="CE852" s="21" t="str">
        <f t="shared" ca="1" si="94"/>
        <v>__</v>
      </c>
      <c r="CF852" s="21" t="str">
        <f ca="1">IFERROR(VLOOKUP(AX852,OFFSET(abbreviation[],0,ColumnLanguage),ColumnAbbreviation,FALSE),"")</f>
        <v/>
      </c>
      <c r="CG852" s="21" t="str">
        <f ca="1">IFERROR(VLOOKUP(AZ852,OFFSET(abbreviation[],0,ColumnLanguage),ColumnAbbreviation,FALSE),"")</f>
        <v/>
      </c>
      <c r="CH852" s="21" t="str">
        <f ca="1">IFERROR(VLOOKUP(BB852,OFFSET(abbreviation[],0,ColumnLanguage),ColumnAbbreviation,FALSE),"")</f>
        <v/>
      </c>
      <c r="CI852" s="21" t="str">
        <f ca="1">IFERROR(VLOOKUP(BD852,OFFSET(abbreviation[],0,ColumnLanguage),ColumnAbbreviation,FALSE),"")</f>
        <v/>
      </c>
      <c r="CJ852" s="21" t="str">
        <f ca="1">IFERROR(VLOOKUP(BF852,OFFSET(abbreviation[],0,ColumnLanguage),ColumnAbbreviation,FALSE),"")</f>
        <v/>
      </c>
      <c r="CK852" s="21" t="str">
        <f t="shared" ca="1" si="95"/>
        <v/>
      </c>
      <c r="CL852" s="21" t="str">
        <f t="shared" si="96"/>
        <v/>
      </c>
      <c r="CM852" s="52"/>
      <c r="CN852" s="57" t="str">
        <f t="shared" si="97"/>
        <v/>
      </c>
    </row>
    <row r="853" spans="17:92" x14ac:dyDescent="0.25">
      <c r="Q853" s="13"/>
      <c r="V853" s="60"/>
      <c r="X853" s="61"/>
      <c r="AN853" s="54"/>
      <c r="AS853" s="15"/>
      <c r="BH853" s="52"/>
      <c r="BI853" s="21" t="str">
        <f ca="1">IFERROR(VLOOKUP(C853,OFFSET(abbreviation[],0,ColumnLanguage),ColumnAbbreviation,FALSE),"")</f>
        <v/>
      </c>
      <c r="BJ853" s="21" t="str">
        <f ca="1">IFERROR(VLOOKUP(E853,OFFSET(abbreviation[],0,ColumnLanguage),ColumnAbbreviation,FALSE),"")</f>
        <v/>
      </c>
      <c r="BK853" s="21" t="str">
        <f ca="1">IFERROR(VLOOKUP(G853,OFFSET(abbreviation[],0,ColumnLanguage),ColumnAbbreviation,FALSE),"")</f>
        <v/>
      </c>
      <c r="BL853" s="21" t="str">
        <f ca="1">IFERROR(VLOOKUP(I853,OFFSET(abbreviation[],0,ColumnLanguage),ColumnAbbreviation,FALSE),"")</f>
        <v/>
      </c>
      <c r="BM853" s="21" t="str">
        <f ca="1">IFERROR(VLOOKUP(K853,OFFSET(abbreviation[],0,ColumnLanguage),ColumnAbbreviation,FALSE),"")</f>
        <v/>
      </c>
      <c r="BN853" s="21" t="str">
        <f t="shared" ca="1" si="91"/>
        <v/>
      </c>
      <c r="BO853" s="21" t="str">
        <f ca="1">IFERROR(VLOOKUP(N853,OFFSET(abbreviation[],0,ColumnLanguage),ColumnAbbreviation,FALSE),"")</f>
        <v/>
      </c>
      <c r="BP853" s="21" t="str">
        <f ca="1">IFERROR(VLOOKUP(P853,OFFSET(abbreviation[],0,ColumnLanguage),ColumnAbbreviation,FALSE),"")</f>
        <v/>
      </c>
      <c r="BQ853" s="21" t="str">
        <f ca="1">IFERROR(VLOOKUP(T853,OFFSET(abbreviation[],0,ColumnLanguage),ColumnAbbreviation,FALSE),"")</f>
        <v/>
      </c>
      <c r="BR853" s="21" t="str">
        <f ca="1">IFERROR(VLOOKUP(V853,OFFSET(abbreviation[],0,ColumnLanguage),ColumnAbbreviation,FALSE),"")</f>
        <v/>
      </c>
      <c r="BS853" s="21" t="str">
        <f ca="1">IFERROR(VLOOKUP(Z853,OFFSET(abbreviation[],0,ColumnLanguage),ColumnAbbreviation,FALSE),"")</f>
        <v/>
      </c>
      <c r="BT853" s="21" t="str">
        <f ca="1">IFERROR(VLOOKUP(AB853,OFFSET(abbreviation[],0,ColumnLanguage),ColumnAbbreviation,FALSE),"")</f>
        <v/>
      </c>
      <c r="BU853" s="21" t="str">
        <f t="shared" ca="1" si="92"/>
        <v>__</v>
      </c>
      <c r="BV853" s="21" t="str">
        <f ca="1">IFERROR(VLOOKUP(AF853,OFFSET(abbreviation[],0,ColumnLanguage),ColumnAbbreviation,FALSE),"")</f>
        <v/>
      </c>
      <c r="BW853" s="21" t="str">
        <f ca="1">IFERROR(VLOOKUP(AH853,OFFSET(abbreviation[],0,ColumnLanguage),ColumnAbbreviation,FALSE),"")</f>
        <v/>
      </c>
      <c r="BX853" s="21" t="str">
        <f ca="1">IFERROR(VLOOKUP(AJ853,OFFSET(abbreviation[],0,ColumnLanguage),ColumnAbbreviation,FALSE),"")</f>
        <v/>
      </c>
      <c r="BY853" s="21" t="str">
        <f ca="1">IFERROR(VLOOKUP(AL853,OFFSET(abbreviation[],0,ColumnLanguage),ColumnAbbreviation,FALSE),"")</f>
        <v/>
      </c>
      <c r="BZ853" s="21" t="str">
        <f t="shared" ca="1" si="93"/>
        <v>_</v>
      </c>
      <c r="CA853" s="21" t="str">
        <f ca="1">IFERROR(VLOOKUP(AP853,OFFSET(abbreviation[],0,ColumnLanguage),ColumnAbbreviation,FALSE),"")</f>
        <v/>
      </c>
      <c r="CB853" s="21" t="str">
        <f ca="1">IFERROR(VLOOKUP(AR853,OFFSET(abbreviation[],0,ColumnLanguage),ColumnAbbreviation,FALSE),"")</f>
        <v/>
      </c>
      <c r="CC853" s="21" t="str">
        <f ca="1">IFERROR(VLOOKUP(AT853,OFFSET(abbreviation[],0,ColumnLanguage),ColumnAbbreviation,FALSE),"")</f>
        <v/>
      </c>
      <c r="CD853" s="21" t="str">
        <f ca="1">IFERROR(VLOOKUP(AV853,OFFSET(abbreviation[],0,ColumnLanguage),ColumnAbbreviation,FALSE),"")</f>
        <v/>
      </c>
      <c r="CE853" s="21" t="str">
        <f t="shared" ca="1" si="94"/>
        <v>__</v>
      </c>
      <c r="CF853" s="21" t="str">
        <f ca="1">IFERROR(VLOOKUP(AX853,OFFSET(abbreviation[],0,ColumnLanguage),ColumnAbbreviation,FALSE),"")</f>
        <v/>
      </c>
      <c r="CG853" s="21" t="str">
        <f ca="1">IFERROR(VLOOKUP(AZ853,OFFSET(abbreviation[],0,ColumnLanguage),ColumnAbbreviation,FALSE),"")</f>
        <v/>
      </c>
      <c r="CH853" s="21" t="str">
        <f ca="1">IFERROR(VLOOKUP(BB853,OFFSET(abbreviation[],0,ColumnLanguage),ColumnAbbreviation,FALSE),"")</f>
        <v/>
      </c>
      <c r="CI853" s="21" t="str">
        <f ca="1">IFERROR(VLOOKUP(BD853,OFFSET(abbreviation[],0,ColumnLanguage),ColumnAbbreviation,FALSE),"")</f>
        <v/>
      </c>
      <c r="CJ853" s="21" t="str">
        <f ca="1">IFERROR(VLOOKUP(BF853,OFFSET(abbreviation[],0,ColumnLanguage),ColumnAbbreviation,FALSE),"")</f>
        <v/>
      </c>
      <c r="CK853" s="21" t="str">
        <f t="shared" ca="1" si="95"/>
        <v/>
      </c>
      <c r="CL853" s="21" t="str">
        <f t="shared" si="96"/>
        <v/>
      </c>
      <c r="CM853" s="52"/>
      <c r="CN853" s="57" t="str">
        <f t="shared" si="97"/>
        <v/>
      </c>
    </row>
    <row r="854" spans="17:92" x14ac:dyDescent="0.25">
      <c r="Q854" s="13"/>
      <c r="V854" s="60"/>
      <c r="X854" s="61"/>
      <c r="AN854" s="54"/>
      <c r="AS854" s="15"/>
      <c r="BH854" s="52"/>
      <c r="BI854" s="21" t="str">
        <f ca="1">IFERROR(VLOOKUP(C854,OFFSET(abbreviation[],0,ColumnLanguage),ColumnAbbreviation,FALSE),"")</f>
        <v/>
      </c>
      <c r="BJ854" s="21" t="str">
        <f ca="1">IFERROR(VLOOKUP(E854,OFFSET(abbreviation[],0,ColumnLanguage),ColumnAbbreviation,FALSE),"")</f>
        <v/>
      </c>
      <c r="BK854" s="21" t="str">
        <f ca="1">IFERROR(VLOOKUP(G854,OFFSET(abbreviation[],0,ColumnLanguage),ColumnAbbreviation,FALSE),"")</f>
        <v/>
      </c>
      <c r="BL854" s="21" t="str">
        <f ca="1">IFERROR(VLOOKUP(I854,OFFSET(abbreviation[],0,ColumnLanguage),ColumnAbbreviation,FALSE),"")</f>
        <v/>
      </c>
      <c r="BM854" s="21" t="str">
        <f ca="1">IFERROR(VLOOKUP(K854,OFFSET(abbreviation[],0,ColumnLanguage),ColumnAbbreviation,FALSE),"")</f>
        <v/>
      </c>
      <c r="BN854" s="21" t="str">
        <f t="shared" ca="1" si="91"/>
        <v/>
      </c>
      <c r="BO854" s="21" t="str">
        <f ca="1">IFERROR(VLOOKUP(N854,OFFSET(abbreviation[],0,ColumnLanguage),ColumnAbbreviation,FALSE),"")</f>
        <v/>
      </c>
      <c r="BP854" s="21" t="str">
        <f ca="1">IFERROR(VLOOKUP(P854,OFFSET(abbreviation[],0,ColumnLanguage),ColumnAbbreviation,FALSE),"")</f>
        <v/>
      </c>
      <c r="BQ854" s="21" t="str">
        <f ca="1">IFERROR(VLOOKUP(T854,OFFSET(abbreviation[],0,ColumnLanguage),ColumnAbbreviation,FALSE),"")</f>
        <v/>
      </c>
      <c r="BR854" s="21" t="str">
        <f ca="1">IFERROR(VLOOKUP(V854,OFFSET(abbreviation[],0,ColumnLanguage),ColumnAbbreviation,FALSE),"")</f>
        <v/>
      </c>
      <c r="BS854" s="21" t="str">
        <f ca="1">IFERROR(VLOOKUP(Z854,OFFSET(abbreviation[],0,ColumnLanguage),ColumnAbbreviation,FALSE),"")</f>
        <v/>
      </c>
      <c r="BT854" s="21" t="str">
        <f ca="1">IFERROR(VLOOKUP(AB854,OFFSET(abbreviation[],0,ColumnLanguage),ColumnAbbreviation,FALSE),"")</f>
        <v/>
      </c>
      <c r="BU854" s="21" t="str">
        <f t="shared" ca="1" si="92"/>
        <v>__</v>
      </c>
      <c r="BV854" s="21" t="str">
        <f ca="1">IFERROR(VLOOKUP(AF854,OFFSET(abbreviation[],0,ColumnLanguage),ColumnAbbreviation,FALSE),"")</f>
        <v/>
      </c>
      <c r="BW854" s="21" t="str">
        <f ca="1">IFERROR(VLOOKUP(AH854,OFFSET(abbreviation[],0,ColumnLanguage),ColumnAbbreviation,FALSE),"")</f>
        <v/>
      </c>
      <c r="BX854" s="21" t="str">
        <f ca="1">IFERROR(VLOOKUP(AJ854,OFFSET(abbreviation[],0,ColumnLanguage),ColumnAbbreviation,FALSE),"")</f>
        <v/>
      </c>
      <c r="BY854" s="21" t="str">
        <f ca="1">IFERROR(VLOOKUP(AL854,OFFSET(abbreviation[],0,ColumnLanguage),ColumnAbbreviation,FALSE),"")</f>
        <v/>
      </c>
      <c r="BZ854" s="21" t="str">
        <f t="shared" ca="1" si="93"/>
        <v>_</v>
      </c>
      <c r="CA854" s="21" t="str">
        <f ca="1">IFERROR(VLOOKUP(AP854,OFFSET(abbreviation[],0,ColumnLanguage),ColumnAbbreviation,FALSE),"")</f>
        <v/>
      </c>
      <c r="CB854" s="21" t="str">
        <f ca="1">IFERROR(VLOOKUP(AR854,OFFSET(abbreviation[],0,ColumnLanguage),ColumnAbbreviation,FALSE),"")</f>
        <v/>
      </c>
      <c r="CC854" s="21" t="str">
        <f ca="1">IFERROR(VLOOKUP(AT854,OFFSET(abbreviation[],0,ColumnLanguage),ColumnAbbreviation,FALSE),"")</f>
        <v/>
      </c>
      <c r="CD854" s="21" t="str">
        <f ca="1">IFERROR(VLOOKUP(AV854,OFFSET(abbreviation[],0,ColumnLanguage),ColumnAbbreviation,FALSE),"")</f>
        <v/>
      </c>
      <c r="CE854" s="21" t="str">
        <f t="shared" ca="1" si="94"/>
        <v>__</v>
      </c>
      <c r="CF854" s="21" t="str">
        <f ca="1">IFERROR(VLOOKUP(AX854,OFFSET(abbreviation[],0,ColumnLanguage),ColumnAbbreviation,FALSE),"")</f>
        <v/>
      </c>
      <c r="CG854" s="21" t="str">
        <f ca="1">IFERROR(VLOOKUP(AZ854,OFFSET(abbreviation[],0,ColumnLanguage),ColumnAbbreviation,FALSE),"")</f>
        <v/>
      </c>
      <c r="CH854" s="21" t="str">
        <f ca="1">IFERROR(VLOOKUP(BB854,OFFSET(abbreviation[],0,ColumnLanguage),ColumnAbbreviation,FALSE),"")</f>
        <v/>
      </c>
      <c r="CI854" s="21" t="str">
        <f ca="1">IFERROR(VLOOKUP(BD854,OFFSET(abbreviation[],0,ColumnLanguage),ColumnAbbreviation,FALSE),"")</f>
        <v/>
      </c>
      <c r="CJ854" s="21" t="str">
        <f ca="1">IFERROR(VLOOKUP(BF854,OFFSET(abbreviation[],0,ColumnLanguage),ColumnAbbreviation,FALSE),"")</f>
        <v/>
      </c>
      <c r="CK854" s="21" t="str">
        <f t="shared" ca="1" si="95"/>
        <v/>
      </c>
      <c r="CL854" s="21" t="str">
        <f t="shared" si="96"/>
        <v/>
      </c>
      <c r="CM854" s="52"/>
      <c r="CN854" s="57" t="str">
        <f t="shared" si="97"/>
        <v/>
      </c>
    </row>
    <row r="855" spans="17:92" x14ac:dyDescent="0.25">
      <c r="Q855" s="13"/>
      <c r="V855" s="60"/>
      <c r="X855" s="61"/>
      <c r="AN855" s="54"/>
      <c r="AS855" s="15"/>
      <c r="BH855" s="52"/>
      <c r="BI855" s="21" t="str">
        <f ca="1">IFERROR(VLOOKUP(C855,OFFSET(abbreviation[],0,ColumnLanguage),ColumnAbbreviation,FALSE),"")</f>
        <v/>
      </c>
      <c r="BJ855" s="21" t="str">
        <f ca="1">IFERROR(VLOOKUP(E855,OFFSET(abbreviation[],0,ColumnLanguage),ColumnAbbreviation,FALSE),"")</f>
        <v/>
      </c>
      <c r="BK855" s="21" t="str">
        <f ca="1">IFERROR(VLOOKUP(G855,OFFSET(abbreviation[],0,ColumnLanguage),ColumnAbbreviation,FALSE),"")</f>
        <v/>
      </c>
      <c r="BL855" s="21" t="str">
        <f ca="1">IFERROR(VLOOKUP(I855,OFFSET(abbreviation[],0,ColumnLanguage),ColumnAbbreviation,FALSE),"")</f>
        <v/>
      </c>
      <c r="BM855" s="21" t="str">
        <f ca="1">IFERROR(VLOOKUP(K855,OFFSET(abbreviation[],0,ColumnLanguage),ColumnAbbreviation,FALSE),"")</f>
        <v/>
      </c>
      <c r="BN855" s="21" t="str">
        <f t="shared" ca="1" si="91"/>
        <v/>
      </c>
      <c r="BO855" s="21" t="str">
        <f ca="1">IFERROR(VLOOKUP(N855,OFFSET(abbreviation[],0,ColumnLanguage),ColumnAbbreviation,FALSE),"")</f>
        <v/>
      </c>
      <c r="BP855" s="21" t="str">
        <f ca="1">IFERROR(VLOOKUP(P855,OFFSET(abbreviation[],0,ColumnLanguage),ColumnAbbreviation,FALSE),"")</f>
        <v/>
      </c>
      <c r="BQ855" s="21" t="str">
        <f ca="1">IFERROR(VLOOKUP(T855,OFFSET(abbreviation[],0,ColumnLanguage),ColumnAbbreviation,FALSE),"")</f>
        <v/>
      </c>
      <c r="BR855" s="21" t="str">
        <f ca="1">IFERROR(VLOOKUP(V855,OFFSET(abbreviation[],0,ColumnLanguage),ColumnAbbreviation,FALSE),"")</f>
        <v/>
      </c>
      <c r="BS855" s="21" t="str">
        <f ca="1">IFERROR(VLOOKUP(Z855,OFFSET(abbreviation[],0,ColumnLanguage),ColumnAbbreviation,FALSE),"")</f>
        <v/>
      </c>
      <c r="BT855" s="21" t="str">
        <f ca="1">IFERROR(VLOOKUP(AB855,OFFSET(abbreviation[],0,ColumnLanguage),ColumnAbbreviation,FALSE),"")</f>
        <v/>
      </c>
      <c r="BU855" s="21" t="str">
        <f t="shared" ca="1" si="92"/>
        <v>__</v>
      </c>
      <c r="BV855" s="21" t="str">
        <f ca="1">IFERROR(VLOOKUP(AF855,OFFSET(abbreviation[],0,ColumnLanguage),ColumnAbbreviation,FALSE),"")</f>
        <v/>
      </c>
      <c r="BW855" s="21" t="str">
        <f ca="1">IFERROR(VLOOKUP(AH855,OFFSET(abbreviation[],0,ColumnLanguage),ColumnAbbreviation,FALSE),"")</f>
        <v/>
      </c>
      <c r="BX855" s="21" t="str">
        <f ca="1">IFERROR(VLOOKUP(AJ855,OFFSET(abbreviation[],0,ColumnLanguage),ColumnAbbreviation,FALSE),"")</f>
        <v/>
      </c>
      <c r="BY855" s="21" t="str">
        <f ca="1">IFERROR(VLOOKUP(AL855,OFFSET(abbreviation[],0,ColumnLanguage),ColumnAbbreviation,FALSE),"")</f>
        <v/>
      </c>
      <c r="BZ855" s="21" t="str">
        <f t="shared" ca="1" si="93"/>
        <v>_</v>
      </c>
      <c r="CA855" s="21" t="str">
        <f ca="1">IFERROR(VLOOKUP(AP855,OFFSET(abbreviation[],0,ColumnLanguage),ColumnAbbreviation,FALSE),"")</f>
        <v/>
      </c>
      <c r="CB855" s="21" t="str">
        <f ca="1">IFERROR(VLOOKUP(AR855,OFFSET(abbreviation[],0,ColumnLanguage),ColumnAbbreviation,FALSE),"")</f>
        <v/>
      </c>
      <c r="CC855" s="21" t="str">
        <f ca="1">IFERROR(VLOOKUP(AT855,OFFSET(abbreviation[],0,ColumnLanguage),ColumnAbbreviation,FALSE),"")</f>
        <v/>
      </c>
      <c r="CD855" s="21" t="str">
        <f ca="1">IFERROR(VLOOKUP(AV855,OFFSET(abbreviation[],0,ColumnLanguage),ColumnAbbreviation,FALSE),"")</f>
        <v/>
      </c>
      <c r="CE855" s="21" t="str">
        <f t="shared" ca="1" si="94"/>
        <v>__</v>
      </c>
      <c r="CF855" s="21" t="str">
        <f ca="1">IFERROR(VLOOKUP(AX855,OFFSET(abbreviation[],0,ColumnLanguage),ColumnAbbreviation,FALSE),"")</f>
        <v/>
      </c>
      <c r="CG855" s="21" t="str">
        <f ca="1">IFERROR(VLOOKUP(AZ855,OFFSET(abbreviation[],0,ColumnLanguage),ColumnAbbreviation,FALSE),"")</f>
        <v/>
      </c>
      <c r="CH855" s="21" t="str">
        <f ca="1">IFERROR(VLOOKUP(BB855,OFFSET(abbreviation[],0,ColumnLanguage),ColumnAbbreviation,FALSE),"")</f>
        <v/>
      </c>
      <c r="CI855" s="21" t="str">
        <f ca="1">IFERROR(VLOOKUP(BD855,OFFSET(abbreviation[],0,ColumnLanguage),ColumnAbbreviation,FALSE),"")</f>
        <v/>
      </c>
      <c r="CJ855" s="21" t="str">
        <f ca="1">IFERROR(VLOOKUP(BF855,OFFSET(abbreviation[],0,ColumnLanguage),ColumnAbbreviation,FALSE),"")</f>
        <v/>
      </c>
      <c r="CK855" s="21" t="str">
        <f t="shared" ca="1" si="95"/>
        <v/>
      </c>
      <c r="CL855" s="21" t="str">
        <f t="shared" si="96"/>
        <v/>
      </c>
      <c r="CM855" s="52"/>
      <c r="CN855" s="57" t="str">
        <f t="shared" si="97"/>
        <v/>
      </c>
    </row>
    <row r="856" spans="17:92" x14ac:dyDescent="0.25">
      <c r="Q856" s="13"/>
      <c r="V856" s="60"/>
      <c r="X856" s="61"/>
      <c r="AN856" s="54"/>
      <c r="AS856" s="15"/>
      <c r="BH856" s="52"/>
      <c r="BI856" s="21" t="str">
        <f ca="1">IFERROR(VLOOKUP(C856,OFFSET(abbreviation[],0,ColumnLanguage),ColumnAbbreviation,FALSE),"")</f>
        <v/>
      </c>
      <c r="BJ856" s="21" t="str">
        <f ca="1">IFERROR(VLOOKUP(E856,OFFSET(abbreviation[],0,ColumnLanguage),ColumnAbbreviation,FALSE),"")</f>
        <v/>
      </c>
      <c r="BK856" s="21" t="str">
        <f ca="1">IFERROR(VLOOKUP(G856,OFFSET(abbreviation[],0,ColumnLanguage),ColumnAbbreviation,FALSE),"")</f>
        <v/>
      </c>
      <c r="BL856" s="21" t="str">
        <f ca="1">IFERROR(VLOOKUP(I856,OFFSET(abbreviation[],0,ColumnLanguage),ColumnAbbreviation,FALSE),"")</f>
        <v/>
      </c>
      <c r="BM856" s="21" t="str">
        <f ca="1">IFERROR(VLOOKUP(K856,OFFSET(abbreviation[],0,ColumnLanguage),ColumnAbbreviation,FALSE),"")</f>
        <v/>
      </c>
      <c r="BN856" s="21" t="str">
        <f t="shared" ca="1" si="91"/>
        <v/>
      </c>
      <c r="BO856" s="21" t="str">
        <f ca="1">IFERROR(VLOOKUP(N856,OFFSET(abbreviation[],0,ColumnLanguage),ColumnAbbreviation,FALSE),"")</f>
        <v/>
      </c>
      <c r="BP856" s="21" t="str">
        <f ca="1">IFERROR(VLOOKUP(P856,OFFSET(abbreviation[],0,ColumnLanguage),ColumnAbbreviation,FALSE),"")</f>
        <v/>
      </c>
      <c r="BQ856" s="21" t="str">
        <f ca="1">IFERROR(VLOOKUP(T856,OFFSET(abbreviation[],0,ColumnLanguage),ColumnAbbreviation,FALSE),"")</f>
        <v/>
      </c>
      <c r="BR856" s="21" t="str">
        <f ca="1">IFERROR(VLOOKUP(V856,OFFSET(abbreviation[],0,ColumnLanguage),ColumnAbbreviation,FALSE),"")</f>
        <v/>
      </c>
      <c r="BS856" s="21" t="str">
        <f ca="1">IFERROR(VLOOKUP(Z856,OFFSET(abbreviation[],0,ColumnLanguage),ColumnAbbreviation,FALSE),"")</f>
        <v/>
      </c>
      <c r="BT856" s="21" t="str">
        <f ca="1">IFERROR(VLOOKUP(AB856,OFFSET(abbreviation[],0,ColumnLanguage),ColumnAbbreviation,FALSE),"")</f>
        <v/>
      </c>
      <c r="BU856" s="21" t="str">
        <f t="shared" ca="1" si="92"/>
        <v>__</v>
      </c>
      <c r="BV856" s="21" t="str">
        <f ca="1">IFERROR(VLOOKUP(AF856,OFFSET(abbreviation[],0,ColumnLanguage),ColumnAbbreviation,FALSE),"")</f>
        <v/>
      </c>
      <c r="BW856" s="21" t="str">
        <f ca="1">IFERROR(VLOOKUP(AH856,OFFSET(abbreviation[],0,ColumnLanguage),ColumnAbbreviation,FALSE),"")</f>
        <v/>
      </c>
      <c r="BX856" s="21" t="str">
        <f ca="1">IFERROR(VLOOKUP(AJ856,OFFSET(abbreviation[],0,ColumnLanguage),ColumnAbbreviation,FALSE),"")</f>
        <v/>
      </c>
      <c r="BY856" s="21" t="str">
        <f ca="1">IFERROR(VLOOKUP(AL856,OFFSET(abbreviation[],0,ColumnLanguage),ColumnAbbreviation,FALSE),"")</f>
        <v/>
      </c>
      <c r="BZ856" s="21" t="str">
        <f t="shared" ca="1" si="93"/>
        <v>_</v>
      </c>
      <c r="CA856" s="21" t="str">
        <f ca="1">IFERROR(VLOOKUP(AP856,OFFSET(abbreviation[],0,ColumnLanguage),ColumnAbbreviation,FALSE),"")</f>
        <v/>
      </c>
      <c r="CB856" s="21" t="str">
        <f ca="1">IFERROR(VLOOKUP(AR856,OFFSET(abbreviation[],0,ColumnLanguage),ColumnAbbreviation,FALSE),"")</f>
        <v/>
      </c>
      <c r="CC856" s="21" t="str">
        <f ca="1">IFERROR(VLOOKUP(AT856,OFFSET(abbreviation[],0,ColumnLanguage),ColumnAbbreviation,FALSE),"")</f>
        <v/>
      </c>
      <c r="CD856" s="21" t="str">
        <f ca="1">IFERROR(VLOOKUP(AV856,OFFSET(abbreviation[],0,ColumnLanguage),ColumnAbbreviation,FALSE),"")</f>
        <v/>
      </c>
      <c r="CE856" s="21" t="str">
        <f t="shared" ca="1" si="94"/>
        <v>__</v>
      </c>
      <c r="CF856" s="21" t="str">
        <f ca="1">IFERROR(VLOOKUP(AX856,OFFSET(abbreviation[],0,ColumnLanguage),ColumnAbbreviation,FALSE),"")</f>
        <v/>
      </c>
      <c r="CG856" s="21" t="str">
        <f ca="1">IFERROR(VLOOKUP(AZ856,OFFSET(abbreviation[],0,ColumnLanguage),ColumnAbbreviation,FALSE),"")</f>
        <v/>
      </c>
      <c r="CH856" s="21" t="str">
        <f ca="1">IFERROR(VLOOKUP(BB856,OFFSET(abbreviation[],0,ColumnLanguage),ColumnAbbreviation,FALSE),"")</f>
        <v/>
      </c>
      <c r="CI856" s="21" t="str">
        <f ca="1">IFERROR(VLOOKUP(BD856,OFFSET(abbreviation[],0,ColumnLanguage),ColumnAbbreviation,FALSE),"")</f>
        <v/>
      </c>
      <c r="CJ856" s="21" t="str">
        <f ca="1">IFERROR(VLOOKUP(BF856,OFFSET(abbreviation[],0,ColumnLanguage),ColumnAbbreviation,FALSE),"")</f>
        <v/>
      </c>
      <c r="CK856" s="21" t="str">
        <f t="shared" ca="1" si="95"/>
        <v/>
      </c>
      <c r="CL856" s="21" t="str">
        <f t="shared" si="96"/>
        <v/>
      </c>
      <c r="CM856" s="52"/>
      <c r="CN856" s="57" t="str">
        <f t="shared" si="97"/>
        <v/>
      </c>
    </row>
    <row r="857" spans="17:92" x14ac:dyDescent="0.25">
      <c r="Q857" s="13"/>
      <c r="V857" s="60"/>
      <c r="X857" s="61"/>
      <c r="AN857" s="54"/>
      <c r="AS857" s="15"/>
      <c r="BH857" s="52"/>
      <c r="BI857" s="21" t="str">
        <f ca="1">IFERROR(VLOOKUP(C857,OFFSET(abbreviation[],0,ColumnLanguage),ColumnAbbreviation,FALSE),"")</f>
        <v/>
      </c>
      <c r="BJ857" s="21" t="str">
        <f ca="1">IFERROR(VLOOKUP(E857,OFFSET(abbreviation[],0,ColumnLanguage),ColumnAbbreviation,FALSE),"")</f>
        <v/>
      </c>
      <c r="BK857" s="21" t="str">
        <f ca="1">IFERROR(VLOOKUP(G857,OFFSET(abbreviation[],0,ColumnLanguage),ColumnAbbreviation,FALSE),"")</f>
        <v/>
      </c>
      <c r="BL857" s="21" t="str">
        <f ca="1">IFERROR(VLOOKUP(I857,OFFSET(abbreviation[],0,ColumnLanguage),ColumnAbbreviation,FALSE),"")</f>
        <v/>
      </c>
      <c r="BM857" s="21" t="str">
        <f ca="1">IFERROR(VLOOKUP(K857,OFFSET(abbreviation[],0,ColumnLanguage),ColumnAbbreviation,FALSE),"")</f>
        <v/>
      </c>
      <c r="BN857" s="21" t="str">
        <f t="shared" ca="1" si="91"/>
        <v/>
      </c>
      <c r="BO857" s="21" t="str">
        <f ca="1">IFERROR(VLOOKUP(N857,OFFSET(abbreviation[],0,ColumnLanguage),ColumnAbbreviation,FALSE),"")</f>
        <v/>
      </c>
      <c r="BP857" s="21" t="str">
        <f ca="1">IFERROR(VLOOKUP(P857,OFFSET(abbreviation[],0,ColumnLanguage),ColumnAbbreviation,FALSE),"")</f>
        <v/>
      </c>
      <c r="BQ857" s="21" t="str">
        <f ca="1">IFERROR(VLOOKUP(T857,OFFSET(abbreviation[],0,ColumnLanguage),ColumnAbbreviation,FALSE),"")</f>
        <v/>
      </c>
      <c r="BR857" s="21" t="str">
        <f ca="1">IFERROR(VLOOKUP(V857,OFFSET(abbreviation[],0,ColumnLanguage),ColumnAbbreviation,FALSE),"")</f>
        <v/>
      </c>
      <c r="BS857" s="21" t="str">
        <f ca="1">IFERROR(VLOOKUP(Z857,OFFSET(abbreviation[],0,ColumnLanguage),ColumnAbbreviation,FALSE),"")</f>
        <v/>
      </c>
      <c r="BT857" s="21" t="str">
        <f ca="1">IFERROR(VLOOKUP(AB857,OFFSET(abbreviation[],0,ColumnLanguage),ColumnAbbreviation,FALSE),"")</f>
        <v/>
      </c>
      <c r="BU857" s="21" t="str">
        <f t="shared" ca="1" si="92"/>
        <v>__</v>
      </c>
      <c r="BV857" s="21" t="str">
        <f ca="1">IFERROR(VLOOKUP(AF857,OFFSET(abbreviation[],0,ColumnLanguage),ColumnAbbreviation,FALSE),"")</f>
        <v/>
      </c>
      <c r="BW857" s="21" t="str">
        <f ca="1">IFERROR(VLOOKUP(AH857,OFFSET(abbreviation[],0,ColumnLanguage),ColumnAbbreviation,FALSE),"")</f>
        <v/>
      </c>
      <c r="BX857" s="21" t="str">
        <f ca="1">IFERROR(VLOOKUP(AJ857,OFFSET(abbreviation[],0,ColumnLanguage),ColumnAbbreviation,FALSE),"")</f>
        <v/>
      </c>
      <c r="BY857" s="21" t="str">
        <f ca="1">IFERROR(VLOOKUP(AL857,OFFSET(abbreviation[],0,ColumnLanguage),ColumnAbbreviation,FALSE),"")</f>
        <v/>
      </c>
      <c r="BZ857" s="21" t="str">
        <f t="shared" ca="1" si="93"/>
        <v>_</v>
      </c>
      <c r="CA857" s="21" t="str">
        <f ca="1">IFERROR(VLOOKUP(AP857,OFFSET(abbreviation[],0,ColumnLanguage),ColumnAbbreviation,FALSE),"")</f>
        <v/>
      </c>
      <c r="CB857" s="21" t="str">
        <f ca="1">IFERROR(VLOOKUP(AR857,OFFSET(abbreviation[],0,ColumnLanguage),ColumnAbbreviation,FALSE),"")</f>
        <v/>
      </c>
      <c r="CC857" s="21" t="str">
        <f ca="1">IFERROR(VLOOKUP(AT857,OFFSET(abbreviation[],0,ColumnLanguage),ColumnAbbreviation,FALSE),"")</f>
        <v/>
      </c>
      <c r="CD857" s="21" t="str">
        <f ca="1">IFERROR(VLOOKUP(AV857,OFFSET(abbreviation[],0,ColumnLanguage),ColumnAbbreviation,FALSE),"")</f>
        <v/>
      </c>
      <c r="CE857" s="21" t="str">
        <f t="shared" ca="1" si="94"/>
        <v>__</v>
      </c>
      <c r="CF857" s="21" t="str">
        <f ca="1">IFERROR(VLOOKUP(AX857,OFFSET(abbreviation[],0,ColumnLanguage),ColumnAbbreviation,FALSE),"")</f>
        <v/>
      </c>
      <c r="CG857" s="21" t="str">
        <f ca="1">IFERROR(VLOOKUP(AZ857,OFFSET(abbreviation[],0,ColumnLanguage),ColumnAbbreviation,FALSE),"")</f>
        <v/>
      </c>
      <c r="CH857" s="21" t="str">
        <f ca="1">IFERROR(VLOOKUP(BB857,OFFSET(abbreviation[],0,ColumnLanguage),ColumnAbbreviation,FALSE),"")</f>
        <v/>
      </c>
      <c r="CI857" s="21" t="str">
        <f ca="1">IFERROR(VLOOKUP(BD857,OFFSET(abbreviation[],0,ColumnLanguage),ColumnAbbreviation,FALSE),"")</f>
        <v/>
      </c>
      <c r="CJ857" s="21" t="str">
        <f ca="1">IFERROR(VLOOKUP(BF857,OFFSET(abbreviation[],0,ColumnLanguage),ColumnAbbreviation,FALSE),"")</f>
        <v/>
      </c>
      <c r="CK857" s="21" t="str">
        <f t="shared" ca="1" si="95"/>
        <v/>
      </c>
      <c r="CL857" s="21" t="str">
        <f t="shared" si="96"/>
        <v/>
      </c>
      <c r="CM857" s="52"/>
      <c r="CN857" s="57" t="str">
        <f t="shared" si="97"/>
        <v/>
      </c>
    </row>
    <row r="858" spans="17:92" x14ac:dyDescent="0.25">
      <c r="Q858" s="13"/>
      <c r="V858" s="60"/>
      <c r="X858" s="61"/>
      <c r="AN858" s="54"/>
      <c r="AS858" s="15"/>
      <c r="BH858" s="52"/>
      <c r="BI858" s="21" t="str">
        <f ca="1">IFERROR(VLOOKUP(C858,OFFSET(abbreviation[],0,ColumnLanguage),ColumnAbbreviation,FALSE),"")</f>
        <v/>
      </c>
      <c r="BJ858" s="21" t="str">
        <f ca="1">IFERROR(VLOOKUP(E858,OFFSET(abbreviation[],0,ColumnLanguage),ColumnAbbreviation,FALSE),"")</f>
        <v/>
      </c>
      <c r="BK858" s="21" t="str">
        <f ca="1">IFERROR(VLOOKUP(G858,OFFSET(abbreviation[],0,ColumnLanguage),ColumnAbbreviation,FALSE),"")</f>
        <v/>
      </c>
      <c r="BL858" s="21" t="str">
        <f ca="1">IFERROR(VLOOKUP(I858,OFFSET(abbreviation[],0,ColumnLanguage),ColumnAbbreviation,FALSE),"")</f>
        <v/>
      </c>
      <c r="BM858" s="21" t="str">
        <f ca="1">IFERROR(VLOOKUP(K858,OFFSET(abbreviation[],0,ColumnLanguage),ColumnAbbreviation,FALSE),"")</f>
        <v/>
      </c>
      <c r="BN858" s="21" t="str">
        <f t="shared" ca="1" si="91"/>
        <v/>
      </c>
      <c r="BO858" s="21" t="str">
        <f ca="1">IFERROR(VLOOKUP(N858,OFFSET(abbreviation[],0,ColumnLanguage),ColumnAbbreviation,FALSE),"")</f>
        <v/>
      </c>
      <c r="BP858" s="21" t="str">
        <f ca="1">IFERROR(VLOOKUP(P858,OFFSET(abbreviation[],0,ColumnLanguage),ColumnAbbreviation,FALSE),"")</f>
        <v/>
      </c>
      <c r="BQ858" s="21" t="str">
        <f ca="1">IFERROR(VLOOKUP(T858,OFFSET(abbreviation[],0,ColumnLanguage),ColumnAbbreviation,FALSE),"")</f>
        <v/>
      </c>
      <c r="BR858" s="21" t="str">
        <f ca="1">IFERROR(VLOOKUP(V858,OFFSET(abbreviation[],0,ColumnLanguage),ColumnAbbreviation,FALSE),"")</f>
        <v/>
      </c>
      <c r="BS858" s="21" t="str">
        <f ca="1">IFERROR(VLOOKUP(Z858,OFFSET(abbreviation[],0,ColumnLanguage),ColumnAbbreviation,FALSE),"")</f>
        <v/>
      </c>
      <c r="BT858" s="21" t="str">
        <f ca="1">IFERROR(VLOOKUP(AB858,OFFSET(abbreviation[],0,ColumnLanguage),ColumnAbbreviation,FALSE),"")</f>
        <v/>
      </c>
      <c r="BU858" s="21" t="str">
        <f t="shared" ca="1" si="92"/>
        <v>__</v>
      </c>
      <c r="BV858" s="21" t="str">
        <f ca="1">IFERROR(VLOOKUP(AF858,OFFSET(abbreviation[],0,ColumnLanguage),ColumnAbbreviation,FALSE),"")</f>
        <v/>
      </c>
      <c r="BW858" s="21" t="str">
        <f ca="1">IFERROR(VLOOKUP(AH858,OFFSET(abbreviation[],0,ColumnLanguage),ColumnAbbreviation,FALSE),"")</f>
        <v/>
      </c>
      <c r="BX858" s="21" t="str">
        <f ca="1">IFERROR(VLOOKUP(AJ858,OFFSET(abbreviation[],0,ColumnLanguage),ColumnAbbreviation,FALSE),"")</f>
        <v/>
      </c>
      <c r="BY858" s="21" t="str">
        <f ca="1">IFERROR(VLOOKUP(AL858,OFFSET(abbreviation[],0,ColumnLanguage),ColumnAbbreviation,FALSE),"")</f>
        <v/>
      </c>
      <c r="BZ858" s="21" t="str">
        <f t="shared" ca="1" si="93"/>
        <v>_</v>
      </c>
      <c r="CA858" s="21" t="str">
        <f ca="1">IFERROR(VLOOKUP(AP858,OFFSET(abbreviation[],0,ColumnLanguage),ColumnAbbreviation,FALSE),"")</f>
        <v/>
      </c>
      <c r="CB858" s="21" t="str">
        <f ca="1">IFERROR(VLOOKUP(AR858,OFFSET(abbreviation[],0,ColumnLanguage),ColumnAbbreviation,FALSE),"")</f>
        <v/>
      </c>
      <c r="CC858" s="21" t="str">
        <f ca="1">IFERROR(VLOOKUP(AT858,OFFSET(abbreviation[],0,ColumnLanguage),ColumnAbbreviation,FALSE),"")</f>
        <v/>
      </c>
      <c r="CD858" s="21" t="str">
        <f ca="1">IFERROR(VLOOKUP(AV858,OFFSET(abbreviation[],0,ColumnLanguage),ColumnAbbreviation,FALSE),"")</f>
        <v/>
      </c>
      <c r="CE858" s="21" t="str">
        <f t="shared" ca="1" si="94"/>
        <v>__</v>
      </c>
      <c r="CF858" s="21" t="str">
        <f ca="1">IFERROR(VLOOKUP(AX858,OFFSET(abbreviation[],0,ColumnLanguage),ColumnAbbreviation,FALSE),"")</f>
        <v/>
      </c>
      <c r="CG858" s="21" t="str">
        <f ca="1">IFERROR(VLOOKUP(AZ858,OFFSET(abbreviation[],0,ColumnLanguage),ColumnAbbreviation,FALSE),"")</f>
        <v/>
      </c>
      <c r="CH858" s="21" t="str">
        <f ca="1">IFERROR(VLOOKUP(BB858,OFFSET(abbreviation[],0,ColumnLanguage),ColumnAbbreviation,FALSE),"")</f>
        <v/>
      </c>
      <c r="CI858" s="21" t="str">
        <f ca="1">IFERROR(VLOOKUP(BD858,OFFSET(abbreviation[],0,ColumnLanguage),ColumnAbbreviation,FALSE),"")</f>
        <v/>
      </c>
      <c r="CJ858" s="21" t="str">
        <f ca="1">IFERROR(VLOOKUP(BF858,OFFSET(abbreviation[],0,ColumnLanguage),ColumnAbbreviation,FALSE),"")</f>
        <v/>
      </c>
      <c r="CK858" s="21" t="str">
        <f t="shared" ca="1" si="95"/>
        <v/>
      </c>
      <c r="CL858" s="21" t="str">
        <f t="shared" si="96"/>
        <v/>
      </c>
      <c r="CM858" s="52"/>
      <c r="CN858" s="57" t="str">
        <f t="shared" si="97"/>
        <v/>
      </c>
    </row>
    <row r="859" spans="17:92" x14ac:dyDescent="0.25">
      <c r="Q859" s="13"/>
      <c r="V859" s="60"/>
      <c r="X859" s="61"/>
      <c r="AN859" s="54"/>
      <c r="AS859" s="15"/>
      <c r="BH859" s="52"/>
      <c r="BI859" s="21" t="str">
        <f ca="1">IFERROR(VLOOKUP(C859,OFFSET(abbreviation[],0,ColumnLanguage),ColumnAbbreviation,FALSE),"")</f>
        <v/>
      </c>
      <c r="BJ859" s="21" t="str">
        <f ca="1">IFERROR(VLOOKUP(E859,OFFSET(abbreviation[],0,ColumnLanguage),ColumnAbbreviation,FALSE),"")</f>
        <v/>
      </c>
      <c r="BK859" s="21" t="str">
        <f ca="1">IFERROR(VLOOKUP(G859,OFFSET(abbreviation[],0,ColumnLanguage),ColumnAbbreviation,FALSE),"")</f>
        <v/>
      </c>
      <c r="BL859" s="21" t="str">
        <f ca="1">IFERROR(VLOOKUP(I859,OFFSET(abbreviation[],0,ColumnLanguage),ColumnAbbreviation,FALSE),"")</f>
        <v/>
      </c>
      <c r="BM859" s="21" t="str">
        <f ca="1">IFERROR(VLOOKUP(K859,OFFSET(abbreviation[],0,ColumnLanguage),ColumnAbbreviation,FALSE),"")</f>
        <v/>
      </c>
      <c r="BN859" s="21" t="str">
        <f t="shared" ca="1" si="91"/>
        <v/>
      </c>
      <c r="BO859" s="21" t="str">
        <f ca="1">IFERROR(VLOOKUP(N859,OFFSET(abbreviation[],0,ColumnLanguage),ColumnAbbreviation,FALSE),"")</f>
        <v/>
      </c>
      <c r="BP859" s="21" t="str">
        <f ca="1">IFERROR(VLOOKUP(P859,OFFSET(abbreviation[],0,ColumnLanguage),ColumnAbbreviation,FALSE),"")</f>
        <v/>
      </c>
      <c r="BQ859" s="21" t="str">
        <f ca="1">IFERROR(VLOOKUP(T859,OFFSET(abbreviation[],0,ColumnLanguage),ColumnAbbreviation,FALSE),"")</f>
        <v/>
      </c>
      <c r="BR859" s="21" t="str">
        <f ca="1">IFERROR(VLOOKUP(V859,OFFSET(abbreviation[],0,ColumnLanguage),ColumnAbbreviation,FALSE),"")</f>
        <v/>
      </c>
      <c r="BS859" s="21" t="str">
        <f ca="1">IFERROR(VLOOKUP(Z859,OFFSET(abbreviation[],0,ColumnLanguage),ColumnAbbreviation,FALSE),"")</f>
        <v/>
      </c>
      <c r="BT859" s="21" t="str">
        <f ca="1">IFERROR(VLOOKUP(AB859,OFFSET(abbreviation[],0,ColumnLanguage),ColumnAbbreviation,FALSE),"")</f>
        <v/>
      </c>
      <c r="BU859" s="21" t="str">
        <f t="shared" ca="1" si="92"/>
        <v>__</v>
      </c>
      <c r="BV859" s="21" t="str">
        <f ca="1">IFERROR(VLOOKUP(AF859,OFFSET(abbreviation[],0,ColumnLanguage),ColumnAbbreviation,FALSE),"")</f>
        <v/>
      </c>
      <c r="BW859" s="21" t="str">
        <f ca="1">IFERROR(VLOOKUP(AH859,OFFSET(abbreviation[],0,ColumnLanguage),ColumnAbbreviation,FALSE),"")</f>
        <v/>
      </c>
      <c r="BX859" s="21" t="str">
        <f ca="1">IFERROR(VLOOKUP(AJ859,OFFSET(abbreviation[],0,ColumnLanguage),ColumnAbbreviation,FALSE),"")</f>
        <v/>
      </c>
      <c r="BY859" s="21" t="str">
        <f ca="1">IFERROR(VLOOKUP(AL859,OFFSET(abbreviation[],0,ColumnLanguage),ColumnAbbreviation,FALSE),"")</f>
        <v/>
      </c>
      <c r="BZ859" s="21" t="str">
        <f t="shared" ca="1" si="93"/>
        <v>_</v>
      </c>
      <c r="CA859" s="21" t="str">
        <f ca="1">IFERROR(VLOOKUP(AP859,OFFSET(abbreviation[],0,ColumnLanguage),ColumnAbbreviation,FALSE),"")</f>
        <v/>
      </c>
      <c r="CB859" s="21" t="str">
        <f ca="1">IFERROR(VLOOKUP(AR859,OFFSET(abbreviation[],0,ColumnLanguage),ColumnAbbreviation,FALSE),"")</f>
        <v/>
      </c>
      <c r="CC859" s="21" t="str">
        <f ca="1">IFERROR(VLOOKUP(AT859,OFFSET(abbreviation[],0,ColumnLanguage),ColumnAbbreviation,FALSE),"")</f>
        <v/>
      </c>
      <c r="CD859" s="21" t="str">
        <f ca="1">IFERROR(VLOOKUP(AV859,OFFSET(abbreviation[],0,ColumnLanguage),ColumnAbbreviation,FALSE),"")</f>
        <v/>
      </c>
      <c r="CE859" s="21" t="str">
        <f t="shared" ca="1" si="94"/>
        <v>__</v>
      </c>
      <c r="CF859" s="21" t="str">
        <f ca="1">IFERROR(VLOOKUP(AX859,OFFSET(abbreviation[],0,ColumnLanguage),ColumnAbbreviation,FALSE),"")</f>
        <v/>
      </c>
      <c r="CG859" s="21" t="str">
        <f ca="1">IFERROR(VLOOKUP(AZ859,OFFSET(abbreviation[],0,ColumnLanguage),ColumnAbbreviation,FALSE),"")</f>
        <v/>
      </c>
      <c r="CH859" s="21" t="str">
        <f ca="1">IFERROR(VLOOKUP(BB859,OFFSET(abbreviation[],0,ColumnLanguage),ColumnAbbreviation,FALSE),"")</f>
        <v/>
      </c>
      <c r="CI859" s="21" t="str">
        <f ca="1">IFERROR(VLOOKUP(BD859,OFFSET(abbreviation[],0,ColumnLanguage),ColumnAbbreviation,FALSE),"")</f>
        <v/>
      </c>
      <c r="CJ859" s="21" t="str">
        <f ca="1">IFERROR(VLOOKUP(BF859,OFFSET(abbreviation[],0,ColumnLanguage),ColumnAbbreviation,FALSE),"")</f>
        <v/>
      </c>
      <c r="CK859" s="21" t="str">
        <f t="shared" ca="1" si="95"/>
        <v/>
      </c>
      <c r="CL859" s="21" t="str">
        <f t="shared" si="96"/>
        <v/>
      </c>
      <c r="CM859" s="52"/>
      <c r="CN859" s="57" t="str">
        <f t="shared" si="97"/>
        <v/>
      </c>
    </row>
    <row r="860" spans="17:92" x14ac:dyDescent="0.25">
      <c r="Q860" s="13"/>
      <c r="V860" s="60"/>
      <c r="X860" s="61"/>
      <c r="AN860" s="54"/>
      <c r="AS860" s="15"/>
      <c r="BH860" s="52"/>
      <c r="BI860" s="21" t="str">
        <f ca="1">IFERROR(VLOOKUP(C860,OFFSET(abbreviation[],0,ColumnLanguage),ColumnAbbreviation,FALSE),"")</f>
        <v/>
      </c>
      <c r="BJ860" s="21" t="str">
        <f ca="1">IFERROR(VLOOKUP(E860,OFFSET(abbreviation[],0,ColumnLanguage),ColumnAbbreviation,FALSE),"")</f>
        <v/>
      </c>
      <c r="BK860" s="21" t="str">
        <f ca="1">IFERROR(VLOOKUP(G860,OFFSET(abbreviation[],0,ColumnLanguage),ColumnAbbreviation,FALSE),"")</f>
        <v/>
      </c>
      <c r="BL860" s="21" t="str">
        <f ca="1">IFERROR(VLOOKUP(I860,OFFSET(abbreviation[],0,ColumnLanguage),ColumnAbbreviation,FALSE),"")</f>
        <v/>
      </c>
      <c r="BM860" s="21" t="str">
        <f ca="1">IFERROR(VLOOKUP(K860,OFFSET(abbreviation[],0,ColumnLanguage),ColumnAbbreviation,FALSE),"")</f>
        <v/>
      </c>
      <c r="BN860" s="21" t="str">
        <f t="shared" ca="1" si="91"/>
        <v/>
      </c>
      <c r="BO860" s="21" t="str">
        <f ca="1">IFERROR(VLOOKUP(N860,OFFSET(abbreviation[],0,ColumnLanguage),ColumnAbbreviation,FALSE),"")</f>
        <v/>
      </c>
      <c r="BP860" s="21" t="str">
        <f ca="1">IFERROR(VLOOKUP(P860,OFFSET(abbreviation[],0,ColumnLanguage),ColumnAbbreviation,FALSE),"")</f>
        <v/>
      </c>
      <c r="BQ860" s="21" t="str">
        <f ca="1">IFERROR(VLOOKUP(T860,OFFSET(abbreviation[],0,ColumnLanguage),ColumnAbbreviation,FALSE),"")</f>
        <v/>
      </c>
      <c r="BR860" s="21" t="str">
        <f ca="1">IFERROR(VLOOKUP(V860,OFFSET(abbreviation[],0,ColumnLanguage),ColumnAbbreviation,FALSE),"")</f>
        <v/>
      </c>
      <c r="BS860" s="21" t="str">
        <f ca="1">IFERROR(VLOOKUP(Z860,OFFSET(abbreviation[],0,ColumnLanguage),ColumnAbbreviation,FALSE),"")</f>
        <v/>
      </c>
      <c r="BT860" s="21" t="str">
        <f ca="1">IFERROR(VLOOKUP(AB860,OFFSET(abbreviation[],0,ColumnLanguage),ColumnAbbreviation,FALSE),"")</f>
        <v/>
      </c>
      <c r="BU860" s="21" t="str">
        <f t="shared" ca="1" si="92"/>
        <v>__</v>
      </c>
      <c r="BV860" s="21" t="str">
        <f ca="1">IFERROR(VLOOKUP(AF860,OFFSET(abbreviation[],0,ColumnLanguage),ColumnAbbreviation,FALSE),"")</f>
        <v/>
      </c>
      <c r="BW860" s="21" t="str">
        <f ca="1">IFERROR(VLOOKUP(AH860,OFFSET(abbreviation[],0,ColumnLanguage),ColumnAbbreviation,FALSE),"")</f>
        <v/>
      </c>
      <c r="BX860" s="21" t="str">
        <f ca="1">IFERROR(VLOOKUP(AJ860,OFFSET(abbreviation[],0,ColumnLanguage),ColumnAbbreviation,FALSE),"")</f>
        <v/>
      </c>
      <c r="BY860" s="21" t="str">
        <f ca="1">IFERROR(VLOOKUP(AL860,OFFSET(abbreviation[],0,ColumnLanguage),ColumnAbbreviation,FALSE),"")</f>
        <v/>
      </c>
      <c r="BZ860" s="21" t="str">
        <f t="shared" ca="1" si="93"/>
        <v>_</v>
      </c>
      <c r="CA860" s="21" t="str">
        <f ca="1">IFERROR(VLOOKUP(AP860,OFFSET(abbreviation[],0,ColumnLanguage),ColumnAbbreviation,FALSE),"")</f>
        <v/>
      </c>
      <c r="CB860" s="21" t="str">
        <f ca="1">IFERROR(VLOOKUP(AR860,OFFSET(abbreviation[],0,ColumnLanguage),ColumnAbbreviation,FALSE),"")</f>
        <v/>
      </c>
      <c r="CC860" s="21" t="str">
        <f ca="1">IFERROR(VLOOKUP(AT860,OFFSET(abbreviation[],0,ColumnLanguage),ColumnAbbreviation,FALSE),"")</f>
        <v/>
      </c>
      <c r="CD860" s="21" t="str">
        <f ca="1">IFERROR(VLOOKUP(AV860,OFFSET(abbreviation[],0,ColumnLanguage),ColumnAbbreviation,FALSE),"")</f>
        <v/>
      </c>
      <c r="CE860" s="21" t="str">
        <f t="shared" ca="1" si="94"/>
        <v>__</v>
      </c>
      <c r="CF860" s="21" t="str">
        <f ca="1">IFERROR(VLOOKUP(AX860,OFFSET(abbreviation[],0,ColumnLanguage),ColumnAbbreviation,FALSE),"")</f>
        <v/>
      </c>
      <c r="CG860" s="21" t="str">
        <f ca="1">IFERROR(VLOOKUP(AZ860,OFFSET(abbreviation[],0,ColumnLanguage),ColumnAbbreviation,FALSE),"")</f>
        <v/>
      </c>
      <c r="CH860" s="21" t="str">
        <f ca="1">IFERROR(VLOOKUP(BB860,OFFSET(abbreviation[],0,ColumnLanguage),ColumnAbbreviation,FALSE),"")</f>
        <v/>
      </c>
      <c r="CI860" s="21" t="str">
        <f ca="1">IFERROR(VLOOKUP(BD860,OFFSET(abbreviation[],0,ColumnLanguage),ColumnAbbreviation,FALSE),"")</f>
        <v/>
      </c>
      <c r="CJ860" s="21" t="str">
        <f ca="1">IFERROR(VLOOKUP(BF860,OFFSET(abbreviation[],0,ColumnLanguage),ColumnAbbreviation,FALSE),"")</f>
        <v/>
      </c>
      <c r="CK860" s="21" t="str">
        <f t="shared" ca="1" si="95"/>
        <v/>
      </c>
      <c r="CL860" s="21" t="str">
        <f t="shared" si="96"/>
        <v/>
      </c>
      <c r="CM860" s="52"/>
      <c r="CN860" s="57" t="str">
        <f t="shared" si="97"/>
        <v/>
      </c>
    </row>
    <row r="861" spans="17:92" x14ac:dyDescent="0.25">
      <c r="Q861" s="13"/>
      <c r="V861" s="60"/>
      <c r="X861" s="61"/>
      <c r="AN861" s="54"/>
      <c r="AS861" s="15"/>
      <c r="BH861" s="52"/>
      <c r="BI861" s="21" t="str">
        <f ca="1">IFERROR(VLOOKUP(C861,OFFSET(abbreviation[],0,ColumnLanguage),ColumnAbbreviation,FALSE),"")</f>
        <v/>
      </c>
      <c r="BJ861" s="21" t="str">
        <f ca="1">IFERROR(VLOOKUP(E861,OFFSET(abbreviation[],0,ColumnLanguage),ColumnAbbreviation,FALSE),"")</f>
        <v/>
      </c>
      <c r="BK861" s="21" t="str">
        <f ca="1">IFERROR(VLOOKUP(G861,OFFSET(abbreviation[],0,ColumnLanguage),ColumnAbbreviation,FALSE),"")</f>
        <v/>
      </c>
      <c r="BL861" s="21" t="str">
        <f ca="1">IFERROR(VLOOKUP(I861,OFFSET(abbreviation[],0,ColumnLanguage),ColumnAbbreviation,FALSE),"")</f>
        <v/>
      </c>
      <c r="BM861" s="21" t="str">
        <f ca="1">IFERROR(VLOOKUP(K861,OFFSET(abbreviation[],0,ColumnLanguage),ColumnAbbreviation,FALSE),"")</f>
        <v/>
      </c>
      <c r="BN861" s="21" t="str">
        <f t="shared" ca="1" si="91"/>
        <v/>
      </c>
      <c r="BO861" s="21" t="str">
        <f ca="1">IFERROR(VLOOKUP(N861,OFFSET(abbreviation[],0,ColumnLanguage),ColumnAbbreviation,FALSE),"")</f>
        <v/>
      </c>
      <c r="BP861" s="21" t="str">
        <f ca="1">IFERROR(VLOOKUP(P861,OFFSET(abbreviation[],0,ColumnLanguage),ColumnAbbreviation,FALSE),"")</f>
        <v/>
      </c>
      <c r="BQ861" s="21" t="str">
        <f ca="1">IFERROR(VLOOKUP(T861,OFFSET(abbreviation[],0,ColumnLanguage),ColumnAbbreviation,FALSE),"")</f>
        <v/>
      </c>
      <c r="BR861" s="21" t="str">
        <f ca="1">IFERROR(VLOOKUP(V861,OFFSET(abbreviation[],0,ColumnLanguage),ColumnAbbreviation,FALSE),"")</f>
        <v/>
      </c>
      <c r="BS861" s="21" t="str">
        <f ca="1">IFERROR(VLOOKUP(Z861,OFFSET(abbreviation[],0,ColumnLanguage),ColumnAbbreviation,FALSE),"")</f>
        <v/>
      </c>
      <c r="BT861" s="21" t="str">
        <f ca="1">IFERROR(VLOOKUP(AB861,OFFSET(abbreviation[],0,ColumnLanguage),ColumnAbbreviation,FALSE),"")</f>
        <v/>
      </c>
      <c r="BU861" s="21" t="str">
        <f t="shared" ca="1" si="92"/>
        <v>__</v>
      </c>
      <c r="BV861" s="21" t="str">
        <f ca="1">IFERROR(VLOOKUP(AF861,OFFSET(abbreviation[],0,ColumnLanguage),ColumnAbbreviation,FALSE),"")</f>
        <v/>
      </c>
      <c r="BW861" s="21" t="str">
        <f ca="1">IFERROR(VLOOKUP(AH861,OFFSET(abbreviation[],0,ColumnLanguage),ColumnAbbreviation,FALSE),"")</f>
        <v/>
      </c>
      <c r="BX861" s="21" t="str">
        <f ca="1">IFERROR(VLOOKUP(AJ861,OFFSET(abbreviation[],0,ColumnLanguage),ColumnAbbreviation,FALSE),"")</f>
        <v/>
      </c>
      <c r="BY861" s="21" t="str">
        <f ca="1">IFERROR(VLOOKUP(AL861,OFFSET(abbreviation[],0,ColumnLanguage),ColumnAbbreviation,FALSE),"")</f>
        <v/>
      </c>
      <c r="BZ861" s="21" t="str">
        <f t="shared" ca="1" si="93"/>
        <v>_</v>
      </c>
      <c r="CA861" s="21" t="str">
        <f ca="1">IFERROR(VLOOKUP(AP861,OFFSET(abbreviation[],0,ColumnLanguage),ColumnAbbreviation,FALSE),"")</f>
        <v/>
      </c>
      <c r="CB861" s="21" t="str">
        <f ca="1">IFERROR(VLOOKUP(AR861,OFFSET(abbreviation[],0,ColumnLanguage),ColumnAbbreviation,FALSE),"")</f>
        <v/>
      </c>
      <c r="CC861" s="21" t="str">
        <f ca="1">IFERROR(VLOOKUP(AT861,OFFSET(abbreviation[],0,ColumnLanguage),ColumnAbbreviation,FALSE),"")</f>
        <v/>
      </c>
      <c r="CD861" s="21" t="str">
        <f ca="1">IFERROR(VLOOKUP(AV861,OFFSET(abbreviation[],0,ColumnLanguage),ColumnAbbreviation,FALSE),"")</f>
        <v/>
      </c>
      <c r="CE861" s="21" t="str">
        <f t="shared" ca="1" si="94"/>
        <v>__</v>
      </c>
      <c r="CF861" s="21" t="str">
        <f ca="1">IFERROR(VLOOKUP(AX861,OFFSET(abbreviation[],0,ColumnLanguage),ColumnAbbreviation,FALSE),"")</f>
        <v/>
      </c>
      <c r="CG861" s="21" t="str">
        <f ca="1">IFERROR(VLOOKUP(AZ861,OFFSET(abbreviation[],0,ColumnLanguage),ColumnAbbreviation,FALSE),"")</f>
        <v/>
      </c>
      <c r="CH861" s="21" t="str">
        <f ca="1">IFERROR(VLOOKUP(BB861,OFFSET(abbreviation[],0,ColumnLanguage),ColumnAbbreviation,FALSE),"")</f>
        <v/>
      </c>
      <c r="CI861" s="21" t="str">
        <f ca="1">IFERROR(VLOOKUP(BD861,OFFSET(abbreviation[],0,ColumnLanguage),ColumnAbbreviation,FALSE),"")</f>
        <v/>
      </c>
      <c r="CJ861" s="21" t="str">
        <f ca="1">IFERROR(VLOOKUP(BF861,OFFSET(abbreviation[],0,ColumnLanguage),ColumnAbbreviation,FALSE),"")</f>
        <v/>
      </c>
      <c r="CK861" s="21" t="str">
        <f t="shared" ca="1" si="95"/>
        <v/>
      </c>
      <c r="CL861" s="21" t="str">
        <f t="shared" si="96"/>
        <v/>
      </c>
      <c r="CM861" s="52"/>
      <c r="CN861" s="57" t="str">
        <f t="shared" si="97"/>
        <v/>
      </c>
    </row>
    <row r="862" spans="17:92" x14ac:dyDescent="0.25">
      <c r="Q862" s="13"/>
      <c r="V862" s="60"/>
      <c r="X862" s="61"/>
      <c r="AN862" s="54"/>
      <c r="AS862" s="15"/>
      <c r="BH862" s="52"/>
      <c r="BI862" s="21" t="str">
        <f ca="1">IFERROR(VLOOKUP(C862,OFFSET(abbreviation[],0,ColumnLanguage),ColumnAbbreviation,FALSE),"")</f>
        <v/>
      </c>
      <c r="BJ862" s="21" t="str">
        <f ca="1">IFERROR(VLOOKUP(E862,OFFSET(abbreviation[],0,ColumnLanguage),ColumnAbbreviation,FALSE),"")</f>
        <v/>
      </c>
      <c r="BK862" s="21" t="str">
        <f ca="1">IFERROR(VLOOKUP(G862,OFFSET(abbreviation[],0,ColumnLanguage),ColumnAbbreviation,FALSE),"")</f>
        <v/>
      </c>
      <c r="BL862" s="21" t="str">
        <f ca="1">IFERROR(VLOOKUP(I862,OFFSET(abbreviation[],0,ColumnLanguage),ColumnAbbreviation,FALSE),"")</f>
        <v/>
      </c>
      <c r="BM862" s="21" t="str">
        <f ca="1">IFERROR(VLOOKUP(K862,OFFSET(abbreviation[],0,ColumnLanguage),ColumnAbbreviation,FALSE),"")</f>
        <v/>
      </c>
      <c r="BN862" s="21" t="str">
        <f t="shared" ca="1" si="91"/>
        <v/>
      </c>
      <c r="BO862" s="21" t="str">
        <f ca="1">IFERROR(VLOOKUP(N862,OFFSET(abbreviation[],0,ColumnLanguage),ColumnAbbreviation,FALSE),"")</f>
        <v/>
      </c>
      <c r="BP862" s="21" t="str">
        <f ca="1">IFERROR(VLOOKUP(P862,OFFSET(abbreviation[],0,ColumnLanguage),ColumnAbbreviation,FALSE),"")</f>
        <v/>
      </c>
      <c r="BQ862" s="21" t="str">
        <f ca="1">IFERROR(VLOOKUP(T862,OFFSET(abbreviation[],0,ColumnLanguage),ColumnAbbreviation,FALSE),"")</f>
        <v/>
      </c>
      <c r="BR862" s="21" t="str">
        <f ca="1">IFERROR(VLOOKUP(V862,OFFSET(abbreviation[],0,ColumnLanguage),ColumnAbbreviation,FALSE),"")</f>
        <v/>
      </c>
      <c r="BS862" s="21" t="str">
        <f ca="1">IFERROR(VLOOKUP(Z862,OFFSET(abbreviation[],0,ColumnLanguage),ColumnAbbreviation,FALSE),"")</f>
        <v/>
      </c>
      <c r="BT862" s="21" t="str">
        <f ca="1">IFERROR(VLOOKUP(AB862,OFFSET(abbreviation[],0,ColumnLanguage),ColumnAbbreviation,FALSE),"")</f>
        <v/>
      </c>
      <c r="BU862" s="21" t="str">
        <f t="shared" ca="1" si="92"/>
        <v>__</v>
      </c>
      <c r="BV862" s="21" t="str">
        <f ca="1">IFERROR(VLOOKUP(AF862,OFFSET(abbreviation[],0,ColumnLanguage),ColumnAbbreviation,FALSE),"")</f>
        <v/>
      </c>
      <c r="BW862" s="21" t="str">
        <f ca="1">IFERROR(VLOOKUP(AH862,OFFSET(abbreviation[],0,ColumnLanguage),ColumnAbbreviation,FALSE),"")</f>
        <v/>
      </c>
      <c r="BX862" s="21" t="str">
        <f ca="1">IFERROR(VLOOKUP(AJ862,OFFSET(abbreviation[],0,ColumnLanguage),ColumnAbbreviation,FALSE),"")</f>
        <v/>
      </c>
      <c r="BY862" s="21" t="str">
        <f ca="1">IFERROR(VLOOKUP(AL862,OFFSET(abbreviation[],0,ColumnLanguage),ColumnAbbreviation,FALSE),"")</f>
        <v/>
      </c>
      <c r="BZ862" s="21" t="str">
        <f t="shared" ca="1" si="93"/>
        <v>_</v>
      </c>
      <c r="CA862" s="21" t="str">
        <f ca="1">IFERROR(VLOOKUP(AP862,OFFSET(abbreviation[],0,ColumnLanguage),ColumnAbbreviation,FALSE),"")</f>
        <v/>
      </c>
      <c r="CB862" s="21" t="str">
        <f ca="1">IFERROR(VLOOKUP(AR862,OFFSET(abbreviation[],0,ColumnLanguage),ColumnAbbreviation,FALSE),"")</f>
        <v/>
      </c>
      <c r="CC862" s="21" t="str">
        <f ca="1">IFERROR(VLOOKUP(AT862,OFFSET(abbreviation[],0,ColumnLanguage),ColumnAbbreviation,FALSE),"")</f>
        <v/>
      </c>
      <c r="CD862" s="21" t="str">
        <f ca="1">IFERROR(VLOOKUP(AV862,OFFSET(abbreviation[],0,ColumnLanguage),ColumnAbbreviation,FALSE),"")</f>
        <v/>
      </c>
      <c r="CE862" s="21" t="str">
        <f t="shared" ca="1" si="94"/>
        <v>__</v>
      </c>
      <c r="CF862" s="21" t="str">
        <f ca="1">IFERROR(VLOOKUP(AX862,OFFSET(abbreviation[],0,ColumnLanguage),ColumnAbbreviation,FALSE),"")</f>
        <v/>
      </c>
      <c r="CG862" s="21" t="str">
        <f ca="1">IFERROR(VLOOKUP(AZ862,OFFSET(abbreviation[],0,ColumnLanguage),ColumnAbbreviation,FALSE),"")</f>
        <v/>
      </c>
      <c r="CH862" s="21" t="str">
        <f ca="1">IFERROR(VLOOKUP(BB862,OFFSET(abbreviation[],0,ColumnLanguage),ColumnAbbreviation,FALSE),"")</f>
        <v/>
      </c>
      <c r="CI862" s="21" t="str">
        <f ca="1">IFERROR(VLOOKUP(BD862,OFFSET(abbreviation[],0,ColumnLanguage),ColumnAbbreviation,FALSE),"")</f>
        <v/>
      </c>
      <c r="CJ862" s="21" t="str">
        <f ca="1">IFERROR(VLOOKUP(BF862,OFFSET(abbreviation[],0,ColumnLanguage),ColumnAbbreviation,FALSE),"")</f>
        <v/>
      </c>
      <c r="CK862" s="21" t="str">
        <f t="shared" ca="1" si="95"/>
        <v/>
      </c>
      <c r="CL862" s="21" t="str">
        <f t="shared" si="96"/>
        <v/>
      </c>
      <c r="CM862" s="52"/>
      <c r="CN862" s="57" t="str">
        <f t="shared" si="97"/>
        <v/>
      </c>
    </row>
    <row r="863" spans="17:92" x14ac:dyDescent="0.25">
      <c r="Q863" s="13"/>
      <c r="V863" s="60"/>
      <c r="X863" s="61"/>
      <c r="AN863" s="54"/>
      <c r="AS863" s="15"/>
      <c r="BH863" s="52"/>
      <c r="BI863" s="21" t="str">
        <f ca="1">IFERROR(VLOOKUP(C863,OFFSET(abbreviation[],0,ColumnLanguage),ColumnAbbreviation,FALSE),"")</f>
        <v/>
      </c>
      <c r="BJ863" s="21" t="str">
        <f ca="1">IFERROR(VLOOKUP(E863,OFFSET(abbreviation[],0,ColumnLanguage),ColumnAbbreviation,FALSE),"")</f>
        <v/>
      </c>
      <c r="BK863" s="21" t="str">
        <f ca="1">IFERROR(VLOOKUP(G863,OFFSET(abbreviation[],0,ColumnLanguage),ColumnAbbreviation,FALSE),"")</f>
        <v/>
      </c>
      <c r="BL863" s="21" t="str">
        <f ca="1">IFERROR(VLOOKUP(I863,OFFSET(abbreviation[],0,ColumnLanguage),ColumnAbbreviation,FALSE),"")</f>
        <v/>
      </c>
      <c r="BM863" s="21" t="str">
        <f ca="1">IFERROR(VLOOKUP(K863,OFFSET(abbreviation[],0,ColumnLanguage),ColumnAbbreviation,FALSE),"")</f>
        <v/>
      </c>
      <c r="BN863" s="21" t="str">
        <f t="shared" ca="1" si="91"/>
        <v/>
      </c>
      <c r="BO863" s="21" t="str">
        <f ca="1">IFERROR(VLOOKUP(N863,OFFSET(abbreviation[],0,ColumnLanguage),ColumnAbbreviation,FALSE),"")</f>
        <v/>
      </c>
      <c r="BP863" s="21" t="str">
        <f ca="1">IFERROR(VLOOKUP(P863,OFFSET(abbreviation[],0,ColumnLanguage),ColumnAbbreviation,FALSE),"")</f>
        <v/>
      </c>
      <c r="BQ863" s="21" t="str">
        <f ca="1">IFERROR(VLOOKUP(T863,OFFSET(abbreviation[],0,ColumnLanguage),ColumnAbbreviation,FALSE),"")</f>
        <v/>
      </c>
      <c r="BR863" s="21" t="str">
        <f ca="1">IFERROR(VLOOKUP(V863,OFFSET(abbreviation[],0,ColumnLanguage),ColumnAbbreviation,FALSE),"")</f>
        <v/>
      </c>
      <c r="BS863" s="21" t="str">
        <f ca="1">IFERROR(VLOOKUP(Z863,OFFSET(abbreviation[],0,ColumnLanguage),ColumnAbbreviation,FALSE),"")</f>
        <v/>
      </c>
      <c r="BT863" s="21" t="str">
        <f ca="1">IFERROR(VLOOKUP(AB863,OFFSET(abbreviation[],0,ColumnLanguage),ColumnAbbreviation,FALSE),"")</f>
        <v/>
      </c>
      <c r="BU863" s="21" t="str">
        <f t="shared" ca="1" si="92"/>
        <v>__</v>
      </c>
      <c r="BV863" s="21" t="str">
        <f ca="1">IFERROR(VLOOKUP(AF863,OFFSET(abbreviation[],0,ColumnLanguage),ColumnAbbreviation,FALSE),"")</f>
        <v/>
      </c>
      <c r="BW863" s="21" t="str">
        <f ca="1">IFERROR(VLOOKUP(AH863,OFFSET(abbreviation[],0,ColumnLanguage),ColumnAbbreviation,FALSE),"")</f>
        <v/>
      </c>
      <c r="BX863" s="21" t="str">
        <f ca="1">IFERROR(VLOOKUP(AJ863,OFFSET(abbreviation[],0,ColumnLanguage),ColumnAbbreviation,FALSE),"")</f>
        <v/>
      </c>
      <c r="BY863" s="21" t="str">
        <f ca="1">IFERROR(VLOOKUP(AL863,OFFSET(abbreviation[],0,ColumnLanguage),ColumnAbbreviation,FALSE),"")</f>
        <v/>
      </c>
      <c r="BZ863" s="21" t="str">
        <f t="shared" ca="1" si="93"/>
        <v>_</v>
      </c>
      <c r="CA863" s="21" t="str">
        <f ca="1">IFERROR(VLOOKUP(AP863,OFFSET(abbreviation[],0,ColumnLanguage),ColumnAbbreviation,FALSE),"")</f>
        <v/>
      </c>
      <c r="CB863" s="21" t="str">
        <f ca="1">IFERROR(VLOOKUP(AR863,OFFSET(abbreviation[],0,ColumnLanguage),ColumnAbbreviation,FALSE),"")</f>
        <v/>
      </c>
      <c r="CC863" s="21" t="str">
        <f ca="1">IFERROR(VLOOKUP(AT863,OFFSET(abbreviation[],0,ColumnLanguage),ColumnAbbreviation,FALSE),"")</f>
        <v/>
      </c>
      <c r="CD863" s="21" t="str">
        <f ca="1">IFERROR(VLOOKUP(AV863,OFFSET(abbreviation[],0,ColumnLanguage),ColumnAbbreviation,FALSE),"")</f>
        <v/>
      </c>
      <c r="CE863" s="21" t="str">
        <f t="shared" ca="1" si="94"/>
        <v>__</v>
      </c>
      <c r="CF863" s="21" t="str">
        <f ca="1">IFERROR(VLOOKUP(AX863,OFFSET(abbreviation[],0,ColumnLanguage),ColumnAbbreviation,FALSE),"")</f>
        <v/>
      </c>
      <c r="CG863" s="21" t="str">
        <f ca="1">IFERROR(VLOOKUP(AZ863,OFFSET(abbreviation[],0,ColumnLanguage),ColumnAbbreviation,FALSE),"")</f>
        <v/>
      </c>
      <c r="CH863" s="21" t="str">
        <f ca="1">IFERROR(VLOOKUP(BB863,OFFSET(abbreviation[],0,ColumnLanguage),ColumnAbbreviation,FALSE),"")</f>
        <v/>
      </c>
      <c r="CI863" s="21" t="str">
        <f ca="1">IFERROR(VLOOKUP(BD863,OFFSET(abbreviation[],0,ColumnLanguage),ColumnAbbreviation,FALSE),"")</f>
        <v/>
      </c>
      <c r="CJ863" s="21" t="str">
        <f ca="1">IFERROR(VLOOKUP(BF863,OFFSET(abbreviation[],0,ColumnLanguage),ColumnAbbreviation,FALSE),"")</f>
        <v/>
      </c>
      <c r="CK863" s="21" t="str">
        <f t="shared" ca="1" si="95"/>
        <v/>
      </c>
      <c r="CL863" s="21" t="str">
        <f t="shared" si="96"/>
        <v/>
      </c>
      <c r="CM863" s="52"/>
      <c r="CN863" s="57" t="str">
        <f t="shared" si="97"/>
        <v/>
      </c>
    </row>
    <row r="864" spans="17:92" x14ac:dyDescent="0.25">
      <c r="Q864" s="13"/>
      <c r="V864" s="60"/>
      <c r="X864" s="61"/>
      <c r="AN864" s="54"/>
      <c r="AS864" s="15"/>
      <c r="BH864" s="52"/>
      <c r="BI864" s="21" t="str">
        <f ca="1">IFERROR(VLOOKUP(C864,OFFSET(abbreviation[],0,ColumnLanguage),ColumnAbbreviation,FALSE),"")</f>
        <v/>
      </c>
      <c r="BJ864" s="21" t="str">
        <f ca="1">IFERROR(VLOOKUP(E864,OFFSET(abbreviation[],0,ColumnLanguage),ColumnAbbreviation,FALSE),"")</f>
        <v/>
      </c>
      <c r="BK864" s="21" t="str">
        <f ca="1">IFERROR(VLOOKUP(G864,OFFSET(abbreviation[],0,ColumnLanguage),ColumnAbbreviation,FALSE),"")</f>
        <v/>
      </c>
      <c r="BL864" s="21" t="str">
        <f ca="1">IFERROR(VLOOKUP(I864,OFFSET(abbreviation[],0,ColumnLanguage),ColumnAbbreviation,FALSE),"")</f>
        <v/>
      </c>
      <c r="BM864" s="21" t="str">
        <f ca="1">IFERROR(VLOOKUP(K864,OFFSET(abbreviation[],0,ColumnLanguage),ColumnAbbreviation,FALSE),"")</f>
        <v/>
      </c>
      <c r="BN864" s="21" t="str">
        <f t="shared" ca="1" si="91"/>
        <v/>
      </c>
      <c r="BO864" s="21" t="str">
        <f ca="1">IFERROR(VLOOKUP(N864,OFFSET(abbreviation[],0,ColumnLanguage),ColumnAbbreviation,FALSE),"")</f>
        <v/>
      </c>
      <c r="BP864" s="21" t="str">
        <f ca="1">IFERROR(VLOOKUP(P864,OFFSET(abbreviation[],0,ColumnLanguage),ColumnAbbreviation,FALSE),"")</f>
        <v/>
      </c>
      <c r="BQ864" s="21" t="str">
        <f ca="1">IFERROR(VLOOKUP(T864,OFFSET(abbreviation[],0,ColumnLanguage),ColumnAbbreviation,FALSE),"")</f>
        <v/>
      </c>
      <c r="BR864" s="21" t="str">
        <f ca="1">IFERROR(VLOOKUP(V864,OFFSET(abbreviation[],0,ColumnLanguage),ColumnAbbreviation,FALSE),"")</f>
        <v/>
      </c>
      <c r="BS864" s="21" t="str">
        <f ca="1">IFERROR(VLOOKUP(Z864,OFFSET(abbreviation[],0,ColumnLanguage),ColumnAbbreviation,FALSE),"")</f>
        <v/>
      </c>
      <c r="BT864" s="21" t="str">
        <f ca="1">IFERROR(VLOOKUP(AB864,OFFSET(abbreviation[],0,ColumnLanguage),ColumnAbbreviation,FALSE),"")</f>
        <v/>
      </c>
      <c r="BU864" s="21" t="str">
        <f t="shared" ca="1" si="92"/>
        <v>__</v>
      </c>
      <c r="BV864" s="21" t="str">
        <f ca="1">IFERROR(VLOOKUP(AF864,OFFSET(abbreviation[],0,ColumnLanguage),ColumnAbbreviation,FALSE),"")</f>
        <v/>
      </c>
      <c r="BW864" s="21" t="str">
        <f ca="1">IFERROR(VLOOKUP(AH864,OFFSET(abbreviation[],0,ColumnLanguage),ColumnAbbreviation,FALSE),"")</f>
        <v/>
      </c>
      <c r="BX864" s="21" t="str">
        <f ca="1">IFERROR(VLOOKUP(AJ864,OFFSET(abbreviation[],0,ColumnLanguage),ColumnAbbreviation,FALSE),"")</f>
        <v/>
      </c>
      <c r="BY864" s="21" t="str">
        <f ca="1">IFERROR(VLOOKUP(AL864,OFFSET(abbreviation[],0,ColumnLanguage),ColumnAbbreviation,FALSE),"")</f>
        <v/>
      </c>
      <c r="BZ864" s="21" t="str">
        <f t="shared" ca="1" si="93"/>
        <v>_</v>
      </c>
      <c r="CA864" s="21" t="str">
        <f ca="1">IFERROR(VLOOKUP(AP864,OFFSET(abbreviation[],0,ColumnLanguage),ColumnAbbreviation,FALSE),"")</f>
        <v/>
      </c>
      <c r="CB864" s="21" t="str">
        <f ca="1">IFERROR(VLOOKUP(AR864,OFFSET(abbreviation[],0,ColumnLanguage),ColumnAbbreviation,FALSE),"")</f>
        <v/>
      </c>
      <c r="CC864" s="21" t="str">
        <f ca="1">IFERROR(VLOOKUP(AT864,OFFSET(abbreviation[],0,ColumnLanguage),ColumnAbbreviation,FALSE),"")</f>
        <v/>
      </c>
      <c r="CD864" s="21" t="str">
        <f ca="1">IFERROR(VLOOKUP(AV864,OFFSET(abbreviation[],0,ColumnLanguage),ColumnAbbreviation,FALSE),"")</f>
        <v/>
      </c>
      <c r="CE864" s="21" t="str">
        <f t="shared" ca="1" si="94"/>
        <v>__</v>
      </c>
      <c r="CF864" s="21" t="str">
        <f ca="1">IFERROR(VLOOKUP(AX864,OFFSET(abbreviation[],0,ColumnLanguage),ColumnAbbreviation,FALSE),"")</f>
        <v/>
      </c>
      <c r="CG864" s="21" t="str">
        <f ca="1">IFERROR(VLOOKUP(AZ864,OFFSET(abbreviation[],0,ColumnLanguage),ColumnAbbreviation,FALSE),"")</f>
        <v/>
      </c>
      <c r="CH864" s="21" t="str">
        <f ca="1">IFERROR(VLOOKUP(BB864,OFFSET(abbreviation[],0,ColumnLanguage),ColumnAbbreviation,FALSE),"")</f>
        <v/>
      </c>
      <c r="CI864" s="21" t="str">
        <f ca="1">IFERROR(VLOOKUP(BD864,OFFSET(abbreviation[],0,ColumnLanguage),ColumnAbbreviation,FALSE),"")</f>
        <v/>
      </c>
      <c r="CJ864" s="21" t="str">
        <f ca="1">IFERROR(VLOOKUP(BF864,OFFSET(abbreviation[],0,ColumnLanguage),ColumnAbbreviation,FALSE),"")</f>
        <v/>
      </c>
      <c r="CK864" s="21" t="str">
        <f t="shared" ca="1" si="95"/>
        <v/>
      </c>
      <c r="CL864" s="21" t="str">
        <f t="shared" si="96"/>
        <v/>
      </c>
      <c r="CM864" s="52"/>
      <c r="CN864" s="57" t="str">
        <f t="shared" si="97"/>
        <v/>
      </c>
    </row>
    <row r="865" spans="14:92" x14ac:dyDescent="0.25">
      <c r="Q865" s="13"/>
      <c r="V865" s="60"/>
      <c r="X865" s="61"/>
      <c r="AN865" s="54"/>
      <c r="AS865" s="15"/>
      <c r="BH865" s="52"/>
      <c r="BI865" s="21" t="str">
        <f ca="1">IFERROR(VLOOKUP(C865,OFFSET(abbreviation[],0,ColumnLanguage),ColumnAbbreviation,FALSE),"")</f>
        <v/>
      </c>
      <c r="BJ865" s="21" t="str">
        <f ca="1">IFERROR(VLOOKUP(E865,OFFSET(abbreviation[],0,ColumnLanguage),ColumnAbbreviation,FALSE),"")</f>
        <v/>
      </c>
      <c r="BK865" s="21" t="str">
        <f ca="1">IFERROR(VLOOKUP(G865,OFFSET(abbreviation[],0,ColumnLanguage),ColumnAbbreviation,FALSE),"")</f>
        <v/>
      </c>
      <c r="BL865" s="21" t="str">
        <f ca="1">IFERROR(VLOOKUP(I865,OFFSET(abbreviation[],0,ColumnLanguage),ColumnAbbreviation,FALSE),"")</f>
        <v/>
      </c>
      <c r="BM865" s="21" t="str">
        <f ca="1">IFERROR(VLOOKUP(K865,OFFSET(abbreviation[],0,ColumnLanguage),ColumnAbbreviation,FALSE),"")</f>
        <v/>
      </c>
      <c r="BN865" s="21" t="str">
        <f t="shared" ca="1" si="91"/>
        <v/>
      </c>
      <c r="BO865" s="21" t="str">
        <f ca="1">IFERROR(VLOOKUP(N865,OFFSET(abbreviation[],0,ColumnLanguage),ColumnAbbreviation,FALSE),"")</f>
        <v/>
      </c>
      <c r="BP865" s="21" t="str">
        <f ca="1">IFERROR(VLOOKUP(P865,OFFSET(abbreviation[],0,ColumnLanguage),ColumnAbbreviation,FALSE),"")</f>
        <v/>
      </c>
      <c r="BQ865" s="21" t="str">
        <f ca="1">IFERROR(VLOOKUP(T865,OFFSET(abbreviation[],0,ColumnLanguage),ColumnAbbreviation,FALSE),"")</f>
        <v/>
      </c>
      <c r="BR865" s="21" t="str">
        <f ca="1">IFERROR(VLOOKUP(V865,OFFSET(abbreviation[],0,ColumnLanguage),ColumnAbbreviation,FALSE),"")</f>
        <v/>
      </c>
      <c r="BS865" s="21" t="str">
        <f ca="1">IFERROR(VLOOKUP(Z865,OFFSET(abbreviation[],0,ColumnLanguage),ColumnAbbreviation,FALSE),"")</f>
        <v/>
      </c>
      <c r="BT865" s="21" t="str">
        <f ca="1">IFERROR(VLOOKUP(AB865,OFFSET(abbreviation[],0,ColumnLanguage),ColumnAbbreviation,FALSE),"")</f>
        <v/>
      </c>
      <c r="BU865" s="21" t="str">
        <f t="shared" ca="1" si="92"/>
        <v>__</v>
      </c>
      <c r="BV865" s="21" t="str">
        <f ca="1">IFERROR(VLOOKUP(AF865,OFFSET(abbreviation[],0,ColumnLanguage),ColumnAbbreviation,FALSE),"")</f>
        <v/>
      </c>
      <c r="BW865" s="21" t="str">
        <f ca="1">IFERROR(VLOOKUP(AH865,OFFSET(abbreviation[],0,ColumnLanguage),ColumnAbbreviation,FALSE),"")</f>
        <v/>
      </c>
      <c r="BX865" s="21" t="str">
        <f ca="1">IFERROR(VLOOKUP(AJ865,OFFSET(abbreviation[],0,ColumnLanguage),ColumnAbbreviation,FALSE),"")</f>
        <v/>
      </c>
      <c r="BY865" s="21" t="str">
        <f ca="1">IFERROR(VLOOKUP(AL865,OFFSET(abbreviation[],0,ColumnLanguage),ColumnAbbreviation,FALSE),"")</f>
        <v/>
      </c>
      <c r="BZ865" s="21" t="str">
        <f t="shared" ca="1" si="93"/>
        <v>_</v>
      </c>
      <c r="CA865" s="21" t="str">
        <f ca="1">IFERROR(VLOOKUP(AP865,OFFSET(abbreviation[],0,ColumnLanguage),ColumnAbbreviation,FALSE),"")</f>
        <v/>
      </c>
      <c r="CB865" s="21" t="str">
        <f ca="1">IFERROR(VLOOKUP(AR865,OFFSET(abbreviation[],0,ColumnLanguage),ColumnAbbreviation,FALSE),"")</f>
        <v/>
      </c>
      <c r="CC865" s="21" t="str">
        <f ca="1">IFERROR(VLOOKUP(AT865,OFFSET(abbreviation[],0,ColumnLanguage),ColumnAbbreviation,FALSE),"")</f>
        <v/>
      </c>
      <c r="CD865" s="21" t="str">
        <f ca="1">IFERROR(VLOOKUP(AV865,OFFSET(abbreviation[],0,ColumnLanguage),ColumnAbbreviation,FALSE),"")</f>
        <v/>
      </c>
      <c r="CE865" s="21" t="str">
        <f t="shared" ca="1" si="94"/>
        <v>__</v>
      </c>
      <c r="CF865" s="21" t="str">
        <f ca="1">IFERROR(VLOOKUP(AX865,OFFSET(abbreviation[],0,ColumnLanguage),ColumnAbbreviation,FALSE),"")</f>
        <v/>
      </c>
      <c r="CG865" s="21" t="str">
        <f ca="1">IFERROR(VLOOKUP(AZ865,OFFSET(abbreviation[],0,ColumnLanguage),ColumnAbbreviation,FALSE),"")</f>
        <v/>
      </c>
      <c r="CH865" s="21" t="str">
        <f ca="1">IFERROR(VLOOKUP(BB865,OFFSET(abbreviation[],0,ColumnLanguage),ColumnAbbreviation,FALSE),"")</f>
        <v/>
      </c>
      <c r="CI865" s="21" t="str">
        <f ca="1">IFERROR(VLOOKUP(BD865,OFFSET(abbreviation[],0,ColumnLanguage),ColumnAbbreviation,FALSE),"")</f>
        <v/>
      </c>
      <c r="CJ865" s="21" t="str">
        <f ca="1">IFERROR(VLOOKUP(BF865,OFFSET(abbreviation[],0,ColumnLanguage),ColumnAbbreviation,FALSE),"")</f>
        <v/>
      </c>
      <c r="CK865" s="21" t="str">
        <f t="shared" ca="1" si="95"/>
        <v/>
      </c>
      <c r="CL865" s="21" t="str">
        <f t="shared" si="96"/>
        <v/>
      </c>
      <c r="CM865" s="52"/>
      <c r="CN865" s="57" t="str">
        <f t="shared" si="97"/>
        <v/>
      </c>
    </row>
    <row r="866" spans="14:92" x14ac:dyDescent="0.25">
      <c r="Q866" s="13"/>
      <c r="V866" s="60"/>
      <c r="X866" s="61"/>
      <c r="AN866" s="54"/>
      <c r="AS866" s="15"/>
      <c r="BH866" s="52"/>
      <c r="BI866" s="21" t="str">
        <f ca="1">IFERROR(VLOOKUP(C866,OFFSET(abbreviation[],0,ColumnLanguage),ColumnAbbreviation,FALSE),"")</f>
        <v/>
      </c>
      <c r="BJ866" s="21" t="str">
        <f ca="1">IFERROR(VLOOKUP(E866,OFFSET(abbreviation[],0,ColumnLanguage),ColumnAbbreviation,FALSE),"")</f>
        <v/>
      </c>
      <c r="BK866" s="21" t="str">
        <f ca="1">IFERROR(VLOOKUP(G866,OFFSET(abbreviation[],0,ColumnLanguage),ColumnAbbreviation,FALSE),"")</f>
        <v/>
      </c>
      <c r="BL866" s="21" t="str">
        <f ca="1">IFERROR(VLOOKUP(I866,OFFSET(abbreviation[],0,ColumnLanguage),ColumnAbbreviation,FALSE),"")</f>
        <v/>
      </c>
      <c r="BM866" s="21" t="str">
        <f ca="1">IFERROR(VLOOKUP(K866,OFFSET(abbreviation[],0,ColumnLanguage),ColumnAbbreviation,FALSE),"")</f>
        <v/>
      </c>
      <c r="BN866" s="21" t="str">
        <f t="shared" ca="1" si="91"/>
        <v/>
      </c>
      <c r="BO866" s="21" t="str">
        <f ca="1">IFERROR(VLOOKUP(N866,OFFSET(abbreviation[],0,ColumnLanguage),ColumnAbbreviation,FALSE),"")</f>
        <v/>
      </c>
      <c r="BP866" s="21" t="str">
        <f ca="1">IFERROR(VLOOKUP(P866,OFFSET(abbreviation[],0,ColumnLanguage),ColumnAbbreviation,FALSE),"")</f>
        <v/>
      </c>
      <c r="BQ866" s="21" t="str">
        <f ca="1">IFERROR(VLOOKUP(T866,OFFSET(abbreviation[],0,ColumnLanguage),ColumnAbbreviation,FALSE),"")</f>
        <v/>
      </c>
      <c r="BR866" s="21" t="str">
        <f ca="1">IFERROR(VLOOKUP(V866,OFFSET(abbreviation[],0,ColumnLanguage),ColumnAbbreviation,FALSE),"")</f>
        <v/>
      </c>
      <c r="BS866" s="21" t="str">
        <f ca="1">IFERROR(VLOOKUP(Z866,OFFSET(abbreviation[],0,ColumnLanguage),ColumnAbbreviation,FALSE),"")</f>
        <v/>
      </c>
      <c r="BT866" s="21" t="str">
        <f ca="1">IFERROR(VLOOKUP(AB866,OFFSET(abbreviation[],0,ColumnLanguage),ColumnAbbreviation,FALSE),"")</f>
        <v/>
      </c>
      <c r="BU866" s="21" t="str">
        <f t="shared" ca="1" si="92"/>
        <v>__</v>
      </c>
      <c r="BV866" s="21" t="str">
        <f ca="1">IFERROR(VLOOKUP(AF866,OFFSET(abbreviation[],0,ColumnLanguage),ColumnAbbreviation,FALSE),"")</f>
        <v/>
      </c>
      <c r="BW866" s="21" t="str">
        <f ca="1">IFERROR(VLOOKUP(AH866,OFFSET(abbreviation[],0,ColumnLanguage),ColumnAbbreviation,FALSE),"")</f>
        <v/>
      </c>
      <c r="BX866" s="21" t="str">
        <f ca="1">IFERROR(VLOOKUP(AJ866,OFFSET(abbreviation[],0,ColumnLanguage),ColumnAbbreviation,FALSE),"")</f>
        <v/>
      </c>
      <c r="BY866" s="21" t="str">
        <f ca="1">IFERROR(VLOOKUP(AL866,OFFSET(abbreviation[],0,ColumnLanguage),ColumnAbbreviation,FALSE),"")</f>
        <v/>
      </c>
      <c r="BZ866" s="21" t="str">
        <f t="shared" ca="1" si="93"/>
        <v>_</v>
      </c>
      <c r="CA866" s="21" t="str">
        <f ca="1">IFERROR(VLOOKUP(AP866,OFFSET(abbreviation[],0,ColumnLanguage),ColumnAbbreviation,FALSE),"")</f>
        <v/>
      </c>
      <c r="CB866" s="21" t="str">
        <f ca="1">IFERROR(VLOOKUP(AR866,OFFSET(abbreviation[],0,ColumnLanguage),ColumnAbbreviation,FALSE),"")</f>
        <v/>
      </c>
      <c r="CC866" s="21" t="str">
        <f ca="1">IFERROR(VLOOKUP(AT866,OFFSET(abbreviation[],0,ColumnLanguage),ColumnAbbreviation,FALSE),"")</f>
        <v/>
      </c>
      <c r="CD866" s="21" t="str">
        <f ca="1">IFERROR(VLOOKUP(AV866,OFFSET(abbreviation[],0,ColumnLanguage),ColumnAbbreviation,FALSE),"")</f>
        <v/>
      </c>
      <c r="CE866" s="21" t="str">
        <f t="shared" ca="1" si="94"/>
        <v>__</v>
      </c>
      <c r="CF866" s="21" t="str">
        <f ca="1">IFERROR(VLOOKUP(AX866,OFFSET(abbreviation[],0,ColumnLanguage),ColumnAbbreviation,FALSE),"")</f>
        <v/>
      </c>
      <c r="CG866" s="21" t="str">
        <f ca="1">IFERROR(VLOOKUP(AZ866,OFFSET(abbreviation[],0,ColumnLanguage),ColumnAbbreviation,FALSE),"")</f>
        <v/>
      </c>
      <c r="CH866" s="21" t="str">
        <f ca="1">IFERROR(VLOOKUP(BB866,OFFSET(abbreviation[],0,ColumnLanguage),ColumnAbbreviation,FALSE),"")</f>
        <v/>
      </c>
      <c r="CI866" s="21" t="str">
        <f ca="1">IFERROR(VLOOKUP(BD866,OFFSET(abbreviation[],0,ColumnLanguage),ColumnAbbreviation,FALSE),"")</f>
        <v/>
      </c>
      <c r="CJ866" s="21" t="str">
        <f ca="1">IFERROR(VLOOKUP(BF866,OFFSET(abbreviation[],0,ColumnLanguage),ColumnAbbreviation,FALSE),"")</f>
        <v/>
      </c>
      <c r="CK866" s="21" t="str">
        <f t="shared" ca="1" si="95"/>
        <v/>
      </c>
      <c r="CL866" s="21" t="str">
        <f t="shared" si="96"/>
        <v/>
      </c>
      <c r="CM866" s="52"/>
      <c r="CN866" s="57" t="str">
        <f t="shared" si="97"/>
        <v/>
      </c>
    </row>
    <row r="867" spans="14:92" x14ac:dyDescent="0.25">
      <c r="N867" s="10"/>
      <c r="Q867" s="13"/>
      <c r="X867" s="61"/>
      <c r="AN867" s="54"/>
      <c r="AS867" s="15"/>
      <c r="BH867" s="52"/>
      <c r="BI867" s="21" t="str">
        <f ca="1">IFERROR(VLOOKUP(C867,OFFSET(abbreviation[],0,ColumnLanguage),ColumnAbbreviation,FALSE),"")</f>
        <v/>
      </c>
      <c r="BJ867" s="21" t="str">
        <f ca="1">IFERROR(VLOOKUP(E867,OFFSET(abbreviation[],0,ColumnLanguage),ColumnAbbreviation,FALSE),"")</f>
        <v/>
      </c>
      <c r="BK867" s="21" t="str">
        <f ca="1">IFERROR(VLOOKUP(G867,OFFSET(abbreviation[],0,ColumnLanguage),ColumnAbbreviation,FALSE),"")</f>
        <v/>
      </c>
      <c r="BL867" s="21" t="str">
        <f ca="1">IFERROR(VLOOKUP(I867,OFFSET(abbreviation[],0,ColumnLanguage),ColumnAbbreviation,FALSE),"")</f>
        <v/>
      </c>
      <c r="BM867" s="21" t="str">
        <f ca="1">IFERROR(VLOOKUP(K867,OFFSET(abbreviation[],0,ColumnLanguage),ColumnAbbreviation,FALSE),"")</f>
        <v/>
      </c>
      <c r="BN867" s="21" t="str">
        <f t="shared" ca="1" si="91"/>
        <v/>
      </c>
      <c r="BO867" s="21" t="str">
        <f ca="1">IFERROR(VLOOKUP(N867,OFFSET(abbreviation[],0,ColumnLanguage),ColumnAbbreviation,FALSE),"")</f>
        <v/>
      </c>
      <c r="BP867" s="21" t="str">
        <f ca="1">IFERROR(VLOOKUP(P867,OFFSET(abbreviation[],0,ColumnLanguage),ColumnAbbreviation,FALSE),"")</f>
        <v/>
      </c>
      <c r="BQ867" s="21" t="str">
        <f ca="1">IFERROR(VLOOKUP(T867,OFFSET(abbreviation[],0,ColumnLanguage),ColumnAbbreviation,FALSE),"")</f>
        <v/>
      </c>
      <c r="BR867" s="21" t="str">
        <f ca="1">IFERROR(VLOOKUP(V867,OFFSET(abbreviation[],0,ColumnLanguage),ColumnAbbreviation,FALSE),"")</f>
        <v/>
      </c>
      <c r="BS867" s="21" t="str">
        <f ca="1">IFERROR(VLOOKUP(Z867,OFFSET(abbreviation[],0,ColumnLanguage),ColumnAbbreviation,FALSE),"")</f>
        <v/>
      </c>
      <c r="BT867" s="21" t="str">
        <f ca="1">IFERROR(VLOOKUP(AB867,OFFSET(abbreviation[],0,ColumnLanguage),ColumnAbbreviation,FALSE),"")</f>
        <v/>
      </c>
      <c r="BU867" s="21" t="str">
        <f t="shared" ca="1" si="92"/>
        <v>__</v>
      </c>
      <c r="BV867" s="21" t="str">
        <f ca="1">IFERROR(VLOOKUP(AF867,OFFSET(abbreviation[],0,ColumnLanguage),ColumnAbbreviation,FALSE),"")</f>
        <v/>
      </c>
      <c r="BW867" s="21" t="str">
        <f ca="1">IFERROR(VLOOKUP(AH867,OFFSET(abbreviation[],0,ColumnLanguage),ColumnAbbreviation,FALSE),"")</f>
        <v/>
      </c>
      <c r="BX867" s="21" t="str">
        <f ca="1">IFERROR(VLOOKUP(AJ867,OFFSET(abbreviation[],0,ColumnLanguage),ColumnAbbreviation,FALSE),"")</f>
        <v/>
      </c>
      <c r="BY867" s="21" t="str">
        <f ca="1">IFERROR(VLOOKUP(AL867,OFFSET(abbreviation[],0,ColumnLanguage),ColumnAbbreviation,FALSE),"")</f>
        <v/>
      </c>
      <c r="BZ867" s="21" t="str">
        <f t="shared" ca="1" si="93"/>
        <v>_</v>
      </c>
      <c r="CA867" s="21" t="str">
        <f ca="1">IFERROR(VLOOKUP(AP867,OFFSET(abbreviation[],0,ColumnLanguage),ColumnAbbreviation,FALSE),"")</f>
        <v/>
      </c>
      <c r="CB867" s="21" t="str">
        <f ca="1">IFERROR(VLOOKUP(AR867,OFFSET(abbreviation[],0,ColumnLanguage),ColumnAbbreviation,FALSE),"")</f>
        <v/>
      </c>
      <c r="CC867" s="21" t="str">
        <f ca="1">IFERROR(VLOOKUP(AT867,OFFSET(abbreviation[],0,ColumnLanguage),ColumnAbbreviation,FALSE),"")</f>
        <v/>
      </c>
      <c r="CD867" s="21" t="str">
        <f ca="1">IFERROR(VLOOKUP(AV867,OFFSET(abbreviation[],0,ColumnLanguage),ColumnAbbreviation,FALSE),"")</f>
        <v/>
      </c>
      <c r="CE867" s="21" t="str">
        <f t="shared" ca="1" si="94"/>
        <v>__</v>
      </c>
      <c r="CF867" s="21" t="str">
        <f ca="1">IFERROR(VLOOKUP(AX867,OFFSET(abbreviation[],0,ColumnLanguage),ColumnAbbreviation,FALSE),"")</f>
        <v/>
      </c>
      <c r="CG867" s="21" t="str">
        <f ca="1">IFERROR(VLOOKUP(AZ867,OFFSET(abbreviation[],0,ColumnLanguage),ColumnAbbreviation,FALSE),"")</f>
        <v/>
      </c>
      <c r="CH867" s="21" t="str">
        <f ca="1">IFERROR(VLOOKUP(BB867,OFFSET(abbreviation[],0,ColumnLanguage),ColumnAbbreviation,FALSE),"")</f>
        <v/>
      </c>
      <c r="CI867" s="21" t="str">
        <f ca="1">IFERROR(VLOOKUP(BD867,OFFSET(abbreviation[],0,ColumnLanguage),ColumnAbbreviation,FALSE),"")</f>
        <v/>
      </c>
      <c r="CJ867" s="21" t="str">
        <f ca="1">IFERROR(VLOOKUP(BF867,OFFSET(abbreviation[],0,ColumnLanguage),ColumnAbbreviation,FALSE),"")</f>
        <v/>
      </c>
      <c r="CK867" s="21" t="str">
        <f t="shared" ca="1" si="95"/>
        <v/>
      </c>
      <c r="CL867" s="21" t="str">
        <f t="shared" si="96"/>
        <v/>
      </c>
      <c r="CM867" s="52"/>
      <c r="CN867" s="57" t="str">
        <f t="shared" si="97"/>
        <v/>
      </c>
    </row>
    <row r="868" spans="14:92" x14ac:dyDescent="0.25">
      <c r="N868" s="10"/>
      <c r="Q868" s="13"/>
      <c r="X868" s="61"/>
      <c r="AN868" s="54"/>
      <c r="AS868" s="15"/>
      <c r="BH868" s="52"/>
      <c r="BI868" s="21" t="str">
        <f ca="1">IFERROR(VLOOKUP(C868,OFFSET(abbreviation[],0,ColumnLanguage),ColumnAbbreviation,FALSE),"")</f>
        <v/>
      </c>
      <c r="BJ868" s="21" t="str">
        <f ca="1">IFERROR(VLOOKUP(E868,OFFSET(abbreviation[],0,ColumnLanguage),ColumnAbbreviation,FALSE),"")</f>
        <v/>
      </c>
      <c r="BK868" s="21" t="str">
        <f ca="1">IFERROR(VLOOKUP(G868,OFFSET(abbreviation[],0,ColumnLanguage),ColumnAbbreviation,FALSE),"")</f>
        <v/>
      </c>
      <c r="BL868" s="21" t="str">
        <f ca="1">IFERROR(VLOOKUP(I868,OFFSET(abbreviation[],0,ColumnLanguage),ColumnAbbreviation,FALSE),"")</f>
        <v/>
      </c>
      <c r="BM868" s="21" t="str">
        <f ca="1">IFERROR(VLOOKUP(K868,OFFSET(abbreviation[],0,ColumnLanguage),ColumnAbbreviation,FALSE),"")</f>
        <v/>
      </c>
      <c r="BN868" s="21" t="str">
        <f t="shared" ca="1" si="91"/>
        <v/>
      </c>
      <c r="BO868" s="21" t="str">
        <f ca="1">IFERROR(VLOOKUP(N868,OFFSET(abbreviation[],0,ColumnLanguage),ColumnAbbreviation,FALSE),"")</f>
        <v/>
      </c>
      <c r="BP868" s="21" t="str">
        <f ca="1">IFERROR(VLOOKUP(P868,OFFSET(abbreviation[],0,ColumnLanguage),ColumnAbbreviation,FALSE),"")</f>
        <v/>
      </c>
      <c r="BQ868" s="21" t="str">
        <f ca="1">IFERROR(VLOOKUP(T868,OFFSET(abbreviation[],0,ColumnLanguage),ColumnAbbreviation,FALSE),"")</f>
        <v/>
      </c>
      <c r="BR868" s="21" t="str">
        <f ca="1">IFERROR(VLOOKUP(V868,OFFSET(abbreviation[],0,ColumnLanguage),ColumnAbbreviation,FALSE),"")</f>
        <v/>
      </c>
      <c r="BS868" s="21" t="str">
        <f ca="1">IFERROR(VLOOKUP(Z868,OFFSET(abbreviation[],0,ColumnLanguage),ColumnAbbreviation,FALSE),"")</f>
        <v/>
      </c>
      <c r="BT868" s="21" t="str">
        <f ca="1">IFERROR(VLOOKUP(AB868,OFFSET(abbreviation[],0,ColumnLanguage),ColumnAbbreviation,FALSE),"")</f>
        <v/>
      </c>
      <c r="BU868" s="21" t="str">
        <f t="shared" ca="1" si="92"/>
        <v>__</v>
      </c>
      <c r="BV868" s="21" t="str">
        <f ca="1">IFERROR(VLOOKUP(AF868,OFFSET(abbreviation[],0,ColumnLanguage),ColumnAbbreviation,FALSE),"")</f>
        <v/>
      </c>
      <c r="BW868" s="21" t="str">
        <f ca="1">IFERROR(VLOOKUP(AH868,OFFSET(abbreviation[],0,ColumnLanguage),ColumnAbbreviation,FALSE),"")</f>
        <v/>
      </c>
      <c r="BX868" s="21" t="str">
        <f ca="1">IFERROR(VLOOKUP(AJ868,OFFSET(abbreviation[],0,ColumnLanguage),ColumnAbbreviation,FALSE),"")</f>
        <v/>
      </c>
      <c r="BY868" s="21" t="str">
        <f ca="1">IFERROR(VLOOKUP(AL868,OFFSET(abbreviation[],0,ColumnLanguage),ColumnAbbreviation,FALSE),"")</f>
        <v/>
      </c>
      <c r="BZ868" s="21" t="str">
        <f t="shared" ca="1" si="93"/>
        <v>_</v>
      </c>
      <c r="CA868" s="21" t="str">
        <f ca="1">IFERROR(VLOOKUP(AP868,OFFSET(abbreviation[],0,ColumnLanguage),ColumnAbbreviation,FALSE),"")</f>
        <v/>
      </c>
      <c r="CB868" s="21" t="str">
        <f ca="1">IFERROR(VLOOKUP(AR868,OFFSET(abbreviation[],0,ColumnLanguage),ColumnAbbreviation,FALSE),"")</f>
        <v/>
      </c>
      <c r="CC868" s="21" t="str">
        <f ca="1">IFERROR(VLOOKUP(AT868,OFFSET(abbreviation[],0,ColumnLanguage),ColumnAbbreviation,FALSE),"")</f>
        <v/>
      </c>
      <c r="CD868" s="21" t="str">
        <f ca="1">IFERROR(VLOOKUP(AV868,OFFSET(abbreviation[],0,ColumnLanguage),ColumnAbbreviation,FALSE),"")</f>
        <v/>
      </c>
      <c r="CE868" s="21" t="str">
        <f t="shared" ca="1" si="94"/>
        <v>__</v>
      </c>
      <c r="CF868" s="21" t="str">
        <f ca="1">IFERROR(VLOOKUP(AX868,OFFSET(abbreviation[],0,ColumnLanguage),ColumnAbbreviation,FALSE),"")</f>
        <v/>
      </c>
      <c r="CG868" s="21" t="str">
        <f ca="1">IFERROR(VLOOKUP(AZ868,OFFSET(abbreviation[],0,ColumnLanguage),ColumnAbbreviation,FALSE),"")</f>
        <v/>
      </c>
      <c r="CH868" s="21" t="str">
        <f ca="1">IFERROR(VLOOKUP(BB868,OFFSET(abbreviation[],0,ColumnLanguage),ColumnAbbreviation,FALSE),"")</f>
        <v/>
      </c>
      <c r="CI868" s="21" t="str">
        <f ca="1">IFERROR(VLOOKUP(BD868,OFFSET(abbreviation[],0,ColumnLanguage),ColumnAbbreviation,FALSE),"")</f>
        <v/>
      </c>
      <c r="CJ868" s="21" t="str">
        <f ca="1">IFERROR(VLOOKUP(BF868,OFFSET(abbreviation[],0,ColumnLanguage),ColumnAbbreviation,FALSE),"")</f>
        <v/>
      </c>
      <c r="CK868" s="21" t="str">
        <f t="shared" ca="1" si="95"/>
        <v/>
      </c>
      <c r="CL868" s="21" t="str">
        <f t="shared" si="96"/>
        <v/>
      </c>
      <c r="CM868" s="52"/>
      <c r="CN868" s="57" t="str">
        <f t="shared" si="97"/>
        <v/>
      </c>
    </row>
    <row r="869" spans="14:92" x14ac:dyDescent="0.25">
      <c r="N869" s="10"/>
      <c r="Q869" s="13"/>
      <c r="X869" s="61"/>
      <c r="AN869" s="54"/>
      <c r="AS869" s="15"/>
      <c r="BH869" s="52"/>
      <c r="BI869" s="21" t="str">
        <f ca="1">IFERROR(VLOOKUP(C869,OFFSET(abbreviation[],0,ColumnLanguage),ColumnAbbreviation,FALSE),"")</f>
        <v/>
      </c>
      <c r="BJ869" s="21" t="str">
        <f ca="1">IFERROR(VLOOKUP(E869,OFFSET(abbreviation[],0,ColumnLanguage),ColumnAbbreviation,FALSE),"")</f>
        <v/>
      </c>
      <c r="BK869" s="21" t="str">
        <f ca="1">IFERROR(VLOOKUP(G869,OFFSET(abbreviation[],0,ColumnLanguage),ColumnAbbreviation,FALSE),"")</f>
        <v/>
      </c>
      <c r="BL869" s="21" t="str">
        <f ca="1">IFERROR(VLOOKUP(I869,OFFSET(abbreviation[],0,ColumnLanguage),ColumnAbbreviation,FALSE),"")</f>
        <v/>
      </c>
      <c r="BM869" s="21" t="str">
        <f ca="1">IFERROR(VLOOKUP(K869,OFFSET(abbreviation[],0,ColumnLanguage),ColumnAbbreviation,FALSE),"")</f>
        <v/>
      </c>
      <c r="BN869" s="21" t="str">
        <f t="shared" ca="1" si="91"/>
        <v/>
      </c>
      <c r="BO869" s="21" t="str">
        <f ca="1">IFERROR(VLOOKUP(N869,OFFSET(abbreviation[],0,ColumnLanguage),ColumnAbbreviation,FALSE),"")</f>
        <v/>
      </c>
      <c r="BP869" s="21" t="str">
        <f ca="1">IFERROR(VLOOKUP(P869,OFFSET(abbreviation[],0,ColumnLanguage),ColumnAbbreviation,FALSE),"")</f>
        <v/>
      </c>
      <c r="BQ869" s="21" t="str">
        <f ca="1">IFERROR(VLOOKUP(T869,OFFSET(abbreviation[],0,ColumnLanguage),ColumnAbbreviation,FALSE),"")</f>
        <v/>
      </c>
      <c r="BR869" s="21" t="str">
        <f ca="1">IFERROR(VLOOKUP(V869,OFFSET(abbreviation[],0,ColumnLanguage),ColumnAbbreviation,FALSE),"")</f>
        <v/>
      </c>
      <c r="BS869" s="21" t="str">
        <f ca="1">IFERROR(VLOOKUP(Z869,OFFSET(abbreviation[],0,ColumnLanguage),ColumnAbbreviation,FALSE),"")</f>
        <v/>
      </c>
      <c r="BT869" s="21" t="str">
        <f ca="1">IFERROR(VLOOKUP(AB869,OFFSET(abbreviation[],0,ColumnLanguage),ColumnAbbreviation,FALSE),"")</f>
        <v/>
      </c>
      <c r="BU869" s="21" t="str">
        <f t="shared" ca="1" si="92"/>
        <v>__</v>
      </c>
      <c r="BV869" s="21" t="str">
        <f ca="1">IFERROR(VLOOKUP(AF869,OFFSET(abbreviation[],0,ColumnLanguage),ColumnAbbreviation,FALSE),"")</f>
        <v/>
      </c>
      <c r="BW869" s="21" t="str">
        <f ca="1">IFERROR(VLOOKUP(AH869,OFFSET(abbreviation[],0,ColumnLanguage),ColumnAbbreviation,FALSE),"")</f>
        <v/>
      </c>
      <c r="BX869" s="21" t="str">
        <f ca="1">IFERROR(VLOOKUP(AJ869,OFFSET(abbreviation[],0,ColumnLanguage),ColumnAbbreviation,FALSE),"")</f>
        <v/>
      </c>
      <c r="BY869" s="21" t="str">
        <f ca="1">IFERROR(VLOOKUP(AL869,OFFSET(abbreviation[],0,ColumnLanguage),ColumnAbbreviation,FALSE),"")</f>
        <v/>
      </c>
      <c r="BZ869" s="21" t="str">
        <f t="shared" ca="1" si="93"/>
        <v>_</v>
      </c>
      <c r="CA869" s="21" t="str">
        <f ca="1">IFERROR(VLOOKUP(AP869,OFFSET(abbreviation[],0,ColumnLanguage),ColumnAbbreviation,FALSE),"")</f>
        <v/>
      </c>
      <c r="CB869" s="21" t="str">
        <f ca="1">IFERROR(VLOOKUP(AR869,OFFSET(abbreviation[],0,ColumnLanguage),ColumnAbbreviation,FALSE),"")</f>
        <v/>
      </c>
      <c r="CC869" s="21" t="str">
        <f ca="1">IFERROR(VLOOKUP(AT869,OFFSET(abbreviation[],0,ColumnLanguage),ColumnAbbreviation,FALSE),"")</f>
        <v/>
      </c>
      <c r="CD869" s="21" t="str">
        <f ca="1">IFERROR(VLOOKUP(AV869,OFFSET(abbreviation[],0,ColumnLanguage),ColumnAbbreviation,FALSE),"")</f>
        <v/>
      </c>
      <c r="CE869" s="21" t="str">
        <f t="shared" ca="1" si="94"/>
        <v>__</v>
      </c>
      <c r="CF869" s="21" t="str">
        <f ca="1">IFERROR(VLOOKUP(AX869,OFFSET(abbreviation[],0,ColumnLanguage),ColumnAbbreviation,FALSE),"")</f>
        <v/>
      </c>
      <c r="CG869" s="21" t="str">
        <f ca="1">IFERROR(VLOOKUP(AZ869,OFFSET(abbreviation[],0,ColumnLanguage),ColumnAbbreviation,FALSE),"")</f>
        <v/>
      </c>
      <c r="CH869" s="21" t="str">
        <f ca="1">IFERROR(VLOOKUP(BB869,OFFSET(abbreviation[],0,ColumnLanguage),ColumnAbbreviation,FALSE),"")</f>
        <v/>
      </c>
      <c r="CI869" s="21" t="str">
        <f ca="1">IFERROR(VLOOKUP(BD869,OFFSET(abbreviation[],0,ColumnLanguage),ColumnAbbreviation,FALSE),"")</f>
        <v/>
      </c>
      <c r="CJ869" s="21" t="str">
        <f ca="1">IFERROR(VLOOKUP(BF869,OFFSET(abbreviation[],0,ColumnLanguage),ColumnAbbreviation,FALSE),"")</f>
        <v/>
      </c>
      <c r="CK869" s="21" t="str">
        <f t="shared" ca="1" si="95"/>
        <v/>
      </c>
      <c r="CL869" s="21" t="str">
        <f t="shared" si="96"/>
        <v/>
      </c>
      <c r="CM869" s="52"/>
      <c r="CN869" s="57" t="str">
        <f t="shared" si="97"/>
        <v/>
      </c>
    </row>
    <row r="870" spans="14:92" x14ac:dyDescent="0.25">
      <c r="N870" s="10"/>
      <c r="Q870" s="13"/>
      <c r="X870" s="61"/>
      <c r="AN870" s="54"/>
      <c r="AS870" s="15"/>
      <c r="BH870" s="52"/>
      <c r="BI870" s="21" t="str">
        <f ca="1">IFERROR(VLOOKUP(C870,OFFSET(abbreviation[],0,ColumnLanguage),ColumnAbbreviation,FALSE),"")</f>
        <v/>
      </c>
      <c r="BJ870" s="21" t="str">
        <f ca="1">IFERROR(VLOOKUP(E870,OFFSET(abbreviation[],0,ColumnLanguage),ColumnAbbreviation,FALSE),"")</f>
        <v/>
      </c>
      <c r="BK870" s="21" t="str">
        <f ca="1">IFERROR(VLOOKUP(G870,OFFSET(abbreviation[],0,ColumnLanguage),ColumnAbbreviation,FALSE),"")</f>
        <v/>
      </c>
      <c r="BL870" s="21" t="str">
        <f ca="1">IFERROR(VLOOKUP(I870,OFFSET(abbreviation[],0,ColumnLanguage),ColumnAbbreviation,FALSE),"")</f>
        <v/>
      </c>
      <c r="BM870" s="21" t="str">
        <f ca="1">IFERROR(VLOOKUP(K870,OFFSET(abbreviation[],0,ColumnLanguage),ColumnAbbreviation,FALSE),"")</f>
        <v/>
      </c>
      <c r="BN870" s="21" t="str">
        <f t="shared" ca="1" si="91"/>
        <v/>
      </c>
      <c r="BO870" s="21" t="str">
        <f ca="1">IFERROR(VLOOKUP(N870,OFFSET(abbreviation[],0,ColumnLanguage),ColumnAbbreviation,FALSE),"")</f>
        <v/>
      </c>
      <c r="BP870" s="21" t="str">
        <f ca="1">IFERROR(VLOOKUP(P870,OFFSET(abbreviation[],0,ColumnLanguage),ColumnAbbreviation,FALSE),"")</f>
        <v/>
      </c>
      <c r="BQ870" s="21" t="str">
        <f ca="1">IFERROR(VLOOKUP(T870,OFFSET(abbreviation[],0,ColumnLanguage),ColumnAbbreviation,FALSE),"")</f>
        <v/>
      </c>
      <c r="BR870" s="21" t="str">
        <f ca="1">IFERROR(VLOOKUP(V870,OFFSET(abbreviation[],0,ColumnLanguage),ColumnAbbreviation,FALSE),"")</f>
        <v/>
      </c>
      <c r="BS870" s="21" t="str">
        <f ca="1">IFERROR(VLOOKUP(Z870,OFFSET(abbreviation[],0,ColumnLanguage),ColumnAbbreviation,FALSE),"")</f>
        <v/>
      </c>
      <c r="BT870" s="21" t="str">
        <f ca="1">IFERROR(VLOOKUP(AB870,OFFSET(abbreviation[],0,ColumnLanguage),ColumnAbbreviation,FALSE),"")</f>
        <v/>
      </c>
      <c r="BU870" s="21" t="str">
        <f t="shared" ca="1" si="92"/>
        <v>__</v>
      </c>
      <c r="BV870" s="21" t="str">
        <f ca="1">IFERROR(VLOOKUP(AF870,OFFSET(abbreviation[],0,ColumnLanguage),ColumnAbbreviation,FALSE),"")</f>
        <v/>
      </c>
      <c r="BW870" s="21" t="str">
        <f ca="1">IFERROR(VLOOKUP(AH870,OFFSET(abbreviation[],0,ColumnLanguage),ColumnAbbreviation,FALSE),"")</f>
        <v/>
      </c>
      <c r="BX870" s="21" t="str">
        <f ca="1">IFERROR(VLOOKUP(AJ870,OFFSET(abbreviation[],0,ColumnLanguage),ColumnAbbreviation,FALSE),"")</f>
        <v/>
      </c>
      <c r="BY870" s="21" t="str">
        <f ca="1">IFERROR(VLOOKUP(AL870,OFFSET(abbreviation[],0,ColumnLanguage),ColumnAbbreviation,FALSE),"")</f>
        <v/>
      </c>
      <c r="BZ870" s="21" t="str">
        <f t="shared" ca="1" si="93"/>
        <v>_</v>
      </c>
      <c r="CA870" s="21" t="str">
        <f ca="1">IFERROR(VLOOKUP(AP870,OFFSET(abbreviation[],0,ColumnLanguage),ColumnAbbreviation,FALSE),"")</f>
        <v/>
      </c>
      <c r="CB870" s="21" t="str">
        <f ca="1">IFERROR(VLOOKUP(AR870,OFFSET(abbreviation[],0,ColumnLanguage),ColumnAbbreviation,FALSE),"")</f>
        <v/>
      </c>
      <c r="CC870" s="21" t="str">
        <f ca="1">IFERROR(VLOOKUP(AT870,OFFSET(abbreviation[],0,ColumnLanguage),ColumnAbbreviation,FALSE),"")</f>
        <v/>
      </c>
      <c r="CD870" s="21" t="str">
        <f ca="1">IFERROR(VLOOKUP(AV870,OFFSET(abbreviation[],0,ColumnLanguage),ColumnAbbreviation,FALSE),"")</f>
        <v/>
      </c>
      <c r="CE870" s="21" t="str">
        <f t="shared" ca="1" si="94"/>
        <v>__</v>
      </c>
      <c r="CF870" s="21" t="str">
        <f ca="1">IFERROR(VLOOKUP(AX870,OFFSET(abbreviation[],0,ColumnLanguage),ColumnAbbreviation,FALSE),"")</f>
        <v/>
      </c>
      <c r="CG870" s="21" t="str">
        <f ca="1">IFERROR(VLOOKUP(AZ870,OFFSET(abbreviation[],0,ColumnLanguage),ColumnAbbreviation,FALSE),"")</f>
        <v/>
      </c>
      <c r="CH870" s="21" t="str">
        <f ca="1">IFERROR(VLOOKUP(BB870,OFFSET(abbreviation[],0,ColumnLanguage),ColumnAbbreviation,FALSE),"")</f>
        <v/>
      </c>
      <c r="CI870" s="21" t="str">
        <f ca="1">IFERROR(VLOOKUP(BD870,OFFSET(abbreviation[],0,ColumnLanguage),ColumnAbbreviation,FALSE),"")</f>
        <v/>
      </c>
      <c r="CJ870" s="21" t="str">
        <f ca="1">IFERROR(VLOOKUP(BF870,OFFSET(abbreviation[],0,ColumnLanguage),ColumnAbbreviation,FALSE),"")</f>
        <v/>
      </c>
      <c r="CK870" s="21" t="str">
        <f t="shared" ca="1" si="95"/>
        <v/>
      </c>
      <c r="CL870" s="21" t="str">
        <f t="shared" si="96"/>
        <v/>
      </c>
      <c r="CM870" s="52"/>
      <c r="CN870" s="57" t="str">
        <f t="shared" si="97"/>
        <v/>
      </c>
    </row>
    <row r="871" spans="14:92" x14ac:dyDescent="0.25">
      <c r="Q871" s="13"/>
      <c r="AN871" s="54"/>
      <c r="AS871" s="15"/>
      <c r="BH871" s="52"/>
      <c r="BI871" s="21" t="str">
        <f ca="1">IFERROR(VLOOKUP(C871,OFFSET(abbreviation[],0,ColumnLanguage),ColumnAbbreviation,FALSE),"")</f>
        <v/>
      </c>
      <c r="BJ871" s="21" t="str">
        <f ca="1">IFERROR(VLOOKUP(E871,OFFSET(abbreviation[],0,ColumnLanguage),ColumnAbbreviation,FALSE),"")</f>
        <v/>
      </c>
      <c r="BK871" s="21" t="str">
        <f ca="1">IFERROR(VLOOKUP(G871,OFFSET(abbreviation[],0,ColumnLanguage),ColumnAbbreviation,FALSE),"")</f>
        <v/>
      </c>
      <c r="BL871" s="21" t="str">
        <f ca="1">IFERROR(VLOOKUP(I871,OFFSET(abbreviation[],0,ColumnLanguage),ColumnAbbreviation,FALSE),"")</f>
        <v/>
      </c>
      <c r="BM871" s="21" t="str">
        <f ca="1">IFERROR(VLOOKUP(K871,OFFSET(abbreviation[],0,ColumnLanguage),ColumnAbbreviation,FALSE),"")</f>
        <v/>
      </c>
      <c r="BN871" s="21" t="str">
        <f t="shared" ca="1" si="91"/>
        <v/>
      </c>
      <c r="BO871" s="21" t="str">
        <f ca="1">IFERROR(VLOOKUP(N871,OFFSET(abbreviation[],0,ColumnLanguage),ColumnAbbreviation,FALSE),"")</f>
        <v/>
      </c>
      <c r="BP871" s="21" t="str">
        <f ca="1">IFERROR(VLOOKUP(P871,OFFSET(abbreviation[],0,ColumnLanguage),ColumnAbbreviation,FALSE),"")</f>
        <v/>
      </c>
      <c r="BQ871" s="21" t="str">
        <f ca="1">IFERROR(VLOOKUP(T871,OFFSET(abbreviation[],0,ColumnLanguage),ColumnAbbreviation,FALSE),"")</f>
        <v/>
      </c>
      <c r="BR871" s="21" t="str">
        <f ca="1">IFERROR(VLOOKUP(V871,OFFSET(abbreviation[],0,ColumnLanguage),ColumnAbbreviation,FALSE),"")</f>
        <v/>
      </c>
      <c r="BS871" s="21" t="str">
        <f ca="1">IFERROR(VLOOKUP(Z871,OFFSET(abbreviation[],0,ColumnLanguage),ColumnAbbreviation,FALSE),"")</f>
        <v/>
      </c>
      <c r="BT871" s="21" t="str">
        <f ca="1">IFERROR(VLOOKUP(AB871,OFFSET(abbreviation[],0,ColumnLanguage),ColumnAbbreviation,FALSE),"")</f>
        <v/>
      </c>
      <c r="BU871" s="21" t="str">
        <f t="shared" ca="1" si="92"/>
        <v>__</v>
      </c>
      <c r="BV871" s="21" t="str">
        <f ca="1">IFERROR(VLOOKUP(AF871,OFFSET(abbreviation[],0,ColumnLanguage),ColumnAbbreviation,FALSE),"")</f>
        <v/>
      </c>
      <c r="BW871" s="21" t="str">
        <f ca="1">IFERROR(VLOOKUP(AH871,OFFSET(abbreviation[],0,ColumnLanguage),ColumnAbbreviation,FALSE),"")</f>
        <v/>
      </c>
      <c r="BX871" s="21" t="str">
        <f ca="1">IFERROR(VLOOKUP(AJ871,OFFSET(abbreviation[],0,ColumnLanguage),ColumnAbbreviation,FALSE),"")</f>
        <v/>
      </c>
      <c r="BY871" s="21" t="str">
        <f ca="1">IFERROR(VLOOKUP(AL871,OFFSET(abbreviation[],0,ColumnLanguage),ColumnAbbreviation,FALSE),"")</f>
        <v/>
      </c>
      <c r="BZ871" s="21" t="str">
        <f t="shared" ca="1" si="93"/>
        <v>_</v>
      </c>
      <c r="CA871" s="21" t="str">
        <f ca="1">IFERROR(VLOOKUP(AP871,OFFSET(abbreviation[],0,ColumnLanguage),ColumnAbbreviation,FALSE),"")</f>
        <v/>
      </c>
      <c r="CB871" s="21" t="str">
        <f ca="1">IFERROR(VLOOKUP(AR871,OFFSET(abbreviation[],0,ColumnLanguage),ColumnAbbreviation,FALSE),"")</f>
        <v/>
      </c>
      <c r="CC871" s="21" t="str">
        <f ca="1">IFERROR(VLOOKUP(AT871,OFFSET(abbreviation[],0,ColumnLanguage),ColumnAbbreviation,FALSE),"")</f>
        <v/>
      </c>
      <c r="CD871" s="21" t="str">
        <f ca="1">IFERROR(VLOOKUP(AV871,OFFSET(abbreviation[],0,ColumnLanguage),ColumnAbbreviation,FALSE),"")</f>
        <v/>
      </c>
      <c r="CE871" s="21" t="str">
        <f t="shared" ca="1" si="94"/>
        <v>__</v>
      </c>
      <c r="CF871" s="21" t="str">
        <f ca="1">IFERROR(VLOOKUP(AX871,OFFSET(abbreviation[],0,ColumnLanguage),ColumnAbbreviation,FALSE),"")</f>
        <v/>
      </c>
      <c r="CG871" s="21" t="str">
        <f ca="1">IFERROR(VLOOKUP(AZ871,OFFSET(abbreviation[],0,ColumnLanguage),ColumnAbbreviation,FALSE),"")</f>
        <v/>
      </c>
      <c r="CH871" s="21" t="str">
        <f ca="1">IFERROR(VLOOKUP(BB871,OFFSET(abbreviation[],0,ColumnLanguage),ColumnAbbreviation,FALSE),"")</f>
        <v/>
      </c>
      <c r="CI871" s="21" t="str">
        <f ca="1">IFERROR(VLOOKUP(BD871,OFFSET(abbreviation[],0,ColumnLanguage),ColumnAbbreviation,FALSE),"")</f>
        <v/>
      </c>
      <c r="CJ871" s="21" t="str">
        <f ca="1">IFERROR(VLOOKUP(BF871,OFFSET(abbreviation[],0,ColumnLanguage),ColumnAbbreviation,FALSE),"")</f>
        <v/>
      </c>
      <c r="CK871" s="21" t="str">
        <f t="shared" ca="1" si="95"/>
        <v/>
      </c>
      <c r="CL871" s="21" t="str">
        <f t="shared" si="96"/>
        <v/>
      </c>
      <c r="CM871" s="52"/>
      <c r="CN871" s="57" t="str">
        <f t="shared" si="97"/>
        <v/>
      </c>
    </row>
    <row r="872" spans="14:92" x14ac:dyDescent="0.25">
      <c r="Q872" s="13"/>
      <c r="AN872" s="54"/>
      <c r="AS872" s="15"/>
      <c r="BH872" s="52"/>
      <c r="BI872" s="21" t="str">
        <f ca="1">IFERROR(VLOOKUP(C872,OFFSET(abbreviation[],0,ColumnLanguage),ColumnAbbreviation,FALSE),"")</f>
        <v/>
      </c>
      <c r="BJ872" s="21" t="str">
        <f ca="1">IFERROR(VLOOKUP(E872,OFFSET(abbreviation[],0,ColumnLanguage),ColumnAbbreviation,FALSE),"")</f>
        <v/>
      </c>
      <c r="BK872" s="21" t="str">
        <f ca="1">IFERROR(VLOOKUP(G872,OFFSET(abbreviation[],0,ColumnLanguage),ColumnAbbreviation,FALSE),"")</f>
        <v/>
      </c>
      <c r="BL872" s="21" t="str">
        <f ca="1">IFERROR(VLOOKUP(I872,OFFSET(abbreviation[],0,ColumnLanguage),ColumnAbbreviation,FALSE),"")</f>
        <v/>
      </c>
      <c r="BM872" s="21" t="str">
        <f ca="1">IFERROR(VLOOKUP(K872,OFFSET(abbreviation[],0,ColumnLanguage),ColumnAbbreviation,FALSE),"")</f>
        <v/>
      </c>
      <c r="BN872" s="21" t="str">
        <f t="shared" ca="1" si="91"/>
        <v/>
      </c>
      <c r="BO872" s="21" t="str">
        <f ca="1">IFERROR(VLOOKUP(N872,OFFSET(abbreviation[],0,ColumnLanguage),ColumnAbbreviation,FALSE),"")</f>
        <v/>
      </c>
      <c r="BP872" s="21" t="str">
        <f ca="1">IFERROR(VLOOKUP(P872,OFFSET(abbreviation[],0,ColumnLanguage),ColumnAbbreviation,FALSE),"")</f>
        <v/>
      </c>
      <c r="BQ872" s="21" t="str">
        <f ca="1">IFERROR(VLOOKUP(T872,OFFSET(abbreviation[],0,ColumnLanguage),ColumnAbbreviation,FALSE),"")</f>
        <v/>
      </c>
      <c r="BR872" s="21" t="str">
        <f ca="1">IFERROR(VLOOKUP(V872,OFFSET(abbreviation[],0,ColumnLanguage),ColumnAbbreviation,FALSE),"")</f>
        <v/>
      </c>
      <c r="BS872" s="21" t="str">
        <f ca="1">IFERROR(VLOOKUP(Z872,OFFSET(abbreviation[],0,ColumnLanguage),ColumnAbbreviation,FALSE),"")</f>
        <v/>
      </c>
      <c r="BT872" s="21" t="str">
        <f ca="1">IFERROR(VLOOKUP(AB872,OFFSET(abbreviation[],0,ColumnLanguage),ColumnAbbreviation,FALSE),"")</f>
        <v/>
      </c>
      <c r="BU872" s="21" t="str">
        <f t="shared" ca="1" si="92"/>
        <v>__</v>
      </c>
      <c r="BV872" s="21" t="str">
        <f ca="1">IFERROR(VLOOKUP(AF872,OFFSET(abbreviation[],0,ColumnLanguage),ColumnAbbreviation,FALSE),"")</f>
        <v/>
      </c>
      <c r="BW872" s="21" t="str">
        <f ca="1">IFERROR(VLOOKUP(AH872,OFFSET(abbreviation[],0,ColumnLanguage),ColumnAbbreviation,FALSE),"")</f>
        <v/>
      </c>
      <c r="BX872" s="21" t="str">
        <f ca="1">IFERROR(VLOOKUP(AJ872,OFFSET(abbreviation[],0,ColumnLanguage),ColumnAbbreviation,FALSE),"")</f>
        <v/>
      </c>
      <c r="BY872" s="21" t="str">
        <f ca="1">IFERROR(VLOOKUP(AL872,OFFSET(abbreviation[],0,ColumnLanguage),ColumnAbbreviation,FALSE),"")</f>
        <v/>
      </c>
      <c r="BZ872" s="21" t="str">
        <f t="shared" ca="1" si="93"/>
        <v>_</v>
      </c>
      <c r="CA872" s="21" t="str">
        <f ca="1">IFERROR(VLOOKUP(AP872,OFFSET(abbreviation[],0,ColumnLanguage),ColumnAbbreviation,FALSE),"")</f>
        <v/>
      </c>
      <c r="CB872" s="21" t="str">
        <f ca="1">IFERROR(VLOOKUP(AR872,OFFSET(abbreviation[],0,ColumnLanguage),ColumnAbbreviation,FALSE),"")</f>
        <v/>
      </c>
      <c r="CC872" s="21" t="str">
        <f ca="1">IFERROR(VLOOKUP(AT872,OFFSET(abbreviation[],0,ColumnLanguage),ColumnAbbreviation,FALSE),"")</f>
        <v/>
      </c>
      <c r="CD872" s="21" t="str">
        <f ca="1">IFERROR(VLOOKUP(AV872,OFFSET(abbreviation[],0,ColumnLanguage),ColumnAbbreviation,FALSE),"")</f>
        <v/>
      </c>
      <c r="CE872" s="21" t="str">
        <f t="shared" ca="1" si="94"/>
        <v>__</v>
      </c>
      <c r="CF872" s="21" t="str">
        <f ca="1">IFERROR(VLOOKUP(AX872,OFFSET(abbreviation[],0,ColumnLanguage),ColumnAbbreviation,FALSE),"")</f>
        <v/>
      </c>
      <c r="CG872" s="21" t="str">
        <f ca="1">IFERROR(VLOOKUP(AZ872,OFFSET(abbreviation[],0,ColumnLanguage),ColumnAbbreviation,FALSE),"")</f>
        <v/>
      </c>
      <c r="CH872" s="21" t="str">
        <f ca="1">IFERROR(VLOOKUP(BB872,OFFSET(abbreviation[],0,ColumnLanguage),ColumnAbbreviation,FALSE),"")</f>
        <v/>
      </c>
      <c r="CI872" s="21" t="str">
        <f ca="1">IFERROR(VLOOKUP(BD872,OFFSET(abbreviation[],0,ColumnLanguage),ColumnAbbreviation,FALSE),"")</f>
        <v/>
      </c>
      <c r="CJ872" s="21" t="str">
        <f ca="1">IFERROR(VLOOKUP(BF872,OFFSET(abbreviation[],0,ColumnLanguage),ColumnAbbreviation,FALSE),"")</f>
        <v/>
      </c>
      <c r="CK872" s="21" t="str">
        <f t="shared" ca="1" si="95"/>
        <v/>
      </c>
      <c r="CL872" s="21" t="str">
        <f t="shared" si="96"/>
        <v/>
      </c>
      <c r="CM872" s="52"/>
      <c r="CN872" s="57" t="str">
        <f t="shared" si="97"/>
        <v/>
      </c>
    </row>
    <row r="873" spans="14:92" x14ac:dyDescent="0.25">
      <c r="Q873" s="13"/>
      <c r="AN873" s="54"/>
      <c r="AS873" s="15"/>
      <c r="BH873" s="52"/>
      <c r="BI873" s="21" t="str">
        <f ca="1">IFERROR(VLOOKUP(C873,OFFSET(abbreviation[],0,ColumnLanguage),ColumnAbbreviation,FALSE),"")</f>
        <v/>
      </c>
      <c r="BJ873" s="21" t="str">
        <f ca="1">IFERROR(VLOOKUP(E873,OFFSET(abbreviation[],0,ColumnLanguage),ColumnAbbreviation,FALSE),"")</f>
        <v/>
      </c>
      <c r="BK873" s="21" t="str">
        <f ca="1">IFERROR(VLOOKUP(G873,OFFSET(abbreviation[],0,ColumnLanguage),ColumnAbbreviation,FALSE),"")</f>
        <v/>
      </c>
      <c r="BL873" s="21" t="str">
        <f ca="1">IFERROR(VLOOKUP(I873,OFFSET(abbreviation[],0,ColumnLanguage),ColumnAbbreviation,FALSE),"")</f>
        <v/>
      </c>
      <c r="BM873" s="21" t="str">
        <f ca="1">IFERROR(VLOOKUP(K873,OFFSET(abbreviation[],0,ColumnLanguage),ColumnAbbreviation,FALSE),"")</f>
        <v/>
      </c>
      <c r="BN873" s="21" t="str">
        <f t="shared" ca="1" si="91"/>
        <v/>
      </c>
      <c r="BO873" s="21" t="str">
        <f ca="1">IFERROR(VLOOKUP(N873,OFFSET(abbreviation[],0,ColumnLanguage),ColumnAbbreviation,FALSE),"")</f>
        <v/>
      </c>
      <c r="BP873" s="21" t="str">
        <f ca="1">IFERROR(VLOOKUP(P873,OFFSET(abbreviation[],0,ColumnLanguage),ColumnAbbreviation,FALSE),"")</f>
        <v/>
      </c>
      <c r="BQ873" s="21" t="str">
        <f ca="1">IFERROR(VLOOKUP(T873,OFFSET(abbreviation[],0,ColumnLanguage),ColumnAbbreviation,FALSE),"")</f>
        <v/>
      </c>
      <c r="BR873" s="21" t="str">
        <f ca="1">IFERROR(VLOOKUP(V873,OFFSET(abbreviation[],0,ColumnLanguage),ColumnAbbreviation,FALSE),"")</f>
        <v/>
      </c>
      <c r="BS873" s="21" t="str">
        <f ca="1">IFERROR(VLOOKUP(Z873,OFFSET(abbreviation[],0,ColumnLanguage),ColumnAbbreviation,FALSE),"")</f>
        <v/>
      </c>
      <c r="BT873" s="21" t="str">
        <f ca="1">IFERROR(VLOOKUP(AB873,OFFSET(abbreviation[],0,ColumnLanguage),ColumnAbbreviation,FALSE),"")</f>
        <v/>
      </c>
      <c r="BU873" s="21" t="str">
        <f t="shared" ca="1" si="92"/>
        <v>__</v>
      </c>
      <c r="BV873" s="21" t="str">
        <f ca="1">IFERROR(VLOOKUP(AF873,OFFSET(abbreviation[],0,ColumnLanguage),ColumnAbbreviation,FALSE),"")</f>
        <v/>
      </c>
      <c r="BW873" s="21" t="str">
        <f ca="1">IFERROR(VLOOKUP(AH873,OFFSET(abbreviation[],0,ColumnLanguage),ColumnAbbreviation,FALSE),"")</f>
        <v/>
      </c>
      <c r="BX873" s="21" t="str">
        <f ca="1">IFERROR(VLOOKUP(AJ873,OFFSET(abbreviation[],0,ColumnLanguage),ColumnAbbreviation,FALSE),"")</f>
        <v/>
      </c>
      <c r="BY873" s="21" t="str">
        <f ca="1">IFERROR(VLOOKUP(AL873,OFFSET(abbreviation[],0,ColumnLanguage),ColumnAbbreviation,FALSE),"")</f>
        <v/>
      </c>
      <c r="BZ873" s="21" t="str">
        <f t="shared" ca="1" si="93"/>
        <v>_</v>
      </c>
      <c r="CA873" s="21" t="str">
        <f ca="1">IFERROR(VLOOKUP(AP873,OFFSET(abbreviation[],0,ColumnLanguage),ColumnAbbreviation,FALSE),"")</f>
        <v/>
      </c>
      <c r="CB873" s="21" t="str">
        <f ca="1">IFERROR(VLOOKUP(AR873,OFFSET(abbreviation[],0,ColumnLanguage),ColumnAbbreviation,FALSE),"")</f>
        <v/>
      </c>
      <c r="CC873" s="21" t="str">
        <f ca="1">IFERROR(VLOOKUP(AT873,OFFSET(abbreviation[],0,ColumnLanguage),ColumnAbbreviation,FALSE),"")</f>
        <v/>
      </c>
      <c r="CD873" s="21" t="str">
        <f ca="1">IFERROR(VLOOKUP(AV873,OFFSET(abbreviation[],0,ColumnLanguage),ColumnAbbreviation,FALSE),"")</f>
        <v/>
      </c>
      <c r="CE873" s="21" t="str">
        <f t="shared" ca="1" si="94"/>
        <v>__</v>
      </c>
      <c r="CF873" s="21" t="str">
        <f ca="1">IFERROR(VLOOKUP(AX873,OFFSET(abbreviation[],0,ColumnLanguage),ColumnAbbreviation,FALSE),"")</f>
        <v/>
      </c>
      <c r="CG873" s="21" t="str">
        <f ca="1">IFERROR(VLOOKUP(AZ873,OFFSET(abbreviation[],0,ColumnLanguage),ColumnAbbreviation,FALSE),"")</f>
        <v/>
      </c>
      <c r="CH873" s="21" t="str">
        <f ca="1">IFERROR(VLOOKUP(BB873,OFFSET(abbreviation[],0,ColumnLanguage),ColumnAbbreviation,FALSE),"")</f>
        <v/>
      </c>
      <c r="CI873" s="21" t="str">
        <f ca="1">IFERROR(VLOOKUP(BD873,OFFSET(abbreviation[],0,ColumnLanguage),ColumnAbbreviation,FALSE),"")</f>
        <v/>
      </c>
      <c r="CJ873" s="21" t="str">
        <f ca="1">IFERROR(VLOOKUP(BF873,OFFSET(abbreviation[],0,ColumnLanguage),ColumnAbbreviation,FALSE),"")</f>
        <v/>
      </c>
      <c r="CK873" s="21" t="str">
        <f t="shared" ca="1" si="95"/>
        <v/>
      </c>
      <c r="CL873" s="21" t="str">
        <f t="shared" si="96"/>
        <v/>
      </c>
      <c r="CM873" s="52"/>
      <c r="CN873" s="57" t="str">
        <f t="shared" si="97"/>
        <v/>
      </c>
    </row>
    <row r="874" spans="14:92" x14ac:dyDescent="0.25">
      <c r="Q874" s="13"/>
      <c r="AN874" s="54"/>
      <c r="AS874" s="15"/>
      <c r="BH874" s="52"/>
      <c r="BI874" s="21" t="str">
        <f ca="1">IFERROR(VLOOKUP(C874,OFFSET(abbreviation[],0,ColumnLanguage),ColumnAbbreviation,FALSE),"")</f>
        <v/>
      </c>
      <c r="BJ874" s="21" t="str">
        <f ca="1">IFERROR(VLOOKUP(E874,OFFSET(abbreviation[],0,ColumnLanguage),ColumnAbbreviation,FALSE),"")</f>
        <v/>
      </c>
      <c r="BK874" s="21" t="str">
        <f ca="1">IFERROR(VLOOKUP(G874,OFFSET(abbreviation[],0,ColumnLanguage),ColumnAbbreviation,FALSE),"")</f>
        <v/>
      </c>
      <c r="BL874" s="21" t="str">
        <f ca="1">IFERROR(VLOOKUP(I874,OFFSET(abbreviation[],0,ColumnLanguage),ColumnAbbreviation,FALSE),"")</f>
        <v/>
      </c>
      <c r="BM874" s="21" t="str">
        <f ca="1">IFERROR(VLOOKUP(K874,OFFSET(abbreviation[],0,ColumnLanguage),ColumnAbbreviation,FALSE),"")</f>
        <v/>
      </c>
      <c r="BN874" s="21" t="str">
        <f t="shared" ca="1" si="91"/>
        <v/>
      </c>
      <c r="BO874" s="21" t="str">
        <f ca="1">IFERROR(VLOOKUP(N874,OFFSET(abbreviation[],0,ColumnLanguage),ColumnAbbreviation,FALSE),"")</f>
        <v/>
      </c>
      <c r="BP874" s="21" t="str">
        <f ca="1">IFERROR(VLOOKUP(P874,OFFSET(abbreviation[],0,ColumnLanguage),ColumnAbbreviation,FALSE),"")</f>
        <v/>
      </c>
      <c r="BQ874" s="21" t="str">
        <f ca="1">IFERROR(VLOOKUP(T874,OFFSET(abbreviation[],0,ColumnLanguage),ColumnAbbreviation,FALSE),"")</f>
        <v/>
      </c>
      <c r="BR874" s="21" t="str">
        <f ca="1">IFERROR(VLOOKUP(V874,OFFSET(abbreviation[],0,ColumnLanguage),ColumnAbbreviation,FALSE),"")</f>
        <v/>
      </c>
      <c r="BS874" s="21" t="str">
        <f ca="1">IFERROR(VLOOKUP(Z874,OFFSET(abbreviation[],0,ColumnLanguage),ColumnAbbreviation,FALSE),"")</f>
        <v/>
      </c>
      <c r="BT874" s="21" t="str">
        <f ca="1">IFERROR(VLOOKUP(AB874,OFFSET(abbreviation[],0,ColumnLanguage),ColumnAbbreviation,FALSE),"")</f>
        <v/>
      </c>
      <c r="BU874" s="21" t="str">
        <f t="shared" ca="1" si="92"/>
        <v>__</v>
      </c>
      <c r="BV874" s="21" t="str">
        <f ca="1">IFERROR(VLOOKUP(AF874,OFFSET(abbreviation[],0,ColumnLanguage),ColumnAbbreviation,FALSE),"")</f>
        <v/>
      </c>
      <c r="BW874" s="21" t="str">
        <f ca="1">IFERROR(VLOOKUP(AH874,OFFSET(abbreviation[],0,ColumnLanguage),ColumnAbbreviation,FALSE),"")</f>
        <v/>
      </c>
      <c r="BX874" s="21" t="str">
        <f ca="1">IFERROR(VLOOKUP(AJ874,OFFSET(abbreviation[],0,ColumnLanguage),ColumnAbbreviation,FALSE),"")</f>
        <v/>
      </c>
      <c r="BY874" s="21" t="str">
        <f ca="1">IFERROR(VLOOKUP(AL874,OFFSET(abbreviation[],0,ColumnLanguage),ColumnAbbreviation,FALSE),"")</f>
        <v/>
      </c>
      <c r="BZ874" s="21" t="str">
        <f t="shared" ca="1" si="93"/>
        <v>_</v>
      </c>
      <c r="CA874" s="21" t="str">
        <f ca="1">IFERROR(VLOOKUP(AP874,OFFSET(abbreviation[],0,ColumnLanguage),ColumnAbbreviation,FALSE),"")</f>
        <v/>
      </c>
      <c r="CB874" s="21" t="str">
        <f ca="1">IFERROR(VLOOKUP(AR874,OFFSET(abbreviation[],0,ColumnLanguage),ColumnAbbreviation,FALSE),"")</f>
        <v/>
      </c>
      <c r="CC874" s="21" t="str">
        <f ca="1">IFERROR(VLOOKUP(AT874,OFFSET(abbreviation[],0,ColumnLanguage),ColumnAbbreviation,FALSE),"")</f>
        <v/>
      </c>
      <c r="CD874" s="21" t="str">
        <f ca="1">IFERROR(VLOOKUP(AV874,OFFSET(abbreviation[],0,ColumnLanguage),ColumnAbbreviation,FALSE),"")</f>
        <v/>
      </c>
      <c r="CE874" s="21" t="str">
        <f t="shared" ca="1" si="94"/>
        <v>__</v>
      </c>
      <c r="CF874" s="21" t="str">
        <f ca="1">IFERROR(VLOOKUP(AX874,OFFSET(abbreviation[],0,ColumnLanguage),ColumnAbbreviation,FALSE),"")</f>
        <v/>
      </c>
      <c r="CG874" s="21" t="str">
        <f ca="1">IFERROR(VLOOKUP(AZ874,OFFSET(abbreviation[],0,ColumnLanguage),ColumnAbbreviation,FALSE),"")</f>
        <v/>
      </c>
      <c r="CH874" s="21" t="str">
        <f ca="1">IFERROR(VLOOKUP(BB874,OFFSET(abbreviation[],0,ColumnLanguage),ColumnAbbreviation,FALSE),"")</f>
        <v/>
      </c>
      <c r="CI874" s="21" t="str">
        <f ca="1">IFERROR(VLOOKUP(BD874,OFFSET(abbreviation[],0,ColumnLanguage),ColumnAbbreviation,FALSE),"")</f>
        <v/>
      </c>
      <c r="CJ874" s="21" t="str">
        <f ca="1">IFERROR(VLOOKUP(BF874,OFFSET(abbreviation[],0,ColumnLanguage),ColumnAbbreviation,FALSE),"")</f>
        <v/>
      </c>
      <c r="CK874" s="21" t="str">
        <f t="shared" ca="1" si="95"/>
        <v/>
      </c>
      <c r="CL874" s="21" t="str">
        <f t="shared" si="96"/>
        <v/>
      </c>
      <c r="CM874" s="52"/>
      <c r="CN874" s="57" t="str">
        <f t="shared" si="97"/>
        <v/>
      </c>
    </row>
    <row r="875" spans="14:92" x14ac:dyDescent="0.25">
      <c r="Q875" s="13"/>
      <c r="AN875" s="54"/>
      <c r="AS875" s="15"/>
      <c r="BH875" s="52"/>
      <c r="BI875" s="21" t="str">
        <f ca="1">IFERROR(VLOOKUP(C875,OFFSET(abbreviation[],0,ColumnLanguage),ColumnAbbreviation,FALSE),"")</f>
        <v/>
      </c>
      <c r="BJ875" s="21" t="str">
        <f ca="1">IFERROR(VLOOKUP(E875,OFFSET(abbreviation[],0,ColumnLanguage),ColumnAbbreviation,FALSE),"")</f>
        <v/>
      </c>
      <c r="BK875" s="21" t="str">
        <f ca="1">IFERROR(VLOOKUP(G875,OFFSET(abbreviation[],0,ColumnLanguage),ColumnAbbreviation,FALSE),"")</f>
        <v/>
      </c>
      <c r="BL875" s="21" t="str">
        <f ca="1">IFERROR(VLOOKUP(I875,OFFSET(abbreviation[],0,ColumnLanguage),ColumnAbbreviation,FALSE),"")</f>
        <v/>
      </c>
      <c r="BM875" s="21" t="str">
        <f ca="1">IFERROR(VLOOKUP(K875,OFFSET(abbreviation[],0,ColumnLanguage),ColumnAbbreviation,FALSE),"")</f>
        <v/>
      </c>
      <c r="BN875" s="21" t="str">
        <f t="shared" ca="1" si="91"/>
        <v/>
      </c>
      <c r="BO875" s="21" t="str">
        <f ca="1">IFERROR(VLOOKUP(N875,OFFSET(abbreviation[],0,ColumnLanguage),ColumnAbbreviation,FALSE),"")</f>
        <v/>
      </c>
      <c r="BP875" s="21" t="str">
        <f ca="1">IFERROR(VLOOKUP(P875,OFFSET(abbreviation[],0,ColumnLanguage),ColumnAbbreviation,FALSE),"")</f>
        <v/>
      </c>
      <c r="BQ875" s="21" t="str">
        <f ca="1">IFERROR(VLOOKUP(T875,OFFSET(abbreviation[],0,ColumnLanguage),ColumnAbbreviation,FALSE),"")</f>
        <v/>
      </c>
      <c r="BR875" s="21" t="str">
        <f ca="1">IFERROR(VLOOKUP(V875,OFFSET(abbreviation[],0,ColumnLanguage),ColumnAbbreviation,FALSE),"")</f>
        <v/>
      </c>
      <c r="BS875" s="21" t="str">
        <f ca="1">IFERROR(VLOOKUP(Z875,OFFSET(abbreviation[],0,ColumnLanguage),ColumnAbbreviation,FALSE),"")</f>
        <v/>
      </c>
      <c r="BT875" s="21" t="str">
        <f ca="1">IFERROR(VLOOKUP(AB875,OFFSET(abbreviation[],0,ColumnLanguage),ColumnAbbreviation,FALSE),"")</f>
        <v/>
      </c>
      <c r="BU875" s="21" t="str">
        <f t="shared" ca="1" si="92"/>
        <v>__</v>
      </c>
      <c r="BV875" s="21" t="str">
        <f ca="1">IFERROR(VLOOKUP(AF875,OFFSET(abbreviation[],0,ColumnLanguage),ColumnAbbreviation,FALSE),"")</f>
        <v/>
      </c>
      <c r="BW875" s="21" t="str">
        <f ca="1">IFERROR(VLOOKUP(AH875,OFFSET(abbreviation[],0,ColumnLanguage),ColumnAbbreviation,FALSE),"")</f>
        <v/>
      </c>
      <c r="BX875" s="21" t="str">
        <f ca="1">IFERROR(VLOOKUP(AJ875,OFFSET(abbreviation[],0,ColumnLanguage),ColumnAbbreviation,FALSE),"")</f>
        <v/>
      </c>
      <c r="BY875" s="21" t="str">
        <f ca="1">IFERROR(VLOOKUP(AL875,OFFSET(abbreviation[],0,ColumnLanguage),ColumnAbbreviation,FALSE),"")</f>
        <v/>
      </c>
      <c r="BZ875" s="21" t="str">
        <f t="shared" ca="1" si="93"/>
        <v>_</v>
      </c>
      <c r="CA875" s="21" t="str">
        <f ca="1">IFERROR(VLOOKUP(AP875,OFFSET(abbreviation[],0,ColumnLanguage),ColumnAbbreviation,FALSE),"")</f>
        <v/>
      </c>
      <c r="CB875" s="21" t="str">
        <f ca="1">IFERROR(VLOOKUP(AR875,OFFSET(abbreviation[],0,ColumnLanguage),ColumnAbbreviation,FALSE),"")</f>
        <v/>
      </c>
      <c r="CC875" s="21" t="str">
        <f ca="1">IFERROR(VLOOKUP(AT875,OFFSET(abbreviation[],0,ColumnLanguage),ColumnAbbreviation,FALSE),"")</f>
        <v/>
      </c>
      <c r="CD875" s="21" t="str">
        <f ca="1">IFERROR(VLOOKUP(AV875,OFFSET(abbreviation[],0,ColumnLanguage),ColumnAbbreviation,FALSE),"")</f>
        <v/>
      </c>
      <c r="CE875" s="21" t="str">
        <f t="shared" ca="1" si="94"/>
        <v>__</v>
      </c>
      <c r="CF875" s="21" t="str">
        <f ca="1">IFERROR(VLOOKUP(AX875,OFFSET(abbreviation[],0,ColumnLanguage),ColumnAbbreviation,FALSE),"")</f>
        <v/>
      </c>
      <c r="CG875" s="21" t="str">
        <f ca="1">IFERROR(VLOOKUP(AZ875,OFFSET(abbreviation[],0,ColumnLanguage),ColumnAbbreviation,FALSE),"")</f>
        <v/>
      </c>
      <c r="CH875" s="21" t="str">
        <f ca="1">IFERROR(VLOOKUP(BB875,OFFSET(abbreviation[],0,ColumnLanguage),ColumnAbbreviation,FALSE),"")</f>
        <v/>
      </c>
      <c r="CI875" s="21" t="str">
        <f ca="1">IFERROR(VLOOKUP(BD875,OFFSET(abbreviation[],0,ColumnLanguage),ColumnAbbreviation,FALSE),"")</f>
        <v/>
      </c>
      <c r="CJ875" s="21" t="str">
        <f ca="1">IFERROR(VLOOKUP(BF875,OFFSET(abbreviation[],0,ColumnLanguage),ColumnAbbreviation,FALSE),"")</f>
        <v/>
      </c>
      <c r="CK875" s="21" t="str">
        <f t="shared" ca="1" si="95"/>
        <v/>
      </c>
      <c r="CL875" s="21" t="str">
        <f t="shared" si="96"/>
        <v/>
      </c>
      <c r="CM875" s="52"/>
      <c r="CN875" s="57" t="str">
        <f t="shared" si="97"/>
        <v/>
      </c>
    </row>
    <row r="876" spans="14:92" x14ac:dyDescent="0.25">
      <c r="Q876" s="13"/>
      <c r="AN876" s="54"/>
      <c r="AS876" s="15"/>
      <c r="BH876" s="52"/>
      <c r="BI876" s="21" t="str">
        <f ca="1">IFERROR(VLOOKUP(C876,OFFSET(abbreviation[],0,ColumnLanguage),ColumnAbbreviation,FALSE),"")</f>
        <v/>
      </c>
      <c r="BJ876" s="21" t="str">
        <f ca="1">IFERROR(VLOOKUP(E876,OFFSET(abbreviation[],0,ColumnLanguage),ColumnAbbreviation,FALSE),"")</f>
        <v/>
      </c>
      <c r="BK876" s="21" t="str">
        <f ca="1">IFERROR(VLOOKUP(G876,OFFSET(abbreviation[],0,ColumnLanguage),ColumnAbbreviation,FALSE),"")</f>
        <v/>
      </c>
      <c r="BL876" s="21" t="str">
        <f ca="1">IFERROR(VLOOKUP(I876,OFFSET(abbreviation[],0,ColumnLanguage),ColumnAbbreviation,FALSE),"")</f>
        <v/>
      </c>
      <c r="BM876" s="21" t="str">
        <f ca="1">IFERROR(VLOOKUP(K876,OFFSET(abbreviation[],0,ColumnLanguage),ColumnAbbreviation,FALSE),"")</f>
        <v/>
      </c>
      <c r="BN876" s="21" t="str">
        <f t="shared" ca="1" si="91"/>
        <v/>
      </c>
      <c r="BO876" s="21" t="str">
        <f ca="1">IFERROR(VLOOKUP(N876,OFFSET(abbreviation[],0,ColumnLanguage),ColumnAbbreviation,FALSE),"")</f>
        <v/>
      </c>
      <c r="BP876" s="21" t="str">
        <f ca="1">IFERROR(VLOOKUP(P876,OFFSET(abbreviation[],0,ColumnLanguage),ColumnAbbreviation,FALSE),"")</f>
        <v/>
      </c>
      <c r="BQ876" s="21" t="str">
        <f ca="1">IFERROR(VLOOKUP(T876,OFFSET(abbreviation[],0,ColumnLanguage),ColumnAbbreviation,FALSE),"")</f>
        <v/>
      </c>
      <c r="BR876" s="21" t="str">
        <f ca="1">IFERROR(VLOOKUP(V876,OFFSET(abbreviation[],0,ColumnLanguage),ColumnAbbreviation,FALSE),"")</f>
        <v/>
      </c>
      <c r="BS876" s="21" t="str">
        <f ca="1">IFERROR(VLOOKUP(Z876,OFFSET(abbreviation[],0,ColumnLanguage),ColumnAbbreviation,FALSE),"")</f>
        <v/>
      </c>
      <c r="BT876" s="21" t="str">
        <f ca="1">IFERROR(VLOOKUP(AB876,OFFSET(abbreviation[],0,ColumnLanguage),ColumnAbbreviation,FALSE),"")</f>
        <v/>
      </c>
      <c r="BU876" s="21" t="str">
        <f t="shared" ca="1" si="92"/>
        <v>__</v>
      </c>
      <c r="BV876" s="21" t="str">
        <f ca="1">IFERROR(VLOOKUP(AF876,OFFSET(abbreviation[],0,ColumnLanguage),ColumnAbbreviation,FALSE),"")</f>
        <v/>
      </c>
      <c r="BW876" s="21" t="str">
        <f ca="1">IFERROR(VLOOKUP(AH876,OFFSET(abbreviation[],0,ColumnLanguage),ColumnAbbreviation,FALSE),"")</f>
        <v/>
      </c>
      <c r="BX876" s="21" t="str">
        <f ca="1">IFERROR(VLOOKUP(AJ876,OFFSET(abbreviation[],0,ColumnLanguage),ColumnAbbreviation,FALSE),"")</f>
        <v/>
      </c>
      <c r="BY876" s="21" t="str">
        <f ca="1">IFERROR(VLOOKUP(AL876,OFFSET(abbreviation[],0,ColumnLanguage),ColumnAbbreviation,FALSE),"")</f>
        <v/>
      </c>
      <c r="BZ876" s="21" t="str">
        <f t="shared" ca="1" si="93"/>
        <v>_</v>
      </c>
      <c r="CA876" s="21" t="str">
        <f ca="1">IFERROR(VLOOKUP(AP876,OFFSET(abbreviation[],0,ColumnLanguage),ColumnAbbreviation,FALSE),"")</f>
        <v/>
      </c>
      <c r="CB876" s="21" t="str">
        <f ca="1">IFERROR(VLOOKUP(AR876,OFFSET(abbreviation[],0,ColumnLanguage),ColumnAbbreviation,FALSE),"")</f>
        <v/>
      </c>
      <c r="CC876" s="21" t="str">
        <f ca="1">IFERROR(VLOOKUP(AT876,OFFSET(abbreviation[],0,ColumnLanguage),ColumnAbbreviation,FALSE),"")</f>
        <v/>
      </c>
      <c r="CD876" s="21" t="str">
        <f ca="1">IFERROR(VLOOKUP(AV876,OFFSET(abbreviation[],0,ColumnLanguage),ColumnAbbreviation,FALSE),"")</f>
        <v/>
      </c>
      <c r="CE876" s="21" t="str">
        <f t="shared" ca="1" si="94"/>
        <v>__</v>
      </c>
      <c r="CF876" s="21" t="str">
        <f ca="1">IFERROR(VLOOKUP(AX876,OFFSET(abbreviation[],0,ColumnLanguage),ColumnAbbreviation,FALSE),"")</f>
        <v/>
      </c>
      <c r="CG876" s="21" t="str">
        <f ca="1">IFERROR(VLOOKUP(AZ876,OFFSET(abbreviation[],0,ColumnLanguage),ColumnAbbreviation,FALSE),"")</f>
        <v/>
      </c>
      <c r="CH876" s="21" t="str">
        <f ca="1">IFERROR(VLOOKUP(BB876,OFFSET(abbreviation[],0,ColumnLanguage),ColumnAbbreviation,FALSE),"")</f>
        <v/>
      </c>
      <c r="CI876" s="21" t="str">
        <f ca="1">IFERROR(VLOOKUP(BD876,OFFSET(abbreviation[],0,ColumnLanguage),ColumnAbbreviation,FALSE),"")</f>
        <v/>
      </c>
      <c r="CJ876" s="21" t="str">
        <f ca="1">IFERROR(VLOOKUP(BF876,OFFSET(abbreviation[],0,ColumnLanguage),ColumnAbbreviation,FALSE),"")</f>
        <v/>
      </c>
      <c r="CK876" s="21" t="str">
        <f t="shared" ca="1" si="95"/>
        <v/>
      </c>
      <c r="CL876" s="21" t="str">
        <f t="shared" si="96"/>
        <v/>
      </c>
      <c r="CM876" s="52"/>
      <c r="CN876" s="57" t="str">
        <f t="shared" si="97"/>
        <v/>
      </c>
    </row>
    <row r="877" spans="14:92" x14ac:dyDescent="0.25">
      <c r="Q877" s="13"/>
      <c r="AN877" s="54"/>
      <c r="AS877" s="15"/>
      <c r="BH877" s="52"/>
      <c r="BI877" s="21" t="str">
        <f ca="1">IFERROR(VLOOKUP(C877,OFFSET(abbreviation[],0,ColumnLanguage),ColumnAbbreviation,FALSE),"")</f>
        <v/>
      </c>
      <c r="BJ877" s="21" t="str">
        <f ca="1">IFERROR(VLOOKUP(E877,OFFSET(abbreviation[],0,ColumnLanguage),ColumnAbbreviation,FALSE),"")</f>
        <v/>
      </c>
      <c r="BK877" s="21" t="str">
        <f ca="1">IFERROR(VLOOKUP(G877,OFFSET(abbreviation[],0,ColumnLanguage),ColumnAbbreviation,FALSE),"")</f>
        <v/>
      </c>
      <c r="BL877" s="21" t="str">
        <f ca="1">IFERROR(VLOOKUP(I877,OFFSET(abbreviation[],0,ColumnLanguage),ColumnAbbreviation,FALSE),"")</f>
        <v/>
      </c>
      <c r="BM877" s="21" t="str">
        <f ca="1">IFERROR(VLOOKUP(K877,OFFSET(abbreviation[],0,ColumnLanguage),ColumnAbbreviation,FALSE),"")</f>
        <v/>
      </c>
      <c r="BN877" s="21" t="str">
        <f t="shared" ca="1" si="91"/>
        <v/>
      </c>
      <c r="BO877" s="21" t="str">
        <f ca="1">IFERROR(VLOOKUP(N877,OFFSET(abbreviation[],0,ColumnLanguage),ColumnAbbreviation,FALSE),"")</f>
        <v/>
      </c>
      <c r="BP877" s="21" t="str">
        <f ca="1">IFERROR(VLOOKUP(P877,OFFSET(abbreviation[],0,ColumnLanguage),ColumnAbbreviation,FALSE),"")</f>
        <v/>
      </c>
      <c r="BQ877" s="21" t="str">
        <f ca="1">IFERROR(VLOOKUP(T877,OFFSET(abbreviation[],0,ColumnLanguage),ColumnAbbreviation,FALSE),"")</f>
        <v/>
      </c>
      <c r="BR877" s="21" t="str">
        <f ca="1">IFERROR(VLOOKUP(V877,OFFSET(abbreviation[],0,ColumnLanguage),ColumnAbbreviation,FALSE),"")</f>
        <v/>
      </c>
      <c r="BS877" s="21" t="str">
        <f ca="1">IFERROR(VLOOKUP(Z877,OFFSET(abbreviation[],0,ColumnLanguage),ColumnAbbreviation,FALSE),"")</f>
        <v/>
      </c>
      <c r="BT877" s="21" t="str">
        <f ca="1">IFERROR(VLOOKUP(AB877,OFFSET(abbreviation[],0,ColumnLanguage),ColumnAbbreviation,FALSE),"")</f>
        <v/>
      </c>
      <c r="BU877" s="21" t="str">
        <f t="shared" ca="1" si="92"/>
        <v>__</v>
      </c>
      <c r="BV877" s="21" t="str">
        <f ca="1">IFERROR(VLOOKUP(AF877,OFFSET(abbreviation[],0,ColumnLanguage),ColumnAbbreviation,FALSE),"")</f>
        <v/>
      </c>
      <c r="BW877" s="21" t="str">
        <f ca="1">IFERROR(VLOOKUP(AH877,OFFSET(abbreviation[],0,ColumnLanguage),ColumnAbbreviation,FALSE),"")</f>
        <v/>
      </c>
      <c r="BX877" s="21" t="str">
        <f ca="1">IFERROR(VLOOKUP(AJ877,OFFSET(abbreviation[],0,ColumnLanguage),ColumnAbbreviation,FALSE),"")</f>
        <v/>
      </c>
      <c r="BY877" s="21" t="str">
        <f ca="1">IFERROR(VLOOKUP(AL877,OFFSET(abbreviation[],0,ColumnLanguage),ColumnAbbreviation,FALSE),"")</f>
        <v/>
      </c>
      <c r="BZ877" s="21" t="str">
        <f t="shared" ca="1" si="93"/>
        <v>_</v>
      </c>
      <c r="CA877" s="21" t="str">
        <f ca="1">IFERROR(VLOOKUP(AP877,OFFSET(abbreviation[],0,ColumnLanguage),ColumnAbbreviation,FALSE),"")</f>
        <v/>
      </c>
      <c r="CB877" s="21" t="str">
        <f ca="1">IFERROR(VLOOKUP(AR877,OFFSET(abbreviation[],0,ColumnLanguage),ColumnAbbreviation,FALSE),"")</f>
        <v/>
      </c>
      <c r="CC877" s="21" t="str">
        <f ca="1">IFERROR(VLOOKUP(AT877,OFFSET(abbreviation[],0,ColumnLanguage),ColumnAbbreviation,FALSE),"")</f>
        <v/>
      </c>
      <c r="CD877" s="21" t="str">
        <f ca="1">IFERROR(VLOOKUP(AV877,OFFSET(abbreviation[],0,ColumnLanguage),ColumnAbbreviation,FALSE),"")</f>
        <v/>
      </c>
      <c r="CE877" s="21" t="str">
        <f t="shared" ca="1" si="94"/>
        <v>__</v>
      </c>
      <c r="CF877" s="21" t="str">
        <f ca="1">IFERROR(VLOOKUP(AX877,OFFSET(abbreviation[],0,ColumnLanguage),ColumnAbbreviation,FALSE),"")</f>
        <v/>
      </c>
      <c r="CG877" s="21" t="str">
        <f ca="1">IFERROR(VLOOKUP(AZ877,OFFSET(abbreviation[],0,ColumnLanguage),ColumnAbbreviation,FALSE),"")</f>
        <v/>
      </c>
      <c r="CH877" s="21" t="str">
        <f ca="1">IFERROR(VLOOKUP(BB877,OFFSET(abbreviation[],0,ColumnLanguage),ColumnAbbreviation,FALSE),"")</f>
        <v/>
      </c>
      <c r="CI877" s="21" t="str">
        <f ca="1">IFERROR(VLOOKUP(BD877,OFFSET(abbreviation[],0,ColumnLanguage),ColumnAbbreviation,FALSE),"")</f>
        <v/>
      </c>
      <c r="CJ877" s="21" t="str">
        <f ca="1">IFERROR(VLOOKUP(BF877,OFFSET(abbreviation[],0,ColumnLanguage),ColumnAbbreviation,FALSE),"")</f>
        <v/>
      </c>
      <c r="CK877" s="21" t="str">
        <f t="shared" ca="1" si="95"/>
        <v/>
      </c>
      <c r="CL877" s="21" t="str">
        <f t="shared" si="96"/>
        <v/>
      </c>
      <c r="CM877" s="52"/>
      <c r="CN877" s="57" t="str">
        <f t="shared" si="97"/>
        <v/>
      </c>
    </row>
    <row r="878" spans="14:92" x14ac:dyDescent="0.25">
      <c r="Q878" s="13"/>
      <c r="AN878" s="54"/>
      <c r="AS878" s="15"/>
      <c r="BH878" s="52"/>
      <c r="BI878" s="21" t="str">
        <f ca="1">IFERROR(VLOOKUP(C878,OFFSET(abbreviation[],0,ColumnLanguage),ColumnAbbreviation,FALSE),"")</f>
        <v/>
      </c>
      <c r="BJ878" s="21" t="str">
        <f ca="1">IFERROR(VLOOKUP(E878,OFFSET(abbreviation[],0,ColumnLanguage),ColumnAbbreviation,FALSE),"")</f>
        <v/>
      </c>
      <c r="BK878" s="21" t="str">
        <f ca="1">IFERROR(VLOOKUP(G878,OFFSET(abbreviation[],0,ColumnLanguage),ColumnAbbreviation,FALSE),"")</f>
        <v/>
      </c>
      <c r="BL878" s="21" t="str">
        <f ca="1">IFERROR(VLOOKUP(I878,OFFSET(abbreviation[],0,ColumnLanguage),ColumnAbbreviation,FALSE),"")</f>
        <v/>
      </c>
      <c r="BM878" s="21" t="str">
        <f ca="1">IFERROR(VLOOKUP(K878,OFFSET(abbreviation[],0,ColumnLanguage),ColumnAbbreviation,FALSE),"")</f>
        <v/>
      </c>
      <c r="BN878" s="21" t="str">
        <f t="shared" ca="1" si="91"/>
        <v/>
      </c>
      <c r="BO878" s="21" t="str">
        <f ca="1">IFERROR(VLOOKUP(N878,OFFSET(abbreviation[],0,ColumnLanguage),ColumnAbbreviation,FALSE),"")</f>
        <v/>
      </c>
      <c r="BP878" s="21" t="str">
        <f ca="1">IFERROR(VLOOKUP(P878,OFFSET(abbreviation[],0,ColumnLanguage),ColumnAbbreviation,FALSE),"")</f>
        <v/>
      </c>
      <c r="BQ878" s="21" t="str">
        <f ca="1">IFERROR(VLOOKUP(T878,OFFSET(abbreviation[],0,ColumnLanguage),ColumnAbbreviation,FALSE),"")</f>
        <v/>
      </c>
      <c r="BR878" s="21" t="str">
        <f ca="1">IFERROR(VLOOKUP(V878,OFFSET(abbreviation[],0,ColumnLanguage),ColumnAbbreviation,FALSE),"")</f>
        <v/>
      </c>
      <c r="BS878" s="21" t="str">
        <f ca="1">IFERROR(VLOOKUP(Z878,OFFSET(abbreviation[],0,ColumnLanguage),ColumnAbbreviation,FALSE),"")</f>
        <v/>
      </c>
      <c r="BT878" s="21" t="str">
        <f ca="1">IFERROR(VLOOKUP(AB878,OFFSET(abbreviation[],0,ColumnLanguage),ColumnAbbreviation,FALSE),"")</f>
        <v/>
      </c>
      <c r="BU878" s="21" t="str">
        <f t="shared" ca="1" si="92"/>
        <v>__</v>
      </c>
      <c r="BV878" s="21" t="str">
        <f ca="1">IFERROR(VLOOKUP(AF878,OFFSET(abbreviation[],0,ColumnLanguage),ColumnAbbreviation,FALSE),"")</f>
        <v/>
      </c>
      <c r="BW878" s="21" t="str">
        <f ca="1">IFERROR(VLOOKUP(AH878,OFFSET(abbreviation[],0,ColumnLanguage),ColumnAbbreviation,FALSE),"")</f>
        <v/>
      </c>
      <c r="BX878" s="21" t="str">
        <f ca="1">IFERROR(VLOOKUP(AJ878,OFFSET(abbreviation[],0,ColumnLanguage),ColumnAbbreviation,FALSE),"")</f>
        <v/>
      </c>
      <c r="BY878" s="21" t="str">
        <f ca="1">IFERROR(VLOOKUP(AL878,OFFSET(abbreviation[],0,ColumnLanguage),ColumnAbbreviation,FALSE),"")</f>
        <v/>
      </c>
      <c r="BZ878" s="21" t="str">
        <f t="shared" ca="1" si="93"/>
        <v>_</v>
      </c>
      <c r="CA878" s="21" t="str">
        <f ca="1">IFERROR(VLOOKUP(AP878,OFFSET(abbreviation[],0,ColumnLanguage),ColumnAbbreviation,FALSE),"")</f>
        <v/>
      </c>
      <c r="CB878" s="21" t="str">
        <f ca="1">IFERROR(VLOOKUP(AR878,OFFSET(abbreviation[],0,ColumnLanguage),ColumnAbbreviation,FALSE),"")</f>
        <v/>
      </c>
      <c r="CC878" s="21" t="str">
        <f ca="1">IFERROR(VLOOKUP(AT878,OFFSET(abbreviation[],0,ColumnLanguage),ColumnAbbreviation,FALSE),"")</f>
        <v/>
      </c>
      <c r="CD878" s="21" t="str">
        <f ca="1">IFERROR(VLOOKUP(AV878,OFFSET(abbreviation[],0,ColumnLanguage),ColumnAbbreviation,FALSE),"")</f>
        <v/>
      </c>
      <c r="CE878" s="21" t="str">
        <f t="shared" ca="1" si="94"/>
        <v>__</v>
      </c>
      <c r="CF878" s="21" t="str">
        <f ca="1">IFERROR(VLOOKUP(AX878,OFFSET(abbreviation[],0,ColumnLanguage),ColumnAbbreviation,FALSE),"")</f>
        <v/>
      </c>
      <c r="CG878" s="21" t="str">
        <f ca="1">IFERROR(VLOOKUP(AZ878,OFFSET(abbreviation[],0,ColumnLanguage),ColumnAbbreviation,FALSE),"")</f>
        <v/>
      </c>
      <c r="CH878" s="21" t="str">
        <f ca="1">IFERROR(VLOOKUP(BB878,OFFSET(abbreviation[],0,ColumnLanguage),ColumnAbbreviation,FALSE),"")</f>
        <v/>
      </c>
      <c r="CI878" s="21" t="str">
        <f ca="1">IFERROR(VLOOKUP(BD878,OFFSET(abbreviation[],0,ColumnLanguage),ColumnAbbreviation,FALSE),"")</f>
        <v/>
      </c>
      <c r="CJ878" s="21" t="str">
        <f ca="1">IFERROR(VLOOKUP(BF878,OFFSET(abbreviation[],0,ColumnLanguage),ColumnAbbreviation,FALSE),"")</f>
        <v/>
      </c>
      <c r="CK878" s="21" t="str">
        <f t="shared" ca="1" si="95"/>
        <v/>
      </c>
      <c r="CL878" s="21" t="str">
        <f t="shared" si="96"/>
        <v/>
      </c>
      <c r="CM878" s="52"/>
      <c r="CN878" s="57" t="str">
        <f t="shared" si="97"/>
        <v/>
      </c>
    </row>
    <row r="879" spans="14:92" x14ac:dyDescent="0.25">
      <c r="Q879" s="13"/>
      <c r="AN879" s="54"/>
      <c r="AS879" s="15"/>
      <c r="BH879" s="52"/>
      <c r="BI879" s="21" t="str">
        <f ca="1">IFERROR(VLOOKUP(C879,OFFSET(abbreviation[],0,ColumnLanguage),ColumnAbbreviation,FALSE),"")</f>
        <v/>
      </c>
      <c r="BJ879" s="21" t="str">
        <f ca="1">IFERROR(VLOOKUP(E879,OFFSET(abbreviation[],0,ColumnLanguage),ColumnAbbreviation,FALSE),"")</f>
        <v/>
      </c>
      <c r="BK879" s="21" t="str">
        <f ca="1">IFERROR(VLOOKUP(G879,OFFSET(abbreviation[],0,ColumnLanguage),ColumnAbbreviation,FALSE),"")</f>
        <v/>
      </c>
      <c r="BL879" s="21" t="str">
        <f ca="1">IFERROR(VLOOKUP(I879,OFFSET(abbreviation[],0,ColumnLanguage),ColumnAbbreviation,FALSE),"")</f>
        <v/>
      </c>
      <c r="BM879" s="21" t="str">
        <f ca="1">IFERROR(VLOOKUP(K879,OFFSET(abbreviation[],0,ColumnLanguage),ColumnAbbreviation,FALSE),"")</f>
        <v/>
      </c>
      <c r="BN879" s="21" t="str">
        <f t="shared" ca="1" si="91"/>
        <v/>
      </c>
      <c r="BO879" s="21" t="str">
        <f ca="1">IFERROR(VLOOKUP(N879,OFFSET(abbreviation[],0,ColumnLanguage),ColumnAbbreviation,FALSE),"")</f>
        <v/>
      </c>
      <c r="BP879" s="21" t="str">
        <f ca="1">IFERROR(VLOOKUP(P879,OFFSET(abbreviation[],0,ColumnLanguage),ColumnAbbreviation,FALSE),"")</f>
        <v/>
      </c>
      <c r="BQ879" s="21" t="str">
        <f ca="1">IFERROR(VLOOKUP(T879,OFFSET(abbreviation[],0,ColumnLanguage),ColumnAbbreviation,FALSE),"")</f>
        <v/>
      </c>
      <c r="BR879" s="21" t="str">
        <f ca="1">IFERROR(VLOOKUP(V879,OFFSET(abbreviation[],0,ColumnLanguage),ColumnAbbreviation,FALSE),"")</f>
        <v/>
      </c>
      <c r="BS879" s="21" t="str">
        <f ca="1">IFERROR(VLOOKUP(Z879,OFFSET(abbreviation[],0,ColumnLanguage),ColumnAbbreviation,FALSE),"")</f>
        <v/>
      </c>
      <c r="BT879" s="21" t="str">
        <f ca="1">IFERROR(VLOOKUP(AB879,OFFSET(abbreviation[],0,ColumnLanguage),ColumnAbbreviation,FALSE),"")</f>
        <v/>
      </c>
      <c r="BU879" s="21" t="str">
        <f t="shared" ca="1" si="92"/>
        <v>__</v>
      </c>
      <c r="BV879" s="21" t="str">
        <f ca="1">IFERROR(VLOOKUP(AF879,OFFSET(abbreviation[],0,ColumnLanguage),ColumnAbbreviation,FALSE),"")</f>
        <v/>
      </c>
      <c r="BW879" s="21" t="str">
        <f ca="1">IFERROR(VLOOKUP(AH879,OFFSET(abbreviation[],0,ColumnLanguage),ColumnAbbreviation,FALSE),"")</f>
        <v/>
      </c>
      <c r="BX879" s="21" t="str">
        <f ca="1">IFERROR(VLOOKUP(AJ879,OFFSET(abbreviation[],0,ColumnLanguage),ColumnAbbreviation,FALSE),"")</f>
        <v/>
      </c>
      <c r="BY879" s="21" t="str">
        <f ca="1">IFERROR(VLOOKUP(AL879,OFFSET(abbreviation[],0,ColumnLanguage),ColumnAbbreviation,FALSE),"")</f>
        <v/>
      </c>
      <c r="BZ879" s="21" t="str">
        <f t="shared" ca="1" si="93"/>
        <v>_</v>
      </c>
      <c r="CA879" s="21" t="str">
        <f ca="1">IFERROR(VLOOKUP(AP879,OFFSET(abbreviation[],0,ColumnLanguage),ColumnAbbreviation,FALSE),"")</f>
        <v/>
      </c>
      <c r="CB879" s="21" t="str">
        <f ca="1">IFERROR(VLOOKUP(AR879,OFFSET(abbreviation[],0,ColumnLanguage),ColumnAbbreviation,FALSE),"")</f>
        <v/>
      </c>
      <c r="CC879" s="21" t="str">
        <f ca="1">IFERROR(VLOOKUP(AT879,OFFSET(abbreviation[],0,ColumnLanguage),ColumnAbbreviation,FALSE),"")</f>
        <v/>
      </c>
      <c r="CD879" s="21" t="str">
        <f ca="1">IFERROR(VLOOKUP(AV879,OFFSET(abbreviation[],0,ColumnLanguage),ColumnAbbreviation,FALSE),"")</f>
        <v/>
      </c>
      <c r="CE879" s="21" t="str">
        <f t="shared" ca="1" si="94"/>
        <v>__</v>
      </c>
      <c r="CF879" s="21" t="str">
        <f ca="1">IFERROR(VLOOKUP(AX879,OFFSET(abbreviation[],0,ColumnLanguage),ColumnAbbreviation,FALSE),"")</f>
        <v/>
      </c>
      <c r="CG879" s="21" t="str">
        <f ca="1">IFERROR(VLOOKUP(AZ879,OFFSET(abbreviation[],0,ColumnLanguage),ColumnAbbreviation,FALSE),"")</f>
        <v/>
      </c>
      <c r="CH879" s="21" t="str">
        <f ca="1">IFERROR(VLOOKUP(BB879,OFFSET(abbreviation[],0,ColumnLanguage),ColumnAbbreviation,FALSE),"")</f>
        <v/>
      </c>
      <c r="CI879" s="21" t="str">
        <f ca="1">IFERROR(VLOOKUP(BD879,OFFSET(abbreviation[],0,ColumnLanguage),ColumnAbbreviation,FALSE),"")</f>
        <v/>
      </c>
      <c r="CJ879" s="21" t="str">
        <f ca="1">IFERROR(VLOOKUP(BF879,OFFSET(abbreviation[],0,ColumnLanguage),ColumnAbbreviation,FALSE),"")</f>
        <v/>
      </c>
      <c r="CK879" s="21" t="str">
        <f t="shared" ca="1" si="95"/>
        <v/>
      </c>
      <c r="CL879" s="21" t="str">
        <f t="shared" si="96"/>
        <v/>
      </c>
      <c r="CM879" s="52"/>
      <c r="CN879" s="57" t="str">
        <f t="shared" si="97"/>
        <v/>
      </c>
    </row>
    <row r="880" spans="14:92" x14ac:dyDescent="0.25">
      <c r="Q880" s="13"/>
      <c r="AN880" s="54"/>
      <c r="AS880" s="15"/>
      <c r="BH880" s="52"/>
      <c r="BI880" s="21" t="str">
        <f ca="1">IFERROR(VLOOKUP(C880,OFFSET(abbreviation[],0,ColumnLanguage),ColumnAbbreviation,FALSE),"")</f>
        <v/>
      </c>
      <c r="BJ880" s="21" t="str">
        <f ca="1">IFERROR(VLOOKUP(E880,OFFSET(abbreviation[],0,ColumnLanguage),ColumnAbbreviation,FALSE),"")</f>
        <v/>
      </c>
      <c r="BK880" s="21" t="str">
        <f ca="1">IFERROR(VLOOKUP(G880,OFFSET(abbreviation[],0,ColumnLanguage),ColumnAbbreviation,FALSE),"")</f>
        <v/>
      </c>
      <c r="BL880" s="21" t="str">
        <f ca="1">IFERROR(VLOOKUP(I880,OFFSET(abbreviation[],0,ColumnLanguage),ColumnAbbreviation,FALSE),"")</f>
        <v/>
      </c>
      <c r="BM880" s="21" t="str">
        <f ca="1">IFERROR(VLOOKUP(K880,OFFSET(abbreviation[],0,ColumnLanguage),ColumnAbbreviation,FALSE),"")</f>
        <v/>
      </c>
      <c r="BN880" s="21" t="str">
        <f t="shared" ca="1" si="91"/>
        <v/>
      </c>
      <c r="BO880" s="21" t="str">
        <f ca="1">IFERROR(VLOOKUP(N880,OFFSET(abbreviation[],0,ColumnLanguage),ColumnAbbreviation,FALSE),"")</f>
        <v/>
      </c>
      <c r="BP880" s="21" t="str">
        <f ca="1">IFERROR(VLOOKUP(P880,OFFSET(abbreviation[],0,ColumnLanguage),ColumnAbbreviation,FALSE),"")</f>
        <v/>
      </c>
      <c r="BQ880" s="21" t="str">
        <f ca="1">IFERROR(VLOOKUP(T880,OFFSET(abbreviation[],0,ColumnLanguage),ColumnAbbreviation,FALSE),"")</f>
        <v/>
      </c>
      <c r="BR880" s="21" t="str">
        <f ca="1">IFERROR(VLOOKUP(V880,OFFSET(abbreviation[],0,ColumnLanguage),ColumnAbbreviation,FALSE),"")</f>
        <v/>
      </c>
      <c r="BS880" s="21" t="str">
        <f ca="1">IFERROR(VLOOKUP(Z880,OFFSET(abbreviation[],0,ColumnLanguage),ColumnAbbreviation,FALSE),"")</f>
        <v/>
      </c>
      <c r="BT880" s="21" t="str">
        <f ca="1">IFERROR(VLOOKUP(AB880,OFFSET(abbreviation[],0,ColumnLanguage),ColumnAbbreviation,FALSE),"")</f>
        <v/>
      </c>
      <c r="BU880" s="21" t="str">
        <f t="shared" ca="1" si="92"/>
        <v>__</v>
      </c>
      <c r="BV880" s="21" t="str">
        <f ca="1">IFERROR(VLOOKUP(AF880,OFFSET(abbreviation[],0,ColumnLanguage),ColumnAbbreviation,FALSE),"")</f>
        <v/>
      </c>
      <c r="BW880" s="21" t="str">
        <f ca="1">IFERROR(VLOOKUP(AH880,OFFSET(abbreviation[],0,ColumnLanguage),ColumnAbbreviation,FALSE),"")</f>
        <v/>
      </c>
      <c r="BX880" s="21" t="str">
        <f ca="1">IFERROR(VLOOKUP(AJ880,OFFSET(abbreviation[],0,ColumnLanguage),ColumnAbbreviation,FALSE),"")</f>
        <v/>
      </c>
      <c r="BY880" s="21" t="str">
        <f ca="1">IFERROR(VLOOKUP(AL880,OFFSET(abbreviation[],0,ColumnLanguage),ColumnAbbreviation,FALSE),"")</f>
        <v/>
      </c>
      <c r="BZ880" s="21" t="str">
        <f t="shared" ca="1" si="93"/>
        <v>_</v>
      </c>
      <c r="CA880" s="21" t="str">
        <f ca="1">IFERROR(VLOOKUP(AP880,OFFSET(abbreviation[],0,ColumnLanguage),ColumnAbbreviation,FALSE),"")</f>
        <v/>
      </c>
      <c r="CB880" s="21" t="str">
        <f ca="1">IFERROR(VLOOKUP(AR880,OFFSET(abbreviation[],0,ColumnLanguage),ColumnAbbreviation,FALSE),"")</f>
        <v/>
      </c>
      <c r="CC880" s="21" t="str">
        <f ca="1">IFERROR(VLOOKUP(AT880,OFFSET(abbreviation[],0,ColumnLanguage),ColumnAbbreviation,FALSE),"")</f>
        <v/>
      </c>
      <c r="CD880" s="21" t="str">
        <f ca="1">IFERROR(VLOOKUP(AV880,OFFSET(abbreviation[],0,ColumnLanguage),ColumnAbbreviation,FALSE),"")</f>
        <v/>
      </c>
      <c r="CE880" s="21" t="str">
        <f t="shared" ca="1" si="94"/>
        <v>__</v>
      </c>
      <c r="CF880" s="21" t="str">
        <f ca="1">IFERROR(VLOOKUP(AX880,OFFSET(abbreviation[],0,ColumnLanguage),ColumnAbbreviation,FALSE),"")</f>
        <v/>
      </c>
      <c r="CG880" s="21" t="str">
        <f ca="1">IFERROR(VLOOKUP(AZ880,OFFSET(abbreviation[],0,ColumnLanguage),ColumnAbbreviation,FALSE),"")</f>
        <v/>
      </c>
      <c r="CH880" s="21" t="str">
        <f ca="1">IFERROR(VLOOKUP(BB880,OFFSET(abbreviation[],0,ColumnLanguage),ColumnAbbreviation,FALSE),"")</f>
        <v/>
      </c>
      <c r="CI880" s="21" t="str">
        <f ca="1">IFERROR(VLOOKUP(BD880,OFFSET(abbreviation[],0,ColumnLanguage),ColumnAbbreviation,FALSE),"")</f>
        <v/>
      </c>
      <c r="CJ880" s="21" t="str">
        <f ca="1">IFERROR(VLOOKUP(BF880,OFFSET(abbreviation[],0,ColumnLanguage),ColumnAbbreviation,FALSE),"")</f>
        <v/>
      </c>
      <c r="CK880" s="21" t="str">
        <f t="shared" ca="1" si="95"/>
        <v/>
      </c>
      <c r="CL880" s="21" t="str">
        <f t="shared" si="96"/>
        <v/>
      </c>
      <c r="CM880" s="52"/>
      <c r="CN880" s="57" t="str">
        <f t="shared" si="97"/>
        <v/>
      </c>
    </row>
    <row r="881" spans="17:92" x14ac:dyDescent="0.25">
      <c r="Q881" s="13"/>
      <c r="AN881" s="54"/>
      <c r="AS881" s="15"/>
      <c r="BH881" s="52"/>
      <c r="BI881" s="21" t="str">
        <f ca="1">IFERROR(VLOOKUP(C881,OFFSET(abbreviation[],0,ColumnLanguage),ColumnAbbreviation,FALSE),"")</f>
        <v/>
      </c>
      <c r="BJ881" s="21" t="str">
        <f ca="1">IFERROR(VLOOKUP(E881,OFFSET(abbreviation[],0,ColumnLanguage),ColumnAbbreviation,FALSE),"")</f>
        <v/>
      </c>
      <c r="BK881" s="21" t="str">
        <f ca="1">IFERROR(VLOOKUP(G881,OFFSET(abbreviation[],0,ColumnLanguage),ColumnAbbreviation,FALSE),"")</f>
        <v/>
      </c>
      <c r="BL881" s="21" t="str">
        <f ca="1">IFERROR(VLOOKUP(I881,OFFSET(abbreviation[],0,ColumnLanguage),ColumnAbbreviation,FALSE),"")</f>
        <v/>
      </c>
      <c r="BM881" s="21" t="str">
        <f ca="1">IFERROR(VLOOKUP(K881,OFFSET(abbreviation[],0,ColumnLanguage),ColumnAbbreviation,FALSE),"")</f>
        <v/>
      </c>
      <c r="BN881" s="21" t="str">
        <f t="shared" ca="1" si="91"/>
        <v/>
      </c>
      <c r="BO881" s="21" t="str">
        <f ca="1">IFERROR(VLOOKUP(N881,OFFSET(abbreviation[],0,ColumnLanguage),ColumnAbbreviation,FALSE),"")</f>
        <v/>
      </c>
      <c r="BP881" s="21" t="str">
        <f ca="1">IFERROR(VLOOKUP(P881,OFFSET(abbreviation[],0,ColumnLanguage),ColumnAbbreviation,FALSE),"")</f>
        <v/>
      </c>
      <c r="BQ881" s="21" t="str">
        <f ca="1">IFERROR(VLOOKUP(T881,OFFSET(abbreviation[],0,ColumnLanguage),ColumnAbbreviation,FALSE),"")</f>
        <v/>
      </c>
      <c r="BR881" s="21" t="str">
        <f ca="1">IFERROR(VLOOKUP(V881,OFFSET(abbreviation[],0,ColumnLanguage),ColumnAbbreviation,FALSE),"")</f>
        <v/>
      </c>
      <c r="BS881" s="21" t="str">
        <f ca="1">IFERROR(VLOOKUP(Z881,OFFSET(abbreviation[],0,ColumnLanguage),ColumnAbbreviation,FALSE),"")</f>
        <v/>
      </c>
      <c r="BT881" s="21" t="str">
        <f ca="1">IFERROR(VLOOKUP(AB881,OFFSET(abbreviation[],0,ColumnLanguage),ColumnAbbreviation,FALSE),"")</f>
        <v/>
      </c>
      <c r="BU881" s="21" t="str">
        <f t="shared" ca="1" si="92"/>
        <v>__</v>
      </c>
      <c r="BV881" s="21" t="str">
        <f ca="1">IFERROR(VLOOKUP(AF881,OFFSET(abbreviation[],0,ColumnLanguage),ColumnAbbreviation,FALSE),"")</f>
        <v/>
      </c>
      <c r="BW881" s="21" t="str">
        <f ca="1">IFERROR(VLOOKUP(AH881,OFFSET(abbreviation[],0,ColumnLanguage),ColumnAbbreviation,FALSE),"")</f>
        <v/>
      </c>
      <c r="BX881" s="21" t="str">
        <f ca="1">IFERROR(VLOOKUP(AJ881,OFFSET(abbreviation[],0,ColumnLanguage),ColumnAbbreviation,FALSE),"")</f>
        <v/>
      </c>
      <c r="BY881" s="21" t="str">
        <f ca="1">IFERROR(VLOOKUP(AL881,OFFSET(abbreviation[],0,ColumnLanguage),ColumnAbbreviation,FALSE),"")</f>
        <v/>
      </c>
      <c r="BZ881" s="21" t="str">
        <f t="shared" ca="1" si="93"/>
        <v>_</v>
      </c>
      <c r="CA881" s="21" t="str">
        <f ca="1">IFERROR(VLOOKUP(AP881,OFFSET(abbreviation[],0,ColumnLanguage),ColumnAbbreviation,FALSE),"")</f>
        <v/>
      </c>
      <c r="CB881" s="21" t="str">
        <f ca="1">IFERROR(VLOOKUP(AR881,OFFSET(abbreviation[],0,ColumnLanguage),ColumnAbbreviation,FALSE),"")</f>
        <v/>
      </c>
      <c r="CC881" s="21" t="str">
        <f ca="1">IFERROR(VLOOKUP(AT881,OFFSET(abbreviation[],0,ColumnLanguage),ColumnAbbreviation,FALSE),"")</f>
        <v/>
      </c>
      <c r="CD881" s="21" t="str">
        <f ca="1">IFERROR(VLOOKUP(AV881,OFFSET(abbreviation[],0,ColumnLanguage),ColumnAbbreviation,FALSE),"")</f>
        <v/>
      </c>
      <c r="CE881" s="21" t="str">
        <f t="shared" ca="1" si="94"/>
        <v>__</v>
      </c>
      <c r="CF881" s="21" t="str">
        <f ca="1">IFERROR(VLOOKUP(AX881,OFFSET(abbreviation[],0,ColumnLanguage),ColumnAbbreviation,FALSE),"")</f>
        <v/>
      </c>
      <c r="CG881" s="21" t="str">
        <f ca="1">IFERROR(VLOOKUP(AZ881,OFFSET(abbreviation[],0,ColumnLanguage),ColumnAbbreviation,FALSE),"")</f>
        <v/>
      </c>
      <c r="CH881" s="21" t="str">
        <f ca="1">IFERROR(VLOOKUP(BB881,OFFSET(abbreviation[],0,ColumnLanguage),ColumnAbbreviation,FALSE),"")</f>
        <v/>
      </c>
      <c r="CI881" s="21" t="str">
        <f ca="1">IFERROR(VLOOKUP(BD881,OFFSET(abbreviation[],0,ColumnLanguage),ColumnAbbreviation,FALSE),"")</f>
        <v/>
      </c>
      <c r="CJ881" s="21" t="str">
        <f ca="1">IFERROR(VLOOKUP(BF881,OFFSET(abbreviation[],0,ColumnLanguage),ColumnAbbreviation,FALSE),"")</f>
        <v/>
      </c>
      <c r="CK881" s="21" t="str">
        <f t="shared" ca="1" si="95"/>
        <v/>
      </c>
      <c r="CL881" s="21" t="str">
        <f t="shared" si="96"/>
        <v/>
      </c>
      <c r="CM881" s="52"/>
      <c r="CN881" s="57" t="str">
        <f t="shared" si="97"/>
        <v/>
      </c>
    </row>
    <row r="882" spans="17:92" x14ac:dyDescent="0.25">
      <c r="Q882" s="13"/>
      <c r="AN882" s="54"/>
      <c r="AS882" s="15"/>
      <c r="BH882" s="52"/>
      <c r="BI882" s="21" t="str">
        <f ca="1">IFERROR(VLOOKUP(C882,OFFSET(abbreviation[],0,ColumnLanguage),ColumnAbbreviation,FALSE),"")</f>
        <v/>
      </c>
      <c r="BJ882" s="21" t="str">
        <f ca="1">IFERROR(VLOOKUP(E882,OFFSET(abbreviation[],0,ColumnLanguage),ColumnAbbreviation,FALSE),"")</f>
        <v/>
      </c>
      <c r="BK882" s="21" t="str">
        <f ca="1">IFERROR(VLOOKUP(G882,OFFSET(abbreviation[],0,ColumnLanguage),ColumnAbbreviation,FALSE),"")</f>
        <v/>
      </c>
      <c r="BL882" s="21" t="str">
        <f ca="1">IFERROR(VLOOKUP(I882,OFFSET(abbreviation[],0,ColumnLanguage),ColumnAbbreviation,FALSE),"")</f>
        <v/>
      </c>
      <c r="BM882" s="21" t="str">
        <f ca="1">IFERROR(VLOOKUP(K882,OFFSET(abbreviation[],0,ColumnLanguage),ColumnAbbreviation,FALSE),"")</f>
        <v/>
      </c>
      <c r="BN882" s="21" t="str">
        <f t="shared" ca="1" si="91"/>
        <v/>
      </c>
      <c r="BO882" s="21" t="str">
        <f ca="1">IFERROR(VLOOKUP(N882,OFFSET(abbreviation[],0,ColumnLanguage),ColumnAbbreviation,FALSE),"")</f>
        <v/>
      </c>
      <c r="BP882" s="21" t="str">
        <f ca="1">IFERROR(VLOOKUP(P882,OFFSET(abbreviation[],0,ColumnLanguage),ColumnAbbreviation,FALSE),"")</f>
        <v/>
      </c>
      <c r="BQ882" s="21" t="str">
        <f ca="1">IFERROR(VLOOKUP(T882,OFFSET(abbreviation[],0,ColumnLanguage),ColumnAbbreviation,FALSE),"")</f>
        <v/>
      </c>
      <c r="BR882" s="21" t="str">
        <f ca="1">IFERROR(VLOOKUP(V882,OFFSET(abbreviation[],0,ColumnLanguage),ColumnAbbreviation,FALSE),"")</f>
        <v/>
      </c>
      <c r="BS882" s="21" t="str">
        <f ca="1">IFERROR(VLOOKUP(Z882,OFFSET(abbreviation[],0,ColumnLanguage),ColumnAbbreviation,FALSE),"")</f>
        <v/>
      </c>
      <c r="BT882" s="21" t="str">
        <f ca="1">IFERROR(VLOOKUP(AB882,OFFSET(abbreviation[],0,ColumnLanguage),ColumnAbbreviation,FALSE),"")</f>
        <v/>
      </c>
      <c r="BU882" s="21" t="str">
        <f t="shared" ca="1" si="92"/>
        <v>__</v>
      </c>
      <c r="BV882" s="21" t="str">
        <f ca="1">IFERROR(VLOOKUP(AF882,OFFSET(abbreviation[],0,ColumnLanguage),ColumnAbbreviation,FALSE),"")</f>
        <v/>
      </c>
      <c r="BW882" s="21" t="str">
        <f ca="1">IFERROR(VLOOKUP(AH882,OFFSET(abbreviation[],0,ColumnLanguage),ColumnAbbreviation,FALSE),"")</f>
        <v/>
      </c>
      <c r="BX882" s="21" t="str">
        <f ca="1">IFERROR(VLOOKUP(AJ882,OFFSET(abbreviation[],0,ColumnLanguage),ColumnAbbreviation,FALSE),"")</f>
        <v/>
      </c>
      <c r="BY882" s="21" t="str">
        <f ca="1">IFERROR(VLOOKUP(AL882,OFFSET(abbreviation[],0,ColumnLanguage),ColumnAbbreviation,FALSE),"")</f>
        <v/>
      </c>
      <c r="BZ882" s="21" t="str">
        <f t="shared" ca="1" si="93"/>
        <v>_</v>
      </c>
      <c r="CA882" s="21" t="str">
        <f ca="1">IFERROR(VLOOKUP(AP882,OFFSET(abbreviation[],0,ColumnLanguage),ColumnAbbreviation,FALSE),"")</f>
        <v/>
      </c>
      <c r="CB882" s="21" t="str">
        <f ca="1">IFERROR(VLOOKUP(AR882,OFFSET(abbreviation[],0,ColumnLanguage),ColumnAbbreviation,FALSE),"")</f>
        <v/>
      </c>
      <c r="CC882" s="21" t="str">
        <f ca="1">IFERROR(VLOOKUP(AT882,OFFSET(abbreviation[],0,ColumnLanguage),ColumnAbbreviation,FALSE),"")</f>
        <v/>
      </c>
      <c r="CD882" s="21" t="str">
        <f ca="1">IFERROR(VLOOKUP(AV882,OFFSET(abbreviation[],0,ColumnLanguage),ColumnAbbreviation,FALSE),"")</f>
        <v/>
      </c>
      <c r="CE882" s="21" t="str">
        <f t="shared" ca="1" si="94"/>
        <v>__</v>
      </c>
      <c r="CF882" s="21" t="str">
        <f ca="1">IFERROR(VLOOKUP(AX882,OFFSET(abbreviation[],0,ColumnLanguage),ColumnAbbreviation,FALSE),"")</f>
        <v/>
      </c>
      <c r="CG882" s="21" t="str">
        <f ca="1">IFERROR(VLOOKUP(AZ882,OFFSET(abbreviation[],0,ColumnLanguage),ColumnAbbreviation,FALSE),"")</f>
        <v/>
      </c>
      <c r="CH882" s="21" t="str">
        <f ca="1">IFERROR(VLOOKUP(BB882,OFFSET(abbreviation[],0,ColumnLanguage),ColumnAbbreviation,FALSE),"")</f>
        <v/>
      </c>
      <c r="CI882" s="21" t="str">
        <f ca="1">IFERROR(VLOOKUP(BD882,OFFSET(abbreviation[],0,ColumnLanguage),ColumnAbbreviation,FALSE),"")</f>
        <v/>
      </c>
      <c r="CJ882" s="21" t="str">
        <f ca="1">IFERROR(VLOOKUP(BF882,OFFSET(abbreviation[],0,ColumnLanguage),ColumnAbbreviation,FALSE),"")</f>
        <v/>
      </c>
      <c r="CK882" s="21" t="str">
        <f t="shared" ca="1" si="95"/>
        <v/>
      </c>
      <c r="CL882" s="21" t="str">
        <f t="shared" si="96"/>
        <v/>
      </c>
      <c r="CM882" s="52"/>
      <c r="CN882" s="57" t="str">
        <f t="shared" si="97"/>
        <v/>
      </c>
    </row>
    <row r="883" spans="17:92" x14ac:dyDescent="0.25">
      <c r="Q883" s="13"/>
      <c r="AN883" s="54"/>
      <c r="AS883" s="15"/>
      <c r="BH883" s="52"/>
      <c r="BI883" s="21" t="str">
        <f ca="1">IFERROR(VLOOKUP(C883,OFFSET(abbreviation[],0,ColumnLanguage),ColumnAbbreviation,FALSE),"")</f>
        <v/>
      </c>
      <c r="BJ883" s="21" t="str">
        <f ca="1">IFERROR(VLOOKUP(E883,OFFSET(abbreviation[],0,ColumnLanguage),ColumnAbbreviation,FALSE),"")</f>
        <v/>
      </c>
      <c r="BK883" s="21" t="str">
        <f ca="1">IFERROR(VLOOKUP(G883,OFFSET(abbreviation[],0,ColumnLanguage),ColumnAbbreviation,FALSE),"")</f>
        <v/>
      </c>
      <c r="BL883" s="21" t="str">
        <f ca="1">IFERROR(VLOOKUP(I883,OFFSET(abbreviation[],0,ColumnLanguage),ColumnAbbreviation,FALSE),"")</f>
        <v/>
      </c>
      <c r="BM883" s="21" t="str">
        <f ca="1">IFERROR(VLOOKUP(K883,OFFSET(abbreviation[],0,ColumnLanguage),ColumnAbbreviation,FALSE),"")</f>
        <v/>
      </c>
      <c r="BN883" s="21" t="str">
        <f t="shared" ca="1" si="91"/>
        <v/>
      </c>
      <c r="BO883" s="21" t="str">
        <f ca="1">IFERROR(VLOOKUP(N883,OFFSET(abbreviation[],0,ColumnLanguage),ColumnAbbreviation,FALSE),"")</f>
        <v/>
      </c>
      <c r="BP883" s="21" t="str">
        <f ca="1">IFERROR(VLOOKUP(P883,OFFSET(abbreviation[],0,ColumnLanguage),ColumnAbbreviation,FALSE),"")</f>
        <v/>
      </c>
      <c r="BQ883" s="21" t="str">
        <f ca="1">IFERROR(VLOOKUP(T883,OFFSET(abbreviation[],0,ColumnLanguage),ColumnAbbreviation,FALSE),"")</f>
        <v/>
      </c>
      <c r="BR883" s="21" t="str">
        <f ca="1">IFERROR(VLOOKUP(V883,OFFSET(abbreviation[],0,ColumnLanguage),ColumnAbbreviation,FALSE),"")</f>
        <v/>
      </c>
      <c r="BS883" s="21" t="str">
        <f ca="1">IFERROR(VLOOKUP(Z883,OFFSET(abbreviation[],0,ColumnLanguage),ColumnAbbreviation,FALSE),"")</f>
        <v/>
      </c>
      <c r="BT883" s="21" t="str">
        <f ca="1">IFERROR(VLOOKUP(AB883,OFFSET(abbreviation[],0,ColumnLanguage),ColumnAbbreviation,FALSE),"")</f>
        <v/>
      </c>
      <c r="BU883" s="21" t="str">
        <f t="shared" ca="1" si="92"/>
        <v>__</v>
      </c>
      <c r="BV883" s="21" t="str">
        <f ca="1">IFERROR(VLOOKUP(AF883,OFFSET(abbreviation[],0,ColumnLanguage),ColumnAbbreviation,FALSE),"")</f>
        <v/>
      </c>
      <c r="BW883" s="21" t="str">
        <f ca="1">IFERROR(VLOOKUP(AH883,OFFSET(abbreviation[],0,ColumnLanguage),ColumnAbbreviation,FALSE),"")</f>
        <v/>
      </c>
      <c r="BX883" s="21" t="str">
        <f ca="1">IFERROR(VLOOKUP(AJ883,OFFSET(abbreviation[],0,ColumnLanguage),ColumnAbbreviation,FALSE),"")</f>
        <v/>
      </c>
      <c r="BY883" s="21" t="str">
        <f ca="1">IFERROR(VLOOKUP(AL883,OFFSET(abbreviation[],0,ColumnLanguage),ColumnAbbreviation,FALSE),"")</f>
        <v/>
      </c>
      <c r="BZ883" s="21" t="str">
        <f t="shared" ca="1" si="93"/>
        <v>_</v>
      </c>
      <c r="CA883" s="21" t="str">
        <f ca="1">IFERROR(VLOOKUP(AP883,OFFSET(abbreviation[],0,ColumnLanguage),ColumnAbbreviation,FALSE),"")</f>
        <v/>
      </c>
      <c r="CB883" s="21" t="str">
        <f ca="1">IFERROR(VLOOKUP(AR883,OFFSET(abbreviation[],0,ColumnLanguage),ColumnAbbreviation,FALSE),"")</f>
        <v/>
      </c>
      <c r="CC883" s="21" t="str">
        <f ca="1">IFERROR(VLOOKUP(AT883,OFFSET(abbreviation[],0,ColumnLanguage),ColumnAbbreviation,FALSE),"")</f>
        <v/>
      </c>
      <c r="CD883" s="21" t="str">
        <f ca="1">IFERROR(VLOOKUP(AV883,OFFSET(abbreviation[],0,ColumnLanguage),ColumnAbbreviation,FALSE),"")</f>
        <v/>
      </c>
      <c r="CE883" s="21" t="str">
        <f t="shared" ca="1" si="94"/>
        <v>__</v>
      </c>
      <c r="CF883" s="21" t="str">
        <f ca="1">IFERROR(VLOOKUP(AX883,OFFSET(abbreviation[],0,ColumnLanguage),ColumnAbbreviation,FALSE),"")</f>
        <v/>
      </c>
      <c r="CG883" s="21" t="str">
        <f ca="1">IFERROR(VLOOKUP(AZ883,OFFSET(abbreviation[],0,ColumnLanguage),ColumnAbbreviation,FALSE),"")</f>
        <v/>
      </c>
      <c r="CH883" s="21" t="str">
        <f ca="1">IFERROR(VLOOKUP(BB883,OFFSET(abbreviation[],0,ColumnLanguage),ColumnAbbreviation,FALSE),"")</f>
        <v/>
      </c>
      <c r="CI883" s="21" t="str">
        <f ca="1">IFERROR(VLOOKUP(BD883,OFFSET(abbreviation[],0,ColumnLanguage),ColumnAbbreviation,FALSE),"")</f>
        <v/>
      </c>
      <c r="CJ883" s="21" t="str">
        <f ca="1">IFERROR(VLOOKUP(BF883,OFFSET(abbreviation[],0,ColumnLanguage),ColumnAbbreviation,FALSE),"")</f>
        <v/>
      </c>
      <c r="CK883" s="21" t="str">
        <f t="shared" ca="1" si="95"/>
        <v/>
      </c>
      <c r="CL883" s="21" t="str">
        <f t="shared" si="96"/>
        <v/>
      </c>
      <c r="CM883" s="52"/>
      <c r="CN883" s="57" t="str">
        <f t="shared" si="97"/>
        <v/>
      </c>
    </row>
    <row r="884" spans="17:92" x14ac:dyDescent="0.25">
      <c r="Q884" s="13"/>
      <c r="AN884" s="54"/>
      <c r="AS884" s="15"/>
      <c r="BH884" s="52"/>
      <c r="BI884" s="21" t="str">
        <f ca="1">IFERROR(VLOOKUP(C884,OFFSET(abbreviation[],0,ColumnLanguage),ColumnAbbreviation,FALSE),"")</f>
        <v/>
      </c>
      <c r="BJ884" s="21" t="str">
        <f ca="1">IFERROR(VLOOKUP(E884,OFFSET(abbreviation[],0,ColumnLanguage),ColumnAbbreviation,FALSE),"")</f>
        <v/>
      </c>
      <c r="BK884" s="21" t="str">
        <f ca="1">IFERROR(VLOOKUP(G884,OFFSET(abbreviation[],0,ColumnLanguage),ColumnAbbreviation,FALSE),"")</f>
        <v/>
      </c>
      <c r="BL884" s="21" t="str">
        <f ca="1">IFERROR(VLOOKUP(I884,OFFSET(abbreviation[],0,ColumnLanguage),ColumnAbbreviation,FALSE),"")</f>
        <v/>
      </c>
      <c r="BM884" s="21" t="str">
        <f ca="1">IFERROR(VLOOKUP(K884,OFFSET(abbreviation[],0,ColumnLanguage),ColumnAbbreviation,FALSE),"")</f>
        <v/>
      </c>
      <c r="BN884" s="21" t="str">
        <f t="shared" ca="1" si="91"/>
        <v/>
      </c>
      <c r="BO884" s="21" t="str">
        <f ca="1">IFERROR(VLOOKUP(N884,OFFSET(abbreviation[],0,ColumnLanguage),ColumnAbbreviation,FALSE),"")</f>
        <v/>
      </c>
      <c r="BP884" s="21" t="str">
        <f ca="1">IFERROR(VLOOKUP(P884,OFFSET(abbreviation[],0,ColumnLanguage),ColumnAbbreviation,FALSE),"")</f>
        <v/>
      </c>
      <c r="BQ884" s="21" t="str">
        <f ca="1">IFERROR(VLOOKUP(T884,OFFSET(abbreviation[],0,ColumnLanguage),ColumnAbbreviation,FALSE),"")</f>
        <v/>
      </c>
      <c r="BR884" s="21" t="str">
        <f ca="1">IFERROR(VLOOKUP(V884,OFFSET(abbreviation[],0,ColumnLanguage),ColumnAbbreviation,FALSE),"")</f>
        <v/>
      </c>
      <c r="BS884" s="21" t="str">
        <f ca="1">IFERROR(VLOOKUP(Z884,OFFSET(abbreviation[],0,ColumnLanguage),ColumnAbbreviation,FALSE),"")</f>
        <v/>
      </c>
      <c r="BT884" s="21" t="str">
        <f ca="1">IFERROR(VLOOKUP(AB884,OFFSET(abbreviation[],0,ColumnLanguage),ColumnAbbreviation,FALSE),"")</f>
        <v/>
      </c>
      <c r="BU884" s="21" t="str">
        <f t="shared" ca="1" si="92"/>
        <v>__</v>
      </c>
      <c r="BV884" s="21" t="str">
        <f ca="1">IFERROR(VLOOKUP(AF884,OFFSET(abbreviation[],0,ColumnLanguage),ColumnAbbreviation,FALSE),"")</f>
        <v/>
      </c>
      <c r="BW884" s="21" t="str">
        <f ca="1">IFERROR(VLOOKUP(AH884,OFFSET(abbreviation[],0,ColumnLanguage),ColumnAbbreviation,FALSE),"")</f>
        <v/>
      </c>
      <c r="BX884" s="21" t="str">
        <f ca="1">IFERROR(VLOOKUP(AJ884,OFFSET(abbreviation[],0,ColumnLanguage),ColumnAbbreviation,FALSE),"")</f>
        <v/>
      </c>
      <c r="BY884" s="21" t="str">
        <f ca="1">IFERROR(VLOOKUP(AL884,OFFSET(abbreviation[],0,ColumnLanguage),ColumnAbbreviation,FALSE),"")</f>
        <v/>
      </c>
      <c r="BZ884" s="21" t="str">
        <f t="shared" ca="1" si="93"/>
        <v>_</v>
      </c>
      <c r="CA884" s="21" t="str">
        <f ca="1">IFERROR(VLOOKUP(AP884,OFFSET(abbreviation[],0,ColumnLanguage),ColumnAbbreviation,FALSE),"")</f>
        <v/>
      </c>
      <c r="CB884" s="21" t="str">
        <f ca="1">IFERROR(VLOOKUP(AR884,OFFSET(abbreviation[],0,ColumnLanguage),ColumnAbbreviation,FALSE),"")</f>
        <v/>
      </c>
      <c r="CC884" s="21" t="str">
        <f ca="1">IFERROR(VLOOKUP(AT884,OFFSET(abbreviation[],0,ColumnLanguage),ColumnAbbreviation,FALSE),"")</f>
        <v/>
      </c>
      <c r="CD884" s="21" t="str">
        <f ca="1">IFERROR(VLOOKUP(AV884,OFFSET(abbreviation[],0,ColumnLanguage),ColumnAbbreviation,FALSE),"")</f>
        <v/>
      </c>
      <c r="CE884" s="21" t="str">
        <f t="shared" ca="1" si="94"/>
        <v>__</v>
      </c>
      <c r="CF884" s="21" t="str">
        <f ca="1">IFERROR(VLOOKUP(AX884,OFFSET(abbreviation[],0,ColumnLanguage),ColumnAbbreviation,FALSE),"")</f>
        <v/>
      </c>
      <c r="CG884" s="21" t="str">
        <f ca="1">IFERROR(VLOOKUP(AZ884,OFFSET(abbreviation[],0,ColumnLanguage),ColumnAbbreviation,FALSE),"")</f>
        <v/>
      </c>
      <c r="CH884" s="21" t="str">
        <f ca="1">IFERROR(VLOOKUP(BB884,OFFSET(abbreviation[],0,ColumnLanguage),ColumnAbbreviation,FALSE),"")</f>
        <v/>
      </c>
      <c r="CI884" s="21" t="str">
        <f ca="1">IFERROR(VLOOKUP(BD884,OFFSET(abbreviation[],0,ColumnLanguage),ColumnAbbreviation,FALSE),"")</f>
        <v/>
      </c>
      <c r="CJ884" s="21" t="str">
        <f ca="1">IFERROR(VLOOKUP(BF884,OFFSET(abbreviation[],0,ColumnLanguage),ColumnAbbreviation,FALSE),"")</f>
        <v/>
      </c>
      <c r="CK884" s="21" t="str">
        <f t="shared" ca="1" si="95"/>
        <v/>
      </c>
      <c r="CL884" s="21" t="str">
        <f t="shared" si="96"/>
        <v/>
      </c>
      <c r="CM884" s="52"/>
      <c r="CN884" s="57" t="str">
        <f t="shared" si="97"/>
        <v/>
      </c>
    </row>
    <row r="885" spans="17:92" x14ac:dyDescent="0.25">
      <c r="Q885" s="13"/>
      <c r="AN885" s="54"/>
      <c r="AS885" s="15"/>
      <c r="BH885" s="52"/>
      <c r="BI885" s="21" t="str">
        <f ca="1">IFERROR(VLOOKUP(C885,OFFSET(abbreviation[],0,ColumnLanguage),ColumnAbbreviation,FALSE),"")</f>
        <v/>
      </c>
      <c r="BJ885" s="21" t="str">
        <f ca="1">IFERROR(VLOOKUP(E885,OFFSET(abbreviation[],0,ColumnLanguage),ColumnAbbreviation,FALSE),"")</f>
        <v/>
      </c>
      <c r="BK885" s="21" t="str">
        <f ca="1">IFERROR(VLOOKUP(G885,OFFSET(abbreviation[],0,ColumnLanguage),ColumnAbbreviation,FALSE),"")</f>
        <v/>
      </c>
      <c r="BL885" s="21" t="str">
        <f ca="1">IFERROR(VLOOKUP(I885,OFFSET(abbreviation[],0,ColumnLanguage),ColumnAbbreviation,FALSE),"")</f>
        <v/>
      </c>
      <c r="BM885" s="21" t="str">
        <f ca="1">IFERROR(VLOOKUP(K885,OFFSET(abbreviation[],0,ColumnLanguage),ColumnAbbreviation,FALSE),"")</f>
        <v/>
      </c>
      <c r="BN885" s="21" t="str">
        <f t="shared" ca="1" si="91"/>
        <v/>
      </c>
      <c r="BO885" s="21" t="str">
        <f ca="1">IFERROR(VLOOKUP(N885,OFFSET(abbreviation[],0,ColumnLanguage),ColumnAbbreviation,FALSE),"")</f>
        <v/>
      </c>
      <c r="BP885" s="21" t="str">
        <f ca="1">IFERROR(VLOOKUP(P885,OFFSET(abbreviation[],0,ColumnLanguage),ColumnAbbreviation,FALSE),"")</f>
        <v/>
      </c>
      <c r="BQ885" s="21" t="str">
        <f ca="1">IFERROR(VLOOKUP(T885,OFFSET(abbreviation[],0,ColumnLanguage),ColumnAbbreviation,FALSE),"")</f>
        <v/>
      </c>
      <c r="BR885" s="21" t="str">
        <f ca="1">IFERROR(VLOOKUP(V885,OFFSET(abbreviation[],0,ColumnLanguage),ColumnAbbreviation,FALSE),"")</f>
        <v/>
      </c>
      <c r="BS885" s="21" t="str">
        <f ca="1">IFERROR(VLOOKUP(Z885,OFFSET(abbreviation[],0,ColumnLanguage),ColumnAbbreviation,FALSE),"")</f>
        <v/>
      </c>
      <c r="BT885" s="21" t="str">
        <f ca="1">IFERROR(VLOOKUP(AB885,OFFSET(abbreviation[],0,ColumnLanguage),ColumnAbbreviation,FALSE),"")</f>
        <v/>
      </c>
      <c r="BU885" s="21" t="str">
        <f t="shared" ca="1" si="92"/>
        <v>__</v>
      </c>
      <c r="BV885" s="21" t="str">
        <f ca="1">IFERROR(VLOOKUP(AF885,OFFSET(abbreviation[],0,ColumnLanguage),ColumnAbbreviation,FALSE),"")</f>
        <v/>
      </c>
      <c r="BW885" s="21" t="str">
        <f ca="1">IFERROR(VLOOKUP(AH885,OFFSET(abbreviation[],0,ColumnLanguage),ColumnAbbreviation,FALSE),"")</f>
        <v/>
      </c>
      <c r="BX885" s="21" t="str">
        <f ca="1">IFERROR(VLOOKUP(AJ885,OFFSET(abbreviation[],0,ColumnLanguage),ColumnAbbreviation,FALSE),"")</f>
        <v/>
      </c>
      <c r="BY885" s="21" t="str">
        <f ca="1">IFERROR(VLOOKUP(AL885,OFFSET(abbreviation[],0,ColumnLanguage),ColumnAbbreviation,FALSE),"")</f>
        <v/>
      </c>
      <c r="BZ885" s="21" t="str">
        <f t="shared" ca="1" si="93"/>
        <v>_</v>
      </c>
      <c r="CA885" s="21" t="str">
        <f ca="1">IFERROR(VLOOKUP(AP885,OFFSET(abbreviation[],0,ColumnLanguage),ColumnAbbreviation,FALSE),"")</f>
        <v/>
      </c>
      <c r="CB885" s="21" t="str">
        <f ca="1">IFERROR(VLOOKUP(AR885,OFFSET(abbreviation[],0,ColumnLanguage),ColumnAbbreviation,FALSE),"")</f>
        <v/>
      </c>
      <c r="CC885" s="21" t="str">
        <f ca="1">IFERROR(VLOOKUP(AT885,OFFSET(abbreviation[],0,ColumnLanguage),ColumnAbbreviation,FALSE),"")</f>
        <v/>
      </c>
      <c r="CD885" s="21" t="str">
        <f ca="1">IFERROR(VLOOKUP(AV885,OFFSET(abbreviation[],0,ColumnLanguage),ColumnAbbreviation,FALSE),"")</f>
        <v/>
      </c>
      <c r="CE885" s="21" t="str">
        <f t="shared" ca="1" si="94"/>
        <v>__</v>
      </c>
      <c r="CF885" s="21" t="str">
        <f ca="1">IFERROR(VLOOKUP(AX885,OFFSET(abbreviation[],0,ColumnLanguage),ColumnAbbreviation,FALSE),"")</f>
        <v/>
      </c>
      <c r="CG885" s="21" t="str">
        <f ca="1">IFERROR(VLOOKUP(AZ885,OFFSET(abbreviation[],0,ColumnLanguage),ColumnAbbreviation,FALSE),"")</f>
        <v/>
      </c>
      <c r="CH885" s="21" t="str">
        <f ca="1">IFERROR(VLOOKUP(BB885,OFFSET(abbreviation[],0,ColumnLanguage),ColumnAbbreviation,FALSE),"")</f>
        <v/>
      </c>
      <c r="CI885" s="21" t="str">
        <f ca="1">IFERROR(VLOOKUP(BD885,OFFSET(abbreviation[],0,ColumnLanguage),ColumnAbbreviation,FALSE),"")</f>
        <v/>
      </c>
      <c r="CJ885" s="21" t="str">
        <f ca="1">IFERROR(VLOOKUP(BF885,OFFSET(abbreviation[],0,ColumnLanguage),ColumnAbbreviation,FALSE),"")</f>
        <v/>
      </c>
      <c r="CK885" s="21" t="str">
        <f t="shared" ca="1" si="95"/>
        <v/>
      </c>
      <c r="CL885" s="21" t="str">
        <f t="shared" si="96"/>
        <v/>
      </c>
      <c r="CM885" s="52"/>
      <c r="CN885" s="57" t="str">
        <f t="shared" si="97"/>
        <v/>
      </c>
    </row>
    <row r="886" spans="17:92" x14ac:dyDescent="0.25">
      <c r="Q886" s="13"/>
      <c r="AN886" s="54"/>
      <c r="AS886" s="15"/>
      <c r="BH886" s="52"/>
      <c r="BI886" s="21" t="str">
        <f ca="1">IFERROR(VLOOKUP(C886,OFFSET(abbreviation[],0,ColumnLanguage),ColumnAbbreviation,FALSE),"")</f>
        <v/>
      </c>
      <c r="BJ886" s="21" t="str">
        <f ca="1">IFERROR(VLOOKUP(E886,OFFSET(abbreviation[],0,ColumnLanguage),ColumnAbbreviation,FALSE),"")</f>
        <v/>
      </c>
      <c r="BK886" s="21" t="str">
        <f ca="1">IFERROR(VLOOKUP(G886,OFFSET(abbreviation[],0,ColumnLanguage),ColumnAbbreviation,FALSE),"")</f>
        <v/>
      </c>
      <c r="BL886" s="21" t="str">
        <f ca="1">IFERROR(VLOOKUP(I886,OFFSET(abbreviation[],0,ColumnLanguage),ColumnAbbreviation,FALSE),"")</f>
        <v/>
      </c>
      <c r="BM886" s="21" t="str">
        <f ca="1">IFERROR(VLOOKUP(K886,OFFSET(abbreviation[],0,ColumnLanguage),ColumnAbbreviation,FALSE),"")</f>
        <v/>
      </c>
      <c r="BN886" s="21" t="str">
        <f t="shared" ca="1" si="91"/>
        <v/>
      </c>
      <c r="BO886" s="21" t="str">
        <f ca="1">IFERROR(VLOOKUP(N886,OFFSET(abbreviation[],0,ColumnLanguage),ColumnAbbreviation,FALSE),"")</f>
        <v/>
      </c>
      <c r="BP886" s="21" t="str">
        <f ca="1">IFERROR(VLOOKUP(P886,OFFSET(abbreviation[],0,ColumnLanguage),ColumnAbbreviation,FALSE),"")</f>
        <v/>
      </c>
      <c r="BQ886" s="21" t="str">
        <f ca="1">IFERROR(VLOOKUP(T886,OFFSET(abbreviation[],0,ColumnLanguage),ColumnAbbreviation,FALSE),"")</f>
        <v/>
      </c>
      <c r="BR886" s="21" t="str">
        <f ca="1">IFERROR(VLOOKUP(V886,OFFSET(abbreviation[],0,ColumnLanguage),ColumnAbbreviation,FALSE),"")</f>
        <v/>
      </c>
      <c r="BS886" s="21" t="str">
        <f ca="1">IFERROR(VLOOKUP(Z886,OFFSET(abbreviation[],0,ColumnLanguage),ColumnAbbreviation,FALSE),"")</f>
        <v/>
      </c>
      <c r="BT886" s="21" t="str">
        <f ca="1">IFERROR(VLOOKUP(AB886,OFFSET(abbreviation[],0,ColumnLanguage),ColumnAbbreviation,FALSE),"")</f>
        <v/>
      </c>
      <c r="BU886" s="21" t="str">
        <f t="shared" ca="1" si="92"/>
        <v>__</v>
      </c>
      <c r="BV886" s="21" t="str">
        <f ca="1">IFERROR(VLOOKUP(AF886,OFFSET(abbreviation[],0,ColumnLanguage),ColumnAbbreviation,FALSE),"")</f>
        <v/>
      </c>
      <c r="BW886" s="21" t="str">
        <f ca="1">IFERROR(VLOOKUP(AH886,OFFSET(abbreviation[],0,ColumnLanguage),ColumnAbbreviation,FALSE),"")</f>
        <v/>
      </c>
      <c r="BX886" s="21" t="str">
        <f ca="1">IFERROR(VLOOKUP(AJ886,OFFSET(abbreviation[],0,ColumnLanguage),ColumnAbbreviation,FALSE),"")</f>
        <v/>
      </c>
      <c r="BY886" s="21" t="str">
        <f ca="1">IFERROR(VLOOKUP(AL886,OFFSET(abbreviation[],0,ColumnLanguage),ColumnAbbreviation,FALSE),"")</f>
        <v/>
      </c>
      <c r="BZ886" s="21" t="str">
        <f t="shared" ca="1" si="93"/>
        <v>_</v>
      </c>
      <c r="CA886" s="21" t="str">
        <f ca="1">IFERROR(VLOOKUP(AP886,OFFSET(abbreviation[],0,ColumnLanguage),ColumnAbbreviation,FALSE),"")</f>
        <v/>
      </c>
      <c r="CB886" s="21" t="str">
        <f ca="1">IFERROR(VLOOKUP(AR886,OFFSET(abbreviation[],0,ColumnLanguage),ColumnAbbreviation,FALSE),"")</f>
        <v/>
      </c>
      <c r="CC886" s="21" t="str">
        <f ca="1">IFERROR(VLOOKUP(AT886,OFFSET(abbreviation[],0,ColumnLanguage),ColumnAbbreviation,FALSE),"")</f>
        <v/>
      </c>
      <c r="CD886" s="21" t="str">
        <f ca="1">IFERROR(VLOOKUP(AV886,OFFSET(abbreviation[],0,ColumnLanguage),ColumnAbbreviation,FALSE),"")</f>
        <v/>
      </c>
      <c r="CE886" s="21" t="str">
        <f t="shared" ca="1" si="94"/>
        <v>__</v>
      </c>
      <c r="CF886" s="21" t="str">
        <f ca="1">IFERROR(VLOOKUP(AX886,OFFSET(abbreviation[],0,ColumnLanguage),ColumnAbbreviation,FALSE),"")</f>
        <v/>
      </c>
      <c r="CG886" s="21" t="str">
        <f ca="1">IFERROR(VLOOKUP(AZ886,OFFSET(abbreviation[],0,ColumnLanguage),ColumnAbbreviation,FALSE),"")</f>
        <v/>
      </c>
      <c r="CH886" s="21" t="str">
        <f ca="1">IFERROR(VLOOKUP(BB886,OFFSET(abbreviation[],0,ColumnLanguage),ColumnAbbreviation,FALSE),"")</f>
        <v/>
      </c>
      <c r="CI886" s="21" t="str">
        <f ca="1">IFERROR(VLOOKUP(BD886,OFFSET(abbreviation[],0,ColumnLanguage),ColumnAbbreviation,FALSE),"")</f>
        <v/>
      </c>
      <c r="CJ886" s="21" t="str">
        <f ca="1">IFERROR(VLOOKUP(BF886,OFFSET(abbreviation[],0,ColumnLanguage),ColumnAbbreviation,FALSE),"")</f>
        <v/>
      </c>
      <c r="CK886" s="21" t="str">
        <f t="shared" ca="1" si="95"/>
        <v/>
      </c>
      <c r="CL886" s="21" t="str">
        <f t="shared" si="96"/>
        <v/>
      </c>
      <c r="CM886" s="52"/>
      <c r="CN886" s="57" t="str">
        <f t="shared" si="97"/>
        <v/>
      </c>
    </row>
    <row r="887" spans="17:92" x14ac:dyDescent="0.25">
      <c r="Q887" s="13"/>
      <c r="AN887" s="54"/>
      <c r="AS887" s="15"/>
      <c r="BH887" s="52"/>
      <c r="BI887" s="21" t="str">
        <f ca="1">IFERROR(VLOOKUP(C887,OFFSET(abbreviation[],0,ColumnLanguage),ColumnAbbreviation,FALSE),"")</f>
        <v/>
      </c>
      <c r="BJ887" s="21" t="str">
        <f ca="1">IFERROR(VLOOKUP(E887,OFFSET(abbreviation[],0,ColumnLanguage),ColumnAbbreviation,FALSE),"")</f>
        <v/>
      </c>
      <c r="BK887" s="21" t="str">
        <f ca="1">IFERROR(VLOOKUP(G887,OFFSET(abbreviation[],0,ColumnLanguage),ColumnAbbreviation,FALSE),"")</f>
        <v/>
      </c>
      <c r="BL887" s="21" t="str">
        <f ca="1">IFERROR(VLOOKUP(I887,OFFSET(abbreviation[],0,ColumnLanguage),ColumnAbbreviation,FALSE),"")</f>
        <v/>
      </c>
      <c r="BM887" s="21" t="str">
        <f ca="1">IFERROR(VLOOKUP(K887,OFFSET(abbreviation[],0,ColumnLanguage),ColumnAbbreviation,FALSE),"")</f>
        <v/>
      </c>
      <c r="BN887" s="21" t="str">
        <f t="shared" ca="1" si="91"/>
        <v/>
      </c>
      <c r="BO887" s="21" t="str">
        <f ca="1">IFERROR(VLOOKUP(N887,OFFSET(abbreviation[],0,ColumnLanguage),ColumnAbbreviation,FALSE),"")</f>
        <v/>
      </c>
      <c r="BP887" s="21" t="str">
        <f ca="1">IFERROR(VLOOKUP(P887,OFFSET(abbreviation[],0,ColumnLanguage),ColumnAbbreviation,FALSE),"")</f>
        <v/>
      </c>
      <c r="BQ887" s="21" t="str">
        <f ca="1">IFERROR(VLOOKUP(T887,OFFSET(abbreviation[],0,ColumnLanguage),ColumnAbbreviation,FALSE),"")</f>
        <v/>
      </c>
      <c r="BR887" s="21" t="str">
        <f ca="1">IFERROR(VLOOKUP(V887,OFFSET(abbreviation[],0,ColumnLanguage),ColumnAbbreviation,FALSE),"")</f>
        <v/>
      </c>
      <c r="BS887" s="21" t="str">
        <f ca="1">IFERROR(VLOOKUP(Z887,OFFSET(abbreviation[],0,ColumnLanguage),ColumnAbbreviation,FALSE),"")</f>
        <v/>
      </c>
      <c r="BT887" s="21" t="str">
        <f ca="1">IFERROR(VLOOKUP(AB887,OFFSET(abbreviation[],0,ColumnLanguage),ColumnAbbreviation,FALSE),"")</f>
        <v/>
      </c>
      <c r="BU887" s="21" t="str">
        <f t="shared" ca="1" si="92"/>
        <v>__</v>
      </c>
      <c r="BV887" s="21" t="str">
        <f ca="1">IFERROR(VLOOKUP(AF887,OFFSET(abbreviation[],0,ColumnLanguage),ColumnAbbreviation,FALSE),"")</f>
        <v/>
      </c>
      <c r="BW887" s="21" t="str">
        <f ca="1">IFERROR(VLOOKUP(AH887,OFFSET(abbreviation[],0,ColumnLanguage),ColumnAbbreviation,FALSE),"")</f>
        <v/>
      </c>
      <c r="BX887" s="21" t="str">
        <f ca="1">IFERROR(VLOOKUP(AJ887,OFFSET(abbreviation[],0,ColumnLanguage),ColumnAbbreviation,FALSE),"")</f>
        <v/>
      </c>
      <c r="BY887" s="21" t="str">
        <f ca="1">IFERROR(VLOOKUP(AL887,OFFSET(abbreviation[],0,ColumnLanguage),ColumnAbbreviation,FALSE),"")</f>
        <v/>
      </c>
      <c r="BZ887" s="21" t="str">
        <f t="shared" ca="1" si="93"/>
        <v>_</v>
      </c>
      <c r="CA887" s="21" t="str">
        <f ca="1">IFERROR(VLOOKUP(AP887,OFFSET(abbreviation[],0,ColumnLanguage),ColumnAbbreviation,FALSE),"")</f>
        <v/>
      </c>
      <c r="CB887" s="21" t="str">
        <f ca="1">IFERROR(VLOOKUP(AR887,OFFSET(abbreviation[],0,ColumnLanguage),ColumnAbbreviation,FALSE),"")</f>
        <v/>
      </c>
      <c r="CC887" s="21" t="str">
        <f ca="1">IFERROR(VLOOKUP(AT887,OFFSET(abbreviation[],0,ColumnLanguage),ColumnAbbreviation,FALSE),"")</f>
        <v/>
      </c>
      <c r="CD887" s="21" t="str">
        <f ca="1">IFERROR(VLOOKUP(AV887,OFFSET(abbreviation[],0,ColumnLanguage),ColumnAbbreviation,FALSE),"")</f>
        <v/>
      </c>
      <c r="CE887" s="21" t="str">
        <f t="shared" ca="1" si="94"/>
        <v>__</v>
      </c>
      <c r="CF887" s="21" t="str">
        <f ca="1">IFERROR(VLOOKUP(AX887,OFFSET(abbreviation[],0,ColumnLanguage),ColumnAbbreviation,FALSE),"")</f>
        <v/>
      </c>
      <c r="CG887" s="21" t="str">
        <f ca="1">IFERROR(VLOOKUP(AZ887,OFFSET(abbreviation[],0,ColumnLanguage),ColumnAbbreviation,FALSE),"")</f>
        <v/>
      </c>
      <c r="CH887" s="21" t="str">
        <f ca="1">IFERROR(VLOOKUP(BB887,OFFSET(abbreviation[],0,ColumnLanguage),ColumnAbbreviation,FALSE),"")</f>
        <v/>
      </c>
      <c r="CI887" s="21" t="str">
        <f ca="1">IFERROR(VLOOKUP(BD887,OFFSET(abbreviation[],0,ColumnLanguage),ColumnAbbreviation,FALSE),"")</f>
        <v/>
      </c>
      <c r="CJ887" s="21" t="str">
        <f ca="1">IFERROR(VLOOKUP(BF887,OFFSET(abbreviation[],0,ColumnLanguage),ColumnAbbreviation,FALSE),"")</f>
        <v/>
      </c>
      <c r="CK887" s="21" t="str">
        <f t="shared" ca="1" si="95"/>
        <v/>
      </c>
      <c r="CL887" s="21" t="str">
        <f t="shared" si="96"/>
        <v/>
      </c>
      <c r="CM887" s="52"/>
      <c r="CN887" s="57" t="str">
        <f t="shared" si="97"/>
        <v/>
      </c>
    </row>
    <row r="888" spans="17:92" x14ac:dyDescent="0.25">
      <c r="Q888" s="13"/>
      <c r="AN888" s="54"/>
      <c r="AS888" s="15"/>
      <c r="BH888" s="52"/>
      <c r="BI888" s="21" t="str">
        <f ca="1">IFERROR(VLOOKUP(C888,OFFSET(abbreviation[],0,ColumnLanguage),ColumnAbbreviation,FALSE),"")</f>
        <v/>
      </c>
      <c r="BJ888" s="21" t="str">
        <f ca="1">IFERROR(VLOOKUP(E888,OFFSET(abbreviation[],0,ColumnLanguage),ColumnAbbreviation,FALSE),"")</f>
        <v/>
      </c>
      <c r="BK888" s="21" t="str">
        <f ca="1">IFERROR(VLOOKUP(G888,OFFSET(abbreviation[],0,ColumnLanguage),ColumnAbbreviation,FALSE),"")</f>
        <v/>
      </c>
      <c r="BL888" s="21" t="str">
        <f ca="1">IFERROR(VLOOKUP(I888,OFFSET(abbreviation[],0,ColumnLanguage),ColumnAbbreviation,FALSE),"")</f>
        <v/>
      </c>
      <c r="BM888" s="21" t="str">
        <f ca="1">IFERROR(VLOOKUP(K888,OFFSET(abbreviation[],0,ColumnLanguage),ColumnAbbreviation,FALSE),"")</f>
        <v/>
      </c>
      <c r="BN888" s="21" t="str">
        <f t="shared" ca="1" si="91"/>
        <v/>
      </c>
      <c r="BO888" s="21" t="str">
        <f ca="1">IFERROR(VLOOKUP(N888,OFFSET(abbreviation[],0,ColumnLanguage),ColumnAbbreviation,FALSE),"")</f>
        <v/>
      </c>
      <c r="BP888" s="21" t="str">
        <f ca="1">IFERROR(VLOOKUP(P888,OFFSET(abbreviation[],0,ColumnLanguage),ColumnAbbreviation,FALSE),"")</f>
        <v/>
      </c>
      <c r="BQ888" s="21" t="str">
        <f ca="1">IFERROR(VLOOKUP(T888,OFFSET(abbreviation[],0,ColumnLanguage),ColumnAbbreviation,FALSE),"")</f>
        <v/>
      </c>
      <c r="BR888" s="21" t="str">
        <f ca="1">IFERROR(VLOOKUP(V888,OFFSET(abbreviation[],0,ColumnLanguage),ColumnAbbreviation,FALSE),"")</f>
        <v/>
      </c>
      <c r="BS888" s="21" t="str">
        <f ca="1">IFERROR(VLOOKUP(Z888,OFFSET(abbreviation[],0,ColumnLanguage),ColumnAbbreviation,FALSE),"")</f>
        <v/>
      </c>
      <c r="BT888" s="21" t="str">
        <f ca="1">IFERROR(VLOOKUP(AB888,OFFSET(abbreviation[],0,ColumnLanguage),ColumnAbbreviation,FALSE),"")</f>
        <v/>
      </c>
      <c r="BU888" s="21" t="str">
        <f t="shared" ca="1" si="92"/>
        <v>__</v>
      </c>
      <c r="BV888" s="21" t="str">
        <f ca="1">IFERROR(VLOOKUP(AF888,OFFSET(abbreviation[],0,ColumnLanguage),ColumnAbbreviation,FALSE),"")</f>
        <v/>
      </c>
      <c r="BW888" s="21" t="str">
        <f ca="1">IFERROR(VLOOKUP(AH888,OFFSET(abbreviation[],0,ColumnLanguage),ColumnAbbreviation,FALSE),"")</f>
        <v/>
      </c>
      <c r="BX888" s="21" t="str">
        <f ca="1">IFERROR(VLOOKUP(AJ888,OFFSET(abbreviation[],0,ColumnLanguage),ColumnAbbreviation,FALSE),"")</f>
        <v/>
      </c>
      <c r="BY888" s="21" t="str">
        <f ca="1">IFERROR(VLOOKUP(AL888,OFFSET(abbreviation[],0,ColumnLanguage),ColumnAbbreviation,FALSE),"")</f>
        <v/>
      </c>
      <c r="BZ888" s="21" t="str">
        <f t="shared" ca="1" si="93"/>
        <v>_</v>
      </c>
      <c r="CA888" s="21" t="str">
        <f ca="1">IFERROR(VLOOKUP(AP888,OFFSET(abbreviation[],0,ColumnLanguage),ColumnAbbreviation,FALSE),"")</f>
        <v/>
      </c>
      <c r="CB888" s="21" t="str">
        <f ca="1">IFERROR(VLOOKUP(AR888,OFFSET(abbreviation[],0,ColumnLanguage),ColumnAbbreviation,FALSE),"")</f>
        <v/>
      </c>
      <c r="CC888" s="21" t="str">
        <f ca="1">IFERROR(VLOOKUP(AT888,OFFSET(abbreviation[],0,ColumnLanguage),ColumnAbbreviation,FALSE),"")</f>
        <v/>
      </c>
      <c r="CD888" s="21" t="str">
        <f ca="1">IFERROR(VLOOKUP(AV888,OFFSET(abbreviation[],0,ColumnLanguage),ColumnAbbreviation,FALSE),"")</f>
        <v/>
      </c>
      <c r="CE888" s="21" t="str">
        <f t="shared" ca="1" si="94"/>
        <v>__</v>
      </c>
      <c r="CF888" s="21" t="str">
        <f ca="1">IFERROR(VLOOKUP(AX888,OFFSET(abbreviation[],0,ColumnLanguage),ColumnAbbreviation,FALSE),"")</f>
        <v/>
      </c>
      <c r="CG888" s="21" t="str">
        <f ca="1">IFERROR(VLOOKUP(AZ888,OFFSET(abbreviation[],0,ColumnLanguage),ColumnAbbreviation,FALSE),"")</f>
        <v/>
      </c>
      <c r="CH888" s="21" t="str">
        <f ca="1">IFERROR(VLOOKUP(BB888,OFFSET(abbreviation[],0,ColumnLanguage),ColumnAbbreviation,FALSE),"")</f>
        <v/>
      </c>
      <c r="CI888" s="21" t="str">
        <f ca="1">IFERROR(VLOOKUP(BD888,OFFSET(abbreviation[],0,ColumnLanguage),ColumnAbbreviation,FALSE),"")</f>
        <v/>
      </c>
      <c r="CJ888" s="21" t="str">
        <f ca="1">IFERROR(VLOOKUP(BF888,OFFSET(abbreviation[],0,ColumnLanguage),ColumnAbbreviation,FALSE),"")</f>
        <v/>
      </c>
      <c r="CK888" s="21" t="str">
        <f t="shared" ca="1" si="95"/>
        <v/>
      </c>
      <c r="CL888" s="21" t="str">
        <f t="shared" si="96"/>
        <v/>
      </c>
      <c r="CM888" s="52"/>
      <c r="CN888" s="57" t="str">
        <f t="shared" si="97"/>
        <v/>
      </c>
    </row>
    <row r="889" spans="17:92" x14ac:dyDescent="0.25">
      <c r="Q889" s="13"/>
      <c r="AN889" s="54"/>
      <c r="AS889" s="15"/>
      <c r="BH889" s="52"/>
      <c r="BI889" s="21" t="str">
        <f ca="1">IFERROR(VLOOKUP(C889,OFFSET(abbreviation[],0,ColumnLanguage),ColumnAbbreviation,FALSE),"")</f>
        <v/>
      </c>
      <c r="BJ889" s="21" t="str">
        <f ca="1">IFERROR(VLOOKUP(E889,OFFSET(abbreviation[],0,ColumnLanguage),ColumnAbbreviation,FALSE),"")</f>
        <v/>
      </c>
      <c r="BK889" s="21" t="str">
        <f ca="1">IFERROR(VLOOKUP(G889,OFFSET(abbreviation[],0,ColumnLanguage),ColumnAbbreviation,FALSE),"")</f>
        <v/>
      </c>
      <c r="BL889" s="21" t="str">
        <f ca="1">IFERROR(VLOOKUP(I889,OFFSET(abbreviation[],0,ColumnLanguage),ColumnAbbreviation,FALSE),"")</f>
        <v/>
      </c>
      <c r="BM889" s="21" t="str">
        <f ca="1">IFERROR(VLOOKUP(K889,OFFSET(abbreviation[],0,ColumnLanguage),ColumnAbbreviation,FALSE),"")</f>
        <v/>
      </c>
      <c r="BN889" s="21" t="str">
        <f t="shared" ca="1" si="91"/>
        <v/>
      </c>
      <c r="BO889" s="21" t="str">
        <f ca="1">IFERROR(VLOOKUP(N889,OFFSET(abbreviation[],0,ColumnLanguage),ColumnAbbreviation,FALSE),"")</f>
        <v/>
      </c>
      <c r="BP889" s="21" t="str">
        <f ca="1">IFERROR(VLOOKUP(P889,OFFSET(abbreviation[],0,ColumnLanguage),ColumnAbbreviation,FALSE),"")</f>
        <v/>
      </c>
      <c r="BQ889" s="21" t="str">
        <f ca="1">IFERROR(VLOOKUP(T889,OFFSET(abbreviation[],0,ColumnLanguage),ColumnAbbreviation,FALSE),"")</f>
        <v/>
      </c>
      <c r="BR889" s="21" t="str">
        <f ca="1">IFERROR(VLOOKUP(V889,OFFSET(abbreviation[],0,ColumnLanguage),ColumnAbbreviation,FALSE),"")</f>
        <v/>
      </c>
      <c r="BS889" s="21" t="str">
        <f ca="1">IFERROR(VLOOKUP(Z889,OFFSET(abbreviation[],0,ColumnLanguage),ColumnAbbreviation,FALSE),"")</f>
        <v/>
      </c>
      <c r="BT889" s="21" t="str">
        <f ca="1">IFERROR(VLOOKUP(AB889,OFFSET(abbreviation[],0,ColumnLanguage),ColumnAbbreviation,FALSE),"")</f>
        <v/>
      </c>
      <c r="BU889" s="21" t="str">
        <f t="shared" ca="1" si="92"/>
        <v>__</v>
      </c>
      <c r="BV889" s="21" t="str">
        <f ca="1">IFERROR(VLOOKUP(AF889,OFFSET(abbreviation[],0,ColumnLanguage),ColumnAbbreviation,FALSE),"")</f>
        <v/>
      </c>
      <c r="BW889" s="21" t="str">
        <f ca="1">IFERROR(VLOOKUP(AH889,OFFSET(abbreviation[],0,ColumnLanguage),ColumnAbbreviation,FALSE),"")</f>
        <v/>
      </c>
      <c r="BX889" s="21" t="str">
        <f ca="1">IFERROR(VLOOKUP(AJ889,OFFSET(abbreviation[],0,ColumnLanguage),ColumnAbbreviation,FALSE),"")</f>
        <v/>
      </c>
      <c r="BY889" s="21" t="str">
        <f ca="1">IFERROR(VLOOKUP(AL889,OFFSET(abbreviation[],0,ColumnLanguage),ColumnAbbreviation,FALSE),"")</f>
        <v/>
      </c>
      <c r="BZ889" s="21" t="str">
        <f t="shared" ca="1" si="93"/>
        <v>_</v>
      </c>
      <c r="CA889" s="21" t="str">
        <f ca="1">IFERROR(VLOOKUP(AP889,OFFSET(abbreviation[],0,ColumnLanguage),ColumnAbbreviation,FALSE),"")</f>
        <v/>
      </c>
      <c r="CB889" s="21" t="str">
        <f ca="1">IFERROR(VLOOKUP(AR889,OFFSET(abbreviation[],0,ColumnLanguage),ColumnAbbreviation,FALSE),"")</f>
        <v/>
      </c>
      <c r="CC889" s="21" t="str">
        <f ca="1">IFERROR(VLOOKUP(AT889,OFFSET(abbreviation[],0,ColumnLanguage),ColumnAbbreviation,FALSE),"")</f>
        <v/>
      </c>
      <c r="CD889" s="21" t="str">
        <f ca="1">IFERROR(VLOOKUP(AV889,OFFSET(abbreviation[],0,ColumnLanguage),ColumnAbbreviation,FALSE),"")</f>
        <v/>
      </c>
      <c r="CE889" s="21" t="str">
        <f t="shared" ca="1" si="94"/>
        <v>__</v>
      </c>
      <c r="CF889" s="21" t="str">
        <f ca="1">IFERROR(VLOOKUP(AX889,OFFSET(abbreviation[],0,ColumnLanguage),ColumnAbbreviation,FALSE),"")</f>
        <v/>
      </c>
      <c r="CG889" s="21" t="str">
        <f ca="1">IFERROR(VLOOKUP(AZ889,OFFSET(abbreviation[],0,ColumnLanguage),ColumnAbbreviation,FALSE),"")</f>
        <v/>
      </c>
      <c r="CH889" s="21" t="str">
        <f ca="1">IFERROR(VLOOKUP(BB889,OFFSET(abbreviation[],0,ColumnLanguage),ColumnAbbreviation,FALSE),"")</f>
        <v/>
      </c>
      <c r="CI889" s="21" t="str">
        <f ca="1">IFERROR(VLOOKUP(BD889,OFFSET(abbreviation[],0,ColumnLanguage),ColumnAbbreviation,FALSE),"")</f>
        <v/>
      </c>
      <c r="CJ889" s="21" t="str">
        <f ca="1">IFERROR(VLOOKUP(BF889,OFFSET(abbreviation[],0,ColumnLanguage),ColumnAbbreviation,FALSE),"")</f>
        <v/>
      </c>
      <c r="CK889" s="21" t="str">
        <f t="shared" ca="1" si="95"/>
        <v/>
      </c>
      <c r="CL889" s="21" t="str">
        <f t="shared" si="96"/>
        <v/>
      </c>
      <c r="CM889" s="52"/>
      <c r="CN889" s="57" t="str">
        <f t="shared" si="97"/>
        <v/>
      </c>
    </row>
    <row r="890" spans="17:92" x14ac:dyDescent="0.25">
      <c r="Q890" s="13"/>
      <c r="AN890" s="54"/>
      <c r="AS890" s="15"/>
      <c r="BH890" s="52"/>
      <c r="BI890" s="21" t="str">
        <f ca="1">IFERROR(VLOOKUP(C890,OFFSET(abbreviation[],0,ColumnLanguage),ColumnAbbreviation,FALSE),"")</f>
        <v/>
      </c>
      <c r="BJ890" s="21" t="str">
        <f ca="1">IFERROR(VLOOKUP(E890,OFFSET(abbreviation[],0,ColumnLanguage),ColumnAbbreviation,FALSE),"")</f>
        <v/>
      </c>
      <c r="BK890" s="21" t="str">
        <f ca="1">IFERROR(VLOOKUP(G890,OFFSET(abbreviation[],0,ColumnLanguage),ColumnAbbreviation,FALSE),"")</f>
        <v/>
      </c>
      <c r="BL890" s="21" t="str">
        <f ca="1">IFERROR(VLOOKUP(I890,OFFSET(abbreviation[],0,ColumnLanguage),ColumnAbbreviation,FALSE),"")</f>
        <v/>
      </c>
      <c r="BM890" s="21" t="str">
        <f ca="1">IFERROR(VLOOKUP(K890,OFFSET(abbreviation[],0,ColumnLanguage),ColumnAbbreviation,FALSE),"")</f>
        <v/>
      </c>
      <c r="BN890" s="21" t="str">
        <f t="shared" ca="1" si="91"/>
        <v/>
      </c>
      <c r="BO890" s="21" t="str">
        <f ca="1">IFERROR(VLOOKUP(N890,OFFSET(abbreviation[],0,ColumnLanguage),ColumnAbbreviation,FALSE),"")</f>
        <v/>
      </c>
      <c r="BP890" s="21" t="str">
        <f ca="1">IFERROR(VLOOKUP(P890,OFFSET(abbreviation[],0,ColumnLanguage),ColumnAbbreviation,FALSE),"")</f>
        <v/>
      </c>
      <c r="BQ890" s="21" t="str">
        <f ca="1">IFERROR(VLOOKUP(T890,OFFSET(abbreviation[],0,ColumnLanguage),ColumnAbbreviation,FALSE),"")</f>
        <v/>
      </c>
      <c r="BR890" s="21" t="str">
        <f ca="1">IFERROR(VLOOKUP(V890,OFFSET(abbreviation[],0,ColumnLanguage),ColumnAbbreviation,FALSE),"")</f>
        <v/>
      </c>
      <c r="BS890" s="21" t="str">
        <f ca="1">IFERROR(VLOOKUP(Z890,OFFSET(abbreviation[],0,ColumnLanguage),ColumnAbbreviation,FALSE),"")</f>
        <v/>
      </c>
      <c r="BT890" s="21" t="str">
        <f ca="1">IFERROR(VLOOKUP(AB890,OFFSET(abbreviation[],0,ColumnLanguage),ColumnAbbreviation,FALSE),"")</f>
        <v/>
      </c>
      <c r="BU890" s="21" t="str">
        <f t="shared" ca="1" si="92"/>
        <v>__</v>
      </c>
      <c r="BV890" s="21" t="str">
        <f ca="1">IFERROR(VLOOKUP(AF890,OFFSET(abbreviation[],0,ColumnLanguage),ColumnAbbreviation,FALSE),"")</f>
        <v/>
      </c>
      <c r="BW890" s="21" t="str">
        <f ca="1">IFERROR(VLOOKUP(AH890,OFFSET(abbreviation[],0,ColumnLanguage),ColumnAbbreviation,FALSE),"")</f>
        <v/>
      </c>
      <c r="BX890" s="21" t="str">
        <f ca="1">IFERROR(VLOOKUP(AJ890,OFFSET(abbreviation[],0,ColumnLanguage),ColumnAbbreviation,FALSE),"")</f>
        <v/>
      </c>
      <c r="BY890" s="21" t="str">
        <f ca="1">IFERROR(VLOOKUP(AL890,OFFSET(abbreviation[],0,ColumnLanguage),ColumnAbbreviation,FALSE),"")</f>
        <v/>
      </c>
      <c r="BZ890" s="21" t="str">
        <f t="shared" ca="1" si="93"/>
        <v>_</v>
      </c>
      <c r="CA890" s="21" t="str">
        <f ca="1">IFERROR(VLOOKUP(AP890,OFFSET(abbreviation[],0,ColumnLanguage),ColumnAbbreviation,FALSE),"")</f>
        <v/>
      </c>
      <c r="CB890" s="21" t="str">
        <f ca="1">IFERROR(VLOOKUP(AR890,OFFSET(abbreviation[],0,ColumnLanguage),ColumnAbbreviation,FALSE),"")</f>
        <v/>
      </c>
      <c r="CC890" s="21" t="str">
        <f ca="1">IFERROR(VLOOKUP(AT890,OFFSET(abbreviation[],0,ColumnLanguage),ColumnAbbreviation,FALSE),"")</f>
        <v/>
      </c>
      <c r="CD890" s="21" t="str">
        <f ca="1">IFERROR(VLOOKUP(AV890,OFFSET(abbreviation[],0,ColumnLanguage),ColumnAbbreviation,FALSE),"")</f>
        <v/>
      </c>
      <c r="CE890" s="21" t="str">
        <f t="shared" ca="1" si="94"/>
        <v>__</v>
      </c>
      <c r="CF890" s="21" t="str">
        <f ca="1">IFERROR(VLOOKUP(AX890,OFFSET(abbreviation[],0,ColumnLanguage),ColumnAbbreviation,FALSE),"")</f>
        <v/>
      </c>
      <c r="CG890" s="21" t="str">
        <f ca="1">IFERROR(VLOOKUP(AZ890,OFFSET(abbreviation[],0,ColumnLanguage),ColumnAbbreviation,FALSE),"")</f>
        <v/>
      </c>
      <c r="CH890" s="21" t="str">
        <f ca="1">IFERROR(VLOOKUP(BB890,OFFSET(abbreviation[],0,ColumnLanguage),ColumnAbbreviation,FALSE),"")</f>
        <v/>
      </c>
      <c r="CI890" s="21" t="str">
        <f ca="1">IFERROR(VLOOKUP(BD890,OFFSET(abbreviation[],0,ColumnLanguage),ColumnAbbreviation,FALSE),"")</f>
        <v/>
      </c>
      <c r="CJ890" s="21" t="str">
        <f ca="1">IFERROR(VLOOKUP(BF890,OFFSET(abbreviation[],0,ColumnLanguage),ColumnAbbreviation,FALSE),"")</f>
        <v/>
      </c>
      <c r="CK890" s="21" t="str">
        <f t="shared" ca="1" si="95"/>
        <v/>
      </c>
      <c r="CL890" s="21" t="str">
        <f t="shared" si="96"/>
        <v/>
      </c>
      <c r="CM890" s="52"/>
      <c r="CN890" s="57" t="str">
        <f t="shared" si="97"/>
        <v/>
      </c>
    </row>
    <row r="891" spans="17:92" x14ac:dyDescent="0.25">
      <c r="Q891" s="13"/>
      <c r="AN891" s="54"/>
      <c r="AS891" s="15"/>
      <c r="BH891" s="52"/>
      <c r="BI891" s="21" t="str">
        <f ca="1">IFERROR(VLOOKUP(C891,OFFSET(abbreviation[],0,ColumnLanguage),ColumnAbbreviation,FALSE),"")</f>
        <v/>
      </c>
      <c r="BJ891" s="21" t="str">
        <f ca="1">IFERROR(VLOOKUP(E891,OFFSET(abbreviation[],0,ColumnLanguage),ColumnAbbreviation,FALSE),"")</f>
        <v/>
      </c>
      <c r="BK891" s="21" t="str">
        <f ca="1">IFERROR(VLOOKUP(G891,OFFSET(abbreviation[],0,ColumnLanguage),ColumnAbbreviation,FALSE),"")</f>
        <v/>
      </c>
      <c r="BL891" s="21" t="str">
        <f ca="1">IFERROR(VLOOKUP(I891,OFFSET(abbreviation[],0,ColumnLanguage),ColumnAbbreviation,FALSE),"")</f>
        <v/>
      </c>
      <c r="BM891" s="21" t="str">
        <f ca="1">IFERROR(VLOOKUP(K891,OFFSET(abbreviation[],0,ColumnLanguage),ColumnAbbreviation,FALSE),"")</f>
        <v/>
      </c>
      <c r="BN891" s="21" t="str">
        <f t="shared" ca="1" si="91"/>
        <v/>
      </c>
      <c r="BO891" s="21" t="str">
        <f ca="1">IFERROR(VLOOKUP(N891,OFFSET(abbreviation[],0,ColumnLanguage),ColumnAbbreviation,FALSE),"")</f>
        <v/>
      </c>
      <c r="BP891" s="21" t="str">
        <f ca="1">IFERROR(VLOOKUP(P891,OFFSET(abbreviation[],0,ColumnLanguage),ColumnAbbreviation,FALSE),"")</f>
        <v/>
      </c>
      <c r="BQ891" s="21" t="str">
        <f ca="1">IFERROR(VLOOKUP(T891,OFFSET(abbreviation[],0,ColumnLanguage),ColumnAbbreviation,FALSE),"")</f>
        <v/>
      </c>
      <c r="BR891" s="21" t="str">
        <f ca="1">IFERROR(VLOOKUP(V891,OFFSET(abbreviation[],0,ColumnLanguage),ColumnAbbreviation,FALSE),"")</f>
        <v/>
      </c>
      <c r="BS891" s="21" t="str">
        <f ca="1">IFERROR(VLOOKUP(Z891,OFFSET(abbreviation[],0,ColumnLanguage),ColumnAbbreviation,FALSE),"")</f>
        <v/>
      </c>
      <c r="BT891" s="21" t="str">
        <f ca="1">IFERROR(VLOOKUP(AB891,OFFSET(abbreviation[],0,ColumnLanguage),ColumnAbbreviation,FALSE),"")</f>
        <v/>
      </c>
      <c r="BU891" s="21" t="str">
        <f t="shared" ca="1" si="92"/>
        <v>__</v>
      </c>
      <c r="BV891" s="21" t="str">
        <f ca="1">IFERROR(VLOOKUP(AF891,OFFSET(abbreviation[],0,ColumnLanguage),ColumnAbbreviation,FALSE),"")</f>
        <v/>
      </c>
      <c r="BW891" s="21" t="str">
        <f ca="1">IFERROR(VLOOKUP(AH891,OFFSET(abbreviation[],0,ColumnLanguage),ColumnAbbreviation,FALSE),"")</f>
        <v/>
      </c>
      <c r="BX891" s="21" t="str">
        <f ca="1">IFERROR(VLOOKUP(AJ891,OFFSET(abbreviation[],0,ColumnLanguage),ColumnAbbreviation,FALSE),"")</f>
        <v/>
      </c>
      <c r="BY891" s="21" t="str">
        <f ca="1">IFERROR(VLOOKUP(AL891,OFFSET(abbreviation[],0,ColumnLanguage),ColumnAbbreviation,FALSE),"")</f>
        <v/>
      </c>
      <c r="BZ891" s="21" t="str">
        <f t="shared" ca="1" si="93"/>
        <v>_</v>
      </c>
      <c r="CA891" s="21" t="str">
        <f ca="1">IFERROR(VLOOKUP(AP891,OFFSET(abbreviation[],0,ColumnLanguage),ColumnAbbreviation,FALSE),"")</f>
        <v/>
      </c>
      <c r="CB891" s="21" t="str">
        <f ca="1">IFERROR(VLOOKUP(AR891,OFFSET(abbreviation[],0,ColumnLanguage),ColumnAbbreviation,FALSE),"")</f>
        <v/>
      </c>
      <c r="CC891" s="21" t="str">
        <f ca="1">IFERROR(VLOOKUP(AT891,OFFSET(abbreviation[],0,ColumnLanguage),ColumnAbbreviation,FALSE),"")</f>
        <v/>
      </c>
      <c r="CD891" s="21" t="str">
        <f ca="1">IFERROR(VLOOKUP(AV891,OFFSET(abbreviation[],0,ColumnLanguage),ColumnAbbreviation,FALSE),"")</f>
        <v/>
      </c>
      <c r="CE891" s="21" t="str">
        <f t="shared" ca="1" si="94"/>
        <v>__</v>
      </c>
      <c r="CF891" s="21" t="str">
        <f ca="1">IFERROR(VLOOKUP(AX891,OFFSET(abbreviation[],0,ColumnLanguage),ColumnAbbreviation,FALSE),"")</f>
        <v/>
      </c>
      <c r="CG891" s="21" t="str">
        <f ca="1">IFERROR(VLOOKUP(AZ891,OFFSET(abbreviation[],0,ColumnLanguage),ColumnAbbreviation,FALSE),"")</f>
        <v/>
      </c>
      <c r="CH891" s="21" t="str">
        <f ca="1">IFERROR(VLOOKUP(BB891,OFFSET(abbreviation[],0,ColumnLanguage),ColumnAbbreviation,FALSE),"")</f>
        <v/>
      </c>
      <c r="CI891" s="21" t="str">
        <f ca="1">IFERROR(VLOOKUP(BD891,OFFSET(abbreviation[],0,ColumnLanguage),ColumnAbbreviation,FALSE),"")</f>
        <v/>
      </c>
      <c r="CJ891" s="21" t="str">
        <f ca="1">IFERROR(VLOOKUP(BF891,OFFSET(abbreviation[],0,ColumnLanguage),ColumnAbbreviation,FALSE),"")</f>
        <v/>
      </c>
      <c r="CK891" s="21" t="str">
        <f t="shared" ca="1" si="95"/>
        <v/>
      </c>
      <c r="CL891" s="21" t="str">
        <f t="shared" si="96"/>
        <v/>
      </c>
      <c r="CM891" s="52"/>
      <c r="CN891" s="57" t="str">
        <f t="shared" si="97"/>
        <v/>
      </c>
    </row>
    <row r="892" spans="17:92" x14ac:dyDescent="0.25">
      <c r="Q892" s="13"/>
      <c r="AN892" s="54"/>
      <c r="AS892" s="15"/>
      <c r="BH892" s="52"/>
      <c r="BI892" s="21" t="str">
        <f ca="1">IFERROR(VLOOKUP(C892,OFFSET(abbreviation[],0,ColumnLanguage),ColumnAbbreviation,FALSE),"")</f>
        <v/>
      </c>
      <c r="BJ892" s="21" t="str">
        <f ca="1">IFERROR(VLOOKUP(E892,OFFSET(abbreviation[],0,ColumnLanguage),ColumnAbbreviation,FALSE),"")</f>
        <v/>
      </c>
      <c r="BK892" s="21" t="str">
        <f ca="1">IFERROR(VLOOKUP(G892,OFFSET(abbreviation[],0,ColumnLanguage),ColumnAbbreviation,FALSE),"")</f>
        <v/>
      </c>
      <c r="BL892" s="21" t="str">
        <f ca="1">IFERROR(VLOOKUP(I892,OFFSET(abbreviation[],0,ColumnLanguage),ColumnAbbreviation,FALSE),"")</f>
        <v/>
      </c>
      <c r="BM892" s="21" t="str">
        <f ca="1">IFERROR(VLOOKUP(K892,OFFSET(abbreviation[],0,ColumnLanguage),ColumnAbbreviation,FALSE),"")</f>
        <v/>
      </c>
      <c r="BN892" s="21" t="str">
        <f t="shared" ca="1" si="91"/>
        <v/>
      </c>
      <c r="BO892" s="21" t="str">
        <f ca="1">IFERROR(VLOOKUP(N892,OFFSET(abbreviation[],0,ColumnLanguage),ColumnAbbreviation,FALSE),"")</f>
        <v/>
      </c>
      <c r="BP892" s="21" t="str">
        <f ca="1">IFERROR(VLOOKUP(P892,OFFSET(abbreviation[],0,ColumnLanguage),ColumnAbbreviation,FALSE),"")</f>
        <v/>
      </c>
      <c r="BQ892" s="21" t="str">
        <f ca="1">IFERROR(VLOOKUP(T892,OFFSET(abbreviation[],0,ColumnLanguage),ColumnAbbreviation,FALSE),"")</f>
        <v/>
      </c>
      <c r="BR892" s="21" t="str">
        <f ca="1">IFERROR(VLOOKUP(V892,OFFSET(abbreviation[],0,ColumnLanguage),ColumnAbbreviation,FALSE),"")</f>
        <v/>
      </c>
      <c r="BS892" s="21" t="str">
        <f ca="1">IFERROR(VLOOKUP(Z892,OFFSET(abbreviation[],0,ColumnLanguage),ColumnAbbreviation,FALSE),"")</f>
        <v/>
      </c>
      <c r="BT892" s="21" t="str">
        <f ca="1">IFERROR(VLOOKUP(AB892,OFFSET(abbreviation[],0,ColumnLanguage),ColumnAbbreviation,FALSE),"")</f>
        <v/>
      </c>
      <c r="BU892" s="21" t="str">
        <f t="shared" ca="1" si="92"/>
        <v>__</v>
      </c>
      <c r="BV892" s="21" t="str">
        <f ca="1">IFERROR(VLOOKUP(AF892,OFFSET(abbreviation[],0,ColumnLanguage),ColumnAbbreviation,FALSE),"")</f>
        <v/>
      </c>
      <c r="BW892" s="21" t="str">
        <f ca="1">IFERROR(VLOOKUP(AH892,OFFSET(abbreviation[],0,ColumnLanguage),ColumnAbbreviation,FALSE),"")</f>
        <v/>
      </c>
      <c r="BX892" s="21" t="str">
        <f ca="1">IFERROR(VLOOKUP(AJ892,OFFSET(abbreviation[],0,ColumnLanguage),ColumnAbbreviation,FALSE),"")</f>
        <v/>
      </c>
      <c r="BY892" s="21" t="str">
        <f ca="1">IFERROR(VLOOKUP(AL892,OFFSET(abbreviation[],0,ColumnLanguage),ColumnAbbreviation,FALSE),"")</f>
        <v/>
      </c>
      <c r="BZ892" s="21" t="str">
        <f t="shared" ca="1" si="93"/>
        <v>_</v>
      </c>
      <c r="CA892" s="21" t="str">
        <f ca="1">IFERROR(VLOOKUP(AP892,OFFSET(abbreviation[],0,ColumnLanguage),ColumnAbbreviation,FALSE),"")</f>
        <v/>
      </c>
      <c r="CB892" s="21" t="str">
        <f ca="1">IFERROR(VLOOKUP(AR892,OFFSET(abbreviation[],0,ColumnLanguage),ColumnAbbreviation,FALSE),"")</f>
        <v/>
      </c>
      <c r="CC892" s="21" t="str">
        <f ca="1">IFERROR(VLOOKUP(AT892,OFFSET(abbreviation[],0,ColumnLanguage),ColumnAbbreviation,FALSE),"")</f>
        <v/>
      </c>
      <c r="CD892" s="21" t="str">
        <f ca="1">IFERROR(VLOOKUP(AV892,OFFSET(abbreviation[],0,ColumnLanguage),ColumnAbbreviation,FALSE),"")</f>
        <v/>
      </c>
      <c r="CE892" s="21" t="str">
        <f t="shared" ca="1" si="94"/>
        <v>__</v>
      </c>
      <c r="CF892" s="21" t="str">
        <f ca="1">IFERROR(VLOOKUP(AX892,OFFSET(abbreviation[],0,ColumnLanguage),ColumnAbbreviation,FALSE),"")</f>
        <v/>
      </c>
      <c r="CG892" s="21" t="str">
        <f ca="1">IFERROR(VLOOKUP(AZ892,OFFSET(abbreviation[],0,ColumnLanguage),ColumnAbbreviation,FALSE),"")</f>
        <v/>
      </c>
      <c r="CH892" s="21" t="str">
        <f ca="1">IFERROR(VLOOKUP(BB892,OFFSET(abbreviation[],0,ColumnLanguage),ColumnAbbreviation,FALSE),"")</f>
        <v/>
      </c>
      <c r="CI892" s="21" t="str">
        <f ca="1">IFERROR(VLOOKUP(BD892,OFFSET(abbreviation[],0,ColumnLanguage),ColumnAbbreviation,FALSE),"")</f>
        <v/>
      </c>
      <c r="CJ892" s="21" t="str">
        <f ca="1">IFERROR(VLOOKUP(BF892,OFFSET(abbreviation[],0,ColumnLanguage),ColumnAbbreviation,FALSE),"")</f>
        <v/>
      </c>
      <c r="CK892" s="21" t="str">
        <f t="shared" ca="1" si="95"/>
        <v/>
      </c>
      <c r="CL892" s="21" t="str">
        <f t="shared" si="96"/>
        <v/>
      </c>
      <c r="CM892" s="52"/>
      <c r="CN892" s="57" t="str">
        <f t="shared" si="97"/>
        <v/>
      </c>
    </row>
    <row r="893" spans="17:92" x14ac:dyDescent="0.25">
      <c r="Q893" s="13"/>
      <c r="AN893" s="54"/>
      <c r="AS893" s="15"/>
      <c r="BH893" s="52"/>
      <c r="BI893" s="21" t="str">
        <f ca="1">IFERROR(VLOOKUP(C893,OFFSET(abbreviation[],0,ColumnLanguage),ColumnAbbreviation,FALSE),"")</f>
        <v/>
      </c>
      <c r="BJ893" s="21" t="str">
        <f ca="1">IFERROR(VLOOKUP(E893,OFFSET(abbreviation[],0,ColumnLanguage),ColumnAbbreviation,FALSE),"")</f>
        <v/>
      </c>
      <c r="BK893" s="21" t="str">
        <f ca="1">IFERROR(VLOOKUP(G893,OFFSET(abbreviation[],0,ColumnLanguage),ColumnAbbreviation,FALSE),"")</f>
        <v/>
      </c>
      <c r="BL893" s="21" t="str">
        <f ca="1">IFERROR(VLOOKUP(I893,OFFSET(abbreviation[],0,ColumnLanguage),ColumnAbbreviation,FALSE),"")</f>
        <v/>
      </c>
      <c r="BM893" s="21" t="str">
        <f ca="1">IFERROR(VLOOKUP(K893,OFFSET(abbreviation[],0,ColumnLanguage),ColumnAbbreviation,FALSE),"")</f>
        <v/>
      </c>
      <c r="BN893" s="21" t="str">
        <f t="shared" ca="1" si="91"/>
        <v/>
      </c>
      <c r="BO893" s="21" t="str">
        <f ca="1">IFERROR(VLOOKUP(N893,OFFSET(abbreviation[],0,ColumnLanguage),ColumnAbbreviation,FALSE),"")</f>
        <v/>
      </c>
      <c r="BP893" s="21" t="str">
        <f ca="1">IFERROR(VLOOKUP(P893,OFFSET(abbreviation[],0,ColumnLanguage),ColumnAbbreviation,FALSE),"")</f>
        <v/>
      </c>
      <c r="BQ893" s="21" t="str">
        <f ca="1">IFERROR(VLOOKUP(T893,OFFSET(abbreviation[],0,ColumnLanguage),ColumnAbbreviation,FALSE),"")</f>
        <v/>
      </c>
      <c r="BR893" s="21" t="str">
        <f ca="1">IFERROR(VLOOKUP(V893,OFFSET(abbreviation[],0,ColumnLanguage),ColumnAbbreviation,FALSE),"")</f>
        <v/>
      </c>
      <c r="BS893" s="21" t="str">
        <f ca="1">IFERROR(VLOOKUP(Z893,OFFSET(abbreviation[],0,ColumnLanguage),ColumnAbbreviation,FALSE),"")</f>
        <v/>
      </c>
      <c r="BT893" s="21" t="str">
        <f ca="1">IFERROR(VLOOKUP(AB893,OFFSET(abbreviation[],0,ColumnLanguage),ColumnAbbreviation,FALSE),"")</f>
        <v/>
      </c>
      <c r="BU893" s="21" t="str">
        <f t="shared" ca="1" si="92"/>
        <v>__</v>
      </c>
      <c r="BV893" s="21" t="str">
        <f ca="1">IFERROR(VLOOKUP(AF893,OFFSET(abbreviation[],0,ColumnLanguage),ColumnAbbreviation,FALSE),"")</f>
        <v/>
      </c>
      <c r="BW893" s="21" t="str">
        <f ca="1">IFERROR(VLOOKUP(AH893,OFFSET(abbreviation[],0,ColumnLanguage),ColumnAbbreviation,FALSE),"")</f>
        <v/>
      </c>
      <c r="BX893" s="21" t="str">
        <f ca="1">IFERROR(VLOOKUP(AJ893,OFFSET(abbreviation[],0,ColumnLanguage),ColumnAbbreviation,FALSE),"")</f>
        <v/>
      </c>
      <c r="BY893" s="21" t="str">
        <f ca="1">IFERROR(VLOOKUP(AL893,OFFSET(abbreviation[],0,ColumnLanguage),ColumnAbbreviation,FALSE),"")</f>
        <v/>
      </c>
      <c r="BZ893" s="21" t="str">
        <f t="shared" ca="1" si="93"/>
        <v>_</v>
      </c>
      <c r="CA893" s="21" t="str">
        <f ca="1">IFERROR(VLOOKUP(AP893,OFFSET(abbreviation[],0,ColumnLanguage),ColumnAbbreviation,FALSE),"")</f>
        <v/>
      </c>
      <c r="CB893" s="21" t="str">
        <f ca="1">IFERROR(VLOOKUP(AR893,OFFSET(abbreviation[],0,ColumnLanguage),ColumnAbbreviation,FALSE),"")</f>
        <v/>
      </c>
      <c r="CC893" s="21" t="str">
        <f ca="1">IFERROR(VLOOKUP(AT893,OFFSET(abbreviation[],0,ColumnLanguage),ColumnAbbreviation,FALSE),"")</f>
        <v/>
      </c>
      <c r="CD893" s="21" t="str">
        <f ca="1">IFERROR(VLOOKUP(AV893,OFFSET(abbreviation[],0,ColumnLanguage),ColumnAbbreviation,FALSE),"")</f>
        <v/>
      </c>
      <c r="CE893" s="21" t="str">
        <f t="shared" ca="1" si="94"/>
        <v>__</v>
      </c>
      <c r="CF893" s="21" t="str">
        <f ca="1">IFERROR(VLOOKUP(AX893,OFFSET(abbreviation[],0,ColumnLanguage),ColumnAbbreviation,FALSE),"")</f>
        <v/>
      </c>
      <c r="CG893" s="21" t="str">
        <f ca="1">IFERROR(VLOOKUP(AZ893,OFFSET(abbreviation[],0,ColumnLanguage),ColumnAbbreviation,FALSE),"")</f>
        <v/>
      </c>
      <c r="CH893" s="21" t="str">
        <f ca="1">IFERROR(VLOOKUP(BB893,OFFSET(abbreviation[],0,ColumnLanguage),ColumnAbbreviation,FALSE),"")</f>
        <v/>
      </c>
      <c r="CI893" s="21" t="str">
        <f ca="1">IFERROR(VLOOKUP(BD893,OFFSET(abbreviation[],0,ColumnLanguage),ColumnAbbreviation,FALSE),"")</f>
        <v/>
      </c>
      <c r="CJ893" s="21" t="str">
        <f ca="1">IFERROR(VLOOKUP(BF893,OFFSET(abbreviation[],0,ColumnLanguage),ColumnAbbreviation,FALSE),"")</f>
        <v/>
      </c>
      <c r="CK893" s="21" t="str">
        <f t="shared" ca="1" si="95"/>
        <v/>
      </c>
      <c r="CL893" s="21" t="str">
        <f t="shared" si="96"/>
        <v/>
      </c>
      <c r="CM893" s="52"/>
      <c r="CN893" s="57" t="str">
        <f t="shared" si="97"/>
        <v/>
      </c>
    </row>
    <row r="894" spans="17:92" x14ac:dyDescent="0.25">
      <c r="Q894" s="13"/>
      <c r="AN894" s="54"/>
      <c r="AS894" s="15"/>
      <c r="BH894" s="52"/>
      <c r="BI894" s="21" t="str">
        <f ca="1">IFERROR(VLOOKUP(C894,OFFSET(abbreviation[],0,ColumnLanguage),ColumnAbbreviation,FALSE),"")</f>
        <v/>
      </c>
      <c r="BJ894" s="21" t="str">
        <f ca="1">IFERROR(VLOOKUP(E894,OFFSET(abbreviation[],0,ColumnLanguage),ColumnAbbreviation,FALSE),"")</f>
        <v/>
      </c>
      <c r="BK894" s="21" t="str">
        <f ca="1">IFERROR(VLOOKUP(G894,OFFSET(abbreviation[],0,ColumnLanguage),ColumnAbbreviation,FALSE),"")</f>
        <v/>
      </c>
      <c r="BL894" s="21" t="str">
        <f ca="1">IFERROR(VLOOKUP(I894,OFFSET(abbreviation[],0,ColumnLanguage),ColumnAbbreviation,FALSE),"")</f>
        <v/>
      </c>
      <c r="BM894" s="21" t="str">
        <f ca="1">IFERROR(VLOOKUP(K894,OFFSET(abbreviation[],0,ColumnLanguage),ColumnAbbreviation,FALSE),"")</f>
        <v/>
      </c>
      <c r="BN894" s="21" t="str">
        <f t="shared" ca="1" si="91"/>
        <v/>
      </c>
      <c r="BO894" s="21" t="str">
        <f ca="1">IFERROR(VLOOKUP(N894,OFFSET(abbreviation[],0,ColumnLanguage),ColumnAbbreviation,FALSE),"")</f>
        <v/>
      </c>
      <c r="BP894" s="21" t="str">
        <f ca="1">IFERROR(VLOOKUP(P894,OFFSET(abbreviation[],0,ColumnLanguage),ColumnAbbreviation,FALSE),"")</f>
        <v/>
      </c>
      <c r="BQ894" s="21" t="str">
        <f ca="1">IFERROR(VLOOKUP(T894,OFFSET(abbreviation[],0,ColumnLanguage),ColumnAbbreviation,FALSE),"")</f>
        <v/>
      </c>
      <c r="BR894" s="21" t="str">
        <f ca="1">IFERROR(VLOOKUP(V894,OFFSET(abbreviation[],0,ColumnLanguage),ColumnAbbreviation,FALSE),"")</f>
        <v/>
      </c>
      <c r="BS894" s="21" t="str">
        <f ca="1">IFERROR(VLOOKUP(Z894,OFFSET(abbreviation[],0,ColumnLanguage),ColumnAbbreviation,FALSE),"")</f>
        <v/>
      </c>
      <c r="BT894" s="21" t="str">
        <f ca="1">IFERROR(VLOOKUP(AB894,OFFSET(abbreviation[],0,ColumnLanguage),ColumnAbbreviation,FALSE),"")</f>
        <v/>
      </c>
      <c r="BU894" s="21" t="str">
        <f t="shared" ca="1" si="92"/>
        <v>__</v>
      </c>
      <c r="BV894" s="21" t="str">
        <f ca="1">IFERROR(VLOOKUP(AF894,OFFSET(abbreviation[],0,ColumnLanguage),ColumnAbbreviation,FALSE),"")</f>
        <v/>
      </c>
      <c r="BW894" s="21" t="str">
        <f ca="1">IFERROR(VLOOKUP(AH894,OFFSET(abbreviation[],0,ColumnLanguage),ColumnAbbreviation,FALSE),"")</f>
        <v/>
      </c>
      <c r="BX894" s="21" t="str">
        <f ca="1">IFERROR(VLOOKUP(AJ894,OFFSET(abbreviation[],0,ColumnLanguage),ColumnAbbreviation,FALSE),"")</f>
        <v/>
      </c>
      <c r="BY894" s="21" t="str">
        <f ca="1">IFERROR(VLOOKUP(AL894,OFFSET(abbreviation[],0,ColumnLanguage),ColumnAbbreviation,FALSE),"")</f>
        <v/>
      </c>
      <c r="BZ894" s="21" t="str">
        <f t="shared" ca="1" si="93"/>
        <v>_</v>
      </c>
      <c r="CA894" s="21" t="str">
        <f ca="1">IFERROR(VLOOKUP(AP894,OFFSET(abbreviation[],0,ColumnLanguage),ColumnAbbreviation,FALSE),"")</f>
        <v/>
      </c>
      <c r="CB894" s="21" t="str">
        <f ca="1">IFERROR(VLOOKUP(AR894,OFFSET(abbreviation[],0,ColumnLanguage),ColumnAbbreviation,FALSE),"")</f>
        <v/>
      </c>
      <c r="CC894" s="21" t="str">
        <f ca="1">IFERROR(VLOOKUP(AT894,OFFSET(abbreviation[],0,ColumnLanguage),ColumnAbbreviation,FALSE),"")</f>
        <v/>
      </c>
      <c r="CD894" s="21" t="str">
        <f ca="1">IFERROR(VLOOKUP(AV894,OFFSET(abbreviation[],0,ColumnLanguage),ColumnAbbreviation,FALSE),"")</f>
        <v/>
      </c>
      <c r="CE894" s="21" t="str">
        <f t="shared" ca="1" si="94"/>
        <v>__</v>
      </c>
      <c r="CF894" s="21" t="str">
        <f ca="1">IFERROR(VLOOKUP(AX894,OFFSET(abbreviation[],0,ColumnLanguage),ColumnAbbreviation,FALSE),"")</f>
        <v/>
      </c>
      <c r="CG894" s="21" t="str">
        <f ca="1">IFERROR(VLOOKUP(AZ894,OFFSET(abbreviation[],0,ColumnLanguage),ColumnAbbreviation,FALSE),"")</f>
        <v/>
      </c>
      <c r="CH894" s="21" t="str">
        <f ca="1">IFERROR(VLOOKUP(BB894,OFFSET(abbreviation[],0,ColumnLanguage),ColumnAbbreviation,FALSE),"")</f>
        <v/>
      </c>
      <c r="CI894" s="21" t="str">
        <f ca="1">IFERROR(VLOOKUP(BD894,OFFSET(abbreviation[],0,ColumnLanguage),ColumnAbbreviation,FALSE),"")</f>
        <v/>
      </c>
      <c r="CJ894" s="21" t="str">
        <f ca="1">IFERROR(VLOOKUP(BF894,OFFSET(abbreviation[],0,ColumnLanguage),ColumnAbbreviation,FALSE),"")</f>
        <v/>
      </c>
      <c r="CK894" s="21" t="str">
        <f t="shared" ca="1" si="95"/>
        <v/>
      </c>
      <c r="CL894" s="21" t="str">
        <f t="shared" si="96"/>
        <v/>
      </c>
      <c r="CM894" s="52"/>
      <c r="CN894" s="57" t="str">
        <f t="shared" si="97"/>
        <v/>
      </c>
    </row>
    <row r="895" spans="17:92" x14ac:dyDescent="0.25">
      <c r="Q895" s="13"/>
      <c r="AN895" s="54"/>
      <c r="AS895" s="15"/>
      <c r="BH895" s="52"/>
      <c r="BI895" s="21" t="str">
        <f ca="1">IFERROR(VLOOKUP(C895,OFFSET(abbreviation[],0,ColumnLanguage),ColumnAbbreviation,FALSE),"")</f>
        <v/>
      </c>
      <c r="BJ895" s="21" t="str">
        <f ca="1">IFERROR(VLOOKUP(E895,OFFSET(abbreviation[],0,ColumnLanguage),ColumnAbbreviation,FALSE),"")</f>
        <v/>
      </c>
      <c r="BK895" s="21" t="str">
        <f ca="1">IFERROR(VLOOKUP(G895,OFFSET(abbreviation[],0,ColumnLanguage),ColumnAbbreviation,FALSE),"")</f>
        <v/>
      </c>
      <c r="BL895" s="21" t="str">
        <f ca="1">IFERROR(VLOOKUP(I895,OFFSET(abbreviation[],0,ColumnLanguage),ColumnAbbreviation,FALSE),"")</f>
        <v/>
      </c>
      <c r="BM895" s="21" t="str">
        <f ca="1">IFERROR(VLOOKUP(K895,OFFSET(abbreviation[],0,ColumnLanguage),ColumnAbbreviation,FALSE),"")</f>
        <v/>
      </c>
      <c r="BN895" s="21" t="str">
        <f t="shared" ca="1" si="91"/>
        <v/>
      </c>
      <c r="BO895" s="21" t="str">
        <f ca="1">IFERROR(VLOOKUP(N895,OFFSET(abbreviation[],0,ColumnLanguage),ColumnAbbreviation,FALSE),"")</f>
        <v/>
      </c>
      <c r="BP895" s="21" t="str">
        <f ca="1">IFERROR(VLOOKUP(P895,OFFSET(abbreviation[],0,ColumnLanguage),ColumnAbbreviation,FALSE),"")</f>
        <v/>
      </c>
      <c r="BQ895" s="21" t="str">
        <f ca="1">IFERROR(VLOOKUP(T895,OFFSET(abbreviation[],0,ColumnLanguage),ColumnAbbreviation,FALSE),"")</f>
        <v/>
      </c>
      <c r="BR895" s="21" t="str">
        <f ca="1">IFERROR(VLOOKUP(V895,OFFSET(abbreviation[],0,ColumnLanguage),ColumnAbbreviation,FALSE),"")</f>
        <v/>
      </c>
      <c r="BS895" s="21" t="str">
        <f ca="1">IFERROR(VLOOKUP(Z895,OFFSET(abbreviation[],0,ColumnLanguage),ColumnAbbreviation,FALSE),"")</f>
        <v/>
      </c>
      <c r="BT895" s="21" t="str">
        <f ca="1">IFERROR(VLOOKUP(AB895,OFFSET(abbreviation[],0,ColumnLanguage),ColumnAbbreviation,FALSE),"")</f>
        <v/>
      </c>
      <c r="BU895" s="21" t="str">
        <f t="shared" ca="1" si="92"/>
        <v>__</v>
      </c>
      <c r="BV895" s="21" t="str">
        <f ca="1">IFERROR(VLOOKUP(AF895,OFFSET(abbreviation[],0,ColumnLanguage),ColumnAbbreviation,FALSE),"")</f>
        <v/>
      </c>
      <c r="BW895" s="21" t="str">
        <f ca="1">IFERROR(VLOOKUP(AH895,OFFSET(abbreviation[],0,ColumnLanguage),ColumnAbbreviation,FALSE),"")</f>
        <v/>
      </c>
      <c r="BX895" s="21" t="str">
        <f ca="1">IFERROR(VLOOKUP(AJ895,OFFSET(abbreviation[],0,ColumnLanguage),ColumnAbbreviation,FALSE),"")</f>
        <v/>
      </c>
      <c r="BY895" s="21" t="str">
        <f ca="1">IFERROR(VLOOKUP(AL895,OFFSET(abbreviation[],0,ColumnLanguage),ColumnAbbreviation,FALSE),"")</f>
        <v/>
      </c>
      <c r="BZ895" s="21" t="str">
        <f t="shared" ca="1" si="93"/>
        <v>_</v>
      </c>
      <c r="CA895" s="21" t="str">
        <f ca="1">IFERROR(VLOOKUP(AP895,OFFSET(abbreviation[],0,ColumnLanguage),ColumnAbbreviation,FALSE),"")</f>
        <v/>
      </c>
      <c r="CB895" s="21" t="str">
        <f ca="1">IFERROR(VLOOKUP(AR895,OFFSET(abbreviation[],0,ColumnLanguage),ColumnAbbreviation,FALSE),"")</f>
        <v/>
      </c>
      <c r="CC895" s="21" t="str">
        <f ca="1">IFERROR(VLOOKUP(AT895,OFFSET(abbreviation[],0,ColumnLanguage),ColumnAbbreviation,FALSE),"")</f>
        <v/>
      </c>
      <c r="CD895" s="21" t="str">
        <f ca="1">IFERROR(VLOOKUP(AV895,OFFSET(abbreviation[],0,ColumnLanguage),ColumnAbbreviation,FALSE),"")</f>
        <v/>
      </c>
      <c r="CE895" s="21" t="str">
        <f t="shared" ca="1" si="94"/>
        <v>__</v>
      </c>
      <c r="CF895" s="21" t="str">
        <f ca="1">IFERROR(VLOOKUP(AX895,OFFSET(abbreviation[],0,ColumnLanguage),ColumnAbbreviation,FALSE),"")</f>
        <v/>
      </c>
      <c r="CG895" s="21" t="str">
        <f ca="1">IFERROR(VLOOKUP(AZ895,OFFSET(abbreviation[],0,ColumnLanguage),ColumnAbbreviation,FALSE),"")</f>
        <v/>
      </c>
      <c r="CH895" s="21" t="str">
        <f ca="1">IFERROR(VLOOKUP(BB895,OFFSET(abbreviation[],0,ColumnLanguage),ColumnAbbreviation,FALSE),"")</f>
        <v/>
      </c>
      <c r="CI895" s="21" t="str">
        <f ca="1">IFERROR(VLOOKUP(BD895,OFFSET(abbreviation[],0,ColumnLanguage),ColumnAbbreviation,FALSE),"")</f>
        <v/>
      </c>
      <c r="CJ895" s="21" t="str">
        <f ca="1">IFERROR(VLOOKUP(BF895,OFFSET(abbreviation[],0,ColumnLanguage),ColumnAbbreviation,FALSE),"")</f>
        <v/>
      </c>
      <c r="CK895" s="21" t="str">
        <f t="shared" ca="1" si="95"/>
        <v/>
      </c>
      <c r="CL895" s="21" t="str">
        <f t="shared" si="96"/>
        <v/>
      </c>
      <c r="CM895" s="52"/>
      <c r="CN895" s="57" t="str">
        <f t="shared" si="97"/>
        <v/>
      </c>
    </row>
    <row r="896" spans="17:92" x14ac:dyDescent="0.25">
      <c r="Q896" s="13"/>
      <c r="AN896" s="54"/>
      <c r="AS896" s="15"/>
      <c r="BH896" s="52"/>
      <c r="BI896" s="21" t="str">
        <f ca="1">IFERROR(VLOOKUP(C896,OFFSET(abbreviation[],0,ColumnLanguage),ColumnAbbreviation,FALSE),"")</f>
        <v/>
      </c>
      <c r="BJ896" s="21" t="str">
        <f ca="1">IFERROR(VLOOKUP(E896,OFFSET(abbreviation[],0,ColumnLanguage),ColumnAbbreviation,FALSE),"")</f>
        <v/>
      </c>
      <c r="BK896" s="21" t="str">
        <f ca="1">IFERROR(VLOOKUP(G896,OFFSET(abbreviation[],0,ColumnLanguage),ColumnAbbreviation,FALSE),"")</f>
        <v/>
      </c>
      <c r="BL896" s="21" t="str">
        <f ca="1">IFERROR(VLOOKUP(I896,OFFSET(abbreviation[],0,ColumnLanguage),ColumnAbbreviation,FALSE),"")</f>
        <v/>
      </c>
      <c r="BM896" s="21" t="str">
        <f ca="1">IFERROR(VLOOKUP(K896,OFFSET(abbreviation[],0,ColumnLanguage),ColumnAbbreviation,FALSE),"")</f>
        <v/>
      </c>
      <c r="BN896" s="21" t="str">
        <f t="shared" ca="1" si="91"/>
        <v/>
      </c>
      <c r="BO896" s="21" t="str">
        <f ca="1">IFERROR(VLOOKUP(N896,OFFSET(abbreviation[],0,ColumnLanguage),ColumnAbbreviation,FALSE),"")</f>
        <v/>
      </c>
      <c r="BP896" s="21" t="str">
        <f ca="1">IFERROR(VLOOKUP(P896,OFFSET(abbreviation[],0,ColumnLanguage),ColumnAbbreviation,FALSE),"")</f>
        <v/>
      </c>
      <c r="BQ896" s="21" t="str">
        <f ca="1">IFERROR(VLOOKUP(T896,OFFSET(abbreviation[],0,ColumnLanguage),ColumnAbbreviation,FALSE),"")</f>
        <v/>
      </c>
      <c r="BR896" s="21" t="str">
        <f ca="1">IFERROR(VLOOKUP(V896,OFFSET(abbreviation[],0,ColumnLanguage),ColumnAbbreviation,FALSE),"")</f>
        <v/>
      </c>
      <c r="BS896" s="21" t="str">
        <f ca="1">IFERROR(VLOOKUP(Z896,OFFSET(abbreviation[],0,ColumnLanguage),ColumnAbbreviation,FALSE),"")</f>
        <v/>
      </c>
      <c r="BT896" s="21" t="str">
        <f ca="1">IFERROR(VLOOKUP(AB896,OFFSET(abbreviation[],0,ColumnLanguage),ColumnAbbreviation,FALSE),"")</f>
        <v/>
      </c>
      <c r="BU896" s="21" t="str">
        <f t="shared" ca="1" si="92"/>
        <v>__</v>
      </c>
      <c r="BV896" s="21" t="str">
        <f ca="1">IFERROR(VLOOKUP(AF896,OFFSET(abbreviation[],0,ColumnLanguage),ColumnAbbreviation,FALSE),"")</f>
        <v/>
      </c>
      <c r="BW896" s="21" t="str">
        <f ca="1">IFERROR(VLOOKUP(AH896,OFFSET(abbreviation[],0,ColumnLanguage),ColumnAbbreviation,FALSE),"")</f>
        <v/>
      </c>
      <c r="BX896" s="21" t="str">
        <f ca="1">IFERROR(VLOOKUP(AJ896,OFFSET(abbreviation[],0,ColumnLanguage),ColumnAbbreviation,FALSE),"")</f>
        <v/>
      </c>
      <c r="BY896" s="21" t="str">
        <f ca="1">IFERROR(VLOOKUP(AL896,OFFSET(abbreviation[],0,ColumnLanguage),ColumnAbbreviation,FALSE),"")</f>
        <v/>
      </c>
      <c r="BZ896" s="21" t="str">
        <f t="shared" ca="1" si="93"/>
        <v>_</v>
      </c>
      <c r="CA896" s="21" t="str">
        <f ca="1">IFERROR(VLOOKUP(AP896,OFFSET(abbreviation[],0,ColumnLanguage),ColumnAbbreviation,FALSE),"")</f>
        <v/>
      </c>
      <c r="CB896" s="21" t="str">
        <f ca="1">IFERROR(VLOOKUP(AR896,OFFSET(abbreviation[],0,ColumnLanguage),ColumnAbbreviation,FALSE),"")</f>
        <v/>
      </c>
      <c r="CC896" s="21" t="str">
        <f ca="1">IFERROR(VLOOKUP(AT896,OFFSET(abbreviation[],0,ColumnLanguage),ColumnAbbreviation,FALSE),"")</f>
        <v/>
      </c>
      <c r="CD896" s="21" t="str">
        <f ca="1">IFERROR(VLOOKUP(AV896,OFFSET(abbreviation[],0,ColumnLanguage),ColumnAbbreviation,FALSE),"")</f>
        <v/>
      </c>
      <c r="CE896" s="21" t="str">
        <f t="shared" ca="1" si="94"/>
        <v>__</v>
      </c>
      <c r="CF896" s="21" t="str">
        <f ca="1">IFERROR(VLOOKUP(AX896,OFFSET(abbreviation[],0,ColumnLanguage),ColumnAbbreviation,FALSE),"")</f>
        <v/>
      </c>
      <c r="CG896" s="21" t="str">
        <f ca="1">IFERROR(VLOOKUP(AZ896,OFFSET(abbreviation[],0,ColumnLanguage),ColumnAbbreviation,FALSE),"")</f>
        <v/>
      </c>
      <c r="CH896" s="21" t="str">
        <f ca="1">IFERROR(VLOOKUP(BB896,OFFSET(abbreviation[],0,ColumnLanguage),ColumnAbbreviation,FALSE),"")</f>
        <v/>
      </c>
      <c r="CI896" s="21" t="str">
        <f ca="1">IFERROR(VLOOKUP(BD896,OFFSET(abbreviation[],0,ColumnLanguage),ColumnAbbreviation,FALSE),"")</f>
        <v/>
      </c>
      <c r="CJ896" s="21" t="str">
        <f ca="1">IFERROR(VLOOKUP(BF896,OFFSET(abbreviation[],0,ColumnLanguage),ColumnAbbreviation,FALSE),"")</f>
        <v/>
      </c>
      <c r="CK896" s="21" t="str">
        <f t="shared" ca="1" si="95"/>
        <v/>
      </c>
      <c r="CL896" s="21" t="str">
        <f t="shared" si="96"/>
        <v/>
      </c>
      <c r="CM896" s="52"/>
      <c r="CN896" s="57" t="str">
        <f t="shared" si="97"/>
        <v/>
      </c>
    </row>
    <row r="897" spans="17:92" x14ac:dyDescent="0.25">
      <c r="Q897" s="13"/>
      <c r="AN897" s="54"/>
      <c r="AS897" s="15"/>
      <c r="BH897" s="52"/>
      <c r="BI897" s="21" t="str">
        <f ca="1">IFERROR(VLOOKUP(C897,OFFSET(abbreviation[],0,ColumnLanguage),ColumnAbbreviation,FALSE),"")</f>
        <v/>
      </c>
      <c r="BJ897" s="21" t="str">
        <f ca="1">IFERROR(VLOOKUP(E897,OFFSET(abbreviation[],0,ColumnLanguage),ColumnAbbreviation,FALSE),"")</f>
        <v/>
      </c>
      <c r="BK897" s="21" t="str">
        <f ca="1">IFERROR(VLOOKUP(G897,OFFSET(abbreviation[],0,ColumnLanguage),ColumnAbbreviation,FALSE),"")</f>
        <v/>
      </c>
      <c r="BL897" s="21" t="str">
        <f ca="1">IFERROR(VLOOKUP(I897,OFFSET(abbreviation[],0,ColumnLanguage),ColumnAbbreviation,FALSE),"")</f>
        <v/>
      </c>
      <c r="BM897" s="21" t="str">
        <f ca="1">IFERROR(VLOOKUP(K897,OFFSET(abbreviation[],0,ColumnLanguage),ColumnAbbreviation,FALSE),"")</f>
        <v/>
      </c>
      <c r="BN897" s="21" t="str">
        <f t="shared" ca="1" si="91"/>
        <v/>
      </c>
      <c r="BO897" s="21" t="str">
        <f ca="1">IFERROR(VLOOKUP(N897,OFFSET(abbreviation[],0,ColumnLanguage),ColumnAbbreviation,FALSE),"")</f>
        <v/>
      </c>
      <c r="BP897" s="21" t="str">
        <f ca="1">IFERROR(VLOOKUP(P897,OFFSET(abbreviation[],0,ColumnLanguage),ColumnAbbreviation,FALSE),"")</f>
        <v/>
      </c>
      <c r="BQ897" s="21" t="str">
        <f ca="1">IFERROR(VLOOKUP(T897,OFFSET(abbreviation[],0,ColumnLanguage),ColumnAbbreviation,FALSE),"")</f>
        <v/>
      </c>
      <c r="BR897" s="21" t="str">
        <f ca="1">IFERROR(VLOOKUP(V897,OFFSET(abbreviation[],0,ColumnLanguage),ColumnAbbreviation,FALSE),"")</f>
        <v/>
      </c>
      <c r="BS897" s="21" t="str">
        <f ca="1">IFERROR(VLOOKUP(Z897,OFFSET(abbreviation[],0,ColumnLanguage),ColumnAbbreviation,FALSE),"")</f>
        <v/>
      </c>
      <c r="BT897" s="21" t="str">
        <f ca="1">IFERROR(VLOOKUP(AB897,OFFSET(abbreviation[],0,ColumnLanguage),ColumnAbbreviation,FALSE),"")</f>
        <v/>
      </c>
      <c r="BU897" s="21" t="str">
        <f t="shared" ca="1" si="92"/>
        <v>__</v>
      </c>
      <c r="BV897" s="21" t="str">
        <f ca="1">IFERROR(VLOOKUP(AF897,OFFSET(abbreviation[],0,ColumnLanguage),ColumnAbbreviation,FALSE),"")</f>
        <v/>
      </c>
      <c r="BW897" s="21" t="str">
        <f ca="1">IFERROR(VLOOKUP(AH897,OFFSET(abbreviation[],0,ColumnLanguage),ColumnAbbreviation,FALSE),"")</f>
        <v/>
      </c>
      <c r="BX897" s="21" t="str">
        <f ca="1">IFERROR(VLOOKUP(AJ897,OFFSET(abbreviation[],0,ColumnLanguage),ColumnAbbreviation,FALSE),"")</f>
        <v/>
      </c>
      <c r="BY897" s="21" t="str">
        <f ca="1">IFERROR(VLOOKUP(AL897,OFFSET(abbreviation[],0,ColumnLanguage),ColumnAbbreviation,FALSE),"")</f>
        <v/>
      </c>
      <c r="BZ897" s="21" t="str">
        <f t="shared" ca="1" si="93"/>
        <v>_</v>
      </c>
      <c r="CA897" s="21" t="str">
        <f ca="1">IFERROR(VLOOKUP(AP897,OFFSET(abbreviation[],0,ColumnLanguage),ColumnAbbreviation,FALSE),"")</f>
        <v/>
      </c>
      <c r="CB897" s="21" t="str">
        <f ca="1">IFERROR(VLOOKUP(AR897,OFFSET(abbreviation[],0,ColumnLanguage),ColumnAbbreviation,FALSE),"")</f>
        <v/>
      </c>
      <c r="CC897" s="21" t="str">
        <f ca="1">IFERROR(VLOOKUP(AT897,OFFSET(abbreviation[],0,ColumnLanguage),ColumnAbbreviation,FALSE),"")</f>
        <v/>
      </c>
      <c r="CD897" s="21" t="str">
        <f ca="1">IFERROR(VLOOKUP(AV897,OFFSET(abbreviation[],0,ColumnLanguage),ColumnAbbreviation,FALSE),"")</f>
        <v/>
      </c>
      <c r="CE897" s="21" t="str">
        <f t="shared" ca="1" si="94"/>
        <v>__</v>
      </c>
      <c r="CF897" s="21" t="str">
        <f ca="1">IFERROR(VLOOKUP(AX897,OFFSET(abbreviation[],0,ColumnLanguage),ColumnAbbreviation,FALSE),"")</f>
        <v/>
      </c>
      <c r="CG897" s="21" t="str">
        <f ca="1">IFERROR(VLOOKUP(AZ897,OFFSET(abbreviation[],0,ColumnLanguage),ColumnAbbreviation,FALSE),"")</f>
        <v/>
      </c>
      <c r="CH897" s="21" t="str">
        <f ca="1">IFERROR(VLOOKUP(BB897,OFFSET(abbreviation[],0,ColumnLanguage),ColumnAbbreviation,FALSE),"")</f>
        <v/>
      </c>
      <c r="CI897" s="21" t="str">
        <f ca="1">IFERROR(VLOOKUP(BD897,OFFSET(abbreviation[],0,ColumnLanguage),ColumnAbbreviation,FALSE),"")</f>
        <v/>
      </c>
      <c r="CJ897" s="21" t="str">
        <f ca="1">IFERROR(VLOOKUP(BF897,OFFSET(abbreviation[],0,ColumnLanguage),ColumnAbbreviation,FALSE),"")</f>
        <v/>
      </c>
      <c r="CK897" s="21" t="str">
        <f t="shared" ca="1" si="95"/>
        <v/>
      </c>
      <c r="CL897" s="21" t="str">
        <f t="shared" si="96"/>
        <v/>
      </c>
      <c r="CM897" s="52"/>
      <c r="CN897" s="57" t="str">
        <f t="shared" si="97"/>
        <v/>
      </c>
    </row>
    <row r="898" spans="17:92" x14ac:dyDescent="0.25">
      <c r="Q898" s="13"/>
      <c r="AN898" s="54"/>
      <c r="AS898" s="15"/>
      <c r="BH898" s="52"/>
      <c r="BI898" s="21" t="str">
        <f ca="1">IFERROR(VLOOKUP(C898,OFFSET(abbreviation[],0,ColumnLanguage),ColumnAbbreviation,FALSE),"")</f>
        <v/>
      </c>
      <c r="BJ898" s="21" t="str">
        <f ca="1">IFERROR(VLOOKUP(E898,OFFSET(abbreviation[],0,ColumnLanguage),ColumnAbbreviation,FALSE),"")</f>
        <v/>
      </c>
      <c r="BK898" s="21" t="str">
        <f ca="1">IFERROR(VLOOKUP(G898,OFFSET(abbreviation[],0,ColumnLanguage),ColumnAbbreviation,FALSE),"")</f>
        <v/>
      </c>
      <c r="BL898" s="21" t="str">
        <f ca="1">IFERROR(VLOOKUP(I898,OFFSET(abbreviation[],0,ColumnLanguage),ColumnAbbreviation,FALSE),"")</f>
        <v/>
      </c>
      <c r="BM898" s="21" t="str">
        <f ca="1">IFERROR(VLOOKUP(K898,OFFSET(abbreviation[],0,ColumnLanguage),ColumnAbbreviation,FALSE),"")</f>
        <v/>
      </c>
      <c r="BN898" s="21" t="str">
        <f t="shared" ca="1" si="91"/>
        <v/>
      </c>
      <c r="BO898" s="21" t="str">
        <f ca="1">IFERROR(VLOOKUP(N898,OFFSET(abbreviation[],0,ColumnLanguage),ColumnAbbreviation,FALSE),"")</f>
        <v/>
      </c>
      <c r="BP898" s="21" t="str">
        <f ca="1">IFERROR(VLOOKUP(P898,OFFSET(abbreviation[],0,ColumnLanguage),ColumnAbbreviation,FALSE),"")</f>
        <v/>
      </c>
      <c r="BQ898" s="21" t="str">
        <f ca="1">IFERROR(VLOOKUP(T898,OFFSET(abbreviation[],0,ColumnLanguage),ColumnAbbreviation,FALSE),"")</f>
        <v/>
      </c>
      <c r="BR898" s="21" t="str">
        <f ca="1">IFERROR(VLOOKUP(V898,OFFSET(abbreviation[],0,ColumnLanguage),ColumnAbbreviation,FALSE),"")</f>
        <v/>
      </c>
      <c r="BS898" s="21" t="str">
        <f ca="1">IFERROR(VLOOKUP(Z898,OFFSET(abbreviation[],0,ColumnLanguage),ColumnAbbreviation,FALSE),"")</f>
        <v/>
      </c>
      <c r="BT898" s="21" t="str">
        <f ca="1">IFERROR(VLOOKUP(AB898,OFFSET(abbreviation[],0,ColumnLanguage),ColumnAbbreviation,FALSE),"")</f>
        <v/>
      </c>
      <c r="BU898" s="21" t="str">
        <f t="shared" ca="1" si="92"/>
        <v>__</v>
      </c>
      <c r="BV898" s="21" t="str">
        <f ca="1">IFERROR(VLOOKUP(AF898,OFFSET(abbreviation[],0,ColumnLanguage),ColumnAbbreviation,FALSE),"")</f>
        <v/>
      </c>
      <c r="BW898" s="21" t="str">
        <f ca="1">IFERROR(VLOOKUP(AH898,OFFSET(abbreviation[],0,ColumnLanguage),ColumnAbbreviation,FALSE),"")</f>
        <v/>
      </c>
      <c r="BX898" s="21" t="str">
        <f ca="1">IFERROR(VLOOKUP(AJ898,OFFSET(abbreviation[],0,ColumnLanguage),ColumnAbbreviation,FALSE),"")</f>
        <v/>
      </c>
      <c r="BY898" s="21" t="str">
        <f ca="1">IFERROR(VLOOKUP(AL898,OFFSET(abbreviation[],0,ColumnLanguage),ColumnAbbreviation,FALSE),"")</f>
        <v/>
      </c>
      <c r="BZ898" s="21" t="str">
        <f t="shared" ca="1" si="93"/>
        <v>_</v>
      </c>
      <c r="CA898" s="21" t="str">
        <f ca="1">IFERROR(VLOOKUP(AP898,OFFSET(abbreviation[],0,ColumnLanguage),ColumnAbbreviation,FALSE),"")</f>
        <v/>
      </c>
      <c r="CB898" s="21" t="str">
        <f ca="1">IFERROR(VLOOKUP(AR898,OFFSET(abbreviation[],0,ColumnLanguage),ColumnAbbreviation,FALSE),"")</f>
        <v/>
      </c>
      <c r="CC898" s="21" t="str">
        <f ca="1">IFERROR(VLOOKUP(AT898,OFFSET(abbreviation[],0,ColumnLanguage),ColumnAbbreviation,FALSE),"")</f>
        <v/>
      </c>
      <c r="CD898" s="21" t="str">
        <f ca="1">IFERROR(VLOOKUP(AV898,OFFSET(abbreviation[],0,ColumnLanguage),ColumnAbbreviation,FALSE),"")</f>
        <v/>
      </c>
      <c r="CE898" s="21" t="str">
        <f t="shared" ca="1" si="94"/>
        <v>__</v>
      </c>
      <c r="CF898" s="21" t="str">
        <f ca="1">IFERROR(VLOOKUP(AX898,OFFSET(abbreviation[],0,ColumnLanguage),ColumnAbbreviation,FALSE),"")</f>
        <v/>
      </c>
      <c r="CG898" s="21" t="str">
        <f ca="1">IFERROR(VLOOKUP(AZ898,OFFSET(abbreviation[],0,ColumnLanguage),ColumnAbbreviation,FALSE),"")</f>
        <v/>
      </c>
      <c r="CH898" s="21" t="str">
        <f ca="1">IFERROR(VLOOKUP(BB898,OFFSET(abbreviation[],0,ColumnLanguage),ColumnAbbreviation,FALSE),"")</f>
        <v/>
      </c>
      <c r="CI898" s="21" t="str">
        <f ca="1">IFERROR(VLOOKUP(BD898,OFFSET(abbreviation[],0,ColumnLanguage),ColumnAbbreviation,FALSE),"")</f>
        <v/>
      </c>
      <c r="CJ898" s="21" t="str">
        <f ca="1">IFERROR(VLOOKUP(BF898,OFFSET(abbreviation[],0,ColumnLanguage),ColumnAbbreviation,FALSE),"")</f>
        <v/>
      </c>
      <c r="CK898" s="21" t="str">
        <f t="shared" ca="1" si="95"/>
        <v/>
      </c>
      <c r="CL898" s="21" t="str">
        <f t="shared" si="96"/>
        <v/>
      </c>
      <c r="CM898" s="52"/>
      <c r="CN898" s="57" t="str">
        <f t="shared" si="97"/>
        <v/>
      </c>
    </row>
    <row r="899" spans="17:92" x14ac:dyDescent="0.25">
      <c r="Q899" s="13"/>
      <c r="AN899" s="54"/>
      <c r="AS899" s="15"/>
      <c r="BH899" s="52"/>
      <c r="BI899" s="21" t="str">
        <f ca="1">IFERROR(VLOOKUP(C899,OFFSET(abbreviation[],0,ColumnLanguage),ColumnAbbreviation,FALSE),"")</f>
        <v/>
      </c>
      <c r="BJ899" s="21" t="str">
        <f ca="1">IFERROR(VLOOKUP(E899,OFFSET(abbreviation[],0,ColumnLanguage),ColumnAbbreviation,FALSE),"")</f>
        <v/>
      </c>
      <c r="BK899" s="21" t="str">
        <f ca="1">IFERROR(VLOOKUP(G899,OFFSET(abbreviation[],0,ColumnLanguage),ColumnAbbreviation,FALSE),"")</f>
        <v/>
      </c>
      <c r="BL899" s="21" t="str">
        <f ca="1">IFERROR(VLOOKUP(I899,OFFSET(abbreviation[],0,ColumnLanguage),ColumnAbbreviation,FALSE),"")</f>
        <v/>
      </c>
      <c r="BM899" s="21" t="str">
        <f ca="1">IFERROR(VLOOKUP(K899,OFFSET(abbreviation[],0,ColumnLanguage),ColumnAbbreviation,FALSE),"")</f>
        <v/>
      </c>
      <c r="BN899" s="21" t="str">
        <f t="shared" ca="1" si="91"/>
        <v/>
      </c>
      <c r="BO899" s="21" t="str">
        <f ca="1">IFERROR(VLOOKUP(N899,OFFSET(abbreviation[],0,ColumnLanguage),ColumnAbbreviation,FALSE),"")</f>
        <v/>
      </c>
      <c r="BP899" s="21" t="str">
        <f ca="1">IFERROR(VLOOKUP(P899,OFFSET(abbreviation[],0,ColumnLanguage),ColumnAbbreviation,FALSE),"")</f>
        <v/>
      </c>
      <c r="BQ899" s="21" t="str">
        <f ca="1">IFERROR(VLOOKUP(T899,OFFSET(abbreviation[],0,ColumnLanguage),ColumnAbbreviation,FALSE),"")</f>
        <v/>
      </c>
      <c r="BR899" s="21" t="str">
        <f ca="1">IFERROR(VLOOKUP(V899,OFFSET(abbreviation[],0,ColumnLanguage),ColumnAbbreviation,FALSE),"")</f>
        <v/>
      </c>
      <c r="BS899" s="21" t="str">
        <f ca="1">IFERROR(VLOOKUP(Z899,OFFSET(abbreviation[],0,ColumnLanguage),ColumnAbbreviation,FALSE),"")</f>
        <v/>
      </c>
      <c r="BT899" s="21" t="str">
        <f ca="1">IFERROR(VLOOKUP(AB899,OFFSET(abbreviation[],0,ColumnLanguage),ColumnAbbreviation,FALSE),"")</f>
        <v/>
      </c>
      <c r="BU899" s="21" t="str">
        <f t="shared" ca="1" si="92"/>
        <v>__</v>
      </c>
      <c r="BV899" s="21" t="str">
        <f ca="1">IFERROR(VLOOKUP(AF899,OFFSET(abbreviation[],0,ColumnLanguage),ColumnAbbreviation,FALSE),"")</f>
        <v/>
      </c>
      <c r="BW899" s="21" t="str">
        <f ca="1">IFERROR(VLOOKUP(AH899,OFFSET(abbreviation[],0,ColumnLanguage),ColumnAbbreviation,FALSE),"")</f>
        <v/>
      </c>
      <c r="BX899" s="21" t="str">
        <f ca="1">IFERROR(VLOOKUP(AJ899,OFFSET(abbreviation[],0,ColumnLanguage),ColumnAbbreviation,FALSE),"")</f>
        <v/>
      </c>
      <c r="BY899" s="21" t="str">
        <f ca="1">IFERROR(VLOOKUP(AL899,OFFSET(abbreviation[],0,ColumnLanguage),ColumnAbbreviation,FALSE),"")</f>
        <v/>
      </c>
      <c r="BZ899" s="21" t="str">
        <f t="shared" ca="1" si="93"/>
        <v>_</v>
      </c>
      <c r="CA899" s="21" t="str">
        <f ca="1">IFERROR(VLOOKUP(AP899,OFFSET(abbreviation[],0,ColumnLanguage),ColumnAbbreviation,FALSE),"")</f>
        <v/>
      </c>
      <c r="CB899" s="21" t="str">
        <f ca="1">IFERROR(VLOOKUP(AR899,OFFSET(abbreviation[],0,ColumnLanguage),ColumnAbbreviation,FALSE),"")</f>
        <v/>
      </c>
      <c r="CC899" s="21" t="str">
        <f ca="1">IFERROR(VLOOKUP(AT899,OFFSET(abbreviation[],0,ColumnLanguage),ColumnAbbreviation,FALSE),"")</f>
        <v/>
      </c>
      <c r="CD899" s="21" t="str">
        <f ca="1">IFERROR(VLOOKUP(AV899,OFFSET(abbreviation[],0,ColumnLanguage),ColumnAbbreviation,FALSE),"")</f>
        <v/>
      </c>
      <c r="CE899" s="21" t="str">
        <f t="shared" ca="1" si="94"/>
        <v>__</v>
      </c>
      <c r="CF899" s="21" t="str">
        <f ca="1">IFERROR(VLOOKUP(AX899,OFFSET(abbreviation[],0,ColumnLanguage),ColumnAbbreviation,FALSE),"")</f>
        <v/>
      </c>
      <c r="CG899" s="21" t="str">
        <f ca="1">IFERROR(VLOOKUP(AZ899,OFFSET(abbreviation[],0,ColumnLanguage),ColumnAbbreviation,FALSE),"")</f>
        <v/>
      </c>
      <c r="CH899" s="21" t="str">
        <f ca="1">IFERROR(VLOOKUP(BB899,OFFSET(abbreviation[],0,ColumnLanguage),ColumnAbbreviation,FALSE),"")</f>
        <v/>
      </c>
      <c r="CI899" s="21" t="str">
        <f ca="1">IFERROR(VLOOKUP(BD899,OFFSET(abbreviation[],0,ColumnLanguage),ColumnAbbreviation,FALSE),"")</f>
        <v/>
      </c>
      <c r="CJ899" s="21" t="str">
        <f ca="1">IFERROR(VLOOKUP(BF899,OFFSET(abbreviation[],0,ColumnLanguage),ColumnAbbreviation,FALSE),"")</f>
        <v/>
      </c>
      <c r="CK899" s="21" t="str">
        <f t="shared" ca="1" si="95"/>
        <v/>
      </c>
      <c r="CL899" s="21" t="str">
        <f t="shared" si="96"/>
        <v/>
      </c>
      <c r="CM899" s="52"/>
      <c r="CN899" s="57" t="str">
        <f t="shared" si="97"/>
        <v/>
      </c>
    </row>
    <row r="900" spans="17:92" x14ac:dyDescent="0.25">
      <c r="Q900" s="13"/>
      <c r="AN900" s="54"/>
      <c r="AS900" s="15"/>
      <c r="BH900" s="52"/>
      <c r="BI900" s="21" t="str">
        <f ca="1">IFERROR(VLOOKUP(C900,OFFSET(abbreviation[],0,ColumnLanguage),ColumnAbbreviation,FALSE),"")</f>
        <v/>
      </c>
      <c r="BJ900" s="21" t="str">
        <f ca="1">IFERROR(VLOOKUP(E900,OFFSET(abbreviation[],0,ColumnLanguage),ColumnAbbreviation,FALSE),"")</f>
        <v/>
      </c>
      <c r="BK900" s="21" t="str">
        <f ca="1">IFERROR(VLOOKUP(G900,OFFSET(abbreviation[],0,ColumnLanguage),ColumnAbbreviation,FALSE),"")</f>
        <v/>
      </c>
      <c r="BL900" s="21" t="str">
        <f ca="1">IFERROR(VLOOKUP(I900,OFFSET(abbreviation[],0,ColumnLanguage),ColumnAbbreviation,FALSE),"")</f>
        <v/>
      </c>
      <c r="BM900" s="21" t="str">
        <f ca="1">IFERROR(VLOOKUP(K900,OFFSET(abbreviation[],0,ColumnLanguage),ColumnAbbreviation,FALSE),"")</f>
        <v/>
      </c>
      <c r="BN900" s="21" t="str">
        <f t="shared" ref="BN900:BN963" ca="1" si="98">(BI900&amp;IF(OR(ISNUMBER(D900),ISTEXT(D900)),"-"&amp;D900,))&amp;(IF(ISTEXT(E900),"_",)&amp;BJ900&amp;IF(OR(ISNUMBER(F900),ISTEXT(F900)),"-"&amp;F900,))&amp;(IF(ISTEXT(G900),"_",)&amp;BK900&amp;IF(OR(ISNUMBER(H900),ISTEXT(H900)),"-"&amp;H900,))&amp;(IF(ISTEXT(I900),"_",)&amp;BL900&amp;IF(OR(ISNUMBER(J900),ISTEXT(J900)),"-"&amp;J900,))&amp;(IF(ISTEXT(K900),"_",)&amp;BM900&amp;IF(OR(ISNUMBER(L900),ISTEXT(L900)),"-"&amp;L900,)&amp;IF(AND(ISTEXT(BI900),BI900&lt;&gt;""),"_._",))</f>
        <v/>
      </c>
      <c r="BO900" s="21" t="str">
        <f ca="1">IFERROR(VLOOKUP(N900,OFFSET(abbreviation[],0,ColumnLanguage),ColumnAbbreviation,FALSE),"")</f>
        <v/>
      </c>
      <c r="BP900" s="21" t="str">
        <f ca="1">IFERROR(VLOOKUP(P900,OFFSET(abbreviation[],0,ColumnLanguage),ColumnAbbreviation,FALSE),"")</f>
        <v/>
      </c>
      <c r="BQ900" s="21" t="str">
        <f ca="1">IFERROR(VLOOKUP(T900,OFFSET(abbreviation[],0,ColumnLanguage),ColumnAbbreviation,FALSE),"")</f>
        <v/>
      </c>
      <c r="BR900" s="21" t="str">
        <f ca="1">IFERROR(VLOOKUP(V900,OFFSET(abbreviation[],0,ColumnLanguage),ColumnAbbreviation,FALSE),"")</f>
        <v/>
      </c>
      <c r="BS900" s="21" t="str">
        <f ca="1">IFERROR(VLOOKUP(Z900,OFFSET(abbreviation[],0,ColumnLanguage),ColumnAbbreviation,FALSE),"")</f>
        <v/>
      </c>
      <c r="BT900" s="21" t="str">
        <f ca="1">IFERROR(VLOOKUP(AB900,OFFSET(abbreviation[],0,ColumnLanguage),ColumnAbbreviation,FALSE),"")</f>
        <v/>
      </c>
      <c r="BU900" s="21" t="str">
        <f t="shared" ref="BU900:BU963" ca="1" si="99">(BO900&amp;IF(ISTEXT(P900),"."&amp;BP900,)&amp;IF(OR(ISTEXT(R900),ISNUMBER(R900)),"-"&amp;R900,))&amp;("_"&amp;BQ900&amp;IF(ISTEXT(V900),"."&amp;BR900,)&amp;IF(OR(ISTEXT(X900),ISNUMBER(X900)),"-"&amp;X900,))&amp;("_"&amp;BS900&amp;IF(ISTEXT(AB900),"."&amp;BT900,)&amp;IF(OR(ISTEXT(AD900),ISNUMBER(AD900)),"-"&amp;AD900,))</f>
        <v>__</v>
      </c>
      <c r="BV900" s="21" t="str">
        <f ca="1">IFERROR(VLOOKUP(AF900,OFFSET(abbreviation[],0,ColumnLanguage),ColumnAbbreviation,FALSE),"")</f>
        <v/>
      </c>
      <c r="BW900" s="21" t="str">
        <f ca="1">IFERROR(VLOOKUP(AH900,OFFSET(abbreviation[],0,ColumnLanguage),ColumnAbbreviation,FALSE),"")</f>
        <v/>
      </c>
      <c r="BX900" s="21" t="str">
        <f ca="1">IFERROR(VLOOKUP(AJ900,OFFSET(abbreviation[],0,ColumnLanguage),ColumnAbbreviation,FALSE),"")</f>
        <v/>
      </c>
      <c r="BY900" s="21" t="str">
        <f ca="1">IFERROR(VLOOKUP(AL900,OFFSET(abbreviation[],0,ColumnLanguage),ColumnAbbreviation,FALSE),"")</f>
        <v/>
      </c>
      <c r="BZ900" s="21" t="str">
        <f t="shared" ref="BZ900:BZ963" ca="1" si="100">("_"&amp;BV900&amp;IF(ISTEXT(AH900),"."&amp;BW900,)&amp;IF(ISTEXT(AJ900),"."&amp;BX900,)&amp;IF(ISTEXT(AL900),"."&amp;BY900,)&amp;IF(OR(ISTEXT(AN900),ISNUMBER(AN900)),"-"&amp;AN900,))</f>
        <v>_</v>
      </c>
      <c r="CA900" s="21" t="str">
        <f ca="1">IFERROR(VLOOKUP(AP900,OFFSET(abbreviation[],0,ColumnLanguage),ColumnAbbreviation,FALSE),"")</f>
        <v/>
      </c>
      <c r="CB900" s="21" t="str">
        <f ca="1">IFERROR(VLOOKUP(AR900,OFFSET(abbreviation[],0,ColumnLanguage),ColumnAbbreviation,FALSE),"")</f>
        <v/>
      </c>
      <c r="CC900" s="21" t="str">
        <f ca="1">IFERROR(VLOOKUP(AT900,OFFSET(abbreviation[],0,ColumnLanguage),ColumnAbbreviation,FALSE),"")</f>
        <v/>
      </c>
      <c r="CD900" s="21" t="str">
        <f ca="1">IFERROR(VLOOKUP(AV900,OFFSET(abbreviation[],0,ColumnLanguage),ColumnAbbreviation,FALSE),"")</f>
        <v/>
      </c>
      <c r="CE900" s="21" t="str">
        <f t="shared" ref="CE900:CE963" ca="1" si="101">("_"&amp;CA900&amp;IF(ISTEXT(AR900),"."&amp;CB900,)&amp;IF(ISTEXT(AT900),"."&amp;CC900,))&amp;"_"&amp;CD900</f>
        <v>__</v>
      </c>
      <c r="CF900" s="21" t="str">
        <f ca="1">IFERROR(VLOOKUP(AX900,OFFSET(abbreviation[],0,ColumnLanguage),ColumnAbbreviation,FALSE),"")</f>
        <v/>
      </c>
      <c r="CG900" s="21" t="str">
        <f ca="1">IFERROR(VLOOKUP(AZ900,OFFSET(abbreviation[],0,ColumnLanguage),ColumnAbbreviation,FALSE),"")</f>
        <v/>
      </c>
      <c r="CH900" s="21" t="str">
        <f ca="1">IFERROR(VLOOKUP(BB900,OFFSET(abbreviation[],0,ColumnLanguage),ColumnAbbreviation,FALSE),"")</f>
        <v/>
      </c>
      <c r="CI900" s="21" t="str">
        <f ca="1">IFERROR(VLOOKUP(BD900,OFFSET(abbreviation[],0,ColumnLanguage),ColumnAbbreviation,FALSE),"")</f>
        <v/>
      </c>
      <c r="CJ900" s="21" t="str">
        <f ca="1">IFERROR(VLOOKUP(BF900,OFFSET(abbreviation[],0,ColumnLanguage),ColumnAbbreviation,FALSE),"")</f>
        <v/>
      </c>
      <c r="CK900" s="21" t="str">
        <f t="shared" ref="CK900:CK963" ca="1" si="102">(IF(ISTEXT(AX900),"_._",""))&amp;(IF(ISTEXT(AX900),"_",)&amp;CF900&amp;IF(OR(ISNUMBER(AY900),ISTEXT(AY900)),"-"&amp;AY900,))&amp;(IF(ISTEXT(AZ900),"_",)&amp;CG900&amp;IF(OR(ISNUMBER(BA900),ISTEXT(BA900)),"-"&amp;BA900,))&amp;(IF(ISTEXT(BB900),"_",)&amp;CH900&amp;IF(OR(ISNUMBER(BC900),ISTEXT(BC900)),"-"&amp;BC900,))&amp;(IF(ISTEXT(BD900),"_",)&amp;CI900&amp;IF(OR(ISNUMBER(BE900),ISTEXT(BE900)),"-"&amp;BE900,))&amp;(IF(ISTEXT(BF900),"_",)&amp;CJ900&amp;IF(OR(ISNUMBER(BG900),ISTEXT(BG900)),"-"&amp;BG900,))</f>
        <v/>
      </c>
      <c r="CL900" s="21" t="str">
        <f t="shared" ref="CL900:CL963" si="103">IF(OR(N900&lt;&gt;"",T900&lt;&gt;"",C900&lt;&gt;"",A900&lt;&gt;""),(BN900&amp;BU900&amp;BZ900&amp;CE900&amp;CK900),"")</f>
        <v/>
      </c>
      <c r="CM900" s="52"/>
      <c r="CN900" s="57" t="str">
        <f t="shared" ref="CN900:CN963" si="104">CL900</f>
        <v/>
      </c>
    </row>
    <row r="901" spans="17:92" x14ac:dyDescent="0.25">
      <c r="Q901" s="13"/>
      <c r="AN901" s="54"/>
      <c r="AS901" s="15"/>
      <c r="BH901" s="52"/>
      <c r="BI901" s="21" t="str">
        <f ca="1">IFERROR(VLOOKUP(C901,OFFSET(abbreviation[],0,ColumnLanguage),ColumnAbbreviation,FALSE),"")</f>
        <v/>
      </c>
      <c r="BJ901" s="21" t="str">
        <f ca="1">IFERROR(VLOOKUP(E901,OFFSET(abbreviation[],0,ColumnLanguage),ColumnAbbreviation,FALSE),"")</f>
        <v/>
      </c>
      <c r="BK901" s="21" t="str">
        <f ca="1">IFERROR(VLOOKUP(G901,OFFSET(abbreviation[],0,ColumnLanguage),ColumnAbbreviation,FALSE),"")</f>
        <v/>
      </c>
      <c r="BL901" s="21" t="str">
        <f ca="1">IFERROR(VLOOKUP(I901,OFFSET(abbreviation[],0,ColumnLanguage),ColumnAbbreviation,FALSE),"")</f>
        <v/>
      </c>
      <c r="BM901" s="21" t="str">
        <f ca="1">IFERROR(VLOOKUP(K901,OFFSET(abbreviation[],0,ColumnLanguage),ColumnAbbreviation,FALSE),"")</f>
        <v/>
      </c>
      <c r="BN901" s="21" t="str">
        <f t="shared" ca="1" si="98"/>
        <v/>
      </c>
      <c r="BO901" s="21" t="str">
        <f ca="1">IFERROR(VLOOKUP(N901,OFFSET(abbreviation[],0,ColumnLanguage),ColumnAbbreviation,FALSE),"")</f>
        <v/>
      </c>
      <c r="BP901" s="21" t="str">
        <f ca="1">IFERROR(VLOOKUP(P901,OFFSET(abbreviation[],0,ColumnLanguage),ColumnAbbreviation,FALSE),"")</f>
        <v/>
      </c>
      <c r="BQ901" s="21" t="str">
        <f ca="1">IFERROR(VLOOKUP(T901,OFFSET(abbreviation[],0,ColumnLanguage),ColumnAbbreviation,FALSE),"")</f>
        <v/>
      </c>
      <c r="BR901" s="21" t="str">
        <f ca="1">IFERROR(VLOOKUP(V901,OFFSET(abbreviation[],0,ColumnLanguage),ColumnAbbreviation,FALSE),"")</f>
        <v/>
      </c>
      <c r="BS901" s="21" t="str">
        <f ca="1">IFERROR(VLOOKUP(Z901,OFFSET(abbreviation[],0,ColumnLanguage),ColumnAbbreviation,FALSE),"")</f>
        <v/>
      </c>
      <c r="BT901" s="21" t="str">
        <f ca="1">IFERROR(VLOOKUP(AB901,OFFSET(abbreviation[],0,ColumnLanguage),ColumnAbbreviation,FALSE),"")</f>
        <v/>
      </c>
      <c r="BU901" s="21" t="str">
        <f t="shared" ca="1" si="99"/>
        <v>__</v>
      </c>
      <c r="BV901" s="21" t="str">
        <f ca="1">IFERROR(VLOOKUP(AF901,OFFSET(abbreviation[],0,ColumnLanguage),ColumnAbbreviation,FALSE),"")</f>
        <v/>
      </c>
      <c r="BW901" s="21" t="str">
        <f ca="1">IFERROR(VLOOKUP(AH901,OFFSET(abbreviation[],0,ColumnLanguage),ColumnAbbreviation,FALSE),"")</f>
        <v/>
      </c>
      <c r="BX901" s="21" t="str">
        <f ca="1">IFERROR(VLOOKUP(AJ901,OFFSET(abbreviation[],0,ColumnLanguage),ColumnAbbreviation,FALSE),"")</f>
        <v/>
      </c>
      <c r="BY901" s="21" t="str">
        <f ca="1">IFERROR(VLOOKUP(AL901,OFFSET(abbreviation[],0,ColumnLanguage),ColumnAbbreviation,FALSE),"")</f>
        <v/>
      </c>
      <c r="BZ901" s="21" t="str">
        <f t="shared" ca="1" si="100"/>
        <v>_</v>
      </c>
      <c r="CA901" s="21" t="str">
        <f ca="1">IFERROR(VLOOKUP(AP901,OFFSET(abbreviation[],0,ColumnLanguage),ColumnAbbreviation,FALSE),"")</f>
        <v/>
      </c>
      <c r="CB901" s="21" t="str">
        <f ca="1">IFERROR(VLOOKUP(AR901,OFFSET(abbreviation[],0,ColumnLanguage),ColumnAbbreviation,FALSE),"")</f>
        <v/>
      </c>
      <c r="CC901" s="21" t="str">
        <f ca="1">IFERROR(VLOOKUP(AT901,OFFSET(abbreviation[],0,ColumnLanguage),ColumnAbbreviation,FALSE),"")</f>
        <v/>
      </c>
      <c r="CD901" s="21" t="str">
        <f ca="1">IFERROR(VLOOKUP(AV901,OFFSET(abbreviation[],0,ColumnLanguage),ColumnAbbreviation,FALSE),"")</f>
        <v/>
      </c>
      <c r="CE901" s="21" t="str">
        <f t="shared" ca="1" si="101"/>
        <v>__</v>
      </c>
      <c r="CF901" s="21" t="str">
        <f ca="1">IFERROR(VLOOKUP(AX901,OFFSET(abbreviation[],0,ColumnLanguage),ColumnAbbreviation,FALSE),"")</f>
        <v/>
      </c>
      <c r="CG901" s="21" t="str">
        <f ca="1">IFERROR(VLOOKUP(AZ901,OFFSET(abbreviation[],0,ColumnLanguage),ColumnAbbreviation,FALSE),"")</f>
        <v/>
      </c>
      <c r="CH901" s="21" t="str">
        <f ca="1">IFERROR(VLOOKUP(BB901,OFFSET(abbreviation[],0,ColumnLanguage),ColumnAbbreviation,FALSE),"")</f>
        <v/>
      </c>
      <c r="CI901" s="21" t="str">
        <f ca="1">IFERROR(VLOOKUP(BD901,OFFSET(abbreviation[],0,ColumnLanguage),ColumnAbbreviation,FALSE),"")</f>
        <v/>
      </c>
      <c r="CJ901" s="21" t="str">
        <f ca="1">IFERROR(VLOOKUP(BF901,OFFSET(abbreviation[],0,ColumnLanguage),ColumnAbbreviation,FALSE),"")</f>
        <v/>
      </c>
      <c r="CK901" s="21" t="str">
        <f t="shared" ca="1" si="102"/>
        <v/>
      </c>
      <c r="CL901" s="21" t="str">
        <f t="shared" si="103"/>
        <v/>
      </c>
      <c r="CM901" s="52"/>
      <c r="CN901" s="57" t="str">
        <f t="shared" si="104"/>
        <v/>
      </c>
    </row>
    <row r="902" spans="17:92" x14ac:dyDescent="0.25">
      <c r="Q902" s="13"/>
      <c r="AN902" s="54"/>
      <c r="AS902" s="15"/>
      <c r="BH902" s="52"/>
      <c r="BI902" s="21" t="str">
        <f ca="1">IFERROR(VLOOKUP(C902,OFFSET(abbreviation[],0,ColumnLanguage),ColumnAbbreviation,FALSE),"")</f>
        <v/>
      </c>
      <c r="BJ902" s="21" t="str">
        <f ca="1">IFERROR(VLOOKUP(E902,OFFSET(abbreviation[],0,ColumnLanguage),ColumnAbbreviation,FALSE),"")</f>
        <v/>
      </c>
      <c r="BK902" s="21" t="str">
        <f ca="1">IFERROR(VLOOKUP(G902,OFFSET(abbreviation[],0,ColumnLanguage),ColumnAbbreviation,FALSE),"")</f>
        <v/>
      </c>
      <c r="BL902" s="21" t="str">
        <f ca="1">IFERROR(VLOOKUP(I902,OFFSET(abbreviation[],0,ColumnLanguage),ColumnAbbreviation,FALSE),"")</f>
        <v/>
      </c>
      <c r="BM902" s="21" t="str">
        <f ca="1">IFERROR(VLOOKUP(K902,OFFSET(abbreviation[],0,ColumnLanguage),ColumnAbbreviation,FALSE),"")</f>
        <v/>
      </c>
      <c r="BN902" s="21" t="str">
        <f t="shared" ca="1" si="98"/>
        <v/>
      </c>
      <c r="BO902" s="21" t="str">
        <f ca="1">IFERROR(VLOOKUP(N902,OFFSET(abbreviation[],0,ColumnLanguage),ColumnAbbreviation,FALSE),"")</f>
        <v/>
      </c>
      <c r="BP902" s="21" t="str">
        <f ca="1">IFERROR(VLOOKUP(P902,OFFSET(abbreviation[],0,ColumnLanguage),ColumnAbbreviation,FALSE),"")</f>
        <v/>
      </c>
      <c r="BQ902" s="21" t="str">
        <f ca="1">IFERROR(VLOOKUP(T902,OFFSET(abbreviation[],0,ColumnLanguage),ColumnAbbreviation,FALSE),"")</f>
        <v/>
      </c>
      <c r="BR902" s="21" t="str">
        <f ca="1">IFERROR(VLOOKUP(V902,OFFSET(abbreviation[],0,ColumnLanguage),ColumnAbbreviation,FALSE),"")</f>
        <v/>
      </c>
      <c r="BS902" s="21" t="str">
        <f ca="1">IFERROR(VLOOKUP(Z902,OFFSET(abbreviation[],0,ColumnLanguage),ColumnAbbreviation,FALSE),"")</f>
        <v/>
      </c>
      <c r="BT902" s="21" t="str">
        <f ca="1">IFERROR(VLOOKUP(AB902,OFFSET(abbreviation[],0,ColumnLanguage),ColumnAbbreviation,FALSE),"")</f>
        <v/>
      </c>
      <c r="BU902" s="21" t="str">
        <f t="shared" ca="1" si="99"/>
        <v>__</v>
      </c>
      <c r="BV902" s="21" t="str">
        <f ca="1">IFERROR(VLOOKUP(AF902,OFFSET(abbreviation[],0,ColumnLanguage),ColumnAbbreviation,FALSE),"")</f>
        <v/>
      </c>
      <c r="BW902" s="21" t="str">
        <f ca="1">IFERROR(VLOOKUP(AH902,OFFSET(abbreviation[],0,ColumnLanguage),ColumnAbbreviation,FALSE),"")</f>
        <v/>
      </c>
      <c r="BX902" s="21" t="str">
        <f ca="1">IFERROR(VLOOKUP(AJ902,OFFSET(abbreviation[],0,ColumnLanguage),ColumnAbbreviation,FALSE),"")</f>
        <v/>
      </c>
      <c r="BY902" s="21" t="str">
        <f ca="1">IFERROR(VLOOKUP(AL902,OFFSET(abbreviation[],0,ColumnLanguage),ColumnAbbreviation,FALSE),"")</f>
        <v/>
      </c>
      <c r="BZ902" s="21" t="str">
        <f t="shared" ca="1" si="100"/>
        <v>_</v>
      </c>
      <c r="CA902" s="21" t="str">
        <f ca="1">IFERROR(VLOOKUP(AP902,OFFSET(abbreviation[],0,ColumnLanguage),ColumnAbbreviation,FALSE),"")</f>
        <v/>
      </c>
      <c r="CB902" s="21" t="str">
        <f ca="1">IFERROR(VLOOKUP(AR902,OFFSET(abbreviation[],0,ColumnLanguage),ColumnAbbreviation,FALSE),"")</f>
        <v/>
      </c>
      <c r="CC902" s="21" t="str">
        <f ca="1">IFERROR(VLOOKUP(AT902,OFFSET(abbreviation[],0,ColumnLanguage),ColumnAbbreviation,FALSE),"")</f>
        <v/>
      </c>
      <c r="CD902" s="21" t="str">
        <f ca="1">IFERROR(VLOOKUP(AV902,OFFSET(abbreviation[],0,ColumnLanguage),ColumnAbbreviation,FALSE),"")</f>
        <v/>
      </c>
      <c r="CE902" s="21" t="str">
        <f t="shared" ca="1" si="101"/>
        <v>__</v>
      </c>
      <c r="CF902" s="21" t="str">
        <f ca="1">IFERROR(VLOOKUP(AX902,OFFSET(abbreviation[],0,ColumnLanguage),ColumnAbbreviation,FALSE),"")</f>
        <v/>
      </c>
      <c r="CG902" s="21" t="str">
        <f ca="1">IFERROR(VLOOKUP(AZ902,OFFSET(abbreviation[],0,ColumnLanguage),ColumnAbbreviation,FALSE),"")</f>
        <v/>
      </c>
      <c r="CH902" s="21" t="str">
        <f ca="1">IFERROR(VLOOKUP(BB902,OFFSET(abbreviation[],0,ColumnLanguage),ColumnAbbreviation,FALSE),"")</f>
        <v/>
      </c>
      <c r="CI902" s="21" t="str">
        <f ca="1">IFERROR(VLOOKUP(BD902,OFFSET(abbreviation[],0,ColumnLanguage),ColumnAbbreviation,FALSE),"")</f>
        <v/>
      </c>
      <c r="CJ902" s="21" t="str">
        <f ca="1">IFERROR(VLOOKUP(BF902,OFFSET(abbreviation[],0,ColumnLanguage),ColumnAbbreviation,FALSE),"")</f>
        <v/>
      </c>
      <c r="CK902" s="21" t="str">
        <f t="shared" ca="1" si="102"/>
        <v/>
      </c>
      <c r="CL902" s="21" t="str">
        <f t="shared" si="103"/>
        <v/>
      </c>
      <c r="CM902" s="52"/>
      <c r="CN902" s="57" t="str">
        <f t="shared" si="104"/>
        <v/>
      </c>
    </row>
    <row r="903" spans="17:92" x14ac:dyDescent="0.25">
      <c r="Q903" s="13"/>
      <c r="AN903" s="54"/>
      <c r="AS903" s="15"/>
      <c r="BH903" s="52"/>
      <c r="BI903" s="21" t="str">
        <f ca="1">IFERROR(VLOOKUP(C903,OFFSET(abbreviation[],0,ColumnLanguage),ColumnAbbreviation,FALSE),"")</f>
        <v/>
      </c>
      <c r="BJ903" s="21" t="str">
        <f ca="1">IFERROR(VLOOKUP(E903,OFFSET(abbreviation[],0,ColumnLanguage),ColumnAbbreviation,FALSE),"")</f>
        <v/>
      </c>
      <c r="BK903" s="21" t="str">
        <f ca="1">IFERROR(VLOOKUP(G903,OFFSET(abbreviation[],0,ColumnLanguage),ColumnAbbreviation,FALSE),"")</f>
        <v/>
      </c>
      <c r="BL903" s="21" t="str">
        <f ca="1">IFERROR(VLOOKUP(I903,OFFSET(abbreviation[],0,ColumnLanguage),ColumnAbbreviation,FALSE),"")</f>
        <v/>
      </c>
      <c r="BM903" s="21" t="str">
        <f ca="1">IFERROR(VLOOKUP(K903,OFFSET(abbreviation[],0,ColumnLanguage),ColumnAbbreviation,FALSE),"")</f>
        <v/>
      </c>
      <c r="BN903" s="21" t="str">
        <f t="shared" ca="1" si="98"/>
        <v/>
      </c>
      <c r="BO903" s="21" t="str">
        <f ca="1">IFERROR(VLOOKUP(N903,OFFSET(abbreviation[],0,ColumnLanguage),ColumnAbbreviation,FALSE),"")</f>
        <v/>
      </c>
      <c r="BP903" s="21" t="str">
        <f ca="1">IFERROR(VLOOKUP(P903,OFFSET(abbreviation[],0,ColumnLanguage),ColumnAbbreviation,FALSE),"")</f>
        <v/>
      </c>
      <c r="BQ903" s="21" t="str">
        <f ca="1">IFERROR(VLOOKUP(T903,OFFSET(abbreviation[],0,ColumnLanguage),ColumnAbbreviation,FALSE),"")</f>
        <v/>
      </c>
      <c r="BR903" s="21" t="str">
        <f ca="1">IFERROR(VLOOKUP(V903,OFFSET(abbreviation[],0,ColumnLanguage),ColumnAbbreviation,FALSE),"")</f>
        <v/>
      </c>
      <c r="BS903" s="21" t="str">
        <f ca="1">IFERROR(VLOOKUP(Z903,OFFSET(abbreviation[],0,ColumnLanguage),ColumnAbbreviation,FALSE),"")</f>
        <v/>
      </c>
      <c r="BT903" s="21" t="str">
        <f ca="1">IFERROR(VLOOKUP(AB903,OFFSET(abbreviation[],0,ColumnLanguage),ColumnAbbreviation,FALSE),"")</f>
        <v/>
      </c>
      <c r="BU903" s="21" t="str">
        <f t="shared" ca="1" si="99"/>
        <v>__</v>
      </c>
      <c r="BV903" s="21" t="str">
        <f ca="1">IFERROR(VLOOKUP(AF903,OFFSET(abbreviation[],0,ColumnLanguage),ColumnAbbreviation,FALSE),"")</f>
        <v/>
      </c>
      <c r="BW903" s="21" t="str">
        <f ca="1">IFERROR(VLOOKUP(AH903,OFFSET(abbreviation[],0,ColumnLanguage),ColumnAbbreviation,FALSE),"")</f>
        <v/>
      </c>
      <c r="BX903" s="21" t="str">
        <f ca="1">IFERROR(VLOOKUP(AJ903,OFFSET(abbreviation[],0,ColumnLanguage),ColumnAbbreviation,FALSE),"")</f>
        <v/>
      </c>
      <c r="BY903" s="21" t="str">
        <f ca="1">IFERROR(VLOOKUP(AL903,OFFSET(abbreviation[],0,ColumnLanguage),ColumnAbbreviation,FALSE),"")</f>
        <v/>
      </c>
      <c r="BZ903" s="21" t="str">
        <f t="shared" ca="1" si="100"/>
        <v>_</v>
      </c>
      <c r="CA903" s="21" t="str">
        <f ca="1">IFERROR(VLOOKUP(AP903,OFFSET(abbreviation[],0,ColumnLanguage),ColumnAbbreviation,FALSE),"")</f>
        <v/>
      </c>
      <c r="CB903" s="21" t="str">
        <f ca="1">IFERROR(VLOOKUP(AR903,OFFSET(abbreviation[],0,ColumnLanguage),ColumnAbbreviation,FALSE),"")</f>
        <v/>
      </c>
      <c r="CC903" s="21" t="str">
        <f ca="1">IFERROR(VLOOKUP(AT903,OFFSET(abbreviation[],0,ColumnLanguage),ColumnAbbreviation,FALSE),"")</f>
        <v/>
      </c>
      <c r="CD903" s="21" t="str">
        <f ca="1">IFERROR(VLOOKUP(AV903,OFFSET(abbreviation[],0,ColumnLanguage),ColumnAbbreviation,FALSE),"")</f>
        <v/>
      </c>
      <c r="CE903" s="21" t="str">
        <f t="shared" ca="1" si="101"/>
        <v>__</v>
      </c>
      <c r="CF903" s="21" t="str">
        <f ca="1">IFERROR(VLOOKUP(AX903,OFFSET(abbreviation[],0,ColumnLanguage),ColumnAbbreviation,FALSE),"")</f>
        <v/>
      </c>
      <c r="CG903" s="21" t="str">
        <f ca="1">IFERROR(VLOOKUP(AZ903,OFFSET(abbreviation[],0,ColumnLanguage),ColumnAbbreviation,FALSE),"")</f>
        <v/>
      </c>
      <c r="CH903" s="21" t="str">
        <f ca="1">IFERROR(VLOOKUP(BB903,OFFSET(abbreviation[],0,ColumnLanguage),ColumnAbbreviation,FALSE),"")</f>
        <v/>
      </c>
      <c r="CI903" s="21" t="str">
        <f ca="1">IFERROR(VLOOKUP(BD903,OFFSET(abbreviation[],0,ColumnLanguage),ColumnAbbreviation,FALSE),"")</f>
        <v/>
      </c>
      <c r="CJ903" s="21" t="str">
        <f ca="1">IFERROR(VLOOKUP(BF903,OFFSET(abbreviation[],0,ColumnLanguage),ColumnAbbreviation,FALSE),"")</f>
        <v/>
      </c>
      <c r="CK903" s="21" t="str">
        <f t="shared" ca="1" si="102"/>
        <v/>
      </c>
      <c r="CL903" s="21" t="str">
        <f t="shared" si="103"/>
        <v/>
      </c>
      <c r="CM903" s="52"/>
      <c r="CN903" s="57" t="str">
        <f t="shared" si="104"/>
        <v/>
      </c>
    </row>
    <row r="904" spans="17:92" x14ac:dyDescent="0.25">
      <c r="Q904" s="13"/>
      <c r="AN904" s="54"/>
      <c r="AS904" s="15"/>
      <c r="BH904" s="52"/>
      <c r="BI904" s="21" t="str">
        <f ca="1">IFERROR(VLOOKUP(C904,OFFSET(abbreviation[],0,ColumnLanguage),ColumnAbbreviation,FALSE),"")</f>
        <v/>
      </c>
      <c r="BJ904" s="21" t="str">
        <f ca="1">IFERROR(VLOOKUP(E904,OFFSET(abbreviation[],0,ColumnLanguage),ColumnAbbreviation,FALSE),"")</f>
        <v/>
      </c>
      <c r="BK904" s="21" t="str">
        <f ca="1">IFERROR(VLOOKUP(G904,OFFSET(abbreviation[],0,ColumnLanguage),ColumnAbbreviation,FALSE),"")</f>
        <v/>
      </c>
      <c r="BL904" s="21" t="str">
        <f ca="1">IFERROR(VLOOKUP(I904,OFFSET(abbreviation[],0,ColumnLanguage),ColumnAbbreviation,FALSE),"")</f>
        <v/>
      </c>
      <c r="BM904" s="21" t="str">
        <f ca="1">IFERROR(VLOOKUP(K904,OFFSET(abbreviation[],0,ColumnLanguage),ColumnAbbreviation,FALSE),"")</f>
        <v/>
      </c>
      <c r="BN904" s="21" t="str">
        <f t="shared" ca="1" si="98"/>
        <v/>
      </c>
      <c r="BO904" s="21" t="str">
        <f ca="1">IFERROR(VLOOKUP(N904,OFFSET(abbreviation[],0,ColumnLanguage),ColumnAbbreviation,FALSE),"")</f>
        <v/>
      </c>
      <c r="BP904" s="21" t="str">
        <f ca="1">IFERROR(VLOOKUP(P904,OFFSET(abbreviation[],0,ColumnLanguage),ColumnAbbreviation,FALSE),"")</f>
        <v/>
      </c>
      <c r="BQ904" s="21" t="str">
        <f ca="1">IFERROR(VLOOKUP(T904,OFFSET(abbreviation[],0,ColumnLanguage),ColumnAbbreviation,FALSE),"")</f>
        <v/>
      </c>
      <c r="BR904" s="21" t="str">
        <f ca="1">IFERROR(VLOOKUP(V904,OFFSET(abbreviation[],0,ColumnLanguage),ColumnAbbreviation,FALSE),"")</f>
        <v/>
      </c>
      <c r="BS904" s="21" t="str">
        <f ca="1">IFERROR(VLOOKUP(Z904,OFFSET(abbreviation[],0,ColumnLanguage),ColumnAbbreviation,FALSE),"")</f>
        <v/>
      </c>
      <c r="BT904" s="21" t="str">
        <f ca="1">IFERROR(VLOOKUP(AB904,OFFSET(abbreviation[],0,ColumnLanguage),ColumnAbbreviation,FALSE),"")</f>
        <v/>
      </c>
      <c r="BU904" s="21" t="str">
        <f t="shared" ca="1" si="99"/>
        <v>__</v>
      </c>
      <c r="BV904" s="21" t="str">
        <f ca="1">IFERROR(VLOOKUP(AF904,OFFSET(abbreviation[],0,ColumnLanguage),ColumnAbbreviation,FALSE),"")</f>
        <v/>
      </c>
      <c r="BW904" s="21" t="str">
        <f ca="1">IFERROR(VLOOKUP(AH904,OFFSET(abbreviation[],0,ColumnLanguage),ColumnAbbreviation,FALSE),"")</f>
        <v/>
      </c>
      <c r="BX904" s="21" t="str">
        <f ca="1">IFERROR(VLOOKUP(AJ904,OFFSET(abbreviation[],0,ColumnLanguage),ColumnAbbreviation,FALSE),"")</f>
        <v/>
      </c>
      <c r="BY904" s="21" t="str">
        <f ca="1">IFERROR(VLOOKUP(AL904,OFFSET(abbreviation[],0,ColumnLanguage),ColumnAbbreviation,FALSE),"")</f>
        <v/>
      </c>
      <c r="BZ904" s="21" t="str">
        <f t="shared" ca="1" si="100"/>
        <v>_</v>
      </c>
      <c r="CA904" s="21" t="str">
        <f ca="1">IFERROR(VLOOKUP(AP904,OFFSET(abbreviation[],0,ColumnLanguage),ColumnAbbreviation,FALSE),"")</f>
        <v/>
      </c>
      <c r="CB904" s="21" t="str">
        <f ca="1">IFERROR(VLOOKUP(AR904,OFFSET(abbreviation[],0,ColumnLanguage),ColumnAbbreviation,FALSE),"")</f>
        <v/>
      </c>
      <c r="CC904" s="21" t="str">
        <f ca="1">IFERROR(VLOOKUP(AT904,OFFSET(abbreviation[],0,ColumnLanguage),ColumnAbbreviation,FALSE),"")</f>
        <v/>
      </c>
      <c r="CD904" s="21" t="str">
        <f ca="1">IFERROR(VLOOKUP(AV904,OFFSET(abbreviation[],0,ColumnLanguage),ColumnAbbreviation,FALSE),"")</f>
        <v/>
      </c>
      <c r="CE904" s="21" t="str">
        <f t="shared" ca="1" si="101"/>
        <v>__</v>
      </c>
      <c r="CF904" s="21" t="str">
        <f ca="1">IFERROR(VLOOKUP(AX904,OFFSET(abbreviation[],0,ColumnLanguage),ColumnAbbreviation,FALSE),"")</f>
        <v/>
      </c>
      <c r="CG904" s="21" t="str">
        <f ca="1">IFERROR(VLOOKUP(AZ904,OFFSET(abbreviation[],0,ColumnLanguage),ColumnAbbreviation,FALSE),"")</f>
        <v/>
      </c>
      <c r="CH904" s="21" t="str">
        <f ca="1">IFERROR(VLOOKUP(BB904,OFFSET(abbreviation[],0,ColumnLanguage),ColumnAbbreviation,FALSE),"")</f>
        <v/>
      </c>
      <c r="CI904" s="21" t="str">
        <f ca="1">IFERROR(VLOOKUP(BD904,OFFSET(abbreviation[],0,ColumnLanguage),ColumnAbbreviation,FALSE),"")</f>
        <v/>
      </c>
      <c r="CJ904" s="21" t="str">
        <f ca="1">IFERROR(VLOOKUP(BF904,OFFSET(abbreviation[],0,ColumnLanguage),ColumnAbbreviation,FALSE),"")</f>
        <v/>
      </c>
      <c r="CK904" s="21" t="str">
        <f t="shared" ca="1" si="102"/>
        <v/>
      </c>
      <c r="CL904" s="21" t="str">
        <f t="shared" si="103"/>
        <v/>
      </c>
      <c r="CM904" s="52"/>
      <c r="CN904" s="57" t="str">
        <f t="shared" si="104"/>
        <v/>
      </c>
    </row>
    <row r="905" spans="17:92" x14ac:dyDescent="0.25">
      <c r="Q905" s="13"/>
      <c r="AN905" s="54"/>
      <c r="AS905" s="15"/>
      <c r="BH905" s="52"/>
      <c r="BI905" s="21" t="str">
        <f ca="1">IFERROR(VLOOKUP(C905,OFFSET(abbreviation[],0,ColumnLanguage),ColumnAbbreviation,FALSE),"")</f>
        <v/>
      </c>
      <c r="BJ905" s="21" t="str">
        <f ca="1">IFERROR(VLOOKUP(E905,OFFSET(abbreviation[],0,ColumnLanguage),ColumnAbbreviation,FALSE),"")</f>
        <v/>
      </c>
      <c r="BK905" s="21" t="str">
        <f ca="1">IFERROR(VLOOKUP(G905,OFFSET(abbreviation[],0,ColumnLanguage),ColumnAbbreviation,FALSE),"")</f>
        <v/>
      </c>
      <c r="BL905" s="21" t="str">
        <f ca="1">IFERROR(VLOOKUP(I905,OFFSET(abbreviation[],0,ColumnLanguage),ColumnAbbreviation,FALSE),"")</f>
        <v/>
      </c>
      <c r="BM905" s="21" t="str">
        <f ca="1">IFERROR(VLOOKUP(K905,OFFSET(abbreviation[],0,ColumnLanguage),ColumnAbbreviation,FALSE),"")</f>
        <v/>
      </c>
      <c r="BN905" s="21" t="str">
        <f t="shared" ca="1" si="98"/>
        <v/>
      </c>
      <c r="BO905" s="21" t="str">
        <f ca="1">IFERROR(VLOOKUP(N905,OFFSET(abbreviation[],0,ColumnLanguage),ColumnAbbreviation,FALSE),"")</f>
        <v/>
      </c>
      <c r="BP905" s="21" t="str">
        <f ca="1">IFERROR(VLOOKUP(P905,OFFSET(abbreviation[],0,ColumnLanguage),ColumnAbbreviation,FALSE),"")</f>
        <v/>
      </c>
      <c r="BQ905" s="21" t="str">
        <f ca="1">IFERROR(VLOOKUP(T905,OFFSET(abbreviation[],0,ColumnLanguage),ColumnAbbreviation,FALSE),"")</f>
        <v/>
      </c>
      <c r="BR905" s="21" t="str">
        <f ca="1">IFERROR(VLOOKUP(V905,OFFSET(abbreviation[],0,ColumnLanguage),ColumnAbbreviation,FALSE),"")</f>
        <v/>
      </c>
      <c r="BS905" s="21" t="str">
        <f ca="1">IFERROR(VLOOKUP(Z905,OFFSET(abbreviation[],0,ColumnLanguage),ColumnAbbreviation,FALSE),"")</f>
        <v/>
      </c>
      <c r="BT905" s="21" t="str">
        <f ca="1">IFERROR(VLOOKUP(AB905,OFFSET(abbreviation[],0,ColumnLanguage),ColumnAbbreviation,FALSE),"")</f>
        <v/>
      </c>
      <c r="BU905" s="21" t="str">
        <f t="shared" ca="1" si="99"/>
        <v>__</v>
      </c>
      <c r="BV905" s="21" t="str">
        <f ca="1">IFERROR(VLOOKUP(AF905,OFFSET(abbreviation[],0,ColumnLanguage),ColumnAbbreviation,FALSE),"")</f>
        <v/>
      </c>
      <c r="BW905" s="21" t="str">
        <f ca="1">IFERROR(VLOOKUP(AH905,OFFSET(abbreviation[],0,ColumnLanguage),ColumnAbbreviation,FALSE),"")</f>
        <v/>
      </c>
      <c r="BX905" s="21" t="str">
        <f ca="1">IFERROR(VLOOKUP(AJ905,OFFSET(abbreviation[],0,ColumnLanguage),ColumnAbbreviation,FALSE),"")</f>
        <v/>
      </c>
      <c r="BY905" s="21" t="str">
        <f ca="1">IFERROR(VLOOKUP(AL905,OFFSET(abbreviation[],0,ColumnLanguage),ColumnAbbreviation,FALSE),"")</f>
        <v/>
      </c>
      <c r="BZ905" s="21" t="str">
        <f t="shared" ca="1" si="100"/>
        <v>_</v>
      </c>
      <c r="CA905" s="21" t="str">
        <f ca="1">IFERROR(VLOOKUP(AP905,OFFSET(abbreviation[],0,ColumnLanguage),ColumnAbbreviation,FALSE),"")</f>
        <v/>
      </c>
      <c r="CB905" s="21" t="str">
        <f ca="1">IFERROR(VLOOKUP(AR905,OFFSET(abbreviation[],0,ColumnLanguage),ColumnAbbreviation,FALSE),"")</f>
        <v/>
      </c>
      <c r="CC905" s="21" t="str">
        <f ca="1">IFERROR(VLOOKUP(AT905,OFFSET(abbreviation[],0,ColumnLanguage),ColumnAbbreviation,FALSE),"")</f>
        <v/>
      </c>
      <c r="CD905" s="21" t="str">
        <f ca="1">IFERROR(VLOOKUP(AV905,OFFSET(abbreviation[],0,ColumnLanguage),ColumnAbbreviation,FALSE),"")</f>
        <v/>
      </c>
      <c r="CE905" s="21" t="str">
        <f t="shared" ca="1" si="101"/>
        <v>__</v>
      </c>
      <c r="CF905" s="21" t="str">
        <f ca="1">IFERROR(VLOOKUP(AX905,OFFSET(abbreviation[],0,ColumnLanguage),ColumnAbbreviation,FALSE),"")</f>
        <v/>
      </c>
      <c r="CG905" s="21" t="str">
        <f ca="1">IFERROR(VLOOKUP(AZ905,OFFSET(abbreviation[],0,ColumnLanguage),ColumnAbbreviation,FALSE),"")</f>
        <v/>
      </c>
      <c r="CH905" s="21" t="str">
        <f ca="1">IFERROR(VLOOKUP(BB905,OFFSET(abbreviation[],0,ColumnLanguage),ColumnAbbreviation,FALSE),"")</f>
        <v/>
      </c>
      <c r="CI905" s="21" t="str">
        <f ca="1">IFERROR(VLOOKUP(BD905,OFFSET(abbreviation[],0,ColumnLanguage),ColumnAbbreviation,FALSE),"")</f>
        <v/>
      </c>
      <c r="CJ905" s="21" t="str">
        <f ca="1">IFERROR(VLOOKUP(BF905,OFFSET(abbreviation[],0,ColumnLanguage),ColumnAbbreviation,FALSE),"")</f>
        <v/>
      </c>
      <c r="CK905" s="21" t="str">
        <f t="shared" ca="1" si="102"/>
        <v/>
      </c>
      <c r="CL905" s="21" t="str">
        <f t="shared" si="103"/>
        <v/>
      </c>
      <c r="CM905" s="52"/>
      <c r="CN905" s="57" t="str">
        <f t="shared" si="104"/>
        <v/>
      </c>
    </row>
    <row r="906" spans="17:92" x14ac:dyDescent="0.25">
      <c r="Q906" s="13"/>
      <c r="AN906" s="54"/>
      <c r="AS906" s="15"/>
      <c r="BH906" s="52"/>
      <c r="BI906" s="21" t="str">
        <f ca="1">IFERROR(VLOOKUP(C906,OFFSET(abbreviation[],0,ColumnLanguage),ColumnAbbreviation,FALSE),"")</f>
        <v/>
      </c>
      <c r="BJ906" s="21" t="str">
        <f ca="1">IFERROR(VLOOKUP(E906,OFFSET(abbreviation[],0,ColumnLanguage),ColumnAbbreviation,FALSE),"")</f>
        <v/>
      </c>
      <c r="BK906" s="21" t="str">
        <f ca="1">IFERROR(VLOOKUP(G906,OFFSET(abbreviation[],0,ColumnLanguage),ColumnAbbreviation,FALSE),"")</f>
        <v/>
      </c>
      <c r="BL906" s="21" t="str">
        <f ca="1">IFERROR(VLOOKUP(I906,OFFSET(abbreviation[],0,ColumnLanguage),ColumnAbbreviation,FALSE),"")</f>
        <v/>
      </c>
      <c r="BM906" s="21" t="str">
        <f ca="1">IFERROR(VLOOKUP(K906,OFFSET(abbreviation[],0,ColumnLanguage),ColumnAbbreviation,FALSE),"")</f>
        <v/>
      </c>
      <c r="BN906" s="21" t="str">
        <f t="shared" ca="1" si="98"/>
        <v/>
      </c>
      <c r="BO906" s="21" t="str">
        <f ca="1">IFERROR(VLOOKUP(N906,OFFSET(abbreviation[],0,ColumnLanguage),ColumnAbbreviation,FALSE),"")</f>
        <v/>
      </c>
      <c r="BP906" s="21" t="str">
        <f ca="1">IFERROR(VLOOKUP(P906,OFFSET(abbreviation[],0,ColumnLanguage),ColumnAbbreviation,FALSE),"")</f>
        <v/>
      </c>
      <c r="BQ906" s="21" t="str">
        <f ca="1">IFERROR(VLOOKUP(T906,OFFSET(abbreviation[],0,ColumnLanguage),ColumnAbbreviation,FALSE),"")</f>
        <v/>
      </c>
      <c r="BR906" s="21" t="str">
        <f ca="1">IFERROR(VLOOKUP(V906,OFFSET(abbreviation[],0,ColumnLanguage),ColumnAbbreviation,FALSE),"")</f>
        <v/>
      </c>
      <c r="BS906" s="21" t="str">
        <f ca="1">IFERROR(VLOOKUP(Z906,OFFSET(abbreviation[],0,ColumnLanguage),ColumnAbbreviation,FALSE),"")</f>
        <v/>
      </c>
      <c r="BT906" s="21" t="str">
        <f ca="1">IFERROR(VLOOKUP(AB906,OFFSET(abbreviation[],0,ColumnLanguage),ColumnAbbreviation,FALSE),"")</f>
        <v/>
      </c>
      <c r="BU906" s="21" t="str">
        <f t="shared" ca="1" si="99"/>
        <v>__</v>
      </c>
      <c r="BV906" s="21" t="str">
        <f ca="1">IFERROR(VLOOKUP(AF906,OFFSET(abbreviation[],0,ColumnLanguage),ColumnAbbreviation,FALSE),"")</f>
        <v/>
      </c>
      <c r="BW906" s="21" t="str">
        <f ca="1">IFERROR(VLOOKUP(AH906,OFFSET(abbreviation[],0,ColumnLanguage),ColumnAbbreviation,FALSE),"")</f>
        <v/>
      </c>
      <c r="BX906" s="21" t="str">
        <f ca="1">IFERROR(VLOOKUP(AJ906,OFFSET(abbreviation[],0,ColumnLanguage),ColumnAbbreviation,FALSE),"")</f>
        <v/>
      </c>
      <c r="BY906" s="21" t="str">
        <f ca="1">IFERROR(VLOOKUP(AL906,OFFSET(abbreviation[],0,ColumnLanguage),ColumnAbbreviation,FALSE),"")</f>
        <v/>
      </c>
      <c r="BZ906" s="21" t="str">
        <f t="shared" ca="1" si="100"/>
        <v>_</v>
      </c>
      <c r="CA906" s="21" t="str">
        <f ca="1">IFERROR(VLOOKUP(AP906,OFFSET(abbreviation[],0,ColumnLanguage),ColumnAbbreviation,FALSE),"")</f>
        <v/>
      </c>
      <c r="CB906" s="21" t="str">
        <f ca="1">IFERROR(VLOOKUP(AR906,OFFSET(abbreviation[],0,ColumnLanguage),ColumnAbbreviation,FALSE),"")</f>
        <v/>
      </c>
      <c r="CC906" s="21" t="str">
        <f ca="1">IFERROR(VLOOKUP(AT906,OFFSET(abbreviation[],0,ColumnLanguage),ColumnAbbreviation,FALSE),"")</f>
        <v/>
      </c>
      <c r="CD906" s="21" t="str">
        <f ca="1">IFERROR(VLOOKUP(AV906,OFFSET(abbreviation[],0,ColumnLanguage),ColumnAbbreviation,FALSE),"")</f>
        <v/>
      </c>
      <c r="CE906" s="21" t="str">
        <f t="shared" ca="1" si="101"/>
        <v>__</v>
      </c>
      <c r="CF906" s="21" t="str">
        <f ca="1">IFERROR(VLOOKUP(AX906,OFFSET(abbreviation[],0,ColumnLanguage),ColumnAbbreviation,FALSE),"")</f>
        <v/>
      </c>
      <c r="CG906" s="21" t="str">
        <f ca="1">IFERROR(VLOOKUP(AZ906,OFFSET(abbreviation[],0,ColumnLanguage),ColumnAbbreviation,FALSE),"")</f>
        <v/>
      </c>
      <c r="CH906" s="21" t="str">
        <f ca="1">IFERROR(VLOOKUP(BB906,OFFSET(abbreviation[],0,ColumnLanguage),ColumnAbbreviation,FALSE),"")</f>
        <v/>
      </c>
      <c r="CI906" s="21" t="str">
        <f ca="1">IFERROR(VLOOKUP(BD906,OFFSET(abbreviation[],0,ColumnLanguage),ColumnAbbreviation,FALSE),"")</f>
        <v/>
      </c>
      <c r="CJ906" s="21" t="str">
        <f ca="1">IFERROR(VLOOKUP(BF906,OFFSET(abbreviation[],0,ColumnLanguage),ColumnAbbreviation,FALSE),"")</f>
        <v/>
      </c>
      <c r="CK906" s="21" t="str">
        <f t="shared" ca="1" si="102"/>
        <v/>
      </c>
      <c r="CL906" s="21" t="str">
        <f t="shared" si="103"/>
        <v/>
      </c>
      <c r="CM906" s="52"/>
      <c r="CN906" s="57" t="str">
        <f t="shared" si="104"/>
        <v/>
      </c>
    </row>
    <row r="907" spans="17:92" x14ac:dyDescent="0.25">
      <c r="Q907" s="13"/>
      <c r="AN907" s="54"/>
      <c r="AS907" s="15"/>
      <c r="BH907" s="52"/>
      <c r="BI907" s="21" t="str">
        <f ca="1">IFERROR(VLOOKUP(C907,OFFSET(abbreviation[],0,ColumnLanguage),ColumnAbbreviation,FALSE),"")</f>
        <v/>
      </c>
      <c r="BJ907" s="21" t="str">
        <f ca="1">IFERROR(VLOOKUP(E907,OFFSET(abbreviation[],0,ColumnLanguage),ColumnAbbreviation,FALSE),"")</f>
        <v/>
      </c>
      <c r="BK907" s="21" t="str">
        <f ca="1">IFERROR(VLOOKUP(G907,OFFSET(abbreviation[],0,ColumnLanguage),ColumnAbbreviation,FALSE),"")</f>
        <v/>
      </c>
      <c r="BL907" s="21" t="str">
        <f ca="1">IFERROR(VLOOKUP(I907,OFFSET(abbreviation[],0,ColumnLanguage),ColumnAbbreviation,FALSE),"")</f>
        <v/>
      </c>
      <c r="BM907" s="21" t="str">
        <f ca="1">IFERROR(VLOOKUP(K907,OFFSET(abbreviation[],0,ColumnLanguage),ColumnAbbreviation,FALSE),"")</f>
        <v/>
      </c>
      <c r="BN907" s="21" t="str">
        <f t="shared" ca="1" si="98"/>
        <v/>
      </c>
      <c r="BO907" s="21" t="str">
        <f ca="1">IFERROR(VLOOKUP(N907,OFFSET(abbreviation[],0,ColumnLanguage),ColumnAbbreviation,FALSE),"")</f>
        <v/>
      </c>
      <c r="BP907" s="21" t="str">
        <f ca="1">IFERROR(VLOOKUP(P907,OFFSET(abbreviation[],0,ColumnLanguage),ColumnAbbreviation,FALSE),"")</f>
        <v/>
      </c>
      <c r="BQ907" s="21" t="str">
        <f ca="1">IFERROR(VLOOKUP(T907,OFFSET(abbreviation[],0,ColumnLanguage),ColumnAbbreviation,FALSE),"")</f>
        <v/>
      </c>
      <c r="BR907" s="21" t="str">
        <f ca="1">IFERROR(VLOOKUP(V907,OFFSET(abbreviation[],0,ColumnLanguage),ColumnAbbreviation,FALSE),"")</f>
        <v/>
      </c>
      <c r="BS907" s="21" t="str">
        <f ca="1">IFERROR(VLOOKUP(Z907,OFFSET(abbreviation[],0,ColumnLanguage),ColumnAbbreviation,FALSE),"")</f>
        <v/>
      </c>
      <c r="BT907" s="21" t="str">
        <f ca="1">IFERROR(VLOOKUP(AB907,OFFSET(abbreviation[],0,ColumnLanguage),ColumnAbbreviation,FALSE),"")</f>
        <v/>
      </c>
      <c r="BU907" s="21" t="str">
        <f t="shared" ca="1" si="99"/>
        <v>__</v>
      </c>
      <c r="BV907" s="21" t="str">
        <f ca="1">IFERROR(VLOOKUP(AF907,OFFSET(abbreviation[],0,ColumnLanguage),ColumnAbbreviation,FALSE),"")</f>
        <v/>
      </c>
      <c r="BW907" s="21" t="str">
        <f ca="1">IFERROR(VLOOKUP(AH907,OFFSET(abbreviation[],0,ColumnLanguage),ColumnAbbreviation,FALSE),"")</f>
        <v/>
      </c>
      <c r="BX907" s="21" t="str">
        <f ca="1">IFERROR(VLOOKUP(AJ907,OFFSET(abbreviation[],0,ColumnLanguage),ColumnAbbreviation,FALSE),"")</f>
        <v/>
      </c>
      <c r="BY907" s="21" t="str">
        <f ca="1">IFERROR(VLOOKUP(AL907,OFFSET(abbreviation[],0,ColumnLanguage),ColumnAbbreviation,FALSE),"")</f>
        <v/>
      </c>
      <c r="BZ907" s="21" t="str">
        <f t="shared" ca="1" si="100"/>
        <v>_</v>
      </c>
      <c r="CA907" s="21" t="str">
        <f ca="1">IFERROR(VLOOKUP(AP907,OFFSET(abbreviation[],0,ColumnLanguage),ColumnAbbreviation,FALSE),"")</f>
        <v/>
      </c>
      <c r="CB907" s="21" t="str">
        <f ca="1">IFERROR(VLOOKUP(AR907,OFFSET(abbreviation[],0,ColumnLanguage),ColumnAbbreviation,FALSE),"")</f>
        <v/>
      </c>
      <c r="CC907" s="21" t="str">
        <f ca="1">IFERROR(VLOOKUP(AT907,OFFSET(abbreviation[],0,ColumnLanguage),ColumnAbbreviation,FALSE),"")</f>
        <v/>
      </c>
      <c r="CD907" s="21" t="str">
        <f ca="1">IFERROR(VLOOKUP(AV907,OFFSET(abbreviation[],0,ColumnLanguage),ColumnAbbreviation,FALSE),"")</f>
        <v/>
      </c>
      <c r="CE907" s="21" t="str">
        <f t="shared" ca="1" si="101"/>
        <v>__</v>
      </c>
      <c r="CF907" s="21" t="str">
        <f ca="1">IFERROR(VLOOKUP(AX907,OFFSET(abbreviation[],0,ColumnLanguage),ColumnAbbreviation,FALSE),"")</f>
        <v/>
      </c>
      <c r="CG907" s="21" t="str">
        <f ca="1">IFERROR(VLOOKUP(AZ907,OFFSET(abbreviation[],0,ColumnLanguage),ColumnAbbreviation,FALSE),"")</f>
        <v/>
      </c>
      <c r="CH907" s="21" t="str">
        <f ca="1">IFERROR(VLOOKUP(BB907,OFFSET(abbreviation[],0,ColumnLanguage),ColumnAbbreviation,FALSE),"")</f>
        <v/>
      </c>
      <c r="CI907" s="21" t="str">
        <f ca="1">IFERROR(VLOOKUP(BD907,OFFSET(abbreviation[],0,ColumnLanguage),ColumnAbbreviation,FALSE),"")</f>
        <v/>
      </c>
      <c r="CJ907" s="21" t="str">
        <f ca="1">IFERROR(VLOOKUP(BF907,OFFSET(abbreviation[],0,ColumnLanguage),ColumnAbbreviation,FALSE),"")</f>
        <v/>
      </c>
      <c r="CK907" s="21" t="str">
        <f t="shared" ca="1" si="102"/>
        <v/>
      </c>
      <c r="CL907" s="21" t="str">
        <f t="shared" si="103"/>
        <v/>
      </c>
      <c r="CM907" s="52"/>
      <c r="CN907" s="57" t="str">
        <f t="shared" si="104"/>
        <v/>
      </c>
    </row>
    <row r="908" spans="17:92" x14ac:dyDescent="0.25">
      <c r="Q908" s="13"/>
      <c r="AN908" s="54"/>
      <c r="AS908" s="15"/>
      <c r="BH908" s="52"/>
      <c r="BI908" s="21" t="str">
        <f ca="1">IFERROR(VLOOKUP(C908,OFFSET(abbreviation[],0,ColumnLanguage),ColumnAbbreviation,FALSE),"")</f>
        <v/>
      </c>
      <c r="BJ908" s="21" t="str">
        <f ca="1">IFERROR(VLOOKUP(E908,OFFSET(abbreviation[],0,ColumnLanguage),ColumnAbbreviation,FALSE),"")</f>
        <v/>
      </c>
      <c r="BK908" s="21" t="str">
        <f ca="1">IFERROR(VLOOKUP(G908,OFFSET(abbreviation[],0,ColumnLanguage),ColumnAbbreviation,FALSE),"")</f>
        <v/>
      </c>
      <c r="BL908" s="21" t="str">
        <f ca="1">IFERROR(VLOOKUP(I908,OFFSET(abbreviation[],0,ColumnLanguage),ColumnAbbreviation,FALSE),"")</f>
        <v/>
      </c>
      <c r="BM908" s="21" t="str">
        <f ca="1">IFERROR(VLOOKUP(K908,OFFSET(abbreviation[],0,ColumnLanguage),ColumnAbbreviation,FALSE),"")</f>
        <v/>
      </c>
      <c r="BN908" s="21" t="str">
        <f t="shared" ca="1" si="98"/>
        <v/>
      </c>
      <c r="BO908" s="21" t="str">
        <f ca="1">IFERROR(VLOOKUP(N908,OFFSET(abbreviation[],0,ColumnLanguage),ColumnAbbreviation,FALSE),"")</f>
        <v/>
      </c>
      <c r="BP908" s="21" t="str">
        <f ca="1">IFERROR(VLOOKUP(P908,OFFSET(abbreviation[],0,ColumnLanguage),ColumnAbbreviation,FALSE),"")</f>
        <v/>
      </c>
      <c r="BQ908" s="21" t="str">
        <f ca="1">IFERROR(VLOOKUP(T908,OFFSET(abbreviation[],0,ColumnLanguage),ColumnAbbreviation,FALSE),"")</f>
        <v/>
      </c>
      <c r="BR908" s="21" t="str">
        <f ca="1">IFERROR(VLOOKUP(V908,OFFSET(abbreviation[],0,ColumnLanguage),ColumnAbbreviation,FALSE),"")</f>
        <v/>
      </c>
      <c r="BS908" s="21" t="str">
        <f ca="1">IFERROR(VLOOKUP(Z908,OFFSET(abbreviation[],0,ColumnLanguage),ColumnAbbreviation,FALSE),"")</f>
        <v/>
      </c>
      <c r="BT908" s="21" t="str">
        <f ca="1">IFERROR(VLOOKUP(AB908,OFFSET(abbreviation[],0,ColumnLanguage),ColumnAbbreviation,FALSE),"")</f>
        <v/>
      </c>
      <c r="BU908" s="21" t="str">
        <f t="shared" ca="1" si="99"/>
        <v>__</v>
      </c>
      <c r="BV908" s="21" t="str">
        <f ca="1">IFERROR(VLOOKUP(AF908,OFFSET(abbreviation[],0,ColumnLanguage),ColumnAbbreviation,FALSE),"")</f>
        <v/>
      </c>
      <c r="BW908" s="21" t="str">
        <f ca="1">IFERROR(VLOOKUP(AH908,OFFSET(abbreviation[],0,ColumnLanguage),ColumnAbbreviation,FALSE),"")</f>
        <v/>
      </c>
      <c r="BX908" s="21" t="str">
        <f ca="1">IFERROR(VLOOKUP(AJ908,OFFSET(abbreviation[],0,ColumnLanguage),ColumnAbbreviation,FALSE),"")</f>
        <v/>
      </c>
      <c r="BY908" s="21" t="str">
        <f ca="1">IFERROR(VLOOKUP(AL908,OFFSET(abbreviation[],0,ColumnLanguage),ColumnAbbreviation,FALSE),"")</f>
        <v/>
      </c>
      <c r="BZ908" s="21" t="str">
        <f t="shared" ca="1" si="100"/>
        <v>_</v>
      </c>
      <c r="CA908" s="21" t="str">
        <f ca="1">IFERROR(VLOOKUP(AP908,OFFSET(abbreviation[],0,ColumnLanguage),ColumnAbbreviation,FALSE),"")</f>
        <v/>
      </c>
      <c r="CB908" s="21" t="str">
        <f ca="1">IFERROR(VLOOKUP(AR908,OFFSET(abbreviation[],0,ColumnLanguage),ColumnAbbreviation,FALSE),"")</f>
        <v/>
      </c>
      <c r="CC908" s="21" t="str">
        <f ca="1">IFERROR(VLOOKUP(AT908,OFFSET(abbreviation[],0,ColumnLanguage),ColumnAbbreviation,FALSE),"")</f>
        <v/>
      </c>
      <c r="CD908" s="21" t="str">
        <f ca="1">IFERROR(VLOOKUP(AV908,OFFSET(abbreviation[],0,ColumnLanguage),ColumnAbbreviation,FALSE),"")</f>
        <v/>
      </c>
      <c r="CE908" s="21" t="str">
        <f t="shared" ca="1" si="101"/>
        <v>__</v>
      </c>
      <c r="CF908" s="21" t="str">
        <f ca="1">IFERROR(VLOOKUP(AX908,OFFSET(abbreviation[],0,ColumnLanguage),ColumnAbbreviation,FALSE),"")</f>
        <v/>
      </c>
      <c r="CG908" s="21" t="str">
        <f ca="1">IFERROR(VLOOKUP(AZ908,OFFSET(abbreviation[],0,ColumnLanguage),ColumnAbbreviation,FALSE),"")</f>
        <v/>
      </c>
      <c r="CH908" s="21" t="str">
        <f ca="1">IFERROR(VLOOKUP(BB908,OFFSET(abbreviation[],0,ColumnLanguage),ColumnAbbreviation,FALSE),"")</f>
        <v/>
      </c>
      <c r="CI908" s="21" t="str">
        <f ca="1">IFERROR(VLOOKUP(BD908,OFFSET(abbreviation[],0,ColumnLanguage),ColumnAbbreviation,FALSE),"")</f>
        <v/>
      </c>
      <c r="CJ908" s="21" t="str">
        <f ca="1">IFERROR(VLOOKUP(BF908,OFFSET(abbreviation[],0,ColumnLanguage),ColumnAbbreviation,FALSE),"")</f>
        <v/>
      </c>
      <c r="CK908" s="21" t="str">
        <f t="shared" ca="1" si="102"/>
        <v/>
      </c>
      <c r="CL908" s="21" t="str">
        <f t="shared" si="103"/>
        <v/>
      </c>
      <c r="CM908" s="52"/>
      <c r="CN908" s="57" t="str">
        <f t="shared" si="104"/>
        <v/>
      </c>
    </row>
    <row r="909" spans="17:92" x14ac:dyDescent="0.25">
      <c r="Q909" s="13"/>
      <c r="AN909" s="54"/>
      <c r="AS909" s="15"/>
      <c r="BH909" s="52"/>
      <c r="BI909" s="21" t="str">
        <f ca="1">IFERROR(VLOOKUP(C909,OFFSET(abbreviation[],0,ColumnLanguage),ColumnAbbreviation,FALSE),"")</f>
        <v/>
      </c>
      <c r="BJ909" s="21" t="str">
        <f ca="1">IFERROR(VLOOKUP(E909,OFFSET(abbreviation[],0,ColumnLanguage),ColumnAbbreviation,FALSE),"")</f>
        <v/>
      </c>
      <c r="BK909" s="21" t="str">
        <f ca="1">IFERROR(VLOOKUP(G909,OFFSET(abbreviation[],0,ColumnLanguage),ColumnAbbreviation,FALSE),"")</f>
        <v/>
      </c>
      <c r="BL909" s="21" t="str">
        <f ca="1">IFERROR(VLOOKUP(I909,OFFSET(abbreviation[],0,ColumnLanguage),ColumnAbbreviation,FALSE),"")</f>
        <v/>
      </c>
      <c r="BM909" s="21" t="str">
        <f ca="1">IFERROR(VLOOKUP(K909,OFFSET(abbreviation[],0,ColumnLanguage),ColumnAbbreviation,FALSE),"")</f>
        <v/>
      </c>
      <c r="BN909" s="21" t="str">
        <f t="shared" ca="1" si="98"/>
        <v/>
      </c>
      <c r="BO909" s="21" t="str">
        <f ca="1">IFERROR(VLOOKUP(N909,OFFSET(abbreviation[],0,ColumnLanguage),ColumnAbbreviation,FALSE),"")</f>
        <v/>
      </c>
      <c r="BP909" s="21" t="str">
        <f ca="1">IFERROR(VLOOKUP(P909,OFFSET(abbreviation[],0,ColumnLanguage),ColumnAbbreviation,FALSE),"")</f>
        <v/>
      </c>
      <c r="BQ909" s="21" t="str">
        <f ca="1">IFERROR(VLOOKUP(T909,OFFSET(abbreviation[],0,ColumnLanguage),ColumnAbbreviation,FALSE),"")</f>
        <v/>
      </c>
      <c r="BR909" s="21" t="str">
        <f ca="1">IFERROR(VLOOKUP(V909,OFFSET(abbreviation[],0,ColumnLanguage),ColumnAbbreviation,FALSE),"")</f>
        <v/>
      </c>
      <c r="BS909" s="21" t="str">
        <f ca="1">IFERROR(VLOOKUP(Z909,OFFSET(abbreviation[],0,ColumnLanguage),ColumnAbbreviation,FALSE),"")</f>
        <v/>
      </c>
      <c r="BT909" s="21" t="str">
        <f ca="1">IFERROR(VLOOKUP(AB909,OFFSET(abbreviation[],0,ColumnLanguage),ColumnAbbreviation,FALSE),"")</f>
        <v/>
      </c>
      <c r="BU909" s="21" t="str">
        <f t="shared" ca="1" si="99"/>
        <v>__</v>
      </c>
      <c r="BV909" s="21" t="str">
        <f ca="1">IFERROR(VLOOKUP(AF909,OFFSET(abbreviation[],0,ColumnLanguage),ColumnAbbreviation,FALSE),"")</f>
        <v/>
      </c>
      <c r="BW909" s="21" t="str">
        <f ca="1">IFERROR(VLOOKUP(AH909,OFFSET(abbreviation[],0,ColumnLanguage),ColumnAbbreviation,FALSE),"")</f>
        <v/>
      </c>
      <c r="BX909" s="21" t="str">
        <f ca="1">IFERROR(VLOOKUP(AJ909,OFFSET(abbreviation[],0,ColumnLanguage),ColumnAbbreviation,FALSE),"")</f>
        <v/>
      </c>
      <c r="BY909" s="21" t="str">
        <f ca="1">IFERROR(VLOOKUP(AL909,OFFSET(abbreviation[],0,ColumnLanguage),ColumnAbbreviation,FALSE),"")</f>
        <v/>
      </c>
      <c r="BZ909" s="21" t="str">
        <f t="shared" ca="1" si="100"/>
        <v>_</v>
      </c>
      <c r="CA909" s="21" t="str">
        <f ca="1">IFERROR(VLOOKUP(AP909,OFFSET(abbreviation[],0,ColumnLanguage),ColumnAbbreviation,FALSE),"")</f>
        <v/>
      </c>
      <c r="CB909" s="21" t="str">
        <f ca="1">IFERROR(VLOOKUP(AR909,OFFSET(abbreviation[],0,ColumnLanguage),ColumnAbbreviation,FALSE),"")</f>
        <v/>
      </c>
      <c r="CC909" s="21" t="str">
        <f ca="1">IFERROR(VLOOKUP(AT909,OFFSET(abbreviation[],0,ColumnLanguage),ColumnAbbreviation,FALSE),"")</f>
        <v/>
      </c>
      <c r="CD909" s="21" t="str">
        <f ca="1">IFERROR(VLOOKUP(AV909,OFFSET(abbreviation[],0,ColumnLanguage),ColumnAbbreviation,FALSE),"")</f>
        <v/>
      </c>
      <c r="CE909" s="21" t="str">
        <f t="shared" ca="1" si="101"/>
        <v>__</v>
      </c>
      <c r="CF909" s="21" t="str">
        <f ca="1">IFERROR(VLOOKUP(AX909,OFFSET(abbreviation[],0,ColumnLanguage),ColumnAbbreviation,FALSE),"")</f>
        <v/>
      </c>
      <c r="CG909" s="21" t="str">
        <f ca="1">IFERROR(VLOOKUP(AZ909,OFFSET(abbreviation[],0,ColumnLanguage),ColumnAbbreviation,FALSE),"")</f>
        <v/>
      </c>
      <c r="CH909" s="21" t="str">
        <f ca="1">IFERROR(VLOOKUP(BB909,OFFSET(abbreviation[],0,ColumnLanguage),ColumnAbbreviation,FALSE),"")</f>
        <v/>
      </c>
      <c r="CI909" s="21" t="str">
        <f ca="1">IFERROR(VLOOKUP(BD909,OFFSET(abbreviation[],0,ColumnLanguage),ColumnAbbreviation,FALSE),"")</f>
        <v/>
      </c>
      <c r="CJ909" s="21" t="str">
        <f ca="1">IFERROR(VLOOKUP(BF909,OFFSET(abbreviation[],0,ColumnLanguage),ColumnAbbreviation,FALSE),"")</f>
        <v/>
      </c>
      <c r="CK909" s="21" t="str">
        <f t="shared" ca="1" si="102"/>
        <v/>
      </c>
      <c r="CL909" s="21" t="str">
        <f t="shared" si="103"/>
        <v/>
      </c>
      <c r="CM909" s="52"/>
      <c r="CN909" s="57" t="str">
        <f t="shared" si="104"/>
        <v/>
      </c>
    </row>
    <row r="910" spans="17:92" x14ac:dyDescent="0.25">
      <c r="Q910" s="13"/>
      <c r="AN910" s="54"/>
      <c r="AS910" s="15"/>
      <c r="BH910" s="52"/>
      <c r="BI910" s="21" t="str">
        <f ca="1">IFERROR(VLOOKUP(C910,OFFSET(abbreviation[],0,ColumnLanguage),ColumnAbbreviation,FALSE),"")</f>
        <v/>
      </c>
      <c r="BJ910" s="21" t="str">
        <f ca="1">IFERROR(VLOOKUP(E910,OFFSET(abbreviation[],0,ColumnLanguage),ColumnAbbreviation,FALSE),"")</f>
        <v/>
      </c>
      <c r="BK910" s="21" t="str">
        <f ca="1">IFERROR(VLOOKUP(G910,OFFSET(abbreviation[],0,ColumnLanguage),ColumnAbbreviation,FALSE),"")</f>
        <v/>
      </c>
      <c r="BL910" s="21" t="str">
        <f ca="1">IFERROR(VLOOKUP(I910,OFFSET(abbreviation[],0,ColumnLanguage),ColumnAbbreviation,FALSE),"")</f>
        <v/>
      </c>
      <c r="BM910" s="21" t="str">
        <f ca="1">IFERROR(VLOOKUP(K910,OFFSET(abbreviation[],0,ColumnLanguage),ColumnAbbreviation,FALSE),"")</f>
        <v/>
      </c>
      <c r="BN910" s="21" t="str">
        <f t="shared" ca="1" si="98"/>
        <v/>
      </c>
      <c r="BO910" s="21" t="str">
        <f ca="1">IFERROR(VLOOKUP(N910,OFFSET(abbreviation[],0,ColumnLanguage),ColumnAbbreviation,FALSE),"")</f>
        <v/>
      </c>
      <c r="BP910" s="21" t="str">
        <f ca="1">IFERROR(VLOOKUP(P910,OFFSET(abbreviation[],0,ColumnLanguage),ColumnAbbreviation,FALSE),"")</f>
        <v/>
      </c>
      <c r="BQ910" s="21" t="str">
        <f ca="1">IFERROR(VLOOKUP(T910,OFFSET(abbreviation[],0,ColumnLanguage),ColumnAbbreviation,FALSE),"")</f>
        <v/>
      </c>
      <c r="BR910" s="21" t="str">
        <f ca="1">IFERROR(VLOOKUP(V910,OFFSET(abbreviation[],0,ColumnLanguage),ColumnAbbreviation,FALSE),"")</f>
        <v/>
      </c>
      <c r="BS910" s="21" t="str">
        <f ca="1">IFERROR(VLOOKUP(Z910,OFFSET(abbreviation[],0,ColumnLanguage),ColumnAbbreviation,FALSE),"")</f>
        <v/>
      </c>
      <c r="BT910" s="21" t="str">
        <f ca="1">IFERROR(VLOOKUP(AB910,OFFSET(abbreviation[],0,ColumnLanguage),ColumnAbbreviation,FALSE),"")</f>
        <v/>
      </c>
      <c r="BU910" s="21" t="str">
        <f t="shared" ca="1" si="99"/>
        <v>__</v>
      </c>
      <c r="BV910" s="21" t="str">
        <f ca="1">IFERROR(VLOOKUP(AF910,OFFSET(abbreviation[],0,ColumnLanguage),ColumnAbbreviation,FALSE),"")</f>
        <v/>
      </c>
      <c r="BW910" s="21" t="str">
        <f ca="1">IFERROR(VLOOKUP(AH910,OFFSET(abbreviation[],0,ColumnLanguage),ColumnAbbreviation,FALSE),"")</f>
        <v/>
      </c>
      <c r="BX910" s="21" t="str">
        <f ca="1">IFERROR(VLOOKUP(AJ910,OFFSET(abbreviation[],0,ColumnLanguage),ColumnAbbreviation,FALSE),"")</f>
        <v/>
      </c>
      <c r="BY910" s="21" t="str">
        <f ca="1">IFERROR(VLOOKUP(AL910,OFFSET(abbreviation[],0,ColumnLanguage),ColumnAbbreviation,FALSE),"")</f>
        <v/>
      </c>
      <c r="BZ910" s="21" t="str">
        <f t="shared" ca="1" si="100"/>
        <v>_</v>
      </c>
      <c r="CA910" s="21" t="str">
        <f ca="1">IFERROR(VLOOKUP(AP910,OFFSET(abbreviation[],0,ColumnLanguage),ColumnAbbreviation,FALSE),"")</f>
        <v/>
      </c>
      <c r="CB910" s="21" t="str">
        <f ca="1">IFERROR(VLOOKUP(AR910,OFFSET(abbreviation[],0,ColumnLanguage),ColumnAbbreviation,FALSE),"")</f>
        <v/>
      </c>
      <c r="CC910" s="21" t="str">
        <f ca="1">IFERROR(VLOOKUP(AT910,OFFSET(abbreviation[],0,ColumnLanguage),ColumnAbbreviation,FALSE),"")</f>
        <v/>
      </c>
      <c r="CD910" s="21" t="str">
        <f ca="1">IFERROR(VLOOKUP(AV910,OFFSET(abbreviation[],0,ColumnLanguage),ColumnAbbreviation,FALSE),"")</f>
        <v/>
      </c>
      <c r="CE910" s="21" t="str">
        <f t="shared" ca="1" si="101"/>
        <v>__</v>
      </c>
      <c r="CF910" s="21" t="str">
        <f ca="1">IFERROR(VLOOKUP(AX910,OFFSET(abbreviation[],0,ColumnLanguage),ColumnAbbreviation,FALSE),"")</f>
        <v/>
      </c>
      <c r="CG910" s="21" t="str">
        <f ca="1">IFERROR(VLOOKUP(AZ910,OFFSET(abbreviation[],0,ColumnLanguage),ColumnAbbreviation,FALSE),"")</f>
        <v/>
      </c>
      <c r="CH910" s="21" t="str">
        <f ca="1">IFERROR(VLOOKUP(BB910,OFFSET(abbreviation[],0,ColumnLanguage),ColumnAbbreviation,FALSE),"")</f>
        <v/>
      </c>
      <c r="CI910" s="21" t="str">
        <f ca="1">IFERROR(VLOOKUP(BD910,OFFSET(abbreviation[],0,ColumnLanguage),ColumnAbbreviation,FALSE),"")</f>
        <v/>
      </c>
      <c r="CJ910" s="21" t="str">
        <f ca="1">IFERROR(VLOOKUP(BF910,OFFSET(abbreviation[],0,ColumnLanguage),ColumnAbbreviation,FALSE),"")</f>
        <v/>
      </c>
      <c r="CK910" s="21" t="str">
        <f t="shared" ca="1" si="102"/>
        <v/>
      </c>
      <c r="CL910" s="21" t="str">
        <f t="shared" si="103"/>
        <v/>
      </c>
      <c r="CM910" s="52"/>
      <c r="CN910" s="57" t="str">
        <f t="shared" si="104"/>
        <v/>
      </c>
    </row>
    <row r="911" spans="17:92" x14ac:dyDescent="0.25">
      <c r="Q911" s="13"/>
      <c r="AN911" s="54"/>
      <c r="AS911" s="15"/>
      <c r="BH911" s="52"/>
      <c r="BI911" s="21" t="str">
        <f ca="1">IFERROR(VLOOKUP(C911,OFFSET(abbreviation[],0,ColumnLanguage),ColumnAbbreviation,FALSE),"")</f>
        <v/>
      </c>
      <c r="BJ911" s="21" t="str">
        <f ca="1">IFERROR(VLOOKUP(E911,OFFSET(abbreviation[],0,ColumnLanguage),ColumnAbbreviation,FALSE),"")</f>
        <v/>
      </c>
      <c r="BK911" s="21" t="str">
        <f ca="1">IFERROR(VLOOKUP(G911,OFFSET(abbreviation[],0,ColumnLanguage),ColumnAbbreviation,FALSE),"")</f>
        <v/>
      </c>
      <c r="BL911" s="21" t="str">
        <f ca="1">IFERROR(VLOOKUP(I911,OFFSET(abbreviation[],0,ColumnLanguage),ColumnAbbreviation,FALSE),"")</f>
        <v/>
      </c>
      <c r="BM911" s="21" t="str">
        <f ca="1">IFERROR(VLOOKUP(K911,OFFSET(abbreviation[],0,ColumnLanguage),ColumnAbbreviation,FALSE),"")</f>
        <v/>
      </c>
      <c r="BN911" s="21" t="str">
        <f t="shared" ca="1" si="98"/>
        <v/>
      </c>
      <c r="BO911" s="21" t="str">
        <f ca="1">IFERROR(VLOOKUP(N911,OFFSET(abbreviation[],0,ColumnLanguage),ColumnAbbreviation,FALSE),"")</f>
        <v/>
      </c>
      <c r="BP911" s="21" t="str">
        <f ca="1">IFERROR(VLOOKUP(P911,OFFSET(abbreviation[],0,ColumnLanguage),ColumnAbbreviation,FALSE),"")</f>
        <v/>
      </c>
      <c r="BQ911" s="21" t="str">
        <f ca="1">IFERROR(VLOOKUP(T911,OFFSET(abbreviation[],0,ColumnLanguage),ColumnAbbreviation,FALSE),"")</f>
        <v/>
      </c>
      <c r="BR911" s="21" t="str">
        <f ca="1">IFERROR(VLOOKUP(V911,OFFSET(abbreviation[],0,ColumnLanguage),ColumnAbbreviation,FALSE),"")</f>
        <v/>
      </c>
      <c r="BS911" s="21" t="str">
        <f ca="1">IFERROR(VLOOKUP(Z911,OFFSET(abbreviation[],0,ColumnLanguage),ColumnAbbreviation,FALSE),"")</f>
        <v/>
      </c>
      <c r="BT911" s="21" t="str">
        <f ca="1">IFERROR(VLOOKUP(AB911,OFFSET(abbreviation[],0,ColumnLanguage),ColumnAbbreviation,FALSE),"")</f>
        <v/>
      </c>
      <c r="BU911" s="21" t="str">
        <f t="shared" ca="1" si="99"/>
        <v>__</v>
      </c>
      <c r="BV911" s="21" t="str">
        <f ca="1">IFERROR(VLOOKUP(AF911,OFFSET(abbreviation[],0,ColumnLanguage),ColumnAbbreviation,FALSE),"")</f>
        <v/>
      </c>
      <c r="BW911" s="21" t="str">
        <f ca="1">IFERROR(VLOOKUP(AH911,OFFSET(abbreviation[],0,ColumnLanguage),ColumnAbbreviation,FALSE),"")</f>
        <v/>
      </c>
      <c r="BX911" s="21" t="str">
        <f ca="1">IFERROR(VLOOKUP(AJ911,OFFSET(abbreviation[],0,ColumnLanguage),ColumnAbbreviation,FALSE),"")</f>
        <v/>
      </c>
      <c r="BY911" s="21" t="str">
        <f ca="1">IFERROR(VLOOKUP(AL911,OFFSET(abbreviation[],0,ColumnLanguage),ColumnAbbreviation,FALSE),"")</f>
        <v/>
      </c>
      <c r="BZ911" s="21" t="str">
        <f t="shared" ca="1" si="100"/>
        <v>_</v>
      </c>
      <c r="CA911" s="21" t="str">
        <f ca="1">IFERROR(VLOOKUP(AP911,OFFSET(abbreviation[],0,ColumnLanguage),ColumnAbbreviation,FALSE),"")</f>
        <v/>
      </c>
      <c r="CB911" s="21" t="str">
        <f ca="1">IFERROR(VLOOKUP(AR911,OFFSET(abbreviation[],0,ColumnLanguage),ColumnAbbreviation,FALSE),"")</f>
        <v/>
      </c>
      <c r="CC911" s="21" t="str">
        <f ca="1">IFERROR(VLOOKUP(AT911,OFFSET(abbreviation[],0,ColumnLanguage),ColumnAbbreviation,FALSE),"")</f>
        <v/>
      </c>
      <c r="CD911" s="21" t="str">
        <f ca="1">IFERROR(VLOOKUP(AV911,OFFSET(abbreviation[],0,ColumnLanguage),ColumnAbbreviation,FALSE),"")</f>
        <v/>
      </c>
      <c r="CE911" s="21" t="str">
        <f t="shared" ca="1" si="101"/>
        <v>__</v>
      </c>
      <c r="CF911" s="21" t="str">
        <f ca="1">IFERROR(VLOOKUP(AX911,OFFSET(abbreviation[],0,ColumnLanguage),ColumnAbbreviation,FALSE),"")</f>
        <v/>
      </c>
      <c r="CG911" s="21" t="str">
        <f ca="1">IFERROR(VLOOKUP(AZ911,OFFSET(abbreviation[],0,ColumnLanguage),ColumnAbbreviation,FALSE),"")</f>
        <v/>
      </c>
      <c r="CH911" s="21" t="str">
        <f ca="1">IFERROR(VLOOKUP(BB911,OFFSET(abbreviation[],0,ColumnLanguage),ColumnAbbreviation,FALSE),"")</f>
        <v/>
      </c>
      <c r="CI911" s="21" t="str">
        <f ca="1">IFERROR(VLOOKUP(BD911,OFFSET(abbreviation[],0,ColumnLanguage),ColumnAbbreviation,FALSE),"")</f>
        <v/>
      </c>
      <c r="CJ911" s="21" t="str">
        <f ca="1">IFERROR(VLOOKUP(BF911,OFFSET(abbreviation[],0,ColumnLanguage),ColumnAbbreviation,FALSE),"")</f>
        <v/>
      </c>
      <c r="CK911" s="21" t="str">
        <f t="shared" ca="1" si="102"/>
        <v/>
      </c>
      <c r="CL911" s="21" t="str">
        <f t="shared" si="103"/>
        <v/>
      </c>
      <c r="CM911" s="52"/>
      <c r="CN911" s="57" t="str">
        <f t="shared" si="104"/>
        <v/>
      </c>
    </row>
    <row r="912" spans="17:92" x14ac:dyDescent="0.25">
      <c r="Q912" s="13"/>
      <c r="AN912" s="54"/>
      <c r="AS912" s="15"/>
      <c r="BH912" s="52"/>
      <c r="BI912" s="21" t="str">
        <f ca="1">IFERROR(VLOOKUP(C912,OFFSET(abbreviation[],0,ColumnLanguage),ColumnAbbreviation,FALSE),"")</f>
        <v/>
      </c>
      <c r="BJ912" s="21" t="str">
        <f ca="1">IFERROR(VLOOKUP(E912,OFFSET(abbreviation[],0,ColumnLanguage),ColumnAbbreviation,FALSE),"")</f>
        <v/>
      </c>
      <c r="BK912" s="21" t="str">
        <f ca="1">IFERROR(VLOOKUP(G912,OFFSET(abbreviation[],0,ColumnLanguage),ColumnAbbreviation,FALSE),"")</f>
        <v/>
      </c>
      <c r="BL912" s="21" t="str">
        <f ca="1">IFERROR(VLOOKUP(I912,OFFSET(abbreviation[],0,ColumnLanguage),ColumnAbbreviation,FALSE),"")</f>
        <v/>
      </c>
      <c r="BM912" s="21" t="str">
        <f ca="1">IFERROR(VLOOKUP(K912,OFFSET(abbreviation[],0,ColumnLanguage),ColumnAbbreviation,FALSE),"")</f>
        <v/>
      </c>
      <c r="BN912" s="21" t="str">
        <f t="shared" ca="1" si="98"/>
        <v/>
      </c>
      <c r="BO912" s="21" t="str">
        <f ca="1">IFERROR(VLOOKUP(N912,OFFSET(abbreviation[],0,ColumnLanguage),ColumnAbbreviation,FALSE),"")</f>
        <v/>
      </c>
      <c r="BP912" s="21" t="str">
        <f ca="1">IFERROR(VLOOKUP(P912,OFFSET(abbreviation[],0,ColumnLanguage),ColumnAbbreviation,FALSE),"")</f>
        <v/>
      </c>
      <c r="BQ912" s="21" t="str">
        <f ca="1">IFERROR(VLOOKUP(T912,OFFSET(abbreviation[],0,ColumnLanguage),ColumnAbbreviation,FALSE),"")</f>
        <v/>
      </c>
      <c r="BR912" s="21" t="str">
        <f ca="1">IFERROR(VLOOKUP(V912,OFFSET(abbreviation[],0,ColumnLanguage),ColumnAbbreviation,FALSE),"")</f>
        <v/>
      </c>
      <c r="BS912" s="21" t="str">
        <f ca="1">IFERROR(VLOOKUP(Z912,OFFSET(abbreviation[],0,ColumnLanguage),ColumnAbbreviation,FALSE),"")</f>
        <v/>
      </c>
      <c r="BT912" s="21" t="str">
        <f ca="1">IFERROR(VLOOKUP(AB912,OFFSET(abbreviation[],0,ColumnLanguage),ColumnAbbreviation,FALSE),"")</f>
        <v/>
      </c>
      <c r="BU912" s="21" t="str">
        <f t="shared" ca="1" si="99"/>
        <v>__</v>
      </c>
      <c r="BV912" s="21" t="str">
        <f ca="1">IFERROR(VLOOKUP(AF912,OFFSET(abbreviation[],0,ColumnLanguage),ColumnAbbreviation,FALSE),"")</f>
        <v/>
      </c>
      <c r="BW912" s="21" t="str">
        <f ca="1">IFERROR(VLOOKUP(AH912,OFFSET(abbreviation[],0,ColumnLanguage),ColumnAbbreviation,FALSE),"")</f>
        <v/>
      </c>
      <c r="BX912" s="21" t="str">
        <f ca="1">IFERROR(VLOOKUP(AJ912,OFFSET(abbreviation[],0,ColumnLanguage),ColumnAbbreviation,FALSE),"")</f>
        <v/>
      </c>
      <c r="BY912" s="21" t="str">
        <f ca="1">IFERROR(VLOOKUP(AL912,OFFSET(abbreviation[],0,ColumnLanguage),ColumnAbbreviation,FALSE),"")</f>
        <v/>
      </c>
      <c r="BZ912" s="21" t="str">
        <f t="shared" ca="1" si="100"/>
        <v>_</v>
      </c>
      <c r="CA912" s="21" t="str">
        <f ca="1">IFERROR(VLOOKUP(AP912,OFFSET(abbreviation[],0,ColumnLanguage),ColumnAbbreviation,FALSE),"")</f>
        <v/>
      </c>
      <c r="CB912" s="21" t="str">
        <f ca="1">IFERROR(VLOOKUP(AR912,OFFSET(abbreviation[],0,ColumnLanguage),ColumnAbbreviation,FALSE),"")</f>
        <v/>
      </c>
      <c r="CC912" s="21" t="str">
        <f ca="1">IFERROR(VLOOKUP(AT912,OFFSET(abbreviation[],0,ColumnLanguage),ColumnAbbreviation,FALSE),"")</f>
        <v/>
      </c>
      <c r="CD912" s="21" t="str">
        <f ca="1">IFERROR(VLOOKUP(AV912,OFFSET(abbreviation[],0,ColumnLanguage),ColumnAbbreviation,FALSE),"")</f>
        <v/>
      </c>
      <c r="CE912" s="21" t="str">
        <f t="shared" ca="1" si="101"/>
        <v>__</v>
      </c>
      <c r="CF912" s="21" t="str">
        <f ca="1">IFERROR(VLOOKUP(AX912,OFFSET(abbreviation[],0,ColumnLanguage),ColumnAbbreviation,FALSE),"")</f>
        <v/>
      </c>
      <c r="CG912" s="21" t="str">
        <f ca="1">IFERROR(VLOOKUP(AZ912,OFFSET(abbreviation[],0,ColumnLanguage),ColumnAbbreviation,FALSE),"")</f>
        <v/>
      </c>
      <c r="CH912" s="21" t="str">
        <f ca="1">IFERROR(VLOOKUP(BB912,OFFSET(abbreviation[],0,ColumnLanguage),ColumnAbbreviation,FALSE),"")</f>
        <v/>
      </c>
      <c r="CI912" s="21" t="str">
        <f ca="1">IFERROR(VLOOKUP(BD912,OFFSET(abbreviation[],0,ColumnLanguage),ColumnAbbreviation,FALSE),"")</f>
        <v/>
      </c>
      <c r="CJ912" s="21" t="str">
        <f ca="1">IFERROR(VLOOKUP(BF912,OFFSET(abbreviation[],0,ColumnLanguage),ColumnAbbreviation,FALSE),"")</f>
        <v/>
      </c>
      <c r="CK912" s="21" t="str">
        <f t="shared" ca="1" si="102"/>
        <v/>
      </c>
      <c r="CL912" s="21" t="str">
        <f t="shared" si="103"/>
        <v/>
      </c>
      <c r="CM912" s="52"/>
      <c r="CN912" s="57" t="str">
        <f t="shared" si="104"/>
        <v/>
      </c>
    </row>
    <row r="913" spans="17:92" x14ac:dyDescent="0.25">
      <c r="Q913" s="13"/>
      <c r="AN913" s="54"/>
      <c r="AS913" s="15"/>
      <c r="BH913" s="52"/>
      <c r="BI913" s="21" t="str">
        <f ca="1">IFERROR(VLOOKUP(C913,OFFSET(abbreviation[],0,ColumnLanguage),ColumnAbbreviation,FALSE),"")</f>
        <v/>
      </c>
      <c r="BJ913" s="21" t="str">
        <f ca="1">IFERROR(VLOOKUP(E913,OFFSET(abbreviation[],0,ColumnLanguage),ColumnAbbreviation,FALSE),"")</f>
        <v/>
      </c>
      <c r="BK913" s="21" t="str">
        <f ca="1">IFERROR(VLOOKUP(G913,OFFSET(abbreviation[],0,ColumnLanguage),ColumnAbbreviation,FALSE),"")</f>
        <v/>
      </c>
      <c r="BL913" s="21" t="str">
        <f ca="1">IFERROR(VLOOKUP(I913,OFFSET(abbreviation[],0,ColumnLanguage),ColumnAbbreviation,FALSE),"")</f>
        <v/>
      </c>
      <c r="BM913" s="21" t="str">
        <f ca="1">IFERROR(VLOOKUP(K913,OFFSET(abbreviation[],0,ColumnLanguage),ColumnAbbreviation,FALSE),"")</f>
        <v/>
      </c>
      <c r="BN913" s="21" t="str">
        <f t="shared" ca="1" si="98"/>
        <v/>
      </c>
      <c r="BO913" s="21" t="str">
        <f ca="1">IFERROR(VLOOKUP(N913,OFFSET(abbreviation[],0,ColumnLanguage),ColumnAbbreviation,FALSE),"")</f>
        <v/>
      </c>
      <c r="BP913" s="21" t="str">
        <f ca="1">IFERROR(VLOOKUP(P913,OFFSET(abbreviation[],0,ColumnLanguage),ColumnAbbreviation,FALSE),"")</f>
        <v/>
      </c>
      <c r="BQ913" s="21" t="str">
        <f ca="1">IFERROR(VLOOKUP(T913,OFFSET(abbreviation[],0,ColumnLanguage),ColumnAbbreviation,FALSE),"")</f>
        <v/>
      </c>
      <c r="BR913" s="21" t="str">
        <f ca="1">IFERROR(VLOOKUP(V913,OFFSET(abbreviation[],0,ColumnLanguage),ColumnAbbreviation,FALSE),"")</f>
        <v/>
      </c>
      <c r="BS913" s="21" t="str">
        <f ca="1">IFERROR(VLOOKUP(Z913,OFFSET(abbreviation[],0,ColumnLanguage),ColumnAbbreviation,FALSE),"")</f>
        <v/>
      </c>
      <c r="BT913" s="21" t="str">
        <f ca="1">IFERROR(VLOOKUP(AB913,OFFSET(abbreviation[],0,ColumnLanguage),ColumnAbbreviation,FALSE),"")</f>
        <v/>
      </c>
      <c r="BU913" s="21" t="str">
        <f t="shared" ca="1" si="99"/>
        <v>__</v>
      </c>
      <c r="BV913" s="21" t="str">
        <f ca="1">IFERROR(VLOOKUP(AF913,OFFSET(abbreviation[],0,ColumnLanguage),ColumnAbbreviation,FALSE),"")</f>
        <v/>
      </c>
      <c r="BW913" s="21" t="str">
        <f ca="1">IFERROR(VLOOKUP(AH913,OFFSET(abbreviation[],0,ColumnLanguage),ColumnAbbreviation,FALSE),"")</f>
        <v/>
      </c>
      <c r="BX913" s="21" t="str">
        <f ca="1">IFERROR(VLOOKUP(AJ913,OFFSET(abbreviation[],0,ColumnLanguage),ColumnAbbreviation,FALSE),"")</f>
        <v/>
      </c>
      <c r="BY913" s="21" t="str">
        <f ca="1">IFERROR(VLOOKUP(AL913,OFFSET(abbreviation[],0,ColumnLanguage),ColumnAbbreviation,FALSE),"")</f>
        <v/>
      </c>
      <c r="BZ913" s="21" t="str">
        <f t="shared" ca="1" si="100"/>
        <v>_</v>
      </c>
      <c r="CA913" s="21" t="str">
        <f ca="1">IFERROR(VLOOKUP(AP913,OFFSET(abbreviation[],0,ColumnLanguage),ColumnAbbreviation,FALSE),"")</f>
        <v/>
      </c>
      <c r="CB913" s="21" t="str">
        <f ca="1">IFERROR(VLOOKUP(AR913,OFFSET(abbreviation[],0,ColumnLanguage),ColumnAbbreviation,FALSE),"")</f>
        <v/>
      </c>
      <c r="CC913" s="21" t="str">
        <f ca="1">IFERROR(VLOOKUP(AT913,OFFSET(abbreviation[],0,ColumnLanguage),ColumnAbbreviation,FALSE),"")</f>
        <v/>
      </c>
      <c r="CD913" s="21" t="str">
        <f ca="1">IFERROR(VLOOKUP(AV913,OFFSET(abbreviation[],0,ColumnLanguage),ColumnAbbreviation,FALSE),"")</f>
        <v/>
      </c>
      <c r="CE913" s="21" t="str">
        <f t="shared" ca="1" si="101"/>
        <v>__</v>
      </c>
      <c r="CF913" s="21" t="str">
        <f ca="1">IFERROR(VLOOKUP(AX913,OFFSET(abbreviation[],0,ColumnLanguage),ColumnAbbreviation,FALSE),"")</f>
        <v/>
      </c>
      <c r="CG913" s="21" t="str">
        <f ca="1">IFERROR(VLOOKUP(AZ913,OFFSET(abbreviation[],0,ColumnLanguage),ColumnAbbreviation,FALSE),"")</f>
        <v/>
      </c>
      <c r="CH913" s="21" t="str">
        <f ca="1">IFERROR(VLOOKUP(BB913,OFFSET(abbreviation[],0,ColumnLanguage),ColumnAbbreviation,FALSE),"")</f>
        <v/>
      </c>
      <c r="CI913" s="21" t="str">
        <f ca="1">IFERROR(VLOOKUP(BD913,OFFSET(abbreviation[],0,ColumnLanguage),ColumnAbbreviation,FALSE),"")</f>
        <v/>
      </c>
      <c r="CJ913" s="21" t="str">
        <f ca="1">IFERROR(VLOOKUP(BF913,OFFSET(abbreviation[],0,ColumnLanguage),ColumnAbbreviation,FALSE),"")</f>
        <v/>
      </c>
      <c r="CK913" s="21" t="str">
        <f t="shared" ca="1" si="102"/>
        <v/>
      </c>
      <c r="CL913" s="21" t="str">
        <f t="shared" si="103"/>
        <v/>
      </c>
      <c r="CM913" s="52"/>
      <c r="CN913" s="57" t="str">
        <f t="shared" si="104"/>
        <v/>
      </c>
    </row>
    <row r="914" spans="17:92" x14ac:dyDescent="0.25">
      <c r="Q914" s="13"/>
      <c r="AN914" s="54"/>
      <c r="AS914" s="15"/>
      <c r="BH914" s="52"/>
      <c r="BI914" s="21" t="str">
        <f ca="1">IFERROR(VLOOKUP(C914,OFFSET(abbreviation[],0,ColumnLanguage),ColumnAbbreviation,FALSE),"")</f>
        <v/>
      </c>
      <c r="BJ914" s="21" t="str">
        <f ca="1">IFERROR(VLOOKUP(E914,OFFSET(abbreviation[],0,ColumnLanguage),ColumnAbbreviation,FALSE),"")</f>
        <v/>
      </c>
      <c r="BK914" s="21" t="str">
        <f ca="1">IFERROR(VLOOKUP(G914,OFFSET(abbreviation[],0,ColumnLanguage),ColumnAbbreviation,FALSE),"")</f>
        <v/>
      </c>
      <c r="BL914" s="21" t="str">
        <f ca="1">IFERROR(VLOOKUP(I914,OFFSET(abbreviation[],0,ColumnLanguage),ColumnAbbreviation,FALSE),"")</f>
        <v/>
      </c>
      <c r="BM914" s="21" t="str">
        <f ca="1">IFERROR(VLOOKUP(K914,OFFSET(abbreviation[],0,ColumnLanguage),ColumnAbbreviation,FALSE),"")</f>
        <v/>
      </c>
      <c r="BN914" s="21" t="str">
        <f t="shared" ca="1" si="98"/>
        <v/>
      </c>
      <c r="BO914" s="21" t="str">
        <f ca="1">IFERROR(VLOOKUP(N914,OFFSET(abbreviation[],0,ColumnLanguage),ColumnAbbreviation,FALSE),"")</f>
        <v/>
      </c>
      <c r="BP914" s="21" t="str">
        <f ca="1">IFERROR(VLOOKUP(P914,OFFSET(abbreviation[],0,ColumnLanguage),ColumnAbbreviation,FALSE),"")</f>
        <v/>
      </c>
      <c r="BQ914" s="21" t="str">
        <f ca="1">IFERROR(VLOOKUP(T914,OFFSET(abbreviation[],0,ColumnLanguage),ColumnAbbreviation,FALSE),"")</f>
        <v/>
      </c>
      <c r="BR914" s="21" t="str">
        <f ca="1">IFERROR(VLOOKUP(V914,OFFSET(abbreviation[],0,ColumnLanguage),ColumnAbbreviation,FALSE),"")</f>
        <v/>
      </c>
      <c r="BS914" s="21" t="str">
        <f ca="1">IFERROR(VLOOKUP(Z914,OFFSET(abbreviation[],0,ColumnLanguage),ColumnAbbreviation,FALSE),"")</f>
        <v/>
      </c>
      <c r="BT914" s="21" t="str">
        <f ca="1">IFERROR(VLOOKUP(AB914,OFFSET(abbreviation[],0,ColumnLanguage),ColumnAbbreviation,FALSE),"")</f>
        <v/>
      </c>
      <c r="BU914" s="21" t="str">
        <f t="shared" ca="1" si="99"/>
        <v>__</v>
      </c>
      <c r="BV914" s="21" t="str">
        <f ca="1">IFERROR(VLOOKUP(AF914,OFFSET(abbreviation[],0,ColumnLanguage),ColumnAbbreviation,FALSE),"")</f>
        <v/>
      </c>
      <c r="BW914" s="21" t="str">
        <f ca="1">IFERROR(VLOOKUP(AH914,OFFSET(abbreviation[],0,ColumnLanguage),ColumnAbbreviation,FALSE),"")</f>
        <v/>
      </c>
      <c r="BX914" s="21" t="str">
        <f ca="1">IFERROR(VLOOKUP(AJ914,OFFSET(abbreviation[],0,ColumnLanguage),ColumnAbbreviation,FALSE),"")</f>
        <v/>
      </c>
      <c r="BY914" s="21" t="str">
        <f ca="1">IFERROR(VLOOKUP(AL914,OFFSET(abbreviation[],0,ColumnLanguage),ColumnAbbreviation,FALSE),"")</f>
        <v/>
      </c>
      <c r="BZ914" s="21" t="str">
        <f t="shared" ca="1" si="100"/>
        <v>_</v>
      </c>
      <c r="CA914" s="21" t="str">
        <f ca="1">IFERROR(VLOOKUP(AP914,OFFSET(abbreviation[],0,ColumnLanguage),ColumnAbbreviation,FALSE),"")</f>
        <v/>
      </c>
      <c r="CB914" s="21" t="str">
        <f ca="1">IFERROR(VLOOKUP(AR914,OFFSET(abbreviation[],0,ColumnLanguage),ColumnAbbreviation,FALSE),"")</f>
        <v/>
      </c>
      <c r="CC914" s="21" t="str">
        <f ca="1">IFERROR(VLOOKUP(AT914,OFFSET(abbreviation[],0,ColumnLanguage),ColumnAbbreviation,FALSE),"")</f>
        <v/>
      </c>
      <c r="CD914" s="21" t="str">
        <f ca="1">IFERROR(VLOOKUP(AV914,OFFSET(abbreviation[],0,ColumnLanguage),ColumnAbbreviation,FALSE),"")</f>
        <v/>
      </c>
      <c r="CE914" s="21" t="str">
        <f t="shared" ca="1" si="101"/>
        <v>__</v>
      </c>
      <c r="CF914" s="21" t="str">
        <f ca="1">IFERROR(VLOOKUP(AX914,OFFSET(abbreviation[],0,ColumnLanguage),ColumnAbbreviation,FALSE),"")</f>
        <v/>
      </c>
      <c r="CG914" s="21" t="str">
        <f ca="1">IFERROR(VLOOKUP(AZ914,OFFSET(abbreviation[],0,ColumnLanguage),ColumnAbbreviation,FALSE),"")</f>
        <v/>
      </c>
      <c r="CH914" s="21" t="str">
        <f ca="1">IFERROR(VLOOKUP(BB914,OFFSET(abbreviation[],0,ColumnLanguage),ColumnAbbreviation,FALSE),"")</f>
        <v/>
      </c>
      <c r="CI914" s="21" t="str">
        <f ca="1">IFERROR(VLOOKUP(BD914,OFFSET(abbreviation[],0,ColumnLanguage),ColumnAbbreviation,FALSE),"")</f>
        <v/>
      </c>
      <c r="CJ914" s="21" t="str">
        <f ca="1">IFERROR(VLOOKUP(BF914,OFFSET(abbreviation[],0,ColumnLanguage),ColumnAbbreviation,FALSE),"")</f>
        <v/>
      </c>
      <c r="CK914" s="21" t="str">
        <f t="shared" ca="1" si="102"/>
        <v/>
      </c>
      <c r="CL914" s="21" t="str">
        <f t="shared" si="103"/>
        <v/>
      </c>
      <c r="CM914" s="52"/>
      <c r="CN914" s="57" t="str">
        <f t="shared" si="104"/>
        <v/>
      </c>
    </row>
    <row r="915" spans="17:92" x14ac:dyDescent="0.25">
      <c r="Q915" s="13"/>
      <c r="AN915" s="54"/>
      <c r="AS915" s="15"/>
      <c r="BH915" s="52"/>
      <c r="BI915" s="21" t="str">
        <f ca="1">IFERROR(VLOOKUP(C915,OFFSET(abbreviation[],0,ColumnLanguage),ColumnAbbreviation,FALSE),"")</f>
        <v/>
      </c>
      <c r="BJ915" s="21" t="str">
        <f ca="1">IFERROR(VLOOKUP(E915,OFFSET(abbreviation[],0,ColumnLanguage),ColumnAbbreviation,FALSE),"")</f>
        <v/>
      </c>
      <c r="BK915" s="21" t="str">
        <f ca="1">IFERROR(VLOOKUP(G915,OFFSET(abbreviation[],0,ColumnLanguage),ColumnAbbreviation,FALSE),"")</f>
        <v/>
      </c>
      <c r="BL915" s="21" t="str">
        <f ca="1">IFERROR(VLOOKUP(I915,OFFSET(abbreviation[],0,ColumnLanguage),ColumnAbbreviation,FALSE),"")</f>
        <v/>
      </c>
      <c r="BM915" s="21" t="str">
        <f ca="1">IFERROR(VLOOKUP(K915,OFFSET(abbreviation[],0,ColumnLanguage),ColumnAbbreviation,FALSE),"")</f>
        <v/>
      </c>
      <c r="BN915" s="21" t="str">
        <f t="shared" ca="1" si="98"/>
        <v/>
      </c>
      <c r="BO915" s="21" t="str">
        <f ca="1">IFERROR(VLOOKUP(N915,OFFSET(abbreviation[],0,ColumnLanguage),ColumnAbbreviation,FALSE),"")</f>
        <v/>
      </c>
      <c r="BP915" s="21" t="str">
        <f ca="1">IFERROR(VLOOKUP(P915,OFFSET(abbreviation[],0,ColumnLanguage),ColumnAbbreviation,FALSE),"")</f>
        <v/>
      </c>
      <c r="BQ915" s="21" t="str">
        <f ca="1">IFERROR(VLOOKUP(T915,OFFSET(abbreviation[],0,ColumnLanguage),ColumnAbbreviation,FALSE),"")</f>
        <v/>
      </c>
      <c r="BR915" s="21" t="str">
        <f ca="1">IFERROR(VLOOKUP(V915,OFFSET(abbreviation[],0,ColumnLanguage),ColumnAbbreviation,FALSE),"")</f>
        <v/>
      </c>
      <c r="BS915" s="21" t="str">
        <f ca="1">IFERROR(VLOOKUP(Z915,OFFSET(abbreviation[],0,ColumnLanguage),ColumnAbbreviation,FALSE),"")</f>
        <v/>
      </c>
      <c r="BT915" s="21" t="str">
        <f ca="1">IFERROR(VLOOKUP(AB915,OFFSET(abbreviation[],0,ColumnLanguage),ColumnAbbreviation,FALSE),"")</f>
        <v/>
      </c>
      <c r="BU915" s="21" t="str">
        <f t="shared" ca="1" si="99"/>
        <v>__</v>
      </c>
      <c r="BV915" s="21" t="str">
        <f ca="1">IFERROR(VLOOKUP(AF915,OFFSET(abbreviation[],0,ColumnLanguage),ColumnAbbreviation,FALSE),"")</f>
        <v/>
      </c>
      <c r="BW915" s="21" t="str">
        <f ca="1">IFERROR(VLOOKUP(AH915,OFFSET(abbreviation[],0,ColumnLanguage),ColumnAbbreviation,FALSE),"")</f>
        <v/>
      </c>
      <c r="BX915" s="21" t="str">
        <f ca="1">IFERROR(VLOOKUP(AJ915,OFFSET(abbreviation[],0,ColumnLanguage),ColumnAbbreviation,FALSE),"")</f>
        <v/>
      </c>
      <c r="BY915" s="21" t="str">
        <f ca="1">IFERROR(VLOOKUP(AL915,OFFSET(abbreviation[],0,ColumnLanguage),ColumnAbbreviation,FALSE),"")</f>
        <v/>
      </c>
      <c r="BZ915" s="21" t="str">
        <f t="shared" ca="1" si="100"/>
        <v>_</v>
      </c>
      <c r="CA915" s="21" t="str">
        <f ca="1">IFERROR(VLOOKUP(AP915,OFFSET(abbreviation[],0,ColumnLanguage),ColumnAbbreviation,FALSE),"")</f>
        <v/>
      </c>
      <c r="CB915" s="21" t="str">
        <f ca="1">IFERROR(VLOOKUP(AR915,OFFSET(abbreviation[],0,ColumnLanguage),ColumnAbbreviation,FALSE),"")</f>
        <v/>
      </c>
      <c r="CC915" s="21" t="str">
        <f ca="1">IFERROR(VLOOKUP(AT915,OFFSET(abbreviation[],0,ColumnLanguage),ColumnAbbreviation,FALSE),"")</f>
        <v/>
      </c>
      <c r="CD915" s="21" t="str">
        <f ca="1">IFERROR(VLOOKUP(AV915,OFFSET(abbreviation[],0,ColumnLanguage),ColumnAbbreviation,FALSE),"")</f>
        <v/>
      </c>
      <c r="CE915" s="21" t="str">
        <f t="shared" ca="1" si="101"/>
        <v>__</v>
      </c>
      <c r="CF915" s="21" t="str">
        <f ca="1">IFERROR(VLOOKUP(AX915,OFFSET(abbreviation[],0,ColumnLanguage),ColumnAbbreviation,FALSE),"")</f>
        <v/>
      </c>
      <c r="CG915" s="21" t="str">
        <f ca="1">IFERROR(VLOOKUP(AZ915,OFFSET(abbreviation[],0,ColumnLanguage),ColumnAbbreviation,FALSE),"")</f>
        <v/>
      </c>
      <c r="CH915" s="21" t="str">
        <f ca="1">IFERROR(VLOOKUP(BB915,OFFSET(abbreviation[],0,ColumnLanguage),ColumnAbbreviation,FALSE),"")</f>
        <v/>
      </c>
      <c r="CI915" s="21" t="str">
        <f ca="1">IFERROR(VLOOKUP(BD915,OFFSET(abbreviation[],0,ColumnLanguage),ColumnAbbreviation,FALSE),"")</f>
        <v/>
      </c>
      <c r="CJ915" s="21" t="str">
        <f ca="1">IFERROR(VLOOKUP(BF915,OFFSET(abbreviation[],0,ColumnLanguage),ColumnAbbreviation,FALSE),"")</f>
        <v/>
      </c>
      <c r="CK915" s="21" t="str">
        <f t="shared" ca="1" si="102"/>
        <v/>
      </c>
      <c r="CL915" s="21" t="str">
        <f t="shared" si="103"/>
        <v/>
      </c>
      <c r="CM915" s="52"/>
      <c r="CN915" s="57" t="str">
        <f t="shared" si="104"/>
        <v/>
      </c>
    </row>
    <row r="916" spans="17:92" x14ac:dyDescent="0.25">
      <c r="Q916" s="13"/>
      <c r="AN916" s="54"/>
      <c r="AS916" s="15"/>
      <c r="BH916" s="52"/>
      <c r="BI916" s="21" t="str">
        <f ca="1">IFERROR(VLOOKUP(C916,OFFSET(abbreviation[],0,ColumnLanguage),ColumnAbbreviation,FALSE),"")</f>
        <v/>
      </c>
      <c r="BJ916" s="21" t="str">
        <f ca="1">IFERROR(VLOOKUP(E916,OFFSET(abbreviation[],0,ColumnLanguage),ColumnAbbreviation,FALSE),"")</f>
        <v/>
      </c>
      <c r="BK916" s="21" t="str">
        <f ca="1">IFERROR(VLOOKUP(G916,OFFSET(abbreviation[],0,ColumnLanguage),ColumnAbbreviation,FALSE),"")</f>
        <v/>
      </c>
      <c r="BL916" s="21" t="str">
        <f ca="1">IFERROR(VLOOKUP(I916,OFFSET(abbreviation[],0,ColumnLanguage),ColumnAbbreviation,FALSE),"")</f>
        <v/>
      </c>
      <c r="BM916" s="21" t="str">
        <f ca="1">IFERROR(VLOOKUP(K916,OFFSET(abbreviation[],0,ColumnLanguage),ColumnAbbreviation,FALSE),"")</f>
        <v/>
      </c>
      <c r="BN916" s="21" t="str">
        <f t="shared" ca="1" si="98"/>
        <v/>
      </c>
      <c r="BO916" s="21" t="str">
        <f ca="1">IFERROR(VLOOKUP(N916,OFFSET(abbreviation[],0,ColumnLanguage),ColumnAbbreviation,FALSE),"")</f>
        <v/>
      </c>
      <c r="BP916" s="21" t="str">
        <f ca="1">IFERROR(VLOOKUP(P916,OFFSET(abbreviation[],0,ColumnLanguage),ColumnAbbreviation,FALSE),"")</f>
        <v/>
      </c>
      <c r="BQ916" s="21" t="str">
        <f ca="1">IFERROR(VLOOKUP(T916,OFFSET(abbreviation[],0,ColumnLanguage),ColumnAbbreviation,FALSE),"")</f>
        <v/>
      </c>
      <c r="BR916" s="21" t="str">
        <f ca="1">IFERROR(VLOOKUP(V916,OFFSET(abbreviation[],0,ColumnLanguage),ColumnAbbreviation,FALSE),"")</f>
        <v/>
      </c>
      <c r="BS916" s="21" t="str">
        <f ca="1">IFERROR(VLOOKUP(Z916,OFFSET(abbreviation[],0,ColumnLanguage),ColumnAbbreviation,FALSE),"")</f>
        <v/>
      </c>
      <c r="BT916" s="21" t="str">
        <f ca="1">IFERROR(VLOOKUP(AB916,OFFSET(abbreviation[],0,ColumnLanguage),ColumnAbbreviation,FALSE),"")</f>
        <v/>
      </c>
      <c r="BU916" s="21" t="str">
        <f t="shared" ca="1" si="99"/>
        <v>__</v>
      </c>
      <c r="BV916" s="21" t="str">
        <f ca="1">IFERROR(VLOOKUP(AF916,OFFSET(abbreviation[],0,ColumnLanguage),ColumnAbbreviation,FALSE),"")</f>
        <v/>
      </c>
      <c r="BW916" s="21" t="str">
        <f ca="1">IFERROR(VLOOKUP(AH916,OFFSET(abbreviation[],0,ColumnLanguage),ColumnAbbreviation,FALSE),"")</f>
        <v/>
      </c>
      <c r="BX916" s="21" t="str">
        <f ca="1">IFERROR(VLOOKUP(AJ916,OFFSET(abbreviation[],0,ColumnLanguage),ColumnAbbreviation,FALSE),"")</f>
        <v/>
      </c>
      <c r="BY916" s="21" t="str">
        <f ca="1">IFERROR(VLOOKUP(AL916,OFFSET(abbreviation[],0,ColumnLanguage),ColumnAbbreviation,FALSE),"")</f>
        <v/>
      </c>
      <c r="BZ916" s="21" t="str">
        <f t="shared" ca="1" si="100"/>
        <v>_</v>
      </c>
      <c r="CA916" s="21" t="str">
        <f ca="1">IFERROR(VLOOKUP(AP916,OFFSET(abbreviation[],0,ColumnLanguage),ColumnAbbreviation,FALSE),"")</f>
        <v/>
      </c>
      <c r="CB916" s="21" t="str">
        <f ca="1">IFERROR(VLOOKUP(AR916,OFFSET(abbreviation[],0,ColumnLanguage),ColumnAbbreviation,FALSE),"")</f>
        <v/>
      </c>
      <c r="CC916" s="21" t="str">
        <f ca="1">IFERROR(VLOOKUP(AT916,OFFSET(abbreviation[],0,ColumnLanguage),ColumnAbbreviation,FALSE),"")</f>
        <v/>
      </c>
      <c r="CD916" s="21" t="str">
        <f ca="1">IFERROR(VLOOKUP(AV916,OFFSET(abbreviation[],0,ColumnLanguage),ColumnAbbreviation,FALSE),"")</f>
        <v/>
      </c>
      <c r="CE916" s="21" t="str">
        <f t="shared" ca="1" si="101"/>
        <v>__</v>
      </c>
      <c r="CF916" s="21" t="str">
        <f ca="1">IFERROR(VLOOKUP(AX916,OFFSET(abbreviation[],0,ColumnLanguage),ColumnAbbreviation,FALSE),"")</f>
        <v/>
      </c>
      <c r="CG916" s="21" t="str">
        <f ca="1">IFERROR(VLOOKUP(AZ916,OFFSET(abbreviation[],0,ColumnLanguage),ColumnAbbreviation,FALSE),"")</f>
        <v/>
      </c>
      <c r="CH916" s="21" t="str">
        <f ca="1">IFERROR(VLOOKUP(BB916,OFFSET(abbreviation[],0,ColumnLanguage),ColumnAbbreviation,FALSE),"")</f>
        <v/>
      </c>
      <c r="CI916" s="21" t="str">
        <f ca="1">IFERROR(VLOOKUP(BD916,OFFSET(abbreviation[],0,ColumnLanguage),ColumnAbbreviation,FALSE),"")</f>
        <v/>
      </c>
      <c r="CJ916" s="21" t="str">
        <f ca="1">IFERROR(VLOOKUP(BF916,OFFSET(abbreviation[],0,ColumnLanguage),ColumnAbbreviation,FALSE),"")</f>
        <v/>
      </c>
      <c r="CK916" s="21" t="str">
        <f t="shared" ca="1" si="102"/>
        <v/>
      </c>
      <c r="CL916" s="21" t="str">
        <f t="shared" si="103"/>
        <v/>
      </c>
      <c r="CM916" s="52"/>
      <c r="CN916" s="57" t="str">
        <f t="shared" si="104"/>
        <v/>
      </c>
    </row>
    <row r="917" spans="17:92" x14ac:dyDescent="0.25">
      <c r="Q917" s="13"/>
      <c r="AN917" s="54"/>
      <c r="AS917" s="15"/>
      <c r="BH917" s="52"/>
      <c r="BI917" s="21" t="str">
        <f ca="1">IFERROR(VLOOKUP(C917,OFFSET(abbreviation[],0,ColumnLanguage),ColumnAbbreviation,FALSE),"")</f>
        <v/>
      </c>
      <c r="BJ917" s="21" t="str">
        <f ca="1">IFERROR(VLOOKUP(E917,OFFSET(abbreviation[],0,ColumnLanguage),ColumnAbbreviation,FALSE),"")</f>
        <v/>
      </c>
      <c r="BK917" s="21" t="str">
        <f ca="1">IFERROR(VLOOKUP(G917,OFFSET(abbreviation[],0,ColumnLanguage),ColumnAbbreviation,FALSE),"")</f>
        <v/>
      </c>
      <c r="BL917" s="21" t="str">
        <f ca="1">IFERROR(VLOOKUP(I917,OFFSET(abbreviation[],0,ColumnLanguage),ColumnAbbreviation,FALSE),"")</f>
        <v/>
      </c>
      <c r="BM917" s="21" t="str">
        <f ca="1">IFERROR(VLOOKUP(K917,OFFSET(abbreviation[],0,ColumnLanguage),ColumnAbbreviation,FALSE),"")</f>
        <v/>
      </c>
      <c r="BN917" s="21" t="str">
        <f t="shared" ca="1" si="98"/>
        <v/>
      </c>
      <c r="BO917" s="21" t="str">
        <f ca="1">IFERROR(VLOOKUP(N917,OFFSET(abbreviation[],0,ColumnLanguage),ColumnAbbreviation,FALSE),"")</f>
        <v/>
      </c>
      <c r="BP917" s="21" t="str">
        <f ca="1">IFERROR(VLOOKUP(P917,OFFSET(abbreviation[],0,ColumnLanguage),ColumnAbbreviation,FALSE),"")</f>
        <v/>
      </c>
      <c r="BQ917" s="21" t="str">
        <f ca="1">IFERROR(VLOOKUP(T917,OFFSET(abbreviation[],0,ColumnLanguage),ColumnAbbreviation,FALSE),"")</f>
        <v/>
      </c>
      <c r="BR917" s="21" t="str">
        <f ca="1">IFERROR(VLOOKUP(V917,OFFSET(abbreviation[],0,ColumnLanguage),ColumnAbbreviation,FALSE),"")</f>
        <v/>
      </c>
      <c r="BS917" s="21" t="str">
        <f ca="1">IFERROR(VLOOKUP(Z917,OFFSET(abbreviation[],0,ColumnLanguage),ColumnAbbreviation,FALSE),"")</f>
        <v/>
      </c>
      <c r="BT917" s="21" t="str">
        <f ca="1">IFERROR(VLOOKUP(AB917,OFFSET(abbreviation[],0,ColumnLanguage),ColumnAbbreviation,FALSE),"")</f>
        <v/>
      </c>
      <c r="BU917" s="21" t="str">
        <f t="shared" ca="1" si="99"/>
        <v>__</v>
      </c>
      <c r="BV917" s="21" t="str">
        <f ca="1">IFERROR(VLOOKUP(AF917,OFFSET(abbreviation[],0,ColumnLanguage),ColumnAbbreviation,FALSE),"")</f>
        <v/>
      </c>
      <c r="BW917" s="21" t="str">
        <f ca="1">IFERROR(VLOOKUP(AH917,OFFSET(abbreviation[],0,ColumnLanguage),ColumnAbbreviation,FALSE),"")</f>
        <v/>
      </c>
      <c r="BX917" s="21" t="str">
        <f ca="1">IFERROR(VLOOKUP(AJ917,OFFSET(abbreviation[],0,ColumnLanguage),ColumnAbbreviation,FALSE),"")</f>
        <v/>
      </c>
      <c r="BY917" s="21" t="str">
        <f ca="1">IFERROR(VLOOKUP(AL917,OFFSET(abbreviation[],0,ColumnLanguage),ColumnAbbreviation,FALSE),"")</f>
        <v/>
      </c>
      <c r="BZ917" s="21" t="str">
        <f t="shared" ca="1" si="100"/>
        <v>_</v>
      </c>
      <c r="CA917" s="21" t="str">
        <f ca="1">IFERROR(VLOOKUP(AP917,OFFSET(abbreviation[],0,ColumnLanguage),ColumnAbbreviation,FALSE),"")</f>
        <v/>
      </c>
      <c r="CB917" s="21" t="str">
        <f ca="1">IFERROR(VLOOKUP(AR917,OFFSET(abbreviation[],0,ColumnLanguage),ColumnAbbreviation,FALSE),"")</f>
        <v/>
      </c>
      <c r="CC917" s="21" t="str">
        <f ca="1">IFERROR(VLOOKUP(AT917,OFFSET(abbreviation[],0,ColumnLanguage),ColumnAbbreviation,FALSE),"")</f>
        <v/>
      </c>
      <c r="CD917" s="21" t="str">
        <f ca="1">IFERROR(VLOOKUP(AV917,OFFSET(abbreviation[],0,ColumnLanguage),ColumnAbbreviation,FALSE),"")</f>
        <v/>
      </c>
      <c r="CE917" s="21" t="str">
        <f t="shared" ca="1" si="101"/>
        <v>__</v>
      </c>
      <c r="CF917" s="21" t="str">
        <f ca="1">IFERROR(VLOOKUP(AX917,OFFSET(abbreviation[],0,ColumnLanguage),ColumnAbbreviation,FALSE),"")</f>
        <v/>
      </c>
      <c r="CG917" s="21" t="str">
        <f ca="1">IFERROR(VLOOKUP(AZ917,OFFSET(abbreviation[],0,ColumnLanguage),ColumnAbbreviation,FALSE),"")</f>
        <v/>
      </c>
      <c r="CH917" s="21" t="str">
        <f ca="1">IFERROR(VLOOKUP(BB917,OFFSET(abbreviation[],0,ColumnLanguage),ColumnAbbreviation,FALSE),"")</f>
        <v/>
      </c>
      <c r="CI917" s="21" t="str">
        <f ca="1">IFERROR(VLOOKUP(BD917,OFFSET(abbreviation[],0,ColumnLanguage),ColumnAbbreviation,FALSE),"")</f>
        <v/>
      </c>
      <c r="CJ917" s="21" t="str">
        <f ca="1">IFERROR(VLOOKUP(BF917,OFFSET(abbreviation[],0,ColumnLanguage),ColumnAbbreviation,FALSE),"")</f>
        <v/>
      </c>
      <c r="CK917" s="21" t="str">
        <f t="shared" ca="1" si="102"/>
        <v/>
      </c>
      <c r="CL917" s="21" t="str">
        <f t="shared" si="103"/>
        <v/>
      </c>
      <c r="CM917" s="52"/>
      <c r="CN917" s="57" t="str">
        <f t="shared" si="104"/>
        <v/>
      </c>
    </row>
    <row r="918" spans="17:92" x14ac:dyDescent="0.25">
      <c r="Q918" s="13"/>
      <c r="AN918" s="54"/>
      <c r="AS918" s="15"/>
      <c r="BH918" s="52"/>
      <c r="BI918" s="21" t="str">
        <f ca="1">IFERROR(VLOOKUP(C918,OFFSET(abbreviation[],0,ColumnLanguage),ColumnAbbreviation,FALSE),"")</f>
        <v/>
      </c>
      <c r="BJ918" s="21" t="str">
        <f ca="1">IFERROR(VLOOKUP(E918,OFFSET(abbreviation[],0,ColumnLanguage),ColumnAbbreviation,FALSE),"")</f>
        <v/>
      </c>
      <c r="BK918" s="21" t="str">
        <f ca="1">IFERROR(VLOOKUP(G918,OFFSET(abbreviation[],0,ColumnLanguage),ColumnAbbreviation,FALSE),"")</f>
        <v/>
      </c>
      <c r="BL918" s="21" t="str">
        <f ca="1">IFERROR(VLOOKUP(I918,OFFSET(abbreviation[],0,ColumnLanguage),ColumnAbbreviation,FALSE),"")</f>
        <v/>
      </c>
      <c r="BM918" s="21" t="str">
        <f ca="1">IFERROR(VLOOKUP(K918,OFFSET(abbreviation[],0,ColumnLanguage),ColumnAbbreviation,FALSE),"")</f>
        <v/>
      </c>
      <c r="BN918" s="21" t="str">
        <f t="shared" ca="1" si="98"/>
        <v/>
      </c>
      <c r="BO918" s="21" t="str">
        <f ca="1">IFERROR(VLOOKUP(N918,OFFSET(abbreviation[],0,ColumnLanguage),ColumnAbbreviation,FALSE),"")</f>
        <v/>
      </c>
      <c r="BP918" s="21" t="str">
        <f ca="1">IFERROR(VLOOKUP(P918,OFFSET(abbreviation[],0,ColumnLanguage),ColumnAbbreviation,FALSE),"")</f>
        <v/>
      </c>
      <c r="BQ918" s="21" t="str">
        <f ca="1">IFERROR(VLOOKUP(T918,OFFSET(abbreviation[],0,ColumnLanguage),ColumnAbbreviation,FALSE),"")</f>
        <v/>
      </c>
      <c r="BR918" s="21" t="str">
        <f ca="1">IFERROR(VLOOKUP(V918,OFFSET(abbreviation[],0,ColumnLanguage),ColumnAbbreviation,FALSE),"")</f>
        <v/>
      </c>
      <c r="BS918" s="21" t="str">
        <f ca="1">IFERROR(VLOOKUP(Z918,OFFSET(abbreviation[],0,ColumnLanguage),ColumnAbbreviation,FALSE),"")</f>
        <v/>
      </c>
      <c r="BT918" s="21" t="str">
        <f ca="1">IFERROR(VLOOKUP(AB918,OFFSET(abbreviation[],0,ColumnLanguage),ColumnAbbreviation,FALSE),"")</f>
        <v/>
      </c>
      <c r="BU918" s="21" t="str">
        <f t="shared" ca="1" si="99"/>
        <v>__</v>
      </c>
      <c r="BV918" s="21" t="str">
        <f ca="1">IFERROR(VLOOKUP(AF918,OFFSET(abbreviation[],0,ColumnLanguage),ColumnAbbreviation,FALSE),"")</f>
        <v/>
      </c>
      <c r="BW918" s="21" t="str">
        <f ca="1">IFERROR(VLOOKUP(AH918,OFFSET(abbreviation[],0,ColumnLanguage),ColumnAbbreviation,FALSE),"")</f>
        <v/>
      </c>
      <c r="BX918" s="21" t="str">
        <f ca="1">IFERROR(VLOOKUP(AJ918,OFFSET(abbreviation[],0,ColumnLanguage),ColumnAbbreviation,FALSE),"")</f>
        <v/>
      </c>
      <c r="BY918" s="21" t="str">
        <f ca="1">IFERROR(VLOOKUP(AL918,OFFSET(abbreviation[],0,ColumnLanguage),ColumnAbbreviation,FALSE),"")</f>
        <v/>
      </c>
      <c r="BZ918" s="21" t="str">
        <f t="shared" ca="1" si="100"/>
        <v>_</v>
      </c>
      <c r="CA918" s="21" t="str">
        <f ca="1">IFERROR(VLOOKUP(AP918,OFFSET(abbreviation[],0,ColumnLanguage),ColumnAbbreviation,FALSE),"")</f>
        <v/>
      </c>
      <c r="CB918" s="21" t="str">
        <f ca="1">IFERROR(VLOOKUP(AR918,OFFSET(abbreviation[],0,ColumnLanguage),ColumnAbbreviation,FALSE),"")</f>
        <v/>
      </c>
      <c r="CC918" s="21" t="str">
        <f ca="1">IFERROR(VLOOKUP(AT918,OFFSET(abbreviation[],0,ColumnLanguage),ColumnAbbreviation,FALSE),"")</f>
        <v/>
      </c>
      <c r="CD918" s="21" t="str">
        <f ca="1">IFERROR(VLOOKUP(AV918,OFFSET(abbreviation[],0,ColumnLanguage),ColumnAbbreviation,FALSE),"")</f>
        <v/>
      </c>
      <c r="CE918" s="21" t="str">
        <f t="shared" ca="1" si="101"/>
        <v>__</v>
      </c>
      <c r="CF918" s="21" t="str">
        <f ca="1">IFERROR(VLOOKUP(AX918,OFFSET(abbreviation[],0,ColumnLanguage),ColumnAbbreviation,FALSE),"")</f>
        <v/>
      </c>
      <c r="CG918" s="21" t="str">
        <f ca="1">IFERROR(VLOOKUP(AZ918,OFFSET(abbreviation[],0,ColumnLanguage),ColumnAbbreviation,FALSE),"")</f>
        <v/>
      </c>
      <c r="CH918" s="21" t="str">
        <f ca="1">IFERROR(VLOOKUP(BB918,OFFSET(abbreviation[],0,ColumnLanguage),ColumnAbbreviation,FALSE),"")</f>
        <v/>
      </c>
      <c r="CI918" s="21" t="str">
        <f ca="1">IFERROR(VLOOKUP(BD918,OFFSET(abbreviation[],0,ColumnLanguage),ColumnAbbreviation,FALSE),"")</f>
        <v/>
      </c>
      <c r="CJ918" s="21" t="str">
        <f ca="1">IFERROR(VLOOKUP(BF918,OFFSET(abbreviation[],0,ColumnLanguage),ColumnAbbreviation,FALSE),"")</f>
        <v/>
      </c>
      <c r="CK918" s="21" t="str">
        <f t="shared" ca="1" si="102"/>
        <v/>
      </c>
      <c r="CL918" s="21" t="str">
        <f t="shared" si="103"/>
        <v/>
      </c>
      <c r="CM918" s="52"/>
      <c r="CN918" s="57" t="str">
        <f t="shared" si="104"/>
        <v/>
      </c>
    </row>
    <row r="919" spans="17:92" x14ac:dyDescent="0.25">
      <c r="Q919" s="13"/>
      <c r="AN919" s="54"/>
      <c r="AS919" s="15"/>
      <c r="BH919" s="52"/>
      <c r="BI919" s="21" t="str">
        <f ca="1">IFERROR(VLOOKUP(C919,OFFSET(abbreviation[],0,ColumnLanguage),ColumnAbbreviation,FALSE),"")</f>
        <v/>
      </c>
      <c r="BJ919" s="21" t="str">
        <f ca="1">IFERROR(VLOOKUP(E919,OFFSET(abbreviation[],0,ColumnLanguage),ColumnAbbreviation,FALSE),"")</f>
        <v/>
      </c>
      <c r="BK919" s="21" t="str">
        <f ca="1">IFERROR(VLOOKUP(G919,OFFSET(abbreviation[],0,ColumnLanguage),ColumnAbbreviation,FALSE),"")</f>
        <v/>
      </c>
      <c r="BL919" s="21" t="str">
        <f ca="1">IFERROR(VLOOKUP(I919,OFFSET(abbreviation[],0,ColumnLanguage),ColumnAbbreviation,FALSE),"")</f>
        <v/>
      </c>
      <c r="BM919" s="21" t="str">
        <f ca="1">IFERROR(VLOOKUP(K919,OFFSET(abbreviation[],0,ColumnLanguage),ColumnAbbreviation,FALSE),"")</f>
        <v/>
      </c>
      <c r="BN919" s="21" t="str">
        <f t="shared" ca="1" si="98"/>
        <v/>
      </c>
      <c r="BO919" s="21" t="str">
        <f ca="1">IFERROR(VLOOKUP(N919,OFFSET(abbreviation[],0,ColumnLanguage),ColumnAbbreviation,FALSE),"")</f>
        <v/>
      </c>
      <c r="BP919" s="21" t="str">
        <f ca="1">IFERROR(VLOOKUP(P919,OFFSET(abbreviation[],0,ColumnLanguage),ColumnAbbreviation,FALSE),"")</f>
        <v/>
      </c>
      <c r="BQ919" s="21" t="str">
        <f ca="1">IFERROR(VLOOKUP(T919,OFFSET(abbreviation[],0,ColumnLanguage),ColumnAbbreviation,FALSE),"")</f>
        <v/>
      </c>
      <c r="BR919" s="21" t="str">
        <f ca="1">IFERROR(VLOOKUP(V919,OFFSET(abbreviation[],0,ColumnLanguage),ColumnAbbreviation,FALSE),"")</f>
        <v/>
      </c>
      <c r="BS919" s="21" t="str">
        <f ca="1">IFERROR(VLOOKUP(Z919,OFFSET(abbreviation[],0,ColumnLanguage),ColumnAbbreviation,FALSE),"")</f>
        <v/>
      </c>
      <c r="BT919" s="21" t="str">
        <f ca="1">IFERROR(VLOOKUP(AB919,OFFSET(abbreviation[],0,ColumnLanguage),ColumnAbbreviation,FALSE),"")</f>
        <v/>
      </c>
      <c r="BU919" s="21" t="str">
        <f t="shared" ca="1" si="99"/>
        <v>__</v>
      </c>
      <c r="BV919" s="21" t="str">
        <f ca="1">IFERROR(VLOOKUP(AF919,OFFSET(abbreviation[],0,ColumnLanguage),ColumnAbbreviation,FALSE),"")</f>
        <v/>
      </c>
      <c r="BW919" s="21" t="str">
        <f ca="1">IFERROR(VLOOKUP(AH919,OFFSET(abbreviation[],0,ColumnLanguage),ColumnAbbreviation,FALSE),"")</f>
        <v/>
      </c>
      <c r="BX919" s="21" t="str">
        <f ca="1">IFERROR(VLOOKUP(AJ919,OFFSET(abbreviation[],0,ColumnLanguage),ColumnAbbreviation,FALSE),"")</f>
        <v/>
      </c>
      <c r="BY919" s="21" t="str">
        <f ca="1">IFERROR(VLOOKUP(AL919,OFFSET(abbreviation[],0,ColumnLanguage),ColumnAbbreviation,FALSE),"")</f>
        <v/>
      </c>
      <c r="BZ919" s="21" t="str">
        <f t="shared" ca="1" si="100"/>
        <v>_</v>
      </c>
      <c r="CA919" s="21" t="str">
        <f ca="1">IFERROR(VLOOKUP(AP919,OFFSET(abbreviation[],0,ColumnLanguage),ColumnAbbreviation,FALSE),"")</f>
        <v/>
      </c>
      <c r="CB919" s="21" t="str">
        <f ca="1">IFERROR(VLOOKUP(AR919,OFFSET(abbreviation[],0,ColumnLanguage),ColumnAbbreviation,FALSE),"")</f>
        <v/>
      </c>
      <c r="CC919" s="21" t="str">
        <f ca="1">IFERROR(VLOOKUP(AT919,OFFSET(abbreviation[],0,ColumnLanguage),ColumnAbbreviation,FALSE),"")</f>
        <v/>
      </c>
      <c r="CD919" s="21" t="str">
        <f ca="1">IFERROR(VLOOKUP(AV919,OFFSET(abbreviation[],0,ColumnLanguage),ColumnAbbreviation,FALSE),"")</f>
        <v/>
      </c>
      <c r="CE919" s="21" t="str">
        <f t="shared" ca="1" si="101"/>
        <v>__</v>
      </c>
      <c r="CF919" s="21" t="str">
        <f ca="1">IFERROR(VLOOKUP(AX919,OFFSET(abbreviation[],0,ColumnLanguage),ColumnAbbreviation,FALSE),"")</f>
        <v/>
      </c>
      <c r="CG919" s="21" t="str">
        <f ca="1">IFERROR(VLOOKUP(AZ919,OFFSET(abbreviation[],0,ColumnLanguage),ColumnAbbreviation,FALSE),"")</f>
        <v/>
      </c>
      <c r="CH919" s="21" t="str">
        <f ca="1">IFERROR(VLOOKUP(BB919,OFFSET(abbreviation[],0,ColumnLanguage),ColumnAbbreviation,FALSE),"")</f>
        <v/>
      </c>
      <c r="CI919" s="21" t="str">
        <f ca="1">IFERROR(VLOOKUP(BD919,OFFSET(abbreviation[],0,ColumnLanguage),ColumnAbbreviation,FALSE),"")</f>
        <v/>
      </c>
      <c r="CJ919" s="21" t="str">
        <f ca="1">IFERROR(VLOOKUP(BF919,OFFSET(abbreviation[],0,ColumnLanguage),ColumnAbbreviation,FALSE),"")</f>
        <v/>
      </c>
      <c r="CK919" s="21" t="str">
        <f t="shared" ca="1" si="102"/>
        <v/>
      </c>
      <c r="CL919" s="21" t="str">
        <f t="shared" si="103"/>
        <v/>
      </c>
      <c r="CM919" s="52"/>
      <c r="CN919" s="57" t="str">
        <f t="shared" si="104"/>
        <v/>
      </c>
    </row>
    <row r="920" spans="17:92" x14ac:dyDescent="0.25">
      <c r="Q920" s="13"/>
      <c r="AN920" s="54"/>
      <c r="AS920" s="15"/>
      <c r="BH920" s="52"/>
      <c r="BI920" s="21" t="str">
        <f ca="1">IFERROR(VLOOKUP(C920,OFFSET(abbreviation[],0,ColumnLanguage),ColumnAbbreviation,FALSE),"")</f>
        <v/>
      </c>
      <c r="BJ920" s="21" t="str">
        <f ca="1">IFERROR(VLOOKUP(E920,OFFSET(abbreviation[],0,ColumnLanguage),ColumnAbbreviation,FALSE),"")</f>
        <v/>
      </c>
      <c r="BK920" s="21" t="str">
        <f ca="1">IFERROR(VLOOKUP(G920,OFFSET(abbreviation[],0,ColumnLanguage),ColumnAbbreviation,FALSE),"")</f>
        <v/>
      </c>
      <c r="BL920" s="21" t="str">
        <f ca="1">IFERROR(VLOOKUP(I920,OFFSET(abbreviation[],0,ColumnLanguage),ColumnAbbreviation,FALSE),"")</f>
        <v/>
      </c>
      <c r="BM920" s="21" t="str">
        <f ca="1">IFERROR(VLOOKUP(K920,OFFSET(abbreviation[],0,ColumnLanguage),ColumnAbbreviation,FALSE),"")</f>
        <v/>
      </c>
      <c r="BN920" s="21" t="str">
        <f t="shared" ca="1" si="98"/>
        <v/>
      </c>
      <c r="BO920" s="21" t="str">
        <f ca="1">IFERROR(VLOOKUP(N920,OFFSET(abbreviation[],0,ColumnLanguage),ColumnAbbreviation,FALSE),"")</f>
        <v/>
      </c>
      <c r="BP920" s="21" t="str">
        <f ca="1">IFERROR(VLOOKUP(P920,OFFSET(abbreviation[],0,ColumnLanguage),ColumnAbbreviation,FALSE),"")</f>
        <v/>
      </c>
      <c r="BQ920" s="21" t="str">
        <f ca="1">IFERROR(VLOOKUP(T920,OFFSET(abbreviation[],0,ColumnLanguage),ColumnAbbreviation,FALSE),"")</f>
        <v/>
      </c>
      <c r="BR920" s="21" t="str">
        <f ca="1">IFERROR(VLOOKUP(V920,OFFSET(abbreviation[],0,ColumnLanguage),ColumnAbbreviation,FALSE),"")</f>
        <v/>
      </c>
      <c r="BS920" s="21" t="str">
        <f ca="1">IFERROR(VLOOKUP(Z920,OFFSET(abbreviation[],0,ColumnLanguage),ColumnAbbreviation,FALSE),"")</f>
        <v/>
      </c>
      <c r="BT920" s="21" t="str">
        <f ca="1">IFERROR(VLOOKUP(AB920,OFFSET(abbreviation[],0,ColumnLanguage),ColumnAbbreviation,FALSE),"")</f>
        <v/>
      </c>
      <c r="BU920" s="21" t="str">
        <f t="shared" ca="1" si="99"/>
        <v>__</v>
      </c>
      <c r="BV920" s="21" t="str">
        <f ca="1">IFERROR(VLOOKUP(AF920,OFFSET(abbreviation[],0,ColumnLanguage),ColumnAbbreviation,FALSE),"")</f>
        <v/>
      </c>
      <c r="BW920" s="21" t="str">
        <f ca="1">IFERROR(VLOOKUP(AH920,OFFSET(abbreviation[],0,ColumnLanguage),ColumnAbbreviation,FALSE),"")</f>
        <v/>
      </c>
      <c r="BX920" s="21" t="str">
        <f ca="1">IFERROR(VLOOKUP(AJ920,OFFSET(abbreviation[],0,ColumnLanguage),ColumnAbbreviation,FALSE),"")</f>
        <v/>
      </c>
      <c r="BY920" s="21" t="str">
        <f ca="1">IFERROR(VLOOKUP(AL920,OFFSET(abbreviation[],0,ColumnLanguage),ColumnAbbreviation,FALSE),"")</f>
        <v/>
      </c>
      <c r="BZ920" s="21" t="str">
        <f t="shared" ca="1" si="100"/>
        <v>_</v>
      </c>
      <c r="CA920" s="21" t="str">
        <f ca="1">IFERROR(VLOOKUP(AP920,OFFSET(abbreviation[],0,ColumnLanguage),ColumnAbbreviation,FALSE),"")</f>
        <v/>
      </c>
      <c r="CB920" s="21" t="str">
        <f ca="1">IFERROR(VLOOKUP(AR920,OFFSET(abbreviation[],0,ColumnLanguage),ColumnAbbreviation,FALSE),"")</f>
        <v/>
      </c>
      <c r="CC920" s="21" t="str">
        <f ca="1">IFERROR(VLOOKUP(AT920,OFFSET(abbreviation[],0,ColumnLanguage),ColumnAbbreviation,FALSE),"")</f>
        <v/>
      </c>
      <c r="CD920" s="21" t="str">
        <f ca="1">IFERROR(VLOOKUP(AV920,OFFSET(abbreviation[],0,ColumnLanguage),ColumnAbbreviation,FALSE),"")</f>
        <v/>
      </c>
      <c r="CE920" s="21" t="str">
        <f t="shared" ca="1" si="101"/>
        <v>__</v>
      </c>
      <c r="CF920" s="21" t="str">
        <f ca="1">IFERROR(VLOOKUP(AX920,OFFSET(abbreviation[],0,ColumnLanguage),ColumnAbbreviation,FALSE),"")</f>
        <v/>
      </c>
      <c r="CG920" s="21" t="str">
        <f ca="1">IFERROR(VLOOKUP(AZ920,OFFSET(abbreviation[],0,ColumnLanguage),ColumnAbbreviation,FALSE),"")</f>
        <v/>
      </c>
      <c r="CH920" s="21" t="str">
        <f ca="1">IFERROR(VLOOKUP(BB920,OFFSET(abbreviation[],0,ColumnLanguage),ColumnAbbreviation,FALSE),"")</f>
        <v/>
      </c>
      <c r="CI920" s="21" t="str">
        <f ca="1">IFERROR(VLOOKUP(BD920,OFFSET(abbreviation[],0,ColumnLanguage),ColumnAbbreviation,FALSE),"")</f>
        <v/>
      </c>
      <c r="CJ920" s="21" t="str">
        <f ca="1">IFERROR(VLOOKUP(BF920,OFFSET(abbreviation[],0,ColumnLanguage),ColumnAbbreviation,FALSE),"")</f>
        <v/>
      </c>
      <c r="CK920" s="21" t="str">
        <f t="shared" ca="1" si="102"/>
        <v/>
      </c>
      <c r="CL920" s="21" t="str">
        <f t="shared" si="103"/>
        <v/>
      </c>
      <c r="CM920" s="52"/>
      <c r="CN920" s="57" t="str">
        <f t="shared" si="104"/>
        <v/>
      </c>
    </row>
    <row r="921" spans="17:92" x14ac:dyDescent="0.25">
      <c r="Q921" s="13"/>
      <c r="AN921" s="54"/>
      <c r="AS921" s="15"/>
      <c r="BH921" s="52"/>
      <c r="BI921" s="21" t="str">
        <f ca="1">IFERROR(VLOOKUP(C921,OFFSET(abbreviation[],0,ColumnLanguage),ColumnAbbreviation,FALSE),"")</f>
        <v/>
      </c>
      <c r="BJ921" s="21" t="str">
        <f ca="1">IFERROR(VLOOKUP(E921,OFFSET(abbreviation[],0,ColumnLanguage),ColumnAbbreviation,FALSE),"")</f>
        <v/>
      </c>
      <c r="BK921" s="21" t="str">
        <f ca="1">IFERROR(VLOOKUP(G921,OFFSET(abbreviation[],0,ColumnLanguage),ColumnAbbreviation,FALSE),"")</f>
        <v/>
      </c>
      <c r="BL921" s="21" t="str">
        <f ca="1">IFERROR(VLOOKUP(I921,OFFSET(abbreviation[],0,ColumnLanguage),ColumnAbbreviation,FALSE),"")</f>
        <v/>
      </c>
      <c r="BM921" s="21" t="str">
        <f ca="1">IFERROR(VLOOKUP(K921,OFFSET(abbreviation[],0,ColumnLanguage),ColumnAbbreviation,FALSE),"")</f>
        <v/>
      </c>
      <c r="BN921" s="21" t="str">
        <f t="shared" ca="1" si="98"/>
        <v/>
      </c>
      <c r="BO921" s="21" t="str">
        <f ca="1">IFERROR(VLOOKUP(N921,OFFSET(abbreviation[],0,ColumnLanguage),ColumnAbbreviation,FALSE),"")</f>
        <v/>
      </c>
      <c r="BP921" s="21" t="str">
        <f ca="1">IFERROR(VLOOKUP(P921,OFFSET(abbreviation[],0,ColumnLanguage),ColumnAbbreviation,FALSE),"")</f>
        <v/>
      </c>
      <c r="BQ921" s="21" t="str">
        <f ca="1">IFERROR(VLOOKUP(T921,OFFSET(abbreviation[],0,ColumnLanguage),ColumnAbbreviation,FALSE),"")</f>
        <v/>
      </c>
      <c r="BR921" s="21" t="str">
        <f ca="1">IFERROR(VLOOKUP(V921,OFFSET(abbreviation[],0,ColumnLanguage),ColumnAbbreviation,FALSE),"")</f>
        <v/>
      </c>
      <c r="BS921" s="21" t="str">
        <f ca="1">IFERROR(VLOOKUP(Z921,OFFSET(abbreviation[],0,ColumnLanguage),ColumnAbbreviation,FALSE),"")</f>
        <v/>
      </c>
      <c r="BT921" s="21" t="str">
        <f ca="1">IFERROR(VLOOKUP(AB921,OFFSET(abbreviation[],0,ColumnLanguage),ColumnAbbreviation,FALSE),"")</f>
        <v/>
      </c>
      <c r="BU921" s="21" t="str">
        <f t="shared" ca="1" si="99"/>
        <v>__</v>
      </c>
      <c r="BV921" s="21" t="str">
        <f ca="1">IFERROR(VLOOKUP(AF921,OFFSET(abbreviation[],0,ColumnLanguage),ColumnAbbreviation,FALSE),"")</f>
        <v/>
      </c>
      <c r="BW921" s="21" t="str">
        <f ca="1">IFERROR(VLOOKUP(AH921,OFFSET(abbreviation[],0,ColumnLanguage),ColumnAbbreviation,FALSE),"")</f>
        <v/>
      </c>
      <c r="BX921" s="21" t="str">
        <f ca="1">IFERROR(VLOOKUP(AJ921,OFFSET(abbreviation[],0,ColumnLanguage),ColumnAbbreviation,FALSE),"")</f>
        <v/>
      </c>
      <c r="BY921" s="21" t="str">
        <f ca="1">IFERROR(VLOOKUP(AL921,OFFSET(abbreviation[],0,ColumnLanguage),ColumnAbbreviation,FALSE),"")</f>
        <v/>
      </c>
      <c r="BZ921" s="21" t="str">
        <f t="shared" ca="1" si="100"/>
        <v>_</v>
      </c>
      <c r="CA921" s="21" t="str">
        <f ca="1">IFERROR(VLOOKUP(AP921,OFFSET(abbreviation[],0,ColumnLanguage),ColumnAbbreviation,FALSE),"")</f>
        <v/>
      </c>
      <c r="CB921" s="21" t="str">
        <f ca="1">IFERROR(VLOOKUP(AR921,OFFSET(abbreviation[],0,ColumnLanguage),ColumnAbbreviation,FALSE),"")</f>
        <v/>
      </c>
      <c r="CC921" s="21" t="str">
        <f ca="1">IFERROR(VLOOKUP(AT921,OFFSET(abbreviation[],0,ColumnLanguage),ColumnAbbreviation,FALSE),"")</f>
        <v/>
      </c>
      <c r="CD921" s="21" t="str">
        <f ca="1">IFERROR(VLOOKUP(AV921,OFFSET(abbreviation[],0,ColumnLanguage),ColumnAbbreviation,FALSE),"")</f>
        <v/>
      </c>
      <c r="CE921" s="21" t="str">
        <f t="shared" ca="1" si="101"/>
        <v>__</v>
      </c>
      <c r="CF921" s="21" t="str">
        <f ca="1">IFERROR(VLOOKUP(AX921,OFFSET(abbreviation[],0,ColumnLanguage),ColumnAbbreviation,FALSE),"")</f>
        <v/>
      </c>
      <c r="CG921" s="21" t="str">
        <f ca="1">IFERROR(VLOOKUP(AZ921,OFFSET(abbreviation[],0,ColumnLanguage),ColumnAbbreviation,FALSE),"")</f>
        <v/>
      </c>
      <c r="CH921" s="21" t="str">
        <f ca="1">IFERROR(VLOOKUP(BB921,OFFSET(abbreviation[],0,ColumnLanguage),ColumnAbbreviation,FALSE),"")</f>
        <v/>
      </c>
      <c r="CI921" s="21" t="str">
        <f ca="1">IFERROR(VLOOKUP(BD921,OFFSET(abbreviation[],0,ColumnLanguage),ColumnAbbreviation,FALSE),"")</f>
        <v/>
      </c>
      <c r="CJ921" s="21" t="str">
        <f ca="1">IFERROR(VLOOKUP(BF921,OFFSET(abbreviation[],0,ColumnLanguage),ColumnAbbreviation,FALSE),"")</f>
        <v/>
      </c>
      <c r="CK921" s="21" t="str">
        <f t="shared" ca="1" si="102"/>
        <v/>
      </c>
      <c r="CL921" s="21" t="str">
        <f t="shared" si="103"/>
        <v/>
      </c>
      <c r="CM921" s="52"/>
      <c r="CN921" s="57" t="str">
        <f t="shared" si="104"/>
        <v/>
      </c>
    </row>
    <row r="922" spans="17:92" x14ac:dyDescent="0.25">
      <c r="Q922" s="13"/>
      <c r="AN922" s="54"/>
      <c r="AS922" s="15"/>
      <c r="BH922" s="52"/>
      <c r="BI922" s="21" t="str">
        <f ca="1">IFERROR(VLOOKUP(C922,OFFSET(abbreviation[],0,ColumnLanguage),ColumnAbbreviation,FALSE),"")</f>
        <v/>
      </c>
      <c r="BJ922" s="21" t="str">
        <f ca="1">IFERROR(VLOOKUP(E922,OFFSET(abbreviation[],0,ColumnLanguage),ColumnAbbreviation,FALSE),"")</f>
        <v/>
      </c>
      <c r="BK922" s="21" t="str">
        <f ca="1">IFERROR(VLOOKUP(G922,OFFSET(abbreviation[],0,ColumnLanguage),ColumnAbbreviation,FALSE),"")</f>
        <v/>
      </c>
      <c r="BL922" s="21" t="str">
        <f ca="1">IFERROR(VLOOKUP(I922,OFFSET(abbreviation[],0,ColumnLanguage),ColumnAbbreviation,FALSE),"")</f>
        <v/>
      </c>
      <c r="BM922" s="21" t="str">
        <f ca="1">IFERROR(VLOOKUP(K922,OFFSET(abbreviation[],0,ColumnLanguage),ColumnAbbreviation,FALSE),"")</f>
        <v/>
      </c>
      <c r="BN922" s="21" t="str">
        <f t="shared" ca="1" si="98"/>
        <v/>
      </c>
      <c r="BO922" s="21" t="str">
        <f ca="1">IFERROR(VLOOKUP(N922,OFFSET(abbreviation[],0,ColumnLanguage),ColumnAbbreviation,FALSE),"")</f>
        <v/>
      </c>
      <c r="BP922" s="21" t="str">
        <f ca="1">IFERROR(VLOOKUP(P922,OFFSET(abbreviation[],0,ColumnLanguage),ColumnAbbreviation,FALSE),"")</f>
        <v/>
      </c>
      <c r="BQ922" s="21" t="str">
        <f ca="1">IFERROR(VLOOKUP(T922,OFFSET(abbreviation[],0,ColumnLanguage),ColumnAbbreviation,FALSE),"")</f>
        <v/>
      </c>
      <c r="BR922" s="21" t="str">
        <f ca="1">IFERROR(VLOOKUP(V922,OFFSET(abbreviation[],0,ColumnLanguage),ColumnAbbreviation,FALSE),"")</f>
        <v/>
      </c>
      <c r="BS922" s="21" t="str">
        <f ca="1">IFERROR(VLOOKUP(Z922,OFFSET(abbreviation[],0,ColumnLanguage),ColumnAbbreviation,FALSE),"")</f>
        <v/>
      </c>
      <c r="BT922" s="21" t="str">
        <f ca="1">IFERROR(VLOOKUP(AB922,OFFSET(abbreviation[],0,ColumnLanguage),ColumnAbbreviation,FALSE),"")</f>
        <v/>
      </c>
      <c r="BU922" s="21" t="str">
        <f t="shared" ca="1" si="99"/>
        <v>__</v>
      </c>
      <c r="BV922" s="21" t="str">
        <f ca="1">IFERROR(VLOOKUP(AF922,OFFSET(abbreviation[],0,ColumnLanguage),ColumnAbbreviation,FALSE),"")</f>
        <v/>
      </c>
      <c r="BW922" s="21" t="str">
        <f ca="1">IFERROR(VLOOKUP(AH922,OFFSET(abbreviation[],0,ColumnLanguage),ColumnAbbreviation,FALSE),"")</f>
        <v/>
      </c>
      <c r="BX922" s="21" t="str">
        <f ca="1">IFERROR(VLOOKUP(AJ922,OFFSET(abbreviation[],0,ColumnLanguage),ColumnAbbreviation,FALSE),"")</f>
        <v/>
      </c>
      <c r="BY922" s="21" t="str">
        <f ca="1">IFERROR(VLOOKUP(AL922,OFFSET(abbreviation[],0,ColumnLanguage),ColumnAbbreviation,FALSE),"")</f>
        <v/>
      </c>
      <c r="BZ922" s="21" t="str">
        <f t="shared" ca="1" si="100"/>
        <v>_</v>
      </c>
      <c r="CA922" s="21" t="str">
        <f ca="1">IFERROR(VLOOKUP(AP922,OFFSET(abbreviation[],0,ColumnLanguage),ColumnAbbreviation,FALSE),"")</f>
        <v/>
      </c>
      <c r="CB922" s="21" t="str">
        <f ca="1">IFERROR(VLOOKUP(AR922,OFFSET(abbreviation[],0,ColumnLanguage),ColumnAbbreviation,FALSE),"")</f>
        <v/>
      </c>
      <c r="CC922" s="21" t="str">
        <f ca="1">IFERROR(VLOOKUP(AT922,OFFSET(abbreviation[],0,ColumnLanguage),ColumnAbbreviation,FALSE),"")</f>
        <v/>
      </c>
      <c r="CD922" s="21" t="str">
        <f ca="1">IFERROR(VLOOKUP(AV922,OFFSET(abbreviation[],0,ColumnLanguage),ColumnAbbreviation,FALSE),"")</f>
        <v/>
      </c>
      <c r="CE922" s="21" t="str">
        <f t="shared" ca="1" si="101"/>
        <v>__</v>
      </c>
      <c r="CF922" s="21" t="str">
        <f ca="1">IFERROR(VLOOKUP(AX922,OFFSET(abbreviation[],0,ColumnLanguage),ColumnAbbreviation,FALSE),"")</f>
        <v/>
      </c>
      <c r="CG922" s="21" t="str">
        <f ca="1">IFERROR(VLOOKUP(AZ922,OFFSET(abbreviation[],0,ColumnLanguage),ColumnAbbreviation,FALSE),"")</f>
        <v/>
      </c>
      <c r="CH922" s="21" t="str">
        <f ca="1">IFERROR(VLOOKUP(BB922,OFFSET(abbreviation[],0,ColumnLanguage),ColumnAbbreviation,FALSE),"")</f>
        <v/>
      </c>
      <c r="CI922" s="21" t="str">
        <f ca="1">IFERROR(VLOOKUP(BD922,OFFSET(abbreviation[],0,ColumnLanguage),ColumnAbbreviation,FALSE),"")</f>
        <v/>
      </c>
      <c r="CJ922" s="21" t="str">
        <f ca="1">IFERROR(VLOOKUP(BF922,OFFSET(abbreviation[],0,ColumnLanguage),ColumnAbbreviation,FALSE),"")</f>
        <v/>
      </c>
      <c r="CK922" s="21" t="str">
        <f t="shared" ca="1" si="102"/>
        <v/>
      </c>
      <c r="CL922" s="21" t="str">
        <f t="shared" si="103"/>
        <v/>
      </c>
      <c r="CM922" s="52"/>
      <c r="CN922" s="57" t="str">
        <f t="shared" si="104"/>
        <v/>
      </c>
    </row>
    <row r="923" spans="17:92" x14ac:dyDescent="0.25">
      <c r="Q923" s="13"/>
      <c r="AN923" s="54"/>
      <c r="AS923" s="15"/>
      <c r="BH923" s="52"/>
      <c r="BI923" s="21" t="str">
        <f ca="1">IFERROR(VLOOKUP(C923,OFFSET(abbreviation[],0,ColumnLanguage),ColumnAbbreviation,FALSE),"")</f>
        <v/>
      </c>
      <c r="BJ923" s="21" t="str">
        <f ca="1">IFERROR(VLOOKUP(E923,OFFSET(abbreviation[],0,ColumnLanguage),ColumnAbbreviation,FALSE),"")</f>
        <v/>
      </c>
      <c r="BK923" s="21" t="str">
        <f ca="1">IFERROR(VLOOKUP(G923,OFFSET(abbreviation[],0,ColumnLanguage),ColumnAbbreviation,FALSE),"")</f>
        <v/>
      </c>
      <c r="BL923" s="21" t="str">
        <f ca="1">IFERROR(VLOOKUP(I923,OFFSET(abbreviation[],0,ColumnLanguage),ColumnAbbreviation,FALSE),"")</f>
        <v/>
      </c>
      <c r="BM923" s="21" t="str">
        <f ca="1">IFERROR(VLOOKUP(K923,OFFSET(abbreviation[],0,ColumnLanguage),ColumnAbbreviation,FALSE),"")</f>
        <v/>
      </c>
      <c r="BN923" s="21" t="str">
        <f t="shared" ca="1" si="98"/>
        <v/>
      </c>
      <c r="BO923" s="21" t="str">
        <f ca="1">IFERROR(VLOOKUP(N923,OFFSET(abbreviation[],0,ColumnLanguage),ColumnAbbreviation,FALSE),"")</f>
        <v/>
      </c>
      <c r="BP923" s="21" t="str">
        <f ca="1">IFERROR(VLOOKUP(P923,OFFSET(abbreviation[],0,ColumnLanguage),ColumnAbbreviation,FALSE),"")</f>
        <v/>
      </c>
      <c r="BQ923" s="21" t="str">
        <f ca="1">IFERROR(VLOOKUP(T923,OFFSET(abbreviation[],0,ColumnLanguage),ColumnAbbreviation,FALSE),"")</f>
        <v/>
      </c>
      <c r="BR923" s="21" t="str">
        <f ca="1">IFERROR(VLOOKUP(V923,OFFSET(abbreviation[],0,ColumnLanguage),ColumnAbbreviation,FALSE),"")</f>
        <v/>
      </c>
      <c r="BS923" s="21" t="str">
        <f ca="1">IFERROR(VLOOKUP(Z923,OFFSET(abbreviation[],0,ColumnLanguage),ColumnAbbreviation,FALSE),"")</f>
        <v/>
      </c>
      <c r="BT923" s="21" t="str">
        <f ca="1">IFERROR(VLOOKUP(AB923,OFFSET(abbreviation[],0,ColumnLanguage),ColumnAbbreviation,FALSE),"")</f>
        <v/>
      </c>
      <c r="BU923" s="21" t="str">
        <f t="shared" ca="1" si="99"/>
        <v>__</v>
      </c>
      <c r="BV923" s="21" t="str">
        <f ca="1">IFERROR(VLOOKUP(AF923,OFFSET(abbreviation[],0,ColumnLanguage),ColumnAbbreviation,FALSE),"")</f>
        <v/>
      </c>
      <c r="BW923" s="21" t="str">
        <f ca="1">IFERROR(VLOOKUP(AH923,OFFSET(abbreviation[],0,ColumnLanguage),ColumnAbbreviation,FALSE),"")</f>
        <v/>
      </c>
      <c r="BX923" s="21" t="str">
        <f ca="1">IFERROR(VLOOKUP(AJ923,OFFSET(abbreviation[],0,ColumnLanguage),ColumnAbbreviation,FALSE),"")</f>
        <v/>
      </c>
      <c r="BY923" s="21" t="str">
        <f ca="1">IFERROR(VLOOKUP(AL923,OFFSET(abbreviation[],0,ColumnLanguage),ColumnAbbreviation,FALSE),"")</f>
        <v/>
      </c>
      <c r="BZ923" s="21" t="str">
        <f t="shared" ca="1" si="100"/>
        <v>_</v>
      </c>
      <c r="CA923" s="21" t="str">
        <f ca="1">IFERROR(VLOOKUP(AP923,OFFSET(abbreviation[],0,ColumnLanguage),ColumnAbbreviation,FALSE),"")</f>
        <v/>
      </c>
      <c r="CB923" s="21" t="str">
        <f ca="1">IFERROR(VLOOKUP(AR923,OFFSET(abbreviation[],0,ColumnLanguage),ColumnAbbreviation,FALSE),"")</f>
        <v/>
      </c>
      <c r="CC923" s="21" t="str">
        <f ca="1">IFERROR(VLOOKUP(AT923,OFFSET(abbreviation[],0,ColumnLanguage),ColumnAbbreviation,FALSE),"")</f>
        <v/>
      </c>
      <c r="CD923" s="21" t="str">
        <f ca="1">IFERROR(VLOOKUP(AV923,OFFSET(abbreviation[],0,ColumnLanguage),ColumnAbbreviation,FALSE),"")</f>
        <v/>
      </c>
      <c r="CE923" s="21" t="str">
        <f t="shared" ca="1" si="101"/>
        <v>__</v>
      </c>
      <c r="CF923" s="21" t="str">
        <f ca="1">IFERROR(VLOOKUP(AX923,OFFSET(abbreviation[],0,ColumnLanguage),ColumnAbbreviation,FALSE),"")</f>
        <v/>
      </c>
      <c r="CG923" s="21" t="str">
        <f ca="1">IFERROR(VLOOKUP(AZ923,OFFSET(abbreviation[],0,ColumnLanguage),ColumnAbbreviation,FALSE),"")</f>
        <v/>
      </c>
      <c r="CH923" s="21" t="str">
        <f ca="1">IFERROR(VLOOKUP(BB923,OFFSET(abbreviation[],0,ColumnLanguage),ColumnAbbreviation,FALSE),"")</f>
        <v/>
      </c>
      <c r="CI923" s="21" t="str">
        <f ca="1">IFERROR(VLOOKUP(BD923,OFFSET(abbreviation[],0,ColumnLanguage),ColumnAbbreviation,FALSE),"")</f>
        <v/>
      </c>
      <c r="CJ923" s="21" t="str">
        <f ca="1">IFERROR(VLOOKUP(BF923,OFFSET(abbreviation[],0,ColumnLanguage),ColumnAbbreviation,FALSE),"")</f>
        <v/>
      </c>
      <c r="CK923" s="21" t="str">
        <f t="shared" ca="1" si="102"/>
        <v/>
      </c>
      <c r="CL923" s="21" t="str">
        <f t="shared" si="103"/>
        <v/>
      </c>
      <c r="CM923" s="52"/>
      <c r="CN923" s="57" t="str">
        <f t="shared" si="104"/>
        <v/>
      </c>
    </row>
    <row r="924" spans="17:92" x14ac:dyDescent="0.25">
      <c r="Q924" s="13"/>
      <c r="AN924" s="54"/>
      <c r="AS924" s="15"/>
      <c r="BH924" s="52"/>
      <c r="BI924" s="21" t="str">
        <f ca="1">IFERROR(VLOOKUP(C924,OFFSET(abbreviation[],0,ColumnLanguage),ColumnAbbreviation,FALSE),"")</f>
        <v/>
      </c>
      <c r="BJ924" s="21" t="str">
        <f ca="1">IFERROR(VLOOKUP(E924,OFFSET(abbreviation[],0,ColumnLanguage),ColumnAbbreviation,FALSE),"")</f>
        <v/>
      </c>
      <c r="BK924" s="21" t="str">
        <f ca="1">IFERROR(VLOOKUP(G924,OFFSET(abbreviation[],0,ColumnLanguage),ColumnAbbreviation,FALSE),"")</f>
        <v/>
      </c>
      <c r="BL924" s="21" t="str">
        <f ca="1">IFERROR(VLOOKUP(I924,OFFSET(abbreviation[],0,ColumnLanguage),ColumnAbbreviation,FALSE),"")</f>
        <v/>
      </c>
      <c r="BM924" s="21" t="str">
        <f ca="1">IFERROR(VLOOKUP(K924,OFFSET(abbreviation[],0,ColumnLanguage),ColumnAbbreviation,FALSE),"")</f>
        <v/>
      </c>
      <c r="BN924" s="21" t="str">
        <f t="shared" ca="1" si="98"/>
        <v/>
      </c>
      <c r="BO924" s="21" t="str">
        <f ca="1">IFERROR(VLOOKUP(N924,OFFSET(abbreviation[],0,ColumnLanguage),ColumnAbbreviation,FALSE),"")</f>
        <v/>
      </c>
      <c r="BP924" s="21" t="str">
        <f ca="1">IFERROR(VLOOKUP(P924,OFFSET(abbreviation[],0,ColumnLanguage),ColumnAbbreviation,FALSE),"")</f>
        <v/>
      </c>
      <c r="BQ924" s="21" t="str">
        <f ca="1">IFERROR(VLOOKUP(T924,OFFSET(abbreviation[],0,ColumnLanguage),ColumnAbbreviation,FALSE),"")</f>
        <v/>
      </c>
      <c r="BR924" s="21" t="str">
        <f ca="1">IFERROR(VLOOKUP(V924,OFFSET(abbreviation[],0,ColumnLanguage),ColumnAbbreviation,FALSE),"")</f>
        <v/>
      </c>
      <c r="BS924" s="21" t="str">
        <f ca="1">IFERROR(VLOOKUP(Z924,OFFSET(abbreviation[],0,ColumnLanguage),ColumnAbbreviation,FALSE),"")</f>
        <v/>
      </c>
      <c r="BT924" s="21" t="str">
        <f ca="1">IFERROR(VLOOKUP(AB924,OFFSET(abbreviation[],0,ColumnLanguage),ColumnAbbreviation,FALSE),"")</f>
        <v/>
      </c>
      <c r="BU924" s="21" t="str">
        <f t="shared" ca="1" si="99"/>
        <v>__</v>
      </c>
      <c r="BV924" s="21" t="str">
        <f ca="1">IFERROR(VLOOKUP(AF924,OFFSET(abbreviation[],0,ColumnLanguage),ColumnAbbreviation,FALSE),"")</f>
        <v/>
      </c>
      <c r="BW924" s="21" t="str">
        <f ca="1">IFERROR(VLOOKUP(AH924,OFFSET(abbreviation[],0,ColumnLanguage),ColumnAbbreviation,FALSE),"")</f>
        <v/>
      </c>
      <c r="BX924" s="21" t="str">
        <f ca="1">IFERROR(VLOOKUP(AJ924,OFFSET(abbreviation[],0,ColumnLanguage),ColumnAbbreviation,FALSE),"")</f>
        <v/>
      </c>
      <c r="BY924" s="21" t="str">
        <f ca="1">IFERROR(VLOOKUP(AL924,OFFSET(abbreviation[],0,ColumnLanguage),ColumnAbbreviation,FALSE),"")</f>
        <v/>
      </c>
      <c r="BZ924" s="21" t="str">
        <f t="shared" ca="1" si="100"/>
        <v>_</v>
      </c>
      <c r="CA924" s="21" t="str">
        <f ca="1">IFERROR(VLOOKUP(AP924,OFFSET(abbreviation[],0,ColumnLanguage),ColumnAbbreviation,FALSE),"")</f>
        <v/>
      </c>
      <c r="CB924" s="21" t="str">
        <f ca="1">IFERROR(VLOOKUP(AR924,OFFSET(abbreviation[],0,ColumnLanguage),ColumnAbbreviation,FALSE),"")</f>
        <v/>
      </c>
      <c r="CC924" s="21" t="str">
        <f ca="1">IFERROR(VLOOKUP(AT924,OFFSET(abbreviation[],0,ColumnLanguage),ColumnAbbreviation,FALSE),"")</f>
        <v/>
      </c>
      <c r="CD924" s="21" t="str">
        <f ca="1">IFERROR(VLOOKUP(AV924,OFFSET(abbreviation[],0,ColumnLanguage),ColumnAbbreviation,FALSE),"")</f>
        <v/>
      </c>
      <c r="CE924" s="21" t="str">
        <f t="shared" ca="1" si="101"/>
        <v>__</v>
      </c>
      <c r="CF924" s="21" t="str">
        <f ca="1">IFERROR(VLOOKUP(AX924,OFFSET(abbreviation[],0,ColumnLanguage),ColumnAbbreviation,FALSE),"")</f>
        <v/>
      </c>
      <c r="CG924" s="21" t="str">
        <f ca="1">IFERROR(VLOOKUP(AZ924,OFFSET(abbreviation[],0,ColumnLanguage),ColumnAbbreviation,FALSE),"")</f>
        <v/>
      </c>
      <c r="CH924" s="21" t="str">
        <f ca="1">IFERROR(VLOOKUP(BB924,OFFSET(abbreviation[],0,ColumnLanguage),ColumnAbbreviation,FALSE),"")</f>
        <v/>
      </c>
      <c r="CI924" s="21" t="str">
        <f ca="1">IFERROR(VLOOKUP(BD924,OFFSET(abbreviation[],0,ColumnLanguage),ColumnAbbreviation,FALSE),"")</f>
        <v/>
      </c>
      <c r="CJ924" s="21" t="str">
        <f ca="1">IFERROR(VLOOKUP(BF924,OFFSET(abbreviation[],0,ColumnLanguage),ColumnAbbreviation,FALSE),"")</f>
        <v/>
      </c>
      <c r="CK924" s="21" t="str">
        <f t="shared" ca="1" si="102"/>
        <v/>
      </c>
      <c r="CL924" s="21" t="str">
        <f t="shared" si="103"/>
        <v/>
      </c>
      <c r="CM924" s="52"/>
      <c r="CN924" s="57" t="str">
        <f t="shared" si="104"/>
        <v/>
      </c>
    </row>
    <row r="925" spans="17:92" x14ac:dyDescent="0.25">
      <c r="Q925" s="13"/>
      <c r="AN925" s="54"/>
      <c r="AS925" s="15"/>
      <c r="BH925" s="52"/>
      <c r="BI925" s="21" t="str">
        <f ca="1">IFERROR(VLOOKUP(C925,OFFSET(abbreviation[],0,ColumnLanguage),ColumnAbbreviation,FALSE),"")</f>
        <v/>
      </c>
      <c r="BJ925" s="21" t="str">
        <f ca="1">IFERROR(VLOOKUP(E925,OFFSET(abbreviation[],0,ColumnLanguage),ColumnAbbreviation,FALSE),"")</f>
        <v/>
      </c>
      <c r="BK925" s="21" t="str">
        <f ca="1">IFERROR(VLOOKUP(G925,OFFSET(abbreviation[],0,ColumnLanguage),ColumnAbbreviation,FALSE),"")</f>
        <v/>
      </c>
      <c r="BL925" s="21" t="str">
        <f ca="1">IFERROR(VLOOKUP(I925,OFFSET(abbreviation[],0,ColumnLanguage),ColumnAbbreviation,FALSE),"")</f>
        <v/>
      </c>
      <c r="BM925" s="21" t="str">
        <f ca="1">IFERROR(VLOOKUP(K925,OFFSET(abbreviation[],0,ColumnLanguage),ColumnAbbreviation,FALSE),"")</f>
        <v/>
      </c>
      <c r="BN925" s="21" t="str">
        <f t="shared" ca="1" si="98"/>
        <v/>
      </c>
      <c r="BO925" s="21" t="str">
        <f ca="1">IFERROR(VLOOKUP(N925,OFFSET(abbreviation[],0,ColumnLanguage),ColumnAbbreviation,FALSE),"")</f>
        <v/>
      </c>
      <c r="BP925" s="21" t="str">
        <f ca="1">IFERROR(VLOOKUP(P925,OFFSET(abbreviation[],0,ColumnLanguage),ColumnAbbreviation,FALSE),"")</f>
        <v/>
      </c>
      <c r="BQ925" s="21" t="str">
        <f ca="1">IFERROR(VLOOKUP(T925,OFFSET(abbreviation[],0,ColumnLanguage),ColumnAbbreviation,FALSE),"")</f>
        <v/>
      </c>
      <c r="BR925" s="21" t="str">
        <f ca="1">IFERROR(VLOOKUP(V925,OFFSET(abbreviation[],0,ColumnLanguage),ColumnAbbreviation,FALSE),"")</f>
        <v/>
      </c>
      <c r="BS925" s="21" t="str">
        <f ca="1">IFERROR(VLOOKUP(Z925,OFFSET(abbreviation[],0,ColumnLanguage),ColumnAbbreviation,FALSE),"")</f>
        <v/>
      </c>
      <c r="BT925" s="21" t="str">
        <f ca="1">IFERROR(VLOOKUP(AB925,OFFSET(abbreviation[],0,ColumnLanguage),ColumnAbbreviation,FALSE),"")</f>
        <v/>
      </c>
      <c r="BU925" s="21" t="str">
        <f t="shared" ca="1" si="99"/>
        <v>__</v>
      </c>
      <c r="BV925" s="21" t="str">
        <f ca="1">IFERROR(VLOOKUP(AF925,OFFSET(abbreviation[],0,ColumnLanguage),ColumnAbbreviation,FALSE),"")</f>
        <v/>
      </c>
      <c r="BW925" s="21" t="str">
        <f ca="1">IFERROR(VLOOKUP(AH925,OFFSET(abbreviation[],0,ColumnLanguage),ColumnAbbreviation,FALSE),"")</f>
        <v/>
      </c>
      <c r="BX925" s="21" t="str">
        <f ca="1">IFERROR(VLOOKUP(AJ925,OFFSET(abbreviation[],0,ColumnLanguage),ColumnAbbreviation,FALSE),"")</f>
        <v/>
      </c>
      <c r="BY925" s="21" t="str">
        <f ca="1">IFERROR(VLOOKUP(AL925,OFFSET(abbreviation[],0,ColumnLanguage),ColumnAbbreviation,FALSE),"")</f>
        <v/>
      </c>
      <c r="BZ925" s="21" t="str">
        <f t="shared" ca="1" si="100"/>
        <v>_</v>
      </c>
      <c r="CA925" s="21" t="str">
        <f ca="1">IFERROR(VLOOKUP(AP925,OFFSET(abbreviation[],0,ColumnLanguage),ColumnAbbreviation,FALSE),"")</f>
        <v/>
      </c>
      <c r="CB925" s="21" t="str">
        <f ca="1">IFERROR(VLOOKUP(AR925,OFFSET(abbreviation[],0,ColumnLanguage),ColumnAbbreviation,FALSE),"")</f>
        <v/>
      </c>
      <c r="CC925" s="21" t="str">
        <f ca="1">IFERROR(VLOOKUP(AT925,OFFSET(abbreviation[],0,ColumnLanguage),ColumnAbbreviation,FALSE),"")</f>
        <v/>
      </c>
      <c r="CD925" s="21" t="str">
        <f ca="1">IFERROR(VLOOKUP(AV925,OFFSET(abbreviation[],0,ColumnLanguage),ColumnAbbreviation,FALSE),"")</f>
        <v/>
      </c>
      <c r="CE925" s="21" t="str">
        <f t="shared" ca="1" si="101"/>
        <v>__</v>
      </c>
      <c r="CF925" s="21" t="str">
        <f ca="1">IFERROR(VLOOKUP(AX925,OFFSET(abbreviation[],0,ColumnLanguage),ColumnAbbreviation,FALSE),"")</f>
        <v/>
      </c>
      <c r="CG925" s="21" t="str">
        <f ca="1">IFERROR(VLOOKUP(AZ925,OFFSET(abbreviation[],0,ColumnLanguage),ColumnAbbreviation,FALSE),"")</f>
        <v/>
      </c>
      <c r="CH925" s="21" t="str">
        <f ca="1">IFERROR(VLOOKUP(BB925,OFFSET(abbreviation[],0,ColumnLanguage),ColumnAbbreviation,FALSE),"")</f>
        <v/>
      </c>
      <c r="CI925" s="21" t="str">
        <f ca="1">IFERROR(VLOOKUP(BD925,OFFSET(abbreviation[],0,ColumnLanguage),ColumnAbbreviation,FALSE),"")</f>
        <v/>
      </c>
      <c r="CJ925" s="21" t="str">
        <f ca="1">IFERROR(VLOOKUP(BF925,OFFSET(abbreviation[],0,ColumnLanguage),ColumnAbbreviation,FALSE),"")</f>
        <v/>
      </c>
      <c r="CK925" s="21" t="str">
        <f t="shared" ca="1" si="102"/>
        <v/>
      </c>
      <c r="CL925" s="21" t="str">
        <f t="shared" si="103"/>
        <v/>
      </c>
      <c r="CM925" s="52"/>
      <c r="CN925" s="57" t="str">
        <f t="shared" si="104"/>
        <v/>
      </c>
    </row>
    <row r="926" spans="17:92" x14ac:dyDescent="0.25">
      <c r="Q926" s="13"/>
      <c r="AN926" s="54"/>
      <c r="AS926" s="15"/>
      <c r="BH926" s="52"/>
      <c r="BI926" s="21" t="str">
        <f ca="1">IFERROR(VLOOKUP(C926,OFFSET(abbreviation[],0,ColumnLanguage),ColumnAbbreviation,FALSE),"")</f>
        <v/>
      </c>
      <c r="BJ926" s="21" t="str">
        <f ca="1">IFERROR(VLOOKUP(E926,OFFSET(abbreviation[],0,ColumnLanguage),ColumnAbbreviation,FALSE),"")</f>
        <v/>
      </c>
      <c r="BK926" s="21" t="str">
        <f ca="1">IFERROR(VLOOKUP(G926,OFFSET(abbreviation[],0,ColumnLanguage),ColumnAbbreviation,FALSE),"")</f>
        <v/>
      </c>
      <c r="BL926" s="21" t="str">
        <f ca="1">IFERROR(VLOOKUP(I926,OFFSET(abbreviation[],0,ColumnLanguage),ColumnAbbreviation,FALSE),"")</f>
        <v/>
      </c>
      <c r="BM926" s="21" t="str">
        <f ca="1">IFERROR(VLOOKUP(K926,OFFSET(abbreviation[],0,ColumnLanguage),ColumnAbbreviation,FALSE),"")</f>
        <v/>
      </c>
      <c r="BN926" s="21" t="str">
        <f t="shared" ca="1" si="98"/>
        <v/>
      </c>
      <c r="BO926" s="21" t="str">
        <f ca="1">IFERROR(VLOOKUP(N926,OFFSET(abbreviation[],0,ColumnLanguage),ColumnAbbreviation,FALSE),"")</f>
        <v/>
      </c>
      <c r="BP926" s="21" t="str">
        <f ca="1">IFERROR(VLOOKUP(P926,OFFSET(abbreviation[],0,ColumnLanguage),ColumnAbbreviation,FALSE),"")</f>
        <v/>
      </c>
      <c r="BQ926" s="21" t="str">
        <f ca="1">IFERROR(VLOOKUP(T926,OFFSET(abbreviation[],0,ColumnLanguage),ColumnAbbreviation,FALSE),"")</f>
        <v/>
      </c>
      <c r="BR926" s="21" t="str">
        <f ca="1">IFERROR(VLOOKUP(V926,OFFSET(abbreviation[],0,ColumnLanguage),ColumnAbbreviation,FALSE),"")</f>
        <v/>
      </c>
      <c r="BS926" s="21" t="str">
        <f ca="1">IFERROR(VLOOKUP(Z926,OFFSET(abbreviation[],0,ColumnLanguage),ColumnAbbreviation,FALSE),"")</f>
        <v/>
      </c>
      <c r="BT926" s="21" t="str">
        <f ca="1">IFERROR(VLOOKUP(AB926,OFFSET(abbreviation[],0,ColumnLanguage),ColumnAbbreviation,FALSE),"")</f>
        <v/>
      </c>
      <c r="BU926" s="21" t="str">
        <f t="shared" ca="1" si="99"/>
        <v>__</v>
      </c>
      <c r="BV926" s="21" t="str">
        <f ca="1">IFERROR(VLOOKUP(AF926,OFFSET(abbreviation[],0,ColumnLanguage),ColumnAbbreviation,FALSE),"")</f>
        <v/>
      </c>
      <c r="BW926" s="21" t="str">
        <f ca="1">IFERROR(VLOOKUP(AH926,OFFSET(abbreviation[],0,ColumnLanguage),ColumnAbbreviation,FALSE),"")</f>
        <v/>
      </c>
      <c r="BX926" s="21" t="str">
        <f ca="1">IFERROR(VLOOKUP(AJ926,OFFSET(abbreviation[],0,ColumnLanguage),ColumnAbbreviation,FALSE),"")</f>
        <v/>
      </c>
      <c r="BY926" s="21" t="str">
        <f ca="1">IFERROR(VLOOKUP(AL926,OFFSET(abbreviation[],0,ColumnLanguage),ColumnAbbreviation,FALSE),"")</f>
        <v/>
      </c>
      <c r="BZ926" s="21" t="str">
        <f t="shared" ca="1" si="100"/>
        <v>_</v>
      </c>
      <c r="CA926" s="21" t="str">
        <f ca="1">IFERROR(VLOOKUP(AP926,OFFSET(abbreviation[],0,ColumnLanguage),ColumnAbbreviation,FALSE),"")</f>
        <v/>
      </c>
      <c r="CB926" s="21" t="str">
        <f ca="1">IFERROR(VLOOKUP(AR926,OFFSET(abbreviation[],0,ColumnLanguage),ColumnAbbreviation,FALSE),"")</f>
        <v/>
      </c>
      <c r="CC926" s="21" t="str">
        <f ca="1">IFERROR(VLOOKUP(AT926,OFFSET(abbreviation[],0,ColumnLanguage),ColumnAbbreviation,FALSE),"")</f>
        <v/>
      </c>
      <c r="CD926" s="21" t="str">
        <f ca="1">IFERROR(VLOOKUP(AV926,OFFSET(abbreviation[],0,ColumnLanguage),ColumnAbbreviation,FALSE),"")</f>
        <v/>
      </c>
      <c r="CE926" s="21" t="str">
        <f t="shared" ca="1" si="101"/>
        <v>__</v>
      </c>
      <c r="CF926" s="21" t="str">
        <f ca="1">IFERROR(VLOOKUP(AX926,OFFSET(abbreviation[],0,ColumnLanguage),ColumnAbbreviation,FALSE),"")</f>
        <v/>
      </c>
      <c r="CG926" s="21" t="str">
        <f ca="1">IFERROR(VLOOKUP(AZ926,OFFSET(abbreviation[],0,ColumnLanguage),ColumnAbbreviation,FALSE),"")</f>
        <v/>
      </c>
      <c r="CH926" s="21" t="str">
        <f ca="1">IFERROR(VLOOKUP(BB926,OFFSET(abbreviation[],0,ColumnLanguage),ColumnAbbreviation,FALSE),"")</f>
        <v/>
      </c>
      <c r="CI926" s="21" t="str">
        <f ca="1">IFERROR(VLOOKUP(BD926,OFFSET(abbreviation[],0,ColumnLanguage),ColumnAbbreviation,FALSE),"")</f>
        <v/>
      </c>
      <c r="CJ926" s="21" t="str">
        <f ca="1">IFERROR(VLOOKUP(BF926,OFFSET(abbreviation[],0,ColumnLanguage),ColumnAbbreviation,FALSE),"")</f>
        <v/>
      </c>
      <c r="CK926" s="21" t="str">
        <f t="shared" ca="1" si="102"/>
        <v/>
      </c>
      <c r="CL926" s="21" t="str">
        <f t="shared" si="103"/>
        <v/>
      </c>
      <c r="CM926" s="52"/>
      <c r="CN926" s="57" t="str">
        <f t="shared" si="104"/>
        <v/>
      </c>
    </row>
    <row r="927" spans="17:92" x14ac:dyDescent="0.25">
      <c r="Q927" s="13"/>
      <c r="AN927" s="54"/>
      <c r="AS927" s="15"/>
      <c r="BH927" s="52"/>
      <c r="BI927" s="21" t="str">
        <f ca="1">IFERROR(VLOOKUP(C927,OFFSET(abbreviation[],0,ColumnLanguage),ColumnAbbreviation,FALSE),"")</f>
        <v/>
      </c>
      <c r="BJ927" s="21" t="str">
        <f ca="1">IFERROR(VLOOKUP(E927,OFFSET(abbreviation[],0,ColumnLanguage),ColumnAbbreviation,FALSE),"")</f>
        <v/>
      </c>
      <c r="BK927" s="21" t="str">
        <f ca="1">IFERROR(VLOOKUP(G927,OFFSET(abbreviation[],0,ColumnLanguage),ColumnAbbreviation,FALSE),"")</f>
        <v/>
      </c>
      <c r="BL927" s="21" t="str">
        <f ca="1">IFERROR(VLOOKUP(I927,OFFSET(abbreviation[],0,ColumnLanguage),ColumnAbbreviation,FALSE),"")</f>
        <v/>
      </c>
      <c r="BM927" s="21" t="str">
        <f ca="1">IFERROR(VLOOKUP(K927,OFFSET(abbreviation[],0,ColumnLanguage),ColumnAbbreviation,FALSE),"")</f>
        <v/>
      </c>
      <c r="BN927" s="21" t="str">
        <f t="shared" ca="1" si="98"/>
        <v/>
      </c>
      <c r="BO927" s="21" t="str">
        <f ca="1">IFERROR(VLOOKUP(N927,OFFSET(abbreviation[],0,ColumnLanguage),ColumnAbbreviation,FALSE),"")</f>
        <v/>
      </c>
      <c r="BP927" s="21" t="str">
        <f ca="1">IFERROR(VLOOKUP(P927,OFFSET(abbreviation[],0,ColumnLanguage),ColumnAbbreviation,FALSE),"")</f>
        <v/>
      </c>
      <c r="BQ927" s="21" t="str">
        <f ca="1">IFERROR(VLOOKUP(T927,OFFSET(abbreviation[],0,ColumnLanguage),ColumnAbbreviation,FALSE),"")</f>
        <v/>
      </c>
      <c r="BR927" s="21" t="str">
        <f ca="1">IFERROR(VLOOKUP(V927,OFFSET(abbreviation[],0,ColumnLanguage),ColumnAbbreviation,FALSE),"")</f>
        <v/>
      </c>
      <c r="BS927" s="21" t="str">
        <f ca="1">IFERROR(VLOOKUP(Z927,OFFSET(abbreviation[],0,ColumnLanguage),ColumnAbbreviation,FALSE),"")</f>
        <v/>
      </c>
      <c r="BT927" s="21" t="str">
        <f ca="1">IFERROR(VLOOKUP(AB927,OFFSET(abbreviation[],0,ColumnLanguage),ColumnAbbreviation,FALSE),"")</f>
        <v/>
      </c>
      <c r="BU927" s="21" t="str">
        <f t="shared" ca="1" si="99"/>
        <v>__</v>
      </c>
      <c r="BV927" s="21" t="str">
        <f ca="1">IFERROR(VLOOKUP(AF927,OFFSET(abbreviation[],0,ColumnLanguage),ColumnAbbreviation,FALSE),"")</f>
        <v/>
      </c>
      <c r="BW927" s="21" t="str">
        <f ca="1">IFERROR(VLOOKUP(AH927,OFFSET(abbreviation[],0,ColumnLanguage),ColumnAbbreviation,FALSE),"")</f>
        <v/>
      </c>
      <c r="BX927" s="21" t="str">
        <f ca="1">IFERROR(VLOOKUP(AJ927,OFFSET(abbreviation[],0,ColumnLanguage),ColumnAbbreviation,FALSE),"")</f>
        <v/>
      </c>
      <c r="BY927" s="21" t="str">
        <f ca="1">IFERROR(VLOOKUP(AL927,OFFSET(abbreviation[],0,ColumnLanguage),ColumnAbbreviation,FALSE),"")</f>
        <v/>
      </c>
      <c r="BZ927" s="21" t="str">
        <f t="shared" ca="1" si="100"/>
        <v>_</v>
      </c>
      <c r="CA927" s="21" t="str">
        <f ca="1">IFERROR(VLOOKUP(AP927,OFFSET(abbreviation[],0,ColumnLanguage),ColumnAbbreviation,FALSE),"")</f>
        <v/>
      </c>
      <c r="CB927" s="21" t="str">
        <f ca="1">IFERROR(VLOOKUP(AR927,OFFSET(abbreviation[],0,ColumnLanguage),ColumnAbbreviation,FALSE),"")</f>
        <v/>
      </c>
      <c r="CC927" s="21" t="str">
        <f ca="1">IFERROR(VLOOKUP(AT927,OFFSET(abbreviation[],0,ColumnLanguage),ColumnAbbreviation,FALSE),"")</f>
        <v/>
      </c>
      <c r="CD927" s="21" t="str">
        <f ca="1">IFERROR(VLOOKUP(AV927,OFFSET(abbreviation[],0,ColumnLanguage),ColumnAbbreviation,FALSE),"")</f>
        <v/>
      </c>
      <c r="CE927" s="21" t="str">
        <f t="shared" ca="1" si="101"/>
        <v>__</v>
      </c>
      <c r="CF927" s="21" t="str">
        <f ca="1">IFERROR(VLOOKUP(AX927,OFFSET(abbreviation[],0,ColumnLanguage),ColumnAbbreviation,FALSE),"")</f>
        <v/>
      </c>
      <c r="CG927" s="21" t="str">
        <f ca="1">IFERROR(VLOOKUP(AZ927,OFFSET(abbreviation[],0,ColumnLanguage),ColumnAbbreviation,FALSE),"")</f>
        <v/>
      </c>
      <c r="CH927" s="21" t="str">
        <f ca="1">IFERROR(VLOOKUP(BB927,OFFSET(abbreviation[],0,ColumnLanguage),ColumnAbbreviation,FALSE),"")</f>
        <v/>
      </c>
      <c r="CI927" s="21" t="str">
        <f ca="1">IFERROR(VLOOKUP(BD927,OFFSET(abbreviation[],0,ColumnLanguage),ColumnAbbreviation,FALSE),"")</f>
        <v/>
      </c>
      <c r="CJ927" s="21" t="str">
        <f ca="1">IFERROR(VLOOKUP(BF927,OFFSET(abbreviation[],0,ColumnLanguage),ColumnAbbreviation,FALSE),"")</f>
        <v/>
      </c>
      <c r="CK927" s="21" t="str">
        <f t="shared" ca="1" si="102"/>
        <v/>
      </c>
      <c r="CL927" s="21" t="str">
        <f t="shared" si="103"/>
        <v/>
      </c>
      <c r="CM927" s="52"/>
      <c r="CN927" s="57" t="str">
        <f t="shared" si="104"/>
        <v/>
      </c>
    </row>
    <row r="928" spans="17:92" x14ac:dyDescent="0.25">
      <c r="Q928" s="13"/>
      <c r="AN928" s="54"/>
      <c r="AS928" s="15"/>
      <c r="BH928" s="52"/>
      <c r="BI928" s="21" t="str">
        <f ca="1">IFERROR(VLOOKUP(C928,OFFSET(abbreviation[],0,ColumnLanguage),ColumnAbbreviation,FALSE),"")</f>
        <v/>
      </c>
      <c r="BJ928" s="21" t="str">
        <f ca="1">IFERROR(VLOOKUP(E928,OFFSET(abbreviation[],0,ColumnLanguage),ColumnAbbreviation,FALSE),"")</f>
        <v/>
      </c>
      <c r="BK928" s="21" t="str">
        <f ca="1">IFERROR(VLOOKUP(G928,OFFSET(abbreviation[],0,ColumnLanguage),ColumnAbbreviation,FALSE),"")</f>
        <v/>
      </c>
      <c r="BL928" s="21" t="str">
        <f ca="1">IFERROR(VLOOKUP(I928,OFFSET(abbreviation[],0,ColumnLanguage),ColumnAbbreviation,FALSE),"")</f>
        <v/>
      </c>
      <c r="BM928" s="21" t="str">
        <f ca="1">IFERROR(VLOOKUP(K928,OFFSET(abbreviation[],0,ColumnLanguage),ColumnAbbreviation,FALSE),"")</f>
        <v/>
      </c>
      <c r="BN928" s="21" t="str">
        <f t="shared" ca="1" si="98"/>
        <v/>
      </c>
      <c r="BO928" s="21" t="str">
        <f ca="1">IFERROR(VLOOKUP(N928,OFFSET(abbreviation[],0,ColumnLanguage),ColumnAbbreviation,FALSE),"")</f>
        <v/>
      </c>
      <c r="BP928" s="21" t="str">
        <f ca="1">IFERROR(VLOOKUP(P928,OFFSET(abbreviation[],0,ColumnLanguage),ColumnAbbreviation,FALSE),"")</f>
        <v/>
      </c>
      <c r="BQ928" s="21" t="str">
        <f ca="1">IFERROR(VLOOKUP(T928,OFFSET(abbreviation[],0,ColumnLanguage),ColumnAbbreviation,FALSE),"")</f>
        <v/>
      </c>
      <c r="BR928" s="21" t="str">
        <f ca="1">IFERROR(VLOOKUP(V928,OFFSET(abbreviation[],0,ColumnLanguage),ColumnAbbreviation,FALSE),"")</f>
        <v/>
      </c>
      <c r="BS928" s="21" t="str">
        <f ca="1">IFERROR(VLOOKUP(Z928,OFFSET(abbreviation[],0,ColumnLanguage),ColumnAbbreviation,FALSE),"")</f>
        <v/>
      </c>
      <c r="BT928" s="21" t="str">
        <f ca="1">IFERROR(VLOOKUP(AB928,OFFSET(abbreviation[],0,ColumnLanguage),ColumnAbbreviation,FALSE),"")</f>
        <v/>
      </c>
      <c r="BU928" s="21" t="str">
        <f t="shared" ca="1" si="99"/>
        <v>__</v>
      </c>
      <c r="BV928" s="21" t="str">
        <f ca="1">IFERROR(VLOOKUP(AF928,OFFSET(abbreviation[],0,ColumnLanguage),ColumnAbbreviation,FALSE),"")</f>
        <v/>
      </c>
      <c r="BW928" s="21" t="str">
        <f ca="1">IFERROR(VLOOKUP(AH928,OFFSET(abbreviation[],0,ColumnLanguage),ColumnAbbreviation,FALSE),"")</f>
        <v/>
      </c>
      <c r="BX928" s="21" t="str">
        <f ca="1">IFERROR(VLOOKUP(AJ928,OFFSET(abbreviation[],0,ColumnLanguage),ColumnAbbreviation,FALSE),"")</f>
        <v/>
      </c>
      <c r="BY928" s="21" t="str">
        <f ca="1">IFERROR(VLOOKUP(AL928,OFFSET(abbreviation[],0,ColumnLanguage),ColumnAbbreviation,FALSE),"")</f>
        <v/>
      </c>
      <c r="BZ928" s="21" t="str">
        <f t="shared" ca="1" si="100"/>
        <v>_</v>
      </c>
      <c r="CA928" s="21" t="str">
        <f ca="1">IFERROR(VLOOKUP(AP928,OFFSET(abbreviation[],0,ColumnLanguage),ColumnAbbreviation,FALSE),"")</f>
        <v/>
      </c>
      <c r="CB928" s="21" t="str">
        <f ca="1">IFERROR(VLOOKUP(AR928,OFFSET(abbreviation[],0,ColumnLanguage),ColumnAbbreviation,FALSE),"")</f>
        <v/>
      </c>
      <c r="CC928" s="21" t="str">
        <f ca="1">IFERROR(VLOOKUP(AT928,OFFSET(abbreviation[],0,ColumnLanguage),ColumnAbbreviation,FALSE),"")</f>
        <v/>
      </c>
      <c r="CD928" s="21" t="str">
        <f ca="1">IFERROR(VLOOKUP(AV928,OFFSET(abbreviation[],0,ColumnLanguage),ColumnAbbreviation,FALSE),"")</f>
        <v/>
      </c>
      <c r="CE928" s="21" t="str">
        <f t="shared" ca="1" si="101"/>
        <v>__</v>
      </c>
      <c r="CF928" s="21" t="str">
        <f ca="1">IFERROR(VLOOKUP(AX928,OFFSET(abbreviation[],0,ColumnLanguage),ColumnAbbreviation,FALSE),"")</f>
        <v/>
      </c>
      <c r="CG928" s="21" t="str">
        <f ca="1">IFERROR(VLOOKUP(AZ928,OFFSET(abbreviation[],0,ColumnLanguage),ColumnAbbreviation,FALSE),"")</f>
        <v/>
      </c>
      <c r="CH928" s="21" t="str">
        <f ca="1">IFERROR(VLOOKUP(BB928,OFFSET(abbreviation[],0,ColumnLanguage),ColumnAbbreviation,FALSE),"")</f>
        <v/>
      </c>
      <c r="CI928" s="21" t="str">
        <f ca="1">IFERROR(VLOOKUP(BD928,OFFSET(abbreviation[],0,ColumnLanguage),ColumnAbbreviation,FALSE),"")</f>
        <v/>
      </c>
      <c r="CJ928" s="21" t="str">
        <f ca="1">IFERROR(VLOOKUP(BF928,OFFSET(abbreviation[],0,ColumnLanguage),ColumnAbbreviation,FALSE),"")</f>
        <v/>
      </c>
      <c r="CK928" s="21" t="str">
        <f t="shared" ca="1" si="102"/>
        <v/>
      </c>
      <c r="CL928" s="21" t="str">
        <f t="shared" si="103"/>
        <v/>
      </c>
      <c r="CM928" s="52"/>
      <c r="CN928" s="57" t="str">
        <f t="shared" si="104"/>
        <v/>
      </c>
    </row>
    <row r="929" spans="17:92" x14ac:dyDescent="0.25">
      <c r="Q929" s="13"/>
      <c r="AN929" s="54"/>
      <c r="AS929" s="15"/>
      <c r="BH929" s="52"/>
      <c r="BI929" s="21" t="str">
        <f ca="1">IFERROR(VLOOKUP(C929,OFFSET(abbreviation[],0,ColumnLanguage),ColumnAbbreviation,FALSE),"")</f>
        <v/>
      </c>
      <c r="BJ929" s="21" t="str">
        <f ca="1">IFERROR(VLOOKUP(E929,OFFSET(abbreviation[],0,ColumnLanguage),ColumnAbbreviation,FALSE),"")</f>
        <v/>
      </c>
      <c r="BK929" s="21" t="str">
        <f ca="1">IFERROR(VLOOKUP(G929,OFFSET(abbreviation[],0,ColumnLanguage),ColumnAbbreviation,FALSE),"")</f>
        <v/>
      </c>
      <c r="BL929" s="21" t="str">
        <f ca="1">IFERROR(VLOOKUP(I929,OFFSET(abbreviation[],0,ColumnLanguage),ColumnAbbreviation,FALSE),"")</f>
        <v/>
      </c>
      <c r="BM929" s="21" t="str">
        <f ca="1">IFERROR(VLOOKUP(K929,OFFSET(abbreviation[],0,ColumnLanguage),ColumnAbbreviation,FALSE),"")</f>
        <v/>
      </c>
      <c r="BN929" s="21" t="str">
        <f t="shared" ca="1" si="98"/>
        <v/>
      </c>
      <c r="BO929" s="21" t="str">
        <f ca="1">IFERROR(VLOOKUP(N929,OFFSET(abbreviation[],0,ColumnLanguage),ColumnAbbreviation,FALSE),"")</f>
        <v/>
      </c>
      <c r="BP929" s="21" t="str">
        <f ca="1">IFERROR(VLOOKUP(P929,OFFSET(abbreviation[],0,ColumnLanguage),ColumnAbbreviation,FALSE),"")</f>
        <v/>
      </c>
      <c r="BQ929" s="21" t="str">
        <f ca="1">IFERROR(VLOOKUP(T929,OFFSET(abbreviation[],0,ColumnLanguage),ColumnAbbreviation,FALSE),"")</f>
        <v/>
      </c>
      <c r="BR929" s="21" t="str">
        <f ca="1">IFERROR(VLOOKUP(V929,OFFSET(abbreviation[],0,ColumnLanguage),ColumnAbbreviation,FALSE),"")</f>
        <v/>
      </c>
      <c r="BS929" s="21" t="str">
        <f ca="1">IFERROR(VLOOKUP(Z929,OFFSET(abbreviation[],0,ColumnLanguage),ColumnAbbreviation,FALSE),"")</f>
        <v/>
      </c>
      <c r="BT929" s="21" t="str">
        <f ca="1">IFERROR(VLOOKUP(AB929,OFFSET(abbreviation[],0,ColumnLanguage),ColumnAbbreviation,FALSE),"")</f>
        <v/>
      </c>
      <c r="BU929" s="21" t="str">
        <f t="shared" ca="1" si="99"/>
        <v>__</v>
      </c>
      <c r="BV929" s="21" t="str">
        <f ca="1">IFERROR(VLOOKUP(AF929,OFFSET(abbreviation[],0,ColumnLanguage),ColumnAbbreviation,FALSE),"")</f>
        <v/>
      </c>
      <c r="BW929" s="21" t="str">
        <f ca="1">IFERROR(VLOOKUP(AH929,OFFSET(abbreviation[],0,ColumnLanguage),ColumnAbbreviation,FALSE),"")</f>
        <v/>
      </c>
      <c r="BX929" s="21" t="str">
        <f ca="1">IFERROR(VLOOKUP(AJ929,OFFSET(abbreviation[],0,ColumnLanguage),ColumnAbbreviation,FALSE),"")</f>
        <v/>
      </c>
      <c r="BY929" s="21" t="str">
        <f ca="1">IFERROR(VLOOKUP(AL929,OFFSET(abbreviation[],0,ColumnLanguage),ColumnAbbreviation,FALSE),"")</f>
        <v/>
      </c>
      <c r="BZ929" s="21" t="str">
        <f t="shared" ca="1" si="100"/>
        <v>_</v>
      </c>
      <c r="CA929" s="21" t="str">
        <f ca="1">IFERROR(VLOOKUP(AP929,OFFSET(abbreviation[],0,ColumnLanguage),ColumnAbbreviation,FALSE),"")</f>
        <v/>
      </c>
      <c r="CB929" s="21" t="str">
        <f ca="1">IFERROR(VLOOKUP(AR929,OFFSET(abbreviation[],0,ColumnLanguage),ColumnAbbreviation,FALSE),"")</f>
        <v/>
      </c>
      <c r="CC929" s="21" t="str">
        <f ca="1">IFERROR(VLOOKUP(AT929,OFFSET(abbreviation[],0,ColumnLanguage),ColumnAbbreviation,FALSE),"")</f>
        <v/>
      </c>
      <c r="CD929" s="21" t="str">
        <f ca="1">IFERROR(VLOOKUP(AV929,OFFSET(abbreviation[],0,ColumnLanguage),ColumnAbbreviation,FALSE),"")</f>
        <v/>
      </c>
      <c r="CE929" s="21" t="str">
        <f t="shared" ca="1" si="101"/>
        <v>__</v>
      </c>
      <c r="CF929" s="21" t="str">
        <f ca="1">IFERROR(VLOOKUP(AX929,OFFSET(abbreviation[],0,ColumnLanguage),ColumnAbbreviation,FALSE),"")</f>
        <v/>
      </c>
      <c r="CG929" s="21" t="str">
        <f ca="1">IFERROR(VLOOKUP(AZ929,OFFSET(abbreviation[],0,ColumnLanguage),ColumnAbbreviation,FALSE),"")</f>
        <v/>
      </c>
      <c r="CH929" s="21" t="str">
        <f ca="1">IFERROR(VLOOKUP(BB929,OFFSET(abbreviation[],0,ColumnLanguage),ColumnAbbreviation,FALSE),"")</f>
        <v/>
      </c>
      <c r="CI929" s="21" t="str">
        <f ca="1">IFERROR(VLOOKUP(BD929,OFFSET(abbreviation[],0,ColumnLanguage),ColumnAbbreviation,FALSE),"")</f>
        <v/>
      </c>
      <c r="CJ929" s="21" t="str">
        <f ca="1">IFERROR(VLOOKUP(BF929,OFFSET(abbreviation[],0,ColumnLanguage),ColumnAbbreviation,FALSE),"")</f>
        <v/>
      </c>
      <c r="CK929" s="21" t="str">
        <f t="shared" ca="1" si="102"/>
        <v/>
      </c>
      <c r="CL929" s="21" t="str">
        <f t="shared" si="103"/>
        <v/>
      </c>
      <c r="CM929" s="52"/>
      <c r="CN929" s="57" t="str">
        <f t="shared" si="104"/>
        <v/>
      </c>
    </row>
    <row r="930" spans="17:92" x14ac:dyDescent="0.25">
      <c r="Q930" s="13"/>
      <c r="AN930" s="54"/>
      <c r="AS930" s="15"/>
      <c r="BH930" s="52"/>
      <c r="BI930" s="21" t="str">
        <f ca="1">IFERROR(VLOOKUP(C930,OFFSET(abbreviation[],0,ColumnLanguage),ColumnAbbreviation,FALSE),"")</f>
        <v/>
      </c>
      <c r="BJ930" s="21" t="str">
        <f ca="1">IFERROR(VLOOKUP(E930,OFFSET(abbreviation[],0,ColumnLanguage),ColumnAbbreviation,FALSE),"")</f>
        <v/>
      </c>
      <c r="BK930" s="21" t="str">
        <f ca="1">IFERROR(VLOOKUP(G930,OFFSET(abbreviation[],0,ColumnLanguage),ColumnAbbreviation,FALSE),"")</f>
        <v/>
      </c>
      <c r="BL930" s="21" t="str">
        <f ca="1">IFERROR(VLOOKUP(I930,OFFSET(abbreviation[],0,ColumnLanguage),ColumnAbbreviation,FALSE),"")</f>
        <v/>
      </c>
      <c r="BM930" s="21" t="str">
        <f ca="1">IFERROR(VLOOKUP(K930,OFFSET(abbreviation[],0,ColumnLanguage),ColumnAbbreviation,FALSE),"")</f>
        <v/>
      </c>
      <c r="BN930" s="21" t="str">
        <f t="shared" ca="1" si="98"/>
        <v/>
      </c>
      <c r="BO930" s="21" t="str">
        <f ca="1">IFERROR(VLOOKUP(N930,OFFSET(abbreviation[],0,ColumnLanguage),ColumnAbbreviation,FALSE),"")</f>
        <v/>
      </c>
      <c r="BP930" s="21" t="str">
        <f ca="1">IFERROR(VLOOKUP(P930,OFFSET(abbreviation[],0,ColumnLanguage),ColumnAbbreviation,FALSE),"")</f>
        <v/>
      </c>
      <c r="BQ930" s="21" t="str">
        <f ca="1">IFERROR(VLOOKUP(T930,OFFSET(abbreviation[],0,ColumnLanguage),ColumnAbbreviation,FALSE),"")</f>
        <v/>
      </c>
      <c r="BR930" s="21" t="str">
        <f ca="1">IFERROR(VLOOKUP(V930,OFFSET(abbreviation[],0,ColumnLanguage),ColumnAbbreviation,FALSE),"")</f>
        <v/>
      </c>
      <c r="BS930" s="21" t="str">
        <f ca="1">IFERROR(VLOOKUP(Z930,OFFSET(abbreviation[],0,ColumnLanguage),ColumnAbbreviation,FALSE),"")</f>
        <v/>
      </c>
      <c r="BT930" s="21" t="str">
        <f ca="1">IFERROR(VLOOKUP(AB930,OFFSET(abbreviation[],0,ColumnLanguage),ColumnAbbreviation,FALSE),"")</f>
        <v/>
      </c>
      <c r="BU930" s="21" t="str">
        <f t="shared" ca="1" si="99"/>
        <v>__</v>
      </c>
      <c r="BV930" s="21" t="str">
        <f ca="1">IFERROR(VLOOKUP(AF930,OFFSET(abbreviation[],0,ColumnLanguage),ColumnAbbreviation,FALSE),"")</f>
        <v/>
      </c>
      <c r="BW930" s="21" t="str">
        <f ca="1">IFERROR(VLOOKUP(AH930,OFFSET(abbreviation[],0,ColumnLanguage),ColumnAbbreviation,FALSE),"")</f>
        <v/>
      </c>
      <c r="BX930" s="21" t="str">
        <f ca="1">IFERROR(VLOOKUP(AJ930,OFFSET(abbreviation[],0,ColumnLanguage),ColumnAbbreviation,FALSE),"")</f>
        <v/>
      </c>
      <c r="BY930" s="21" t="str">
        <f ca="1">IFERROR(VLOOKUP(AL930,OFFSET(abbreviation[],0,ColumnLanguage),ColumnAbbreviation,FALSE),"")</f>
        <v/>
      </c>
      <c r="BZ930" s="21" t="str">
        <f t="shared" ca="1" si="100"/>
        <v>_</v>
      </c>
      <c r="CA930" s="21" t="str">
        <f ca="1">IFERROR(VLOOKUP(AP930,OFFSET(abbreviation[],0,ColumnLanguage),ColumnAbbreviation,FALSE),"")</f>
        <v/>
      </c>
      <c r="CB930" s="21" t="str">
        <f ca="1">IFERROR(VLOOKUP(AR930,OFFSET(abbreviation[],0,ColumnLanguage),ColumnAbbreviation,FALSE),"")</f>
        <v/>
      </c>
      <c r="CC930" s="21" t="str">
        <f ca="1">IFERROR(VLOOKUP(AT930,OFFSET(abbreviation[],0,ColumnLanguage),ColumnAbbreviation,FALSE),"")</f>
        <v/>
      </c>
      <c r="CD930" s="21" t="str">
        <f ca="1">IFERROR(VLOOKUP(AV930,OFFSET(abbreviation[],0,ColumnLanguage),ColumnAbbreviation,FALSE),"")</f>
        <v/>
      </c>
      <c r="CE930" s="21" t="str">
        <f t="shared" ca="1" si="101"/>
        <v>__</v>
      </c>
      <c r="CF930" s="21" t="str">
        <f ca="1">IFERROR(VLOOKUP(AX930,OFFSET(abbreviation[],0,ColumnLanguage),ColumnAbbreviation,FALSE),"")</f>
        <v/>
      </c>
      <c r="CG930" s="21" t="str">
        <f ca="1">IFERROR(VLOOKUP(AZ930,OFFSET(abbreviation[],0,ColumnLanguage),ColumnAbbreviation,FALSE),"")</f>
        <v/>
      </c>
      <c r="CH930" s="21" t="str">
        <f ca="1">IFERROR(VLOOKUP(BB930,OFFSET(abbreviation[],0,ColumnLanguage),ColumnAbbreviation,FALSE),"")</f>
        <v/>
      </c>
      <c r="CI930" s="21" t="str">
        <f ca="1">IFERROR(VLOOKUP(BD930,OFFSET(abbreviation[],0,ColumnLanguage),ColumnAbbreviation,FALSE),"")</f>
        <v/>
      </c>
      <c r="CJ930" s="21" t="str">
        <f ca="1">IFERROR(VLOOKUP(BF930,OFFSET(abbreviation[],0,ColumnLanguage),ColumnAbbreviation,FALSE),"")</f>
        <v/>
      </c>
      <c r="CK930" s="21" t="str">
        <f t="shared" ca="1" si="102"/>
        <v/>
      </c>
      <c r="CL930" s="21" t="str">
        <f t="shared" si="103"/>
        <v/>
      </c>
      <c r="CM930" s="52"/>
      <c r="CN930" s="57" t="str">
        <f t="shared" si="104"/>
        <v/>
      </c>
    </row>
    <row r="931" spans="17:92" x14ac:dyDescent="0.25">
      <c r="Q931" s="13"/>
      <c r="AN931" s="54"/>
      <c r="AS931" s="15"/>
      <c r="BH931" s="52"/>
      <c r="BI931" s="21" t="str">
        <f ca="1">IFERROR(VLOOKUP(C931,OFFSET(abbreviation[],0,ColumnLanguage),ColumnAbbreviation,FALSE),"")</f>
        <v/>
      </c>
      <c r="BJ931" s="21" t="str">
        <f ca="1">IFERROR(VLOOKUP(E931,OFFSET(abbreviation[],0,ColumnLanguage),ColumnAbbreviation,FALSE),"")</f>
        <v/>
      </c>
      <c r="BK931" s="21" t="str">
        <f ca="1">IFERROR(VLOOKUP(G931,OFFSET(abbreviation[],0,ColumnLanguage),ColumnAbbreviation,FALSE),"")</f>
        <v/>
      </c>
      <c r="BL931" s="21" t="str">
        <f ca="1">IFERROR(VLOOKUP(I931,OFFSET(abbreviation[],0,ColumnLanguage),ColumnAbbreviation,FALSE),"")</f>
        <v/>
      </c>
      <c r="BM931" s="21" t="str">
        <f ca="1">IFERROR(VLOOKUP(K931,OFFSET(abbreviation[],0,ColumnLanguage),ColumnAbbreviation,FALSE),"")</f>
        <v/>
      </c>
      <c r="BN931" s="21" t="str">
        <f t="shared" ca="1" si="98"/>
        <v/>
      </c>
      <c r="BO931" s="21" t="str">
        <f ca="1">IFERROR(VLOOKUP(N931,OFFSET(abbreviation[],0,ColumnLanguage),ColumnAbbreviation,FALSE),"")</f>
        <v/>
      </c>
      <c r="BP931" s="21" t="str">
        <f ca="1">IFERROR(VLOOKUP(P931,OFFSET(abbreviation[],0,ColumnLanguage),ColumnAbbreviation,FALSE),"")</f>
        <v/>
      </c>
      <c r="BQ931" s="21" t="str">
        <f ca="1">IFERROR(VLOOKUP(T931,OFFSET(abbreviation[],0,ColumnLanguage),ColumnAbbreviation,FALSE),"")</f>
        <v/>
      </c>
      <c r="BR931" s="21" t="str">
        <f ca="1">IFERROR(VLOOKUP(V931,OFFSET(abbreviation[],0,ColumnLanguage),ColumnAbbreviation,FALSE),"")</f>
        <v/>
      </c>
      <c r="BS931" s="21" t="str">
        <f ca="1">IFERROR(VLOOKUP(Z931,OFFSET(abbreviation[],0,ColumnLanguage),ColumnAbbreviation,FALSE),"")</f>
        <v/>
      </c>
      <c r="BT931" s="21" t="str">
        <f ca="1">IFERROR(VLOOKUP(AB931,OFFSET(abbreviation[],0,ColumnLanguage),ColumnAbbreviation,FALSE),"")</f>
        <v/>
      </c>
      <c r="BU931" s="21" t="str">
        <f t="shared" ca="1" si="99"/>
        <v>__</v>
      </c>
      <c r="BV931" s="21" t="str">
        <f ca="1">IFERROR(VLOOKUP(AF931,OFFSET(abbreviation[],0,ColumnLanguage),ColumnAbbreviation,FALSE),"")</f>
        <v/>
      </c>
      <c r="BW931" s="21" t="str">
        <f ca="1">IFERROR(VLOOKUP(AH931,OFFSET(abbreviation[],0,ColumnLanguage),ColumnAbbreviation,FALSE),"")</f>
        <v/>
      </c>
      <c r="BX931" s="21" t="str">
        <f ca="1">IFERROR(VLOOKUP(AJ931,OFFSET(abbreviation[],0,ColumnLanguage),ColumnAbbreviation,FALSE),"")</f>
        <v/>
      </c>
      <c r="BY931" s="21" t="str">
        <f ca="1">IFERROR(VLOOKUP(AL931,OFFSET(abbreviation[],0,ColumnLanguage),ColumnAbbreviation,FALSE),"")</f>
        <v/>
      </c>
      <c r="BZ931" s="21" t="str">
        <f t="shared" ca="1" si="100"/>
        <v>_</v>
      </c>
      <c r="CA931" s="21" t="str">
        <f ca="1">IFERROR(VLOOKUP(AP931,OFFSET(abbreviation[],0,ColumnLanguage),ColumnAbbreviation,FALSE),"")</f>
        <v/>
      </c>
      <c r="CB931" s="21" t="str">
        <f ca="1">IFERROR(VLOOKUP(AR931,OFFSET(abbreviation[],0,ColumnLanguage),ColumnAbbreviation,FALSE),"")</f>
        <v/>
      </c>
      <c r="CC931" s="21" t="str">
        <f ca="1">IFERROR(VLOOKUP(AT931,OFFSET(abbreviation[],0,ColumnLanguage),ColumnAbbreviation,FALSE),"")</f>
        <v/>
      </c>
      <c r="CD931" s="21" t="str">
        <f ca="1">IFERROR(VLOOKUP(AV931,OFFSET(abbreviation[],0,ColumnLanguage),ColumnAbbreviation,FALSE),"")</f>
        <v/>
      </c>
      <c r="CE931" s="21" t="str">
        <f t="shared" ca="1" si="101"/>
        <v>__</v>
      </c>
      <c r="CF931" s="21" t="str">
        <f ca="1">IFERROR(VLOOKUP(AX931,OFFSET(abbreviation[],0,ColumnLanguage),ColumnAbbreviation,FALSE),"")</f>
        <v/>
      </c>
      <c r="CG931" s="21" t="str">
        <f ca="1">IFERROR(VLOOKUP(AZ931,OFFSET(abbreviation[],0,ColumnLanguage),ColumnAbbreviation,FALSE),"")</f>
        <v/>
      </c>
      <c r="CH931" s="21" t="str">
        <f ca="1">IFERROR(VLOOKUP(BB931,OFFSET(abbreviation[],0,ColumnLanguage),ColumnAbbreviation,FALSE),"")</f>
        <v/>
      </c>
      <c r="CI931" s="21" t="str">
        <f ca="1">IFERROR(VLOOKUP(BD931,OFFSET(abbreviation[],0,ColumnLanguage),ColumnAbbreviation,FALSE),"")</f>
        <v/>
      </c>
      <c r="CJ931" s="21" t="str">
        <f ca="1">IFERROR(VLOOKUP(BF931,OFFSET(abbreviation[],0,ColumnLanguage),ColumnAbbreviation,FALSE),"")</f>
        <v/>
      </c>
      <c r="CK931" s="21" t="str">
        <f t="shared" ca="1" si="102"/>
        <v/>
      </c>
      <c r="CL931" s="21" t="str">
        <f t="shared" si="103"/>
        <v/>
      </c>
      <c r="CM931" s="52"/>
      <c r="CN931" s="57" t="str">
        <f t="shared" si="104"/>
        <v/>
      </c>
    </row>
    <row r="932" spans="17:92" x14ac:dyDescent="0.25">
      <c r="Q932" s="13"/>
      <c r="AN932" s="54"/>
      <c r="AS932" s="15"/>
      <c r="BH932" s="52"/>
      <c r="BI932" s="21" t="str">
        <f ca="1">IFERROR(VLOOKUP(C932,OFFSET(abbreviation[],0,ColumnLanguage),ColumnAbbreviation,FALSE),"")</f>
        <v/>
      </c>
      <c r="BJ932" s="21" t="str">
        <f ca="1">IFERROR(VLOOKUP(E932,OFFSET(abbreviation[],0,ColumnLanguage),ColumnAbbreviation,FALSE),"")</f>
        <v/>
      </c>
      <c r="BK932" s="21" t="str">
        <f ca="1">IFERROR(VLOOKUP(G932,OFFSET(abbreviation[],0,ColumnLanguage),ColumnAbbreviation,FALSE),"")</f>
        <v/>
      </c>
      <c r="BL932" s="21" t="str">
        <f ca="1">IFERROR(VLOOKUP(I932,OFFSET(abbreviation[],0,ColumnLanguage),ColumnAbbreviation,FALSE),"")</f>
        <v/>
      </c>
      <c r="BM932" s="21" t="str">
        <f ca="1">IFERROR(VLOOKUP(K932,OFFSET(abbreviation[],0,ColumnLanguage),ColumnAbbreviation,FALSE),"")</f>
        <v/>
      </c>
      <c r="BN932" s="21" t="str">
        <f t="shared" ca="1" si="98"/>
        <v/>
      </c>
      <c r="BO932" s="21" t="str">
        <f ca="1">IFERROR(VLOOKUP(N932,OFFSET(abbreviation[],0,ColumnLanguage),ColumnAbbreviation,FALSE),"")</f>
        <v/>
      </c>
      <c r="BP932" s="21" t="str">
        <f ca="1">IFERROR(VLOOKUP(P932,OFFSET(abbreviation[],0,ColumnLanguage),ColumnAbbreviation,FALSE),"")</f>
        <v/>
      </c>
      <c r="BQ932" s="21" t="str">
        <f ca="1">IFERROR(VLOOKUP(T932,OFFSET(abbreviation[],0,ColumnLanguage),ColumnAbbreviation,FALSE),"")</f>
        <v/>
      </c>
      <c r="BR932" s="21" t="str">
        <f ca="1">IFERROR(VLOOKUP(V932,OFFSET(abbreviation[],0,ColumnLanguage),ColumnAbbreviation,FALSE),"")</f>
        <v/>
      </c>
      <c r="BS932" s="21" t="str">
        <f ca="1">IFERROR(VLOOKUP(Z932,OFFSET(abbreviation[],0,ColumnLanguage),ColumnAbbreviation,FALSE),"")</f>
        <v/>
      </c>
      <c r="BT932" s="21" t="str">
        <f ca="1">IFERROR(VLOOKUP(AB932,OFFSET(abbreviation[],0,ColumnLanguage),ColumnAbbreviation,FALSE),"")</f>
        <v/>
      </c>
      <c r="BU932" s="21" t="str">
        <f t="shared" ca="1" si="99"/>
        <v>__</v>
      </c>
      <c r="BV932" s="21" t="str">
        <f ca="1">IFERROR(VLOOKUP(AF932,OFFSET(abbreviation[],0,ColumnLanguage),ColumnAbbreviation,FALSE),"")</f>
        <v/>
      </c>
      <c r="BW932" s="21" t="str">
        <f ca="1">IFERROR(VLOOKUP(AH932,OFFSET(abbreviation[],0,ColumnLanguage),ColumnAbbreviation,FALSE),"")</f>
        <v/>
      </c>
      <c r="BX932" s="21" t="str">
        <f ca="1">IFERROR(VLOOKUP(AJ932,OFFSET(abbreviation[],0,ColumnLanguage),ColumnAbbreviation,FALSE),"")</f>
        <v/>
      </c>
      <c r="BY932" s="21" t="str">
        <f ca="1">IFERROR(VLOOKUP(AL932,OFFSET(abbreviation[],0,ColumnLanguage),ColumnAbbreviation,FALSE),"")</f>
        <v/>
      </c>
      <c r="BZ932" s="21" t="str">
        <f t="shared" ca="1" si="100"/>
        <v>_</v>
      </c>
      <c r="CA932" s="21" t="str">
        <f ca="1">IFERROR(VLOOKUP(AP932,OFFSET(abbreviation[],0,ColumnLanguage),ColumnAbbreviation,FALSE),"")</f>
        <v/>
      </c>
      <c r="CB932" s="21" t="str">
        <f ca="1">IFERROR(VLOOKUP(AR932,OFFSET(abbreviation[],0,ColumnLanguage),ColumnAbbreviation,FALSE),"")</f>
        <v/>
      </c>
      <c r="CC932" s="21" t="str">
        <f ca="1">IFERROR(VLOOKUP(AT932,OFFSET(abbreviation[],0,ColumnLanguage),ColumnAbbreviation,FALSE),"")</f>
        <v/>
      </c>
      <c r="CD932" s="21" t="str">
        <f ca="1">IFERROR(VLOOKUP(AV932,OFFSET(abbreviation[],0,ColumnLanguage),ColumnAbbreviation,FALSE),"")</f>
        <v/>
      </c>
      <c r="CE932" s="21" t="str">
        <f t="shared" ca="1" si="101"/>
        <v>__</v>
      </c>
      <c r="CF932" s="21" t="str">
        <f ca="1">IFERROR(VLOOKUP(AX932,OFFSET(abbreviation[],0,ColumnLanguage),ColumnAbbreviation,FALSE),"")</f>
        <v/>
      </c>
      <c r="CG932" s="21" t="str">
        <f ca="1">IFERROR(VLOOKUP(AZ932,OFFSET(abbreviation[],0,ColumnLanguage),ColumnAbbreviation,FALSE),"")</f>
        <v/>
      </c>
      <c r="CH932" s="21" t="str">
        <f ca="1">IFERROR(VLOOKUP(BB932,OFFSET(abbreviation[],0,ColumnLanguage),ColumnAbbreviation,FALSE),"")</f>
        <v/>
      </c>
      <c r="CI932" s="21" t="str">
        <f ca="1">IFERROR(VLOOKUP(BD932,OFFSET(abbreviation[],0,ColumnLanguage),ColumnAbbreviation,FALSE),"")</f>
        <v/>
      </c>
      <c r="CJ932" s="21" t="str">
        <f ca="1">IFERROR(VLOOKUP(BF932,OFFSET(abbreviation[],0,ColumnLanguage),ColumnAbbreviation,FALSE),"")</f>
        <v/>
      </c>
      <c r="CK932" s="21" t="str">
        <f t="shared" ca="1" si="102"/>
        <v/>
      </c>
      <c r="CL932" s="21" t="str">
        <f t="shared" si="103"/>
        <v/>
      </c>
      <c r="CM932" s="52"/>
      <c r="CN932" s="57" t="str">
        <f t="shared" si="104"/>
        <v/>
      </c>
    </row>
    <row r="933" spans="17:92" x14ac:dyDescent="0.25">
      <c r="Q933" s="13"/>
      <c r="AN933" s="54"/>
      <c r="AS933" s="15"/>
      <c r="BH933" s="52"/>
      <c r="BI933" s="21" t="str">
        <f ca="1">IFERROR(VLOOKUP(C933,OFFSET(abbreviation[],0,ColumnLanguage),ColumnAbbreviation,FALSE),"")</f>
        <v/>
      </c>
      <c r="BJ933" s="21" t="str">
        <f ca="1">IFERROR(VLOOKUP(E933,OFFSET(abbreviation[],0,ColumnLanguage),ColumnAbbreviation,FALSE),"")</f>
        <v/>
      </c>
      <c r="BK933" s="21" t="str">
        <f ca="1">IFERROR(VLOOKUP(G933,OFFSET(abbreviation[],0,ColumnLanguage),ColumnAbbreviation,FALSE),"")</f>
        <v/>
      </c>
      <c r="BL933" s="21" t="str">
        <f ca="1">IFERROR(VLOOKUP(I933,OFFSET(abbreviation[],0,ColumnLanguage),ColumnAbbreviation,FALSE),"")</f>
        <v/>
      </c>
      <c r="BM933" s="21" t="str">
        <f ca="1">IFERROR(VLOOKUP(K933,OFFSET(abbreviation[],0,ColumnLanguage),ColumnAbbreviation,FALSE),"")</f>
        <v/>
      </c>
      <c r="BN933" s="21" t="str">
        <f t="shared" ca="1" si="98"/>
        <v/>
      </c>
      <c r="BO933" s="21" t="str">
        <f ca="1">IFERROR(VLOOKUP(N933,OFFSET(abbreviation[],0,ColumnLanguage),ColumnAbbreviation,FALSE),"")</f>
        <v/>
      </c>
      <c r="BP933" s="21" t="str">
        <f ca="1">IFERROR(VLOOKUP(P933,OFFSET(abbreviation[],0,ColumnLanguage),ColumnAbbreviation,FALSE),"")</f>
        <v/>
      </c>
      <c r="BQ933" s="21" t="str">
        <f ca="1">IFERROR(VLOOKUP(T933,OFFSET(abbreviation[],0,ColumnLanguage),ColumnAbbreviation,FALSE),"")</f>
        <v/>
      </c>
      <c r="BR933" s="21" t="str">
        <f ca="1">IFERROR(VLOOKUP(V933,OFFSET(abbreviation[],0,ColumnLanguage),ColumnAbbreviation,FALSE),"")</f>
        <v/>
      </c>
      <c r="BS933" s="21" t="str">
        <f ca="1">IFERROR(VLOOKUP(Z933,OFFSET(abbreviation[],0,ColumnLanguage),ColumnAbbreviation,FALSE),"")</f>
        <v/>
      </c>
      <c r="BT933" s="21" t="str">
        <f ca="1">IFERROR(VLOOKUP(AB933,OFFSET(abbreviation[],0,ColumnLanguage),ColumnAbbreviation,FALSE),"")</f>
        <v/>
      </c>
      <c r="BU933" s="21" t="str">
        <f t="shared" ca="1" si="99"/>
        <v>__</v>
      </c>
      <c r="BV933" s="21" t="str">
        <f ca="1">IFERROR(VLOOKUP(AF933,OFFSET(abbreviation[],0,ColumnLanguage),ColumnAbbreviation,FALSE),"")</f>
        <v/>
      </c>
      <c r="BW933" s="21" t="str">
        <f ca="1">IFERROR(VLOOKUP(AH933,OFFSET(abbreviation[],0,ColumnLanguage),ColumnAbbreviation,FALSE),"")</f>
        <v/>
      </c>
      <c r="BX933" s="21" t="str">
        <f ca="1">IFERROR(VLOOKUP(AJ933,OFFSET(abbreviation[],0,ColumnLanguage),ColumnAbbreviation,FALSE),"")</f>
        <v/>
      </c>
      <c r="BY933" s="21" t="str">
        <f ca="1">IFERROR(VLOOKUP(AL933,OFFSET(abbreviation[],0,ColumnLanguage),ColumnAbbreviation,FALSE),"")</f>
        <v/>
      </c>
      <c r="BZ933" s="21" t="str">
        <f t="shared" ca="1" si="100"/>
        <v>_</v>
      </c>
      <c r="CA933" s="21" t="str">
        <f ca="1">IFERROR(VLOOKUP(AP933,OFFSET(abbreviation[],0,ColumnLanguage),ColumnAbbreviation,FALSE),"")</f>
        <v/>
      </c>
      <c r="CB933" s="21" t="str">
        <f ca="1">IFERROR(VLOOKUP(AR933,OFFSET(abbreviation[],0,ColumnLanguage),ColumnAbbreviation,FALSE),"")</f>
        <v/>
      </c>
      <c r="CC933" s="21" t="str">
        <f ca="1">IFERROR(VLOOKUP(AT933,OFFSET(abbreviation[],0,ColumnLanguage),ColumnAbbreviation,FALSE),"")</f>
        <v/>
      </c>
      <c r="CD933" s="21" t="str">
        <f ca="1">IFERROR(VLOOKUP(AV933,OFFSET(abbreviation[],0,ColumnLanguage),ColumnAbbreviation,FALSE),"")</f>
        <v/>
      </c>
      <c r="CE933" s="21" t="str">
        <f t="shared" ca="1" si="101"/>
        <v>__</v>
      </c>
      <c r="CF933" s="21" t="str">
        <f ca="1">IFERROR(VLOOKUP(AX933,OFFSET(abbreviation[],0,ColumnLanguage),ColumnAbbreviation,FALSE),"")</f>
        <v/>
      </c>
      <c r="CG933" s="21" t="str">
        <f ca="1">IFERROR(VLOOKUP(AZ933,OFFSET(abbreviation[],0,ColumnLanguage),ColumnAbbreviation,FALSE),"")</f>
        <v/>
      </c>
      <c r="CH933" s="21" t="str">
        <f ca="1">IFERROR(VLOOKUP(BB933,OFFSET(abbreviation[],0,ColumnLanguage),ColumnAbbreviation,FALSE),"")</f>
        <v/>
      </c>
      <c r="CI933" s="21" t="str">
        <f ca="1">IFERROR(VLOOKUP(BD933,OFFSET(abbreviation[],0,ColumnLanguage),ColumnAbbreviation,FALSE),"")</f>
        <v/>
      </c>
      <c r="CJ933" s="21" t="str">
        <f ca="1">IFERROR(VLOOKUP(BF933,OFFSET(abbreviation[],0,ColumnLanguage),ColumnAbbreviation,FALSE),"")</f>
        <v/>
      </c>
      <c r="CK933" s="21" t="str">
        <f t="shared" ca="1" si="102"/>
        <v/>
      </c>
      <c r="CL933" s="21" t="str">
        <f t="shared" si="103"/>
        <v/>
      </c>
      <c r="CM933" s="52"/>
      <c r="CN933" s="57" t="str">
        <f t="shared" si="104"/>
        <v/>
      </c>
    </row>
    <row r="934" spans="17:92" x14ac:dyDescent="0.25">
      <c r="Q934" s="13"/>
      <c r="AN934" s="54"/>
      <c r="AS934" s="15"/>
      <c r="BH934" s="52"/>
      <c r="BI934" s="21" t="str">
        <f ca="1">IFERROR(VLOOKUP(C934,OFFSET(abbreviation[],0,ColumnLanguage),ColumnAbbreviation,FALSE),"")</f>
        <v/>
      </c>
      <c r="BJ934" s="21" t="str">
        <f ca="1">IFERROR(VLOOKUP(E934,OFFSET(abbreviation[],0,ColumnLanguage),ColumnAbbreviation,FALSE),"")</f>
        <v/>
      </c>
      <c r="BK934" s="21" t="str">
        <f ca="1">IFERROR(VLOOKUP(G934,OFFSET(abbreviation[],0,ColumnLanguage),ColumnAbbreviation,FALSE),"")</f>
        <v/>
      </c>
      <c r="BL934" s="21" t="str">
        <f ca="1">IFERROR(VLOOKUP(I934,OFFSET(abbreviation[],0,ColumnLanguage),ColumnAbbreviation,FALSE),"")</f>
        <v/>
      </c>
      <c r="BM934" s="21" t="str">
        <f ca="1">IFERROR(VLOOKUP(K934,OFFSET(abbreviation[],0,ColumnLanguage),ColumnAbbreviation,FALSE),"")</f>
        <v/>
      </c>
      <c r="BN934" s="21" t="str">
        <f t="shared" ca="1" si="98"/>
        <v/>
      </c>
      <c r="BO934" s="21" t="str">
        <f ca="1">IFERROR(VLOOKUP(N934,OFFSET(abbreviation[],0,ColumnLanguage),ColumnAbbreviation,FALSE),"")</f>
        <v/>
      </c>
      <c r="BP934" s="21" t="str">
        <f ca="1">IFERROR(VLOOKUP(P934,OFFSET(abbreviation[],0,ColumnLanguage),ColumnAbbreviation,FALSE),"")</f>
        <v/>
      </c>
      <c r="BQ934" s="21" t="str">
        <f ca="1">IFERROR(VLOOKUP(T934,OFFSET(abbreviation[],0,ColumnLanguage),ColumnAbbreviation,FALSE),"")</f>
        <v/>
      </c>
      <c r="BR934" s="21" t="str">
        <f ca="1">IFERROR(VLOOKUP(V934,OFFSET(abbreviation[],0,ColumnLanguage),ColumnAbbreviation,FALSE),"")</f>
        <v/>
      </c>
      <c r="BS934" s="21" t="str">
        <f ca="1">IFERROR(VLOOKUP(Z934,OFFSET(abbreviation[],0,ColumnLanguage),ColumnAbbreviation,FALSE),"")</f>
        <v/>
      </c>
      <c r="BT934" s="21" t="str">
        <f ca="1">IFERROR(VLOOKUP(AB934,OFFSET(abbreviation[],0,ColumnLanguage),ColumnAbbreviation,FALSE),"")</f>
        <v/>
      </c>
      <c r="BU934" s="21" t="str">
        <f t="shared" ca="1" si="99"/>
        <v>__</v>
      </c>
      <c r="BV934" s="21" t="str">
        <f ca="1">IFERROR(VLOOKUP(AF934,OFFSET(abbreviation[],0,ColumnLanguage),ColumnAbbreviation,FALSE),"")</f>
        <v/>
      </c>
      <c r="BW934" s="21" t="str">
        <f ca="1">IFERROR(VLOOKUP(AH934,OFFSET(abbreviation[],0,ColumnLanguage),ColumnAbbreviation,FALSE),"")</f>
        <v/>
      </c>
      <c r="BX934" s="21" t="str">
        <f ca="1">IFERROR(VLOOKUP(AJ934,OFFSET(abbreviation[],0,ColumnLanguage),ColumnAbbreviation,FALSE),"")</f>
        <v/>
      </c>
      <c r="BY934" s="21" t="str">
        <f ca="1">IFERROR(VLOOKUP(AL934,OFFSET(abbreviation[],0,ColumnLanguage),ColumnAbbreviation,FALSE),"")</f>
        <v/>
      </c>
      <c r="BZ934" s="21" t="str">
        <f t="shared" ca="1" si="100"/>
        <v>_</v>
      </c>
      <c r="CA934" s="21" t="str">
        <f ca="1">IFERROR(VLOOKUP(AP934,OFFSET(abbreviation[],0,ColumnLanguage),ColumnAbbreviation,FALSE),"")</f>
        <v/>
      </c>
      <c r="CB934" s="21" t="str">
        <f ca="1">IFERROR(VLOOKUP(AR934,OFFSET(abbreviation[],0,ColumnLanguage),ColumnAbbreviation,FALSE),"")</f>
        <v/>
      </c>
      <c r="CC934" s="21" t="str">
        <f ca="1">IFERROR(VLOOKUP(AT934,OFFSET(abbreviation[],0,ColumnLanguage),ColumnAbbreviation,FALSE),"")</f>
        <v/>
      </c>
      <c r="CD934" s="21" t="str">
        <f ca="1">IFERROR(VLOOKUP(AV934,OFFSET(abbreviation[],0,ColumnLanguage),ColumnAbbreviation,FALSE),"")</f>
        <v/>
      </c>
      <c r="CE934" s="21" t="str">
        <f t="shared" ca="1" si="101"/>
        <v>__</v>
      </c>
      <c r="CF934" s="21" t="str">
        <f ca="1">IFERROR(VLOOKUP(AX934,OFFSET(abbreviation[],0,ColumnLanguage),ColumnAbbreviation,FALSE),"")</f>
        <v/>
      </c>
      <c r="CG934" s="21" t="str">
        <f ca="1">IFERROR(VLOOKUP(AZ934,OFFSET(abbreviation[],0,ColumnLanguage),ColumnAbbreviation,FALSE),"")</f>
        <v/>
      </c>
      <c r="CH934" s="21" t="str">
        <f ca="1">IFERROR(VLOOKUP(BB934,OFFSET(abbreviation[],0,ColumnLanguage),ColumnAbbreviation,FALSE),"")</f>
        <v/>
      </c>
      <c r="CI934" s="21" t="str">
        <f ca="1">IFERROR(VLOOKUP(BD934,OFFSET(abbreviation[],0,ColumnLanguage),ColumnAbbreviation,FALSE),"")</f>
        <v/>
      </c>
      <c r="CJ934" s="21" t="str">
        <f ca="1">IFERROR(VLOOKUP(BF934,OFFSET(abbreviation[],0,ColumnLanguage),ColumnAbbreviation,FALSE),"")</f>
        <v/>
      </c>
      <c r="CK934" s="21" t="str">
        <f t="shared" ca="1" si="102"/>
        <v/>
      </c>
      <c r="CL934" s="21" t="str">
        <f t="shared" si="103"/>
        <v/>
      </c>
      <c r="CM934" s="52"/>
      <c r="CN934" s="57" t="str">
        <f t="shared" si="104"/>
        <v/>
      </c>
    </row>
    <row r="935" spans="17:92" x14ac:dyDescent="0.25">
      <c r="Q935" s="13"/>
      <c r="AN935" s="54"/>
      <c r="AS935" s="15"/>
      <c r="BH935" s="52"/>
      <c r="BI935" s="21" t="str">
        <f ca="1">IFERROR(VLOOKUP(C935,OFFSET(abbreviation[],0,ColumnLanguage),ColumnAbbreviation,FALSE),"")</f>
        <v/>
      </c>
      <c r="BJ935" s="21" t="str">
        <f ca="1">IFERROR(VLOOKUP(E935,OFFSET(abbreviation[],0,ColumnLanguage),ColumnAbbreviation,FALSE),"")</f>
        <v/>
      </c>
      <c r="BK935" s="21" t="str">
        <f ca="1">IFERROR(VLOOKUP(G935,OFFSET(abbreviation[],0,ColumnLanguage),ColumnAbbreviation,FALSE),"")</f>
        <v/>
      </c>
      <c r="BL935" s="21" t="str">
        <f ca="1">IFERROR(VLOOKUP(I935,OFFSET(abbreviation[],0,ColumnLanguage),ColumnAbbreviation,FALSE),"")</f>
        <v/>
      </c>
      <c r="BM935" s="21" t="str">
        <f ca="1">IFERROR(VLOOKUP(K935,OFFSET(abbreviation[],0,ColumnLanguage),ColumnAbbreviation,FALSE),"")</f>
        <v/>
      </c>
      <c r="BN935" s="21" t="str">
        <f t="shared" ca="1" si="98"/>
        <v/>
      </c>
      <c r="BO935" s="21" t="str">
        <f ca="1">IFERROR(VLOOKUP(N935,OFFSET(abbreviation[],0,ColumnLanguage),ColumnAbbreviation,FALSE),"")</f>
        <v/>
      </c>
      <c r="BP935" s="21" t="str">
        <f ca="1">IFERROR(VLOOKUP(P935,OFFSET(abbreviation[],0,ColumnLanguage),ColumnAbbreviation,FALSE),"")</f>
        <v/>
      </c>
      <c r="BQ935" s="21" t="str">
        <f ca="1">IFERROR(VLOOKUP(T935,OFFSET(abbreviation[],0,ColumnLanguage),ColumnAbbreviation,FALSE),"")</f>
        <v/>
      </c>
      <c r="BR935" s="21" t="str">
        <f ca="1">IFERROR(VLOOKUP(V935,OFFSET(abbreviation[],0,ColumnLanguage),ColumnAbbreviation,FALSE),"")</f>
        <v/>
      </c>
      <c r="BS935" s="21" t="str">
        <f ca="1">IFERROR(VLOOKUP(Z935,OFFSET(abbreviation[],0,ColumnLanguage),ColumnAbbreviation,FALSE),"")</f>
        <v/>
      </c>
      <c r="BT935" s="21" t="str">
        <f ca="1">IFERROR(VLOOKUP(AB935,OFFSET(abbreviation[],0,ColumnLanguage),ColumnAbbreviation,FALSE),"")</f>
        <v/>
      </c>
      <c r="BU935" s="21" t="str">
        <f t="shared" ca="1" si="99"/>
        <v>__</v>
      </c>
      <c r="BV935" s="21" t="str">
        <f ca="1">IFERROR(VLOOKUP(AF935,OFFSET(abbreviation[],0,ColumnLanguage),ColumnAbbreviation,FALSE),"")</f>
        <v/>
      </c>
      <c r="BW935" s="21" t="str">
        <f ca="1">IFERROR(VLOOKUP(AH935,OFFSET(abbreviation[],0,ColumnLanguage),ColumnAbbreviation,FALSE),"")</f>
        <v/>
      </c>
      <c r="BX935" s="21" t="str">
        <f ca="1">IFERROR(VLOOKUP(AJ935,OFFSET(abbreviation[],0,ColumnLanguage),ColumnAbbreviation,FALSE),"")</f>
        <v/>
      </c>
      <c r="BY935" s="21" t="str">
        <f ca="1">IFERROR(VLOOKUP(AL935,OFFSET(abbreviation[],0,ColumnLanguage),ColumnAbbreviation,FALSE),"")</f>
        <v/>
      </c>
      <c r="BZ935" s="21" t="str">
        <f t="shared" ca="1" si="100"/>
        <v>_</v>
      </c>
      <c r="CA935" s="21" t="str">
        <f ca="1">IFERROR(VLOOKUP(AP935,OFFSET(abbreviation[],0,ColumnLanguage),ColumnAbbreviation,FALSE),"")</f>
        <v/>
      </c>
      <c r="CB935" s="21" t="str">
        <f ca="1">IFERROR(VLOOKUP(AR935,OFFSET(abbreviation[],0,ColumnLanguage),ColumnAbbreviation,FALSE),"")</f>
        <v/>
      </c>
      <c r="CC935" s="21" t="str">
        <f ca="1">IFERROR(VLOOKUP(AT935,OFFSET(abbreviation[],0,ColumnLanguage),ColumnAbbreviation,FALSE),"")</f>
        <v/>
      </c>
      <c r="CD935" s="21" t="str">
        <f ca="1">IFERROR(VLOOKUP(AV935,OFFSET(abbreviation[],0,ColumnLanguage),ColumnAbbreviation,FALSE),"")</f>
        <v/>
      </c>
      <c r="CE935" s="21" t="str">
        <f t="shared" ca="1" si="101"/>
        <v>__</v>
      </c>
      <c r="CF935" s="21" t="str">
        <f ca="1">IFERROR(VLOOKUP(AX935,OFFSET(abbreviation[],0,ColumnLanguage),ColumnAbbreviation,FALSE),"")</f>
        <v/>
      </c>
      <c r="CG935" s="21" t="str">
        <f ca="1">IFERROR(VLOOKUP(AZ935,OFFSET(abbreviation[],0,ColumnLanguage),ColumnAbbreviation,FALSE),"")</f>
        <v/>
      </c>
      <c r="CH935" s="21" t="str">
        <f ca="1">IFERROR(VLOOKUP(BB935,OFFSET(abbreviation[],0,ColumnLanguage),ColumnAbbreviation,FALSE),"")</f>
        <v/>
      </c>
      <c r="CI935" s="21" t="str">
        <f ca="1">IFERROR(VLOOKUP(BD935,OFFSET(abbreviation[],0,ColumnLanguage),ColumnAbbreviation,FALSE),"")</f>
        <v/>
      </c>
      <c r="CJ935" s="21" t="str">
        <f ca="1">IFERROR(VLOOKUP(BF935,OFFSET(abbreviation[],0,ColumnLanguage),ColumnAbbreviation,FALSE),"")</f>
        <v/>
      </c>
      <c r="CK935" s="21" t="str">
        <f t="shared" ca="1" si="102"/>
        <v/>
      </c>
      <c r="CL935" s="21" t="str">
        <f t="shared" si="103"/>
        <v/>
      </c>
      <c r="CM935" s="52"/>
      <c r="CN935" s="57" t="str">
        <f t="shared" si="104"/>
        <v/>
      </c>
    </row>
    <row r="936" spans="17:92" x14ac:dyDescent="0.25">
      <c r="Q936" s="13"/>
      <c r="AN936" s="54"/>
      <c r="AS936" s="15"/>
      <c r="BH936" s="52"/>
      <c r="BI936" s="21" t="str">
        <f ca="1">IFERROR(VLOOKUP(C936,OFFSET(abbreviation[],0,ColumnLanguage),ColumnAbbreviation,FALSE),"")</f>
        <v/>
      </c>
      <c r="BJ936" s="21" t="str">
        <f ca="1">IFERROR(VLOOKUP(E936,OFFSET(abbreviation[],0,ColumnLanguage),ColumnAbbreviation,FALSE),"")</f>
        <v/>
      </c>
      <c r="BK936" s="21" t="str">
        <f ca="1">IFERROR(VLOOKUP(G936,OFFSET(abbreviation[],0,ColumnLanguage),ColumnAbbreviation,FALSE),"")</f>
        <v/>
      </c>
      <c r="BL936" s="21" t="str">
        <f ca="1">IFERROR(VLOOKUP(I936,OFFSET(abbreviation[],0,ColumnLanguage),ColumnAbbreviation,FALSE),"")</f>
        <v/>
      </c>
      <c r="BM936" s="21" t="str">
        <f ca="1">IFERROR(VLOOKUP(K936,OFFSET(abbreviation[],0,ColumnLanguage),ColumnAbbreviation,FALSE),"")</f>
        <v/>
      </c>
      <c r="BN936" s="21" t="str">
        <f t="shared" ca="1" si="98"/>
        <v/>
      </c>
      <c r="BO936" s="21" t="str">
        <f ca="1">IFERROR(VLOOKUP(N936,OFFSET(abbreviation[],0,ColumnLanguage),ColumnAbbreviation,FALSE),"")</f>
        <v/>
      </c>
      <c r="BP936" s="21" t="str">
        <f ca="1">IFERROR(VLOOKUP(P936,OFFSET(abbreviation[],0,ColumnLanguage),ColumnAbbreviation,FALSE),"")</f>
        <v/>
      </c>
      <c r="BQ936" s="21" t="str">
        <f ca="1">IFERROR(VLOOKUP(T936,OFFSET(abbreviation[],0,ColumnLanguage),ColumnAbbreviation,FALSE),"")</f>
        <v/>
      </c>
      <c r="BR936" s="21" t="str">
        <f ca="1">IFERROR(VLOOKUP(V936,OFFSET(abbreviation[],0,ColumnLanguage),ColumnAbbreviation,FALSE),"")</f>
        <v/>
      </c>
      <c r="BS936" s="21" t="str">
        <f ca="1">IFERROR(VLOOKUP(Z936,OFFSET(abbreviation[],0,ColumnLanguage),ColumnAbbreviation,FALSE),"")</f>
        <v/>
      </c>
      <c r="BT936" s="21" t="str">
        <f ca="1">IFERROR(VLOOKUP(AB936,OFFSET(abbreviation[],0,ColumnLanguage),ColumnAbbreviation,FALSE),"")</f>
        <v/>
      </c>
      <c r="BU936" s="21" t="str">
        <f t="shared" ca="1" si="99"/>
        <v>__</v>
      </c>
      <c r="BV936" s="21" t="str">
        <f ca="1">IFERROR(VLOOKUP(AF936,OFFSET(abbreviation[],0,ColumnLanguage),ColumnAbbreviation,FALSE),"")</f>
        <v/>
      </c>
      <c r="BW936" s="21" t="str">
        <f ca="1">IFERROR(VLOOKUP(AH936,OFFSET(abbreviation[],0,ColumnLanguage),ColumnAbbreviation,FALSE),"")</f>
        <v/>
      </c>
      <c r="BX936" s="21" t="str">
        <f ca="1">IFERROR(VLOOKUP(AJ936,OFFSET(abbreviation[],0,ColumnLanguage),ColumnAbbreviation,FALSE),"")</f>
        <v/>
      </c>
      <c r="BY936" s="21" t="str">
        <f ca="1">IFERROR(VLOOKUP(AL936,OFFSET(abbreviation[],0,ColumnLanguage),ColumnAbbreviation,FALSE),"")</f>
        <v/>
      </c>
      <c r="BZ936" s="21" t="str">
        <f t="shared" ca="1" si="100"/>
        <v>_</v>
      </c>
      <c r="CA936" s="21" t="str">
        <f ca="1">IFERROR(VLOOKUP(AP936,OFFSET(abbreviation[],0,ColumnLanguage),ColumnAbbreviation,FALSE),"")</f>
        <v/>
      </c>
      <c r="CB936" s="21" t="str">
        <f ca="1">IFERROR(VLOOKUP(AR936,OFFSET(abbreviation[],0,ColumnLanguage),ColumnAbbreviation,FALSE),"")</f>
        <v/>
      </c>
      <c r="CC936" s="21" t="str">
        <f ca="1">IFERROR(VLOOKUP(AT936,OFFSET(abbreviation[],0,ColumnLanguage),ColumnAbbreviation,FALSE),"")</f>
        <v/>
      </c>
      <c r="CD936" s="21" t="str">
        <f ca="1">IFERROR(VLOOKUP(AV936,OFFSET(abbreviation[],0,ColumnLanguage),ColumnAbbreviation,FALSE),"")</f>
        <v/>
      </c>
      <c r="CE936" s="21" t="str">
        <f t="shared" ca="1" si="101"/>
        <v>__</v>
      </c>
      <c r="CF936" s="21" t="str">
        <f ca="1">IFERROR(VLOOKUP(AX936,OFFSET(abbreviation[],0,ColumnLanguage),ColumnAbbreviation,FALSE),"")</f>
        <v/>
      </c>
      <c r="CG936" s="21" t="str">
        <f ca="1">IFERROR(VLOOKUP(AZ936,OFFSET(abbreviation[],0,ColumnLanguage),ColumnAbbreviation,FALSE),"")</f>
        <v/>
      </c>
      <c r="CH936" s="21" t="str">
        <f ca="1">IFERROR(VLOOKUP(BB936,OFFSET(abbreviation[],0,ColumnLanguage),ColumnAbbreviation,FALSE),"")</f>
        <v/>
      </c>
      <c r="CI936" s="21" t="str">
        <f ca="1">IFERROR(VLOOKUP(BD936,OFFSET(abbreviation[],0,ColumnLanguage),ColumnAbbreviation,FALSE),"")</f>
        <v/>
      </c>
      <c r="CJ936" s="21" t="str">
        <f ca="1">IFERROR(VLOOKUP(BF936,OFFSET(abbreviation[],0,ColumnLanguage),ColumnAbbreviation,FALSE),"")</f>
        <v/>
      </c>
      <c r="CK936" s="21" t="str">
        <f t="shared" ca="1" si="102"/>
        <v/>
      </c>
      <c r="CL936" s="21" t="str">
        <f t="shared" si="103"/>
        <v/>
      </c>
      <c r="CM936" s="52"/>
      <c r="CN936" s="57" t="str">
        <f t="shared" si="104"/>
        <v/>
      </c>
    </row>
    <row r="937" spans="17:92" x14ac:dyDescent="0.25">
      <c r="Q937" s="13"/>
      <c r="AN937" s="54"/>
      <c r="AS937" s="15"/>
      <c r="BH937" s="52"/>
      <c r="BI937" s="21" t="str">
        <f ca="1">IFERROR(VLOOKUP(C937,OFFSET(abbreviation[],0,ColumnLanguage),ColumnAbbreviation,FALSE),"")</f>
        <v/>
      </c>
      <c r="BJ937" s="21" t="str">
        <f ca="1">IFERROR(VLOOKUP(E937,OFFSET(abbreviation[],0,ColumnLanguage),ColumnAbbreviation,FALSE),"")</f>
        <v/>
      </c>
      <c r="BK937" s="21" t="str">
        <f ca="1">IFERROR(VLOOKUP(G937,OFFSET(abbreviation[],0,ColumnLanguage),ColumnAbbreviation,FALSE),"")</f>
        <v/>
      </c>
      <c r="BL937" s="21" t="str">
        <f ca="1">IFERROR(VLOOKUP(I937,OFFSET(abbreviation[],0,ColumnLanguage),ColumnAbbreviation,FALSE),"")</f>
        <v/>
      </c>
      <c r="BM937" s="21" t="str">
        <f ca="1">IFERROR(VLOOKUP(K937,OFFSET(abbreviation[],0,ColumnLanguage),ColumnAbbreviation,FALSE),"")</f>
        <v/>
      </c>
      <c r="BN937" s="21" t="str">
        <f t="shared" ca="1" si="98"/>
        <v/>
      </c>
      <c r="BO937" s="21" t="str">
        <f ca="1">IFERROR(VLOOKUP(N937,OFFSET(abbreviation[],0,ColumnLanguage),ColumnAbbreviation,FALSE),"")</f>
        <v/>
      </c>
      <c r="BP937" s="21" t="str">
        <f ca="1">IFERROR(VLOOKUP(P937,OFFSET(abbreviation[],0,ColumnLanguage),ColumnAbbreviation,FALSE),"")</f>
        <v/>
      </c>
      <c r="BQ937" s="21" t="str">
        <f ca="1">IFERROR(VLOOKUP(T937,OFFSET(abbreviation[],0,ColumnLanguage),ColumnAbbreviation,FALSE),"")</f>
        <v/>
      </c>
      <c r="BR937" s="21" t="str">
        <f ca="1">IFERROR(VLOOKUP(V937,OFFSET(abbreviation[],0,ColumnLanguage),ColumnAbbreviation,FALSE),"")</f>
        <v/>
      </c>
      <c r="BS937" s="21" t="str">
        <f ca="1">IFERROR(VLOOKUP(Z937,OFFSET(abbreviation[],0,ColumnLanguage),ColumnAbbreviation,FALSE),"")</f>
        <v/>
      </c>
      <c r="BT937" s="21" t="str">
        <f ca="1">IFERROR(VLOOKUP(AB937,OFFSET(abbreviation[],0,ColumnLanguage),ColumnAbbreviation,FALSE),"")</f>
        <v/>
      </c>
      <c r="BU937" s="21" t="str">
        <f t="shared" ca="1" si="99"/>
        <v>__</v>
      </c>
      <c r="BV937" s="21" t="str">
        <f ca="1">IFERROR(VLOOKUP(AF937,OFFSET(abbreviation[],0,ColumnLanguage),ColumnAbbreviation,FALSE),"")</f>
        <v/>
      </c>
      <c r="BW937" s="21" t="str">
        <f ca="1">IFERROR(VLOOKUP(AH937,OFFSET(abbreviation[],0,ColumnLanguage),ColumnAbbreviation,FALSE),"")</f>
        <v/>
      </c>
      <c r="BX937" s="21" t="str">
        <f ca="1">IFERROR(VLOOKUP(AJ937,OFFSET(abbreviation[],0,ColumnLanguage),ColumnAbbreviation,FALSE),"")</f>
        <v/>
      </c>
      <c r="BY937" s="21" t="str">
        <f ca="1">IFERROR(VLOOKUP(AL937,OFFSET(abbreviation[],0,ColumnLanguage),ColumnAbbreviation,FALSE),"")</f>
        <v/>
      </c>
      <c r="BZ937" s="21" t="str">
        <f t="shared" ca="1" si="100"/>
        <v>_</v>
      </c>
      <c r="CA937" s="21" t="str">
        <f ca="1">IFERROR(VLOOKUP(AP937,OFFSET(abbreviation[],0,ColumnLanguage),ColumnAbbreviation,FALSE),"")</f>
        <v/>
      </c>
      <c r="CB937" s="21" t="str">
        <f ca="1">IFERROR(VLOOKUP(AR937,OFFSET(abbreviation[],0,ColumnLanguage),ColumnAbbreviation,FALSE),"")</f>
        <v/>
      </c>
      <c r="CC937" s="21" t="str">
        <f ca="1">IFERROR(VLOOKUP(AT937,OFFSET(abbreviation[],0,ColumnLanguage),ColumnAbbreviation,FALSE),"")</f>
        <v/>
      </c>
      <c r="CD937" s="21" t="str">
        <f ca="1">IFERROR(VLOOKUP(AV937,OFFSET(abbreviation[],0,ColumnLanguage),ColumnAbbreviation,FALSE),"")</f>
        <v/>
      </c>
      <c r="CE937" s="21" t="str">
        <f t="shared" ca="1" si="101"/>
        <v>__</v>
      </c>
      <c r="CF937" s="21" t="str">
        <f ca="1">IFERROR(VLOOKUP(AX937,OFFSET(abbreviation[],0,ColumnLanguage),ColumnAbbreviation,FALSE),"")</f>
        <v/>
      </c>
      <c r="CG937" s="21" t="str">
        <f ca="1">IFERROR(VLOOKUP(AZ937,OFFSET(abbreviation[],0,ColumnLanguage),ColumnAbbreviation,FALSE),"")</f>
        <v/>
      </c>
      <c r="CH937" s="21" t="str">
        <f ca="1">IFERROR(VLOOKUP(BB937,OFFSET(abbreviation[],0,ColumnLanguage),ColumnAbbreviation,FALSE),"")</f>
        <v/>
      </c>
      <c r="CI937" s="21" t="str">
        <f ca="1">IFERROR(VLOOKUP(BD937,OFFSET(abbreviation[],0,ColumnLanguage),ColumnAbbreviation,FALSE),"")</f>
        <v/>
      </c>
      <c r="CJ937" s="21" t="str">
        <f ca="1">IFERROR(VLOOKUP(BF937,OFFSET(abbreviation[],0,ColumnLanguage),ColumnAbbreviation,FALSE),"")</f>
        <v/>
      </c>
      <c r="CK937" s="21" t="str">
        <f t="shared" ca="1" si="102"/>
        <v/>
      </c>
      <c r="CL937" s="21" t="str">
        <f t="shared" si="103"/>
        <v/>
      </c>
      <c r="CM937" s="52"/>
      <c r="CN937" s="57" t="str">
        <f t="shared" si="104"/>
        <v/>
      </c>
    </row>
    <row r="938" spans="17:92" x14ac:dyDescent="0.25">
      <c r="Q938" s="13"/>
      <c r="AN938" s="54"/>
      <c r="AS938" s="15"/>
      <c r="BH938" s="52"/>
      <c r="BI938" s="21" t="str">
        <f ca="1">IFERROR(VLOOKUP(C938,OFFSET(abbreviation[],0,ColumnLanguage),ColumnAbbreviation,FALSE),"")</f>
        <v/>
      </c>
      <c r="BJ938" s="21" t="str">
        <f ca="1">IFERROR(VLOOKUP(E938,OFFSET(abbreviation[],0,ColumnLanguage),ColumnAbbreviation,FALSE),"")</f>
        <v/>
      </c>
      <c r="BK938" s="21" t="str">
        <f ca="1">IFERROR(VLOOKUP(G938,OFFSET(abbreviation[],0,ColumnLanguage),ColumnAbbreviation,FALSE),"")</f>
        <v/>
      </c>
      <c r="BL938" s="21" t="str">
        <f ca="1">IFERROR(VLOOKUP(I938,OFFSET(abbreviation[],0,ColumnLanguage),ColumnAbbreviation,FALSE),"")</f>
        <v/>
      </c>
      <c r="BM938" s="21" t="str">
        <f ca="1">IFERROR(VLOOKUP(K938,OFFSET(abbreviation[],0,ColumnLanguage),ColumnAbbreviation,FALSE),"")</f>
        <v/>
      </c>
      <c r="BN938" s="21" t="str">
        <f t="shared" ca="1" si="98"/>
        <v/>
      </c>
      <c r="BO938" s="21" t="str">
        <f ca="1">IFERROR(VLOOKUP(N938,OFFSET(abbreviation[],0,ColumnLanguage),ColumnAbbreviation,FALSE),"")</f>
        <v/>
      </c>
      <c r="BP938" s="21" t="str">
        <f ca="1">IFERROR(VLOOKUP(P938,OFFSET(abbreviation[],0,ColumnLanguage),ColumnAbbreviation,FALSE),"")</f>
        <v/>
      </c>
      <c r="BQ938" s="21" t="str">
        <f ca="1">IFERROR(VLOOKUP(T938,OFFSET(abbreviation[],0,ColumnLanguage),ColumnAbbreviation,FALSE),"")</f>
        <v/>
      </c>
      <c r="BR938" s="21" t="str">
        <f ca="1">IFERROR(VLOOKUP(V938,OFFSET(abbreviation[],0,ColumnLanguage),ColumnAbbreviation,FALSE),"")</f>
        <v/>
      </c>
      <c r="BS938" s="21" t="str">
        <f ca="1">IFERROR(VLOOKUP(Z938,OFFSET(abbreviation[],0,ColumnLanguage),ColumnAbbreviation,FALSE),"")</f>
        <v/>
      </c>
      <c r="BT938" s="21" t="str">
        <f ca="1">IFERROR(VLOOKUP(AB938,OFFSET(abbreviation[],0,ColumnLanguage),ColumnAbbreviation,FALSE),"")</f>
        <v/>
      </c>
      <c r="BU938" s="21" t="str">
        <f t="shared" ca="1" si="99"/>
        <v>__</v>
      </c>
      <c r="BV938" s="21" t="str">
        <f ca="1">IFERROR(VLOOKUP(AF938,OFFSET(abbreviation[],0,ColumnLanguage),ColumnAbbreviation,FALSE),"")</f>
        <v/>
      </c>
      <c r="BW938" s="21" t="str">
        <f ca="1">IFERROR(VLOOKUP(AH938,OFFSET(abbreviation[],0,ColumnLanguage),ColumnAbbreviation,FALSE),"")</f>
        <v/>
      </c>
      <c r="BX938" s="21" t="str">
        <f ca="1">IFERROR(VLOOKUP(AJ938,OFFSET(abbreviation[],0,ColumnLanguage),ColumnAbbreviation,FALSE),"")</f>
        <v/>
      </c>
      <c r="BY938" s="21" t="str">
        <f ca="1">IFERROR(VLOOKUP(AL938,OFFSET(abbreviation[],0,ColumnLanguage),ColumnAbbreviation,FALSE),"")</f>
        <v/>
      </c>
      <c r="BZ938" s="21" t="str">
        <f t="shared" ca="1" si="100"/>
        <v>_</v>
      </c>
      <c r="CA938" s="21" t="str">
        <f ca="1">IFERROR(VLOOKUP(AP938,OFFSET(abbreviation[],0,ColumnLanguage),ColumnAbbreviation,FALSE),"")</f>
        <v/>
      </c>
      <c r="CB938" s="21" t="str">
        <f ca="1">IFERROR(VLOOKUP(AR938,OFFSET(abbreviation[],0,ColumnLanguage),ColumnAbbreviation,FALSE),"")</f>
        <v/>
      </c>
      <c r="CC938" s="21" t="str">
        <f ca="1">IFERROR(VLOOKUP(AT938,OFFSET(abbreviation[],0,ColumnLanguage),ColumnAbbreviation,FALSE),"")</f>
        <v/>
      </c>
      <c r="CD938" s="21" t="str">
        <f ca="1">IFERROR(VLOOKUP(AV938,OFFSET(abbreviation[],0,ColumnLanguage),ColumnAbbreviation,FALSE),"")</f>
        <v/>
      </c>
      <c r="CE938" s="21" t="str">
        <f t="shared" ca="1" si="101"/>
        <v>__</v>
      </c>
      <c r="CF938" s="21" t="str">
        <f ca="1">IFERROR(VLOOKUP(AX938,OFFSET(abbreviation[],0,ColumnLanguage),ColumnAbbreviation,FALSE),"")</f>
        <v/>
      </c>
      <c r="CG938" s="21" t="str">
        <f ca="1">IFERROR(VLOOKUP(AZ938,OFFSET(abbreviation[],0,ColumnLanguage),ColumnAbbreviation,FALSE),"")</f>
        <v/>
      </c>
      <c r="CH938" s="21" t="str">
        <f ca="1">IFERROR(VLOOKUP(BB938,OFFSET(abbreviation[],0,ColumnLanguage),ColumnAbbreviation,FALSE),"")</f>
        <v/>
      </c>
      <c r="CI938" s="21" t="str">
        <f ca="1">IFERROR(VLOOKUP(BD938,OFFSET(abbreviation[],0,ColumnLanguage),ColumnAbbreviation,FALSE),"")</f>
        <v/>
      </c>
      <c r="CJ938" s="21" t="str">
        <f ca="1">IFERROR(VLOOKUP(BF938,OFFSET(abbreviation[],0,ColumnLanguage),ColumnAbbreviation,FALSE),"")</f>
        <v/>
      </c>
      <c r="CK938" s="21" t="str">
        <f t="shared" ca="1" si="102"/>
        <v/>
      </c>
      <c r="CL938" s="21" t="str">
        <f t="shared" si="103"/>
        <v/>
      </c>
      <c r="CM938" s="52"/>
      <c r="CN938" s="57" t="str">
        <f t="shared" si="104"/>
        <v/>
      </c>
    </row>
    <row r="939" spans="17:92" x14ac:dyDescent="0.25">
      <c r="Q939" s="13"/>
      <c r="AN939" s="54"/>
      <c r="AS939" s="15"/>
      <c r="BH939" s="52"/>
      <c r="BI939" s="21" t="str">
        <f ca="1">IFERROR(VLOOKUP(C939,OFFSET(abbreviation[],0,ColumnLanguage),ColumnAbbreviation,FALSE),"")</f>
        <v/>
      </c>
      <c r="BJ939" s="21" t="str">
        <f ca="1">IFERROR(VLOOKUP(E939,OFFSET(abbreviation[],0,ColumnLanguage),ColumnAbbreviation,FALSE),"")</f>
        <v/>
      </c>
      <c r="BK939" s="21" t="str">
        <f ca="1">IFERROR(VLOOKUP(G939,OFFSET(abbreviation[],0,ColumnLanguage),ColumnAbbreviation,FALSE),"")</f>
        <v/>
      </c>
      <c r="BL939" s="21" t="str">
        <f ca="1">IFERROR(VLOOKUP(I939,OFFSET(abbreviation[],0,ColumnLanguage),ColumnAbbreviation,FALSE),"")</f>
        <v/>
      </c>
      <c r="BM939" s="21" t="str">
        <f ca="1">IFERROR(VLOOKUP(K939,OFFSET(abbreviation[],0,ColumnLanguage),ColumnAbbreviation,FALSE),"")</f>
        <v/>
      </c>
      <c r="BN939" s="21" t="str">
        <f t="shared" ca="1" si="98"/>
        <v/>
      </c>
      <c r="BO939" s="21" t="str">
        <f ca="1">IFERROR(VLOOKUP(N939,OFFSET(abbreviation[],0,ColumnLanguage),ColumnAbbreviation,FALSE),"")</f>
        <v/>
      </c>
      <c r="BP939" s="21" t="str">
        <f ca="1">IFERROR(VLOOKUP(P939,OFFSET(abbreviation[],0,ColumnLanguage),ColumnAbbreviation,FALSE),"")</f>
        <v/>
      </c>
      <c r="BQ939" s="21" t="str">
        <f ca="1">IFERROR(VLOOKUP(T939,OFFSET(abbreviation[],0,ColumnLanguage),ColumnAbbreviation,FALSE),"")</f>
        <v/>
      </c>
      <c r="BR939" s="21" t="str">
        <f ca="1">IFERROR(VLOOKUP(V939,OFFSET(abbreviation[],0,ColumnLanguage),ColumnAbbreviation,FALSE),"")</f>
        <v/>
      </c>
      <c r="BS939" s="21" t="str">
        <f ca="1">IFERROR(VLOOKUP(Z939,OFFSET(abbreviation[],0,ColumnLanguage),ColumnAbbreviation,FALSE),"")</f>
        <v/>
      </c>
      <c r="BT939" s="21" t="str">
        <f ca="1">IFERROR(VLOOKUP(AB939,OFFSET(abbreviation[],0,ColumnLanguage),ColumnAbbreviation,FALSE),"")</f>
        <v/>
      </c>
      <c r="BU939" s="21" t="str">
        <f t="shared" ca="1" si="99"/>
        <v>__</v>
      </c>
      <c r="BV939" s="21" t="str">
        <f ca="1">IFERROR(VLOOKUP(AF939,OFFSET(abbreviation[],0,ColumnLanguage),ColumnAbbreviation,FALSE),"")</f>
        <v/>
      </c>
      <c r="BW939" s="21" t="str">
        <f ca="1">IFERROR(VLOOKUP(AH939,OFFSET(abbreviation[],0,ColumnLanguage),ColumnAbbreviation,FALSE),"")</f>
        <v/>
      </c>
      <c r="BX939" s="21" t="str">
        <f ca="1">IFERROR(VLOOKUP(AJ939,OFFSET(abbreviation[],0,ColumnLanguage),ColumnAbbreviation,FALSE),"")</f>
        <v/>
      </c>
      <c r="BY939" s="21" t="str">
        <f ca="1">IFERROR(VLOOKUP(AL939,OFFSET(abbreviation[],0,ColumnLanguage),ColumnAbbreviation,FALSE),"")</f>
        <v/>
      </c>
      <c r="BZ939" s="21" t="str">
        <f t="shared" ca="1" si="100"/>
        <v>_</v>
      </c>
      <c r="CA939" s="21" t="str">
        <f ca="1">IFERROR(VLOOKUP(AP939,OFFSET(abbreviation[],0,ColumnLanguage),ColumnAbbreviation,FALSE),"")</f>
        <v/>
      </c>
      <c r="CB939" s="21" t="str">
        <f ca="1">IFERROR(VLOOKUP(AR939,OFFSET(abbreviation[],0,ColumnLanguage),ColumnAbbreviation,FALSE),"")</f>
        <v/>
      </c>
      <c r="CC939" s="21" t="str">
        <f ca="1">IFERROR(VLOOKUP(AT939,OFFSET(abbreviation[],0,ColumnLanguage),ColumnAbbreviation,FALSE),"")</f>
        <v/>
      </c>
      <c r="CD939" s="21" t="str">
        <f ca="1">IFERROR(VLOOKUP(AV939,OFFSET(abbreviation[],0,ColumnLanguage),ColumnAbbreviation,FALSE),"")</f>
        <v/>
      </c>
      <c r="CE939" s="21" t="str">
        <f t="shared" ca="1" si="101"/>
        <v>__</v>
      </c>
      <c r="CF939" s="21" t="str">
        <f ca="1">IFERROR(VLOOKUP(AX939,OFFSET(abbreviation[],0,ColumnLanguage),ColumnAbbreviation,FALSE),"")</f>
        <v/>
      </c>
      <c r="CG939" s="21" t="str">
        <f ca="1">IFERROR(VLOOKUP(AZ939,OFFSET(abbreviation[],0,ColumnLanguage),ColumnAbbreviation,FALSE),"")</f>
        <v/>
      </c>
      <c r="CH939" s="21" t="str">
        <f ca="1">IFERROR(VLOOKUP(BB939,OFFSET(abbreviation[],0,ColumnLanguage),ColumnAbbreviation,FALSE),"")</f>
        <v/>
      </c>
      <c r="CI939" s="21" t="str">
        <f ca="1">IFERROR(VLOOKUP(BD939,OFFSET(abbreviation[],0,ColumnLanguage),ColumnAbbreviation,FALSE),"")</f>
        <v/>
      </c>
      <c r="CJ939" s="21" t="str">
        <f ca="1">IFERROR(VLOOKUP(BF939,OFFSET(abbreviation[],0,ColumnLanguage),ColumnAbbreviation,FALSE),"")</f>
        <v/>
      </c>
      <c r="CK939" s="21" t="str">
        <f t="shared" ca="1" si="102"/>
        <v/>
      </c>
      <c r="CL939" s="21" t="str">
        <f t="shared" si="103"/>
        <v/>
      </c>
      <c r="CM939" s="52"/>
      <c r="CN939" s="57" t="str">
        <f t="shared" si="104"/>
        <v/>
      </c>
    </row>
    <row r="940" spans="17:92" x14ac:dyDescent="0.25">
      <c r="Q940" s="13"/>
      <c r="AN940" s="54"/>
      <c r="AS940" s="15"/>
      <c r="BH940" s="52"/>
      <c r="BI940" s="21" t="str">
        <f ca="1">IFERROR(VLOOKUP(C940,OFFSET(abbreviation[],0,ColumnLanguage),ColumnAbbreviation,FALSE),"")</f>
        <v/>
      </c>
      <c r="BJ940" s="21" t="str">
        <f ca="1">IFERROR(VLOOKUP(E940,OFFSET(abbreviation[],0,ColumnLanguage),ColumnAbbreviation,FALSE),"")</f>
        <v/>
      </c>
      <c r="BK940" s="21" t="str">
        <f ca="1">IFERROR(VLOOKUP(G940,OFFSET(abbreviation[],0,ColumnLanguage),ColumnAbbreviation,FALSE),"")</f>
        <v/>
      </c>
      <c r="BL940" s="21" t="str">
        <f ca="1">IFERROR(VLOOKUP(I940,OFFSET(abbreviation[],0,ColumnLanguage),ColumnAbbreviation,FALSE),"")</f>
        <v/>
      </c>
      <c r="BM940" s="21" t="str">
        <f ca="1">IFERROR(VLOOKUP(K940,OFFSET(abbreviation[],0,ColumnLanguage),ColumnAbbreviation,FALSE),"")</f>
        <v/>
      </c>
      <c r="BN940" s="21" t="str">
        <f t="shared" ca="1" si="98"/>
        <v/>
      </c>
      <c r="BO940" s="21" t="str">
        <f ca="1">IFERROR(VLOOKUP(N940,OFFSET(abbreviation[],0,ColumnLanguage),ColumnAbbreviation,FALSE),"")</f>
        <v/>
      </c>
      <c r="BP940" s="21" t="str">
        <f ca="1">IFERROR(VLOOKUP(P940,OFFSET(abbreviation[],0,ColumnLanguage),ColumnAbbreviation,FALSE),"")</f>
        <v/>
      </c>
      <c r="BQ940" s="21" t="str">
        <f ca="1">IFERROR(VLOOKUP(T940,OFFSET(abbreviation[],0,ColumnLanguage),ColumnAbbreviation,FALSE),"")</f>
        <v/>
      </c>
      <c r="BR940" s="21" t="str">
        <f ca="1">IFERROR(VLOOKUP(V940,OFFSET(abbreviation[],0,ColumnLanguage),ColumnAbbreviation,FALSE),"")</f>
        <v/>
      </c>
      <c r="BS940" s="21" t="str">
        <f ca="1">IFERROR(VLOOKUP(Z940,OFFSET(abbreviation[],0,ColumnLanguage),ColumnAbbreviation,FALSE),"")</f>
        <v/>
      </c>
      <c r="BT940" s="21" t="str">
        <f ca="1">IFERROR(VLOOKUP(AB940,OFFSET(abbreviation[],0,ColumnLanguage),ColumnAbbreviation,FALSE),"")</f>
        <v/>
      </c>
      <c r="BU940" s="21" t="str">
        <f t="shared" ca="1" si="99"/>
        <v>__</v>
      </c>
      <c r="BV940" s="21" t="str">
        <f ca="1">IFERROR(VLOOKUP(AF940,OFFSET(abbreviation[],0,ColumnLanguage),ColumnAbbreviation,FALSE),"")</f>
        <v/>
      </c>
      <c r="BW940" s="21" t="str">
        <f ca="1">IFERROR(VLOOKUP(AH940,OFFSET(abbreviation[],0,ColumnLanguage),ColumnAbbreviation,FALSE),"")</f>
        <v/>
      </c>
      <c r="BX940" s="21" t="str">
        <f ca="1">IFERROR(VLOOKUP(AJ940,OFFSET(abbreviation[],0,ColumnLanguage),ColumnAbbreviation,FALSE),"")</f>
        <v/>
      </c>
      <c r="BY940" s="21" t="str">
        <f ca="1">IFERROR(VLOOKUP(AL940,OFFSET(abbreviation[],0,ColumnLanguage),ColumnAbbreviation,FALSE),"")</f>
        <v/>
      </c>
      <c r="BZ940" s="21" t="str">
        <f t="shared" ca="1" si="100"/>
        <v>_</v>
      </c>
      <c r="CA940" s="21" t="str">
        <f ca="1">IFERROR(VLOOKUP(AP940,OFFSET(abbreviation[],0,ColumnLanguage),ColumnAbbreviation,FALSE),"")</f>
        <v/>
      </c>
      <c r="CB940" s="21" t="str">
        <f ca="1">IFERROR(VLOOKUP(AR940,OFFSET(abbreviation[],0,ColumnLanguage),ColumnAbbreviation,FALSE),"")</f>
        <v/>
      </c>
      <c r="CC940" s="21" t="str">
        <f ca="1">IFERROR(VLOOKUP(AT940,OFFSET(abbreviation[],0,ColumnLanguage),ColumnAbbreviation,FALSE),"")</f>
        <v/>
      </c>
      <c r="CD940" s="21" t="str">
        <f ca="1">IFERROR(VLOOKUP(AV940,OFFSET(abbreviation[],0,ColumnLanguage),ColumnAbbreviation,FALSE),"")</f>
        <v/>
      </c>
      <c r="CE940" s="21" t="str">
        <f t="shared" ca="1" si="101"/>
        <v>__</v>
      </c>
      <c r="CF940" s="21" t="str">
        <f ca="1">IFERROR(VLOOKUP(AX940,OFFSET(abbreviation[],0,ColumnLanguage),ColumnAbbreviation,FALSE),"")</f>
        <v/>
      </c>
      <c r="CG940" s="21" t="str">
        <f ca="1">IFERROR(VLOOKUP(AZ940,OFFSET(abbreviation[],0,ColumnLanguage),ColumnAbbreviation,FALSE),"")</f>
        <v/>
      </c>
      <c r="CH940" s="21" t="str">
        <f ca="1">IFERROR(VLOOKUP(BB940,OFFSET(abbreviation[],0,ColumnLanguage),ColumnAbbreviation,FALSE),"")</f>
        <v/>
      </c>
      <c r="CI940" s="21" t="str">
        <f ca="1">IFERROR(VLOOKUP(BD940,OFFSET(abbreviation[],0,ColumnLanguage),ColumnAbbreviation,FALSE),"")</f>
        <v/>
      </c>
      <c r="CJ940" s="21" t="str">
        <f ca="1">IFERROR(VLOOKUP(BF940,OFFSET(abbreviation[],0,ColumnLanguage),ColumnAbbreviation,FALSE),"")</f>
        <v/>
      </c>
      <c r="CK940" s="21" t="str">
        <f t="shared" ca="1" si="102"/>
        <v/>
      </c>
      <c r="CL940" s="21" t="str">
        <f t="shared" si="103"/>
        <v/>
      </c>
      <c r="CM940" s="52"/>
      <c r="CN940" s="57" t="str">
        <f t="shared" si="104"/>
        <v/>
      </c>
    </row>
    <row r="941" spans="17:92" x14ac:dyDescent="0.25">
      <c r="Q941" s="13"/>
      <c r="AN941" s="54"/>
      <c r="AS941" s="15"/>
      <c r="BH941" s="52"/>
      <c r="BI941" s="21" t="str">
        <f ca="1">IFERROR(VLOOKUP(C941,OFFSET(abbreviation[],0,ColumnLanguage),ColumnAbbreviation,FALSE),"")</f>
        <v/>
      </c>
      <c r="BJ941" s="21" t="str">
        <f ca="1">IFERROR(VLOOKUP(E941,OFFSET(abbreviation[],0,ColumnLanguage),ColumnAbbreviation,FALSE),"")</f>
        <v/>
      </c>
      <c r="BK941" s="21" t="str">
        <f ca="1">IFERROR(VLOOKUP(G941,OFFSET(abbreviation[],0,ColumnLanguage),ColumnAbbreviation,FALSE),"")</f>
        <v/>
      </c>
      <c r="BL941" s="21" t="str">
        <f ca="1">IFERROR(VLOOKUP(I941,OFFSET(abbreviation[],0,ColumnLanguage),ColumnAbbreviation,FALSE),"")</f>
        <v/>
      </c>
      <c r="BM941" s="21" t="str">
        <f ca="1">IFERROR(VLOOKUP(K941,OFFSET(abbreviation[],0,ColumnLanguage),ColumnAbbreviation,FALSE),"")</f>
        <v/>
      </c>
      <c r="BN941" s="21" t="str">
        <f t="shared" ca="1" si="98"/>
        <v/>
      </c>
      <c r="BO941" s="21" t="str">
        <f ca="1">IFERROR(VLOOKUP(N941,OFFSET(abbreviation[],0,ColumnLanguage),ColumnAbbreviation,FALSE),"")</f>
        <v/>
      </c>
      <c r="BP941" s="21" t="str">
        <f ca="1">IFERROR(VLOOKUP(P941,OFFSET(abbreviation[],0,ColumnLanguage),ColumnAbbreviation,FALSE),"")</f>
        <v/>
      </c>
      <c r="BQ941" s="21" t="str">
        <f ca="1">IFERROR(VLOOKUP(T941,OFFSET(abbreviation[],0,ColumnLanguage),ColumnAbbreviation,FALSE),"")</f>
        <v/>
      </c>
      <c r="BR941" s="21" t="str">
        <f ca="1">IFERROR(VLOOKUP(V941,OFFSET(abbreviation[],0,ColumnLanguage),ColumnAbbreviation,FALSE),"")</f>
        <v/>
      </c>
      <c r="BS941" s="21" t="str">
        <f ca="1">IFERROR(VLOOKUP(Z941,OFFSET(abbreviation[],0,ColumnLanguage),ColumnAbbreviation,FALSE),"")</f>
        <v/>
      </c>
      <c r="BT941" s="21" t="str">
        <f ca="1">IFERROR(VLOOKUP(AB941,OFFSET(abbreviation[],0,ColumnLanguage),ColumnAbbreviation,FALSE),"")</f>
        <v/>
      </c>
      <c r="BU941" s="21" t="str">
        <f t="shared" ca="1" si="99"/>
        <v>__</v>
      </c>
      <c r="BV941" s="21" t="str">
        <f ca="1">IFERROR(VLOOKUP(AF941,OFFSET(abbreviation[],0,ColumnLanguage),ColumnAbbreviation,FALSE),"")</f>
        <v/>
      </c>
      <c r="BW941" s="21" t="str">
        <f ca="1">IFERROR(VLOOKUP(AH941,OFFSET(abbreviation[],0,ColumnLanguage),ColumnAbbreviation,FALSE),"")</f>
        <v/>
      </c>
      <c r="BX941" s="21" t="str">
        <f ca="1">IFERROR(VLOOKUP(AJ941,OFFSET(abbreviation[],0,ColumnLanguage),ColumnAbbreviation,FALSE),"")</f>
        <v/>
      </c>
      <c r="BY941" s="21" t="str">
        <f ca="1">IFERROR(VLOOKUP(AL941,OFFSET(abbreviation[],0,ColumnLanguage),ColumnAbbreviation,FALSE),"")</f>
        <v/>
      </c>
      <c r="BZ941" s="21" t="str">
        <f t="shared" ca="1" si="100"/>
        <v>_</v>
      </c>
      <c r="CA941" s="21" t="str">
        <f ca="1">IFERROR(VLOOKUP(AP941,OFFSET(abbreviation[],0,ColumnLanguage),ColumnAbbreviation,FALSE),"")</f>
        <v/>
      </c>
      <c r="CB941" s="21" t="str">
        <f ca="1">IFERROR(VLOOKUP(AR941,OFFSET(abbreviation[],0,ColumnLanguage),ColumnAbbreviation,FALSE),"")</f>
        <v/>
      </c>
      <c r="CC941" s="21" t="str">
        <f ca="1">IFERROR(VLOOKUP(AT941,OFFSET(abbreviation[],0,ColumnLanguage),ColumnAbbreviation,FALSE),"")</f>
        <v/>
      </c>
      <c r="CD941" s="21" t="str">
        <f ca="1">IFERROR(VLOOKUP(AV941,OFFSET(abbreviation[],0,ColumnLanguage),ColumnAbbreviation,FALSE),"")</f>
        <v/>
      </c>
      <c r="CE941" s="21" t="str">
        <f t="shared" ca="1" si="101"/>
        <v>__</v>
      </c>
      <c r="CF941" s="21" t="str">
        <f ca="1">IFERROR(VLOOKUP(AX941,OFFSET(abbreviation[],0,ColumnLanguage),ColumnAbbreviation,FALSE),"")</f>
        <v/>
      </c>
      <c r="CG941" s="21" t="str">
        <f ca="1">IFERROR(VLOOKUP(AZ941,OFFSET(abbreviation[],0,ColumnLanguage),ColumnAbbreviation,FALSE),"")</f>
        <v/>
      </c>
      <c r="CH941" s="21" t="str">
        <f ca="1">IFERROR(VLOOKUP(BB941,OFFSET(abbreviation[],0,ColumnLanguage),ColumnAbbreviation,FALSE),"")</f>
        <v/>
      </c>
      <c r="CI941" s="21" t="str">
        <f ca="1">IFERROR(VLOOKUP(BD941,OFFSET(abbreviation[],0,ColumnLanguage),ColumnAbbreviation,FALSE),"")</f>
        <v/>
      </c>
      <c r="CJ941" s="21" t="str">
        <f ca="1">IFERROR(VLOOKUP(BF941,OFFSET(abbreviation[],0,ColumnLanguage),ColumnAbbreviation,FALSE),"")</f>
        <v/>
      </c>
      <c r="CK941" s="21" t="str">
        <f t="shared" ca="1" si="102"/>
        <v/>
      </c>
      <c r="CL941" s="21" t="str">
        <f t="shared" si="103"/>
        <v/>
      </c>
      <c r="CM941" s="52"/>
      <c r="CN941" s="57" t="str">
        <f t="shared" si="104"/>
        <v/>
      </c>
    </row>
    <row r="942" spans="17:92" x14ac:dyDescent="0.25">
      <c r="Q942" s="13"/>
      <c r="AN942" s="54"/>
      <c r="AS942" s="15"/>
      <c r="BH942" s="52"/>
      <c r="BI942" s="21" t="str">
        <f ca="1">IFERROR(VLOOKUP(C942,OFFSET(abbreviation[],0,ColumnLanguage),ColumnAbbreviation,FALSE),"")</f>
        <v/>
      </c>
      <c r="BJ942" s="21" t="str">
        <f ca="1">IFERROR(VLOOKUP(E942,OFFSET(abbreviation[],0,ColumnLanguage),ColumnAbbreviation,FALSE),"")</f>
        <v/>
      </c>
      <c r="BK942" s="21" t="str">
        <f ca="1">IFERROR(VLOOKUP(G942,OFFSET(abbreviation[],0,ColumnLanguage),ColumnAbbreviation,FALSE),"")</f>
        <v/>
      </c>
      <c r="BL942" s="21" t="str">
        <f ca="1">IFERROR(VLOOKUP(I942,OFFSET(abbreviation[],0,ColumnLanguage),ColumnAbbreviation,FALSE),"")</f>
        <v/>
      </c>
      <c r="BM942" s="21" t="str">
        <f ca="1">IFERROR(VLOOKUP(K942,OFFSET(abbreviation[],0,ColumnLanguage),ColumnAbbreviation,FALSE),"")</f>
        <v/>
      </c>
      <c r="BN942" s="21" t="str">
        <f t="shared" ca="1" si="98"/>
        <v/>
      </c>
      <c r="BO942" s="21" t="str">
        <f ca="1">IFERROR(VLOOKUP(N942,OFFSET(abbreviation[],0,ColumnLanguage),ColumnAbbreviation,FALSE),"")</f>
        <v/>
      </c>
      <c r="BP942" s="21" t="str">
        <f ca="1">IFERROR(VLOOKUP(P942,OFFSET(abbreviation[],0,ColumnLanguage),ColumnAbbreviation,FALSE),"")</f>
        <v/>
      </c>
      <c r="BQ942" s="21" t="str">
        <f ca="1">IFERROR(VLOOKUP(T942,OFFSET(abbreviation[],0,ColumnLanguage),ColumnAbbreviation,FALSE),"")</f>
        <v/>
      </c>
      <c r="BR942" s="21" t="str">
        <f ca="1">IFERROR(VLOOKUP(V942,OFFSET(abbreviation[],0,ColumnLanguage),ColumnAbbreviation,FALSE),"")</f>
        <v/>
      </c>
      <c r="BS942" s="21" t="str">
        <f ca="1">IFERROR(VLOOKUP(Z942,OFFSET(abbreviation[],0,ColumnLanguage),ColumnAbbreviation,FALSE),"")</f>
        <v/>
      </c>
      <c r="BT942" s="21" t="str">
        <f ca="1">IFERROR(VLOOKUP(AB942,OFFSET(abbreviation[],0,ColumnLanguage),ColumnAbbreviation,FALSE),"")</f>
        <v/>
      </c>
      <c r="BU942" s="21" t="str">
        <f t="shared" ca="1" si="99"/>
        <v>__</v>
      </c>
      <c r="BV942" s="21" t="str">
        <f ca="1">IFERROR(VLOOKUP(AF942,OFFSET(abbreviation[],0,ColumnLanguage),ColumnAbbreviation,FALSE),"")</f>
        <v/>
      </c>
      <c r="BW942" s="21" t="str">
        <f ca="1">IFERROR(VLOOKUP(AH942,OFFSET(abbreviation[],0,ColumnLanguage),ColumnAbbreviation,FALSE),"")</f>
        <v/>
      </c>
      <c r="BX942" s="21" t="str">
        <f ca="1">IFERROR(VLOOKUP(AJ942,OFFSET(abbreviation[],0,ColumnLanguage),ColumnAbbreviation,FALSE),"")</f>
        <v/>
      </c>
      <c r="BY942" s="21" t="str">
        <f ca="1">IFERROR(VLOOKUP(AL942,OFFSET(abbreviation[],0,ColumnLanguage),ColumnAbbreviation,FALSE),"")</f>
        <v/>
      </c>
      <c r="BZ942" s="21" t="str">
        <f t="shared" ca="1" si="100"/>
        <v>_</v>
      </c>
      <c r="CA942" s="21" t="str">
        <f ca="1">IFERROR(VLOOKUP(AP942,OFFSET(abbreviation[],0,ColumnLanguage),ColumnAbbreviation,FALSE),"")</f>
        <v/>
      </c>
      <c r="CB942" s="21" t="str">
        <f ca="1">IFERROR(VLOOKUP(AR942,OFFSET(abbreviation[],0,ColumnLanguage),ColumnAbbreviation,FALSE),"")</f>
        <v/>
      </c>
      <c r="CC942" s="21" t="str">
        <f ca="1">IFERROR(VLOOKUP(AT942,OFFSET(abbreviation[],0,ColumnLanguage),ColumnAbbreviation,FALSE),"")</f>
        <v/>
      </c>
      <c r="CD942" s="21" t="str">
        <f ca="1">IFERROR(VLOOKUP(AV942,OFFSET(abbreviation[],0,ColumnLanguage),ColumnAbbreviation,FALSE),"")</f>
        <v/>
      </c>
      <c r="CE942" s="21" t="str">
        <f t="shared" ca="1" si="101"/>
        <v>__</v>
      </c>
      <c r="CF942" s="21" t="str">
        <f ca="1">IFERROR(VLOOKUP(AX942,OFFSET(abbreviation[],0,ColumnLanguage),ColumnAbbreviation,FALSE),"")</f>
        <v/>
      </c>
      <c r="CG942" s="21" t="str">
        <f ca="1">IFERROR(VLOOKUP(AZ942,OFFSET(abbreviation[],0,ColumnLanguage),ColumnAbbreviation,FALSE),"")</f>
        <v/>
      </c>
      <c r="CH942" s="21" t="str">
        <f ca="1">IFERROR(VLOOKUP(BB942,OFFSET(abbreviation[],0,ColumnLanguage),ColumnAbbreviation,FALSE),"")</f>
        <v/>
      </c>
      <c r="CI942" s="21" t="str">
        <f ca="1">IFERROR(VLOOKUP(BD942,OFFSET(abbreviation[],0,ColumnLanguage),ColumnAbbreviation,FALSE),"")</f>
        <v/>
      </c>
      <c r="CJ942" s="21" t="str">
        <f ca="1">IFERROR(VLOOKUP(BF942,OFFSET(abbreviation[],0,ColumnLanguage),ColumnAbbreviation,FALSE),"")</f>
        <v/>
      </c>
      <c r="CK942" s="21" t="str">
        <f t="shared" ca="1" si="102"/>
        <v/>
      </c>
      <c r="CL942" s="21" t="str">
        <f t="shared" si="103"/>
        <v/>
      </c>
      <c r="CM942" s="52"/>
      <c r="CN942" s="57" t="str">
        <f t="shared" si="104"/>
        <v/>
      </c>
    </row>
    <row r="943" spans="17:92" x14ac:dyDescent="0.25">
      <c r="Q943" s="13"/>
      <c r="AN943" s="54"/>
      <c r="AS943" s="15"/>
      <c r="BH943" s="52"/>
      <c r="BI943" s="21" t="str">
        <f ca="1">IFERROR(VLOOKUP(C943,OFFSET(abbreviation[],0,ColumnLanguage),ColumnAbbreviation,FALSE),"")</f>
        <v/>
      </c>
      <c r="BJ943" s="21" t="str">
        <f ca="1">IFERROR(VLOOKUP(E943,OFFSET(abbreviation[],0,ColumnLanguage),ColumnAbbreviation,FALSE),"")</f>
        <v/>
      </c>
      <c r="BK943" s="21" t="str">
        <f ca="1">IFERROR(VLOOKUP(G943,OFFSET(abbreviation[],0,ColumnLanguage),ColumnAbbreviation,FALSE),"")</f>
        <v/>
      </c>
      <c r="BL943" s="21" t="str">
        <f ca="1">IFERROR(VLOOKUP(I943,OFFSET(abbreviation[],0,ColumnLanguage),ColumnAbbreviation,FALSE),"")</f>
        <v/>
      </c>
      <c r="BM943" s="21" t="str">
        <f ca="1">IFERROR(VLOOKUP(K943,OFFSET(abbreviation[],0,ColumnLanguage),ColumnAbbreviation,FALSE),"")</f>
        <v/>
      </c>
      <c r="BN943" s="21" t="str">
        <f t="shared" ca="1" si="98"/>
        <v/>
      </c>
      <c r="BO943" s="21" t="str">
        <f ca="1">IFERROR(VLOOKUP(N943,OFFSET(abbreviation[],0,ColumnLanguage),ColumnAbbreviation,FALSE),"")</f>
        <v/>
      </c>
      <c r="BP943" s="21" t="str">
        <f ca="1">IFERROR(VLOOKUP(P943,OFFSET(abbreviation[],0,ColumnLanguage),ColumnAbbreviation,FALSE),"")</f>
        <v/>
      </c>
      <c r="BQ943" s="21" t="str">
        <f ca="1">IFERROR(VLOOKUP(T943,OFFSET(abbreviation[],0,ColumnLanguage),ColumnAbbreviation,FALSE),"")</f>
        <v/>
      </c>
      <c r="BR943" s="21" t="str">
        <f ca="1">IFERROR(VLOOKUP(V943,OFFSET(abbreviation[],0,ColumnLanguage),ColumnAbbreviation,FALSE),"")</f>
        <v/>
      </c>
      <c r="BS943" s="21" t="str">
        <f ca="1">IFERROR(VLOOKUP(Z943,OFFSET(abbreviation[],0,ColumnLanguage),ColumnAbbreviation,FALSE),"")</f>
        <v/>
      </c>
      <c r="BT943" s="21" t="str">
        <f ca="1">IFERROR(VLOOKUP(AB943,OFFSET(abbreviation[],0,ColumnLanguage),ColumnAbbreviation,FALSE),"")</f>
        <v/>
      </c>
      <c r="BU943" s="21" t="str">
        <f t="shared" ca="1" si="99"/>
        <v>__</v>
      </c>
      <c r="BV943" s="21" t="str">
        <f ca="1">IFERROR(VLOOKUP(AF943,OFFSET(abbreviation[],0,ColumnLanguage),ColumnAbbreviation,FALSE),"")</f>
        <v/>
      </c>
      <c r="BW943" s="21" t="str">
        <f ca="1">IFERROR(VLOOKUP(AH943,OFFSET(abbreviation[],0,ColumnLanguage),ColumnAbbreviation,FALSE),"")</f>
        <v/>
      </c>
      <c r="BX943" s="21" t="str">
        <f ca="1">IFERROR(VLOOKUP(AJ943,OFFSET(abbreviation[],0,ColumnLanguage),ColumnAbbreviation,FALSE),"")</f>
        <v/>
      </c>
      <c r="BY943" s="21" t="str">
        <f ca="1">IFERROR(VLOOKUP(AL943,OFFSET(abbreviation[],0,ColumnLanguage),ColumnAbbreviation,FALSE),"")</f>
        <v/>
      </c>
      <c r="BZ943" s="21" t="str">
        <f t="shared" ca="1" si="100"/>
        <v>_</v>
      </c>
      <c r="CA943" s="21" t="str">
        <f ca="1">IFERROR(VLOOKUP(AP943,OFFSET(abbreviation[],0,ColumnLanguage),ColumnAbbreviation,FALSE),"")</f>
        <v/>
      </c>
      <c r="CB943" s="21" t="str">
        <f ca="1">IFERROR(VLOOKUP(AR943,OFFSET(abbreviation[],0,ColumnLanguage),ColumnAbbreviation,FALSE),"")</f>
        <v/>
      </c>
      <c r="CC943" s="21" t="str">
        <f ca="1">IFERROR(VLOOKUP(AT943,OFFSET(abbreviation[],0,ColumnLanguage),ColumnAbbreviation,FALSE),"")</f>
        <v/>
      </c>
      <c r="CD943" s="21" t="str">
        <f ca="1">IFERROR(VLOOKUP(AV943,OFFSET(abbreviation[],0,ColumnLanguage),ColumnAbbreviation,FALSE),"")</f>
        <v/>
      </c>
      <c r="CE943" s="21" t="str">
        <f t="shared" ca="1" si="101"/>
        <v>__</v>
      </c>
      <c r="CF943" s="21" t="str">
        <f ca="1">IFERROR(VLOOKUP(AX943,OFFSET(abbreviation[],0,ColumnLanguage),ColumnAbbreviation,FALSE),"")</f>
        <v/>
      </c>
      <c r="CG943" s="21" t="str">
        <f ca="1">IFERROR(VLOOKUP(AZ943,OFFSET(abbreviation[],0,ColumnLanguage),ColumnAbbreviation,FALSE),"")</f>
        <v/>
      </c>
      <c r="CH943" s="21" t="str">
        <f ca="1">IFERROR(VLOOKUP(BB943,OFFSET(abbreviation[],0,ColumnLanguage),ColumnAbbreviation,FALSE),"")</f>
        <v/>
      </c>
      <c r="CI943" s="21" t="str">
        <f ca="1">IFERROR(VLOOKUP(BD943,OFFSET(abbreviation[],0,ColumnLanguage),ColumnAbbreviation,FALSE),"")</f>
        <v/>
      </c>
      <c r="CJ943" s="21" t="str">
        <f ca="1">IFERROR(VLOOKUP(BF943,OFFSET(abbreviation[],0,ColumnLanguage),ColumnAbbreviation,FALSE),"")</f>
        <v/>
      </c>
      <c r="CK943" s="21" t="str">
        <f t="shared" ca="1" si="102"/>
        <v/>
      </c>
      <c r="CL943" s="21" t="str">
        <f t="shared" si="103"/>
        <v/>
      </c>
      <c r="CM943" s="52"/>
      <c r="CN943" s="57" t="str">
        <f t="shared" si="104"/>
        <v/>
      </c>
    </row>
    <row r="944" spans="17:92" x14ac:dyDescent="0.25">
      <c r="Q944" s="13"/>
      <c r="AN944" s="54"/>
      <c r="AS944" s="15"/>
      <c r="BH944" s="52"/>
      <c r="BI944" s="21" t="str">
        <f ca="1">IFERROR(VLOOKUP(C944,OFFSET(abbreviation[],0,ColumnLanguage),ColumnAbbreviation,FALSE),"")</f>
        <v/>
      </c>
      <c r="BJ944" s="21" t="str">
        <f ca="1">IFERROR(VLOOKUP(E944,OFFSET(abbreviation[],0,ColumnLanguage),ColumnAbbreviation,FALSE),"")</f>
        <v/>
      </c>
      <c r="BK944" s="21" t="str">
        <f ca="1">IFERROR(VLOOKUP(G944,OFFSET(abbreviation[],0,ColumnLanguage),ColumnAbbreviation,FALSE),"")</f>
        <v/>
      </c>
      <c r="BL944" s="21" t="str">
        <f ca="1">IFERROR(VLOOKUP(I944,OFFSET(abbreviation[],0,ColumnLanguage),ColumnAbbreviation,FALSE),"")</f>
        <v/>
      </c>
      <c r="BM944" s="21" t="str">
        <f ca="1">IFERROR(VLOOKUP(K944,OFFSET(abbreviation[],0,ColumnLanguage),ColumnAbbreviation,FALSE),"")</f>
        <v/>
      </c>
      <c r="BN944" s="21" t="str">
        <f t="shared" ca="1" si="98"/>
        <v/>
      </c>
      <c r="BO944" s="21" t="str">
        <f ca="1">IFERROR(VLOOKUP(N944,OFFSET(abbreviation[],0,ColumnLanguage),ColumnAbbreviation,FALSE),"")</f>
        <v/>
      </c>
      <c r="BP944" s="21" t="str">
        <f ca="1">IFERROR(VLOOKUP(P944,OFFSET(abbreviation[],0,ColumnLanguage),ColumnAbbreviation,FALSE),"")</f>
        <v/>
      </c>
      <c r="BQ944" s="21" t="str">
        <f ca="1">IFERROR(VLOOKUP(T944,OFFSET(abbreviation[],0,ColumnLanguage),ColumnAbbreviation,FALSE),"")</f>
        <v/>
      </c>
      <c r="BR944" s="21" t="str">
        <f ca="1">IFERROR(VLOOKUP(V944,OFFSET(abbreviation[],0,ColumnLanguage),ColumnAbbreviation,FALSE),"")</f>
        <v/>
      </c>
      <c r="BS944" s="21" t="str">
        <f ca="1">IFERROR(VLOOKUP(Z944,OFFSET(abbreviation[],0,ColumnLanguage),ColumnAbbreviation,FALSE),"")</f>
        <v/>
      </c>
      <c r="BT944" s="21" t="str">
        <f ca="1">IFERROR(VLOOKUP(AB944,OFFSET(abbreviation[],0,ColumnLanguage),ColumnAbbreviation,FALSE),"")</f>
        <v/>
      </c>
      <c r="BU944" s="21" t="str">
        <f t="shared" ca="1" si="99"/>
        <v>__</v>
      </c>
      <c r="BV944" s="21" t="str">
        <f ca="1">IFERROR(VLOOKUP(AF944,OFFSET(abbreviation[],0,ColumnLanguage),ColumnAbbreviation,FALSE),"")</f>
        <v/>
      </c>
      <c r="BW944" s="21" t="str">
        <f ca="1">IFERROR(VLOOKUP(AH944,OFFSET(abbreviation[],0,ColumnLanguage),ColumnAbbreviation,FALSE),"")</f>
        <v/>
      </c>
      <c r="BX944" s="21" t="str">
        <f ca="1">IFERROR(VLOOKUP(AJ944,OFFSET(abbreviation[],0,ColumnLanguage),ColumnAbbreviation,FALSE),"")</f>
        <v/>
      </c>
      <c r="BY944" s="21" t="str">
        <f ca="1">IFERROR(VLOOKUP(AL944,OFFSET(abbreviation[],0,ColumnLanguage),ColumnAbbreviation,FALSE),"")</f>
        <v/>
      </c>
      <c r="BZ944" s="21" t="str">
        <f t="shared" ca="1" si="100"/>
        <v>_</v>
      </c>
      <c r="CA944" s="21" t="str">
        <f ca="1">IFERROR(VLOOKUP(AP944,OFFSET(abbreviation[],0,ColumnLanguage),ColumnAbbreviation,FALSE),"")</f>
        <v/>
      </c>
      <c r="CB944" s="21" t="str">
        <f ca="1">IFERROR(VLOOKUP(AR944,OFFSET(abbreviation[],0,ColumnLanguage),ColumnAbbreviation,FALSE),"")</f>
        <v/>
      </c>
      <c r="CC944" s="21" t="str">
        <f ca="1">IFERROR(VLOOKUP(AT944,OFFSET(abbreviation[],0,ColumnLanguage),ColumnAbbreviation,FALSE),"")</f>
        <v/>
      </c>
      <c r="CD944" s="21" t="str">
        <f ca="1">IFERROR(VLOOKUP(AV944,OFFSET(abbreviation[],0,ColumnLanguage),ColumnAbbreviation,FALSE),"")</f>
        <v/>
      </c>
      <c r="CE944" s="21" t="str">
        <f t="shared" ca="1" si="101"/>
        <v>__</v>
      </c>
      <c r="CF944" s="21" t="str">
        <f ca="1">IFERROR(VLOOKUP(AX944,OFFSET(abbreviation[],0,ColumnLanguage),ColumnAbbreviation,FALSE),"")</f>
        <v/>
      </c>
      <c r="CG944" s="21" t="str">
        <f ca="1">IFERROR(VLOOKUP(AZ944,OFFSET(abbreviation[],0,ColumnLanguage),ColumnAbbreviation,FALSE),"")</f>
        <v/>
      </c>
      <c r="CH944" s="21" t="str">
        <f ca="1">IFERROR(VLOOKUP(BB944,OFFSET(abbreviation[],0,ColumnLanguage),ColumnAbbreviation,FALSE),"")</f>
        <v/>
      </c>
      <c r="CI944" s="21" t="str">
        <f ca="1">IFERROR(VLOOKUP(BD944,OFFSET(abbreviation[],0,ColumnLanguage),ColumnAbbreviation,FALSE),"")</f>
        <v/>
      </c>
      <c r="CJ944" s="21" t="str">
        <f ca="1">IFERROR(VLOOKUP(BF944,OFFSET(abbreviation[],0,ColumnLanguage),ColumnAbbreviation,FALSE),"")</f>
        <v/>
      </c>
      <c r="CK944" s="21" t="str">
        <f t="shared" ca="1" si="102"/>
        <v/>
      </c>
      <c r="CL944" s="21" t="str">
        <f t="shared" si="103"/>
        <v/>
      </c>
      <c r="CM944" s="52"/>
      <c r="CN944" s="57" t="str">
        <f t="shared" si="104"/>
        <v/>
      </c>
    </row>
    <row r="945" spans="17:92" x14ac:dyDescent="0.25">
      <c r="Q945" s="13"/>
      <c r="AN945" s="54"/>
      <c r="AS945" s="15"/>
      <c r="BH945" s="52"/>
      <c r="BI945" s="21" t="str">
        <f ca="1">IFERROR(VLOOKUP(C945,OFFSET(abbreviation[],0,ColumnLanguage),ColumnAbbreviation,FALSE),"")</f>
        <v/>
      </c>
      <c r="BJ945" s="21" t="str">
        <f ca="1">IFERROR(VLOOKUP(E945,OFFSET(abbreviation[],0,ColumnLanguage),ColumnAbbreviation,FALSE),"")</f>
        <v/>
      </c>
      <c r="BK945" s="21" t="str">
        <f ca="1">IFERROR(VLOOKUP(G945,OFFSET(abbreviation[],0,ColumnLanguage),ColumnAbbreviation,FALSE),"")</f>
        <v/>
      </c>
      <c r="BL945" s="21" t="str">
        <f ca="1">IFERROR(VLOOKUP(I945,OFFSET(abbreviation[],0,ColumnLanguage),ColumnAbbreviation,FALSE),"")</f>
        <v/>
      </c>
      <c r="BM945" s="21" t="str">
        <f ca="1">IFERROR(VLOOKUP(K945,OFFSET(abbreviation[],0,ColumnLanguage),ColumnAbbreviation,FALSE),"")</f>
        <v/>
      </c>
      <c r="BN945" s="21" t="str">
        <f t="shared" ca="1" si="98"/>
        <v/>
      </c>
      <c r="BO945" s="21" t="str">
        <f ca="1">IFERROR(VLOOKUP(N945,OFFSET(abbreviation[],0,ColumnLanguage),ColumnAbbreviation,FALSE),"")</f>
        <v/>
      </c>
      <c r="BP945" s="21" t="str">
        <f ca="1">IFERROR(VLOOKUP(P945,OFFSET(abbreviation[],0,ColumnLanguage),ColumnAbbreviation,FALSE),"")</f>
        <v/>
      </c>
      <c r="BQ945" s="21" t="str">
        <f ca="1">IFERROR(VLOOKUP(T945,OFFSET(abbreviation[],0,ColumnLanguage),ColumnAbbreviation,FALSE),"")</f>
        <v/>
      </c>
      <c r="BR945" s="21" t="str">
        <f ca="1">IFERROR(VLOOKUP(V945,OFFSET(abbreviation[],0,ColumnLanguage),ColumnAbbreviation,FALSE),"")</f>
        <v/>
      </c>
      <c r="BS945" s="21" t="str">
        <f ca="1">IFERROR(VLOOKUP(Z945,OFFSET(abbreviation[],0,ColumnLanguage),ColumnAbbreviation,FALSE),"")</f>
        <v/>
      </c>
      <c r="BT945" s="21" t="str">
        <f ca="1">IFERROR(VLOOKUP(AB945,OFFSET(abbreviation[],0,ColumnLanguage),ColumnAbbreviation,FALSE),"")</f>
        <v/>
      </c>
      <c r="BU945" s="21" t="str">
        <f t="shared" ca="1" si="99"/>
        <v>__</v>
      </c>
      <c r="BV945" s="21" t="str">
        <f ca="1">IFERROR(VLOOKUP(AF945,OFFSET(abbreviation[],0,ColumnLanguage),ColumnAbbreviation,FALSE),"")</f>
        <v/>
      </c>
      <c r="BW945" s="21" t="str">
        <f ca="1">IFERROR(VLOOKUP(AH945,OFFSET(abbreviation[],0,ColumnLanguage),ColumnAbbreviation,FALSE),"")</f>
        <v/>
      </c>
      <c r="BX945" s="21" t="str">
        <f ca="1">IFERROR(VLOOKUP(AJ945,OFFSET(abbreviation[],0,ColumnLanguage),ColumnAbbreviation,FALSE),"")</f>
        <v/>
      </c>
      <c r="BY945" s="21" t="str">
        <f ca="1">IFERROR(VLOOKUP(AL945,OFFSET(abbreviation[],0,ColumnLanguage),ColumnAbbreviation,FALSE),"")</f>
        <v/>
      </c>
      <c r="BZ945" s="21" t="str">
        <f t="shared" ca="1" si="100"/>
        <v>_</v>
      </c>
      <c r="CA945" s="21" t="str">
        <f ca="1">IFERROR(VLOOKUP(AP945,OFFSET(abbreviation[],0,ColumnLanguage),ColumnAbbreviation,FALSE),"")</f>
        <v/>
      </c>
      <c r="CB945" s="21" t="str">
        <f ca="1">IFERROR(VLOOKUP(AR945,OFFSET(abbreviation[],0,ColumnLanguage),ColumnAbbreviation,FALSE),"")</f>
        <v/>
      </c>
      <c r="CC945" s="21" t="str">
        <f ca="1">IFERROR(VLOOKUP(AT945,OFFSET(abbreviation[],0,ColumnLanguage),ColumnAbbreviation,FALSE),"")</f>
        <v/>
      </c>
      <c r="CD945" s="21" t="str">
        <f ca="1">IFERROR(VLOOKUP(AV945,OFFSET(abbreviation[],0,ColumnLanguage),ColumnAbbreviation,FALSE),"")</f>
        <v/>
      </c>
      <c r="CE945" s="21" t="str">
        <f t="shared" ca="1" si="101"/>
        <v>__</v>
      </c>
      <c r="CF945" s="21" t="str">
        <f ca="1">IFERROR(VLOOKUP(AX945,OFFSET(abbreviation[],0,ColumnLanguage),ColumnAbbreviation,FALSE),"")</f>
        <v/>
      </c>
      <c r="CG945" s="21" t="str">
        <f ca="1">IFERROR(VLOOKUP(AZ945,OFFSET(abbreviation[],0,ColumnLanguage),ColumnAbbreviation,FALSE),"")</f>
        <v/>
      </c>
      <c r="CH945" s="21" t="str">
        <f ca="1">IFERROR(VLOOKUP(BB945,OFFSET(abbreviation[],0,ColumnLanguage),ColumnAbbreviation,FALSE),"")</f>
        <v/>
      </c>
      <c r="CI945" s="21" t="str">
        <f ca="1">IFERROR(VLOOKUP(BD945,OFFSET(abbreviation[],0,ColumnLanguage),ColumnAbbreviation,FALSE),"")</f>
        <v/>
      </c>
      <c r="CJ945" s="21" t="str">
        <f ca="1">IFERROR(VLOOKUP(BF945,OFFSET(abbreviation[],0,ColumnLanguage),ColumnAbbreviation,FALSE),"")</f>
        <v/>
      </c>
      <c r="CK945" s="21" t="str">
        <f t="shared" ca="1" si="102"/>
        <v/>
      </c>
      <c r="CL945" s="21" t="str">
        <f t="shared" si="103"/>
        <v/>
      </c>
      <c r="CM945" s="52"/>
      <c r="CN945" s="57" t="str">
        <f t="shared" si="104"/>
        <v/>
      </c>
    </row>
    <row r="946" spans="17:92" x14ac:dyDescent="0.25">
      <c r="Q946" s="13"/>
      <c r="AN946" s="54"/>
      <c r="AS946" s="15"/>
      <c r="BH946" s="52"/>
      <c r="BI946" s="21" t="str">
        <f ca="1">IFERROR(VLOOKUP(C946,OFFSET(abbreviation[],0,ColumnLanguage),ColumnAbbreviation,FALSE),"")</f>
        <v/>
      </c>
      <c r="BJ946" s="21" t="str">
        <f ca="1">IFERROR(VLOOKUP(E946,OFFSET(abbreviation[],0,ColumnLanguage),ColumnAbbreviation,FALSE),"")</f>
        <v/>
      </c>
      <c r="BK946" s="21" t="str">
        <f ca="1">IFERROR(VLOOKUP(G946,OFFSET(abbreviation[],0,ColumnLanguage),ColumnAbbreviation,FALSE),"")</f>
        <v/>
      </c>
      <c r="BL946" s="21" t="str">
        <f ca="1">IFERROR(VLOOKUP(I946,OFFSET(abbreviation[],0,ColumnLanguage),ColumnAbbreviation,FALSE),"")</f>
        <v/>
      </c>
      <c r="BM946" s="21" t="str">
        <f ca="1">IFERROR(VLOOKUP(K946,OFFSET(abbreviation[],0,ColumnLanguage),ColumnAbbreviation,FALSE),"")</f>
        <v/>
      </c>
      <c r="BN946" s="21" t="str">
        <f t="shared" ca="1" si="98"/>
        <v/>
      </c>
      <c r="BO946" s="21" t="str">
        <f ca="1">IFERROR(VLOOKUP(N946,OFFSET(abbreviation[],0,ColumnLanguage),ColumnAbbreviation,FALSE),"")</f>
        <v/>
      </c>
      <c r="BP946" s="21" t="str">
        <f ca="1">IFERROR(VLOOKUP(P946,OFFSET(abbreviation[],0,ColumnLanguage),ColumnAbbreviation,FALSE),"")</f>
        <v/>
      </c>
      <c r="BQ946" s="21" t="str">
        <f ca="1">IFERROR(VLOOKUP(T946,OFFSET(abbreviation[],0,ColumnLanguage),ColumnAbbreviation,FALSE),"")</f>
        <v/>
      </c>
      <c r="BR946" s="21" t="str">
        <f ca="1">IFERROR(VLOOKUP(V946,OFFSET(abbreviation[],0,ColumnLanguage),ColumnAbbreviation,FALSE),"")</f>
        <v/>
      </c>
      <c r="BS946" s="21" t="str">
        <f ca="1">IFERROR(VLOOKUP(Z946,OFFSET(abbreviation[],0,ColumnLanguage),ColumnAbbreviation,FALSE),"")</f>
        <v/>
      </c>
      <c r="BT946" s="21" t="str">
        <f ca="1">IFERROR(VLOOKUP(AB946,OFFSET(abbreviation[],0,ColumnLanguage),ColumnAbbreviation,FALSE),"")</f>
        <v/>
      </c>
      <c r="BU946" s="21" t="str">
        <f t="shared" ca="1" si="99"/>
        <v>__</v>
      </c>
      <c r="BV946" s="21" t="str">
        <f ca="1">IFERROR(VLOOKUP(AF946,OFFSET(abbreviation[],0,ColumnLanguage),ColumnAbbreviation,FALSE),"")</f>
        <v/>
      </c>
      <c r="BW946" s="21" t="str">
        <f ca="1">IFERROR(VLOOKUP(AH946,OFFSET(abbreviation[],0,ColumnLanguage),ColumnAbbreviation,FALSE),"")</f>
        <v/>
      </c>
      <c r="BX946" s="21" t="str">
        <f ca="1">IFERROR(VLOOKUP(AJ946,OFFSET(abbreviation[],0,ColumnLanguage),ColumnAbbreviation,FALSE),"")</f>
        <v/>
      </c>
      <c r="BY946" s="21" t="str">
        <f ca="1">IFERROR(VLOOKUP(AL946,OFFSET(abbreviation[],0,ColumnLanguage),ColumnAbbreviation,FALSE),"")</f>
        <v/>
      </c>
      <c r="BZ946" s="21" t="str">
        <f t="shared" ca="1" si="100"/>
        <v>_</v>
      </c>
      <c r="CA946" s="21" t="str">
        <f ca="1">IFERROR(VLOOKUP(AP946,OFFSET(abbreviation[],0,ColumnLanguage),ColumnAbbreviation,FALSE),"")</f>
        <v/>
      </c>
      <c r="CB946" s="21" t="str">
        <f ca="1">IFERROR(VLOOKUP(AR946,OFFSET(abbreviation[],0,ColumnLanguage),ColumnAbbreviation,FALSE),"")</f>
        <v/>
      </c>
      <c r="CC946" s="21" t="str">
        <f ca="1">IFERROR(VLOOKUP(AT946,OFFSET(abbreviation[],0,ColumnLanguage),ColumnAbbreviation,FALSE),"")</f>
        <v/>
      </c>
      <c r="CD946" s="21" t="str">
        <f ca="1">IFERROR(VLOOKUP(AV946,OFFSET(abbreviation[],0,ColumnLanguage),ColumnAbbreviation,FALSE),"")</f>
        <v/>
      </c>
      <c r="CE946" s="21" t="str">
        <f t="shared" ca="1" si="101"/>
        <v>__</v>
      </c>
      <c r="CF946" s="21" t="str">
        <f ca="1">IFERROR(VLOOKUP(AX946,OFFSET(abbreviation[],0,ColumnLanguage),ColumnAbbreviation,FALSE),"")</f>
        <v/>
      </c>
      <c r="CG946" s="21" t="str">
        <f ca="1">IFERROR(VLOOKUP(AZ946,OFFSET(abbreviation[],0,ColumnLanguage),ColumnAbbreviation,FALSE),"")</f>
        <v/>
      </c>
      <c r="CH946" s="21" t="str">
        <f ca="1">IFERROR(VLOOKUP(BB946,OFFSET(abbreviation[],0,ColumnLanguage),ColumnAbbreviation,FALSE),"")</f>
        <v/>
      </c>
      <c r="CI946" s="21" t="str">
        <f ca="1">IFERROR(VLOOKUP(BD946,OFFSET(abbreviation[],0,ColumnLanguage),ColumnAbbreviation,FALSE),"")</f>
        <v/>
      </c>
      <c r="CJ946" s="21" t="str">
        <f ca="1">IFERROR(VLOOKUP(BF946,OFFSET(abbreviation[],0,ColumnLanguage),ColumnAbbreviation,FALSE),"")</f>
        <v/>
      </c>
      <c r="CK946" s="21" t="str">
        <f t="shared" ca="1" si="102"/>
        <v/>
      </c>
      <c r="CL946" s="21" t="str">
        <f t="shared" si="103"/>
        <v/>
      </c>
      <c r="CM946" s="52"/>
      <c r="CN946" s="57" t="str">
        <f t="shared" si="104"/>
        <v/>
      </c>
    </row>
    <row r="947" spans="17:92" x14ac:dyDescent="0.25">
      <c r="Q947" s="13"/>
      <c r="AN947" s="54"/>
      <c r="AS947" s="15"/>
      <c r="BH947" s="52"/>
      <c r="BI947" s="21" t="str">
        <f ca="1">IFERROR(VLOOKUP(C947,OFFSET(abbreviation[],0,ColumnLanguage),ColumnAbbreviation,FALSE),"")</f>
        <v/>
      </c>
      <c r="BJ947" s="21" t="str">
        <f ca="1">IFERROR(VLOOKUP(E947,OFFSET(abbreviation[],0,ColumnLanguage),ColumnAbbreviation,FALSE),"")</f>
        <v/>
      </c>
      <c r="BK947" s="21" t="str">
        <f ca="1">IFERROR(VLOOKUP(G947,OFFSET(abbreviation[],0,ColumnLanguage),ColumnAbbreviation,FALSE),"")</f>
        <v/>
      </c>
      <c r="BL947" s="21" t="str">
        <f ca="1">IFERROR(VLOOKUP(I947,OFFSET(abbreviation[],0,ColumnLanguage),ColumnAbbreviation,FALSE),"")</f>
        <v/>
      </c>
      <c r="BM947" s="21" t="str">
        <f ca="1">IFERROR(VLOOKUP(K947,OFFSET(abbreviation[],0,ColumnLanguage),ColumnAbbreviation,FALSE),"")</f>
        <v/>
      </c>
      <c r="BN947" s="21" t="str">
        <f t="shared" ca="1" si="98"/>
        <v/>
      </c>
      <c r="BO947" s="21" t="str">
        <f ca="1">IFERROR(VLOOKUP(N947,OFFSET(abbreviation[],0,ColumnLanguage),ColumnAbbreviation,FALSE),"")</f>
        <v/>
      </c>
      <c r="BP947" s="21" t="str">
        <f ca="1">IFERROR(VLOOKUP(P947,OFFSET(abbreviation[],0,ColumnLanguage),ColumnAbbreviation,FALSE),"")</f>
        <v/>
      </c>
      <c r="BQ947" s="21" t="str">
        <f ca="1">IFERROR(VLOOKUP(T947,OFFSET(abbreviation[],0,ColumnLanguage),ColumnAbbreviation,FALSE),"")</f>
        <v/>
      </c>
      <c r="BR947" s="21" t="str">
        <f ca="1">IFERROR(VLOOKUP(V947,OFFSET(abbreviation[],0,ColumnLanguage),ColumnAbbreviation,FALSE),"")</f>
        <v/>
      </c>
      <c r="BS947" s="21" t="str">
        <f ca="1">IFERROR(VLOOKUP(Z947,OFFSET(abbreviation[],0,ColumnLanguage),ColumnAbbreviation,FALSE),"")</f>
        <v/>
      </c>
      <c r="BT947" s="21" t="str">
        <f ca="1">IFERROR(VLOOKUP(AB947,OFFSET(abbreviation[],0,ColumnLanguage),ColumnAbbreviation,FALSE),"")</f>
        <v/>
      </c>
      <c r="BU947" s="21" t="str">
        <f t="shared" ca="1" si="99"/>
        <v>__</v>
      </c>
      <c r="BV947" s="21" t="str">
        <f ca="1">IFERROR(VLOOKUP(AF947,OFFSET(abbreviation[],0,ColumnLanguage),ColumnAbbreviation,FALSE),"")</f>
        <v/>
      </c>
      <c r="BW947" s="21" t="str">
        <f ca="1">IFERROR(VLOOKUP(AH947,OFFSET(abbreviation[],0,ColumnLanguage),ColumnAbbreviation,FALSE),"")</f>
        <v/>
      </c>
      <c r="BX947" s="21" t="str">
        <f ca="1">IFERROR(VLOOKUP(AJ947,OFFSET(abbreviation[],0,ColumnLanguage),ColumnAbbreviation,FALSE),"")</f>
        <v/>
      </c>
      <c r="BY947" s="21" t="str">
        <f ca="1">IFERROR(VLOOKUP(AL947,OFFSET(abbreviation[],0,ColumnLanguage),ColumnAbbreviation,FALSE),"")</f>
        <v/>
      </c>
      <c r="BZ947" s="21" t="str">
        <f t="shared" ca="1" si="100"/>
        <v>_</v>
      </c>
      <c r="CA947" s="21" t="str">
        <f ca="1">IFERROR(VLOOKUP(AP947,OFFSET(abbreviation[],0,ColumnLanguage),ColumnAbbreviation,FALSE),"")</f>
        <v/>
      </c>
      <c r="CB947" s="21" t="str">
        <f ca="1">IFERROR(VLOOKUP(AR947,OFFSET(abbreviation[],0,ColumnLanguage),ColumnAbbreviation,FALSE),"")</f>
        <v/>
      </c>
      <c r="CC947" s="21" t="str">
        <f ca="1">IFERROR(VLOOKUP(AT947,OFFSET(abbreviation[],0,ColumnLanguage),ColumnAbbreviation,FALSE),"")</f>
        <v/>
      </c>
      <c r="CD947" s="21" t="str">
        <f ca="1">IFERROR(VLOOKUP(AV947,OFFSET(abbreviation[],0,ColumnLanguage),ColumnAbbreviation,FALSE),"")</f>
        <v/>
      </c>
      <c r="CE947" s="21" t="str">
        <f t="shared" ca="1" si="101"/>
        <v>__</v>
      </c>
      <c r="CF947" s="21" t="str">
        <f ca="1">IFERROR(VLOOKUP(AX947,OFFSET(abbreviation[],0,ColumnLanguage),ColumnAbbreviation,FALSE),"")</f>
        <v/>
      </c>
      <c r="CG947" s="21" t="str">
        <f ca="1">IFERROR(VLOOKUP(AZ947,OFFSET(abbreviation[],0,ColumnLanguage),ColumnAbbreviation,FALSE),"")</f>
        <v/>
      </c>
      <c r="CH947" s="21" t="str">
        <f ca="1">IFERROR(VLOOKUP(BB947,OFFSET(abbreviation[],0,ColumnLanguage),ColumnAbbreviation,FALSE),"")</f>
        <v/>
      </c>
      <c r="CI947" s="21" t="str">
        <f ca="1">IFERROR(VLOOKUP(BD947,OFFSET(abbreviation[],0,ColumnLanguage),ColumnAbbreviation,FALSE),"")</f>
        <v/>
      </c>
      <c r="CJ947" s="21" t="str">
        <f ca="1">IFERROR(VLOOKUP(BF947,OFFSET(abbreviation[],0,ColumnLanguage),ColumnAbbreviation,FALSE),"")</f>
        <v/>
      </c>
      <c r="CK947" s="21" t="str">
        <f t="shared" ca="1" si="102"/>
        <v/>
      </c>
      <c r="CL947" s="21" t="str">
        <f t="shared" si="103"/>
        <v/>
      </c>
      <c r="CM947" s="52"/>
      <c r="CN947" s="57" t="str">
        <f t="shared" si="104"/>
        <v/>
      </c>
    </row>
    <row r="948" spans="17:92" x14ac:dyDescent="0.25">
      <c r="Q948" s="13"/>
      <c r="AN948" s="54"/>
      <c r="AS948" s="15"/>
      <c r="BH948" s="52"/>
      <c r="BI948" s="21" t="str">
        <f ca="1">IFERROR(VLOOKUP(C948,OFFSET(abbreviation[],0,ColumnLanguage),ColumnAbbreviation,FALSE),"")</f>
        <v/>
      </c>
      <c r="BJ948" s="21" t="str">
        <f ca="1">IFERROR(VLOOKUP(E948,OFFSET(abbreviation[],0,ColumnLanguage),ColumnAbbreviation,FALSE),"")</f>
        <v/>
      </c>
      <c r="BK948" s="21" t="str">
        <f ca="1">IFERROR(VLOOKUP(G948,OFFSET(abbreviation[],0,ColumnLanguage),ColumnAbbreviation,FALSE),"")</f>
        <v/>
      </c>
      <c r="BL948" s="21" t="str">
        <f ca="1">IFERROR(VLOOKUP(I948,OFFSET(abbreviation[],0,ColumnLanguage),ColumnAbbreviation,FALSE),"")</f>
        <v/>
      </c>
      <c r="BM948" s="21" t="str">
        <f ca="1">IFERROR(VLOOKUP(K948,OFFSET(abbreviation[],0,ColumnLanguage),ColumnAbbreviation,FALSE),"")</f>
        <v/>
      </c>
      <c r="BN948" s="21" t="str">
        <f t="shared" ca="1" si="98"/>
        <v/>
      </c>
      <c r="BO948" s="21" t="str">
        <f ca="1">IFERROR(VLOOKUP(N948,OFFSET(abbreviation[],0,ColumnLanguage),ColumnAbbreviation,FALSE),"")</f>
        <v/>
      </c>
      <c r="BP948" s="21" t="str">
        <f ca="1">IFERROR(VLOOKUP(P948,OFFSET(abbreviation[],0,ColumnLanguage),ColumnAbbreviation,FALSE),"")</f>
        <v/>
      </c>
      <c r="BQ948" s="21" t="str">
        <f ca="1">IFERROR(VLOOKUP(T948,OFFSET(abbreviation[],0,ColumnLanguage),ColumnAbbreviation,FALSE),"")</f>
        <v/>
      </c>
      <c r="BR948" s="21" t="str">
        <f ca="1">IFERROR(VLOOKUP(V948,OFFSET(abbreviation[],0,ColumnLanguage),ColumnAbbreviation,FALSE),"")</f>
        <v/>
      </c>
      <c r="BS948" s="21" t="str">
        <f ca="1">IFERROR(VLOOKUP(Z948,OFFSET(abbreviation[],0,ColumnLanguage),ColumnAbbreviation,FALSE),"")</f>
        <v/>
      </c>
      <c r="BT948" s="21" t="str">
        <f ca="1">IFERROR(VLOOKUP(AB948,OFFSET(abbreviation[],0,ColumnLanguage),ColumnAbbreviation,FALSE),"")</f>
        <v/>
      </c>
      <c r="BU948" s="21" t="str">
        <f t="shared" ca="1" si="99"/>
        <v>__</v>
      </c>
      <c r="BV948" s="21" t="str">
        <f ca="1">IFERROR(VLOOKUP(AF948,OFFSET(abbreviation[],0,ColumnLanguage),ColumnAbbreviation,FALSE),"")</f>
        <v/>
      </c>
      <c r="BW948" s="21" t="str">
        <f ca="1">IFERROR(VLOOKUP(AH948,OFFSET(abbreviation[],0,ColumnLanguage),ColumnAbbreviation,FALSE),"")</f>
        <v/>
      </c>
      <c r="BX948" s="21" t="str">
        <f ca="1">IFERROR(VLOOKUP(AJ948,OFFSET(abbreviation[],0,ColumnLanguage),ColumnAbbreviation,FALSE),"")</f>
        <v/>
      </c>
      <c r="BY948" s="21" t="str">
        <f ca="1">IFERROR(VLOOKUP(AL948,OFFSET(abbreviation[],0,ColumnLanguage),ColumnAbbreviation,FALSE),"")</f>
        <v/>
      </c>
      <c r="BZ948" s="21" t="str">
        <f t="shared" ca="1" si="100"/>
        <v>_</v>
      </c>
      <c r="CA948" s="21" t="str">
        <f ca="1">IFERROR(VLOOKUP(AP948,OFFSET(abbreviation[],0,ColumnLanguage),ColumnAbbreviation,FALSE),"")</f>
        <v/>
      </c>
      <c r="CB948" s="21" t="str">
        <f ca="1">IFERROR(VLOOKUP(AR948,OFFSET(abbreviation[],0,ColumnLanguage),ColumnAbbreviation,FALSE),"")</f>
        <v/>
      </c>
      <c r="CC948" s="21" t="str">
        <f ca="1">IFERROR(VLOOKUP(AT948,OFFSET(abbreviation[],0,ColumnLanguage),ColumnAbbreviation,FALSE),"")</f>
        <v/>
      </c>
      <c r="CD948" s="21" t="str">
        <f ca="1">IFERROR(VLOOKUP(AV948,OFFSET(abbreviation[],0,ColumnLanguage),ColumnAbbreviation,FALSE),"")</f>
        <v/>
      </c>
      <c r="CE948" s="21" t="str">
        <f t="shared" ca="1" si="101"/>
        <v>__</v>
      </c>
      <c r="CF948" s="21" t="str">
        <f ca="1">IFERROR(VLOOKUP(AX948,OFFSET(abbreviation[],0,ColumnLanguage),ColumnAbbreviation,FALSE),"")</f>
        <v/>
      </c>
      <c r="CG948" s="21" t="str">
        <f ca="1">IFERROR(VLOOKUP(AZ948,OFFSET(abbreviation[],0,ColumnLanguage),ColumnAbbreviation,FALSE),"")</f>
        <v/>
      </c>
      <c r="CH948" s="21" t="str">
        <f ca="1">IFERROR(VLOOKUP(BB948,OFFSET(abbreviation[],0,ColumnLanguage),ColumnAbbreviation,FALSE),"")</f>
        <v/>
      </c>
      <c r="CI948" s="21" t="str">
        <f ca="1">IFERROR(VLOOKUP(BD948,OFFSET(abbreviation[],0,ColumnLanguage),ColumnAbbreviation,FALSE),"")</f>
        <v/>
      </c>
      <c r="CJ948" s="21" t="str">
        <f ca="1">IFERROR(VLOOKUP(BF948,OFFSET(abbreviation[],0,ColumnLanguage),ColumnAbbreviation,FALSE),"")</f>
        <v/>
      </c>
      <c r="CK948" s="21" t="str">
        <f t="shared" ca="1" si="102"/>
        <v/>
      </c>
      <c r="CL948" s="21" t="str">
        <f t="shared" si="103"/>
        <v/>
      </c>
      <c r="CM948" s="52"/>
      <c r="CN948" s="57" t="str">
        <f t="shared" si="104"/>
        <v/>
      </c>
    </row>
    <row r="949" spans="17:92" x14ac:dyDescent="0.25">
      <c r="Q949" s="13"/>
      <c r="AN949" s="54"/>
      <c r="AS949" s="15"/>
      <c r="BH949" s="52"/>
      <c r="BI949" s="21" t="str">
        <f ca="1">IFERROR(VLOOKUP(C949,OFFSET(abbreviation[],0,ColumnLanguage),ColumnAbbreviation,FALSE),"")</f>
        <v/>
      </c>
      <c r="BJ949" s="21" t="str">
        <f ca="1">IFERROR(VLOOKUP(E949,OFFSET(abbreviation[],0,ColumnLanguage),ColumnAbbreviation,FALSE),"")</f>
        <v/>
      </c>
      <c r="BK949" s="21" t="str">
        <f ca="1">IFERROR(VLOOKUP(G949,OFFSET(abbreviation[],0,ColumnLanguage),ColumnAbbreviation,FALSE),"")</f>
        <v/>
      </c>
      <c r="BL949" s="21" t="str">
        <f ca="1">IFERROR(VLOOKUP(I949,OFFSET(abbreviation[],0,ColumnLanguage),ColumnAbbreviation,FALSE),"")</f>
        <v/>
      </c>
      <c r="BM949" s="21" t="str">
        <f ca="1">IFERROR(VLOOKUP(K949,OFFSET(abbreviation[],0,ColumnLanguage),ColumnAbbreviation,FALSE),"")</f>
        <v/>
      </c>
      <c r="BN949" s="21" t="str">
        <f t="shared" ca="1" si="98"/>
        <v/>
      </c>
      <c r="BO949" s="21" t="str">
        <f ca="1">IFERROR(VLOOKUP(N949,OFFSET(abbreviation[],0,ColumnLanguage),ColumnAbbreviation,FALSE),"")</f>
        <v/>
      </c>
      <c r="BP949" s="21" t="str">
        <f ca="1">IFERROR(VLOOKUP(P949,OFFSET(abbreviation[],0,ColumnLanguage),ColumnAbbreviation,FALSE),"")</f>
        <v/>
      </c>
      <c r="BQ949" s="21" t="str">
        <f ca="1">IFERROR(VLOOKUP(T949,OFFSET(abbreviation[],0,ColumnLanguage),ColumnAbbreviation,FALSE),"")</f>
        <v/>
      </c>
      <c r="BR949" s="21" t="str">
        <f ca="1">IFERROR(VLOOKUP(V949,OFFSET(abbreviation[],0,ColumnLanguage),ColumnAbbreviation,FALSE),"")</f>
        <v/>
      </c>
      <c r="BS949" s="21" t="str">
        <f ca="1">IFERROR(VLOOKUP(Z949,OFFSET(abbreviation[],0,ColumnLanguage),ColumnAbbreviation,FALSE),"")</f>
        <v/>
      </c>
      <c r="BT949" s="21" t="str">
        <f ca="1">IFERROR(VLOOKUP(AB949,OFFSET(abbreviation[],0,ColumnLanguage),ColumnAbbreviation,FALSE),"")</f>
        <v/>
      </c>
      <c r="BU949" s="21" t="str">
        <f t="shared" ca="1" si="99"/>
        <v>__</v>
      </c>
      <c r="BV949" s="21" t="str">
        <f ca="1">IFERROR(VLOOKUP(AF949,OFFSET(abbreviation[],0,ColumnLanguage),ColumnAbbreviation,FALSE),"")</f>
        <v/>
      </c>
      <c r="BW949" s="21" t="str">
        <f ca="1">IFERROR(VLOOKUP(AH949,OFFSET(abbreviation[],0,ColumnLanguage),ColumnAbbreviation,FALSE),"")</f>
        <v/>
      </c>
      <c r="BX949" s="21" t="str">
        <f ca="1">IFERROR(VLOOKUP(AJ949,OFFSET(abbreviation[],0,ColumnLanguage),ColumnAbbreviation,FALSE),"")</f>
        <v/>
      </c>
      <c r="BY949" s="21" t="str">
        <f ca="1">IFERROR(VLOOKUP(AL949,OFFSET(abbreviation[],0,ColumnLanguage),ColumnAbbreviation,FALSE),"")</f>
        <v/>
      </c>
      <c r="BZ949" s="21" t="str">
        <f t="shared" ca="1" si="100"/>
        <v>_</v>
      </c>
      <c r="CA949" s="21" t="str">
        <f ca="1">IFERROR(VLOOKUP(AP949,OFFSET(abbreviation[],0,ColumnLanguage),ColumnAbbreviation,FALSE),"")</f>
        <v/>
      </c>
      <c r="CB949" s="21" t="str">
        <f ca="1">IFERROR(VLOOKUP(AR949,OFFSET(abbreviation[],0,ColumnLanguage),ColumnAbbreviation,FALSE),"")</f>
        <v/>
      </c>
      <c r="CC949" s="21" t="str">
        <f ca="1">IFERROR(VLOOKUP(AT949,OFFSET(abbreviation[],0,ColumnLanguage),ColumnAbbreviation,FALSE),"")</f>
        <v/>
      </c>
      <c r="CD949" s="21" t="str">
        <f ca="1">IFERROR(VLOOKUP(AV949,OFFSET(abbreviation[],0,ColumnLanguage),ColumnAbbreviation,FALSE),"")</f>
        <v/>
      </c>
      <c r="CE949" s="21" t="str">
        <f t="shared" ca="1" si="101"/>
        <v>__</v>
      </c>
      <c r="CF949" s="21" t="str">
        <f ca="1">IFERROR(VLOOKUP(AX949,OFFSET(abbreviation[],0,ColumnLanguage),ColumnAbbreviation,FALSE),"")</f>
        <v/>
      </c>
      <c r="CG949" s="21" t="str">
        <f ca="1">IFERROR(VLOOKUP(AZ949,OFFSET(abbreviation[],0,ColumnLanguage),ColumnAbbreviation,FALSE),"")</f>
        <v/>
      </c>
      <c r="CH949" s="21" t="str">
        <f ca="1">IFERROR(VLOOKUP(BB949,OFFSET(abbreviation[],0,ColumnLanguage),ColumnAbbreviation,FALSE),"")</f>
        <v/>
      </c>
      <c r="CI949" s="21" t="str">
        <f ca="1">IFERROR(VLOOKUP(BD949,OFFSET(abbreviation[],0,ColumnLanguage),ColumnAbbreviation,FALSE),"")</f>
        <v/>
      </c>
      <c r="CJ949" s="21" t="str">
        <f ca="1">IFERROR(VLOOKUP(BF949,OFFSET(abbreviation[],0,ColumnLanguage),ColumnAbbreviation,FALSE),"")</f>
        <v/>
      </c>
      <c r="CK949" s="21" t="str">
        <f t="shared" ca="1" si="102"/>
        <v/>
      </c>
      <c r="CL949" s="21" t="str">
        <f t="shared" si="103"/>
        <v/>
      </c>
      <c r="CM949" s="52"/>
      <c r="CN949" s="57" t="str">
        <f t="shared" si="104"/>
        <v/>
      </c>
    </row>
    <row r="950" spans="17:92" x14ac:dyDescent="0.25">
      <c r="Q950" s="13"/>
      <c r="AN950" s="54"/>
      <c r="AS950" s="15"/>
      <c r="BH950" s="52"/>
      <c r="BI950" s="21" t="str">
        <f ca="1">IFERROR(VLOOKUP(C950,OFFSET(abbreviation[],0,ColumnLanguage),ColumnAbbreviation,FALSE),"")</f>
        <v/>
      </c>
      <c r="BJ950" s="21" t="str">
        <f ca="1">IFERROR(VLOOKUP(E950,OFFSET(abbreviation[],0,ColumnLanguage),ColumnAbbreviation,FALSE),"")</f>
        <v/>
      </c>
      <c r="BK950" s="21" t="str">
        <f ca="1">IFERROR(VLOOKUP(G950,OFFSET(abbreviation[],0,ColumnLanguage),ColumnAbbreviation,FALSE),"")</f>
        <v/>
      </c>
      <c r="BL950" s="21" t="str">
        <f ca="1">IFERROR(VLOOKUP(I950,OFFSET(abbreviation[],0,ColumnLanguage),ColumnAbbreviation,FALSE),"")</f>
        <v/>
      </c>
      <c r="BM950" s="21" t="str">
        <f ca="1">IFERROR(VLOOKUP(K950,OFFSET(abbreviation[],0,ColumnLanguage),ColumnAbbreviation,FALSE),"")</f>
        <v/>
      </c>
      <c r="BN950" s="21" t="str">
        <f t="shared" ca="1" si="98"/>
        <v/>
      </c>
      <c r="BO950" s="21" t="str">
        <f ca="1">IFERROR(VLOOKUP(N950,OFFSET(abbreviation[],0,ColumnLanguage),ColumnAbbreviation,FALSE),"")</f>
        <v/>
      </c>
      <c r="BP950" s="21" t="str">
        <f ca="1">IFERROR(VLOOKUP(P950,OFFSET(abbreviation[],0,ColumnLanguage),ColumnAbbreviation,FALSE),"")</f>
        <v/>
      </c>
      <c r="BQ950" s="21" t="str">
        <f ca="1">IFERROR(VLOOKUP(T950,OFFSET(abbreviation[],0,ColumnLanguage),ColumnAbbreviation,FALSE),"")</f>
        <v/>
      </c>
      <c r="BR950" s="21" t="str">
        <f ca="1">IFERROR(VLOOKUP(V950,OFFSET(abbreviation[],0,ColumnLanguage),ColumnAbbreviation,FALSE),"")</f>
        <v/>
      </c>
      <c r="BS950" s="21" t="str">
        <f ca="1">IFERROR(VLOOKUP(Z950,OFFSET(abbreviation[],0,ColumnLanguage),ColumnAbbreviation,FALSE),"")</f>
        <v/>
      </c>
      <c r="BT950" s="21" t="str">
        <f ca="1">IFERROR(VLOOKUP(AB950,OFFSET(abbreviation[],0,ColumnLanguage),ColumnAbbreviation,FALSE),"")</f>
        <v/>
      </c>
      <c r="BU950" s="21" t="str">
        <f t="shared" ca="1" si="99"/>
        <v>__</v>
      </c>
      <c r="BV950" s="21" t="str">
        <f ca="1">IFERROR(VLOOKUP(AF950,OFFSET(abbreviation[],0,ColumnLanguage),ColumnAbbreviation,FALSE),"")</f>
        <v/>
      </c>
      <c r="BW950" s="21" t="str">
        <f ca="1">IFERROR(VLOOKUP(AH950,OFFSET(abbreviation[],0,ColumnLanguage),ColumnAbbreviation,FALSE),"")</f>
        <v/>
      </c>
      <c r="BX950" s="21" t="str">
        <f ca="1">IFERROR(VLOOKUP(AJ950,OFFSET(abbreviation[],0,ColumnLanguage),ColumnAbbreviation,FALSE),"")</f>
        <v/>
      </c>
      <c r="BY950" s="21" t="str">
        <f ca="1">IFERROR(VLOOKUP(AL950,OFFSET(abbreviation[],0,ColumnLanguage),ColumnAbbreviation,FALSE),"")</f>
        <v/>
      </c>
      <c r="BZ950" s="21" t="str">
        <f t="shared" ca="1" si="100"/>
        <v>_</v>
      </c>
      <c r="CA950" s="21" t="str">
        <f ca="1">IFERROR(VLOOKUP(AP950,OFFSET(abbreviation[],0,ColumnLanguage),ColumnAbbreviation,FALSE),"")</f>
        <v/>
      </c>
      <c r="CB950" s="21" t="str">
        <f ca="1">IFERROR(VLOOKUP(AR950,OFFSET(abbreviation[],0,ColumnLanguage),ColumnAbbreviation,FALSE),"")</f>
        <v/>
      </c>
      <c r="CC950" s="21" t="str">
        <f ca="1">IFERROR(VLOOKUP(AT950,OFFSET(abbreviation[],0,ColumnLanguage),ColumnAbbreviation,FALSE),"")</f>
        <v/>
      </c>
      <c r="CD950" s="21" t="str">
        <f ca="1">IFERROR(VLOOKUP(AV950,OFFSET(abbreviation[],0,ColumnLanguage),ColumnAbbreviation,FALSE),"")</f>
        <v/>
      </c>
      <c r="CE950" s="21" t="str">
        <f t="shared" ca="1" si="101"/>
        <v>__</v>
      </c>
      <c r="CF950" s="21" t="str">
        <f ca="1">IFERROR(VLOOKUP(AX950,OFFSET(abbreviation[],0,ColumnLanguage),ColumnAbbreviation,FALSE),"")</f>
        <v/>
      </c>
      <c r="CG950" s="21" t="str">
        <f ca="1">IFERROR(VLOOKUP(AZ950,OFFSET(abbreviation[],0,ColumnLanguage),ColumnAbbreviation,FALSE),"")</f>
        <v/>
      </c>
      <c r="CH950" s="21" t="str">
        <f ca="1">IFERROR(VLOOKUP(BB950,OFFSET(abbreviation[],0,ColumnLanguage),ColumnAbbreviation,FALSE),"")</f>
        <v/>
      </c>
      <c r="CI950" s="21" t="str">
        <f ca="1">IFERROR(VLOOKUP(BD950,OFFSET(abbreviation[],0,ColumnLanguage),ColumnAbbreviation,FALSE),"")</f>
        <v/>
      </c>
      <c r="CJ950" s="21" t="str">
        <f ca="1">IFERROR(VLOOKUP(BF950,OFFSET(abbreviation[],0,ColumnLanguage),ColumnAbbreviation,FALSE),"")</f>
        <v/>
      </c>
      <c r="CK950" s="21" t="str">
        <f t="shared" ca="1" si="102"/>
        <v/>
      </c>
      <c r="CL950" s="21" t="str">
        <f t="shared" si="103"/>
        <v/>
      </c>
      <c r="CM950" s="52"/>
      <c r="CN950" s="57" t="str">
        <f t="shared" si="104"/>
        <v/>
      </c>
    </row>
    <row r="951" spans="17:92" x14ac:dyDescent="0.25">
      <c r="Q951" s="13"/>
      <c r="AN951" s="54"/>
      <c r="AS951" s="15"/>
      <c r="BH951" s="52"/>
      <c r="BI951" s="21" t="str">
        <f ca="1">IFERROR(VLOOKUP(C951,OFFSET(abbreviation[],0,ColumnLanguage),ColumnAbbreviation,FALSE),"")</f>
        <v/>
      </c>
      <c r="BJ951" s="21" t="str">
        <f ca="1">IFERROR(VLOOKUP(E951,OFFSET(abbreviation[],0,ColumnLanguage),ColumnAbbreviation,FALSE),"")</f>
        <v/>
      </c>
      <c r="BK951" s="21" t="str">
        <f ca="1">IFERROR(VLOOKUP(G951,OFFSET(abbreviation[],0,ColumnLanguage),ColumnAbbreviation,FALSE),"")</f>
        <v/>
      </c>
      <c r="BL951" s="21" t="str">
        <f ca="1">IFERROR(VLOOKUP(I951,OFFSET(abbreviation[],0,ColumnLanguage),ColumnAbbreviation,FALSE),"")</f>
        <v/>
      </c>
      <c r="BM951" s="21" t="str">
        <f ca="1">IFERROR(VLOOKUP(K951,OFFSET(abbreviation[],0,ColumnLanguage),ColumnAbbreviation,FALSE),"")</f>
        <v/>
      </c>
      <c r="BN951" s="21" t="str">
        <f t="shared" ca="1" si="98"/>
        <v/>
      </c>
      <c r="BO951" s="21" t="str">
        <f ca="1">IFERROR(VLOOKUP(N951,OFFSET(abbreviation[],0,ColumnLanguage),ColumnAbbreviation,FALSE),"")</f>
        <v/>
      </c>
      <c r="BP951" s="21" t="str">
        <f ca="1">IFERROR(VLOOKUP(P951,OFFSET(abbreviation[],0,ColumnLanguage),ColumnAbbreviation,FALSE),"")</f>
        <v/>
      </c>
      <c r="BQ951" s="21" t="str">
        <f ca="1">IFERROR(VLOOKUP(T951,OFFSET(abbreviation[],0,ColumnLanguage),ColumnAbbreviation,FALSE),"")</f>
        <v/>
      </c>
      <c r="BR951" s="21" t="str">
        <f ca="1">IFERROR(VLOOKUP(V951,OFFSET(abbreviation[],0,ColumnLanguage),ColumnAbbreviation,FALSE),"")</f>
        <v/>
      </c>
      <c r="BS951" s="21" t="str">
        <f ca="1">IFERROR(VLOOKUP(Z951,OFFSET(abbreviation[],0,ColumnLanguage),ColumnAbbreviation,FALSE),"")</f>
        <v/>
      </c>
      <c r="BT951" s="21" t="str">
        <f ca="1">IFERROR(VLOOKUP(AB951,OFFSET(abbreviation[],0,ColumnLanguage),ColumnAbbreviation,FALSE),"")</f>
        <v/>
      </c>
      <c r="BU951" s="21" t="str">
        <f t="shared" ca="1" si="99"/>
        <v>__</v>
      </c>
      <c r="BV951" s="21" t="str">
        <f ca="1">IFERROR(VLOOKUP(AF951,OFFSET(abbreviation[],0,ColumnLanguage),ColumnAbbreviation,FALSE),"")</f>
        <v/>
      </c>
      <c r="BW951" s="21" t="str">
        <f ca="1">IFERROR(VLOOKUP(AH951,OFFSET(abbreviation[],0,ColumnLanguage),ColumnAbbreviation,FALSE),"")</f>
        <v/>
      </c>
      <c r="BX951" s="21" t="str">
        <f ca="1">IFERROR(VLOOKUP(AJ951,OFFSET(abbreviation[],0,ColumnLanguage),ColumnAbbreviation,FALSE),"")</f>
        <v/>
      </c>
      <c r="BY951" s="21" t="str">
        <f ca="1">IFERROR(VLOOKUP(AL951,OFFSET(abbreviation[],0,ColumnLanguage),ColumnAbbreviation,FALSE),"")</f>
        <v/>
      </c>
      <c r="BZ951" s="21" t="str">
        <f t="shared" ca="1" si="100"/>
        <v>_</v>
      </c>
      <c r="CA951" s="21" t="str">
        <f ca="1">IFERROR(VLOOKUP(AP951,OFFSET(abbreviation[],0,ColumnLanguage),ColumnAbbreviation,FALSE),"")</f>
        <v/>
      </c>
      <c r="CB951" s="21" t="str">
        <f ca="1">IFERROR(VLOOKUP(AR951,OFFSET(abbreviation[],0,ColumnLanguage),ColumnAbbreviation,FALSE),"")</f>
        <v/>
      </c>
      <c r="CC951" s="21" t="str">
        <f ca="1">IFERROR(VLOOKUP(AT951,OFFSET(abbreviation[],0,ColumnLanguage),ColumnAbbreviation,FALSE),"")</f>
        <v/>
      </c>
      <c r="CD951" s="21" t="str">
        <f ca="1">IFERROR(VLOOKUP(AV951,OFFSET(abbreviation[],0,ColumnLanguage),ColumnAbbreviation,FALSE),"")</f>
        <v/>
      </c>
      <c r="CE951" s="21" t="str">
        <f t="shared" ca="1" si="101"/>
        <v>__</v>
      </c>
      <c r="CF951" s="21" t="str">
        <f ca="1">IFERROR(VLOOKUP(AX951,OFFSET(abbreviation[],0,ColumnLanguage),ColumnAbbreviation,FALSE),"")</f>
        <v/>
      </c>
      <c r="CG951" s="21" t="str">
        <f ca="1">IFERROR(VLOOKUP(AZ951,OFFSET(abbreviation[],0,ColumnLanguage),ColumnAbbreviation,FALSE),"")</f>
        <v/>
      </c>
      <c r="CH951" s="21" t="str">
        <f ca="1">IFERROR(VLOOKUP(BB951,OFFSET(abbreviation[],0,ColumnLanguage),ColumnAbbreviation,FALSE),"")</f>
        <v/>
      </c>
      <c r="CI951" s="21" t="str">
        <f ca="1">IFERROR(VLOOKUP(BD951,OFFSET(abbreviation[],0,ColumnLanguage),ColumnAbbreviation,FALSE),"")</f>
        <v/>
      </c>
      <c r="CJ951" s="21" t="str">
        <f ca="1">IFERROR(VLOOKUP(BF951,OFFSET(abbreviation[],0,ColumnLanguage),ColumnAbbreviation,FALSE),"")</f>
        <v/>
      </c>
      <c r="CK951" s="21" t="str">
        <f t="shared" ca="1" si="102"/>
        <v/>
      </c>
      <c r="CL951" s="21" t="str">
        <f t="shared" si="103"/>
        <v/>
      </c>
      <c r="CM951" s="52"/>
      <c r="CN951" s="57" t="str">
        <f t="shared" si="104"/>
        <v/>
      </c>
    </row>
    <row r="952" spans="17:92" x14ac:dyDescent="0.25">
      <c r="Q952" s="13"/>
      <c r="AN952" s="54"/>
      <c r="AS952" s="15"/>
      <c r="BH952" s="52"/>
      <c r="BI952" s="21" t="str">
        <f ca="1">IFERROR(VLOOKUP(C952,OFFSET(abbreviation[],0,ColumnLanguage),ColumnAbbreviation,FALSE),"")</f>
        <v/>
      </c>
      <c r="BJ952" s="21" t="str">
        <f ca="1">IFERROR(VLOOKUP(E952,OFFSET(abbreviation[],0,ColumnLanguage),ColumnAbbreviation,FALSE),"")</f>
        <v/>
      </c>
      <c r="BK952" s="21" t="str">
        <f ca="1">IFERROR(VLOOKUP(G952,OFFSET(abbreviation[],0,ColumnLanguage),ColumnAbbreviation,FALSE),"")</f>
        <v/>
      </c>
      <c r="BL952" s="21" t="str">
        <f ca="1">IFERROR(VLOOKUP(I952,OFFSET(abbreviation[],0,ColumnLanguage),ColumnAbbreviation,FALSE),"")</f>
        <v/>
      </c>
      <c r="BM952" s="21" t="str">
        <f ca="1">IFERROR(VLOOKUP(K952,OFFSET(abbreviation[],0,ColumnLanguage),ColumnAbbreviation,FALSE),"")</f>
        <v/>
      </c>
      <c r="BN952" s="21" t="str">
        <f t="shared" ca="1" si="98"/>
        <v/>
      </c>
      <c r="BO952" s="21" t="str">
        <f ca="1">IFERROR(VLOOKUP(N952,OFFSET(abbreviation[],0,ColumnLanguage),ColumnAbbreviation,FALSE),"")</f>
        <v/>
      </c>
      <c r="BP952" s="21" t="str">
        <f ca="1">IFERROR(VLOOKUP(P952,OFFSET(abbreviation[],0,ColumnLanguage),ColumnAbbreviation,FALSE),"")</f>
        <v/>
      </c>
      <c r="BQ952" s="21" t="str">
        <f ca="1">IFERROR(VLOOKUP(T952,OFFSET(abbreviation[],0,ColumnLanguage),ColumnAbbreviation,FALSE),"")</f>
        <v/>
      </c>
      <c r="BR952" s="21" t="str">
        <f ca="1">IFERROR(VLOOKUP(V952,OFFSET(abbreviation[],0,ColumnLanguage),ColumnAbbreviation,FALSE),"")</f>
        <v/>
      </c>
      <c r="BS952" s="21" t="str">
        <f ca="1">IFERROR(VLOOKUP(Z952,OFFSET(abbreviation[],0,ColumnLanguage),ColumnAbbreviation,FALSE),"")</f>
        <v/>
      </c>
      <c r="BT952" s="21" t="str">
        <f ca="1">IFERROR(VLOOKUP(AB952,OFFSET(abbreviation[],0,ColumnLanguage),ColumnAbbreviation,FALSE),"")</f>
        <v/>
      </c>
      <c r="BU952" s="21" t="str">
        <f t="shared" ca="1" si="99"/>
        <v>__</v>
      </c>
      <c r="BV952" s="21" t="str">
        <f ca="1">IFERROR(VLOOKUP(AF952,OFFSET(abbreviation[],0,ColumnLanguage),ColumnAbbreviation,FALSE),"")</f>
        <v/>
      </c>
      <c r="BW952" s="21" t="str">
        <f ca="1">IFERROR(VLOOKUP(AH952,OFFSET(abbreviation[],0,ColumnLanguage),ColumnAbbreviation,FALSE),"")</f>
        <v/>
      </c>
      <c r="BX952" s="21" t="str">
        <f ca="1">IFERROR(VLOOKUP(AJ952,OFFSET(abbreviation[],0,ColumnLanguage),ColumnAbbreviation,FALSE),"")</f>
        <v/>
      </c>
      <c r="BY952" s="21" t="str">
        <f ca="1">IFERROR(VLOOKUP(AL952,OFFSET(abbreviation[],0,ColumnLanguage),ColumnAbbreviation,FALSE),"")</f>
        <v/>
      </c>
      <c r="BZ952" s="21" t="str">
        <f t="shared" ca="1" si="100"/>
        <v>_</v>
      </c>
      <c r="CA952" s="21" t="str">
        <f ca="1">IFERROR(VLOOKUP(AP952,OFFSET(abbreviation[],0,ColumnLanguage),ColumnAbbreviation,FALSE),"")</f>
        <v/>
      </c>
      <c r="CB952" s="21" t="str">
        <f ca="1">IFERROR(VLOOKUP(AR952,OFFSET(abbreviation[],0,ColumnLanguage),ColumnAbbreviation,FALSE),"")</f>
        <v/>
      </c>
      <c r="CC952" s="21" t="str">
        <f ca="1">IFERROR(VLOOKUP(AT952,OFFSET(abbreviation[],0,ColumnLanguage),ColumnAbbreviation,FALSE),"")</f>
        <v/>
      </c>
      <c r="CD952" s="21" t="str">
        <f ca="1">IFERROR(VLOOKUP(AV952,OFFSET(abbreviation[],0,ColumnLanguage),ColumnAbbreviation,FALSE),"")</f>
        <v/>
      </c>
      <c r="CE952" s="21" t="str">
        <f t="shared" ca="1" si="101"/>
        <v>__</v>
      </c>
      <c r="CF952" s="21" t="str">
        <f ca="1">IFERROR(VLOOKUP(AX952,OFFSET(abbreviation[],0,ColumnLanguage),ColumnAbbreviation,FALSE),"")</f>
        <v/>
      </c>
      <c r="CG952" s="21" t="str">
        <f ca="1">IFERROR(VLOOKUP(AZ952,OFFSET(abbreviation[],0,ColumnLanguage),ColumnAbbreviation,FALSE),"")</f>
        <v/>
      </c>
      <c r="CH952" s="21" t="str">
        <f ca="1">IFERROR(VLOOKUP(BB952,OFFSET(abbreviation[],0,ColumnLanguage),ColumnAbbreviation,FALSE),"")</f>
        <v/>
      </c>
      <c r="CI952" s="21" t="str">
        <f ca="1">IFERROR(VLOOKUP(BD952,OFFSET(abbreviation[],0,ColumnLanguage),ColumnAbbreviation,FALSE),"")</f>
        <v/>
      </c>
      <c r="CJ952" s="21" t="str">
        <f ca="1">IFERROR(VLOOKUP(BF952,OFFSET(abbreviation[],0,ColumnLanguage),ColumnAbbreviation,FALSE),"")</f>
        <v/>
      </c>
      <c r="CK952" s="21" t="str">
        <f t="shared" ca="1" si="102"/>
        <v/>
      </c>
      <c r="CL952" s="21" t="str">
        <f t="shared" si="103"/>
        <v/>
      </c>
      <c r="CM952" s="52"/>
      <c r="CN952" s="57" t="str">
        <f t="shared" si="104"/>
        <v/>
      </c>
    </row>
    <row r="953" spans="17:92" x14ac:dyDescent="0.25">
      <c r="Q953" s="13"/>
      <c r="AN953" s="54"/>
      <c r="AS953" s="15"/>
      <c r="BH953" s="52"/>
      <c r="BI953" s="21" t="str">
        <f ca="1">IFERROR(VLOOKUP(C953,OFFSET(abbreviation[],0,ColumnLanguage),ColumnAbbreviation,FALSE),"")</f>
        <v/>
      </c>
      <c r="BJ953" s="21" t="str">
        <f ca="1">IFERROR(VLOOKUP(E953,OFFSET(abbreviation[],0,ColumnLanguage),ColumnAbbreviation,FALSE),"")</f>
        <v/>
      </c>
      <c r="BK953" s="21" t="str">
        <f ca="1">IFERROR(VLOOKUP(G953,OFFSET(abbreviation[],0,ColumnLanguage),ColumnAbbreviation,FALSE),"")</f>
        <v/>
      </c>
      <c r="BL953" s="21" t="str">
        <f ca="1">IFERROR(VLOOKUP(I953,OFFSET(abbreviation[],0,ColumnLanguage),ColumnAbbreviation,FALSE),"")</f>
        <v/>
      </c>
      <c r="BM953" s="21" t="str">
        <f ca="1">IFERROR(VLOOKUP(K953,OFFSET(abbreviation[],0,ColumnLanguage),ColumnAbbreviation,FALSE),"")</f>
        <v/>
      </c>
      <c r="BN953" s="21" t="str">
        <f t="shared" ca="1" si="98"/>
        <v/>
      </c>
      <c r="BO953" s="21" t="str">
        <f ca="1">IFERROR(VLOOKUP(N953,OFFSET(abbreviation[],0,ColumnLanguage),ColumnAbbreviation,FALSE),"")</f>
        <v/>
      </c>
      <c r="BP953" s="21" t="str">
        <f ca="1">IFERROR(VLOOKUP(P953,OFFSET(abbreviation[],0,ColumnLanguage),ColumnAbbreviation,FALSE),"")</f>
        <v/>
      </c>
      <c r="BQ953" s="21" t="str">
        <f ca="1">IFERROR(VLOOKUP(T953,OFFSET(abbreviation[],0,ColumnLanguage),ColumnAbbreviation,FALSE),"")</f>
        <v/>
      </c>
      <c r="BR953" s="21" t="str">
        <f ca="1">IFERROR(VLOOKUP(V953,OFFSET(abbreviation[],0,ColumnLanguage),ColumnAbbreviation,FALSE),"")</f>
        <v/>
      </c>
      <c r="BS953" s="21" t="str">
        <f ca="1">IFERROR(VLOOKUP(Z953,OFFSET(abbreviation[],0,ColumnLanguage),ColumnAbbreviation,FALSE),"")</f>
        <v/>
      </c>
      <c r="BT953" s="21" t="str">
        <f ca="1">IFERROR(VLOOKUP(AB953,OFFSET(abbreviation[],0,ColumnLanguage),ColumnAbbreviation,FALSE),"")</f>
        <v/>
      </c>
      <c r="BU953" s="21" t="str">
        <f t="shared" ca="1" si="99"/>
        <v>__</v>
      </c>
      <c r="BV953" s="21" t="str">
        <f ca="1">IFERROR(VLOOKUP(AF953,OFFSET(abbreviation[],0,ColumnLanguage),ColumnAbbreviation,FALSE),"")</f>
        <v/>
      </c>
      <c r="BW953" s="21" t="str">
        <f ca="1">IFERROR(VLOOKUP(AH953,OFFSET(abbreviation[],0,ColumnLanguage),ColumnAbbreviation,FALSE),"")</f>
        <v/>
      </c>
      <c r="BX953" s="21" t="str">
        <f ca="1">IFERROR(VLOOKUP(AJ953,OFFSET(abbreviation[],0,ColumnLanguage),ColumnAbbreviation,FALSE),"")</f>
        <v/>
      </c>
      <c r="BY953" s="21" t="str">
        <f ca="1">IFERROR(VLOOKUP(AL953,OFFSET(abbreviation[],0,ColumnLanguage),ColumnAbbreviation,FALSE),"")</f>
        <v/>
      </c>
      <c r="BZ953" s="21" t="str">
        <f t="shared" ca="1" si="100"/>
        <v>_</v>
      </c>
      <c r="CA953" s="21" t="str">
        <f ca="1">IFERROR(VLOOKUP(AP953,OFFSET(abbreviation[],0,ColumnLanguage),ColumnAbbreviation,FALSE),"")</f>
        <v/>
      </c>
      <c r="CB953" s="21" t="str">
        <f ca="1">IFERROR(VLOOKUP(AR953,OFFSET(abbreviation[],0,ColumnLanguage),ColumnAbbreviation,FALSE),"")</f>
        <v/>
      </c>
      <c r="CC953" s="21" t="str">
        <f ca="1">IFERROR(VLOOKUP(AT953,OFFSET(abbreviation[],0,ColumnLanguage),ColumnAbbreviation,FALSE),"")</f>
        <v/>
      </c>
      <c r="CD953" s="21" t="str">
        <f ca="1">IFERROR(VLOOKUP(AV953,OFFSET(abbreviation[],0,ColumnLanguage),ColumnAbbreviation,FALSE),"")</f>
        <v/>
      </c>
      <c r="CE953" s="21" t="str">
        <f t="shared" ca="1" si="101"/>
        <v>__</v>
      </c>
      <c r="CF953" s="21" t="str">
        <f ca="1">IFERROR(VLOOKUP(AX953,OFFSET(abbreviation[],0,ColumnLanguage),ColumnAbbreviation,FALSE),"")</f>
        <v/>
      </c>
      <c r="CG953" s="21" t="str">
        <f ca="1">IFERROR(VLOOKUP(AZ953,OFFSET(abbreviation[],0,ColumnLanguage),ColumnAbbreviation,FALSE),"")</f>
        <v/>
      </c>
      <c r="CH953" s="21" t="str">
        <f ca="1">IFERROR(VLOOKUP(BB953,OFFSET(abbreviation[],0,ColumnLanguage),ColumnAbbreviation,FALSE),"")</f>
        <v/>
      </c>
      <c r="CI953" s="21" t="str">
        <f ca="1">IFERROR(VLOOKUP(BD953,OFFSET(abbreviation[],0,ColumnLanguage),ColumnAbbreviation,FALSE),"")</f>
        <v/>
      </c>
      <c r="CJ953" s="21" t="str">
        <f ca="1">IFERROR(VLOOKUP(BF953,OFFSET(abbreviation[],0,ColumnLanguage),ColumnAbbreviation,FALSE),"")</f>
        <v/>
      </c>
      <c r="CK953" s="21" t="str">
        <f t="shared" ca="1" si="102"/>
        <v/>
      </c>
      <c r="CL953" s="21" t="str">
        <f t="shared" si="103"/>
        <v/>
      </c>
      <c r="CM953" s="52"/>
      <c r="CN953" s="57" t="str">
        <f t="shared" si="104"/>
        <v/>
      </c>
    </row>
    <row r="954" spans="17:92" x14ac:dyDescent="0.25">
      <c r="Q954" s="13"/>
      <c r="AN954" s="54"/>
      <c r="AS954" s="15"/>
      <c r="BH954" s="52"/>
      <c r="BI954" s="21" t="str">
        <f ca="1">IFERROR(VLOOKUP(C954,OFFSET(abbreviation[],0,ColumnLanguage),ColumnAbbreviation,FALSE),"")</f>
        <v/>
      </c>
      <c r="BJ954" s="21" t="str">
        <f ca="1">IFERROR(VLOOKUP(E954,OFFSET(abbreviation[],0,ColumnLanguage),ColumnAbbreviation,FALSE),"")</f>
        <v/>
      </c>
      <c r="BK954" s="21" t="str">
        <f ca="1">IFERROR(VLOOKUP(G954,OFFSET(abbreviation[],0,ColumnLanguage),ColumnAbbreviation,FALSE),"")</f>
        <v/>
      </c>
      <c r="BL954" s="21" t="str">
        <f ca="1">IFERROR(VLOOKUP(I954,OFFSET(abbreviation[],0,ColumnLanguage),ColumnAbbreviation,FALSE),"")</f>
        <v/>
      </c>
      <c r="BM954" s="21" t="str">
        <f ca="1">IFERROR(VLOOKUP(K954,OFFSET(abbreviation[],0,ColumnLanguage),ColumnAbbreviation,FALSE),"")</f>
        <v/>
      </c>
      <c r="BN954" s="21" t="str">
        <f t="shared" ca="1" si="98"/>
        <v/>
      </c>
      <c r="BO954" s="21" t="str">
        <f ca="1">IFERROR(VLOOKUP(N954,OFFSET(abbreviation[],0,ColumnLanguage),ColumnAbbreviation,FALSE),"")</f>
        <v/>
      </c>
      <c r="BP954" s="21" t="str">
        <f ca="1">IFERROR(VLOOKUP(P954,OFFSET(abbreviation[],0,ColumnLanguage),ColumnAbbreviation,FALSE),"")</f>
        <v/>
      </c>
      <c r="BQ954" s="21" t="str">
        <f ca="1">IFERROR(VLOOKUP(T954,OFFSET(abbreviation[],0,ColumnLanguage),ColumnAbbreviation,FALSE),"")</f>
        <v/>
      </c>
      <c r="BR954" s="21" t="str">
        <f ca="1">IFERROR(VLOOKUP(V954,OFFSET(abbreviation[],0,ColumnLanguage),ColumnAbbreviation,FALSE),"")</f>
        <v/>
      </c>
      <c r="BS954" s="21" t="str">
        <f ca="1">IFERROR(VLOOKUP(Z954,OFFSET(abbreviation[],0,ColumnLanguage),ColumnAbbreviation,FALSE),"")</f>
        <v/>
      </c>
      <c r="BT954" s="21" t="str">
        <f ca="1">IFERROR(VLOOKUP(AB954,OFFSET(abbreviation[],0,ColumnLanguage),ColumnAbbreviation,FALSE),"")</f>
        <v/>
      </c>
      <c r="BU954" s="21" t="str">
        <f t="shared" ca="1" si="99"/>
        <v>__</v>
      </c>
      <c r="BV954" s="21" t="str">
        <f ca="1">IFERROR(VLOOKUP(AF954,OFFSET(abbreviation[],0,ColumnLanguage),ColumnAbbreviation,FALSE),"")</f>
        <v/>
      </c>
      <c r="BW954" s="21" t="str">
        <f ca="1">IFERROR(VLOOKUP(AH954,OFFSET(abbreviation[],0,ColumnLanguage),ColumnAbbreviation,FALSE),"")</f>
        <v/>
      </c>
      <c r="BX954" s="21" t="str">
        <f ca="1">IFERROR(VLOOKUP(AJ954,OFFSET(abbreviation[],0,ColumnLanguage),ColumnAbbreviation,FALSE),"")</f>
        <v/>
      </c>
      <c r="BY954" s="21" t="str">
        <f ca="1">IFERROR(VLOOKUP(AL954,OFFSET(abbreviation[],0,ColumnLanguage),ColumnAbbreviation,FALSE),"")</f>
        <v/>
      </c>
      <c r="BZ954" s="21" t="str">
        <f t="shared" ca="1" si="100"/>
        <v>_</v>
      </c>
      <c r="CA954" s="21" t="str">
        <f ca="1">IFERROR(VLOOKUP(AP954,OFFSET(abbreviation[],0,ColumnLanguage),ColumnAbbreviation,FALSE),"")</f>
        <v/>
      </c>
      <c r="CB954" s="21" t="str">
        <f ca="1">IFERROR(VLOOKUP(AR954,OFFSET(abbreviation[],0,ColumnLanguage),ColumnAbbreviation,FALSE),"")</f>
        <v/>
      </c>
      <c r="CC954" s="21" t="str">
        <f ca="1">IFERROR(VLOOKUP(AT954,OFFSET(abbreviation[],0,ColumnLanguage),ColumnAbbreviation,FALSE),"")</f>
        <v/>
      </c>
      <c r="CD954" s="21" t="str">
        <f ca="1">IFERROR(VLOOKUP(AV954,OFFSET(abbreviation[],0,ColumnLanguage),ColumnAbbreviation,FALSE),"")</f>
        <v/>
      </c>
      <c r="CE954" s="21" t="str">
        <f t="shared" ca="1" si="101"/>
        <v>__</v>
      </c>
      <c r="CF954" s="21" t="str">
        <f ca="1">IFERROR(VLOOKUP(AX954,OFFSET(abbreviation[],0,ColumnLanguage),ColumnAbbreviation,FALSE),"")</f>
        <v/>
      </c>
      <c r="CG954" s="21" t="str">
        <f ca="1">IFERROR(VLOOKUP(AZ954,OFFSET(abbreviation[],0,ColumnLanguage),ColumnAbbreviation,FALSE),"")</f>
        <v/>
      </c>
      <c r="CH954" s="21" t="str">
        <f ca="1">IFERROR(VLOOKUP(BB954,OFFSET(abbreviation[],0,ColumnLanguage),ColumnAbbreviation,FALSE),"")</f>
        <v/>
      </c>
      <c r="CI954" s="21" t="str">
        <f ca="1">IFERROR(VLOOKUP(BD954,OFFSET(abbreviation[],0,ColumnLanguage),ColumnAbbreviation,FALSE),"")</f>
        <v/>
      </c>
      <c r="CJ954" s="21" t="str">
        <f ca="1">IFERROR(VLOOKUP(BF954,OFFSET(abbreviation[],0,ColumnLanguage),ColumnAbbreviation,FALSE),"")</f>
        <v/>
      </c>
      <c r="CK954" s="21" t="str">
        <f t="shared" ca="1" si="102"/>
        <v/>
      </c>
      <c r="CL954" s="21" t="str">
        <f t="shared" si="103"/>
        <v/>
      </c>
      <c r="CM954" s="52"/>
      <c r="CN954" s="57" t="str">
        <f t="shared" si="104"/>
        <v/>
      </c>
    </row>
    <row r="955" spans="17:92" x14ac:dyDescent="0.25">
      <c r="Q955" s="13"/>
      <c r="AN955" s="54"/>
      <c r="AS955" s="15"/>
      <c r="BH955" s="52"/>
      <c r="BI955" s="21" t="str">
        <f ca="1">IFERROR(VLOOKUP(C955,OFFSET(abbreviation[],0,ColumnLanguage),ColumnAbbreviation,FALSE),"")</f>
        <v/>
      </c>
      <c r="BJ955" s="21" t="str">
        <f ca="1">IFERROR(VLOOKUP(E955,OFFSET(abbreviation[],0,ColumnLanguage),ColumnAbbreviation,FALSE),"")</f>
        <v/>
      </c>
      <c r="BK955" s="21" t="str">
        <f ca="1">IFERROR(VLOOKUP(G955,OFFSET(abbreviation[],0,ColumnLanguage),ColumnAbbreviation,FALSE),"")</f>
        <v/>
      </c>
      <c r="BL955" s="21" t="str">
        <f ca="1">IFERROR(VLOOKUP(I955,OFFSET(abbreviation[],0,ColumnLanguage),ColumnAbbreviation,FALSE),"")</f>
        <v/>
      </c>
      <c r="BM955" s="21" t="str">
        <f ca="1">IFERROR(VLOOKUP(K955,OFFSET(abbreviation[],0,ColumnLanguage),ColumnAbbreviation,FALSE),"")</f>
        <v/>
      </c>
      <c r="BN955" s="21" t="str">
        <f t="shared" ca="1" si="98"/>
        <v/>
      </c>
      <c r="BO955" s="21" t="str">
        <f ca="1">IFERROR(VLOOKUP(N955,OFFSET(abbreviation[],0,ColumnLanguage),ColumnAbbreviation,FALSE),"")</f>
        <v/>
      </c>
      <c r="BP955" s="21" t="str">
        <f ca="1">IFERROR(VLOOKUP(P955,OFFSET(abbreviation[],0,ColumnLanguage),ColumnAbbreviation,FALSE),"")</f>
        <v/>
      </c>
      <c r="BQ955" s="21" t="str">
        <f ca="1">IFERROR(VLOOKUP(T955,OFFSET(abbreviation[],0,ColumnLanguage),ColumnAbbreviation,FALSE),"")</f>
        <v/>
      </c>
      <c r="BR955" s="21" t="str">
        <f ca="1">IFERROR(VLOOKUP(V955,OFFSET(abbreviation[],0,ColumnLanguage),ColumnAbbreviation,FALSE),"")</f>
        <v/>
      </c>
      <c r="BS955" s="21" t="str">
        <f ca="1">IFERROR(VLOOKUP(Z955,OFFSET(abbreviation[],0,ColumnLanguage),ColumnAbbreviation,FALSE),"")</f>
        <v/>
      </c>
      <c r="BT955" s="21" t="str">
        <f ca="1">IFERROR(VLOOKUP(AB955,OFFSET(abbreviation[],0,ColumnLanguage),ColumnAbbreviation,FALSE),"")</f>
        <v/>
      </c>
      <c r="BU955" s="21" t="str">
        <f t="shared" ca="1" si="99"/>
        <v>__</v>
      </c>
      <c r="BV955" s="21" t="str">
        <f ca="1">IFERROR(VLOOKUP(AF955,OFFSET(abbreviation[],0,ColumnLanguage),ColumnAbbreviation,FALSE),"")</f>
        <v/>
      </c>
      <c r="BW955" s="21" t="str">
        <f ca="1">IFERROR(VLOOKUP(AH955,OFFSET(abbreviation[],0,ColumnLanguage),ColumnAbbreviation,FALSE),"")</f>
        <v/>
      </c>
      <c r="BX955" s="21" t="str">
        <f ca="1">IFERROR(VLOOKUP(AJ955,OFFSET(abbreviation[],0,ColumnLanguage),ColumnAbbreviation,FALSE),"")</f>
        <v/>
      </c>
      <c r="BY955" s="21" t="str">
        <f ca="1">IFERROR(VLOOKUP(AL955,OFFSET(abbreviation[],0,ColumnLanguage),ColumnAbbreviation,FALSE),"")</f>
        <v/>
      </c>
      <c r="BZ955" s="21" t="str">
        <f t="shared" ca="1" si="100"/>
        <v>_</v>
      </c>
      <c r="CA955" s="21" t="str">
        <f ca="1">IFERROR(VLOOKUP(AP955,OFFSET(abbreviation[],0,ColumnLanguage),ColumnAbbreviation,FALSE),"")</f>
        <v/>
      </c>
      <c r="CB955" s="21" t="str">
        <f ca="1">IFERROR(VLOOKUP(AR955,OFFSET(abbreviation[],0,ColumnLanguage),ColumnAbbreviation,FALSE),"")</f>
        <v/>
      </c>
      <c r="CC955" s="21" t="str">
        <f ca="1">IFERROR(VLOOKUP(AT955,OFFSET(abbreviation[],0,ColumnLanguage),ColumnAbbreviation,FALSE),"")</f>
        <v/>
      </c>
      <c r="CD955" s="21" t="str">
        <f ca="1">IFERROR(VLOOKUP(AV955,OFFSET(abbreviation[],0,ColumnLanguage),ColumnAbbreviation,FALSE),"")</f>
        <v/>
      </c>
      <c r="CE955" s="21" t="str">
        <f t="shared" ca="1" si="101"/>
        <v>__</v>
      </c>
      <c r="CF955" s="21" t="str">
        <f ca="1">IFERROR(VLOOKUP(AX955,OFFSET(abbreviation[],0,ColumnLanguage),ColumnAbbreviation,FALSE),"")</f>
        <v/>
      </c>
      <c r="CG955" s="21" t="str">
        <f ca="1">IFERROR(VLOOKUP(AZ955,OFFSET(abbreviation[],0,ColumnLanguage),ColumnAbbreviation,FALSE),"")</f>
        <v/>
      </c>
      <c r="CH955" s="21" t="str">
        <f ca="1">IFERROR(VLOOKUP(BB955,OFFSET(abbreviation[],0,ColumnLanguage),ColumnAbbreviation,FALSE),"")</f>
        <v/>
      </c>
      <c r="CI955" s="21" t="str">
        <f ca="1">IFERROR(VLOOKUP(BD955,OFFSET(abbreviation[],0,ColumnLanguage),ColumnAbbreviation,FALSE),"")</f>
        <v/>
      </c>
      <c r="CJ955" s="21" t="str">
        <f ca="1">IFERROR(VLOOKUP(BF955,OFFSET(abbreviation[],0,ColumnLanguage),ColumnAbbreviation,FALSE),"")</f>
        <v/>
      </c>
      <c r="CK955" s="21" t="str">
        <f t="shared" ca="1" si="102"/>
        <v/>
      </c>
      <c r="CL955" s="21" t="str">
        <f t="shared" si="103"/>
        <v/>
      </c>
      <c r="CM955" s="52"/>
      <c r="CN955" s="57" t="str">
        <f t="shared" si="104"/>
        <v/>
      </c>
    </row>
    <row r="956" spans="17:92" x14ac:dyDescent="0.25">
      <c r="Q956" s="13"/>
      <c r="AN956" s="54"/>
      <c r="AS956" s="15"/>
      <c r="BH956" s="52"/>
      <c r="BI956" s="21" t="str">
        <f ca="1">IFERROR(VLOOKUP(C956,OFFSET(abbreviation[],0,ColumnLanguage),ColumnAbbreviation,FALSE),"")</f>
        <v/>
      </c>
      <c r="BJ956" s="21" t="str">
        <f ca="1">IFERROR(VLOOKUP(E956,OFFSET(abbreviation[],0,ColumnLanguage),ColumnAbbreviation,FALSE),"")</f>
        <v/>
      </c>
      <c r="BK956" s="21" t="str">
        <f ca="1">IFERROR(VLOOKUP(G956,OFFSET(abbreviation[],0,ColumnLanguage),ColumnAbbreviation,FALSE),"")</f>
        <v/>
      </c>
      <c r="BL956" s="21" t="str">
        <f ca="1">IFERROR(VLOOKUP(I956,OFFSET(abbreviation[],0,ColumnLanguage),ColumnAbbreviation,FALSE),"")</f>
        <v/>
      </c>
      <c r="BM956" s="21" t="str">
        <f ca="1">IFERROR(VLOOKUP(K956,OFFSET(abbreviation[],0,ColumnLanguage),ColumnAbbreviation,FALSE),"")</f>
        <v/>
      </c>
      <c r="BN956" s="21" t="str">
        <f t="shared" ca="1" si="98"/>
        <v/>
      </c>
      <c r="BO956" s="21" t="str">
        <f ca="1">IFERROR(VLOOKUP(N956,OFFSET(abbreviation[],0,ColumnLanguage),ColumnAbbreviation,FALSE),"")</f>
        <v/>
      </c>
      <c r="BP956" s="21" t="str">
        <f ca="1">IFERROR(VLOOKUP(P956,OFFSET(abbreviation[],0,ColumnLanguage),ColumnAbbreviation,FALSE),"")</f>
        <v/>
      </c>
      <c r="BQ956" s="21" t="str">
        <f ca="1">IFERROR(VLOOKUP(T956,OFFSET(abbreviation[],0,ColumnLanguage),ColumnAbbreviation,FALSE),"")</f>
        <v/>
      </c>
      <c r="BR956" s="21" t="str">
        <f ca="1">IFERROR(VLOOKUP(V956,OFFSET(abbreviation[],0,ColumnLanguage),ColumnAbbreviation,FALSE),"")</f>
        <v/>
      </c>
      <c r="BS956" s="21" t="str">
        <f ca="1">IFERROR(VLOOKUP(Z956,OFFSET(abbreviation[],0,ColumnLanguage),ColumnAbbreviation,FALSE),"")</f>
        <v/>
      </c>
      <c r="BT956" s="21" t="str">
        <f ca="1">IFERROR(VLOOKUP(AB956,OFFSET(abbreviation[],0,ColumnLanguage),ColumnAbbreviation,FALSE),"")</f>
        <v/>
      </c>
      <c r="BU956" s="21" t="str">
        <f t="shared" ca="1" si="99"/>
        <v>__</v>
      </c>
      <c r="BV956" s="21" t="str">
        <f ca="1">IFERROR(VLOOKUP(AF956,OFFSET(abbreviation[],0,ColumnLanguage),ColumnAbbreviation,FALSE),"")</f>
        <v/>
      </c>
      <c r="BW956" s="21" t="str">
        <f ca="1">IFERROR(VLOOKUP(AH956,OFFSET(abbreviation[],0,ColumnLanguage),ColumnAbbreviation,FALSE),"")</f>
        <v/>
      </c>
      <c r="BX956" s="21" t="str">
        <f ca="1">IFERROR(VLOOKUP(AJ956,OFFSET(abbreviation[],0,ColumnLanguage),ColumnAbbreviation,FALSE),"")</f>
        <v/>
      </c>
      <c r="BY956" s="21" t="str">
        <f ca="1">IFERROR(VLOOKUP(AL956,OFFSET(abbreviation[],0,ColumnLanguage),ColumnAbbreviation,FALSE),"")</f>
        <v/>
      </c>
      <c r="BZ956" s="21" t="str">
        <f t="shared" ca="1" si="100"/>
        <v>_</v>
      </c>
      <c r="CA956" s="21" t="str">
        <f ca="1">IFERROR(VLOOKUP(AP956,OFFSET(abbreviation[],0,ColumnLanguage),ColumnAbbreviation,FALSE),"")</f>
        <v/>
      </c>
      <c r="CB956" s="21" t="str">
        <f ca="1">IFERROR(VLOOKUP(AR956,OFFSET(abbreviation[],0,ColumnLanguage),ColumnAbbreviation,FALSE),"")</f>
        <v/>
      </c>
      <c r="CC956" s="21" t="str">
        <f ca="1">IFERROR(VLOOKUP(AT956,OFFSET(abbreviation[],0,ColumnLanguage),ColumnAbbreviation,FALSE),"")</f>
        <v/>
      </c>
      <c r="CD956" s="21" t="str">
        <f ca="1">IFERROR(VLOOKUP(AV956,OFFSET(abbreviation[],0,ColumnLanguage),ColumnAbbreviation,FALSE),"")</f>
        <v/>
      </c>
      <c r="CE956" s="21" t="str">
        <f t="shared" ca="1" si="101"/>
        <v>__</v>
      </c>
      <c r="CF956" s="21" t="str">
        <f ca="1">IFERROR(VLOOKUP(AX956,OFFSET(abbreviation[],0,ColumnLanguage),ColumnAbbreviation,FALSE),"")</f>
        <v/>
      </c>
      <c r="CG956" s="21" t="str">
        <f ca="1">IFERROR(VLOOKUP(AZ956,OFFSET(abbreviation[],0,ColumnLanguage),ColumnAbbreviation,FALSE),"")</f>
        <v/>
      </c>
      <c r="CH956" s="21" t="str">
        <f ca="1">IFERROR(VLOOKUP(BB956,OFFSET(abbreviation[],0,ColumnLanguage),ColumnAbbreviation,FALSE),"")</f>
        <v/>
      </c>
      <c r="CI956" s="21" t="str">
        <f ca="1">IFERROR(VLOOKUP(BD956,OFFSET(abbreviation[],0,ColumnLanguage),ColumnAbbreviation,FALSE),"")</f>
        <v/>
      </c>
      <c r="CJ956" s="21" t="str">
        <f ca="1">IFERROR(VLOOKUP(BF956,OFFSET(abbreviation[],0,ColumnLanguage),ColumnAbbreviation,FALSE),"")</f>
        <v/>
      </c>
      <c r="CK956" s="21" t="str">
        <f t="shared" ca="1" si="102"/>
        <v/>
      </c>
      <c r="CL956" s="21" t="str">
        <f t="shared" si="103"/>
        <v/>
      </c>
      <c r="CM956" s="52"/>
      <c r="CN956" s="57" t="str">
        <f t="shared" si="104"/>
        <v/>
      </c>
    </row>
    <row r="957" spans="17:92" x14ac:dyDescent="0.25">
      <c r="Q957" s="13"/>
      <c r="AN957" s="54"/>
      <c r="AS957" s="15"/>
      <c r="BH957" s="52"/>
      <c r="BI957" s="21" t="str">
        <f ca="1">IFERROR(VLOOKUP(C957,OFFSET(abbreviation[],0,ColumnLanguage),ColumnAbbreviation,FALSE),"")</f>
        <v/>
      </c>
      <c r="BJ957" s="21" t="str">
        <f ca="1">IFERROR(VLOOKUP(E957,OFFSET(abbreviation[],0,ColumnLanguage),ColumnAbbreviation,FALSE),"")</f>
        <v/>
      </c>
      <c r="BK957" s="21" t="str">
        <f ca="1">IFERROR(VLOOKUP(G957,OFFSET(abbreviation[],0,ColumnLanguage),ColumnAbbreviation,FALSE),"")</f>
        <v/>
      </c>
      <c r="BL957" s="21" t="str">
        <f ca="1">IFERROR(VLOOKUP(I957,OFFSET(abbreviation[],0,ColumnLanguage),ColumnAbbreviation,FALSE),"")</f>
        <v/>
      </c>
      <c r="BM957" s="21" t="str">
        <f ca="1">IFERROR(VLOOKUP(K957,OFFSET(abbreviation[],0,ColumnLanguage),ColumnAbbreviation,FALSE),"")</f>
        <v/>
      </c>
      <c r="BN957" s="21" t="str">
        <f t="shared" ca="1" si="98"/>
        <v/>
      </c>
      <c r="BO957" s="21" t="str">
        <f ca="1">IFERROR(VLOOKUP(N957,OFFSET(abbreviation[],0,ColumnLanguage),ColumnAbbreviation,FALSE),"")</f>
        <v/>
      </c>
      <c r="BP957" s="21" t="str">
        <f ca="1">IFERROR(VLOOKUP(P957,OFFSET(abbreviation[],0,ColumnLanguage),ColumnAbbreviation,FALSE),"")</f>
        <v/>
      </c>
      <c r="BQ957" s="21" t="str">
        <f ca="1">IFERROR(VLOOKUP(T957,OFFSET(abbreviation[],0,ColumnLanguage),ColumnAbbreviation,FALSE),"")</f>
        <v/>
      </c>
      <c r="BR957" s="21" t="str">
        <f ca="1">IFERROR(VLOOKUP(V957,OFFSET(abbreviation[],0,ColumnLanguage),ColumnAbbreviation,FALSE),"")</f>
        <v/>
      </c>
      <c r="BS957" s="21" t="str">
        <f ca="1">IFERROR(VLOOKUP(Z957,OFFSET(abbreviation[],0,ColumnLanguage),ColumnAbbreviation,FALSE),"")</f>
        <v/>
      </c>
      <c r="BT957" s="21" t="str">
        <f ca="1">IFERROR(VLOOKUP(AB957,OFFSET(abbreviation[],0,ColumnLanguage),ColumnAbbreviation,FALSE),"")</f>
        <v/>
      </c>
      <c r="BU957" s="21" t="str">
        <f t="shared" ca="1" si="99"/>
        <v>__</v>
      </c>
      <c r="BV957" s="21" t="str">
        <f ca="1">IFERROR(VLOOKUP(AF957,OFFSET(abbreviation[],0,ColumnLanguage),ColumnAbbreviation,FALSE),"")</f>
        <v/>
      </c>
      <c r="BW957" s="21" t="str">
        <f ca="1">IFERROR(VLOOKUP(AH957,OFFSET(abbreviation[],0,ColumnLanguage),ColumnAbbreviation,FALSE),"")</f>
        <v/>
      </c>
      <c r="BX957" s="21" t="str">
        <f ca="1">IFERROR(VLOOKUP(AJ957,OFFSET(abbreviation[],0,ColumnLanguage),ColumnAbbreviation,FALSE),"")</f>
        <v/>
      </c>
      <c r="BY957" s="21" t="str">
        <f ca="1">IFERROR(VLOOKUP(AL957,OFFSET(abbreviation[],0,ColumnLanguage),ColumnAbbreviation,FALSE),"")</f>
        <v/>
      </c>
      <c r="BZ957" s="21" t="str">
        <f t="shared" ca="1" si="100"/>
        <v>_</v>
      </c>
      <c r="CA957" s="21" t="str">
        <f ca="1">IFERROR(VLOOKUP(AP957,OFFSET(abbreviation[],0,ColumnLanguage),ColumnAbbreviation,FALSE),"")</f>
        <v/>
      </c>
      <c r="CB957" s="21" t="str">
        <f ca="1">IFERROR(VLOOKUP(AR957,OFFSET(abbreviation[],0,ColumnLanguage),ColumnAbbreviation,FALSE),"")</f>
        <v/>
      </c>
      <c r="CC957" s="21" t="str">
        <f ca="1">IFERROR(VLOOKUP(AT957,OFFSET(abbreviation[],0,ColumnLanguage),ColumnAbbreviation,FALSE),"")</f>
        <v/>
      </c>
      <c r="CD957" s="21" t="str">
        <f ca="1">IFERROR(VLOOKUP(AV957,OFFSET(abbreviation[],0,ColumnLanguage),ColumnAbbreviation,FALSE),"")</f>
        <v/>
      </c>
      <c r="CE957" s="21" t="str">
        <f t="shared" ca="1" si="101"/>
        <v>__</v>
      </c>
      <c r="CF957" s="21" t="str">
        <f ca="1">IFERROR(VLOOKUP(AX957,OFFSET(abbreviation[],0,ColumnLanguage),ColumnAbbreviation,FALSE),"")</f>
        <v/>
      </c>
      <c r="CG957" s="21" t="str">
        <f ca="1">IFERROR(VLOOKUP(AZ957,OFFSET(abbreviation[],0,ColumnLanguage),ColumnAbbreviation,FALSE),"")</f>
        <v/>
      </c>
      <c r="CH957" s="21" t="str">
        <f ca="1">IFERROR(VLOOKUP(BB957,OFFSET(abbreviation[],0,ColumnLanguage),ColumnAbbreviation,FALSE),"")</f>
        <v/>
      </c>
      <c r="CI957" s="21" t="str">
        <f ca="1">IFERROR(VLOOKUP(BD957,OFFSET(abbreviation[],0,ColumnLanguage),ColumnAbbreviation,FALSE),"")</f>
        <v/>
      </c>
      <c r="CJ957" s="21" t="str">
        <f ca="1">IFERROR(VLOOKUP(BF957,OFFSET(abbreviation[],0,ColumnLanguage),ColumnAbbreviation,FALSE),"")</f>
        <v/>
      </c>
      <c r="CK957" s="21" t="str">
        <f t="shared" ca="1" si="102"/>
        <v/>
      </c>
      <c r="CL957" s="21" t="str">
        <f t="shared" si="103"/>
        <v/>
      </c>
      <c r="CM957" s="52"/>
      <c r="CN957" s="57" t="str">
        <f t="shared" si="104"/>
        <v/>
      </c>
    </row>
    <row r="958" spans="17:92" x14ac:dyDescent="0.25">
      <c r="Q958" s="13"/>
      <c r="AN958" s="54"/>
      <c r="AS958" s="15"/>
      <c r="BH958" s="52"/>
      <c r="BI958" s="21" t="str">
        <f ca="1">IFERROR(VLOOKUP(C958,OFFSET(abbreviation[],0,ColumnLanguage),ColumnAbbreviation,FALSE),"")</f>
        <v/>
      </c>
      <c r="BJ958" s="21" t="str">
        <f ca="1">IFERROR(VLOOKUP(E958,OFFSET(abbreviation[],0,ColumnLanguage),ColumnAbbreviation,FALSE),"")</f>
        <v/>
      </c>
      <c r="BK958" s="21" t="str">
        <f ca="1">IFERROR(VLOOKUP(G958,OFFSET(abbreviation[],0,ColumnLanguage),ColumnAbbreviation,FALSE),"")</f>
        <v/>
      </c>
      <c r="BL958" s="21" t="str">
        <f ca="1">IFERROR(VLOOKUP(I958,OFFSET(abbreviation[],0,ColumnLanguage),ColumnAbbreviation,FALSE),"")</f>
        <v/>
      </c>
      <c r="BM958" s="21" t="str">
        <f ca="1">IFERROR(VLOOKUP(K958,OFFSET(abbreviation[],0,ColumnLanguage),ColumnAbbreviation,FALSE),"")</f>
        <v/>
      </c>
      <c r="BN958" s="21" t="str">
        <f t="shared" ca="1" si="98"/>
        <v/>
      </c>
      <c r="BO958" s="21" t="str">
        <f ca="1">IFERROR(VLOOKUP(N958,OFFSET(abbreviation[],0,ColumnLanguage),ColumnAbbreviation,FALSE),"")</f>
        <v/>
      </c>
      <c r="BP958" s="21" t="str">
        <f ca="1">IFERROR(VLOOKUP(P958,OFFSET(abbreviation[],0,ColumnLanguage),ColumnAbbreviation,FALSE),"")</f>
        <v/>
      </c>
      <c r="BQ958" s="21" t="str">
        <f ca="1">IFERROR(VLOOKUP(T958,OFFSET(abbreviation[],0,ColumnLanguage),ColumnAbbreviation,FALSE),"")</f>
        <v/>
      </c>
      <c r="BR958" s="21" t="str">
        <f ca="1">IFERROR(VLOOKUP(V958,OFFSET(abbreviation[],0,ColumnLanguage),ColumnAbbreviation,FALSE),"")</f>
        <v/>
      </c>
      <c r="BS958" s="21" t="str">
        <f ca="1">IFERROR(VLOOKUP(Z958,OFFSET(abbreviation[],0,ColumnLanguage),ColumnAbbreviation,FALSE),"")</f>
        <v/>
      </c>
      <c r="BT958" s="21" t="str">
        <f ca="1">IFERROR(VLOOKUP(AB958,OFFSET(abbreviation[],0,ColumnLanguage),ColumnAbbreviation,FALSE),"")</f>
        <v/>
      </c>
      <c r="BU958" s="21" t="str">
        <f t="shared" ca="1" si="99"/>
        <v>__</v>
      </c>
      <c r="BV958" s="21" t="str">
        <f ca="1">IFERROR(VLOOKUP(AF958,OFFSET(abbreviation[],0,ColumnLanguage),ColumnAbbreviation,FALSE),"")</f>
        <v/>
      </c>
      <c r="BW958" s="21" t="str">
        <f ca="1">IFERROR(VLOOKUP(AH958,OFFSET(abbreviation[],0,ColumnLanguage),ColumnAbbreviation,FALSE),"")</f>
        <v/>
      </c>
      <c r="BX958" s="21" t="str">
        <f ca="1">IFERROR(VLOOKUP(AJ958,OFFSET(abbreviation[],0,ColumnLanguage),ColumnAbbreviation,FALSE),"")</f>
        <v/>
      </c>
      <c r="BY958" s="21" t="str">
        <f ca="1">IFERROR(VLOOKUP(AL958,OFFSET(abbreviation[],0,ColumnLanguage),ColumnAbbreviation,FALSE),"")</f>
        <v/>
      </c>
      <c r="BZ958" s="21" t="str">
        <f t="shared" ca="1" si="100"/>
        <v>_</v>
      </c>
      <c r="CA958" s="21" t="str">
        <f ca="1">IFERROR(VLOOKUP(AP958,OFFSET(abbreviation[],0,ColumnLanguage),ColumnAbbreviation,FALSE),"")</f>
        <v/>
      </c>
      <c r="CB958" s="21" t="str">
        <f ca="1">IFERROR(VLOOKUP(AR958,OFFSET(abbreviation[],0,ColumnLanguage),ColumnAbbreviation,FALSE),"")</f>
        <v/>
      </c>
      <c r="CC958" s="21" t="str">
        <f ca="1">IFERROR(VLOOKUP(AT958,OFFSET(abbreviation[],0,ColumnLanguage),ColumnAbbreviation,FALSE),"")</f>
        <v/>
      </c>
      <c r="CD958" s="21" t="str">
        <f ca="1">IFERROR(VLOOKUP(AV958,OFFSET(abbreviation[],0,ColumnLanguage),ColumnAbbreviation,FALSE),"")</f>
        <v/>
      </c>
      <c r="CE958" s="21" t="str">
        <f t="shared" ca="1" si="101"/>
        <v>__</v>
      </c>
      <c r="CF958" s="21" t="str">
        <f ca="1">IFERROR(VLOOKUP(AX958,OFFSET(abbreviation[],0,ColumnLanguage),ColumnAbbreviation,FALSE),"")</f>
        <v/>
      </c>
      <c r="CG958" s="21" t="str">
        <f ca="1">IFERROR(VLOOKUP(AZ958,OFFSET(abbreviation[],0,ColumnLanguage),ColumnAbbreviation,FALSE),"")</f>
        <v/>
      </c>
      <c r="CH958" s="21" t="str">
        <f ca="1">IFERROR(VLOOKUP(BB958,OFFSET(abbreviation[],0,ColumnLanguage),ColumnAbbreviation,FALSE),"")</f>
        <v/>
      </c>
      <c r="CI958" s="21" t="str">
        <f ca="1">IFERROR(VLOOKUP(BD958,OFFSET(abbreviation[],0,ColumnLanguage),ColumnAbbreviation,FALSE),"")</f>
        <v/>
      </c>
      <c r="CJ958" s="21" t="str">
        <f ca="1">IFERROR(VLOOKUP(BF958,OFFSET(abbreviation[],0,ColumnLanguage),ColumnAbbreviation,FALSE),"")</f>
        <v/>
      </c>
      <c r="CK958" s="21" t="str">
        <f t="shared" ca="1" si="102"/>
        <v/>
      </c>
      <c r="CL958" s="21" t="str">
        <f t="shared" si="103"/>
        <v/>
      </c>
      <c r="CM958" s="52"/>
      <c r="CN958" s="57" t="str">
        <f t="shared" si="104"/>
        <v/>
      </c>
    </row>
    <row r="959" spans="17:92" x14ac:dyDescent="0.25">
      <c r="Q959" s="13"/>
      <c r="AN959" s="54"/>
      <c r="AS959" s="15"/>
      <c r="BH959" s="52"/>
      <c r="BI959" s="21" t="str">
        <f ca="1">IFERROR(VLOOKUP(C959,OFFSET(abbreviation[],0,ColumnLanguage),ColumnAbbreviation,FALSE),"")</f>
        <v/>
      </c>
      <c r="BJ959" s="21" t="str">
        <f ca="1">IFERROR(VLOOKUP(E959,OFFSET(abbreviation[],0,ColumnLanguage),ColumnAbbreviation,FALSE),"")</f>
        <v/>
      </c>
      <c r="BK959" s="21" t="str">
        <f ca="1">IFERROR(VLOOKUP(G959,OFFSET(abbreviation[],0,ColumnLanguage),ColumnAbbreviation,FALSE),"")</f>
        <v/>
      </c>
      <c r="BL959" s="21" t="str">
        <f ca="1">IFERROR(VLOOKUP(I959,OFFSET(abbreviation[],0,ColumnLanguage),ColumnAbbreviation,FALSE),"")</f>
        <v/>
      </c>
      <c r="BM959" s="21" t="str">
        <f ca="1">IFERROR(VLOOKUP(K959,OFFSET(abbreviation[],0,ColumnLanguage),ColumnAbbreviation,FALSE),"")</f>
        <v/>
      </c>
      <c r="BN959" s="21" t="str">
        <f t="shared" ca="1" si="98"/>
        <v/>
      </c>
      <c r="BO959" s="21" t="str">
        <f ca="1">IFERROR(VLOOKUP(N959,OFFSET(abbreviation[],0,ColumnLanguage),ColumnAbbreviation,FALSE),"")</f>
        <v/>
      </c>
      <c r="BP959" s="21" t="str">
        <f ca="1">IFERROR(VLOOKUP(P959,OFFSET(abbreviation[],0,ColumnLanguage),ColumnAbbreviation,FALSE),"")</f>
        <v/>
      </c>
      <c r="BQ959" s="21" t="str">
        <f ca="1">IFERROR(VLOOKUP(T959,OFFSET(abbreviation[],0,ColumnLanguage),ColumnAbbreviation,FALSE),"")</f>
        <v/>
      </c>
      <c r="BR959" s="21" t="str">
        <f ca="1">IFERROR(VLOOKUP(V959,OFFSET(abbreviation[],0,ColumnLanguage),ColumnAbbreviation,FALSE),"")</f>
        <v/>
      </c>
      <c r="BS959" s="21" t="str">
        <f ca="1">IFERROR(VLOOKUP(Z959,OFFSET(abbreviation[],0,ColumnLanguage),ColumnAbbreviation,FALSE),"")</f>
        <v/>
      </c>
      <c r="BT959" s="21" t="str">
        <f ca="1">IFERROR(VLOOKUP(AB959,OFFSET(abbreviation[],0,ColumnLanguage),ColumnAbbreviation,FALSE),"")</f>
        <v/>
      </c>
      <c r="BU959" s="21" t="str">
        <f t="shared" ca="1" si="99"/>
        <v>__</v>
      </c>
      <c r="BV959" s="21" t="str">
        <f ca="1">IFERROR(VLOOKUP(AF959,OFFSET(abbreviation[],0,ColumnLanguage),ColumnAbbreviation,FALSE),"")</f>
        <v/>
      </c>
      <c r="BW959" s="21" t="str">
        <f ca="1">IFERROR(VLOOKUP(AH959,OFFSET(abbreviation[],0,ColumnLanguage),ColumnAbbreviation,FALSE),"")</f>
        <v/>
      </c>
      <c r="BX959" s="21" t="str">
        <f ca="1">IFERROR(VLOOKUP(AJ959,OFFSET(abbreviation[],0,ColumnLanguage),ColumnAbbreviation,FALSE),"")</f>
        <v/>
      </c>
      <c r="BY959" s="21" t="str">
        <f ca="1">IFERROR(VLOOKUP(AL959,OFFSET(abbreviation[],0,ColumnLanguage),ColumnAbbreviation,FALSE),"")</f>
        <v/>
      </c>
      <c r="BZ959" s="21" t="str">
        <f t="shared" ca="1" si="100"/>
        <v>_</v>
      </c>
      <c r="CA959" s="21" t="str">
        <f ca="1">IFERROR(VLOOKUP(AP959,OFFSET(abbreviation[],0,ColumnLanguage),ColumnAbbreviation,FALSE),"")</f>
        <v/>
      </c>
      <c r="CB959" s="21" t="str">
        <f ca="1">IFERROR(VLOOKUP(AR959,OFFSET(abbreviation[],0,ColumnLanguage),ColumnAbbreviation,FALSE),"")</f>
        <v/>
      </c>
      <c r="CC959" s="21" t="str">
        <f ca="1">IFERROR(VLOOKUP(AT959,OFFSET(abbreviation[],0,ColumnLanguage),ColumnAbbreviation,FALSE),"")</f>
        <v/>
      </c>
      <c r="CD959" s="21" t="str">
        <f ca="1">IFERROR(VLOOKUP(AV959,OFFSET(abbreviation[],0,ColumnLanguage),ColumnAbbreviation,FALSE),"")</f>
        <v/>
      </c>
      <c r="CE959" s="21" t="str">
        <f t="shared" ca="1" si="101"/>
        <v>__</v>
      </c>
      <c r="CF959" s="21" t="str">
        <f ca="1">IFERROR(VLOOKUP(AX959,OFFSET(abbreviation[],0,ColumnLanguage),ColumnAbbreviation,FALSE),"")</f>
        <v/>
      </c>
      <c r="CG959" s="21" t="str">
        <f ca="1">IFERROR(VLOOKUP(AZ959,OFFSET(abbreviation[],0,ColumnLanguage),ColumnAbbreviation,FALSE),"")</f>
        <v/>
      </c>
      <c r="CH959" s="21" t="str">
        <f ca="1">IFERROR(VLOOKUP(BB959,OFFSET(abbreviation[],0,ColumnLanguage),ColumnAbbreviation,FALSE),"")</f>
        <v/>
      </c>
      <c r="CI959" s="21" t="str">
        <f ca="1">IFERROR(VLOOKUP(BD959,OFFSET(abbreviation[],0,ColumnLanguage),ColumnAbbreviation,FALSE),"")</f>
        <v/>
      </c>
      <c r="CJ959" s="21" t="str">
        <f ca="1">IFERROR(VLOOKUP(BF959,OFFSET(abbreviation[],0,ColumnLanguage),ColumnAbbreviation,FALSE),"")</f>
        <v/>
      </c>
      <c r="CK959" s="21" t="str">
        <f t="shared" ca="1" si="102"/>
        <v/>
      </c>
      <c r="CL959" s="21" t="str">
        <f t="shared" si="103"/>
        <v/>
      </c>
      <c r="CM959" s="52"/>
      <c r="CN959" s="57" t="str">
        <f t="shared" si="104"/>
        <v/>
      </c>
    </row>
    <row r="960" spans="17:92" x14ac:dyDescent="0.25">
      <c r="Q960" s="13"/>
      <c r="AN960" s="54"/>
      <c r="AS960" s="15"/>
      <c r="BH960" s="52"/>
      <c r="BI960" s="21" t="str">
        <f ca="1">IFERROR(VLOOKUP(C960,OFFSET(abbreviation[],0,ColumnLanguage),ColumnAbbreviation,FALSE),"")</f>
        <v/>
      </c>
      <c r="BJ960" s="21" t="str">
        <f ca="1">IFERROR(VLOOKUP(E960,OFFSET(abbreviation[],0,ColumnLanguage),ColumnAbbreviation,FALSE),"")</f>
        <v/>
      </c>
      <c r="BK960" s="21" t="str">
        <f ca="1">IFERROR(VLOOKUP(G960,OFFSET(abbreviation[],0,ColumnLanguage),ColumnAbbreviation,FALSE),"")</f>
        <v/>
      </c>
      <c r="BL960" s="21" t="str">
        <f ca="1">IFERROR(VLOOKUP(I960,OFFSET(abbreviation[],0,ColumnLanguage),ColumnAbbreviation,FALSE),"")</f>
        <v/>
      </c>
      <c r="BM960" s="21" t="str">
        <f ca="1">IFERROR(VLOOKUP(K960,OFFSET(abbreviation[],0,ColumnLanguage),ColumnAbbreviation,FALSE),"")</f>
        <v/>
      </c>
      <c r="BN960" s="21" t="str">
        <f t="shared" ca="1" si="98"/>
        <v/>
      </c>
      <c r="BO960" s="21" t="str">
        <f ca="1">IFERROR(VLOOKUP(N960,OFFSET(abbreviation[],0,ColumnLanguage),ColumnAbbreviation,FALSE),"")</f>
        <v/>
      </c>
      <c r="BP960" s="21" t="str">
        <f ca="1">IFERROR(VLOOKUP(P960,OFFSET(abbreviation[],0,ColumnLanguage),ColumnAbbreviation,FALSE),"")</f>
        <v/>
      </c>
      <c r="BQ960" s="21" t="str">
        <f ca="1">IFERROR(VLOOKUP(T960,OFFSET(abbreviation[],0,ColumnLanguage),ColumnAbbreviation,FALSE),"")</f>
        <v/>
      </c>
      <c r="BR960" s="21" t="str">
        <f ca="1">IFERROR(VLOOKUP(V960,OFFSET(abbreviation[],0,ColumnLanguage),ColumnAbbreviation,FALSE),"")</f>
        <v/>
      </c>
      <c r="BS960" s="21" t="str">
        <f ca="1">IFERROR(VLOOKUP(Z960,OFFSET(abbreviation[],0,ColumnLanguage),ColumnAbbreviation,FALSE),"")</f>
        <v/>
      </c>
      <c r="BT960" s="21" t="str">
        <f ca="1">IFERROR(VLOOKUP(AB960,OFFSET(abbreviation[],0,ColumnLanguage),ColumnAbbreviation,FALSE),"")</f>
        <v/>
      </c>
      <c r="BU960" s="21" t="str">
        <f t="shared" ca="1" si="99"/>
        <v>__</v>
      </c>
      <c r="BV960" s="21" t="str">
        <f ca="1">IFERROR(VLOOKUP(AF960,OFFSET(abbreviation[],0,ColumnLanguage),ColumnAbbreviation,FALSE),"")</f>
        <v/>
      </c>
      <c r="BW960" s="21" t="str">
        <f ca="1">IFERROR(VLOOKUP(AH960,OFFSET(abbreviation[],0,ColumnLanguage),ColumnAbbreviation,FALSE),"")</f>
        <v/>
      </c>
      <c r="BX960" s="21" t="str">
        <f ca="1">IFERROR(VLOOKUP(AJ960,OFFSET(abbreviation[],0,ColumnLanguage),ColumnAbbreviation,FALSE),"")</f>
        <v/>
      </c>
      <c r="BY960" s="21" t="str">
        <f ca="1">IFERROR(VLOOKUP(AL960,OFFSET(abbreviation[],0,ColumnLanguage),ColumnAbbreviation,FALSE),"")</f>
        <v/>
      </c>
      <c r="BZ960" s="21" t="str">
        <f t="shared" ca="1" si="100"/>
        <v>_</v>
      </c>
      <c r="CA960" s="21" t="str">
        <f ca="1">IFERROR(VLOOKUP(AP960,OFFSET(abbreviation[],0,ColumnLanguage),ColumnAbbreviation,FALSE),"")</f>
        <v/>
      </c>
      <c r="CB960" s="21" t="str">
        <f ca="1">IFERROR(VLOOKUP(AR960,OFFSET(abbreviation[],0,ColumnLanguage),ColumnAbbreviation,FALSE),"")</f>
        <v/>
      </c>
      <c r="CC960" s="21" t="str">
        <f ca="1">IFERROR(VLOOKUP(AT960,OFFSET(abbreviation[],0,ColumnLanguage),ColumnAbbreviation,FALSE),"")</f>
        <v/>
      </c>
      <c r="CD960" s="21" t="str">
        <f ca="1">IFERROR(VLOOKUP(AV960,OFFSET(abbreviation[],0,ColumnLanguage),ColumnAbbreviation,FALSE),"")</f>
        <v/>
      </c>
      <c r="CE960" s="21" t="str">
        <f t="shared" ca="1" si="101"/>
        <v>__</v>
      </c>
      <c r="CF960" s="21" t="str">
        <f ca="1">IFERROR(VLOOKUP(AX960,OFFSET(abbreviation[],0,ColumnLanguage),ColumnAbbreviation,FALSE),"")</f>
        <v/>
      </c>
      <c r="CG960" s="21" t="str">
        <f ca="1">IFERROR(VLOOKUP(AZ960,OFFSET(abbreviation[],0,ColumnLanguage),ColumnAbbreviation,FALSE),"")</f>
        <v/>
      </c>
      <c r="CH960" s="21" t="str">
        <f ca="1">IFERROR(VLOOKUP(BB960,OFFSET(abbreviation[],0,ColumnLanguage),ColumnAbbreviation,FALSE),"")</f>
        <v/>
      </c>
      <c r="CI960" s="21" t="str">
        <f ca="1">IFERROR(VLOOKUP(BD960,OFFSET(abbreviation[],0,ColumnLanguage),ColumnAbbreviation,FALSE),"")</f>
        <v/>
      </c>
      <c r="CJ960" s="21" t="str">
        <f ca="1">IFERROR(VLOOKUP(BF960,OFFSET(abbreviation[],0,ColumnLanguage),ColumnAbbreviation,FALSE),"")</f>
        <v/>
      </c>
      <c r="CK960" s="21" t="str">
        <f t="shared" ca="1" si="102"/>
        <v/>
      </c>
      <c r="CL960" s="21" t="str">
        <f t="shared" si="103"/>
        <v/>
      </c>
      <c r="CM960" s="52"/>
      <c r="CN960" s="57" t="str">
        <f t="shared" si="104"/>
        <v/>
      </c>
    </row>
    <row r="961" spans="17:92" x14ac:dyDescent="0.25">
      <c r="Q961" s="13"/>
      <c r="AN961" s="54"/>
      <c r="AS961" s="15"/>
      <c r="BH961" s="52"/>
      <c r="BI961" s="21" t="str">
        <f ca="1">IFERROR(VLOOKUP(C961,OFFSET(abbreviation[],0,ColumnLanguage),ColumnAbbreviation,FALSE),"")</f>
        <v/>
      </c>
      <c r="BJ961" s="21" t="str">
        <f ca="1">IFERROR(VLOOKUP(E961,OFFSET(abbreviation[],0,ColumnLanguage),ColumnAbbreviation,FALSE),"")</f>
        <v/>
      </c>
      <c r="BK961" s="21" t="str">
        <f ca="1">IFERROR(VLOOKUP(G961,OFFSET(abbreviation[],0,ColumnLanguage),ColumnAbbreviation,FALSE),"")</f>
        <v/>
      </c>
      <c r="BL961" s="21" t="str">
        <f ca="1">IFERROR(VLOOKUP(I961,OFFSET(abbreviation[],0,ColumnLanguage),ColumnAbbreviation,FALSE),"")</f>
        <v/>
      </c>
      <c r="BM961" s="21" t="str">
        <f ca="1">IFERROR(VLOOKUP(K961,OFFSET(abbreviation[],0,ColumnLanguage),ColumnAbbreviation,FALSE),"")</f>
        <v/>
      </c>
      <c r="BN961" s="21" t="str">
        <f t="shared" ca="1" si="98"/>
        <v/>
      </c>
      <c r="BO961" s="21" t="str">
        <f ca="1">IFERROR(VLOOKUP(N961,OFFSET(abbreviation[],0,ColumnLanguage),ColumnAbbreviation,FALSE),"")</f>
        <v/>
      </c>
      <c r="BP961" s="21" t="str">
        <f ca="1">IFERROR(VLOOKUP(P961,OFFSET(abbreviation[],0,ColumnLanguage),ColumnAbbreviation,FALSE),"")</f>
        <v/>
      </c>
      <c r="BQ961" s="21" t="str">
        <f ca="1">IFERROR(VLOOKUP(T961,OFFSET(abbreviation[],0,ColumnLanguage),ColumnAbbreviation,FALSE),"")</f>
        <v/>
      </c>
      <c r="BR961" s="21" t="str">
        <f ca="1">IFERROR(VLOOKUP(V961,OFFSET(abbreviation[],0,ColumnLanguage),ColumnAbbreviation,FALSE),"")</f>
        <v/>
      </c>
      <c r="BS961" s="21" t="str">
        <f ca="1">IFERROR(VLOOKUP(Z961,OFFSET(abbreviation[],0,ColumnLanguage),ColumnAbbreviation,FALSE),"")</f>
        <v/>
      </c>
      <c r="BT961" s="21" t="str">
        <f ca="1">IFERROR(VLOOKUP(AB961,OFFSET(abbreviation[],0,ColumnLanguage),ColumnAbbreviation,FALSE),"")</f>
        <v/>
      </c>
      <c r="BU961" s="21" t="str">
        <f t="shared" ca="1" si="99"/>
        <v>__</v>
      </c>
      <c r="BV961" s="21" t="str">
        <f ca="1">IFERROR(VLOOKUP(AF961,OFFSET(abbreviation[],0,ColumnLanguage),ColumnAbbreviation,FALSE),"")</f>
        <v/>
      </c>
      <c r="BW961" s="21" t="str">
        <f ca="1">IFERROR(VLOOKUP(AH961,OFFSET(abbreviation[],0,ColumnLanguage),ColumnAbbreviation,FALSE),"")</f>
        <v/>
      </c>
      <c r="BX961" s="21" t="str">
        <f ca="1">IFERROR(VLOOKUP(AJ961,OFFSET(abbreviation[],0,ColumnLanguage),ColumnAbbreviation,FALSE),"")</f>
        <v/>
      </c>
      <c r="BY961" s="21" t="str">
        <f ca="1">IFERROR(VLOOKUP(AL961,OFFSET(abbreviation[],0,ColumnLanguage),ColumnAbbreviation,FALSE),"")</f>
        <v/>
      </c>
      <c r="BZ961" s="21" t="str">
        <f t="shared" ca="1" si="100"/>
        <v>_</v>
      </c>
      <c r="CA961" s="21" t="str">
        <f ca="1">IFERROR(VLOOKUP(AP961,OFFSET(abbreviation[],0,ColumnLanguage),ColumnAbbreviation,FALSE),"")</f>
        <v/>
      </c>
      <c r="CB961" s="21" t="str">
        <f ca="1">IFERROR(VLOOKUP(AR961,OFFSET(abbreviation[],0,ColumnLanguage),ColumnAbbreviation,FALSE),"")</f>
        <v/>
      </c>
      <c r="CC961" s="21" t="str">
        <f ca="1">IFERROR(VLOOKUP(AT961,OFFSET(abbreviation[],0,ColumnLanguage),ColumnAbbreviation,FALSE),"")</f>
        <v/>
      </c>
      <c r="CD961" s="21" t="str">
        <f ca="1">IFERROR(VLOOKUP(AV961,OFFSET(abbreviation[],0,ColumnLanguage),ColumnAbbreviation,FALSE),"")</f>
        <v/>
      </c>
      <c r="CE961" s="21" t="str">
        <f t="shared" ca="1" si="101"/>
        <v>__</v>
      </c>
      <c r="CF961" s="21" t="str">
        <f ca="1">IFERROR(VLOOKUP(AX961,OFFSET(abbreviation[],0,ColumnLanguage),ColumnAbbreviation,FALSE),"")</f>
        <v/>
      </c>
      <c r="CG961" s="21" t="str">
        <f ca="1">IFERROR(VLOOKUP(AZ961,OFFSET(abbreviation[],0,ColumnLanguage),ColumnAbbreviation,FALSE),"")</f>
        <v/>
      </c>
      <c r="CH961" s="21" t="str">
        <f ca="1">IFERROR(VLOOKUP(BB961,OFFSET(abbreviation[],0,ColumnLanguage),ColumnAbbreviation,FALSE),"")</f>
        <v/>
      </c>
      <c r="CI961" s="21" t="str">
        <f ca="1">IFERROR(VLOOKUP(BD961,OFFSET(abbreviation[],0,ColumnLanguage),ColumnAbbreviation,FALSE),"")</f>
        <v/>
      </c>
      <c r="CJ961" s="21" t="str">
        <f ca="1">IFERROR(VLOOKUP(BF961,OFFSET(abbreviation[],0,ColumnLanguage),ColumnAbbreviation,FALSE),"")</f>
        <v/>
      </c>
      <c r="CK961" s="21" t="str">
        <f t="shared" ca="1" si="102"/>
        <v/>
      </c>
      <c r="CL961" s="21" t="str">
        <f t="shared" si="103"/>
        <v/>
      </c>
      <c r="CM961" s="52"/>
      <c r="CN961" s="57" t="str">
        <f t="shared" si="104"/>
        <v/>
      </c>
    </row>
    <row r="962" spans="17:92" x14ac:dyDescent="0.25">
      <c r="Q962" s="13"/>
      <c r="AN962" s="54"/>
      <c r="AS962" s="15"/>
      <c r="BH962" s="52"/>
      <c r="BI962" s="21" t="str">
        <f ca="1">IFERROR(VLOOKUP(C962,OFFSET(abbreviation[],0,ColumnLanguage),ColumnAbbreviation,FALSE),"")</f>
        <v/>
      </c>
      <c r="BJ962" s="21" t="str">
        <f ca="1">IFERROR(VLOOKUP(E962,OFFSET(abbreviation[],0,ColumnLanguage),ColumnAbbreviation,FALSE),"")</f>
        <v/>
      </c>
      <c r="BK962" s="21" t="str">
        <f ca="1">IFERROR(VLOOKUP(G962,OFFSET(abbreviation[],0,ColumnLanguage),ColumnAbbreviation,FALSE),"")</f>
        <v/>
      </c>
      <c r="BL962" s="21" t="str">
        <f ca="1">IFERROR(VLOOKUP(I962,OFFSET(abbreviation[],0,ColumnLanguage),ColumnAbbreviation,FALSE),"")</f>
        <v/>
      </c>
      <c r="BM962" s="21" t="str">
        <f ca="1">IFERROR(VLOOKUP(K962,OFFSET(abbreviation[],0,ColumnLanguage),ColumnAbbreviation,FALSE),"")</f>
        <v/>
      </c>
      <c r="BN962" s="21" t="str">
        <f t="shared" ca="1" si="98"/>
        <v/>
      </c>
      <c r="BO962" s="21" t="str">
        <f ca="1">IFERROR(VLOOKUP(N962,OFFSET(abbreviation[],0,ColumnLanguage),ColumnAbbreviation,FALSE),"")</f>
        <v/>
      </c>
      <c r="BP962" s="21" t="str">
        <f ca="1">IFERROR(VLOOKUP(P962,OFFSET(abbreviation[],0,ColumnLanguage),ColumnAbbreviation,FALSE),"")</f>
        <v/>
      </c>
      <c r="BQ962" s="21" t="str">
        <f ca="1">IFERROR(VLOOKUP(T962,OFFSET(abbreviation[],0,ColumnLanguage),ColumnAbbreviation,FALSE),"")</f>
        <v/>
      </c>
      <c r="BR962" s="21" t="str">
        <f ca="1">IFERROR(VLOOKUP(V962,OFFSET(abbreviation[],0,ColumnLanguage),ColumnAbbreviation,FALSE),"")</f>
        <v/>
      </c>
      <c r="BS962" s="21" t="str">
        <f ca="1">IFERROR(VLOOKUP(Z962,OFFSET(abbreviation[],0,ColumnLanguage),ColumnAbbreviation,FALSE),"")</f>
        <v/>
      </c>
      <c r="BT962" s="21" t="str">
        <f ca="1">IFERROR(VLOOKUP(AB962,OFFSET(abbreviation[],0,ColumnLanguage),ColumnAbbreviation,FALSE),"")</f>
        <v/>
      </c>
      <c r="BU962" s="21" t="str">
        <f t="shared" ca="1" si="99"/>
        <v>__</v>
      </c>
      <c r="BV962" s="21" t="str">
        <f ca="1">IFERROR(VLOOKUP(AF962,OFFSET(abbreviation[],0,ColumnLanguage),ColumnAbbreviation,FALSE),"")</f>
        <v/>
      </c>
      <c r="BW962" s="21" t="str">
        <f ca="1">IFERROR(VLOOKUP(AH962,OFFSET(abbreviation[],0,ColumnLanguage),ColumnAbbreviation,FALSE),"")</f>
        <v/>
      </c>
      <c r="BX962" s="21" t="str">
        <f ca="1">IFERROR(VLOOKUP(AJ962,OFFSET(abbreviation[],0,ColumnLanguage),ColumnAbbreviation,FALSE),"")</f>
        <v/>
      </c>
      <c r="BY962" s="21" t="str">
        <f ca="1">IFERROR(VLOOKUP(AL962,OFFSET(abbreviation[],0,ColumnLanguage),ColumnAbbreviation,FALSE),"")</f>
        <v/>
      </c>
      <c r="BZ962" s="21" t="str">
        <f t="shared" ca="1" si="100"/>
        <v>_</v>
      </c>
      <c r="CA962" s="21" t="str">
        <f ca="1">IFERROR(VLOOKUP(AP962,OFFSET(abbreviation[],0,ColumnLanguage),ColumnAbbreviation,FALSE),"")</f>
        <v/>
      </c>
      <c r="CB962" s="21" t="str">
        <f ca="1">IFERROR(VLOOKUP(AR962,OFFSET(abbreviation[],0,ColumnLanguage),ColumnAbbreviation,FALSE),"")</f>
        <v/>
      </c>
      <c r="CC962" s="21" t="str">
        <f ca="1">IFERROR(VLOOKUP(AT962,OFFSET(abbreviation[],0,ColumnLanguage),ColumnAbbreviation,FALSE),"")</f>
        <v/>
      </c>
      <c r="CD962" s="21" t="str">
        <f ca="1">IFERROR(VLOOKUP(AV962,OFFSET(abbreviation[],0,ColumnLanguage),ColumnAbbreviation,FALSE),"")</f>
        <v/>
      </c>
      <c r="CE962" s="21" t="str">
        <f t="shared" ca="1" si="101"/>
        <v>__</v>
      </c>
      <c r="CF962" s="21" t="str">
        <f ca="1">IFERROR(VLOOKUP(AX962,OFFSET(abbreviation[],0,ColumnLanguage),ColumnAbbreviation,FALSE),"")</f>
        <v/>
      </c>
      <c r="CG962" s="21" t="str">
        <f ca="1">IFERROR(VLOOKUP(AZ962,OFFSET(abbreviation[],0,ColumnLanguage),ColumnAbbreviation,FALSE),"")</f>
        <v/>
      </c>
      <c r="CH962" s="21" t="str">
        <f ca="1">IFERROR(VLOOKUP(BB962,OFFSET(abbreviation[],0,ColumnLanguage),ColumnAbbreviation,FALSE),"")</f>
        <v/>
      </c>
      <c r="CI962" s="21" t="str">
        <f ca="1">IFERROR(VLOOKUP(BD962,OFFSET(abbreviation[],0,ColumnLanguage),ColumnAbbreviation,FALSE),"")</f>
        <v/>
      </c>
      <c r="CJ962" s="21" t="str">
        <f ca="1">IFERROR(VLOOKUP(BF962,OFFSET(abbreviation[],0,ColumnLanguage),ColumnAbbreviation,FALSE),"")</f>
        <v/>
      </c>
      <c r="CK962" s="21" t="str">
        <f t="shared" ca="1" si="102"/>
        <v/>
      </c>
      <c r="CL962" s="21" t="str">
        <f t="shared" si="103"/>
        <v/>
      </c>
      <c r="CM962" s="52"/>
      <c r="CN962" s="57" t="str">
        <f t="shared" si="104"/>
        <v/>
      </c>
    </row>
    <row r="963" spans="17:92" x14ac:dyDescent="0.25">
      <c r="Q963" s="13"/>
      <c r="AN963" s="54"/>
      <c r="AS963" s="15"/>
      <c r="BH963" s="52"/>
      <c r="BI963" s="21" t="str">
        <f ca="1">IFERROR(VLOOKUP(C963,OFFSET(abbreviation[],0,ColumnLanguage),ColumnAbbreviation,FALSE),"")</f>
        <v/>
      </c>
      <c r="BJ963" s="21" t="str">
        <f ca="1">IFERROR(VLOOKUP(E963,OFFSET(abbreviation[],0,ColumnLanguage),ColumnAbbreviation,FALSE),"")</f>
        <v/>
      </c>
      <c r="BK963" s="21" t="str">
        <f ca="1">IFERROR(VLOOKUP(G963,OFFSET(abbreviation[],0,ColumnLanguage),ColumnAbbreviation,FALSE),"")</f>
        <v/>
      </c>
      <c r="BL963" s="21" t="str">
        <f ca="1">IFERROR(VLOOKUP(I963,OFFSET(abbreviation[],0,ColumnLanguage),ColumnAbbreviation,FALSE),"")</f>
        <v/>
      </c>
      <c r="BM963" s="21" t="str">
        <f ca="1">IFERROR(VLOOKUP(K963,OFFSET(abbreviation[],0,ColumnLanguage),ColumnAbbreviation,FALSE),"")</f>
        <v/>
      </c>
      <c r="BN963" s="21" t="str">
        <f t="shared" ca="1" si="98"/>
        <v/>
      </c>
      <c r="BO963" s="21" t="str">
        <f ca="1">IFERROR(VLOOKUP(N963,OFFSET(abbreviation[],0,ColumnLanguage),ColumnAbbreviation,FALSE),"")</f>
        <v/>
      </c>
      <c r="BP963" s="21" t="str">
        <f ca="1">IFERROR(VLOOKUP(P963,OFFSET(abbreviation[],0,ColumnLanguage),ColumnAbbreviation,FALSE),"")</f>
        <v/>
      </c>
      <c r="BQ963" s="21" t="str">
        <f ca="1">IFERROR(VLOOKUP(T963,OFFSET(abbreviation[],0,ColumnLanguage),ColumnAbbreviation,FALSE),"")</f>
        <v/>
      </c>
      <c r="BR963" s="21" t="str">
        <f ca="1">IFERROR(VLOOKUP(V963,OFFSET(abbreviation[],0,ColumnLanguage),ColumnAbbreviation,FALSE),"")</f>
        <v/>
      </c>
      <c r="BS963" s="21" t="str">
        <f ca="1">IFERROR(VLOOKUP(Z963,OFFSET(abbreviation[],0,ColumnLanguage),ColumnAbbreviation,FALSE),"")</f>
        <v/>
      </c>
      <c r="BT963" s="21" t="str">
        <f ca="1">IFERROR(VLOOKUP(AB963,OFFSET(abbreviation[],0,ColumnLanguage),ColumnAbbreviation,FALSE),"")</f>
        <v/>
      </c>
      <c r="BU963" s="21" t="str">
        <f t="shared" ca="1" si="99"/>
        <v>__</v>
      </c>
      <c r="BV963" s="21" t="str">
        <f ca="1">IFERROR(VLOOKUP(AF963,OFFSET(abbreviation[],0,ColumnLanguage),ColumnAbbreviation,FALSE),"")</f>
        <v/>
      </c>
      <c r="BW963" s="21" t="str">
        <f ca="1">IFERROR(VLOOKUP(AH963,OFFSET(abbreviation[],0,ColumnLanguage),ColumnAbbreviation,FALSE),"")</f>
        <v/>
      </c>
      <c r="BX963" s="21" t="str">
        <f ca="1">IFERROR(VLOOKUP(AJ963,OFFSET(abbreviation[],0,ColumnLanguage),ColumnAbbreviation,FALSE),"")</f>
        <v/>
      </c>
      <c r="BY963" s="21" t="str">
        <f ca="1">IFERROR(VLOOKUP(AL963,OFFSET(abbreviation[],0,ColumnLanguage),ColumnAbbreviation,FALSE),"")</f>
        <v/>
      </c>
      <c r="BZ963" s="21" t="str">
        <f t="shared" ca="1" si="100"/>
        <v>_</v>
      </c>
      <c r="CA963" s="21" t="str">
        <f ca="1">IFERROR(VLOOKUP(AP963,OFFSET(abbreviation[],0,ColumnLanguage),ColumnAbbreviation,FALSE),"")</f>
        <v/>
      </c>
      <c r="CB963" s="21" t="str">
        <f ca="1">IFERROR(VLOOKUP(AR963,OFFSET(abbreviation[],0,ColumnLanguage),ColumnAbbreviation,FALSE),"")</f>
        <v/>
      </c>
      <c r="CC963" s="21" t="str">
        <f ca="1">IFERROR(VLOOKUP(AT963,OFFSET(abbreviation[],0,ColumnLanguage),ColumnAbbreviation,FALSE),"")</f>
        <v/>
      </c>
      <c r="CD963" s="21" t="str">
        <f ca="1">IFERROR(VLOOKUP(AV963,OFFSET(abbreviation[],0,ColumnLanguage),ColumnAbbreviation,FALSE),"")</f>
        <v/>
      </c>
      <c r="CE963" s="21" t="str">
        <f t="shared" ca="1" si="101"/>
        <v>__</v>
      </c>
      <c r="CF963" s="21" t="str">
        <f ca="1">IFERROR(VLOOKUP(AX963,OFFSET(abbreviation[],0,ColumnLanguage),ColumnAbbreviation,FALSE),"")</f>
        <v/>
      </c>
      <c r="CG963" s="21" t="str">
        <f ca="1">IFERROR(VLOOKUP(AZ963,OFFSET(abbreviation[],0,ColumnLanguage),ColumnAbbreviation,FALSE),"")</f>
        <v/>
      </c>
      <c r="CH963" s="21" t="str">
        <f ca="1">IFERROR(VLOOKUP(BB963,OFFSET(abbreviation[],0,ColumnLanguage),ColumnAbbreviation,FALSE),"")</f>
        <v/>
      </c>
      <c r="CI963" s="21" t="str">
        <f ca="1">IFERROR(VLOOKUP(BD963,OFFSET(abbreviation[],0,ColumnLanguage),ColumnAbbreviation,FALSE),"")</f>
        <v/>
      </c>
      <c r="CJ963" s="21" t="str">
        <f ca="1">IFERROR(VLOOKUP(BF963,OFFSET(abbreviation[],0,ColumnLanguage),ColumnAbbreviation,FALSE),"")</f>
        <v/>
      </c>
      <c r="CK963" s="21" t="str">
        <f t="shared" ca="1" si="102"/>
        <v/>
      </c>
      <c r="CL963" s="21" t="str">
        <f t="shared" si="103"/>
        <v/>
      </c>
      <c r="CM963" s="52"/>
      <c r="CN963" s="57" t="str">
        <f t="shared" si="104"/>
        <v/>
      </c>
    </row>
    <row r="964" spans="17:92" x14ac:dyDescent="0.25">
      <c r="Q964" s="13"/>
      <c r="AN964" s="54"/>
      <c r="AS964" s="15"/>
      <c r="BH964" s="52"/>
      <c r="BI964" s="21" t="str">
        <f ca="1">IFERROR(VLOOKUP(C964,OFFSET(abbreviation[],0,ColumnLanguage),ColumnAbbreviation,FALSE),"")</f>
        <v/>
      </c>
      <c r="BJ964" s="21" t="str">
        <f ca="1">IFERROR(VLOOKUP(E964,OFFSET(abbreviation[],0,ColumnLanguage),ColumnAbbreviation,FALSE),"")</f>
        <v/>
      </c>
      <c r="BK964" s="21" t="str">
        <f ca="1">IFERROR(VLOOKUP(G964,OFFSET(abbreviation[],0,ColumnLanguage),ColumnAbbreviation,FALSE),"")</f>
        <v/>
      </c>
      <c r="BL964" s="21" t="str">
        <f ca="1">IFERROR(VLOOKUP(I964,OFFSET(abbreviation[],0,ColumnLanguage),ColumnAbbreviation,FALSE),"")</f>
        <v/>
      </c>
      <c r="BM964" s="21" t="str">
        <f ca="1">IFERROR(VLOOKUP(K964,OFFSET(abbreviation[],0,ColumnLanguage),ColumnAbbreviation,FALSE),"")</f>
        <v/>
      </c>
      <c r="BN964" s="21" t="str">
        <f t="shared" ref="BN964:BN1006" ca="1" si="105">(BI964&amp;IF(OR(ISNUMBER(D964),ISTEXT(D964)),"-"&amp;D964,))&amp;(IF(ISTEXT(E964),"_",)&amp;BJ964&amp;IF(OR(ISNUMBER(F964),ISTEXT(F964)),"-"&amp;F964,))&amp;(IF(ISTEXT(G964),"_",)&amp;BK964&amp;IF(OR(ISNUMBER(H964),ISTEXT(H964)),"-"&amp;H964,))&amp;(IF(ISTEXT(I964),"_",)&amp;BL964&amp;IF(OR(ISNUMBER(J964),ISTEXT(J964)),"-"&amp;J964,))&amp;(IF(ISTEXT(K964),"_",)&amp;BM964&amp;IF(OR(ISNUMBER(L964),ISTEXT(L964)),"-"&amp;L964,)&amp;IF(AND(ISTEXT(BI964),BI964&lt;&gt;""),"_._",))</f>
        <v/>
      </c>
      <c r="BO964" s="21" t="str">
        <f ca="1">IFERROR(VLOOKUP(N964,OFFSET(abbreviation[],0,ColumnLanguage),ColumnAbbreviation,FALSE),"")</f>
        <v/>
      </c>
      <c r="BP964" s="21" t="str">
        <f ca="1">IFERROR(VLOOKUP(P964,OFFSET(abbreviation[],0,ColumnLanguage),ColumnAbbreviation,FALSE),"")</f>
        <v/>
      </c>
      <c r="BQ964" s="21" t="str">
        <f ca="1">IFERROR(VLOOKUP(T964,OFFSET(abbreviation[],0,ColumnLanguage),ColumnAbbreviation,FALSE),"")</f>
        <v/>
      </c>
      <c r="BR964" s="21" t="str">
        <f ca="1">IFERROR(VLOOKUP(V964,OFFSET(abbreviation[],0,ColumnLanguage),ColumnAbbreviation,FALSE),"")</f>
        <v/>
      </c>
      <c r="BS964" s="21" t="str">
        <f ca="1">IFERROR(VLOOKUP(Z964,OFFSET(abbreviation[],0,ColumnLanguage),ColumnAbbreviation,FALSE),"")</f>
        <v/>
      </c>
      <c r="BT964" s="21" t="str">
        <f ca="1">IFERROR(VLOOKUP(AB964,OFFSET(abbreviation[],0,ColumnLanguage),ColumnAbbreviation,FALSE),"")</f>
        <v/>
      </c>
      <c r="BU964" s="21" t="str">
        <f t="shared" ref="BU964:BU1006" ca="1" si="106">(BO964&amp;IF(ISTEXT(P964),"."&amp;BP964,)&amp;IF(OR(ISTEXT(R964),ISNUMBER(R964)),"-"&amp;R964,))&amp;("_"&amp;BQ964&amp;IF(ISTEXT(V964),"."&amp;BR964,)&amp;IF(OR(ISTEXT(X964),ISNUMBER(X964)),"-"&amp;X964,))&amp;("_"&amp;BS964&amp;IF(ISTEXT(AB964),"."&amp;BT964,)&amp;IF(OR(ISTEXT(AD964),ISNUMBER(AD964)),"-"&amp;AD964,))</f>
        <v>__</v>
      </c>
      <c r="BV964" s="21" t="str">
        <f ca="1">IFERROR(VLOOKUP(AF964,OFFSET(abbreviation[],0,ColumnLanguage),ColumnAbbreviation,FALSE),"")</f>
        <v/>
      </c>
      <c r="BW964" s="21" t="str">
        <f ca="1">IFERROR(VLOOKUP(AH964,OFFSET(abbreviation[],0,ColumnLanguage),ColumnAbbreviation,FALSE),"")</f>
        <v/>
      </c>
      <c r="BX964" s="21" t="str">
        <f ca="1">IFERROR(VLOOKUP(AJ964,OFFSET(abbreviation[],0,ColumnLanguage),ColumnAbbreviation,FALSE),"")</f>
        <v/>
      </c>
      <c r="BY964" s="21" t="str">
        <f ca="1">IFERROR(VLOOKUP(AL964,OFFSET(abbreviation[],0,ColumnLanguage),ColumnAbbreviation,FALSE),"")</f>
        <v/>
      </c>
      <c r="BZ964" s="21" t="str">
        <f t="shared" ref="BZ964:BZ1006" ca="1" si="107">("_"&amp;BV964&amp;IF(ISTEXT(AH964),"."&amp;BW964,)&amp;IF(ISTEXT(AJ964),"."&amp;BX964,)&amp;IF(ISTEXT(AL964),"."&amp;BY964,)&amp;IF(OR(ISTEXT(AN964),ISNUMBER(AN964)),"-"&amp;AN964,))</f>
        <v>_</v>
      </c>
      <c r="CA964" s="21" t="str">
        <f ca="1">IFERROR(VLOOKUP(AP964,OFFSET(abbreviation[],0,ColumnLanguage),ColumnAbbreviation,FALSE),"")</f>
        <v/>
      </c>
      <c r="CB964" s="21" t="str">
        <f ca="1">IFERROR(VLOOKUP(AR964,OFFSET(abbreviation[],0,ColumnLanguage),ColumnAbbreviation,FALSE),"")</f>
        <v/>
      </c>
      <c r="CC964" s="21" t="str">
        <f ca="1">IFERROR(VLOOKUP(AT964,OFFSET(abbreviation[],0,ColumnLanguage),ColumnAbbreviation,FALSE),"")</f>
        <v/>
      </c>
      <c r="CD964" s="21" t="str">
        <f ca="1">IFERROR(VLOOKUP(AV964,OFFSET(abbreviation[],0,ColumnLanguage),ColumnAbbreviation,FALSE),"")</f>
        <v/>
      </c>
      <c r="CE964" s="21" t="str">
        <f t="shared" ref="CE964:CE1006" ca="1" si="108">("_"&amp;CA964&amp;IF(ISTEXT(AR964),"."&amp;CB964,)&amp;IF(ISTEXT(AT964),"."&amp;CC964,))&amp;"_"&amp;CD964</f>
        <v>__</v>
      </c>
      <c r="CF964" s="21" t="str">
        <f ca="1">IFERROR(VLOOKUP(AX964,OFFSET(abbreviation[],0,ColumnLanguage),ColumnAbbreviation,FALSE),"")</f>
        <v/>
      </c>
      <c r="CG964" s="21" t="str">
        <f ca="1">IFERROR(VLOOKUP(AZ964,OFFSET(abbreviation[],0,ColumnLanguage),ColumnAbbreviation,FALSE),"")</f>
        <v/>
      </c>
      <c r="CH964" s="21" t="str">
        <f ca="1">IFERROR(VLOOKUP(BB964,OFFSET(abbreviation[],0,ColumnLanguage),ColumnAbbreviation,FALSE),"")</f>
        <v/>
      </c>
      <c r="CI964" s="21" t="str">
        <f ca="1">IFERROR(VLOOKUP(BD964,OFFSET(abbreviation[],0,ColumnLanguage),ColumnAbbreviation,FALSE),"")</f>
        <v/>
      </c>
      <c r="CJ964" s="21" t="str">
        <f ca="1">IFERROR(VLOOKUP(BF964,OFFSET(abbreviation[],0,ColumnLanguage),ColumnAbbreviation,FALSE),"")</f>
        <v/>
      </c>
      <c r="CK964" s="21" t="str">
        <f t="shared" ref="CK964:CK1006" ca="1" si="109">(IF(ISTEXT(AX964),"_._",""))&amp;(IF(ISTEXT(AX964),"_",)&amp;CF964&amp;IF(OR(ISNUMBER(AY964),ISTEXT(AY964)),"-"&amp;AY964,))&amp;(IF(ISTEXT(AZ964),"_",)&amp;CG964&amp;IF(OR(ISNUMBER(BA964),ISTEXT(BA964)),"-"&amp;BA964,))&amp;(IF(ISTEXT(BB964),"_",)&amp;CH964&amp;IF(OR(ISNUMBER(BC964),ISTEXT(BC964)),"-"&amp;BC964,))&amp;(IF(ISTEXT(BD964),"_",)&amp;CI964&amp;IF(OR(ISNUMBER(BE964),ISTEXT(BE964)),"-"&amp;BE964,))&amp;(IF(ISTEXT(BF964),"_",)&amp;CJ964&amp;IF(OR(ISNUMBER(BG964),ISTEXT(BG964)),"-"&amp;BG964,))</f>
        <v/>
      </c>
      <c r="CL964" s="21" t="str">
        <f t="shared" ref="CL964:CL1006" si="110">IF(OR(N964&lt;&gt;"",T964&lt;&gt;"",C964&lt;&gt;"",A964&lt;&gt;""),(BN964&amp;BU964&amp;BZ964&amp;CE964&amp;CK964),"")</f>
        <v/>
      </c>
      <c r="CM964" s="52"/>
      <c r="CN964" s="57" t="str">
        <f t="shared" ref="CN964:CN1006" si="111">CL964</f>
        <v/>
      </c>
    </row>
    <row r="965" spans="17:92" x14ac:dyDescent="0.25">
      <c r="Q965" s="13"/>
      <c r="AN965" s="54"/>
      <c r="AS965" s="15"/>
      <c r="BH965" s="52"/>
      <c r="BI965" s="21" t="str">
        <f ca="1">IFERROR(VLOOKUP(C965,OFFSET(abbreviation[],0,ColumnLanguage),ColumnAbbreviation,FALSE),"")</f>
        <v/>
      </c>
      <c r="BJ965" s="21" t="str">
        <f ca="1">IFERROR(VLOOKUP(E965,OFFSET(abbreviation[],0,ColumnLanguage),ColumnAbbreviation,FALSE),"")</f>
        <v/>
      </c>
      <c r="BK965" s="21" t="str">
        <f ca="1">IFERROR(VLOOKUP(G965,OFFSET(abbreviation[],0,ColumnLanguage),ColumnAbbreviation,FALSE),"")</f>
        <v/>
      </c>
      <c r="BL965" s="21" t="str">
        <f ca="1">IFERROR(VLOOKUP(I965,OFFSET(abbreviation[],0,ColumnLanguage),ColumnAbbreviation,FALSE),"")</f>
        <v/>
      </c>
      <c r="BM965" s="21" t="str">
        <f ca="1">IFERROR(VLOOKUP(K965,OFFSET(abbreviation[],0,ColumnLanguage),ColumnAbbreviation,FALSE),"")</f>
        <v/>
      </c>
      <c r="BN965" s="21" t="str">
        <f t="shared" ca="1" si="105"/>
        <v/>
      </c>
      <c r="BO965" s="21" t="str">
        <f ca="1">IFERROR(VLOOKUP(N965,OFFSET(abbreviation[],0,ColumnLanguage),ColumnAbbreviation,FALSE),"")</f>
        <v/>
      </c>
      <c r="BP965" s="21" t="str">
        <f ca="1">IFERROR(VLOOKUP(P965,OFFSET(abbreviation[],0,ColumnLanguage),ColumnAbbreviation,FALSE),"")</f>
        <v/>
      </c>
      <c r="BQ965" s="21" t="str">
        <f ca="1">IFERROR(VLOOKUP(T965,OFFSET(abbreviation[],0,ColumnLanguage),ColumnAbbreviation,FALSE),"")</f>
        <v/>
      </c>
      <c r="BR965" s="21" t="str">
        <f ca="1">IFERROR(VLOOKUP(V965,OFFSET(abbreviation[],0,ColumnLanguage),ColumnAbbreviation,FALSE),"")</f>
        <v/>
      </c>
      <c r="BS965" s="21" t="str">
        <f ca="1">IFERROR(VLOOKUP(Z965,OFFSET(abbreviation[],0,ColumnLanguage),ColumnAbbreviation,FALSE),"")</f>
        <v/>
      </c>
      <c r="BT965" s="21" t="str">
        <f ca="1">IFERROR(VLOOKUP(AB965,OFFSET(abbreviation[],0,ColumnLanguage),ColumnAbbreviation,FALSE),"")</f>
        <v/>
      </c>
      <c r="BU965" s="21" t="str">
        <f t="shared" ca="1" si="106"/>
        <v>__</v>
      </c>
      <c r="BV965" s="21" t="str">
        <f ca="1">IFERROR(VLOOKUP(AF965,OFFSET(abbreviation[],0,ColumnLanguage),ColumnAbbreviation,FALSE),"")</f>
        <v/>
      </c>
      <c r="BW965" s="21" t="str">
        <f ca="1">IFERROR(VLOOKUP(AH965,OFFSET(abbreviation[],0,ColumnLanguage),ColumnAbbreviation,FALSE),"")</f>
        <v/>
      </c>
      <c r="BX965" s="21" t="str">
        <f ca="1">IFERROR(VLOOKUP(AJ965,OFFSET(abbreviation[],0,ColumnLanguage),ColumnAbbreviation,FALSE),"")</f>
        <v/>
      </c>
      <c r="BY965" s="21" t="str">
        <f ca="1">IFERROR(VLOOKUP(AL965,OFFSET(abbreviation[],0,ColumnLanguage),ColumnAbbreviation,FALSE),"")</f>
        <v/>
      </c>
      <c r="BZ965" s="21" t="str">
        <f t="shared" ca="1" si="107"/>
        <v>_</v>
      </c>
      <c r="CA965" s="21" t="str">
        <f ca="1">IFERROR(VLOOKUP(AP965,OFFSET(abbreviation[],0,ColumnLanguage),ColumnAbbreviation,FALSE),"")</f>
        <v/>
      </c>
      <c r="CB965" s="21" t="str">
        <f ca="1">IFERROR(VLOOKUP(AR965,OFFSET(abbreviation[],0,ColumnLanguage),ColumnAbbreviation,FALSE),"")</f>
        <v/>
      </c>
      <c r="CC965" s="21" t="str">
        <f ca="1">IFERROR(VLOOKUP(AT965,OFFSET(abbreviation[],0,ColumnLanguage),ColumnAbbreviation,FALSE),"")</f>
        <v/>
      </c>
      <c r="CD965" s="21" t="str">
        <f ca="1">IFERROR(VLOOKUP(AV965,OFFSET(abbreviation[],0,ColumnLanguage),ColumnAbbreviation,FALSE),"")</f>
        <v/>
      </c>
      <c r="CE965" s="21" t="str">
        <f t="shared" ca="1" si="108"/>
        <v>__</v>
      </c>
      <c r="CF965" s="21" t="str">
        <f ca="1">IFERROR(VLOOKUP(AX965,OFFSET(abbreviation[],0,ColumnLanguage),ColumnAbbreviation,FALSE),"")</f>
        <v/>
      </c>
      <c r="CG965" s="21" t="str">
        <f ca="1">IFERROR(VLOOKUP(AZ965,OFFSET(abbreviation[],0,ColumnLanguage),ColumnAbbreviation,FALSE),"")</f>
        <v/>
      </c>
      <c r="CH965" s="21" t="str">
        <f ca="1">IFERROR(VLOOKUP(BB965,OFFSET(abbreviation[],0,ColumnLanguage),ColumnAbbreviation,FALSE),"")</f>
        <v/>
      </c>
      <c r="CI965" s="21" t="str">
        <f ca="1">IFERROR(VLOOKUP(BD965,OFFSET(abbreviation[],0,ColumnLanguage),ColumnAbbreviation,FALSE),"")</f>
        <v/>
      </c>
      <c r="CJ965" s="21" t="str">
        <f ca="1">IFERROR(VLOOKUP(BF965,OFFSET(abbreviation[],0,ColumnLanguage),ColumnAbbreviation,FALSE),"")</f>
        <v/>
      </c>
      <c r="CK965" s="21" t="str">
        <f t="shared" ca="1" si="109"/>
        <v/>
      </c>
      <c r="CL965" s="21" t="str">
        <f t="shared" si="110"/>
        <v/>
      </c>
      <c r="CM965" s="52"/>
      <c r="CN965" s="57" t="str">
        <f t="shared" si="111"/>
        <v/>
      </c>
    </row>
    <row r="966" spans="17:92" x14ac:dyDescent="0.25">
      <c r="Q966" s="13"/>
      <c r="AN966" s="54"/>
      <c r="AS966" s="15"/>
      <c r="BH966" s="52"/>
      <c r="BI966" s="21" t="str">
        <f ca="1">IFERROR(VLOOKUP(C966,OFFSET(abbreviation[],0,ColumnLanguage),ColumnAbbreviation,FALSE),"")</f>
        <v/>
      </c>
      <c r="BJ966" s="21" t="str">
        <f ca="1">IFERROR(VLOOKUP(E966,OFFSET(abbreviation[],0,ColumnLanguage),ColumnAbbreviation,FALSE),"")</f>
        <v/>
      </c>
      <c r="BK966" s="21" t="str">
        <f ca="1">IFERROR(VLOOKUP(G966,OFFSET(abbreviation[],0,ColumnLanguage),ColumnAbbreviation,FALSE),"")</f>
        <v/>
      </c>
      <c r="BL966" s="21" t="str">
        <f ca="1">IFERROR(VLOOKUP(I966,OFFSET(abbreviation[],0,ColumnLanguage),ColumnAbbreviation,FALSE),"")</f>
        <v/>
      </c>
      <c r="BM966" s="21" t="str">
        <f ca="1">IFERROR(VLOOKUP(K966,OFFSET(abbreviation[],0,ColumnLanguage),ColumnAbbreviation,FALSE),"")</f>
        <v/>
      </c>
      <c r="BN966" s="21" t="str">
        <f t="shared" ca="1" si="105"/>
        <v/>
      </c>
      <c r="BO966" s="21" t="str">
        <f ca="1">IFERROR(VLOOKUP(N966,OFFSET(abbreviation[],0,ColumnLanguage),ColumnAbbreviation,FALSE),"")</f>
        <v/>
      </c>
      <c r="BP966" s="21" t="str">
        <f ca="1">IFERROR(VLOOKUP(P966,OFFSET(abbreviation[],0,ColumnLanguage),ColumnAbbreviation,FALSE),"")</f>
        <v/>
      </c>
      <c r="BQ966" s="21" t="str">
        <f ca="1">IFERROR(VLOOKUP(T966,OFFSET(abbreviation[],0,ColumnLanguage),ColumnAbbreviation,FALSE),"")</f>
        <v/>
      </c>
      <c r="BR966" s="21" t="str">
        <f ca="1">IFERROR(VLOOKUP(V966,OFFSET(abbreviation[],0,ColumnLanguage),ColumnAbbreviation,FALSE),"")</f>
        <v/>
      </c>
      <c r="BS966" s="21" t="str">
        <f ca="1">IFERROR(VLOOKUP(Z966,OFFSET(abbreviation[],0,ColumnLanguage),ColumnAbbreviation,FALSE),"")</f>
        <v/>
      </c>
      <c r="BT966" s="21" t="str">
        <f ca="1">IFERROR(VLOOKUP(AB966,OFFSET(abbreviation[],0,ColumnLanguage),ColumnAbbreviation,FALSE),"")</f>
        <v/>
      </c>
      <c r="BU966" s="21" t="str">
        <f t="shared" ca="1" si="106"/>
        <v>__</v>
      </c>
      <c r="BV966" s="21" t="str">
        <f ca="1">IFERROR(VLOOKUP(AF966,OFFSET(abbreviation[],0,ColumnLanguage),ColumnAbbreviation,FALSE),"")</f>
        <v/>
      </c>
      <c r="BW966" s="21" t="str">
        <f ca="1">IFERROR(VLOOKUP(AH966,OFFSET(abbreviation[],0,ColumnLanguage),ColumnAbbreviation,FALSE),"")</f>
        <v/>
      </c>
      <c r="BX966" s="21" t="str">
        <f ca="1">IFERROR(VLOOKUP(AJ966,OFFSET(abbreviation[],0,ColumnLanguage),ColumnAbbreviation,FALSE),"")</f>
        <v/>
      </c>
      <c r="BY966" s="21" t="str">
        <f ca="1">IFERROR(VLOOKUP(AL966,OFFSET(abbreviation[],0,ColumnLanguage),ColumnAbbreviation,FALSE),"")</f>
        <v/>
      </c>
      <c r="BZ966" s="21" t="str">
        <f t="shared" ca="1" si="107"/>
        <v>_</v>
      </c>
      <c r="CA966" s="21" t="str">
        <f ca="1">IFERROR(VLOOKUP(AP966,OFFSET(abbreviation[],0,ColumnLanguage),ColumnAbbreviation,FALSE),"")</f>
        <v/>
      </c>
      <c r="CB966" s="21" t="str">
        <f ca="1">IFERROR(VLOOKUP(AR966,OFFSET(abbreviation[],0,ColumnLanguage),ColumnAbbreviation,FALSE),"")</f>
        <v/>
      </c>
      <c r="CC966" s="21" t="str">
        <f ca="1">IFERROR(VLOOKUP(AT966,OFFSET(abbreviation[],0,ColumnLanguage),ColumnAbbreviation,FALSE),"")</f>
        <v/>
      </c>
      <c r="CD966" s="21" t="str">
        <f ca="1">IFERROR(VLOOKUP(AV966,OFFSET(abbreviation[],0,ColumnLanguage),ColumnAbbreviation,FALSE),"")</f>
        <v/>
      </c>
      <c r="CE966" s="21" t="str">
        <f t="shared" ca="1" si="108"/>
        <v>__</v>
      </c>
      <c r="CF966" s="21" t="str">
        <f ca="1">IFERROR(VLOOKUP(AX966,OFFSET(abbreviation[],0,ColumnLanguage),ColumnAbbreviation,FALSE),"")</f>
        <v/>
      </c>
      <c r="CG966" s="21" t="str">
        <f ca="1">IFERROR(VLOOKUP(AZ966,OFFSET(abbreviation[],0,ColumnLanguage),ColumnAbbreviation,FALSE),"")</f>
        <v/>
      </c>
      <c r="CH966" s="21" t="str">
        <f ca="1">IFERROR(VLOOKUP(BB966,OFFSET(abbreviation[],0,ColumnLanguage),ColumnAbbreviation,FALSE),"")</f>
        <v/>
      </c>
      <c r="CI966" s="21" t="str">
        <f ca="1">IFERROR(VLOOKUP(BD966,OFFSET(abbreviation[],0,ColumnLanguage),ColumnAbbreviation,FALSE),"")</f>
        <v/>
      </c>
      <c r="CJ966" s="21" t="str">
        <f ca="1">IFERROR(VLOOKUP(BF966,OFFSET(abbreviation[],0,ColumnLanguage),ColumnAbbreviation,FALSE),"")</f>
        <v/>
      </c>
      <c r="CK966" s="21" t="str">
        <f t="shared" ca="1" si="109"/>
        <v/>
      </c>
      <c r="CL966" s="21" t="str">
        <f t="shared" si="110"/>
        <v/>
      </c>
      <c r="CM966" s="52"/>
      <c r="CN966" s="57" t="str">
        <f t="shared" si="111"/>
        <v/>
      </c>
    </row>
    <row r="967" spans="17:92" x14ac:dyDescent="0.25">
      <c r="Q967" s="13"/>
      <c r="AN967" s="54"/>
      <c r="AS967" s="15"/>
      <c r="BH967" s="52"/>
      <c r="BI967" s="21" t="str">
        <f ca="1">IFERROR(VLOOKUP(C967,OFFSET(abbreviation[],0,ColumnLanguage),ColumnAbbreviation,FALSE),"")</f>
        <v/>
      </c>
      <c r="BJ967" s="21" t="str">
        <f ca="1">IFERROR(VLOOKUP(E967,OFFSET(abbreviation[],0,ColumnLanguage),ColumnAbbreviation,FALSE),"")</f>
        <v/>
      </c>
      <c r="BK967" s="21" t="str">
        <f ca="1">IFERROR(VLOOKUP(G967,OFFSET(abbreviation[],0,ColumnLanguage),ColumnAbbreviation,FALSE),"")</f>
        <v/>
      </c>
      <c r="BL967" s="21" t="str">
        <f ca="1">IFERROR(VLOOKUP(I967,OFFSET(abbreviation[],0,ColumnLanguage),ColumnAbbreviation,FALSE),"")</f>
        <v/>
      </c>
      <c r="BM967" s="21" t="str">
        <f ca="1">IFERROR(VLOOKUP(K967,OFFSET(abbreviation[],0,ColumnLanguage),ColumnAbbreviation,FALSE),"")</f>
        <v/>
      </c>
      <c r="BN967" s="21" t="str">
        <f t="shared" ca="1" si="105"/>
        <v/>
      </c>
      <c r="BO967" s="21" t="str">
        <f ca="1">IFERROR(VLOOKUP(N967,OFFSET(abbreviation[],0,ColumnLanguage),ColumnAbbreviation,FALSE),"")</f>
        <v/>
      </c>
      <c r="BP967" s="21" t="str">
        <f ca="1">IFERROR(VLOOKUP(P967,OFFSET(abbreviation[],0,ColumnLanguage),ColumnAbbreviation,FALSE),"")</f>
        <v/>
      </c>
      <c r="BQ967" s="21" t="str">
        <f ca="1">IFERROR(VLOOKUP(T967,OFFSET(abbreviation[],0,ColumnLanguage),ColumnAbbreviation,FALSE),"")</f>
        <v/>
      </c>
      <c r="BR967" s="21" t="str">
        <f ca="1">IFERROR(VLOOKUP(V967,OFFSET(abbreviation[],0,ColumnLanguage),ColumnAbbreviation,FALSE),"")</f>
        <v/>
      </c>
      <c r="BS967" s="21" t="str">
        <f ca="1">IFERROR(VLOOKUP(Z967,OFFSET(abbreviation[],0,ColumnLanguage),ColumnAbbreviation,FALSE),"")</f>
        <v/>
      </c>
      <c r="BT967" s="21" t="str">
        <f ca="1">IFERROR(VLOOKUP(AB967,OFFSET(abbreviation[],0,ColumnLanguage),ColumnAbbreviation,FALSE),"")</f>
        <v/>
      </c>
      <c r="BU967" s="21" t="str">
        <f t="shared" ca="1" si="106"/>
        <v>__</v>
      </c>
      <c r="BV967" s="21" t="str">
        <f ca="1">IFERROR(VLOOKUP(AF967,OFFSET(abbreviation[],0,ColumnLanguage),ColumnAbbreviation,FALSE),"")</f>
        <v/>
      </c>
      <c r="BW967" s="21" t="str">
        <f ca="1">IFERROR(VLOOKUP(AH967,OFFSET(abbreviation[],0,ColumnLanguage),ColumnAbbreviation,FALSE),"")</f>
        <v/>
      </c>
      <c r="BX967" s="21" t="str">
        <f ca="1">IFERROR(VLOOKUP(AJ967,OFFSET(abbreviation[],0,ColumnLanguage),ColumnAbbreviation,FALSE),"")</f>
        <v/>
      </c>
      <c r="BY967" s="21" t="str">
        <f ca="1">IFERROR(VLOOKUP(AL967,OFFSET(abbreviation[],0,ColumnLanguage),ColumnAbbreviation,FALSE),"")</f>
        <v/>
      </c>
      <c r="BZ967" s="21" t="str">
        <f t="shared" ca="1" si="107"/>
        <v>_</v>
      </c>
      <c r="CA967" s="21" t="str">
        <f ca="1">IFERROR(VLOOKUP(AP967,OFFSET(abbreviation[],0,ColumnLanguage),ColumnAbbreviation,FALSE),"")</f>
        <v/>
      </c>
      <c r="CB967" s="21" t="str">
        <f ca="1">IFERROR(VLOOKUP(AR967,OFFSET(abbreviation[],0,ColumnLanguage),ColumnAbbreviation,FALSE),"")</f>
        <v/>
      </c>
      <c r="CC967" s="21" t="str">
        <f ca="1">IFERROR(VLOOKUP(AT967,OFFSET(abbreviation[],0,ColumnLanguage),ColumnAbbreviation,FALSE),"")</f>
        <v/>
      </c>
      <c r="CD967" s="21" t="str">
        <f ca="1">IFERROR(VLOOKUP(AV967,OFFSET(abbreviation[],0,ColumnLanguage),ColumnAbbreviation,FALSE),"")</f>
        <v/>
      </c>
      <c r="CE967" s="21" t="str">
        <f t="shared" ca="1" si="108"/>
        <v>__</v>
      </c>
      <c r="CF967" s="21" t="str">
        <f ca="1">IFERROR(VLOOKUP(AX967,OFFSET(abbreviation[],0,ColumnLanguage),ColumnAbbreviation,FALSE),"")</f>
        <v/>
      </c>
      <c r="CG967" s="21" t="str">
        <f ca="1">IFERROR(VLOOKUP(AZ967,OFFSET(abbreviation[],0,ColumnLanguage),ColumnAbbreviation,FALSE),"")</f>
        <v/>
      </c>
      <c r="CH967" s="21" t="str">
        <f ca="1">IFERROR(VLOOKUP(BB967,OFFSET(abbreviation[],0,ColumnLanguage),ColumnAbbreviation,FALSE),"")</f>
        <v/>
      </c>
      <c r="CI967" s="21" t="str">
        <f ca="1">IFERROR(VLOOKUP(BD967,OFFSET(abbreviation[],0,ColumnLanguage),ColumnAbbreviation,FALSE),"")</f>
        <v/>
      </c>
      <c r="CJ967" s="21" t="str">
        <f ca="1">IFERROR(VLOOKUP(BF967,OFFSET(abbreviation[],0,ColumnLanguage),ColumnAbbreviation,FALSE),"")</f>
        <v/>
      </c>
      <c r="CK967" s="21" t="str">
        <f t="shared" ca="1" si="109"/>
        <v/>
      </c>
      <c r="CL967" s="21" t="str">
        <f t="shared" si="110"/>
        <v/>
      </c>
      <c r="CM967" s="52"/>
      <c r="CN967" s="57" t="str">
        <f t="shared" si="111"/>
        <v/>
      </c>
    </row>
    <row r="968" spans="17:92" x14ac:dyDescent="0.25">
      <c r="Q968" s="13"/>
      <c r="AN968" s="54"/>
      <c r="AS968" s="15"/>
      <c r="BH968" s="52"/>
      <c r="BI968" s="21" t="str">
        <f ca="1">IFERROR(VLOOKUP(C968,OFFSET(abbreviation[],0,ColumnLanguage),ColumnAbbreviation,FALSE),"")</f>
        <v/>
      </c>
      <c r="BJ968" s="21" t="str">
        <f ca="1">IFERROR(VLOOKUP(E968,OFFSET(abbreviation[],0,ColumnLanguage),ColumnAbbreviation,FALSE),"")</f>
        <v/>
      </c>
      <c r="BK968" s="21" t="str">
        <f ca="1">IFERROR(VLOOKUP(G968,OFFSET(abbreviation[],0,ColumnLanguage),ColumnAbbreviation,FALSE),"")</f>
        <v/>
      </c>
      <c r="BL968" s="21" t="str">
        <f ca="1">IFERROR(VLOOKUP(I968,OFFSET(abbreviation[],0,ColumnLanguage),ColumnAbbreviation,FALSE),"")</f>
        <v/>
      </c>
      <c r="BM968" s="21" t="str">
        <f ca="1">IFERROR(VLOOKUP(K968,OFFSET(abbreviation[],0,ColumnLanguage),ColumnAbbreviation,FALSE),"")</f>
        <v/>
      </c>
      <c r="BN968" s="21" t="str">
        <f t="shared" ca="1" si="105"/>
        <v/>
      </c>
      <c r="BO968" s="21" t="str">
        <f ca="1">IFERROR(VLOOKUP(N968,OFFSET(abbreviation[],0,ColumnLanguage),ColumnAbbreviation,FALSE),"")</f>
        <v/>
      </c>
      <c r="BP968" s="21" t="str">
        <f ca="1">IFERROR(VLOOKUP(P968,OFFSET(abbreviation[],0,ColumnLanguage),ColumnAbbreviation,FALSE),"")</f>
        <v/>
      </c>
      <c r="BQ968" s="21" t="str">
        <f ca="1">IFERROR(VLOOKUP(T968,OFFSET(abbreviation[],0,ColumnLanguage),ColumnAbbreviation,FALSE),"")</f>
        <v/>
      </c>
      <c r="BR968" s="21" t="str">
        <f ca="1">IFERROR(VLOOKUP(V968,OFFSET(abbreviation[],0,ColumnLanguage),ColumnAbbreviation,FALSE),"")</f>
        <v/>
      </c>
      <c r="BS968" s="21" t="str">
        <f ca="1">IFERROR(VLOOKUP(Z968,OFFSET(abbreviation[],0,ColumnLanguage),ColumnAbbreviation,FALSE),"")</f>
        <v/>
      </c>
      <c r="BT968" s="21" t="str">
        <f ca="1">IFERROR(VLOOKUP(AB968,OFFSET(abbreviation[],0,ColumnLanguage),ColumnAbbreviation,FALSE),"")</f>
        <v/>
      </c>
      <c r="BU968" s="21" t="str">
        <f t="shared" ca="1" si="106"/>
        <v>__</v>
      </c>
      <c r="BV968" s="21" t="str">
        <f ca="1">IFERROR(VLOOKUP(AF968,OFFSET(abbreviation[],0,ColumnLanguage),ColumnAbbreviation,FALSE),"")</f>
        <v/>
      </c>
      <c r="BW968" s="21" t="str">
        <f ca="1">IFERROR(VLOOKUP(AH968,OFFSET(abbreviation[],0,ColumnLanguage),ColumnAbbreviation,FALSE),"")</f>
        <v/>
      </c>
      <c r="BX968" s="21" t="str">
        <f ca="1">IFERROR(VLOOKUP(AJ968,OFFSET(abbreviation[],0,ColumnLanguage),ColumnAbbreviation,FALSE),"")</f>
        <v/>
      </c>
      <c r="BY968" s="21" t="str">
        <f ca="1">IFERROR(VLOOKUP(AL968,OFFSET(abbreviation[],0,ColumnLanguage),ColumnAbbreviation,FALSE),"")</f>
        <v/>
      </c>
      <c r="BZ968" s="21" t="str">
        <f t="shared" ca="1" si="107"/>
        <v>_</v>
      </c>
      <c r="CA968" s="21" t="str">
        <f ca="1">IFERROR(VLOOKUP(AP968,OFFSET(abbreviation[],0,ColumnLanguage),ColumnAbbreviation,FALSE),"")</f>
        <v/>
      </c>
      <c r="CB968" s="21" t="str">
        <f ca="1">IFERROR(VLOOKUP(AR968,OFFSET(abbreviation[],0,ColumnLanguage),ColumnAbbreviation,FALSE),"")</f>
        <v/>
      </c>
      <c r="CC968" s="21" t="str">
        <f ca="1">IFERROR(VLOOKUP(AT968,OFFSET(abbreviation[],0,ColumnLanguage),ColumnAbbreviation,FALSE),"")</f>
        <v/>
      </c>
      <c r="CD968" s="21" t="str">
        <f ca="1">IFERROR(VLOOKUP(AV968,OFFSET(abbreviation[],0,ColumnLanguage),ColumnAbbreviation,FALSE),"")</f>
        <v/>
      </c>
      <c r="CE968" s="21" t="str">
        <f t="shared" ca="1" si="108"/>
        <v>__</v>
      </c>
      <c r="CF968" s="21" t="str">
        <f ca="1">IFERROR(VLOOKUP(AX968,OFFSET(abbreviation[],0,ColumnLanguage),ColumnAbbreviation,FALSE),"")</f>
        <v/>
      </c>
      <c r="CG968" s="21" t="str">
        <f ca="1">IFERROR(VLOOKUP(AZ968,OFFSET(abbreviation[],0,ColumnLanguage),ColumnAbbreviation,FALSE),"")</f>
        <v/>
      </c>
      <c r="CH968" s="21" t="str">
        <f ca="1">IFERROR(VLOOKUP(BB968,OFFSET(abbreviation[],0,ColumnLanguage),ColumnAbbreviation,FALSE),"")</f>
        <v/>
      </c>
      <c r="CI968" s="21" t="str">
        <f ca="1">IFERROR(VLOOKUP(BD968,OFFSET(abbreviation[],0,ColumnLanguage),ColumnAbbreviation,FALSE),"")</f>
        <v/>
      </c>
      <c r="CJ968" s="21" t="str">
        <f ca="1">IFERROR(VLOOKUP(BF968,OFFSET(abbreviation[],0,ColumnLanguage),ColumnAbbreviation,FALSE),"")</f>
        <v/>
      </c>
      <c r="CK968" s="21" t="str">
        <f t="shared" ca="1" si="109"/>
        <v/>
      </c>
      <c r="CL968" s="21" t="str">
        <f t="shared" si="110"/>
        <v/>
      </c>
      <c r="CM968" s="52"/>
      <c r="CN968" s="57" t="str">
        <f t="shared" si="111"/>
        <v/>
      </c>
    </row>
    <row r="969" spans="17:92" x14ac:dyDescent="0.25">
      <c r="Q969" s="13"/>
      <c r="AN969" s="54"/>
      <c r="AS969" s="15"/>
      <c r="BH969" s="52"/>
      <c r="BI969" s="21" t="str">
        <f ca="1">IFERROR(VLOOKUP(C969,OFFSET(abbreviation[],0,ColumnLanguage),ColumnAbbreviation,FALSE),"")</f>
        <v/>
      </c>
      <c r="BJ969" s="21" t="str">
        <f ca="1">IFERROR(VLOOKUP(E969,OFFSET(abbreviation[],0,ColumnLanguage),ColumnAbbreviation,FALSE),"")</f>
        <v/>
      </c>
      <c r="BK969" s="21" t="str">
        <f ca="1">IFERROR(VLOOKUP(G969,OFFSET(abbreviation[],0,ColumnLanguage),ColumnAbbreviation,FALSE),"")</f>
        <v/>
      </c>
      <c r="BL969" s="21" t="str">
        <f ca="1">IFERROR(VLOOKUP(I969,OFFSET(abbreviation[],0,ColumnLanguage),ColumnAbbreviation,FALSE),"")</f>
        <v/>
      </c>
      <c r="BM969" s="21" t="str">
        <f ca="1">IFERROR(VLOOKUP(K969,OFFSET(abbreviation[],0,ColumnLanguage),ColumnAbbreviation,FALSE),"")</f>
        <v/>
      </c>
      <c r="BN969" s="21" t="str">
        <f t="shared" ca="1" si="105"/>
        <v/>
      </c>
      <c r="BO969" s="21" t="str">
        <f ca="1">IFERROR(VLOOKUP(N969,OFFSET(abbreviation[],0,ColumnLanguage),ColumnAbbreviation,FALSE),"")</f>
        <v/>
      </c>
      <c r="BP969" s="21" t="str">
        <f ca="1">IFERROR(VLOOKUP(P969,OFFSET(abbreviation[],0,ColumnLanguage),ColumnAbbreviation,FALSE),"")</f>
        <v/>
      </c>
      <c r="BQ969" s="21" t="str">
        <f ca="1">IFERROR(VLOOKUP(T969,OFFSET(abbreviation[],0,ColumnLanguage),ColumnAbbreviation,FALSE),"")</f>
        <v/>
      </c>
      <c r="BR969" s="21" t="str">
        <f ca="1">IFERROR(VLOOKUP(V969,OFFSET(abbreviation[],0,ColumnLanguage),ColumnAbbreviation,FALSE),"")</f>
        <v/>
      </c>
      <c r="BS969" s="21" t="str">
        <f ca="1">IFERROR(VLOOKUP(Z969,OFFSET(abbreviation[],0,ColumnLanguage),ColumnAbbreviation,FALSE),"")</f>
        <v/>
      </c>
      <c r="BT969" s="21" t="str">
        <f ca="1">IFERROR(VLOOKUP(AB969,OFFSET(abbreviation[],0,ColumnLanguage),ColumnAbbreviation,FALSE),"")</f>
        <v/>
      </c>
      <c r="BU969" s="21" t="str">
        <f t="shared" ca="1" si="106"/>
        <v>__</v>
      </c>
      <c r="BV969" s="21" t="str">
        <f ca="1">IFERROR(VLOOKUP(AF969,OFFSET(abbreviation[],0,ColumnLanguage),ColumnAbbreviation,FALSE),"")</f>
        <v/>
      </c>
      <c r="BW969" s="21" t="str">
        <f ca="1">IFERROR(VLOOKUP(AH969,OFFSET(abbreviation[],0,ColumnLanguage),ColumnAbbreviation,FALSE),"")</f>
        <v/>
      </c>
      <c r="BX969" s="21" t="str">
        <f ca="1">IFERROR(VLOOKUP(AJ969,OFFSET(abbreviation[],0,ColumnLanguage),ColumnAbbreviation,FALSE),"")</f>
        <v/>
      </c>
      <c r="BY969" s="21" t="str">
        <f ca="1">IFERROR(VLOOKUP(AL969,OFFSET(abbreviation[],0,ColumnLanguage),ColumnAbbreviation,FALSE),"")</f>
        <v/>
      </c>
      <c r="BZ969" s="21" t="str">
        <f t="shared" ca="1" si="107"/>
        <v>_</v>
      </c>
      <c r="CA969" s="21" t="str">
        <f ca="1">IFERROR(VLOOKUP(AP969,OFFSET(abbreviation[],0,ColumnLanguage),ColumnAbbreviation,FALSE),"")</f>
        <v/>
      </c>
      <c r="CB969" s="21" t="str">
        <f ca="1">IFERROR(VLOOKUP(AR969,OFFSET(abbreviation[],0,ColumnLanguage),ColumnAbbreviation,FALSE),"")</f>
        <v/>
      </c>
      <c r="CC969" s="21" t="str">
        <f ca="1">IFERROR(VLOOKUP(AT969,OFFSET(abbreviation[],0,ColumnLanguage),ColumnAbbreviation,FALSE),"")</f>
        <v/>
      </c>
      <c r="CD969" s="21" t="str">
        <f ca="1">IFERROR(VLOOKUP(AV969,OFFSET(abbreviation[],0,ColumnLanguage),ColumnAbbreviation,FALSE),"")</f>
        <v/>
      </c>
      <c r="CE969" s="21" t="str">
        <f t="shared" ca="1" si="108"/>
        <v>__</v>
      </c>
      <c r="CF969" s="21" t="str">
        <f ca="1">IFERROR(VLOOKUP(AX969,OFFSET(abbreviation[],0,ColumnLanguage),ColumnAbbreviation,FALSE),"")</f>
        <v/>
      </c>
      <c r="CG969" s="21" t="str">
        <f ca="1">IFERROR(VLOOKUP(AZ969,OFFSET(abbreviation[],0,ColumnLanguage),ColumnAbbreviation,FALSE),"")</f>
        <v/>
      </c>
      <c r="CH969" s="21" t="str">
        <f ca="1">IFERROR(VLOOKUP(BB969,OFFSET(abbreviation[],0,ColumnLanguage),ColumnAbbreviation,FALSE),"")</f>
        <v/>
      </c>
      <c r="CI969" s="21" t="str">
        <f ca="1">IFERROR(VLOOKUP(BD969,OFFSET(abbreviation[],0,ColumnLanguage),ColumnAbbreviation,FALSE),"")</f>
        <v/>
      </c>
      <c r="CJ969" s="21" t="str">
        <f ca="1">IFERROR(VLOOKUP(BF969,OFFSET(abbreviation[],0,ColumnLanguage),ColumnAbbreviation,FALSE),"")</f>
        <v/>
      </c>
      <c r="CK969" s="21" t="str">
        <f t="shared" ca="1" si="109"/>
        <v/>
      </c>
      <c r="CL969" s="21" t="str">
        <f t="shared" si="110"/>
        <v/>
      </c>
      <c r="CM969" s="52"/>
      <c r="CN969" s="57" t="str">
        <f t="shared" si="111"/>
        <v/>
      </c>
    </row>
    <row r="970" spans="17:92" x14ac:dyDescent="0.25">
      <c r="Q970" s="13"/>
      <c r="AN970" s="54"/>
      <c r="AS970" s="15"/>
      <c r="BH970" s="52"/>
      <c r="BI970" s="21" t="str">
        <f ca="1">IFERROR(VLOOKUP(C970,OFFSET(abbreviation[],0,ColumnLanguage),ColumnAbbreviation,FALSE),"")</f>
        <v/>
      </c>
      <c r="BJ970" s="21" t="str">
        <f ca="1">IFERROR(VLOOKUP(E970,OFFSET(abbreviation[],0,ColumnLanguage),ColumnAbbreviation,FALSE),"")</f>
        <v/>
      </c>
      <c r="BK970" s="21" t="str">
        <f ca="1">IFERROR(VLOOKUP(G970,OFFSET(abbreviation[],0,ColumnLanguage),ColumnAbbreviation,FALSE),"")</f>
        <v/>
      </c>
      <c r="BL970" s="21" t="str">
        <f ca="1">IFERROR(VLOOKUP(I970,OFFSET(abbreviation[],0,ColumnLanguage),ColumnAbbreviation,FALSE),"")</f>
        <v/>
      </c>
      <c r="BM970" s="21" t="str">
        <f ca="1">IFERROR(VLOOKUP(K970,OFFSET(abbreviation[],0,ColumnLanguage),ColumnAbbreviation,FALSE),"")</f>
        <v/>
      </c>
      <c r="BN970" s="21" t="str">
        <f t="shared" ca="1" si="105"/>
        <v/>
      </c>
      <c r="BO970" s="21" t="str">
        <f ca="1">IFERROR(VLOOKUP(N970,OFFSET(abbreviation[],0,ColumnLanguage),ColumnAbbreviation,FALSE),"")</f>
        <v/>
      </c>
      <c r="BP970" s="21" t="str">
        <f ca="1">IFERROR(VLOOKUP(P970,OFFSET(abbreviation[],0,ColumnLanguage),ColumnAbbreviation,FALSE),"")</f>
        <v/>
      </c>
      <c r="BQ970" s="21" t="str">
        <f ca="1">IFERROR(VLOOKUP(T970,OFFSET(abbreviation[],0,ColumnLanguage),ColumnAbbreviation,FALSE),"")</f>
        <v/>
      </c>
      <c r="BR970" s="21" t="str">
        <f ca="1">IFERROR(VLOOKUP(V970,OFFSET(abbreviation[],0,ColumnLanguage),ColumnAbbreviation,FALSE),"")</f>
        <v/>
      </c>
      <c r="BS970" s="21" t="str">
        <f ca="1">IFERROR(VLOOKUP(Z970,OFFSET(abbreviation[],0,ColumnLanguage),ColumnAbbreviation,FALSE),"")</f>
        <v/>
      </c>
      <c r="BT970" s="21" t="str">
        <f ca="1">IFERROR(VLOOKUP(AB970,OFFSET(abbreviation[],0,ColumnLanguage),ColumnAbbreviation,FALSE),"")</f>
        <v/>
      </c>
      <c r="BU970" s="21" t="str">
        <f t="shared" ca="1" si="106"/>
        <v>__</v>
      </c>
      <c r="BV970" s="21" t="str">
        <f ca="1">IFERROR(VLOOKUP(AF970,OFFSET(abbreviation[],0,ColumnLanguage),ColumnAbbreviation,FALSE),"")</f>
        <v/>
      </c>
      <c r="BW970" s="21" t="str">
        <f ca="1">IFERROR(VLOOKUP(AH970,OFFSET(abbreviation[],0,ColumnLanguage),ColumnAbbreviation,FALSE),"")</f>
        <v/>
      </c>
      <c r="BX970" s="21" t="str">
        <f ca="1">IFERROR(VLOOKUP(AJ970,OFFSET(abbreviation[],0,ColumnLanguage),ColumnAbbreviation,FALSE),"")</f>
        <v/>
      </c>
      <c r="BY970" s="21" t="str">
        <f ca="1">IFERROR(VLOOKUP(AL970,OFFSET(abbreviation[],0,ColumnLanguage),ColumnAbbreviation,FALSE),"")</f>
        <v/>
      </c>
      <c r="BZ970" s="21" t="str">
        <f t="shared" ca="1" si="107"/>
        <v>_</v>
      </c>
      <c r="CA970" s="21" t="str">
        <f ca="1">IFERROR(VLOOKUP(AP970,OFFSET(abbreviation[],0,ColumnLanguage),ColumnAbbreviation,FALSE),"")</f>
        <v/>
      </c>
      <c r="CB970" s="21" t="str">
        <f ca="1">IFERROR(VLOOKUP(AR970,OFFSET(abbreviation[],0,ColumnLanguage),ColumnAbbreviation,FALSE),"")</f>
        <v/>
      </c>
      <c r="CC970" s="21" t="str">
        <f ca="1">IFERROR(VLOOKUP(AT970,OFFSET(abbreviation[],0,ColumnLanguage),ColumnAbbreviation,FALSE),"")</f>
        <v/>
      </c>
      <c r="CD970" s="21" t="str">
        <f ca="1">IFERROR(VLOOKUP(AV970,OFFSET(abbreviation[],0,ColumnLanguage),ColumnAbbreviation,FALSE),"")</f>
        <v/>
      </c>
      <c r="CE970" s="21" t="str">
        <f t="shared" ca="1" si="108"/>
        <v>__</v>
      </c>
      <c r="CF970" s="21" t="str">
        <f ca="1">IFERROR(VLOOKUP(AX970,OFFSET(abbreviation[],0,ColumnLanguage),ColumnAbbreviation,FALSE),"")</f>
        <v/>
      </c>
      <c r="CG970" s="21" t="str">
        <f ca="1">IFERROR(VLOOKUP(AZ970,OFFSET(abbreviation[],0,ColumnLanguage),ColumnAbbreviation,FALSE),"")</f>
        <v/>
      </c>
      <c r="CH970" s="21" t="str">
        <f ca="1">IFERROR(VLOOKUP(BB970,OFFSET(abbreviation[],0,ColumnLanguage),ColumnAbbreviation,FALSE),"")</f>
        <v/>
      </c>
      <c r="CI970" s="21" t="str">
        <f ca="1">IFERROR(VLOOKUP(BD970,OFFSET(abbreviation[],0,ColumnLanguage),ColumnAbbreviation,FALSE),"")</f>
        <v/>
      </c>
      <c r="CJ970" s="21" t="str">
        <f ca="1">IFERROR(VLOOKUP(BF970,OFFSET(abbreviation[],0,ColumnLanguage),ColumnAbbreviation,FALSE),"")</f>
        <v/>
      </c>
      <c r="CK970" s="21" t="str">
        <f t="shared" ca="1" si="109"/>
        <v/>
      </c>
      <c r="CL970" s="21" t="str">
        <f t="shared" si="110"/>
        <v/>
      </c>
      <c r="CM970" s="52"/>
      <c r="CN970" s="57" t="str">
        <f t="shared" si="111"/>
        <v/>
      </c>
    </row>
    <row r="971" spans="17:92" x14ac:dyDescent="0.25">
      <c r="Q971" s="13"/>
      <c r="AN971" s="54"/>
      <c r="AS971" s="15"/>
      <c r="BH971" s="52"/>
      <c r="BI971" s="21" t="str">
        <f ca="1">IFERROR(VLOOKUP(C971,OFFSET(abbreviation[],0,ColumnLanguage),ColumnAbbreviation,FALSE),"")</f>
        <v/>
      </c>
      <c r="BJ971" s="21" t="str">
        <f ca="1">IFERROR(VLOOKUP(E971,OFFSET(abbreviation[],0,ColumnLanguage),ColumnAbbreviation,FALSE),"")</f>
        <v/>
      </c>
      <c r="BK971" s="21" t="str">
        <f ca="1">IFERROR(VLOOKUP(G971,OFFSET(abbreviation[],0,ColumnLanguage),ColumnAbbreviation,FALSE),"")</f>
        <v/>
      </c>
      <c r="BL971" s="21" t="str">
        <f ca="1">IFERROR(VLOOKUP(I971,OFFSET(abbreviation[],0,ColumnLanguage),ColumnAbbreviation,FALSE),"")</f>
        <v/>
      </c>
      <c r="BM971" s="21" t="str">
        <f ca="1">IFERROR(VLOOKUP(K971,OFFSET(abbreviation[],0,ColumnLanguage),ColumnAbbreviation,FALSE),"")</f>
        <v/>
      </c>
      <c r="BN971" s="21" t="str">
        <f t="shared" ca="1" si="105"/>
        <v/>
      </c>
      <c r="BO971" s="21" t="str">
        <f ca="1">IFERROR(VLOOKUP(N971,OFFSET(abbreviation[],0,ColumnLanguage),ColumnAbbreviation,FALSE),"")</f>
        <v/>
      </c>
      <c r="BP971" s="21" t="str">
        <f ca="1">IFERROR(VLOOKUP(P971,OFFSET(abbreviation[],0,ColumnLanguage),ColumnAbbreviation,FALSE),"")</f>
        <v/>
      </c>
      <c r="BQ971" s="21" t="str">
        <f ca="1">IFERROR(VLOOKUP(T971,OFFSET(abbreviation[],0,ColumnLanguage),ColumnAbbreviation,FALSE),"")</f>
        <v/>
      </c>
      <c r="BR971" s="21" t="str">
        <f ca="1">IFERROR(VLOOKUP(V971,OFFSET(abbreviation[],0,ColumnLanguage),ColumnAbbreviation,FALSE),"")</f>
        <v/>
      </c>
      <c r="BS971" s="21" t="str">
        <f ca="1">IFERROR(VLOOKUP(Z971,OFFSET(abbreviation[],0,ColumnLanguage),ColumnAbbreviation,FALSE),"")</f>
        <v/>
      </c>
      <c r="BT971" s="21" t="str">
        <f ca="1">IFERROR(VLOOKUP(AB971,OFFSET(abbreviation[],0,ColumnLanguage),ColumnAbbreviation,FALSE),"")</f>
        <v/>
      </c>
      <c r="BU971" s="21" t="str">
        <f t="shared" ca="1" si="106"/>
        <v>__</v>
      </c>
      <c r="BV971" s="21" t="str">
        <f ca="1">IFERROR(VLOOKUP(AF971,OFFSET(abbreviation[],0,ColumnLanguage),ColumnAbbreviation,FALSE),"")</f>
        <v/>
      </c>
      <c r="BW971" s="21" t="str">
        <f ca="1">IFERROR(VLOOKUP(AH971,OFFSET(abbreviation[],0,ColumnLanguage),ColumnAbbreviation,FALSE),"")</f>
        <v/>
      </c>
      <c r="BX971" s="21" t="str">
        <f ca="1">IFERROR(VLOOKUP(AJ971,OFFSET(abbreviation[],0,ColumnLanguage),ColumnAbbreviation,FALSE),"")</f>
        <v/>
      </c>
      <c r="BY971" s="21" t="str">
        <f ca="1">IFERROR(VLOOKUP(AL971,OFFSET(abbreviation[],0,ColumnLanguage),ColumnAbbreviation,FALSE),"")</f>
        <v/>
      </c>
      <c r="BZ971" s="21" t="str">
        <f t="shared" ca="1" si="107"/>
        <v>_</v>
      </c>
      <c r="CA971" s="21" t="str">
        <f ca="1">IFERROR(VLOOKUP(AP971,OFFSET(abbreviation[],0,ColumnLanguage),ColumnAbbreviation,FALSE),"")</f>
        <v/>
      </c>
      <c r="CB971" s="21" t="str">
        <f ca="1">IFERROR(VLOOKUP(AR971,OFFSET(abbreviation[],0,ColumnLanguage),ColumnAbbreviation,FALSE),"")</f>
        <v/>
      </c>
      <c r="CC971" s="21" t="str">
        <f ca="1">IFERROR(VLOOKUP(AT971,OFFSET(abbreviation[],0,ColumnLanguage),ColumnAbbreviation,FALSE),"")</f>
        <v/>
      </c>
      <c r="CD971" s="21" t="str">
        <f ca="1">IFERROR(VLOOKUP(AV971,OFFSET(abbreviation[],0,ColumnLanguage),ColumnAbbreviation,FALSE),"")</f>
        <v/>
      </c>
      <c r="CE971" s="21" t="str">
        <f t="shared" ca="1" si="108"/>
        <v>__</v>
      </c>
      <c r="CF971" s="21" t="str">
        <f ca="1">IFERROR(VLOOKUP(AX971,OFFSET(abbreviation[],0,ColumnLanguage),ColumnAbbreviation,FALSE),"")</f>
        <v/>
      </c>
      <c r="CG971" s="21" t="str">
        <f ca="1">IFERROR(VLOOKUP(AZ971,OFFSET(abbreviation[],0,ColumnLanguage),ColumnAbbreviation,FALSE),"")</f>
        <v/>
      </c>
      <c r="CH971" s="21" t="str">
        <f ca="1">IFERROR(VLOOKUP(BB971,OFFSET(abbreviation[],0,ColumnLanguage),ColumnAbbreviation,FALSE),"")</f>
        <v/>
      </c>
      <c r="CI971" s="21" t="str">
        <f ca="1">IFERROR(VLOOKUP(BD971,OFFSET(abbreviation[],0,ColumnLanguage),ColumnAbbreviation,FALSE),"")</f>
        <v/>
      </c>
      <c r="CJ971" s="21" t="str">
        <f ca="1">IFERROR(VLOOKUP(BF971,OFFSET(abbreviation[],0,ColumnLanguage),ColumnAbbreviation,FALSE),"")</f>
        <v/>
      </c>
      <c r="CK971" s="21" t="str">
        <f t="shared" ca="1" si="109"/>
        <v/>
      </c>
      <c r="CL971" s="21" t="str">
        <f t="shared" si="110"/>
        <v/>
      </c>
      <c r="CM971" s="52"/>
      <c r="CN971" s="57" t="str">
        <f t="shared" si="111"/>
        <v/>
      </c>
    </row>
    <row r="972" spans="17:92" x14ac:dyDescent="0.25">
      <c r="Q972" s="13"/>
      <c r="AN972" s="54"/>
      <c r="AS972" s="15"/>
      <c r="BH972" s="52"/>
      <c r="BI972" s="21" t="str">
        <f ca="1">IFERROR(VLOOKUP(C972,OFFSET(abbreviation[],0,ColumnLanguage),ColumnAbbreviation,FALSE),"")</f>
        <v/>
      </c>
      <c r="BJ972" s="21" t="str">
        <f ca="1">IFERROR(VLOOKUP(E972,OFFSET(abbreviation[],0,ColumnLanguage),ColumnAbbreviation,FALSE),"")</f>
        <v/>
      </c>
      <c r="BK972" s="21" t="str">
        <f ca="1">IFERROR(VLOOKUP(G972,OFFSET(abbreviation[],0,ColumnLanguage),ColumnAbbreviation,FALSE),"")</f>
        <v/>
      </c>
      <c r="BL972" s="21" t="str">
        <f ca="1">IFERROR(VLOOKUP(I972,OFFSET(abbreviation[],0,ColumnLanguage),ColumnAbbreviation,FALSE),"")</f>
        <v/>
      </c>
      <c r="BM972" s="21" t="str">
        <f ca="1">IFERROR(VLOOKUP(K972,OFFSET(abbreviation[],0,ColumnLanguage),ColumnAbbreviation,FALSE),"")</f>
        <v/>
      </c>
      <c r="BN972" s="21" t="str">
        <f t="shared" ca="1" si="105"/>
        <v/>
      </c>
      <c r="BO972" s="21" t="str">
        <f ca="1">IFERROR(VLOOKUP(N972,OFFSET(abbreviation[],0,ColumnLanguage),ColumnAbbreviation,FALSE),"")</f>
        <v/>
      </c>
      <c r="BP972" s="21" t="str">
        <f ca="1">IFERROR(VLOOKUP(P972,OFFSET(abbreviation[],0,ColumnLanguage),ColumnAbbreviation,FALSE),"")</f>
        <v/>
      </c>
      <c r="BQ972" s="21" t="str">
        <f ca="1">IFERROR(VLOOKUP(T972,OFFSET(abbreviation[],0,ColumnLanguage),ColumnAbbreviation,FALSE),"")</f>
        <v/>
      </c>
      <c r="BR972" s="21" t="str">
        <f ca="1">IFERROR(VLOOKUP(V972,OFFSET(abbreviation[],0,ColumnLanguage),ColumnAbbreviation,FALSE),"")</f>
        <v/>
      </c>
      <c r="BS972" s="21" t="str">
        <f ca="1">IFERROR(VLOOKUP(Z972,OFFSET(abbreviation[],0,ColumnLanguage),ColumnAbbreviation,FALSE),"")</f>
        <v/>
      </c>
      <c r="BT972" s="21" t="str">
        <f ca="1">IFERROR(VLOOKUP(AB972,OFFSET(abbreviation[],0,ColumnLanguage),ColumnAbbreviation,FALSE),"")</f>
        <v/>
      </c>
      <c r="BU972" s="21" t="str">
        <f t="shared" ca="1" si="106"/>
        <v>__</v>
      </c>
      <c r="BV972" s="21" t="str">
        <f ca="1">IFERROR(VLOOKUP(AF972,OFFSET(abbreviation[],0,ColumnLanguage),ColumnAbbreviation,FALSE),"")</f>
        <v/>
      </c>
      <c r="BW972" s="21" t="str">
        <f ca="1">IFERROR(VLOOKUP(AH972,OFFSET(abbreviation[],0,ColumnLanguage),ColumnAbbreviation,FALSE),"")</f>
        <v/>
      </c>
      <c r="BX972" s="21" t="str">
        <f ca="1">IFERROR(VLOOKUP(AJ972,OFFSET(abbreviation[],0,ColumnLanguage),ColumnAbbreviation,FALSE),"")</f>
        <v/>
      </c>
      <c r="BY972" s="21" t="str">
        <f ca="1">IFERROR(VLOOKUP(AL972,OFFSET(abbreviation[],0,ColumnLanguage),ColumnAbbreviation,FALSE),"")</f>
        <v/>
      </c>
      <c r="BZ972" s="21" t="str">
        <f t="shared" ca="1" si="107"/>
        <v>_</v>
      </c>
      <c r="CA972" s="21" t="str">
        <f ca="1">IFERROR(VLOOKUP(AP972,OFFSET(abbreviation[],0,ColumnLanguage),ColumnAbbreviation,FALSE),"")</f>
        <v/>
      </c>
      <c r="CB972" s="21" t="str">
        <f ca="1">IFERROR(VLOOKUP(AR972,OFFSET(abbreviation[],0,ColumnLanguage),ColumnAbbreviation,FALSE),"")</f>
        <v/>
      </c>
      <c r="CC972" s="21" t="str">
        <f ca="1">IFERROR(VLOOKUP(AT972,OFFSET(abbreviation[],0,ColumnLanguage),ColumnAbbreviation,FALSE),"")</f>
        <v/>
      </c>
      <c r="CD972" s="21" t="str">
        <f ca="1">IFERROR(VLOOKUP(AV972,OFFSET(abbreviation[],0,ColumnLanguage),ColumnAbbreviation,FALSE),"")</f>
        <v/>
      </c>
      <c r="CE972" s="21" t="str">
        <f t="shared" ca="1" si="108"/>
        <v>__</v>
      </c>
      <c r="CF972" s="21" t="str">
        <f ca="1">IFERROR(VLOOKUP(AX972,OFFSET(abbreviation[],0,ColumnLanguage),ColumnAbbreviation,FALSE),"")</f>
        <v/>
      </c>
      <c r="CG972" s="21" t="str">
        <f ca="1">IFERROR(VLOOKUP(AZ972,OFFSET(abbreviation[],0,ColumnLanguage),ColumnAbbreviation,FALSE),"")</f>
        <v/>
      </c>
      <c r="CH972" s="21" t="str">
        <f ca="1">IFERROR(VLOOKUP(BB972,OFFSET(abbreviation[],0,ColumnLanguage),ColumnAbbreviation,FALSE),"")</f>
        <v/>
      </c>
      <c r="CI972" s="21" t="str">
        <f ca="1">IFERROR(VLOOKUP(BD972,OFFSET(abbreviation[],0,ColumnLanguage),ColumnAbbreviation,FALSE),"")</f>
        <v/>
      </c>
      <c r="CJ972" s="21" t="str">
        <f ca="1">IFERROR(VLOOKUP(BF972,OFFSET(abbreviation[],0,ColumnLanguage),ColumnAbbreviation,FALSE),"")</f>
        <v/>
      </c>
      <c r="CK972" s="21" t="str">
        <f t="shared" ca="1" si="109"/>
        <v/>
      </c>
      <c r="CL972" s="21" t="str">
        <f t="shared" si="110"/>
        <v/>
      </c>
      <c r="CM972" s="52"/>
      <c r="CN972" s="57" t="str">
        <f t="shared" si="111"/>
        <v/>
      </c>
    </row>
    <row r="973" spans="17:92" x14ac:dyDescent="0.25">
      <c r="Q973" s="13"/>
      <c r="AN973" s="54"/>
      <c r="AS973" s="15"/>
      <c r="BH973" s="52"/>
      <c r="BI973" s="21" t="str">
        <f ca="1">IFERROR(VLOOKUP(C973,OFFSET(abbreviation[],0,ColumnLanguage),ColumnAbbreviation,FALSE),"")</f>
        <v/>
      </c>
      <c r="BJ973" s="21" t="str">
        <f ca="1">IFERROR(VLOOKUP(E973,OFFSET(abbreviation[],0,ColumnLanguage),ColumnAbbreviation,FALSE),"")</f>
        <v/>
      </c>
      <c r="BK973" s="21" t="str">
        <f ca="1">IFERROR(VLOOKUP(G973,OFFSET(abbreviation[],0,ColumnLanguage),ColumnAbbreviation,FALSE),"")</f>
        <v/>
      </c>
      <c r="BL973" s="21" t="str">
        <f ca="1">IFERROR(VLOOKUP(I973,OFFSET(abbreviation[],0,ColumnLanguage),ColumnAbbreviation,FALSE),"")</f>
        <v/>
      </c>
      <c r="BM973" s="21" t="str">
        <f ca="1">IFERROR(VLOOKUP(K973,OFFSET(abbreviation[],0,ColumnLanguage),ColumnAbbreviation,FALSE),"")</f>
        <v/>
      </c>
      <c r="BN973" s="21" t="str">
        <f t="shared" ca="1" si="105"/>
        <v/>
      </c>
      <c r="BO973" s="21" t="str">
        <f ca="1">IFERROR(VLOOKUP(N973,OFFSET(abbreviation[],0,ColumnLanguage),ColumnAbbreviation,FALSE),"")</f>
        <v/>
      </c>
      <c r="BP973" s="21" t="str">
        <f ca="1">IFERROR(VLOOKUP(P973,OFFSET(abbreviation[],0,ColumnLanguage),ColumnAbbreviation,FALSE),"")</f>
        <v/>
      </c>
      <c r="BQ973" s="21" t="str">
        <f ca="1">IFERROR(VLOOKUP(T973,OFFSET(abbreviation[],0,ColumnLanguage),ColumnAbbreviation,FALSE),"")</f>
        <v/>
      </c>
      <c r="BR973" s="21" t="str">
        <f ca="1">IFERROR(VLOOKUP(V973,OFFSET(abbreviation[],0,ColumnLanguage),ColumnAbbreviation,FALSE),"")</f>
        <v/>
      </c>
      <c r="BS973" s="21" t="str">
        <f ca="1">IFERROR(VLOOKUP(Z973,OFFSET(abbreviation[],0,ColumnLanguage),ColumnAbbreviation,FALSE),"")</f>
        <v/>
      </c>
      <c r="BT973" s="21" t="str">
        <f ca="1">IFERROR(VLOOKUP(AB973,OFFSET(abbreviation[],0,ColumnLanguage),ColumnAbbreviation,FALSE),"")</f>
        <v/>
      </c>
      <c r="BU973" s="21" t="str">
        <f t="shared" ca="1" si="106"/>
        <v>__</v>
      </c>
      <c r="BV973" s="21" t="str">
        <f ca="1">IFERROR(VLOOKUP(AF973,OFFSET(abbreviation[],0,ColumnLanguage),ColumnAbbreviation,FALSE),"")</f>
        <v/>
      </c>
      <c r="BW973" s="21" t="str">
        <f ca="1">IFERROR(VLOOKUP(AH973,OFFSET(abbreviation[],0,ColumnLanguage),ColumnAbbreviation,FALSE),"")</f>
        <v/>
      </c>
      <c r="BX973" s="21" t="str">
        <f ca="1">IFERROR(VLOOKUP(AJ973,OFFSET(abbreviation[],0,ColumnLanguage),ColumnAbbreviation,FALSE),"")</f>
        <v/>
      </c>
      <c r="BY973" s="21" t="str">
        <f ca="1">IFERROR(VLOOKUP(AL973,OFFSET(abbreviation[],0,ColumnLanguage),ColumnAbbreviation,FALSE),"")</f>
        <v/>
      </c>
      <c r="BZ973" s="21" t="str">
        <f t="shared" ca="1" si="107"/>
        <v>_</v>
      </c>
      <c r="CA973" s="21" t="str">
        <f ca="1">IFERROR(VLOOKUP(AP973,OFFSET(abbreviation[],0,ColumnLanguage),ColumnAbbreviation,FALSE),"")</f>
        <v/>
      </c>
      <c r="CB973" s="21" t="str">
        <f ca="1">IFERROR(VLOOKUP(AR973,OFFSET(abbreviation[],0,ColumnLanguage),ColumnAbbreviation,FALSE),"")</f>
        <v/>
      </c>
      <c r="CC973" s="21" t="str">
        <f ca="1">IFERROR(VLOOKUP(AT973,OFFSET(abbreviation[],0,ColumnLanguage),ColumnAbbreviation,FALSE),"")</f>
        <v/>
      </c>
      <c r="CD973" s="21" t="str">
        <f ca="1">IFERROR(VLOOKUP(AV973,OFFSET(abbreviation[],0,ColumnLanguage),ColumnAbbreviation,FALSE),"")</f>
        <v/>
      </c>
      <c r="CE973" s="21" t="str">
        <f t="shared" ca="1" si="108"/>
        <v>__</v>
      </c>
      <c r="CF973" s="21" t="str">
        <f ca="1">IFERROR(VLOOKUP(AX973,OFFSET(abbreviation[],0,ColumnLanguage),ColumnAbbreviation,FALSE),"")</f>
        <v/>
      </c>
      <c r="CG973" s="21" t="str">
        <f ca="1">IFERROR(VLOOKUP(AZ973,OFFSET(abbreviation[],0,ColumnLanguage),ColumnAbbreviation,FALSE),"")</f>
        <v/>
      </c>
      <c r="CH973" s="21" t="str">
        <f ca="1">IFERROR(VLOOKUP(BB973,OFFSET(abbreviation[],0,ColumnLanguage),ColumnAbbreviation,FALSE),"")</f>
        <v/>
      </c>
      <c r="CI973" s="21" t="str">
        <f ca="1">IFERROR(VLOOKUP(BD973,OFFSET(abbreviation[],0,ColumnLanguage),ColumnAbbreviation,FALSE),"")</f>
        <v/>
      </c>
      <c r="CJ973" s="21" t="str">
        <f ca="1">IFERROR(VLOOKUP(BF973,OFFSET(abbreviation[],0,ColumnLanguage),ColumnAbbreviation,FALSE),"")</f>
        <v/>
      </c>
      <c r="CK973" s="21" t="str">
        <f t="shared" ca="1" si="109"/>
        <v/>
      </c>
      <c r="CL973" s="21" t="str">
        <f t="shared" si="110"/>
        <v/>
      </c>
      <c r="CM973" s="52"/>
      <c r="CN973" s="57" t="str">
        <f t="shared" si="111"/>
        <v/>
      </c>
    </row>
    <row r="974" spans="17:92" x14ac:dyDescent="0.25">
      <c r="Q974" s="13"/>
      <c r="AN974" s="54"/>
      <c r="AS974" s="15"/>
      <c r="BH974" s="52"/>
      <c r="BI974" s="21" t="str">
        <f ca="1">IFERROR(VLOOKUP(C974,OFFSET(abbreviation[],0,ColumnLanguage),ColumnAbbreviation,FALSE),"")</f>
        <v/>
      </c>
      <c r="BJ974" s="21" t="str">
        <f ca="1">IFERROR(VLOOKUP(E974,OFFSET(abbreviation[],0,ColumnLanguage),ColumnAbbreviation,FALSE),"")</f>
        <v/>
      </c>
      <c r="BK974" s="21" t="str">
        <f ca="1">IFERROR(VLOOKUP(G974,OFFSET(abbreviation[],0,ColumnLanguage),ColumnAbbreviation,FALSE),"")</f>
        <v/>
      </c>
      <c r="BL974" s="21" t="str">
        <f ca="1">IFERROR(VLOOKUP(I974,OFFSET(abbreviation[],0,ColumnLanguage),ColumnAbbreviation,FALSE),"")</f>
        <v/>
      </c>
      <c r="BM974" s="21" t="str">
        <f ca="1">IFERROR(VLOOKUP(K974,OFFSET(abbreviation[],0,ColumnLanguage),ColumnAbbreviation,FALSE),"")</f>
        <v/>
      </c>
      <c r="BN974" s="21" t="str">
        <f t="shared" ca="1" si="105"/>
        <v/>
      </c>
      <c r="BO974" s="21" t="str">
        <f ca="1">IFERROR(VLOOKUP(N974,OFFSET(abbreviation[],0,ColumnLanguage),ColumnAbbreviation,FALSE),"")</f>
        <v/>
      </c>
      <c r="BP974" s="21" t="str">
        <f ca="1">IFERROR(VLOOKUP(P974,OFFSET(abbreviation[],0,ColumnLanguage),ColumnAbbreviation,FALSE),"")</f>
        <v/>
      </c>
      <c r="BQ974" s="21" t="str">
        <f ca="1">IFERROR(VLOOKUP(T974,OFFSET(abbreviation[],0,ColumnLanguage),ColumnAbbreviation,FALSE),"")</f>
        <v/>
      </c>
      <c r="BR974" s="21" t="str">
        <f ca="1">IFERROR(VLOOKUP(V974,OFFSET(abbreviation[],0,ColumnLanguage),ColumnAbbreviation,FALSE),"")</f>
        <v/>
      </c>
      <c r="BS974" s="21" t="str">
        <f ca="1">IFERROR(VLOOKUP(Z974,OFFSET(abbreviation[],0,ColumnLanguage),ColumnAbbreviation,FALSE),"")</f>
        <v/>
      </c>
      <c r="BT974" s="21" t="str">
        <f ca="1">IFERROR(VLOOKUP(AB974,OFFSET(abbreviation[],0,ColumnLanguage),ColumnAbbreviation,FALSE),"")</f>
        <v/>
      </c>
      <c r="BU974" s="21" t="str">
        <f t="shared" ca="1" si="106"/>
        <v>__</v>
      </c>
      <c r="BV974" s="21" t="str">
        <f ca="1">IFERROR(VLOOKUP(AF974,OFFSET(abbreviation[],0,ColumnLanguage),ColumnAbbreviation,FALSE),"")</f>
        <v/>
      </c>
      <c r="BW974" s="21" t="str">
        <f ca="1">IFERROR(VLOOKUP(AH974,OFFSET(abbreviation[],0,ColumnLanguage),ColumnAbbreviation,FALSE),"")</f>
        <v/>
      </c>
      <c r="BX974" s="21" t="str">
        <f ca="1">IFERROR(VLOOKUP(AJ974,OFFSET(abbreviation[],0,ColumnLanguage),ColumnAbbreviation,FALSE),"")</f>
        <v/>
      </c>
      <c r="BY974" s="21" t="str">
        <f ca="1">IFERROR(VLOOKUP(AL974,OFFSET(abbreviation[],0,ColumnLanguage),ColumnAbbreviation,FALSE),"")</f>
        <v/>
      </c>
      <c r="BZ974" s="21" t="str">
        <f t="shared" ca="1" si="107"/>
        <v>_</v>
      </c>
      <c r="CA974" s="21" t="str">
        <f ca="1">IFERROR(VLOOKUP(AP974,OFFSET(abbreviation[],0,ColumnLanguage),ColumnAbbreviation,FALSE),"")</f>
        <v/>
      </c>
      <c r="CB974" s="21" t="str">
        <f ca="1">IFERROR(VLOOKUP(AR974,OFFSET(abbreviation[],0,ColumnLanguage),ColumnAbbreviation,FALSE),"")</f>
        <v/>
      </c>
      <c r="CC974" s="21" t="str">
        <f ca="1">IFERROR(VLOOKUP(AT974,OFFSET(abbreviation[],0,ColumnLanguage),ColumnAbbreviation,FALSE),"")</f>
        <v/>
      </c>
      <c r="CD974" s="21" t="str">
        <f ca="1">IFERROR(VLOOKUP(AV974,OFFSET(abbreviation[],0,ColumnLanguage),ColumnAbbreviation,FALSE),"")</f>
        <v/>
      </c>
      <c r="CE974" s="21" t="str">
        <f t="shared" ca="1" si="108"/>
        <v>__</v>
      </c>
      <c r="CF974" s="21" t="str">
        <f ca="1">IFERROR(VLOOKUP(AX974,OFFSET(abbreviation[],0,ColumnLanguage),ColumnAbbreviation,FALSE),"")</f>
        <v/>
      </c>
      <c r="CG974" s="21" t="str">
        <f ca="1">IFERROR(VLOOKUP(AZ974,OFFSET(abbreviation[],0,ColumnLanguage),ColumnAbbreviation,FALSE),"")</f>
        <v/>
      </c>
      <c r="CH974" s="21" t="str">
        <f ca="1">IFERROR(VLOOKUP(BB974,OFFSET(abbreviation[],0,ColumnLanguage),ColumnAbbreviation,FALSE),"")</f>
        <v/>
      </c>
      <c r="CI974" s="21" t="str">
        <f ca="1">IFERROR(VLOOKUP(BD974,OFFSET(abbreviation[],0,ColumnLanguage),ColumnAbbreviation,FALSE),"")</f>
        <v/>
      </c>
      <c r="CJ974" s="21" t="str">
        <f ca="1">IFERROR(VLOOKUP(BF974,OFFSET(abbreviation[],0,ColumnLanguage),ColumnAbbreviation,FALSE),"")</f>
        <v/>
      </c>
      <c r="CK974" s="21" t="str">
        <f t="shared" ca="1" si="109"/>
        <v/>
      </c>
      <c r="CL974" s="21" t="str">
        <f t="shared" si="110"/>
        <v/>
      </c>
      <c r="CM974" s="52"/>
      <c r="CN974" s="57" t="str">
        <f t="shared" si="111"/>
        <v/>
      </c>
    </row>
    <row r="975" spans="17:92" x14ac:dyDescent="0.25">
      <c r="Q975" s="13"/>
      <c r="AN975" s="54"/>
      <c r="AS975" s="15"/>
      <c r="BH975" s="52"/>
      <c r="BI975" s="21" t="str">
        <f ca="1">IFERROR(VLOOKUP(C975,OFFSET(abbreviation[],0,ColumnLanguage),ColumnAbbreviation,FALSE),"")</f>
        <v/>
      </c>
      <c r="BJ975" s="21" t="str">
        <f ca="1">IFERROR(VLOOKUP(E975,OFFSET(abbreviation[],0,ColumnLanguage),ColumnAbbreviation,FALSE),"")</f>
        <v/>
      </c>
      <c r="BK975" s="21" t="str">
        <f ca="1">IFERROR(VLOOKUP(G975,OFFSET(abbreviation[],0,ColumnLanguage),ColumnAbbreviation,FALSE),"")</f>
        <v/>
      </c>
      <c r="BL975" s="21" t="str">
        <f ca="1">IFERROR(VLOOKUP(I975,OFFSET(abbreviation[],0,ColumnLanguage),ColumnAbbreviation,FALSE),"")</f>
        <v/>
      </c>
      <c r="BM975" s="21" t="str">
        <f ca="1">IFERROR(VLOOKUP(K975,OFFSET(abbreviation[],0,ColumnLanguage),ColumnAbbreviation,FALSE),"")</f>
        <v/>
      </c>
      <c r="BN975" s="21" t="str">
        <f t="shared" ca="1" si="105"/>
        <v/>
      </c>
      <c r="BO975" s="21" t="str">
        <f ca="1">IFERROR(VLOOKUP(N975,OFFSET(abbreviation[],0,ColumnLanguage),ColumnAbbreviation,FALSE),"")</f>
        <v/>
      </c>
      <c r="BP975" s="21" t="str">
        <f ca="1">IFERROR(VLOOKUP(P975,OFFSET(abbreviation[],0,ColumnLanguage),ColumnAbbreviation,FALSE),"")</f>
        <v/>
      </c>
      <c r="BQ975" s="21" t="str">
        <f ca="1">IFERROR(VLOOKUP(T975,OFFSET(abbreviation[],0,ColumnLanguage),ColumnAbbreviation,FALSE),"")</f>
        <v/>
      </c>
      <c r="BR975" s="21" t="str">
        <f ca="1">IFERROR(VLOOKUP(V975,OFFSET(abbreviation[],0,ColumnLanguage),ColumnAbbreviation,FALSE),"")</f>
        <v/>
      </c>
      <c r="BS975" s="21" t="str">
        <f ca="1">IFERROR(VLOOKUP(Z975,OFFSET(abbreviation[],0,ColumnLanguage),ColumnAbbreviation,FALSE),"")</f>
        <v/>
      </c>
      <c r="BT975" s="21" t="str">
        <f ca="1">IFERROR(VLOOKUP(AB975,OFFSET(abbreviation[],0,ColumnLanguage),ColumnAbbreviation,FALSE),"")</f>
        <v/>
      </c>
      <c r="BU975" s="21" t="str">
        <f t="shared" ca="1" si="106"/>
        <v>__</v>
      </c>
      <c r="BV975" s="21" t="str">
        <f ca="1">IFERROR(VLOOKUP(AF975,OFFSET(abbreviation[],0,ColumnLanguage),ColumnAbbreviation,FALSE),"")</f>
        <v/>
      </c>
      <c r="BW975" s="21" t="str">
        <f ca="1">IFERROR(VLOOKUP(AH975,OFFSET(abbreviation[],0,ColumnLanguage),ColumnAbbreviation,FALSE),"")</f>
        <v/>
      </c>
      <c r="BX975" s="21" t="str">
        <f ca="1">IFERROR(VLOOKUP(AJ975,OFFSET(abbreviation[],0,ColumnLanguage),ColumnAbbreviation,FALSE),"")</f>
        <v/>
      </c>
      <c r="BY975" s="21" t="str">
        <f ca="1">IFERROR(VLOOKUP(AL975,OFFSET(abbreviation[],0,ColumnLanguage),ColumnAbbreviation,FALSE),"")</f>
        <v/>
      </c>
      <c r="BZ975" s="21" t="str">
        <f t="shared" ca="1" si="107"/>
        <v>_</v>
      </c>
      <c r="CA975" s="21" t="str">
        <f ca="1">IFERROR(VLOOKUP(AP975,OFFSET(abbreviation[],0,ColumnLanguage),ColumnAbbreviation,FALSE),"")</f>
        <v/>
      </c>
      <c r="CB975" s="21" t="str">
        <f ca="1">IFERROR(VLOOKUP(AR975,OFFSET(abbreviation[],0,ColumnLanguage),ColumnAbbreviation,FALSE),"")</f>
        <v/>
      </c>
      <c r="CC975" s="21" t="str">
        <f ca="1">IFERROR(VLOOKUP(AT975,OFFSET(abbreviation[],0,ColumnLanguage),ColumnAbbreviation,FALSE),"")</f>
        <v/>
      </c>
      <c r="CD975" s="21" t="str">
        <f ca="1">IFERROR(VLOOKUP(AV975,OFFSET(abbreviation[],0,ColumnLanguage),ColumnAbbreviation,FALSE),"")</f>
        <v/>
      </c>
      <c r="CE975" s="21" t="str">
        <f t="shared" ca="1" si="108"/>
        <v>__</v>
      </c>
      <c r="CF975" s="21" t="str">
        <f ca="1">IFERROR(VLOOKUP(AX975,OFFSET(abbreviation[],0,ColumnLanguage),ColumnAbbreviation,FALSE),"")</f>
        <v/>
      </c>
      <c r="CG975" s="21" t="str">
        <f ca="1">IFERROR(VLOOKUP(AZ975,OFFSET(abbreviation[],0,ColumnLanguage),ColumnAbbreviation,FALSE),"")</f>
        <v/>
      </c>
      <c r="CH975" s="21" t="str">
        <f ca="1">IFERROR(VLOOKUP(BB975,OFFSET(abbreviation[],0,ColumnLanguage),ColumnAbbreviation,FALSE),"")</f>
        <v/>
      </c>
      <c r="CI975" s="21" t="str">
        <f ca="1">IFERROR(VLOOKUP(BD975,OFFSET(abbreviation[],0,ColumnLanguage),ColumnAbbreviation,FALSE),"")</f>
        <v/>
      </c>
      <c r="CJ975" s="21" t="str">
        <f ca="1">IFERROR(VLOOKUP(BF975,OFFSET(abbreviation[],0,ColumnLanguage),ColumnAbbreviation,FALSE),"")</f>
        <v/>
      </c>
      <c r="CK975" s="21" t="str">
        <f t="shared" ca="1" si="109"/>
        <v/>
      </c>
      <c r="CL975" s="21" t="str">
        <f t="shared" si="110"/>
        <v/>
      </c>
      <c r="CM975" s="52"/>
      <c r="CN975" s="57" t="str">
        <f t="shared" si="111"/>
        <v/>
      </c>
    </row>
    <row r="976" spans="17:92" x14ac:dyDescent="0.25">
      <c r="Q976" s="13"/>
      <c r="AN976" s="54"/>
      <c r="AS976" s="15"/>
      <c r="BH976" s="52"/>
      <c r="BI976" s="21" t="str">
        <f ca="1">IFERROR(VLOOKUP(C976,OFFSET(abbreviation[],0,ColumnLanguage),ColumnAbbreviation,FALSE),"")</f>
        <v/>
      </c>
      <c r="BJ976" s="21" t="str">
        <f ca="1">IFERROR(VLOOKUP(E976,OFFSET(abbreviation[],0,ColumnLanguage),ColumnAbbreviation,FALSE),"")</f>
        <v/>
      </c>
      <c r="BK976" s="21" t="str">
        <f ca="1">IFERROR(VLOOKUP(G976,OFFSET(abbreviation[],0,ColumnLanguage),ColumnAbbreviation,FALSE),"")</f>
        <v/>
      </c>
      <c r="BL976" s="21" t="str">
        <f ca="1">IFERROR(VLOOKUP(I976,OFFSET(abbreviation[],0,ColumnLanguage),ColumnAbbreviation,FALSE),"")</f>
        <v/>
      </c>
      <c r="BM976" s="21" t="str">
        <f ca="1">IFERROR(VLOOKUP(K976,OFFSET(abbreviation[],0,ColumnLanguage),ColumnAbbreviation,FALSE),"")</f>
        <v/>
      </c>
      <c r="BN976" s="21" t="str">
        <f t="shared" ca="1" si="105"/>
        <v/>
      </c>
      <c r="BO976" s="21" t="str">
        <f ca="1">IFERROR(VLOOKUP(N976,OFFSET(abbreviation[],0,ColumnLanguage),ColumnAbbreviation,FALSE),"")</f>
        <v/>
      </c>
      <c r="BP976" s="21" t="str">
        <f ca="1">IFERROR(VLOOKUP(P976,OFFSET(abbreviation[],0,ColumnLanguage),ColumnAbbreviation,FALSE),"")</f>
        <v/>
      </c>
      <c r="BQ976" s="21" t="str">
        <f ca="1">IFERROR(VLOOKUP(T976,OFFSET(abbreviation[],0,ColumnLanguage),ColumnAbbreviation,FALSE),"")</f>
        <v/>
      </c>
      <c r="BR976" s="21" t="str">
        <f ca="1">IFERROR(VLOOKUP(V976,OFFSET(abbreviation[],0,ColumnLanguage),ColumnAbbreviation,FALSE),"")</f>
        <v/>
      </c>
      <c r="BS976" s="21" t="str">
        <f ca="1">IFERROR(VLOOKUP(Z976,OFFSET(abbreviation[],0,ColumnLanguage),ColumnAbbreviation,FALSE),"")</f>
        <v/>
      </c>
      <c r="BT976" s="21" t="str">
        <f ca="1">IFERROR(VLOOKUP(AB976,OFFSET(abbreviation[],0,ColumnLanguage),ColumnAbbreviation,FALSE),"")</f>
        <v/>
      </c>
      <c r="BU976" s="21" t="str">
        <f t="shared" ca="1" si="106"/>
        <v>__</v>
      </c>
      <c r="BV976" s="21" t="str">
        <f ca="1">IFERROR(VLOOKUP(AF976,OFFSET(abbreviation[],0,ColumnLanguage),ColumnAbbreviation,FALSE),"")</f>
        <v/>
      </c>
      <c r="BW976" s="21" t="str">
        <f ca="1">IFERROR(VLOOKUP(AH976,OFFSET(abbreviation[],0,ColumnLanguage),ColumnAbbreviation,FALSE),"")</f>
        <v/>
      </c>
      <c r="BX976" s="21" t="str">
        <f ca="1">IFERROR(VLOOKUP(AJ976,OFFSET(abbreviation[],0,ColumnLanguage),ColumnAbbreviation,FALSE),"")</f>
        <v/>
      </c>
      <c r="BY976" s="21" t="str">
        <f ca="1">IFERROR(VLOOKUP(AL976,OFFSET(abbreviation[],0,ColumnLanguage),ColumnAbbreviation,FALSE),"")</f>
        <v/>
      </c>
      <c r="BZ976" s="21" t="str">
        <f t="shared" ca="1" si="107"/>
        <v>_</v>
      </c>
      <c r="CA976" s="21" t="str">
        <f ca="1">IFERROR(VLOOKUP(AP976,OFFSET(abbreviation[],0,ColumnLanguage),ColumnAbbreviation,FALSE),"")</f>
        <v/>
      </c>
      <c r="CB976" s="21" t="str">
        <f ca="1">IFERROR(VLOOKUP(AR976,OFFSET(abbreviation[],0,ColumnLanguage),ColumnAbbreviation,FALSE),"")</f>
        <v/>
      </c>
      <c r="CC976" s="21" t="str">
        <f ca="1">IFERROR(VLOOKUP(AT976,OFFSET(abbreviation[],0,ColumnLanguage),ColumnAbbreviation,FALSE),"")</f>
        <v/>
      </c>
      <c r="CD976" s="21" t="str">
        <f ca="1">IFERROR(VLOOKUP(AV976,OFFSET(abbreviation[],0,ColumnLanguage),ColumnAbbreviation,FALSE),"")</f>
        <v/>
      </c>
      <c r="CE976" s="21" t="str">
        <f t="shared" ca="1" si="108"/>
        <v>__</v>
      </c>
      <c r="CF976" s="21" t="str">
        <f ca="1">IFERROR(VLOOKUP(AX976,OFFSET(abbreviation[],0,ColumnLanguage),ColumnAbbreviation,FALSE),"")</f>
        <v/>
      </c>
      <c r="CG976" s="21" t="str">
        <f ca="1">IFERROR(VLOOKUP(AZ976,OFFSET(abbreviation[],0,ColumnLanguage),ColumnAbbreviation,FALSE),"")</f>
        <v/>
      </c>
      <c r="CH976" s="21" t="str">
        <f ca="1">IFERROR(VLOOKUP(BB976,OFFSET(abbreviation[],0,ColumnLanguage),ColumnAbbreviation,FALSE),"")</f>
        <v/>
      </c>
      <c r="CI976" s="21" t="str">
        <f ca="1">IFERROR(VLOOKUP(BD976,OFFSET(abbreviation[],0,ColumnLanguage),ColumnAbbreviation,FALSE),"")</f>
        <v/>
      </c>
      <c r="CJ976" s="21" t="str">
        <f ca="1">IFERROR(VLOOKUP(BF976,OFFSET(abbreviation[],0,ColumnLanguage),ColumnAbbreviation,FALSE),"")</f>
        <v/>
      </c>
      <c r="CK976" s="21" t="str">
        <f t="shared" ca="1" si="109"/>
        <v/>
      </c>
      <c r="CL976" s="21" t="str">
        <f t="shared" si="110"/>
        <v/>
      </c>
      <c r="CM976" s="52"/>
      <c r="CN976" s="57" t="str">
        <f t="shared" si="111"/>
        <v/>
      </c>
    </row>
    <row r="977" spans="17:92" x14ac:dyDescent="0.25">
      <c r="Q977" s="13"/>
      <c r="AN977" s="54"/>
      <c r="AS977" s="15"/>
      <c r="BH977" s="52"/>
      <c r="BI977" s="21" t="str">
        <f ca="1">IFERROR(VLOOKUP(C977,OFFSET(abbreviation[],0,ColumnLanguage),ColumnAbbreviation,FALSE),"")</f>
        <v/>
      </c>
      <c r="BJ977" s="21" t="str">
        <f ca="1">IFERROR(VLOOKUP(E977,OFFSET(abbreviation[],0,ColumnLanguage),ColumnAbbreviation,FALSE),"")</f>
        <v/>
      </c>
      <c r="BK977" s="21" t="str">
        <f ca="1">IFERROR(VLOOKUP(G977,OFFSET(abbreviation[],0,ColumnLanguage),ColumnAbbreviation,FALSE),"")</f>
        <v/>
      </c>
      <c r="BL977" s="21" t="str">
        <f ca="1">IFERROR(VLOOKUP(I977,OFFSET(abbreviation[],0,ColumnLanguage),ColumnAbbreviation,FALSE),"")</f>
        <v/>
      </c>
      <c r="BM977" s="21" t="str">
        <f ca="1">IFERROR(VLOOKUP(K977,OFFSET(abbreviation[],0,ColumnLanguage),ColumnAbbreviation,FALSE),"")</f>
        <v/>
      </c>
      <c r="BN977" s="21" t="str">
        <f t="shared" ca="1" si="105"/>
        <v/>
      </c>
      <c r="BO977" s="21" t="str">
        <f ca="1">IFERROR(VLOOKUP(N977,OFFSET(abbreviation[],0,ColumnLanguage),ColumnAbbreviation,FALSE),"")</f>
        <v/>
      </c>
      <c r="BP977" s="21" t="str">
        <f ca="1">IFERROR(VLOOKUP(P977,OFFSET(abbreviation[],0,ColumnLanguage),ColumnAbbreviation,FALSE),"")</f>
        <v/>
      </c>
      <c r="BQ977" s="21" t="str">
        <f ca="1">IFERROR(VLOOKUP(T977,OFFSET(abbreviation[],0,ColumnLanguage),ColumnAbbreviation,FALSE),"")</f>
        <v/>
      </c>
      <c r="BR977" s="21" t="str">
        <f ca="1">IFERROR(VLOOKUP(V977,OFFSET(abbreviation[],0,ColumnLanguage),ColumnAbbreviation,FALSE),"")</f>
        <v/>
      </c>
      <c r="BS977" s="21" t="str">
        <f ca="1">IFERROR(VLOOKUP(Z977,OFFSET(abbreviation[],0,ColumnLanguage),ColumnAbbreviation,FALSE),"")</f>
        <v/>
      </c>
      <c r="BT977" s="21" t="str">
        <f ca="1">IFERROR(VLOOKUP(AB977,OFFSET(abbreviation[],0,ColumnLanguage),ColumnAbbreviation,FALSE),"")</f>
        <v/>
      </c>
      <c r="BU977" s="21" t="str">
        <f t="shared" ca="1" si="106"/>
        <v>__</v>
      </c>
      <c r="BV977" s="21" t="str">
        <f ca="1">IFERROR(VLOOKUP(AF977,OFFSET(abbreviation[],0,ColumnLanguage),ColumnAbbreviation,FALSE),"")</f>
        <v/>
      </c>
      <c r="BW977" s="21" t="str">
        <f ca="1">IFERROR(VLOOKUP(AH977,OFFSET(abbreviation[],0,ColumnLanguage),ColumnAbbreviation,FALSE),"")</f>
        <v/>
      </c>
      <c r="BX977" s="21" t="str">
        <f ca="1">IFERROR(VLOOKUP(AJ977,OFFSET(abbreviation[],0,ColumnLanguage),ColumnAbbreviation,FALSE),"")</f>
        <v/>
      </c>
      <c r="BY977" s="21" t="str">
        <f ca="1">IFERROR(VLOOKUP(AL977,OFFSET(abbreviation[],0,ColumnLanguage),ColumnAbbreviation,FALSE),"")</f>
        <v/>
      </c>
      <c r="BZ977" s="21" t="str">
        <f t="shared" ca="1" si="107"/>
        <v>_</v>
      </c>
      <c r="CA977" s="21" t="str">
        <f ca="1">IFERROR(VLOOKUP(AP977,OFFSET(abbreviation[],0,ColumnLanguage),ColumnAbbreviation,FALSE),"")</f>
        <v/>
      </c>
      <c r="CB977" s="21" t="str">
        <f ca="1">IFERROR(VLOOKUP(AR977,OFFSET(abbreviation[],0,ColumnLanguage),ColumnAbbreviation,FALSE),"")</f>
        <v/>
      </c>
      <c r="CC977" s="21" t="str">
        <f ca="1">IFERROR(VLOOKUP(AT977,OFFSET(abbreviation[],0,ColumnLanguage),ColumnAbbreviation,FALSE),"")</f>
        <v/>
      </c>
      <c r="CD977" s="21" t="str">
        <f ca="1">IFERROR(VLOOKUP(AV977,OFFSET(abbreviation[],0,ColumnLanguage),ColumnAbbreviation,FALSE),"")</f>
        <v/>
      </c>
      <c r="CE977" s="21" t="str">
        <f t="shared" ca="1" si="108"/>
        <v>__</v>
      </c>
      <c r="CF977" s="21" t="str">
        <f ca="1">IFERROR(VLOOKUP(AX977,OFFSET(abbreviation[],0,ColumnLanguage),ColumnAbbreviation,FALSE),"")</f>
        <v/>
      </c>
      <c r="CG977" s="21" t="str">
        <f ca="1">IFERROR(VLOOKUP(AZ977,OFFSET(abbreviation[],0,ColumnLanguage),ColumnAbbreviation,FALSE),"")</f>
        <v/>
      </c>
      <c r="CH977" s="21" t="str">
        <f ca="1">IFERROR(VLOOKUP(BB977,OFFSET(abbreviation[],0,ColumnLanguage),ColumnAbbreviation,FALSE),"")</f>
        <v/>
      </c>
      <c r="CI977" s="21" t="str">
        <f ca="1">IFERROR(VLOOKUP(BD977,OFFSET(abbreviation[],0,ColumnLanguage),ColumnAbbreviation,FALSE),"")</f>
        <v/>
      </c>
      <c r="CJ977" s="21" t="str">
        <f ca="1">IFERROR(VLOOKUP(BF977,OFFSET(abbreviation[],0,ColumnLanguage),ColumnAbbreviation,FALSE),"")</f>
        <v/>
      </c>
      <c r="CK977" s="21" t="str">
        <f t="shared" ca="1" si="109"/>
        <v/>
      </c>
      <c r="CL977" s="21" t="str">
        <f t="shared" si="110"/>
        <v/>
      </c>
      <c r="CM977" s="52"/>
      <c r="CN977" s="57" t="str">
        <f t="shared" si="111"/>
        <v/>
      </c>
    </row>
    <row r="978" spans="17:92" x14ac:dyDescent="0.25">
      <c r="Q978" s="13"/>
      <c r="AN978" s="54"/>
      <c r="AS978" s="15"/>
      <c r="BH978" s="52"/>
      <c r="BI978" s="21" t="str">
        <f ca="1">IFERROR(VLOOKUP(C978,OFFSET(abbreviation[],0,ColumnLanguage),ColumnAbbreviation,FALSE),"")</f>
        <v/>
      </c>
      <c r="BJ978" s="21" t="str">
        <f ca="1">IFERROR(VLOOKUP(E978,OFFSET(abbreviation[],0,ColumnLanguage),ColumnAbbreviation,FALSE),"")</f>
        <v/>
      </c>
      <c r="BK978" s="21" t="str">
        <f ca="1">IFERROR(VLOOKUP(G978,OFFSET(abbreviation[],0,ColumnLanguage),ColumnAbbreviation,FALSE),"")</f>
        <v/>
      </c>
      <c r="BL978" s="21" t="str">
        <f ca="1">IFERROR(VLOOKUP(I978,OFFSET(abbreviation[],0,ColumnLanguage),ColumnAbbreviation,FALSE),"")</f>
        <v/>
      </c>
      <c r="BM978" s="21" t="str">
        <f ca="1">IFERROR(VLOOKUP(K978,OFFSET(abbreviation[],0,ColumnLanguage),ColumnAbbreviation,FALSE),"")</f>
        <v/>
      </c>
      <c r="BN978" s="21" t="str">
        <f t="shared" ca="1" si="105"/>
        <v/>
      </c>
      <c r="BO978" s="21" t="str">
        <f ca="1">IFERROR(VLOOKUP(N978,OFFSET(abbreviation[],0,ColumnLanguage),ColumnAbbreviation,FALSE),"")</f>
        <v/>
      </c>
      <c r="BP978" s="21" t="str">
        <f ca="1">IFERROR(VLOOKUP(P978,OFFSET(abbreviation[],0,ColumnLanguage),ColumnAbbreviation,FALSE),"")</f>
        <v/>
      </c>
      <c r="BQ978" s="21" t="str">
        <f ca="1">IFERROR(VLOOKUP(T978,OFFSET(abbreviation[],0,ColumnLanguage),ColumnAbbreviation,FALSE),"")</f>
        <v/>
      </c>
      <c r="BR978" s="21" t="str">
        <f ca="1">IFERROR(VLOOKUP(V978,OFFSET(abbreviation[],0,ColumnLanguage),ColumnAbbreviation,FALSE),"")</f>
        <v/>
      </c>
      <c r="BS978" s="21" t="str">
        <f ca="1">IFERROR(VLOOKUP(Z978,OFFSET(abbreviation[],0,ColumnLanguage),ColumnAbbreviation,FALSE),"")</f>
        <v/>
      </c>
      <c r="BT978" s="21" t="str">
        <f ca="1">IFERROR(VLOOKUP(AB978,OFFSET(abbreviation[],0,ColumnLanguage),ColumnAbbreviation,FALSE),"")</f>
        <v/>
      </c>
      <c r="BU978" s="21" t="str">
        <f t="shared" ca="1" si="106"/>
        <v>__</v>
      </c>
      <c r="BV978" s="21" t="str">
        <f ca="1">IFERROR(VLOOKUP(AF978,OFFSET(abbreviation[],0,ColumnLanguage),ColumnAbbreviation,FALSE),"")</f>
        <v/>
      </c>
      <c r="BW978" s="21" t="str">
        <f ca="1">IFERROR(VLOOKUP(AH978,OFFSET(abbreviation[],0,ColumnLanguage),ColumnAbbreviation,FALSE),"")</f>
        <v/>
      </c>
      <c r="BX978" s="21" t="str">
        <f ca="1">IFERROR(VLOOKUP(AJ978,OFFSET(abbreviation[],0,ColumnLanguage),ColumnAbbreviation,FALSE),"")</f>
        <v/>
      </c>
      <c r="BY978" s="21" t="str">
        <f ca="1">IFERROR(VLOOKUP(AL978,OFFSET(abbreviation[],0,ColumnLanguage),ColumnAbbreviation,FALSE),"")</f>
        <v/>
      </c>
      <c r="BZ978" s="21" t="str">
        <f t="shared" ca="1" si="107"/>
        <v>_</v>
      </c>
      <c r="CA978" s="21" t="str">
        <f ca="1">IFERROR(VLOOKUP(AP978,OFFSET(abbreviation[],0,ColumnLanguage),ColumnAbbreviation,FALSE),"")</f>
        <v/>
      </c>
      <c r="CB978" s="21" t="str">
        <f ca="1">IFERROR(VLOOKUP(AR978,OFFSET(abbreviation[],0,ColumnLanguage),ColumnAbbreviation,FALSE),"")</f>
        <v/>
      </c>
      <c r="CC978" s="21" t="str">
        <f ca="1">IFERROR(VLOOKUP(AT978,OFFSET(abbreviation[],0,ColumnLanguage),ColumnAbbreviation,FALSE),"")</f>
        <v/>
      </c>
      <c r="CD978" s="21" t="str">
        <f ca="1">IFERROR(VLOOKUP(AV978,OFFSET(abbreviation[],0,ColumnLanguage),ColumnAbbreviation,FALSE),"")</f>
        <v/>
      </c>
      <c r="CE978" s="21" t="str">
        <f t="shared" ca="1" si="108"/>
        <v>__</v>
      </c>
      <c r="CF978" s="21" t="str">
        <f ca="1">IFERROR(VLOOKUP(AX978,OFFSET(abbreviation[],0,ColumnLanguage),ColumnAbbreviation,FALSE),"")</f>
        <v/>
      </c>
      <c r="CG978" s="21" t="str">
        <f ca="1">IFERROR(VLOOKUP(AZ978,OFFSET(abbreviation[],0,ColumnLanguage),ColumnAbbreviation,FALSE),"")</f>
        <v/>
      </c>
      <c r="CH978" s="21" t="str">
        <f ca="1">IFERROR(VLOOKUP(BB978,OFFSET(abbreviation[],0,ColumnLanguage),ColumnAbbreviation,FALSE),"")</f>
        <v/>
      </c>
      <c r="CI978" s="21" t="str">
        <f ca="1">IFERROR(VLOOKUP(BD978,OFFSET(abbreviation[],0,ColumnLanguage),ColumnAbbreviation,FALSE),"")</f>
        <v/>
      </c>
      <c r="CJ978" s="21" t="str">
        <f ca="1">IFERROR(VLOOKUP(BF978,OFFSET(abbreviation[],0,ColumnLanguage),ColumnAbbreviation,FALSE),"")</f>
        <v/>
      </c>
      <c r="CK978" s="21" t="str">
        <f t="shared" ca="1" si="109"/>
        <v/>
      </c>
      <c r="CL978" s="21" t="str">
        <f t="shared" si="110"/>
        <v/>
      </c>
      <c r="CM978" s="52"/>
      <c r="CN978" s="57" t="str">
        <f t="shared" si="111"/>
        <v/>
      </c>
    </row>
    <row r="979" spans="17:92" x14ac:dyDescent="0.25">
      <c r="Q979" s="13"/>
      <c r="AN979" s="54"/>
      <c r="AS979" s="15"/>
      <c r="BH979" s="52"/>
      <c r="BI979" s="21" t="str">
        <f ca="1">IFERROR(VLOOKUP(C979,OFFSET(abbreviation[],0,ColumnLanguage),ColumnAbbreviation,FALSE),"")</f>
        <v/>
      </c>
      <c r="BJ979" s="21" t="str">
        <f ca="1">IFERROR(VLOOKUP(E979,OFFSET(abbreviation[],0,ColumnLanguage),ColumnAbbreviation,FALSE),"")</f>
        <v/>
      </c>
      <c r="BK979" s="21" t="str">
        <f ca="1">IFERROR(VLOOKUP(G979,OFFSET(abbreviation[],0,ColumnLanguage),ColumnAbbreviation,FALSE),"")</f>
        <v/>
      </c>
      <c r="BL979" s="21" t="str">
        <f ca="1">IFERROR(VLOOKUP(I979,OFFSET(abbreviation[],0,ColumnLanguage),ColumnAbbreviation,FALSE),"")</f>
        <v/>
      </c>
      <c r="BM979" s="21" t="str">
        <f ca="1">IFERROR(VLOOKUP(K979,OFFSET(abbreviation[],0,ColumnLanguage),ColumnAbbreviation,FALSE),"")</f>
        <v/>
      </c>
      <c r="BN979" s="21" t="str">
        <f t="shared" ca="1" si="105"/>
        <v/>
      </c>
      <c r="BO979" s="21" t="str">
        <f ca="1">IFERROR(VLOOKUP(N979,OFFSET(abbreviation[],0,ColumnLanguage),ColumnAbbreviation,FALSE),"")</f>
        <v/>
      </c>
      <c r="BP979" s="21" t="str">
        <f ca="1">IFERROR(VLOOKUP(P979,OFFSET(abbreviation[],0,ColumnLanguage),ColumnAbbreviation,FALSE),"")</f>
        <v/>
      </c>
      <c r="BQ979" s="21" t="str">
        <f ca="1">IFERROR(VLOOKUP(T979,OFFSET(abbreviation[],0,ColumnLanguage),ColumnAbbreviation,FALSE),"")</f>
        <v/>
      </c>
      <c r="BR979" s="21" t="str">
        <f ca="1">IFERROR(VLOOKUP(V979,OFFSET(abbreviation[],0,ColumnLanguage),ColumnAbbreviation,FALSE),"")</f>
        <v/>
      </c>
      <c r="BS979" s="21" t="str">
        <f ca="1">IFERROR(VLOOKUP(Z979,OFFSET(abbreviation[],0,ColumnLanguage),ColumnAbbreviation,FALSE),"")</f>
        <v/>
      </c>
      <c r="BT979" s="21" t="str">
        <f ca="1">IFERROR(VLOOKUP(AB979,OFFSET(abbreviation[],0,ColumnLanguage),ColumnAbbreviation,FALSE),"")</f>
        <v/>
      </c>
      <c r="BU979" s="21" t="str">
        <f t="shared" ca="1" si="106"/>
        <v>__</v>
      </c>
      <c r="BV979" s="21" t="str">
        <f ca="1">IFERROR(VLOOKUP(AF979,OFFSET(abbreviation[],0,ColumnLanguage),ColumnAbbreviation,FALSE),"")</f>
        <v/>
      </c>
      <c r="BW979" s="21" t="str">
        <f ca="1">IFERROR(VLOOKUP(AH979,OFFSET(abbreviation[],0,ColumnLanguage),ColumnAbbreviation,FALSE),"")</f>
        <v/>
      </c>
      <c r="BX979" s="21" t="str">
        <f ca="1">IFERROR(VLOOKUP(AJ979,OFFSET(abbreviation[],0,ColumnLanguage),ColumnAbbreviation,FALSE),"")</f>
        <v/>
      </c>
      <c r="BY979" s="21" t="str">
        <f ca="1">IFERROR(VLOOKUP(AL979,OFFSET(abbreviation[],0,ColumnLanguage),ColumnAbbreviation,FALSE),"")</f>
        <v/>
      </c>
      <c r="BZ979" s="21" t="str">
        <f t="shared" ca="1" si="107"/>
        <v>_</v>
      </c>
      <c r="CA979" s="21" t="str">
        <f ca="1">IFERROR(VLOOKUP(AP979,OFFSET(abbreviation[],0,ColumnLanguage),ColumnAbbreviation,FALSE),"")</f>
        <v/>
      </c>
      <c r="CB979" s="21" t="str">
        <f ca="1">IFERROR(VLOOKUP(AR979,OFFSET(abbreviation[],0,ColumnLanguage),ColumnAbbreviation,FALSE),"")</f>
        <v/>
      </c>
      <c r="CC979" s="21" t="str">
        <f ca="1">IFERROR(VLOOKUP(AT979,OFFSET(abbreviation[],0,ColumnLanguage),ColumnAbbreviation,FALSE),"")</f>
        <v/>
      </c>
      <c r="CD979" s="21" t="str">
        <f ca="1">IFERROR(VLOOKUP(AV979,OFFSET(abbreviation[],0,ColumnLanguage),ColumnAbbreviation,FALSE),"")</f>
        <v/>
      </c>
      <c r="CE979" s="21" t="str">
        <f t="shared" ca="1" si="108"/>
        <v>__</v>
      </c>
      <c r="CF979" s="21" t="str">
        <f ca="1">IFERROR(VLOOKUP(AX979,OFFSET(abbreviation[],0,ColumnLanguage),ColumnAbbreviation,FALSE),"")</f>
        <v/>
      </c>
      <c r="CG979" s="21" t="str">
        <f ca="1">IFERROR(VLOOKUP(AZ979,OFFSET(abbreviation[],0,ColumnLanguage),ColumnAbbreviation,FALSE),"")</f>
        <v/>
      </c>
      <c r="CH979" s="21" t="str">
        <f ca="1">IFERROR(VLOOKUP(BB979,OFFSET(abbreviation[],0,ColumnLanguage),ColumnAbbreviation,FALSE),"")</f>
        <v/>
      </c>
      <c r="CI979" s="21" t="str">
        <f ca="1">IFERROR(VLOOKUP(BD979,OFFSET(abbreviation[],0,ColumnLanguage),ColumnAbbreviation,FALSE),"")</f>
        <v/>
      </c>
      <c r="CJ979" s="21" t="str">
        <f ca="1">IFERROR(VLOOKUP(BF979,OFFSET(abbreviation[],0,ColumnLanguage),ColumnAbbreviation,FALSE),"")</f>
        <v/>
      </c>
      <c r="CK979" s="21" t="str">
        <f t="shared" ca="1" si="109"/>
        <v/>
      </c>
      <c r="CL979" s="21" t="str">
        <f t="shared" si="110"/>
        <v/>
      </c>
      <c r="CM979" s="52"/>
      <c r="CN979" s="57" t="str">
        <f t="shared" si="111"/>
        <v/>
      </c>
    </row>
    <row r="980" spans="17:92" x14ac:dyDescent="0.25">
      <c r="Q980" s="13"/>
      <c r="AN980" s="54"/>
      <c r="AS980" s="15"/>
      <c r="BH980" s="52"/>
      <c r="BI980" s="21" t="str">
        <f ca="1">IFERROR(VLOOKUP(C980,OFFSET(abbreviation[],0,ColumnLanguage),ColumnAbbreviation,FALSE),"")</f>
        <v/>
      </c>
      <c r="BJ980" s="21" t="str">
        <f ca="1">IFERROR(VLOOKUP(E980,OFFSET(abbreviation[],0,ColumnLanguage),ColumnAbbreviation,FALSE),"")</f>
        <v/>
      </c>
      <c r="BK980" s="21" t="str">
        <f ca="1">IFERROR(VLOOKUP(G980,OFFSET(abbreviation[],0,ColumnLanguage),ColumnAbbreviation,FALSE),"")</f>
        <v/>
      </c>
      <c r="BL980" s="21" t="str">
        <f ca="1">IFERROR(VLOOKUP(I980,OFFSET(abbreviation[],0,ColumnLanguage),ColumnAbbreviation,FALSE),"")</f>
        <v/>
      </c>
      <c r="BM980" s="21" t="str">
        <f ca="1">IFERROR(VLOOKUP(K980,OFFSET(abbreviation[],0,ColumnLanguage),ColumnAbbreviation,FALSE),"")</f>
        <v/>
      </c>
      <c r="BN980" s="21" t="str">
        <f t="shared" ca="1" si="105"/>
        <v/>
      </c>
      <c r="BO980" s="21" t="str">
        <f ca="1">IFERROR(VLOOKUP(N980,OFFSET(abbreviation[],0,ColumnLanguage),ColumnAbbreviation,FALSE),"")</f>
        <v/>
      </c>
      <c r="BP980" s="21" t="str">
        <f ca="1">IFERROR(VLOOKUP(P980,OFFSET(abbreviation[],0,ColumnLanguage),ColumnAbbreviation,FALSE),"")</f>
        <v/>
      </c>
      <c r="BQ980" s="21" t="str">
        <f ca="1">IFERROR(VLOOKUP(T980,OFFSET(abbreviation[],0,ColumnLanguage),ColumnAbbreviation,FALSE),"")</f>
        <v/>
      </c>
      <c r="BR980" s="21" t="str">
        <f ca="1">IFERROR(VLOOKUP(V980,OFFSET(abbreviation[],0,ColumnLanguage),ColumnAbbreviation,FALSE),"")</f>
        <v/>
      </c>
      <c r="BS980" s="21" t="str">
        <f ca="1">IFERROR(VLOOKUP(Z980,OFFSET(abbreviation[],0,ColumnLanguage),ColumnAbbreviation,FALSE),"")</f>
        <v/>
      </c>
      <c r="BT980" s="21" t="str">
        <f ca="1">IFERROR(VLOOKUP(AB980,OFFSET(abbreviation[],0,ColumnLanguage),ColumnAbbreviation,FALSE),"")</f>
        <v/>
      </c>
      <c r="BU980" s="21" t="str">
        <f t="shared" ca="1" si="106"/>
        <v>__</v>
      </c>
      <c r="BV980" s="21" t="str">
        <f ca="1">IFERROR(VLOOKUP(AF980,OFFSET(abbreviation[],0,ColumnLanguage),ColumnAbbreviation,FALSE),"")</f>
        <v/>
      </c>
      <c r="BW980" s="21" t="str">
        <f ca="1">IFERROR(VLOOKUP(AH980,OFFSET(abbreviation[],0,ColumnLanguage),ColumnAbbreviation,FALSE),"")</f>
        <v/>
      </c>
      <c r="BX980" s="21" t="str">
        <f ca="1">IFERROR(VLOOKUP(AJ980,OFFSET(abbreviation[],0,ColumnLanguage),ColumnAbbreviation,FALSE),"")</f>
        <v/>
      </c>
      <c r="BY980" s="21" t="str">
        <f ca="1">IFERROR(VLOOKUP(AL980,OFFSET(abbreviation[],0,ColumnLanguage),ColumnAbbreviation,FALSE),"")</f>
        <v/>
      </c>
      <c r="BZ980" s="21" t="str">
        <f t="shared" ca="1" si="107"/>
        <v>_</v>
      </c>
      <c r="CA980" s="21" t="str">
        <f ca="1">IFERROR(VLOOKUP(AP980,OFFSET(abbreviation[],0,ColumnLanguage),ColumnAbbreviation,FALSE),"")</f>
        <v/>
      </c>
      <c r="CB980" s="21" t="str">
        <f ca="1">IFERROR(VLOOKUP(AR980,OFFSET(abbreviation[],0,ColumnLanguage),ColumnAbbreviation,FALSE),"")</f>
        <v/>
      </c>
      <c r="CC980" s="21" t="str">
        <f ca="1">IFERROR(VLOOKUP(AT980,OFFSET(abbreviation[],0,ColumnLanguage),ColumnAbbreviation,FALSE),"")</f>
        <v/>
      </c>
      <c r="CD980" s="21" t="str">
        <f ca="1">IFERROR(VLOOKUP(AV980,OFFSET(abbreviation[],0,ColumnLanguage),ColumnAbbreviation,FALSE),"")</f>
        <v/>
      </c>
      <c r="CE980" s="21" t="str">
        <f t="shared" ca="1" si="108"/>
        <v>__</v>
      </c>
      <c r="CF980" s="21" t="str">
        <f ca="1">IFERROR(VLOOKUP(AX980,OFFSET(abbreviation[],0,ColumnLanguage),ColumnAbbreviation,FALSE),"")</f>
        <v/>
      </c>
      <c r="CG980" s="21" t="str">
        <f ca="1">IFERROR(VLOOKUP(AZ980,OFFSET(abbreviation[],0,ColumnLanguage),ColumnAbbreviation,FALSE),"")</f>
        <v/>
      </c>
      <c r="CH980" s="21" t="str">
        <f ca="1">IFERROR(VLOOKUP(BB980,OFFSET(abbreviation[],0,ColumnLanguage),ColumnAbbreviation,FALSE),"")</f>
        <v/>
      </c>
      <c r="CI980" s="21" t="str">
        <f ca="1">IFERROR(VLOOKUP(BD980,OFFSET(abbreviation[],0,ColumnLanguage),ColumnAbbreviation,FALSE),"")</f>
        <v/>
      </c>
      <c r="CJ980" s="21" t="str">
        <f ca="1">IFERROR(VLOOKUP(BF980,OFFSET(abbreviation[],0,ColumnLanguage),ColumnAbbreviation,FALSE),"")</f>
        <v/>
      </c>
      <c r="CK980" s="21" t="str">
        <f t="shared" ca="1" si="109"/>
        <v/>
      </c>
      <c r="CL980" s="21" t="str">
        <f t="shared" si="110"/>
        <v/>
      </c>
      <c r="CM980" s="52"/>
      <c r="CN980" s="57" t="str">
        <f t="shared" si="111"/>
        <v/>
      </c>
    </row>
    <row r="981" spans="17:92" x14ac:dyDescent="0.25">
      <c r="Q981" s="13"/>
      <c r="AN981" s="54"/>
      <c r="AS981" s="15"/>
      <c r="BH981" s="52"/>
      <c r="BI981" s="21" t="str">
        <f ca="1">IFERROR(VLOOKUP(C981,OFFSET(abbreviation[],0,ColumnLanguage),ColumnAbbreviation,FALSE),"")</f>
        <v/>
      </c>
      <c r="BJ981" s="21" t="str">
        <f ca="1">IFERROR(VLOOKUP(E981,OFFSET(abbreviation[],0,ColumnLanguage),ColumnAbbreviation,FALSE),"")</f>
        <v/>
      </c>
      <c r="BK981" s="21" t="str">
        <f ca="1">IFERROR(VLOOKUP(G981,OFFSET(abbreviation[],0,ColumnLanguage),ColumnAbbreviation,FALSE),"")</f>
        <v/>
      </c>
      <c r="BL981" s="21" t="str">
        <f ca="1">IFERROR(VLOOKUP(I981,OFFSET(abbreviation[],0,ColumnLanguage),ColumnAbbreviation,FALSE),"")</f>
        <v/>
      </c>
      <c r="BM981" s="21" t="str">
        <f ca="1">IFERROR(VLOOKUP(K981,OFFSET(abbreviation[],0,ColumnLanguage),ColumnAbbreviation,FALSE),"")</f>
        <v/>
      </c>
      <c r="BN981" s="21" t="str">
        <f t="shared" ca="1" si="105"/>
        <v/>
      </c>
      <c r="BO981" s="21" t="str">
        <f ca="1">IFERROR(VLOOKUP(N981,OFFSET(abbreviation[],0,ColumnLanguage),ColumnAbbreviation,FALSE),"")</f>
        <v/>
      </c>
      <c r="BP981" s="21" t="str">
        <f ca="1">IFERROR(VLOOKUP(P981,OFFSET(abbreviation[],0,ColumnLanguage),ColumnAbbreviation,FALSE),"")</f>
        <v/>
      </c>
      <c r="BQ981" s="21" t="str">
        <f ca="1">IFERROR(VLOOKUP(T981,OFFSET(abbreviation[],0,ColumnLanguage),ColumnAbbreviation,FALSE),"")</f>
        <v/>
      </c>
      <c r="BR981" s="21" t="str">
        <f ca="1">IFERROR(VLOOKUP(V981,OFFSET(abbreviation[],0,ColumnLanguage),ColumnAbbreviation,FALSE),"")</f>
        <v/>
      </c>
      <c r="BS981" s="21" t="str">
        <f ca="1">IFERROR(VLOOKUP(Z981,OFFSET(abbreviation[],0,ColumnLanguage),ColumnAbbreviation,FALSE),"")</f>
        <v/>
      </c>
      <c r="BT981" s="21" t="str">
        <f ca="1">IFERROR(VLOOKUP(AB981,OFFSET(abbreviation[],0,ColumnLanguage),ColumnAbbreviation,FALSE),"")</f>
        <v/>
      </c>
      <c r="BU981" s="21" t="str">
        <f t="shared" ca="1" si="106"/>
        <v>__</v>
      </c>
      <c r="BV981" s="21" t="str">
        <f ca="1">IFERROR(VLOOKUP(AF981,OFFSET(abbreviation[],0,ColumnLanguage),ColumnAbbreviation,FALSE),"")</f>
        <v/>
      </c>
      <c r="BW981" s="21" t="str">
        <f ca="1">IFERROR(VLOOKUP(AH981,OFFSET(abbreviation[],0,ColumnLanguage),ColumnAbbreviation,FALSE),"")</f>
        <v/>
      </c>
      <c r="BX981" s="21" t="str">
        <f ca="1">IFERROR(VLOOKUP(AJ981,OFFSET(abbreviation[],0,ColumnLanguage),ColumnAbbreviation,FALSE),"")</f>
        <v/>
      </c>
      <c r="BY981" s="21" t="str">
        <f ca="1">IFERROR(VLOOKUP(AL981,OFFSET(abbreviation[],0,ColumnLanguage),ColumnAbbreviation,FALSE),"")</f>
        <v/>
      </c>
      <c r="BZ981" s="21" t="str">
        <f t="shared" ca="1" si="107"/>
        <v>_</v>
      </c>
      <c r="CA981" s="21" t="str">
        <f ca="1">IFERROR(VLOOKUP(AP981,OFFSET(abbreviation[],0,ColumnLanguage),ColumnAbbreviation,FALSE),"")</f>
        <v/>
      </c>
      <c r="CB981" s="21" t="str">
        <f ca="1">IFERROR(VLOOKUP(AR981,OFFSET(abbreviation[],0,ColumnLanguage),ColumnAbbreviation,FALSE),"")</f>
        <v/>
      </c>
      <c r="CC981" s="21" t="str">
        <f ca="1">IFERROR(VLOOKUP(AT981,OFFSET(abbreviation[],0,ColumnLanguage),ColumnAbbreviation,FALSE),"")</f>
        <v/>
      </c>
      <c r="CD981" s="21" t="str">
        <f ca="1">IFERROR(VLOOKUP(AV981,OFFSET(abbreviation[],0,ColumnLanguage),ColumnAbbreviation,FALSE),"")</f>
        <v/>
      </c>
      <c r="CE981" s="21" t="str">
        <f t="shared" ca="1" si="108"/>
        <v>__</v>
      </c>
      <c r="CF981" s="21" t="str">
        <f ca="1">IFERROR(VLOOKUP(AX981,OFFSET(abbreviation[],0,ColumnLanguage),ColumnAbbreviation,FALSE),"")</f>
        <v/>
      </c>
      <c r="CG981" s="21" t="str">
        <f ca="1">IFERROR(VLOOKUP(AZ981,OFFSET(abbreviation[],0,ColumnLanguage),ColumnAbbreviation,FALSE),"")</f>
        <v/>
      </c>
      <c r="CH981" s="21" t="str">
        <f ca="1">IFERROR(VLOOKUP(BB981,OFFSET(abbreviation[],0,ColumnLanguage),ColumnAbbreviation,FALSE),"")</f>
        <v/>
      </c>
      <c r="CI981" s="21" t="str">
        <f ca="1">IFERROR(VLOOKUP(BD981,OFFSET(abbreviation[],0,ColumnLanguage),ColumnAbbreviation,FALSE),"")</f>
        <v/>
      </c>
      <c r="CJ981" s="21" t="str">
        <f ca="1">IFERROR(VLOOKUP(BF981,OFFSET(abbreviation[],0,ColumnLanguage),ColumnAbbreviation,FALSE),"")</f>
        <v/>
      </c>
      <c r="CK981" s="21" t="str">
        <f t="shared" ca="1" si="109"/>
        <v/>
      </c>
      <c r="CL981" s="21" t="str">
        <f t="shared" si="110"/>
        <v/>
      </c>
      <c r="CM981" s="52"/>
      <c r="CN981" s="57" t="str">
        <f t="shared" si="111"/>
        <v/>
      </c>
    </row>
    <row r="982" spans="17:92" x14ac:dyDescent="0.25">
      <c r="Q982" s="13"/>
      <c r="AN982" s="54"/>
      <c r="AS982" s="15"/>
      <c r="BH982" s="52"/>
      <c r="BI982" s="21" t="str">
        <f ca="1">IFERROR(VLOOKUP(C982,OFFSET(abbreviation[],0,ColumnLanguage),ColumnAbbreviation,FALSE),"")</f>
        <v/>
      </c>
      <c r="BJ982" s="21" t="str">
        <f ca="1">IFERROR(VLOOKUP(E982,OFFSET(abbreviation[],0,ColumnLanguage),ColumnAbbreviation,FALSE),"")</f>
        <v/>
      </c>
      <c r="BK982" s="21" t="str">
        <f ca="1">IFERROR(VLOOKUP(G982,OFFSET(abbreviation[],0,ColumnLanguage),ColumnAbbreviation,FALSE),"")</f>
        <v/>
      </c>
      <c r="BL982" s="21" t="str">
        <f ca="1">IFERROR(VLOOKUP(I982,OFFSET(abbreviation[],0,ColumnLanguage),ColumnAbbreviation,FALSE),"")</f>
        <v/>
      </c>
      <c r="BM982" s="21" t="str">
        <f ca="1">IFERROR(VLOOKUP(K982,OFFSET(abbreviation[],0,ColumnLanguage),ColumnAbbreviation,FALSE),"")</f>
        <v/>
      </c>
      <c r="BN982" s="21" t="str">
        <f t="shared" ca="1" si="105"/>
        <v/>
      </c>
      <c r="BO982" s="21" t="str">
        <f ca="1">IFERROR(VLOOKUP(N982,OFFSET(abbreviation[],0,ColumnLanguage),ColumnAbbreviation,FALSE),"")</f>
        <v/>
      </c>
      <c r="BP982" s="21" t="str">
        <f ca="1">IFERROR(VLOOKUP(P982,OFFSET(abbreviation[],0,ColumnLanguage),ColumnAbbreviation,FALSE),"")</f>
        <v/>
      </c>
      <c r="BQ982" s="21" t="str">
        <f ca="1">IFERROR(VLOOKUP(T982,OFFSET(abbreviation[],0,ColumnLanguage),ColumnAbbreviation,FALSE),"")</f>
        <v/>
      </c>
      <c r="BR982" s="21" t="str">
        <f ca="1">IFERROR(VLOOKUP(V982,OFFSET(abbreviation[],0,ColumnLanguage),ColumnAbbreviation,FALSE),"")</f>
        <v/>
      </c>
      <c r="BS982" s="21" t="str">
        <f ca="1">IFERROR(VLOOKUP(Z982,OFFSET(abbreviation[],0,ColumnLanguage),ColumnAbbreviation,FALSE),"")</f>
        <v/>
      </c>
      <c r="BT982" s="21" t="str">
        <f ca="1">IFERROR(VLOOKUP(AB982,OFFSET(abbreviation[],0,ColumnLanguage),ColumnAbbreviation,FALSE),"")</f>
        <v/>
      </c>
      <c r="BU982" s="21" t="str">
        <f t="shared" ca="1" si="106"/>
        <v>__</v>
      </c>
      <c r="BV982" s="21" t="str">
        <f ca="1">IFERROR(VLOOKUP(AF982,OFFSET(abbreviation[],0,ColumnLanguage),ColumnAbbreviation,FALSE),"")</f>
        <v/>
      </c>
      <c r="BW982" s="21" t="str">
        <f ca="1">IFERROR(VLOOKUP(AH982,OFFSET(abbreviation[],0,ColumnLanguage),ColumnAbbreviation,FALSE),"")</f>
        <v/>
      </c>
      <c r="BX982" s="21" t="str">
        <f ca="1">IFERROR(VLOOKUP(AJ982,OFFSET(abbreviation[],0,ColumnLanguage),ColumnAbbreviation,FALSE),"")</f>
        <v/>
      </c>
      <c r="BY982" s="21" t="str">
        <f ca="1">IFERROR(VLOOKUP(AL982,OFFSET(abbreviation[],0,ColumnLanguage),ColumnAbbreviation,FALSE),"")</f>
        <v/>
      </c>
      <c r="BZ982" s="21" t="str">
        <f t="shared" ca="1" si="107"/>
        <v>_</v>
      </c>
      <c r="CA982" s="21" t="str">
        <f ca="1">IFERROR(VLOOKUP(AP982,OFFSET(abbreviation[],0,ColumnLanguage),ColumnAbbreviation,FALSE),"")</f>
        <v/>
      </c>
      <c r="CB982" s="21" t="str">
        <f ca="1">IFERROR(VLOOKUP(AR982,OFFSET(abbreviation[],0,ColumnLanguage),ColumnAbbreviation,FALSE),"")</f>
        <v/>
      </c>
      <c r="CC982" s="21" t="str">
        <f ca="1">IFERROR(VLOOKUP(AT982,OFFSET(abbreviation[],0,ColumnLanguage),ColumnAbbreviation,FALSE),"")</f>
        <v/>
      </c>
      <c r="CD982" s="21" t="str">
        <f ca="1">IFERROR(VLOOKUP(AV982,OFFSET(abbreviation[],0,ColumnLanguage),ColumnAbbreviation,FALSE),"")</f>
        <v/>
      </c>
      <c r="CE982" s="21" t="str">
        <f t="shared" ca="1" si="108"/>
        <v>__</v>
      </c>
      <c r="CF982" s="21" t="str">
        <f ca="1">IFERROR(VLOOKUP(AX982,OFFSET(abbreviation[],0,ColumnLanguage),ColumnAbbreviation,FALSE),"")</f>
        <v/>
      </c>
      <c r="CG982" s="21" t="str">
        <f ca="1">IFERROR(VLOOKUP(AZ982,OFFSET(abbreviation[],0,ColumnLanguage),ColumnAbbreviation,FALSE),"")</f>
        <v/>
      </c>
      <c r="CH982" s="21" t="str">
        <f ca="1">IFERROR(VLOOKUP(BB982,OFFSET(abbreviation[],0,ColumnLanguage),ColumnAbbreviation,FALSE),"")</f>
        <v/>
      </c>
      <c r="CI982" s="21" t="str">
        <f ca="1">IFERROR(VLOOKUP(BD982,OFFSET(abbreviation[],0,ColumnLanguage),ColumnAbbreviation,FALSE),"")</f>
        <v/>
      </c>
      <c r="CJ982" s="21" t="str">
        <f ca="1">IFERROR(VLOOKUP(BF982,OFFSET(abbreviation[],0,ColumnLanguage),ColumnAbbreviation,FALSE),"")</f>
        <v/>
      </c>
      <c r="CK982" s="21" t="str">
        <f t="shared" ca="1" si="109"/>
        <v/>
      </c>
      <c r="CL982" s="21" t="str">
        <f t="shared" si="110"/>
        <v/>
      </c>
      <c r="CM982" s="52"/>
      <c r="CN982" s="57" t="str">
        <f t="shared" si="111"/>
        <v/>
      </c>
    </row>
    <row r="983" spans="17:92" x14ac:dyDescent="0.25">
      <c r="Q983" s="13"/>
      <c r="AN983" s="54"/>
      <c r="AS983" s="15"/>
      <c r="BH983" s="52"/>
      <c r="BI983" s="21" t="str">
        <f ca="1">IFERROR(VLOOKUP(C983,OFFSET(abbreviation[],0,ColumnLanguage),ColumnAbbreviation,FALSE),"")</f>
        <v/>
      </c>
      <c r="BJ983" s="21" t="str">
        <f ca="1">IFERROR(VLOOKUP(E983,OFFSET(abbreviation[],0,ColumnLanguage),ColumnAbbreviation,FALSE),"")</f>
        <v/>
      </c>
      <c r="BK983" s="21" t="str">
        <f ca="1">IFERROR(VLOOKUP(G983,OFFSET(abbreviation[],0,ColumnLanguage),ColumnAbbreviation,FALSE),"")</f>
        <v/>
      </c>
      <c r="BL983" s="21" t="str">
        <f ca="1">IFERROR(VLOOKUP(I983,OFFSET(abbreviation[],0,ColumnLanguage),ColumnAbbreviation,FALSE),"")</f>
        <v/>
      </c>
      <c r="BM983" s="21" t="str">
        <f ca="1">IFERROR(VLOOKUP(K983,OFFSET(abbreviation[],0,ColumnLanguage),ColumnAbbreviation,FALSE),"")</f>
        <v/>
      </c>
      <c r="BN983" s="21" t="str">
        <f t="shared" ca="1" si="105"/>
        <v/>
      </c>
      <c r="BO983" s="21" t="str">
        <f ca="1">IFERROR(VLOOKUP(N983,OFFSET(abbreviation[],0,ColumnLanguage),ColumnAbbreviation,FALSE),"")</f>
        <v/>
      </c>
      <c r="BP983" s="21" t="str">
        <f ca="1">IFERROR(VLOOKUP(P983,OFFSET(abbreviation[],0,ColumnLanguage),ColumnAbbreviation,FALSE),"")</f>
        <v/>
      </c>
      <c r="BQ983" s="21" t="str">
        <f ca="1">IFERROR(VLOOKUP(T983,OFFSET(abbreviation[],0,ColumnLanguage),ColumnAbbreviation,FALSE),"")</f>
        <v/>
      </c>
      <c r="BR983" s="21" t="str">
        <f ca="1">IFERROR(VLOOKUP(V983,OFFSET(abbreviation[],0,ColumnLanguage),ColumnAbbreviation,FALSE),"")</f>
        <v/>
      </c>
      <c r="BS983" s="21" t="str">
        <f ca="1">IFERROR(VLOOKUP(Z983,OFFSET(abbreviation[],0,ColumnLanguage),ColumnAbbreviation,FALSE),"")</f>
        <v/>
      </c>
      <c r="BT983" s="21" t="str">
        <f ca="1">IFERROR(VLOOKUP(AB983,OFFSET(abbreviation[],0,ColumnLanguage),ColumnAbbreviation,FALSE),"")</f>
        <v/>
      </c>
      <c r="BU983" s="21" t="str">
        <f t="shared" ca="1" si="106"/>
        <v>__</v>
      </c>
      <c r="BV983" s="21" t="str">
        <f ca="1">IFERROR(VLOOKUP(AF983,OFFSET(abbreviation[],0,ColumnLanguage),ColumnAbbreviation,FALSE),"")</f>
        <v/>
      </c>
      <c r="BW983" s="21" t="str">
        <f ca="1">IFERROR(VLOOKUP(AH983,OFFSET(abbreviation[],0,ColumnLanguage),ColumnAbbreviation,FALSE),"")</f>
        <v/>
      </c>
      <c r="BX983" s="21" t="str">
        <f ca="1">IFERROR(VLOOKUP(AJ983,OFFSET(abbreviation[],0,ColumnLanguage),ColumnAbbreviation,FALSE),"")</f>
        <v/>
      </c>
      <c r="BY983" s="21" t="str">
        <f ca="1">IFERROR(VLOOKUP(AL983,OFFSET(abbreviation[],0,ColumnLanguage),ColumnAbbreviation,FALSE),"")</f>
        <v/>
      </c>
      <c r="BZ983" s="21" t="str">
        <f t="shared" ca="1" si="107"/>
        <v>_</v>
      </c>
      <c r="CA983" s="21" t="str">
        <f ca="1">IFERROR(VLOOKUP(AP983,OFFSET(abbreviation[],0,ColumnLanguage),ColumnAbbreviation,FALSE),"")</f>
        <v/>
      </c>
      <c r="CB983" s="21" t="str">
        <f ca="1">IFERROR(VLOOKUP(AR983,OFFSET(abbreviation[],0,ColumnLanguage),ColumnAbbreviation,FALSE),"")</f>
        <v/>
      </c>
      <c r="CC983" s="21" t="str">
        <f ca="1">IFERROR(VLOOKUP(AT983,OFFSET(abbreviation[],0,ColumnLanguage),ColumnAbbreviation,FALSE),"")</f>
        <v/>
      </c>
      <c r="CD983" s="21" t="str">
        <f ca="1">IFERROR(VLOOKUP(AV983,OFFSET(abbreviation[],0,ColumnLanguage),ColumnAbbreviation,FALSE),"")</f>
        <v/>
      </c>
      <c r="CE983" s="21" t="str">
        <f t="shared" ca="1" si="108"/>
        <v>__</v>
      </c>
      <c r="CF983" s="21" t="str">
        <f ca="1">IFERROR(VLOOKUP(AX983,OFFSET(abbreviation[],0,ColumnLanguage),ColumnAbbreviation,FALSE),"")</f>
        <v/>
      </c>
      <c r="CG983" s="21" t="str">
        <f ca="1">IFERROR(VLOOKUP(AZ983,OFFSET(abbreviation[],0,ColumnLanguage),ColumnAbbreviation,FALSE),"")</f>
        <v/>
      </c>
      <c r="CH983" s="21" t="str">
        <f ca="1">IFERROR(VLOOKUP(BB983,OFFSET(abbreviation[],0,ColumnLanguage),ColumnAbbreviation,FALSE),"")</f>
        <v/>
      </c>
      <c r="CI983" s="21" t="str">
        <f ca="1">IFERROR(VLOOKUP(BD983,OFFSET(abbreviation[],0,ColumnLanguage),ColumnAbbreviation,FALSE),"")</f>
        <v/>
      </c>
      <c r="CJ983" s="21" t="str">
        <f ca="1">IFERROR(VLOOKUP(BF983,OFFSET(abbreviation[],0,ColumnLanguage),ColumnAbbreviation,FALSE),"")</f>
        <v/>
      </c>
      <c r="CK983" s="21" t="str">
        <f t="shared" ca="1" si="109"/>
        <v/>
      </c>
      <c r="CL983" s="21" t="str">
        <f t="shared" si="110"/>
        <v/>
      </c>
      <c r="CM983" s="52"/>
      <c r="CN983" s="57" t="str">
        <f t="shared" si="111"/>
        <v/>
      </c>
    </row>
    <row r="984" spans="17:92" x14ac:dyDescent="0.25">
      <c r="Q984" s="13"/>
      <c r="AN984" s="54"/>
      <c r="AS984" s="15"/>
      <c r="BH984" s="52"/>
      <c r="BI984" s="21" t="str">
        <f ca="1">IFERROR(VLOOKUP(C984,OFFSET(abbreviation[],0,ColumnLanguage),ColumnAbbreviation,FALSE),"")</f>
        <v/>
      </c>
      <c r="BJ984" s="21" t="str">
        <f ca="1">IFERROR(VLOOKUP(E984,OFFSET(abbreviation[],0,ColumnLanguage),ColumnAbbreviation,FALSE),"")</f>
        <v/>
      </c>
      <c r="BK984" s="21" t="str">
        <f ca="1">IFERROR(VLOOKUP(G984,OFFSET(abbreviation[],0,ColumnLanguage),ColumnAbbreviation,FALSE),"")</f>
        <v/>
      </c>
      <c r="BL984" s="21" t="str">
        <f ca="1">IFERROR(VLOOKUP(I984,OFFSET(abbreviation[],0,ColumnLanguage),ColumnAbbreviation,FALSE),"")</f>
        <v/>
      </c>
      <c r="BM984" s="21" t="str">
        <f ca="1">IFERROR(VLOOKUP(K984,OFFSET(abbreviation[],0,ColumnLanguage),ColumnAbbreviation,FALSE),"")</f>
        <v/>
      </c>
      <c r="BN984" s="21" t="str">
        <f t="shared" ca="1" si="105"/>
        <v/>
      </c>
      <c r="BO984" s="21" t="str">
        <f ca="1">IFERROR(VLOOKUP(N984,OFFSET(abbreviation[],0,ColumnLanguage),ColumnAbbreviation,FALSE),"")</f>
        <v/>
      </c>
      <c r="BP984" s="21" t="str">
        <f ca="1">IFERROR(VLOOKUP(P984,OFFSET(abbreviation[],0,ColumnLanguage),ColumnAbbreviation,FALSE),"")</f>
        <v/>
      </c>
      <c r="BQ984" s="21" t="str">
        <f ca="1">IFERROR(VLOOKUP(T984,OFFSET(abbreviation[],0,ColumnLanguage),ColumnAbbreviation,FALSE),"")</f>
        <v/>
      </c>
      <c r="BR984" s="21" t="str">
        <f ca="1">IFERROR(VLOOKUP(V984,OFFSET(abbreviation[],0,ColumnLanguage),ColumnAbbreviation,FALSE),"")</f>
        <v/>
      </c>
      <c r="BS984" s="21" t="str">
        <f ca="1">IFERROR(VLOOKUP(Z984,OFFSET(abbreviation[],0,ColumnLanguage),ColumnAbbreviation,FALSE),"")</f>
        <v/>
      </c>
      <c r="BT984" s="21" t="str">
        <f ca="1">IFERROR(VLOOKUP(AB984,OFFSET(abbreviation[],0,ColumnLanguage),ColumnAbbreviation,FALSE),"")</f>
        <v/>
      </c>
      <c r="BU984" s="21" t="str">
        <f t="shared" ca="1" si="106"/>
        <v>__</v>
      </c>
      <c r="BV984" s="21" t="str">
        <f ca="1">IFERROR(VLOOKUP(AF984,OFFSET(abbreviation[],0,ColumnLanguage),ColumnAbbreviation,FALSE),"")</f>
        <v/>
      </c>
      <c r="BW984" s="21" t="str">
        <f ca="1">IFERROR(VLOOKUP(AH984,OFFSET(abbreviation[],0,ColumnLanguage),ColumnAbbreviation,FALSE),"")</f>
        <v/>
      </c>
      <c r="BX984" s="21" t="str">
        <f ca="1">IFERROR(VLOOKUP(AJ984,OFFSET(abbreviation[],0,ColumnLanguage),ColumnAbbreviation,FALSE),"")</f>
        <v/>
      </c>
      <c r="BY984" s="21" t="str">
        <f ca="1">IFERROR(VLOOKUP(AL984,OFFSET(abbreviation[],0,ColumnLanguage),ColumnAbbreviation,FALSE),"")</f>
        <v/>
      </c>
      <c r="BZ984" s="21" t="str">
        <f t="shared" ca="1" si="107"/>
        <v>_</v>
      </c>
      <c r="CA984" s="21" t="str">
        <f ca="1">IFERROR(VLOOKUP(AP984,OFFSET(abbreviation[],0,ColumnLanguage),ColumnAbbreviation,FALSE),"")</f>
        <v/>
      </c>
      <c r="CB984" s="21" t="str">
        <f ca="1">IFERROR(VLOOKUP(AR984,OFFSET(abbreviation[],0,ColumnLanguage),ColumnAbbreviation,FALSE),"")</f>
        <v/>
      </c>
      <c r="CC984" s="21" t="str">
        <f ca="1">IFERROR(VLOOKUP(AT984,OFFSET(abbreviation[],0,ColumnLanguage),ColumnAbbreviation,FALSE),"")</f>
        <v/>
      </c>
      <c r="CD984" s="21" t="str">
        <f ca="1">IFERROR(VLOOKUP(AV984,OFFSET(abbreviation[],0,ColumnLanguage),ColumnAbbreviation,FALSE),"")</f>
        <v/>
      </c>
      <c r="CE984" s="21" t="str">
        <f t="shared" ca="1" si="108"/>
        <v>__</v>
      </c>
      <c r="CF984" s="21" t="str">
        <f ca="1">IFERROR(VLOOKUP(AX984,OFFSET(abbreviation[],0,ColumnLanguage),ColumnAbbreviation,FALSE),"")</f>
        <v/>
      </c>
      <c r="CG984" s="21" t="str">
        <f ca="1">IFERROR(VLOOKUP(AZ984,OFFSET(abbreviation[],0,ColumnLanguage),ColumnAbbreviation,FALSE),"")</f>
        <v/>
      </c>
      <c r="CH984" s="21" t="str">
        <f ca="1">IFERROR(VLOOKUP(BB984,OFFSET(abbreviation[],0,ColumnLanguage),ColumnAbbreviation,FALSE),"")</f>
        <v/>
      </c>
      <c r="CI984" s="21" t="str">
        <f ca="1">IFERROR(VLOOKUP(BD984,OFFSET(abbreviation[],0,ColumnLanguage),ColumnAbbreviation,FALSE),"")</f>
        <v/>
      </c>
      <c r="CJ984" s="21" t="str">
        <f ca="1">IFERROR(VLOOKUP(BF984,OFFSET(abbreviation[],0,ColumnLanguage),ColumnAbbreviation,FALSE),"")</f>
        <v/>
      </c>
      <c r="CK984" s="21" t="str">
        <f t="shared" ca="1" si="109"/>
        <v/>
      </c>
      <c r="CL984" s="21" t="str">
        <f t="shared" si="110"/>
        <v/>
      </c>
      <c r="CM984" s="52"/>
      <c r="CN984" s="57" t="str">
        <f t="shared" si="111"/>
        <v/>
      </c>
    </row>
    <row r="985" spans="17:92" x14ac:dyDescent="0.25">
      <c r="Q985" s="13"/>
      <c r="AN985" s="54"/>
      <c r="AS985" s="15"/>
      <c r="BH985" s="52"/>
      <c r="BI985" s="21" t="str">
        <f ca="1">IFERROR(VLOOKUP(C985,OFFSET(abbreviation[],0,ColumnLanguage),ColumnAbbreviation,FALSE),"")</f>
        <v/>
      </c>
      <c r="BJ985" s="21" t="str">
        <f ca="1">IFERROR(VLOOKUP(E985,OFFSET(abbreviation[],0,ColumnLanguage),ColumnAbbreviation,FALSE),"")</f>
        <v/>
      </c>
      <c r="BK985" s="21" t="str">
        <f ca="1">IFERROR(VLOOKUP(G985,OFFSET(abbreviation[],0,ColumnLanguage),ColumnAbbreviation,FALSE),"")</f>
        <v/>
      </c>
      <c r="BL985" s="21" t="str">
        <f ca="1">IFERROR(VLOOKUP(I985,OFFSET(abbreviation[],0,ColumnLanguage),ColumnAbbreviation,FALSE),"")</f>
        <v/>
      </c>
      <c r="BM985" s="21" t="str">
        <f ca="1">IFERROR(VLOOKUP(K985,OFFSET(abbreviation[],0,ColumnLanguage),ColumnAbbreviation,FALSE),"")</f>
        <v/>
      </c>
      <c r="BN985" s="21" t="str">
        <f t="shared" ca="1" si="105"/>
        <v/>
      </c>
      <c r="BO985" s="21" t="str">
        <f ca="1">IFERROR(VLOOKUP(N985,OFFSET(abbreviation[],0,ColumnLanguage),ColumnAbbreviation,FALSE),"")</f>
        <v/>
      </c>
      <c r="BP985" s="21" t="str">
        <f ca="1">IFERROR(VLOOKUP(P985,OFFSET(abbreviation[],0,ColumnLanguage),ColumnAbbreviation,FALSE),"")</f>
        <v/>
      </c>
      <c r="BQ985" s="21" t="str">
        <f ca="1">IFERROR(VLOOKUP(T985,OFFSET(abbreviation[],0,ColumnLanguage),ColumnAbbreviation,FALSE),"")</f>
        <v/>
      </c>
      <c r="BR985" s="21" t="str">
        <f ca="1">IFERROR(VLOOKUP(V985,OFFSET(abbreviation[],0,ColumnLanguage),ColumnAbbreviation,FALSE),"")</f>
        <v/>
      </c>
      <c r="BS985" s="21" t="str">
        <f ca="1">IFERROR(VLOOKUP(Z985,OFFSET(abbreviation[],0,ColumnLanguage),ColumnAbbreviation,FALSE),"")</f>
        <v/>
      </c>
      <c r="BT985" s="21" t="str">
        <f ca="1">IFERROR(VLOOKUP(AB985,OFFSET(abbreviation[],0,ColumnLanguage),ColumnAbbreviation,FALSE),"")</f>
        <v/>
      </c>
      <c r="BU985" s="21" t="str">
        <f t="shared" ca="1" si="106"/>
        <v>__</v>
      </c>
      <c r="BV985" s="21" t="str">
        <f ca="1">IFERROR(VLOOKUP(AF985,OFFSET(abbreviation[],0,ColumnLanguage),ColumnAbbreviation,FALSE),"")</f>
        <v/>
      </c>
      <c r="BW985" s="21" t="str">
        <f ca="1">IFERROR(VLOOKUP(AH985,OFFSET(abbreviation[],0,ColumnLanguage),ColumnAbbreviation,FALSE),"")</f>
        <v/>
      </c>
      <c r="BX985" s="21" t="str">
        <f ca="1">IFERROR(VLOOKUP(AJ985,OFFSET(abbreviation[],0,ColumnLanguage),ColumnAbbreviation,FALSE),"")</f>
        <v/>
      </c>
      <c r="BY985" s="21" t="str">
        <f ca="1">IFERROR(VLOOKUP(AL985,OFFSET(abbreviation[],0,ColumnLanguage),ColumnAbbreviation,FALSE),"")</f>
        <v/>
      </c>
      <c r="BZ985" s="21" t="str">
        <f t="shared" ca="1" si="107"/>
        <v>_</v>
      </c>
      <c r="CA985" s="21" t="str">
        <f ca="1">IFERROR(VLOOKUP(AP985,OFFSET(abbreviation[],0,ColumnLanguage),ColumnAbbreviation,FALSE),"")</f>
        <v/>
      </c>
      <c r="CB985" s="21" t="str">
        <f ca="1">IFERROR(VLOOKUP(AR985,OFFSET(abbreviation[],0,ColumnLanguage),ColumnAbbreviation,FALSE),"")</f>
        <v/>
      </c>
      <c r="CC985" s="21" t="str">
        <f ca="1">IFERROR(VLOOKUP(AT985,OFFSET(abbreviation[],0,ColumnLanguage),ColumnAbbreviation,FALSE),"")</f>
        <v/>
      </c>
      <c r="CD985" s="21" t="str">
        <f ca="1">IFERROR(VLOOKUP(AV985,OFFSET(abbreviation[],0,ColumnLanguage),ColumnAbbreviation,FALSE),"")</f>
        <v/>
      </c>
      <c r="CE985" s="21" t="str">
        <f t="shared" ca="1" si="108"/>
        <v>__</v>
      </c>
      <c r="CF985" s="21" t="str">
        <f ca="1">IFERROR(VLOOKUP(AX985,OFFSET(abbreviation[],0,ColumnLanguage),ColumnAbbreviation,FALSE),"")</f>
        <v/>
      </c>
      <c r="CG985" s="21" t="str">
        <f ca="1">IFERROR(VLOOKUP(AZ985,OFFSET(abbreviation[],0,ColumnLanguage),ColumnAbbreviation,FALSE),"")</f>
        <v/>
      </c>
      <c r="CH985" s="21" t="str">
        <f ca="1">IFERROR(VLOOKUP(BB985,OFFSET(abbreviation[],0,ColumnLanguage),ColumnAbbreviation,FALSE),"")</f>
        <v/>
      </c>
      <c r="CI985" s="21" t="str">
        <f ca="1">IFERROR(VLOOKUP(BD985,OFFSET(abbreviation[],0,ColumnLanguage),ColumnAbbreviation,FALSE),"")</f>
        <v/>
      </c>
      <c r="CJ985" s="21" t="str">
        <f ca="1">IFERROR(VLOOKUP(BF985,OFFSET(abbreviation[],0,ColumnLanguage),ColumnAbbreviation,FALSE),"")</f>
        <v/>
      </c>
      <c r="CK985" s="21" t="str">
        <f t="shared" ca="1" si="109"/>
        <v/>
      </c>
      <c r="CL985" s="21" t="str">
        <f t="shared" si="110"/>
        <v/>
      </c>
      <c r="CM985" s="52"/>
      <c r="CN985" s="57" t="str">
        <f t="shared" si="111"/>
        <v/>
      </c>
    </row>
    <row r="986" spans="17:92" x14ac:dyDescent="0.25">
      <c r="Q986" s="13"/>
      <c r="AN986" s="54"/>
      <c r="AS986" s="15"/>
      <c r="BH986" s="52"/>
      <c r="BI986" s="21" t="str">
        <f ca="1">IFERROR(VLOOKUP(C986,OFFSET(abbreviation[],0,ColumnLanguage),ColumnAbbreviation,FALSE),"")</f>
        <v/>
      </c>
      <c r="BJ986" s="21" t="str">
        <f ca="1">IFERROR(VLOOKUP(E986,OFFSET(abbreviation[],0,ColumnLanguage),ColumnAbbreviation,FALSE),"")</f>
        <v/>
      </c>
      <c r="BK986" s="21" t="str">
        <f ca="1">IFERROR(VLOOKUP(G986,OFFSET(abbreviation[],0,ColumnLanguage),ColumnAbbreviation,FALSE),"")</f>
        <v/>
      </c>
      <c r="BL986" s="21" t="str">
        <f ca="1">IFERROR(VLOOKUP(I986,OFFSET(abbreviation[],0,ColumnLanguage),ColumnAbbreviation,FALSE),"")</f>
        <v/>
      </c>
      <c r="BM986" s="21" t="str">
        <f ca="1">IFERROR(VLOOKUP(K986,OFFSET(abbreviation[],0,ColumnLanguage),ColumnAbbreviation,FALSE),"")</f>
        <v/>
      </c>
      <c r="BN986" s="21" t="str">
        <f t="shared" ca="1" si="105"/>
        <v/>
      </c>
      <c r="BO986" s="21" t="str">
        <f ca="1">IFERROR(VLOOKUP(N986,OFFSET(abbreviation[],0,ColumnLanguage),ColumnAbbreviation,FALSE),"")</f>
        <v/>
      </c>
      <c r="BP986" s="21" t="str">
        <f ca="1">IFERROR(VLOOKUP(P986,OFFSET(abbreviation[],0,ColumnLanguage),ColumnAbbreviation,FALSE),"")</f>
        <v/>
      </c>
      <c r="BQ986" s="21" t="str">
        <f ca="1">IFERROR(VLOOKUP(T986,OFFSET(abbreviation[],0,ColumnLanguage),ColumnAbbreviation,FALSE),"")</f>
        <v/>
      </c>
      <c r="BR986" s="21" t="str">
        <f ca="1">IFERROR(VLOOKUP(V986,OFFSET(abbreviation[],0,ColumnLanguage),ColumnAbbreviation,FALSE),"")</f>
        <v/>
      </c>
      <c r="BS986" s="21" t="str">
        <f ca="1">IFERROR(VLOOKUP(Z986,OFFSET(abbreviation[],0,ColumnLanguage),ColumnAbbreviation,FALSE),"")</f>
        <v/>
      </c>
      <c r="BT986" s="21" t="str">
        <f ca="1">IFERROR(VLOOKUP(AB986,OFFSET(abbreviation[],0,ColumnLanguage),ColumnAbbreviation,FALSE),"")</f>
        <v/>
      </c>
      <c r="BU986" s="21" t="str">
        <f t="shared" ca="1" si="106"/>
        <v>__</v>
      </c>
      <c r="BV986" s="21" t="str">
        <f ca="1">IFERROR(VLOOKUP(AF986,OFFSET(abbreviation[],0,ColumnLanguage),ColumnAbbreviation,FALSE),"")</f>
        <v/>
      </c>
      <c r="BW986" s="21" t="str">
        <f ca="1">IFERROR(VLOOKUP(AH986,OFFSET(abbreviation[],0,ColumnLanguage),ColumnAbbreviation,FALSE),"")</f>
        <v/>
      </c>
      <c r="BX986" s="21" t="str">
        <f ca="1">IFERROR(VLOOKUP(AJ986,OFFSET(abbreviation[],0,ColumnLanguage),ColumnAbbreviation,FALSE),"")</f>
        <v/>
      </c>
      <c r="BY986" s="21" t="str">
        <f ca="1">IFERROR(VLOOKUP(AL986,OFFSET(abbreviation[],0,ColumnLanguage),ColumnAbbreviation,FALSE),"")</f>
        <v/>
      </c>
      <c r="BZ986" s="21" t="str">
        <f t="shared" ca="1" si="107"/>
        <v>_</v>
      </c>
      <c r="CA986" s="21" t="str">
        <f ca="1">IFERROR(VLOOKUP(AP986,OFFSET(abbreviation[],0,ColumnLanguage),ColumnAbbreviation,FALSE),"")</f>
        <v/>
      </c>
      <c r="CB986" s="21" t="str">
        <f ca="1">IFERROR(VLOOKUP(AR986,OFFSET(abbreviation[],0,ColumnLanguage),ColumnAbbreviation,FALSE),"")</f>
        <v/>
      </c>
      <c r="CC986" s="21" t="str">
        <f ca="1">IFERROR(VLOOKUP(AT986,OFFSET(abbreviation[],0,ColumnLanguage),ColumnAbbreviation,FALSE),"")</f>
        <v/>
      </c>
      <c r="CD986" s="21" t="str">
        <f ca="1">IFERROR(VLOOKUP(AV986,OFFSET(abbreviation[],0,ColumnLanguage),ColumnAbbreviation,FALSE),"")</f>
        <v/>
      </c>
      <c r="CE986" s="21" t="str">
        <f t="shared" ca="1" si="108"/>
        <v>__</v>
      </c>
      <c r="CF986" s="21" t="str">
        <f ca="1">IFERROR(VLOOKUP(AX986,OFFSET(abbreviation[],0,ColumnLanguage),ColumnAbbreviation,FALSE),"")</f>
        <v/>
      </c>
      <c r="CG986" s="21" t="str">
        <f ca="1">IFERROR(VLOOKUP(AZ986,OFFSET(abbreviation[],0,ColumnLanguage),ColumnAbbreviation,FALSE),"")</f>
        <v/>
      </c>
      <c r="CH986" s="21" t="str">
        <f ca="1">IFERROR(VLOOKUP(BB986,OFFSET(abbreviation[],0,ColumnLanguage),ColumnAbbreviation,FALSE),"")</f>
        <v/>
      </c>
      <c r="CI986" s="21" t="str">
        <f ca="1">IFERROR(VLOOKUP(BD986,OFFSET(abbreviation[],0,ColumnLanguage),ColumnAbbreviation,FALSE),"")</f>
        <v/>
      </c>
      <c r="CJ986" s="21" t="str">
        <f ca="1">IFERROR(VLOOKUP(BF986,OFFSET(abbreviation[],0,ColumnLanguage),ColumnAbbreviation,FALSE),"")</f>
        <v/>
      </c>
      <c r="CK986" s="21" t="str">
        <f t="shared" ca="1" si="109"/>
        <v/>
      </c>
      <c r="CL986" s="21" t="str">
        <f t="shared" si="110"/>
        <v/>
      </c>
      <c r="CM986" s="52"/>
      <c r="CN986" s="57" t="str">
        <f t="shared" si="111"/>
        <v/>
      </c>
    </row>
    <row r="987" spans="17:92" x14ac:dyDescent="0.25">
      <c r="Q987" s="13"/>
      <c r="AN987" s="54"/>
      <c r="AS987" s="15"/>
      <c r="BH987" s="52"/>
      <c r="BI987" s="21" t="str">
        <f ca="1">IFERROR(VLOOKUP(C987,OFFSET(abbreviation[],0,ColumnLanguage),ColumnAbbreviation,FALSE),"")</f>
        <v/>
      </c>
      <c r="BJ987" s="21" t="str">
        <f ca="1">IFERROR(VLOOKUP(E987,OFFSET(abbreviation[],0,ColumnLanguage),ColumnAbbreviation,FALSE),"")</f>
        <v/>
      </c>
      <c r="BK987" s="21" t="str">
        <f ca="1">IFERROR(VLOOKUP(G987,OFFSET(abbreviation[],0,ColumnLanguage),ColumnAbbreviation,FALSE),"")</f>
        <v/>
      </c>
      <c r="BL987" s="21" t="str">
        <f ca="1">IFERROR(VLOOKUP(I987,OFFSET(abbreviation[],0,ColumnLanguage),ColumnAbbreviation,FALSE),"")</f>
        <v/>
      </c>
      <c r="BM987" s="21" t="str">
        <f ca="1">IFERROR(VLOOKUP(K987,OFFSET(abbreviation[],0,ColumnLanguage),ColumnAbbreviation,FALSE),"")</f>
        <v/>
      </c>
      <c r="BN987" s="21" t="str">
        <f t="shared" ca="1" si="105"/>
        <v/>
      </c>
      <c r="BO987" s="21" t="str">
        <f ca="1">IFERROR(VLOOKUP(N987,OFFSET(abbreviation[],0,ColumnLanguage),ColumnAbbreviation,FALSE),"")</f>
        <v/>
      </c>
      <c r="BP987" s="21" t="str">
        <f ca="1">IFERROR(VLOOKUP(P987,OFFSET(abbreviation[],0,ColumnLanguage),ColumnAbbreviation,FALSE),"")</f>
        <v/>
      </c>
      <c r="BQ987" s="21" t="str">
        <f ca="1">IFERROR(VLOOKUP(T987,OFFSET(abbreviation[],0,ColumnLanguage),ColumnAbbreviation,FALSE),"")</f>
        <v/>
      </c>
      <c r="BR987" s="21" t="str">
        <f ca="1">IFERROR(VLOOKUP(V987,OFFSET(abbreviation[],0,ColumnLanguage),ColumnAbbreviation,FALSE),"")</f>
        <v/>
      </c>
      <c r="BS987" s="21" t="str">
        <f ca="1">IFERROR(VLOOKUP(Z987,OFFSET(abbreviation[],0,ColumnLanguage),ColumnAbbreviation,FALSE),"")</f>
        <v/>
      </c>
      <c r="BT987" s="21" t="str">
        <f ca="1">IFERROR(VLOOKUP(AB987,OFFSET(abbreviation[],0,ColumnLanguage),ColumnAbbreviation,FALSE),"")</f>
        <v/>
      </c>
      <c r="BU987" s="21" t="str">
        <f t="shared" ca="1" si="106"/>
        <v>__</v>
      </c>
      <c r="BV987" s="21" t="str">
        <f ca="1">IFERROR(VLOOKUP(AF987,OFFSET(abbreviation[],0,ColumnLanguage),ColumnAbbreviation,FALSE),"")</f>
        <v/>
      </c>
      <c r="BW987" s="21" t="str">
        <f ca="1">IFERROR(VLOOKUP(AH987,OFFSET(abbreviation[],0,ColumnLanguage),ColumnAbbreviation,FALSE),"")</f>
        <v/>
      </c>
      <c r="BX987" s="21" t="str">
        <f ca="1">IFERROR(VLOOKUP(AJ987,OFFSET(abbreviation[],0,ColumnLanguage),ColumnAbbreviation,FALSE),"")</f>
        <v/>
      </c>
      <c r="BY987" s="21" t="str">
        <f ca="1">IFERROR(VLOOKUP(AL987,OFFSET(abbreviation[],0,ColumnLanguage),ColumnAbbreviation,FALSE),"")</f>
        <v/>
      </c>
      <c r="BZ987" s="21" t="str">
        <f t="shared" ca="1" si="107"/>
        <v>_</v>
      </c>
      <c r="CA987" s="21" t="str">
        <f ca="1">IFERROR(VLOOKUP(AP987,OFFSET(abbreviation[],0,ColumnLanguage),ColumnAbbreviation,FALSE),"")</f>
        <v/>
      </c>
      <c r="CB987" s="21" t="str">
        <f ca="1">IFERROR(VLOOKUP(AR987,OFFSET(abbreviation[],0,ColumnLanguage),ColumnAbbreviation,FALSE),"")</f>
        <v/>
      </c>
      <c r="CC987" s="21" t="str">
        <f ca="1">IFERROR(VLOOKUP(AT987,OFFSET(abbreviation[],0,ColumnLanguage),ColumnAbbreviation,FALSE),"")</f>
        <v/>
      </c>
      <c r="CD987" s="21" t="str">
        <f ca="1">IFERROR(VLOOKUP(AV987,OFFSET(abbreviation[],0,ColumnLanguage),ColumnAbbreviation,FALSE),"")</f>
        <v/>
      </c>
      <c r="CE987" s="21" t="str">
        <f t="shared" ca="1" si="108"/>
        <v>__</v>
      </c>
      <c r="CF987" s="21" t="str">
        <f ca="1">IFERROR(VLOOKUP(AX987,OFFSET(abbreviation[],0,ColumnLanguage),ColumnAbbreviation,FALSE),"")</f>
        <v/>
      </c>
      <c r="CG987" s="21" t="str">
        <f ca="1">IFERROR(VLOOKUP(AZ987,OFFSET(abbreviation[],0,ColumnLanguage),ColumnAbbreviation,FALSE),"")</f>
        <v/>
      </c>
      <c r="CH987" s="21" t="str">
        <f ca="1">IFERROR(VLOOKUP(BB987,OFFSET(abbreviation[],0,ColumnLanguage),ColumnAbbreviation,FALSE),"")</f>
        <v/>
      </c>
      <c r="CI987" s="21" t="str">
        <f ca="1">IFERROR(VLOOKUP(BD987,OFFSET(abbreviation[],0,ColumnLanguage),ColumnAbbreviation,FALSE),"")</f>
        <v/>
      </c>
      <c r="CJ987" s="21" t="str">
        <f ca="1">IFERROR(VLOOKUP(BF987,OFFSET(abbreviation[],0,ColumnLanguage),ColumnAbbreviation,FALSE),"")</f>
        <v/>
      </c>
      <c r="CK987" s="21" t="str">
        <f t="shared" ca="1" si="109"/>
        <v/>
      </c>
      <c r="CL987" s="21" t="str">
        <f t="shared" si="110"/>
        <v/>
      </c>
      <c r="CM987" s="52"/>
      <c r="CN987" s="57" t="str">
        <f t="shared" si="111"/>
        <v/>
      </c>
    </row>
    <row r="988" spans="17:92" x14ac:dyDescent="0.25">
      <c r="Q988" s="13"/>
      <c r="AN988" s="54"/>
      <c r="AS988" s="15"/>
      <c r="BH988" s="52"/>
      <c r="BI988" s="21" t="str">
        <f ca="1">IFERROR(VLOOKUP(C988,OFFSET(abbreviation[],0,ColumnLanguage),ColumnAbbreviation,FALSE),"")</f>
        <v/>
      </c>
      <c r="BJ988" s="21" t="str">
        <f ca="1">IFERROR(VLOOKUP(E988,OFFSET(abbreviation[],0,ColumnLanguage),ColumnAbbreviation,FALSE),"")</f>
        <v/>
      </c>
      <c r="BK988" s="21" t="str">
        <f ca="1">IFERROR(VLOOKUP(G988,OFFSET(abbreviation[],0,ColumnLanguage),ColumnAbbreviation,FALSE),"")</f>
        <v/>
      </c>
      <c r="BL988" s="21" t="str">
        <f ca="1">IFERROR(VLOOKUP(I988,OFFSET(abbreviation[],0,ColumnLanguage),ColumnAbbreviation,FALSE),"")</f>
        <v/>
      </c>
      <c r="BM988" s="21" t="str">
        <f ca="1">IFERROR(VLOOKUP(K988,OFFSET(abbreviation[],0,ColumnLanguage),ColumnAbbreviation,FALSE),"")</f>
        <v/>
      </c>
      <c r="BN988" s="21" t="str">
        <f t="shared" ca="1" si="105"/>
        <v/>
      </c>
      <c r="BO988" s="21" t="str">
        <f ca="1">IFERROR(VLOOKUP(N988,OFFSET(abbreviation[],0,ColumnLanguage),ColumnAbbreviation,FALSE),"")</f>
        <v/>
      </c>
      <c r="BP988" s="21" t="str">
        <f ca="1">IFERROR(VLOOKUP(P988,OFFSET(abbreviation[],0,ColumnLanguage),ColumnAbbreviation,FALSE),"")</f>
        <v/>
      </c>
      <c r="BQ988" s="21" t="str">
        <f ca="1">IFERROR(VLOOKUP(T988,OFFSET(abbreviation[],0,ColumnLanguage),ColumnAbbreviation,FALSE),"")</f>
        <v/>
      </c>
      <c r="BR988" s="21" t="str">
        <f ca="1">IFERROR(VLOOKUP(V988,OFFSET(abbreviation[],0,ColumnLanguage),ColumnAbbreviation,FALSE),"")</f>
        <v/>
      </c>
      <c r="BS988" s="21" t="str">
        <f ca="1">IFERROR(VLOOKUP(Z988,OFFSET(abbreviation[],0,ColumnLanguage),ColumnAbbreviation,FALSE),"")</f>
        <v/>
      </c>
      <c r="BT988" s="21" t="str">
        <f ca="1">IFERROR(VLOOKUP(AB988,OFFSET(abbreviation[],0,ColumnLanguage),ColumnAbbreviation,FALSE),"")</f>
        <v/>
      </c>
      <c r="BU988" s="21" t="str">
        <f t="shared" ca="1" si="106"/>
        <v>__</v>
      </c>
      <c r="BV988" s="21" t="str">
        <f ca="1">IFERROR(VLOOKUP(AF988,OFFSET(abbreviation[],0,ColumnLanguage),ColumnAbbreviation,FALSE),"")</f>
        <v/>
      </c>
      <c r="BW988" s="21" t="str">
        <f ca="1">IFERROR(VLOOKUP(AH988,OFFSET(abbreviation[],0,ColumnLanguage),ColumnAbbreviation,FALSE),"")</f>
        <v/>
      </c>
      <c r="BX988" s="21" t="str">
        <f ca="1">IFERROR(VLOOKUP(AJ988,OFFSET(abbreviation[],0,ColumnLanguage),ColumnAbbreviation,FALSE),"")</f>
        <v/>
      </c>
      <c r="BY988" s="21" t="str">
        <f ca="1">IFERROR(VLOOKUP(AL988,OFFSET(abbreviation[],0,ColumnLanguage),ColumnAbbreviation,FALSE),"")</f>
        <v/>
      </c>
      <c r="BZ988" s="21" t="str">
        <f t="shared" ca="1" si="107"/>
        <v>_</v>
      </c>
      <c r="CA988" s="21" t="str">
        <f ca="1">IFERROR(VLOOKUP(AP988,OFFSET(abbreviation[],0,ColumnLanguage),ColumnAbbreviation,FALSE),"")</f>
        <v/>
      </c>
      <c r="CB988" s="21" t="str">
        <f ca="1">IFERROR(VLOOKUP(AR988,OFFSET(abbreviation[],0,ColumnLanguage),ColumnAbbreviation,FALSE),"")</f>
        <v/>
      </c>
      <c r="CC988" s="21" t="str">
        <f ca="1">IFERROR(VLOOKUP(AT988,OFFSET(abbreviation[],0,ColumnLanguage),ColumnAbbreviation,FALSE),"")</f>
        <v/>
      </c>
      <c r="CD988" s="21" t="str">
        <f ca="1">IFERROR(VLOOKUP(AV988,OFFSET(abbreviation[],0,ColumnLanguage),ColumnAbbreviation,FALSE),"")</f>
        <v/>
      </c>
      <c r="CE988" s="21" t="str">
        <f t="shared" ca="1" si="108"/>
        <v>__</v>
      </c>
      <c r="CF988" s="21" t="str">
        <f ca="1">IFERROR(VLOOKUP(AX988,OFFSET(abbreviation[],0,ColumnLanguage),ColumnAbbreviation,FALSE),"")</f>
        <v/>
      </c>
      <c r="CG988" s="21" t="str">
        <f ca="1">IFERROR(VLOOKUP(AZ988,OFFSET(abbreviation[],0,ColumnLanguage),ColumnAbbreviation,FALSE),"")</f>
        <v/>
      </c>
      <c r="CH988" s="21" t="str">
        <f ca="1">IFERROR(VLOOKUP(BB988,OFFSET(abbreviation[],0,ColumnLanguage),ColumnAbbreviation,FALSE),"")</f>
        <v/>
      </c>
      <c r="CI988" s="21" t="str">
        <f ca="1">IFERROR(VLOOKUP(BD988,OFFSET(abbreviation[],0,ColumnLanguage),ColumnAbbreviation,FALSE),"")</f>
        <v/>
      </c>
      <c r="CJ988" s="21" t="str">
        <f ca="1">IFERROR(VLOOKUP(BF988,OFFSET(abbreviation[],0,ColumnLanguage),ColumnAbbreviation,FALSE),"")</f>
        <v/>
      </c>
      <c r="CK988" s="21" t="str">
        <f t="shared" ca="1" si="109"/>
        <v/>
      </c>
      <c r="CL988" s="21" t="str">
        <f t="shared" si="110"/>
        <v/>
      </c>
      <c r="CM988" s="52"/>
      <c r="CN988" s="57" t="str">
        <f t="shared" si="111"/>
        <v/>
      </c>
    </row>
    <row r="989" spans="17:92" x14ac:dyDescent="0.25">
      <c r="Q989" s="13"/>
      <c r="AN989" s="54"/>
      <c r="AS989" s="15"/>
      <c r="BH989" s="52"/>
      <c r="BI989" s="21" t="str">
        <f ca="1">IFERROR(VLOOKUP(C989,OFFSET(abbreviation[],0,ColumnLanguage),ColumnAbbreviation,FALSE),"")</f>
        <v/>
      </c>
      <c r="BJ989" s="21" t="str">
        <f ca="1">IFERROR(VLOOKUP(E989,OFFSET(abbreviation[],0,ColumnLanguage),ColumnAbbreviation,FALSE),"")</f>
        <v/>
      </c>
      <c r="BK989" s="21" t="str">
        <f ca="1">IFERROR(VLOOKUP(G989,OFFSET(abbreviation[],0,ColumnLanguage),ColumnAbbreviation,FALSE),"")</f>
        <v/>
      </c>
      <c r="BL989" s="21" t="str">
        <f ca="1">IFERROR(VLOOKUP(I989,OFFSET(abbreviation[],0,ColumnLanguage),ColumnAbbreviation,FALSE),"")</f>
        <v/>
      </c>
      <c r="BM989" s="21" t="str">
        <f ca="1">IFERROR(VLOOKUP(K989,OFFSET(abbreviation[],0,ColumnLanguage),ColumnAbbreviation,FALSE),"")</f>
        <v/>
      </c>
      <c r="BN989" s="21" t="str">
        <f t="shared" ca="1" si="105"/>
        <v/>
      </c>
      <c r="BO989" s="21" t="str">
        <f ca="1">IFERROR(VLOOKUP(N989,OFFSET(abbreviation[],0,ColumnLanguage),ColumnAbbreviation,FALSE),"")</f>
        <v/>
      </c>
      <c r="BP989" s="21" t="str">
        <f ca="1">IFERROR(VLOOKUP(P989,OFFSET(abbreviation[],0,ColumnLanguage),ColumnAbbreviation,FALSE),"")</f>
        <v/>
      </c>
      <c r="BQ989" s="21" t="str">
        <f ca="1">IFERROR(VLOOKUP(T989,OFFSET(abbreviation[],0,ColumnLanguage),ColumnAbbreviation,FALSE),"")</f>
        <v/>
      </c>
      <c r="BR989" s="21" t="str">
        <f ca="1">IFERROR(VLOOKUP(V989,OFFSET(abbreviation[],0,ColumnLanguage),ColumnAbbreviation,FALSE),"")</f>
        <v/>
      </c>
      <c r="BS989" s="21" t="str">
        <f ca="1">IFERROR(VLOOKUP(Z989,OFFSET(abbreviation[],0,ColumnLanguage),ColumnAbbreviation,FALSE),"")</f>
        <v/>
      </c>
      <c r="BT989" s="21" t="str">
        <f ca="1">IFERROR(VLOOKUP(AB989,OFFSET(abbreviation[],0,ColumnLanguage),ColumnAbbreviation,FALSE),"")</f>
        <v/>
      </c>
      <c r="BU989" s="21" t="str">
        <f t="shared" ca="1" si="106"/>
        <v>__</v>
      </c>
      <c r="BV989" s="21" t="str">
        <f ca="1">IFERROR(VLOOKUP(AF989,OFFSET(abbreviation[],0,ColumnLanguage),ColumnAbbreviation,FALSE),"")</f>
        <v/>
      </c>
      <c r="BW989" s="21" t="str">
        <f ca="1">IFERROR(VLOOKUP(AH989,OFFSET(abbreviation[],0,ColumnLanguage),ColumnAbbreviation,FALSE),"")</f>
        <v/>
      </c>
      <c r="BX989" s="21" t="str">
        <f ca="1">IFERROR(VLOOKUP(AJ989,OFFSET(abbreviation[],0,ColumnLanguage),ColumnAbbreviation,FALSE),"")</f>
        <v/>
      </c>
      <c r="BY989" s="21" t="str">
        <f ca="1">IFERROR(VLOOKUP(AL989,OFFSET(abbreviation[],0,ColumnLanguage),ColumnAbbreviation,FALSE),"")</f>
        <v/>
      </c>
      <c r="BZ989" s="21" t="str">
        <f t="shared" ca="1" si="107"/>
        <v>_</v>
      </c>
      <c r="CA989" s="21" t="str">
        <f ca="1">IFERROR(VLOOKUP(AP989,OFFSET(abbreviation[],0,ColumnLanguage),ColumnAbbreviation,FALSE),"")</f>
        <v/>
      </c>
      <c r="CB989" s="21" t="str">
        <f ca="1">IFERROR(VLOOKUP(AR989,OFFSET(abbreviation[],0,ColumnLanguage),ColumnAbbreviation,FALSE),"")</f>
        <v/>
      </c>
      <c r="CC989" s="21" t="str">
        <f ca="1">IFERROR(VLOOKUP(AT989,OFFSET(abbreviation[],0,ColumnLanguage),ColumnAbbreviation,FALSE),"")</f>
        <v/>
      </c>
      <c r="CD989" s="21" t="str">
        <f ca="1">IFERROR(VLOOKUP(AV989,OFFSET(abbreviation[],0,ColumnLanguage),ColumnAbbreviation,FALSE),"")</f>
        <v/>
      </c>
      <c r="CE989" s="21" t="str">
        <f t="shared" ca="1" si="108"/>
        <v>__</v>
      </c>
      <c r="CF989" s="21" t="str">
        <f ca="1">IFERROR(VLOOKUP(AX989,OFFSET(abbreviation[],0,ColumnLanguage),ColumnAbbreviation,FALSE),"")</f>
        <v/>
      </c>
      <c r="CG989" s="21" t="str">
        <f ca="1">IFERROR(VLOOKUP(AZ989,OFFSET(abbreviation[],0,ColumnLanguage),ColumnAbbreviation,FALSE),"")</f>
        <v/>
      </c>
      <c r="CH989" s="21" t="str">
        <f ca="1">IFERROR(VLOOKUP(BB989,OFFSET(abbreviation[],0,ColumnLanguage),ColumnAbbreviation,FALSE),"")</f>
        <v/>
      </c>
      <c r="CI989" s="21" t="str">
        <f ca="1">IFERROR(VLOOKUP(BD989,OFFSET(abbreviation[],0,ColumnLanguage),ColumnAbbreviation,FALSE),"")</f>
        <v/>
      </c>
      <c r="CJ989" s="21" t="str">
        <f ca="1">IFERROR(VLOOKUP(BF989,OFFSET(abbreviation[],0,ColumnLanguage),ColumnAbbreviation,FALSE),"")</f>
        <v/>
      </c>
      <c r="CK989" s="21" t="str">
        <f t="shared" ca="1" si="109"/>
        <v/>
      </c>
      <c r="CL989" s="21" t="str">
        <f t="shared" si="110"/>
        <v/>
      </c>
      <c r="CM989" s="52"/>
      <c r="CN989" s="57" t="str">
        <f t="shared" si="111"/>
        <v/>
      </c>
    </row>
    <row r="990" spans="17:92" x14ac:dyDescent="0.25">
      <c r="Q990" s="13"/>
      <c r="AN990" s="54"/>
      <c r="AS990" s="15"/>
      <c r="BH990" s="52"/>
      <c r="BI990" s="21" t="str">
        <f ca="1">IFERROR(VLOOKUP(C990,OFFSET(abbreviation[],0,ColumnLanguage),ColumnAbbreviation,FALSE),"")</f>
        <v/>
      </c>
      <c r="BJ990" s="21" t="str">
        <f ca="1">IFERROR(VLOOKUP(E990,OFFSET(abbreviation[],0,ColumnLanguage),ColumnAbbreviation,FALSE),"")</f>
        <v/>
      </c>
      <c r="BK990" s="21" t="str">
        <f ca="1">IFERROR(VLOOKUP(G990,OFFSET(abbreviation[],0,ColumnLanguage),ColumnAbbreviation,FALSE),"")</f>
        <v/>
      </c>
      <c r="BL990" s="21" t="str">
        <f ca="1">IFERROR(VLOOKUP(I990,OFFSET(abbreviation[],0,ColumnLanguage),ColumnAbbreviation,FALSE),"")</f>
        <v/>
      </c>
      <c r="BM990" s="21" t="str">
        <f ca="1">IFERROR(VLOOKUP(K990,OFFSET(abbreviation[],0,ColumnLanguage),ColumnAbbreviation,FALSE),"")</f>
        <v/>
      </c>
      <c r="BN990" s="21" t="str">
        <f t="shared" ca="1" si="105"/>
        <v/>
      </c>
      <c r="BO990" s="21" t="str">
        <f ca="1">IFERROR(VLOOKUP(N990,OFFSET(abbreviation[],0,ColumnLanguage),ColumnAbbreviation,FALSE),"")</f>
        <v/>
      </c>
      <c r="BP990" s="21" t="str">
        <f ca="1">IFERROR(VLOOKUP(P990,OFFSET(abbreviation[],0,ColumnLanguage),ColumnAbbreviation,FALSE),"")</f>
        <v/>
      </c>
      <c r="BQ990" s="21" t="str">
        <f ca="1">IFERROR(VLOOKUP(T990,OFFSET(abbreviation[],0,ColumnLanguage),ColumnAbbreviation,FALSE),"")</f>
        <v/>
      </c>
      <c r="BR990" s="21" t="str">
        <f ca="1">IFERROR(VLOOKUP(V990,OFFSET(abbreviation[],0,ColumnLanguage),ColumnAbbreviation,FALSE),"")</f>
        <v/>
      </c>
      <c r="BS990" s="21" t="str">
        <f ca="1">IFERROR(VLOOKUP(Z990,OFFSET(abbreviation[],0,ColumnLanguage),ColumnAbbreviation,FALSE),"")</f>
        <v/>
      </c>
      <c r="BT990" s="21" t="str">
        <f ca="1">IFERROR(VLOOKUP(AB990,OFFSET(abbreviation[],0,ColumnLanguage),ColumnAbbreviation,FALSE),"")</f>
        <v/>
      </c>
      <c r="BU990" s="21" t="str">
        <f t="shared" ca="1" si="106"/>
        <v>__</v>
      </c>
      <c r="BV990" s="21" t="str">
        <f ca="1">IFERROR(VLOOKUP(AF990,OFFSET(abbreviation[],0,ColumnLanguage),ColumnAbbreviation,FALSE),"")</f>
        <v/>
      </c>
      <c r="BW990" s="21" t="str">
        <f ca="1">IFERROR(VLOOKUP(AH990,OFFSET(abbreviation[],0,ColumnLanguage),ColumnAbbreviation,FALSE),"")</f>
        <v/>
      </c>
      <c r="BX990" s="21" t="str">
        <f ca="1">IFERROR(VLOOKUP(AJ990,OFFSET(abbreviation[],0,ColumnLanguage),ColumnAbbreviation,FALSE),"")</f>
        <v/>
      </c>
      <c r="BY990" s="21" t="str">
        <f ca="1">IFERROR(VLOOKUP(AL990,OFFSET(abbreviation[],0,ColumnLanguage),ColumnAbbreviation,FALSE),"")</f>
        <v/>
      </c>
      <c r="BZ990" s="21" t="str">
        <f t="shared" ca="1" si="107"/>
        <v>_</v>
      </c>
      <c r="CA990" s="21" t="str">
        <f ca="1">IFERROR(VLOOKUP(AP990,OFFSET(abbreviation[],0,ColumnLanguage),ColumnAbbreviation,FALSE),"")</f>
        <v/>
      </c>
      <c r="CB990" s="21" t="str">
        <f ca="1">IFERROR(VLOOKUP(AR990,OFFSET(abbreviation[],0,ColumnLanguage),ColumnAbbreviation,FALSE),"")</f>
        <v/>
      </c>
      <c r="CC990" s="21" t="str">
        <f ca="1">IFERROR(VLOOKUP(AT990,OFFSET(abbreviation[],0,ColumnLanguage),ColumnAbbreviation,FALSE),"")</f>
        <v/>
      </c>
      <c r="CD990" s="21" t="str">
        <f ca="1">IFERROR(VLOOKUP(AV990,OFFSET(abbreviation[],0,ColumnLanguage),ColumnAbbreviation,FALSE),"")</f>
        <v/>
      </c>
      <c r="CE990" s="21" t="str">
        <f t="shared" ca="1" si="108"/>
        <v>__</v>
      </c>
      <c r="CF990" s="21" t="str">
        <f ca="1">IFERROR(VLOOKUP(AX990,OFFSET(abbreviation[],0,ColumnLanguage),ColumnAbbreviation,FALSE),"")</f>
        <v/>
      </c>
      <c r="CG990" s="21" t="str">
        <f ca="1">IFERROR(VLOOKUP(AZ990,OFFSET(abbreviation[],0,ColumnLanguage),ColumnAbbreviation,FALSE),"")</f>
        <v/>
      </c>
      <c r="CH990" s="21" t="str">
        <f ca="1">IFERROR(VLOOKUP(BB990,OFFSET(abbreviation[],0,ColumnLanguage),ColumnAbbreviation,FALSE),"")</f>
        <v/>
      </c>
      <c r="CI990" s="21" t="str">
        <f ca="1">IFERROR(VLOOKUP(BD990,OFFSET(abbreviation[],0,ColumnLanguage),ColumnAbbreviation,FALSE),"")</f>
        <v/>
      </c>
      <c r="CJ990" s="21" t="str">
        <f ca="1">IFERROR(VLOOKUP(BF990,OFFSET(abbreviation[],0,ColumnLanguage),ColumnAbbreviation,FALSE),"")</f>
        <v/>
      </c>
      <c r="CK990" s="21" t="str">
        <f t="shared" ca="1" si="109"/>
        <v/>
      </c>
      <c r="CL990" s="21" t="str">
        <f t="shared" si="110"/>
        <v/>
      </c>
      <c r="CM990" s="52"/>
      <c r="CN990" s="57" t="str">
        <f t="shared" si="111"/>
        <v/>
      </c>
    </row>
    <row r="991" spans="17:92" x14ac:dyDescent="0.25">
      <c r="Q991" s="13"/>
      <c r="AN991" s="54"/>
      <c r="AS991" s="15"/>
      <c r="BH991" s="52"/>
      <c r="BI991" s="21" t="str">
        <f ca="1">IFERROR(VLOOKUP(C991,OFFSET(abbreviation[],0,ColumnLanguage),ColumnAbbreviation,FALSE),"")</f>
        <v/>
      </c>
      <c r="BJ991" s="21" t="str">
        <f ca="1">IFERROR(VLOOKUP(E991,OFFSET(abbreviation[],0,ColumnLanguage),ColumnAbbreviation,FALSE),"")</f>
        <v/>
      </c>
      <c r="BK991" s="21" t="str">
        <f ca="1">IFERROR(VLOOKUP(G991,OFFSET(abbreviation[],0,ColumnLanguage),ColumnAbbreviation,FALSE),"")</f>
        <v/>
      </c>
      <c r="BL991" s="21" t="str">
        <f ca="1">IFERROR(VLOOKUP(I991,OFFSET(abbreviation[],0,ColumnLanguage),ColumnAbbreviation,FALSE),"")</f>
        <v/>
      </c>
      <c r="BM991" s="21" t="str">
        <f ca="1">IFERROR(VLOOKUP(K991,OFFSET(abbreviation[],0,ColumnLanguage),ColumnAbbreviation,FALSE),"")</f>
        <v/>
      </c>
      <c r="BN991" s="21" t="str">
        <f t="shared" ca="1" si="105"/>
        <v/>
      </c>
      <c r="BO991" s="21" t="str">
        <f ca="1">IFERROR(VLOOKUP(N991,OFFSET(abbreviation[],0,ColumnLanguage),ColumnAbbreviation,FALSE),"")</f>
        <v/>
      </c>
      <c r="BP991" s="21" t="str">
        <f ca="1">IFERROR(VLOOKUP(P991,OFFSET(abbreviation[],0,ColumnLanguage),ColumnAbbreviation,FALSE),"")</f>
        <v/>
      </c>
      <c r="BQ991" s="21" t="str">
        <f ca="1">IFERROR(VLOOKUP(T991,OFFSET(abbreviation[],0,ColumnLanguage),ColumnAbbreviation,FALSE),"")</f>
        <v/>
      </c>
      <c r="BR991" s="21" t="str">
        <f ca="1">IFERROR(VLOOKUP(V991,OFFSET(abbreviation[],0,ColumnLanguage),ColumnAbbreviation,FALSE),"")</f>
        <v/>
      </c>
      <c r="BS991" s="21" t="str">
        <f ca="1">IFERROR(VLOOKUP(Z991,OFFSET(abbreviation[],0,ColumnLanguage),ColumnAbbreviation,FALSE),"")</f>
        <v/>
      </c>
      <c r="BT991" s="21" t="str">
        <f ca="1">IFERROR(VLOOKUP(AB991,OFFSET(abbreviation[],0,ColumnLanguage),ColumnAbbreviation,FALSE),"")</f>
        <v/>
      </c>
      <c r="BU991" s="21" t="str">
        <f t="shared" ca="1" si="106"/>
        <v>__</v>
      </c>
      <c r="BV991" s="21" t="str">
        <f ca="1">IFERROR(VLOOKUP(AF991,OFFSET(abbreviation[],0,ColumnLanguage),ColumnAbbreviation,FALSE),"")</f>
        <v/>
      </c>
      <c r="BW991" s="21" t="str">
        <f ca="1">IFERROR(VLOOKUP(AH991,OFFSET(abbreviation[],0,ColumnLanguage),ColumnAbbreviation,FALSE),"")</f>
        <v/>
      </c>
      <c r="BX991" s="21" t="str">
        <f ca="1">IFERROR(VLOOKUP(AJ991,OFFSET(abbreviation[],0,ColumnLanguage),ColumnAbbreviation,FALSE),"")</f>
        <v/>
      </c>
      <c r="BY991" s="21" t="str">
        <f ca="1">IFERROR(VLOOKUP(AL991,OFFSET(abbreviation[],0,ColumnLanguage),ColumnAbbreviation,FALSE),"")</f>
        <v/>
      </c>
      <c r="BZ991" s="21" t="str">
        <f t="shared" ca="1" si="107"/>
        <v>_</v>
      </c>
      <c r="CA991" s="21" t="str">
        <f ca="1">IFERROR(VLOOKUP(AP991,OFFSET(abbreviation[],0,ColumnLanguage),ColumnAbbreviation,FALSE),"")</f>
        <v/>
      </c>
      <c r="CB991" s="21" t="str">
        <f ca="1">IFERROR(VLOOKUP(AR991,OFFSET(abbreviation[],0,ColumnLanguage),ColumnAbbreviation,FALSE),"")</f>
        <v/>
      </c>
      <c r="CC991" s="21" t="str">
        <f ca="1">IFERROR(VLOOKUP(AT991,OFFSET(abbreviation[],0,ColumnLanguage),ColumnAbbreviation,FALSE),"")</f>
        <v/>
      </c>
      <c r="CD991" s="21" t="str">
        <f ca="1">IFERROR(VLOOKUP(AV991,OFFSET(abbreviation[],0,ColumnLanguage),ColumnAbbreviation,FALSE),"")</f>
        <v/>
      </c>
      <c r="CE991" s="21" t="str">
        <f t="shared" ca="1" si="108"/>
        <v>__</v>
      </c>
      <c r="CF991" s="21" t="str">
        <f ca="1">IFERROR(VLOOKUP(AX991,OFFSET(abbreviation[],0,ColumnLanguage),ColumnAbbreviation,FALSE),"")</f>
        <v/>
      </c>
      <c r="CG991" s="21" t="str">
        <f ca="1">IFERROR(VLOOKUP(AZ991,OFFSET(abbreviation[],0,ColumnLanguage),ColumnAbbreviation,FALSE),"")</f>
        <v/>
      </c>
      <c r="CH991" s="21" t="str">
        <f ca="1">IFERROR(VLOOKUP(BB991,OFFSET(abbreviation[],0,ColumnLanguage),ColumnAbbreviation,FALSE),"")</f>
        <v/>
      </c>
      <c r="CI991" s="21" t="str">
        <f ca="1">IFERROR(VLOOKUP(BD991,OFFSET(abbreviation[],0,ColumnLanguage),ColumnAbbreviation,FALSE),"")</f>
        <v/>
      </c>
      <c r="CJ991" s="21" t="str">
        <f ca="1">IFERROR(VLOOKUP(BF991,OFFSET(abbreviation[],0,ColumnLanguage),ColumnAbbreviation,FALSE),"")</f>
        <v/>
      </c>
      <c r="CK991" s="21" t="str">
        <f t="shared" ca="1" si="109"/>
        <v/>
      </c>
      <c r="CL991" s="21" t="str">
        <f t="shared" si="110"/>
        <v/>
      </c>
      <c r="CM991" s="52"/>
      <c r="CN991" s="57" t="str">
        <f t="shared" si="111"/>
        <v/>
      </c>
    </row>
    <row r="992" spans="17:92" x14ac:dyDescent="0.25">
      <c r="Q992" s="13"/>
      <c r="AN992" s="54"/>
      <c r="AS992" s="15"/>
      <c r="BH992" s="52"/>
      <c r="BI992" s="21" t="str">
        <f ca="1">IFERROR(VLOOKUP(C992,OFFSET(abbreviation[],0,ColumnLanguage),ColumnAbbreviation,FALSE),"")</f>
        <v/>
      </c>
      <c r="BJ992" s="21" t="str">
        <f ca="1">IFERROR(VLOOKUP(E992,OFFSET(abbreviation[],0,ColumnLanguage),ColumnAbbreviation,FALSE),"")</f>
        <v/>
      </c>
      <c r="BK992" s="21" t="str">
        <f ca="1">IFERROR(VLOOKUP(G992,OFFSET(abbreviation[],0,ColumnLanguage),ColumnAbbreviation,FALSE),"")</f>
        <v/>
      </c>
      <c r="BL992" s="21" t="str">
        <f ca="1">IFERROR(VLOOKUP(I992,OFFSET(abbreviation[],0,ColumnLanguage),ColumnAbbreviation,FALSE),"")</f>
        <v/>
      </c>
      <c r="BM992" s="21" t="str">
        <f ca="1">IFERROR(VLOOKUP(K992,OFFSET(abbreviation[],0,ColumnLanguage),ColumnAbbreviation,FALSE),"")</f>
        <v/>
      </c>
      <c r="BN992" s="21" t="str">
        <f t="shared" ca="1" si="105"/>
        <v/>
      </c>
      <c r="BO992" s="21" t="str">
        <f ca="1">IFERROR(VLOOKUP(N992,OFFSET(abbreviation[],0,ColumnLanguage),ColumnAbbreviation,FALSE),"")</f>
        <v/>
      </c>
      <c r="BP992" s="21" t="str">
        <f ca="1">IFERROR(VLOOKUP(P992,OFFSET(abbreviation[],0,ColumnLanguage),ColumnAbbreviation,FALSE),"")</f>
        <v/>
      </c>
      <c r="BQ992" s="21" t="str">
        <f ca="1">IFERROR(VLOOKUP(T992,OFFSET(abbreviation[],0,ColumnLanguage),ColumnAbbreviation,FALSE),"")</f>
        <v/>
      </c>
      <c r="BR992" s="21" t="str">
        <f ca="1">IFERROR(VLOOKUP(V992,OFFSET(abbreviation[],0,ColumnLanguage),ColumnAbbreviation,FALSE),"")</f>
        <v/>
      </c>
      <c r="BS992" s="21" t="str">
        <f ca="1">IFERROR(VLOOKUP(Z992,OFFSET(abbreviation[],0,ColumnLanguage),ColumnAbbreviation,FALSE),"")</f>
        <v/>
      </c>
      <c r="BT992" s="21" t="str">
        <f ca="1">IFERROR(VLOOKUP(AB992,OFFSET(abbreviation[],0,ColumnLanguage),ColumnAbbreviation,FALSE),"")</f>
        <v/>
      </c>
      <c r="BU992" s="21" t="str">
        <f t="shared" ca="1" si="106"/>
        <v>__</v>
      </c>
      <c r="BV992" s="21" t="str">
        <f ca="1">IFERROR(VLOOKUP(AF992,OFFSET(abbreviation[],0,ColumnLanguage),ColumnAbbreviation,FALSE),"")</f>
        <v/>
      </c>
      <c r="BW992" s="21" t="str">
        <f ca="1">IFERROR(VLOOKUP(AH992,OFFSET(abbreviation[],0,ColumnLanguage),ColumnAbbreviation,FALSE),"")</f>
        <v/>
      </c>
      <c r="BX992" s="21" t="str">
        <f ca="1">IFERROR(VLOOKUP(AJ992,OFFSET(abbreviation[],0,ColumnLanguage),ColumnAbbreviation,FALSE),"")</f>
        <v/>
      </c>
      <c r="BY992" s="21" t="str">
        <f ca="1">IFERROR(VLOOKUP(AL992,OFFSET(abbreviation[],0,ColumnLanguage),ColumnAbbreviation,FALSE),"")</f>
        <v/>
      </c>
      <c r="BZ992" s="21" t="str">
        <f t="shared" ca="1" si="107"/>
        <v>_</v>
      </c>
      <c r="CA992" s="21" t="str">
        <f ca="1">IFERROR(VLOOKUP(AP992,OFFSET(abbreviation[],0,ColumnLanguage),ColumnAbbreviation,FALSE),"")</f>
        <v/>
      </c>
      <c r="CB992" s="21" t="str">
        <f ca="1">IFERROR(VLOOKUP(AR992,OFFSET(abbreviation[],0,ColumnLanguage),ColumnAbbreviation,FALSE),"")</f>
        <v/>
      </c>
      <c r="CC992" s="21" t="str">
        <f ca="1">IFERROR(VLOOKUP(AT992,OFFSET(abbreviation[],0,ColumnLanguage),ColumnAbbreviation,FALSE),"")</f>
        <v/>
      </c>
      <c r="CD992" s="21" t="str">
        <f ca="1">IFERROR(VLOOKUP(AV992,OFFSET(abbreviation[],0,ColumnLanguage),ColumnAbbreviation,FALSE),"")</f>
        <v/>
      </c>
      <c r="CE992" s="21" t="str">
        <f t="shared" ca="1" si="108"/>
        <v>__</v>
      </c>
      <c r="CF992" s="21" t="str">
        <f ca="1">IFERROR(VLOOKUP(AX992,OFFSET(abbreviation[],0,ColumnLanguage),ColumnAbbreviation,FALSE),"")</f>
        <v/>
      </c>
      <c r="CG992" s="21" t="str">
        <f ca="1">IFERROR(VLOOKUP(AZ992,OFFSET(abbreviation[],0,ColumnLanguage),ColumnAbbreviation,FALSE),"")</f>
        <v/>
      </c>
      <c r="CH992" s="21" t="str">
        <f ca="1">IFERROR(VLOOKUP(BB992,OFFSET(abbreviation[],0,ColumnLanguage),ColumnAbbreviation,FALSE),"")</f>
        <v/>
      </c>
      <c r="CI992" s="21" t="str">
        <f ca="1">IFERROR(VLOOKUP(BD992,OFFSET(abbreviation[],0,ColumnLanguage),ColumnAbbreviation,FALSE),"")</f>
        <v/>
      </c>
      <c r="CJ992" s="21" t="str">
        <f ca="1">IFERROR(VLOOKUP(BF992,OFFSET(abbreviation[],0,ColumnLanguage),ColumnAbbreviation,FALSE),"")</f>
        <v/>
      </c>
      <c r="CK992" s="21" t="str">
        <f t="shared" ca="1" si="109"/>
        <v/>
      </c>
      <c r="CL992" s="21" t="str">
        <f t="shared" si="110"/>
        <v/>
      </c>
      <c r="CM992" s="52"/>
      <c r="CN992" s="57" t="str">
        <f t="shared" si="111"/>
        <v/>
      </c>
    </row>
    <row r="993" spans="17:92" x14ac:dyDescent="0.25">
      <c r="Q993" s="13"/>
      <c r="AN993" s="54"/>
      <c r="AS993" s="15"/>
      <c r="BH993" s="52"/>
      <c r="BI993" s="21" t="str">
        <f ca="1">IFERROR(VLOOKUP(C993,OFFSET(abbreviation[],0,ColumnLanguage),ColumnAbbreviation,FALSE),"")</f>
        <v/>
      </c>
      <c r="BJ993" s="21" t="str">
        <f ca="1">IFERROR(VLOOKUP(E993,OFFSET(abbreviation[],0,ColumnLanguage),ColumnAbbreviation,FALSE),"")</f>
        <v/>
      </c>
      <c r="BK993" s="21" t="str">
        <f ca="1">IFERROR(VLOOKUP(G993,OFFSET(abbreviation[],0,ColumnLanguage),ColumnAbbreviation,FALSE),"")</f>
        <v/>
      </c>
      <c r="BL993" s="21" t="str">
        <f ca="1">IFERROR(VLOOKUP(I993,OFFSET(abbreviation[],0,ColumnLanguage),ColumnAbbreviation,FALSE),"")</f>
        <v/>
      </c>
      <c r="BM993" s="21" t="str">
        <f ca="1">IFERROR(VLOOKUP(K993,OFFSET(abbreviation[],0,ColumnLanguage),ColumnAbbreviation,FALSE),"")</f>
        <v/>
      </c>
      <c r="BN993" s="21" t="str">
        <f t="shared" ca="1" si="105"/>
        <v/>
      </c>
      <c r="BO993" s="21" t="str">
        <f ca="1">IFERROR(VLOOKUP(N993,OFFSET(abbreviation[],0,ColumnLanguage),ColumnAbbreviation,FALSE),"")</f>
        <v/>
      </c>
      <c r="BP993" s="21" t="str">
        <f ca="1">IFERROR(VLOOKUP(P993,OFFSET(abbreviation[],0,ColumnLanguage),ColumnAbbreviation,FALSE),"")</f>
        <v/>
      </c>
      <c r="BQ993" s="21" t="str">
        <f ca="1">IFERROR(VLOOKUP(T993,OFFSET(abbreviation[],0,ColumnLanguage),ColumnAbbreviation,FALSE),"")</f>
        <v/>
      </c>
      <c r="BR993" s="21" t="str">
        <f ca="1">IFERROR(VLOOKUP(V993,OFFSET(abbreviation[],0,ColumnLanguage),ColumnAbbreviation,FALSE),"")</f>
        <v/>
      </c>
      <c r="BS993" s="21" t="str">
        <f ca="1">IFERROR(VLOOKUP(Z993,OFFSET(abbreviation[],0,ColumnLanguage),ColumnAbbreviation,FALSE),"")</f>
        <v/>
      </c>
      <c r="BT993" s="21" t="str">
        <f ca="1">IFERROR(VLOOKUP(AB993,OFFSET(abbreviation[],0,ColumnLanguage),ColumnAbbreviation,FALSE),"")</f>
        <v/>
      </c>
      <c r="BU993" s="21" t="str">
        <f t="shared" ca="1" si="106"/>
        <v>__</v>
      </c>
      <c r="BV993" s="21" t="str">
        <f ca="1">IFERROR(VLOOKUP(AF993,OFFSET(abbreviation[],0,ColumnLanguage),ColumnAbbreviation,FALSE),"")</f>
        <v/>
      </c>
      <c r="BW993" s="21" t="str">
        <f ca="1">IFERROR(VLOOKUP(AH993,OFFSET(abbreviation[],0,ColumnLanguage),ColumnAbbreviation,FALSE),"")</f>
        <v/>
      </c>
      <c r="BX993" s="21" t="str">
        <f ca="1">IFERROR(VLOOKUP(AJ993,OFFSET(abbreviation[],0,ColumnLanguage),ColumnAbbreviation,FALSE),"")</f>
        <v/>
      </c>
      <c r="BY993" s="21" t="str">
        <f ca="1">IFERROR(VLOOKUP(AL993,OFFSET(abbreviation[],0,ColumnLanguage),ColumnAbbreviation,FALSE),"")</f>
        <v/>
      </c>
      <c r="BZ993" s="21" t="str">
        <f t="shared" ca="1" si="107"/>
        <v>_</v>
      </c>
      <c r="CA993" s="21" t="str">
        <f ca="1">IFERROR(VLOOKUP(AP993,OFFSET(abbreviation[],0,ColumnLanguage),ColumnAbbreviation,FALSE),"")</f>
        <v/>
      </c>
      <c r="CB993" s="21" t="str">
        <f ca="1">IFERROR(VLOOKUP(AR993,OFFSET(abbreviation[],0,ColumnLanguage),ColumnAbbreviation,FALSE),"")</f>
        <v/>
      </c>
      <c r="CC993" s="21" t="str">
        <f ca="1">IFERROR(VLOOKUP(AT993,OFFSET(abbreviation[],0,ColumnLanguage),ColumnAbbreviation,FALSE),"")</f>
        <v/>
      </c>
      <c r="CD993" s="21" t="str">
        <f ca="1">IFERROR(VLOOKUP(AV993,OFFSET(abbreviation[],0,ColumnLanguage),ColumnAbbreviation,FALSE),"")</f>
        <v/>
      </c>
      <c r="CE993" s="21" t="str">
        <f t="shared" ca="1" si="108"/>
        <v>__</v>
      </c>
      <c r="CF993" s="21" t="str">
        <f ca="1">IFERROR(VLOOKUP(AX993,OFFSET(abbreviation[],0,ColumnLanguage),ColumnAbbreviation,FALSE),"")</f>
        <v/>
      </c>
      <c r="CG993" s="21" t="str">
        <f ca="1">IFERROR(VLOOKUP(AZ993,OFFSET(abbreviation[],0,ColumnLanguage),ColumnAbbreviation,FALSE),"")</f>
        <v/>
      </c>
      <c r="CH993" s="21" t="str">
        <f ca="1">IFERROR(VLOOKUP(BB993,OFFSET(abbreviation[],0,ColumnLanguage),ColumnAbbreviation,FALSE),"")</f>
        <v/>
      </c>
      <c r="CI993" s="21" t="str">
        <f ca="1">IFERROR(VLOOKUP(BD993,OFFSET(abbreviation[],0,ColumnLanguage),ColumnAbbreviation,FALSE),"")</f>
        <v/>
      </c>
      <c r="CJ993" s="21" t="str">
        <f ca="1">IFERROR(VLOOKUP(BF993,OFFSET(abbreviation[],0,ColumnLanguage),ColumnAbbreviation,FALSE),"")</f>
        <v/>
      </c>
      <c r="CK993" s="21" t="str">
        <f t="shared" ca="1" si="109"/>
        <v/>
      </c>
      <c r="CL993" s="21" t="str">
        <f t="shared" si="110"/>
        <v/>
      </c>
      <c r="CM993" s="52"/>
      <c r="CN993" s="57" t="str">
        <f t="shared" si="111"/>
        <v/>
      </c>
    </row>
    <row r="994" spans="17:92" x14ac:dyDescent="0.25">
      <c r="Q994" s="13"/>
      <c r="AN994" s="54"/>
      <c r="AS994" s="15"/>
      <c r="BH994" s="52"/>
      <c r="BI994" s="21" t="str">
        <f ca="1">IFERROR(VLOOKUP(C994,OFFSET(abbreviation[],0,ColumnLanguage),ColumnAbbreviation,FALSE),"")</f>
        <v/>
      </c>
      <c r="BJ994" s="21" t="str">
        <f ca="1">IFERROR(VLOOKUP(E994,OFFSET(abbreviation[],0,ColumnLanguage),ColumnAbbreviation,FALSE),"")</f>
        <v/>
      </c>
      <c r="BK994" s="21" t="str">
        <f ca="1">IFERROR(VLOOKUP(G994,OFFSET(abbreviation[],0,ColumnLanguage),ColumnAbbreviation,FALSE),"")</f>
        <v/>
      </c>
      <c r="BL994" s="21" t="str">
        <f ca="1">IFERROR(VLOOKUP(I994,OFFSET(abbreviation[],0,ColumnLanguage),ColumnAbbreviation,FALSE),"")</f>
        <v/>
      </c>
      <c r="BM994" s="21" t="str">
        <f ca="1">IFERROR(VLOOKUP(K994,OFFSET(abbreviation[],0,ColumnLanguage),ColumnAbbreviation,FALSE),"")</f>
        <v/>
      </c>
      <c r="BN994" s="21" t="str">
        <f t="shared" ca="1" si="105"/>
        <v/>
      </c>
      <c r="BO994" s="21" t="str">
        <f ca="1">IFERROR(VLOOKUP(N994,OFFSET(abbreviation[],0,ColumnLanguage),ColumnAbbreviation,FALSE),"")</f>
        <v/>
      </c>
      <c r="BP994" s="21" t="str">
        <f ca="1">IFERROR(VLOOKUP(P994,OFFSET(abbreviation[],0,ColumnLanguage),ColumnAbbreviation,FALSE),"")</f>
        <v/>
      </c>
      <c r="BQ994" s="21" t="str">
        <f ca="1">IFERROR(VLOOKUP(T994,OFFSET(abbreviation[],0,ColumnLanguage),ColumnAbbreviation,FALSE),"")</f>
        <v/>
      </c>
      <c r="BR994" s="21" t="str">
        <f ca="1">IFERROR(VLOOKUP(V994,OFFSET(abbreviation[],0,ColumnLanguage),ColumnAbbreviation,FALSE),"")</f>
        <v/>
      </c>
      <c r="BS994" s="21" t="str">
        <f ca="1">IFERROR(VLOOKUP(Z994,OFFSET(abbreviation[],0,ColumnLanguage),ColumnAbbreviation,FALSE),"")</f>
        <v/>
      </c>
      <c r="BT994" s="21" t="str">
        <f ca="1">IFERROR(VLOOKUP(AB994,OFFSET(abbreviation[],0,ColumnLanguage),ColumnAbbreviation,FALSE),"")</f>
        <v/>
      </c>
      <c r="BU994" s="21" t="str">
        <f t="shared" ca="1" si="106"/>
        <v>__</v>
      </c>
      <c r="BV994" s="21" t="str">
        <f ca="1">IFERROR(VLOOKUP(AF994,OFFSET(abbreviation[],0,ColumnLanguage),ColumnAbbreviation,FALSE),"")</f>
        <v/>
      </c>
      <c r="BW994" s="21" t="str">
        <f ca="1">IFERROR(VLOOKUP(AH994,OFFSET(abbreviation[],0,ColumnLanguage),ColumnAbbreviation,FALSE),"")</f>
        <v/>
      </c>
      <c r="BX994" s="21" t="str">
        <f ca="1">IFERROR(VLOOKUP(AJ994,OFFSET(abbreviation[],0,ColumnLanguage),ColumnAbbreviation,FALSE),"")</f>
        <v/>
      </c>
      <c r="BY994" s="21" t="str">
        <f ca="1">IFERROR(VLOOKUP(AL994,OFFSET(abbreviation[],0,ColumnLanguage),ColumnAbbreviation,FALSE),"")</f>
        <v/>
      </c>
      <c r="BZ994" s="21" t="str">
        <f t="shared" ca="1" si="107"/>
        <v>_</v>
      </c>
      <c r="CA994" s="21" t="str">
        <f ca="1">IFERROR(VLOOKUP(AP994,OFFSET(abbreviation[],0,ColumnLanguage),ColumnAbbreviation,FALSE),"")</f>
        <v/>
      </c>
      <c r="CB994" s="21" t="str">
        <f ca="1">IFERROR(VLOOKUP(AR994,OFFSET(abbreviation[],0,ColumnLanguage),ColumnAbbreviation,FALSE),"")</f>
        <v/>
      </c>
      <c r="CC994" s="21" t="str">
        <f ca="1">IFERROR(VLOOKUP(AT994,OFFSET(abbreviation[],0,ColumnLanguage),ColumnAbbreviation,FALSE),"")</f>
        <v/>
      </c>
      <c r="CD994" s="21" t="str">
        <f ca="1">IFERROR(VLOOKUP(AV994,OFFSET(abbreviation[],0,ColumnLanguage),ColumnAbbreviation,FALSE),"")</f>
        <v/>
      </c>
      <c r="CE994" s="21" t="str">
        <f t="shared" ca="1" si="108"/>
        <v>__</v>
      </c>
      <c r="CF994" s="21" t="str">
        <f ca="1">IFERROR(VLOOKUP(AX994,OFFSET(abbreviation[],0,ColumnLanguage),ColumnAbbreviation,FALSE),"")</f>
        <v/>
      </c>
      <c r="CG994" s="21" t="str">
        <f ca="1">IFERROR(VLOOKUP(AZ994,OFFSET(abbreviation[],0,ColumnLanguage),ColumnAbbreviation,FALSE),"")</f>
        <v/>
      </c>
      <c r="CH994" s="21" t="str">
        <f ca="1">IFERROR(VLOOKUP(BB994,OFFSET(abbreviation[],0,ColumnLanguage),ColumnAbbreviation,FALSE),"")</f>
        <v/>
      </c>
      <c r="CI994" s="21" t="str">
        <f ca="1">IFERROR(VLOOKUP(BD994,OFFSET(abbreviation[],0,ColumnLanguage),ColumnAbbreviation,FALSE),"")</f>
        <v/>
      </c>
      <c r="CJ994" s="21" t="str">
        <f ca="1">IFERROR(VLOOKUP(BF994,OFFSET(abbreviation[],0,ColumnLanguage),ColumnAbbreviation,FALSE),"")</f>
        <v/>
      </c>
      <c r="CK994" s="21" t="str">
        <f t="shared" ca="1" si="109"/>
        <v/>
      </c>
      <c r="CL994" s="21" t="str">
        <f t="shared" si="110"/>
        <v/>
      </c>
      <c r="CM994" s="52"/>
      <c r="CN994" s="57" t="str">
        <f t="shared" si="111"/>
        <v/>
      </c>
    </row>
    <row r="995" spans="17:92" x14ac:dyDescent="0.25">
      <c r="Q995" s="13"/>
      <c r="AN995" s="54"/>
      <c r="AS995" s="15"/>
      <c r="BH995" s="52"/>
      <c r="BI995" s="21" t="str">
        <f ca="1">IFERROR(VLOOKUP(C995,OFFSET(abbreviation[],0,ColumnLanguage),ColumnAbbreviation,FALSE),"")</f>
        <v/>
      </c>
      <c r="BJ995" s="21" t="str">
        <f ca="1">IFERROR(VLOOKUP(E995,OFFSET(abbreviation[],0,ColumnLanguage),ColumnAbbreviation,FALSE),"")</f>
        <v/>
      </c>
      <c r="BK995" s="21" t="str">
        <f ca="1">IFERROR(VLOOKUP(G995,OFFSET(abbreviation[],0,ColumnLanguage),ColumnAbbreviation,FALSE),"")</f>
        <v/>
      </c>
      <c r="BL995" s="21" t="str">
        <f ca="1">IFERROR(VLOOKUP(I995,OFFSET(abbreviation[],0,ColumnLanguage),ColumnAbbreviation,FALSE),"")</f>
        <v/>
      </c>
      <c r="BM995" s="21" t="str">
        <f ca="1">IFERROR(VLOOKUP(K995,OFFSET(abbreviation[],0,ColumnLanguage),ColumnAbbreviation,FALSE),"")</f>
        <v/>
      </c>
      <c r="BN995" s="21" t="str">
        <f t="shared" ca="1" si="105"/>
        <v/>
      </c>
      <c r="BO995" s="21" t="str">
        <f ca="1">IFERROR(VLOOKUP(N995,OFFSET(abbreviation[],0,ColumnLanguage),ColumnAbbreviation,FALSE),"")</f>
        <v/>
      </c>
      <c r="BP995" s="21" t="str">
        <f ca="1">IFERROR(VLOOKUP(P995,OFFSET(abbreviation[],0,ColumnLanguage),ColumnAbbreviation,FALSE),"")</f>
        <v/>
      </c>
      <c r="BQ995" s="21" t="str">
        <f ca="1">IFERROR(VLOOKUP(T995,OFFSET(abbreviation[],0,ColumnLanguage),ColumnAbbreviation,FALSE),"")</f>
        <v/>
      </c>
      <c r="BR995" s="21" t="str">
        <f ca="1">IFERROR(VLOOKUP(V995,OFFSET(abbreviation[],0,ColumnLanguage),ColumnAbbreviation,FALSE),"")</f>
        <v/>
      </c>
      <c r="BS995" s="21" t="str">
        <f ca="1">IFERROR(VLOOKUP(Z995,OFFSET(abbreviation[],0,ColumnLanguage),ColumnAbbreviation,FALSE),"")</f>
        <v/>
      </c>
      <c r="BT995" s="21" t="str">
        <f ca="1">IFERROR(VLOOKUP(AB995,OFFSET(abbreviation[],0,ColumnLanguage),ColumnAbbreviation,FALSE),"")</f>
        <v/>
      </c>
      <c r="BU995" s="21" t="str">
        <f t="shared" ca="1" si="106"/>
        <v>__</v>
      </c>
      <c r="BV995" s="21" t="str">
        <f ca="1">IFERROR(VLOOKUP(AF995,OFFSET(abbreviation[],0,ColumnLanguage),ColumnAbbreviation,FALSE),"")</f>
        <v/>
      </c>
      <c r="BW995" s="21" t="str">
        <f ca="1">IFERROR(VLOOKUP(AH995,OFFSET(abbreviation[],0,ColumnLanguage),ColumnAbbreviation,FALSE),"")</f>
        <v/>
      </c>
      <c r="BX995" s="21" t="str">
        <f ca="1">IFERROR(VLOOKUP(AJ995,OFFSET(abbreviation[],0,ColumnLanguage),ColumnAbbreviation,FALSE),"")</f>
        <v/>
      </c>
      <c r="BY995" s="21" t="str">
        <f ca="1">IFERROR(VLOOKUP(AL995,OFFSET(abbreviation[],0,ColumnLanguage),ColumnAbbreviation,FALSE),"")</f>
        <v/>
      </c>
      <c r="BZ995" s="21" t="str">
        <f t="shared" ca="1" si="107"/>
        <v>_</v>
      </c>
      <c r="CA995" s="21" t="str">
        <f ca="1">IFERROR(VLOOKUP(AP995,OFFSET(abbreviation[],0,ColumnLanguage),ColumnAbbreviation,FALSE),"")</f>
        <v/>
      </c>
      <c r="CB995" s="21" t="str">
        <f ca="1">IFERROR(VLOOKUP(AR995,OFFSET(abbreviation[],0,ColumnLanguage),ColumnAbbreviation,FALSE),"")</f>
        <v/>
      </c>
      <c r="CC995" s="21" t="str">
        <f ca="1">IFERROR(VLOOKUP(AT995,OFFSET(abbreviation[],0,ColumnLanguage),ColumnAbbreviation,FALSE),"")</f>
        <v/>
      </c>
      <c r="CD995" s="21" t="str">
        <f ca="1">IFERROR(VLOOKUP(AV995,OFFSET(abbreviation[],0,ColumnLanguage),ColumnAbbreviation,FALSE),"")</f>
        <v/>
      </c>
      <c r="CE995" s="21" t="str">
        <f t="shared" ca="1" si="108"/>
        <v>__</v>
      </c>
      <c r="CF995" s="21" t="str">
        <f ca="1">IFERROR(VLOOKUP(AX995,OFFSET(abbreviation[],0,ColumnLanguage),ColumnAbbreviation,FALSE),"")</f>
        <v/>
      </c>
      <c r="CG995" s="21" t="str">
        <f ca="1">IFERROR(VLOOKUP(AZ995,OFFSET(abbreviation[],0,ColumnLanguage),ColumnAbbreviation,FALSE),"")</f>
        <v/>
      </c>
      <c r="CH995" s="21" t="str">
        <f ca="1">IFERROR(VLOOKUP(BB995,OFFSET(abbreviation[],0,ColumnLanguage),ColumnAbbreviation,FALSE),"")</f>
        <v/>
      </c>
      <c r="CI995" s="21" t="str">
        <f ca="1">IFERROR(VLOOKUP(BD995,OFFSET(abbreviation[],0,ColumnLanguage),ColumnAbbreviation,FALSE),"")</f>
        <v/>
      </c>
      <c r="CJ995" s="21" t="str">
        <f ca="1">IFERROR(VLOOKUP(BF995,OFFSET(abbreviation[],0,ColumnLanguage),ColumnAbbreviation,FALSE),"")</f>
        <v/>
      </c>
      <c r="CK995" s="21" t="str">
        <f t="shared" ca="1" si="109"/>
        <v/>
      </c>
      <c r="CL995" s="21" t="str">
        <f t="shared" si="110"/>
        <v/>
      </c>
      <c r="CM995" s="52"/>
      <c r="CN995" s="57" t="str">
        <f t="shared" si="111"/>
        <v/>
      </c>
    </row>
    <row r="996" spans="17:92" x14ac:dyDescent="0.25">
      <c r="Q996" s="13"/>
      <c r="AN996" s="54"/>
      <c r="AS996" s="15"/>
      <c r="BH996" s="52"/>
      <c r="BI996" s="21" t="str">
        <f ca="1">IFERROR(VLOOKUP(C996,OFFSET(abbreviation[],0,ColumnLanguage),ColumnAbbreviation,FALSE),"")</f>
        <v/>
      </c>
      <c r="BJ996" s="21" t="str">
        <f ca="1">IFERROR(VLOOKUP(E996,OFFSET(abbreviation[],0,ColumnLanguage),ColumnAbbreviation,FALSE),"")</f>
        <v/>
      </c>
      <c r="BK996" s="21" t="str">
        <f ca="1">IFERROR(VLOOKUP(G996,OFFSET(abbreviation[],0,ColumnLanguage),ColumnAbbreviation,FALSE),"")</f>
        <v/>
      </c>
      <c r="BL996" s="21" t="str">
        <f ca="1">IFERROR(VLOOKUP(I996,OFFSET(abbreviation[],0,ColumnLanguage),ColumnAbbreviation,FALSE),"")</f>
        <v/>
      </c>
      <c r="BM996" s="21" t="str">
        <f ca="1">IFERROR(VLOOKUP(K996,OFFSET(abbreviation[],0,ColumnLanguage),ColumnAbbreviation,FALSE),"")</f>
        <v/>
      </c>
      <c r="BN996" s="21" t="str">
        <f t="shared" ca="1" si="105"/>
        <v/>
      </c>
      <c r="BO996" s="21" t="str">
        <f ca="1">IFERROR(VLOOKUP(N996,OFFSET(abbreviation[],0,ColumnLanguage),ColumnAbbreviation,FALSE),"")</f>
        <v/>
      </c>
      <c r="BP996" s="21" t="str">
        <f ca="1">IFERROR(VLOOKUP(P996,OFFSET(abbreviation[],0,ColumnLanguage),ColumnAbbreviation,FALSE),"")</f>
        <v/>
      </c>
      <c r="BQ996" s="21" t="str">
        <f ca="1">IFERROR(VLOOKUP(T996,OFFSET(abbreviation[],0,ColumnLanguage),ColumnAbbreviation,FALSE),"")</f>
        <v/>
      </c>
      <c r="BR996" s="21" t="str">
        <f ca="1">IFERROR(VLOOKUP(V996,OFFSET(abbreviation[],0,ColumnLanguage),ColumnAbbreviation,FALSE),"")</f>
        <v/>
      </c>
      <c r="BS996" s="21" t="str">
        <f ca="1">IFERROR(VLOOKUP(Z996,OFFSET(abbreviation[],0,ColumnLanguage),ColumnAbbreviation,FALSE),"")</f>
        <v/>
      </c>
      <c r="BT996" s="21" t="str">
        <f ca="1">IFERROR(VLOOKUP(AB996,OFFSET(abbreviation[],0,ColumnLanguage),ColumnAbbreviation,FALSE),"")</f>
        <v/>
      </c>
      <c r="BU996" s="21" t="str">
        <f t="shared" ca="1" si="106"/>
        <v>__</v>
      </c>
      <c r="BV996" s="21" t="str">
        <f ca="1">IFERROR(VLOOKUP(AF996,OFFSET(abbreviation[],0,ColumnLanguage),ColumnAbbreviation,FALSE),"")</f>
        <v/>
      </c>
      <c r="BW996" s="21" t="str">
        <f ca="1">IFERROR(VLOOKUP(AH996,OFFSET(abbreviation[],0,ColumnLanguage),ColumnAbbreviation,FALSE),"")</f>
        <v/>
      </c>
      <c r="BX996" s="21" t="str">
        <f ca="1">IFERROR(VLOOKUP(AJ996,OFFSET(abbreviation[],0,ColumnLanguage),ColumnAbbreviation,FALSE),"")</f>
        <v/>
      </c>
      <c r="BY996" s="21" t="str">
        <f ca="1">IFERROR(VLOOKUP(AL996,OFFSET(abbreviation[],0,ColumnLanguage),ColumnAbbreviation,FALSE),"")</f>
        <v/>
      </c>
      <c r="BZ996" s="21" t="str">
        <f t="shared" ca="1" si="107"/>
        <v>_</v>
      </c>
      <c r="CA996" s="21" t="str">
        <f ca="1">IFERROR(VLOOKUP(AP996,OFFSET(abbreviation[],0,ColumnLanguage),ColumnAbbreviation,FALSE),"")</f>
        <v/>
      </c>
      <c r="CB996" s="21" t="str">
        <f ca="1">IFERROR(VLOOKUP(AR996,OFFSET(abbreviation[],0,ColumnLanguage),ColumnAbbreviation,FALSE),"")</f>
        <v/>
      </c>
      <c r="CC996" s="21" t="str">
        <f ca="1">IFERROR(VLOOKUP(AT996,OFFSET(abbreviation[],0,ColumnLanguage),ColumnAbbreviation,FALSE),"")</f>
        <v/>
      </c>
      <c r="CD996" s="21" t="str">
        <f ca="1">IFERROR(VLOOKUP(AV996,OFFSET(abbreviation[],0,ColumnLanguage),ColumnAbbreviation,FALSE),"")</f>
        <v/>
      </c>
      <c r="CE996" s="21" t="str">
        <f t="shared" ca="1" si="108"/>
        <v>__</v>
      </c>
      <c r="CF996" s="21" t="str">
        <f ca="1">IFERROR(VLOOKUP(AX996,OFFSET(abbreviation[],0,ColumnLanguage),ColumnAbbreviation,FALSE),"")</f>
        <v/>
      </c>
      <c r="CG996" s="21" t="str">
        <f ca="1">IFERROR(VLOOKUP(AZ996,OFFSET(abbreviation[],0,ColumnLanguage),ColumnAbbreviation,FALSE),"")</f>
        <v/>
      </c>
      <c r="CH996" s="21" t="str">
        <f ca="1">IFERROR(VLOOKUP(BB996,OFFSET(abbreviation[],0,ColumnLanguage),ColumnAbbreviation,FALSE),"")</f>
        <v/>
      </c>
      <c r="CI996" s="21" t="str">
        <f ca="1">IFERROR(VLOOKUP(BD996,OFFSET(abbreviation[],0,ColumnLanguage),ColumnAbbreviation,FALSE),"")</f>
        <v/>
      </c>
      <c r="CJ996" s="21" t="str">
        <f ca="1">IFERROR(VLOOKUP(BF996,OFFSET(abbreviation[],0,ColumnLanguage),ColumnAbbreviation,FALSE),"")</f>
        <v/>
      </c>
      <c r="CK996" s="21" t="str">
        <f t="shared" ca="1" si="109"/>
        <v/>
      </c>
      <c r="CL996" s="21" t="str">
        <f t="shared" si="110"/>
        <v/>
      </c>
      <c r="CM996" s="52"/>
      <c r="CN996" s="57" t="str">
        <f t="shared" si="111"/>
        <v/>
      </c>
    </row>
    <row r="997" spans="17:92" x14ac:dyDescent="0.25">
      <c r="Q997" s="13"/>
      <c r="AN997" s="54"/>
      <c r="AS997" s="15"/>
      <c r="BH997" s="52"/>
      <c r="BI997" s="21" t="str">
        <f ca="1">IFERROR(VLOOKUP(C997,OFFSET(abbreviation[],0,ColumnLanguage),ColumnAbbreviation,FALSE),"")</f>
        <v/>
      </c>
      <c r="BJ997" s="21" t="str">
        <f ca="1">IFERROR(VLOOKUP(E997,OFFSET(abbreviation[],0,ColumnLanguage),ColumnAbbreviation,FALSE),"")</f>
        <v/>
      </c>
      <c r="BK997" s="21" t="str">
        <f ca="1">IFERROR(VLOOKUP(G997,OFFSET(abbreviation[],0,ColumnLanguage),ColumnAbbreviation,FALSE),"")</f>
        <v/>
      </c>
      <c r="BL997" s="21" t="str">
        <f ca="1">IFERROR(VLOOKUP(I997,OFFSET(abbreviation[],0,ColumnLanguage),ColumnAbbreviation,FALSE),"")</f>
        <v/>
      </c>
      <c r="BM997" s="21" t="str">
        <f ca="1">IFERROR(VLOOKUP(K997,OFFSET(abbreviation[],0,ColumnLanguage),ColumnAbbreviation,FALSE),"")</f>
        <v/>
      </c>
      <c r="BN997" s="21" t="str">
        <f t="shared" ca="1" si="105"/>
        <v/>
      </c>
      <c r="BO997" s="21" t="str">
        <f ca="1">IFERROR(VLOOKUP(N997,OFFSET(abbreviation[],0,ColumnLanguage),ColumnAbbreviation,FALSE),"")</f>
        <v/>
      </c>
      <c r="BP997" s="21" t="str">
        <f ca="1">IFERROR(VLOOKUP(P997,OFFSET(abbreviation[],0,ColumnLanguage),ColumnAbbreviation,FALSE),"")</f>
        <v/>
      </c>
      <c r="BQ997" s="21" t="str">
        <f ca="1">IFERROR(VLOOKUP(T997,OFFSET(abbreviation[],0,ColumnLanguage),ColumnAbbreviation,FALSE),"")</f>
        <v/>
      </c>
      <c r="BR997" s="21" t="str">
        <f ca="1">IFERROR(VLOOKUP(V997,OFFSET(abbreviation[],0,ColumnLanguage),ColumnAbbreviation,FALSE),"")</f>
        <v/>
      </c>
      <c r="BS997" s="21" t="str">
        <f ca="1">IFERROR(VLOOKUP(Z997,OFFSET(abbreviation[],0,ColumnLanguage),ColumnAbbreviation,FALSE),"")</f>
        <v/>
      </c>
      <c r="BT997" s="21" t="str">
        <f ca="1">IFERROR(VLOOKUP(AB997,OFFSET(abbreviation[],0,ColumnLanguage),ColumnAbbreviation,FALSE),"")</f>
        <v/>
      </c>
      <c r="BU997" s="21" t="str">
        <f t="shared" ca="1" si="106"/>
        <v>__</v>
      </c>
      <c r="BV997" s="21" t="str">
        <f ca="1">IFERROR(VLOOKUP(AF997,OFFSET(abbreviation[],0,ColumnLanguage),ColumnAbbreviation,FALSE),"")</f>
        <v/>
      </c>
      <c r="BW997" s="21" t="str">
        <f ca="1">IFERROR(VLOOKUP(AH997,OFFSET(abbreviation[],0,ColumnLanguage),ColumnAbbreviation,FALSE),"")</f>
        <v/>
      </c>
      <c r="BX997" s="21" t="str">
        <f ca="1">IFERROR(VLOOKUP(AJ997,OFFSET(abbreviation[],0,ColumnLanguage),ColumnAbbreviation,FALSE),"")</f>
        <v/>
      </c>
      <c r="BY997" s="21" t="str">
        <f ca="1">IFERROR(VLOOKUP(AL997,OFFSET(abbreviation[],0,ColumnLanguage),ColumnAbbreviation,FALSE),"")</f>
        <v/>
      </c>
      <c r="BZ997" s="21" t="str">
        <f t="shared" ca="1" si="107"/>
        <v>_</v>
      </c>
      <c r="CA997" s="21" t="str">
        <f ca="1">IFERROR(VLOOKUP(AP997,OFFSET(abbreviation[],0,ColumnLanguage),ColumnAbbreviation,FALSE),"")</f>
        <v/>
      </c>
      <c r="CB997" s="21" t="str">
        <f ca="1">IFERROR(VLOOKUP(AR997,OFFSET(abbreviation[],0,ColumnLanguage),ColumnAbbreviation,FALSE),"")</f>
        <v/>
      </c>
      <c r="CC997" s="21" t="str">
        <f ca="1">IFERROR(VLOOKUP(AT997,OFFSET(abbreviation[],0,ColumnLanguage),ColumnAbbreviation,FALSE),"")</f>
        <v/>
      </c>
      <c r="CD997" s="21" t="str">
        <f ca="1">IFERROR(VLOOKUP(AV997,OFFSET(abbreviation[],0,ColumnLanguage),ColumnAbbreviation,FALSE),"")</f>
        <v/>
      </c>
      <c r="CE997" s="21" t="str">
        <f t="shared" ca="1" si="108"/>
        <v>__</v>
      </c>
      <c r="CF997" s="21" t="str">
        <f ca="1">IFERROR(VLOOKUP(AX997,OFFSET(abbreviation[],0,ColumnLanguage),ColumnAbbreviation,FALSE),"")</f>
        <v/>
      </c>
      <c r="CG997" s="21" t="str">
        <f ca="1">IFERROR(VLOOKUP(AZ997,OFFSET(abbreviation[],0,ColumnLanguage),ColumnAbbreviation,FALSE),"")</f>
        <v/>
      </c>
      <c r="CH997" s="21" t="str">
        <f ca="1">IFERROR(VLOOKUP(BB997,OFFSET(abbreviation[],0,ColumnLanguage),ColumnAbbreviation,FALSE),"")</f>
        <v/>
      </c>
      <c r="CI997" s="21" t="str">
        <f ca="1">IFERROR(VLOOKUP(BD997,OFFSET(abbreviation[],0,ColumnLanguage),ColumnAbbreviation,FALSE),"")</f>
        <v/>
      </c>
      <c r="CJ997" s="21" t="str">
        <f ca="1">IFERROR(VLOOKUP(BF997,OFFSET(abbreviation[],0,ColumnLanguage),ColumnAbbreviation,FALSE),"")</f>
        <v/>
      </c>
      <c r="CK997" s="21" t="str">
        <f t="shared" ca="1" si="109"/>
        <v/>
      </c>
      <c r="CL997" s="21" t="str">
        <f t="shared" si="110"/>
        <v/>
      </c>
      <c r="CM997" s="52"/>
      <c r="CN997" s="57" t="str">
        <f t="shared" si="111"/>
        <v/>
      </c>
    </row>
    <row r="998" spans="17:92" x14ac:dyDescent="0.25">
      <c r="Q998" s="13"/>
      <c r="AN998" s="54"/>
      <c r="AS998" s="15"/>
      <c r="BH998" s="52"/>
      <c r="BI998" s="21" t="str">
        <f ca="1">IFERROR(VLOOKUP(C998,OFFSET(abbreviation[],0,ColumnLanguage),ColumnAbbreviation,FALSE),"")</f>
        <v/>
      </c>
      <c r="BJ998" s="21" t="str">
        <f ca="1">IFERROR(VLOOKUP(E998,OFFSET(abbreviation[],0,ColumnLanguage),ColumnAbbreviation,FALSE),"")</f>
        <v/>
      </c>
      <c r="BK998" s="21" t="str">
        <f ca="1">IFERROR(VLOOKUP(G998,OFFSET(abbreviation[],0,ColumnLanguage),ColumnAbbreviation,FALSE),"")</f>
        <v/>
      </c>
      <c r="BL998" s="21" t="str">
        <f ca="1">IFERROR(VLOOKUP(I998,OFFSET(abbreviation[],0,ColumnLanguage),ColumnAbbreviation,FALSE),"")</f>
        <v/>
      </c>
      <c r="BM998" s="21" t="str">
        <f ca="1">IFERROR(VLOOKUP(K998,OFFSET(abbreviation[],0,ColumnLanguage),ColumnAbbreviation,FALSE),"")</f>
        <v/>
      </c>
      <c r="BN998" s="21" t="str">
        <f t="shared" ca="1" si="105"/>
        <v/>
      </c>
      <c r="BO998" s="21" t="str">
        <f ca="1">IFERROR(VLOOKUP(N998,OFFSET(abbreviation[],0,ColumnLanguage),ColumnAbbreviation,FALSE),"")</f>
        <v/>
      </c>
      <c r="BP998" s="21" t="str">
        <f ca="1">IFERROR(VLOOKUP(P998,OFFSET(abbreviation[],0,ColumnLanguage),ColumnAbbreviation,FALSE),"")</f>
        <v/>
      </c>
      <c r="BQ998" s="21" t="str">
        <f ca="1">IFERROR(VLOOKUP(T998,OFFSET(abbreviation[],0,ColumnLanguage),ColumnAbbreviation,FALSE),"")</f>
        <v/>
      </c>
      <c r="BR998" s="21" t="str">
        <f ca="1">IFERROR(VLOOKUP(V998,OFFSET(abbreviation[],0,ColumnLanguage),ColumnAbbreviation,FALSE),"")</f>
        <v/>
      </c>
      <c r="BS998" s="21" t="str">
        <f ca="1">IFERROR(VLOOKUP(Z998,OFFSET(abbreviation[],0,ColumnLanguage),ColumnAbbreviation,FALSE),"")</f>
        <v/>
      </c>
      <c r="BT998" s="21" t="str">
        <f ca="1">IFERROR(VLOOKUP(AB998,OFFSET(abbreviation[],0,ColumnLanguage),ColumnAbbreviation,FALSE),"")</f>
        <v/>
      </c>
      <c r="BU998" s="21" t="str">
        <f t="shared" ca="1" si="106"/>
        <v>__</v>
      </c>
      <c r="BV998" s="21" t="str">
        <f ca="1">IFERROR(VLOOKUP(AF998,OFFSET(abbreviation[],0,ColumnLanguage),ColumnAbbreviation,FALSE),"")</f>
        <v/>
      </c>
      <c r="BW998" s="21" t="str">
        <f ca="1">IFERROR(VLOOKUP(AH998,OFFSET(abbreviation[],0,ColumnLanguage),ColumnAbbreviation,FALSE),"")</f>
        <v/>
      </c>
      <c r="BX998" s="21" t="str">
        <f ca="1">IFERROR(VLOOKUP(AJ998,OFFSET(abbreviation[],0,ColumnLanguage),ColumnAbbreviation,FALSE),"")</f>
        <v/>
      </c>
      <c r="BY998" s="21" t="str">
        <f ca="1">IFERROR(VLOOKUP(AL998,OFFSET(abbreviation[],0,ColumnLanguage),ColumnAbbreviation,FALSE),"")</f>
        <v/>
      </c>
      <c r="BZ998" s="21" t="str">
        <f t="shared" ca="1" si="107"/>
        <v>_</v>
      </c>
      <c r="CA998" s="21" t="str">
        <f ca="1">IFERROR(VLOOKUP(AP998,OFFSET(abbreviation[],0,ColumnLanguage),ColumnAbbreviation,FALSE),"")</f>
        <v/>
      </c>
      <c r="CB998" s="21" t="str">
        <f ca="1">IFERROR(VLOOKUP(AR998,OFFSET(abbreviation[],0,ColumnLanguage),ColumnAbbreviation,FALSE),"")</f>
        <v/>
      </c>
      <c r="CC998" s="21" t="str">
        <f ca="1">IFERROR(VLOOKUP(AT998,OFFSET(abbreviation[],0,ColumnLanguage),ColumnAbbreviation,FALSE),"")</f>
        <v/>
      </c>
      <c r="CD998" s="21" t="str">
        <f ca="1">IFERROR(VLOOKUP(AV998,OFFSET(abbreviation[],0,ColumnLanguage),ColumnAbbreviation,FALSE),"")</f>
        <v/>
      </c>
      <c r="CE998" s="21" t="str">
        <f t="shared" ca="1" si="108"/>
        <v>__</v>
      </c>
      <c r="CF998" s="21" t="str">
        <f ca="1">IFERROR(VLOOKUP(AX998,OFFSET(abbreviation[],0,ColumnLanguage),ColumnAbbreviation,FALSE),"")</f>
        <v/>
      </c>
      <c r="CG998" s="21" t="str">
        <f ca="1">IFERROR(VLOOKUP(AZ998,OFFSET(abbreviation[],0,ColumnLanguage),ColumnAbbreviation,FALSE),"")</f>
        <v/>
      </c>
      <c r="CH998" s="21" t="str">
        <f ca="1">IFERROR(VLOOKUP(BB998,OFFSET(abbreviation[],0,ColumnLanguage),ColumnAbbreviation,FALSE),"")</f>
        <v/>
      </c>
      <c r="CI998" s="21" t="str">
        <f ca="1">IFERROR(VLOOKUP(BD998,OFFSET(abbreviation[],0,ColumnLanguage),ColumnAbbreviation,FALSE),"")</f>
        <v/>
      </c>
      <c r="CJ998" s="21" t="str">
        <f ca="1">IFERROR(VLOOKUP(BF998,OFFSET(abbreviation[],0,ColumnLanguage),ColumnAbbreviation,FALSE),"")</f>
        <v/>
      </c>
      <c r="CK998" s="21" t="str">
        <f t="shared" ca="1" si="109"/>
        <v/>
      </c>
      <c r="CL998" s="21" t="str">
        <f t="shared" si="110"/>
        <v/>
      </c>
      <c r="CM998" s="52"/>
      <c r="CN998" s="57" t="str">
        <f t="shared" si="111"/>
        <v/>
      </c>
    </row>
    <row r="999" spans="17:92" x14ac:dyDescent="0.25">
      <c r="Q999" s="13"/>
      <c r="AN999" s="54"/>
      <c r="AS999" s="15"/>
      <c r="BH999" s="52"/>
      <c r="BI999" s="21" t="str">
        <f ca="1">IFERROR(VLOOKUP(C999,OFFSET(abbreviation[],0,ColumnLanguage),ColumnAbbreviation,FALSE),"")</f>
        <v/>
      </c>
      <c r="BJ999" s="21" t="str">
        <f ca="1">IFERROR(VLOOKUP(E999,OFFSET(abbreviation[],0,ColumnLanguage),ColumnAbbreviation,FALSE),"")</f>
        <v/>
      </c>
      <c r="BK999" s="21" t="str">
        <f ca="1">IFERROR(VLOOKUP(G999,OFFSET(abbreviation[],0,ColumnLanguage),ColumnAbbreviation,FALSE),"")</f>
        <v/>
      </c>
      <c r="BL999" s="21" t="str">
        <f ca="1">IFERROR(VLOOKUP(I999,OFFSET(abbreviation[],0,ColumnLanguage),ColumnAbbreviation,FALSE),"")</f>
        <v/>
      </c>
      <c r="BM999" s="21" t="str">
        <f ca="1">IFERROR(VLOOKUP(K999,OFFSET(abbreviation[],0,ColumnLanguage),ColumnAbbreviation,FALSE),"")</f>
        <v/>
      </c>
      <c r="BN999" s="21" t="str">
        <f t="shared" ca="1" si="105"/>
        <v/>
      </c>
      <c r="BO999" s="21" t="str">
        <f ca="1">IFERROR(VLOOKUP(N999,OFFSET(abbreviation[],0,ColumnLanguage),ColumnAbbreviation,FALSE),"")</f>
        <v/>
      </c>
      <c r="BP999" s="21" t="str">
        <f ca="1">IFERROR(VLOOKUP(P999,OFFSET(abbreviation[],0,ColumnLanguage),ColumnAbbreviation,FALSE),"")</f>
        <v/>
      </c>
      <c r="BQ999" s="21" t="str">
        <f ca="1">IFERROR(VLOOKUP(T999,OFFSET(abbreviation[],0,ColumnLanguage),ColumnAbbreviation,FALSE),"")</f>
        <v/>
      </c>
      <c r="BR999" s="21" t="str">
        <f ca="1">IFERROR(VLOOKUP(V999,OFFSET(abbreviation[],0,ColumnLanguage),ColumnAbbreviation,FALSE),"")</f>
        <v/>
      </c>
      <c r="BS999" s="21" t="str">
        <f ca="1">IFERROR(VLOOKUP(Z999,OFFSET(abbreviation[],0,ColumnLanguage),ColumnAbbreviation,FALSE),"")</f>
        <v/>
      </c>
      <c r="BT999" s="21" t="str">
        <f ca="1">IFERROR(VLOOKUP(AB999,OFFSET(abbreviation[],0,ColumnLanguage),ColumnAbbreviation,FALSE),"")</f>
        <v/>
      </c>
      <c r="BU999" s="21" t="str">
        <f t="shared" ca="1" si="106"/>
        <v>__</v>
      </c>
      <c r="BV999" s="21" t="str">
        <f ca="1">IFERROR(VLOOKUP(AF999,OFFSET(abbreviation[],0,ColumnLanguage),ColumnAbbreviation,FALSE),"")</f>
        <v/>
      </c>
      <c r="BW999" s="21" t="str">
        <f ca="1">IFERROR(VLOOKUP(AH999,OFFSET(abbreviation[],0,ColumnLanguage),ColumnAbbreviation,FALSE),"")</f>
        <v/>
      </c>
      <c r="BX999" s="21" t="str">
        <f ca="1">IFERROR(VLOOKUP(AJ999,OFFSET(abbreviation[],0,ColumnLanguage),ColumnAbbreviation,FALSE),"")</f>
        <v/>
      </c>
      <c r="BY999" s="21" t="str">
        <f ca="1">IFERROR(VLOOKUP(AL999,OFFSET(abbreviation[],0,ColumnLanguage),ColumnAbbreviation,FALSE),"")</f>
        <v/>
      </c>
      <c r="BZ999" s="21" t="str">
        <f t="shared" ca="1" si="107"/>
        <v>_</v>
      </c>
      <c r="CA999" s="21" t="str">
        <f ca="1">IFERROR(VLOOKUP(AP999,OFFSET(abbreviation[],0,ColumnLanguage),ColumnAbbreviation,FALSE),"")</f>
        <v/>
      </c>
      <c r="CB999" s="21" t="str">
        <f ca="1">IFERROR(VLOOKUP(AR999,OFFSET(abbreviation[],0,ColumnLanguage),ColumnAbbreviation,FALSE),"")</f>
        <v/>
      </c>
      <c r="CC999" s="21" t="str">
        <f ca="1">IFERROR(VLOOKUP(AT999,OFFSET(abbreviation[],0,ColumnLanguage),ColumnAbbreviation,FALSE),"")</f>
        <v/>
      </c>
      <c r="CD999" s="21" t="str">
        <f ca="1">IFERROR(VLOOKUP(AV999,OFFSET(abbreviation[],0,ColumnLanguage),ColumnAbbreviation,FALSE),"")</f>
        <v/>
      </c>
      <c r="CE999" s="21" t="str">
        <f t="shared" ca="1" si="108"/>
        <v>__</v>
      </c>
      <c r="CF999" s="21" t="str">
        <f ca="1">IFERROR(VLOOKUP(AX999,OFFSET(abbreviation[],0,ColumnLanguage),ColumnAbbreviation,FALSE),"")</f>
        <v/>
      </c>
      <c r="CG999" s="21" t="str">
        <f ca="1">IFERROR(VLOOKUP(AZ999,OFFSET(abbreviation[],0,ColumnLanguage),ColumnAbbreviation,FALSE),"")</f>
        <v/>
      </c>
      <c r="CH999" s="21" t="str">
        <f ca="1">IFERROR(VLOOKUP(BB999,OFFSET(abbreviation[],0,ColumnLanguage),ColumnAbbreviation,FALSE),"")</f>
        <v/>
      </c>
      <c r="CI999" s="21" t="str">
        <f ca="1">IFERROR(VLOOKUP(BD999,OFFSET(abbreviation[],0,ColumnLanguage),ColumnAbbreviation,FALSE),"")</f>
        <v/>
      </c>
      <c r="CJ999" s="21" t="str">
        <f ca="1">IFERROR(VLOOKUP(BF999,OFFSET(abbreviation[],0,ColumnLanguage),ColumnAbbreviation,FALSE),"")</f>
        <v/>
      </c>
      <c r="CK999" s="21" t="str">
        <f t="shared" ca="1" si="109"/>
        <v/>
      </c>
      <c r="CL999" s="21" t="str">
        <f t="shared" si="110"/>
        <v/>
      </c>
      <c r="CM999" s="52"/>
      <c r="CN999" s="57" t="str">
        <f t="shared" si="111"/>
        <v/>
      </c>
    </row>
    <row r="1000" spans="17:92" x14ac:dyDescent="0.25">
      <c r="Q1000" s="13"/>
      <c r="AN1000" s="54"/>
      <c r="AS1000" s="15"/>
      <c r="BH1000" s="52"/>
      <c r="BI1000" s="21" t="str">
        <f ca="1">IFERROR(VLOOKUP(C1000,OFFSET(abbreviation[],0,ColumnLanguage),ColumnAbbreviation,FALSE),"")</f>
        <v/>
      </c>
      <c r="BJ1000" s="21" t="str">
        <f ca="1">IFERROR(VLOOKUP(E1000,OFFSET(abbreviation[],0,ColumnLanguage),ColumnAbbreviation,FALSE),"")</f>
        <v/>
      </c>
      <c r="BK1000" s="21" t="str">
        <f ca="1">IFERROR(VLOOKUP(G1000,OFFSET(abbreviation[],0,ColumnLanguage),ColumnAbbreviation,FALSE),"")</f>
        <v/>
      </c>
      <c r="BL1000" s="21" t="str">
        <f ca="1">IFERROR(VLOOKUP(I1000,OFFSET(abbreviation[],0,ColumnLanguage),ColumnAbbreviation,FALSE),"")</f>
        <v/>
      </c>
      <c r="BM1000" s="21" t="str">
        <f ca="1">IFERROR(VLOOKUP(K1000,OFFSET(abbreviation[],0,ColumnLanguage),ColumnAbbreviation,FALSE),"")</f>
        <v/>
      </c>
      <c r="BN1000" s="21" t="str">
        <f t="shared" ca="1" si="105"/>
        <v/>
      </c>
      <c r="BO1000" s="21" t="str">
        <f ca="1">IFERROR(VLOOKUP(N1000,OFFSET(abbreviation[],0,ColumnLanguage),ColumnAbbreviation,FALSE),"")</f>
        <v/>
      </c>
      <c r="BP1000" s="21" t="str">
        <f ca="1">IFERROR(VLOOKUP(P1000,OFFSET(abbreviation[],0,ColumnLanguage),ColumnAbbreviation,FALSE),"")</f>
        <v/>
      </c>
      <c r="BQ1000" s="21" t="str">
        <f ca="1">IFERROR(VLOOKUP(T1000,OFFSET(abbreviation[],0,ColumnLanguage),ColumnAbbreviation,FALSE),"")</f>
        <v/>
      </c>
      <c r="BR1000" s="21" t="str">
        <f ca="1">IFERROR(VLOOKUP(V1000,OFFSET(abbreviation[],0,ColumnLanguage),ColumnAbbreviation,FALSE),"")</f>
        <v/>
      </c>
      <c r="BS1000" s="21" t="str">
        <f ca="1">IFERROR(VLOOKUP(Z1000,OFFSET(abbreviation[],0,ColumnLanguage),ColumnAbbreviation,FALSE),"")</f>
        <v/>
      </c>
      <c r="BT1000" s="21" t="str">
        <f ca="1">IFERROR(VLOOKUP(AB1000,OFFSET(abbreviation[],0,ColumnLanguage),ColumnAbbreviation,FALSE),"")</f>
        <v/>
      </c>
      <c r="BU1000" s="21" t="str">
        <f t="shared" ca="1" si="106"/>
        <v>__</v>
      </c>
      <c r="BV1000" s="21" t="str">
        <f ca="1">IFERROR(VLOOKUP(AF1000,OFFSET(abbreviation[],0,ColumnLanguage),ColumnAbbreviation,FALSE),"")</f>
        <v/>
      </c>
      <c r="BW1000" s="21" t="str">
        <f ca="1">IFERROR(VLOOKUP(AH1000,OFFSET(abbreviation[],0,ColumnLanguage),ColumnAbbreviation,FALSE),"")</f>
        <v/>
      </c>
      <c r="BX1000" s="21" t="str">
        <f ca="1">IFERROR(VLOOKUP(AJ1000,OFFSET(abbreviation[],0,ColumnLanguage),ColumnAbbreviation,FALSE),"")</f>
        <v/>
      </c>
      <c r="BY1000" s="21" t="str">
        <f ca="1">IFERROR(VLOOKUP(AL1000,OFFSET(abbreviation[],0,ColumnLanguage),ColumnAbbreviation,FALSE),"")</f>
        <v/>
      </c>
      <c r="BZ1000" s="21" t="str">
        <f t="shared" ca="1" si="107"/>
        <v>_</v>
      </c>
      <c r="CA1000" s="21" t="str">
        <f ca="1">IFERROR(VLOOKUP(AP1000,OFFSET(abbreviation[],0,ColumnLanguage),ColumnAbbreviation,FALSE),"")</f>
        <v/>
      </c>
      <c r="CB1000" s="21" t="str">
        <f ca="1">IFERROR(VLOOKUP(AR1000,OFFSET(abbreviation[],0,ColumnLanguage),ColumnAbbreviation,FALSE),"")</f>
        <v/>
      </c>
      <c r="CC1000" s="21" t="str">
        <f ca="1">IFERROR(VLOOKUP(AT1000,OFFSET(abbreviation[],0,ColumnLanguage),ColumnAbbreviation,FALSE),"")</f>
        <v/>
      </c>
      <c r="CD1000" s="21" t="str">
        <f ca="1">IFERROR(VLOOKUP(AV1000,OFFSET(abbreviation[],0,ColumnLanguage),ColumnAbbreviation,FALSE),"")</f>
        <v/>
      </c>
      <c r="CE1000" s="21" t="str">
        <f t="shared" ca="1" si="108"/>
        <v>__</v>
      </c>
      <c r="CF1000" s="21" t="str">
        <f ca="1">IFERROR(VLOOKUP(AX1000,OFFSET(abbreviation[],0,ColumnLanguage),ColumnAbbreviation,FALSE),"")</f>
        <v/>
      </c>
      <c r="CG1000" s="21" t="str">
        <f ca="1">IFERROR(VLOOKUP(AZ1000,OFFSET(abbreviation[],0,ColumnLanguage),ColumnAbbreviation,FALSE),"")</f>
        <v/>
      </c>
      <c r="CH1000" s="21" t="str">
        <f ca="1">IFERROR(VLOOKUP(BB1000,OFFSET(abbreviation[],0,ColumnLanguage),ColumnAbbreviation,FALSE),"")</f>
        <v/>
      </c>
      <c r="CI1000" s="21" t="str">
        <f ca="1">IFERROR(VLOOKUP(BD1000,OFFSET(abbreviation[],0,ColumnLanguage),ColumnAbbreviation,FALSE),"")</f>
        <v/>
      </c>
      <c r="CJ1000" s="21" t="str">
        <f ca="1">IFERROR(VLOOKUP(BF1000,OFFSET(abbreviation[],0,ColumnLanguage),ColumnAbbreviation,FALSE),"")</f>
        <v/>
      </c>
      <c r="CK1000" s="21" t="str">
        <f t="shared" ca="1" si="109"/>
        <v/>
      </c>
      <c r="CL1000" s="21" t="str">
        <f t="shared" si="110"/>
        <v/>
      </c>
      <c r="CM1000" s="52"/>
      <c r="CN1000" s="57" t="str">
        <f t="shared" si="111"/>
        <v/>
      </c>
    </row>
    <row r="1001" spans="17:92" x14ac:dyDescent="0.25">
      <c r="Q1001" s="13"/>
      <c r="AN1001" s="54"/>
      <c r="AS1001" s="15"/>
      <c r="BH1001" s="52"/>
      <c r="BI1001" s="21" t="str">
        <f ca="1">IFERROR(VLOOKUP(C1001,OFFSET(abbreviation[],0,ColumnLanguage),ColumnAbbreviation,FALSE),"")</f>
        <v/>
      </c>
      <c r="BJ1001" s="21" t="str">
        <f ca="1">IFERROR(VLOOKUP(E1001,OFFSET(abbreviation[],0,ColumnLanguage),ColumnAbbreviation,FALSE),"")</f>
        <v/>
      </c>
      <c r="BK1001" s="21" t="str">
        <f ca="1">IFERROR(VLOOKUP(G1001,OFFSET(abbreviation[],0,ColumnLanguage),ColumnAbbreviation,FALSE),"")</f>
        <v/>
      </c>
      <c r="BL1001" s="21" t="str">
        <f ca="1">IFERROR(VLOOKUP(I1001,OFFSET(abbreviation[],0,ColumnLanguage),ColumnAbbreviation,FALSE),"")</f>
        <v/>
      </c>
      <c r="BM1001" s="21" t="str">
        <f ca="1">IFERROR(VLOOKUP(C1001,OFFSET(abbreviation[],0,ColumnLanguage),ColumnAbbreviation,FALSE),"")</f>
        <v/>
      </c>
      <c r="BN1001" s="21" t="str">
        <f t="shared" ca="1" si="105"/>
        <v/>
      </c>
      <c r="BO1001" s="21" t="str">
        <f ca="1">IFERROR(VLOOKUP(N1001,OFFSET(abbreviation[],0,ColumnLanguage),ColumnAbbreviation,FALSE),"")</f>
        <v/>
      </c>
      <c r="BP1001" s="21" t="str">
        <f ca="1">IFERROR(VLOOKUP(P1001,OFFSET(abbreviation[],0,ColumnLanguage),ColumnAbbreviation,FALSE),"")</f>
        <v/>
      </c>
      <c r="BQ1001" s="21" t="str">
        <f ca="1">IFERROR(VLOOKUP(T1001,OFFSET(abbreviation[],0,ColumnLanguage),ColumnAbbreviation,FALSE),"")</f>
        <v/>
      </c>
      <c r="BR1001" s="21" t="str">
        <f ca="1">IFERROR(VLOOKUP(V1001,OFFSET(abbreviation[],0,ColumnLanguage),ColumnAbbreviation,FALSE),"")</f>
        <v/>
      </c>
      <c r="BS1001" s="21" t="str">
        <f ca="1">IFERROR(VLOOKUP(Z1001,OFFSET(abbreviation[],0,ColumnLanguage),ColumnAbbreviation,FALSE),"")</f>
        <v/>
      </c>
      <c r="BT1001" s="21" t="str">
        <f ca="1">IFERROR(VLOOKUP(AB1001,OFFSET(abbreviation[],0,ColumnLanguage),ColumnAbbreviation,FALSE),"")</f>
        <v/>
      </c>
      <c r="BU1001" s="21" t="str">
        <f t="shared" ca="1" si="106"/>
        <v>__</v>
      </c>
      <c r="BV1001" s="21" t="str">
        <f ca="1">IFERROR(VLOOKUP(AF1001,OFFSET(abbreviation[],0,ColumnLanguage),ColumnAbbreviation,FALSE),"")</f>
        <v/>
      </c>
      <c r="BW1001" s="21" t="str">
        <f ca="1">IFERROR(VLOOKUP(AH1001,OFFSET(abbreviation[],0,ColumnLanguage),ColumnAbbreviation,FALSE),"")</f>
        <v/>
      </c>
      <c r="BX1001" s="21" t="str">
        <f ca="1">IFERROR(VLOOKUP(AJ1001,OFFSET(abbreviation[],0,ColumnLanguage),ColumnAbbreviation,FALSE),"")</f>
        <v/>
      </c>
      <c r="BY1001" s="21" t="str">
        <f ca="1">IFERROR(VLOOKUP(AL1001,OFFSET(abbreviation[],0,ColumnLanguage),ColumnAbbreviation,FALSE),"")</f>
        <v/>
      </c>
      <c r="BZ1001" s="21" t="str">
        <f t="shared" ca="1" si="107"/>
        <v>_</v>
      </c>
      <c r="CA1001" s="21" t="str">
        <f ca="1">IFERROR(VLOOKUP(AP1001,OFFSET(abbreviation[],0,ColumnLanguage),ColumnAbbreviation,FALSE),"")</f>
        <v/>
      </c>
      <c r="CB1001" s="21" t="str">
        <f ca="1">IFERROR(VLOOKUP(AR1001,OFFSET(abbreviation[],0,ColumnLanguage),ColumnAbbreviation,FALSE),"")</f>
        <v/>
      </c>
      <c r="CC1001" s="21" t="str">
        <f ca="1">IFERROR(VLOOKUP(AT1001,OFFSET(abbreviation[],0,ColumnLanguage),ColumnAbbreviation,FALSE),"")</f>
        <v/>
      </c>
      <c r="CD1001" s="21" t="str">
        <f ca="1">IFERROR(VLOOKUP(AV1001,OFFSET(abbreviation[],0,ColumnLanguage),ColumnAbbreviation,FALSE),"")</f>
        <v/>
      </c>
      <c r="CE1001" s="21" t="str">
        <f t="shared" ca="1" si="108"/>
        <v>__</v>
      </c>
      <c r="CF1001" s="21" t="str">
        <f ca="1">IFERROR(VLOOKUP(AX1001,OFFSET(abbreviation[],0,ColumnLanguage),ColumnAbbreviation,FALSE),"")</f>
        <v/>
      </c>
      <c r="CG1001" s="21" t="str">
        <f ca="1">IFERROR(VLOOKUP(AZ1001,OFFSET(abbreviation[],0,ColumnLanguage),ColumnAbbreviation,FALSE),"")</f>
        <v/>
      </c>
      <c r="CH1001" s="21" t="str">
        <f ca="1">IFERROR(VLOOKUP(BB1001,OFFSET(abbreviation[],0,ColumnLanguage),ColumnAbbreviation,FALSE),"")</f>
        <v/>
      </c>
      <c r="CI1001" s="21" t="str">
        <f ca="1">IFERROR(VLOOKUP(BD1001,OFFSET(abbreviation[],0,ColumnLanguage),ColumnAbbreviation,FALSE),"")</f>
        <v/>
      </c>
      <c r="CJ1001" s="21" t="str">
        <f ca="1">IFERROR(VLOOKUP(BF1001,OFFSET(abbreviation[],0,ColumnLanguage),ColumnAbbreviation,FALSE),"")</f>
        <v/>
      </c>
      <c r="CK1001" s="21" t="str">
        <f t="shared" ca="1" si="109"/>
        <v/>
      </c>
      <c r="CL1001" s="21" t="str">
        <f t="shared" si="110"/>
        <v/>
      </c>
      <c r="CM1001" s="52"/>
      <c r="CN1001" s="57" t="str">
        <f t="shared" si="111"/>
        <v/>
      </c>
    </row>
    <row r="1002" spans="17:92" x14ac:dyDescent="0.25">
      <c r="Q1002" s="13"/>
      <c r="AN1002" s="54"/>
      <c r="AS1002" s="15"/>
      <c r="BH1002" s="52"/>
      <c r="BI1002" s="21" t="str">
        <f ca="1">IFERROR(VLOOKUP(C1002,OFFSET(abbreviation[],0,ColumnLanguage),ColumnAbbreviation,FALSE),"")</f>
        <v/>
      </c>
      <c r="BJ1002" s="21" t="str">
        <f ca="1">IFERROR(VLOOKUP(E1002,OFFSET(abbreviation[],0,ColumnLanguage),ColumnAbbreviation,FALSE),"")</f>
        <v/>
      </c>
      <c r="BK1002" s="21" t="str">
        <f ca="1">IFERROR(VLOOKUP(G1002,OFFSET(abbreviation[],0,ColumnLanguage),ColumnAbbreviation,FALSE),"")</f>
        <v/>
      </c>
      <c r="BL1002" s="21" t="str">
        <f ca="1">IFERROR(VLOOKUP(I1002,OFFSET(abbreviation[],0,ColumnLanguage),ColumnAbbreviation,FALSE),"")</f>
        <v/>
      </c>
      <c r="BM1002" s="21" t="str">
        <f ca="1">IFERROR(VLOOKUP(C1002,OFFSET(abbreviation[],0,ColumnLanguage),ColumnAbbreviation,FALSE),"")</f>
        <v/>
      </c>
      <c r="BN1002" s="21" t="str">
        <f t="shared" ca="1" si="105"/>
        <v/>
      </c>
      <c r="BO1002" s="21" t="str">
        <f ca="1">IFERROR(VLOOKUP(N1002,OFFSET(abbreviation[],0,ColumnLanguage),ColumnAbbreviation,FALSE),"")</f>
        <v/>
      </c>
      <c r="BP1002" s="21" t="str">
        <f ca="1">IFERROR(VLOOKUP(P1002,OFFSET(abbreviation[],0,ColumnLanguage),ColumnAbbreviation,FALSE),"")</f>
        <v/>
      </c>
      <c r="BQ1002" s="21" t="str">
        <f ca="1">IFERROR(VLOOKUP(T1002,OFFSET(abbreviation[],0,ColumnLanguage),ColumnAbbreviation,FALSE),"")</f>
        <v/>
      </c>
      <c r="BR1002" s="21" t="str">
        <f ca="1">IFERROR(VLOOKUP(V1002,OFFSET(abbreviation[],0,ColumnLanguage),ColumnAbbreviation,FALSE),"")</f>
        <v/>
      </c>
      <c r="BS1002" s="21" t="str">
        <f ca="1">IFERROR(VLOOKUP(Z1002,OFFSET(abbreviation[],0,ColumnLanguage),ColumnAbbreviation,FALSE),"")</f>
        <v/>
      </c>
      <c r="BT1002" s="21" t="str">
        <f ca="1">IFERROR(VLOOKUP(AB1002,OFFSET(abbreviation[],0,ColumnLanguage),ColumnAbbreviation,FALSE),"")</f>
        <v/>
      </c>
      <c r="BU1002" s="21" t="str">
        <f t="shared" ca="1" si="106"/>
        <v>__</v>
      </c>
      <c r="BV1002" s="21" t="str">
        <f ca="1">IFERROR(VLOOKUP(AF1002,OFFSET(abbreviation[],0,ColumnLanguage),ColumnAbbreviation,FALSE),"")</f>
        <v/>
      </c>
      <c r="BW1002" s="21" t="str">
        <f ca="1">IFERROR(VLOOKUP(AH1002,OFFSET(abbreviation[],0,ColumnLanguage),ColumnAbbreviation,FALSE),"")</f>
        <v/>
      </c>
      <c r="BX1002" s="21" t="str">
        <f ca="1">IFERROR(VLOOKUP(AJ1002,OFFSET(abbreviation[],0,ColumnLanguage),ColumnAbbreviation,FALSE),"")</f>
        <v/>
      </c>
      <c r="BY1002" s="21" t="str">
        <f ca="1">IFERROR(VLOOKUP(AL1002,OFFSET(abbreviation[],0,ColumnLanguage),ColumnAbbreviation,FALSE),"")</f>
        <v/>
      </c>
      <c r="BZ1002" s="21" t="str">
        <f t="shared" ca="1" si="107"/>
        <v>_</v>
      </c>
      <c r="CA1002" s="21" t="str">
        <f ca="1">IFERROR(VLOOKUP(AP1002,OFFSET(abbreviation[],0,ColumnLanguage),ColumnAbbreviation,FALSE),"")</f>
        <v/>
      </c>
      <c r="CB1002" s="21" t="str">
        <f ca="1">IFERROR(VLOOKUP(AR1002,OFFSET(abbreviation[],0,ColumnLanguage),ColumnAbbreviation,FALSE),"")</f>
        <v/>
      </c>
      <c r="CC1002" s="21" t="str">
        <f ca="1">IFERROR(VLOOKUP(AT1002,OFFSET(abbreviation[],0,ColumnLanguage),ColumnAbbreviation,FALSE),"")</f>
        <v/>
      </c>
      <c r="CD1002" s="21" t="str">
        <f ca="1">IFERROR(VLOOKUP(AV1002,OFFSET(abbreviation[],0,ColumnLanguage),ColumnAbbreviation,FALSE),"")</f>
        <v/>
      </c>
      <c r="CE1002" s="21" t="str">
        <f t="shared" ca="1" si="108"/>
        <v>__</v>
      </c>
      <c r="CF1002" s="21" t="str">
        <f ca="1">IFERROR(VLOOKUP(AX1002,OFFSET(abbreviation[],0,ColumnLanguage),ColumnAbbreviation,FALSE),"")</f>
        <v/>
      </c>
      <c r="CG1002" s="21" t="str">
        <f ca="1">IFERROR(VLOOKUP(AZ1002,OFFSET(abbreviation[],0,ColumnLanguage),ColumnAbbreviation,FALSE),"")</f>
        <v/>
      </c>
      <c r="CH1002" s="21" t="str">
        <f ca="1">IFERROR(VLOOKUP(BB1002,OFFSET(abbreviation[],0,ColumnLanguage),ColumnAbbreviation,FALSE),"")</f>
        <v/>
      </c>
      <c r="CI1002" s="21" t="str">
        <f ca="1">IFERROR(VLOOKUP(BD1002,OFFSET(abbreviation[],0,ColumnLanguage),ColumnAbbreviation,FALSE),"")</f>
        <v/>
      </c>
      <c r="CJ1002" s="21" t="str">
        <f ca="1">IFERROR(VLOOKUP(BF1002,OFFSET(abbreviation[],0,ColumnLanguage),ColumnAbbreviation,FALSE),"")</f>
        <v/>
      </c>
      <c r="CK1002" s="21" t="str">
        <f t="shared" ca="1" si="109"/>
        <v/>
      </c>
      <c r="CL1002" s="21" t="str">
        <f t="shared" si="110"/>
        <v/>
      </c>
      <c r="CM1002" s="52"/>
      <c r="CN1002" s="57" t="str">
        <f t="shared" si="111"/>
        <v/>
      </c>
    </row>
    <row r="1003" spans="17:92" x14ac:dyDescent="0.25">
      <c r="Q1003" s="13"/>
      <c r="AN1003" s="54"/>
      <c r="AS1003" s="15"/>
      <c r="BH1003" s="52"/>
      <c r="BI1003" s="21" t="str">
        <f ca="1">IFERROR(VLOOKUP(C1003,OFFSET(abbreviation[],0,ColumnLanguage),ColumnAbbreviation,FALSE),"")</f>
        <v/>
      </c>
      <c r="BJ1003" s="21" t="str">
        <f ca="1">IFERROR(VLOOKUP(E1003,OFFSET(abbreviation[],0,ColumnLanguage),ColumnAbbreviation,FALSE),"")</f>
        <v/>
      </c>
      <c r="BK1003" s="21" t="str">
        <f ca="1">IFERROR(VLOOKUP(G1003,OFFSET(abbreviation[],0,ColumnLanguage),ColumnAbbreviation,FALSE),"")</f>
        <v/>
      </c>
      <c r="BL1003" s="21" t="str">
        <f ca="1">IFERROR(VLOOKUP(I1003,OFFSET(abbreviation[],0,ColumnLanguage),ColumnAbbreviation,FALSE),"")</f>
        <v/>
      </c>
      <c r="BM1003" s="21" t="str">
        <f ca="1">IFERROR(VLOOKUP(C1003,OFFSET(abbreviation[],0,ColumnLanguage),ColumnAbbreviation,FALSE),"")</f>
        <v/>
      </c>
      <c r="BN1003" s="21" t="str">
        <f t="shared" ca="1" si="105"/>
        <v/>
      </c>
      <c r="BO1003" s="21" t="str">
        <f ca="1">IFERROR(VLOOKUP(N1003,OFFSET(abbreviation[],0,ColumnLanguage),ColumnAbbreviation,FALSE),"")</f>
        <v/>
      </c>
      <c r="BP1003" s="21" t="str">
        <f ca="1">IFERROR(VLOOKUP(P1003,OFFSET(abbreviation[],0,ColumnLanguage),ColumnAbbreviation,FALSE),"")</f>
        <v/>
      </c>
      <c r="BQ1003" s="21" t="str">
        <f ca="1">IFERROR(VLOOKUP(T1003,OFFSET(abbreviation[],0,ColumnLanguage),ColumnAbbreviation,FALSE),"")</f>
        <v/>
      </c>
      <c r="BR1003" s="21" t="str">
        <f ca="1">IFERROR(VLOOKUP(V1003,OFFSET(abbreviation[],0,ColumnLanguage),ColumnAbbreviation,FALSE),"")</f>
        <v/>
      </c>
      <c r="BS1003" s="21" t="str">
        <f ca="1">IFERROR(VLOOKUP(Z1003,OFFSET(abbreviation[],0,ColumnLanguage),ColumnAbbreviation,FALSE),"")</f>
        <v/>
      </c>
      <c r="BT1003" s="21" t="str">
        <f ca="1">IFERROR(VLOOKUP(AB1003,OFFSET(abbreviation[],0,ColumnLanguage),ColumnAbbreviation,FALSE),"")</f>
        <v/>
      </c>
      <c r="BU1003" s="21" t="str">
        <f t="shared" ca="1" si="106"/>
        <v>__</v>
      </c>
      <c r="BV1003" s="21" t="str">
        <f ca="1">IFERROR(VLOOKUP(AF1003,OFFSET(abbreviation[],0,ColumnLanguage),ColumnAbbreviation,FALSE),"")</f>
        <v/>
      </c>
      <c r="BW1003" s="21" t="str">
        <f ca="1">IFERROR(VLOOKUP(AH1003,OFFSET(abbreviation[],0,ColumnLanguage),ColumnAbbreviation,FALSE),"")</f>
        <v/>
      </c>
      <c r="BX1003" s="21" t="str">
        <f ca="1">IFERROR(VLOOKUP(AJ1003,OFFSET(abbreviation[],0,ColumnLanguage),ColumnAbbreviation,FALSE),"")</f>
        <v/>
      </c>
      <c r="BY1003" s="21" t="str">
        <f ca="1">IFERROR(VLOOKUP(AL1003,OFFSET(abbreviation[],0,ColumnLanguage),ColumnAbbreviation,FALSE),"")</f>
        <v/>
      </c>
      <c r="BZ1003" s="21" t="str">
        <f t="shared" ca="1" si="107"/>
        <v>_</v>
      </c>
      <c r="CA1003" s="21" t="str">
        <f ca="1">IFERROR(VLOOKUP(AP1003,OFFSET(abbreviation[],0,ColumnLanguage),ColumnAbbreviation,FALSE),"")</f>
        <v/>
      </c>
      <c r="CB1003" s="21" t="str">
        <f ca="1">IFERROR(VLOOKUP(AR1003,OFFSET(abbreviation[],0,ColumnLanguage),ColumnAbbreviation,FALSE),"")</f>
        <v/>
      </c>
      <c r="CC1003" s="21" t="str">
        <f ca="1">IFERROR(VLOOKUP(AT1003,OFFSET(abbreviation[],0,ColumnLanguage),ColumnAbbreviation,FALSE),"")</f>
        <v/>
      </c>
      <c r="CD1003" s="21" t="str">
        <f ca="1">IFERROR(VLOOKUP(AV1003,OFFSET(abbreviation[],0,ColumnLanguage),ColumnAbbreviation,FALSE),"")</f>
        <v/>
      </c>
      <c r="CE1003" s="21" t="str">
        <f t="shared" ca="1" si="108"/>
        <v>__</v>
      </c>
      <c r="CF1003" s="21" t="str">
        <f ca="1">IFERROR(VLOOKUP(AX1003,OFFSET(abbreviation[],0,ColumnLanguage),ColumnAbbreviation,FALSE),"")</f>
        <v/>
      </c>
      <c r="CG1003" s="21" t="str">
        <f ca="1">IFERROR(VLOOKUP(AZ1003,OFFSET(abbreviation[],0,ColumnLanguage),ColumnAbbreviation,FALSE),"")</f>
        <v/>
      </c>
      <c r="CH1003" s="21" t="str">
        <f ca="1">IFERROR(VLOOKUP(BB1003,OFFSET(abbreviation[],0,ColumnLanguage),ColumnAbbreviation,FALSE),"")</f>
        <v/>
      </c>
      <c r="CI1003" s="21" t="str">
        <f ca="1">IFERROR(VLOOKUP(BD1003,OFFSET(abbreviation[],0,ColumnLanguage),ColumnAbbreviation,FALSE),"")</f>
        <v/>
      </c>
      <c r="CJ1003" s="21" t="str">
        <f ca="1">IFERROR(VLOOKUP(BF1003,OFFSET(abbreviation[],0,ColumnLanguage),ColumnAbbreviation,FALSE),"")</f>
        <v/>
      </c>
      <c r="CK1003" s="21" t="str">
        <f t="shared" ca="1" si="109"/>
        <v/>
      </c>
      <c r="CL1003" s="21" t="str">
        <f t="shared" si="110"/>
        <v/>
      </c>
      <c r="CM1003" s="52"/>
      <c r="CN1003" s="57" t="str">
        <f t="shared" si="111"/>
        <v/>
      </c>
    </row>
    <row r="1004" spans="17:92" x14ac:dyDescent="0.25">
      <c r="Q1004" s="13"/>
      <c r="AN1004" s="54"/>
      <c r="AS1004" s="15"/>
      <c r="BH1004" s="52"/>
      <c r="BI1004" s="21" t="str">
        <f ca="1">IFERROR(VLOOKUP(C1004,OFFSET(abbreviation[],0,ColumnLanguage),ColumnAbbreviation,FALSE),"")</f>
        <v/>
      </c>
      <c r="BJ1004" s="21" t="str">
        <f ca="1">IFERROR(VLOOKUP(E1004,OFFSET(abbreviation[],0,ColumnLanguage),ColumnAbbreviation,FALSE),"")</f>
        <v/>
      </c>
      <c r="BK1004" s="21" t="str">
        <f ca="1">IFERROR(VLOOKUP(G1004,OFFSET(abbreviation[],0,ColumnLanguage),ColumnAbbreviation,FALSE),"")</f>
        <v/>
      </c>
      <c r="BL1004" s="21" t="str">
        <f ca="1">IFERROR(VLOOKUP(I1004,OFFSET(abbreviation[],0,ColumnLanguage),ColumnAbbreviation,FALSE),"")</f>
        <v/>
      </c>
      <c r="BM1004" s="21" t="str">
        <f ca="1">IFERROR(VLOOKUP(C1004,OFFSET(abbreviation[],0,ColumnLanguage),ColumnAbbreviation,FALSE),"")</f>
        <v/>
      </c>
      <c r="BN1004" s="21" t="str">
        <f t="shared" ca="1" si="105"/>
        <v/>
      </c>
      <c r="BO1004" s="21" t="str">
        <f ca="1">IFERROR(VLOOKUP(N1004,OFFSET(abbreviation[],0,ColumnLanguage),ColumnAbbreviation,FALSE),"")</f>
        <v/>
      </c>
      <c r="BP1004" s="21" t="str">
        <f ca="1">IFERROR(VLOOKUP(P1004,OFFSET(abbreviation[],0,ColumnLanguage),ColumnAbbreviation,FALSE),"")</f>
        <v/>
      </c>
      <c r="BQ1004" s="21" t="str">
        <f ca="1">IFERROR(VLOOKUP(T1004,OFFSET(abbreviation[],0,ColumnLanguage),ColumnAbbreviation,FALSE),"")</f>
        <v/>
      </c>
      <c r="BR1004" s="21" t="str">
        <f ca="1">IFERROR(VLOOKUP(V1004,OFFSET(abbreviation[],0,ColumnLanguage),ColumnAbbreviation,FALSE),"")</f>
        <v/>
      </c>
      <c r="BS1004" s="21" t="str">
        <f ca="1">IFERROR(VLOOKUP(Z1004,OFFSET(abbreviation[],0,ColumnLanguage),ColumnAbbreviation,FALSE),"")</f>
        <v/>
      </c>
      <c r="BT1004" s="21" t="str">
        <f ca="1">IFERROR(VLOOKUP(AB1004,OFFSET(abbreviation[],0,ColumnLanguage),ColumnAbbreviation,FALSE),"")</f>
        <v/>
      </c>
      <c r="BU1004" s="21" t="str">
        <f t="shared" ca="1" si="106"/>
        <v>__</v>
      </c>
      <c r="BV1004" s="21" t="str">
        <f ca="1">IFERROR(VLOOKUP(AF1004,OFFSET(abbreviation[],0,ColumnLanguage),ColumnAbbreviation,FALSE),"")</f>
        <v/>
      </c>
      <c r="BW1004" s="21" t="str">
        <f ca="1">IFERROR(VLOOKUP(AH1004,OFFSET(abbreviation[],0,ColumnLanguage),ColumnAbbreviation,FALSE),"")</f>
        <v/>
      </c>
      <c r="BX1004" s="21" t="str">
        <f ca="1">IFERROR(VLOOKUP(AJ1004,OFFSET(abbreviation[],0,ColumnLanguage),ColumnAbbreviation,FALSE),"")</f>
        <v/>
      </c>
      <c r="BY1004" s="21" t="str">
        <f ca="1">IFERROR(VLOOKUP(AL1004,OFFSET(abbreviation[],0,ColumnLanguage),ColumnAbbreviation,FALSE),"")</f>
        <v/>
      </c>
      <c r="BZ1004" s="21" t="str">
        <f t="shared" ca="1" si="107"/>
        <v>_</v>
      </c>
      <c r="CA1004" s="21" t="str">
        <f ca="1">IFERROR(VLOOKUP(AP1004,OFFSET(abbreviation[],0,ColumnLanguage),ColumnAbbreviation,FALSE),"")</f>
        <v/>
      </c>
      <c r="CB1004" s="21" t="str">
        <f ca="1">IFERROR(VLOOKUP(AR1004,OFFSET(abbreviation[],0,ColumnLanguage),ColumnAbbreviation,FALSE),"")</f>
        <v/>
      </c>
      <c r="CC1004" s="21" t="str">
        <f ca="1">IFERROR(VLOOKUP(AT1004,OFFSET(abbreviation[],0,ColumnLanguage),ColumnAbbreviation,FALSE),"")</f>
        <v/>
      </c>
      <c r="CD1004" s="21" t="str">
        <f ca="1">IFERROR(VLOOKUP(AV1004,OFFSET(abbreviation[],0,ColumnLanguage),ColumnAbbreviation,FALSE),"")</f>
        <v/>
      </c>
      <c r="CE1004" s="21" t="str">
        <f t="shared" ca="1" si="108"/>
        <v>__</v>
      </c>
      <c r="CF1004" s="21" t="str">
        <f ca="1">IFERROR(VLOOKUP(AX1004,OFFSET(abbreviation[],0,ColumnLanguage),ColumnAbbreviation,FALSE),"")</f>
        <v/>
      </c>
      <c r="CG1004" s="21" t="str">
        <f ca="1">IFERROR(VLOOKUP(AZ1004,OFFSET(abbreviation[],0,ColumnLanguage),ColumnAbbreviation,FALSE),"")</f>
        <v/>
      </c>
      <c r="CH1004" s="21" t="str">
        <f ca="1">IFERROR(VLOOKUP(BB1004,OFFSET(abbreviation[],0,ColumnLanguage),ColumnAbbreviation,FALSE),"")</f>
        <v/>
      </c>
      <c r="CI1004" s="21" t="str">
        <f ca="1">IFERROR(VLOOKUP(BD1004,OFFSET(abbreviation[],0,ColumnLanguage),ColumnAbbreviation,FALSE),"")</f>
        <v/>
      </c>
      <c r="CJ1004" s="21" t="str">
        <f ca="1">IFERROR(VLOOKUP(BF1004,OFFSET(abbreviation[],0,ColumnLanguage),ColumnAbbreviation,FALSE),"")</f>
        <v/>
      </c>
      <c r="CK1004" s="21" t="str">
        <f t="shared" ca="1" si="109"/>
        <v/>
      </c>
      <c r="CL1004" s="21" t="str">
        <f t="shared" si="110"/>
        <v/>
      </c>
      <c r="CM1004" s="52"/>
      <c r="CN1004" s="57" t="str">
        <f t="shared" si="111"/>
        <v/>
      </c>
    </row>
    <row r="1005" spans="17:92" x14ac:dyDescent="0.25">
      <c r="Q1005" s="13"/>
      <c r="AN1005" s="54"/>
      <c r="AS1005" s="15"/>
      <c r="BH1005" s="52"/>
      <c r="BI1005" s="21" t="str">
        <f ca="1">IFERROR(VLOOKUP(C1005,OFFSET(abbreviation[],0,ColumnLanguage),ColumnAbbreviation,FALSE),"")</f>
        <v/>
      </c>
      <c r="BJ1005" s="21" t="str">
        <f ca="1">IFERROR(VLOOKUP(E1005,OFFSET(abbreviation[],0,ColumnLanguage),ColumnAbbreviation,FALSE),"")</f>
        <v/>
      </c>
      <c r="BK1005" s="21" t="str">
        <f ca="1">IFERROR(VLOOKUP(G1005,OFFSET(abbreviation[],0,ColumnLanguage),ColumnAbbreviation,FALSE),"")</f>
        <v/>
      </c>
      <c r="BL1005" s="21" t="str">
        <f ca="1">IFERROR(VLOOKUP(I1005,OFFSET(abbreviation[],0,ColumnLanguage),ColumnAbbreviation,FALSE),"")</f>
        <v/>
      </c>
      <c r="BM1005" s="21" t="str">
        <f ca="1">IFERROR(VLOOKUP(C1005,OFFSET(abbreviation[],0,ColumnLanguage),ColumnAbbreviation,FALSE),"")</f>
        <v/>
      </c>
      <c r="BN1005" s="21" t="str">
        <f t="shared" ca="1" si="105"/>
        <v/>
      </c>
      <c r="BO1005" s="21" t="str">
        <f ca="1">IFERROR(VLOOKUP(N1005,OFFSET(abbreviation[],0,ColumnLanguage),ColumnAbbreviation,FALSE),"")</f>
        <v/>
      </c>
      <c r="BP1005" s="21" t="str">
        <f ca="1">IFERROR(VLOOKUP(P1005,OFFSET(abbreviation[],0,ColumnLanguage),ColumnAbbreviation,FALSE),"")</f>
        <v/>
      </c>
      <c r="BQ1005" s="21" t="str">
        <f ca="1">IFERROR(VLOOKUP(T1005,OFFSET(abbreviation[],0,ColumnLanguage),ColumnAbbreviation,FALSE),"")</f>
        <v/>
      </c>
      <c r="BR1005" s="21" t="str">
        <f ca="1">IFERROR(VLOOKUP(V1005,OFFSET(abbreviation[],0,ColumnLanguage),ColumnAbbreviation,FALSE),"")</f>
        <v/>
      </c>
      <c r="BS1005" s="21" t="str">
        <f ca="1">IFERROR(VLOOKUP(Z1005,OFFSET(abbreviation[],0,ColumnLanguage),ColumnAbbreviation,FALSE),"")</f>
        <v/>
      </c>
      <c r="BT1005" s="21" t="str">
        <f ca="1">IFERROR(VLOOKUP(AB1005,OFFSET(abbreviation[],0,ColumnLanguage),ColumnAbbreviation,FALSE),"")</f>
        <v/>
      </c>
      <c r="BU1005" s="21" t="str">
        <f t="shared" ca="1" si="106"/>
        <v>__</v>
      </c>
      <c r="BV1005" s="21" t="str">
        <f ca="1">IFERROR(VLOOKUP(AF1005,OFFSET(abbreviation[],0,ColumnLanguage),ColumnAbbreviation,FALSE),"")</f>
        <v/>
      </c>
      <c r="BW1005" s="21" t="str">
        <f ca="1">IFERROR(VLOOKUP(AH1005,OFFSET(abbreviation[],0,ColumnLanguage),ColumnAbbreviation,FALSE),"")</f>
        <v/>
      </c>
      <c r="BX1005" s="21" t="str">
        <f ca="1">IFERROR(VLOOKUP(AJ1005,OFFSET(abbreviation[],0,ColumnLanguage),ColumnAbbreviation,FALSE),"")</f>
        <v/>
      </c>
      <c r="BY1005" s="21" t="str">
        <f ca="1">IFERROR(VLOOKUP(AL1005,OFFSET(abbreviation[],0,ColumnLanguage),ColumnAbbreviation,FALSE),"")</f>
        <v/>
      </c>
      <c r="BZ1005" s="21" t="str">
        <f t="shared" ca="1" si="107"/>
        <v>_</v>
      </c>
      <c r="CA1005" s="21" t="str">
        <f ca="1">IFERROR(VLOOKUP(AP1005,OFFSET(abbreviation[],0,ColumnLanguage),ColumnAbbreviation,FALSE),"")</f>
        <v/>
      </c>
      <c r="CB1005" s="21" t="str">
        <f ca="1">IFERROR(VLOOKUP(AR1005,OFFSET(abbreviation[],0,ColumnLanguage),ColumnAbbreviation,FALSE),"")</f>
        <v/>
      </c>
      <c r="CC1005" s="21" t="str">
        <f ca="1">IFERROR(VLOOKUP(AT1005,OFFSET(abbreviation[],0,ColumnLanguage),ColumnAbbreviation,FALSE),"")</f>
        <v/>
      </c>
      <c r="CD1005" s="21" t="str">
        <f ca="1">IFERROR(VLOOKUP(AV1005,OFFSET(abbreviation[],0,ColumnLanguage),ColumnAbbreviation,FALSE),"")</f>
        <v/>
      </c>
      <c r="CE1005" s="21" t="str">
        <f t="shared" ca="1" si="108"/>
        <v>__</v>
      </c>
      <c r="CF1005" s="21" t="str">
        <f ca="1">IFERROR(VLOOKUP(AX1005,OFFSET(abbreviation[],0,ColumnLanguage),ColumnAbbreviation,FALSE),"")</f>
        <v/>
      </c>
      <c r="CG1005" s="21" t="str">
        <f ca="1">IFERROR(VLOOKUP(AZ1005,OFFSET(abbreviation[],0,ColumnLanguage),ColumnAbbreviation,FALSE),"")</f>
        <v/>
      </c>
      <c r="CH1005" s="21" t="str">
        <f ca="1">IFERROR(VLOOKUP(BB1005,OFFSET(abbreviation[],0,ColumnLanguage),ColumnAbbreviation,FALSE),"")</f>
        <v/>
      </c>
      <c r="CI1005" s="21" t="str">
        <f ca="1">IFERROR(VLOOKUP(BD1005,OFFSET(abbreviation[],0,ColumnLanguage),ColumnAbbreviation,FALSE),"")</f>
        <v/>
      </c>
      <c r="CJ1005" s="21" t="str">
        <f ca="1">IFERROR(VLOOKUP(BF1005,OFFSET(abbreviation[],0,ColumnLanguage),ColumnAbbreviation,FALSE),"")</f>
        <v/>
      </c>
      <c r="CK1005" s="21" t="str">
        <f t="shared" ca="1" si="109"/>
        <v/>
      </c>
      <c r="CL1005" s="21" t="str">
        <f t="shared" si="110"/>
        <v/>
      </c>
      <c r="CM1005" s="52"/>
      <c r="CN1005" s="57" t="str">
        <f t="shared" si="111"/>
        <v/>
      </c>
    </row>
    <row r="1006" spans="17:92" x14ac:dyDescent="0.25">
      <c r="Q1006" s="13"/>
      <c r="AN1006" s="54"/>
      <c r="AS1006" s="15"/>
      <c r="BH1006" s="52"/>
      <c r="BI1006" s="21" t="str">
        <f ca="1">IFERROR(VLOOKUP(C1006,OFFSET(abbreviation[],0,ColumnLanguage),ColumnAbbreviation,FALSE),"")</f>
        <v/>
      </c>
      <c r="BJ1006" s="21" t="str">
        <f ca="1">IFERROR(VLOOKUP(E1006,OFFSET(abbreviation[],0,ColumnLanguage),ColumnAbbreviation,FALSE),"")</f>
        <v/>
      </c>
      <c r="BK1006" s="21" t="str">
        <f ca="1">IFERROR(VLOOKUP(G1006,OFFSET(abbreviation[],0,ColumnLanguage),ColumnAbbreviation,FALSE),"")</f>
        <v/>
      </c>
      <c r="BL1006" s="21" t="str">
        <f ca="1">IFERROR(VLOOKUP(I1006,OFFSET(abbreviation[],0,ColumnLanguage),ColumnAbbreviation,FALSE),"")</f>
        <v/>
      </c>
      <c r="BM1006" s="21" t="str">
        <f ca="1">IFERROR(VLOOKUP(C1006,OFFSET(abbreviation[],0,ColumnLanguage),ColumnAbbreviation,FALSE),"")</f>
        <v/>
      </c>
      <c r="BN1006" s="21" t="str">
        <f t="shared" ca="1" si="105"/>
        <v/>
      </c>
      <c r="BO1006" s="21" t="str">
        <f ca="1">IFERROR(VLOOKUP(N1006,OFFSET(abbreviation[],0,ColumnLanguage),ColumnAbbreviation,FALSE),"")</f>
        <v/>
      </c>
      <c r="BP1006" s="21" t="str">
        <f ca="1">IFERROR(VLOOKUP(P1006,OFFSET(abbreviation[],0,ColumnLanguage),ColumnAbbreviation,FALSE),"")</f>
        <v/>
      </c>
      <c r="BQ1006" s="21" t="str">
        <f ca="1">IFERROR(VLOOKUP(T1006,OFFSET(abbreviation[],0,ColumnLanguage),ColumnAbbreviation,FALSE),"")</f>
        <v/>
      </c>
      <c r="BR1006" s="21" t="str">
        <f ca="1">IFERROR(VLOOKUP(V1006,OFFSET(abbreviation[],0,ColumnLanguage),ColumnAbbreviation,FALSE),"")</f>
        <v/>
      </c>
      <c r="BS1006" s="21" t="str">
        <f ca="1">IFERROR(VLOOKUP(Z1006,OFFSET(abbreviation[],0,ColumnLanguage),ColumnAbbreviation,FALSE),"")</f>
        <v/>
      </c>
      <c r="BT1006" s="21" t="str">
        <f ca="1">IFERROR(VLOOKUP(AB1006,OFFSET(abbreviation[],0,ColumnLanguage),ColumnAbbreviation,FALSE),"")</f>
        <v/>
      </c>
      <c r="BU1006" s="21" t="str">
        <f t="shared" ca="1" si="106"/>
        <v>__</v>
      </c>
      <c r="BV1006" s="21" t="str">
        <f ca="1">IFERROR(VLOOKUP(AF1006,OFFSET(abbreviation[],0,ColumnLanguage),ColumnAbbreviation,FALSE),"")</f>
        <v/>
      </c>
      <c r="BW1006" s="21" t="str">
        <f ca="1">IFERROR(VLOOKUP(AH1006,OFFSET(abbreviation[],0,ColumnLanguage),ColumnAbbreviation,FALSE),"")</f>
        <v/>
      </c>
      <c r="BX1006" s="21" t="str">
        <f ca="1">IFERROR(VLOOKUP(AJ1006,OFFSET(abbreviation[],0,ColumnLanguage),ColumnAbbreviation,FALSE),"")</f>
        <v/>
      </c>
      <c r="BY1006" s="21" t="str">
        <f ca="1">IFERROR(VLOOKUP(AL1006,OFFSET(abbreviation[],0,ColumnLanguage),ColumnAbbreviation,FALSE),"")</f>
        <v/>
      </c>
      <c r="BZ1006" s="21" t="str">
        <f t="shared" ca="1" si="107"/>
        <v>_</v>
      </c>
      <c r="CA1006" s="21" t="str">
        <f ca="1">IFERROR(VLOOKUP(AP1006,OFFSET(abbreviation[],0,ColumnLanguage),ColumnAbbreviation,FALSE),"")</f>
        <v/>
      </c>
      <c r="CB1006" s="21" t="str">
        <f ca="1">IFERROR(VLOOKUP(AR1006,OFFSET(abbreviation[],0,ColumnLanguage),ColumnAbbreviation,FALSE),"")</f>
        <v/>
      </c>
      <c r="CC1006" s="21" t="str">
        <f ca="1">IFERROR(VLOOKUP(AT1006,OFFSET(abbreviation[],0,ColumnLanguage),ColumnAbbreviation,FALSE),"")</f>
        <v/>
      </c>
      <c r="CD1006" s="21" t="str">
        <f ca="1">IFERROR(VLOOKUP(AV1006,OFFSET(abbreviation[],0,ColumnLanguage),ColumnAbbreviation,FALSE),"")</f>
        <v/>
      </c>
      <c r="CE1006" s="21" t="str">
        <f t="shared" ca="1" si="108"/>
        <v>__</v>
      </c>
      <c r="CF1006" s="21" t="str">
        <f ca="1">IFERROR(VLOOKUP(AX1006,OFFSET(abbreviation[],0,ColumnLanguage),ColumnAbbreviation,FALSE),"")</f>
        <v/>
      </c>
      <c r="CG1006" s="21" t="str">
        <f ca="1">IFERROR(VLOOKUP(AZ1006,OFFSET(abbreviation[],0,ColumnLanguage),ColumnAbbreviation,FALSE),"")</f>
        <v/>
      </c>
      <c r="CH1006" s="21" t="str">
        <f ca="1">IFERROR(VLOOKUP(BB1006,OFFSET(abbreviation[],0,ColumnLanguage),ColumnAbbreviation,FALSE),"")</f>
        <v/>
      </c>
      <c r="CI1006" s="21" t="str">
        <f ca="1">IFERROR(VLOOKUP(BD1006,OFFSET(abbreviation[],0,ColumnLanguage),ColumnAbbreviation,FALSE),"")</f>
        <v/>
      </c>
      <c r="CJ1006" s="21" t="str">
        <f ca="1">IFERROR(VLOOKUP(BF1006,OFFSET(abbreviation[],0,ColumnLanguage),ColumnAbbreviation,FALSE),"")</f>
        <v/>
      </c>
      <c r="CK1006" s="21" t="str">
        <f t="shared" ca="1" si="109"/>
        <v/>
      </c>
      <c r="CL1006" s="21" t="str">
        <f t="shared" si="110"/>
        <v/>
      </c>
      <c r="CM1006" s="52"/>
      <c r="CN1006" s="57" t="str">
        <f t="shared" si="111"/>
        <v/>
      </c>
    </row>
  </sheetData>
  <sheetProtection formatColumns="0" formatRows="0" selectLockedCells="1"/>
  <dataValidations count="14">
    <dataValidation showInputMessage="1" showErrorMessage="1" sqref="AF1:AF2 AV1:AV2"/>
    <dataValidation type="list" showInputMessage="1" showErrorMessage="1" sqref="N3:N1006">
      <formula1>System</formula1>
    </dataValidation>
    <dataValidation type="list" showInputMessage="1" showErrorMessage="1" sqref="Z3:Z1006 T3:T1006">
      <formula1>SubSystem</formula1>
    </dataValidation>
    <dataValidation type="list" showInputMessage="1" showErrorMessage="1" sqref="P3:P1006">
      <formula1>System_Auswerten</formula1>
    </dataValidation>
    <dataValidation type="list" showInputMessage="1" showErrorMessage="1" sqref="AB3:AB1006 V3:V1006">
      <formula1>SubSystem_Auswerten</formula1>
    </dataValidation>
    <dataValidation type="list" showInputMessage="1" showErrorMessage="1" sqref="AF3:AF1006">
      <formula1>Medium_Position</formula1>
    </dataValidation>
    <dataValidation type="list" allowBlank="1" showInputMessage="1" showErrorMessage="1" sqref="AH3:AH1006">
      <formula1>Medium_Position_Auswerten</formula1>
    </dataValidation>
    <dataValidation type="list" allowBlank="1" showInputMessage="1" showErrorMessage="1" sqref="AP3:AP1006">
      <formula1>Datenpunkt</formula1>
    </dataValidation>
    <dataValidation type="list" allowBlank="1" showInputMessage="1" showErrorMessage="1" sqref="AR3:AR1006">
      <formula1>Datenpunkt_Auswerten</formula1>
    </dataValidation>
    <dataValidation type="list" showInputMessage="1" showErrorMessage="1" sqref="AV3:AV1006">
      <formula1>Funktionsart</formula1>
    </dataValidation>
    <dataValidation type="list" allowBlank="1" showInputMessage="1" showErrorMessage="1" sqref="G3:G1006 E3:E1006 AX3:AX1006 AZ3:AZ1006 BB3:BB1006 BD3:BD1006 BF3:BF1006 K3:K1006 C3:C1006 I3:I1006">
      <formula1>Ortsbezeichnung</formula1>
    </dataValidation>
    <dataValidation type="list" allowBlank="1" showInputMessage="1" showErrorMessage="1" sqref="AT3:AT1006">
      <formula1>IF(ISTEXT(AP3),Datenpunkt_2_Spezifizierung,Spez2_leer)</formula1>
    </dataValidation>
    <dataValidation type="list" allowBlank="1" showInputMessage="1" showErrorMessage="1" sqref="AL3:AL1006">
      <formula1>IF(ISTEXT(AF3),Medium_3_Spezifizierung,Spez2_leer)</formula1>
    </dataValidation>
    <dataValidation type="list" allowBlank="1" showInputMessage="1" showErrorMessage="1" sqref="AJ3:AJ1006">
      <formula1>IF(ISTEXT(AF3),Medium_2_Spezifizierung,Spez2_leer)</formula1>
    </dataValidation>
  </dataValidations>
  <pageMargins left="0.7" right="0.7" top="0.78740157499999996" bottom="0.78740157499999996" header="0.3" footer="0.3"/>
  <pageSetup paperSize="9" orientation="portrait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23:C30"/>
  <sheetViews>
    <sheetView workbookViewId="0">
      <selection activeCell="I24" sqref="I24"/>
    </sheetView>
  </sheetViews>
  <sheetFormatPr baseColWidth="10" defaultRowHeight="15" x14ac:dyDescent="0.25"/>
  <cols>
    <col min="1" max="1" width="36.7109375" bestFit="1" customWidth="1"/>
  </cols>
  <sheetData>
    <row r="23" spans="1:3" x14ac:dyDescent="0.25">
      <c r="A23" t="s">
        <v>560</v>
      </c>
      <c r="B23" s="26">
        <v>1000</v>
      </c>
      <c r="C23" t="s">
        <v>849</v>
      </c>
    </row>
    <row r="24" spans="1:3" x14ac:dyDescent="0.25">
      <c r="A24" t="s">
        <v>527</v>
      </c>
      <c r="B24" t="s">
        <v>557</v>
      </c>
      <c r="C24" t="s">
        <v>920</v>
      </c>
    </row>
    <row r="25" spans="1:3" x14ac:dyDescent="0.25">
      <c r="A25" t="s">
        <v>566</v>
      </c>
      <c r="B25" t="s">
        <v>563</v>
      </c>
      <c r="C25" t="s">
        <v>841</v>
      </c>
    </row>
    <row r="26" spans="1:3" x14ac:dyDescent="0.25">
      <c r="A26" t="s">
        <v>827</v>
      </c>
      <c r="B26" t="s">
        <v>829</v>
      </c>
      <c r="C26" t="s">
        <v>842</v>
      </c>
    </row>
    <row r="27" spans="1:3" x14ac:dyDescent="0.25">
      <c r="A27" t="s">
        <v>828</v>
      </c>
      <c r="B27" t="s">
        <v>44</v>
      </c>
      <c r="C27" s="2" t="s">
        <v>842</v>
      </c>
    </row>
    <row r="28" spans="1:3" x14ac:dyDescent="0.25">
      <c r="A28" t="s">
        <v>826</v>
      </c>
      <c r="B28" t="s">
        <v>26</v>
      </c>
      <c r="C28" s="2" t="s">
        <v>842</v>
      </c>
    </row>
    <row r="29" spans="1:3" x14ac:dyDescent="0.25">
      <c r="A29" t="s">
        <v>850</v>
      </c>
    </row>
    <row r="30" spans="1:3" x14ac:dyDescent="0.25">
      <c r="A30" s="2" t="s">
        <v>851</v>
      </c>
    </row>
  </sheetData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translation!$B$90:$B$95</xm:f>
          </x14:formula1>
          <xm:sqref>B25</xm:sqref>
        </x14:dataValidation>
        <x14:dataValidation type="list" allowBlank="1" showInputMessage="1" showErrorMessage="1">
          <x14:formula1>
            <xm:f>translation!$B$66:$B$69</xm:f>
          </x14:formula1>
          <xm:sqref>B24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/>
  <dimension ref="A1:W95"/>
  <sheetViews>
    <sheetView topLeftCell="A51" workbookViewId="0">
      <selection activeCell="D67" sqref="D67"/>
    </sheetView>
  </sheetViews>
  <sheetFormatPr baseColWidth="10" defaultRowHeight="15" x14ac:dyDescent="0.25"/>
  <cols>
    <col min="1" max="1" width="14.85546875" customWidth="1"/>
    <col min="2" max="2" width="11.28515625" customWidth="1"/>
    <col min="3" max="3" width="22.28515625" customWidth="1"/>
    <col min="4" max="4" width="22.5703125" customWidth="1"/>
    <col min="5" max="5" width="16.7109375" customWidth="1"/>
    <col min="6" max="6" width="18.140625" style="2" customWidth="1"/>
    <col min="7" max="7" width="11.7109375" style="2" customWidth="1"/>
    <col min="8" max="8" width="7.5703125" customWidth="1"/>
    <col min="9" max="9" width="26.85546875" bestFit="1" customWidth="1"/>
    <col min="10" max="10" width="16.5703125" bestFit="1" customWidth="1"/>
    <col min="11" max="11" width="22.5703125" bestFit="1" customWidth="1"/>
    <col min="12" max="12" width="14.5703125" style="2" bestFit="1" customWidth="1"/>
    <col min="13" max="13" width="17.85546875" bestFit="1" customWidth="1"/>
    <col min="14" max="14" width="16" bestFit="1" customWidth="1"/>
    <col min="20" max="20" width="20.42578125" customWidth="1"/>
  </cols>
  <sheetData>
    <row r="1" spans="1:23" x14ac:dyDescent="0.25">
      <c r="A1" s="4" t="s">
        <v>911</v>
      </c>
      <c r="B1" s="4" t="s">
        <v>528</v>
      </c>
      <c r="C1" s="4" t="s">
        <v>557</v>
      </c>
      <c r="F1"/>
      <c r="G1"/>
      <c r="T1" s="29" t="s">
        <v>834</v>
      </c>
    </row>
    <row r="2" spans="1:23" x14ac:dyDescent="0.25">
      <c r="A2" s="4">
        <v>1</v>
      </c>
      <c r="B2" s="4" t="s">
        <v>548</v>
      </c>
      <c r="C2" s="4" t="s">
        <v>523</v>
      </c>
      <c r="F2"/>
      <c r="G2"/>
      <c r="T2" t="s">
        <v>830</v>
      </c>
      <c r="U2">
        <v>0</v>
      </c>
    </row>
    <row r="3" spans="1:23" x14ac:dyDescent="0.25">
      <c r="A3" s="4">
        <v>2</v>
      </c>
      <c r="B3" s="4" t="s">
        <v>549</v>
      </c>
      <c r="C3" s="4" t="s">
        <v>525</v>
      </c>
      <c r="F3"/>
      <c r="G3"/>
      <c r="T3" t="s">
        <v>909</v>
      </c>
      <c r="U3">
        <f>MATCH(INDEX(languages[[language]:[column_children]],MATCH(Language1,languages[language],0),2),abbreviation[#Headers],0)-1</f>
        <v>1</v>
      </c>
    </row>
    <row r="4" spans="1:23" x14ac:dyDescent="0.25">
      <c r="A4" s="4">
        <v>3</v>
      </c>
      <c r="B4" s="4" t="s">
        <v>553</v>
      </c>
      <c r="C4" s="4" t="s">
        <v>522</v>
      </c>
      <c r="F4"/>
      <c r="G4"/>
      <c r="T4" t="s">
        <v>910</v>
      </c>
      <c r="U4">
        <f>MATCH(INDEX(standards[[standard_name]:[comment]],MATCH(Standard,standards[standard_name],0),2),abbreviation[#Headers],0)-1</f>
        <v>3</v>
      </c>
    </row>
    <row r="5" spans="1:23" x14ac:dyDescent="0.25">
      <c r="A5" s="4">
        <v>4</v>
      </c>
      <c r="B5" s="4" t="s">
        <v>13</v>
      </c>
      <c r="C5" s="4" t="s">
        <v>13</v>
      </c>
      <c r="F5"/>
      <c r="G5"/>
    </row>
    <row r="6" spans="1:23" x14ac:dyDescent="0.25">
      <c r="A6" s="4">
        <v>5</v>
      </c>
      <c r="B6" s="4" t="s">
        <v>551</v>
      </c>
      <c r="C6" s="4" t="s">
        <v>545</v>
      </c>
      <c r="F6"/>
      <c r="G6"/>
      <c r="T6" s="29" t="s">
        <v>835</v>
      </c>
    </row>
    <row r="7" spans="1:23" x14ac:dyDescent="0.25">
      <c r="A7" s="4">
        <v>6</v>
      </c>
      <c r="B7" s="4" t="s">
        <v>555</v>
      </c>
      <c r="C7" s="4" t="s">
        <v>556</v>
      </c>
      <c r="F7"/>
      <c r="G7"/>
      <c r="T7" s="2" t="s">
        <v>830</v>
      </c>
      <c r="U7">
        <v>0</v>
      </c>
    </row>
    <row r="8" spans="1:23" x14ac:dyDescent="0.25">
      <c r="A8" s="4">
        <v>7</v>
      </c>
      <c r="B8" s="4" t="s">
        <v>513</v>
      </c>
      <c r="C8" s="4" t="s">
        <v>513</v>
      </c>
      <c r="E8" s="2"/>
      <c r="F8"/>
      <c r="G8"/>
      <c r="T8" s="2" t="s">
        <v>831</v>
      </c>
      <c r="V8">
        <f>MATCH(INDEX(languages[[language]:[column_children]],MATCH(Language1,languages[language],0),2),abbreviation[#Headers],0)</f>
        <v>2</v>
      </c>
    </row>
    <row r="9" spans="1:23" x14ac:dyDescent="0.25">
      <c r="A9" s="4">
        <v>8</v>
      </c>
      <c r="B9" s="4" t="s">
        <v>526</v>
      </c>
      <c r="C9" s="4" t="s">
        <v>526</v>
      </c>
      <c r="E9" s="2"/>
      <c r="F9"/>
      <c r="G9"/>
      <c r="T9" s="2" t="s">
        <v>832</v>
      </c>
      <c r="U9" s="2">
        <v>50000</v>
      </c>
      <c r="V9">
        <f>MATCH(INDEX(languages[[language]:[column_children]],MATCH(Language1,languages[language],0),2),view_category[#Headers],0)</f>
        <v>2</v>
      </c>
    </row>
    <row r="10" spans="1:23" x14ac:dyDescent="0.25">
      <c r="A10" s="4">
        <v>9</v>
      </c>
      <c r="B10" s="4" t="s">
        <v>42</v>
      </c>
      <c r="C10" s="4" t="s">
        <v>42</v>
      </c>
      <c r="E10" s="2"/>
      <c r="F10"/>
      <c r="G10"/>
    </row>
    <row r="11" spans="1:23" x14ac:dyDescent="0.25">
      <c r="A11" s="4">
        <v>10</v>
      </c>
      <c r="B11" s="4" t="s">
        <v>552</v>
      </c>
      <c r="C11" s="4" t="s">
        <v>544</v>
      </c>
      <c r="F11"/>
      <c r="G11"/>
    </row>
    <row r="12" spans="1:23" x14ac:dyDescent="0.25">
      <c r="A12" s="4">
        <v>11</v>
      </c>
      <c r="B12" s="4" t="s">
        <v>520</v>
      </c>
      <c r="C12" s="4" t="s">
        <v>16</v>
      </c>
      <c r="F12"/>
      <c r="G12"/>
    </row>
    <row r="13" spans="1:23" x14ac:dyDescent="0.25">
      <c r="A13" s="4">
        <v>12</v>
      </c>
      <c r="B13" s="4" t="s">
        <v>550</v>
      </c>
      <c r="C13" s="4" t="s">
        <v>546</v>
      </c>
      <c r="F13"/>
      <c r="G13"/>
    </row>
    <row r="14" spans="1:23" x14ac:dyDescent="0.25">
      <c r="A14" s="4">
        <v>13</v>
      </c>
      <c r="B14" s="4" t="s">
        <v>554</v>
      </c>
      <c r="C14" s="4" t="s">
        <v>524</v>
      </c>
      <c r="F14"/>
      <c r="G14"/>
      <c r="W14" s="2"/>
    </row>
    <row r="15" spans="1:23" x14ac:dyDescent="0.25">
      <c r="A15" s="4">
        <v>14</v>
      </c>
      <c r="B15" s="4" t="s">
        <v>527</v>
      </c>
      <c r="C15" s="4" t="s">
        <v>558</v>
      </c>
      <c r="G15"/>
      <c r="W15" s="2"/>
    </row>
    <row r="16" spans="1:23" x14ac:dyDescent="0.25">
      <c r="A16" s="4">
        <v>15</v>
      </c>
      <c r="B16" s="4" t="s">
        <v>560</v>
      </c>
      <c r="C16" s="4" t="s">
        <v>559</v>
      </c>
      <c r="F16"/>
      <c r="G16"/>
      <c r="W16" s="2"/>
    </row>
    <row r="17" spans="1:23" x14ac:dyDescent="0.25">
      <c r="A17" s="4">
        <v>16</v>
      </c>
      <c r="B17" s="4" t="s">
        <v>562</v>
      </c>
      <c r="C17" s="4" t="s">
        <v>561</v>
      </c>
      <c r="F17"/>
      <c r="G17"/>
      <c r="W17" s="2"/>
    </row>
    <row r="18" spans="1:23" x14ac:dyDescent="0.25">
      <c r="A18" s="4">
        <v>17</v>
      </c>
      <c r="B18" s="4" t="s">
        <v>809</v>
      </c>
      <c r="C18" s="4" t="s">
        <v>796</v>
      </c>
      <c r="F18"/>
      <c r="G18"/>
      <c r="W18" s="2"/>
    </row>
    <row r="19" spans="1:23" x14ac:dyDescent="0.25">
      <c r="A19" s="4">
        <v>18</v>
      </c>
      <c r="B19" s="4" t="s">
        <v>810</v>
      </c>
      <c r="C19" s="4" t="s">
        <v>529</v>
      </c>
      <c r="E19" s="2"/>
      <c r="F19"/>
      <c r="G19"/>
      <c r="W19" s="2"/>
    </row>
    <row r="20" spans="1:23" x14ac:dyDescent="0.25">
      <c r="A20" s="4">
        <v>19</v>
      </c>
      <c r="B20" s="4" t="s">
        <v>811</v>
      </c>
      <c r="C20" s="4" t="s">
        <v>530</v>
      </c>
      <c r="E20" s="2"/>
      <c r="F20"/>
      <c r="G20"/>
      <c r="W20" s="2"/>
    </row>
    <row r="21" spans="1:23" x14ac:dyDescent="0.25">
      <c r="A21" s="4">
        <v>20</v>
      </c>
      <c r="B21" s="4" t="s">
        <v>812</v>
      </c>
      <c r="C21" s="4" t="s">
        <v>531</v>
      </c>
      <c r="E21" s="2"/>
      <c r="F21"/>
      <c r="G21"/>
      <c r="W21" s="2"/>
    </row>
    <row r="22" spans="1:23" x14ac:dyDescent="0.25">
      <c r="A22" s="4">
        <v>21</v>
      </c>
      <c r="B22" s="4" t="s">
        <v>813</v>
      </c>
      <c r="C22" s="4" t="s">
        <v>532</v>
      </c>
      <c r="E22" s="2"/>
      <c r="F22"/>
      <c r="G22"/>
    </row>
    <row r="23" spans="1:23" x14ac:dyDescent="0.25">
      <c r="A23" s="4">
        <v>22</v>
      </c>
      <c r="B23" s="4" t="s">
        <v>807</v>
      </c>
      <c r="C23" s="4" t="s">
        <v>533</v>
      </c>
      <c r="F23"/>
      <c r="G23"/>
    </row>
    <row r="24" spans="1:23" x14ac:dyDescent="0.25">
      <c r="A24" s="4">
        <v>23</v>
      </c>
      <c r="B24" s="4" t="s">
        <v>808</v>
      </c>
      <c r="C24" s="4" t="s">
        <v>534</v>
      </c>
      <c r="F24"/>
      <c r="G24"/>
    </row>
    <row r="25" spans="1:23" x14ac:dyDescent="0.25">
      <c r="A25" s="4">
        <v>24</v>
      </c>
      <c r="B25" s="4" t="s">
        <v>824</v>
      </c>
      <c r="C25" s="4" t="s">
        <v>535</v>
      </c>
      <c r="E25" s="2"/>
      <c r="F25"/>
      <c r="G25"/>
    </row>
    <row r="26" spans="1:23" x14ac:dyDescent="0.25">
      <c r="A26" s="4">
        <v>25</v>
      </c>
      <c r="B26" s="4" t="s">
        <v>825</v>
      </c>
      <c r="C26" s="4" t="s">
        <v>536</v>
      </c>
      <c r="E26" s="2"/>
      <c r="F26"/>
      <c r="G26"/>
    </row>
    <row r="27" spans="1:23" x14ac:dyDescent="0.25">
      <c r="A27" s="4">
        <v>26</v>
      </c>
      <c r="B27" s="4" t="s">
        <v>806</v>
      </c>
      <c r="C27" s="4" t="s">
        <v>541</v>
      </c>
      <c r="F27"/>
      <c r="G27"/>
    </row>
    <row r="28" spans="1:23" x14ac:dyDescent="0.25">
      <c r="A28" s="4">
        <v>27</v>
      </c>
      <c r="B28" s="4" t="s">
        <v>42</v>
      </c>
      <c r="C28" s="4" t="s">
        <v>42</v>
      </c>
      <c r="E28" s="2"/>
      <c r="F28"/>
      <c r="G28"/>
    </row>
    <row r="29" spans="1:23" x14ac:dyDescent="0.25">
      <c r="A29" s="4">
        <v>28</v>
      </c>
      <c r="B29" s="4" t="s">
        <v>821</v>
      </c>
      <c r="C29" s="4" t="s">
        <v>537</v>
      </c>
      <c r="E29" s="2"/>
      <c r="F29"/>
      <c r="G29"/>
    </row>
    <row r="30" spans="1:23" x14ac:dyDescent="0.25">
      <c r="A30" s="4">
        <v>29</v>
      </c>
      <c r="B30" s="4" t="s">
        <v>822</v>
      </c>
      <c r="C30" s="4" t="s">
        <v>538</v>
      </c>
      <c r="E30" s="2"/>
      <c r="F30"/>
      <c r="G30"/>
    </row>
    <row r="31" spans="1:23" x14ac:dyDescent="0.25">
      <c r="A31" s="4">
        <v>30</v>
      </c>
      <c r="B31" s="4" t="s">
        <v>823</v>
      </c>
      <c r="C31" s="4" t="s">
        <v>539</v>
      </c>
      <c r="E31" s="2"/>
      <c r="F31"/>
      <c r="G31"/>
    </row>
    <row r="32" spans="1:23" x14ac:dyDescent="0.25">
      <c r="A32" s="4">
        <v>31</v>
      </c>
      <c r="B32" s="4" t="s">
        <v>542</v>
      </c>
      <c r="C32" s="4" t="s">
        <v>542</v>
      </c>
      <c r="E32" s="2"/>
      <c r="F32"/>
      <c r="G32"/>
    </row>
    <row r="33" spans="1:7" x14ac:dyDescent="0.25">
      <c r="A33" s="4">
        <v>32</v>
      </c>
      <c r="B33" s="4" t="s">
        <v>820</v>
      </c>
      <c r="C33" s="4" t="s">
        <v>804</v>
      </c>
      <c r="E33" s="2"/>
      <c r="F33"/>
      <c r="G33"/>
    </row>
    <row r="34" spans="1:7" x14ac:dyDescent="0.25">
      <c r="A34" s="4">
        <v>33</v>
      </c>
      <c r="B34" s="4" t="s">
        <v>819</v>
      </c>
      <c r="C34" s="4" t="s">
        <v>805</v>
      </c>
      <c r="E34" s="2"/>
      <c r="F34"/>
      <c r="G34"/>
    </row>
    <row r="35" spans="1:7" x14ac:dyDescent="0.25">
      <c r="A35" s="4">
        <v>34</v>
      </c>
      <c r="B35" s="4" t="s">
        <v>803</v>
      </c>
      <c r="C35" s="4" t="s">
        <v>543</v>
      </c>
      <c r="F35"/>
      <c r="G35"/>
    </row>
    <row r="36" spans="1:7" x14ac:dyDescent="0.25">
      <c r="A36" s="4">
        <v>35</v>
      </c>
      <c r="B36" s="4" t="s">
        <v>814</v>
      </c>
      <c r="C36" s="4" t="s">
        <v>797</v>
      </c>
      <c r="E36" s="2"/>
      <c r="F36"/>
      <c r="G36"/>
    </row>
    <row r="37" spans="1:7" x14ac:dyDescent="0.25">
      <c r="A37" s="4">
        <v>36</v>
      </c>
      <c r="B37" s="4" t="s">
        <v>815</v>
      </c>
      <c r="C37" s="4" t="s">
        <v>798</v>
      </c>
      <c r="E37" s="2"/>
      <c r="G37"/>
    </row>
    <row r="38" spans="1:7" x14ac:dyDescent="0.25">
      <c r="A38" s="4">
        <v>37</v>
      </c>
      <c r="B38" s="4" t="s">
        <v>816</v>
      </c>
      <c r="C38" s="4" t="s">
        <v>799</v>
      </c>
      <c r="E38" s="2"/>
      <c r="G38"/>
    </row>
    <row r="39" spans="1:7" x14ac:dyDescent="0.25">
      <c r="A39" s="4">
        <v>38</v>
      </c>
      <c r="B39" s="4" t="s">
        <v>817</v>
      </c>
      <c r="C39" s="4" t="s">
        <v>800</v>
      </c>
      <c r="E39" s="2"/>
      <c r="G39"/>
    </row>
    <row r="40" spans="1:7" x14ac:dyDescent="0.25">
      <c r="A40" s="4">
        <v>39</v>
      </c>
      <c r="B40" s="4" t="s">
        <v>818</v>
      </c>
      <c r="C40" s="4" t="s">
        <v>801</v>
      </c>
      <c r="E40" s="2"/>
      <c r="G40"/>
    </row>
    <row r="41" spans="1:7" x14ac:dyDescent="0.25">
      <c r="A41" s="4">
        <v>40</v>
      </c>
      <c r="B41" s="4" t="s">
        <v>802</v>
      </c>
      <c r="C41" s="4" t="s">
        <v>540</v>
      </c>
      <c r="F41"/>
      <c r="G41"/>
    </row>
    <row r="59" spans="4:11" x14ac:dyDescent="0.25">
      <c r="I59" s="2"/>
    </row>
    <row r="60" spans="4:11" x14ac:dyDescent="0.25">
      <c r="D60" s="4"/>
      <c r="H60" s="4"/>
      <c r="I60" s="4"/>
      <c r="J60" s="4"/>
      <c r="K60" s="4"/>
    </row>
    <row r="61" spans="4:11" x14ac:dyDescent="0.25">
      <c r="D61" s="4"/>
      <c r="H61" s="4"/>
      <c r="I61" s="4"/>
      <c r="J61" s="4"/>
      <c r="K61" s="4"/>
    </row>
    <row r="65" spans="1:8" x14ac:dyDescent="0.25">
      <c r="A65" s="4" t="s">
        <v>892</v>
      </c>
      <c r="B65" s="4" t="s">
        <v>893</v>
      </c>
      <c r="C65" s="4" t="s">
        <v>894</v>
      </c>
      <c r="D65" s="4" t="s">
        <v>895</v>
      </c>
      <c r="E65" s="4" t="s">
        <v>896</v>
      </c>
      <c r="F65" s="4" t="s">
        <v>897</v>
      </c>
      <c r="G65" s="4" t="s">
        <v>17</v>
      </c>
      <c r="H65" s="4"/>
    </row>
    <row r="66" spans="1:8" x14ac:dyDescent="0.25">
      <c r="A66" s="4">
        <v>1</v>
      </c>
      <c r="B66" s="4" t="s">
        <v>557</v>
      </c>
      <c r="C66" s="4" t="s">
        <v>901</v>
      </c>
      <c r="D66" s="4" t="s">
        <v>12</v>
      </c>
      <c r="E66" s="4" t="s">
        <v>883</v>
      </c>
      <c r="F66" s="4" t="s">
        <v>885</v>
      </c>
      <c r="G66" s="4" t="s">
        <v>29</v>
      </c>
      <c r="H66" s="4"/>
    </row>
    <row r="67" spans="1:8" x14ac:dyDescent="0.25">
      <c r="A67" s="4">
        <v>2</v>
      </c>
      <c r="B67" s="4" t="s">
        <v>528</v>
      </c>
      <c r="C67" s="4" t="s">
        <v>902</v>
      </c>
      <c r="D67" s="4" t="s">
        <v>14</v>
      </c>
      <c r="E67" s="4" t="s">
        <v>884</v>
      </c>
      <c r="F67" s="4" t="s">
        <v>886</v>
      </c>
      <c r="G67" s="4" t="s">
        <v>29</v>
      </c>
      <c r="H67" s="4"/>
    </row>
    <row r="68" spans="1:8" x14ac:dyDescent="0.25">
      <c r="A68" s="4">
        <v>3</v>
      </c>
      <c r="B68" s="4" t="s">
        <v>912</v>
      </c>
      <c r="C68" s="4" t="s">
        <v>29</v>
      </c>
      <c r="D68" s="4" t="s">
        <v>29</v>
      </c>
      <c r="E68" s="4" t="s">
        <v>29</v>
      </c>
      <c r="F68" s="4" t="s">
        <v>29</v>
      </c>
      <c r="G68" s="4" t="s">
        <v>29</v>
      </c>
    </row>
    <row r="69" spans="1:8" x14ac:dyDescent="0.25">
      <c r="A69" s="4">
        <v>4</v>
      </c>
      <c r="B69" s="4" t="s">
        <v>913</v>
      </c>
      <c r="C69" s="4" t="s">
        <v>29</v>
      </c>
      <c r="D69" s="4" t="s">
        <v>29</v>
      </c>
      <c r="E69" s="4" t="s">
        <v>29</v>
      </c>
      <c r="F69" s="4" t="s">
        <v>29</v>
      </c>
      <c r="G69" s="4" t="s">
        <v>29</v>
      </c>
    </row>
    <row r="72" spans="1:8" x14ac:dyDescent="0.25">
      <c r="B72" t="str">
        <f>VLOOKUP(Language1,languages[[language]:[comment]],2,FALSE)</f>
        <v>name_german</v>
      </c>
    </row>
    <row r="89" spans="1:6" x14ac:dyDescent="0.25">
      <c r="A89" s="4" t="s">
        <v>907</v>
      </c>
      <c r="B89" s="4" t="s">
        <v>908</v>
      </c>
      <c r="C89" s="4" t="s">
        <v>894</v>
      </c>
      <c r="D89" s="4" t="s">
        <v>17</v>
      </c>
    </row>
    <row r="90" spans="1:6" x14ac:dyDescent="0.25">
      <c r="A90" s="4">
        <v>1</v>
      </c>
      <c r="B90" s="4" t="s">
        <v>563</v>
      </c>
      <c r="C90" s="4" t="s">
        <v>903</v>
      </c>
      <c r="D90" s="4" t="s">
        <v>29</v>
      </c>
    </row>
    <row r="91" spans="1:6" x14ac:dyDescent="0.25">
      <c r="A91" s="4">
        <v>2</v>
      </c>
      <c r="B91" s="4" t="s">
        <v>564</v>
      </c>
      <c r="C91" s="4" t="s">
        <v>29</v>
      </c>
      <c r="D91" s="4" t="s">
        <v>29</v>
      </c>
      <c r="F91" s="2">
        <f>MATCH(INDEX(standards[[standard_name]:[comment]],MATCH(Standard,standards[standard_name],0),2),abbreviation[#Headers],0)-1</f>
        <v>3</v>
      </c>
    </row>
    <row r="92" spans="1:6" x14ac:dyDescent="0.25">
      <c r="A92" s="4">
        <v>4</v>
      </c>
      <c r="B92" s="4" t="s">
        <v>565</v>
      </c>
      <c r="C92" s="4" t="s">
        <v>29</v>
      </c>
      <c r="D92" s="4" t="s">
        <v>29</v>
      </c>
    </row>
    <row r="93" spans="1:6" x14ac:dyDescent="0.25">
      <c r="A93" s="4">
        <v>5</v>
      </c>
      <c r="B93" s="4" t="s">
        <v>914</v>
      </c>
      <c r="C93" s="4" t="s">
        <v>29</v>
      </c>
      <c r="D93" s="4" t="s">
        <v>29</v>
      </c>
    </row>
    <row r="94" spans="1:6" x14ac:dyDescent="0.25">
      <c r="A94" s="4">
        <v>6</v>
      </c>
      <c r="B94" s="4" t="s">
        <v>915</v>
      </c>
      <c r="C94" s="4" t="s">
        <v>29</v>
      </c>
      <c r="D94" s="4" t="s">
        <v>29</v>
      </c>
    </row>
    <row r="95" spans="1:6" x14ac:dyDescent="0.25">
      <c r="A95" s="4">
        <v>7</v>
      </c>
      <c r="B95" s="4" t="s">
        <v>916</v>
      </c>
      <c r="C95" s="4" t="s">
        <v>29</v>
      </c>
      <c r="D95" s="4" t="s">
        <v>29</v>
      </c>
    </row>
  </sheetData>
  <pageMargins left="0.7" right="0.7" top="0.78740157499999996" bottom="0.78740157499999996" header="0.3" footer="0.3"/>
  <pageSetup paperSize="9" orientation="portrait" horizontalDpi="1200" verticalDpi="1200" r:id="rId1"/>
  <tableParts count="3">
    <tablePart r:id="rId2"/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E263"/>
  <sheetViews>
    <sheetView workbookViewId="0">
      <selection activeCell="E19" sqref="E19"/>
    </sheetView>
  </sheetViews>
  <sheetFormatPr baseColWidth="10" defaultRowHeight="15" x14ac:dyDescent="0.25"/>
  <cols>
    <col min="1" max="1" width="17.28515625" bestFit="1" customWidth="1"/>
    <col min="2" max="2" width="36.28515625" bestFit="1" customWidth="1"/>
    <col min="3" max="3" width="29.85546875" bestFit="1" customWidth="1"/>
    <col min="4" max="4" width="11.85546875" bestFit="1" customWidth="1"/>
    <col min="5" max="5" width="44.5703125" bestFit="1" customWidth="1"/>
  </cols>
  <sheetData>
    <row r="1" spans="1:5" x14ac:dyDescent="0.25">
      <c r="A1" s="4" t="s">
        <v>19</v>
      </c>
      <c r="B1" s="4" t="s">
        <v>901</v>
      </c>
      <c r="C1" s="4" t="s">
        <v>902</v>
      </c>
      <c r="D1" s="4" t="s">
        <v>903</v>
      </c>
      <c r="E1" s="4" t="s">
        <v>17</v>
      </c>
    </row>
    <row r="2" spans="1:5" x14ac:dyDescent="0.25">
      <c r="A2" s="4">
        <v>1</v>
      </c>
      <c r="B2" s="4" t="s">
        <v>29</v>
      </c>
      <c r="C2" s="4" t="s">
        <v>29</v>
      </c>
      <c r="D2" s="4" t="s">
        <v>29</v>
      </c>
      <c r="E2" s="4" t="s">
        <v>29</v>
      </c>
    </row>
    <row r="3" spans="1:5" x14ac:dyDescent="0.25">
      <c r="A3" s="4">
        <v>2</v>
      </c>
      <c r="B3" s="4" t="s">
        <v>45</v>
      </c>
      <c r="C3" s="4" t="s">
        <v>836</v>
      </c>
      <c r="D3" s="4" t="s">
        <v>837</v>
      </c>
      <c r="E3" s="4" t="s">
        <v>29</v>
      </c>
    </row>
    <row r="4" spans="1:5" x14ac:dyDescent="0.25">
      <c r="A4" s="4">
        <v>3</v>
      </c>
      <c r="B4" s="4" t="s">
        <v>0</v>
      </c>
      <c r="C4" s="4" t="s">
        <v>567</v>
      </c>
      <c r="D4" s="4" t="s">
        <v>46</v>
      </c>
      <c r="E4" s="4" t="s">
        <v>29</v>
      </c>
    </row>
    <row r="5" spans="1:5" x14ac:dyDescent="0.25">
      <c r="A5" s="4">
        <v>4</v>
      </c>
      <c r="B5" s="4" t="s">
        <v>47</v>
      </c>
      <c r="C5" s="4" t="s">
        <v>568</v>
      </c>
      <c r="D5" s="4" t="s">
        <v>48</v>
      </c>
      <c r="E5" s="4" t="s">
        <v>29</v>
      </c>
    </row>
    <row r="6" spans="1:5" x14ac:dyDescent="0.25">
      <c r="A6" s="4">
        <v>5</v>
      </c>
      <c r="B6" s="4" t="s">
        <v>49</v>
      </c>
      <c r="C6" s="4" t="s">
        <v>569</v>
      </c>
      <c r="D6" s="4" t="s">
        <v>50</v>
      </c>
      <c r="E6" s="4" t="s">
        <v>29</v>
      </c>
    </row>
    <row r="7" spans="1:5" x14ac:dyDescent="0.25">
      <c r="A7" s="4">
        <v>6</v>
      </c>
      <c r="B7" s="4" t="s">
        <v>51</v>
      </c>
      <c r="C7" s="4" t="s">
        <v>570</v>
      </c>
      <c r="D7" s="4" t="s">
        <v>52</v>
      </c>
      <c r="E7" s="4" t="s">
        <v>29</v>
      </c>
    </row>
    <row r="8" spans="1:5" x14ac:dyDescent="0.25">
      <c r="A8" s="4">
        <v>7</v>
      </c>
      <c r="B8" s="4" t="s">
        <v>53</v>
      </c>
      <c r="C8" s="4" t="s">
        <v>571</v>
      </c>
      <c r="D8" s="4" t="s">
        <v>54</v>
      </c>
      <c r="E8" s="4" t="s">
        <v>29</v>
      </c>
    </row>
    <row r="9" spans="1:5" x14ac:dyDescent="0.25">
      <c r="A9" s="4">
        <v>8</v>
      </c>
      <c r="B9" s="4" t="s">
        <v>30</v>
      </c>
      <c r="C9" s="4" t="s">
        <v>572</v>
      </c>
      <c r="D9" s="4" t="s">
        <v>55</v>
      </c>
      <c r="E9" s="4" t="s">
        <v>29</v>
      </c>
    </row>
    <row r="10" spans="1:5" x14ac:dyDescent="0.25">
      <c r="A10" s="4">
        <v>9</v>
      </c>
      <c r="B10" s="4" t="s">
        <v>56</v>
      </c>
      <c r="C10" s="4" t="s">
        <v>573</v>
      </c>
      <c r="D10" s="4" t="s">
        <v>57</v>
      </c>
      <c r="E10" s="4" t="s">
        <v>29</v>
      </c>
    </row>
    <row r="11" spans="1:5" x14ac:dyDescent="0.25">
      <c r="A11" s="4">
        <v>10</v>
      </c>
      <c r="B11" s="4" t="s">
        <v>58</v>
      </c>
      <c r="C11" s="4" t="s">
        <v>574</v>
      </c>
      <c r="D11" s="4" t="s">
        <v>59</v>
      </c>
      <c r="E11" s="4" t="s">
        <v>29</v>
      </c>
    </row>
    <row r="12" spans="1:5" x14ac:dyDescent="0.25">
      <c r="A12" s="4">
        <v>11</v>
      </c>
      <c r="B12" s="4" t="s">
        <v>60</v>
      </c>
      <c r="C12" s="4" t="s">
        <v>575</v>
      </c>
      <c r="D12" s="4" t="s">
        <v>61</v>
      </c>
      <c r="E12" s="4" t="s">
        <v>29</v>
      </c>
    </row>
    <row r="13" spans="1:5" x14ac:dyDescent="0.25">
      <c r="A13" s="4">
        <v>12</v>
      </c>
      <c r="B13" s="4" t="s">
        <v>1</v>
      </c>
      <c r="C13" s="4" t="s">
        <v>840</v>
      </c>
      <c r="D13" s="4" t="s">
        <v>62</v>
      </c>
      <c r="E13" s="4" t="s">
        <v>29</v>
      </c>
    </row>
    <row r="14" spans="1:5" x14ac:dyDescent="0.25">
      <c r="A14" s="4">
        <v>13</v>
      </c>
      <c r="B14" s="4" t="s">
        <v>2</v>
      </c>
      <c r="C14" s="4" t="s">
        <v>576</v>
      </c>
      <c r="D14" s="4" t="s">
        <v>63</v>
      </c>
      <c r="E14" s="4" t="s">
        <v>29</v>
      </c>
    </row>
    <row r="15" spans="1:5" x14ac:dyDescent="0.25">
      <c r="A15" s="4">
        <v>14</v>
      </c>
      <c r="B15" s="4" t="s">
        <v>64</v>
      </c>
      <c r="C15" s="4" t="s">
        <v>577</v>
      </c>
      <c r="D15" s="4" t="s">
        <v>65</v>
      </c>
      <c r="E15" s="4" t="s">
        <v>29</v>
      </c>
    </row>
    <row r="16" spans="1:5" x14ac:dyDescent="0.25">
      <c r="A16" s="4">
        <v>15</v>
      </c>
      <c r="B16" s="4" t="s">
        <v>3</v>
      </c>
      <c r="C16" s="4" t="s">
        <v>578</v>
      </c>
      <c r="D16" s="4" t="s">
        <v>66</v>
      </c>
      <c r="E16" s="4" t="s">
        <v>29</v>
      </c>
    </row>
    <row r="17" spans="1:5" x14ac:dyDescent="0.25">
      <c r="A17" s="4">
        <v>16</v>
      </c>
      <c r="B17" s="4" t="s">
        <v>67</v>
      </c>
      <c r="C17" s="4" t="s">
        <v>579</v>
      </c>
      <c r="D17" s="4" t="s">
        <v>68</v>
      </c>
      <c r="E17" s="4" t="s">
        <v>29</v>
      </c>
    </row>
    <row r="18" spans="1:5" x14ac:dyDescent="0.25">
      <c r="A18" s="4">
        <v>17</v>
      </c>
      <c r="B18" s="4" t="s">
        <v>69</v>
      </c>
      <c r="C18" s="4" t="s">
        <v>580</v>
      </c>
      <c r="D18" s="4" t="s">
        <v>70</v>
      </c>
      <c r="E18" s="4" t="s">
        <v>29</v>
      </c>
    </row>
    <row r="19" spans="1:5" x14ac:dyDescent="0.25">
      <c r="A19" s="4">
        <v>18</v>
      </c>
      <c r="B19" s="4" t="s">
        <v>71</v>
      </c>
      <c r="C19" s="4" t="s">
        <v>581</v>
      </c>
      <c r="D19" s="4" t="s">
        <v>72</v>
      </c>
      <c r="E19" s="4" t="s">
        <v>29</v>
      </c>
    </row>
    <row r="20" spans="1:5" x14ac:dyDescent="0.25">
      <c r="A20" s="4">
        <v>19</v>
      </c>
      <c r="B20" s="4" t="s">
        <v>73</v>
      </c>
      <c r="C20" s="4" t="s">
        <v>582</v>
      </c>
      <c r="D20" s="4" t="s">
        <v>74</v>
      </c>
      <c r="E20" s="4" t="s">
        <v>29</v>
      </c>
    </row>
    <row r="21" spans="1:5" x14ac:dyDescent="0.25">
      <c r="A21" s="4">
        <v>20</v>
      </c>
      <c r="B21" s="4" t="s">
        <v>4</v>
      </c>
      <c r="C21" s="4" t="s">
        <v>583</v>
      </c>
      <c r="D21" s="4" t="s">
        <v>75</v>
      </c>
      <c r="E21" s="4" t="s">
        <v>29</v>
      </c>
    </row>
    <row r="22" spans="1:5" x14ac:dyDescent="0.25">
      <c r="A22" s="4">
        <v>21</v>
      </c>
      <c r="B22" s="4" t="s">
        <v>5</v>
      </c>
      <c r="C22" s="4" t="s">
        <v>584</v>
      </c>
      <c r="D22" s="4" t="s">
        <v>76</v>
      </c>
      <c r="E22" s="4" t="s">
        <v>29</v>
      </c>
    </row>
    <row r="23" spans="1:5" x14ac:dyDescent="0.25">
      <c r="A23" s="4">
        <v>22</v>
      </c>
      <c r="B23" s="4" t="s">
        <v>6</v>
      </c>
      <c r="C23" s="4" t="s">
        <v>585</v>
      </c>
      <c r="D23" s="4" t="s">
        <v>77</v>
      </c>
      <c r="E23" s="4" t="s">
        <v>29</v>
      </c>
    </row>
    <row r="24" spans="1:5" x14ac:dyDescent="0.25">
      <c r="A24" s="4">
        <v>23</v>
      </c>
      <c r="B24" s="4" t="s">
        <v>7</v>
      </c>
      <c r="C24" s="4" t="s">
        <v>586</v>
      </c>
      <c r="D24" s="4" t="s">
        <v>78</v>
      </c>
      <c r="E24" s="4" t="s">
        <v>29</v>
      </c>
    </row>
    <row r="25" spans="1:5" x14ac:dyDescent="0.25">
      <c r="A25" s="4">
        <v>24</v>
      </c>
      <c r="B25" s="4" t="s">
        <v>8</v>
      </c>
      <c r="C25" s="4" t="s">
        <v>587</v>
      </c>
      <c r="D25" s="4" t="s">
        <v>79</v>
      </c>
      <c r="E25" s="4" t="s">
        <v>29</v>
      </c>
    </row>
    <row r="26" spans="1:5" x14ac:dyDescent="0.25">
      <c r="A26" s="4">
        <v>25</v>
      </c>
      <c r="B26" s="4" t="s">
        <v>9</v>
      </c>
      <c r="C26" s="4" t="s">
        <v>588</v>
      </c>
      <c r="D26" s="4" t="s">
        <v>80</v>
      </c>
      <c r="E26" s="4" t="s">
        <v>29</v>
      </c>
    </row>
    <row r="27" spans="1:5" x14ac:dyDescent="0.25">
      <c r="A27" s="4">
        <v>26</v>
      </c>
      <c r="B27" s="4" t="s">
        <v>81</v>
      </c>
      <c r="C27" s="4" t="s">
        <v>589</v>
      </c>
      <c r="D27" s="4" t="s">
        <v>82</v>
      </c>
      <c r="E27" s="4" t="s">
        <v>29</v>
      </c>
    </row>
    <row r="28" spans="1:5" x14ac:dyDescent="0.25">
      <c r="A28" s="4">
        <v>27</v>
      </c>
      <c r="B28" s="4" t="s">
        <v>10</v>
      </c>
      <c r="C28" s="4" t="s">
        <v>590</v>
      </c>
      <c r="D28" s="4" t="s">
        <v>83</v>
      </c>
      <c r="E28" s="4" t="s">
        <v>29</v>
      </c>
    </row>
    <row r="29" spans="1:5" x14ac:dyDescent="0.25">
      <c r="A29" s="4">
        <v>28</v>
      </c>
      <c r="B29" s="4" t="s">
        <v>84</v>
      </c>
      <c r="C29" s="4" t="s">
        <v>591</v>
      </c>
      <c r="D29" s="4" t="s">
        <v>85</v>
      </c>
      <c r="E29" s="4" t="s">
        <v>29</v>
      </c>
    </row>
    <row r="30" spans="1:5" x14ac:dyDescent="0.25">
      <c r="A30" s="4">
        <v>29</v>
      </c>
      <c r="B30" s="4" t="s">
        <v>86</v>
      </c>
      <c r="C30" s="4" t="s">
        <v>592</v>
      </c>
      <c r="D30" s="4" t="s">
        <v>87</v>
      </c>
      <c r="E30" s="4" t="s">
        <v>29</v>
      </c>
    </row>
    <row r="31" spans="1:5" x14ac:dyDescent="0.25">
      <c r="A31" s="4">
        <v>30</v>
      </c>
      <c r="B31" s="4" t="s">
        <v>88</v>
      </c>
      <c r="C31" s="4" t="s">
        <v>593</v>
      </c>
      <c r="D31" s="4" t="s">
        <v>89</v>
      </c>
      <c r="E31" s="4" t="s">
        <v>29</v>
      </c>
    </row>
    <row r="32" spans="1:5" x14ac:dyDescent="0.25">
      <c r="A32" s="4">
        <v>31</v>
      </c>
      <c r="B32" s="4" t="s">
        <v>90</v>
      </c>
      <c r="C32" s="4" t="s">
        <v>594</v>
      </c>
      <c r="D32" s="4" t="s">
        <v>91</v>
      </c>
      <c r="E32" s="4" t="s">
        <v>29</v>
      </c>
    </row>
    <row r="33" spans="1:5" x14ac:dyDescent="0.25">
      <c r="A33" s="4">
        <v>32</v>
      </c>
      <c r="B33" s="4" t="s">
        <v>92</v>
      </c>
      <c r="C33" s="4" t="s">
        <v>595</v>
      </c>
      <c r="D33" s="4" t="s">
        <v>93</v>
      </c>
      <c r="E33" s="4" t="s">
        <v>29</v>
      </c>
    </row>
    <row r="34" spans="1:5" x14ac:dyDescent="0.25">
      <c r="A34" s="4">
        <v>33</v>
      </c>
      <c r="B34" s="4" t="s">
        <v>94</v>
      </c>
      <c r="C34" s="4" t="s">
        <v>596</v>
      </c>
      <c r="D34" s="4" t="s">
        <v>95</v>
      </c>
      <c r="E34" s="4" t="s">
        <v>29</v>
      </c>
    </row>
    <row r="35" spans="1:5" x14ac:dyDescent="0.25">
      <c r="A35" s="4">
        <v>34</v>
      </c>
      <c r="B35" s="4" t="s">
        <v>96</v>
      </c>
      <c r="C35" s="4" t="s">
        <v>597</v>
      </c>
      <c r="D35" s="4" t="s">
        <v>97</v>
      </c>
      <c r="E35" s="4" t="s">
        <v>29</v>
      </c>
    </row>
    <row r="36" spans="1:5" x14ac:dyDescent="0.25">
      <c r="A36" s="4">
        <v>35</v>
      </c>
      <c r="B36" s="4" t="s">
        <v>598</v>
      </c>
      <c r="C36" s="4" t="s">
        <v>852</v>
      </c>
      <c r="D36" s="4" t="s">
        <v>599</v>
      </c>
      <c r="E36" s="4" t="s">
        <v>600</v>
      </c>
    </row>
    <row r="37" spans="1:5" x14ac:dyDescent="0.25">
      <c r="A37" s="4">
        <v>36</v>
      </c>
      <c r="B37" s="4" t="s">
        <v>601</v>
      </c>
      <c r="C37" s="4" t="s">
        <v>853</v>
      </c>
      <c r="D37" s="4" t="s">
        <v>602</v>
      </c>
      <c r="E37" s="4" t="s">
        <v>603</v>
      </c>
    </row>
    <row r="38" spans="1:5" x14ac:dyDescent="0.25">
      <c r="A38" s="4">
        <v>37</v>
      </c>
      <c r="B38" s="4" t="s">
        <v>98</v>
      </c>
      <c r="C38" s="4" t="s">
        <v>604</v>
      </c>
      <c r="D38" s="4" t="s">
        <v>99</v>
      </c>
      <c r="E38" s="4" t="s">
        <v>29</v>
      </c>
    </row>
    <row r="39" spans="1:5" x14ac:dyDescent="0.25">
      <c r="A39" s="4">
        <v>38</v>
      </c>
      <c r="B39" s="4" t="s">
        <v>100</v>
      </c>
      <c r="C39" s="4" t="s">
        <v>605</v>
      </c>
      <c r="D39" s="4" t="s">
        <v>101</v>
      </c>
      <c r="E39" s="4" t="s">
        <v>29</v>
      </c>
    </row>
    <row r="40" spans="1:5" x14ac:dyDescent="0.25">
      <c r="A40" s="4">
        <v>39</v>
      </c>
      <c r="B40" s="4" t="s">
        <v>102</v>
      </c>
      <c r="C40" s="4" t="s">
        <v>606</v>
      </c>
      <c r="D40" s="4" t="s">
        <v>103</v>
      </c>
      <c r="E40" s="4" t="s">
        <v>29</v>
      </c>
    </row>
    <row r="41" spans="1:5" x14ac:dyDescent="0.25">
      <c r="A41" s="4">
        <v>40</v>
      </c>
      <c r="B41" s="4" t="s">
        <v>104</v>
      </c>
      <c r="C41" s="4" t="s">
        <v>607</v>
      </c>
      <c r="D41" s="4" t="s">
        <v>105</v>
      </c>
      <c r="E41" s="4" t="s">
        <v>29</v>
      </c>
    </row>
    <row r="42" spans="1:5" x14ac:dyDescent="0.25">
      <c r="A42" s="4">
        <v>41</v>
      </c>
      <c r="B42" s="4" t="s">
        <v>106</v>
      </c>
      <c r="C42" s="4" t="s">
        <v>609</v>
      </c>
      <c r="D42" s="4" t="s">
        <v>107</v>
      </c>
      <c r="E42" s="4" t="s">
        <v>29</v>
      </c>
    </row>
    <row r="43" spans="1:5" x14ac:dyDescent="0.25">
      <c r="A43" s="4">
        <v>42</v>
      </c>
      <c r="B43" s="4" t="s">
        <v>108</v>
      </c>
      <c r="C43" s="4" t="s">
        <v>854</v>
      </c>
      <c r="D43" s="4" t="s">
        <v>109</v>
      </c>
      <c r="E43" s="4" t="s">
        <v>29</v>
      </c>
    </row>
    <row r="44" spans="1:5" x14ac:dyDescent="0.25">
      <c r="A44" s="4">
        <v>43</v>
      </c>
      <c r="B44" s="4" t="s">
        <v>110</v>
      </c>
      <c r="C44" s="4" t="s">
        <v>610</v>
      </c>
      <c r="D44" s="4" t="s">
        <v>111</v>
      </c>
      <c r="E44" s="4" t="s">
        <v>29</v>
      </c>
    </row>
    <row r="45" spans="1:5" x14ac:dyDescent="0.25">
      <c r="A45" s="4">
        <v>44</v>
      </c>
      <c r="B45" s="4" t="s">
        <v>112</v>
      </c>
      <c r="C45" s="4" t="s">
        <v>611</v>
      </c>
      <c r="D45" s="4" t="s">
        <v>62</v>
      </c>
      <c r="E45" s="4" t="s">
        <v>29</v>
      </c>
    </row>
    <row r="46" spans="1:5" x14ac:dyDescent="0.25">
      <c r="A46" s="4">
        <v>45</v>
      </c>
      <c r="B46" s="4" t="s">
        <v>113</v>
      </c>
      <c r="C46" s="4" t="s">
        <v>612</v>
      </c>
      <c r="D46" s="4" t="s">
        <v>97</v>
      </c>
      <c r="E46" s="4" t="s">
        <v>29</v>
      </c>
    </row>
    <row r="47" spans="1:5" x14ac:dyDescent="0.25">
      <c r="A47" s="4">
        <v>46</v>
      </c>
      <c r="B47" s="4" t="s">
        <v>114</v>
      </c>
      <c r="C47" s="4" t="s">
        <v>613</v>
      </c>
      <c r="D47" s="4" t="s">
        <v>115</v>
      </c>
      <c r="E47" s="4" t="s">
        <v>29</v>
      </c>
    </row>
    <row r="48" spans="1:5" x14ac:dyDescent="0.25">
      <c r="A48" s="4">
        <v>47</v>
      </c>
      <c r="B48" s="4" t="s">
        <v>116</v>
      </c>
      <c r="C48" s="4" t="s">
        <v>614</v>
      </c>
      <c r="D48" s="4" t="s">
        <v>101</v>
      </c>
      <c r="E48" s="4" t="s">
        <v>29</v>
      </c>
    </row>
    <row r="49" spans="1:5" x14ac:dyDescent="0.25">
      <c r="A49" s="4">
        <v>48</v>
      </c>
      <c r="B49" s="4" t="s">
        <v>117</v>
      </c>
      <c r="C49" s="4" t="s">
        <v>615</v>
      </c>
      <c r="D49" s="4" t="s">
        <v>93</v>
      </c>
      <c r="E49" s="4" t="s">
        <v>29</v>
      </c>
    </row>
    <row r="50" spans="1:5" x14ac:dyDescent="0.25">
      <c r="A50" s="4">
        <v>49</v>
      </c>
      <c r="B50" s="4" t="s">
        <v>118</v>
      </c>
      <c r="C50" s="4" t="s">
        <v>616</v>
      </c>
      <c r="D50" s="4" t="s">
        <v>119</v>
      </c>
      <c r="E50" s="4" t="s">
        <v>29</v>
      </c>
    </row>
    <row r="51" spans="1:5" x14ac:dyDescent="0.25">
      <c r="A51" s="4">
        <v>50</v>
      </c>
      <c r="B51" s="4" t="s">
        <v>120</v>
      </c>
      <c r="C51" s="4" t="s">
        <v>617</v>
      </c>
      <c r="D51" s="4" t="s">
        <v>121</v>
      </c>
      <c r="E51" s="4" t="s">
        <v>29</v>
      </c>
    </row>
    <row r="52" spans="1:5" x14ac:dyDescent="0.25">
      <c r="A52" s="4">
        <v>51</v>
      </c>
      <c r="B52" s="4" t="s">
        <v>122</v>
      </c>
      <c r="C52" s="4" t="s">
        <v>618</v>
      </c>
      <c r="D52" s="4" t="s">
        <v>123</v>
      </c>
      <c r="E52" s="4" t="s">
        <v>29</v>
      </c>
    </row>
    <row r="53" spans="1:5" x14ac:dyDescent="0.25">
      <c r="A53" s="4">
        <v>52</v>
      </c>
      <c r="B53" s="4" t="s">
        <v>124</v>
      </c>
      <c r="C53" s="4" t="s">
        <v>619</v>
      </c>
      <c r="D53" s="4" t="s">
        <v>125</v>
      </c>
      <c r="E53" s="4" t="s">
        <v>29</v>
      </c>
    </row>
    <row r="54" spans="1:5" x14ac:dyDescent="0.25">
      <c r="A54" s="4">
        <v>53</v>
      </c>
      <c r="B54" s="4" t="s">
        <v>126</v>
      </c>
      <c r="C54" s="4" t="s">
        <v>620</v>
      </c>
      <c r="D54" s="4" t="s">
        <v>127</v>
      </c>
      <c r="E54" s="4" t="s">
        <v>29</v>
      </c>
    </row>
    <row r="55" spans="1:5" x14ac:dyDescent="0.25">
      <c r="A55" s="4">
        <v>54</v>
      </c>
      <c r="B55" s="4" t="s">
        <v>128</v>
      </c>
      <c r="C55" s="4" t="s">
        <v>621</v>
      </c>
      <c r="D55" s="4" t="s">
        <v>129</v>
      </c>
      <c r="E55" s="4" t="s">
        <v>29</v>
      </c>
    </row>
    <row r="56" spans="1:5" x14ac:dyDescent="0.25">
      <c r="A56" s="4">
        <v>55</v>
      </c>
      <c r="B56" s="4" t="s">
        <v>130</v>
      </c>
      <c r="C56" s="4" t="s">
        <v>622</v>
      </c>
      <c r="D56" s="4" t="s">
        <v>131</v>
      </c>
      <c r="E56" s="4" t="s">
        <v>29</v>
      </c>
    </row>
    <row r="57" spans="1:5" x14ac:dyDescent="0.25">
      <c r="A57" s="4">
        <v>56</v>
      </c>
      <c r="B57" s="4" t="s">
        <v>132</v>
      </c>
      <c r="C57" s="4" t="s">
        <v>623</v>
      </c>
      <c r="D57" s="4" t="s">
        <v>133</v>
      </c>
      <c r="E57" s="4" t="s">
        <v>29</v>
      </c>
    </row>
    <row r="58" spans="1:5" x14ac:dyDescent="0.25">
      <c r="A58" s="4">
        <v>57</v>
      </c>
      <c r="B58" s="4" t="s">
        <v>134</v>
      </c>
      <c r="C58" s="4" t="s">
        <v>624</v>
      </c>
      <c r="D58" s="4" t="s">
        <v>135</v>
      </c>
      <c r="E58" s="4" t="s">
        <v>29</v>
      </c>
    </row>
    <row r="59" spans="1:5" x14ac:dyDescent="0.25">
      <c r="A59" s="4">
        <v>58</v>
      </c>
      <c r="B59" s="4" t="s">
        <v>31</v>
      </c>
      <c r="C59" s="4" t="s">
        <v>846</v>
      </c>
      <c r="D59" s="4" t="s">
        <v>136</v>
      </c>
      <c r="E59" s="4" t="s">
        <v>29</v>
      </c>
    </row>
    <row r="60" spans="1:5" x14ac:dyDescent="0.25">
      <c r="A60" s="4">
        <v>59</v>
      </c>
      <c r="B60" s="4" t="s">
        <v>137</v>
      </c>
      <c r="C60" s="4" t="s">
        <v>614</v>
      </c>
      <c r="D60" s="4" t="s">
        <v>101</v>
      </c>
      <c r="E60" s="4" t="s">
        <v>29</v>
      </c>
    </row>
    <row r="61" spans="1:5" x14ac:dyDescent="0.25">
      <c r="A61" s="4">
        <v>60</v>
      </c>
      <c r="B61" s="4" t="s">
        <v>138</v>
      </c>
      <c r="C61" s="4" t="s">
        <v>625</v>
      </c>
      <c r="D61" s="4" t="s">
        <v>139</v>
      </c>
      <c r="E61" s="4" t="s">
        <v>29</v>
      </c>
    </row>
    <row r="62" spans="1:5" x14ac:dyDescent="0.25">
      <c r="A62" s="4">
        <v>61</v>
      </c>
      <c r="B62" s="4" t="s">
        <v>140</v>
      </c>
      <c r="C62" s="4" t="s">
        <v>626</v>
      </c>
      <c r="D62" s="4" t="s">
        <v>141</v>
      </c>
      <c r="E62" s="4" t="s">
        <v>29</v>
      </c>
    </row>
    <row r="63" spans="1:5" x14ac:dyDescent="0.25">
      <c r="A63" s="4">
        <v>62</v>
      </c>
      <c r="B63" s="4" t="s">
        <v>142</v>
      </c>
      <c r="C63" s="4" t="s">
        <v>627</v>
      </c>
      <c r="D63" s="4" t="s">
        <v>143</v>
      </c>
      <c r="E63" s="4" t="s">
        <v>29</v>
      </c>
    </row>
    <row r="64" spans="1:5" x14ac:dyDescent="0.25">
      <c r="A64" s="4">
        <v>63</v>
      </c>
      <c r="B64" s="4" t="s">
        <v>144</v>
      </c>
      <c r="C64" s="4" t="s">
        <v>628</v>
      </c>
      <c r="D64" s="4" t="s">
        <v>145</v>
      </c>
      <c r="E64" s="4" t="s">
        <v>29</v>
      </c>
    </row>
    <row r="65" spans="1:5" x14ac:dyDescent="0.25">
      <c r="A65" s="4">
        <v>64</v>
      </c>
      <c r="B65" s="4" t="s">
        <v>146</v>
      </c>
      <c r="C65" s="4" t="s">
        <v>629</v>
      </c>
      <c r="D65" s="4" t="s">
        <v>147</v>
      </c>
      <c r="E65" s="4" t="s">
        <v>29</v>
      </c>
    </row>
    <row r="66" spans="1:5" x14ac:dyDescent="0.25">
      <c r="A66" s="4">
        <v>65</v>
      </c>
      <c r="B66" s="4" t="s">
        <v>32</v>
      </c>
      <c r="C66" s="4" t="s">
        <v>630</v>
      </c>
      <c r="D66" s="4" t="s">
        <v>148</v>
      </c>
      <c r="E66" s="4" t="s">
        <v>29</v>
      </c>
    </row>
    <row r="67" spans="1:5" x14ac:dyDescent="0.25">
      <c r="A67" s="4">
        <v>66</v>
      </c>
      <c r="B67" s="4" t="s">
        <v>33</v>
      </c>
      <c r="C67" s="4" t="s">
        <v>631</v>
      </c>
      <c r="D67" s="4" t="s">
        <v>149</v>
      </c>
      <c r="E67" s="4" t="s">
        <v>29</v>
      </c>
    </row>
    <row r="68" spans="1:5" x14ac:dyDescent="0.25">
      <c r="A68" s="4">
        <v>67</v>
      </c>
      <c r="B68" s="4" t="s">
        <v>150</v>
      </c>
      <c r="C68" s="4" t="s">
        <v>874</v>
      </c>
      <c r="D68" s="4" t="s">
        <v>151</v>
      </c>
      <c r="E68" s="4" t="s">
        <v>29</v>
      </c>
    </row>
    <row r="69" spans="1:5" x14ac:dyDescent="0.25">
      <c r="A69" s="4">
        <v>68</v>
      </c>
      <c r="B69" s="4" t="s">
        <v>34</v>
      </c>
      <c r="C69" s="4" t="s">
        <v>632</v>
      </c>
      <c r="D69" s="4" t="s">
        <v>152</v>
      </c>
      <c r="E69" s="4" t="s">
        <v>29</v>
      </c>
    </row>
    <row r="70" spans="1:5" x14ac:dyDescent="0.25">
      <c r="A70" s="4">
        <v>69</v>
      </c>
      <c r="B70" s="4" t="s">
        <v>35</v>
      </c>
      <c r="C70" s="4" t="s">
        <v>633</v>
      </c>
      <c r="D70" s="4" t="s">
        <v>153</v>
      </c>
      <c r="E70" s="4" t="s">
        <v>29</v>
      </c>
    </row>
    <row r="71" spans="1:5" x14ac:dyDescent="0.25">
      <c r="A71" s="4">
        <v>70</v>
      </c>
      <c r="B71" s="4" t="s">
        <v>154</v>
      </c>
      <c r="C71" s="4" t="s">
        <v>634</v>
      </c>
      <c r="D71" s="4" t="s">
        <v>155</v>
      </c>
      <c r="E71" s="4" t="s">
        <v>29</v>
      </c>
    </row>
    <row r="72" spans="1:5" x14ac:dyDescent="0.25">
      <c r="A72" s="4">
        <v>71</v>
      </c>
      <c r="B72" s="4" t="s">
        <v>156</v>
      </c>
      <c r="C72" s="4" t="s">
        <v>635</v>
      </c>
      <c r="D72" s="4" t="s">
        <v>157</v>
      </c>
      <c r="E72" s="4" t="s">
        <v>29</v>
      </c>
    </row>
    <row r="73" spans="1:5" x14ac:dyDescent="0.25">
      <c r="A73" s="4">
        <v>72</v>
      </c>
      <c r="B73" s="4" t="s">
        <v>158</v>
      </c>
      <c r="C73" s="4" t="s">
        <v>871</v>
      </c>
      <c r="D73" s="4" t="s">
        <v>159</v>
      </c>
      <c r="E73" s="4" t="s">
        <v>29</v>
      </c>
    </row>
    <row r="74" spans="1:5" x14ac:dyDescent="0.25">
      <c r="A74" s="4">
        <v>73</v>
      </c>
      <c r="B74" s="4" t="s">
        <v>160</v>
      </c>
      <c r="C74" s="4" t="s">
        <v>636</v>
      </c>
      <c r="D74" s="4" t="s">
        <v>637</v>
      </c>
      <c r="E74" s="4" t="s">
        <v>29</v>
      </c>
    </row>
    <row r="75" spans="1:5" x14ac:dyDescent="0.25">
      <c r="A75" s="4">
        <v>74</v>
      </c>
      <c r="B75" s="4" t="s">
        <v>161</v>
      </c>
      <c r="C75" s="4" t="s">
        <v>638</v>
      </c>
      <c r="D75" s="4" t="s">
        <v>162</v>
      </c>
      <c r="E75" s="4" t="s">
        <v>29</v>
      </c>
    </row>
    <row r="76" spans="1:5" x14ac:dyDescent="0.25">
      <c r="A76" s="4">
        <v>75</v>
      </c>
      <c r="B76" s="4" t="s">
        <v>163</v>
      </c>
      <c r="C76" s="4" t="s">
        <v>639</v>
      </c>
      <c r="D76" s="4" t="s">
        <v>164</v>
      </c>
      <c r="E76" s="4" t="s">
        <v>29</v>
      </c>
    </row>
    <row r="77" spans="1:5" x14ac:dyDescent="0.25">
      <c r="A77" s="4">
        <v>76</v>
      </c>
      <c r="B77" s="4" t="s">
        <v>165</v>
      </c>
      <c r="C77" s="4" t="s">
        <v>640</v>
      </c>
      <c r="D77" s="4" t="s">
        <v>166</v>
      </c>
      <c r="E77" s="4" t="s">
        <v>29</v>
      </c>
    </row>
    <row r="78" spans="1:5" x14ac:dyDescent="0.25">
      <c r="A78" s="4">
        <v>77</v>
      </c>
      <c r="B78" s="4" t="s">
        <v>167</v>
      </c>
      <c r="C78" s="4" t="s">
        <v>641</v>
      </c>
      <c r="D78" s="4" t="s">
        <v>168</v>
      </c>
      <c r="E78" s="4" t="s">
        <v>29</v>
      </c>
    </row>
    <row r="79" spans="1:5" x14ac:dyDescent="0.25">
      <c r="A79" s="4">
        <v>78</v>
      </c>
      <c r="B79" s="4" t="s">
        <v>169</v>
      </c>
      <c r="C79" s="4" t="s">
        <v>639</v>
      </c>
      <c r="D79" s="4" t="s">
        <v>164</v>
      </c>
      <c r="E79" s="4" t="s">
        <v>29</v>
      </c>
    </row>
    <row r="80" spans="1:5" x14ac:dyDescent="0.25">
      <c r="A80" s="4">
        <v>79</v>
      </c>
      <c r="B80" s="4" t="s">
        <v>170</v>
      </c>
      <c r="C80" s="4" t="s">
        <v>642</v>
      </c>
      <c r="D80" s="4" t="s">
        <v>171</v>
      </c>
      <c r="E80" s="4" t="s">
        <v>29</v>
      </c>
    </row>
    <row r="81" spans="1:5" x14ac:dyDescent="0.25">
      <c r="A81" s="4">
        <v>80</v>
      </c>
      <c r="B81" s="4" t="s">
        <v>172</v>
      </c>
      <c r="C81" s="4" t="s">
        <v>643</v>
      </c>
      <c r="D81" s="4" t="s">
        <v>173</v>
      </c>
      <c r="E81" s="4" t="s">
        <v>29</v>
      </c>
    </row>
    <row r="82" spans="1:5" x14ac:dyDescent="0.25">
      <c r="A82" s="4">
        <v>81</v>
      </c>
      <c r="B82" s="4" t="s">
        <v>174</v>
      </c>
      <c r="C82" s="4" t="s">
        <v>644</v>
      </c>
      <c r="D82" s="4" t="s">
        <v>175</v>
      </c>
      <c r="E82" s="4" t="s">
        <v>29</v>
      </c>
    </row>
    <row r="83" spans="1:5" x14ac:dyDescent="0.25">
      <c r="A83" s="4">
        <v>82</v>
      </c>
      <c r="B83" s="4" t="s">
        <v>176</v>
      </c>
      <c r="C83" s="4" t="s">
        <v>855</v>
      </c>
      <c r="D83" s="4" t="s">
        <v>177</v>
      </c>
      <c r="E83" s="4" t="s">
        <v>29</v>
      </c>
    </row>
    <row r="84" spans="1:5" x14ac:dyDescent="0.25">
      <c r="A84" s="4">
        <v>83</v>
      </c>
      <c r="B84" s="4" t="s">
        <v>178</v>
      </c>
      <c r="C84" s="4" t="s">
        <v>645</v>
      </c>
      <c r="D84" s="4" t="s">
        <v>179</v>
      </c>
      <c r="E84" s="4" t="s">
        <v>29</v>
      </c>
    </row>
    <row r="85" spans="1:5" x14ac:dyDescent="0.25">
      <c r="A85" s="4">
        <v>84</v>
      </c>
      <c r="B85" s="4" t="s">
        <v>180</v>
      </c>
      <c r="C85" s="4" t="s">
        <v>646</v>
      </c>
      <c r="D85" s="4" t="s">
        <v>181</v>
      </c>
      <c r="E85" s="4" t="s">
        <v>647</v>
      </c>
    </row>
    <row r="86" spans="1:5" x14ac:dyDescent="0.25">
      <c r="A86" s="4">
        <v>85</v>
      </c>
      <c r="B86" s="4" t="s">
        <v>182</v>
      </c>
      <c r="C86" s="4" t="s">
        <v>648</v>
      </c>
      <c r="D86" s="4" t="s">
        <v>183</v>
      </c>
      <c r="E86" s="4" t="s">
        <v>29</v>
      </c>
    </row>
    <row r="87" spans="1:5" x14ac:dyDescent="0.25">
      <c r="A87" s="4">
        <v>86</v>
      </c>
      <c r="B87" s="4" t="s">
        <v>184</v>
      </c>
      <c r="C87" s="4" t="s">
        <v>856</v>
      </c>
      <c r="D87" s="4" t="s">
        <v>185</v>
      </c>
      <c r="E87" s="4" t="s">
        <v>29</v>
      </c>
    </row>
    <row r="88" spans="1:5" x14ac:dyDescent="0.25">
      <c r="A88" s="4">
        <v>87</v>
      </c>
      <c r="B88" s="4" t="s">
        <v>186</v>
      </c>
      <c r="C88" s="4" t="s">
        <v>649</v>
      </c>
      <c r="D88" s="4" t="s">
        <v>187</v>
      </c>
      <c r="E88" s="4" t="s">
        <v>29</v>
      </c>
    </row>
    <row r="89" spans="1:5" x14ac:dyDescent="0.25">
      <c r="A89" s="4">
        <v>88</v>
      </c>
      <c r="B89" s="4" t="s">
        <v>188</v>
      </c>
      <c r="C89" s="4" t="s">
        <v>650</v>
      </c>
      <c r="D89" s="4" t="s">
        <v>189</v>
      </c>
      <c r="E89" s="4" t="s">
        <v>29</v>
      </c>
    </row>
    <row r="90" spans="1:5" x14ac:dyDescent="0.25">
      <c r="A90" s="4">
        <v>89</v>
      </c>
      <c r="B90" s="4" t="s">
        <v>190</v>
      </c>
      <c r="C90" s="4" t="s">
        <v>651</v>
      </c>
      <c r="D90" s="4" t="s">
        <v>191</v>
      </c>
      <c r="E90" s="4" t="s">
        <v>29</v>
      </c>
    </row>
    <row r="91" spans="1:5" x14ac:dyDescent="0.25">
      <c r="A91" s="4">
        <v>90</v>
      </c>
      <c r="B91" s="4" t="s">
        <v>192</v>
      </c>
      <c r="C91" s="4" t="s">
        <v>652</v>
      </c>
      <c r="D91" s="4" t="s">
        <v>193</v>
      </c>
      <c r="E91" s="4" t="s">
        <v>29</v>
      </c>
    </row>
    <row r="92" spans="1:5" x14ac:dyDescent="0.25">
      <c r="A92" s="4">
        <v>91</v>
      </c>
      <c r="B92" s="4" t="s">
        <v>194</v>
      </c>
      <c r="C92" s="4" t="s">
        <v>653</v>
      </c>
      <c r="D92" s="4" t="s">
        <v>195</v>
      </c>
      <c r="E92" s="4" t="s">
        <v>29</v>
      </c>
    </row>
    <row r="93" spans="1:5" x14ac:dyDescent="0.25">
      <c r="A93" s="4">
        <v>92</v>
      </c>
      <c r="B93" s="4" t="s">
        <v>196</v>
      </c>
      <c r="C93" s="4" t="s">
        <v>654</v>
      </c>
      <c r="D93" s="4" t="s">
        <v>197</v>
      </c>
      <c r="E93" s="4" t="s">
        <v>29</v>
      </c>
    </row>
    <row r="94" spans="1:5" x14ac:dyDescent="0.25">
      <c r="A94" s="4">
        <v>93</v>
      </c>
      <c r="B94" s="4" t="s">
        <v>198</v>
      </c>
      <c r="C94" s="4" t="s">
        <v>655</v>
      </c>
      <c r="D94" s="4" t="s">
        <v>199</v>
      </c>
      <c r="E94" s="4" t="s">
        <v>29</v>
      </c>
    </row>
    <row r="95" spans="1:5" x14ac:dyDescent="0.25">
      <c r="A95" s="4">
        <v>94</v>
      </c>
      <c r="B95" s="4" t="s">
        <v>200</v>
      </c>
      <c r="C95" s="4" t="s">
        <v>656</v>
      </c>
      <c r="D95" s="4" t="s">
        <v>201</v>
      </c>
      <c r="E95" s="4" t="s">
        <v>29</v>
      </c>
    </row>
    <row r="96" spans="1:5" x14ac:dyDescent="0.25">
      <c r="A96" s="4">
        <v>95</v>
      </c>
      <c r="B96" s="4" t="s">
        <v>202</v>
      </c>
      <c r="C96" s="4" t="s">
        <v>657</v>
      </c>
      <c r="D96" s="4" t="s">
        <v>203</v>
      </c>
      <c r="E96" s="4" t="s">
        <v>29</v>
      </c>
    </row>
    <row r="97" spans="1:5" x14ac:dyDescent="0.25">
      <c r="A97" s="4">
        <v>96</v>
      </c>
      <c r="B97" s="4" t="s">
        <v>204</v>
      </c>
      <c r="C97" s="4" t="s">
        <v>857</v>
      </c>
      <c r="D97" s="4" t="s">
        <v>205</v>
      </c>
      <c r="E97" s="4" t="s">
        <v>29</v>
      </c>
    </row>
    <row r="98" spans="1:5" x14ac:dyDescent="0.25">
      <c r="A98" s="4">
        <v>97</v>
      </c>
      <c r="B98" s="4" t="s">
        <v>442</v>
      </c>
      <c r="C98" s="4" t="s">
        <v>443</v>
      </c>
      <c r="D98" s="4" t="s">
        <v>206</v>
      </c>
      <c r="E98" s="4" t="s">
        <v>29</v>
      </c>
    </row>
    <row r="99" spans="1:5" x14ac:dyDescent="0.25">
      <c r="A99" s="4">
        <v>98</v>
      </c>
      <c r="B99" s="4" t="s">
        <v>207</v>
      </c>
      <c r="C99" s="4" t="s">
        <v>444</v>
      </c>
      <c r="D99" s="4" t="s">
        <v>208</v>
      </c>
      <c r="E99" s="4" t="s">
        <v>647</v>
      </c>
    </row>
    <row r="100" spans="1:5" x14ac:dyDescent="0.25">
      <c r="A100" s="4">
        <v>99</v>
      </c>
      <c r="B100" s="4" t="s">
        <v>209</v>
      </c>
      <c r="C100" s="4" t="s">
        <v>658</v>
      </c>
      <c r="D100" s="4" t="s">
        <v>210</v>
      </c>
      <c r="E100" s="4" t="s">
        <v>29</v>
      </c>
    </row>
    <row r="101" spans="1:5" x14ac:dyDescent="0.25">
      <c r="A101" s="4">
        <v>100</v>
      </c>
      <c r="B101" s="4" t="s">
        <v>211</v>
      </c>
      <c r="C101" s="4" t="s">
        <v>659</v>
      </c>
      <c r="D101" s="4" t="s">
        <v>212</v>
      </c>
      <c r="E101" s="4" t="s">
        <v>29</v>
      </c>
    </row>
    <row r="102" spans="1:5" x14ac:dyDescent="0.25">
      <c r="A102" s="4">
        <v>101</v>
      </c>
      <c r="B102" s="4" t="s">
        <v>213</v>
      </c>
      <c r="C102" s="4" t="s">
        <v>660</v>
      </c>
      <c r="D102" s="4" t="s">
        <v>214</v>
      </c>
      <c r="E102" s="4" t="s">
        <v>29</v>
      </c>
    </row>
    <row r="103" spans="1:5" x14ac:dyDescent="0.25">
      <c r="A103" s="4">
        <v>102</v>
      </c>
      <c r="B103" s="4" t="s">
        <v>215</v>
      </c>
      <c r="C103" s="4" t="s">
        <v>661</v>
      </c>
      <c r="D103" s="4" t="s">
        <v>216</v>
      </c>
      <c r="E103" s="4" t="s">
        <v>29</v>
      </c>
    </row>
    <row r="104" spans="1:5" x14ac:dyDescent="0.25">
      <c r="A104" s="4">
        <v>103</v>
      </c>
      <c r="B104" s="4" t="s">
        <v>217</v>
      </c>
      <c r="C104" s="4" t="s">
        <v>662</v>
      </c>
      <c r="D104" s="4" t="s">
        <v>218</v>
      </c>
      <c r="E104" s="4" t="s">
        <v>29</v>
      </c>
    </row>
    <row r="105" spans="1:5" x14ac:dyDescent="0.25">
      <c r="A105" s="4">
        <v>104</v>
      </c>
      <c r="B105" s="4" t="s">
        <v>917</v>
      </c>
      <c r="C105" s="4" t="s">
        <v>663</v>
      </c>
      <c r="D105" s="4" t="s">
        <v>220</v>
      </c>
      <c r="E105" s="4" t="s">
        <v>29</v>
      </c>
    </row>
    <row r="106" spans="1:5" x14ac:dyDescent="0.25">
      <c r="A106" s="4">
        <v>105</v>
      </c>
      <c r="B106" s="4" t="s">
        <v>221</v>
      </c>
      <c r="C106" s="4" t="s">
        <v>664</v>
      </c>
      <c r="D106" s="4" t="s">
        <v>222</v>
      </c>
      <c r="E106" s="4" t="s">
        <v>29</v>
      </c>
    </row>
    <row r="107" spans="1:5" x14ac:dyDescent="0.25">
      <c r="A107" s="4">
        <v>106</v>
      </c>
      <c r="B107" s="4" t="s">
        <v>36</v>
      </c>
      <c r="C107" s="4" t="s">
        <v>665</v>
      </c>
      <c r="D107" s="4" t="s">
        <v>223</v>
      </c>
      <c r="E107" s="4" t="s">
        <v>29</v>
      </c>
    </row>
    <row r="108" spans="1:5" x14ac:dyDescent="0.25">
      <c r="A108" s="4">
        <v>107</v>
      </c>
      <c r="B108" s="4" t="s">
        <v>224</v>
      </c>
      <c r="C108" s="4" t="s">
        <v>666</v>
      </c>
      <c r="D108" s="4" t="s">
        <v>225</v>
      </c>
      <c r="E108" s="4" t="s">
        <v>29</v>
      </c>
    </row>
    <row r="109" spans="1:5" x14ac:dyDescent="0.25">
      <c r="A109" s="4">
        <v>108</v>
      </c>
      <c r="B109" s="4" t="s">
        <v>226</v>
      </c>
      <c r="C109" s="4" t="s">
        <v>667</v>
      </c>
      <c r="D109" s="4" t="s">
        <v>227</v>
      </c>
      <c r="E109" s="4" t="s">
        <v>29</v>
      </c>
    </row>
    <row r="110" spans="1:5" x14ac:dyDescent="0.25">
      <c r="A110" s="4">
        <v>109</v>
      </c>
      <c r="B110" s="4" t="s">
        <v>228</v>
      </c>
      <c r="C110" s="4" t="s">
        <v>668</v>
      </c>
      <c r="D110" s="4" t="s">
        <v>229</v>
      </c>
      <c r="E110" s="4" t="s">
        <v>29</v>
      </c>
    </row>
    <row r="111" spans="1:5" x14ac:dyDescent="0.25">
      <c r="A111" s="4">
        <v>110</v>
      </c>
      <c r="B111" s="4" t="s">
        <v>230</v>
      </c>
      <c r="C111" s="4" t="s">
        <v>669</v>
      </c>
      <c r="D111" s="4" t="s">
        <v>670</v>
      </c>
      <c r="E111" s="4" t="s">
        <v>671</v>
      </c>
    </row>
    <row r="112" spans="1:5" x14ac:dyDescent="0.25">
      <c r="A112" s="4">
        <v>111</v>
      </c>
      <c r="B112" s="4" t="s">
        <v>231</v>
      </c>
      <c r="C112" s="4" t="s">
        <v>869</v>
      </c>
      <c r="D112" s="4" t="s">
        <v>107</v>
      </c>
      <c r="E112" s="4" t="s">
        <v>647</v>
      </c>
    </row>
    <row r="113" spans="1:5" x14ac:dyDescent="0.25">
      <c r="A113" s="4">
        <v>112</v>
      </c>
      <c r="B113" s="4" t="s">
        <v>232</v>
      </c>
      <c r="C113" s="4" t="s">
        <v>672</v>
      </c>
      <c r="D113" s="4" t="s">
        <v>103</v>
      </c>
      <c r="E113" s="4" t="s">
        <v>647</v>
      </c>
    </row>
    <row r="114" spans="1:5" x14ac:dyDescent="0.25">
      <c r="A114" s="4">
        <v>113</v>
      </c>
      <c r="B114" s="4" t="s">
        <v>233</v>
      </c>
      <c r="C114" s="4" t="s">
        <v>673</v>
      </c>
      <c r="D114" s="4" t="s">
        <v>234</v>
      </c>
      <c r="E114" s="4" t="s">
        <v>29</v>
      </c>
    </row>
    <row r="115" spans="1:5" x14ac:dyDescent="0.25">
      <c r="A115" s="4">
        <v>114</v>
      </c>
      <c r="B115" s="4" t="s">
        <v>235</v>
      </c>
      <c r="C115" s="4" t="s">
        <v>858</v>
      </c>
      <c r="D115" s="4" t="s">
        <v>236</v>
      </c>
      <c r="E115" s="4" t="s">
        <v>671</v>
      </c>
    </row>
    <row r="116" spans="1:5" x14ac:dyDescent="0.25">
      <c r="A116" s="4">
        <v>115</v>
      </c>
      <c r="B116" s="4" t="s">
        <v>674</v>
      </c>
      <c r="C116" s="4" t="s">
        <v>675</v>
      </c>
      <c r="D116" s="4" t="s">
        <v>676</v>
      </c>
      <c r="E116" s="4" t="s">
        <v>647</v>
      </c>
    </row>
    <row r="117" spans="1:5" x14ac:dyDescent="0.25">
      <c r="A117" s="4">
        <v>116</v>
      </c>
      <c r="B117" s="4" t="s">
        <v>677</v>
      </c>
      <c r="C117" s="4" t="s">
        <v>678</v>
      </c>
      <c r="D117" s="4" t="s">
        <v>679</v>
      </c>
      <c r="E117" s="4" t="s">
        <v>647</v>
      </c>
    </row>
    <row r="118" spans="1:5" x14ac:dyDescent="0.25">
      <c r="A118" s="4">
        <v>117</v>
      </c>
      <c r="B118" s="4" t="s">
        <v>680</v>
      </c>
      <c r="C118" s="4" t="s">
        <v>681</v>
      </c>
      <c r="D118" s="4" t="s">
        <v>682</v>
      </c>
      <c r="E118" s="4" t="s">
        <v>683</v>
      </c>
    </row>
    <row r="119" spans="1:5" x14ac:dyDescent="0.25">
      <c r="A119" s="4">
        <v>118</v>
      </c>
      <c r="B119" s="4" t="s">
        <v>684</v>
      </c>
      <c r="C119" s="4" t="s">
        <v>859</v>
      </c>
      <c r="D119" s="4" t="s">
        <v>685</v>
      </c>
      <c r="E119" s="4" t="s">
        <v>647</v>
      </c>
    </row>
    <row r="120" spans="1:5" x14ac:dyDescent="0.25">
      <c r="A120" s="4">
        <v>119</v>
      </c>
      <c r="B120" s="4" t="s">
        <v>237</v>
      </c>
      <c r="C120" s="4" t="s">
        <v>686</v>
      </c>
      <c r="D120" s="4" t="s">
        <v>238</v>
      </c>
      <c r="E120" s="4" t="s">
        <v>671</v>
      </c>
    </row>
    <row r="121" spans="1:5" x14ac:dyDescent="0.25">
      <c r="A121" s="4">
        <v>120</v>
      </c>
      <c r="B121" s="4" t="s">
        <v>239</v>
      </c>
      <c r="C121" s="4" t="s">
        <v>687</v>
      </c>
      <c r="D121" s="4" t="s">
        <v>240</v>
      </c>
      <c r="E121" s="4" t="s">
        <v>29</v>
      </c>
    </row>
    <row r="122" spans="1:5" x14ac:dyDescent="0.25">
      <c r="A122" s="4">
        <v>121</v>
      </c>
      <c r="B122" s="4" t="s">
        <v>241</v>
      </c>
      <c r="C122" s="4" t="s">
        <v>688</v>
      </c>
      <c r="D122" s="4" t="s">
        <v>689</v>
      </c>
      <c r="E122" s="4" t="s">
        <v>671</v>
      </c>
    </row>
    <row r="123" spans="1:5" x14ac:dyDescent="0.25">
      <c r="A123" s="4">
        <v>122</v>
      </c>
      <c r="B123" s="4" t="s">
        <v>242</v>
      </c>
      <c r="C123" s="4" t="s">
        <v>690</v>
      </c>
      <c r="D123" s="4" t="s">
        <v>691</v>
      </c>
      <c r="E123" s="4" t="s">
        <v>671</v>
      </c>
    </row>
    <row r="124" spans="1:5" x14ac:dyDescent="0.25">
      <c r="A124" s="4">
        <v>123</v>
      </c>
      <c r="B124" s="4" t="s">
        <v>243</v>
      </c>
      <c r="C124" s="4" t="s">
        <v>692</v>
      </c>
      <c r="D124" s="4" t="s">
        <v>693</v>
      </c>
      <c r="E124" s="4" t="s">
        <v>671</v>
      </c>
    </row>
    <row r="125" spans="1:5" x14ac:dyDescent="0.25">
      <c r="A125" s="4">
        <v>124</v>
      </c>
      <c r="B125" s="4" t="s">
        <v>244</v>
      </c>
      <c r="C125" s="4" t="s">
        <v>694</v>
      </c>
      <c r="D125" s="4" t="s">
        <v>695</v>
      </c>
      <c r="E125" s="4" t="s">
        <v>671</v>
      </c>
    </row>
    <row r="126" spans="1:5" x14ac:dyDescent="0.25">
      <c r="A126" s="4">
        <v>125</v>
      </c>
      <c r="B126" s="4" t="s">
        <v>696</v>
      </c>
      <c r="C126" s="4" t="s">
        <v>697</v>
      </c>
      <c r="D126" s="4" t="s">
        <v>698</v>
      </c>
      <c r="E126" s="4" t="s">
        <v>671</v>
      </c>
    </row>
    <row r="127" spans="1:5" x14ac:dyDescent="0.25">
      <c r="A127" s="4">
        <v>126</v>
      </c>
      <c r="B127" s="4" t="s">
        <v>699</v>
      </c>
      <c r="C127" s="4" t="s">
        <v>700</v>
      </c>
      <c r="D127" s="4" t="s">
        <v>701</v>
      </c>
      <c r="E127" s="4" t="s">
        <v>671</v>
      </c>
    </row>
    <row r="128" spans="1:5" x14ac:dyDescent="0.25">
      <c r="A128" s="4">
        <v>127</v>
      </c>
      <c r="B128" s="4" t="s">
        <v>702</v>
      </c>
      <c r="C128" s="4" t="s">
        <v>703</v>
      </c>
      <c r="D128" s="4" t="s">
        <v>704</v>
      </c>
      <c r="E128" s="4" t="s">
        <v>671</v>
      </c>
    </row>
    <row r="129" spans="1:5" x14ac:dyDescent="0.25">
      <c r="A129" s="4">
        <v>128</v>
      </c>
      <c r="B129" s="4" t="s">
        <v>705</v>
      </c>
      <c r="C129" s="4" t="s">
        <v>706</v>
      </c>
      <c r="D129" s="4" t="s">
        <v>707</v>
      </c>
      <c r="E129" s="4" t="s">
        <v>671</v>
      </c>
    </row>
    <row r="130" spans="1:5" x14ac:dyDescent="0.25">
      <c r="A130" s="4">
        <v>129</v>
      </c>
      <c r="B130" s="4" t="s">
        <v>708</v>
      </c>
      <c r="C130" s="4" t="s">
        <v>709</v>
      </c>
      <c r="D130" s="4" t="s">
        <v>710</v>
      </c>
      <c r="E130" s="4" t="s">
        <v>671</v>
      </c>
    </row>
    <row r="131" spans="1:5" x14ac:dyDescent="0.25">
      <c r="A131" s="4">
        <v>130</v>
      </c>
      <c r="B131" s="4" t="s">
        <v>711</v>
      </c>
      <c r="C131" s="4" t="s">
        <v>712</v>
      </c>
      <c r="D131" s="4" t="s">
        <v>713</v>
      </c>
      <c r="E131" s="4" t="s">
        <v>671</v>
      </c>
    </row>
    <row r="132" spans="1:5" x14ac:dyDescent="0.25">
      <c r="A132" s="4">
        <v>131</v>
      </c>
      <c r="B132" s="4" t="s">
        <v>714</v>
      </c>
      <c r="C132" s="4" t="s">
        <v>715</v>
      </c>
      <c r="D132" s="4" t="s">
        <v>716</v>
      </c>
      <c r="E132" s="4" t="s">
        <v>671</v>
      </c>
    </row>
    <row r="133" spans="1:5" x14ac:dyDescent="0.25">
      <c r="A133" s="4">
        <v>132</v>
      </c>
      <c r="B133" s="4" t="s">
        <v>717</v>
      </c>
      <c r="C133" s="4" t="s">
        <v>718</v>
      </c>
      <c r="D133" s="4" t="s">
        <v>719</v>
      </c>
      <c r="E133" s="4" t="s">
        <v>671</v>
      </c>
    </row>
    <row r="134" spans="1:5" x14ac:dyDescent="0.25">
      <c r="A134" s="4">
        <v>133</v>
      </c>
      <c r="B134" s="4" t="s">
        <v>720</v>
      </c>
      <c r="C134" s="4" t="s">
        <v>721</v>
      </c>
      <c r="D134" s="4" t="s">
        <v>722</v>
      </c>
      <c r="E134" s="4" t="s">
        <v>671</v>
      </c>
    </row>
    <row r="135" spans="1:5" x14ac:dyDescent="0.25">
      <c r="A135" s="4">
        <v>134</v>
      </c>
      <c r="B135" s="4" t="s">
        <v>245</v>
      </c>
      <c r="C135" s="4" t="s">
        <v>723</v>
      </c>
      <c r="D135" s="4" t="s">
        <v>246</v>
      </c>
      <c r="E135" s="4" t="s">
        <v>29</v>
      </c>
    </row>
    <row r="136" spans="1:5" x14ac:dyDescent="0.25">
      <c r="A136" s="4">
        <v>135</v>
      </c>
      <c r="B136" s="4" t="s">
        <v>247</v>
      </c>
      <c r="C136" s="4" t="s">
        <v>724</v>
      </c>
      <c r="D136" s="4" t="s">
        <v>248</v>
      </c>
      <c r="E136" s="4" t="s">
        <v>29</v>
      </c>
    </row>
    <row r="137" spans="1:5" x14ac:dyDescent="0.25">
      <c r="A137" s="4">
        <v>136</v>
      </c>
      <c r="B137" s="4" t="s">
        <v>249</v>
      </c>
      <c r="C137" s="4" t="s">
        <v>725</v>
      </c>
      <c r="D137" s="4" t="s">
        <v>250</v>
      </c>
      <c r="E137" s="4" t="s">
        <v>29</v>
      </c>
    </row>
    <row r="138" spans="1:5" x14ac:dyDescent="0.25">
      <c r="A138" s="4">
        <v>137</v>
      </c>
      <c r="B138" s="4" t="s">
        <v>251</v>
      </c>
      <c r="C138" s="4" t="s">
        <v>726</v>
      </c>
      <c r="D138" s="4" t="s">
        <v>252</v>
      </c>
      <c r="E138" s="4" t="s">
        <v>29</v>
      </c>
    </row>
    <row r="139" spans="1:5" x14ac:dyDescent="0.25">
      <c r="A139" s="4">
        <v>138</v>
      </c>
      <c r="B139" s="4" t="s">
        <v>253</v>
      </c>
      <c r="C139" s="4" t="s">
        <v>727</v>
      </c>
      <c r="D139" s="4" t="s">
        <v>254</v>
      </c>
      <c r="E139" s="4" t="s">
        <v>29</v>
      </c>
    </row>
    <row r="140" spans="1:5" x14ac:dyDescent="0.25">
      <c r="A140" s="4">
        <v>139</v>
      </c>
      <c r="B140" s="4" t="s">
        <v>255</v>
      </c>
      <c r="C140" s="4" t="s">
        <v>875</v>
      </c>
      <c r="D140" s="4" t="s">
        <v>256</v>
      </c>
      <c r="E140" s="4" t="s">
        <v>29</v>
      </c>
    </row>
    <row r="141" spans="1:5" x14ac:dyDescent="0.25">
      <c r="A141" s="4">
        <v>140</v>
      </c>
      <c r="B141" s="4" t="s">
        <v>257</v>
      </c>
      <c r="C141" s="4" t="s">
        <v>872</v>
      </c>
      <c r="D141" s="4" t="s">
        <v>258</v>
      </c>
      <c r="E141" s="4" t="s">
        <v>29</v>
      </c>
    </row>
    <row r="142" spans="1:5" x14ac:dyDescent="0.25">
      <c r="A142" s="4">
        <v>141</v>
      </c>
      <c r="B142" s="4" t="s">
        <v>259</v>
      </c>
      <c r="C142" s="4" t="s">
        <v>728</v>
      </c>
      <c r="D142" s="4" t="s">
        <v>260</v>
      </c>
      <c r="E142" s="4" t="s">
        <v>29</v>
      </c>
    </row>
    <row r="143" spans="1:5" x14ac:dyDescent="0.25">
      <c r="A143" s="4">
        <v>142</v>
      </c>
      <c r="B143" s="4" t="s">
        <v>261</v>
      </c>
      <c r="C143" s="4" t="s">
        <v>729</v>
      </c>
      <c r="D143" s="4" t="s">
        <v>262</v>
      </c>
      <c r="E143" s="4" t="s">
        <v>29</v>
      </c>
    </row>
    <row r="144" spans="1:5" x14ac:dyDescent="0.25">
      <c r="A144" s="4">
        <v>143</v>
      </c>
      <c r="B144" s="4" t="s">
        <v>263</v>
      </c>
      <c r="C144" s="4" t="s">
        <v>730</v>
      </c>
      <c r="D144" s="4" t="s">
        <v>731</v>
      </c>
      <c r="E144" s="4" t="s">
        <v>29</v>
      </c>
    </row>
    <row r="145" spans="1:5" x14ac:dyDescent="0.25">
      <c r="A145" s="4">
        <v>144</v>
      </c>
      <c r="B145" s="4" t="s">
        <v>264</v>
      </c>
      <c r="C145" s="4" t="s">
        <v>732</v>
      </c>
      <c r="D145" s="4" t="s">
        <v>265</v>
      </c>
      <c r="E145" s="4" t="s">
        <v>29</v>
      </c>
    </row>
    <row r="146" spans="1:5" x14ac:dyDescent="0.25">
      <c r="A146" s="4">
        <v>145</v>
      </c>
      <c r="B146" s="4" t="s">
        <v>37</v>
      </c>
      <c r="C146" s="4" t="s">
        <v>844</v>
      </c>
      <c r="D146" s="4" t="s">
        <v>266</v>
      </c>
      <c r="E146" s="4" t="s">
        <v>29</v>
      </c>
    </row>
    <row r="147" spans="1:5" x14ac:dyDescent="0.25">
      <c r="A147" s="4">
        <v>146</v>
      </c>
      <c r="B147" s="4" t="s">
        <v>38</v>
      </c>
      <c r="C147" s="4" t="s">
        <v>733</v>
      </c>
      <c r="D147" s="4" t="s">
        <v>267</v>
      </c>
      <c r="E147" s="4" t="s">
        <v>29</v>
      </c>
    </row>
    <row r="148" spans="1:5" x14ac:dyDescent="0.25">
      <c r="A148" s="4">
        <v>147</v>
      </c>
      <c r="B148" s="4" t="s">
        <v>39</v>
      </c>
      <c r="C148" s="4" t="s">
        <v>734</v>
      </c>
      <c r="D148" s="4" t="s">
        <v>735</v>
      </c>
      <c r="E148" s="4" t="s">
        <v>29</v>
      </c>
    </row>
    <row r="149" spans="1:5" x14ac:dyDescent="0.25">
      <c r="A149" s="4">
        <v>148</v>
      </c>
      <c r="B149" s="4" t="s">
        <v>40</v>
      </c>
      <c r="C149" s="4" t="s">
        <v>736</v>
      </c>
      <c r="D149" s="4" t="s">
        <v>737</v>
      </c>
      <c r="E149" s="4" t="s">
        <v>29</v>
      </c>
    </row>
    <row r="150" spans="1:5" x14ac:dyDescent="0.25">
      <c r="A150" s="4">
        <v>149</v>
      </c>
      <c r="B150" s="4" t="s">
        <v>41</v>
      </c>
      <c r="C150" s="4" t="s">
        <v>906</v>
      </c>
      <c r="D150" s="4" t="s">
        <v>900</v>
      </c>
      <c r="E150" s="4" t="s">
        <v>29</v>
      </c>
    </row>
    <row r="151" spans="1:5" x14ac:dyDescent="0.25">
      <c r="A151" s="4">
        <v>150</v>
      </c>
      <c r="B151" s="4" t="s">
        <v>270</v>
      </c>
      <c r="C151" s="4" t="s">
        <v>870</v>
      </c>
      <c r="D151" s="4" t="s">
        <v>271</v>
      </c>
      <c r="E151" s="4" t="s">
        <v>29</v>
      </c>
    </row>
    <row r="152" spans="1:5" x14ac:dyDescent="0.25">
      <c r="A152" s="4">
        <v>151</v>
      </c>
      <c r="B152" s="4" t="s">
        <v>272</v>
      </c>
      <c r="C152" s="4" t="s">
        <v>738</v>
      </c>
      <c r="D152" s="4" t="s">
        <v>273</v>
      </c>
      <c r="E152" s="4" t="s">
        <v>29</v>
      </c>
    </row>
    <row r="153" spans="1:5" x14ac:dyDescent="0.25">
      <c r="A153" s="4">
        <v>152</v>
      </c>
      <c r="B153" s="4" t="s">
        <v>274</v>
      </c>
      <c r="C153" s="4" t="s">
        <v>739</v>
      </c>
      <c r="D153" s="4" t="s">
        <v>275</v>
      </c>
      <c r="E153" s="4" t="s">
        <v>29</v>
      </c>
    </row>
    <row r="154" spans="1:5" x14ac:dyDescent="0.25">
      <c r="A154" s="4">
        <v>153</v>
      </c>
      <c r="B154" s="4" t="s">
        <v>276</v>
      </c>
      <c r="C154" s="4" t="s">
        <v>740</v>
      </c>
      <c r="D154" s="4" t="s">
        <v>277</v>
      </c>
      <c r="E154" s="4" t="s">
        <v>29</v>
      </c>
    </row>
    <row r="155" spans="1:5" x14ac:dyDescent="0.25">
      <c r="A155" s="4">
        <v>154</v>
      </c>
      <c r="B155" s="4" t="s">
        <v>278</v>
      </c>
      <c r="C155" s="4" t="s">
        <v>741</v>
      </c>
      <c r="D155" s="4" t="s">
        <v>279</v>
      </c>
      <c r="E155" s="4" t="s">
        <v>29</v>
      </c>
    </row>
    <row r="156" spans="1:5" x14ac:dyDescent="0.25">
      <c r="A156" s="4">
        <v>155</v>
      </c>
      <c r="B156" s="4" t="s">
        <v>280</v>
      </c>
      <c r="C156" s="4" t="s">
        <v>742</v>
      </c>
      <c r="D156" s="4" t="s">
        <v>281</v>
      </c>
      <c r="E156" s="4" t="s">
        <v>29</v>
      </c>
    </row>
    <row r="157" spans="1:5" x14ac:dyDescent="0.25">
      <c r="A157" s="4">
        <v>156</v>
      </c>
      <c r="B157" s="4" t="s">
        <v>282</v>
      </c>
      <c r="C157" s="4" t="s">
        <v>743</v>
      </c>
      <c r="D157" s="4" t="s">
        <v>283</v>
      </c>
      <c r="E157" s="4" t="s">
        <v>29</v>
      </c>
    </row>
    <row r="158" spans="1:5" x14ac:dyDescent="0.25">
      <c r="A158" s="4">
        <v>157</v>
      </c>
      <c r="B158" s="4" t="s">
        <v>284</v>
      </c>
      <c r="C158" s="4" t="s">
        <v>744</v>
      </c>
      <c r="D158" s="4" t="s">
        <v>285</v>
      </c>
      <c r="E158" s="4" t="s">
        <v>29</v>
      </c>
    </row>
    <row r="159" spans="1:5" x14ac:dyDescent="0.25">
      <c r="A159" s="4">
        <v>158</v>
      </c>
      <c r="B159" s="4" t="s">
        <v>286</v>
      </c>
      <c r="C159" s="4" t="s">
        <v>745</v>
      </c>
      <c r="D159" s="4" t="s">
        <v>287</v>
      </c>
      <c r="E159" s="4" t="s">
        <v>29</v>
      </c>
    </row>
    <row r="160" spans="1:5" x14ac:dyDescent="0.25">
      <c r="A160" s="4">
        <v>159</v>
      </c>
      <c r="B160" s="4" t="s">
        <v>288</v>
      </c>
      <c r="C160" s="4" t="s">
        <v>746</v>
      </c>
      <c r="D160" s="4" t="s">
        <v>289</v>
      </c>
      <c r="E160" s="4" t="s">
        <v>29</v>
      </c>
    </row>
    <row r="161" spans="1:5" x14ac:dyDescent="0.25">
      <c r="A161" s="4">
        <v>160</v>
      </c>
      <c r="B161" s="4" t="s">
        <v>290</v>
      </c>
      <c r="C161" s="4" t="s">
        <v>747</v>
      </c>
      <c r="D161" s="4" t="s">
        <v>291</v>
      </c>
      <c r="E161" s="4" t="s">
        <v>29</v>
      </c>
    </row>
    <row r="162" spans="1:5" x14ac:dyDescent="0.25">
      <c r="A162" s="4">
        <v>161</v>
      </c>
      <c r="B162" s="4" t="s">
        <v>292</v>
      </c>
      <c r="C162" s="4" t="s">
        <v>748</v>
      </c>
      <c r="D162" s="4" t="s">
        <v>293</v>
      </c>
      <c r="E162" s="4" t="s">
        <v>29</v>
      </c>
    </row>
    <row r="163" spans="1:5" x14ac:dyDescent="0.25">
      <c r="A163" s="4">
        <v>162</v>
      </c>
      <c r="B163" s="4" t="s">
        <v>294</v>
      </c>
      <c r="C163" s="4" t="s">
        <v>749</v>
      </c>
      <c r="D163" s="4" t="s">
        <v>295</v>
      </c>
      <c r="E163" s="4" t="s">
        <v>29</v>
      </c>
    </row>
    <row r="164" spans="1:5" x14ac:dyDescent="0.25">
      <c r="A164" s="4">
        <v>163</v>
      </c>
      <c r="B164" s="4" t="s">
        <v>296</v>
      </c>
      <c r="C164" s="4" t="s">
        <v>750</v>
      </c>
      <c r="D164" s="4" t="s">
        <v>297</v>
      </c>
      <c r="E164" s="4" t="s">
        <v>29</v>
      </c>
    </row>
    <row r="165" spans="1:5" x14ac:dyDescent="0.25">
      <c r="A165" s="4">
        <v>164</v>
      </c>
      <c r="B165" s="4" t="s">
        <v>298</v>
      </c>
      <c r="C165" s="4" t="s">
        <v>751</v>
      </c>
      <c r="D165" s="4" t="s">
        <v>299</v>
      </c>
      <c r="E165" s="4" t="s">
        <v>29</v>
      </c>
    </row>
    <row r="166" spans="1:5" x14ac:dyDescent="0.25">
      <c r="A166" s="4">
        <v>165</v>
      </c>
      <c r="B166" s="4" t="s">
        <v>918</v>
      </c>
      <c r="C166" s="4" t="s">
        <v>752</v>
      </c>
      <c r="D166" s="4" t="s">
        <v>220</v>
      </c>
      <c r="E166" s="4" t="s">
        <v>29</v>
      </c>
    </row>
    <row r="167" spans="1:5" x14ac:dyDescent="0.25">
      <c r="A167" s="4">
        <v>166</v>
      </c>
      <c r="B167" s="4" t="s">
        <v>301</v>
      </c>
      <c r="C167" s="4" t="s">
        <v>753</v>
      </c>
      <c r="D167" s="4" t="s">
        <v>302</v>
      </c>
      <c r="E167" s="4" t="s">
        <v>29</v>
      </c>
    </row>
    <row r="168" spans="1:5" x14ac:dyDescent="0.25">
      <c r="A168" s="4">
        <v>167</v>
      </c>
      <c r="B168" s="4" t="s">
        <v>303</v>
      </c>
      <c r="C168" s="4" t="s">
        <v>754</v>
      </c>
      <c r="D168" s="4" t="s">
        <v>304</v>
      </c>
      <c r="E168" s="4" t="s">
        <v>29</v>
      </c>
    </row>
    <row r="169" spans="1:5" x14ac:dyDescent="0.25">
      <c r="A169" s="4">
        <v>168</v>
      </c>
      <c r="B169" s="4" t="s">
        <v>305</v>
      </c>
      <c r="C169" s="4" t="s">
        <v>755</v>
      </c>
      <c r="D169" s="4" t="s">
        <v>306</v>
      </c>
      <c r="E169" s="4" t="s">
        <v>29</v>
      </c>
    </row>
    <row r="170" spans="1:5" x14ac:dyDescent="0.25">
      <c r="A170" s="4">
        <v>169</v>
      </c>
      <c r="B170" s="4" t="s">
        <v>307</v>
      </c>
      <c r="C170" s="4" t="s">
        <v>756</v>
      </c>
      <c r="D170" s="4" t="s">
        <v>308</v>
      </c>
      <c r="E170" s="4" t="s">
        <v>29</v>
      </c>
    </row>
    <row r="171" spans="1:5" x14ac:dyDescent="0.25">
      <c r="A171" s="4">
        <v>170</v>
      </c>
      <c r="B171" s="4" t="s">
        <v>309</v>
      </c>
      <c r="C171" s="4" t="s">
        <v>757</v>
      </c>
      <c r="D171" s="4" t="s">
        <v>310</v>
      </c>
      <c r="E171" s="4" t="s">
        <v>29</v>
      </c>
    </row>
    <row r="172" spans="1:5" x14ac:dyDescent="0.25">
      <c r="A172" s="4">
        <v>171</v>
      </c>
      <c r="B172" s="4" t="s">
        <v>311</v>
      </c>
      <c r="C172" s="4" t="s">
        <v>860</v>
      </c>
      <c r="D172" s="4" t="s">
        <v>312</v>
      </c>
      <c r="E172" s="4" t="s">
        <v>29</v>
      </c>
    </row>
    <row r="173" spans="1:5" x14ac:dyDescent="0.25">
      <c r="A173" s="4">
        <v>172</v>
      </c>
      <c r="B173" s="4" t="s">
        <v>313</v>
      </c>
      <c r="C173" s="4" t="s">
        <v>861</v>
      </c>
      <c r="D173" s="4" t="s">
        <v>314</v>
      </c>
      <c r="E173" s="4" t="s">
        <v>29</v>
      </c>
    </row>
    <row r="174" spans="1:5" x14ac:dyDescent="0.25">
      <c r="A174" s="4">
        <v>173</v>
      </c>
      <c r="B174" s="4" t="s">
        <v>315</v>
      </c>
      <c r="C174" s="4" t="s">
        <v>758</v>
      </c>
      <c r="D174" s="4" t="s">
        <v>316</v>
      </c>
      <c r="E174" s="4" t="s">
        <v>29</v>
      </c>
    </row>
    <row r="175" spans="1:5" x14ac:dyDescent="0.25">
      <c r="A175" s="4">
        <v>174</v>
      </c>
      <c r="B175" s="4" t="s">
        <v>317</v>
      </c>
      <c r="C175" s="4" t="s">
        <v>759</v>
      </c>
      <c r="D175" s="4" t="s">
        <v>318</v>
      </c>
      <c r="E175" s="4" t="s">
        <v>29</v>
      </c>
    </row>
    <row r="176" spans="1:5" x14ac:dyDescent="0.25">
      <c r="A176" s="4">
        <v>175</v>
      </c>
      <c r="B176" s="4" t="s">
        <v>319</v>
      </c>
      <c r="C176" s="4" t="s">
        <v>862</v>
      </c>
      <c r="D176" s="4" t="s">
        <v>320</v>
      </c>
      <c r="E176" s="4" t="s">
        <v>29</v>
      </c>
    </row>
    <row r="177" spans="1:5" x14ac:dyDescent="0.25">
      <c r="A177" s="4">
        <v>176</v>
      </c>
      <c r="B177" s="4" t="s">
        <v>321</v>
      </c>
      <c r="C177" s="4" t="s">
        <v>760</v>
      </c>
      <c r="D177" s="4" t="s">
        <v>322</v>
      </c>
      <c r="E177" s="4" t="s">
        <v>29</v>
      </c>
    </row>
    <row r="178" spans="1:5" x14ac:dyDescent="0.25">
      <c r="A178" s="4">
        <v>177</v>
      </c>
      <c r="B178" s="4" t="s">
        <v>323</v>
      </c>
      <c r="C178" s="4" t="s">
        <v>761</v>
      </c>
      <c r="D178" s="4" t="s">
        <v>324</v>
      </c>
      <c r="E178" s="4" t="s">
        <v>29</v>
      </c>
    </row>
    <row r="179" spans="1:5" x14ac:dyDescent="0.25">
      <c r="A179" s="4">
        <v>178</v>
      </c>
      <c r="B179" s="4" t="s">
        <v>325</v>
      </c>
      <c r="C179" s="4" t="s">
        <v>873</v>
      </c>
      <c r="D179" s="4" t="s">
        <v>326</v>
      </c>
      <c r="E179" s="4" t="s">
        <v>29</v>
      </c>
    </row>
    <row r="180" spans="1:5" x14ac:dyDescent="0.25">
      <c r="A180" s="4">
        <v>179</v>
      </c>
      <c r="B180" s="4" t="s">
        <v>327</v>
      </c>
      <c r="C180" s="4" t="s">
        <v>762</v>
      </c>
      <c r="D180" s="4" t="s">
        <v>328</v>
      </c>
      <c r="E180" s="4" t="s">
        <v>29</v>
      </c>
    </row>
    <row r="181" spans="1:5" x14ac:dyDescent="0.25">
      <c r="A181" s="4">
        <v>180</v>
      </c>
      <c r="B181" s="4" t="s">
        <v>329</v>
      </c>
      <c r="C181" s="4" t="s">
        <v>763</v>
      </c>
      <c r="D181" s="4" t="s">
        <v>330</v>
      </c>
      <c r="E181" s="4" t="s">
        <v>29</v>
      </c>
    </row>
    <row r="182" spans="1:5" x14ac:dyDescent="0.25">
      <c r="A182" s="4">
        <v>181</v>
      </c>
      <c r="B182" s="4" t="s">
        <v>331</v>
      </c>
      <c r="C182" s="4" t="s">
        <v>764</v>
      </c>
      <c r="D182" s="4" t="s">
        <v>332</v>
      </c>
      <c r="E182" s="4" t="s">
        <v>29</v>
      </c>
    </row>
    <row r="183" spans="1:5" x14ac:dyDescent="0.25">
      <c r="A183" s="4">
        <v>182</v>
      </c>
      <c r="B183" s="4" t="s">
        <v>333</v>
      </c>
      <c r="C183" s="4" t="s">
        <v>765</v>
      </c>
      <c r="D183" s="4" t="s">
        <v>334</v>
      </c>
      <c r="E183" s="4" t="s">
        <v>29</v>
      </c>
    </row>
    <row r="184" spans="1:5" x14ac:dyDescent="0.25">
      <c r="A184" s="4">
        <v>183</v>
      </c>
      <c r="B184" s="4" t="s">
        <v>335</v>
      </c>
      <c r="C184" s="4" t="s">
        <v>766</v>
      </c>
      <c r="D184" s="4" t="s">
        <v>336</v>
      </c>
      <c r="E184" s="4" t="s">
        <v>29</v>
      </c>
    </row>
    <row r="185" spans="1:5" x14ac:dyDescent="0.25">
      <c r="A185" s="4">
        <v>184</v>
      </c>
      <c r="B185" s="4" t="s">
        <v>337</v>
      </c>
      <c r="C185" s="4" t="s">
        <v>767</v>
      </c>
      <c r="D185" s="4" t="s">
        <v>445</v>
      </c>
      <c r="E185" s="4" t="s">
        <v>29</v>
      </c>
    </row>
    <row r="186" spans="1:5" x14ac:dyDescent="0.25">
      <c r="A186" s="4">
        <v>185</v>
      </c>
      <c r="B186" s="4" t="s">
        <v>339</v>
      </c>
      <c r="C186" s="4" t="s">
        <v>768</v>
      </c>
      <c r="D186" s="4" t="s">
        <v>446</v>
      </c>
      <c r="E186" s="4" t="s">
        <v>29</v>
      </c>
    </row>
    <row r="187" spans="1:5" x14ac:dyDescent="0.25">
      <c r="A187" s="4">
        <v>186</v>
      </c>
      <c r="B187" s="4" t="s">
        <v>341</v>
      </c>
      <c r="C187" s="4" t="s">
        <v>769</v>
      </c>
      <c r="D187" s="4" t="s">
        <v>447</v>
      </c>
      <c r="E187" s="4" t="s">
        <v>29</v>
      </c>
    </row>
    <row r="188" spans="1:5" x14ac:dyDescent="0.25">
      <c r="A188" s="4">
        <v>187</v>
      </c>
      <c r="B188" s="4" t="s">
        <v>343</v>
      </c>
      <c r="C188" s="4" t="s">
        <v>770</v>
      </c>
      <c r="D188" s="4" t="s">
        <v>448</v>
      </c>
      <c r="E188" s="4" t="s">
        <v>29</v>
      </c>
    </row>
    <row r="189" spans="1:5" x14ac:dyDescent="0.25">
      <c r="A189" s="4">
        <v>188</v>
      </c>
      <c r="B189" s="4" t="s">
        <v>771</v>
      </c>
      <c r="C189" s="4" t="s">
        <v>772</v>
      </c>
      <c r="D189" s="4" t="s">
        <v>338</v>
      </c>
      <c r="E189" s="4" t="s">
        <v>29</v>
      </c>
    </row>
    <row r="190" spans="1:5" x14ac:dyDescent="0.25">
      <c r="A190" s="4">
        <v>189</v>
      </c>
      <c r="B190" s="4" t="s">
        <v>773</v>
      </c>
      <c r="C190" s="4" t="s">
        <v>774</v>
      </c>
      <c r="D190" s="4" t="s">
        <v>340</v>
      </c>
      <c r="E190" s="4" t="s">
        <v>29</v>
      </c>
    </row>
    <row r="191" spans="1:5" x14ac:dyDescent="0.25">
      <c r="A191" s="4">
        <v>190</v>
      </c>
      <c r="B191" s="4" t="s">
        <v>775</v>
      </c>
      <c r="C191" s="4" t="s">
        <v>776</v>
      </c>
      <c r="D191" s="4" t="s">
        <v>342</v>
      </c>
      <c r="E191" s="4" t="s">
        <v>29</v>
      </c>
    </row>
    <row r="192" spans="1:5" x14ac:dyDescent="0.25">
      <c r="A192" s="4">
        <v>191</v>
      </c>
      <c r="B192" s="4" t="s">
        <v>777</v>
      </c>
      <c r="C192" s="4" t="s">
        <v>778</v>
      </c>
      <c r="D192" s="4" t="s">
        <v>344</v>
      </c>
      <c r="E192" s="4" t="s">
        <v>29</v>
      </c>
    </row>
    <row r="193" spans="1:5" x14ac:dyDescent="0.25">
      <c r="A193" s="4">
        <v>192</v>
      </c>
      <c r="B193" s="4" t="s">
        <v>345</v>
      </c>
      <c r="C193" s="4" t="s">
        <v>346</v>
      </c>
      <c r="D193" s="4" t="s">
        <v>779</v>
      </c>
      <c r="E193" s="4" t="s">
        <v>29</v>
      </c>
    </row>
    <row r="194" spans="1:5" x14ac:dyDescent="0.25">
      <c r="A194" s="4">
        <v>193</v>
      </c>
      <c r="B194" s="4" t="s">
        <v>347</v>
      </c>
      <c r="C194" s="4" t="s">
        <v>348</v>
      </c>
      <c r="D194" s="4" t="s">
        <v>349</v>
      </c>
      <c r="E194" s="4" t="s">
        <v>29</v>
      </c>
    </row>
    <row r="195" spans="1:5" x14ac:dyDescent="0.25">
      <c r="A195" s="4">
        <v>194</v>
      </c>
      <c r="B195" s="4" t="s">
        <v>350</v>
      </c>
      <c r="C195" s="4" t="s">
        <v>351</v>
      </c>
      <c r="D195" s="4" t="s">
        <v>352</v>
      </c>
      <c r="E195" s="4" t="s">
        <v>29</v>
      </c>
    </row>
    <row r="196" spans="1:5" x14ac:dyDescent="0.25">
      <c r="A196" s="4">
        <v>195</v>
      </c>
      <c r="B196" s="4" t="s">
        <v>353</v>
      </c>
      <c r="C196" s="4" t="s">
        <v>354</v>
      </c>
      <c r="D196" s="4" t="s">
        <v>355</v>
      </c>
      <c r="E196" s="4" t="s">
        <v>29</v>
      </c>
    </row>
    <row r="197" spans="1:5" x14ac:dyDescent="0.25">
      <c r="A197" s="4">
        <v>196</v>
      </c>
      <c r="B197" s="4" t="s">
        <v>356</v>
      </c>
      <c r="C197" s="4" t="s">
        <v>357</v>
      </c>
      <c r="D197" s="4" t="s">
        <v>358</v>
      </c>
      <c r="E197" s="4" t="s">
        <v>29</v>
      </c>
    </row>
    <row r="198" spans="1:5" x14ac:dyDescent="0.25">
      <c r="A198" s="4">
        <v>197</v>
      </c>
      <c r="B198" s="4" t="s">
        <v>359</v>
      </c>
      <c r="C198" s="4" t="s">
        <v>360</v>
      </c>
      <c r="D198" s="4" t="s">
        <v>361</v>
      </c>
      <c r="E198" s="4" t="s">
        <v>29</v>
      </c>
    </row>
    <row r="199" spans="1:5" x14ac:dyDescent="0.25">
      <c r="A199" s="4">
        <v>198</v>
      </c>
      <c r="B199" s="4" t="s">
        <v>362</v>
      </c>
      <c r="C199" s="4" t="s">
        <v>363</v>
      </c>
      <c r="D199" s="4" t="s">
        <v>364</v>
      </c>
      <c r="E199" s="4" t="s">
        <v>29</v>
      </c>
    </row>
    <row r="200" spans="1:5" x14ac:dyDescent="0.25">
      <c r="A200" s="4">
        <v>199</v>
      </c>
      <c r="B200" s="4" t="s">
        <v>365</v>
      </c>
      <c r="C200" s="4" t="s">
        <v>366</v>
      </c>
      <c r="D200" s="4" t="s">
        <v>367</v>
      </c>
      <c r="E200" s="4" t="s">
        <v>29</v>
      </c>
    </row>
    <row r="201" spans="1:5" x14ac:dyDescent="0.25">
      <c r="A201" s="4">
        <v>200</v>
      </c>
      <c r="B201" s="4" t="s">
        <v>368</v>
      </c>
      <c r="C201" s="4" t="s">
        <v>369</v>
      </c>
      <c r="D201" s="4" t="s">
        <v>370</v>
      </c>
      <c r="E201" s="4" t="s">
        <v>29</v>
      </c>
    </row>
    <row r="202" spans="1:5" x14ac:dyDescent="0.25">
      <c r="A202" s="4">
        <v>201</v>
      </c>
      <c r="B202" s="4" t="s">
        <v>371</v>
      </c>
      <c r="C202" s="4" t="s">
        <v>372</v>
      </c>
      <c r="D202" s="4" t="s">
        <v>373</v>
      </c>
      <c r="E202" s="4" t="s">
        <v>29</v>
      </c>
    </row>
    <row r="203" spans="1:5" x14ac:dyDescent="0.25">
      <c r="A203" s="4">
        <v>202</v>
      </c>
      <c r="B203" s="4" t="s">
        <v>374</v>
      </c>
      <c r="C203" s="4" t="s">
        <v>375</v>
      </c>
      <c r="D203" s="4" t="s">
        <v>376</v>
      </c>
      <c r="E203" s="4" t="s">
        <v>29</v>
      </c>
    </row>
    <row r="204" spans="1:5" x14ac:dyDescent="0.25">
      <c r="A204" s="4">
        <v>203</v>
      </c>
      <c r="B204" s="4" t="s">
        <v>377</v>
      </c>
      <c r="C204" s="4" t="s">
        <v>378</v>
      </c>
      <c r="D204" s="4" t="s">
        <v>379</v>
      </c>
      <c r="E204" s="4" t="s">
        <v>29</v>
      </c>
    </row>
    <row r="205" spans="1:5" x14ac:dyDescent="0.25">
      <c r="A205" s="4">
        <v>204</v>
      </c>
      <c r="B205" s="4" t="s">
        <v>380</v>
      </c>
      <c r="C205" s="4" t="s">
        <v>381</v>
      </c>
      <c r="D205" s="4" t="s">
        <v>382</v>
      </c>
      <c r="E205" s="4" t="s">
        <v>29</v>
      </c>
    </row>
    <row r="206" spans="1:5" x14ac:dyDescent="0.25">
      <c r="A206" s="4">
        <v>205</v>
      </c>
      <c r="B206" s="4" t="s">
        <v>383</v>
      </c>
      <c r="C206" s="4" t="s">
        <v>384</v>
      </c>
      <c r="D206" s="4" t="s">
        <v>385</v>
      </c>
      <c r="E206" s="4" t="s">
        <v>29</v>
      </c>
    </row>
    <row r="207" spans="1:5" x14ac:dyDescent="0.25">
      <c r="A207" s="4">
        <v>206</v>
      </c>
      <c r="B207" s="4" t="s">
        <v>386</v>
      </c>
      <c r="C207" s="4" t="s">
        <v>387</v>
      </c>
      <c r="D207" s="4" t="s">
        <v>388</v>
      </c>
      <c r="E207" s="4" t="s">
        <v>29</v>
      </c>
    </row>
    <row r="208" spans="1:5" x14ac:dyDescent="0.25">
      <c r="A208" s="4">
        <v>207</v>
      </c>
      <c r="B208" s="4" t="s">
        <v>389</v>
      </c>
      <c r="C208" s="4" t="s">
        <v>390</v>
      </c>
      <c r="D208" s="4" t="s">
        <v>391</v>
      </c>
      <c r="E208" s="4" t="s">
        <v>29</v>
      </c>
    </row>
    <row r="209" spans="1:5" x14ac:dyDescent="0.25">
      <c r="A209" s="4">
        <v>208</v>
      </c>
      <c r="B209" s="4" t="s">
        <v>392</v>
      </c>
      <c r="C209" s="4" t="s">
        <v>393</v>
      </c>
      <c r="D209" s="4" t="s">
        <v>394</v>
      </c>
      <c r="E209" s="4" t="s">
        <v>29</v>
      </c>
    </row>
    <row r="210" spans="1:5" x14ac:dyDescent="0.25">
      <c r="A210" s="4">
        <v>209</v>
      </c>
      <c r="B210" s="4" t="s">
        <v>395</v>
      </c>
      <c r="C210" s="4" t="s">
        <v>396</v>
      </c>
      <c r="D210" s="4" t="s">
        <v>397</v>
      </c>
      <c r="E210" s="4" t="s">
        <v>29</v>
      </c>
    </row>
    <row r="211" spans="1:5" x14ac:dyDescent="0.25">
      <c r="A211" s="4">
        <v>210</v>
      </c>
      <c r="B211" s="4" t="s">
        <v>398</v>
      </c>
      <c r="C211" s="4" t="s">
        <v>399</v>
      </c>
      <c r="D211" s="4" t="s">
        <v>400</v>
      </c>
      <c r="E211" s="4" t="s">
        <v>29</v>
      </c>
    </row>
    <row r="212" spans="1:5" x14ac:dyDescent="0.25">
      <c r="A212" s="4">
        <v>211</v>
      </c>
      <c r="B212" s="4" t="s">
        <v>401</v>
      </c>
      <c r="C212" s="4" t="s">
        <v>402</v>
      </c>
      <c r="D212" s="4" t="s">
        <v>403</v>
      </c>
      <c r="E212" s="4" t="s">
        <v>29</v>
      </c>
    </row>
    <row r="213" spans="1:5" x14ac:dyDescent="0.25">
      <c r="A213" s="4">
        <v>212</v>
      </c>
      <c r="B213" s="4" t="s">
        <v>404</v>
      </c>
      <c r="C213" s="4" t="s">
        <v>405</v>
      </c>
      <c r="D213" s="4" t="s">
        <v>406</v>
      </c>
      <c r="E213" s="4" t="s">
        <v>29</v>
      </c>
    </row>
    <row r="214" spans="1:5" x14ac:dyDescent="0.25">
      <c r="A214" s="4">
        <v>213</v>
      </c>
      <c r="B214" s="4" t="s">
        <v>407</v>
      </c>
      <c r="C214" s="4" t="s">
        <v>408</v>
      </c>
      <c r="D214" s="4" t="s">
        <v>409</v>
      </c>
      <c r="E214" s="4" t="s">
        <v>29</v>
      </c>
    </row>
    <row r="215" spans="1:5" x14ac:dyDescent="0.25">
      <c r="A215" s="4">
        <v>214</v>
      </c>
      <c r="B215" s="4" t="s">
        <v>410</v>
      </c>
      <c r="C215" s="4" t="s">
        <v>411</v>
      </c>
      <c r="D215" s="4" t="s">
        <v>412</v>
      </c>
      <c r="E215" s="4" t="s">
        <v>29</v>
      </c>
    </row>
    <row r="216" spans="1:5" x14ac:dyDescent="0.25">
      <c r="A216" s="4">
        <v>215</v>
      </c>
      <c r="B216" s="4" t="s">
        <v>413</v>
      </c>
      <c r="C216" s="4" t="s">
        <v>414</v>
      </c>
      <c r="D216" s="4" t="s">
        <v>415</v>
      </c>
      <c r="E216" s="4" t="s">
        <v>29</v>
      </c>
    </row>
    <row r="217" spans="1:5" x14ac:dyDescent="0.25">
      <c r="A217" s="4">
        <v>216</v>
      </c>
      <c r="B217" s="4" t="s">
        <v>416</v>
      </c>
      <c r="C217" s="4" t="s">
        <v>417</v>
      </c>
      <c r="D217" s="4" t="s">
        <v>418</v>
      </c>
      <c r="E217" s="4" t="s">
        <v>29</v>
      </c>
    </row>
    <row r="218" spans="1:5" x14ac:dyDescent="0.25">
      <c r="A218" s="4">
        <v>217</v>
      </c>
      <c r="B218" s="4" t="s">
        <v>419</v>
      </c>
      <c r="C218" s="4" t="s">
        <v>420</v>
      </c>
      <c r="D218" s="4" t="s">
        <v>421</v>
      </c>
      <c r="E218" s="4" t="s">
        <v>29</v>
      </c>
    </row>
    <row r="219" spans="1:5" x14ac:dyDescent="0.25">
      <c r="A219" s="4">
        <v>218</v>
      </c>
      <c r="B219" s="4" t="s">
        <v>422</v>
      </c>
      <c r="C219" s="4" t="s">
        <v>423</v>
      </c>
      <c r="D219" s="4" t="s">
        <v>424</v>
      </c>
      <c r="E219" s="4" t="s">
        <v>29</v>
      </c>
    </row>
    <row r="220" spans="1:5" x14ac:dyDescent="0.25">
      <c r="A220" s="4">
        <v>219</v>
      </c>
      <c r="B220" s="4" t="s">
        <v>425</v>
      </c>
      <c r="C220" s="4" t="s">
        <v>426</v>
      </c>
      <c r="D220" s="4" t="s">
        <v>427</v>
      </c>
      <c r="E220" s="4" t="s">
        <v>29</v>
      </c>
    </row>
    <row r="221" spans="1:5" x14ac:dyDescent="0.25">
      <c r="A221" s="4">
        <v>220</v>
      </c>
      <c r="B221" s="4" t="s">
        <v>428</v>
      </c>
      <c r="C221" s="4" t="s">
        <v>429</v>
      </c>
      <c r="D221" s="4" t="s">
        <v>430</v>
      </c>
      <c r="E221" s="4" t="s">
        <v>29</v>
      </c>
    </row>
    <row r="222" spans="1:5" x14ac:dyDescent="0.25">
      <c r="A222" s="4">
        <v>221</v>
      </c>
      <c r="B222" s="4" t="s">
        <v>431</v>
      </c>
      <c r="C222" s="4" t="s">
        <v>432</v>
      </c>
      <c r="D222" s="4" t="s">
        <v>433</v>
      </c>
      <c r="E222" s="4" t="s">
        <v>29</v>
      </c>
    </row>
    <row r="223" spans="1:5" x14ac:dyDescent="0.25">
      <c r="A223" s="4">
        <v>222</v>
      </c>
      <c r="B223" s="4" t="s">
        <v>434</v>
      </c>
      <c r="C223" s="4" t="s">
        <v>435</v>
      </c>
      <c r="D223" s="4" t="s">
        <v>436</v>
      </c>
      <c r="E223" s="4" t="s">
        <v>29</v>
      </c>
    </row>
    <row r="224" spans="1:5" x14ac:dyDescent="0.25">
      <c r="A224" s="4">
        <v>223</v>
      </c>
      <c r="B224" s="4" t="s">
        <v>437</v>
      </c>
      <c r="C224" s="4" t="s">
        <v>438</v>
      </c>
      <c r="D224" s="4" t="s">
        <v>780</v>
      </c>
      <c r="E224" s="4" t="s">
        <v>29</v>
      </c>
    </row>
    <row r="225" spans="1:5" x14ac:dyDescent="0.25">
      <c r="A225" s="4">
        <v>224</v>
      </c>
      <c r="B225" s="4" t="s">
        <v>449</v>
      </c>
      <c r="C225" s="4" t="s">
        <v>450</v>
      </c>
      <c r="D225" s="4" t="s">
        <v>451</v>
      </c>
      <c r="E225" s="4" t="s">
        <v>29</v>
      </c>
    </row>
    <row r="226" spans="1:5" x14ac:dyDescent="0.25">
      <c r="A226" s="4">
        <v>225</v>
      </c>
      <c r="B226" s="4" t="s">
        <v>452</v>
      </c>
      <c r="C226" s="4" t="s">
        <v>453</v>
      </c>
      <c r="D226" s="4" t="s">
        <v>454</v>
      </c>
      <c r="E226" s="4" t="s">
        <v>29</v>
      </c>
    </row>
    <row r="227" spans="1:5" x14ac:dyDescent="0.25">
      <c r="A227" s="4">
        <v>226</v>
      </c>
      <c r="B227" s="4" t="s">
        <v>455</v>
      </c>
      <c r="C227" s="4" t="s">
        <v>456</v>
      </c>
      <c r="D227" s="4" t="s">
        <v>457</v>
      </c>
      <c r="E227" s="4" t="s">
        <v>29</v>
      </c>
    </row>
    <row r="228" spans="1:5" x14ac:dyDescent="0.25">
      <c r="A228" s="4">
        <v>227</v>
      </c>
      <c r="B228" s="4" t="s">
        <v>458</v>
      </c>
      <c r="C228" s="4" t="s">
        <v>459</v>
      </c>
      <c r="D228" s="4" t="s">
        <v>460</v>
      </c>
      <c r="E228" s="4" t="s">
        <v>29</v>
      </c>
    </row>
    <row r="229" spans="1:5" x14ac:dyDescent="0.25">
      <c r="A229" s="4">
        <v>228</v>
      </c>
      <c r="B229" s="4" t="s">
        <v>461</v>
      </c>
      <c r="C229" s="4" t="s">
        <v>462</v>
      </c>
      <c r="D229" s="4" t="s">
        <v>463</v>
      </c>
      <c r="E229" s="4" t="s">
        <v>29</v>
      </c>
    </row>
    <row r="230" spans="1:5" x14ac:dyDescent="0.25">
      <c r="A230" s="4">
        <v>229</v>
      </c>
      <c r="B230" s="4" t="s">
        <v>464</v>
      </c>
      <c r="C230" s="4" t="s">
        <v>465</v>
      </c>
      <c r="D230" s="4" t="s">
        <v>466</v>
      </c>
      <c r="E230" s="4" t="s">
        <v>29</v>
      </c>
    </row>
    <row r="231" spans="1:5" x14ac:dyDescent="0.25">
      <c r="A231" s="4">
        <v>230</v>
      </c>
      <c r="B231" s="4" t="s">
        <v>467</v>
      </c>
      <c r="C231" s="4" t="s">
        <v>468</v>
      </c>
      <c r="D231" s="4" t="s">
        <v>469</v>
      </c>
      <c r="E231" s="4" t="s">
        <v>29</v>
      </c>
    </row>
    <row r="232" spans="1:5" x14ac:dyDescent="0.25">
      <c r="A232" s="4">
        <v>231</v>
      </c>
      <c r="B232" s="4" t="s">
        <v>470</v>
      </c>
      <c r="C232" s="4" t="s">
        <v>471</v>
      </c>
      <c r="D232" s="4" t="s">
        <v>472</v>
      </c>
      <c r="E232" s="4" t="s">
        <v>29</v>
      </c>
    </row>
    <row r="233" spans="1:5" x14ac:dyDescent="0.25">
      <c r="A233" s="4">
        <v>232</v>
      </c>
      <c r="B233" s="4" t="s">
        <v>473</v>
      </c>
      <c r="C233" s="4" t="s">
        <v>474</v>
      </c>
      <c r="D233" s="4" t="s">
        <v>475</v>
      </c>
      <c r="E233" s="4" t="s">
        <v>29</v>
      </c>
    </row>
    <row r="234" spans="1:5" x14ac:dyDescent="0.25">
      <c r="A234" s="4">
        <v>233</v>
      </c>
      <c r="B234" s="4" t="s">
        <v>476</v>
      </c>
      <c r="C234" s="4" t="s">
        <v>477</v>
      </c>
      <c r="D234" s="4" t="s">
        <v>478</v>
      </c>
      <c r="E234" s="4" t="s">
        <v>29</v>
      </c>
    </row>
    <row r="235" spans="1:5" x14ac:dyDescent="0.25">
      <c r="A235" s="4">
        <v>234</v>
      </c>
      <c r="B235" s="4" t="s">
        <v>479</v>
      </c>
      <c r="C235" s="4" t="s">
        <v>480</v>
      </c>
      <c r="D235" s="4" t="s">
        <v>481</v>
      </c>
      <c r="E235" s="4" t="s">
        <v>29</v>
      </c>
    </row>
    <row r="236" spans="1:5" x14ac:dyDescent="0.25">
      <c r="A236" s="4">
        <v>235</v>
      </c>
      <c r="B236" s="4" t="s">
        <v>482</v>
      </c>
      <c r="C236" s="4" t="s">
        <v>483</v>
      </c>
      <c r="D236" s="4" t="s">
        <v>484</v>
      </c>
      <c r="E236" s="4" t="s">
        <v>29</v>
      </c>
    </row>
    <row r="237" spans="1:5" x14ac:dyDescent="0.25">
      <c r="A237" s="4">
        <v>236</v>
      </c>
      <c r="B237" s="4" t="s">
        <v>485</v>
      </c>
      <c r="C237" s="4" t="s">
        <v>486</v>
      </c>
      <c r="D237" s="4" t="s">
        <v>487</v>
      </c>
      <c r="E237" s="4" t="s">
        <v>29</v>
      </c>
    </row>
    <row r="238" spans="1:5" x14ac:dyDescent="0.25">
      <c r="A238" s="4">
        <v>237</v>
      </c>
      <c r="B238" s="4" t="s">
        <v>488</v>
      </c>
      <c r="C238" s="4" t="s">
        <v>489</v>
      </c>
      <c r="D238" s="4" t="s">
        <v>490</v>
      </c>
      <c r="E238" s="4" t="s">
        <v>29</v>
      </c>
    </row>
    <row r="239" spans="1:5" x14ac:dyDescent="0.25">
      <c r="A239" s="4">
        <v>238</v>
      </c>
      <c r="B239" s="4" t="s">
        <v>491</v>
      </c>
      <c r="C239" s="4" t="s">
        <v>492</v>
      </c>
      <c r="D239" s="4" t="s">
        <v>338</v>
      </c>
      <c r="E239" s="4" t="s">
        <v>29</v>
      </c>
    </row>
    <row r="240" spans="1:5" x14ac:dyDescent="0.25">
      <c r="A240" s="4">
        <v>239</v>
      </c>
      <c r="B240" s="4" t="s">
        <v>493</v>
      </c>
      <c r="C240" s="4" t="s">
        <v>494</v>
      </c>
      <c r="D240" s="4" t="s">
        <v>340</v>
      </c>
      <c r="E240" s="4" t="s">
        <v>29</v>
      </c>
    </row>
    <row r="241" spans="1:5" x14ac:dyDescent="0.25">
      <c r="A241" s="4">
        <v>240</v>
      </c>
      <c r="B241" s="4" t="s">
        <v>495</v>
      </c>
      <c r="C241" s="4" t="s">
        <v>496</v>
      </c>
      <c r="D241" s="4" t="s">
        <v>342</v>
      </c>
      <c r="E241" s="4" t="s">
        <v>29</v>
      </c>
    </row>
    <row r="242" spans="1:5" x14ac:dyDescent="0.25">
      <c r="A242" s="4">
        <v>241</v>
      </c>
      <c r="B242" s="4" t="s">
        <v>497</v>
      </c>
      <c r="C242" s="4" t="s">
        <v>498</v>
      </c>
      <c r="D242" s="4" t="s">
        <v>344</v>
      </c>
      <c r="E242" s="4" t="s">
        <v>29</v>
      </c>
    </row>
    <row r="243" spans="1:5" x14ac:dyDescent="0.25">
      <c r="A243" s="4">
        <v>242</v>
      </c>
      <c r="B243" s="4" t="s">
        <v>499</v>
      </c>
      <c r="C243" s="4" t="s">
        <v>863</v>
      </c>
      <c r="D243" s="4" t="s">
        <v>500</v>
      </c>
      <c r="E243" s="4" t="s">
        <v>29</v>
      </c>
    </row>
    <row r="244" spans="1:5" x14ac:dyDescent="0.25">
      <c r="A244" s="4">
        <v>243</v>
      </c>
      <c r="B244" s="4" t="s">
        <v>501</v>
      </c>
      <c r="C244" s="4" t="s">
        <v>502</v>
      </c>
      <c r="D244" s="4" t="s">
        <v>503</v>
      </c>
      <c r="E244" s="4" t="s">
        <v>29</v>
      </c>
    </row>
    <row r="245" spans="1:5" x14ac:dyDescent="0.25">
      <c r="A245" s="4">
        <v>244</v>
      </c>
      <c r="B245" s="4" t="s">
        <v>504</v>
      </c>
      <c r="C245" s="4" t="s">
        <v>505</v>
      </c>
      <c r="D245" s="4" t="s">
        <v>506</v>
      </c>
      <c r="E245" s="4" t="s">
        <v>29</v>
      </c>
    </row>
    <row r="246" spans="1:5" x14ac:dyDescent="0.25">
      <c r="A246" s="4">
        <v>245</v>
      </c>
      <c r="B246" s="4" t="s">
        <v>507</v>
      </c>
      <c r="C246" s="4" t="s">
        <v>508</v>
      </c>
      <c r="D246" s="4" t="s">
        <v>509</v>
      </c>
      <c r="E246" s="4" t="s">
        <v>29</v>
      </c>
    </row>
    <row r="247" spans="1:5" x14ac:dyDescent="0.25">
      <c r="A247" s="4">
        <v>246</v>
      </c>
      <c r="B247" s="4" t="s">
        <v>781</v>
      </c>
      <c r="C247" s="4" t="s">
        <v>782</v>
      </c>
      <c r="D247" s="4" t="s">
        <v>783</v>
      </c>
      <c r="E247" s="4" t="s">
        <v>647</v>
      </c>
    </row>
    <row r="248" spans="1:5" x14ac:dyDescent="0.25">
      <c r="A248" s="4">
        <v>247</v>
      </c>
      <c r="B248" s="4" t="s">
        <v>784</v>
      </c>
      <c r="C248" s="4" t="s">
        <v>864</v>
      </c>
      <c r="D248" s="4" t="s">
        <v>785</v>
      </c>
      <c r="E248" s="4" t="s">
        <v>29</v>
      </c>
    </row>
    <row r="249" spans="1:5" x14ac:dyDescent="0.25">
      <c r="A249" s="4">
        <v>248</v>
      </c>
      <c r="B249" s="4" t="s">
        <v>786</v>
      </c>
      <c r="C249" s="4" t="s">
        <v>865</v>
      </c>
      <c r="D249" s="4" t="s">
        <v>787</v>
      </c>
      <c r="E249" s="4" t="s">
        <v>29</v>
      </c>
    </row>
    <row r="250" spans="1:5" x14ac:dyDescent="0.25">
      <c r="A250" s="4">
        <v>249</v>
      </c>
      <c r="B250" s="4" t="s">
        <v>788</v>
      </c>
      <c r="C250" s="4" t="s">
        <v>866</v>
      </c>
      <c r="D250" s="4" t="s">
        <v>789</v>
      </c>
      <c r="E250" s="4" t="s">
        <v>29</v>
      </c>
    </row>
    <row r="251" spans="1:5" x14ac:dyDescent="0.25">
      <c r="A251" s="4">
        <v>250</v>
      </c>
      <c r="B251" s="4" t="s">
        <v>790</v>
      </c>
      <c r="C251" s="4" t="s">
        <v>867</v>
      </c>
      <c r="D251" s="4" t="s">
        <v>791</v>
      </c>
      <c r="E251" s="4" t="s">
        <v>29</v>
      </c>
    </row>
    <row r="252" spans="1:5" x14ac:dyDescent="0.25">
      <c r="A252" s="4">
        <v>251</v>
      </c>
      <c r="B252" s="4" t="s">
        <v>88</v>
      </c>
      <c r="C252" s="4" t="s">
        <v>593</v>
      </c>
      <c r="D252" s="4" t="s">
        <v>89</v>
      </c>
      <c r="E252" s="4" t="s">
        <v>29</v>
      </c>
    </row>
    <row r="253" spans="1:5" x14ac:dyDescent="0.25">
      <c r="A253" s="4">
        <v>252</v>
      </c>
      <c r="B253" s="4" t="s">
        <v>792</v>
      </c>
      <c r="C253" s="4" t="s">
        <v>868</v>
      </c>
      <c r="D253" s="4" t="s">
        <v>268</v>
      </c>
      <c r="E253" s="4" t="s">
        <v>29</v>
      </c>
    </row>
    <row r="254" spans="1:5" x14ac:dyDescent="0.25">
      <c r="A254" s="4">
        <v>253</v>
      </c>
      <c r="B254" s="4" t="s">
        <v>793</v>
      </c>
      <c r="C254" s="4" t="s">
        <v>794</v>
      </c>
      <c r="D254" s="4" t="s">
        <v>795</v>
      </c>
      <c r="E254" s="4" t="s">
        <v>29</v>
      </c>
    </row>
    <row r="255" spans="1:5" x14ac:dyDescent="0.25">
      <c r="A255" s="4">
        <v>254</v>
      </c>
      <c r="B255" s="4" t="s">
        <v>888</v>
      </c>
      <c r="C255" s="4" t="s">
        <v>889</v>
      </c>
      <c r="D255" s="4" t="s">
        <v>890</v>
      </c>
      <c r="E255" s="4" t="s">
        <v>891</v>
      </c>
    </row>
    <row r="256" spans="1:5" x14ac:dyDescent="0.25">
      <c r="A256" s="4">
        <v>255</v>
      </c>
      <c r="B256" s="4" t="s">
        <v>13</v>
      </c>
      <c r="C256" s="4" t="s">
        <v>13</v>
      </c>
      <c r="D256" s="4" t="s">
        <v>511</v>
      </c>
      <c r="E256" s="4" t="s">
        <v>512</v>
      </c>
    </row>
    <row r="257" spans="1:5" x14ac:dyDescent="0.25">
      <c r="A257" s="4">
        <v>256</v>
      </c>
      <c r="B257" s="4" t="s">
        <v>513</v>
      </c>
      <c r="C257" s="4" t="s">
        <v>513</v>
      </c>
      <c r="D257" s="4" t="s">
        <v>514</v>
      </c>
      <c r="E257" s="4" t="s">
        <v>512</v>
      </c>
    </row>
    <row r="258" spans="1:5" x14ac:dyDescent="0.25">
      <c r="A258" s="4">
        <v>257</v>
      </c>
      <c r="B258" s="4" t="s">
        <v>15</v>
      </c>
      <c r="C258" s="4" t="s">
        <v>15</v>
      </c>
      <c r="D258" s="4" t="s">
        <v>515</v>
      </c>
      <c r="E258" s="4" t="s">
        <v>512</v>
      </c>
    </row>
    <row r="259" spans="1:5" x14ac:dyDescent="0.25">
      <c r="A259" s="4">
        <v>258</v>
      </c>
      <c r="B259" s="4" t="s">
        <v>439</v>
      </c>
      <c r="C259" s="4" t="s">
        <v>516</v>
      </c>
      <c r="D259" s="4" t="s">
        <v>517</v>
      </c>
      <c r="E259" s="4" t="s">
        <v>512</v>
      </c>
    </row>
    <row r="260" spans="1:5" x14ac:dyDescent="0.25">
      <c r="A260" s="4">
        <v>259</v>
      </c>
      <c r="B260" s="4" t="s">
        <v>440</v>
      </c>
      <c r="C260" s="4" t="s">
        <v>518</v>
      </c>
      <c r="D260" s="4" t="s">
        <v>519</v>
      </c>
      <c r="E260" s="4" t="s">
        <v>512</v>
      </c>
    </row>
    <row r="261" spans="1:5" x14ac:dyDescent="0.25">
      <c r="A261" s="4">
        <v>260</v>
      </c>
      <c r="B261" s="4" t="s">
        <v>544</v>
      </c>
      <c r="C261" s="4" t="s">
        <v>552</v>
      </c>
      <c r="D261" s="4" t="s">
        <v>847</v>
      </c>
      <c r="E261" s="4" t="s">
        <v>512</v>
      </c>
    </row>
    <row r="262" spans="1:5" x14ac:dyDescent="0.25">
      <c r="A262" s="4">
        <v>261</v>
      </c>
      <c r="B262" s="4" t="s">
        <v>838</v>
      </c>
      <c r="C262" s="4" t="s">
        <v>839</v>
      </c>
      <c r="D262" s="4" t="s">
        <v>848</v>
      </c>
      <c r="E262" s="4" t="s">
        <v>512</v>
      </c>
    </row>
    <row r="263" spans="1:5" x14ac:dyDescent="0.25">
      <c r="A263" s="4">
        <v>262</v>
      </c>
      <c r="B263" s="4" t="s">
        <v>16</v>
      </c>
      <c r="C263" s="4" t="s">
        <v>520</v>
      </c>
      <c r="D263" s="4" t="s">
        <v>521</v>
      </c>
      <c r="E263" s="4" t="s">
        <v>512</v>
      </c>
    </row>
  </sheetData>
  <pageMargins left="0.7" right="0.7" top="0.78740157499999996" bottom="0.78740157499999996" header="0.3" footer="0.3"/>
  <pageSetup paperSize="9" orientation="portrait" horizontalDpi="1200" verticalDpi="12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6"/>
  <dimension ref="A1:G117"/>
  <sheetViews>
    <sheetView topLeftCell="A100" workbookViewId="0">
      <selection activeCell="G107" sqref="G107"/>
    </sheetView>
  </sheetViews>
  <sheetFormatPr baseColWidth="10" defaultRowHeight="15" x14ac:dyDescent="0.25"/>
  <cols>
    <col min="1" max="1" width="25" bestFit="1" customWidth="1"/>
    <col min="2" max="2" width="13.5703125" bestFit="1" customWidth="1"/>
    <col min="3" max="3" width="24.85546875" bestFit="1" customWidth="1"/>
    <col min="4" max="4" width="26.5703125" bestFit="1" customWidth="1"/>
    <col min="5" max="5" width="17.28515625" bestFit="1" customWidth="1"/>
    <col min="6" max="6" width="36.28515625" bestFit="1" customWidth="1"/>
    <col min="7" max="7" width="29.85546875" bestFit="1" customWidth="1"/>
  </cols>
  <sheetData>
    <row r="1" spans="1:7" x14ac:dyDescent="0.25">
      <c r="A1" s="4" t="s">
        <v>18</v>
      </c>
      <c r="B1" s="4" t="s">
        <v>11</v>
      </c>
      <c r="C1" s="4" t="s">
        <v>12</v>
      </c>
      <c r="D1" s="4" t="s">
        <v>14</v>
      </c>
      <c r="E1" s="4" t="s">
        <v>19</v>
      </c>
      <c r="F1" s="4" t="s">
        <v>901</v>
      </c>
      <c r="G1" s="4" t="s">
        <v>902</v>
      </c>
    </row>
    <row r="2" spans="1:7" x14ac:dyDescent="0.25">
      <c r="A2" s="4">
        <v>106</v>
      </c>
      <c r="B2" s="4">
        <v>8</v>
      </c>
      <c r="C2" s="4" t="s">
        <v>16</v>
      </c>
      <c r="D2" s="4" t="s">
        <v>520</v>
      </c>
      <c r="E2" s="4">
        <v>181</v>
      </c>
      <c r="F2" s="4" t="s">
        <v>331</v>
      </c>
      <c r="G2" s="4" t="s">
        <v>764</v>
      </c>
    </row>
    <row r="3" spans="1:7" x14ac:dyDescent="0.25">
      <c r="A3" s="4">
        <v>105</v>
      </c>
      <c r="B3" s="4">
        <v>8</v>
      </c>
      <c r="C3" s="4" t="s">
        <v>16</v>
      </c>
      <c r="D3" s="4" t="s">
        <v>520</v>
      </c>
      <c r="E3" s="4">
        <v>180</v>
      </c>
      <c r="F3" s="4" t="s">
        <v>329</v>
      </c>
      <c r="G3" s="4" t="s">
        <v>763</v>
      </c>
    </row>
    <row r="4" spans="1:7" x14ac:dyDescent="0.25">
      <c r="A4" s="4">
        <v>108</v>
      </c>
      <c r="B4" s="4">
        <v>8</v>
      </c>
      <c r="C4" s="4" t="s">
        <v>16</v>
      </c>
      <c r="D4" s="4" t="s">
        <v>520</v>
      </c>
      <c r="E4" s="4">
        <v>183</v>
      </c>
      <c r="F4" s="4" t="s">
        <v>335</v>
      </c>
      <c r="G4" s="4" t="s">
        <v>766</v>
      </c>
    </row>
    <row r="5" spans="1:7" x14ac:dyDescent="0.25">
      <c r="A5" s="4">
        <v>107</v>
      </c>
      <c r="B5" s="4">
        <v>8</v>
      </c>
      <c r="C5" s="4" t="s">
        <v>16</v>
      </c>
      <c r="D5" s="4" t="s">
        <v>520</v>
      </c>
      <c r="E5" s="4">
        <v>182</v>
      </c>
      <c r="F5" s="4" t="s">
        <v>333</v>
      </c>
      <c r="G5" s="4" t="s">
        <v>765</v>
      </c>
    </row>
    <row r="6" spans="1:7" x14ac:dyDescent="0.25">
      <c r="A6" s="4">
        <v>114</v>
      </c>
      <c r="B6" s="4">
        <v>8</v>
      </c>
      <c r="C6" s="4" t="s">
        <v>16</v>
      </c>
      <c r="D6" s="4" t="s">
        <v>520</v>
      </c>
      <c r="E6" s="4">
        <v>189</v>
      </c>
      <c r="F6" s="4" t="s">
        <v>773</v>
      </c>
      <c r="G6" s="4" t="s">
        <v>774</v>
      </c>
    </row>
    <row r="7" spans="1:7" x14ac:dyDescent="0.25">
      <c r="A7" s="4">
        <v>113</v>
      </c>
      <c r="B7" s="4">
        <v>8</v>
      </c>
      <c r="C7" s="4" t="s">
        <v>16</v>
      </c>
      <c r="D7" s="4" t="s">
        <v>520</v>
      </c>
      <c r="E7" s="4">
        <v>188</v>
      </c>
      <c r="F7" s="4" t="s">
        <v>771</v>
      </c>
      <c r="G7" s="4" t="s">
        <v>772</v>
      </c>
    </row>
    <row r="8" spans="1:7" x14ac:dyDescent="0.25">
      <c r="A8" s="4">
        <v>116</v>
      </c>
      <c r="B8" s="4">
        <v>8</v>
      </c>
      <c r="C8" s="4" t="s">
        <v>16</v>
      </c>
      <c r="D8" s="4" t="s">
        <v>520</v>
      </c>
      <c r="E8" s="4">
        <v>191</v>
      </c>
      <c r="F8" s="4" t="s">
        <v>777</v>
      </c>
      <c r="G8" s="4" t="s">
        <v>778</v>
      </c>
    </row>
    <row r="9" spans="1:7" x14ac:dyDescent="0.25">
      <c r="A9" s="4">
        <v>115</v>
      </c>
      <c r="B9" s="4">
        <v>8</v>
      </c>
      <c r="C9" s="4" t="s">
        <v>16</v>
      </c>
      <c r="D9" s="4" t="s">
        <v>520</v>
      </c>
      <c r="E9" s="4">
        <v>190</v>
      </c>
      <c r="F9" s="4" t="s">
        <v>775</v>
      </c>
      <c r="G9" s="4" t="s">
        <v>776</v>
      </c>
    </row>
    <row r="10" spans="1:7" x14ac:dyDescent="0.25">
      <c r="A10" s="4">
        <v>110</v>
      </c>
      <c r="B10" s="4">
        <v>8</v>
      </c>
      <c r="C10" s="4" t="s">
        <v>16</v>
      </c>
      <c r="D10" s="4" t="s">
        <v>520</v>
      </c>
      <c r="E10" s="4">
        <v>185</v>
      </c>
      <c r="F10" s="4" t="s">
        <v>339</v>
      </c>
      <c r="G10" s="4" t="s">
        <v>768</v>
      </c>
    </row>
    <row r="11" spans="1:7" x14ac:dyDescent="0.25">
      <c r="A11" s="4">
        <v>109</v>
      </c>
      <c r="B11" s="4">
        <v>8</v>
      </c>
      <c r="C11" s="4" t="s">
        <v>16</v>
      </c>
      <c r="D11" s="4" t="s">
        <v>520</v>
      </c>
      <c r="E11" s="4">
        <v>184</v>
      </c>
      <c r="F11" s="4" t="s">
        <v>337</v>
      </c>
      <c r="G11" s="4" t="s">
        <v>767</v>
      </c>
    </row>
    <row r="12" spans="1:7" x14ac:dyDescent="0.25">
      <c r="A12" s="4">
        <v>112</v>
      </c>
      <c r="B12" s="4">
        <v>8</v>
      </c>
      <c r="C12" s="4" t="s">
        <v>16</v>
      </c>
      <c r="D12" s="4" t="s">
        <v>520</v>
      </c>
      <c r="E12" s="4">
        <v>187</v>
      </c>
      <c r="F12" s="4" t="s">
        <v>343</v>
      </c>
      <c r="G12" s="4" t="s">
        <v>770</v>
      </c>
    </row>
    <row r="13" spans="1:7" x14ac:dyDescent="0.25">
      <c r="A13" s="4">
        <v>111</v>
      </c>
      <c r="B13" s="4">
        <v>8</v>
      </c>
      <c r="C13" s="4" t="s">
        <v>16</v>
      </c>
      <c r="D13" s="4" t="s">
        <v>520</v>
      </c>
      <c r="E13" s="4">
        <v>186</v>
      </c>
      <c r="F13" s="4" t="s">
        <v>341</v>
      </c>
      <c r="G13" s="4" t="s">
        <v>769</v>
      </c>
    </row>
    <row r="14" spans="1:7" x14ac:dyDescent="0.25">
      <c r="A14" s="4">
        <v>64</v>
      </c>
      <c r="B14" s="4">
        <v>3</v>
      </c>
      <c r="C14" s="4" t="s">
        <v>15</v>
      </c>
      <c r="D14" s="4" t="s">
        <v>15</v>
      </c>
      <c r="E14" s="4">
        <v>105</v>
      </c>
      <c r="F14" s="4" t="s">
        <v>221</v>
      </c>
      <c r="G14" s="4" t="s">
        <v>664</v>
      </c>
    </row>
    <row r="15" spans="1:7" x14ac:dyDescent="0.25">
      <c r="A15" s="4">
        <v>65</v>
      </c>
      <c r="B15" s="4">
        <v>3</v>
      </c>
      <c r="C15" s="4" t="s">
        <v>15</v>
      </c>
      <c r="D15" s="4" t="s">
        <v>15</v>
      </c>
      <c r="E15" s="4">
        <v>106</v>
      </c>
      <c r="F15" s="4" t="s">
        <v>36</v>
      </c>
      <c r="G15" s="4" t="s">
        <v>665</v>
      </c>
    </row>
    <row r="16" spans="1:7" x14ac:dyDescent="0.25">
      <c r="A16" s="4">
        <v>66</v>
      </c>
      <c r="B16" s="4">
        <v>3</v>
      </c>
      <c r="C16" s="4" t="s">
        <v>15</v>
      </c>
      <c r="D16" s="4" t="s">
        <v>15</v>
      </c>
      <c r="E16" s="4">
        <v>8</v>
      </c>
      <c r="F16" s="4" t="s">
        <v>30</v>
      </c>
      <c r="G16" s="4" t="s">
        <v>572</v>
      </c>
    </row>
    <row r="17" spans="1:7" x14ac:dyDescent="0.25">
      <c r="A17" s="4">
        <v>67</v>
      </c>
      <c r="B17" s="4">
        <v>3</v>
      </c>
      <c r="C17" s="4" t="s">
        <v>15</v>
      </c>
      <c r="D17" s="4" t="s">
        <v>15</v>
      </c>
      <c r="E17" s="4">
        <v>107</v>
      </c>
      <c r="F17" s="4" t="s">
        <v>224</v>
      </c>
      <c r="G17" s="4" t="s">
        <v>666</v>
      </c>
    </row>
    <row r="18" spans="1:7" x14ac:dyDescent="0.25">
      <c r="A18" s="4">
        <v>68</v>
      </c>
      <c r="B18" s="4">
        <v>3</v>
      </c>
      <c r="C18" s="4" t="s">
        <v>15</v>
      </c>
      <c r="D18" s="4" t="s">
        <v>15</v>
      </c>
      <c r="E18" s="4">
        <v>108</v>
      </c>
      <c r="F18" s="4" t="s">
        <v>226</v>
      </c>
      <c r="G18" s="4" t="s">
        <v>667</v>
      </c>
    </row>
    <row r="19" spans="1:7" x14ac:dyDescent="0.25">
      <c r="A19" s="4">
        <v>69</v>
      </c>
      <c r="B19" s="4">
        <v>3</v>
      </c>
      <c r="C19" s="4" t="s">
        <v>15</v>
      </c>
      <c r="D19" s="4" t="s">
        <v>15</v>
      </c>
      <c r="E19" s="4">
        <v>15</v>
      </c>
      <c r="F19" s="4" t="s">
        <v>3</v>
      </c>
      <c r="G19" s="4" t="s">
        <v>578</v>
      </c>
    </row>
    <row r="20" spans="1:7" x14ac:dyDescent="0.25">
      <c r="A20" s="4">
        <v>70</v>
      </c>
      <c r="B20" s="4">
        <v>3</v>
      </c>
      <c r="C20" s="4" t="s">
        <v>15</v>
      </c>
      <c r="D20" s="4" t="s">
        <v>15</v>
      </c>
      <c r="E20" s="4">
        <v>109</v>
      </c>
      <c r="F20" s="4" t="s">
        <v>228</v>
      </c>
      <c r="G20" s="4" t="s">
        <v>668</v>
      </c>
    </row>
    <row r="21" spans="1:7" x14ac:dyDescent="0.25">
      <c r="A21" s="4">
        <v>71</v>
      </c>
      <c r="B21" s="4">
        <v>3</v>
      </c>
      <c r="C21" s="4" t="s">
        <v>15</v>
      </c>
      <c r="D21" s="4" t="s">
        <v>15</v>
      </c>
      <c r="E21" s="4">
        <v>20</v>
      </c>
      <c r="F21" s="4" t="s">
        <v>4</v>
      </c>
      <c r="G21" s="4" t="s">
        <v>583</v>
      </c>
    </row>
    <row r="22" spans="1:7" x14ac:dyDescent="0.25">
      <c r="A22" s="4">
        <v>72</v>
      </c>
      <c r="B22" s="4">
        <v>3</v>
      </c>
      <c r="C22" s="4" t="s">
        <v>15</v>
      </c>
      <c r="D22" s="4" t="s">
        <v>15</v>
      </c>
      <c r="E22" s="4">
        <v>69</v>
      </c>
      <c r="F22" s="4" t="s">
        <v>35</v>
      </c>
      <c r="G22" s="4" t="s">
        <v>633</v>
      </c>
    </row>
    <row r="23" spans="1:7" x14ac:dyDescent="0.25">
      <c r="A23" s="4">
        <v>73</v>
      </c>
      <c r="B23" s="4">
        <v>3</v>
      </c>
      <c r="C23" s="4" t="s">
        <v>15</v>
      </c>
      <c r="D23" s="4" t="s">
        <v>15</v>
      </c>
      <c r="E23" s="4">
        <v>27</v>
      </c>
      <c r="F23" s="4" t="s">
        <v>10</v>
      </c>
      <c r="G23" s="4" t="s">
        <v>590</v>
      </c>
    </row>
    <row r="24" spans="1:7" x14ac:dyDescent="0.25">
      <c r="A24" s="4">
        <v>74</v>
      </c>
      <c r="B24" s="4">
        <v>4</v>
      </c>
      <c r="C24" s="4" t="s">
        <v>439</v>
      </c>
      <c r="D24" s="4" t="s">
        <v>516</v>
      </c>
      <c r="E24" s="4">
        <v>105</v>
      </c>
      <c r="F24" s="4" t="s">
        <v>221</v>
      </c>
      <c r="G24" s="4" t="s">
        <v>664</v>
      </c>
    </row>
    <row r="25" spans="1:7" x14ac:dyDescent="0.25">
      <c r="A25" s="4">
        <v>75</v>
      </c>
      <c r="B25" s="4">
        <v>4</v>
      </c>
      <c r="C25" s="4" t="s">
        <v>439</v>
      </c>
      <c r="D25" s="4" t="s">
        <v>516</v>
      </c>
      <c r="E25" s="4">
        <v>137</v>
      </c>
      <c r="F25" s="4" t="s">
        <v>251</v>
      </c>
      <c r="G25" s="4" t="s">
        <v>726</v>
      </c>
    </row>
    <row r="26" spans="1:7" x14ac:dyDescent="0.25">
      <c r="A26" s="4">
        <v>76</v>
      </c>
      <c r="B26" s="4">
        <v>4</v>
      </c>
      <c r="C26" s="4" t="s">
        <v>439</v>
      </c>
      <c r="D26" s="4" t="s">
        <v>516</v>
      </c>
      <c r="E26" s="4">
        <v>138</v>
      </c>
      <c r="F26" s="4" t="s">
        <v>253</v>
      </c>
      <c r="G26" s="4" t="s">
        <v>727</v>
      </c>
    </row>
    <row r="27" spans="1:7" x14ac:dyDescent="0.25">
      <c r="A27" s="4">
        <v>77</v>
      </c>
      <c r="B27" s="4">
        <v>4</v>
      </c>
      <c r="C27" s="4" t="s">
        <v>439</v>
      </c>
      <c r="D27" s="4" t="s">
        <v>516</v>
      </c>
      <c r="E27" s="4">
        <v>139</v>
      </c>
      <c r="F27" s="4" t="s">
        <v>255</v>
      </c>
      <c r="G27" s="4" t="s">
        <v>875</v>
      </c>
    </row>
    <row r="28" spans="1:7" x14ac:dyDescent="0.25">
      <c r="A28" s="4">
        <v>78</v>
      </c>
      <c r="B28" s="4">
        <v>4</v>
      </c>
      <c r="C28" s="4" t="s">
        <v>439</v>
      </c>
      <c r="D28" s="4" t="s">
        <v>516</v>
      </c>
      <c r="E28" s="4">
        <v>140</v>
      </c>
      <c r="F28" s="4" t="s">
        <v>257</v>
      </c>
      <c r="G28" s="4" t="s">
        <v>872</v>
      </c>
    </row>
    <row r="29" spans="1:7" x14ac:dyDescent="0.25">
      <c r="A29" s="4">
        <v>79</v>
      </c>
      <c r="B29" s="4">
        <v>4</v>
      </c>
      <c r="C29" s="4" t="s">
        <v>439</v>
      </c>
      <c r="D29" s="4" t="s">
        <v>516</v>
      </c>
      <c r="E29" s="4">
        <v>141</v>
      </c>
      <c r="F29" s="4" t="s">
        <v>259</v>
      </c>
      <c r="G29" s="4" t="s">
        <v>728</v>
      </c>
    </row>
    <row r="30" spans="1:7" x14ac:dyDescent="0.25">
      <c r="A30" s="4">
        <v>80</v>
      </c>
      <c r="B30" s="4">
        <v>4</v>
      </c>
      <c r="C30" s="4" t="s">
        <v>439</v>
      </c>
      <c r="D30" s="4" t="s">
        <v>516</v>
      </c>
      <c r="E30" s="4">
        <v>142</v>
      </c>
      <c r="F30" s="4" t="s">
        <v>261</v>
      </c>
      <c r="G30" s="4" t="s">
        <v>729</v>
      </c>
    </row>
    <row r="31" spans="1:7" x14ac:dyDescent="0.25">
      <c r="A31" s="4">
        <v>81</v>
      </c>
      <c r="B31" s="4">
        <v>4</v>
      </c>
      <c r="C31" s="4" t="s">
        <v>439</v>
      </c>
      <c r="D31" s="4" t="s">
        <v>516</v>
      </c>
      <c r="E31" s="4">
        <v>143</v>
      </c>
      <c r="F31" s="4" t="s">
        <v>263</v>
      </c>
      <c r="G31" s="4" t="s">
        <v>730</v>
      </c>
    </row>
    <row r="32" spans="1:7" x14ac:dyDescent="0.25">
      <c r="A32" s="4">
        <v>82</v>
      </c>
      <c r="B32" s="4">
        <v>5</v>
      </c>
      <c r="C32" s="4" t="s">
        <v>440</v>
      </c>
      <c r="D32" s="4" t="s">
        <v>518</v>
      </c>
      <c r="E32" s="4">
        <v>135</v>
      </c>
      <c r="F32" s="4" t="s">
        <v>247</v>
      </c>
      <c r="G32" s="4" t="s">
        <v>724</v>
      </c>
    </row>
    <row r="33" spans="1:7" x14ac:dyDescent="0.25">
      <c r="A33" s="4">
        <v>83</v>
      </c>
      <c r="B33" s="4">
        <v>5</v>
      </c>
      <c r="C33" s="4" t="s">
        <v>440</v>
      </c>
      <c r="D33" s="4" t="s">
        <v>518</v>
      </c>
      <c r="E33" s="4">
        <v>136</v>
      </c>
      <c r="F33" s="4" t="s">
        <v>249</v>
      </c>
      <c r="G33" s="4" t="s">
        <v>725</v>
      </c>
    </row>
    <row r="34" spans="1:7" x14ac:dyDescent="0.25">
      <c r="A34" s="4">
        <v>84</v>
      </c>
      <c r="B34" s="4">
        <v>5</v>
      </c>
      <c r="C34" s="4" t="s">
        <v>440</v>
      </c>
      <c r="D34" s="4" t="s">
        <v>518</v>
      </c>
      <c r="E34" s="4">
        <v>113</v>
      </c>
      <c r="F34" s="4" t="s">
        <v>233</v>
      </c>
      <c r="G34" s="4" t="s">
        <v>673</v>
      </c>
    </row>
    <row r="35" spans="1:7" x14ac:dyDescent="0.25">
      <c r="A35" s="4">
        <v>85</v>
      </c>
      <c r="B35" s="4">
        <v>5</v>
      </c>
      <c r="C35" s="4" t="s">
        <v>440</v>
      </c>
      <c r="D35" s="4" t="s">
        <v>518</v>
      </c>
      <c r="E35" s="4">
        <v>114</v>
      </c>
      <c r="F35" s="4" t="s">
        <v>235</v>
      </c>
      <c r="G35" s="4" t="s">
        <v>858</v>
      </c>
    </row>
    <row r="36" spans="1:7" x14ac:dyDescent="0.25">
      <c r="A36" s="4">
        <v>86</v>
      </c>
      <c r="B36" s="4">
        <v>6</v>
      </c>
      <c r="C36" s="4" t="s">
        <v>544</v>
      </c>
      <c r="D36" s="4" t="s">
        <v>552</v>
      </c>
      <c r="E36" s="4">
        <v>144</v>
      </c>
      <c r="F36" s="4" t="s">
        <v>264</v>
      </c>
      <c r="G36" s="4" t="s">
        <v>732</v>
      </c>
    </row>
    <row r="37" spans="1:7" x14ac:dyDescent="0.25">
      <c r="A37" s="4">
        <v>87</v>
      </c>
      <c r="B37" s="4">
        <v>6</v>
      </c>
      <c r="C37" s="4" t="s">
        <v>544</v>
      </c>
      <c r="D37" s="4" t="s">
        <v>552</v>
      </c>
      <c r="E37" s="4">
        <v>145</v>
      </c>
      <c r="F37" s="4" t="s">
        <v>37</v>
      </c>
      <c r="G37" s="4" t="s">
        <v>844</v>
      </c>
    </row>
    <row r="38" spans="1:7" x14ac:dyDescent="0.25">
      <c r="A38" s="4">
        <v>88</v>
      </c>
      <c r="B38" s="4">
        <v>6</v>
      </c>
      <c r="C38" s="4" t="s">
        <v>544</v>
      </c>
      <c r="D38" s="4" t="s">
        <v>552</v>
      </c>
      <c r="E38" s="4">
        <v>146</v>
      </c>
      <c r="F38" s="4" t="s">
        <v>38</v>
      </c>
      <c r="G38" s="4" t="s">
        <v>733</v>
      </c>
    </row>
    <row r="39" spans="1:7" x14ac:dyDescent="0.25">
      <c r="A39" s="4">
        <v>89</v>
      </c>
      <c r="B39" s="4">
        <v>6</v>
      </c>
      <c r="C39" s="4" t="s">
        <v>544</v>
      </c>
      <c r="D39" s="4" t="s">
        <v>552</v>
      </c>
      <c r="E39" s="4">
        <v>147</v>
      </c>
      <c r="F39" s="4" t="s">
        <v>39</v>
      </c>
      <c r="G39" s="4" t="s">
        <v>734</v>
      </c>
    </row>
    <row r="40" spans="1:7" x14ac:dyDescent="0.25">
      <c r="A40" s="4">
        <v>90</v>
      </c>
      <c r="B40" s="4">
        <v>6</v>
      </c>
      <c r="C40" s="4" t="s">
        <v>544</v>
      </c>
      <c r="D40" s="4" t="s">
        <v>552</v>
      </c>
      <c r="E40" s="4">
        <v>148</v>
      </c>
      <c r="F40" s="4" t="s">
        <v>40</v>
      </c>
      <c r="G40" s="4" t="s">
        <v>736</v>
      </c>
    </row>
    <row r="41" spans="1:7" x14ac:dyDescent="0.25">
      <c r="A41" s="4">
        <v>91</v>
      </c>
      <c r="B41" s="4">
        <v>6</v>
      </c>
      <c r="C41" s="4" t="s">
        <v>544</v>
      </c>
      <c r="D41" s="4" t="s">
        <v>552</v>
      </c>
      <c r="E41" s="4">
        <v>149</v>
      </c>
      <c r="F41" s="4" t="s">
        <v>41</v>
      </c>
      <c r="G41" s="4" t="s">
        <v>906</v>
      </c>
    </row>
    <row r="42" spans="1:7" x14ac:dyDescent="0.25">
      <c r="A42" s="4">
        <v>100</v>
      </c>
      <c r="B42" s="4">
        <v>7</v>
      </c>
      <c r="C42" s="4" t="s">
        <v>838</v>
      </c>
      <c r="D42" s="4" t="s">
        <v>839</v>
      </c>
      <c r="E42" s="4">
        <v>175</v>
      </c>
      <c r="F42" s="4" t="s">
        <v>319</v>
      </c>
      <c r="G42" s="4" t="s">
        <v>862</v>
      </c>
    </row>
    <row r="43" spans="1:7" x14ac:dyDescent="0.25">
      <c r="A43" s="4">
        <v>92</v>
      </c>
      <c r="B43" s="4">
        <v>7</v>
      </c>
      <c r="C43" s="4" t="s">
        <v>838</v>
      </c>
      <c r="D43" s="4" t="s">
        <v>839</v>
      </c>
      <c r="E43" s="4">
        <v>167</v>
      </c>
      <c r="F43" s="4" t="s">
        <v>303</v>
      </c>
      <c r="G43" s="4" t="s">
        <v>754</v>
      </c>
    </row>
    <row r="44" spans="1:7" x14ac:dyDescent="0.25">
      <c r="A44" s="4">
        <v>95</v>
      </c>
      <c r="B44" s="4">
        <v>7</v>
      </c>
      <c r="C44" s="4" t="s">
        <v>838</v>
      </c>
      <c r="D44" s="4" t="s">
        <v>839</v>
      </c>
      <c r="E44" s="4">
        <v>170</v>
      </c>
      <c r="F44" s="4" t="s">
        <v>309</v>
      </c>
      <c r="G44" s="4" t="s">
        <v>757</v>
      </c>
    </row>
    <row r="45" spans="1:7" x14ac:dyDescent="0.25">
      <c r="A45" s="4">
        <v>96</v>
      </c>
      <c r="B45" s="4">
        <v>7</v>
      </c>
      <c r="C45" s="4" t="s">
        <v>838</v>
      </c>
      <c r="D45" s="4" t="s">
        <v>839</v>
      </c>
      <c r="E45" s="4">
        <v>171</v>
      </c>
      <c r="F45" s="4" t="s">
        <v>311</v>
      </c>
      <c r="G45" s="4" t="s">
        <v>860</v>
      </c>
    </row>
    <row r="46" spans="1:7" x14ac:dyDescent="0.25">
      <c r="A46" s="4">
        <v>97</v>
      </c>
      <c r="B46" s="4">
        <v>7</v>
      </c>
      <c r="C46" s="4" t="s">
        <v>838</v>
      </c>
      <c r="D46" s="4" t="s">
        <v>839</v>
      </c>
      <c r="E46" s="4">
        <v>172</v>
      </c>
      <c r="F46" s="4" t="s">
        <v>313</v>
      </c>
      <c r="G46" s="4" t="s">
        <v>861</v>
      </c>
    </row>
    <row r="47" spans="1:7" x14ac:dyDescent="0.25">
      <c r="A47" s="4">
        <v>93</v>
      </c>
      <c r="B47" s="4">
        <v>7</v>
      </c>
      <c r="C47" s="4" t="s">
        <v>838</v>
      </c>
      <c r="D47" s="4" t="s">
        <v>839</v>
      </c>
      <c r="E47" s="4">
        <v>168</v>
      </c>
      <c r="F47" s="4" t="s">
        <v>305</v>
      </c>
      <c r="G47" s="4" t="s">
        <v>755</v>
      </c>
    </row>
    <row r="48" spans="1:7" x14ac:dyDescent="0.25">
      <c r="A48" s="4">
        <v>101</v>
      </c>
      <c r="B48" s="4">
        <v>7</v>
      </c>
      <c r="C48" s="4" t="s">
        <v>838</v>
      </c>
      <c r="D48" s="4" t="s">
        <v>839</v>
      </c>
      <c r="E48" s="4">
        <v>176</v>
      </c>
      <c r="F48" s="4" t="s">
        <v>321</v>
      </c>
      <c r="G48" s="4" t="s">
        <v>760</v>
      </c>
    </row>
    <row r="49" spans="1:7" x14ac:dyDescent="0.25">
      <c r="A49" s="4">
        <v>102</v>
      </c>
      <c r="B49" s="4">
        <v>7</v>
      </c>
      <c r="C49" s="4" t="s">
        <v>838</v>
      </c>
      <c r="D49" s="4" t="s">
        <v>839</v>
      </c>
      <c r="E49" s="4">
        <v>177</v>
      </c>
      <c r="F49" s="4" t="s">
        <v>323</v>
      </c>
      <c r="G49" s="4" t="s">
        <v>761</v>
      </c>
    </row>
    <row r="50" spans="1:7" x14ac:dyDescent="0.25">
      <c r="A50" s="4">
        <v>98</v>
      </c>
      <c r="B50" s="4">
        <v>7</v>
      </c>
      <c r="C50" s="4" t="s">
        <v>838</v>
      </c>
      <c r="D50" s="4" t="s">
        <v>839</v>
      </c>
      <c r="E50" s="4">
        <v>173</v>
      </c>
      <c r="F50" s="4" t="s">
        <v>315</v>
      </c>
      <c r="G50" s="4" t="s">
        <v>758</v>
      </c>
    </row>
    <row r="51" spans="1:7" x14ac:dyDescent="0.25">
      <c r="A51" s="4">
        <v>94</v>
      </c>
      <c r="B51" s="4">
        <v>7</v>
      </c>
      <c r="C51" s="4" t="s">
        <v>838</v>
      </c>
      <c r="D51" s="4" t="s">
        <v>839</v>
      </c>
      <c r="E51" s="4">
        <v>169</v>
      </c>
      <c r="F51" s="4" t="s">
        <v>307</v>
      </c>
      <c r="G51" s="4" t="s">
        <v>756</v>
      </c>
    </row>
    <row r="52" spans="1:7" x14ac:dyDescent="0.25">
      <c r="A52" s="4">
        <v>99</v>
      </c>
      <c r="B52" s="4">
        <v>7</v>
      </c>
      <c r="C52" s="4" t="s">
        <v>838</v>
      </c>
      <c r="D52" s="4" t="s">
        <v>839</v>
      </c>
      <c r="E52" s="4">
        <v>174</v>
      </c>
      <c r="F52" s="4" t="s">
        <v>317</v>
      </c>
      <c r="G52" s="4" t="s">
        <v>759</v>
      </c>
    </row>
    <row r="53" spans="1:7" x14ac:dyDescent="0.25">
      <c r="A53" s="4">
        <v>103</v>
      </c>
      <c r="B53" s="4">
        <v>7</v>
      </c>
      <c r="C53" s="4" t="s">
        <v>838</v>
      </c>
      <c r="D53" s="4" t="s">
        <v>839</v>
      </c>
      <c r="E53" s="4">
        <v>178</v>
      </c>
      <c r="F53" s="4" t="s">
        <v>325</v>
      </c>
      <c r="G53" s="4" t="s">
        <v>873</v>
      </c>
    </row>
    <row r="54" spans="1:7" x14ac:dyDescent="0.25">
      <c r="A54" s="4">
        <v>104</v>
      </c>
      <c r="B54" s="4">
        <v>7</v>
      </c>
      <c r="C54" s="4" t="s">
        <v>838</v>
      </c>
      <c r="D54" s="4" t="s">
        <v>839</v>
      </c>
      <c r="E54" s="4">
        <v>179</v>
      </c>
      <c r="F54" s="4" t="s">
        <v>327</v>
      </c>
      <c r="G54" s="4" t="s">
        <v>762</v>
      </c>
    </row>
    <row r="55" spans="1:7" x14ac:dyDescent="0.25">
      <c r="A55" s="4">
        <v>31</v>
      </c>
      <c r="B55" s="4">
        <v>2</v>
      </c>
      <c r="C55" s="4" t="s">
        <v>513</v>
      </c>
      <c r="D55" s="4" t="s">
        <v>513</v>
      </c>
      <c r="E55" s="4">
        <v>49</v>
      </c>
      <c r="F55" s="4" t="s">
        <v>118</v>
      </c>
      <c r="G55" s="4" t="s">
        <v>616</v>
      </c>
    </row>
    <row r="56" spans="1:7" x14ac:dyDescent="0.25">
      <c r="A56" s="4">
        <v>32</v>
      </c>
      <c r="B56" s="4">
        <v>2</v>
      </c>
      <c r="C56" s="4" t="s">
        <v>513</v>
      </c>
      <c r="D56" s="4" t="s">
        <v>513</v>
      </c>
      <c r="E56" s="4">
        <v>50</v>
      </c>
      <c r="F56" s="4" t="s">
        <v>120</v>
      </c>
      <c r="G56" s="4" t="s">
        <v>617</v>
      </c>
    </row>
    <row r="57" spans="1:7" x14ac:dyDescent="0.25">
      <c r="A57" s="4">
        <v>33</v>
      </c>
      <c r="B57" s="4">
        <v>2</v>
      </c>
      <c r="C57" s="4" t="s">
        <v>513</v>
      </c>
      <c r="D57" s="4" t="s">
        <v>513</v>
      </c>
      <c r="E57" s="4">
        <v>3</v>
      </c>
      <c r="F57" s="4" t="s">
        <v>0</v>
      </c>
      <c r="G57" s="4" t="s">
        <v>567</v>
      </c>
    </row>
    <row r="58" spans="1:7" x14ac:dyDescent="0.25">
      <c r="A58" s="4">
        <v>34</v>
      </c>
      <c r="B58" s="4">
        <v>2</v>
      </c>
      <c r="C58" s="4" t="s">
        <v>513</v>
      </c>
      <c r="D58" s="4" t="s">
        <v>513</v>
      </c>
      <c r="E58" s="4">
        <v>51</v>
      </c>
      <c r="F58" s="4" t="s">
        <v>122</v>
      </c>
      <c r="G58" s="4" t="s">
        <v>618</v>
      </c>
    </row>
    <row r="59" spans="1:7" x14ac:dyDescent="0.25">
      <c r="A59" s="4">
        <v>35</v>
      </c>
      <c r="B59" s="4">
        <v>2</v>
      </c>
      <c r="C59" s="4" t="s">
        <v>513</v>
      </c>
      <c r="D59" s="4" t="s">
        <v>513</v>
      </c>
      <c r="E59" s="4">
        <v>52</v>
      </c>
      <c r="F59" s="4" t="s">
        <v>124</v>
      </c>
      <c r="G59" s="4" t="s">
        <v>619</v>
      </c>
    </row>
    <row r="60" spans="1:7" x14ac:dyDescent="0.25">
      <c r="A60" s="4">
        <v>36</v>
      </c>
      <c r="B60" s="4">
        <v>2</v>
      </c>
      <c r="C60" s="4" t="s">
        <v>513</v>
      </c>
      <c r="D60" s="4" t="s">
        <v>513</v>
      </c>
      <c r="E60" s="4">
        <v>53</v>
      </c>
      <c r="F60" s="4" t="s">
        <v>126</v>
      </c>
      <c r="G60" s="4" t="s">
        <v>620</v>
      </c>
    </row>
    <row r="61" spans="1:7" x14ac:dyDescent="0.25">
      <c r="A61" s="4">
        <v>37</v>
      </c>
      <c r="B61" s="4">
        <v>2</v>
      </c>
      <c r="C61" s="4" t="s">
        <v>513</v>
      </c>
      <c r="D61" s="4" t="s">
        <v>513</v>
      </c>
      <c r="E61" s="4">
        <v>54</v>
      </c>
      <c r="F61" s="4" t="s">
        <v>128</v>
      </c>
      <c r="G61" s="4" t="s">
        <v>621</v>
      </c>
    </row>
    <row r="62" spans="1:7" x14ac:dyDescent="0.25">
      <c r="A62" s="4">
        <v>38</v>
      </c>
      <c r="B62" s="4">
        <v>2</v>
      </c>
      <c r="C62" s="4" t="s">
        <v>513</v>
      </c>
      <c r="D62" s="4" t="s">
        <v>513</v>
      </c>
      <c r="E62" s="4">
        <v>55</v>
      </c>
      <c r="F62" s="4" t="s">
        <v>130</v>
      </c>
      <c r="G62" s="4" t="s">
        <v>622</v>
      </c>
    </row>
    <row r="63" spans="1:7" x14ac:dyDescent="0.25">
      <c r="A63" s="4">
        <v>39</v>
      </c>
      <c r="B63" s="4">
        <v>2</v>
      </c>
      <c r="C63" s="4" t="s">
        <v>513</v>
      </c>
      <c r="D63" s="4" t="s">
        <v>513</v>
      </c>
      <c r="E63" s="4">
        <v>9</v>
      </c>
      <c r="F63" s="4" t="s">
        <v>56</v>
      </c>
      <c r="G63" s="4" t="s">
        <v>573</v>
      </c>
    </row>
    <row r="64" spans="1:7" x14ac:dyDescent="0.25">
      <c r="A64" s="4">
        <v>40</v>
      </c>
      <c r="B64" s="4">
        <v>2</v>
      </c>
      <c r="C64" s="4" t="s">
        <v>513</v>
      </c>
      <c r="D64" s="4" t="s">
        <v>513</v>
      </c>
      <c r="E64" s="4">
        <v>56</v>
      </c>
      <c r="F64" s="4" t="s">
        <v>132</v>
      </c>
      <c r="G64" s="4" t="s">
        <v>623</v>
      </c>
    </row>
    <row r="65" spans="1:7" x14ac:dyDescent="0.25">
      <c r="A65" s="4">
        <v>41</v>
      </c>
      <c r="B65" s="4">
        <v>2</v>
      </c>
      <c r="C65" s="4" t="s">
        <v>513</v>
      </c>
      <c r="D65" s="4" t="s">
        <v>513</v>
      </c>
      <c r="E65" s="4">
        <v>57</v>
      </c>
      <c r="F65" s="4" t="s">
        <v>134</v>
      </c>
      <c r="G65" s="4" t="s">
        <v>624</v>
      </c>
    </row>
    <row r="66" spans="1:7" x14ac:dyDescent="0.25">
      <c r="A66" s="4">
        <v>42</v>
      </c>
      <c r="B66" s="4">
        <v>2</v>
      </c>
      <c r="C66" s="4" t="s">
        <v>513</v>
      </c>
      <c r="D66" s="4" t="s">
        <v>513</v>
      </c>
      <c r="E66" s="4">
        <v>58</v>
      </c>
      <c r="F66" s="4" t="s">
        <v>31</v>
      </c>
      <c r="G66" s="4" t="s">
        <v>846</v>
      </c>
    </row>
    <row r="67" spans="1:7" x14ac:dyDescent="0.25">
      <c r="A67" s="4">
        <v>43</v>
      </c>
      <c r="B67" s="4">
        <v>2</v>
      </c>
      <c r="C67" s="4" t="s">
        <v>513</v>
      </c>
      <c r="D67" s="4" t="s">
        <v>513</v>
      </c>
      <c r="E67" s="4">
        <v>59</v>
      </c>
      <c r="F67" s="4" t="s">
        <v>137</v>
      </c>
      <c r="G67" s="4" t="s">
        <v>614</v>
      </c>
    </row>
    <row r="68" spans="1:7" x14ac:dyDescent="0.25">
      <c r="A68" s="4">
        <v>44</v>
      </c>
      <c r="B68" s="4">
        <v>2</v>
      </c>
      <c r="C68" s="4" t="s">
        <v>513</v>
      </c>
      <c r="D68" s="4" t="s">
        <v>513</v>
      </c>
      <c r="E68" s="4">
        <v>60</v>
      </c>
      <c r="F68" s="4" t="s">
        <v>138</v>
      </c>
      <c r="G68" s="4" t="s">
        <v>625</v>
      </c>
    </row>
    <row r="69" spans="1:7" x14ac:dyDescent="0.25">
      <c r="A69" s="4">
        <v>48</v>
      </c>
      <c r="B69" s="4">
        <v>2</v>
      </c>
      <c r="C69" s="4" t="s">
        <v>513</v>
      </c>
      <c r="D69" s="4" t="s">
        <v>513</v>
      </c>
      <c r="E69" s="4">
        <v>14</v>
      </c>
      <c r="F69" s="4" t="s">
        <v>64</v>
      </c>
      <c r="G69" s="4" t="s">
        <v>577</v>
      </c>
    </row>
    <row r="70" spans="1:7" x14ac:dyDescent="0.25">
      <c r="A70" s="4">
        <v>45</v>
      </c>
      <c r="B70" s="4">
        <v>2</v>
      </c>
      <c r="C70" s="4" t="s">
        <v>513</v>
      </c>
      <c r="D70" s="4" t="s">
        <v>513</v>
      </c>
      <c r="E70" s="4">
        <v>61</v>
      </c>
      <c r="F70" s="4" t="s">
        <v>140</v>
      </c>
      <c r="G70" s="4" t="s">
        <v>626</v>
      </c>
    </row>
    <row r="71" spans="1:7" x14ac:dyDescent="0.25">
      <c r="A71" s="4">
        <v>46</v>
      </c>
      <c r="B71" s="4">
        <v>2</v>
      </c>
      <c r="C71" s="4" t="s">
        <v>513</v>
      </c>
      <c r="D71" s="4" t="s">
        <v>513</v>
      </c>
      <c r="E71" s="4">
        <v>62</v>
      </c>
      <c r="F71" s="4" t="s">
        <v>142</v>
      </c>
      <c r="G71" s="4" t="s">
        <v>627</v>
      </c>
    </row>
    <row r="72" spans="1:7" x14ac:dyDescent="0.25">
      <c r="A72" s="4">
        <v>47</v>
      </c>
      <c r="B72" s="4">
        <v>2</v>
      </c>
      <c r="C72" s="4" t="s">
        <v>513</v>
      </c>
      <c r="D72" s="4" t="s">
        <v>513</v>
      </c>
      <c r="E72" s="4">
        <v>63</v>
      </c>
      <c r="F72" s="4" t="s">
        <v>144</v>
      </c>
      <c r="G72" s="4" t="s">
        <v>628</v>
      </c>
    </row>
    <row r="73" spans="1:7" x14ac:dyDescent="0.25">
      <c r="A73" s="4">
        <v>49</v>
      </c>
      <c r="B73" s="4">
        <v>2</v>
      </c>
      <c r="C73" s="4" t="s">
        <v>513</v>
      </c>
      <c r="D73" s="4" t="s">
        <v>513</v>
      </c>
      <c r="E73" s="4">
        <v>64</v>
      </c>
      <c r="F73" s="4" t="s">
        <v>146</v>
      </c>
      <c r="G73" s="4" t="s">
        <v>629</v>
      </c>
    </row>
    <row r="74" spans="1:7" x14ac:dyDescent="0.25">
      <c r="A74" s="4">
        <v>50</v>
      </c>
      <c r="B74" s="4">
        <v>2</v>
      </c>
      <c r="C74" s="4" t="s">
        <v>513</v>
      </c>
      <c r="D74" s="4" t="s">
        <v>513</v>
      </c>
      <c r="E74" s="4">
        <v>65</v>
      </c>
      <c r="F74" s="4" t="s">
        <v>32</v>
      </c>
      <c r="G74" s="4" t="s">
        <v>630</v>
      </c>
    </row>
    <row r="75" spans="1:7" x14ac:dyDescent="0.25">
      <c r="A75" s="4">
        <v>51</v>
      </c>
      <c r="B75" s="4">
        <v>2</v>
      </c>
      <c r="C75" s="4" t="s">
        <v>513</v>
      </c>
      <c r="D75" s="4" t="s">
        <v>513</v>
      </c>
      <c r="E75" s="4">
        <v>66</v>
      </c>
      <c r="F75" s="4" t="s">
        <v>33</v>
      </c>
      <c r="G75" s="4" t="s">
        <v>631</v>
      </c>
    </row>
    <row r="76" spans="1:7" x14ac:dyDescent="0.25">
      <c r="A76" s="4">
        <v>63</v>
      </c>
      <c r="B76" s="4">
        <v>2</v>
      </c>
      <c r="C76" s="4" t="s">
        <v>513</v>
      </c>
      <c r="D76" s="4" t="s">
        <v>513</v>
      </c>
      <c r="E76" s="4">
        <v>75</v>
      </c>
      <c r="F76" s="4" t="s">
        <v>163</v>
      </c>
      <c r="G76" s="4" t="s">
        <v>639</v>
      </c>
    </row>
    <row r="77" spans="1:7" x14ac:dyDescent="0.25">
      <c r="A77" s="4">
        <v>52</v>
      </c>
      <c r="B77" s="4">
        <v>2</v>
      </c>
      <c r="C77" s="4" t="s">
        <v>513</v>
      </c>
      <c r="D77" s="4" t="s">
        <v>513</v>
      </c>
      <c r="E77" s="4">
        <v>67</v>
      </c>
      <c r="F77" s="4" t="s">
        <v>150</v>
      </c>
      <c r="G77" s="4" t="s">
        <v>874</v>
      </c>
    </row>
    <row r="78" spans="1:7" x14ac:dyDescent="0.25">
      <c r="A78" s="4">
        <v>53</v>
      </c>
      <c r="B78" s="4">
        <v>2</v>
      </c>
      <c r="C78" s="4" t="s">
        <v>513</v>
      </c>
      <c r="D78" s="4" t="s">
        <v>513</v>
      </c>
      <c r="E78" s="4">
        <v>21</v>
      </c>
      <c r="F78" s="4" t="s">
        <v>5</v>
      </c>
      <c r="G78" s="4" t="s">
        <v>584</v>
      </c>
    </row>
    <row r="79" spans="1:7" x14ac:dyDescent="0.25">
      <c r="A79" s="4">
        <v>54</v>
      </c>
      <c r="B79" s="4">
        <v>2</v>
      </c>
      <c r="C79" s="4" t="s">
        <v>513</v>
      </c>
      <c r="D79" s="4" t="s">
        <v>513</v>
      </c>
      <c r="E79" s="4">
        <v>68</v>
      </c>
      <c r="F79" s="4" t="s">
        <v>34</v>
      </c>
      <c r="G79" s="4" t="s">
        <v>632</v>
      </c>
    </row>
    <row r="80" spans="1:7" x14ac:dyDescent="0.25">
      <c r="A80" s="4">
        <v>55</v>
      </c>
      <c r="B80" s="4">
        <v>2</v>
      </c>
      <c r="C80" s="4" t="s">
        <v>513</v>
      </c>
      <c r="D80" s="4" t="s">
        <v>513</v>
      </c>
      <c r="E80" s="4">
        <v>69</v>
      </c>
      <c r="F80" s="4" t="s">
        <v>35</v>
      </c>
      <c r="G80" s="4" t="s">
        <v>633</v>
      </c>
    </row>
    <row r="81" spans="1:7" x14ac:dyDescent="0.25">
      <c r="A81" s="4">
        <v>56</v>
      </c>
      <c r="B81" s="4">
        <v>2</v>
      </c>
      <c r="C81" s="4" t="s">
        <v>513</v>
      </c>
      <c r="D81" s="4" t="s">
        <v>513</v>
      </c>
      <c r="E81" s="4">
        <v>23</v>
      </c>
      <c r="F81" s="4" t="s">
        <v>7</v>
      </c>
      <c r="G81" s="4" t="s">
        <v>586</v>
      </c>
    </row>
    <row r="82" spans="1:7" x14ac:dyDescent="0.25">
      <c r="A82" s="4">
        <v>57</v>
      </c>
      <c r="B82" s="4">
        <v>2</v>
      </c>
      <c r="C82" s="4" t="s">
        <v>513</v>
      </c>
      <c r="D82" s="4" t="s">
        <v>513</v>
      </c>
      <c r="E82" s="4">
        <v>70</v>
      </c>
      <c r="F82" s="4" t="s">
        <v>154</v>
      </c>
      <c r="G82" s="4" t="s">
        <v>634</v>
      </c>
    </row>
    <row r="83" spans="1:7" x14ac:dyDescent="0.25">
      <c r="A83" s="4">
        <v>58</v>
      </c>
      <c r="B83" s="4">
        <v>2</v>
      </c>
      <c r="C83" s="4" t="s">
        <v>513</v>
      </c>
      <c r="D83" s="4" t="s">
        <v>513</v>
      </c>
      <c r="E83" s="4">
        <v>71</v>
      </c>
      <c r="F83" s="4" t="s">
        <v>156</v>
      </c>
      <c r="G83" s="4" t="s">
        <v>635</v>
      </c>
    </row>
    <row r="84" spans="1:7" x14ac:dyDescent="0.25">
      <c r="A84" s="4">
        <v>59</v>
      </c>
      <c r="B84" s="4">
        <v>2</v>
      </c>
      <c r="C84" s="4" t="s">
        <v>513</v>
      </c>
      <c r="D84" s="4" t="s">
        <v>513</v>
      </c>
      <c r="E84" s="4">
        <v>72</v>
      </c>
      <c r="F84" s="4" t="s">
        <v>158</v>
      </c>
      <c r="G84" s="4" t="s">
        <v>871</v>
      </c>
    </row>
    <row r="85" spans="1:7" x14ac:dyDescent="0.25">
      <c r="A85" s="4">
        <v>60</v>
      </c>
      <c r="B85" s="4">
        <v>2</v>
      </c>
      <c r="C85" s="4" t="s">
        <v>513</v>
      </c>
      <c r="D85" s="4" t="s">
        <v>513</v>
      </c>
      <c r="E85" s="4">
        <v>73</v>
      </c>
      <c r="F85" s="4" t="s">
        <v>160</v>
      </c>
      <c r="G85" s="4" t="s">
        <v>636</v>
      </c>
    </row>
    <row r="86" spans="1:7" x14ac:dyDescent="0.25">
      <c r="A86" s="4">
        <v>61</v>
      </c>
      <c r="B86" s="4">
        <v>2</v>
      </c>
      <c r="C86" s="4" t="s">
        <v>513</v>
      </c>
      <c r="D86" s="4" t="s">
        <v>513</v>
      </c>
      <c r="E86" s="4">
        <v>74</v>
      </c>
      <c r="F86" s="4" t="s">
        <v>161</v>
      </c>
      <c r="G86" s="4" t="s">
        <v>638</v>
      </c>
    </row>
    <row r="87" spans="1:7" x14ac:dyDescent="0.25">
      <c r="A87" s="4">
        <v>62</v>
      </c>
      <c r="B87" s="4">
        <v>2</v>
      </c>
      <c r="C87" s="4" t="s">
        <v>513</v>
      </c>
      <c r="D87" s="4" t="s">
        <v>513</v>
      </c>
      <c r="E87" s="4">
        <v>26</v>
      </c>
      <c r="F87" s="4" t="s">
        <v>81</v>
      </c>
      <c r="G87" s="4" t="s">
        <v>589</v>
      </c>
    </row>
    <row r="88" spans="1:7" x14ac:dyDescent="0.25">
      <c r="A88" s="4">
        <v>1</v>
      </c>
      <c r="B88" s="4">
        <v>1</v>
      </c>
      <c r="C88" s="4" t="s">
        <v>13</v>
      </c>
      <c r="D88" s="4" t="s">
        <v>13</v>
      </c>
      <c r="E88" s="4">
        <v>2</v>
      </c>
      <c r="F88" s="4" t="s">
        <v>45</v>
      </c>
      <c r="G88" s="4" t="s">
        <v>836</v>
      </c>
    </row>
    <row r="89" spans="1:7" x14ac:dyDescent="0.25">
      <c r="A89" s="4">
        <v>2</v>
      </c>
      <c r="B89" s="4">
        <v>1</v>
      </c>
      <c r="C89" s="4" t="s">
        <v>13</v>
      </c>
      <c r="D89" s="4" t="s">
        <v>13</v>
      </c>
      <c r="E89" s="4">
        <v>3</v>
      </c>
      <c r="F89" s="4" t="s">
        <v>0</v>
      </c>
      <c r="G89" s="4" t="s">
        <v>567</v>
      </c>
    </row>
    <row r="90" spans="1:7" x14ac:dyDescent="0.25">
      <c r="A90" s="4">
        <v>3</v>
      </c>
      <c r="B90" s="4">
        <v>1</v>
      </c>
      <c r="C90" s="4" t="s">
        <v>13</v>
      </c>
      <c r="D90" s="4" t="s">
        <v>13</v>
      </c>
      <c r="E90" s="4">
        <v>4</v>
      </c>
      <c r="F90" s="4" t="s">
        <v>47</v>
      </c>
      <c r="G90" s="4" t="s">
        <v>568</v>
      </c>
    </row>
    <row r="91" spans="1:7" x14ac:dyDescent="0.25">
      <c r="A91" s="4">
        <v>30</v>
      </c>
      <c r="B91" s="4">
        <v>1</v>
      </c>
      <c r="C91" s="4" t="s">
        <v>13</v>
      </c>
      <c r="D91" s="4" t="s">
        <v>13</v>
      </c>
      <c r="E91" s="4">
        <v>31</v>
      </c>
      <c r="F91" s="4" t="s">
        <v>90</v>
      </c>
      <c r="G91" s="4" t="s">
        <v>594</v>
      </c>
    </row>
    <row r="92" spans="1:7" x14ac:dyDescent="0.25">
      <c r="A92" s="4">
        <v>4</v>
      </c>
      <c r="B92" s="4">
        <v>1</v>
      </c>
      <c r="C92" s="4" t="s">
        <v>13</v>
      </c>
      <c r="D92" s="4" t="s">
        <v>13</v>
      </c>
      <c r="E92" s="4">
        <v>5</v>
      </c>
      <c r="F92" s="4" t="s">
        <v>49</v>
      </c>
      <c r="G92" s="4" t="s">
        <v>569</v>
      </c>
    </row>
    <row r="93" spans="1:7" x14ac:dyDescent="0.25">
      <c r="A93" s="4">
        <v>5</v>
      </c>
      <c r="B93" s="4">
        <v>1</v>
      </c>
      <c r="C93" s="4" t="s">
        <v>13</v>
      </c>
      <c r="D93" s="4" t="s">
        <v>13</v>
      </c>
      <c r="E93" s="4">
        <v>6</v>
      </c>
      <c r="F93" s="4" t="s">
        <v>51</v>
      </c>
      <c r="G93" s="4" t="s">
        <v>570</v>
      </c>
    </row>
    <row r="94" spans="1:7" x14ac:dyDescent="0.25">
      <c r="A94" s="4">
        <v>6</v>
      </c>
      <c r="B94" s="4">
        <v>1</v>
      </c>
      <c r="C94" s="4" t="s">
        <v>13</v>
      </c>
      <c r="D94" s="4" t="s">
        <v>13</v>
      </c>
      <c r="E94" s="4">
        <v>7</v>
      </c>
      <c r="F94" s="4" t="s">
        <v>53</v>
      </c>
      <c r="G94" s="4" t="s">
        <v>571</v>
      </c>
    </row>
    <row r="95" spans="1:7" x14ac:dyDescent="0.25">
      <c r="A95" s="4">
        <v>29</v>
      </c>
      <c r="B95" s="4">
        <v>1</v>
      </c>
      <c r="C95" s="4" t="s">
        <v>13</v>
      </c>
      <c r="D95" s="4" t="s">
        <v>13</v>
      </c>
      <c r="E95" s="4">
        <v>30</v>
      </c>
      <c r="F95" s="4" t="s">
        <v>88</v>
      </c>
      <c r="G95" s="4" t="s">
        <v>593</v>
      </c>
    </row>
    <row r="96" spans="1:7" x14ac:dyDescent="0.25">
      <c r="A96" s="4">
        <v>7</v>
      </c>
      <c r="B96" s="4">
        <v>1</v>
      </c>
      <c r="C96" s="4" t="s">
        <v>13</v>
      </c>
      <c r="D96" s="4" t="s">
        <v>13</v>
      </c>
      <c r="E96" s="4">
        <v>8</v>
      </c>
      <c r="F96" s="4" t="s">
        <v>30</v>
      </c>
      <c r="G96" s="4" t="s">
        <v>572</v>
      </c>
    </row>
    <row r="97" spans="1:7" x14ac:dyDescent="0.25">
      <c r="A97" s="4">
        <v>8</v>
      </c>
      <c r="B97" s="4">
        <v>1</v>
      </c>
      <c r="C97" s="4" t="s">
        <v>13</v>
      </c>
      <c r="D97" s="4" t="s">
        <v>13</v>
      </c>
      <c r="E97" s="4">
        <v>9</v>
      </c>
      <c r="F97" s="4" t="s">
        <v>56</v>
      </c>
      <c r="G97" s="4" t="s">
        <v>573</v>
      </c>
    </row>
    <row r="98" spans="1:7" x14ac:dyDescent="0.25">
      <c r="A98" s="4">
        <v>9</v>
      </c>
      <c r="B98" s="4">
        <v>1</v>
      </c>
      <c r="C98" s="4" t="s">
        <v>13</v>
      </c>
      <c r="D98" s="4" t="s">
        <v>13</v>
      </c>
      <c r="E98" s="4">
        <v>10</v>
      </c>
      <c r="F98" s="4" t="s">
        <v>58</v>
      </c>
      <c r="G98" s="4" t="s">
        <v>574</v>
      </c>
    </row>
    <row r="99" spans="1:7" x14ac:dyDescent="0.25">
      <c r="A99" s="4">
        <v>10</v>
      </c>
      <c r="B99" s="4">
        <v>1</v>
      </c>
      <c r="C99" s="4" t="s">
        <v>13</v>
      </c>
      <c r="D99" s="4" t="s">
        <v>13</v>
      </c>
      <c r="E99" s="4">
        <v>11</v>
      </c>
      <c r="F99" s="4" t="s">
        <v>60</v>
      </c>
      <c r="G99" s="4" t="s">
        <v>575</v>
      </c>
    </row>
    <row r="100" spans="1:7" x14ac:dyDescent="0.25">
      <c r="A100" s="4">
        <v>28</v>
      </c>
      <c r="B100" s="4">
        <v>1</v>
      </c>
      <c r="C100" s="4" t="s">
        <v>13</v>
      </c>
      <c r="D100" s="4" t="s">
        <v>13</v>
      </c>
      <c r="E100" s="4">
        <v>29</v>
      </c>
      <c r="F100" s="4" t="s">
        <v>86</v>
      </c>
      <c r="G100" s="4" t="s">
        <v>592</v>
      </c>
    </row>
    <row r="101" spans="1:7" x14ac:dyDescent="0.25">
      <c r="A101" s="4">
        <v>11</v>
      </c>
      <c r="B101" s="4">
        <v>1</v>
      </c>
      <c r="C101" s="4" t="s">
        <v>13</v>
      </c>
      <c r="D101" s="4" t="s">
        <v>13</v>
      </c>
      <c r="E101" s="4">
        <v>12</v>
      </c>
      <c r="F101" s="4" t="s">
        <v>1</v>
      </c>
      <c r="G101" s="4" t="s">
        <v>840</v>
      </c>
    </row>
    <row r="102" spans="1:7" x14ac:dyDescent="0.25">
      <c r="A102" s="4">
        <v>12</v>
      </c>
      <c r="B102" s="4">
        <v>1</v>
      </c>
      <c r="C102" s="4" t="s">
        <v>13</v>
      </c>
      <c r="D102" s="4" t="s">
        <v>13</v>
      </c>
      <c r="E102" s="4">
        <v>13</v>
      </c>
      <c r="F102" s="4" t="s">
        <v>2</v>
      </c>
      <c r="G102" s="4" t="s">
        <v>576</v>
      </c>
    </row>
    <row r="103" spans="1:7" x14ac:dyDescent="0.25">
      <c r="A103" s="4">
        <v>13</v>
      </c>
      <c r="B103" s="4">
        <v>1</v>
      </c>
      <c r="C103" s="4" t="s">
        <v>13</v>
      </c>
      <c r="D103" s="4" t="s">
        <v>13</v>
      </c>
      <c r="E103" s="4">
        <v>14</v>
      </c>
      <c r="F103" s="4" t="s">
        <v>64</v>
      </c>
      <c r="G103" s="4" t="s">
        <v>577</v>
      </c>
    </row>
    <row r="104" spans="1:7" x14ac:dyDescent="0.25">
      <c r="A104" s="4">
        <v>14</v>
      </c>
      <c r="B104" s="4">
        <v>1</v>
      </c>
      <c r="C104" s="4" t="s">
        <v>13</v>
      </c>
      <c r="D104" s="4" t="s">
        <v>13</v>
      </c>
      <c r="E104" s="4">
        <v>15</v>
      </c>
      <c r="F104" s="4" t="s">
        <v>3</v>
      </c>
      <c r="G104" s="4" t="s">
        <v>578</v>
      </c>
    </row>
    <row r="105" spans="1:7" x14ac:dyDescent="0.25">
      <c r="A105" s="4">
        <v>15</v>
      </c>
      <c r="B105" s="4">
        <v>1</v>
      </c>
      <c r="C105" s="4" t="s">
        <v>13</v>
      </c>
      <c r="D105" s="4" t="s">
        <v>13</v>
      </c>
      <c r="E105" s="4">
        <v>16</v>
      </c>
      <c r="F105" s="4" t="s">
        <v>67</v>
      </c>
      <c r="G105" s="4" t="s">
        <v>579</v>
      </c>
    </row>
    <row r="106" spans="1:7" x14ac:dyDescent="0.25">
      <c r="A106" s="4">
        <v>16</v>
      </c>
      <c r="B106" s="4">
        <v>1</v>
      </c>
      <c r="C106" s="4" t="s">
        <v>13</v>
      </c>
      <c r="D106" s="4" t="s">
        <v>13</v>
      </c>
      <c r="E106" s="4">
        <v>17</v>
      </c>
      <c r="F106" s="4" t="s">
        <v>69</v>
      </c>
      <c r="G106" s="4" t="s">
        <v>580</v>
      </c>
    </row>
    <row r="107" spans="1:7" x14ac:dyDescent="0.25">
      <c r="A107" s="4">
        <v>17</v>
      </c>
      <c r="B107" s="4">
        <v>1</v>
      </c>
      <c r="C107" s="4" t="s">
        <v>13</v>
      </c>
      <c r="D107" s="4" t="s">
        <v>13</v>
      </c>
      <c r="E107" s="4">
        <v>18</v>
      </c>
      <c r="F107" s="4" t="s">
        <v>71</v>
      </c>
      <c r="G107" s="4" t="s">
        <v>581</v>
      </c>
    </row>
    <row r="108" spans="1:7" x14ac:dyDescent="0.25">
      <c r="A108" s="4">
        <v>27</v>
      </c>
      <c r="B108" s="4">
        <v>1</v>
      </c>
      <c r="C108" s="4" t="s">
        <v>13</v>
      </c>
      <c r="D108" s="4" t="s">
        <v>13</v>
      </c>
      <c r="E108" s="4">
        <v>28</v>
      </c>
      <c r="F108" s="4" t="s">
        <v>84</v>
      </c>
      <c r="G108" s="4" t="s">
        <v>591</v>
      </c>
    </row>
    <row r="109" spans="1:7" x14ac:dyDescent="0.25">
      <c r="A109" s="4">
        <v>18</v>
      </c>
      <c r="B109" s="4">
        <v>1</v>
      </c>
      <c r="C109" s="4" t="s">
        <v>13</v>
      </c>
      <c r="D109" s="4" t="s">
        <v>13</v>
      </c>
      <c r="E109" s="4">
        <v>19</v>
      </c>
      <c r="F109" s="4" t="s">
        <v>73</v>
      </c>
      <c r="G109" s="4" t="s">
        <v>582</v>
      </c>
    </row>
    <row r="110" spans="1:7" x14ac:dyDescent="0.25">
      <c r="A110" s="4">
        <v>19</v>
      </c>
      <c r="B110" s="4">
        <v>1</v>
      </c>
      <c r="C110" s="4" t="s">
        <v>13</v>
      </c>
      <c r="D110" s="4" t="s">
        <v>13</v>
      </c>
      <c r="E110" s="4">
        <v>20</v>
      </c>
      <c r="F110" s="4" t="s">
        <v>4</v>
      </c>
      <c r="G110" s="4" t="s">
        <v>583</v>
      </c>
    </row>
    <row r="111" spans="1:7" x14ac:dyDescent="0.25">
      <c r="A111" s="4">
        <v>20</v>
      </c>
      <c r="B111" s="4">
        <v>1</v>
      </c>
      <c r="C111" s="4" t="s">
        <v>13</v>
      </c>
      <c r="D111" s="4" t="s">
        <v>13</v>
      </c>
      <c r="E111" s="4">
        <v>21</v>
      </c>
      <c r="F111" s="4" t="s">
        <v>5</v>
      </c>
      <c r="G111" s="4" t="s">
        <v>584</v>
      </c>
    </row>
    <row r="112" spans="1:7" x14ac:dyDescent="0.25">
      <c r="A112" s="4">
        <v>21</v>
      </c>
      <c r="B112" s="4">
        <v>1</v>
      </c>
      <c r="C112" s="4" t="s">
        <v>13</v>
      </c>
      <c r="D112" s="4" t="s">
        <v>13</v>
      </c>
      <c r="E112" s="4">
        <v>22</v>
      </c>
      <c r="F112" s="4" t="s">
        <v>6</v>
      </c>
      <c r="G112" s="4" t="s">
        <v>585</v>
      </c>
    </row>
    <row r="113" spans="1:7" x14ac:dyDescent="0.25">
      <c r="A113" s="4">
        <v>22</v>
      </c>
      <c r="B113" s="4">
        <v>1</v>
      </c>
      <c r="C113" s="4" t="s">
        <v>13</v>
      </c>
      <c r="D113" s="4" t="s">
        <v>13</v>
      </c>
      <c r="E113" s="4">
        <v>23</v>
      </c>
      <c r="F113" s="4" t="s">
        <v>7</v>
      </c>
      <c r="G113" s="4" t="s">
        <v>586</v>
      </c>
    </row>
    <row r="114" spans="1:7" x14ac:dyDescent="0.25">
      <c r="A114" s="4">
        <v>23</v>
      </c>
      <c r="B114" s="4">
        <v>1</v>
      </c>
      <c r="C114" s="4" t="s">
        <v>13</v>
      </c>
      <c r="D114" s="4" t="s">
        <v>13</v>
      </c>
      <c r="E114" s="4">
        <v>24</v>
      </c>
      <c r="F114" s="4" t="s">
        <v>8</v>
      </c>
      <c r="G114" s="4" t="s">
        <v>587</v>
      </c>
    </row>
    <row r="115" spans="1:7" x14ac:dyDescent="0.25">
      <c r="A115" s="4">
        <v>24</v>
      </c>
      <c r="B115" s="4">
        <v>1</v>
      </c>
      <c r="C115" s="4" t="s">
        <v>13</v>
      </c>
      <c r="D115" s="4" t="s">
        <v>13</v>
      </c>
      <c r="E115" s="4">
        <v>25</v>
      </c>
      <c r="F115" s="4" t="s">
        <v>9</v>
      </c>
      <c r="G115" s="4" t="s">
        <v>588</v>
      </c>
    </row>
    <row r="116" spans="1:7" x14ac:dyDescent="0.25">
      <c r="A116" s="4">
        <v>25</v>
      </c>
      <c r="B116" s="4">
        <v>1</v>
      </c>
      <c r="C116" s="4" t="s">
        <v>13</v>
      </c>
      <c r="D116" s="4" t="s">
        <v>13</v>
      </c>
      <c r="E116" s="4">
        <v>26</v>
      </c>
      <c r="F116" s="4" t="s">
        <v>81</v>
      </c>
      <c r="G116" s="4" t="s">
        <v>589</v>
      </c>
    </row>
    <row r="117" spans="1:7" x14ac:dyDescent="0.25">
      <c r="A117" s="4">
        <v>26</v>
      </c>
      <c r="B117" s="4">
        <v>1</v>
      </c>
      <c r="C117" s="4" t="s">
        <v>13</v>
      </c>
      <c r="D117" s="4" t="s">
        <v>13</v>
      </c>
      <c r="E117" s="4">
        <v>27</v>
      </c>
      <c r="F117" s="4" t="s">
        <v>10</v>
      </c>
      <c r="G117" s="4" t="s">
        <v>590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8"/>
  <dimension ref="A1:G207"/>
  <sheetViews>
    <sheetView topLeftCell="A160" workbookViewId="0">
      <selection activeCell="A2" sqref="A2:G207"/>
    </sheetView>
  </sheetViews>
  <sheetFormatPr baseColWidth="10" defaultRowHeight="15" x14ac:dyDescent="0.25"/>
  <cols>
    <col min="1" max="1" width="20.28515625" bestFit="1" customWidth="1"/>
    <col min="2" max="2" width="11.85546875" bestFit="1" customWidth="1"/>
    <col min="3" max="3" width="18.28515625" bestFit="1" customWidth="1"/>
    <col min="4" max="4" width="22.28515625" bestFit="1" customWidth="1"/>
    <col min="5" max="5" width="13.28515625" bestFit="1" customWidth="1"/>
    <col min="6" max="6" width="24" bestFit="1" customWidth="1"/>
    <col min="7" max="7" width="23.140625" bestFit="1" customWidth="1"/>
  </cols>
  <sheetData>
    <row r="1" spans="1:7" x14ac:dyDescent="0.25">
      <c r="A1" s="4" t="s">
        <v>21</v>
      </c>
      <c r="B1" s="4" t="s">
        <v>24</v>
      </c>
      <c r="C1" s="4" t="s">
        <v>883</v>
      </c>
      <c r="D1" s="4" t="s">
        <v>884</v>
      </c>
      <c r="E1" s="4" t="s">
        <v>25</v>
      </c>
      <c r="F1" s="4" t="s">
        <v>885</v>
      </c>
      <c r="G1" s="4" t="s">
        <v>886</v>
      </c>
    </row>
    <row r="2" spans="1:7" x14ac:dyDescent="0.25">
      <c r="A2" s="4">
        <v>171</v>
      </c>
      <c r="B2" s="4">
        <v>145</v>
      </c>
      <c r="C2" s="4" t="s">
        <v>37</v>
      </c>
      <c r="D2" s="4" t="s">
        <v>844</v>
      </c>
      <c r="E2" s="4">
        <v>160</v>
      </c>
      <c r="F2" s="4" t="s">
        <v>290</v>
      </c>
      <c r="G2" s="4" t="s">
        <v>747</v>
      </c>
    </row>
    <row r="3" spans="1:7" x14ac:dyDescent="0.25">
      <c r="A3" s="4">
        <v>172</v>
      </c>
      <c r="B3" s="4">
        <v>145</v>
      </c>
      <c r="C3" s="4" t="s">
        <v>37</v>
      </c>
      <c r="D3" s="4" t="s">
        <v>844</v>
      </c>
      <c r="E3" s="4">
        <v>161</v>
      </c>
      <c r="F3" s="4" t="s">
        <v>292</v>
      </c>
      <c r="G3" s="4" t="s">
        <v>748</v>
      </c>
    </row>
    <row r="4" spans="1:7" x14ac:dyDescent="0.25">
      <c r="A4" s="4">
        <v>173</v>
      </c>
      <c r="B4" s="4">
        <v>145</v>
      </c>
      <c r="C4" s="4" t="s">
        <v>37</v>
      </c>
      <c r="D4" s="4" t="s">
        <v>844</v>
      </c>
      <c r="E4" s="4">
        <v>162</v>
      </c>
      <c r="F4" s="4" t="s">
        <v>294</v>
      </c>
      <c r="G4" s="4" t="s">
        <v>749</v>
      </c>
    </row>
    <row r="5" spans="1:7" x14ac:dyDescent="0.25">
      <c r="A5" s="4">
        <v>174</v>
      </c>
      <c r="B5" s="4">
        <v>145</v>
      </c>
      <c r="C5" s="4" t="s">
        <v>37</v>
      </c>
      <c r="D5" s="4" t="s">
        <v>844</v>
      </c>
      <c r="E5" s="4">
        <v>159</v>
      </c>
      <c r="F5" s="4" t="s">
        <v>288</v>
      </c>
      <c r="G5" s="4" t="s">
        <v>746</v>
      </c>
    </row>
    <row r="6" spans="1:7" x14ac:dyDescent="0.25">
      <c r="A6" s="4">
        <v>175</v>
      </c>
      <c r="B6" s="4">
        <v>145</v>
      </c>
      <c r="C6" s="4" t="s">
        <v>37</v>
      </c>
      <c r="D6" s="4" t="s">
        <v>844</v>
      </c>
      <c r="E6" s="4">
        <v>163</v>
      </c>
      <c r="F6" s="4" t="s">
        <v>296</v>
      </c>
      <c r="G6" s="4" t="s">
        <v>750</v>
      </c>
    </row>
    <row r="7" spans="1:7" x14ac:dyDescent="0.25">
      <c r="A7" s="4">
        <v>176</v>
      </c>
      <c r="B7" s="4">
        <v>145</v>
      </c>
      <c r="C7" s="4" t="s">
        <v>37</v>
      </c>
      <c r="D7" s="4" t="s">
        <v>844</v>
      </c>
      <c r="E7" s="4">
        <v>164</v>
      </c>
      <c r="F7" s="4" t="s">
        <v>298</v>
      </c>
      <c r="G7" s="4" t="s">
        <v>751</v>
      </c>
    </row>
    <row r="8" spans="1:7" x14ac:dyDescent="0.25">
      <c r="A8" s="4">
        <v>177</v>
      </c>
      <c r="B8" s="4">
        <v>145</v>
      </c>
      <c r="C8" s="4" t="s">
        <v>37</v>
      </c>
      <c r="D8" s="4" t="s">
        <v>844</v>
      </c>
      <c r="E8" s="4">
        <v>157</v>
      </c>
      <c r="F8" s="4" t="s">
        <v>284</v>
      </c>
      <c r="G8" s="4" t="s">
        <v>744</v>
      </c>
    </row>
    <row r="9" spans="1:7" x14ac:dyDescent="0.25">
      <c r="A9" s="4">
        <v>83</v>
      </c>
      <c r="B9" s="4">
        <v>106</v>
      </c>
      <c r="C9" s="4" t="s">
        <v>36</v>
      </c>
      <c r="D9" s="4" t="s">
        <v>665</v>
      </c>
      <c r="E9" s="4">
        <v>110</v>
      </c>
      <c r="F9" s="4" t="s">
        <v>230</v>
      </c>
      <c r="G9" s="4" t="s">
        <v>669</v>
      </c>
    </row>
    <row r="10" spans="1:7" x14ac:dyDescent="0.25">
      <c r="A10" s="4">
        <v>84</v>
      </c>
      <c r="B10" s="4">
        <v>106</v>
      </c>
      <c r="C10" s="4" t="s">
        <v>36</v>
      </c>
      <c r="D10" s="4" t="s">
        <v>665</v>
      </c>
      <c r="E10" s="4">
        <v>121</v>
      </c>
      <c r="F10" s="4" t="s">
        <v>241</v>
      </c>
      <c r="G10" s="4" t="s">
        <v>688</v>
      </c>
    </row>
    <row r="11" spans="1:7" x14ac:dyDescent="0.25">
      <c r="A11" s="4">
        <v>85</v>
      </c>
      <c r="B11" s="4">
        <v>106</v>
      </c>
      <c r="C11" s="4" t="s">
        <v>36</v>
      </c>
      <c r="D11" s="4" t="s">
        <v>665</v>
      </c>
      <c r="E11" s="4">
        <v>122</v>
      </c>
      <c r="F11" s="4" t="s">
        <v>242</v>
      </c>
      <c r="G11" s="4" t="s">
        <v>690</v>
      </c>
    </row>
    <row r="12" spans="1:7" x14ac:dyDescent="0.25">
      <c r="A12" s="4">
        <v>86</v>
      </c>
      <c r="B12" s="4">
        <v>106</v>
      </c>
      <c r="C12" s="4" t="s">
        <v>36</v>
      </c>
      <c r="D12" s="4" t="s">
        <v>665</v>
      </c>
      <c r="E12" s="4">
        <v>77</v>
      </c>
      <c r="F12" s="4" t="s">
        <v>167</v>
      </c>
      <c r="G12" s="4" t="s">
        <v>641</v>
      </c>
    </row>
    <row r="13" spans="1:7" x14ac:dyDescent="0.25">
      <c r="A13" s="4">
        <v>87</v>
      </c>
      <c r="B13" s="4">
        <v>106</v>
      </c>
      <c r="C13" s="4" t="s">
        <v>36</v>
      </c>
      <c r="D13" s="4" t="s">
        <v>665</v>
      </c>
      <c r="E13" s="4">
        <v>113</v>
      </c>
      <c r="F13" s="4" t="s">
        <v>233</v>
      </c>
      <c r="G13" s="4" t="s">
        <v>673</v>
      </c>
    </row>
    <row r="14" spans="1:7" x14ac:dyDescent="0.25">
      <c r="A14" s="4">
        <v>88</v>
      </c>
      <c r="B14" s="4">
        <v>106</v>
      </c>
      <c r="C14" s="4" t="s">
        <v>36</v>
      </c>
      <c r="D14" s="4" t="s">
        <v>665</v>
      </c>
      <c r="E14" s="4">
        <v>123</v>
      </c>
      <c r="F14" s="4" t="s">
        <v>243</v>
      </c>
      <c r="G14" s="4" t="s">
        <v>692</v>
      </c>
    </row>
    <row r="15" spans="1:7" x14ac:dyDescent="0.25">
      <c r="A15" s="4">
        <v>89</v>
      </c>
      <c r="B15" s="4">
        <v>106</v>
      </c>
      <c r="C15" s="4" t="s">
        <v>36</v>
      </c>
      <c r="D15" s="4" t="s">
        <v>665</v>
      </c>
      <c r="E15" s="4">
        <v>114</v>
      </c>
      <c r="F15" s="4" t="s">
        <v>235</v>
      </c>
      <c r="G15" s="4" t="s">
        <v>858</v>
      </c>
    </row>
    <row r="16" spans="1:7" x14ac:dyDescent="0.25">
      <c r="A16" s="4">
        <v>90</v>
      </c>
      <c r="B16" s="4">
        <v>106</v>
      </c>
      <c r="C16" s="4" t="s">
        <v>36</v>
      </c>
      <c r="D16" s="4" t="s">
        <v>665</v>
      </c>
      <c r="E16" s="4">
        <v>124</v>
      </c>
      <c r="F16" s="4" t="s">
        <v>244</v>
      </c>
      <c r="G16" s="4" t="s">
        <v>694</v>
      </c>
    </row>
    <row r="17" spans="1:7" x14ac:dyDescent="0.25">
      <c r="A17" s="4">
        <v>91</v>
      </c>
      <c r="B17" s="4">
        <v>106</v>
      </c>
      <c r="C17" s="4" t="s">
        <v>36</v>
      </c>
      <c r="D17" s="4" t="s">
        <v>665</v>
      </c>
      <c r="E17" s="4">
        <v>119</v>
      </c>
      <c r="F17" s="4" t="s">
        <v>237</v>
      </c>
      <c r="G17" s="4" t="s">
        <v>686</v>
      </c>
    </row>
    <row r="18" spans="1:7" x14ac:dyDescent="0.25">
      <c r="A18" s="4">
        <v>92</v>
      </c>
      <c r="B18" s="4">
        <v>106</v>
      </c>
      <c r="C18" s="4" t="s">
        <v>36</v>
      </c>
      <c r="D18" s="4" t="s">
        <v>665</v>
      </c>
      <c r="E18" s="4">
        <v>120</v>
      </c>
      <c r="F18" s="4" t="s">
        <v>239</v>
      </c>
      <c r="G18" s="4" t="s">
        <v>687</v>
      </c>
    </row>
    <row r="19" spans="1:7" x14ac:dyDescent="0.25">
      <c r="A19" s="4">
        <v>104</v>
      </c>
      <c r="B19" s="4">
        <v>8</v>
      </c>
      <c r="C19" s="4" t="s">
        <v>30</v>
      </c>
      <c r="D19" s="4" t="s">
        <v>572</v>
      </c>
      <c r="E19" s="4">
        <v>110</v>
      </c>
      <c r="F19" s="4" t="s">
        <v>230</v>
      </c>
      <c r="G19" s="4" t="s">
        <v>669</v>
      </c>
    </row>
    <row r="20" spans="1:7" x14ac:dyDescent="0.25">
      <c r="A20" s="4">
        <v>105</v>
      </c>
      <c r="B20" s="4">
        <v>8</v>
      </c>
      <c r="C20" s="4" t="s">
        <v>30</v>
      </c>
      <c r="D20" s="4" t="s">
        <v>572</v>
      </c>
      <c r="E20" s="4">
        <v>121</v>
      </c>
      <c r="F20" s="4" t="s">
        <v>241</v>
      </c>
      <c r="G20" s="4" t="s">
        <v>688</v>
      </c>
    </row>
    <row r="21" spans="1:7" x14ac:dyDescent="0.25">
      <c r="A21" s="4">
        <v>106</v>
      </c>
      <c r="B21" s="4">
        <v>8</v>
      </c>
      <c r="C21" s="4" t="s">
        <v>30</v>
      </c>
      <c r="D21" s="4" t="s">
        <v>572</v>
      </c>
      <c r="E21" s="4">
        <v>122</v>
      </c>
      <c r="F21" s="4" t="s">
        <v>242</v>
      </c>
      <c r="G21" s="4" t="s">
        <v>690</v>
      </c>
    </row>
    <row r="22" spans="1:7" x14ac:dyDescent="0.25">
      <c r="A22" s="4">
        <v>107</v>
      </c>
      <c r="B22" s="4">
        <v>8</v>
      </c>
      <c r="C22" s="4" t="s">
        <v>30</v>
      </c>
      <c r="D22" s="4" t="s">
        <v>572</v>
      </c>
      <c r="E22" s="4">
        <v>77</v>
      </c>
      <c r="F22" s="4" t="s">
        <v>167</v>
      </c>
      <c r="G22" s="4" t="s">
        <v>641</v>
      </c>
    </row>
    <row r="23" spans="1:7" x14ac:dyDescent="0.25">
      <c r="A23" s="4">
        <v>108</v>
      </c>
      <c r="B23" s="4">
        <v>8</v>
      </c>
      <c r="C23" s="4" t="s">
        <v>30</v>
      </c>
      <c r="D23" s="4" t="s">
        <v>572</v>
      </c>
      <c r="E23" s="4">
        <v>113</v>
      </c>
      <c r="F23" s="4" t="s">
        <v>233</v>
      </c>
      <c r="G23" s="4" t="s">
        <v>673</v>
      </c>
    </row>
    <row r="24" spans="1:7" x14ac:dyDescent="0.25">
      <c r="A24" s="4">
        <v>109</v>
      </c>
      <c r="B24" s="4">
        <v>8</v>
      </c>
      <c r="C24" s="4" t="s">
        <v>30</v>
      </c>
      <c r="D24" s="4" t="s">
        <v>572</v>
      </c>
      <c r="E24" s="4">
        <v>123</v>
      </c>
      <c r="F24" s="4" t="s">
        <v>243</v>
      </c>
      <c r="G24" s="4" t="s">
        <v>692</v>
      </c>
    </row>
    <row r="25" spans="1:7" x14ac:dyDescent="0.25">
      <c r="A25" s="4">
        <v>110</v>
      </c>
      <c r="B25" s="4">
        <v>8</v>
      </c>
      <c r="C25" s="4" t="s">
        <v>30</v>
      </c>
      <c r="D25" s="4" t="s">
        <v>572</v>
      </c>
      <c r="E25" s="4">
        <v>114</v>
      </c>
      <c r="F25" s="4" t="s">
        <v>235</v>
      </c>
      <c r="G25" s="4" t="s">
        <v>858</v>
      </c>
    </row>
    <row r="26" spans="1:7" x14ac:dyDescent="0.25">
      <c r="A26" s="4">
        <v>111</v>
      </c>
      <c r="B26" s="4">
        <v>8</v>
      </c>
      <c r="C26" s="4" t="s">
        <v>30</v>
      </c>
      <c r="D26" s="4" t="s">
        <v>572</v>
      </c>
      <c r="E26" s="4">
        <v>124</v>
      </c>
      <c r="F26" s="4" t="s">
        <v>244</v>
      </c>
      <c r="G26" s="4" t="s">
        <v>694</v>
      </c>
    </row>
    <row r="27" spans="1:7" x14ac:dyDescent="0.25">
      <c r="A27" s="4">
        <v>112</v>
      </c>
      <c r="B27" s="4">
        <v>8</v>
      </c>
      <c r="C27" s="4" t="s">
        <v>30</v>
      </c>
      <c r="D27" s="4" t="s">
        <v>572</v>
      </c>
      <c r="E27" s="4">
        <v>119</v>
      </c>
      <c r="F27" s="4" t="s">
        <v>237</v>
      </c>
      <c r="G27" s="4" t="s">
        <v>686</v>
      </c>
    </row>
    <row r="28" spans="1:7" x14ac:dyDescent="0.25">
      <c r="A28" s="4">
        <v>113</v>
      </c>
      <c r="B28" s="4">
        <v>8</v>
      </c>
      <c r="C28" s="4" t="s">
        <v>30</v>
      </c>
      <c r="D28" s="4" t="s">
        <v>572</v>
      </c>
      <c r="E28" s="4">
        <v>120</v>
      </c>
      <c r="F28" s="4" t="s">
        <v>239</v>
      </c>
      <c r="G28" s="4" t="s">
        <v>687</v>
      </c>
    </row>
    <row r="29" spans="1:7" x14ac:dyDescent="0.25">
      <c r="A29" s="4">
        <v>4</v>
      </c>
      <c r="B29" s="4">
        <v>12</v>
      </c>
      <c r="C29" s="4" t="s">
        <v>1</v>
      </c>
      <c r="D29" s="4" t="s">
        <v>840</v>
      </c>
      <c r="E29" s="4">
        <v>37</v>
      </c>
      <c r="F29" s="4" t="s">
        <v>98</v>
      </c>
      <c r="G29" s="4" t="s">
        <v>604</v>
      </c>
    </row>
    <row r="30" spans="1:7" x14ac:dyDescent="0.25">
      <c r="A30" s="4">
        <v>5</v>
      </c>
      <c r="B30" s="4">
        <v>12</v>
      </c>
      <c r="C30" s="4" t="s">
        <v>1</v>
      </c>
      <c r="D30" s="4" t="s">
        <v>840</v>
      </c>
      <c r="E30" s="4">
        <v>38</v>
      </c>
      <c r="F30" s="4" t="s">
        <v>100</v>
      </c>
      <c r="G30" s="4" t="s">
        <v>605</v>
      </c>
    </row>
    <row r="31" spans="1:7" x14ac:dyDescent="0.25">
      <c r="A31" s="4">
        <v>1</v>
      </c>
      <c r="B31" s="4">
        <v>13</v>
      </c>
      <c r="C31" s="4" t="s">
        <v>2</v>
      </c>
      <c r="D31" s="4" t="s">
        <v>576</v>
      </c>
      <c r="E31" s="4">
        <v>32</v>
      </c>
      <c r="F31" s="4" t="s">
        <v>92</v>
      </c>
      <c r="G31" s="4" t="s">
        <v>595</v>
      </c>
    </row>
    <row r="32" spans="1:7" x14ac:dyDescent="0.25">
      <c r="A32" s="4">
        <v>2</v>
      </c>
      <c r="B32" s="4">
        <v>13</v>
      </c>
      <c r="C32" s="4" t="s">
        <v>2</v>
      </c>
      <c r="D32" s="4" t="s">
        <v>576</v>
      </c>
      <c r="E32" s="4">
        <v>33</v>
      </c>
      <c r="F32" s="4" t="s">
        <v>94</v>
      </c>
      <c r="G32" s="4" t="s">
        <v>596</v>
      </c>
    </row>
    <row r="33" spans="1:7" x14ac:dyDescent="0.25">
      <c r="A33" s="4">
        <v>3</v>
      </c>
      <c r="B33" s="4">
        <v>13</v>
      </c>
      <c r="C33" s="4" t="s">
        <v>2</v>
      </c>
      <c r="D33" s="4" t="s">
        <v>576</v>
      </c>
      <c r="E33" s="4">
        <v>34</v>
      </c>
      <c r="F33" s="4" t="s">
        <v>96</v>
      </c>
      <c r="G33" s="4" t="s">
        <v>597</v>
      </c>
    </row>
    <row r="34" spans="1:7" x14ac:dyDescent="0.25">
      <c r="A34" s="4">
        <v>30</v>
      </c>
      <c r="B34" s="4">
        <v>58</v>
      </c>
      <c r="C34" s="4" t="s">
        <v>31</v>
      </c>
      <c r="D34" s="4" t="s">
        <v>846</v>
      </c>
      <c r="E34" s="4">
        <v>76</v>
      </c>
      <c r="F34" s="4" t="s">
        <v>165</v>
      </c>
      <c r="G34" s="4" t="s">
        <v>640</v>
      </c>
    </row>
    <row r="35" spans="1:7" x14ac:dyDescent="0.25">
      <c r="A35" s="4">
        <v>31</v>
      </c>
      <c r="B35" s="4">
        <v>58</v>
      </c>
      <c r="C35" s="4" t="s">
        <v>31</v>
      </c>
      <c r="D35" s="4" t="s">
        <v>846</v>
      </c>
      <c r="E35" s="4">
        <v>81</v>
      </c>
      <c r="F35" s="4" t="s">
        <v>174</v>
      </c>
      <c r="G35" s="4" t="s">
        <v>644</v>
      </c>
    </row>
    <row r="36" spans="1:7" x14ac:dyDescent="0.25">
      <c r="A36" s="4">
        <v>32</v>
      </c>
      <c r="B36" s="4">
        <v>58</v>
      </c>
      <c r="C36" s="4" t="s">
        <v>31</v>
      </c>
      <c r="D36" s="4" t="s">
        <v>846</v>
      </c>
      <c r="E36" s="4">
        <v>77</v>
      </c>
      <c r="F36" s="4" t="s">
        <v>167</v>
      </c>
      <c r="G36" s="4" t="s">
        <v>641</v>
      </c>
    </row>
    <row r="37" spans="1:7" x14ac:dyDescent="0.25">
      <c r="A37" s="4">
        <v>33</v>
      </c>
      <c r="B37" s="4">
        <v>58</v>
      </c>
      <c r="C37" s="4" t="s">
        <v>31</v>
      </c>
      <c r="D37" s="4" t="s">
        <v>846</v>
      </c>
      <c r="E37" s="4">
        <v>78</v>
      </c>
      <c r="F37" s="4" t="s">
        <v>169</v>
      </c>
      <c r="G37" s="4" t="s">
        <v>639</v>
      </c>
    </row>
    <row r="38" spans="1:7" x14ac:dyDescent="0.25">
      <c r="A38" s="4">
        <v>34</v>
      </c>
      <c r="B38" s="4">
        <v>58</v>
      </c>
      <c r="C38" s="4" t="s">
        <v>31</v>
      </c>
      <c r="D38" s="4" t="s">
        <v>846</v>
      </c>
      <c r="E38" s="4">
        <v>79</v>
      </c>
      <c r="F38" s="4" t="s">
        <v>170</v>
      </c>
      <c r="G38" s="4" t="s">
        <v>642</v>
      </c>
    </row>
    <row r="39" spans="1:7" x14ac:dyDescent="0.25">
      <c r="A39" s="4">
        <v>35</v>
      </c>
      <c r="B39" s="4">
        <v>58</v>
      </c>
      <c r="C39" s="4" t="s">
        <v>31</v>
      </c>
      <c r="D39" s="4" t="s">
        <v>846</v>
      </c>
      <c r="E39" s="4">
        <v>80</v>
      </c>
      <c r="F39" s="4" t="s">
        <v>172</v>
      </c>
      <c r="G39" s="4" t="s">
        <v>643</v>
      </c>
    </row>
    <row r="40" spans="1:7" x14ac:dyDescent="0.25">
      <c r="A40" s="4">
        <v>73</v>
      </c>
      <c r="B40" s="4">
        <v>15</v>
      </c>
      <c r="C40" s="4" t="s">
        <v>3</v>
      </c>
      <c r="D40" s="4" t="s">
        <v>578</v>
      </c>
      <c r="E40" s="4">
        <v>110</v>
      </c>
      <c r="F40" s="4" t="s">
        <v>230</v>
      </c>
      <c r="G40" s="4" t="s">
        <v>669</v>
      </c>
    </row>
    <row r="41" spans="1:7" x14ac:dyDescent="0.25">
      <c r="A41" s="4">
        <v>74</v>
      </c>
      <c r="B41" s="4">
        <v>15</v>
      </c>
      <c r="C41" s="4" t="s">
        <v>3</v>
      </c>
      <c r="D41" s="4" t="s">
        <v>578</v>
      </c>
      <c r="E41" s="4">
        <v>121</v>
      </c>
      <c r="F41" s="4" t="s">
        <v>241</v>
      </c>
      <c r="G41" s="4" t="s">
        <v>688</v>
      </c>
    </row>
    <row r="42" spans="1:7" x14ac:dyDescent="0.25">
      <c r="A42" s="4">
        <v>75</v>
      </c>
      <c r="B42" s="4">
        <v>15</v>
      </c>
      <c r="C42" s="4" t="s">
        <v>3</v>
      </c>
      <c r="D42" s="4" t="s">
        <v>578</v>
      </c>
      <c r="E42" s="4">
        <v>122</v>
      </c>
      <c r="F42" s="4" t="s">
        <v>242</v>
      </c>
      <c r="G42" s="4" t="s">
        <v>690</v>
      </c>
    </row>
    <row r="43" spans="1:7" x14ac:dyDescent="0.25">
      <c r="A43" s="4">
        <v>76</v>
      </c>
      <c r="B43" s="4">
        <v>15</v>
      </c>
      <c r="C43" s="4" t="s">
        <v>3</v>
      </c>
      <c r="D43" s="4" t="s">
        <v>578</v>
      </c>
      <c r="E43" s="4">
        <v>77</v>
      </c>
      <c r="F43" s="4" t="s">
        <v>167</v>
      </c>
      <c r="G43" s="4" t="s">
        <v>641</v>
      </c>
    </row>
    <row r="44" spans="1:7" x14ac:dyDescent="0.25">
      <c r="A44" s="4">
        <v>77</v>
      </c>
      <c r="B44" s="4">
        <v>15</v>
      </c>
      <c r="C44" s="4" t="s">
        <v>3</v>
      </c>
      <c r="D44" s="4" t="s">
        <v>578</v>
      </c>
      <c r="E44" s="4">
        <v>113</v>
      </c>
      <c r="F44" s="4" t="s">
        <v>233</v>
      </c>
      <c r="G44" s="4" t="s">
        <v>673</v>
      </c>
    </row>
    <row r="45" spans="1:7" x14ac:dyDescent="0.25">
      <c r="A45" s="4">
        <v>78</v>
      </c>
      <c r="B45" s="4">
        <v>15</v>
      </c>
      <c r="C45" s="4" t="s">
        <v>3</v>
      </c>
      <c r="D45" s="4" t="s">
        <v>578</v>
      </c>
      <c r="E45" s="4">
        <v>123</v>
      </c>
      <c r="F45" s="4" t="s">
        <v>243</v>
      </c>
      <c r="G45" s="4" t="s">
        <v>692</v>
      </c>
    </row>
    <row r="46" spans="1:7" x14ac:dyDescent="0.25">
      <c r="A46" s="4">
        <v>79</v>
      </c>
      <c r="B46" s="4">
        <v>15</v>
      </c>
      <c r="C46" s="4" t="s">
        <v>3</v>
      </c>
      <c r="D46" s="4" t="s">
        <v>578</v>
      </c>
      <c r="E46" s="4">
        <v>114</v>
      </c>
      <c r="F46" s="4" t="s">
        <v>235</v>
      </c>
      <c r="G46" s="4" t="s">
        <v>858</v>
      </c>
    </row>
    <row r="47" spans="1:7" x14ac:dyDescent="0.25">
      <c r="A47" s="4">
        <v>80</v>
      </c>
      <c r="B47" s="4">
        <v>15</v>
      </c>
      <c r="C47" s="4" t="s">
        <v>3</v>
      </c>
      <c r="D47" s="4" t="s">
        <v>578</v>
      </c>
      <c r="E47" s="4">
        <v>124</v>
      </c>
      <c r="F47" s="4" t="s">
        <v>244</v>
      </c>
      <c r="G47" s="4" t="s">
        <v>694</v>
      </c>
    </row>
    <row r="48" spans="1:7" x14ac:dyDescent="0.25">
      <c r="A48" s="4">
        <v>81</v>
      </c>
      <c r="B48" s="4">
        <v>15</v>
      </c>
      <c r="C48" s="4" t="s">
        <v>3</v>
      </c>
      <c r="D48" s="4" t="s">
        <v>578</v>
      </c>
      <c r="E48" s="4">
        <v>119</v>
      </c>
      <c r="F48" s="4" t="s">
        <v>237</v>
      </c>
      <c r="G48" s="4" t="s">
        <v>686</v>
      </c>
    </row>
    <row r="49" spans="1:7" x14ac:dyDescent="0.25">
      <c r="A49" s="4">
        <v>82</v>
      </c>
      <c r="B49" s="4">
        <v>15</v>
      </c>
      <c r="C49" s="4" t="s">
        <v>3</v>
      </c>
      <c r="D49" s="4" t="s">
        <v>578</v>
      </c>
      <c r="E49" s="4">
        <v>120</v>
      </c>
      <c r="F49" s="4" t="s">
        <v>239</v>
      </c>
      <c r="G49" s="4" t="s">
        <v>687</v>
      </c>
    </row>
    <row r="50" spans="1:7" x14ac:dyDescent="0.25">
      <c r="A50" s="4">
        <v>114</v>
      </c>
      <c r="B50" s="4">
        <v>146</v>
      </c>
      <c r="C50" s="4" t="s">
        <v>38</v>
      </c>
      <c r="D50" s="4" t="s">
        <v>733</v>
      </c>
      <c r="E50" s="4">
        <v>82</v>
      </c>
      <c r="F50" s="4" t="s">
        <v>176</v>
      </c>
      <c r="G50" s="4" t="s">
        <v>855</v>
      </c>
    </row>
    <row r="51" spans="1:7" x14ac:dyDescent="0.25">
      <c r="A51" s="4">
        <v>115</v>
      </c>
      <c r="B51" s="4">
        <v>146</v>
      </c>
      <c r="C51" s="4" t="s">
        <v>38</v>
      </c>
      <c r="D51" s="4" t="s">
        <v>733</v>
      </c>
      <c r="E51" s="4">
        <v>83</v>
      </c>
      <c r="F51" s="4" t="s">
        <v>178</v>
      </c>
      <c r="G51" s="4" t="s">
        <v>645</v>
      </c>
    </row>
    <row r="52" spans="1:7" x14ac:dyDescent="0.25">
      <c r="A52" s="4">
        <v>116</v>
      </c>
      <c r="B52" s="4">
        <v>146</v>
      </c>
      <c r="C52" s="4" t="s">
        <v>38</v>
      </c>
      <c r="D52" s="4" t="s">
        <v>733</v>
      </c>
      <c r="E52" s="4">
        <v>150</v>
      </c>
      <c r="F52" s="4" t="s">
        <v>270</v>
      </c>
      <c r="G52" s="4" t="s">
        <v>870</v>
      </c>
    </row>
    <row r="53" spans="1:7" x14ac:dyDescent="0.25">
      <c r="A53" s="4">
        <v>117</v>
      </c>
      <c r="B53" s="4">
        <v>146</v>
      </c>
      <c r="C53" s="4" t="s">
        <v>38</v>
      </c>
      <c r="D53" s="4" t="s">
        <v>733</v>
      </c>
      <c r="E53" s="4">
        <v>151</v>
      </c>
      <c r="F53" s="4" t="s">
        <v>272</v>
      </c>
      <c r="G53" s="4" t="s">
        <v>738</v>
      </c>
    </row>
    <row r="54" spans="1:7" x14ac:dyDescent="0.25">
      <c r="A54" s="4">
        <v>118</v>
      </c>
      <c r="B54" s="4">
        <v>146</v>
      </c>
      <c r="C54" s="4" t="s">
        <v>38</v>
      </c>
      <c r="D54" s="4" t="s">
        <v>733</v>
      </c>
      <c r="E54" s="4">
        <v>84</v>
      </c>
      <c r="F54" s="4" t="s">
        <v>180</v>
      </c>
      <c r="G54" s="4" t="s">
        <v>646</v>
      </c>
    </row>
    <row r="55" spans="1:7" x14ac:dyDescent="0.25">
      <c r="A55" s="4">
        <v>119</v>
      </c>
      <c r="B55" s="4">
        <v>146</v>
      </c>
      <c r="C55" s="4" t="s">
        <v>38</v>
      </c>
      <c r="D55" s="4" t="s">
        <v>733</v>
      </c>
      <c r="E55" s="4">
        <v>85</v>
      </c>
      <c r="F55" s="4" t="s">
        <v>182</v>
      </c>
      <c r="G55" s="4" t="s">
        <v>648</v>
      </c>
    </row>
    <row r="56" spans="1:7" x14ac:dyDescent="0.25">
      <c r="A56" s="4">
        <v>136</v>
      </c>
      <c r="B56" s="4">
        <v>146</v>
      </c>
      <c r="C56" s="4" t="s">
        <v>38</v>
      </c>
      <c r="D56" s="4" t="s">
        <v>733</v>
      </c>
      <c r="E56" s="4">
        <v>97</v>
      </c>
      <c r="F56" s="4" t="s">
        <v>442</v>
      </c>
      <c r="G56" s="4" t="s">
        <v>443</v>
      </c>
    </row>
    <row r="57" spans="1:7" x14ac:dyDescent="0.25">
      <c r="A57" s="4">
        <v>120</v>
      </c>
      <c r="B57" s="4">
        <v>146</v>
      </c>
      <c r="C57" s="4" t="s">
        <v>38</v>
      </c>
      <c r="D57" s="4" t="s">
        <v>733</v>
      </c>
      <c r="E57" s="4">
        <v>86</v>
      </c>
      <c r="F57" s="4" t="s">
        <v>184</v>
      </c>
      <c r="G57" s="4" t="s">
        <v>856</v>
      </c>
    </row>
    <row r="58" spans="1:7" x14ac:dyDescent="0.25">
      <c r="A58" s="4">
        <v>121</v>
      </c>
      <c r="B58" s="4">
        <v>146</v>
      </c>
      <c r="C58" s="4" t="s">
        <v>38</v>
      </c>
      <c r="D58" s="4" t="s">
        <v>733</v>
      </c>
      <c r="E58" s="4">
        <v>152</v>
      </c>
      <c r="F58" s="4" t="s">
        <v>274</v>
      </c>
      <c r="G58" s="4" t="s">
        <v>739</v>
      </c>
    </row>
    <row r="59" spans="1:7" x14ac:dyDescent="0.25">
      <c r="A59" s="4">
        <v>122</v>
      </c>
      <c r="B59" s="4">
        <v>146</v>
      </c>
      <c r="C59" s="4" t="s">
        <v>38</v>
      </c>
      <c r="D59" s="4" t="s">
        <v>733</v>
      </c>
      <c r="E59" s="4">
        <v>153</v>
      </c>
      <c r="F59" s="4" t="s">
        <v>276</v>
      </c>
      <c r="G59" s="4" t="s">
        <v>740</v>
      </c>
    </row>
    <row r="60" spans="1:7" x14ac:dyDescent="0.25">
      <c r="A60" s="4">
        <v>123</v>
      </c>
      <c r="B60" s="4">
        <v>146</v>
      </c>
      <c r="C60" s="4" t="s">
        <v>38</v>
      </c>
      <c r="D60" s="4" t="s">
        <v>733</v>
      </c>
      <c r="E60" s="4">
        <v>88</v>
      </c>
      <c r="F60" s="4" t="s">
        <v>188</v>
      </c>
      <c r="G60" s="4" t="s">
        <v>650</v>
      </c>
    </row>
    <row r="61" spans="1:7" x14ac:dyDescent="0.25">
      <c r="A61" s="4">
        <v>125</v>
      </c>
      <c r="B61" s="4">
        <v>146</v>
      </c>
      <c r="C61" s="4" t="s">
        <v>38</v>
      </c>
      <c r="D61" s="4" t="s">
        <v>733</v>
      </c>
      <c r="E61" s="4">
        <v>154</v>
      </c>
      <c r="F61" s="4" t="s">
        <v>278</v>
      </c>
      <c r="G61" s="4" t="s">
        <v>741</v>
      </c>
    </row>
    <row r="62" spans="1:7" x14ac:dyDescent="0.25">
      <c r="A62" s="4">
        <v>124</v>
      </c>
      <c r="B62" s="4">
        <v>146</v>
      </c>
      <c r="C62" s="4" t="s">
        <v>38</v>
      </c>
      <c r="D62" s="4" t="s">
        <v>733</v>
      </c>
      <c r="E62" s="4">
        <v>89</v>
      </c>
      <c r="F62" s="4" t="s">
        <v>190</v>
      </c>
      <c r="G62" s="4" t="s">
        <v>651</v>
      </c>
    </row>
    <row r="63" spans="1:7" x14ac:dyDescent="0.25">
      <c r="A63" s="4">
        <v>126</v>
      </c>
      <c r="B63" s="4">
        <v>146</v>
      </c>
      <c r="C63" s="4" t="s">
        <v>38</v>
      </c>
      <c r="D63" s="4" t="s">
        <v>733</v>
      </c>
      <c r="E63" s="4">
        <v>90</v>
      </c>
      <c r="F63" s="4" t="s">
        <v>192</v>
      </c>
      <c r="G63" s="4" t="s">
        <v>652</v>
      </c>
    </row>
    <row r="64" spans="1:7" x14ac:dyDescent="0.25">
      <c r="A64" s="4">
        <v>127</v>
      </c>
      <c r="B64" s="4">
        <v>146</v>
      </c>
      <c r="C64" s="4" t="s">
        <v>38</v>
      </c>
      <c r="D64" s="4" t="s">
        <v>733</v>
      </c>
      <c r="E64" s="4">
        <v>155</v>
      </c>
      <c r="F64" s="4" t="s">
        <v>280</v>
      </c>
      <c r="G64" s="4" t="s">
        <v>742</v>
      </c>
    </row>
    <row r="65" spans="1:7" x14ac:dyDescent="0.25">
      <c r="A65" s="4">
        <v>128</v>
      </c>
      <c r="B65" s="4">
        <v>146</v>
      </c>
      <c r="C65" s="4" t="s">
        <v>38</v>
      </c>
      <c r="D65" s="4" t="s">
        <v>733</v>
      </c>
      <c r="E65" s="4">
        <v>156</v>
      </c>
      <c r="F65" s="4" t="s">
        <v>282</v>
      </c>
      <c r="G65" s="4" t="s">
        <v>743</v>
      </c>
    </row>
    <row r="66" spans="1:7" x14ac:dyDescent="0.25">
      <c r="A66" s="4">
        <v>129</v>
      </c>
      <c r="B66" s="4">
        <v>146</v>
      </c>
      <c r="C66" s="4" t="s">
        <v>38</v>
      </c>
      <c r="D66" s="4" t="s">
        <v>733</v>
      </c>
      <c r="E66" s="4">
        <v>91</v>
      </c>
      <c r="F66" s="4" t="s">
        <v>194</v>
      </c>
      <c r="G66" s="4" t="s">
        <v>653</v>
      </c>
    </row>
    <row r="67" spans="1:7" x14ac:dyDescent="0.25">
      <c r="A67" s="4">
        <v>133</v>
      </c>
      <c r="B67" s="4">
        <v>146</v>
      </c>
      <c r="C67" s="4" t="s">
        <v>38</v>
      </c>
      <c r="D67" s="4" t="s">
        <v>733</v>
      </c>
      <c r="E67" s="4">
        <v>158</v>
      </c>
      <c r="F67" s="4" t="s">
        <v>286</v>
      </c>
      <c r="G67" s="4" t="s">
        <v>745</v>
      </c>
    </row>
    <row r="68" spans="1:7" x14ac:dyDescent="0.25">
      <c r="A68" s="4">
        <v>130</v>
      </c>
      <c r="B68" s="4">
        <v>146</v>
      </c>
      <c r="C68" s="4" t="s">
        <v>38</v>
      </c>
      <c r="D68" s="4" t="s">
        <v>733</v>
      </c>
      <c r="E68" s="4">
        <v>92</v>
      </c>
      <c r="F68" s="4" t="s">
        <v>196</v>
      </c>
      <c r="G68" s="4" t="s">
        <v>654</v>
      </c>
    </row>
    <row r="69" spans="1:7" x14ac:dyDescent="0.25">
      <c r="A69" s="4">
        <v>131</v>
      </c>
      <c r="B69" s="4">
        <v>146</v>
      </c>
      <c r="C69" s="4" t="s">
        <v>38</v>
      </c>
      <c r="D69" s="4" t="s">
        <v>733</v>
      </c>
      <c r="E69" s="4">
        <v>157</v>
      </c>
      <c r="F69" s="4" t="s">
        <v>284</v>
      </c>
      <c r="G69" s="4" t="s">
        <v>744</v>
      </c>
    </row>
    <row r="70" spans="1:7" x14ac:dyDescent="0.25">
      <c r="A70" s="4">
        <v>132</v>
      </c>
      <c r="B70" s="4">
        <v>146</v>
      </c>
      <c r="C70" s="4" t="s">
        <v>38</v>
      </c>
      <c r="D70" s="4" t="s">
        <v>733</v>
      </c>
      <c r="E70" s="4">
        <v>93</v>
      </c>
      <c r="F70" s="4" t="s">
        <v>198</v>
      </c>
      <c r="G70" s="4" t="s">
        <v>655</v>
      </c>
    </row>
    <row r="71" spans="1:7" x14ac:dyDescent="0.25">
      <c r="A71" s="4">
        <v>134</v>
      </c>
      <c r="B71" s="4">
        <v>146</v>
      </c>
      <c r="C71" s="4" t="s">
        <v>38</v>
      </c>
      <c r="D71" s="4" t="s">
        <v>733</v>
      </c>
      <c r="E71" s="4">
        <v>95</v>
      </c>
      <c r="F71" s="4" t="s">
        <v>202</v>
      </c>
      <c r="G71" s="4" t="s">
        <v>657</v>
      </c>
    </row>
    <row r="72" spans="1:7" x14ac:dyDescent="0.25">
      <c r="A72" s="4">
        <v>135</v>
      </c>
      <c r="B72" s="4">
        <v>146</v>
      </c>
      <c r="C72" s="4" t="s">
        <v>38</v>
      </c>
      <c r="D72" s="4" t="s">
        <v>733</v>
      </c>
      <c r="E72" s="4">
        <v>96</v>
      </c>
      <c r="F72" s="4" t="s">
        <v>204</v>
      </c>
      <c r="G72" s="4" t="s">
        <v>857</v>
      </c>
    </row>
    <row r="73" spans="1:7" x14ac:dyDescent="0.25">
      <c r="A73" s="4">
        <v>137</v>
      </c>
      <c r="B73" s="4">
        <v>146</v>
      </c>
      <c r="C73" s="4" t="s">
        <v>38</v>
      </c>
      <c r="D73" s="4" t="s">
        <v>733</v>
      </c>
      <c r="E73" s="4">
        <v>98</v>
      </c>
      <c r="F73" s="4" t="s">
        <v>207</v>
      </c>
      <c r="G73" s="4" t="s">
        <v>444</v>
      </c>
    </row>
    <row r="74" spans="1:7" x14ac:dyDescent="0.25">
      <c r="A74" s="4">
        <v>138</v>
      </c>
      <c r="B74" s="4">
        <v>146</v>
      </c>
      <c r="C74" s="4" t="s">
        <v>38</v>
      </c>
      <c r="D74" s="4" t="s">
        <v>733</v>
      </c>
      <c r="E74" s="4">
        <v>99</v>
      </c>
      <c r="F74" s="4" t="s">
        <v>209</v>
      </c>
      <c r="G74" s="4" t="s">
        <v>658</v>
      </c>
    </row>
    <row r="75" spans="1:7" x14ac:dyDescent="0.25">
      <c r="A75" s="4">
        <v>139</v>
      </c>
      <c r="B75" s="4">
        <v>146</v>
      </c>
      <c r="C75" s="4" t="s">
        <v>38</v>
      </c>
      <c r="D75" s="4" t="s">
        <v>733</v>
      </c>
      <c r="E75" s="4">
        <v>100</v>
      </c>
      <c r="F75" s="4" t="s">
        <v>211</v>
      </c>
      <c r="G75" s="4" t="s">
        <v>659</v>
      </c>
    </row>
    <row r="76" spans="1:7" x14ac:dyDescent="0.25">
      <c r="A76" s="4">
        <v>140</v>
      </c>
      <c r="B76" s="4">
        <v>146</v>
      </c>
      <c r="C76" s="4" t="s">
        <v>38</v>
      </c>
      <c r="D76" s="4" t="s">
        <v>733</v>
      </c>
      <c r="E76" s="4">
        <v>101</v>
      </c>
      <c r="F76" s="4" t="s">
        <v>213</v>
      </c>
      <c r="G76" s="4" t="s">
        <v>660</v>
      </c>
    </row>
    <row r="77" spans="1:7" x14ac:dyDescent="0.25">
      <c r="A77" s="4">
        <v>141</v>
      </c>
      <c r="B77" s="4">
        <v>146</v>
      </c>
      <c r="C77" s="4" t="s">
        <v>38</v>
      </c>
      <c r="D77" s="4" t="s">
        <v>733</v>
      </c>
      <c r="E77" s="4">
        <v>102</v>
      </c>
      <c r="F77" s="4" t="s">
        <v>215</v>
      </c>
      <c r="G77" s="4" t="s">
        <v>661</v>
      </c>
    </row>
    <row r="78" spans="1:7" x14ac:dyDescent="0.25">
      <c r="A78" s="4">
        <v>165</v>
      </c>
      <c r="B78" s="4">
        <v>147</v>
      </c>
      <c r="C78" s="4" t="s">
        <v>39</v>
      </c>
      <c r="D78" s="4" t="s">
        <v>734</v>
      </c>
      <c r="E78" s="4">
        <v>160</v>
      </c>
      <c r="F78" s="4" t="s">
        <v>290</v>
      </c>
      <c r="G78" s="4" t="s">
        <v>747</v>
      </c>
    </row>
    <row r="79" spans="1:7" x14ac:dyDescent="0.25">
      <c r="A79" s="4">
        <v>166</v>
      </c>
      <c r="B79" s="4">
        <v>147</v>
      </c>
      <c r="C79" s="4" t="s">
        <v>39</v>
      </c>
      <c r="D79" s="4" t="s">
        <v>734</v>
      </c>
      <c r="E79" s="4">
        <v>161</v>
      </c>
      <c r="F79" s="4" t="s">
        <v>292</v>
      </c>
      <c r="G79" s="4" t="s">
        <v>748</v>
      </c>
    </row>
    <row r="80" spans="1:7" x14ac:dyDescent="0.25">
      <c r="A80" s="4">
        <v>167</v>
      </c>
      <c r="B80" s="4">
        <v>147</v>
      </c>
      <c r="C80" s="4" t="s">
        <v>39</v>
      </c>
      <c r="D80" s="4" t="s">
        <v>734</v>
      </c>
      <c r="E80" s="4">
        <v>162</v>
      </c>
      <c r="F80" s="4" t="s">
        <v>294</v>
      </c>
      <c r="G80" s="4" t="s">
        <v>749</v>
      </c>
    </row>
    <row r="81" spans="1:7" x14ac:dyDescent="0.25">
      <c r="A81" s="4">
        <v>168</v>
      </c>
      <c r="B81" s="4">
        <v>147</v>
      </c>
      <c r="C81" s="4" t="s">
        <v>39</v>
      </c>
      <c r="D81" s="4" t="s">
        <v>734</v>
      </c>
      <c r="E81" s="4">
        <v>159</v>
      </c>
      <c r="F81" s="4" t="s">
        <v>288</v>
      </c>
      <c r="G81" s="4" t="s">
        <v>746</v>
      </c>
    </row>
    <row r="82" spans="1:7" x14ac:dyDescent="0.25">
      <c r="A82" s="4">
        <v>169</v>
      </c>
      <c r="B82" s="4">
        <v>147</v>
      </c>
      <c r="C82" s="4" t="s">
        <v>39</v>
      </c>
      <c r="D82" s="4" t="s">
        <v>734</v>
      </c>
      <c r="E82" s="4">
        <v>163</v>
      </c>
      <c r="F82" s="4" t="s">
        <v>296</v>
      </c>
      <c r="G82" s="4" t="s">
        <v>750</v>
      </c>
    </row>
    <row r="83" spans="1:7" x14ac:dyDescent="0.25">
      <c r="A83" s="4">
        <v>170</v>
      </c>
      <c r="B83" s="4">
        <v>147</v>
      </c>
      <c r="C83" s="4" t="s">
        <v>39</v>
      </c>
      <c r="D83" s="4" t="s">
        <v>734</v>
      </c>
      <c r="E83" s="4">
        <v>164</v>
      </c>
      <c r="F83" s="4" t="s">
        <v>298</v>
      </c>
      <c r="G83" s="4" t="s">
        <v>751</v>
      </c>
    </row>
    <row r="84" spans="1:7" x14ac:dyDescent="0.25">
      <c r="A84" s="4">
        <v>59</v>
      </c>
      <c r="B84" s="4">
        <v>65</v>
      </c>
      <c r="C84" s="4" t="s">
        <v>32</v>
      </c>
      <c r="D84" s="4" t="s">
        <v>630</v>
      </c>
      <c r="E84" s="4">
        <v>103</v>
      </c>
      <c r="F84" s="4" t="s">
        <v>217</v>
      </c>
      <c r="G84" s="4" t="s">
        <v>662</v>
      </c>
    </row>
    <row r="85" spans="1:7" x14ac:dyDescent="0.25">
      <c r="A85" s="4">
        <v>60</v>
      </c>
      <c r="B85" s="4">
        <v>65</v>
      </c>
      <c r="C85" s="4" t="s">
        <v>32</v>
      </c>
      <c r="D85" s="4" t="s">
        <v>630</v>
      </c>
      <c r="E85" s="4">
        <v>104</v>
      </c>
      <c r="F85" s="4" t="s">
        <v>917</v>
      </c>
      <c r="G85" s="4" t="s">
        <v>663</v>
      </c>
    </row>
    <row r="86" spans="1:7" x14ac:dyDescent="0.25">
      <c r="A86" s="4">
        <v>36</v>
      </c>
      <c r="B86" s="4">
        <v>66</v>
      </c>
      <c r="C86" s="4" t="s">
        <v>33</v>
      </c>
      <c r="D86" s="4" t="s">
        <v>631</v>
      </c>
      <c r="E86" s="4">
        <v>82</v>
      </c>
      <c r="F86" s="4" t="s">
        <v>176</v>
      </c>
      <c r="G86" s="4" t="s">
        <v>855</v>
      </c>
    </row>
    <row r="87" spans="1:7" x14ac:dyDescent="0.25">
      <c r="A87" s="4">
        <v>37</v>
      </c>
      <c r="B87" s="4">
        <v>66</v>
      </c>
      <c r="C87" s="4" t="s">
        <v>33</v>
      </c>
      <c r="D87" s="4" t="s">
        <v>631</v>
      </c>
      <c r="E87" s="4">
        <v>83</v>
      </c>
      <c r="F87" s="4" t="s">
        <v>178</v>
      </c>
      <c r="G87" s="4" t="s">
        <v>645</v>
      </c>
    </row>
    <row r="88" spans="1:7" x14ac:dyDescent="0.25">
      <c r="A88" s="4">
        <v>38</v>
      </c>
      <c r="B88" s="4">
        <v>66</v>
      </c>
      <c r="C88" s="4" t="s">
        <v>33</v>
      </c>
      <c r="D88" s="4" t="s">
        <v>631</v>
      </c>
      <c r="E88" s="4">
        <v>84</v>
      </c>
      <c r="F88" s="4" t="s">
        <v>180</v>
      </c>
      <c r="G88" s="4" t="s">
        <v>646</v>
      </c>
    </row>
    <row r="89" spans="1:7" x14ac:dyDescent="0.25">
      <c r="A89" s="4">
        <v>39</v>
      </c>
      <c r="B89" s="4">
        <v>66</v>
      </c>
      <c r="C89" s="4" t="s">
        <v>33</v>
      </c>
      <c r="D89" s="4" t="s">
        <v>631</v>
      </c>
      <c r="E89" s="4">
        <v>85</v>
      </c>
      <c r="F89" s="4" t="s">
        <v>182</v>
      </c>
      <c r="G89" s="4" t="s">
        <v>648</v>
      </c>
    </row>
    <row r="90" spans="1:7" x14ac:dyDescent="0.25">
      <c r="A90" s="4">
        <v>53</v>
      </c>
      <c r="B90" s="4">
        <v>66</v>
      </c>
      <c r="C90" s="4" t="s">
        <v>33</v>
      </c>
      <c r="D90" s="4" t="s">
        <v>631</v>
      </c>
      <c r="E90" s="4">
        <v>97</v>
      </c>
      <c r="F90" s="4" t="s">
        <v>442</v>
      </c>
      <c r="G90" s="4" t="s">
        <v>443</v>
      </c>
    </row>
    <row r="91" spans="1:7" x14ac:dyDescent="0.25">
      <c r="A91" s="4">
        <v>40</v>
      </c>
      <c r="B91" s="4">
        <v>66</v>
      </c>
      <c r="C91" s="4" t="s">
        <v>33</v>
      </c>
      <c r="D91" s="4" t="s">
        <v>631</v>
      </c>
      <c r="E91" s="4">
        <v>86</v>
      </c>
      <c r="F91" s="4" t="s">
        <v>184</v>
      </c>
      <c r="G91" s="4" t="s">
        <v>856</v>
      </c>
    </row>
    <row r="92" spans="1:7" x14ac:dyDescent="0.25">
      <c r="A92" s="4">
        <v>41</v>
      </c>
      <c r="B92" s="4">
        <v>66</v>
      </c>
      <c r="C92" s="4" t="s">
        <v>33</v>
      </c>
      <c r="D92" s="4" t="s">
        <v>631</v>
      </c>
      <c r="E92" s="4">
        <v>87</v>
      </c>
      <c r="F92" s="4" t="s">
        <v>186</v>
      </c>
      <c r="G92" s="4" t="s">
        <v>649</v>
      </c>
    </row>
    <row r="93" spans="1:7" x14ac:dyDescent="0.25">
      <c r="A93" s="4">
        <v>42</v>
      </c>
      <c r="B93" s="4">
        <v>66</v>
      </c>
      <c r="C93" s="4" t="s">
        <v>33</v>
      </c>
      <c r="D93" s="4" t="s">
        <v>631</v>
      </c>
      <c r="E93" s="4">
        <v>88</v>
      </c>
      <c r="F93" s="4" t="s">
        <v>188</v>
      </c>
      <c r="G93" s="4" t="s">
        <v>650</v>
      </c>
    </row>
    <row r="94" spans="1:7" x14ac:dyDescent="0.25">
      <c r="A94" s="4">
        <v>43</v>
      </c>
      <c r="B94" s="4">
        <v>66</v>
      </c>
      <c r="C94" s="4" t="s">
        <v>33</v>
      </c>
      <c r="D94" s="4" t="s">
        <v>631</v>
      </c>
      <c r="E94" s="4">
        <v>89</v>
      </c>
      <c r="F94" s="4" t="s">
        <v>190</v>
      </c>
      <c r="G94" s="4" t="s">
        <v>651</v>
      </c>
    </row>
    <row r="95" spans="1:7" x14ac:dyDescent="0.25">
      <c r="A95" s="4">
        <v>44</v>
      </c>
      <c r="B95" s="4">
        <v>66</v>
      </c>
      <c r="C95" s="4" t="s">
        <v>33</v>
      </c>
      <c r="D95" s="4" t="s">
        <v>631</v>
      </c>
      <c r="E95" s="4">
        <v>90</v>
      </c>
      <c r="F95" s="4" t="s">
        <v>192</v>
      </c>
      <c r="G95" s="4" t="s">
        <v>652</v>
      </c>
    </row>
    <row r="96" spans="1:7" x14ac:dyDescent="0.25">
      <c r="A96" s="4">
        <v>45</v>
      </c>
      <c r="B96" s="4">
        <v>66</v>
      </c>
      <c r="C96" s="4" t="s">
        <v>33</v>
      </c>
      <c r="D96" s="4" t="s">
        <v>631</v>
      </c>
      <c r="E96" s="4">
        <v>155</v>
      </c>
      <c r="F96" s="4" t="s">
        <v>280</v>
      </c>
      <c r="G96" s="4" t="s">
        <v>742</v>
      </c>
    </row>
    <row r="97" spans="1:7" x14ac:dyDescent="0.25">
      <c r="A97" s="4">
        <v>46</v>
      </c>
      <c r="B97" s="4">
        <v>66</v>
      </c>
      <c r="C97" s="4" t="s">
        <v>33</v>
      </c>
      <c r="D97" s="4" t="s">
        <v>631</v>
      </c>
      <c r="E97" s="4">
        <v>156</v>
      </c>
      <c r="F97" s="4" t="s">
        <v>282</v>
      </c>
      <c r="G97" s="4" t="s">
        <v>743</v>
      </c>
    </row>
    <row r="98" spans="1:7" x14ac:dyDescent="0.25">
      <c r="A98" s="4">
        <v>47</v>
      </c>
      <c r="B98" s="4">
        <v>66</v>
      </c>
      <c r="C98" s="4" t="s">
        <v>33</v>
      </c>
      <c r="D98" s="4" t="s">
        <v>631</v>
      </c>
      <c r="E98" s="4">
        <v>91</v>
      </c>
      <c r="F98" s="4" t="s">
        <v>194</v>
      </c>
      <c r="G98" s="4" t="s">
        <v>653</v>
      </c>
    </row>
    <row r="99" spans="1:7" x14ac:dyDescent="0.25">
      <c r="A99" s="4">
        <v>48</v>
      </c>
      <c r="B99" s="4">
        <v>66</v>
      </c>
      <c r="C99" s="4" t="s">
        <v>33</v>
      </c>
      <c r="D99" s="4" t="s">
        <v>631</v>
      </c>
      <c r="E99" s="4">
        <v>92</v>
      </c>
      <c r="F99" s="4" t="s">
        <v>196</v>
      </c>
      <c r="G99" s="4" t="s">
        <v>654</v>
      </c>
    </row>
    <row r="100" spans="1:7" x14ac:dyDescent="0.25">
      <c r="A100" s="4">
        <v>49</v>
      </c>
      <c r="B100" s="4">
        <v>66</v>
      </c>
      <c r="C100" s="4" t="s">
        <v>33</v>
      </c>
      <c r="D100" s="4" t="s">
        <v>631</v>
      </c>
      <c r="E100" s="4">
        <v>93</v>
      </c>
      <c r="F100" s="4" t="s">
        <v>198</v>
      </c>
      <c r="G100" s="4" t="s">
        <v>655</v>
      </c>
    </row>
    <row r="101" spans="1:7" x14ac:dyDescent="0.25">
      <c r="A101" s="4">
        <v>50</v>
      </c>
      <c r="B101" s="4">
        <v>66</v>
      </c>
      <c r="C101" s="4" t="s">
        <v>33</v>
      </c>
      <c r="D101" s="4" t="s">
        <v>631</v>
      </c>
      <c r="E101" s="4">
        <v>94</v>
      </c>
      <c r="F101" s="4" t="s">
        <v>200</v>
      </c>
      <c r="G101" s="4" t="s">
        <v>656</v>
      </c>
    </row>
    <row r="102" spans="1:7" x14ac:dyDescent="0.25">
      <c r="A102" s="4">
        <v>51</v>
      </c>
      <c r="B102" s="4">
        <v>66</v>
      </c>
      <c r="C102" s="4" t="s">
        <v>33</v>
      </c>
      <c r="D102" s="4" t="s">
        <v>631</v>
      </c>
      <c r="E102" s="4">
        <v>95</v>
      </c>
      <c r="F102" s="4" t="s">
        <v>202</v>
      </c>
      <c r="G102" s="4" t="s">
        <v>657</v>
      </c>
    </row>
    <row r="103" spans="1:7" x14ac:dyDescent="0.25">
      <c r="A103" s="4">
        <v>52</v>
      </c>
      <c r="B103" s="4">
        <v>66</v>
      </c>
      <c r="C103" s="4" t="s">
        <v>33</v>
      </c>
      <c r="D103" s="4" t="s">
        <v>631</v>
      </c>
      <c r="E103" s="4">
        <v>96</v>
      </c>
      <c r="F103" s="4" t="s">
        <v>204</v>
      </c>
      <c r="G103" s="4" t="s">
        <v>857</v>
      </c>
    </row>
    <row r="104" spans="1:7" x14ac:dyDescent="0.25">
      <c r="A104" s="4">
        <v>54</v>
      </c>
      <c r="B104" s="4">
        <v>66</v>
      </c>
      <c r="C104" s="4" t="s">
        <v>33</v>
      </c>
      <c r="D104" s="4" t="s">
        <v>631</v>
      </c>
      <c r="E104" s="4">
        <v>98</v>
      </c>
      <c r="F104" s="4" t="s">
        <v>207</v>
      </c>
      <c r="G104" s="4" t="s">
        <v>444</v>
      </c>
    </row>
    <row r="105" spans="1:7" x14ac:dyDescent="0.25">
      <c r="A105" s="4">
        <v>55</v>
      </c>
      <c r="B105" s="4">
        <v>66</v>
      </c>
      <c r="C105" s="4" t="s">
        <v>33</v>
      </c>
      <c r="D105" s="4" t="s">
        <v>631</v>
      </c>
      <c r="E105" s="4">
        <v>99</v>
      </c>
      <c r="F105" s="4" t="s">
        <v>209</v>
      </c>
      <c r="G105" s="4" t="s">
        <v>658</v>
      </c>
    </row>
    <row r="106" spans="1:7" x14ac:dyDescent="0.25">
      <c r="A106" s="4">
        <v>56</v>
      </c>
      <c r="B106" s="4">
        <v>66</v>
      </c>
      <c r="C106" s="4" t="s">
        <v>33</v>
      </c>
      <c r="D106" s="4" t="s">
        <v>631</v>
      </c>
      <c r="E106" s="4">
        <v>100</v>
      </c>
      <c r="F106" s="4" t="s">
        <v>211</v>
      </c>
      <c r="G106" s="4" t="s">
        <v>659</v>
      </c>
    </row>
    <row r="107" spans="1:7" x14ac:dyDescent="0.25">
      <c r="A107" s="4">
        <v>57</v>
      </c>
      <c r="B107" s="4">
        <v>66</v>
      </c>
      <c r="C107" s="4" t="s">
        <v>33</v>
      </c>
      <c r="D107" s="4" t="s">
        <v>631</v>
      </c>
      <c r="E107" s="4">
        <v>101</v>
      </c>
      <c r="F107" s="4" t="s">
        <v>213</v>
      </c>
      <c r="G107" s="4" t="s">
        <v>660</v>
      </c>
    </row>
    <row r="108" spans="1:7" x14ac:dyDescent="0.25">
      <c r="A108" s="4">
        <v>58</v>
      </c>
      <c r="B108" s="4">
        <v>66</v>
      </c>
      <c r="C108" s="4" t="s">
        <v>33</v>
      </c>
      <c r="D108" s="4" t="s">
        <v>631</v>
      </c>
      <c r="E108" s="4">
        <v>102</v>
      </c>
      <c r="F108" s="4" t="s">
        <v>215</v>
      </c>
      <c r="G108" s="4" t="s">
        <v>661</v>
      </c>
    </row>
    <row r="109" spans="1:7" x14ac:dyDescent="0.25">
      <c r="A109" s="4">
        <v>6</v>
      </c>
      <c r="B109" s="4">
        <v>20</v>
      </c>
      <c r="C109" s="4" t="s">
        <v>4</v>
      </c>
      <c r="D109" s="4" t="s">
        <v>583</v>
      </c>
      <c r="E109" s="4">
        <v>39</v>
      </c>
      <c r="F109" s="4" t="s">
        <v>102</v>
      </c>
      <c r="G109" s="4" t="s">
        <v>606</v>
      </c>
    </row>
    <row r="110" spans="1:7" x14ac:dyDescent="0.25">
      <c r="A110" s="4">
        <v>7</v>
      </c>
      <c r="B110" s="4">
        <v>20</v>
      </c>
      <c r="C110" s="4" t="s">
        <v>4</v>
      </c>
      <c r="D110" s="4" t="s">
        <v>583</v>
      </c>
      <c r="E110" s="4">
        <v>40</v>
      </c>
      <c r="F110" s="4" t="s">
        <v>104</v>
      </c>
      <c r="G110" s="4" t="s">
        <v>607</v>
      </c>
    </row>
    <row r="111" spans="1:7" x14ac:dyDescent="0.25">
      <c r="A111" s="4">
        <v>8</v>
      </c>
      <c r="B111" s="4">
        <v>20</v>
      </c>
      <c r="C111" s="4" t="s">
        <v>4</v>
      </c>
      <c r="D111" s="4" t="s">
        <v>583</v>
      </c>
      <c r="E111" s="4">
        <v>41</v>
      </c>
      <c r="F111" s="4" t="s">
        <v>106</v>
      </c>
      <c r="G111" s="4" t="s">
        <v>609</v>
      </c>
    </row>
    <row r="112" spans="1:7" x14ac:dyDescent="0.25">
      <c r="A112" s="4">
        <v>9</v>
      </c>
      <c r="B112" s="4">
        <v>20</v>
      </c>
      <c r="C112" s="4" t="s">
        <v>4</v>
      </c>
      <c r="D112" s="4" t="s">
        <v>583</v>
      </c>
      <c r="E112" s="4">
        <v>42</v>
      </c>
      <c r="F112" s="4" t="s">
        <v>108</v>
      </c>
      <c r="G112" s="4" t="s">
        <v>854</v>
      </c>
    </row>
    <row r="113" spans="1:7" x14ac:dyDescent="0.25">
      <c r="A113" s="4">
        <v>142</v>
      </c>
      <c r="B113" s="4">
        <v>148</v>
      </c>
      <c r="C113" s="4" t="s">
        <v>40</v>
      </c>
      <c r="D113" s="4" t="s">
        <v>736</v>
      </c>
      <c r="E113" s="4">
        <v>82</v>
      </c>
      <c r="F113" s="4" t="s">
        <v>176</v>
      </c>
      <c r="G113" s="4" t="s">
        <v>855</v>
      </c>
    </row>
    <row r="114" spans="1:7" x14ac:dyDescent="0.25">
      <c r="A114" s="4">
        <v>143</v>
      </c>
      <c r="B114" s="4">
        <v>148</v>
      </c>
      <c r="C114" s="4" t="s">
        <v>40</v>
      </c>
      <c r="D114" s="4" t="s">
        <v>736</v>
      </c>
      <c r="E114" s="4">
        <v>83</v>
      </c>
      <c r="F114" s="4" t="s">
        <v>178</v>
      </c>
      <c r="G114" s="4" t="s">
        <v>645</v>
      </c>
    </row>
    <row r="115" spans="1:7" x14ac:dyDescent="0.25">
      <c r="A115" s="4">
        <v>144</v>
      </c>
      <c r="B115" s="4">
        <v>148</v>
      </c>
      <c r="C115" s="4" t="s">
        <v>40</v>
      </c>
      <c r="D115" s="4" t="s">
        <v>736</v>
      </c>
      <c r="E115" s="4">
        <v>151</v>
      </c>
      <c r="F115" s="4" t="s">
        <v>272</v>
      </c>
      <c r="G115" s="4" t="s">
        <v>738</v>
      </c>
    </row>
    <row r="116" spans="1:7" x14ac:dyDescent="0.25">
      <c r="A116" s="4">
        <v>145</v>
      </c>
      <c r="B116" s="4">
        <v>148</v>
      </c>
      <c r="C116" s="4" t="s">
        <v>40</v>
      </c>
      <c r="D116" s="4" t="s">
        <v>736</v>
      </c>
      <c r="E116" s="4">
        <v>84</v>
      </c>
      <c r="F116" s="4" t="s">
        <v>180</v>
      </c>
      <c r="G116" s="4" t="s">
        <v>646</v>
      </c>
    </row>
    <row r="117" spans="1:7" x14ac:dyDescent="0.25">
      <c r="A117" s="4">
        <v>146</v>
      </c>
      <c r="B117" s="4">
        <v>148</v>
      </c>
      <c r="C117" s="4" t="s">
        <v>40</v>
      </c>
      <c r="D117" s="4" t="s">
        <v>736</v>
      </c>
      <c r="E117" s="4">
        <v>85</v>
      </c>
      <c r="F117" s="4" t="s">
        <v>182</v>
      </c>
      <c r="G117" s="4" t="s">
        <v>648</v>
      </c>
    </row>
    <row r="118" spans="1:7" x14ac:dyDescent="0.25">
      <c r="A118" s="4">
        <v>160</v>
      </c>
      <c r="B118" s="4">
        <v>148</v>
      </c>
      <c r="C118" s="4" t="s">
        <v>40</v>
      </c>
      <c r="D118" s="4" t="s">
        <v>736</v>
      </c>
      <c r="E118" s="4">
        <v>97</v>
      </c>
      <c r="F118" s="4" t="s">
        <v>442</v>
      </c>
      <c r="G118" s="4" t="s">
        <v>443</v>
      </c>
    </row>
    <row r="119" spans="1:7" x14ac:dyDescent="0.25">
      <c r="A119" s="4">
        <v>147</v>
      </c>
      <c r="B119" s="4">
        <v>148</v>
      </c>
      <c r="C119" s="4" t="s">
        <v>40</v>
      </c>
      <c r="D119" s="4" t="s">
        <v>736</v>
      </c>
      <c r="E119" s="4">
        <v>86</v>
      </c>
      <c r="F119" s="4" t="s">
        <v>184</v>
      </c>
      <c r="G119" s="4" t="s">
        <v>856</v>
      </c>
    </row>
    <row r="120" spans="1:7" x14ac:dyDescent="0.25">
      <c r="A120" s="4">
        <v>148</v>
      </c>
      <c r="B120" s="4">
        <v>148</v>
      </c>
      <c r="C120" s="4" t="s">
        <v>40</v>
      </c>
      <c r="D120" s="4" t="s">
        <v>736</v>
      </c>
      <c r="E120" s="4">
        <v>152</v>
      </c>
      <c r="F120" s="4" t="s">
        <v>274</v>
      </c>
      <c r="G120" s="4" t="s">
        <v>739</v>
      </c>
    </row>
    <row r="121" spans="1:7" x14ac:dyDescent="0.25">
      <c r="A121" s="4">
        <v>149</v>
      </c>
      <c r="B121" s="4">
        <v>148</v>
      </c>
      <c r="C121" s="4" t="s">
        <v>40</v>
      </c>
      <c r="D121" s="4" t="s">
        <v>736</v>
      </c>
      <c r="E121" s="4">
        <v>153</v>
      </c>
      <c r="F121" s="4" t="s">
        <v>276</v>
      </c>
      <c r="G121" s="4" t="s">
        <v>740</v>
      </c>
    </row>
    <row r="122" spans="1:7" x14ac:dyDescent="0.25">
      <c r="A122" s="4">
        <v>151</v>
      </c>
      <c r="B122" s="4">
        <v>148</v>
      </c>
      <c r="C122" s="4" t="s">
        <v>40</v>
      </c>
      <c r="D122" s="4" t="s">
        <v>736</v>
      </c>
      <c r="E122" s="4">
        <v>154</v>
      </c>
      <c r="F122" s="4" t="s">
        <v>278</v>
      </c>
      <c r="G122" s="4" t="s">
        <v>741</v>
      </c>
    </row>
    <row r="123" spans="1:7" x14ac:dyDescent="0.25">
      <c r="A123" s="4">
        <v>150</v>
      </c>
      <c r="B123" s="4">
        <v>148</v>
      </c>
      <c r="C123" s="4" t="s">
        <v>40</v>
      </c>
      <c r="D123" s="4" t="s">
        <v>736</v>
      </c>
      <c r="E123" s="4">
        <v>89</v>
      </c>
      <c r="F123" s="4" t="s">
        <v>190</v>
      </c>
      <c r="G123" s="4" t="s">
        <v>651</v>
      </c>
    </row>
    <row r="124" spans="1:7" x14ac:dyDescent="0.25">
      <c r="A124" s="4">
        <v>152</v>
      </c>
      <c r="B124" s="4">
        <v>148</v>
      </c>
      <c r="C124" s="4" t="s">
        <v>40</v>
      </c>
      <c r="D124" s="4" t="s">
        <v>736</v>
      </c>
      <c r="E124" s="4">
        <v>90</v>
      </c>
      <c r="F124" s="4" t="s">
        <v>192</v>
      </c>
      <c r="G124" s="4" t="s">
        <v>652</v>
      </c>
    </row>
    <row r="125" spans="1:7" x14ac:dyDescent="0.25">
      <c r="A125" s="4">
        <v>153</v>
      </c>
      <c r="B125" s="4">
        <v>148</v>
      </c>
      <c r="C125" s="4" t="s">
        <v>40</v>
      </c>
      <c r="D125" s="4" t="s">
        <v>736</v>
      </c>
      <c r="E125" s="4">
        <v>155</v>
      </c>
      <c r="F125" s="4" t="s">
        <v>280</v>
      </c>
      <c r="G125" s="4" t="s">
        <v>742</v>
      </c>
    </row>
    <row r="126" spans="1:7" x14ac:dyDescent="0.25">
      <c r="A126" s="4">
        <v>154</v>
      </c>
      <c r="B126" s="4">
        <v>148</v>
      </c>
      <c r="C126" s="4" t="s">
        <v>40</v>
      </c>
      <c r="D126" s="4" t="s">
        <v>736</v>
      </c>
      <c r="E126" s="4">
        <v>156</v>
      </c>
      <c r="F126" s="4" t="s">
        <v>282</v>
      </c>
      <c r="G126" s="4" t="s">
        <v>743</v>
      </c>
    </row>
    <row r="127" spans="1:7" x14ac:dyDescent="0.25">
      <c r="A127" s="4">
        <v>155</v>
      </c>
      <c r="B127" s="4">
        <v>148</v>
      </c>
      <c r="C127" s="4" t="s">
        <v>40</v>
      </c>
      <c r="D127" s="4" t="s">
        <v>736</v>
      </c>
      <c r="E127" s="4">
        <v>91</v>
      </c>
      <c r="F127" s="4" t="s">
        <v>194</v>
      </c>
      <c r="G127" s="4" t="s">
        <v>653</v>
      </c>
    </row>
    <row r="128" spans="1:7" x14ac:dyDescent="0.25">
      <c r="A128" s="4">
        <v>156</v>
      </c>
      <c r="B128" s="4">
        <v>148</v>
      </c>
      <c r="C128" s="4" t="s">
        <v>40</v>
      </c>
      <c r="D128" s="4" t="s">
        <v>736</v>
      </c>
      <c r="E128" s="4">
        <v>92</v>
      </c>
      <c r="F128" s="4" t="s">
        <v>196</v>
      </c>
      <c r="G128" s="4" t="s">
        <v>654</v>
      </c>
    </row>
    <row r="129" spans="1:7" x14ac:dyDescent="0.25">
      <c r="A129" s="4">
        <v>157</v>
      </c>
      <c r="B129" s="4">
        <v>148</v>
      </c>
      <c r="C129" s="4" t="s">
        <v>40</v>
      </c>
      <c r="D129" s="4" t="s">
        <v>736</v>
      </c>
      <c r="E129" s="4">
        <v>159</v>
      </c>
      <c r="F129" s="4" t="s">
        <v>288</v>
      </c>
      <c r="G129" s="4" t="s">
        <v>746</v>
      </c>
    </row>
    <row r="130" spans="1:7" x14ac:dyDescent="0.25">
      <c r="A130" s="4">
        <v>158</v>
      </c>
      <c r="B130" s="4">
        <v>148</v>
      </c>
      <c r="C130" s="4" t="s">
        <v>40</v>
      </c>
      <c r="D130" s="4" t="s">
        <v>736</v>
      </c>
      <c r="E130" s="4">
        <v>157</v>
      </c>
      <c r="F130" s="4" t="s">
        <v>284</v>
      </c>
      <c r="G130" s="4" t="s">
        <v>744</v>
      </c>
    </row>
    <row r="131" spans="1:7" x14ac:dyDescent="0.25">
      <c r="A131" s="4">
        <v>159</v>
      </c>
      <c r="B131" s="4">
        <v>148</v>
      </c>
      <c r="C131" s="4" t="s">
        <v>40</v>
      </c>
      <c r="D131" s="4" t="s">
        <v>736</v>
      </c>
      <c r="E131" s="4">
        <v>96</v>
      </c>
      <c r="F131" s="4" t="s">
        <v>204</v>
      </c>
      <c r="G131" s="4" t="s">
        <v>857</v>
      </c>
    </row>
    <row r="132" spans="1:7" x14ac:dyDescent="0.25">
      <c r="A132" s="4">
        <v>161</v>
      </c>
      <c r="B132" s="4">
        <v>148</v>
      </c>
      <c r="C132" s="4" t="s">
        <v>40</v>
      </c>
      <c r="D132" s="4" t="s">
        <v>736</v>
      </c>
      <c r="E132" s="4">
        <v>98</v>
      </c>
      <c r="F132" s="4" t="s">
        <v>207</v>
      </c>
      <c r="G132" s="4" t="s">
        <v>444</v>
      </c>
    </row>
    <row r="133" spans="1:7" x14ac:dyDescent="0.25">
      <c r="A133" s="4">
        <v>162</v>
      </c>
      <c r="B133" s="4">
        <v>148</v>
      </c>
      <c r="C133" s="4" t="s">
        <v>40</v>
      </c>
      <c r="D133" s="4" t="s">
        <v>736</v>
      </c>
      <c r="E133" s="4">
        <v>99</v>
      </c>
      <c r="F133" s="4" t="s">
        <v>209</v>
      </c>
      <c r="G133" s="4" t="s">
        <v>658</v>
      </c>
    </row>
    <row r="134" spans="1:7" x14ac:dyDescent="0.25">
      <c r="A134" s="4">
        <v>163</v>
      </c>
      <c r="B134" s="4">
        <v>148</v>
      </c>
      <c r="C134" s="4" t="s">
        <v>40</v>
      </c>
      <c r="D134" s="4" t="s">
        <v>736</v>
      </c>
      <c r="E134" s="4">
        <v>100</v>
      </c>
      <c r="F134" s="4" t="s">
        <v>211</v>
      </c>
      <c r="G134" s="4" t="s">
        <v>659</v>
      </c>
    </row>
    <row r="135" spans="1:7" x14ac:dyDescent="0.25">
      <c r="A135" s="4">
        <v>164</v>
      </c>
      <c r="B135" s="4">
        <v>148</v>
      </c>
      <c r="C135" s="4" t="s">
        <v>40</v>
      </c>
      <c r="D135" s="4" t="s">
        <v>736</v>
      </c>
      <c r="E135" s="4">
        <v>101</v>
      </c>
      <c r="F135" s="4" t="s">
        <v>213</v>
      </c>
      <c r="G135" s="4" t="s">
        <v>660</v>
      </c>
    </row>
    <row r="136" spans="1:7" x14ac:dyDescent="0.25">
      <c r="A136" s="4">
        <v>178</v>
      </c>
      <c r="B136" s="4">
        <v>149</v>
      </c>
      <c r="C136" s="4" t="s">
        <v>41</v>
      </c>
      <c r="D136" s="4" t="s">
        <v>906</v>
      </c>
      <c r="E136" s="4">
        <v>82</v>
      </c>
      <c r="F136" s="4" t="s">
        <v>176</v>
      </c>
      <c r="G136" s="4" t="s">
        <v>855</v>
      </c>
    </row>
    <row r="137" spans="1:7" x14ac:dyDescent="0.25">
      <c r="A137" s="4">
        <v>179</v>
      </c>
      <c r="B137" s="4">
        <v>149</v>
      </c>
      <c r="C137" s="4" t="s">
        <v>41</v>
      </c>
      <c r="D137" s="4" t="s">
        <v>906</v>
      </c>
      <c r="E137" s="4">
        <v>83</v>
      </c>
      <c r="F137" s="4" t="s">
        <v>178</v>
      </c>
      <c r="G137" s="4" t="s">
        <v>645</v>
      </c>
    </row>
    <row r="138" spans="1:7" x14ac:dyDescent="0.25">
      <c r="A138" s="4">
        <v>180</v>
      </c>
      <c r="B138" s="4">
        <v>149</v>
      </c>
      <c r="C138" s="4" t="s">
        <v>41</v>
      </c>
      <c r="D138" s="4" t="s">
        <v>906</v>
      </c>
      <c r="E138" s="4">
        <v>84</v>
      </c>
      <c r="F138" s="4" t="s">
        <v>180</v>
      </c>
      <c r="G138" s="4" t="s">
        <v>646</v>
      </c>
    </row>
    <row r="139" spans="1:7" x14ac:dyDescent="0.25">
      <c r="A139" s="4">
        <v>181</v>
      </c>
      <c r="B139" s="4">
        <v>149</v>
      </c>
      <c r="C139" s="4" t="s">
        <v>41</v>
      </c>
      <c r="D139" s="4" t="s">
        <v>906</v>
      </c>
      <c r="E139" s="4">
        <v>85</v>
      </c>
      <c r="F139" s="4" t="s">
        <v>182</v>
      </c>
      <c r="G139" s="4" t="s">
        <v>648</v>
      </c>
    </row>
    <row r="140" spans="1:7" x14ac:dyDescent="0.25">
      <c r="A140" s="4">
        <v>201</v>
      </c>
      <c r="B140" s="4">
        <v>149</v>
      </c>
      <c r="C140" s="4" t="s">
        <v>41</v>
      </c>
      <c r="D140" s="4" t="s">
        <v>906</v>
      </c>
      <c r="E140" s="4">
        <v>97</v>
      </c>
      <c r="F140" s="4" t="s">
        <v>442</v>
      </c>
      <c r="G140" s="4" t="s">
        <v>443</v>
      </c>
    </row>
    <row r="141" spans="1:7" x14ac:dyDescent="0.25">
      <c r="A141" s="4">
        <v>182</v>
      </c>
      <c r="B141" s="4">
        <v>149</v>
      </c>
      <c r="C141" s="4" t="s">
        <v>41</v>
      </c>
      <c r="D141" s="4" t="s">
        <v>906</v>
      </c>
      <c r="E141" s="4">
        <v>86</v>
      </c>
      <c r="F141" s="4" t="s">
        <v>184</v>
      </c>
      <c r="G141" s="4" t="s">
        <v>856</v>
      </c>
    </row>
    <row r="142" spans="1:7" x14ac:dyDescent="0.25">
      <c r="A142" s="4">
        <v>183</v>
      </c>
      <c r="B142" s="4">
        <v>149</v>
      </c>
      <c r="C142" s="4" t="s">
        <v>41</v>
      </c>
      <c r="D142" s="4" t="s">
        <v>906</v>
      </c>
      <c r="E142" s="4">
        <v>87</v>
      </c>
      <c r="F142" s="4" t="s">
        <v>186</v>
      </c>
      <c r="G142" s="4" t="s">
        <v>649</v>
      </c>
    </row>
    <row r="143" spans="1:7" x14ac:dyDescent="0.25">
      <c r="A143" s="4">
        <v>184</v>
      </c>
      <c r="B143" s="4">
        <v>149</v>
      </c>
      <c r="C143" s="4" t="s">
        <v>41</v>
      </c>
      <c r="D143" s="4" t="s">
        <v>906</v>
      </c>
      <c r="E143" s="4">
        <v>153</v>
      </c>
      <c r="F143" s="4" t="s">
        <v>276</v>
      </c>
      <c r="G143" s="4" t="s">
        <v>740</v>
      </c>
    </row>
    <row r="144" spans="1:7" x14ac:dyDescent="0.25">
      <c r="A144" s="4">
        <v>185</v>
      </c>
      <c r="B144" s="4">
        <v>149</v>
      </c>
      <c r="C144" s="4" t="s">
        <v>41</v>
      </c>
      <c r="D144" s="4" t="s">
        <v>906</v>
      </c>
      <c r="E144" s="4">
        <v>8</v>
      </c>
      <c r="F144" s="4" t="s">
        <v>30</v>
      </c>
      <c r="G144" s="4" t="s">
        <v>572</v>
      </c>
    </row>
    <row r="145" spans="1:7" x14ac:dyDescent="0.25">
      <c r="A145" s="4">
        <v>186</v>
      </c>
      <c r="B145" s="4">
        <v>149</v>
      </c>
      <c r="C145" s="4" t="s">
        <v>41</v>
      </c>
      <c r="D145" s="4" t="s">
        <v>906</v>
      </c>
      <c r="E145" s="4">
        <v>88</v>
      </c>
      <c r="F145" s="4" t="s">
        <v>188</v>
      </c>
      <c r="G145" s="4" t="s">
        <v>650</v>
      </c>
    </row>
    <row r="146" spans="1:7" x14ac:dyDescent="0.25">
      <c r="A146" s="4">
        <v>188</v>
      </c>
      <c r="B146" s="4">
        <v>149</v>
      </c>
      <c r="C146" s="4" t="s">
        <v>41</v>
      </c>
      <c r="D146" s="4" t="s">
        <v>906</v>
      </c>
      <c r="E146" s="4">
        <v>154</v>
      </c>
      <c r="F146" s="4" t="s">
        <v>278</v>
      </c>
      <c r="G146" s="4" t="s">
        <v>741</v>
      </c>
    </row>
    <row r="147" spans="1:7" x14ac:dyDescent="0.25">
      <c r="A147" s="4">
        <v>187</v>
      </c>
      <c r="B147" s="4">
        <v>149</v>
      </c>
      <c r="C147" s="4" t="s">
        <v>41</v>
      </c>
      <c r="D147" s="4" t="s">
        <v>906</v>
      </c>
      <c r="E147" s="4">
        <v>89</v>
      </c>
      <c r="F147" s="4" t="s">
        <v>190</v>
      </c>
      <c r="G147" s="4" t="s">
        <v>651</v>
      </c>
    </row>
    <row r="148" spans="1:7" x14ac:dyDescent="0.25">
      <c r="A148" s="4">
        <v>189</v>
      </c>
      <c r="B148" s="4">
        <v>149</v>
      </c>
      <c r="C148" s="4" t="s">
        <v>41</v>
      </c>
      <c r="D148" s="4" t="s">
        <v>906</v>
      </c>
      <c r="E148" s="4">
        <v>90</v>
      </c>
      <c r="F148" s="4" t="s">
        <v>192</v>
      </c>
      <c r="G148" s="4" t="s">
        <v>652</v>
      </c>
    </row>
    <row r="149" spans="1:7" x14ac:dyDescent="0.25">
      <c r="A149" s="4">
        <v>190</v>
      </c>
      <c r="B149" s="4">
        <v>149</v>
      </c>
      <c r="C149" s="4" t="s">
        <v>41</v>
      </c>
      <c r="D149" s="4" t="s">
        <v>906</v>
      </c>
      <c r="E149" s="4">
        <v>155</v>
      </c>
      <c r="F149" s="4" t="s">
        <v>280</v>
      </c>
      <c r="G149" s="4" t="s">
        <v>742</v>
      </c>
    </row>
    <row r="150" spans="1:7" x14ac:dyDescent="0.25">
      <c r="A150" s="4">
        <v>191</v>
      </c>
      <c r="B150" s="4">
        <v>149</v>
      </c>
      <c r="C150" s="4" t="s">
        <v>41</v>
      </c>
      <c r="D150" s="4" t="s">
        <v>906</v>
      </c>
      <c r="E150" s="4">
        <v>156</v>
      </c>
      <c r="F150" s="4" t="s">
        <v>282</v>
      </c>
      <c r="G150" s="4" t="s">
        <v>743</v>
      </c>
    </row>
    <row r="151" spans="1:7" x14ac:dyDescent="0.25">
      <c r="A151" s="4">
        <v>192</v>
      </c>
      <c r="B151" s="4">
        <v>149</v>
      </c>
      <c r="C151" s="4" t="s">
        <v>41</v>
      </c>
      <c r="D151" s="4" t="s">
        <v>906</v>
      </c>
      <c r="E151" s="4">
        <v>91</v>
      </c>
      <c r="F151" s="4" t="s">
        <v>194</v>
      </c>
      <c r="G151" s="4" t="s">
        <v>653</v>
      </c>
    </row>
    <row r="152" spans="1:7" x14ac:dyDescent="0.25">
      <c r="A152" s="4">
        <v>193</v>
      </c>
      <c r="B152" s="4">
        <v>149</v>
      </c>
      <c r="C152" s="4" t="s">
        <v>41</v>
      </c>
      <c r="D152" s="4" t="s">
        <v>906</v>
      </c>
      <c r="E152" s="4">
        <v>92</v>
      </c>
      <c r="F152" s="4" t="s">
        <v>196</v>
      </c>
      <c r="G152" s="4" t="s">
        <v>654</v>
      </c>
    </row>
    <row r="153" spans="1:7" x14ac:dyDescent="0.25">
      <c r="A153" s="4">
        <v>194</v>
      </c>
      <c r="B153" s="4">
        <v>149</v>
      </c>
      <c r="C153" s="4" t="s">
        <v>41</v>
      </c>
      <c r="D153" s="4" t="s">
        <v>906</v>
      </c>
      <c r="E153" s="4">
        <v>159</v>
      </c>
      <c r="F153" s="4" t="s">
        <v>288</v>
      </c>
      <c r="G153" s="4" t="s">
        <v>746</v>
      </c>
    </row>
    <row r="154" spans="1:7" x14ac:dyDescent="0.25">
      <c r="A154" s="4">
        <v>195</v>
      </c>
      <c r="B154" s="4">
        <v>149</v>
      </c>
      <c r="C154" s="4" t="s">
        <v>41</v>
      </c>
      <c r="D154" s="4" t="s">
        <v>906</v>
      </c>
      <c r="E154" s="4">
        <v>103</v>
      </c>
      <c r="F154" s="4" t="s">
        <v>217</v>
      </c>
      <c r="G154" s="4" t="s">
        <v>662</v>
      </c>
    </row>
    <row r="155" spans="1:7" x14ac:dyDescent="0.25">
      <c r="A155" s="4">
        <v>196</v>
      </c>
      <c r="B155" s="4">
        <v>149</v>
      </c>
      <c r="C155" s="4" t="s">
        <v>41</v>
      </c>
      <c r="D155" s="4" t="s">
        <v>906</v>
      </c>
      <c r="E155" s="4">
        <v>93</v>
      </c>
      <c r="F155" s="4" t="s">
        <v>198</v>
      </c>
      <c r="G155" s="4" t="s">
        <v>655</v>
      </c>
    </row>
    <row r="156" spans="1:7" x14ac:dyDescent="0.25">
      <c r="A156" s="4">
        <v>197</v>
      </c>
      <c r="B156" s="4">
        <v>149</v>
      </c>
      <c r="C156" s="4" t="s">
        <v>41</v>
      </c>
      <c r="D156" s="4" t="s">
        <v>906</v>
      </c>
      <c r="E156" s="4">
        <v>94</v>
      </c>
      <c r="F156" s="4" t="s">
        <v>200</v>
      </c>
      <c r="G156" s="4" t="s">
        <v>656</v>
      </c>
    </row>
    <row r="157" spans="1:7" x14ac:dyDescent="0.25">
      <c r="A157" s="4">
        <v>198</v>
      </c>
      <c r="B157" s="4">
        <v>149</v>
      </c>
      <c r="C157" s="4" t="s">
        <v>41</v>
      </c>
      <c r="D157" s="4" t="s">
        <v>906</v>
      </c>
      <c r="E157" s="4">
        <v>95</v>
      </c>
      <c r="F157" s="4" t="s">
        <v>202</v>
      </c>
      <c r="G157" s="4" t="s">
        <v>657</v>
      </c>
    </row>
    <row r="158" spans="1:7" x14ac:dyDescent="0.25">
      <c r="A158" s="4">
        <v>199</v>
      </c>
      <c r="B158" s="4">
        <v>149</v>
      </c>
      <c r="C158" s="4" t="s">
        <v>41</v>
      </c>
      <c r="D158" s="4" t="s">
        <v>906</v>
      </c>
      <c r="E158" s="4">
        <v>96</v>
      </c>
      <c r="F158" s="4" t="s">
        <v>204</v>
      </c>
      <c r="G158" s="4" t="s">
        <v>857</v>
      </c>
    </row>
    <row r="159" spans="1:7" x14ac:dyDescent="0.25">
      <c r="A159" s="4">
        <v>200</v>
      </c>
      <c r="B159" s="4">
        <v>149</v>
      </c>
      <c r="C159" s="4" t="s">
        <v>41</v>
      </c>
      <c r="D159" s="4" t="s">
        <v>906</v>
      </c>
      <c r="E159" s="4">
        <v>165</v>
      </c>
      <c r="F159" s="4" t="s">
        <v>918</v>
      </c>
      <c r="G159" s="4" t="s">
        <v>752</v>
      </c>
    </row>
    <row r="160" spans="1:7" x14ac:dyDescent="0.25">
      <c r="A160" s="4">
        <v>202</v>
      </c>
      <c r="B160" s="4">
        <v>149</v>
      </c>
      <c r="C160" s="4" t="s">
        <v>41</v>
      </c>
      <c r="D160" s="4" t="s">
        <v>906</v>
      </c>
      <c r="E160" s="4">
        <v>98</v>
      </c>
      <c r="F160" s="4" t="s">
        <v>207</v>
      </c>
      <c r="G160" s="4" t="s">
        <v>444</v>
      </c>
    </row>
    <row r="161" spans="1:7" x14ac:dyDescent="0.25">
      <c r="A161" s="4">
        <v>203</v>
      </c>
      <c r="B161" s="4">
        <v>149</v>
      </c>
      <c r="C161" s="4" t="s">
        <v>41</v>
      </c>
      <c r="D161" s="4" t="s">
        <v>906</v>
      </c>
      <c r="E161" s="4">
        <v>99</v>
      </c>
      <c r="F161" s="4" t="s">
        <v>209</v>
      </c>
      <c r="G161" s="4" t="s">
        <v>658</v>
      </c>
    </row>
    <row r="162" spans="1:7" x14ac:dyDescent="0.25">
      <c r="A162" s="4">
        <v>204</v>
      </c>
      <c r="B162" s="4">
        <v>149</v>
      </c>
      <c r="C162" s="4" t="s">
        <v>41</v>
      </c>
      <c r="D162" s="4" t="s">
        <v>906</v>
      </c>
      <c r="E162" s="4">
        <v>100</v>
      </c>
      <c r="F162" s="4" t="s">
        <v>211</v>
      </c>
      <c r="G162" s="4" t="s">
        <v>659</v>
      </c>
    </row>
    <row r="163" spans="1:7" x14ac:dyDescent="0.25">
      <c r="A163" s="4">
        <v>205</v>
      </c>
      <c r="B163" s="4">
        <v>149</v>
      </c>
      <c r="C163" s="4" t="s">
        <v>41</v>
      </c>
      <c r="D163" s="4" t="s">
        <v>906</v>
      </c>
      <c r="E163" s="4">
        <v>101</v>
      </c>
      <c r="F163" s="4" t="s">
        <v>213</v>
      </c>
      <c r="G163" s="4" t="s">
        <v>660</v>
      </c>
    </row>
    <row r="164" spans="1:7" x14ac:dyDescent="0.25">
      <c r="A164" s="4">
        <v>206</v>
      </c>
      <c r="B164" s="4">
        <v>149</v>
      </c>
      <c r="C164" s="4" t="s">
        <v>41</v>
      </c>
      <c r="D164" s="4" t="s">
        <v>906</v>
      </c>
      <c r="E164" s="4">
        <v>166</v>
      </c>
      <c r="F164" s="4" t="s">
        <v>301</v>
      </c>
      <c r="G164" s="4" t="s">
        <v>753</v>
      </c>
    </row>
    <row r="165" spans="1:7" x14ac:dyDescent="0.25">
      <c r="A165" s="4">
        <v>13</v>
      </c>
      <c r="B165" s="4">
        <v>21</v>
      </c>
      <c r="C165" s="4" t="s">
        <v>5</v>
      </c>
      <c r="D165" s="4" t="s">
        <v>584</v>
      </c>
      <c r="E165" s="4">
        <v>43</v>
      </c>
      <c r="F165" s="4" t="s">
        <v>110</v>
      </c>
      <c r="G165" s="4" t="s">
        <v>610</v>
      </c>
    </row>
    <row r="166" spans="1:7" x14ac:dyDescent="0.25">
      <c r="A166" s="4">
        <v>14</v>
      </c>
      <c r="B166" s="4">
        <v>21</v>
      </c>
      <c r="C166" s="4" t="s">
        <v>5</v>
      </c>
      <c r="D166" s="4" t="s">
        <v>584</v>
      </c>
      <c r="E166" s="4">
        <v>44</v>
      </c>
      <c r="F166" s="4" t="s">
        <v>112</v>
      </c>
      <c r="G166" s="4" t="s">
        <v>611</v>
      </c>
    </row>
    <row r="167" spans="1:7" x14ac:dyDescent="0.25">
      <c r="A167" s="4">
        <v>15</v>
      </c>
      <c r="B167" s="4">
        <v>21</v>
      </c>
      <c r="C167" s="4" t="s">
        <v>5</v>
      </c>
      <c r="D167" s="4" t="s">
        <v>584</v>
      </c>
      <c r="E167" s="4">
        <v>45</v>
      </c>
      <c r="F167" s="4" t="s">
        <v>113</v>
      </c>
      <c r="G167" s="4" t="s">
        <v>612</v>
      </c>
    </row>
    <row r="168" spans="1:7" x14ac:dyDescent="0.25">
      <c r="A168" s="4">
        <v>19</v>
      </c>
      <c r="B168" s="4">
        <v>22</v>
      </c>
      <c r="C168" s="4" t="s">
        <v>6</v>
      </c>
      <c r="D168" s="4" t="s">
        <v>585</v>
      </c>
      <c r="E168" s="4">
        <v>43</v>
      </c>
      <c r="F168" s="4" t="s">
        <v>110</v>
      </c>
      <c r="G168" s="4" t="s">
        <v>610</v>
      </c>
    </row>
    <row r="169" spans="1:7" x14ac:dyDescent="0.25">
      <c r="A169" s="4">
        <v>20</v>
      </c>
      <c r="B169" s="4">
        <v>22</v>
      </c>
      <c r="C169" s="4" t="s">
        <v>6</v>
      </c>
      <c r="D169" s="4" t="s">
        <v>585</v>
      </c>
      <c r="E169" s="4">
        <v>44</v>
      </c>
      <c r="F169" s="4" t="s">
        <v>112</v>
      </c>
      <c r="G169" s="4" t="s">
        <v>611</v>
      </c>
    </row>
    <row r="170" spans="1:7" x14ac:dyDescent="0.25">
      <c r="A170" s="4">
        <v>21</v>
      </c>
      <c r="B170" s="4">
        <v>22</v>
      </c>
      <c r="C170" s="4" t="s">
        <v>6</v>
      </c>
      <c r="D170" s="4" t="s">
        <v>585</v>
      </c>
      <c r="E170" s="4">
        <v>45</v>
      </c>
      <c r="F170" s="4" t="s">
        <v>113</v>
      </c>
      <c r="G170" s="4" t="s">
        <v>612</v>
      </c>
    </row>
    <row r="171" spans="1:7" x14ac:dyDescent="0.25">
      <c r="A171" s="4">
        <v>25</v>
      </c>
      <c r="B171" s="4">
        <v>68</v>
      </c>
      <c r="C171" s="4" t="s">
        <v>34</v>
      </c>
      <c r="D171" s="4" t="s">
        <v>632</v>
      </c>
      <c r="E171" s="4">
        <v>76</v>
      </c>
      <c r="F171" s="4" t="s">
        <v>165</v>
      </c>
      <c r="G171" s="4" t="s">
        <v>640</v>
      </c>
    </row>
    <row r="172" spans="1:7" x14ac:dyDescent="0.25">
      <c r="A172" s="4">
        <v>26</v>
      </c>
      <c r="B172" s="4">
        <v>68</v>
      </c>
      <c r="C172" s="4" t="s">
        <v>34</v>
      </c>
      <c r="D172" s="4" t="s">
        <v>632</v>
      </c>
      <c r="E172" s="4">
        <v>77</v>
      </c>
      <c r="F172" s="4" t="s">
        <v>167</v>
      </c>
      <c r="G172" s="4" t="s">
        <v>641</v>
      </c>
    </row>
    <row r="173" spans="1:7" x14ac:dyDescent="0.25">
      <c r="A173" s="4">
        <v>27</v>
      </c>
      <c r="B173" s="4">
        <v>68</v>
      </c>
      <c r="C173" s="4" t="s">
        <v>34</v>
      </c>
      <c r="D173" s="4" t="s">
        <v>632</v>
      </c>
      <c r="E173" s="4">
        <v>78</v>
      </c>
      <c r="F173" s="4" t="s">
        <v>169</v>
      </c>
      <c r="G173" s="4" t="s">
        <v>639</v>
      </c>
    </row>
    <row r="174" spans="1:7" x14ac:dyDescent="0.25">
      <c r="A174" s="4">
        <v>28</v>
      </c>
      <c r="B174" s="4">
        <v>68</v>
      </c>
      <c r="C174" s="4" t="s">
        <v>34</v>
      </c>
      <c r="D174" s="4" t="s">
        <v>632</v>
      </c>
      <c r="E174" s="4">
        <v>79</v>
      </c>
      <c r="F174" s="4" t="s">
        <v>170</v>
      </c>
      <c r="G174" s="4" t="s">
        <v>642</v>
      </c>
    </row>
    <row r="175" spans="1:7" x14ac:dyDescent="0.25">
      <c r="A175" s="4">
        <v>29</v>
      </c>
      <c r="B175" s="4">
        <v>68</v>
      </c>
      <c r="C175" s="4" t="s">
        <v>34</v>
      </c>
      <c r="D175" s="4" t="s">
        <v>632</v>
      </c>
      <c r="E175" s="4">
        <v>80</v>
      </c>
      <c r="F175" s="4" t="s">
        <v>172</v>
      </c>
      <c r="G175" s="4" t="s">
        <v>643</v>
      </c>
    </row>
    <row r="176" spans="1:7" x14ac:dyDescent="0.25">
      <c r="A176" s="4">
        <v>93</v>
      </c>
      <c r="B176" s="4">
        <v>69</v>
      </c>
      <c r="C176" s="4" t="s">
        <v>35</v>
      </c>
      <c r="D176" s="4" t="s">
        <v>633</v>
      </c>
      <c r="E176" s="4">
        <v>110</v>
      </c>
      <c r="F176" s="4" t="s">
        <v>230</v>
      </c>
      <c r="G176" s="4" t="s">
        <v>669</v>
      </c>
    </row>
    <row r="177" spans="1:7" x14ac:dyDescent="0.25">
      <c r="A177" s="4">
        <v>94</v>
      </c>
      <c r="B177" s="4">
        <v>69</v>
      </c>
      <c r="C177" s="4" t="s">
        <v>35</v>
      </c>
      <c r="D177" s="4" t="s">
        <v>633</v>
      </c>
      <c r="E177" s="4">
        <v>121</v>
      </c>
      <c r="F177" s="4" t="s">
        <v>241</v>
      </c>
      <c r="G177" s="4" t="s">
        <v>688</v>
      </c>
    </row>
    <row r="178" spans="1:7" x14ac:dyDescent="0.25">
      <c r="A178" s="4">
        <v>95</v>
      </c>
      <c r="B178" s="4">
        <v>69</v>
      </c>
      <c r="C178" s="4" t="s">
        <v>35</v>
      </c>
      <c r="D178" s="4" t="s">
        <v>633</v>
      </c>
      <c r="E178" s="4">
        <v>134</v>
      </c>
      <c r="F178" s="4" t="s">
        <v>245</v>
      </c>
      <c r="G178" s="4" t="s">
        <v>723</v>
      </c>
    </row>
    <row r="179" spans="1:7" x14ac:dyDescent="0.25">
      <c r="A179" s="4">
        <v>96</v>
      </c>
      <c r="B179" s="4">
        <v>69</v>
      </c>
      <c r="C179" s="4" t="s">
        <v>35</v>
      </c>
      <c r="D179" s="4" t="s">
        <v>633</v>
      </c>
      <c r="E179" s="4">
        <v>122</v>
      </c>
      <c r="F179" s="4" t="s">
        <v>242</v>
      </c>
      <c r="G179" s="4" t="s">
        <v>690</v>
      </c>
    </row>
    <row r="180" spans="1:7" x14ac:dyDescent="0.25">
      <c r="A180" s="4">
        <v>97</v>
      </c>
      <c r="B180" s="4">
        <v>69</v>
      </c>
      <c r="C180" s="4" t="s">
        <v>35</v>
      </c>
      <c r="D180" s="4" t="s">
        <v>633</v>
      </c>
      <c r="E180" s="4">
        <v>77</v>
      </c>
      <c r="F180" s="4" t="s">
        <v>167</v>
      </c>
      <c r="G180" s="4" t="s">
        <v>641</v>
      </c>
    </row>
    <row r="181" spans="1:7" x14ac:dyDescent="0.25">
      <c r="A181" s="4">
        <v>98</v>
      </c>
      <c r="B181" s="4">
        <v>69</v>
      </c>
      <c r="C181" s="4" t="s">
        <v>35</v>
      </c>
      <c r="D181" s="4" t="s">
        <v>633</v>
      </c>
      <c r="E181" s="4">
        <v>113</v>
      </c>
      <c r="F181" s="4" t="s">
        <v>233</v>
      </c>
      <c r="G181" s="4" t="s">
        <v>673</v>
      </c>
    </row>
    <row r="182" spans="1:7" x14ac:dyDescent="0.25">
      <c r="A182" s="4">
        <v>99</v>
      </c>
      <c r="B182" s="4">
        <v>69</v>
      </c>
      <c r="C182" s="4" t="s">
        <v>35</v>
      </c>
      <c r="D182" s="4" t="s">
        <v>633</v>
      </c>
      <c r="E182" s="4">
        <v>123</v>
      </c>
      <c r="F182" s="4" t="s">
        <v>243</v>
      </c>
      <c r="G182" s="4" t="s">
        <v>692</v>
      </c>
    </row>
    <row r="183" spans="1:7" x14ac:dyDescent="0.25">
      <c r="A183" s="4">
        <v>100</v>
      </c>
      <c r="B183" s="4">
        <v>69</v>
      </c>
      <c r="C183" s="4" t="s">
        <v>35</v>
      </c>
      <c r="D183" s="4" t="s">
        <v>633</v>
      </c>
      <c r="E183" s="4">
        <v>114</v>
      </c>
      <c r="F183" s="4" t="s">
        <v>235</v>
      </c>
      <c r="G183" s="4" t="s">
        <v>858</v>
      </c>
    </row>
    <row r="184" spans="1:7" x14ac:dyDescent="0.25">
      <c r="A184" s="4">
        <v>101</v>
      </c>
      <c r="B184" s="4">
        <v>69</v>
      </c>
      <c r="C184" s="4" t="s">
        <v>35</v>
      </c>
      <c r="D184" s="4" t="s">
        <v>633</v>
      </c>
      <c r="E184" s="4">
        <v>124</v>
      </c>
      <c r="F184" s="4" t="s">
        <v>244</v>
      </c>
      <c r="G184" s="4" t="s">
        <v>694</v>
      </c>
    </row>
    <row r="185" spans="1:7" x14ac:dyDescent="0.25">
      <c r="A185" s="4">
        <v>102</v>
      </c>
      <c r="B185" s="4">
        <v>69</v>
      </c>
      <c r="C185" s="4" t="s">
        <v>35</v>
      </c>
      <c r="D185" s="4" t="s">
        <v>633</v>
      </c>
      <c r="E185" s="4">
        <v>119</v>
      </c>
      <c r="F185" s="4" t="s">
        <v>237</v>
      </c>
      <c r="G185" s="4" t="s">
        <v>686</v>
      </c>
    </row>
    <row r="186" spans="1:7" x14ac:dyDescent="0.25">
      <c r="A186" s="4">
        <v>103</v>
      </c>
      <c r="B186" s="4">
        <v>69</v>
      </c>
      <c r="C186" s="4" t="s">
        <v>35</v>
      </c>
      <c r="D186" s="4" t="s">
        <v>633</v>
      </c>
      <c r="E186" s="4">
        <v>120</v>
      </c>
      <c r="F186" s="4" t="s">
        <v>239</v>
      </c>
      <c r="G186" s="4" t="s">
        <v>687</v>
      </c>
    </row>
    <row r="187" spans="1:7" x14ac:dyDescent="0.25">
      <c r="A187" s="4">
        <v>10</v>
      </c>
      <c r="B187" s="4">
        <v>23</v>
      </c>
      <c r="C187" s="4" t="s">
        <v>7</v>
      </c>
      <c r="D187" s="4" t="s">
        <v>586</v>
      </c>
      <c r="E187" s="4">
        <v>43</v>
      </c>
      <c r="F187" s="4" t="s">
        <v>110</v>
      </c>
      <c r="G187" s="4" t="s">
        <v>610</v>
      </c>
    </row>
    <row r="188" spans="1:7" x14ac:dyDescent="0.25">
      <c r="A188" s="4">
        <v>11</v>
      </c>
      <c r="B188" s="4">
        <v>23</v>
      </c>
      <c r="C188" s="4" t="s">
        <v>7</v>
      </c>
      <c r="D188" s="4" t="s">
        <v>586</v>
      </c>
      <c r="E188" s="4">
        <v>44</v>
      </c>
      <c r="F188" s="4" t="s">
        <v>112</v>
      </c>
      <c r="G188" s="4" t="s">
        <v>611</v>
      </c>
    </row>
    <row r="189" spans="1:7" x14ac:dyDescent="0.25">
      <c r="A189" s="4">
        <v>12</v>
      </c>
      <c r="B189" s="4">
        <v>23</v>
      </c>
      <c r="C189" s="4" t="s">
        <v>7</v>
      </c>
      <c r="D189" s="4" t="s">
        <v>586</v>
      </c>
      <c r="E189" s="4">
        <v>45</v>
      </c>
      <c r="F189" s="4" t="s">
        <v>113</v>
      </c>
      <c r="G189" s="4" t="s">
        <v>612</v>
      </c>
    </row>
    <row r="190" spans="1:7" x14ac:dyDescent="0.25">
      <c r="A190" s="4">
        <v>16</v>
      </c>
      <c r="B190" s="4">
        <v>24</v>
      </c>
      <c r="C190" s="4" t="s">
        <v>8</v>
      </c>
      <c r="D190" s="4" t="s">
        <v>587</v>
      </c>
      <c r="E190" s="4">
        <v>43</v>
      </c>
      <c r="F190" s="4" t="s">
        <v>110</v>
      </c>
      <c r="G190" s="4" t="s">
        <v>610</v>
      </c>
    </row>
    <row r="191" spans="1:7" x14ac:dyDescent="0.25">
      <c r="A191" s="4">
        <v>17</v>
      </c>
      <c r="B191" s="4">
        <v>24</v>
      </c>
      <c r="C191" s="4" t="s">
        <v>8</v>
      </c>
      <c r="D191" s="4" t="s">
        <v>587</v>
      </c>
      <c r="E191" s="4">
        <v>44</v>
      </c>
      <c r="F191" s="4" t="s">
        <v>112</v>
      </c>
      <c r="G191" s="4" t="s">
        <v>611</v>
      </c>
    </row>
    <row r="192" spans="1:7" x14ac:dyDescent="0.25">
      <c r="A192" s="4">
        <v>18</v>
      </c>
      <c r="B192" s="4">
        <v>24</v>
      </c>
      <c r="C192" s="4" t="s">
        <v>8</v>
      </c>
      <c r="D192" s="4" t="s">
        <v>587</v>
      </c>
      <c r="E192" s="4">
        <v>45</v>
      </c>
      <c r="F192" s="4" t="s">
        <v>113</v>
      </c>
      <c r="G192" s="4" t="s">
        <v>612</v>
      </c>
    </row>
    <row r="193" spans="1:7" x14ac:dyDescent="0.25">
      <c r="A193" s="4">
        <v>22</v>
      </c>
      <c r="B193" s="4">
        <v>25</v>
      </c>
      <c r="C193" s="4" t="s">
        <v>9</v>
      </c>
      <c r="D193" s="4" t="s">
        <v>588</v>
      </c>
      <c r="E193" s="4">
        <v>46</v>
      </c>
      <c r="F193" s="4" t="s">
        <v>114</v>
      </c>
      <c r="G193" s="4" t="s">
        <v>613</v>
      </c>
    </row>
    <row r="194" spans="1:7" x14ac:dyDescent="0.25">
      <c r="A194" s="4">
        <v>23</v>
      </c>
      <c r="B194" s="4">
        <v>25</v>
      </c>
      <c r="C194" s="4" t="s">
        <v>9</v>
      </c>
      <c r="D194" s="4" t="s">
        <v>588</v>
      </c>
      <c r="E194" s="4">
        <v>47</v>
      </c>
      <c r="F194" s="4" t="s">
        <v>116</v>
      </c>
      <c r="G194" s="4" t="s">
        <v>614</v>
      </c>
    </row>
    <row r="195" spans="1:7" x14ac:dyDescent="0.25">
      <c r="A195" s="4">
        <v>24</v>
      </c>
      <c r="B195" s="4">
        <v>25</v>
      </c>
      <c r="C195" s="4" t="s">
        <v>9</v>
      </c>
      <c r="D195" s="4" t="s">
        <v>588</v>
      </c>
      <c r="E195" s="4">
        <v>48</v>
      </c>
      <c r="F195" s="4" t="s">
        <v>117</v>
      </c>
      <c r="G195" s="4" t="s">
        <v>615</v>
      </c>
    </row>
    <row r="196" spans="1:7" x14ac:dyDescent="0.25">
      <c r="A196" s="4">
        <v>61</v>
      </c>
      <c r="B196" s="4">
        <v>27</v>
      </c>
      <c r="C196" s="4" t="s">
        <v>10</v>
      </c>
      <c r="D196" s="4" t="s">
        <v>590</v>
      </c>
      <c r="E196" s="4">
        <v>110</v>
      </c>
      <c r="F196" s="4" t="s">
        <v>230</v>
      </c>
      <c r="G196" s="4" t="s">
        <v>669</v>
      </c>
    </row>
    <row r="197" spans="1:7" x14ac:dyDescent="0.25">
      <c r="A197" s="4">
        <v>62</v>
      </c>
      <c r="B197" s="4">
        <v>27</v>
      </c>
      <c r="C197" s="4" t="s">
        <v>10</v>
      </c>
      <c r="D197" s="4" t="s">
        <v>590</v>
      </c>
      <c r="E197" s="4">
        <v>111</v>
      </c>
      <c r="F197" s="4" t="s">
        <v>231</v>
      </c>
      <c r="G197" s="4" t="s">
        <v>869</v>
      </c>
    </row>
    <row r="198" spans="1:7" x14ac:dyDescent="0.25">
      <c r="A198" s="4">
        <v>63</v>
      </c>
      <c r="B198" s="4">
        <v>27</v>
      </c>
      <c r="C198" s="4" t="s">
        <v>10</v>
      </c>
      <c r="D198" s="4" t="s">
        <v>590</v>
      </c>
      <c r="E198" s="4">
        <v>44</v>
      </c>
      <c r="F198" s="4" t="s">
        <v>112</v>
      </c>
      <c r="G198" s="4" t="s">
        <v>611</v>
      </c>
    </row>
    <row r="199" spans="1:7" x14ac:dyDescent="0.25">
      <c r="A199" s="4">
        <v>64</v>
      </c>
      <c r="B199" s="4">
        <v>27</v>
      </c>
      <c r="C199" s="4" t="s">
        <v>10</v>
      </c>
      <c r="D199" s="4" t="s">
        <v>590</v>
      </c>
      <c r="E199" s="4">
        <v>112</v>
      </c>
      <c r="F199" s="4" t="s">
        <v>232</v>
      </c>
      <c r="G199" s="4" t="s">
        <v>672</v>
      </c>
    </row>
    <row r="200" spans="1:7" x14ac:dyDescent="0.25">
      <c r="A200" s="4">
        <v>65</v>
      </c>
      <c r="B200" s="4">
        <v>27</v>
      </c>
      <c r="C200" s="4" t="s">
        <v>10</v>
      </c>
      <c r="D200" s="4" t="s">
        <v>590</v>
      </c>
      <c r="E200" s="4">
        <v>77</v>
      </c>
      <c r="F200" s="4" t="s">
        <v>167</v>
      </c>
      <c r="G200" s="4" t="s">
        <v>641</v>
      </c>
    </row>
    <row r="201" spans="1:7" x14ac:dyDescent="0.25">
      <c r="A201" s="4">
        <v>66</v>
      </c>
      <c r="B201" s="4">
        <v>27</v>
      </c>
      <c r="C201" s="4" t="s">
        <v>10</v>
      </c>
      <c r="D201" s="4" t="s">
        <v>590</v>
      </c>
      <c r="E201" s="4">
        <v>45</v>
      </c>
      <c r="F201" s="4" t="s">
        <v>113</v>
      </c>
      <c r="G201" s="4" t="s">
        <v>612</v>
      </c>
    </row>
    <row r="202" spans="1:7" x14ac:dyDescent="0.25">
      <c r="A202" s="4">
        <v>67</v>
      </c>
      <c r="B202" s="4">
        <v>27</v>
      </c>
      <c r="C202" s="4" t="s">
        <v>10</v>
      </c>
      <c r="D202" s="4" t="s">
        <v>590</v>
      </c>
      <c r="E202" s="4">
        <v>113</v>
      </c>
      <c r="F202" s="4" t="s">
        <v>233</v>
      </c>
      <c r="G202" s="4" t="s">
        <v>673</v>
      </c>
    </row>
    <row r="203" spans="1:7" x14ac:dyDescent="0.25">
      <c r="A203" s="4">
        <v>68</v>
      </c>
      <c r="B203" s="4">
        <v>27</v>
      </c>
      <c r="C203" s="4" t="s">
        <v>10</v>
      </c>
      <c r="D203" s="4" t="s">
        <v>590</v>
      </c>
      <c r="E203" s="4">
        <v>114</v>
      </c>
      <c r="F203" s="4" t="s">
        <v>235</v>
      </c>
      <c r="G203" s="4" t="s">
        <v>858</v>
      </c>
    </row>
    <row r="204" spans="1:7" x14ac:dyDescent="0.25">
      <c r="A204" s="4">
        <v>69</v>
      </c>
      <c r="B204" s="4">
        <v>27</v>
      </c>
      <c r="C204" s="4" t="s">
        <v>10</v>
      </c>
      <c r="D204" s="4" t="s">
        <v>590</v>
      </c>
      <c r="E204" s="4">
        <v>115</v>
      </c>
      <c r="F204" s="4" t="s">
        <v>674</v>
      </c>
      <c r="G204" s="4" t="s">
        <v>675</v>
      </c>
    </row>
    <row r="205" spans="1:7" x14ac:dyDescent="0.25">
      <c r="A205" s="4">
        <v>70</v>
      </c>
      <c r="B205" s="4">
        <v>27</v>
      </c>
      <c r="C205" s="4" t="s">
        <v>10</v>
      </c>
      <c r="D205" s="4" t="s">
        <v>590</v>
      </c>
      <c r="E205" s="4">
        <v>116</v>
      </c>
      <c r="F205" s="4" t="s">
        <v>677</v>
      </c>
      <c r="G205" s="4" t="s">
        <v>678</v>
      </c>
    </row>
    <row r="206" spans="1:7" x14ac:dyDescent="0.25">
      <c r="A206" s="4">
        <v>71</v>
      </c>
      <c r="B206" s="4">
        <v>27</v>
      </c>
      <c r="C206" s="4" t="s">
        <v>10</v>
      </c>
      <c r="D206" s="4" t="s">
        <v>590</v>
      </c>
      <c r="E206" s="4">
        <v>119</v>
      </c>
      <c r="F206" s="4" t="s">
        <v>237</v>
      </c>
      <c r="G206" s="4" t="s">
        <v>686</v>
      </c>
    </row>
    <row r="207" spans="1:7" x14ac:dyDescent="0.25">
      <c r="A207" s="4">
        <v>72</v>
      </c>
      <c r="B207" s="4">
        <v>27</v>
      </c>
      <c r="C207" s="4" t="s">
        <v>10</v>
      </c>
      <c r="D207" s="4" t="s">
        <v>590</v>
      </c>
      <c r="E207" s="4">
        <v>120</v>
      </c>
      <c r="F207" s="4" t="s">
        <v>239</v>
      </c>
      <c r="G207" s="4" t="s">
        <v>687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0"/>
  <dimension ref="A1:K999"/>
  <sheetViews>
    <sheetView workbookViewId="0">
      <selection activeCell="A2" sqref="A2:E43"/>
    </sheetView>
  </sheetViews>
  <sheetFormatPr baseColWidth="10" defaultRowHeight="15" x14ac:dyDescent="0.25"/>
  <cols>
    <col min="1" max="1" width="13.5703125" customWidth="1"/>
    <col min="2" max="2" width="31.140625" bestFit="1" customWidth="1"/>
    <col min="3" max="3" width="26.5703125" bestFit="1" customWidth="1"/>
    <col min="4" max="4" width="7.85546875" customWidth="1"/>
    <col min="5" max="5" width="23" bestFit="1" customWidth="1"/>
    <col min="11" max="11" width="31.140625" bestFit="1" customWidth="1"/>
  </cols>
  <sheetData>
    <row r="1" spans="1:11" x14ac:dyDescent="0.25">
      <c r="A1" s="4" t="s">
        <v>11</v>
      </c>
      <c r="B1" s="4" t="s">
        <v>901</v>
      </c>
      <c r="C1" s="4" t="s">
        <v>902</v>
      </c>
      <c r="D1" s="4" t="s">
        <v>903</v>
      </c>
      <c r="E1" s="4" t="s">
        <v>17</v>
      </c>
      <c r="K1" s="2" t="s">
        <v>510</v>
      </c>
    </row>
    <row r="2" spans="1:11" x14ac:dyDescent="0.25">
      <c r="A2" s="4">
        <v>0</v>
      </c>
      <c r="B2" s="4" t="s">
        <v>29</v>
      </c>
      <c r="C2" s="4" t="s">
        <v>29</v>
      </c>
      <c r="D2" s="4" t="s">
        <v>29</v>
      </c>
      <c r="E2" s="4" t="s">
        <v>29</v>
      </c>
      <c r="K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" spans="1:11" x14ac:dyDescent="0.25">
      <c r="A3" s="4">
        <v>32</v>
      </c>
      <c r="B3" s="4" t="s">
        <v>413</v>
      </c>
      <c r="C3" s="4" t="s">
        <v>414</v>
      </c>
      <c r="D3" s="4" t="s">
        <v>415</v>
      </c>
      <c r="E3" s="4" t="s">
        <v>29</v>
      </c>
      <c r="K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Achse</v>
      </c>
    </row>
    <row r="4" spans="1:11" x14ac:dyDescent="0.25">
      <c r="A4" s="4">
        <v>41</v>
      </c>
      <c r="B4" s="4" t="s">
        <v>793</v>
      </c>
      <c r="C4" s="4" t="s">
        <v>794</v>
      </c>
      <c r="D4" s="4" t="s">
        <v>795</v>
      </c>
      <c r="E4" s="4" t="s">
        <v>29</v>
      </c>
      <c r="K4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Datenquelle</v>
      </c>
    </row>
    <row r="5" spans="1:11" x14ac:dyDescent="0.25">
      <c r="A5" s="4">
        <v>25</v>
      </c>
      <c r="B5" s="4" t="s">
        <v>392</v>
      </c>
      <c r="C5" s="4" t="s">
        <v>393</v>
      </c>
      <c r="D5" s="4" t="s">
        <v>394</v>
      </c>
      <c r="E5" s="4" t="s">
        <v>29</v>
      </c>
      <c r="K5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Dokumentenart/Planart</v>
      </c>
    </row>
    <row r="6" spans="1:11" x14ac:dyDescent="0.25">
      <c r="A6" s="4">
        <v>35</v>
      </c>
      <c r="B6" s="4" t="s">
        <v>422</v>
      </c>
      <c r="C6" s="4" t="s">
        <v>423</v>
      </c>
      <c r="D6" s="4" t="s">
        <v>424</v>
      </c>
      <c r="E6" s="4" t="s">
        <v>29</v>
      </c>
      <c r="K6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Einheit</v>
      </c>
    </row>
    <row r="7" spans="1:11" x14ac:dyDescent="0.25">
      <c r="A7" s="4">
        <v>27</v>
      </c>
      <c r="B7" s="4" t="s">
        <v>398</v>
      </c>
      <c r="C7" s="4" t="s">
        <v>399</v>
      </c>
      <c r="D7" s="4" t="s">
        <v>400</v>
      </c>
      <c r="E7" s="4" t="s">
        <v>29</v>
      </c>
      <c r="K7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Fabrikat/Hersteller</v>
      </c>
    </row>
    <row r="8" spans="1:11" x14ac:dyDescent="0.25">
      <c r="A8" s="4">
        <v>16</v>
      </c>
      <c r="B8" s="4" t="s">
        <v>365</v>
      </c>
      <c r="C8" s="4" t="s">
        <v>366</v>
      </c>
      <c r="D8" s="4" t="s">
        <v>367</v>
      </c>
      <c r="E8" s="4" t="s">
        <v>29</v>
      </c>
      <c r="K8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Fertigungsinsel/Fertigungslinie</v>
      </c>
    </row>
    <row r="9" spans="1:11" x14ac:dyDescent="0.25">
      <c r="A9" s="4">
        <v>8</v>
      </c>
      <c r="B9" s="4" t="s">
        <v>16</v>
      </c>
      <c r="C9" s="4" t="s">
        <v>520</v>
      </c>
      <c r="D9" s="4" t="s">
        <v>521</v>
      </c>
      <c r="E9" s="4" t="s">
        <v>512</v>
      </c>
      <c r="K9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Gebäude</v>
      </c>
    </row>
    <row r="10" spans="1:11" x14ac:dyDescent="0.25">
      <c r="A10" s="4">
        <v>9</v>
      </c>
      <c r="B10" s="4" t="s">
        <v>345</v>
      </c>
      <c r="C10" s="4" t="s">
        <v>346</v>
      </c>
      <c r="D10" s="4" t="s">
        <v>779</v>
      </c>
      <c r="E10" s="4" t="s">
        <v>29</v>
      </c>
      <c r="K10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Gebäudeteil Gerät</v>
      </c>
    </row>
    <row r="11" spans="1:11" x14ac:dyDescent="0.25">
      <c r="A11" s="4">
        <v>14</v>
      </c>
      <c r="B11" s="4" t="s">
        <v>359</v>
      </c>
      <c r="C11" s="4" t="s">
        <v>360</v>
      </c>
      <c r="D11" s="4" t="s">
        <v>361</v>
      </c>
      <c r="E11" s="4" t="s">
        <v>29</v>
      </c>
      <c r="K11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Gebäudeteil Schaltschrank</v>
      </c>
    </row>
    <row r="12" spans="1:11" x14ac:dyDescent="0.25">
      <c r="A12" s="4">
        <v>24</v>
      </c>
      <c r="B12" s="4" t="s">
        <v>389</v>
      </c>
      <c r="C12" s="4" t="s">
        <v>390</v>
      </c>
      <c r="D12" s="4" t="s">
        <v>391</v>
      </c>
      <c r="E12" s="4" t="s">
        <v>29</v>
      </c>
      <c r="K12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Geschoss Gerät</v>
      </c>
    </row>
    <row r="13" spans="1:11" x14ac:dyDescent="0.25">
      <c r="A13" s="4">
        <v>13</v>
      </c>
      <c r="B13" s="4" t="s">
        <v>356</v>
      </c>
      <c r="C13" s="4" t="s">
        <v>357</v>
      </c>
      <c r="D13" s="4" t="s">
        <v>358</v>
      </c>
      <c r="E13" s="4" t="s">
        <v>29</v>
      </c>
      <c r="K13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Geschoss Schaltschrank</v>
      </c>
    </row>
    <row r="14" spans="1:11" x14ac:dyDescent="0.25">
      <c r="A14" s="4">
        <v>23</v>
      </c>
      <c r="B14" s="4" t="s">
        <v>386</v>
      </c>
      <c r="C14" s="4" t="s">
        <v>387</v>
      </c>
      <c r="D14" s="4" t="s">
        <v>388</v>
      </c>
      <c r="E14" s="4" t="s">
        <v>29</v>
      </c>
      <c r="K14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Gewerk</v>
      </c>
    </row>
    <row r="15" spans="1:11" x14ac:dyDescent="0.25">
      <c r="A15" s="4">
        <v>11</v>
      </c>
      <c r="B15" s="4" t="s">
        <v>350</v>
      </c>
      <c r="C15" s="4" t="s">
        <v>351</v>
      </c>
      <c r="D15" s="4" t="s">
        <v>352</v>
      </c>
      <c r="E15" s="4" t="s">
        <v>29</v>
      </c>
      <c r="K15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Größe</v>
      </c>
    </row>
    <row r="16" spans="1:11" x14ac:dyDescent="0.25">
      <c r="A16" s="4">
        <v>30</v>
      </c>
      <c r="B16" s="4" t="s">
        <v>407</v>
      </c>
      <c r="C16" s="4" t="s">
        <v>408</v>
      </c>
      <c r="D16" s="4" t="s">
        <v>409</v>
      </c>
      <c r="E16" s="4" t="s">
        <v>29</v>
      </c>
      <c r="K16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Hausnummer</v>
      </c>
    </row>
    <row r="17" spans="1:11" x14ac:dyDescent="0.25">
      <c r="A17" s="4">
        <v>34</v>
      </c>
      <c r="B17" s="4" t="s">
        <v>419</v>
      </c>
      <c r="C17" s="4" t="s">
        <v>420</v>
      </c>
      <c r="D17" s="4" t="s">
        <v>421</v>
      </c>
      <c r="E17" s="4" t="s">
        <v>29</v>
      </c>
      <c r="K17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Informationsschwerpunkt</v>
      </c>
    </row>
    <row r="18" spans="1:11" x14ac:dyDescent="0.25">
      <c r="A18" s="4">
        <v>17</v>
      </c>
      <c r="B18" s="4" t="s">
        <v>368</v>
      </c>
      <c r="C18" s="4" t="s">
        <v>369</v>
      </c>
      <c r="D18" s="4" t="s">
        <v>370</v>
      </c>
      <c r="E18" s="4" t="s">
        <v>29</v>
      </c>
      <c r="K18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Land</v>
      </c>
    </row>
    <row r="19" spans="1:11" x14ac:dyDescent="0.25">
      <c r="A19" s="4">
        <v>19</v>
      </c>
      <c r="B19" s="4" t="s">
        <v>374</v>
      </c>
      <c r="C19" s="4" t="s">
        <v>375</v>
      </c>
      <c r="D19" s="4" t="s">
        <v>376</v>
      </c>
      <c r="E19" s="4" t="s">
        <v>29</v>
      </c>
      <c r="K19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Liegenschaft/Standort/Werk</v>
      </c>
    </row>
    <row r="20" spans="1:11" x14ac:dyDescent="0.25">
      <c r="A20" s="4">
        <v>10</v>
      </c>
      <c r="B20" s="4" t="s">
        <v>347</v>
      </c>
      <c r="C20" s="4" t="s">
        <v>348</v>
      </c>
      <c r="D20" s="4" t="s">
        <v>349</v>
      </c>
      <c r="E20" s="4" t="s">
        <v>29</v>
      </c>
      <c r="K20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Netzwerknummer</v>
      </c>
    </row>
    <row r="21" spans="1:11" x14ac:dyDescent="0.25">
      <c r="A21" s="4">
        <v>3</v>
      </c>
      <c r="B21" s="4" t="s">
        <v>15</v>
      </c>
      <c r="C21" s="4" t="s">
        <v>15</v>
      </c>
      <c r="D21" s="4" t="s">
        <v>515</v>
      </c>
      <c r="E21" s="4" t="s">
        <v>512</v>
      </c>
      <c r="K21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Raum Gerät</v>
      </c>
    </row>
    <row r="22" spans="1:11" x14ac:dyDescent="0.25">
      <c r="A22" s="4">
        <v>4</v>
      </c>
      <c r="B22" s="4" t="s">
        <v>439</v>
      </c>
      <c r="C22" s="4" t="s">
        <v>516</v>
      </c>
      <c r="D22" s="4" t="s">
        <v>517</v>
      </c>
      <c r="E22" s="4" t="s">
        <v>512</v>
      </c>
      <c r="K22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Raum Schaltschrank</v>
      </c>
    </row>
    <row r="23" spans="1:11" x14ac:dyDescent="0.25">
      <c r="A23" s="4">
        <v>5</v>
      </c>
      <c r="B23" s="4" t="s">
        <v>440</v>
      </c>
      <c r="C23" s="4" t="s">
        <v>518</v>
      </c>
      <c r="D23" s="4" t="s">
        <v>519</v>
      </c>
      <c r="E23" s="4" t="s">
        <v>512</v>
      </c>
      <c r="K23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Servername</v>
      </c>
    </row>
    <row r="24" spans="1:11" x14ac:dyDescent="0.25">
      <c r="A24" s="4">
        <v>21</v>
      </c>
      <c r="B24" s="4" t="s">
        <v>380</v>
      </c>
      <c r="C24" s="4" t="s">
        <v>381</v>
      </c>
      <c r="D24" s="4" t="s">
        <v>382</v>
      </c>
      <c r="E24" s="4" t="s">
        <v>29</v>
      </c>
      <c r="K24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Steuerungsgruppe</v>
      </c>
    </row>
    <row r="25" spans="1:11" x14ac:dyDescent="0.25">
      <c r="A25" s="4">
        <v>12</v>
      </c>
      <c r="B25" s="4" t="s">
        <v>353</v>
      </c>
      <c r="C25" s="4" t="s">
        <v>354</v>
      </c>
      <c r="D25" s="4" t="s">
        <v>355</v>
      </c>
      <c r="E25" s="4" t="s">
        <v>29</v>
      </c>
      <c r="K25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Straße</v>
      </c>
    </row>
    <row r="26" spans="1:11" x14ac:dyDescent="0.25">
      <c r="A26" s="4">
        <v>22</v>
      </c>
      <c r="B26" s="4" t="s">
        <v>383</v>
      </c>
      <c r="C26" s="4" t="s">
        <v>384</v>
      </c>
      <c r="D26" s="4" t="s">
        <v>385</v>
      </c>
      <c r="E26" s="4" t="s">
        <v>29</v>
      </c>
      <c r="K26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Typ der Netzwerkanbindung</v>
      </c>
    </row>
    <row r="27" spans="1:11" x14ac:dyDescent="0.25">
      <c r="A27" s="4">
        <v>28</v>
      </c>
      <c r="B27" s="4" t="s">
        <v>401</v>
      </c>
      <c r="C27" s="4" t="s">
        <v>402</v>
      </c>
      <c r="D27" s="4" t="s">
        <v>403</v>
      </c>
      <c r="E27" s="4" t="s">
        <v>29</v>
      </c>
      <c r="K27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Unternehmen</v>
      </c>
    </row>
    <row r="28" spans="1:11" x14ac:dyDescent="0.25">
      <c r="A28" s="4">
        <v>6</v>
      </c>
      <c r="B28" s="4" t="s">
        <v>544</v>
      </c>
      <c r="C28" s="4" t="s">
        <v>552</v>
      </c>
      <c r="D28" s="4" t="s">
        <v>847</v>
      </c>
      <c r="E28" s="4" t="s">
        <v>512</v>
      </c>
      <c r="K28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Versorgte Zone</v>
      </c>
    </row>
    <row r="29" spans="1:11" x14ac:dyDescent="0.25">
      <c r="A29" s="4">
        <v>7</v>
      </c>
      <c r="B29" s="4" t="s">
        <v>838</v>
      </c>
      <c r="C29" s="4" t="s">
        <v>839</v>
      </c>
      <c r="D29" s="4" t="s">
        <v>848</v>
      </c>
      <c r="E29" s="4" t="s">
        <v>512</v>
      </c>
      <c r="K29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Versorgter Gebäudeteil</v>
      </c>
    </row>
    <row r="30" spans="1:11" x14ac:dyDescent="0.25">
      <c r="A30" s="4">
        <v>29</v>
      </c>
      <c r="B30" s="4" t="s">
        <v>404</v>
      </c>
      <c r="C30" s="4" t="s">
        <v>405</v>
      </c>
      <c r="D30" s="4" t="s">
        <v>406</v>
      </c>
      <c r="E30" s="4" t="s">
        <v>29</v>
      </c>
      <c r="K30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Versorgter Raum</v>
      </c>
    </row>
    <row r="31" spans="1:11" x14ac:dyDescent="0.25">
      <c r="A31" s="4">
        <v>33</v>
      </c>
      <c r="B31" s="4" t="s">
        <v>416</v>
      </c>
      <c r="C31" s="4" t="s">
        <v>417</v>
      </c>
      <c r="D31" s="4" t="s">
        <v>418</v>
      </c>
      <c r="E31" s="4" t="s">
        <v>29</v>
      </c>
      <c r="K31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Versorgtes Gebäude</v>
      </c>
    </row>
    <row r="32" spans="1:11" x14ac:dyDescent="0.25">
      <c r="A32" s="4">
        <v>2</v>
      </c>
      <c r="B32" s="4" t="s">
        <v>513</v>
      </c>
      <c r="C32" s="4" t="s">
        <v>513</v>
      </c>
      <c r="D32" s="4" t="s">
        <v>514</v>
      </c>
      <c r="E32" s="4" t="s">
        <v>512</v>
      </c>
      <c r="K32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Versorgtes Geschoss</v>
      </c>
    </row>
    <row r="33" spans="1:11" x14ac:dyDescent="0.25">
      <c r="A33" s="4">
        <v>1</v>
      </c>
      <c r="B33" s="4" t="s">
        <v>13</v>
      </c>
      <c r="C33" s="4" t="s">
        <v>13</v>
      </c>
      <c r="D33" s="4" t="s">
        <v>511</v>
      </c>
      <c r="E33" s="4" t="s">
        <v>512</v>
      </c>
      <c r="K33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Wirtschaftseinheit/Kostengruppe</v>
      </c>
    </row>
    <row r="34" spans="1:11" x14ac:dyDescent="0.25">
      <c r="A34" s="4">
        <v>20</v>
      </c>
      <c r="B34" s="4" t="s">
        <v>377</v>
      </c>
      <c r="C34" s="4" t="s">
        <v>378</v>
      </c>
      <c r="D34" s="4" t="s">
        <v>379</v>
      </c>
      <c r="E34" s="4" t="s">
        <v>29</v>
      </c>
      <c r="K34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Zählernummer</v>
      </c>
    </row>
    <row r="35" spans="1:11" x14ac:dyDescent="0.25">
      <c r="A35" s="4">
        <v>26</v>
      </c>
      <c r="B35" s="4" t="s">
        <v>395</v>
      </c>
      <c r="C35" s="4" t="s">
        <v>396</v>
      </c>
      <c r="D35" s="4" t="s">
        <v>397</v>
      </c>
      <c r="E35" s="4" t="s">
        <v>29</v>
      </c>
      <c r="K35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Zone</v>
      </c>
    </row>
    <row r="36" spans="1:11" x14ac:dyDescent="0.25">
      <c r="A36" s="4">
        <v>38</v>
      </c>
      <c r="B36" s="4" t="s">
        <v>431</v>
      </c>
      <c r="C36" s="4" t="s">
        <v>432</v>
      </c>
      <c r="D36" s="4" t="s">
        <v>433</v>
      </c>
      <c r="E36" s="4" t="s">
        <v>29</v>
      </c>
      <c r="K36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7" spans="1:11" x14ac:dyDescent="0.25">
      <c r="A37" s="4">
        <v>39</v>
      </c>
      <c r="B37" s="4" t="s">
        <v>434</v>
      </c>
      <c r="C37" s="4" t="s">
        <v>435</v>
      </c>
      <c r="D37" s="4" t="s">
        <v>436</v>
      </c>
      <c r="E37" s="4" t="s">
        <v>29</v>
      </c>
      <c r="K37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8" spans="1:11" x14ac:dyDescent="0.25">
      <c r="A38" s="4">
        <v>36</v>
      </c>
      <c r="B38" s="4" t="s">
        <v>425</v>
      </c>
      <c r="C38" s="4" t="s">
        <v>426</v>
      </c>
      <c r="D38" s="4" t="s">
        <v>427</v>
      </c>
      <c r="E38" s="4" t="s">
        <v>29</v>
      </c>
      <c r="K38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9" spans="1:11" x14ac:dyDescent="0.25">
      <c r="A39" s="4">
        <v>40</v>
      </c>
      <c r="B39" s="4" t="s">
        <v>437</v>
      </c>
      <c r="C39" s="4" t="s">
        <v>438</v>
      </c>
      <c r="D39" s="4" t="s">
        <v>780</v>
      </c>
      <c r="E39" s="4" t="s">
        <v>29</v>
      </c>
      <c r="K39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0" spans="1:11" x14ac:dyDescent="0.25">
      <c r="A40" s="4">
        <v>37</v>
      </c>
      <c r="B40" s="4" t="s">
        <v>428</v>
      </c>
      <c r="C40" s="4" t="s">
        <v>429</v>
      </c>
      <c r="D40" s="4" t="s">
        <v>430</v>
      </c>
      <c r="E40" s="4" t="s">
        <v>29</v>
      </c>
      <c r="K40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1" spans="1:11" x14ac:dyDescent="0.25">
      <c r="A41" s="4">
        <v>18</v>
      </c>
      <c r="B41" s="4" t="s">
        <v>371</v>
      </c>
      <c r="C41" s="4" t="s">
        <v>372</v>
      </c>
      <c r="D41" s="4" t="s">
        <v>373</v>
      </c>
      <c r="E41" s="4" t="s">
        <v>29</v>
      </c>
      <c r="K41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2" spans="1:11" x14ac:dyDescent="0.25">
      <c r="A42" s="4">
        <v>31</v>
      </c>
      <c r="B42" s="4" t="s">
        <v>410</v>
      </c>
      <c r="C42" s="4" t="s">
        <v>411</v>
      </c>
      <c r="D42" s="4" t="s">
        <v>412</v>
      </c>
      <c r="E42" s="4" t="s">
        <v>29</v>
      </c>
      <c r="K42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3" spans="1:11" x14ac:dyDescent="0.25">
      <c r="A43" s="4">
        <v>15</v>
      </c>
      <c r="B43" s="4" t="s">
        <v>362</v>
      </c>
      <c r="C43" s="4" t="s">
        <v>363</v>
      </c>
      <c r="D43" s="4" t="s">
        <v>364</v>
      </c>
      <c r="E43" s="4" t="s">
        <v>29</v>
      </c>
      <c r="K43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4" spans="1:11" x14ac:dyDescent="0.25">
      <c r="K4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5" spans="1:11" x14ac:dyDescent="0.25">
      <c r="K4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6" spans="1:11" x14ac:dyDescent="0.25">
      <c r="K4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7" spans="1:11" x14ac:dyDescent="0.25">
      <c r="K4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8" spans="1:11" x14ac:dyDescent="0.25">
      <c r="K4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9" spans="11:11" x14ac:dyDescent="0.25">
      <c r="K4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0" spans="11:11" x14ac:dyDescent="0.25">
      <c r="K5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1" spans="11:11" x14ac:dyDescent="0.25">
      <c r="K5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2" spans="11:11" x14ac:dyDescent="0.25">
      <c r="K5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3" spans="11:11" x14ac:dyDescent="0.25">
      <c r="K5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4" spans="11:11" x14ac:dyDescent="0.25">
      <c r="K5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5" spans="11:11" x14ac:dyDescent="0.25">
      <c r="K5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6" spans="11:11" x14ac:dyDescent="0.25">
      <c r="K5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7" spans="11:11" x14ac:dyDescent="0.25">
      <c r="K5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8" spans="11:11" x14ac:dyDescent="0.25">
      <c r="K5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9" spans="11:11" x14ac:dyDescent="0.25">
      <c r="K5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0" spans="11:11" x14ac:dyDescent="0.25">
      <c r="K6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1" spans="11:11" x14ac:dyDescent="0.25">
      <c r="K6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2" spans="11:11" x14ac:dyDescent="0.25">
      <c r="K6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3" spans="11:11" x14ac:dyDescent="0.25">
      <c r="K6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4" spans="11:11" x14ac:dyDescent="0.25">
      <c r="K6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5" spans="11:11" x14ac:dyDescent="0.25">
      <c r="K6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6" spans="11:11" x14ac:dyDescent="0.25">
      <c r="K6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7" spans="11:11" x14ac:dyDescent="0.25">
      <c r="K6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8" spans="11:11" x14ac:dyDescent="0.25">
      <c r="K6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9" spans="11:11" x14ac:dyDescent="0.25">
      <c r="K6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0" spans="11:11" x14ac:dyDescent="0.25">
      <c r="K7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1" spans="11:11" x14ac:dyDescent="0.25">
      <c r="K7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2" spans="11:11" x14ac:dyDescent="0.25">
      <c r="K7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3" spans="11:11" x14ac:dyDescent="0.25">
      <c r="K7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4" spans="11:11" x14ac:dyDescent="0.25">
      <c r="K7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5" spans="11:11" x14ac:dyDescent="0.25">
      <c r="K7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6" spans="11:11" x14ac:dyDescent="0.25">
      <c r="K7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7" spans="11:11" x14ac:dyDescent="0.25">
      <c r="K7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8" spans="11:11" x14ac:dyDescent="0.25">
      <c r="K7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9" spans="11:11" x14ac:dyDescent="0.25">
      <c r="K7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0" spans="11:11" x14ac:dyDescent="0.25">
      <c r="K8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1" spans="11:11" x14ac:dyDescent="0.25">
      <c r="K8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2" spans="11:11" x14ac:dyDescent="0.25">
      <c r="K8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3" spans="11:11" x14ac:dyDescent="0.25">
      <c r="K8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4" spans="11:11" x14ac:dyDescent="0.25">
      <c r="K8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5" spans="11:11" x14ac:dyDescent="0.25">
      <c r="K8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6" spans="11:11" x14ac:dyDescent="0.25">
      <c r="K8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7" spans="11:11" x14ac:dyDescent="0.25">
      <c r="K8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8" spans="11:11" x14ac:dyDescent="0.25">
      <c r="K8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9" spans="11:11" x14ac:dyDescent="0.25">
      <c r="K8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0" spans="11:11" x14ac:dyDescent="0.25">
      <c r="K9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1" spans="11:11" x14ac:dyDescent="0.25">
      <c r="K9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2" spans="11:11" x14ac:dyDescent="0.25">
      <c r="K9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3" spans="11:11" x14ac:dyDescent="0.25">
      <c r="K9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4" spans="11:11" x14ac:dyDescent="0.25">
      <c r="K9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5" spans="11:11" x14ac:dyDescent="0.25">
      <c r="K9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6" spans="11:11" x14ac:dyDescent="0.25">
      <c r="K9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7" spans="11:11" x14ac:dyDescent="0.25">
      <c r="K9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8" spans="11:11" x14ac:dyDescent="0.25">
      <c r="K9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9" spans="11:11" x14ac:dyDescent="0.25">
      <c r="K9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00" spans="11:11" x14ac:dyDescent="0.25">
      <c r="K10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01" spans="11:11" x14ac:dyDescent="0.25">
      <c r="K10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02" spans="11:11" x14ac:dyDescent="0.25">
      <c r="K10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03" spans="11:11" x14ac:dyDescent="0.25">
      <c r="K10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04" spans="11:11" x14ac:dyDescent="0.25">
      <c r="K10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05" spans="11:11" x14ac:dyDescent="0.25">
      <c r="K10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06" spans="11:11" x14ac:dyDescent="0.25">
      <c r="K10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07" spans="11:11" x14ac:dyDescent="0.25">
      <c r="K10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08" spans="11:11" x14ac:dyDescent="0.25">
      <c r="K10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09" spans="11:11" x14ac:dyDescent="0.25">
      <c r="K10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10" spans="11:11" x14ac:dyDescent="0.25">
      <c r="K11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11" spans="11:11" x14ac:dyDescent="0.25">
      <c r="K11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12" spans="11:11" x14ac:dyDescent="0.25">
      <c r="K11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13" spans="11:11" x14ac:dyDescent="0.25">
      <c r="K11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14" spans="11:11" x14ac:dyDescent="0.25">
      <c r="K11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15" spans="11:11" x14ac:dyDescent="0.25">
      <c r="K11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16" spans="11:11" x14ac:dyDescent="0.25">
      <c r="K11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17" spans="11:11" x14ac:dyDescent="0.25">
      <c r="K11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18" spans="11:11" x14ac:dyDescent="0.25">
      <c r="K11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19" spans="11:11" x14ac:dyDescent="0.25">
      <c r="K11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20" spans="11:11" x14ac:dyDescent="0.25">
      <c r="K12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21" spans="11:11" x14ac:dyDescent="0.25">
      <c r="K12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22" spans="11:11" x14ac:dyDescent="0.25">
      <c r="K12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23" spans="11:11" x14ac:dyDescent="0.25">
      <c r="K12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24" spans="11:11" x14ac:dyDescent="0.25">
      <c r="K12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25" spans="11:11" x14ac:dyDescent="0.25">
      <c r="K12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26" spans="11:11" x14ac:dyDescent="0.25">
      <c r="K12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27" spans="11:11" x14ac:dyDescent="0.25">
      <c r="K12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28" spans="11:11" x14ac:dyDescent="0.25">
      <c r="K12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29" spans="11:11" x14ac:dyDescent="0.25">
      <c r="K12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30" spans="11:11" x14ac:dyDescent="0.25">
      <c r="K13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31" spans="11:11" x14ac:dyDescent="0.25">
      <c r="K13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32" spans="11:11" x14ac:dyDescent="0.25">
      <c r="K13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33" spans="11:11" x14ac:dyDescent="0.25">
      <c r="K13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34" spans="11:11" x14ac:dyDescent="0.25">
      <c r="K13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35" spans="11:11" x14ac:dyDescent="0.25">
      <c r="K13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36" spans="11:11" x14ac:dyDescent="0.25">
      <c r="K13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37" spans="11:11" x14ac:dyDescent="0.25">
      <c r="K13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38" spans="11:11" x14ac:dyDescent="0.25">
      <c r="K13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39" spans="11:11" x14ac:dyDescent="0.25">
      <c r="K13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40" spans="11:11" x14ac:dyDescent="0.25">
      <c r="K14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41" spans="11:11" x14ac:dyDescent="0.25">
      <c r="K14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42" spans="11:11" x14ac:dyDescent="0.25">
      <c r="K14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43" spans="11:11" x14ac:dyDescent="0.25">
      <c r="K14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44" spans="11:11" x14ac:dyDescent="0.25">
      <c r="K14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45" spans="11:11" x14ac:dyDescent="0.25">
      <c r="K14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46" spans="11:11" x14ac:dyDescent="0.25">
      <c r="K14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47" spans="11:11" x14ac:dyDescent="0.25">
      <c r="K14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48" spans="11:11" x14ac:dyDescent="0.25">
      <c r="K14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49" spans="11:11" x14ac:dyDescent="0.25">
      <c r="K14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50" spans="11:11" x14ac:dyDescent="0.25">
      <c r="K15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51" spans="11:11" x14ac:dyDescent="0.25">
      <c r="K15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52" spans="11:11" x14ac:dyDescent="0.25">
      <c r="K15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53" spans="11:11" x14ac:dyDescent="0.25">
      <c r="K15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54" spans="11:11" x14ac:dyDescent="0.25">
      <c r="K15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55" spans="11:11" x14ac:dyDescent="0.25">
      <c r="K15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56" spans="11:11" x14ac:dyDescent="0.25">
      <c r="K15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57" spans="11:11" x14ac:dyDescent="0.25">
      <c r="K15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58" spans="11:11" x14ac:dyDescent="0.25">
      <c r="K15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59" spans="11:11" x14ac:dyDescent="0.25">
      <c r="K15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60" spans="11:11" x14ac:dyDescent="0.25">
      <c r="K16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61" spans="11:11" x14ac:dyDescent="0.25">
      <c r="K16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62" spans="11:11" x14ac:dyDescent="0.25">
      <c r="K16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63" spans="11:11" x14ac:dyDescent="0.25">
      <c r="K16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64" spans="11:11" x14ac:dyDescent="0.25">
      <c r="K16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65" spans="11:11" x14ac:dyDescent="0.25">
      <c r="K16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66" spans="11:11" x14ac:dyDescent="0.25">
      <c r="K16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67" spans="11:11" x14ac:dyDescent="0.25">
      <c r="K16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68" spans="11:11" x14ac:dyDescent="0.25">
      <c r="K16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69" spans="11:11" x14ac:dyDescent="0.25">
      <c r="K16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70" spans="11:11" x14ac:dyDescent="0.25">
      <c r="K17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71" spans="11:11" x14ac:dyDescent="0.25">
      <c r="K17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72" spans="11:11" x14ac:dyDescent="0.25">
      <c r="K17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73" spans="11:11" x14ac:dyDescent="0.25">
      <c r="K17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74" spans="11:11" x14ac:dyDescent="0.25">
      <c r="K17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75" spans="11:11" x14ac:dyDescent="0.25">
      <c r="K17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76" spans="11:11" x14ac:dyDescent="0.25">
      <c r="K17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77" spans="11:11" x14ac:dyDescent="0.25">
      <c r="K17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78" spans="11:11" x14ac:dyDescent="0.25">
      <c r="K17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79" spans="11:11" x14ac:dyDescent="0.25">
      <c r="K17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80" spans="11:11" x14ac:dyDescent="0.25">
      <c r="K18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81" spans="11:11" x14ac:dyDescent="0.25">
      <c r="K18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82" spans="11:11" x14ac:dyDescent="0.25">
      <c r="K18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83" spans="11:11" x14ac:dyDescent="0.25">
      <c r="K18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84" spans="11:11" x14ac:dyDescent="0.25">
      <c r="K18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85" spans="11:11" x14ac:dyDescent="0.25">
      <c r="K18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86" spans="11:11" x14ac:dyDescent="0.25">
      <c r="K18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87" spans="11:11" x14ac:dyDescent="0.25">
      <c r="K18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88" spans="11:11" x14ac:dyDescent="0.25">
      <c r="K18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89" spans="11:11" x14ac:dyDescent="0.25">
      <c r="K18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90" spans="11:11" x14ac:dyDescent="0.25">
      <c r="K19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91" spans="11:11" x14ac:dyDescent="0.25">
      <c r="K19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92" spans="11:11" x14ac:dyDescent="0.25">
      <c r="K19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93" spans="11:11" x14ac:dyDescent="0.25">
      <c r="K19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94" spans="11:11" x14ac:dyDescent="0.25">
      <c r="K19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95" spans="11:11" x14ac:dyDescent="0.25">
      <c r="K19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96" spans="11:11" x14ac:dyDescent="0.25">
      <c r="K19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97" spans="11:11" x14ac:dyDescent="0.25">
      <c r="K19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98" spans="11:11" x14ac:dyDescent="0.25">
      <c r="K19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99" spans="11:11" x14ac:dyDescent="0.25">
      <c r="K19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00" spans="11:11" x14ac:dyDescent="0.25">
      <c r="K20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01" spans="11:11" x14ac:dyDescent="0.25">
      <c r="K20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02" spans="11:11" x14ac:dyDescent="0.25">
      <c r="K20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03" spans="11:11" x14ac:dyDescent="0.25">
      <c r="K20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04" spans="11:11" x14ac:dyDescent="0.25">
      <c r="K20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05" spans="11:11" x14ac:dyDescent="0.25">
      <c r="K20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06" spans="11:11" x14ac:dyDescent="0.25">
      <c r="K20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07" spans="11:11" x14ac:dyDescent="0.25">
      <c r="K20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08" spans="11:11" x14ac:dyDescent="0.25">
      <c r="K20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09" spans="11:11" x14ac:dyDescent="0.25">
      <c r="K20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10" spans="11:11" x14ac:dyDescent="0.25">
      <c r="K21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11" spans="11:11" x14ac:dyDescent="0.25">
      <c r="K21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12" spans="11:11" x14ac:dyDescent="0.25">
      <c r="K21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13" spans="11:11" x14ac:dyDescent="0.25">
      <c r="K21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14" spans="11:11" x14ac:dyDescent="0.25">
      <c r="K21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15" spans="11:11" x14ac:dyDescent="0.25">
      <c r="K21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16" spans="11:11" x14ac:dyDescent="0.25">
      <c r="K21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17" spans="11:11" x14ac:dyDescent="0.25">
      <c r="K21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18" spans="11:11" x14ac:dyDescent="0.25">
      <c r="K21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19" spans="11:11" x14ac:dyDescent="0.25">
      <c r="K21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20" spans="11:11" x14ac:dyDescent="0.25">
      <c r="K22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21" spans="11:11" x14ac:dyDescent="0.25">
      <c r="K22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22" spans="11:11" x14ac:dyDescent="0.25">
      <c r="K22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23" spans="11:11" x14ac:dyDescent="0.25">
      <c r="K22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24" spans="11:11" x14ac:dyDescent="0.25">
      <c r="K22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25" spans="11:11" x14ac:dyDescent="0.25">
      <c r="K22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26" spans="11:11" x14ac:dyDescent="0.25">
      <c r="K22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27" spans="11:11" x14ac:dyDescent="0.25">
      <c r="K22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28" spans="11:11" x14ac:dyDescent="0.25">
      <c r="K22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29" spans="11:11" x14ac:dyDescent="0.25">
      <c r="K22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30" spans="11:11" x14ac:dyDescent="0.25">
      <c r="K23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31" spans="11:11" x14ac:dyDescent="0.25">
      <c r="K23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32" spans="11:11" x14ac:dyDescent="0.25">
      <c r="K23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33" spans="11:11" x14ac:dyDescent="0.25">
      <c r="K23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34" spans="11:11" x14ac:dyDescent="0.25">
      <c r="K23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35" spans="11:11" x14ac:dyDescent="0.25">
      <c r="K23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36" spans="11:11" x14ac:dyDescent="0.25">
      <c r="K23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37" spans="11:11" x14ac:dyDescent="0.25">
      <c r="K23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38" spans="11:11" x14ac:dyDescent="0.25">
      <c r="K23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39" spans="11:11" x14ac:dyDescent="0.25">
      <c r="K23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40" spans="11:11" x14ac:dyDescent="0.25">
      <c r="K24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41" spans="11:11" x14ac:dyDescent="0.25">
      <c r="K24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42" spans="11:11" x14ac:dyDescent="0.25">
      <c r="K24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43" spans="11:11" x14ac:dyDescent="0.25">
      <c r="K24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44" spans="11:11" x14ac:dyDescent="0.25">
      <c r="K24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45" spans="11:11" x14ac:dyDescent="0.25">
      <c r="K24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46" spans="11:11" x14ac:dyDescent="0.25">
      <c r="K24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47" spans="11:11" x14ac:dyDescent="0.25">
      <c r="K24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48" spans="11:11" x14ac:dyDescent="0.25">
      <c r="K24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49" spans="11:11" x14ac:dyDescent="0.25">
      <c r="K24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50" spans="11:11" x14ac:dyDescent="0.25">
      <c r="K25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51" spans="11:11" x14ac:dyDescent="0.25">
      <c r="K25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52" spans="11:11" x14ac:dyDescent="0.25">
      <c r="K25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53" spans="11:11" x14ac:dyDescent="0.25">
      <c r="K25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54" spans="11:11" x14ac:dyDescent="0.25">
      <c r="K25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55" spans="11:11" x14ac:dyDescent="0.25">
      <c r="K25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56" spans="11:11" x14ac:dyDescent="0.25">
      <c r="K25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57" spans="11:11" x14ac:dyDescent="0.25">
      <c r="K25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58" spans="11:11" x14ac:dyDescent="0.25">
      <c r="K25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59" spans="11:11" x14ac:dyDescent="0.25">
      <c r="K25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60" spans="11:11" x14ac:dyDescent="0.25">
      <c r="K26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61" spans="11:11" x14ac:dyDescent="0.25">
      <c r="K26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62" spans="11:11" x14ac:dyDescent="0.25">
      <c r="K26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63" spans="11:11" x14ac:dyDescent="0.25">
      <c r="K26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64" spans="11:11" x14ac:dyDescent="0.25">
      <c r="K26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65" spans="11:11" x14ac:dyDescent="0.25">
      <c r="K26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66" spans="11:11" x14ac:dyDescent="0.25">
      <c r="K26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67" spans="11:11" x14ac:dyDescent="0.25">
      <c r="K26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68" spans="11:11" x14ac:dyDescent="0.25">
      <c r="K26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69" spans="11:11" x14ac:dyDescent="0.25">
      <c r="K26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70" spans="11:11" x14ac:dyDescent="0.25">
      <c r="K27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71" spans="11:11" x14ac:dyDescent="0.25">
      <c r="K27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72" spans="11:11" x14ac:dyDescent="0.25">
      <c r="K27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73" spans="11:11" x14ac:dyDescent="0.25">
      <c r="K27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74" spans="11:11" x14ac:dyDescent="0.25">
      <c r="K27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75" spans="11:11" x14ac:dyDescent="0.25">
      <c r="K27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76" spans="11:11" x14ac:dyDescent="0.25">
      <c r="K27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77" spans="11:11" x14ac:dyDescent="0.25">
      <c r="K27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78" spans="11:11" x14ac:dyDescent="0.25">
      <c r="K27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79" spans="11:11" x14ac:dyDescent="0.25">
      <c r="K27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80" spans="11:11" x14ac:dyDescent="0.25">
      <c r="K28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81" spans="11:11" x14ac:dyDescent="0.25">
      <c r="K28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82" spans="11:11" x14ac:dyDescent="0.25">
      <c r="K28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83" spans="11:11" x14ac:dyDescent="0.25">
      <c r="K28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84" spans="11:11" x14ac:dyDescent="0.25">
      <c r="K28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85" spans="11:11" x14ac:dyDescent="0.25">
      <c r="K28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86" spans="11:11" x14ac:dyDescent="0.25">
      <c r="K28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87" spans="11:11" x14ac:dyDescent="0.25">
      <c r="K28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88" spans="11:11" x14ac:dyDescent="0.25">
      <c r="K28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89" spans="11:11" x14ac:dyDescent="0.25">
      <c r="K28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90" spans="11:11" x14ac:dyDescent="0.25">
      <c r="K29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91" spans="11:11" x14ac:dyDescent="0.25">
      <c r="K29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92" spans="11:11" x14ac:dyDescent="0.25">
      <c r="K29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93" spans="11:11" x14ac:dyDescent="0.25">
      <c r="K29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94" spans="11:11" x14ac:dyDescent="0.25">
      <c r="K29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95" spans="11:11" x14ac:dyDescent="0.25">
      <c r="K29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96" spans="11:11" x14ac:dyDescent="0.25">
      <c r="K29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97" spans="11:11" x14ac:dyDescent="0.25">
      <c r="K29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98" spans="11:11" x14ac:dyDescent="0.25">
      <c r="K29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99" spans="11:11" x14ac:dyDescent="0.25">
      <c r="K29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00" spans="11:11" x14ac:dyDescent="0.25">
      <c r="K30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01" spans="11:11" x14ac:dyDescent="0.25">
      <c r="K30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02" spans="11:11" x14ac:dyDescent="0.25">
      <c r="K30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03" spans="11:11" x14ac:dyDescent="0.25">
      <c r="K30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04" spans="11:11" x14ac:dyDescent="0.25">
      <c r="K30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05" spans="11:11" x14ac:dyDescent="0.25">
      <c r="K30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06" spans="11:11" x14ac:dyDescent="0.25">
      <c r="K30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07" spans="11:11" x14ac:dyDescent="0.25">
      <c r="K30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08" spans="11:11" x14ac:dyDescent="0.25">
      <c r="K30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09" spans="11:11" x14ac:dyDescent="0.25">
      <c r="K30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10" spans="11:11" x14ac:dyDescent="0.25">
      <c r="K31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11" spans="11:11" x14ac:dyDescent="0.25">
      <c r="K31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12" spans="11:11" x14ac:dyDescent="0.25">
      <c r="K31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13" spans="11:11" x14ac:dyDescent="0.25">
      <c r="K31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14" spans="11:11" x14ac:dyDescent="0.25">
      <c r="K31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15" spans="11:11" x14ac:dyDescent="0.25">
      <c r="K31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16" spans="11:11" x14ac:dyDescent="0.25">
      <c r="K31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17" spans="11:11" x14ac:dyDescent="0.25">
      <c r="K31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18" spans="11:11" x14ac:dyDescent="0.25">
      <c r="K31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19" spans="11:11" x14ac:dyDescent="0.25">
      <c r="K31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20" spans="11:11" x14ac:dyDescent="0.25">
      <c r="K32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21" spans="11:11" x14ac:dyDescent="0.25">
      <c r="K32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22" spans="11:11" x14ac:dyDescent="0.25">
      <c r="K32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23" spans="11:11" x14ac:dyDescent="0.25">
      <c r="K32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24" spans="11:11" x14ac:dyDescent="0.25">
      <c r="K32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25" spans="11:11" x14ac:dyDescent="0.25">
      <c r="K32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26" spans="11:11" x14ac:dyDescent="0.25">
      <c r="K32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27" spans="11:11" x14ac:dyDescent="0.25">
      <c r="K32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28" spans="11:11" x14ac:dyDescent="0.25">
      <c r="K32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29" spans="11:11" x14ac:dyDescent="0.25">
      <c r="K32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30" spans="11:11" x14ac:dyDescent="0.25">
      <c r="K33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31" spans="11:11" x14ac:dyDescent="0.25">
      <c r="K33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32" spans="11:11" x14ac:dyDescent="0.25">
      <c r="K33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33" spans="11:11" x14ac:dyDescent="0.25">
      <c r="K33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34" spans="11:11" x14ac:dyDescent="0.25">
      <c r="K33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35" spans="11:11" x14ac:dyDescent="0.25">
      <c r="K33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36" spans="11:11" x14ac:dyDescent="0.25">
      <c r="K33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37" spans="11:11" x14ac:dyDescent="0.25">
      <c r="K33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38" spans="11:11" x14ac:dyDescent="0.25">
      <c r="K33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39" spans="11:11" x14ac:dyDescent="0.25">
      <c r="K33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40" spans="11:11" x14ac:dyDescent="0.25">
      <c r="K34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41" spans="11:11" x14ac:dyDescent="0.25">
      <c r="K34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42" spans="11:11" x14ac:dyDescent="0.25">
      <c r="K34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43" spans="11:11" x14ac:dyDescent="0.25">
      <c r="K34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44" spans="11:11" x14ac:dyDescent="0.25">
      <c r="K34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45" spans="11:11" x14ac:dyDescent="0.25">
      <c r="K34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46" spans="11:11" x14ac:dyDescent="0.25">
      <c r="K34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47" spans="11:11" x14ac:dyDescent="0.25">
      <c r="K34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48" spans="11:11" x14ac:dyDescent="0.25">
      <c r="K34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49" spans="11:11" x14ac:dyDescent="0.25">
      <c r="K34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50" spans="11:11" x14ac:dyDescent="0.25">
      <c r="K35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51" spans="11:11" x14ac:dyDescent="0.25">
      <c r="K35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52" spans="11:11" x14ac:dyDescent="0.25">
      <c r="K35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53" spans="11:11" x14ac:dyDescent="0.25">
      <c r="K35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54" spans="11:11" x14ac:dyDescent="0.25">
      <c r="K35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55" spans="11:11" x14ac:dyDescent="0.25">
      <c r="K35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56" spans="11:11" x14ac:dyDescent="0.25">
      <c r="K35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57" spans="11:11" x14ac:dyDescent="0.25">
      <c r="K35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58" spans="11:11" x14ac:dyDescent="0.25">
      <c r="K35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59" spans="11:11" x14ac:dyDescent="0.25">
      <c r="K35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60" spans="11:11" x14ac:dyDescent="0.25">
      <c r="K36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61" spans="11:11" x14ac:dyDescent="0.25">
      <c r="K36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62" spans="11:11" x14ac:dyDescent="0.25">
      <c r="K36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63" spans="11:11" x14ac:dyDescent="0.25">
      <c r="K36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64" spans="11:11" x14ac:dyDescent="0.25">
      <c r="K36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65" spans="11:11" x14ac:dyDescent="0.25">
      <c r="K36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66" spans="11:11" x14ac:dyDescent="0.25">
      <c r="K36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67" spans="11:11" x14ac:dyDescent="0.25">
      <c r="K36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68" spans="11:11" x14ac:dyDescent="0.25">
      <c r="K36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69" spans="11:11" x14ac:dyDescent="0.25">
      <c r="K36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70" spans="11:11" x14ac:dyDescent="0.25">
      <c r="K37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71" spans="11:11" x14ac:dyDescent="0.25">
      <c r="K37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72" spans="11:11" x14ac:dyDescent="0.25">
      <c r="K37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73" spans="11:11" x14ac:dyDescent="0.25">
      <c r="K37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74" spans="11:11" x14ac:dyDescent="0.25">
      <c r="K37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75" spans="11:11" x14ac:dyDescent="0.25">
      <c r="K37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76" spans="11:11" x14ac:dyDescent="0.25">
      <c r="K37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77" spans="11:11" x14ac:dyDescent="0.25">
      <c r="K37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78" spans="11:11" x14ac:dyDescent="0.25">
      <c r="K37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79" spans="11:11" x14ac:dyDescent="0.25">
      <c r="K37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80" spans="11:11" x14ac:dyDescent="0.25">
      <c r="K38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81" spans="11:11" x14ac:dyDescent="0.25">
      <c r="K38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82" spans="11:11" x14ac:dyDescent="0.25">
      <c r="K38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83" spans="11:11" x14ac:dyDescent="0.25">
      <c r="K38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84" spans="11:11" x14ac:dyDescent="0.25">
      <c r="K38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85" spans="11:11" x14ac:dyDescent="0.25">
      <c r="K38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86" spans="11:11" x14ac:dyDescent="0.25">
      <c r="K38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87" spans="11:11" x14ac:dyDescent="0.25">
      <c r="K38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88" spans="11:11" x14ac:dyDescent="0.25">
      <c r="K38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89" spans="11:11" x14ac:dyDescent="0.25">
      <c r="K38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90" spans="11:11" x14ac:dyDescent="0.25">
      <c r="K39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91" spans="11:11" x14ac:dyDescent="0.25">
      <c r="K39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92" spans="11:11" x14ac:dyDescent="0.25">
      <c r="K39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93" spans="11:11" x14ac:dyDescent="0.25">
      <c r="K39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94" spans="11:11" x14ac:dyDescent="0.25">
      <c r="K39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95" spans="11:11" x14ac:dyDescent="0.25">
      <c r="K39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96" spans="11:11" x14ac:dyDescent="0.25">
      <c r="K39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97" spans="11:11" x14ac:dyDescent="0.25">
      <c r="K39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98" spans="11:11" x14ac:dyDescent="0.25">
      <c r="K39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99" spans="11:11" x14ac:dyDescent="0.25">
      <c r="K39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00" spans="11:11" x14ac:dyDescent="0.25">
      <c r="K40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01" spans="11:11" x14ac:dyDescent="0.25">
      <c r="K40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02" spans="11:11" x14ac:dyDescent="0.25">
      <c r="K40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03" spans="11:11" x14ac:dyDescent="0.25">
      <c r="K40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04" spans="11:11" x14ac:dyDescent="0.25">
      <c r="K40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05" spans="11:11" x14ac:dyDescent="0.25">
      <c r="K40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06" spans="11:11" x14ac:dyDescent="0.25">
      <c r="K40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07" spans="11:11" x14ac:dyDescent="0.25">
      <c r="K40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08" spans="11:11" x14ac:dyDescent="0.25">
      <c r="K40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09" spans="11:11" x14ac:dyDescent="0.25">
      <c r="K40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10" spans="11:11" x14ac:dyDescent="0.25">
      <c r="K41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11" spans="11:11" x14ac:dyDescent="0.25">
      <c r="K41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12" spans="11:11" x14ac:dyDescent="0.25">
      <c r="K41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13" spans="11:11" x14ac:dyDescent="0.25">
      <c r="K41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14" spans="11:11" x14ac:dyDescent="0.25">
      <c r="K41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15" spans="11:11" x14ac:dyDescent="0.25">
      <c r="K41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16" spans="11:11" x14ac:dyDescent="0.25">
      <c r="K41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17" spans="11:11" x14ac:dyDescent="0.25">
      <c r="K41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18" spans="11:11" x14ac:dyDescent="0.25">
      <c r="K41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19" spans="11:11" x14ac:dyDescent="0.25">
      <c r="K41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20" spans="11:11" x14ac:dyDescent="0.25">
      <c r="K42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21" spans="11:11" x14ac:dyDescent="0.25">
      <c r="K42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22" spans="11:11" x14ac:dyDescent="0.25">
      <c r="K42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23" spans="11:11" x14ac:dyDescent="0.25">
      <c r="K42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24" spans="11:11" x14ac:dyDescent="0.25">
      <c r="K42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25" spans="11:11" x14ac:dyDescent="0.25">
      <c r="K42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26" spans="11:11" x14ac:dyDescent="0.25">
      <c r="K42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27" spans="11:11" x14ac:dyDescent="0.25">
      <c r="K42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28" spans="11:11" x14ac:dyDescent="0.25">
      <c r="K42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29" spans="11:11" x14ac:dyDescent="0.25">
      <c r="K42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30" spans="11:11" x14ac:dyDescent="0.25">
      <c r="K43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31" spans="11:11" x14ac:dyDescent="0.25">
      <c r="K43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32" spans="11:11" x14ac:dyDescent="0.25">
      <c r="K43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33" spans="11:11" x14ac:dyDescent="0.25">
      <c r="K43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34" spans="11:11" x14ac:dyDescent="0.25">
      <c r="K43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35" spans="11:11" x14ac:dyDescent="0.25">
      <c r="K43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36" spans="11:11" x14ac:dyDescent="0.25">
      <c r="K43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37" spans="11:11" x14ac:dyDescent="0.25">
      <c r="K43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38" spans="11:11" x14ac:dyDescent="0.25">
      <c r="K43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39" spans="11:11" x14ac:dyDescent="0.25">
      <c r="K43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40" spans="11:11" x14ac:dyDescent="0.25">
      <c r="K44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41" spans="11:11" x14ac:dyDescent="0.25">
      <c r="K44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42" spans="11:11" x14ac:dyDescent="0.25">
      <c r="K44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43" spans="11:11" x14ac:dyDescent="0.25">
      <c r="K44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44" spans="11:11" x14ac:dyDescent="0.25">
      <c r="K44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45" spans="11:11" x14ac:dyDescent="0.25">
      <c r="K44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46" spans="11:11" x14ac:dyDescent="0.25">
      <c r="K44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47" spans="11:11" x14ac:dyDescent="0.25">
      <c r="K44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48" spans="11:11" x14ac:dyDescent="0.25">
      <c r="K44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49" spans="11:11" x14ac:dyDescent="0.25">
      <c r="K44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50" spans="11:11" x14ac:dyDescent="0.25">
      <c r="K45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51" spans="11:11" x14ac:dyDescent="0.25">
      <c r="K45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52" spans="11:11" x14ac:dyDescent="0.25">
      <c r="K45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53" spans="11:11" x14ac:dyDescent="0.25">
      <c r="K45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54" spans="11:11" x14ac:dyDescent="0.25">
      <c r="K45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55" spans="11:11" x14ac:dyDescent="0.25">
      <c r="K45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56" spans="11:11" x14ac:dyDescent="0.25">
      <c r="K45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57" spans="11:11" x14ac:dyDescent="0.25">
      <c r="K45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58" spans="11:11" x14ac:dyDescent="0.25">
      <c r="K45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59" spans="11:11" x14ac:dyDescent="0.25">
      <c r="K45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60" spans="11:11" x14ac:dyDescent="0.25">
      <c r="K46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61" spans="11:11" x14ac:dyDescent="0.25">
      <c r="K46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62" spans="11:11" x14ac:dyDescent="0.25">
      <c r="K46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63" spans="11:11" x14ac:dyDescent="0.25">
      <c r="K46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64" spans="11:11" x14ac:dyDescent="0.25">
      <c r="K46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65" spans="11:11" x14ac:dyDescent="0.25">
      <c r="K46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66" spans="11:11" x14ac:dyDescent="0.25">
      <c r="K46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67" spans="11:11" x14ac:dyDescent="0.25">
      <c r="K46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68" spans="11:11" x14ac:dyDescent="0.25">
      <c r="K46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69" spans="11:11" x14ac:dyDescent="0.25">
      <c r="K46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70" spans="11:11" x14ac:dyDescent="0.25">
      <c r="K47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71" spans="11:11" x14ac:dyDescent="0.25">
      <c r="K47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72" spans="11:11" x14ac:dyDescent="0.25">
      <c r="K47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73" spans="11:11" x14ac:dyDescent="0.25">
      <c r="K47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74" spans="11:11" x14ac:dyDescent="0.25">
      <c r="K47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75" spans="11:11" x14ac:dyDescent="0.25">
      <c r="K47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76" spans="11:11" x14ac:dyDescent="0.25">
      <c r="K47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77" spans="11:11" x14ac:dyDescent="0.25">
      <c r="K47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78" spans="11:11" x14ac:dyDescent="0.25">
      <c r="K47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79" spans="11:11" x14ac:dyDescent="0.25">
      <c r="K47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80" spans="11:11" x14ac:dyDescent="0.25">
      <c r="K48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81" spans="11:11" x14ac:dyDescent="0.25">
      <c r="K48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82" spans="11:11" x14ac:dyDescent="0.25">
      <c r="K48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83" spans="11:11" x14ac:dyDescent="0.25">
      <c r="K48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84" spans="11:11" x14ac:dyDescent="0.25">
      <c r="K48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85" spans="11:11" x14ac:dyDescent="0.25">
      <c r="K48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86" spans="11:11" x14ac:dyDescent="0.25">
      <c r="K48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87" spans="11:11" x14ac:dyDescent="0.25">
      <c r="K48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88" spans="11:11" x14ac:dyDescent="0.25">
      <c r="K48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89" spans="11:11" x14ac:dyDescent="0.25">
      <c r="K48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90" spans="11:11" x14ac:dyDescent="0.25">
      <c r="K49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91" spans="11:11" x14ac:dyDescent="0.25">
      <c r="K49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92" spans="11:11" x14ac:dyDescent="0.25">
      <c r="K49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93" spans="11:11" x14ac:dyDescent="0.25">
      <c r="K49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94" spans="11:11" x14ac:dyDescent="0.25">
      <c r="K49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95" spans="11:11" x14ac:dyDescent="0.25">
      <c r="K49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96" spans="11:11" x14ac:dyDescent="0.25">
      <c r="K49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97" spans="11:11" x14ac:dyDescent="0.25">
      <c r="K49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98" spans="11:11" x14ac:dyDescent="0.25">
      <c r="K49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99" spans="11:11" x14ac:dyDescent="0.25">
      <c r="K49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00" spans="11:11" x14ac:dyDescent="0.25">
      <c r="K50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01" spans="11:11" x14ac:dyDescent="0.25">
      <c r="K50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02" spans="11:11" x14ac:dyDescent="0.25">
      <c r="K50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03" spans="11:11" x14ac:dyDescent="0.25">
      <c r="K50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04" spans="11:11" x14ac:dyDescent="0.25">
      <c r="K50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05" spans="11:11" x14ac:dyDescent="0.25">
      <c r="K50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06" spans="11:11" x14ac:dyDescent="0.25">
      <c r="K50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07" spans="11:11" x14ac:dyDescent="0.25">
      <c r="K50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08" spans="11:11" x14ac:dyDescent="0.25">
      <c r="K50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09" spans="11:11" x14ac:dyDescent="0.25">
      <c r="K50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10" spans="11:11" x14ac:dyDescent="0.25">
      <c r="K51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11" spans="11:11" x14ac:dyDescent="0.25">
      <c r="K51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12" spans="11:11" x14ac:dyDescent="0.25">
      <c r="K51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13" spans="11:11" x14ac:dyDescent="0.25">
      <c r="K51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14" spans="11:11" x14ac:dyDescent="0.25">
      <c r="K51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15" spans="11:11" x14ac:dyDescent="0.25">
      <c r="K51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16" spans="11:11" x14ac:dyDescent="0.25">
      <c r="K51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17" spans="11:11" x14ac:dyDescent="0.25">
      <c r="K51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18" spans="11:11" x14ac:dyDescent="0.25">
      <c r="K51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19" spans="11:11" x14ac:dyDescent="0.25">
      <c r="K51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20" spans="11:11" x14ac:dyDescent="0.25">
      <c r="K52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21" spans="11:11" x14ac:dyDescent="0.25">
      <c r="K52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22" spans="11:11" x14ac:dyDescent="0.25">
      <c r="K52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23" spans="11:11" x14ac:dyDescent="0.25">
      <c r="K52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24" spans="11:11" x14ac:dyDescent="0.25">
      <c r="K52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25" spans="11:11" x14ac:dyDescent="0.25">
      <c r="K52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26" spans="11:11" x14ac:dyDescent="0.25">
      <c r="K52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27" spans="11:11" x14ac:dyDescent="0.25">
      <c r="K52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28" spans="11:11" x14ac:dyDescent="0.25">
      <c r="K52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29" spans="11:11" x14ac:dyDescent="0.25">
      <c r="K52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30" spans="11:11" x14ac:dyDescent="0.25">
      <c r="K53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31" spans="11:11" x14ac:dyDescent="0.25">
      <c r="K53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32" spans="11:11" x14ac:dyDescent="0.25">
      <c r="K53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33" spans="11:11" x14ac:dyDescent="0.25">
      <c r="K53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34" spans="11:11" x14ac:dyDescent="0.25">
      <c r="K53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35" spans="11:11" x14ac:dyDescent="0.25">
      <c r="K53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36" spans="11:11" x14ac:dyDescent="0.25">
      <c r="K53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37" spans="11:11" x14ac:dyDescent="0.25">
      <c r="K53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38" spans="11:11" x14ac:dyDescent="0.25">
      <c r="K53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39" spans="11:11" x14ac:dyDescent="0.25">
      <c r="K53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40" spans="11:11" x14ac:dyDescent="0.25">
      <c r="K54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41" spans="11:11" x14ac:dyDescent="0.25">
      <c r="K54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42" spans="11:11" x14ac:dyDescent="0.25">
      <c r="K54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43" spans="11:11" x14ac:dyDescent="0.25">
      <c r="K54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44" spans="11:11" x14ac:dyDescent="0.25">
      <c r="K54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45" spans="11:11" x14ac:dyDescent="0.25">
      <c r="K54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46" spans="11:11" x14ac:dyDescent="0.25">
      <c r="K54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47" spans="11:11" x14ac:dyDescent="0.25">
      <c r="K54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48" spans="11:11" x14ac:dyDescent="0.25">
      <c r="K54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49" spans="11:11" x14ac:dyDescent="0.25">
      <c r="K54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50" spans="11:11" x14ac:dyDescent="0.25">
      <c r="K55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51" spans="11:11" x14ac:dyDescent="0.25">
      <c r="K55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52" spans="11:11" x14ac:dyDescent="0.25">
      <c r="K55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53" spans="11:11" x14ac:dyDescent="0.25">
      <c r="K55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54" spans="11:11" x14ac:dyDescent="0.25">
      <c r="K55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55" spans="11:11" x14ac:dyDescent="0.25">
      <c r="K55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56" spans="11:11" x14ac:dyDescent="0.25">
      <c r="K55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57" spans="11:11" x14ac:dyDescent="0.25">
      <c r="K55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58" spans="11:11" x14ac:dyDescent="0.25">
      <c r="K55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59" spans="11:11" x14ac:dyDescent="0.25">
      <c r="K55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60" spans="11:11" x14ac:dyDescent="0.25">
      <c r="K56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61" spans="11:11" x14ac:dyDescent="0.25">
      <c r="K56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62" spans="11:11" x14ac:dyDescent="0.25">
      <c r="K56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63" spans="11:11" x14ac:dyDescent="0.25">
      <c r="K56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64" spans="11:11" x14ac:dyDescent="0.25">
      <c r="K56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65" spans="11:11" x14ac:dyDescent="0.25">
      <c r="K56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66" spans="11:11" x14ac:dyDescent="0.25">
      <c r="K56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67" spans="11:11" x14ac:dyDescent="0.25">
      <c r="K56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68" spans="11:11" x14ac:dyDescent="0.25">
      <c r="K56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69" spans="11:11" x14ac:dyDescent="0.25">
      <c r="K56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70" spans="11:11" x14ac:dyDescent="0.25">
      <c r="K57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71" spans="11:11" x14ac:dyDescent="0.25">
      <c r="K57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72" spans="11:11" x14ac:dyDescent="0.25">
      <c r="K57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73" spans="11:11" x14ac:dyDescent="0.25">
      <c r="K57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74" spans="11:11" x14ac:dyDescent="0.25">
      <c r="K57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75" spans="11:11" x14ac:dyDescent="0.25">
      <c r="K57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76" spans="11:11" x14ac:dyDescent="0.25">
      <c r="K57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77" spans="11:11" x14ac:dyDescent="0.25">
      <c r="K57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78" spans="11:11" x14ac:dyDescent="0.25">
      <c r="K57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79" spans="11:11" x14ac:dyDescent="0.25">
      <c r="K57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80" spans="11:11" x14ac:dyDescent="0.25">
      <c r="K58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81" spans="11:11" x14ac:dyDescent="0.25">
      <c r="K58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82" spans="11:11" x14ac:dyDescent="0.25">
      <c r="K58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83" spans="11:11" x14ac:dyDescent="0.25">
      <c r="K58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84" spans="11:11" x14ac:dyDescent="0.25">
      <c r="K58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85" spans="11:11" x14ac:dyDescent="0.25">
      <c r="K58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86" spans="11:11" x14ac:dyDescent="0.25">
      <c r="K58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87" spans="11:11" x14ac:dyDescent="0.25">
      <c r="K58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88" spans="11:11" x14ac:dyDescent="0.25">
      <c r="K58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89" spans="11:11" x14ac:dyDescent="0.25">
      <c r="K58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90" spans="11:11" x14ac:dyDescent="0.25">
      <c r="K59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91" spans="11:11" x14ac:dyDescent="0.25">
      <c r="K59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92" spans="11:11" x14ac:dyDescent="0.25">
      <c r="K59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93" spans="11:11" x14ac:dyDescent="0.25">
      <c r="K59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94" spans="11:11" x14ac:dyDescent="0.25">
      <c r="K59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95" spans="11:11" x14ac:dyDescent="0.25">
      <c r="K59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96" spans="11:11" x14ac:dyDescent="0.25">
      <c r="K59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97" spans="11:11" x14ac:dyDescent="0.25">
      <c r="K59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98" spans="11:11" x14ac:dyDescent="0.25">
      <c r="K59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99" spans="11:11" x14ac:dyDescent="0.25">
      <c r="K59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00" spans="11:11" x14ac:dyDescent="0.25">
      <c r="K60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01" spans="11:11" x14ac:dyDescent="0.25">
      <c r="K60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02" spans="11:11" x14ac:dyDescent="0.25">
      <c r="K60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03" spans="11:11" x14ac:dyDescent="0.25">
      <c r="K60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04" spans="11:11" x14ac:dyDescent="0.25">
      <c r="K60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05" spans="11:11" x14ac:dyDescent="0.25">
      <c r="K60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06" spans="11:11" x14ac:dyDescent="0.25">
      <c r="K60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07" spans="11:11" x14ac:dyDescent="0.25">
      <c r="K60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08" spans="11:11" x14ac:dyDescent="0.25">
      <c r="K60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09" spans="11:11" x14ac:dyDescent="0.25">
      <c r="K60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10" spans="11:11" x14ac:dyDescent="0.25">
      <c r="K61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11" spans="11:11" x14ac:dyDescent="0.25">
      <c r="K61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12" spans="11:11" x14ac:dyDescent="0.25">
      <c r="K61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13" spans="11:11" x14ac:dyDescent="0.25">
      <c r="K61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14" spans="11:11" x14ac:dyDescent="0.25">
      <c r="K61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15" spans="11:11" x14ac:dyDescent="0.25">
      <c r="K61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16" spans="11:11" x14ac:dyDescent="0.25">
      <c r="K61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17" spans="11:11" x14ac:dyDescent="0.25">
      <c r="K61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18" spans="11:11" x14ac:dyDescent="0.25">
      <c r="K61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19" spans="11:11" x14ac:dyDescent="0.25">
      <c r="K61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20" spans="11:11" x14ac:dyDescent="0.25">
      <c r="K62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21" spans="11:11" x14ac:dyDescent="0.25">
      <c r="K62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22" spans="11:11" x14ac:dyDescent="0.25">
      <c r="K62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23" spans="11:11" x14ac:dyDescent="0.25">
      <c r="K62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24" spans="11:11" x14ac:dyDescent="0.25">
      <c r="K62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25" spans="11:11" x14ac:dyDescent="0.25">
      <c r="K62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26" spans="11:11" x14ac:dyDescent="0.25">
      <c r="K62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27" spans="11:11" x14ac:dyDescent="0.25">
      <c r="K62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28" spans="11:11" x14ac:dyDescent="0.25">
      <c r="K62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29" spans="11:11" x14ac:dyDescent="0.25">
      <c r="K62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30" spans="11:11" x14ac:dyDescent="0.25">
      <c r="K63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31" spans="11:11" x14ac:dyDescent="0.25">
      <c r="K63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32" spans="11:11" x14ac:dyDescent="0.25">
      <c r="K63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33" spans="11:11" x14ac:dyDescent="0.25">
      <c r="K63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34" spans="11:11" x14ac:dyDescent="0.25">
      <c r="K63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35" spans="11:11" x14ac:dyDescent="0.25">
      <c r="K63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36" spans="11:11" x14ac:dyDescent="0.25">
      <c r="K63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37" spans="11:11" x14ac:dyDescent="0.25">
      <c r="K63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38" spans="11:11" x14ac:dyDescent="0.25">
      <c r="K63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39" spans="11:11" x14ac:dyDescent="0.25">
      <c r="K63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40" spans="11:11" x14ac:dyDescent="0.25">
      <c r="K64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41" spans="11:11" x14ac:dyDescent="0.25">
      <c r="K64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42" spans="11:11" x14ac:dyDescent="0.25">
      <c r="K64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43" spans="11:11" x14ac:dyDescent="0.25">
      <c r="K64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44" spans="11:11" x14ac:dyDescent="0.25">
      <c r="K64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45" spans="11:11" x14ac:dyDescent="0.25">
      <c r="K64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46" spans="11:11" x14ac:dyDescent="0.25">
      <c r="K64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47" spans="11:11" x14ac:dyDescent="0.25">
      <c r="K64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48" spans="11:11" x14ac:dyDescent="0.25">
      <c r="K64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49" spans="11:11" x14ac:dyDescent="0.25">
      <c r="K64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50" spans="11:11" x14ac:dyDescent="0.25">
      <c r="K65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51" spans="11:11" x14ac:dyDescent="0.25">
      <c r="K65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52" spans="11:11" x14ac:dyDescent="0.25">
      <c r="K65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53" spans="11:11" x14ac:dyDescent="0.25">
      <c r="K65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54" spans="11:11" x14ac:dyDescent="0.25">
      <c r="K65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55" spans="11:11" x14ac:dyDescent="0.25">
      <c r="K65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56" spans="11:11" x14ac:dyDescent="0.25">
      <c r="K65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57" spans="11:11" x14ac:dyDescent="0.25">
      <c r="K65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58" spans="11:11" x14ac:dyDescent="0.25">
      <c r="K65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59" spans="11:11" x14ac:dyDescent="0.25">
      <c r="K65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60" spans="11:11" x14ac:dyDescent="0.25">
      <c r="K66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61" spans="11:11" x14ac:dyDescent="0.25">
      <c r="K66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62" spans="11:11" x14ac:dyDescent="0.25">
      <c r="K66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63" spans="11:11" x14ac:dyDescent="0.25">
      <c r="K66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64" spans="11:11" x14ac:dyDescent="0.25">
      <c r="K66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65" spans="11:11" x14ac:dyDescent="0.25">
      <c r="K66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66" spans="11:11" x14ac:dyDescent="0.25">
      <c r="K66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67" spans="11:11" x14ac:dyDescent="0.25">
      <c r="K66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68" spans="11:11" x14ac:dyDescent="0.25">
      <c r="K66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69" spans="11:11" x14ac:dyDescent="0.25">
      <c r="K66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70" spans="11:11" x14ac:dyDescent="0.25">
      <c r="K67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71" spans="11:11" x14ac:dyDescent="0.25">
      <c r="K67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72" spans="11:11" x14ac:dyDescent="0.25">
      <c r="K67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73" spans="11:11" x14ac:dyDescent="0.25">
      <c r="K67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74" spans="11:11" x14ac:dyDescent="0.25">
      <c r="K67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75" spans="11:11" x14ac:dyDescent="0.25">
      <c r="K67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76" spans="11:11" x14ac:dyDescent="0.25">
      <c r="K67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77" spans="11:11" x14ac:dyDescent="0.25">
      <c r="K67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78" spans="11:11" x14ac:dyDescent="0.25">
      <c r="K67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79" spans="11:11" x14ac:dyDescent="0.25">
      <c r="K67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80" spans="11:11" x14ac:dyDescent="0.25">
      <c r="K68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81" spans="11:11" x14ac:dyDescent="0.25">
      <c r="K68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82" spans="11:11" x14ac:dyDescent="0.25">
      <c r="K68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83" spans="11:11" x14ac:dyDescent="0.25">
      <c r="K68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84" spans="11:11" x14ac:dyDescent="0.25">
      <c r="K68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85" spans="11:11" x14ac:dyDescent="0.25">
      <c r="K68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86" spans="11:11" x14ac:dyDescent="0.25">
      <c r="K68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87" spans="11:11" x14ac:dyDescent="0.25">
      <c r="K68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88" spans="11:11" x14ac:dyDescent="0.25">
      <c r="K68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89" spans="11:11" x14ac:dyDescent="0.25">
      <c r="K68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90" spans="11:11" x14ac:dyDescent="0.25">
      <c r="K69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91" spans="11:11" x14ac:dyDescent="0.25">
      <c r="K69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92" spans="11:11" x14ac:dyDescent="0.25">
      <c r="K69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93" spans="11:11" x14ac:dyDescent="0.25">
      <c r="K69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94" spans="11:11" x14ac:dyDescent="0.25">
      <c r="K69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95" spans="11:11" x14ac:dyDescent="0.25">
      <c r="K69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96" spans="11:11" x14ac:dyDescent="0.25">
      <c r="K69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97" spans="11:11" x14ac:dyDescent="0.25">
      <c r="K69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98" spans="11:11" x14ac:dyDescent="0.25">
      <c r="K69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99" spans="11:11" x14ac:dyDescent="0.25">
      <c r="K69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00" spans="11:11" x14ac:dyDescent="0.25">
      <c r="K70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01" spans="11:11" x14ac:dyDescent="0.25">
      <c r="K70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02" spans="11:11" x14ac:dyDescent="0.25">
      <c r="K70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03" spans="11:11" x14ac:dyDescent="0.25">
      <c r="K70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04" spans="11:11" x14ac:dyDescent="0.25">
      <c r="K70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05" spans="11:11" x14ac:dyDescent="0.25">
      <c r="K70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06" spans="11:11" x14ac:dyDescent="0.25">
      <c r="K70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07" spans="11:11" x14ac:dyDescent="0.25">
      <c r="K70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08" spans="11:11" x14ac:dyDescent="0.25">
      <c r="K70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09" spans="11:11" x14ac:dyDescent="0.25">
      <c r="K70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10" spans="11:11" x14ac:dyDescent="0.25">
      <c r="K71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11" spans="11:11" x14ac:dyDescent="0.25">
      <c r="K71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12" spans="11:11" x14ac:dyDescent="0.25">
      <c r="K71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13" spans="11:11" x14ac:dyDescent="0.25">
      <c r="K71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14" spans="11:11" x14ac:dyDescent="0.25">
      <c r="K71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15" spans="11:11" x14ac:dyDescent="0.25">
      <c r="K71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16" spans="11:11" x14ac:dyDescent="0.25">
      <c r="K71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17" spans="11:11" x14ac:dyDescent="0.25">
      <c r="K71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18" spans="11:11" x14ac:dyDescent="0.25">
      <c r="K71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19" spans="11:11" x14ac:dyDescent="0.25">
      <c r="K71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20" spans="11:11" x14ac:dyDescent="0.25">
      <c r="K72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21" spans="11:11" x14ac:dyDescent="0.25">
      <c r="K72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22" spans="11:11" x14ac:dyDescent="0.25">
      <c r="K72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23" spans="11:11" x14ac:dyDescent="0.25">
      <c r="K72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24" spans="11:11" x14ac:dyDescent="0.25">
      <c r="K72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25" spans="11:11" x14ac:dyDescent="0.25">
      <c r="K72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26" spans="11:11" x14ac:dyDescent="0.25">
      <c r="K72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27" spans="11:11" x14ac:dyDescent="0.25">
      <c r="K72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28" spans="11:11" x14ac:dyDescent="0.25">
      <c r="K72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29" spans="11:11" x14ac:dyDescent="0.25">
      <c r="K72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30" spans="11:11" x14ac:dyDescent="0.25">
      <c r="K73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31" spans="11:11" x14ac:dyDescent="0.25">
      <c r="K73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32" spans="11:11" x14ac:dyDescent="0.25">
      <c r="K73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33" spans="11:11" x14ac:dyDescent="0.25">
      <c r="K73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34" spans="11:11" x14ac:dyDescent="0.25">
      <c r="K73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35" spans="11:11" x14ac:dyDescent="0.25">
      <c r="K73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36" spans="11:11" x14ac:dyDescent="0.25">
      <c r="K73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37" spans="11:11" x14ac:dyDescent="0.25">
      <c r="K73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38" spans="11:11" x14ac:dyDescent="0.25">
      <c r="K73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39" spans="11:11" x14ac:dyDescent="0.25">
      <c r="K73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40" spans="11:11" x14ac:dyDescent="0.25">
      <c r="K74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41" spans="11:11" x14ac:dyDescent="0.25">
      <c r="K74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42" spans="11:11" x14ac:dyDescent="0.25">
      <c r="K74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43" spans="11:11" x14ac:dyDescent="0.25">
      <c r="K74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44" spans="11:11" x14ac:dyDescent="0.25">
      <c r="K74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45" spans="11:11" x14ac:dyDescent="0.25">
      <c r="K74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46" spans="11:11" x14ac:dyDescent="0.25">
      <c r="K74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47" spans="11:11" x14ac:dyDescent="0.25">
      <c r="K74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48" spans="11:11" x14ac:dyDescent="0.25">
      <c r="K74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49" spans="11:11" x14ac:dyDescent="0.25">
      <c r="K74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50" spans="11:11" x14ac:dyDescent="0.25">
      <c r="K75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51" spans="11:11" x14ac:dyDescent="0.25">
      <c r="K75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52" spans="11:11" x14ac:dyDescent="0.25">
      <c r="K75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53" spans="11:11" x14ac:dyDescent="0.25">
      <c r="K75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54" spans="11:11" x14ac:dyDescent="0.25">
      <c r="K75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55" spans="11:11" x14ac:dyDescent="0.25">
      <c r="K75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56" spans="11:11" x14ac:dyDescent="0.25">
      <c r="K75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57" spans="11:11" x14ac:dyDescent="0.25">
      <c r="K75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58" spans="11:11" x14ac:dyDescent="0.25">
      <c r="K75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59" spans="11:11" x14ac:dyDescent="0.25">
      <c r="K75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60" spans="11:11" x14ac:dyDescent="0.25">
      <c r="K76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61" spans="11:11" x14ac:dyDescent="0.25">
      <c r="K76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62" spans="11:11" x14ac:dyDescent="0.25">
      <c r="K76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63" spans="11:11" x14ac:dyDescent="0.25">
      <c r="K76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64" spans="11:11" x14ac:dyDescent="0.25">
      <c r="K76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65" spans="11:11" x14ac:dyDescent="0.25">
      <c r="K76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66" spans="11:11" x14ac:dyDescent="0.25">
      <c r="K76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67" spans="11:11" x14ac:dyDescent="0.25">
      <c r="K76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68" spans="11:11" x14ac:dyDescent="0.25">
      <c r="K76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69" spans="11:11" x14ac:dyDescent="0.25">
      <c r="K76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70" spans="11:11" x14ac:dyDescent="0.25">
      <c r="K77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71" spans="11:11" x14ac:dyDescent="0.25">
      <c r="K77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72" spans="11:11" x14ac:dyDescent="0.25">
      <c r="K77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73" spans="11:11" x14ac:dyDescent="0.25">
      <c r="K77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74" spans="11:11" x14ac:dyDescent="0.25">
      <c r="K77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75" spans="11:11" x14ac:dyDescent="0.25">
      <c r="K77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76" spans="11:11" x14ac:dyDescent="0.25">
      <c r="K77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77" spans="11:11" x14ac:dyDescent="0.25">
      <c r="K77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78" spans="11:11" x14ac:dyDescent="0.25">
      <c r="K77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79" spans="11:11" x14ac:dyDescent="0.25">
      <c r="K77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80" spans="11:11" x14ac:dyDescent="0.25">
      <c r="K78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81" spans="11:11" x14ac:dyDescent="0.25">
      <c r="K78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82" spans="11:11" x14ac:dyDescent="0.25">
      <c r="K78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83" spans="11:11" x14ac:dyDescent="0.25">
      <c r="K78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84" spans="11:11" x14ac:dyDescent="0.25">
      <c r="K78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85" spans="11:11" x14ac:dyDescent="0.25">
      <c r="K78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86" spans="11:11" x14ac:dyDescent="0.25">
      <c r="K78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87" spans="11:11" x14ac:dyDescent="0.25">
      <c r="K78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88" spans="11:11" x14ac:dyDescent="0.25">
      <c r="K78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89" spans="11:11" x14ac:dyDescent="0.25">
      <c r="K78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90" spans="11:11" x14ac:dyDescent="0.25">
      <c r="K79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91" spans="11:11" x14ac:dyDescent="0.25">
      <c r="K79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92" spans="11:11" x14ac:dyDescent="0.25">
      <c r="K79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93" spans="11:11" x14ac:dyDescent="0.25">
      <c r="K79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94" spans="11:11" x14ac:dyDescent="0.25">
      <c r="K79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95" spans="11:11" x14ac:dyDescent="0.25">
      <c r="K79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96" spans="11:11" x14ac:dyDescent="0.25">
      <c r="K79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97" spans="11:11" x14ac:dyDescent="0.25">
      <c r="K79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98" spans="11:11" x14ac:dyDescent="0.25">
      <c r="K79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99" spans="11:11" x14ac:dyDescent="0.25">
      <c r="K79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00" spans="11:11" x14ac:dyDescent="0.25">
      <c r="K80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01" spans="11:11" x14ac:dyDescent="0.25">
      <c r="K80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02" spans="11:11" x14ac:dyDescent="0.25">
      <c r="K80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03" spans="11:11" x14ac:dyDescent="0.25">
      <c r="K80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04" spans="11:11" x14ac:dyDescent="0.25">
      <c r="K80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05" spans="11:11" x14ac:dyDescent="0.25">
      <c r="K80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06" spans="11:11" x14ac:dyDescent="0.25">
      <c r="K80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07" spans="11:11" x14ac:dyDescent="0.25">
      <c r="K80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08" spans="11:11" x14ac:dyDescent="0.25">
      <c r="K80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09" spans="11:11" x14ac:dyDescent="0.25">
      <c r="K80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10" spans="11:11" x14ac:dyDescent="0.25">
      <c r="K81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11" spans="11:11" x14ac:dyDescent="0.25">
      <c r="K81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12" spans="11:11" x14ac:dyDescent="0.25">
      <c r="K81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13" spans="11:11" x14ac:dyDescent="0.25">
      <c r="K81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14" spans="11:11" x14ac:dyDescent="0.25">
      <c r="K81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15" spans="11:11" x14ac:dyDescent="0.25">
      <c r="K81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16" spans="11:11" x14ac:dyDescent="0.25">
      <c r="K81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17" spans="11:11" x14ac:dyDescent="0.25">
      <c r="K81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18" spans="11:11" x14ac:dyDescent="0.25">
      <c r="K81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19" spans="11:11" x14ac:dyDescent="0.25">
      <c r="K81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20" spans="11:11" x14ac:dyDescent="0.25">
      <c r="K82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21" spans="11:11" x14ac:dyDescent="0.25">
      <c r="K82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22" spans="11:11" x14ac:dyDescent="0.25">
      <c r="K82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23" spans="11:11" x14ac:dyDescent="0.25">
      <c r="K82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24" spans="11:11" x14ac:dyDescent="0.25">
      <c r="K82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25" spans="11:11" x14ac:dyDescent="0.25">
      <c r="K82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26" spans="11:11" x14ac:dyDescent="0.25">
      <c r="K82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27" spans="11:11" x14ac:dyDescent="0.25">
      <c r="K82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28" spans="11:11" x14ac:dyDescent="0.25">
      <c r="K82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29" spans="11:11" x14ac:dyDescent="0.25">
      <c r="K82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30" spans="11:11" x14ac:dyDescent="0.25">
      <c r="K83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31" spans="11:11" x14ac:dyDescent="0.25">
      <c r="K83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32" spans="11:11" x14ac:dyDescent="0.25">
      <c r="K83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33" spans="11:11" x14ac:dyDescent="0.25">
      <c r="K83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34" spans="11:11" x14ac:dyDescent="0.25">
      <c r="K83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35" spans="11:11" x14ac:dyDescent="0.25">
      <c r="K83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36" spans="11:11" x14ac:dyDescent="0.25">
      <c r="K83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37" spans="11:11" x14ac:dyDescent="0.25">
      <c r="K83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38" spans="11:11" x14ac:dyDescent="0.25">
      <c r="K83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39" spans="11:11" x14ac:dyDescent="0.25">
      <c r="K83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40" spans="11:11" x14ac:dyDescent="0.25">
      <c r="K84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41" spans="11:11" x14ac:dyDescent="0.25">
      <c r="K84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42" spans="11:11" x14ac:dyDescent="0.25">
      <c r="K84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43" spans="11:11" x14ac:dyDescent="0.25">
      <c r="K84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44" spans="11:11" x14ac:dyDescent="0.25">
      <c r="K84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45" spans="11:11" x14ac:dyDescent="0.25">
      <c r="K84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46" spans="11:11" x14ac:dyDescent="0.25">
      <c r="K84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47" spans="11:11" x14ac:dyDescent="0.25">
      <c r="K84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48" spans="11:11" x14ac:dyDescent="0.25">
      <c r="K84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49" spans="11:11" x14ac:dyDescent="0.25">
      <c r="K84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50" spans="11:11" x14ac:dyDescent="0.25">
      <c r="K85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51" spans="11:11" x14ac:dyDescent="0.25">
      <c r="K85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52" spans="11:11" x14ac:dyDescent="0.25">
      <c r="K85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53" spans="11:11" x14ac:dyDescent="0.25">
      <c r="K85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54" spans="11:11" x14ac:dyDescent="0.25">
      <c r="K85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55" spans="11:11" x14ac:dyDescent="0.25">
      <c r="K85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56" spans="11:11" x14ac:dyDescent="0.25">
      <c r="K85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57" spans="11:11" x14ac:dyDescent="0.25">
      <c r="K85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58" spans="11:11" x14ac:dyDescent="0.25">
      <c r="K85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59" spans="11:11" x14ac:dyDescent="0.25">
      <c r="K85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60" spans="11:11" x14ac:dyDescent="0.25">
      <c r="K86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61" spans="11:11" x14ac:dyDescent="0.25">
      <c r="K86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62" spans="11:11" x14ac:dyDescent="0.25">
      <c r="K86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63" spans="11:11" x14ac:dyDescent="0.25">
      <c r="K86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64" spans="11:11" x14ac:dyDescent="0.25">
      <c r="K86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65" spans="11:11" x14ac:dyDescent="0.25">
      <c r="K86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66" spans="11:11" x14ac:dyDescent="0.25">
      <c r="K86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67" spans="11:11" x14ac:dyDescent="0.25">
      <c r="K86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68" spans="11:11" x14ac:dyDescent="0.25">
      <c r="K86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69" spans="11:11" x14ac:dyDescent="0.25">
      <c r="K86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70" spans="11:11" x14ac:dyDescent="0.25">
      <c r="K87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71" spans="11:11" x14ac:dyDescent="0.25">
      <c r="K87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72" spans="11:11" x14ac:dyDescent="0.25">
      <c r="K87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73" spans="11:11" x14ac:dyDescent="0.25">
      <c r="K87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74" spans="11:11" x14ac:dyDescent="0.25">
      <c r="K87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75" spans="11:11" x14ac:dyDescent="0.25">
      <c r="K87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76" spans="11:11" x14ac:dyDescent="0.25">
      <c r="K87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77" spans="11:11" x14ac:dyDescent="0.25">
      <c r="K87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78" spans="11:11" x14ac:dyDescent="0.25">
      <c r="K87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79" spans="11:11" x14ac:dyDescent="0.25">
      <c r="K87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80" spans="11:11" x14ac:dyDescent="0.25">
      <c r="K88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81" spans="11:11" x14ac:dyDescent="0.25">
      <c r="K88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82" spans="11:11" x14ac:dyDescent="0.25">
      <c r="K88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83" spans="11:11" x14ac:dyDescent="0.25">
      <c r="K88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84" spans="11:11" x14ac:dyDescent="0.25">
      <c r="K88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85" spans="11:11" x14ac:dyDescent="0.25">
      <c r="K88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86" spans="11:11" x14ac:dyDescent="0.25">
      <c r="K88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87" spans="11:11" x14ac:dyDescent="0.25">
      <c r="K88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88" spans="11:11" x14ac:dyDescent="0.25">
      <c r="K88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89" spans="11:11" x14ac:dyDescent="0.25">
      <c r="K88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90" spans="11:11" x14ac:dyDescent="0.25">
      <c r="K89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91" spans="11:11" x14ac:dyDescent="0.25">
      <c r="K89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92" spans="11:11" x14ac:dyDescent="0.25">
      <c r="K89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93" spans="11:11" x14ac:dyDescent="0.25">
      <c r="K89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94" spans="11:11" x14ac:dyDescent="0.25">
      <c r="K89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95" spans="11:11" x14ac:dyDescent="0.25">
      <c r="K89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96" spans="11:11" x14ac:dyDescent="0.25">
      <c r="K89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97" spans="11:11" x14ac:dyDescent="0.25">
      <c r="K89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98" spans="11:11" x14ac:dyDescent="0.25">
      <c r="K89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99" spans="11:11" x14ac:dyDescent="0.25">
      <c r="K89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00" spans="11:11" x14ac:dyDescent="0.25">
      <c r="K90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01" spans="11:11" x14ac:dyDescent="0.25">
      <c r="K90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02" spans="11:11" x14ac:dyDescent="0.25">
      <c r="K90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03" spans="11:11" x14ac:dyDescent="0.25">
      <c r="K90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04" spans="11:11" x14ac:dyDescent="0.25">
      <c r="K90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05" spans="11:11" x14ac:dyDescent="0.25">
      <c r="K90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06" spans="11:11" x14ac:dyDescent="0.25">
      <c r="K90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07" spans="11:11" x14ac:dyDescent="0.25">
      <c r="K90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08" spans="11:11" x14ac:dyDescent="0.25">
      <c r="K90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09" spans="11:11" x14ac:dyDescent="0.25">
      <c r="K90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10" spans="11:11" x14ac:dyDescent="0.25">
      <c r="K91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11" spans="11:11" x14ac:dyDescent="0.25">
      <c r="K91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12" spans="11:11" x14ac:dyDescent="0.25">
      <c r="K91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13" spans="11:11" x14ac:dyDescent="0.25">
      <c r="K91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14" spans="11:11" x14ac:dyDescent="0.25">
      <c r="K91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15" spans="11:11" x14ac:dyDescent="0.25">
      <c r="K91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16" spans="11:11" x14ac:dyDescent="0.25">
      <c r="K91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17" spans="11:11" x14ac:dyDescent="0.25">
      <c r="K91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18" spans="11:11" x14ac:dyDescent="0.25">
      <c r="K91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19" spans="11:11" x14ac:dyDescent="0.25">
      <c r="K91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20" spans="11:11" x14ac:dyDescent="0.25">
      <c r="K92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21" spans="11:11" x14ac:dyDescent="0.25">
      <c r="K92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22" spans="11:11" x14ac:dyDescent="0.25">
      <c r="K92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23" spans="11:11" x14ac:dyDescent="0.25">
      <c r="K92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24" spans="11:11" x14ac:dyDescent="0.25">
      <c r="K92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25" spans="11:11" x14ac:dyDescent="0.25">
      <c r="K92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26" spans="11:11" x14ac:dyDescent="0.25">
      <c r="K92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27" spans="11:11" x14ac:dyDescent="0.25">
      <c r="K92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28" spans="11:11" x14ac:dyDescent="0.25">
      <c r="K92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29" spans="11:11" x14ac:dyDescent="0.25">
      <c r="K92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30" spans="11:11" x14ac:dyDescent="0.25">
      <c r="K93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31" spans="11:11" x14ac:dyDescent="0.25">
      <c r="K93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32" spans="11:11" x14ac:dyDescent="0.25">
      <c r="K93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33" spans="11:11" x14ac:dyDescent="0.25">
      <c r="K93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34" spans="11:11" x14ac:dyDescent="0.25">
      <c r="K93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35" spans="11:11" x14ac:dyDescent="0.25">
      <c r="K93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36" spans="11:11" x14ac:dyDescent="0.25">
      <c r="K93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37" spans="11:11" x14ac:dyDescent="0.25">
      <c r="K93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38" spans="11:11" x14ac:dyDescent="0.25">
      <c r="K93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39" spans="11:11" x14ac:dyDescent="0.25">
      <c r="K93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40" spans="11:11" x14ac:dyDescent="0.25">
      <c r="K94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41" spans="11:11" x14ac:dyDescent="0.25">
      <c r="K94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42" spans="11:11" x14ac:dyDescent="0.25">
      <c r="K94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43" spans="11:11" x14ac:dyDescent="0.25">
      <c r="K94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44" spans="11:11" x14ac:dyDescent="0.25">
      <c r="K94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45" spans="11:11" x14ac:dyDescent="0.25">
      <c r="K94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46" spans="11:11" x14ac:dyDescent="0.25">
      <c r="K94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47" spans="11:11" x14ac:dyDescent="0.25">
      <c r="K94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48" spans="11:11" x14ac:dyDescent="0.25">
      <c r="K94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49" spans="11:11" x14ac:dyDescent="0.25">
      <c r="K94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50" spans="11:11" x14ac:dyDescent="0.25">
      <c r="K95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51" spans="11:11" x14ac:dyDescent="0.25">
      <c r="K95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52" spans="11:11" x14ac:dyDescent="0.25">
      <c r="K95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53" spans="11:11" x14ac:dyDescent="0.25">
      <c r="K95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54" spans="11:11" x14ac:dyDescent="0.25">
      <c r="K95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55" spans="11:11" x14ac:dyDescent="0.25">
      <c r="K95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56" spans="11:11" x14ac:dyDescent="0.25">
      <c r="K95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57" spans="11:11" x14ac:dyDescent="0.25">
      <c r="K95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58" spans="11:11" x14ac:dyDescent="0.25">
      <c r="K95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59" spans="11:11" x14ac:dyDescent="0.25">
      <c r="K95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60" spans="11:11" x14ac:dyDescent="0.25">
      <c r="K96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61" spans="11:11" x14ac:dyDescent="0.25">
      <c r="K96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62" spans="11:11" x14ac:dyDescent="0.25">
      <c r="K96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63" spans="11:11" x14ac:dyDescent="0.25">
      <c r="K96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64" spans="11:11" x14ac:dyDescent="0.25">
      <c r="K96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65" spans="11:11" x14ac:dyDescent="0.25">
      <c r="K96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66" spans="11:11" x14ac:dyDescent="0.25">
      <c r="K96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67" spans="11:11" x14ac:dyDescent="0.25">
      <c r="K96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68" spans="11:11" x14ac:dyDescent="0.25">
      <c r="K96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69" spans="11:11" x14ac:dyDescent="0.25">
      <c r="K96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70" spans="11:11" x14ac:dyDescent="0.25">
      <c r="K97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71" spans="11:11" x14ac:dyDescent="0.25">
      <c r="K97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72" spans="11:11" x14ac:dyDescent="0.25">
      <c r="K97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73" spans="11:11" x14ac:dyDescent="0.25">
      <c r="K97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74" spans="11:11" x14ac:dyDescent="0.25">
      <c r="K97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75" spans="11:11" x14ac:dyDescent="0.25">
      <c r="K97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76" spans="11:11" x14ac:dyDescent="0.25">
      <c r="K97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77" spans="11:11" x14ac:dyDescent="0.25">
      <c r="K97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78" spans="11:11" x14ac:dyDescent="0.25">
      <c r="K97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79" spans="11:11" x14ac:dyDescent="0.25">
      <c r="K97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80" spans="11:11" x14ac:dyDescent="0.25">
      <c r="K98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81" spans="11:11" x14ac:dyDescent="0.25">
      <c r="K98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82" spans="11:11" x14ac:dyDescent="0.25">
      <c r="K98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83" spans="11:11" x14ac:dyDescent="0.25">
      <c r="K98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84" spans="11:11" x14ac:dyDescent="0.25">
      <c r="K98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85" spans="11:11" x14ac:dyDescent="0.25">
      <c r="K98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86" spans="11:11" x14ac:dyDescent="0.25">
      <c r="K98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87" spans="11:11" x14ac:dyDescent="0.25">
      <c r="K98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88" spans="11:11" x14ac:dyDescent="0.25">
      <c r="K98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89" spans="11:11" x14ac:dyDescent="0.25">
      <c r="K98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90" spans="11:11" x14ac:dyDescent="0.25">
      <c r="K99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91" spans="11:11" x14ac:dyDescent="0.25">
      <c r="K99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92" spans="11:11" x14ac:dyDescent="0.25">
      <c r="K99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93" spans="11:11" x14ac:dyDescent="0.25">
      <c r="K99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94" spans="11:11" x14ac:dyDescent="0.25">
      <c r="K99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95" spans="11:11" x14ac:dyDescent="0.25">
      <c r="K99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96" spans="11:11" x14ac:dyDescent="0.25">
      <c r="K99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97" spans="11:11" x14ac:dyDescent="0.25">
      <c r="K99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98" spans="11:11" x14ac:dyDescent="0.25">
      <c r="K99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99" spans="11:11" x14ac:dyDescent="0.25">
      <c r="K99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</sheetData>
  <pageMargins left="0.7" right="0.7" top="0.78740157499999996" bottom="0.78740157499999996" header="0.3" footer="0.3"/>
  <tableParts count="2">
    <tablePart r:id="rId1"/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S1499"/>
  <sheetViews>
    <sheetView workbookViewId="0">
      <selection activeCell="C5" sqref="C5"/>
    </sheetView>
  </sheetViews>
  <sheetFormatPr baseColWidth="10" defaultRowHeight="15" x14ac:dyDescent="0.25"/>
  <cols>
    <col min="1" max="1" width="24.5703125" customWidth="1"/>
    <col min="2" max="2" width="28.7109375" style="3" bestFit="1" customWidth="1"/>
    <col min="3" max="3" width="37.85546875" style="3" bestFit="1" customWidth="1"/>
    <col min="4" max="11" width="37.85546875" style="3" customWidth="1"/>
    <col min="13" max="13" width="25" customWidth="1"/>
    <col min="14" max="14" width="13.5703125" customWidth="1"/>
    <col min="15" max="15" width="17.28515625" customWidth="1"/>
    <col min="16" max="16" width="24.5703125" customWidth="1"/>
    <col min="17" max="17" width="27.42578125" bestFit="1" customWidth="1"/>
    <col min="18" max="18" width="17.140625" customWidth="1"/>
  </cols>
  <sheetData>
    <row r="1" spans="1:17" x14ac:dyDescent="0.25">
      <c r="A1" s="2" t="s">
        <v>18</v>
      </c>
      <c r="B1" s="3" t="s">
        <v>20</v>
      </c>
      <c r="C1" s="3" t="s">
        <v>833</v>
      </c>
      <c r="M1" s="27" t="s">
        <v>18</v>
      </c>
      <c r="N1" s="28" t="s">
        <v>11</v>
      </c>
      <c r="O1" s="28" t="s">
        <v>19</v>
      </c>
    </row>
    <row r="2" spans="1:17" x14ac:dyDescent="0.25">
      <c r="A2" s="4">
        <f>IFERROR(category_assignment_2[[#This Row],[category_assignment_id]],"")</f>
        <v>1</v>
      </c>
      <c r="B2" s="23" t="str">
        <f>IFERROR(VLOOKUP(category_assignment_2[[#This Row],[category_id]],#REF!,3,FALSE),"")</f>
        <v/>
      </c>
      <c r="C2" s="23" t="str">
        <f>IFERROR(VLOOKUP(category_assignment_2[[#This Row],[abbreviation_id]],abbreviation[],ColumnLanguage+1,FALSE),"")</f>
        <v/>
      </c>
      <c r="D2" s="23"/>
      <c r="E2" s="23"/>
      <c r="F2" s="23"/>
      <c r="G2" s="23"/>
      <c r="H2" s="23"/>
      <c r="I2" s="23"/>
      <c r="J2" s="23"/>
      <c r="K2" s="23"/>
      <c r="M2" s="18">
        <v>1</v>
      </c>
      <c r="N2" s="18">
        <v>1</v>
      </c>
      <c r="O2" s="18">
        <v>1</v>
      </c>
    </row>
    <row r="3" spans="1:17" x14ac:dyDescent="0.25">
      <c r="A3" s="4">
        <f>IFERROR(category_assignment_2[[#This Row],[category_assignment_id]],"")</f>
        <v>2</v>
      </c>
      <c r="B3" s="23" t="str">
        <f>IFERROR(VLOOKUP(category_assignment_2[[#This Row],[category_id]],#REF!,3,FALSE),"")</f>
        <v/>
      </c>
      <c r="C3" s="23" t="str">
        <f>IFERROR(VLOOKUP(category_assignment_2[[#This Row],[abbreviation_id]],abbreviation[],ColumnLanguage+1,FALSE),"")</f>
        <v>Anlage</v>
      </c>
      <c r="D3" s="23"/>
      <c r="E3" s="23"/>
      <c r="F3" s="23"/>
      <c r="G3" s="23"/>
      <c r="H3" s="23"/>
      <c r="I3" s="23"/>
      <c r="J3" s="23"/>
      <c r="K3" s="23"/>
      <c r="M3" s="18">
        <v>2</v>
      </c>
      <c r="N3" s="18">
        <v>1</v>
      </c>
      <c r="O3" s="18">
        <v>2</v>
      </c>
      <c r="Q3" s="2"/>
    </row>
    <row r="4" spans="1:17" x14ac:dyDescent="0.25">
      <c r="A4" s="4">
        <f>IFERROR(category_assignment_2[[#This Row],[category_assignment_id]],"")</f>
        <v>3</v>
      </c>
      <c r="B4" s="23" t="str">
        <f>IFERROR(VLOOKUP(category_assignment_2[[#This Row],[category_id]],#REF!,3,FALSE),"")</f>
        <v/>
      </c>
      <c r="C4" s="23" t="str">
        <f>IFERROR(VLOOKUP(category_assignment_2[[#This Row],[abbreviation_id]],abbreviation[],ColumnLanguage+1,FALSE),"")</f>
        <v>Betonkerntemperierung</v>
      </c>
      <c r="D4" s="23"/>
      <c r="E4" s="23"/>
      <c r="F4" s="23"/>
      <c r="G4" s="23"/>
      <c r="H4" s="23"/>
      <c r="I4" s="23"/>
      <c r="J4" s="23"/>
      <c r="K4" s="23"/>
      <c r="M4" s="18">
        <v>3</v>
      </c>
      <c r="N4" s="18">
        <v>1</v>
      </c>
      <c r="O4" s="18">
        <v>3</v>
      </c>
      <c r="Q4" s="2"/>
    </row>
    <row r="5" spans="1:17" x14ac:dyDescent="0.25">
      <c r="A5" s="4">
        <f>IFERROR(category_assignment_2[[#This Row],[category_assignment_id]],"")</f>
        <v>4</v>
      </c>
      <c r="B5" s="23" t="str">
        <f>IFERROR(VLOOKUP(category_assignment_2[[#This Row],[category_id]],#REF!,3,FALSE),"")</f>
        <v/>
      </c>
      <c r="C5" s="23" t="str">
        <f>IFERROR(VLOOKUP(category_assignment_2[[#This Row],[abbreviation_id]],abbreviation[],ColumnLanguage+1,FALSE),"")</f>
        <v>Blockheizkraftwerk (BHKW)</v>
      </c>
      <c r="D5" s="23"/>
      <c r="E5" s="23"/>
      <c r="F5" s="23"/>
      <c r="G5" s="23"/>
      <c r="H5" s="23"/>
      <c r="I5" s="23"/>
      <c r="J5" s="23"/>
      <c r="K5" s="23"/>
      <c r="M5" s="18">
        <v>4</v>
      </c>
      <c r="N5" s="18">
        <v>1</v>
      </c>
      <c r="O5" s="18">
        <v>4</v>
      </c>
      <c r="Q5" s="2"/>
    </row>
    <row r="6" spans="1:17" x14ac:dyDescent="0.25">
      <c r="A6" s="4">
        <f>IFERROR(category_assignment_2[[#This Row],[category_assignment_id]],"")</f>
        <v>5</v>
      </c>
      <c r="B6" s="23" t="str">
        <f>IFERROR(VLOOKUP(category_assignment_2[[#This Row],[category_id]],#REF!,3,FALSE),"")</f>
        <v/>
      </c>
      <c r="C6" s="23" t="str">
        <f>IFERROR(VLOOKUP(category_assignment_2[[#This Row],[abbreviation_id]],abbreviation[],ColumnLanguage+1,FALSE),"")</f>
        <v>Fernkälte</v>
      </c>
      <c r="D6" s="23"/>
      <c r="E6" s="23"/>
      <c r="F6" s="23"/>
      <c r="G6" s="23"/>
      <c r="H6" s="23"/>
      <c r="I6" s="23"/>
      <c r="J6" s="23"/>
      <c r="K6" s="23"/>
      <c r="M6" s="18">
        <v>5</v>
      </c>
      <c r="N6" s="18">
        <v>1</v>
      </c>
      <c r="O6" s="18">
        <v>5</v>
      </c>
      <c r="Q6" s="2"/>
    </row>
    <row r="7" spans="1:17" x14ac:dyDescent="0.25">
      <c r="A7" s="4">
        <f>IFERROR(category_assignment_2[[#This Row],[category_assignment_id]],"")</f>
        <v>6</v>
      </c>
      <c r="B7" s="23" t="str">
        <f>IFERROR(VLOOKUP(category_assignment_2[[#This Row],[category_id]],#REF!,3,FALSE),"")</f>
        <v/>
      </c>
      <c r="C7" s="23" t="str">
        <f>IFERROR(VLOOKUP(category_assignment_2[[#This Row],[abbreviation_id]],abbreviation[],ColumnLanguage+1,FALSE),"")</f>
        <v>Fernwärme</v>
      </c>
      <c r="D7" s="23"/>
      <c r="E7" s="23"/>
      <c r="F7" s="23"/>
      <c r="G7" s="23"/>
      <c r="H7" s="23"/>
      <c r="I7" s="23"/>
      <c r="J7" s="23"/>
      <c r="K7" s="23"/>
      <c r="M7" s="18">
        <v>6</v>
      </c>
      <c r="N7" s="18">
        <v>1</v>
      </c>
      <c r="O7" s="18">
        <v>6</v>
      </c>
      <c r="Q7" s="2"/>
    </row>
    <row r="8" spans="1:17" x14ac:dyDescent="0.25">
      <c r="A8" s="4">
        <f>IFERROR(category_assignment_2[[#This Row],[category_assignment_id]],"")</f>
        <v>7</v>
      </c>
      <c r="B8" s="23" t="str">
        <f>IFERROR(VLOOKUP(category_assignment_2[[#This Row],[category_id]],#REF!,3,FALSE),"")</f>
        <v/>
      </c>
      <c r="C8" s="23" t="str">
        <f>IFERROR(VLOOKUP(category_assignment_2[[#This Row],[abbreviation_id]],abbreviation[],ColumnLanguage+1,FALSE),"")</f>
        <v>Freie Kühlung</v>
      </c>
      <c r="D8" s="23"/>
      <c r="E8" s="23"/>
      <c r="F8" s="23"/>
      <c r="G8" s="23"/>
      <c r="H8" s="23"/>
      <c r="I8" s="23"/>
      <c r="J8" s="23"/>
      <c r="K8" s="23"/>
      <c r="M8" s="18">
        <v>7</v>
      </c>
      <c r="N8" s="18">
        <v>1</v>
      </c>
      <c r="O8" s="18">
        <v>7</v>
      </c>
      <c r="Q8" s="2"/>
    </row>
    <row r="9" spans="1:17" x14ac:dyDescent="0.25">
      <c r="A9" s="4">
        <f>IFERROR(category_assignment_2[[#This Row],[category_assignment_id]],"")</f>
        <v>8</v>
      </c>
      <c r="B9" s="23" t="str">
        <f>IFERROR(VLOOKUP(category_assignment_2[[#This Row],[category_id]],#REF!,3,FALSE),"")</f>
        <v/>
      </c>
      <c r="C9" s="23" t="str">
        <f>IFERROR(VLOOKUP(category_assignment_2[[#This Row],[abbreviation_id]],abbreviation[],ColumnLanguage+1,FALSE),"")</f>
        <v>Gas</v>
      </c>
      <c r="D9" s="23"/>
      <c r="E9" s="23"/>
      <c r="F9" s="23"/>
      <c r="G9" s="23"/>
      <c r="H9" s="23"/>
      <c r="I9" s="23"/>
      <c r="J9" s="23"/>
      <c r="K9" s="23"/>
      <c r="M9" s="18">
        <v>8</v>
      </c>
      <c r="N9" s="18">
        <v>1</v>
      </c>
      <c r="O9" s="18">
        <v>8</v>
      </c>
      <c r="Q9" s="2"/>
    </row>
    <row r="10" spans="1:17" x14ac:dyDescent="0.25">
      <c r="A10" s="4">
        <f>IFERROR(category_assignment_2[[#This Row],[category_assignment_id]],"")</f>
        <v>9</v>
      </c>
      <c r="B10" s="23" t="str">
        <f>IFERROR(VLOOKUP(category_assignment_2[[#This Row],[category_id]],#REF!,3,FALSE),"")</f>
        <v/>
      </c>
      <c r="C10" s="23" t="str">
        <f>IFERROR(VLOOKUP(category_assignment_2[[#This Row],[abbreviation_id]],abbreviation[],ColumnLanguage+1,FALSE),"")</f>
        <v>Gaskühler</v>
      </c>
      <c r="D10" s="23"/>
      <c r="E10" s="23"/>
      <c r="F10" s="23"/>
      <c r="G10" s="23"/>
      <c r="H10" s="23"/>
      <c r="I10" s="23"/>
      <c r="J10" s="23"/>
      <c r="K10" s="23"/>
      <c r="M10" s="18">
        <v>9</v>
      </c>
      <c r="N10" s="18">
        <v>1</v>
      </c>
      <c r="O10" s="18">
        <v>9</v>
      </c>
      <c r="Q10" s="2"/>
    </row>
    <row r="11" spans="1:17" x14ac:dyDescent="0.25">
      <c r="A11" s="4">
        <f>IFERROR(category_assignment_2[[#This Row],[category_assignment_id]],"")</f>
        <v>10</v>
      </c>
      <c r="B11" s="23" t="str">
        <f>IFERROR(VLOOKUP(category_assignment_2[[#This Row],[category_id]],#REF!,3,FALSE),"")</f>
        <v/>
      </c>
      <c r="C11" s="23" t="str">
        <f>IFERROR(VLOOKUP(category_assignment_2[[#This Row],[abbreviation_id]],abbreviation[],ColumnLanguage+1,FALSE),"")</f>
        <v>Gebäudeautomationssystem</v>
      </c>
      <c r="D11" s="23"/>
      <c r="E11" s="23"/>
      <c r="F11" s="23"/>
      <c r="G11" s="23"/>
      <c r="H11" s="23"/>
      <c r="I11" s="23"/>
      <c r="J11" s="23"/>
      <c r="K11" s="23"/>
      <c r="M11" s="18">
        <v>10</v>
      </c>
      <c r="N11" s="18">
        <v>1</v>
      </c>
      <c r="O11" s="18">
        <v>10</v>
      </c>
      <c r="Q11" s="2"/>
    </row>
    <row r="12" spans="1:17" x14ac:dyDescent="0.25">
      <c r="A12" s="4">
        <f>IFERROR(category_assignment_2[[#This Row],[category_assignment_id]],"")</f>
        <v>11</v>
      </c>
      <c r="B12" s="23" t="str">
        <f>IFERROR(VLOOKUP(category_assignment_2[[#This Row],[category_id]],#REF!,3,FALSE),"")</f>
        <v/>
      </c>
      <c r="C12" s="23" t="str">
        <f>IFERROR(VLOOKUP(category_assignment_2[[#This Row],[abbreviation_id]],abbreviation[],ColumnLanguage+1,FALSE),"")</f>
        <v>Gebäudemanagementsystem</v>
      </c>
      <c r="D12" s="23"/>
      <c r="E12" s="23"/>
      <c r="F12" s="23"/>
      <c r="G12" s="23"/>
      <c r="H12" s="23"/>
      <c r="I12" s="23"/>
      <c r="J12" s="23"/>
      <c r="K12" s="23"/>
      <c r="M12" s="18">
        <v>11</v>
      </c>
      <c r="N12" s="18">
        <v>1</v>
      </c>
      <c r="O12" s="18">
        <v>11</v>
      </c>
      <c r="Q12" s="2"/>
    </row>
    <row r="13" spans="1:17" x14ac:dyDescent="0.25">
      <c r="A13" s="4">
        <f>IFERROR(category_assignment_2[[#This Row],[category_assignment_id]],"")</f>
        <v>12</v>
      </c>
      <c r="B13" s="23" t="str">
        <f>IFERROR(VLOOKUP(category_assignment_2[[#This Row],[category_id]],#REF!,3,FALSE),"")</f>
        <v/>
      </c>
      <c r="C13" s="23" t="str">
        <f>IFERROR(VLOOKUP(category_assignment_2[[#This Row],[abbreviation_id]],abbreviation[],ColumnLanguage+1,FALSE),"")</f>
        <v>Kältemaschine</v>
      </c>
      <c r="D13" s="23"/>
      <c r="E13" s="23"/>
      <c r="F13" s="23"/>
      <c r="G13" s="23"/>
      <c r="H13" s="23"/>
      <c r="I13" s="23"/>
      <c r="J13" s="23"/>
      <c r="K13" s="23"/>
      <c r="M13" s="18">
        <v>12</v>
      </c>
      <c r="N13" s="18">
        <v>1</v>
      </c>
      <c r="O13" s="18">
        <v>12</v>
      </c>
      <c r="Q13" s="2"/>
    </row>
    <row r="14" spans="1:17" x14ac:dyDescent="0.25">
      <c r="A14" s="4">
        <f>IFERROR(category_assignment_2[[#This Row],[category_assignment_id]],"")</f>
        <v>13</v>
      </c>
      <c r="B14" s="23" t="str">
        <f>IFERROR(VLOOKUP(category_assignment_2[[#This Row],[category_id]],#REF!,3,FALSE),"")</f>
        <v/>
      </c>
      <c r="C14" s="23" t="str">
        <f>IFERROR(VLOOKUP(category_assignment_2[[#This Row],[abbreviation_id]],abbreviation[],ColumnLanguage+1,FALSE),"")</f>
        <v>Kessel</v>
      </c>
      <c r="D14" s="23"/>
      <c r="E14" s="23"/>
      <c r="F14" s="23"/>
      <c r="G14" s="23"/>
      <c r="H14" s="23"/>
      <c r="I14" s="23"/>
      <c r="J14" s="23"/>
      <c r="K14" s="23"/>
      <c r="M14" s="18">
        <v>13</v>
      </c>
      <c r="N14" s="18">
        <v>1</v>
      </c>
      <c r="O14" s="18">
        <v>13</v>
      </c>
      <c r="Q14" s="2"/>
    </row>
    <row r="15" spans="1:17" x14ac:dyDescent="0.25">
      <c r="A15" s="4">
        <f>IFERROR(category_assignment_2[[#This Row],[category_assignment_id]],"")</f>
        <v>14</v>
      </c>
      <c r="B15" s="23" t="str">
        <f>IFERROR(VLOOKUP(category_assignment_2[[#This Row],[category_id]],#REF!,3,FALSE),"")</f>
        <v/>
      </c>
      <c r="C15" s="23" t="str">
        <f>IFERROR(VLOOKUP(category_assignment_2[[#This Row],[abbreviation_id]],abbreviation[],ColumnLanguage+1,FALSE),"")</f>
        <v>Kühlturm</v>
      </c>
      <c r="D15" s="23"/>
      <c r="E15" s="23"/>
      <c r="F15" s="23"/>
      <c r="G15" s="23"/>
      <c r="H15" s="23"/>
      <c r="I15" s="23"/>
      <c r="J15" s="23"/>
      <c r="K15" s="23"/>
      <c r="M15" s="18">
        <v>14</v>
      </c>
      <c r="N15" s="18">
        <v>1</v>
      </c>
      <c r="O15" s="18">
        <v>14</v>
      </c>
      <c r="Q15" s="2"/>
    </row>
    <row r="16" spans="1:17" x14ac:dyDescent="0.25">
      <c r="A16" s="4">
        <f>IFERROR(category_assignment_2[[#This Row],[category_assignment_id]],"")</f>
        <v>15</v>
      </c>
      <c r="B16" s="23" t="str">
        <f>IFERROR(VLOOKUP(category_assignment_2[[#This Row],[category_id]],#REF!,3,FALSE),"")</f>
        <v/>
      </c>
      <c r="C16" s="23" t="str">
        <f>IFERROR(VLOOKUP(category_assignment_2[[#This Row],[abbreviation_id]],abbreviation[],ColumnLanguage+1,FALSE),"")</f>
        <v>Luft</v>
      </c>
      <c r="D16" s="23"/>
      <c r="E16" s="23"/>
      <c r="F16" s="23"/>
      <c r="G16" s="23"/>
      <c r="H16" s="23"/>
      <c r="I16" s="23"/>
      <c r="J16" s="23"/>
      <c r="K16" s="23"/>
      <c r="M16" s="18">
        <v>15</v>
      </c>
      <c r="N16" s="18">
        <v>1</v>
      </c>
      <c r="O16" s="18">
        <v>15</v>
      </c>
      <c r="Q16" s="2"/>
    </row>
    <row r="17" spans="1:17" x14ac:dyDescent="0.25">
      <c r="A17" s="4">
        <f>IFERROR(category_assignment_2[[#This Row],[category_assignment_id]],"")</f>
        <v>16</v>
      </c>
      <c r="B17" s="23" t="str">
        <f>IFERROR(VLOOKUP(category_assignment_2[[#This Row],[category_id]],#REF!,3,FALSE),"")</f>
        <v/>
      </c>
      <c r="C17" s="23" t="str">
        <f>IFERROR(VLOOKUP(category_assignment_2[[#This Row],[abbreviation_id]],abbreviation[],ColumnLanguage+1,FALSE),"")</f>
        <v>Lüftungsmaschine</v>
      </c>
      <c r="D17" s="23"/>
      <c r="E17" s="23"/>
      <c r="F17" s="23"/>
      <c r="G17" s="23"/>
      <c r="H17" s="23"/>
      <c r="I17" s="23"/>
      <c r="J17" s="23"/>
      <c r="K17" s="23"/>
      <c r="M17" s="18">
        <v>16</v>
      </c>
      <c r="N17" s="18">
        <v>1</v>
      </c>
      <c r="O17" s="18">
        <v>16</v>
      </c>
      <c r="Q17" s="2"/>
    </row>
    <row r="18" spans="1:17" x14ac:dyDescent="0.25">
      <c r="A18" s="4">
        <f>IFERROR(category_assignment_2[[#This Row],[category_assignment_id]],"")</f>
        <v>17</v>
      </c>
      <c r="B18" s="23" t="str">
        <f>IFERROR(VLOOKUP(category_assignment_2[[#This Row],[category_id]],#REF!,3,FALSE),"")</f>
        <v/>
      </c>
      <c r="C18" s="23" t="str">
        <f>IFERROR(VLOOKUP(category_assignment_2[[#This Row],[abbreviation_id]],abbreviation[],ColumnLanguage+1,FALSE),"")</f>
        <v>Photovoltaik</v>
      </c>
      <c r="D18" s="23"/>
      <c r="E18" s="23"/>
      <c r="F18" s="23"/>
      <c r="G18" s="23"/>
      <c r="H18" s="23"/>
      <c r="I18" s="23"/>
      <c r="J18" s="23"/>
      <c r="K18" s="23"/>
      <c r="M18" s="18">
        <v>17</v>
      </c>
      <c r="N18" s="18">
        <v>1</v>
      </c>
      <c r="O18" s="18">
        <v>17</v>
      </c>
      <c r="Q18" s="2"/>
    </row>
    <row r="19" spans="1:17" x14ac:dyDescent="0.25">
      <c r="A19" s="4">
        <f>IFERROR(category_assignment_2[[#This Row],[category_assignment_id]],"")</f>
        <v>18</v>
      </c>
      <c r="B19" s="23" t="str">
        <f>IFERROR(VLOOKUP(category_assignment_2[[#This Row],[category_id]],#REF!,3,FALSE),"")</f>
        <v/>
      </c>
      <c r="C19" s="23" t="str">
        <f>IFERROR(VLOOKUP(category_assignment_2[[#This Row],[abbreviation_id]],abbreviation[],ColumnLanguage+1,FALSE),"")</f>
        <v>Raumautomation</v>
      </c>
      <c r="D19" s="23"/>
      <c r="E19" s="23"/>
      <c r="F19" s="23"/>
      <c r="G19" s="23"/>
      <c r="H19" s="23"/>
      <c r="I19" s="23"/>
      <c r="J19" s="23"/>
      <c r="K19" s="23"/>
      <c r="M19" s="18">
        <v>18</v>
      </c>
      <c r="N19" s="18">
        <v>1</v>
      </c>
      <c r="O19" s="18">
        <v>18</v>
      </c>
      <c r="Q19" s="2"/>
    </row>
    <row r="20" spans="1:17" x14ac:dyDescent="0.25">
      <c r="A20" s="4">
        <f>IFERROR(category_assignment_2[[#This Row],[category_assignment_id]],"")</f>
        <v>19</v>
      </c>
      <c r="B20" s="23" t="str">
        <f>IFERROR(VLOOKUP(category_assignment_2[[#This Row],[category_id]],#REF!,3,FALSE),"")</f>
        <v/>
      </c>
      <c r="C20" s="23" t="str">
        <f>IFERROR(VLOOKUP(category_assignment_2[[#This Row],[abbreviation_id]],abbreviation[],ColumnLanguage+1,FALSE),"")</f>
        <v>Solarthermie</v>
      </c>
      <c r="D20" s="23"/>
      <c r="E20" s="23"/>
      <c r="F20" s="23"/>
      <c r="G20" s="23"/>
      <c r="H20" s="23"/>
      <c r="I20" s="23"/>
      <c r="J20" s="23"/>
      <c r="K20" s="23"/>
      <c r="M20" s="18">
        <v>19</v>
      </c>
      <c r="N20" s="18">
        <v>1</v>
      </c>
      <c r="O20" s="18">
        <v>19</v>
      </c>
      <c r="Q20" s="2"/>
    </row>
    <row r="21" spans="1:17" x14ac:dyDescent="0.25">
      <c r="A21" s="4">
        <f>IFERROR(category_assignment_2[[#This Row],[category_assignment_id]],"")</f>
        <v>20</v>
      </c>
      <c r="B21" s="23" t="str">
        <f>IFERROR(VLOOKUP(category_assignment_2[[#This Row],[category_id]],#REF!,3,FALSE),"")</f>
        <v/>
      </c>
      <c r="C21" s="23" t="str">
        <f>IFERROR(VLOOKUP(category_assignment_2[[#This Row],[abbreviation_id]],abbreviation[],ColumnLanguage+1,FALSE),"")</f>
        <v>Speicher</v>
      </c>
      <c r="D21" s="23"/>
      <c r="E21" s="23"/>
      <c r="F21" s="23"/>
      <c r="G21" s="23"/>
      <c r="H21" s="23"/>
      <c r="I21" s="23"/>
      <c r="J21" s="23"/>
      <c r="K21" s="23"/>
      <c r="M21" s="18">
        <v>20</v>
      </c>
      <c r="N21" s="18">
        <v>1</v>
      </c>
      <c r="O21" s="18">
        <v>20</v>
      </c>
      <c r="Q21" s="2"/>
    </row>
    <row r="22" spans="1:17" x14ac:dyDescent="0.25">
      <c r="A22" s="4">
        <f>IFERROR(category_assignment_2[[#This Row],[category_assignment_id]],"")</f>
        <v>21</v>
      </c>
      <c r="B22" s="23" t="str">
        <f>IFERROR(VLOOKUP(category_assignment_2[[#This Row],[category_id]],#REF!,3,FALSE),"")</f>
        <v/>
      </c>
      <c r="C22" s="23" t="str">
        <f>IFERROR(VLOOKUP(category_assignment_2[[#This Row],[abbreviation_id]],abbreviation[],ColumnLanguage+1,FALSE),"")</f>
        <v>Unterverteiler</v>
      </c>
      <c r="D22" s="23"/>
      <c r="E22" s="23"/>
      <c r="F22" s="23"/>
      <c r="G22" s="23"/>
      <c r="H22" s="23"/>
      <c r="I22" s="23"/>
      <c r="J22" s="23"/>
      <c r="K22" s="23"/>
      <c r="M22" s="18">
        <v>21</v>
      </c>
      <c r="N22" s="18">
        <v>1</v>
      </c>
      <c r="O22" s="18">
        <v>21</v>
      </c>
      <c r="Q22" s="2"/>
    </row>
    <row r="23" spans="1:17" x14ac:dyDescent="0.25">
      <c r="A23" s="4">
        <f>IFERROR(category_assignment_2[[#This Row],[category_assignment_id]],"")</f>
        <v>22</v>
      </c>
      <c r="B23" s="23" t="str">
        <f>IFERROR(VLOOKUP(category_assignment_2[[#This Row],[category_id]],#REF!,3,FALSE),"")</f>
        <v/>
      </c>
      <c r="C23" s="23" t="str">
        <f>IFERROR(VLOOKUP(category_assignment_2[[#This Row],[abbreviation_id]],abbreviation[],ColumnLanguage+1,FALSE),"")</f>
        <v>Unterverteilsystem</v>
      </c>
      <c r="D23" s="23"/>
      <c r="E23" s="23"/>
      <c r="F23" s="23"/>
      <c r="G23" s="23"/>
      <c r="H23" s="23"/>
      <c r="I23" s="23"/>
      <c r="J23" s="23"/>
      <c r="K23" s="23"/>
      <c r="M23" s="18">
        <v>22</v>
      </c>
      <c r="N23" s="18">
        <v>1</v>
      </c>
      <c r="O23" s="18">
        <v>22</v>
      </c>
      <c r="Q23" s="2"/>
    </row>
    <row r="24" spans="1:17" x14ac:dyDescent="0.25">
      <c r="A24" s="4">
        <f>IFERROR(category_assignment_2[[#This Row],[category_assignment_id]],"")</f>
        <v>23</v>
      </c>
      <c r="B24" s="23" t="str">
        <f>IFERROR(VLOOKUP(category_assignment_2[[#This Row],[category_id]],#REF!,3,FALSE),"")</f>
        <v/>
      </c>
      <c r="C24" s="23" t="str">
        <f>IFERROR(VLOOKUP(category_assignment_2[[#This Row],[abbreviation_id]],abbreviation[],ColumnLanguage+1,FALSE),"")</f>
        <v>Verteiler</v>
      </c>
      <c r="D24" s="23"/>
      <c r="E24" s="23"/>
      <c r="F24" s="23"/>
      <c r="G24" s="23"/>
      <c r="H24" s="23"/>
      <c r="I24" s="23"/>
      <c r="J24" s="23"/>
      <c r="K24" s="23"/>
      <c r="M24" s="18">
        <v>23</v>
      </c>
      <c r="N24" s="18">
        <v>1</v>
      </c>
      <c r="O24" s="18">
        <v>23</v>
      </c>
      <c r="Q24" s="2"/>
    </row>
    <row r="25" spans="1:17" x14ac:dyDescent="0.25">
      <c r="A25" s="4">
        <f>IFERROR(category_assignment_2[[#This Row],[category_assignment_id]],"")</f>
        <v>24</v>
      </c>
      <c r="B25" s="23" t="str">
        <f>IFERROR(VLOOKUP(category_assignment_2[[#This Row],[category_id]],#REF!,3,FALSE),"")</f>
        <v/>
      </c>
      <c r="C25" s="23" t="str">
        <f>IFERROR(VLOOKUP(category_assignment_2[[#This Row],[abbreviation_id]],abbreviation[],ColumnLanguage+1,FALSE),"")</f>
        <v>Verteilsystem</v>
      </c>
      <c r="D25" s="23"/>
      <c r="E25" s="23"/>
      <c r="F25" s="23"/>
      <c r="G25" s="23"/>
      <c r="H25" s="23"/>
      <c r="I25" s="23"/>
      <c r="J25" s="23"/>
      <c r="K25" s="23"/>
      <c r="M25" s="18">
        <v>24</v>
      </c>
      <c r="N25" s="18">
        <v>1</v>
      </c>
      <c r="O25" s="18">
        <v>24</v>
      </c>
      <c r="Q25" s="2"/>
    </row>
    <row r="26" spans="1:17" x14ac:dyDescent="0.25">
      <c r="A26" s="4">
        <f>IFERROR(category_assignment_2[[#This Row],[category_assignment_id]],"")</f>
        <v>25</v>
      </c>
      <c r="B26" s="23" t="str">
        <f>IFERROR(VLOOKUP(category_assignment_2[[#This Row],[category_id]],#REF!,3,FALSE),"")</f>
        <v/>
      </c>
      <c r="C26" s="23" t="str">
        <f>IFERROR(VLOOKUP(category_assignment_2[[#This Row],[abbreviation_id]],abbreviation[],ColumnLanguage+1,FALSE),"")</f>
        <v>Wärmepumpe</v>
      </c>
      <c r="D26" s="23"/>
      <c r="E26" s="23"/>
      <c r="F26" s="23"/>
      <c r="G26" s="23"/>
      <c r="H26" s="23"/>
      <c r="I26" s="23"/>
      <c r="J26" s="23"/>
      <c r="K26" s="23"/>
      <c r="M26" s="18">
        <v>25</v>
      </c>
      <c r="N26" s="18">
        <v>1</v>
      </c>
      <c r="O26" s="18">
        <v>25</v>
      </c>
      <c r="Q26" s="2"/>
    </row>
    <row r="27" spans="1:17" x14ac:dyDescent="0.25">
      <c r="A27" s="4">
        <f>IFERROR(category_assignment_2[[#This Row],[category_assignment_id]],"")</f>
        <v>26</v>
      </c>
      <c r="B27" s="23" t="str">
        <f>IFERROR(VLOOKUP(category_assignment_2[[#This Row],[category_id]],#REF!,3,FALSE),"")</f>
        <v/>
      </c>
      <c r="C27" s="23" t="str">
        <f>IFERROR(VLOOKUP(category_assignment_2[[#This Row],[abbreviation_id]],abbreviation[],ColumnLanguage+1,FALSE),"")</f>
        <v>Wärmeübertrager</v>
      </c>
      <c r="D27" s="23"/>
      <c r="E27" s="23"/>
      <c r="F27" s="23"/>
      <c r="G27" s="23"/>
      <c r="H27" s="23"/>
      <c r="I27" s="23"/>
      <c r="J27" s="23"/>
      <c r="K27" s="23"/>
      <c r="M27" s="18">
        <v>26</v>
      </c>
      <c r="N27" s="18">
        <v>1</v>
      </c>
      <c r="O27" s="18">
        <v>26</v>
      </c>
      <c r="Q27" s="2"/>
    </row>
    <row r="28" spans="1:17" x14ac:dyDescent="0.25">
      <c r="A28" s="4">
        <f>IFERROR(category_assignment_2[[#This Row],[category_assignment_id]],"")</f>
        <v>27</v>
      </c>
      <c r="B28" s="23" t="str">
        <f>IFERROR(VLOOKUP(category_assignment_2[[#This Row],[category_id]],#REF!,3,FALSE),"")</f>
        <v/>
      </c>
      <c r="C28" s="23" t="str">
        <f>IFERROR(VLOOKUP(category_assignment_2[[#This Row],[abbreviation_id]],abbreviation[],ColumnLanguage+1,FALSE),"")</f>
        <v>Wasser</v>
      </c>
      <c r="D28" s="23"/>
      <c r="E28" s="23"/>
      <c r="F28" s="23"/>
      <c r="G28" s="23"/>
      <c r="H28" s="23"/>
      <c r="I28" s="23"/>
      <c r="J28" s="23"/>
      <c r="K28" s="23"/>
      <c r="M28" s="18">
        <v>27</v>
      </c>
      <c r="N28" s="18">
        <v>1</v>
      </c>
      <c r="O28" s="18">
        <v>27</v>
      </c>
      <c r="Q28" s="2"/>
    </row>
    <row r="29" spans="1:17" x14ac:dyDescent="0.25">
      <c r="A29" s="4">
        <f>IFERROR(category_assignment_2[[#This Row],[category_assignment_id]],"")</f>
        <v>28</v>
      </c>
      <c r="B29" s="23" t="str">
        <f>IFERROR(VLOOKUP(category_assignment_2[[#This Row],[category_id]],#REF!,3,FALSE),"")</f>
        <v/>
      </c>
      <c r="C29" s="23" t="str">
        <f>IFERROR(VLOOKUP(category_assignment_2[[#This Row],[abbreviation_id]],abbreviation[],ColumnLanguage+1,FALSE),"")</f>
        <v>Rückkühlung</v>
      </c>
      <c r="D29" s="23"/>
      <c r="E29" s="23"/>
      <c r="F29" s="23"/>
      <c r="G29" s="23"/>
      <c r="H29" s="23"/>
      <c r="I29" s="23"/>
      <c r="J29" s="23"/>
      <c r="K29" s="23"/>
      <c r="M29" s="18">
        <v>28</v>
      </c>
      <c r="N29" s="18">
        <v>1</v>
      </c>
      <c r="O29" s="18">
        <v>28</v>
      </c>
      <c r="Q29" s="2"/>
    </row>
    <row r="30" spans="1:17" x14ac:dyDescent="0.25">
      <c r="A30" s="4">
        <f>IFERROR(category_assignment_2[[#This Row],[category_assignment_id]],"")</f>
        <v>29</v>
      </c>
      <c r="B30" s="23" t="str">
        <f>IFERROR(VLOOKUP(category_assignment_2[[#This Row],[category_id]],#REF!,3,FALSE),"")</f>
        <v/>
      </c>
      <c r="C30" s="23" t="str">
        <f>IFERROR(VLOOKUP(category_assignment_2[[#This Row],[abbreviation_id]],abbreviation[],ColumnLanguage+1,FALSE),"")</f>
        <v>Geothermiefeld</v>
      </c>
      <c r="D30" s="23"/>
      <c r="E30" s="23"/>
      <c r="F30" s="23"/>
      <c r="G30" s="23"/>
      <c r="H30" s="23"/>
      <c r="I30" s="23"/>
      <c r="J30" s="23"/>
      <c r="K30" s="23"/>
      <c r="M30" s="18">
        <v>29</v>
      </c>
      <c r="N30" s="18">
        <v>1</v>
      </c>
      <c r="O30" s="18">
        <v>29</v>
      </c>
      <c r="Q30" s="2"/>
    </row>
    <row r="31" spans="1:17" x14ac:dyDescent="0.25">
      <c r="A31" s="4">
        <f>IFERROR(category_assignment_2[[#This Row],[category_assignment_id]],"")</f>
        <v>30</v>
      </c>
      <c r="B31" s="23" t="str">
        <f>IFERROR(VLOOKUP(category_assignment_2[[#This Row],[category_id]],#REF!,3,FALSE),"")</f>
        <v/>
      </c>
      <c r="C31" s="23" t="str">
        <f>IFERROR(VLOOKUP(category_assignment_2[[#This Row],[abbreviation_id]],abbreviation[],ColumnLanguage+1,FALSE),"")</f>
        <v>Fußbodenheizung</v>
      </c>
      <c r="D31" s="23"/>
      <c r="E31" s="23"/>
      <c r="F31" s="23"/>
      <c r="G31" s="23"/>
      <c r="H31" s="23"/>
      <c r="I31" s="23"/>
      <c r="J31" s="23"/>
      <c r="K31" s="23"/>
      <c r="M31" s="18">
        <v>30</v>
      </c>
      <c r="N31" s="18">
        <v>1</v>
      </c>
      <c r="O31" s="18">
        <v>30</v>
      </c>
      <c r="Q31" s="2"/>
    </row>
    <row r="32" spans="1:17" x14ac:dyDescent="0.25">
      <c r="A32" s="4">
        <f>IFERROR(category_assignment_2[[#This Row],[category_assignment_id]],"")</f>
        <v>31</v>
      </c>
      <c r="B32" s="23" t="str">
        <f>IFERROR(VLOOKUP(category_assignment_2[[#This Row],[category_id]],#REF!,3,FALSE),"")</f>
        <v/>
      </c>
      <c r="C32" s="23" t="str">
        <f>IFERROR(VLOOKUP(category_assignment_2[[#This Row],[abbreviation_id]],abbreviation[],ColumnLanguage+1,FALSE),"")</f>
        <v>Verflüssiger</v>
      </c>
      <c r="D32" s="23"/>
      <c r="E32" s="23"/>
      <c r="F32" s="23"/>
      <c r="G32" s="23"/>
      <c r="H32" s="23"/>
      <c r="I32" s="23"/>
      <c r="J32" s="23"/>
      <c r="K32" s="23"/>
      <c r="M32" s="18">
        <v>31</v>
      </c>
      <c r="N32" s="18">
        <v>2</v>
      </c>
      <c r="O32" s="18">
        <v>48</v>
      </c>
      <c r="Q32" s="2"/>
    </row>
    <row r="33" spans="1:17" x14ac:dyDescent="0.25">
      <c r="A33" s="4">
        <f>IFERROR(category_assignment_2[[#This Row],[category_assignment_id]],"")</f>
        <v>32</v>
      </c>
      <c r="B33" s="23" t="str">
        <f>IFERROR(VLOOKUP(category_assignment_2[[#This Row],[category_id]],#REF!,3,FALSE),"")</f>
        <v/>
      </c>
      <c r="C33" s="23" t="str">
        <f>IFERROR(VLOOKUP(category_assignment_2[[#This Row],[abbreviation_id]],abbreviation[],ColumnLanguage+1,FALSE),"")</f>
        <v>Bediengerät</v>
      </c>
      <c r="D33" s="23"/>
      <c r="E33" s="23"/>
      <c r="F33" s="23"/>
      <c r="G33" s="23"/>
      <c r="H33" s="23"/>
      <c r="I33" s="23"/>
      <c r="J33" s="23"/>
      <c r="K33" s="23"/>
      <c r="M33" s="18">
        <v>32</v>
      </c>
      <c r="N33" s="18">
        <v>2</v>
      </c>
      <c r="O33" s="18">
        <v>49</v>
      </c>
      <c r="Q33" s="2"/>
    </row>
    <row r="34" spans="1:17" x14ac:dyDescent="0.25">
      <c r="A34" s="4">
        <f>IFERROR(category_assignment_2[[#This Row],[category_assignment_id]],"")</f>
        <v>33</v>
      </c>
      <c r="B34" s="23" t="str">
        <f>IFERROR(VLOOKUP(category_assignment_2[[#This Row],[category_id]],#REF!,3,FALSE),"")</f>
        <v/>
      </c>
      <c r="C34" s="23" t="str">
        <f>IFERROR(VLOOKUP(category_assignment_2[[#This Row],[abbreviation_id]],abbreviation[],ColumnLanguage+1,FALSE),"")</f>
        <v>Anlage</v>
      </c>
      <c r="D34" s="23"/>
      <c r="E34" s="23"/>
      <c r="F34" s="23"/>
      <c r="G34" s="23"/>
      <c r="H34" s="23"/>
      <c r="I34" s="23"/>
      <c r="J34" s="23"/>
      <c r="K34" s="23"/>
      <c r="M34" s="18">
        <v>33</v>
      </c>
      <c r="N34" s="18">
        <v>2</v>
      </c>
      <c r="O34" s="18">
        <v>2</v>
      </c>
      <c r="Q34" s="2"/>
    </row>
    <row r="35" spans="1:17" x14ac:dyDescent="0.25">
      <c r="A35" s="4">
        <f>IFERROR(category_assignment_2[[#This Row],[category_assignment_id]],"")</f>
        <v>34</v>
      </c>
      <c r="B35" s="23" t="str">
        <f>IFERROR(VLOOKUP(category_assignment_2[[#This Row],[category_id]],#REF!,3,FALSE),"")</f>
        <v/>
      </c>
      <c r="C35" s="23" t="str">
        <f>IFERROR(VLOOKUP(category_assignment_2[[#This Row],[abbreviation_id]],abbreviation[],ColumnLanguage+1,FALSE),"")</f>
        <v>Befeuchter</v>
      </c>
      <c r="D35" s="23"/>
      <c r="E35" s="23"/>
      <c r="F35" s="23"/>
      <c r="G35" s="23"/>
      <c r="H35" s="23"/>
      <c r="I35" s="23"/>
      <c r="J35" s="23"/>
      <c r="K35" s="23"/>
      <c r="M35" s="18">
        <v>34</v>
      </c>
      <c r="N35" s="18">
        <v>2</v>
      </c>
      <c r="O35" s="18">
        <v>50</v>
      </c>
      <c r="Q35" s="2"/>
    </row>
    <row r="36" spans="1:17" x14ac:dyDescent="0.25">
      <c r="A36" s="4">
        <f>IFERROR(category_assignment_2[[#This Row],[category_assignment_id]],"")</f>
        <v>35</v>
      </c>
      <c r="B36" s="23" t="str">
        <f>IFERROR(VLOOKUP(category_assignment_2[[#This Row],[category_id]],#REF!,3,FALSE),"")</f>
        <v/>
      </c>
      <c r="C36" s="23" t="str">
        <f>IFERROR(VLOOKUP(category_assignment_2[[#This Row],[abbreviation_id]],abbreviation[],ColumnLanguage+1,FALSE),"")</f>
        <v>Deckenheizung</v>
      </c>
      <c r="D36" s="23"/>
      <c r="E36" s="23"/>
      <c r="F36" s="23"/>
      <c r="G36" s="23"/>
      <c r="H36" s="23"/>
      <c r="I36" s="23"/>
      <c r="J36" s="23"/>
      <c r="K36" s="23"/>
      <c r="M36" s="18">
        <v>35</v>
      </c>
      <c r="N36" s="18">
        <v>2</v>
      </c>
      <c r="O36" s="18">
        <v>51</v>
      </c>
      <c r="Q36" s="2"/>
    </row>
    <row r="37" spans="1:17" x14ac:dyDescent="0.25">
      <c r="A37" s="4">
        <f>IFERROR(category_assignment_2[[#This Row],[category_assignment_id]],"")</f>
        <v>36</v>
      </c>
      <c r="B37" s="23" t="str">
        <f>IFERROR(VLOOKUP(category_assignment_2[[#This Row],[category_id]],#REF!,3,FALSE),"")</f>
        <v/>
      </c>
      <c r="C37" s="23" t="str">
        <f>IFERROR(VLOOKUP(category_assignment_2[[#This Row],[abbreviation_id]],abbreviation[],ColumnLanguage+1,FALSE),"")</f>
        <v>Deckenheizung und -kühlung</v>
      </c>
      <c r="D37" s="23"/>
      <c r="E37" s="23"/>
      <c r="F37" s="23"/>
      <c r="G37" s="23"/>
      <c r="H37" s="23"/>
      <c r="I37" s="23"/>
      <c r="J37" s="23"/>
      <c r="K37" s="23"/>
      <c r="M37" s="18">
        <v>36</v>
      </c>
      <c r="N37" s="18">
        <v>2</v>
      </c>
      <c r="O37" s="18">
        <v>52</v>
      </c>
      <c r="Q37" s="2"/>
    </row>
    <row r="38" spans="1:17" x14ac:dyDescent="0.25">
      <c r="A38" s="4">
        <f>IFERROR(category_assignment_2[[#This Row],[category_assignment_id]],"")</f>
        <v>37</v>
      </c>
      <c r="B38" s="23" t="str">
        <f>IFERROR(VLOOKUP(category_assignment_2[[#This Row],[category_id]],#REF!,3,FALSE),"")</f>
        <v/>
      </c>
      <c r="C38" s="23" t="str">
        <f>IFERROR(VLOOKUP(category_assignment_2[[#This Row],[abbreviation_id]],abbreviation[],ColumnLanguage+1,FALSE),"")</f>
        <v>Deckenkühlung</v>
      </c>
      <c r="D38" s="23"/>
      <c r="E38" s="23"/>
      <c r="F38" s="23"/>
      <c r="G38" s="23"/>
      <c r="H38" s="23"/>
      <c r="I38" s="23"/>
      <c r="J38" s="23"/>
      <c r="K38" s="23"/>
      <c r="M38" s="18">
        <v>37</v>
      </c>
      <c r="N38" s="18">
        <v>2</v>
      </c>
      <c r="O38" s="18">
        <v>53</v>
      </c>
      <c r="Q38" s="2"/>
    </row>
    <row r="39" spans="1:17" x14ac:dyDescent="0.25">
      <c r="A39" s="4">
        <f>IFERROR(category_assignment_2[[#This Row],[category_assignment_id]],"")</f>
        <v>38</v>
      </c>
      <c r="B39" s="23" t="str">
        <f>IFERROR(VLOOKUP(category_assignment_2[[#This Row],[category_id]],#REF!,3,FALSE),"")</f>
        <v/>
      </c>
      <c r="C39" s="23" t="str">
        <f>IFERROR(VLOOKUP(category_assignment_2[[#This Row],[abbreviation_id]],abbreviation[],ColumnLanguage+1,FALSE),"")</f>
        <v>Elektroheizung</v>
      </c>
      <c r="D39" s="23"/>
      <c r="E39" s="23"/>
      <c r="F39" s="23"/>
      <c r="G39" s="23"/>
      <c r="H39" s="23"/>
      <c r="I39" s="23"/>
      <c r="J39" s="23"/>
      <c r="K39" s="23"/>
      <c r="M39" s="18">
        <v>38</v>
      </c>
      <c r="N39" s="18">
        <v>2</v>
      </c>
      <c r="O39" s="18">
        <v>54</v>
      </c>
      <c r="Q39" s="2"/>
    </row>
    <row r="40" spans="1:17" x14ac:dyDescent="0.25">
      <c r="A40" s="4">
        <f>IFERROR(category_assignment_2[[#This Row],[category_assignment_id]],"")</f>
        <v>39</v>
      </c>
      <c r="B40" s="23" t="str">
        <f>IFERROR(VLOOKUP(category_assignment_2[[#This Row],[category_id]],#REF!,3,FALSE),"")</f>
        <v/>
      </c>
      <c r="C40" s="23" t="str">
        <f>IFERROR(VLOOKUP(category_assignment_2[[#This Row],[abbreviation_id]],abbreviation[],ColumnLanguage+1,FALSE),"")</f>
        <v>Gas</v>
      </c>
      <c r="D40" s="23"/>
      <c r="E40" s="23"/>
      <c r="F40" s="23"/>
      <c r="G40" s="23"/>
      <c r="H40" s="23"/>
      <c r="I40" s="23"/>
      <c r="J40" s="23"/>
      <c r="K40" s="23"/>
      <c r="M40" s="18">
        <v>39</v>
      </c>
      <c r="N40" s="18">
        <v>2</v>
      </c>
      <c r="O40" s="18">
        <v>8</v>
      </c>
      <c r="Q40" s="2"/>
    </row>
    <row r="41" spans="1:17" x14ac:dyDescent="0.25">
      <c r="A41" s="4">
        <f>IFERROR(category_assignment_2[[#This Row],[category_assignment_id]],"")</f>
        <v>40</v>
      </c>
      <c r="B41" s="23" t="str">
        <f>IFERROR(VLOOKUP(category_assignment_2[[#This Row],[category_id]],#REF!,3,FALSE),"")</f>
        <v/>
      </c>
      <c r="C41" s="23" t="str">
        <f>IFERROR(VLOOKUP(category_assignment_2[[#This Row],[abbreviation_id]],abbreviation[],ColumnLanguage+1,FALSE),"")</f>
        <v>Erdwärmesonden</v>
      </c>
      <c r="D41" s="23"/>
      <c r="E41" s="23"/>
      <c r="F41" s="23"/>
      <c r="G41" s="23"/>
      <c r="H41" s="23"/>
      <c r="I41" s="23"/>
      <c r="J41" s="23"/>
      <c r="K41" s="23"/>
      <c r="M41" s="18">
        <v>40</v>
      </c>
      <c r="N41" s="18">
        <v>2</v>
      </c>
      <c r="O41" s="18">
        <v>55</v>
      </c>
      <c r="Q41" s="2"/>
    </row>
    <row r="42" spans="1:17" x14ac:dyDescent="0.25">
      <c r="A42" s="4">
        <f>IFERROR(category_assignment_2[[#This Row],[category_assignment_id]],"")</f>
        <v>41</v>
      </c>
      <c r="B42" s="23" t="str">
        <f>IFERROR(VLOOKUP(category_assignment_2[[#This Row],[category_id]],#REF!,3,FALSE),"")</f>
        <v/>
      </c>
      <c r="C42" s="23" t="str">
        <f>IFERROR(VLOOKUP(category_assignment_2[[#This Row],[abbreviation_id]],abbreviation[],ColumnLanguage+1,FALSE),"")</f>
        <v>Heiz- und Kühlregister</v>
      </c>
      <c r="D42" s="23"/>
      <c r="E42" s="23"/>
      <c r="F42" s="23"/>
      <c r="G42" s="23"/>
      <c r="H42" s="23"/>
      <c r="I42" s="23"/>
      <c r="J42" s="23"/>
      <c r="K42" s="23"/>
      <c r="M42" s="18">
        <v>41</v>
      </c>
      <c r="N42" s="18">
        <v>2</v>
      </c>
      <c r="O42" s="18">
        <v>56</v>
      </c>
      <c r="Q42" s="2"/>
    </row>
    <row r="43" spans="1:17" x14ac:dyDescent="0.25">
      <c r="A43" s="4">
        <f>IFERROR(category_assignment_2[[#This Row],[category_assignment_id]],"")</f>
        <v>42</v>
      </c>
      <c r="B43" s="23" t="str">
        <f>IFERROR(VLOOKUP(category_assignment_2[[#This Row],[category_id]],#REF!,3,FALSE),"")</f>
        <v/>
      </c>
      <c r="C43" s="23" t="str">
        <f>IFERROR(VLOOKUP(category_assignment_2[[#This Row],[abbreviation_id]],abbreviation[],ColumnLanguage+1,FALSE),"")</f>
        <v>Heizregister</v>
      </c>
      <c r="D43" s="23"/>
      <c r="E43" s="23"/>
      <c r="F43" s="23"/>
      <c r="G43" s="23"/>
      <c r="H43" s="23"/>
      <c r="I43" s="23"/>
      <c r="J43" s="23"/>
      <c r="K43" s="23"/>
      <c r="M43" s="18">
        <v>42</v>
      </c>
      <c r="N43" s="18">
        <v>2</v>
      </c>
      <c r="O43" s="18">
        <v>57</v>
      </c>
      <c r="Q43" s="2"/>
    </row>
    <row r="44" spans="1:17" x14ac:dyDescent="0.25">
      <c r="A44" s="4">
        <f>IFERROR(category_assignment_2[[#This Row],[category_assignment_id]],"")</f>
        <v>43</v>
      </c>
      <c r="B44" s="23" t="str">
        <f>IFERROR(VLOOKUP(category_assignment_2[[#This Row],[category_id]],#REF!,3,FALSE),"")</f>
        <v/>
      </c>
      <c r="C44" s="23" t="str">
        <f>IFERROR(VLOOKUP(category_assignment_2[[#This Row],[abbreviation_id]],abbreviation[],ColumnLanguage+1,FALSE),"")</f>
        <v>Klappe</v>
      </c>
      <c r="D44" s="23"/>
      <c r="E44" s="23"/>
      <c r="F44" s="23"/>
      <c r="G44" s="23"/>
      <c r="H44" s="23"/>
      <c r="I44" s="23"/>
      <c r="J44" s="23"/>
      <c r="K44" s="23"/>
      <c r="M44" s="18">
        <v>43</v>
      </c>
      <c r="N44" s="18">
        <v>2</v>
      </c>
      <c r="O44" s="18">
        <v>58</v>
      </c>
      <c r="Q44" s="2"/>
    </row>
    <row r="45" spans="1:17" x14ac:dyDescent="0.25">
      <c r="A45" s="4">
        <f>IFERROR(category_assignment_2[[#This Row],[category_assignment_id]],"")</f>
        <v>44</v>
      </c>
      <c r="B45" s="23" t="str">
        <f>IFERROR(VLOOKUP(category_assignment_2[[#This Row],[category_id]],#REF!,3,FALSE),"")</f>
        <v/>
      </c>
      <c r="C45" s="23" t="str">
        <f>IFERROR(VLOOKUP(category_assignment_2[[#This Row],[abbreviation_id]],abbreviation[],ColumnLanguage+1,FALSE),"")</f>
        <v>Kompressor</v>
      </c>
      <c r="D45" s="23"/>
      <c r="E45" s="23"/>
      <c r="F45" s="23"/>
      <c r="G45" s="23"/>
      <c r="H45" s="23"/>
      <c r="I45" s="23"/>
      <c r="J45" s="23"/>
      <c r="K45" s="23"/>
      <c r="M45" s="18">
        <v>44</v>
      </c>
      <c r="N45" s="18">
        <v>2</v>
      </c>
      <c r="O45" s="18">
        <v>59</v>
      </c>
      <c r="Q45" s="2"/>
    </row>
    <row r="46" spans="1:17" x14ac:dyDescent="0.25">
      <c r="A46" s="4">
        <f>IFERROR(category_assignment_2[[#This Row],[category_assignment_id]],"")</f>
        <v>45</v>
      </c>
      <c r="B46" s="23" t="str">
        <f>IFERROR(VLOOKUP(category_assignment_2[[#This Row],[category_id]],#REF!,3,FALSE),"")</f>
        <v/>
      </c>
      <c r="C46" s="23" t="str">
        <f>IFERROR(VLOOKUP(category_assignment_2[[#This Row],[abbreviation_id]],abbreviation[],ColumnLanguage+1,FALSE),"")</f>
        <v>Kühlregister</v>
      </c>
      <c r="D46" s="23"/>
      <c r="E46" s="23"/>
      <c r="F46" s="23"/>
      <c r="G46" s="23"/>
      <c r="H46" s="23"/>
      <c r="I46" s="23"/>
      <c r="J46" s="23"/>
      <c r="K46" s="23"/>
      <c r="M46" s="18">
        <v>45</v>
      </c>
      <c r="N46" s="18">
        <v>2</v>
      </c>
      <c r="O46" s="18">
        <v>60</v>
      </c>
      <c r="Q46" s="2"/>
    </row>
    <row r="47" spans="1:17" x14ac:dyDescent="0.25">
      <c r="A47" s="4">
        <f>IFERROR(category_assignment_2[[#This Row],[category_assignment_id]],"")</f>
        <v>46</v>
      </c>
      <c r="B47" s="23" t="str">
        <f>IFERROR(VLOOKUP(category_assignment_2[[#This Row],[category_id]],#REF!,3,FALSE),"")</f>
        <v/>
      </c>
      <c r="C47" s="23" t="str">
        <f>IFERROR(VLOOKUP(category_assignment_2[[#This Row],[abbreviation_id]],abbreviation[],ColumnLanguage+1,FALSE),"")</f>
        <v>Nacherhitzer</v>
      </c>
      <c r="D47" s="23"/>
      <c r="E47" s="23"/>
      <c r="F47" s="23"/>
      <c r="G47" s="23"/>
      <c r="H47" s="23"/>
      <c r="I47" s="23"/>
      <c r="J47" s="23"/>
      <c r="K47" s="23"/>
      <c r="M47" s="18">
        <v>46</v>
      </c>
      <c r="N47" s="18">
        <v>2</v>
      </c>
      <c r="O47" s="18">
        <v>61</v>
      </c>
      <c r="Q47" s="2"/>
    </row>
    <row r="48" spans="1:17" x14ac:dyDescent="0.25">
      <c r="A48" s="4">
        <f>IFERROR(category_assignment_2[[#This Row],[category_assignment_id]],"")</f>
        <v>47</v>
      </c>
      <c r="B48" s="23" t="str">
        <f>IFERROR(VLOOKUP(category_assignment_2[[#This Row],[category_id]],#REF!,3,FALSE),"")</f>
        <v/>
      </c>
      <c r="C48" s="23" t="str">
        <f>IFERROR(VLOOKUP(category_assignment_2[[#This Row],[abbreviation_id]],abbreviation[],ColumnLanguage+1,FALSE),"")</f>
        <v>Nacherhitzer und -kühler</v>
      </c>
      <c r="D48" s="23"/>
      <c r="E48" s="23"/>
      <c r="F48" s="23"/>
      <c r="G48" s="23"/>
      <c r="H48" s="23"/>
      <c r="I48" s="23"/>
      <c r="J48" s="23"/>
      <c r="K48" s="23"/>
      <c r="M48" s="18">
        <v>47</v>
      </c>
      <c r="N48" s="18">
        <v>2</v>
      </c>
      <c r="O48" s="18">
        <v>62</v>
      </c>
      <c r="Q48" s="2"/>
    </row>
    <row r="49" spans="1:17" x14ac:dyDescent="0.25">
      <c r="A49" s="4">
        <f>IFERROR(category_assignment_2[[#This Row],[category_assignment_id]],"")</f>
        <v>48</v>
      </c>
      <c r="B49" s="23" t="str">
        <f>IFERROR(VLOOKUP(category_assignment_2[[#This Row],[category_id]],#REF!,3,FALSE),"")</f>
        <v/>
      </c>
      <c r="C49" s="23" t="str">
        <f>IFERROR(VLOOKUP(category_assignment_2[[#This Row],[abbreviation_id]],abbreviation[],ColumnLanguage+1,FALSE),"")</f>
        <v>Kessel</v>
      </c>
      <c r="D49" s="23"/>
      <c r="E49" s="23"/>
      <c r="F49" s="23"/>
      <c r="G49" s="23"/>
      <c r="H49" s="23"/>
      <c r="I49" s="23"/>
      <c r="J49" s="23"/>
      <c r="K49" s="23"/>
      <c r="M49" s="18">
        <v>48</v>
      </c>
      <c r="N49" s="18">
        <v>2</v>
      </c>
      <c r="O49" s="18">
        <v>13</v>
      </c>
      <c r="Q49" s="2"/>
    </row>
    <row r="50" spans="1:17" x14ac:dyDescent="0.25">
      <c r="A50" s="4">
        <f>IFERROR(category_assignment_2[[#This Row],[category_assignment_id]],"")</f>
        <v>49</v>
      </c>
      <c r="B50" s="23" t="str">
        <f>IFERROR(VLOOKUP(category_assignment_2[[#This Row],[category_id]],#REF!,3,FALSE),"")</f>
        <v/>
      </c>
      <c r="C50" s="23" t="str">
        <f>IFERROR(VLOOKUP(category_assignment_2[[#This Row],[abbreviation_id]],abbreviation[],ColumnLanguage+1,FALSE),"")</f>
        <v>Nachkühler</v>
      </c>
      <c r="D50" s="23"/>
      <c r="E50" s="23"/>
      <c r="F50" s="23"/>
      <c r="G50" s="23"/>
      <c r="H50" s="23"/>
      <c r="I50" s="23"/>
      <c r="J50" s="23"/>
      <c r="K50" s="23"/>
      <c r="M50" s="18">
        <v>49</v>
      </c>
      <c r="N50" s="18">
        <v>2</v>
      </c>
      <c r="O50" s="18">
        <v>63</v>
      </c>
      <c r="Q50" s="2"/>
    </row>
    <row r="51" spans="1:17" x14ac:dyDescent="0.25">
      <c r="A51" s="4">
        <f>IFERROR(category_assignment_2[[#This Row],[category_assignment_id]],"")</f>
        <v>50</v>
      </c>
      <c r="B51" s="23" t="str">
        <f>IFERROR(VLOOKUP(category_assignment_2[[#This Row],[category_id]],#REF!,3,FALSE),"")</f>
        <v/>
      </c>
      <c r="C51" s="23" t="str">
        <f>IFERROR(VLOOKUP(category_assignment_2[[#This Row],[abbreviation_id]],abbreviation[],ColumnLanguage+1,FALSE),"")</f>
        <v>Pumpe</v>
      </c>
      <c r="D51" s="23"/>
      <c r="E51" s="23"/>
      <c r="F51" s="23"/>
      <c r="G51" s="23"/>
      <c r="H51" s="23"/>
      <c r="I51" s="23"/>
      <c r="J51" s="23"/>
      <c r="K51" s="23"/>
      <c r="M51" s="18">
        <v>50</v>
      </c>
      <c r="N51" s="18">
        <v>2</v>
      </c>
      <c r="O51" s="18">
        <v>64</v>
      </c>
      <c r="Q51" s="2"/>
    </row>
    <row r="52" spans="1:17" x14ac:dyDescent="0.25">
      <c r="A52" s="4">
        <f>IFERROR(category_assignment_2[[#This Row],[category_assignment_id]],"")</f>
        <v>51</v>
      </c>
      <c r="B52" s="23" t="str">
        <f>IFERROR(VLOOKUP(category_assignment_2[[#This Row],[category_id]],#REF!,3,FALSE),"")</f>
        <v/>
      </c>
      <c r="C52" s="23" t="str">
        <f>IFERROR(VLOOKUP(category_assignment_2[[#This Row],[abbreviation_id]],abbreviation[],ColumnLanguage+1,FALSE),"")</f>
        <v>Schalter</v>
      </c>
      <c r="D52" s="23"/>
      <c r="E52" s="23"/>
      <c r="F52" s="23"/>
      <c r="G52" s="23"/>
      <c r="H52" s="23"/>
      <c r="I52" s="23"/>
      <c r="J52" s="23"/>
      <c r="K52" s="23"/>
      <c r="M52" s="18">
        <v>51</v>
      </c>
      <c r="N52" s="18">
        <v>2</v>
      </c>
      <c r="O52" s="18">
        <v>65</v>
      </c>
      <c r="Q52" s="2"/>
    </row>
    <row r="53" spans="1:17" x14ac:dyDescent="0.25">
      <c r="A53" s="4">
        <f>IFERROR(category_assignment_2[[#This Row],[category_assignment_id]],"")</f>
        <v>52</v>
      </c>
      <c r="B53" s="23" t="str">
        <f>IFERROR(VLOOKUP(category_assignment_2[[#This Row],[category_id]],#REF!,3,FALSE),"")</f>
        <v/>
      </c>
      <c r="C53" s="23" t="str">
        <f>IFERROR(VLOOKUP(category_assignment_2[[#This Row],[abbreviation_id]],abbreviation[],ColumnLanguage+1,FALSE),"")</f>
        <v>Sensor</v>
      </c>
      <c r="D53" s="23"/>
      <c r="E53" s="23"/>
      <c r="F53" s="23"/>
      <c r="G53" s="23"/>
      <c r="H53" s="23"/>
      <c r="I53" s="23"/>
      <c r="J53" s="23"/>
      <c r="K53" s="23"/>
      <c r="M53" s="18">
        <v>52</v>
      </c>
      <c r="N53" s="18">
        <v>2</v>
      </c>
      <c r="O53" s="18">
        <v>66</v>
      </c>
      <c r="Q53" s="2"/>
    </row>
    <row r="54" spans="1:17" x14ac:dyDescent="0.25">
      <c r="A54" s="4">
        <f>IFERROR(category_assignment_2[[#This Row],[category_assignment_id]],"")</f>
        <v>53</v>
      </c>
      <c r="B54" s="23" t="str">
        <f>IFERROR(VLOOKUP(category_assignment_2[[#This Row],[category_id]],#REF!,3,FALSE),"")</f>
        <v/>
      </c>
      <c r="C54" s="23" t="str">
        <f>IFERROR(VLOOKUP(category_assignment_2[[#This Row],[abbreviation_id]],abbreviation[],ColumnLanguage+1,FALSE),"")</f>
        <v>Speicher</v>
      </c>
      <c r="D54" s="23"/>
      <c r="E54" s="23"/>
      <c r="F54" s="23"/>
      <c r="G54" s="23"/>
      <c r="H54" s="23"/>
      <c r="I54" s="23"/>
      <c r="J54" s="23"/>
      <c r="K54" s="23"/>
      <c r="M54" s="18">
        <v>53</v>
      </c>
      <c r="N54" s="18">
        <v>2</v>
      </c>
      <c r="O54" s="18">
        <v>20</v>
      </c>
      <c r="Q54" s="2"/>
    </row>
    <row r="55" spans="1:17" x14ac:dyDescent="0.25">
      <c r="A55" s="4">
        <f>IFERROR(category_assignment_2[[#This Row],[category_assignment_id]],"")</f>
        <v>54</v>
      </c>
      <c r="B55" s="23" t="str">
        <f>IFERROR(VLOOKUP(category_assignment_2[[#This Row],[category_id]],#REF!,3,FALSE),"")</f>
        <v/>
      </c>
      <c r="C55" s="23" t="str">
        <f>IFERROR(VLOOKUP(category_assignment_2[[#This Row],[abbreviation_id]],abbreviation[],ColumnLanguage+1,FALSE),"")</f>
        <v>T-Stück</v>
      </c>
      <c r="D55" s="23"/>
      <c r="E55" s="23"/>
      <c r="F55" s="23"/>
      <c r="G55" s="23"/>
      <c r="H55" s="23"/>
      <c r="I55" s="23"/>
      <c r="J55" s="23"/>
      <c r="K55" s="23"/>
      <c r="M55" s="18">
        <v>54</v>
      </c>
      <c r="N55" s="18">
        <v>2</v>
      </c>
      <c r="O55" s="18">
        <v>67</v>
      </c>
      <c r="Q55" s="2"/>
    </row>
    <row r="56" spans="1:17" x14ac:dyDescent="0.25">
      <c r="A56" s="4">
        <f>IFERROR(category_assignment_2[[#This Row],[category_assignment_id]],"")</f>
        <v>55</v>
      </c>
      <c r="B56" s="23" t="str">
        <f>IFERROR(VLOOKUP(category_assignment_2[[#This Row],[category_id]],#REF!,3,FALSE),"")</f>
        <v/>
      </c>
      <c r="C56" s="23" t="str">
        <f>IFERROR(VLOOKUP(category_assignment_2[[#This Row],[abbreviation_id]],abbreviation[],ColumnLanguage+1,FALSE),"")</f>
        <v>Ventil</v>
      </c>
      <c r="D56" s="23"/>
      <c r="E56" s="23"/>
      <c r="F56" s="23"/>
      <c r="G56" s="23"/>
      <c r="H56" s="23"/>
      <c r="I56" s="23"/>
      <c r="J56" s="23"/>
      <c r="K56" s="23"/>
      <c r="M56" s="18">
        <v>55</v>
      </c>
      <c r="N56" s="18">
        <v>2</v>
      </c>
      <c r="O56" s="18">
        <v>68</v>
      </c>
      <c r="Q56" s="2"/>
    </row>
    <row r="57" spans="1:17" x14ac:dyDescent="0.25">
      <c r="A57" s="4">
        <f>IFERROR(category_assignment_2[[#This Row],[category_assignment_id]],"")</f>
        <v>56</v>
      </c>
      <c r="B57" s="23" t="str">
        <f>IFERROR(VLOOKUP(category_assignment_2[[#This Row],[category_id]],#REF!,3,FALSE),"")</f>
        <v/>
      </c>
      <c r="C57" s="23" t="str">
        <f>IFERROR(VLOOKUP(category_assignment_2[[#This Row],[abbreviation_id]],abbreviation[],ColumnLanguage+1,FALSE),"")</f>
        <v>Unterverteilsystem</v>
      </c>
      <c r="D57" s="23"/>
      <c r="E57" s="23"/>
      <c r="F57" s="23"/>
      <c r="G57" s="23"/>
      <c r="H57" s="23"/>
      <c r="I57" s="23"/>
      <c r="J57" s="23"/>
      <c r="K57" s="23"/>
      <c r="M57" s="18">
        <v>56</v>
      </c>
      <c r="N57" s="18">
        <v>2</v>
      </c>
      <c r="O57" s="18">
        <v>22</v>
      </c>
      <c r="Q57" s="2"/>
    </row>
    <row r="58" spans="1:17" x14ac:dyDescent="0.25">
      <c r="A58" s="4">
        <f>IFERROR(category_assignment_2[[#This Row],[category_assignment_id]],"")</f>
        <v>57</v>
      </c>
      <c r="B58" s="23" t="str">
        <f>IFERROR(VLOOKUP(category_assignment_2[[#This Row],[category_id]],#REF!,3,FALSE),"")</f>
        <v/>
      </c>
      <c r="C58" s="23" t="str">
        <f>IFERROR(VLOOKUP(category_assignment_2[[#This Row],[abbreviation_id]],abbreviation[],ColumnLanguage+1,FALSE),"")</f>
        <v>Ventilator</v>
      </c>
      <c r="D58" s="23"/>
      <c r="E58" s="23"/>
      <c r="F58" s="23"/>
      <c r="G58" s="23"/>
      <c r="H58" s="23"/>
      <c r="I58" s="23"/>
      <c r="J58" s="23"/>
      <c r="K58" s="23"/>
      <c r="M58" s="18">
        <v>57</v>
      </c>
      <c r="N58" s="18">
        <v>2</v>
      </c>
      <c r="O58" s="18">
        <v>69</v>
      </c>
      <c r="Q58" s="2"/>
    </row>
    <row r="59" spans="1:17" x14ac:dyDescent="0.25">
      <c r="A59" s="4">
        <f>IFERROR(category_assignment_2[[#This Row],[category_assignment_id]],"")</f>
        <v>58</v>
      </c>
      <c r="B59" s="23" t="str">
        <f>IFERROR(VLOOKUP(category_assignment_2[[#This Row],[category_id]],#REF!,3,FALSE),"")</f>
        <v/>
      </c>
      <c r="C59" s="23" t="str">
        <f>IFERROR(VLOOKUP(category_assignment_2[[#This Row],[abbreviation_id]],abbreviation[],ColumnLanguage+1,FALSE),"")</f>
        <v>Volumenstromregler</v>
      </c>
      <c r="D59" s="23"/>
      <c r="E59" s="23"/>
      <c r="F59" s="23"/>
      <c r="G59" s="23"/>
      <c r="H59" s="23"/>
      <c r="I59" s="23"/>
      <c r="J59" s="23"/>
      <c r="K59" s="23"/>
      <c r="M59" s="18">
        <v>58</v>
      </c>
      <c r="N59" s="18">
        <v>2</v>
      </c>
      <c r="O59" s="18">
        <v>70</v>
      </c>
      <c r="Q59" s="2"/>
    </row>
    <row r="60" spans="1:17" x14ac:dyDescent="0.25">
      <c r="A60" s="4">
        <f>IFERROR(category_assignment_2[[#This Row],[category_assignment_id]],"")</f>
        <v>59</v>
      </c>
      <c r="B60" s="23" t="str">
        <f>IFERROR(VLOOKUP(category_assignment_2[[#This Row],[category_id]],#REF!,3,FALSE),"")</f>
        <v/>
      </c>
      <c r="C60" s="23" t="str">
        <f>IFERROR(VLOOKUP(category_assignment_2[[#This Row],[abbreviation_id]],abbreviation[],ColumnLanguage+1,FALSE),"")</f>
        <v>Vorerhitzer</v>
      </c>
      <c r="D60" s="23"/>
      <c r="E60" s="23"/>
      <c r="F60" s="23"/>
      <c r="G60" s="23"/>
      <c r="H60" s="23"/>
      <c r="I60" s="23"/>
      <c r="J60" s="23"/>
      <c r="K60" s="23"/>
      <c r="M60" s="18">
        <v>59</v>
      </c>
      <c r="N60" s="18">
        <v>2</v>
      </c>
      <c r="O60" s="18">
        <v>71</v>
      </c>
      <c r="Q60" s="2"/>
    </row>
    <row r="61" spans="1:17" x14ac:dyDescent="0.25">
      <c r="A61" s="4">
        <f>IFERROR(category_assignment_2[[#This Row],[category_assignment_id]],"")</f>
        <v>60</v>
      </c>
      <c r="B61" s="23" t="str">
        <f>IFERROR(VLOOKUP(category_assignment_2[[#This Row],[category_id]],#REF!,3,FALSE),"")</f>
        <v/>
      </c>
      <c r="C61" s="23" t="str">
        <f>IFERROR(VLOOKUP(category_assignment_2[[#This Row],[abbreviation_id]],abbreviation[],ColumnLanguage+1,FALSE),"")</f>
        <v>Vorerhitzer und -kühler</v>
      </c>
      <c r="D61" s="23"/>
      <c r="E61" s="23"/>
      <c r="F61" s="23"/>
      <c r="G61" s="23"/>
      <c r="H61" s="23"/>
      <c r="I61" s="23"/>
      <c r="J61" s="23"/>
      <c r="K61" s="23"/>
      <c r="M61" s="18">
        <v>60</v>
      </c>
      <c r="N61" s="18">
        <v>2</v>
      </c>
      <c r="O61" s="18">
        <v>72</v>
      </c>
      <c r="Q61" s="2"/>
    </row>
    <row r="62" spans="1:17" x14ac:dyDescent="0.25">
      <c r="A62" s="4">
        <f>IFERROR(category_assignment_2[[#This Row],[category_assignment_id]],"")</f>
        <v>61</v>
      </c>
      <c r="B62" s="23" t="str">
        <f>IFERROR(VLOOKUP(category_assignment_2[[#This Row],[category_id]],#REF!,3,FALSE),"")</f>
        <v/>
      </c>
      <c r="C62" s="23" t="str">
        <f>IFERROR(VLOOKUP(category_assignment_2[[#This Row],[abbreviation_id]],abbreviation[],ColumnLanguage+1,FALSE),"")</f>
        <v>Vorkühler</v>
      </c>
      <c r="D62" s="23"/>
      <c r="E62" s="23"/>
      <c r="F62" s="23"/>
      <c r="G62" s="23"/>
      <c r="H62" s="23"/>
      <c r="I62" s="23"/>
      <c r="J62" s="23"/>
      <c r="K62" s="23"/>
      <c r="M62" s="18">
        <v>61</v>
      </c>
      <c r="N62" s="18">
        <v>2</v>
      </c>
      <c r="O62" s="18">
        <v>73</v>
      </c>
      <c r="Q62" s="2"/>
    </row>
    <row r="63" spans="1:17" x14ac:dyDescent="0.25">
      <c r="A63" s="4">
        <f>IFERROR(category_assignment_2[[#This Row],[category_assignment_id]],"")</f>
        <v>62</v>
      </c>
      <c r="B63" s="23" t="str">
        <f>IFERROR(VLOOKUP(category_assignment_2[[#This Row],[category_id]],#REF!,3,FALSE),"")</f>
        <v/>
      </c>
      <c r="C63" s="23" t="str">
        <f>IFERROR(VLOOKUP(category_assignment_2[[#This Row],[abbreviation_id]],abbreviation[],ColumnLanguage+1,FALSE),"")</f>
        <v>Wärmepumpe</v>
      </c>
      <c r="D63" s="23"/>
      <c r="E63" s="23"/>
      <c r="F63" s="23"/>
      <c r="G63" s="23"/>
      <c r="H63" s="23"/>
      <c r="I63" s="23"/>
      <c r="J63" s="23"/>
      <c r="K63" s="23"/>
      <c r="M63" s="18">
        <v>62</v>
      </c>
      <c r="N63" s="18">
        <v>2</v>
      </c>
      <c r="O63" s="18">
        <v>25</v>
      </c>
      <c r="Q63" s="2"/>
    </row>
    <row r="64" spans="1:17" x14ac:dyDescent="0.25">
      <c r="A64" s="4">
        <f>IFERROR(category_assignment_2[[#This Row],[category_assignment_id]],"")</f>
        <v>63</v>
      </c>
      <c r="B64" s="23" t="str">
        <f>IFERROR(VLOOKUP(category_assignment_2[[#This Row],[category_id]],#REF!,3,FALSE),"")</f>
        <v/>
      </c>
      <c r="C64" s="23" t="str">
        <f>IFERROR(VLOOKUP(category_assignment_2[[#This Row],[abbreviation_id]],abbreviation[],ColumnLanguage+1,FALSE),"")</f>
        <v>Wärmerückgewinnung</v>
      </c>
      <c r="D64" s="23"/>
      <c r="E64" s="23"/>
      <c r="F64" s="23"/>
      <c r="G64" s="23"/>
      <c r="H64" s="23"/>
      <c r="I64" s="23"/>
      <c r="J64" s="23"/>
      <c r="K64" s="23"/>
      <c r="M64" s="18">
        <v>63</v>
      </c>
      <c r="N64" s="18">
        <v>2</v>
      </c>
      <c r="O64" s="18">
        <v>74</v>
      </c>
      <c r="Q64" s="2"/>
    </row>
    <row r="65" spans="1:17" x14ac:dyDescent="0.25">
      <c r="A65" s="4">
        <f>IFERROR(category_assignment_2[[#This Row],[category_assignment_id]],"")</f>
        <v>64</v>
      </c>
      <c r="B65" s="23" t="str">
        <f>IFERROR(VLOOKUP(category_assignment_2[[#This Row],[category_id]],#REF!,3,FALSE),"")</f>
        <v/>
      </c>
      <c r="C65" s="23" t="str">
        <f>IFERROR(VLOOKUP(category_assignment_2[[#This Row],[abbreviation_id]],abbreviation[],ColumnLanguage+1,FALSE),"")</f>
        <v>Reparatur</v>
      </c>
      <c r="D65" s="23"/>
      <c r="E65" s="23"/>
      <c r="F65" s="23"/>
      <c r="G65" s="23"/>
      <c r="H65" s="23"/>
      <c r="I65" s="23"/>
      <c r="J65" s="23"/>
      <c r="K65" s="23"/>
      <c r="M65" s="18">
        <v>64</v>
      </c>
      <c r="N65" s="18">
        <v>3</v>
      </c>
      <c r="O65" s="18">
        <v>104</v>
      </c>
      <c r="Q65" s="2"/>
    </row>
    <row r="66" spans="1:17" x14ac:dyDescent="0.25">
      <c r="A66" s="4">
        <f>IFERROR(category_assignment_2[[#This Row],[category_assignment_id]],"")</f>
        <v>65</v>
      </c>
      <c r="B66" s="23" t="str">
        <f>IFERROR(VLOOKUP(category_assignment_2[[#This Row],[category_id]],#REF!,3,FALSE),"")</f>
        <v/>
      </c>
      <c r="C66" s="23" t="str">
        <f>IFERROR(VLOOKUP(category_assignment_2[[#This Row],[abbreviation_id]],abbreviation[],ColumnLanguage+1,FALSE),"")</f>
        <v>Bypass</v>
      </c>
      <c r="D66" s="23"/>
      <c r="E66" s="23"/>
      <c r="F66" s="23"/>
      <c r="G66" s="23"/>
      <c r="H66" s="23"/>
      <c r="I66" s="23"/>
      <c r="J66" s="23"/>
      <c r="K66" s="23"/>
      <c r="M66" s="18">
        <v>65</v>
      </c>
      <c r="N66" s="18">
        <v>3</v>
      </c>
      <c r="O66" s="18">
        <v>105</v>
      </c>
      <c r="Q66" s="2"/>
    </row>
    <row r="67" spans="1:17" x14ac:dyDescent="0.25">
      <c r="A67" s="4">
        <f>IFERROR(category_assignment_2[[#This Row],[category_assignment_id]],"")</f>
        <v>66</v>
      </c>
      <c r="B67" s="23" t="str">
        <f>IFERROR(VLOOKUP(category_assignment_2[[#This Row],[category_id]],#REF!,3,FALSE),"")</f>
        <v/>
      </c>
      <c r="C67" s="23" t="str">
        <f>IFERROR(VLOOKUP(category_assignment_2[[#This Row],[abbreviation_id]],abbreviation[],ColumnLanguage+1,FALSE),"")</f>
        <v>Freie Kühlung</v>
      </c>
      <c r="D67" s="23"/>
      <c r="E67" s="23"/>
      <c r="F67" s="23"/>
      <c r="G67" s="23"/>
      <c r="H67" s="23"/>
      <c r="I67" s="23"/>
      <c r="J67" s="23"/>
      <c r="K67" s="23"/>
      <c r="M67" s="18">
        <v>66</v>
      </c>
      <c r="N67" s="18">
        <v>3</v>
      </c>
      <c r="O67" s="18">
        <v>7</v>
      </c>
      <c r="Q67" s="2"/>
    </row>
    <row r="68" spans="1:17" x14ac:dyDescent="0.25">
      <c r="A68" s="4">
        <f>IFERROR(category_assignment_2[[#This Row],[category_assignment_id]],"")</f>
        <v>67</v>
      </c>
      <c r="B68" s="23" t="str">
        <f>IFERROR(VLOOKUP(category_assignment_2[[#This Row],[category_id]],#REF!,3,FALSE),"")</f>
        <v/>
      </c>
      <c r="C68" s="23" t="str">
        <f>IFERROR(VLOOKUP(category_assignment_2[[#This Row],[abbreviation_id]],abbreviation[],ColumnLanguage+1,FALSE),"")</f>
        <v>Filter</v>
      </c>
      <c r="D68" s="23"/>
      <c r="E68" s="23"/>
      <c r="F68" s="23"/>
      <c r="G68" s="23"/>
      <c r="H68" s="23"/>
      <c r="I68" s="23"/>
      <c r="J68" s="23"/>
      <c r="K68" s="23"/>
      <c r="M68" s="18">
        <v>67</v>
      </c>
      <c r="N68" s="18">
        <v>3</v>
      </c>
      <c r="O68" s="18">
        <v>106</v>
      </c>
      <c r="Q68" s="2"/>
    </row>
    <row r="69" spans="1:17" x14ac:dyDescent="0.25">
      <c r="A69" s="4">
        <f>IFERROR(category_assignment_2[[#This Row],[category_assignment_id]],"")</f>
        <v>68</v>
      </c>
      <c r="B69" s="23" t="str">
        <f>IFERROR(VLOOKUP(category_assignment_2[[#This Row],[category_id]],#REF!,3,FALSE),"")</f>
        <v/>
      </c>
      <c r="C69" s="23" t="str">
        <f>IFERROR(VLOOKUP(category_assignment_2[[#This Row],[abbreviation_id]],abbreviation[],ColumnLanguage+1,FALSE),"")</f>
        <v>Glykol</v>
      </c>
      <c r="D69" s="23"/>
      <c r="E69" s="23"/>
      <c r="F69" s="23"/>
      <c r="G69" s="23"/>
      <c r="H69" s="23"/>
      <c r="I69" s="23"/>
      <c r="J69" s="23"/>
      <c r="K69" s="23"/>
      <c r="M69" s="18">
        <v>68</v>
      </c>
      <c r="N69" s="18">
        <v>3</v>
      </c>
      <c r="O69" s="18">
        <v>107</v>
      </c>
      <c r="Q69" s="2"/>
    </row>
    <row r="70" spans="1:17" x14ac:dyDescent="0.25">
      <c r="A70" s="4">
        <f>IFERROR(category_assignment_2[[#This Row],[category_assignment_id]],"")</f>
        <v>69</v>
      </c>
      <c r="B70" s="23" t="str">
        <f>IFERROR(VLOOKUP(category_assignment_2[[#This Row],[category_id]],#REF!,3,FALSE),"")</f>
        <v/>
      </c>
      <c r="C70" s="23" t="str">
        <f>IFERROR(VLOOKUP(category_assignment_2[[#This Row],[abbreviation_id]],abbreviation[],ColumnLanguage+1,FALSE),"")</f>
        <v>Kühlturm</v>
      </c>
      <c r="D70" s="23"/>
      <c r="E70" s="23"/>
      <c r="F70" s="23"/>
      <c r="G70" s="23"/>
      <c r="H70" s="23"/>
      <c r="I70" s="23"/>
      <c r="J70" s="23"/>
      <c r="K70" s="23"/>
      <c r="M70" s="18">
        <v>69</v>
      </c>
      <c r="N70" s="18">
        <v>3</v>
      </c>
      <c r="O70" s="18">
        <v>14</v>
      </c>
      <c r="Q70" s="2"/>
    </row>
    <row r="71" spans="1:17" x14ac:dyDescent="0.25">
      <c r="A71" s="4">
        <f>IFERROR(category_assignment_2[[#This Row],[category_assignment_id]],"")</f>
        <v>70</v>
      </c>
      <c r="B71" s="23" t="str">
        <f>IFERROR(VLOOKUP(category_assignment_2[[#This Row],[category_id]],#REF!,3,FALSE),"")</f>
        <v/>
      </c>
      <c r="C71" s="23" t="str">
        <f>IFERROR(VLOOKUP(category_assignment_2[[#This Row],[abbreviation_id]],abbreviation[],ColumnLanguage+1,FALSE),"")</f>
        <v>Hydraulische Weiche</v>
      </c>
      <c r="D71" s="23"/>
      <c r="E71" s="23"/>
      <c r="F71" s="23"/>
      <c r="G71" s="23"/>
      <c r="H71" s="23"/>
      <c r="I71" s="23"/>
      <c r="J71" s="23"/>
      <c r="K71" s="23"/>
      <c r="M71" s="18">
        <v>70</v>
      </c>
      <c r="N71" s="18">
        <v>3</v>
      </c>
      <c r="O71" s="18">
        <v>108</v>
      </c>
      <c r="Q71" s="2"/>
    </row>
    <row r="72" spans="1:17" x14ac:dyDescent="0.25">
      <c r="A72" s="4">
        <f>IFERROR(category_assignment_2[[#This Row],[category_assignment_id]],"")</f>
        <v>71</v>
      </c>
      <c r="B72" s="23" t="str">
        <f>IFERROR(VLOOKUP(category_assignment_2[[#This Row],[category_id]],#REF!,3,FALSE),"")</f>
        <v/>
      </c>
      <c r="C72" s="23" t="str">
        <f>IFERROR(VLOOKUP(category_assignment_2[[#This Row],[abbreviation_id]],abbreviation[],ColumnLanguage+1,FALSE),"")</f>
        <v>Solarthermie</v>
      </c>
      <c r="D72" s="23"/>
      <c r="E72" s="23"/>
      <c r="F72" s="23"/>
      <c r="G72" s="23"/>
      <c r="H72" s="23"/>
      <c r="I72" s="23"/>
      <c r="J72" s="23"/>
      <c r="K72" s="23"/>
      <c r="M72" s="18">
        <v>71</v>
      </c>
      <c r="N72" s="18">
        <v>3</v>
      </c>
      <c r="O72" s="18">
        <v>19</v>
      </c>
      <c r="Q72" s="2"/>
    </row>
    <row r="73" spans="1:17" x14ac:dyDescent="0.25">
      <c r="A73" s="4">
        <f>IFERROR(category_assignment_2[[#This Row],[category_assignment_id]],"")</f>
        <v>72</v>
      </c>
      <c r="B73" s="23" t="str">
        <f>IFERROR(VLOOKUP(category_assignment_2[[#This Row],[category_id]],#REF!,3,FALSE),"")</f>
        <v/>
      </c>
      <c r="C73" s="23" t="str">
        <f>IFERROR(VLOOKUP(category_assignment_2[[#This Row],[abbreviation_id]],abbreviation[],ColumnLanguage+1,FALSE),"")</f>
        <v>Ventil</v>
      </c>
      <c r="D73" s="23"/>
      <c r="E73" s="23"/>
      <c r="F73" s="23"/>
      <c r="G73" s="23"/>
      <c r="H73" s="23"/>
      <c r="I73" s="23"/>
      <c r="J73" s="23"/>
      <c r="K73" s="23"/>
      <c r="M73" s="18">
        <v>72</v>
      </c>
      <c r="N73" s="18">
        <v>3</v>
      </c>
      <c r="O73" s="18">
        <v>68</v>
      </c>
      <c r="Q73" s="2"/>
    </row>
    <row r="74" spans="1:17" x14ac:dyDescent="0.25">
      <c r="A74" s="4">
        <f>IFERROR(category_assignment_2[[#This Row],[category_assignment_id]],"")</f>
        <v>73</v>
      </c>
      <c r="B74" s="23" t="str">
        <f>IFERROR(VLOOKUP(category_assignment_2[[#This Row],[category_id]],#REF!,3,FALSE),"")</f>
        <v/>
      </c>
      <c r="C74" s="23" t="str">
        <f>IFERROR(VLOOKUP(category_assignment_2[[#This Row],[abbreviation_id]],abbreviation[],ColumnLanguage+1,FALSE),"")</f>
        <v>Wärmeübertrager</v>
      </c>
      <c r="D74" s="23"/>
      <c r="E74" s="23"/>
      <c r="F74" s="23"/>
      <c r="G74" s="23"/>
      <c r="H74" s="23"/>
      <c r="I74" s="23"/>
      <c r="J74" s="23"/>
      <c r="K74" s="23"/>
      <c r="M74" s="18">
        <v>73</v>
      </c>
      <c r="N74" s="18">
        <v>3</v>
      </c>
      <c r="O74" s="18">
        <v>26</v>
      </c>
      <c r="Q74" s="2"/>
    </row>
    <row r="75" spans="1:17" x14ac:dyDescent="0.25">
      <c r="A75" s="4">
        <f>IFERROR(category_assignment_2[[#This Row],[category_assignment_id]],"")</f>
        <v>74</v>
      </c>
      <c r="B75" s="23" t="str">
        <f>IFERROR(VLOOKUP(category_assignment_2[[#This Row],[category_id]],#REF!,3,FALSE),"")</f>
        <v/>
      </c>
      <c r="C75" s="23" t="str">
        <f>IFERROR(VLOOKUP(category_assignment_2[[#This Row],[abbreviation_id]],abbreviation[],ColumnLanguage+1,FALSE),"")</f>
        <v>Reparatur</v>
      </c>
      <c r="D75" s="23"/>
      <c r="E75" s="23"/>
      <c r="F75" s="23"/>
      <c r="G75" s="23"/>
      <c r="H75" s="23"/>
      <c r="I75" s="23"/>
      <c r="J75" s="23"/>
      <c r="K75" s="23"/>
      <c r="M75" s="18">
        <v>74</v>
      </c>
      <c r="N75" s="18">
        <v>4</v>
      </c>
      <c r="O75" s="18">
        <v>104</v>
      </c>
      <c r="Q75" s="2"/>
    </row>
    <row r="76" spans="1:17" x14ac:dyDescent="0.25">
      <c r="A76" s="4">
        <f>IFERROR(category_assignment_2[[#This Row],[category_assignment_id]],"")</f>
        <v>75</v>
      </c>
      <c r="B76" s="23" t="str">
        <f>IFERROR(VLOOKUP(category_assignment_2[[#This Row],[category_id]],#REF!,3,FALSE),"")</f>
        <v/>
      </c>
      <c r="C76" s="23" t="str">
        <f>IFERROR(VLOOKUP(category_assignment_2[[#This Row],[abbreviation_id]],abbreviation[],ColumnLanguage+1,FALSE),"")</f>
        <v>Eintritt</v>
      </c>
      <c r="D76" s="23"/>
      <c r="E76" s="23"/>
      <c r="F76" s="23"/>
      <c r="G76" s="23"/>
      <c r="H76" s="23"/>
      <c r="I76" s="23"/>
      <c r="J76" s="23"/>
      <c r="K76" s="23"/>
      <c r="M76" s="18">
        <v>75</v>
      </c>
      <c r="N76" s="18">
        <v>4</v>
      </c>
      <c r="O76" s="18">
        <v>136</v>
      </c>
      <c r="Q76" s="2"/>
    </row>
    <row r="77" spans="1:17" x14ac:dyDescent="0.25">
      <c r="A77" s="4">
        <f>IFERROR(category_assignment_2[[#This Row],[category_assignment_id]],"")</f>
        <v>76</v>
      </c>
      <c r="B77" s="23" t="str">
        <f>IFERROR(VLOOKUP(category_assignment_2[[#This Row],[category_id]],#REF!,3,FALSE),"")</f>
        <v/>
      </c>
      <c r="C77" s="23" t="str">
        <f>IFERROR(VLOOKUP(category_assignment_2[[#This Row],[abbreviation_id]],abbreviation[],ColumnLanguage+1,FALSE),"")</f>
        <v>Mitte</v>
      </c>
      <c r="D77" s="23"/>
      <c r="E77" s="23"/>
      <c r="F77" s="23"/>
      <c r="G77" s="23"/>
      <c r="H77" s="23"/>
      <c r="I77" s="23"/>
      <c r="J77" s="23"/>
      <c r="K77" s="23"/>
      <c r="M77" s="18">
        <v>76</v>
      </c>
      <c r="N77" s="18">
        <v>4</v>
      </c>
      <c r="O77" s="18">
        <v>137</v>
      </c>
      <c r="Q77" s="2"/>
    </row>
    <row r="78" spans="1:17" x14ac:dyDescent="0.25">
      <c r="A78" s="4">
        <f>IFERROR(category_assignment_2[[#This Row],[category_assignment_id]],"")</f>
        <v>77</v>
      </c>
      <c r="B78" s="23" t="str">
        <f>IFERROR(VLOOKUP(category_assignment_2[[#This Row],[category_id]],#REF!,3,FALSE),"")</f>
        <v/>
      </c>
      <c r="C78" s="23" t="str">
        <f>IFERROR(VLOOKUP(category_assignment_2[[#This Row],[abbreviation_id]],abbreviation[],ColumnLanguage+1,FALSE),"")</f>
        <v>nach Wärmerückgewinnung</v>
      </c>
      <c r="D78" s="23"/>
      <c r="E78" s="23"/>
      <c r="F78" s="23"/>
      <c r="G78" s="23"/>
      <c r="H78" s="23"/>
      <c r="I78" s="23"/>
      <c r="J78" s="23"/>
      <c r="K78" s="23"/>
      <c r="M78" s="18">
        <v>77</v>
      </c>
      <c r="N78" s="18">
        <v>4</v>
      </c>
      <c r="O78" s="18">
        <v>138</v>
      </c>
      <c r="Q78" s="2"/>
    </row>
    <row r="79" spans="1:17" x14ac:dyDescent="0.25">
      <c r="A79" s="4">
        <f>IFERROR(category_assignment_2[[#This Row],[category_assignment_id]],"")</f>
        <v>78</v>
      </c>
      <c r="B79" s="23" t="str">
        <f>IFERROR(VLOOKUP(category_assignment_2[[#This Row],[category_id]],#REF!,3,FALSE),"")</f>
        <v/>
      </c>
      <c r="C79" s="23" t="str">
        <f>IFERROR(VLOOKUP(category_assignment_2[[#This Row],[abbreviation_id]],abbreviation[],ColumnLanguage+1,FALSE),"")</f>
        <v>Oben</v>
      </c>
      <c r="D79" s="23"/>
      <c r="E79" s="23"/>
      <c r="F79" s="23"/>
      <c r="G79" s="23"/>
      <c r="H79" s="23"/>
      <c r="I79" s="23"/>
      <c r="J79" s="23"/>
      <c r="K79" s="23"/>
      <c r="M79" s="18">
        <v>78</v>
      </c>
      <c r="N79" s="18">
        <v>4</v>
      </c>
      <c r="O79" s="18">
        <v>139</v>
      </c>
      <c r="Q79" s="2"/>
    </row>
    <row r="80" spans="1:17" x14ac:dyDescent="0.25">
      <c r="A80" s="4">
        <f>IFERROR(category_assignment_2[[#This Row],[category_assignment_id]],"")</f>
        <v>79</v>
      </c>
      <c r="B80" s="23" t="str">
        <f>IFERROR(VLOOKUP(category_assignment_2[[#This Row],[category_id]],#REF!,3,FALSE),"")</f>
        <v/>
      </c>
      <c r="C80" s="23" t="str">
        <f>IFERROR(VLOOKUP(category_assignment_2[[#This Row],[abbreviation_id]],abbreviation[],ColumnLanguage+1,FALSE),"")</f>
        <v>Rücklauf (RL)</v>
      </c>
      <c r="D80" s="23"/>
      <c r="E80" s="23"/>
      <c r="F80" s="23"/>
      <c r="G80" s="23"/>
      <c r="H80" s="23"/>
      <c r="I80" s="23"/>
      <c r="J80" s="23"/>
      <c r="K80" s="23"/>
      <c r="M80" s="18">
        <v>79</v>
      </c>
      <c r="N80" s="18">
        <v>4</v>
      </c>
      <c r="O80" s="18">
        <v>140</v>
      </c>
      <c r="Q80" s="2"/>
    </row>
    <row r="81" spans="1:17" x14ac:dyDescent="0.25">
      <c r="A81" s="4">
        <f>IFERROR(category_assignment_2[[#This Row],[category_assignment_id]],"")</f>
        <v>80</v>
      </c>
      <c r="B81" s="23" t="str">
        <f>IFERROR(VLOOKUP(category_assignment_2[[#This Row],[category_id]],#REF!,3,FALSE),"")</f>
        <v/>
      </c>
      <c r="C81" s="23" t="str">
        <f>IFERROR(VLOOKUP(category_assignment_2[[#This Row],[abbreviation_id]],abbreviation[],ColumnLanguage+1,FALSE),"")</f>
        <v>Unten</v>
      </c>
      <c r="D81" s="23"/>
      <c r="E81" s="23"/>
      <c r="F81" s="23"/>
      <c r="G81" s="23"/>
      <c r="H81" s="23"/>
      <c r="I81" s="23"/>
      <c r="J81" s="23"/>
      <c r="K81" s="23"/>
      <c r="M81" s="18">
        <v>80</v>
      </c>
      <c r="N81" s="18">
        <v>4</v>
      </c>
      <c r="O81" s="18">
        <v>141</v>
      </c>
      <c r="Q81" s="2"/>
    </row>
    <row r="82" spans="1:17" x14ac:dyDescent="0.25">
      <c r="A82" s="4">
        <f>IFERROR(category_assignment_2[[#This Row],[category_assignment_id]],"")</f>
        <v>81</v>
      </c>
      <c r="B82" s="23" t="str">
        <f>IFERROR(VLOOKUP(category_assignment_2[[#This Row],[category_id]],#REF!,3,FALSE),"")</f>
        <v/>
      </c>
      <c r="C82" s="23" t="str">
        <f>IFERROR(VLOOKUP(category_assignment_2[[#This Row],[abbreviation_id]],abbreviation[],ColumnLanguage+1,FALSE),"")</f>
        <v>vor Wärmerückgewinnung</v>
      </c>
      <c r="D82" s="23"/>
      <c r="E82" s="23"/>
      <c r="F82" s="23"/>
      <c r="G82" s="23"/>
      <c r="H82" s="23"/>
      <c r="I82" s="23"/>
      <c r="J82" s="23"/>
      <c r="K82" s="23"/>
      <c r="M82" s="18">
        <v>81</v>
      </c>
      <c r="N82" s="18">
        <v>4</v>
      </c>
      <c r="O82" s="18">
        <v>142</v>
      </c>
      <c r="Q82" s="2"/>
    </row>
    <row r="83" spans="1:17" x14ac:dyDescent="0.25">
      <c r="A83" s="4">
        <f>IFERROR(category_assignment_2[[#This Row],[category_assignment_id]],"")</f>
        <v>82</v>
      </c>
      <c r="B83" s="23" t="str">
        <f>IFERROR(VLOOKUP(category_assignment_2[[#This Row],[category_id]],#REF!,3,FALSE),"")</f>
        <v/>
      </c>
      <c r="C83" s="23" t="str">
        <f>IFERROR(VLOOKUP(category_assignment_2[[#This Row],[abbreviation_id]],abbreviation[],ColumnLanguage+1,FALSE),"")</f>
        <v>Frequenzumformer</v>
      </c>
      <c r="D83" s="23"/>
      <c r="E83" s="23"/>
      <c r="F83" s="23"/>
      <c r="G83" s="23"/>
      <c r="H83" s="23"/>
      <c r="I83" s="23"/>
      <c r="J83" s="23"/>
      <c r="K83" s="23"/>
      <c r="M83" s="18">
        <v>82</v>
      </c>
      <c r="N83" s="18">
        <v>5</v>
      </c>
      <c r="O83" s="18">
        <v>134</v>
      </c>
      <c r="Q83" s="2"/>
    </row>
    <row r="84" spans="1:17" x14ac:dyDescent="0.25">
      <c r="A84" s="4">
        <f>IFERROR(category_assignment_2[[#This Row],[category_assignment_id]],"")</f>
        <v>83</v>
      </c>
      <c r="B84" s="23" t="str">
        <f>IFERROR(VLOOKUP(category_assignment_2[[#This Row],[category_id]],#REF!,3,FALSE),"")</f>
        <v/>
      </c>
      <c r="C84" s="23" t="str">
        <f>IFERROR(VLOOKUP(category_assignment_2[[#This Row],[abbreviation_id]],abbreviation[],ColumnLanguage+1,FALSE),"")</f>
        <v>Austritt</v>
      </c>
      <c r="D84" s="23"/>
      <c r="E84" s="23"/>
      <c r="F84" s="23"/>
      <c r="G84" s="23"/>
      <c r="H84" s="23"/>
      <c r="I84" s="23"/>
      <c r="J84" s="23"/>
      <c r="K84" s="23"/>
      <c r="M84" s="18">
        <v>83</v>
      </c>
      <c r="N84" s="18">
        <v>5</v>
      </c>
      <c r="O84" s="18">
        <v>135</v>
      </c>
      <c r="Q84" s="2"/>
    </row>
    <row r="85" spans="1:17" x14ac:dyDescent="0.25">
      <c r="A85" s="4">
        <f>IFERROR(category_assignment_2[[#This Row],[category_assignment_id]],"")</f>
        <v>84</v>
      </c>
      <c r="B85" s="23" t="str">
        <f>IFERROR(VLOOKUP(category_assignment_2[[#This Row],[category_id]],#REF!,3,FALSE),"")</f>
        <v/>
      </c>
      <c r="C85" s="23" t="str">
        <f>IFERROR(VLOOKUP(category_assignment_2[[#This Row],[abbreviation_id]],abbreviation[],ColumnLanguage+1,FALSE),"")</f>
        <v>Kühl</v>
      </c>
      <c r="D85" s="23"/>
      <c r="E85" s="23"/>
      <c r="F85" s="23"/>
      <c r="G85" s="23"/>
      <c r="H85" s="23"/>
      <c r="I85" s="23"/>
      <c r="J85" s="23"/>
      <c r="K85" s="23"/>
      <c r="M85" s="18">
        <v>84</v>
      </c>
      <c r="N85" s="18">
        <v>5</v>
      </c>
      <c r="O85" s="18">
        <v>112</v>
      </c>
      <c r="Q85" s="2"/>
    </row>
    <row r="86" spans="1:17" x14ac:dyDescent="0.25">
      <c r="A86" s="4">
        <f>IFERROR(category_assignment_2[[#This Row],[category_assignment_id]],"")</f>
        <v>85</v>
      </c>
      <c r="B86" s="23" t="str">
        <f>IFERROR(VLOOKUP(category_assignment_2[[#This Row],[category_id]],#REF!,3,FALSE),"")</f>
        <v/>
      </c>
      <c r="C86" s="23" t="str">
        <f>IFERROR(VLOOKUP(category_assignment_2[[#This Row],[abbreviation_id]],abbreviation[],ColumnLanguage+1,FALSE),"")</f>
        <v>Primär</v>
      </c>
      <c r="D86" s="23"/>
      <c r="E86" s="23"/>
      <c r="F86" s="23"/>
      <c r="G86" s="23"/>
      <c r="H86" s="23"/>
      <c r="I86" s="23"/>
      <c r="J86" s="23"/>
      <c r="K86" s="23"/>
      <c r="M86" s="18">
        <v>85</v>
      </c>
      <c r="N86" s="18">
        <v>5</v>
      </c>
      <c r="O86" s="18">
        <v>113</v>
      </c>
      <c r="Q86" s="2"/>
    </row>
    <row r="87" spans="1:17" x14ac:dyDescent="0.25">
      <c r="A87" s="4">
        <f>IFERROR(category_assignment_2[[#This Row],[category_assignment_id]],"")</f>
        <v>86</v>
      </c>
      <c r="B87" s="23" t="str">
        <f>IFERROR(VLOOKUP(category_assignment_2[[#This Row],[category_id]],#REF!,3,FALSE),"")</f>
        <v/>
      </c>
      <c r="C87" s="23" t="str">
        <f>IFERROR(VLOOKUP(category_assignment_2[[#This Row],[abbreviation_id]],abbreviation[],ColumnLanguage+1,FALSE),"")</f>
        <v>Vorlauf (VL)</v>
      </c>
      <c r="D87" s="23"/>
      <c r="E87" s="23"/>
      <c r="F87" s="23"/>
      <c r="G87" s="23"/>
      <c r="H87" s="23"/>
      <c r="I87" s="23"/>
      <c r="J87" s="23"/>
      <c r="K87" s="23"/>
      <c r="M87" s="18">
        <v>86</v>
      </c>
      <c r="N87" s="18">
        <v>6</v>
      </c>
      <c r="O87" s="18">
        <v>143</v>
      </c>
      <c r="Q87" s="2"/>
    </row>
    <row r="88" spans="1:17" x14ac:dyDescent="0.25">
      <c r="A88" s="4">
        <f>IFERROR(category_assignment_2[[#This Row],[category_assignment_id]],"")</f>
        <v>87</v>
      </c>
      <c r="B88" s="23" t="str">
        <f>IFERROR(VLOOKUP(category_assignment_2[[#This Row],[category_id]],#REF!,3,FALSE),"")</f>
        <v/>
      </c>
      <c r="C88" s="23" t="str">
        <f>IFERROR(VLOOKUP(category_assignment_2[[#This Row],[abbreviation_id]],abbreviation[],ColumnLanguage+1,FALSE),"")</f>
        <v>Alarm</v>
      </c>
      <c r="D88" s="23"/>
      <c r="E88" s="23"/>
      <c r="F88" s="23"/>
      <c r="G88" s="23"/>
      <c r="H88" s="23"/>
      <c r="I88" s="23"/>
      <c r="J88" s="23"/>
      <c r="K88" s="23"/>
      <c r="M88" s="18">
        <v>87</v>
      </c>
      <c r="N88" s="18">
        <v>6</v>
      </c>
      <c r="O88" s="18">
        <v>144</v>
      </c>
      <c r="Q88" s="2"/>
    </row>
    <row r="89" spans="1:17" x14ac:dyDescent="0.25">
      <c r="A89" s="4">
        <f>IFERROR(category_assignment_2[[#This Row],[category_assignment_id]],"")</f>
        <v>88</v>
      </c>
      <c r="B89" s="23" t="str">
        <f>IFERROR(VLOOKUP(category_assignment_2[[#This Row],[category_id]],#REF!,3,FALSE),"")</f>
        <v/>
      </c>
      <c r="C89" s="23" t="str">
        <f>IFERROR(VLOOKUP(category_assignment_2[[#This Row],[abbreviation_id]],abbreviation[],ColumnLanguage+1,FALSE),"")</f>
        <v>Betriebsmeldung</v>
      </c>
      <c r="D89" s="23"/>
      <c r="E89" s="23"/>
      <c r="F89" s="23"/>
      <c r="G89" s="23"/>
      <c r="H89" s="23"/>
      <c r="I89" s="23"/>
      <c r="J89" s="23"/>
      <c r="K89" s="23"/>
      <c r="M89" s="18">
        <v>88</v>
      </c>
      <c r="N89" s="18">
        <v>6</v>
      </c>
      <c r="O89" s="18">
        <v>145</v>
      </c>
      <c r="Q89" s="2"/>
    </row>
    <row r="90" spans="1:17" x14ac:dyDescent="0.25">
      <c r="A90" s="4">
        <f>IFERROR(category_assignment_2[[#This Row],[category_assignment_id]],"")</f>
        <v>89</v>
      </c>
      <c r="B90" s="23" t="str">
        <f>IFERROR(VLOOKUP(category_assignment_2[[#This Row],[category_id]],#REF!,3,FALSE),"")</f>
        <v/>
      </c>
      <c r="C90" s="23" t="str">
        <f>IFERROR(VLOOKUP(category_assignment_2[[#This Row],[abbreviation_id]],abbreviation[],ColumnLanguage+1,FALSE),"")</f>
        <v>Messwert</v>
      </c>
      <c r="D90" s="23"/>
      <c r="E90" s="23"/>
      <c r="F90" s="23"/>
      <c r="G90" s="23"/>
      <c r="H90" s="23"/>
      <c r="I90" s="23"/>
      <c r="J90" s="23"/>
      <c r="K90" s="23"/>
      <c r="M90" s="18">
        <v>89</v>
      </c>
      <c r="N90" s="18">
        <v>6</v>
      </c>
      <c r="O90" s="18">
        <v>146</v>
      </c>
      <c r="Q90" s="2"/>
    </row>
    <row r="91" spans="1:17" x14ac:dyDescent="0.25">
      <c r="A91" s="4">
        <f>IFERROR(category_assignment_2[[#This Row],[category_assignment_id]],"")</f>
        <v>90</v>
      </c>
      <c r="B91" s="23" t="str">
        <f>IFERROR(VLOOKUP(category_assignment_2[[#This Row],[category_id]],#REF!,3,FALSE),"")</f>
        <v/>
      </c>
      <c r="C91" s="23" t="str">
        <f>IFERROR(VLOOKUP(category_assignment_2[[#This Row],[abbreviation_id]],abbreviation[],ColumnLanguage+1,FALSE),"")</f>
        <v>Schaltbefehl</v>
      </c>
      <c r="D91" s="23"/>
      <c r="E91" s="23"/>
      <c r="F91" s="23"/>
      <c r="G91" s="23"/>
      <c r="H91" s="23"/>
      <c r="I91" s="23"/>
      <c r="J91" s="23"/>
      <c r="K91" s="23"/>
      <c r="M91" s="18">
        <v>90</v>
      </c>
      <c r="N91" s="18">
        <v>6</v>
      </c>
      <c r="O91" s="18">
        <v>147</v>
      </c>
      <c r="Q91" s="2"/>
    </row>
    <row r="92" spans="1:17" x14ac:dyDescent="0.25">
      <c r="A92" s="4">
        <f>IFERROR(category_assignment_2[[#This Row],[category_assignment_id]],"")</f>
        <v>91</v>
      </c>
      <c r="B92" s="23" t="str">
        <f>IFERROR(VLOOKUP(category_assignment_2[[#This Row],[category_id]],#REF!,3,FALSE),"")</f>
        <v/>
      </c>
      <c r="C92" s="23" t="str">
        <f>IFERROR(VLOOKUP(category_assignment_2[[#This Row],[abbreviation_id]],abbreviation[],ColumnLanguage+1,FALSE),"")</f>
        <v>Stellbefehl</v>
      </c>
      <c r="D92" s="23"/>
      <c r="E92" s="23"/>
      <c r="F92" s="23"/>
      <c r="G92" s="23"/>
      <c r="H92" s="23"/>
      <c r="I92" s="23"/>
      <c r="J92" s="23"/>
      <c r="K92" s="23"/>
      <c r="M92" s="18">
        <v>91</v>
      </c>
      <c r="N92" s="18">
        <v>6</v>
      </c>
      <c r="O92" s="18">
        <v>148</v>
      </c>
      <c r="Q92" s="2"/>
    </row>
    <row r="93" spans="1:17" x14ac:dyDescent="0.25">
      <c r="A93" s="4">
        <f>IFERROR(category_assignment_2[[#This Row],[category_assignment_id]],"")</f>
        <v>92</v>
      </c>
      <c r="B93" s="23" t="str">
        <f>IFERROR(VLOOKUP(category_assignment_2[[#This Row],[category_id]],#REF!,3,FALSE),"")</f>
        <v/>
      </c>
      <c r="C93" s="23" t="str">
        <f>IFERROR(VLOOKUP(category_assignment_2[[#This Row],[abbreviation_id]],abbreviation[],ColumnLanguage+1,FALSE),"")</f>
        <v>Wartungsmeldung</v>
      </c>
      <c r="D93" s="23"/>
      <c r="E93" s="23"/>
      <c r="F93" s="23"/>
      <c r="G93" s="23"/>
      <c r="H93" s="23"/>
      <c r="I93" s="23"/>
      <c r="J93" s="23"/>
      <c r="K93" s="23"/>
      <c r="M93" s="18">
        <v>92</v>
      </c>
      <c r="N93" s="18">
        <v>7</v>
      </c>
      <c r="O93" s="18">
        <v>166</v>
      </c>
      <c r="Q93" s="2"/>
    </row>
    <row r="94" spans="1:17" x14ac:dyDescent="0.25">
      <c r="A94" s="4">
        <f>IFERROR(category_assignment_2[[#This Row],[category_assignment_id]],"")</f>
        <v>93</v>
      </c>
      <c r="B94" s="23" t="str">
        <f>IFERROR(VLOOKUP(category_assignment_2[[#This Row],[category_id]],#REF!,3,FALSE),"")</f>
        <v/>
      </c>
      <c r="C94" s="23" t="str">
        <f>IFERROR(VLOOKUP(category_assignment_2[[#This Row],[abbreviation_id]],abbreviation[],ColumnLanguage+1,FALSE),"")</f>
        <v>erhöhen</v>
      </c>
      <c r="D94" s="23"/>
      <c r="E94" s="23"/>
      <c r="F94" s="23"/>
      <c r="G94" s="23"/>
      <c r="H94" s="23"/>
      <c r="I94" s="23"/>
      <c r="J94" s="23"/>
      <c r="K94" s="23"/>
      <c r="M94" s="18">
        <v>93</v>
      </c>
      <c r="N94" s="18">
        <v>7</v>
      </c>
      <c r="O94" s="18">
        <v>167</v>
      </c>
      <c r="Q94" s="2"/>
    </row>
    <row r="95" spans="1:17" x14ac:dyDescent="0.25">
      <c r="A95" s="4">
        <f>IFERROR(category_assignment_2[[#This Row],[category_assignment_id]],"")</f>
        <v>94</v>
      </c>
      <c r="B95" s="23" t="str">
        <f>IFERROR(VLOOKUP(category_assignment_2[[#This Row],[category_id]],#REF!,3,FALSE),"")</f>
        <v/>
      </c>
      <c r="C95" s="23" t="str">
        <f>IFERROR(VLOOKUP(category_assignment_2[[#This Row],[abbreviation_id]],abbreviation[],ColumnLanguage+1,FALSE),"")</f>
        <v>halten</v>
      </c>
      <c r="D95" s="23"/>
      <c r="E95" s="23"/>
      <c r="F95" s="23"/>
      <c r="G95" s="23"/>
      <c r="H95" s="23"/>
      <c r="I95" s="23"/>
      <c r="J95" s="23"/>
      <c r="K95" s="23"/>
      <c r="M95" s="18">
        <v>94</v>
      </c>
      <c r="N95" s="18">
        <v>7</v>
      </c>
      <c r="O95" s="18">
        <v>168</v>
      </c>
      <c r="Q95" s="2"/>
    </row>
    <row r="96" spans="1:17" x14ac:dyDescent="0.25">
      <c r="A96" s="4">
        <f>IFERROR(category_assignment_2[[#This Row],[category_assignment_id]],"")</f>
        <v>95</v>
      </c>
      <c r="B96" s="23" t="str">
        <f>IFERROR(VLOOKUP(category_assignment_2[[#This Row],[category_id]],#REF!,3,FALSE),"")</f>
        <v/>
      </c>
      <c r="C96" s="23" t="str">
        <f>IFERROR(VLOOKUP(category_assignment_2[[#This Row],[abbreviation_id]],abbreviation[],ColumnLanguage+1,FALSE),"")</f>
        <v>reduzieren</v>
      </c>
      <c r="D96" s="23"/>
      <c r="E96" s="23"/>
      <c r="F96" s="23"/>
      <c r="G96" s="23"/>
      <c r="H96" s="23"/>
      <c r="I96" s="23"/>
      <c r="J96" s="23"/>
      <c r="K96" s="23"/>
      <c r="M96" s="18">
        <v>95</v>
      </c>
      <c r="N96" s="18">
        <v>7</v>
      </c>
      <c r="O96" s="18">
        <v>169</v>
      </c>
      <c r="Q96" s="2"/>
    </row>
    <row r="97" spans="1:19" x14ac:dyDescent="0.25">
      <c r="A97" s="4">
        <f>IFERROR(category_assignment_2[[#This Row],[category_assignment_id]],"")</f>
        <v>96</v>
      </c>
      <c r="B97" s="23" t="str">
        <f>IFERROR(VLOOKUP(category_assignment_2[[#This Row],[category_id]],#REF!,3,FALSE),"")</f>
        <v/>
      </c>
      <c r="C97" s="23" t="str">
        <f>IFERROR(VLOOKUP(category_assignment_2[[#This Row],[abbreviation_id]],abbreviation[],ColumnLanguage+1,FALSE),"")</f>
        <v>Grenzwert</v>
      </c>
      <c r="D97" s="23"/>
      <c r="E97" s="23"/>
      <c r="F97" s="23"/>
      <c r="G97" s="23"/>
      <c r="H97" s="23"/>
      <c r="I97" s="23"/>
      <c r="J97" s="23"/>
      <c r="K97" s="23"/>
      <c r="M97" s="18">
        <v>96</v>
      </c>
      <c r="N97" s="18">
        <v>7</v>
      </c>
      <c r="O97" s="18">
        <v>170</v>
      </c>
      <c r="Q97" s="2"/>
    </row>
    <row r="98" spans="1:19" x14ac:dyDescent="0.25">
      <c r="A98" s="4">
        <f>IFERROR(category_assignment_2[[#This Row],[category_assignment_id]],"")</f>
        <v>97</v>
      </c>
      <c r="B98" s="23" t="str">
        <f>IFERROR(VLOOKUP(category_assignment_2[[#This Row],[category_id]],#REF!,3,FALSE),"")</f>
        <v/>
      </c>
      <c r="C98" s="23" t="str">
        <f>IFERROR(VLOOKUP(category_assignment_2[[#This Row],[abbreviation_id]],abbreviation[],ColumnLanguage+1,FALSE),"")</f>
        <v>Grenzwert maximal</v>
      </c>
      <c r="D98" s="23"/>
      <c r="E98" s="23"/>
      <c r="F98" s="23"/>
      <c r="G98" s="23"/>
      <c r="H98" s="23"/>
      <c r="I98" s="23"/>
      <c r="J98" s="23"/>
      <c r="K98" s="23"/>
      <c r="M98" s="18">
        <v>97</v>
      </c>
      <c r="N98" s="18">
        <v>7</v>
      </c>
      <c r="O98" s="18">
        <v>171</v>
      </c>
      <c r="Q98" s="2"/>
    </row>
    <row r="99" spans="1:19" x14ac:dyDescent="0.25">
      <c r="A99" s="4">
        <f>IFERROR(category_assignment_2[[#This Row],[category_assignment_id]],"")</f>
        <v>98</v>
      </c>
      <c r="B99" s="23" t="str">
        <f>IFERROR(VLOOKUP(category_assignment_2[[#This Row],[category_id]],#REF!,3,FALSE),"")</f>
        <v/>
      </c>
      <c r="C99" s="23" t="str">
        <f>IFERROR(VLOOKUP(category_assignment_2[[#This Row],[abbreviation_id]],abbreviation[],ColumnLanguage+1,FALSE),"")</f>
        <v>Grenzwert minimal</v>
      </c>
      <c r="D99" s="23"/>
      <c r="E99" s="23"/>
      <c r="F99" s="23"/>
      <c r="G99" s="23"/>
      <c r="H99" s="23"/>
      <c r="I99" s="23"/>
      <c r="J99" s="23"/>
      <c r="K99" s="23"/>
      <c r="M99" s="18">
        <v>98</v>
      </c>
      <c r="N99" s="18">
        <v>7</v>
      </c>
      <c r="O99" s="18">
        <v>172</v>
      </c>
      <c r="Q99" s="2"/>
    </row>
    <row r="100" spans="1:19" x14ac:dyDescent="0.25">
      <c r="A100" s="4">
        <f>IFERROR(category_assignment_2[[#This Row],[category_assignment_id]],"")</f>
        <v>99</v>
      </c>
      <c r="B100" s="23" t="str">
        <f>IFERROR(VLOOKUP(category_assignment_2[[#This Row],[category_id]],#REF!,3,FALSE),"")</f>
        <v/>
      </c>
      <c r="C100" s="23" t="str">
        <f>IFERROR(VLOOKUP(category_assignment_2[[#This Row],[abbreviation_id]],abbreviation[],ColumnLanguage+1,FALSE),"")</f>
        <v>Mittelwert</v>
      </c>
      <c r="D100" s="23"/>
      <c r="E100" s="23"/>
      <c r="F100" s="23"/>
      <c r="G100" s="23"/>
      <c r="H100" s="23"/>
      <c r="I100" s="23"/>
      <c r="J100" s="23"/>
      <c r="K100" s="23"/>
      <c r="M100" s="18">
        <v>99</v>
      </c>
      <c r="N100" s="18">
        <v>7</v>
      </c>
      <c r="O100" s="18">
        <v>173</v>
      </c>
      <c r="Q100" s="2"/>
    </row>
    <row r="101" spans="1:19" x14ac:dyDescent="0.25">
      <c r="A101" s="4">
        <f>IFERROR(category_assignment_2[[#This Row],[category_assignment_id]],"")</f>
        <v>100</v>
      </c>
      <c r="B101" s="23" t="str">
        <f>IFERROR(VLOOKUP(category_assignment_2[[#This Row],[category_id]],#REF!,3,FALSE),"")</f>
        <v/>
      </c>
      <c r="C101" s="23" t="str">
        <f>IFERROR(VLOOKUP(category_assignment_2[[#This Row],[abbreviation_id]],abbreviation[],ColumnLanguage+1,FALSE),"")</f>
        <v>Sollwert</v>
      </c>
      <c r="D101" s="23"/>
      <c r="E101" s="23"/>
      <c r="F101" s="23"/>
      <c r="G101" s="23"/>
      <c r="H101" s="23"/>
      <c r="I101" s="23"/>
      <c r="J101" s="23"/>
      <c r="K101" s="23"/>
      <c r="M101" s="18">
        <v>100</v>
      </c>
      <c r="N101" s="18">
        <v>7</v>
      </c>
      <c r="O101" s="18">
        <v>174</v>
      </c>
      <c r="Q101" s="2"/>
    </row>
    <row r="102" spans="1:19" x14ac:dyDescent="0.25">
      <c r="A102" s="4">
        <f>IFERROR(category_assignment_2[[#This Row],[category_assignment_id]],"")</f>
        <v>101</v>
      </c>
      <c r="B102" s="23" t="str">
        <f>IFERROR(VLOOKUP(category_assignment_2[[#This Row],[category_id]],#REF!,3,FALSE),"")</f>
        <v/>
      </c>
      <c r="C102" s="23" t="str">
        <f>IFERROR(VLOOKUP(category_assignment_2[[#This Row],[abbreviation_id]],abbreviation[],ColumnLanguage+1,FALSE),"")</f>
        <v>Aufsummiert/Kumuliert</v>
      </c>
      <c r="D102" s="23"/>
      <c r="E102" s="23"/>
      <c r="F102" s="23"/>
      <c r="G102" s="23"/>
      <c r="H102" s="23"/>
      <c r="I102" s="23"/>
      <c r="J102" s="23"/>
      <c r="K102" s="23"/>
      <c r="M102" s="18">
        <v>101</v>
      </c>
      <c r="N102" s="18">
        <v>7</v>
      </c>
      <c r="O102" s="18">
        <v>175</v>
      </c>
      <c r="Q102" s="2"/>
      <c r="R102" t="s">
        <v>608</v>
      </c>
      <c r="S102" t="s">
        <v>608</v>
      </c>
    </row>
    <row r="103" spans="1:19" x14ac:dyDescent="0.25">
      <c r="A103" s="4">
        <f>IFERROR(category_assignment_2[[#This Row],[category_assignment_id]],"")</f>
        <v>102</v>
      </c>
      <c r="B103" s="23" t="str">
        <f>IFERROR(VLOOKUP(category_assignment_2[[#This Row],[category_id]],#REF!,3,FALSE),"")</f>
        <v/>
      </c>
      <c r="C103" s="23" t="str">
        <f>IFERROR(VLOOKUP(category_assignment_2[[#This Row],[abbreviation_id]],abbreviation[],ColumnLanguage+1,FALSE),"")</f>
        <v>Maximum</v>
      </c>
      <c r="D103" s="23"/>
      <c r="E103" s="23"/>
      <c r="F103" s="23"/>
      <c r="G103" s="23"/>
      <c r="H103" s="23"/>
      <c r="I103" s="23"/>
      <c r="J103" s="23"/>
      <c r="K103" s="23"/>
      <c r="M103" s="18">
        <v>102</v>
      </c>
      <c r="N103" s="18">
        <v>7</v>
      </c>
      <c r="O103" s="18">
        <v>176</v>
      </c>
      <c r="Q103" s="2"/>
    </row>
    <row r="104" spans="1:19" x14ac:dyDescent="0.25">
      <c r="A104" s="4">
        <f>IFERROR(category_assignment_2[[#This Row],[category_assignment_id]],"")</f>
        <v>103</v>
      </c>
      <c r="B104" s="23" t="str">
        <f>IFERROR(VLOOKUP(category_assignment_2[[#This Row],[category_id]],#REF!,3,FALSE),"")</f>
        <v/>
      </c>
      <c r="C104" s="23" t="str">
        <f>IFERROR(VLOOKUP(category_assignment_2[[#This Row],[abbreviation_id]],abbreviation[],ColumnLanguage+1,FALSE),"")</f>
        <v>Minimum</v>
      </c>
      <c r="D104" s="23"/>
      <c r="E104" s="23"/>
      <c r="F104" s="23"/>
      <c r="G104" s="23"/>
      <c r="H104" s="23"/>
      <c r="I104" s="23"/>
      <c r="J104" s="23"/>
      <c r="K104" s="23"/>
      <c r="M104" s="18">
        <v>103</v>
      </c>
      <c r="N104" s="18">
        <v>7</v>
      </c>
      <c r="O104" s="18">
        <v>177</v>
      </c>
      <c r="Q104" s="2"/>
    </row>
    <row r="105" spans="1:19" x14ac:dyDescent="0.25">
      <c r="A105" s="4">
        <f>IFERROR(category_assignment_2[[#This Row],[category_assignment_id]],"")</f>
        <v>104</v>
      </c>
      <c r="B105" s="23" t="str">
        <f>IFERROR(VLOOKUP(category_assignment_2[[#This Row],[category_id]],#REF!,3,FALSE),"")</f>
        <v/>
      </c>
      <c r="C105" s="23" t="str">
        <f>IFERROR(VLOOKUP(category_assignment_2[[#This Row],[abbreviation_id]],abbreviation[],ColumnLanguage+1,FALSE),"")</f>
        <v>Sommer</v>
      </c>
      <c r="D105" s="23"/>
      <c r="E105" s="23"/>
      <c r="F105" s="23"/>
      <c r="G105" s="23"/>
      <c r="H105" s="23"/>
      <c r="I105" s="23"/>
      <c r="J105" s="23"/>
      <c r="K105" s="23"/>
      <c r="M105" s="18">
        <v>104</v>
      </c>
      <c r="N105" s="18">
        <v>7</v>
      </c>
      <c r="O105" s="18">
        <v>178</v>
      </c>
      <c r="Q105" s="2"/>
    </row>
    <row r="106" spans="1:19" x14ac:dyDescent="0.25">
      <c r="A106" s="4">
        <f>IFERROR(category_assignment_2[[#This Row],[category_assignment_id]],"")</f>
        <v>105</v>
      </c>
      <c r="B106" s="23" t="str">
        <f>IFERROR(VLOOKUP(category_assignment_2[[#This Row],[category_id]],#REF!,3,FALSE),"")</f>
        <v/>
      </c>
      <c r="C106" s="23" t="str">
        <f>IFERROR(VLOOKUP(category_assignment_2[[#This Row],[abbreviation_id]],abbreviation[],ColumnLanguage+1,FALSE),"")</f>
        <v>Winter</v>
      </c>
      <c r="D106" s="23"/>
      <c r="E106" s="23"/>
      <c r="F106" s="23"/>
      <c r="G106" s="23"/>
      <c r="H106" s="23"/>
      <c r="I106" s="23"/>
      <c r="J106" s="23"/>
      <c r="K106" s="23"/>
      <c r="M106" s="18">
        <v>105</v>
      </c>
      <c r="N106" s="18">
        <v>8</v>
      </c>
      <c r="O106" s="18">
        <v>179</v>
      </c>
      <c r="Q106" s="2"/>
    </row>
    <row r="107" spans="1:19" x14ac:dyDescent="0.25">
      <c r="A107" s="4">
        <f>IFERROR(category_assignment_2[[#This Row],[category_assignment_id]],"")</f>
        <v>106</v>
      </c>
      <c r="B107" s="23" t="str">
        <f>IFERROR(VLOOKUP(category_assignment_2[[#This Row],[category_id]],#REF!,3,FALSE),"")</f>
        <v/>
      </c>
      <c r="C107" s="23" t="str">
        <f>IFERROR(VLOOKUP(category_assignment_2[[#This Row],[abbreviation_id]],abbreviation[],ColumnLanguage+1,FALSE),"")</f>
        <v>Analoger Eingang (AE)</v>
      </c>
      <c r="D107" s="23"/>
      <c r="E107" s="23"/>
      <c r="F107" s="23"/>
      <c r="G107" s="23"/>
      <c r="H107" s="23"/>
      <c r="I107" s="23"/>
      <c r="J107" s="23"/>
      <c r="K107" s="23"/>
      <c r="M107" s="18">
        <v>106</v>
      </c>
      <c r="N107" s="18">
        <v>8</v>
      </c>
      <c r="O107" s="18">
        <v>180</v>
      </c>
      <c r="Q107" s="2"/>
    </row>
    <row r="108" spans="1:19" x14ac:dyDescent="0.25">
      <c r="A108" s="4">
        <f>IFERROR(category_assignment_2[[#This Row],[category_assignment_id]],"")</f>
        <v>107</v>
      </c>
      <c r="B108" s="23" t="str">
        <f>IFERROR(VLOOKUP(category_assignment_2[[#This Row],[category_id]],#REF!,3,FALSE),"")</f>
        <v/>
      </c>
      <c r="C108" s="23" t="str">
        <f>IFERROR(VLOOKUP(category_assignment_2[[#This Row],[abbreviation_id]],abbreviation[],ColumnLanguage+1,FALSE),"")</f>
        <v>Analoger Ausgang (AA)</v>
      </c>
      <c r="D108" s="23"/>
      <c r="E108" s="23"/>
      <c r="F108" s="23"/>
      <c r="G108" s="23"/>
      <c r="H108" s="23"/>
      <c r="I108" s="23"/>
      <c r="J108" s="23"/>
      <c r="K108" s="23"/>
      <c r="M108" s="18">
        <v>107</v>
      </c>
      <c r="N108" s="18">
        <v>8</v>
      </c>
      <c r="O108" s="18">
        <v>181</v>
      </c>
      <c r="Q108" s="2"/>
    </row>
    <row r="109" spans="1:19" x14ac:dyDescent="0.25">
      <c r="A109" s="4">
        <f>IFERROR(category_assignment_2[[#This Row],[category_assignment_id]],"")</f>
        <v>108</v>
      </c>
      <c r="B109" s="23" t="str">
        <f>IFERROR(VLOOKUP(category_assignment_2[[#This Row],[category_id]],#REF!,3,FALSE),"")</f>
        <v/>
      </c>
      <c r="C109" s="23" t="str">
        <f>IFERROR(VLOOKUP(category_assignment_2[[#This Row],[abbreviation_id]],abbreviation[],ColumnLanguage+1,FALSE),"")</f>
        <v>Digitaler Eingang (DE/BE)</v>
      </c>
      <c r="D109" s="23"/>
      <c r="E109" s="23"/>
      <c r="F109" s="23"/>
      <c r="G109" s="23"/>
      <c r="H109" s="23"/>
      <c r="I109" s="23"/>
      <c r="J109" s="23"/>
      <c r="K109" s="23"/>
      <c r="M109" s="18">
        <v>108</v>
      </c>
      <c r="N109" s="18">
        <v>8</v>
      </c>
      <c r="O109" s="18">
        <v>182</v>
      </c>
      <c r="Q109" s="2"/>
    </row>
    <row r="110" spans="1:19" x14ac:dyDescent="0.25">
      <c r="A110" s="4">
        <f>IFERROR(category_assignment_2[[#This Row],[category_assignment_id]],"")</f>
        <v>109</v>
      </c>
      <c r="B110" s="23" t="str">
        <f>IFERROR(VLOOKUP(category_assignment_2[[#This Row],[category_id]],#REF!,3,FALSE),"")</f>
        <v/>
      </c>
      <c r="C110" s="23" t="str">
        <f>IFERROR(VLOOKUP(category_assignment_2[[#This Row],[abbreviation_id]],abbreviation[],ColumnLanguage+1,FALSE),"")</f>
        <v>Digitaler Ausgang (DA/BA)</v>
      </c>
      <c r="D110" s="23"/>
      <c r="E110" s="23"/>
      <c r="F110" s="23"/>
      <c r="G110" s="23"/>
      <c r="H110" s="23"/>
      <c r="I110" s="23"/>
      <c r="J110" s="23"/>
      <c r="K110" s="23"/>
      <c r="M110" s="18">
        <v>109</v>
      </c>
      <c r="N110" s="18">
        <v>8</v>
      </c>
      <c r="O110" s="18">
        <v>183</v>
      </c>
      <c r="Q110" s="2"/>
    </row>
    <row r="111" spans="1:19" x14ac:dyDescent="0.25">
      <c r="A111" s="4">
        <f>IFERROR(category_assignment_2[[#This Row],[category_assignment_id]],"")</f>
        <v>110</v>
      </c>
      <c r="B111" s="23" t="str">
        <f>IFERROR(VLOOKUP(category_assignment_2[[#This Row],[category_id]],#REF!,3,FALSE),"")</f>
        <v/>
      </c>
      <c r="C111" s="23" t="str">
        <f>IFERROR(VLOOKUP(category_assignment_2[[#This Row],[abbreviation_id]],abbreviation[],ColumnLanguage+1,FALSE),"")</f>
        <v>Virtueller Analoger Eingang (VAE)</v>
      </c>
      <c r="D111" s="23"/>
      <c r="E111" s="23"/>
      <c r="F111" s="23"/>
      <c r="G111" s="23"/>
      <c r="H111" s="23"/>
      <c r="I111" s="23"/>
      <c r="J111" s="23"/>
      <c r="K111" s="23"/>
      <c r="M111" s="18">
        <v>110</v>
      </c>
      <c r="N111" s="18">
        <v>8</v>
      </c>
      <c r="O111" s="18">
        <v>184</v>
      </c>
      <c r="Q111" s="2"/>
    </row>
    <row r="112" spans="1:19" x14ac:dyDescent="0.25">
      <c r="A112" s="4">
        <f>IFERROR(category_assignment_2[[#This Row],[category_assignment_id]],"")</f>
        <v>111</v>
      </c>
      <c r="B112" s="23" t="str">
        <f>IFERROR(VLOOKUP(category_assignment_2[[#This Row],[category_id]],#REF!,3,FALSE),"")</f>
        <v/>
      </c>
      <c r="C112" s="23" t="str">
        <f>IFERROR(VLOOKUP(category_assignment_2[[#This Row],[abbreviation_id]],abbreviation[],ColumnLanguage+1,FALSE),"")</f>
        <v>Virtueller Analoger Ausgang (VAA)</v>
      </c>
      <c r="D112" s="23"/>
      <c r="E112" s="23"/>
      <c r="F112" s="23"/>
      <c r="G112" s="23"/>
      <c r="H112" s="23"/>
      <c r="I112" s="23"/>
      <c r="J112" s="23"/>
      <c r="K112" s="23"/>
      <c r="M112" s="18">
        <v>111</v>
      </c>
      <c r="N112" s="18">
        <v>8</v>
      </c>
      <c r="O112" s="18">
        <v>185</v>
      </c>
      <c r="Q112" s="2"/>
    </row>
    <row r="113" spans="1:17" x14ac:dyDescent="0.25">
      <c r="A113" s="4">
        <f>IFERROR(category_assignment_2[[#This Row],[category_assignment_id]],"")</f>
        <v>112</v>
      </c>
      <c r="B113" s="23" t="str">
        <f>IFERROR(VLOOKUP(category_assignment_2[[#This Row],[category_id]],#REF!,3,FALSE),"")</f>
        <v/>
      </c>
      <c r="C113" s="23" t="str">
        <f>IFERROR(VLOOKUP(category_assignment_2[[#This Row],[abbreviation_id]],abbreviation[],ColumnLanguage+1,FALSE),"")</f>
        <v>Virtueller Digitaler Eingang (VDE/VBE)</v>
      </c>
      <c r="D113" s="23"/>
      <c r="E113" s="23"/>
      <c r="F113" s="23"/>
      <c r="G113" s="23"/>
      <c r="H113" s="23"/>
      <c r="I113" s="23"/>
      <c r="J113" s="23"/>
      <c r="K113" s="23"/>
      <c r="M113" s="18">
        <v>112</v>
      </c>
      <c r="N113" s="18">
        <v>8</v>
      </c>
      <c r="O113" s="18">
        <v>186</v>
      </c>
      <c r="Q113" s="2"/>
    </row>
    <row r="114" spans="1:17" x14ac:dyDescent="0.25">
      <c r="A114" s="4">
        <f>IFERROR(category_assignment_2[[#This Row],[category_assignment_id]],"")</f>
        <v>113</v>
      </c>
      <c r="B114" s="23" t="str">
        <f>IFERROR(VLOOKUP(category_assignment_2[[#This Row],[category_id]],#REF!,3,FALSE),"")</f>
        <v/>
      </c>
      <c r="C114" s="23" t="str">
        <f>IFERROR(VLOOKUP(category_assignment_2[[#This Row],[abbreviation_id]],abbreviation[],ColumnLanguage+1,FALSE),"")</f>
        <v>Virtueller Digitaler Ausgang (VDA/VBA)</v>
      </c>
      <c r="D114" s="23"/>
      <c r="E114" s="23"/>
      <c r="F114" s="23"/>
      <c r="G114" s="23"/>
      <c r="H114" s="23"/>
      <c r="I114" s="23"/>
      <c r="J114" s="23"/>
      <c r="K114" s="23"/>
      <c r="M114" s="18">
        <v>113</v>
      </c>
      <c r="N114" s="18">
        <v>8</v>
      </c>
      <c r="O114" s="18">
        <v>187</v>
      </c>
      <c r="Q114" s="2"/>
    </row>
    <row r="115" spans="1:17" x14ac:dyDescent="0.25">
      <c r="A115" s="4">
        <f>IFERROR(category_assignment_2[[#This Row],[category_assignment_id]],"")</f>
        <v>114</v>
      </c>
      <c r="B115" s="23" t="str">
        <f>IFERROR(VLOOKUP(category_assignment_2[[#This Row],[category_id]],#REF!,3,FALSE),"")</f>
        <v/>
      </c>
      <c r="C115" s="23" t="str">
        <f>IFERROR(VLOOKUP(category_assignment_2[[#This Row],[abbreviation_id]],abbreviation[],ColumnLanguage+1,FALSE),"")</f>
        <v>Simulierter Analoger Eingang</v>
      </c>
      <c r="D115" s="23"/>
      <c r="E115" s="23"/>
      <c r="F115" s="23"/>
      <c r="G115" s="23"/>
      <c r="H115" s="23"/>
      <c r="I115" s="23"/>
      <c r="J115" s="23"/>
      <c r="K115" s="23"/>
      <c r="M115" s="18">
        <v>114</v>
      </c>
      <c r="N115" s="18">
        <v>8</v>
      </c>
      <c r="O115" s="18">
        <v>188</v>
      </c>
      <c r="Q115" s="2"/>
    </row>
    <row r="116" spans="1:17" x14ac:dyDescent="0.25">
      <c r="A116" s="4">
        <f>IFERROR(category_assignment_2[[#This Row],[category_assignment_id]],"")</f>
        <v>115</v>
      </c>
      <c r="B116" s="23" t="str">
        <f>IFERROR(VLOOKUP(category_assignment_2[[#This Row],[category_id]],#REF!,3,FALSE),"")</f>
        <v/>
      </c>
      <c r="C116" s="23" t="str">
        <f>IFERROR(VLOOKUP(category_assignment_2[[#This Row],[abbreviation_id]],abbreviation[],ColumnLanguage+1,FALSE),"")</f>
        <v>Simulierter Analoger Ausgang</v>
      </c>
      <c r="D116" s="23"/>
      <c r="E116" s="23"/>
      <c r="F116" s="23"/>
      <c r="G116" s="23"/>
      <c r="H116" s="23"/>
      <c r="I116" s="23"/>
      <c r="J116" s="23"/>
      <c r="K116" s="23"/>
      <c r="M116" s="18">
        <v>115</v>
      </c>
      <c r="N116" s="18">
        <v>8</v>
      </c>
      <c r="O116" s="18">
        <v>189</v>
      </c>
      <c r="Q116" s="2"/>
    </row>
    <row r="117" spans="1:17" x14ac:dyDescent="0.25">
      <c r="A117" s="4">
        <f>IFERROR(category_assignment_2[[#This Row],[category_assignment_id]],"")</f>
        <v>116</v>
      </c>
      <c r="B117" s="23" t="str">
        <f>IFERROR(VLOOKUP(category_assignment_2[[#This Row],[category_id]],#REF!,3,FALSE),"")</f>
        <v/>
      </c>
      <c r="C117" s="23" t="str">
        <f>IFERROR(VLOOKUP(category_assignment_2[[#This Row],[abbreviation_id]],abbreviation[],ColumnLanguage+1,FALSE),"")</f>
        <v xml:space="preserve">Simulierter Digitaler Eingang </v>
      </c>
      <c r="D117" s="23"/>
      <c r="E117" s="23"/>
      <c r="F117" s="23"/>
      <c r="G117" s="23"/>
      <c r="H117" s="23"/>
      <c r="I117" s="23"/>
      <c r="J117" s="23"/>
      <c r="K117" s="23"/>
      <c r="M117" s="18">
        <v>116</v>
      </c>
      <c r="N117" s="18">
        <v>8</v>
      </c>
      <c r="O117" s="18">
        <v>190</v>
      </c>
      <c r="Q117" s="2"/>
    </row>
    <row r="118" spans="1:17" x14ac:dyDescent="0.25">
      <c r="A118" s="4" t="str">
        <f>IFERROR(category_assignment_2[[#This Row],[category_assignment_id]],"")</f>
        <v/>
      </c>
      <c r="B118" s="23" t="str">
        <f>IFERROR(VLOOKUP(category_assignment_2[[#This Row],[category_id]],#REF!,3,FALSE),"")</f>
        <v/>
      </c>
      <c r="C118" s="23" t="str">
        <f>IFERROR(VLOOKUP(category_assignment_2[[#This Row],[abbreviation_id]],abbreviation[],ColumnLanguage+1,FALSE),"")</f>
        <v/>
      </c>
      <c r="D118" s="23"/>
      <c r="E118" s="23"/>
      <c r="F118" s="23"/>
      <c r="G118" s="23"/>
      <c r="H118" s="23"/>
      <c r="I118" s="23"/>
      <c r="J118" s="23"/>
      <c r="K118" s="23"/>
      <c r="N118" s="4"/>
      <c r="O118" s="4"/>
      <c r="Q118" s="2"/>
    </row>
    <row r="119" spans="1:17" x14ac:dyDescent="0.25">
      <c r="A119" s="4" t="str">
        <f>IFERROR(category_assignment_2[[#This Row],[category_assignment_id]],"")</f>
        <v/>
      </c>
      <c r="B119" s="23" t="str">
        <f>IFERROR(VLOOKUP(category_assignment_2[[#This Row],[category_id]],#REF!,3,FALSE),"")</f>
        <v/>
      </c>
      <c r="C119" s="23" t="str">
        <f>IFERROR(VLOOKUP(category_assignment_2[[#This Row],[abbreviation_id]],abbreviation[],ColumnLanguage+1,FALSE),"")</f>
        <v/>
      </c>
      <c r="D119" s="23"/>
      <c r="E119" s="23"/>
      <c r="F119" s="23"/>
      <c r="G119" s="23"/>
      <c r="H119" s="23"/>
      <c r="I119" s="23"/>
      <c r="J119" s="23"/>
      <c r="K119" s="23"/>
      <c r="N119" s="4"/>
      <c r="O119" s="4"/>
      <c r="Q119" s="2"/>
    </row>
    <row r="120" spans="1:17" x14ac:dyDescent="0.25">
      <c r="A120" s="4" t="str">
        <f>IFERROR(category_assignment_2[[#This Row],[category_assignment_id]],"")</f>
        <v/>
      </c>
      <c r="B120" s="23" t="str">
        <f>IFERROR(VLOOKUP(category_assignment_2[[#This Row],[category_id]],#REF!,3,FALSE),"")</f>
        <v/>
      </c>
      <c r="C120" s="23" t="str">
        <f>IFERROR(VLOOKUP(category_assignment_2[[#This Row],[abbreviation_id]],abbreviation[],ColumnLanguage+1,FALSE),"")</f>
        <v/>
      </c>
      <c r="D120" s="23"/>
      <c r="E120" s="23"/>
      <c r="F120" s="23"/>
      <c r="G120" s="23"/>
      <c r="H120" s="23"/>
      <c r="I120" s="23"/>
      <c r="J120" s="23"/>
      <c r="K120" s="23"/>
      <c r="N120" s="4"/>
      <c r="O120" s="4"/>
      <c r="Q120" s="2"/>
    </row>
    <row r="121" spans="1:17" x14ac:dyDescent="0.25">
      <c r="A121" s="4" t="str">
        <f>IFERROR(category_assignment_2[[#This Row],[category_assignment_id]],"")</f>
        <v/>
      </c>
      <c r="B121" s="23" t="str">
        <f>IFERROR(VLOOKUP(category_assignment_2[[#This Row],[category_id]],#REF!,3,FALSE),"")</f>
        <v/>
      </c>
      <c r="C121" s="23" t="str">
        <f>IFERROR(VLOOKUP(category_assignment_2[[#This Row],[abbreviation_id]],abbreviation[],ColumnLanguage+1,FALSE),"")</f>
        <v/>
      </c>
      <c r="D121" s="23"/>
      <c r="E121" s="23"/>
      <c r="F121" s="23"/>
      <c r="G121" s="23"/>
      <c r="H121" s="23"/>
      <c r="I121" s="23"/>
      <c r="J121" s="23"/>
      <c r="K121" s="23"/>
      <c r="N121" s="4"/>
      <c r="O121" s="4"/>
      <c r="Q121" s="2"/>
    </row>
    <row r="122" spans="1:17" x14ac:dyDescent="0.25">
      <c r="A122" s="4" t="str">
        <f>IFERROR(category_assignment_2[[#This Row],[category_assignment_id]],"")</f>
        <v/>
      </c>
      <c r="B122" s="23" t="str">
        <f>IFERROR(VLOOKUP(category_assignment_2[[#This Row],[category_id]],#REF!,3,FALSE),"")</f>
        <v/>
      </c>
      <c r="C122" s="23" t="str">
        <f>IFERROR(VLOOKUP(category_assignment_2[[#This Row],[abbreviation_id]],abbreviation[],ColumnLanguage+1,FALSE),"")</f>
        <v/>
      </c>
      <c r="D122" s="23"/>
      <c r="E122" s="23"/>
      <c r="F122" s="23"/>
      <c r="G122" s="23"/>
      <c r="H122" s="23"/>
      <c r="I122" s="23"/>
      <c r="J122" s="23"/>
      <c r="K122" s="23"/>
      <c r="N122" s="4"/>
      <c r="O122" s="4"/>
      <c r="Q122" s="2"/>
    </row>
    <row r="123" spans="1:17" x14ac:dyDescent="0.25">
      <c r="A123" s="4" t="str">
        <f>IFERROR(category_assignment_2[[#This Row],[category_assignment_id]],"")</f>
        <v/>
      </c>
      <c r="B123" s="23" t="str">
        <f>IFERROR(VLOOKUP(category_assignment_2[[#This Row],[category_id]],#REF!,3,FALSE),"")</f>
        <v/>
      </c>
      <c r="C123" s="23" t="str">
        <f>IFERROR(VLOOKUP(category_assignment_2[[#This Row],[abbreviation_id]],abbreviation[],ColumnLanguage+1,FALSE),"")</f>
        <v/>
      </c>
      <c r="D123" s="23"/>
      <c r="E123" s="23"/>
      <c r="F123" s="23"/>
      <c r="G123" s="23"/>
      <c r="H123" s="23"/>
      <c r="I123" s="23"/>
      <c r="J123" s="23"/>
      <c r="K123" s="23"/>
      <c r="N123" s="4"/>
      <c r="O123" s="4"/>
      <c r="Q123" s="2"/>
    </row>
    <row r="124" spans="1:17" x14ac:dyDescent="0.25">
      <c r="A124" s="4" t="str">
        <f>IFERROR(category_assignment_2[[#This Row],[category_assignment_id]],"")</f>
        <v/>
      </c>
      <c r="B124" s="23" t="str">
        <f>IFERROR(VLOOKUP(category_assignment_2[[#This Row],[category_id]],#REF!,3,FALSE),"")</f>
        <v/>
      </c>
      <c r="C124" s="23" t="str">
        <f>IFERROR(VLOOKUP(category_assignment_2[[#This Row],[abbreviation_id]],abbreviation[],ColumnLanguage+1,FALSE),"")</f>
        <v/>
      </c>
      <c r="D124" s="23"/>
      <c r="E124" s="23"/>
      <c r="F124" s="23"/>
      <c r="G124" s="23"/>
      <c r="H124" s="23"/>
      <c r="I124" s="23"/>
      <c r="J124" s="23"/>
      <c r="K124" s="23"/>
      <c r="N124" s="4"/>
      <c r="O124" s="4"/>
      <c r="Q124" s="2"/>
    </row>
    <row r="125" spans="1:17" x14ac:dyDescent="0.25">
      <c r="A125" s="4" t="str">
        <f>IFERROR(category_assignment_2[[#This Row],[category_assignment_id]],"")</f>
        <v/>
      </c>
      <c r="B125" s="23" t="str">
        <f>IFERROR(VLOOKUP(category_assignment_2[[#This Row],[category_id]],#REF!,3,FALSE),"")</f>
        <v/>
      </c>
      <c r="C125" s="23" t="str">
        <f>IFERROR(VLOOKUP(category_assignment_2[[#This Row],[abbreviation_id]],abbreviation[],ColumnLanguage+1,FALSE),"")</f>
        <v/>
      </c>
      <c r="D125" s="23"/>
      <c r="E125" s="23"/>
      <c r="F125" s="23"/>
      <c r="G125" s="23"/>
      <c r="H125" s="23"/>
      <c r="I125" s="23"/>
      <c r="J125" s="23"/>
      <c r="K125" s="23"/>
      <c r="N125" s="4"/>
      <c r="O125" s="4"/>
      <c r="Q125" s="2"/>
    </row>
    <row r="126" spans="1:17" x14ac:dyDescent="0.25">
      <c r="A126" s="4" t="str">
        <f>IFERROR(category_assignment_2[[#This Row],[category_assignment_id]],"")</f>
        <v/>
      </c>
      <c r="B126" s="23" t="str">
        <f>IFERROR(VLOOKUP(category_assignment_2[[#This Row],[category_id]],#REF!,3,FALSE),"")</f>
        <v/>
      </c>
      <c r="C126" s="23" t="str">
        <f>IFERROR(VLOOKUP(category_assignment_2[[#This Row],[abbreviation_id]],abbreviation[],ColumnLanguage+1,FALSE),"")</f>
        <v/>
      </c>
      <c r="D126" s="23"/>
      <c r="E126" s="23"/>
      <c r="F126" s="23"/>
      <c r="G126" s="23"/>
      <c r="H126" s="23"/>
      <c r="I126" s="23"/>
      <c r="J126" s="23"/>
      <c r="K126" s="23"/>
      <c r="N126" s="4"/>
      <c r="O126" s="4"/>
      <c r="Q126" s="2"/>
    </row>
    <row r="127" spans="1:17" x14ac:dyDescent="0.25">
      <c r="A127" s="4" t="str">
        <f>IFERROR(category_assignment_2[[#This Row],[category_assignment_id]],"")</f>
        <v/>
      </c>
      <c r="B127" s="23" t="str">
        <f>IFERROR(VLOOKUP(category_assignment_2[[#This Row],[category_id]],#REF!,3,FALSE),"")</f>
        <v/>
      </c>
      <c r="C127" s="23" t="str">
        <f>IFERROR(VLOOKUP(category_assignment_2[[#This Row],[abbreviation_id]],abbreviation[],ColumnLanguage+1,FALSE),"")</f>
        <v/>
      </c>
      <c r="D127" s="23"/>
      <c r="E127" s="23"/>
      <c r="F127" s="23"/>
      <c r="G127" s="23"/>
      <c r="H127" s="23"/>
      <c r="I127" s="23"/>
      <c r="J127" s="23"/>
      <c r="K127" s="23"/>
      <c r="N127" s="4"/>
      <c r="O127" s="4"/>
      <c r="Q127" s="2"/>
    </row>
    <row r="128" spans="1:17" x14ac:dyDescent="0.25">
      <c r="A128" s="4" t="str">
        <f>IFERROR(category_assignment_2[[#This Row],[category_assignment_id]],"")</f>
        <v/>
      </c>
      <c r="B128" s="23" t="str">
        <f>IFERROR(VLOOKUP(category_assignment_2[[#This Row],[category_id]],#REF!,3,FALSE),"")</f>
        <v/>
      </c>
      <c r="C128" s="23" t="str">
        <f>IFERROR(VLOOKUP(category_assignment_2[[#This Row],[abbreviation_id]],abbreviation[],ColumnLanguage+1,FALSE),"")</f>
        <v/>
      </c>
      <c r="D128" s="23"/>
      <c r="E128" s="23"/>
      <c r="F128" s="23"/>
      <c r="G128" s="23"/>
      <c r="H128" s="23"/>
      <c r="I128" s="23"/>
      <c r="J128" s="23"/>
      <c r="K128" s="23"/>
      <c r="M128" s="2"/>
      <c r="N128" s="4"/>
      <c r="O128" s="4"/>
      <c r="Q128" s="2"/>
    </row>
    <row r="129" spans="1:17" x14ac:dyDescent="0.25">
      <c r="A129" s="4" t="str">
        <f>IFERROR(category_assignment_2[[#This Row],[category_assignment_id]],"")</f>
        <v/>
      </c>
      <c r="B129" s="23" t="str">
        <f>IFERROR(VLOOKUP(category_assignment_2[[#This Row],[category_id]],#REF!,3,FALSE),"")</f>
        <v/>
      </c>
      <c r="C129" s="23" t="str">
        <f>IFERROR(VLOOKUP(category_assignment_2[[#This Row],[abbreviation_id]],abbreviation[],ColumnLanguage+1,FALSE),"")</f>
        <v/>
      </c>
      <c r="D129" s="23"/>
      <c r="E129" s="23"/>
      <c r="F129" s="23"/>
      <c r="G129" s="23"/>
      <c r="H129" s="23"/>
      <c r="I129" s="23"/>
      <c r="J129" s="23"/>
      <c r="K129" s="23"/>
      <c r="N129" s="4"/>
      <c r="O129" s="4"/>
      <c r="Q129" s="2"/>
    </row>
    <row r="130" spans="1:17" x14ac:dyDescent="0.25">
      <c r="A130" s="4" t="str">
        <f>IFERROR(category_assignment_2[[#This Row],[category_assignment_id]],"")</f>
        <v/>
      </c>
      <c r="B130" s="23" t="str">
        <f>IFERROR(VLOOKUP(category_assignment_2[[#This Row],[category_id]],#REF!,3,FALSE),"")</f>
        <v/>
      </c>
      <c r="C130" s="23" t="str">
        <f>IFERROR(VLOOKUP(category_assignment_2[[#This Row],[abbreviation_id]],abbreviation[],ColumnLanguage+1,FALSE),"")</f>
        <v/>
      </c>
      <c r="D130" s="23"/>
      <c r="E130" s="23"/>
      <c r="F130" s="23"/>
      <c r="G130" s="23"/>
      <c r="H130" s="23"/>
      <c r="I130" s="23"/>
      <c r="J130" s="23"/>
      <c r="K130" s="23"/>
      <c r="Q130" s="2"/>
    </row>
    <row r="131" spans="1:17" x14ac:dyDescent="0.25">
      <c r="A131" s="4" t="str">
        <f>IFERROR(category_assignment_2[[#This Row],[category_assignment_id]],"")</f>
        <v/>
      </c>
      <c r="B131" s="23" t="str">
        <f>IFERROR(VLOOKUP(category_assignment_2[[#This Row],[category_id]],#REF!,3,FALSE),"")</f>
        <v/>
      </c>
      <c r="C131" s="23" t="str">
        <f>IFERROR(VLOOKUP(category_assignment_2[[#This Row],[abbreviation_id]],abbreviation[],ColumnLanguage+1,FALSE),"")</f>
        <v/>
      </c>
      <c r="D131" s="23"/>
      <c r="E131" s="23"/>
      <c r="F131" s="23"/>
      <c r="G131" s="23"/>
      <c r="H131" s="23"/>
      <c r="I131" s="23"/>
      <c r="J131" s="23"/>
      <c r="K131" s="23"/>
      <c r="Q131" s="2"/>
    </row>
    <row r="132" spans="1:17" x14ac:dyDescent="0.25">
      <c r="A132" s="4" t="str">
        <f>IFERROR(category_assignment_2[[#This Row],[category_assignment_id]],"")</f>
        <v/>
      </c>
      <c r="B132" s="23" t="str">
        <f>IFERROR(VLOOKUP(category_assignment_2[[#This Row],[category_id]],#REF!,3,FALSE),"")</f>
        <v/>
      </c>
      <c r="C132" s="23" t="str">
        <f>IFERROR(VLOOKUP(category_assignment_2[[#This Row],[abbreviation_id]],abbreviation[],ColumnLanguage+1,FALSE),"")</f>
        <v/>
      </c>
      <c r="D132" s="23"/>
      <c r="E132" s="23"/>
      <c r="F132" s="23"/>
      <c r="G132" s="23"/>
      <c r="H132" s="23"/>
      <c r="I132" s="23"/>
      <c r="J132" s="23"/>
      <c r="K132" s="23"/>
      <c r="Q132" s="2"/>
    </row>
    <row r="133" spans="1:17" x14ac:dyDescent="0.25">
      <c r="A133" s="4" t="str">
        <f>IFERROR(category_assignment_2[[#This Row],[category_assignment_id]],"")</f>
        <v/>
      </c>
      <c r="B133" s="23" t="str">
        <f>IFERROR(VLOOKUP(category_assignment_2[[#This Row],[category_id]],#REF!,3,FALSE),"")</f>
        <v/>
      </c>
      <c r="C133" s="23" t="str">
        <f>IFERROR(VLOOKUP(category_assignment_2[[#This Row],[abbreviation_id]],abbreviation[],ColumnLanguage+1,FALSE),"")</f>
        <v/>
      </c>
      <c r="D133" s="23"/>
      <c r="E133" s="23"/>
      <c r="F133" s="23"/>
      <c r="G133" s="23"/>
      <c r="H133" s="23"/>
      <c r="I133" s="23"/>
      <c r="J133" s="23"/>
      <c r="K133" s="23"/>
      <c r="Q133" s="2"/>
    </row>
    <row r="134" spans="1:17" x14ac:dyDescent="0.25">
      <c r="A134" s="4" t="str">
        <f>IFERROR(category_assignment_2[[#This Row],[category_assignment_id]],"")</f>
        <v/>
      </c>
      <c r="B134" s="23" t="str">
        <f>IFERROR(VLOOKUP(category_assignment_2[[#This Row],[category_id]],#REF!,3,FALSE),"")</f>
        <v/>
      </c>
      <c r="C134" s="23" t="str">
        <f>IFERROR(VLOOKUP(category_assignment_2[[#This Row],[abbreviation_id]],abbreviation[],ColumnLanguage+1,FALSE),"")</f>
        <v/>
      </c>
      <c r="D134" s="23"/>
      <c r="E134" s="23"/>
      <c r="F134" s="23"/>
      <c r="G134" s="23"/>
      <c r="H134" s="23"/>
      <c r="I134" s="23"/>
      <c r="J134" s="23"/>
      <c r="K134" s="23"/>
      <c r="Q134" s="2"/>
    </row>
    <row r="135" spans="1:17" x14ac:dyDescent="0.25">
      <c r="A135" s="4" t="str">
        <f>IFERROR(category_assignment_2[[#This Row],[category_assignment_id]],"")</f>
        <v/>
      </c>
      <c r="B135" s="23" t="str">
        <f>IFERROR(VLOOKUP(category_assignment_2[[#This Row],[category_id]],#REF!,3,FALSE),"")</f>
        <v/>
      </c>
      <c r="C135" s="23" t="str">
        <f>IFERROR(VLOOKUP(category_assignment_2[[#This Row],[abbreviation_id]],abbreviation[],ColumnLanguage+1,FALSE),"")</f>
        <v/>
      </c>
      <c r="D135" s="23"/>
      <c r="E135" s="23"/>
      <c r="F135" s="23"/>
      <c r="G135" s="23"/>
      <c r="H135" s="23"/>
      <c r="I135" s="23"/>
      <c r="J135" s="23"/>
      <c r="K135" s="23"/>
    </row>
    <row r="136" spans="1:17" x14ac:dyDescent="0.25">
      <c r="A136" s="4" t="str">
        <f>IFERROR(category_assignment_2[[#This Row],[category_assignment_id]],"")</f>
        <v/>
      </c>
      <c r="B136" s="23" t="str">
        <f>IFERROR(VLOOKUP(category_assignment_2[[#This Row],[category_id]],#REF!,3,FALSE),"")</f>
        <v/>
      </c>
      <c r="C136" s="23" t="str">
        <f>IFERROR(VLOOKUP(category_assignment_2[[#This Row],[abbreviation_id]],abbreviation[],ColumnLanguage+1,FALSE),"")</f>
        <v/>
      </c>
      <c r="D136" s="23"/>
      <c r="E136" s="23"/>
      <c r="F136" s="23"/>
      <c r="G136" s="23"/>
      <c r="H136" s="23"/>
      <c r="I136" s="23"/>
      <c r="J136" s="23"/>
      <c r="K136" s="23"/>
    </row>
    <row r="137" spans="1:17" x14ac:dyDescent="0.25">
      <c r="A137" s="4" t="str">
        <f>IFERROR(category_assignment_2[[#This Row],[category_assignment_id]],"")</f>
        <v/>
      </c>
      <c r="B137" s="23" t="str">
        <f>IFERROR(VLOOKUP(category_assignment_2[[#This Row],[category_id]],#REF!,3,FALSE),"")</f>
        <v/>
      </c>
      <c r="C137" s="23" t="str">
        <f>IFERROR(VLOOKUP(category_assignment_2[[#This Row],[abbreviation_id]],abbreviation[],ColumnLanguage+1,FALSE),"")</f>
        <v/>
      </c>
      <c r="D137" s="23"/>
      <c r="E137" s="23"/>
      <c r="F137" s="23"/>
      <c r="G137" s="23"/>
      <c r="H137" s="23"/>
      <c r="I137" s="23"/>
      <c r="J137" s="23"/>
      <c r="K137" s="23"/>
    </row>
    <row r="138" spans="1:17" x14ac:dyDescent="0.25">
      <c r="A138" s="4" t="str">
        <f>IFERROR(category_assignment_2[[#This Row],[category_assignment_id]],"")</f>
        <v/>
      </c>
      <c r="B138" s="23" t="str">
        <f>IFERROR(VLOOKUP(category_assignment_2[[#This Row],[category_id]],#REF!,3,FALSE),"")</f>
        <v/>
      </c>
      <c r="C138" s="23" t="str">
        <f>IFERROR(VLOOKUP(category_assignment_2[[#This Row],[abbreviation_id]],abbreviation[],ColumnLanguage+1,FALSE),"")</f>
        <v/>
      </c>
      <c r="D138" s="23"/>
      <c r="E138" s="23"/>
      <c r="F138" s="23"/>
      <c r="G138" s="23"/>
      <c r="H138" s="23"/>
      <c r="I138" s="23"/>
      <c r="J138" s="23"/>
      <c r="K138" s="23"/>
    </row>
    <row r="139" spans="1:17" x14ac:dyDescent="0.25">
      <c r="A139" s="4" t="str">
        <f>IFERROR(category_assignment_2[[#This Row],[category_assignment_id]],"")</f>
        <v/>
      </c>
      <c r="B139" s="23" t="str">
        <f>IFERROR(VLOOKUP(category_assignment_2[[#This Row],[category_id]],#REF!,3,FALSE),"")</f>
        <v/>
      </c>
      <c r="C139" s="23" t="str">
        <f>IFERROR(VLOOKUP(category_assignment_2[[#This Row],[abbreviation_id]],abbreviation[],ColumnLanguage+1,FALSE),"")</f>
        <v/>
      </c>
      <c r="D139" s="23"/>
      <c r="E139" s="23"/>
      <c r="F139" s="23"/>
      <c r="G139" s="23"/>
      <c r="H139" s="23"/>
      <c r="I139" s="23"/>
      <c r="J139" s="23"/>
      <c r="K139" s="23"/>
    </row>
    <row r="140" spans="1:17" x14ac:dyDescent="0.25">
      <c r="A140" s="4" t="str">
        <f>IFERROR(category_assignment_2[[#This Row],[category_assignment_id]],"")</f>
        <v/>
      </c>
      <c r="B140" s="23" t="str">
        <f>IFERROR(VLOOKUP(category_assignment_2[[#This Row],[category_id]],#REF!,3,FALSE),"")</f>
        <v/>
      </c>
      <c r="C140" s="23" t="str">
        <f>IFERROR(VLOOKUP(category_assignment_2[[#This Row],[abbreviation_id]],abbreviation[],ColumnLanguage+1,FALSE),"")</f>
        <v/>
      </c>
      <c r="D140" s="23"/>
      <c r="E140" s="23"/>
      <c r="F140" s="23"/>
      <c r="G140" s="23"/>
      <c r="H140" s="23"/>
      <c r="I140" s="23"/>
      <c r="J140" s="23"/>
      <c r="K140" s="23"/>
    </row>
    <row r="141" spans="1:17" x14ac:dyDescent="0.25">
      <c r="A141" s="4" t="str">
        <f>IFERROR(category_assignment_2[[#This Row],[category_assignment_id]],"")</f>
        <v/>
      </c>
      <c r="B141" s="23" t="str">
        <f>IFERROR(VLOOKUP(category_assignment_2[[#This Row],[category_id]],#REF!,3,FALSE),"")</f>
        <v/>
      </c>
      <c r="C141" s="23" t="str">
        <f>IFERROR(VLOOKUP(category_assignment_2[[#This Row],[abbreviation_id]],abbreviation[],ColumnLanguage+1,FALSE),"")</f>
        <v/>
      </c>
      <c r="D141" s="23"/>
      <c r="E141" s="23"/>
      <c r="F141" s="23"/>
      <c r="G141" s="23"/>
      <c r="H141" s="23"/>
      <c r="I141" s="23"/>
      <c r="J141" s="23"/>
      <c r="K141" s="23"/>
    </row>
    <row r="142" spans="1:17" x14ac:dyDescent="0.25">
      <c r="A142" s="4" t="str">
        <f>IFERROR(category_assignment_2[[#This Row],[category_assignment_id]],"")</f>
        <v/>
      </c>
      <c r="B142" s="23" t="str">
        <f>IFERROR(VLOOKUP(category_assignment_2[[#This Row],[category_id]],#REF!,3,FALSE),"")</f>
        <v/>
      </c>
      <c r="C142" s="23" t="str">
        <f>IFERROR(VLOOKUP(category_assignment_2[[#This Row],[abbreviation_id]],abbreviation[],ColumnLanguage+1,FALSE),"")</f>
        <v/>
      </c>
      <c r="D142" s="23"/>
      <c r="E142" s="23"/>
      <c r="F142" s="23"/>
      <c r="G142" s="23"/>
      <c r="H142" s="23"/>
      <c r="I142" s="23"/>
      <c r="J142" s="23"/>
      <c r="K142" s="23"/>
    </row>
    <row r="143" spans="1:17" x14ac:dyDescent="0.25">
      <c r="A143" s="4" t="str">
        <f>IFERROR(category_assignment_2[[#This Row],[category_assignment_id]],"")</f>
        <v/>
      </c>
      <c r="B143" s="23" t="str">
        <f>IFERROR(VLOOKUP(category_assignment_2[[#This Row],[category_id]],#REF!,3,FALSE),"")</f>
        <v/>
      </c>
      <c r="C143" s="23" t="str">
        <f>IFERROR(VLOOKUP(category_assignment_2[[#This Row],[abbreviation_id]],abbreviation[],ColumnLanguage+1,FALSE),"")</f>
        <v/>
      </c>
      <c r="D143" s="23"/>
      <c r="E143" s="23"/>
      <c r="F143" s="23"/>
      <c r="G143" s="23"/>
      <c r="H143" s="23"/>
      <c r="I143" s="23"/>
      <c r="J143" s="23"/>
      <c r="K143" s="23"/>
    </row>
    <row r="144" spans="1:17" x14ac:dyDescent="0.25">
      <c r="A144" s="4" t="str">
        <f>IFERROR(category_assignment_2[[#This Row],[category_assignment_id]],"")</f>
        <v/>
      </c>
      <c r="B144" s="23" t="str">
        <f>IFERROR(VLOOKUP(category_assignment_2[[#This Row],[category_id]],#REF!,3,FALSE),"")</f>
        <v/>
      </c>
      <c r="C144" s="23" t="str">
        <f>IFERROR(VLOOKUP(category_assignment_2[[#This Row],[abbreviation_id]],abbreviation[],ColumnLanguage+1,FALSE),"")</f>
        <v/>
      </c>
      <c r="D144" s="23"/>
      <c r="E144" s="23"/>
      <c r="F144" s="23"/>
      <c r="G144" s="23"/>
      <c r="H144" s="23"/>
      <c r="I144" s="23"/>
      <c r="J144" s="23"/>
      <c r="K144" s="23"/>
    </row>
    <row r="145" spans="1:11" x14ac:dyDescent="0.25">
      <c r="A145" s="4" t="str">
        <f>IFERROR(category_assignment_2[[#This Row],[category_assignment_id]],"")</f>
        <v/>
      </c>
      <c r="B145" s="23" t="str">
        <f>IFERROR(VLOOKUP(category_assignment_2[[#This Row],[category_id]],#REF!,3,FALSE),"")</f>
        <v/>
      </c>
      <c r="C145" s="23" t="str">
        <f>IFERROR(VLOOKUP(category_assignment_2[[#This Row],[abbreviation_id]],abbreviation[],ColumnLanguage+1,FALSE),"")</f>
        <v/>
      </c>
      <c r="D145" s="23"/>
      <c r="E145" s="23"/>
      <c r="F145" s="23"/>
      <c r="G145" s="23"/>
      <c r="H145" s="23"/>
      <c r="I145" s="23"/>
      <c r="J145" s="23"/>
      <c r="K145" s="23"/>
    </row>
    <row r="146" spans="1:11" x14ac:dyDescent="0.25">
      <c r="A146" s="4" t="str">
        <f>IFERROR(category_assignment_2[[#This Row],[category_assignment_id]],"")</f>
        <v/>
      </c>
      <c r="B146" s="23" t="str">
        <f>IFERROR(VLOOKUP(category_assignment_2[[#This Row],[category_id]],#REF!,3,FALSE),"")</f>
        <v/>
      </c>
      <c r="C146" s="23" t="str">
        <f>IFERROR(VLOOKUP(category_assignment_2[[#This Row],[abbreviation_id]],abbreviation[],ColumnLanguage+1,FALSE),"")</f>
        <v/>
      </c>
      <c r="D146" s="23"/>
      <c r="E146" s="23"/>
      <c r="F146" s="23"/>
      <c r="G146" s="23"/>
      <c r="H146" s="23"/>
      <c r="I146" s="23"/>
      <c r="J146" s="23"/>
      <c r="K146" s="23"/>
    </row>
    <row r="147" spans="1:11" x14ac:dyDescent="0.25">
      <c r="A147" s="4" t="str">
        <f>IFERROR(category_assignment_2[[#This Row],[category_assignment_id]],"")</f>
        <v/>
      </c>
      <c r="B147" s="23" t="str">
        <f>IFERROR(VLOOKUP(category_assignment_2[[#This Row],[category_id]],#REF!,3,FALSE),"")</f>
        <v/>
      </c>
      <c r="C147" s="23" t="str">
        <f>IFERROR(VLOOKUP(category_assignment_2[[#This Row],[abbreviation_id]],abbreviation[],ColumnLanguage+1,FALSE),"")</f>
        <v/>
      </c>
      <c r="D147" s="23"/>
      <c r="E147" s="23"/>
      <c r="F147" s="23"/>
      <c r="G147" s="23"/>
      <c r="H147" s="23"/>
      <c r="I147" s="23"/>
      <c r="J147" s="23"/>
      <c r="K147" s="23"/>
    </row>
    <row r="148" spans="1:11" x14ac:dyDescent="0.25">
      <c r="A148" s="4" t="str">
        <f>IFERROR(category_assignment_2[[#This Row],[category_assignment_id]],"")</f>
        <v/>
      </c>
      <c r="B148" s="23" t="str">
        <f>IFERROR(VLOOKUP(category_assignment_2[[#This Row],[category_id]],#REF!,3,FALSE),"")</f>
        <v/>
      </c>
      <c r="C148" s="23" t="str">
        <f>IFERROR(VLOOKUP(category_assignment_2[[#This Row],[abbreviation_id]],abbreviation[],ColumnLanguage+1,FALSE),"")</f>
        <v/>
      </c>
      <c r="D148" s="23"/>
      <c r="E148" s="23"/>
      <c r="F148" s="23"/>
      <c r="G148" s="23"/>
      <c r="H148" s="23"/>
      <c r="I148" s="23"/>
      <c r="J148" s="23"/>
      <c r="K148" s="23"/>
    </row>
    <row r="149" spans="1:11" x14ac:dyDescent="0.25">
      <c r="A149" s="4" t="str">
        <f>IFERROR(category_assignment_2[[#This Row],[category_assignment_id]],"")</f>
        <v/>
      </c>
      <c r="B149" s="23" t="str">
        <f>IFERROR(VLOOKUP(category_assignment_2[[#This Row],[category_id]],#REF!,3,FALSE),"")</f>
        <v/>
      </c>
      <c r="C149" s="23" t="str">
        <f>IFERROR(VLOOKUP(category_assignment_2[[#This Row],[abbreviation_id]],abbreviation[],ColumnLanguage+1,FALSE),"")</f>
        <v/>
      </c>
      <c r="D149" s="23"/>
      <c r="E149" s="23"/>
      <c r="F149" s="23"/>
      <c r="G149" s="23"/>
      <c r="H149" s="23"/>
      <c r="I149" s="23"/>
      <c r="J149" s="23"/>
      <c r="K149" s="23"/>
    </row>
    <row r="150" spans="1:11" x14ac:dyDescent="0.25">
      <c r="A150" s="4" t="str">
        <f>IFERROR(category_assignment_2[[#This Row],[category_assignment_id]],"")</f>
        <v/>
      </c>
      <c r="B150" s="23" t="str">
        <f>IFERROR(VLOOKUP(category_assignment_2[[#This Row],[category_id]],#REF!,3,FALSE),"")</f>
        <v/>
      </c>
      <c r="C150" s="23" t="str">
        <f>IFERROR(VLOOKUP(category_assignment_2[[#This Row],[abbreviation_id]],abbreviation[],ColumnLanguage+1,FALSE),"")</f>
        <v/>
      </c>
      <c r="D150" s="23"/>
      <c r="E150" s="23"/>
      <c r="F150" s="23"/>
      <c r="G150" s="23"/>
      <c r="H150" s="23"/>
      <c r="I150" s="23"/>
      <c r="J150" s="23"/>
      <c r="K150" s="23"/>
    </row>
    <row r="151" spans="1:11" x14ac:dyDescent="0.25">
      <c r="A151" s="4" t="str">
        <f>IFERROR(category_assignment_2[[#This Row],[category_assignment_id]],"")</f>
        <v/>
      </c>
      <c r="B151" s="23" t="str">
        <f>IFERROR(VLOOKUP(category_assignment_2[[#This Row],[category_id]],#REF!,3,FALSE),"")</f>
        <v/>
      </c>
      <c r="C151" s="23" t="str">
        <f>IFERROR(VLOOKUP(category_assignment_2[[#This Row],[abbreviation_id]],abbreviation[],ColumnLanguage+1,FALSE),"")</f>
        <v/>
      </c>
      <c r="D151" s="23"/>
      <c r="E151" s="23"/>
      <c r="F151" s="23"/>
      <c r="G151" s="23"/>
      <c r="H151" s="23"/>
      <c r="I151" s="23"/>
      <c r="J151" s="23"/>
      <c r="K151" s="23"/>
    </row>
    <row r="152" spans="1:11" x14ac:dyDescent="0.25">
      <c r="A152" s="4" t="str">
        <f>IFERROR(category_assignment_2[[#This Row],[category_assignment_id]],"")</f>
        <v/>
      </c>
      <c r="B152" s="23" t="str">
        <f>IFERROR(VLOOKUP(category_assignment_2[[#This Row],[category_id]],#REF!,3,FALSE),"")</f>
        <v/>
      </c>
      <c r="C152" s="23" t="str">
        <f>IFERROR(VLOOKUP(category_assignment_2[[#This Row],[abbreviation_id]],abbreviation[],ColumnLanguage+1,FALSE),"")</f>
        <v/>
      </c>
      <c r="D152" s="23"/>
      <c r="E152" s="23"/>
      <c r="F152" s="23"/>
      <c r="G152" s="23"/>
      <c r="H152" s="23"/>
      <c r="I152" s="23"/>
      <c r="J152" s="23"/>
      <c r="K152" s="23"/>
    </row>
    <row r="153" spans="1:11" x14ac:dyDescent="0.25">
      <c r="A153" s="4" t="str">
        <f>IFERROR(category_assignment_2[[#This Row],[category_assignment_id]],"")</f>
        <v/>
      </c>
      <c r="B153" s="23" t="str">
        <f>IFERROR(VLOOKUP(category_assignment_2[[#This Row],[category_id]],#REF!,3,FALSE),"")</f>
        <v/>
      </c>
      <c r="C153" s="23" t="str">
        <f>IFERROR(VLOOKUP(category_assignment_2[[#This Row],[abbreviation_id]],abbreviation[],ColumnLanguage+1,FALSE),"")</f>
        <v/>
      </c>
      <c r="D153" s="23"/>
      <c r="E153" s="23"/>
      <c r="F153" s="23"/>
      <c r="G153" s="23"/>
      <c r="H153" s="23"/>
      <c r="I153" s="23"/>
      <c r="J153" s="23"/>
      <c r="K153" s="23"/>
    </row>
    <row r="154" spans="1:11" x14ac:dyDescent="0.25">
      <c r="A154" s="4" t="str">
        <f>IFERROR(category_assignment_2[[#This Row],[category_assignment_id]],"")</f>
        <v/>
      </c>
      <c r="B154" s="23" t="str">
        <f>IFERROR(VLOOKUP(category_assignment_2[[#This Row],[category_id]],#REF!,3,FALSE),"")</f>
        <v/>
      </c>
      <c r="C154" s="23" t="str">
        <f>IFERROR(VLOOKUP(category_assignment_2[[#This Row],[abbreviation_id]],abbreviation[],ColumnLanguage+1,FALSE),"")</f>
        <v/>
      </c>
      <c r="D154" s="23"/>
      <c r="E154" s="23"/>
      <c r="F154" s="23"/>
      <c r="G154" s="23"/>
      <c r="H154" s="23"/>
      <c r="I154" s="23"/>
      <c r="J154" s="23"/>
      <c r="K154" s="23"/>
    </row>
    <row r="155" spans="1:11" x14ac:dyDescent="0.25">
      <c r="A155" s="4" t="str">
        <f>IFERROR(category_assignment_2[[#This Row],[category_assignment_id]],"")</f>
        <v/>
      </c>
      <c r="B155" s="23" t="str">
        <f>IFERROR(VLOOKUP(category_assignment_2[[#This Row],[category_id]],#REF!,3,FALSE),"")</f>
        <v/>
      </c>
      <c r="C155" s="23" t="str">
        <f>IFERROR(VLOOKUP(category_assignment_2[[#This Row],[abbreviation_id]],abbreviation[],ColumnLanguage+1,FALSE),"")</f>
        <v/>
      </c>
      <c r="D155" s="23"/>
      <c r="E155" s="23"/>
      <c r="F155" s="23"/>
      <c r="G155" s="23"/>
      <c r="H155" s="23"/>
      <c r="I155" s="23"/>
      <c r="J155" s="23"/>
      <c r="K155" s="23"/>
    </row>
    <row r="156" spans="1:11" x14ac:dyDescent="0.25">
      <c r="A156" s="4" t="str">
        <f>IFERROR(category_assignment_2[[#This Row],[category_assignment_id]],"")</f>
        <v/>
      </c>
      <c r="B156" s="23" t="str">
        <f>IFERROR(VLOOKUP(category_assignment_2[[#This Row],[category_id]],#REF!,3,FALSE),"")</f>
        <v/>
      </c>
      <c r="C156" s="23" t="str">
        <f>IFERROR(VLOOKUP(category_assignment_2[[#This Row],[abbreviation_id]],abbreviation[],ColumnLanguage+1,FALSE),"")</f>
        <v/>
      </c>
      <c r="D156" s="23"/>
      <c r="E156" s="23"/>
      <c r="F156" s="23"/>
      <c r="G156" s="23"/>
      <c r="H156" s="23"/>
      <c r="I156" s="23"/>
      <c r="J156" s="23"/>
      <c r="K156" s="23"/>
    </row>
    <row r="157" spans="1:11" x14ac:dyDescent="0.25">
      <c r="A157" s="4" t="str">
        <f>IFERROR(category_assignment_2[[#This Row],[category_assignment_id]],"")</f>
        <v/>
      </c>
      <c r="B157" s="23" t="str">
        <f>IFERROR(VLOOKUP(category_assignment_2[[#This Row],[category_id]],#REF!,3,FALSE),"")</f>
        <v/>
      </c>
      <c r="C157" s="23" t="str">
        <f>IFERROR(VLOOKUP(category_assignment_2[[#This Row],[abbreviation_id]],abbreviation[],ColumnLanguage+1,FALSE),"")</f>
        <v/>
      </c>
      <c r="D157" s="23"/>
      <c r="E157" s="23"/>
      <c r="F157" s="23"/>
      <c r="G157" s="23"/>
      <c r="H157" s="23"/>
      <c r="I157" s="23"/>
      <c r="J157" s="23"/>
      <c r="K157" s="23"/>
    </row>
    <row r="158" spans="1:11" x14ac:dyDescent="0.25">
      <c r="A158" s="4" t="str">
        <f>IFERROR(category_assignment_2[[#This Row],[category_assignment_id]],"")</f>
        <v/>
      </c>
      <c r="B158" s="23" t="str">
        <f>IFERROR(VLOOKUP(category_assignment_2[[#This Row],[category_id]],#REF!,3,FALSE),"")</f>
        <v/>
      </c>
      <c r="C158" s="23" t="str">
        <f>IFERROR(VLOOKUP(category_assignment_2[[#This Row],[abbreviation_id]],abbreviation[],ColumnLanguage+1,FALSE),"")</f>
        <v/>
      </c>
      <c r="D158" s="23"/>
      <c r="E158" s="23"/>
      <c r="F158" s="23"/>
      <c r="G158" s="23"/>
      <c r="H158" s="23"/>
      <c r="I158" s="23"/>
      <c r="J158" s="23"/>
      <c r="K158" s="23"/>
    </row>
    <row r="159" spans="1:11" x14ac:dyDescent="0.25">
      <c r="A159" s="4" t="str">
        <f>IFERROR(category_assignment_2[[#This Row],[category_assignment_id]],"")</f>
        <v/>
      </c>
      <c r="B159" s="23" t="str">
        <f>IFERROR(VLOOKUP(category_assignment_2[[#This Row],[category_id]],#REF!,3,FALSE),"")</f>
        <v/>
      </c>
      <c r="C159" s="23" t="str">
        <f>IFERROR(VLOOKUP(category_assignment_2[[#This Row],[abbreviation_id]],abbreviation[],ColumnLanguage+1,FALSE),"")</f>
        <v/>
      </c>
      <c r="D159" s="23"/>
      <c r="E159" s="23"/>
      <c r="F159" s="23"/>
      <c r="G159" s="23"/>
      <c r="H159" s="23"/>
      <c r="I159" s="23"/>
      <c r="J159" s="23"/>
      <c r="K159" s="23"/>
    </row>
    <row r="160" spans="1:11" x14ac:dyDescent="0.25">
      <c r="A160" s="4" t="str">
        <f>IFERROR(category_assignment_2[[#This Row],[category_assignment_id]],"")</f>
        <v/>
      </c>
      <c r="B160" s="23" t="str">
        <f>IFERROR(VLOOKUP(category_assignment_2[[#This Row],[category_id]],#REF!,3,FALSE),"")</f>
        <v/>
      </c>
      <c r="C160" s="23" t="str">
        <f>IFERROR(VLOOKUP(category_assignment_2[[#This Row],[abbreviation_id]],abbreviation[],ColumnLanguage+1,FALSE),"")</f>
        <v/>
      </c>
      <c r="D160" s="23"/>
      <c r="E160" s="23"/>
      <c r="F160" s="23"/>
      <c r="G160" s="23"/>
      <c r="H160" s="23"/>
      <c r="I160" s="23"/>
      <c r="J160" s="23"/>
      <c r="K160" s="23"/>
    </row>
    <row r="161" spans="1:11" x14ac:dyDescent="0.25">
      <c r="A161" s="4" t="str">
        <f>IFERROR(category_assignment_2[[#This Row],[category_assignment_id]],"")</f>
        <v/>
      </c>
      <c r="B161" s="23" t="str">
        <f>IFERROR(VLOOKUP(category_assignment_2[[#This Row],[category_id]],#REF!,3,FALSE),"")</f>
        <v/>
      </c>
      <c r="C161" s="23" t="str">
        <f>IFERROR(VLOOKUP(category_assignment_2[[#This Row],[abbreviation_id]],abbreviation[],ColumnLanguage+1,FALSE),"")</f>
        <v/>
      </c>
      <c r="D161" s="23"/>
      <c r="E161" s="23"/>
      <c r="F161" s="23"/>
      <c r="G161" s="23"/>
      <c r="H161" s="23"/>
      <c r="I161" s="23"/>
      <c r="J161" s="23"/>
      <c r="K161" s="23"/>
    </row>
    <row r="162" spans="1:11" x14ac:dyDescent="0.25">
      <c r="A162" s="4" t="str">
        <f>IFERROR(category_assignment_2[[#This Row],[category_assignment_id]],"")</f>
        <v/>
      </c>
      <c r="B162" s="23" t="str">
        <f>IFERROR(VLOOKUP(category_assignment_2[[#This Row],[category_id]],#REF!,3,FALSE),"")</f>
        <v/>
      </c>
      <c r="C162" s="23" t="str">
        <f>IFERROR(VLOOKUP(category_assignment_2[[#This Row],[abbreviation_id]],abbreviation[],ColumnLanguage+1,FALSE),"")</f>
        <v/>
      </c>
      <c r="D162" s="23"/>
      <c r="E162" s="23"/>
      <c r="F162" s="23"/>
      <c r="G162" s="23"/>
      <c r="H162" s="23"/>
      <c r="I162" s="23"/>
      <c r="J162" s="23"/>
      <c r="K162" s="23"/>
    </row>
    <row r="163" spans="1:11" x14ac:dyDescent="0.25">
      <c r="A163" s="4" t="str">
        <f>IFERROR(category_assignment_2[[#This Row],[category_assignment_id]],"")</f>
        <v/>
      </c>
      <c r="B163" s="23" t="str">
        <f>IFERROR(VLOOKUP(category_assignment_2[[#This Row],[category_id]],#REF!,3,FALSE),"")</f>
        <v/>
      </c>
      <c r="C163" s="23" t="str">
        <f>IFERROR(VLOOKUP(category_assignment_2[[#This Row],[abbreviation_id]],abbreviation[],ColumnLanguage+1,FALSE),"")</f>
        <v/>
      </c>
      <c r="D163" s="23"/>
      <c r="E163" s="23"/>
      <c r="F163" s="23"/>
      <c r="G163" s="23"/>
      <c r="H163" s="23"/>
      <c r="I163" s="23"/>
      <c r="J163" s="23"/>
      <c r="K163" s="23"/>
    </row>
    <row r="164" spans="1:11" x14ac:dyDescent="0.25">
      <c r="A164" s="4" t="str">
        <f>IFERROR(category_assignment_2[[#This Row],[category_assignment_id]],"")</f>
        <v/>
      </c>
      <c r="B164" s="23" t="str">
        <f>IFERROR(VLOOKUP(category_assignment_2[[#This Row],[category_id]],#REF!,3,FALSE),"")</f>
        <v/>
      </c>
      <c r="C164" s="23" t="str">
        <f>IFERROR(VLOOKUP(category_assignment_2[[#This Row],[abbreviation_id]],abbreviation[],ColumnLanguage+1,FALSE),"")</f>
        <v/>
      </c>
      <c r="D164" s="23"/>
      <c r="E164" s="23"/>
      <c r="F164" s="23"/>
      <c r="G164" s="23"/>
      <c r="H164" s="23"/>
      <c r="I164" s="23"/>
      <c r="J164" s="23"/>
      <c r="K164" s="23"/>
    </row>
    <row r="165" spans="1:11" x14ac:dyDescent="0.25">
      <c r="A165" s="4" t="str">
        <f>IFERROR(category_assignment_2[[#This Row],[category_assignment_id]],"")</f>
        <v/>
      </c>
      <c r="B165" s="23" t="str">
        <f>IFERROR(VLOOKUP(category_assignment_2[[#This Row],[category_id]],#REF!,3,FALSE),"")</f>
        <v/>
      </c>
      <c r="C165" s="23" t="str">
        <f>IFERROR(VLOOKUP(category_assignment_2[[#This Row],[abbreviation_id]],abbreviation[],ColumnLanguage+1,FALSE),"")</f>
        <v/>
      </c>
      <c r="D165" s="23"/>
      <c r="E165" s="23"/>
      <c r="F165" s="23"/>
      <c r="G165" s="23"/>
      <c r="H165" s="23"/>
      <c r="I165" s="23"/>
      <c r="J165" s="23"/>
      <c r="K165" s="23"/>
    </row>
    <row r="166" spans="1:11" x14ac:dyDescent="0.25">
      <c r="A166" s="4" t="str">
        <f>IFERROR(category_assignment_2[[#This Row],[category_assignment_id]],"")</f>
        <v/>
      </c>
      <c r="B166" s="23" t="str">
        <f>IFERROR(VLOOKUP(category_assignment_2[[#This Row],[category_id]],#REF!,3,FALSE),"")</f>
        <v/>
      </c>
      <c r="C166" s="23" t="str">
        <f>IFERROR(VLOOKUP(category_assignment_2[[#This Row],[abbreviation_id]],abbreviation[],ColumnLanguage+1,FALSE),"")</f>
        <v/>
      </c>
      <c r="D166" s="23"/>
      <c r="E166" s="23"/>
      <c r="F166" s="23"/>
      <c r="G166" s="23"/>
      <c r="H166" s="23"/>
      <c r="I166" s="23"/>
      <c r="J166" s="23"/>
      <c r="K166" s="23"/>
    </row>
    <row r="167" spans="1:11" x14ac:dyDescent="0.25">
      <c r="A167" s="4" t="str">
        <f>IFERROR(category_assignment_2[[#This Row],[category_assignment_id]],"")</f>
        <v/>
      </c>
      <c r="B167" s="23" t="str">
        <f>IFERROR(VLOOKUP(category_assignment_2[[#This Row],[category_id]],#REF!,3,FALSE),"")</f>
        <v/>
      </c>
      <c r="C167" s="23" t="str">
        <f>IFERROR(VLOOKUP(category_assignment_2[[#This Row],[abbreviation_id]],abbreviation[],ColumnLanguage+1,FALSE),"")</f>
        <v/>
      </c>
      <c r="D167" s="23"/>
      <c r="E167" s="23"/>
      <c r="F167" s="23"/>
      <c r="G167" s="23"/>
      <c r="H167" s="23"/>
      <c r="I167" s="23"/>
      <c r="J167" s="23"/>
      <c r="K167" s="23"/>
    </row>
    <row r="168" spans="1:11" x14ac:dyDescent="0.25">
      <c r="A168" s="4" t="str">
        <f>IFERROR(category_assignment_2[[#This Row],[category_assignment_id]],"")</f>
        <v/>
      </c>
      <c r="B168" s="23" t="str">
        <f>IFERROR(VLOOKUP(category_assignment_2[[#This Row],[category_id]],#REF!,3,FALSE),"")</f>
        <v/>
      </c>
      <c r="C168" s="23" t="str">
        <f>IFERROR(VLOOKUP(category_assignment_2[[#This Row],[abbreviation_id]],abbreviation[],ColumnLanguage+1,FALSE),"")</f>
        <v/>
      </c>
      <c r="D168" s="23"/>
      <c r="E168" s="23"/>
      <c r="F168" s="23"/>
      <c r="G168" s="23"/>
      <c r="H168" s="23"/>
      <c r="I168" s="23"/>
      <c r="J168" s="23"/>
      <c r="K168" s="23"/>
    </row>
    <row r="169" spans="1:11" x14ac:dyDescent="0.25">
      <c r="A169" s="4" t="str">
        <f>IFERROR(category_assignment_2[[#This Row],[category_assignment_id]],"")</f>
        <v/>
      </c>
      <c r="B169" s="23" t="str">
        <f>IFERROR(VLOOKUP(category_assignment_2[[#This Row],[category_id]],#REF!,3,FALSE),"")</f>
        <v/>
      </c>
      <c r="C169" s="23" t="str">
        <f>IFERROR(VLOOKUP(category_assignment_2[[#This Row],[abbreviation_id]],abbreviation[],ColumnLanguage+1,FALSE),"")</f>
        <v/>
      </c>
      <c r="D169" s="23"/>
      <c r="E169" s="23"/>
      <c r="F169" s="23"/>
      <c r="G169" s="23"/>
      <c r="H169" s="23"/>
      <c r="I169" s="23"/>
      <c r="J169" s="23"/>
      <c r="K169" s="23"/>
    </row>
    <row r="170" spans="1:11" x14ac:dyDescent="0.25">
      <c r="A170" s="4" t="str">
        <f>IFERROR(category_assignment_2[[#This Row],[category_assignment_id]],"")</f>
        <v/>
      </c>
      <c r="B170" s="23" t="str">
        <f>IFERROR(VLOOKUP(category_assignment_2[[#This Row],[category_id]],#REF!,3,FALSE),"")</f>
        <v/>
      </c>
      <c r="C170" s="23" t="str">
        <f>IFERROR(VLOOKUP(category_assignment_2[[#This Row],[abbreviation_id]],abbreviation[],ColumnLanguage+1,FALSE),"")</f>
        <v/>
      </c>
      <c r="D170" s="23"/>
      <c r="E170" s="23"/>
      <c r="F170" s="23"/>
      <c r="G170" s="23"/>
      <c r="H170" s="23"/>
      <c r="I170" s="23"/>
      <c r="J170" s="23"/>
      <c r="K170" s="23"/>
    </row>
    <row r="171" spans="1:11" x14ac:dyDescent="0.25">
      <c r="A171" s="4" t="str">
        <f>IFERROR(category_assignment_2[[#This Row],[category_assignment_id]],"")</f>
        <v/>
      </c>
      <c r="B171" s="23" t="str">
        <f>IFERROR(VLOOKUP(category_assignment_2[[#This Row],[category_id]],#REF!,3,FALSE),"")</f>
        <v/>
      </c>
      <c r="C171" s="23" t="str">
        <f>IFERROR(VLOOKUP(category_assignment_2[[#This Row],[abbreviation_id]],abbreviation[],ColumnLanguage+1,FALSE),"")</f>
        <v/>
      </c>
      <c r="D171" s="23"/>
      <c r="E171" s="23"/>
      <c r="F171" s="23"/>
      <c r="G171" s="23"/>
      <c r="H171" s="23"/>
      <c r="I171" s="23"/>
      <c r="J171" s="23"/>
      <c r="K171" s="23"/>
    </row>
    <row r="172" spans="1:11" x14ac:dyDescent="0.25">
      <c r="A172" s="4" t="str">
        <f>IFERROR(category_assignment_2[[#This Row],[category_assignment_id]],"")</f>
        <v/>
      </c>
      <c r="B172" s="23" t="str">
        <f>IFERROR(VLOOKUP(category_assignment_2[[#This Row],[category_id]],#REF!,3,FALSE),"")</f>
        <v/>
      </c>
      <c r="C172" s="23" t="str">
        <f>IFERROR(VLOOKUP(category_assignment_2[[#This Row],[abbreviation_id]],abbreviation[],ColumnLanguage+1,FALSE),"")</f>
        <v/>
      </c>
      <c r="D172" s="23"/>
      <c r="E172" s="23"/>
      <c r="F172" s="23"/>
      <c r="G172" s="23"/>
      <c r="H172" s="23"/>
      <c r="I172" s="23"/>
      <c r="J172" s="23"/>
      <c r="K172" s="23"/>
    </row>
    <row r="173" spans="1:11" x14ac:dyDescent="0.25">
      <c r="A173" s="4" t="str">
        <f>IFERROR(category_assignment_2[[#This Row],[category_assignment_id]],"")</f>
        <v/>
      </c>
      <c r="B173" s="23" t="str">
        <f>IFERROR(VLOOKUP(category_assignment_2[[#This Row],[category_id]],#REF!,3,FALSE),"")</f>
        <v/>
      </c>
      <c r="C173" s="23" t="str">
        <f>IFERROR(VLOOKUP(category_assignment_2[[#This Row],[abbreviation_id]],abbreviation[],ColumnLanguage+1,FALSE),"")</f>
        <v/>
      </c>
      <c r="D173" s="23"/>
      <c r="E173" s="23"/>
      <c r="F173" s="23"/>
      <c r="G173" s="23"/>
      <c r="H173" s="23"/>
      <c r="I173" s="23"/>
      <c r="J173" s="23"/>
      <c r="K173" s="23"/>
    </row>
    <row r="174" spans="1:11" x14ac:dyDescent="0.25">
      <c r="A174" s="4" t="str">
        <f>IFERROR(category_assignment_2[[#This Row],[category_assignment_id]],"")</f>
        <v/>
      </c>
      <c r="B174" s="23" t="str">
        <f>IFERROR(VLOOKUP(category_assignment_2[[#This Row],[category_id]],#REF!,3,FALSE),"")</f>
        <v/>
      </c>
      <c r="C174" s="23" t="str">
        <f>IFERROR(VLOOKUP(category_assignment_2[[#This Row],[abbreviation_id]],abbreviation[],ColumnLanguage+1,FALSE),"")</f>
        <v/>
      </c>
      <c r="D174" s="23"/>
      <c r="E174" s="23"/>
      <c r="F174" s="23"/>
      <c r="G174" s="23"/>
      <c r="H174" s="23"/>
      <c r="I174" s="23"/>
      <c r="J174" s="23"/>
      <c r="K174" s="23"/>
    </row>
    <row r="175" spans="1:11" x14ac:dyDescent="0.25">
      <c r="A175" s="4" t="str">
        <f>IFERROR(category_assignment_2[[#This Row],[category_assignment_id]],"")</f>
        <v/>
      </c>
      <c r="B175" s="23" t="str">
        <f>IFERROR(VLOOKUP(category_assignment_2[[#This Row],[category_id]],#REF!,3,FALSE),"")</f>
        <v/>
      </c>
      <c r="C175" s="23" t="str">
        <f>IFERROR(VLOOKUP(category_assignment_2[[#This Row],[abbreviation_id]],abbreviation[],ColumnLanguage+1,FALSE),"")</f>
        <v/>
      </c>
      <c r="D175" s="23"/>
      <c r="E175" s="23"/>
      <c r="F175" s="23"/>
      <c r="G175" s="23"/>
      <c r="H175" s="23"/>
      <c r="I175" s="23"/>
      <c r="J175" s="23"/>
      <c r="K175" s="23"/>
    </row>
    <row r="176" spans="1:11" x14ac:dyDescent="0.25">
      <c r="A176" s="4" t="str">
        <f>IFERROR(category_assignment_2[[#This Row],[category_assignment_id]],"")</f>
        <v/>
      </c>
      <c r="B176" s="23" t="str">
        <f>IFERROR(VLOOKUP(category_assignment_2[[#This Row],[category_id]],#REF!,3,FALSE),"")</f>
        <v/>
      </c>
      <c r="C176" s="23" t="str">
        <f>IFERROR(VLOOKUP(category_assignment_2[[#This Row],[abbreviation_id]],abbreviation[],ColumnLanguage+1,FALSE),"")</f>
        <v/>
      </c>
      <c r="D176" s="23"/>
      <c r="E176" s="23"/>
      <c r="F176" s="23"/>
      <c r="G176" s="23"/>
      <c r="H176" s="23"/>
      <c r="I176" s="23"/>
      <c r="J176" s="23"/>
      <c r="K176" s="23"/>
    </row>
    <row r="177" spans="1:11" x14ac:dyDescent="0.25">
      <c r="A177" s="4" t="str">
        <f>IFERROR(category_assignment_2[[#This Row],[category_assignment_id]],"")</f>
        <v/>
      </c>
      <c r="B177" s="23" t="str">
        <f>IFERROR(VLOOKUP(category_assignment_2[[#This Row],[category_id]],#REF!,3,FALSE),"")</f>
        <v/>
      </c>
      <c r="C177" s="23" t="str">
        <f>IFERROR(VLOOKUP(category_assignment_2[[#This Row],[abbreviation_id]],abbreviation[],ColumnLanguage+1,FALSE),"")</f>
        <v/>
      </c>
      <c r="D177" s="23"/>
      <c r="E177" s="23"/>
      <c r="F177" s="23"/>
      <c r="G177" s="23"/>
      <c r="H177" s="23"/>
      <c r="I177" s="23"/>
      <c r="J177" s="23"/>
      <c r="K177" s="23"/>
    </row>
    <row r="178" spans="1:11" x14ac:dyDescent="0.25">
      <c r="A178" s="4" t="str">
        <f>IFERROR(category_assignment_2[[#This Row],[category_assignment_id]],"")</f>
        <v/>
      </c>
      <c r="B178" s="23" t="str">
        <f>IFERROR(VLOOKUP(category_assignment_2[[#This Row],[category_id]],#REF!,3,FALSE),"")</f>
        <v/>
      </c>
      <c r="C178" s="23" t="str">
        <f>IFERROR(VLOOKUP(category_assignment_2[[#This Row],[abbreviation_id]],abbreviation[],ColumnLanguage+1,FALSE),"")</f>
        <v/>
      </c>
      <c r="D178" s="23"/>
      <c r="E178" s="23"/>
      <c r="F178" s="23"/>
      <c r="G178" s="23"/>
      <c r="H178" s="23"/>
      <c r="I178" s="23"/>
      <c r="J178" s="23"/>
      <c r="K178" s="23"/>
    </row>
    <row r="179" spans="1:11" x14ac:dyDescent="0.25">
      <c r="A179" s="4" t="str">
        <f>IFERROR(category_assignment_2[[#This Row],[category_assignment_id]],"")</f>
        <v/>
      </c>
      <c r="B179" s="23" t="str">
        <f>IFERROR(VLOOKUP(category_assignment_2[[#This Row],[category_id]],#REF!,3,FALSE),"")</f>
        <v/>
      </c>
      <c r="C179" s="23" t="str">
        <f>IFERROR(VLOOKUP(category_assignment_2[[#This Row],[abbreviation_id]],abbreviation[],ColumnLanguage+1,FALSE),"")</f>
        <v/>
      </c>
      <c r="D179" s="23"/>
      <c r="E179" s="23"/>
      <c r="F179" s="23"/>
      <c r="G179" s="23"/>
      <c r="H179" s="23"/>
      <c r="I179" s="23"/>
      <c r="J179" s="23"/>
      <c r="K179" s="23"/>
    </row>
    <row r="180" spans="1:11" x14ac:dyDescent="0.25">
      <c r="A180" s="4" t="str">
        <f>IFERROR(category_assignment_2[[#This Row],[category_assignment_id]],"")</f>
        <v/>
      </c>
      <c r="B180" s="23" t="str">
        <f>IFERROR(VLOOKUP(category_assignment_2[[#This Row],[category_id]],#REF!,3,FALSE),"")</f>
        <v/>
      </c>
      <c r="C180" s="23" t="str">
        <f>IFERROR(VLOOKUP(category_assignment_2[[#This Row],[abbreviation_id]],abbreviation[],ColumnLanguage+1,FALSE),"")</f>
        <v/>
      </c>
      <c r="D180" s="23"/>
      <c r="E180" s="23"/>
      <c r="F180" s="23"/>
      <c r="G180" s="23"/>
      <c r="H180" s="23"/>
      <c r="I180" s="23"/>
      <c r="J180" s="23"/>
      <c r="K180" s="23"/>
    </row>
    <row r="181" spans="1:11" x14ac:dyDescent="0.25">
      <c r="A181" s="4" t="str">
        <f>IFERROR(category_assignment_2[[#This Row],[category_assignment_id]],"")</f>
        <v/>
      </c>
      <c r="B181" s="23" t="str">
        <f>IFERROR(VLOOKUP(category_assignment_2[[#This Row],[category_id]],#REF!,3,FALSE),"")</f>
        <v/>
      </c>
      <c r="C181" s="23" t="str">
        <f>IFERROR(VLOOKUP(category_assignment_2[[#This Row],[abbreviation_id]],abbreviation[],ColumnLanguage+1,FALSE),"")</f>
        <v/>
      </c>
      <c r="D181" s="23"/>
      <c r="E181" s="23"/>
      <c r="F181" s="23"/>
      <c r="G181" s="23"/>
      <c r="H181" s="23"/>
      <c r="I181" s="23"/>
      <c r="J181" s="23"/>
      <c r="K181" s="23"/>
    </row>
    <row r="182" spans="1:11" x14ac:dyDescent="0.25">
      <c r="A182" s="4" t="str">
        <f>IFERROR(category_assignment_2[[#This Row],[category_assignment_id]],"")</f>
        <v/>
      </c>
      <c r="B182" s="23" t="str">
        <f>IFERROR(VLOOKUP(category_assignment_2[[#This Row],[category_id]],#REF!,3,FALSE),"")</f>
        <v/>
      </c>
      <c r="C182" s="23" t="str">
        <f>IFERROR(VLOOKUP(category_assignment_2[[#This Row],[abbreviation_id]],abbreviation[],ColumnLanguage+1,FALSE),"")</f>
        <v/>
      </c>
      <c r="D182" s="23"/>
      <c r="E182" s="23"/>
      <c r="F182" s="23"/>
      <c r="G182" s="23"/>
      <c r="H182" s="23"/>
      <c r="I182" s="23"/>
      <c r="J182" s="23"/>
      <c r="K182" s="23"/>
    </row>
    <row r="183" spans="1:11" x14ac:dyDescent="0.25">
      <c r="A183" s="4" t="str">
        <f>IFERROR(category_assignment_2[[#This Row],[category_assignment_id]],"")</f>
        <v/>
      </c>
      <c r="B183" s="23" t="str">
        <f>IFERROR(VLOOKUP(category_assignment_2[[#This Row],[category_id]],#REF!,3,FALSE),"")</f>
        <v/>
      </c>
      <c r="C183" s="23" t="str">
        <f>IFERROR(VLOOKUP(category_assignment_2[[#This Row],[abbreviation_id]],abbreviation[],ColumnLanguage+1,FALSE),"")</f>
        <v/>
      </c>
      <c r="D183" s="23"/>
      <c r="E183" s="23"/>
      <c r="F183" s="23"/>
      <c r="G183" s="23"/>
      <c r="H183" s="23"/>
      <c r="I183" s="23"/>
      <c r="J183" s="23"/>
      <c r="K183" s="23"/>
    </row>
    <row r="184" spans="1:11" x14ac:dyDescent="0.25">
      <c r="A184" s="4" t="str">
        <f>IFERROR(category_assignment_2[[#This Row],[category_assignment_id]],"")</f>
        <v/>
      </c>
      <c r="B184" s="23" t="str">
        <f>IFERROR(VLOOKUP(category_assignment_2[[#This Row],[category_id]],#REF!,3,FALSE),"")</f>
        <v/>
      </c>
      <c r="C184" s="23" t="str">
        <f>IFERROR(VLOOKUP(category_assignment_2[[#This Row],[abbreviation_id]],abbreviation[],ColumnLanguage+1,FALSE),"")</f>
        <v/>
      </c>
      <c r="D184" s="23"/>
      <c r="E184" s="23"/>
      <c r="F184" s="23"/>
      <c r="G184" s="23"/>
      <c r="H184" s="23"/>
      <c r="I184" s="23"/>
      <c r="J184" s="23"/>
      <c r="K184" s="23"/>
    </row>
    <row r="185" spans="1:11" x14ac:dyDescent="0.25">
      <c r="A185" s="4" t="str">
        <f>IFERROR(category_assignment_2[[#This Row],[category_assignment_id]],"")</f>
        <v/>
      </c>
      <c r="B185" s="23" t="str">
        <f>IFERROR(VLOOKUP(category_assignment_2[[#This Row],[category_id]],#REF!,3,FALSE),"")</f>
        <v/>
      </c>
      <c r="C185" s="23" t="str">
        <f>IFERROR(VLOOKUP(category_assignment_2[[#This Row],[abbreviation_id]],abbreviation[],ColumnLanguage+1,FALSE),"")</f>
        <v/>
      </c>
      <c r="D185" s="23"/>
      <c r="E185" s="23"/>
      <c r="F185" s="23"/>
      <c r="G185" s="23"/>
      <c r="H185" s="23"/>
      <c r="I185" s="23"/>
      <c r="J185" s="23"/>
      <c r="K185" s="23"/>
    </row>
    <row r="186" spans="1:11" x14ac:dyDescent="0.25">
      <c r="A186" s="4" t="str">
        <f>IFERROR(category_assignment_2[[#This Row],[category_assignment_id]],"")</f>
        <v/>
      </c>
      <c r="B186" s="23" t="str">
        <f>IFERROR(VLOOKUP(category_assignment_2[[#This Row],[category_id]],#REF!,3,FALSE),"")</f>
        <v/>
      </c>
      <c r="C186" s="23" t="str">
        <f>IFERROR(VLOOKUP(category_assignment_2[[#This Row],[abbreviation_id]],abbreviation[],ColumnLanguage+1,FALSE),"")</f>
        <v/>
      </c>
      <c r="D186" s="23"/>
      <c r="E186" s="23"/>
      <c r="F186" s="23"/>
      <c r="G186" s="23"/>
      <c r="H186" s="23"/>
      <c r="I186" s="23"/>
      <c r="J186" s="23"/>
      <c r="K186" s="23"/>
    </row>
    <row r="187" spans="1:11" x14ac:dyDescent="0.25">
      <c r="A187" s="4" t="str">
        <f>IFERROR(category_assignment_2[[#This Row],[category_assignment_id]],"")</f>
        <v/>
      </c>
      <c r="B187" s="23" t="str">
        <f>IFERROR(VLOOKUP(category_assignment_2[[#This Row],[category_id]],#REF!,3,FALSE),"")</f>
        <v/>
      </c>
      <c r="C187" s="23" t="str">
        <f>IFERROR(VLOOKUP(category_assignment_2[[#This Row],[abbreviation_id]],abbreviation[],ColumnLanguage+1,FALSE),"")</f>
        <v/>
      </c>
      <c r="D187" s="23"/>
      <c r="E187" s="23"/>
      <c r="F187" s="23"/>
      <c r="G187" s="23"/>
      <c r="H187" s="23"/>
      <c r="I187" s="23"/>
      <c r="J187" s="23"/>
      <c r="K187" s="23"/>
    </row>
    <row r="188" spans="1:11" x14ac:dyDescent="0.25">
      <c r="A188" s="4" t="str">
        <f>IFERROR(category_assignment_2[[#This Row],[category_assignment_id]],"")</f>
        <v/>
      </c>
      <c r="B188" s="23" t="str">
        <f>IFERROR(VLOOKUP(category_assignment_2[[#This Row],[category_id]],#REF!,3,FALSE),"")</f>
        <v/>
      </c>
      <c r="C188" s="23" t="str">
        <f>IFERROR(VLOOKUP(category_assignment_2[[#This Row],[abbreviation_id]],abbreviation[],ColumnLanguage+1,FALSE),"")</f>
        <v/>
      </c>
      <c r="D188" s="23"/>
      <c r="E188" s="23"/>
      <c r="F188" s="23"/>
      <c r="G188" s="23"/>
      <c r="H188" s="23"/>
      <c r="I188" s="23"/>
      <c r="J188" s="23"/>
      <c r="K188" s="23"/>
    </row>
    <row r="189" spans="1:11" x14ac:dyDescent="0.25">
      <c r="A189" s="4" t="str">
        <f>IFERROR(category_assignment_2[[#This Row],[category_assignment_id]],"")</f>
        <v/>
      </c>
      <c r="B189" s="23" t="str">
        <f>IFERROR(VLOOKUP(category_assignment_2[[#This Row],[category_id]],#REF!,3,FALSE),"")</f>
        <v/>
      </c>
      <c r="C189" s="23" t="str">
        <f>IFERROR(VLOOKUP(category_assignment_2[[#This Row],[abbreviation_id]],abbreviation[],ColumnLanguage+1,FALSE),"")</f>
        <v/>
      </c>
      <c r="D189" s="23"/>
      <c r="E189" s="23"/>
      <c r="F189" s="23"/>
      <c r="G189" s="23"/>
      <c r="H189" s="23"/>
      <c r="I189" s="23"/>
      <c r="J189" s="23"/>
      <c r="K189" s="23"/>
    </row>
    <row r="190" spans="1:11" x14ac:dyDescent="0.25">
      <c r="A190" s="4" t="str">
        <f>IFERROR(category_assignment_2[[#This Row],[category_assignment_id]],"")</f>
        <v/>
      </c>
      <c r="B190" s="23" t="str">
        <f>IFERROR(VLOOKUP(category_assignment_2[[#This Row],[category_id]],#REF!,3,FALSE),"")</f>
        <v/>
      </c>
      <c r="C190" s="23" t="str">
        <f>IFERROR(VLOOKUP(category_assignment_2[[#This Row],[abbreviation_id]],abbreviation[],ColumnLanguage+1,FALSE),"")</f>
        <v/>
      </c>
      <c r="D190" s="23"/>
      <c r="E190" s="23"/>
      <c r="F190" s="23"/>
      <c r="G190" s="23"/>
      <c r="H190" s="23"/>
      <c r="I190" s="23"/>
      <c r="J190" s="23"/>
      <c r="K190" s="23"/>
    </row>
    <row r="191" spans="1:11" x14ac:dyDescent="0.25">
      <c r="A191" s="4" t="str">
        <f>IFERROR(category_assignment_2[[#This Row],[category_assignment_id]],"")</f>
        <v/>
      </c>
      <c r="B191" s="23" t="str">
        <f>IFERROR(VLOOKUP(category_assignment_2[[#This Row],[category_id]],#REF!,3,FALSE),"")</f>
        <v/>
      </c>
      <c r="C191" s="23" t="str">
        <f>IFERROR(VLOOKUP(category_assignment_2[[#This Row],[abbreviation_id]],abbreviation[],ColumnLanguage+1,FALSE),"")</f>
        <v/>
      </c>
      <c r="D191" s="23"/>
      <c r="E191" s="23"/>
      <c r="F191" s="23"/>
      <c r="G191" s="23"/>
      <c r="H191" s="23"/>
      <c r="I191" s="23"/>
      <c r="J191" s="23"/>
      <c r="K191" s="23"/>
    </row>
    <row r="192" spans="1:11" x14ac:dyDescent="0.25">
      <c r="A192" s="4" t="str">
        <f>IFERROR(category_assignment_2[[#This Row],[category_assignment_id]],"")</f>
        <v/>
      </c>
      <c r="B192" s="23" t="str">
        <f>IFERROR(VLOOKUP(category_assignment_2[[#This Row],[category_id]],#REF!,3,FALSE),"")</f>
        <v/>
      </c>
      <c r="C192" s="23" t="str">
        <f>IFERROR(VLOOKUP(category_assignment_2[[#This Row],[abbreviation_id]],abbreviation[],ColumnLanguage+1,FALSE),"")</f>
        <v/>
      </c>
      <c r="D192" s="23"/>
      <c r="E192" s="23"/>
      <c r="F192" s="23"/>
      <c r="G192" s="23"/>
      <c r="H192" s="23"/>
      <c r="I192" s="23"/>
      <c r="J192" s="23"/>
      <c r="K192" s="23"/>
    </row>
    <row r="193" spans="1:11" x14ac:dyDescent="0.25">
      <c r="A193" s="4" t="str">
        <f>IFERROR(category_assignment_2[[#This Row],[category_assignment_id]],"")</f>
        <v/>
      </c>
      <c r="B193" s="23" t="str">
        <f>IFERROR(VLOOKUP(category_assignment_2[[#This Row],[category_id]],#REF!,3,FALSE),"")</f>
        <v/>
      </c>
      <c r="C193" s="23" t="str">
        <f>IFERROR(VLOOKUP(category_assignment_2[[#This Row],[abbreviation_id]],abbreviation[],ColumnLanguage+1,FALSE),"")</f>
        <v/>
      </c>
      <c r="D193" s="23"/>
      <c r="E193" s="23"/>
      <c r="F193" s="23"/>
      <c r="G193" s="23"/>
      <c r="H193" s="23"/>
      <c r="I193" s="23"/>
      <c r="J193" s="23"/>
      <c r="K193" s="23"/>
    </row>
    <row r="194" spans="1:11" x14ac:dyDescent="0.25">
      <c r="A194" s="4" t="str">
        <f>IFERROR(category_assignment_2[[#This Row],[category_assignment_id]],"")</f>
        <v/>
      </c>
      <c r="B194" s="23" t="str">
        <f>IFERROR(VLOOKUP(category_assignment_2[[#This Row],[category_id]],#REF!,3,FALSE),"")</f>
        <v/>
      </c>
      <c r="C194" s="23" t="str">
        <f>IFERROR(VLOOKUP(category_assignment_2[[#This Row],[abbreviation_id]],abbreviation[],ColumnLanguage+1,FALSE),"")</f>
        <v/>
      </c>
      <c r="D194" s="23"/>
      <c r="E194" s="23"/>
      <c r="F194" s="23"/>
      <c r="G194" s="23"/>
      <c r="H194" s="23"/>
      <c r="I194" s="23"/>
      <c r="J194" s="23"/>
      <c r="K194" s="23"/>
    </row>
    <row r="195" spans="1:11" x14ac:dyDescent="0.25">
      <c r="A195" s="4" t="str">
        <f>IFERROR(category_assignment_2[[#This Row],[category_assignment_id]],"")</f>
        <v/>
      </c>
      <c r="B195" s="23" t="str">
        <f>IFERROR(VLOOKUP(category_assignment_2[[#This Row],[category_id]],#REF!,3,FALSE),"")</f>
        <v/>
      </c>
      <c r="C195" s="23" t="str">
        <f>IFERROR(VLOOKUP(category_assignment_2[[#This Row],[abbreviation_id]],abbreviation[],ColumnLanguage+1,FALSE),"")</f>
        <v/>
      </c>
      <c r="D195" s="23"/>
      <c r="E195" s="23"/>
      <c r="F195" s="23"/>
      <c r="G195" s="23"/>
      <c r="H195" s="23"/>
      <c r="I195" s="23"/>
      <c r="J195" s="23"/>
      <c r="K195" s="23"/>
    </row>
    <row r="196" spans="1:11" x14ac:dyDescent="0.25">
      <c r="A196" s="4" t="str">
        <f>IFERROR(category_assignment_2[[#This Row],[category_assignment_id]],"")</f>
        <v/>
      </c>
      <c r="B196" s="23" t="str">
        <f>IFERROR(VLOOKUP(category_assignment_2[[#This Row],[category_id]],#REF!,3,FALSE),"")</f>
        <v/>
      </c>
      <c r="C196" s="23" t="str">
        <f>IFERROR(VLOOKUP(category_assignment_2[[#This Row],[abbreviation_id]],abbreviation[],ColumnLanguage+1,FALSE),"")</f>
        <v/>
      </c>
      <c r="D196" s="23"/>
      <c r="E196" s="23"/>
      <c r="F196" s="23"/>
      <c r="G196" s="23"/>
      <c r="H196" s="23"/>
      <c r="I196" s="23"/>
      <c r="J196" s="23"/>
      <c r="K196" s="23"/>
    </row>
    <row r="197" spans="1:11" x14ac:dyDescent="0.25">
      <c r="A197" s="4" t="str">
        <f>IFERROR(category_assignment_2[[#This Row],[category_assignment_id]],"")</f>
        <v/>
      </c>
      <c r="B197" s="23" t="str">
        <f>IFERROR(VLOOKUP(category_assignment_2[[#This Row],[category_id]],#REF!,3,FALSE),"")</f>
        <v/>
      </c>
      <c r="C197" s="23" t="str">
        <f>IFERROR(VLOOKUP(category_assignment_2[[#This Row],[abbreviation_id]],abbreviation[],ColumnLanguage+1,FALSE),"")</f>
        <v/>
      </c>
      <c r="D197" s="23"/>
      <c r="E197" s="23"/>
      <c r="F197" s="23"/>
      <c r="G197" s="23"/>
      <c r="H197" s="23"/>
      <c r="I197" s="23"/>
      <c r="J197" s="23"/>
      <c r="K197" s="23"/>
    </row>
    <row r="198" spans="1:11" x14ac:dyDescent="0.25">
      <c r="A198" s="4" t="str">
        <f>IFERROR(category_assignment_2[[#This Row],[category_assignment_id]],"")</f>
        <v/>
      </c>
      <c r="B198" s="23" t="str">
        <f>IFERROR(VLOOKUP(category_assignment_2[[#This Row],[category_id]],#REF!,3,FALSE),"")</f>
        <v/>
      </c>
      <c r="C198" s="23" t="str">
        <f>IFERROR(VLOOKUP(category_assignment_2[[#This Row],[abbreviation_id]],abbreviation[],ColumnLanguage+1,FALSE),"")</f>
        <v/>
      </c>
      <c r="D198" s="23"/>
      <c r="E198" s="23"/>
      <c r="F198" s="23"/>
      <c r="G198" s="23"/>
      <c r="H198" s="23"/>
      <c r="I198" s="23"/>
      <c r="J198" s="23"/>
      <c r="K198" s="23"/>
    </row>
    <row r="199" spans="1:11" x14ac:dyDescent="0.25">
      <c r="A199" s="4" t="str">
        <f>IFERROR(category_assignment_2[[#This Row],[category_assignment_id]],"")</f>
        <v/>
      </c>
      <c r="B199" s="23" t="str">
        <f>IFERROR(VLOOKUP(category_assignment_2[[#This Row],[category_id]],#REF!,3,FALSE),"")</f>
        <v/>
      </c>
      <c r="C199" s="23" t="str">
        <f>IFERROR(VLOOKUP(category_assignment_2[[#This Row],[abbreviation_id]],abbreviation[],ColumnLanguage+1,FALSE),"")</f>
        <v/>
      </c>
      <c r="D199" s="23"/>
      <c r="E199" s="23"/>
      <c r="F199" s="23"/>
      <c r="G199" s="23"/>
      <c r="H199" s="23"/>
      <c r="I199" s="23"/>
      <c r="J199" s="23"/>
      <c r="K199" s="23"/>
    </row>
    <row r="200" spans="1:11" x14ac:dyDescent="0.25">
      <c r="A200" s="4" t="str">
        <f>IFERROR(category_assignment_2[[#This Row],[category_assignment_id]],"")</f>
        <v/>
      </c>
      <c r="B200" s="23" t="str">
        <f>IFERROR(VLOOKUP(category_assignment_2[[#This Row],[category_id]],#REF!,3,FALSE),"")</f>
        <v/>
      </c>
      <c r="C200" s="23" t="str">
        <f>IFERROR(VLOOKUP(category_assignment_2[[#This Row],[abbreviation_id]],abbreviation[],ColumnLanguage+1,FALSE),"")</f>
        <v/>
      </c>
      <c r="D200" s="23"/>
      <c r="E200" s="23"/>
      <c r="F200" s="23"/>
      <c r="G200" s="23"/>
      <c r="H200" s="23"/>
      <c r="I200" s="23"/>
      <c r="J200" s="23"/>
      <c r="K200" s="23"/>
    </row>
    <row r="201" spans="1:11" x14ac:dyDescent="0.25">
      <c r="A201" s="4" t="str">
        <f>IFERROR(category_assignment_2[[#This Row],[category_assignment_id]],"")</f>
        <v/>
      </c>
      <c r="B201" s="23" t="str">
        <f>IFERROR(VLOOKUP(category_assignment_2[[#This Row],[category_id]],#REF!,3,FALSE),"")</f>
        <v/>
      </c>
      <c r="C201" s="23" t="str">
        <f>IFERROR(VLOOKUP(category_assignment_2[[#This Row],[abbreviation_id]],abbreviation[],ColumnLanguage+1,FALSE),"")</f>
        <v/>
      </c>
      <c r="D201" s="23"/>
      <c r="E201" s="23"/>
      <c r="F201" s="23"/>
      <c r="G201" s="23"/>
      <c r="H201" s="23"/>
      <c r="I201" s="23"/>
      <c r="J201" s="23"/>
      <c r="K201" s="23"/>
    </row>
    <row r="202" spans="1:11" x14ac:dyDescent="0.25">
      <c r="A202" s="4" t="str">
        <f>IFERROR(category_assignment_2[[#This Row],[category_assignment_id]],"")</f>
        <v/>
      </c>
      <c r="B202" s="23" t="str">
        <f>IFERROR(VLOOKUP(category_assignment_2[[#This Row],[category_id]],#REF!,3,FALSE),"")</f>
        <v/>
      </c>
      <c r="C202" s="23" t="str">
        <f>IFERROR(VLOOKUP(category_assignment_2[[#This Row],[abbreviation_id]],abbreviation[],ColumnLanguage+1,FALSE),"")</f>
        <v/>
      </c>
      <c r="D202" s="23"/>
      <c r="E202" s="23"/>
      <c r="F202" s="23"/>
      <c r="G202" s="23"/>
      <c r="H202" s="23"/>
      <c r="I202" s="23"/>
      <c r="J202" s="23"/>
      <c r="K202" s="23"/>
    </row>
    <row r="203" spans="1:11" x14ac:dyDescent="0.25">
      <c r="A203" s="4" t="str">
        <f>IFERROR(category_assignment_2[[#This Row],[category_assignment_id]],"")</f>
        <v/>
      </c>
      <c r="B203" s="23" t="str">
        <f>IFERROR(VLOOKUP(category_assignment_2[[#This Row],[category_id]],#REF!,3,FALSE),"")</f>
        <v/>
      </c>
      <c r="C203" s="23" t="str">
        <f>IFERROR(VLOOKUP(category_assignment_2[[#This Row],[abbreviation_id]],abbreviation[],ColumnLanguage+1,FALSE),"")</f>
        <v/>
      </c>
      <c r="D203" s="23"/>
      <c r="E203" s="23"/>
      <c r="F203" s="23"/>
      <c r="G203" s="23"/>
      <c r="H203" s="23"/>
      <c r="I203" s="23"/>
      <c r="J203" s="23"/>
      <c r="K203" s="23"/>
    </row>
    <row r="204" spans="1:11" x14ac:dyDescent="0.25">
      <c r="A204" s="4" t="str">
        <f>IFERROR(category_assignment_2[[#This Row],[category_assignment_id]],"")</f>
        <v/>
      </c>
      <c r="B204" s="23" t="str">
        <f>IFERROR(VLOOKUP(category_assignment_2[[#This Row],[category_id]],#REF!,3,FALSE),"")</f>
        <v/>
      </c>
      <c r="C204" s="23" t="str">
        <f>IFERROR(VLOOKUP(category_assignment_2[[#This Row],[abbreviation_id]],abbreviation[],ColumnLanguage+1,FALSE),"")</f>
        <v/>
      </c>
      <c r="D204" s="23"/>
      <c r="E204" s="23"/>
      <c r="F204" s="23"/>
      <c r="G204" s="23"/>
      <c r="H204" s="23"/>
      <c r="I204" s="23"/>
      <c r="J204" s="23"/>
      <c r="K204" s="23"/>
    </row>
    <row r="205" spans="1:11" x14ac:dyDescent="0.25">
      <c r="A205" s="4" t="str">
        <f>IFERROR(category_assignment_2[[#This Row],[category_assignment_id]],"")</f>
        <v/>
      </c>
      <c r="B205" s="23" t="str">
        <f>IFERROR(VLOOKUP(category_assignment_2[[#This Row],[category_id]],#REF!,3,FALSE),"")</f>
        <v/>
      </c>
      <c r="C205" s="23" t="str">
        <f>IFERROR(VLOOKUP(category_assignment_2[[#This Row],[abbreviation_id]],abbreviation[],ColumnLanguage+1,FALSE),"")</f>
        <v/>
      </c>
      <c r="D205" s="23"/>
      <c r="E205" s="23"/>
      <c r="F205" s="23"/>
      <c r="G205" s="23"/>
      <c r="H205" s="23"/>
      <c r="I205" s="23"/>
      <c r="J205" s="23"/>
      <c r="K205" s="23"/>
    </row>
    <row r="206" spans="1:11" x14ac:dyDescent="0.25">
      <c r="A206" s="4" t="str">
        <f>IFERROR(category_assignment_2[[#This Row],[category_assignment_id]],"")</f>
        <v/>
      </c>
      <c r="B206" s="23" t="str">
        <f>IFERROR(VLOOKUP(category_assignment_2[[#This Row],[category_id]],#REF!,3,FALSE),"")</f>
        <v/>
      </c>
      <c r="C206" s="23" t="str">
        <f>IFERROR(VLOOKUP(category_assignment_2[[#This Row],[abbreviation_id]],abbreviation[],ColumnLanguage+1,FALSE),"")</f>
        <v/>
      </c>
      <c r="D206" s="23"/>
      <c r="E206" s="23"/>
      <c r="F206" s="23"/>
      <c r="G206" s="23"/>
      <c r="H206" s="23"/>
      <c r="I206" s="23"/>
      <c r="J206" s="23"/>
      <c r="K206" s="23"/>
    </row>
    <row r="207" spans="1:11" x14ac:dyDescent="0.25">
      <c r="A207" s="4" t="str">
        <f>IFERROR(category_assignment_2[[#This Row],[category_assignment_id]],"")</f>
        <v/>
      </c>
      <c r="B207" s="23" t="str">
        <f>IFERROR(VLOOKUP(category_assignment_2[[#This Row],[category_id]],#REF!,3,FALSE),"")</f>
        <v/>
      </c>
      <c r="C207" s="23" t="str">
        <f>IFERROR(VLOOKUP(category_assignment_2[[#This Row],[abbreviation_id]],abbreviation[],ColumnLanguage+1,FALSE),"")</f>
        <v/>
      </c>
      <c r="D207" s="23"/>
      <c r="E207" s="23"/>
      <c r="F207" s="23"/>
      <c r="G207" s="23"/>
      <c r="H207" s="23"/>
      <c r="I207" s="23"/>
      <c r="J207" s="23"/>
      <c r="K207" s="23"/>
    </row>
    <row r="208" spans="1:11" x14ac:dyDescent="0.25">
      <c r="A208" s="4" t="str">
        <f>IFERROR(category_assignment_2[[#This Row],[category_assignment_id]],"")</f>
        <v/>
      </c>
      <c r="B208" s="23" t="str">
        <f>IFERROR(VLOOKUP(category_assignment_2[[#This Row],[category_id]],#REF!,3,FALSE),"")</f>
        <v/>
      </c>
      <c r="C208" s="23" t="str">
        <f>IFERROR(VLOOKUP(category_assignment_2[[#This Row],[abbreviation_id]],abbreviation[],ColumnLanguage+1,FALSE),"")</f>
        <v/>
      </c>
      <c r="D208" s="23"/>
      <c r="E208" s="23"/>
      <c r="F208" s="23"/>
      <c r="G208" s="23"/>
      <c r="H208" s="23"/>
      <c r="I208" s="23"/>
      <c r="J208" s="23"/>
      <c r="K208" s="23"/>
    </row>
    <row r="209" spans="1:11" x14ac:dyDescent="0.25">
      <c r="A209" s="4" t="str">
        <f>IFERROR(category_assignment_2[[#This Row],[category_assignment_id]],"")</f>
        <v/>
      </c>
      <c r="B209" s="23" t="str">
        <f>IFERROR(VLOOKUP(category_assignment_2[[#This Row],[category_id]],#REF!,3,FALSE),"")</f>
        <v/>
      </c>
      <c r="C209" s="23" t="str">
        <f>IFERROR(VLOOKUP(category_assignment_2[[#This Row],[abbreviation_id]],abbreviation[],ColumnLanguage+1,FALSE),"")</f>
        <v/>
      </c>
      <c r="D209" s="23"/>
      <c r="E209" s="23"/>
      <c r="F209" s="23"/>
      <c r="G209" s="23"/>
      <c r="H209" s="23"/>
      <c r="I209" s="23"/>
      <c r="J209" s="23"/>
      <c r="K209" s="23"/>
    </row>
    <row r="210" spans="1:11" x14ac:dyDescent="0.25">
      <c r="A210" s="4" t="str">
        <f>IFERROR(category_assignment_2[[#This Row],[category_assignment_id]],"")</f>
        <v/>
      </c>
      <c r="B210" s="23" t="str">
        <f>IFERROR(VLOOKUP(category_assignment_2[[#This Row],[category_id]],#REF!,3,FALSE),"")</f>
        <v/>
      </c>
      <c r="C210" s="23" t="str">
        <f>IFERROR(VLOOKUP(category_assignment_2[[#This Row],[abbreviation_id]],abbreviation[],ColumnLanguage+1,FALSE),"")</f>
        <v/>
      </c>
      <c r="D210" s="23"/>
      <c r="E210" s="23"/>
      <c r="F210" s="23"/>
      <c r="G210" s="23"/>
      <c r="H210" s="23"/>
      <c r="I210" s="23"/>
      <c r="J210" s="23"/>
      <c r="K210" s="23"/>
    </row>
    <row r="211" spans="1:11" x14ac:dyDescent="0.25">
      <c r="A211" s="4" t="str">
        <f>IFERROR(category_assignment_2[[#This Row],[category_assignment_id]],"")</f>
        <v/>
      </c>
      <c r="B211" s="23" t="str">
        <f>IFERROR(VLOOKUP(category_assignment_2[[#This Row],[category_id]],#REF!,3,FALSE),"")</f>
        <v/>
      </c>
      <c r="C211" s="23" t="str">
        <f>IFERROR(VLOOKUP(category_assignment_2[[#This Row],[abbreviation_id]],abbreviation[],ColumnLanguage+1,FALSE),"")</f>
        <v/>
      </c>
      <c r="D211" s="23"/>
      <c r="E211" s="23"/>
      <c r="F211" s="23"/>
      <c r="G211" s="23"/>
      <c r="H211" s="23"/>
      <c r="I211" s="23"/>
      <c r="J211" s="23"/>
      <c r="K211" s="23"/>
    </row>
    <row r="212" spans="1:11" x14ac:dyDescent="0.25">
      <c r="A212" s="4" t="str">
        <f>IFERROR(category_assignment_2[[#This Row],[category_assignment_id]],"")</f>
        <v/>
      </c>
      <c r="B212" s="23" t="str">
        <f>IFERROR(VLOOKUP(category_assignment_2[[#This Row],[category_id]],#REF!,3,FALSE),"")</f>
        <v/>
      </c>
      <c r="C212" s="23" t="str">
        <f>IFERROR(VLOOKUP(category_assignment_2[[#This Row],[abbreviation_id]],abbreviation[],ColumnLanguage+1,FALSE),"")</f>
        <v/>
      </c>
      <c r="D212" s="23"/>
      <c r="E212" s="23"/>
      <c r="F212" s="23"/>
      <c r="G212" s="23"/>
      <c r="H212" s="23"/>
      <c r="I212" s="23"/>
      <c r="J212" s="23"/>
      <c r="K212" s="23"/>
    </row>
    <row r="213" spans="1:11" x14ac:dyDescent="0.25">
      <c r="A213" s="4" t="str">
        <f>IFERROR(category_assignment_2[[#This Row],[category_assignment_id]],"")</f>
        <v/>
      </c>
      <c r="B213" s="23" t="str">
        <f>IFERROR(VLOOKUP(category_assignment_2[[#This Row],[category_id]],#REF!,3,FALSE),"")</f>
        <v/>
      </c>
      <c r="C213" s="23" t="str">
        <f>IFERROR(VLOOKUP(category_assignment_2[[#This Row],[abbreviation_id]],abbreviation[],ColumnLanguage+1,FALSE),"")</f>
        <v/>
      </c>
      <c r="D213" s="23"/>
      <c r="E213" s="23"/>
      <c r="F213" s="23"/>
      <c r="G213" s="23"/>
      <c r="H213" s="23"/>
      <c r="I213" s="23"/>
      <c r="J213" s="23"/>
      <c r="K213" s="23"/>
    </row>
    <row r="214" spans="1:11" x14ac:dyDescent="0.25">
      <c r="A214" s="4" t="str">
        <f>IFERROR(category_assignment_2[[#This Row],[category_assignment_id]],"")</f>
        <v/>
      </c>
      <c r="B214" s="23" t="str">
        <f>IFERROR(VLOOKUP(category_assignment_2[[#This Row],[category_id]],#REF!,3,FALSE),"")</f>
        <v/>
      </c>
      <c r="C214" s="23" t="str">
        <f>IFERROR(VLOOKUP(category_assignment_2[[#This Row],[abbreviation_id]],abbreviation[],ColumnLanguage+1,FALSE),"")</f>
        <v/>
      </c>
      <c r="D214" s="23"/>
      <c r="E214" s="23"/>
      <c r="F214" s="23"/>
      <c r="G214" s="23"/>
      <c r="H214" s="23"/>
      <c r="I214" s="23"/>
      <c r="J214" s="23"/>
      <c r="K214" s="23"/>
    </row>
    <row r="215" spans="1:11" x14ac:dyDescent="0.25">
      <c r="A215" s="4" t="str">
        <f>IFERROR(category_assignment_2[[#This Row],[category_assignment_id]],"")</f>
        <v/>
      </c>
      <c r="B215" s="23" t="str">
        <f>IFERROR(VLOOKUP(category_assignment_2[[#This Row],[category_id]],#REF!,3,FALSE),"")</f>
        <v/>
      </c>
      <c r="C215" s="23" t="str">
        <f>IFERROR(VLOOKUP(category_assignment_2[[#This Row],[abbreviation_id]],abbreviation[],ColumnLanguage+1,FALSE),"")</f>
        <v/>
      </c>
      <c r="D215" s="23"/>
      <c r="E215" s="23"/>
      <c r="F215" s="23"/>
      <c r="G215" s="23"/>
      <c r="H215" s="23"/>
      <c r="I215" s="23"/>
      <c r="J215" s="23"/>
      <c r="K215" s="23"/>
    </row>
    <row r="216" spans="1:11" x14ac:dyDescent="0.25">
      <c r="A216" s="4" t="str">
        <f>IFERROR(category_assignment_2[[#This Row],[category_assignment_id]],"")</f>
        <v/>
      </c>
      <c r="B216" s="23" t="str">
        <f>IFERROR(VLOOKUP(category_assignment_2[[#This Row],[category_id]],#REF!,3,FALSE),"")</f>
        <v/>
      </c>
      <c r="C216" s="23" t="str">
        <f>IFERROR(VLOOKUP(category_assignment_2[[#This Row],[abbreviation_id]],abbreviation[],ColumnLanguage+1,FALSE),"")</f>
        <v/>
      </c>
      <c r="D216" s="23"/>
      <c r="E216" s="23"/>
      <c r="F216" s="23"/>
      <c r="G216" s="23"/>
      <c r="H216" s="23"/>
      <c r="I216" s="23"/>
      <c r="J216" s="23"/>
      <c r="K216" s="23"/>
    </row>
    <row r="217" spans="1:11" x14ac:dyDescent="0.25">
      <c r="A217" s="4" t="str">
        <f>IFERROR(category_assignment_2[[#This Row],[category_assignment_id]],"")</f>
        <v/>
      </c>
      <c r="B217" s="23" t="str">
        <f>IFERROR(VLOOKUP(category_assignment_2[[#This Row],[category_id]],#REF!,3,FALSE),"")</f>
        <v/>
      </c>
      <c r="C217" s="23" t="str">
        <f>IFERROR(VLOOKUP(category_assignment_2[[#This Row],[abbreviation_id]],abbreviation[],ColumnLanguage+1,FALSE),"")</f>
        <v/>
      </c>
      <c r="D217" s="23"/>
      <c r="E217" s="23"/>
      <c r="F217" s="23"/>
      <c r="G217" s="23"/>
      <c r="H217" s="23"/>
      <c r="I217" s="23"/>
      <c r="J217" s="23"/>
      <c r="K217" s="23"/>
    </row>
    <row r="218" spans="1:11" x14ac:dyDescent="0.25">
      <c r="A218" s="4" t="str">
        <f>IFERROR(category_assignment_2[[#This Row],[category_assignment_id]],"")</f>
        <v/>
      </c>
      <c r="B218" s="23" t="str">
        <f>IFERROR(VLOOKUP(category_assignment_2[[#This Row],[category_id]],#REF!,3,FALSE),"")</f>
        <v/>
      </c>
      <c r="C218" s="23" t="str">
        <f>IFERROR(VLOOKUP(category_assignment_2[[#This Row],[abbreviation_id]],abbreviation[],ColumnLanguage+1,FALSE),"")</f>
        <v/>
      </c>
      <c r="D218" s="23"/>
      <c r="E218" s="23"/>
      <c r="F218" s="23"/>
      <c r="G218" s="23"/>
      <c r="H218" s="23"/>
      <c r="I218" s="23"/>
      <c r="J218" s="23"/>
      <c r="K218" s="23"/>
    </row>
    <row r="219" spans="1:11" x14ac:dyDescent="0.25">
      <c r="A219" s="4" t="str">
        <f>IFERROR(category_assignment_2[[#This Row],[category_assignment_id]],"")</f>
        <v/>
      </c>
      <c r="B219" s="23" t="str">
        <f>IFERROR(VLOOKUP(category_assignment_2[[#This Row],[category_id]],#REF!,3,FALSE),"")</f>
        <v/>
      </c>
      <c r="C219" s="23" t="str">
        <f>IFERROR(VLOOKUP(category_assignment_2[[#This Row],[abbreviation_id]],abbreviation[],ColumnLanguage+1,FALSE),"")</f>
        <v/>
      </c>
      <c r="D219" s="23"/>
      <c r="E219" s="23"/>
      <c r="F219" s="23"/>
      <c r="G219" s="23"/>
      <c r="H219" s="23"/>
      <c r="I219" s="23"/>
      <c r="J219" s="23"/>
      <c r="K219" s="23"/>
    </row>
    <row r="220" spans="1:11" x14ac:dyDescent="0.25">
      <c r="A220" s="4" t="str">
        <f>IFERROR(category_assignment_2[[#This Row],[category_assignment_id]],"")</f>
        <v/>
      </c>
      <c r="B220" s="23" t="str">
        <f>IFERROR(VLOOKUP(category_assignment_2[[#This Row],[category_id]],#REF!,3,FALSE),"")</f>
        <v/>
      </c>
      <c r="C220" s="23" t="str">
        <f>IFERROR(VLOOKUP(category_assignment_2[[#This Row],[abbreviation_id]],abbreviation[],ColumnLanguage+1,FALSE),"")</f>
        <v/>
      </c>
      <c r="D220" s="23"/>
      <c r="E220" s="23"/>
      <c r="F220" s="23"/>
      <c r="G220" s="23"/>
      <c r="H220" s="23"/>
      <c r="I220" s="23"/>
      <c r="J220" s="23"/>
      <c r="K220" s="23"/>
    </row>
    <row r="221" spans="1:11" x14ac:dyDescent="0.25">
      <c r="A221" s="4" t="str">
        <f>IFERROR(category_assignment_2[[#This Row],[category_assignment_id]],"")</f>
        <v/>
      </c>
      <c r="B221" s="23" t="str">
        <f>IFERROR(VLOOKUP(category_assignment_2[[#This Row],[category_id]],#REF!,3,FALSE),"")</f>
        <v/>
      </c>
      <c r="C221" s="23" t="str">
        <f>IFERROR(VLOOKUP(category_assignment_2[[#This Row],[abbreviation_id]],abbreviation[],ColumnLanguage+1,FALSE),"")</f>
        <v/>
      </c>
      <c r="D221" s="23"/>
      <c r="E221" s="23"/>
      <c r="F221" s="23"/>
      <c r="G221" s="23"/>
      <c r="H221" s="23"/>
      <c r="I221" s="23"/>
      <c r="J221" s="23"/>
      <c r="K221" s="23"/>
    </row>
    <row r="222" spans="1:11" x14ac:dyDescent="0.25">
      <c r="A222" s="4" t="str">
        <f>IFERROR(category_assignment_2[[#This Row],[category_assignment_id]],"")</f>
        <v/>
      </c>
      <c r="B222" s="23" t="str">
        <f>IFERROR(VLOOKUP(category_assignment_2[[#This Row],[category_id]],#REF!,3,FALSE),"")</f>
        <v/>
      </c>
      <c r="C222" s="23" t="str">
        <f>IFERROR(VLOOKUP(category_assignment_2[[#This Row],[abbreviation_id]],abbreviation[],ColumnLanguage+1,FALSE),"")</f>
        <v/>
      </c>
      <c r="D222" s="23"/>
      <c r="E222" s="23"/>
      <c r="F222" s="23"/>
      <c r="G222" s="23"/>
      <c r="H222" s="23"/>
      <c r="I222" s="23"/>
      <c r="J222" s="23"/>
      <c r="K222" s="23"/>
    </row>
    <row r="223" spans="1:11" x14ac:dyDescent="0.25">
      <c r="A223" s="4" t="str">
        <f>IFERROR(category_assignment_2[[#This Row],[category_assignment_id]],"")</f>
        <v/>
      </c>
      <c r="B223" s="23" t="str">
        <f>IFERROR(VLOOKUP(category_assignment_2[[#This Row],[category_id]],#REF!,3,FALSE),"")</f>
        <v/>
      </c>
      <c r="C223" s="23" t="str">
        <f>IFERROR(VLOOKUP(category_assignment_2[[#This Row],[abbreviation_id]],abbreviation[],ColumnLanguage+1,FALSE),"")</f>
        <v/>
      </c>
      <c r="D223" s="23"/>
      <c r="E223" s="23"/>
      <c r="F223" s="23"/>
      <c r="G223" s="23"/>
      <c r="H223" s="23"/>
      <c r="I223" s="23"/>
      <c r="J223" s="23"/>
      <c r="K223" s="23"/>
    </row>
    <row r="224" spans="1:11" x14ac:dyDescent="0.25">
      <c r="A224" s="4" t="str">
        <f>IFERROR(category_assignment_2[[#This Row],[category_assignment_id]],"")</f>
        <v/>
      </c>
      <c r="B224" s="23" t="str">
        <f>IFERROR(VLOOKUP(category_assignment_2[[#This Row],[category_id]],#REF!,3,FALSE),"")</f>
        <v/>
      </c>
      <c r="C224" s="23" t="str">
        <f>IFERROR(VLOOKUP(category_assignment_2[[#This Row],[abbreviation_id]],abbreviation[],ColumnLanguage+1,FALSE),"")</f>
        <v/>
      </c>
      <c r="D224" s="23"/>
      <c r="E224" s="23"/>
      <c r="F224" s="23"/>
      <c r="G224" s="23"/>
      <c r="H224" s="23"/>
      <c r="I224" s="23"/>
      <c r="J224" s="23"/>
      <c r="K224" s="23"/>
    </row>
    <row r="225" spans="1:11" x14ac:dyDescent="0.25">
      <c r="A225" s="4" t="str">
        <f>IFERROR(category_assignment_2[[#This Row],[category_assignment_id]],"")</f>
        <v/>
      </c>
      <c r="B225" s="23" t="str">
        <f>IFERROR(VLOOKUP(category_assignment_2[[#This Row],[category_id]],#REF!,3,FALSE),"")</f>
        <v/>
      </c>
      <c r="C225" s="23" t="str">
        <f>IFERROR(VLOOKUP(category_assignment_2[[#This Row],[abbreviation_id]],abbreviation[],ColumnLanguage+1,FALSE),"")</f>
        <v/>
      </c>
      <c r="D225" s="23"/>
      <c r="E225" s="23"/>
      <c r="F225" s="23"/>
      <c r="G225" s="23"/>
      <c r="H225" s="23"/>
      <c r="I225" s="23"/>
      <c r="J225" s="23"/>
      <c r="K225" s="23"/>
    </row>
    <row r="226" spans="1:11" x14ac:dyDescent="0.25">
      <c r="A226" s="4" t="str">
        <f>IFERROR(category_assignment_2[[#This Row],[category_assignment_id]],"")</f>
        <v/>
      </c>
      <c r="B226" s="23" t="str">
        <f>IFERROR(VLOOKUP(category_assignment_2[[#This Row],[category_id]],#REF!,3,FALSE),"")</f>
        <v/>
      </c>
      <c r="C226" s="23" t="str">
        <f>IFERROR(VLOOKUP(category_assignment_2[[#This Row],[abbreviation_id]],abbreviation[],ColumnLanguage+1,FALSE),"")</f>
        <v/>
      </c>
      <c r="D226" s="23"/>
      <c r="E226" s="23"/>
      <c r="F226" s="23"/>
      <c r="G226" s="23"/>
      <c r="H226" s="23"/>
      <c r="I226" s="23"/>
      <c r="J226" s="23"/>
      <c r="K226" s="23"/>
    </row>
    <row r="227" spans="1:11" x14ac:dyDescent="0.25">
      <c r="A227" s="4" t="str">
        <f>IFERROR(category_assignment_2[[#This Row],[category_assignment_id]],"")</f>
        <v/>
      </c>
      <c r="B227" s="23" t="str">
        <f>IFERROR(VLOOKUP(category_assignment_2[[#This Row],[category_id]],#REF!,3,FALSE),"")</f>
        <v/>
      </c>
      <c r="C227" s="23" t="str">
        <f>IFERROR(VLOOKUP(category_assignment_2[[#This Row],[abbreviation_id]],abbreviation[],ColumnLanguage+1,FALSE),"")</f>
        <v/>
      </c>
      <c r="D227" s="23"/>
      <c r="E227" s="23"/>
      <c r="F227" s="23"/>
      <c r="G227" s="23"/>
      <c r="H227" s="23"/>
      <c r="I227" s="23"/>
      <c r="J227" s="23"/>
      <c r="K227" s="23"/>
    </row>
    <row r="228" spans="1:11" x14ac:dyDescent="0.25">
      <c r="A228" s="4" t="str">
        <f>IFERROR(category_assignment_2[[#This Row],[category_assignment_id]],"")</f>
        <v/>
      </c>
      <c r="B228" s="23" t="str">
        <f>IFERROR(VLOOKUP(category_assignment_2[[#This Row],[category_id]],#REF!,3,FALSE),"")</f>
        <v/>
      </c>
      <c r="C228" s="23" t="str">
        <f>IFERROR(VLOOKUP(category_assignment_2[[#This Row],[abbreviation_id]],abbreviation[],ColumnLanguage+1,FALSE),"")</f>
        <v/>
      </c>
      <c r="D228" s="23"/>
      <c r="E228" s="23"/>
      <c r="F228" s="23"/>
      <c r="G228" s="23"/>
      <c r="H228" s="23"/>
      <c r="I228" s="23"/>
      <c r="J228" s="23"/>
      <c r="K228" s="23"/>
    </row>
    <row r="229" spans="1:11" x14ac:dyDescent="0.25">
      <c r="A229" s="4" t="str">
        <f>IFERROR(category_assignment_2[[#This Row],[category_assignment_id]],"")</f>
        <v/>
      </c>
      <c r="B229" s="23" t="str">
        <f>IFERROR(VLOOKUP(category_assignment_2[[#This Row],[category_id]],#REF!,3,FALSE),"")</f>
        <v/>
      </c>
      <c r="C229" s="23" t="str">
        <f>IFERROR(VLOOKUP(category_assignment_2[[#This Row],[abbreviation_id]],abbreviation[],ColumnLanguage+1,FALSE),"")</f>
        <v/>
      </c>
      <c r="D229" s="23"/>
      <c r="E229" s="23"/>
      <c r="F229" s="23"/>
      <c r="G229" s="23"/>
      <c r="H229" s="23"/>
      <c r="I229" s="23"/>
      <c r="J229" s="23"/>
      <c r="K229" s="23"/>
    </row>
    <row r="230" spans="1:11" x14ac:dyDescent="0.25">
      <c r="A230" s="4" t="str">
        <f>IFERROR(category_assignment_2[[#This Row],[category_assignment_id]],"")</f>
        <v/>
      </c>
      <c r="B230" s="23" t="str">
        <f>IFERROR(VLOOKUP(category_assignment_2[[#This Row],[category_id]],#REF!,3,FALSE),"")</f>
        <v/>
      </c>
      <c r="C230" s="23" t="str">
        <f>IFERROR(VLOOKUP(category_assignment_2[[#This Row],[abbreviation_id]],abbreviation[],ColumnLanguage+1,FALSE),"")</f>
        <v/>
      </c>
      <c r="D230" s="23"/>
      <c r="E230" s="23"/>
      <c r="F230" s="23"/>
      <c r="G230" s="23"/>
      <c r="H230" s="23"/>
      <c r="I230" s="23"/>
      <c r="J230" s="23"/>
      <c r="K230" s="23"/>
    </row>
    <row r="231" spans="1:11" x14ac:dyDescent="0.25">
      <c r="A231" s="4" t="str">
        <f>IFERROR(category_assignment_2[[#This Row],[category_assignment_id]],"")</f>
        <v/>
      </c>
      <c r="B231" s="23" t="str">
        <f>IFERROR(VLOOKUP(category_assignment_2[[#This Row],[category_id]],#REF!,3,FALSE),"")</f>
        <v/>
      </c>
      <c r="C231" s="23" t="str">
        <f>IFERROR(VLOOKUP(category_assignment_2[[#This Row],[abbreviation_id]],abbreviation[],ColumnLanguage+1,FALSE),"")</f>
        <v/>
      </c>
      <c r="D231" s="23"/>
      <c r="E231" s="23"/>
      <c r="F231" s="23"/>
      <c r="G231" s="23"/>
      <c r="H231" s="23"/>
      <c r="I231" s="23"/>
      <c r="J231" s="23"/>
      <c r="K231" s="23"/>
    </row>
    <row r="232" spans="1:11" x14ac:dyDescent="0.25">
      <c r="A232" s="4" t="str">
        <f>IFERROR(category_assignment_2[[#This Row],[category_assignment_id]],"")</f>
        <v/>
      </c>
      <c r="B232" s="23" t="str">
        <f>IFERROR(VLOOKUP(category_assignment_2[[#This Row],[category_id]],#REF!,3,FALSE),"")</f>
        <v/>
      </c>
      <c r="C232" s="23" t="str">
        <f>IFERROR(VLOOKUP(category_assignment_2[[#This Row],[abbreviation_id]],abbreviation[],ColumnLanguage+1,FALSE),"")</f>
        <v/>
      </c>
      <c r="D232" s="23"/>
      <c r="E232" s="23"/>
      <c r="F232" s="23"/>
      <c r="G232" s="23"/>
      <c r="H232" s="23"/>
      <c r="I232" s="23"/>
      <c r="J232" s="23"/>
      <c r="K232" s="23"/>
    </row>
    <row r="233" spans="1:11" x14ac:dyDescent="0.25">
      <c r="A233" s="4" t="str">
        <f>IFERROR(category_assignment_2[[#This Row],[category_assignment_id]],"")</f>
        <v/>
      </c>
      <c r="B233" s="23" t="str">
        <f>IFERROR(VLOOKUP(category_assignment_2[[#This Row],[category_id]],#REF!,3,FALSE),"")</f>
        <v/>
      </c>
      <c r="C233" s="23" t="str">
        <f>IFERROR(VLOOKUP(category_assignment_2[[#This Row],[abbreviation_id]],abbreviation[],ColumnLanguage+1,FALSE),"")</f>
        <v/>
      </c>
      <c r="D233" s="23"/>
      <c r="E233" s="23"/>
      <c r="F233" s="23"/>
      <c r="G233" s="23"/>
      <c r="H233" s="23"/>
      <c r="I233" s="23"/>
      <c r="J233" s="23"/>
      <c r="K233" s="23"/>
    </row>
    <row r="234" spans="1:11" x14ac:dyDescent="0.25">
      <c r="A234" s="4" t="str">
        <f>IFERROR(category_assignment_2[[#This Row],[category_assignment_id]],"")</f>
        <v/>
      </c>
      <c r="B234" s="23" t="str">
        <f>IFERROR(VLOOKUP(category_assignment_2[[#This Row],[category_id]],#REF!,3,FALSE),"")</f>
        <v/>
      </c>
      <c r="C234" s="23" t="str">
        <f>IFERROR(VLOOKUP(category_assignment_2[[#This Row],[abbreviation_id]],abbreviation[],ColumnLanguage+1,FALSE),"")</f>
        <v/>
      </c>
      <c r="D234" s="23"/>
      <c r="E234" s="23"/>
      <c r="F234" s="23"/>
      <c r="G234" s="23"/>
      <c r="H234" s="23"/>
      <c r="I234" s="23"/>
      <c r="J234" s="23"/>
      <c r="K234" s="23"/>
    </row>
    <row r="235" spans="1:11" x14ac:dyDescent="0.25">
      <c r="A235" s="4" t="str">
        <f>IFERROR(category_assignment_2[[#This Row],[category_assignment_id]],"")</f>
        <v/>
      </c>
      <c r="B235" s="23" t="str">
        <f>IFERROR(VLOOKUP(category_assignment_2[[#This Row],[category_id]],#REF!,3,FALSE),"")</f>
        <v/>
      </c>
      <c r="C235" s="23" t="str">
        <f>IFERROR(VLOOKUP(category_assignment_2[[#This Row],[abbreviation_id]],abbreviation[],ColumnLanguage+1,FALSE),"")</f>
        <v/>
      </c>
      <c r="D235" s="23"/>
      <c r="E235" s="23"/>
      <c r="F235" s="23"/>
      <c r="G235" s="23"/>
      <c r="H235" s="23"/>
      <c r="I235" s="23"/>
      <c r="J235" s="23"/>
      <c r="K235" s="23"/>
    </row>
    <row r="236" spans="1:11" x14ac:dyDescent="0.25">
      <c r="A236" s="4" t="str">
        <f>IFERROR(category_assignment_2[[#This Row],[category_assignment_id]],"")</f>
        <v/>
      </c>
      <c r="B236" s="23" t="str">
        <f>IFERROR(VLOOKUP(category_assignment_2[[#This Row],[category_id]],#REF!,3,FALSE),"")</f>
        <v/>
      </c>
      <c r="C236" s="23" t="str">
        <f>IFERROR(VLOOKUP(category_assignment_2[[#This Row],[abbreviation_id]],abbreviation[],ColumnLanguage+1,FALSE),"")</f>
        <v/>
      </c>
      <c r="D236" s="23"/>
      <c r="E236" s="23"/>
      <c r="F236" s="23"/>
      <c r="G236" s="23"/>
      <c r="H236" s="23"/>
      <c r="I236" s="23"/>
      <c r="J236" s="23"/>
      <c r="K236" s="23"/>
    </row>
    <row r="237" spans="1:11" x14ac:dyDescent="0.25">
      <c r="A237" s="4" t="str">
        <f>IFERROR(category_assignment_2[[#This Row],[category_assignment_id]],"")</f>
        <v/>
      </c>
      <c r="B237" s="23" t="str">
        <f>IFERROR(VLOOKUP(category_assignment_2[[#This Row],[category_id]],#REF!,3,FALSE),"")</f>
        <v/>
      </c>
      <c r="C237" s="23" t="str">
        <f>IFERROR(VLOOKUP(category_assignment_2[[#This Row],[abbreviation_id]],abbreviation[],ColumnLanguage+1,FALSE),"")</f>
        <v/>
      </c>
      <c r="D237" s="23"/>
      <c r="E237" s="23"/>
      <c r="F237" s="23"/>
      <c r="G237" s="23"/>
      <c r="H237" s="23"/>
      <c r="I237" s="23"/>
      <c r="J237" s="23"/>
      <c r="K237" s="23"/>
    </row>
    <row r="238" spans="1:11" x14ac:dyDescent="0.25">
      <c r="A238" s="4" t="str">
        <f>IFERROR(category_assignment_2[[#This Row],[category_assignment_id]],"")</f>
        <v/>
      </c>
      <c r="B238" s="23" t="str">
        <f>IFERROR(VLOOKUP(category_assignment_2[[#This Row],[category_id]],#REF!,3,FALSE),"")</f>
        <v/>
      </c>
      <c r="C238" s="23" t="str">
        <f>IFERROR(VLOOKUP(category_assignment_2[[#This Row],[abbreviation_id]],abbreviation[],ColumnLanguage+1,FALSE),"")</f>
        <v/>
      </c>
      <c r="D238" s="23"/>
      <c r="E238" s="23"/>
      <c r="F238" s="23"/>
      <c r="G238" s="23"/>
      <c r="H238" s="23"/>
      <c r="I238" s="23"/>
      <c r="J238" s="23"/>
      <c r="K238" s="23"/>
    </row>
    <row r="239" spans="1:11" x14ac:dyDescent="0.25">
      <c r="A239" s="4" t="str">
        <f>IFERROR(category_assignment_2[[#This Row],[category_assignment_id]],"")</f>
        <v/>
      </c>
      <c r="B239" s="23" t="str">
        <f>IFERROR(VLOOKUP(category_assignment_2[[#This Row],[category_id]],#REF!,3,FALSE),"")</f>
        <v/>
      </c>
      <c r="C239" s="23" t="str">
        <f>IFERROR(VLOOKUP(category_assignment_2[[#This Row],[abbreviation_id]],abbreviation[],ColumnLanguage+1,FALSE),"")</f>
        <v/>
      </c>
      <c r="D239" s="23"/>
      <c r="E239" s="23"/>
      <c r="F239" s="23"/>
      <c r="G239" s="23"/>
      <c r="H239" s="23"/>
      <c r="I239" s="23"/>
      <c r="J239" s="23"/>
      <c r="K239" s="23"/>
    </row>
    <row r="240" spans="1:11" x14ac:dyDescent="0.25">
      <c r="A240" s="4" t="str">
        <f>IFERROR(category_assignment_2[[#This Row],[category_assignment_id]],"")</f>
        <v/>
      </c>
      <c r="B240" s="23" t="str">
        <f>IFERROR(VLOOKUP(category_assignment_2[[#This Row],[category_id]],#REF!,3,FALSE),"")</f>
        <v/>
      </c>
      <c r="C240" s="23" t="str">
        <f>IFERROR(VLOOKUP(category_assignment_2[[#This Row],[abbreviation_id]],abbreviation[],ColumnLanguage+1,FALSE),"")</f>
        <v/>
      </c>
      <c r="D240" s="23"/>
      <c r="E240" s="23"/>
      <c r="F240" s="23"/>
      <c r="G240" s="23"/>
      <c r="H240" s="23"/>
      <c r="I240" s="23"/>
      <c r="J240" s="23"/>
      <c r="K240" s="23"/>
    </row>
    <row r="241" spans="1:11" x14ac:dyDescent="0.25">
      <c r="A241" s="4" t="str">
        <f>IFERROR(category_assignment_2[[#This Row],[category_assignment_id]],"")</f>
        <v/>
      </c>
      <c r="B241" s="23" t="str">
        <f>IFERROR(VLOOKUP(category_assignment_2[[#This Row],[category_id]],#REF!,3,FALSE),"")</f>
        <v/>
      </c>
      <c r="C241" s="23" t="str">
        <f>IFERROR(VLOOKUP(category_assignment_2[[#This Row],[abbreviation_id]],abbreviation[],ColumnLanguage+1,FALSE),"")</f>
        <v/>
      </c>
      <c r="D241" s="23"/>
      <c r="E241" s="23"/>
      <c r="F241" s="23"/>
      <c r="G241" s="23"/>
      <c r="H241" s="23"/>
      <c r="I241" s="23"/>
      <c r="J241" s="23"/>
      <c r="K241" s="23"/>
    </row>
    <row r="242" spans="1:11" x14ac:dyDescent="0.25">
      <c r="A242" s="4" t="str">
        <f>IFERROR(category_assignment_2[[#This Row],[category_assignment_id]],"")</f>
        <v/>
      </c>
      <c r="B242" s="23" t="str">
        <f>IFERROR(VLOOKUP(category_assignment_2[[#This Row],[category_id]],#REF!,3,FALSE),"")</f>
        <v/>
      </c>
      <c r="C242" s="23" t="str">
        <f>IFERROR(VLOOKUP(category_assignment_2[[#This Row],[abbreviation_id]],abbreviation[],ColumnLanguage+1,FALSE),"")</f>
        <v/>
      </c>
      <c r="D242" s="23"/>
      <c r="E242" s="23"/>
      <c r="F242" s="23"/>
      <c r="G242" s="23"/>
      <c r="H242" s="23"/>
      <c r="I242" s="23"/>
      <c r="J242" s="23"/>
      <c r="K242" s="23"/>
    </row>
    <row r="243" spans="1:11" x14ac:dyDescent="0.25">
      <c r="A243" s="4" t="str">
        <f>IFERROR(category_assignment_2[[#This Row],[category_assignment_id]],"")</f>
        <v/>
      </c>
      <c r="B243" s="23" t="str">
        <f>IFERROR(VLOOKUP(category_assignment_2[[#This Row],[category_id]],#REF!,3,FALSE),"")</f>
        <v/>
      </c>
      <c r="C243" s="23" t="str">
        <f>IFERROR(VLOOKUP(category_assignment_2[[#This Row],[abbreviation_id]],abbreviation[],ColumnLanguage+1,FALSE),"")</f>
        <v/>
      </c>
      <c r="D243" s="23"/>
      <c r="E243" s="23"/>
      <c r="F243" s="23"/>
      <c r="G243" s="23"/>
      <c r="H243" s="23"/>
      <c r="I243" s="23"/>
      <c r="J243" s="23"/>
      <c r="K243" s="23"/>
    </row>
    <row r="244" spans="1:11" x14ac:dyDescent="0.25">
      <c r="A244" s="4" t="str">
        <f>IFERROR(category_assignment_2[[#This Row],[category_assignment_id]],"")</f>
        <v/>
      </c>
      <c r="B244" s="23" t="str">
        <f>IFERROR(VLOOKUP(category_assignment_2[[#This Row],[category_id]],#REF!,3,FALSE),"")</f>
        <v/>
      </c>
      <c r="C244" s="23" t="str">
        <f>IFERROR(VLOOKUP(category_assignment_2[[#This Row],[abbreviation_id]],abbreviation[],ColumnLanguage+1,FALSE),"")</f>
        <v/>
      </c>
      <c r="D244" s="23"/>
      <c r="E244" s="23"/>
      <c r="F244" s="23"/>
      <c r="G244" s="23"/>
      <c r="H244" s="23"/>
      <c r="I244" s="23"/>
      <c r="J244" s="23"/>
      <c r="K244" s="23"/>
    </row>
    <row r="245" spans="1:11" x14ac:dyDescent="0.25">
      <c r="A245" s="4" t="str">
        <f>IFERROR(category_assignment_2[[#This Row],[category_assignment_id]],"")</f>
        <v/>
      </c>
      <c r="B245" s="23" t="str">
        <f>IFERROR(VLOOKUP(category_assignment_2[[#This Row],[category_id]],#REF!,3,FALSE),"")</f>
        <v/>
      </c>
      <c r="C245" s="23" t="str">
        <f>IFERROR(VLOOKUP(category_assignment_2[[#This Row],[abbreviation_id]],abbreviation[],ColumnLanguage+1,FALSE),"")</f>
        <v/>
      </c>
      <c r="D245" s="23"/>
      <c r="E245" s="23"/>
      <c r="F245" s="23"/>
      <c r="G245" s="23"/>
      <c r="H245" s="23"/>
      <c r="I245" s="23"/>
      <c r="J245" s="23"/>
      <c r="K245" s="23"/>
    </row>
    <row r="246" spans="1:11" x14ac:dyDescent="0.25">
      <c r="A246" s="4" t="str">
        <f>IFERROR(category_assignment_2[[#This Row],[category_assignment_id]],"")</f>
        <v/>
      </c>
      <c r="B246" s="23" t="str">
        <f>IFERROR(VLOOKUP(category_assignment_2[[#This Row],[category_id]],#REF!,3,FALSE),"")</f>
        <v/>
      </c>
      <c r="C246" s="23" t="str">
        <f>IFERROR(VLOOKUP(category_assignment_2[[#This Row],[abbreviation_id]],abbreviation[],ColumnLanguage+1,FALSE),"")</f>
        <v/>
      </c>
      <c r="D246" s="23"/>
      <c r="E246" s="23"/>
      <c r="F246" s="23"/>
      <c r="G246" s="23"/>
      <c r="H246" s="23"/>
      <c r="I246" s="23"/>
      <c r="J246" s="23"/>
      <c r="K246" s="23"/>
    </row>
    <row r="247" spans="1:11" x14ac:dyDescent="0.25">
      <c r="A247" s="4" t="str">
        <f>IFERROR(category_assignment_2[[#This Row],[category_assignment_id]],"")</f>
        <v/>
      </c>
      <c r="B247" s="23" t="str">
        <f>IFERROR(VLOOKUP(category_assignment_2[[#This Row],[category_id]],#REF!,3,FALSE),"")</f>
        <v/>
      </c>
      <c r="C247" s="23" t="str">
        <f>IFERROR(VLOOKUP(category_assignment_2[[#This Row],[abbreviation_id]],abbreviation[],ColumnLanguage+1,FALSE),"")</f>
        <v/>
      </c>
      <c r="D247" s="23"/>
      <c r="E247" s="23"/>
      <c r="F247" s="23"/>
      <c r="G247" s="23"/>
      <c r="H247" s="23"/>
      <c r="I247" s="23"/>
      <c r="J247" s="23"/>
      <c r="K247" s="23"/>
    </row>
    <row r="248" spans="1:11" x14ac:dyDescent="0.25">
      <c r="A248" s="4" t="str">
        <f>IFERROR(category_assignment_2[[#This Row],[category_assignment_id]],"")</f>
        <v/>
      </c>
      <c r="B248" s="23" t="str">
        <f>IFERROR(VLOOKUP(category_assignment_2[[#This Row],[category_id]],#REF!,3,FALSE),"")</f>
        <v/>
      </c>
      <c r="C248" s="23" t="str">
        <f>IFERROR(VLOOKUP(category_assignment_2[[#This Row],[abbreviation_id]],abbreviation[],ColumnLanguage+1,FALSE),"")</f>
        <v/>
      </c>
      <c r="D248" s="23"/>
      <c r="E248" s="23"/>
      <c r="F248" s="23"/>
      <c r="G248" s="23"/>
      <c r="H248" s="23"/>
      <c r="I248" s="23"/>
      <c r="J248" s="23"/>
      <c r="K248" s="23"/>
    </row>
    <row r="249" spans="1:11" x14ac:dyDescent="0.25">
      <c r="A249" s="4" t="str">
        <f>IFERROR(category_assignment_2[[#This Row],[category_assignment_id]],"")</f>
        <v/>
      </c>
      <c r="B249" s="23" t="str">
        <f>IFERROR(VLOOKUP(category_assignment_2[[#This Row],[category_id]],#REF!,3,FALSE),"")</f>
        <v/>
      </c>
      <c r="C249" s="23" t="str">
        <f>IFERROR(VLOOKUP(category_assignment_2[[#This Row],[abbreviation_id]],abbreviation[],ColumnLanguage+1,FALSE),"")</f>
        <v/>
      </c>
      <c r="D249" s="23"/>
      <c r="E249" s="23"/>
      <c r="F249" s="23"/>
      <c r="G249" s="23"/>
      <c r="H249" s="23"/>
      <c r="I249" s="23"/>
      <c r="J249" s="23"/>
      <c r="K249" s="23"/>
    </row>
    <row r="250" spans="1:11" x14ac:dyDescent="0.25">
      <c r="A250" s="4" t="str">
        <f>IFERROR(category_assignment_2[[#This Row],[category_assignment_id]],"")</f>
        <v/>
      </c>
      <c r="B250" s="23" t="str">
        <f>IFERROR(VLOOKUP(category_assignment_2[[#This Row],[category_id]],#REF!,3,FALSE),"")</f>
        <v/>
      </c>
      <c r="C250" s="23" t="str">
        <f>IFERROR(VLOOKUP(category_assignment_2[[#This Row],[abbreviation_id]],abbreviation[],ColumnLanguage+1,FALSE),"")</f>
        <v/>
      </c>
      <c r="D250" s="23"/>
      <c r="E250" s="23"/>
      <c r="F250" s="23"/>
      <c r="G250" s="23"/>
      <c r="H250" s="23"/>
      <c r="I250" s="23"/>
      <c r="J250" s="23"/>
      <c r="K250" s="23"/>
    </row>
    <row r="251" spans="1:11" x14ac:dyDescent="0.25">
      <c r="A251" s="4" t="str">
        <f>IFERROR(category_assignment_2[[#This Row],[category_assignment_id]],"")</f>
        <v/>
      </c>
      <c r="B251" s="23" t="str">
        <f>IFERROR(VLOOKUP(category_assignment_2[[#This Row],[category_id]],#REF!,3,FALSE),"")</f>
        <v/>
      </c>
      <c r="C251" s="23" t="str">
        <f>IFERROR(VLOOKUP(category_assignment_2[[#This Row],[abbreviation_id]],abbreviation[],ColumnLanguage+1,FALSE),"")</f>
        <v/>
      </c>
      <c r="D251" s="23"/>
      <c r="E251" s="23"/>
      <c r="F251" s="23"/>
      <c r="G251" s="23"/>
      <c r="H251" s="23"/>
      <c r="I251" s="23"/>
      <c r="J251" s="23"/>
      <c r="K251" s="23"/>
    </row>
    <row r="252" spans="1:11" x14ac:dyDescent="0.25">
      <c r="A252" s="4" t="str">
        <f>IFERROR(category_assignment_2[[#This Row],[category_assignment_id]],"")</f>
        <v/>
      </c>
      <c r="B252" s="23" t="str">
        <f>IFERROR(VLOOKUP(category_assignment_2[[#This Row],[category_id]],#REF!,3,FALSE),"")</f>
        <v/>
      </c>
      <c r="C252" s="23" t="str">
        <f>IFERROR(VLOOKUP(category_assignment_2[[#This Row],[abbreviation_id]],abbreviation[],ColumnLanguage+1,FALSE),"")</f>
        <v/>
      </c>
      <c r="D252" s="23"/>
      <c r="E252" s="23"/>
      <c r="F252" s="23"/>
      <c r="G252" s="23"/>
      <c r="H252" s="23"/>
      <c r="I252" s="23"/>
      <c r="J252" s="23"/>
      <c r="K252" s="23"/>
    </row>
    <row r="253" spans="1:11" x14ac:dyDescent="0.25">
      <c r="A253" s="4" t="str">
        <f>IFERROR(category_assignment_2[[#This Row],[category_assignment_id]],"")</f>
        <v/>
      </c>
      <c r="B253" s="23" t="str">
        <f>IFERROR(VLOOKUP(category_assignment_2[[#This Row],[category_id]],#REF!,3,FALSE),"")</f>
        <v/>
      </c>
      <c r="C253" s="23" t="str">
        <f>IFERROR(VLOOKUP(category_assignment_2[[#This Row],[abbreviation_id]],abbreviation[],ColumnLanguage+1,FALSE),"")</f>
        <v/>
      </c>
      <c r="D253" s="23"/>
      <c r="E253" s="23"/>
      <c r="F253" s="23"/>
      <c r="G253" s="23"/>
      <c r="H253" s="23"/>
      <c r="I253" s="23"/>
      <c r="J253" s="23"/>
      <c r="K253" s="23"/>
    </row>
    <row r="254" spans="1:11" x14ac:dyDescent="0.25">
      <c r="A254" s="4" t="str">
        <f>IFERROR(category_assignment_2[[#This Row],[category_assignment_id]],"")</f>
        <v/>
      </c>
      <c r="B254" s="23" t="str">
        <f>IFERROR(VLOOKUP(category_assignment_2[[#This Row],[category_id]],#REF!,3,FALSE),"")</f>
        <v/>
      </c>
      <c r="C254" s="23" t="str">
        <f>IFERROR(VLOOKUP(category_assignment_2[[#This Row],[abbreviation_id]],abbreviation[],ColumnLanguage+1,FALSE),"")</f>
        <v/>
      </c>
      <c r="D254" s="23"/>
      <c r="E254" s="23"/>
      <c r="F254" s="23"/>
      <c r="G254" s="23"/>
      <c r="H254" s="23"/>
      <c r="I254" s="23"/>
      <c r="J254" s="23"/>
      <c r="K254" s="23"/>
    </row>
    <row r="255" spans="1:11" x14ac:dyDescent="0.25">
      <c r="A255" s="4" t="str">
        <f>IFERROR(category_assignment_2[[#This Row],[category_assignment_id]],"")</f>
        <v/>
      </c>
      <c r="B255" s="23" t="str">
        <f>IFERROR(VLOOKUP(category_assignment_2[[#This Row],[category_id]],#REF!,3,FALSE),"")</f>
        <v/>
      </c>
      <c r="C255" s="23" t="str">
        <f>IFERROR(VLOOKUP(category_assignment_2[[#This Row],[abbreviation_id]],abbreviation[],ColumnLanguage+1,FALSE),"")</f>
        <v/>
      </c>
      <c r="D255" s="23"/>
      <c r="E255" s="23"/>
      <c r="F255" s="23"/>
      <c r="G255" s="23"/>
      <c r="H255" s="23"/>
      <c r="I255" s="23"/>
      <c r="J255" s="23"/>
      <c r="K255" s="23"/>
    </row>
    <row r="256" spans="1:11" x14ac:dyDescent="0.25">
      <c r="A256" s="4" t="str">
        <f>IFERROR(category_assignment_2[[#This Row],[category_assignment_id]],"")</f>
        <v/>
      </c>
      <c r="B256" s="23" t="str">
        <f>IFERROR(VLOOKUP(category_assignment_2[[#This Row],[category_id]],#REF!,3,FALSE),"")</f>
        <v/>
      </c>
      <c r="C256" s="23" t="str">
        <f>IFERROR(VLOOKUP(category_assignment_2[[#This Row],[abbreviation_id]],abbreviation[],ColumnLanguage+1,FALSE),"")</f>
        <v/>
      </c>
      <c r="D256" s="23"/>
      <c r="E256" s="23"/>
      <c r="F256" s="23"/>
      <c r="G256" s="23"/>
      <c r="H256" s="23"/>
      <c r="I256" s="23"/>
      <c r="J256" s="23"/>
      <c r="K256" s="23"/>
    </row>
    <row r="257" spans="1:11" x14ac:dyDescent="0.25">
      <c r="A257" s="4" t="str">
        <f>IFERROR(category_assignment_2[[#This Row],[category_assignment_id]],"")</f>
        <v/>
      </c>
      <c r="B257" s="23" t="str">
        <f>IFERROR(VLOOKUP(category_assignment_2[[#This Row],[category_id]],#REF!,3,FALSE),"")</f>
        <v/>
      </c>
      <c r="C257" s="23" t="str">
        <f>IFERROR(VLOOKUP(category_assignment_2[[#This Row],[abbreviation_id]],abbreviation[],ColumnLanguage+1,FALSE),"")</f>
        <v/>
      </c>
      <c r="D257" s="23"/>
      <c r="E257" s="23"/>
      <c r="F257" s="23"/>
      <c r="G257" s="23"/>
      <c r="H257" s="23"/>
      <c r="I257" s="23"/>
      <c r="J257" s="23"/>
      <c r="K257" s="23"/>
    </row>
    <row r="258" spans="1:11" x14ac:dyDescent="0.25">
      <c r="A258" s="4" t="str">
        <f>IFERROR(category_assignment_2[[#This Row],[category_assignment_id]],"")</f>
        <v/>
      </c>
      <c r="B258" s="23" t="str">
        <f>IFERROR(VLOOKUP(category_assignment_2[[#This Row],[category_id]],#REF!,3,FALSE),"")</f>
        <v/>
      </c>
      <c r="C258" s="23" t="str">
        <f>IFERROR(VLOOKUP(category_assignment_2[[#This Row],[abbreviation_id]],abbreviation[],ColumnLanguage+1,FALSE),"")</f>
        <v/>
      </c>
      <c r="D258" s="23"/>
      <c r="E258" s="23"/>
      <c r="F258" s="23"/>
      <c r="G258" s="23"/>
      <c r="H258" s="23"/>
      <c r="I258" s="23"/>
      <c r="J258" s="23"/>
      <c r="K258" s="23"/>
    </row>
    <row r="259" spans="1:11" x14ac:dyDescent="0.25">
      <c r="A259" s="4" t="str">
        <f>IFERROR(category_assignment_2[[#This Row],[category_assignment_id]],"")</f>
        <v/>
      </c>
      <c r="B259" s="23" t="str">
        <f>IFERROR(VLOOKUP(category_assignment_2[[#This Row],[category_id]],#REF!,3,FALSE),"")</f>
        <v/>
      </c>
      <c r="C259" s="23" t="str">
        <f>IFERROR(VLOOKUP(category_assignment_2[[#This Row],[abbreviation_id]],abbreviation[],ColumnLanguage+1,FALSE),"")</f>
        <v/>
      </c>
      <c r="D259" s="23"/>
      <c r="E259" s="23"/>
      <c r="F259" s="23"/>
      <c r="G259" s="23"/>
      <c r="H259" s="23"/>
      <c r="I259" s="23"/>
      <c r="J259" s="23"/>
      <c r="K259" s="23"/>
    </row>
    <row r="260" spans="1:11" x14ac:dyDescent="0.25">
      <c r="A260" s="4" t="str">
        <f>IFERROR(category_assignment_2[[#This Row],[category_assignment_id]],"")</f>
        <v/>
      </c>
      <c r="B260" s="23" t="str">
        <f>IFERROR(VLOOKUP(category_assignment_2[[#This Row],[category_id]],#REF!,3,FALSE),"")</f>
        <v/>
      </c>
      <c r="C260" s="23" t="str">
        <f>IFERROR(VLOOKUP(category_assignment_2[[#This Row],[abbreviation_id]],abbreviation[],ColumnLanguage+1,FALSE),"")</f>
        <v/>
      </c>
      <c r="D260" s="23"/>
      <c r="E260" s="23"/>
      <c r="F260" s="23"/>
      <c r="G260" s="23"/>
      <c r="H260" s="23"/>
      <c r="I260" s="23"/>
      <c r="J260" s="23"/>
      <c r="K260" s="23"/>
    </row>
    <row r="261" spans="1:11" x14ac:dyDescent="0.25">
      <c r="A261" s="4" t="str">
        <f>IFERROR(category_assignment_2[[#This Row],[category_assignment_id]],"")</f>
        <v/>
      </c>
      <c r="B261" s="23" t="str">
        <f>IFERROR(VLOOKUP(category_assignment_2[[#This Row],[category_id]],#REF!,3,FALSE),"")</f>
        <v/>
      </c>
      <c r="C261" s="23" t="str">
        <f>IFERROR(VLOOKUP(category_assignment_2[[#This Row],[abbreviation_id]],abbreviation[],ColumnLanguage+1,FALSE),"")</f>
        <v/>
      </c>
      <c r="D261" s="23"/>
      <c r="E261" s="23"/>
      <c r="F261" s="23"/>
      <c r="G261" s="23"/>
      <c r="H261" s="23"/>
      <c r="I261" s="23"/>
      <c r="J261" s="23"/>
      <c r="K261" s="23"/>
    </row>
    <row r="262" spans="1:11" x14ac:dyDescent="0.25">
      <c r="A262" s="4" t="str">
        <f>IFERROR(category_assignment_2[[#This Row],[category_assignment_id]],"")</f>
        <v/>
      </c>
      <c r="B262" s="23" t="str">
        <f>IFERROR(VLOOKUP(category_assignment_2[[#This Row],[category_id]],#REF!,3,FALSE),"")</f>
        <v/>
      </c>
      <c r="C262" s="23" t="str">
        <f>IFERROR(VLOOKUP(category_assignment_2[[#This Row],[abbreviation_id]],abbreviation[],ColumnLanguage+1,FALSE),"")</f>
        <v/>
      </c>
      <c r="D262" s="23"/>
      <c r="E262" s="23"/>
      <c r="F262" s="23"/>
      <c r="G262" s="23"/>
      <c r="H262" s="23"/>
      <c r="I262" s="23"/>
      <c r="J262" s="23"/>
      <c r="K262" s="23"/>
    </row>
    <row r="263" spans="1:11" x14ac:dyDescent="0.25">
      <c r="A263" s="4" t="str">
        <f>IFERROR(category_assignment_2[[#This Row],[category_assignment_id]],"")</f>
        <v/>
      </c>
      <c r="B263" s="23" t="str">
        <f>IFERROR(VLOOKUP(category_assignment_2[[#This Row],[category_id]],#REF!,3,FALSE),"")</f>
        <v/>
      </c>
      <c r="C263" s="23" t="str">
        <f>IFERROR(VLOOKUP(category_assignment_2[[#This Row],[abbreviation_id]],abbreviation[],ColumnLanguage+1,FALSE),"")</f>
        <v/>
      </c>
      <c r="D263" s="23"/>
      <c r="E263" s="23"/>
      <c r="F263" s="23"/>
      <c r="G263" s="23"/>
      <c r="H263" s="23"/>
      <c r="I263" s="23"/>
      <c r="J263" s="23"/>
      <c r="K263" s="23"/>
    </row>
    <row r="264" spans="1:11" x14ac:dyDescent="0.25">
      <c r="A264" s="4" t="str">
        <f>IFERROR(category_assignment_2[[#This Row],[category_assignment_id]],"")</f>
        <v/>
      </c>
      <c r="B264" s="23" t="str">
        <f>IFERROR(VLOOKUP(category_assignment_2[[#This Row],[category_id]],#REF!,3,FALSE),"")</f>
        <v/>
      </c>
      <c r="C264" s="23" t="str">
        <f>IFERROR(VLOOKUP(category_assignment_2[[#This Row],[abbreviation_id]],abbreviation[],ColumnLanguage+1,FALSE),"")</f>
        <v/>
      </c>
      <c r="D264" s="23"/>
      <c r="E264" s="23"/>
      <c r="F264" s="23"/>
      <c r="G264" s="23"/>
      <c r="H264" s="23"/>
      <c r="I264" s="23"/>
      <c r="J264" s="23"/>
      <c r="K264" s="23"/>
    </row>
    <row r="265" spans="1:11" x14ac:dyDescent="0.25">
      <c r="A265" s="4" t="str">
        <f>IFERROR(category_assignment_2[[#This Row],[category_assignment_id]],"")</f>
        <v/>
      </c>
      <c r="B265" s="23" t="str">
        <f>IFERROR(VLOOKUP(category_assignment_2[[#This Row],[category_id]],#REF!,3,FALSE),"")</f>
        <v/>
      </c>
      <c r="C265" s="23" t="str">
        <f>IFERROR(VLOOKUP(category_assignment_2[[#This Row],[abbreviation_id]],abbreviation[],ColumnLanguage+1,FALSE),"")</f>
        <v/>
      </c>
      <c r="D265" s="23"/>
      <c r="E265" s="23"/>
      <c r="F265" s="23"/>
      <c r="G265" s="23"/>
      <c r="H265" s="23"/>
      <c r="I265" s="23"/>
      <c r="J265" s="23"/>
      <c r="K265" s="23"/>
    </row>
    <row r="266" spans="1:11" x14ac:dyDescent="0.25">
      <c r="A266" s="4" t="str">
        <f>IFERROR(category_assignment_2[[#This Row],[category_assignment_id]],"")</f>
        <v/>
      </c>
      <c r="B266" s="23" t="str">
        <f>IFERROR(VLOOKUP(category_assignment_2[[#This Row],[category_id]],#REF!,3,FALSE),"")</f>
        <v/>
      </c>
      <c r="C266" s="23" t="str">
        <f>IFERROR(VLOOKUP(category_assignment_2[[#This Row],[abbreviation_id]],abbreviation[],ColumnLanguage+1,FALSE),"")</f>
        <v/>
      </c>
      <c r="D266" s="23"/>
      <c r="E266" s="23"/>
      <c r="F266" s="23"/>
      <c r="G266" s="23"/>
      <c r="H266" s="23"/>
      <c r="I266" s="23"/>
      <c r="J266" s="23"/>
      <c r="K266" s="23"/>
    </row>
    <row r="267" spans="1:11" x14ac:dyDescent="0.25">
      <c r="A267" s="4" t="str">
        <f>IFERROR(category_assignment_2[[#This Row],[category_assignment_id]],"")</f>
        <v/>
      </c>
      <c r="B267" s="23" t="str">
        <f>IFERROR(VLOOKUP(category_assignment_2[[#This Row],[category_id]],#REF!,3,FALSE),"")</f>
        <v/>
      </c>
      <c r="C267" s="23" t="str">
        <f>IFERROR(VLOOKUP(category_assignment_2[[#This Row],[abbreviation_id]],abbreviation[],ColumnLanguage+1,FALSE),"")</f>
        <v/>
      </c>
      <c r="D267" s="23"/>
      <c r="E267" s="23"/>
      <c r="F267" s="23"/>
      <c r="G267" s="23"/>
      <c r="H267" s="23"/>
      <c r="I267" s="23"/>
      <c r="J267" s="23"/>
      <c r="K267" s="23"/>
    </row>
    <row r="268" spans="1:11" x14ac:dyDescent="0.25">
      <c r="A268" s="4" t="str">
        <f>IFERROR(category_assignment_2[[#This Row],[category_assignment_id]],"")</f>
        <v/>
      </c>
      <c r="B268" s="23" t="str">
        <f>IFERROR(VLOOKUP(category_assignment_2[[#This Row],[category_id]],#REF!,3,FALSE),"")</f>
        <v/>
      </c>
      <c r="C268" s="23" t="str">
        <f>IFERROR(VLOOKUP(category_assignment_2[[#This Row],[abbreviation_id]],abbreviation[],ColumnLanguage+1,FALSE),"")</f>
        <v/>
      </c>
      <c r="D268" s="23"/>
      <c r="E268" s="23"/>
      <c r="F268" s="23"/>
      <c r="G268" s="23"/>
      <c r="H268" s="23"/>
      <c r="I268" s="23"/>
      <c r="J268" s="23"/>
      <c r="K268" s="23"/>
    </row>
    <row r="269" spans="1:11" x14ac:dyDescent="0.25">
      <c r="A269" s="4" t="str">
        <f>IFERROR(category_assignment_2[[#This Row],[category_assignment_id]],"")</f>
        <v/>
      </c>
      <c r="B269" s="23" t="str">
        <f>IFERROR(VLOOKUP(category_assignment_2[[#This Row],[category_id]],#REF!,3,FALSE),"")</f>
        <v/>
      </c>
      <c r="C269" s="23" t="str">
        <f>IFERROR(VLOOKUP(category_assignment_2[[#This Row],[abbreviation_id]],abbreviation[],ColumnLanguage+1,FALSE),"")</f>
        <v/>
      </c>
      <c r="D269" s="23"/>
      <c r="E269" s="23"/>
      <c r="F269" s="23"/>
      <c r="G269" s="23"/>
      <c r="H269" s="23"/>
      <c r="I269" s="23"/>
      <c r="J269" s="23"/>
      <c r="K269" s="23"/>
    </row>
    <row r="270" spans="1:11" x14ac:dyDescent="0.25">
      <c r="A270" s="4" t="str">
        <f>IFERROR(category_assignment_2[[#This Row],[category_assignment_id]],"")</f>
        <v/>
      </c>
      <c r="B270" s="23" t="str">
        <f>IFERROR(VLOOKUP(category_assignment_2[[#This Row],[category_id]],#REF!,3,FALSE),"")</f>
        <v/>
      </c>
      <c r="C270" s="23" t="str">
        <f>IFERROR(VLOOKUP(category_assignment_2[[#This Row],[abbreviation_id]],abbreviation[],ColumnLanguage+1,FALSE),"")</f>
        <v/>
      </c>
      <c r="D270" s="23"/>
      <c r="E270" s="23"/>
      <c r="F270" s="23"/>
      <c r="G270" s="23"/>
      <c r="H270" s="23"/>
      <c r="I270" s="23"/>
      <c r="J270" s="23"/>
      <c r="K270" s="23"/>
    </row>
    <row r="271" spans="1:11" x14ac:dyDescent="0.25">
      <c r="A271" s="4" t="str">
        <f>IFERROR(category_assignment_2[[#This Row],[category_assignment_id]],"")</f>
        <v/>
      </c>
      <c r="B271" s="23" t="str">
        <f>IFERROR(VLOOKUP(category_assignment_2[[#This Row],[category_id]],#REF!,3,FALSE),"")</f>
        <v/>
      </c>
      <c r="C271" s="23" t="str">
        <f>IFERROR(VLOOKUP(category_assignment_2[[#This Row],[abbreviation_id]],abbreviation[],ColumnLanguage+1,FALSE),"")</f>
        <v/>
      </c>
      <c r="D271" s="23"/>
      <c r="E271" s="23"/>
      <c r="F271" s="23"/>
      <c r="G271" s="23"/>
      <c r="H271" s="23"/>
      <c r="I271" s="23"/>
      <c r="J271" s="23"/>
      <c r="K271" s="23"/>
    </row>
    <row r="272" spans="1:11" x14ac:dyDescent="0.25">
      <c r="A272" s="4" t="str">
        <f>IFERROR(category_assignment_2[[#This Row],[category_assignment_id]],"")</f>
        <v/>
      </c>
      <c r="B272" s="23" t="str">
        <f>IFERROR(VLOOKUP(category_assignment_2[[#This Row],[category_id]],#REF!,3,FALSE),"")</f>
        <v/>
      </c>
      <c r="C272" s="23" t="str">
        <f>IFERROR(VLOOKUP(category_assignment_2[[#This Row],[abbreviation_id]],abbreviation[],ColumnLanguage+1,FALSE),"")</f>
        <v/>
      </c>
      <c r="D272" s="23"/>
      <c r="E272" s="23"/>
      <c r="F272" s="23"/>
      <c r="G272" s="23"/>
      <c r="H272" s="23"/>
      <c r="I272" s="23"/>
      <c r="J272" s="23"/>
      <c r="K272" s="23"/>
    </row>
    <row r="273" spans="1:11" x14ac:dyDescent="0.25">
      <c r="A273" s="4" t="str">
        <f>IFERROR(category_assignment_2[[#This Row],[category_assignment_id]],"")</f>
        <v/>
      </c>
      <c r="B273" s="23" t="str">
        <f>IFERROR(VLOOKUP(category_assignment_2[[#This Row],[category_id]],#REF!,3,FALSE),"")</f>
        <v/>
      </c>
      <c r="C273" s="23" t="str">
        <f>IFERROR(VLOOKUP(category_assignment_2[[#This Row],[abbreviation_id]],abbreviation[],ColumnLanguage+1,FALSE),"")</f>
        <v/>
      </c>
      <c r="D273" s="23"/>
      <c r="E273" s="23"/>
      <c r="F273" s="23"/>
      <c r="G273" s="23"/>
      <c r="H273" s="23"/>
      <c r="I273" s="23"/>
      <c r="J273" s="23"/>
      <c r="K273" s="23"/>
    </row>
    <row r="274" spans="1:11" x14ac:dyDescent="0.25">
      <c r="A274" s="4" t="str">
        <f>IFERROR(category_assignment_2[[#This Row],[category_assignment_id]],"")</f>
        <v/>
      </c>
      <c r="B274" s="23" t="str">
        <f>IFERROR(VLOOKUP(category_assignment_2[[#This Row],[category_id]],#REF!,3,FALSE),"")</f>
        <v/>
      </c>
      <c r="C274" s="23" t="str">
        <f>IFERROR(VLOOKUP(category_assignment_2[[#This Row],[abbreviation_id]],abbreviation[],ColumnLanguage+1,FALSE),"")</f>
        <v/>
      </c>
      <c r="D274" s="23"/>
      <c r="E274" s="23"/>
      <c r="F274" s="23"/>
      <c r="G274" s="23"/>
      <c r="H274" s="23"/>
      <c r="I274" s="23"/>
      <c r="J274" s="23"/>
      <c r="K274" s="23"/>
    </row>
    <row r="275" spans="1:11" x14ac:dyDescent="0.25">
      <c r="A275" s="4" t="str">
        <f>IFERROR(category_assignment_2[[#This Row],[category_assignment_id]],"")</f>
        <v/>
      </c>
      <c r="B275" s="23" t="str">
        <f>IFERROR(VLOOKUP(category_assignment_2[[#This Row],[category_id]],#REF!,3,FALSE),"")</f>
        <v/>
      </c>
      <c r="C275" s="23" t="str">
        <f>IFERROR(VLOOKUP(category_assignment_2[[#This Row],[abbreviation_id]],abbreviation[],ColumnLanguage+1,FALSE),"")</f>
        <v/>
      </c>
      <c r="D275" s="23"/>
      <c r="E275" s="23"/>
      <c r="F275" s="23"/>
      <c r="G275" s="23"/>
      <c r="H275" s="23"/>
      <c r="I275" s="23"/>
      <c r="J275" s="23"/>
      <c r="K275" s="23"/>
    </row>
    <row r="276" spans="1:11" x14ac:dyDescent="0.25">
      <c r="A276" s="4" t="str">
        <f>IFERROR(category_assignment_2[[#This Row],[category_assignment_id]],"")</f>
        <v/>
      </c>
      <c r="B276" s="23" t="str">
        <f>IFERROR(VLOOKUP(category_assignment_2[[#This Row],[category_id]],#REF!,3,FALSE),"")</f>
        <v/>
      </c>
      <c r="C276" s="23" t="str">
        <f>IFERROR(VLOOKUP(category_assignment_2[[#This Row],[abbreviation_id]],abbreviation[],ColumnLanguage+1,FALSE),"")</f>
        <v/>
      </c>
      <c r="D276" s="23"/>
      <c r="E276" s="23"/>
      <c r="F276" s="23"/>
      <c r="G276" s="23"/>
      <c r="H276" s="23"/>
      <c r="I276" s="23"/>
      <c r="J276" s="23"/>
      <c r="K276" s="23"/>
    </row>
    <row r="277" spans="1:11" x14ac:dyDescent="0.25">
      <c r="A277" s="4" t="str">
        <f>IFERROR(category_assignment_2[[#This Row],[category_assignment_id]],"")</f>
        <v/>
      </c>
      <c r="B277" s="23" t="str">
        <f>IFERROR(VLOOKUP(category_assignment_2[[#This Row],[category_id]],#REF!,3,FALSE),"")</f>
        <v/>
      </c>
      <c r="C277" s="23" t="str">
        <f>IFERROR(VLOOKUP(category_assignment_2[[#This Row],[abbreviation_id]],abbreviation[],ColumnLanguage+1,FALSE),"")</f>
        <v/>
      </c>
      <c r="D277" s="23"/>
      <c r="E277" s="23"/>
      <c r="F277" s="23"/>
      <c r="G277" s="23"/>
      <c r="H277" s="23"/>
      <c r="I277" s="23"/>
      <c r="J277" s="23"/>
      <c r="K277" s="23"/>
    </row>
    <row r="278" spans="1:11" x14ac:dyDescent="0.25">
      <c r="A278" s="4" t="str">
        <f>IFERROR(category_assignment_2[[#This Row],[category_assignment_id]],"")</f>
        <v/>
      </c>
      <c r="B278" s="23" t="str">
        <f>IFERROR(VLOOKUP(category_assignment_2[[#This Row],[category_id]],#REF!,3,FALSE),"")</f>
        <v/>
      </c>
      <c r="C278" s="23" t="str">
        <f>IFERROR(VLOOKUP(category_assignment_2[[#This Row],[abbreviation_id]],abbreviation[],ColumnLanguage+1,FALSE),"")</f>
        <v/>
      </c>
      <c r="D278" s="23"/>
      <c r="E278" s="23"/>
      <c r="F278" s="23"/>
      <c r="G278" s="23"/>
      <c r="H278" s="23"/>
      <c r="I278" s="23"/>
      <c r="J278" s="23"/>
      <c r="K278" s="23"/>
    </row>
    <row r="279" spans="1:11" x14ac:dyDescent="0.25">
      <c r="A279" s="4" t="str">
        <f>IFERROR(category_assignment_2[[#This Row],[category_assignment_id]],"")</f>
        <v/>
      </c>
      <c r="B279" s="23" t="str">
        <f>IFERROR(VLOOKUP(category_assignment_2[[#This Row],[category_id]],#REF!,3,FALSE),"")</f>
        <v/>
      </c>
      <c r="C279" s="23" t="str">
        <f>IFERROR(VLOOKUP(category_assignment_2[[#This Row],[abbreviation_id]],abbreviation[],ColumnLanguage+1,FALSE),"")</f>
        <v/>
      </c>
      <c r="D279" s="23"/>
      <c r="E279" s="23"/>
      <c r="F279" s="23"/>
      <c r="G279" s="23"/>
      <c r="H279" s="23"/>
      <c r="I279" s="23"/>
      <c r="J279" s="23"/>
      <c r="K279" s="23"/>
    </row>
    <row r="280" spans="1:11" x14ac:dyDescent="0.25">
      <c r="A280" s="4" t="str">
        <f>IFERROR(category_assignment_2[[#This Row],[category_assignment_id]],"")</f>
        <v/>
      </c>
      <c r="B280" s="23" t="str">
        <f>IFERROR(VLOOKUP(category_assignment_2[[#This Row],[category_id]],#REF!,3,FALSE),"")</f>
        <v/>
      </c>
      <c r="C280" s="23" t="str">
        <f>IFERROR(VLOOKUP(category_assignment_2[[#This Row],[abbreviation_id]],abbreviation[],ColumnLanguage+1,FALSE),"")</f>
        <v/>
      </c>
      <c r="D280" s="23"/>
      <c r="E280" s="23"/>
      <c r="F280" s="23"/>
      <c r="G280" s="23"/>
      <c r="H280" s="23"/>
      <c r="I280" s="23"/>
      <c r="J280" s="23"/>
      <c r="K280" s="23"/>
    </row>
    <row r="281" spans="1:11" x14ac:dyDescent="0.25">
      <c r="A281" s="4" t="str">
        <f>IFERROR(category_assignment_2[[#This Row],[category_assignment_id]],"")</f>
        <v/>
      </c>
      <c r="B281" s="23" t="str">
        <f>IFERROR(VLOOKUP(category_assignment_2[[#This Row],[category_id]],#REF!,3,FALSE),"")</f>
        <v/>
      </c>
      <c r="C281" s="23" t="str">
        <f>IFERROR(VLOOKUP(category_assignment_2[[#This Row],[abbreviation_id]],abbreviation[],ColumnLanguage+1,FALSE),"")</f>
        <v/>
      </c>
      <c r="D281" s="23"/>
      <c r="E281" s="23"/>
      <c r="F281" s="23"/>
      <c r="G281" s="23"/>
      <c r="H281" s="23"/>
      <c r="I281" s="23"/>
      <c r="J281" s="23"/>
      <c r="K281" s="23"/>
    </row>
    <row r="282" spans="1:11" x14ac:dyDescent="0.25">
      <c r="A282" s="4" t="str">
        <f>IFERROR(category_assignment_2[[#This Row],[category_assignment_id]],"")</f>
        <v/>
      </c>
      <c r="B282" s="23" t="str">
        <f>IFERROR(VLOOKUP(category_assignment_2[[#This Row],[category_id]],#REF!,3,FALSE),"")</f>
        <v/>
      </c>
      <c r="C282" s="23" t="str">
        <f>IFERROR(VLOOKUP(category_assignment_2[[#This Row],[abbreviation_id]],abbreviation[],ColumnLanguage+1,FALSE),"")</f>
        <v/>
      </c>
      <c r="D282" s="23"/>
      <c r="E282" s="23"/>
      <c r="F282" s="23"/>
      <c r="G282" s="23"/>
      <c r="H282" s="23"/>
      <c r="I282" s="23"/>
      <c r="J282" s="23"/>
      <c r="K282" s="23"/>
    </row>
    <row r="283" spans="1:11" x14ac:dyDescent="0.25">
      <c r="A283" s="4" t="str">
        <f>IFERROR(category_assignment_2[[#This Row],[category_assignment_id]],"")</f>
        <v/>
      </c>
      <c r="B283" s="23" t="str">
        <f>IFERROR(VLOOKUP(category_assignment_2[[#This Row],[category_id]],#REF!,3,FALSE),"")</f>
        <v/>
      </c>
      <c r="C283" s="23" t="str">
        <f>IFERROR(VLOOKUP(category_assignment_2[[#This Row],[abbreviation_id]],abbreviation[],ColumnLanguage+1,FALSE),"")</f>
        <v/>
      </c>
      <c r="D283" s="23"/>
      <c r="E283" s="23"/>
      <c r="F283" s="23"/>
      <c r="G283" s="23"/>
      <c r="H283" s="23"/>
      <c r="I283" s="23"/>
      <c r="J283" s="23"/>
      <c r="K283" s="23"/>
    </row>
    <row r="284" spans="1:11" x14ac:dyDescent="0.25">
      <c r="A284" s="4" t="str">
        <f>IFERROR(category_assignment_2[[#This Row],[category_assignment_id]],"")</f>
        <v/>
      </c>
      <c r="B284" s="23" t="str">
        <f>IFERROR(VLOOKUP(category_assignment_2[[#This Row],[category_id]],#REF!,3,FALSE),"")</f>
        <v/>
      </c>
      <c r="C284" s="23" t="str">
        <f>IFERROR(VLOOKUP(category_assignment_2[[#This Row],[abbreviation_id]],abbreviation[],ColumnLanguage+1,FALSE),"")</f>
        <v/>
      </c>
      <c r="D284" s="23"/>
      <c r="E284" s="23"/>
      <c r="F284" s="23"/>
      <c r="G284" s="23"/>
      <c r="H284" s="23"/>
      <c r="I284" s="23"/>
      <c r="J284" s="23"/>
      <c r="K284" s="23"/>
    </row>
    <row r="285" spans="1:11" x14ac:dyDescent="0.25">
      <c r="A285" s="4" t="str">
        <f>IFERROR(category_assignment_2[[#This Row],[category_assignment_id]],"")</f>
        <v/>
      </c>
      <c r="B285" s="23" t="str">
        <f>IFERROR(VLOOKUP(category_assignment_2[[#This Row],[category_id]],#REF!,3,FALSE),"")</f>
        <v/>
      </c>
      <c r="C285" s="23" t="str">
        <f>IFERROR(VLOOKUP(category_assignment_2[[#This Row],[abbreviation_id]],abbreviation[],ColumnLanguage+1,FALSE),"")</f>
        <v/>
      </c>
      <c r="D285" s="23"/>
      <c r="E285" s="23"/>
      <c r="F285" s="23"/>
      <c r="G285" s="23"/>
      <c r="H285" s="23"/>
      <c r="I285" s="23"/>
      <c r="J285" s="23"/>
      <c r="K285" s="23"/>
    </row>
    <row r="286" spans="1:11" x14ac:dyDescent="0.25">
      <c r="A286" s="4" t="str">
        <f>IFERROR(category_assignment_2[[#This Row],[category_assignment_id]],"")</f>
        <v/>
      </c>
      <c r="B286" s="23" t="str">
        <f>IFERROR(VLOOKUP(category_assignment_2[[#This Row],[category_id]],#REF!,3,FALSE),"")</f>
        <v/>
      </c>
      <c r="C286" s="23" t="str">
        <f>IFERROR(VLOOKUP(category_assignment_2[[#This Row],[abbreviation_id]],abbreviation[],ColumnLanguage+1,FALSE),"")</f>
        <v/>
      </c>
      <c r="D286" s="23"/>
      <c r="E286" s="23"/>
      <c r="F286" s="23"/>
      <c r="G286" s="23"/>
      <c r="H286" s="23"/>
      <c r="I286" s="23"/>
      <c r="J286" s="23"/>
      <c r="K286" s="23"/>
    </row>
    <row r="287" spans="1:11" x14ac:dyDescent="0.25">
      <c r="A287" s="4" t="str">
        <f>IFERROR(category_assignment_2[[#This Row],[category_assignment_id]],"")</f>
        <v/>
      </c>
      <c r="B287" s="23" t="str">
        <f>IFERROR(VLOOKUP(category_assignment_2[[#This Row],[category_id]],#REF!,3,FALSE),"")</f>
        <v/>
      </c>
      <c r="C287" s="23" t="str">
        <f>IFERROR(VLOOKUP(category_assignment_2[[#This Row],[abbreviation_id]],abbreviation[],ColumnLanguage+1,FALSE),"")</f>
        <v/>
      </c>
      <c r="D287" s="23"/>
      <c r="E287" s="23"/>
      <c r="F287" s="23"/>
      <c r="G287" s="23"/>
      <c r="H287" s="23"/>
      <c r="I287" s="23"/>
      <c r="J287" s="23"/>
      <c r="K287" s="23"/>
    </row>
    <row r="288" spans="1:11" x14ac:dyDescent="0.25">
      <c r="A288" s="4" t="str">
        <f>IFERROR(category_assignment_2[[#This Row],[category_assignment_id]],"")</f>
        <v/>
      </c>
      <c r="B288" s="23" t="str">
        <f>IFERROR(VLOOKUP(category_assignment_2[[#This Row],[category_id]],#REF!,3,FALSE),"")</f>
        <v/>
      </c>
      <c r="C288" s="23" t="str">
        <f>IFERROR(VLOOKUP(category_assignment_2[[#This Row],[abbreviation_id]],abbreviation[],ColumnLanguage+1,FALSE),"")</f>
        <v/>
      </c>
      <c r="D288" s="23"/>
      <c r="E288" s="23"/>
      <c r="F288" s="23"/>
      <c r="G288" s="23"/>
      <c r="H288" s="23"/>
      <c r="I288" s="23"/>
      <c r="J288" s="23"/>
      <c r="K288" s="23"/>
    </row>
    <row r="289" spans="1:11" x14ac:dyDescent="0.25">
      <c r="A289" s="4" t="str">
        <f>IFERROR(category_assignment_2[[#This Row],[category_assignment_id]],"")</f>
        <v/>
      </c>
      <c r="B289" s="23" t="str">
        <f>IFERROR(VLOOKUP(category_assignment_2[[#This Row],[category_id]],#REF!,3,FALSE),"")</f>
        <v/>
      </c>
      <c r="C289" s="23" t="str">
        <f>IFERROR(VLOOKUP(category_assignment_2[[#This Row],[abbreviation_id]],abbreviation[],ColumnLanguage+1,FALSE),"")</f>
        <v/>
      </c>
      <c r="D289" s="23"/>
      <c r="E289" s="23"/>
      <c r="F289" s="23"/>
      <c r="G289" s="23"/>
      <c r="H289" s="23"/>
      <c r="I289" s="23"/>
      <c r="J289" s="23"/>
      <c r="K289" s="23"/>
    </row>
    <row r="290" spans="1:11" x14ac:dyDescent="0.25">
      <c r="A290" s="4" t="str">
        <f>IFERROR(category_assignment_2[[#This Row],[category_assignment_id]],"")</f>
        <v/>
      </c>
      <c r="B290" s="23" t="str">
        <f>IFERROR(VLOOKUP(category_assignment_2[[#This Row],[category_id]],#REF!,3,FALSE),"")</f>
        <v/>
      </c>
      <c r="C290" s="23" t="str">
        <f>IFERROR(VLOOKUP(category_assignment_2[[#This Row],[abbreviation_id]],abbreviation[],ColumnLanguage+1,FALSE),"")</f>
        <v/>
      </c>
      <c r="D290" s="23"/>
      <c r="E290" s="23"/>
      <c r="F290" s="23"/>
      <c r="G290" s="23"/>
      <c r="H290" s="23"/>
      <c r="I290" s="23"/>
      <c r="J290" s="23"/>
      <c r="K290" s="23"/>
    </row>
    <row r="291" spans="1:11" x14ac:dyDescent="0.25">
      <c r="A291" s="4" t="str">
        <f>IFERROR(category_assignment_2[[#This Row],[category_assignment_id]],"")</f>
        <v/>
      </c>
      <c r="B291" s="23" t="str">
        <f>IFERROR(VLOOKUP(category_assignment_2[[#This Row],[category_id]],#REF!,3,FALSE),"")</f>
        <v/>
      </c>
      <c r="C291" s="23" t="str">
        <f>IFERROR(VLOOKUP(category_assignment_2[[#This Row],[abbreviation_id]],abbreviation[],ColumnLanguage+1,FALSE),"")</f>
        <v/>
      </c>
      <c r="D291" s="23"/>
      <c r="E291" s="23"/>
      <c r="F291" s="23"/>
      <c r="G291" s="23"/>
      <c r="H291" s="23"/>
      <c r="I291" s="23"/>
      <c r="J291" s="23"/>
      <c r="K291" s="23"/>
    </row>
    <row r="292" spans="1:11" x14ac:dyDescent="0.25">
      <c r="A292" s="4" t="str">
        <f>IFERROR(category_assignment_2[[#This Row],[category_assignment_id]],"")</f>
        <v/>
      </c>
      <c r="B292" s="23" t="str">
        <f>IFERROR(VLOOKUP(category_assignment_2[[#This Row],[category_id]],#REF!,3,FALSE),"")</f>
        <v/>
      </c>
      <c r="C292" s="23" t="str">
        <f>IFERROR(VLOOKUP(category_assignment_2[[#This Row],[abbreviation_id]],abbreviation[],ColumnLanguage+1,FALSE),"")</f>
        <v/>
      </c>
      <c r="D292" s="23"/>
      <c r="E292" s="23"/>
      <c r="F292" s="23"/>
      <c r="G292" s="23"/>
      <c r="H292" s="23"/>
      <c r="I292" s="23"/>
      <c r="J292" s="23"/>
      <c r="K292" s="23"/>
    </row>
    <row r="293" spans="1:11" x14ac:dyDescent="0.25">
      <c r="A293" s="4" t="str">
        <f>IFERROR(category_assignment_2[[#This Row],[category_assignment_id]],"")</f>
        <v/>
      </c>
      <c r="B293" s="23" t="str">
        <f>IFERROR(VLOOKUP(category_assignment_2[[#This Row],[category_id]],#REF!,3,FALSE),"")</f>
        <v/>
      </c>
      <c r="C293" s="23" t="str">
        <f>IFERROR(VLOOKUP(category_assignment_2[[#This Row],[abbreviation_id]],abbreviation[],ColumnLanguage+1,FALSE),"")</f>
        <v/>
      </c>
      <c r="D293" s="23"/>
      <c r="E293" s="23"/>
      <c r="F293" s="23"/>
      <c r="G293" s="23"/>
      <c r="H293" s="23"/>
      <c r="I293" s="23"/>
      <c r="J293" s="23"/>
      <c r="K293" s="23"/>
    </row>
    <row r="294" spans="1:11" x14ac:dyDescent="0.25">
      <c r="A294" s="4" t="str">
        <f>IFERROR(category_assignment_2[[#This Row],[category_assignment_id]],"")</f>
        <v/>
      </c>
      <c r="B294" s="23" t="str">
        <f>IFERROR(VLOOKUP(category_assignment_2[[#This Row],[category_id]],#REF!,3,FALSE),"")</f>
        <v/>
      </c>
      <c r="C294" s="23" t="str">
        <f>IFERROR(VLOOKUP(category_assignment_2[[#This Row],[abbreviation_id]],abbreviation[],ColumnLanguage+1,FALSE),"")</f>
        <v/>
      </c>
      <c r="D294" s="23"/>
      <c r="E294" s="23"/>
      <c r="F294" s="23"/>
      <c r="G294" s="23"/>
      <c r="H294" s="23"/>
      <c r="I294" s="23"/>
      <c r="J294" s="23"/>
      <c r="K294" s="23"/>
    </row>
    <row r="295" spans="1:11" x14ac:dyDescent="0.25">
      <c r="A295" s="4" t="str">
        <f>IFERROR(category_assignment_2[[#This Row],[category_assignment_id]],"")</f>
        <v/>
      </c>
      <c r="B295" s="23" t="str">
        <f>IFERROR(VLOOKUP(category_assignment_2[[#This Row],[category_id]],#REF!,3,FALSE),"")</f>
        <v/>
      </c>
      <c r="C295" s="23" t="str">
        <f>IFERROR(VLOOKUP(category_assignment_2[[#This Row],[abbreviation_id]],abbreviation[],ColumnLanguage+1,FALSE),"")</f>
        <v/>
      </c>
      <c r="D295" s="23"/>
      <c r="E295" s="23"/>
      <c r="F295" s="23"/>
      <c r="G295" s="23"/>
      <c r="H295" s="23"/>
      <c r="I295" s="23"/>
      <c r="J295" s="23"/>
      <c r="K295" s="23"/>
    </row>
    <row r="296" spans="1:11" x14ac:dyDescent="0.25">
      <c r="A296" s="4" t="str">
        <f>IFERROR(category_assignment_2[[#This Row],[category_assignment_id]],"")</f>
        <v/>
      </c>
      <c r="B296" s="23" t="str">
        <f>IFERROR(VLOOKUP(category_assignment_2[[#This Row],[category_id]],#REF!,3,FALSE),"")</f>
        <v/>
      </c>
      <c r="C296" s="23" t="str">
        <f>IFERROR(VLOOKUP(category_assignment_2[[#This Row],[abbreviation_id]],abbreviation[],ColumnLanguage+1,FALSE),"")</f>
        <v/>
      </c>
      <c r="D296" s="23"/>
      <c r="E296" s="23"/>
      <c r="F296" s="23"/>
      <c r="G296" s="23"/>
      <c r="H296" s="23"/>
      <c r="I296" s="23"/>
      <c r="J296" s="23"/>
      <c r="K296" s="23"/>
    </row>
    <row r="297" spans="1:11" x14ac:dyDescent="0.25">
      <c r="A297" s="4" t="str">
        <f>IFERROR(category_assignment_2[[#This Row],[category_assignment_id]],"")</f>
        <v/>
      </c>
      <c r="B297" s="23" t="str">
        <f>IFERROR(VLOOKUP(category_assignment_2[[#This Row],[category_id]],#REF!,3,FALSE),"")</f>
        <v/>
      </c>
      <c r="C297" s="23" t="str">
        <f>IFERROR(VLOOKUP(category_assignment_2[[#This Row],[abbreviation_id]],abbreviation[],ColumnLanguage+1,FALSE),"")</f>
        <v/>
      </c>
      <c r="D297" s="23"/>
      <c r="E297" s="23"/>
      <c r="F297" s="23"/>
      <c r="G297" s="23"/>
      <c r="H297" s="23"/>
      <c r="I297" s="23"/>
      <c r="J297" s="23"/>
      <c r="K297" s="23"/>
    </row>
    <row r="298" spans="1:11" x14ac:dyDescent="0.25">
      <c r="A298" s="4" t="str">
        <f>IFERROR(category_assignment_2[[#This Row],[category_assignment_id]],"")</f>
        <v/>
      </c>
      <c r="B298" s="23" t="str">
        <f>IFERROR(VLOOKUP(category_assignment_2[[#This Row],[category_id]],#REF!,3,FALSE),"")</f>
        <v/>
      </c>
      <c r="C298" s="23" t="str">
        <f>IFERROR(VLOOKUP(category_assignment_2[[#This Row],[abbreviation_id]],abbreviation[],ColumnLanguage+1,FALSE),"")</f>
        <v/>
      </c>
      <c r="D298" s="23"/>
      <c r="E298" s="23"/>
      <c r="F298" s="23"/>
      <c r="G298" s="23"/>
      <c r="H298" s="23"/>
      <c r="I298" s="23"/>
      <c r="J298" s="23"/>
      <c r="K298" s="23"/>
    </row>
    <row r="299" spans="1:11" x14ac:dyDescent="0.25">
      <c r="A299" s="4" t="str">
        <f>IFERROR(category_assignment_2[[#This Row],[category_assignment_id]],"")</f>
        <v/>
      </c>
      <c r="B299" s="23" t="str">
        <f>IFERROR(VLOOKUP(category_assignment_2[[#This Row],[category_id]],#REF!,3,FALSE),"")</f>
        <v/>
      </c>
      <c r="C299" s="23" t="str">
        <f>IFERROR(VLOOKUP(category_assignment_2[[#This Row],[abbreviation_id]],abbreviation[],ColumnLanguage+1,FALSE),"")</f>
        <v/>
      </c>
      <c r="D299" s="23"/>
      <c r="E299" s="23"/>
      <c r="F299" s="23"/>
      <c r="G299" s="23"/>
      <c r="H299" s="23"/>
      <c r="I299" s="23"/>
      <c r="J299" s="23"/>
      <c r="K299" s="23"/>
    </row>
    <row r="300" spans="1:11" x14ac:dyDescent="0.25">
      <c r="A300" s="4" t="str">
        <f>IFERROR(category_assignment_2[[#This Row],[category_assignment_id]],"")</f>
        <v/>
      </c>
      <c r="B300" s="23" t="str">
        <f>IFERROR(VLOOKUP(category_assignment_2[[#This Row],[category_id]],#REF!,3,FALSE),"")</f>
        <v/>
      </c>
      <c r="C300" s="23" t="str">
        <f>IFERROR(VLOOKUP(category_assignment_2[[#This Row],[abbreviation_id]],abbreviation[],ColumnLanguage+1,FALSE),"")</f>
        <v/>
      </c>
      <c r="D300" s="23"/>
      <c r="E300" s="23"/>
      <c r="F300" s="23"/>
      <c r="G300" s="23"/>
      <c r="H300" s="23"/>
      <c r="I300" s="23"/>
      <c r="J300" s="23"/>
      <c r="K300" s="23"/>
    </row>
    <row r="301" spans="1:11" x14ac:dyDescent="0.25">
      <c r="A301" s="4" t="str">
        <f>IFERROR(category_assignment_2[[#This Row],[category_assignment_id]],"")</f>
        <v/>
      </c>
      <c r="B301" s="23" t="str">
        <f>IFERROR(VLOOKUP(category_assignment_2[[#This Row],[category_id]],#REF!,3,FALSE),"")</f>
        <v/>
      </c>
      <c r="C301" s="23" t="str">
        <f>IFERROR(VLOOKUP(category_assignment_2[[#This Row],[abbreviation_id]],abbreviation[],ColumnLanguage+1,FALSE),"")</f>
        <v/>
      </c>
      <c r="D301" s="23"/>
      <c r="E301" s="23"/>
      <c r="F301" s="23"/>
      <c r="G301" s="23"/>
      <c r="H301" s="23"/>
      <c r="I301" s="23"/>
      <c r="J301" s="23"/>
      <c r="K301" s="23"/>
    </row>
    <row r="302" spans="1:11" x14ac:dyDescent="0.25">
      <c r="A302" s="4" t="str">
        <f>IFERROR(category_assignment_2[[#This Row],[category_assignment_id]],"")</f>
        <v/>
      </c>
      <c r="B302" s="23" t="str">
        <f>IFERROR(VLOOKUP(category_assignment_2[[#This Row],[category_id]],#REF!,3,FALSE),"")</f>
        <v/>
      </c>
      <c r="C302" s="23" t="str">
        <f>IFERROR(VLOOKUP(category_assignment_2[[#This Row],[abbreviation_id]],abbreviation[],ColumnLanguage+1,FALSE),"")</f>
        <v/>
      </c>
      <c r="D302" s="23"/>
      <c r="E302" s="23"/>
      <c r="F302" s="23"/>
      <c r="G302" s="23"/>
      <c r="H302" s="23"/>
      <c r="I302" s="23"/>
      <c r="J302" s="23"/>
      <c r="K302" s="23"/>
    </row>
    <row r="303" spans="1:11" x14ac:dyDescent="0.25">
      <c r="A303" s="4" t="str">
        <f>IFERROR(category_assignment_2[[#This Row],[category_assignment_id]],"")</f>
        <v/>
      </c>
      <c r="B303" s="23" t="str">
        <f>IFERROR(VLOOKUP(category_assignment_2[[#This Row],[category_id]],#REF!,3,FALSE),"")</f>
        <v/>
      </c>
      <c r="C303" s="23" t="str">
        <f>IFERROR(VLOOKUP(category_assignment_2[[#This Row],[abbreviation_id]],abbreviation[],ColumnLanguage+1,FALSE),"")</f>
        <v/>
      </c>
      <c r="D303" s="23"/>
      <c r="E303" s="23"/>
      <c r="F303" s="23"/>
      <c r="G303" s="23"/>
      <c r="H303" s="23"/>
      <c r="I303" s="23"/>
      <c r="J303" s="23"/>
      <c r="K303" s="23"/>
    </row>
    <row r="304" spans="1:11" x14ac:dyDescent="0.25">
      <c r="A304" s="4" t="str">
        <f>IFERROR(category_assignment_2[[#This Row],[category_assignment_id]],"")</f>
        <v/>
      </c>
      <c r="B304" s="23" t="str">
        <f>IFERROR(VLOOKUP(category_assignment_2[[#This Row],[category_id]],#REF!,3,FALSE),"")</f>
        <v/>
      </c>
      <c r="C304" s="23" t="str">
        <f>IFERROR(VLOOKUP(category_assignment_2[[#This Row],[abbreviation_id]],abbreviation[],ColumnLanguage+1,FALSE),"")</f>
        <v/>
      </c>
      <c r="D304" s="23"/>
      <c r="E304" s="23"/>
      <c r="F304" s="23"/>
      <c r="G304" s="23"/>
      <c r="H304" s="23"/>
      <c r="I304" s="23"/>
      <c r="J304" s="23"/>
      <c r="K304" s="23"/>
    </row>
    <row r="305" spans="1:11" x14ac:dyDescent="0.25">
      <c r="A305" s="4" t="str">
        <f>IFERROR(category_assignment_2[[#This Row],[category_assignment_id]],"")</f>
        <v/>
      </c>
      <c r="B305" s="23" t="str">
        <f>IFERROR(VLOOKUP(category_assignment_2[[#This Row],[category_id]],#REF!,3,FALSE),"")</f>
        <v/>
      </c>
      <c r="C305" s="23" t="str">
        <f>IFERROR(VLOOKUP(category_assignment_2[[#This Row],[abbreviation_id]],abbreviation[],ColumnLanguage+1,FALSE),"")</f>
        <v/>
      </c>
      <c r="D305" s="23"/>
      <c r="E305" s="23"/>
      <c r="F305" s="23"/>
      <c r="G305" s="23"/>
      <c r="H305" s="23"/>
      <c r="I305" s="23"/>
      <c r="J305" s="23"/>
      <c r="K305" s="23"/>
    </row>
    <row r="306" spans="1:11" x14ac:dyDescent="0.25">
      <c r="A306" s="4" t="str">
        <f>IFERROR(category_assignment_2[[#This Row],[category_assignment_id]],"")</f>
        <v/>
      </c>
      <c r="B306" s="23" t="str">
        <f>IFERROR(VLOOKUP(category_assignment_2[[#This Row],[category_id]],#REF!,3,FALSE),"")</f>
        <v/>
      </c>
      <c r="C306" s="23" t="str">
        <f>IFERROR(VLOOKUP(category_assignment_2[[#This Row],[abbreviation_id]],abbreviation[],ColumnLanguage+1,FALSE),"")</f>
        <v/>
      </c>
      <c r="D306" s="23"/>
      <c r="E306" s="23"/>
      <c r="F306" s="23"/>
      <c r="G306" s="23"/>
      <c r="H306" s="23"/>
      <c r="I306" s="23"/>
      <c r="J306" s="23"/>
      <c r="K306" s="23"/>
    </row>
    <row r="307" spans="1:11" x14ac:dyDescent="0.25">
      <c r="A307" s="4" t="str">
        <f>IFERROR(category_assignment_2[[#This Row],[category_assignment_id]],"")</f>
        <v/>
      </c>
      <c r="B307" s="23" t="str">
        <f>IFERROR(VLOOKUP(category_assignment_2[[#This Row],[category_id]],#REF!,3,FALSE),"")</f>
        <v/>
      </c>
      <c r="C307" s="23" t="str">
        <f>IFERROR(VLOOKUP(category_assignment_2[[#This Row],[abbreviation_id]],abbreviation[],ColumnLanguage+1,FALSE),"")</f>
        <v/>
      </c>
      <c r="D307" s="23"/>
      <c r="E307" s="23"/>
      <c r="F307" s="23"/>
      <c r="G307" s="23"/>
      <c r="H307" s="23"/>
      <c r="I307" s="23"/>
      <c r="J307" s="23"/>
      <c r="K307" s="23"/>
    </row>
    <row r="308" spans="1:11" x14ac:dyDescent="0.25">
      <c r="A308" s="4" t="str">
        <f>IFERROR(category_assignment_2[[#This Row],[category_assignment_id]],"")</f>
        <v/>
      </c>
      <c r="B308" s="23" t="str">
        <f>IFERROR(VLOOKUP(category_assignment_2[[#This Row],[category_id]],#REF!,3,FALSE),"")</f>
        <v/>
      </c>
      <c r="C308" s="23" t="str">
        <f>IFERROR(VLOOKUP(category_assignment_2[[#This Row],[abbreviation_id]],abbreviation[],ColumnLanguage+1,FALSE),"")</f>
        <v/>
      </c>
      <c r="D308" s="23"/>
      <c r="E308" s="23"/>
      <c r="F308" s="23"/>
      <c r="G308" s="23"/>
      <c r="H308" s="23"/>
      <c r="I308" s="23"/>
      <c r="J308" s="23"/>
      <c r="K308" s="23"/>
    </row>
    <row r="309" spans="1:11" x14ac:dyDescent="0.25">
      <c r="A309" s="4" t="str">
        <f>IFERROR(category_assignment_2[[#This Row],[category_assignment_id]],"")</f>
        <v/>
      </c>
      <c r="B309" s="23" t="str">
        <f>IFERROR(VLOOKUP(category_assignment_2[[#This Row],[category_id]],#REF!,3,FALSE),"")</f>
        <v/>
      </c>
      <c r="C309" s="23" t="str">
        <f>IFERROR(VLOOKUP(category_assignment_2[[#This Row],[abbreviation_id]],abbreviation[],ColumnLanguage+1,FALSE),"")</f>
        <v/>
      </c>
      <c r="D309" s="23"/>
      <c r="E309" s="23"/>
      <c r="F309" s="23"/>
      <c r="G309" s="23"/>
      <c r="H309" s="23"/>
      <c r="I309" s="23"/>
      <c r="J309" s="23"/>
      <c r="K309" s="23"/>
    </row>
    <row r="310" spans="1:11" x14ac:dyDescent="0.25">
      <c r="A310" s="4" t="str">
        <f>IFERROR(category_assignment_2[[#This Row],[category_assignment_id]],"")</f>
        <v/>
      </c>
      <c r="B310" s="23" t="str">
        <f>IFERROR(VLOOKUP(category_assignment_2[[#This Row],[category_id]],#REF!,3,FALSE),"")</f>
        <v/>
      </c>
      <c r="C310" s="23" t="str">
        <f>IFERROR(VLOOKUP(category_assignment_2[[#This Row],[abbreviation_id]],abbreviation[],ColumnLanguage+1,FALSE),"")</f>
        <v/>
      </c>
      <c r="D310" s="23"/>
      <c r="E310" s="23"/>
      <c r="F310" s="23"/>
      <c r="G310" s="23"/>
      <c r="H310" s="23"/>
      <c r="I310" s="23"/>
      <c r="J310" s="23"/>
      <c r="K310" s="23"/>
    </row>
    <row r="311" spans="1:11" x14ac:dyDescent="0.25">
      <c r="A311" s="4" t="str">
        <f>IFERROR(category_assignment_2[[#This Row],[category_assignment_id]],"")</f>
        <v/>
      </c>
      <c r="B311" s="23" t="str">
        <f>IFERROR(VLOOKUP(category_assignment_2[[#This Row],[category_id]],#REF!,3,FALSE),"")</f>
        <v/>
      </c>
      <c r="C311" s="23" t="str">
        <f>IFERROR(VLOOKUP(category_assignment_2[[#This Row],[abbreviation_id]],abbreviation[],ColumnLanguage+1,FALSE),"")</f>
        <v/>
      </c>
      <c r="D311" s="23"/>
      <c r="E311" s="23"/>
      <c r="F311" s="23"/>
      <c r="G311" s="23"/>
      <c r="H311" s="23"/>
      <c r="I311" s="23"/>
      <c r="J311" s="23"/>
      <c r="K311" s="23"/>
    </row>
    <row r="312" spans="1:11" x14ac:dyDescent="0.25">
      <c r="A312" s="4" t="str">
        <f>IFERROR(category_assignment_2[[#This Row],[category_assignment_id]],"")</f>
        <v/>
      </c>
      <c r="B312" s="23" t="str">
        <f>IFERROR(VLOOKUP(category_assignment_2[[#This Row],[category_id]],#REF!,3,FALSE),"")</f>
        <v/>
      </c>
      <c r="C312" s="23" t="str">
        <f>IFERROR(VLOOKUP(category_assignment_2[[#This Row],[abbreviation_id]],abbreviation[],ColumnLanguage+1,FALSE),"")</f>
        <v/>
      </c>
      <c r="D312" s="23"/>
      <c r="E312" s="23"/>
      <c r="F312" s="23"/>
      <c r="G312" s="23"/>
      <c r="H312" s="23"/>
      <c r="I312" s="23"/>
      <c r="J312" s="23"/>
      <c r="K312" s="23"/>
    </row>
    <row r="313" spans="1:11" x14ac:dyDescent="0.25">
      <c r="A313" s="4" t="str">
        <f>IFERROR(category_assignment_2[[#This Row],[category_assignment_id]],"")</f>
        <v/>
      </c>
      <c r="B313" s="23" t="str">
        <f>IFERROR(VLOOKUP(category_assignment_2[[#This Row],[category_id]],#REF!,3,FALSE),"")</f>
        <v/>
      </c>
      <c r="C313" s="23" t="str">
        <f>IFERROR(VLOOKUP(category_assignment_2[[#This Row],[abbreviation_id]],abbreviation[],ColumnLanguage+1,FALSE),"")</f>
        <v/>
      </c>
      <c r="D313" s="23"/>
      <c r="E313" s="23"/>
      <c r="F313" s="23"/>
      <c r="G313" s="23"/>
      <c r="H313" s="23"/>
      <c r="I313" s="23"/>
      <c r="J313" s="23"/>
      <c r="K313" s="23"/>
    </row>
    <row r="314" spans="1:11" x14ac:dyDescent="0.25">
      <c r="A314" s="4" t="str">
        <f>IFERROR(category_assignment_2[[#This Row],[category_assignment_id]],"")</f>
        <v/>
      </c>
      <c r="B314" s="23" t="str">
        <f>IFERROR(VLOOKUP(category_assignment_2[[#This Row],[category_id]],#REF!,3,FALSE),"")</f>
        <v/>
      </c>
      <c r="C314" s="23" t="str">
        <f>IFERROR(VLOOKUP(category_assignment_2[[#This Row],[abbreviation_id]],abbreviation[],ColumnLanguage+1,FALSE),"")</f>
        <v/>
      </c>
      <c r="D314" s="23"/>
      <c r="E314" s="23"/>
      <c r="F314" s="23"/>
      <c r="G314" s="23"/>
      <c r="H314" s="23"/>
      <c r="I314" s="23"/>
      <c r="J314" s="23"/>
      <c r="K314" s="23"/>
    </row>
    <row r="315" spans="1:11" x14ac:dyDescent="0.25">
      <c r="A315" s="4" t="str">
        <f>IFERROR(category_assignment_2[[#This Row],[category_assignment_id]],"")</f>
        <v/>
      </c>
      <c r="B315" s="23" t="str">
        <f>IFERROR(VLOOKUP(category_assignment_2[[#This Row],[category_id]],#REF!,3,FALSE),"")</f>
        <v/>
      </c>
      <c r="C315" s="23" t="str">
        <f>IFERROR(VLOOKUP(category_assignment_2[[#This Row],[abbreviation_id]],abbreviation[],ColumnLanguage+1,FALSE),"")</f>
        <v/>
      </c>
      <c r="D315" s="23"/>
      <c r="E315" s="23"/>
      <c r="F315" s="23"/>
      <c r="G315" s="23"/>
      <c r="H315" s="23"/>
      <c r="I315" s="23"/>
      <c r="J315" s="23"/>
      <c r="K315" s="23"/>
    </row>
    <row r="316" spans="1:11" x14ac:dyDescent="0.25">
      <c r="A316" s="4" t="str">
        <f>IFERROR(category_assignment_2[[#This Row],[category_assignment_id]],"")</f>
        <v/>
      </c>
      <c r="B316" s="23" t="str">
        <f>IFERROR(VLOOKUP(category_assignment_2[[#This Row],[category_id]],#REF!,3,FALSE),"")</f>
        <v/>
      </c>
      <c r="C316" s="23" t="str">
        <f>IFERROR(VLOOKUP(category_assignment_2[[#This Row],[abbreviation_id]],abbreviation[],ColumnLanguage+1,FALSE),"")</f>
        <v/>
      </c>
      <c r="D316" s="23"/>
      <c r="E316" s="23"/>
      <c r="F316" s="23"/>
      <c r="G316" s="23"/>
      <c r="H316" s="23"/>
      <c r="I316" s="23"/>
      <c r="J316" s="23"/>
      <c r="K316" s="23"/>
    </row>
    <row r="317" spans="1:11" x14ac:dyDescent="0.25">
      <c r="A317" s="4" t="str">
        <f>IFERROR(category_assignment_2[[#This Row],[category_assignment_id]],"")</f>
        <v/>
      </c>
      <c r="B317" s="23" t="str">
        <f>IFERROR(VLOOKUP(category_assignment_2[[#This Row],[category_id]],#REF!,3,FALSE),"")</f>
        <v/>
      </c>
      <c r="C317" s="23" t="str">
        <f>IFERROR(VLOOKUP(category_assignment_2[[#This Row],[abbreviation_id]],abbreviation[],ColumnLanguage+1,FALSE),"")</f>
        <v/>
      </c>
      <c r="D317" s="23"/>
      <c r="E317" s="23"/>
      <c r="F317" s="23"/>
      <c r="G317" s="23"/>
      <c r="H317" s="23"/>
      <c r="I317" s="23"/>
      <c r="J317" s="23"/>
      <c r="K317" s="23"/>
    </row>
    <row r="318" spans="1:11" x14ac:dyDescent="0.25">
      <c r="A318" s="4" t="str">
        <f>IFERROR(category_assignment_2[[#This Row],[category_assignment_id]],"")</f>
        <v/>
      </c>
      <c r="B318" s="23" t="str">
        <f>IFERROR(VLOOKUP(category_assignment_2[[#This Row],[category_id]],#REF!,3,FALSE),"")</f>
        <v/>
      </c>
      <c r="C318" s="23" t="str">
        <f>IFERROR(VLOOKUP(category_assignment_2[[#This Row],[abbreviation_id]],abbreviation[],ColumnLanguage+1,FALSE),"")</f>
        <v/>
      </c>
      <c r="D318" s="23"/>
      <c r="E318" s="23"/>
      <c r="F318" s="23"/>
      <c r="G318" s="23"/>
      <c r="H318" s="23"/>
      <c r="I318" s="23"/>
      <c r="J318" s="23"/>
      <c r="K318" s="23"/>
    </row>
    <row r="319" spans="1:11" x14ac:dyDescent="0.25">
      <c r="A319" s="4" t="str">
        <f>IFERROR(category_assignment_2[[#This Row],[category_assignment_id]],"")</f>
        <v/>
      </c>
      <c r="B319" s="23" t="str">
        <f>IFERROR(VLOOKUP(category_assignment_2[[#This Row],[category_id]],#REF!,3,FALSE),"")</f>
        <v/>
      </c>
      <c r="C319" s="23" t="str">
        <f>IFERROR(VLOOKUP(category_assignment_2[[#This Row],[abbreviation_id]],abbreviation[],ColumnLanguage+1,FALSE),"")</f>
        <v/>
      </c>
      <c r="D319" s="23"/>
      <c r="E319" s="23"/>
      <c r="F319" s="23"/>
      <c r="G319" s="23"/>
      <c r="H319" s="23"/>
      <c r="I319" s="23"/>
      <c r="J319" s="23"/>
      <c r="K319" s="23"/>
    </row>
    <row r="320" spans="1:11" x14ac:dyDescent="0.25">
      <c r="A320" s="4" t="str">
        <f>IFERROR(category_assignment_2[[#This Row],[category_assignment_id]],"")</f>
        <v/>
      </c>
      <c r="B320" s="23" t="str">
        <f>IFERROR(VLOOKUP(category_assignment_2[[#This Row],[category_id]],#REF!,3,FALSE),"")</f>
        <v/>
      </c>
      <c r="C320" s="23" t="str">
        <f>IFERROR(VLOOKUP(category_assignment_2[[#This Row],[abbreviation_id]],abbreviation[],ColumnLanguage+1,FALSE),"")</f>
        <v/>
      </c>
      <c r="D320" s="23"/>
      <c r="E320" s="23"/>
      <c r="F320" s="23"/>
      <c r="G320" s="23"/>
      <c r="H320" s="23"/>
      <c r="I320" s="23"/>
      <c r="J320" s="23"/>
      <c r="K320" s="23"/>
    </row>
    <row r="321" spans="1:11" x14ac:dyDescent="0.25">
      <c r="A321" s="4" t="str">
        <f>IFERROR(category_assignment_2[[#This Row],[category_assignment_id]],"")</f>
        <v/>
      </c>
      <c r="B321" s="23" t="str">
        <f>IFERROR(VLOOKUP(category_assignment_2[[#This Row],[category_id]],#REF!,3,FALSE),"")</f>
        <v/>
      </c>
      <c r="C321" s="23" t="str">
        <f>IFERROR(VLOOKUP(category_assignment_2[[#This Row],[abbreviation_id]],abbreviation[],ColumnLanguage+1,FALSE),"")</f>
        <v/>
      </c>
      <c r="D321" s="23"/>
      <c r="E321" s="23"/>
      <c r="F321" s="23"/>
      <c r="G321" s="23"/>
      <c r="H321" s="23"/>
      <c r="I321" s="23"/>
      <c r="J321" s="23"/>
      <c r="K321" s="23"/>
    </row>
    <row r="322" spans="1:11" x14ac:dyDescent="0.25">
      <c r="A322" s="4" t="str">
        <f>IFERROR(category_assignment_2[[#This Row],[category_assignment_id]],"")</f>
        <v/>
      </c>
      <c r="B322" s="23" t="str">
        <f>IFERROR(VLOOKUP(category_assignment_2[[#This Row],[category_id]],#REF!,3,FALSE),"")</f>
        <v/>
      </c>
      <c r="C322" s="23" t="str">
        <f>IFERROR(VLOOKUP(category_assignment_2[[#This Row],[abbreviation_id]],abbreviation[],ColumnLanguage+1,FALSE),"")</f>
        <v/>
      </c>
      <c r="D322" s="23"/>
      <c r="E322" s="23"/>
      <c r="F322" s="23"/>
      <c r="G322" s="23"/>
      <c r="H322" s="23"/>
      <c r="I322" s="23"/>
      <c r="J322" s="23"/>
      <c r="K322" s="23"/>
    </row>
    <row r="323" spans="1:11" x14ac:dyDescent="0.25">
      <c r="A323" s="4" t="str">
        <f>IFERROR(category_assignment_2[[#This Row],[category_assignment_id]],"")</f>
        <v/>
      </c>
      <c r="B323" s="23" t="str">
        <f>IFERROR(VLOOKUP(category_assignment_2[[#This Row],[category_id]],#REF!,3,FALSE),"")</f>
        <v/>
      </c>
      <c r="C323" s="23" t="str">
        <f>IFERROR(VLOOKUP(category_assignment_2[[#This Row],[abbreviation_id]],abbreviation[],ColumnLanguage+1,FALSE),"")</f>
        <v/>
      </c>
      <c r="D323" s="23"/>
      <c r="E323" s="23"/>
      <c r="F323" s="23"/>
      <c r="G323" s="23"/>
      <c r="H323" s="23"/>
      <c r="I323" s="23"/>
      <c r="J323" s="23"/>
      <c r="K323" s="23"/>
    </row>
    <row r="324" spans="1:11" x14ac:dyDescent="0.25">
      <c r="A324" s="4" t="str">
        <f>IFERROR(category_assignment_2[[#This Row],[category_assignment_id]],"")</f>
        <v/>
      </c>
      <c r="B324" s="23" t="str">
        <f>IFERROR(VLOOKUP(category_assignment_2[[#This Row],[category_id]],#REF!,3,FALSE),"")</f>
        <v/>
      </c>
      <c r="C324" s="23" t="str">
        <f>IFERROR(VLOOKUP(category_assignment_2[[#This Row],[abbreviation_id]],abbreviation[],ColumnLanguage+1,FALSE),"")</f>
        <v/>
      </c>
      <c r="D324" s="23"/>
      <c r="E324" s="23"/>
      <c r="F324" s="23"/>
      <c r="G324" s="23"/>
      <c r="H324" s="23"/>
      <c r="I324" s="23"/>
      <c r="J324" s="23"/>
      <c r="K324" s="23"/>
    </row>
    <row r="325" spans="1:11" x14ac:dyDescent="0.25">
      <c r="A325" s="4" t="str">
        <f>IFERROR(category_assignment_2[[#This Row],[category_assignment_id]],"")</f>
        <v/>
      </c>
      <c r="B325" s="23" t="str">
        <f>IFERROR(VLOOKUP(category_assignment_2[[#This Row],[category_id]],#REF!,3,FALSE),"")</f>
        <v/>
      </c>
      <c r="C325" s="23" t="str">
        <f>IFERROR(VLOOKUP(category_assignment_2[[#This Row],[abbreviation_id]],abbreviation[],ColumnLanguage+1,FALSE),"")</f>
        <v/>
      </c>
      <c r="D325" s="23"/>
      <c r="E325" s="23"/>
      <c r="F325" s="23"/>
      <c r="G325" s="23"/>
      <c r="H325" s="23"/>
      <c r="I325" s="23"/>
      <c r="J325" s="23"/>
      <c r="K325" s="23"/>
    </row>
    <row r="326" spans="1:11" x14ac:dyDescent="0.25">
      <c r="A326" s="4" t="str">
        <f>IFERROR(category_assignment_2[[#This Row],[category_assignment_id]],"")</f>
        <v/>
      </c>
      <c r="B326" s="23" t="str">
        <f>IFERROR(VLOOKUP(category_assignment_2[[#This Row],[category_id]],#REF!,3,FALSE),"")</f>
        <v/>
      </c>
      <c r="C326" s="23" t="str">
        <f>IFERROR(VLOOKUP(category_assignment_2[[#This Row],[abbreviation_id]],abbreviation[],ColumnLanguage+1,FALSE),"")</f>
        <v/>
      </c>
      <c r="D326" s="23"/>
      <c r="E326" s="23"/>
      <c r="F326" s="23"/>
      <c r="G326" s="23"/>
      <c r="H326" s="23"/>
      <c r="I326" s="23"/>
      <c r="J326" s="23"/>
      <c r="K326" s="23"/>
    </row>
    <row r="327" spans="1:11" x14ac:dyDescent="0.25">
      <c r="A327" s="4" t="str">
        <f>IFERROR(category_assignment_2[[#This Row],[category_assignment_id]],"")</f>
        <v/>
      </c>
      <c r="B327" s="23" t="str">
        <f>IFERROR(VLOOKUP(category_assignment_2[[#This Row],[category_id]],#REF!,3,FALSE),"")</f>
        <v/>
      </c>
      <c r="C327" s="23" t="str">
        <f>IFERROR(VLOOKUP(category_assignment_2[[#This Row],[abbreviation_id]],abbreviation[],ColumnLanguage+1,FALSE),"")</f>
        <v/>
      </c>
      <c r="D327" s="23"/>
      <c r="E327" s="23"/>
      <c r="F327" s="23"/>
      <c r="G327" s="23"/>
      <c r="H327" s="23"/>
      <c r="I327" s="23"/>
      <c r="J327" s="23"/>
      <c r="K327" s="23"/>
    </row>
    <row r="328" spans="1:11" x14ac:dyDescent="0.25">
      <c r="A328" s="4" t="str">
        <f>IFERROR(category_assignment_2[[#This Row],[category_assignment_id]],"")</f>
        <v/>
      </c>
      <c r="B328" s="23" t="str">
        <f>IFERROR(VLOOKUP(category_assignment_2[[#This Row],[category_id]],#REF!,3,FALSE),"")</f>
        <v/>
      </c>
      <c r="C328" s="23" t="str">
        <f>IFERROR(VLOOKUP(category_assignment_2[[#This Row],[abbreviation_id]],abbreviation[],ColumnLanguage+1,FALSE),"")</f>
        <v/>
      </c>
      <c r="D328" s="23"/>
      <c r="E328" s="23"/>
      <c r="F328" s="23"/>
      <c r="G328" s="23"/>
      <c r="H328" s="23"/>
      <c r="I328" s="23"/>
      <c r="J328" s="23"/>
      <c r="K328" s="23"/>
    </row>
    <row r="329" spans="1:11" x14ac:dyDescent="0.25">
      <c r="A329" s="4" t="str">
        <f>IFERROR(category_assignment_2[[#This Row],[category_assignment_id]],"")</f>
        <v/>
      </c>
      <c r="B329" s="23" t="str">
        <f>IFERROR(VLOOKUP(category_assignment_2[[#This Row],[category_id]],#REF!,3,FALSE),"")</f>
        <v/>
      </c>
      <c r="C329" s="23" t="str">
        <f>IFERROR(VLOOKUP(category_assignment_2[[#This Row],[abbreviation_id]],abbreviation[],ColumnLanguage+1,FALSE),"")</f>
        <v/>
      </c>
      <c r="D329" s="23"/>
      <c r="E329" s="23"/>
      <c r="F329" s="23"/>
      <c r="G329" s="23"/>
      <c r="H329" s="23"/>
      <c r="I329" s="23"/>
      <c r="J329" s="23"/>
      <c r="K329" s="23"/>
    </row>
    <row r="330" spans="1:11" x14ac:dyDescent="0.25">
      <c r="A330" s="4" t="str">
        <f>IFERROR(category_assignment_2[[#This Row],[category_assignment_id]],"")</f>
        <v/>
      </c>
      <c r="B330" s="23" t="str">
        <f>IFERROR(VLOOKUP(category_assignment_2[[#This Row],[category_id]],#REF!,3,FALSE),"")</f>
        <v/>
      </c>
      <c r="C330" s="23" t="str">
        <f>IFERROR(VLOOKUP(category_assignment_2[[#This Row],[abbreviation_id]],abbreviation[],ColumnLanguage+1,FALSE),"")</f>
        <v/>
      </c>
      <c r="D330" s="23"/>
      <c r="E330" s="23"/>
      <c r="F330" s="23"/>
      <c r="G330" s="23"/>
      <c r="H330" s="23"/>
      <c r="I330" s="23"/>
      <c r="J330" s="23"/>
      <c r="K330" s="23"/>
    </row>
    <row r="331" spans="1:11" x14ac:dyDescent="0.25">
      <c r="A331" s="4" t="str">
        <f>IFERROR(category_assignment_2[[#This Row],[category_assignment_id]],"")</f>
        <v/>
      </c>
      <c r="B331" s="23" t="str">
        <f>IFERROR(VLOOKUP(category_assignment_2[[#This Row],[category_id]],#REF!,3,FALSE),"")</f>
        <v/>
      </c>
      <c r="C331" s="23" t="str">
        <f>IFERROR(VLOOKUP(category_assignment_2[[#This Row],[abbreviation_id]],abbreviation[],ColumnLanguage+1,FALSE),"")</f>
        <v/>
      </c>
      <c r="D331" s="23"/>
      <c r="E331" s="23"/>
      <c r="F331" s="23"/>
      <c r="G331" s="23"/>
      <c r="H331" s="23"/>
      <c r="I331" s="23"/>
      <c r="J331" s="23"/>
      <c r="K331" s="23"/>
    </row>
    <row r="332" spans="1:11" x14ac:dyDescent="0.25">
      <c r="A332" s="4" t="str">
        <f>IFERROR(category_assignment_2[[#This Row],[category_assignment_id]],"")</f>
        <v/>
      </c>
      <c r="B332" s="23" t="str">
        <f>IFERROR(VLOOKUP(category_assignment_2[[#This Row],[category_id]],#REF!,3,FALSE),"")</f>
        <v/>
      </c>
      <c r="C332" s="23" t="str">
        <f>IFERROR(VLOOKUP(category_assignment_2[[#This Row],[abbreviation_id]],abbreviation[],ColumnLanguage+1,FALSE),"")</f>
        <v/>
      </c>
      <c r="D332" s="23"/>
      <c r="E332" s="23"/>
      <c r="F332" s="23"/>
      <c r="G332" s="23"/>
      <c r="H332" s="23"/>
      <c r="I332" s="23"/>
      <c r="J332" s="23"/>
      <c r="K332" s="23"/>
    </row>
    <row r="333" spans="1:11" x14ac:dyDescent="0.25">
      <c r="A333" s="4" t="str">
        <f>IFERROR(category_assignment_2[[#This Row],[category_assignment_id]],"")</f>
        <v/>
      </c>
      <c r="B333" s="23" t="str">
        <f>IFERROR(VLOOKUP(category_assignment_2[[#This Row],[category_id]],#REF!,3,FALSE),"")</f>
        <v/>
      </c>
      <c r="C333" s="23" t="str">
        <f>IFERROR(VLOOKUP(category_assignment_2[[#This Row],[abbreviation_id]],abbreviation[],ColumnLanguage+1,FALSE),"")</f>
        <v/>
      </c>
      <c r="D333" s="23"/>
      <c r="E333" s="23"/>
      <c r="F333" s="23"/>
      <c r="G333" s="23"/>
      <c r="H333" s="23"/>
      <c r="I333" s="23"/>
      <c r="J333" s="23"/>
      <c r="K333" s="23"/>
    </row>
    <row r="334" spans="1:11" x14ac:dyDescent="0.25">
      <c r="A334" s="4" t="str">
        <f>IFERROR(category_assignment_2[[#This Row],[category_assignment_id]],"")</f>
        <v/>
      </c>
      <c r="B334" s="23" t="str">
        <f>IFERROR(VLOOKUP(category_assignment_2[[#This Row],[category_id]],#REF!,3,FALSE),"")</f>
        <v/>
      </c>
      <c r="C334" s="23" t="str">
        <f>IFERROR(VLOOKUP(category_assignment_2[[#This Row],[abbreviation_id]],abbreviation[],ColumnLanguage+1,FALSE),"")</f>
        <v/>
      </c>
      <c r="D334" s="23"/>
      <c r="E334" s="23"/>
      <c r="F334" s="23"/>
      <c r="G334" s="23"/>
      <c r="H334" s="23"/>
      <c r="I334" s="23"/>
      <c r="J334" s="23"/>
      <c r="K334" s="23"/>
    </row>
    <row r="335" spans="1:11" x14ac:dyDescent="0.25">
      <c r="A335" s="4" t="str">
        <f>IFERROR(category_assignment_2[[#This Row],[category_assignment_id]],"")</f>
        <v/>
      </c>
      <c r="B335" s="23" t="str">
        <f>IFERROR(VLOOKUP(category_assignment_2[[#This Row],[category_id]],#REF!,3,FALSE),"")</f>
        <v/>
      </c>
      <c r="C335" s="23" t="str">
        <f>IFERROR(VLOOKUP(category_assignment_2[[#This Row],[abbreviation_id]],abbreviation[],ColumnLanguage+1,FALSE),"")</f>
        <v/>
      </c>
      <c r="D335" s="23"/>
      <c r="E335" s="23"/>
      <c r="F335" s="23"/>
      <c r="G335" s="23"/>
      <c r="H335" s="23"/>
      <c r="I335" s="23"/>
      <c r="J335" s="23"/>
      <c r="K335" s="23"/>
    </row>
    <row r="336" spans="1:11" x14ac:dyDescent="0.25">
      <c r="A336" s="4" t="str">
        <f>IFERROR(category_assignment_2[[#This Row],[category_assignment_id]],"")</f>
        <v/>
      </c>
      <c r="B336" s="23" t="str">
        <f>IFERROR(VLOOKUP(category_assignment_2[[#This Row],[category_id]],#REF!,3,FALSE),"")</f>
        <v/>
      </c>
      <c r="C336" s="23" t="str">
        <f>IFERROR(VLOOKUP(category_assignment_2[[#This Row],[abbreviation_id]],abbreviation[],ColumnLanguage+1,FALSE),"")</f>
        <v/>
      </c>
      <c r="D336" s="23"/>
      <c r="E336" s="23"/>
      <c r="F336" s="23"/>
      <c r="G336" s="23"/>
      <c r="H336" s="23"/>
      <c r="I336" s="23"/>
      <c r="J336" s="23"/>
      <c r="K336" s="23"/>
    </row>
    <row r="337" spans="1:11" x14ac:dyDescent="0.25">
      <c r="A337" s="4" t="str">
        <f>IFERROR(category_assignment_2[[#This Row],[category_assignment_id]],"")</f>
        <v/>
      </c>
      <c r="B337" s="23" t="str">
        <f>IFERROR(VLOOKUP(category_assignment_2[[#This Row],[category_id]],#REF!,3,FALSE),"")</f>
        <v/>
      </c>
      <c r="C337" s="23" t="str">
        <f>IFERROR(VLOOKUP(category_assignment_2[[#This Row],[abbreviation_id]],abbreviation[],ColumnLanguage+1,FALSE),"")</f>
        <v/>
      </c>
      <c r="D337" s="23"/>
      <c r="E337" s="23"/>
      <c r="F337" s="23"/>
      <c r="G337" s="23"/>
      <c r="H337" s="23"/>
      <c r="I337" s="23"/>
      <c r="J337" s="23"/>
      <c r="K337" s="23"/>
    </row>
    <row r="338" spans="1:11" x14ac:dyDescent="0.25">
      <c r="A338" s="4" t="str">
        <f>IFERROR(category_assignment_2[[#This Row],[category_assignment_id]],"")</f>
        <v/>
      </c>
      <c r="B338" s="23" t="str">
        <f>IFERROR(VLOOKUP(category_assignment_2[[#This Row],[category_id]],#REF!,3,FALSE),"")</f>
        <v/>
      </c>
      <c r="C338" s="23" t="str">
        <f>IFERROR(VLOOKUP(category_assignment_2[[#This Row],[abbreviation_id]],abbreviation[],ColumnLanguage+1,FALSE),"")</f>
        <v/>
      </c>
      <c r="D338" s="23"/>
      <c r="E338" s="23"/>
      <c r="F338" s="23"/>
      <c r="G338" s="23"/>
      <c r="H338" s="23"/>
      <c r="I338" s="23"/>
      <c r="J338" s="23"/>
      <c r="K338" s="23"/>
    </row>
    <row r="339" spans="1:11" x14ac:dyDescent="0.25">
      <c r="A339" s="4" t="str">
        <f>IFERROR(category_assignment_2[[#This Row],[category_assignment_id]],"")</f>
        <v/>
      </c>
      <c r="B339" s="23" t="str">
        <f>IFERROR(VLOOKUP(category_assignment_2[[#This Row],[category_id]],#REF!,3,FALSE),"")</f>
        <v/>
      </c>
      <c r="C339" s="23" t="str">
        <f>IFERROR(VLOOKUP(category_assignment_2[[#This Row],[abbreviation_id]],abbreviation[],ColumnLanguage+1,FALSE),"")</f>
        <v/>
      </c>
      <c r="D339" s="23"/>
      <c r="E339" s="23"/>
      <c r="F339" s="23"/>
      <c r="G339" s="23"/>
      <c r="H339" s="23"/>
      <c r="I339" s="23"/>
      <c r="J339" s="23"/>
      <c r="K339" s="23"/>
    </row>
    <row r="340" spans="1:11" x14ac:dyDescent="0.25">
      <c r="A340" s="4" t="str">
        <f>IFERROR(category_assignment_2[[#This Row],[category_assignment_id]],"")</f>
        <v/>
      </c>
      <c r="B340" s="23" t="str">
        <f>IFERROR(VLOOKUP(category_assignment_2[[#This Row],[category_id]],#REF!,3,FALSE),"")</f>
        <v/>
      </c>
      <c r="C340" s="23" t="str">
        <f>IFERROR(VLOOKUP(category_assignment_2[[#This Row],[abbreviation_id]],abbreviation[],ColumnLanguage+1,FALSE),"")</f>
        <v/>
      </c>
      <c r="D340" s="23"/>
      <c r="E340" s="23"/>
      <c r="F340" s="23"/>
      <c r="G340" s="23"/>
      <c r="H340" s="23"/>
      <c r="I340" s="23"/>
      <c r="J340" s="23"/>
      <c r="K340" s="23"/>
    </row>
    <row r="341" spans="1:11" x14ac:dyDescent="0.25">
      <c r="A341" s="4" t="str">
        <f>IFERROR(category_assignment_2[[#This Row],[category_assignment_id]],"")</f>
        <v/>
      </c>
      <c r="B341" s="23" t="str">
        <f>IFERROR(VLOOKUP(category_assignment_2[[#This Row],[category_id]],#REF!,3,FALSE),"")</f>
        <v/>
      </c>
      <c r="C341" s="23" t="str">
        <f>IFERROR(VLOOKUP(category_assignment_2[[#This Row],[abbreviation_id]],abbreviation[],ColumnLanguage+1,FALSE),"")</f>
        <v/>
      </c>
      <c r="D341" s="23"/>
      <c r="E341" s="23"/>
      <c r="F341" s="23"/>
      <c r="G341" s="23"/>
      <c r="H341" s="23"/>
      <c r="I341" s="23"/>
      <c r="J341" s="23"/>
      <c r="K341" s="23"/>
    </row>
    <row r="342" spans="1:11" x14ac:dyDescent="0.25">
      <c r="A342" s="4" t="str">
        <f>IFERROR(category_assignment_2[[#This Row],[category_assignment_id]],"")</f>
        <v/>
      </c>
      <c r="B342" s="23" t="str">
        <f>IFERROR(VLOOKUP(category_assignment_2[[#This Row],[category_id]],#REF!,3,FALSE),"")</f>
        <v/>
      </c>
      <c r="C342" s="23" t="str">
        <f>IFERROR(VLOOKUP(category_assignment_2[[#This Row],[abbreviation_id]],abbreviation[],ColumnLanguage+1,FALSE),"")</f>
        <v/>
      </c>
      <c r="D342" s="23"/>
      <c r="E342" s="23"/>
      <c r="F342" s="23"/>
      <c r="G342" s="23"/>
      <c r="H342" s="23"/>
      <c r="I342" s="23"/>
      <c r="J342" s="23"/>
      <c r="K342" s="23"/>
    </row>
    <row r="343" spans="1:11" x14ac:dyDescent="0.25">
      <c r="A343" s="4" t="str">
        <f>IFERROR(category_assignment_2[[#This Row],[category_assignment_id]],"")</f>
        <v/>
      </c>
      <c r="B343" s="23" t="str">
        <f>IFERROR(VLOOKUP(category_assignment_2[[#This Row],[category_id]],#REF!,3,FALSE),"")</f>
        <v/>
      </c>
      <c r="C343" s="23" t="str">
        <f>IFERROR(VLOOKUP(category_assignment_2[[#This Row],[abbreviation_id]],abbreviation[],ColumnLanguage+1,FALSE),"")</f>
        <v/>
      </c>
      <c r="D343" s="23"/>
      <c r="E343" s="23"/>
      <c r="F343" s="23"/>
      <c r="G343" s="23"/>
      <c r="H343" s="23"/>
      <c r="I343" s="23"/>
      <c r="J343" s="23"/>
      <c r="K343" s="23"/>
    </row>
    <row r="344" spans="1:11" x14ac:dyDescent="0.25">
      <c r="A344" s="4" t="str">
        <f>IFERROR(category_assignment_2[[#This Row],[category_assignment_id]],"")</f>
        <v/>
      </c>
      <c r="B344" s="23" t="str">
        <f>IFERROR(VLOOKUP(category_assignment_2[[#This Row],[category_id]],#REF!,3,FALSE),"")</f>
        <v/>
      </c>
      <c r="C344" s="23" t="str">
        <f>IFERROR(VLOOKUP(category_assignment_2[[#This Row],[abbreviation_id]],abbreviation[],ColumnLanguage+1,FALSE),"")</f>
        <v/>
      </c>
      <c r="D344" s="23"/>
      <c r="E344" s="23"/>
      <c r="F344" s="23"/>
      <c r="G344" s="23"/>
      <c r="H344" s="23"/>
      <c r="I344" s="23"/>
      <c r="J344" s="23"/>
      <c r="K344" s="23"/>
    </row>
    <row r="345" spans="1:11" x14ac:dyDescent="0.25">
      <c r="A345" s="4" t="str">
        <f>IFERROR(category_assignment_2[[#This Row],[category_assignment_id]],"")</f>
        <v/>
      </c>
      <c r="B345" s="23" t="str">
        <f>IFERROR(VLOOKUP(category_assignment_2[[#This Row],[category_id]],#REF!,3,FALSE),"")</f>
        <v/>
      </c>
      <c r="C345" s="23" t="str">
        <f>IFERROR(VLOOKUP(category_assignment_2[[#This Row],[abbreviation_id]],abbreviation[],ColumnLanguage+1,FALSE),"")</f>
        <v/>
      </c>
      <c r="D345" s="23"/>
      <c r="E345" s="23"/>
      <c r="F345" s="23"/>
      <c r="G345" s="23"/>
      <c r="H345" s="23"/>
      <c r="I345" s="23"/>
      <c r="J345" s="23"/>
      <c r="K345" s="23"/>
    </row>
    <row r="346" spans="1:11" x14ac:dyDescent="0.25">
      <c r="A346" s="4" t="str">
        <f>IFERROR(category_assignment_2[[#This Row],[category_assignment_id]],"")</f>
        <v/>
      </c>
      <c r="B346" s="23" t="str">
        <f>IFERROR(VLOOKUP(category_assignment_2[[#This Row],[category_id]],#REF!,3,FALSE),"")</f>
        <v/>
      </c>
      <c r="C346" s="23" t="str">
        <f>IFERROR(VLOOKUP(category_assignment_2[[#This Row],[abbreviation_id]],abbreviation[],ColumnLanguage+1,FALSE),"")</f>
        <v/>
      </c>
      <c r="D346" s="23"/>
      <c r="E346" s="23"/>
      <c r="F346" s="23"/>
      <c r="G346" s="23"/>
      <c r="H346" s="23"/>
      <c r="I346" s="23"/>
      <c r="J346" s="23"/>
      <c r="K346" s="23"/>
    </row>
    <row r="347" spans="1:11" x14ac:dyDescent="0.25">
      <c r="A347" s="4" t="str">
        <f>IFERROR(category_assignment_2[[#This Row],[category_assignment_id]],"")</f>
        <v/>
      </c>
      <c r="B347" s="23" t="str">
        <f>IFERROR(VLOOKUP(category_assignment_2[[#This Row],[category_id]],#REF!,3,FALSE),"")</f>
        <v/>
      </c>
      <c r="C347" s="23" t="str">
        <f>IFERROR(VLOOKUP(category_assignment_2[[#This Row],[abbreviation_id]],abbreviation[],ColumnLanguage+1,FALSE),"")</f>
        <v/>
      </c>
      <c r="D347" s="23"/>
      <c r="E347" s="23"/>
      <c r="F347" s="23"/>
      <c r="G347" s="23"/>
      <c r="H347" s="23"/>
      <c r="I347" s="23"/>
      <c r="J347" s="23"/>
      <c r="K347" s="23"/>
    </row>
    <row r="348" spans="1:11" x14ac:dyDescent="0.25">
      <c r="A348" s="4" t="str">
        <f>IFERROR(category_assignment_2[[#This Row],[category_assignment_id]],"")</f>
        <v/>
      </c>
      <c r="B348" s="23" t="str">
        <f>IFERROR(VLOOKUP(category_assignment_2[[#This Row],[category_id]],#REF!,3,FALSE),"")</f>
        <v/>
      </c>
      <c r="C348" s="23" t="str">
        <f>IFERROR(VLOOKUP(category_assignment_2[[#This Row],[abbreviation_id]],abbreviation[],ColumnLanguage+1,FALSE),"")</f>
        <v/>
      </c>
      <c r="D348" s="23"/>
      <c r="E348" s="23"/>
      <c r="F348" s="23"/>
      <c r="G348" s="23"/>
      <c r="H348" s="23"/>
      <c r="I348" s="23"/>
      <c r="J348" s="23"/>
      <c r="K348" s="23"/>
    </row>
    <row r="349" spans="1:11" x14ac:dyDescent="0.25">
      <c r="A349" s="4" t="str">
        <f>IFERROR(category_assignment_2[[#This Row],[category_assignment_id]],"")</f>
        <v/>
      </c>
      <c r="B349" s="23" t="str">
        <f>IFERROR(VLOOKUP(category_assignment_2[[#This Row],[category_id]],#REF!,3,FALSE),"")</f>
        <v/>
      </c>
      <c r="C349" s="23" t="str">
        <f>IFERROR(VLOOKUP(category_assignment_2[[#This Row],[abbreviation_id]],abbreviation[],ColumnLanguage+1,FALSE),"")</f>
        <v/>
      </c>
      <c r="D349" s="23"/>
      <c r="E349" s="23"/>
      <c r="F349" s="23"/>
      <c r="G349" s="23"/>
      <c r="H349" s="23"/>
      <c r="I349" s="23"/>
      <c r="J349" s="23"/>
      <c r="K349" s="23"/>
    </row>
    <row r="350" spans="1:11" x14ac:dyDescent="0.25">
      <c r="A350" s="4" t="str">
        <f>IFERROR(category_assignment_2[[#This Row],[category_assignment_id]],"")</f>
        <v/>
      </c>
      <c r="B350" s="23" t="str">
        <f>IFERROR(VLOOKUP(category_assignment_2[[#This Row],[category_id]],#REF!,3,FALSE),"")</f>
        <v/>
      </c>
      <c r="C350" s="23" t="str">
        <f>IFERROR(VLOOKUP(category_assignment_2[[#This Row],[abbreviation_id]],abbreviation[],ColumnLanguage+1,FALSE),"")</f>
        <v/>
      </c>
      <c r="D350" s="23"/>
      <c r="E350" s="23"/>
      <c r="F350" s="23"/>
      <c r="G350" s="23"/>
      <c r="H350" s="23"/>
      <c r="I350" s="23"/>
      <c r="J350" s="23"/>
      <c r="K350" s="23"/>
    </row>
    <row r="351" spans="1:11" x14ac:dyDescent="0.25">
      <c r="A351" s="4" t="str">
        <f>IFERROR(category_assignment_2[[#This Row],[category_assignment_id]],"")</f>
        <v/>
      </c>
      <c r="B351" s="23" t="str">
        <f>IFERROR(VLOOKUP(category_assignment_2[[#This Row],[category_id]],#REF!,3,FALSE),"")</f>
        <v/>
      </c>
      <c r="C351" s="23" t="str">
        <f>IFERROR(VLOOKUP(category_assignment_2[[#This Row],[abbreviation_id]],abbreviation[],ColumnLanguage+1,FALSE),"")</f>
        <v/>
      </c>
      <c r="D351" s="23"/>
      <c r="E351" s="23"/>
      <c r="F351" s="23"/>
      <c r="G351" s="23"/>
      <c r="H351" s="23"/>
      <c r="I351" s="23"/>
      <c r="J351" s="23"/>
      <c r="K351" s="23"/>
    </row>
    <row r="352" spans="1:11" x14ac:dyDescent="0.25">
      <c r="A352" s="4" t="str">
        <f>IFERROR(category_assignment_2[[#This Row],[category_assignment_id]],"")</f>
        <v/>
      </c>
      <c r="B352" s="23" t="str">
        <f>IFERROR(VLOOKUP(category_assignment_2[[#This Row],[category_id]],#REF!,3,FALSE),"")</f>
        <v/>
      </c>
      <c r="C352" s="23" t="str">
        <f>IFERROR(VLOOKUP(category_assignment_2[[#This Row],[abbreviation_id]],abbreviation[],ColumnLanguage+1,FALSE),"")</f>
        <v/>
      </c>
      <c r="D352" s="23"/>
      <c r="E352" s="23"/>
      <c r="F352" s="23"/>
      <c r="G352" s="23"/>
      <c r="H352" s="23"/>
      <c r="I352" s="23"/>
      <c r="J352" s="23"/>
      <c r="K352" s="23"/>
    </row>
    <row r="353" spans="1:11" x14ac:dyDescent="0.25">
      <c r="A353" s="4" t="str">
        <f>IFERROR(category_assignment_2[[#This Row],[category_assignment_id]],"")</f>
        <v/>
      </c>
      <c r="B353" s="23" t="str">
        <f>IFERROR(VLOOKUP(category_assignment_2[[#This Row],[category_id]],#REF!,3,FALSE),"")</f>
        <v/>
      </c>
      <c r="C353" s="23" t="str">
        <f>IFERROR(VLOOKUP(category_assignment_2[[#This Row],[abbreviation_id]],abbreviation[],ColumnLanguage+1,FALSE),"")</f>
        <v/>
      </c>
      <c r="D353" s="23"/>
      <c r="E353" s="23"/>
      <c r="F353" s="23"/>
      <c r="G353" s="23"/>
      <c r="H353" s="23"/>
      <c r="I353" s="23"/>
      <c r="J353" s="23"/>
      <c r="K353" s="23"/>
    </row>
    <row r="354" spans="1:11" x14ac:dyDescent="0.25">
      <c r="A354" s="4" t="str">
        <f>IFERROR(category_assignment_2[[#This Row],[category_assignment_id]],"")</f>
        <v/>
      </c>
      <c r="B354" s="23" t="str">
        <f>IFERROR(VLOOKUP(category_assignment_2[[#This Row],[category_id]],#REF!,3,FALSE),"")</f>
        <v/>
      </c>
      <c r="C354" s="23" t="str">
        <f>IFERROR(VLOOKUP(category_assignment_2[[#This Row],[abbreviation_id]],abbreviation[],ColumnLanguage+1,FALSE),"")</f>
        <v/>
      </c>
      <c r="D354" s="23"/>
      <c r="E354" s="23"/>
      <c r="F354" s="23"/>
      <c r="G354" s="23"/>
      <c r="H354" s="23"/>
      <c r="I354" s="23"/>
      <c r="J354" s="23"/>
      <c r="K354" s="23"/>
    </row>
    <row r="355" spans="1:11" x14ac:dyDescent="0.25">
      <c r="A355" s="4" t="str">
        <f>IFERROR(category_assignment_2[[#This Row],[category_assignment_id]],"")</f>
        <v/>
      </c>
      <c r="B355" s="23" t="str">
        <f>IFERROR(VLOOKUP(category_assignment_2[[#This Row],[category_id]],#REF!,3,FALSE),"")</f>
        <v/>
      </c>
      <c r="C355" s="23" t="str">
        <f>IFERROR(VLOOKUP(category_assignment_2[[#This Row],[abbreviation_id]],abbreviation[],ColumnLanguage+1,FALSE),"")</f>
        <v/>
      </c>
      <c r="D355" s="23"/>
      <c r="E355" s="23"/>
      <c r="F355" s="23"/>
      <c r="G355" s="23"/>
      <c r="H355" s="23"/>
      <c r="I355" s="23"/>
      <c r="J355" s="23"/>
      <c r="K355" s="23"/>
    </row>
    <row r="356" spans="1:11" x14ac:dyDescent="0.25">
      <c r="A356" s="4" t="str">
        <f>IFERROR(category_assignment_2[[#This Row],[category_assignment_id]],"")</f>
        <v/>
      </c>
      <c r="B356" s="23" t="str">
        <f>IFERROR(VLOOKUP(category_assignment_2[[#This Row],[category_id]],#REF!,3,FALSE),"")</f>
        <v/>
      </c>
      <c r="C356" s="23" t="str">
        <f>IFERROR(VLOOKUP(category_assignment_2[[#This Row],[abbreviation_id]],abbreviation[],ColumnLanguage+1,FALSE),"")</f>
        <v/>
      </c>
      <c r="D356" s="23"/>
      <c r="E356" s="23"/>
      <c r="F356" s="23"/>
      <c r="G356" s="23"/>
      <c r="H356" s="23"/>
      <c r="I356" s="23"/>
      <c r="J356" s="23"/>
      <c r="K356" s="23"/>
    </row>
    <row r="357" spans="1:11" x14ac:dyDescent="0.25">
      <c r="A357" s="4" t="str">
        <f>IFERROR(category_assignment_2[[#This Row],[category_assignment_id]],"")</f>
        <v/>
      </c>
      <c r="B357" s="23" t="str">
        <f>IFERROR(VLOOKUP(category_assignment_2[[#This Row],[category_id]],#REF!,3,FALSE),"")</f>
        <v/>
      </c>
      <c r="C357" s="23" t="str">
        <f>IFERROR(VLOOKUP(category_assignment_2[[#This Row],[abbreviation_id]],abbreviation[],ColumnLanguage+1,FALSE),"")</f>
        <v/>
      </c>
      <c r="D357" s="23"/>
      <c r="E357" s="23"/>
      <c r="F357" s="23"/>
      <c r="G357" s="23"/>
      <c r="H357" s="23"/>
      <c r="I357" s="23"/>
      <c r="J357" s="23"/>
      <c r="K357" s="23"/>
    </row>
    <row r="358" spans="1:11" x14ac:dyDescent="0.25">
      <c r="A358" s="4" t="str">
        <f>IFERROR(category_assignment_2[[#This Row],[category_assignment_id]],"")</f>
        <v/>
      </c>
      <c r="B358" s="23" t="str">
        <f>IFERROR(VLOOKUP(category_assignment_2[[#This Row],[category_id]],#REF!,3,FALSE),"")</f>
        <v/>
      </c>
      <c r="C358" s="23" t="str">
        <f>IFERROR(VLOOKUP(category_assignment_2[[#This Row],[abbreviation_id]],abbreviation[],ColumnLanguage+1,FALSE),"")</f>
        <v/>
      </c>
      <c r="D358" s="23"/>
      <c r="E358" s="23"/>
      <c r="F358" s="23"/>
      <c r="G358" s="23"/>
      <c r="H358" s="23"/>
      <c r="I358" s="23"/>
      <c r="J358" s="23"/>
      <c r="K358" s="23"/>
    </row>
    <row r="359" spans="1:11" x14ac:dyDescent="0.25">
      <c r="A359" s="4" t="str">
        <f>IFERROR(category_assignment_2[[#This Row],[category_assignment_id]],"")</f>
        <v/>
      </c>
      <c r="B359" s="23" t="str">
        <f>IFERROR(VLOOKUP(category_assignment_2[[#This Row],[category_id]],#REF!,3,FALSE),"")</f>
        <v/>
      </c>
      <c r="C359" s="23" t="str">
        <f>IFERROR(VLOOKUP(category_assignment_2[[#This Row],[abbreviation_id]],abbreviation[],ColumnLanguage+1,FALSE),"")</f>
        <v/>
      </c>
      <c r="D359" s="23"/>
      <c r="E359" s="23"/>
      <c r="F359" s="23"/>
      <c r="G359" s="23"/>
      <c r="H359" s="23"/>
      <c r="I359" s="23"/>
      <c r="J359" s="23"/>
      <c r="K359" s="23"/>
    </row>
    <row r="360" spans="1:11" x14ac:dyDescent="0.25">
      <c r="A360" s="4" t="str">
        <f>IFERROR(category_assignment_2[[#This Row],[category_assignment_id]],"")</f>
        <v/>
      </c>
      <c r="B360" s="23" t="str">
        <f>IFERROR(VLOOKUP(category_assignment_2[[#This Row],[category_id]],#REF!,3,FALSE),"")</f>
        <v/>
      </c>
      <c r="C360" s="23" t="str">
        <f>IFERROR(VLOOKUP(category_assignment_2[[#This Row],[abbreviation_id]],abbreviation[],ColumnLanguage+1,FALSE),"")</f>
        <v/>
      </c>
      <c r="D360" s="23"/>
      <c r="E360" s="23"/>
      <c r="F360" s="23"/>
      <c r="G360" s="23"/>
      <c r="H360" s="23"/>
      <c r="I360" s="23"/>
      <c r="J360" s="23"/>
      <c r="K360" s="23"/>
    </row>
    <row r="361" spans="1:11" x14ac:dyDescent="0.25">
      <c r="A361" s="4" t="str">
        <f>IFERROR(category_assignment_2[[#This Row],[category_assignment_id]],"")</f>
        <v/>
      </c>
      <c r="B361" s="23" t="str">
        <f>IFERROR(VLOOKUP(category_assignment_2[[#This Row],[category_id]],#REF!,3,FALSE),"")</f>
        <v/>
      </c>
      <c r="C361" s="23" t="str">
        <f>IFERROR(VLOOKUP(category_assignment_2[[#This Row],[abbreviation_id]],abbreviation[],ColumnLanguage+1,FALSE),"")</f>
        <v/>
      </c>
      <c r="D361" s="23"/>
      <c r="E361" s="23"/>
      <c r="F361" s="23"/>
      <c r="G361" s="23"/>
      <c r="H361" s="23"/>
      <c r="I361" s="23"/>
      <c r="J361" s="23"/>
      <c r="K361" s="23"/>
    </row>
    <row r="362" spans="1:11" x14ac:dyDescent="0.25">
      <c r="A362" s="4" t="str">
        <f>IFERROR(category_assignment_2[[#This Row],[category_assignment_id]],"")</f>
        <v/>
      </c>
      <c r="B362" s="23" t="str">
        <f>IFERROR(VLOOKUP(category_assignment_2[[#This Row],[category_id]],#REF!,3,FALSE),"")</f>
        <v/>
      </c>
      <c r="C362" s="23" t="str">
        <f>IFERROR(VLOOKUP(category_assignment_2[[#This Row],[abbreviation_id]],abbreviation[],ColumnLanguage+1,FALSE),"")</f>
        <v/>
      </c>
      <c r="D362" s="23"/>
      <c r="E362" s="23"/>
      <c r="F362" s="23"/>
      <c r="G362" s="23"/>
      <c r="H362" s="23"/>
      <c r="I362" s="23"/>
      <c r="J362" s="23"/>
      <c r="K362" s="23"/>
    </row>
    <row r="363" spans="1:11" x14ac:dyDescent="0.25">
      <c r="A363" s="4" t="str">
        <f>IFERROR(category_assignment_2[[#This Row],[category_assignment_id]],"")</f>
        <v/>
      </c>
      <c r="B363" s="23" t="str">
        <f>IFERROR(VLOOKUP(category_assignment_2[[#This Row],[category_id]],#REF!,3,FALSE),"")</f>
        <v/>
      </c>
      <c r="C363" s="23" t="str">
        <f>IFERROR(VLOOKUP(category_assignment_2[[#This Row],[abbreviation_id]],abbreviation[],ColumnLanguage+1,FALSE),"")</f>
        <v/>
      </c>
      <c r="D363" s="23"/>
      <c r="E363" s="23"/>
      <c r="F363" s="23"/>
      <c r="G363" s="23"/>
      <c r="H363" s="23"/>
      <c r="I363" s="23"/>
      <c r="J363" s="23"/>
      <c r="K363" s="23"/>
    </row>
    <row r="364" spans="1:11" x14ac:dyDescent="0.25">
      <c r="A364" s="4" t="str">
        <f>IFERROR(category_assignment_2[[#This Row],[category_assignment_id]],"")</f>
        <v/>
      </c>
      <c r="B364" s="23" t="str">
        <f>IFERROR(VLOOKUP(category_assignment_2[[#This Row],[category_id]],#REF!,3,FALSE),"")</f>
        <v/>
      </c>
      <c r="C364" s="23" t="str">
        <f>IFERROR(VLOOKUP(category_assignment_2[[#This Row],[abbreviation_id]],abbreviation[],ColumnLanguage+1,FALSE),"")</f>
        <v/>
      </c>
      <c r="D364" s="23"/>
      <c r="E364" s="23"/>
      <c r="F364" s="23"/>
      <c r="G364" s="23"/>
      <c r="H364" s="23"/>
      <c r="I364" s="23"/>
      <c r="J364" s="23"/>
      <c r="K364" s="23"/>
    </row>
    <row r="365" spans="1:11" x14ac:dyDescent="0.25">
      <c r="A365" s="4" t="str">
        <f>IFERROR(category_assignment_2[[#This Row],[category_assignment_id]],"")</f>
        <v/>
      </c>
      <c r="B365" s="23" t="str">
        <f>IFERROR(VLOOKUP(category_assignment_2[[#This Row],[category_id]],#REF!,3,FALSE),"")</f>
        <v/>
      </c>
      <c r="C365" s="23" t="str">
        <f>IFERROR(VLOOKUP(category_assignment_2[[#This Row],[abbreviation_id]],abbreviation[],ColumnLanguage+1,FALSE),"")</f>
        <v/>
      </c>
      <c r="D365" s="23"/>
      <c r="E365" s="23"/>
      <c r="F365" s="23"/>
      <c r="G365" s="23"/>
      <c r="H365" s="23"/>
      <c r="I365" s="23"/>
      <c r="J365" s="23"/>
      <c r="K365" s="23"/>
    </row>
    <row r="366" spans="1:11" x14ac:dyDescent="0.25">
      <c r="A366" s="4" t="str">
        <f>IFERROR(category_assignment_2[[#This Row],[category_assignment_id]],"")</f>
        <v/>
      </c>
      <c r="B366" s="23" t="str">
        <f>IFERROR(VLOOKUP(category_assignment_2[[#This Row],[category_id]],#REF!,3,FALSE),"")</f>
        <v/>
      </c>
      <c r="C366" s="23" t="str">
        <f>IFERROR(VLOOKUP(category_assignment_2[[#This Row],[abbreviation_id]],abbreviation[],ColumnLanguage+1,FALSE),"")</f>
        <v/>
      </c>
      <c r="D366" s="23"/>
      <c r="E366" s="23"/>
      <c r="F366" s="23"/>
      <c r="G366" s="23"/>
      <c r="H366" s="23"/>
      <c r="I366" s="23"/>
      <c r="J366" s="23"/>
      <c r="K366" s="23"/>
    </row>
    <row r="367" spans="1:11" x14ac:dyDescent="0.25">
      <c r="A367" s="4" t="str">
        <f>IFERROR(category_assignment_2[[#This Row],[category_assignment_id]],"")</f>
        <v/>
      </c>
      <c r="B367" s="23" t="str">
        <f>IFERROR(VLOOKUP(category_assignment_2[[#This Row],[category_id]],#REF!,3,FALSE),"")</f>
        <v/>
      </c>
      <c r="C367" s="23" t="str">
        <f>IFERROR(VLOOKUP(category_assignment_2[[#This Row],[abbreviation_id]],abbreviation[],ColumnLanguage+1,FALSE),"")</f>
        <v/>
      </c>
      <c r="D367" s="23"/>
      <c r="E367" s="23"/>
      <c r="F367" s="23"/>
      <c r="G367" s="23"/>
      <c r="H367" s="23"/>
      <c r="I367" s="23"/>
      <c r="J367" s="23"/>
      <c r="K367" s="23"/>
    </row>
    <row r="368" spans="1:11" x14ac:dyDescent="0.25">
      <c r="A368" s="4" t="str">
        <f>IFERROR(category_assignment_2[[#This Row],[category_assignment_id]],"")</f>
        <v/>
      </c>
      <c r="B368" s="23" t="str">
        <f>IFERROR(VLOOKUP(category_assignment_2[[#This Row],[category_id]],#REF!,3,FALSE),"")</f>
        <v/>
      </c>
      <c r="C368" s="23" t="str">
        <f>IFERROR(VLOOKUP(category_assignment_2[[#This Row],[abbreviation_id]],abbreviation[],ColumnLanguage+1,FALSE),"")</f>
        <v/>
      </c>
      <c r="D368" s="23"/>
      <c r="E368" s="23"/>
      <c r="F368" s="23"/>
      <c r="G368" s="23"/>
      <c r="H368" s="23"/>
      <c r="I368" s="23"/>
      <c r="J368" s="23"/>
      <c r="K368" s="23"/>
    </row>
    <row r="369" spans="1:11" x14ac:dyDescent="0.25">
      <c r="A369" s="4" t="str">
        <f>IFERROR(category_assignment_2[[#This Row],[category_assignment_id]],"")</f>
        <v/>
      </c>
      <c r="B369" s="23" t="str">
        <f>IFERROR(VLOOKUP(category_assignment_2[[#This Row],[category_id]],#REF!,3,FALSE),"")</f>
        <v/>
      </c>
      <c r="C369" s="23" t="str">
        <f>IFERROR(VLOOKUP(category_assignment_2[[#This Row],[abbreviation_id]],abbreviation[],ColumnLanguage+1,FALSE),"")</f>
        <v/>
      </c>
      <c r="D369" s="23"/>
      <c r="E369" s="23"/>
      <c r="F369" s="23"/>
      <c r="G369" s="23"/>
      <c r="H369" s="23"/>
      <c r="I369" s="23"/>
      <c r="J369" s="23"/>
      <c r="K369" s="23"/>
    </row>
    <row r="370" spans="1:11" x14ac:dyDescent="0.25">
      <c r="A370" s="4" t="str">
        <f>IFERROR(category_assignment_2[[#This Row],[category_assignment_id]],"")</f>
        <v/>
      </c>
      <c r="B370" s="23" t="str">
        <f>IFERROR(VLOOKUP(category_assignment_2[[#This Row],[category_id]],#REF!,3,FALSE),"")</f>
        <v/>
      </c>
      <c r="C370" s="23" t="str">
        <f>IFERROR(VLOOKUP(category_assignment_2[[#This Row],[abbreviation_id]],abbreviation[],ColumnLanguage+1,FALSE),"")</f>
        <v/>
      </c>
      <c r="D370" s="23"/>
      <c r="E370" s="23"/>
      <c r="F370" s="23"/>
      <c r="G370" s="23"/>
      <c r="H370" s="23"/>
      <c r="I370" s="23"/>
      <c r="J370" s="23"/>
      <c r="K370" s="23"/>
    </row>
    <row r="371" spans="1:11" x14ac:dyDescent="0.25">
      <c r="A371" s="4" t="str">
        <f>IFERROR(category_assignment_2[[#This Row],[category_assignment_id]],"")</f>
        <v/>
      </c>
      <c r="B371" s="23" t="str">
        <f>IFERROR(VLOOKUP(category_assignment_2[[#This Row],[category_id]],#REF!,3,FALSE),"")</f>
        <v/>
      </c>
      <c r="C371" s="23" t="str">
        <f>IFERROR(VLOOKUP(category_assignment_2[[#This Row],[abbreviation_id]],abbreviation[],ColumnLanguage+1,FALSE),"")</f>
        <v/>
      </c>
      <c r="D371" s="23"/>
      <c r="E371" s="23"/>
      <c r="F371" s="23"/>
      <c r="G371" s="23"/>
      <c r="H371" s="23"/>
      <c r="I371" s="23"/>
      <c r="J371" s="23"/>
      <c r="K371" s="23"/>
    </row>
    <row r="372" spans="1:11" x14ac:dyDescent="0.25">
      <c r="A372" s="4" t="str">
        <f>IFERROR(category_assignment_2[[#This Row],[category_assignment_id]],"")</f>
        <v/>
      </c>
      <c r="B372" s="23" t="str">
        <f>IFERROR(VLOOKUP(category_assignment_2[[#This Row],[category_id]],#REF!,3,FALSE),"")</f>
        <v/>
      </c>
      <c r="C372" s="23" t="str">
        <f>IFERROR(VLOOKUP(category_assignment_2[[#This Row],[abbreviation_id]],abbreviation[],ColumnLanguage+1,FALSE),"")</f>
        <v/>
      </c>
      <c r="D372" s="23"/>
      <c r="E372" s="23"/>
      <c r="F372" s="23"/>
      <c r="G372" s="23"/>
      <c r="H372" s="23"/>
      <c r="I372" s="23"/>
      <c r="J372" s="23"/>
      <c r="K372" s="23"/>
    </row>
    <row r="373" spans="1:11" x14ac:dyDescent="0.25">
      <c r="A373" s="4" t="str">
        <f>IFERROR(category_assignment_2[[#This Row],[category_assignment_id]],"")</f>
        <v/>
      </c>
      <c r="B373" s="23" t="str">
        <f>IFERROR(VLOOKUP(category_assignment_2[[#This Row],[category_id]],#REF!,3,FALSE),"")</f>
        <v/>
      </c>
      <c r="C373" s="23" t="str">
        <f>IFERROR(VLOOKUP(category_assignment_2[[#This Row],[abbreviation_id]],abbreviation[],ColumnLanguage+1,FALSE),"")</f>
        <v/>
      </c>
      <c r="D373" s="23"/>
      <c r="E373" s="23"/>
      <c r="F373" s="23"/>
      <c r="G373" s="23"/>
      <c r="H373" s="23"/>
      <c r="I373" s="23"/>
      <c r="J373" s="23"/>
      <c r="K373" s="23"/>
    </row>
    <row r="374" spans="1:11" x14ac:dyDescent="0.25">
      <c r="A374" s="4" t="str">
        <f>IFERROR(category_assignment_2[[#This Row],[category_assignment_id]],"")</f>
        <v/>
      </c>
      <c r="B374" s="23" t="str">
        <f>IFERROR(VLOOKUP(category_assignment_2[[#This Row],[category_id]],#REF!,3,FALSE),"")</f>
        <v/>
      </c>
      <c r="C374" s="23" t="str">
        <f>IFERROR(VLOOKUP(category_assignment_2[[#This Row],[abbreviation_id]],abbreviation[],ColumnLanguage+1,FALSE),"")</f>
        <v/>
      </c>
      <c r="D374" s="23"/>
      <c r="E374" s="23"/>
      <c r="F374" s="23"/>
      <c r="G374" s="23"/>
      <c r="H374" s="23"/>
      <c r="I374" s="23"/>
      <c r="J374" s="23"/>
      <c r="K374" s="23"/>
    </row>
    <row r="375" spans="1:11" x14ac:dyDescent="0.25">
      <c r="A375" s="4" t="str">
        <f>IFERROR(category_assignment_2[[#This Row],[category_assignment_id]],"")</f>
        <v/>
      </c>
      <c r="B375" s="23" t="str">
        <f>IFERROR(VLOOKUP(category_assignment_2[[#This Row],[category_id]],#REF!,3,FALSE),"")</f>
        <v/>
      </c>
      <c r="C375" s="23" t="str">
        <f>IFERROR(VLOOKUP(category_assignment_2[[#This Row],[abbreviation_id]],abbreviation[],ColumnLanguage+1,FALSE),"")</f>
        <v/>
      </c>
      <c r="D375" s="23"/>
      <c r="E375" s="23"/>
      <c r="F375" s="23"/>
      <c r="G375" s="23"/>
      <c r="H375" s="23"/>
      <c r="I375" s="23"/>
      <c r="J375" s="23"/>
      <c r="K375" s="23"/>
    </row>
    <row r="376" spans="1:11" x14ac:dyDescent="0.25">
      <c r="A376" s="4" t="str">
        <f>IFERROR(category_assignment_2[[#This Row],[category_assignment_id]],"")</f>
        <v/>
      </c>
      <c r="B376" s="23" t="str">
        <f>IFERROR(VLOOKUP(category_assignment_2[[#This Row],[category_id]],#REF!,3,FALSE),"")</f>
        <v/>
      </c>
      <c r="C376" s="23" t="str">
        <f>IFERROR(VLOOKUP(category_assignment_2[[#This Row],[abbreviation_id]],abbreviation[],ColumnLanguage+1,FALSE),"")</f>
        <v/>
      </c>
      <c r="D376" s="23"/>
      <c r="E376" s="23"/>
      <c r="F376" s="23"/>
      <c r="G376" s="23"/>
      <c r="H376" s="23"/>
      <c r="I376" s="23"/>
      <c r="J376" s="23"/>
      <c r="K376" s="23"/>
    </row>
    <row r="377" spans="1:11" x14ac:dyDescent="0.25">
      <c r="A377" s="4" t="str">
        <f>IFERROR(category_assignment_2[[#This Row],[category_assignment_id]],"")</f>
        <v/>
      </c>
      <c r="B377" s="23" t="str">
        <f>IFERROR(VLOOKUP(category_assignment_2[[#This Row],[category_id]],#REF!,3,FALSE),"")</f>
        <v/>
      </c>
      <c r="C377" s="23" t="str">
        <f>IFERROR(VLOOKUP(category_assignment_2[[#This Row],[abbreviation_id]],abbreviation[],ColumnLanguage+1,FALSE),"")</f>
        <v/>
      </c>
      <c r="D377" s="23"/>
      <c r="E377" s="23"/>
      <c r="F377" s="23"/>
      <c r="G377" s="23"/>
      <c r="H377" s="23"/>
      <c r="I377" s="23"/>
      <c r="J377" s="23"/>
      <c r="K377" s="23"/>
    </row>
    <row r="378" spans="1:11" x14ac:dyDescent="0.25">
      <c r="A378" s="4" t="str">
        <f>IFERROR(category_assignment_2[[#This Row],[category_assignment_id]],"")</f>
        <v/>
      </c>
      <c r="B378" s="23" t="str">
        <f>IFERROR(VLOOKUP(category_assignment_2[[#This Row],[category_id]],#REF!,3,FALSE),"")</f>
        <v/>
      </c>
      <c r="C378" s="23" t="str">
        <f>IFERROR(VLOOKUP(category_assignment_2[[#This Row],[abbreviation_id]],abbreviation[],ColumnLanguage+1,FALSE),"")</f>
        <v/>
      </c>
      <c r="D378" s="23"/>
      <c r="E378" s="23"/>
      <c r="F378" s="23"/>
      <c r="G378" s="23"/>
      <c r="H378" s="23"/>
      <c r="I378" s="23"/>
      <c r="J378" s="23"/>
      <c r="K378" s="23"/>
    </row>
    <row r="379" spans="1:11" x14ac:dyDescent="0.25">
      <c r="A379" s="4" t="str">
        <f>IFERROR(category_assignment_2[[#This Row],[category_assignment_id]],"")</f>
        <v/>
      </c>
      <c r="B379" s="23" t="str">
        <f>IFERROR(VLOOKUP(category_assignment_2[[#This Row],[category_id]],#REF!,3,FALSE),"")</f>
        <v/>
      </c>
      <c r="C379" s="23" t="str">
        <f>IFERROR(VLOOKUP(category_assignment_2[[#This Row],[abbreviation_id]],abbreviation[],ColumnLanguage+1,FALSE),"")</f>
        <v/>
      </c>
      <c r="D379" s="23"/>
      <c r="E379" s="23"/>
      <c r="F379" s="23"/>
      <c r="G379" s="23"/>
      <c r="H379" s="23"/>
      <c r="I379" s="23"/>
      <c r="J379" s="23"/>
      <c r="K379" s="23"/>
    </row>
    <row r="380" spans="1:11" x14ac:dyDescent="0.25">
      <c r="A380" s="4" t="str">
        <f>IFERROR(category_assignment_2[[#This Row],[category_assignment_id]],"")</f>
        <v/>
      </c>
      <c r="B380" s="23" t="str">
        <f>IFERROR(VLOOKUP(category_assignment_2[[#This Row],[category_id]],#REF!,3,FALSE),"")</f>
        <v/>
      </c>
      <c r="C380" s="23" t="str">
        <f>IFERROR(VLOOKUP(category_assignment_2[[#This Row],[abbreviation_id]],abbreviation[],ColumnLanguage+1,FALSE),"")</f>
        <v/>
      </c>
      <c r="D380" s="23"/>
      <c r="E380" s="23"/>
      <c r="F380" s="23"/>
      <c r="G380" s="23"/>
      <c r="H380" s="23"/>
      <c r="I380" s="23"/>
      <c r="J380" s="23"/>
      <c r="K380" s="23"/>
    </row>
    <row r="381" spans="1:11" x14ac:dyDescent="0.25">
      <c r="A381" s="4" t="str">
        <f>IFERROR(category_assignment_2[[#This Row],[category_assignment_id]],"")</f>
        <v/>
      </c>
      <c r="B381" s="23" t="str">
        <f>IFERROR(VLOOKUP(category_assignment_2[[#This Row],[category_id]],#REF!,3,FALSE),"")</f>
        <v/>
      </c>
      <c r="C381" s="23" t="str">
        <f>IFERROR(VLOOKUP(category_assignment_2[[#This Row],[abbreviation_id]],abbreviation[],ColumnLanguage+1,FALSE),"")</f>
        <v/>
      </c>
      <c r="D381" s="23"/>
      <c r="E381" s="23"/>
      <c r="F381" s="23"/>
      <c r="G381" s="23"/>
      <c r="H381" s="23"/>
      <c r="I381" s="23"/>
      <c r="J381" s="23"/>
      <c r="K381" s="23"/>
    </row>
    <row r="382" spans="1:11" x14ac:dyDescent="0.25">
      <c r="A382" s="4" t="str">
        <f>IFERROR(category_assignment_2[[#This Row],[category_assignment_id]],"")</f>
        <v/>
      </c>
      <c r="B382" s="23" t="str">
        <f>IFERROR(VLOOKUP(category_assignment_2[[#This Row],[category_id]],#REF!,3,FALSE),"")</f>
        <v/>
      </c>
      <c r="C382" s="23" t="str">
        <f>IFERROR(VLOOKUP(category_assignment_2[[#This Row],[abbreviation_id]],abbreviation[],ColumnLanguage+1,FALSE),"")</f>
        <v/>
      </c>
      <c r="D382" s="23"/>
      <c r="E382" s="23"/>
      <c r="F382" s="23"/>
      <c r="G382" s="23"/>
      <c r="H382" s="23"/>
      <c r="I382" s="23"/>
      <c r="J382" s="23"/>
      <c r="K382" s="23"/>
    </row>
    <row r="383" spans="1:11" x14ac:dyDescent="0.25">
      <c r="A383" s="4" t="str">
        <f>IFERROR(category_assignment_2[[#This Row],[category_assignment_id]],"")</f>
        <v/>
      </c>
      <c r="B383" s="23" t="str">
        <f>IFERROR(VLOOKUP(category_assignment_2[[#This Row],[category_id]],#REF!,3,FALSE),"")</f>
        <v/>
      </c>
      <c r="C383" s="23" t="str">
        <f>IFERROR(VLOOKUP(category_assignment_2[[#This Row],[abbreviation_id]],abbreviation[],ColumnLanguage+1,FALSE),"")</f>
        <v/>
      </c>
      <c r="D383" s="23"/>
      <c r="E383" s="23"/>
      <c r="F383" s="23"/>
      <c r="G383" s="23"/>
      <c r="H383" s="23"/>
      <c r="I383" s="23"/>
      <c r="J383" s="23"/>
      <c r="K383" s="23"/>
    </row>
    <row r="384" spans="1:11" x14ac:dyDescent="0.25">
      <c r="A384" s="4" t="str">
        <f>IFERROR(category_assignment_2[[#This Row],[category_assignment_id]],"")</f>
        <v/>
      </c>
      <c r="B384" s="23" t="str">
        <f>IFERROR(VLOOKUP(category_assignment_2[[#This Row],[category_id]],#REF!,3,FALSE),"")</f>
        <v/>
      </c>
      <c r="C384" s="23" t="str">
        <f>IFERROR(VLOOKUP(category_assignment_2[[#This Row],[abbreviation_id]],abbreviation[],ColumnLanguage+1,FALSE),"")</f>
        <v/>
      </c>
      <c r="D384" s="23"/>
      <c r="E384" s="23"/>
      <c r="F384" s="23"/>
      <c r="G384" s="23"/>
      <c r="H384" s="23"/>
      <c r="I384" s="23"/>
      <c r="J384" s="23"/>
      <c r="K384" s="23"/>
    </row>
    <row r="385" spans="1:11" x14ac:dyDescent="0.25">
      <c r="A385" s="4" t="str">
        <f>IFERROR(category_assignment_2[[#This Row],[category_assignment_id]],"")</f>
        <v/>
      </c>
      <c r="B385" s="23" t="str">
        <f>IFERROR(VLOOKUP(category_assignment_2[[#This Row],[category_id]],#REF!,3,FALSE),"")</f>
        <v/>
      </c>
      <c r="C385" s="23" t="str">
        <f>IFERROR(VLOOKUP(category_assignment_2[[#This Row],[abbreviation_id]],abbreviation[],ColumnLanguage+1,FALSE),"")</f>
        <v/>
      </c>
      <c r="D385" s="23"/>
      <c r="E385" s="23"/>
      <c r="F385" s="23"/>
      <c r="G385" s="23"/>
      <c r="H385" s="23"/>
      <c r="I385" s="23"/>
      <c r="J385" s="23"/>
      <c r="K385" s="23"/>
    </row>
    <row r="386" spans="1:11" x14ac:dyDescent="0.25">
      <c r="A386" s="4" t="str">
        <f>IFERROR(category_assignment_2[[#This Row],[category_assignment_id]],"")</f>
        <v/>
      </c>
      <c r="B386" s="23" t="str">
        <f>IFERROR(VLOOKUP(category_assignment_2[[#This Row],[category_id]],#REF!,3,FALSE),"")</f>
        <v/>
      </c>
      <c r="C386" s="23" t="str">
        <f>IFERROR(VLOOKUP(category_assignment_2[[#This Row],[abbreviation_id]],abbreviation[],ColumnLanguage+1,FALSE),"")</f>
        <v/>
      </c>
      <c r="D386" s="23"/>
      <c r="E386" s="23"/>
      <c r="F386" s="23"/>
      <c r="G386" s="23"/>
      <c r="H386" s="23"/>
      <c r="I386" s="23"/>
      <c r="J386" s="23"/>
      <c r="K386" s="23"/>
    </row>
    <row r="387" spans="1:11" x14ac:dyDescent="0.25">
      <c r="A387" s="4" t="str">
        <f>IFERROR(category_assignment_2[[#This Row],[category_assignment_id]],"")</f>
        <v/>
      </c>
      <c r="B387" s="23" t="str">
        <f>IFERROR(VLOOKUP(category_assignment_2[[#This Row],[category_id]],#REF!,3,FALSE),"")</f>
        <v/>
      </c>
      <c r="C387" s="23" t="str">
        <f>IFERROR(VLOOKUP(category_assignment_2[[#This Row],[abbreviation_id]],abbreviation[],ColumnLanguage+1,FALSE),"")</f>
        <v/>
      </c>
      <c r="D387" s="23"/>
      <c r="E387" s="23"/>
      <c r="F387" s="23"/>
      <c r="G387" s="23"/>
      <c r="H387" s="23"/>
      <c r="I387" s="23"/>
      <c r="J387" s="23"/>
      <c r="K387" s="23"/>
    </row>
    <row r="388" spans="1:11" x14ac:dyDescent="0.25">
      <c r="A388" s="4" t="str">
        <f>IFERROR(category_assignment_2[[#This Row],[category_assignment_id]],"")</f>
        <v/>
      </c>
      <c r="B388" s="23" t="str">
        <f>IFERROR(VLOOKUP(category_assignment_2[[#This Row],[category_id]],#REF!,3,FALSE),"")</f>
        <v/>
      </c>
      <c r="C388" s="23" t="str">
        <f>IFERROR(VLOOKUP(category_assignment_2[[#This Row],[abbreviation_id]],abbreviation[],ColumnLanguage+1,FALSE),"")</f>
        <v/>
      </c>
      <c r="D388" s="23"/>
      <c r="E388" s="23"/>
      <c r="F388" s="23"/>
      <c r="G388" s="23"/>
      <c r="H388" s="23"/>
      <c r="I388" s="23"/>
      <c r="J388" s="23"/>
      <c r="K388" s="23"/>
    </row>
    <row r="389" spans="1:11" x14ac:dyDescent="0.25">
      <c r="A389" s="4" t="str">
        <f>IFERROR(category_assignment_2[[#This Row],[category_assignment_id]],"")</f>
        <v/>
      </c>
      <c r="B389" s="23" t="str">
        <f>IFERROR(VLOOKUP(category_assignment_2[[#This Row],[category_id]],#REF!,3,FALSE),"")</f>
        <v/>
      </c>
      <c r="C389" s="23" t="str">
        <f>IFERROR(VLOOKUP(category_assignment_2[[#This Row],[abbreviation_id]],abbreviation[],ColumnLanguage+1,FALSE),"")</f>
        <v/>
      </c>
      <c r="D389" s="23"/>
      <c r="E389" s="23"/>
      <c r="F389" s="23"/>
      <c r="G389" s="23"/>
      <c r="H389" s="23"/>
      <c r="I389" s="23"/>
      <c r="J389" s="23"/>
      <c r="K389" s="23"/>
    </row>
    <row r="390" spans="1:11" x14ac:dyDescent="0.25">
      <c r="A390" s="4" t="str">
        <f>IFERROR(category_assignment_2[[#This Row],[category_assignment_id]],"")</f>
        <v/>
      </c>
      <c r="B390" s="23" t="str">
        <f>IFERROR(VLOOKUP(category_assignment_2[[#This Row],[category_id]],#REF!,3,FALSE),"")</f>
        <v/>
      </c>
      <c r="C390" s="23" t="str">
        <f>IFERROR(VLOOKUP(category_assignment_2[[#This Row],[abbreviation_id]],abbreviation[],ColumnLanguage+1,FALSE),"")</f>
        <v/>
      </c>
      <c r="D390" s="23"/>
      <c r="E390" s="23"/>
      <c r="F390" s="23"/>
      <c r="G390" s="23"/>
      <c r="H390" s="23"/>
      <c r="I390" s="23"/>
      <c r="J390" s="23"/>
      <c r="K390" s="23"/>
    </row>
    <row r="391" spans="1:11" x14ac:dyDescent="0.25">
      <c r="A391" s="4" t="str">
        <f>IFERROR(category_assignment_2[[#This Row],[category_assignment_id]],"")</f>
        <v/>
      </c>
      <c r="B391" s="23" t="str">
        <f>IFERROR(VLOOKUP(category_assignment_2[[#This Row],[category_id]],#REF!,3,FALSE),"")</f>
        <v/>
      </c>
      <c r="C391" s="23" t="str">
        <f>IFERROR(VLOOKUP(category_assignment_2[[#This Row],[abbreviation_id]],abbreviation[],ColumnLanguage+1,FALSE),"")</f>
        <v/>
      </c>
      <c r="D391" s="23"/>
      <c r="E391" s="23"/>
      <c r="F391" s="23"/>
      <c r="G391" s="23"/>
      <c r="H391" s="23"/>
      <c r="I391" s="23"/>
      <c r="J391" s="23"/>
      <c r="K391" s="23"/>
    </row>
    <row r="392" spans="1:11" x14ac:dyDescent="0.25">
      <c r="A392" s="4" t="str">
        <f>IFERROR(category_assignment_2[[#This Row],[category_assignment_id]],"")</f>
        <v/>
      </c>
      <c r="B392" s="23" t="str">
        <f>IFERROR(VLOOKUP(category_assignment_2[[#This Row],[category_id]],#REF!,3,FALSE),"")</f>
        <v/>
      </c>
      <c r="C392" s="23" t="str">
        <f>IFERROR(VLOOKUP(category_assignment_2[[#This Row],[abbreviation_id]],abbreviation[],ColumnLanguage+1,FALSE),"")</f>
        <v/>
      </c>
      <c r="D392" s="23"/>
      <c r="E392" s="23"/>
      <c r="F392" s="23"/>
      <c r="G392" s="23"/>
      <c r="H392" s="23"/>
      <c r="I392" s="23"/>
      <c r="J392" s="23"/>
      <c r="K392" s="23"/>
    </row>
    <row r="393" spans="1:11" x14ac:dyDescent="0.25">
      <c r="A393" s="4" t="str">
        <f>IFERROR(category_assignment_2[[#This Row],[category_assignment_id]],"")</f>
        <v/>
      </c>
      <c r="B393" s="23" t="str">
        <f>IFERROR(VLOOKUP(category_assignment_2[[#This Row],[category_id]],#REF!,3,FALSE),"")</f>
        <v/>
      </c>
      <c r="C393" s="23" t="str">
        <f>IFERROR(VLOOKUP(category_assignment_2[[#This Row],[abbreviation_id]],abbreviation[],ColumnLanguage+1,FALSE),"")</f>
        <v/>
      </c>
      <c r="D393" s="23"/>
      <c r="E393" s="23"/>
      <c r="F393" s="23"/>
      <c r="G393" s="23"/>
      <c r="H393" s="23"/>
      <c r="I393" s="23"/>
      <c r="J393" s="23"/>
      <c r="K393" s="23"/>
    </row>
    <row r="394" spans="1:11" x14ac:dyDescent="0.25">
      <c r="A394" s="4" t="str">
        <f>IFERROR(category_assignment_2[[#This Row],[category_assignment_id]],"")</f>
        <v/>
      </c>
      <c r="B394" s="23" t="str">
        <f>IFERROR(VLOOKUP(category_assignment_2[[#This Row],[category_id]],#REF!,3,FALSE),"")</f>
        <v/>
      </c>
      <c r="C394" s="23" t="str">
        <f>IFERROR(VLOOKUP(category_assignment_2[[#This Row],[abbreviation_id]],abbreviation[],ColumnLanguage+1,FALSE),"")</f>
        <v/>
      </c>
      <c r="D394" s="23"/>
      <c r="E394" s="23"/>
      <c r="F394" s="23"/>
      <c r="G394" s="23"/>
      <c r="H394" s="23"/>
      <c r="I394" s="23"/>
      <c r="J394" s="23"/>
      <c r="K394" s="23"/>
    </row>
    <row r="395" spans="1:11" x14ac:dyDescent="0.25">
      <c r="A395" s="4" t="str">
        <f>IFERROR(category_assignment_2[[#This Row],[category_assignment_id]],"")</f>
        <v/>
      </c>
      <c r="B395" s="23" t="str">
        <f>IFERROR(VLOOKUP(category_assignment_2[[#This Row],[category_id]],#REF!,3,FALSE),"")</f>
        <v/>
      </c>
      <c r="C395" s="23" t="str">
        <f>IFERROR(VLOOKUP(category_assignment_2[[#This Row],[abbreviation_id]],abbreviation[],ColumnLanguage+1,FALSE),"")</f>
        <v/>
      </c>
      <c r="D395" s="23"/>
      <c r="E395" s="23"/>
      <c r="F395" s="23"/>
      <c r="G395" s="23"/>
      <c r="H395" s="23"/>
      <c r="I395" s="23"/>
      <c r="J395" s="23"/>
      <c r="K395" s="23"/>
    </row>
    <row r="396" spans="1:11" x14ac:dyDescent="0.25">
      <c r="A396" s="4" t="str">
        <f>IFERROR(category_assignment_2[[#This Row],[category_assignment_id]],"")</f>
        <v/>
      </c>
      <c r="B396" s="23" t="str">
        <f>IFERROR(VLOOKUP(category_assignment_2[[#This Row],[category_id]],#REF!,3,FALSE),"")</f>
        <v/>
      </c>
      <c r="C396" s="23" t="str">
        <f>IFERROR(VLOOKUP(category_assignment_2[[#This Row],[abbreviation_id]],abbreviation[],ColumnLanguage+1,FALSE),"")</f>
        <v/>
      </c>
      <c r="D396" s="23"/>
      <c r="E396" s="23"/>
      <c r="F396" s="23"/>
      <c r="G396" s="23"/>
      <c r="H396" s="23"/>
      <c r="I396" s="23"/>
      <c r="J396" s="23"/>
      <c r="K396" s="23"/>
    </row>
    <row r="397" spans="1:11" x14ac:dyDescent="0.25">
      <c r="A397" s="4" t="str">
        <f>IFERROR(category_assignment_2[[#This Row],[category_assignment_id]],"")</f>
        <v/>
      </c>
      <c r="B397" s="23" t="str">
        <f>IFERROR(VLOOKUP(category_assignment_2[[#This Row],[category_id]],#REF!,3,FALSE),"")</f>
        <v/>
      </c>
      <c r="C397" s="23" t="str">
        <f>IFERROR(VLOOKUP(category_assignment_2[[#This Row],[abbreviation_id]],abbreviation[],ColumnLanguage+1,FALSE),"")</f>
        <v/>
      </c>
      <c r="D397" s="23"/>
      <c r="E397" s="23"/>
      <c r="F397" s="23"/>
      <c r="G397" s="23"/>
      <c r="H397" s="23"/>
      <c r="I397" s="23"/>
      <c r="J397" s="23"/>
      <c r="K397" s="23"/>
    </row>
    <row r="398" spans="1:11" x14ac:dyDescent="0.25">
      <c r="A398" s="4" t="str">
        <f>IFERROR(category_assignment_2[[#This Row],[category_assignment_id]],"")</f>
        <v/>
      </c>
      <c r="B398" s="23" t="str">
        <f>IFERROR(VLOOKUP(category_assignment_2[[#This Row],[category_id]],#REF!,3,FALSE),"")</f>
        <v/>
      </c>
      <c r="C398" s="23" t="str">
        <f>IFERROR(VLOOKUP(category_assignment_2[[#This Row],[abbreviation_id]],abbreviation[],ColumnLanguage+1,FALSE),"")</f>
        <v/>
      </c>
      <c r="D398" s="23"/>
      <c r="E398" s="23"/>
      <c r="F398" s="23"/>
      <c r="G398" s="23"/>
      <c r="H398" s="23"/>
      <c r="I398" s="23"/>
      <c r="J398" s="23"/>
      <c r="K398" s="23"/>
    </row>
    <row r="399" spans="1:11" x14ac:dyDescent="0.25">
      <c r="A399" s="4" t="str">
        <f>IFERROR(category_assignment_2[[#This Row],[category_assignment_id]],"")</f>
        <v/>
      </c>
      <c r="B399" s="23" t="str">
        <f>IFERROR(VLOOKUP(category_assignment_2[[#This Row],[category_id]],#REF!,3,FALSE),"")</f>
        <v/>
      </c>
      <c r="C399" s="23" t="str">
        <f>IFERROR(VLOOKUP(category_assignment_2[[#This Row],[abbreviation_id]],abbreviation[],ColumnLanguage+1,FALSE),"")</f>
        <v/>
      </c>
      <c r="D399" s="23"/>
      <c r="E399" s="23"/>
      <c r="F399" s="23"/>
      <c r="G399" s="23"/>
      <c r="H399" s="23"/>
      <c r="I399" s="23"/>
      <c r="J399" s="23"/>
      <c r="K399" s="23"/>
    </row>
    <row r="400" spans="1:11" x14ac:dyDescent="0.25">
      <c r="A400" s="4" t="str">
        <f>IFERROR(category_assignment_2[[#This Row],[category_assignment_id]],"")</f>
        <v/>
      </c>
      <c r="B400" s="23" t="str">
        <f>IFERROR(VLOOKUP(category_assignment_2[[#This Row],[category_id]],#REF!,3,FALSE),"")</f>
        <v/>
      </c>
      <c r="C400" s="23" t="str">
        <f>IFERROR(VLOOKUP(category_assignment_2[[#This Row],[abbreviation_id]],abbreviation[],ColumnLanguage+1,FALSE),"")</f>
        <v/>
      </c>
      <c r="D400" s="23"/>
      <c r="E400" s="23"/>
      <c r="F400" s="23"/>
      <c r="G400" s="23"/>
      <c r="H400" s="23"/>
      <c r="I400" s="23"/>
      <c r="J400" s="23"/>
      <c r="K400" s="23"/>
    </row>
    <row r="401" spans="1:11" x14ac:dyDescent="0.25">
      <c r="A401" s="4" t="str">
        <f>IFERROR(category_assignment_2[[#This Row],[category_assignment_id]],"")</f>
        <v/>
      </c>
      <c r="B401" s="23" t="str">
        <f>IFERROR(VLOOKUP(category_assignment_2[[#This Row],[category_id]],#REF!,3,FALSE),"")</f>
        <v/>
      </c>
      <c r="C401" s="23" t="str">
        <f>IFERROR(VLOOKUP(category_assignment_2[[#This Row],[abbreviation_id]],abbreviation[],ColumnLanguage+1,FALSE),"")</f>
        <v/>
      </c>
      <c r="D401" s="23"/>
      <c r="E401" s="23"/>
      <c r="F401" s="23"/>
      <c r="G401" s="23"/>
      <c r="H401" s="23"/>
      <c r="I401" s="23"/>
      <c r="J401" s="23"/>
      <c r="K401" s="23"/>
    </row>
    <row r="402" spans="1:11" x14ac:dyDescent="0.25">
      <c r="A402" s="4" t="str">
        <f>IFERROR(category_assignment_2[[#This Row],[category_assignment_id]],"")</f>
        <v/>
      </c>
      <c r="B402" s="23" t="str">
        <f>IFERROR(VLOOKUP(category_assignment_2[[#This Row],[category_id]],#REF!,3,FALSE),"")</f>
        <v/>
      </c>
      <c r="C402" s="23" t="str">
        <f>IFERROR(VLOOKUP(category_assignment_2[[#This Row],[abbreviation_id]],abbreviation[],ColumnLanguage+1,FALSE),"")</f>
        <v/>
      </c>
      <c r="D402" s="23"/>
      <c r="E402" s="23"/>
      <c r="F402" s="23"/>
      <c r="G402" s="23"/>
      <c r="H402" s="23"/>
      <c r="I402" s="23"/>
      <c r="J402" s="23"/>
      <c r="K402" s="23"/>
    </row>
    <row r="403" spans="1:11" x14ac:dyDescent="0.25">
      <c r="A403" s="4" t="str">
        <f>IFERROR(category_assignment_2[[#This Row],[category_assignment_id]],"")</f>
        <v/>
      </c>
      <c r="B403" s="23" t="str">
        <f>IFERROR(VLOOKUP(category_assignment_2[[#This Row],[category_id]],#REF!,3,FALSE),"")</f>
        <v/>
      </c>
      <c r="C403" s="23" t="str">
        <f>IFERROR(VLOOKUP(category_assignment_2[[#This Row],[abbreviation_id]],abbreviation[],ColumnLanguage+1,FALSE),"")</f>
        <v/>
      </c>
      <c r="D403" s="23"/>
      <c r="E403" s="23"/>
      <c r="F403" s="23"/>
      <c r="G403" s="23"/>
      <c r="H403" s="23"/>
      <c r="I403" s="23"/>
      <c r="J403" s="23"/>
      <c r="K403" s="23"/>
    </row>
    <row r="404" spans="1:11" x14ac:dyDescent="0.25">
      <c r="A404" s="4" t="str">
        <f>IFERROR(category_assignment_2[[#This Row],[category_assignment_id]],"")</f>
        <v/>
      </c>
      <c r="B404" s="23" t="str">
        <f>IFERROR(VLOOKUP(category_assignment_2[[#This Row],[category_id]],#REF!,3,FALSE),"")</f>
        <v/>
      </c>
      <c r="C404" s="23" t="str">
        <f>IFERROR(VLOOKUP(category_assignment_2[[#This Row],[abbreviation_id]],abbreviation[],ColumnLanguage+1,FALSE),"")</f>
        <v/>
      </c>
      <c r="D404" s="23"/>
      <c r="E404" s="23"/>
      <c r="F404" s="23"/>
      <c r="G404" s="23"/>
      <c r="H404" s="23"/>
      <c r="I404" s="23"/>
      <c r="J404" s="23"/>
      <c r="K404" s="23"/>
    </row>
    <row r="405" spans="1:11" x14ac:dyDescent="0.25">
      <c r="A405" s="4" t="str">
        <f>IFERROR(category_assignment_2[[#This Row],[category_assignment_id]],"")</f>
        <v/>
      </c>
      <c r="B405" s="23" t="str">
        <f>IFERROR(VLOOKUP(category_assignment_2[[#This Row],[category_id]],#REF!,3,FALSE),"")</f>
        <v/>
      </c>
      <c r="C405" s="23" t="str">
        <f>IFERROR(VLOOKUP(category_assignment_2[[#This Row],[abbreviation_id]],abbreviation[],ColumnLanguage+1,FALSE),"")</f>
        <v/>
      </c>
      <c r="D405" s="23"/>
      <c r="E405" s="23"/>
      <c r="F405" s="23"/>
      <c r="G405" s="23"/>
      <c r="H405" s="23"/>
      <c r="I405" s="23"/>
      <c r="J405" s="23"/>
      <c r="K405" s="23"/>
    </row>
    <row r="406" spans="1:11" x14ac:dyDescent="0.25">
      <c r="A406" s="4" t="str">
        <f>IFERROR(category_assignment_2[[#This Row],[category_assignment_id]],"")</f>
        <v/>
      </c>
      <c r="B406" s="23" t="str">
        <f>IFERROR(VLOOKUP(category_assignment_2[[#This Row],[category_id]],#REF!,3,FALSE),"")</f>
        <v/>
      </c>
      <c r="C406" s="23" t="str">
        <f>IFERROR(VLOOKUP(category_assignment_2[[#This Row],[abbreviation_id]],abbreviation[],ColumnLanguage+1,FALSE),"")</f>
        <v/>
      </c>
      <c r="D406" s="23"/>
      <c r="E406" s="23"/>
      <c r="F406" s="23"/>
      <c r="G406" s="23"/>
      <c r="H406" s="23"/>
      <c r="I406" s="23"/>
      <c r="J406" s="23"/>
      <c r="K406" s="23"/>
    </row>
    <row r="407" spans="1:11" x14ac:dyDescent="0.25">
      <c r="A407" s="4" t="str">
        <f>IFERROR(category_assignment_2[[#This Row],[category_assignment_id]],"")</f>
        <v/>
      </c>
      <c r="B407" s="23" t="str">
        <f>IFERROR(VLOOKUP(category_assignment_2[[#This Row],[category_id]],#REF!,3,FALSE),"")</f>
        <v/>
      </c>
      <c r="C407" s="23" t="str">
        <f>IFERROR(VLOOKUP(category_assignment_2[[#This Row],[abbreviation_id]],abbreviation[],ColumnLanguage+1,FALSE),"")</f>
        <v/>
      </c>
      <c r="D407" s="23"/>
      <c r="E407" s="23"/>
      <c r="F407" s="23"/>
      <c r="G407" s="23"/>
      <c r="H407" s="23"/>
      <c r="I407" s="23"/>
      <c r="J407" s="23"/>
      <c r="K407" s="23"/>
    </row>
    <row r="408" spans="1:11" x14ac:dyDescent="0.25">
      <c r="A408" s="4" t="str">
        <f>IFERROR(category_assignment_2[[#This Row],[category_assignment_id]],"")</f>
        <v/>
      </c>
      <c r="B408" s="23" t="str">
        <f>IFERROR(VLOOKUP(category_assignment_2[[#This Row],[category_id]],#REF!,3,FALSE),"")</f>
        <v/>
      </c>
      <c r="C408" s="23" t="str">
        <f>IFERROR(VLOOKUP(category_assignment_2[[#This Row],[abbreviation_id]],abbreviation[],ColumnLanguage+1,FALSE),"")</f>
        <v/>
      </c>
      <c r="D408" s="23"/>
      <c r="E408" s="23"/>
      <c r="F408" s="23"/>
      <c r="G408" s="23"/>
      <c r="H408" s="23"/>
      <c r="I408" s="23"/>
      <c r="J408" s="23"/>
      <c r="K408" s="23"/>
    </row>
    <row r="409" spans="1:11" x14ac:dyDescent="0.25">
      <c r="A409" s="4" t="str">
        <f>IFERROR(category_assignment_2[[#This Row],[category_assignment_id]],"")</f>
        <v/>
      </c>
      <c r="B409" s="23" t="str">
        <f>IFERROR(VLOOKUP(category_assignment_2[[#This Row],[category_id]],#REF!,3,FALSE),"")</f>
        <v/>
      </c>
      <c r="C409" s="23" t="str">
        <f>IFERROR(VLOOKUP(category_assignment_2[[#This Row],[abbreviation_id]],abbreviation[],ColumnLanguage+1,FALSE),"")</f>
        <v/>
      </c>
      <c r="D409" s="23"/>
      <c r="E409" s="23"/>
      <c r="F409" s="23"/>
      <c r="G409" s="23"/>
      <c r="H409" s="23"/>
      <c r="I409" s="23"/>
      <c r="J409" s="23"/>
      <c r="K409" s="23"/>
    </row>
    <row r="410" spans="1:11" x14ac:dyDescent="0.25">
      <c r="A410" s="4" t="str">
        <f>IFERROR(category_assignment_2[[#This Row],[category_assignment_id]],"")</f>
        <v/>
      </c>
      <c r="B410" s="23" t="str">
        <f>IFERROR(VLOOKUP(category_assignment_2[[#This Row],[category_id]],#REF!,3,FALSE),"")</f>
        <v/>
      </c>
      <c r="C410" s="23" t="str">
        <f>IFERROR(VLOOKUP(category_assignment_2[[#This Row],[abbreviation_id]],abbreviation[],ColumnLanguage+1,FALSE),"")</f>
        <v/>
      </c>
      <c r="D410" s="23"/>
      <c r="E410" s="23"/>
      <c r="F410" s="23"/>
      <c r="G410" s="23"/>
      <c r="H410" s="23"/>
      <c r="I410" s="23"/>
      <c r="J410" s="23"/>
      <c r="K410" s="23"/>
    </row>
    <row r="411" spans="1:11" x14ac:dyDescent="0.25">
      <c r="A411" s="4" t="str">
        <f>IFERROR(category_assignment_2[[#This Row],[category_assignment_id]],"")</f>
        <v/>
      </c>
      <c r="B411" s="23" t="str">
        <f>IFERROR(VLOOKUP(category_assignment_2[[#This Row],[category_id]],#REF!,3,FALSE),"")</f>
        <v/>
      </c>
      <c r="C411" s="23" t="str">
        <f>IFERROR(VLOOKUP(category_assignment_2[[#This Row],[abbreviation_id]],abbreviation[],ColumnLanguage+1,FALSE),"")</f>
        <v/>
      </c>
      <c r="D411" s="23"/>
      <c r="E411" s="23"/>
      <c r="F411" s="23"/>
      <c r="G411" s="23"/>
      <c r="H411" s="23"/>
      <c r="I411" s="23"/>
      <c r="J411" s="23"/>
      <c r="K411" s="23"/>
    </row>
    <row r="412" spans="1:11" x14ac:dyDescent="0.25">
      <c r="A412" s="4" t="str">
        <f>IFERROR(category_assignment_2[[#This Row],[category_assignment_id]],"")</f>
        <v/>
      </c>
      <c r="B412" s="23" t="str">
        <f>IFERROR(VLOOKUP(category_assignment_2[[#This Row],[category_id]],#REF!,3,FALSE),"")</f>
        <v/>
      </c>
      <c r="C412" s="23" t="str">
        <f>IFERROR(VLOOKUP(category_assignment_2[[#This Row],[abbreviation_id]],abbreviation[],ColumnLanguage+1,FALSE),"")</f>
        <v/>
      </c>
      <c r="D412" s="23"/>
      <c r="E412" s="23"/>
      <c r="F412" s="23"/>
      <c r="G412" s="23"/>
      <c r="H412" s="23"/>
      <c r="I412" s="23"/>
      <c r="J412" s="23"/>
      <c r="K412" s="23"/>
    </row>
    <row r="413" spans="1:11" x14ac:dyDescent="0.25">
      <c r="A413" s="4" t="str">
        <f>IFERROR(category_assignment_2[[#This Row],[category_assignment_id]],"")</f>
        <v/>
      </c>
      <c r="B413" s="23" t="str">
        <f>IFERROR(VLOOKUP(category_assignment_2[[#This Row],[category_id]],#REF!,3,FALSE),"")</f>
        <v/>
      </c>
      <c r="C413" s="23" t="str">
        <f>IFERROR(VLOOKUP(category_assignment_2[[#This Row],[abbreviation_id]],abbreviation[],ColumnLanguage+1,FALSE),"")</f>
        <v/>
      </c>
      <c r="D413" s="23"/>
      <c r="E413" s="23"/>
      <c r="F413" s="23"/>
      <c r="G413" s="23"/>
      <c r="H413" s="23"/>
      <c r="I413" s="23"/>
      <c r="J413" s="23"/>
      <c r="K413" s="23"/>
    </row>
    <row r="414" spans="1:11" x14ac:dyDescent="0.25">
      <c r="A414" s="4" t="str">
        <f>IFERROR(category_assignment_2[[#This Row],[category_assignment_id]],"")</f>
        <v/>
      </c>
      <c r="B414" s="23" t="str">
        <f>IFERROR(VLOOKUP(category_assignment_2[[#This Row],[category_id]],#REF!,3,FALSE),"")</f>
        <v/>
      </c>
      <c r="C414" s="23" t="str">
        <f>IFERROR(VLOOKUP(category_assignment_2[[#This Row],[abbreviation_id]],abbreviation[],ColumnLanguage+1,FALSE),"")</f>
        <v/>
      </c>
      <c r="D414" s="23"/>
      <c r="E414" s="23"/>
      <c r="F414" s="23"/>
      <c r="G414" s="23"/>
      <c r="H414" s="23"/>
      <c r="I414" s="23"/>
      <c r="J414" s="23"/>
      <c r="K414" s="23"/>
    </row>
    <row r="415" spans="1:11" x14ac:dyDescent="0.25">
      <c r="A415" s="4" t="str">
        <f>IFERROR(category_assignment_2[[#This Row],[category_assignment_id]],"")</f>
        <v/>
      </c>
      <c r="B415" s="23" t="str">
        <f>IFERROR(VLOOKUP(category_assignment_2[[#This Row],[category_id]],#REF!,3,FALSE),"")</f>
        <v/>
      </c>
      <c r="C415" s="23" t="str">
        <f>IFERROR(VLOOKUP(category_assignment_2[[#This Row],[abbreviation_id]],abbreviation[],ColumnLanguage+1,FALSE),"")</f>
        <v/>
      </c>
      <c r="D415" s="23"/>
      <c r="E415" s="23"/>
      <c r="F415" s="23"/>
      <c r="G415" s="23"/>
      <c r="H415" s="23"/>
      <c r="I415" s="23"/>
      <c r="J415" s="23"/>
      <c r="K415" s="23"/>
    </row>
    <row r="416" spans="1:11" x14ac:dyDescent="0.25">
      <c r="A416" s="4" t="str">
        <f>IFERROR(category_assignment_2[[#This Row],[category_assignment_id]],"")</f>
        <v/>
      </c>
      <c r="B416" s="23" t="str">
        <f>IFERROR(VLOOKUP(category_assignment_2[[#This Row],[category_id]],#REF!,3,FALSE),"")</f>
        <v/>
      </c>
      <c r="C416" s="23" t="str">
        <f>IFERROR(VLOOKUP(category_assignment_2[[#This Row],[abbreviation_id]],abbreviation[],ColumnLanguage+1,FALSE),"")</f>
        <v/>
      </c>
      <c r="D416" s="23"/>
      <c r="E416" s="23"/>
      <c r="F416" s="23"/>
      <c r="G416" s="23"/>
      <c r="H416" s="23"/>
      <c r="I416" s="23"/>
      <c r="J416" s="23"/>
      <c r="K416" s="23"/>
    </row>
    <row r="417" spans="1:11" x14ac:dyDescent="0.25">
      <c r="A417" s="4" t="str">
        <f>IFERROR(category_assignment_2[[#This Row],[category_assignment_id]],"")</f>
        <v/>
      </c>
      <c r="B417" s="23" t="str">
        <f>IFERROR(VLOOKUP(category_assignment_2[[#This Row],[category_id]],#REF!,3,FALSE),"")</f>
        <v/>
      </c>
      <c r="C417" s="23" t="str">
        <f>IFERROR(VLOOKUP(category_assignment_2[[#This Row],[abbreviation_id]],abbreviation[],ColumnLanguage+1,FALSE),"")</f>
        <v/>
      </c>
      <c r="D417" s="23"/>
      <c r="E417" s="23"/>
      <c r="F417" s="23"/>
      <c r="G417" s="23"/>
      <c r="H417" s="23"/>
      <c r="I417" s="23"/>
      <c r="J417" s="23"/>
      <c r="K417" s="23"/>
    </row>
    <row r="418" spans="1:11" x14ac:dyDescent="0.25">
      <c r="A418" s="4" t="str">
        <f>IFERROR(category_assignment_2[[#This Row],[category_assignment_id]],"")</f>
        <v/>
      </c>
      <c r="B418" s="23" t="str">
        <f>IFERROR(VLOOKUP(category_assignment_2[[#This Row],[category_id]],#REF!,3,FALSE),"")</f>
        <v/>
      </c>
      <c r="C418" s="23" t="str">
        <f>IFERROR(VLOOKUP(category_assignment_2[[#This Row],[abbreviation_id]],abbreviation[],ColumnLanguage+1,FALSE),"")</f>
        <v/>
      </c>
      <c r="D418" s="23"/>
      <c r="E418" s="23"/>
      <c r="F418" s="23"/>
      <c r="G418" s="23"/>
      <c r="H418" s="23"/>
      <c r="I418" s="23"/>
      <c r="J418" s="23"/>
      <c r="K418" s="23"/>
    </row>
    <row r="419" spans="1:11" x14ac:dyDescent="0.25">
      <c r="A419" s="4" t="str">
        <f>IFERROR(category_assignment_2[[#This Row],[category_assignment_id]],"")</f>
        <v/>
      </c>
      <c r="B419" s="23" t="str">
        <f>IFERROR(VLOOKUP(category_assignment_2[[#This Row],[category_id]],#REF!,3,FALSE),"")</f>
        <v/>
      </c>
      <c r="C419" s="23" t="str">
        <f>IFERROR(VLOOKUP(category_assignment_2[[#This Row],[abbreviation_id]],abbreviation[],ColumnLanguage+1,FALSE),"")</f>
        <v/>
      </c>
      <c r="D419" s="23"/>
      <c r="E419" s="23"/>
      <c r="F419" s="23"/>
      <c r="G419" s="23"/>
      <c r="H419" s="23"/>
      <c r="I419" s="23"/>
      <c r="J419" s="23"/>
      <c r="K419" s="23"/>
    </row>
    <row r="420" spans="1:11" x14ac:dyDescent="0.25">
      <c r="A420" s="4" t="str">
        <f>IFERROR(category_assignment_2[[#This Row],[category_assignment_id]],"")</f>
        <v/>
      </c>
      <c r="B420" s="23" t="str">
        <f>IFERROR(VLOOKUP(category_assignment_2[[#This Row],[category_id]],#REF!,3,FALSE),"")</f>
        <v/>
      </c>
      <c r="C420" s="23" t="str">
        <f>IFERROR(VLOOKUP(category_assignment_2[[#This Row],[abbreviation_id]],abbreviation[],ColumnLanguage+1,FALSE),"")</f>
        <v/>
      </c>
      <c r="D420" s="23"/>
      <c r="E420" s="23"/>
      <c r="F420" s="23"/>
      <c r="G420" s="23"/>
      <c r="H420" s="23"/>
      <c r="I420" s="23"/>
      <c r="J420" s="23"/>
      <c r="K420" s="23"/>
    </row>
    <row r="421" spans="1:11" x14ac:dyDescent="0.25">
      <c r="A421" s="4" t="str">
        <f>IFERROR(category_assignment_2[[#This Row],[category_assignment_id]],"")</f>
        <v/>
      </c>
      <c r="B421" s="23" t="str">
        <f>IFERROR(VLOOKUP(category_assignment_2[[#This Row],[category_id]],#REF!,3,FALSE),"")</f>
        <v/>
      </c>
      <c r="C421" s="23" t="str">
        <f>IFERROR(VLOOKUP(category_assignment_2[[#This Row],[abbreviation_id]],abbreviation[],ColumnLanguage+1,FALSE),"")</f>
        <v/>
      </c>
      <c r="D421" s="23"/>
      <c r="E421" s="23"/>
      <c r="F421" s="23"/>
      <c r="G421" s="23"/>
      <c r="H421" s="23"/>
      <c r="I421" s="23"/>
      <c r="J421" s="23"/>
      <c r="K421" s="23"/>
    </row>
    <row r="422" spans="1:11" x14ac:dyDescent="0.25">
      <c r="A422" s="4" t="str">
        <f>IFERROR(category_assignment_2[[#This Row],[category_assignment_id]],"")</f>
        <v/>
      </c>
      <c r="B422" s="23" t="str">
        <f>IFERROR(VLOOKUP(category_assignment_2[[#This Row],[category_id]],#REF!,3,FALSE),"")</f>
        <v/>
      </c>
      <c r="C422" s="23" t="str">
        <f>IFERROR(VLOOKUP(category_assignment_2[[#This Row],[abbreviation_id]],abbreviation[],ColumnLanguage+1,FALSE),"")</f>
        <v/>
      </c>
      <c r="D422" s="23"/>
      <c r="E422" s="23"/>
      <c r="F422" s="23"/>
      <c r="G422" s="23"/>
      <c r="H422" s="23"/>
      <c r="I422" s="23"/>
      <c r="J422" s="23"/>
      <c r="K422" s="23"/>
    </row>
    <row r="423" spans="1:11" x14ac:dyDescent="0.25">
      <c r="A423" s="4" t="str">
        <f>IFERROR(category_assignment_2[[#This Row],[category_assignment_id]],"")</f>
        <v/>
      </c>
      <c r="B423" s="23" t="str">
        <f>IFERROR(VLOOKUP(category_assignment_2[[#This Row],[category_id]],#REF!,3,FALSE),"")</f>
        <v/>
      </c>
      <c r="C423" s="23" t="str">
        <f>IFERROR(VLOOKUP(category_assignment_2[[#This Row],[abbreviation_id]],abbreviation[],ColumnLanguage+1,FALSE),"")</f>
        <v/>
      </c>
      <c r="D423" s="23"/>
      <c r="E423" s="23"/>
      <c r="F423" s="23"/>
      <c r="G423" s="23"/>
      <c r="H423" s="23"/>
      <c r="I423" s="23"/>
      <c r="J423" s="23"/>
      <c r="K423" s="23"/>
    </row>
    <row r="424" spans="1:11" x14ac:dyDescent="0.25">
      <c r="A424" s="4" t="str">
        <f>IFERROR(category_assignment_2[[#This Row],[category_assignment_id]],"")</f>
        <v/>
      </c>
      <c r="B424" s="23" t="str">
        <f>IFERROR(VLOOKUP(category_assignment_2[[#This Row],[category_id]],#REF!,3,FALSE),"")</f>
        <v/>
      </c>
      <c r="C424" s="23" t="str">
        <f>IFERROR(VLOOKUP(category_assignment_2[[#This Row],[abbreviation_id]],abbreviation[],ColumnLanguage+1,FALSE),"")</f>
        <v/>
      </c>
      <c r="D424" s="23"/>
      <c r="E424" s="23"/>
      <c r="F424" s="23"/>
      <c r="G424" s="23"/>
      <c r="H424" s="23"/>
      <c r="I424" s="23"/>
      <c r="J424" s="23"/>
      <c r="K424" s="23"/>
    </row>
    <row r="425" spans="1:11" x14ac:dyDescent="0.25">
      <c r="A425" s="4" t="str">
        <f>IFERROR(category_assignment_2[[#This Row],[category_assignment_id]],"")</f>
        <v/>
      </c>
      <c r="B425" s="23" t="str">
        <f>IFERROR(VLOOKUP(category_assignment_2[[#This Row],[category_id]],#REF!,3,FALSE),"")</f>
        <v/>
      </c>
      <c r="C425" s="23" t="str">
        <f>IFERROR(VLOOKUP(category_assignment_2[[#This Row],[abbreviation_id]],abbreviation[],ColumnLanguage+1,FALSE),"")</f>
        <v/>
      </c>
      <c r="D425" s="23"/>
      <c r="E425" s="23"/>
      <c r="F425" s="23"/>
      <c r="G425" s="23"/>
      <c r="H425" s="23"/>
      <c r="I425" s="23"/>
      <c r="J425" s="23"/>
      <c r="K425" s="23"/>
    </row>
    <row r="426" spans="1:11" x14ac:dyDescent="0.25">
      <c r="A426" s="4" t="str">
        <f>IFERROR(category_assignment_2[[#This Row],[category_assignment_id]],"")</f>
        <v/>
      </c>
      <c r="B426" s="23" t="str">
        <f>IFERROR(VLOOKUP(category_assignment_2[[#This Row],[category_id]],#REF!,3,FALSE),"")</f>
        <v/>
      </c>
      <c r="C426" s="23" t="str">
        <f>IFERROR(VLOOKUP(category_assignment_2[[#This Row],[abbreviation_id]],abbreviation[],ColumnLanguage+1,FALSE),"")</f>
        <v/>
      </c>
      <c r="D426" s="23"/>
      <c r="E426" s="23"/>
      <c r="F426" s="23"/>
      <c r="G426" s="23"/>
      <c r="H426" s="23"/>
      <c r="I426" s="23"/>
      <c r="J426" s="23"/>
      <c r="K426" s="23"/>
    </row>
    <row r="427" spans="1:11" x14ac:dyDescent="0.25">
      <c r="A427" s="4" t="str">
        <f>IFERROR(category_assignment_2[[#This Row],[category_assignment_id]],"")</f>
        <v/>
      </c>
      <c r="B427" s="23" t="str">
        <f>IFERROR(VLOOKUP(category_assignment_2[[#This Row],[category_id]],#REF!,3,FALSE),"")</f>
        <v/>
      </c>
      <c r="C427" s="23" t="str">
        <f>IFERROR(VLOOKUP(category_assignment_2[[#This Row],[abbreviation_id]],abbreviation[],ColumnLanguage+1,FALSE),"")</f>
        <v/>
      </c>
      <c r="D427" s="23"/>
      <c r="E427" s="23"/>
      <c r="F427" s="23"/>
      <c r="G427" s="23"/>
      <c r="H427" s="23"/>
      <c r="I427" s="23"/>
      <c r="J427" s="23"/>
      <c r="K427" s="23"/>
    </row>
    <row r="428" spans="1:11" x14ac:dyDescent="0.25">
      <c r="A428" s="4" t="str">
        <f>IFERROR(category_assignment_2[[#This Row],[category_assignment_id]],"")</f>
        <v/>
      </c>
      <c r="B428" s="23" t="str">
        <f>IFERROR(VLOOKUP(category_assignment_2[[#This Row],[category_id]],#REF!,3,FALSE),"")</f>
        <v/>
      </c>
      <c r="C428" s="23" t="str">
        <f>IFERROR(VLOOKUP(category_assignment_2[[#This Row],[abbreviation_id]],abbreviation[],ColumnLanguage+1,FALSE),"")</f>
        <v/>
      </c>
      <c r="D428" s="23"/>
      <c r="E428" s="23"/>
      <c r="F428" s="23"/>
      <c r="G428" s="23"/>
      <c r="H428" s="23"/>
      <c r="I428" s="23"/>
      <c r="J428" s="23"/>
      <c r="K428" s="23"/>
    </row>
    <row r="429" spans="1:11" x14ac:dyDescent="0.25">
      <c r="A429" s="4" t="str">
        <f>IFERROR(category_assignment_2[[#This Row],[category_assignment_id]],"")</f>
        <v/>
      </c>
      <c r="B429" s="23" t="str">
        <f>IFERROR(VLOOKUP(category_assignment_2[[#This Row],[category_id]],#REF!,3,FALSE),"")</f>
        <v/>
      </c>
      <c r="C429" s="23" t="str">
        <f>IFERROR(VLOOKUP(category_assignment_2[[#This Row],[abbreviation_id]],abbreviation[],ColumnLanguage+1,FALSE),"")</f>
        <v/>
      </c>
      <c r="D429" s="23"/>
      <c r="E429" s="23"/>
      <c r="F429" s="23"/>
      <c r="G429" s="23"/>
      <c r="H429" s="23"/>
      <c r="I429" s="23"/>
      <c r="J429" s="23"/>
      <c r="K429" s="23"/>
    </row>
    <row r="430" spans="1:11" x14ac:dyDescent="0.25">
      <c r="A430" s="4" t="str">
        <f>IFERROR(category_assignment_2[[#This Row],[category_assignment_id]],"")</f>
        <v/>
      </c>
      <c r="B430" s="23" t="str">
        <f>IFERROR(VLOOKUP(category_assignment_2[[#This Row],[category_id]],#REF!,3,FALSE),"")</f>
        <v/>
      </c>
      <c r="C430" s="23" t="str">
        <f>IFERROR(VLOOKUP(category_assignment_2[[#This Row],[abbreviation_id]],abbreviation[],ColumnLanguage+1,FALSE),"")</f>
        <v/>
      </c>
      <c r="D430" s="23"/>
      <c r="E430" s="23"/>
      <c r="F430" s="23"/>
      <c r="G430" s="23"/>
      <c r="H430" s="23"/>
      <c r="I430" s="23"/>
      <c r="J430" s="23"/>
      <c r="K430" s="23"/>
    </row>
    <row r="431" spans="1:11" x14ac:dyDescent="0.25">
      <c r="A431" s="4" t="str">
        <f>IFERROR(category_assignment_2[[#This Row],[category_assignment_id]],"")</f>
        <v/>
      </c>
      <c r="B431" s="23" t="str">
        <f>IFERROR(VLOOKUP(category_assignment_2[[#This Row],[category_id]],#REF!,3,FALSE),"")</f>
        <v/>
      </c>
      <c r="C431" s="23" t="str">
        <f>IFERROR(VLOOKUP(category_assignment_2[[#This Row],[abbreviation_id]],abbreviation[],ColumnLanguage+1,FALSE),"")</f>
        <v/>
      </c>
      <c r="D431" s="23"/>
      <c r="E431" s="23"/>
      <c r="F431" s="23"/>
      <c r="G431" s="23"/>
      <c r="H431" s="23"/>
      <c r="I431" s="23"/>
      <c r="J431" s="23"/>
      <c r="K431" s="23"/>
    </row>
    <row r="432" spans="1:11" x14ac:dyDescent="0.25">
      <c r="A432" s="4" t="str">
        <f>IFERROR(category_assignment_2[[#This Row],[category_assignment_id]],"")</f>
        <v/>
      </c>
      <c r="B432" s="23" t="str">
        <f>IFERROR(VLOOKUP(category_assignment_2[[#This Row],[category_id]],#REF!,3,FALSE),"")</f>
        <v/>
      </c>
      <c r="C432" s="23" t="str">
        <f>IFERROR(VLOOKUP(category_assignment_2[[#This Row],[abbreviation_id]],abbreviation[],ColumnLanguage+1,FALSE),"")</f>
        <v/>
      </c>
      <c r="D432" s="23"/>
      <c r="E432" s="23"/>
      <c r="F432" s="23"/>
      <c r="G432" s="23"/>
      <c r="H432" s="23"/>
      <c r="I432" s="23"/>
      <c r="J432" s="23"/>
      <c r="K432" s="23"/>
    </row>
    <row r="433" spans="1:11" x14ac:dyDescent="0.25">
      <c r="A433" s="4" t="str">
        <f>IFERROR(category_assignment_2[[#This Row],[category_assignment_id]],"")</f>
        <v/>
      </c>
      <c r="B433" s="23" t="str">
        <f>IFERROR(VLOOKUP(category_assignment_2[[#This Row],[category_id]],#REF!,3,FALSE),"")</f>
        <v/>
      </c>
      <c r="C433" s="23" t="str">
        <f>IFERROR(VLOOKUP(category_assignment_2[[#This Row],[abbreviation_id]],abbreviation[],ColumnLanguage+1,FALSE),"")</f>
        <v/>
      </c>
      <c r="D433" s="23"/>
      <c r="E433" s="23"/>
      <c r="F433" s="23"/>
      <c r="G433" s="23"/>
      <c r="H433" s="23"/>
      <c r="I433" s="23"/>
      <c r="J433" s="23"/>
      <c r="K433" s="23"/>
    </row>
    <row r="434" spans="1:11" x14ac:dyDescent="0.25">
      <c r="A434" s="4" t="str">
        <f>IFERROR(category_assignment_2[[#This Row],[category_assignment_id]],"")</f>
        <v/>
      </c>
      <c r="B434" s="23" t="str">
        <f>IFERROR(VLOOKUP(category_assignment_2[[#This Row],[category_id]],#REF!,3,FALSE),"")</f>
        <v/>
      </c>
      <c r="C434" s="23" t="str">
        <f>IFERROR(VLOOKUP(category_assignment_2[[#This Row],[abbreviation_id]],abbreviation[],ColumnLanguage+1,FALSE),"")</f>
        <v/>
      </c>
      <c r="D434" s="23"/>
      <c r="E434" s="23"/>
      <c r="F434" s="23"/>
      <c r="G434" s="23"/>
      <c r="H434" s="23"/>
      <c r="I434" s="23"/>
      <c r="J434" s="23"/>
      <c r="K434" s="23"/>
    </row>
    <row r="435" spans="1:11" x14ac:dyDescent="0.25">
      <c r="A435" s="4" t="str">
        <f>IFERROR(category_assignment_2[[#This Row],[category_assignment_id]],"")</f>
        <v/>
      </c>
      <c r="B435" s="23" t="str">
        <f>IFERROR(VLOOKUP(category_assignment_2[[#This Row],[category_id]],#REF!,3,FALSE),"")</f>
        <v/>
      </c>
      <c r="C435" s="23" t="str">
        <f>IFERROR(VLOOKUP(category_assignment_2[[#This Row],[abbreviation_id]],abbreviation[],ColumnLanguage+1,FALSE),"")</f>
        <v/>
      </c>
      <c r="D435" s="23"/>
      <c r="E435" s="23"/>
      <c r="F435" s="23"/>
      <c r="G435" s="23"/>
      <c r="H435" s="23"/>
      <c r="I435" s="23"/>
      <c r="J435" s="23"/>
      <c r="K435" s="23"/>
    </row>
    <row r="436" spans="1:11" x14ac:dyDescent="0.25">
      <c r="A436" s="4" t="str">
        <f>IFERROR(category_assignment_2[[#This Row],[category_assignment_id]],"")</f>
        <v/>
      </c>
      <c r="B436" s="23" t="str">
        <f>IFERROR(VLOOKUP(category_assignment_2[[#This Row],[category_id]],#REF!,3,FALSE),"")</f>
        <v/>
      </c>
      <c r="C436" s="23" t="str">
        <f>IFERROR(VLOOKUP(category_assignment_2[[#This Row],[abbreviation_id]],abbreviation[],ColumnLanguage+1,FALSE),"")</f>
        <v/>
      </c>
      <c r="D436" s="23"/>
      <c r="E436" s="23"/>
      <c r="F436" s="23"/>
      <c r="G436" s="23"/>
      <c r="H436" s="23"/>
      <c r="I436" s="23"/>
      <c r="J436" s="23"/>
      <c r="K436" s="23"/>
    </row>
    <row r="437" spans="1:11" x14ac:dyDescent="0.25">
      <c r="A437" s="4" t="str">
        <f>IFERROR(category_assignment_2[[#This Row],[category_assignment_id]],"")</f>
        <v/>
      </c>
      <c r="B437" s="23" t="str">
        <f>IFERROR(VLOOKUP(category_assignment_2[[#This Row],[category_id]],#REF!,3,FALSE),"")</f>
        <v/>
      </c>
      <c r="C437" s="23" t="str">
        <f>IFERROR(VLOOKUP(category_assignment_2[[#This Row],[abbreviation_id]],abbreviation[],ColumnLanguage+1,FALSE),"")</f>
        <v/>
      </c>
      <c r="D437" s="23"/>
      <c r="E437" s="23"/>
      <c r="F437" s="23"/>
      <c r="G437" s="23"/>
      <c r="H437" s="23"/>
      <c r="I437" s="23"/>
      <c r="J437" s="23"/>
      <c r="K437" s="23"/>
    </row>
    <row r="438" spans="1:11" x14ac:dyDescent="0.25">
      <c r="A438" s="4" t="str">
        <f>IFERROR(category_assignment_2[[#This Row],[category_assignment_id]],"")</f>
        <v/>
      </c>
      <c r="B438" s="23" t="str">
        <f>IFERROR(VLOOKUP(category_assignment_2[[#This Row],[category_id]],#REF!,3,FALSE),"")</f>
        <v/>
      </c>
      <c r="C438" s="23" t="str">
        <f>IFERROR(VLOOKUP(category_assignment_2[[#This Row],[abbreviation_id]],abbreviation[],ColumnLanguage+1,FALSE),"")</f>
        <v/>
      </c>
      <c r="D438" s="23"/>
      <c r="E438" s="23"/>
      <c r="F438" s="23"/>
      <c r="G438" s="23"/>
      <c r="H438" s="23"/>
      <c r="I438" s="23"/>
      <c r="J438" s="23"/>
      <c r="K438" s="23"/>
    </row>
    <row r="439" spans="1:11" x14ac:dyDescent="0.25">
      <c r="A439" s="4" t="str">
        <f>IFERROR(category_assignment_2[[#This Row],[category_assignment_id]],"")</f>
        <v/>
      </c>
      <c r="B439" s="23" t="str">
        <f>IFERROR(VLOOKUP(category_assignment_2[[#This Row],[category_id]],#REF!,3,FALSE),"")</f>
        <v/>
      </c>
      <c r="C439" s="23" t="str">
        <f>IFERROR(VLOOKUP(category_assignment_2[[#This Row],[abbreviation_id]],abbreviation[],ColumnLanguage+1,FALSE),"")</f>
        <v/>
      </c>
      <c r="D439" s="23"/>
      <c r="E439" s="23"/>
      <c r="F439" s="23"/>
      <c r="G439" s="23"/>
      <c r="H439" s="23"/>
      <c r="I439" s="23"/>
      <c r="J439" s="23"/>
      <c r="K439" s="23"/>
    </row>
    <row r="440" spans="1:11" x14ac:dyDescent="0.25">
      <c r="A440" s="4" t="str">
        <f>IFERROR(category_assignment_2[[#This Row],[category_assignment_id]],"")</f>
        <v/>
      </c>
      <c r="B440" s="23" t="str">
        <f>IFERROR(VLOOKUP(category_assignment_2[[#This Row],[category_id]],#REF!,3,FALSE),"")</f>
        <v/>
      </c>
      <c r="C440" s="23" t="str">
        <f>IFERROR(VLOOKUP(category_assignment_2[[#This Row],[abbreviation_id]],abbreviation[],ColumnLanguage+1,FALSE),"")</f>
        <v/>
      </c>
      <c r="D440" s="23"/>
      <c r="E440" s="23"/>
      <c r="F440" s="23"/>
      <c r="G440" s="23"/>
      <c r="H440" s="23"/>
      <c r="I440" s="23"/>
      <c r="J440" s="23"/>
      <c r="K440" s="23"/>
    </row>
    <row r="441" spans="1:11" x14ac:dyDescent="0.25">
      <c r="A441" s="4" t="str">
        <f>IFERROR(category_assignment_2[[#This Row],[category_assignment_id]],"")</f>
        <v/>
      </c>
      <c r="B441" s="23" t="str">
        <f>IFERROR(VLOOKUP(category_assignment_2[[#This Row],[category_id]],#REF!,3,FALSE),"")</f>
        <v/>
      </c>
      <c r="C441" s="23" t="str">
        <f>IFERROR(VLOOKUP(category_assignment_2[[#This Row],[abbreviation_id]],abbreviation[],ColumnLanguage+1,FALSE),"")</f>
        <v/>
      </c>
      <c r="D441" s="23"/>
      <c r="E441" s="23"/>
      <c r="F441" s="23"/>
      <c r="G441" s="23"/>
      <c r="H441" s="23"/>
      <c r="I441" s="23"/>
      <c r="J441" s="23"/>
      <c r="K441" s="23"/>
    </row>
    <row r="442" spans="1:11" x14ac:dyDescent="0.25">
      <c r="A442" s="4" t="str">
        <f>IFERROR(category_assignment_2[[#This Row],[category_assignment_id]],"")</f>
        <v/>
      </c>
      <c r="B442" s="23" t="str">
        <f>IFERROR(VLOOKUP(category_assignment_2[[#This Row],[category_id]],#REF!,3,FALSE),"")</f>
        <v/>
      </c>
      <c r="C442" s="23" t="str">
        <f>IFERROR(VLOOKUP(category_assignment_2[[#This Row],[abbreviation_id]],abbreviation[],ColumnLanguage+1,FALSE),"")</f>
        <v/>
      </c>
      <c r="D442" s="23"/>
      <c r="E442" s="23"/>
      <c r="F442" s="23"/>
      <c r="G442" s="23"/>
      <c r="H442" s="23"/>
      <c r="I442" s="23"/>
      <c r="J442" s="23"/>
      <c r="K442" s="23"/>
    </row>
    <row r="443" spans="1:11" x14ac:dyDescent="0.25">
      <c r="A443" s="4" t="str">
        <f>IFERROR(category_assignment_2[[#This Row],[category_assignment_id]],"")</f>
        <v/>
      </c>
      <c r="B443" s="23" t="str">
        <f>IFERROR(VLOOKUP(category_assignment_2[[#This Row],[category_id]],#REF!,3,FALSE),"")</f>
        <v/>
      </c>
      <c r="C443" s="23" t="str">
        <f>IFERROR(VLOOKUP(category_assignment_2[[#This Row],[abbreviation_id]],abbreviation[],ColumnLanguage+1,FALSE),"")</f>
        <v/>
      </c>
      <c r="D443" s="23"/>
      <c r="E443" s="23"/>
      <c r="F443" s="23"/>
      <c r="G443" s="23"/>
      <c r="H443" s="23"/>
      <c r="I443" s="23"/>
      <c r="J443" s="23"/>
      <c r="K443" s="23"/>
    </row>
    <row r="444" spans="1:11" x14ac:dyDescent="0.25">
      <c r="A444" s="4" t="str">
        <f>IFERROR(category_assignment_2[[#This Row],[category_assignment_id]],"")</f>
        <v/>
      </c>
      <c r="B444" s="23" t="str">
        <f>IFERROR(VLOOKUP(category_assignment_2[[#This Row],[category_id]],#REF!,3,FALSE),"")</f>
        <v/>
      </c>
      <c r="C444" s="23" t="str">
        <f>IFERROR(VLOOKUP(category_assignment_2[[#This Row],[abbreviation_id]],abbreviation[],ColumnLanguage+1,FALSE),"")</f>
        <v/>
      </c>
      <c r="D444" s="23"/>
      <c r="E444" s="23"/>
      <c r="F444" s="23"/>
      <c r="G444" s="23"/>
      <c r="H444" s="23"/>
      <c r="I444" s="23"/>
      <c r="J444" s="23"/>
      <c r="K444" s="23"/>
    </row>
    <row r="445" spans="1:11" x14ac:dyDescent="0.25">
      <c r="A445" s="4" t="str">
        <f>IFERROR(category_assignment_2[[#This Row],[category_assignment_id]],"")</f>
        <v/>
      </c>
      <c r="B445" s="23" t="str">
        <f>IFERROR(VLOOKUP(category_assignment_2[[#This Row],[category_id]],#REF!,3,FALSE),"")</f>
        <v/>
      </c>
      <c r="C445" s="23" t="str">
        <f>IFERROR(VLOOKUP(category_assignment_2[[#This Row],[abbreviation_id]],abbreviation[],ColumnLanguage+1,FALSE),"")</f>
        <v/>
      </c>
      <c r="D445" s="23"/>
      <c r="E445" s="23"/>
      <c r="F445" s="23"/>
      <c r="G445" s="23"/>
      <c r="H445" s="23"/>
      <c r="I445" s="23"/>
      <c r="J445" s="23"/>
      <c r="K445" s="23"/>
    </row>
    <row r="446" spans="1:11" x14ac:dyDescent="0.25">
      <c r="A446" s="4" t="str">
        <f>IFERROR(category_assignment_2[[#This Row],[category_assignment_id]],"")</f>
        <v/>
      </c>
      <c r="B446" s="23" t="str">
        <f>IFERROR(VLOOKUP(category_assignment_2[[#This Row],[category_id]],#REF!,3,FALSE),"")</f>
        <v/>
      </c>
      <c r="C446" s="23" t="str">
        <f>IFERROR(VLOOKUP(category_assignment_2[[#This Row],[abbreviation_id]],abbreviation[],ColumnLanguage+1,FALSE),"")</f>
        <v/>
      </c>
      <c r="D446" s="23"/>
      <c r="E446" s="23"/>
      <c r="F446" s="23"/>
      <c r="G446" s="23"/>
      <c r="H446" s="23"/>
      <c r="I446" s="23"/>
      <c r="J446" s="23"/>
      <c r="K446" s="23"/>
    </row>
    <row r="447" spans="1:11" x14ac:dyDescent="0.25">
      <c r="A447" s="4" t="str">
        <f>IFERROR(category_assignment_2[[#This Row],[category_assignment_id]],"")</f>
        <v/>
      </c>
      <c r="B447" s="23" t="str">
        <f>IFERROR(VLOOKUP(category_assignment_2[[#This Row],[category_id]],#REF!,3,FALSE),"")</f>
        <v/>
      </c>
      <c r="C447" s="23" t="str">
        <f>IFERROR(VLOOKUP(category_assignment_2[[#This Row],[abbreviation_id]],abbreviation[],ColumnLanguage+1,FALSE),"")</f>
        <v/>
      </c>
      <c r="D447" s="23"/>
      <c r="E447" s="23"/>
      <c r="F447" s="23"/>
      <c r="G447" s="23"/>
      <c r="H447" s="23"/>
      <c r="I447" s="23"/>
      <c r="J447" s="23"/>
      <c r="K447" s="23"/>
    </row>
    <row r="448" spans="1:11" x14ac:dyDescent="0.25">
      <c r="A448" s="4" t="str">
        <f>IFERROR(category_assignment_2[[#This Row],[category_assignment_id]],"")</f>
        <v/>
      </c>
      <c r="B448" s="23" t="str">
        <f>IFERROR(VLOOKUP(category_assignment_2[[#This Row],[category_id]],#REF!,3,FALSE),"")</f>
        <v/>
      </c>
      <c r="C448" s="23" t="str">
        <f>IFERROR(VLOOKUP(category_assignment_2[[#This Row],[abbreviation_id]],abbreviation[],ColumnLanguage+1,FALSE),"")</f>
        <v/>
      </c>
      <c r="D448" s="23"/>
      <c r="E448" s="23"/>
      <c r="F448" s="23"/>
      <c r="G448" s="23"/>
      <c r="H448" s="23"/>
      <c r="I448" s="23"/>
      <c r="J448" s="23"/>
      <c r="K448" s="23"/>
    </row>
    <row r="449" spans="1:11" x14ac:dyDescent="0.25">
      <c r="A449" s="4" t="str">
        <f>IFERROR(category_assignment_2[[#This Row],[category_assignment_id]],"")</f>
        <v/>
      </c>
      <c r="B449" s="23" t="str">
        <f>IFERROR(VLOOKUP(category_assignment_2[[#This Row],[category_id]],#REF!,3,FALSE),"")</f>
        <v/>
      </c>
      <c r="C449" s="23" t="str">
        <f>IFERROR(VLOOKUP(category_assignment_2[[#This Row],[abbreviation_id]],abbreviation[],ColumnLanguage+1,FALSE),"")</f>
        <v/>
      </c>
      <c r="D449" s="23"/>
      <c r="E449" s="23"/>
      <c r="F449" s="23"/>
      <c r="G449" s="23"/>
      <c r="H449" s="23"/>
      <c r="I449" s="23"/>
      <c r="J449" s="23"/>
      <c r="K449" s="23"/>
    </row>
    <row r="450" spans="1:11" x14ac:dyDescent="0.25">
      <c r="A450" s="4" t="str">
        <f>IFERROR(category_assignment_2[[#This Row],[category_assignment_id]],"")</f>
        <v/>
      </c>
      <c r="B450" s="23" t="str">
        <f>IFERROR(VLOOKUP(category_assignment_2[[#This Row],[category_id]],#REF!,3,FALSE),"")</f>
        <v/>
      </c>
      <c r="C450" s="23" t="str">
        <f>IFERROR(VLOOKUP(category_assignment_2[[#This Row],[abbreviation_id]],abbreviation[],ColumnLanguage+1,FALSE),"")</f>
        <v/>
      </c>
      <c r="D450" s="23"/>
      <c r="E450" s="23"/>
      <c r="F450" s="23"/>
      <c r="G450" s="23"/>
      <c r="H450" s="23"/>
      <c r="I450" s="23"/>
      <c r="J450" s="23"/>
      <c r="K450" s="23"/>
    </row>
    <row r="451" spans="1:11" x14ac:dyDescent="0.25">
      <c r="A451" s="4" t="str">
        <f>IFERROR(category_assignment_2[[#This Row],[category_assignment_id]],"")</f>
        <v/>
      </c>
      <c r="B451" s="23" t="str">
        <f>IFERROR(VLOOKUP(category_assignment_2[[#This Row],[category_id]],#REF!,3,FALSE),"")</f>
        <v/>
      </c>
      <c r="C451" s="23" t="str">
        <f>IFERROR(VLOOKUP(category_assignment_2[[#This Row],[abbreviation_id]],abbreviation[],ColumnLanguage+1,FALSE),"")</f>
        <v/>
      </c>
      <c r="D451" s="23"/>
      <c r="E451" s="23"/>
      <c r="F451" s="23"/>
      <c r="G451" s="23"/>
      <c r="H451" s="23"/>
      <c r="I451" s="23"/>
      <c r="J451" s="23"/>
      <c r="K451" s="23"/>
    </row>
    <row r="452" spans="1:11" x14ac:dyDescent="0.25">
      <c r="A452" s="4" t="str">
        <f>IFERROR(category_assignment_2[[#This Row],[category_assignment_id]],"")</f>
        <v/>
      </c>
      <c r="B452" s="23" t="str">
        <f>IFERROR(VLOOKUP(category_assignment_2[[#This Row],[category_id]],#REF!,3,FALSE),"")</f>
        <v/>
      </c>
      <c r="C452" s="23" t="str">
        <f>IFERROR(VLOOKUP(category_assignment_2[[#This Row],[abbreviation_id]],abbreviation[],ColumnLanguage+1,FALSE),"")</f>
        <v/>
      </c>
      <c r="D452" s="23"/>
      <c r="E452" s="23"/>
      <c r="F452" s="23"/>
      <c r="G452" s="23"/>
      <c r="H452" s="23"/>
      <c r="I452" s="23"/>
      <c r="J452" s="23"/>
      <c r="K452" s="23"/>
    </row>
    <row r="453" spans="1:11" x14ac:dyDescent="0.25">
      <c r="A453" s="4" t="str">
        <f>IFERROR(category_assignment_2[[#This Row],[category_assignment_id]],"")</f>
        <v/>
      </c>
      <c r="B453" s="23" t="str">
        <f>IFERROR(VLOOKUP(category_assignment_2[[#This Row],[category_id]],#REF!,3,FALSE),"")</f>
        <v/>
      </c>
      <c r="C453" s="23" t="str">
        <f>IFERROR(VLOOKUP(category_assignment_2[[#This Row],[abbreviation_id]],abbreviation[],ColumnLanguage+1,FALSE),"")</f>
        <v/>
      </c>
      <c r="D453" s="23"/>
      <c r="E453" s="23"/>
      <c r="F453" s="23"/>
      <c r="G453" s="23"/>
      <c r="H453" s="23"/>
      <c r="I453" s="23"/>
      <c r="J453" s="23"/>
      <c r="K453" s="23"/>
    </row>
    <row r="454" spans="1:11" x14ac:dyDescent="0.25">
      <c r="A454" s="4" t="str">
        <f>IFERROR(category_assignment_2[[#This Row],[category_assignment_id]],"")</f>
        <v/>
      </c>
      <c r="B454" s="23" t="str">
        <f>IFERROR(VLOOKUP(category_assignment_2[[#This Row],[category_id]],#REF!,3,FALSE),"")</f>
        <v/>
      </c>
      <c r="C454" s="23" t="str">
        <f>IFERROR(VLOOKUP(category_assignment_2[[#This Row],[abbreviation_id]],abbreviation[],ColumnLanguage+1,FALSE),"")</f>
        <v/>
      </c>
      <c r="D454" s="23"/>
      <c r="E454" s="23"/>
      <c r="F454" s="23"/>
      <c r="G454" s="23"/>
      <c r="H454" s="23"/>
      <c r="I454" s="23"/>
      <c r="J454" s="23"/>
      <c r="K454" s="23"/>
    </row>
    <row r="455" spans="1:11" x14ac:dyDescent="0.25">
      <c r="A455" s="4" t="str">
        <f>IFERROR(category_assignment_2[[#This Row],[category_assignment_id]],"")</f>
        <v/>
      </c>
      <c r="B455" s="23" t="str">
        <f>IFERROR(VLOOKUP(category_assignment_2[[#This Row],[category_id]],#REF!,3,FALSE),"")</f>
        <v/>
      </c>
      <c r="C455" s="23" t="str">
        <f>IFERROR(VLOOKUP(category_assignment_2[[#This Row],[abbreviation_id]],abbreviation[],ColumnLanguage+1,FALSE),"")</f>
        <v/>
      </c>
      <c r="D455" s="23"/>
      <c r="E455" s="23"/>
      <c r="F455" s="23"/>
      <c r="G455" s="23"/>
      <c r="H455" s="23"/>
      <c r="I455" s="23"/>
      <c r="J455" s="23"/>
      <c r="K455" s="23"/>
    </row>
    <row r="456" spans="1:11" x14ac:dyDescent="0.25">
      <c r="A456" s="4" t="str">
        <f>IFERROR(category_assignment_2[[#This Row],[category_assignment_id]],"")</f>
        <v/>
      </c>
      <c r="B456" s="23" t="str">
        <f>IFERROR(VLOOKUP(category_assignment_2[[#This Row],[category_id]],#REF!,3,FALSE),"")</f>
        <v/>
      </c>
      <c r="C456" s="23" t="str">
        <f>IFERROR(VLOOKUP(category_assignment_2[[#This Row],[abbreviation_id]],abbreviation[],ColumnLanguage+1,FALSE),"")</f>
        <v/>
      </c>
      <c r="D456" s="23"/>
      <c r="E456" s="23"/>
      <c r="F456" s="23"/>
      <c r="G456" s="23"/>
      <c r="H456" s="23"/>
      <c r="I456" s="23"/>
      <c r="J456" s="23"/>
      <c r="K456" s="23"/>
    </row>
    <row r="457" spans="1:11" x14ac:dyDescent="0.25">
      <c r="A457" s="4" t="str">
        <f>IFERROR(category_assignment_2[[#This Row],[category_assignment_id]],"")</f>
        <v/>
      </c>
      <c r="B457" s="23" t="str">
        <f>IFERROR(VLOOKUP(category_assignment_2[[#This Row],[category_id]],#REF!,3,FALSE),"")</f>
        <v/>
      </c>
      <c r="C457" s="23" t="str">
        <f>IFERROR(VLOOKUP(category_assignment_2[[#This Row],[abbreviation_id]],abbreviation[],ColumnLanguage+1,FALSE),"")</f>
        <v/>
      </c>
      <c r="D457" s="23"/>
      <c r="E457" s="23"/>
      <c r="F457" s="23"/>
      <c r="G457" s="23"/>
      <c r="H457" s="23"/>
      <c r="I457" s="23"/>
      <c r="J457" s="23"/>
      <c r="K457" s="23"/>
    </row>
    <row r="458" spans="1:11" x14ac:dyDescent="0.25">
      <c r="A458" s="4" t="str">
        <f>IFERROR(category_assignment_2[[#This Row],[category_assignment_id]],"")</f>
        <v/>
      </c>
      <c r="B458" s="23" t="str">
        <f>IFERROR(VLOOKUP(category_assignment_2[[#This Row],[category_id]],#REF!,3,FALSE),"")</f>
        <v/>
      </c>
      <c r="C458" s="23" t="str">
        <f>IFERROR(VLOOKUP(category_assignment_2[[#This Row],[abbreviation_id]],abbreviation[],ColumnLanguage+1,FALSE),"")</f>
        <v/>
      </c>
      <c r="D458" s="23"/>
      <c r="E458" s="23"/>
      <c r="F458" s="23"/>
      <c r="G458" s="23"/>
      <c r="H458" s="23"/>
      <c r="I458" s="23"/>
      <c r="J458" s="23"/>
      <c r="K458" s="23"/>
    </row>
    <row r="459" spans="1:11" x14ac:dyDescent="0.25">
      <c r="A459" s="4" t="str">
        <f>IFERROR(category_assignment_2[[#This Row],[category_assignment_id]],"")</f>
        <v/>
      </c>
      <c r="B459" s="23" t="str">
        <f>IFERROR(VLOOKUP(category_assignment_2[[#This Row],[category_id]],#REF!,3,FALSE),"")</f>
        <v/>
      </c>
      <c r="C459" s="23" t="str">
        <f>IFERROR(VLOOKUP(category_assignment_2[[#This Row],[abbreviation_id]],abbreviation[],ColumnLanguage+1,FALSE),"")</f>
        <v/>
      </c>
      <c r="D459" s="23"/>
      <c r="E459" s="23"/>
      <c r="F459" s="23"/>
      <c r="G459" s="23"/>
      <c r="H459" s="23"/>
      <c r="I459" s="23"/>
      <c r="J459" s="23"/>
      <c r="K459" s="23"/>
    </row>
    <row r="460" spans="1:11" x14ac:dyDescent="0.25">
      <c r="A460" s="4" t="str">
        <f>IFERROR(category_assignment_2[[#This Row],[category_assignment_id]],"")</f>
        <v/>
      </c>
      <c r="B460" s="23" t="str">
        <f>IFERROR(VLOOKUP(category_assignment_2[[#This Row],[category_id]],#REF!,3,FALSE),"")</f>
        <v/>
      </c>
      <c r="C460" s="23" t="str">
        <f>IFERROR(VLOOKUP(category_assignment_2[[#This Row],[abbreviation_id]],abbreviation[],ColumnLanguage+1,FALSE),"")</f>
        <v/>
      </c>
      <c r="D460" s="23"/>
      <c r="E460" s="23"/>
      <c r="F460" s="23"/>
      <c r="G460" s="23"/>
      <c r="H460" s="23"/>
      <c r="I460" s="23"/>
      <c r="J460" s="23"/>
      <c r="K460" s="23"/>
    </row>
    <row r="461" spans="1:11" x14ac:dyDescent="0.25">
      <c r="A461" s="4" t="str">
        <f>IFERROR(category_assignment_2[[#This Row],[category_assignment_id]],"")</f>
        <v/>
      </c>
      <c r="B461" s="23" t="str">
        <f>IFERROR(VLOOKUP(category_assignment_2[[#This Row],[category_id]],#REF!,3,FALSE),"")</f>
        <v/>
      </c>
      <c r="C461" s="23" t="str">
        <f>IFERROR(VLOOKUP(category_assignment_2[[#This Row],[abbreviation_id]],abbreviation[],ColumnLanguage+1,FALSE),"")</f>
        <v/>
      </c>
      <c r="D461" s="23"/>
      <c r="E461" s="23"/>
      <c r="F461" s="23"/>
      <c r="G461" s="23"/>
      <c r="H461" s="23"/>
      <c r="I461" s="23"/>
      <c r="J461" s="23"/>
      <c r="K461" s="23"/>
    </row>
    <row r="462" spans="1:11" x14ac:dyDescent="0.25">
      <c r="A462" s="4" t="str">
        <f>IFERROR(category_assignment_2[[#This Row],[category_assignment_id]],"")</f>
        <v/>
      </c>
      <c r="B462" s="23" t="str">
        <f>IFERROR(VLOOKUP(category_assignment_2[[#This Row],[category_id]],#REF!,3,FALSE),"")</f>
        <v/>
      </c>
      <c r="C462" s="23" t="str">
        <f>IFERROR(VLOOKUP(category_assignment_2[[#This Row],[abbreviation_id]],abbreviation[],ColumnLanguage+1,FALSE),"")</f>
        <v/>
      </c>
      <c r="D462" s="23"/>
      <c r="E462" s="23"/>
      <c r="F462" s="23"/>
      <c r="G462" s="23"/>
      <c r="H462" s="23"/>
      <c r="I462" s="23"/>
      <c r="J462" s="23"/>
      <c r="K462" s="23"/>
    </row>
    <row r="463" spans="1:11" x14ac:dyDescent="0.25">
      <c r="A463" s="4" t="str">
        <f>IFERROR(category_assignment_2[[#This Row],[category_assignment_id]],"")</f>
        <v/>
      </c>
      <c r="B463" s="23" t="str">
        <f>IFERROR(VLOOKUP(category_assignment_2[[#This Row],[category_id]],#REF!,3,FALSE),"")</f>
        <v/>
      </c>
      <c r="C463" s="23" t="str">
        <f>IFERROR(VLOOKUP(category_assignment_2[[#This Row],[abbreviation_id]],abbreviation[],ColumnLanguage+1,FALSE),"")</f>
        <v/>
      </c>
      <c r="D463" s="23"/>
      <c r="E463" s="23"/>
      <c r="F463" s="23"/>
      <c r="G463" s="23"/>
      <c r="H463" s="23"/>
      <c r="I463" s="23"/>
      <c r="J463" s="23"/>
      <c r="K463" s="23"/>
    </row>
    <row r="464" spans="1:11" x14ac:dyDescent="0.25">
      <c r="A464" s="4" t="str">
        <f>IFERROR(category_assignment_2[[#This Row],[category_assignment_id]],"")</f>
        <v/>
      </c>
      <c r="B464" s="23" t="str">
        <f>IFERROR(VLOOKUP(category_assignment_2[[#This Row],[category_id]],#REF!,3,FALSE),"")</f>
        <v/>
      </c>
      <c r="C464" s="23" t="str">
        <f>IFERROR(VLOOKUP(category_assignment_2[[#This Row],[abbreviation_id]],abbreviation[],ColumnLanguage+1,FALSE),"")</f>
        <v/>
      </c>
      <c r="D464" s="23"/>
      <c r="E464" s="23"/>
      <c r="F464" s="23"/>
      <c r="G464" s="23"/>
      <c r="H464" s="23"/>
      <c r="I464" s="23"/>
      <c r="J464" s="23"/>
      <c r="K464" s="23"/>
    </row>
    <row r="465" spans="1:11" x14ac:dyDescent="0.25">
      <c r="A465" s="4" t="str">
        <f>IFERROR(category_assignment_2[[#This Row],[category_assignment_id]],"")</f>
        <v/>
      </c>
      <c r="B465" s="23" t="str">
        <f>IFERROR(VLOOKUP(category_assignment_2[[#This Row],[category_id]],#REF!,3,FALSE),"")</f>
        <v/>
      </c>
      <c r="C465" s="23" t="str">
        <f>IFERROR(VLOOKUP(category_assignment_2[[#This Row],[abbreviation_id]],abbreviation[],ColumnLanguage+1,FALSE),"")</f>
        <v/>
      </c>
      <c r="D465" s="23"/>
      <c r="E465" s="23"/>
      <c r="F465" s="23"/>
      <c r="G465" s="23"/>
      <c r="H465" s="23"/>
      <c r="I465" s="23"/>
      <c r="J465" s="23"/>
      <c r="K465" s="23"/>
    </row>
    <row r="466" spans="1:11" x14ac:dyDescent="0.25">
      <c r="A466" s="4" t="str">
        <f>IFERROR(category_assignment_2[[#This Row],[category_assignment_id]],"")</f>
        <v/>
      </c>
      <c r="B466" s="23" t="str">
        <f>IFERROR(VLOOKUP(category_assignment_2[[#This Row],[category_id]],#REF!,3,FALSE),"")</f>
        <v/>
      </c>
      <c r="C466" s="23" t="str">
        <f>IFERROR(VLOOKUP(category_assignment_2[[#This Row],[abbreviation_id]],abbreviation[],ColumnLanguage+1,FALSE),"")</f>
        <v/>
      </c>
      <c r="D466" s="23"/>
      <c r="E466" s="23"/>
      <c r="F466" s="23"/>
      <c r="G466" s="23"/>
      <c r="H466" s="23"/>
      <c r="I466" s="23"/>
      <c r="J466" s="23"/>
      <c r="K466" s="23"/>
    </row>
    <row r="467" spans="1:11" x14ac:dyDescent="0.25">
      <c r="A467" s="4" t="str">
        <f>IFERROR(category_assignment_2[[#This Row],[category_assignment_id]],"")</f>
        <v/>
      </c>
      <c r="B467" s="23" t="str">
        <f>IFERROR(VLOOKUP(category_assignment_2[[#This Row],[category_id]],#REF!,3,FALSE),"")</f>
        <v/>
      </c>
      <c r="C467" s="23" t="str">
        <f>IFERROR(VLOOKUP(category_assignment_2[[#This Row],[abbreviation_id]],abbreviation[],ColumnLanguage+1,FALSE),"")</f>
        <v/>
      </c>
      <c r="D467" s="23"/>
      <c r="E467" s="23"/>
      <c r="F467" s="23"/>
      <c r="G467" s="23"/>
      <c r="H467" s="23"/>
      <c r="I467" s="23"/>
      <c r="J467" s="23"/>
      <c r="K467" s="23"/>
    </row>
    <row r="468" spans="1:11" x14ac:dyDescent="0.25">
      <c r="A468" s="4" t="str">
        <f>IFERROR(category_assignment_2[[#This Row],[category_assignment_id]],"")</f>
        <v/>
      </c>
      <c r="B468" s="23" t="str">
        <f>IFERROR(VLOOKUP(category_assignment_2[[#This Row],[category_id]],#REF!,3,FALSE),"")</f>
        <v/>
      </c>
      <c r="C468" s="23" t="str">
        <f>IFERROR(VLOOKUP(category_assignment_2[[#This Row],[abbreviation_id]],abbreviation[],ColumnLanguage+1,FALSE),"")</f>
        <v/>
      </c>
      <c r="D468" s="23"/>
      <c r="E468" s="23"/>
      <c r="F468" s="23"/>
      <c r="G468" s="23"/>
      <c r="H468" s="23"/>
      <c r="I468" s="23"/>
      <c r="J468" s="23"/>
      <c r="K468" s="23"/>
    </row>
    <row r="469" spans="1:11" x14ac:dyDescent="0.25">
      <c r="A469" s="4" t="str">
        <f>IFERROR(category_assignment_2[[#This Row],[category_assignment_id]],"")</f>
        <v/>
      </c>
      <c r="B469" s="23" t="str">
        <f>IFERROR(VLOOKUP(category_assignment_2[[#This Row],[category_id]],#REF!,3,FALSE),"")</f>
        <v/>
      </c>
      <c r="C469" s="23" t="str">
        <f>IFERROR(VLOOKUP(category_assignment_2[[#This Row],[abbreviation_id]],abbreviation[],ColumnLanguage+1,FALSE),"")</f>
        <v/>
      </c>
      <c r="D469" s="23"/>
      <c r="E469" s="23"/>
      <c r="F469" s="23"/>
      <c r="G469" s="23"/>
      <c r="H469" s="23"/>
      <c r="I469" s="23"/>
      <c r="J469" s="23"/>
      <c r="K469" s="23"/>
    </row>
    <row r="470" spans="1:11" x14ac:dyDescent="0.25">
      <c r="A470" s="4" t="str">
        <f>IFERROR(category_assignment_2[[#This Row],[category_assignment_id]],"")</f>
        <v/>
      </c>
      <c r="B470" s="23" t="str">
        <f>IFERROR(VLOOKUP(category_assignment_2[[#This Row],[category_id]],#REF!,3,FALSE),"")</f>
        <v/>
      </c>
      <c r="C470" s="23" t="str">
        <f>IFERROR(VLOOKUP(category_assignment_2[[#This Row],[abbreviation_id]],abbreviation[],ColumnLanguage+1,FALSE),"")</f>
        <v/>
      </c>
      <c r="D470" s="23"/>
      <c r="E470" s="23"/>
      <c r="F470" s="23"/>
      <c r="G470" s="23"/>
      <c r="H470" s="23"/>
      <c r="I470" s="23"/>
      <c r="J470" s="23"/>
      <c r="K470" s="23"/>
    </row>
    <row r="471" spans="1:11" x14ac:dyDescent="0.25">
      <c r="A471" s="4" t="str">
        <f>IFERROR(category_assignment_2[[#This Row],[category_assignment_id]],"")</f>
        <v/>
      </c>
      <c r="B471" s="23" t="str">
        <f>IFERROR(VLOOKUP(category_assignment_2[[#This Row],[category_id]],#REF!,3,FALSE),"")</f>
        <v/>
      </c>
      <c r="C471" s="23" t="str">
        <f>IFERROR(VLOOKUP(category_assignment_2[[#This Row],[abbreviation_id]],abbreviation[],ColumnLanguage+1,FALSE),"")</f>
        <v/>
      </c>
      <c r="D471" s="23"/>
      <c r="E471" s="23"/>
      <c r="F471" s="23"/>
      <c r="G471" s="23"/>
      <c r="H471" s="23"/>
      <c r="I471" s="23"/>
      <c r="J471" s="23"/>
      <c r="K471" s="23"/>
    </row>
    <row r="472" spans="1:11" x14ac:dyDescent="0.25">
      <c r="A472" s="4" t="str">
        <f>IFERROR(category_assignment_2[[#This Row],[category_assignment_id]],"")</f>
        <v/>
      </c>
      <c r="B472" s="23" t="str">
        <f>IFERROR(VLOOKUP(category_assignment_2[[#This Row],[category_id]],#REF!,3,FALSE),"")</f>
        <v/>
      </c>
      <c r="C472" s="23" t="str">
        <f>IFERROR(VLOOKUP(category_assignment_2[[#This Row],[abbreviation_id]],abbreviation[],ColumnLanguage+1,FALSE),"")</f>
        <v/>
      </c>
      <c r="D472" s="23"/>
      <c r="E472" s="23"/>
      <c r="F472" s="23"/>
      <c r="G472" s="23"/>
      <c r="H472" s="23"/>
      <c r="I472" s="23"/>
      <c r="J472" s="23"/>
      <c r="K472" s="23"/>
    </row>
    <row r="473" spans="1:11" x14ac:dyDescent="0.25">
      <c r="A473" s="4" t="str">
        <f>IFERROR(category_assignment_2[[#This Row],[category_assignment_id]],"")</f>
        <v/>
      </c>
      <c r="B473" s="23" t="str">
        <f>IFERROR(VLOOKUP(category_assignment_2[[#This Row],[category_id]],#REF!,3,FALSE),"")</f>
        <v/>
      </c>
      <c r="C473" s="23" t="str">
        <f>IFERROR(VLOOKUP(category_assignment_2[[#This Row],[abbreviation_id]],abbreviation[],ColumnLanguage+1,FALSE),"")</f>
        <v/>
      </c>
      <c r="D473" s="23"/>
      <c r="E473" s="23"/>
      <c r="F473" s="23"/>
      <c r="G473" s="23"/>
      <c r="H473" s="23"/>
      <c r="I473" s="23"/>
      <c r="J473" s="23"/>
      <c r="K473" s="23"/>
    </row>
    <row r="474" spans="1:11" x14ac:dyDescent="0.25">
      <c r="A474" s="4" t="str">
        <f>IFERROR(category_assignment_2[[#This Row],[category_assignment_id]],"")</f>
        <v/>
      </c>
      <c r="B474" s="23" t="str">
        <f>IFERROR(VLOOKUP(category_assignment_2[[#This Row],[category_id]],#REF!,3,FALSE),"")</f>
        <v/>
      </c>
      <c r="C474" s="23" t="str">
        <f>IFERROR(VLOOKUP(category_assignment_2[[#This Row],[abbreviation_id]],abbreviation[],ColumnLanguage+1,FALSE),"")</f>
        <v/>
      </c>
      <c r="D474" s="23"/>
      <c r="E474" s="23"/>
      <c r="F474" s="23"/>
      <c r="G474" s="23"/>
      <c r="H474" s="23"/>
      <c r="I474" s="23"/>
      <c r="J474" s="23"/>
      <c r="K474" s="23"/>
    </row>
    <row r="475" spans="1:11" x14ac:dyDescent="0.25">
      <c r="A475" s="4" t="str">
        <f>IFERROR(category_assignment_2[[#This Row],[category_assignment_id]],"")</f>
        <v/>
      </c>
      <c r="B475" s="23" t="str">
        <f>IFERROR(VLOOKUP(category_assignment_2[[#This Row],[category_id]],#REF!,3,FALSE),"")</f>
        <v/>
      </c>
      <c r="C475" s="23" t="str">
        <f>IFERROR(VLOOKUP(category_assignment_2[[#This Row],[abbreviation_id]],abbreviation[],ColumnLanguage+1,FALSE),"")</f>
        <v/>
      </c>
      <c r="D475" s="23"/>
      <c r="E475" s="23"/>
      <c r="F475" s="23"/>
      <c r="G475" s="23"/>
      <c r="H475" s="23"/>
      <c r="I475" s="23"/>
      <c r="J475" s="23"/>
      <c r="K475" s="23"/>
    </row>
    <row r="476" spans="1:11" x14ac:dyDescent="0.25">
      <c r="A476" s="4" t="str">
        <f>IFERROR(category_assignment_2[[#This Row],[category_assignment_id]],"")</f>
        <v/>
      </c>
      <c r="B476" s="23" t="str">
        <f>IFERROR(VLOOKUP(category_assignment_2[[#This Row],[category_id]],#REF!,3,FALSE),"")</f>
        <v/>
      </c>
      <c r="C476" s="23" t="str">
        <f>IFERROR(VLOOKUP(category_assignment_2[[#This Row],[abbreviation_id]],abbreviation[],ColumnLanguage+1,FALSE),"")</f>
        <v/>
      </c>
      <c r="D476" s="23"/>
      <c r="E476" s="23"/>
      <c r="F476" s="23"/>
      <c r="G476" s="23"/>
      <c r="H476" s="23"/>
      <c r="I476" s="23"/>
      <c r="J476" s="23"/>
      <c r="K476" s="23"/>
    </row>
    <row r="477" spans="1:11" x14ac:dyDescent="0.25">
      <c r="A477" s="4" t="str">
        <f>IFERROR(category_assignment_2[[#This Row],[category_assignment_id]],"")</f>
        <v/>
      </c>
      <c r="B477" s="23" t="str">
        <f>IFERROR(VLOOKUP(category_assignment_2[[#This Row],[category_id]],#REF!,3,FALSE),"")</f>
        <v/>
      </c>
      <c r="C477" s="23" t="str">
        <f>IFERROR(VLOOKUP(category_assignment_2[[#This Row],[abbreviation_id]],abbreviation[],ColumnLanguage+1,FALSE),"")</f>
        <v/>
      </c>
      <c r="D477" s="23"/>
      <c r="E477" s="23"/>
      <c r="F477" s="23"/>
      <c r="G477" s="23"/>
      <c r="H477" s="23"/>
      <c r="I477" s="23"/>
      <c r="J477" s="23"/>
      <c r="K477" s="23"/>
    </row>
    <row r="478" spans="1:11" x14ac:dyDescent="0.25">
      <c r="A478" s="4" t="str">
        <f>IFERROR(category_assignment_2[[#This Row],[category_assignment_id]],"")</f>
        <v/>
      </c>
      <c r="B478" s="23" t="str">
        <f>IFERROR(VLOOKUP(category_assignment_2[[#This Row],[category_id]],#REF!,3,FALSE),"")</f>
        <v/>
      </c>
      <c r="C478" s="23" t="str">
        <f>IFERROR(VLOOKUP(category_assignment_2[[#This Row],[abbreviation_id]],abbreviation[],ColumnLanguage+1,FALSE),"")</f>
        <v/>
      </c>
      <c r="D478" s="23"/>
      <c r="E478" s="23"/>
      <c r="F478" s="23"/>
      <c r="G478" s="23"/>
      <c r="H478" s="23"/>
      <c r="I478" s="23"/>
      <c r="J478" s="23"/>
      <c r="K478" s="23"/>
    </row>
    <row r="479" spans="1:11" x14ac:dyDescent="0.25">
      <c r="A479" s="4" t="str">
        <f>IFERROR(category_assignment_2[[#This Row],[category_assignment_id]],"")</f>
        <v/>
      </c>
      <c r="B479" s="23" t="str">
        <f>IFERROR(VLOOKUP(category_assignment_2[[#This Row],[category_id]],#REF!,3,FALSE),"")</f>
        <v/>
      </c>
      <c r="C479" s="23" t="str">
        <f>IFERROR(VLOOKUP(category_assignment_2[[#This Row],[abbreviation_id]],abbreviation[],ColumnLanguage+1,FALSE),"")</f>
        <v/>
      </c>
      <c r="D479" s="23"/>
      <c r="E479" s="23"/>
      <c r="F479" s="23"/>
      <c r="G479" s="23"/>
      <c r="H479" s="23"/>
      <c r="I479" s="23"/>
      <c r="J479" s="23"/>
      <c r="K479" s="23"/>
    </row>
    <row r="480" spans="1:11" x14ac:dyDescent="0.25">
      <c r="A480" s="4" t="str">
        <f>IFERROR(category_assignment_2[[#This Row],[category_assignment_id]],"")</f>
        <v/>
      </c>
      <c r="B480" s="23" t="str">
        <f>IFERROR(VLOOKUP(category_assignment_2[[#This Row],[category_id]],#REF!,3,FALSE),"")</f>
        <v/>
      </c>
      <c r="C480" s="23" t="str">
        <f>IFERROR(VLOOKUP(category_assignment_2[[#This Row],[abbreviation_id]],abbreviation[],ColumnLanguage+1,FALSE),"")</f>
        <v/>
      </c>
      <c r="D480" s="23"/>
      <c r="E480" s="23"/>
      <c r="F480" s="23"/>
      <c r="G480" s="23"/>
      <c r="H480" s="23"/>
      <c r="I480" s="23"/>
      <c r="J480" s="23"/>
      <c r="K480" s="23"/>
    </row>
    <row r="481" spans="1:11" x14ac:dyDescent="0.25">
      <c r="A481" s="4" t="str">
        <f>IFERROR(category_assignment_2[[#This Row],[category_assignment_id]],"")</f>
        <v/>
      </c>
      <c r="B481" s="23" t="str">
        <f>IFERROR(VLOOKUP(category_assignment_2[[#This Row],[category_id]],#REF!,3,FALSE),"")</f>
        <v/>
      </c>
      <c r="C481" s="23" t="str">
        <f>IFERROR(VLOOKUP(category_assignment_2[[#This Row],[abbreviation_id]],abbreviation[],ColumnLanguage+1,FALSE),"")</f>
        <v/>
      </c>
      <c r="D481" s="23"/>
      <c r="E481" s="23"/>
      <c r="F481" s="23"/>
      <c r="G481" s="23"/>
      <c r="H481" s="23"/>
      <c r="I481" s="23"/>
      <c r="J481" s="23"/>
      <c r="K481" s="23"/>
    </row>
    <row r="482" spans="1:11" x14ac:dyDescent="0.25">
      <c r="A482" s="4" t="str">
        <f>IFERROR(category_assignment_2[[#This Row],[category_assignment_id]],"")</f>
        <v/>
      </c>
      <c r="B482" s="23" t="str">
        <f>IFERROR(VLOOKUP(category_assignment_2[[#This Row],[category_id]],#REF!,3,FALSE),"")</f>
        <v/>
      </c>
      <c r="C482" s="23" t="str">
        <f>IFERROR(VLOOKUP(category_assignment_2[[#This Row],[abbreviation_id]],abbreviation[],ColumnLanguage+1,FALSE),"")</f>
        <v/>
      </c>
      <c r="D482" s="23"/>
      <c r="E482" s="23"/>
      <c r="F482" s="23"/>
      <c r="G482" s="23"/>
      <c r="H482" s="23"/>
      <c r="I482" s="23"/>
      <c r="J482" s="23"/>
      <c r="K482" s="23"/>
    </row>
    <row r="483" spans="1:11" x14ac:dyDescent="0.25">
      <c r="A483" s="4" t="str">
        <f>IFERROR(category_assignment_2[[#This Row],[category_assignment_id]],"")</f>
        <v/>
      </c>
      <c r="B483" s="23" t="str">
        <f>IFERROR(VLOOKUP(category_assignment_2[[#This Row],[category_id]],#REF!,3,FALSE),"")</f>
        <v/>
      </c>
      <c r="C483" s="23" t="str">
        <f>IFERROR(VLOOKUP(category_assignment_2[[#This Row],[abbreviation_id]],abbreviation[],ColumnLanguage+1,FALSE),"")</f>
        <v/>
      </c>
      <c r="D483" s="23"/>
      <c r="E483" s="23"/>
      <c r="F483" s="23"/>
      <c r="G483" s="23"/>
      <c r="H483" s="23"/>
      <c r="I483" s="23"/>
      <c r="J483" s="23"/>
      <c r="K483" s="23"/>
    </row>
    <row r="484" spans="1:11" x14ac:dyDescent="0.25">
      <c r="A484" s="4" t="str">
        <f>IFERROR(category_assignment_2[[#This Row],[category_assignment_id]],"")</f>
        <v/>
      </c>
      <c r="B484" s="23" t="str">
        <f>IFERROR(VLOOKUP(category_assignment_2[[#This Row],[category_id]],#REF!,3,FALSE),"")</f>
        <v/>
      </c>
      <c r="C484" s="23" t="str">
        <f>IFERROR(VLOOKUP(category_assignment_2[[#This Row],[abbreviation_id]],abbreviation[],ColumnLanguage+1,FALSE),"")</f>
        <v/>
      </c>
      <c r="D484" s="23"/>
      <c r="E484" s="23"/>
      <c r="F484" s="23"/>
      <c r="G484" s="23"/>
      <c r="H484" s="23"/>
      <c r="I484" s="23"/>
      <c r="J484" s="23"/>
      <c r="K484" s="23"/>
    </row>
    <row r="485" spans="1:11" x14ac:dyDescent="0.25">
      <c r="A485" s="4" t="str">
        <f>IFERROR(category_assignment_2[[#This Row],[category_assignment_id]],"")</f>
        <v/>
      </c>
      <c r="B485" s="23" t="str">
        <f>IFERROR(VLOOKUP(category_assignment_2[[#This Row],[category_id]],#REF!,3,FALSE),"")</f>
        <v/>
      </c>
      <c r="C485" s="23" t="str">
        <f>IFERROR(VLOOKUP(category_assignment_2[[#This Row],[abbreviation_id]],abbreviation[],ColumnLanguage+1,FALSE),"")</f>
        <v/>
      </c>
      <c r="D485" s="23"/>
      <c r="E485" s="23"/>
      <c r="F485" s="23"/>
      <c r="G485" s="23"/>
      <c r="H485" s="23"/>
      <c r="I485" s="23"/>
      <c r="J485" s="23"/>
      <c r="K485" s="23"/>
    </row>
    <row r="486" spans="1:11" x14ac:dyDescent="0.25">
      <c r="A486" s="4" t="str">
        <f>IFERROR(category_assignment_2[[#This Row],[category_assignment_id]],"")</f>
        <v/>
      </c>
      <c r="B486" s="23" t="str">
        <f>IFERROR(VLOOKUP(category_assignment_2[[#This Row],[category_id]],#REF!,3,FALSE),"")</f>
        <v/>
      </c>
      <c r="C486" s="23" t="str">
        <f>IFERROR(VLOOKUP(category_assignment_2[[#This Row],[abbreviation_id]],abbreviation[],ColumnLanguage+1,FALSE),"")</f>
        <v/>
      </c>
      <c r="D486" s="23"/>
      <c r="E486" s="23"/>
      <c r="F486" s="23"/>
      <c r="G486" s="23"/>
      <c r="H486" s="23"/>
      <c r="I486" s="23"/>
      <c r="J486" s="23"/>
      <c r="K486" s="23"/>
    </row>
    <row r="487" spans="1:11" x14ac:dyDescent="0.25">
      <c r="A487" s="4" t="str">
        <f>IFERROR(category_assignment_2[[#This Row],[category_assignment_id]],"")</f>
        <v/>
      </c>
      <c r="B487" s="23" t="str">
        <f>IFERROR(VLOOKUP(category_assignment_2[[#This Row],[category_id]],#REF!,3,FALSE),"")</f>
        <v/>
      </c>
      <c r="C487" s="23" t="str">
        <f>IFERROR(VLOOKUP(category_assignment_2[[#This Row],[abbreviation_id]],abbreviation[],ColumnLanguage+1,FALSE),"")</f>
        <v/>
      </c>
      <c r="D487" s="23"/>
      <c r="E487" s="23"/>
      <c r="F487" s="23"/>
      <c r="G487" s="23"/>
      <c r="H487" s="23"/>
      <c r="I487" s="23"/>
      <c r="J487" s="23"/>
      <c r="K487" s="23"/>
    </row>
    <row r="488" spans="1:11" x14ac:dyDescent="0.25">
      <c r="A488" s="4" t="str">
        <f>IFERROR(category_assignment_2[[#This Row],[category_assignment_id]],"")</f>
        <v/>
      </c>
      <c r="B488" s="23" t="str">
        <f>IFERROR(VLOOKUP(category_assignment_2[[#This Row],[category_id]],#REF!,3,FALSE),"")</f>
        <v/>
      </c>
      <c r="C488" s="23" t="str">
        <f>IFERROR(VLOOKUP(category_assignment_2[[#This Row],[abbreviation_id]],abbreviation[],ColumnLanguage+1,FALSE),"")</f>
        <v/>
      </c>
      <c r="D488" s="23"/>
      <c r="E488" s="23"/>
      <c r="F488" s="23"/>
      <c r="G488" s="23"/>
      <c r="H488" s="23"/>
      <c r="I488" s="23"/>
      <c r="J488" s="23"/>
      <c r="K488" s="23"/>
    </row>
    <row r="489" spans="1:11" x14ac:dyDescent="0.25">
      <c r="A489" s="4" t="str">
        <f>IFERROR(category_assignment_2[[#This Row],[category_assignment_id]],"")</f>
        <v/>
      </c>
      <c r="B489" s="23" t="str">
        <f>IFERROR(VLOOKUP(category_assignment_2[[#This Row],[category_id]],#REF!,3,FALSE),"")</f>
        <v/>
      </c>
      <c r="C489" s="23" t="str">
        <f>IFERROR(VLOOKUP(category_assignment_2[[#This Row],[abbreviation_id]],abbreviation[],ColumnLanguage+1,FALSE),"")</f>
        <v/>
      </c>
      <c r="D489" s="23"/>
      <c r="E489" s="23"/>
      <c r="F489" s="23"/>
      <c r="G489" s="23"/>
      <c r="H489" s="23"/>
      <c r="I489" s="23"/>
      <c r="J489" s="23"/>
      <c r="K489" s="23"/>
    </row>
    <row r="490" spans="1:11" x14ac:dyDescent="0.25">
      <c r="A490" s="4" t="str">
        <f>IFERROR(category_assignment_2[[#This Row],[category_assignment_id]],"")</f>
        <v/>
      </c>
      <c r="B490" s="23" t="str">
        <f>IFERROR(VLOOKUP(category_assignment_2[[#This Row],[category_id]],#REF!,3,FALSE),"")</f>
        <v/>
      </c>
      <c r="C490" s="23" t="str">
        <f>IFERROR(VLOOKUP(category_assignment_2[[#This Row],[abbreviation_id]],abbreviation[],ColumnLanguage+1,FALSE),"")</f>
        <v/>
      </c>
      <c r="D490" s="23"/>
      <c r="E490" s="23"/>
      <c r="F490" s="23"/>
      <c r="G490" s="23"/>
      <c r="H490" s="23"/>
      <c r="I490" s="23"/>
      <c r="J490" s="23"/>
      <c r="K490" s="23"/>
    </row>
    <row r="491" spans="1:11" x14ac:dyDescent="0.25">
      <c r="A491" s="4" t="str">
        <f>IFERROR(category_assignment_2[[#This Row],[category_assignment_id]],"")</f>
        <v/>
      </c>
      <c r="B491" s="23" t="str">
        <f>IFERROR(VLOOKUP(category_assignment_2[[#This Row],[category_id]],#REF!,3,FALSE),"")</f>
        <v/>
      </c>
      <c r="C491" s="23" t="str">
        <f>IFERROR(VLOOKUP(category_assignment_2[[#This Row],[abbreviation_id]],abbreviation[],ColumnLanguage+1,FALSE),"")</f>
        <v/>
      </c>
      <c r="D491" s="23"/>
      <c r="E491" s="23"/>
      <c r="F491" s="23"/>
      <c r="G491" s="23"/>
      <c r="H491" s="23"/>
      <c r="I491" s="23"/>
      <c r="J491" s="23"/>
      <c r="K491" s="23"/>
    </row>
    <row r="492" spans="1:11" x14ac:dyDescent="0.25">
      <c r="A492" s="4" t="str">
        <f>IFERROR(category_assignment_2[[#This Row],[category_assignment_id]],"")</f>
        <v/>
      </c>
      <c r="B492" s="23" t="str">
        <f>IFERROR(VLOOKUP(category_assignment_2[[#This Row],[category_id]],#REF!,3,FALSE),"")</f>
        <v/>
      </c>
      <c r="C492" s="23" t="str">
        <f>IFERROR(VLOOKUP(category_assignment_2[[#This Row],[abbreviation_id]],abbreviation[],ColumnLanguage+1,FALSE),"")</f>
        <v/>
      </c>
      <c r="D492" s="23"/>
      <c r="E492" s="23"/>
      <c r="F492" s="23"/>
      <c r="G492" s="23"/>
      <c r="H492" s="23"/>
      <c r="I492" s="23"/>
      <c r="J492" s="23"/>
      <c r="K492" s="23"/>
    </row>
    <row r="493" spans="1:11" x14ac:dyDescent="0.25">
      <c r="A493" s="4" t="str">
        <f>IFERROR(category_assignment_2[[#This Row],[category_assignment_id]],"")</f>
        <v/>
      </c>
      <c r="B493" s="23" t="str">
        <f>IFERROR(VLOOKUP(category_assignment_2[[#This Row],[category_id]],#REF!,3,FALSE),"")</f>
        <v/>
      </c>
      <c r="C493" s="23" t="str">
        <f>IFERROR(VLOOKUP(category_assignment_2[[#This Row],[abbreviation_id]],abbreviation[],ColumnLanguage+1,FALSE),"")</f>
        <v/>
      </c>
      <c r="D493" s="23"/>
      <c r="E493" s="23"/>
      <c r="F493" s="23"/>
      <c r="G493" s="23"/>
      <c r="H493" s="23"/>
      <c r="I493" s="23"/>
      <c r="J493" s="23"/>
      <c r="K493" s="23"/>
    </row>
    <row r="494" spans="1:11" x14ac:dyDescent="0.25">
      <c r="A494" s="4" t="str">
        <f>IFERROR(category_assignment_2[[#This Row],[category_assignment_id]],"")</f>
        <v/>
      </c>
      <c r="B494" s="23" t="str">
        <f>IFERROR(VLOOKUP(category_assignment_2[[#This Row],[category_id]],#REF!,3,FALSE),"")</f>
        <v/>
      </c>
      <c r="C494" s="23" t="str">
        <f>IFERROR(VLOOKUP(category_assignment_2[[#This Row],[abbreviation_id]],abbreviation[],ColumnLanguage+1,FALSE),"")</f>
        <v/>
      </c>
      <c r="D494" s="23"/>
      <c r="E494" s="23"/>
      <c r="F494" s="23"/>
      <c r="G494" s="23"/>
      <c r="H494" s="23"/>
      <c r="I494" s="23"/>
      <c r="J494" s="23"/>
      <c r="K494" s="23"/>
    </row>
    <row r="495" spans="1:11" x14ac:dyDescent="0.25">
      <c r="A495" s="4" t="str">
        <f>IFERROR(category_assignment_2[[#This Row],[category_assignment_id]],"")</f>
        <v/>
      </c>
      <c r="B495" s="23" t="str">
        <f>IFERROR(VLOOKUP(category_assignment_2[[#This Row],[category_id]],#REF!,3,FALSE),"")</f>
        <v/>
      </c>
      <c r="C495" s="23" t="str">
        <f>IFERROR(VLOOKUP(category_assignment_2[[#This Row],[abbreviation_id]],abbreviation[],ColumnLanguage+1,FALSE),"")</f>
        <v/>
      </c>
      <c r="D495" s="23"/>
      <c r="E495" s="23"/>
      <c r="F495" s="23"/>
      <c r="G495" s="23"/>
      <c r="H495" s="23"/>
      <c r="I495" s="23"/>
      <c r="J495" s="23"/>
      <c r="K495" s="23"/>
    </row>
    <row r="496" spans="1:11" x14ac:dyDescent="0.25">
      <c r="A496" s="4" t="str">
        <f>IFERROR(category_assignment_2[[#This Row],[category_assignment_id]],"")</f>
        <v/>
      </c>
      <c r="B496" s="23" t="str">
        <f>IFERROR(VLOOKUP(category_assignment_2[[#This Row],[category_id]],#REF!,3,FALSE),"")</f>
        <v/>
      </c>
      <c r="C496" s="23" t="str">
        <f>IFERROR(VLOOKUP(category_assignment_2[[#This Row],[abbreviation_id]],abbreviation[],ColumnLanguage+1,FALSE),"")</f>
        <v/>
      </c>
      <c r="D496" s="23"/>
      <c r="E496" s="23"/>
      <c r="F496" s="23"/>
      <c r="G496" s="23"/>
      <c r="H496" s="23"/>
      <c r="I496" s="23"/>
      <c r="J496" s="23"/>
      <c r="K496" s="23"/>
    </row>
    <row r="497" spans="1:11" x14ac:dyDescent="0.25">
      <c r="A497" s="4" t="str">
        <f>IFERROR(category_assignment_2[[#This Row],[category_assignment_id]],"")</f>
        <v/>
      </c>
      <c r="B497" s="23" t="str">
        <f>IFERROR(VLOOKUP(category_assignment_2[[#This Row],[category_id]],#REF!,3,FALSE),"")</f>
        <v/>
      </c>
      <c r="C497" s="23" t="str">
        <f>IFERROR(VLOOKUP(category_assignment_2[[#This Row],[abbreviation_id]],abbreviation[],ColumnLanguage+1,FALSE),"")</f>
        <v/>
      </c>
      <c r="D497" s="23"/>
      <c r="E497" s="23"/>
      <c r="F497" s="23"/>
      <c r="G497" s="23"/>
      <c r="H497" s="23"/>
      <c r="I497" s="23"/>
      <c r="J497" s="23"/>
      <c r="K497" s="23"/>
    </row>
    <row r="498" spans="1:11" x14ac:dyDescent="0.25">
      <c r="A498" s="4" t="str">
        <f>IFERROR(category_assignment_2[[#This Row],[category_assignment_id]],"")</f>
        <v/>
      </c>
      <c r="B498" s="23" t="str">
        <f>IFERROR(VLOOKUP(category_assignment_2[[#This Row],[category_id]],#REF!,3,FALSE),"")</f>
        <v/>
      </c>
      <c r="C498" s="23" t="str">
        <f>IFERROR(VLOOKUP(category_assignment_2[[#This Row],[abbreviation_id]],abbreviation[],ColumnLanguage+1,FALSE),"")</f>
        <v/>
      </c>
      <c r="D498" s="23"/>
      <c r="E498" s="23"/>
      <c r="F498" s="23"/>
      <c r="G498" s="23"/>
      <c r="H498" s="23"/>
      <c r="I498" s="23"/>
      <c r="J498" s="23"/>
      <c r="K498" s="23"/>
    </row>
    <row r="499" spans="1:11" x14ac:dyDescent="0.25">
      <c r="A499" s="4" t="str">
        <f>IFERROR(category_assignment_2[[#This Row],[category_assignment_id]],"")</f>
        <v/>
      </c>
      <c r="B499" s="23" t="str">
        <f>IFERROR(VLOOKUP(category_assignment_2[[#This Row],[category_id]],#REF!,3,FALSE),"")</f>
        <v/>
      </c>
      <c r="C499" s="23" t="str">
        <f>IFERROR(VLOOKUP(category_assignment_2[[#This Row],[abbreviation_id]],abbreviation[],ColumnLanguage+1,FALSE),"")</f>
        <v/>
      </c>
      <c r="D499" s="23"/>
      <c r="E499" s="23"/>
      <c r="F499" s="23"/>
      <c r="G499" s="23"/>
      <c r="H499" s="23"/>
      <c r="I499" s="23"/>
      <c r="J499" s="23"/>
      <c r="K499" s="23"/>
    </row>
    <row r="500" spans="1:11" x14ac:dyDescent="0.25">
      <c r="A500" s="4" t="str">
        <f>IFERROR(category_assignment_2[[#This Row],[category_assignment_id]],"")</f>
        <v/>
      </c>
      <c r="B500" s="23" t="str">
        <f>IFERROR(VLOOKUP(category_assignment_2[[#This Row],[category_id]],#REF!,3,FALSE),"")</f>
        <v/>
      </c>
      <c r="C500" s="23" t="str">
        <f>IFERROR(VLOOKUP(category_assignment_2[[#This Row],[abbreviation_id]],abbreviation[],ColumnLanguage+1,FALSE),"")</f>
        <v/>
      </c>
      <c r="D500" s="23"/>
      <c r="E500" s="23"/>
      <c r="F500" s="23"/>
      <c r="G500" s="23"/>
      <c r="H500" s="23"/>
      <c r="I500" s="23"/>
      <c r="J500" s="23"/>
      <c r="K500" s="23"/>
    </row>
    <row r="501" spans="1:11" x14ac:dyDescent="0.25">
      <c r="A501" s="4" t="str">
        <f>IFERROR(category_assignment_2[[#This Row],[category_assignment_id]],"")</f>
        <v/>
      </c>
      <c r="B501" s="23" t="str">
        <f>IFERROR(VLOOKUP(category_assignment_2[[#This Row],[category_id]],#REF!,3,FALSE),"")</f>
        <v/>
      </c>
      <c r="C501" s="23" t="str">
        <f>IFERROR(VLOOKUP(category_assignment_2[[#This Row],[abbreviation_id]],abbreviation[],ColumnLanguage+1,FALSE),"")</f>
        <v/>
      </c>
      <c r="D501" s="23"/>
      <c r="E501" s="23"/>
      <c r="F501" s="23"/>
      <c r="G501" s="23"/>
      <c r="H501" s="23"/>
      <c r="I501" s="23"/>
      <c r="J501" s="23"/>
      <c r="K501" s="23"/>
    </row>
    <row r="502" spans="1:11" x14ac:dyDescent="0.25">
      <c r="A502" s="4" t="str">
        <f>IFERROR(category_assignment_2[[#This Row],[category_assignment_id]],"")</f>
        <v/>
      </c>
      <c r="B502" s="23" t="str">
        <f>IFERROR(VLOOKUP(category_assignment_2[[#This Row],[category_id]],#REF!,3,FALSE),"")</f>
        <v/>
      </c>
      <c r="C502" s="23" t="str">
        <f>IFERROR(VLOOKUP(category_assignment_2[[#This Row],[abbreviation_id]],abbreviation[],ColumnLanguage+1,FALSE),"")</f>
        <v/>
      </c>
      <c r="D502" s="23"/>
      <c r="E502" s="23"/>
      <c r="F502" s="23"/>
      <c r="G502" s="23"/>
      <c r="H502" s="23"/>
      <c r="I502" s="23"/>
      <c r="J502" s="23"/>
      <c r="K502" s="23"/>
    </row>
    <row r="503" spans="1:11" x14ac:dyDescent="0.25">
      <c r="A503" s="4" t="str">
        <f>IFERROR(category_assignment_2[[#This Row],[category_assignment_id]],"")</f>
        <v/>
      </c>
      <c r="B503" s="23" t="str">
        <f>IFERROR(VLOOKUP(category_assignment_2[[#This Row],[category_id]],#REF!,3,FALSE),"")</f>
        <v/>
      </c>
      <c r="C503" s="23" t="str">
        <f>IFERROR(VLOOKUP(category_assignment_2[[#This Row],[abbreviation_id]],abbreviation[],ColumnLanguage+1,FALSE),"")</f>
        <v/>
      </c>
      <c r="D503" s="23"/>
      <c r="E503" s="23"/>
      <c r="F503" s="23"/>
      <c r="G503" s="23"/>
      <c r="H503" s="23"/>
      <c r="I503" s="23"/>
      <c r="J503" s="23"/>
      <c r="K503" s="23"/>
    </row>
    <row r="504" spans="1:11" x14ac:dyDescent="0.25">
      <c r="A504" s="4" t="str">
        <f>IFERROR(category_assignment_2[[#This Row],[category_assignment_id]],"")</f>
        <v/>
      </c>
      <c r="B504" s="23" t="str">
        <f>IFERROR(VLOOKUP(category_assignment_2[[#This Row],[category_id]],#REF!,3,FALSE),"")</f>
        <v/>
      </c>
      <c r="C504" s="23" t="str">
        <f>IFERROR(VLOOKUP(category_assignment_2[[#This Row],[abbreviation_id]],abbreviation[],ColumnLanguage+1,FALSE),"")</f>
        <v/>
      </c>
      <c r="D504" s="23"/>
      <c r="E504" s="23"/>
      <c r="F504" s="23"/>
      <c r="G504" s="23"/>
      <c r="H504" s="23"/>
      <c r="I504" s="23"/>
      <c r="J504" s="23"/>
      <c r="K504" s="23"/>
    </row>
    <row r="505" spans="1:11" x14ac:dyDescent="0.25">
      <c r="A505" s="4" t="str">
        <f>IFERROR(category_assignment_2[[#This Row],[category_assignment_id]],"")</f>
        <v/>
      </c>
      <c r="B505" s="23" t="str">
        <f>IFERROR(VLOOKUP(category_assignment_2[[#This Row],[category_id]],#REF!,3,FALSE),"")</f>
        <v/>
      </c>
      <c r="C505" s="23" t="str">
        <f>IFERROR(VLOOKUP(category_assignment_2[[#This Row],[abbreviation_id]],abbreviation[],ColumnLanguage+1,FALSE),"")</f>
        <v/>
      </c>
      <c r="D505" s="23"/>
      <c r="E505" s="23"/>
      <c r="F505" s="23"/>
      <c r="G505" s="23"/>
      <c r="H505" s="23"/>
      <c r="I505" s="23"/>
      <c r="J505" s="23"/>
      <c r="K505" s="23"/>
    </row>
    <row r="506" spans="1:11" x14ac:dyDescent="0.25">
      <c r="A506" s="4" t="str">
        <f>IFERROR(category_assignment_2[[#This Row],[category_assignment_id]],"")</f>
        <v/>
      </c>
      <c r="B506" s="23" t="str">
        <f>IFERROR(VLOOKUP(category_assignment_2[[#This Row],[category_id]],#REF!,3,FALSE),"")</f>
        <v/>
      </c>
      <c r="C506" s="23" t="str">
        <f>IFERROR(VLOOKUP(category_assignment_2[[#This Row],[abbreviation_id]],abbreviation[],ColumnLanguage+1,FALSE),"")</f>
        <v/>
      </c>
      <c r="D506" s="23"/>
      <c r="E506" s="23"/>
      <c r="F506" s="23"/>
      <c r="G506" s="23"/>
      <c r="H506" s="23"/>
      <c r="I506" s="23"/>
      <c r="J506" s="23"/>
      <c r="K506" s="23"/>
    </row>
    <row r="507" spans="1:11" x14ac:dyDescent="0.25">
      <c r="A507" s="4" t="str">
        <f>IFERROR(category_assignment_2[[#This Row],[category_assignment_id]],"")</f>
        <v/>
      </c>
      <c r="B507" s="23" t="str">
        <f>IFERROR(VLOOKUP(category_assignment_2[[#This Row],[category_id]],#REF!,3,FALSE),"")</f>
        <v/>
      </c>
      <c r="C507" s="23" t="str">
        <f>IFERROR(VLOOKUP(category_assignment_2[[#This Row],[abbreviation_id]],abbreviation[],ColumnLanguage+1,FALSE),"")</f>
        <v/>
      </c>
      <c r="D507" s="23"/>
      <c r="E507" s="23"/>
      <c r="F507" s="23"/>
      <c r="G507" s="23"/>
      <c r="H507" s="23"/>
      <c r="I507" s="23"/>
      <c r="J507" s="23"/>
      <c r="K507" s="23"/>
    </row>
    <row r="508" spans="1:11" x14ac:dyDescent="0.25">
      <c r="A508" s="4" t="str">
        <f>IFERROR(category_assignment_2[[#This Row],[category_assignment_id]],"")</f>
        <v/>
      </c>
      <c r="B508" s="23" t="str">
        <f>IFERROR(VLOOKUP(category_assignment_2[[#This Row],[category_id]],#REF!,3,FALSE),"")</f>
        <v/>
      </c>
      <c r="C508" s="23" t="str">
        <f>IFERROR(VLOOKUP(category_assignment_2[[#This Row],[abbreviation_id]],abbreviation[],ColumnLanguage+1,FALSE),"")</f>
        <v/>
      </c>
      <c r="D508" s="23"/>
      <c r="E508" s="23"/>
      <c r="F508" s="23"/>
      <c r="G508" s="23"/>
      <c r="H508" s="23"/>
      <c r="I508" s="23"/>
      <c r="J508" s="23"/>
      <c r="K508" s="23"/>
    </row>
    <row r="509" spans="1:11" x14ac:dyDescent="0.25">
      <c r="A509" s="4" t="str">
        <f>IFERROR(category_assignment_2[[#This Row],[category_assignment_id]],"")</f>
        <v/>
      </c>
      <c r="B509" s="23" t="str">
        <f>IFERROR(VLOOKUP(category_assignment_2[[#This Row],[category_id]],#REF!,3,FALSE),"")</f>
        <v/>
      </c>
      <c r="C509" s="23" t="str">
        <f>IFERROR(VLOOKUP(category_assignment_2[[#This Row],[abbreviation_id]],abbreviation[],ColumnLanguage+1,FALSE),"")</f>
        <v/>
      </c>
      <c r="D509" s="23"/>
      <c r="E509" s="23"/>
      <c r="F509" s="23"/>
      <c r="G509" s="23"/>
      <c r="H509" s="23"/>
      <c r="I509" s="23"/>
      <c r="J509" s="23"/>
      <c r="K509" s="23"/>
    </row>
    <row r="510" spans="1:11" x14ac:dyDescent="0.25">
      <c r="A510" s="4" t="str">
        <f>IFERROR(category_assignment_2[[#This Row],[category_assignment_id]],"")</f>
        <v/>
      </c>
      <c r="B510" s="23" t="str">
        <f>IFERROR(VLOOKUP(category_assignment_2[[#This Row],[category_id]],#REF!,3,FALSE),"")</f>
        <v/>
      </c>
      <c r="C510" s="23" t="str">
        <f>IFERROR(VLOOKUP(category_assignment_2[[#This Row],[abbreviation_id]],abbreviation[],ColumnLanguage+1,FALSE),"")</f>
        <v/>
      </c>
      <c r="D510" s="23"/>
      <c r="E510" s="23"/>
      <c r="F510" s="23"/>
      <c r="G510" s="23"/>
      <c r="H510" s="23"/>
      <c r="I510" s="23"/>
      <c r="J510" s="23"/>
      <c r="K510" s="23"/>
    </row>
    <row r="511" spans="1:11" x14ac:dyDescent="0.25">
      <c r="A511" s="4" t="str">
        <f>IFERROR(category_assignment_2[[#This Row],[category_assignment_id]],"")</f>
        <v/>
      </c>
      <c r="B511" s="23" t="str">
        <f>IFERROR(VLOOKUP(category_assignment_2[[#This Row],[category_id]],#REF!,3,FALSE),"")</f>
        <v/>
      </c>
      <c r="C511" s="23" t="str">
        <f>IFERROR(VLOOKUP(category_assignment_2[[#This Row],[abbreviation_id]],abbreviation[],ColumnLanguage+1,FALSE),"")</f>
        <v/>
      </c>
      <c r="D511" s="23"/>
      <c r="E511" s="23"/>
      <c r="F511" s="23"/>
      <c r="G511" s="23"/>
      <c r="H511" s="23"/>
      <c r="I511" s="23"/>
      <c r="J511" s="23"/>
      <c r="K511" s="23"/>
    </row>
    <row r="512" spans="1:11" x14ac:dyDescent="0.25">
      <c r="A512" s="4" t="str">
        <f>IFERROR(category_assignment_2[[#This Row],[category_assignment_id]],"")</f>
        <v/>
      </c>
      <c r="B512" s="23" t="str">
        <f>IFERROR(VLOOKUP(category_assignment_2[[#This Row],[category_id]],#REF!,3,FALSE),"")</f>
        <v/>
      </c>
      <c r="C512" s="23" t="str">
        <f>IFERROR(VLOOKUP(category_assignment_2[[#This Row],[abbreviation_id]],abbreviation[],ColumnLanguage+1,FALSE),"")</f>
        <v/>
      </c>
      <c r="D512" s="23"/>
      <c r="E512" s="23"/>
      <c r="F512" s="23"/>
      <c r="G512" s="23"/>
      <c r="H512" s="23"/>
      <c r="I512" s="23"/>
      <c r="J512" s="23"/>
      <c r="K512" s="23"/>
    </row>
    <row r="513" spans="1:11" x14ac:dyDescent="0.25">
      <c r="A513" s="4" t="str">
        <f>IFERROR(category_assignment_2[[#This Row],[category_assignment_id]],"")</f>
        <v/>
      </c>
      <c r="B513" s="23" t="str">
        <f>IFERROR(VLOOKUP(category_assignment_2[[#This Row],[category_id]],#REF!,3,FALSE),"")</f>
        <v/>
      </c>
      <c r="C513" s="23" t="str">
        <f>IFERROR(VLOOKUP(category_assignment_2[[#This Row],[abbreviation_id]],abbreviation[],ColumnLanguage+1,FALSE),"")</f>
        <v/>
      </c>
      <c r="D513" s="23"/>
      <c r="E513" s="23"/>
      <c r="F513" s="23"/>
      <c r="G513" s="23"/>
      <c r="H513" s="23"/>
      <c r="I513" s="23"/>
      <c r="J513" s="23"/>
      <c r="K513" s="23"/>
    </row>
    <row r="514" spans="1:11" x14ac:dyDescent="0.25">
      <c r="A514" s="4" t="str">
        <f>IFERROR(category_assignment_2[[#This Row],[category_assignment_id]],"")</f>
        <v/>
      </c>
      <c r="B514" s="23" t="str">
        <f>IFERROR(VLOOKUP(category_assignment_2[[#This Row],[category_id]],#REF!,3,FALSE),"")</f>
        <v/>
      </c>
      <c r="C514" s="23" t="str">
        <f>IFERROR(VLOOKUP(category_assignment_2[[#This Row],[abbreviation_id]],abbreviation[],ColumnLanguage+1,FALSE),"")</f>
        <v/>
      </c>
      <c r="D514" s="23"/>
      <c r="E514" s="23"/>
      <c r="F514" s="23"/>
      <c r="G514" s="23"/>
      <c r="H514" s="23"/>
      <c r="I514" s="23"/>
      <c r="J514" s="23"/>
      <c r="K514" s="23"/>
    </row>
    <row r="515" spans="1:11" x14ac:dyDescent="0.25">
      <c r="A515" s="4" t="str">
        <f>IFERROR(category_assignment_2[[#This Row],[category_assignment_id]],"")</f>
        <v/>
      </c>
      <c r="B515" s="23" t="str">
        <f>IFERROR(VLOOKUP(category_assignment_2[[#This Row],[category_id]],#REF!,3,FALSE),"")</f>
        <v/>
      </c>
      <c r="C515" s="23" t="str">
        <f>IFERROR(VLOOKUP(category_assignment_2[[#This Row],[abbreviation_id]],abbreviation[],ColumnLanguage+1,FALSE),"")</f>
        <v/>
      </c>
      <c r="D515" s="23"/>
      <c r="E515" s="23"/>
      <c r="F515" s="23"/>
      <c r="G515" s="23"/>
      <c r="H515" s="23"/>
      <c r="I515" s="23"/>
      <c r="J515" s="23"/>
      <c r="K515" s="23"/>
    </row>
    <row r="516" spans="1:11" x14ac:dyDescent="0.25">
      <c r="A516" s="4" t="str">
        <f>IFERROR(category_assignment_2[[#This Row],[category_assignment_id]],"")</f>
        <v/>
      </c>
      <c r="B516" s="23" t="str">
        <f>IFERROR(VLOOKUP(category_assignment_2[[#This Row],[category_id]],#REF!,3,FALSE),"")</f>
        <v/>
      </c>
      <c r="C516" s="23" t="str">
        <f>IFERROR(VLOOKUP(category_assignment_2[[#This Row],[abbreviation_id]],abbreviation[],ColumnLanguage+1,FALSE),"")</f>
        <v/>
      </c>
      <c r="D516" s="23"/>
      <c r="E516" s="23"/>
      <c r="F516" s="23"/>
      <c r="G516" s="23"/>
      <c r="H516" s="23"/>
      <c r="I516" s="23"/>
      <c r="J516" s="23"/>
      <c r="K516" s="23"/>
    </row>
    <row r="517" spans="1:11" x14ac:dyDescent="0.25">
      <c r="A517" s="4" t="str">
        <f>IFERROR(category_assignment_2[[#This Row],[category_assignment_id]],"")</f>
        <v/>
      </c>
      <c r="B517" s="23" t="str">
        <f>IFERROR(VLOOKUP(category_assignment_2[[#This Row],[category_id]],#REF!,3,FALSE),"")</f>
        <v/>
      </c>
      <c r="C517" s="23" t="str">
        <f>IFERROR(VLOOKUP(category_assignment_2[[#This Row],[abbreviation_id]],abbreviation[],ColumnLanguage+1,FALSE),"")</f>
        <v/>
      </c>
      <c r="D517" s="23"/>
      <c r="E517" s="23"/>
      <c r="F517" s="23"/>
      <c r="G517" s="23"/>
      <c r="H517" s="23"/>
      <c r="I517" s="23"/>
      <c r="J517" s="23"/>
      <c r="K517" s="23"/>
    </row>
    <row r="518" spans="1:11" x14ac:dyDescent="0.25">
      <c r="A518" s="4" t="str">
        <f>IFERROR(category_assignment_2[[#This Row],[category_assignment_id]],"")</f>
        <v/>
      </c>
      <c r="B518" s="23" t="str">
        <f>IFERROR(VLOOKUP(category_assignment_2[[#This Row],[category_id]],#REF!,3,FALSE),"")</f>
        <v/>
      </c>
      <c r="C518" s="23" t="str">
        <f>IFERROR(VLOOKUP(category_assignment_2[[#This Row],[abbreviation_id]],abbreviation[],ColumnLanguage+1,FALSE),"")</f>
        <v/>
      </c>
      <c r="D518" s="23"/>
      <c r="E518" s="23"/>
      <c r="F518" s="23"/>
      <c r="G518" s="23"/>
      <c r="H518" s="23"/>
      <c r="I518" s="23"/>
      <c r="J518" s="23"/>
      <c r="K518" s="23"/>
    </row>
    <row r="519" spans="1:11" x14ac:dyDescent="0.25">
      <c r="A519" s="4" t="str">
        <f>IFERROR(category_assignment_2[[#This Row],[category_assignment_id]],"")</f>
        <v/>
      </c>
      <c r="B519" s="23" t="str">
        <f>IFERROR(VLOOKUP(category_assignment_2[[#This Row],[category_id]],#REF!,3,FALSE),"")</f>
        <v/>
      </c>
      <c r="C519" s="23" t="str">
        <f>IFERROR(VLOOKUP(category_assignment_2[[#This Row],[abbreviation_id]],abbreviation[],ColumnLanguage+1,FALSE),"")</f>
        <v/>
      </c>
      <c r="D519" s="23"/>
      <c r="E519" s="23"/>
      <c r="F519" s="23"/>
      <c r="G519" s="23"/>
      <c r="H519" s="23"/>
      <c r="I519" s="23"/>
      <c r="J519" s="23"/>
      <c r="K519" s="23"/>
    </row>
    <row r="520" spans="1:11" x14ac:dyDescent="0.25">
      <c r="A520" s="4" t="str">
        <f>IFERROR(category_assignment_2[[#This Row],[category_assignment_id]],"")</f>
        <v/>
      </c>
      <c r="B520" s="23" t="str">
        <f>IFERROR(VLOOKUP(category_assignment_2[[#This Row],[category_id]],#REF!,3,FALSE),"")</f>
        <v/>
      </c>
      <c r="C520" s="23" t="str">
        <f>IFERROR(VLOOKUP(category_assignment_2[[#This Row],[abbreviation_id]],abbreviation[],ColumnLanguage+1,FALSE),"")</f>
        <v/>
      </c>
      <c r="D520" s="23"/>
      <c r="E520" s="23"/>
      <c r="F520" s="23"/>
      <c r="G520" s="23"/>
      <c r="H520" s="23"/>
      <c r="I520" s="23"/>
      <c r="J520" s="23"/>
      <c r="K520" s="23"/>
    </row>
    <row r="521" spans="1:11" x14ac:dyDescent="0.25">
      <c r="A521" s="4" t="str">
        <f>IFERROR(category_assignment_2[[#This Row],[category_assignment_id]],"")</f>
        <v/>
      </c>
      <c r="B521" s="23" t="str">
        <f>IFERROR(VLOOKUP(category_assignment_2[[#This Row],[category_id]],#REF!,3,FALSE),"")</f>
        <v/>
      </c>
      <c r="C521" s="23" t="str">
        <f>IFERROR(VLOOKUP(category_assignment_2[[#This Row],[abbreviation_id]],abbreviation[],ColumnLanguage+1,FALSE),"")</f>
        <v/>
      </c>
      <c r="D521" s="23"/>
      <c r="E521" s="23"/>
      <c r="F521" s="23"/>
      <c r="G521" s="23"/>
      <c r="H521" s="23"/>
      <c r="I521" s="23"/>
      <c r="J521" s="23"/>
      <c r="K521" s="23"/>
    </row>
    <row r="522" spans="1:11" x14ac:dyDescent="0.25">
      <c r="A522" s="4" t="str">
        <f>IFERROR(category_assignment_2[[#This Row],[category_assignment_id]],"")</f>
        <v/>
      </c>
      <c r="B522" s="23" t="str">
        <f>IFERROR(VLOOKUP(category_assignment_2[[#This Row],[category_id]],#REF!,3,FALSE),"")</f>
        <v/>
      </c>
      <c r="C522" s="23" t="str">
        <f>IFERROR(VLOOKUP(category_assignment_2[[#This Row],[abbreviation_id]],abbreviation[],ColumnLanguage+1,FALSE),"")</f>
        <v/>
      </c>
      <c r="D522" s="23"/>
      <c r="E522" s="23"/>
      <c r="F522" s="23"/>
      <c r="G522" s="23"/>
      <c r="H522" s="23"/>
      <c r="I522" s="23"/>
      <c r="J522" s="23"/>
      <c r="K522" s="23"/>
    </row>
    <row r="523" spans="1:11" x14ac:dyDescent="0.25">
      <c r="A523" s="4" t="str">
        <f>IFERROR(category_assignment_2[[#This Row],[category_assignment_id]],"")</f>
        <v/>
      </c>
      <c r="B523" s="23" t="str">
        <f>IFERROR(VLOOKUP(category_assignment_2[[#This Row],[category_id]],#REF!,3,FALSE),"")</f>
        <v/>
      </c>
      <c r="C523" s="23" t="str">
        <f>IFERROR(VLOOKUP(category_assignment_2[[#This Row],[abbreviation_id]],abbreviation[],ColumnLanguage+1,FALSE),"")</f>
        <v/>
      </c>
      <c r="D523" s="23"/>
      <c r="E523" s="23"/>
      <c r="F523" s="23"/>
      <c r="G523" s="23"/>
      <c r="H523" s="23"/>
      <c r="I523" s="23"/>
      <c r="J523" s="23"/>
      <c r="K523" s="23"/>
    </row>
    <row r="524" spans="1:11" x14ac:dyDescent="0.25">
      <c r="A524" s="4" t="str">
        <f>IFERROR(category_assignment_2[[#This Row],[category_assignment_id]],"")</f>
        <v/>
      </c>
      <c r="B524" s="23" t="str">
        <f>IFERROR(VLOOKUP(category_assignment_2[[#This Row],[category_id]],#REF!,3,FALSE),"")</f>
        <v/>
      </c>
      <c r="C524" s="23" t="str">
        <f>IFERROR(VLOOKUP(category_assignment_2[[#This Row],[abbreviation_id]],abbreviation[],ColumnLanguage+1,FALSE),"")</f>
        <v/>
      </c>
      <c r="D524" s="23"/>
      <c r="E524" s="23"/>
      <c r="F524" s="23"/>
      <c r="G524" s="23"/>
      <c r="H524" s="23"/>
      <c r="I524" s="23"/>
      <c r="J524" s="23"/>
      <c r="K524" s="23"/>
    </row>
    <row r="525" spans="1:11" x14ac:dyDescent="0.25">
      <c r="A525" s="4" t="str">
        <f>IFERROR(category_assignment_2[[#This Row],[category_assignment_id]],"")</f>
        <v/>
      </c>
      <c r="B525" s="23" t="str">
        <f>IFERROR(VLOOKUP(category_assignment_2[[#This Row],[category_id]],#REF!,3,FALSE),"")</f>
        <v/>
      </c>
      <c r="C525" s="23" t="str">
        <f>IFERROR(VLOOKUP(category_assignment_2[[#This Row],[abbreviation_id]],abbreviation[],ColumnLanguage+1,FALSE),"")</f>
        <v/>
      </c>
      <c r="D525" s="23"/>
      <c r="E525" s="23"/>
      <c r="F525" s="23"/>
      <c r="G525" s="23"/>
      <c r="H525" s="23"/>
      <c r="I525" s="23"/>
      <c r="J525" s="23"/>
      <c r="K525" s="23"/>
    </row>
    <row r="526" spans="1:11" x14ac:dyDescent="0.25">
      <c r="A526" s="4" t="str">
        <f>IFERROR(category_assignment_2[[#This Row],[category_assignment_id]],"")</f>
        <v/>
      </c>
      <c r="B526" s="23" t="str">
        <f>IFERROR(VLOOKUP(category_assignment_2[[#This Row],[category_id]],#REF!,3,FALSE),"")</f>
        <v/>
      </c>
      <c r="C526" s="23" t="str">
        <f>IFERROR(VLOOKUP(category_assignment_2[[#This Row],[abbreviation_id]],abbreviation[],ColumnLanguage+1,FALSE),"")</f>
        <v/>
      </c>
      <c r="D526" s="23"/>
      <c r="E526" s="23"/>
      <c r="F526" s="23"/>
      <c r="G526" s="23"/>
      <c r="H526" s="23"/>
      <c r="I526" s="23"/>
      <c r="J526" s="23"/>
      <c r="K526" s="23"/>
    </row>
    <row r="527" spans="1:11" x14ac:dyDescent="0.25">
      <c r="A527" s="4" t="str">
        <f>IFERROR(category_assignment_2[[#This Row],[category_assignment_id]],"")</f>
        <v/>
      </c>
      <c r="B527" s="23" t="str">
        <f>IFERROR(VLOOKUP(category_assignment_2[[#This Row],[category_id]],#REF!,3,FALSE),"")</f>
        <v/>
      </c>
      <c r="C527" s="23" t="str">
        <f>IFERROR(VLOOKUP(category_assignment_2[[#This Row],[abbreviation_id]],abbreviation[],ColumnLanguage+1,FALSE),"")</f>
        <v/>
      </c>
      <c r="D527" s="23"/>
      <c r="E527" s="23"/>
      <c r="F527" s="23"/>
      <c r="G527" s="23"/>
      <c r="H527" s="23"/>
      <c r="I527" s="23"/>
      <c r="J527" s="23"/>
      <c r="K527" s="23"/>
    </row>
    <row r="528" spans="1:11" x14ac:dyDescent="0.25">
      <c r="A528" s="4" t="str">
        <f>IFERROR(category_assignment_2[[#This Row],[category_assignment_id]],"")</f>
        <v/>
      </c>
      <c r="B528" s="23" t="str">
        <f>IFERROR(VLOOKUP(category_assignment_2[[#This Row],[category_id]],#REF!,3,FALSE),"")</f>
        <v/>
      </c>
      <c r="C528" s="23" t="str">
        <f>IFERROR(VLOOKUP(category_assignment_2[[#This Row],[abbreviation_id]],abbreviation[],ColumnLanguage+1,FALSE),"")</f>
        <v/>
      </c>
      <c r="D528" s="23"/>
      <c r="E528" s="23"/>
      <c r="F528" s="23"/>
      <c r="G528" s="23"/>
      <c r="H528" s="23"/>
      <c r="I528" s="23"/>
      <c r="J528" s="23"/>
      <c r="K528" s="23"/>
    </row>
    <row r="529" spans="1:11" x14ac:dyDescent="0.25">
      <c r="A529" s="4" t="str">
        <f>IFERROR(category_assignment_2[[#This Row],[category_assignment_id]],"")</f>
        <v/>
      </c>
      <c r="B529" s="23" t="str">
        <f>IFERROR(VLOOKUP(category_assignment_2[[#This Row],[category_id]],#REF!,3,FALSE),"")</f>
        <v/>
      </c>
      <c r="C529" s="23" t="str">
        <f>IFERROR(VLOOKUP(category_assignment_2[[#This Row],[abbreviation_id]],abbreviation[],ColumnLanguage+1,FALSE),"")</f>
        <v/>
      </c>
      <c r="D529" s="23"/>
      <c r="E529" s="23"/>
      <c r="F529" s="23"/>
      <c r="G529" s="23"/>
      <c r="H529" s="23"/>
      <c r="I529" s="23"/>
      <c r="J529" s="23"/>
      <c r="K529" s="23"/>
    </row>
    <row r="530" spans="1:11" x14ac:dyDescent="0.25">
      <c r="A530" s="4" t="str">
        <f>IFERROR(category_assignment_2[[#This Row],[category_assignment_id]],"")</f>
        <v/>
      </c>
      <c r="B530" s="23" t="str">
        <f>IFERROR(VLOOKUP(category_assignment_2[[#This Row],[category_id]],#REF!,3,FALSE),"")</f>
        <v/>
      </c>
      <c r="C530" s="23" t="str">
        <f>IFERROR(VLOOKUP(category_assignment_2[[#This Row],[abbreviation_id]],abbreviation[],ColumnLanguage+1,FALSE),"")</f>
        <v/>
      </c>
      <c r="D530" s="23"/>
      <c r="E530" s="23"/>
      <c r="F530" s="23"/>
      <c r="G530" s="23"/>
      <c r="H530" s="23"/>
      <c r="I530" s="23"/>
      <c r="J530" s="23"/>
      <c r="K530" s="23"/>
    </row>
    <row r="531" spans="1:11" x14ac:dyDescent="0.25">
      <c r="A531" s="4" t="str">
        <f>IFERROR(category_assignment_2[[#This Row],[category_assignment_id]],"")</f>
        <v/>
      </c>
      <c r="B531" s="23" t="str">
        <f>IFERROR(VLOOKUP(category_assignment_2[[#This Row],[category_id]],#REF!,3,FALSE),"")</f>
        <v/>
      </c>
      <c r="C531" s="23" t="str">
        <f>IFERROR(VLOOKUP(category_assignment_2[[#This Row],[abbreviation_id]],abbreviation[],ColumnLanguage+1,FALSE),"")</f>
        <v/>
      </c>
      <c r="D531" s="23"/>
      <c r="E531" s="23"/>
      <c r="F531" s="23"/>
      <c r="G531" s="23"/>
      <c r="H531" s="23"/>
      <c r="I531" s="23"/>
      <c r="J531" s="23"/>
      <c r="K531" s="23"/>
    </row>
    <row r="532" spans="1:11" x14ac:dyDescent="0.25">
      <c r="A532" s="4" t="str">
        <f>IFERROR(category_assignment_2[[#This Row],[category_assignment_id]],"")</f>
        <v/>
      </c>
      <c r="B532" s="23" t="str">
        <f>IFERROR(VLOOKUP(category_assignment_2[[#This Row],[category_id]],#REF!,3,FALSE),"")</f>
        <v/>
      </c>
      <c r="C532" s="23" t="str">
        <f>IFERROR(VLOOKUP(category_assignment_2[[#This Row],[abbreviation_id]],abbreviation[],ColumnLanguage+1,FALSE),"")</f>
        <v/>
      </c>
      <c r="D532" s="23"/>
      <c r="E532" s="23"/>
      <c r="F532" s="23"/>
      <c r="G532" s="23"/>
      <c r="H532" s="23"/>
      <c r="I532" s="23"/>
      <c r="J532" s="23"/>
      <c r="K532" s="23"/>
    </row>
    <row r="533" spans="1:11" x14ac:dyDescent="0.25">
      <c r="A533" s="4" t="str">
        <f>IFERROR(category_assignment_2[[#This Row],[category_assignment_id]],"")</f>
        <v/>
      </c>
      <c r="B533" s="23" t="str">
        <f>IFERROR(VLOOKUP(category_assignment_2[[#This Row],[category_id]],#REF!,3,FALSE),"")</f>
        <v/>
      </c>
      <c r="C533" s="23" t="str">
        <f>IFERROR(VLOOKUP(category_assignment_2[[#This Row],[abbreviation_id]],abbreviation[],ColumnLanguage+1,FALSE),"")</f>
        <v/>
      </c>
      <c r="D533" s="23"/>
      <c r="E533" s="23"/>
      <c r="F533" s="23"/>
      <c r="G533" s="23"/>
      <c r="H533" s="23"/>
      <c r="I533" s="23"/>
      <c r="J533" s="23"/>
      <c r="K533" s="23"/>
    </row>
    <row r="534" spans="1:11" x14ac:dyDescent="0.25">
      <c r="A534" s="4" t="str">
        <f>IFERROR(category_assignment_2[[#This Row],[category_assignment_id]],"")</f>
        <v/>
      </c>
      <c r="B534" s="23" t="str">
        <f>IFERROR(VLOOKUP(category_assignment_2[[#This Row],[category_id]],#REF!,3,FALSE),"")</f>
        <v/>
      </c>
      <c r="C534" s="23" t="str">
        <f>IFERROR(VLOOKUP(category_assignment_2[[#This Row],[abbreviation_id]],abbreviation[],ColumnLanguage+1,FALSE),"")</f>
        <v/>
      </c>
      <c r="D534" s="23"/>
      <c r="E534" s="23"/>
      <c r="F534" s="23"/>
      <c r="G534" s="23"/>
      <c r="H534" s="23"/>
      <c r="I534" s="23"/>
      <c r="J534" s="23"/>
      <c r="K534" s="23"/>
    </row>
    <row r="535" spans="1:11" x14ac:dyDescent="0.25">
      <c r="A535" s="4" t="str">
        <f>IFERROR(category_assignment_2[[#This Row],[category_assignment_id]],"")</f>
        <v/>
      </c>
      <c r="B535" s="23" t="str">
        <f>IFERROR(VLOOKUP(category_assignment_2[[#This Row],[category_id]],#REF!,3,FALSE),"")</f>
        <v/>
      </c>
      <c r="C535" s="23" t="str">
        <f>IFERROR(VLOOKUP(category_assignment_2[[#This Row],[abbreviation_id]],abbreviation[],ColumnLanguage+1,FALSE),"")</f>
        <v/>
      </c>
      <c r="D535" s="23"/>
      <c r="E535" s="23"/>
      <c r="F535" s="23"/>
      <c r="G535" s="23"/>
      <c r="H535" s="23"/>
      <c r="I535" s="23"/>
      <c r="J535" s="23"/>
      <c r="K535" s="23"/>
    </row>
    <row r="536" spans="1:11" x14ac:dyDescent="0.25">
      <c r="A536" s="4" t="str">
        <f>IFERROR(category_assignment_2[[#This Row],[category_assignment_id]],"")</f>
        <v/>
      </c>
      <c r="B536" s="23" t="str">
        <f>IFERROR(VLOOKUP(category_assignment_2[[#This Row],[category_id]],#REF!,3,FALSE),"")</f>
        <v/>
      </c>
      <c r="C536" s="23" t="str">
        <f>IFERROR(VLOOKUP(category_assignment_2[[#This Row],[abbreviation_id]],abbreviation[],ColumnLanguage+1,FALSE),"")</f>
        <v/>
      </c>
      <c r="D536" s="23"/>
      <c r="E536" s="23"/>
      <c r="F536" s="23"/>
      <c r="G536" s="23"/>
      <c r="H536" s="23"/>
      <c r="I536" s="23"/>
      <c r="J536" s="23"/>
      <c r="K536" s="23"/>
    </row>
    <row r="537" spans="1:11" x14ac:dyDescent="0.25">
      <c r="A537" s="4" t="str">
        <f>IFERROR(category_assignment_2[[#This Row],[category_assignment_id]],"")</f>
        <v/>
      </c>
      <c r="B537" s="23" t="str">
        <f>IFERROR(VLOOKUP(category_assignment_2[[#This Row],[category_id]],#REF!,3,FALSE),"")</f>
        <v/>
      </c>
      <c r="C537" s="23" t="str">
        <f>IFERROR(VLOOKUP(category_assignment_2[[#This Row],[abbreviation_id]],abbreviation[],ColumnLanguage+1,FALSE),"")</f>
        <v/>
      </c>
      <c r="D537" s="23"/>
      <c r="E537" s="23"/>
      <c r="F537" s="23"/>
      <c r="G537" s="23"/>
      <c r="H537" s="23"/>
      <c r="I537" s="23"/>
      <c r="J537" s="23"/>
      <c r="K537" s="23"/>
    </row>
    <row r="538" spans="1:11" x14ac:dyDescent="0.25">
      <c r="A538" s="4" t="str">
        <f>IFERROR(category_assignment_2[[#This Row],[category_assignment_id]],"")</f>
        <v/>
      </c>
      <c r="B538" s="23" t="str">
        <f>IFERROR(VLOOKUP(category_assignment_2[[#This Row],[category_id]],#REF!,3,FALSE),"")</f>
        <v/>
      </c>
      <c r="C538" s="23" t="str">
        <f>IFERROR(VLOOKUP(category_assignment_2[[#This Row],[abbreviation_id]],abbreviation[],ColumnLanguage+1,FALSE),"")</f>
        <v/>
      </c>
      <c r="D538" s="23"/>
      <c r="E538" s="23"/>
      <c r="F538" s="23"/>
      <c r="G538" s="23"/>
      <c r="H538" s="23"/>
      <c r="I538" s="23"/>
      <c r="J538" s="23"/>
      <c r="K538" s="23"/>
    </row>
    <row r="539" spans="1:11" x14ac:dyDescent="0.25">
      <c r="A539" s="4" t="str">
        <f>IFERROR(category_assignment_2[[#This Row],[category_assignment_id]],"")</f>
        <v/>
      </c>
      <c r="B539" s="23" t="str">
        <f>IFERROR(VLOOKUP(category_assignment_2[[#This Row],[category_id]],#REF!,3,FALSE),"")</f>
        <v/>
      </c>
      <c r="C539" s="23" t="str">
        <f>IFERROR(VLOOKUP(category_assignment_2[[#This Row],[abbreviation_id]],abbreviation[],ColumnLanguage+1,FALSE),"")</f>
        <v/>
      </c>
      <c r="D539" s="23"/>
      <c r="E539" s="23"/>
      <c r="F539" s="23"/>
      <c r="G539" s="23"/>
      <c r="H539" s="23"/>
      <c r="I539" s="23"/>
      <c r="J539" s="23"/>
      <c r="K539" s="23"/>
    </row>
    <row r="540" spans="1:11" x14ac:dyDescent="0.25">
      <c r="A540" s="4" t="str">
        <f>IFERROR(category_assignment_2[[#This Row],[category_assignment_id]],"")</f>
        <v/>
      </c>
      <c r="B540" s="23" t="str">
        <f>IFERROR(VLOOKUP(category_assignment_2[[#This Row],[category_id]],#REF!,3,FALSE),"")</f>
        <v/>
      </c>
      <c r="C540" s="23" t="str">
        <f>IFERROR(VLOOKUP(category_assignment_2[[#This Row],[abbreviation_id]],abbreviation[],ColumnLanguage+1,FALSE),"")</f>
        <v/>
      </c>
      <c r="D540" s="23"/>
      <c r="E540" s="23"/>
      <c r="F540" s="23"/>
      <c r="G540" s="23"/>
      <c r="H540" s="23"/>
      <c r="I540" s="23"/>
      <c r="J540" s="23"/>
      <c r="K540" s="23"/>
    </row>
    <row r="541" spans="1:11" x14ac:dyDescent="0.25">
      <c r="A541" s="4" t="str">
        <f>IFERROR(category_assignment_2[[#This Row],[category_assignment_id]],"")</f>
        <v/>
      </c>
      <c r="B541" s="23" t="str">
        <f>IFERROR(VLOOKUP(category_assignment_2[[#This Row],[category_id]],#REF!,3,FALSE),"")</f>
        <v/>
      </c>
      <c r="C541" s="23" t="str">
        <f>IFERROR(VLOOKUP(category_assignment_2[[#This Row],[abbreviation_id]],abbreviation[],ColumnLanguage+1,FALSE),"")</f>
        <v/>
      </c>
      <c r="D541" s="23"/>
      <c r="E541" s="23"/>
      <c r="F541" s="23"/>
      <c r="G541" s="23"/>
      <c r="H541" s="23"/>
      <c r="I541" s="23"/>
      <c r="J541" s="23"/>
      <c r="K541" s="23"/>
    </row>
    <row r="542" spans="1:11" x14ac:dyDescent="0.25">
      <c r="A542" s="4" t="str">
        <f>IFERROR(category_assignment_2[[#This Row],[category_assignment_id]],"")</f>
        <v/>
      </c>
      <c r="B542" s="23" t="str">
        <f>IFERROR(VLOOKUP(category_assignment_2[[#This Row],[category_id]],#REF!,3,FALSE),"")</f>
        <v/>
      </c>
      <c r="C542" s="23" t="str">
        <f>IFERROR(VLOOKUP(category_assignment_2[[#This Row],[abbreviation_id]],abbreviation[],ColumnLanguage+1,FALSE),"")</f>
        <v/>
      </c>
      <c r="D542" s="23"/>
      <c r="E542" s="23"/>
      <c r="F542" s="23"/>
      <c r="G542" s="23"/>
      <c r="H542" s="23"/>
      <c r="I542" s="23"/>
      <c r="J542" s="23"/>
      <c r="K542" s="23"/>
    </row>
    <row r="543" spans="1:11" x14ac:dyDescent="0.25">
      <c r="A543" s="4" t="str">
        <f>IFERROR(category_assignment_2[[#This Row],[category_assignment_id]],"")</f>
        <v/>
      </c>
      <c r="B543" s="23" t="str">
        <f>IFERROR(VLOOKUP(category_assignment_2[[#This Row],[category_id]],#REF!,3,FALSE),"")</f>
        <v/>
      </c>
      <c r="C543" s="23" t="str">
        <f>IFERROR(VLOOKUP(category_assignment_2[[#This Row],[abbreviation_id]],abbreviation[],ColumnLanguage+1,FALSE),"")</f>
        <v/>
      </c>
      <c r="D543" s="23"/>
      <c r="E543" s="23"/>
      <c r="F543" s="23"/>
      <c r="G543" s="23"/>
      <c r="H543" s="23"/>
      <c r="I543" s="23"/>
      <c r="J543" s="23"/>
      <c r="K543" s="23"/>
    </row>
    <row r="544" spans="1:11" x14ac:dyDescent="0.25">
      <c r="A544" s="4" t="str">
        <f>IFERROR(category_assignment_2[[#This Row],[category_assignment_id]],"")</f>
        <v/>
      </c>
      <c r="B544" s="23" t="str">
        <f>IFERROR(VLOOKUP(category_assignment_2[[#This Row],[category_id]],#REF!,3,FALSE),"")</f>
        <v/>
      </c>
      <c r="C544" s="23" t="str">
        <f>IFERROR(VLOOKUP(category_assignment_2[[#This Row],[abbreviation_id]],abbreviation[],ColumnLanguage+1,FALSE),"")</f>
        <v/>
      </c>
      <c r="D544" s="23"/>
      <c r="E544" s="23"/>
      <c r="F544" s="23"/>
      <c r="G544" s="23"/>
      <c r="H544" s="23"/>
      <c r="I544" s="23"/>
      <c r="J544" s="23"/>
      <c r="K544" s="23"/>
    </row>
    <row r="545" spans="1:11" x14ac:dyDescent="0.25">
      <c r="A545" s="4" t="str">
        <f>IFERROR(category_assignment_2[[#This Row],[category_assignment_id]],"")</f>
        <v/>
      </c>
      <c r="B545" s="23" t="str">
        <f>IFERROR(VLOOKUP(category_assignment_2[[#This Row],[category_id]],#REF!,3,FALSE),"")</f>
        <v/>
      </c>
      <c r="C545" s="23" t="str">
        <f>IFERROR(VLOOKUP(category_assignment_2[[#This Row],[abbreviation_id]],abbreviation[],ColumnLanguage+1,FALSE),"")</f>
        <v/>
      </c>
      <c r="D545" s="23"/>
      <c r="E545" s="23"/>
      <c r="F545" s="23"/>
      <c r="G545" s="23"/>
      <c r="H545" s="23"/>
      <c r="I545" s="23"/>
      <c r="J545" s="23"/>
      <c r="K545" s="23"/>
    </row>
    <row r="546" spans="1:11" x14ac:dyDescent="0.25">
      <c r="A546" s="4" t="str">
        <f>IFERROR(category_assignment_2[[#This Row],[category_assignment_id]],"")</f>
        <v/>
      </c>
      <c r="B546" s="23" t="str">
        <f>IFERROR(VLOOKUP(category_assignment_2[[#This Row],[category_id]],#REF!,3,FALSE),"")</f>
        <v/>
      </c>
      <c r="C546" s="23" t="str">
        <f>IFERROR(VLOOKUP(category_assignment_2[[#This Row],[abbreviation_id]],abbreviation[],ColumnLanguage+1,FALSE),"")</f>
        <v/>
      </c>
      <c r="D546" s="23"/>
      <c r="E546" s="23"/>
      <c r="F546" s="23"/>
      <c r="G546" s="23"/>
      <c r="H546" s="23"/>
      <c r="I546" s="23"/>
      <c r="J546" s="23"/>
      <c r="K546" s="23"/>
    </row>
    <row r="547" spans="1:11" x14ac:dyDescent="0.25">
      <c r="A547" s="4" t="str">
        <f>IFERROR(category_assignment_2[[#This Row],[category_assignment_id]],"")</f>
        <v/>
      </c>
      <c r="B547" s="23" t="str">
        <f>IFERROR(VLOOKUP(category_assignment_2[[#This Row],[category_id]],#REF!,3,FALSE),"")</f>
        <v/>
      </c>
      <c r="C547" s="23" t="str">
        <f>IFERROR(VLOOKUP(category_assignment_2[[#This Row],[abbreviation_id]],abbreviation[],ColumnLanguage+1,FALSE),"")</f>
        <v/>
      </c>
      <c r="D547" s="23"/>
      <c r="E547" s="23"/>
      <c r="F547" s="23"/>
      <c r="G547" s="23"/>
      <c r="H547" s="23"/>
      <c r="I547" s="23"/>
      <c r="J547" s="23"/>
      <c r="K547" s="23"/>
    </row>
    <row r="548" spans="1:11" x14ac:dyDescent="0.25">
      <c r="A548" s="4" t="str">
        <f>IFERROR(category_assignment_2[[#This Row],[category_assignment_id]],"")</f>
        <v/>
      </c>
      <c r="B548" s="23" t="str">
        <f>IFERROR(VLOOKUP(category_assignment_2[[#This Row],[category_id]],#REF!,3,FALSE),"")</f>
        <v/>
      </c>
      <c r="C548" s="23" t="str">
        <f>IFERROR(VLOOKUP(category_assignment_2[[#This Row],[abbreviation_id]],abbreviation[],ColumnLanguage+1,FALSE),"")</f>
        <v/>
      </c>
      <c r="D548" s="23"/>
      <c r="E548" s="23"/>
      <c r="F548" s="23"/>
      <c r="G548" s="23"/>
      <c r="H548" s="23"/>
      <c r="I548" s="23"/>
      <c r="J548" s="23"/>
      <c r="K548" s="23"/>
    </row>
    <row r="549" spans="1:11" x14ac:dyDescent="0.25">
      <c r="A549" s="4" t="str">
        <f>IFERROR(category_assignment_2[[#This Row],[category_assignment_id]],"")</f>
        <v/>
      </c>
      <c r="B549" s="23" t="str">
        <f>IFERROR(VLOOKUP(category_assignment_2[[#This Row],[category_id]],#REF!,3,FALSE),"")</f>
        <v/>
      </c>
      <c r="C549" s="23" t="str">
        <f>IFERROR(VLOOKUP(category_assignment_2[[#This Row],[abbreviation_id]],abbreviation[],ColumnLanguage+1,FALSE),"")</f>
        <v/>
      </c>
      <c r="D549" s="23"/>
      <c r="E549" s="23"/>
      <c r="F549" s="23"/>
      <c r="G549" s="23"/>
      <c r="H549" s="23"/>
      <c r="I549" s="23"/>
      <c r="J549" s="23"/>
      <c r="K549" s="23"/>
    </row>
    <row r="550" spans="1:11" x14ac:dyDescent="0.25">
      <c r="A550" s="4" t="str">
        <f>IFERROR(category_assignment_2[[#This Row],[category_assignment_id]],"")</f>
        <v/>
      </c>
      <c r="B550" s="23" t="str">
        <f>IFERROR(VLOOKUP(category_assignment_2[[#This Row],[category_id]],#REF!,3,FALSE),"")</f>
        <v/>
      </c>
      <c r="C550" s="23" t="str">
        <f>IFERROR(VLOOKUP(category_assignment_2[[#This Row],[abbreviation_id]],abbreviation[],ColumnLanguage+1,FALSE),"")</f>
        <v/>
      </c>
      <c r="D550" s="23"/>
      <c r="E550" s="23"/>
      <c r="F550" s="23"/>
      <c r="G550" s="23"/>
      <c r="H550" s="23"/>
      <c r="I550" s="23"/>
      <c r="J550" s="23"/>
      <c r="K550" s="23"/>
    </row>
    <row r="551" spans="1:11" x14ac:dyDescent="0.25">
      <c r="A551" s="4" t="str">
        <f>IFERROR(category_assignment_2[[#This Row],[category_assignment_id]],"")</f>
        <v/>
      </c>
      <c r="B551" s="23" t="str">
        <f>IFERROR(VLOOKUP(category_assignment_2[[#This Row],[category_id]],#REF!,3,FALSE),"")</f>
        <v/>
      </c>
      <c r="C551" s="23" t="str">
        <f>IFERROR(VLOOKUP(category_assignment_2[[#This Row],[abbreviation_id]],abbreviation[],ColumnLanguage+1,FALSE),"")</f>
        <v/>
      </c>
      <c r="D551" s="23"/>
      <c r="E551" s="23"/>
      <c r="F551" s="23"/>
      <c r="G551" s="23"/>
      <c r="H551" s="23"/>
      <c r="I551" s="23"/>
      <c r="J551" s="23"/>
      <c r="K551" s="23"/>
    </row>
    <row r="552" spans="1:11" x14ac:dyDescent="0.25">
      <c r="A552" s="4" t="str">
        <f>IFERROR(category_assignment_2[[#This Row],[category_assignment_id]],"")</f>
        <v/>
      </c>
      <c r="B552" s="23" t="str">
        <f>IFERROR(VLOOKUP(category_assignment_2[[#This Row],[category_id]],#REF!,3,FALSE),"")</f>
        <v/>
      </c>
      <c r="C552" s="23" t="str">
        <f>IFERROR(VLOOKUP(category_assignment_2[[#This Row],[abbreviation_id]],abbreviation[],ColumnLanguage+1,FALSE),"")</f>
        <v/>
      </c>
      <c r="D552" s="23"/>
      <c r="E552" s="23"/>
      <c r="F552" s="23"/>
      <c r="G552" s="23"/>
      <c r="H552" s="23"/>
      <c r="I552" s="23"/>
      <c r="J552" s="23"/>
      <c r="K552" s="23"/>
    </row>
    <row r="553" spans="1:11" x14ac:dyDescent="0.25">
      <c r="A553" s="4" t="str">
        <f>IFERROR(category_assignment_2[[#This Row],[category_assignment_id]],"")</f>
        <v/>
      </c>
      <c r="B553" s="23" t="str">
        <f>IFERROR(VLOOKUP(category_assignment_2[[#This Row],[category_id]],#REF!,3,FALSE),"")</f>
        <v/>
      </c>
      <c r="C553" s="23" t="str">
        <f>IFERROR(VLOOKUP(category_assignment_2[[#This Row],[abbreviation_id]],abbreviation[],ColumnLanguage+1,FALSE),"")</f>
        <v/>
      </c>
      <c r="D553" s="23"/>
      <c r="E553" s="23"/>
      <c r="F553" s="23"/>
      <c r="G553" s="23"/>
      <c r="H553" s="23"/>
      <c r="I553" s="23"/>
      <c r="J553" s="23"/>
      <c r="K553" s="23"/>
    </row>
    <row r="554" spans="1:11" x14ac:dyDescent="0.25">
      <c r="A554" s="4" t="str">
        <f>IFERROR(category_assignment_2[[#This Row],[category_assignment_id]],"")</f>
        <v/>
      </c>
      <c r="B554" s="23" t="str">
        <f>IFERROR(VLOOKUP(category_assignment_2[[#This Row],[category_id]],#REF!,3,FALSE),"")</f>
        <v/>
      </c>
      <c r="C554" s="23" t="str">
        <f>IFERROR(VLOOKUP(category_assignment_2[[#This Row],[abbreviation_id]],abbreviation[],ColumnLanguage+1,FALSE),"")</f>
        <v/>
      </c>
      <c r="D554" s="23"/>
      <c r="E554" s="23"/>
      <c r="F554" s="23"/>
      <c r="G554" s="23"/>
      <c r="H554" s="23"/>
      <c r="I554" s="23"/>
      <c r="J554" s="23"/>
      <c r="K554" s="23"/>
    </row>
    <row r="555" spans="1:11" x14ac:dyDescent="0.25">
      <c r="A555" s="4" t="str">
        <f>IFERROR(category_assignment_2[[#This Row],[category_assignment_id]],"")</f>
        <v/>
      </c>
      <c r="B555" s="23" t="str">
        <f>IFERROR(VLOOKUP(category_assignment_2[[#This Row],[category_id]],#REF!,3,FALSE),"")</f>
        <v/>
      </c>
      <c r="C555" s="23" t="str">
        <f>IFERROR(VLOOKUP(category_assignment_2[[#This Row],[abbreviation_id]],abbreviation[],ColumnLanguage+1,FALSE),"")</f>
        <v/>
      </c>
      <c r="D555" s="23"/>
      <c r="E555" s="23"/>
      <c r="F555" s="23"/>
      <c r="G555" s="23"/>
      <c r="H555" s="23"/>
      <c r="I555" s="23"/>
      <c r="J555" s="23"/>
      <c r="K555" s="23"/>
    </row>
    <row r="556" spans="1:11" x14ac:dyDescent="0.25">
      <c r="A556" s="4" t="str">
        <f>IFERROR(category_assignment_2[[#This Row],[category_assignment_id]],"")</f>
        <v/>
      </c>
      <c r="B556" s="23" t="str">
        <f>IFERROR(VLOOKUP(category_assignment_2[[#This Row],[category_id]],#REF!,3,FALSE),"")</f>
        <v/>
      </c>
      <c r="C556" s="23" t="str">
        <f>IFERROR(VLOOKUP(category_assignment_2[[#This Row],[abbreviation_id]],abbreviation[],ColumnLanguage+1,FALSE),"")</f>
        <v/>
      </c>
      <c r="D556" s="23"/>
      <c r="E556" s="23"/>
      <c r="F556" s="23"/>
      <c r="G556" s="23"/>
      <c r="H556" s="23"/>
      <c r="I556" s="23"/>
      <c r="J556" s="23"/>
      <c r="K556" s="23"/>
    </row>
    <row r="557" spans="1:11" x14ac:dyDescent="0.25">
      <c r="A557" s="4" t="str">
        <f>IFERROR(category_assignment_2[[#This Row],[category_assignment_id]],"")</f>
        <v/>
      </c>
      <c r="B557" s="23" t="str">
        <f>IFERROR(VLOOKUP(category_assignment_2[[#This Row],[category_id]],#REF!,3,FALSE),"")</f>
        <v/>
      </c>
      <c r="C557" s="23" t="str">
        <f>IFERROR(VLOOKUP(category_assignment_2[[#This Row],[abbreviation_id]],abbreviation[],ColumnLanguage+1,FALSE),"")</f>
        <v/>
      </c>
      <c r="D557" s="23"/>
      <c r="E557" s="23"/>
      <c r="F557" s="23"/>
      <c r="G557" s="23"/>
      <c r="H557" s="23"/>
      <c r="I557" s="23"/>
      <c r="J557" s="23"/>
      <c r="K557" s="23"/>
    </row>
    <row r="558" spans="1:11" x14ac:dyDescent="0.25">
      <c r="A558" s="4" t="str">
        <f>IFERROR(category_assignment_2[[#This Row],[category_assignment_id]],"")</f>
        <v/>
      </c>
      <c r="B558" s="23" t="str">
        <f>IFERROR(VLOOKUP(category_assignment_2[[#This Row],[category_id]],#REF!,3,FALSE),"")</f>
        <v/>
      </c>
      <c r="C558" s="23" t="str">
        <f>IFERROR(VLOOKUP(category_assignment_2[[#This Row],[abbreviation_id]],abbreviation[],ColumnLanguage+1,FALSE),"")</f>
        <v/>
      </c>
      <c r="D558" s="23"/>
      <c r="E558" s="23"/>
      <c r="F558" s="23"/>
      <c r="G558" s="23"/>
      <c r="H558" s="23"/>
      <c r="I558" s="23"/>
      <c r="J558" s="23"/>
      <c r="K558" s="23"/>
    </row>
    <row r="559" spans="1:11" x14ac:dyDescent="0.25">
      <c r="A559" s="4" t="str">
        <f>IFERROR(category_assignment_2[[#This Row],[category_assignment_id]],"")</f>
        <v/>
      </c>
      <c r="B559" s="23" t="str">
        <f>IFERROR(VLOOKUP(category_assignment_2[[#This Row],[category_id]],#REF!,3,FALSE),"")</f>
        <v/>
      </c>
      <c r="C559" s="23" t="str">
        <f>IFERROR(VLOOKUP(category_assignment_2[[#This Row],[abbreviation_id]],abbreviation[],ColumnLanguage+1,FALSE),"")</f>
        <v/>
      </c>
      <c r="D559" s="23"/>
      <c r="E559" s="23"/>
      <c r="F559" s="23"/>
      <c r="G559" s="23"/>
      <c r="H559" s="23"/>
      <c r="I559" s="23"/>
      <c r="J559" s="23"/>
      <c r="K559" s="23"/>
    </row>
    <row r="560" spans="1:11" x14ac:dyDescent="0.25">
      <c r="A560" s="4" t="str">
        <f>IFERROR(category_assignment_2[[#This Row],[category_assignment_id]],"")</f>
        <v/>
      </c>
      <c r="B560" s="23" t="str">
        <f>IFERROR(VLOOKUP(category_assignment_2[[#This Row],[category_id]],#REF!,3,FALSE),"")</f>
        <v/>
      </c>
      <c r="C560" s="23" t="str">
        <f>IFERROR(VLOOKUP(category_assignment_2[[#This Row],[abbreviation_id]],abbreviation[],ColumnLanguage+1,FALSE),"")</f>
        <v/>
      </c>
      <c r="D560" s="23"/>
      <c r="E560" s="23"/>
      <c r="F560" s="23"/>
      <c r="G560" s="23"/>
      <c r="H560" s="23"/>
      <c r="I560" s="23"/>
      <c r="J560" s="23"/>
      <c r="K560" s="23"/>
    </row>
    <row r="561" spans="1:11" x14ac:dyDescent="0.25">
      <c r="A561" s="4" t="str">
        <f>IFERROR(category_assignment_2[[#This Row],[category_assignment_id]],"")</f>
        <v/>
      </c>
      <c r="B561" s="23" t="str">
        <f>IFERROR(VLOOKUP(category_assignment_2[[#This Row],[category_id]],#REF!,3,FALSE),"")</f>
        <v/>
      </c>
      <c r="C561" s="23" t="str">
        <f>IFERROR(VLOOKUP(category_assignment_2[[#This Row],[abbreviation_id]],abbreviation[],ColumnLanguage+1,FALSE),"")</f>
        <v/>
      </c>
      <c r="D561" s="23"/>
      <c r="E561" s="23"/>
      <c r="F561" s="23"/>
      <c r="G561" s="23"/>
      <c r="H561" s="23"/>
      <c r="I561" s="23"/>
      <c r="J561" s="23"/>
      <c r="K561" s="23"/>
    </row>
    <row r="562" spans="1:11" x14ac:dyDescent="0.25">
      <c r="A562" s="4" t="str">
        <f>IFERROR(category_assignment_2[[#This Row],[category_assignment_id]],"")</f>
        <v/>
      </c>
      <c r="B562" s="23" t="str">
        <f>IFERROR(VLOOKUP(category_assignment_2[[#This Row],[category_id]],#REF!,3,FALSE),"")</f>
        <v/>
      </c>
      <c r="C562" s="23" t="str">
        <f>IFERROR(VLOOKUP(category_assignment_2[[#This Row],[abbreviation_id]],abbreviation[],ColumnLanguage+1,FALSE),"")</f>
        <v/>
      </c>
      <c r="D562" s="23"/>
      <c r="E562" s="23"/>
      <c r="F562" s="23"/>
      <c r="G562" s="23"/>
      <c r="H562" s="23"/>
      <c r="I562" s="23"/>
      <c r="J562" s="23"/>
      <c r="K562" s="23"/>
    </row>
    <row r="563" spans="1:11" x14ac:dyDescent="0.25">
      <c r="A563" s="4" t="str">
        <f>IFERROR(category_assignment_2[[#This Row],[category_assignment_id]],"")</f>
        <v/>
      </c>
      <c r="B563" s="23" t="str">
        <f>IFERROR(VLOOKUP(category_assignment_2[[#This Row],[category_id]],#REF!,3,FALSE),"")</f>
        <v/>
      </c>
      <c r="C563" s="23" t="str">
        <f>IFERROR(VLOOKUP(category_assignment_2[[#This Row],[abbreviation_id]],abbreviation[],ColumnLanguage+1,FALSE),"")</f>
        <v/>
      </c>
      <c r="D563" s="23"/>
      <c r="E563" s="23"/>
      <c r="F563" s="23"/>
      <c r="G563" s="23"/>
      <c r="H563" s="23"/>
      <c r="I563" s="23"/>
      <c r="J563" s="23"/>
      <c r="K563" s="23"/>
    </row>
    <row r="564" spans="1:11" x14ac:dyDescent="0.25">
      <c r="A564" s="4" t="str">
        <f>IFERROR(category_assignment_2[[#This Row],[category_assignment_id]],"")</f>
        <v/>
      </c>
      <c r="B564" s="23" t="str">
        <f>IFERROR(VLOOKUP(category_assignment_2[[#This Row],[category_id]],#REF!,3,FALSE),"")</f>
        <v/>
      </c>
      <c r="C564" s="23" t="str">
        <f>IFERROR(VLOOKUP(category_assignment_2[[#This Row],[abbreviation_id]],abbreviation[],ColumnLanguage+1,FALSE),"")</f>
        <v/>
      </c>
      <c r="D564" s="23"/>
      <c r="E564" s="23"/>
      <c r="F564" s="23"/>
      <c r="G564" s="23"/>
      <c r="H564" s="23"/>
      <c r="I564" s="23"/>
      <c r="J564" s="23"/>
      <c r="K564" s="23"/>
    </row>
    <row r="565" spans="1:11" x14ac:dyDescent="0.25">
      <c r="A565" s="4" t="str">
        <f>IFERROR(category_assignment_2[[#This Row],[category_assignment_id]],"")</f>
        <v/>
      </c>
      <c r="B565" s="23" t="str">
        <f>IFERROR(VLOOKUP(category_assignment_2[[#This Row],[category_id]],#REF!,3,FALSE),"")</f>
        <v/>
      </c>
      <c r="C565" s="23" t="str">
        <f>IFERROR(VLOOKUP(category_assignment_2[[#This Row],[abbreviation_id]],abbreviation[],ColumnLanguage+1,FALSE),"")</f>
        <v/>
      </c>
      <c r="D565" s="23"/>
      <c r="E565" s="23"/>
      <c r="F565" s="23"/>
      <c r="G565" s="23"/>
      <c r="H565" s="23"/>
      <c r="I565" s="23"/>
      <c r="J565" s="23"/>
      <c r="K565" s="23"/>
    </row>
    <row r="566" spans="1:11" x14ac:dyDescent="0.25">
      <c r="A566" s="4" t="str">
        <f>IFERROR(category_assignment_2[[#This Row],[category_assignment_id]],"")</f>
        <v/>
      </c>
      <c r="B566" s="23" t="str">
        <f>IFERROR(VLOOKUP(category_assignment_2[[#This Row],[category_id]],#REF!,3,FALSE),"")</f>
        <v/>
      </c>
      <c r="C566" s="23" t="str">
        <f>IFERROR(VLOOKUP(category_assignment_2[[#This Row],[abbreviation_id]],abbreviation[],ColumnLanguage+1,FALSE),"")</f>
        <v/>
      </c>
      <c r="D566" s="23"/>
      <c r="E566" s="23"/>
      <c r="F566" s="23"/>
      <c r="G566" s="23"/>
      <c r="H566" s="23"/>
      <c r="I566" s="23"/>
      <c r="J566" s="23"/>
      <c r="K566" s="23"/>
    </row>
    <row r="567" spans="1:11" x14ac:dyDescent="0.25">
      <c r="A567" s="4" t="str">
        <f>IFERROR(category_assignment_2[[#This Row],[category_assignment_id]],"")</f>
        <v/>
      </c>
      <c r="B567" s="23" t="str">
        <f>IFERROR(VLOOKUP(category_assignment_2[[#This Row],[category_id]],#REF!,3,FALSE),"")</f>
        <v/>
      </c>
      <c r="C567" s="23" t="str">
        <f>IFERROR(VLOOKUP(category_assignment_2[[#This Row],[abbreviation_id]],abbreviation[],ColumnLanguage+1,FALSE),"")</f>
        <v/>
      </c>
      <c r="D567" s="23"/>
      <c r="E567" s="23"/>
      <c r="F567" s="23"/>
      <c r="G567" s="23"/>
      <c r="H567" s="23"/>
      <c r="I567" s="23"/>
      <c r="J567" s="23"/>
      <c r="K567" s="23"/>
    </row>
    <row r="568" spans="1:11" x14ac:dyDescent="0.25">
      <c r="A568" s="4" t="str">
        <f>IFERROR(category_assignment_2[[#This Row],[category_assignment_id]],"")</f>
        <v/>
      </c>
      <c r="B568" s="23" t="str">
        <f>IFERROR(VLOOKUP(category_assignment_2[[#This Row],[category_id]],#REF!,3,FALSE),"")</f>
        <v/>
      </c>
      <c r="C568" s="23" t="str">
        <f>IFERROR(VLOOKUP(category_assignment_2[[#This Row],[abbreviation_id]],abbreviation[],ColumnLanguage+1,FALSE),"")</f>
        <v/>
      </c>
      <c r="D568" s="23"/>
      <c r="E568" s="23"/>
      <c r="F568" s="23"/>
      <c r="G568" s="23"/>
      <c r="H568" s="23"/>
      <c r="I568" s="23"/>
      <c r="J568" s="23"/>
      <c r="K568" s="23"/>
    </row>
    <row r="569" spans="1:11" x14ac:dyDescent="0.25">
      <c r="A569" s="4" t="str">
        <f>IFERROR(category_assignment_2[[#This Row],[category_assignment_id]],"")</f>
        <v/>
      </c>
      <c r="B569" s="23" t="str">
        <f>IFERROR(VLOOKUP(category_assignment_2[[#This Row],[category_id]],#REF!,3,FALSE),"")</f>
        <v/>
      </c>
      <c r="C569" s="23" t="str">
        <f>IFERROR(VLOOKUP(category_assignment_2[[#This Row],[abbreviation_id]],abbreviation[],ColumnLanguage+1,FALSE),"")</f>
        <v/>
      </c>
      <c r="D569" s="23"/>
      <c r="E569" s="23"/>
      <c r="F569" s="23"/>
      <c r="G569" s="23"/>
      <c r="H569" s="23"/>
      <c r="I569" s="23"/>
      <c r="J569" s="23"/>
      <c r="K569" s="23"/>
    </row>
    <row r="570" spans="1:11" x14ac:dyDescent="0.25">
      <c r="A570" s="4" t="str">
        <f>IFERROR(category_assignment_2[[#This Row],[category_assignment_id]],"")</f>
        <v/>
      </c>
      <c r="B570" s="23" t="str">
        <f>IFERROR(VLOOKUP(category_assignment_2[[#This Row],[category_id]],#REF!,3,FALSE),"")</f>
        <v/>
      </c>
      <c r="C570" s="23" t="str">
        <f>IFERROR(VLOOKUP(category_assignment_2[[#This Row],[abbreviation_id]],abbreviation[],ColumnLanguage+1,FALSE),"")</f>
        <v/>
      </c>
      <c r="D570" s="23"/>
      <c r="E570" s="23"/>
      <c r="F570" s="23"/>
      <c r="G570" s="23"/>
      <c r="H570" s="23"/>
      <c r="I570" s="23"/>
      <c r="J570" s="23"/>
      <c r="K570" s="23"/>
    </row>
    <row r="571" spans="1:11" x14ac:dyDescent="0.25">
      <c r="A571" s="4" t="str">
        <f>IFERROR(category_assignment_2[[#This Row],[category_assignment_id]],"")</f>
        <v/>
      </c>
      <c r="B571" s="23" t="str">
        <f>IFERROR(VLOOKUP(category_assignment_2[[#This Row],[category_id]],#REF!,3,FALSE),"")</f>
        <v/>
      </c>
      <c r="C571" s="23" t="str">
        <f>IFERROR(VLOOKUP(category_assignment_2[[#This Row],[abbreviation_id]],abbreviation[],ColumnLanguage+1,FALSE),"")</f>
        <v/>
      </c>
      <c r="D571" s="23"/>
      <c r="E571" s="23"/>
      <c r="F571" s="23"/>
      <c r="G571" s="23"/>
      <c r="H571" s="23"/>
      <c r="I571" s="23"/>
      <c r="J571" s="23"/>
      <c r="K571" s="23"/>
    </row>
    <row r="572" spans="1:11" x14ac:dyDescent="0.25">
      <c r="A572" s="4" t="str">
        <f>IFERROR(category_assignment_2[[#This Row],[category_assignment_id]],"")</f>
        <v/>
      </c>
      <c r="B572" s="23" t="str">
        <f>IFERROR(VLOOKUP(category_assignment_2[[#This Row],[category_id]],#REF!,3,FALSE),"")</f>
        <v/>
      </c>
      <c r="C572" s="23" t="str">
        <f>IFERROR(VLOOKUP(category_assignment_2[[#This Row],[abbreviation_id]],abbreviation[],ColumnLanguage+1,FALSE),"")</f>
        <v/>
      </c>
      <c r="D572" s="23"/>
      <c r="E572" s="23"/>
      <c r="F572" s="23"/>
      <c r="G572" s="23"/>
      <c r="H572" s="23"/>
      <c r="I572" s="23"/>
      <c r="J572" s="23"/>
      <c r="K572" s="23"/>
    </row>
    <row r="573" spans="1:11" x14ac:dyDescent="0.25">
      <c r="A573" s="4" t="str">
        <f>IFERROR(category_assignment_2[[#This Row],[category_assignment_id]],"")</f>
        <v/>
      </c>
      <c r="B573" s="23" t="str">
        <f>IFERROR(VLOOKUP(category_assignment_2[[#This Row],[category_id]],#REF!,3,FALSE),"")</f>
        <v/>
      </c>
      <c r="C573" s="23" t="str">
        <f>IFERROR(VLOOKUP(category_assignment_2[[#This Row],[abbreviation_id]],abbreviation[],ColumnLanguage+1,FALSE),"")</f>
        <v/>
      </c>
      <c r="D573" s="23"/>
      <c r="E573" s="23"/>
      <c r="F573" s="23"/>
      <c r="G573" s="23"/>
      <c r="H573" s="23"/>
      <c r="I573" s="23"/>
      <c r="J573" s="23"/>
      <c r="K573" s="23"/>
    </row>
    <row r="574" spans="1:11" x14ac:dyDescent="0.25">
      <c r="A574" s="4" t="str">
        <f>IFERROR(category_assignment_2[[#This Row],[category_assignment_id]],"")</f>
        <v/>
      </c>
      <c r="B574" s="23" t="str">
        <f>IFERROR(VLOOKUP(category_assignment_2[[#This Row],[category_id]],#REF!,3,FALSE),"")</f>
        <v/>
      </c>
      <c r="C574" s="23" t="str">
        <f>IFERROR(VLOOKUP(category_assignment_2[[#This Row],[abbreviation_id]],abbreviation[],ColumnLanguage+1,FALSE),"")</f>
        <v/>
      </c>
      <c r="D574" s="23"/>
      <c r="E574" s="23"/>
      <c r="F574" s="23"/>
      <c r="G574" s="23"/>
      <c r="H574" s="23"/>
      <c r="I574" s="23"/>
      <c r="J574" s="23"/>
      <c r="K574" s="23"/>
    </row>
    <row r="575" spans="1:11" x14ac:dyDescent="0.25">
      <c r="A575" s="4" t="str">
        <f>IFERROR(category_assignment_2[[#This Row],[category_assignment_id]],"")</f>
        <v/>
      </c>
      <c r="B575" s="23" t="str">
        <f>IFERROR(VLOOKUP(category_assignment_2[[#This Row],[category_id]],#REF!,3,FALSE),"")</f>
        <v/>
      </c>
      <c r="C575" s="23" t="str">
        <f>IFERROR(VLOOKUP(category_assignment_2[[#This Row],[abbreviation_id]],abbreviation[],ColumnLanguage+1,FALSE),"")</f>
        <v/>
      </c>
      <c r="D575" s="23"/>
      <c r="E575" s="23"/>
      <c r="F575" s="23"/>
      <c r="G575" s="23"/>
      <c r="H575" s="23"/>
      <c r="I575" s="23"/>
      <c r="J575" s="23"/>
      <c r="K575" s="23"/>
    </row>
    <row r="576" spans="1:11" x14ac:dyDescent="0.25">
      <c r="A576" s="4" t="str">
        <f>IFERROR(category_assignment_2[[#This Row],[category_assignment_id]],"")</f>
        <v/>
      </c>
      <c r="B576" s="23" t="str">
        <f>IFERROR(VLOOKUP(category_assignment_2[[#This Row],[category_id]],#REF!,3,FALSE),"")</f>
        <v/>
      </c>
      <c r="C576" s="23" t="str">
        <f>IFERROR(VLOOKUP(category_assignment_2[[#This Row],[abbreviation_id]],abbreviation[],ColumnLanguage+1,FALSE),"")</f>
        <v/>
      </c>
      <c r="D576" s="23"/>
      <c r="E576" s="23"/>
      <c r="F576" s="23"/>
      <c r="G576" s="23"/>
      <c r="H576" s="23"/>
      <c r="I576" s="23"/>
      <c r="J576" s="23"/>
      <c r="K576" s="23"/>
    </row>
    <row r="577" spans="1:11" x14ac:dyDescent="0.25">
      <c r="A577" s="4" t="str">
        <f>IFERROR(category_assignment_2[[#This Row],[category_assignment_id]],"")</f>
        <v/>
      </c>
      <c r="B577" s="23" t="str">
        <f>IFERROR(VLOOKUP(category_assignment_2[[#This Row],[category_id]],#REF!,3,FALSE),"")</f>
        <v/>
      </c>
      <c r="C577" s="23" t="str">
        <f>IFERROR(VLOOKUP(category_assignment_2[[#This Row],[abbreviation_id]],abbreviation[],ColumnLanguage+1,FALSE),"")</f>
        <v/>
      </c>
      <c r="D577" s="23"/>
      <c r="E577" s="23"/>
      <c r="F577" s="23"/>
      <c r="G577" s="23"/>
      <c r="H577" s="23"/>
      <c r="I577" s="23"/>
      <c r="J577" s="23"/>
      <c r="K577" s="23"/>
    </row>
    <row r="578" spans="1:11" x14ac:dyDescent="0.25">
      <c r="A578" s="4" t="str">
        <f>IFERROR(category_assignment_2[[#This Row],[category_assignment_id]],"")</f>
        <v/>
      </c>
      <c r="B578" s="23" t="str">
        <f>IFERROR(VLOOKUP(category_assignment_2[[#This Row],[category_id]],#REF!,3,FALSE),"")</f>
        <v/>
      </c>
      <c r="C578" s="23" t="str">
        <f>IFERROR(VLOOKUP(category_assignment_2[[#This Row],[abbreviation_id]],abbreviation[],ColumnLanguage+1,FALSE),"")</f>
        <v/>
      </c>
      <c r="D578" s="23"/>
      <c r="E578" s="23"/>
      <c r="F578" s="23"/>
      <c r="G578" s="23"/>
      <c r="H578" s="23"/>
      <c r="I578" s="23"/>
      <c r="J578" s="23"/>
      <c r="K578" s="23"/>
    </row>
    <row r="579" spans="1:11" x14ac:dyDescent="0.25">
      <c r="A579" s="4" t="str">
        <f>IFERROR(category_assignment_2[[#This Row],[category_assignment_id]],"")</f>
        <v/>
      </c>
      <c r="B579" s="23" t="str">
        <f>IFERROR(VLOOKUP(category_assignment_2[[#This Row],[category_id]],#REF!,3,FALSE),"")</f>
        <v/>
      </c>
      <c r="C579" s="23" t="str">
        <f>IFERROR(VLOOKUP(category_assignment_2[[#This Row],[abbreviation_id]],abbreviation[],ColumnLanguage+1,FALSE),"")</f>
        <v/>
      </c>
      <c r="D579" s="23"/>
      <c r="E579" s="23"/>
      <c r="F579" s="23"/>
      <c r="G579" s="23"/>
      <c r="H579" s="23"/>
      <c r="I579" s="23"/>
      <c r="J579" s="23"/>
      <c r="K579" s="23"/>
    </row>
    <row r="580" spans="1:11" x14ac:dyDescent="0.25">
      <c r="A580" s="4" t="str">
        <f>IFERROR(category_assignment_2[[#This Row],[category_assignment_id]],"")</f>
        <v/>
      </c>
      <c r="B580" s="23" t="str">
        <f>IFERROR(VLOOKUP(category_assignment_2[[#This Row],[category_id]],#REF!,3,FALSE),"")</f>
        <v/>
      </c>
      <c r="C580" s="23" t="str">
        <f>IFERROR(VLOOKUP(category_assignment_2[[#This Row],[abbreviation_id]],abbreviation[],ColumnLanguage+1,FALSE),"")</f>
        <v/>
      </c>
      <c r="D580" s="23"/>
      <c r="E580" s="23"/>
      <c r="F580" s="23"/>
      <c r="G580" s="23"/>
      <c r="H580" s="23"/>
      <c r="I580" s="23"/>
      <c r="J580" s="23"/>
      <c r="K580" s="23"/>
    </row>
    <row r="581" spans="1:11" x14ac:dyDescent="0.25">
      <c r="A581" s="4" t="str">
        <f>IFERROR(category_assignment_2[[#This Row],[category_assignment_id]],"")</f>
        <v/>
      </c>
      <c r="B581" s="23" t="str">
        <f>IFERROR(VLOOKUP(category_assignment_2[[#This Row],[category_id]],#REF!,3,FALSE),"")</f>
        <v/>
      </c>
      <c r="C581" s="23" t="str">
        <f>IFERROR(VLOOKUP(category_assignment_2[[#This Row],[abbreviation_id]],abbreviation[],ColumnLanguage+1,FALSE),"")</f>
        <v/>
      </c>
      <c r="D581" s="23"/>
      <c r="E581" s="23"/>
      <c r="F581" s="23"/>
      <c r="G581" s="23"/>
      <c r="H581" s="23"/>
      <c r="I581" s="23"/>
      <c r="J581" s="23"/>
      <c r="K581" s="23"/>
    </row>
    <row r="582" spans="1:11" x14ac:dyDescent="0.25">
      <c r="A582" s="4" t="str">
        <f>IFERROR(category_assignment_2[[#This Row],[category_assignment_id]],"")</f>
        <v/>
      </c>
      <c r="B582" s="23" t="str">
        <f>IFERROR(VLOOKUP(category_assignment_2[[#This Row],[category_id]],#REF!,3,FALSE),"")</f>
        <v/>
      </c>
      <c r="C582" s="23" t="str">
        <f>IFERROR(VLOOKUP(category_assignment_2[[#This Row],[abbreviation_id]],abbreviation[],ColumnLanguage+1,FALSE),"")</f>
        <v/>
      </c>
      <c r="D582" s="23"/>
      <c r="E582" s="23"/>
      <c r="F582" s="23"/>
      <c r="G582" s="23"/>
      <c r="H582" s="23"/>
      <c r="I582" s="23"/>
      <c r="J582" s="23"/>
      <c r="K582" s="23"/>
    </row>
    <row r="583" spans="1:11" x14ac:dyDescent="0.25">
      <c r="A583" s="4" t="str">
        <f>IFERROR(category_assignment_2[[#This Row],[category_assignment_id]],"")</f>
        <v/>
      </c>
      <c r="B583" s="23" t="str">
        <f>IFERROR(VLOOKUP(category_assignment_2[[#This Row],[category_id]],#REF!,3,FALSE),"")</f>
        <v/>
      </c>
      <c r="C583" s="23" t="str">
        <f>IFERROR(VLOOKUP(category_assignment_2[[#This Row],[abbreviation_id]],abbreviation[],ColumnLanguage+1,FALSE),"")</f>
        <v/>
      </c>
      <c r="D583" s="23"/>
      <c r="E583" s="23"/>
      <c r="F583" s="23"/>
      <c r="G583" s="23"/>
      <c r="H583" s="23"/>
      <c r="I583" s="23"/>
      <c r="J583" s="23"/>
      <c r="K583" s="23"/>
    </row>
    <row r="584" spans="1:11" x14ac:dyDescent="0.25">
      <c r="A584" s="4" t="str">
        <f>IFERROR(category_assignment_2[[#This Row],[category_assignment_id]],"")</f>
        <v/>
      </c>
      <c r="B584" s="23" t="str">
        <f>IFERROR(VLOOKUP(category_assignment_2[[#This Row],[category_id]],#REF!,3,FALSE),"")</f>
        <v/>
      </c>
      <c r="C584" s="23" t="str">
        <f>IFERROR(VLOOKUP(category_assignment_2[[#This Row],[abbreviation_id]],abbreviation[],ColumnLanguage+1,FALSE),"")</f>
        <v/>
      </c>
      <c r="D584" s="23"/>
      <c r="E584" s="23"/>
      <c r="F584" s="23"/>
      <c r="G584" s="23"/>
      <c r="H584" s="23"/>
      <c r="I584" s="23"/>
      <c r="J584" s="23"/>
      <c r="K584" s="23"/>
    </row>
    <row r="585" spans="1:11" x14ac:dyDescent="0.25">
      <c r="A585" s="4" t="str">
        <f>IFERROR(category_assignment_2[[#This Row],[category_assignment_id]],"")</f>
        <v/>
      </c>
      <c r="B585" s="23" t="str">
        <f>IFERROR(VLOOKUP(category_assignment_2[[#This Row],[category_id]],#REF!,3,FALSE),"")</f>
        <v/>
      </c>
      <c r="C585" s="23" t="str">
        <f>IFERROR(VLOOKUP(category_assignment_2[[#This Row],[abbreviation_id]],abbreviation[],ColumnLanguage+1,FALSE),"")</f>
        <v/>
      </c>
      <c r="D585" s="23"/>
      <c r="E585" s="23"/>
      <c r="F585" s="23"/>
      <c r="G585" s="23"/>
      <c r="H585" s="23"/>
      <c r="I585" s="23"/>
      <c r="J585" s="23"/>
      <c r="K585" s="23"/>
    </row>
    <row r="586" spans="1:11" x14ac:dyDescent="0.25">
      <c r="A586" s="4" t="str">
        <f>IFERROR(category_assignment_2[[#This Row],[category_assignment_id]],"")</f>
        <v/>
      </c>
      <c r="B586" s="23" t="str">
        <f>IFERROR(VLOOKUP(category_assignment_2[[#This Row],[category_id]],#REF!,3,FALSE),"")</f>
        <v/>
      </c>
      <c r="C586" s="23" t="str">
        <f>IFERROR(VLOOKUP(category_assignment_2[[#This Row],[abbreviation_id]],abbreviation[],ColumnLanguage+1,FALSE),"")</f>
        <v/>
      </c>
      <c r="D586" s="23"/>
      <c r="E586" s="23"/>
      <c r="F586" s="23"/>
      <c r="G586" s="23"/>
      <c r="H586" s="23"/>
      <c r="I586" s="23"/>
      <c r="J586" s="23"/>
      <c r="K586" s="23"/>
    </row>
    <row r="587" spans="1:11" x14ac:dyDescent="0.25">
      <c r="A587" s="4" t="str">
        <f>IFERROR(category_assignment_2[[#This Row],[category_assignment_id]],"")</f>
        <v/>
      </c>
      <c r="B587" s="23" t="str">
        <f>IFERROR(VLOOKUP(category_assignment_2[[#This Row],[category_id]],#REF!,3,FALSE),"")</f>
        <v/>
      </c>
      <c r="C587" s="23" t="str">
        <f>IFERROR(VLOOKUP(category_assignment_2[[#This Row],[abbreviation_id]],abbreviation[],ColumnLanguage+1,FALSE),"")</f>
        <v/>
      </c>
      <c r="D587" s="23"/>
      <c r="E587" s="23"/>
      <c r="F587" s="23"/>
      <c r="G587" s="23"/>
      <c r="H587" s="23"/>
      <c r="I587" s="23"/>
      <c r="J587" s="23"/>
      <c r="K587" s="23"/>
    </row>
    <row r="588" spans="1:11" x14ac:dyDescent="0.25">
      <c r="A588" s="4" t="str">
        <f>IFERROR(category_assignment_2[[#This Row],[category_assignment_id]],"")</f>
        <v/>
      </c>
      <c r="B588" s="23" t="str">
        <f>IFERROR(VLOOKUP(category_assignment_2[[#This Row],[category_id]],#REF!,3,FALSE),"")</f>
        <v/>
      </c>
      <c r="C588" s="23" t="str">
        <f>IFERROR(VLOOKUP(category_assignment_2[[#This Row],[abbreviation_id]],abbreviation[],ColumnLanguage+1,FALSE),"")</f>
        <v/>
      </c>
      <c r="D588" s="23"/>
      <c r="E588" s="23"/>
      <c r="F588" s="23"/>
      <c r="G588" s="23"/>
      <c r="H588" s="23"/>
      <c r="I588" s="23"/>
      <c r="J588" s="23"/>
      <c r="K588" s="23"/>
    </row>
    <row r="589" spans="1:11" x14ac:dyDescent="0.25">
      <c r="A589" s="4" t="str">
        <f>IFERROR(category_assignment_2[[#This Row],[category_assignment_id]],"")</f>
        <v/>
      </c>
      <c r="B589" s="23" t="str">
        <f>IFERROR(VLOOKUP(category_assignment_2[[#This Row],[category_id]],#REF!,3,FALSE),"")</f>
        <v/>
      </c>
      <c r="C589" s="23" t="str">
        <f>IFERROR(VLOOKUP(category_assignment_2[[#This Row],[abbreviation_id]],abbreviation[],ColumnLanguage+1,FALSE),"")</f>
        <v/>
      </c>
      <c r="D589" s="23"/>
      <c r="E589" s="23"/>
      <c r="F589" s="23"/>
      <c r="G589" s="23"/>
      <c r="H589" s="23"/>
      <c r="I589" s="23"/>
      <c r="J589" s="23"/>
      <c r="K589" s="23"/>
    </row>
    <row r="590" spans="1:11" x14ac:dyDescent="0.25">
      <c r="A590" s="4" t="str">
        <f>IFERROR(category_assignment_2[[#This Row],[category_assignment_id]],"")</f>
        <v/>
      </c>
      <c r="B590" s="23" t="str">
        <f>IFERROR(VLOOKUP(category_assignment_2[[#This Row],[category_id]],#REF!,3,FALSE),"")</f>
        <v/>
      </c>
      <c r="C590" s="23" t="str">
        <f>IFERROR(VLOOKUP(category_assignment_2[[#This Row],[abbreviation_id]],abbreviation[],ColumnLanguage+1,FALSE),"")</f>
        <v/>
      </c>
      <c r="D590" s="23"/>
      <c r="E590" s="23"/>
      <c r="F590" s="23"/>
      <c r="G590" s="23"/>
      <c r="H590" s="23"/>
      <c r="I590" s="23"/>
      <c r="J590" s="23"/>
      <c r="K590" s="23"/>
    </row>
    <row r="591" spans="1:11" x14ac:dyDescent="0.25">
      <c r="A591" s="4" t="str">
        <f>IFERROR(category_assignment_2[[#This Row],[category_assignment_id]],"")</f>
        <v/>
      </c>
      <c r="B591" s="23" t="str">
        <f>IFERROR(VLOOKUP(category_assignment_2[[#This Row],[category_id]],#REF!,3,FALSE),"")</f>
        <v/>
      </c>
      <c r="C591" s="23" t="str">
        <f>IFERROR(VLOOKUP(category_assignment_2[[#This Row],[abbreviation_id]],abbreviation[],ColumnLanguage+1,FALSE),"")</f>
        <v/>
      </c>
      <c r="D591" s="23"/>
      <c r="E591" s="23"/>
      <c r="F591" s="23"/>
      <c r="G591" s="23"/>
      <c r="H591" s="23"/>
      <c r="I591" s="23"/>
      <c r="J591" s="23"/>
      <c r="K591" s="23"/>
    </row>
    <row r="592" spans="1:11" x14ac:dyDescent="0.25">
      <c r="A592" s="4" t="str">
        <f>IFERROR(category_assignment_2[[#This Row],[category_assignment_id]],"")</f>
        <v/>
      </c>
      <c r="B592" s="23" t="str">
        <f>IFERROR(VLOOKUP(category_assignment_2[[#This Row],[category_id]],#REF!,3,FALSE),"")</f>
        <v/>
      </c>
      <c r="C592" s="23" t="str">
        <f>IFERROR(VLOOKUP(category_assignment_2[[#This Row],[abbreviation_id]],abbreviation[],ColumnLanguage+1,FALSE),"")</f>
        <v/>
      </c>
      <c r="D592" s="23"/>
      <c r="E592" s="23"/>
      <c r="F592" s="23"/>
      <c r="G592" s="23"/>
      <c r="H592" s="23"/>
      <c r="I592" s="23"/>
      <c r="J592" s="23"/>
      <c r="K592" s="23"/>
    </row>
    <row r="593" spans="1:11" x14ac:dyDescent="0.25">
      <c r="A593" s="4" t="str">
        <f>IFERROR(category_assignment_2[[#This Row],[category_assignment_id]],"")</f>
        <v/>
      </c>
      <c r="B593" s="23" t="str">
        <f>IFERROR(VLOOKUP(category_assignment_2[[#This Row],[category_id]],#REF!,3,FALSE),"")</f>
        <v/>
      </c>
      <c r="C593" s="23" t="str">
        <f>IFERROR(VLOOKUP(category_assignment_2[[#This Row],[abbreviation_id]],abbreviation[],ColumnLanguage+1,FALSE),"")</f>
        <v/>
      </c>
      <c r="D593" s="23"/>
      <c r="E593" s="23"/>
      <c r="F593" s="23"/>
      <c r="G593" s="23"/>
      <c r="H593" s="23"/>
      <c r="I593" s="23"/>
      <c r="J593" s="23"/>
      <c r="K593" s="23"/>
    </row>
    <row r="594" spans="1:11" x14ac:dyDescent="0.25">
      <c r="A594" s="4" t="str">
        <f>IFERROR(category_assignment_2[[#This Row],[category_assignment_id]],"")</f>
        <v/>
      </c>
      <c r="B594" s="23" t="str">
        <f>IFERROR(VLOOKUP(category_assignment_2[[#This Row],[category_id]],#REF!,3,FALSE),"")</f>
        <v/>
      </c>
      <c r="C594" s="23" t="str">
        <f>IFERROR(VLOOKUP(category_assignment_2[[#This Row],[abbreviation_id]],abbreviation[],ColumnLanguage+1,FALSE),"")</f>
        <v/>
      </c>
      <c r="D594" s="23"/>
      <c r="E594" s="23"/>
      <c r="F594" s="23"/>
      <c r="G594" s="23"/>
      <c r="H594" s="23"/>
      <c r="I594" s="23"/>
      <c r="J594" s="23"/>
      <c r="K594" s="23"/>
    </row>
    <row r="595" spans="1:11" x14ac:dyDescent="0.25">
      <c r="A595" s="4" t="str">
        <f>IFERROR(category_assignment_2[[#This Row],[category_assignment_id]],"")</f>
        <v/>
      </c>
      <c r="B595" s="23" t="str">
        <f>IFERROR(VLOOKUP(category_assignment_2[[#This Row],[category_id]],#REF!,3,FALSE),"")</f>
        <v/>
      </c>
      <c r="C595" s="23" t="str">
        <f>IFERROR(VLOOKUP(category_assignment_2[[#This Row],[abbreviation_id]],abbreviation[],ColumnLanguage+1,FALSE),"")</f>
        <v/>
      </c>
      <c r="D595" s="23"/>
      <c r="E595" s="23"/>
      <c r="F595" s="23"/>
      <c r="G595" s="23"/>
      <c r="H595" s="23"/>
      <c r="I595" s="23"/>
      <c r="J595" s="23"/>
      <c r="K595" s="23"/>
    </row>
    <row r="596" spans="1:11" x14ac:dyDescent="0.25">
      <c r="A596" s="4" t="str">
        <f>IFERROR(category_assignment_2[[#This Row],[category_assignment_id]],"")</f>
        <v/>
      </c>
      <c r="B596" s="23" t="str">
        <f>IFERROR(VLOOKUP(category_assignment_2[[#This Row],[category_id]],#REF!,3,FALSE),"")</f>
        <v/>
      </c>
      <c r="C596" s="23" t="str">
        <f>IFERROR(VLOOKUP(category_assignment_2[[#This Row],[abbreviation_id]],abbreviation[],ColumnLanguage+1,FALSE),"")</f>
        <v/>
      </c>
      <c r="D596" s="23"/>
      <c r="E596" s="23"/>
      <c r="F596" s="23"/>
      <c r="G596" s="23"/>
      <c r="H596" s="23"/>
      <c r="I596" s="23"/>
      <c r="J596" s="23"/>
      <c r="K596" s="23"/>
    </row>
    <row r="597" spans="1:11" x14ac:dyDescent="0.25">
      <c r="A597" s="4" t="str">
        <f>IFERROR(category_assignment_2[[#This Row],[category_assignment_id]],"")</f>
        <v/>
      </c>
      <c r="B597" s="23" t="str">
        <f>IFERROR(VLOOKUP(category_assignment_2[[#This Row],[category_id]],#REF!,3,FALSE),"")</f>
        <v/>
      </c>
      <c r="C597" s="23" t="str">
        <f>IFERROR(VLOOKUP(category_assignment_2[[#This Row],[abbreviation_id]],abbreviation[],ColumnLanguage+1,FALSE),"")</f>
        <v/>
      </c>
      <c r="D597" s="23"/>
      <c r="E597" s="23"/>
      <c r="F597" s="23"/>
      <c r="G597" s="23"/>
      <c r="H597" s="23"/>
      <c r="I597" s="23"/>
      <c r="J597" s="23"/>
      <c r="K597" s="23"/>
    </row>
    <row r="598" spans="1:11" x14ac:dyDescent="0.25">
      <c r="A598" s="4" t="str">
        <f>IFERROR(category_assignment_2[[#This Row],[category_assignment_id]],"")</f>
        <v/>
      </c>
      <c r="B598" s="23" t="str">
        <f>IFERROR(VLOOKUP(category_assignment_2[[#This Row],[category_id]],#REF!,3,FALSE),"")</f>
        <v/>
      </c>
      <c r="C598" s="23" t="str">
        <f>IFERROR(VLOOKUP(category_assignment_2[[#This Row],[abbreviation_id]],abbreviation[],ColumnLanguage+1,FALSE),"")</f>
        <v/>
      </c>
      <c r="D598" s="23"/>
      <c r="E598" s="23"/>
      <c r="F598" s="23"/>
      <c r="G598" s="23"/>
      <c r="H598" s="23"/>
      <c r="I598" s="23"/>
      <c r="J598" s="23"/>
      <c r="K598" s="23"/>
    </row>
    <row r="599" spans="1:11" x14ac:dyDescent="0.25">
      <c r="A599" s="4" t="str">
        <f>IFERROR(category_assignment_2[[#This Row],[category_assignment_id]],"")</f>
        <v/>
      </c>
      <c r="B599" s="23" t="str">
        <f>IFERROR(VLOOKUP(category_assignment_2[[#This Row],[category_id]],#REF!,3,FALSE),"")</f>
        <v/>
      </c>
      <c r="C599" s="23" t="str">
        <f>IFERROR(VLOOKUP(category_assignment_2[[#This Row],[abbreviation_id]],abbreviation[],ColumnLanguage+1,FALSE),"")</f>
        <v/>
      </c>
      <c r="D599" s="23"/>
      <c r="E599" s="23"/>
      <c r="F599" s="23"/>
      <c r="G599" s="23"/>
      <c r="H599" s="23"/>
      <c r="I599" s="23"/>
      <c r="J599" s="23"/>
      <c r="K599" s="23"/>
    </row>
    <row r="600" spans="1:11" x14ac:dyDescent="0.25">
      <c r="A600" s="4" t="str">
        <f>IFERROR(category_assignment_2[[#This Row],[category_assignment_id]],"")</f>
        <v/>
      </c>
      <c r="B600" s="23" t="str">
        <f>IFERROR(VLOOKUP(category_assignment_2[[#This Row],[category_id]],#REF!,3,FALSE),"")</f>
        <v/>
      </c>
      <c r="C600" s="23" t="str">
        <f>IFERROR(VLOOKUP(category_assignment_2[[#This Row],[abbreviation_id]],abbreviation[],ColumnLanguage+1,FALSE),"")</f>
        <v/>
      </c>
      <c r="D600" s="23"/>
      <c r="E600" s="23"/>
      <c r="F600" s="23"/>
      <c r="G600" s="23"/>
      <c r="H600" s="23"/>
      <c r="I600" s="23"/>
      <c r="J600" s="23"/>
      <c r="K600" s="23"/>
    </row>
    <row r="601" spans="1:11" x14ac:dyDescent="0.25">
      <c r="A601" s="4" t="str">
        <f>IFERROR(category_assignment_2[[#This Row],[category_assignment_id]],"")</f>
        <v/>
      </c>
      <c r="B601" s="23" t="str">
        <f>IFERROR(VLOOKUP(category_assignment_2[[#This Row],[category_id]],#REF!,3,FALSE),"")</f>
        <v/>
      </c>
      <c r="C601" s="23" t="str">
        <f>IFERROR(VLOOKUP(category_assignment_2[[#This Row],[abbreviation_id]],abbreviation[],ColumnLanguage+1,FALSE),"")</f>
        <v/>
      </c>
      <c r="D601" s="23"/>
      <c r="E601" s="23"/>
      <c r="F601" s="23"/>
      <c r="G601" s="23"/>
      <c r="H601" s="23"/>
      <c r="I601" s="23"/>
      <c r="J601" s="23"/>
      <c r="K601" s="23"/>
    </row>
    <row r="602" spans="1:11" x14ac:dyDescent="0.25">
      <c r="A602" s="4" t="str">
        <f>IFERROR(category_assignment_2[[#This Row],[category_assignment_id]],"")</f>
        <v/>
      </c>
      <c r="B602" s="23" t="str">
        <f>IFERROR(VLOOKUP(category_assignment_2[[#This Row],[category_id]],#REF!,3,FALSE),"")</f>
        <v/>
      </c>
      <c r="C602" s="23" t="str">
        <f>IFERROR(VLOOKUP(category_assignment_2[[#This Row],[abbreviation_id]],abbreviation[],ColumnLanguage+1,FALSE),"")</f>
        <v/>
      </c>
      <c r="D602" s="23"/>
      <c r="E602" s="23"/>
      <c r="F602" s="23"/>
      <c r="G602" s="23"/>
      <c r="H602" s="23"/>
      <c r="I602" s="23"/>
      <c r="J602" s="23"/>
      <c r="K602" s="23"/>
    </row>
    <row r="603" spans="1:11" x14ac:dyDescent="0.25">
      <c r="A603" s="4" t="str">
        <f>IFERROR(category_assignment_2[[#This Row],[category_assignment_id]],"")</f>
        <v/>
      </c>
      <c r="B603" s="23" t="str">
        <f>IFERROR(VLOOKUP(category_assignment_2[[#This Row],[category_id]],#REF!,3,FALSE),"")</f>
        <v/>
      </c>
      <c r="C603" s="23" t="str">
        <f>IFERROR(VLOOKUP(category_assignment_2[[#This Row],[abbreviation_id]],abbreviation[],ColumnLanguage+1,FALSE),"")</f>
        <v/>
      </c>
      <c r="D603" s="23"/>
      <c r="E603" s="23"/>
      <c r="F603" s="23"/>
      <c r="G603" s="23"/>
      <c r="H603" s="23"/>
      <c r="I603" s="23"/>
      <c r="J603" s="23"/>
      <c r="K603" s="23"/>
    </row>
    <row r="604" spans="1:11" x14ac:dyDescent="0.25">
      <c r="A604" s="4" t="str">
        <f>IFERROR(category_assignment_2[[#This Row],[category_assignment_id]],"")</f>
        <v/>
      </c>
      <c r="B604" s="23" t="str">
        <f>IFERROR(VLOOKUP(category_assignment_2[[#This Row],[category_id]],#REF!,3,FALSE),"")</f>
        <v/>
      </c>
      <c r="C604" s="23" t="str">
        <f>IFERROR(VLOOKUP(category_assignment_2[[#This Row],[abbreviation_id]],abbreviation[],ColumnLanguage+1,FALSE),"")</f>
        <v/>
      </c>
      <c r="D604" s="23"/>
      <c r="E604" s="23"/>
      <c r="F604" s="23"/>
      <c r="G604" s="23"/>
      <c r="H604" s="23"/>
      <c r="I604" s="23"/>
      <c r="J604" s="23"/>
      <c r="K604" s="23"/>
    </row>
    <row r="605" spans="1:11" x14ac:dyDescent="0.25">
      <c r="A605" s="4" t="str">
        <f>IFERROR(category_assignment_2[[#This Row],[category_assignment_id]],"")</f>
        <v/>
      </c>
      <c r="B605" s="23" t="str">
        <f>IFERROR(VLOOKUP(category_assignment_2[[#This Row],[category_id]],#REF!,3,FALSE),"")</f>
        <v/>
      </c>
      <c r="C605" s="23" t="str">
        <f>IFERROR(VLOOKUP(category_assignment_2[[#This Row],[abbreviation_id]],abbreviation[],ColumnLanguage+1,FALSE),"")</f>
        <v/>
      </c>
      <c r="D605" s="23"/>
      <c r="E605" s="23"/>
      <c r="F605" s="23"/>
      <c r="G605" s="23"/>
      <c r="H605" s="23"/>
      <c r="I605" s="23"/>
      <c r="J605" s="23"/>
      <c r="K605" s="23"/>
    </row>
    <row r="606" spans="1:11" x14ac:dyDescent="0.25">
      <c r="A606" s="4" t="str">
        <f>IFERROR(category_assignment_2[[#This Row],[category_assignment_id]],"")</f>
        <v/>
      </c>
      <c r="B606" s="23" t="str">
        <f>IFERROR(VLOOKUP(category_assignment_2[[#This Row],[category_id]],#REF!,3,FALSE),"")</f>
        <v/>
      </c>
      <c r="C606" s="23" t="str">
        <f>IFERROR(VLOOKUP(category_assignment_2[[#This Row],[abbreviation_id]],abbreviation[],ColumnLanguage+1,FALSE),"")</f>
        <v/>
      </c>
      <c r="D606" s="23"/>
      <c r="E606" s="23"/>
      <c r="F606" s="23"/>
      <c r="G606" s="23"/>
      <c r="H606" s="23"/>
      <c r="I606" s="23"/>
      <c r="J606" s="23"/>
      <c r="K606" s="23"/>
    </row>
    <row r="607" spans="1:11" x14ac:dyDescent="0.25">
      <c r="A607" s="4" t="str">
        <f>IFERROR(category_assignment_2[[#This Row],[category_assignment_id]],"")</f>
        <v/>
      </c>
      <c r="B607" s="23" t="str">
        <f>IFERROR(VLOOKUP(category_assignment_2[[#This Row],[category_id]],#REF!,3,FALSE),"")</f>
        <v/>
      </c>
      <c r="C607" s="23" t="str">
        <f>IFERROR(VLOOKUP(category_assignment_2[[#This Row],[abbreviation_id]],abbreviation[],ColumnLanguage+1,FALSE),"")</f>
        <v/>
      </c>
      <c r="D607" s="23"/>
      <c r="E607" s="23"/>
      <c r="F607" s="23"/>
      <c r="G607" s="23"/>
      <c r="H607" s="23"/>
      <c r="I607" s="23"/>
      <c r="J607" s="23"/>
      <c r="K607" s="23"/>
    </row>
    <row r="608" spans="1:11" x14ac:dyDescent="0.25">
      <c r="A608" s="4" t="str">
        <f>IFERROR(category_assignment_2[[#This Row],[category_assignment_id]],"")</f>
        <v/>
      </c>
      <c r="B608" s="23" t="str">
        <f>IFERROR(VLOOKUP(category_assignment_2[[#This Row],[category_id]],#REF!,3,FALSE),"")</f>
        <v/>
      </c>
      <c r="C608" s="23" t="str">
        <f>IFERROR(VLOOKUP(category_assignment_2[[#This Row],[abbreviation_id]],abbreviation[],ColumnLanguage+1,FALSE),"")</f>
        <v/>
      </c>
      <c r="D608" s="23"/>
      <c r="E608" s="23"/>
      <c r="F608" s="23"/>
      <c r="G608" s="23"/>
      <c r="H608" s="23"/>
      <c r="I608" s="23"/>
      <c r="J608" s="23"/>
      <c r="K608" s="23"/>
    </row>
    <row r="609" spans="1:11" x14ac:dyDescent="0.25">
      <c r="A609" s="4" t="str">
        <f>IFERROR(category_assignment_2[[#This Row],[category_assignment_id]],"")</f>
        <v/>
      </c>
      <c r="B609" s="23" t="str">
        <f>IFERROR(VLOOKUP(category_assignment_2[[#This Row],[category_id]],#REF!,3,FALSE),"")</f>
        <v/>
      </c>
      <c r="C609" s="23" t="str">
        <f>IFERROR(VLOOKUP(category_assignment_2[[#This Row],[abbreviation_id]],abbreviation[],ColumnLanguage+1,FALSE),"")</f>
        <v/>
      </c>
      <c r="D609" s="23"/>
      <c r="E609" s="23"/>
      <c r="F609" s="23"/>
      <c r="G609" s="23"/>
      <c r="H609" s="23"/>
      <c r="I609" s="23"/>
      <c r="J609" s="23"/>
      <c r="K609" s="23"/>
    </row>
    <row r="610" spans="1:11" x14ac:dyDescent="0.25">
      <c r="A610" s="4" t="str">
        <f>IFERROR(category_assignment_2[[#This Row],[category_assignment_id]],"")</f>
        <v/>
      </c>
      <c r="B610" s="23" t="str">
        <f>IFERROR(VLOOKUP(category_assignment_2[[#This Row],[category_id]],#REF!,3,FALSE),"")</f>
        <v/>
      </c>
      <c r="C610" s="23" t="str">
        <f>IFERROR(VLOOKUP(category_assignment_2[[#This Row],[abbreviation_id]],abbreviation[],ColumnLanguage+1,FALSE),"")</f>
        <v/>
      </c>
      <c r="D610" s="23"/>
      <c r="E610" s="23"/>
      <c r="F610" s="23"/>
      <c r="G610" s="23"/>
      <c r="H610" s="23"/>
      <c r="I610" s="23"/>
      <c r="J610" s="23"/>
      <c r="K610" s="23"/>
    </row>
    <row r="611" spans="1:11" x14ac:dyDescent="0.25">
      <c r="A611" s="4" t="str">
        <f>IFERROR(category_assignment_2[[#This Row],[category_assignment_id]],"")</f>
        <v/>
      </c>
      <c r="B611" s="23" t="str">
        <f>IFERROR(VLOOKUP(category_assignment_2[[#This Row],[category_id]],#REF!,3,FALSE),"")</f>
        <v/>
      </c>
      <c r="C611" s="23" t="str">
        <f>IFERROR(VLOOKUP(category_assignment_2[[#This Row],[abbreviation_id]],abbreviation[],ColumnLanguage+1,FALSE),"")</f>
        <v/>
      </c>
      <c r="D611" s="23"/>
      <c r="E611" s="23"/>
      <c r="F611" s="23"/>
      <c r="G611" s="23"/>
      <c r="H611" s="23"/>
      <c r="I611" s="23"/>
      <c r="J611" s="23"/>
      <c r="K611" s="23"/>
    </row>
    <row r="612" spans="1:11" x14ac:dyDescent="0.25">
      <c r="A612" s="4" t="str">
        <f>IFERROR(category_assignment_2[[#This Row],[category_assignment_id]],"")</f>
        <v/>
      </c>
      <c r="B612" s="23" t="str">
        <f>IFERROR(VLOOKUP(category_assignment_2[[#This Row],[category_id]],#REF!,3,FALSE),"")</f>
        <v/>
      </c>
      <c r="C612" s="23" t="str">
        <f>IFERROR(VLOOKUP(category_assignment_2[[#This Row],[abbreviation_id]],abbreviation[],ColumnLanguage+1,FALSE),"")</f>
        <v/>
      </c>
      <c r="D612" s="23"/>
      <c r="E612" s="23"/>
      <c r="F612" s="23"/>
      <c r="G612" s="23"/>
      <c r="H612" s="23"/>
      <c r="I612" s="23"/>
      <c r="J612" s="23"/>
      <c r="K612" s="23"/>
    </row>
    <row r="613" spans="1:11" x14ac:dyDescent="0.25">
      <c r="A613" s="4" t="str">
        <f>IFERROR(category_assignment_2[[#This Row],[category_assignment_id]],"")</f>
        <v/>
      </c>
      <c r="B613" s="23" t="str">
        <f>IFERROR(VLOOKUP(category_assignment_2[[#This Row],[category_id]],#REF!,3,FALSE),"")</f>
        <v/>
      </c>
      <c r="C613" s="23" t="str">
        <f>IFERROR(VLOOKUP(category_assignment_2[[#This Row],[abbreviation_id]],abbreviation[],ColumnLanguage+1,FALSE),"")</f>
        <v/>
      </c>
      <c r="D613" s="23"/>
      <c r="E613" s="23"/>
      <c r="F613" s="23"/>
      <c r="G613" s="23"/>
      <c r="H613" s="23"/>
      <c r="I613" s="23"/>
      <c r="J613" s="23"/>
      <c r="K613" s="23"/>
    </row>
    <row r="614" spans="1:11" x14ac:dyDescent="0.25">
      <c r="A614" s="4" t="str">
        <f>IFERROR(category_assignment_2[[#This Row],[category_assignment_id]],"")</f>
        <v/>
      </c>
      <c r="B614" s="23" t="str">
        <f>IFERROR(VLOOKUP(category_assignment_2[[#This Row],[category_id]],#REF!,3,FALSE),"")</f>
        <v/>
      </c>
      <c r="C614" s="23" t="str">
        <f>IFERROR(VLOOKUP(category_assignment_2[[#This Row],[abbreviation_id]],abbreviation[],ColumnLanguage+1,FALSE),"")</f>
        <v/>
      </c>
      <c r="D614" s="23"/>
      <c r="E614" s="23"/>
      <c r="F614" s="23"/>
      <c r="G614" s="23"/>
      <c r="H614" s="23"/>
      <c r="I614" s="23"/>
      <c r="J614" s="23"/>
      <c r="K614" s="23"/>
    </row>
    <row r="615" spans="1:11" x14ac:dyDescent="0.25">
      <c r="A615" s="4" t="str">
        <f>IFERROR(category_assignment_2[[#This Row],[category_assignment_id]],"")</f>
        <v/>
      </c>
      <c r="B615" s="23" t="str">
        <f>IFERROR(VLOOKUP(category_assignment_2[[#This Row],[category_id]],#REF!,3,FALSE),"")</f>
        <v/>
      </c>
      <c r="C615" s="23" t="str">
        <f>IFERROR(VLOOKUP(category_assignment_2[[#This Row],[abbreviation_id]],abbreviation[],ColumnLanguage+1,FALSE),"")</f>
        <v/>
      </c>
      <c r="D615" s="23"/>
      <c r="E615" s="23"/>
      <c r="F615" s="23"/>
      <c r="G615" s="23"/>
      <c r="H615" s="23"/>
      <c r="I615" s="23"/>
      <c r="J615" s="23"/>
      <c r="K615" s="23"/>
    </row>
    <row r="616" spans="1:11" x14ac:dyDescent="0.25">
      <c r="A616" s="4" t="str">
        <f>IFERROR(category_assignment_2[[#This Row],[category_assignment_id]],"")</f>
        <v/>
      </c>
      <c r="B616" s="23" t="str">
        <f>IFERROR(VLOOKUP(category_assignment_2[[#This Row],[category_id]],#REF!,3,FALSE),"")</f>
        <v/>
      </c>
      <c r="C616" s="23" t="str">
        <f>IFERROR(VLOOKUP(category_assignment_2[[#This Row],[abbreviation_id]],abbreviation[],ColumnLanguage+1,FALSE),"")</f>
        <v/>
      </c>
      <c r="D616" s="23"/>
      <c r="E616" s="23"/>
      <c r="F616" s="23"/>
      <c r="G616" s="23"/>
      <c r="H616" s="23"/>
      <c r="I616" s="23"/>
      <c r="J616" s="23"/>
      <c r="K616" s="23"/>
    </row>
    <row r="617" spans="1:11" x14ac:dyDescent="0.25">
      <c r="A617" s="4" t="str">
        <f>IFERROR(category_assignment_2[[#This Row],[category_assignment_id]],"")</f>
        <v/>
      </c>
      <c r="B617" s="23" t="str">
        <f>IFERROR(VLOOKUP(category_assignment_2[[#This Row],[category_id]],#REF!,3,FALSE),"")</f>
        <v/>
      </c>
      <c r="C617" s="23" t="str">
        <f>IFERROR(VLOOKUP(category_assignment_2[[#This Row],[abbreviation_id]],abbreviation[],ColumnLanguage+1,FALSE),"")</f>
        <v/>
      </c>
      <c r="D617" s="23"/>
      <c r="E617" s="23"/>
      <c r="F617" s="23"/>
      <c r="G617" s="23"/>
      <c r="H617" s="23"/>
      <c r="I617" s="23"/>
      <c r="J617" s="23"/>
      <c r="K617" s="23"/>
    </row>
    <row r="618" spans="1:11" x14ac:dyDescent="0.25">
      <c r="A618" s="4" t="str">
        <f>IFERROR(category_assignment_2[[#This Row],[category_assignment_id]],"")</f>
        <v/>
      </c>
      <c r="B618" s="23" t="str">
        <f>IFERROR(VLOOKUP(category_assignment_2[[#This Row],[category_id]],#REF!,3,FALSE),"")</f>
        <v/>
      </c>
      <c r="C618" s="23" t="str">
        <f>IFERROR(VLOOKUP(category_assignment_2[[#This Row],[abbreviation_id]],abbreviation[],ColumnLanguage+1,FALSE),"")</f>
        <v/>
      </c>
      <c r="D618" s="23"/>
      <c r="E618" s="23"/>
      <c r="F618" s="23"/>
      <c r="G618" s="23"/>
      <c r="H618" s="23"/>
      <c r="I618" s="23"/>
      <c r="J618" s="23"/>
      <c r="K618" s="23"/>
    </row>
    <row r="619" spans="1:11" x14ac:dyDescent="0.25">
      <c r="A619" s="4" t="str">
        <f>IFERROR(category_assignment_2[[#This Row],[category_assignment_id]],"")</f>
        <v/>
      </c>
      <c r="B619" s="23" t="str">
        <f>IFERROR(VLOOKUP(category_assignment_2[[#This Row],[category_id]],#REF!,3,FALSE),"")</f>
        <v/>
      </c>
      <c r="C619" s="23" t="str">
        <f>IFERROR(VLOOKUP(category_assignment_2[[#This Row],[abbreviation_id]],abbreviation[],ColumnLanguage+1,FALSE),"")</f>
        <v/>
      </c>
      <c r="D619" s="23"/>
      <c r="E619" s="23"/>
      <c r="F619" s="23"/>
      <c r="G619" s="23"/>
      <c r="H619" s="23"/>
      <c r="I619" s="23"/>
      <c r="J619" s="23"/>
      <c r="K619" s="23"/>
    </row>
    <row r="620" spans="1:11" x14ac:dyDescent="0.25">
      <c r="A620" s="4" t="str">
        <f>IFERROR(category_assignment_2[[#This Row],[category_assignment_id]],"")</f>
        <v/>
      </c>
      <c r="B620" s="23" t="str">
        <f>IFERROR(VLOOKUP(category_assignment_2[[#This Row],[category_id]],#REF!,3,FALSE),"")</f>
        <v/>
      </c>
      <c r="C620" s="23" t="str">
        <f>IFERROR(VLOOKUP(category_assignment_2[[#This Row],[abbreviation_id]],abbreviation[],ColumnLanguage+1,FALSE),"")</f>
        <v/>
      </c>
      <c r="D620" s="23"/>
      <c r="E620" s="23"/>
      <c r="F620" s="23"/>
      <c r="G620" s="23"/>
      <c r="H620" s="23"/>
      <c r="I620" s="23"/>
      <c r="J620" s="23"/>
      <c r="K620" s="23"/>
    </row>
    <row r="621" spans="1:11" x14ac:dyDescent="0.25">
      <c r="A621" s="4" t="str">
        <f>IFERROR(category_assignment_2[[#This Row],[category_assignment_id]],"")</f>
        <v/>
      </c>
      <c r="B621" s="23" t="str">
        <f>IFERROR(VLOOKUP(category_assignment_2[[#This Row],[category_id]],#REF!,3,FALSE),"")</f>
        <v/>
      </c>
      <c r="C621" s="23" t="str">
        <f>IFERROR(VLOOKUP(category_assignment_2[[#This Row],[abbreviation_id]],abbreviation[],ColumnLanguage+1,FALSE),"")</f>
        <v/>
      </c>
      <c r="D621" s="23"/>
      <c r="E621" s="23"/>
      <c r="F621" s="23"/>
      <c r="G621" s="23"/>
      <c r="H621" s="23"/>
      <c r="I621" s="23"/>
      <c r="J621" s="23"/>
      <c r="K621" s="23"/>
    </row>
    <row r="622" spans="1:11" x14ac:dyDescent="0.25">
      <c r="A622" s="4" t="str">
        <f>IFERROR(category_assignment_2[[#This Row],[category_assignment_id]],"")</f>
        <v/>
      </c>
      <c r="B622" s="23" t="str">
        <f>IFERROR(VLOOKUP(category_assignment_2[[#This Row],[category_id]],#REF!,3,FALSE),"")</f>
        <v/>
      </c>
      <c r="C622" s="23" t="str">
        <f>IFERROR(VLOOKUP(category_assignment_2[[#This Row],[abbreviation_id]],abbreviation[],ColumnLanguage+1,FALSE),"")</f>
        <v/>
      </c>
      <c r="D622" s="23"/>
      <c r="E622" s="23"/>
      <c r="F622" s="23"/>
      <c r="G622" s="23"/>
      <c r="H622" s="23"/>
      <c r="I622" s="23"/>
      <c r="J622" s="23"/>
      <c r="K622" s="23"/>
    </row>
    <row r="623" spans="1:11" x14ac:dyDescent="0.25">
      <c r="A623" s="4" t="str">
        <f>IFERROR(category_assignment_2[[#This Row],[category_assignment_id]],"")</f>
        <v/>
      </c>
      <c r="B623" s="23" t="str">
        <f>IFERROR(VLOOKUP(category_assignment_2[[#This Row],[category_id]],#REF!,3,FALSE),"")</f>
        <v/>
      </c>
      <c r="C623" s="23" t="str">
        <f>IFERROR(VLOOKUP(category_assignment_2[[#This Row],[abbreviation_id]],abbreviation[],ColumnLanguage+1,FALSE),"")</f>
        <v/>
      </c>
      <c r="D623" s="23"/>
      <c r="E623" s="23"/>
      <c r="F623" s="23"/>
      <c r="G623" s="23"/>
      <c r="H623" s="23"/>
      <c r="I623" s="23"/>
      <c r="J623" s="23"/>
      <c r="K623" s="23"/>
    </row>
    <row r="624" spans="1:11" x14ac:dyDescent="0.25">
      <c r="A624" s="4" t="str">
        <f>IFERROR(category_assignment_2[[#This Row],[category_assignment_id]],"")</f>
        <v/>
      </c>
      <c r="B624" s="23" t="str">
        <f>IFERROR(VLOOKUP(category_assignment_2[[#This Row],[category_id]],#REF!,3,FALSE),"")</f>
        <v/>
      </c>
      <c r="C624" s="23" t="str">
        <f>IFERROR(VLOOKUP(category_assignment_2[[#This Row],[abbreviation_id]],abbreviation[],ColumnLanguage+1,FALSE),"")</f>
        <v/>
      </c>
      <c r="D624" s="23"/>
      <c r="E624" s="23"/>
      <c r="F624" s="23"/>
      <c r="G624" s="23"/>
      <c r="H624" s="23"/>
      <c r="I624" s="23"/>
      <c r="J624" s="23"/>
      <c r="K624" s="23"/>
    </row>
    <row r="625" spans="1:11" x14ac:dyDescent="0.25">
      <c r="A625" s="4" t="str">
        <f>IFERROR(category_assignment_2[[#This Row],[category_assignment_id]],"")</f>
        <v/>
      </c>
      <c r="B625" s="23" t="str">
        <f>IFERROR(VLOOKUP(category_assignment_2[[#This Row],[category_id]],#REF!,3,FALSE),"")</f>
        <v/>
      </c>
      <c r="C625" s="23" t="str">
        <f>IFERROR(VLOOKUP(category_assignment_2[[#This Row],[abbreviation_id]],abbreviation[],ColumnLanguage+1,FALSE),"")</f>
        <v/>
      </c>
      <c r="D625" s="23"/>
      <c r="E625" s="23"/>
      <c r="F625" s="23"/>
      <c r="G625" s="23"/>
      <c r="H625" s="23"/>
      <c r="I625" s="23"/>
      <c r="J625" s="23"/>
      <c r="K625" s="23"/>
    </row>
    <row r="626" spans="1:11" x14ac:dyDescent="0.25">
      <c r="A626" s="4" t="str">
        <f>IFERROR(category_assignment_2[[#This Row],[category_assignment_id]],"")</f>
        <v/>
      </c>
      <c r="B626" s="23" t="str">
        <f>IFERROR(VLOOKUP(category_assignment_2[[#This Row],[category_id]],#REF!,3,FALSE),"")</f>
        <v/>
      </c>
      <c r="C626" s="23" t="str">
        <f>IFERROR(VLOOKUP(category_assignment_2[[#This Row],[abbreviation_id]],abbreviation[],ColumnLanguage+1,FALSE),"")</f>
        <v/>
      </c>
      <c r="D626" s="23"/>
      <c r="E626" s="23"/>
      <c r="F626" s="23"/>
      <c r="G626" s="23"/>
      <c r="H626" s="23"/>
      <c r="I626" s="23"/>
      <c r="J626" s="23"/>
      <c r="K626" s="23"/>
    </row>
    <row r="627" spans="1:11" x14ac:dyDescent="0.25">
      <c r="A627" s="4" t="str">
        <f>IFERROR(category_assignment_2[[#This Row],[category_assignment_id]],"")</f>
        <v/>
      </c>
      <c r="B627" s="23" t="str">
        <f>IFERROR(VLOOKUP(category_assignment_2[[#This Row],[category_id]],#REF!,3,FALSE),"")</f>
        <v/>
      </c>
      <c r="C627" s="23" t="str">
        <f>IFERROR(VLOOKUP(category_assignment_2[[#This Row],[abbreviation_id]],abbreviation[],ColumnLanguage+1,FALSE),"")</f>
        <v/>
      </c>
      <c r="D627" s="23"/>
      <c r="E627" s="23"/>
      <c r="F627" s="23"/>
      <c r="G627" s="23"/>
      <c r="H627" s="23"/>
      <c r="I627" s="23"/>
      <c r="J627" s="23"/>
      <c r="K627" s="23"/>
    </row>
    <row r="628" spans="1:11" x14ac:dyDescent="0.25">
      <c r="A628" s="4" t="str">
        <f>IFERROR(category_assignment_2[[#This Row],[category_assignment_id]],"")</f>
        <v/>
      </c>
      <c r="B628" s="23" t="str">
        <f>IFERROR(VLOOKUP(category_assignment_2[[#This Row],[category_id]],#REF!,3,FALSE),"")</f>
        <v/>
      </c>
      <c r="C628" s="23" t="str">
        <f>IFERROR(VLOOKUP(category_assignment_2[[#This Row],[abbreviation_id]],abbreviation[],ColumnLanguage+1,FALSE),"")</f>
        <v/>
      </c>
      <c r="D628" s="23"/>
      <c r="E628" s="23"/>
      <c r="F628" s="23"/>
      <c r="G628" s="23"/>
      <c r="H628" s="23"/>
      <c r="I628" s="23"/>
      <c r="J628" s="23"/>
      <c r="K628" s="23"/>
    </row>
    <row r="629" spans="1:11" x14ac:dyDescent="0.25">
      <c r="A629" s="4" t="str">
        <f>IFERROR(category_assignment_2[[#This Row],[category_assignment_id]],"")</f>
        <v/>
      </c>
      <c r="B629" s="23" t="str">
        <f>IFERROR(VLOOKUP(category_assignment_2[[#This Row],[category_id]],#REF!,3,FALSE),"")</f>
        <v/>
      </c>
      <c r="C629" s="23" t="str">
        <f>IFERROR(VLOOKUP(category_assignment_2[[#This Row],[abbreviation_id]],abbreviation[],ColumnLanguage+1,FALSE),"")</f>
        <v/>
      </c>
      <c r="D629" s="23"/>
      <c r="E629" s="23"/>
      <c r="F629" s="23"/>
      <c r="G629" s="23"/>
      <c r="H629" s="23"/>
      <c r="I629" s="23"/>
      <c r="J629" s="23"/>
      <c r="K629" s="23"/>
    </row>
    <row r="630" spans="1:11" x14ac:dyDescent="0.25">
      <c r="A630" s="4" t="str">
        <f>IFERROR(category_assignment_2[[#This Row],[category_assignment_id]],"")</f>
        <v/>
      </c>
      <c r="B630" s="23" t="str">
        <f>IFERROR(VLOOKUP(category_assignment_2[[#This Row],[category_id]],#REF!,3,FALSE),"")</f>
        <v/>
      </c>
      <c r="C630" s="23" t="str">
        <f>IFERROR(VLOOKUP(category_assignment_2[[#This Row],[abbreviation_id]],abbreviation[],ColumnLanguage+1,FALSE),"")</f>
        <v/>
      </c>
      <c r="D630" s="23"/>
      <c r="E630" s="23"/>
      <c r="F630" s="23"/>
      <c r="G630" s="23"/>
      <c r="H630" s="23"/>
      <c r="I630" s="23"/>
      <c r="J630" s="23"/>
      <c r="K630" s="23"/>
    </row>
    <row r="631" spans="1:11" x14ac:dyDescent="0.25">
      <c r="A631" s="4" t="str">
        <f>IFERROR(category_assignment_2[[#This Row],[category_assignment_id]],"")</f>
        <v/>
      </c>
      <c r="B631" s="23" t="str">
        <f>IFERROR(VLOOKUP(category_assignment_2[[#This Row],[category_id]],#REF!,3,FALSE),"")</f>
        <v/>
      </c>
      <c r="C631" s="23" t="str">
        <f>IFERROR(VLOOKUP(category_assignment_2[[#This Row],[abbreviation_id]],abbreviation[],ColumnLanguage+1,FALSE),"")</f>
        <v/>
      </c>
      <c r="D631" s="23"/>
      <c r="E631" s="23"/>
      <c r="F631" s="23"/>
      <c r="G631" s="23"/>
      <c r="H631" s="23"/>
      <c r="I631" s="23"/>
      <c r="J631" s="23"/>
      <c r="K631" s="23"/>
    </row>
    <row r="632" spans="1:11" x14ac:dyDescent="0.25">
      <c r="A632" s="4" t="str">
        <f>IFERROR(category_assignment_2[[#This Row],[category_assignment_id]],"")</f>
        <v/>
      </c>
      <c r="B632" s="23" t="str">
        <f>IFERROR(VLOOKUP(category_assignment_2[[#This Row],[category_id]],#REF!,3,FALSE),"")</f>
        <v/>
      </c>
      <c r="C632" s="23" t="str">
        <f>IFERROR(VLOOKUP(category_assignment_2[[#This Row],[abbreviation_id]],abbreviation[],ColumnLanguage+1,FALSE),"")</f>
        <v/>
      </c>
      <c r="D632" s="23"/>
      <c r="E632" s="23"/>
      <c r="F632" s="23"/>
      <c r="G632" s="23"/>
      <c r="H632" s="23"/>
      <c r="I632" s="23"/>
      <c r="J632" s="23"/>
      <c r="K632" s="23"/>
    </row>
    <row r="633" spans="1:11" x14ac:dyDescent="0.25">
      <c r="A633" s="4" t="str">
        <f>IFERROR(category_assignment_2[[#This Row],[category_assignment_id]],"")</f>
        <v/>
      </c>
      <c r="B633" s="23" t="str">
        <f>IFERROR(VLOOKUP(category_assignment_2[[#This Row],[category_id]],#REF!,3,FALSE),"")</f>
        <v/>
      </c>
      <c r="C633" s="23" t="str">
        <f>IFERROR(VLOOKUP(category_assignment_2[[#This Row],[abbreviation_id]],abbreviation[],ColumnLanguage+1,FALSE),"")</f>
        <v/>
      </c>
      <c r="D633" s="23"/>
      <c r="E633" s="23"/>
      <c r="F633" s="23"/>
      <c r="G633" s="23"/>
      <c r="H633" s="23"/>
      <c r="I633" s="23"/>
      <c r="J633" s="23"/>
      <c r="K633" s="23"/>
    </row>
    <row r="634" spans="1:11" x14ac:dyDescent="0.25">
      <c r="A634" s="4" t="str">
        <f>IFERROR(category_assignment_2[[#This Row],[category_assignment_id]],"")</f>
        <v/>
      </c>
      <c r="B634" s="23" t="str">
        <f>IFERROR(VLOOKUP(category_assignment_2[[#This Row],[category_id]],#REF!,3,FALSE),"")</f>
        <v/>
      </c>
      <c r="C634" s="23" t="str">
        <f>IFERROR(VLOOKUP(category_assignment_2[[#This Row],[abbreviation_id]],abbreviation[],ColumnLanguage+1,FALSE),"")</f>
        <v/>
      </c>
      <c r="D634" s="23"/>
      <c r="E634" s="23"/>
      <c r="F634" s="23"/>
      <c r="G634" s="23"/>
      <c r="H634" s="23"/>
      <c r="I634" s="23"/>
      <c r="J634" s="23"/>
      <c r="K634" s="23"/>
    </row>
    <row r="635" spans="1:11" x14ac:dyDescent="0.25">
      <c r="A635" s="4" t="str">
        <f>IFERROR(category_assignment_2[[#This Row],[category_assignment_id]],"")</f>
        <v/>
      </c>
      <c r="B635" s="23" t="str">
        <f>IFERROR(VLOOKUP(category_assignment_2[[#This Row],[category_id]],#REF!,3,FALSE),"")</f>
        <v/>
      </c>
      <c r="C635" s="23" t="str">
        <f>IFERROR(VLOOKUP(category_assignment_2[[#This Row],[abbreviation_id]],abbreviation[],ColumnLanguage+1,FALSE),"")</f>
        <v/>
      </c>
      <c r="D635" s="23"/>
      <c r="E635" s="23"/>
      <c r="F635" s="23"/>
      <c r="G635" s="23"/>
      <c r="H635" s="23"/>
      <c r="I635" s="23"/>
      <c r="J635" s="23"/>
      <c r="K635" s="23"/>
    </row>
    <row r="636" spans="1:11" x14ac:dyDescent="0.25">
      <c r="A636" s="4" t="str">
        <f>IFERROR(category_assignment_2[[#This Row],[category_assignment_id]],"")</f>
        <v/>
      </c>
      <c r="B636" s="23" t="str">
        <f>IFERROR(VLOOKUP(category_assignment_2[[#This Row],[category_id]],#REF!,3,FALSE),"")</f>
        <v/>
      </c>
      <c r="C636" s="23" t="str">
        <f>IFERROR(VLOOKUP(category_assignment_2[[#This Row],[abbreviation_id]],abbreviation[],ColumnLanguage+1,FALSE),"")</f>
        <v/>
      </c>
      <c r="D636" s="23"/>
      <c r="E636" s="23"/>
      <c r="F636" s="23"/>
      <c r="G636" s="23"/>
      <c r="H636" s="23"/>
      <c r="I636" s="23"/>
      <c r="J636" s="23"/>
      <c r="K636" s="23"/>
    </row>
    <row r="637" spans="1:11" x14ac:dyDescent="0.25">
      <c r="A637" s="4" t="str">
        <f>IFERROR(category_assignment_2[[#This Row],[category_assignment_id]],"")</f>
        <v/>
      </c>
      <c r="B637" s="23" t="str">
        <f>IFERROR(VLOOKUP(category_assignment_2[[#This Row],[category_id]],#REF!,3,FALSE),"")</f>
        <v/>
      </c>
      <c r="C637" s="23" t="str">
        <f>IFERROR(VLOOKUP(category_assignment_2[[#This Row],[abbreviation_id]],abbreviation[],ColumnLanguage+1,FALSE),"")</f>
        <v/>
      </c>
      <c r="D637" s="23"/>
      <c r="E637" s="23"/>
      <c r="F637" s="23"/>
      <c r="G637" s="23"/>
      <c r="H637" s="23"/>
      <c r="I637" s="23"/>
      <c r="J637" s="23"/>
      <c r="K637" s="23"/>
    </row>
    <row r="638" spans="1:11" x14ac:dyDescent="0.25">
      <c r="A638" s="4" t="str">
        <f>IFERROR(category_assignment_2[[#This Row],[category_assignment_id]],"")</f>
        <v/>
      </c>
      <c r="B638" s="23" t="str">
        <f>IFERROR(VLOOKUP(category_assignment_2[[#This Row],[category_id]],#REF!,3,FALSE),"")</f>
        <v/>
      </c>
      <c r="C638" s="23" t="str">
        <f>IFERROR(VLOOKUP(category_assignment_2[[#This Row],[abbreviation_id]],abbreviation[],ColumnLanguage+1,FALSE),"")</f>
        <v/>
      </c>
      <c r="D638" s="23"/>
      <c r="E638" s="23"/>
      <c r="F638" s="23"/>
      <c r="G638" s="23"/>
      <c r="H638" s="23"/>
      <c r="I638" s="23"/>
      <c r="J638" s="23"/>
      <c r="K638" s="23"/>
    </row>
    <row r="639" spans="1:11" x14ac:dyDescent="0.25">
      <c r="A639" s="4" t="str">
        <f>IFERROR(category_assignment_2[[#This Row],[category_assignment_id]],"")</f>
        <v/>
      </c>
      <c r="B639" s="23" t="str">
        <f>IFERROR(VLOOKUP(category_assignment_2[[#This Row],[category_id]],#REF!,3,FALSE),"")</f>
        <v/>
      </c>
      <c r="C639" s="23" t="str">
        <f>IFERROR(VLOOKUP(category_assignment_2[[#This Row],[abbreviation_id]],abbreviation[],ColumnLanguage+1,FALSE),"")</f>
        <v/>
      </c>
      <c r="D639" s="23"/>
      <c r="E639" s="23"/>
      <c r="F639" s="23"/>
      <c r="G639" s="23"/>
      <c r="H639" s="23"/>
      <c r="I639" s="23"/>
      <c r="J639" s="23"/>
      <c r="K639" s="23"/>
    </row>
    <row r="640" spans="1:11" x14ac:dyDescent="0.25">
      <c r="A640" s="4" t="str">
        <f>IFERROR(category_assignment_2[[#This Row],[category_assignment_id]],"")</f>
        <v/>
      </c>
      <c r="B640" s="23" t="str">
        <f>IFERROR(VLOOKUP(category_assignment_2[[#This Row],[category_id]],#REF!,3,FALSE),"")</f>
        <v/>
      </c>
      <c r="C640" s="23" t="str">
        <f>IFERROR(VLOOKUP(category_assignment_2[[#This Row],[abbreviation_id]],abbreviation[],ColumnLanguage+1,FALSE),"")</f>
        <v/>
      </c>
      <c r="D640" s="23"/>
      <c r="E640" s="23"/>
      <c r="F640" s="23"/>
      <c r="G640" s="23"/>
      <c r="H640" s="23"/>
      <c r="I640" s="23"/>
      <c r="J640" s="23"/>
      <c r="K640" s="23"/>
    </row>
    <row r="641" spans="1:11" x14ac:dyDescent="0.25">
      <c r="A641" s="4" t="str">
        <f>IFERROR(category_assignment_2[[#This Row],[category_assignment_id]],"")</f>
        <v/>
      </c>
      <c r="B641" s="23" t="str">
        <f>IFERROR(VLOOKUP(category_assignment_2[[#This Row],[category_id]],#REF!,3,FALSE),"")</f>
        <v/>
      </c>
      <c r="C641" s="23" t="str">
        <f>IFERROR(VLOOKUP(category_assignment_2[[#This Row],[abbreviation_id]],abbreviation[],ColumnLanguage+1,FALSE),"")</f>
        <v/>
      </c>
      <c r="D641" s="23"/>
      <c r="E641" s="23"/>
      <c r="F641" s="23"/>
      <c r="G641" s="23"/>
      <c r="H641" s="23"/>
      <c r="I641" s="23"/>
      <c r="J641" s="23"/>
      <c r="K641" s="23"/>
    </row>
    <row r="642" spans="1:11" x14ac:dyDescent="0.25">
      <c r="A642" s="4" t="str">
        <f>IFERROR(category_assignment_2[[#This Row],[category_assignment_id]],"")</f>
        <v/>
      </c>
      <c r="B642" s="23" t="str">
        <f>IFERROR(VLOOKUP(category_assignment_2[[#This Row],[category_id]],#REF!,3,FALSE),"")</f>
        <v/>
      </c>
      <c r="C642" s="23" t="str">
        <f>IFERROR(VLOOKUP(category_assignment_2[[#This Row],[abbreviation_id]],abbreviation[],ColumnLanguage+1,FALSE),"")</f>
        <v/>
      </c>
      <c r="D642" s="23"/>
      <c r="E642" s="23"/>
      <c r="F642" s="23"/>
      <c r="G642" s="23"/>
      <c r="H642" s="23"/>
      <c r="I642" s="23"/>
      <c r="J642" s="23"/>
      <c r="K642" s="23"/>
    </row>
    <row r="643" spans="1:11" x14ac:dyDescent="0.25">
      <c r="A643" s="4" t="str">
        <f>IFERROR(category_assignment_2[[#This Row],[category_assignment_id]],"")</f>
        <v/>
      </c>
      <c r="B643" s="23" t="str">
        <f>IFERROR(VLOOKUP(category_assignment_2[[#This Row],[category_id]],#REF!,3,FALSE),"")</f>
        <v/>
      </c>
      <c r="C643" s="23" t="str">
        <f>IFERROR(VLOOKUP(category_assignment_2[[#This Row],[abbreviation_id]],abbreviation[],ColumnLanguage+1,FALSE),"")</f>
        <v/>
      </c>
      <c r="D643" s="23"/>
      <c r="E643" s="23"/>
      <c r="F643" s="23"/>
      <c r="G643" s="23"/>
      <c r="H643" s="23"/>
      <c r="I643" s="23"/>
      <c r="J643" s="23"/>
      <c r="K643" s="23"/>
    </row>
    <row r="644" spans="1:11" x14ac:dyDescent="0.25">
      <c r="A644" s="4" t="str">
        <f>IFERROR(category_assignment_2[[#This Row],[category_assignment_id]],"")</f>
        <v/>
      </c>
      <c r="B644" s="23" t="str">
        <f>IFERROR(VLOOKUP(category_assignment_2[[#This Row],[category_id]],#REF!,3,FALSE),"")</f>
        <v/>
      </c>
      <c r="C644" s="23" t="str">
        <f>IFERROR(VLOOKUP(category_assignment_2[[#This Row],[abbreviation_id]],abbreviation[],ColumnLanguage+1,FALSE),"")</f>
        <v/>
      </c>
      <c r="D644" s="23"/>
      <c r="E644" s="23"/>
      <c r="F644" s="23"/>
      <c r="G644" s="23"/>
      <c r="H644" s="23"/>
      <c r="I644" s="23"/>
      <c r="J644" s="23"/>
      <c r="K644" s="23"/>
    </row>
    <row r="645" spans="1:11" x14ac:dyDescent="0.25">
      <c r="A645" s="4" t="str">
        <f>IFERROR(category_assignment_2[[#This Row],[category_assignment_id]],"")</f>
        <v/>
      </c>
      <c r="B645" s="23" t="str">
        <f>IFERROR(VLOOKUP(category_assignment_2[[#This Row],[category_id]],#REF!,3,FALSE),"")</f>
        <v/>
      </c>
      <c r="C645" s="23" t="str">
        <f>IFERROR(VLOOKUP(category_assignment_2[[#This Row],[abbreviation_id]],abbreviation[],ColumnLanguage+1,FALSE),"")</f>
        <v/>
      </c>
      <c r="D645" s="23"/>
      <c r="E645" s="23"/>
      <c r="F645" s="23"/>
      <c r="G645" s="23"/>
      <c r="H645" s="23"/>
      <c r="I645" s="23"/>
      <c r="J645" s="23"/>
      <c r="K645" s="23"/>
    </row>
    <row r="646" spans="1:11" x14ac:dyDescent="0.25">
      <c r="A646" s="4" t="str">
        <f>IFERROR(category_assignment_2[[#This Row],[category_assignment_id]],"")</f>
        <v/>
      </c>
      <c r="B646" s="23" t="str">
        <f>IFERROR(VLOOKUP(category_assignment_2[[#This Row],[category_id]],#REF!,3,FALSE),"")</f>
        <v/>
      </c>
      <c r="C646" s="23" t="str">
        <f>IFERROR(VLOOKUP(category_assignment_2[[#This Row],[abbreviation_id]],abbreviation[],ColumnLanguage+1,FALSE),"")</f>
        <v/>
      </c>
      <c r="D646" s="23"/>
      <c r="E646" s="23"/>
      <c r="F646" s="23"/>
      <c r="G646" s="23"/>
      <c r="H646" s="23"/>
      <c r="I646" s="23"/>
      <c r="J646" s="23"/>
      <c r="K646" s="23"/>
    </row>
    <row r="647" spans="1:11" x14ac:dyDescent="0.25">
      <c r="A647" s="4" t="str">
        <f>IFERROR(category_assignment_2[[#This Row],[category_assignment_id]],"")</f>
        <v/>
      </c>
      <c r="B647" s="23" t="str">
        <f>IFERROR(VLOOKUP(category_assignment_2[[#This Row],[category_id]],#REF!,3,FALSE),"")</f>
        <v/>
      </c>
      <c r="C647" s="23" t="str">
        <f>IFERROR(VLOOKUP(category_assignment_2[[#This Row],[abbreviation_id]],abbreviation[],ColumnLanguage+1,FALSE),"")</f>
        <v/>
      </c>
      <c r="D647" s="23"/>
      <c r="E647" s="23"/>
      <c r="F647" s="23"/>
      <c r="G647" s="23"/>
      <c r="H647" s="23"/>
      <c r="I647" s="23"/>
      <c r="J647" s="23"/>
      <c r="K647" s="23"/>
    </row>
    <row r="648" spans="1:11" x14ac:dyDescent="0.25">
      <c r="A648" s="4" t="str">
        <f>IFERROR(category_assignment_2[[#This Row],[category_assignment_id]],"")</f>
        <v/>
      </c>
      <c r="B648" s="23" t="str">
        <f>IFERROR(VLOOKUP(category_assignment_2[[#This Row],[category_id]],#REF!,3,FALSE),"")</f>
        <v/>
      </c>
      <c r="C648" s="23" t="str">
        <f>IFERROR(VLOOKUP(category_assignment_2[[#This Row],[abbreviation_id]],abbreviation[],ColumnLanguage+1,FALSE),"")</f>
        <v/>
      </c>
      <c r="D648" s="23"/>
      <c r="E648" s="23"/>
      <c r="F648" s="23"/>
      <c r="G648" s="23"/>
      <c r="H648" s="23"/>
      <c r="I648" s="23"/>
      <c r="J648" s="23"/>
      <c r="K648" s="23"/>
    </row>
    <row r="649" spans="1:11" x14ac:dyDescent="0.25">
      <c r="A649" s="4" t="str">
        <f>IFERROR(category_assignment_2[[#This Row],[category_assignment_id]],"")</f>
        <v/>
      </c>
      <c r="B649" s="23" t="str">
        <f>IFERROR(VLOOKUP(category_assignment_2[[#This Row],[category_id]],#REF!,3,FALSE),"")</f>
        <v/>
      </c>
      <c r="C649" s="23" t="str">
        <f>IFERROR(VLOOKUP(category_assignment_2[[#This Row],[abbreviation_id]],abbreviation[],ColumnLanguage+1,FALSE),"")</f>
        <v/>
      </c>
      <c r="D649" s="23"/>
      <c r="E649" s="23"/>
      <c r="F649" s="23"/>
      <c r="G649" s="23"/>
      <c r="H649" s="23"/>
      <c r="I649" s="23"/>
      <c r="J649" s="23"/>
      <c r="K649" s="23"/>
    </row>
    <row r="650" spans="1:11" x14ac:dyDescent="0.25">
      <c r="A650" s="4" t="str">
        <f>IFERROR(category_assignment_2[[#This Row],[category_assignment_id]],"")</f>
        <v/>
      </c>
      <c r="B650" s="23" t="str">
        <f>IFERROR(VLOOKUP(category_assignment_2[[#This Row],[category_id]],#REF!,3,FALSE),"")</f>
        <v/>
      </c>
      <c r="C650" s="23" t="str">
        <f>IFERROR(VLOOKUP(category_assignment_2[[#This Row],[abbreviation_id]],abbreviation[],ColumnLanguage+1,FALSE),"")</f>
        <v/>
      </c>
      <c r="D650" s="23"/>
      <c r="E650" s="23"/>
      <c r="F650" s="23"/>
      <c r="G650" s="23"/>
      <c r="H650" s="23"/>
      <c r="I650" s="23"/>
      <c r="J650" s="23"/>
      <c r="K650" s="23"/>
    </row>
    <row r="651" spans="1:11" x14ac:dyDescent="0.25">
      <c r="A651" s="4" t="str">
        <f>IFERROR(category_assignment_2[[#This Row],[category_assignment_id]],"")</f>
        <v/>
      </c>
      <c r="B651" s="23" t="str">
        <f>IFERROR(VLOOKUP(category_assignment_2[[#This Row],[category_id]],#REF!,3,FALSE),"")</f>
        <v/>
      </c>
      <c r="C651" s="23" t="str">
        <f>IFERROR(VLOOKUP(category_assignment_2[[#This Row],[abbreviation_id]],abbreviation[],ColumnLanguage+1,FALSE),"")</f>
        <v/>
      </c>
      <c r="D651" s="23"/>
      <c r="E651" s="23"/>
      <c r="F651" s="23"/>
      <c r="G651" s="23"/>
      <c r="H651" s="23"/>
      <c r="I651" s="23"/>
      <c r="J651" s="23"/>
      <c r="K651" s="23"/>
    </row>
    <row r="652" spans="1:11" x14ac:dyDescent="0.25">
      <c r="A652" s="4" t="str">
        <f>IFERROR(category_assignment_2[[#This Row],[category_assignment_id]],"")</f>
        <v/>
      </c>
      <c r="B652" s="23" t="str">
        <f>IFERROR(VLOOKUP(category_assignment_2[[#This Row],[category_id]],#REF!,3,FALSE),"")</f>
        <v/>
      </c>
      <c r="C652" s="23" t="str">
        <f>IFERROR(VLOOKUP(category_assignment_2[[#This Row],[abbreviation_id]],abbreviation[],ColumnLanguage+1,FALSE),"")</f>
        <v/>
      </c>
      <c r="D652" s="23"/>
      <c r="E652" s="23"/>
      <c r="F652" s="23"/>
      <c r="G652" s="23"/>
      <c r="H652" s="23"/>
      <c r="I652" s="23"/>
      <c r="J652" s="23"/>
      <c r="K652" s="23"/>
    </row>
    <row r="653" spans="1:11" x14ac:dyDescent="0.25">
      <c r="A653" s="4" t="str">
        <f>IFERROR(category_assignment_2[[#This Row],[category_assignment_id]],"")</f>
        <v/>
      </c>
      <c r="B653" s="23" t="str">
        <f>IFERROR(VLOOKUP(category_assignment_2[[#This Row],[category_id]],#REF!,3,FALSE),"")</f>
        <v/>
      </c>
      <c r="C653" s="23" t="str">
        <f>IFERROR(VLOOKUP(category_assignment_2[[#This Row],[abbreviation_id]],abbreviation[],ColumnLanguage+1,FALSE),"")</f>
        <v/>
      </c>
      <c r="D653" s="23"/>
      <c r="E653" s="23"/>
      <c r="F653" s="23"/>
      <c r="G653" s="23"/>
      <c r="H653" s="23"/>
      <c r="I653" s="23"/>
      <c r="J653" s="23"/>
      <c r="K653" s="23"/>
    </row>
    <row r="654" spans="1:11" x14ac:dyDescent="0.25">
      <c r="A654" s="4" t="str">
        <f>IFERROR(category_assignment_2[[#This Row],[category_assignment_id]],"")</f>
        <v/>
      </c>
      <c r="B654" s="23" t="str">
        <f>IFERROR(VLOOKUP(category_assignment_2[[#This Row],[category_id]],#REF!,3,FALSE),"")</f>
        <v/>
      </c>
      <c r="C654" s="23" t="str">
        <f>IFERROR(VLOOKUP(category_assignment_2[[#This Row],[abbreviation_id]],abbreviation[],ColumnLanguage+1,FALSE),"")</f>
        <v/>
      </c>
      <c r="D654" s="23"/>
      <c r="E654" s="23"/>
      <c r="F654" s="23"/>
      <c r="G654" s="23"/>
      <c r="H654" s="23"/>
      <c r="I654" s="23"/>
      <c r="J654" s="23"/>
      <c r="K654" s="23"/>
    </row>
    <row r="655" spans="1:11" x14ac:dyDescent="0.25">
      <c r="A655" s="4" t="str">
        <f>IFERROR(category_assignment_2[[#This Row],[category_assignment_id]],"")</f>
        <v/>
      </c>
      <c r="B655" s="23" t="str">
        <f>IFERROR(VLOOKUP(category_assignment_2[[#This Row],[category_id]],#REF!,3,FALSE),"")</f>
        <v/>
      </c>
      <c r="C655" s="23" t="str">
        <f>IFERROR(VLOOKUP(category_assignment_2[[#This Row],[abbreviation_id]],abbreviation[],ColumnLanguage+1,FALSE),"")</f>
        <v/>
      </c>
      <c r="D655" s="23"/>
      <c r="E655" s="23"/>
      <c r="F655" s="23"/>
      <c r="G655" s="23"/>
      <c r="H655" s="23"/>
      <c r="I655" s="23"/>
      <c r="J655" s="23"/>
      <c r="K655" s="23"/>
    </row>
    <row r="656" spans="1:11" x14ac:dyDescent="0.25">
      <c r="A656" s="4" t="str">
        <f>IFERROR(category_assignment_2[[#This Row],[category_assignment_id]],"")</f>
        <v/>
      </c>
      <c r="B656" s="23" t="str">
        <f>IFERROR(VLOOKUP(category_assignment_2[[#This Row],[category_id]],#REF!,3,FALSE),"")</f>
        <v/>
      </c>
      <c r="C656" s="23" t="str">
        <f>IFERROR(VLOOKUP(category_assignment_2[[#This Row],[abbreviation_id]],abbreviation[],ColumnLanguage+1,FALSE),"")</f>
        <v/>
      </c>
      <c r="D656" s="23"/>
      <c r="E656" s="23"/>
      <c r="F656" s="23"/>
      <c r="G656" s="23"/>
      <c r="H656" s="23"/>
      <c r="I656" s="23"/>
      <c r="J656" s="23"/>
      <c r="K656" s="23"/>
    </row>
    <row r="657" spans="1:11" x14ac:dyDescent="0.25">
      <c r="A657" s="4" t="str">
        <f>IFERROR(category_assignment_2[[#This Row],[category_assignment_id]],"")</f>
        <v/>
      </c>
      <c r="B657" s="23" t="str">
        <f>IFERROR(VLOOKUP(category_assignment_2[[#This Row],[category_id]],#REF!,3,FALSE),"")</f>
        <v/>
      </c>
      <c r="C657" s="23" t="str">
        <f>IFERROR(VLOOKUP(category_assignment_2[[#This Row],[abbreviation_id]],abbreviation[],ColumnLanguage+1,FALSE),"")</f>
        <v/>
      </c>
      <c r="D657" s="23"/>
      <c r="E657" s="23"/>
      <c r="F657" s="23"/>
      <c r="G657" s="23"/>
      <c r="H657" s="23"/>
      <c r="I657" s="23"/>
      <c r="J657" s="23"/>
      <c r="K657" s="23"/>
    </row>
    <row r="658" spans="1:11" x14ac:dyDescent="0.25">
      <c r="A658" s="4" t="str">
        <f>IFERROR(category_assignment_2[[#This Row],[category_assignment_id]],"")</f>
        <v/>
      </c>
      <c r="B658" s="23" t="str">
        <f>IFERROR(VLOOKUP(category_assignment_2[[#This Row],[category_id]],#REF!,3,FALSE),"")</f>
        <v/>
      </c>
      <c r="C658" s="23" t="str">
        <f>IFERROR(VLOOKUP(category_assignment_2[[#This Row],[abbreviation_id]],abbreviation[],ColumnLanguage+1,FALSE),"")</f>
        <v/>
      </c>
      <c r="D658" s="23"/>
      <c r="E658" s="23"/>
      <c r="F658" s="23"/>
      <c r="G658" s="23"/>
      <c r="H658" s="23"/>
      <c r="I658" s="23"/>
      <c r="J658" s="23"/>
      <c r="K658" s="23"/>
    </row>
    <row r="659" spans="1:11" x14ac:dyDescent="0.25">
      <c r="A659" s="4" t="str">
        <f>IFERROR(category_assignment_2[[#This Row],[category_assignment_id]],"")</f>
        <v/>
      </c>
      <c r="B659" s="23" t="str">
        <f>IFERROR(VLOOKUP(category_assignment_2[[#This Row],[category_id]],#REF!,3,FALSE),"")</f>
        <v/>
      </c>
      <c r="C659" s="23" t="str">
        <f>IFERROR(VLOOKUP(category_assignment_2[[#This Row],[abbreviation_id]],abbreviation[],ColumnLanguage+1,FALSE),"")</f>
        <v/>
      </c>
      <c r="D659" s="23"/>
      <c r="E659" s="23"/>
      <c r="F659" s="23"/>
      <c r="G659" s="23"/>
      <c r="H659" s="23"/>
      <c r="I659" s="23"/>
      <c r="J659" s="23"/>
      <c r="K659" s="23"/>
    </row>
    <row r="660" spans="1:11" x14ac:dyDescent="0.25">
      <c r="A660" s="4" t="str">
        <f>IFERROR(category_assignment_2[[#This Row],[category_assignment_id]],"")</f>
        <v/>
      </c>
      <c r="B660" s="23" t="str">
        <f>IFERROR(VLOOKUP(category_assignment_2[[#This Row],[category_id]],#REF!,3,FALSE),"")</f>
        <v/>
      </c>
      <c r="C660" s="23" t="str">
        <f>IFERROR(VLOOKUP(category_assignment_2[[#This Row],[abbreviation_id]],abbreviation[],ColumnLanguage+1,FALSE),"")</f>
        <v/>
      </c>
      <c r="D660" s="23"/>
      <c r="E660" s="23"/>
      <c r="F660" s="23"/>
      <c r="G660" s="23"/>
      <c r="H660" s="23"/>
      <c r="I660" s="23"/>
      <c r="J660" s="23"/>
      <c r="K660" s="23"/>
    </row>
    <row r="661" spans="1:11" x14ac:dyDescent="0.25">
      <c r="A661" s="4" t="str">
        <f>IFERROR(category_assignment_2[[#This Row],[category_assignment_id]],"")</f>
        <v/>
      </c>
      <c r="B661" s="23" t="str">
        <f>IFERROR(VLOOKUP(category_assignment_2[[#This Row],[category_id]],#REF!,3,FALSE),"")</f>
        <v/>
      </c>
      <c r="C661" s="23" t="str">
        <f>IFERROR(VLOOKUP(category_assignment_2[[#This Row],[abbreviation_id]],abbreviation[],ColumnLanguage+1,FALSE),"")</f>
        <v/>
      </c>
      <c r="D661" s="23"/>
      <c r="E661" s="23"/>
      <c r="F661" s="23"/>
      <c r="G661" s="23"/>
      <c r="H661" s="23"/>
      <c r="I661" s="23"/>
      <c r="J661" s="23"/>
      <c r="K661" s="23"/>
    </row>
    <row r="662" spans="1:11" x14ac:dyDescent="0.25">
      <c r="A662" s="4" t="str">
        <f>IFERROR(category_assignment_2[[#This Row],[category_assignment_id]],"")</f>
        <v/>
      </c>
      <c r="B662" s="23" t="str">
        <f>IFERROR(VLOOKUP(category_assignment_2[[#This Row],[category_id]],#REF!,3,FALSE),"")</f>
        <v/>
      </c>
      <c r="C662" s="23" t="str">
        <f>IFERROR(VLOOKUP(category_assignment_2[[#This Row],[abbreviation_id]],abbreviation[],ColumnLanguage+1,FALSE),"")</f>
        <v/>
      </c>
      <c r="D662" s="23"/>
      <c r="E662" s="23"/>
      <c r="F662" s="23"/>
      <c r="G662" s="23"/>
      <c r="H662" s="23"/>
      <c r="I662" s="23"/>
      <c r="J662" s="23"/>
      <c r="K662" s="23"/>
    </row>
    <row r="663" spans="1:11" x14ac:dyDescent="0.25">
      <c r="A663" s="4" t="str">
        <f>IFERROR(category_assignment_2[[#This Row],[category_assignment_id]],"")</f>
        <v/>
      </c>
      <c r="B663" s="23" t="str">
        <f>IFERROR(VLOOKUP(category_assignment_2[[#This Row],[category_id]],#REF!,3,FALSE),"")</f>
        <v/>
      </c>
      <c r="C663" s="23" t="str">
        <f>IFERROR(VLOOKUP(category_assignment_2[[#This Row],[abbreviation_id]],abbreviation[],ColumnLanguage+1,FALSE),"")</f>
        <v/>
      </c>
      <c r="D663" s="23"/>
      <c r="E663" s="23"/>
      <c r="F663" s="23"/>
      <c r="G663" s="23"/>
      <c r="H663" s="23"/>
      <c r="I663" s="23"/>
      <c r="J663" s="23"/>
      <c r="K663" s="23"/>
    </row>
    <row r="664" spans="1:11" x14ac:dyDescent="0.25">
      <c r="A664" s="4" t="str">
        <f>IFERROR(category_assignment_2[[#This Row],[category_assignment_id]],"")</f>
        <v/>
      </c>
      <c r="B664" s="23" t="str">
        <f>IFERROR(VLOOKUP(category_assignment_2[[#This Row],[category_id]],#REF!,3,FALSE),"")</f>
        <v/>
      </c>
      <c r="C664" s="23" t="str">
        <f>IFERROR(VLOOKUP(category_assignment_2[[#This Row],[abbreviation_id]],abbreviation[],ColumnLanguage+1,FALSE),"")</f>
        <v/>
      </c>
      <c r="D664" s="23"/>
      <c r="E664" s="23"/>
      <c r="F664" s="23"/>
      <c r="G664" s="23"/>
      <c r="H664" s="23"/>
      <c r="I664" s="23"/>
      <c r="J664" s="23"/>
      <c r="K664" s="23"/>
    </row>
    <row r="665" spans="1:11" x14ac:dyDescent="0.25">
      <c r="A665" s="4" t="str">
        <f>IFERROR(category_assignment_2[[#This Row],[category_assignment_id]],"")</f>
        <v/>
      </c>
      <c r="B665" s="23" t="str">
        <f>IFERROR(VLOOKUP(category_assignment_2[[#This Row],[category_id]],#REF!,3,FALSE),"")</f>
        <v/>
      </c>
      <c r="C665" s="23" t="str">
        <f>IFERROR(VLOOKUP(category_assignment_2[[#This Row],[abbreviation_id]],abbreviation[],ColumnLanguage+1,FALSE),"")</f>
        <v/>
      </c>
      <c r="D665" s="23"/>
      <c r="E665" s="23"/>
      <c r="F665" s="23"/>
      <c r="G665" s="23"/>
      <c r="H665" s="23"/>
      <c r="I665" s="23"/>
      <c r="J665" s="23"/>
      <c r="K665" s="23"/>
    </row>
    <row r="666" spans="1:11" x14ac:dyDescent="0.25">
      <c r="A666" s="4" t="str">
        <f>IFERROR(category_assignment_2[[#This Row],[category_assignment_id]],"")</f>
        <v/>
      </c>
      <c r="B666" s="23" t="str">
        <f>IFERROR(VLOOKUP(category_assignment_2[[#This Row],[category_id]],#REF!,3,FALSE),"")</f>
        <v/>
      </c>
      <c r="C666" s="23" t="str">
        <f>IFERROR(VLOOKUP(category_assignment_2[[#This Row],[abbreviation_id]],abbreviation[],ColumnLanguage+1,FALSE),"")</f>
        <v/>
      </c>
      <c r="D666" s="23"/>
      <c r="E666" s="23"/>
      <c r="F666" s="23"/>
      <c r="G666" s="23"/>
      <c r="H666" s="23"/>
      <c r="I666" s="23"/>
      <c r="J666" s="23"/>
      <c r="K666" s="23"/>
    </row>
    <row r="667" spans="1:11" x14ac:dyDescent="0.25">
      <c r="A667" s="4" t="str">
        <f>IFERROR(category_assignment_2[[#This Row],[category_assignment_id]],"")</f>
        <v/>
      </c>
      <c r="B667" s="23" t="str">
        <f>IFERROR(VLOOKUP(category_assignment_2[[#This Row],[category_id]],#REF!,3,FALSE),"")</f>
        <v/>
      </c>
      <c r="C667" s="23" t="str">
        <f>IFERROR(VLOOKUP(category_assignment_2[[#This Row],[abbreviation_id]],abbreviation[],ColumnLanguage+1,FALSE),"")</f>
        <v/>
      </c>
      <c r="D667" s="23"/>
      <c r="E667" s="23"/>
      <c r="F667" s="23"/>
      <c r="G667" s="23"/>
      <c r="H667" s="23"/>
      <c r="I667" s="23"/>
      <c r="J667" s="23"/>
      <c r="K667" s="23"/>
    </row>
    <row r="668" spans="1:11" x14ac:dyDescent="0.25">
      <c r="A668" s="4" t="str">
        <f>IFERROR(category_assignment_2[[#This Row],[category_assignment_id]],"")</f>
        <v/>
      </c>
      <c r="B668" s="23" t="str">
        <f>IFERROR(VLOOKUP(category_assignment_2[[#This Row],[category_id]],#REF!,3,FALSE),"")</f>
        <v/>
      </c>
      <c r="C668" s="23" t="str">
        <f>IFERROR(VLOOKUP(category_assignment_2[[#This Row],[abbreviation_id]],abbreviation[],ColumnLanguage+1,FALSE),"")</f>
        <v/>
      </c>
      <c r="D668" s="23"/>
      <c r="E668" s="23"/>
      <c r="F668" s="23"/>
      <c r="G668" s="23"/>
      <c r="H668" s="23"/>
      <c r="I668" s="23"/>
      <c r="J668" s="23"/>
      <c r="K668" s="23"/>
    </row>
    <row r="669" spans="1:11" x14ac:dyDescent="0.25">
      <c r="A669" s="4" t="str">
        <f>IFERROR(category_assignment_2[[#This Row],[category_assignment_id]],"")</f>
        <v/>
      </c>
      <c r="B669" s="23" t="str">
        <f>IFERROR(VLOOKUP(category_assignment_2[[#This Row],[category_id]],#REF!,3,FALSE),"")</f>
        <v/>
      </c>
      <c r="C669" s="23" t="str">
        <f>IFERROR(VLOOKUP(category_assignment_2[[#This Row],[abbreviation_id]],abbreviation[],ColumnLanguage+1,FALSE),"")</f>
        <v/>
      </c>
      <c r="D669" s="23"/>
      <c r="E669" s="23"/>
      <c r="F669" s="23"/>
      <c r="G669" s="23"/>
      <c r="H669" s="23"/>
      <c r="I669" s="23"/>
      <c r="J669" s="23"/>
      <c r="K669" s="23"/>
    </row>
    <row r="670" spans="1:11" x14ac:dyDescent="0.25">
      <c r="A670" s="4" t="str">
        <f>IFERROR(category_assignment_2[[#This Row],[category_assignment_id]],"")</f>
        <v/>
      </c>
      <c r="B670" s="23" t="str">
        <f>IFERROR(VLOOKUP(category_assignment_2[[#This Row],[category_id]],#REF!,3,FALSE),"")</f>
        <v/>
      </c>
      <c r="C670" s="23" t="str">
        <f>IFERROR(VLOOKUP(category_assignment_2[[#This Row],[abbreviation_id]],abbreviation[],ColumnLanguage+1,FALSE),"")</f>
        <v/>
      </c>
      <c r="D670" s="23"/>
      <c r="E670" s="23"/>
      <c r="F670" s="23"/>
      <c r="G670" s="23"/>
      <c r="H670" s="23"/>
      <c r="I670" s="23"/>
      <c r="J670" s="23"/>
      <c r="K670" s="23"/>
    </row>
    <row r="671" spans="1:11" x14ac:dyDescent="0.25">
      <c r="A671" s="4" t="str">
        <f>IFERROR(category_assignment_2[[#This Row],[category_assignment_id]],"")</f>
        <v/>
      </c>
      <c r="B671" s="23" t="str">
        <f>IFERROR(VLOOKUP(category_assignment_2[[#This Row],[category_id]],#REF!,3,FALSE),"")</f>
        <v/>
      </c>
      <c r="C671" s="23" t="str">
        <f>IFERROR(VLOOKUP(category_assignment_2[[#This Row],[abbreviation_id]],abbreviation[],ColumnLanguage+1,FALSE),"")</f>
        <v/>
      </c>
      <c r="D671" s="23"/>
      <c r="E671" s="23"/>
      <c r="F671" s="23"/>
      <c r="G671" s="23"/>
      <c r="H671" s="23"/>
      <c r="I671" s="23"/>
      <c r="J671" s="23"/>
      <c r="K671" s="23"/>
    </row>
    <row r="672" spans="1:11" x14ac:dyDescent="0.25">
      <c r="A672" s="4" t="str">
        <f>IFERROR(category_assignment_2[[#This Row],[category_assignment_id]],"")</f>
        <v/>
      </c>
      <c r="B672" s="23" t="str">
        <f>IFERROR(VLOOKUP(category_assignment_2[[#This Row],[category_id]],#REF!,3,FALSE),"")</f>
        <v/>
      </c>
      <c r="C672" s="23" t="str">
        <f>IFERROR(VLOOKUP(category_assignment_2[[#This Row],[abbreviation_id]],abbreviation[],ColumnLanguage+1,FALSE),"")</f>
        <v/>
      </c>
      <c r="D672" s="23"/>
      <c r="E672" s="23"/>
      <c r="F672" s="23"/>
      <c r="G672" s="23"/>
      <c r="H672" s="23"/>
      <c r="I672" s="23"/>
      <c r="J672" s="23"/>
      <c r="K672" s="23"/>
    </row>
    <row r="673" spans="1:11" x14ac:dyDescent="0.25">
      <c r="A673" s="4" t="str">
        <f>IFERROR(category_assignment_2[[#This Row],[category_assignment_id]],"")</f>
        <v/>
      </c>
      <c r="B673" s="23" t="str">
        <f>IFERROR(VLOOKUP(category_assignment_2[[#This Row],[category_id]],#REF!,3,FALSE),"")</f>
        <v/>
      </c>
      <c r="C673" s="23" t="str">
        <f>IFERROR(VLOOKUP(category_assignment_2[[#This Row],[abbreviation_id]],abbreviation[],ColumnLanguage+1,FALSE),"")</f>
        <v/>
      </c>
      <c r="D673" s="23"/>
      <c r="E673" s="23"/>
      <c r="F673" s="23"/>
      <c r="G673" s="23"/>
      <c r="H673" s="23"/>
      <c r="I673" s="23"/>
      <c r="J673" s="23"/>
      <c r="K673" s="23"/>
    </row>
    <row r="674" spans="1:11" x14ac:dyDescent="0.25">
      <c r="A674" s="4" t="str">
        <f>IFERROR(category_assignment_2[[#This Row],[category_assignment_id]],"")</f>
        <v/>
      </c>
      <c r="B674" s="23" t="str">
        <f>IFERROR(VLOOKUP(category_assignment_2[[#This Row],[category_id]],#REF!,3,FALSE),"")</f>
        <v/>
      </c>
      <c r="C674" s="23" t="str">
        <f>IFERROR(VLOOKUP(category_assignment_2[[#This Row],[abbreviation_id]],abbreviation[],ColumnLanguage+1,FALSE),"")</f>
        <v/>
      </c>
      <c r="D674" s="23"/>
      <c r="E674" s="23"/>
      <c r="F674" s="23"/>
      <c r="G674" s="23"/>
      <c r="H674" s="23"/>
      <c r="I674" s="23"/>
      <c r="J674" s="23"/>
      <c r="K674" s="23"/>
    </row>
    <row r="675" spans="1:11" x14ac:dyDescent="0.25">
      <c r="A675" s="4" t="str">
        <f>IFERROR(category_assignment_2[[#This Row],[category_assignment_id]],"")</f>
        <v/>
      </c>
      <c r="B675" s="23" t="str">
        <f>IFERROR(VLOOKUP(category_assignment_2[[#This Row],[category_id]],#REF!,3,FALSE),"")</f>
        <v/>
      </c>
      <c r="C675" s="23" t="str">
        <f>IFERROR(VLOOKUP(category_assignment_2[[#This Row],[abbreviation_id]],abbreviation[],ColumnLanguage+1,FALSE),"")</f>
        <v/>
      </c>
      <c r="D675" s="23"/>
      <c r="E675" s="23"/>
      <c r="F675" s="23"/>
      <c r="G675" s="23"/>
      <c r="H675" s="23"/>
      <c r="I675" s="23"/>
      <c r="J675" s="23"/>
      <c r="K675" s="23"/>
    </row>
    <row r="676" spans="1:11" x14ac:dyDescent="0.25">
      <c r="A676" s="4" t="str">
        <f>IFERROR(category_assignment_2[[#This Row],[category_assignment_id]],"")</f>
        <v/>
      </c>
      <c r="B676" s="23" t="str">
        <f>IFERROR(VLOOKUP(category_assignment_2[[#This Row],[category_id]],#REF!,3,FALSE),"")</f>
        <v/>
      </c>
      <c r="C676" s="23" t="str">
        <f>IFERROR(VLOOKUP(category_assignment_2[[#This Row],[abbreviation_id]],abbreviation[],ColumnLanguage+1,FALSE),"")</f>
        <v/>
      </c>
      <c r="D676" s="23"/>
      <c r="E676" s="23"/>
      <c r="F676" s="23"/>
      <c r="G676" s="23"/>
      <c r="H676" s="23"/>
      <c r="I676" s="23"/>
      <c r="J676" s="23"/>
      <c r="K676" s="23"/>
    </row>
    <row r="677" spans="1:11" x14ac:dyDescent="0.25">
      <c r="A677" s="4" t="str">
        <f>IFERROR(category_assignment_2[[#This Row],[category_assignment_id]],"")</f>
        <v/>
      </c>
      <c r="B677" s="23" t="str">
        <f>IFERROR(VLOOKUP(category_assignment_2[[#This Row],[category_id]],#REF!,3,FALSE),"")</f>
        <v/>
      </c>
      <c r="C677" s="23" t="str">
        <f>IFERROR(VLOOKUP(category_assignment_2[[#This Row],[abbreviation_id]],abbreviation[],ColumnLanguage+1,FALSE),"")</f>
        <v/>
      </c>
      <c r="D677" s="23"/>
      <c r="E677" s="23"/>
      <c r="F677" s="23"/>
      <c r="G677" s="23"/>
      <c r="H677" s="23"/>
      <c r="I677" s="23"/>
      <c r="J677" s="23"/>
      <c r="K677" s="23"/>
    </row>
    <row r="678" spans="1:11" x14ac:dyDescent="0.25">
      <c r="A678" s="4" t="str">
        <f>IFERROR(category_assignment_2[[#This Row],[category_assignment_id]],"")</f>
        <v/>
      </c>
      <c r="B678" s="23" t="str">
        <f>IFERROR(VLOOKUP(category_assignment_2[[#This Row],[category_id]],#REF!,3,FALSE),"")</f>
        <v/>
      </c>
      <c r="C678" s="23" t="str">
        <f>IFERROR(VLOOKUP(category_assignment_2[[#This Row],[abbreviation_id]],abbreviation[],ColumnLanguage+1,FALSE),"")</f>
        <v/>
      </c>
      <c r="D678" s="23"/>
      <c r="E678" s="23"/>
      <c r="F678" s="23"/>
      <c r="G678" s="23"/>
      <c r="H678" s="23"/>
      <c r="I678" s="23"/>
      <c r="J678" s="23"/>
      <c r="K678" s="23"/>
    </row>
    <row r="679" spans="1:11" x14ac:dyDescent="0.25">
      <c r="A679" s="4" t="str">
        <f>IFERROR(category_assignment_2[[#This Row],[category_assignment_id]],"")</f>
        <v/>
      </c>
      <c r="B679" s="23" t="str">
        <f>IFERROR(VLOOKUP(category_assignment_2[[#This Row],[category_id]],#REF!,3,FALSE),"")</f>
        <v/>
      </c>
      <c r="C679" s="23" t="str">
        <f>IFERROR(VLOOKUP(category_assignment_2[[#This Row],[abbreviation_id]],abbreviation[],ColumnLanguage+1,FALSE),"")</f>
        <v/>
      </c>
      <c r="D679" s="23"/>
      <c r="E679" s="23"/>
      <c r="F679" s="23"/>
      <c r="G679" s="23"/>
      <c r="H679" s="23"/>
      <c r="I679" s="23"/>
      <c r="J679" s="23"/>
      <c r="K679" s="23"/>
    </row>
    <row r="680" spans="1:11" x14ac:dyDescent="0.25">
      <c r="A680" s="4" t="str">
        <f>IFERROR(category_assignment_2[[#This Row],[category_assignment_id]],"")</f>
        <v/>
      </c>
      <c r="B680" s="23" t="str">
        <f>IFERROR(VLOOKUP(category_assignment_2[[#This Row],[category_id]],#REF!,3,FALSE),"")</f>
        <v/>
      </c>
      <c r="C680" s="23" t="str">
        <f>IFERROR(VLOOKUP(category_assignment_2[[#This Row],[abbreviation_id]],abbreviation[],ColumnLanguage+1,FALSE),"")</f>
        <v/>
      </c>
      <c r="D680" s="23"/>
      <c r="E680" s="23"/>
      <c r="F680" s="23"/>
      <c r="G680" s="23"/>
      <c r="H680" s="23"/>
      <c r="I680" s="23"/>
      <c r="J680" s="23"/>
      <c r="K680" s="23"/>
    </row>
    <row r="681" spans="1:11" x14ac:dyDescent="0.25">
      <c r="A681" s="4" t="str">
        <f>IFERROR(category_assignment_2[[#This Row],[category_assignment_id]],"")</f>
        <v/>
      </c>
      <c r="B681" s="23" t="str">
        <f>IFERROR(VLOOKUP(category_assignment_2[[#This Row],[category_id]],#REF!,3,FALSE),"")</f>
        <v/>
      </c>
      <c r="C681" s="23" t="str">
        <f>IFERROR(VLOOKUP(category_assignment_2[[#This Row],[abbreviation_id]],abbreviation[],ColumnLanguage+1,FALSE),"")</f>
        <v/>
      </c>
      <c r="D681" s="23"/>
      <c r="E681" s="23"/>
      <c r="F681" s="23"/>
      <c r="G681" s="23"/>
      <c r="H681" s="23"/>
      <c r="I681" s="23"/>
      <c r="J681" s="23"/>
      <c r="K681" s="23"/>
    </row>
    <row r="682" spans="1:11" x14ac:dyDescent="0.25">
      <c r="A682" s="4" t="str">
        <f>IFERROR(category_assignment_2[[#This Row],[category_assignment_id]],"")</f>
        <v/>
      </c>
      <c r="B682" s="23" t="str">
        <f>IFERROR(VLOOKUP(category_assignment_2[[#This Row],[category_id]],#REF!,3,FALSE),"")</f>
        <v/>
      </c>
      <c r="C682" s="23" t="str">
        <f>IFERROR(VLOOKUP(category_assignment_2[[#This Row],[abbreviation_id]],abbreviation[],ColumnLanguage+1,FALSE),"")</f>
        <v/>
      </c>
      <c r="D682" s="23"/>
      <c r="E682" s="23"/>
      <c r="F682" s="23"/>
      <c r="G682" s="23"/>
      <c r="H682" s="23"/>
      <c r="I682" s="23"/>
      <c r="J682" s="23"/>
      <c r="K682" s="23"/>
    </row>
    <row r="683" spans="1:11" x14ac:dyDescent="0.25">
      <c r="A683" s="4" t="str">
        <f>IFERROR(category_assignment_2[[#This Row],[category_assignment_id]],"")</f>
        <v/>
      </c>
      <c r="B683" s="23" t="str">
        <f>IFERROR(VLOOKUP(category_assignment_2[[#This Row],[category_id]],#REF!,3,FALSE),"")</f>
        <v/>
      </c>
      <c r="C683" s="23" t="str">
        <f>IFERROR(VLOOKUP(category_assignment_2[[#This Row],[abbreviation_id]],abbreviation[],ColumnLanguage+1,FALSE),"")</f>
        <v/>
      </c>
      <c r="D683" s="23"/>
      <c r="E683" s="23"/>
      <c r="F683" s="23"/>
      <c r="G683" s="23"/>
      <c r="H683" s="23"/>
      <c r="I683" s="23"/>
      <c r="J683" s="23"/>
      <c r="K683" s="23"/>
    </row>
    <row r="684" spans="1:11" x14ac:dyDescent="0.25">
      <c r="A684" s="4" t="str">
        <f>IFERROR(category_assignment_2[[#This Row],[category_assignment_id]],"")</f>
        <v/>
      </c>
      <c r="B684" s="23" t="str">
        <f>IFERROR(VLOOKUP(category_assignment_2[[#This Row],[category_id]],#REF!,3,FALSE),"")</f>
        <v/>
      </c>
      <c r="C684" s="23" t="str">
        <f>IFERROR(VLOOKUP(category_assignment_2[[#This Row],[abbreviation_id]],abbreviation[],ColumnLanguage+1,FALSE),"")</f>
        <v/>
      </c>
      <c r="D684" s="23"/>
      <c r="E684" s="23"/>
      <c r="F684" s="23"/>
      <c r="G684" s="23"/>
      <c r="H684" s="23"/>
      <c r="I684" s="23"/>
      <c r="J684" s="23"/>
      <c r="K684" s="23"/>
    </row>
    <row r="685" spans="1:11" x14ac:dyDescent="0.25">
      <c r="A685" s="4" t="str">
        <f>IFERROR(category_assignment_2[[#This Row],[category_assignment_id]],"")</f>
        <v/>
      </c>
      <c r="B685" s="23" t="str">
        <f>IFERROR(VLOOKUP(category_assignment_2[[#This Row],[category_id]],#REF!,3,FALSE),"")</f>
        <v/>
      </c>
      <c r="C685" s="23" t="str">
        <f>IFERROR(VLOOKUP(category_assignment_2[[#This Row],[abbreviation_id]],abbreviation[],ColumnLanguage+1,FALSE),"")</f>
        <v/>
      </c>
      <c r="D685" s="23"/>
      <c r="E685" s="23"/>
      <c r="F685" s="23"/>
      <c r="G685" s="23"/>
      <c r="H685" s="23"/>
      <c r="I685" s="23"/>
      <c r="J685" s="23"/>
      <c r="K685" s="23"/>
    </row>
    <row r="686" spans="1:11" x14ac:dyDescent="0.25">
      <c r="A686" s="4" t="str">
        <f>IFERROR(category_assignment_2[[#This Row],[category_assignment_id]],"")</f>
        <v/>
      </c>
      <c r="B686" s="23" t="str">
        <f>IFERROR(VLOOKUP(category_assignment_2[[#This Row],[category_id]],#REF!,3,FALSE),"")</f>
        <v/>
      </c>
      <c r="C686" s="23" t="str">
        <f>IFERROR(VLOOKUP(category_assignment_2[[#This Row],[abbreviation_id]],abbreviation[],ColumnLanguage+1,FALSE),"")</f>
        <v/>
      </c>
      <c r="D686" s="23"/>
      <c r="E686" s="23"/>
      <c r="F686" s="23"/>
      <c r="G686" s="23"/>
      <c r="H686" s="23"/>
      <c r="I686" s="23"/>
      <c r="J686" s="23"/>
      <c r="K686" s="23"/>
    </row>
    <row r="687" spans="1:11" x14ac:dyDescent="0.25">
      <c r="A687" s="4" t="str">
        <f>IFERROR(category_assignment_2[[#This Row],[category_assignment_id]],"")</f>
        <v/>
      </c>
      <c r="B687" s="23" t="str">
        <f>IFERROR(VLOOKUP(category_assignment_2[[#This Row],[category_id]],#REF!,3,FALSE),"")</f>
        <v/>
      </c>
      <c r="C687" s="23" t="str">
        <f>IFERROR(VLOOKUP(category_assignment_2[[#This Row],[abbreviation_id]],abbreviation[],ColumnLanguage+1,FALSE),"")</f>
        <v/>
      </c>
      <c r="D687" s="23"/>
      <c r="E687" s="23"/>
      <c r="F687" s="23"/>
      <c r="G687" s="23"/>
      <c r="H687" s="23"/>
      <c r="I687" s="23"/>
      <c r="J687" s="23"/>
      <c r="K687" s="23"/>
    </row>
    <row r="688" spans="1:11" x14ac:dyDescent="0.25">
      <c r="A688" s="4" t="str">
        <f>IFERROR(category_assignment_2[[#This Row],[category_assignment_id]],"")</f>
        <v/>
      </c>
      <c r="B688" s="23" t="str">
        <f>IFERROR(VLOOKUP(category_assignment_2[[#This Row],[category_id]],#REF!,3,FALSE),"")</f>
        <v/>
      </c>
      <c r="C688" s="23" t="str">
        <f>IFERROR(VLOOKUP(category_assignment_2[[#This Row],[abbreviation_id]],abbreviation[],ColumnLanguage+1,FALSE),"")</f>
        <v/>
      </c>
      <c r="D688" s="23"/>
      <c r="E688" s="23"/>
      <c r="F688" s="23"/>
      <c r="G688" s="23"/>
      <c r="H688" s="23"/>
      <c r="I688" s="23"/>
      <c r="J688" s="23"/>
      <c r="K688" s="23"/>
    </row>
    <row r="689" spans="1:11" x14ac:dyDescent="0.25">
      <c r="A689" s="4" t="str">
        <f>IFERROR(category_assignment_2[[#This Row],[category_assignment_id]],"")</f>
        <v/>
      </c>
      <c r="B689" s="23" t="str">
        <f>IFERROR(VLOOKUP(category_assignment_2[[#This Row],[category_id]],#REF!,3,FALSE),"")</f>
        <v/>
      </c>
      <c r="C689" s="23" t="str">
        <f>IFERROR(VLOOKUP(category_assignment_2[[#This Row],[abbreviation_id]],abbreviation[],ColumnLanguage+1,FALSE),"")</f>
        <v/>
      </c>
      <c r="D689" s="23"/>
      <c r="E689" s="23"/>
      <c r="F689" s="23"/>
      <c r="G689" s="23"/>
      <c r="H689" s="23"/>
      <c r="I689" s="23"/>
      <c r="J689" s="23"/>
      <c r="K689" s="23"/>
    </row>
    <row r="690" spans="1:11" x14ac:dyDescent="0.25">
      <c r="A690" s="4" t="str">
        <f>IFERROR(category_assignment_2[[#This Row],[category_assignment_id]],"")</f>
        <v/>
      </c>
      <c r="B690" s="23" t="str">
        <f>IFERROR(VLOOKUP(category_assignment_2[[#This Row],[category_id]],#REF!,3,FALSE),"")</f>
        <v/>
      </c>
      <c r="C690" s="23" t="str">
        <f>IFERROR(VLOOKUP(category_assignment_2[[#This Row],[abbreviation_id]],abbreviation[],ColumnLanguage+1,FALSE),"")</f>
        <v/>
      </c>
      <c r="D690" s="23"/>
      <c r="E690" s="23"/>
      <c r="F690" s="23"/>
      <c r="G690" s="23"/>
      <c r="H690" s="23"/>
      <c r="I690" s="23"/>
      <c r="J690" s="23"/>
      <c r="K690" s="23"/>
    </row>
    <row r="691" spans="1:11" x14ac:dyDescent="0.25">
      <c r="A691" s="4" t="str">
        <f>IFERROR(category_assignment_2[[#This Row],[category_assignment_id]],"")</f>
        <v/>
      </c>
      <c r="B691" s="23" t="str">
        <f>IFERROR(VLOOKUP(category_assignment_2[[#This Row],[category_id]],#REF!,3,FALSE),"")</f>
        <v/>
      </c>
      <c r="C691" s="23" t="str">
        <f>IFERROR(VLOOKUP(category_assignment_2[[#This Row],[abbreviation_id]],abbreviation[],ColumnLanguage+1,FALSE),"")</f>
        <v/>
      </c>
      <c r="D691" s="23"/>
      <c r="E691" s="23"/>
      <c r="F691" s="23"/>
      <c r="G691" s="23"/>
      <c r="H691" s="23"/>
      <c r="I691" s="23"/>
      <c r="J691" s="23"/>
      <c r="K691" s="23"/>
    </row>
    <row r="692" spans="1:11" x14ac:dyDescent="0.25">
      <c r="A692" s="4" t="str">
        <f>IFERROR(category_assignment_2[[#This Row],[category_assignment_id]],"")</f>
        <v/>
      </c>
      <c r="B692" s="23" t="str">
        <f>IFERROR(VLOOKUP(category_assignment_2[[#This Row],[category_id]],#REF!,3,FALSE),"")</f>
        <v/>
      </c>
      <c r="C692" s="23" t="str">
        <f>IFERROR(VLOOKUP(category_assignment_2[[#This Row],[abbreviation_id]],abbreviation[],ColumnLanguage+1,FALSE),"")</f>
        <v/>
      </c>
      <c r="D692" s="23"/>
      <c r="E692" s="23"/>
      <c r="F692" s="23"/>
      <c r="G692" s="23"/>
      <c r="H692" s="23"/>
      <c r="I692" s="23"/>
      <c r="J692" s="23"/>
      <c r="K692" s="23"/>
    </row>
    <row r="693" spans="1:11" x14ac:dyDescent="0.25">
      <c r="A693" s="4" t="str">
        <f>IFERROR(category_assignment_2[[#This Row],[category_assignment_id]],"")</f>
        <v/>
      </c>
      <c r="B693" s="23" t="str">
        <f>IFERROR(VLOOKUP(category_assignment_2[[#This Row],[category_id]],#REF!,3,FALSE),"")</f>
        <v/>
      </c>
      <c r="C693" s="23" t="str">
        <f>IFERROR(VLOOKUP(category_assignment_2[[#This Row],[abbreviation_id]],abbreviation[],ColumnLanguage+1,FALSE),"")</f>
        <v/>
      </c>
      <c r="D693" s="23"/>
      <c r="E693" s="23"/>
      <c r="F693" s="23"/>
      <c r="G693" s="23"/>
      <c r="H693" s="23"/>
      <c r="I693" s="23"/>
      <c r="J693" s="23"/>
      <c r="K693" s="23"/>
    </row>
    <row r="694" spans="1:11" x14ac:dyDescent="0.25">
      <c r="A694" s="4" t="str">
        <f>IFERROR(category_assignment_2[[#This Row],[category_assignment_id]],"")</f>
        <v/>
      </c>
      <c r="B694" s="23" t="str">
        <f>IFERROR(VLOOKUP(category_assignment_2[[#This Row],[category_id]],#REF!,3,FALSE),"")</f>
        <v/>
      </c>
      <c r="C694" s="23" t="str">
        <f>IFERROR(VLOOKUP(category_assignment_2[[#This Row],[abbreviation_id]],abbreviation[],ColumnLanguage+1,FALSE),"")</f>
        <v/>
      </c>
      <c r="D694" s="23"/>
      <c r="E694" s="23"/>
      <c r="F694" s="23"/>
      <c r="G694" s="23"/>
      <c r="H694" s="23"/>
      <c r="I694" s="23"/>
      <c r="J694" s="23"/>
      <c r="K694" s="23"/>
    </row>
    <row r="695" spans="1:11" x14ac:dyDescent="0.25">
      <c r="A695" s="4" t="str">
        <f>IFERROR(category_assignment_2[[#This Row],[category_assignment_id]],"")</f>
        <v/>
      </c>
      <c r="B695" s="23" t="str">
        <f>IFERROR(VLOOKUP(category_assignment_2[[#This Row],[category_id]],#REF!,3,FALSE),"")</f>
        <v/>
      </c>
      <c r="C695" s="23" t="str">
        <f>IFERROR(VLOOKUP(category_assignment_2[[#This Row],[abbreviation_id]],abbreviation[],ColumnLanguage+1,FALSE),"")</f>
        <v/>
      </c>
      <c r="D695" s="23"/>
      <c r="E695" s="23"/>
      <c r="F695" s="23"/>
      <c r="G695" s="23"/>
      <c r="H695" s="23"/>
      <c r="I695" s="23"/>
      <c r="J695" s="23"/>
      <c r="K695" s="23"/>
    </row>
    <row r="696" spans="1:11" x14ac:dyDescent="0.25">
      <c r="A696" s="4" t="str">
        <f>IFERROR(category_assignment_2[[#This Row],[category_assignment_id]],"")</f>
        <v/>
      </c>
      <c r="B696" s="23" t="str">
        <f>IFERROR(VLOOKUP(category_assignment_2[[#This Row],[category_id]],#REF!,3,FALSE),"")</f>
        <v/>
      </c>
      <c r="C696" s="23" t="str">
        <f>IFERROR(VLOOKUP(category_assignment_2[[#This Row],[abbreviation_id]],abbreviation[],ColumnLanguage+1,FALSE),"")</f>
        <v/>
      </c>
      <c r="D696" s="23"/>
      <c r="E696" s="23"/>
      <c r="F696" s="23"/>
      <c r="G696" s="23"/>
      <c r="H696" s="23"/>
      <c r="I696" s="23"/>
      <c r="J696" s="23"/>
      <c r="K696" s="23"/>
    </row>
    <row r="697" spans="1:11" x14ac:dyDescent="0.25">
      <c r="A697" s="4" t="str">
        <f>IFERROR(category_assignment_2[[#This Row],[category_assignment_id]],"")</f>
        <v/>
      </c>
      <c r="B697" s="23" t="str">
        <f>IFERROR(VLOOKUP(category_assignment_2[[#This Row],[category_id]],#REF!,3,FALSE),"")</f>
        <v/>
      </c>
      <c r="C697" s="23" t="str">
        <f>IFERROR(VLOOKUP(category_assignment_2[[#This Row],[abbreviation_id]],abbreviation[],ColumnLanguage+1,FALSE),"")</f>
        <v/>
      </c>
      <c r="D697" s="23"/>
      <c r="E697" s="23"/>
      <c r="F697" s="23"/>
      <c r="G697" s="23"/>
      <c r="H697" s="23"/>
      <c r="I697" s="23"/>
      <c r="J697" s="23"/>
      <c r="K697" s="23"/>
    </row>
    <row r="698" spans="1:11" x14ac:dyDescent="0.25">
      <c r="A698" s="4" t="str">
        <f>IFERROR(category_assignment_2[[#This Row],[category_assignment_id]],"")</f>
        <v/>
      </c>
      <c r="B698" s="23" t="str">
        <f>IFERROR(VLOOKUP(category_assignment_2[[#This Row],[category_id]],#REF!,3,FALSE),"")</f>
        <v/>
      </c>
      <c r="C698" s="23" t="str">
        <f>IFERROR(VLOOKUP(category_assignment_2[[#This Row],[abbreviation_id]],abbreviation[],ColumnLanguage+1,FALSE),"")</f>
        <v/>
      </c>
      <c r="D698" s="23"/>
      <c r="E698" s="23"/>
      <c r="F698" s="23"/>
      <c r="G698" s="23"/>
      <c r="H698" s="23"/>
      <c r="I698" s="23"/>
      <c r="J698" s="23"/>
      <c r="K698" s="23"/>
    </row>
    <row r="699" spans="1:11" x14ac:dyDescent="0.25">
      <c r="A699" s="4" t="str">
        <f>IFERROR(category_assignment_2[[#This Row],[category_assignment_id]],"")</f>
        <v/>
      </c>
      <c r="B699" s="23" t="str">
        <f>IFERROR(VLOOKUP(category_assignment_2[[#This Row],[category_id]],#REF!,3,FALSE),"")</f>
        <v/>
      </c>
      <c r="C699" s="23" t="str">
        <f>IFERROR(VLOOKUP(category_assignment_2[[#This Row],[abbreviation_id]],abbreviation[],ColumnLanguage+1,FALSE),"")</f>
        <v/>
      </c>
      <c r="D699" s="23"/>
      <c r="E699" s="23"/>
      <c r="F699" s="23"/>
      <c r="G699" s="23"/>
      <c r="H699" s="23"/>
      <c r="I699" s="23"/>
      <c r="J699" s="23"/>
      <c r="K699" s="23"/>
    </row>
    <row r="700" spans="1:11" x14ac:dyDescent="0.25">
      <c r="A700" s="4" t="str">
        <f>IFERROR(category_assignment_2[[#This Row],[category_assignment_id]],"")</f>
        <v/>
      </c>
      <c r="B700" s="23" t="str">
        <f>IFERROR(VLOOKUP(category_assignment_2[[#This Row],[category_id]],#REF!,3,FALSE),"")</f>
        <v/>
      </c>
      <c r="C700" s="23" t="str">
        <f>IFERROR(VLOOKUP(category_assignment_2[[#This Row],[abbreviation_id]],abbreviation[],ColumnLanguage+1,FALSE),"")</f>
        <v/>
      </c>
      <c r="D700" s="23"/>
      <c r="E700" s="23"/>
      <c r="F700" s="23"/>
      <c r="G700" s="23"/>
      <c r="H700" s="23"/>
      <c r="I700" s="23"/>
      <c r="J700" s="23"/>
      <c r="K700" s="23"/>
    </row>
    <row r="701" spans="1:11" x14ac:dyDescent="0.25">
      <c r="A701" s="4" t="str">
        <f>IFERROR(category_assignment_2[[#This Row],[category_assignment_id]],"")</f>
        <v/>
      </c>
      <c r="B701" s="23" t="str">
        <f>IFERROR(VLOOKUP(category_assignment_2[[#This Row],[category_id]],#REF!,3,FALSE),"")</f>
        <v/>
      </c>
      <c r="C701" s="23" t="str">
        <f>IFERROR(VLOOKUP(category_assignment_2[[#This Row],[abbreviation_id]],abbreviation[],ColumnLanguage+1,FALSE),"")</f>
        <v/>
      </c>
      <c r="D701" s="23"/>
      <c r="E701" s="23"/>
      <c r="F701" s="23"/>
      <c r="G701" s="23"/>
      <c r="H701" s="23"/>
      <c r="I701" s="23"/>
      <c r="J701" s="23"/>
      <c r="K701" s="23"/>
    </row>
    <row r="702" spans="1:11" x14ac:dyDescent="0.25">
      <c r="A702" s="4" t="str">
        <f>IFERROR(category_assignment_2[[#This Row],[category_assignment_id]],"")</f>
        <v/>
      </c>
      <c r="B702" s="23" t="str">
        <f>IFERROR(VLOOKUP(category_assignment_2[[#This Row],[category_id]],#REF!,3,FALSE),"")</f>
        <v/>
      </c>
      <c r="C702" s="23" t="str">
        <f>IFERROR(VLOOKUP(category_assignment_2[[#This Row],[abbreviation_id]],abbreviation[],ColumnLanguage+1,FALSE),"")</f>
        <v/>
      </c>
      <c r="D702" s="23"/>
      <c r="E702" s="23"/>
      <c r="F702" s="23"/>
      <c r="G702" s="23"/>
      <c r="H702" s="23"/>
      <c r="I702" s="23"/>
      <c r="J702" s="23"/>
      <c r="K702" s="23"/>
    </row>
    <row r="703" spans="1:11" x14ac:dyDescent="0.25">
      <c r="A703" s="4" t="str">
        <f>IFERROR(category_assignment_2[[#This Row],[category_assignment_id]],"")</f>
        <v/>
      </c>
      <c r="B703" s="23" t="str">
        <f>IFERROR(VLOOKUP(category_assignment_2[[#This Row],[category_id]],#REF!,3,FALSE),"")</f>
        <v/>
      </c>
      <c r="C703" s="23" t="str">
        <f>IFERROR(VLOOKUP(category_assignment_2[[#This Row],[abbreviation_id]],abbreviation[],ColumnLanguage+1,FALSE),"")</f>
        <v/>
      </c>
      <c r="D703" s="23"/>
      <c r="E703" s="23"/>
      <c r="F703" s="23"/>
      <c r="G703" s="23"/>
      <c r="H703" s="23"/>
      <c r="I703" s="23"/>
      <c r="J703" s="23"/>
      <c r="K703" s="23"/>
    </row>
    <row r="704" spans="1:11" x14ac:dyDescent="0.25">
      <c r="A704" s="4" t="str">
        <f>IFERROR(category_assignment_2[[#This Row],[category_assignment_id]],"")</f>
        <v/>
      </c>
      <c r="B704" s="23" t="str">
        <f>IFERROR(VLOOKUP(category_assignment_2[[#This Row],[category_id]],#REF!,3,FALSE),"")</f>
        <v/>
      </c>
      <c r="C704" s="23" t="str">
        <f>IFERROR(VLOOKUP(category_assignment_2[[#This Row],[abbreviation_id]],abbreviation[],ColumnLanguage+1,FALSE),"")</f>
        <v/>
      </c>
      <c r="D704" s="23"/>
      <c r="E704" s="23"/>
      <c r="F704" s="23"/>
      <c r="G704" s="23"/>
      <c r="H704" s="23"/>
      <c r="I704" s="23"/>
      <c r="J704" s="23"/>
      <c r="K704" s="23"/>
    </row>
    <row r="705" spans="1:11" x14ac:dyDescent="0.25">
      <c r="A705" s="4" t="str">
        <f>IFERROR(category_assignment_2[[#This Row],[category_assignment_id]],"")</f>
        <v/>
      </c>
      <c r="B705" s="23" t="str">
        <f>IFERROR(VLOOKUP(category_assignment_2[[#This Row],[category_id]],#REF!,3,FALSE),"")</f>
        <v/>
      </c>
      <c r="C705" s="23" t="str">
        <f>IFERROR(VLOOKUP(category_assignment_2[[#This Row],[abbreviation_id]],abbreviation[],ColumnLanguage+1,FALSE),"")</f>
        <v/>
      </c>
      <c r="D705" s="23"/>
      <c r="E705" s="23"/>
      <c r="F705" s="23"/>
      <c r="G705" s="23"/>
      <c r="H705" s="23"/>
      <c r="I705" s="23"/>
      <c r="J705" s="23"/>
      <c r="K705" s="23"/>
    </row>
    <row r="706" spans="1:11" x14ac:dyDescent="0.25">
      <c r="A706" s="4" t="str">
        <f>IFERROR(category_assignment_2[[#This Row],[category_assignment_id]],"")</f>
        <v/>
      </c>
      <c r="B706" s="23" t="str">
        <f>IFERROR(VLOOKUP(category_assignment_2[[#This Row],[category_id]],#REF!,3,FALSE),"")</f>
        <v/>
      </c>
      <c r="C706" s="23" t="str">
        <f>IFERROR(VLOOKUP(category_assignment_2[[#This Row],[abbreviation_id]],abbreviation[],ColumnLanguage+1,FALSE),"")</f>
        <v/>
      </c>
      <c r="D706" s="23"/>
      <c r="E706" s="23"/>
      <c r="F706" s="23"/>
      <c r="G706" s="23"/>
      <c r="H706" s="23"/>
      <c r="I706" s="23"/>
      <c r="J706" s="23"/>
      <c r="K706" s="23"/>
    </row>
    <row r="707" spans="1:11" x14ac:dyDescent="0.25">
      <c r="A707" s="4" t="str">
        <f>IFERROR(category_assignment_2[[#This Row],[category_assignment_id]],"")</f>
        <v/>
      </c>
      <c r="B707" s="23" t="str">
        <f>IFERROR(VLOOKUP(category_assignment_2[[#This Row],[category_id]],#REF!,3,FALSE),"")</f>
        <v/>
      </c>
      <c r="C707" s="23" t="str">
        <f>IFERROR(VLOOKUP(category_assignment_2[[#This Row],[abbreviation_id]],abbreviation[],ColumnLanguage+1,FALSE),"")</f>
        <v/>
      </c>
      <c r="D707" s="23"/>
      <c r="E707" s="23"/>
      <c r="F707" s="23"/>
      <c r="G707" s="23"/>
      <c r="H707" s="23"/>
      <c r="I707" s="23"/>
      <c r="J707" s="23"/>
      <c r="K707" s="23"/>
    </row>
    <row r="708" spans="1:11" x14ac:dyDescent="0.25">
      <c r="A708" s="4" t="str">
        <f>IFERROR(category_assignment_2[[#This Row],[category_assignment_id]],"")</f>
        <v/>
      </c>
      <c r="B708" s="23" t="str">
        <f>IFERROR(VLOOKUP(category_assignment_2[[#This Row],[category_id]],#REF!,3,FALSE),"")</f>
        <v/>
      </c>
      <c r="C708" s="23" t="str">
        <f>IFERROR(VLOOKUP(category_assignment_2[[#This Row],[abbreviation_id]],abbreviation[],ColumnLanguage+1,FALSE),"")</f>
        <v/>
      </c>
      <c r="D708" s="23"/>
      <c r="E708" s="23"/>
      <c r="F708" s="23"/>
      <c r="G708" s="23"/>
      <c r="H708" s="23"/>
      <c r="I708" s="23"/>
      <c r="J708" s="23"/>
      <c r="K708" s="23"/>
    </row>
    <row r="709" spans="1:11" x14ac:dyDescent="0.25">
      <c r="A709" s="4" t="str">
        <f>IFERROR(category_assignment_2[[#This Row],[category_assignment_id]],"")</f>
        <v/>
      </c>
      <c r="B709" s="23" t="str">
        <f>IFERROR(VLOOKUP(category_assignment_2[[#This Row],[category_id]],#REF!,3,FALSE),"")</f>
        <v/>
      </c>
      <c r="C709" s="23" t="str">
        <f>IFERROR(VLOOKUP(category_assignment_2[[#This Row],[abbreviation_id]],abbreviation[],ColumnLanguage+1,FALSE),"")</f>
        <v/>
      </c>
      <c r="D709" s="23"/>
      <c r="E709" s="23"/>
      <c r="F709" s="23"/>
      <c r="G709" s="23"/>
      <c r="H709" s="23"/>
      <c r="I709" s="23"/>
      <c r="J709" s="23"/>
      <c r="K709" s="23"/>
    </row>
    <row r="710" spans="1:11" x14ac:dyDescent="0.25">
      <c r="A710" s="4" t="str">
        <f>IFERROR(category_assignment_2[[#This Row],[category_assignment_id]],"")</f>
        <v/>
      </c>
      <c r="B710" s="23" t="str">
        <f>IFERROR(VLOOKUP(category_assignment_2[[#This Row],[category_id]],#REF!,3,FALSE),"")</f>
        <v/>
      </c>
      <c r="C710" s="23" t="str">
        <f>IFERROR(VLOOKUP(category_assignment_2[[#This Row],[abbreviation_id]],abbreviation[],ColumnLanguage+1,FALSE),"")</f>
        <v/>
      </c>
      <c r="D710" s="23"/>
      <c r="E710" s="23"/>
      <c r="F710" s="23"/>
      <c r="G710" s="23"/>
      <c r="H710" s="23"/>
      <c r="I710" s="23"/>
      <c r="J710" s="23"/>
      <c r="K710" s="23"/>
    </row>
    <row r="711" spans="1:11" x14ac:dyDescent="0.25">
      <c r="A711" s="4" t="str">
        <f>IFERROR(category_assignment_2[[#This Row],[category_assignment_id]],"")</f>
        <v/>
      </c>
      <c r="B711" s="23" t="str">
        <f>IFERROR(VLOOKUP(category_assignment_2[[#This Row],[category_id]],#REF!,3,FALSE),"")</f>
        <v/>
      </c>
      <c r="C711" s="23" t="str">
        <f>IFERROR(VLOOKUP(category_assignment_2[[#This Row],[abbreviation_id]],abbreviation[],ColumnLanguage+1,FALSE),"")</f>
        <v/>
      </c>
      <c r="D711" s="23"/>
      <c r="E711" s="23"/>
      <c r="F711" s="23"/>
      <c r="G711" s="23"/>
      <c r="H711" s="23"/>
      <c r="I711" s="23"/>
      <c r="J711" s="23"/>
      <c r="K711" s="23"/>
    </row>
    <row r="712" spans="1:11" x14ac:dyDescent="0.25">
      <c r="A712" s="4" t="str">
        <f>IFERROR(category_assignment_2[[#This Row],[category_assignment_id]],"")</f>
        <v/>
      </c>
      <c r="B712" s="23" t="str">
        <f>IFERROR(VLOOKUP(category_assignment_2[[#This Row],[category_id]],#REF!,3,FALSE),"")</f>
        <v/>
      </c>
      <c r="C712" s="23" t="str">
        <f>IFERROR(VLOOKUP(category_assignment_2[[#This Row],[abbreviation_id]],abbreviation[],ColumnLanguage+1,FALSE),"")</f>
        <v/>
      </c>
      <c r="D712" s="23"/>
      <c r="E712" s="23"/>
      <c r="F712" s="23"/>
      <c r="G712" s="23"/>
      <c r="H712" s="23"/>
      <c r="I712" s="23"/>
      <c r="J712" s="23"/>
      <c r="K712" s="23"/>
    </row>
    <row r="713" spans="1:11" x14ac:dyDescent="0.25">
      <c r="A713" s="4" t="str">
        <f>IFERROR(category_assignment_2[[#This Row],[category_assignment_id]],"")</f>
        <v/>
      </c>
      <c r="B713" s="23" t="str">
        <f>IFERROR(VLOOKUP(category_assignment_2[[#This Row],[category_id]],#REF!,3,FALSE),"")</f>
        <v/>
      </c>
      <c r="C713" s="23" t="str">
        <f>IFERROR(VLOOKUP(category_assignment_2[[#This Row],[abbreviation_id]],abbreviation[],ColumnLanguage+1,FALSE),"")</f>
        <v/>
      </c>
      <c r="D713" s="23"/>
      <c r="E713" s="23"/>
      <c r="F713" s="23"/>
      <c r="G713" s="23"/>
      <c r="H713" s="23"/>
      <c r="I713" s="23"/>
      <c r="J713" s="23"/>
      <c r="K713" s="23"/>
    </row>
    <row r="714" spans="1:11" x14ac:dyDescent="0.25">
      <c r="A714" s="4" t="str">
        <f>IFERROR(category_assignment_2[[#This Row],[category_assignment_id]],"")</f>
        <v/>
      </c>
      <c r="B714" s="23" t="str">
        <f>IFERROR(VLOOKUP(category_assignment_2[[#This Row],[category_id]],#REF!,3,FALSE),"")</f>
        <v/>
      </c>
      <c r="C714" s="23" t="str">
        <f>IFERROR(VLOOKUP(category_assignment_2[[#This Row],[abbreviation_id]],abbreviation[],ColumnLanguage+1,FALSE),"")</f>
        <v/>
      </c>
      <c r="D714" s="23"/>
      <c r="E714" s="23"/>
      <c r="F714" s="23"/>
      <c r="G714" s="23"/>
      <c r="H714" s="23"/>
      <c r="I714" s="23"/>
      <c r="J714" s="23"/>
      <c r="K714" s="23"/>
    </row>
    <row r="715" spans="1:11" x14ac:dyDescent="0.25">
      <c r="A715" s="4" t="str">
        <f>IFERROR(category_assignment_2[[#This Row],[category_assignment_id]],"")</f>
        <v/>
      </c>
      <c r="B715" s="23" t="str">
        <f>IFERROR(VLOOKUP(category_assignment_2[[#This Row],[category_id]],#REF!,3,FALSE),"")</f>
        <v/>
      </c>
      <c r="C715" s="23" t="str">
        <f>IFERROR(VLOOKUP(category_assignment_2[[#This Row],[abbreviation_id]],abbreviation[],ColumnLanguage+1,FALSE),"")</f>
        <v/>
      </c>
      <c r="D715" s="23"/>
      <c r="E715" s="23"/>
      <c r="F715" s="23"/>
      <c r="G715" s="23"/>
      <c r="H715" s="23"/>
      <c r="I715" s="23"/>
      <c r="J715" s="23"/>
      <c r="K715" s="23"/>
    </row>
    <row r="716" spans="1:11" x14ac:dyDescent="0.25">
      <c r="A716" s="4" t="str">
        <f>IFERROR(category_assignment_2[[#This Row],[category_assignment_id]],"")</f>
        <v/>
      </c>
      <c r="B716" s="23" t="str">
        <f>IFERROR(VLOOKUP(category_assignment_2[[#This Row],[category_id]],#REF!,3,FALSE),"")</f>
        <v/>
      </c>
      <c r="C716" s="23" t="str">
        <f>IFERROR(VLOOKUP(category_assignment_2[[#This Row],[abbreviation_id]],abbreviation[],ColumnLanguage+1,FALSE),"")</f>
        <v/>
      </c>
      <c r="D716" s="23"/>
      <c r="E716" s="23"/>
      <c r="F716" s="23"/>
      <c r="G716" s="23"/>
      <c r="H716" s="23"/>
      <c r="I716" s="23"/>
      <c r="J716" s="23"/>
      <c r="K716" s="23"/>
    </row>
    <row r="717" spans="1:11" x14ac:dyDescent="0.25">
      <c r="A717" s="4" t="str">
        <f>IFERROR(category_assignment_2[[#This Row],[category_assignment_id]],"")</f>
        <v/>
      </c>
      <c r="B717" s="23" t="str">
        <f>IFERROR(VLOOKUP(category_assignment_2[[#This Row],[category_id]],#REF!,3,FALSE),"")</f>
        <v/>
      </c>
      <c r="C717" s="23" t="str">
        <f>IFERROR(VLOOKUP(category_assignment_2[[#This Row],[abbreviation_id]],abbreviation[],ColumnLanguage+1,FALSE),"")</f>
        <v/>
      </c>
      <c r="D717" s="23"/>
      <c r="E717" s="23"/>
      <c r="F717" s="23"/>
      <c r="G717" s="23"/>
      <c r="H717" s="23"/>
      <c r="I717" s="23"/>
      <c r="J717" s="23"/>
      <c r="K717" s="23"/>
    </row>
    <row r="718" spans="1:11" x14ac:dyDescent="0.25">
      <c r="A718" s="4" t="str">
        <f>IFERROR(category_assignment_2[[#This Row],[category_assignment_id]],"")</f>
        <v/>
      </c>
      <c r="B718" s="23" t="str">
        <f>IFERROR(VLOOKUP(category_assignment_2[[#This Row],[category_id]],#REF!,3,FALSE),"")</f>
        <v/>
      </c>
      <c r="C718" s="23" t="str">
        <f>IFERROR(VLOOKUP(category_assignment_2[[#This Row],[abbreviation_id]],abbreviation[],ColumnLanguage+1,FALSE),"")</f>
        <v/>
      </c>
      <c r="D718" s="23"/>
      <c r="E718" s="23"/>
      <c r="F718" s="23"/>
      <c r="G718" s="23"/>
      <c r="H718" s="23"/>
      <c r="I718" s="23"/>
      <c r="J718" s="23"/>
      <c r="K718" s="23"/>
    </row>
    <row r="719" spans="1:11" x14ac:dyDescent="0.25">
      <c r="A719" s="4" t="str">
        <f>IFERROR(category_assignment_2[[#This Row],[category_assignment_id]],"")</f>
        <v/>
      </c>
      <c r="B719" s="23" t="str">
        <f>IFERROR(VLOOKUP(category_assignment_2[[#This Row],[category_id]],#REF!,3,FALSE),"")</f>
        <v/>
      </c>
      <c r="C719" s="23" t="str">
        <f>IFERROR(VLOOKUP(category_assignment_2[[#This Row],[abbreviation_id]],abbreviation[],ColumnLanguage+1,FALSE),"")</f>
        <v/>
      </c>
      <c r="D719" s="23"/>
      <c r="E719" s="23"/>
      <c r="F719" s="23"/>
      <c r="G719" s="23"/>
      <c r="H719" s="23"/>
      <c r="I719" s="23"/>
      <c r="J719" s="23"/>
      <c r="K719" s="23"/>
    </row>
    <row r="720" spans="1:11" x14ac:dyDescent="0.25">
      <c r="A720" s="4" t="str">
        <f>IFERROR(category_assignment_2[[#This Row],[category_assignment_id]],"")</f>
        <v/>
      </c>
      <c r="B720" s="23" t="str">
        <f>IFERROR(VLOOKUP(category_assignment_2[[#This Row],[category_id]],#REF!,3,FALSE),"")</f>
        <v/>
      </c>
      <c r="C720" s="23" t="str">
        <f>IFERROR(VLOOKUP(category_assignment_2[[#This Row],[abbreviation_id]],abbreviation[],ColumnLanguage+1,FALSE),"")</f>
        <v/>
      </c>
      <c r="D720" s="23"/>
      <c r="E720" s="23"/>
      <c r="F720" s="23"/>
      <c r="G720" s="23"/>
      <c r="H720" s="23"/>
      <c r="I720" s="23"/>
      <c r="J720" s="23"/>
      <c r="K720" s="23"/>
    </row>
    <row r="721" spans="1:11" x14ac:dyDescent="0.25">
      <c r="A721" s="4" t="str">
        <f>IFERROR(category_assignment_2[[#This Row],[category_assignment_id]],"")</f>
        <v/>
      </c>
      <c r="B721" s="23" t="str">
        <f>IFERROR(VLOOKUP(category_assignment_2[[#This Row],[category_id]],#REF!,3,FALSE),"")</f>
        <v/>
      </c>
      <c r="C721" s="23" t="str">
        <f>IFERROR(VLOOKUP(category_assignment_2[[#This Row],[abbreviation_id]],abbreviation[],ColumnLanguage+1,FALSE),"")</f>
        <v/>
      </c>
      <c r="D721" s="23"/>
      <c r="E721" s="23"/>
      <c r="F721" s="23"/>
      <c r="G721" s="23"/>
      <c r="H721" s="23"/>
      <c r="I721" s="23"/>
      <c r="J721" s="23"/>
      <c r="K721" s="23"/>
    </row>
    <row r="722" spans="1:11" x14ac:dyDescent="0.25">
      <c r="A722" s="4" t="str">
        <f>IFERROR(category_assignment_2[[#This Row],[category_assignment_id]],"")</f>
        <v/>
      </c>
      <c r="B722" s="23" t="str">
        <f>IFERROR(VLOOKUP(category_assignment_2[[#This Row],[category_id]],#REF!,3,FALSE),"")</f>
        <v/>
      </c>
      <c r="C722" s="23" t="str">
        <f>IFERROR(VLOOKUP(category_assignment_2[[#This Row],[abbreviation_id]],abbreviation[],ColumnLanguage+1,FALSE),"")</f>
        <v/>
      </c>
      <c r="D722" s="23"/>
      <c r="E722" s="23"/>
      <c r="F722" s="23"/>
      <c r="G722" s="23"/>
      <c r="H722" s="23"/>
      <c r="I722" s="23"/>
      <c r="J722" s="23"/>
      <c r="K722" s="23"/>
    </row>
    <row r="723" spans="1:11" x14ac:dyDescent="0.25">
      <c r="A723" s="4" t="str">
        <f>IFERROR(category_assignment_2[[#This Row],[category_assignment_id]],"")</f>
        <v/>
      </c>
      <c r="B723" s="23" t="str">
        <f>IFERROR(VLOOKUP(category_assignment_2[[#This Row],[category_id]],#REF!,3,FALSE),"")</f>
        <v/>
      </c>
      <c r="C723" s="23" t="str">
        <f>IFERROR(VLOOKUP(category_assignment_2[[#This Row],[abbreviation_id]],abbreviation[],ColumnLanguage+1,FALSE),"")</f>
        <v/>
      </c>
      <c r="D723" s="23"/>
      <c r="E723" s="23"/>
      <c r="F723" s="23"/>
      <c r="G723" s="23"/>
      <c r="H723" s="23"/>
      <c r="I723" s="23"/>
      <c r="J723" s="23"/>
      <c r="K723" s="23"/>
    </row>
    <row r="724" spans="1:11" x14ac:dyDescent="0.25">
      <c r="A724" s="4" t="str">
        <f>IFERROR(category_assignment_2[[#This Row],[category_assignment_id]],"")</f>
        <v/>
      </c>
      <c r="B724" s="23" t="str">
        <f>IFERROR(VLOOKUP(category_assignment_2[[#This Row],[category_id]],#REF!,3,FALSE),"")</f>
        <v/>
      </c>
      <c r="C724" s="23" t="str">
        <f>IFERROR(VLOOKUP(category_assignment_2[[#This Row],[abbreviation_id]],abbreviation[],ColumnLanguage+1,FALSE),"")</f>
        <v/>
      </c>
      <c r="D724" s="23"/>
      <c r="E724" s="23"/>
      <c r="F724" s="23"/>
      <c r="G724" s="23"/>
      <c r="H724" s="23"/>
      <c r="I724" s="23"/>
      <c r="J724" s="23"/>
      <c r="K724" s="23"/>
    </row>
    <row r="725" spans="1:11" x14ac:dyDescent="0.25">
      <c r="A725" s="4" t="str">
        <f>IFERROR(category_assignment_2[[#This Row],[category_assignment_id]],"")</f>
        <v/>
      </c>
      <c r="B725" s="23" t="str">
        <f>IFERROR(VLOOKUP(category_assignment_2[[#This Row],[category_id]],#REF!,3,FALSE),"")</f>
        <v/>
      </c>
      <c r="C725" s="23" t="str">
        <f>IFERROR(VLOOKUP(category_assignment_2[[#This Row],[abbreviation_id]],abbreviation[],ColumnLanguage+1,FALSE),"")</f>
        <v/>
      </c>
      <c r="D725" s="23"/>
      <c r="E725" s="23"/>
      <c r="F725" s="23"/>
      <c r="G725" s="23"/>
      <c r="H725" s="23"/>
      <c r="I725" s="23"/>
      <c r="J725" s="23"/>
      <c r="K725" s="23"/>
    </row>
    <row r="726" spans="1:11" x14ac:dyDescent="0.25">
      <c r="A726" s="4" t="str">
        <f>IFERROR(category_assignment_2[[#This Row],[category_assignment_id]],"")</f>
        <v/>
      </c>
      <c r="B726" s="23" t="str">
        <f>IFERROR(VLOOKUP(category_assignment_2[[#This Row],[category_id]],#REF!,3,FALSE),"")</f>
        <v/>
      </c>
      <c r="C726" s="23" t="str">
        <f>IFERROR(VLOOKUP(category_assignment_2[[#This Row],[abbreviation_id]],abbreviation[],ColumnLanguage+1,FALSE),"")</f>
        <v/>
      </c>
      <c r="D726" s="23"/>
      <c r="E726" s="23"/>
      <c r="F726" s="23"/>
      <c r="G726" s="23"/>
      <c r="H726" s="23"/>
      <c r="I726" s="23"/>
      <c r="J726" s="23"/>
      <c r="K726" s="23"/>
    </row>
    <row r="727" spans="1:11" x14ac:dyDescent="0.25">
      <c r="A727" s="4" t="str">
        <f>IFERROR(category_assignment_2[[#This Row],[category_assignment_id]],"")</f>
        <v/>
      </c>
      <c r="B727" s="23" t="str">
        <f>IFERROR(VLOOKUP(category_assignment_2[[#This Row],[category_id]],#REF!,3,FALSE),"")</f>
        <v/>
      </c>
      <c r="C727" s="23" t="str">
        <f>IFERROR(VLOOKUP(category_assignment_2[[#This Row],[abbreviation_id]],abbreviation[],ColumnLanguage+1,FALSE),"")</f>
        <v/>
      </c>
      <c r="D727" s="23"/>
      <c r="E727" s="23"/>
      <c r="F727" s="23"/>
      <c r="G727" s="23"/>
      <c r="H727" s="23"/>
      <c r="I727" s="23"/>
      <c r="J727" s="23"/>
      <c r="K727" s="23"/>
    </row>
    <row r="728" spans="1:11" x14ac:dyDescent="0.25">
      <c r="A728" s="4" t="str">
        <f>IFERROR(category_assignment_2[[#This Row],[category_assignment_id]],"")</f>
        <v/>
      </c>
      <c r="B728" s="23" t="str">
        <f>IFERROR(VLOOKUP(category_assignment_2[[#This Row],[category_id]],#REF!,3,FALSE),"")</f>
        <v/>
      </c>
      <c r="C728" s="23" t="str">
        <f>IFERROR(VLOOKUP(category_assignment_2[[#This Row],[abbreviation_id]],abbreviation[],ColumnLanguage+1,FALSE),"")</f>
        <v/>
      </c>
      <c r="D728" s="23"/>
      <c r="E728" s="23"/>
      <c r="F728" s="23"/>
      <c r="G728" s="23"/>
      <c r="H728" s="23"/>
      <c r="I728" s="23"/>
      <c r="J728" s="23"/>
      <c r="K728" s="23"/>
    </row>
    <row r="729" spans="1:11" x14ac:dyDescent="0.25">
      <c r="A729" s="4" t="str">
        <f>IFERROR(category_assignment_2[[#This Row],[category_assignment_id]],"")</f>
        <v/>
      </c>
      <c r="B729" s="23" t="str">
        <f>IFERROR(VLOOKUP(category_assignment_2[[#This Row],[category_id]],#REF!,3,FALSE),"")</f>
        <v/>
      </c>
      <c r="C729" s="23" t="str">
        <f>IFERROR(VLOOKUP(category_assignment_2[[#This Row],[abbreviation_id]],abbreviation[],ColumnLanguage+1,FALSE),"")</f>
        <v/>
      </c>
      <c r="D729" s="23"/>
      <c r="E729" s="23"/>
      <c r="F729" s="23"/>
      <c r="G729" s="23"/>
      <c r="H729" s="23"/>
      <c r="I729" s="23"/>
      <c r="J729" s="23"/>
      <c r="K729" s="23"/>
    </row>
    <row r="730" spans="1:11" x14ac:dyDescent="0.25">
      <c r="A730" s="4" t="str">
        <f>IFERROR(category_assignment_2[[#This Row],[category_assignment_id]],"")</f>
        <v/>
      </c>
      <c r="B730" s="23" t="str">
        <f>IFERROR(VLOOKUP(category_assignment_2[[#This Row],[category_id]],#REF!,3,FALSE),"")</f>
        <v/>
      </c>
      <c r="C730" s="23" t="str">
        <f>IFERROR(VLOOKUP(category_assignment_2[[#This Row],[abbreviation_id]],abbreviation[],ColumnLanguage+1,FALSE),"")</f>
        <v/>
      </c>
      <c r="D730" s="23"/>
      <c r="E730" s="23"/>
      <c r="F730" s="23"/>
      <c r="G730" s="23"/>
      <c r="H730" s="23"/>
      <c r="I730" s="23"/>
      <c r="J730" s="23"/>
      <c r="K730" s="23"/>
    </row>
    <row r="731" spans="1:11" x14ac:dyDescent="0.25">
      <c r="A731" s="4" t="str">
        <f>IFERROR(category_assignment_2[[#This Row],[category_assignment_id]],"")</f>
        <v/>
      </c>
      <c r="B731" s="23" t="str">
        <f>IFERROR(VLOOKUP(category_assignment_2[[#This Row],[category_id]],#REF!,3,FALSE),"")</f>
        <v/>
      </c>
      <c r="C731" s="23" t="str">
        <f>IFERROR(VLOOKUP(category_assignment_2[[#This Row],[abbreviation_id]],abbreviation[],ColumnLanguage+1,FALSE),"")</f>
        <v/>
      </c>
      <c r="D731" s="23"/>
      <c r="E731" s="23"/>
      <c r="F731" s="23"/>
      <c r="G731" s="23"/>
      <c r="H731" s="23"/>
      <c r="I731" s="23"/>
      <c r="J731" s="23"/>
      <c r="K731" s="23"/>
    </row>
    <row r="732" spans="1:11" x14ac:dyDescent="0.25">
      <c r="A732" s="4" t="str">
        <f>IFERROR(category_assignment_2[[#This Row],[category_assignment_id]],"")</f>
        <v/>
      </c>
      <c r="B732" s="23" t="str">
        <f>IFERROR(VLOOKUP(category_assignment_2[[#This Row],[category_id]],#REF!,3,FALSE),"")</f>
        <v/>
      </c>
      <c r="C732" s="23" t="str">
        <f>IFERROR(VLOOKUP(category_assignment_2[[#This Row],[abbreviation_id]],abbreviation[],ColumnLanguage+1,FALSE),"")</f>
        <v/>
      </c>
      <c r="D732" s="23"/>
      <c r="E732" s="23"/>
      <c r="F732" s="23"/>
      <c r="G732" s="23"/>
      <c r="H732" s="23"/>
      <c r="I732" s="23"/>
      <c r="J732" s="23"/>
      <c r="K732" s="23"/>
    </row>
    <row r="733" spans="1:11" x14ac:dyDescent="0.25">
      <c r="A733" s="4" t="str">
        <f>IFERROR(category_assignment_2[[#This Row],[category_assignment_id]],"")</f>
        <v/>
      </c>
      <c r="B733" s="23" t="str">
        <f>IFERROR(VLOOKUP(category_assignment_2[[#This Row],[category_id]],#REF!,3,FALSE),"")</f>
        <v/>
      </c>
      <c r="C733" s="23" t="str">
        <f>IFERROR(VLOOKUP(category_assignment_2[[#This Row],[abbreviation_id]],abbreviation[],ColumnLanguage+1,FALSE),"")</f>
        <v/>
      </c>
      <c r="D733" s="23"/>
      <c r="E733" s="23"/>
      <c r="F733" s="23"/>
      <c r="G733" s="23"/>
      <c r="H733" s="23"/>
      <c r="I733" s="23"/>
      <c r="J733" s="23"/>
      <c r="K733" s="23"/>
    </row>
    <row r="734" spans="1:11" x14ac:dyDescent="0.25">
      <c r="A734" s="4" t="str">
        <f>IFERROR(category_assignment_2[[#This Row],[category_assignment_id]],"")</f>
        <v/>
      </c>
      <c r="B734" s="23" t="str">
        <f>IFERROR(VLOOKUP(category_assignment_2[[#This Row],[category_id]],#REF!,3,FALSE),"")</f>
        <v/>
      </c>
      <c r="C734" s="23" t="str">
        <f>IFERROR(VLOOKUP(category_assignment_2[[#This Row],[abbreviation_id]],abbreviation[],ColumnLanguage+1,FALSE),"")</f>
        <v/>
      </c>
      <c r="D734" s="23"/>
      <c r="E734" s="23"/>
      <c r="F734" s="23"/>
      <c r="G734" s="23"/>
      <c r="H734" s="23"/>
      <c r="I734" s="23"/>
      <c r="J734" s="23"/>
      <c r="K734" s="23"/>
    </row>
    <row r="735" spans="1:11" x14ac:dyDescent="0.25">
      <c r="A735" s="4" t="str">
        <f>IFERROR(category_assignment_2[[#This Row],[category_assignment_id]],"")</f>
        <v/>
      </c>
      <c r="B735" s="23" t="str">
        <f>IFERROR(VLOOKUP(category_assignment_2[[#This Row],[category_id]],#REF!,3,FALSE),"")</f>
        <v/>
      </c>
      <c r="C735" s="23" t="str">
        <f>IFERROR(VLOOKUP(category_assignment_2[[#This Row],[abbreviation_id]],abbreviation[],ColumnLanguage+1,FALSE),"")</f>
        <v/>
      </c>
      <c r="D735" s="23"/>
      <c r="E735" s="23"/>
      <c r="F735" s="23"/>
      <c r="G735" s="23"/>
      <c r="H735" s="23"/>
      <c r="I735" s="23"/>
      <c r="J735" s="23"/>
      <c r="K735" s="23"/>
    </row>
    <row r="736" spans="1:11" x14ac:dyDescent="0.25">
      <c r="A736" s="4" t="str">
        <f>IFERROR(category_assignment_2[[#This Row],[category_assignment_id]],"")</f>
        <v/>
      </c>
      <c r="B736" s="23" t="str">
        <f>IFERROR(VLOOKUP(category_assignment_2[[#This Row],[category_id]],#REF!,3,FALSE),"")</f>
        <v/>
      </c>
      <c r="C736" s="23" t="str">
        <f>IFERROR(VLOOKUP(category_assignment_2[[#This Row],[abbreviation_id]],abbreviation[],ColumnLanguage+1,FALSE),"")</f>
        <v/>
      </c>
      <c r="D736" s="23"/>
      <c r="E736" s="23"/>
      <c r="F736" s="23"/>
      <c r="G736" s="23"/>
      <c r="H736" s="23"/>
      <c r="I736" s="23"/>
      <c r="J736" s="23"/>
      <c r="K736" s="23"/>
    </row>
    <row r="737" spans="1:11" x14ac:dyDescent="0.25">
      <c r="A737" s="4" t="str">
        <f>IFERROR(category_assignment_2[[#This Row],[category_assignment_id]],"")</f>
        <v/>
      </c>
      <c r="B737" s="23" t="str">
        <f>IFERROR(VLOOKUP(category_assignment_2[[#This Row],[category_id]],#REF!,3,FALSE),"")</f>
        <v/>
      </c>
      <c r="C737" s="23" t="str">
        <f>IFERROR(VLOOKUP(category_assignment_2[[#This Row],[abbreviation_id]],abbreviation[],ColumnLanguage+1,FALSE),"")</f>
        <v/>
      </c>
      <c r="D737" s="23"/>
      <c r="E737" s="23"/>
      <c r="F737" s="23"/>
      <c r="G737" s="23"/>
      <c r="H737" s="23"/>
      <c r="I737" s="23"/>
      <c r="J737" s="23"/>
      <c r="K737" s="23"/>
    </row>
    <row r="738" spans="1:11" x14ac:dyDescent="0.25">
      <c r="A738" s="4" t="str">
        <f>IFERROR(category_assignment_2[[#This Row],[category_assignment_id]],"")</f>
        <v/>
      </c>
      <c r="B738" s="23" t="str">
        <f>IFERROR(VLOOKUP(category_assignment_2[[#This Row],[category_id]],#REF!,3,FALSE),"")</f>
        <v/>
      </c>
      <c r="C738" s="23" t="str">
        <f>IFERROR(VLOOKUP(category_assignment_2[[#This Row],[abbreviation_id]],abbreviation[],ColumnLanguage+1,FALSE),"")</f>
        <v/>
      </c>
      <c r="D738" s="23"/>
      <c r="E738" s="23"/>
      <c r="F738" s="23"/>
      <c r="G738" s="23"/>
      <c r="H738" s="23"/>
      <c r="I738" s="23"/>
      <c r="J738" s="23"/>
      <c r="K738" s="23"/>
    </row>
    <row r="739" spans="1:11" x14ac:dyDescent="0.25">
      <c r="A739" s="4" t="str">
        <f>IFERROR(category_assignment_2[[#This Row],[category_assignment_id]],"")</f>
        <v/>
      </c>
      <c r="B739" s="23" t="str">
        <f>IFERROR(VLOOKUP(category_assignment_2[[#This Row],[category_id]],#REF!,3,FALSE),"")</f>
        <v/>
      </c>
      <c r="C739" s="23" t="str">
        <f>IFERROR(VLOOKUP(category_assignment_2[[#This Row],[abbreviation_id]],abbreviation[],ColumnLanguage+1,FALSE),"")</f>
        <v/>
      </c>
      <c r="D739" s="23"/>
      <c r="E739" s="23"/>
      <c r="F739" s="23"/>
      <c r="G739" s="23"/>
      <c r="H739" s="23"/>
      <c r="I739" s="23"/>
      <c r="J739" s="23"/>
      <c r="K739" s="23"/>
    </row>
    <row r="740" spans="1:11" x14ac:dyDescent="0.25">
      <c r="A740" s="4" t="str">
        <f>IFERROR(category_assignment_2[[#This Row],[category_assignment_id]],"")</f>
        <v/>
      </c>
      <c r="B740" s="23" t="str">
        <f>IFERROR(VLOOKUP(category_assignment_2[[#This Row],[category_id]],#REF!,3,FALSE),"")</f>
        <v/>
      </c>
      <c r="C740" s="23" t="str">
        <f>IFERROR(VLOOKUP(category_assignment_2[[#This Row],[abbreviation_id]],abbreviation[],ColumnLanguage+1,FALSE),"")</f>
        <v/>
      </c>
      <c r="D740" s="23"/>
      <c r="E740" s="23"/>
      <c r="F740" s="23"/>
      <c r="G740" s="23"/>
      <c r="H740" s="23"/>
      <c r="I740" s="23"/>
      <c r="J740" s="23"/>
      <c r="K740" s="23"/>
    </row>
    <row r="741" spans="1:11" x14ac:dyDescent="0.25">
      <c r="A741" s="4" t="str">
        <f>IFERROR(category_assignment_2[[#This Row],[category_assignment_id]],"")</f>
        <v/>
      </c>
      <c r="B741" s="23" t="str">
        <f>IFERROR(VLOOKUP(category_assignment_2[[#This Row],[category_id]],#REF!,3,FALSE),"")</f>
        <v/>
      </c>
      <c r="C741" s="23" t="str">
        <f>IFERROR(VLOOKUP(category_assignment_2[[#This Row],[abbreviation_id]],abbreviation[],ColumnLanguage+1,FALSE),"")</f>
        <v/>
      </c>
      <c r="D741" s="23"/>
      <c r="E741" s="23"/>
      <c r="F741" s="23"/>
      <c r="G741" s="23"/>
      <c r="H741" s="23"/>
      <c r="I741" s="23"/>
      <c r="J741" s="23"/>
      <c r="K741" s="23"/>
    </row>
    <row r="742" spans="1:11" x14ac:dyDescent="0.25">
      <c r="A742" s="4" t="str">
        <f>IFERROR(category_assignment_2[[#This Row],[category_assignment_id]],"")</f>
        <v/>
      </c>
      <c r="B742" s="23" t="str">
        <f>IFERROR(VLOOKUP(category_assignment_2[[#This Row],[category_id]],#REF!,3,FALSE),"")</f>
        <v/>
      </c>
      <c r="C742" s="23" t="str">
        <f>IFERROR(VLOOKUP(category_assignment_2[[#This Row],[abbreviation_id]],abbreviation[],ColumnLanguage+1,FALSE),"")</f>
        <v/>
      </c>
      <c r="D742" s="23"/>
      <c r="E742" s="23"/>
      <c r="F742" s="23"/>
      <c r="G742" s="23"/>
      <c r="H742" s="23"/>
      <c r="I742" s="23"/>
      <c r="J742" s="23"/>
      <c r="K742" s="23"/>
    </row>
    <row r="743" spans="1:11" x14ac:dyDescent="0.25">
      <c r="A743" s="4" t="str">
        <f>IFERROR(category_assignment_2[[#This Row],[category_assignment_id]],"")</f>
        <v/>
      </c>
      <c r="B743" s="23" t="str">
        <f>IFERROR(VLOOKUP(category_assignment_2[[#This Row],[category_id]],#REF!,3,FALSE),"")</f>
        <v/>
      </c>
      <c r="C743" s="23" t="str">
        <f>IFERROR(VLOOKUP(category_assignment_2[[#This Row],[abbreviation_id]],abbreviation[],ColumnLanguage+1,FALSE),"")</f>
        <v/>
      </c>
      <c r="D743" s="23"/>
      <c r="E743" s="23"/>
      <c r="F743" s="23"/>
      <c r="G743" s="23"/>
      <c r="H743" s="23"/>
      <c r="I743" s="23"/>
      <c r="J743" s="23"/>
      <c r="K743" s="23"/>
    </row>
    <row r="744" spans="1:11" x14ac:dyDescent="0.25">
      <c r="A744" s="4" t="str">
        <f>IFERROR(category_assignment_2[[#This Row],[category_assignment_id]],"")</f>
        <v/>
      </c>
      <c r="B744" s="23" t="str">
        <f>IFERROR(VLOOKUP(category_assignment_2[[#This Row],[category_id]],#REF!,3,FALSE),"")</f>
        <v/>
      </c>
      <c r="C744" s="23" t="str">
        <f>IFERROR(VLOOKUP(category_assignment_2[[#This Row],[abbreviation_id]],abbreviation[],ColumnLanguage+1,FALSE),"")</f>
        <v/>
      </c>
      <c r="D744" s="23"/>
      <c r="E744" s="23"/>
      <c r="F744" s="23"/>
      <c r="G744" s="23"/>
      <c r="H744" s="23"/>
      <c r="I744" s="23"/>
      <c r="J744" s="23"/>
      <c r="K744" s="23"/>
    </row>
    <row r="745" spans="1:11" x14ac:dyDescent="0.25">
      <c r="A745" s="4" t="str">
        <f>IFERROR(category_assignment_2[[#This Row],[category_assignment_id]],"")</f>
        <v/>
      </c>
      <c r="B745" s="23" t="str">
        <f>IFERROR(VLOOKUP(category_assignment_2[[#This Row],[category_id]],#REF!,3,FALSE),"")</f>
        <v/>
      </c>
      <c r="C745" s="23" t="str">
        <f>IFERROR(VLOOKUP(category_assignment_2[[#This Row],[abbreviation_id]],abbreviation[],ColumnLanguage+1,FALSE),"")</f>
        <v/>
      </c>
      <c r="D745" s="23"/>
      <c r="E745" s="23"/>
      <c r="F745" s="23"/>
      <c r="G745" s="23"/>
      <c r="H745" s="23"/>
      <c r="I745" s="23"/>
      <c r="J745" s="23"/>
      <c r="K745" s="23"/>
    </row>
    <row r="746" spans="1:11" x14ac:dyDescent="0.25">
      <c r="A746" s="4" t="str">
        <f>IFERROR(category_assignment_2[[#This Row],[category_assignment_id]],"")</f>
        <v/>
      </c>
      <c r="B746" s="23" t="str">
        <f>IFERROR(VLOOKUP(category_assignment_2[[#This Row],[category_id]],#REF!,3,FALSE),"")</f>
        <v/>
      </c>
      <c r="C746" s="23" t="str">
        <f>IFERROR(VLOOKUP(category_assignment_2[[#This Row],[abbreviation_id]],abbreviation[],ColumnLanguage+1,FALSE),"")</f>
        <v/>
      </c>
      <c r="D746" s="23"/>
      <c r="E746" s="23"/>
      <c r="F746" s="23"/>
      <c r="G746" s="23"/>
      <c r="H746" s="23"/>
      <c r="I746" s="23"/>
      <c r="J746" s="23"/>
      <c r="K746" s="23"/>
    </row>
    <row r="747" spans="1:11" x14ac:dyDescent="0.25">
      <c r="A747" s="4" t="str">
        <f>IFERROR(category_assignment_2[[#This Row],[category_assignment_id]],"")</f>
        <v/>
      </c>
      <c r="B747" s="23" t="str">
        <f>IFERROR(VLOOKUP(category_assignment_2[[#This Row],[category_id]],#REF!,3,FALSE),"")</f>
        <v/>
      </c>
      <c r="C747" s="23" t="str">
        <f>IFERROR(VLOOKUP(category_assignment_2[[#This Row],[abbreviation_id]],abbreviation[],ColumnLanguage+1,FALSE),"")</f>
        <v/>
      </c>
      <c r="D747" s="23"/>
      <c r="E747" s="23"/>
      <c r="F747" s="23"/>
      <c r="G747" s="23"/>
      <c r="H747" s="23"/>
      <c r="I747" s="23"/>
      <c r="J747" s="23"/>
      <c r="K747" s="23"/>
    </row>
    <row r="748" spans="1:11" x14ac:dyDescent="0.25">
      <c r="A748" s="4" t="str">
        <f>IFERROR(category_assignment_2[[#This Row],[category_assignment_id]],"")</f>
        <v/>
      </c>
      <c r="B748" s="23" t="str">
        <f>IFERROR(VLOOKUP(category_assignment_2[[#This Row],[category_id]],#REF!,3,FALSE),"")</f>
        <v/>
      </c>
      <c r="C748" s="23" t="str">
        <f>IFERROR(VLOOKUP(category_assignment_2[[#This Row],[abbreviation_id]],abbreviation[],ColumnLanguage+1,FALSE),"")</f>
        <v/>
      </c>
      <c r="D748" s="23"/>
      <c r="E748" s="23"/>
      <c r="F748" s="23"/>
      <c r="G748" s="23"/>
      <c r="H748" s="23"/>
      <c r="I748" s="23"/>
      <c r="J748" s="23"/>
      <c r="K748" s="23"/>
    </row>
    <row r="749" spans="1:11" x14ac:dyDescent="0.25">
      <c r="A749" s="4" t="str">
        <f>IFERROR(category_assignment_2[[#This Row],[category_assignment_id]],"")</f>
        <v/>
      </c>
      <c r="B749" s="23" t="str">
        <f>IFERROR(VLOOKUP(category_assignment_2[[#This Row],[category_id]],#REF!,3,FALSE),"")</f>
        <v/>
      </c>
      <c r="C749" s="23" t="str">
        <f>IFERROR(VLOOKUP(category_assignment_2[[#This Row],[abbreviation_id]],abbreviation[],ColumnLanguage+1,FALSE),"")</f>
        <v/>
      </c>
      <c r="D749" s="23"/>
      <c r="E749" s="23"/>
      <c r="F749" s="23"/>
      <c r="G749" s="23"/>
      <c r="H749" s="23"/>
      <c r="I749" s="23"/>
      <c r="J749" s="23"/>
      <c r="K749" s="23"/>
    </row>
    <row r="750" spans="1:11" x14ac:dyDescent="0.25">
      <c r="A750" s="4" t="str">
        <f>IFERROR(category_assignment_2[[#This Row],[category_assignment_id]],"")</f>
        <v/>
      </c>
      <c r="B750" s="23" t="str">
        <f>IFERROR(VLOOKUP(category_assignment_2[[#This Row],[category_id]],#REF!,3,FALSE),"")</f>
        <v/>
      </c>
      <c r="C750" s="23" t="str">
        <f>IFERROR(VLOOKUP(category_assignment_2[[#This Row],[abbreviation_id]],abbreviation[],ColumnLanguage+1,FALSE),"")</f>
        <v/>
      </c>
      <c r="D750" s="23"/>
      <c r="E750" s="23"/>
      <c r="F750" s="23"/>
      <c r="G750" s="23"/>
      <c r="H750" s="23"/>
      <c r="I750" s="23"/>
      <c r="J750" s="23"/>
      <c r="K750" s="23"/>
    </row>
    <row r="751" spans="1:11" x14ac:dyDescent="0.25">
      <c r="A751" s="4" t="str">
        <f>IFERROR(category_assignment_2[[#This Row],[category_assignment_id]],"")</f>
        <v/>
      </c>
      <c r="B751" s="23" t="str">
        <f>IFERROR(VLOOKUP(category_assignment_2[[#This Row],[category_id]],#REF!,3,FALSE),"")</f>
        <v/>
      </c>
      <c r="C751" s="23" t="str">
        <f>IFERROR(VLOOKUP(category_assignment_2[[#This Row],[abbreviation_id]],abbreviation[],ColumnLanguage+1,FALSE),"")</f>
        <v/>
      </c>
      <c r="D751" s="23"/>
      <c r="E751" s="23"/>
      <c r="F751" s="23"/>
      <c r="G751" s="23"/>
      <c r="H751" s="23"/>
      <c r="I751" s="23"/>
      <c r="J751" s="23"/>
      <c r="K751" s="23"/>
    </row>
    <row r="752" spans="1:11" x14ac:dyDescent="0.25">
      <c r="A752" s="4" t="str">
        <f>IFERROR(category_assignment_2[[#This Row],[category_assignment_id]],"")</f>
        <v/>
      </c>
      <c r="B752" s="23" t="str">
        <f>IFERROR(VLOOKUP(category_assignment_2[[#This Row],[category_id]],#REF!,3,FALSE),"")</f>
        <v/>
      </c>
      <c r="C752" s="23" t="str">
        <f>IFERROR(VLOOKUP(category_assignment_2[[#This Row],[abbreviation_id]],abbreviation[],ColumnLanguage+1,FALSE),"")</f>
        <v/>
      </c>
      <c r="D752" s="23"/>
      <c r="E752" s="23"/>
      <c r="F752" s="23"/>
      <c r="G752" s="23"/>
      <c r="H752" s="23"/>
      <c r="I752" s="23"/>
      <c r="J752" s="23"/>
      <c r="K752" s="23"/>
    </row>
    <row r="753" spans="1:11" x14ac:dyDescent="0.25">
      <c r="A753" s="4" t="str">
        <f>IFERROR(category_assignment_2[[#This Row],[category_assignment_id]],"")</f>
        <v/>
      </c>
      <c r="B753" s="23" t="str">
        <f>IFERROR(VLOOKUP(category_assignment_2[[#This Row],[category_id]],#REF!,3,FALSE),"")</f>
        <v/>
      </c>
      <c r="C753" s="23" t="str">
        <f>IFERROR(VLOOKUP(category_assignment_2[[#This Row],[abbreviation_id]],abbreviation[],ColumnLanguage+1,FALSE),"")</f>
        <v/>
      </c>
      <c r="D753" s="23"/>
      <c r="E753" s="23"/>
      <c r="F753" s="23"/>
      <c r="G753" s="23"/>
      <c r="H753" s="23"/>
      <c r="I753" s="23"/>
      <c r="J753" s="23"/>
      <c r="K753" s="23"/>
    </row>
    <row r="754" spans="1:11" x14ac:dyDescent="0.25">
      <c r="A754" s="4" t="str">
        <f>IFERROR(category_assignment_2[[#This Row],[category_assignment_id]],"")</f>
        <v/>
      </c>
      <c r="B754" s="23" t="str">
        <f>IFERROR(VLOOKUP(category_assignment_2[[#This Row],[category_id]],#REF!,3,FALSE),"")</f>
        <v/>
      </c>
      <c r="C754" s="23" t="str">
        <f>IFERROR(VLOOKUP(category_assignment_2[[#This Row],[abbreviation_id]],abbreviation[],ColumnLanguage+1,FALSE),"")</f>
        <v/>
      </c>
      <c r="D754" s="23"/>
      <c r="E754" s="23"/>
      <c r="F754" s="23"/>
      <c r="G754" s="23"/>
      <c r="H754" s="23"/>
      <c r="I754" s="23"/>
      <c r="J754" s="23"/>
      <c r="K754" s="23"/>
    </row>
    <row r="755" spans="1:11" x14ac:dyDescent="0.25">
      <c r="A755" s="4" t="str">
        <f>IFERROR(category_assignment_2[[#This Row],[category_assignment_id]],"")</f>
        <v/>
      </c>
      <c r="B755" s="23" t="str">
        <f>IFERROR(VLOOKUP(category_assignment_2[[#This Row],[category_id]],#REF!,3,FALSE),"")</f>
        <v/>
      </c>
      <c r="C755" s="23" t="str">
        <f>IFERROR(VLOOKUP(category_assignment_2[[#This Row],[abbreviation_id]],abbreviation[],ColumnLanguage+1,FALSE),"")</f>
        <v/>
      </c>
      <c r="D755" s="23"/>
      <c r="E755" s="23"/>
      <c r="F755" s="23"/>
      <c r="G755" s="23"/>
      <c r="H755" s="23"/>
      <c r="I755" s="23"/>
      <c r="J755" s="23"/>
      <c r="K755" s="23"/>
    </row>
    <row r="756" spans="1:11" x14ac:dyDescent="0.25">
      <c r="A756" s="4" t="str">
        <f>IFERROR(category_assignment_2[[#This Row],[category_assignment_id]],"")</f>
        <v/>
      </c>
      <c r="B756" s="23" t="str">
        <f>IFERROR(VLOOKUP(category_assignment_2[[#This Row],[category_id]],#REF!,3,FALSE),"")</f>
        <v/>
      </c>
      <c r="C756" s="23" t="str">
        <f>IFERROR(VLOOKUP(category_assignment_2[[#This Row],[abbreviation_id]],abbreviation[],ColumnLanguage+1,FALSE),"")</f>
        <v/>
      </c>
      <c r="D756" s="23"/>
      <c r="E756" s="23"/>
      <c r="F756" s="23"/>
      <c r="G756" s="23"/>
      <c r="H756" s="23"/>
      <c r="I756" s="23"/>
      <c r="J756" s="23"/>
      <c r="K756" s="23"/>
    </row>
    <row r="757" spans="1:11" x14ac:dyDescent="0.25">
      <c r="A757" s="4" t="str">
        <f>IFERROR(category_assignment_2[[#This Row],[category_assignment_id]],"")</f>
        <v/>
      </c>
      <c r="B757" s="23" t="str">
        <f>IFERROR(VLOOKUP(category_assignment_2[[#This Row],[category_id]],#REF!,3,FALSE),"")</f>
        <v/>
      </c>
      <c r="C757" s="23" t="str">
        <f>IFERROR(VLOOKUP(category_assignment_2[[#This Row],[abbreviation_id]],abbreviation[],ColumnLanguage+1,FALSE),"")</f>
        <v/>
      </c>
      <c r="D757" s="23"/>
      <c r="E757" s="23"/>
      <c r="F757" s="23"/>
      <c r="G757" s="23"/>
      <c r="H757" s="23"/>
      <c r="I757" s="23"/>
      <c r="J757" s="23"/>
      <c r="K757" s="23"/>
    </row>
    <row r="758" spans="1:11" x14ac:dyDescent="0.25">
      <c r="A758" s="4" t="str">
        <f>IFERROR(category_assignment_2[[#This Row],[category_assignment_id]],"")</f>
        <v/>
      </c>
      <c r="B758" s="23" t="str">
        <f>IFERROR(VLOOKUP(category_assignment_2[[#This Row],[category_id]],#REF!,3,FALSE),"")</f>
        <v/>
      </c>
      <c r="C758" s="23" t="str">
        <f>IFERROR(VLOOKUP(category_assignment_2[[#This Row],[abbreviation_id]],abbreviation[],ColumnLanguage+1,FALSE),"")</f>
        <v/>
      </c>
      <c r="D758" s="23"/>
      <c r="E758" s="23"/>
      <c r="F758" s="23"/>
      <c r="G758" s="23"/>
      <c r="H758" s="23"/>
      <c r="I758" s="23"/>
      <c r="J758" s="23"/>
      <c r="K758" s="23"/>
    </row>
    <row r="759" spans="1:11" x14ac:dyDescent="0.25">
      <c r="A759" s="4" t="str">
        <f>IFERROR(category_assignment_2[[#This Row],[category_assignment_id]],"")</f>
        <v/>
      </c>
      <c r="B759" s="23" t="str">
        <f>IFERROR(VLOOKUP(category_assignment_2[[#This Row],[category_id]],#REF!,3,FALSE),"")</f>
        <v/>
      </c>
      <c r="C759" s="23" t="str">
        <f>IFERROR(VLOOKUP(category_assignment_2[[#This Row],[abbreviation_id]],abbreviation[],ColumnLanguage+1,FALSE),"")</f>
        <v/>
      </c>
      <c r="D759" s="23"/>
      <c r="E759" s="23"/>
      <c r="F759" s="23"/>
      <c r="G759" s="23"/>
      <c r="H759" s="23"/>
      <c r="I759" s="23"/>
      <c r="J759" s="23"/>
      <c r="K759" s="23"/>
    </row>
    <row r="760" spans="1:11" x14ac:dyDescent="0.25">
      <c r="A760" s="4" t="str">
        <f>IFERROR(category_assignment_2[[#This Row],[category_assignment_id]],"")</f>
        <v/>
      </c>
      <c r="B760" s="23" t="str">
        <f>IFERROR(VLOOKUP(category_assignment_2[[#This Row],[category_id]],#REF!,3,FALSE),"")</f>
        <v/>
      </c>
      <c r="C760" s="23" t="str">
        <f>IFERROR(VLOOKUP(category_assignment_2[[#This Row],[abbreviation_id]],abbreviation[],ColumnLanguage+1,FALSE),"")</f>
        <v/>
      </c>
      <c r="D760" s="23"/>
      <c r="E760" s="23"/>
      <c r="F760" s="23"/>
      <c r="G760" s="23"/>
      <c r="H760" s="23"/>
      <c r="I760" s="23"/>
      <c r="J760" s="23"/>
      <c r="K760" s="23"/>
    </row>
    <row r="761" spans="1:11" x14ac:dyDescent="0.25">
      <c r="A761" s="4" t="str">
        <f>IFERROR(category_assignment_2[[#This Row],[category_assignment_id]],"")</f>
        <v/>
      </c>
      <c r="B761" s="23" t="str">
        <f>IFERROR(VLOOKUP(category_assignment_2[[#This Row],[category_id]],#REF!,3,FALSE),"")</f>
        <v/>
      </c>
      <c r="C761" s="23" t="str">
        <f>IFERROR(VLOOKUP(category_assignment_2[[#This Row],[abbreviation_id]],abbreviation[],ColumnLanguage+1,FALSE),"")</f>
        <v/>
      </c>
      <c r="D761" s="23"/>
      <c r="E761" s="23"/>
      <c r="F761" s="23"/>
      <c r="G761" s="23"/>
      <c r="H761" s="23"/>
      <c r="I761" s="23"/>
      <c r="J761" s="23"/>
      <c r="K761" s="23"/>
    </row>
    <row r="762" spans="1:11" x14ac:dyDescent="0.25">
      <c r="A762" s="4" t="str">
        <f>IFERROR(category_assignment_2[[#This Row],[category_assignment_id]],"")</f>
        <v/>
      </c>
      <c r="B762" s="23" t="str">
        <f>IFERROR(VLOOKUP(category_assignment_2[[#This Row],[category_id]],#REF!,3,FALSE),"")</f>
        <v/>
      </c>
      <c r="C762" s="23" t="str">
        <f>IFERROR(VLOOKUP(category_assignment_2[[#This Row],[abbreviation_id]],abbreviation[],ColumnLanguage+1,FALSE),"")</f>
        <v/>
      </c>
      <c r="D762" s="23"/>
      <c r="E762" s="23"/>
      <c r="F762" s="23"/>
      <c r="G762" s="23"/>
      <c r="H762" s="23"/>
      <c r="I762" s="23"/>
      <c r="J762" s="23"/>
      <c r="K762" s="23"/>
    </row>
    <row r="763" spans="1:11" x14ac:dyDescent="0.25">
      <c r="A763" s="4" t="str">
        <f>IFERROR(category_assignment_2[[#This Row],[category_assignment_id]],"")</f>
        <v/>
      </c>
      <c r="B763" s="23" t="str">
        <f>IFERROR(VLOOKUP(category_assignment_2[[#This Row],[category_id]],#REF!,3,FALSE),"")</f>
        <v/>
      </c>
      <c r="C763" s="23" t="str">
        <f>IFERROR(VLOOKUP(category_assignment_2[[#This Row],[abbreviation_id]],abbreviation[],ColumnLanguage+1,FALSE),"")</f>
        <v/>
      </c>
      <c r="D763" s="23"/>
      <c r="E763" s="23"/>
      <c r="F763" s="23"/>
      <c r="G763" s="23"/>
      <c r="H763" s="23"/>
      <c r="I763" s="23"/>
      <c r="J763" s="23"/>
      <c r="K763" s="23"/>
    </row>
    <row r="764" spans="1:11" x14ac:dyDescent="0.25">
      <c r="A764" s="4" t="str">
        <f>IFERROR(category_assignment_2[[#This Row],[category_assignment_id]],"")</f>
        <v/>
      </c>
      <c r="B764" s="23" t="str">
        <f>IFERROR(VLOOKUP(category_assignment_2[[#This Row],[category_id]],#REF!,3,FALSE),"")</f>
        <v/>
      </c>
      <c r="C764" s="23" t="str">
        <f>IFERROR(VLOOKUP(category_assignment_2[[#This Row],[abbreviation_id]],abbreviation[],ColumnLanguage+1,FALSE),"")</f>
        <v/>
      </c>
      <c r="D764" s="23"/>
      <c r="E764" s="23"/>
      <c r="F764" s="23"/>
      <c r="G764" s="23"/>
      <c r="H764" s="23"/>
      <c r="I764" s="23"/>
      <c r="J764" s="23"/>
      <c r="K764" s="23"/>
    </row>
    <row r="765" spans="1:11" x14ac:dyDescent="0.25">
      <c r="A765" s="4" t="str">
        <f>IFERROR(category_assignment_2[[#This Row],[category_assignment_id]],"")</f>
        <v/>
      </c>
      <c r="B765" s="23" t="str">
        <f>IFERROR(VLOOKUP(category_assignment_2[[#This Row],[category_id]],#REF!,3,FALSE),"")</f>
        <v/>
      </c>
      <c r="C765" s="23" t="str">
        <f>IFERROR(VLOOKUP(category_assignment_2[[#This Row],[abbreviation_id]],abbreviation[],ColumnLanguage+1,FALSE),"")</f>
        <v/>
      </c>
      <c r="D765" s="23"/>
      <c r="E765" s="23"/>
      <c r="F765" s="23"/>
      <c r="G765" s="23"/>
      <c r="H765" s="23"/>
      <c r="I765" s="23"/>
      <c r="J765" s="23"/>
      <c r="K765" s="23"/>
    </row>
    <row r="766" spans="1:11" x14ac:dyDescent="0.25">
      <c r="A766" s="4" t="str">
        <f>IFERROR(category_assignment_2[[#This Row],[category_assignment_id]],"")</f>
        <v/>
      </c>
      <c r="B766" s="23" t="str">
        <f>IFERROR(VLOOKUP(category_assignment_2[[#This Row],[category_id]],#REF!,3,FALSE),"")</f>
        <v/>
      </c>
      <c r="C766" s="23" t="str">
        <f>IFERROR(VLOOKUP(category_assignment_2[[#This Row],[abbreviation_id]],abbreviation[],ColumnLanguage+1,FALSE),"")</f>
        <v/>
      </c>
      <c r="D766" s="23"/>
      <c r="E766" s="23"/>
      <c r="F766" s="23"/>
      <c r="G766" s="23"/>
      <c r="H766" s="23"/>
      <c r="I766" s="23"/>
      <c r="J766" s="23"/>
      <c r="K766" s="23"/>
    </row>
    <row r="767" spans="1:11" x14ac:dyDescent="0.25">
      <c r="A767" s="4" t="str">
        <f>IFERROR(category_assignment_2[[#This Row],[category_assignment_id]],"")</f>
        <v/>
      </c>
      <c r="B767" s="23" t="str">
        <f>IFERROR(VLOOKUP(category_assignment_2[[#This Row],[category_id]],#REF!,3,FALSE),"")</f>
        <v/>
      </c>
      <c r="C767" s="23" t="str">
        <f>IFERROR(VLOOKUP(category_assignment_2[[#This Row],[abbreviation_id]],abbreviation[],ColumnLanguage+1,FALSE),"")</f>
        <v/>
      </c>
      <c r="D767" s="23"/>
      <c r="E767" s="23"/>
      <c r="F767" s="23"/>
      <c r="G767" s="23"/>
      <c r="H767" s="23"/>
      <c r="I767" s="23"/>
      <c r="J767" s="23"/>
      <c r="K767" s="23"/>
    </row>
    <row r="768" spans="1:11" x14ac:dyDescent="0.25">
      <c r="A768" s="4" t="str">
        <f>IFERROR(category_assignment_2[[#This Row],[category_assignment_id]],"")</f>
        <v/>
      </c>
      <c r="B768" s="23" t="str">
        <f>IFERROR(VLOOKUP(category_assignment_2[[#This Row],[category_id]],#REF!,3,FALSE),"")</f>
        <v/>
      </c>
      <c r="C768" s="23" t="str">
        <f>IFERROR(VLOOKUP(category_assignment_2[[#This Row],[abbreviation_id]],abbreviation[],ColumnLanguage+1,FALSE),"")</f>
        <v/>
      </c>
      <c r="D768" s="23"/>
      <c r="E768" s="23"/>
      <c r="F768" s="23"/>
      <c r="G768" s="23"/>
      <c r="H768" s="23"/>
      <c r="I768" s="23"/>
      <c r="J768" s="23"/>
      <c r="K768" s="23"/>
    </row>
    <row r="769" spans="1:11" x14ac:dyDescent="0.25">
      <c r="A769" s="4" t="str">
        <f>IFERROR(category_assignment_2[[#This Row],[category_assignment_id]],"")</f>
        <v/>
      </c>
      <c r="B769" s="23" t="str">
        <f>IFERROR(VLOOKUP(category_assignment_2[[#This Row],[category_id]],#REF!,3,FALSE),"")</f>
        <v/>
      </c>
      <c r="C769" s="23" t="str">
        <f>IFERROR(VLOOKUP(category_assignment_2[[#This Row],[abbreviation_id]],abbreviation[],ColumnLanguage+1,FALSE),"")</f>
        <v/>
      </c>
      <c r="D769" s="23"/>
      <c r="E769" s="23"/>
      <c r="F769" s="23"/>
      <c r="G769" s="23"/>
      <c r="H769" s="23"/>
      <c r="I769" s="23"/>
      <c r="J769" s="23"/>
      <c r="K769" s="23"/>
    </row>
    <row r="770" spans="1:11" x14ac:dyDescent="0.25">
      <c r="A770" s="4" t="str">
        <f>IFERROR(category_assignment_2[[#This Row],[category_assignment_id]],"")</f>
        <v/>
      </c>
      <c r="B770" s="23" t="str">
        <f>IFERROR(VLOOKUP(category_assignment_2[[#This Row],[category_id]],#REF!,3,FALSE),"")</f>
        <v/>
      </c>
      <c r="C770" s="23" t="str">
        <f>IFERROR(VLOOKUP(category_assignment_2[[#This Row],[abbreviation_id]],abbreviation[],ColumnLanguage+1,FALSE),"")</f>
        <v/>
      </c>
      <c r="D770" s="23"/>
      <c r="E770" s="23"/>
      <c r="F770" s="23"/>
      <c r="G770" s="23"/>
      <c r="H770" s="23"/>
      <c r="I770" s="23"/>
      <c r="J770" s="23"/>
      <c r="K770" s="23"/>
    </row>
    <row r="771" spans="1:11" x14ac:dyDescent="0.25">
      <c r="A771" s="4" t="str">
        <f>IFERROR(category_assignment_2[[#This Row],[category_assignment_id]],"")</f>
        <v/>
      </c>
      <c r="B771" s="23" t="str">
        <f>IFERROR(VLOOKUP(category_assignment_2[[#This Row],[category_id]],#REF!,3,FALSE),"")</f>
        <v/>
      </c>
      <c r="C771" s="23" t="str">
        <f>IFERROR(VLOOKUP(category_assignment_2[[#This Row],[abbreviation_id]],abbreviation[],ColumnLanguage+1,FALSE),"")</f>
        <v/>
      </c>
      <c r="D771" s="23"/>
      <c r="E771" s="23"/>
      <c r="F771" s="23"/>
      <c r="G771" s="23"/>
      <c r="H771" s="23"/>
      <c r="I771" s="23"/>
      <c r="J771" s="23"/>
      <c r="K771" s="23"/>
    </row>
    <row r="772" spans="1:11" x14ac:dyDescent="0.25">
      <c r="A772" s="4" t="str">
        <f>IFERROR(category_assignment_2[[#This Row],[category_assignment_id]],"")</f>
        <v/>
      </c>
      <c r="B772" s="23" t="str">
        <f>IFERROR(VLOOKUP(category_assignment_2[[#This Row],[category_id]],#REF!,3,FALSE),"")</f>
        <v/>
      </c>
      <c r="C772" s="23" t="str">
        <f>IFERROR(VLOOKUP(category_assignment_2[[#This Row],[abbreviation_id]],abbreviation[],ColumnLanguage+1,FALSE),"")</f>
        <v/>
      </c>
      <c r="D772" s="23"/>
      <c r="E772" s="23"/>
      <c r="F772" s="23"/>
      <c r="G772" s="23"/>
      <c r="H772" s="23"/>
      <c r="I772" s="23"/>
      <c r="J772" s="23"/>
      <c r="K772" s="23"/>
    </row>
    <row r="773" spans="1:11" x14ac:dyDescent="0.25">
      <c r="A773" s="4" t="str">
        <f>IFERROR(category_assignment_2[[#This Row],[category_assignment_id]],"")</f>
        <v/>
      </c>
      <c r="B773" s="23" t="str">
        <f>IFERROR(VLOOKUP(category_assignment_2[[#This Row],[category_id]],#REF!,3,FALSE),"")</f>
        <v/>
      </c>
      <c r="C773" s="23" t="str">
        <f>IFERROR(VLOOKUP(category_assignment_2[[#This Row],[abbreviation_id]],abbreviation[],ColumnLanguage+1,FALSE),"")</f>
        <v/>
      </c>
      <c r="D773" s="23"/>
      <c r="E773" s="23"/>
      <c r="F773" s="23"/>
      <c r="G773" s="23"/>
      <c r="H773" s="23"/>
      <c r="I773" s="23"/>
      <c r="J773" s="23"/>
      <c r="K773" s="23"/>
    </row>
    <row r="774" spans="1:11" x14ac:dyDescent="0.25">
      <c r="A774" s="4" t="str">
        <f>IFERROR(category_assignment_2[[#This Row],[category_assignment_id]],"")</f>
        <v/>
      </c>
      <c r="B774" s="23" t="str">
        <f>IFERROR(VLOOKUP(category_assignment_2[[#This Row],[category_id]],#REF!,3,FALSE),"")</f>
        <v/>
      </c>
      <c r="C774" s="23" t="str">
        <f>IFERROR(VLOOKUP(category_assignment_2[[#This Row],[abbreviation_id]],abbreviation[],ColumnLanguage+1,FALSE),"")</f>
        <v/>
      </c>
      <c r="D774" s="23"/>
      <c r="E774" s="23"/>
      <c r="F774" s="23"/>
      <c r="G774" s="23"/>
      <c r="H774" s="23"/>
      <c r="I774" s="23"/>
      <c r="J774" s="23"/>
      <c r="K774" s="23"/>
    </row>
    <row r="775" spans="1:11" x14ac:dyDescent="0.25">
      <c r="A775" s="4" t="str">
        <f>IFERROR(category_assignment_2[[#This Row],[category_assignment_id]],"")</f>
        <v/>
      </c>
      <c r="B775" s="23" t="str">
        <f>IFERROR(VLOOKUP(category_assignment_2[[#This Row],[category_id]],#REF!,3,FALSE),"")</f>
        <v/>
      </c>
      <c r="C775" s="23" t="str">
        <f>IFERROR(VLOOKUP(category_assignment_2[[#This Row],[abbreviation_id]],abbreviation[],ColumnLanguage+1,FALSE),"")</f>
        <v/>
      </c>
      <c r="D775" s="23"/>
      <c r="E775" s="23"/>
      <c r="F775" s="23"/>
      <c r="G775" s="23"/>
      <c r="H775" s="23"/>
      <c r="I775" s="23"/>
      <c r="J775" s="23"/>
      <c r="K775" s="23"/>
    </row>
    <row r="776" spans="1:11" x14ac:dyDescent="0.25">
      <c r="A776" s="4" t="str">
        <f>IFERROR(category_assignment_2[[#This Row],[category_assignment_id]],"")</f>
        <v/>
      </c>
      <c r="B776" s="23" t="str">
        <f>IFERROR(VLOOKUP(category_assignment_2[[#This Row],[category_id]],#REF!,3,FALSE),"")</f>
        <v/>
      </c>
      <c r="C776" s="23" t="str">
        <f>IFERROR(VLOOKUP(category_assignment_2[[#This Row],[abbreviation_id]],abbreviation[],ColumnLanguage+1,FALSE),"")</f>
        <v/>
      </c>
      <c r="D776" s="23"/>
      <c r="E776" s="23"/>
      <c r="F776" s="23"/>
      <c r="G776" s="23"/>
      <c r="H776" s="23"/>
      <c r="I776" s="23"/>
      <c r="J776" s="23"/>
      <c r="K776" s="23"/>
    </row>
    <row r="777" spans="1:11" x14ac:dyDescent="0.25">
      <c r="A777" s="4" t="str">
        <f>IFERROR(category_assignment_2[[#This Row],[category_assignment_id]],"")</f>
        <v/>
      </c>
      <c r="B777" s="23" t="str">
        <f>IFERROR(VLOOKUP(category_assignment_2[[#This Row],[category_id]],#REF!,3,FALSE),"")</f>
        <v/>
      </c>
      <c r="C777" s="23" t="str">
        <f>IFERROR(VLOOKUP(category_assignment_2[[#This Row],[abbreviation_id]],abbreviation[],ColumnLanguage+1,FALSE),"")</f>
        <v/>
      </c>
      <c r="D777" s="23"/>
      <c r="E777" s="23"/>
      <c r="F777" s="23"/>
      <c r="G777" s="23"/>
      <c r="H777" s="23"/>
      <c r="I777" s="23"/>
      <c r="J777" s="23"/>
      <c r="K777" s="23"/>
    </row>
    <row r="778" spans="1:11" x14ac:dyDescent="0.25">
      <c r="A778" s="4" t="str">
        <f>IFERROR(category_assignment_2[[#This Row],[category_assignment_id]],"")</f>
        <v/>
      </c>
      <c r="B778" s="23" t="str">
        <f>IFERROR(VLOOKUP(category_assignment_2[[#This Row],[category_id]],#REF!,3,FALSE),"")</f>
        <v/>
      </c>
      <c r="C778" s="23" t="str">
        <f>IFERROR(VLOOKUP(category_assignment_2[[#This Row],[abbreviation_id]],abbreviation[],ColumnLanguage+1,FALSE),"")</f>
        <v/>
      </c>
      <c r="D778" s="23"/>
      <c r="E778" s="23"/>
      <c r="F778" s="23"/>
      <c r="G778" s="23"/>
      <c r="H778" s="23"/>
      <c r="I778" s="23"/>
      <c r="J778" s="23"/>
      <c r="K778" s="23"/>
    </row>
    <row r="779" spans="1:11" x14ac:dyDescent="0.25">
      <c r="A779" s="4" t="str">
        <f>IFERROR(category_assignment_2[[#This Row],[category_assignment_id]],"")</f>
        <v/>
      </c>
      <c r="B779" s="23" t="str">
        <f>IFERROR(VLOOKUP(category_assignment_2[[#This Row],[category_id]],#REF!,3,FALSE),"")</f>
        <v/>
      </c>
      <c r="C779" s="23" t="str">
        <f>IFERROR(VLOOKUP(category_assignment_2[[#This Row],[abbreviation_id]],abbreviation[],ColumnLanguage+1,FALSE),"")</f>
        <v/>
      </c>
      <c r="D779" s="23"/>
      <c r="E779" s="23"/>
      <c r="F779" s="23"/>
      <c r="G779" s="23"/>
      <c r="H779" s="23"/>
      <c r="I779" s="23"/>
      <c r="J779" s="23"/>
      <c r="K779" s="23"/>
    </row>
    <row r="780" spans="1:11" x14ac:dyDescent="0.25">
      <c r="A780" s="4" t="str">
        <f>IFERROR(category_assignment_2[[#This Row],[category_assignment_id]],"")</f>
        <v/>
      </c>
      <c r="B780" s="23" t="str">
        <f>IFERROR(VLOOKUP(category_assignment_2[[#This Row],[category_id]],#REF!,3,FALSE),"")</f>
        <v/>
      </c>
      <c r="C780" s="23" t="str">
        <f>IFERROR(VLOOKUP(category_assignment_2[[#This Row],[abbreviation_id]],abbreviation[],ColumnLanguage+1,FALSE),"")</f>
        <v/>
      </c>
      <c r="D780" s="23"/>
      <c r="E780" s="23"/>
      <c r="F780" s="23"/>
      <c r="G780" s="23"/>
      <c r="H780" s="23"/>
      <c r="I780" s="23"/>
      <c r="J780" s="23"/>
      <c r="K780" s="23"/>
    </row>
    <row r="781" spans="1:11" x14ac:dyDescent="0.25">
      <c r="A781" s="4" t="str">
        <f>IFERROR(category_assignment_2[[#This Row],[category_assignment_id]],"")</f>
        <v/>
      </c>
      <c r="B781" s="23" t="str">
        <f>IFERROR(VLOOKUP(category_assignment_2[[#This Row],[category_id]],#REF!,3,FALSE),"")</f>
        <v/>
      </c>
      <c r="C781" s="23" t="str">
        <f>IFERROR(VLOOKUP(category_assignment_2[[#This Row],[abbreviation_id]],abbreviation[],ColumnLanguage+1,FALSE),"")</f>
        <v/>
      </c>
      <c r="D781" s="23"/>
      <c r="E781" s="23"/>
      <c r="F781" s="23"/>
      <c r="G781" s="23"/>
      <c r="H781" s="23"/>
      <c r="I781" s="23"/>
      <c r="J781" s="23"/>
      <c r="K781" s="23"/>
    </row>
    <row r="782" spans="1:11" x14ac:dyDescent="0.25">
      <c r="A782" s="4" t="str">
        <f>IFERROR(category_assignment_2[[#This Row],[category_assignment_id]],"")</f>
        <v/>
      </c>
      <c r="B782" s="23" t="str">
        <f>IFERROR(VLOOKUP(category_assignment_2[[#This Row],[category_id]],#REF!,3,FALSE),"")</f>
        <v/>
      </c>
      <c r="C782" s="23" t="str">
        <f>IFERROR(VLOOKUP(category_assignment_2[[#This Row],[abbreviation_id]],abbreviation[],ColumnLanguage+1,FALSE),"")</f>
        <v/>
      </c>
      <c r="D782" s="23"/>
      <c r="E782" s="23"/>
      <c r="F782" s="23"/>
      <c r="G782" s="23"/>
      <c r="H782" s="23"/>
      <c r="I782" s="23"/>
      <c r="J782" s="23"/>
      <c r="K782" s="23"/>
    </row>
    <row r="783" spans="1:11" x14ac:dyDescent="0.25">
      <c r="A783" s="4" t="str">
        <f>IFERROR(category_assignment_2[[#This Row],[category_assignment_id]],"")</f>
        <v/>
      </c>
      <c r="B783" s="23" t="str">
        <f>IFERROR(VLOOKUP(category_assignment_2[[#This Row],[category_id]],#REF!,3,FALSE),"")</f>
        <v/>
      </c>
      <c r="C783" s="23" t="str">
        <f>IFERROR(VLOOKUP(category_assignment_2[[#This Row],[abbreviation_id]],abbreviation[],ColumnLanguage+1,FALSE),"")</f>
        <v/>
      </c>
      <c r="D783" s="23"/>
      <c r="E783" s="23"/>
      <c r="F783" s="23"/>
      <c r="G783" s="23"/>
      <c r="H783" s="23"/>
      <c r="I783" s="23"/>
      <c r="J783" s="23"/>
      <c r="K783" s="23"/>
    </row>
    <row r="784" spans="1:11" x14ac:dyDescent="0.25">
      <c r="A784" s="4" t="str">
        <f>IFERROR(category_assignment_2[[#This Row],[category_assignment_id]],"")</f>
        <v/>
      </c>
      <c r="B784" s="23" t="str">
        <f>IFERROR(VLOOKUP(category_assignment_2[[#This Row],[category_id]],#REF!,3,FALSE),"")</f>
        <v/>
      </c>
      <c r="C784" s="23" t="str">
        <f>IFERROR(VLOOKUP(category_assignment_2[[#This Row],[abbreviation_id]],abbreviation[],ColumnLanguage+1,FALSE),"")</f>
        <v/>
      </c>
      <c r="D784" s="23"/>
      <c r="E784" s="23"/>
      <c r="F784" s="23"/>
      <c r="G784" s="23"/>
      <c r="H784" s="23"/>
      <c r="I784" s="23"/>
      <c r="J784" s="23"/>
      <c r="K784" s="23"/>
    </row>
    <row r="785" spans="1:11" x14ac:dyDescent="0.25">
      <c r="A785" s="4" t="str">
        <f>IFERROR(category_assignment_2[[#This Row],[category_assignment_id]],"")</f>
        <v/>
      </c>
      <c r="B785" s="23" t="str">
        <f>IFERROR(VLOOKUP(category_assignment_2[[#This Row],[category_id]],#REF!,3,FALSE),"")</f>
        <v/>
      </c>
      <c r="C785" s="23" t="str">
        <f>IFERROR(VLOOKUP(category_assignment_2[[#This Row],[abbreviation_id]],abbreviation[],ColumnLanguage+1,FALSE),"")</f>
        <v/>
      </c>
      <c r="D785" s="23"/>
      <c r="E785" s="23"/>
      <c r="F785" s="23"/>
      <c r="G785" s="23"/>
      <c r="H785" s="23"/>
      <c r="I785" s="23"/>
      <c r="J785" s="23"/>
      <c r="K785" s="23"/>
    </row>
    <row r="786" spans="1:11" x14ac:dyDescent="0.25">
      <c r="A786" s="4" t="str">
        <f>IFERROR(category_assignment_2[[#This Row],[category_assignment_id]],"")</f>
        <v/>
      </c>
      <c r="B786" s="23" t="str">
        <f>IFERROR(VLOOKUP(category_assignment_2[[#This Row],[category_id]],#REF!,3,FALSE),"")</f>
        <v/>
      </c>
      <c r="C786" s="23" t="str">
        <f>IFERROR(VLOOKUP(category_assignment_2[[#This Row],[abbreviation_id]],abbreviation[],ColumnLanguage+1,FALSE),"")</f>
        <v/>
      </c>
      <c r="D786" s="23"/>
      <c r="E786" s="23"/>
      <c r="F786" s="23"/>
      <c r="G786" s="23"/>
      <c r="H786" s="23"/>
      <c r="I786" s="23"/>
      <c r="J786" s="23"/>
      <c r="K786" s="23"/>
    </row>
    <row r="787" spans="1:11" x14ac:dyDescent="0.25">
      <c r="A787" s="4" t="str">
        <f>IFERROR(category_assignment_2[[#This Row],[category_assignment_id]],"")</f>
        <v/>
      </c>
      <c r="B787" s="23" t="str">
        <f>IFERROR(VLOOKUP(category_assignment_2[[#This Row],[category_id]],#REF!,3,FALSE),"")</f>
        <v/>
      </c>
      <c r="C787" s="23" t="str">
        <f>IFERROR(VLOOKUP(category_assignment_2[[#This Row],[abbreviation_id]],abbreviation[],ColumnLanguage+1,FALSE),"")</f>
        <v/>
      </c>
      <c r="D787" s="23"/>
      <c r="E787" s="23"/>
      <c r="F787" s="23"/>
      <c r="G787" s="23"/>
      <c r="H787" s="23"/>
      <c r="I787" s="23"/>
      <c r="J787" s="23"/>
      <c r="K787" s="23"/>
    </row>
    <row r="788" spans="1:11" x14ac:dyDescent="0.25">
      <c r="A788" s="4" t="str">
        <f>IFERROR(category_assignment_2[[#This Row],[category_assignment_id]],"")</f>
        <v/>
      </c>
      <c r="B788" s="23" t="str">
        <f>IFERROR(VLOOKUP(category_assignment_2[[#This Row],[category_id]],#REF!,3,FALSE),"")</f>
        <v/>
      </c>
      <c r="C788" s="23" t="str">
        <f>IFERROR(VLOOKUP(category_assignment_2[[#This Row],[abbreviation_id]],abbreviation[],ColumnLanguage+1,FALSE),"")</f>
        <v/>
      </c>
      <c r="D788" s="23"/>
      <c r="E788" s="23"/>
      <c r="F788" s="23"/>
      <c r="G788" s="23"/>
      <c r="H788" s="23"/>
      <c r="I788" s="23"/>
      <c r="J788" s="23"/>
      <c r="K788" s="23"/>
    </row>
    <row r="789" spans="1:11" x14ac:dyDescent="0.25">
      <c r="A789" s="4" t="str">
        <f>IFERROR(category_assignment_2[[#This Row],[category_assignment_id]],"")</f>
        <v/>
      </c>
      <c r="B789" s="23" t="str">
        <f>IFERROR(VLOOKUP(category_assignment_2[[#This Row],[category_id]],#REF!,3,FALSE),"")</f>
        <v/>
      </c>
      <c r="C789" s="23" t="str">
        <f>IFERROR(VLOOKUP(category_assignment_2[[#This Row],[abbreviation_id]],abbreviation[],ColumnLanguage+1,FALSE),"")</f>
        <v/>
      </c>
      <c r="D789" s="23"/>
      <c r="E789" s="23"/>
      <c r="F789" s="23"/>
      <c r="G789" s="23"/>
      <c r="H789" s="23"/>
      <c r="I789" s="23"/>
      <c r="J789" s="23"/>
      <c r="K789" s="23"/>
    </row>
    <row r="790" spans="1:11" x14ac:dyDescent="0.25">
      <c r="A790" s="4" t="str">
        <f>IFERROR(category_assignment_2[[#This Row],[category_assignment_id]],"")</f>
        <v/>
      </c>
      <c r="B790" s="23" t="str">
        <f>IFERROR(VLOOKUP(category_assignment_2[[#This Row],[category_id]],#REF!,3,FALSE),"")</f>
        <v/>
      </c>
      <c r="C790" s="23" t="str">
        <f>IFERROR(VLOOKUP(category_assignment_2[[#This Row],[abbreviation_id]],abbreviation[],ColumnLanguage+1,FALSE),"")</f>
        <v/>
      </c>
      <c r="D790" s="23"/>
      <c r="E790" s="23"/>
      <c r="F790" s="23"/>
      <c r="G790" s="23"/>
      <c r="H790" s="23"/>
      <c r="I790" s="23"/>
      <c r="J790" s="23"/>
      <c r="K790" s="23"/>
    </row>
    <row r="791" spans="1:11" x14ac:dyDescent="0.25">
      <c r="A791" s="4" t="str">
        <f>IFERROR(category_assignment_2[[#This Row],[category_assignment_id]],"")</f>
        <v/>
      </c>
      <c r="B791" s="23" t="str">
        <f>IFERROR(VLOOKUP(category_assignment_2[[#This Row],[category_id]],#REF!,3,FALSE),"")</f>
        <v/>
      </c>
      <c r="C791" s="23" t="str">
        <f>IFERROR(VLOOKUP(category_assignment_2[[#This Row],[abbreviation_id]],abbreviation[],ColumnLanguage+1,FALSE),"")</f>
        <v/>
      </c>
      <c r="D791" s="23"/>
      <c r="E791" s="23"/>
      <c r="F791" s="23"/>
      <c r="G791" s="23"/>
      <c r="H791" s="23"/>
      <c r="I791" s="23"/>
      <c r="J791" s="23"/>
      <c r="K791" s="23"/>
    </row>
    <row r="792" spans="1:11" x14ac:dyDescent="0.25">
      <c r="A792" s="4" t="str">
        <f>IFERROR(category_assignment_2[[#This Row],[category_assignment_id]],"")</f>
        <v/>
      </c>
      <c r="B792" s="23" t="str">
        <f>IFERROR(VLOOKUP(category_assignment_2[[#This Row],[category_id]],#REF!,3,FALSE),"")</f>
        <v/>
      </c>
      <c r="C792" s="23" t="str">
        <f>IFERROR(VLOOKUP(category_assignment_2[[#This Row],[abbreviation_id]],abbreviation[],ColumnLanguage+1,FALSE),"")</f>
        <v/>
      </c>
      <c r="D792" s="23"/>
      <c r="E792" s="23"/>
      <c r="F792" s="23"/>
      <c r="G792" s="23"/>
      <c r="H792" s="23"/>
      <c r="I792" s="23"/>
      <c r="J792" s="23"/>
      <c r="K792" s="23"/>
    </row>
    <row r="793" spans="1:11" x14ac:dyDescent="0.25">
      <c r="A793" s="4" t="str">
        <f>IFERROR(category_assignment_2[[#This Row],[category_assignment_id]],"")</f>
        <v/>
      </c>
      <c r="B793" s="23" t="str">
        <f>IFERROR(VLOOKUP(category_assignment_2[[#This Row],[category_id]],#REF!,3,FALSE),"")</f>
        <v/>
      </c>
      <c r="C793" s="23" t="str">
        <f>IFERROR(VLOOKUP(category_assignment_2[[#This Row],[abbreviation_id]],abbreviation[],ColumnLanguage+1,FALSE),"")</f>
        <v/>
      </c>
      <c r="D793" s="23"/>
      <c r="E793" s="23"/>
      <c r="F793" s="23"/>
      <c r="G793" s="23"/>
      <c r="H793" s="23"/>
      <c r="I793" s="23"/>
      <c r="J793" s="23"/>
      <c r="K793" s="23"/>
    </row>
    <row r="794" spans="1:11" x14ac:dyDescent="0.25">
      <c r="A794" s="4" t="str">
        <f>IFERROR(category_assignment_2[[#This Row],[category_assignment_id]],"")</f>
        <v/>
      </c>
      <c r="B794" s="23" t="str">
        <f>IFERROR(VLOOKUP(category_assignment_2[[#This Row],[category_id]],#REF!,3,FALSE),"")</f>
        <v/>
      </c>
      <c r="C794" s="23" t="str">
        <f>IFERROR(VLOOKUP(category_assignment_2[[#This Row],[abbreviation_id]],abbreviation[],ColumnLanguage+1,FALSE),"")</f>
        <v/>
      </c>
      <c r="D794" s="23"/>
      <c r="E794" s="23"/>
      <c r="F794" s="23"/>
      <c r="G794" s="23"/>
      <c r="H794" s="23"/>
      <c r="I794" s="23"/>
      <c r="J794" s="23"/>
      <c r="K794" s="23"/>
    </row>
    <row r="795" spans="1:11" x14ac:dyDescent="0.25">
      <c r="A795" s="4" t="str">
        <f>IFERROR(category_assignment_2[[#This Row],[category_assignment_id]],"")</f>
        <v/>
      </c>
      <c r="B795" s="23" t="str">
        <f>IFERROR(VLOOKUP(category_assignment_2[[#This Row],[category_id]],#REF!,3,FALSE),"")</f>
        <v/>
      </c>
      <c r="C795" s="23" t="str">
        <f>IFERROR(VLOOKUP(category_assignment_2[[#This Row],[abbreviation_id]],abbreviation[],ColumnLanguage+1,FALSE),"")</f>
        <v/>
      </c>
      <c r="D795" s="23"/>
      <c r="E795" s="23"/>
      <c r="F795" s="23"/>
      <c r="G795" s="23"/>
      <c r="H795" s="23"/>
      <c r="I795" s="23"/>
      <c r="J795" s="23"/>
      <c r="K795" s="23"/>
    </row>
    <row r="796" spans="1:11" x14ac:dyDescent="0.25">
      <c r="A796" s="4" t="str">
        <f>IFERROR(category_assignment_2[[#This Row],[category_assignment_id]],"")</f>
        <v/>
      </c>
      <c r="B796" s="23" t="str">
        <f>IFERROR(VLOOKUP(category_assignment_2[[#This Row],[category_id]],#REF!,3,FALSE),"")</f>
        <v/>
      </c>
      <c r="C796" s="23" t="str">
        <f>IFERROR(VLOOKUP(category_assignment_2[[#This Row],[abbreviation_id]],abbreviation[],ColumnLanguage+1,FALSE),"")</f>
        <v/>
      </c>
      <c r="D796" s="23"/>
      <c r="E796" s="23"/>
      <c r="F796" s="23"/>
      <c r="G796" s="23"/>
      <c r="H796" s="23"/>
      <c r="I796" s="23"/>
      <c r="J796" s="23"/>
      <c r="K796" s="23"/>
    </row>
    <row r="797" spans="1:11" x14ac:dyDescent="0.25">
      <c r="A797" s="4" t="str">
        <f>IFERROR(category_assignment_2[[#This Row],[category_assignment_id]],"")</f>
        <v/>
      </c>
      <c r="B797" s="23" t="str">
        <f>IFERROR(VLOOKUP(category_assignment_2[[#This Row],[category_id]],#REF!,3,FALSE),"")</f>
        <v/>
      </c>
      <c r="C797" s="23" t="str">
        <f>IFERROR(VLOOKUP(category_assignment_2[[#This Row],[abbreviation_id]],abbreviation[],ColumnLanguage+1,FALSE),"")</f>
        <v/>
      </c>
      <c r="D797" s="23"/>
      <c r="E797" s="23"/>
      <c r="F797" s="23"/>
      <c r="G797" s="23"/>
      <c r="H797" s="23"/>
      <c r="I797" s="23"/>
      <c r="J797" s="23"/>
      <c r="K797" s="23"/>
    </row>
    <row r="798" spans="1:11" x14ac:dyDescent="0.25">
      <c r="A798" s="4" t="str">
        <f>IFERROR(category_assignment_2[[#This Row],[category_assignment_id]],"")</f>
        <v/>
      </c>
      <c r="B798" s="23" t="str">
        <f>IFERROR(VLOOKUP(category_assignment_2[[#This Row],[category_id]],#REF!,3,FALSE),"")</f>
        <v/>
      </c>
      <c r="C798" s="23" t="str">
        <f>IFERROR(VLOOKUP(category_assignment_2[[#This Row],[abbreviation_id]],abbreviation[],ColumnLanguage+1,FALSE),"")</f>
        <v/>
      </c>
      <c r="D798" s="23"/>
      <c r="E798" s="23"/>
      <c r="F798" s="23"/>
      <c r="G798" s="23"/>
      <c r="H798" s="23"/>
      <c r="I798" s="23"/>
      <c r="J798" s="23"/>
      <c r="K798" s="23"/>
    </row>
    <row r="799" spans="1:11" x14ac:dyDescent="0.25">
      <c r="A799" s="4" t="str">
        <f>IFERROR(category_assignment_2[[#This Row],[category_assignment_id]],"")</f>
        <v/>
      </c>
      <c r="B799" s="23" t="str">
        <f>IFERROR(VLOOKUP(category_assignment_2[[#This Row],[category_id]],#REF!,3,FALSE),"")</f>
        <v/>
      </c>
      <c r="C799" s="23" t="str">
        <f>IFERROR(VLOOKUP(category_assignment_2[[#This Row],[abbreviation_id]],abbreviation[],ColumnLanguage+1,FALSE),"")</f>
        <v/>
      </c>
      <c r="D799" s="23"/>
      <c r="E799" s="23"/>
      <c r="F799" s="23"/>
      <c r="G799" s="23"/>
      <c r="H799" s="23"/>
      <c r="I799" s="23"/>
      <c r="J799" s="23"/>
      <c r="K799" s="23"/>
    </row>
    <row r="800" spans="1:11" x14ac:dyDescent="0.25">
      <c r="A800" s="4" t="str">
        <f>IFERROR(category_assignment_2[[#This Row],[category_assignment_id]],"")</f>
        <v/>
      </c>
      <c r="B800" s="23" t="str">
        <f>IFERROR(VLOOKUP(category_assignment_2[[#This Row],[category_id]],#REF!,3,FALSE),"")</f>
        <v/>
      </c>
      <c r="C800" s="23" t="str">
        <f>IFERROR(VLOOKUP(category_assignment_2[[#This Row],[abbreviation_id]],abbreviation[],ColumnLanguage+1,FALSE),"")</f>
        <v/>
      </c>
      <c r="D800" s="23"/>
      <c r="E800" s="23"/>
      <c r="F800" s="23"/>
      <c r="G800" s="23"/>
      <c r="H800" s="23"/>
      <c r="I800" s="23"/>
      <c r="J800" s="23"/>
      <c r="K800" s="23"/>
    </row>
    <row r="801" spans="1:11" x14ac:dyDescent="0.25">
      <c r="A801" s="4" t="str">
        <f>IFERROR(category_assignment_2[[#This Row],[category_assignment_id]],"")</f>
        <v/>
      </c>
      <c r="B801" s="23" t="str">
        <f>IFERROR(VLOOKUP(category_assignment_2[[#This Row],[category_id]],#REF!,3,FALSE),"")</f>
        <v/>
      </c>
      <c r="C801" s="23" t="str">
        <f>IFERROR(VLOOKUP(category_assignment_2[[#This Row],[abbreviation_id]],abbreviation[],ColumnLanguage+1,FALSE),"")</f>
        <v/>
      </c>
      <c r="D801" s="23"/>
      <c r="E801" s="23"/>
      <c r="F801" s="23"/>
      <c r="G801" s="23"/>
      <c r="H801" s="23"/>
      <c r="I801" s="23"/>
      <c r="J801" s="23"/>
      <c r="K801" s="23"/>
    </row>
    <row r="802" spans="1:11" x14ac:dyDescent="0.25">
      <c r="A802" s="4" t="str">
        <f>IFERROR(category_assignment_2[[#This Row],[category_assignment_id]],"")</f>
        <v/>
      </c>
      <c r="B802" s="23" t="str">
        <f>IFERROR(VLOOKUP(category_assignment_2[[#This Row],[category_id]],#REF!,3,FALSE),"")</f>
        <v/>
      </c>
      <c r="C802" s="23" t="str">
        <f>IFERROR(VLOOKUP(category_assignment_2[[#This Row],[abbreviation_id]],abbreviation[],ColumnLanguage+1,FALSE),"")</f>
        <v/>
      </c>
      <c r="D802" s="23"/>
      <c r="E802" s="23"/>
      <c r="F802" s="23"/>
      <c r="G802" s="23"/>
      <c r="H802" s="23"/>
      <c r="I802" s="23"/>
      <c r="J802" s="23"/>
      <c r="K802" s="23"/>
    </row>
    <row r="803" spans="1:11" x14ac:dyDescent="0.25">
      <c r="A803" s="4" t="str">
        <f>IFERROR(category_assignment_2[[#This Row],[category_assignment_id]],"")</f>
        <v/>
      </c>
      <c r="B803" s="23" t="str">
        <f>IFERROR(VLOOKUP(category_assignment_2[[#This Row],[category_id]],#REF!,3,FALSE),"")</f>
        <v/>
      </c>
      <c r="C803" s="23" t="str">
        <f>IFERROR(VLOOKUP(category_assignment_2[[#This Row],[abbreviation_id]],abbreviation[],ColumnLanguage+1,FALSE),"")</f>
        <v/>
      </c>
      <c r="D803" s="23"/>
      <c r="E803" s="23"/>
      <c r="F803" s="23"/>
      <c r="G803" s="23"/>
      <c r="H803" s="23"/>
      <c r="I803" s="23"/>
      <c r="J803" s="23"/>
      <c r="K803" s="23"/>
    </row>
    <row r="804" spans="1:11" x14ac:dyDescent="0.25">
      <c r="A804" s="4" t="str">
        <f>IFERROR(category_assignment_2[[#This Row],[category_assignment_id]],"")</f>
        <v/>
      </c>
      <c r="B804" s="23" t="str">
        <f>IFERROR(VLOOKUP(category_assignment_2[[#This Row],[category_id]],#REF!,3,FALSE),"")</f>
        <v/>
      </c>
      <c r="C804" s="23" t="str">
        <f>IFERROR(VLOOKUP(category_assignment_2[[#This Row],[abbreviation_id]],abbreviation[],ColumnLanguage+1,FALSE),"")</f>
        <v/>
      </c>
      <c r="D804" s="23"/>
      <c r="E804" s="23"/>
      <c r="F804" s="23"/>
      <c r="G804" s="23"/>
      <c r="H804" s="23"/>
      <c r="I804" s="23"/>
      <c r="J804" s="23"/>
      <c r="K804" s="23"/>
    </row>
    <row r="805" spans="1:11" x14ac:dyDescent="0.25">
      <c r="A805" s="4" t="str">
        <f>IFERROR(category_assignment_2[[#This Row],[category_assignment_id]],"")</f>
        <v/>
      </c>
      <c r="B805" s="23" t="str">
        <f>IFERROR(VLOOKUP(category_assignment_2[[#This Row],[category_id]],#REF!,3,FALSE),"")</f>
        <v/>
      </c>
      <c r="C805" s="23" t="str">
        <f>IFERROR(VLOOKUP(category_assignment_2[[#This Row],[abbreviation_id]],abbreviation[],ColumnLanguage+1,FALSE),"")</f>
        <v/>
      </c>
      <c r="D805" s="23"/>
      <c r="E805" s="23"/>
      <c r="F805" s="23"/>
      <c r="G805" s="23"/>
      <c r="H805" s="23"/>
      <c r="I805" s="23"/>
      <c r="J805" s="23"/>
      <c r="K805" s="23"/>
    </row>
    <row r="806" spans="1:11" x14ac:dyDescent="0.25">
      <c r="A806" s="4" t="str">
        <f>IFERROR(category_assignment_2[[#This Row],[category_assignment_id]],"")</f>
        <v/>
      </c>
      <c r="B806" s="23" t="str">
        <f>IFERROR(VLOOKUP(category_assignment_2[[#This Row],[category_id]],#REF!,3,FALSE),"")</f>
        <v/>
      </c>
      <c r="C806" s="23" t="str">
        <f>IFERROR(VLOOKUP(category_assignment_2[[#This Row],[abbreviation_id]],abbreviation[],ColumnLanguage+1,FALSE),"")</f>
        <v/>
      </c>
      <c r="D806" s="23"/>
      <c r="E806" s="23"/>
      <c r="F806" s="23"/>
      <c r="G806" s="23"/>
      <c r="H806" s="23"/>
      <c r="I806" s="23"/>
      <c r="J806" s="23"/>
      <c r="K806" s="23"/>
    </row>
    <row r="807" spans="1:11" x14ac:dyDescent="0.25">
      <c r="A807" s="4" t="str">
        <f>IFERROR(category_assignment_2[[#This Row],[category_assignment_id]],"")</f>
        <v/>
      </c>
      <c r="B807" s="23" t="str">
        <f>IFERROR(VLOOKUP(category_assignment_2[[#This Row],[category_id]],#REF!,3,FALSE),"")</f>
        <v/>
      </c>
      <c r="C807" s="23" t="str">
        <f>IFERROR(VLOOKUP(category_assignment_2[[#This Row],[abbreviation_id]],abbreviation[],ColumnLanguage+1,FALSE),"")</f>
        <v/>
      </c>
      <c r="D807" s="23"/>
      <c r="E807" s="23"/>
      <c r="F807" s="23"/>
      <c r="G807" s="23"/>
      <c r="H807" s="23"/>
      <c r="I807" s="23"/>
      <c r="J807" s="23"/>
      <c r="K807" s="23"/>
    </row>
    <row r="808" spans="1:11" x14ac:dyDescent="0.25">
      <c r="A808" s="4" t="str">
        <f>IFERROR(category_assignment_2[[#This Row],[category_assignment_id]],"")</f>
        <v/>
      </c>
      <c r="B808" s="23" t="str">
        <f>IFERROR(VLOOKUP(category_assignment_2[[#This Row],[category_id]],#REF!,3,FALSE),"")</f>
        <v/>
      </c>
      <c r="C808" s="23" t="str">
        <f>IFERROR(VLOOKUP(category_assignment_2[[#This Row],[abbreviation_id]],abbreviation[],ColumnLanguage+1,FALSE),"")</f>
        <v/>
      </c>
      <c r="D808" s="23"/>
      <c r="E808" s="23"/>
      <c r="F808" s="23"/>
      <c r="G808" s="23"/>
      <c r="H808" s="23"/>
      <c r="I808" s="23"/>
      <c r="J808" s="23"/>
      <c r="K808" s="23"/>
    </row>
    <row r="809" spans="1:11" x14ac:dyDescent="0.25">
      <c r="A809" s="4" t="str">
        <f>IFERROR(category_assignment_2[[#This Row],[category_assignment_id]],"")</f>
        <v/>
      </c>
      <c r="B809" s="23" t="str">
        <f>IFERROR(VLOOKUP(category_assignment_2[[#This Row],[category_id]],#REF!,3,FALSE),"")</f>
        <v/>
      </c>
      <c r="C809" s="23" t="str">
        <f>IFERROR(VLOOKUP(category_assignment_2[[#This Row],[abbreviation_id]],abbreviation[],ColumnLanguage+1,FALSE),"")</f>
        <v/>
      </c>
      <c r="D809" s="23"/>
      <c r="E809" s="23"/>
      <c r="F809" s="23"/>
      <c r="G809" s="23"/>
      <c r="H809" s="23"/>
      <c r="I809" s="23"/>
      <c r="J809" s="23"/>
      <c r="K809" s="23"/>
    </row>
    <row r="810" spans="1:11" x14ac:dyDescent="0.25">
      <c r="A810" s="4" t="str">
        <f>IFERROR(category_assignment_2[[#This Row],[category_assignment_id]],"")</f>
        <v/>
      </c>
      <c r="B810" s="23" t="str">
        <f>IFERROR(VLOOKUP(category_assignment_2[[#This Row],[category_id]],#REF!,3,FALSE),"")</f>
        <v/>
      </c>
      <c r="C810" s="23" t="str">
        <f>IFERROR(VLOOKUP(category_assignment_2[[#This Row],[abbreviation_id]],abbreviation[],ColumnLanguage+1,FALSE),"")</f>
        <v/>
      </c>
      <c r="D810" s="23"/>
      <c r="E810" s="23"/>
      <c r="F810" s="23"/>
      <c r="G810" s="23"/>
      <c r="H810" s="23"/>
      <c r="I810" s="23"/>
      <c r="J810" s="23"/>
      <c r="K810" s="23"/>
    </row>
    <row r="811" spans="1:11" x14ac:dyDescent="0.25">
      <c r="A811" s="4" t="str">
        <f>IFERROR(category_assignment_2[[#This Row],[category_assignment_id]],"")</f>
        <v/>
      </c>
      <c r="B811" s="23" t="str">
        <f>IFERROR(VLOOKUP(category_assignment_2[[#This Row],[category_id]],#REF!,3,FALSE),"")</f>
        <v/>
      </c>
      <c r="C811" s="23" t="str">
        <f>IFERROR(VLOOKUP(category_assignment_2[[#This Row],[abbreviation_id]],abbreviation[],ColumnLanguage+1,FALSE),"")</f>
        <v/>
      </c>
      <c r="D811" s="23"/>
      <c r="E811" s="23"/>
      <c r="F811" s="23"/>
      <c r="G811" s="23"/>
      <c r="H811" s="23"/>
      <c r="I811" s="23"/>
      <c r="J811" s="23"/>
      <c r="K811" s="23"/>
    </row>
    <row r="812" spans="1:11" x14ac:dyDescent="0.25">
      <c r="A812" s="4" t="str">
        <f>IFERROR(category_assignment_2[[#This Row],[category_assignment_id]],"")</f>
        <v/>
      </c>
      <c r="B812" s="23" t="str">
        <f>IFERROR(VLOOKUP(category_assignment_2[[#This Row],[category_id]],#REF!,3,FALSE),"")</f>
        <v/>
      </c>
      <c r="C812" s="23" t="str">
        <f>IFERROR(VLOOKUP(category_assignment_2[[#This Row],[abbreviation_id]],abbreviation[],ColumnLanguage+1,FALSE),"")</f>
        <v/>
      </c>
      <c r="D812" s="23"/>
      <c r="E812" s="23"/>
      <c r="F812" s="23"/>
      <c r="G812" s="23"/>
      <c r="H812" s="23"/>
      <c r="I812" s="23"/>
      <c r="J812" s="23"/>
      <c r="K812" s="23"/>
    </row>
    <row r="813" spans="1:11" x14ac:dyDescent="0.25">
      <c r="A813" s="4" t="str">
        <f>IFERROR(category_assignment_2[[#This Row],[category_assignment_id]],"")</f>
        <v/>
      </c>
      <c r="B813" s="23" t="str">
        <f>IFERROR(VLOOKUP(category_assignment_2[[#This Row],[category_id]],#REF!,3,FALSE),"")</f>
        <v/>
      </c>
      <c r="C813" s="23" t="str">
        <f>IFERROR(VLOOKUP(category_assignment_2[[#This Row],[abbreviation_id]],abbreviation[],ColumnLanguage+1,FALSE),"")</f>
        <v/>
      </c>
      <c r="D813" s="23"/>
      <c r="E813" s="23"/>
      <c r="F813" s="23"/>
      <c r="G813" s="23"/>
      <c r="H813" s="23"/>
      <c r="I813" s="23"/>
      <c r="J813" s="23"/>
      <c r="K813" s="23"/>
    </row>
    <row r="814" spans="1:11" x14ac:dyDescent="0.25">
      <c r="A814" s="4" t="str">
        <f>IFERROR(category_assignment_2[[#This Row],[category_assignment_id]],"")</f>
        <v/>
      </c>
      <c r="B814" s="23" t="str">
        <f>IFERROR(VLOOKUP(category_assignment_2[[#This Row],[category_id]],#REF!,3,FALSE),"")</f>
        <v/>
      </c>
      <c r="C814" s="23" t="str">
        <f>IFERROR(VLOOKUP(category_assignment_2[[#This Row],[abbreviation_id]],abbreviation[],ColumnLanguage+1,FALSE),"")</f>
        <v/>
      </c>
      <c r="D814" s="23"/>
      <c r="E814" s="23"/>
      <c r="F814" s="23"/>
      <c r="G814" s="23"/>
      <c r="H814" s="23"/>
      <c r="I814" s="23"/>
      <c r="J814" s="23"/>
      <c r="K814" s="23"/>
    </row>
    <row r="815" spans="1:11" x14ac:dyDescent="0.25">
      <c r="A815" s="4" t="str">
        <f>IFERROR(category_assignment_2[[#This Row],[category_assignment_id]],"")</f>
        <v/>
      </c>
      <c r="B815" s="23" t="str">
        <f>IFERROR(VLOOKUP(category_assignment_2[[#This Row],[category_id]],#REF!,3,FALSE),"")</f>
        <v/>
      </c>
      <c r="C815" s="23" t="str">
        <f>IFERROR(VLOOKUP(category_assignment_2[[#This Row],[abbreviation_id]],abbreviation[],ColumnLanguage+1,FALSE),"")</f>
        <v/>
      </c>
      <c r="D815" s="23"/>
      <c r="E815" s="23"/>
      <c r="F815" s="23"/>
      <c r="G815" s="23"/>
      <c r="H815" s="23"/>
      <c r="I815" s="23"/>
      <c r="J815" s="23"/>
      <c r="K815" s="23"/>
    </row>
    <row r="816" spans="1:11" x14ac:dyDescent="0.25">
      <c r="A816" s="4" t="str">
        <f>IFERROR(category_assignment_2[[#This Row],[category_assignment_id]],"")</f>
        <v/>
      </c>
      <c r="B816" s="23" t="str">
        <f>IFERROR(VLOOKUP(category_assignment_2[[#This Row],[category_id]],#REF!,3,FALSE),"")</f>
        <v/>
      </c>
      <c r="C816" s="23" t="str">
        <f>IFERROR(VLOOKUP(category_assignment_2[[#This Row],[abbreviation_id]],abbreviation[],ColumnLanguage+1,FALSE),"")</f>
        <v/>
      </c>
      <c r="D816" s="23"/>
      <c r="E816" s="23"/>
      <c r="F816" s="23"/>
      <c r="G816" s="23"/>
      <c r="H816" s="23"/>
      <c r="I816" s="23"/>
      <c r="J816" s="23"/>
      <c r="K816" s="23"/>
    </row>
    <row r="817" spans="1:11" x14ac:dyDescent="0.25">
      <c r="A817" s="4" t="str">
        <f>IFERROR(category_assignment_2[[#This Row],[category_assignment_id]],"")</f>
        <v/>
      </c>
      <c r="B817" s="23" t="str">
        <f>IFERROR(VLOOKUP(category_assignment_2[[#This Row],[category_id]],#REF!,3,FALSE),"")</f>
        <v/>
      </c>
      <c r="C817" s="23" t="str">
        <f>IFERROR(VLOOKUP(category_assignment_2[[#This Row],[abbreviation_id]],abbreviation[],ColumnLanguage+1,FALSE),"")</f>
        <v/>
      </c>
      <c r="D817" s="23"/>
      <c r="E817" s="23"/>
      <c r="F817" s="23"/>
      <c r="G817" s="23"/>
      <c r="H817" s="23"/>
      <c r="I817" s="23"/>
      <c r="J817" s="23"/>
      <c r="K817" s="23"/>
    </row>
    <row r="818" spans="1:11" x14ac:dyDescent="0.25">
      <c r="A818" s="4" t="str">
        <f>IFERROR(category_assignment_2[[#This Row],[category_assignment_id]],"")</f>
        <v/>
      </c>
      <c r="B818" s="23" t="str">
        <f>IFERROR(VLOOKUP(category_assignment_2[[#This Row],[category_id]],#REF!,3,FALSE),"")</f>
        <v/>
      </c>
      <c r="C818" s="23" t="str">
        <f>IFERROR(VLOOKUP(category_assignment_2[[#This Row],[abbreviation_id]],abbreviation[],ColumnLanguage+1,FALSE),"")</f>
        <v/>
      </c>
      <c r="D818" s="23"/>
      <c r="E818" s="23"/>
      <c r="F818" s="23"/>
      <c r="G818" s="23"/>
      <c r="H818" s="23"/>
      <c r="I818" s="23"/>
      <c r="J818" s="23"/>
      <c r="K818" s="23"/>
    </row>
    <row r="819" spans="1:11" x14ac:dyDescent="0.25">
      <c r="A819" s="4" t="str">
        <f>IFERROR(category_assignment_2[[#This Row],[category_assignment_id]],"")</f>
        <v/>
      </c>
      <c r="B819" s="23" t="str">
        <f>IFERROR(VLOOKUP(category_assignment_2[[#This Row],[category_id]],#REF!,3,FALSE),"")</f>
        <v/>
      </c>
      <c r="C819" s="23" t="str">
        <f>IFERROR(VLOOKUP(category_assignment_2[[#This Row],[abbreviation_id]],abbreviation[],ColumnLanguage+1,FALSE),"")</f>
        <v/>
      </c>
      <c r="D819" s="23"/>
      <c r="E819" s="23"/>
      <c r="F819" s="23"/>
      <c r="G819" s="23"/>
      <c r="H819" s="23"/>
      <c r="I819" s="23"/>
      <c r="J819" s="23"/>
      <c r="K819" s="23"/>
    </row>
    <row r="820" spans="1:11" x14ac:dyDescent="0.25">
      <c r="A820" s="4" t="str">
        <f>IFERROR(category_assignment_2[[#This Row],[category_assignment_id]],"")</f>
        <v/>
      </c>
      <c r="B820" s="23" t="str">
        <f>IFERROR(VLOOKUP(category_assignment_2[[#This Row],[category_id]],#REF!,3,FALSE),"")</f>
        <v/>
      </c>
      <c r="C820" s="23" t="str">
        <f>IFERROR(VLOOKUP(category_assignment_2[[#This Row],[abbreviation_id]],abbreviation[],ColumnLanguage+1,FALSE),"")</f>
        <v/>
      </c>
      <c r="D820" s="23"/>
      <c r="E820" s="23"/>
      <c r="F820" s="23"/>
      <c r="G820" s="23"/>
      <c r="H820" s="23"/>
      <c r="I820" s="23"/>
      <c r="J820" s="23"/>
      <c r="K820" s="23"/>
    </row>
    <row r="821" spans="1:11" x14ac:dyDescent="0.25">
      <c r="A821" s="4" t="str">
        <f>IFERROR(category_assignment_2[[#This Row],[category_assignment_id]],"")</f>
        <v/>
      </c>
      <c r="B821" s="23" t="str">
        <f>IFERROR(VLOOKUP(category_assignment_2[[#This Row],[category_id]],#REF!,3,FALSE),"")</f>
        <v/>
      </c>
      <c r="C821" s="23" t="str">
        <f>IFERROR(VLOOKUP(category_assignment_2[[#This Row],[abbreviation_id]],abbreviation[],ColumnLanguage+1,FALSE),"")</f>
        <v/>
      </c>
      <c r="D821" s="23"/>
      <c r="E821" s="23"/>
      <c r="F821" s="23"/>
      <c r="G821" s="23"/>
      <c r="H821" s="23"/>
      <c r="I821" s="23"/>
      <c r="J821" s="23"/>
      <c r="K821" s="23"/>
    </row>
    <row r="822" spans="1:11" x14ac:dyDescent="0.25">
      <c r="A822" s="4" t="str">
        <f>IFERROR(category_assignment_2[[#This Row],[category_assignment_id]],"")</f>
        <v/>
      </c>
      <c r="B822" s="23" t="str">
        <f>IFERROR(VLOOKUP(category_assignment_2[[#This Row],[category_id]],#REF!,3,FALSE),"")</f>
        <v/>
      </c>
      <c r="C822" s="23" t="str">
        <f>IFERROR(VLOOKUP(category_assignment_2[[#This Row],[abbreviation_id]],abbreviation[],ColumnLanguage+1,FALSE),"")</f>
        <v/>
      </c>
      <c r="D822" s="23"/>
      <c r="E822" s="23"/>
      <c r="F822" s="23"/>
      <c r="G822" s="23"/>
      <c r="H822" s="23"/>
      <c r="I822" s="23"/>
      <c r="J822" s="23"/>
      <c r="K822" s="23"/>
    </row>
    <row r="823" spans="1:11" x14ac:dyDescent="0.25">
      <c r="A823" s="4" t="str">
        <f>IFERROR(category_assignment_2[[#This Row],[category_assignment_id]],"")</f>
        <v/>
      </c>
      <c r="B823" s="23" t="str">
        <f>IFERROR(VLOOKUP(category_assignment_2[[#This Row],[category_id]],#REF!,3,FALSE),"")</f>
        <v/>
      </c>
      <c r="C823" s="23" t="str">
        <f>IFERROR(VLOOKUP(category_assignment_2[[#This Row],[abbreviation_id]],abbreviation[],ColumnLanguage+1,FALSE),"")</f>
        <v/>
      </c>
      <c r="D823" s="23"/>
      <c r="E823" s="23"/>
      <c r="F823" s="23"/>
      <c r="G823" s="23"/>
      <c r="H823" s="23"/>
      <c r="I823" s="23"/>
      <c r="J823" s="23"/>
      <c r="K823" s="23"/>
    </row>
    <row r="824" spans="1:11" x14ac:dyDescent="0.25">
      <c r="A824" s="4" t="str">
        <f>IFERROR(category_assignment_2[[#This Row],[category_assignment_id]],"")</f>
        <v/>
      </c>
      <c r="B824" s="23" t="str">
        <f>IFERROR(VLOOKUP(category_assignment_2[[#This Row],[category_id]],#REF!,3,FALSE),"")</f>
        <v/>
      </c>
      <c r="C824" s="23" t="str">
        <f>IFERROR(VLOOKUP(category_assignment_2[[#This Row],[abbreviation_id]],abbreviation[],ColumnLanguage+1,FALSE),"")</f>
        <v/>
      </c>
      <c r="D824" s="23"/>
      <c r="E824" s="23"/>
      <c r="F824" s="23"/>
      <c r="G824" s="23"/>
      <c r="H824" s="23"/>
      <c r="I824" s="23"/>
      <c r="J824" s="23"/>
      <c r="K824" s="23"/>
    </row>
    <row r="825" spans="1:11" x14ac:dyDescent="0.25">
      <c r="A825" s="4" t="str">
        <f>IFERROR(category_assignment_2[[#This Row],[category_assignment_id]],"")</f>
        <v/>
      </c>
      <c r="B825" s="23" t="str">
        <f>IFERROR(VLOOKUP(category_assignment_2[[#This Row],[category_id]],#REF!,3,FALSE),"")</f>
        <v/>
      </c>
      <c r="C825" s="23" t="str">
        <f>IFERROR(VLOOKUP(category_assignment_2[[#This Row],[abbreviation_id]],abbreviation[],ColumnLanguage+1,FALSE),"")</f>
        <v/>
      </c>
      <c r="D825" s="23"/>
      <c r="E825" s="23"/>
      <c r="F825" s="23"/>
      <c r="G825" s="23"/>
      <c r="H825" s="23"/>
      <c r="I825" s="23"/>
      <c r="J825" s="23"/>
      <c r="K825" s="23"/>
    </row>
    <row r="826" spans="1:11" x14ac:dyDescent="0.25">
      <c r="A826" s="4" t="str">
        <f>IFERROR(category_assignment_2[[#This Row],[category_assignment_id]],"")</f>
        <v/>
      </c>
      <c r="B826" s="23" t="str">
        <f>IFERROR(VLOOKUP(category_assignment_2[[#This Row],[category_id]],#REF!,3,FALSE),"")</f>
        <v/>
      </c>
      <c r="C826" s="23" t="str">
        <f>IFERROR(VLOOKUP(category_assignment_2[[#This Row],[abbreviation_id]],abbreviation[],ColumnLanguage+1,FALSE),"")</f>
        <v/>
      </c>
      <c r="D826" s="23"/>
      <c r="E826" s="23"/>
      <c r="F826" s="23"/>
      <c r="G826" s="23"/>
      <c r="H826" s="23"/>
      <c r="I826" s="23"/>
      <c r="J826" s="23"/>
      <c r="K826" s="23"/>
    </row>
    <row r="827" spans="1:11" x14ac:dyDescent="0.25">
      <c r="A827" s="4" t="str">
        <f>IFERROR(category_assignment_2[[#This Row],[category_assignment_id]],"")</f>
        <v/>
      </c>
      <c r="B827" s="23" t="str">
        <f>IFERROR(VLOOKUP(category_assignment_2[[#This Row],[category_id]],#REF!,3,FALSE),"")</f>
        <v/>
      </c>
      <c r="C827" s="23" t="str">
        <f>IFERROR(VLOOKUP(category_assignment_2[[#This Row],[abbreviation_id]],abbreviation[],ColumnLanguage+1,FALSE),"")</f>
        <v/>
      </c>
      <c r="D827" s="23"/>
      <c r="E827" s="23"/>
      <c r="F827" s="23"/>
      <c r="G827" s="23"/>
      <c r="H827" s="23"/>
      <c r="I827" s="23"/>
      <c r="J827" s="23"/>
      <c r="K827" s="23"/>
    </row>
    <row r="828" spans="1:11" x14ac:dyDescent="0.25">
      <c r="A828" s="4" t="str">
        <f>IFERROR(category_assignment_2[[#This Row],[category_assignment_id]],"")</f>
        <v/>
      </c>
      <c r="B828" s="23" t="str">
        <f>IFERROR(VLOOKUP(category_assignment_2[[#This Row],[category_id]],#REF!,3,FALSE),"")</f>
        <v/>
      </c>
      <c r="C828" s="23" t="str">
        <f>IFERROR(VLOOKUP(category_assignment_2[[#This Row],[abbreviation_id]],abbreviation[],ColumnLanguage+1,FALSE),"")</f>
        <v/>
      </c>
      <c r="D828" s="23"/>
      <c r="E828" s="23"/>
      <c r="F828" s="23"/>
      <c r="G828" s="23"/>
      <c r="H828" s="23"/>
      <c r="I828" s="23"/>
      <c r="J828" s="23"/>
      <c r="K828" s="23"/>
    </row>
    <row r="829" spans="1:11" x14ac:dyDescent="0.25">
      <c r="A829" s="4" t="str">
        <f>IFERROR(category_assignment_2[[#This Row],[category_assignment_id]],"")</f>
        <v/>
      </c>
      <c r="B829" s="23" t="str">
        <f>IFERROR(VLOOKUP(category_assignment_2[[#This Row],[category_id]],#REF!,3,FALSE),"")</f>
        <v/>
      </c>
      <c r="C829" s="23" t="str">
        <f>IFERROR(VLOOKUP(category_assignment_2[[#This Row],[abbreviation_id]],abbreviation[],ColumnLanguage+1,FALSE),"")</f>
        <v/>
      </c>
      <c r="D829" s="23"/>
      <c r="E829" s="23"/>
      <c r="F829" s="23"/>
      <c r="G829" s="23"/>
      <c r="H829" s="23"/>
      <c r="I829" s="23"/>
      <c r="J829" s="23"/>
      <c r="K829" s="23"/>
    </row>
    <row r="830" spans="1:11" x14ac:dyDescent="0.25">
      <c r="A830" s="4" t="str">
        <f>IFERROR(category_assignment_2[[#This Row],[category_assignment_id]],"")</f>
        <v/>
      </c>
      <c r="B830" s="23" t="str">
        <f>IFERROR(VLOOKUP(category_assignment_2[[#This Row],[category_id]],#REF!,3,FALSE),"")</f>
        <v/>
      </c>
      <c r="C830" s="23" t="str">
        <f>IFERROR(VLOOKUP(category_assignment_2[[#This Row],[abbreviation_id]],abbreviation[],ColumnLanguage+1,FALSE),"")</f>
        <v/>
      </c>
      <c r="D830" s="23"/>
      <c r="E830" s="23"/>
      <c r="F830" s="23"/>
      <c r="G830" s="23"/>
      <c r="H830" s="23"/>
      <c r="I830" s="23"/>
      <c r="J830" s="23"/>
      <c r="K830" s="23"/>
    </row>
    <row r="831" spans="1:11" x14ac:dyDescent="0.25">
      <c r="A831" s="4" t="str">
        <f>IFERROR(category_assignment_2[[#This Row],[category_assignment_id]],"")</f>
        <v/>
      </c>
      <c r="B831" s="23" t="str">
        <f>IFERROR(VLOOKUP(category_assignment_2[[#This Row],[category_id]],#REF!,3,FALSE),"")</f>
        <v/>
      </c>
      <c r="C831" s="23" t="str">
        <f>IFERROR(VLOOKUP(category_assignment_2[[#This Row],[abbreviation_id]],abbreviation[],ColumnLanguage+1,FALSE),"")</f>
        <v/>
      </c>
      <c r="D831" s="23"/>
      <c r="E831" s="23"/>
      <c r="F831" s="23"/>
      <c r="G831" s="23"/>
      <c r="H831" s="23"/>
      <c r="I831" s="23"/>
      <c r="J831" s="23"/>
      <c r="K831" s="23"/>
    </row>
    <row r="832" spans="1:11" x14ac:dyDescent="0.25">
      <c r="A832" s="4" t="str">
        <f>IFERROR(category_assignment_2[[#This Row],[category_assignment_id]],"")</f>
        <v/>
      </c>
      <c r="B832" s="23" t="str">
        <f>IFERROR(VLOOKUP(category_assignment_2[[#This Row],[category_id]],#REF!,3,FALSE),"")</f>
        <v/>
      </c>
      <c r="C832" s="23" t="str">
        <f>IFERROR(VLOOKUP(category_assignment_2[[#This Row],[abbreviation_id]],abbreviation[],ColumnLanguage+1,FALSE),"")</f>
        <v/>
      </c>
      <c r="D832" s="23"/>
      <c r="E832" s="23"/>
      <c r="F832" s="23"/>
      <c r="G832" s="23"/>
      <c r="H832" s="23"/>
      <c r="I832" s="23"/>
      <c r="J832" s="23"/>
      <c r="K832" s="23"/>
    </row>
    <row r="833" spans="1:11" x14ac:dyDescent="0.25">
      <c r="A833" s="4" t="str">
        <f>IFERROR(category_assignment_2[[#This Row],[category_assignment_id]],"")</f>
        <v/>
      </c>
      <c r="B833" s="23" t="str">
        <f>IFERROR(VLOOKUP(category_assignment_2[[#This Row],[category_id]],#REF!,3,FALSE),"")</f>
        <v/>
      </c>
      <c r="C833" s="23" t="str">
        <f>IFERROR(VLOOKUP(category_assignment_2[[#This Row],[abbreviation_id]],abbreviation[],ColumnLanguage+1,FALSE),"")</f>
        <v/>
      </c>
      <c r="D833" s="23"/>
      <c r="E833" s="23"/>
      <c r="F833" s="23"/>
      <c r="G833" s="23"/>
      <c r="H833" s="23"/>
      <c r="I833" s="23"/>
      <c r="J833" s="23"/>
      <c r="K833" s="23"/>
    </row>
    <row r="834" spans="1:11" x14ac:dyDescent="0.25">
      <c r="A834" s="4" t="str">
        <f>IFERROR(category_assignment_2[[#This Row],[category_assignment_id]],"")</f>
        <v/>
      </c>
      <c r="B834" s="23" t="str">
        <f>IFERROR(VLOOKUP(category_assignment_2[[#This Row],[category_id]],#REF!,3,FALSE),"")</f>
        <v/>
      </c>
      <c r="C834" s="23" t="str">
        <f>IFERROR(VLOOKUP(category_assignment_2[[#This Row],[abbreviation_id]],abbreviation[],ColumnLanguage+1,FALSE),"")</f>
        <v/>
      </c>
      <c r="D834" s="23"/>
      <c r="E834" s="23"/>
      <c r="F834" s="23"/>
      <c r="G834" s="23"/>
      <c r="H834" s="23"/>
      <c r="I834" s="23"/>
      <c r="J834" s="23"/>
      <c r="K834" s="23"/>
    </row>
    <row r="835" spans="1:11" x14ac:dyDescent="0.25">
      <c r="A835" s="4" t="str">
        <f>IFERROR(category_assignment_2[[#This Row],[category_assignment_id]],"")</f>
        <v/>
      </c>
      <c r="B835" s="23" t="str">
        <f>IFERROR(VLOOKUP(category_assignment_2[[#This Row],[category_id]],#REF!,3,FALSE),"")</f>
        <v/>
      </c>
      <c r="C835" s="23" t="str">
        <f>IFERROR(VLOOKUP(category_assignment_2[[#This Row],[abbreviation_id]],abbreviation[],ColumnLanguage+1,FALSE),"")</f>
        <v/>
      </c>
      <c r="D835" s="23"/>
      <c r="E835" s="23"/>
      <c r="F835" s="23"/>
      <c r="G835" s="23"/>
      <c r="H835" s="23"/>
      <c r="I835" s="23"/>
      <c r="J835" s="23"/>
      <c r="K835" s="23"/>
    </row>
    <row r="836" spans="1:11" x14ac:dyDescent="0.25">
      <c r="A836" s="4" t="str">
        <f>IFERROR(category_assignment_2[[#This Row],[category_assignment_id]],"")</f>
        <v/>
      </c>
      <c r="B836" s="23" t="str">
        <f>IFERROR(VLOOKUP(category_assignment_2[[#This Row],[category_id]],#REF!,3,FALSE),"")</f>
        <v/>
      </c>
      <c r="C836" s="23" t="str">
        <f>IFERROR(VLOOKUP(category_assignment_2[[#This Row],[abbreviation_id]],abbreviation[],ColumnLanguage+1,FALSE),"")</f>
        <v/>
      </c>
      <c r="D836" s="23"/>
      <c r="E836" s="23"/>
      <c r="F836" s="23"/>
      <c r="G836" s="23"/>
      <c r="H836" s="23"/>
      <c r="I836" s="23"/>
      <c r="J836" s="23"/>
      <c r="K836" s="23"/>
    </row>
    <row r="837" spans="1:11" x14ac:dyDescent="0.25">
      <c r="A837" s="4" t="str">
        <f>IFERROR(category_assignment_2[[#This Row],[category_assignment_id]],"")</f>
        <v/>
      </c>
      <c r="B837" s="23" t="str">
        <f>IFERROR(VLOOKUP(category_assignment_2[[#This Row],[category_id]],#REF!,3,FALSE),"")</f>
        <v/>
      </c>
      <c r="C837" s="23" t="str">
        <f>IFERROR(VLOOKUP(category_assignment_2[[#This Row],[abbreviation_id]],abbreviation[],ColumnLanguage+1,FALSE),"")</f>
        <v/>
      </c>
      <c r="D837" s="23"/>
      <c r="E837" s="23"/>
      <c r="F837" s="23"/>
      <c r="G837" s="23"/>
      <c r="H837" s="23"/>
      <c r="I837" s="23"/>
      <c r="J837" s="23"/>
      <c r="K837" s="23"/>
    </row>
    <row r="838" spans="1:11" x14ac:dyDescent="0.25">
      <c r="A838" s="4" t="str">
        <f>IFERROR(category_assignment_2[[#This Row],[category_assignment_id]],"")</f>
        <v/>
      </c>
      <c r="B838" s="23" t="str">
        <f>IFERROR(VLOOKUP(category_assignment_2[[#This Row],[category_id]],#REF!,3,FALSE),"")</f>
        <v/>
      </c>
      <c r="C838" s="23" t="str">
        <f>IFERROR(VLOOKUP(category_assignment_2[[#This Row],[abbreviation_id]],abbreviation[],ColumnLanguage+1,FALSE),"")</f>
        <v/>
      </c>
      <c r="D838" s="23"/>
      <c r="E838" s="23"/>
      <c r="F838" s="23"/>
      <c r="G838" s="23"/>
      <c r="H838" s="23"/>
      <c r="I838" s="23"/>
      <c r="J838" s="23"/>
      <c r="K838" s="23"/>
    </row>
    <row r="839" spans="1:11" x14ac:dyDescent="0.25">
      <c r="A839" s="4" t="str">
        <f>IFERROR(category_assignment_2[[#This Row],[category_assignment_id]],"")</f>
        <v/>
      </c>
      <c r="B839" s="23" t="str">
        <f>IFERROR(VLOOKUP(category_assignment_2[[#This Row],[category_id]],#REF!,3,FALSE),"")</f>
        <v/>
      </c>
      <c r="C839" s="23" t="str">
        <f>IFERROR(VLOOKUP(category_assignment_2[[#This Row],[abbreviation_id]],abbreviation[],ColumnLanguage+1,FALSE),"")</f>
        <v/>
      </c>
      <c r="D839" s="23"/>
      <c r="E839" s="23"/>
      <c r="F839" s="23"/>
      <c r="G839" s="23"/>
      <c r="H839" s="23"/>
      <c r="I839" s="23"/>
      <c r="J839" s="23"/>
      <c r="K839" s="23"/>
    </row>
    <row r="840" spans="1:11" x14ac:dyDescent="0.25">
      <c r="A840" s="4" t="str">
        <f>IFERROR(category_assignment_2[[#This Row],[category_assignment_id]],"")</f>
        <v/>
      </c>
      <c r="B840" s="23" t="str">
        <f>IFERROR(VLOOKUP(category_assignment_2[[#This Row],[category_id]],#REF!,3,FALSE),"")</f>
        <v/>
      </c>
      <c r="C840" s="23" t="str">
        <f>IFERROR(VLOOKUP(category_assignment_2[[#This Row],[abbreviation_id]],abbreviation[],ColumnLanguage+1,FALSE),"")</f>
        <v/>
      </c>
      <c r="D840" s="23"/>
      <c r="E840" s="23"/>
      <c r="F840" s="23"/>
      <c r="G840" s="23"/>
      <c r="H840" s="23"/>
      <c r="I840" s="23"/>
      <c r="J840" s="23"/>
      <c r="K840" s="23"/>
    </row>
    <row r="841" spans="1:11" x14ac:dyDescent="0.25">
      <c r="A841" s="4" t="str">
        <f>IFERROR(category_assignment_2[[#This Row],[category_assignment_id]],"")</f>
        <v/>
      </c>
      <c r="B841" s="23" t="str">
        <f>IFERROR(VLOOKUP(category_assignment_2[[#This Row],[category_id]],#REF!,3,FALSE),"")</f>
        <v/>
      </c>
      <c r="C841" s="23" t="str">
        <f>IFERROR(VLOOKUP(category_assignment_2[[#This Row],[abbreviation_id]],abbreviation[],ColumnLanguage+1,FALSE),"")</f>
        <v/>
      </c>
      <c r="D841" s="23"/>
      <c r="E841" s="23"/>
      <c r="F841" s="23"/>
      <c r="G841" s="23"/>
      <c r="H841" s="23"/>
      <c r="I841" s="23"/>
      <c r="J841" s="23"/>
      <c r="K841" s="23"/>
    </row>
    <row r="842" spans="1:11" x14ac:dyDescent="0.25">
      <c r="A842" s="4" t="str">
        <f>IFERROR(category_assignment_2[[#This Row],[category_assignment_id]],"")</f>
        <v/>
      </c>
      <c r="B842" s="23" t="str">
        <f>IFERROR(VLOOKUP(category_assignment_2[[#This Row],[category_id]],#REF!,3,FALSE),"")</f>
        <v/>
      </c>
      <c r="C842" s="23" t="str">
        <f>IFERROR(VLOOKUP(category_assignment_2[[#This Row],[abbreviation_id]],abbreviation[],ColumnLanguage+1,FALSE),"")</f>
        <v/>
      </c>
      <c r="D842" s="23"/>
      <c r="E842" s="23"/>
      <c r="F842" s="23"/>
      <c r="G842" s="23"/>
      <c r="H842" s="23"/>
      <c r="I842" s="23"/>
      <c r="J842" s="23"/>
      <c r="K842" s="23"/>
    </row>
    <row r="843" spans="1:11" x14ac:dyDescent="0.25">
      <c r="A843" s="4" t="str">
        <f>IFERROR(category_assignment_2[[#This Row],[category_assignment_id]],"")</f>
        <v/>
      </c>
      <c r="B843" s="23" t="str">
        <f>IFERROR(VLOOKUP(category_assignment_2[[#This Row],[category_id]],#REF!,3,FALSE),"")</f>
        <v/>
      </c>
      <c r="C843" s="23" t="str">
        <f>IFERROR(VLOOKUP(category_assignment_2[[#This Row],[abbreviation_id]],abbreviation[],ColumnLanguage+1,FALSE),"")</f>
        <v/>
      </c>
      <c r="D843" s="23"/>
      <c r="E843" s="23"/>
      <c r="F843" s="23"/>
      <c r="G843" s="23"/>
      <c r="H843" s="23"/>
      <c r="I843" s="23"/>
      <c r="J843" s="23"/>
      <c r="K843" s="23"/>
    </row>
    <row r="844" spans="1:11" x14ac:dyDescent="0.25">
      <c r="A844" s="4" t="str">
        <f>IFERROR(category_assignment_2[[#This Row],[category_assignment_id]],"")</f>
        <v/>
      </c>
      <c r="B844" s="23" t="str">
        <f>IFERROR(VLOOKUP(category_assignment_2[[#This Row],[category_id]],#REF!,3,FALSE),"")</f>
        <v/>
      </c>
      <c r="C844" s="23" t="str">
        <f>IFERROR(VLOOKUP(category_assignment_2[[#This Row],[abbreviation_id]],abbreviation[],ColumnLanguage+1,FALSE),"")</f>
        <v/>
      </c>
      <c r="D844" s="23"/>
      <c r="E844" s="23"/>
      <c r="F844" s="23"/>
      <c r="G844" s="23"/>
      <c r="H844" s="23"/>
      <c r="I844" s="23"/>
      <c r="J844" s="23"/>
      <c r="K844" s="23"/>
    </row>
    <row r="845" spans="1:11" x14ac:dyDescent="0.25">
      <c r="A845" s="4" t="str">
        <f>IFERROR(category_assignment_2[[#This Row],[category_assignment_id]],"")</f>
        <v/>
      </c>
      <c r="B845" s="23" t="str">
        <f>IFERROR(VLOOKUP(category_assignment_2[[#This Row],[category_id]],#REF!,3,FALSE),"")</f>
        <v/>
      </c>
      <c r="C845" s="23" t="str">
        <f>IFERROR(VLOOKUP(category_assignment_2[[#This Row],[abbreviation_id]],abbreviation[],ColumnLanguage+1,FALSE),"")</f>
        <v/>
      </c>
      <c r="D845" s="23"/>
      <c r="E845" s="23"/>
      <c r="F845" s="23"/>
      <c r="G845" s="23"/>
      <c r="H845" s="23"/>
      <c r="I845" s="23"/>
      <c r="J845" s="23"/>
      <c r="K845" s="23"/>
    </row>
    <row r="846" spans="1:11" x14ac:dyDescent="0.25">
      <c r="A846" s="4" t="str">
        <f>IFERROR(category_assignment_2[[#This Row],[category_assignment_id]],"")</f>
        <v/>
      </c>
      <c r="B846" s="23" t="str">
        <f>IFERROR(VLOOKUP(category_assignment_2[[#This Row],[category_id]],#REF!,3,FALSE),"")</f>
        <v/>
      </c>
      <c r="C846" s="23" t="str">
        <f>IFERROR(VLOOKUP(category_assignment_2[[#This Row],[abbreviation_id]],abbreviation[],ColumnLanguage+1,FALSE),"")</f>
        <v/>
      </c>
      <c r="D846" s="23"/>
      <c r="E846" s="23"/>
      <c r="F846" s="23"/>
      <c r="G846" s="23"/>
      <c r="H846" s="23"/>
      <c r="I846" s="23"/>
      <c r="J846" s="23"/>
      <c r="K846" s="23"/>
    </row>
    <row r="847" spans="1:11" x14ac:dyDescent="0.25">
      <c r="A847" s="4" t="str">
        <f>IFERROR(category_assignment_2[[#This Row],[category_assignment_id]],"")</f>
        <v/>
      </c>
      <c r="B847" s="23" t="str">
        <f>IFERROR(VLOOKUP(category_assignment_2[[#This Row],[category_id]],#REF!,3,FALSE),"")</f>
        <v/>
      </c>
      <c r="C847" s="23" t="str">
        <f>IFERROR(VLOOKUP(category_assignment_2[[#This Row],[abbreviation_id]],abbreviation[],ColumnLanguage+1,FALSE),"")</f>
        <v/>
      </c>
      <c r="D847" s="23"/>
      <c r="E847" s="23"/>
      <c r="F847" s="23"/>
      <c r="G847" s="23"/>
      <c r="H847" s="23"/>
      <c r="I847" s="23"/>
      <c r="J847" s="23"/>
      <c r="K847" s="23"/>
    </row>
    <row r="848" spans="1:11" x14ac:dyDescent="0.25">
      <c r="A848" s="4" t="str">
        <f>IFERROR(category_assignment_2[[#This Row],[category_assignment_id]],"")</f>
        <v/>
      </c>
      <c r="B848" s="23" t="str">
        <f>IFERROR(VLOOKUP(category_assignment_2[[#This Row],[category_id]],#REF!,3,FALSE),"")</f>
        <v/>
      </c>
      <c r="C848" s="23" t="str">
        <f>IFERROR(VLOOKUP(category_assignment_2[[#This Row],[abbreviation_id]],abbreviation[],ColumnLanguage+1,FALSE),"")</f>
        <v/>
      </c>
      <c r="D848" s="23"/>
      <c r="E848" s="23"/>
      <c r="F848" s="23"/>
      <c r="G848" s="23"/>
      <c r="H848" s="23"/>
      <c r="I848" s="23"/>
      <c r="J848" s="23"/>
      <c r="K848" s="23"/>
    </row>
    <row r="849" spans="1:11" x14ac:dyDescent="0.25">
      <c r="A849" s="4" t="str">
        <f>IFERROR(category_assignment_2[[#This Row],[category_assignment_id]],"")</f>
        <v/>
      </c>
      <c r="B849" s="23" t="str">
        <f>IFERROR(VLOOKUP(category_assignment_2[[#This Row],[category_id]],#REF!,3,FALSE),"")</f>
        <v/>
      </c>
      <c r="C849" s="23" t="str">
        <f>IFERROR(VLOOKUP(category_assignment_2[[#This Row],[abbreviation_id]],abbreviation[],ColumnLanguage+1,FALSE),"")</f>
        <v/>
      </c>
      <c r="D849" s="23"/>
      <c r="E849" s="23"/>
      <c r="F849" s="23"/>
      <c r="G849" s="23"/>
      <c r="H849" s="23"/>
      <c r="I849" s="23"/>
      <c r="J849" s="23"/>
      <c r="K849" s="23"/>
    </row>
    <row r="850" spans="1:11" x14ac:dyDescent="0.25">
      <c r="A850" s="4" t="str">
        <f>IFERROR(category_assignment_2[[#This Row],[category_assignment_id]],"")</f>
        <v/>
      </c>
      <c r="B850" s="23" t="str">
        <f>IFERROR(VLOOKUP(category_assignment_2[[#This Row],[category_id]],#REF!,3,FALSE),"")</f>
        <v/>
      </c>
      <c r="C850" s="23" t="str">
        <f>IFERROR(VLOOKUP(category_assignment_2[[#This Row],[abbreviation_id]],abbreviation[],ColumnLanguage+1,FALSE),"")</f>
        <v/>
      </c>
      <c r="D850" s="23"/>
      <c r="E850" s="23"/>
      <c r="F850" s="23"/>
      <c r="G850" s="23"/>
      <c r="H850" s="23"/>
      <c r="I850" s="23"/>
      <c r="J850" s="23"/>
      <c r="K850" s="23"/>
    </row>
    <row r="851" spans="1:11" x14ac:dyDescent="0.25">
      <c r="A851" s="4" t="str">
        <f>IFERROR(category_assignment_2[[#This Row],[category_assignment_id]],"")</f>
        <v/>
      </c>
      <c r="B851" s="23" t="str">
        <f>IFERROR(VLOOKUP(category_assignment_2[[#This Row],[category_id]],#REF!,3,FALSE),"")</f>
        <v/>
      </c>
      <c r="C851" s="23" t="str">
        <f>IFERROR(VLOOKUP(category_assignment_2[[#This Row],[abbreviation_id]],abbreviation[],ColumnLanguage+1,FALSE),"")</f>
        <v/>
      </c>
      <c r="D851" s="23"/>
      <c r="E851" s="23"/>
      <c r="F851" s="23"/>
      <c r="G851" s="23"/>
      <c r="H851" s="23"/>
      <c r="I851" s="23"/>
      <c r="J851" s="23"/>
      <c r="K851" s="23"/>
    </row>
    <row r="852" spans="1:11" x14ac:dyDescent="0.25">
      <c r="A852" s="4" t="str">
        <f>IFERROR(category_assignment_2[[#This Row],[category_assignment_id]],"")</f>
        <v/>
      </c>
      <c r="B852" s="23" t="str">
        <f>IFERROR(VLOOKUP(category_assignment_2[[#This Row],[category_id]],#REF!,3,FALSE),"")</f>
        <v/>
      </c>
      <c r="C852" s="23" t="str">
        <f>IFERROR(VLOOKUP(category_assignment_2[[#This Row],[abbreviation_id]],abbreviation[],ColumnLanguage+1,FALSE),"")</f>
        <v/>
      </c>
      <c r="D852" s="23"/>
      <c r="E852" s="23"/>
      <c r="F852" s="23"/>
      <c r="G852" s="23"/>
      <c r="H852" s="23"/>
      <c r="I852" s="23"/>
      <c r="J852" s="23"/>
      <c r="K852" s="23"/>
    </row>
    <row r="853" spans="1:11" x14ac:dyDescent="0.25">
      <c r="A853" s="4" t="str">
        <f>IFERROR(category_assignment_2[[#This Row],[category_assignment_id]],"")</f>
        <v/>
      </c>
      <c r="B853" s="23" t="str">
        <f>IFERROR(VLOOKUP(category_assignment_2[[#This Row],[category_id]],#REF!,3,FALSE),"")</f>
        <v/>
      </c>
      <c r="C853" s="23" t="str">
        <f>IFERROR(VLOOKUP(category_assignment_2[[#This Row],[abbreviation_id]],abbreviation[],ColumnLanguage+1,FALSE),"")</f>
        <v/>
      </c>
      <c r="D853" s="23"/>
      <c r="E853" s="23"/>
      <c r="F853" s="23"/>
      <c r="G853" s="23"/>
      <c r="H853" s="23"/>
      <c r="I853" s="23"/>
      <c r="J853" s="23"/>
      <c r="K853" s="23"/>
    </row>
    <row r="854" spans="1:11" x14ac:dyDescent="0.25">
      <c r="A854" s="4" t="str">
        <f>IFERROR(category_assignment_2[[#This Row],[category_assignment_id]],"")</f>
        <v/>
      </c>
      <c r="B854" s="23" t="str">
        <f>IFERROR(VLOOKUP(category_assignment_2[[#This Row],[category_id]],#REF!,3,FALSE),"")</f>
        <v/>
      </c>
      <c r="C854" s="23" t="str">
        <f>IFERROR(VLOOKUP(category_assignment_2[[#This Row],[abbreviation_id]],abbreviation[],ColumnLanguage+1,FALSE),"")</f>
        <v/>
      </c>
      <c r="D854" s="23"/>
      <c r="E854" s="23"/>
      <c r="F854" s="23"/>
      <c r="G854" s="23"/>
      <c r="H854" s="23"/>
      <c r="I854" s="23"/>
      <c r="J854" s="23"/>
      <c r="K854" s="23"/>
    </row>
    <row r="855" spans="1:11" x14ac:dyDescent="0.25">
      <c r="A855" s="4" t="str">
        <f>IFERROR(category_assignment_2[[#This Row],[category_assignment_id]],"")</f>
        <v/>
      </c>
      <c r="B855" s="23" t="str">
        <f>IFERROR(VLOOKUP(category_assignment_2[[#This Row],[category_id]],#REF!,3,FALSE),"")</f>
        <v/>
      </c>
      <c r="C855" s="23" t="str">
        <f>IFERROR(VLOOKUP(category_assignment_2[[#This Row],[abbreviation_id]],abbreviation[],ColumnLanguage+1,FALSE),"")</f>
        <v/>
      </c>
      <c r="D855" s="23"/>
      <c r="E855" s="23"/>
      <c r="F855" s="23"/>
      <c r="G855" s="23"/>
      <c r="H855" s="23"/>
      <c r="I855" s="23"/>
      <c r="J855" s="23"/>
      <c r="K855" s="23"/>
    </row>
    <row r="856" spans="1:11" x14ac:dyDescent="0.25">
      <c r="A856" s="4" t="str">
        <f>IFERROR(category_assignment_2[[#This Row],[category_assignment_id]],"")</f>
        <v/>
      </c>
      <c r="B856" s="23" t="str">
        <f>IFERROR(VLOOKUP(category_assignment_2[[#This Row],[category_id]],#REF!,3,FALSE),"")</f>
        <v/>
      </c>
      <c r="C856" s="23" t="str">
        <f>IFERROR(VLOOKUP(category_assignment_2[[#This Row],[abbreviation_id]],abbreviation[],ColumnLanguage+1,FALSE),"")</f>
        <v/>
      </c>
      <c r="D856" s="23"/>
      <c r="E856" s="23"/>
      <c r="F856" s="23"/>
      <c r="G856" s="23"/>
      <c r="H856" s="23"/>
      <c r="I856" s="23"/>
      <c r="J856" s="23"/>
      <c r="K856" s="23"/>
    </row>
    <row r="857" spans="1:11" x14ac:dyDescent="0.25">
      <c r="A857" s="4" t="str">
        <f>IFERROR(category_assignment_2[[#This Row],[category_assignment_id]],"")</f>
        <v/>
      </c>
      <c r="B857" s="23" t="str">
        <f>IFERROR(VLOOKUP(category_assignment_2[[#This Row],[category_id]],#REF!,3,FALSE),"")</f>
        <v/>
      </c>
      <c r="C857" s="23" t="str">
        <f>IFERROR(VLOOKUP(category_assignment_2[[#This Row],[abbreviation_id]],abbreviation[],ColumnLanguage+1,FALSE),"")</f>
        <v/>
      </c>
      <c r="D857" s="23"/>
      <c r="E857" s="23"/>
      <c r="F857" s="23"/>
      <c r="G857" s="23"/>
      <c r="H857" s="23"/>
      <c r="I857" s="23"/>
      <c r="J857" s="23"/>
      <c r="K857" s="23"/>
    </row>
    <row r="858" spans="1:11" x14ac:dyDescent="0.25">
      <c r="A858" s="4" t="str">
        <f>IFERROR(category_assignment_2[[#This Row],[category_assignment_id]],"")</f>
        <v/>
      </c>
      <c r="B858" s="23" t="str">
        <f>IFERROR(VLOOKUP(category_assignment_2[[#This Row],[category_id]],#REF!,3,FALSE),"")</f>
        <v/>
      </c>
      <c r="C858" s="23" t="str">
        <f>IFERROR(VLOOKUP(category_assignment_2[[#This Row],[abbreviation_id]],abbreviation[],ColumnLanguage+1,FALSE),"")</f>
        <v/>
      </c>
      <c r="D858" s="23"/>
      <c r="E858" s="23"/>
      <c r="F858" s="23"/>
      <c r="G858" s="23"/>
      <c r="H858" s="23"/>
      <c r="I858" s="23"/>
      <c r="J858" s="23"/>
      <c r="K858" s="23"/>
    </row>
    <row r="859" spans="1:11" x14ac:dyDescent="0.25">
      <c r="A859" s="4" t="str">
        <f>IFERROR(category_assignment_2[[#This Row],[category_assignment_id]],"")</f>
        <v/>
      </c>
      <c r="B859" s="23" t="str">
        <f>IFERROR(VLOOKUP(category_assignment_2[[#This Row],[category_id]],#REF!,3,FALSE),"")</f>
        <v/>
      </c>
      <c r="C859" s="23" t="str">
        <f>IFERROR(VLOOKUP(category_assignment_2[[#This Row],[abbreviation_id]],abbreviation[],ColumnLanguage+1,FALSE),"")</f>
        <v/>
      </c>
      <c r="D859" s="23"/>
      <c r="E859" s="23"/>
      <c r="F859" s="23"/>
      <c r="G859" s="23"/>
      <c r="H859" s="23"/>
      <c r="I859" s="23"/>
      <c r="J859" s="23"/>
      <c r="K859" s="23"/>
    </row>
    <row r="860" spans="1:11" x14ac:dyDescent="0.25">
      <c r="A860" s="4" t="str">
        <f>IFERROR(category_assignment_2[[#This Row],[category_assignment_id]],"")</f>
        <v/>
      </c>
      <c r="B860" s="23" t="str">
        <f>IFERROR(VLOOKUP(category_assignment_2[[#This Row],[category_id]],#REF!,3,FALSE),"")</f>
        <v/>
      </c>
      <c r="C860" s="23" t="str">
        <f>IFERROR(VLOOKUP(category_assignment_2[[#This Row],[abbreviation_id]],abbreviation[],ColumnLanguage+1,FALSE),"")</f>
        <v/>
      </c>
      <c r="D860" s="23"/>
      <c r="E860" s="23"/>
      <c r="F860" s="23"/>
      <c r="G860" s="23"/>
      <c r="H860" s="23"/>
      <c r="I860" s="23"/>
      <c r="J860" s="23"/>
      <c r="K860" s="23"/>
    </row>
    <row r="861" spans="1:11" x14ac:dyDescent="0.25">
      <c r="A861" s="4" t="str">
        <f>IFERROR(category_assignment_2[[#This Row],[category_assignment_id]],"")</f>
        <v/>
      </c>
      <c r="B861" s="23" t="str">
        <f>IFERROR(VLOOKUP(category_assignment_2[[#This Row],[category_id]],#REF!,3,FALSE),"")</f>
        <v/>
      </c>
      <c r="C861" s="23" t="str">
        <f>IFERROR(VLOOKUP(category_assignment_2[[#This Row],[abbreviation_id]],abbreviation[],ColumnLanguage+1,FALSE),"")</f>
        <v/>
      </c>
      <c r="D861" s="23"/>
      <c r="E861" s="23"/>
      <c r="F861" s="23"/>
      <c r="G861" s="23"/>
      <c r="H861" s="23"/>
      <c r="I861" s="23"/>
      <c r="J861" s="23"/>
      <c r="K861" s="23"/>
    </row>
    <row r="862" spans="1:11" x14ac:dyDescent="0.25">
      <c r="A862" s="4" t="str">
        <f>IFERROR(category_assignment_2[[#This Row],[category_assignment_id]],"")</f>
        <v/>
      </c>
      <c r="B862" s="23" t="str">
        <f>IFERROR(VLOOKUP(category_assignment_2[[#This Row],[category_id]],#REF!,3,FALSE),"")</f>
        <v/>
      </c>
      <c r="C862" s="23" t="str">
        <f>IFERROR(VLOOKUP(category_assignment_2[[#This Row],[abbreviation_id]],abbreviation[],ColumnLanguage+1,FALSE),"")</f>
        <v/>
      </c>
      <c r="D862" s="23"/>
      <c r="E862" s="23"/>
      <c r="F862" s="23"/>
      <c r="G862" s="23"/>
      <c r="H862" s="23"/>
      <c r="I862" s="23"/>
      <c r="J862" s="23"/>
      <c r="K862" s="23"/>
    </row>
    <row r="863" spans="1:11" x14ac:dyDescent="0.25">
      <c r="A863" s="4" t="str">
        <f>IFERROR(category_assignment_2[[#This Row],[category_assignment_id]],"")</f>
        <v/>
      </c>
      <c r="B863" s="23" t="str">
        <f>IFERROR(VLOOKUP(category_assignment_2[[#This Row],[category_id]],#REF!,3,FALSE),"")</f>
        <v/>
      </c>
      <c r="C863" s="23" t="str">
        <f>IFERROR(VLOOKUP(category_assignment_2[[#This Row],[abbreviation_id]],abbreviation[],ColumnLanguage+1,FALSE),"")</f>
        <v/>
      </c>
      <c r="D863" s="23"/>
      <c r="E863" s="23"/>
      <c r="F863" s="23"/>
      <c r="G863" s="23"/>
      <c r="H863" s="23"/>
      <c r="I863" s="23"/>
      <c r="J863" s="23"/>
      <c r="K863" s="23"/>
    </row>
    <row r="864" spans="1:11" x14ac:dyDescent="0.25">
      <c r="A864" s="4" t="str">
        <f>IFERROR(category_assignment_2[[#This Row],[category_assignment_id]],"")</f>
        <v/>
      </c>
      <c r="B864" s="23" t="str">
        <f>IFERROR(VLOOKUP(category_assignment_2[[#This Row],[category_id]],#REF!,3,FALSE),"")</f>
        <v/>
      </c>
      <c r="C864" s="23" t="str">
        <f>IFERROR(VLOOKUP(category_assignment_2[[#This Row],[abbreviation_id]],abbreviation[],ColumnLanguage+1,FALSE),"")</f>
        <v/>
      </c>
      <c r="D864" s="23"/>
      <c r="E864" s="23"/>
      <c r="F864" s="23"/>
      <c r="G864" s="23"/>
      <c r="H864" s="23"/>
      <c r="I864" s="23"/>
      <c r="J864" s="23"/>
      <c r="K864" s="23"/>
    </row>
    <row r="865" spans="1:11" x14ac:dyDescent="0.25">
      <c r="A865" s="4" t="str">
        <f>IFERROR(category_assignment_2[[#This Row],[category_assignment_id]],"")</f>
        <v/>
      </c>
      <c r="B865" s="23" t="str">
        <f>IFERROR(VLOOKUP(category_assignment_2[[#This Row],[category_id]],#REF!,3,FALSE),"")</f>
        <v/>
      </c>
      <c r="C865" s="23" t="str">
        <f>IFERROR(VLOOKUP(category_assignment_2[[#This Row],[abbreviation_id]],abbreviation[],ColumnLanguage+1,FALSE),"")</f>
        <v/>
      </c>
      <c r="D865" s="23"/>
      <c r="E865" s="23"/>
      <c r="F865" s="23"/>
      <c r="G865" s="23"/>
      <c r="H865" s="23"/>
      <c r="I865" s="23"/>
      <c r="J865" s="23"/>
      <c r="K865" s="23"/>
    </row>
    <row r="866" spans="1:11" x14ac:dyDescent="0.25">
      <c r="A866" s="4" t="str">
        <f>IFERROR(category_assignment_2[[#This Row],[category_assignment_id]],"")</f>
        <v/>
      </c>
      <c r="B866" s="23" t="str">
        <f>IFERROR(VLOOKUP(category_assignment_2[[#This Row],[category_id]],#REF!,3,FALSE),"")</f>
        <v/>
      </c>
      <c r="C866" s="23" t="str">
        <f>IFERROR(VLOOKUP(category_assignment_2[[#This Row],[abbreviation_id]],abbreviation[],ColumnLanguage+1,FALSE),"")</f>
        <v/>
      </c>
      <c r="D866" s="23"/>
      <c r="E866" s="23"/>
      <c r="F866" s="23"/>
      <c r="G866" s="23"/>
      <c r="H866" s="23"/>
      <c r="I866" s="23"/>
      <c r="J866" s="23"/>
      <c r="K866" s="23"/>
    </row>
    <row r="867" spans="1:11" x14ac:dyDescent="0.25">
      <c r="A867" s="4" t="str">
        <f>IFERROR(category_assignment_2[[#This Row],[category_assignment_id]],"")</f>
        <v/>
      </c>
      <c r="B867" s="23" t="str">
        <f>IFERROR(VLOOKUP(category_assignment_2[[#This Row],[category_id]],#REF!,3,FALSE),"")</f>
        <v/>
      </c>
      <c r="C867" s="23" t="str">
        <f>IFERROR(VLOOKUP(category_assignment_2[[#This Row],[abbreviation_id]],abbreviation[],ColumnLanguage+1,FALSE),"")</f>
        <v/>
      </c>
      <c r="D867" s="23"/>
      <c r="E867" s="23"/>
      <c r="F867" s="23"/>
      <c r="G867" s="23"/>
      <c r="H867" s="23"/>
      <c r="I867" s="23"/>
      <c r="J867" s="23"/>
      <c r="K867" s="23"/>
    </row>
    <row r="868" spans="1:11" x14ac:dyDescent="0.25">
      <c r="A868" s="4" t="str">
        <f>IFERROR(category_assignment_2[[#This Row],[category_assignment_id]],"")</f>
        <v/>
      </c>
      <c r="B868" s="23" t="str">
        <f>IFERROR(VLOOKUP(category_assignment_2[[#This Row],[category_id]],#REF!,3,FALSE),"")</f>
        <v/>
      </c>
      <c r="C868" s="23" t="str">
        <f>IFERROR(VLOOKUP(category_assignment_2[[#This Row],[abbreviation_id]],abbreviation[],ColumnLanguage+1,FALSE),"")</f>
        <v/>
      </c>
      <c r="D868" s="23"/>
      <c r="E868" s="23"/>
      <c r="F868" s="23"/>
      <c r="G868" s="23"/>
      <c r="H868" s="23"/>
      <c r="I868" s="23"/>
      <c r="J868" s="23"/>
      <c r="K868" s="23"/>
    </row>
    <row r="869" spans="1:11" x14ac:dyDescent="0.25">
      <c r="A869" s="4" t="str">
        <f>IFERROR(category_assignment_2[[#This Row],[category_assignment_id]],"")</f>
        <v/>
      </c>
      <c r="B869" s="23" t="str">
        <f>IFERROR(VLOOKUP(category_assignment_2[[#This Row],[category_id]],#REF!,3,FALSE),"")</f>
        <v/>
      </c>
      <c r="C869" s="23" t="str">
        <f>IFERROR(VLOOKUP(category_assignment_2[[#This Row],[abbreviation_id]],abbreviation[],ColumnLanguage+1,FALSE),"")</f>
        <v/>
      </c>
      <c r="D869" s="23"/>
      <c r="E869" s="23"/>
      <c r="F869" s="23"/>
      <c r="G869" s="23"/>
      <c r="H869" s="23"/>
      <c r="I869" s="23"/>
      <c r="J869" s="23"/>
      <c r="K869" s="23"/>
    </row>
    <row r="870" spans="1:11" x14ac:dyDescent="0.25">
      <c r="A870" s="4" t="str">
        <f>IFERROR(category_assignment_2[[#This Row],[category_assignment_id]],"")</f>
        <v/>
      </c>
      <c r="B870" s="23" t="str">
        <f>IFERROR(VLOOKUP(category_assignment_2[[#This Row],[category_id]],#REF!,3,FALSE),"")</f>
        <v/>
      </c>
      <c r="C870" s="23" t="str">
        <f>IFERROR(VLOOKUP(category_assignment_2[[#This Row],[abbreviation_id]],abbreviation[],ColumnLanguage+1,FALSE),"")</f>
        <v/>
      </c>
      <c r="D870" s="23"/>
      <c r="E870" s="23"/>
      <c r="F870" s="23"/>
      <c r="G870" s="23"/>
      <c r="H870" s="23"/>
      <c r="I870" s="23"/>
      <c r="J870" s="23"/>
      <c r="K870" s="23"/>
    </row>
    <row r="871" spans="1:11" x14ac:dyDescent="0.25">
      <c r="A871" s="4" t="str">
        <f>IFERROR(category_assignment_2[[#This Row],[category_assignment_id]],"")</f>
        <v/>
      </c>
      <c r="B871" s="23" t="str">
        <f>IFERROR(VLOOKUP(category_assignment_2[[#This Row],[category_id]],#REF!,3,FALSE),"")</f>
        <v/>
      </c>
      <c r="C871" s="23" t="str">
        <f>IFERROR(VLOOKUP(category_assignment_2[[#This Row],[abbreviation_id]],abbreviation[],ColumnLanguage+1,FALSE),"")</f>
        <v/>
      </c>
      <c r="D871" s="23"/>
      <c r="E871" s="23"/>
      <c r="F871" s="23"/>
      <c r="G871" s="23"/>
      <c r="H871" s="23"/>
      <c r="I871" s="23"/>
      <c r="J871" s="23"/>
      <c r="K871" s="23"/>
    </row>
    <row r="872" spans="1:11" x14ac:dyDescent="0.25">
      <c r="A872" s="4" t="str">
        <f>IFERROR(category_assignment_2[[#This Row],[category_assignment_id]],"")</f>
        <v/>
      </c>
      <c r="B872" s="23" t="str">
        <f>IFERROR(VLOOKUP(category_assignment_2[[#This Row],[category_id]],#REF!,3,FALSE),"")</f>
        <v/>
      </c>
      <c r="C872" s="23" t="str">
        <f>IFERROR(VLOOKUP(category_assignment_2[[#This Row],[abbreviation_id]],abbreviation[],ColumnLanguage+1,FALSE),"")</f>
        <v/>
      </c>
      <c r="D872" s="23"/>
      <c r="E872" s="23"/>
      <c r="F872" s="23"/>
      <c r="G872" s="23"/>
      <c r="H872" s="23"/>
      <c r="I872" s="23"/>
      <c r="J872" s="23"/>
      <c r="K872" s="23"/>
    </row>
    <row r="873" spans="1:11" x14ac:dyDescent="0.25">
      <c r="A873" s="4" t="str">
        <f>IFERROR(category_assignment_2[[#This Row],[category_assignment_id]],"")</f>
        <v/>
      </c>
      <c r="B873" s="23" t="str">
        <f>IFERROR(VLOOKUP(category_assignment_2[[#This Row],[category_id]],#REF!,3,FALSE),"")</f>
        <v/>
      </c>
      <c r="C873" s="23" t="str">
        <f>IFERROR(VLOOKUP(category_assignment_2[[#This Row],[abbreviation_id]],abbreviation[],ColumnLanguage+1,FALSE),"")</f>
        <v/>
      </c>
      <c r="D873" s="23"/>
      <c r="E873" s="23"/>
      <c r="F873" s="23"/>
      <c r="G873" s="23"/>
      <c r="H873" s="23"/>
      <c r="I873" s="23"/>
      <c r="J873" s="23"/>
      <c r="K873" s="23"/>
    </row>
    <row r="874" spans="1:11" x14ac:dyDescent="0.25">
      <c r="A874" s="4" t="str">
        <f>IFERROR(category_assignment_2[[#This Row],[category_assignment_id]],"")</f>
        <v/>
      </c>
      <c r="B874" s="23" t="str">
        <f>IFERROR(VLOOKUP(category_assignment_2[[#This Row],[category_id]],#REF!,3,FALSE),"")</f>
        <v/>
      </c>
      <c r="C874" s="23" t="str">
        <f>IFERROR(VLOOKUP(category_assignment_2[[#This Row],[abbreviation_id]],abbreviation[],ColumnLanguage+1,FALSE),"")</f>
        <v/>
      </c>
      <c r="D874" s="23"/>
      <c r="E874" s="23"/>
      <c r="F874" s="23"/>
      <c r="G874" s="23"/>
      <c r="H874" s="23"/>
      <c r="I874" s="23"/>
      <c r="J874" s="23"/>
      <c r="K874" s="23"/>
    </row>
    <row r="875" spans="1:11" x14ac:dyDescent="0.25">
      <c r="A875" s="4" t="str">
        <f>IFERROR(category_assignment_2[[#This Row],[category_assignment_id]],"")</f>
        <v/>
      </c>
      <c r="B875" s="23" t="str">
        <f>IFERROR(VLOOKUP(category_assignment_2[[#This Row],[category_id]],#REF!,3,FALSE),"")</f>
        <v/>
      </c>
      <c r="C875" s="23" t="str">
        <f>IFERROR(VLOOKUP(category_assignment_2[[#This Row],[abbreviation_id]],abbreviation[],ColumnLanguage+1,FALSE),"")</f>
        <v/>
      </c>
      <c r="D875" s="23"/>
      <c r="E875" s="23"/>
      <c r="F875" s="23"/>
      <c r="G875" s="23"/>
      <c r="H875" s="23"/>
      <c r="I875" s="23"/>
      <c r="J875" s="23"/>
      <c r="K875" s="23"/>
    </row>
    <row r="876" spans="1:11" x14ac:dyDescent="0.25">
      <c r="A876" s="4" t="str">
        <f>IFERROR(category_assignment_2[[#This Row],[category_assignment_id]],"")</f>
        <v/>
      </c>
      <c r="B876" s="23" t="str">
        <f>IFERROR(VLOOKUP(category_assignment_2[[#This Row],[category_id]],#REF!,3,FALSE),"")</f>
        <v/>
      </c>
      <c r="C876" s="23" t="str">
        <f>IFERROR(VLOOKUP(category_assignment_2[[#This Row],[abbreviation_id]],abbreviation[],ColumnLanguage+1,FALSE),"")</f>
        <v/>
      </c>
      <c r="D876" s="23"/>
      <c r="E876" s="23"/>
      <c r="F876" s="23"/>
      <c r="G876" s="23"/>
      <c r="H876" s="23"/>
      <c r="I876" s="23"/>
      <c r="J876" s="23"/>
      <c r="K876" s="23"/>
    </row>
    <row r="877" spans="1:11" x14ac:dyDescent="0.25">
      <c r="A877" s="4" t="str">
        <f>IFERROR(category_assignment_2[[#This Row],[category_assignment_id]],"")</f>
        <v/>
      </c>
      <c r="B877" s="23" t="str">
        <f>IFERROR(VLOOKUP(category_assignment_2[[#This Row],[category_id]],#REF!,3,FALSE),"")</f>
        <v/>
      </c>
      <c r="C877" s="23" t="str">
        <f>IFERROR(VLOOKUP(category_assignment_2[[#This Row],[abbreviation_id]],abbreviation[],ColumnLanguage+1,FALSE),"")</f>
        <v/>
      </c>
      <c r="D877" s="23"/>
      <c r="E877" s="23"/>
      <c r="F877" s="23"/>
      <c r="G877" s="23"/>
      <c r="H877" s="23"/>
      <c r="I877" s="23"/>
      <c r="J877" s="23"/>
      <c r="K877" s="23"/>
    </row>
    <row r="878" spans="1:11" x14ac:dyDescent="0.25">
      <c r="A878" s="4" t="str">
        <f>IFERROR(category_assignment_2[[#This Row],[category_assignment_id]],"")</f>
        <v/>
      </c>
      <c r="B878" s="23" t="str">
        <f>IFERROR(VLOOKUP(category_assignment_2[[#This Row],[category_id]],#REF!,3,FALSE),"")</f>
        <v/>
      </c>
      <c r="C878" s="23" t="str">
        <f>IFERROR(VLOOKUP(category_assignment_2[[#This Row],[abbreviation_id]],abbreviation[],ColumnLanguage+1,FALSE),"")</f>
        <v/>
      </c>
      <c r="D878" s="23"/>
      <c r="E878" s="23"/>
      <c r="F878" s="23"/>
      <c r="G878" s="23"/>
      <c r="H878" s="23"/>
      <c r="I878" s="23"/>
      <c r="J878" s="23"/>
      <c r="K878" s="23"/>
    </row>
    <row r="879" spans="1:11" x14ac:dyDescent="0.25">
      <c r="A879" s="4" t="str">
        <f>IFERROR(category_assignment_2[[#This Row],[category_assignment_id]],"")</f>
        <v/>
      </c>
      <c r="B879" s="23" t="str">
        <f>IFERROR(VLOOKUP(category_assignment_2[[#This Row],[category_id]],#REF!,3,FALSE),"")</f>
        <v/>
      </c>
      <c r="C879" s="23" t="str">
        <f>IFERROR(VLOOKUP(category_assignment_2[[#This Row],[abbreviation_id]],abbreviation[],ColumnLanguage+1,FALSE),"")</f>
        <v/>
      </c>
      <c r="D879" s="23"/>
      <c r="E879" s="23"/>
      <c r="F879" s="23"/>
      <c r="G879" s="23"/>
      <c r="H879" s="23"/>
      <c r="I879" s="23"/>
      <c r="J879" s="23"/>
      <c r="K879" s="23"/>
    </row>
    <row r="880" spans="1:11" x14ac:dyDescent="0.25">
      <c r="A880" s="4" t="str">
        <f>IFERROR(category_assignment_2[[#This Row],[category_assignment_id]],"")</f>
        <v/>
      </c>
      <c r="B880" s="23" t="str">
        <f>IFERROR(VLOOKUP(category_assignment_2[[#This Row],[category_id]],#REF!,3,FALSE),"")</f>
        <v/>
      </c>
      <c r="C880" s="23" t="str">
        <f>IFERROR(VLOOKUP(category_assignment_2[[#This Row],[abbreviation_id]],abbreviation[],ColumnLanguage+1,FALSE),"")</f>
        <v/>
      </c>
      <c r="D880" s="23"/>
      <c r="E880" s="23"/>
      <c r="F880" s="23"/>
      <c r="G880" s="23"/>
      <c r="H880" s="23"/>
      <c r="I880" s="23"/>
      <c r="J880" s="23"/>
      <c r="K880" s="23"/>
    </row>
    <row r="881" spans="1:11" x14ac:dyDescent="0.25">
      <c r="A881" s="4" t="str">
        <f>IFERROR(category_assignment_2[[#This Row],[category_assignment_id]],"")</f>
        <v/>
      </c>
      <c r="B881" s="23" t="str">
        <f>IFERROR(VLOOKUP(category_assignment_2[[#This Row],[category_id]],#REF!,3,FALSE),"")</f>
        <v/>
      </c>
      <c r="C881" s="23" t="str">
        <f>IFERROR(VLOOKUP(category_assignment_2[[#This Row],[abbreviation_id]],abbreviation[],ColumnLanguage+1,FALSE),"")</f>
        <v/>
      </c>
      <c r="D881" s="23"/>
      <c r="E881" s="23"/>
      <c r="F881" s="23"/>
      <c r="G881" s="23"/>
      <c r="H881" s="23"/>
      <c r="I881" s="23"/>
      <c r="J881" s="23"/>
      <c r="K881" s="23"/>
    </row>
    <row r="882" spans="1:11" x14ac:dyDescent="0.25">
      <c r="A882" s="4" t="str">
        <f>IFERROR(category_assignment_2[[#This Row],[category_assignment_id]],"")</f>
        <v/>
      </c>
      <c r="B882" s="23" t="str">
        <f>IFERROR(VLOOKUP(category_assignment_2[[#This Row],[category_id]],#REF!,3,FALSE),"")</f>
        <v/>
      </c>
      <c r="C882" s="23" t="str">
        <f>IFERROR(VLOOKUP(category_assignment_2[[#This Row],[abbreviation_id]],abbreviation[],ColumnLanguage+1,FALSE),"")</f>
        <v/>
      </c>
      <c r="D882" s="23"/>
      <c r="E882" s="23"/>
      <c r="F882" s="23"/>
      <c r="G882" s="23"/>
      <c r="H882" s="23"/>
      <c r="I882" s="23"/>
      <c r="J882" s="23"/>
      <c r="K882" s="23"/>
    </row>
    <row r="883" spans="1:11" x14ac:dyDescent="0.25">
      <c r="A883" s="4" t="str">
        <f>IFERROR(category_assignment_2[[#This Row],[category_assignment_id]],"")</f>
        <v/>
      </c>
      <c r="B883" s="23" t="str">
        <f>IFERROR(VLOOKUP(category_assignment_2[[#This Row],[category_id]],#REF!,3,FALSE),"")</f>
        <v/>
      </c>
      <c r="C883" s="23" t="str">
        <f>IFERROR(VLOOKUP(category_assignment_2[[#This Row],[abbreviation_id]],abbreviation[],ColumnLanguage+1,FALSE),"")</f>
        <v/>
      </c>
      <c r="D883" s="23"/>
      <c r="E883" s="23"/>
      <c r="F883" s="23"/>
      <c r="G883" s="23"/>
      <c r="H883" s="23"/>
      <c r="I883" s="23"/>
      <c r="J883" s="23"/>
      <c r="K883" s="23"/>
    </row>
    <row r="884" spans="1:11" x14ac:dyDescent="0.25">
      <c r="A884" s="4" t="str">
        <f>IFERROR(category_assignment_2[[#This Row],[category_assignment_id]],"")</f>
        <v/>
      </c>
      <c r="B884" s="23" t="str">
        <f>IFERROR(VLOOKUP(category_assignment_2[[#This Row],[category_id]],#REF!,3,FALSE),"")</f>
        <v/>
      </c>
      <c r="C884" s="23" t="str">
        <f>IFERROR(VLOOKUP(category_assignment_2[[#This Row],[abbreviation_id]],abbreviation[],ColumnLanguage+1,FALSE),"")</f>
        <v/>
      </c>
      <c r="D884" s="23"/>
      <c r="E884" s="23"/>
      <c r="F884" s="23"/>
      <c r="G884" s="23"/>
      <c r="H884" s="23"/>
      <c r="I884" s="23"/>
      <c r="J884" s="23"/>
      <c r="K884" s="23"/>
    </row>
    <row r="885" spans="1:11" x14ac:dyDescent="0.25">
      <c r="A885" s="4" t="str">
        <f>IFERROR(category_assignment_2[[#This Row],[category_assignment_id]],"")</f>
        <v/>
      </c>
      <c r="B885" s="23" t="str">
        <f>IFERROR(VLOOKUP(category_assignment_2[[#This Row],[category_id]],#REF!,3,FALSE),"")</f>
        <v/>
      </c>
      <c r="C885" s="23" t="str">
        <f>IFERROR(VLOOKUP(category_assignment_2[[#This Row],[abbreviation_id]],abbreviation[],ColumnLanguage+1,FALSE),"")</f>
        <v/>
      </c>
      <c r="D885" s="23"/>
      <c r="E885" s="23"/>
      <c r="F885" s="23"/>
      <c r="G885" s="23"/>
      <c r="H885" s="23"/>
      <c r="I885" s="23"/>
      <c r="J885" s="23"/>
      <c r="K885" s="23"/>
    </row>
    <row r="886" spans="1:11" x14ac:dyDescent="0.25">
      <c r="A886" s="4" t="str">
        <f>IFERROR(category_assignment_2[[#This Row],[category_assignment_id]],"")</f>
        <v/>
      </c>
      <c r="B886" s="23" t="str">
        <f>IFERROR(VLOOKUP(category_assignment_2[[#This Row],[category_id]],#REF!,3,FALSE),"")</f>
        <v/>
      </c>
      <c r="C886" s="23" t="str">
        <f>IFERROR(VLOOKUP(category_assignment_2[[#This Row],[abbreviation_id]],abbreviation[],ColumnLanguage+1,FALSE),"")</f>
        <v/>
      </c>
      <c r="D886" s="23"/>
      <c r="E886" s="23"/>
      <c r="F886" s="23"/>
      <c r="G886" s="23"/>
      <c r="H886" s="23"/>
      <c r="I886" s="23"/>
      <c r="J886" s="23"/>
      <c r="K886" s="23"/>
    </row>
    <row r="887" spans="1:11" x14ac:dyDescent="0.25">
      <c r="A887" s="4" t="str">
        <f>IFERROR(category_assignment_2[[#This Row],[category_assignment_id]],"")</f>
        <v/>
      </c>
      <c r="B887" s="23" t="str">
        <f>IFERROR(VLOOKUP(category_assignment_2[[#This Row],[category_id]],#REF!,3,FALSE),"")</f>
        <v/>
      </c>
      <c r="C887" s="23" t="str">
        <f>IFERROR(VLOOKUP(category_assignment_2[[#This Row],[abbreviation_id]],abbreviation[],ColumnLanguage+1,FALSE),"")</f>
        <v/>
      </c>
      <c r="D887" s="23"/>
      <c r="E887" s="23"/>
      <c r="F887" s="23"/>
      <c r="G887" s="23"/>
      <c r="H887" s="23"/>
      <c r="I887" s="23"/>
      <c r="J887" s="23"/>
      <c r="K887" s="23"/>
    </row>
    <row r="888" spans="1:11" x14ac:dyDescent="0.25">
      <c r="A888" s="4" t="str">
        <f>IFERROR(category_assignment_2[[#This Row],[category_assignment_id]],"")</f>
        <v/>
      </c>
      <c r="B888" s="23" t="str">
        <f>IFERROR(VLOOKUP(category_assignment_2[[#This Row],[category_id]],#REF!,3,FALSE),"")</f>
        <v/>
      </c>
      <c r="C888" s="23" t="str">
        <f>IFERROR(VLOOKUP(category_assignment_2[[#This Row],[abbreviation_id]],abbreviation[],ColumnLanguage+1,FALSE),"")</f>
        <v/>
      </c>
      <c r="D888" s="23"/>
      <c r="E888" s="23"/>
      <c r="F888" s="23"/>
      <c r="G888" s="23"/>
      <c r="H888" s="23"/>
      <c r="I888" s="23"/>
      <c r="J888" s="23"/>
      <c r="K888" s="23"/>
    </row>
    <row r="889" spans="1:11" x14ac:dyDescent="0.25">
      <c r="A889" s="4" t="str">
        <f>IFERROR(category_assignment_2[[#This Row],[category_assignment_id]],"")</f>
        <v/>
      </c>
      <c r="B889" s="23" t="str">
        <f>IFERROR(VLOOKUP(category_assignment_2[[#This Row],[category_id]],#REF!,3,FALSE),"")</f>
        <v/>
      </c>
      <c r="C889" s="23" t="str">
        <f>IFERROR(VLOOKUP(category_assignment_2[[#This Row],[abbreviation_id]],abbreviation[],ColumnLanguage+1,FALSE),"")</f>
        <v/>
      </c>
      <c r="D889" s="23"/>
      <c r="E889" s="23"/>
      <c r="F889" s="23"/>
      <c r="G889" s="23"/>
      <c r="H889" s="23"/>
      <c r="I889" s="23"/>
      <c r="J889" s="23"/>
      <c r="K889" s="23"/>
    </row>
    <row r="890" spans="1:11" x14ac:dyDescent="0.25">
      <c r="A890" s="4" t="str">
        <f>IFERROR(category_assignment_2[[#This Row],[category_assignment_id]],"")</f>
        <v/>
      </c>
      <c r="B890" s="23" t="str">
        <f>IFERROR(VLOOKUP(category_assignment_2[[#This Row],[category_id]],#REF!,3,FALSE),"")</f>
        <v/>
      </c>
      <c r="C890" s="23" t="str">
        <f>IFERROR(VLOOKUP(category_assignment_2[[#This Row],[abbreviation_id]],abbreviation[],ColumnLanguage+1,FALSE),"")</f>
        <v/>
      </c>
      <c r="D890" s="23"/>
      <c r="E890" s="23"/>
      <c r="F890" s="23"/>
      <c r="G890" s="23"/>
      <c r="H890" s="23"/>
      <c r="I890" s="23"/>
      <c r="J890" s="23"/>
      <c r="K890" s="23"/>
    </row>
    <row r="891" spans="1:11" x14ac:dyDescent="0.25">
      <c r="A891" s="4" t="str">
        <f>IFERROR(category_assignment_2[[#This Row],[category_assignment_id]],"")</f>
        <v/>
      </c>
      <c r="B891" s="23" t="str">
        <f>IFERROR(VLOOKUP(category_assignment_2[[#This Row],[category_id]],#REF!,3,FALSE),"")</f>
        <v/>
      </c>
      <c r="C891" s="23" t="str">
        <f>IFERROR(VLOOKUP(category_assignment_2[[#This Row],[abbreviation_id]],abbreviation[],ColumnLanguage+1,FALSE),"")</f>
        <v/>
      </c>
      <c r="D891" s="23"/>
      <c r="E891" s="23"/>
      <c r="F891" s="23"/>
      <c r="G891" s="23"/>
      <c r="H891" s="23"/>
      <c r="I891" s="23"/>
      <c r="J891" s="23"/>
      <c r="K891" s="23"/>
    </row>
    <row r="892" spans="1:11" x14ac:dyDescent="0.25">
      <c r="A892" s="4" t="str">
        <f>IFERROR(category_assignment_2[[#This Row],[category_assignment_id]],"")</f>
        <v/>
      </c>
      <c r="B892" s="23" t="str">
        <f>IFERROR(VLOOKUP(category_assignment_2[[#This Row],[category_id]],#REF!,3,FALSE),"")</f>
        <v/>
      </c>
      <c r="C892" s="23" t="str">
        <f>IFERROR(VLOOKUP(category_assignment_2[[#This Row],[abbreviation_id]],abbreviation[],ColumnLanguage+1,FALSE),"")</f>
        <v/>
      </c>
      <c r="D892" s="23"/>
      <c r="E892" s="23"/>
      <c r="F892" s="23"/>
      <c r="G892" s="23"/>
      <c r="H892" s="23"/>
      <c r="I892" s="23"/>
      <c r="J892" s="23"/>
      <c r="K892" s="23"/>
    </row>
    <row r="893" spans="1:11" x14ac:dyDescent="0.25">
      <c r="A893" s="4" t="str">
        <f>IFERROR(category_assignment_2[[#This Row],[category_assignment_id]],"")</f>
        <v/>
      </c>
      <c r="B893" s="23" t="str">
        <f>IFERROR(VLOOKUP(category_assignment_2[[#This Row],[category_id]],#REF!,3,FALSE),"")</f>
        <v/>
      </c>
      <c r="C893" s="23" t="str">
        <f>IFERROR(VLOOKUP(category_assignment_2[[#This Row],[abbreviation_id]],abbreviation[],ColumnLanguage+1,FALSE),"")</f>
        <v/>
      </c>
      <c r="D893" s="23"/>
      <c r="E893" s="23"/>
      <c r="F893" s="23"/>
      <c r="G893" s="23"/>
      <c r="H893" s="23"/>
      <c r="I893" s="23"/>
      <c r="J893" s="23"/>
      <c r="K893" s="23"/>
    </row>
    <row r="894" spans="1:11" x14ac:dyDescent="0.25">
      <c r="A894" s="4" t="str">
        <f>IFERROR(category_assignment_2[[#This Row],[category_assignment_id]],"")</f>
        <v/>
      </c>
      <c r="B894" s="23" t="str">
        <f>IFERROR(VLOOKUP(category_assignment_2[[#This Row],[category_id]],#REF!,3,FALSE),"")</f>
        <v/>
      </c>
      <c r="C894" s="23" t="str">
        <f>IFERROR(VLOOKUP(category_assignment_2[[#This Row],[abbreviation_id]],abbreviation[],ColumnLanguage+1,FALSE),"")</f>
        <v/>
      </c>
      <c r="D894" s="23"/>
      <c r="E894" s="23"/>
      <c r="F894" s="23"/>
      <c r="G894" s="23"/>
      <c r="H894" s="23"/>
      <c r="I894" s="23"/>
      <c r="J894" s="23"/>
      <c r="K894" s="23"/>
    </row>
    <row r="895" spans="1:11" x14ac:dyDescent="0.25">
      <c r="A895" s="4" t="str">
        <f>IFERROR(category_assignment_2[[#This Row],[category_assignment_id]],"")</f>
        <v/>
      </c>
      <c r="B895" s="23" t="str">
        <f>IFERROR(VLOOKUP(category_assignment_2[[#This Row],[category_id]],#REF!,3,FALSE),"")</f>
        <v/>
      </c>
      <c r="C895" s="23" t="str">
        <f>IFERROR(VLOOKUP(category_assignment_2[[#This Row],[abbreviation_id]],abbreviation[],ColumnLanguage+1,FALSE),"")</f>
        <v/>
      </c>
      <c r="D895" s="23"/>
      <c r="E895" s="23"/>
      <c r="F895" s="23"/>
      <c r="G895" s="23"/>
      <c r="H895" s="23"/>
      <c r="I895" s="23"/>
      <c r="J895" s="23"/>
      <c r="K895" s="23"/>
    </row>
    <row r="896" spans="1:11" x14ac:dyDescent="0.25">
      <c r="A896" s="4" t="str">
        <f>IFERROR(category_assignment_2[[#This Row],[category_assignment_id]],"")</f>
        <v/>
      </c>
      <c r="B896" s="23" t="str">
        <f>IFERROR(VLOOKUP(category_assignment_2[[#This Row],[category_id]],#REF!,3,FALSE),"")</f>
        <v/>
      </c>
      <c r="C896" s="23" t="str">
        <f>IFERROR(VLOOKUP(category_assignment_2[[#This Row],[abbreviation_id]],abbreviation[],ColumnLanguage+1,FALSE),"")</f>
        <v/>
      </c>
      <c r="D896" s="23"/>
      <c r="E896" s="23"/>
      <c r="F896" s="23"/>
      <c r="G896" s="23"/>
      <c r="H896" s="23"/>
      <c r="I896" s="23"/>
      <c r="J896" s="23"/>
      <c r="K896" s="23"/>
    </row>
    <row r="897" spans="1:11" x14ac:dyDescent="0.25">
      <c r="A897" s="4" t="str">
        <f>IFERROR(category_assignment_2[[#This Row],[category_assignment_id]],"")</f>
        <v/>
      </c>
      <c r="B897" s="23" t="str">
        <f>IFERROR(VLOOKUP(category_assignment_2[[#This Row],[category_id]],#REF!,3,FALSE),"")</f>
        <v/>
      </c>
      <c r="C897" s="23" t="str">
        <f>IFERROR(VLOOKUP(category_assignment_2[[#This Row],[abbreviation_id]],abbreviation[],ColumnLanguage+1,FALSE),"")</f>
        <v/>
      </c>
      <c r="D897" s="23"/>
      <c r="E897" s="23"/>
      <c r="F897" s="23"/>
      <c r="G897" s="23"/>
      <c r="H897" s="23"/>
      <c r="I897" s="23"/>
      <c r="J897" s="23"/>
      <c r="K897" s="23"/>
    </row>
    <row r="898" spans="1:11" x14ac:dyDescent="0.25">
      <c r="A898" s="4" t="str">
        <f>IFERROR(category_assignment_2[[#This Row],[category_assignment_id]],"")</f>
        <v/>
      </c>
      <c r="B898" s="23" t="str">
        <f>IFERROR(VLOOKUP(category_assignment_2[[#This Row],[category_id]],#REF!,3,FALSE),"")</f>
        <v/>
      </c>
      <c r="C898" s="23" t="str">
        <f>IFERROR(VLOOKUP(category_assignment_2[[#This Row],[abbreviation_id]],abbreviation[],ColumnLanguage+1,FALSE),"")</f>
        <v/>
      </c>
      <c r="D898" s="23"/>
      <c r="E898" s="23"/>
      <c r="F898" s="23"/>
      <c r="G898" s="23"/>
      <c r="H898" s="23"/>
      <c r="I898" s="23"/>
      <c r="J898" s="23"/>
      <c r="K898" s="23"/>
    </row>
    <row r="899" spans="1:11" x14ac:dyDescent="0.25">
      <c r="A899" s="4" t="str">
        <f>IFERROR(category_assignment_2[[#This Row],[category_assignment_id]],"")</f>
        <v/>
      </c>
      <c r="B899" s="23" t="str">
        <f>IFERROR(VLOOKUP(category_assignment_2[[#This Row],[category_id]],#REF!,3,FALSE),"")</f>
        <v/>
      </c>
      <c r="C899" s="23" t="str">
        <f>IFERROR(VLOOKUP(category_assignment_2[[#This Row],[abbreviation_id]],abbreviation[],ColumnLanguage+1,FALSE),"")</f>
        <v/>
      </c>
      <c r="D899" s="23"/>
      <c r="E899" s="23"/>
      <c r="F899" s="23"/>
      <c r="G899" s="23"/>
      <c r="H899" s="23"/>
      <c r="I899" s="23"/>
      <c r="J899" s="23"/>
      <c r="K899" s="23"/>
    </row>
    <row r="900" spans="1:11" x14ac:dyDescent="0.25">
      <c r="A900" s="4" t="str">
        <f>IFERROR(category_assignment_2[[#This Row],[category_assignment_id]],"")</f>
        <v/>
      </c>
      <c r="B900" s="23" t="str">
        <f>IFERROR(VLOOKUP(category_assignment_2[[#This Row],[category_id]],#REF!,3,FALSE),"")</f>
        <v/>
      </c>
      <c r="C900" s="23" t="str">
        <f>IFERROR(VLOOKUP(category_assignment_2[[#This Row],[abbreviation_id]],abbreviation[],ColumnLanguage+1,FALSE),"")</f>
        <v/>
      </c>
      <c r="D900" s="23"/>
      <c r="E900" s="23"/>
      <c r="F900" s="23"/>
      <c r="G900" s="23"/>
      <c r="H900" s="23"/>
      <c r="I900" s="23"/>
      <c r="J900" s="23"/>
      <c r="K900" s="23"/>
    </row>
    <row r="901" spans="1:11" x14ac:dyDescent="0.25">
      <c r="A901" s="4" t="str">
        <f>IFERROR(category_assignment_2[[#This Row],[category_assignment_id]],"")</f>
        <v/>
      </c>
      <c r="B901" s="23" t="str">
        <f>IFERROR(VLOOKUP(category_assignment_2[[#This Row],[category_id]],#REF!,3,FALSE),"")</f>
        <v/>
      </c>
      <c r="C901" s="23" t="str">
        <f>IFERROR(VLOOKUP(category_assignment_2[[#This Row],[abbreviation_id]],abbreviation[],ColumnLanguage+1,FALSE),"")</f>
        <v/>
      </c>
      <c r="D901" s="23"/>
      <c r="E901" s="23"/>
      <c r="F901" s="23"/>
      <c r="G901" s="23"/>
      <c r="H901" s="23"/>
      <c r="I901" s="23"/>
      <c r="J901" s="23"/>
      <c r="K901" s="23"/>
    </row>
    <row r="902" spans="1:11" x14ac:dyDescent="0.25">
      <c r="A902" s="4" t="str">
        <f>IFERROR(category_assignment_2[[#This Row],[category_assignment_id]],"")</f>
        <v/>
      </c>
      <c r="B902" s="23" t="str">
        <f>IFERROR(VLOOKUP(category_assignment_2[[#This Row],[category_id]],#REF!,3,FALSE),"")</f>
        <v/>
      </c>
      <c r="C902" s="23" t="str">
        <f>IFERROR(VLOOKUP(category_assignment_2[[#This Row],[abbreviation_id]],abbreviation[],ColumnLanguage+1,FALSE),"")</f>
        <v/>
      </c>
      <c r="D902" s="23"/>
      <c r="E902" s="23"/>
      <c r="F902" s="23"/>
      <c r="G902" s="23"/>
      <c r="H902" s="23"/>
      <c r="I902" s="23"/>
      <c r="J902" s="23"/>
      <c r="K902" s="23"/>
    </row>
    <row r="903" spans="1:11" x14ac:dyDescent="0.25">
      <c r="A903" s="4" t="str">
        <f>IFERROR(category_assignment_2[[#This Row],[category_assignment_id]],"")</f>
        <v/>
      </c>
      <c r="B903" s="23" t="str">
        <f>IFERROR(VLOOKUP(category_assignment_2[[#This Row],[category_id]],#REF!,3,FALSE),"")</f>
        <v/>
      </c>
      <c r="C903" s="23" t="str">
        <f>IFERROR(VLOOKUP(category_assignment_2[[#This Row],[abbreviation_id]],abbreviation[],ColumnLanguage+1,FALSE),"")</f>
        <v/>
      </c>
      <c r="D903" s="23"/>
      <c r="E903" s="23"/>
      <c r="F903" s="23"/>
      <c r="G903" s="23"/>
      <c r="H903" s="23"/>
      <c r="I903" s="23"/>
      <c r="J903" s="23"/>
      <c r="K903" s="23"/>
    </row>
    <row r="904" spans="1:11" x14ac:dyDescent="0.25">
      <c r="A904" s="4" t="str">
        <f>IFERROR(category_assignment_2[[#This Row],[category_assignment_id]],"")</f>
        <v/>
      </c>
      <c r="B904" s="23" t="str">
        <f>IFERROR(VLOOKUP(category_assignment_2[[#This Row],[category_id]],#REF!,3,FALSE),"")</f>
        <v/>
      </c>
      <c r="C904" s="23" t="str">
        <f>IFERROR(VLOOKUP(category_assignment_2[[#This Row],[abbreviation_id]],abbreviation[],ColumnLanguage+1,FALSE),"")</f>
        <v/>
      </c>
      <c r="D904" s="23"/>
      <c r="E904" s="23"/>
      <c r="F904" s="23"/>
      <c r="G904" s="23"/>
      <c r="H904" s="23"/>
      <c r="I904" s="23"/>
      <c r="J904" s="23"/>
      <c r="K904" s="23"/>
    </row>
    <row r="905" spans="1:11" x14ac:dyDescent="0.25">
      <c r="A905" s="4" t="str">
        <f>IFERROR(category_assignment_2[[#This Row],[category_assignment_id]],"")</f>
        <v/>
      </c>
      <c r="B905" s="23" t="str">
        <f>IFERROR(VLOOKUP(category_assignment_2[[#This Row],[category_id]],#REF!,3,FALSE),"")</f>
        <v/>
      </c>
      <c r="C905" s="23" t="str">
        <f>IFERROR(VLOOKUP(category_assignment_2[[#This Row],[abbreviation_id]],abbreviation[],ColumnLanguage+1,FALSE),"")</f>
        <v/>
      </c>
      <c r="D905" s="23"/>
      <c r="E905" s="23"/>
      <c r="F905" s="23"/>
      <c r="G905" s="23"/>
      <c r="H905" s="23"/>
      <c r="I905" s="23"/>
      <c r="J905" s="23"/>
      <c r="K905" s="23"/>
    </row>
    <row r="906" spans="1:11" x14ac:dyDescent="0.25">
      <c r="A906" s="4" t="str">
        <f>IFERROR(category_assignment_2[[#This Row],[category_assignment_id]],"")</f>
        <v/>
      </c>
      <c r="B906" s="23" t="str">
        <f>IFERROR(VLOOKUP(category_assignment_2[[#This Row],[category_id]],#REF!,3,FALSE),"")</f>
        <v/>
      </c>
      <c r="C906" s="23" t="str">
        <f>IFERROR(VLOOKUP(category_assignment_2[[#This Row],[abbreviation_id]],abbreviation[],ColumnLanguage+1,FALSE),"")</f>
        <v/>
      </c>
      <c r="D906" s="23"/>
      <c r="E906" s="23"/>
      <c r="F906" s="23"/>
      <c r="G906" s="23"/>
      <c r="H906" s="23"/>
      <c r="I906" s="23"/>
      <c r="J906" s="23"/>
      <c r="K906" s="23"/>
    </row>
    <row r="907" spans="1:11" x14ac:dyDescent="0.25">
      <c r="A907" s="4" t="str">
        <f>IFERROR(category_assignment_2[[#This Row],[category_assignment_id]],"")</f>
        <v/>
      </c>
      <c r="B907" s="23" t="str">
        <f>IFERROR(VLOOKUP(category_assignment_2[[#This Row],[category_id]],#REF!,3,FALSE),"")</f>
        <v/>
      </c>
      <c r="C907" s="23" t="str">
        <f>IFERROR(VLOOKUP(category_assignment_2[[#This Row],[abbreviation_id]],abbreviation[],ColumnLanguage+1,FALSE),"")</f>
        <v/>
      </c>
      <c r="D907" s="23"/>
      <c r="E907" s="23"/>
      <c r="F907" s="23"/>
      <c r="G907" s="23"/>
      <c r="H907" s="23"/>
      <c r="I907" s="23"/>
      <c r="J907" s="23"/>
      <c r="K907" s="23"/>
    </row>
    <row r="908" spans="1:11" x14ac:dyDescent="0.25">
      <c r="A908" s="4" t="str">
        <f>IFERROR(category_assignment_2[[#This Row],[category_assignment_id]],"")</f>
        <v/>
      </c>
      <c r="B908" s="23" t="str">
        <f>IFERROR(VLOOKUP(category_assignment_2[[#This Row],[category_id]],#REF!,3,FALSE),"")</f>
        <v/>
      </c>
      <c r="C908" s="23" t="str">
        <f>IFERROR(VLOOKUP(category_assignment_2[[#This Row],[abbreviation_id]],abbreviation[],ColumnLanguage+1,FALSE),"")</f>
        <v/>
      </c>
      <c r="D908" s="23"/>
      <c r="E908" s="23"/>
      <c r="F908" s="23"/>
      <c r="G908" s="23"/>
      <c r="H908" s="23"/>
      <c r="I908" s="23"/>
      <c r="J908" s="23"/>
      <c r="K908" s="23"/>
    </row>
    <row r="909" spans="1:11" x14ac:dyDescent="0.25">
      <c r="A909" s="4" t="str">
        <f>IFERROR(category_assignment_2[[#This Row],[category_assignment_id]],"")</f>
        <v/>
      </c>
      <c r="B909" s="23" t="str">
        <f>IFERROR(VLOOKUP(category_assignment_2[[#This Row],[category_id]],#REF!,3,FALSE),"")</f>
        <v/>
      </c>
      <c r="C909" s="23" t="str">
        <f>IFERROR(VLOOKUP(category_assignment_2[[#This Row],[abbreviation_id]],abbreviation[],ColumnLanguage+1,FALSE),"")</f>
        <v/>
      </c>
      <c r="D909" s="23"/>
      <c r="E909" s="23"/>
      <c r="F909" s="23"/>
      <c r="G909" s="23"/>
      <c r="H909" s="23"/>
      <c r="I909" s="23"/>
      <c r="J909" s="23"/>
      <c r="K909" s="23"/>
    </row>
    <row r="910" spans="1:11" x14ac:dyDescent="0.25">
      <c r="A910" s="4" t="str">
        <f>IFERROR(category_assignment_2[[#This Row],[category_assignment_id]],"")</f>
        <v/>
      </c>
      <c r="B910" s="23" t="str">
        <f>IFERROR(VLOOKUP(category_assignment_2[[#This Row],[category_id]],#REF!,3,FALSE),"")</f>
        <v/>
      </c>
      <c r="C910" s="23" t="str">
        <f>IFERROR(VLOOKUP(category_assignment_2[[#This Row],[abbreviation_id]],abbreviation[],ColumnLanguage+1,FALSE),"")</f>
        <v/>
      </c>
      <c r="D910" s="23"/>
      <c r="E910" s="23"/>
      <c r="F910" s="23"/>
      <c r="G910" s="23"/>
      <c r="H910" s="23"/>
      <c r="I910" s="23"/>
      <c r="J910" s="23"/>
      <c r="K910" s="23"/>
    </row>
    <row r="911" spans="1:11" x14ac:dyDescent="0.25">
      <c r="A911" s="4" t="str">
        <f>IFERROR(category_assignment_2[[#This Row],[category_assignment_id]],"")</f>
        <v/>
      </c>
      <c r="B911" s="23" t="str">
        <f>IFERROR(VLOOKUP(category_assignment_2[[#This Row],[category_id]],#REF!,3,FALSE),"")</f>
        <v/>
      </c>
      <c r="C911" s="23" t="str">
        <f>IFERROR(VLOOKUP(category_assignment_2[[#This Row],[abbreviation_id]],abbreviation[],ColumnLanguage+1,FALSE),"")</f>
        <v/>
      </c>
      <c r="D911" s="23"/>
      <c r="E911" s="23"/>
      <c r="F911" s="23"/>
      <c r="G911" s="23"/>
      <c r="H911" s="23"/>
      <c r="I911" s="23"/>
      <c r="J911" s="23"/>
      <c r="K911" s="23"/>
    </row>
    <row r="912" spans="1:11" x14ac:dyDescent="0.25">
      <c r="A912" s="4" t="str">
        <f>IFERROR(category_assignment_2[[#This Row],[category_assignment_id]],"")</f>
        <v/>
      </c>
      <c r="B912" s="23" t="str">
        <f>IFERROR(VLOOKUP(category_assignment_2[[#This Row],[category_id]],#REF!,3,FALSE),"")</f>
        <v/>
      </c>
      <c r="C912" s="23" t="str">
        <f>IFERROR(VLOOKUP(category_assignment_2[[#This Row],[abbreviation_id]],abbreviation[],ColumnLanguage+1,FALSE),"")</f>
        <v/>
      </c>
      <c r="D912" s="23"/>
      <c r="E912" s="23"/>
      <c r="F912" s="23"/>
      <c r="G912" s="23"/>
      <c r="H912" s="23"/>
      <c r="I912" s="23"/>
      <c r="J912" s="23"/>
      <c r="K912" s="23"/>
    </row>
    <row r="913" spans="1:11" x14ac:dyDescent="0.25">
      <c r="A913" s="4" t="str">
        <f>IFERROR(category_assignment_2[[#This Row],[category_assignment_id]],"")</f>
        <v/>
      </c>
      <c r="B913" s="23" t="str">
        <f>IFERROR(VLOOKUP(category_assignment_2[[#This Row],[category_id]],#REF!,3,FALSE),"")</f>
        <v/>
      </c>
      <c r="C913" s="23" t="str">
        <f>IFERROR(VLOOKUP(category_assignment_2[[#This Row],[abbreviation_id]],abbreviation[],ColumnLanguage+1,FALSE),"")</f>
        <v/>
      </c>
      <c r="D913" s="23"/>
      <c r="E913" s="23"/>
      <c r="F913" s="23"/>
      <c r="G913" s="23"/>
      <c r="H913" s="23"/>
      <c r="I913" s="23"/>
      <c r="J913" s="23"/>
      <c r="K913" s="23"/>
    </row>
    <row r="914" spans="1:11" x14ac:dyDescent="0.25">
      <c r="A914" s="4" t="str">
        <f>IFERROR(category_assignment_2[[#This Row],[category_assignment_id]],"")</f>
        <v/>
      </c>
      <c r="B914" s="23" t="str">
        <f>IFERROR(VLOOKUP(category_assignment_2[[#This Row],[category_id]],#REF!,3,FALSE),"")</f>
        <v/>
      </c>
      <c r="C914" s="23" t="str">
        <f>IFERROR(VLOOKUP(category_assignment_2[[#This Row],[abbreviation_id]],abbreviation[],ColumnLanguage+1,FALSE),"")</f>
        <v/>
      </c>
      <c r="D914" s="23"/>
      <c r="E914" s="23"/>
      <c r="F914" s="23"/>
      <c r="G914" s="23"/>
      <c r="H914" s="23"/>
      <c r="I914" s="23"/>
      <c r="J914" s="23"/>
      <c r="K914" s="23"/>
    </row>
    <row r="915" spans="1:11" x14ac:dyDescent="0.25">
      <c r="A915" s="4" t="str">
        <f>IFERROR(category_assignment_2[[#This Row],[category_assignment_id]],"")</f>
        <v/>
      </c>
      <c r="B915" s="23" t="str">
        <f>IFERROR(VLOOKUP(category_assignment_2[[#This Row],[category_id]],#REF!,3,FALSE),"")</f>
        <v/>
      </c>
      <c r="C915" s="23" t="str">
        <f>IFERROR(VLOOKUP(category_assignment_2[[#This Row],[abbreviation_id]],abbreviation[],ColumnLanguage+1,FALSE),"")</f>
        <v/>
      </c>
      <c r="D915" s="23"/>
      <c r="E915" s="23"/>
      <c r="F915" s="23"/>
      <c r="G915" s="23"/>
      <c r="H915" s="23"/>
      <c r="I915" s="23"/>
      <c r="J915" s="23"/>
      <c r="K915" s="23"/>
    </row>
    <row r="916" spans="1:11" x14ac:dyDescent="0.25">
      <c r="A916" s="4" t="str">
        <f>IFERROR(category_assignment_2[[#This Row],[category_assignment_id]],"")</f>
        <v/>
      </c>
      <c r="B916" s="23" t="str">
        <f>IFERROR(VLOOKUP(category_assignment_2[[#This Row],[category_id]],#REF!,3,FALSE),"")</f>
        <v/>
      </c>
      <c r="C916" s="23" t="str">
        <f>IFERROR(VLOOKUP(category_assignment_2[[#This Row],[abbreviation_id]],abbreviation[],ColumnLanguage+1,FALSE),"")</f>
        <v/>
      </c>
      <c r="D916" s="23"/>
      <c r="E916" s="23"/>
      <c r="F916" s="23"/>
      <c r="G916" s="23"/>
      <c r="H916" s="23"/>
      <c r="I916" s="23"/>
      <c r="J916" s="23"/>
      <c r="K916" s="23"/>
    </row>
    <row r="917" spans="1:11" x14ac:dyDescent="0.25">
      <c r="A917" s="4" t="str">
        <f>IFERROR(category_assignment_2[[#This Row],[category_assignment_id]],"")</f>
        <v/>
      </c>
      <c r="B917" s="23" t="str">
        <f>IFERROR(VLOOKUP(category_assignment_2[[#This Row],[category_id]],#REF!,3,FALSE),"")</f>
        <v/>
      </c>
      <c r="C917" s="23" t="str">
        <f>IFERROR(VLOOKUP(category_assignment_2[[#This Row],[abbreviation_id]],abbreviation[],ColumnLanguage+1,FALSE),"")</f>
        <v/>
      </c>
      <c r="D917" s="23"/>
      <c r="E917" s="23"/>
      <c r="F917" s="23"/>
      <c r="G917" s="23"/>
      <c r="H917" s="23"/>
      <c r="I917" s="23"/>
      <c r="J917" s="23"/>
      <c r="K917" s="23"/>
    </row>
    <row r="918" spans="1:11" x14ac:dyDescent="0.25">
      <c r="A918" s="4" t="str">
        <f>IFERROR(category_assignment_2[[#This Row],[category_assignment_id]],"")</f>
        <v/>
      </c>
      <c r="B918" s="23" t="str">
        <f>IFERROR(VLOOKUP(category_assignment_2[[#This Row],[category_id]],#REF!,3,FALSE),"")</f>
        <v/>
      </c>
      <c r="C918" s="23" t="str">
        <f>IFERROR(VLOOKUP(category_assignment_2[[#This Row],[abbreviation_id]],abbreviation[],ColumnLanguage+1,FALSE),"")</f>
        <v/>
      </c>
      <c r="D918" s="23"/>
      <c r="E918" s="23"/>
      <c r="F918" s="23"/>
      <c r="G918" s="23"/>
      <c r="H918" s="23"/>
      <c r="I918" s="23"/>
      <c r="J918" s="23"/>
      <c r="K918" s="23"/>
    </row>
    <row r="919" spans="1:11" x14ac:dyDescent="0.25">
      <c r="A919" s="4" t="str">
        <f>IFERROR(category_assignment_2[[#This Row],[category_assignment_id]],"")</f>
        <v/>
      </c>
      <c r="B919" s="23" t="str">
        <f>IFERROR(VLOOKUP(category_assignment_2[[#This Row],[category_id]],#REF!,3,FALSE),"")</f>
        <v/>
      </c>
      <c r="C919" s="23" t="str">
        <f>IFERROR(VLOOKUP(category_assignment_2[[#This Row],[abbreviation_id]],abbreviation[],ColumnLanguage+1,FALSE),"")</f>
        <v/>
      </c>
      <c r="D919" s="23"/>
      <c r="E919" s="23"/>
      <c r="F919" s="23"/>
      <c r="G919" s="23"/>
      <c r="H919" s="23"/>
      <c r="I919" s="23"/>
      <c r="J919" s="23"/>
      <c r="K919" s="23"/>
    </row>
    <row r="920" spans="1:11" x14ac:dyDescent="0.25">
      <c r="A920" s="4" t="str">
        <f>IFERROR(category_assignment_2[[#This Row],[category_assignment_id]],"")</f>
        <v/>
      </c>
      <c r="B920" s="23" t="str">
        <f>IFERROR(VLOOKUP(category_assignment_2[[#This Row],[category_id]],#REF!,3,FALSE),"")</f>
        <v/>
      </c>
      <c r="C920" s="23" t="str">
        <f>IFERROR(VLOOKUP(category_assignment_2[[#This Row],[abbreviation_id]],abbreviation[],ColumnLanguage+1,FALSE),"")</f>
        <v/>
      </c>
      <c r="D920" s="23"/>
      <c r="E920" s="23"/>
      <c r="F920" s="23"/>
      <c r="G920" s="23"/>
      <c r="H920" s="23"/>
      <c r="I920" s="23"/>
      <c r="J920" s="23"/>
      <c r="K920" s="23"/>
    </row>
    <row r="921" spans="1:11" x14ac:dyDescent="0.25">
      <c r="A921" s="4" t="str">
        <f>IFERROR(category_assignment_2[[#This Row],[category_assignment_id]],"")</f>
        <v/>
      </c>
      <c r="B921" s="23" t="str">
        <f>IFERROR(VLOOKUP(category_assignment_2[[#This Row],[category_id]],#REF!,3,FALSE),"")</f>
        <v/>
      </c>
      <c r="C921" s="23" t="str">
        <f>IFERROR(VLOOKUP(category_assignment_2[[#This Row],[abbreviation_id]],abbreviation[],ColumnLanguage+1,FALSE),"")</f>
        <v/>
      </c>
      <c r="D921" s="23"/>
      <c r="E921" s="23"/>
      <c r="F921" s="23"/>
      <c r="G921" s="23"/>
      <c r="H921" s="23"/>
      <c r="I921" s="23"/>
      <c r="J921" s="23"/>
      <c r="K921" s="23"/>
    </row>
    <row r="922" spans="1:11" x14ac:dyDescent="0.25">
      <c r="A922" s="4" t="str">
        <f>IFERROR(category_assignment_2[[#This Row],[category_assignment_id]],"")</f>
        <v/>
      </c>
      <c r="B922" s="23" t="str">
        <f>IFERROR(VLOOKUP(category_assignment_2[[#This Row],[category_id]],#REF!,3,FALSE),"")</f>
        <v/>
      </c>
      <c r="C922" s="23" t="str">
        <f>IFERROR(VLOOKUP(category_assignment_2[[#This Row],[abbreviation_id]],abbreviation[],ColumnLanguage+1,FALSE),"")</f>
        <v/>
      </c>
      <c r="D922" s="23"/>
      <c r="E922" s="23"/>
      <c r="F922" s="23"/>
      <c r="G922" s="23"/>
      <c r="H922" s="23"/>
      <c r="I922" s="23"/>
      <c r="J922" s="23"/>
      <c r="K922" s="23"/>
    </row>
    <row r="923" spans="1:11" x14ac:dyDescent="0.25">
      <c r="A923" s="4" t="str">
        <f>IFERROR(category_assignment_2[[#This Row],[category_assignment_id]],"")</f>
        <v/>
      </c>
      <c r="B923" s="23" t="str">
        <f>IFERROR(VLOOKUP(category_assignment_2[[#This Row],[category_id]],#REF!,3,FALSE),"")</f>
        <v/>
      </c>
      <c r="C923" s="23" t="str">
        <f>IFERROR(VLOOKUP(category_assignment_2[[#This Row],[abbreviation_id]],abbreviation[],ColumnLanguage+1,FALSE),"")</f>
        <v/>
      </c>
      <c r="D923" s="23"/>
      <c r="E923" s="23"/>
      <c r="F923" s="23"/>
      <c r="G923" s="23"/>
      <c r="H923" s="23"/>
      <c r="I923" s="23"/>
      <c r="J923" s="23"/>
      <c r="K923" s="23"/>
    </row>
    <row r="924" spans="1:11" x14ac:dyDescent="0.25">
      <c r="A924" s="4" t="str">
        <f>IFERROR(category_assignment_2[[#This Row],[category_assignment_id]],"")</f>
        <v/>
      </c>
      <c r="B924" s="23" t="str">
        <f>IFERROR(VLOOKUP(category_assignment_2[[#This Row],[category_id]],#REF!,3,FALSE),"")</f>
        <v/>
      </c>
      <c r="C924" s="23" t="str">
        <f>IFERROR(VLOOKUP(category_assignment_2[[#This Row],[abbreviation_id]],abbreviation[],ColumnLanguage+1,FALSE),"")</f>
        <v/>
      </c>
      <c r="D924" s="23"/>
      <c r="E924" s="23"/>
      <c r="F924" s="23"/>
      <c r="G924" s="23"/>
      <c r="H924" s="23"/>
      <c r="I924" s="23"/>
      <c r="J924" s="23"/>
      <c r="K924" s="23"/>
    </row>
    <row r="925" spans="1:11" x14ac:dyDescent="0.25">
      <c r="A925" s="4" t="str">
        <f>IFERROR(category_assignment_2[[#This Row],[category_assignment_id]],"")</f>
        <v/>
      </c>
      <c r="B925" s="23" t="str">
        <f>IFERROR(VLOOKUP(category_assignment_2[[#This Row],[category_id]],#REF!,3,FALSE),"")</f>
        <v/>
      </c>
      <c r="C925" s="23" t="str">
        <f>IFERROR(VLOOKUP(category_assignment_2[[#This Row],[abbreviation_id]],abbreviation[],ColumnLanguage+1,FALSE),"")</f>
        <v/>
      </c>
      <c r="D925" s="23"/>
      <c r="E925" s="23"/>
      <c r="F925" s="23"/>
      <c r="G925" s="23"/>
      <c r="H925" s="23"/>
      <c r="I925" s="23"/>
      <c r="J925" s="23"/>
      <c r="K925" s="23"/>
    </row>
    <row r="926" spans="1:11" x14ac:dyDescent="0.25">
      <c r="A926" s="4" t="str">
        <f>IFERROR(category_assignment_2[[#This Row],[category_assignment_id]],"")</f>
        <v/>
      </c>
      <c r="B926" s="23" t="str">
        <f>IFERROR(VLOOKUP(category_assignment_2[[#This Row],[category_id]],#REF!,3,FALSE),"")</f>
        <v/>
      </c>
      <c r="C926" s="23" t="str">
        <f>IFERROR(VLOOKUP(category_assignment_2[[#This Row],[abbreviation_id]],abbreviation[],ColumnLanguage+1,FALSE),"")</f>
        <v/>
      </c>
      <c r="D926" s="23"/>
      <c r="E926" s="23"/>
      <c r="F926" s="23"/>
      <c r="G926" s="23"/>
      <c r="H926" s="23"/>
      <c r="I926" s="23"/>
      <c r="J926" s="23"/>
      <c r="K926" s="23"/>
    </row>
    <row r="927" spans="1:11" x14ac:dyDescent="0.25">
      <c r="A927" s="4" t="str">
        <f>IFERROR(category_assignment_2[[#This Row],[category_assignment_id]],"")</f>
        <v/>
      </c>
      <c r="B927" s="23" t="str">
        <f>IFERROR(VLOOKUP(category_assignment_2[[#This Row],[category_id]],#REF!,3,FALSE),"")</f>
        <v/>
      </c>
      <c r="C927" s="23" t="str">
        <f>IFERROR(VLOOKUP(category_assignment_2[[#This Row],[abbreviation_id]],abbreviation[],ColumnLanguage+1,FALSE),"")</f>
        <v/>
      </c>
      <c r="D927" s="23"/>
      <c r="E927" s="23"/>
      <c r="F927" s="23"/>
      <c r="G927" s="23"/>
      <c r="H927" s="23"/>
      <c r="I927" s="23"/>
      <c r="J927" s="23"/>
      <c r="K927" s="23"/>
    </row>
    <row r="928" spans="1:11" x14ac:dyDescent="0.25">
      <c r="A928" s="4" t="str">
        <f>IFERROR(category_assignment_2[[#This Row],[category_assignment_id]],"")</f>
        <v/>
      </c>
      <c r="B928" s="23" t="str">
        <f>IFERROR(VLOOKUP(category_assignment_2[[#This Row],[category_id]],#REF!,3,FALSE),"")</f>
        <v/>
      </c>
      <c r="C928" s="23" t="str">
        <f>IFERROR(VLOOKUP(category_assignment_2[[#This Row],[abbreviation_id]],abbreviation[],ColumnLanguage+1,FALSE),"")</f>
        <v/>
      </c>
      <c r="D928" s="23"/>
      <c r="E928" s="23"/>
      <c r="F928" s="23"/>
      <c r="G928" s="23"/>
      <c r="H928" s="23"/>
      <c r="I928" s="23"/>
      <c r="J928" s="23"/>
      <c r="K928" s="23"/>
    </row>
    <row r="929" spans="1:11" x14ac:dyDescent="0.25">
      <c r="A929" s="4" t="str">
        <f>IFERROR(category_assignment_2[[#This Row],[category_assignment_id]],"")</f>
        <v/>
      </c>
      <c r="B929" s="23" t="str">
        <f>IFERROR(VLOOKUP(category_assignment_2[[#This Row],[category_id]],#REF!,3,FALSE),"")</f>
        <v/>
      </c>
      <c r="C929" s="23" t="str">
        <f>IFERROR(VLOOKUP(category_assignment_2[[#This Row],[abbreviation_id]],abbreviation[],ColumnLanguage+1,FALSE),"")</f>
        <v/>
      </c>
      <c r="D929" s="23"/>
      <c r="E929" s="23"/>
      <c r="F929" s="23"/>
      <c r="G929" s="23"/>
      <c r="H929" s="23"/>
      <c r="I929" s="23"/>
      <c r="J929" s="23"/>
      <c r="K929" s="23"/>
    </row>
    <row r="930" spans="1:11" x14ac:dyDescent="0.25">
      <c r="A930" s="4" t="str">
        <f>IFERROR(category_assignment_2[[#This Row],[category_assignment_id]],"")</f>
        <v/>
      </c>
      <c r="B930" s="23" t="str">
        <f>IFERROR(VLOOKUP(category_assignment_2[[#This Row],[category_id]],#REF!,3,FALSE),"")</f>
        <v/>
      </c>
      <c r="C930" s="23" t="str">
        <f>IFERROR(VLOOKUP(category_assignment_2[[#This Row],[abbreviation_id]],abbreviation[],ColumnLanguage+1,FALSE),"")</f>
        <v/>
      </c>
      <c r="D930" s="23"/>
      <c r="E930" s="23"/>
      <c r="F930" s="23"/>
      <c r="G930" s="23"/>
      <c r="H930" s="23"/>
      <c r="I930" s="23"/>
      <c r="J930" s="23"/>
      <c r="K930" s="23"/>
    </row>
    <row r="931" spans="1:11" x14ac:dyDescent="0.25">
      <c r="A931" s="4" t="str">
        <f>IFERROR(category_assignment_2[[#This Row],[category_assignment_id]],"")</f>
        <v/>
      </c>
      <c r="B931" s="23" t="str">
        <f>IFERROR(VLOOKUP(category_assignment_2[[#This Row],[category_id]],#REF!,3,FALSE),"")</f>
        <v/>
      </c>
      <c r="C931" s="23" t="str">
        <f>IFERROR(VLOOKUP(category_assignment_2[[#This Row],[abbreviation_id]],abbreviation[],ColumnLanguage+1,FALSE),"")</f>
        <v/>
      </c>
      <c r="D931" s="23"/>
      <c r="E931" s="23"/>
      <c r="F931" s="23"/>
      <c r="G931" s="23"/>
      <c r="H931" s="23"/>
      <c r="I931" s="23"/>
      <c r="J931" s="23"/>
      <c r="K931" s="23"/>
    </row>
    <row r="932" spans="1:11" x14ac:dyDescent="0.25">
      <c r="A932" s="4" t="str">
        <f>IFERROR(category_assignment_2[[#This Row],[category_assignment_id]],"")</f>
        <v/>
      </c>
      <c r="B932" s="23" t="str">
        <f>IFERROR(VLOOKUP(category_assignment_2[[#This Row],[category_id]],#REF!,3,FALSE),"")</f>
        <v/>
      </c>
      <c r="C932" s="23" t="str">
        <f>IFERROR(VLOOKUP(category_assignment_2[[#This Row],[abbreviation_id]],abbreviation[],ColumnLanguage+1,FALSE),"")</f>
        <v/>
      </c>
      <c r="D932" s="23"/>
      <c r="E932" s="23"/>
      <c r="F932" s="23"/>
      <c r="G932" s="23"/>
      <c r="H932" s="23"/>
      <c r="I932" s="23"/>
      <c r="J932" s="23"/>
      <c r="K932" s="23"/>
    </row>
    <row r="933" spans="1:11" x14ac:dyDescent="0.25">
      <c r="A933" s="4" t="str">
        <f>IFERROR(category_assignment_2[[#This Row],[category_assignment_id]],"")</f>
        <v/>
      </c>
      <c r="B933" s="23" t="str">
        <f>IFERROR(VLOOKUP(category_assignment_2[[#This Row],[category_id]],#REF!,3,FALSE),"")</f>
        <v/>
      </c>
      <c r="C933" s="23" t="str">
        <f>IFERROR(VLOOKUP(category_assignment_2[[#This Row],[abbreviation_id]],abbreviation[],ColumnLanguage+1,FALSE),"")</f>
        <v/>
      </c>
      <c r="D933" s="23"/>
      <c r="E933" s="23"/>
      <c r="F933" s="23"/>
      <c r="G933" s="23"/>
      <c r="H933" s="23"/>
      <c r="I933" s="23"/>
      <c r="J933" s="23"/>
      <c r="K933" s="23"/>
    </row>
    <row r="934" spans="1:11" x14ac:dyDescent="0.25">
      <c r="A934" s="4" t="str">
        <f>IFERROR(category_assignment_2[[#This Row],[category_assignment_id]],"")</f>
        <v/>
      </c>
      <c r="B934" s="23" t="str">
        <f>IFERROR(VLOOKUP(category_assignment_2[[#This Row],[category_id]],#REF!,3,FALSE),"")</f>
        <v/>
      </c>
      <c r="C934" s="23" t="str">
        <f>IFERROR(VLOOKUP(category_assignment_2[[#This Row],[abbreviation_id]],abbreviation[],ColumnLanguage+1,FALSE),"")</f>
        <v/>
      </c>
      <c r="D934" s="23"/>
      <c r="E934" s="23"/>
      <c r="F934" s="23"/>
      <c r="G934" s="23"/>
      <c r="H934" s="23"/>
      <c r="I934" s="23"/>
      <c r="J934" s="23"/>
      <c r="K934" s="23"/>
    </row>
    <row r="935" spans="1:11" x14ac:dyDescent="0.25">
      <c r="A935" s="4" t="str">
        <f>IFERROR(category_assignment_2[[#This Row],[category_assignment_id]],"")</f>
        <v/>
      </c>
      <c r="B935" s="23" t="str">
        <f>IFERROR(VLOOKUP(category_assignment_2[[#This Row],[category_id]],#REF!,3,FALSE),"")</f>
        <v/>
      </c>
      <c r="C935" s="23" t="str">
        <f>IFERROR(VLOOKUP(category_assignment_2[[#This Row],[abbreviation_id]],abbreviation[],ColumnLanguage+1,FALSE),"")</f>
        <v/>
      </c>
      <c r="D935" s="23"/>
      <c r="E935" s="23"/>
      <c r="F935" s="23"/>
      <c r="G935" s="23"/>
      <c r="H935" s="23"/>
      <c r="I935" s="23"/>
      <c r="J935" s="23"/>
      <c r="K935" s="23"/>
    </row>
    <row r="936" spans="1:11" x14ac:dyDescent="0.25">
      <c r="A936" s="4" t="str">
        <f>IFERROR(category_assignment_2[[#This Row],[category_assignment_id]],"")</f>
        <v/>
      </c>
      <c r="B936" s="23" t="str">
        <f>IFERROR(VLOOKUP(category_assignment_2[[#This Row],[category_id]],#REF!,3,FALSE),"")</f>
        <v/>
      </c>
      <c r="C936" s="23" t="str">
        <f>IFERROR(VLOOKUP(category_assignment_2[[#This Row],[abbreviation_id]],abbreviation[],ColumnLanguage+1,FALSE),"")</f>
        <v/>
      </c>
      <c r="D936" s="23"/>
      <c r="E936" s="23"/>
      <c r="F936" s="23"/>
      <c r="G936" s="23"/>
      <c r="H936" s="23"/>
      <c r="I936" s="23"/>
      <c r="J936" s="23"/>
      <c r="K936" s="23"/>
    </row>
    <row r="937" spans="1:11" x14ac:dyDescent="0.25">
      <c r="A937" s="4" t="str">
        <f>IFERROR(category_assignment_2[[#This Row],[category_assignment_id]],"")</f>
        <v/>
      </c>
      <c r="B937" s="23" t="str">
        <f>IFERROR(VLOOKUP(category_assignment_2[[#This Row],[category_id]],#REF!,3,FALSE),"")</f>
        <v/>
      </c>
      <c r="C937" s="23" t="str">
        <f>IFERROR(VLOOKUP(category_assignment_2[[#This Row],[abbreviation_id]],abbreviation[],ColumnLanguage+1,FALSE),"")</f>
        <v/>
      </c>
      <c r="D937" s="23"/>
      <c r="E937" s="23"/>
      <c r="F937" s="23"/>
      <c r="G937" s="23"/>
      <c r="H937" s="23"/>
      <c r="I937" s="23"/>
      <c r="J937" s="23"/>
      <c r="K937" s="23"/>
    </row>
    <row r="938" spans="1:11" x14ac:dyDescent="0.25">
      <c r="A938" s="4" t="str">
        <f>IFERROR(category_assignment_2[[#This Row],[category_assignment_id]],"")</f>
        <v/>
      </c>
      <c r="B938" s="23" t="str">
        <f>IFERROR(VLOOKUP(category_assignment_2[[#This Row],[category_id]],#REF!,3,FALSE),"")</f>
        <v/>
      </c>
      <c r="C938" s="23" t="str">
        <f>IFERROR(VLOOKUP(category_assignment_2[[#This Row],[abbreviation_id]],abbreviation[],ColumnLanguage+1,FALSE),"")</f>
        <v/>
      </c>
      <c r="D938" s="23"/>
      <c r="E938" s="23"/>
      <c r="F938" s="23"/>
      <c r="G938" s="23"/>
      <c r="H938" s="23"/>
      <c r="I938" s="23"/>
      <c r="J938" s="23"/>
      <c r="K938" s="23"/>
    </row>
    <row r="939" spans="1:11" x14ac:dyDescent="0.25">
      <c r="A939" s="4" t="str">
        <f>IFERROR(category_assignment_2[[#This Row],[category_assignment_id]],"")</f>
        <v/>
      </c>
      <c r="B939" s="23" t="str">
        <f>IFERROR(VLOOKUP(category_assignment_2[[#This Row],[category_id]],#REF!,3,FALSE),"")</f>
        <v/>
      </c>
      <c r="C939" s="23" t="str">
        <f>IFERROR(VLOOKUP(category_assignment_2[[#This Row],[abbreviation_id]],abbreviation[],ColumnLanguage+1,FALSE),"")</f>
        <v/>
      </c>
      <c r="D939" s="23"/>
      <c r="E939" s="23"/>
      <c r="F939" s="23"/>
      <c r="G939" s="23"/>
      <c r="H939" s="23"/>
      <c r="I939" s="23"/>
      <c r="J939" s="23"/>
      <c r="K939" s="23"/>
    </row>
    <row r="940" spans="1:11" x14ac:dyDescent="0.25">
      <c r="A940" s="4" t="str">
        <f>IFERROR(category_assignment_2[[#This Row],[category_assignment_id]],"")</f>
        <v/>
      </c>
      <c r="B940" s="23" t="str">
        <f>IFERROR(VLOOKUP(category_assignment_2[[#This Row],[category_id]],#REF!,3,FALSE),"")</f>
        <v/>
      </c>
      <c r="C940" s="23" t="str">
        <f>IFERROR(VLOOKUP(category_assignment_2[[#This Row],[abbreviation_id]],abbreviation[],ColumnLanguage+1,FALSE),"")</f>
        <v/>
      </c>
      <c r="D940" s="23"/>
      <c r="E940" s="23"/>
      <c r="F940" s="23"/>
      <c r="G940" s="23"/>
      <c r="H940" s="23"/>
      <c r="I940" s="23"/>
      <c r="J940" s="23"/>
      <c r="K940" s="23"/>
    </row>
    <row r="941" spans="1:11" x14ac:dyDescent="0.25">
      <c r="A941" s="4" t="str">
        <f>IFERROR(category_assignment_2[[#This Row],[category_assignment_id]],"")</f>
        <v/>
      </c>
      <c r="B941" s="23" t="str">
        <f>IFERROR(VLOOKUP(category_assignment_2[[#This Row],[category_id]],#REF!,3,FALSE),"")</f>
        <v/>
      </c>
      <c r="C941" s="23" t="str">
        <f>IFERROR(VLOOKUP(category_assignment_2[[#This Row],[abbreviation_id]],abbreviation[],ColumnLanguage+1,FALSE),"")</f>
        <v/>
      </c>
      <c r="D941" s="23"/>
      <c r="E941" s="23"/>
      <c r="F941" s="23"/>
      <c r="G941" s="23"/>
      <c r="H941" s="23"/>
      <c r="I941" s="23"/>
      <c r="J941" s="23"/>
      <c r="K941" s="23"/>
    </row>
    <row r="942" spans="1:11" x14ac:dyDescent="0.25">
      <c r="A942" s="4" t="str">
        <f>IFERROR(category_assignment_2[[#This Row],[category_assignment_id]],"")</f>
        <v/>
      </c>
      <c r="B942" s="23" t="str">
        <f>IFERROR(VLOOKUP(category_assignment_2[[#This Row],[category_id]],#REF!,3,FALSE),"")</f>
        <v/>
      </c>
      <c r="C942" s="23" t="str">
        <f>IFERROR(VLOOKUP(category_assignment_2[[#This Row],[abbreviation_id]],abbreviation[],ColumnLanguage+1,FALSE),"")</f>
        <v/>
      </c>
      <c r="D942" s="23"/>
      <c r="E942" s="23"/>
      <c r="F942" s="23"/>
      <c r="G942" s="23"/>
      <c r="H942" s="23"/>
      <c r="I942" s="23"/>
      <c r="J942" s="23"/>
      <c r="K942" s="23"/>
    </row>
    <row r="943" spans="1:11" x14ac:dyDescent="0.25">
      <c r="A943" s="4" t="str">
        <f>IFERROR(category_assignment_2[[#This Row],[category_assignment_id]],"")</f>
        <v/>
      </c>
      <c r="B943" s="23" t="str">
        <f>IFERROR(VLOOKUP(category_assignment_2[[#This Row],[category_id]],#REF!,3,FALSE),"")</f>
        <v/>
      </c>
      <c r="C943" s="23" t="str">
        <f>IFERROR(VLOOKUP(category_assignment_2[[#This Row],[abbreviation_id]],abbreviation[],ColumnLanguage+1,FALSE),"")</f>
        <v/>
      </c>
      <c r="D943" s="23"/>
      <c r="E943" s="23"/>
      <c r="F943" s="23"/>
      <c r="G943" s="23"/>
      <c r="H943" s="23"/>
      <c r="I943" s="23"/>
      <c r="J943" s="23"/>
      <c r="K943" s="23"/>
    </row>
    <row r="944" spans="1:11" x14ac:dyDescent="0.25">
      <c r="A944" s="4" t="str">
        <f>IFERROR(category_assignment_2[[#This Row],[category_assignment_id]],"")</f>
        <v/>
      </c>
      <c r="B944" s="23" t="str">
        <f>IFERROR(VLOOKUP(category_assignment_2[[#This Row],[category_id]],#REF!,3,FALSE),"")</f>
        <v/>
      </c>
      <c r="C944" s="23" t="str">
        <f>IFERROR(VLOOKUP(category_assignment_2[[#This Row],[abbreviation_id]],abbreviation[],ColumnLanguage+1,FALSE),"")</f>
        <v/>
      </c>
      <c r="D944" s="23"/>
      <c r="E944" s="23"/>
      <c r="F944" s="23"/>
      <c r="G944" s="23"/>
      <c r="H944" s="23"/>
      <c r="I944" s="23"/>
      <c r="J944" s="23"/>
      <c r="K944" s="23"/>
    </row>
    <row r="945" spans="1:11" x14ac:dyDescent="0.25">
      <c r="A945" s="4" t="str">
        <f>IFERROR(category_assignment_2[[#This Row],[category_assignment_id]],"")</f>
        <v/>
      </c>
      <c r="B945" s="23" t="str">
        <f>IFERROR(VLOOKUP(category_assignment_2[[#This Row],[category_id]],#REF!,3,FALSE),"")</f>
        <v/>
      </c>
      <c r="C945" s="23" t="str">
        <f>IFERROR(VLOOKUP(category_assignment_2[[#This Row],[abbreviation_id]],abbreviation[],ColumnLanguage+1,FALSE),"")</f>
        <v/>
      </c>
      <c r="D945" s="23"/>
      <c r="E945" s="23"/>
      <c r="F945" s="23"/>
      <c r="G945" s="23"/>
      <c r="H945" s="23"/>
      <c r="I945" s="23"/>
      <c r="J945" s="23"/>
      <c r="K945" s="23"/>
    </row>
    <row r="946" spans="1:11" x14ac:dyDescent="0.25">
      <c r="A946" s="4" t="str">
        <f>IFERROR(category_assignment_2[[#This Row],[category_assignment_id]],"")</f>
        <v/>
      </c>
      <c r="B946" s="23" t="str">
        <f>IFERROR(VLOOKUP(category_assignment_2[[#This Row],[category_id]],#REF!,3,FALSE),"")</f>
        <v/>
      </c>
      <c r="C946" s="23" t="str">
        <f>IFERROR(VLOOKUP(category_assignment_2[[#This Row],[abbreviation_id]],abbreviation[],ColumnLanguage+1,FALSE),"")</f>
        <v/>
      </c>
      <c r="D946" s="23"/>
      <c r="E946" s="23"/>
      <c r="F946" s="23"/>
      <c r="G946" s="23"/>
      <c r="H946" s="23"/>
      <c r="I946" s="23"/>
      <c r="J946" s="23"/>
      <c r="K946" s="23"/>
    </row>
    <row r="947" spans="1:11" x14ac:dyDescent="0.25">
      <c r="A947" s="4" t="str">
        <f>IFERROR(category_assignment_2[[#This Row],[category_assignment_id]],"")</f>
        <v/>
      </c>
      <c r="B947" s="23" t="str">
        <f>IFERROR(VLOOKUP(category_assignment_2[[#This Row],[category_id]],#REF!,3,FALSE),"")</f>
        <v/>
      </c>
      <c r="C947" s="23" t="str">
        <f>IFERROR(VLOOKUP(category_assignment_2[[#This Row],[abbreviation_id]],abbreviation[],ColumnLanguage+1,FALSE),"")</f>
        <v/>
      </c>
      <c r="D947" s="23"/>
      <c r="E947" s="23"/>
      <c r="F947" s="23"/>
      <c r="G947" s="23"/>
      <c r="H947" s="23"/>
      <c r="I947" s="23"/>
      <c r="J947" s="23"/>
      <c r="K947" s="23"/>
    </row>
    <row r="948" spans="1:11" x14ac:dyDescent="0.25">
      <c r="A948" s="4" t="str">
        <f>IFERROR(category_assignment_2[[#This Row],[category_assignment_id]],"")</f>
        <v/>
      </c>
      <c r="B948" s="23" t="str">
        <f>IFERROR(VLOOKUP(category_assignment_2[[#This Row],[category_id]],#REF!,3,FALSE),"")</f>
        <v/>
      </c>
      <c r="C948" s="23" t="str">
        <f>IFERROR(VLOOKUP(category_assignment_2[[#This Row],[abbreviation_id]],abbreviation[],ColumnLanguage+1,FALSE),"")</f>
        <v/>
      </c>
      <c r="D948" s="23"/>
      <c r="E948" s="23"/>
      <c r="F948" s="23"/>
      <c r="G948" s="23"/>
      <c r="H948" s="23"/>
      <c r="I948" s="23"/>
      <c r="J948" s="23"/>
      <c r="K948" s="23"/>
    </row>
    <row r="949" spans="1:11" x14ac:dyDescent="0.25">
      <c r="A949" s="4" t="str">
        <f>IFERROR(category_assignment_2[[#This Row],[category_assignment_id]],"")</f>
        <v/>
      </c>
      <c r="B949" s="23" t="str">
        <f>IFERROR(VLOOKUP(category_assignment_2[[#This Row],[category_id]],#REF!,3,FALSE),"")</f>
        <v/>
      </c>
      <c r="C949" s="23" t="str">
        <f>IFERROR(VLOOKUP(category_assignment_2[[#This Row],[abbreviation_id]],abbreviation[],ColumnLanguage+1,FALSE),"")</f>
        <v/>
      </c>
      <c r="D949" s="23"/>
      <c r="E949" s="23"/>
      <c r="F949" s="23"/>
      <c r="G949" s="23"/>
      <c r="H949" s="23"/>
      <c r="I949" s="23"/>
      <c r="J949" s="23"/>
      <c r="K949" s="23"/>
    </row>
    <row r="950" spans="1:11" x14ac:dyDescent="0.25">
      <c r="A950" s="4" t="str">
        <f>IFERROR(category_assignment_2[[#This Row],[category_assignment_id]],"")</f>
        <v/>
      </c>
      <c r="B950" s="23" t="str">
        <f>IFERROR(VLOOKUP(category_assignment_2[[#This Row],[category_id]],#REF!,3,FALSE),"")</f>
        <v/>
      </c>
      <c r="C950" s="23" t="str">
        <f>IFERROR(VLOOKUP(category_assignment_2[[#This Row],[abbreviation_id]],abbreviation[],ColumnLanguage+1,FALSE),"")</f>
        <v/>
      </c>
      <c r="D950" s="23"/>
      <c r="E950" s="23"/>
      <c r="F950" s="23"/>
      <c r="G950" s="23"/>
      <c r="H950" s="23"/>
      <c r="I950" s="23"/>
      <c r="J950" s="23"/>
      <c r="K950" s="23"/>
    </row>
    <row r="951" spans="1:11" x14ac:dyDescent="0.25">
      <c r="A951" s="4" t="str">
        <f>IFERROR(category_assignment_2[[#This Row],[category_assignment_id]],"")</f>
        <v/>
      </c>
      <c r="B951" s="23" t="str">
        <f>IFERROR(VLOOKUP(category_assignment_2[[#This Row],[category_id]],#REF!,3,FALSE),"")</f>
        <v/>
      </c>
      <c r="C951" s="23" t="str">
        <f>IFERROR(VLOOKUP(category_assignment_2[[#This Row],[abbreviation_id]],abbreviation[],ColumnLanguage+1,FALSE),"")</f>
        <v/>
      </c>
      <c r="D951" s="23"/>
      <c r="E951" s="23"/>
      <c r="F951" s="23"/>
      <c r="G951" s="23"/>
      <c r="H951" s="23"/>
      <c r="I951" s="23"/>
      <c r="J951" s="23"/>
      <c r="K951" s="23"/>
    </row>
    <row r="952" spans="1:11" x14ac:dyDescent="0.25">
      <c r="A952" s="4" t="str">
        <f>IFERROR(category_assignment_2[[#This Row],[category_assignment_id]],"")</f>
        <v/>
      </c>
      <c r="B952" s="23" t="str">
        <f>IFERROR(VLOOKUP(category_assignment_2[[#This Row],[category_id]],#REF!,3,FALSE),"")</f>
        <v/>
      </c>
      <c r="C952" s="23" t="str">
        <f>IFERROR(VLOOKUP(category_assignment_2[[#This Row],[abbreviation_id]],abbreviation[],ColumnLanguage+1,FALSE),"")</f>
        <v/>
      </c>
      <c r="D952" s="23"/>
      <c r="E952" s="23"/>
      <c r="F952" s="23"/>
      <c r="G952" s="23"/>
      <c r="H952" s="23"/>
      <c r="I952" s="23"/>
      <c r="J952" s="23"/>
      <c r="K952" s="23"/>
    </row>
    <row r="953" spans="1:11" x14ac:dyDescent="0.25">
      <c r="A953" s="4" t="str">
        <f>IFERROR(category_assignment_2[[#This Row],[category_assignment_id]],"")</f>
        <v/>
      </c>
      <c r="B953" s="23" t="str">
        <f>IFERROR(VLOOKUP(category_assignment_2[[#This Row],[category_id]],#REF!,3,FALSE),"")</f>
        <v/>
      </c>
      <c r="C953" s="23" t="str">
        <f>IFERROR(VLOOKUP(category_assignment_2[[#This Row],[abbreviation_id]],abbreviation[],ColumnLanguage+1,FALSE),"")</f>
        <v/>
      </c>
      <c r="D953" s="23"/>
      <c r="E953" s="23"/>
      <c r="F953" s="23"/>
      <c r="G953" s="23"/>
      <c r="H953" s="23"/>
      <c r="I953" s="23"/>
      <c r="J953" s="23"/>
      <c r="K953" s="23"/>
    </row>
    <row r="954" spans="1:11" x14ac:dyDescent="0.25">
      <c r="A954" s="4" t="str">
        <f>IFERROR(category_assignment_2[[#This Row],[category_assignment_id]],"")</f>
        <v/>
      </c>
      <c r="B954" s="23" t="str">
        <f>IFERROR(VLOOKUP(category_assignment_2[[#This Row],[category_id]],#REF!,3,FALSE),"")</f>
        <v/>
      </c>
      <c r="C954" s="23" t="str">
        <f>IFERROR(VLOOKUP(category_assignment_2[[#This Row],[abbreviation_id]],abbreviation[],ColumnLanguage+1,FALSE),"")</f>
        <v/>
      </c>
      <c r="D954" s="23"/>
      <c r="E954" s="23"/>
      <c r="F954" s="23"/>
      <c r="G954" s="23"/>
      <c r="H954" s="23"/>
      <c r="I954" s="23"/>
      <c r="J954" s="23"/>
      <c r="K954" s="23"/>
    </row>
    <row r="955" spans="1:11" x14ac:dyDescent="0.25">
      <c r="A955" s="4" t="str">
        <f>IFERROR(category_assignment_2[[#This Row],[category_assignment_id]],"")</f>
        <v/>
      </c>
      <c r="B955" s="23" t="str">
        <f>IFERROR(VLOOKUP(category_assignment_2[[#This Row],[category_id]],#REF!,3,FALSE),"")</f>
        <v/>
      </c>
      <c r="C955" s="23" t="str">
        <f>IFERROR(VLOOKUP(category_assignment_2[[#This Row],[abbreviation_id]],abbreviation[],ColumnLanguage+1,FALSE),"")</f>
        <v/>
      </c>
      <c r="D955" s="23"/>
      <c r="E955" s="23"/>
      <c r="F955" s="23"/>
      <c r="G955" s="23"/>
      <c r="H955" s="23"/>
      <c r="I955" s="23"/>
      <c r="J955" s="23"/>
      <c r="K955" s="23"/>
    </row>
    <row r="956" spans="1:11" x14ac:dyDescent="0.25">
      <c r="A956" s="4" t="str">
        <f>IFERROR(category_assignment_2[[#This Row],[category_assignment_id]],"")</f>
        <v/>
      </c>
      <c r="B956" s="23" t="str">
        <f>IFERROR(VLOOKUP(category_assignment_2[[#This Row],[category_id]],#REF!,3,FALSE),"")</f>
        <v/>
      </c>
      <c r="C956" s="23" t="str">
        <f>IFERROR(VLOOKUP(category_assignment_2[[#This Row],[abbreviation_id]],abbreviation[],ColumnLanguage+1,FALSE),"")</f>
        <v/>
      </c>
      <c r="D956" s="23"/>
      <c r="E956" s="23"/>
      <c r="F956" s="23"/>
      <c r="G956" s="23"/>
      <c r="H956" s="23"/>
      <c r="I956" s="23"/>
      <c r="J956" s="23"/>
      <c r="K956" s="23"/>
    </row>
    <row r="957" spans="1:11" x14ac:dyDescent="0.25">
      <c r="A957" s="4" t="str">
        <f>IFERROR(category_assignment_2[[#This Row],[category_assignment_id]],"")</f>
        <v/>
      </c>
      <c r="B957" s="23" t="str">
        <f>IFERROR(VLOOKUP(category_assignment_2[[#This Row],[category_id]],#REF!,3,FALSE),"")</f>
        <v/>
      </c>
      <c r="C957" s="23" t="str">
        <f>IFERROR(VLOOKUP(category_assignment_2[[#This Row],[abbreviation_id]],abbreviation[],ColumnLanguage+1,FALSE),"")</f>
        <v/>
      </c>
      <c r="D957" s="23"/>
      <c r="E957" s="23"/>
      <c r="F957" s="23"/>
      <c r="G957" s="23"/>
      <c r="H957" s="23"/>
      <c r="I957" s="23"/>
      <c r="J957" s="23"/>
      <c r="K957" s="23"/>
    </row>
    <row r="958" spans="1:11" x14ac:dyDescent="0.25">
      <c r="A958" s="4" t="str">
        <f>IFERROR(category_assignment_2[[#This Row],[category_assignment_id]],"")</f>
        <v/>
      </c>
      <c r="B958" s="23" t="str">
        <f>IFERROR(VLOOKUP(category_assignment_2[[#This Row],[category_id]],#REF!,3,FALSE),"")</f>
        <v/>
      </c>
      <c r="C958" s="23" t="str">
        <f>IFERROR(VLOOKUP(category_assignment_2[[#This Row],[abbreviation_id]],abbreviation[],ColumnLanguage+1,FALSE),"")</f>
        <v/>
      </c>
      <c r="D958" s="23"/>
      <c r="E958" s="23"/>
      <c r="F958" s="23"/>
      <c r="G958" s="23"/>
      <c r="H958" s="23"/>
      <c r="I958" s="23"/>
      <c r="J958" s="23"/>
      <c r="K958" s="23"/>
    </row>
    <row r="959" spans="1:11" x14ac:dyDescent="0.25">
      <c r="A959" s="4" t="str">
        <f>IFERROR(category_assignment_2[[#This Row],[category_assignment_id]],"")</f>
        <v/>
      </c>
      <c r="B959" s="23" t="str">
        <f>IFERROR(VLOOKUP(category_assignment_2[[#This Row],[category_id]],#REF!,3,FALSE),"")</f>
        <v/>
      </c>
      <c r="C959" s="23" t="str">
        <f>IFERROR(VLOOKUP(category_assignment_2[[#This Row],[abbreviation_id]],abbreviation[],ColumnLanguage+1,FALSE),"")</f>
        <v/>
      </c>
      <c r="D959" s="23"/>
      <c r="E959" s="23"/>
      <c r="F959" s="23"/>
      <c r="G959" s="23"/>
      <c r="H959" s="23"/>
      <c r="I959" s="23"/>
      <c r="J959" s="23"/>
      <c r="K959" s="23"/>
    </row>
    <row r="960" spans="1:11" x14ac:dyDescent="0.25">
      <c r="A960" s="4" t="str">
        <f>IFERROR(category_assignment_2[[#This Row],[category_assignment_id]],"")</f>
        <v/>
      </c>
      <c r="B960" s="23" t="str">
        <f>IFERROR(VLOOKUP(category_assignment_2[[#This Row],[category_id]],#REF!,3,FALSE),"")</f>
        <v/>
      </c>
      <c r="C960" s="23" t="str">
        <f>IFERROR(VLOOKUP(category_assignment_2[[#This Row],[abbreviation_id]],abbreviation[],ColumnLanguage+1,FALSE),"")</f>
        <v/>
      </c>
      <c r="D960" s="23"/>
      <c r="E960" s="23"/>
      <c r="F960" s="23"/>
      <c r="G960" s="23"/>
      <c r="H960" s="23"/>
      <c r="I960" s="23"/>
      <c r="J960" s="23"/>
      <c r="K960" s="23"/>
    </row>
    <row r="961" spans="1:11" x14ac:dyDescent="0.25">
      <c r="A961" s="4" t="str">
        <f>IFERROR(category_assignment_2[[#This Row],[category_assignment_id]],"")</f>
        <v/>
      </c>
      <c r="B961" s="23" t="str">
        <f>IFERROR(VLOOKUP(category_assignment_2[[#This Row],[category_id]],#REF!,3,FALSE),"")</f>
        <v/>
      </c>
      <c r="C961" s="23" t="str">
        <f>IFERROR(VLOOKUP(category_assignment_2[[#This Row],[abbreviation_id]],abbreviation[],ColumnLanguage+1,FALSE),"")</f>
        <v/>
      </c>
      <c r="D961" s="23"/>
      <c r="E961" s="23"/>
      <c r="F961" s="23"/>
      <c r="G961" s="23"/>
      <c r="H961" s="23"/>
      <c r="I961" s="23"/>
      <c r="J961" s="23"/>
      <c r="K961" s="23"/>
    </row>
    <row r="962" spans="1:11" x14ac:dyDescent="0.25">
      <c r="A962" s="4" t="str">
        <f>IFERROR(category_assignment_2[[#This Row],[category_assignment_id]],"")</f>
        <v/>
      </c>
      <c r="B962" s="23" t="str">
        <f>IFERROR(VLOOKUP(category_assignment_2[[#This Row],[category_id]],#REF!,3,FALSE),"")</f>
        <v/>
      </c>
      <c r="C962" s="23" t="str">
        <f>IFERROR(VLOOKUP(category_assignment_2[[#This Row],[abbreviation_id]],abbreviation[],ColumnLanguage+1,FALSE),"")</f>
        <v/>
      </c>
      <c r="D962" s="23"/>
      <c r="E962" s="23"/>
      <c r="F962" s="23"/>
      <c r="G962" s="23"/>
      <c r="H962" s="23"/>
      <c r="I962" s="23"/>
      <c r="J962" s="23"/>
      <c r="K962" s="23"/>
    </row>
    <row r="963" spans="1:11" x14ac:dyDescent="0.25">
      <c r="A963" s="4" t="str">
        <f>IFERROR(category_assignment_2[[#This Row],[category_assignment_id]],"")</f>
        <v/>
      </c>
      <c r="B963" s="23" t="str">
        <f>IFERROR(VLOOKUP(category_assignment_2[[#This Row],[category_id]],#REF!,3,FALSE),"")</f>
        <v/>
      </c>
      <c r="C963" s="23" t="str">
        <f>IFERROR(VLOOKUP(category_assignment_2[[#This Row],[abbreviation_id]],abbreviation[],ColumnLanguage+1,FALSE),"")</f>
        <v/>
      </c>
      <c r="D963" s="23"/>
      <c r="E963" s="23"/>
      <c r="F963" s="23"/>
      <c r="G963" s="23"/>
      <c r="H963" s="23"/>
      <c r="I963" s="23"/>
      <c r="J963" s="23"/>
      <c r="K963" s="23"/>
    </row>
    <row r="964" spans="1:11" x14ac:dyDescent="0.25">
      <c r="A964" s="4" t="str">
        <f>IFERROR(category_assignment_2[[#This Row],[category_assignment_id]],"")</f>
        <v/>
      </c>
      <c r="B964" s="23" t="str">
        <f>IFERROR(VLOOKUP(category_assignment_2[[#This Row],[category_id]],#REF!,3,FALSE),"")</f>
        <v/>
      </c>
      <c r="C964" s="23" t="str">
        <f>IFERROR(VLOOKUP(category_assignment_2[[#This Row],[abbreviation_id]],abbreviation[],ColumnLanguage+1,FALSE),"")</f>
        <v/>
      </c>
      <c r="D964" s="23"/>
      <c r="E964" s="23"/>
      <c r="F964" s="23"/>
      <c r="G964" s="23"/>
      <c r="H964" s="23"/>
      <c r="I964" s="23"/>
      <c r="J964" s="23"/>
      <c r="K964" s="23"/>
    </row>
    <row r="965" spans="1:11" x14ac:dyDescent="0.25">
      <c r="A965" s="4" t="str">
        <f>IFERROR(category_assignment_2[[#This Row],[category_assignment_id]],"")</f>
        <v/>
      </c>
      <c r="B965" s="23" t="str">
        <f>IFERROR(VLOOKUP(category_assignment_2[[#This Row],[category_id]],#REF!,3,FALSE),"")</f>
        <v/>
      </c>
      <c r="C965" s="23" t="str">
        <f>IFERROR(VLOOKUP(category_assignment_2[[#This Row],[abbreviation_id]],abbreviation[],ColumnLanguage+1,FALSE),"")</f>
        <v/>
      </c>
      <c r="D965" s="23"/>
      <c r="E965" s="23"/>
      <c r="F965" s="23"/>
      <c r="G965" s="23"/>
      <c r="H965" s="23"/>
      <c r="I965" s="23"/>
      <c r="J965" s="23"/>
      <c r="K965" s="23"/>
    </row>
    <row r="966" spans="1:11" x14ac:dyDescent="0.25">
      <c r="A966" s="4" t="str">
        <f>IFERROR(category_assignment_2[[#This Row],[category_assignment_id]],"")</f>
        <v/>
      </c>
      <c r="B966" s="23" t="str">
        <f>IFERROR(VLOOKUP(category_assignment_2[[#This Row],[category_id]],#REF!,3,FALSE),"")</f>
        <v/>
      </c>
      <c r="C966" s="23" t="str">
        <f>IFERROR(VLOOKUP(category_assignment_2[[#This Row],[abbreviation_id]],abbreviation[],ColumnLanguage+1,FALSE),"")</f>
        <v/>
      </c>
      <c r="D966" s="23"/>
      <c r="E966" s="23"/>
      <c r="F966" s="23"/>
      <c r="G966" s="23"/>
      <c r="H966" s="23"/>
      <c r="I966" s="23"/>
      <c r="J966" s="23"/>
      <c r="K966" s="23"/>
    </row>
    <row r="967" spans="1:11" x14ac:dyDescent="0.25">
      <c r="A967" s="4" t="str">
        <f>IFERROR(category_assignment_2[[#This Row],[category_assignment_id]],"")</f>
        <v/>
      </c>
      <c r="B967" s="23" t="str">
        <f>IFERROR(VLOOKUP(category_assignment_2[[#This Row],[category_id]],#REF!,3,FALSE),"")</f>
        <v/>
      </c>
      <c r="C967" s="23" t="str">
        <f>IFERROR(VLOOKUP(category_assignment_2[[#This Row],[abbreviation_id]],abbreviation[],ColumnLanguage+1,FALSE),"")</f>
        <v/>
      </c>
      <c r="D967" s="23"/>
      <c r="E967" s="23"/>
      <c r="F967" s="23"/>
      <c r="G967" s="23"/>
      <c r="H967" s="23"/>
      <c r="I967" s="23"/>
      <c r="J967" s="23"/>
      <c r="K967" s="23"/>
    </row>
    <row r="968" spans="1:11" x14ac:dyDescent="0.25">
      <c r="A968" s="4" t="str">
        <f>IFERROR(category_assignment_2[[#This Row],[category_assignment_id]],"")</f>
        <v/>
      </c>
      <c r="B968" s="23" t="str">
        <f>IFERROR(VLOOKUP(category_assignment_2[[#This Row],[category_id]],#REF!,3,FALSE),"")</f>
        <v/>
      </c>
      <c r="C968" s="23" t="str">
        <f>IFERROR(VLOOKUP(category_assignment_2[[#This Row],[abbreviation_id]],abbreviation[],ColumnLanguage+1,FALSE),"")</f>
        <v/>
      </c>
      <c r="D968" s="23"/>
      <c r="E968" s="23"/>
      <c r="F968" s="23"/>
      <c r="G968" s="23"/>
      <c r="H968" s="23"/>
      <c r="I968" s="23"/>
      <c r="J968" s="23"/>
      <c r="K968" s="23"/>
    </row>
    <row r="969" spans="1:11" x14ac:dyDescent="0.25">
      <c r="A969" s="4" t="str">
        <f>IFERROR(category_assignment_2[[#This Row],[category_assignment_id]],"")</f>
        <v/>
      </c>
      <c r="B969" s="23" t="str">
        <f>IFERROR(VLOOKUP(category_assignment_2[[#This Row],[category_id]],#REF!,3,FALSE),"")</f>
        <v/>
      </c>
      <c r="C969" s="23" t="str">
        <f>IFERROR(VLOOKUP(category_assignment_2[[#This Row],[abbreviation_id]],abbreviation[],ColumnLanguage+1,FALSE),"")</f>
        <v/>
      </c>
      <c r="D969" s="23"/>
      <c r="E969" s="23"/>
      <c r="F969" s="23"/>
      <c r="G969" s="23"/>
      <c r="H969" s="23"/>
      <c r="I969" s="23"/>
      <c r="J969" s="23"/>
      <c r="K969" s="23"/>
    </row>
    <row r="970" spans="1:11" x14ac:dyDescent="0.25">
      <c r="A970" s="4" t="str">
        <f>IFERROR(category_assignment_2[[#This Row],[category_assignment_id]],"")</f>
        <v/>
      </c>
      <c r="B970" s="23" t="str">
        <f>IFERROR(VLOOKUP(category_assignment_2[[#This Row],[category_id]],#REF!,3,FALSE),"")</f>
        <v/>
      </c>
      <c r="C970" s="23" t="str">
        <f>IFERROR(VLOOKUP(category_assignment_2[[#This Row],[abbreviation_id]],abbreviation[],ColumnLanguage+1,FALSE),"")</f>
        <v/>
      </c>
      <c r="D970" s="23"/>
      <c r="E970" s="23"/>
      <c r="F970" s="23"/>
      <c r="G970" s="23"/>
      <c r="H970" s="23"/>
      <c r="I970" s="23"/>
      <c r="J970" s="23"/>
      <c r="K970" s="23"/>
    </row>
    <row r="971" spans="1:11" x14ac:dyDescent="0.25">
      <c r="A971" s="4" t="str">
        <f>IFERROR(category_assignment_2[[#This Row],[category_assignment_id]],"")</f>
        <v/>
      </c>
      <c r="B971" s="23" t="str">
        <f>IFERROR(VLOOKUP(category_assignment_2[[#This Row],[category_id]],#REF!,3,FALSE),"")</f>
        <v/>
      </c>
      <c r="C971" s="23" t="str">
        <f>IFERROR(VLOOKUP(category_assignment_2[[#This Row],[abbreviation_id]],abbreviation[],ColumnLanguage+1,FALSE),"")</f>
        <v/>
      </c>
      <c r="D971" s="23"/>
      <c r="E971" s="23"/>
      <c r="F971" s="23"/>
      <c r="G971" s="23"/>
      <c r="H971" s="23"/>
      <c r="I971" s="23"/>
      <c r="J971" s="23"/>
      <c r="K971" s="23"/>
    </row>
    <row r="972" spans="1:11" x14ac:dyDescent="0.25">
      <c r="A972" s="4" t="str">
        <f>IFERROR(category_assignment_2[[#This Row],[category_assignment_id]],"")</f>
        <v/>
      </c>
      <c r="B972" s="23" t="str">
        <f>IFERROR(VLOOKUP(category_assignment_2[[#This Row],[category_id]],#REF!,3,FALSE),"")</f>
        <v/>
      </c>
      <c r="C972" s="23" t="str">
        <f>IFERROR(VLOOKUP(category_assignment_2[[#This Row],[abbreviation_id]],abbreviation[],ColumnLanguage+1,FALSE),"")</f>
        <v/>
      </c>
      <c r="D972" s="23"/>
      <c r="E972" s="23"/>
      <c r="F972" s="23"/>
      <c r="G972" s="23"/>
      <c r="H972" s="23"/>
      <c r="I972" s="23"/>
      <c r="J972" s="23"/>
      <c r="K972" s="23"/>
    </row>
    <row r="973" spans="1:11" x14ac:dyDescent="0.25">
      <c r="A973" s="4" t="str">
        <f>IFERROR(category_assignment_2[[#This Row],[category_assignment_id]],"")</f>
        <v/>
      </c>
      <c r="B973" s="23" t="str">
        <f>IFERROR(VLOOKUP(category_assignment_2[[#This Row],[category_id]],#REF!,3,FALSE),"")</f>
        <v/>
      </c>
      <c r="C973" s="23" t="str">
        <f>IFERROR(VLOOKUP(category_assignment_2[[#This Row],[abbreviation_id]],abbreviation[],ColumnLanguage+1,FALSE),"")</f>
        <v/>
      </c>
      <c r="D973" s="23"/>
      <c r="E973" s="23"/>
      <c r="F973" s="23"/>
      <c r="G973" s="23"/>
      <c r="H973" s="23"/>
      <c r="I973" s="23"/>
      <c r="J973" s="23"/>
      <c r="K973" s="23"/>
    </row>
    <row r="974" spans="1:11" x14ac:dyDescent="0.25">
      <c r="A974" s="4" t="str">
        <f>IFERROR(category_assignment_2[[#This Row],[category_assignment_id]],"")</f>
        <v/>
      </c>
      <c r="B974" s="23" t="str">
        <f>IFERROR(VLOOKUP(category_assignment_2[[#This Row],[category_id]],#REF!,3,FALSE),"")</f>
        <v/>
      </c>
      <c r="C974" s="23" t="str">
        <f>IFERROR(VLOOKUP(category_assignment_2[[#This Row],[abbreviation_id]],abbreviation[],ColumnLanguage+1,FALSE),"")</f>
        <v/>
      </c>
      <c r="D974" s="23"/>
      <c r="E974" s="23"/>
      <c r="F974" s="23"/>
      <c r="G974" s="23"/>
      <c r="H974" s="23"/>
      <c r="I974" s="23"/>
      <c r="J974" s="23"/>
      <c r="K974" s="23"/>
    </row>
    <row r="975" spans="1:11" x14ac:dyDescent="0.25">
      <c r="A975" s="4" t="str">
        <f>IFERROR(category_assignment_2[[#This Row],[category_assignment_id]],"")</f>
        <v/>
      </c>
      <c r="B975" s="23" t="str">
        <f>IFERROR(VLOOKUP(category_assignment_2[[#This Row],[category_id]],#REF!,3,FALSE),"")</f>
        <v/>
      </c>
      <c r="C975" s="23" t="str">
        <f>IFERROR(VLOOKUP(category_assignment_2[[#This Row],[abbreviation_id]],abbreviation[],ColumnLanguage+1,FALSE),"")</f>
        <v/>
      </c>
      <c r="D975" s="23"/>
      <c r="E975" s="23"/>
      <c r="F975" s="23"/>
      <c r="G975" s="23"/>
      <c r="H975" s="23"/>
      <c r="I975" s="23"/>
      <c r="J975" s="23"/>
      <c r="K975" s="23"/>
    </row>
    <row r="976" spans="1:11" x14ac:dyDescent="0.25">
      <c r="A976" s="4" t="str">
        <f>IFERROR(category_assignment_2[[#This Row],[category_assignment_id]],"")</f>
        <v/>
      </c>
      <c r="B976" s="23" t="str">
        <f>IFERROR(VLOOKUP(category_assignment_2[[#This Row],[category_id]],#REF!,3,FALSE),"")</f>
        <v/>
      </c>
      <c r="C976" s="23" t="str">
        <f>IFERROR(VLOOKUP(category_assignment_2[[#This Row],[abbreviation_id]],abbreviation[],ColumnLanguage+1,FALSE),"")</f>
        <v/>
      </c>
      <c r="D976" s="23"/>
      <c r="E976" s="23"/>
      <c r="F976" s="23"/>
      <c r="G976" s="23"/>
      <c r="H976" s="23"/>
      <c r="I976" s="23"/>
      <c r="J976" s="23"/>
      <c r="K976" s="23"/>
    </row>
    <row r="977" spans="1:11" x14ac:dyDescent="0.25">
      <c r="A977" s="4" t="str">
        <f>IFERROR(category_assignment_2[[#This Row],[category_assignment_id]],"")</f>
        <v/>
      </c>
      <c r="B977" s="23" t="str">
        <f>IFERROR(VLOOKUP(category_assignment_2[[#This Row],[category_id]],#REF!,3,FALSE),"")</f>
        <v/>
      </c>
      <c r="C977" s="23" t="str">
        <f>IFERROR(VLOOKUP(category_assignment_2[[#This Row],[abbreviation_id]],abbreviation[],ColumnLanguage+1,FALSE),"")</f>
        <v/>
      </c>
      <c r="D977" s="23"/>
      <c r="E977" s="23"/>
      <c r="F977" s="23"/>
      <c r="G977" s="23"/>
      <c r="H977" s="23"/>
      <c r="I977" s="23"/>
      <c r="J977" s="23"/>
      <c r="K977" s="23"/>
    </row>
    <row r="978" spans="1:11" x14ac:dyDescent="0.25">
      <c r="A978" s="4" t="str">
        <f>IFERROR(category_assignment_2[[#This Row],[category_assignment_id]],"")</f>
        <v/>
      </c>
      <c r="B978" s="23" t="str">
        <f>IFERROR(VLOOKUP(category_assignment_2[[#This Row],[category_id]],#REF!,3,FALSE),"")</f>
        <v/>
      </c>
      <c r="C978" s="23" t="str">
        <f>IFERROR(VLOOKUP(category_assignment_2[[#This Row],[abbreviation_id]],abbreviation[],ColumnLanguage+1,FALSE),"")</f>
        <v/>
      </c>
      <c r="D978" s="23"/>
      <c r="E978" s="23"/>
      <c r="F978" s="23"/>
      <c r="G978" s="23"/>
      <c r="H978" s="23"/>
      <c r="I978" s="23"/>
      <c r="J978" s="23"/>
      <c r="K978" s="23"/>
    </row>
    <row r="979" spans="1:11" x14ac:dyDescent="0.25">
      <c r="A979" s="4" t="str">
        <f>IFERROR(category_assignment_2[[#This Row],[category_assignment_id]],"")</f>
        <v/>
      </c>
      <c r="B979" s="23" t="str">
        <f>IFERROR(VLOOKUP(category_assignment_2[[#This Row],[category_id]],#REF!,3,FALSE),"")</f>
        <v/>
      </c>
      <c r="C979" s="23" t="str">
        <f>IFERROR(VLOOKUP(category_assignment_2[[#This Row],[abbreviation_id]],abbreviation[],ColumnLanguage+1,FALSE),"")</f>
        <v/>
      </c>
      <c r="D979" s="23"/>
      <c r="E979" s="23"/>
      <c r="F979" s="23"/>
      <c r="G979" s="23"/>
      <c r="H979" s="23"/>
      <c r="I979" s="23"/>
      <c r="J979" s="23"/>
      <c r="K979" s="23"/>
    </row>
    <row r="980" spans="1:11" x14ac:dyDescent="0.25">
      <c r="A980" s="4" t="str">
        <f>IFERROR(category_assignment_2[[#This Row],[category_assignment_id]],"")</f>
        <v/>
      </c>
      <c r="B980" s="23" t="str">
        <f>IFERROR(VLOOKUP(category_assignment_2[[#This Row],[category_id]],#REF!,3,FALSE),"")</f>
        <v/>
      </c>
      <c r="C980" s="23" t="str">
        <f>IFERROR(VLOOKUP(category_assignment_2[[#This Row],[abbreviation_id]],abbreviation[],ColumnLanguage+1,FALSE),"")</f>
        <v/>
      </c>
      <c r="D980" s="23"/>
      <c r="E980" s="23"/>
      <c r="F980" s="23"/>
      <c r="G980" s="23"/>
      <c r="H980" s="23"/>
      <c r="I980" s="23"/>
      <c r="J980" s="23"/>
      <c r="K980" s="23"/>
    </row>
    <row r="981" spans="1:11" x14ac:dyDescent="0.25">
      <c r="A981" s="4" t="str">
        <f>IFERROR(category_assignment_2[[#This Row],[category_assignment_id]],"")</f>
        <v/>
      </c>
      <c r="B981" s="23" t="str">
        <f>IFERROR(VLOOKUP(category_assignment_2[[#This Row],[category_id]],#REF!,3,FALSE),"")</f>
        <v/>
      </c>
      <c r="C981" s="23" t="str">
        <f>IFERROR(VLOOKUP(category_assignment_2[[#This Row],[abbreviation_id]],abbreviation[],ColumnLanguage+1,FALSE),"")</f>
        <v/>
      </c>
      <c r="D981" s="23"/>
      <c r="E981" s="23"/>
      <c r="F981" s="23"/>
      <c r="G981" s="23"/>
      <c r="H981" s="23"/>
      <c r="I981" s="23"/>
      <c r="J981" s="23"/>
      <c r="K981" s="23"/>
    </row>
    <row r="982" spans="1:11" x14ac:dyDescent="0.25">
      <c r="A982" s="4" t="str">
        <f>IFERROR(category_assignment_2[[#This Row],[category_assignment_id]],"")</f>
        <v/>
      </c>
      <c r="B982" s="23" t="str">
        <f>IFERROR(VLOOKUP(category_assignment_2[[#This Row],[category_id]],#REF!,3,FALSE),"")</f>
        <v/>
      </c>
      <c r="C982" s="23" t="str">
        <f>IFERROR(VLOOKUP(category_assignment_2[[#This Row],[abbreviation_id]],abbreviation[],ColumnLanguage+1,FALSE),"")</f>
        <v/>
      </c>
      <c r="D982" s="23"/>
      <c r="E982" s="23"/>
      <c r="F982" s="23"/>
      <c r="G982" s="23"/>
      <c r="H982" s="23"/>
      <c r="I982" s="23"/>
      <c r="J982" s="23"/>
      <c r="K982" s="23"/>
    </row>
    <row r="983" spans="1:11" x14ac:dyDescent="0.25">
      <c r="A983" s="4" t="str">
        <f>IFERROR(category_assignment_2[[#This Row],[category_assignment_id]],"")</f>
        <v/>
      </c>
      <c r="B983" s="23" t="str">
        <f>IFERROR(VLOOKUP(category_assignment_2[[#This Row],[category_id]],#REF!,3,FALSE),"")</f>
        <v/>
      </c>
      <c r="C983" s="23" t="str">
        <f>IFERROR(VLOOKUP(category_assignment_2[[#This Row],[abbreviation_id]],abbreviation[],ColumnLanguage+1,FALSE),"")</f>
        <v/>
      </c>
      <c r="D983" s="23"/>
      <c r="E983" s="23"/>
      <c r="F983" s="23"/>
      <c r="G983" s="23"/>
      <c r="H983" s="23"/>
      <c r="I983" s="23"/>
      <c r="J983" s="23"/>
      <c r="K983" s="23"/>
    </row>
    <row r="984" spans="1:11" x14ac:dyDescent="0.25">
      <c r="A984" s="4" t="str">
        <f>IFERROR(category_assignment_2[[#This Row],[category_assignment_id]],"")</f>
        <v/>
      </c>
      <c r="B984" s="23" t="str">
        <f>IFERROR(VLOOKUP(category_assignment_2[[#This Row],[category_id]],#REF!,3,FALSE),"")</f>
        <v/>
      </c>
      <c r="C984" s="23" t="str">
        <f>IFERROR(VLOOKUP(category_assignment_2[[#This Row],[abbreviation_id]],abbreviation[],ColumnLanguage+1,FALSE),"")</f>
        <v/>
      </c>
      <c r="D984" s="23"/>
      <c r="E984" s="23"/>
      <c r="F984" s="23"/>
      <c r="G984" s="23"/>
      <c r="H984" s="23"/>
      <c r="I984" s="23"/>
      <c r="J984" s="23"/>
      <c r="K984" s="23"/>
    </row>
    <row r="985" spans="1:11" x14ac:dyDescent="0.25">
      <c r="A985" s="4" t="str">
        <f>IFERROR(category_assignment_2[[#This Row],[category_assignment_id]],"")</f>
        <v/>
      </c>
      <c r="B985" s="23" t="str">
        <f>IFERROR(VLOOKUP(category_assignment_2[[#This Row],[category_id]],#REF!,3,FALSE),"")</f>
        <v/>
      </c>
      <c r="C985" s="23" t="str">
        <f>IFERROR(VLOOKUP(category_assignment_2[[#This Row],[abbreviation_id]],abbreviation[],ColumnLanguage+1,FALSE),"")</f>
        <v/>
      </c>
      <c r="D985" s="23"/>
      <c r="E985" s="23"/>
      <c r="F985" s="23"/>
      <c r="G985" s="23"/>
      <c r="H985" s="23"/>
      <c r="I985" s="23"/>
      <c r="J985" s="23"/>
      <c r="K985" s="23"/>
    </row>
    <row r="986" spans="1:11" x14ac:dyDescent="0.25">
      <c r="A986" s="4" t="str">
        <f>IFERROR(category_assignment_2[[#This Row],[category_assignment_id]],"")</f>
        <v/>
      </c>
      <c r="B986" s="23" t="str">
        <f>IFERROR(VLOOKUP(category_assignment_2[[#This Row],[category_id]],#REF!,3,FALSE),"")</f>
        <v/>
      </c>
      <c r="C986" s="23" t="str">
        <f>IFERROR(VLOOKUP(category_assignment_2[[#This Row],[abbreviation_id]],abbreviation[],ColumnLanguage+1,FALSE),"")</f>
        <v/>
      </c>
      <c r="D986" s="23"/>
      <c r="E986" s="23"/>
      <c r="F986" s="23"/>
      <c r="G986" s="23"/>
      <c r="H986" s="23"/>
      <c r="I986" s="23"/>
      <c r="J986" s="23"/>
      <c r="K986" s="23"/>
    </row>
    <row r="987" spans="1:11" x14ac:dyDescent="0.25">
      <c r="A987" s="4" t="str">
        <f>IFERROR(category_assignment_2[[#This Row],[category_assignment_id]],"")</f>
        <v/>
      </c>
      <c r="B987" s="23" t="str">
        <f>IFERROR(VLOOKUP(category_assignment_2[[#This Row],[category_id]],#REF!,3,FALSE),"")</f>
        <v/>
      </c>
      <c r="C987" s="23" t="str">
        <f>IFERROR(VLOOKUP(category_assignment_2[[#This Row],[abbreviation_id]],abbreviation[],ColumnLanguage+1,FALSE),"")</f>
        <v/>
      </c>
      <c r="D987" s="23"/>
      <c r="E987" s="23"/>
      <c r="F987" s="23"/>
      <c r="G987" s="23"/>
      <c r="H987" s="23"/>
      <c r="I987" s="23"/>
      <c r="J987" s="23"/>
      <c r="K987" s="23"/>
    </row>
    <row r="988" spans="1:11" x14ac:dyDescent="0.25">
      <c r="A988" s="4" t="str">
        <f>IFERROR(category_assignment_2[[#This Row],[category_assignment_id]],"")</f>
        <v/>
      </c>
      <c r="B988" s="23" t="str">
        <f>IFERROR(VLOOKUP(category_assignment_2[[#This Row],[category_id]],#REF!,3,FALSE),"")</f>
        <v/>
      </c>
      <c r="C988" s="23" t="str">
        <f>IFERROR(VLOOKUP(category_assignment_2[[#This Row],[abbreviation_id]],abbreviation[],ColumnLanguage+1,FALSE),"")</f>
        <v/>
      </c>
      <c r="D988" s="23"/>
      <c r="E988" s="23"/>
      <c r="F988" s="23"/>
      <c r="G988" s="23"/>
      <c r="H988" s="23"/>
      <c r="I988" s="23"/>
      <c r="J988" s="23"/>
      <c r="K988" s="23"/>
    </row>
    <row r="989" spans="1:11" x14ac:dyDescent="0.25">
      <c r="A989" s="4" t="str">
        <f>IFERROR(category_assignment_2[[#This Row],[category_assignment_id]],"")</f>
        <v/>
      </c>
      <c r="B989" s="23" t="str">
        <f>IFERROR(VLOOKUP(category_assignment_2[[#This Row],[category_id]],#REF!,3,FALSE),"")</f>
        <v/>
      </c>
      <c r="C989" s="23" t="str">
        <f>IFERROR(VLOOKUP(category_assignment_2[[#This Row],[abbreviation_id]],abbreviation[],ColumnLanguage+1,FALSE),"")</f>
        <v/>
      </c>
      <c r="D989" s="23"/>
      <c r="E989" s="23"/>
      <c r="F989" s="23"/>
      <c r="G989" s="23"/>
      <c r="H989" s="23"/>
      <c r="I989" s="23"/>
      <c r="J989" s="23"/>
      <c r="K989" s="23"/>
    </row>
    <row r="990" spans="1:11" x14ac:dyDescent="0.25">
      <c r="A990" s="4" t="str">
        <f>IFERROR(category_assignment_2[[#This Row],[category_assignment_id]],"")</f>
        <v/>
      </c>
      <c r="B990" s="23" t="str">
        <f>IFERROR(VLOOKUP(category_assignment_2[[#This Row],[category_id]],#REF!,3,FALSE),"")</f>
        <v/>
      </c>
      <c r="C990" s="23" t="str">
        <f>IFERROR(VLOOKUP(category_assignment_2[[#This Row],[abbreviation_id]],abbreviation[],ColumnLanguage+1,FALSE),"")</f>
        <v/>
      </c>
      <c r="D990" s="23"/>
      <c r="E990" s="23"/>
      <c r="F990" s="23"/>
      <c r="G990" s="23"/>
      <c r="H990" s="23"/>
      <c r="I990" s="23"/>
      <c r="J990" s="23"/>
      <c r="K990" s="23"/>
    </row>
    <row r="991" spans="1:11" x14ac:dyDescent="0.25">
      <c r="A991" s="4" t="str">
        <f>IFERROR(category_assignment_2[[#This Row],[category_assignment_id]],"")</f>
        <v/>
      </c>
      <c r="B991" s="23" t="str">
        <f>IFERROR(VLOOKUP(category_assignment_2[[#This Row],[category_id]],#REF!,3,FALSE),"")</f>
        <v/>
      </c>
      <c r="C991" s="23" t="str">
        <f>IFERROR(VLOOKUP(category_assignment_2[[#This Row],[abbreviation_id]],abbreviation[],ColumnLanguage+1,FALSE),"")</f>
        <v/>
      </c>
      <c r="D991" s="23"/>
      <c r="E991" s="23"/>
      <c r="F991" s="23"/>
      <c r="G991" s="23"/>
      <c r="H991" s="23"/>
      <c r="I991" s="23"/>
      <c r="J991" s="23"/>
      <c r="K991" s="23"/>
    </row>
    <row r="992" spans="1:11" x14ac:dyDescent="0.25">
      <c r="A992" s="4" t="str">
        <f>IFERROR(category_assignment_2[[#This Row],[category_assignment_id]],"")</f>
        <v/>
      </c>
      <c r="B992" s="23" t="str">
        <f>IFERROR(VLOOKUP(category_assignment_2[[#This Row],[category_id]],#REF!,3,FALSE),"")</f>
        <v/>
      </c>
      <c r="C992" s="23" t="str">
        <f>IFERROR(VLOOKUP(category_assignment_2[[#This Row],[abbreviation_id]],abbreviation[],ColumnLanguage+1,FALSE),"")</f>
        <v/>
      </c>
      <c r="D992" s="23"/>
      <c r="E992" s="23"/>
      <c r="F992" s="23"/>
      <c r="G992" s="23"/>
      <c r="H992" s="23"/>
      <c r="I992" s="23"/>
      <c r="J992" s="23"/>
      <c r="K992" s="23"/>
    </row>
    <row r="993" spans="1:11" x14ac:dyDescent="0.25">
      <c r="A993" s="4" t="str">
        <f>IFERROR(category_assignment_2[[#This Row],[category_assignment_id]],"")</f>
        <v/>
      </c>
      <c r="B993" s="23" t="str">
        <f>IFERROR(VLOOKUP(category_assignment_2[[#This Row],[category_id]],#REF!,3,FALSE),"")</f>
        <v/>
      </c>
      <c r="C993" s="23" t="str">
        <f>IFERROR(VLOOKUP(category_assignment_2[[#This Row],[abbreviation_id]],abbreviation[],ColumnLanguage+1,FALSE),"")</f>
        <v/>
      </c>
      <c r="D993" s="23"/>
      <c r="E993" s="23"/>
      <c r="F993" s="23"/>
      <c r="G993" s="23"/>
      <c r="H993" s="23"/>
      <c r="I993" s="23"/>
      <c r="J993" s="23"/>
      <c r="K993" s="23"/>
    </row>
    <row r="994" spans="1:11" x14ac:dyDescent="0.25">
      <c r="A994" s="4" t="str">
        <f>IFERROR(category_assignment_2[[#This Row],[category_assignment_id]],"")</f>
        <v/>
      </c>
      <c r="B994" s="23" t="str">
        <f>IFERROR(VLOOKUP(category_assignment_2[[#This Row],[category_id]],#REF!,3,FALSE),"")</f>
        <v/>
      </c>
      <c r="C994" s="23" t="str">
        <f>IFERROR(VLOOKUP(category_assignment_2[[#This Row],[abbreviation_id]],abbreviation[],ColumnLanguage+1,FALSE),"")</f>
        <v/>
      </c>
      <c r="D994" s="23"/>
      <c r="E994" s="23"/>
      <c r="F994" s="23"/>
      <c r="G994" s="23"/>
      <c r="H994" s="23"/>
      <c r="I994" s="23"/>
      <c r="J994" s="23"/>
      <c r="K994" s="23"/>
    </row>
    <row r="995" spans="1:11" x14ac:dyDescent="0.25">
      <c r="A995" s="4" t="str">
        <f>IFERROR(category_assignment_2[[#This Row],[category_assignment_id]],"")</f>
        <v/>
      </c>
      <c r="B995" s="23" t="str">
        <f>IFERROR(VLOOKUP(category_assignment_2[[#This Row],[category_id]],#REF!,3,FALSE),"")</f>
        <v/>
      </c>
      <c r="C995" s="23" t="str">
        <f>IFERROR(VLOOKUP(category_assignment_2[[#This Row],[abbreviation_id]],abbreviation[],ColumnLanguage+1,FALSE),"")</f>
        <v/>
      </c>
      <c r="D995" s="23"/>
      <c r="E995" s="23"/>
      <c r="F995" s="23"/>
      <c r="G995" s="23"/>
      <c r="H995" s="23"/>
      <c r="I995" s="23"/>
      <c r="J995" s="23"/>
      <c r="K995" s="23"/>
    </row>
    <row r="996" spans="1:11" x14ac:dyDescent="0.25">
      <c r="A996" s="4" t="str">
        <f>IFERROR(category_assignment_2[[#This Row],[category_assignment_id]],"")</f>
        <v/>
      </c>
      <c r="B996" s="23" t="str">
        <f>IFERROR(VLOOKUP(category_assignment_2[[#This Row],[category_id]],#REF!,3,FALSE),"")</f>
        <v/>
      </c>
      <c r="C996" s="23" t="str">
        <f>IFERROR(VLOOKUP(category_assignment_2[[#This Row],[abbreviation_id]],abbreviation[],ColumnLanguage+1,FALSE),"")</f>
        <v/>
      </c>
      <c r="D996" s="23"/>
      <c r="E996" s="23"/>
      <c r="F996" s="23"/>
      <c r="G996" s="23"/>
      <c r="H996" s="23"/>
      <c r="I996" s="23"/>
      <c r="J996" s="23"/>
      <c r="K996" s="23"/>
    </row>
    <row r="997" spans="1:11" x14ac:dyDescent="0.25">
      <c r="A997" s="4" t="str">
        <f>IFERROR(category_assignment_2[[#This Row],[category_assignment_id]],"")</f>
        <v/>
      </c>
      <c r="B997" s="23" t="str">
        <f>IFERROR(VLOOKUP(category_assignment_2[[#This Row],[category_id]],#REF!,3,FALSE),"")</f>
        <v/>
      </c>
      <c r="C997" s="23" t="str">
        <f>IFERROR(VLOOKUP(category_assignment_2[[#This Row],[abbreviation_id]],abbreviation[],ColumnLanguage+1,FALSE),"")</f>
        <v/>
      </c>
      <c r="D997" s="23"/>
      <c r="E997" s="23"/>
      <c r="F997" s="23"/>
      <c r="G997" s="23"/>
      <c r="H997" s="23"/>
      <c r="I997" s="23"/>
      <c r="J997" s="23"/>
      <c r="K997" s="23"/>
    </row>
    <row r="998" spans="1:11" x14ac:dyDescent="0.25">
      <c r="A998" s="4" t="str">
        <f>IFERROR(category_assignment_2[[#This Row],[category_assignment_id]],"")</f>
        <v/>
      </c>
      <c r="B998" s="23" t="str">
        <f>IFERROR(VLOOKUP(category_assignment_2[[#This Row],[category_id]],#REF!,3,FALSE),"")</f>
        <v/>
      </c>
      <c r="C998" s="23" t="str">
        <f>IFERROR(VLOOKUP(category_assignment_2[[#This Row],[abbreviation_id]],abbreviation[],ColumnLanguage+1,FALSE),"")</f>
        <v/>
      </c>
      <c r="D998" s="23"/>
      <c r="E998" s="23"/>
      <c r="F998" s="23"/>
      <c r="G998" s="23"/>
      <c r="H998" s="23"/>
      <c r="I998" s="23"/>
      <c r="J998" s="23"/>
      <c r="K998" s="23"/>
    </row>
    <row r="999" spans="1:11" x14ac:dyDescent="0.25">
      <c r="A999" s="4" t="str">
        <f>IFERROR(category_assignment_2[[#This Row],[category_assignment_id]],"")</f>
        <v/>
      </c>
      <c r="B999" s="23" t="str">
        <f>IFERROR(VLOOKUP(category_assignment_2[[#This Row],[category_id]],#REF!,3,FALSE),"")</f>
        <v/>
      </c>
      <c r="C999" s="23" t="str">
        <f>IFERROR(VLOOKUP(category_assignment_2[[#This Row],[abbreviation_id]],abbreviation[],ColumnLanguage+1,FALSE),"")</f>
        <v/>
      </c>
      <c r="D999" s="23"/>
      <c r="E999" s="23"/>
      <c r="F999" s="23"/>
      <c r="G999" s="23"/>
      <c r="H999" s="23"/>
      <c r="I999" s="23"/>
      <c r="J999" s="23"/>
      <c r="K999" s="23"/>
    </row>
    <row r="1000" spans="1:11" x14ac:dyDescent="0.25">
      <c r="A1000" s="4" t="str">
        <f>IFERROR(category_assignment_2[[#This Row],[category_assignment_id]],"")</f>
        <v/>
      </c>
      <c r="B1000" s="23" t="str">
        <f>IFERROR(VLOOKUP(category_assignment_2[[#This Row],[category_id]],#REF!,3,FALSE),"")</f>
        <v/>
      </c>
      <c r="C1000" s="23" t="str">
        <f>IFERROR(VLOOKUP(category_assignment_2[[#This Row],[abbreviation_id]],abbreviation[],ColumnLanguage+1,FALSE),"")</f>
        <v/>
      </c>
      <c r="D1000" s="23"/>
      <c r="E1000" s="23"/>
      <c r="F1000" s="23"/>
      <c r="G1000" s="23"/>
      <c r="H1000" s="23"/>
      <c r="I1000" s="23"/>
      <c r="J1000" s="23"/>
      <c r="K1000" s="23"/>
    </row>
    <row r="1001" spans="1:11" x14ac:dyDescent="0.25">
      <c r="A1001" s="4" t="str">
        <f>IFERROR(category_assignment_2[[#This Row],[category_assignment_id]],"")</f>
        <v/>
      </c>
      <c r="B1001" s="23" t="str">
        <f>IFERROR(VLOOKUP(category_assignment_2[[#This Row],[category_id]],#REF!,3,FALSE),"")</f>
        <v/>
      </c>
      <c r="C1001" s="23" t="str">
        <f>IFERROR(VLOOKUP(category_assignment_2[[#This Row],[abbreviation_id]],abbreviation[],ColumnLanguage+1,FALSE),"")</f>
        <v/>
      </c>
      <c r="D1001" s="23"/>
      <c r="E1001" s="23"/>
      <c r="F1001" s="23"/>
      <c r="G1001" s="23"/>
      <c r="H1001" s="23"/>
      <c r="I1001" s="23"/>
      <c r="J1001" s="23"/>
      <c r="K1001" s="23"/>
    </row>
    <row r="1002" spans="1:11" x14ac:dyDescent="0.25">
      <c r="A1002" s="4" t="str">
        <f>IFERROR(category_assignment_2[[#This Row],[category_assignment_id]],"")</f>
        <v/>
      </c>
      <c r="B1002" s="23" t="str">
        <f>IFERROR(VLOOKUP(category_assignment_2[[#This Row],[category_id]],#REF!,3,FALSE),"")</f>
        <v/>
      </c>
      <c r="C1002" s="23" t="str">
        <f>IFERROR(VLOOKUP(category_assignment_2[[#This Row],[abbreviation_id]],abbreviation[],ColumnLanguage+1,FALSE),"")</f>
        <v/>
      </c>
      <c r="D1002" s="23"/>
      <c r="E1002" s="23"/>
      <c r="F1002" s="23"/>
      <c r="G1002" s="23"/>
      <c r="H1002" s="23"/>
      <c r="I1002" s="23"/>
      <c r="J1002" s="23"/>
      <c r="K1002" s="23"/>
    </row>
    <row r="1003" spans="1:11" x14ac:dyDescent="0.25">
      <c r="A1003" s="4" t="str">
        <f>IFERROR(category_assignment_2[[#This Row],[category_assignment_id]],"")</f>
        <v/>
      </c>
      <c r="B1003" s="23" t="str">
        <f>IFERROR(VLOOKUP(category_assignment_2[[#This Row],[category_id]],#REF!,3,FALSE),"")</f>
        <v/>
      </c>
      <c r="C1003" s="23" t="str">
        <f>IFERROR(VLOOKUP(category_assignment_2[[#This Row],[abbreviation_id]],abbreviation[],ColumnLanguage+1,FALSE),"")</f>
        <v/>
      </c>
      <c r="D1003" s="23"/>
      <c r="E1003" s="23"/>
      <c r="F1003" s="23"/>
      <c r="G1003" s="23"/>
      <c r="H1003" s="23"/>
      <c r="I1003" s="23"/>
      <c r="J1003" s="23"/>
      <c r="K1003" s="23"/>
    </row>
    <row r="1004" spans="1:11" x14ac:dyDescent="0.25">
      <c r="A1004" s="4" t="str">
        <f>IFERROR(category_assignment_2[[#This Row],[category_assignment_id]],"")</f>
        <v/>
      </c>
      <c r="B1004" s="23" t="str">
        <f>IFERROR(VLOOKUP(category_assignment_2[[#This Row],[category_id]],#REF!,3,FALSE),"")</f>
        <v/>
      </c>
      <c r="C1004" s="23" t="str">
        <f>IFERROR(VLOOKUP(category_assignment_2[[#This Row],[abbreviation_id]],abbreviation[],ColumnLanguage+1,FALSE),"")</f>
        <v/>
      </c>
      <c r="D1004" s="23"/>
      <c r="E1004" s="23"/>
      <c r="F1004" s="23"/>
      <c r="G1004" s="23"/>
      <c r="H1004" s="23"/>
      <c r="I1004" s="23"/>
      <c r="J1004" s="23"/>
      <c r="K1004" s="23"/>
    </row>
    <row r="1005" spans="1:11" x14ac:dyDescent="0.25">
      <c r="A1005" s="4" t="str">
        <f>IFERROR(category_assignment_2[[#This Row],[category_assignment_id]],"")</f>
        <v/>
      </c>
      <c r="B1005" s="23" t="str">
        <f>IFERROR(VLOOKUP(category_assignment_2[[#This Row],[category_id]],#REF!,3,FALSE),"")</f>
        <v/>
      </c>
      <c r="C1005" s="23" t="str">
        <f>IFERROR(VLOOKUP(category_assignment_2[[#This Row],[abbreviation_id]],abbreviation[],ColumnLanguage+1,FALSE),"")</f>
        <v/>
      </c>
      <c r="D1005" s="23"/>
      <c r="E1005" s="23"/>
      <c r="F1005" s="23"/>
      <c r="G1005" s="23"/>
      <c r="H1005" s="23"/>
      <c r="I1005" s="23"/>
      <c r="J1005" s="23"/>
      <c r="K1005" s="23"/>
    </row>
    <row r="1006" spans="1:11" x14ac:dyDescent="0.25">
      <c r="A1006" s="4" t="str">
        <f>IFERROR(category_assignment_2[[#This Row],[category_assignment_id]],"")</f>
        <v/>
      </c>
      <c r="B1006" s="23" t="str">
        <f>IFERROR(VLOOKUP(category_assignment_2[[#This Row],[category_id]],#REF!,3,FALSE),"")</f>
        <v/>
      </c>
      <c r="C1006" s="23" t="str">
        <f>IFERROR(VLOOKUP(category_assignment_2[[#This Row],[abbreviation_id]],abbreviation[],ColumnLanguage+1,FALSE),"")</f>
        <v/>
      </c>
      <c r="D1006" s="23"/>
      <c r="E1006" s="23"/>
      <c r="F1006" s="23"/>
      <c r="G1006" s="23"/>
      <c r="H1006" s="23"/>
      <c r="I1006" s="23"/>
      <c r="J1006" s="23"/>
      <c r="K1006" s="23"/>
    </row>
    <row r="1007" spans="1:11" x14ac:dyDescent="0.25">
      <c r="A1007" s="4" t="str">
        <f>IFERROR(category_assignment_2[[#This Row],[category_assignment_id]],"")</f>
        <v/>
      </c>
      <c r="B1007" s="23" t="str">
        <f>IFERROR(VLOOKUP(category_assignment_2[[#This Row],[category_id]],#REF!,3,FALSE),"")</f>
        <v/>
      </c>
      <c r="C1007" s="23" t="str">
        <f>IFERROR(VLOOKUP(category_assignment_2[[#This Row],[abbreviation_id]],abbreviation[],ColumnLanguage+1,FALSE),"")</f>
        <v/>
      </c>
      <c r="D1007" s="23"/>
      <c r="E1007" s="23"/>
      <c r="F1007" s="23"/>
      <c r="G1007" s="23"/>
      <c r="H1007" s="23"/>
      <c r="I1007" s="23"/>
      <c r="J1007" s="23"/>
      <c r="K1007" s="23"/>
    </row>
    <row r="1008" spans="1:11" x14ac:dyDescent="0.25">
      <c r="A1008" s="4" t="str">
        <f>IFERROR(category_assignment_2[[#This Row],[category_assignment_id]],"")</f>
        <v/>
      </c>
      <c r="B1008" s="23" t="str">
        <f>IFERROR(VLOOKUP(category_assignment_2[[#This Row],[category_id]],#REF!,3,FALSE),"")</f>
        <v/>
      </c>
      <c r="C1008" s="23" t="str">
        <f>IFERROR(VLOOKUP(category_assignment_2[[#This Row],[abbreviation_id]],abbreviation[],ColumnLanguage+1,FALSE),"")</f>
        <v/>
      </c>
      <c r="D1008" s="23"/>
      <c r="E1008" s="23"/>
      <c r="F1008" s="23"/>
      <c r="G1008" s="23"/>
      <c r="H1008" s="23"/>
      <c r="I1008" s="23"/>
      <c r="J1008" s="23"/>
      <c r="K1008" s="23"/>
    </row>
    <row r="1009" spans="1:11" x14ac:dyDescent="0.25">
      <c r="A1009" s="4" t="str">
        <f>IFERROR(category_assignment_2[[#This Row],[category_assignment_id]],"")</f>
        <v/>
      </c>
      <c r="B1009" s="23" t="str">
        <f>IFERROR(VLOOKUP(category_assignment_2[[#This Row],[category_id]],#REF!,3,FALSE),"")</f>
        <v/>
      </c>
      <c r="C1009" s="23" t="str">
        <f>IFERROR(VLOOKUP(category_assignment_2[[#This Row],[abbreviation_id]],abbreviation[],ColumnLanguage+1,FALSE),"")</f>
        <v/>
      </c>
      <c r="D1009" s="23"/>
      <c r="E1009" s="23"/>
      <c r="F1009" s="23"/>
      <c r="G1009" s="23"/>
      <c r="H1009" s="23"/>
      <c r="I1009" s="23"/>
      <c r="J1009" s="23"/>
      <c r="K1009" s="23"/>
    </row>
    <row r="1010" spans="1:11" x14ac:dyDescent="0.25">
      <c r="A1010" s="4" t="str">
        <f>IFERROR(category_assignment_2[[#This Row],[category_assignment_id]],"")</f>
        <v/>
      </c>
      <c r="B1010" s="23" t="str">
        <f>IFERROR(VLOOKUP(category_assignment_2[[#This Row],[category_id]],#REF!,3,FALSE),"")</f>
        <v/>
      </c>
      <c r="C1010" s="23" t="str">
        <f>IFERROR(VLOOKUP(category_assignment_2[[#This Row],[abbreviation_id]],abbreviation[],ColumnLanguage+1,FALSE),"")</f>
        <v/>
      </c>
      <c r="D1010" s="23"/>
      <c r="E1010" s="23"/>
      <c r="F1010" s="23"/>
      <c r="G1010" s="23"/>
      <c r="H1010" s="23"/>
      <c r="I1010" s="23"/>
      <c r="J1010" s="23"/>
      <c r="K1010" s="23"/>
    </row>
    <row r="1011" spans="1:11" x14ac:dyDescent="0.25">
      <c r="A1011" s="4" t="str">
        <f>IFERROR(category_assignment_2[[#This Row],[category_assignment_id]],"")</f>
        <v/>
      </c>
      <c r="B1011" s="23" t="str">
        <f>IFERROR(VLOOKUP(category_assignment_2[[#This Row],[category_id]],#REF!,3,FALSE),"")</f>
        <v/>
      </c>
      <c r="C1011" s="23" t="str">
        <f>IFERROR(VLOOKUP(category_assignment_2[[#This Row],[abbreviation_id]],abbreviation[],ColumnLanguage+1,FALSE),"")</f>
        <v/>
      </c>
      <c r="D1011" s="23"/>
      <c r="E1011" s="23"/>
      <c r="F1011" s="23"/>
      <c r="G1011" s="23"/>
      <c r="H1011" s="23"/>
      <c r="I1011" s="23"/>
      <c r="J1011" s="23"/>
      <c r="K1011" s="23"/>
    </row>
    <row r="1012" spans="1:11" x14ac:dyDescent="0.25">
      <c r="A1012" s="4" t="str">
        <f>IFERROR(category_assignment_2[[#This Row],[category_assignment_id]],"")</f>
        <v/>
      </c>
      <c r="B1012" s="23" t="str">
        <f>IFERROR(VLOOKUP(category_assignment_2[[#This Row],[category_id]],#REF!,3,FALSE),"")</f>
        <v/>
      </c>
      <c r="C1012" s="23" t="str">
        <f>IFERROR(VLOOKUP(category_assignment_2[[#This Row],[abbreviation_id]],abbreviation[],ColumnLanguage+1,FALSE),"")</f>
        <v/>
      </c>
      <c r="D1012" s="23"/>
      <c r="E1012" s="23"/>
      <c r="F1012" s="23"/>
      <c r="G1012" s="23"/>
      <c r="H1012" s="23"/>
      <c r="I1012" s="23"/>
      <c r="J1012" s="23"/>
      <c r="K1012" s="23"/>
    </row>
    <row r="1013" spans="1:11" x14ac:dyDescent="0.25">
      <c r="A1013" s="4" t="str">
        <f>IFERROR(category_assignment_2[[#This Row],[category_assignment_id]],"")</f>
        <v/>
      </c>
      <c r="B1013" s="23" t="str">
        <f>IFERROR(VLOOKUP(category_assignment_2[[#This Row],[category_id]],#REF!,3,FALSE),"")</f>
        <v/>
      </c>
      <c r="C1013" s="23" t="str">
        <f>IFERROR(VLOOKUP(category_assignment_2[[#This Row],[abbreviation_id]],abbreviation[],ColumnLanguage+1,FALSE),"")</f>
        <v/>
      </c>
      <c r="D1013" s="23"/>
      <c r="E1013" s="23"/>
      <c r="F1013" s="23"/>
      <c r="G1013" s="23"/>
      <c r="H1013" s="23"/>
      <c r="I1013" s="23"/>
      <c r="J1013" s="23"/>
      <c r="K1013" s="23"/>
    </row>
    <row r="1014" spans="1:11" x14ac:dyDescent="0.25">
      <c r="A1014" s="4" t="str">
        <f>IFERROR(category_assignment_2[[#This Row],[category_assignment_id]],"")</f>
        <v/>
      </c>
      <c r="B1014" s="23" t="str">
        <f>IFERROR(VLOOKUP(category_assignment_2[[#This Row],[category_id]],#REF!,3,FALSE),"")</f>
        <v/>
      </c>
      <c r="C1014" s="23" t="str">
        <f>IFERROR(VLOOKUP(category_assignment_2[[#This Row],[abbreviation_id]],abbreviation[],ColumnLanguage+1,FALSE),"")</f>
        <v/>
      </c>
      <c r="D1014" s="23"/>
      <c r="E1014" s="23"/>
      <c r="F1014" s="23"/>
      <c r="G1014" s="23"/>
      <c r="H1014" s="23"/>
      <c r="I1014" s="23"/>
      <c r="J1014" s="23"/>
      <c r="K1014" s="23"/>
    </row>
    <row r="1015" spans="1:11" x14ac:dyDescent="0.25">
      <c r="A1015" s="4" t="str">
        <f>IFERROR(category_assignment_2[[#This Row],[category_assignment_id]],"")</f>
        <v/>
      </c>
      <c r="B1015" s="23" t="str">
        <f>IFERROR(VLOOKUP(category_assignment_2[[#This Row],[category_id]],#REF!,3,FALSE),"")</f>
        <v/>
      </c>
      <c r="C1015" s="23" t="str">
        <f>IFERROR(VLOOKUP(category_assignment_2[[#This Row],[abbreviation_id]],abbreviation[],ColumnLanguage+1,FALSE),"")</f>
        <v/>
      </c>
      <c r="D1015" s="23"/>
      <c r="E1015" s="23"/>
      <c r="F1015" s="23"/>
      <c r="G1015" s="23"/>
      <c r="H1015" s="23"/>
      <c r="I1015" s="23"/>
      <c r="J1015" s="23"/>
      <c r="K1015" s="23"/>
    </row>
    <row r="1016" spans="1:11" x14ac:dyDescent="0.25">
      <c r="A1016" s="4" t="str">
        <f>IFERROR(category_assignment_2[[#This Row],[category_assignment_id]],"")</f>
        <v/>
      </c>
      <c r="B1016" s="23" t="str">
        <f>IFERROR(VLOOKUP(category_assignment_2[[#This Row],[category_id]],#REF!,3,FALSE),"")</f>
        <v/>
      </c>
      <c r="C1016" s="23" t="str">
        <f>IFERROR(VLOOKUP(category_assignment_2[[#This Row],[abbreviation_id]],abbreviation[],ColumnLanguage+1,FALSE),"")</f>
        <v/>
      </c>
      <c r="D1016" s="23"/>
      <c r="E1016" s="23"/>
      <c r="F1016" s="23"/>
      <c r="G1016" s="23"/>
      <c r="H1016" s="23"/>
      <c r="I1016" s="23"/>
      <c r="J1016" s="23"/>
      <c r="K1016" s="23"/>
    </row>
    <row r="1017" spans="1:11" x14ac:dyDescent="0.25">
      <c r="A1017" s="4" t="str">
        <f>IFERROR(category_assignment_2[[#This Row],[category_assignment_id]],"")</f>
        <v/>
      </c>
      <c r="B1017" s="23" t="str">
        <f>IFERROR(VLOOKUP(category_assignment_2[[#This Row],[category_id]],#REF!,3,FALSE),"")</f>
        <v/>
      </c>
      <c r="C1017" s="23" t="str">
        <f>IFERROR(VLOOKUP(category_assignment_2[[#This Row],[abbreviation_id]],abbreviation[],ColumnLanguage+1,FALSE),"")</f>
        <v/>
      </c>
      <c r="D1017" s="23"/>
      <c r="E1017" s="23"/>
      <c r="F1017" s="23"/>
      <c r="G1017" s="23"/>
      <c r="H1017" s="23"/>
      <c r="I1017" s="23"/>
      <c r="J1017" s="23"/>
      <c r="K1017" s="23"/>
    </row>
    <row r="1018" spans="1:11" x14ac:dyDescent="0.25">
      <c r="A1018" s="4" t="str">
        <f>IFERROR(category_assignment_2[[#This Row],[category_assignment_id]],"")</f>
        <v/>
      </c>
      <c r="B1018" s="23" t="str">
        <f>IFERROR(VLOOKUP(category_assignment_2[[#This Row],[category_id]],#REF!,3,FALSE),"")</f>
        <v/>
      </c>
      <c r="C1018" s="23" t="str">
        <f>IFERROR(VLOOKUP(category_assignment_2[[#This Row],[abbreviation_id]],abbreviation[],ColumnLanguage+1,FALSE),"")</f>
        <v/>
      </c>
      <c r="D1018" s="23"/>
      <c r="E1018" s="23"/>
      <c r="F1018" s="23"/>
      <c r="G1018" s="23"/>
      <c r="H1018" s="23"/>
      <c r="I1018" s="23"/>
      <c r="J1018" s="23"/>
      <c r="K1018" s="23"/>
    </row>
    <row r="1019" spans="1:11" x14ac:dyDescent="0.25">
      <c r="A1019" s="4" t="str">
        <f>IFERROR(category_assignment_2[[#This Row],[category_assignment_id]],"")</f>
        <v/>
      </c>
      <c r="B1019" s="23" t="str">
        <f>IFERROR(VLOOKUP(category_assignment_2[[#This Row],[category_id]],#REF!,3,FALSE),"")</f>
        <v/>
      </c>
      <c r="C1019" s="23" t="str">
        <f>IFERROR(VLOOKUP(category_assignment_2[[#This Row],[abbreviation_id]],abbreviation[],ColumnLanguage+1,FALSE),"")</f>
        <v/>
      </c>
      <c r="D1019" s="23"/>
      <c r="E1019" s="23"/>
      <c r="F1019" s="23"/>
      <c r="G1019" s="23"/>
      <c r="H1019" s="23"/>
      <c r="I1019" s="23"/>
      <c r="J1019" s="23"/>
      <c r="K1019" s="23"/>
    </row>
    <row r="1020" spans="1:11" x14ac:dyDescent="0.25">
      <c r="A1020" s="4" t="str">
        <f>IFERROR(category_assignment_2[[#This Row],[category_assignment_id]],"")</f>
        <v/>
      </c>
      <c r="B1020" s="23" t="str">
        <f>IFERROR(VLOOKUP(category_assignment_2[[#This Row],[category_id]],#REF!,3,FALSE),"")</f>
        <v/>
      </c>
      <c r="C1020" s="23" t="str">
        <f>IFERROR(VLOOKUP(category_assignment_2[[#This Row],[abbreviation_id]],abbreviation[],ColumnLanguage+1,FALSE),"")</f>
        <v/>
      </c>
      <c r="D1020" s="23"/>
      <c r="E1020" s="23"/>
      <c r="F1020" s="23"/>
      <c r="G1020" s="23"/>
      <c r="H1020" s="23"/>
      <c r="I1020" s="23"/>
      <c r="J1020" s="23"/>
      <c r="K1020" s="23"/>
    </row>
    <row r="1021" spans="1:11" x14ac:dyDescent="0.25">
      <c r="A1021" s="4" t="str">
        <f>IFERROR(category_assignment_2[[#This Row],[category_assignment_id]],"")</f>
        <v/>
      </c>
      <c r="B1021" s="23" t="str">
        <f>IFERROR(VLOOKUP(category_assignment_2[[#This Row],[category_id]],#REF!,3,FALSE),"")</f>
        <v/>
      </c>
      <c r="C1021" s="23" t="str">
        <f>IFERROR(VLOOKUP(category_assignment_2[[#This Row],[abbreviation_id]],abbreviation[],ColumnLanguage+1,FALSE),"")</f>
        <v/>
      </c>
      <c r="D1021" s="23"/>
      <c r="E1021" s="23"/>
      <c r="F1021" s="23"/>
      <c r="G1021" s="23"/>
      <c r="H1021" s="23"/>
      <c r="I1021" s="23"/>
      <c r="J1021" s="23"/>
      <c r="K1021" s="23"/>
    </row>
    <row r="1022" spans="1:11" x14ac:dyDescent="0.25">
      <c r="A1022" s="4" t="str">
        <f>IFERROR(category_assignment_2[[#This Row],[category_assignment_id]],"")</f>
        <v/>
      </c>
      <c r="B1022" s="23" t="str">
        <f>IFERROR(VLOOKUP(category_assignment_2[[#This Row],[category_id]],#REF!,3,FALSE),"")</f>
        <v/>
      </c>
      <c r="C1022" s="23" t="str">
        <f>IFERROR(VLOOKUP(category_assignment_2[[#This Row],[abbreviation_id]],abbreviation[],ColumnLanguage+1,FALSE),"")</f>
        <v/>
      </c>
      <c r="D1022" s="23"/>
      <c r="E1022" s="23"/>
      <c r="F1022" s="23"/>
      <c r="G1022" s="23"/>
      <c r="H1022" s="23"/>
      <c r="I1022" s="23"/>
      <c r="J1022" s="23"/>
      <c r="K1022" s="23"/>
    </row>
    <row r="1023" spans="1:11" x14ac:dyDescent="0.25">
      <c r="A1023" s="4" t="str">
        <f>IFERROR(category_assignment_2[[#This Row],[category_assignment_id]],"")</f>
        <v/>
      </c>
      <c r="B1023" s="23" t="str">
        <f>IFERROR(VLOOKUP(category_assignment_2[[#This Row],[category_id]],#REF!,3,FALSE),"")</f>
        <v/>
      </c>
      <c r="C1023" s="23" t="str">
        <f>IFERROR(VLOOKUP(category_assignment_2[[#This Row],[abbreviation_id]],abbreviation[],ColumnLanguage+1,FALSE),"")</f>
        <v/>
      </c>
      <c r="D1023" s="23"/>
      <c r="E1023" s="23"/>
      <c r="F1023" s="23"/>
      <c r="G1023" s="23"/>
      <c r="H1023" s="23"/>
      <c r="I1023" s="23"/>
      <c r="J1023" s="23"/>
      <c r="K1023" s="23"/>
    </row>
    <row r="1024" spans="1:11" x14ac:dyDescent="0.25">
      <c r="A1024" s="4" t="str">
        <f>IFERROR(category_assignment_2[[#This Row],[category_assignment_id]],"")</f>
        <v/>
      </c>
      <c r="B1024" s="23" t="str">
        <f>IFERROR(VLOOKUP(category_assignment_2[[#This Row],[category_id]],#REF!,3,FALSE),"")</f>
        <v/>
      </c>
      <c r="C1024" s="23" t="str">
        <f>IFERROR(VLOOKUP(category_assignment_2[[#This Row],[abbreviation_id]],abbreviation[],ColumnLanguage+1,FALSE),"")</f>
        <v/>
      </c>
      <c r="D1024" s="23"/>
      <c r="E1024" s="23"/>
      <c r="F1024" s="23"/>
      <c r="G1024" s="23"/>
      <c r="H1024" s="23"/>
      <c r="I1024" s="23"/>
      <c r="J1024" s="23"/>
      <c r="K1024" s="23"/>
    </row>
    <row r="1025" spans="1:11" x14ac:dyDescent="0.25">
      <c r="A1025" s="4" t="str">
        <f>IFERROR(category_assignment_2[[#This Row],[category_assignment_id]],"")</f>
        <v/>
      </c>
      <c r="B1025" s="23" t="str">
        <f>IFERROR(VLOOKUP(category_assignment_2[[#This Row],[category_id]],#REF!,3,FALSE),"")</f>
        <v/>
      </c>
      <c r="C1025" s="23" t="str">
        <f>IFERROR(VLOOKUP(category_assignment_2[[#This Row],[abbreviation_id]],abbreviation[],ColumnLanguage+1,FALSE),"")</f>
        <v/>
      </c>
      <c r="D1025" s="23"/>
      <c r="E1025" s="23"/>
      <c r="F1025" s="23"/>
      <c r="G1025" s="23"/>
      <c r="H1025" s="23"/>
      <c r="I1025" s="23"/>
      <c r="J1025" s="23"/>
      <c r="K1025" s="23"/>
    </row>
    <row r="1026" spans="1:11" x14ac:dyDescent="0.25">
      <c r="A1026" s="4" t="str">
        <f>IFERROR(category_assignment_2[[#This Row],[category_assignment_id]],"")</f>
        <v/>
      </c>
      <c r="B1026" s="23" t="str">
        <f>IFERROR(VLOOKUP(category_assignment_2[[#This Row],[category_id]],#REF!,3,FALSE),"")</f>
        <v/>
      </c>
      <c r="C1026" s="23" t="str">
        <f>IFERROR(VLOOKUP(category_assignment_2[[#This Row],[abbreviation_id]],abbreviation[],ColumnLanguage+1,FALSE),"")</f>
        <v/>
      </c>
      <c r="D1026" s="23"/>
      <c r="E1026" s="23"/>
      <c r="F1026" s="23"/>
      <c r="G1026" s="23"/>
      <c r="H1026" s="23"/>
      <c r="I1026" s="23"/>
      <c r="J1026" s="23"/>
      <c r="K1026" s="23"/>
    </row>
    <row r="1027" spans="1:11" x14ac:dyDescent="0.25">
      <c r="A1027" s="4" t="str">
        <f>IFERROR(category_assignment_2[[#This Row],[category_assignment_id]],"")</f>
        <v/>
      </c>
      <c r="B1027" s="23" t="str">
        <f>IFERROR(VLOOKUP(category_assignment_2[[#This Row],[category_id]],#REF!,3,FALSE),"")</f>
        <v/>
      </c>
      <c r="C1027" s="23" t="str">
        <f>IFERROR(VLOOKUP(category_assignment_2[[#This Row],[abbreviation_id]],abbreviation[],ColumnLanguage+1,FALSE),"")</f>
        <v/>
      </c>
      <c r="D1027" s="23"/>
      <c r="E1027" s="23"/>
      <c r="F1027" s="23"/>
      <c r="G1027" s="23"/>
      <c r="H1027" s="23"/>
      <c r="I1027" s="23"/>
      <c r="J1027" s="23"/>
      <c r="K1027" s="23"/>
    </row>
    <row r="1028" spans="1:11" x14ac:dyDescent="0.25">
      <c r="A1028" s="4" t="str">
        <f>IFERROR(category_assignment_2[[#This Row],[category_assignment_id]],"")</f>
        <v/>
      </c>
      <c r="B1028" s="23" t="str">
        <f>IFERROR(VLOOKUP(category_assignment_2[[#This Row],[category_id]],#REF!,3,FALSE),"")</f>
        <v/>
      </c>
      <c r="C1028" s="23" t="str">
        <f>IFERROR(VLOOKUP(category_assignment_2[[#This Row],[abbreviation_id]],abbreviation[],ColumnLanguage+1,FALSE),"")</f>
        <v/>
      </c>
      <c r="D1028" s="23"/>
      <c r="E1028" s="23"/>
      <c r="F1028" s="23"/>
      <c r="G1028" s="23"/>
      <c r="H1028" s="23"/>
      <c r="I1028" s="23"/>
      <c r="J1028" s="23"/>
      <c r="K1028" s="23"/>
    </row>
    <row r="1029" spans="1:11" x14ac:dyDescent="0.25">
      <c r="A1029" s="4" t="str">
        <f>IFERROR(category_assignment_2[[#This Row],[category_assignment_id]],"")</f>
        <v/>
      </c>
      <c r="B1029" s="23" t="str">
        <f>IFERROR(VLOOKUP(category_assignment_2[[#This Row],[category_id]],#REF!,3,FALSE),"")</f>
        <v/>
      </c>
      <c r="C1029" s="23" t="str">
        <f>IFERROR(VLOOKUP(category_assignment_2[[#This Row],[abbreviation_id]],abbreviation[],ColumnLanguage+1,FALSE),"")</f>
        <v/>
      </c>
      <c r="D1029" s="23"/>
      <c r="E1029" s="23"/>
      <c r="F1029" s="23"/>
      <c r="G1029" s="23"/>
      <c r="H1029" s="23"/>
      <c r="I1029" s="23"/>
      <c r="J1029" s="23"/>
      <c r="K1029" s="23"/>
    </row>
    <row r="1030" spans="1:11" x14ac:dyDescent="0.25">
      <c r="A1030" s="4" t="str">
        <f>IFERROR(category_assignment_2[[#This Row],[category_assignment_id]],"")</f>
        <v/>
      </c>
      <c r="B1030" s="23" t="str">
        <f>IFERROR(VLOOKUP(category_assignment_2[[#This Row],[category_id]],#REF!,3,FALSE),"")</f>
        <v/>
      </c>
      <c r="C1030" s="23" t="str">
        <f>IFERROR(VLOOKUP(category_assignment_2[[#This Row],[abbreviation_id]],abbreviation[],ColumnLanguage+1,FALSE),"")</f>
        <v/>
      </c>
      <c r="D1030" s="23"/>
      <c r="E1030" s="23"/>
      <c r="F1030" s="23"/>
      <c r="G1030" s="23"/>
      <c r="H1030" s="23"/>
      <c r="I1030" s="23"/>
      <c r="J1030" s="23"/>
      <c r="K1030" s="23"/>
    </row>
    <row r="1031" spans="1:11" x14ac:dyDescent="0.25">
      <c r="A1031" s="4" t="str">
        <f>IFERROR(category_assignment_2[[#This Row],[category_assignment_id]],"")</f>
        <v/>
      </c>
      <c r="B1031" s="23" t="str">
        <f>IFERROR(VLOOKUP(category_assignment_2[[#This Row],[category_id]],#REF!,3,FALSE),"")</f>
        <v/>
      </c>
      <c r="C1031" s="23" t="str">
        <f>IFERROR(VLOOKUP(category_assignment_2[[#This Row],[abbreviation_id]],abbreviation[],ColumnLanguage+1,FALSE),"")</f>
        <v/>
      </c>
      <c r="D1031" s="23"/>
      <c r="E1031" s="23"/>
      <c r="F1031" s="23"/>
      <c r="G1031" s="23"/>
      <c r="H1031" s="23"/>
      <c r="I1031" s="23"/>
      <c r="J1031" s="23"/>
      <c r="K1031" s="23"/>
    </row>
    <row r="1032" spans="1:11" x14ac:dyDescent="0.25">
      <c r="A1032" s="4" t="str">
        <f>IFERROR(category_assignment_2[[#This Row],[category_assignment_id]],"")</f>
        <v/>
      </c>
      <c r="B1032" s="23" t="str">
        <f>IFERROR(VLOOKUP(category_assignment_2[[#This Row],[category_id]],#REF!,3,FALSE),"")</f>
        <v/>
      </c>
      <c r="C1032" s="23" t="str">
        <f>IFERROR(VLOOKUP(category_assignment_2[[#This Row],[abbreviation_id]],abbreviation[],ColumnLanguage+1,FALSE),"")</f>
        <v/>
      </c>
      <c r="D1032" s="23"/>
      <c r="E1032" s="23"/>
      <c r="F1032" s="23"/>
      <c r="G1032" s="23"/>
      <c r="H1032" s="23"/>
      <c r="I1032" s="23"/>
      <c r="J1032" s="23"/>
      <c r="K1032" s="23"/>
    </row>
    <row r="1033" spans="1:11" x14ac:dyDescent="0.25">
      <c r="A1033" s="4" t="str">
        <f>IFERROR(category_assignment_2[[#This Row],[category_assignment_id]],"")</f>
        <v/>
      </c>
      <c r="B1033" s="23" t="str">
        <f>IFERROR(VLOOKUP(category_assignment_2[[#This Row],[category_id]],#REF!,3,FALSE),"")</f>
        <v/>
      </c>
      <c r="C1033" s="23" t="str">
        <f>IFERROR(VLOOKUP(category_assignment_2[[#This Row],[abbreviation_id]],abbreviation[],ColumnLanguage+1,FALSE),"")</f>
        <v/>
      </c>
      <c r="D1033" s="23"/>
      <c r="E1033" s="23"/>
      <c r="F1033" s="23"/>
      <c r="G1033" s="23"/>
      <c r="H1033" s="23"/>
      <c r="I1033" s="23"/>
      <c r="J1033" s="23"/>
      <c r="K1033" s="23"/>
    </row>
    <row r="1034" spans="1:11" x14ac:dyDescent="0.25">
      <c r="A1034" s="4" t="str">
        <f>IFERROR(category_assignment_2[[#This Row],[category_assignment_id]],"")</f>
        <v/>
      </c>
      <c r="B1034" s="23" t="str">
        <f>IFERROR(VLOOKUP(category_assignment_2[[#This Row],[category_id]],#REF!,3,FALSE),"")</f>
        <v/>
      </c>
      <c r="C1034" s="23" t="str">
        <f>IFERROR(VLOOKUP(category_assignment_2[[#This Row],[abbreviation_id]],abbreviation[],ColumnLanguage+1,FALSE),"")</f>
        <v/>
      </c>
      <c r="D1034" s="23"/>
      <c r="E1034" s="23"/>
      <c r="F1034" s="23"/>
      <c r="G1034" s="23"/>
      <c r="H1034" s="23"/>
      <c r="I1034" s="23"/>
      <c r="J1034" s="23"/>
      <c r="K1034" s="23"/>
    </row>
    <row r="1035" spans="1:11" x14ac:dyDescent="0.25">
      <c r="A1035" s="4" t="str">
        <f>IFERROR(category_assignment_2[[#This Row],[category_assignment_id]],"")</f>
        <v/>
      </c>
      <c r="B1035" s="23" t="str">
        <f>IFERROR(VLOOKUP(category_assignment_2[[#This Row],[category_id]],#REF!,3,FALSE),"")</f>
        <v/>
      </c>
      <c r="C1035" s="23" t="str">
        <f>IFERROR(VLOOKUP(category_assignment_2[[#This Row],[abbreviation_id]],abbreviation[],ColumnLanguage+1,FALSE),"")</f>
        <v/>
      </c>
      <c r="D1035" s="23"/>
      <c r="E1035" s="23"/>
      <c r="F1035" s="23"/>
      <c r="G1035" s="23"/>
      <c r="H1035" s="23"/>
      <c r="I1035" s="23"/>
      <c r="J1035" s="23"/>
      <c r="K1035" s="23"/>
    </row>
    <row r="1036" spans="1:11" x14ac:dyDescent="0.25">
      <c r="A1036" s="4" t="str">
        <f>IFERROR(category_assignment_2[[#This Row],[category_assignment_id]],"")</f>
        <v/>
      </c>
      <c r="B1036" s="23" t="str">
        <f>IFERROR(VLOOKUP(category_assignment_2[[#This Row],[category_id]],#REF!,3,FALSE),"")</f>
        <v/>
      </c>
      <c r="C1036" s="23" t="str">
        <f>IFERROR(VLOOKUP(category_assignment_2[[#This Row],[abbreviation_id]],abbreviation[],ColumnLanguage+1,FALSE),"")</f>
        <v/>
      </c>
      <c r="D1036" s="23"/>
      <c r="E1036" s="23"/>
      <c r="F1036" s="23"/>
      <c r="G1036" s="23"/>
      <c r="H1036" s="23"/>
      <c r="I1036" s="23"/>
      <c r="J1036" s="23"/>
      <c r="K1036" s="23"/>
    </row>
    <row r="1037" spans="1:11" x14ac:dyDescent="0.25">
      <c r="A1037" s="4" t="str">
        <f>IFERROR(category_assignment_2[[#This Row],[category_assignment_id]],"")</f>
        <v/>
      </c>
      <c r="B1037" s="23" t="str">
        <f>IFERROR(VLOOKUP(category_assignment_2[[#This Row],[category_id]],#REF!,3,FALSE),"")</f>
        <v/>
      </c>
      <c r="C1037" s="23" t="str">
        <f>IFERROR(VLOOKUP(category_assignment_2[[#This Row],[abbreviation_id]],abbreviation[],ColumnLanguage+1,FALSE),"")</f>
        <v/>
      </c>
      <c r="D1037" s="23"/>
      <c r="E1037" s="23"/>
      <c r="F1037" s="23"/>
      <c r="G1037" s="23"/>
      <c r="H1037" s="23"/>
      <c r="I1037" s="23"/>
      <c r="J1037" s="23"/>
      <c r="K1037" s="23"/>
    </row>
    <row r="1038" spans="1:11" x14ac:dyDescent="0.25">
      <c r="A1038" s="4" t="str">
        <f>IFERROR(category_assignment_2[[#This Row],[category_assignment_id]],"")</f>
        <v/>
      </c>
      <c r="B1038" s="23" t="str">
        <f>IFERROR(VLOOKUP(category_assignment_2[[#This Row],[category_id]],#REF!,3,FALSE),"")</f>
        <v/>
      </c>
      <c r="C1038" s="23" t="str">
        <f>IFERROR(VLOOKUP(category_assignment_2[[#This Row],[abbreviation_id]],abbreviation[],ColumnLanguage+1,FALSE),"")</f>
        <v/>
      </c>
      <c r="D1038" s="23"/>
      <c r="E1038" s="23"/>
      <c r="F1038" s="23"/>
      <c r="G1038" s="23"/>
      <c r="H1038" s="23"/>
      <c r="I1038" s="23"/>
      <c r="J1038" s="23"/>
      <c r="K1038" s="23"/>
    </row>
    <row r="1039" spans="1:11" x14ac:dyDescent="0.25">
      <c r="A1039" s="4" t="str">
        <f>IFERROR(category_assignment_2[[#This Row],[category_assignment_id]],"")</f>
        <v/>
      </c>
      <c r="B1039" s="23" t="str">
        <f>IFERROR(VLOOKUP(category_assignment_2[[#This Row],[category_id]],#REF!,3,FALSE),"")</f>
        <v/>
      </c>
      <c r="C1039" s="23" t="str">
        <f>IFERROR(VLOOKUP(category_assignment_2[[#This Row],[abbreviation_id]],abbreviation[],ColumnLanguage+1,FALSE),"")</f>
        <v/>
      </c>
      <c r="D1039" s="23"/>
      <c r="E1039" s="23"/>
      <c r="F1039" s="23"/>
      <c r="G1039" s="23"/>
      <c r="H1039" s="23"/>
      <c r="I1039" s="23"/>
      <c r="J1039" s="23"/>
      <c r="K1039" s="23"/>
    </row>
    <row r="1040" spans="1:11" x14ac:dyDescent="0.25">
      <c r="A1040" s="4" t="str">
        <f>IFERROR(category_assignment_2[[#This Row],[category_assignment_id]],"")</f>
        <v/>
      </c>
      <c r="B1040" s="23" t="str">
        <f>IFERROR(VLOOKUP(category_assignment_2[[#This Row],[category_id]],#REF!,3,FALSE),"")</f>
        <v/>
      </c>
      <c r="C1040" s="23" t="str">
        <f>IFERROR(VLOOKUP(category_assignment_2[[#This Row],[abbreviation_id]],abbreviation[],ColumnLanguage+1,FALSE),"")</f>
        <v/>
      </c>
      <c r="D1040" s="23"/>
      <c r="E1040" s="23"/>
      <c r="F1040" s="23"/>
      <c r="G1040" s="23"/>
      <c r="H1040" s="23"/>
      <c r="I1040" s="23"/>
      <c r="J1040" s="23"/>
      <c r="K1040" s="23"/>
    </row>
    <row r="1041" spans="1:11" x14ac:dyDescent="0.25">
      <c r="A1041" s="4" t="str">
        <f>IFERROR(category_assignment_2[[#This Row],[category_assignment_id]],"")</f>
        <v/>
      </c>
      <c r="B1041" s="23" t="str">
        <f>IFERROR(VLOOKUP(category_assignment_2[[#This Row],[category_id]],#REF!,3,FALSE),"")</f>
        <v/>
      </c>
      <c r="C1041" s="23" t="str">
        <f>IFERROR(VLOOKUP(category_assignment_2[[#This Row],[abbreviation_id]],abbreviation[],ColumnLanguage+1,FALSE),"")</f>
        <v/>
      </c>
      <c r="D1041" s="23"/>
      <c r="E1041" s="23"/>
      <c r="F1041" s="23"/>
      <c r="G1041" s="23"/>
      <c r="H1041" s="23"/>
      <c r="I1041" s="23"/>
      <c r="J1041" s="23"/>
      <c r="K1041" s="23"/>
    </row>
    <row r="1042" spans="1:11" x14ac:dyDescent="0.25">
      <c r="A1042" s="4" t="str">
        <f>IFERROR(category_assignment_2[[#This Row],[category_assignment_id]],"")</f>
        <v/>
      </c>
      <c r="B1042" s="23" t="str">
        <f>IFERROR(VLOOKUP(category_assignment_2[[#This Row],[category_id]],#REF!,3,FALSE),"")</f>
        <v/>
      </c>
      <c r="C1042" s="23" t="str">
        <f>IFERROR(VLOOKUP(category_assignment_2[[#This Row],[abbreviation_id]],abbreviation[],ColumnLanguage+1,FALSE),"")</f>
        <v/>
      </c>
      <c r="D1042" s="23"/>
      <c r="E1042" s="23"/>
      <c r="F1042" s="23"/>
      <c r="G1042" s="23"/>
      <c r="H1042" s="23"/>
      <c r="I1042" s="23"/>
      <c r="J1042" s="23"/>
      <c r="K1042" s="23"/>
    </row>
    <row r="1043" spans="1:11" x14ac:dyDescent="0.25">
      <c r="A1043" s="4" t="str">
        <f>IFERROR(category_assignment_2[[#This Row],[category_assignment_id]],"")</f>
        <v/>
      </c>
      <c r="B1043" s="23" t="str">
        <f>IFERROR(VLOOKUP(category_assignment_2[[#This Row],[category_id]],#REF!,3,FALSE),"")</f>
        <v/>
      </c>
      <c r="C1043" s="23" t="str">
        <f>IFERROR(VLOOKUP(category_assignment_2[[#This Row],[abbreviation_id]],abbreviation[],ColumnLanguage+1,FALSE),"")</f>
        <v/>
      </c>
      <c r="D1043" s="23"/>
      <c r="E1043" s="23"/>
      <c r="F1043" s="23"/>
      <c r="G1043" s="23"/>
      <c r="H1043" s="23"/>
      <c r="I1043" s="23"/>
      <c r="J1043" s="23"/>
      <c r="K1043" s="23"/>
    </row>
    <row r="1044" spans="1:11" x14ac:dyDescent="0.25">
      <c r="A1044" s="4" t="str">
        <f>IFERROR(category_assignment_2[[#This Row],[category_assignment_id]],"")</f>
        <v/>
      </c>
      <c r="B1044" s="23" t="str">
        <f>IFERROR(VLOOKUP(category_assignment_2[[#This Row],[category_id]],#REF!,3,FALSE),"")</f>
        <v/>
      </c>
      <c r="C1044" s="23" t="str">
        <f>IFERROR(VLOOKUP(category_assignment_2[[#This Row],[abbreviation_id]],abbreviation[],ColumnLanguage+1,FALSE),"")</f>
        <v/>
      </c>
      <c r="D1044" s="23"/>
      <c r="E1044" s="23"/>
      <c r="F1044" s="23"/>
      <c r="G1044" s="23"/>
      <c r="H1044" s="23"/>
      <c r="I1044" s="23"/>
      <c r="J1044" s="23"/>
      <c r="K1044" s="23"/>
    </row>
    <row r="1045" spans="1:11" x14ac:dyDescent="0.25">
      <c r="A1045" s="4" t="str">
        <f>IFERROR(category_assignment_2[[#This Row],[category_assignment_id]],"")</f>
        <v/>
      </c>
      <c r="B1045" s="23" t="str">
        <f>IFERROR(VLOOKUP(category_assignment_2[[#This Row],[category_id]],#REF!,3,FALSE),"")</f>
        <v/>
      </c>
      <c r="C1045" s="23" t="str">
        <f>IFERROR(VLOOKUP(category_assignment_2[[#This Row],[abbreviation_id]],abbreviation[],ColumnLanguage+1,FALSE),"")</f>
        <v/>
      </c>
      <c r="D1045" s="23"/>
      <c r="E1045" s="23"/>
      <c r="F1045" s="23"/>
      <c r="G1045" s="23"/>
      <c r="H1045" s="23"/>
      <c r="I1045" s="23"/>
      <c r="J1045" s="23"/>
      <c r="K1045" s="23"/>
    </row>
    <row r="1046" spans="1:11" x14ac:dyDescent="0.25">
      <c r="A1046" s="4" t="str">
        <f>IFERROR(category_assignment_2[[#This Row],[category_assignment_id]],"")</f>
        <v/>
      </c>
      <c r="B1046" s="23" t="str">
        <f>IFERROR(VLOOKUP(category_assignment_2[[#This Row],[category_id]],#REF!,3,FALSE),"")</f>
        <v/>
      </c>
      <c r="C1046" s="23" t="str">
        <f>IFERROR(VLOOKUP(category_assignment_2[[#This Row],[abbreviation_id]],abbreviation[],ColumnLanguage+1,FALSE),"")</f>
        <v/>
      </c>
      <c r="D1046" s="23"/>
      <c r="E1046" s="23"/>
      <c r="F1046" s="23"/>
      <c r="G1046" s="23"/>
      <c r="H1046" s="23"/>
      <c r="I1046" s="23"/>
      <c r="J1046" s="23"/>
      <c r="K1046" s="23"/>
    </row>
    <row r="1047" spans="1:11" x14ac:dyDescent="0.25">
      <c r="A1047" s="4" t="str">
        <f>IFERROR(category_assignment_2[[#This Row],[category_assignment_id]],"")</f>
        <v/>
      </c>
      <c r="B1047" s="23" t="str">
        <f>IFERROR(VLOOKUP(category_assignment_2[[#This Row],[category_id]],#REF!,3,FALSE),"")</f>
        <v/>
      </c>
      <c r="C1047" s="23" t="str">
        <f>IFERROR(VLOOKUP(category_assignment_2[[#This Row],[abbreviation_id]],abbreviation[],ColumnLanguage+1,FALSE),"")</f>
        <v/>
      </c>
      <c r="D1047" s="23"/>
      <c r="E1047" s="23"/>
      <c r="F1047" s="23"/>
      <c r="G1047" s="23"/>
      <c r="H1047" s="23"/>
      <c r="I1047" s="23"/>
      <c r="J1047" s="23"/>
      <c r="K1047" s="23"/>
    </row>
    <row r="1048" spans="1:11" x14ac:dyDescent="0.25">
      <c r="A1048" s="4" t="str">
        <f>IFERROR(category_assignment_2[[#This Row],[category_assignment_id]],"")</f>
        <v/>
      </c>
      <c r="B1048" s="23" t="str">
        <f>IFERROR(VLOOKUP(category_assignment_2[[#This Row],[category_id]],#REF!,3,FALSE),"")</f>
        <v/>
      </c>
      <c r="C1048" s="23" t="str">
        <f>IFERROR(VLOOKUP(category_assignment_2[[#This Row],[abbreviation_id]],abbreviation[],ColumnLanguage+1,FALSE),"")</f>
        <v/>
      </c>
      <c r="D1048" s="23"/>
      <c r="E1048" s="23"/>
      <c r="F1048" s="23"/>
      <c r="G1048" s="23"/>
      <c r="H1048" s="23"/>
      <c r="I1048" s="23"/>
      <c r="J1048" s="23"/>
      <c r="K1048" s="23"/>
    </row>
    <row r="1049" spans="1:11" x14ac:dyDescent="0.25">
      <c r="A1049" s="4" t="str">
        <f>IFERROR(category_assignment_2[[#This Row],[category_assignment_id]],"")</f>
        <v/>
      </c>
      <c r="B1049" s="23" t="str">
        <f>IFERROR(VLOOKUP(category_assignment_2[[#This Row],[category_id]],#REF!,3,FALSE),"")</f>
        <v/>
      </c>
      <c r="C1049" s="23" t="str">
        <f>IFERROR(VLOOKUP(category_assignment_2[[#This Row],[abbreviation_id]],abbreviation[],ColumnLanguage+1,FALSE),"")</f>
        <v/>
      </c>
      <c r="D1049" s="23"/>
      <c r="E1049" s="23"/>
      <c r="F1049" s="23"/>
      <c r="G1049" s="23"/>
      <c r="H1049" s="23"/>
      <c r="I1049" s="23"/>
      <c r="J1049" s="23"/>
      <c r="K1049" s="23"/>
    </row>
    <row r="1050" spans="1:11" x14ac:dyDescent="0.25">
      <c r="A1050" s="4" t="str">
        <f>IFERROR(category_assignment_2[[#This Row],[category_assignment_id]],"")</f>
        <v/>
      </c>
      <c r="B1050" s="23" t="str">
        <f>IFERROR(VLOOKUP(category_assignment_2[[#This Row],[category_id]],#REF!,3,FALSE),"")</f>
        <v/>
      </c>
      <c r="C1050" s="23" t="str">
        <f>IFERROR(VLOOKUP(category_assignment_2[[#This Row],[abbreviation_id]],abbreviation[],ColumnLanguage+1,FALSE),"")</f>
        <v/>
      </c>
      <c r="D1050" s="23"/>
      <c r="E1050" s="23"/>
      <c r="F1050" s="23"/>
      <c r="G1050" s="23"/>
      <c r="H1050" s="23"/>
      <c r="I1050" s="23"/>
      <c r="J1050" s="23"/>
      <c r="K1050" s="23"/>
    </row>
    <row r="1051" spans="1:11" x14ac:dyDescent="0.25">
      <c r="A1051" s="4" t="str">
        <f>IFERROR(category_assignment_2[[#This Row],[category_assignment_id]],"")</f>
        <v/>
      </c>
      <c r="B1051" s="23" t="str">
        <f>IFERROR(VLOOKUP(category_assignment_2[[#This Row],[category_id]],#REF!,3,FALSE),"")</f>
        <v/>
      </c>
      <c r="C1051" s="23" t="str">
        <f>IFERROR(VLOOKUP(category_assignment_2[[#This Row],[abbreviation_id]],abbreviation[],ColumnLanguage+1,FALSE),"")</f>
        <v/>
      </c>
      <c r="D1051" s="23"/>
      <c r="E1051" s="23"/>
      <c r="F1051" s="23"/>
      <c r="G1051" s="23"/>
      <c r="H1051" s="23"/>
      <c r="I1051" s="23"/>
      <c r="J1051" s="23"/>
      <c r="K1051" s="23"/>
    </row>
    <row r="1052" spans="1:11" x14ac:dyDescent="0.25">
      <c r="A1052" s="4" t="str">
        <f>IFERROR(category_assignment_2[[#This Row],[category_assignment_id]],"")</f>
        <v/>
      </c>
      <c r="B1052" s="23" t="str">
        <f>IFERROR(VLOOKUP(category_assignment_2[[#This Row],[category_id]],#REF!,3,FALSE),"")</f>
        <v/>
      </c>
      <c r="C1052" s="23" t="str">
        <f>IFERROR(VLOOKUP(category_assignment_2[[#This Row],[abbreviation_id]],abbreviation[],ColumnLanguage+1,FALSE),"")</f>
        <v/>
      </c>
      <c r="D1052" s="23"/>
      <c r="E1052" s="23"/>
      <c r="F1052" s="23"/>
      <c r="G1052" s="23"/>
      <c r="H1052" s="23"/>
      <c r="I1052" s="23"/>
      <c r="J1052" s="23"/>
      <c r="K1052" s="23"/>
    </row>
    <row r="1053" spans="1:11" x14ac:dyDescent="0.25">
      <c r="A1053" s="4" t="str">
        <f>IFERROR(category_assignment_2[[#This Row],[category_assignment_id]],"")</f>
        <v/>
      </c>
      <c r="B1053" s="23" t="str">
        <f>IFERROR(VLOOKUP(category_assignment_2[[#This Row],[category_id]],#REF!,3,FALSE),"")</f>
        <v/>
      </c>
      <c r="C1053" s="23" t="str">
        <f>IFERROR(VLOOKUP(category_assignment_2[[#This Row],[abbreviation_id]],abbreviation[],ColumnLanguage+1,FALSE),"")</f>
        <v/>
      </c>
      <c r="D1053" s="23"/>
      <c r="E1053" s="23"/>
      <c r="F1053" s="23"/>
      <c r="G1053" s="23"/>
      <c r="H1053" s="23"/>
      <c r="I1053" s="23"/>
      <c r="J1053" s="23"/>
      <c r="K1053" s="23"/>
    </row>
    <row r="1054" spans="1:11" x14ac:dyDescent="0.25">
      <c r="A1054" s="4" t="str">
        <f>IFERROR(category_assignment_2[[#This Row],[category_assignment_id]],"")</f>
        <v/>
      </c>
      <c r="B1054" s="23" t="str">
        <f>IFERROR(VLOOKUP(category_assignment_2[[#This Row],[category_id]],#REF!,3,FALSE),"")</f>
        <v/>
      </c>
      <c r="C1054" s="23" t="str">
        <f>IFERROR(VLOOKUP(category_assignment_2[[#This Row],[abbreviation_id]],abbreviation[],ColumnLanguage+1,FALSE),"")</f>
        <v/>
      </c>
      <c r="D1054" s="23"/>
      <c r="E1054" s="23"/>
      <c r="F1054" s="23"/>
      <c r="G1054" s="23"/>
      <c r="H1054" s="23"/>
      <c r="I1054" s="23"/>
      <c r="J1054" s="23"/>
      <c r="K1054" s="23"/>
    </row>
    <row r="1055" spans="1:11" x14ac:dyDescent="0.25">
      <c r="A1055" s="4" t="str">
        <f>IFERROR(category_assignment_2[[#This Row],[category_assignment_id]],"")</f>
        <v/>
      </c>
      <c r="B1055" s="23" t="str">
        <f>IFERROR(VLOOKUP(category_assignment_2[[#This Row],[category_id]],#REF!,3,FALSE),"")</f>
        <v/>
      </c>
      <c r="C1055" s="23" t="str">
        <f>IFERROR(VLOOKUP(category_assignment_2[[#This Row],[abbreviation_id]],abbreviation[],ColumnLanguage+1,FALSE),"")</f>
        <v/>
      </c>
      <c r="D1055" s="23"/>
      <c r="E1055" s="23"/>
      <c r="F1055" s="23"/>
      <c r="G1055" s="23"/>
      <c r="H1055" s="23"/>
      <c r="I1055" s="23"/>
      <c r="J1055" s="23"/>
      <c r="K1055" s="23"/>
    </row>
    <row r="1056" spans="1:11" x14ac:dyDescent="0.25">
      <c r="A1056" s="4" t="str">
        <f>IFERROR(category_assignment_2[[#This Row],[category_assignment_id]],"")</f>
        <v/>
      </c>
      <c r="B1056" s="23" t="str">
        <f>IFERROR(VLOOKUP(category_assignment_2[[#This Row],[category_id]],#REF!,3,FALSE),"")</f>
        <v/>
      </c>
      <c r="C1056" s="23" t="str">
        <f>IFERROR(VLOOKUP(category_assignment_2[[#This Row],[abbreviation_id]],abbreviation[],ColumnLanguage+1,FALSE),"")</f>
        <v/>
      </c>
      <c r="D1056" s="23"/>
      <c r="E1056" s="23"/>
      <c r="F1056" s="23"/>
      <c r="G1056" s="23"/>
      <c r="H1056" s="23"/>
      <c r="I1056" s="23"/>
      <c r="J1056" s="23"/>
      <c r="K1056" s="23"/>
    </row>
    <row r="1057" spans="1:11" x14ac:dyDescent="0.25">
      <c r="A1057" s="4" t="str">
        <f>IFERROR(category_assignment_2[[#This Row],[category_assignment_id]],"")</f>
        <v/>
      </c>
      <c r="B1057" s="23" t="str">
        <f>IFERROR(VLOOKUP(category_assignment_2[[#This Row],[category_id]],#REF!,3,FALSE),"")</f>
        <v/>
      </c>
      <c r="C1057" s="23" t="str">
        <f>IFERROR(VLOOKUP(category_assignment_2[[#This Row],[abbreviation_id]],abbreviation[],ColumnLanguage+1,FALSE),"")</f>
        <v/>
      </c>
      <c r="D1057" s="23"/>
      <c r="E1057" s="23"/>
      <c r="F1057" s="23"/>
      <c r="G1057" s="23"/>
      <c r="H1057" s="23"/>
      <c r="I1057" s="23"/>
      <c r="J1057" s="23"/>
      <c r="K1057" s="23"/>
    </row>
    <row r="1058" spans="1:11" x14ac:dyDescent="0.25">
      <c r="A1058" s="4" t="str">
        <f>IFERROR(category_assignment_2[[#This Row],[category_assignment_id]],"")</f>
        <v/>
      </c>
      <c r="B1058" s="23" t="str">
        <f>IFERROR(VLOOKUP(category_assignment_2[[#This Row],[category_id]],#REF!,3,FALSE),"")</f>
        <v/>
      </c>
      <c r="C1058" s="23" t="str">
        <f>IFERROR(VLOOKUP(category_assignment_2[[#This Row],[abbreviation_id]],abbreviation[],ColumnLanguage+1,FALSE),"")</f>
        <v/>
      </c>
      <c r="D1058" s="23"/>
      <c r="E1058" s="23"/>
      <c r="F1058" s="23"/>
      <c r="G1058" s="23"/>
      <c r="H1058" s="23"/>
      <c r="I1058" s="23"/>
      <c r="J1058" s="23"/>
      <c r="K1058" s="23"/>
    </row>
    <row r="1059" spans="1:11" x14ac:dyDescent="0.25">
      <c r="A1059" s="4" t="str">
        <f>IFERROR(category_assignment_2[[#This Row],[category_assignment_id]],"")</f>
        <v/>
      </c>
      <c r="B1059" s="23" t="str">
        <f>IFERROR(VLOOKUP(category_assignment_2[[#This Row],[category_id]],#REF!,3,FALSE),"")</f>
        <v/>
      </c>
      <c r="C1059" s="23" t="str">
        <f>IFERROR(VLOOKUP(category_assignment_2[[#This Row],[abbreviation_id]],abbreviation[],ColumnLanguage+1,FALSE),"")</f>
        <v/>
      </c>
      <c r="D1059" s="23"/>
      <c r="E1059" s="23"/>
      <c r="F1059" s="23"/>
      <c r="G1059" s="23"/>
      <c r="H1059" s="23"/>
      <c r="I1059" s="23"/>
      <c r="J1059" s="23"/>
      <c r="K1059" s="23"/>
    </row>
    <row r="1060" spans="1:11" x14ac:dyDescent="0.25">
      <c r="A1060" s="4" t="str">
        <f>IFERROR(category_assignment_2[[#This Row],[category_assignment_id]],"")</f>
        <v/>
      </c>
      <c r="B1060" s="23" t="str">
        <f>IFERROR(VLOOKUP(category_assignment_2[[#This Row],[category_id]],#REF!,3,FALSE),"")</f>
        <v/>
      </c>
      <c r="C1060" s="23" t="str">
        <f>IFERROR(VLOOKUP(category_assignment_2[[#This Row],[abbreviation_id]],abbreviation[],ColumnLanguage+1,FALSE),"")</f>
        <v/>
      </c>
      <c r="D1060" s="23"/>
      <c r="E1060" s="23"/>
      <c r="F1060" s="23"/>
      <c r="G1060" s="23"/>
      <c r="H1060" s="23"/>
      <c r="I1060" s="23"/>
      <c r="J1060" s="23"/>
      <c r="K1060" s="23"/>
    </row>
    <row r="1061" spans="1:11" x14ac:dyDescent="0.25">
      <c r="A1061" s="4" t="str">
        <f>IFERROR(category_assignment_2[[#This Row],[category_assignment_id]],"")</f>
        <v/>
      </c>
      <c r="B1061" s="23" t="str">
        <f>IFERROR(VLOOKUP(category_assignment_2[[#This Row],[category_id]],#REF!,3,FALSE),"")</f>
        <v/>
      </c>
      <c r="C1061" s="23" t="str">
        <f>IFERROR(VLOOKUP(category_assignment_2[[#This Row],[abbreviation_id]],abbreviation[],ColumnLanguage+1,FALSE),"")</f>
        <v/>
      </c>
      <c r="D1061" s="23"/>
      <c r="E1061" s="23"/>
      <c r="F1061" s="23"/>
      <c r="G1061" s="23"/>
      <c r="H1061" s="23"/>
      <c r="I1061" s="23"/>
      <c r="J1061" s="23"/>
      <c r="K1061" s="23"/>
    </row>
    <row r="1062" spans="1:11" x14ac:dyDescent="0.25">
      <c r="A1062" s="4" t="str">
        <f>IFERROR(category_assignment_2[[#This Row],[category_assignment_id]],"")</f>
        <v/>
      </c>
      <c r="B1062" s="23" t="str">
        <f>IFERROR(VLOOKUP(category_assignment_2[[#This Row],[category_id]],#REF!,3,FALSE),"")</f>
        <v/>
      </c>
      <c r="C1062" s="23" t="str">
        <f>IFERROR(VLOOKUP(category_assignment_2[[#This Row],[abbreviation_id]],abbreviation[],ColumnLanguage+1,FALSE),"")</f>
        <v/>
      </c>
      <c r="D1062" s="23"/>
      <c r="E1062" s="23"/>
      <c r="F1062" s="23"/>
      <c r="G1062" s="23"/>
      <c r="H1062" s="23"/>
      <c r="I1062" s="23"/>
      <c r="J1062" s="23"/>
      <c r="K1062" s="23"/>
    </row>
    <row r="1063" spans="1:11" x14ac:dyDescent="0.25">
      <c r="A1063" s="4" t="str">
        <f>IFERROR(category_assignment_2[[#This Row],[category_assignment_id]],"")</f>
        <v/>
      </c>
      <c r="B1063" s="23" t="str">
        <f>IFERROR(VLOOKUP(category_assignment_2[[#This Row],[category_id]],#REF!,3,FALSE),"")</f>
        <v/>
      </c>
      <c r="C1063" s="23" t="str">
        <f>IFERROR(VLOOKUP(category_assignment_2[[#This Row],[abbreviation_id]],abbreviation[],ColumnLanguage+1,FALSE),"")</f>
        <v/>
      </c>
      <c r="D1063" s="23"/>
      <c r="E1063" s="23"/>
      <c r="F1063" s="23"/>
      <c r="G1063" s="23"/>
      <c r="H1063" s="23"/>
      <c r="I1063" s="23"/>
      <c r="J1063" s="23"/>
      <c r="K1063" s="23"/>
    </row>
    <row r="1064" spans="1:11" x14ac:dyDescent="0.25">
      <c r="A1064" s="4" t="str">
        <f>IFERROR(category_assignment_2[[#This Row],[category_assignment_id]],"")</f>
        <v/>
      </c>
      <c r="B1064" s="23" t="str">
        <f>IFERROR(VLOOKUP(category_assignment_2[[#This Row],[category_id]],#REF!,3,FALSE),"")</f>
        <v/>
      </c>
      <c r="C1064" s="23" t="str">
        <f>IFERROR(VLOOKUP(category_assignment_2[[#This Row],[abbreviation_id]],abbreviation[],ColumnLanguage+1,FALSE),"")</f>
        <v/>
      </c>
      <c r="D1064" s="23"/>
      <c r="E1064" s="23"/>
      <c r="F1064" s="23"/>
      <c r="G1064" s="23"/>
      <c r="H1064" s="23"/>
      <c r="I1064" s="23"/>
      <c r="J1064" s="23"/>
      <c r="K1064" s="23"/>
    </row>
    <row r="1065" spans="1:11" x14ac:dyDescent="0.25">
      <c r="A1065" s="4" t="str">
        <f>IFERROR(category_assignment_2[[#This Row],[category_assignment_id]],"")</f>
        <v/>
      </c>
      <c r="B1065" s="23" t="str">
        <f>IFERROR(VLOOKUP(category_assignment_2[[#This Row],[category_id]],#REF!,3,FALSE),"")</f>
        <v/>
      </c>
      <c r="C1065" s="23" t="str">
        <f>IFERROR(VLOOKUP(category_assignment_2[[#This Row],[abbreviation_id]],abbreviation[],ColumnLanguage+1,FALSE),"")</f>
        <v/>
      </c>
      <c r="D1065" s="23"/>
      <c r="E1065" s="23"/>
      <c r="F1065" s="23"/>
      <c r="G1065" s="23"/>
      <c r="H1065" s="23"/>
      <c r="I1065" s="23"/>
      <c r="J1065" s="23"/>
      <c r="K1065" s="23"/>
    </row>
    <row r="1066" spans="1:11" x14ac:dyDescent="0.25">
      <c r="A1066" s="4" t="str">
        <f>IFERROR(category_assignment_2[[#This Row],[category_assignment_id]],"")</f>
        <v/>
      </c>
      <c r="B1066" s="23" t="str">
        <f>IFERROR(VLOOKUP(category_assignment_2[[#This Row],[category_id]],#REF!,3,FALSE),"")</f>
        <v/>
      </c>
      <c r="C1066" s="23" t="str">
        <f>IFERROR(VLOOKUP(category_assignment_2[[#This Row],[abbreviation_id]],abbreviation[],ColumnLanguage+1,FALSE),"")</f>
        <v/>
      </c>
      <c r="D1066" s="23"/>
      <c r="E1066" s="23"/>
      <c r="F1066" s="23"/>
      <c r="G1066" s="23"/>
      <c r="H1066" s="23"/>
      <c r="I1066" s="23"/>
      <c r="J1066" s="23"/>
      <c r="K1066" s="23"/>
    </row>
    <row r="1067" spans="1:11" x14ac:dyDescent="0.25">
      <c r="A1067" s="4" t="str">
        <f>IFERROR(category_assignment_2[[#This Row],[category_assignment_id]],"")</f>
        <v/>
      </c>
      <c r="B1067" s="23" t="str">
        <f>IFERROR(VLOOKUP(category_assignment_2[[#This Row],[category_id]],#REF!,3,FALSE),"")</f>
        <v/>
      </c>
      <c r="C1067" s="23" t="str">
        <f>IFERROR(VLOOKUP(category_assignment_2[[#This Row],[abbreviation_id]],abbreviation[],ColumnLanguage+1,FALSE),"")</f>
        <v/>
      </c>
      <c r="D1067" s="23"/>
      <c r="E1067" s="23"/>
      <c r="F1067" s="23"/>
      <c r="G1067" s="23"/>
      <c r="H1067" s="23"/>
      <c r="I1067" s="23"/>
      <c r="J1067" s="23"/>
      <c r="K1067" s="23"/>
    </row>
    <row r="1068" spans="1:11" x14ac:dyDescent="0.25">
      <c r="A1068" s="4" t="str">
        <f>IFERROR(category_assignment_2[[#This Row],[category_assignment_id]],"")</f>
        <v/>
      </c>
      <c r="B1068" s="23" t="str">
        <f>IFERROR(VLOOKUP(category_assignment_2[[#This Row],[category_id]],#REF!,3,FALSE),"")</f>
        <v/>
      </c>
      <c r="C1068" s="23" t="str">
        <f>IFERROR(VLOOKUP(category_assignment_2[[#This Row],[abbreviation_id]],abbreviation[],ColumnLanguage+1,FALSE),"")</f>
        <v/>
      </c>
      <c r="D1068" s="23"/>
      <c r="E1068" s="23"/>
      <c r="F1068" s="23"/>
      <c r="G1068" s="23"/>
      <c r="H1068" s="23"/>
      <c r="I1068" s="23"/>
      <c r="J1068" s="23"/>
      <c r="K1068" s="23"/>
    </row>
    <row r="1069" spans="1:11" x14ac:dyDescent="0.25">
      <c r="A1069" s="4" t="str">
        <f>IFERROR(category_assignment_2[[#This Row],[category_assignment_id]],"")</f>
        <v/>
      </c>
      <c r="B1069" s="23" t="str">
        <f>IFERROR(VLOOKUP(category_assignment_2[[#This Row],[category_id]],#REF!,3,FALSE),"")</f>
        <v/>
      </c>
      <c r="C1069" s="23" t="str">
        <f>IFERROR(VLOOKUP(category_assignment_2[[#This Row],[abbreviation_id]],abbreviation[],ColumnLanguage+1,FALSE),"")</f>
        <v/>
      </c>
      <c r="D1069" s="23"/>
      <c r="E1069" s="23"/>
      <c r="F1069" s="23"/>
      <c r="G1069" s="23"/>
      <c r="H1069" s="23"/>
      <c r="I1069" s="23"/>
      <c r="J1069" s="23"/>
      <c r="K1069" s="23"/>
    </row>
    <row r="1070" spans="1:11" x14ac:dyDescent="0.25">
      <c r="A1070" s="4" t="str">
        <f>IFERROR(category_assignment_2[[#This Row],[category_assignment_id]],"")</f>
        <v/>
      </c>
      <c r="B1070" s="23" t="str">
        <f>IFERROR(VLOOKUP(category_assignment_2[[#This Row],[category_id]],#REF!,3,FALSE),"")</f>
        <v/>
      </c>
      <c r="C1070" s="23" t="str">
        <f>IFERROR(VLOOKUP(category_assignment_2[[#This Row],[abbreviation_id]],abbreviation[],ColumnLanguage+1,FALSE),"")</f>
        <v/>
      </c>
      <c r="D1070" s="23"/>
      <c r="E1070" s="23"/>
      <c r="F1070" s="23"/>
      <c r="G1070" s="23"/>
      <c r="H1070" s="23"/>
      <c r="I1070" s="23"/>
      <c r="J1070" s="23"/>
      <c r="K1070" s="23"/>
    </row>
    <row r="1071" spans="1:11" x14ac:dyDescent="0.25">
      <c r="A1071" s="4" t="str">
        <f>IFERROR(category_assignment_2[[#This Row],[category_assignment_id]],"")</f>
        <v/>
      </c>
      <c r="B1071" s="23" t="str">
        <f>IFERROR(VLOOKUP(category_assignment_2[[#This Row],[category_id]],#REF!,3,FALSE),"")</f>
        <v/>
      </c>
      <c r="C1071" s="23" t="str">
        <f>IFERROR(VLOOKUP(category_assignment_2[[#This Row],[abbreviation_id]],abbreviation[],ColumnLanguage+1,FALSE),"")</f>
        <v/>
      </c>
      <c r="D1071" s="23"/>
      <c r="E1071" s="23"/>
      <c r="F1071" s="23"/>
      <c r="G1071" s="23"/>
      <c r="H1071" s="23"/>
      <c r="I1071" s="23"/>
      <c r="J1071" s="23"/>
      <c r="K1071" s="23"/>
    </row>
    <row r="1072" spans="1:11" x14ac:dyDescent="0.25">
      <c r="A1072" s="4" t="str">
        <f>IFERROR(category_assignment_2[[#This Row],[category_assignment_id]],"")</f>
        <v/>
      </c>
      <c r="B1072" s="23" t="str">
        <f>IFERROR(VLOOKUP(category_assignment_2[[#This Row],[category_id]],#REF!,3,FALSE),"")</f>
        <v/>
      </c>
      <c r="C1072" s="23" t="str">
        <f>IFERROR(VLOOKUP(category_assignment_2[[#This Row],[abbreviation_id]],abbreviation[],ColumnLanguage+1,FALSE),"")</f>
        <v/>
      </c>
      <c r="D1072" s="23"/>
      <c r="E1072" s="23"/>
      <c r="F1072" s="23"/>
      <c r="G1072" s="23"/>
      <c r="H1072" s="23"/>
      <c r="I1072" s="23"/>
      <c r="J1072" s="23"/>
      <c r="K1072" s="23"/>
    </row>
    <row r="1073" spans="1:11" x14ac:dyDescent="0.25">
      <c r="A1073" s="4" t="str">
        <f>IFERROR(category_assignment_2[[#This Row],[category_assignment_id]],"")</f>
        <v/>
      </c>
      <c r="B1073" s="23" t="str">
        <f>IFERROR(VLOOKUP(category_assignment_2[[#This Row],[category_id]],#REF!,3,FALSE),"")</f>
        <v/>
      </c>
      <c r="C1073" s="23" t="str">
        <f>IFERROR(VLOOKUP(category_assignment_2[[#This Row],[abbreviation_id]],abbreviation[],ColumnLanguage+1,FALSE),"")</f>
        <v/>
      </c>
      <c r="D1073" s="23"/>
      <c r="E1073" s="23"/>
      <c r="F1073" s="23"/>
      <c r="G1073" s="23"/>
      <c r="H1073" s="23"/>
      <c r="I1073" s="23"/>
      <c r="J1073" s="23"/>
      <c r="K1073" s="23"/>
    </row>
    <row r="1074" spans="1:11" x14ac:dyDescent="0.25">
      <c r="A1074" s="4" t="str">
        <f>IFERROR(category_assignment_2[[#This Row],[category_assignment_id]],"")</f>
        <v/>
      </c>
      <c r="B1074" s="23" t="str">
        <f>IFERROR(VLOOKUP(category_assignment_2[[#This Row],[category_id]],#REF!,3,FALSE),"")</f>
        <v/>
      </c>
      <c r="C1074" s="23" t="str">
        <f>IFERROR(VLOOKUP(category_assignment_2[[#This Row],[abbreviation_id]],abbreviation[],ColumnLanguage+1,FALSE),"")</f>
        <v/>
      </c>
      <c r="D1074" s="23"/>
      <c r="E1074" s="23"/>
      <c r="F1074" s="23"/>
      <c r="G1074" s="23"/>
      <c r="H1074" s="23"/>
      <c r="I1074" s="23"/>
      <c r="J1074" s="23"/>
      <c r="K1074" s="23"/>
    </row>
    <row r="1075" spans="1:11" x14ac:dyDescent="0.25">
      <c r="A1075" s="4" t="str">
        <f>IFERROR(category_assignment_2[[#This Row],[category_assignment_id]],"")</f>
        <v/>
      </c>
      <c r="B1075" s="23" t="str">
        <f>IFERROR(VLOOKUP(category_assignment_2[[#This Row],[category_id]],#REF!,3,FALSE),"")</f>
        <v/>
      </c>
      <c r="C1075" s="23" t="str">
        <f>IFERROR(VLOOKUP(category_assignment_2[[#This Row],[abbreviation_id]],abbreviation[],ColumnLanguage+1,FALSE),"")</f>
        <v/>
      </c>
      <c r="D1075" s="23"/>
      <c r="E1075" s="23"/>
      <c r="F1075" s="23"/>
      <c r="G1075" s="23"/>
      <c r="H1075" s="23"/>
      <c r="I1075" s="23"/>
      <c r="J1075" s="23"/>
      <c r="K1075" s="23"/>
    </row>
    <row r="1076" spans="1:11" x14ac:dyDescent="0.25">
      <c r="A1076" s="4" t="str">
        <f>IFERROR(category_assignment_2[[#This Row],[category_assignment_id]],"")</f>
        <v/>
      </c>
      <c r="B1076" s="23" t="str">
        <f>IFERROR(VLOOKUP(category_assignment_2[[#This Row],[category_id]],#REF!,3,FALSE),"")</f>
        <v/>
      </c>
      <c r="C1076" s="23" t="str">
        <f>IFERROR(VLOOKUP(category_assignment_2[[#This Row],[abbreviation_id]],abbreviation[],ColumnLanguage+1,FALSE),"")</f>
        <v/>
      </c>
      <c r="D1076" s="23"/>
      <c r="E1076" s="23"/>
      <c r="F1076" s="23"/>
      <c r="G1076" s="23"/>
      <c r="H1076" s="23"/>
      <c r="I1076" s="23"/>
      <c r="J1076" s="23"/>
      <c r="K1076" s="23"/>
    </row>
    <row r="1077" spans="1:11" x14ac:dyDescent="0.25">
      <c r="A1077" s="4" t="str">
        <f>IFERROR(category_assignment_2[[#This Row],[category_assignment_id]],"")</f>
        <v/>
      </c>
      <c r="B1077" s="23" t="str">
        <f>IFERROR(VLOOKUP(category_assignment_2[[#This Row],[category_id]],#REF!,3,FALSE),"")</f>
        <v/>
      </c>
      <c r="C1077" s="23" t="str">
        <f>IFERROR(VLOOKUP(category_assignment_2[[#This Row],[abbreviation_id]],abbreviation[],ColumnLanguage+1,FALSE),"")</f>
        <v/>
      </c>
      <c r="D1077" s="23"/>
      <c r="E1077" s="23"/>
      <c r="F1077" s="23"/>
      <c r="G1077" s="23"/>
      <c r="H1077" s="23"/>
      <c r="I1077" s="23"/>
      <c r="J1077" s="23"/>
      <c r="K1077" s="23"/>
    </row>
    <row r="1078" spans="1:11" x14ac:dyDescent="0.25">
      <c r="A1078" s="4" t="str">
        <f>IFERROR(category_assignment_2[[#This Row],[category_assignment_id]],"")</f>
        <v/>
      </c>
      <c r="B1078" s="23" t="str">
        <f>IFERROR(VLOOKUP(category_assignment_2[[#This Row],[category_id]],#REF!,3,FALSE),"")</f>
        <v/>
      </c>
      <c r="C1078" s="23" t="str">
        <f>IFERROR(VLOOKUP(category_assignment_2[[#This Row],[abbreviation_id]],abbreviation[],ColumnLanguage+1,FALSE),"")</f>
        <v/>
      </c>
      <c r="D1078" s="23"/>
      <c r="E1078" s="23"/>
      <c r="F1078" s="23"/>
      <c r="G1078" s="23"/>
      <c r="H1078" s="23"/>
      <c r="I1078" s="23"/>
      <c r="J1078" s="23"/>
      <c r="K1078" s="23"/>
    </row>
    <row r="1079" spans="1:11" x14ac:dyDescent="0.25">
      <c r="A1079" s="4" t="str">
        <f>IFERROR(category_assignment_2[[#This Row],[category_assignment_id]],"")</f>
        <v/>
      </c>
      <c r="B1079" s="23" t="str">
        <f>IFERROR(VLOOKUP(category_assignment_2[[#This Row],[category_id]],#REF!,3,FALSE),"")</f>
        <v/>
      </c>
      <c r="C1079" s="23" t="str">
        <f>IFERROR(VLOOKUP(category_assignment_2[[#This Row],[abbreviation_id]],abbreviation[],ColumnLanguage+1,FALSE),"")</f>
        <v/>
      </c>
      <c r="D1079" s="23"/>
      <c r="E1079" s="23"/>
      <c r="F1079" s="23"/>
      <c r="G1079" s="23"/>
      <c r="H1079" s="23"/>
      <c r="I1079" s="23"/>
      <c r="J1079" s="23"/>
      <c r="K1079" s="23"/>
    </row>
    <row r="1080" spans="1:11" x14ac:dyDescent="0.25">
      <c r="A1080" s="4" t="str">
        <f>IFERROR(category_assignment_2[[#This Row],[category_assignment_id]],"")</f>
        <v/>
      </c>
      <c r="B1080" s="23" t="str">
        <f>IFERROR(VLOOKUP(category_assignment_2[[#This Row],[category_id]],#REF!,3,FALSE),"")</f>
        <v/>
      </c>
      <c r="C1080" s="23" t="str">
        <f>IFERROR(VLOOKUP(category_assignment_2[[#This Row],[abbreviation_id]],abbreviation[],ColumnLanguage+1,FALSE),"")</f>
        <v/>
      </c>
      <c r="D1080" s="23"/>
      <c r="E1080" s="23"/>
      <c r="F1080" s="23"/>
      <c r="G1080" s="23"/>
      <c r="H1080" s="23"/>
      <c r="I1080" s="23"/>
      <c r="J1080" s="23"/>
      <c r="K1080" s="23"/>
    </row>
    <row r="1081" spans="1:11" x14ac:dyDescent="0.25">
      <c r="A1081" s="4" t="str">
        <f>IFERROR(category_assignment_2[[#This Row],[category_assignment_id]],"")</f>
        <v/>
      </c>
      <c r="B1081" s="23" t="str">
        <f>IFERROR(VLOOKUP(category_assignment_2[[#This Row],[category_id]],#REF!,3,FALSE),"")</f>
        <v/>
      </c>
      <c r="C1081" s="23" t="str">
        <f>IFERROR(VLOOKUP(category_assignment_2[[#This Row],[abbreviation_id]],abbreviation[],ColumnLanguage+1,FALSE),"")</f>
        <v/>
      </c>
      <c r="D1081" s="23"/>
      <c r="E1081" s="23"/>
      <c r="F1081" s="23"/>
      <c r="G1081" s="23"/>
      <c r="H1081" s="23"/>
      <c r="I1081" s="23"/>
      <c r="J1081" s="23"/>
      <c r="K1081" s="23"/>
    </row>
    <row r="1082" spans="1:11" x14ac:dyDescent="0.25">
      <c r="A1082" s="4" t="str">
        <f>IFERROR(category_assignment_2[[#This Row],[category_assignment_id]],"")</f>
        <v/>
      </c>
      <c r="B1082" s="23" t="str">
        <f>IFERROR(VLOOKUP(category_assignment_2[[#This Row],[category_id]],#REF!,3,FALSE),"")</f>
        <v/>
      </c>
      <c r="C1082" s="23" t="str">
        <f>IFERROR(VLOOKUP(category_assignment_2[[#This Row],[abbreviation_id]],abbreviation[],ColumnLanguage+1,FALSE),"")</f>
        <v/>
      </c>
      <c r="D1082" s="23"/>
      <c r="E1082" s="23"/>
      <c r="F1082" s="23"/>
      <c r="G1082" s="23"/>
      <c r="H1082" s="23"/>
      <c r="I1082" s="23"/>
      <c r="J1082" s="23"/>
      <c r="K1082" s="23"/>
    </row>
    <row r="1083" spans="1:11" x14ac:dyDescent="0.25">
      <c r="A1083" s="4" t="str">
        <f>IFERROR(category_assignment_2[[#This Row],[category_assignment_id]],"")</f>
        <v/>
      </c>
      <c r="B1083" s="23" t="str">
        <f>IFERROR(VLOOKUP(category_assignment_2[[#This Row],[category_id]],#REF!,3,FALSE),"")</f>
        <v/>
      </c>
      <c r="C1083" s="23" t="str">
        <f>IFERROR(VLOOKUP(category_assignment_2[[#This Row],[abbreviation_id]],abbreviation[],ColumnLanguage+1,FALSE),"")</f>
        <v/>
      </c>
      <c r="D1083" s="23"/>
      <c r="E1083" s="23"/>
      <c r="F1083" s="23"/>
      <c r="G1083" s="23"/>
      <c r="H1083" s="23"/>
      <c r="I1083" s="23"/>
      <c r="J1083" s="23"/>
      <c r="K1083" s="23"/>
    </row>
    <row r="1084" spans="1:11" x14ac:dyDescent="0.25">
      <c r="A1084" s="4" t="str">
        <f>IFERROR(category_assignment_2[[#This Row],[category_assignment_id]],"")</f>
        <v/>
      </c>
      <c r="B1084" s="23" t="str">
        <f>IFERROR(VLOOKUP(category_assignment_2[[#This Row],[category_id]],#REF!,3,FALSE),"")</f>
        <v/>
      </c>
      <c r="C1084" s="23" t="str">
        <f>IFERROR(VLOOKUP(category_assignment_2[[#This Row],[abbreviation_id]],abbreviation[],ColumnLanguage+1,FALSE),"")</f>
        <v/>
      </c>
      <c r="D1084" s="23"/>
      <c r="E1084" s="23"/>
      <c r="F1084" s="23"/>
      <c r="G1084" s="23"/>
      <c r="H1084" s="23"/>
      <c r="I1084" s="23"/>
      <c r="J1084" s="23"/>
      <c r="K1084" s="23"/>
    </row>
    <row r="1085" spans="1:11" x14ac:dyDescent="0.25">
      <c r="A1085" s="4" t="str">
        <f>IFERROR(category_assignment_2[[#This Row],[category_assignment_id]],"")</f>
        <v/>
      </c>
      <c r="B1085" s="23" t="str">
        <f>IFERROR(VLOOKUP(category_assignment_2[[#This Row],[category_id]],#REF!,3,FALSE),"")</f>
        <v/>
      </c>
      <c r="C1085" s="23" t="str">
        <f>IFERROR(VLOOKUP(category_assignment_2[[#This Row],[abbreviation_id]],abbreviation[],ColumnLanguage+1,FALSE),"")</f>
        <v/>
      </c>
      <c r="D1085" s="23"/>
      <c r="E1085" s="23"/>
      <c r="F1085" s="23"/>
      <c r="G1085" s="23"/>
      <c r="H1085" s="23"/>
      <c r="I1085" s="23"/>
      <c r="J1085" s="23"/>
      <c r="K1085" s="23"/>
    </row>
    <row r="1086" spans="1:11" x14ac:dyDescent="0.25">
      <c r="A1086" s="4" t="str">
        <f>IFERROR(category_assignment_2[[#This Row],[category_assignment_id]],"")</f>
        <v/>
      </c>
      <c r="B1086" s="23" t="str">
        <f>IFERROR(VLOOKUP(category_assignment_2[[#This Row],[category_id]],#REF!,3,FALSE),"")</f>
        <v/>
      </c>
      <c r="C1086" s="23" t="str">
        <f>IFERROR(VLOOKUP(category_assignment_2[[#This Row],[abbreviation_id]],abbreviation[],ColumnLanguage+1,FALSE),"")</f>
        <v/>
      </c>
      <c r="D1086" s="23"/>
      <c r="E1086" s="23"/>
      <c r="F1086" s="23"/>
      <c r="G1086" s="23"/>
      <c r="H1086" s="23"/>
      <c r="I1086" s="23"/>
      <c r="J1086" s="23"/>
      <c r="K1086" s="23"/>
    </row>
    <row r="1087" spans="1:11" x14ac:dyDescent="0.25">
      <c r="A1087" s="4" t="str">
        <f>IFERROR(category_assignment_2[[#This Row],[category_assignment_id]],"")</f>
        <v/>
      </c>
      <c r="B1087" s="23" t="str">
        <f>IFERROR(VLOOKUP(category_assignment_2[[#This Row],[category_id]],#REF!,3,FALSE),"")</f>
        <v/>
      </c>
      <c r="C1087" s="23" t="str">
        <f>IFERROR(VLOOKUP(category_assignment_2[[#This Row],[abbreviation_id]],abbreviation[],ColumnLanguage+1,FALSE),"")</f>
        <v/>
      </c>
      <c r="D1087" s="23"/>
      <c r="E1087" s="23"/>
      <c r="F1087" s="23"/>
      <c r="G1087" s="23"/>
      <c r="H1087" s="23"/>
      <c r="I1087" s="23"/>
      <c r="J1087" s="23"/>
      <c r="K1087" s="23"/>
    </row>
    <row r="1088" spans="1:11" x14ac:dyDescent="0.25">
      <c r="A1088" s="4" t="str">
        <f>IFERROR(category_assignment_2[[#This Row],[category_assignment_id]],"")</f>
        <v/>
      </c>
      <c r="B1088" s="23" t="str">
        <f>IFERROR(VLOOKUP(category_assignment_2[[#This Row],[category_id]],#REF!,3,FALSE),"")</f>
        <v/>
      </c>
      <c r="C1088" s="23" t="str">
        <f>IFERROR(VLOOKUP(category_assignment_2[[#This Row],[abbreviation_id]],abbreviation[],ColumnLanguage+1,FALSE),"")</f>
        <v/>
      </c>
      <c r="D1088" s="23"/>
      <c r="E1088" s="23"/>
      <c r="F1088" s="23"/>
      <c r="G1088" s="23"/>
      <c r="H1088" s="23"/>
      <c r="I1088" s="23"/>
      <c r="J1088" s="23"/>
      <c r="K1088" s="23"/>
    </row>
    <row r="1089" spans="1:11" x14ac:dyDescent="0.25">
      <c r="A1089" s="4" t="str">
        <f>IFERROR(category_assignment_2[[#This Row],[category_assignment_id]],"")</f>
        <v/>
      </c>
      <c r="B1089" s="23" t="str">
        <f>IFERROR(VLOOKUP(category_assignment_2[[#This Row],[category_id]],#REF!,3,FALSE),"")</f>
        <v/>
      </c>
      <c r="C1089" s="23" t="str">
        <f>IFERROR(VLOOKUP(category_assignment_2[[#This Row],[abbreviation_id]],abbreviation[],ColumnLanguage+1,FALSE),"")</f>
        <v/>
      </c>
      <c r="D1089" s="23"/>
      <c r="E1089" s="23"/>
      <c r="F1089" s="23"/>
      <c r="G1089" s="23"/>
      <c r="H1089" s="23"/>
      <c r="I1089" s="23"/>
      <c r="J1089" s="23"/>
      <c r="K1089" s="23"/>
    </row>
    <row r="1090" spans="1:11" x14ac:dyDescent="0.25">
      <c r="A1090" s="4" t="str">
        <f>IFERROR(category_assignment_2[[#This Row],[category_assignment_id]],"")</f>
        <v/>
      </c>
      <c r="B1090" s="23" t="str">
        <f>IFERROR(VLOOKUP(category_assignment_2[[#This Row],[category_id]],#REF!,3,FALSE),"")</f>
        <v/>
      </c>
      <c r="C1090" s="23" t="str">
        <f>IFERROR(VLOOKUP(category_assignment_2[[#This Row],[abbreviation_id]],abbreviation[],ColumnLanguage+1,FALSE),"")</f>
        <v/>
      </c>
      <c r="D1090" s="23"/>
      <c r="E1090" s="23"/>
      <c r="F1090" s="23"/>
      <c r="G1090" s="23"/>
      <c r="H1090" s="23"/>
      <c r="I1090" s="23"/>
      <c r="J1090" s="23"/>
      <c r="K1090" s="23"/>
    </row>
    <row r="1091" spans="1:11" x14ac:dyDescent="0.25">
      <c r="A1091" s="4" t="str">
        <f>IFERROR(category_assignment_2[[#This Row],[category_assignment_id]],"")</f>
        <v/>
      </c>
      <c r="B1091" s="23" t="str">
        <f>IFERROR(VLOOKUP(category_assignment_2[[#This Row],[category_id]],#REF!,3,FALSE),"")</f>
        <v/>
      </c>
      <c r="C1091" s="23" t="str">
        <f>IFERROR(VLOOKUP(category_assignment_2[[#This Row],[abbreviation_id]],abbreviation[],ColumnLanguage+1,FALSE),"")</f>
        <v/>
      </c>
      <c r="D1091" s="23"/>
      <c r="E1091" s="23"/>
      <c r="F1091" s="23"/>
      <c r="G1091" s="23"/>
      <c r="H1091" s="23"/>
      <c r="I1091" s="23"/>
      <c r="J1091" s="23"/>
      <c r="K1091" s="23"/>
    </row>
    <row r="1092" spans="1:11" x14ac:dyDescent="0.25">
      <c r="A1092" s="4" t="str">
        <f>IFERROR(category_assignment_2[[#This Row],[category_assignment_id]],"")</f>
        <v/>
      </c>
      <c r="B1092" s="23" t="str">
        <f>IFERROR(VLOOKUP(category_assignment_2[[#This Row],[category_id]],#REF!,3,FALSE),"")</f>
        <v/>
      </c>
      <c r="C1092" s="23" t="str">
        <f>IFERROR(VLOOKUP(category_assignment_2[[#This Row],[abbreviation_id]],abbreviation[],ColumnLanguage+1,FALSE),"")</f>
        <v/>
      </c>
      <c r="D1092" s="23"/>
      <c r="E1092" s="23"/>
      <c r="F1092" s="23"/>
      <c r="G1092" s="23"/>
      <c r="H1092" s="23"/>
      <c r="I1092" s="23"/>
      <c r="J1092" s="23"/>
      <c r="K1092" s="23"/>
    </row>
    <row r="1093" spans="1:11" x14ac:dyDescent="0.25">
      <c r="A1093" s="4" t="str">
        <f>IFERROR(category_assignment_2[[#This Row],[category_assignment_id]],"")</f>
        <v/>
      </c>
      <c r="B1093" s="23" t="str">
        <f>IFERROR(VLOOKUP(category_assignment_2[[#This Row],[category_id]],#REF!,3,FALSE),"")</f>
        <v/>
      </c>
      <c r="C1093" s="23" t="str">
        <f>IFERROR(VLOOKUP(category_assignment_2[[#This Row],[abbreviation_id]],abbreviation[],ColumnLanguage+1,FALSE),"")</f>
        <v/>
      </c>
      <c r="D1093" s="23"/>
      <c r="E1093" s="23"/>
      <c r="F1093" s="23"/>
      <c r="G1093" s="23"/>
      <c r="H1093" s="23"/>
      <c r="I1093" s="23"/>
      <c r="J1093" s="23"/>
      <c r="K1093" s="23"/>
    </row>
    <row r="1094" spans="1:11" x14ac:dyDescent="0.25">
      <c r="A1094" s="4" t="str">
        <f>IFERROR(category_assignment_2[[#This Row],[category_assignment_id]],"")</f>
        <v/>
      </c>
      <c r="B1094" s="23" t="str">
        <f>IFERROR(VLOOKUP(category_assignment_2[[#This Row],[category_id]],#REF!,3,FALSE),"")</f>
        <v/>
      </c>
      <c r="C1094" s="23" t="str">
        <f>IFERROR(VLOOKUP(category_assignment_2[[#This Row],[abbreviation_id]],abbreviation[],ColumnLanguage+1,FALSE),"")</f>
        <v/>
      </c>
      <c r="D1094" s="23"/>
      <c r="E1094" s="23"/>
      <c r="F1094" s="23"/>
      <c r="G1094" s="23"/>
      <c r="H1094" s="23"/>
      <c r="I1094" s="23"/>
      <c r="J1094" s="23"/>
      <c r="K1094" s="23"/>
    </row>
    <row r="1095" spans="1:11" x14ac:dyDescent="0.25">
      <c r="A1095" s="4" t="str">
        <f>IFERROR(category_assignment_2[[#This Row],[category_assignment_id]],"")</f>
        <v/>
      </c>
      <c r="B1095" s="23" t="str">
        <f>IFERROR(VLOOKUP(category_assignment_2[[#This Row],[category_id]],#REF!,3,FALSE),"")</f>
        <v/>
      </c>
      <c r="C1095" s="23" t="str">
        <f>IFERROR(VLOOKUP(category_assignment_2[[#This Row],[abbreviation_id]],abbreviation[],ColumnLanguage+1,FALSE),"")</f>
        <v/>
      </c>
      <c r="D1095" s="23"/>
      <c r="E1095" s="23"/>
      <c r="F1095" s="23"/>
      <c r="G1095" s="23"/>
      <c r="H1095" s="23"/>
      <c r="I1095" s="23"/>
      <c r="J1095" s="23"/>
      <c r="K1095" s="23"/>
    </row>
    <row r="1096" spans="1:11" x14ac:dyDescent="0.25">
      <c r="A1096" s="4" t="str">
        <f>IFERROR(category_assignment_2[[#This Row],[category_assignment_id]],"")</f>
        <v/>
      </c>
      <c r="B1096" s="23" t="str">
        <f>IFERROR(VLOOKUP(category_assignment_2[[#This Row],[category_id]],#REF!,3,FALSE),"")</f>
        <v/>
      </c>
      <c r="C1096" s="23" t="str">
        <f>IFERROR(VLOOKUP(category_assignment_2[[#This Row],[abbreviation_id]],abbreviation[],ColumnLanguage+1,FALSE),"")</f>
        <v/>
      </c>
      <c r="D1096" s="23"/>
      <c r="E1096" s="23"/>
      <c r="F1096" s="23"/>
      <c r="G1096" s="23"/>
      <c r="H1096" s="23"/>
      <c r="I1096" s="23"/>
      <c r="J1096" s="23"/>
      <c r="K1096" s="23"/>
    </row>
    <row r="1097" spans="1:11" x14ac:dyDescent="0.25">
      <c r="A1097" s="4" t="str">
        <f>IFERROR(category_assignment_2[[#This Row],[category_assignment_id]],"")</f>
        <v/>
      </c>
      <c r="B1097" s="23" t="str">
        <f>IFERROR(VLOOKUP(category_assignment_2[[#This Row],[category_id]],#REF!,3,FALSE),"")</f>
        <v/>
      </c>
      <c r="C1097" s="23" t="str">
        <f>IFERROR(VLOOKUP(category_assignment_2[[#This Row],[abbreviation_id]],abbreviation[],ColumnLanguage+1,FALSE),"")</f>
        <v/>
      </c>
      <c r="D1097" s="23"/>
      <c r="E1097" s="23"/>
      <c r="F1097" s="23"/>
      <c r="G1097" s="23"/>
      <c r="H1097" s="23"/>
      <c r="I1097" s="23"/>
      <c r="J1097" s="23"/>
      <c r="K1097" s="23"/>
    </row>
    <row r="1098" spans="1:11" x14ac:dyDescent="0.25">
      <c r="A1098" s="4" t="str">
        <f>IFERROR(category_assignment_2[[#This Row],[category_assignment_id]],"")</f>
        <v/>
      </c>
      <c r="B1098" s="23" t="str">
        <f>IFERROR(VLOOKUP(category_assignment_2[[#This Row],[category_id]],#REF!,3,FALSE),"")</f>
        <v/>
      </c>
      <c r="C1098" s="23" t="str">
        <f>IFERROR(VLOOKUP(category_assignment_2[[#This Row],[abbreviation_id]],abbreviation[],ColumnLanguage+1,FALSE),"")</f>
        <v/>
      </c>
      <c r="D1098" s="23"/>
      <c r="E1098" s="23"/>
      <c r="F1098" s="23"/>
      <c r="G1098" s="23"/>
      <c r="H1098" s="23"/>
      <c r="I1098" s="23"/>
      <c r="J1098" s="23"/>
      <c r="K1098" s="23"/>
    </row>
    <row r="1099" spans="1:11" x14ac:dyDescent="0.25">
      <c r="A1099" s="4" t="str">
        <f>IFERROR(category_assignment_2[[#This Row],[category_assignment_id]],"")</f>
        <v/>
      </c>
      <c r="B1099" s="23" t="str">
        <f>IFERROR(VLOOKUP(category_assignment_2[[#This Row],[category_id]],#REF!,3,FALSE),"")</f>
        <v/>
      </c>
      <c r="C1099" s="23" t="str">
        <f>IFERROR(VLOOKUP(category_assignment_2[[#This Row],[abbreviation_id]],abbreviation[],ColumnLanguage+1,FALSE),"")</f>
        <v/>
      </c>
      <c r="D1099" s="23"/>
      <c r="E1099" s="23"/>
      <c r="F1099" s="23"/>
      <c r="G1099" s="23"/>
      <c r="H1099" s="23"/>
      <c r="I1099" s="23"/>
      <c r="J1099" s="23"/>
      <c r="K1099" s="23"/>
    </row>
    <row r="1100" spans="1:11" x14ac:dyDescent="0.25">
      <c r="A1100" s="4" t="str">
        <f>IFERROR(category_assignment_2[[#This Row],[category_assignment_id]],"")</f>
        <v/>
      </c>
      <c r="B1100" s="23" t="str">
        <f>IFERROR(VLOOKUP(category_assignment_2[[#This Row],[category_id]],#REF!,3,FALSE),"")</f>
        <v/>
      </c>
      <c r="C1100" s="23" t="str">
        <f>IFERROR(VLOOKUP(category_assignment_2[[#This Row],[abbreviation_id]],abbreviation[],ColumnLanguage+1,FALSE),"")</f>
        <v/>
      </c>
      <c r="D1100" s="23"/>
      <c r="E1100" s="23"/>
      <c r="F1100" s="23"/>
      <c r="G1100" s="23"/>
      <c r="H1100" s="23"/>
      <c r="I1100" s="23"/>
      <c r="J1100" s="23"/>
      <c r="K1100" s="23"/>
    </row>
    <row r="1101" spans="1:11" x14ac:dyDescent="0.25">
      <c r="A1101" s="4" t="str">
        <f>IFERROR(category_assignment_2[[#This Row],[category_assignment_id]],"")</f>
        <v/>
      </c>
      <c r="B1101" s="23" t="str">
        <f>IFERROR(VLOOKUP(category_assignment_2[[#This Row],[category_id]],#REF!,3,FALSE),"")</f>
        <v/>
      </c>
      <c r="C1101" s="23" t="str">
        <f>IFERROR(VLOOKUP(category_assignment_2[[#This Row],[abbreviation_id]],abbreviation[],ColumnLanguage+1,FALSE),"")</f>
        <v/>
      </c>
      <c r="D1101" s="23"/>
      <c r="E1101" s="23"/>
      <c r="F1101" s="23"/>
      <c r="G1101" s="23"/>
      <c r="H1101" s="23"/>
      <c r="I1101" s="23"/>
      <c r="J1101" s="23"/>
      <c r="K1101" s="23"/>
    </row>
    <row r="1102" spans="1:11" x14ac:dyDescent="0.25">
      <c r="A1102" s="4" t="str">
        <f>IFERROR(category_assignment_2[[#This Row],[category_assignment_id]],"")</f>
        <v/>
      </c>
      <c r="B1102" s="23" t="str">
        <f>IFERROR(VLOOKUP(category_assignment_2[[#This Row],[category_id]],#REF!,3,FALSE),"")</f>
        <v/>
      </c>
      <c r="C1102" s="23" t="str">
        <f>IFERROR(VLOOKUP(category_assignment_2[[#This Row],[abbreviation_id]],abbreviation[],ColumnLanguage+1,FALSE),"")</f>
        <v/>
      </c>
      <c r="D1102" s="23"/>
      <c r="E1102" s="23"/>
      <c r="F1102" s="23"/>
      <c r="G1102" s="23"/>
      <c r="H1102" s="23"/>
      <c r="I1102" s="23"/>
      <c r="J1102" s="23"/>
      <c r="K1102" s="23"/>
    </row>
    <row r="1103" spans="1:11" x14ac:dyDescent="0.25">
      <c r="A1103" s="4" t="str">
        <f>IFERROR(category_assignment_2[[#This Row],[category_assignment_id]],"")</f>
        <v/>
      </c>
      <c r="B1103" s="23" t="str">
        <f>IFERROR(VLOOKUP(category_assignment_2[[#This Row],[category_id]],#REF!,3,FALSE),"")</f>
        <v/>
      </c>
      <c r="C1103" s="23" t="str">
        <f>IFERROR(VLOOKUP(category_assignment_2[[#This Row],[abbreviation_id]],abbreviation[],ColumnLanguage+1,FALSE),"")</f>
        <v/>
      </c>
      <c r="D1103" s="23"/>
      <c r="E1103" s="23"/>
      <c r="F1103" s="23"/>
      <c r="G1103" s="23"/>
      <c r="H1103" s="23"/>
      <c r="I1103" s="23"/>
      <c r="J1103" s="23"/>
      <c r="K1103" s="23"/>
    </row>
    <row r="1104" spans="1:11" x14ac:dyDescent="0.25">
      <c r="A1104" s="4" t="str">
        <f>IFERROR(category_assignment_2[[#This Row],[category_assignment_id]],"")</f>
        <v/>
      </c>
      <c r="B1104" s="23" t="str">
        <f>IFERROR(VLOOKUP(category_assignment_2[[#This Row],[category_id]],#REF!,3,FALSE),"")</f>
        <v/>
      </c>
      <c r="C1104" s="23" t="str">
        <f>IFERROR(VLOOKUP(category_assignment_2[[#This Row],[abbreviation_id]],abbreviation[],ColumnLanguage+1,FALSE),"")</f>
        <v/>
      </c>
      <c r="D1104" s="23"/>
      <c r="E1104" s="23"/>
      <c r="F1104" s="23"/>
      <c r="G1104" s="23"/>
      <c r="H1104" s="23"/>
      <c r="I1104" s="23"/>
      <c r="J1104" s="23"/>
      <c r="K1104" s="23"/>
    </row>
    <row r="1105" spans="1:11" x14ac:dyDescent="0.25">
      <c r="A1105" s="4" t="str">
        <f>IFERROR(category_assignment_2[[#This Row],[category_assignment_id]],"")</f>
        <v/>
      </c>
      <c r="B1105" s="23" t="str">
        <f>IFERROR(VLOOKUP(category_assignment_2[[#This Row],[category_id]],#REF!,3,FALSE),"")</f>
        <v/>
      </c>
      <c r="C1105" s="23" t="str">
        <f>IFERROR(VLOOKUP(category_assignment_2[[#This Row],[abbreviation_id]],abbreviation[],ColumnLanguage+1,FALSE),"")</f>
        <v/>
      </c>
      <c r="D1105" s="23"/>
      <c r="E1105" s="23"/>
      <c r="F1105" s="23"/>
      <c r="G1105" s="23"/>
      <c r="H1105" s="23"/>
      <c r="I1105" s="23"/>
      <c r="J1105" s="23"/>
      <c r="K1105" s="23"/>
    </row>
    <row r="1106" spans="1:11" x14ac:dyDescent="0.25">
      <c r="A1106" s="4" t="str">
        <f>IFERROR(category_assignment_2[[#This Row],[category_assignment_id]],"")</f>
        <v/>
      </c>
      <c r="B1106" s="23" t="str">
        <f>IFERROR(VLOOKUP(category_assignment_2[[#This Row],[category_id]],#REF!,3,FALSE),"")</f>
        <v/>
      </c>
      <c r="C1106" s="23" t="str">
        <f>IFERROR(VLOOKUP(category_assignment_2[[#This Row],[abbreviation_id]],abbreviation[],ColumnLanguage+1,FALSE),"")</f>
        <v/>
      </c>
      <c r="D1106" s="23"/>
      <c r="E1106" s="23"/>
      <c r="F1106" s="23"/>
      <c r="G1106" s="23"/>
      <c r="H1106" s="23"/>
      <c r="I1106" s="23"/>
      <c r="J1106" s="23"/>
      <c r="K1106" s="23"/>
    </row>
    <row r="1107" spans="1:11" x14ac:dyDescent="0.25">
      <c r="A1107" s="4" t="str">
        <f>IFERROR(category_assignment_2[[#This Row],[category_assignment_id]],"")</f>
        <v/>
      </c>
      <c r="B1107" s="23" t="str">
        <f>IFERROR(VLOOKUP(category_assignment_2[[#This Row],[category_id]],#REF!,3,FALSE),"")</f>
        <v/>
      </c>
      <c r="C1107" s="23" t="str">
        <f>IFERROR(VLOOKUP(category_assignment_2[[#This Row],[abbreviation_id]],abbreviation[],ColumnLanguage+1,FALSE),"")</f>
        <v/>
      </c>
      <c r="D1107" s="23"/>
      <c r="E1107" s="23"/>
      <c r="F1107" s="23"/>
      <c r="G1107" s="23"/>
      <c r="H1107" s="23"/>
      <c r="I1107" s="23"/>
      <c r="J1107" s="23"/>
      <c r="K1107" s="23"/>
    </row>
    <row r="1108" spans="1:11" x14ac:dyDescent="0.25">
      <c r="A1108" s="4" t="str">
        <f>IFERROR(category_assignment_2[[#This Row],[category_assignment_id]],"")</f>
        <v/>
      </c>
      <c r="B1108" s="23" t="str">
        <f>IFERROR(VLOOKUP(category_assignment_2[[#This Row],[category_id]],#REF!,3,FALSE),"")</f>
        <v/>
      </c>
      <c r="C1108" s="23" t="str">
        <f>IFERROR(VLOOKUP(category_assignment_2[[#This Row],[abbreviation_id]],abbreviation[],ColumnLanguage+1,FALSE),"")</f>
        <v/>
      </c>
      <c r="D1108" s="23"/>
      <c r="E1108" s="23"/>
      <c r="F1108" s="23"/>
      <c r="G1108" s="23"/>
      <c r="H1108" s="23"/>
      <c r="I1108" s="23"/>
      <c r="J1108" s="23"/>
      <c r="K1108" s="23"/>
    </row>
    <row r="1109" spans="1:11" x14ac:dyDescent="0.25">
      <c r="A1109" s="4" t="str">
        <f>IFERROR(category_assignment_2[[#This Row],[category_assignment_id]],"")</f>
        <v/>
      </c>
      <c r="B1109" s="23" t="str">
        <f>IFERROR(VLOOKUP(category_assignment_2[[#This Row],[category_id]],#REF!,3,FALSE),"")</f>
        <v/>
      </c>
      <c r="C1109" s="23" t="str">
        <f>IFERROR(VLOOKUP(category_assignment_2[[#This Row],[abbreviation_id]],abbreviation[],ColumnLanguage+1,FALSE),"")</f>
        <v/>
      </c>
      <c r="D1109" s="23"/>
      <c r="E1109" s="23"/>
      <c r="F1109" s="23"/>
      <c r="G1109" s="23"/>
      <c r="H1109" s="23"/>
      <c r="I1109" s="23"/>
      <c r="J1109" s="23"/>
      <c r="K1109" s="23"/>
    </row>
    <row r="1110" spans="1:11" x14ac:dyDescent="0.25">
      <c r="A1110" s="4" t="str">
        <f>IFERROR(category_assignment_2[[#This Row],[category_assignment_id]],"")</f>
        <v/>
      </c>
      <c r="B1110" s="23" t="str">
        <f>IFERROR(VLOOKUP(category_assignment_2[[#This Row],[category_id]],#REF!,3,FALSE),"")</f>
        <v/>
      </c>
      <c r="C1110" s="23" t="str">
        <f>IFERROR(VLOOKUP(category_assignment_2[[#This Row],[abbreviation_id]],abbreviation[],ColumnLanguage+1,FALSE),"")</f>
        <v/>
      </c>
      <c r="D1110" s="23"/>
      <c r="E1110" s="23"/>
      <c r="F1110" s="23"/>
      <c r="G1110" s="23"/>
      <c r="H1110" s="23"/>
      <c r="I1110" s="23"/>
      <c r="J1110" s="23"/>
      <c r="K1110" s="23"/>
    </row>
    <row r="1111" spans="1:11" x14ac:dyDescent="0.25">
      <c r="A1111" s="4" t="str">
        <f>IFERROR(category_assignment_2[[#This Row],[category_assignment_id]],"")</f>
        <v/>
      </c>
      <c r="B1111" s="23" t="str">
        <f>IFERROR(VLOOKUP(category_assignment_2[[#This Row],[category_id]],#REF!,3,FALSE),"")</f>
        <v/>
      </c>
      <c r="C1111" s="23" t="str">
        <f>IFERROR(VLOOKUP(category_assignment_2[[#This Row],[abbreviation_id]],abbreviation[],ColumnLanguage+1,FALSE),"")</f>
        <v/>
      </c>
      <c r="D1111" s="23"/>
      <c r="E1111" s="23"/>
      <c r="F1111" s="23"/>
      <c r="G1111" s="23"/>
      <c r="H1111" s="23"/>
      <c r="I1111" s="23"/>
      <c r="J1111" s="23"/>
      <c r="K1111" s="23"/>
    </row>
    <row r="1112" spans="1:11" x14ac:dyDescent="0.25">
      <c r="A1112" s="4" t="str">
        <f>IFERROR(category_assignment_2[[#This Row],[category_assignment_id]],"")</f>
        <v/>
      </c>
      <c r="B1112" s="23" t="str">
        <f>IFERROR(VLOOKUP(category_assignment_2[[#This Row],[category_id]],#REF!,3,FALSE),"")</f>
        <v/>
      </c>
      <c r="C1112" s="23" t="str">
        <f>IFERROR(VLOOKUP(category_assignment_2[[#This Row],[abbreviation_id]],abbreviation[],ColumnLanguage+1,FALSE),"")</f>
        <v/>
      </c>
      <c r="D1112" s="23"/>
      <c r="E1112" s="23"/>
      <c r="F1112" s="23"/>
      <c r="G1112" s="23"/>
      <c r="H1112" s="23"/>
      <c r="I1112" s="23"/>
      <c r="J1112" s="23"/>
      <c r="K1112" s="23"/>
    </row>
    <row r="1113" spans="1:11" x14ac:dyDescent="0.25">
      <c r="A1113" s="4" t="str">
        <f>IFERROR(category_assignment_2[[#This Row],[category_assignment_id]],"")</f>
        <v/>
      </c>
      <c r="B1113" s="23" t="str">
        <f>IFERROR(VLOOKUP(category_assignment_2[[#This Row],[category_id]],#REF!,3,FALSE),"")</f>
        <v/>
      </c>
      <c r="C1113" s="23" t="str">
        <f>IFERROR(VLOOKUP(category_assignment_2[[#This Row],[abbreviation_id]],abbreviation[],ColumnLanguage+1,FALSE),"")</f>
        <v/>
      </c>
      <c r="D1113" s="23"/>
      <c r="E1113" s="23"/>
      <c r="F1113" s="23"/>
      <c r="G1113" s="23"/>
      <c r="H1113" s="23"/>
      <c r="I1113" s="23"/>
      <c r="J1113" s="23"/>
      <c r="K1113" s="23"/>
    </row>
    <row r="1114" spans="1:11" x14ac:dyDescent="0.25">
      <c r="A1114" s="4" t="str">
        <f>IFERROR(category_assignment_2[[#This Row],[category_assignment_id]],"")</f>
        <v/>
      </c>
      <c r="B1114" s="23" t="str">
        <f>IFERROR(VLOOKUP(category_assignment_2[[#This Row],[category_id]],#REF!,3,FALSE),"")</f>
        <v/>
      </c>
      <c r="C1114" s="23" t="str">
        <f>IFERROR(VLOOKUP(category_assignment_2[[#This Row],[abbreviation_id]],abbreviation[],ColumnLanguage+1,FALSE),"")</f>
        <v/>
      </c>
      <c r="D1114" s="23"/>
      <c r="E1114" s="23"/>
      <c r="F1114" s="23"/>
      <c r="G1114" s="23"/>
      <c r="H1114" s="23"/>
      <c r="I1114" s="23"/>
      <c r="J1114" s="23"/>
      <c r="K1114" s="23"/>
    </row>
    <row r="1115" spans="1:11" x14ac:dyDescent="0.25">
      <c r="A1115" s="4" t="str">
        <f>IFERROR(category_assignment_2[[#This Row],[category_assignment_id]],"")</f>
        <v/>
      </c>
      <c r="B1115" s="23" t="str">
        <f>IFERROR(VLOOKUP(category_assignment_2[[#This Row],[category_id]],#REF!,3,FALSE),"")</f>
        <v/>
      </c>
      <c r="C1115" s="23" t="str">
        <f>IFERROR(VLOOKUP(category_assignment_2[[#This Row],[abbreviation_id]],abbreviation[],ColumnLanguage+1,FALSE),"")</f>
        <v/>
      </c>
      <c r="D1115" s="23"/>
      <c r="E1115" s="23"/>
      <c r="F1115" s="23"/>
      <c r="G1115" s="23"/>
      <c r="H1115" s="23"/>
      <c r="I1115" s="23"/>
      <c r="J1115" s="23"/>
      <c r="K1115" s="23"/>
    </row>
    <row r="1116" spans="1:11" x14ac:dyDescent="0.25">
      <c r="A1116" s="4" t="str">
        <f>IFERROR(category_assignment_2[[#This Row],[category_assignment_id]],"")</f>
        <v/>
      </c>
      <c r="B1116" s="23" t="str">
        <f>IFERROR(VLOOKUP(category_assignment_2[[#This Row],[category_id]],#REF!,3,FALSE),"")</f>
        <v/>
      </c>
      <c r="C1116" s="23" t="str">
        <f>IFERROR(VLOOKUP(category_assignment_2[[#This Row],[abbreviation_id]],abbreviation[],ColumnLanguage+1,FALSE),"")</f>
        <v/>
      </c>
      <c r="D1116" s="23"/>
      <c r="E1116" s="23"/>
      <c r="F1116" s="23"/>
      <c r="G1116" s="23"/>
      <c r="H1116" s="23"/>
      <c r="I1116" s="23"/>
      <c r="J1116" s="23"/>
      <c r="K1116" s="23"/>
    </row>
    <row r="1117" spans="1:11" x14ac:dyDescent="0.25">
      <c r="A1117" s="4" t="str">
        <f>IFERROR(category_assignment_2[[#This Row],[category_assignment_id]],"")</f>
        <v/>
      </c>
      <c r="B1117" s="23" t="str">
        <f>IFERROR(VLOOKUP(category_assignment_2[[#This Row],[category_id]],#REF!,3,FALSE),"")</f>
        <v/>
      </c>
      <c r="C1117" s="23" t="str">
        <f>IFERROR(VLOOKUP(category_assignment_2[[#This Row],[abbreviation_id]],abbreviation[],ColumnLanguage+1,FALSE),"")</f>
        <v/>
      </c>
      <c r="D1117" s="23"/>
      <c r="E1117" s="23"/>
      <c r="F1117" s="23"/>
      <c r="G1117" s="23"/>
      <c r="H1117" s="23"/>
      <c r="I1117" s="23"/>
      <c r="J1117" s="23"/>
      <c r="K1117" s="23"/>
    </row>
    <row r="1118" spans="1:11" x14ac:dyDescent="0.25">
      <c r="A1118" s="4" t="str">
        <f>IFERROR(category_assignment_2[[#This Row],[category_assignment_id]],"")</f>
        <v/>
      </c>
      <c r="B1118" s="23" t="str">
        <f>IFERROR(VLOOKUP(category_assignment_2[[#This Row],[category_id]],#REF!,3,FALSE),"")</f>
        <v/>
      </c>
      <c r="C1118" s="23" t="str">
        <f>IFERROR(VLOOKUP(category_assignment_2[[#This Row],[abbreviation_id]],abbreviation[],ColumnLanguage+1,FALSE),"")</f>
        <v/>
      </c>
      <c r="D1118" s="23"/>
      <c r="E1118" s="23"/>
      <c r="F1118" s="23"/>
      <c r="G1118" s="23"/>
      <c r="H1118" s="23"/>
      <c r="I1118" s="23"/>
      <c r="J1118" s="23"/>
      <c r="K1118" s="23"/>
    </row>
    <row r="1119" spans="1:11" x14ac:dyDescent="0.25">
      <c r="A1119" s="4" t="str">
        <f>IFERROR(category_assignment_2[[#This Row],[category_assignment_id]],"")</f>
        <v/>
      </c>
      <c r="B1119" s="23" t="str">
        <f>IFERROR(VLOOKUP(category_assignment_2[[#This Row],[category_id]],#REF!,3,FALSE),"")</f>
        <v/>
      </c>
      <c r="C1119" s="23" t="str">
        <f>IFERROR(VLOOKUP(category_assignment_2[[#This Row],[abbreviation_id]],abbreviation[],ColumnLanguage+1,FALSE),"")</f>
        <v/>
      </c>
      <c r="D1119" s="23"/>
      <c r="E1119" s="23"/>
      <c r="F1119" s="23"/>
      <c r="G1119" s="23"/>
      <c r="H1119" s="23"/>
      <c r="I1119" s="23"/>
      <c r="J1119" s="23"/>
      <c r="K1119" s="23"/>
    </row>
    <row r="1120" spans="1:11" x14ac:dyDescent="0.25">
      <c r="A1120" s="4" t="str">
        <f>IFERROR(category_assignment_2[[#This Row],[category_assignment_id]],"")</f>
        <v/>
      </c>
      <c r="B1120" s="23" t="str">
        <f>IFERROR(VLOOKUP(category_assignment_2[[#This Row],[category_id]],#REF!,3,FALSE),"")</f>
        <v/>
      </c>
      <c r="C1120" s="23" t="str">
        <f>IFERROR(VLOOKUP(category_assignment_2[[#This Row],[abbreviation_id]],abbreviation[],ColumnLanguage+1,FALSE),"")</f>
        <v/>
      </c>
      <c r="D1120" s="23"/>
      <c r="E1120" s="23"/>
      <c r="F1120" s="23"/>
      <c r="G1120" s="23"/>
      <c r="H1120" s="23"/>
      <c r="I1120" s="23"/>
      <c r="J1120" s="23"/>
      <c r="K1120" s="23"/>
    </row>
    <row r="1121" spans="1:11" x14ac:dyDescent="0.25">
      <c r="A1121" s="4" t="str">
        <f>IFERROR(category_assignment_2[[#This Row],[category_assignment_id]],"")</f>
        <v/>
      </c>
      <c r="B1121" s="23" t="str">
        <f>IFERROR(VLOOKUP(category_assignment_2[[#This Row],[category_id]],#REF!,3,FALSE),"")</f>
        <v/>
      </c>
      <c r="C1121" s="23" t="str">
        <f>IFERROR(VLOOKUP(category_assignment_2[[#This Row],[abbreviation_id]],abbreviation[],ColumnLanguage+1,FALSE),"")</f>
        <v/>
      </c>
      <c r="D1121" s="23"/>
      <c r="E1121" s="23"/>
      <c r="F1121" s="23"/>
      <c r="G1121" s="23"/>
      <c r="H1121" s="23"/>
      <c r="I1121" s="23"/>
      <c r="J1121" s="23"/>
      <c r="K1121" s="23"/>
    </row>
    <row r="1122" spans="1:11" x14ac:dyDescent="0.25">
      <c r="A1122" s="4" t="str">
        <f>IFERROR(category_assignment_2[[#This Row],[category_assignment_id]],"")</f>
        <v/>
      </c>
      <c r="B1122" s="23" t="str">
        <f>IFERROR(VLOOKUP(category_assignment_2[[#This Row],[category_id]],#REF!,3,FALSE),"")</f>
        <v/>
      </c>
      <c r="C1122" s="23" t="str">
        <f>IFERROR(VLOOKUP(category_assignment_2[[#This Row],[abbreviation_id]],abbreviation[],ColumnLanguage+1,FALSE),"")</f>
        <v/>
      </c>
      <c r="D1122" s="23"/>
      <c r="E1122" s="23"/>
      <c r="F1122" s="23"/>
      <c r="G1122" s="23"/>
      <c r="H1122" s="23"/>
      <c r="I1122" s="23"/>
      <c r="J1122" s="23"/>
      <c r="K1122" s="23"/>
    </row>
    <row r="1123" spans="1:11" x14ac:dyDescent="0.25">
      <c r="A1123" s="4" t="str">
        <f>IFERROR(category_assignment_2[[#This Row],[category_assignment_id]],"")</f>
        <v/>
      </c>
      <c r="B1123" s="23" t="str">
        <f>IFERROR(VLOOKUP(category_assignment_2[[#This Row],[category_id]],#REF!,3,FALSE),"")</f>
        <v/>
      </c>
      <c r="C1123" s="23" t="str">
        <f>IFERROR(VLOOKUP(category_assignment_2[[#This Row],[abbreviation_id]],abbreviation[],ColumnLanguage+1,FALSE),"")</f>
        <v/>
      </c>
      <c r="D1123" s="23"/>
      <c r="E1123" s="23"/>
      <c r="F1123" s="23"/>
      <c r="G1123" s="23"/>
      <c r="H1123" s="23"/>
      <c r="I1123" s="23"/>
      <c r="J1123" s="23"/>
      <c r="K1123" s="23"/>
    </row>
    <row r="1124" spans="1:11" x14ac:dyDescent="0.25">
      <c r="A1124" s="4" t="str">
        <f>IFERROR(category_assignment_2[[#This Row],[category_assignment_id]],"")</f>
        <v/>
      </c>
      <c r="B1124" s="23" t="str">
        <f>IFERROR(VLOOKUP(category_assignment_2[[#This Row],[category_id]],#REF!,3,FALSE),"")</f>
        <v/>
      </c>
      <c r="C1124" s="23" t="str">
        <f>IFERROR(VLOOKUP(category_assignment_2[[#This Row],[abbreviation_id]],abbreviation[],ColumnLanguage+1,FALSE),"")</f>
        <v/>
      </c>
      <c r="D1124" s="23"/>
      <c r="E1124" s="23"/>
      <c r="F1124" s="23"/>
      <c r="G1124" s="23"/>
      <c r="H1124" s="23"/>
      <c r="I1124" s="23"/>
      <c r="J1124" s="23"/>
      <c r="K1124" s="23"/>
    </row>
    <row r="1125" spans="1:11" x14ac:dyDescent="0.25">
      <c r="A1125" s="4" t="str">
        <f>IFERROR(category_assignment_2[[#This Row],[category_assignment_id]],"")</f>
        <v/>
      </c>
      <c r="B1125" s="23" t="str">
        <f>IFERROR(VLOOKUP(category_assignment_2[[#This Row],[category_id]],#REF!,3,FALSE),"")</f>
        <v/>
      </c>
      <c r="C1125" s="23" t="str">
        <f>IFERROR(VLOOKUP(category_assignment_2[[#This Row],[abbreviation_id]],abbreviation[],ColumnLanguage+1,FALSE),"")</f>
        <v/>
      </c>
      <c r="D1125" s="23"/>
      <c r="E1125" s="23"/>
      <c r="F1125" s="23"/>
      <c r="G1125" s="23"/>
      <c r="H1125" s="23"/>
      <c r="I1125" s="23"/>
      <c r="J1125" s="23"/>
      <c r="K1125" s="23"/>
    </row>
    <row r="1126" spans="1:11" x14ac:dyDescent="0.25">
      <c r="A1126" s="4" t="str">
        <f>IFERROR(category_assignment_2[[#This Row],[category_assignment_id]],"")</f>
        <v/>
      </c>
      <c r="B1126" s="23" t="str">
        <f>IFERROR(VLOOKUP(category_assignment_2[[#This Row],[category_id]],#REF!,3,FALSE),"")</f>
        <v/>
      </c>
      <c r="C1126" s="23" t="str">
        <f>IFERROR(VLOOKUP(category_assignment_2[[#This Row],[abbreviation_id]],abbreviation[],ColumnLanguage+1,FALSE),"")</f>
        <v/>
      </c>
      <c r="D1126" s="23"/>
      <c r="E1126" s="23"/>
      <c r="F1126" s="23"/>
      <c r="G1126" s="23"/>
      <c r="H1126" s="23"/>
      <c r="I1126" s="23"/>
      <c r="J1126" s="23"/>
      <c r="K1126" s="23"/>
    </row>
    <row r="1127" spans="1:11" x14ac:dyDescent="0.25">
      <c r="A1127" s="4" t="str">
        <f>IFERROR(category_assignment_2[[#This Row],[category_assignment_id]],"")</f>
        <v/>
      </c>
      <c r="B1127" s="23" t="str">
        <f>IFERROR(VLOOKUP(category_assignment_2[[#This Row],[category_id]],#REF!,3,FALSE),"")</f>
        <v/>
      </c>
      <c r="C1127" s="23" t="str">
        <f>IFERROR(VLOOKUP(category_assignment_2[[#This Row],[abbreviation_id]],abbreviation[],ColumnLanguage+1,FALSE),"")</f>
        <v/>
      </c>
      <c r="D1127" s="23"/>
      <c r="E1127" s="23"/>
      <c r="F1127" s="23"/>
      <c r="G1127" s="23"/>
      <c r="H1127" s="23"/>
      <c r="I1127" s="23"/>
      <c r="J1127" s="23"/>
      <c r="K1127" s="23"/>
    </row>
    <row r="1128" spans="1:11" x14ac:dyDescent="0.25">
      <c r="A1128" s="4" t="str">
        <f>IFERROR(category_assignment_2[[#This Row],[category_assignment_id]],"")</f>
        <v/>
      </c>
      <c r="B1128" s="23" t="str">
        <f>IFERROR(VLOOKUP(category_assignment_2[[#This Row],[category_id]],#REF!,3,FALSE),"")</f>
        <v/>
      </c>
      <c r="C1128" s="23" t="str">
        <f>IFERROR(VLOOKUP(category_assignment_2[[#This Row],[abbreviation_id]],abbreviation[],ColumnLanguage+1,FALSE),"")</f>
        <v/>
      </c>
      <c r="D1128" s="23"/>
      <c r="E1128" s="23"/>
      <c r="F1128" s="23"/>
      <c r="G1128" s="23"/>
      <c r="H1128" s="23"/>
      <c r="I1128" s="23"/>
      <c r="J1128" s="23"/>
      <c r="K1128" s="23"/>
    </row>
    <row r="1129" spans="1:11" x14ac:dyDescent="0.25">
      <c r="A1129" s="4" t="str">
        <f>IFERROR(category_assignment_2[[#This Row],[category_assignment_id]],"")</f>
        <v/>
      </c>
      <c r="B1129" s="23" t="str">
        <f>IFERROR(VLOOKUP(category_assignment_2[[#This Row],[category_id]],#REF!,3,FALSE),"")</f>
        <v/>
      </c>
      <c r="C1129" s="23" t="str">
        <f>IFERROR(VLOOKUP(category_assignment_2[[#This Row],[abbreviation_id]],abbreviation[],ColumnLanguage+1,FALSE),"")</f>
        <v/>
      </c>
      <c r="D1129" s="23"/>
      <c r="E1129" s="23"/>
      <c r="F1129" s="23"/>
      <c r="G1129" s="23"/>
      <c r="H1129" s="23"/>
      <c r="I1129" s="23"/>
      <c r="J1129" s="23"/>
      <c r="K1129" s="23"/>
    </row>
    <row r="1130" spans="1:11" x14ac:dyDescent="0.25">
      <c r="A1130" s="4" t="str">
        <f>IFERROR(category_assignment_2[[#This Row],[category_assignment_id]],"")</f>
        <v/>
      </c>
      <c r="B1130" s="23" t="str">
        <f>IFERROR(VLOOKUP(category_assignment_2[[#This Row],[category_id]],#REF!,3,FALSE),"")</f>
        <v/>
      </c>
      <c r="C1130" s="23" t="str">
        <f>IFERROR(VLOOKUP(category_assignment_2[[#This Row],[abbreviation_id]],abbreviation[],ColumnLanguage+1,FALSE),"")</f>
        <v/>
      </c>
      <c r="D1130" s="23"/>
      <c r="E1130" s="23"/>
      <c r="F1130" s="23"/>
      <c r="G1130" s="23"/>
      <c r="H1130" s="23"/>
      <c r="I1130" s="23"/>
      <c r="J1130" s="23"/>
      <c r="K1130" s="23"/>
    </row>
    <row r="1131" spans="1:11" x14ac:dyDescent="0.25">
      <c r="A1131" s="4" t="str">
        <f>IFERROR(category_assignment_2[[#This Row],[category_assignment_id]],"")</f>
        <v/>
      </c>
      <c r="B1131" s="23" t="str">
        <f>IFERROR(VLOOKUP(category_assignment_2[[#This Row],[category_id]],#REF!,3,FALSE),"")</f>
        <v/>
      </c>
      <c r="C1131" s="23" t="str">
        <f>IFERROR(VLOOKUP(category_assignment_2[[#This Row],[abbreviation_id]],abbreviation[],ColumnLanguage+1,FALSE),"")</f>
        <v/>
      </c>
      <c r="D1131" s="23"/>
      <c r="E1131" s="23"/>
      <c r="F1131" s="23"/>
      <c r="G1131" s="23"/>
      <c r="H1131" s="23"/>
      <c r="I1131" s="23"/>
      <c r="J1131" s="23"/>
      <c r="K1131" s="23"/>
    </row>
    <row r="1132" spans="1:11" x14ac:dyDescent="0.25">
      <c r="A1132" s="4" t="str">
        <f>IFERROR(category_assignment_2[[#This Row],[category_assignment_id]],"")</f>
        <v/>
      </c>
      <c r="B1132" s="23" t="str">
        <f>IFERROR(VLOOKUP(category_assignment_2[[#This Row],[category_id]],#REF!,3,FALSE),"")</f>
        <v/>
      </c>
      <c r="C1132" s="23" t="str">
        <f>IFERROR(VLOOKUP(category_assignment_2[[#This Row],[abbreviation_id]],abbreviation[],ColumnLanguage+1,FALSE),"")</f>
        <v/>
      </c>
      <c r="D1132" s="23"/>
      <c r="E1132" s="23"/>
      <c r="F1132" s="23"/>
      <c r="G1132" s="23"/>
      <c r="H1132" s="23"/>
      <c r="I1132" s="23"/>
      <c r="J1132" s="23"/>
      <c r="K1132" s="23"/>
    </row>
    <row r="1133" spans="1:11" x14ac:dyDescent="0.25">
      <c r="A1133" s="4" t="str">
        <f>IFERROR(category_assignment_2[[#This Row],[category_assignment_id]],"")</f>
        <v/>
      </c>
      <c r="B1133" s="23" t="str">
        <f>IFERROR(VLOOKUP(category_assignment_2[[#This Row],[category_id]],#REF!,3,FALSE),"")</f>
        <v/>
      </c>
      <c r="C1133" s="23" t="str">
        <f>IFERROR(VLOOKUP(category_assignment_2[[#This Row],[abbreviation_id]],abbreviation[],ColumnLanguage+1,FALSE),"")</f>
        <v/>
      </c>
      <c r="D1133" s="23"/>
      <c r="E1133" s="23"/>
      <c r="F1133" s="23"/>
      <c r="G1133" s="23"/>
      <c r="H1133" s="23"/>
      <c r="I1133" s="23"/>
      <c r="J1133" s="23"/>
      <c r="K1133" s="23"/>
    </row>
    <row r="1134" spans="1:11" x14ac:dyDescent="0.25">
      <c r="A1134" s="4" t="str">
        <f>IFERROR(category_assignment_2[[#This Row],[category_assignment_id]],"")</f>
        <v/>
      </c>
      <c r="B1134" s="23" t="str">
        <f>IFERROR(VLOOKUP(category_assignment_2[[#This Row],[category_id]],#REF!,3,FALSE),"")</f>
        <v/>
      </c>
      <c r="C1134" s="23" t="str">
        <f>IFERROR(VLOOKUP(category_assignment_2[[#This Row],[abbreviation_id]],abbreviation[],ColumnLanguage+1,FALSE),"")</f>
        <v/>
      </c>
      <c r="D1134" s="23"/>
      <c r="E1134" s="23"/>
      <c r="F1134" s="23"/>
      <c r="G1134" s="23"/>
      <c r="H1134" s="23"/>
      <c r="I1134" s="23"/>
      <c r="J1134" s="23"/>
      <c r="K1134" s="23"/>
    </row>
    <row r="1135" spans="1:11" x14ac:dyDescent="0.25">
      <c r="A1135" s="4" t="str">
        <f>IFERROR(category_assignment_2[[#This Row],[category_assignment_id]],"")</f>
        <v/>
      </c>
      <c r="B1135" s="23" t="str">
        <f>IFERROR(VLOOKUP(category_assignment_2[[#This Row],[category_id]],#REF!,3,FALSE),"")</f>
        <v/>
      </c>
      <c r="C1135" s="23" t="str">
        <f>IFERROR(VLOOKUP(category_assignment_2[[#This Row],[abbreviation_id]],abbreviation[],ColumnLanguage+1,FALSE),"")</f>
        <v/>
      </c>
      <c r="D1135" s="23"/>
      <c r="E1135" s="23"/>
      <c r="F1135" s="23"/>
      <c r="G1135" s="23"/>
      <c r="H1135" s="23"/>
      <c r="I1135" s="23"/>
      <c r="J1135" s="23"/>
      <c r="K1135" s="23"/>
    </row>
    <row r="1136" spans="1:11" x14ac:dyDescent="0.25">
      <c r="A1136" s="4" t="str">
        <f>IFERROR(category_assignment_2[[#This Row],[category_assignment_id]],"")</f>
        <v/>
      </c>
      <c r="B1136" s="23" t="str">
        <f>IFERROR(VLOOKUP(category_assignment_2[[#This Row],[category_id]],#REF!,3,FALSE),"")</f>
        <v/>
      </c>
      <c r="C1136" s="23" t="str">
        <f>IFERROR(VLOOKUP(category_assignment_2[[#This Row],[abbreviation_id]],abbreviation[],ColumnLanguage+1,FALSE),"")</f>
        <v/>
      </c>
      <c r="D1136" s="23"/>
      <c r="E1136" s="23"/>
      <c r="F1136" s="23"/>
      <c r="G1136" s="23"/>
      <c r="H1136" s="23"/>
      <c r="I1136" s="23"/>
      <c r="J1136" s="23"/>
      <c r="K1136" s="23"/>
    </row>
    <row r="1137" spans="1:11" x14ac:dyDescent="0.25">
      <c r="A1137" s="4" t="str">
        <f>IFERROR(category_assignment_2[[#This Row],[category_assignment_id]],"")</f>
        <v/>
      </c>
      <c r="B1137" s="23" t="str">
        <f>IFERROR(VLOOKUP(category_assignment_2[[#This Row],[category_id]],#REF!,3,FALSE),"")</f>
        <v/>
      </c>
      <c r="C1137" s="23" t="str">
        <f>IFERROR(VLOOKUP(category_assignment_2[[#This Row],[abbreviation_id]],abbreviation[],ColumnLanguage+1,FALSE),"")</f>
        <v/>
      </c>
      <c r="D1137" s="23"/>
      <c r="E1137" s="23"/>
      <c r="F1137" s="23"/>
      <c r="G1137" s="23"/>
      <c r="H1137" s="23"/>
      <c r="I1137" s="23"/>
      <c r="J1137" s="23"/>
      <c r="K1137" s="23"/>
    </row>
    <row r="1138" spans="1:11" x14ac:dyDescent="0.25">
      <c r="A1138" s="4" t="str">
        <f>IFERROR(category_assignment_2[[#This Row],[category_assignment_id]],"")</f>
        <v/>
      </c>
      <c r="B1138" s="23" t="str">
        <f>IFERROR(VLOOKUP(category_assignment_2[[#This Row],[category_id]],#REF!,3,FALSE),"")</f>
        <v/>
      </c>
      <c r="C1138" s="23" t="str">
        <f>IFERROR(VLOOKUP(category_assignment_2[[#This Row],[abbreviation_id]],abbreviation[],ColumnLanguage+1,FALSE),"")</f>
        <v/>
      </c>
      <c r="D1138" s="23"/>
      <c r="E1138" s="23"/>
      <c r="F1138" s="23"/>
      <c r="G1138" s="23"/>
      <c r="H1138" s="23"/>
      <c r="I1138" s="23"/>
      <c r="J1138" s="23"/>
      <c r="K1138" s="23"/>
    </row>
    <row r="1139" spans="1:11" x14ac:dyDescent="0.25">
      <c r="A1139" s="4" t="str">
        <f>IFERROR(category_assignment_2[[#This Row],[category_assignment_id]],"")</f>
        <v/>
      </c>
      <c r="B1139" s="23" t="str">
        <f>IFERROR(VLOOKUP(category_assignment_2[[#This Row],[category_id]],#REF!,3,FALSE),"")</f>
        <v/>
      </c>
      <c r="C1139" s="23" t="str">
        <f>IFERROR(VLOOKUP(category_assignment_2[[#This Row],[abbreviation_id]],abbreviation[],ColumnLanguage+1,FALSE),"")</f>
        <v/>
      </c>
      <c r="D1139" s="23"/>
      <c r="E1139" s="23"/>
      <c r="F1139" s="23"/>
      <c r="G1139" s="23"/>
      <c r="H1139" s="23"/>
      <c r="I1139" s="23"/>
      <c r="J1139" s="23"/>
      <c r="K1139" s="23"/>
    </row>
    <row r="1140" spans="1:11" x14ac:dyDescent="0.25">
      <c r="A1140" s="4" t="str">
        <f>IFERROR(category_assignment_2[[#This Row],[category_assignment_id]],"")</f>
        <v/>
      </c>
      <c r="B1140" s="23" t="str">
        <f>IFERROR(VLOOKUP(category_assignment_2[[#This Row],[category_id]],#REF!,3,FALSE),"")</f>
        <v/>
      </c>
      <c r="C1140" s="23" t="str">
        <f>IFERROR(VLOOKUP(category_assignment_2[[#This Row],[abbreviation_id]],abbreviation[],ColumnLanguage+1,FALSE),"")</f>
        <v/>
      </c>
      <c r="D1140" s="23"/>
      <c r="E1140" s="23"/>
      <c r="F1140" s="23"/>
      <c r="G1140" s="23"/>
      <c r="H1140" s="23"/>
      <c r="I1140" s="23"/>
      <c r="J1140" s="23"/>
      <c r="K1140" s="23"/>
    </row>
    <row r="1141" spans="1:11" x14ac:dyDescent="0.25">
      <c r="A1141" s="4" t="str">
        <f>IFERROR(category_assignment_2[[#This Row],[category_assignment_id]],"")</f>
        <v/>
      </c>
      <c r="B1141" s="23" t="str">
        <f>IFERROR(VLOOKUP(category_assignment_2[[#This Row],[category_id]],#REF!,3,FALSE),"")</f>
        <v/>
      </c>
      <c r="C1141" s="23" t="str">
        <f>IFERROR(VLOOKUP(category_assignment_2[[#This Row],[abbreviation_id]],abbreviation[],ColumnLanguage+1,FALSE),"")</f>
        <v/>
      </c>
      <c r="D1141" s="23"/>
      <c r="E1141" s="23"/>
      <c r="F1141" s="23"/>
      <c r="G1141" s="23"/>
      <c r="H1141" s="23"/>
      <c r="I1141" s="23"/>
      <c r="J1141" s="23"/>
      <c r="K1141" s="23"/>
    </row>
    <row r="1142" spans="1:11" x14ac:dyDescent="0.25">
      <c r="A1142" s="4" t="str">
        <f>IFERROR(category_assignment_2[[#This Row],[category_assignment_id]],"")</f>
        <v/>
      </c>
      <c r="B1142" s="23" t="str">
        <f>IFERROR(VLOOKUP(category_assignment_2[[#This Row],[category_id]],#REF!,3,FALSE),"")</f>
        <v/>
      </c>
      <c r="C1142" s="23" t="str">
        <f>IFERROR(VLOOKUP(category_assignment_2[[#This Row],[abbreviation_id]],abbreviation[],ColumnLanguage+1,FALSE),"")</f>
        <v/>
      </c>
      <c r="D1142" s="23"/>
      <c r="E1142" s="23"/>
      <c r="F1142" s="23"/>
      <c r="G1142" s="23"/>
      <c r="H1142" s="23"/>
      <c r="I1142" s="23"/>
      <c r="J1142" s="23"/>
      <c r="K1142" s="23"/>
    </row>
    <row r="1143" spans="1:11" x14ac:dyDescent="0.25">
      <c r="A1143" s="4" t="str">
        <f>IFERROR(category_assignment_2[[#This Row],[category_assignment_id]],"")</f>
        <v/>
      </c>
      <c r="B1143" s="23" t="str">
        <f>IFERROR(VLOOKUP(category_assignment_2[[#This Row],[category_id]],#REF!,3,FALSE),"")</f>
        <v/>
      </c>
      <c r="C1143" s="23" t="str">
        <f>IFERROR(VLOOKUP(category_assignment_2[[#This Row],[abbreviation_id]],abbreviation[],ColumnLanguage+1,FALSE),"")</f>
        <v/>
      </c>
      <c r="D1143" s="23"/>
      <c r="E1143" s="23"/>
      <c r="F1143" s="23"/>
      <c r="G1143" s="23"/>
      <c r="H1143" s="23"/>
      <c r="I1143" s="23"/>
      <c r="J1143" s="23"/>
      <c r="K1143" s="23"/>
    </row>
    <row r="1144" spans="1:11" x14ac:dyDescent="0.25">
      <c r="A1144" s="4" t="str">
        <f>IFERROR(category_assignment_2[[#This Row],[category_assignment_id]],"")</f>
        <v/>
      </c>
      <c r="B1144" s="23" t="str">
        <f>IFERROR(VLOOKUP(category_assignment_2[[#This Row],[category_id]],#REF!,3,FALSE),"")</f>
        <v/>
      </c>
      <c r="C1144" s="23" t="str">
        <f>IFERROR(VLOOKUP(category_assignment_2[[#This Row],[abbreviation_id]],abbreviation[],ColumnLanguage+1,FALSE),"")</f>
        <v/>
      </c>
      <c r="D1144" s="23"/>
      <c r="E1144" s="23"/>
      <c r="F1144" s="23"/>
      <c r="G1144" s="23"/>
      <c r="H1144" s="23"/>
      <c r="I1144" s="23"/>
      <c r="J1144" s="23"/>
      <c r="K1144" s="23"/>
    </row>
    <row r="1145" spans="1:11" x14ac:dyDescent="0.25">
      <c r="A1145" s="4" t="str">
        <f>IFERROR(category_assignment_2[[#This Row],[category_assignment_id]],"")</f>
        <v/>
      </c>
      <c r="B1145" s="23" t="str">
        <f>IFERROR(VLOOKUP(category_assignment_2[[#This Row],[category_id]],#REF!,3,FALSE),"")</f>
        <v/>
      </c>
      <c r="C1145" s="23" t="str">
        <f>IFERROR(VLOOKUP(category_assignment_2[[#This Row],[abbreviation_id]],abbreviation[],ColumnLanguage+1,FALSE),"")</f>
        <v/>
      </c>
      <c r="D1145" s="23"/>
      <c r="E1145" s="23"/>
      <c r="F1145" s="23"/>
      <c r="G1145" s="23"/>
      <c r="H1145" s="23"/>
      <c r="I1145" s="23"/>
      <c r="J1145" s="23"/>
      <c r="K1145" s="23"/>
    </row>
    <row r="1146" spans="1:11" x14ac:dyDescent="0.25">
      <c r="A1146" s="4" t="str">
        <f>IFERROR(category_assignment_2[[#This Row],[category_assignment_id]],"")</f>
        <v/>
      </c>
      <c r="B1146" s="23" t="str">
        <f>IFERROR(VLOOKUP(category_assignment_2[[#This Row],[category_id]],#REF!,3,FALSE),"")</f>
        <v/>
      </c>
      <c r="C1146" s="23" t="str">
        <f>IFERROR(VLOOKUP(category_assignment_2[[#This Row],[abbreviation_id]],abbreviation[],ColumnLanguage+1,FALSE),"")</f>
        <v/>
      </c>
      <c r="D1146" s="23"/>
      <c r="E1146" s="23"/>
      <c r="F1146" s="23"/>
      <c r="G1146" s="23"/>
      <c r="H1146" s="23"/>
      <c r="I1146" s="23"/>
      <c r="J1146" s="23"/>
      <c r="K1146" s="23"/>
    </row>
    <row r="1147" spans="1:11" x14ac:dyDescent="0.25">
      <c r="A1147" s="4" t="str">
        <f>IFERROR(category_assignment_2[[#This Row],[category_assignment_id]],"")</f>
        <v/>
      </c>
      <c r="B1147" s="23" t="str">
        <f>IFERROR(VLOOKUP(category_assignment_2[[#This Row],[category_id]],#REF!,3,FALSE),"")</f>
        <v/>
      </c>
      <c r="C1147" s="23" t="str">
        <f>IFERROR(VLOOKUP(category_assignment_2[[#This Row],[abbreviation_id]],abbreviation[],ColumnLanguage+1,FALSE),"")</f>
        <v/>
      </c>
      <c r="D1147" s="23"/>
      <c r="E1147" s="23"/>
      <c r="F1147" s="23"/>
      <c r="G1147" s="23"/>
      <c r="H1147" s="23"/>
      <c r="I1147" s="23"/>
      <c r="J1147" s="23"/>
      <c r="K1147" s="23"/>
    </row>
    <row r="1148" spans="1:11" x14ac:dyDescent="0.25">
      <c r="A1148" s="4" t="str">
        <f>IFERROR(category_assignment_2[[#This Row],[category_assignment_id]],"")</f>
        <v/>
      </c>
      <c r="B1148" s="23" t="str">
        <f>IFERROR(VLOOKUP(category_assignment_2[[#This Row],[category_id]],#REF!,3,FALSE),"")</f>
        <v/>
      </c>
      <c r="C1148" s="23" t="str">
        <f>IFERROR(VLOOKUP(category_assignment_2[[#This Row],[abbreviation_id]],abbreviation[],ColumnLanguage+1,FALSE),"")</f>
        <v/>
      </c>
      <c r="D1148" s="23"/>
      <c r="E1148" s="23"/>
      <c r="F1148" s="23"/>
      <c r="G1148" s="23"/>
      <c r="H1148" s="23"/>
      <c r="I1148" s="23"/>
      <c r="J1148" s="23"/>
      <c r="K1148" s="23"/>
    </row>
    <row r="1149" spans="1:11" x14ac:dyDescent="0.25">
      <c r="A1149" s="4" t="str">
        <f>IFERROR(category_assignment_2[[#This Row],[category_assignment_id]],"")</f>
        <v/>
      </c>
      <c r="B1149" s="23" t="str">
        <f>IFERROR(VLOOKUP(category_assignment_2[[#This Row],[category_id]],#REF!,3,FALSE),"")</f>
        <v/>
      </c>
      <c r="C1149" s="23" t="str">
        <f>IFERROR(VLOOKUP(category_assignment_2[[#This Row],[abbreviation_id]],abbreviation[],ColumnLanguage+1,FALSE),"")</f>
        <v/>
      </c>
      <c r="D1149" s="23"/>
      <c r="E1149" s="23"/>
      <c r="F1149" s="23"/>
      <c r="G1149" s="23"/>
      <c r="H1149" s="23"/>
      <c r="I1149" s="23"/>
      <c r="J1149" s="23"/>
      <c r="K1149" s="23"/>
    </row>
    <row r="1150" spans="1:11" x14ac:dyDescent="0.25">
      <c r="A1150" s="4" t="str">
        <f>IFERROR(category_assignment_2[[#This Row],[category_assignment_id]],"")</f>
        <v/>
      </c>
      <c r="B1150" s="23" t="str">
        <f>IFERROR(VLOOKUP(category_assignment_2[[#This Row],[category_id]],#REF!,3,FALSE),"")</f>
        <v/>
      </c>
      <c r="C1150" s="23" t="str">
        <f>IFERROR(VLOOKUP(category_assignment_2[[#This Row],[abbreviation_id]],abbreviation[],ColumnLanguage+1,FALSE),"")</f>
        <v/>
      </c>
      <c r="D1150" s="23"/>
      <c r="E1150" s="23"/>
      <c r="F1150" s="23"/>
      <c r="G1150" s="23"/>
      <c r="H1150" s="23"/>
      <c r="I1150" s="23"/>
      <c r="J1150" s="23"/>
      <c r="K1150" s="23"/>
    </row>
    <row r="1151" spans="1:11" x14ac:dyDescent="0.25">
      <c r="A1151" s="4" t="str">
        <f>IFERROR(category_assignment_2[[#This Row],[category_assignment_id]],"")</f>
        <v/>
      </c>
      <c r="B1151" s="23" t="str">
        <f>IFERROR(VLOOKUP(category_assignment_2[[#This Row],[category_id]],#REF!,3,FALSE),"")</f>
        <v/>
      </c>
      <c r="C1151" s="23" t="str">
        <f>IFERROR(VLOOKUP(category_assignment_2[[#This Row],[abbreviation_id]],abbreviation[],ColumnLanguage+1,FALSE),"")</f>
        <v/>
      </c>
      <c r="D1151" s="23"/>
      <c r="E1151" s="23"/>
      <c r="F1151" s="23"/>
      <c r="G1151" s="23"/>
      <c r="H1151" s="23"/>
      <c r="I1151" s="23"/>
      <c r="J1151" s="23"/>
      <c r="K1151" s="23"/>
    </row>
    <row r="1152" spans="1:11" x14ac:dyDescent="0.25">
      <c r="A1152" s="2" t="str">
        <f>IFERROR(category_assignment_2[[#This Row],[category_assignment_id]],"")</f>
        <v/>
      </c>
      <c r="B1152" s="3" t="str">
        <f>IFERROR(VLOOKUP(category_assignment_2[[#This Row],[category_id]],#REF!,3,FALSE),"")</f>
        <v/>
      </c>
      <c r="C1152" s="3" t="str">
        <f>IFERROR(VLOOKUP(category_assignment_2[[#This Row],[abbreviation_id]],abbreviation[],ColumnLanguage+1,FALSE),"")</f>
        <v/>
      </c>
      <c r="D1152" s="23"/>
      <c r="E1152" s="23"/>
      <c r="F1152" s="23"/>
      <c r="G1152" s="23"/>
      <c r="H1152" s="23"/>
      <c r="I1152" s="23"/>
      <c r="J1152" s="23"/>
      <c r="K1152" s="23"/>
    </row>
    <row r="1153" spans="1:11" x14ac:dyDescent="0.25">
      <c r="A1153" s="2" t="str">
        <f>IFERROR(category_assignment_2[[#This Row],[category_assignment_id]],"")</f>
        <v/>
      </c>
      <c r="B1153" s="3" t="str">
        <f>IFERROR(VLOOKUP(category_assignment_2[[#This Row],[category_id]],#REF!,3,FALSE),"")</f>
        <v/>
      </c>
      <c r="C1153" s="3" t="str">
        <f>IFERROR(VLOOKUP(category_assignment_2[[#This Row],[abbreviation_id]],abbreviation[],ColumnLanguage+1,FALSE),"")</f>
        <v/>
      </c>
      <c r="D1153" s="23"/>
      <c r="E1153" s="23"/>
      <c r="F1153" s="23"/>
      <c r="G1153" s="23"/>
      <c r="H1153" s="23"/>
      <c r="I1153" s="23"/>
      <c r="J1153" s="23"/>
      <c r="K1153" s="23"/>
    </row>
    <row r="1154" spans="1:11" x14ac:dyDescent="0.25">
      <c r="A1154" s="2" t="str">
        <f>IFERROR(category_assignment_2[[#This Row],[category_assignment_id]],"")</f>
        <v/>
      </c>
      <c r="B1154" s="3" t="str">
        <f>IFERROR(VLOOKUP(category_assignment_2[[#This Row],[category_id]],#REF!,3,FALSE),"")</f>
        <v/>
      </c>
      <c r="C1154" s="3" t="str">
        <f>IFERROR(VLOOKUP(category_assignment_2[[#This Row],[abbreviation_id]],abbreviation[],ColumnLanguage+1,FALSE),"")</f>
        <v/>
      </c>
      <c r="D1154" s="23"/>
      <c r="E1154" s="23"/>
      <c r="F1154" s="23"/>
      <c r="G1154" s="23"/>
      <c r="H1154" s="23"/>
      <c r="I1154" s="23"/>
      <c r="J1154" s="23"/>
      <c r="K1154" s="23"/>
    </row>
    <row r="1155" spans="1:11" x14ac:dyDescent="0.25">
      <c r="A1155" s="2" t="str">
        <f>IFERROR(category_assignment_2[[#This Row],[category_assignment_id]],"")</f>
        <v/>
      </c>
      <c r="B1155" s="3" t="str">
        <f>IFERROR(VLOOKUP(category_assignment_2[[#This Row],[category_id]],#REF!,3,FALSE),"")</f>
        <v/>
      </c>
      <c r="C1155" s="3" t="str">
        <f>IFERROR(VLOOKUP(category_assignment_2[[#This Row],[abbreviation_id]],abbreviation[],ColumnLanguage+1,FALSE),"")</f>
        <v/>
      </c>
      <c r="D1155" s="23"/>
      <c r="E1155" s="23"/>
      <c r="F1155" s="23"/>
      <c r="G1155" s="23"/>
      <c r="H1155" s="23"/>
      <c r="I1155" s="23"/>
      <c r="J1155" s="23"/>
      <c r="K1155" s="23"/>
    </row>
    <row r="1156" spans="1:11" x14ac:dyDescent="0.25">
      <c r="A1156" s="2" t="str">
        <f>IFERROR(category_assignment_2[[#This Row],[category_assignment_id]],"")</f>
        <v/>
      </c>
      <c r="B1156" s="3" t="str">
        <f>IFERROR(VLOOKUP(category_assignment_2[[#This Row],[category_id]],#REF!,3,FALSE),"")</f>
        <v/>
      </c>
      <c r="C1156" s="3" t="str">
        <f>IFERROR(VLOOKUP(category_assignment_2[[#This Row],[abbreviation_id]],abbreviation[],ColumnLanguage+1,FALSE),"")</f>
        <v/>
      </c>
      <c r="D1156" s="23"/>
      <c r="E1156" s="23"/>
      <c r="F1156" s="23"/>
      <c r="G1156" s="23"/>
      <c r="H1156" s="23"/>
      <c r="I1156" s="23"/>
      <c r="J1156" s="23"/>
      <c r="K1156" s="23"/>
    </row>
    <row r="1157" spans="1:11" x14ac:dyDescent="0.25">
      <c r="A1157" s="2" t="str">
        <f>IFERROR(category_assignment_2[[#This Row],[category_assignment_id]],"")</f>
        <v/>
      </c>
      <c r="B1157" s="3" t="str">
        <f>IFERROR(VLOOKUP(category_assignment_2[[#This Row],[category_id]],#REF!,3,FALSE),"")</f>
        <v/>
      </c>
      <c r="C1157" s="3" t="str">
        <f>IFERROR(VLOOKUP(category_assignment_2[[#This Row],[abbreviation_id]],abbreviation[],ColumnLanguage+1,FALSE),"")</f>
        <v/>
      </c>
      <c r="D1157" s="23"/>
      <c r="E1157" s="23"/>
      <c r="F1157" s="23"/>
      <c r="G1157" s="23"/>
      <c r="H1157" s="23"/>
      <c r="I1157" s="23"/>
      <c r="J1157" s="23"/>
      <c r="K1157" s="23"/>
    </row>
    <row r="1158" spans="1:11" x14ac:dyDescent="0.25">
      <c r="A1158" s="2" t="str">
        <f>IFERROR(category_assignment_2[[#This Row],[category_assignment_id]],"")</f>
        <v/>
      </c>
      <c r="B1158" s="3" t="str">
        <f>IFERROR(VLOOKUP(category_assignment_2[[#This Row],[category_id]],#REF!,3,FALSE),"")</f>
        <v/>
      </c>
      <c r="C1158" s="3" t="str">
        <f>IFERROR(VLOOKUP(category_assignment_2[[#This Row],[abbreviation_id]],abbreviation[],ColumnLanguage+1,FALSE),"")</f>
        <v/>
      </c>
      <c r="D1158" s="23"/>
      <c r="E1158" s="23"/>
      <c r="F1158" s="23"/>
      <c r="G1158" s="23"/>
      <c r="H1158" s="23"/>
      <c r="I1158" s="23"/>
      <c r="J1158" s="23"/>
      <c r="K1158" s="23"/>
    </row>
    <row r="1159" spans="1:11" x14ac:dyDescent="0.25">
      <c r="A1159" s="2" t="str">
        <f>IFERROR(category_assignment_2[[#This Row],[category_assignment_id]],"")</f>
        <v/>
      </c>
      <c r="B1159" s="3" t="str">
        <f>IFERROR(VLOOKUP(category_assignment_2[[#This Row],[category_id]],#REF!,3,FALSE),"")</f>
        <v/>
      </c>
      <c r="C1159" s="3" t="str">
        <f>IFERROR(VLOOKUP(category_assignment_2[[#This Row],[abbreviation_id]],abbreviation[],ColumnLanguage+1,FALSE),"")</f>
        <v/>
      </c>
      <c r="D1159" s="23"/>
      <c r="E1159" s="23"/>
      <c r="F1159" s="23"/>
      <c r="G1159" s="23"/>
      <c r="H1159" s="23"/>
      <c r="I1159" s="23"/>
      <c r="J1159" s="23"/>
      <c r="K1159" s="23"/>
    </row>
    <row r="1160" spans="1:11" x14ac:dyDescent="0.25">
      <c r="A1160" s="2" t="str">
        <f>IFERROR(category_assignment_2[[#This Row],[category_assignment_id]],"")</f>
        <v/>
      </c>
      <c r="B1160" s="3" t="str">
        <f>IFERROR(VLOOKUP(category_assignment_2[[#This Row],[category_id]],#REF!,3,FALSE),"")</f>
        <v/>
      </c>
      <c r="C1160" s="22" t="str">
        <f>IFERROR(VLOOKUP(category_assignment_2[[#This Row],[abbreviation_id]],abbreviation[],ColumnLanguage+1,FALSE),"")</f>
        <v/>
      </c>
      <c r="D1160" s="23"/>
      <c r="E1160" s="23"/>
      <c r="F1160" s="23"/>
      <c r="G1160" s="23"/>
      <c r="H1160" s="23"/>
      <c r="I1160" s="23"/>
      <c r="J1160" s="23"/>
      <c r="K1160" s="23"/>
    </row>
    <row r="1161" spans="1:11" x14ac:dyDescent="0.25">
      <c r="A1161" s="2" t="str">
        <f>IFERROR(category_assignment_2[[#This Row],[category_assignment_id]],"")</f>
        <v/>
      </c>
      <c r="B1161" s="3" t="str">
        <f>IFERROR(VLOOKUP(category_assignment_2[[#This Row],[category_id]],#REF!,3,FALSE),"")</f>
        <v/>
      </c>
      <c r="C1161" s="3" t="str">
        <f>IFERROR(VLOOKUP(category_assignment_2[[#This Row],[abbreviation_id]],abbreviation[],ColumnLanguage+1,FALSE),"")</f>
        <v/>
      </c>
      <c r="D1161" s="23"/>
      <c r="E1161" s="23"/>
      <c r="F1161" s="23"/>
      <c r="G1161" s="23"/>
      <c r="H1161" s="23"/>
      <c r="I1161" s="23"/>
      <c r="J1161" s="23"/>
      <c r="K1161" s="23"/>
    </row>
    <row r="1162" spans="1:11" x14ac:dyDescent="0.25">
      <c r="A1162" s="2" t="str">
        <f>IFERROR(category_assignment_2[[#This Row],[category_assignment_id]],"")</f>
        <v/>
      </c>
      <c r="B1162" s="3" t="str">
        <f>IFERROR(VLOOKUP(category_assignment_2[[#This Row],[category_id]],#REF!,3,FALSE),"")</f>
        <v/>
      </c>
      <c r="C1162" s="3" t="str">
        <f>IFERROR(VLOOKUP(category_assignment_2[[#This Row],[abbreviation_id]],abbreviation[],ColumnLanguage+1,FALSE),"")</f>
        <v/>
      </c>
      <c r="D1162" s="23"/>
      <c r="E1162" s="23"/>
      <c r="F1162" s="23"/>
      <c r="G1162" s="23"/>
      <c r="H1162" s="23"/>
      <c r="I1162" s="23"/>
      <c r="J1162" s="23"/>
      <c r="K1162" s="23"/>
    </row>
    <row r="1163" spans="1:11" x14ac:dyDescent="0.25">
      <c r="A1163" s="2" t="str">
        <f>IFERROR(category_assignment_2[[#This Row],[category_assignment_id]],"")</f>
        <v/>
      </c>
      <c r="B1163" s="3" t="str">
        <f>IFERROR(VLOOKUP(category_assignment_2[[#This Row],[category_id]],#REF!,3,FALSE),"")</f>
        <v/>
      </c>
      <c r="C1163" s="22" t="str">
        <f>IFERROR(VLOOKUP(category_assignment_2[[#This Row],[abbreviation_id]],abbreviation[],ColumnLanguage+1,FALSE),"")</f>
        <v/>
      </c>
      <c r="D1163" s="23"/>
      <c r="E1163" s="23"/>
      <c r="F1163" s="23"/>
      <c r="G1163" s="23"/>
      <c r="H1163" s="23"/>
      <c r="I1163" s="23"/>
      <c r="J1163" s="23"/>
      <c r="K1163" s="23"/>
    </row>
    <row r="1164" spans="1:11" x14ac:dyDescent="0.25">
      <c r="A1164" s="2" t="str">
        <f>IFERROR(category_assignment_2[[#This Row],[category_assignment_id]],"")</f>
        <v/>
      </c>
      <c r="B1164" s="3" t="str">
        <f>IFERROR(VLOOKUP(category_assignment_2[[#This Row],[category_id]],#REF!,3,FALSE),"")</f>
        <v/>
      </c>
      <c r="C1164" s="3" t="str">
        <f>IFERROR(VLOOKUP(category_assignment_2[[#This Row],[abbreviation_id]],abbreviation[],ColumnLanguage+1,FALSE),"")</f>
        <v/>
      </c>
      <c r="D1164" s="23"/>
      <c r="E1164" s="23"/>
      <c r="F1164" s="23"/>
      <c r="G1164" s="23"/>
      <c r="H1164" s="23"/>
      <c r="I1164" s="23"/>
      <c r="J1164" s="23"/>
      <c r="K1164" s="23"/>
    </row>
    <row r="1165" spans="1:11" x14ac:dyDescent="0.25">
      <c r="A1165" s="2" t="str">
        <f>IFERROR(category_assignment_2[[#This Row],[category_assignment_id]],"")</f>
        <v/>
      </c>
      <c r="B1165" s="3" t="str">
        <f>IFERROR(VLOOKUP(category_assignment_2[[#This Row],[category_id]],#REF!,3,FALSE),"")</f>
        <v/>
      </c>
      <c r="C1165" s="3" t="str">
        <f>IFERROR(VLOOKUP(category_assignment_2[[#This Row],[abbreviation_id]],abbreviation[],ColumnLanguage+1,FALSE),"")</f>
        <v/>
      </c>
      <c r="D1165" s="23"/>
      <c r="E1165" s="23"/>
      <c r="F1165" s="23"/>
      <c r="G1165" s="23"/>
      <c r="H1165" s="23"/>
      <c r="I1165" s="23"/>
      <c r="J1165" s="23"/>
      <c r="K1165" s="23"/>
    </row>
    <row r="1166" spans="1:11" x14ac:dyDescent="0.25">
      <c r="A1166" s="2" t="str">
        <f>IFERROR(category_assignment_2[[#This Row],[category_assignment_id]],"")</f>
        <v/>
      </c>
      <c r="B1166" s="3" t="str">
        <f>IFERROR(VLOOKUP(category_assignment_2[[#This Row],[category_id]],#REF!,3,FALSE),"")</f>
        <v/>
      </c>
      <c r="C1166" s="3" t="str">
        <f>IFERROR(VLOOKUP(category_assignment_2[[#This Row],[abbreviation_id]],abbreviation[],ColumnLanguage+1,FALSE),"")</f>
        <v/>
      </c>
      <c r="D1166" s="23"/>
      <c r="E1166" s="23"/>
      <c r="F1166" s="23"/>
      <c r="G1166" s="23"/>
      <c r="H1166" s="23"/>
      <c r="I1166" s="23"/>
      <c r="J1166" s="23"/>
      <c r="K1166" s="23"/>
    </row>
    <row r="1167" spans="1:11" x14ac:dyDescent="0.25">
      <c r="A1167" s="2" t="str">
        <f>IFERROR(category_assignment_2[[#This Row],[category_assignment_id]],"")</f>
        <v/>
      </c>
      <c r="B1167" s="3" t="str">
        <f>IFERROR(VLOOKUP(category_assignment_2[[#This Row],[category_id]],#REF!,3,FALSE),"")</f>
        <v/>
      </c>
      <c r="C1167" s="3" t="str">
        <f>IFERROR(VLOOKUP(category_assignment_2[[#This Row],[abbreviation_id]],abbreviation[],ColumnLanguage+1,FALSE),"")</f>
        <v/>
      </c>
      <c r="D1167" s="23"/>
      <c r="E1167" s="23"/>
      <c r="F1167" s="23"/>
      <c r="G1167" s="23"/>
      <c r="H1167" s="23"/>
      <c r="I1167" s="23"/>
      <c r="J1167" s="23"/>
      <c r="K1167" s="23"/>
    </row>
    <row r="1168" spans="1:11" x14ac:dyDescent="0.25">
      <c r="A1168" s="2" t="str">
        <f>IFERROR(category_assignment_2[[#This Row],[category_assignment_id]],"")</f>
        <v/>
      </c>
      <c r="B1168" s="3" t="str">
        <f>IFERROR(VLOOKUP(category_assignment_2[[#This Row],[category_id]],#REF!,3,FALSE),"")</f>
        <v/>
      </c>
      <c r="C1168" s="3" t="str">
        <f>IFERROR(VLOOKUP(category_assignment_2[[#This Row],[abbreviation_id]],abbreviation[],ColumnLanguage+1,FALSE),"")</f>
        <v/>
      </c>
      <c r="D1168" s="23"/>
      <c r="E1168" s="23"/>
      <c r="F1168" s="23"/>
      <c r="G1168" s="23"/>
      <c r="H1168" s="23"/>
      <c r="I1168" s="23"/>
      <c r="J1168" s="23"/>
      <c r="K1168" s="23"/>
    </row>
    <row r="1169" spans="1:11" x14ac:dyDescent="0.25">
      <c r="A1169" s="2" t="str">
        <f>IFERROR(category_assignment_2[[#This Row],[category_assignment_id]],"")</f>
        <v/>
      </c>
      <c r="B1169" s="3" t="str">
        <f>IFERROR(VLOOKUP(category_assignment_2[[#This Row],[category_id]],#REF!,3,FALSE),"")</f>
        <v/>
      </c>
      <c r="C1169" s="3" t="str">
        <f>IFERROR(VLOOKUP(category_assignment_2[[#This Row],[abbreviation_id]],abbreviation[],ColumnLanguage+1,FALSE),"")</f>
        <v/>
      </c>
      <c r="D1169" s="23"/>
      <c r="E1169" s="23"/>
      <c r="F1169" s="23"/>
      <c r="G1169" s="23"/>
      <c r="H1169" s="23"/>
      <c r="I1169" s="23"/>
      <c r="J1169" s="23"/>
      <c r="K1169" s="23"/>
    </row>
    <row r="1170" spans="1:11" x14ac:dyDescent="0.25">
      <c r="A1170" s="2" t="str">
        <f>IFERROR(category_assignment_2[[#This Row],[category_assignment_id]],"")</f>
        <v/>
      </c>
      <c r="B1170" s="3" t="str">
        <f>IFERROR(VLOOKUP(category_assignment_2[[#This Row],[category_id]],#REF!,3,FALSE),"")</f>
        <v/>
      </c>
      <c r="C1170" s="3" t="str">
        <f>IFERROR(VLOOKUP(category_assignment_2[[#This Row],[abbreviation_id]],abbreviation[],ColumnLanguage+1,FALSE),"")</f>
        <v/>
      </c>
      <c r="D1170" s="23"/>
      <c r="E1170" s="23"/>
      <c r="F1170" s="23"/>
      <c r="G1170" s="23"/>
      <c r="H1170" s="23"/>
      <c r="I1170" s="23"/>
      <c r="J1170" s="23"/>
      <c r="K1170" s="23"/>
    </row>
    <row r="1171" spans="1:11" x14ac:dyDescent="0.25">
      <c r="A1171" s="2" t="str">
        <f>IFERROR(category_assignment_2[[#This Row],[category_assignment_id]],"")</f>
        <v/>
      </c>
      <c r="B1171" s="3" t="str">
        <f>IFERROR(VLOOKUP(category_assignment_2[[#This Row],[category_id]],#REF!,3,FALSE),"")</f>
        <v/>
      </c>
      <c r="C1171" s="3" t="str">
        <f>IFERROR(VLOOKUP(category_assignment_2[[#This Row],[abbreviation_id]],abbreviation[],ColumnLanguage+1,FALSE),"")</f>
        <v/>
      </c>
      <c r="D1171" s="23"/>
      <c r="E1171" s="23"/>
      <c r="F1171" s="23"/>
      <c r="G1171" s="23"/>
      <c r="H1171" s="23"/>
      <c r="I1171" s="23"/>
      <c r="J1171" s="23"/>
      <c r="K1171" s="23"/>
    </row>
    <row r="1172" spans="1:11" x14ac:dyDescent="0.25">
      <c r="A1172" s="2" t="str">
        <f>IFERROR(category_assignment_2[[#This Row],[category_assignment_id]],"")</f>
        <v/>
      </c>
      <c r="B1172" s="3" t="str">
        <f>IFERROR(VLOOKUP(category_assignment_2[[#This Row],[category_id]],#REF!,3,FALSE),"")</f>
        <v/>
      </c>
      <c r="C1172" s="3" t="str">
        <f>IFERROR(VLOOKUP(category_assignment_2[[#This Row],[abbreviation_id]],abbreviation[],ColumnLanguage+1,FALSE),"")</f>
        <v/>
      </c>
      <c r="D1172" s="23"/>
      <c r="E1172" s="23"/>
      <c r="F1172" s="23"/>
      <c r="G1172" s="23"/>
      <c r="H1172" s="23"/>
      <c r="I1172" s="23"/>
      <c r="J1172" s="23"/>
      <c r="K1172" s="23"/>
    </row>
    <row r="1173" spans="1:11" x14ac:dyDescent="0.25">
      <c r="A1173" s="2" t="str">
        <f>IFERROR(category_assignment_2[[#This Row],[category_assignment_id]],"")</f>
        <v/>
      </c>
      <c r="B1173" s="3" t="str">
        <f>IFERROR(VLOOKUP(category_assignment_2[[#This Row],[category_id]],#REF!,3,FALSE),"")</f>
        <v/>
      </c>
      <c r="C1173" s="3" t="str">
        <f>IFERROR(VLOOKUP(category_assignment_2[[#This Row],[abbreviation_id]],abbreviation[],ColumnLanguage+1,FALSE),"")</f>
        <v/>
      </c>
      <c r="D1173" s="23"/>
      <c r="E1173" s="23"/>
      <c r="F1173" s="23"/>
      <c r="G1173" s="23"/>
      <c r="H1173" s="23"/>
      <c r="I1173" s="23"/>
      <c r="J1173" s="23"/>
      <c r="K1173" s="23"/>
    </row>
    <row r="1174" spans="1:11" x14ac:dyDescent="0.25">
      <c r="A1174" s="2" t="str">
        <f>IFERROR(category_assignment_2[[#This Row],[category_assignment_id]],"")</f>
        <v/>
      </c>
      <c r="B1174" s="3" t="str">
        <f>IFERROR(VLOOKUP(category_assignment_2[[#This Row],[category_id]],#REF!,3,FALSE),"")</f>
        <v/>
      </c>
      <c r="C1174" s="3" t="str">
        <f>IFERROR(VLOOKUP(category_assignment_2[[#This Row],[abbreviation_id]],abbreviation[],ColumnLanguage+1,FALSE),"")</f>
        <v/>
      </c>
      <c r="D1174" s="23"/>
      <c r="E1174" s="23"/>
      <c r="F1174" s="23"/>
      <c r="G1174" s="23"/>
      <c r="H1174" s="23"/>
      <c r="I1174" s="23"/>
      <c r="J1174" s="23"/>
      <c r="K1174" s="23"/>
    </row>
    <row r="1175" spans="1:11" x14ac:dyDescent="0.25">
      <c r="A1175" s="2" t="str">
        <f>IFERROR(category_assignment_2[[#This Row],[category_assignment_id]],"")</f>
        <v/>
      </c>
      <c r="B1175" s="3" t="str">
        <f>IFERROR(VLOOKUP(category_assignment_2[[#This Row],[category_id]],#REF!,3,FALSE),"")</f>
        <v/>
      </c>
      <c r="C1175" s="3" t="str">
        <f>IFERROR(VLOOKUP(category_assignment_2[[#This Row],[abbreviation_id]],abbreviation[],ColumnLanguage+1,FALSE),"")</f>
        <v/>
      </c>
      <c r="D1175" s="23"/>
      <c r="E1175" s="23"/>
      <c r="F1175" s="23"/>
      <c r="G1175" s="23"/>
      <c r="H1175" s="23"/>
      <c r="I1175" s="23"/>
      <c r="J1175" s="23"/>
      <c r="K1175" s="23"/>
    </row>
    <row r="1176" spans="1:11" x14ac:dyDescent="0.25">
      <c r="A1176" s="2" t="str">
        <f>IFERROR(category_assignment_2[[#This Row],[category_assignment_id]],"")</f>
        <v/>
      </c>
      <c r="B1176" s="3" t="str">
        <f>IFERROR(VLOOKUP(category_assignment_2[[#This Row],[category_id]],#REF!,3,FALSE),"")</f>
        <v/>
      </c>
      <c r="C1176" s="22" t="str">
        <f>IFERROR(VLOOKUP(category_assignment_2[[#This Row],[abbreviation_id]],abbreviation[],ColumnLanguage+1,FALSE),"")</f>
        <v/>
      </c>
      <c r="D1176" s="23"/>
      <c r="E1176" s="23"/>
      <c r="F1176" s="23"/>
      <c r="G1176" s="23"/>
      <c r="H1176" s="23"/>
      <c r="I1176" s="23"/>
      <c r="J1176" s="23"/>
      <c r="K1176" s="23"/>
    </row>
    <row r="1177" spans="1:11" x14ac:dyDescent="0.25">
      <c r="A1177" s="2" t="str">
        <f>IFERROR(category_assignment_2[[#This Row],[category_assignment_id]],"")</f>
        <v/>
      </c>
      <c r="B1177" s="3" t="str">
        <f>IFERROR(VLOOKUP(category_assignment_2[[#This Row],[category_id]],#REF!,3,FALSE),"")</f>
        <v/>
      </c>
      <c r="C1177" s="22" t="str">
        <f>IFERROR(VLOOKUP(category_assignment_2[[#This Row],[abbreviation_id]],abbreviation[],ColumnLanguage+1,FALSE),"")</f>
        <v/>
      </c>
      <c r="D1177" s="23"/>
      <c r="E1177" s="23"/>
      <c r="F1177" s="23"/>
      <c r="G1177" s="23"/>
      <c r="H1177" s="23"/>
      <c r="I1177" s="23"/>
      <c r="J1177" s="23"/>
      <c r="K1177" s="23"/>
    </row>
    <row r="1178" spans="1:11" x14ac:dyDescent="0.25">
      <c r="A1178" s="2" t="str">
        <f>IFERROR(category_assignment_2[[#This Row],[category_assignment_id]],"")</f>
        <v/>
      </c>
      <c r="B1178" s="3" t="str">
        <f>IFERROR(VLOOKUP(category_assignment_2[[#This Row],[category_id]],#REF!,3,FALSE),"")</f>
        <v/>
      </c>
      <c r="C1178" s="3" t="str">
        <f>IFERROR(VLOOKUP(category_assignment_2[[#This Row],[abbreviation_id]],abbreviation[],ColumnLanguage+1,FALSE),"")</f>
        <v/>
      </c>
      <c r="D1178" s="23"/>
      <c r="E1178" s="23"/>
      <c r="F1178" s="23"/>
      <c r="G1178" s="23"/>
      <c r="H1178" s="23"/>
      <c r="I1178" s="23"/>
      <c r="J1178" s="23"/>
      <c r="K1178" s="23"/>
    </row>
    <row r="1179" spans="1:11" x14ac:dyDescent="0.25">
      <c r="A1179" s="2" t="str">
        <f>IFERROR(category_assignment_2[[#This Row],[category_assignment_id]],"")</f>
        <v/>
      </c>
      <c r="B1179" s="3" t="str">
        <f>IFERROR(VLOOKUP(category_assignment_2[[#This Row],[category_id]],#REF!,3,FALSE),"")</f>
        <v/>
      </c>
      <c r="C1179" s="22" t="str">
        <f>IFERROR(VLOOKUP(category_assignment_2[[#This Row],[abbreviation_id]],abbreviation[],ColumnLanguage+1,FALSE),"")</f>
        <v/>
      </c>
      <c r="D1179" s="23"/>
      <c r="E1179" s="23"/>
      <c r="F1179" s="23"/>
      <c r="G1179" s="23"/>
      <c r="H1179" s="23"/>
      <c r="I1179" s="23"/>
      <c r="J1179" s="23"/>
      <c r="K1179" s="23"/>
    </row>
    <row r="1180" spans="1:11" x14ac:dyDescent="0.25">
      <c r="A1180" s="2" t="str">
        <f>IFERROR(category_assignment_2[[#This Row],[category_assignment_id]],"")</f>
        <v/>
      </c>
      <c r="B1180" s="3" t="str">
        <f>IFERROR(VLOOKUP(category_assignment_2[[#This Row],[category_id]],#REF!,3,FALSE),"")</f>
        <v/>
      </c>
      <c r="C1180" s="3" t="str">
        <f>IFERROR(VLOOKUP(category_assignment_2[[#This Row],[abbreviation_id]],abbreviation[],ColumnLanguage+1,FALSE),"")</f>
        <v/>
      </c>
      <c r="D1180" s="23"/>
      <c r="E1180" s="23"/>
      <c r="F1180" s="23"/>
      <c r="G1180" s="23"/>
      <c r="H1180" s="23"/>
      <c r="I1180" s="23"/>
      <c r="J1180" s="23"/>
      <c r="K1180" s="23"/>
    </row>
    <row r="1181" spans="1:11" x14ac:dyDescent="0.25">
      <c r="A1181" s="2" t="str">
        <f>IFERROR(category_assignment_2[[#This Row],[category_assignment_id]],"")</f>
        <v/>
      </c>
      <c r="B1181" s="3" t="str">
        <f>IFERROR(VLOOKUP(category_assignment_2[[#This Row],[category_id]],#REF!,3,FALSE),"")</f>
        <v/>
      </c>
      <c r="C1181" s="22" t="str">
        <f>IFERROR(VLOOKUP(category_assignment_2[[#This Row],[abbreviation_id]],abbreviation[],ColumnLanguage+1,FALSE),"")</f>
        <v/>
      </c>
      <c r="D1181" s="23"/>
      <c r="E1181" s="23"/>
      <c r="F1181" s="23"/>
      <c r="G1181" s="23"/>
      <c r="H1181" s="23"/>
      <c r="I1181" s="23"/>
      <c r="J1181" s="23"/>
      <c r="K1181" s="23"/>
    </row>
    <row r="1182" spans="1:11" x14ac:dyDescent="0.25">
      <c r="A1182" s="2" t="str">
        <f>IFERROR(category_assignment_2[[#This Row],[category_assignment_id]],"")</f>
        <v/>
      </c>
      <c r="B1182" s="3" t="str">
        <f>IFERROR(VLOOKUP(category_assignment_2[[#This Row],[category_id]],#REF!,3,FALSE),"")</f>
        <v/>
      </c>
      <c r="C1182" s="3" t="str">
        <f>IFERROR(VLOOKUP(category_assignment_2[[#This Row],[abbreviation_id]],abbreviation[],ColumnLanguage+1,FALSE),"")</f>
        <v/>
      </c>
      <c r="D1182" s="23"/>
      <c r="E1182" s="23"/>
      <c r="F1182" s="23"/>
      <c r="G1182" s="23"/>
      <c r="H1182" s="23"/>
      <c r="I1182" s="23"/>
      <c r="J1182" s="23"/>
      <c r="K1182" s="23"/>
    </row>
    <row r="1183" spans="1:11" x14ac:dyDescent="0.25">
      <c r="A1183" s="2" t="str">
        <f>IFERROR(category_assignment_2[[#This Row],[category_assignment_id]],"")</f>
        <v/>
      </c>
      <c r="B1183" s="3" t="str">
        <f>IFERROR(VLOOKUP(category_assignment_2[[#This Row],[category_id]],#REF!,3,FALSE),"")</f>
        <v/>
      </c>
      <c r="C1183" s="22" t="str">
        <f>IFERROR(VLOOKUP(category_assignment_2[[#This Row],[abbreviation_id]],abbreviation[],ColumnLanguage+1,FALSE),"")</f>
        <v/>
      </c>
      <c r="D1183" s="23"/>
      <c r="E1183" s="23"/>
      <c r="F1183" s="23"/>
      <c r="G1183" s="23"/>
      <c r="H1183" s="23"/>
      <c r="I1183" s="23"/>
      <c r="J1183" s="23"/>
      <c r="K1183" s="23"/>
    </row>
    <row r="1184" spans="1:11" x14ac:dyDescent="0.25">
      <c r="A1184" s="2" t="str">
        <f>IFERROR(category_assignment_2[[#This Row],[category_assignment_id]],"")</f>
        <v/>
      </c>
      <c r="B1184" s="3" t="str">
        <f>IFERROR(VLOOKUP(category_assignment_2[[#This Row],[category_id]],#REF!,3,FALSE),"")</f>
        <v/>
      </c>
      <c r="C1184" s="3" t="str">
        <f>IFERROR(VLOOKUP(category_assignment_2[[#This Row],[abbreviation_id]],abbreviation[],ColumnLanguage+1,FALSE),"")</f>
        <v/>
      </c>
      <c r="D1184" s="23"/>
      <c r="E1184" s="23"/>
      <c r="F1184" s="23"/>
      <c r="G1184" s="23"/>
      <c r="H1184" s="23"/>
      <c r="I1184" s="23"/>
      <c r="J1184" s="23"/>
      <c r="K1184" s="23"/>
    </row>
    <row r="1185" spans="1:11" x14ac:dyDescent="0.25">
      <c r="A1185" s="2" t="str">
        <f>IFERROR(category_assignment_2[[#This Row],[category_assignment_id]],"")</f>
        <v/>
      </c>
      <c r="B1185" s="3" t="str">
        <f>IFERROR(VLOOKUP(category_assignment_2[[#This Row],[category_id]],#REF!,3,FALSE),"")</f>
        <v/>
      </c>
      <c r="C1185" s="22" t="str">
        <f>IFERROR(VLOOKUP(category_assignment_2[[#This Row],[abbreviation_id]],abbreviation[],ColumnLanguage+1,FALSE),"")</f>
        <v/>
      </c>
      <c r="D1185" s="23"/>
      <c r="E1185" s="23"/>
      <c r="F1185" s="23"/>
      <c r="G1185" s="23"/>
      <c r="H1185" s="23"/>
      <c r="I1185" s="23"/>
      <c r="J1185" s="23"/>
      <c r="K1185" s="23"/>
    </row>
    <row r="1186" spans="1:11" x14ac:dyDescent="0.25">
      <c r="A1186" s="2" t="str">
        <f>IFERROR(category_assignment_2[[#This Row],[category_assignment_id]],"")</f>
        <v/>
      </c>
      <c r="B1186" s="3" t="str">
        <f>IFERROR(VLOOKUP(category_assignment_2[[#This Row],[category_id]],#REF!,3,FALSE),"")</f>
        <v/>
      </c>
      <c r="C1186" s="22" t="str">
        <f>IFERROR(VLOOKUP(category_assignment_2[[#This Row],[abbreviation_id]],abbreviation[],ColumnLanguage+1,FALSE),"")</f>
        <v/>
      </c>
      <c r="D1186" s="23"/>
      <c r="E1186" s="23"/>
      <c r="F1186" s="23"/>
      <c r="G1186" s="23"/>
      <c r="H1186" s="23"/>
      <c r="I1186" s="23"/>
      <c r="J1186" s="23"/>
      <c r="K1186" s="23"/>
    </row>
    <row r="1187" spans="1:11" x14ac:dyDescent="0.25">
      <c r="A1187" s="2" t="str">
        <f>IFERROR(category_assignment_2[[#This Row],[category_assignment_id]],"")</f>
        <v/>
      </c>
      <c r="B1187" s="3" t="str">
        <f>IFERROR(VLOOKUP(category_assignment_2[[#This Row],[category_id]],#REF!,3,FALSE),"")</f>
        <v/>
      </c>
      <c r="C1187" s="3" t="str">
        <f>IFERROR(VLOOKUP(category_assignment_2[[#This Row],[abbreviation_id]],abbreviation[],ColumnLanguage+1,FALSE),"")</f>
        <v/>
      </c>
      <c r="D1187" s="23"/>
      <c r="E1187" s="23"/>
      <c r="F1187" s="23"/>
      <c r="G1187" s="23"/>
      <c r="H1187" s="23"/>
      <c r="I1187" s="23"/>
      <c r="J1187" s="23"/>
      <c r="K1187" s="23"/>
    </row>
    <row r="1188" spans="1:11" x14ac:dyDescent="0.25">
      <c r="A1188" s="2" t="str">
        <f>IFERROR(category_assignment_2[[#This Row],[category_assignment_id]],"")</f>
        <v/>
      </c>
      <c r="B1188" s="3" t="str">
        <f>IFERROR(VLOOKUP(category_assignment_2[[#This Row],[category_id]],#REF!,3,FALSE),"")</f>
        <v/>
      </c>
      <c r="C1188" s="3" t="str">
        <f>IFERROR(VLOOKUP(category_assignment_2[[#This Row],[abbreviation_id]],abbreviation[],ColumnLanguage+1,FALSE),"")</f>
        <v/>
      </c>
      <c r="D1188" s="23"/>
      <c r="E1188" s="23"/>
      <c r="F1188" s="23"/>
      <c r="G1188" s="23"/>
      <c r="H1188" s="23"/>
      <c r="I1188" s="23"/>
      <c r="J1188" s="23"/>
      <c r="K1188" s="23"/>
    </row>
    <row r="1189" spans="1:11" x14ac:dyDescent="0.25">
      <c r="A1189" s="2" t="str">
        <f>IFERROR(category_assignment_2[[#This Row],[category_assignment_id]],"")</f>
        <v/>
      </c>
      <c r="B1189" s="3" t="str">
        <f>IFERROR(VLOOKUP(category_assignment_2[[#This Row],[category_id]],#REF!,3,FALSE),"")</f>
        <v/>
      </c>
      <c r="C1189" s="3" t="str">
        <f>IFERROR(VLOOKUP(category_assignment_2[[#This Row],[abbreviation_id]],abbreviation[],ColumnLanguage+1,FALSE),"")</f>
        <v/>
      </c>
      <c r="D1189" s="23"/>
      <c r="E1189" s="23"/>
      <c r="F1189" s="23"/>
      <c r="G1189" s="23"/>
      <c r="H1189" s="23"/>
      <c r="I1189" s="23"/>
      <c r="J1189" s="23"/>
      <c r="K1189" s="23"/>
    </row>
    <row r="1190" spans="1:11" x14ac:dyDescent="0.25">
      <c r="A1190" s="2" t="str">
        <f>IFERROR(category_assignment_2[[#This Row],[category_assignment_id]],"")</f>
        <v/>
      </c>
      <c r="B1190" s="3" t="str">
        <f>IFERROR(VLOOKUP(category_assignment_2[[#This Row],[category_id]],#REF!,3,FALSE),"")</f>
        <v/>
      </c>
      <c r="C1190" s="3" t="str">
        <f>IFERROR(VLOOKUP(category_assignment_2[[#This Row],[abbreviation_id]],abbreviation[],ColumnLanguage+1,FALSE),"")</f>
        <v/>
      </c>
      <c r="D1190" s="23"/>
      <c r="E1190" s="23"/>
      <c r="F1190" s="23"/>
      <c r="G1190" s="23"/>
      <c r="H1190" s="23"/>
      <c r="I1190" s="23"/>
      <c r="J1190" s="23"/>
      <c r="K1190" s="23"/>
    </row>
    <row r="1191" spans="1:11" x14ac:dyDescent="0.25">
      <c r="A1191" s="2" t="str">
        <f>IFERROR(category_assignment_2[[#This Row],[category_assignment_id]],"")</f>
        <v/>
      </c>
      <c r="B1191" s="3" t="str">
        <f>IFERROR(VLOOKUP(category_assignment_2[[#This Row],[category_id]],#REF!,3,FALSE),"")</f>
        <v/>
      </c>
      <c r="C1191" s="3" t="str">
        <f>IFERROR(VLOOKUP(category_assignment_2[[#This Row],[abbreviation_id]],abbreviation[],ColumnLanguage+1,FALSE),"")</f>
        <v/>
      </c>
      <c r="D1191" s="23"/>
      <c r="E1191" s="23"/>
      <c r="F1191" s="23"/>
      <c r="G1191" s="23"/>
      <c r="H1191" s="23"/>
      <c r="I1191" s="23"/>
      <c r="J1191" s="23"/>
      <c r="K1191" s="23"/>
    </row>
    <row r="1192" spans="1:11" x14ac:dyDescent="0.25">
      <c r="A1192" s="2" t="str">
        <f>IFERROR(category_assignment_2[[#This Row],[category_assignment_id]],"")</f>
        <v/>
      </c>
      <c r="B1192" s="3" t="str">
        <f>IFERROR(VLOOKUP(category_assignment_2[[#This Row],[category_id]],#REF!,3,FALSE),"")</f>
        <v/>
      </c>
      <c r="C1192" s="3" t="str">
        <f>IFERROR(VLOOKUP(category_assignment_2[[#This Row],[abbreviation_id]],abbreviation[],ColumnLanguage+1,FALSE),"")</f>
        <v/>
      </c>
      <c r="D1192" s="23"/>
      <c r="E1192" s="23"/>
      <c r="F1192" s="23"/>
      <c r="G1192" s="23"/>
      <c r="H1192" s="23"/>
      <c r="I1192" s="23"/>
      <c r="J1192" s="23"/>
      <c r="K1192" s="23"/>
    </row>
    <row r="1193" spans="1:11" x14ac:dyDescent="0.25">
      <c r="A1193" s="2" t="str">
        <f>IFERROR(category_assignment_2[[#This Row],[category_assignment_id]],"")</f>
        <v/>
      </c>
      <c r="B1193" s="3" t="str">
        <f>IFERROR(VLOOKUP(category_assignment_2[[#This Row],[category_id]],#REF!,3,FALSE),"")</f>
        <v/>
      </c>
      <c r="C1193" s="3" t="str">
        <f>IFERROR(VLOOKUP(category_assignment_2[[#This Row],[abbreviation_id]],abbreviation[],ColumnLanguage+1,FALSE),"")</f>
        <v/>
      </c>
      <c r="D1193" s="23"/>
      <c r="E1193" s="23"/>
      <c r="F1193" s="23"/>
      <c r="G1193" s="23"/>
      <c r="H1193" s="23"/>
      <c r="I1193" s="23"/>
      <c r="J1193" s="23"/>
      <c r="K1193" s="23"/>
    </row>
    <row r="1194" spans="1:11" x14ac:dyDescent="0.25">
      <c r="A1194" s="2" t="str">
        <f>IFERROR(category_assignment_2[[#This Row],[category_assignment_id]],"")</f>
        <v/>
      </c>
      <c r="B1194" s="3" t="str">
        <f>IFERROR(VLOOKUP(category_assignment_2[[#This Row],[category_id]],#REF!,3,FALSE),"")</f>
        <v/>
      </c>
      <c r="C1194" s="3" t="str">
        <f>IFERROR(VLOOKUP(category_assignment_2[[#This Row],[abbreviation_id]],abbreviation[],ColumnLanguage+1,FALSE),"")</f>
        <v/>
      </c>
      <c r="D1194" s="23"/>
      <c r="E1194" s="23"/>
      <c r="F1194" s="23"/>
      <c r="G1194" s="23"/>
      <c r="H1194" s="23"/>
      <c r="I1194" s="23"/>
      <c r="J1194" s="23"/>
      <c r="K1194" s="23"/>
    </row>
    <row r="1195" spans="1:11" x14ac:dyDescent="0.25">
      <c r="A1195" s="2" t="str">
        <f>IFERROR(category_assignment_2[[#This Row],[category_assignment_id]],"")</f>
        <v/>
      </c>
      <c r="B1195" s="3" t="str">
        <f>IFERROR(VLOOKUP(category_assignment_2[[#This Row],[category_id]],#REF!,3,FALSE),"")</f>
        <v/>
      </c>
      <c r="C1195" s="3" t="str">
        <f>IFERROR(VLOOKUP(category_assignment_2[[#This Row],[abbreviation_id]],abbreviation[],ColumnLanguage+1,FALSE),"")</f>
        <v/>
      </c>
      <c r="D1195" s="23"/>
      <c r="E1195" s="23"/>
      <c r="F1195" s="23"/>
      <c r="G1195" s="23"/>
      <c r="H1195" s="23"/>
      <c r="I1195" s="23"/>
      <c r="J1195" s="23"/>
      <c r="K1195" s="23"/>
    </row>
    <row r="1196" spans="1:11" x14ac:dyDescent="0.25">
      <c r="A1196" s="2" t="str">
        <f>IFERROR(category_assignment_2[[#This Row],[category_assignment_id]],"")</f>
        <v/>
      </c>
      <c r="B1196" s="3" t="str">
        <f>IFERROR(VLOOKUP(category_assignment_2[[#This Row],[category_id]],#REF!,3,FALSE),"")</f>
        <v/>
      </c>
      <c r="C1196" s="22" t="str">
        <f>IFERROR(VLOOKUP(category_assignment_2[[#This Row],[abbreviation_id]],abbreviation[],ColumnLanguage+1,FALSE),"")</f>
        <v/>
      </c>
      <c r="D1196" s="23"/>
      <c r="E1196" s="23"/>
      <c r="F1196" s="23"/>
      <c r="G1196" s="23"/>
      <c r="H1196" s="23"/>
      <c r="I1196" s="23"/>
      <c r="J1196" s="23"/>
      <c r="K1196" s="23"/>
    </row>
    <row r="1197" spans="1:11" x14ac:dyDescent="0.25">
      <c r="A1197" s="2" t="str">
        <f>IFERROR(category_assignment_2[[#This Row],[category_assignment_id]],"")</f>
        <v/>
      </c>
      <c r="B1197" s="3" t="str">
        <f>IFERROR(VLOOKUP(category_assignment_2[[#This Row],[category_id]],#REF!,3,FALSE),"")</f>
        <v/>
      </c>
      <c r="C1197" s="22" t="str">
        <f>IFERROR(VLOOKUP(category_assignment_2[[#This Row],[abbreviation_id]],abbreviation[],ColumnLanguage+1,FALSE),"")</f>
        <v/>
      </c>
      <c r="D1197" s="23"/>
      <c r="E1197" s="23"/>
      <c r="F1197" s="23"/>
      <c r="G1197" s="23"/>
      <c r="H1197" s="23"/>
      <c r="I1197" s="23"/>
      <c r="J1197" s="23"/>
      <c r="K1197" s="23"/>
    </row>
    <row r="1198" spans="1:11" x14ac:dyDescent="0.25">
      <c r="A1198" s="2" t="str">
        <f>IFERROR(category_assignment_2[[#This Row],[category_assignment_id]],"")</f>
        <v/>
      </c>
      <c r="B1198" s="3" t="str">
        <f>IFERROR(VLOOKUP(category_assignment_2[[#This Row],[category_id]],#REF!,3,FALSE),"")</f>
        <v/>
      </c>
      <c r="C1198" s="3" t="str">
        <f>IFERROR(VLOOKUP(category_assignment_2[[#This Row],[abbreviation_id]],abbreviation[],ColumnLanguage+1,FALSE),"")</f>
        <v/>
      </c>
      <c r="D1198" s="23"/>
      <c r="E1198" s="23"/>
      <c r="F1198" s="23"/>
      <c r="G1198" s="23"/>
      <c r="H1198" s="23"/>
      <c r="I1198" s="23"/>
      <c r="J1198" s="23"/>
      <c r="K1198" s="23"/>
    </row>
    <row r="1199" spans="1:11" x14ac:dyDescent="0.25">
      <c r="A1199" s="2" t="str">
        <f>IFERROR(category_assignment_2[[#This Row],[category_assignment_id]],"")</f>
        <v/>
      </c>
      <c r="B1199" s="3" t="str">
        <f>IFERROR(VLOOKUP(category_assignment_2[[#This Row],[category_id]],#REF!,3,FALSE),"")</f>
        <v/>
      </c>
      <c r="C1199" s="3" t="str">
        <f>IFERROR(VLOOKUP(category_assignment_2[[#This Row],[abbreviation_id]],abbreviation[],ColumnLanguage+1,FALSE),"")</f>
        <v/>
      </c>
      <c r="D1199" s="23"/>
      <c r="E1199" s="23"/>
      <c r="F1199" s="23"/>
      <c r="G1199" s="23"/>
      <c r="H1199" s="23"/>
      <c r="I1199" s="23"/>
      <c r="J1199" s="23"/>
      <c r="K1199" s="23"/>
    </row>
    <row r="1200" spans="1:11" x14ac:dyDescent="0.25">
      <c r="A1200" s="2" t="str">
        <f>IFERROR(category_assignment_2[[#This Row],[category_assignment_id]],"")</f>
        <v/>
      </c>
      <c r="B1200" s="3" t="str">
        <f>IFERROR(VLOOKUP(category_assignment_2[[#This Row],[category_id]],#REF!,3,FALSE),"")</f>
        <v/>
      </c>
      <c r="C1200" s="3" t="str">
        <f>IFERROR(VLOOKUP(category_assignment_2[[#This Row],[abbreviation_id]],abbreviation[],ColumnLanguage+1,FALSE),"")</f>
        <v/>
      </c>
      <c r="D1200" s="23"/>
      <c r="E1200" s="23"/>
      <c r="F1200" s="23"/>
      <c r="G1200" s="23"/>
      <c r="H1200" s="23"/>
      <c r="I1200" s="23"/>
      <c r="J1200" s="23"/>
      <c r="K1200" s="23"/>
    </row>
    <row r="1201" spans="1:11" x14ac:dyDescent="0.25">
      <c r="A1201" s="2" t="str">
        <f>IFERROR(category_assignment_2[[#This Row],[category_assignment_id]],"")</f>
        <v/>
      </c>
      <c r="B1201" s="3" t="str">
        <f>IFERROR(VLOOKUP(category_assignment_2[[#This Row],[category_id]],#REF!,3,FALSE),"")</f>
        <v/>
      </c>
      <c r="C1201" s="22" t="str">
        <f>IFERROR(VLOOKUP(category_assignment_2[[#This Row],[abbreviation_id]],abbreviation[],ColumnLanguage+1,FALSE),"")</f>
        <v/>
      </c>
      <c r="D1201" s="23"/>
      <c r="E1201" s="23"/>
      <c r="F1201" s="23"/>
      <c r="G1201" s="23"/>
      <c r="H1201" s="23"/>
      <c r="I1201" s="23"/>
      <c r="J1201" s="23"/>
      <c r="K1201" s="23"/>
    </row>
    <row r="1202" spans="1:11" x14ac:dyDescent="0.25">
      <c r="A1202" s="2" t="str">
        <f>IFERROR(category_assignment_2[[#This Row],[category_assignment_id]],"")</f>
        <v/>
      </c>
      <c r="B1202" s="3" t="str">
        <f>IFERROR(VLOOKUP(category_assignment_2[[#This Row],[category_id]],#REF!,3,FALSE),"")</f>
        <v/>
      </c>
      <c r="C1202" s="3" t="str">
        <f>IFERROR(VLOOKUP(category_assignment_2[[#This Row],[abbreviation_id]],abbreviation[],ColumnLanguage+1,FALSE),"")</f>
        <v/>
      </c>
      <c r="D1202" s="23"/>
      <c r="E1202" s="23"/>
      <c r="F1202" s="23"/>
      <c r="G1202" s="23"/>
      <c r="H1202" s="23"/>
      <c r="I1202" s="23"/>
      <c r="J1202" s="23"/>
      <c r="K1202" s="23"/>
    </row>
    <row r="1203" spans="1:11" x14ac:dyDescent="0.25">
      <c r="A1203" s="2" t="str">
        <f>IFERROR(category_assignment_2[[#This Row],[category_assignment_id]],"")</f>
        <v/>
      </c>
      <c r="B1203" s="3" t="str">
        <f>IFERROR(VLOOKUP(category_assignment_2[[#This Row],[category_id]],#REF!,3,FALSE),"")</f>
        <v/>
      </c>
      <c r="C1203" s="22" t="str">
        <f>IFERROR(VLOOKUP(category_assignment_2[[#This Row],[abbreviation_id]],abbreviation[],ColumnLanguage+1,FALSE),"")</f>
        <v/>
      </c>
      <c r="D1203" s="23"/>
      <c r="E1203" s="23"/>
      <c r="F1203" s="23"/>
      <c r="G1203" s="23"/>
      <c r="H1203" s="23"/>
      <c r="I1203" s="23"/>
      <c r="J1203" s="23"/>
      <c r="K1203" s="23"/>
    </row>
    <row r="1204" spans="1:11" x14ac:dyDescent="0.25">
      <c r="A1204" s="2" t="str">
        <f>IFERROR(category_assignment_2[[#This Row],[category_assignment_id]],"")</f>
        <v/>
      </c>
      <c r="B1204" s="3" t="str">
        <f>IFERROR(VLOOKUP(category_assignment_2[[#This Row],[category_id]],#REF!,3,FALSE),"")</f>
        <v/>
      </c>
      <c r="C1204" s="3" t="str">
        <f>IFERROR(VLOOKUP(category_assignment_2[[#This Row],[abbreviation_id]],abbreviation[],ColumnLanguage+1,FALSE),"")</f>
        <v/>
      </c>
      <c r="D1204" s="23"/>
      <c r="E1204" s="23"/>
      <c r="F1204" s="23"/>
      <c r="G1204" s="23"/>
      <c r="H1204" s="23"/>
      <c r="I1204" s="23"/>
      <c r="J1204" s="23"/>
      <c r="K1204" s="23"/>
    </row>
    <row r="1205" spans="1:11" x14ac:dyDescent="0.25">
      <c r="A1205" s="2" t="str">
        <f>IFERROR(category_assignment_2[[#This Row],[category_assignment_id]],"")</f>
        <v/>
      </c>
      <c r="B1205" s="3" t="str">
        <f>IFERROR(VLOOKUP(category_assignment_2[[#This Row],[category_id]],#REF!,3,FALSE),"")</f>
        <v/>
      </c>
      <c r="C1205" s="22" t="str">
        <f>IFERROR(VLOOKUP(category_assignment_2[[#This Row],[abbreviation_id]],abbreviation[],ColumnLanguage+1,FALSE),"")</f>
        <v/>
      </c>
      <c r="D1205" s="23"/>
      <c r="E1205" s="23"/>
      <c r="F1205" s="23"/>
      <c r="G1205" s="23"/>
      <c r="H1205" s="23"/>
      <c r="I1205" s="23"/>
      <c r="J1205" s="23"/>
      <c r="K1205" s="23"/>
    </row>
    <row r="1206" spans="1:11" x14ac:dyDescent="0.25">
      <c r="A1206" s="2" t="str">
        <f>IFERROR(category_assignment_2[[#This Row],[category_assignment_id]],"")</f>
        <v/>
      </c>
      <c r="B1206" s="3" t="str">
        <f>IFERROR(VLOOKUP(category_assignment_2[[#This Row],[category_id]],#REF!,3,FALSE),"")</f>
        <v/>
      </c>
      <c r="C1206" s="3" t="str">
        <f>IFERROR(VLOOKUP(category_assignment_2[[#This Row],[abbreviation_id]],abbreviation[],ColumnLanguage+1,FALSE),"")</f>
        <v/>
      </c>
      <c r="D1206" s="23"/>
      <c r="E1206" s="23"/>
      <c r="F1206" s="23"/>
      <c r="G1206" s="23"/>
      <c r="H1206" s="23"/>
      <c r="I1206" s="23"/>
      <c r="J1206" s="23"/>
      <c r="K1206" s="23"/>
    </row>
    <row r="1207" spans="1:11" x14ac:dyDescent="0.25">
      <c r="A1207" s="2" t="str">
        <f>IFERROR(category_assignment_2[[#This Row],[category_assignment_id]],"")</f>
        <v/>
      </c>
      <c r="B1207" s="3" t="str">
        <f>IFERROR(VLOOKUP(category_assignment_2[[#This Row],[category_id]],#REF!,3,FALSE),"")</f>
        <v/>
      </c>
      <c r="C1207" s="3" t="str">
        <f>IFERROR(VLOOKUP(category_assignment_2[[#This Row],[abbreviation_id]],abbreviation[],ColumnLanguage+1,FALSE),"")</f>
        <v/>
      </c>
      <c r="D1207" s="23"/>
      <c r="E1207" s="23"/>
      <c r="F1207" s="23"/>
      <c r="G1207" s="23"/>
      <c r="H1207" s="23"/>
      <c r="I1207" s="23"/>
      <c r="J1207" s="23"/>
      <c r="K1207" s="23"/>
    </row>
    <row r="1208" spans="1:11" x14ac:dyDescent="0.25">
      <c r="A1208" s="2" t="str">
        <f>IFERROR(category_assignment_2[[#This Row],[category_assignment_id]],"")</f>
        <v/>
      </c>
      <c r="B1208" s="3" t="str">
        <f>IFERROR(VLOOKUP(category_assignment_2[[#This Row],[category_id]],#REF!,3,FALSE),"")</f>
        <v/>
      </c>
      <c r="C1208" s="3" t="str">
        <f>IFERROR(VLOOKUP(category_assignment_2[[#This Row],[abbreviation_id]],abbreviation[],ColumnLanguage+1,FALSE),"")</f>
        <v/>
      </c>
      <c r="D1208" s="23"/>
      <c r="E1208" s="23"/>
      <c r="F1208" s="23"/>
      <c r="G1208" s="23"/>
      <c r="H1208" s="23"/>
      <c r="I1208" s="23"/>
      <c r="J1208" s="23"/>
      <c r="K1208" s="23"/>
    </row>
    <row r="1209" spans="1:11" x14ac:dyDescent="0.25">
      <c r="A1209" s="2" t="str">
        <f>IFERROR(category_assignment_2[[#This Row],[category_assignment_id]],"")</f>
        <v/>
      </c>
      <c r="B1209" s="3" t="str">
        <f>IFERROR(VLOOKUP(category_assignment_2[[#This Row],[category_id]],#REF!,3,FALSE),"")</f>
        <v/>
      </c>
      <c r="C1209" s="3" t="str">
        <f>IFERROR(VLOOKUP(category_assignment_2[[#This Row],[abbreviation_id]],abbreviation[],ColumnLanguage+1,FALSE),"")</f>
        <v/>
      </c>
      <c r="D1209" s="23"/>
      <c r="E1209" s="23"/>
      <c r="F1209" s="23"/>
      <c r="G1209" s="23"/>
      <c r="H1209" s="23"/>
      <c r="I1209" s="23"/>
      <c r="J1209" s="23"/>
      <c r="K1209" s="23"/>
    </row>
    <row r="1210" spans="1:11" x14ac:dyDescent="0.25">
      <c r="A1210" s="2" t="str">
        <f>IFERROR(category_assignment_2[[#This Row],[category_assignment_id]],"")</f>
        <v/>
      </c>
      <c r="B1210" s="3" t="str">
        <f>IFERROR(VLOOKUP(category_assignment_2[[#This Row],[category_id]],#REF!,3,FALSE),"")</f>
        <v/>
      </c>
      <c r="C1210" s="3" t="str">
        <f>IFERROR(VLOOKUP(category_assignment_2[[#This Row],[abbreviation_id]],abbreviation[],ColumnLanguage+1,FALSE),"")</f>
        <v/>
      </c>
      <c r="D1210" s="23"/>
      <c r="E1210" s="23"/>
      <c r="F1210" s="23"/>
      <c r="G1210" s="23"/>
      <c r="H1210" s="23"/>
      <c r="I1210" s="23"/>
      <c r="J1210" s="23"/>
      <c r="K1210" s="23"/>
    </row>
    <row r="1211" spans="1:11" x14ac:dyDescent="0.25">
      <c r="A1211" s="2" t="str">
        <f>IFERROR(category_assignment_2[[#This Row],[category_assignment_id]],"")</f>
        <v/>
      </c>
      <c r="B1211" s="3" t="str">
        <f>IFERROR(VLOOKUP(category_assignment_2[[#This Row],[category_id]],#REF!,3,FALSE),"")</f>
        <v/>
      </c>
      <c r="C1211" s="3" t="str">
        <f>IFERROR(VLOOKUP(category_assignment_2[[#This Row],[abbreviation_id]],abbreviation[],ColumnLanguage+1,FALSE),"")</f>
        <v/>
      </c>
      <c r="D1211" s="23"/>
      <c r="E1211" s="23"/>
      <c r="F1211" s="23"/>
      <c r="G1211" s="23"/>
      <c r="H1211" s="23"/>
      <c r="I1211" s="23"/>
      <c r="J1211" s="23"/>
      <c r="K1211" s="23"/>
    </row>
    <row r="1212" spans="1:11" x14ac:dyDescent="0.25">
      <c r="A1212" s="2" t="str">
        <f>IFERROR(category_assignment_2[[#This Row],[category_assignment_id]],"")</f>
        <v/>
      </c>
      <c r="B1212" s="3" t="str">
        <f>IFERROR(VLOOKUP(category_assignment_2[[#This Row],[category_id]],#REF!,3,FALSE),"")</f>
        <v/>
      </c>
      <c r="C1212" s="3" t="str">
        <f>IFERROR(VLOOKUP(category_assignment_2[[#This Row],[abbreviation_id]],abbreviation[],ColumnLanguage+1,FALSE),"")</f>
        <v/>
      </c>
      <c r="D1212" s="23"/>
      <c r="E1212" s="23"/>
      <c r="F1212" s="23"/>
      <c r="G1212" s="23"/>
      <c r="H1212" s="23"/>
      <c r="I1212" s="23"/>
      <c r="J1212" s="23"/>
      <c r="K1212" s="23"/>
    </row>
    <row r="1213" spans="1:11" x14ac:dyDescent="0.25">
      <c r="A1213" s="2" t="str">
        <f>IFERROR(category_assignment_2[[#This Row],[category_assignment_id]],"")</f>
        <v/>
      </c>
      <c r="B1213" s="3" t="str">
        <f>IFERROR(VLOOKUP(category_assignment_2[[#This Row],[category_id]],#REF!,3,FALSE),"")</f>
        <v/>
      </c>
      <c r="C1213" s="3" t="str">
        <f>IFERROR(VLOOKUP(category_assignment_2[[#This Row],[abbreviation_id]],abbreviation[],ColumnLanguage+1,FALSE),"")</f>
        <v/>
      </c>
      <c r="D1213" s="23"/>
      <c r="E1213" s="23"/>
      <c r="F1213" s="23"/>
      <c r="G1213" s="23"/>
      <c r="H1213" s="23"/>
      <c r="I1213" s="23"/>
      <c r="J1213" s="23"/>
      <c r="K1213" s="23"/>
    </row>
    <row r="1214" spans="1:11" x14ac:dyDescent="0.25">
      <c r="A1214" s="2" t="str">
        <f>IFERROR(category_assignment_2[[#This Row],[category_assignment_id]],"")</f>
        <v/>
      </c>
      <c r="B1214" s="3" t="str">
        <f>IFERROR(VLOOKUP(category_assignment_2[[#This Row],[category_id]],#REF!,3,FALSE),"")</f>
        <v/>
      </c>
      <c r="C1214" s="3" t="str">
        <f>IFERROR(VLOOKUP(category_assignment_2[[#This Row],[abbreviation_id]],abbreviation[],ColumnLanguage+1,FALSE),"")</f>
        <v/>
      </c>
      <c r="D1214" s="23"/>
      <c r="E1214" s="23"/>
      <c r="F1214" s="23"/>
      <c r="G1214" s="23"/>
      <c r="H1214" s="23"/>
      <c r="I1214" s="23"/>
      <c r="J1214" s="23"/>
      <c r="K1214" s="23"/>
    </row>
    <row r="1215" spans="1:11" x14ac:dyDescent="0.25">
      <c r="A1215" s="2" t="str">
        <f>IFERROR(category_assignment_2[[#This Row],[category_assignment_id]],"")</f>
        <v/>
      </c>
      <c r="B1215" s="3" t="str">
        <f>IFERROR(VLOOKUP(category_assignment_2[[#This Row],[category_id]],#REF!,3,FALSE),"")</f>
        <v/>
      </c>
      <c r="C1215" s="3" t="str">
        <f>IFERROR(VLOOKUP(category_assignment_2[[#This Row],[abbreviation_id]],abbreviation[],ColumnLanguage+1,FALSE),"")</f>
        <v/>
      </c>
      <c r="D1215" s="23"/>
      <c r="E1215" s="23"/>
      <c r="F1215" s="23"/>
      <c r="G1215" s="23"/>
      <c r="H1215" s="23"/>
      <c r="I1215" s="23"/>
      <c r="J1215" s="23"/>
      <c r="K1215" s="23"/>
    </row>
    <row r="1216" spans="1:11" x14ac:dyDescent="0.25">
      <c r="A1216" s="2" t="str">
        <f>IFERROR(category_assignment_2[[#This Row],[category_assignment_id]],"")</f>
        <v/>
      </c>
      <c r="B1216" s="3" t="str">
        <f>IFERROR(VLOOKUP(category_assignment_2[[#This Row],[category_id]],#REF!,3,FALSE),"")</f>
        <v/>
      </c>
      <c r="C1216" s="3" t="str">
        <f>IFERROR(VLOOKUP(category_assignment_2[[#This Row],[abbreviation_id]],abbreviation[],ColumnLanguage+1,FALSE),"")</f>
        <v/>
      </c>
      <c r="D1216" s="23"/>
      <c r="E1216" s="23"/>
      <c r="F1216" s="23"/>
      <c r="G1216" s="23"/>
      <c r="H1216" s="23"/>
      <c r="I1216" s="23"/>
      <c r="J1216" s="23"/>
      <c r="K1216" s="23"/>
    </row>
    <row r="1217" spans="1:11" x14ac:dyDescent="0.25">
      <c r="A1217" s="2" t="str">
        <f>IFERROR(category_assignment_2[[#This Row],[category_assignment_id]],"")</f>
        <v/>
      </c>
      <c r="B1217" s="3" t="str">
        <f>IFERROR(VLOOKUP(category_assignment_2[[#This Row],[category_id]],#REF!,3,FALSE),"")</f>
        <v/>
      </c>
      <c r="C1217" s="22" t="str">
        <f>IFERROR(VLOOKUP(category_assignment_2[[#This Row],[abbreviation_id]],abbreviation[],ColumnLanguage+1,FALSE),"")</f>
        <v/>
      </c>
      <c r="D1217" s="23"/>
      <c r="E1217" s="23"/>
      <c r="F1217" s="23"/>
      <c r="G1217" s="23"/>
      <c r="H1217" s="23"/>
      <c r="I1217" s="23"/>
      <c r="J1217" s="23"/>
      <c r="K1217" s="23"/>
    </row>
    <row r="1218" spans="1:11" x14ac:dyDescent="0.25">
      <c r="A1218" s="2" t="str">
        <f>IFERROR(category_assignment_2[[#This Row],[category_assignment_id]],"")</f>
        <v/>
      </c>
      <c r="B1218" s="3" t="str">
        <f>IFERROR(VLOOKUP(category_assignment_2[[#This Row],[category_id]],#REF!,3,FALSE),"")</f>
        <v/>
      </c>
      <c r="C1218" s="3" t="str">
        <f>IFERROR(VLOOKUP(category_assignment_2[[#This Row],[abbreviation_id]],abbreviation[],ColumnLanguage+1,FALSE),"")</f>
        <v/>
      </c>
      <c r="D1218" s="23"/>
      <c r="E1218" s="23"/>
      <c r="F1218" s="23"/>
      <c r="G1218" s="23"/>
      <c r="H1218" s="23"/>
      <c r="I1218" s="23"/>
      <c r="J1218" s="23"/>
      <c r="K1218" s="23"/>
    </row>
    <row r="1219" spans="1:11" x14ac:dyDescent="0.25">
      <c r="A1219" s="2" t="str">
        <f>IFERROR(category_assignment_2[[#This Row],[category_assignment_id]],"")</f>
        <v/>
      </c>
      <c r="B1219" s="3" t="str">
        <f>IFERROR(VLOOKUP(category_assignment_2[[#This Row],[category_id]],#REF!,3,FALSE),"")</f>
        <v/>
      </c>
      <c r="C1219" s="3" t="str">
        <f>IFERROR(VLOOKUP(category_assignment_2[[#This Row],[abbreviation_id]],abbreviation[],ColumnLanguage+1,FALSE),"")</f>
        <v/>
      </c>
      <c r="D1219" s="23"/>
      <c r="E1219" s="23"/>
      <c r="F1219" s="23"/>
      <c r="G1219" s="23"/>
      <c r="H1219" s="23"/>
      <c r="I1219" s="23"/>
      <c r="J1219" s="23"/>
      <c r="K1219" s="23"/>
    </row>
    <row r="1220" spans="1:11" x14ac:dyDescent="0.25">
      <c r="A1220" s="2" t="str">
        <f>IFERROR(category_assignment_2[[#This Row],[category_assignment_id]],"")</f>
        <v/>
      </c>
      <c r="B1220" s="3" t="str">
        <f>IFERROR(VLOOKUP(category_assignment_2[[#This Row],[category_id]],#REF!,3,FALSE),"")</f>
        <v/>
      </c>
      <c r="C1220" s="22" t="str">
        <f>IFERROR(VLOOKUP(category_assignment_2[[#This Row],[abbreviation_id]],abbreviation[],ColumnLanguage+1,FALSE),"")</f>
        <v/>
      </c>
      <c r="D1220" s="23"/>
      <c r="E1220" s="23"/>
      <c r="F1220" s="23"/>
      <c r="G1220" s="23"/>
      <c r="H1220" s="23"/>
      <c r="I1220" s="23"/>
      <c r="J1220" s="23"/>
      <c r="K1220" s="23"/>
    </row>
    <row r="1221" spans="1:11" x14ac:dyDescent="0.25">
      <c r="A1221" s="2" t="str">
        <f>IFERROR(category_assignment_2[[#This Row],[category_assignment_id]],"")</f>
        <v/>
      </c>
      <c r="B1221" s="3" t="str">
        <f>IFERROR(VLOOKUP(category_assignment_2[[#This Row],[category_id]],#REF!,3,FALSE),"")</f>
        <v/>
      </c>
      <c r="C1221" s="3" t="str">
        <f>IFERROR(VLOOKUP(category_assignment_2[[#This Row],[abbreviation_id]],abbreviation[],ColumnLanguage+1,FALSE),"")</f>
        <v/>
      </c>
      <c r="D1221" s="23"/>
      <c r="E1221" s="23"/>
      <c r="F1221" s="23"/>
      <c r="G1221" s="23"/>
      <c r="H1221" s="23"/>
      <c r="I1221" s="23"/>
      <c r="J1221" s="23"/>
      <c r="K1221" s="23"/>
    </row>
    <row r="1222" spans="1:11" x14ac:dyDescent="0.25">
      <c r="A1222" s="2" t="str">
        <f>IFERROR(category_assignment_2[[#This Row],[category_assignment_id]],"")</f>
        <v/>
      </c>
      <c r="B1222" s="3" t="str">
        <f>IFERROR(VLOOKUP(category_assignment_2[[#This Row],[category_id]],#REF!,3,FALSE),"")</f>
        <v/>
      </c>
      <c r="C1222" s="3" t="str">
        <f>IFERROR(VLOOKUP(category_assignment_2[[#This Row],[abbreviation_id]],abbreviation[],ColumnLanguage+1,FALSE),"")</f>
        <v/>
      </c>
      <c r="D1222" s="23"/>
      <c r="E1222" s="23"/>
      <c r="F1222" s="23"/>
      <c r="G1222" s="23"/>
      <c r="H1222" s="23"/>
      <c r="I1222" s="23"/>
      <c r="J1222" s="23"/>
      <c r="K1222" s="23"/>
    </row>
    <row r="1223" spans="1:11" x14ac:dyDescent="0.25">
      <c r="A1223" s="2" t="str">
        <f>IFERROR(category_assignment_2[[#This Row],[category_assignment_id]],"")</f>
        <v/>
      </c>
      <c r="B1223" s="3" t="str">
        <f>IFERROR(VLOOKUP(category_assignment_2[[#This Row],[category_id]],#REF!,3,FALSE),"")</f>
        <v/>
      </c>
      <c r="C1223" s="3" t="str">
        <f>IFERROR(VLOOKUP(category_assignment_2[[#This Row],[abbreviation_id]],abbreviation[],ColumnLanguage+1,FALSE),"")</f>
        <v/>
      </c>
      <c r="D1223" s="23"/>
      <c r="E1223" s="23"/>
      <c r="F1223" s="23"/>
      <c r="G1223" s="23"/>
      <c r="H1223" s="23"/>
      <c r="I1223" s="23"/>
      <c r="J1223" s="23"/>
      <c r="K1223" s="23"/>
    </row>
    <row r="1224" spans="1:11" x14ac:dyDescent="0.25">
      <c r="A1224" s="2" t="str">
        <f>IFERROR(category_assignment_2[[#This Row],[category_assignment_id]],"")</f>
        <v/>
      </c>
      <c r="B1224" s="3" t="str">
        <f>IFERROR(VLOOKUP(category_assignment_2[[#This Row],[category_id]],#REF!,3,FALSE),"")</f>
        <v/>
      </c>
      <c r="C1224" s="3" t="str">
        <f>IFERROR(VLOOKUP(category_assignment_2[[#This Row],[abbreviation_id]],abbreviation[],ColumnLanguage+1,FALSE),"")</f>
        <v/>
      </c>
      <c r="D1224" s="23"/>
      <c r="E1224" s="23"/>
      <c r="F1224" s="23"/>
      <c r="G1224" s="23"/>
      <c r="H1224" s="23"/>
      <c r="I1224" s="23"/>
      <c r="J1224" s="23"/>
      <c r="K1224" s="23"/>
    </row>
    <row r="1225" spans="1:11" x14ac:dyDescent="0.25">
      <c r="A1225" s="2" t="str">
        <f>IFERROR(category_assignment_2[[#This Row],[category_assignment_id]],"")</f>
        <v/>
      </c>
      <c r="B1225" s="3" t="str">
        <f>IFERROR(VLOOKUP(category_assignment_2[[#This Row],[category_id]],#REF!,3,FALSE),"")</f>
        <v/>
      </c>
      <c r="C1225" s="3" t="str">
        <f>IFERROR(VLOOKUP(category_assignment_2[[#This Row],[abbreviation_id]],abbreviation[],ColumnLanguage+1,FALSE),"")</f>
        <v/>
      </c>
      <c r="D1225" s="23"/>
      <c r="E1225" s="23"/>
      <c r="F1225" s="23"/>
      <c r="G1225" s="23"/>
      <c r="H1225" s="23"/>
      <c r="I1225" s="23"/>
      <c r="J1225" s="23"/>
      <c r="K1225" s="23"/>
    </row>
    <row r="1226" spans="1:11" x14ac:dyDescent="0.25">
      <c r="A1226" s="2" t="str">
        <f>IFERROR(category_assignment_2[[#This Row],[category_assignment_id]],"")</f>
        <v/>
      </c>
      <c r="B1226" s="3" t="str">
        <f>IFERROR(VLOOKUP(category_assignment_2[[#This Row],[category_id]],#REF!,3,FALSE),"")</f>
        <v/>
      </c>
      <c r="C1226" s="3" t="str">
        <f>IFERROR(VLOOKUP(category_assignment_2[[#This Row],[abbreviation_id]],abbreviation[],ColumnLanguage+1,FALSE),"")</f>
        <v/>
      </c>
      <c r="D1226" s="23"/>
      <c r="E1226" s="23"/>
      <c r="F1226" s="23"/>
      <c r="G1226" s="23"/>
      <c r="H1226" s="23"/>
      <c r="I1226" s="23"/>
      <c r="J1226" s="23"/>
      <c r="K1226" s="23"/>
    </row>
    <row r="1227" spans="1:11" x14ac:dyDescent="0.25">
      <c r="A1227" s="2" t="str">
        <f>IFERROR(category_assignment_2[[#This Row],[category_assignment_id]],"")</f>
        <v/>
      </c>
      <c r="B1227" s="3" t="str">
        <f>IFERROR(VLOOKUP(category_assignment_2[[#This Row],[category_id]],#REF!,3,FALSE),"")</f>
        <v/>
      </c>
      <c r="C1227" s="3" t="str">
        <f>IFERROR(VLOOKUP(category_assignment_2[[#This Row],[abbreviation_id]],abbreviation[],ColumnLanguage+1,FALSE),"")</f>
        <v/>
      </c>
      <c r="D1227" s="23"/>
      <c r="E1227" s="23"/>
      <c r="F1227" s="23"/>
      <c r="G1227" s="23"/>
      <c r="H1227" s="23"/>
      <c r="I1227" s="23"/>
      <c r="J1227" s="23"/>
      <c r="K1227" s="23"/>
    </row>
    <row r="1228" spans="1:11" x14ac:dyDescent="0.25">
      <c r="A1228" s="4" t="str">
        <f>IFERROR(category_assignment_2[[#This Row],[category_assignment_id]],"")</f>
        <v/>
      </c>
      <c r="B1228" s="23" t="str">
        <f>IFERROR(VLOOKUP(category_assignment_2[[#This Row],[category_id]],#REF!,3,FALSE),"")</f>
        <v/>
      </c>
      <c r="C1228" s="23" t="str">
        <f>IFERROR(VLOOKUP(category_assignment_2[[#This Row],[abbreviation_id]],abbreviation[],ColumnLanguage+1,FALSE),"")</f>
        <v/>
      </c>
      <c r="D1228" s="23"/>
      <c r="E1228" s="23"/>
      <c r="F1228" s="23"/>
      <c r="G1228" s="23"/>
      <c r="H1228" s="23"/>
      <c r="I1228" s="23"/>
      <c r="J1228" s="23"/>
      <c r="K1228" s="23"/>
    </row>
    <row r="1229" spans="1:11" x14ac:dyDescent="0.25">
      <c r="A1229" s="4" t="str">
        <f>IFERROR(category_assignment_2[[#This Row],[category_assignment_id]],"")</f>
        <v/>
      </c>
      <c r="B1229" s="23" t="str">
        <f>IFERROR(VLOOKUP(category_assignment_2[[#This Row],[category_id]],#REF!,3,FALSE),"")</f>
        <v/>
      </c>
      <c r="C1229" s="23" t="str">
        <f>IFERROR(VLOOKUP(category_assignment_2[[#This Row],[abbreviation_id]],abbreviation[],ColumnLanguage+1,FALSE),"")</f>
        <v/>
      </c>
      <c r="D1229" s="23"/>
      <c r="E1229" s="23"/>
      <c r="F1229" s="23"/>
      <c r="G1229" s="23"/>
      <c r="H1229" s="23"/>
      <c r="I1229" s="23"/>
      <c r="J1229" s="23"/>
      <c r="K1229" s="23"/>
    </row>
    <row r="1230" spans="1:11" x14ac:dyDescent="0.25">
      <c r="A1230" s="4" t="str">
        <f>IFERROR(category_assignment_2[[#This Row],[category_assignment_id]],"")</f>
        <v/>
      </c>
      <c r="B1230" s="23" t="str">
        <f>IFERROR(VLOOKUP(category_assignment_2[[#This Row],[category_id]],#REF!,3,FALSE),"")</f>
        <v/>
      </c>
      <c r="C1230" s="23" t="str">
        <f>IFERROR(VLOOKUP(category_assignment_2[[#This Row],[abbreviation_id]],abbreviation[],ColumnLanguage+1,FALSE),"")</f>
        <v/>
      </c>
      <c r="D1230" s="23"/>
      <c r="E1230" s="23"/>
      <c r="F1230" s="23"/>
      <c r="G1230" s="23"/>
      <c r="H1230" s="23"/>
      <c r="I1230" s="23"/>
      <c r="J1230" s="23"/>
      <c r="K1230" s="23"/>
    </row>
    <row r="1231" spans="1:11" x14ac:dyDescent="0.25">
      <c r="A1231" s="4" t="str">
        <f>IFERROR(category_assignment_2[[#This Row],[category_assignment_id]],"")</f>
        <v/>
      </c>
      <c r="B1231" s="23" t="str">
        <f>IFERROR(VLOOKUP(category_assignment_2[[#This Row],[category_id]],#REF!,3,FALSE),"")</f>
        <v/>
      </c>
      <c r="C1231" s="23" t="str">
        <f>IFERROR(VLOOKUP(category_assignment_2[[#This Row],[abbreviation_id]],abbreviation[],ColumnLanguage+1,FALSE),"")</f>
        <v/>
      </c>
      <c r="D1231" s="23"/>
      <c r="E1231" s="23"/>
      <c r="F1231" s="23"/>
      <c r="G1231" s="23"/>
      <c r="H1231" s="23"/>
      <c r="I1231" s="23"/>
      <c r="J1231" s="23"/>
      <c r="K1231" s="23"/>
    </row>
    <row r="1232" spans="1:11" x14ac:dyDescent="0.25">
      <c r="A1232" s="2" t="str">
        <f>IFERROR(category_assignment_2[[#This Row],[category_assignment_id]],"")</f>
        <v/>
      </c>
      <c r="B1232" s="3" t="str">
        <f>IFERROR(VLOOKUP(category_assignment_2[[#This Row],[category_id]],#REF!,3,FALSE),"")</f>
        <v/>
      </c>
      <c r="C1232" s="22" t="str">
        <f>IFERROR(VLOOKUP(category_assignment_2[[#This Row],[abbreviation_id]],abbreviation[],ColumnLanguage+1,FALSE),"")</f>
        <v/>
      </c>
      <c r="D1232" s="23"/>
      <c r="E1232" s="23"/>
      <c r="F1232" s="23"/>
      <c r="G1232" s="23"/>
      <c r="H1232" s="23"/>
      <c r="I1232" s="23"/>
      <c r="J1232" s="23"/>
      <c r="K1232" s="23"/>
    </row>
    <row r="1233" spans="1:11" x14ac:dyDescent="0.25">
      <c r="A1233" s="2" t="str">
        <f>IFERROR(category_assignment_2[[#This Row],[category_assignment_id]],"")</f>
        <v/>
      </c>
      <c r="B1233" s="3" t="str">
        <f>IFERROR(VLOOKUP(category_assignment_2[[#This Row],[category_id]],#REF!,3,FALSE),"")</f>
        <v/>
      </c>
      <c r="C1233" s="3" t="str">
        <f>IFERROR(VLOOKUP(category_assignment_2[[#This Row],[abbreviation_id]],abbreviation[],ColumnLanguage+1,FALSE),"")</f>
        <v/>
      </c>
      <c r="D1233" s="23"/>
      <c r="E1233" s="23"/>
      <c r="F1233" s="23"/>
      <c r="G1233" s="23"/>
      <c r="H1233" s="23"/>
      <c r="I1233" s="23"/>
      <c r="J1233" s="23"/>
      <c r="K1233" s="23"/>
    </row>
    <row r="1234" spans="1:11" x14ac:dyDescent="0.25">
      <c r="A1234" s="2" t="str">
        <f>IFERROR(category_assignment_2[[#This Row],[category_assignment_id]],"")</f>
        <v/>
      </c>
      <c r="B1234" s="3" t="str">
        <f>IFERROR(VLOOKUP(category_assignment_2[[#This Row],[category_id]],#REF!,3,FALSE),"")</f>
        <v/>
      </c>
      <c r="C1234" s="3" t="str">
        <f>IFERROR(VLOOKUP(category_assignment_2[[#This Row],[abbreviation_id]],abbreviation[],ColumnLanguage+1,FALSE),"")</f>
        <v/>
      </c>
      <c r="D1234" s="23"/>
      <c r="E1234" s="23"/>
      <c r="F1234" s="23"/>
      <c r="G1234" s="23"/>
      <c r="H1234" s="23"/>
      <c r="I1234" s="23"/>
      <c r="J1234" s="23"/>
      <c r="K1234" s="23"/>
    </row>
    <row r="1235" spans="1:11" x14ac:dyDescent="0.25">
      <c r="A1235" s="2" t="str">
        <f>IFERROR(category_assignment_2[[#This Row],[category_assignment_id]],"")</f>
        <v/>
      </c>
      <c r="B1235" s="3" t="str">
        <f>IFERROR(VLOOKUP(category_assignment_2[[#This Row],[category_id]],#REF!,3,FALSE),"")</f>
        <v/>
      </c>
      <c r="C1235" s="22" t="str">
        <f>IFERROR(VLOOKUP(category_assignment_2[[#This Row],[abbreviation_id]],abbreviation[],ColumnLanguage+1,FALSE),"")</f>
        <v/>
      </c>
      <c r="D1235" s="23"/>
      <c r="E1235" s="23"/>
      <c r="F1235" s="23"/>
      <c r="G1235" s="23"/>
      <c r="H1235" s="23"/>
      <c r="I1235" s="23"/>
      <c r="J1235" s="23"/>
      <c r="K1235" s="23"/>
    </row>
    <row r="1236" spans="1:11" x14ac:dyDescent="0.25">
      <c r="A1236" s="2" t="str">
        <f>IFERROR(category_assignment_2[[#This Row],[category_assignment_id]],"")</f>
        <v/>
      </c>
      <c r="B1236" s="3" t="str">
        <f>IFERROR(VLOOKUP(category_assignment_2[[#This Row],[category_id]],#REF!,3,FALSE),"")</f>
        <v/>
      </c>
      <c r="C1236" s="3" t="str">
        <f>IFERROR(VLOOKUP(category_assignment_2[[#This Row],[abbreviation_id]],abbreviation[],ColumnLanguage+1,FALSE),"")</f>
        <v/>
      </c>
      <c r="D1236" s="23"/>
      <c r="E1236" s="23"/>
      <c r="F1236" s="23"/>
      <c r="G1236" s="23"/>
      <c r="H1236" s="23"/>
      <c r="I1236" s="23"/>
      <c r="J1236" s="23"/>
      <c r="K1236" s="23"/>
    </row>
    <row r="1237" spans="1:11" x14ac:dyDescent="0.25">
      <c r="A1237" s="2" t="str">
        <f>IFERROR(category_assignment_2[[#This Row],[category_assignment_id]],"")</f>
        <v/>
      </c>
      <c r="B1237" s="3" t="str">
        <f>IFERROR(VLOOKUP(category_assignment_2[[#This Row],[category_id]],#REF!,3,FALSE),"")</f>
        <v/>
      </c>
      <c r="C1237" s="3" t="str">
        <f>IFERROR(VLOOKUP(category_assignment_2[[#This Row],[abbreviation_id]],abbreviation[],ColumnLanguage+1,FALSE),"")</f>
        <v/>
      </c>
      <c r="D1237" s="23"/>
      <c r="E1237" s="23"/>
      <c r="F1237" s="23"/>
      <c r="G1237" s="23"/>
      <c r="H1237" s="23"/>
      <c r="I1237" s="23"/>
      <c r="J1237" s="23"/>
      <c r="K1237" s="23"/>
    </row>
    <row r="1238" spans="1:11" x14ac:dyDescent="0.25">
      <c r="A1238" s="2" t="str">
        <f>IFERROR(category_assignment_2[[#This Row],[category_assignment_id]],"")</f>
        <v/>
      </c>
      <c r="B1238" s="3" t="str">
        <f>IFERROR(VLOOKUP(category_assignment_2[[#This Row],[category_id]],#REF!,3,FALSE),"")</f>
        <v/>
      </c>
      <c r="C1238" s="3" t="str">
        <f>IFERROR(VLOOKUP(category_assignment_2[[#This Row],[abbreviation_id]],abbreviation[],ColumnLanguage+1,FALSE),"")</f>
        <v/>
      </c>
      <c r="D1238" s="23"/>
      <c r="E1238" s="23"/>
      <c r="F1238" s="23"/>
      <c r="G1238" s="23"/>
      <c r="H1238" s="23"/>
      <c r="I1238" s="23"/>
      <c r="J1238" s="23"/>
      <c r="K1238" s="23"/>
    </row>
    <row r="1239" spans="1:11" x14ac:dyDescent="0.25">
      <c r="A1239" s="2" t="str">
        <f>IFERROR(category_assignment_2[[#This Row],[category_assignment_id]],"")</f>
        <v/>
      </c>
      <c r="B1239" s="3" t="str">
        <f>IFERROR(VLOOKUP(category_assignment_2[[#This Row],[category_id]],#REF!,3,FALSE),"")</f>
        <v/>
      </c>
      <c r="C1239" s="3" t="str">
        <f>IFERROR(VLOOKUP(category_assignment_2[[#This Row],[abbreviation_id]],abbreviation[],ColumnLanguage+1,FALSE),"")</f>
        <v/>
      </c>
      <c r="D1239" s="23"/>
      <c r="E1239" s="23"/>
      <c r="F1239" s="23"/>
      <c r="G1239" s="23"/>
      <c r="H1239" s="23"/>
      <c r="I1239" s="23"/>
      <c r="J1239" s="23"/>
      <c r="K1239" s="23"/>
    </row>
    <row r="1240" spans="1:11" x14ac:dyDescent="0.25">
      <c r="A1240" s="2" t="str">
        <f>IFERROR(category_assignment_2[[#This Row],[category_assignment_id]],"")</f>
        <v/>
      </c>
      <c r="B1240" s="3" t="str">
        <f>IFERROR(VLOOKUP(category_assignment_2[[#This Row],[category_id]],#REF!,3,FALSE),"")</f>
        <v/>
      </c>
      <c r="C1240" s="3" t="str">
        <f>IFERROR(VLOOKUP(category_assignment_2[[#This Row],[abbreviation_id]],abbreviation[],ColumnLanguage+1,FALSE),"")</f>
        <v/>
      </c>
      <c r="D1240" s="23"/>
      <c r="E1240" s="23"/>
      <c r="F1240" s="23"/>
      <c r="G1240" s="23"/>
      <c r="H1240" s="23"/>
      <c r="I1240" s="23"/>
      <c r="J1240" s="23"/>
      <c r="K1240" s="23"/>
    </row>
    <row r="1241" spans="1:11" x14ac:dyDescent="0.25">
      <c r="A1241" s="2" t="str">
        <f>IFERROR(category_assignment_2[[#This Row],[category_assignment_id]],"")</f>
        <v/>
      </c>
      <c r="B1241" s="3" t="str">
        <f>IFERROR(VLOOKUP(category_assignment_2[[#This Row],[category_id]],#REF!,3,FALSE),"")</f>
        <v/>
      </c>
      <c r="C1241" s="3" t="str">
        <f>IFERROR(VLOOKUP(category_assignment_2[[#This Row],[abbreviation_id]],abbreviation[],ColumnLanguage+1,FALSE),"")</f>
        <v/>
      </c>
      <c r="D1241" s="23"/>
      <c r="E1241" s="23"/>
      <c r="F1241" s="23"/>
      <c r="G1241" s="23"/>
      <c r="H1241" s="23"/>
      <c r="I1241" s="23"/>
      <c r="J1241" s="23"/>
      <c r="K1241" s="23"/>
    </row>
    <row r="1242" spans="1:11" x14ac:dyDescent="0.25">
      <c r="A1242" s="2" t="str">
        <f>IFERROR(category_assignment_2[[#This Row],[category_assignment_id]],"")</f>
        <v/>
      </c>
      <c r="B1242" s="3" t="str">
        <f>IFERROR(VLOOKUP(category_assignment_2[[#This Row],[category_id]],#REF!,3,FALSE),"")</f>
        <v/>
      </c>
      <c r="C1242" s="22" t="str">
        <f>IFERROR(VLOOKUP(category_assignment_2[[#This Row],[abbreviation_id]],abbreviation[],ColumnLanguage+1,FALSE),"")</f>
        <v/>
      </c>
      <c r="D1242" s="23"/>
      <c r="E1242" s="23"/>
      <c r="F1242" s="23"/>
      <c r="G1242" s="23"/>
      <c r="H1242" s="23"/>
      <c r="I1242" s="23"/>
      <c r="J1242" s="23"/>
      <c r="K1242" s="23"/>
    </row>
    <row r="1243" spans="1:11" x14ac:dyDescent="0.25">
      <c r="A1243" s="2" t="str">
        <f>IFERROR(category_assignment_2[[#This Row],[category_assignment_id]],"")</f>
        <v/>
      </c>
      <c r="B1243" s="3" t="str">
        <f>IFERROR(VLOOKUP(category_assignment_2[[#This Row],[category_id]],#REF!,3,FALSE),"")</f>
        <v/>
      </c>
      <c r="C1243" s="3" t="str">
        <f>IFERROR(VLOOKUP(category_assignment_2[[#This Row],[abbreviation_id]],abbreviation[],ColumnLanguage+1,FALSE),"")</f>
        <v/>
      </c>
      <c r="D1243" s="23"/>
      <c r="E1243" s="23"/>
      <c r="F1243" s="23"/>
      <c r="G1243" s="23"/>
      <c r="H1243" s="23"/>
      <c r="I1243" s="23"/>
      <c r="J1243" s="23"/>
      <c r="K1243" s="23"/>
    </row>
    <row r="1244" spans="1:11" x14ac:dyDescent="0.25">
      <c r="A1244" s="2" t="str">
        <f>IFERROR(category_assignment_2[[#This Row],[category_assignment_id]],"")</f>
        <v/>
      </c>
      <c r="B1244" s="3" t="str">
        <f>IFERROR(VLOOKUP(category_assignment_2[[#This Row],[category_id]],#REF!,3,FALSE),"")</f>
        <v/>
      </c>
      <c r="C1244" s="22" t="str">
        <f>IFERROR(VLOOKUP(category_assignment_2[[#This Row],[abbreviation_id]],abbreviation[],ColumnLanguage+1,FALSE),"")</f>
        <v/>
      </c>
      <c r="D1244" s="23"/>
      <c r="E1244" s="23"/>
      <c r="F1244" s="23"/>
      <c r="G1244" s="23"/>
      <c r="H1244" s="23"/>
      <c r="I1244" s="23"/>
      <c r="J1244" s="23"/>
      <c r="K1244" s="23"/>
    </row>
    <row r="1245" spans="1:11" x14ac:dyDescent="0.25">
      <c r="A1245" s="2" t="str">
        <f>IFERROR(category_assignment_2[[#This Row],[category_assignment_id]],"")</f>
        <v/>
      </c>
      <c r="B1245" s="3" t="str">
        <f>IFERROR(VLOOKUP(category_assignment_2[[#This Row],[category_id]],#REF!,3,FALSE),"")</f>
        <v/>
      </c>
      <c r="C1245" s="3" t="str">
        <f>IFERROR(VLOOKUP(category_assignment_2[[#This Row],[abbreviation_id]],abbreviation[],ColumnLanguage+1,FALSE),"")</f>
        <v/>
      </c>
      <c r="D1245" s="23"/>
      <c r="E1245" s="23"/>
      <c r="F1245" s="23"/>
      <c r="G1245" s="23"/>
      <c r="H1245" s="23"/>
      <c r="I1245" s="23"/>
      <c r="J1245" s="23"/>
      <c r="K1245" s="23"/>
    </row>
    <row r="1246" spans="1:11" x14ac:dyDescent="0.25">
      <c r="A1246" s="2" t="str">
        <f>IFERROR(category_assignment_2[[#This Row],[category_assignment_id]],"")</f>
        <v/>
      </c>
      <c r="B1246" s="3" t="str">
        <f>IFERROR(VLOOKUP(category_assignment_2[[#This Row],[category_id]],#REF!,3,FALSE),"")</f>
        <v/>
      </c>
      <c r="C1246" s="3" t="str">
        <f>IFERROR(VLOOKUP(category_assignment_2[[#This Row],[abbreviation_id]],abbreviation[],ColumnLanguage+1,FALSE),"")</f>
        <v/>
      </c>
      <c r="D1246" s="23"/>
      <c r="E1246" s="23"/>
      <c r="F1246" s="23"/>
      <c r="G1246" s="23"/>
      <c r="H1246" s="23"/>
      <c r="I1246" s="23"/>
      <c r="J1246" s="23"/>
      <c r="K1246" s="23"/>
    </row>
    <row r="1247" spans="1:11" x14ac:dyDescent="0.25">
      <c r="A1247" s="2" t="str">
        <f>IFERROR(category_assignment_2[[#This Row],[category_assignment_id]],"")</f>
        <v/>
      </c>
      <c r="B1247" s="3" t="str">
        <f>IFERROR(VLOOKUP(category_assignment_2[[#This Row],[category_id]],#REF!,3,FALSE),"")</f>
        <v/>
      </c>
      <c r="C1247" s="3" t="str">
        <f>IFERROR(VLOOKUP(category_assignment_2[[#This Row],[abbreviation_id]],abbreviation[],ColumnLanguage+1,FALSE),"")</f>
        <v/>
      </c>
      <c r="D1247" s="23"/>
      <c r="E1247" s="23"/>
      <c r="F1247" s="23"/>
      <c r="G1247" s="23"/>
      <c r="H1247" s="23"/>
      <c r="I1247" s="23"/>
      <c r="J1247" s="23"/>
      <c r="K1247" s="23"/>
    </row>
    <row r="1248" spans="1:11" x14ac:dyDescent="0.25">
      <c r="A1248" s="2" t="str">
        <f>IFERROR(category_assignment_2[[#This Row],[category_assignment_id]],"")</f>
        <v/>
      </c>
      <c r="B1248" s="3" t="str">
        <f>IFERROR(VLOOKUP(category_assignment_2[[#This Row],[category_id]],#REF!,3,FALSE),"")</f>
        <v/>
      </c>
      <c r="C1248" s="22" t="str">
        <f>IFERROR(VLOOKUP(category_assignment_2[[#This Row],[abbreviation_id]],abbreviation[],ColumnLanguage+1,FALSE),"")</f>
        <v/>
      </c>
      <c r="D1248" s="23"/>
      <c r="E1248" s="23"/>
      <c r="F1248" s="23"/>
      <c r="G1248" s="23"/>
      <c r="H1248" s="23"/>
      <c r="I1248" s="23"/>
      <c r="J1248" s="23"/>
      <c r="K1248" s="23"/>
    </row>
    <row r="1249" spans="1:11" x14ac:dyDescent="0.25">
      <c r="A1249" s="2" t="str">
        <f>IFERROR(category_assignment_2[[#This Row],[category_assignment_id]],"")</f>
        <v/>
      </c>
      <c r="B1249" s="3" t="str">
        <f>IFERROR(VLOOKUP(category_assignment_2[[#This Row],[category_id]],#REF!,3,FALSE),"")</f>
        <v/>
      </c>
      <c r="C1249" s="3" t="str">
        <f>IFERROR(VLOOKUP(category_assignment_2[[#This Row],[abbreviation_id]],abbreviation[],ColumnLanguage+1,FALSE),"")</f>
        <v/>
      </c>
      <c r="D1249" s="23"/>
      <c r="E1249" s="23"/>
      <c r="F1249" s="23"/>
      <c r="G1249" s="23"/>
      <c r="H1249" s="23"/>
      <c r="I1249" s="23"/>
      <c r="J1249" s="23"/>
      <c r="K1249" s="23"/>
    </row>
    <row r="1250" spans="1:11" x14ac:dyDescent="0.25">
      <c r="A1250" s="2" t="str">
        <f>IFERROR(category_assignment_2[[#This Row],[category_assignment_id]],"")</f>
        <v/>
      </c>
      <c r="B1250" s="3" t="str">
        <f>IFERROR(VLOOKUP(category_assignment_2[[#This Row],[category_id]],#REF!,3,FALSE),"")</f>
        <v/>
      </c>
      <c r="C1250" s="22" t="str">
        <f>IFERROR(VLOOKUP(category_assignment_2[[#This Row],[abbreviation_id]],abbreviation[],ColumnLanguage+1,FALSE),"")</f>
        <v/>
      </c>
      <c r="D1250" s="23"/>
      <c r="E1250" s="23"/>
      <c r="F1250" s="23"/>
      <c r="G1250" s="23"/>
      <c r="H1250" s="23"/>
      <c r="I1250" s="23"/>
      <c r="J1250" s="23"/>
      <c r="K1250" s="23"/>
    </row>
    <row r="1251" spans="1:11" x14ac:dyDescent="0.25">
      <c r="A1251" s="2" t="str">
        <f>IFERROR(category_assignment_2[[#This Row],[category_assignment_id]],"")</f>
        <v/>
      </c>
      <c r="B1251" s="3" t="str">
        <f>IFERROR(VLOOKUP(category_assignment_2[[#This Row],[category_id]],#REF!,3,FALSE),"")</f>
        <v/>
      </c>
      <c r="C1251" s="3" t="str">
        <f>IFERROR(VLOOKUP(category_assignment_2[[#This Row],[abbreviation_id]],abbreviation[],ColumnLanguage+1,FALSE),"")</f>
        <v/>
      </c>
      <c r="D1251" s="23"/>
      <c r="E1251" s="23"/>
      <c r="F1251" s="23"/>
      <c r="G1251" s="23"/>
      <c r="H1251" s="23"/>
      <c r="I1251" s="23"/>
      <c r="J1251" s="23"/>
      <c r="K1251" s="23"/>
    </row>
    <row r="1252" spans="1:11" x14ac:dyDescent="0.25">
      <c r="A1252" s="2" t="str">
        <f>IFERROR(category_assignment_2[[#This Row],[category_assignment_id]],"")</f>
        <v/>
      </c>
      <c r="B1252" s="3" t="str">
        <f>IFERROR(VLOOKUP(category_assignment_2[[#This Row],[category_id]],#REF!,3,FALSE),"")</f>
        <v/>
      </c>
      <c r="C1252" s="3" t="str">
        <f>IFERROR(VLOOKUP(category_assignment_2[[#This Row],[abbreviation_id]],abbreviation[],ColumnLanguage+1,FALSE),"")</f>
        <v/>
      </c>
      <c r="D1252" s="23"/>
      <c r="E1252" s="23"/>
      <c r="F1252" s="23"/>
      <c r="G1252" s="23"/>
      <c r="H1252" s="23"/>
      <c r="I1252" s="23"/>
      <c r="J1252" s="23"/>
      <c r="K1252" s="23"/>
    </row>
    <row r="1253" spans="1:11" x14ac:dyDescent="0.25">
      <c r="A1253" s="2" t="str">
        <f>IFERROR(category_assignment_2[[#This Row],[category_assignment_id]],"")</f>
        <v/>
      </c>
      <c r="B1253" s="3" t="str">
        <f>IFERROR(VLOOKUP(category_assignment_2[[#This Row],[category_id]],#REF!,3,FALSE),"")</f>
        <v/>
      </c>
      <c r="C1253" s="3" t="str">
        <f>IFERROR(VLOOKUP(category_assignment_2[[#This Row],[abbreviation_id]],abbreviation[],ColumnLanguage+1,FALSE),"")</f>
        <v/>
      </c>
      <c r="D1253" s="23"/>
      <c r="E1253" s="23"/>
      <c r="F1253" s="23"/>
      <c r="G1253" s="23"/>
      <c r="H1253" s="23"/>
      <c r="I1253" s="23"/>
      <c r="J1253" s="23"/>
      <c r="K1253" s="23"/>
    </row>
    <row r="1254" spans="1:11" x14ac:dyDescent="0.25">
      <c r="A1254" s="2" t="str">
        <f>IFERROR(category_assignment_2[[#This Row],[category_assignment_id]],"")</f>
        <v/>
      </c>
      <c r="B1254" s="3" t="str">
        <f>IFERROR(VLOOKUP(category_assignment_2[[#This Row],[category_id]],#REF!,3,FALSE),"")</f>
        <v/>
      </c>
      <c r="C1254" s="3" t="str">
        <f>IFERROR(VLOOKUP(category_assignment_2[[#This Row],[abbreviation_id]],abbreviation[],ColumnLanguage+1,FALSE),"")</f>
        <v/>
      </c>
      <c r="D1254" s="23"/>
      <c r="E1254" s="23"/>
      <c r="F1254" s="23"/>
      <c r="G1254" s="23"/>
      <c r="H1254" s="23"/>
      <c r="I1254" s="23"/>
      <c r="J1254" s="23"/>
      <c r="K1254" s="23"/>
    </row>
    <row r="1255" spans="1:11" x14ac:dyDescent="0.25">
      <c r="A1255" s="2" t="str">
        <f>IFERROR(category_assignment_2[[#This Row],[category_assignment_id]],"")</f>
        <v/>
      </c>
      <c r="B1255" s="3" t="str">
        <f>IFERROR(VLOOKUP(category_assignment_2[[#This Row],[category_id]],#REF!,3,FALSE),"")</f>
        <v/>
      </c>
      <c r="C1255" s="3" t="str">
        <f>IFERROR(VLOOKUP(category_assignment_2[[#This Row],[abbreviation_id]],abbreviation[],ColumnLanguage+1,FALSE),"")</f>
        <v/>
      </c>
      <c r="D1255" s="23"/>
      <c r="E1255" s="23"/>
      <c r="F1255" s="23"/>
      <c r="G1255" s="23"/>
      <c r="H1255" s="23"/>
      <c r="I1255" s="23"/>
      <c r="J1255" s="23"/>
      <c r="K1255" s="23"/>
    </row>
    <row r="1256" spans="1:11" x14ac:dyDescent="0.25">
      <c r="A1256" s="2" t="str">
        <f>IFERROR(category_assignment_2[[#This Row],[category_assignment_id]],"")</f>
        <v/>
      </c>
      <c r="B1256" s="3" t="str">
        <f>IFERROR(VLOOKUP(category_assignment_2[[#This Row],[category_id]],#REF!,3,FALSE),"")</f>
        <v/>
      </c>
      <c r="C1256" s="3" t="str">
        <f>IFERROR(VLOOKUP(category_assignment_2[[#This Row],[abbreviation_id]],abbreviation[],ColumnLanguage+1,FALSE),"")</f>
        <v/>
      </c>
      <c r="D1256" s="23"/>
      <c r="E1256" s="23"/>
      <c r="F1256" s="23"/>
      <c r="G1256" s="23"/>
      <c r="H1256" s="23"/>
      <c r="I1256" s="23"/>
      <c r="J1256" s="23"/>
      <c r="K1256" s="23"/>
    </row>
    <row r="1257" spans="1:11" x14ac:dyDescent="0.25">
      <c r="A1257" s="2" t="str">
        <f>IFERROR(category_assignment_2[[#This Row],[category_assignment_id]],"")</f>
        <v/>
      </c>
      <c r="B1257" s="3" t="str">
        <f>IFERROR(VLOOKUP(category_assignment_2[[#This Row],[category_id]],#REF!,3,FALSE),"")</f>
        <v/>
      </c>
      <c r="C1257" s="3" t="str">
        <f>IFERROR(VLOOKUP(category_assignment_2[[#This Row],[abbreviation_id]],abbreviation[],ColumnLanguage+1,FALSE),"")</f>
        <v/>
      </c>
      <c r="D1257" s="23"/>
      <c r="E1257" s="23"/>
      <c r="F1257" s="23"/>
      <c r="G1257" s="23"/>
      <c r="H1257" s="23"/>
      <c r="I1257" s="23"/>
      <c r="J1257" s="23"/>
      <c r="K1257" s="23"/>
    </row>
    <row r="1258" spans="1:11" x14ac:dyDescent="0.25">
      <c r="A1258" s="2" t="str">
        <f>IFERROR(category_assignment_2[[#This Row],[category_assignment_id]],"")</f>
        <v/>
      </c>
      <c r="B1258" s="3" t="str">
        <f>IFERROR(VLOOKUP(category_assignment_2[[#This Row],[category_id]],#REF!,3,FALSE),"")</f>
        <v/>
      </c>
      <c r="C1258" s="3" t="str">
        <f>IFERROR(VLOOKUP(category_assignment_2[[#This Row],[abbreviation_id]],abbreviation[],ColumnLanguage+1,FALSE),"")</f>
        <v/>
      </c>
      <c r="D1258" s="23"/>
      <c r="E1258" s="23"/>
      <c r="F1258" s="23"/>
      <c r="G1258" s="23"/>
      <c r="H1258" s="23"/>
      <c r="I1258" s="23"/>
      <c r="J1258" s="23"/>
      <c r="K1258" s="23"/>
    </row>
    <row r="1259" spans="1:11" x14ac:dyDescent="0.25">
      <c r="A1259" s="2" t="str">
        <f>IFERROR(category_assignment_2[[#This Row],[category_assignment_id]],"")</f>
        <v/>
      </c>
      <c r="B1259" s="3" t="str">
        <f>IFERROR(VLOOKUP(category_assignment_2[[#This Row],[category_id]],#REF!,3,FALSE),"")</f>
        <v/>
      </c>
      <c r="C1259" s="3" t="str">
        <f>IFERROR(VLOOKUP(category_assignment_2[[#This Row],[abbreviation_id]],abbreviation[],ColumnLanguage+1,FALSE),"")</f>
        <v/>
      </c>
      <c r="D1259" s="23"/>
      <c r="E1259" s="23"/>
      <c r="F1259" s="23"/>
      <c r="G1259" s="23"/>
      <c r="H1259" s="23"/>
      <c r="I1259" s="23"/>
      <c r="J1259" s="23"/>
      <c r="K1259" s="23"/>
    </row>
    <row r="1260" spans="1:11" x14ac:dyDescent="0.25">
      <c r="A1260" s="2" t="str">
        <f>IFERROR(category_assignment_2[[#This Row],[category_assignment_id]],"")</f>
        <v/>
      </c>
      <c r="B1260" s="3" t="str">
        <f>IFERROR(VLOOKUP(category_assignment_2[[#This Row],[category_id]],#REF!,3,FALSE),"")</f>
        <v/>
      </c>
      <c r="C1260" s="3" t="str">
        <f>IFERROR(VLOOKUP(category_assignment_2[[#This Row],[abbreviation_id]],abbreviation[],ColumnLanguage+1,FALSE),"")</f>
        <v/>
      </c>
      <c r="D1260" s="23"/>
      <c r="E1260" s="23"/>
      <c r="F1260" s="23"/>
      <c r="G1260" s="23"/>
      <c r="H1260" s="23"/>
      <c r="I1260" s="23"/>
      <c r="J1260" s="23"/>
      <c r="K1260" s="23"/>
    </row>
    <row r="1261" spans="1:11" x14ac:dyDescent="0.25">
      <c r="A1261" s="2" t="str">
        <f>IFERROR(category_assignment_2[[#This Row],[category_assignment_id]],"")</f>
        <v/>
      </c>
      <c r="B1261" s="3" t="str">
        <f>IFERROR(VLOOKUP(category_assignment_2[[#This Row],[category_id]],#REF!,3,FALSE),"")</f>
        <v/>
      </c>
      <c r="C1261" s="22" t="str">
        <f>IFERROR(VLOOKUP(category_assignment_2[[#This Row],[abbreviation_id]],abbreviation[],ColumnLanguage+1,FALSE),"")</f>
        <v/>
      </c>
      <c r="D1261" s="23"/>
      <c r="E1261" s="23"/>
      <c r="F1261" s="23"/>
      <c r="G1261" s="23"/>
      <c r="H1261" s="23"/>
      <c r="I1261" s="23"/>
      <c r="J1261" s="23"/>
      <c r="K1261" s="23"/>
    </row>
    <row r="1262" spans="1:11" x14ac:dyDescent="0.25">
      <c r="A1262" s="2" t="str">
        <f>IFERROR(category_assignment_2[[#This Row],[category_assignment_id]],"")</f>
        <v/>
      </c>
      <c r="B1262" s="3" t="str">
        <f>IFERROR(VLOOKUP(category_assignment_2[[#This Row],[category_id]],#REF!,3,FALSE),"")</f>
        <v/>
      </c>
      <c r="C1262" s="3" t="str">
        <f>IFERROR(VLOOKUP(category_assignment_2[[#This Row],[abbreviation_id]],abbreviation[],ColumnLanguage+1,FALSE),"")</f>
        <v/>
      </c>
      <c r="D1262" s="23"/>
      <c r="E1262" s="23"/>
      <c r="F1262" s="23"/>
      <c r="G1262" s="23"/>
      <c r="H1262" s="23"/>
      <c r="I1262" s="23"/>
      <c r="J1262" s="23"/>
      <c r="K1262" s="23"/>
    </row>
    <row r="1263" spans="1:11" x14ac:dyDescent="0.25">
      <c r="A1263" s="2" t="str">
        <f>IFERROR(category_assignment_2[[#This Row],[category_assignment_id]],"")</f>
        <v/>
      </c>
      <c r="B1263" s="3" t="str">
        <f>IFERROR(VLOOKUP(category_assignment_2[[#This Row],[category_id]],#REF!,3,FALSE),"")</f>
        <v/>
      </c>
      <c r="C1263" s="3" t="str">
        <f>IFERROR(VLOOKUP(category_assignment_2[[#This Row],[abbreviation_id]],abbreviation[],ColumnLanguage+1,FALSE),"")</f>
        <v/>
      </c>
      <c r="D1263" s="23"/>
      <c r="E1263" s="23"/>
      <c r="F1263" s="23"/>
      <c r="G1263" s="23"/>
      <c r="H1263" s="23"/>
      <c r="I1263" s="23"/>
      <c r="J1263" s="23"/>
      <c r="K1263" s="23"/>
    </row>
    <row r="1264" spans="1:11" x14ac:dyDescent="0.25">
      <c r="A1264" s="2" t="str">
        <f>IFERROR(category_assignment_2[[#This Row],[category_assignment_id]],"")</f>
        <v/>
      </c>
      <c r="B1264" s="3" t="str">
        <f>IFERROR(VLOOKUP(category_assignment_2[[#This Row],[category_id]],#REF!,3,FALSE),"")</f>
        <v/>
      </c>
      <c r="C1264" s="3" t="str">
        <f>IFERROR(VLOOKUP(category_assignment_2[[#This Row],[abbreviation_id]],abbreviation[],ColumnLanguage+1,FALSE),"")</f>
        <v/>
      </c>
      <c r="D1264" s="23"/>
      <c r="E1264" s="23"/>
      <c r="F1264" s="23"/>
      <c r="G1264" s="23"/>
      <c r="H1264" s="23"/>
      <c r="I1264" s="23"/>
      <c r="J1264" s="23"/>
      <c r="K1264" s="23"/>
    </row>
    <row r="1265" spans="1:11" x14ac:dyDescent="0.25">
      <c r="A1265" s="2" t="str">
        <f>IFERROR(category_assignment_2[[#This Row],[category_assignment_id]],"")</f>
        <v/>
      </c>
      <c r="B1265" s="3" t="str">
        <f>IFERROR(VLOOKUP(category_assignment_2[[#This Row],[category_id]],#REF!,3,FALSE),"")</f>
        <v/>
      </c>
      <c r="C1265" s="3" t="str">
        <f>IFERROR(VLOOKUP(category_assignment_2[[#This Row],[abbreviation_id]],abbreviation[],ColumnLanguage+1,FALSE),"")</f>
        <v/>
      </c>
      <c r="D1265" s="23"/>
      <c r="E1265" s="23"/>
      <c r="F1265" s="23"/>
      <c r="G1265" s="23"/>
      <c r="H1265" s="23"/>
      <c r="I1265" s="23"/>
      <c r="J1265" s="23"/>
      <c r="K1265" s="23"/>
    </row>
    <row r="1266" spans="1:11" x14ac:dyDescent="0.25">
      <c r="A1266" s="2" t="str">
        <f>IFERROR(category_assignment_2[[#This Row],[category_assignment_id]],"")</f>
        <v/>
      </c>
      <c r="B1266" s="3" t="str">
        <f>IFERROR(VLOOKUP(category_assignment_2[[#This Row],[category_id]],#REF!,3,FALSE),"")</f>
        <v/>
      </c>
      <c r="C1266" s="3" t="str">
        <f>IFERROR(VLOOKUP(category_assignment_2[[#This Row],[abbreviation_id]],abbreviation[],ColumnLanguage+1,FALSE),"")</f>
        <v/>
      </c>
      <c r="D1266" s="23"/>
      <c r="E1266" s="23"/>
      <c r="F1266" s="23"/>
      <c r="G1266" s="23"/>
      <c r="H1266" s="23"/>
      <c r="I1266" s="23"/>
      <c r="J1266" s="23"/>
      <c r="K1266" s="23"/>
    </row>
    <row r="1267" spans="1:11" x14ac:dyDescent="0.25">
      <c r="A1267" s="2" t="str">
        <f>IFERROR(category_assignment_2[[#This Row],[category_assignment_id]],"")</f>
        <v/>
      </c>
      <c r="B1267" s="3" t="str">
        <f>IFERROR(VLOOKUP(category_assignment_2[[#This Row],[category_id]],#REF!,3,FALSE),"")</f>
        <v/>
      </c>
      <c r="C1267" s="3" t="str">
        <f>IFERROR(VLOOKUP(category_assignment_2[[#This Row],[abbreviation_id]],abbreviation[],ColumnLanguage+1,FALSE),"")</f>
        <v/>
      </c>
      <c r="D1267" s="23"/>
      <c r="E1267" s="23"/>
      <c r="F1267" s="23"/>
      <c r="G1267" s="23"/>
      <c r="H1267" s="23"/>
      <c r="I1267" s="23"/>
      <c r="J1267" s="23"/>
      <c r="K1267" s="23"/>
    </row>
    <row r="1268" spans="1:11" x14ac:dyDescent="0.25">
      <c r="A1268" s="4" t="str">
        <f>IFERROR(category_assignment_2[[#This Row],[category_assignment_id]],"")</f>
        <v/>
      </c>
      <c r="B1268" s="23" t="str">
        <f>IFERROR(VLOOKUP(category_assignment_2[[#This Row],[category_id]],#REF!,3,FALSE),"")</f>
        <v/>
      </c>
      <c r="C1268" s="23" t="str">
        <f>IFERROR(VLOOKUP(category_assignment_2[[#This Row],[abbreviation_id]],abbreviation[],ColumnLanguage+1,FALSE),"")</f>
        <v/>
      </c>
      <c r="D1268" s="23"/>
      <c r="E1268" s="23"/>
      <c r="F1268" s="23"/>
      <c r="G1268" s="23"/>
      <c r="H1268" s="23"/>
      <c r="I1268" s="23"/>
      <c r="J1268" s="23"/>
      <c r="K1268" s="23"/>
    </row>
    <row r="1269" spans="1:11" x14ac:dyDescent="0.25">
      <c r="A1269" s="4" t="str">
        <f>IFERROR(category_assignment_2[[#This Row],[category_assignment_id]],"")</f>
        <v/>
      </c>
      <c r="B1269" s="23" t="str">
        <f>IFERROR(VLOOKUP(category_assignment_2[[#This Row],[category_id]],#REF!,3,FALSE),"")</f>
        <v/>
      </c>
      <c r="C1269" s="23" t="str">
        <f>IFERROR(VLOOKUP(category_assignment_2[[#This Row],[abbreviation_id]],abbreviation[],ColumnLanguage+1,FALSE),"")</f>
        <v/>
      </c>
      <c r="D1269" s="23"/>
      <c r="E1269" s="23"/>
      <c r="F1269" s="23"/>
      <c r="G1269" s="23"/>
      <c r="H1269" s="23"/>
      <c r="I1269" s="23"/>
      <c r="J1269" s="23"/>
      <c r="K1269" s="23"/>
    </row>
    <row r="1270" spans="1:11" x14ac:dyDescent="0.25">
      <c r="A1270" s="4" t="str">
        <f>IFERROR(category_assignment_2[[#This Row],[category_assignment_id]],"")</f>
        <v/>
      </c>
      <c r="B1270" s="23" t="str">
        <f>IFERROR(VLOOKUP(category_assignment_2[[#This Row],[category_id]],#REF!,3,FALSE),"")</f>
        <v/>
      </c>
      <c r="C1270" s="23" t="str">
        <f>IFERROR(VLOOKUP(category_assignment_2[[#This Row],[abbreviation_id]],abbreviation[],ColumnLanguage+1,FALSE),"")</f>
        <v/>
      </c>
      <c r="D1270" s="23"/>
      <c r="E1270" s="23"/>
      <c r="F1270" s="23"/>
      <c r="G1270" s="23"/>
      <c r="H1270" s="23"/>
      <c r="I1270" s="23"/>
      <c r="J1270" s="23"/>
      <c r="K1270" s="23"/>
    </row>
    <row r="1271" spans="1:11" x14ac:dyDescent="0.25">
      <c r="A1271" s="4" t="str">
        <f>IFERROR(category_assignment_2[[#This Row],[category_assignment_id]],"")</f>
        <v/>
      </c>
      <c r="B1271" s="23" t="str">
        <f>IFERROR(VLOOKUP(category_assignment_2[[#This Row],[category_id]],#REF!,3,FALSE),"")</f>
        <v/>
      </c>
      <c r="C1271" s="23" t="str">
        <f>IFERROR(VLOOKUP(category_assignment_2[[#This Row],[abbreviation_id]],abbreviation[],ColumnLanguage+1,FALSE),"")</f>
        <v/>
      </c>
      <c r="D1271" s="23"/>
      <c r="E1271" s="23"/>
      <c r="F1271" s="23"/>
      <c r="G1271" s="23"/>
      <c r="H1271" s="23"/>
      <c r="I1271" s="23"/>
      <c r="J1271" s="23"/>
      <c r="K1271" s="23"/>
    </row>
    <row r="1272" spans="1:11" x14ac:dyDescent="0.25">
      <c r="A1272" s="4" t="str">
        <f>IFERROR(category_assignment_2[[#This Row],[category_assignment_id]],"")</f>
        <v/>
      </c>
      <c r="B1272" s="23" t="str">
        <f>IFERROR(VLOOKUP(category_assignment_2[[#This Row],[category_id]],#REF!,3,FALSE),"")</f>
        <v/>
      </c>
      <c r="C1272" s="23" t="str">
        <f>IFERROR(VLOOKUP(category_assignment_2[[#This Row],[abbreviation_id]],abbreviation[],ColumnLanguage+1,FALSE),"")</f>
        <v/>
      </c>
      <c r="D1272" s="23"/>
      <c r="E1272" s="23"/>
      <c r="F1272" s="23"/>
      <c r="G1272" s="23"/>
      <c r="H1272" s="23"/>
      <c r="I1272" s="23"/>
      <c r="J1272" s="23"/>
      <c r="K1272" s="23"/>
    </row>
    <row r="1273" spans="1:11" x14ac:dyDescent="0.25">
      <c r="A1273" s="4" t="str">
        <f>IFERROR(category_assignment_2[[#This Row],[category_assignment_id]],"")</f>
        <v/>
      </c>
      <c r="B1273" s="23" t="str">
        <f>IFERROR(VLOOKUP(category_assignment_2[[#This Row],[category_id]],#REF!,3,FALSE),"")</f>
        <v/>
      </c>
      <c r="C1273" s="23" t="str">
        <f>IFERROR(VLOOKUP(category_assignment_2[[#This Row],[abbreviation_id]],abbreviation[],ColumnLanguage+1,FALSE),"")</f>
        <v/>
      </c>
      <c r="D1273" s="23"/>
      <c r="E1273" s="23"/>
      <c r="F1273" s="23"/>
      <c r="G1273" s="23"/>
      <c r="H1273" s="23"/>
      <c r="I1273" s="23"/>
      <c r="J1273" s="23"/>
      <c r="K1273" s="23"/>
    </row>
    <row r="1274" spans="1:11" x14ac:dyDescent="0.25">
      <c r="A1274" s="4" t="str">
        <f>IFERROR(category_assignment_2[[#This Row],[category_assignment_id]],"")</f>
        <v/>
      </c>
      <c r="B1274" s="23" t="str">
        <f>IFERROR(VLOOKUP(category_assignment_2[[#This Row],[category_id]],#REF!,3,FALSE),"")</f>
        <v/>
      </c>
      <c r="C1274" s="23" t="str">
        <f>IFERROR(VLOOKUP(category_assignment_2[[#This Row],[abbreviation_id]],abbreviation[],ColumnLanguage+1,FALSE),"")</f>
        <v/>
      </c>
      <c r="D1274" s="23"/>
      <c r="E1274" s="23"/>
      <c r="F1274" s="23"/>
      <c r="G1274" s="23"/>
      <c r="H1274" s="23"/>
      <c r="I1274" s="23"/>
      <c r="J1274" s="23"/>
      <c r="K1274" s="23"/>
    </row>
    <row r="1275" spans="1:11" x14ac:dyDescent="0.25">
      <c r="A1275" s="4" t="str">
        <f>IFERROR(category_assignment_2[[#This Row],[category_assignment_id]],"")</f>
        <v/>
      </c>
      <c r="B1275" s="23" t="str">
        <f>IFERROR(VLOOKUP(category_assignment_2[[#This Row],[category_id]],#REF!,3,FALSE),"")</f>
        <v/>
      </c>
      <c r="C1275" s="23" t="str">
        <f>IFERROR(VLOOKUP(category_assignment_2[[#This Row],[abbreviation_id]],abbreviation[],ColumnLanguage+1,FALSE),"")</f>
        <v/>
      </c>
      <c r="D1275" s="23"/>
      <c r="E1275" s="23"/>
      <c r="F1275" s="23"/>
      <c r="G1275" s="23"/>
      <c r="H1275" s="23"/>
      <c r="I1275" s="23"/>
      <c r="J1275" s="23"/>
      <c r="K1275" s="23"/>
    </row>
    <row r="1276" spans="1:11" x14ac:dyDescent="0.25">
      <c r="A1276" s="4" t="str">
        <f>IFERROR(category_assignment_2[[#This Row],[category_assignment_id]],"")</f>
        <v/>
      </c>
      <c r="B1276" s="23" t="str">
        <f>IFERROR(VLOOKUP(category_assignment_2[[#This Row],[category_id]],#REF!,3,FALSE),"")</f>
        <v/>
      </c>
      <c r="C1276" s="23" t="str">
        <f>IFERROR(VLOOKUP(category_assignment_2[[#This Row],[abbreviation_id]],abbreviation[],ColumnLanguage+1,FALSE),"")</f>
        <v/>
      </c>
      <c r="D1276" s="23"/>
      <c r="E1276" s="23"/>
      <c r="F1276" s="23"/>
      <c r="G1276" s="23"/>
      <c r="H1276" s="23"/>
      <c r="I1276" s="23"/>
      <c r="J1276" s="23"/>
      <c r="K1276" s="23"/>
    </row>
    <row r="1277" spans="1:11" x14ac:dyDescent="0.25">
      <c r="A1277" s="4" t="str">
        <f>IFERROR(category_assignment_2[[#This Row],[category_assignment_id]],"")</f>
        <v/>
      </c>
      <c r="B1277" s="23" t="str">
        <f>IFERROR(VLOOKUP(category_assignment_2[[#This Row],[category_id]],#REF!,3,FALSE),"")</f>
        <v/>
      </c>
      <c r="C1277" s="23" t="str">
        <f>IFERROR(VLOOKUP(category_assignment_2[[#This Row],[abbreviation_id]],abbreviation[],ColumnLanguage+1,FALSE),"")</f>
        <v/>
      </c>
      <c r="D1277" s="23"/>
      <c r="E1277" s="23"/>
      <c r="F1277" s="23"/>
      <c r="G1277" s="23"/>
      <c r="H1277" s="23"/>
      <c r="I1277" s="23"/>
      <c r="J1277" s="23"/>
      <c r="K1277" s="23"/>
    </row>
    <row r="1278" spans="1:11" x14ac:dyDescent="0.25">
      <c r="A1278" s="4" t="str">
        <f>IFERROR(category_assignment_2[[#This Row],[category_assignment_id]],"")</f>
        <v/>
      </c>
      <c r="B1278" s="23" t="str">
        <f>IFERROR(VLOOKUP(category_assignment_2[[#This Row],[category_id]],#REF!,3,FALSE),"")</f>
        <v/>
      </c>
      <c r="C1278" s="23" t="str">
        <f>IFERROR(VLOOKUP(category_assignment_2[[#This Row],[abbreviation_id]],abbreviation[],ColumnLanguage+1,FALSE),"")</f>
        <v/>
      </c>
      <c r="D1278" s="23"/>
      <c r="E1278" s="23"/>
      <c r="F1278" s="23"/>
      <c r="G1278" s="23"/>
      <c r="H1278" s="23"/>
      <c r="I1278" s="23"/>
      <c r="J1278" s="23"/>
      <c r="K1278" s="23"/>
    </row>
    <row r="1279" spans="1:11" x14ac:dyDescent="0.25">
      <c r="A1279" s="4" t="str">
        <f>IFERROR(category_assignment_2[[#This Row],[category_assignment_id]],"")</f>
        <v/>
      </c>
      <c r="B1279" s="23" t="str">
        <f>IFERROR(VLOOKUP(category_assignment_2[[#This Row],[category_id]],#REF!,3,FALSE),"")</f>
        <v/>
      </c>
      <c r="C1279" s="23" t="str">
        <f>IFERROR(VLOOKUP(category_assignment_2[[#This Row],[abbreviation_id]],abbreviation[],ColumnLanguage+1,FALSE),"")</f>
        <v/>
      </c>
      <c r="D1279" s="23"/>
      <c r="E1279" s="23"/>
      <c r="F1279" s="23"/>
      <c r="G1279" s="23"/>
      <c r="H1279" s="23"/>
      <c r="I1279" s="23"/>
      <c r="J1279" s="23"/>
      <c r="K1279" s="23"/>
    </row>
    <row r="1280" spans="1:11" x14ac:dyDescent="0.25">
      <c r="A1280" s="4" t="str">
        <f>IFERROR(category_assignment_2[[#This Row],[category_assignment_id]],"")</f>
        <v/>
      </c>
      <c r="B1280" s="23" t="str">
        <f>IFERROR(VLOOKUP(category_assignment_2[[#This Row],[category_id]],#REF!,3,FALSE),"")</f>
        <v/>
      </c>
      <c r="C1280" s="23" t="str">
        <f>IFERROR(VLOOKUP(category_assignment_2[[#This Row],[abbreviation_id]],abbreviation[],ColumnLanguage+1,FALSE),"")</f>
        <v/>
      </c>
      <c r="D1280" s="23"/>
      <c r="E1280" s="23"/>
      <c r="F1280" s="23"/>
      <c r="G1280" s="23"/>
      <c r="H1280" s="23"/>
      <c r="I1280" s="23"/>
      <c r="J1280" s="23"/>
      <c r="K1280" s="23"/>
    </row>
    <row r="1281" spans="1:11" x14ac:dyDescent="0.25">
      <c r="A1281" s="4" t="str">
        <f>IFERROR(category_assignment_2[[#This Row],[category_assignment_id]],"")</f>
        <v/>
      </c>
      <c r="B1281" s="23" t="str">
        <f>IFERROR(VLOOKUP(category_assignment_2[[#This Row],[category_id]],#REF!,3,FALSE),"")</f>
        <v/>
      </c>
      <c r="C1281" s="23" t="str">
        <f>IFERROR(VLOOKUP(category_assignment_2[[#This Row],[abbreviation_id]],abbreviation[],ColumnLanguage+1,FALSE),"")</f>
        <v/>
      </c>
      <c r="D1281" s="23"/>
      <c r="E1281" s="23"/>
      <c r="F1281" s="23"/>
      <c r="G1281" s="23"/>
      <c r="H1281" s="23"/>
      <c r="I1281" s="23"/>
      <c r="J1281" s="23"/>
      <c r="K1281" s="23"/>
    </row>
    <row r="1282" spans="1:11" x14ac:dyDescent="0.25">
      <c r="A1282" s="4" t="str">
        <f>IFERROR(category_assignment_2[[#This Row],[category_assignment_id]],"")</f>
        <v/>
      </c>
      <c r="B1282" s="23" t="str">
        <f>IFERROR(VLOOKUP(category_assignment_2[[#This Row],[category_id]],#REF!,3,FALSE),"")</f>
        <v/>
      </c>
      <c r="C1282" s="23" t="str">
        <f>IFERROR(VLOOKUP(category_assignment_2[[#This Row],[abbreviation_id]],abbreviation[],ColumnLanguage+1,FALSE),"")</f>
        <v/>
      </c>
      <c r="D1282" s="23"/>
      <c r="E1282" s="23"/>
      <c r="F1282" s="23"/>
      <c r="G1282" s="23"/>
      <c r="H1282" s="23"/>
      <c r="I1282" s="23"/>
      <c r="J1282" s="23"/>
      <c r="K1282" s="23"/>
    </row>
    <row r="1283" spans="1:11" x14ac:dyDescent="0.25">
      <c r="A1283" s="4" t="str">
        <f>IFERROR(category_assignment_2[[#This Row],[category_assignment_id]],"")</f>
        <v/>
      </c>
      <c r="B1283" s="23" t="str">
        <f>IFERROR(VLOOKUP(category_assignment_2[[#This Row],[category_id]],#REF!,3,FALSE),"")</f>
        <v/>
      </c>
      <c r="C1283" s="23" t="str">
        <f>IFERROR(VLOOKUP(category_assignment_2[[#This Row],[abbreviation_id]],abbreviation[],ColumnLanguage+1,FALSE),"")</f>
        <v/>
      </c>
      <c r="D1283" s="23"/>
      <c r="E1283" s="23"/>
      <c r="F1283" s="23"/>
      <c r="G1283" s="23"/>
      <c r="H1283" s="23"/>
      <c r="I1283" s="23"/>
      <c r="J1283" s="23"/>
      <c r="K1283" s="23"/>
    </row>
    <row r="1284" spans="1:11" x14ac:dyDescent="0.25">
      <c r="A1284" s="4" t="str">
        <f>IFERROR(category_assignment_2[[#This Row],[category_assignment_id]],"")</f>
        <v/>
      </c>
      <c r="B1284" s="23" t="str">
        <f>IFERROR(VLOOKUP(category_assignment_2[[#This Row],[category_id]],#REF!,3,FALSE),"")</f>
        <v/>
      </c>
      <c r="C1284" s="23" t="str">
        <f>IFERROR(VLOOKUP(category_assignment_2[[#This Row],[abbreviation_id]],abbreviation[],ColumnLanguage+1,FALSE),"")</f>
        <v/>
      </c>
      <c r="D1284" s="23"/>
      <c r="E1284" s="23"/>
      <c r="F1284" s="23"/>
      <c r="G1284" s="23"/>
      <c r="H1284" s="23"/>
      <c r="I1284" s="23"/>
      <c r="J1284" s="23"/>
      <c r="K1284" s="23"/>
    </row>
    <row r="1285" spans="1:11" x14ac:dyDescent="0.25">
      <c r="A1285" s="4" t="str">
        <f>IFERROR(category_assignment_2[[#This Row],[category_assignment_id]],"")</f>
        <v/>
      </c>
      <c r="B1285" s="23" t="str">
        <f>IFERROR(VLOOKUP(category_assignment_2[[#This Row],[category_id]],#REF!,3,FALSE),"")</f>
        <v/>
      </c>
      <c r="C1285" s="23" t="str">
        <f>IFERROR(VLOOKUP(category_assignment_2[[#This Row],[abbreviation_id]],abbreviation[],ColumnLanguage+1,FALSE),"")</f>
        <v/>
      </c>
      <c r="D1285" s="23"/>
      <c r="E1285" s="23"/>
      <c r="F1285" s="23"/>
      <c r="G1285" s="23"/>
      <c r="H1285" s="23"/>
      <c r="I1285" s="23"/>
      <c r="J1285" s="23"/>
      <c r="K1285" s="23"/>
    </row>
    <row r="1286" spans="1:11" x14ac:dyDescent="0.25">
      <c r="A1286" s="4" t="str">
        <f>IFERROR(category_assignment_2[[#This Row],[category_assignment_id]],"")</f>
        <v/>
      </c>
      <c r="B1286" s="23" t="str">
        <f>IFERROR(VLOOKUP(category_assignment_2[[#This Row],[category_id]],#REF!,3,FALSE),"")</f>
        <v/>
      </c>
      <c r="C1286" s="23" t="str">
        <f>IFERROR(VLOOKUP(category_assignment_2[[#This Row],[abbreviation_id]],abbreviation[],ColumnLanguage+1,FALSE),"")</f>
        <v/>
      </c>
      <c r="D1286" s="23"/>
      <c r="E1286" s="23"/>
      <c r="F1286" s="23"/>
      <c r="G1286" s="23"/>
      <c r="H1286" s="23"/>
      <c r="I1286" s="23"/>
      <c r="J1286" s="23"/>
      <c r="K1286" s="23"/>
    </row>
    <row r="1287" spans="1:11" x14ac:dyDescent="0.25">
      <c r="A1287" s="4" t="str">
        <f>IFERROR(category_assignment_2[[#This Row],[category_assignment_id]],"")</f>
        <v/>
      </c>
      <c r="B1287" s="23" t="str">
        <f>IFERROR(VLOOKUP(category_assignment_2[[#This Row],[category_id]],#REF!,3,FALSE),"")</f>
        <v/>
      </c>
      <c r="C1287" s="23" t="str">
        <f>IFERROR(VLOOKUP(category_assignment_2[[#This Row],[abbreviation_id]],abbreviation[],ColumnLanguage+1,FALSE),"")</f>
        <v/>
      </c>
      <c r="D1287" s="23"/>
      <c r="E1287" s="23"/>
      <c r="F1287" s="23"/>
      <c r="G1287" s="23"/>
      <c r="H1287" s="23"/>
      <c r="I1287" s="23"/>
      <c r="J1287" s="23"/>
      <c r="K1287" s="23"/>
    </row>
    <row r="1288" spans="1:11" x14ac:dyDescent="0.25">
      <c r="A1288" s="4" t="str">
        <f>IFERROR(category_assignment_2[[#This Row],[category_assignment_id]],"")</f>
        <v/>
      </c>
      <c r="B1288" s="23" t="str">
        <f>IFERROR(VLOOKUP(category_assignment_2[[#This Row],[category_id]],#REF!,3,FALSE),"")</f>
        <v/>
      </c>
      <c r="C1288" s="23" t="str">
        <f>IFERROR(VLOOKUP(category_assignment_2[[#This Row],[abbreviation_id]],abbreviation[],ColumnLanguage+1,FALSE),"")</f>
        <v/>
      </c>
      <c r="D1288" s="23"/>
      <c r="E1288" s="23"/>
      <c r="F1288" s="23"/>
      <c r="G1288" s="23"/>
      <c r="H1288" s="23"/>
      <c r="I1288" s="23"/>
      <c r="J1288" s="23"/>
      <c r="K1288" s="23"/>
    </row>
    <row r="1289" spans="1:11" x14ac:dyDescent="0.25">
      <c r="A1289" s="4" t="str">
        <f>IFERROR(category_assignment_2[[#This Row],[category_assignment_id]],"")</f>
        <v/>
      </c>
      <c r="B1289" s="23" t="str">
        <f>IFERROR(VLOOKUP(category_assignment_2[[#This Row],[category_id]],#REF!,3,FALSE),"")</f>
        <v/>
      </c>
      <c r="C1289" s="23" t="str">
        <f>IFERROR(VLOOKUP(category_assignment_2[[#This Row],[abbreviation_id]],abbreviation[],ColumnLanguage+1,FALSE),"")</f>
        <v/>
      </c>
      <c r="D1289" s="23"/>
      <c r="E1289" s="23"/>
      <c r="F1289" s="23"/>
      <c r="G1289" s="23"/>
      <c r="H1289" s="23"/>
      <c r="I1289" s="23"/>
      <c r="J1289" s="23"/>
      <c r="K1289" s="23"/>
    </row>
    <row r="1290" spans="1:11" x14ac:dyDescent="0.25">
      <c r="A1290" s="4" t="str">
        <f>IFERROR(category_assignment_2[[#This Row],[category_assignment_id]],"")</f>
        <v/>
      </c>
      <c r="B1290" s="23" t="str">
        <f>IFERROR(VLOOKUP(category_assignment_2[[#This Row],[category_id]],#REF!,3,FALSE),"")</f>
        <v/>
      </c>
      <c r="C1290" s="23" t="str">
        <f>IFERROR(VLOOKUP(category_assignment_2[[#This Row],[abbreviation_id]],abbreviation[],ColumnLanguage+1,FALSE),"")</f>
        <v/>
      </c>
      <c r="D1290" s="23"/>
      <c r="E1290" s="23"/>
      <c r="F1290" s="23"/>
      <c r="G1290" s="23"/>
      <c r="H1290" s="23"/>
      <c r="I1290" s="23"/>
      <c r="J1290" s="23"/>
      <c r="K1290" s="23"/>
    </row>
    <row r="1291" spans="1:11" x14ac:dyDescent="0.25">
      <c r="A1291" s="4" t="str">
        <f>IFERROR(category_assignment_2[[#This Row],[category_assignment_id]],"")</f>
        <v/>
      </c>
      <c r="B1291" s="23" t="str">
        <f>IFERROR(VLOOKUP(category_assignment_2[[#This Row],[category_id]],#REF!,3,FALSE),"")</f>
        <v/>
      </c>
      <c r="C1291" s="23" t="str">
        <f>IFERROR(VLOOKUP(category_assignment_2[[#This Row],[abbreviation_id]],abbreviation[],ColumnLanguage+1,FALSE),"")</f>
        <v/>
      </c>
      <c r="D1291" s="23"/>
      <c r="E1291" s="23"/>
      <c r="F1291" s="23"/>
      <c r="G1291" s="23"/>
      <c r="H1291" s="23"/>
      <c r="I1291" s="23"/>
      <c r="J1291" s="23"/>
      <c r="K1291" s="23"/>
    </row>
    <row r="1292" spans="1:11" x14ac:dyDescent="0.25">
      <c r="A1292" s="4" t="str">
        <f>IFERROR(category_assignment_2[[#This Row],[category_assignment_id]],"")</f>
        <v/>
      </c>
      <c r="B1292" s="23" t="str">
        <f>IFERROR(VLOOKUP(category_assignment_2[[#This Row],[category_id]],#REF!,3,FALSE),"")</f>
        <v/>
      </c>
      <c r="C1292" s="23" t="str">
        <f>IFERROR(VLOOKUP(category_assignment_2[[#This Row],[abbreviation_id]],abbreviation[],ColumnLanguage+1,FALSE),"")</f>
        <v/>
      </c>
      <c r="D1292" s="23"/>
      <c r="E1292" s="23"/>
      <c r="F1292" s="23"/>
      <c r="G1292" s="23"/>
      <c r="H1292" s="23"/>
      <c r="I1292" s="23"/>
      <c r="J1292" s="23"/>
      <c r="K1292" s="23"/>
    </row>
    <row r="1293" spans="1:11" x14ac:dyDescent="0.25">
      <c r="A1293" s="4" t="str">
        <f>IFERROR(category_assignment_2[[#This Row],[category_assignment_id]],"")</f>
        <v/>
      </c>
      <c r="B1293" s="23" t="str">
        <f>IFERROR(VLOOKUP(category_assignment_2[[#This Row],[category_id]],#REF!,3,FALSE),"")</f>
        <v/>
      </c>
      <c r="C1293" s="23" t="str">
        <f>IFERROR(VLOOKUP(category_assignment_2[[#This Row],[abbreviation_id]],abbreviation[],ColumnLanguage+1,FALSE),"")</f>
        <v/>
      </c>
      <c r="D1293" s="23"/>
      <c r="E1293" s="23"/>
      <c r="F1293" s="23"/>
      <c r="G1293" s="23"/>
      <c r="H1293" s="23"/>
      <c r="I1293" s="23"/>
      <c r="J1293" s="23"/>
      <c r="K1293" s="23"/>
    </row>
    <row r="1294" spans="1:11" x14ac:dyDescent="0.25">
      <c r="A1294" s="4" t="str">
        <f>IFERROR(category_assignment_2[[#This Row],[category_assignment_id]],"")</f>
        <v/>
      </c>
      <c r="B1294" s="23" t="str">
        <f>IFERROR(VLOOKUP(category_assignment_2[[#This Row],[category_id]],#REF!,3,FALSE),"")</f>
        <v/>
      </c>
      <c r="C1294" s="23" t="str">
        <f>IFERROR(VLOOKUP(category_assignment_2[[#This Row],[abbreviation_id]],abbreviation[],ColumnLanguage+1,FALSE),"")</f>
        <v/>
      </c>
      <c r="D1294" s="23"/>
      <c r="E1294" s="23"/>
      <c r="F1294" s="23"/>
      <c r="G1294" s="23"/>
      <c r="H1294" s="23"/>
      <c r="I1294" s="23"/>
      <c r="J1294" s="23"/>
      <c r="K1294" s="23"/>
    </row>
    <row r="1295" spans="1:11" x14ac:dyDescent="0.25">
      <c r="A1295" s="4" t="str">
        <f>IFERROR(category_assignment_2[[#This Row],[category_assignment_id]],"")</f>
        <v/>
      </c>
      <c r="B1295" s="23" t="str">
        <f>IFERROR(VLOOKUP(category_assignment_2[[#This Row],[category_id]],#REF!,3,FALSE),"")</f>
        <v/>
      </c>
      <c r="C1295" s="23" t="str">
        <f>IFERROR(VLOOKUP(category_assignment_2[[#This Row],[abbreviation_id]],abbreviation[],ColumnLanguage+1,FALSE),"")</f>
        <v/>
      </c>
      <c r="D1295" s="23"/>
      <c r="E1295" s="23"/>
      <c r="F1295" s="23"/>
      <c r="G1295" s="23"/>
      <c r="H1295" s="23"/>
      <c r="I1295" s="23"/>
      <c r="J1295" s="23"/>
      <c r="K1295" s="23"/>
    </row>
    <row r="1296" spans="1:11" x14ac:dyDescent="0.25">
      <c r="A1296" s="4" t="str">
        <f>IFERROR(category_assignment_2[[#This Row],[category_assignment_id]],"")</f>
        <v/>
      </c>
      <c r="B1296" s="23" t="str">
        <f>IFERROR(VLOOKUP(category_assignment_2[[#This Row],[category_id]],#REF!,3,FALSE),"")</f>
        <v/>
      </c>
      <c r="C1296" s="23" t="str">
        <f>IFERROR(VLOOKUP(category_assignment_2[[#This Row],[abbreviation_id]],abbreviation[],ColumnLanguage+1,FALSE),"")</f>
        <v/>
      </c>
      <c r="D1296" s="23"/>
      <c r="E1296" s="23"/>
      <c r="F1296" s="23"/>
      <c r="G1296" s="23"/>
      <c r="H1296" s="23"/>
      <c r="I1296" s="23"/>
      <c r="J1296" s="23"/>
      <c r="K1296" s="23"/>
    </row>
    <row r="1297" spans="1:11" x14ac:dyDescent="0.25">
      <c r="A1297" s="4" t="str">
        <f>IFERROR(category_assignment_2[[#This Row],[category_assignment_id]],"")</f>
        <v/>
      </c>
      <c r="B1297" s="23" t="str">
        <f>IFERROR(VLOOKUP(category_assignment_2[[#This Row],[category_id]],#REF!,3,FALSE),"")</f>
        <v/>
      </c>
      <c r="C1297" s="23" t="str">
        <f>IFERROR(VLOOKUP(category_assignment_2[[#This Row],[abbreviation_id]],abbreviation[],ColumnLanguage+1,FALSE),"")</f>
        <v/>
      </c>
      <c r="D1297" s="23"/>
      <c r="E1297" s="23"/>
      <c r="F1297" s="23"/>
      <c r="G1297" s="23"/>
      <c r="H1297" s="23"/>
      <c r="I1297" s="23"/>
      <c r="J1297" s="23"/>
      <c r="K1297" s="23"/>
    </row>
    <row r="1298" spans="1:11" x14ac:dyDescent="0.25">
      <c r="A1298" s="4" t="str">
        <f>IFERROR(category_assignment_2[[#This Row],[category_assignment_id]],"")</f>
        <v/>
      </c>
      <c r="B1298" s="23" t="str">
        <f>IFERROR(VLOOKUP(category_assignment_2[[#This Row],[category_id]],#REF!,3,FALSE),"")</f>
        <v/>
      </c>
      <c r="C1298" s="23" t="str">
        <f>IFERROR(VLOOKUP(category_assignment_2[[#This Row],[abbreviation_id]],abbreviation[],ColumnLanguage+1,FALSE),"")</f>
        <v/>
      </c>
      <c r="D1298" s="23"/>
      <c r="E1298" s="23"/>
      <c r="F1298" s="23"/>
      <c r="G1298" s="23"/>
      <c r="H1298" s="23"/>
      <c r="I1298" s="23"/>
      <c r="J1298" s="23"/>
      <c r="K1298" s="23"/>
    </row>
    <row r="1299" spans="1:11" x14ac:dyDescent="0.25">
      <c r="A1299" s="4" t="str">
        <f>IFERROR(category_assignment_2[[#This Row],[category_assignment_id]],"")</f>
        <v/>
      </c>
      <c r="B1299" s="23" t="str">
        <f>IFERROR(VLOOKUP(category_assignment_2[[#This Row],[category_id]],#REF!,3,FALSE),"")</f>
        <v/>
      </c>
      <c r="C1299" s="23" t="str">
        <f>IFERROR(VLOOKUP(category_assignment_2[[#This Row],[abbreviation_id]],abbreviation[],ColumnLanguage+1,FALSE),"")</f>
        <v/>
      </c>
      <c r="D1299" s="23"/>
      <c r="E1299" s="23"/>
      <c r="F1299" s="23"/>
      <c r="G1299" s="23"/>
      <c r="H1299" s="23"/>
      <c r="I1299" s="23"/>
      <c r="J1299" s="23"/>
      <c r="K1299" s="23"/>
    </row>
    <row r="1300" spans="1:11" x14ac:dyDescent="0.25">
      <c r="A1300" s="4" t="str">
        <f>IFERROR(category_assignment_2[[#This Row],[category_assignment_id]],"")</f>
        <v/>
      </c>
      <c r="B1300" s="23" t="str">
        <f>IFERROR(VLOOKUP(category_assignment_2[[#This Row],[category_id]],#REF!,3,FALSE),"")</f>
        <v/>
      </c>
      <c r="C1300" s="23" t="str">
        <f>IFERROR(VLOOKUP(category_assignment_2[[#This Row],[abbreviation_id]],abbreviation[],ColumnLanguage+1,FALSE),"")</f>
        <v/>
      </c>
      <c r="D1300" s="23"/>
      <c r="E1300" s="23"/>
      <c r="F1300" s="23"/>
      <c r="G1300" s="23"/>
      <c r="H1300" s="23"/>
      <c r="I1300" s="23"/>
      <c r="J1300" s="23"/>
      <c r="K1300" s="23"/>
    </row>
    <row r="1301" spans="1:11" x14ac:dyDescent="0.25">
      <c r="A1301" s="4" t="str">
        <f>IFERROR(category_assignment_2[[#This Row],[category_assignment_id]],"")</f>
        <v/>
      </c>
      <c r="B1301" s="23" t="str">
        <f>IFERROR(VLOOKUP(category_assignment_2[[#This Row],[category_id]],#REF!,3,FALSE),"")</f>
        <v/>
      </c>
      <c r="C1301" s="23" t="str">
        <f>IFERROR(VLOOKUP(category_assignment_2[[#This Row],[abbreviation_id]],abbreviation[],ColumnLanguage+1,FALSE),"")</f>
        <v/>
      </c>
      <c r="D1301" s="23"/>
      <c r="E1301" s="23"/>
      <c r="F1301" s="23"/>
      <c r="G1301" s="23"/>
      <c r="H1301" s="23"/>
      <c r="I1301" s="23"/>
      <c r="J1301" s="23"/>
      <c r="K1301" s="23"/>
    </row>
    <row r="1302" spans="1:11" x14ac:dyDescent="0.25">
      <c r="A1302" s="4" t="str">
        <f>IFERROR(category_assignment_2[[#This Row],[category_assignment_id]],"")</f>
        <v/>
      </c>
      <c r="B1302" s="23" t="str">
        <f>IFERROR(VLOOKUP(category_assignment_2[[#This Row],[category_id]],#REF!,3,FALSE),"")</f>
        <v/>
      </c>
      <c r="C1302" s="23" t="str">
        <f>IFERROR(VLOOKUP(category_assignment_2[[#This Row],[abbreviation_id]],abbreviation[],ColumnLanguage+1,FALSE),"")</f>
        <v/>
      </c>
      <c r="D1302" s="23"/>
      <c r="E1302" s="23"/>
      <c r="F1302" s="23"/>
      <c r="G1302" s="23"/>
      <c r="H1302" s="23"/>
      <c r="I1302" s="23"/>
      <c r="J1302" s="23"/>
      <c r="K1302" s="23"/>
    </row>
    <row r="1303" spans="1:11" x14ac:dyDescent="0.25">
      <c r="A1303" s="4" t="str">
        <f>IFERROR(category_assignment_2[[#This Row],[category_assignment_id]],"")</f>
        <v/>
      </c>
      <c r="B1303" s="23" t="str">
        <f>IFERROR(VLOOKUP(category_assignment_2[[#This Row],[category_id]],#REF!,3,FALSE),"")</f>
        <v/>
      </c>
      <c r="C1303" s="23" t="str">
        <f>IFERROR(VLOOKUP(category_assignment_2[[#This Row],[abbreviation_id]],abbreviation[],ColumnLanguage+1,FALSE),"")</f>
        <v/>
      </c>
      <c r="D1303" s="23"/>
      <c r="E1303" s="23"/>
      <c r="F1303" s="23"/>
      <c r="G1303" s="23"/>
      <c r="H1303" s="23"/>
      <c r="I1303" s="23"/>
      <c r="J1303" s="23"/>
      <c r="K1303" s="23"/>
    </row>
    <row r="1304" spans="1:11" x14ac:dyDescent="0.25">
      <c r="A1304" s="4" t="str">
        <f>IFERROR(category_assignment_2[[#This Row],[category_assignment_id]],"")</f>
        <v/>
      </c>
      <c r="B1304" s="23" t="str">
        <f>IFERROR(VLOOKUP(category_assignment_2[[#This Row],[category_id]],#REF!,3,FALSE),"")</f>
        <v/>
      </c>
      <c r="C1304" s="23" t="str">
        <f>IFERROR(VLOOKUP(category_assignment_2[[#This Row],[abbreviation_id]],abbreviation[],ColumnLanguage+1,FALSE),"")</f>
        <v/>
      </c>
      <c r="D1304" s="23"/>
      <c r="E1304" s="23"/>
      <c r="F1304" s="23"/>
      <c r="G1304" s="23"/>
      <c r="H1304" s="23"/>
      <c r="I1304" s="23"/>
      <c r="J1304" s="23"/>
      <c r="K1304" s="23"/>
    </row>
    <row r="1305" spans="1:11" x14ac:dyDescent="0.25">
      <c r="A1305" s="4" t="str">
        <f>IFERROR(category_assignment_2[[#This Row],[category_assignment_id]],"")</f>
        <v/>
      </c>
      <c r="B1305" s="23" t="str">
        <f>IFERROR(VLOOKUP(category_assignment_2[[#This Row],[category_id]],#REF!,3,FALSE),"")</f>
        <v/>
      </c>
      <c r="C1305" s="23" t="str">
        <f>IFERROR(VLOOKUP(category_assignment_2[[#This Row],[abbreviation_id]],abbreviation[],ColumnLanguage+1,FALSE),"")</f>
        <v/>
      </c>
      <c r="D1305" s="23"/>
      <c r="E1305" s="23"/>
      <c r="F1305" s="23"/>
      <c r="G1305" s="23"/>
      <c r="H1305" s="23"/>
      <c r="I1305" s="23"/>
      <c r="J1305" s="23"/>
      <c r="K1305" s="23"/>
    </row>
    <row r="1306" spans="1:11" x14ac:dyDescent="0.25">
      <c r="A1306" s="4" t="str">
        <f>IFERROR(category_assignment_2[[#This Row],[category_assignment_id]],"")</f>
        <v/>
      </c>
      <c r="B1306" s="23" t="str">
        <f>IFERROR(VLOOKUP(category_assignment_2[[#This Row],[category_id]],#REF!,3,FALSE),"")</f>
        <v/>
      </c>
      <c r="C1306" s="23" t="str">
        <f>IFERROR(VLOOKUP(category_assignment_2[[#This Row],[abbreviation_id]],abbreviation[],ColumnLanguage+1,FALSE),"")</f>
        <v/>
      </c>
      <c r="D1306" s="23"/>
      <c r="E1306" s="23"/>
      <c r="F1306" s="23"/>
      <c r="G1306" s="23"/>
      <c r="H1306" s="23"/>
      <c r="I1306" s="23"/>
      <c r="J1306" s="23"/>
      <c r="K1306" s="23"/>
    </row>
    <row r="1307" spans="1:11" x14ac:dyDescent="0.25">
      <c r="A1307" s="4" t="str">
        <f>IFERROR(category_assignment_2[[#This Row],[category_assignment_id]],"")</f>
        <v/>
      </c>
      <c r="B1307" s="23" t="str">
        <f>IFERROR(VLOOKUP(category_assignment_2[[#This Row],[category_id]],#REF!,3,FALSE),"")</f>
        <v/>
      </c>
      <c r="C1307" s="23" t="str">
        <f>IFERROR(VLOOKUP(category_assignment_2[[#This Row],[abbreviation_id]],abbreviation[],ColumnLanguage+1,FALSE),"")</f>
        <v/>
      </c>
      <c r="D1307" s="23"/>
      <c r="E1307" s="23"/>
      <c r="F1307" s="23"/>
      <c r="G1307" s="23"/>
      <c r="H1307" s="23"/>
      <c r="I1307" s="23"/>
      <c r="J1307" s="23"/>
      <c r="K1307" s="23"/>
    </row>
    <row r="1308" spans="1:11" x14ac:dyDescent="0.25">
      <c r="A1308" s="4" t="str">
        <f>IFERROR(category_assignment_2[[#This Row],[category_assignment_id]],"")</f>
        <v/>
      </c>
      <c r="B1308" s="23" t="str">
        <f>IFERROR(VLOOKUP(category_assignment_2[[#This Row],[category_id]],#REF!,3,FALSE),"")</f>
        <v/>
      </c>
      <c r="C1308" s="23" t="str">
        <f>IFERROR(VLOOKUP(category_assignment_2[[#This Row],[abbreviation_id]],abbreviation[],ColumnLanguage+1,FALSE),"")</f>
        <v/>
      </c>
      <c r="D1308" s="23"/>
      <c r="E1308" s="23"/>
      <c r="F1308" s="23"/>
      <c r="G1308" s="23"/>
      <c r="H1308" s="23"/>
      <c r="I1308" s="23"/>
      <c r="J1308" s="23"/>
      <c r="K1308" s="23"/>
    </row>
    <row r="1309" spans="1:11" x14ac:dyDescent="0.25">
      <c r="A1309" s="4" t="str">
        <f>IFERROR(category_assignment_2[[#This Row],[category_assignment_id]],"")</f>
        <v/>
      </c>
      <c r="B1309" s="23" t="str">
        <f>IFERROR(VLOOKUP(category_assignment_2[[#This Row],[category_id]],#REF!,3,FALSE),"")</f>
        <v/>
      </c>
      <c r="C1309" s="23" t="str">
        <f>IFERROR(VLOOKUP(category_assignment_2[[#This Row],[abbreviation_id]],abbreviation[],ColumnLanguage+1,FALSE),"")</f>
        <v/>
      </c>
      <c r="D1309" s="23"/>
      <c r="E1309" s="23"/>
      <c r="F1309" s="23"/>
      <c r="G1309" s="23"/>
      <c r="H1309" s="23"/>
      <c r="I1309" s="23"/>
      <c r="J1309" s="23"/>
      <c r="K1309" s="23"/>
    </row>
    <row r="1310" spans="1:11" x14ac:dyDescent="0.25">
      <c r="A1310" s="4" t="str">
        <f>IFERROR(category_assignment_2[[#This Row],[category_assignment_id]],"")</f>
        <v/>
      </c>
      <c r="B1310" s="23" t="str">
        <f>IFERROR(VLOOKUP(category_assignment_2[[#This Row],[category_id]],#REF!,3,FALSE),"")</f>
        <v/>
      </c>
      <c r="C1310" s="23" t="str">
        <f>IFERROR(VLOOKUP(category_assignment_2[[#This Row],[abbreviation_id]],abbreviation[],ColumnLanguage+1,FALSE),"")</f>
        <v/>
      </c>
      <c r="D1310" s="23"/>
      <c r="E1310" s="23"/>
      <c r="F1310" s="23"/>
      <c r="G1310" s="23"/>
      <c r="H1310" s="23"/>
      <c r="I1310" s="23"/>
      <c r="J1310" s="23"/>
      <c r="K1310" s="23"/>
    </row>
    <row r="1311" spans="1:11" x14ac:dyDescent="0.25">
      <c r="A1311" s="4" t="str">
        <f>IFERROR(category_assignment_2[[#This Row],[category_assignment_id]],"")</f>
        <v/>
      </c>
      <c r="B1311" s="23" t="str">
        <f>IFERROR(VLOOKUP(category_assignment_2[[#This Row],[category_id]],#REF!,3,FALSE),"")</f>
        <v/>
      </c>
      <c r="C1311" s="23" t="str">
        <f>IFERROR(VLOOKUP(category_assignment_2[[#This Row],[abbreviation_id]],abbreviation[],ColumnLanguage+1,FALSE),"")</f>
        <v/>
      </c>
      <c r="D1311" s="23"/>
      <c r="E1311" s="23"/>
      <c r="F1311" s="23"/>
      <c r="G1311" s="23"/>
      <c r="H1311" s="23"/>
      <c r="I1311" s="23"/>
      <c r="J1311" s="23"/>
      <c r="K1311" s="23"/>
    </row>
    <row r="1312" spans="1:11" x14ac:dyDescent="0.25">
      <c r="A1312" s="4" t="str">
        <f>IFERROR(category_assignment_2[[#This Row],[category_assignment_id]],"")</f>
        <v/>
      </c>
      <c r="B1312" s="23" t="str">
        <f>IFERROR(VLOOKUP(category_assignment_2[[#This Row],[category_id]],#REF!,3,FALSE),"")</f>
        <v/>
      </c>
      <c r="C1312" s="23" t="str">
        <f>IFERROR(VLOOKUP(category_assignment_2[[#This Row],[abbreviation_id]],abbreviation[],ColumnLanguage+1,FALSE),"")</f>
        <v/>
      </c>
      <c r="D1312" s="23"/>
      <c r="E1312" s="23"/>
      <c r="F1312" s="23"/>
      <c r="G1312" s="23"/>
      <c r="H1312" s="23"/>
      <c r="I1312" s="23"/>
      <c r="J1312" s="23"/>
      <c r="K1312" s="23"/>
    </row>
    <row r="1313" spans="1:11" x14ac:dyDescent="0.25">
      <c r="A1313" s="4" t="str">
        <f>IFERROR(category_assignment_2[[#This Row],[category_assignment_id]],"")</f>
        <v/>
      </c>
      <c r="B1313" s="23" t="str">
        <f>IFERROR(VLOOKUP(category_assignment_2[[#This Row],[category_id]],#REF!,3,FALSE),"")</f>
        <v/>
      </c>
      <c r="C1313" s="23" t="str">
        <f>IFERROR(VLOOKUP(category_assignment_2[[#This Row],[abbreviation_id]],abbreviation[],ColumnLanguage+1,FALSE),"")</f>
        <v/>
      </c>
      <c r="D1313" s="23"/>
      <c r="E1313" s="23"/>
      <c r="F1313" s="23"/>
      <c r="G1313" s="23"/>
      <c r="H1313" s="23"/>
      <c r="I1313" s="23"/>
      <c r="J1313" s="23"/>
      <c r="K1313" s="23"/>
    </row>
    <row r="1314" spans="1:11" x14ac:dyDescent="0.25">
      <c r="A1314" s="4" t="str">
        <f>IFERROR(category_assignment_2[[#This Row],[category_assignment_id]],"")</f>
        <v/>
      </c>
      <c r="B1314" s="23" t="str">
        <f>IFERROR(VLOOKUP(category_assignment_2[[#This Row],[category_id]],#REF!,3,FALSE),"")</f>
        <v/>
      </c>
      <c r="C1314" s="23" t="str">
        <f>IFERROR(VLOOKUP(category_assignment_2[[#This Row],[abbreviation_id]],abbreviation[],ColumnLanguage+1,FALSE),"")</f>
        <v/>
      </c>
      <c r="D1314" s="23"/>
      <c r="E1314" s="23"/>
      <c r="F1314" s="23"/>
      <c r="G1314" s="23"/>
      <c r="H1314" s="23"/>
      <c r="I1314" s="23"/>
      <c r="J1314" s="23"/>
      <c r="K1314" s="23"/>
    </row>
    <row r="1315" spans="1:11" x14ac:dyDescent="0.25">
      <c r="A1315" s="4" t="str">
        <f>IFERROR(category_assignment_2[[#This Row],[category_assignment_id]],"")</f>
        <v/>
      </c>
      <c r="B1315" s="23" t="str">
        <f>IFERROR(VLOOKUP(category_assignment_2[[#This Row],[category_id]],#REF!,3,FALSE),"")</f>
        <v/>
      </c>
      <c r="C1315" s="23" t="str">
        <f>IFERROR(VLOOKUP(category_assignment_2[[#This Row],[abbreviation_id]],abbreviation[],ColumnLanguage+1,FALSE),"")</f>
        <v/>
      </c>
      <c r="D1315" s="23"/>
      <c r="E1315" s="23"/>
      <c r="F1315" s="23"/>
      <c r="G1315" s="23"/>
      <c r="H1315" s="23"/>
      <c r="I1315" s="23"/>
      <c r="J1315" s="23"/>
      <c r="K1315" s="23"/>
    </row>
    <row r="1316" spans="1:11" x14ac:dyDescent="0.25">
      <c r="A1316" s="4" t="str">
        <f>IFERROR(category_assignment_2[[#This Row],[category_assignment_id]],"")</f>
        <v/>
      </c>
      <c r="B1316" s="23" t="str">
        <f>IFERROR(VLOOKUP(category_assignment_2[[#This Row],[category_id]],#REF!,3,FALSE),"")</f>
        <v/>
      </c>
      <c r="C1316" s="23" t="str">
        <f>IFERROR(VLOOKUP(category_assignment_2[[#This Row],[abbreviation_id]],abbreviation[],ColumnLanguage+1,FALSE),"")</f>
        <v/>
      </c>
      <c r="D1316" s="23"/>
      <c r="E1316" s="23"/>
      <c r="F1316" s="23"/>
      <c r="G1316" s="23"/>
      <c r="H1316" s="23"/>
      <c r="I1316" s="23"/>
      <c r="J1316" s="23"/>
      <c r="K1316" s="23"/>
    </row>
    <row r="1317" spans="1:11" x14ac:dyDescent="0.25">
      <c r="A1317" s="4" t="str">
        <f>IFERROR(category_assignment_2[[#This Row],[category_assignment_id]],"")</f>
        <v/>
      </c>
      <c r="B1317" s="23" t="str">
        <f>IFERROR(VLOOKUP(category_assignment_2[[#This Row],[category_id]],#REF!,3,FALSE),"")</f>
        <v/>
      </c>
      <c r="C1317" s="23" t="str">
        <f>IFERROR(VLOOKUP(category_assignment_2[[#This Row],[abbreviation_id]],abbreviation[],ColumnLanguage+1,FALSE),"")</f>
        <v/>
      </c>
      <c r="D1317" s="23"/>
      <c r="E1317" s="23"/>
      <c r="F1317" s="23"/>
      <c r="G1317" s="23"/>
      <c r="H1317" s="23"/>
      <c r="I1317" s="23"/>
      <c r="J1317" s="23"/>
      <c r="K1317" s="23"/>
    </row>
    <row r="1318" spans="1:11" x14ac:dyDescent="0.25">
      <c r="A1318" s="4" t="str">
        <f>IFERROR(category_assignment_2[[#This Row],[category_assignment_id]],"")</f>
        <v/>
      </c>
      <c r="B1318" s="23" t="str">
        <f>IFERROR(VLOOKUP(category_assignment_2[[#This Row],[category_id]],#REF!,3,FALSE),"")</f>
        <v/>
      </c>
      <c r="C1318" s="23" t="str">
        <f>IFERROR(VLOOKUP(category_assignment_2[[#This Row],[abbreviation_id]],abbreviation[],ColumnLanguage+1,FALSE),"")</f>
        <v/>
      </c>
      <c r="D1318" s="23"/>
      <c r="E1318" s="23"/>
      <c r="F1318" s="23"/>
      <c r="G1318" s="23"/>
      <c r="H1318" s="23"/>
      <c r="I1318" s="23"/>
      <c r="J1318" s="23"/>
      <c r="K1318" s="23"/>
    </row>
    <row r="1319" spans="1:11" x14ac:dyDescent="0.25">
      <c r="A1319" s="4" t="str">
        <f>IFERROR(category_assignment_2[[#This Row],[category_assignment_id]],"")</f>
        <v/>
      </c>
      <c r="B1319" s="23" t="str">
        <f>IFERROR(VLOOKUP(category_assignment_2[[#This Row],[category_id]],#REF!,3,FALSE),"")</f>
        <v/>
      </c>
      <c r="C1319" s="23" t="str">
        <f>IFERROR(VLOOKUP(category_assignment_2[[#This Row],[abbreviation_id]],abbreviation[],ColumnLanguage+1,FALSE),"")</f>
        <v/>
      </c>
      <c r="D1319" s="23"/>
      <c r="E1319" s="23"/>
      <c r="F1319" s="23"/>
      <c r="G1319" s="23"/>
      <c r="H1319" s="23"/>
      <c r="I1319" s="23"/>
      <c r="J1319" s="23"/>
      <c r="K1319" s="23"/>
    </row>
    <row r="1320" spans="1:11" x14ac:dyDescent="0.25">
      <c r="A1320" s="4" t="str">
        <f>IFERROR(category_assignment_2[[#This Row],[category_assignment_id]],"")</f>
        <v/>
      </c>
      <c r="B1320" s="23" t="str">
        <f>IFERROR(VLOOKUP(category_assignment_2[[#This Row],[category_id]],#REF!,3,FALSE),"")</f>
        <v/>
      </c>
      <c r="C1320" s="23" t="str">
        <f>IFERROR(VLOOKUP(category_assignment_2[[#This Row],[abbreviation_id]],abbreviation[],ColumnLanguage+1,FALSE),"")</f>
        <v/>
      </c>
      <c r="D1320" s="23"/>
      <c r="E1320" s="23"/>
      <c r="F1320" s="23"/>
      <c r="G1320" s="23"/>
      <c r="H1320" s="23"/>
      <c r="I1320" s="23"/>
      <c r="J1320" s="23"/>
      <c r="K1320" s="23"/>
    </row>
    <row r="1321" spans="1:11" x14ac:dyDescent="0.25">
      <c r="A1321" s="4" t="str">
        <f>IFERROR(category_assignment_2[[#This Row],[category_assignment_id]],"")</f>
        <v/>
      </c>
      <c r="B1321" s="23" t="str">
        <f>IFERROR(VLOOKUP(category_assignment_2[[#This Row],[category_id]],#REF!,3,FALSE),"")</f>
        <v/>
      </c>
      <c r="C1321" s="23" t="str">
        <f>IFERROR(VLOOKUP(category_assignment_2[[#This Row],[abbreviation_id]],abbreviation[],ColumnLanguage+1,FALSE),"")</f>
        <v/>
      </c>
      <c r="D1321" s="23"/>
      <c r="E1321" s="23"/>
      <c r="F1321" s="23"/>
      <c r="G1321" s="23"/>
      <c r="H1321" s="23"/>
      <c r="I1321" s="23"/>
      <c r="J1321" s="23"/>
      <c r="K1321" s="23"/>
    </row>
    <row r="1322" spans="1:11" x14ac:dyDescent="0.25">
      <c r="A1322" s="4" t="str">
        <f>IFERROR(category_assignment_2[[#This Row],[category_assignment_id]],"")</f>
        <v/>
      </c>
      <c r="B1322" s="23" t="str">
        <f>IFERROR(VLOOKUP(category_assignment_2[[#This Row],[category_id]],#REF!,3,FALSE),"")</f>
        <v/>
      </c>
      <c r="C1322" s="23" t="str">
        <f>IFERROR(VLOOKUP(category_assignment_2[[#This Row],[abbreviation_id]],abbreviation[],ColumnLanguage+1,FALSE),"")</f>
        <v/>
      </c>
      <c r="D1322" s="23"/>
      <c r="E1322" s="23"/>
      <c r="F1322" s="23"/>
      <c r="G1322" s="23"/>
      <c r="H1322" s="23"/>
      <c r="I1322" s="23"/>
      <c r="J1322" s="23"/>
      <c r="K1322" s="23"/>
    </row>
    <row r="1323" spans="1:11" x14ac:dyDescent="0.25">
      <c r="A1323" s="4" t="str">
        <f>IFERROR(category_assignment_2[[#This Row],[category_assignment_id]],"")</f>
        <v/>
      </c>
      <c r="B1323" s="23" t="str">
        <f>IFERROR(VLOOKUP(category_assignment_2[[#This Row],[category_id]],#REF!,3,FALSE),"")</f>
        <v/>
      </c>
      <c r="C1323" s="23" t="str">
        <f>IFERROR(VLOOKUP(category_assignment_2[[#This Row],[abbreviation_id]],abbreviation[],ColumnLanguage+1,FALSE),"")</f>
        <v/>
      </c>
      <c r="D1323" s="23"/>
      <c r="E1323" s="23"/>
      <c r="F1323" s="23"/>
      <c r="G1323" s="23"/>
      <c r="H1323" s="23"/>
      <c r="I1323" s="23"/>
      <c r="J1323" s="23"/>
      <c r="K1323" s="23"/>
    </row>
    <row r="1324" spans="1:11" x14ac:dyDescent="0.25">
      <c r="A1324" s="4" t="str">
        <f>IFERROR(category_assignment_2[[#This Row],[category_assignment_id]],"")</f>
        <v/>
      </c>
      <c r="B1324" s="23" t="str">
        <f>IFERROR(VLOOKUP(category_assignment_2[[#This Row],[category_id]],#REF!,3,FALSE),"")</f>
        <v/>
      </c>
      <c r="C1324" s="23" t="str">
        <f>IFERROR(VLOOKUP(category_assignment_2[[#This Row],[abbreviation_id]],abbreviation[],ColumnLanguage+1,FALSE),"")</f>
        <v/>
      </c>
      <c r="D1324" s="23"/>
      <c r="E1324" s="23"/>
      <c r="F1324" s="23"/>
      <c r="G1324" s="23"/>
      <c r="H1324" s="23"/>
      <c r="I1324" s="23"/>
      <c r="J1324" s="23"/>
      <c r="K1324" s="23"/>
    </row>
    <row r="1325" spans="1:11" x14ac:dyDescent="0.25">
      <c r="A1325" s="4" t="str">
        <f>IFERROR(category_assignment_2[[#This Row],[category_assignment_id]],"")</f>
        <v/>
      </c>
      <c r="B1325" s="23" t="str">
        <f>IFERROR(VLOOKUP(category_assignment_2[[#This Row],[category_id]],#REF!,3,FALSE),"")</f>
        <v/>
      </c>
      <c r="C1325" s="23" t="str">
        <f>IFERROR(VLOOKUP(category_assignment_2[[#This Row],[abbreviation_id]],abbreviation[],ColumnLanguage+1,FALSE),"")</f>
        <v/>
      </c>
      <c r="D1325" s="23"/>
      <c r="E1325" s="23"/>
      <c r="F1325" s="23"/>
      <c r="G1325" s="23"/>
      <c r="H1325" s="23"/>
      <c r="I1325" s="23"/>
      <c r="J1325" s="23"/>
      <c r="K1325" s="23"/>
    </row>
    <row r="1326" spans="1:11" x14ac:dyDescent="0.25">
      <c r="A1326" s="4" t="str">
        <f>IFERROR(category_assignment_2[[#This Row],[category_assignment_id]],"")</f>
        <v/>
      </c>
      <c r="B1326" s="23" t="str">
        <f>IFERROR(VLOOKUP(category_assignment_2[[#This Row],[category_id]],#REF!,3,FALSE),"")</f>
        <v/>
      </c>
      <c r="C1326" s="23" t="str">
        <f>IFERROR(VLOOKUP(category_assignment_2[[#This Row],[abbreviation_id]],abbreviation[],ColumnLanguage+1,FALSE),"")</f>
        <v/>
      </c>
      <c r="D1326" s="23"/>
      <c r="E1326" s="23"/>
      <c r="F1326" s="23"/>
      <c r="G1326" s="23"/>
      <c r="H1326" s="23"/>
      <c r="I1326" s="23"/>
      <c r="J1326" s="23"/>
      <c r="K1326" s="23"/>
    </row>
    <row r="1327" spans="1:11" x14ac:dyDescent="0.25">
      <c r="A1327" s="4" t="str">
        <f>IFERROR(category_assignment_2[[#This Row],[category_assignment_id]],"")</f>
        <v/>
      </c>
      <c r="B1327" s="23" t="str">
        <f>IFERROR(VLOOKUP(category_assignment_2[[#This Row],[category_id]],#REF!,3,FALSE),"")</f>
        <v/>
      </c>
      <c r="C1327" s="23" t="str">
        <f>IFERROR(VLOOKUP(category_assignment_2[[#This Row],[abbreviation_id]],abbreviation[],ColumnLanguage+1,FALSE),"")</f>
        <v/>
      </c>
      <c r="D1327" s="23"/>
      <c r="E1327" s="23"/>
      <c r="F1327" s="23"/>
      <c r="G1327" s="23"/>
      <c r="H1327" s="23"/>
      <c r="I1327" s="23"/>
      <c r="J1327" s="23"/>
      <c r="K1327" s="23"/>
    </row>
    <row r="1328" spans="1:11" x14ac:dyDescent="0.25">
      <c r="A1328" s="4" t="str">
        <f>IFERROR(category_assignment_2[[#This Row],[category_assignment_id]],"")</f>
        <v/>
      </c>
      <c r="B1328" s="23" t="str">
        <f>IFERROR(VLOOKUP(category_assignment_2[[#This Row],[category_id]],#REF!,3,FALSE),"")</f>
        <v/>
      </c>
      <c r="C1328" s="23" t="str">
        <f>IFERROR(VLOOKUP(category_assignment_2[[#This Row],[abbreviation_id]],abbreviation[],ColumnLanguage+1,FALSE),"")</f>
        <v/>
      </c>
      <c r="D1328" s="23"/>
      <c r="E1328" s="23"/>
      <c r="F1328" s="23"/>
      <c r="G1328" s="23"/>
      <c r="H1328" s="23"/>
      <c r="I1328" s="23"/>
      <c r="J1328" s="23"/>
      <c r="K1328" s="23"/>
    </row>
    <row r="1329" spans="1:11" x14ac:dyDescent="0.25">
      <c r="A1329" s="4" t="str">
        <f>IFERROR(category_assignment_2[[#This Row],[category_assignment_id]],"")</f>
        <v/>
      </c>
      <c r="B1329" s="23" t="str">
        <f>IFERROR(VLOOKUP(category_assignment_2[[#This Row],[category_id]],#REF!,3,FALSE),"")</f>
        <v/>
      </c>
      <c r="C1329" s="23" t="str">
        <f>IFERROR(VLOOKUP(category_assignment_2[[#This Row],[abbreviation_id]],abbreviation[],ColumnLanguage+1,FALSE),"")</f>
        <v/>
      </c>
      <c r="D1329" s="23"/>
      <c r="E1329" s="23"/>
      <c r="F1329" s="23"/>
      <c r="G1329" s="23"/>
      <c r="H1329" s="23"/>
      <c r="I1329" s="23"/>
      <c r="J1329" s="23"/>
      <c r="K1329" s="23"/>
    </row>
    <row r="1330" spans="1:11" x14ac:dyDescent="0.25">
      <c r="A1330" s="4" t="str">
        <f>IFERROR(category_assignment_2[[#This Row],[category_assignment_id]],"")</f>
        <v/>
      </c>
      <c r="B1330" s="23" t="str">
        <f>IFERROR(VLOOKUP(category_assignment_2[[#This Row],[category_id]],#REF!,3,FALSE),"")</f>
        <v/>
      </c>
      <c r="C1330" s="23" t="str">
        <f>IFERROR(VLOOKUP(category_assignment_2[[#This Row],[abbreviation_id]],abbreviation[],ColumnLanguage+1,FALSE),"")</f>
        <v/>
      </c>
      <c r="D1330" s="23"/>
      <c r="E1330" s="23"/>
      <c r="F1330" s="23"/>
      <c r="G1330" s="23"/>
      <c r="H1330" s="23"/>
      <c r="I1330" s="23"/>
      <c r="J1330" s="23"/>
      <c r="K1330" s="23"/>
    </row>
    <row r="1331" spans="1:11" x14ac:dyDescent="0.25">
      <c r="A1331" s="4" t="str">
        <f>IFERROR(category_assignment_2[[#This Row],[category_assignment_id]],"")</f>
        <v/>
      </c>
      <c r="B1331" s="23" t="str">
        <f>IFERROR(VLOOKUP(category_assignment_2[[#This Row],[category_id]],#REF!,3,FALSE),"")</f>
        <v/>
      </c>
      <c r="C1331" s="23" t="str">
        <f>IFERROR(VLOOKUP(category_assignment_2[[#This Row],[abbreviation_id]],abbreviation[],ColumnLanguage+1,FALSE),"")</f>
        <v/>
      </c>
      <c r="D1331" s="23"/>
      <c r="E1331" s="23"/>
      <c r="F1331" s="23"/>
      <c r="G1331" s="23"/>
      <c r="H1331" s="23"/>
      <c r="I1331" s="23"/>
      <c r="J1331" s="23"/>
      <c r="K1331" s="23"/>
    </row>
    <row r="1332" spans="1:11" x14ac:dyDescent="0.25">
      <c r="A1332" s="4" t="str">
        <f>IFERROR(category_assignment_2[[#This Row],[category_assignment_id]],"")</f>
        <v/>
      </c>
      <c r="B1332" s="23" t="str">
        <f>IFERROR(VLOOKUP(category_assignment_2[[#This Row],[category_id]],#REF!,3,FALSE),"")</f>
        <v/>
      </c>
      <c r="C1332" s="23" t="str">
        <f>IFERROR(VLOOKUP(category_assignment_2[[#This Row],[abbreviation_id]],abbreviation[],ColumnLanguage+1,FALSE),"")</f>
        <v/>
      </c>
      <c r="D1332" s="23"/>
      <c r="E1332" s="23"/>
      <c r="F1332" s="23"/>
      <c r="G1332" s="23"/>
      <c r="H1332" s="23"/>
      <c r="I1332" s="23"/>
      <c r="J1332" s="23"/>
      <c r="K1332" s="23"/>
    </row>
    <row r="1333" spans="1:11" x14ac:dyDescent="0.25">
      <c r="A1333" s="4" t="str">
        <f>IFERROR(category_assignment_2[[#This Row],[category_assignment_id]],"")</f>
        <v/>
      </c>
      <c r="B1333" s="23" t="str">
        <f>IFERROR(VLOOKUP(category_assignment_2[[#This Row],[category_id]],#REF!,3,FALSE),"")</f>
        <v/>
      </c>
      <c r="C1333" s="23" t="str">
        <f>IFERROR(VLOOKUP(category_assignment_2[[#This Row],[abbreviation_id]],abbreviation[],ColumnLanguage+1,FALSE),"")</f>
        <v/>
      </c>
      <c r="D1333" s="23"/>
      <c r="E1333" s="23"/>
      <c r="F1333" s="23"/>
      <c r="G1333" s="23"/>
      <c r="H1333" s="23"/>
      <c r="I1333" s="23"/>
      <c r="J1333" s="23"/>
      <c r="K1333" s="23"/>
    </row>
    <row r="1334" spans="1:11" x14ac:dyDescent="0.25">
      <c r="A1334" s="4" t="str">
        <f>IFERROR(category_assignment_2[[#This Row],[category_assignment_id]],"")</f>
        <v/>
      </c>
      <c r="B1334" s="23" t="str">
        <f>IFERROR(VLOOKUP(category_assignment_2[[#This Row],[category_id]],#REF!,3,FALSE),"")</f>
        <v/>
      </c>
      <c r="C1334" s="23" t="str">
        <f>IFERROR(VLOOKUP(category_assignment_2[[#This Row],[abbreviation_id]],abbreviation[],ColumnLanguage+1,FALSE),"")</f>
        <v/>
      </c>
      <c r="D1334" s="23"/>
      <c r="E1334" s="23"/>
      <c r="F1334" s="23"/>
      <c r="G1334" s="23"/>
      <c r="H1334" s="23"/>
      <c r="I1334" s="23"/>
      <c r="J1334" s="23"/>
      <c r="K1334" s="23"/>
    </row>
    <row r="1335" spans="1:11" x14ac:dyDescent="0.25">
      <c r="A1335" s="4" t="str">
        <f>IFERROR(category_assignment_2[[#This Row],[category_assignment_id]],"")</f>
        <v/>
      </c>
      <c r="B1335" s="23" t="str">
        <f>IFERROR(VLOOKUP(category_assignment_2[[#This Row],[category_id]],#REF!,3,FALSE),"")</f>
        <v/>
      </c>
      <c r="C1335" s="23" t="str">
        <f>IFERROR(VLOOKUP(category_assignment_2[[#This Row],[abbreviation_id]],abbreviation[],ColumnLanguage+1,FALSE),"")</f>
        <v/>
      </c>
      <c r="D1335" s="23"/>
      <c r="E1335" s="23"/>
      <c r="F1335" s="23"/>
      <c r="G1335" s="23"/>
      <c r="H1335" s="23"/>
      <c r="I1335" s="23"/>
      <c r="J1335" s="23"/>
      <c r="K1335" s="23"/>
    </row>
    <row r="1336" spans="1:11" x14ac:dyDescent="0.25">
      <c r="A1336" s="4" t="str">
        <f>IFERROR(category_assignment_2[[#This Row],[category_assignment_id]],"")</f>
        <v/>
      </c>
      <c r="B1336" s="23" t="str">
        <f>IFERROR(VLOOKUP(category_assignment_2[[#This Row],[category_id]],#REF!,3,FALSE),"")</f>
        <v/>
      </c>
      <c r="C1336" s="23" t="str">
        <f>IFERROR(VLOOKUP(category_assignment_2[[#This Row],[abbreviation_id]],abbreviation[],ColumnLanguage+1,FALSE),"")</f>
        <v/>
      </c>
      <c r="D1336" s="23"/>
      <c r="E1336" s="23"/>
      <c r="F1336" s="23"/>
      <c r="G1336" s="23"/>
      <c r="H1336" s="23"/>
      <c r="I1336" s="23"/>
      <c r="J1336" s="23"/>
      <c r="K1336" s="23"/>
    </row>
    <row r="1337" spans="1:11" x14ac:dyDescent="0.25">
      <c r="A1337" s="4" t="str">
        <f>IFERROR(category_assignment_2[[#This Row],[category_assignment_id]],"")</f>
        <v/>
      </c>
      <c r="B1337" s="23" t="str">
        <f>IFERROR(VLOOKUP(category_assignment_2[[#This Row],[category_id]],#REF!,3,FALSE),"")</f>
        <v/>
      </c>
      <c r="C1337" s="23" t="str">
        <f>IFERROR(VLOOKUP(category_assignment_2[[#This Row],[abbreviation_id]],abbreviation[],ColumnLanguage+1,FALSE),"")</f>
        <v/>
      </c>
      <c r="D1337" s="23"/>
      <c r="E1337" s="23"/>
      <c r="F1337" s="23"/>
      <c r="G1337" s="23"/>
      <c r="H1337" s="23"/>
      <c r="I1337" s="23"/>
      <c r="J1337" s="23"/>
      <c r="K1337" s="23"/>
    </row>
    <row r="1338" spans="1:11" x14ac:dyDescent="0.25">
      <c r="A1338" s="4" t="str">
        <f>IFERROR(category_assignment_2[[#This Row],[category_assignment_id]],"")</f>
        <v/>
      </c>
      <c r="B1338" s="23" t="str">
        <f>IFERROR(VLOOKUP(category_assignment_2[[#This Row],[category_id]],#REF!,3,FALSE),"")</f>
        <v/>
      </c>
      <c r="C1338" s="23" t="str">
        <f>IFERROR(VLOOKUP(category_assignment_2[[#This Row],[abbreviation_id]],abbreviation[],ColumnLanguage+1,FALSE),"")</f>
        <v/>
      </c>
      <c r="D1338" s="23"/>
      <c r="E1338" s="23"/>
      <c r="F1338" s="23"/>
      <c r="G1338" s="23"/>
      <c r="H1338" s="23"/>
      <c r="I1338" s="23"/>
      <c r="J1338" s="23"/>
      <c r="K1338" s="23"/>
    </row>
    <row r="1339" spans="1:11" x14ac:dyDescent="0.25">
      <c r="A1339" s="4" t="str">
        <f>IFERROR(category_assignment_2[[#This Row],[category_assignment_id]],"")</f>
        <v/>
      </c>
      <c r="B1339" s="23" t="str">
        <f>IFERROR(VLOOKUP(category_assignment_2[[#This Row],[category_id]],#REF!,3,FALSE),"")</f>
        <v/>
      </c>
      <c r="C1339" s="23" t="str">
        <f>IFERROR(VLOOKUP(category_assignment_2[[#This Row],[abbreviation_id]],abbreviation[],ColumnLanguage+1,FALSE),"")</f>
        <v/>
      </c>
      <c r="D1339" s="23"/>
      <c r="E1339" s="23"/>
      <c r="F1339" s="23"/>
      <c r="G1339" s="23"/>
      <c r="H1339" s="23"/>
      <c r="I1339" s="23"/>
      <c r="J1339" s="23"/>
      <c r="K1339" s="23"/>
    </row>
    <row r="1340" spans="1:11" x14ac:dyDescent="0.25">
      <c r="A1340" s="4" t="str">
        <f>IFERROR(category_assignment_2[[#This Row],[category_assignment_id]],"")</f>
        <v/>
      </c>
      <c r="B1340" s="23" t="str">
        <f>IFERROR(VLOOKUP(category_assignment_2[[#This Row],[category_id]],#REF!,3,FALSE),"")</f>
        <v/>
      </c>
      <c r="C1340" s="23" t="str">
        <f>IFERROR(VLOOKUP(category_assignment_2[[#This Row],[abbreviation_id]],abbreviation[],ColumnLanguage+1,FALSE),"")</f>
        <v/>
      </c>
      <c r="D1340" s="23"/>
      <c r="E1340" s="23"/>
      <c r="F1340" s="23"/>
      <c r="G1340" s="23"/>
      <c r="H1340" s="23"/>
      <c r="I1340" s="23"/>
      <c r="J1340" s="23"/>
      <c r="K1340" s="23"/>
    </row>
    <row r="1341" spans="1:11" x14ac:dyDescent="0.25">
      <c r="A1341" s="4" t="str">
        <f>IFERROR(category_assignment_2[[#This Row],[category_assignment_id]],"")</f>
        <v/>
      </c>
      <c r="B1341" s="23" t="str">
        <f>IFERROR(VLOOKUP(category_assignment_2[[#This Row],[category_id]],#REF!,3,FALSE),"")</f>
        <v/>
      </c>
      <c r="C1341" s="23" t="str">
        <f>IFERROR(VLOOKUP(category_assignment_2[[#This Row],[abbreviation_id]],abbreviation[],ColumnLanguage+1,FALSE),"")</f>
        <v/>
      </c>
      <c r="D1341" s="23"/>
      <c r="E1341" s="23"/>
      <c r="F1341" s="23"/>
      <c r="G1341" s="23"/>
      <c r="H1341" s="23"/>
      <c r="I1341" s="23"/>
      <c r="J1341" s="23"/>
      <c r="K1341" s="23"/>
    </row>
    <row r="1342" spans="1:11" x14ac:dyDescent="0.25">
      <c r="A1342" s="4" t="str">
        <f>IFERROR(category_assignment_2[[#This Row],[category_assignment_id]],"")</f>
        <v/>
      </c>
      <c r="B1342" s="23" t="str">
        <f>IFERROR(VLOOKUP(category_assignment_2[[#This Row],[category_id]],#REF!,3,FALSE),"")</f>
        <v/>
      </c>
      <c r="C1342" s="23" t="str">
        <f>IFERROR(VLOOKUP(category_assignment_2[[#This Row],[abbreviation_id]],abbreviation[],ColumnLanguage+1,FALSE),"")</f>
        <v/>
      </c>
      <c r="D1342" s="23"/>
      <c r="E1342" s="23"/>
      <c r="F1342" s="23"/>
      <c r="G1342" s="23"/>
      <c r="H1342" s="23"/>
      <c r="I1342" s="23"/>
      <c r="J1342" s="23"/>
      <c r="K1342" s="23"/>
    </row>
    <row r="1343" spans="1:11" x14ac:dyDescent="0.25">
      <c r="A1343" s="4" t="str">
        <f>IFERROR(category_assignment_2[[#This Row],[category_assignment_id]],"")</f>
        <v/>
      </c>
      <c r="B1343" s="23" t="str">
        <f>IFERROR(VLOOKUP(category_assignment_2[[#This Row],[category_id]],#REF!,3,FALSE),"")</f>
        <v/>
      </c>
      <c r="C1343" s="23" t="str">
        <f>IFERROR(VLOOKUP(category_assignment_2[[#This Row],[abbreviation_id]],abbreviation[],ColumnLanguage+1,FALSE),"")</f>
        <v/>
      </c>
      <c r="D1343" s="23"/>
      <c r="E1343" s="23"/>
      <c r="F1343" s="23"/>
      <c r="G1343" s="23"/>
      <c r="H1343" s="23"/>
      <c r="I1343" s="23"/>
      <c r="J1343" s="23"/>
      <c r="K1343" s="23"/>
    </row>
    <row r="1344" spans="1:11" x14ac:dyDescent="0.25">
      <c r="A1344" s="4" t="str">
        <f>IFERROR(category_assignment_2[[#This Row],[category_assignment_id]],"")</f>
        <v/>
      </c>
      <c r="B1344" s="23" t="str">
        <f>IFERROR(VLOOKUP(category_assignment_2[[#This Row],[category_id]],#REF!,3,FALSE),"")</f>
        <v/>
      </c>
      <c r="C1344" s="23" t="str">
        <f>IFERROR(VLOOKUP(category_assignment_2[[#This Row],[abbreviation_id]],abbreviation[],ColumnLanguage+1,FALSE),"")</f>
        <v/>
      </c>
      <c r="D1344" s="23"/>
      <c r="E1344" s="23"/>
      <c r="F1344" s="23"/>
      <c r="G1344" s="23"/>
      <c r="H1344" s="23"/>
      <c r="I1344" s="23"/>
      <c r="J1344" s="23"/>
      <c r="K1344" s="23"/>
    </row>
    <row r="1345" spans="1:11" x14ac:dyDescent="0.25">
      <c r="A1345" s="4" t="str">
        <f>IFERROR(category_assignment_2[[#This Row],[category_assignment_id]],"")</f>
        <v/>
      </c>
      <c r="B1345" s="23" t="str">
        <f>IFERROR(VLOOKUP(category_assignment_2[[#This Row],[category_id]],#REF!,3,FALSE),"")</f>
        <v/>
      </c>
      <c r="C1345" s="23" t="str">
        <f>IFERROR(VLOOKUP(category_assignment_2[[#This Row],[abbreviation_id]],abbreviation[],ColumnLanguage+1,FALSE),"")</f>
        <v/>
      </c>
      <c r="D1345" s="23"/>
      <c r="E1345" s="23"/>
      <c r="F1345" s="23"/>
      <c r="G1345" s="23"/>
      <c r="H1345" s="23"/>
      <c r="I1345" s="23"/>
      <c r="J1345" s="23"/>
      <c r="K1345" s="23"/>
    </row>
    <row r="1346" spans="1:11" x14ac:dyDescent="0.25">
      <c r="A1346" s="4" t="str">
        <f>IFERROR(category_assignment_2[[#This Row],[category_assignment_id]],"")</f>
        <v/>
      </c>
      <c r="B1346" s="23" t="str">
        <f>IFERROR(VLOOKUP(category_assignment_2[[#This Row],[category_id]],#REF!,3,FALSE),"")</f>
        <v/>
      </c>
      <c r="C1346" s="23" t="str">
        <f>IFERROR(VLOOKUP(category_assignment_2[[#This Row],[abbreviation_id]],abbreviation[],ColumnLanguage+1,FALSE),"")</f>
        <v/>
      </c>
      <c r="D1346" s="23"/>
      <c r="E1346" s="23"/>
      <c r="F1346" s="23"/>
      <c r="G1346" s="23"/>
      <c r="H1346" s="23"/>
      <c r="I1346" s="23"/>
      <c r="J1346" s="23"/>
      <c r="K1346" s="23"/>
    </row>
    <row r="1347" spans="1:11" x14ac:dyDescent="0.25">
      <c r="A1347" s="4" t="str">
        <f>IFERROR(category_assignment_2[[#This Row],[category_assignment_id]],"")</f>
        <v/>
      </c>
      <c r="B1347" s="23" t="str">
        <f>IFERROR(VLOOKUP(category_assignment_2[[#This Row],[category_id]],#REF!,3,FALSE),"")</f>
        <v/>
      </c>
      <c r="C1347" s="23" t="str">
        <f>IFERROR(VLOOKUP(category_assignment_2[[#This Row],[abbreviation_id]],abbreviation[],ColumnLanguage+1,FALSE),"")</f>
        <v/>
      </c>
      <c r="D1347" s="23"/>
      <c r="E1347" s="23"/>
      <c r="F1347" s="23"/>
      <c r="G1347" s="23"/>
      <c r="H1347" s="23"/>
      <c r="I1347" s="23"/>
      <c r="J1347" s="23"/>
      <c r="K1347" s="23"/>
    </row>
    <row r="1348" spans="1:11" x14ac:dyDescent="0.25">
      <c r="A1348" s="4" t="str">
        <f>IFERROR(category_assignment_2[[#This Row],[category_assignment_id]],"")</f>
        <v/>
      </c>
      <c r="B1348" s="23" t="str">
        <f>IFERROR(VLOOKUP(category_assignment_2[[#This Row],[category_id]],#REF!,3,FALSE),"")</f>
        <v/>
      </c>
      <c r="C1348" s="23" t="str">
        <f>IFERROR(VLOOKUP(category_assignment_2[[#This Row],[abbreviation_id]],abbreviation[],ColumnLanguage+1,FALSE),"")</f>
        <v/>
      </c>
      <c r="D1348" s="23"/>
      <c r="E1348" s="23"/>
      <c r="F1348" s="23"/>
      <c r="G1348" s="23"/>
      <c r="H1348" s="23"/>
      <c r="I1348" s="23"/>
      <c r="J1348" s="23"/>
      <c r="K1348" s="23"/>
    </row>
    <row r="1349" spans="1:11" x14ac:dyDescent="0.25">
      <c r="A1349" s="4" t="str">
        <f>IFERROR(category_assignment_2[[#This Row],[category_assignment_id]],"")</f>
        <v/>
      </c>
      <c r="B1349" s="23" t="str">
        <f>IFERROR(VLOOKUP(category_assignment_2[[#This Row],[category_id]],#REF!,3,FALSE),"")</f>
        <v/>
      </c>
      <c r="C1349" s="23" t="str">
        <f>IFERROR(VLOOKUP(category_assignment_2[[#This Row],[abbreviation_id]],abbreviation[],ColumnLanguage+1,FALSE),"")</f>
        <v/>
      </c>
      <c r="D1349" s="23"/>
      <c r="E1349" s="23"/>
      <c r="F1349" s="23"/>
      <c r="G1349" s="23"/>
      <c r="H1349" s="23"/>
      <c r="I1349" s="23"/>
      <c r="J1349" s="23"/>
      <c r="K1349" s="23"/>
    </row>
    <row r="1350" spans="1:11" x14ac:dyDescent="0.25">
      <c r="A1350" s="4" t="str">
        <f>IFERROR(category_assignment_2[[#This Row],[category_assignment_id]],"")</f>
        <v/>
      </c>
      <c r="B1350" s="23" t="str">
        <f>IFERROR(VLOOKUP(category_assignment_2[[#This Row],[category_id]],#REF!,3,FALSE),"")</f>
        <v/>
      </c>
      <c r="C1350" s="23" t="str">
        <f>IFERROR(VLOOKUP(category_assignment_2[[#This Row],[abbreviation_id]],abbreviation[],ColumnLanguage+1,FALSE),"")</f>
        <v/>
      </c>
      <c r="D1350" s="23"/>
      <c r="E1350" s="23"/>
      <c r="F1350" s="23"/>
      <c r="G1350" s="23"/>
      <c r="H1350" s="23"/>
      <c r="I1350" s="23"/>
      <c r="J1350" s="23"/>
      <c r="K1350" s="23"/>
    </row>
    <row r="1351" spans="1:11" x14ac:dyDescent="0.25">
      <c r="A1351" s="4" t="str">
        <f>IFERROR(category_assignment_2[[#This Row],[category_assignment_id]],"")</f>
        <v/>
      </c>
      <c r="B1351" s="23" t="str">
        <f>IFERROR(VLOOKUP(category_assignment_2[[#This Row],[category_id]],#REF!,3,FALSE),"")</f>
        <v/>
      </c>
      <c r="C1351" s="23" t="str">
        <f>IFERROR(VLOOKUP(category_assignment_2[[#This Row],[abbreviation_id]],abbreviation[],ColumnLanguage+1,FALSE),"")</f>
        <v/>
      </c>
      <c r="D1351" s="23"/>
      <c r="E1351" s="23"/>
      <c r="F1351" s="23"/>
      <c r="G1351" s="23"/>
      <c r="H1351" s="23"/>
      <c r="I1351" s="23"/>
      <c r="J1351" s="23"/>
      <c r="K1351" s="23"/>
    </row>
    <row r="1352" spans="1:11" x14ac:dyDescent="0.25">
      <c r="A1352" s="4" t="str">
        <f>IFERROR(category_assignment_2[[#This Row],[category_assignment_id]],"")</f>
        <v/>
      </c>
      <c r="B1352" s="23" t="str">
        <f>IFERROR(VLOOKUP(category_assignment_2[[#This Row],[category_id]],#REF!,3,FALSE),"")</f>
        <v/>
      </c>
      <c r="C1352" s="23" t="str">
        <f>IFERROR(VLOOKUP(category_assignment_2[[#This Row],[abbreviation_id]],abbreviation[],ColumnLanguage+1,FALSE),"")</f>
        <v/>
      </c>
      <c r="D1352" s="23"/>
      <c r="E1352" s="23"/>
      <c r="F1352" s="23"/>
      <c r="G1352" s="23"/>
      <c r="H1352" s="23"/>
      <c r="I1352" s="23"/>
      <c r="J1352" s="23"/>
      <c r="K1352" s="23"/>
    </row>
    <row r="1353" spans="1:11" x14ac:dyDescent="0.25">
      <c r="A1353" s="4" t="str">
        <f>IFERROR(category_assignment_2[[#This Row],[category_assignment_id]],"")</f>
        <v/>
      </c>
      <c r="B1353" s="23" t="str">
        <f>IFERROR(VLOOKUP(category_assignment_2[[#This Row],[category_id]],#REF!,3,FALSE),"")</f>
        <v/>
      </c>
      <c r="C1353" s="23" t="str">
        <f>IFERROR(VLOOKUP(category_assignment_2[[#This Row],[abbreviation_id]],abbreviation[],ColumnLanguage+1,FALSE),"")</f>
        <v/>
      </c>
      <c r="D1353" s="23"/>
      <c r="E1353" s="23"/>
      <c r="F1353" s="23"/>
      <c r="G1353" s="23"/>
      <c r="H1353" s="23"/>
      <c r="I1353" s="23"/>
      <c r="J1353" s="23"/>
      <c r="K1353" s="23"/>
    </row>
    <row r="1354" spans="1:11" x14ac:dyDescent="0.25">
      <c r="A1354" s="4" t="str">
        <f>IFERROR(category_assignment_2[[#This Row],[category_assignment_id]],"")</f>
        <v/>
      </c>
      <c r="B1354" s="23" t="str">
        <f>IFERROR(VLOOKUP(category_assignment_2[[#This Row],[category_id]],#REF!,3,FALSE),"")</f>
        <v/>
      </c>
      <c r="C1354" s="23" t="str">
        <f>IFERROR(VLOOKUP(category_assignment_2[[#This Row],[abbreviation_id]],abbreviation[],ColumnLanguage+1,FALSE),"")</f>
        <v/>
      </c>
      <c r="D1354" s="23"/>
      <c r="E1354" s="23"/>
      <c r="F1354" s="23"/>
      <c r="G1354" s="23"/>
      <c r="H1354" s="23"/>
      <c r="I1354" s="23"/>
      <c r="J1354" s="23"/>
      <c r="K1354" s="23"/>
    </row>
    <row r="1355" spans="1:11" x14ac:dyDescent="0.25">
      <c r="A1355" s="4" t="str">
        <f>IFERROR(category_assignment_2[[#This Row],[category_assignment_id]],"")</f>
        <v/>
      </c>
      <c r="B1355" s="23" t="str">
        <f>IFERROR(VLOOKUP(category_assignment_2[[#This Row],[category_id]],#REF!,3,FALSE),"")</f>
        <v/>
      </c>
      <c r="C1355" s="23" t="str">
        <f>IFERROR(VLOOKUP(category_assignment_2[[#This Row],[abbreviation_id]],abbreviation[],ColumnLanguage+1,FALSE),"")</f>
        <v/>
      </c>
      <c r="D1355" s="23"/>
      <c r="E1355" s="23"/>
      <c r="F1355" s="23"/>
      <c r="G1355" s="23"/>
      <c r="H1355" s="23"/>
      <c r="I1355" s="23"/>
      <c r="J1355" s="23"/>
      <c r="K1355" s="23"/>
    </row>
    <row r="1356" spans="1:11" x14ac:dyDescent="0.25">
      <c r="A1356" s="4" t="str">
        <f>IFERROR(category_assignment_2[[#This Row],[category_assignment_id]],"")</f>
        <v/>
      </c>
      <c r="B1356" s="23" t="str">
        <f>IFERROR(VLOOKUP(category_assignment_2[[#This Row],[category_id]],#REF!,3,FALSE),"")</f>
        <v/>
      </c>
      <c r="C1356" s="23" t="str">
        <f>IFERROR(VLOOKUP(category_assignment_2[[#This Row],[abbreviation_id]],abbreviation[],ColumnLanguage+1,FALSE),"")</f>
        <v/>
      </c>
      <c r="D1356" s="23"/>
      <c r="E1356" s="23"/>
      <c r="F1356" s="23"/>
      <c r="G1356" s="23"/>
      <c r="H1356" s="23"/>
      <c r="I1356" s="23"/>
      <c r="J1356" s="23"/>
      <c r="K1356" s="23"/>
    </row>
    <row r="1357" spans="1:11" x14ac:dyDescent="0.25">
      <c r="A1357" s="4" t="str">
        <f>IFERROR(category_assignment_2[[#This Row],[category_assignment_id]],"")</f>
        <v/>
      </c>
      <c r="B1357" s="23" t="str">
        <f>IFERROR(VLOOKUP(category_assignment_2[[#This Row],[category_id]],#REF!,3,FALSE),"")</f>
        <v/>
      </c>
      <c r="C1357" s="23" t="str">
        <f>IFERROR(VLOOKUP(category_assignment_2[[#This Row],[abbreviation_id]],abbreviation[],ColumnLanguage+1,FALSE),"")</f>
        <v/>
      </c>
      <c r="D1357" s="23"/>
      <c r="E1357" s="23"/>
      <c r="F1357" s="23"/>
      <c r="G1357" s="23"/>
      <c r="H1357" s="23"/>
      <c r="I1357" s="23"/>
      <c r="J1357" s="23"/>
      <c r="K1357" s="23"/>
    </row>
    <row r="1358" spans="1:11" x14ac:dyDescent="0.25">
      <c r="A1358" s="4" t="str">
        <f>IFERROR(category_assignment_2[[#This Row],[category_assignment_id]],"")</f>
        <v/>
      </c>
      <c r="B1358" s="23" t="str">
        <f>IFERROR(VLOOKUP(category_assignment_2[[#This Row],[category_id]],#REF!,3,FALSE),"")</f>
        <v/>
      </c>
      <c r="C1358" s="23" t="str">
        <f>IFERROR(VLOOKUP(category_assignment_2[[#This Row],[abbreviation_id]],abbreviation[],ColumnLanguage+1,FALSE),"")</f>
        <v/>
      </c>
      <c r="D1358" s="23"/>
      <c r="E1358" s="23"/>
      <c r="F1358" s="23"/>
      <c r="G1358" s="23"/>
      <c r="H1358" s="23"/>
      <c r="I1358" s="23"/>
      <c r="J1358" s="23"/>
      <c r="K1358" s="23"/>
    </row>
    <row r="1359" spans="1:11" x14ac:dyDescent="0.25">
      <c r="A1359" s="4" t="str">
        <f>IFERROR(category_assignment_2[[#This Row],[category_assignment_id]],"")</f>
        <v/>
      </c>
      <c r="B1359" s="23" t="str">
        <f>IFERROR(VLOOKUP(category_assignment_2[[#This Row],[category_id]],#REF!,3,FALSE),"")</f>
        <v/>
      </c>
      <c r="C1359" s="23" t="str">
        <f>IFERROR(VLOOKUP(category_assignment_2[[#This Row],[abbreviation_id]],abbreviation[],ColumnLanguage+1,FALSE),"")</f>
        <v/>
      </c>
      <c r="D1359" s="23"/>
      <c r="E1359" s="23"/>
      <c r="F1359" s="23"/>
      <c r="G1359" s="23"/>
      <c r="H1359" s="23"/>
      <c r="I1359" s="23"/>
      <c r="J1359" s="23"/>
      <c r="K1359" s="23"/>
    </row>
    <row r="1360" spans="1:11" x14ac:dyDescent="0.25">
      <c r="A1360" s="4" t="str">
        <f>IFERROR(category_assignment_2[[#This Row],[category_assignment_id]],"")</f>
        <v/>
      </c>
      <c r="B1360" s="23" t="str">
        <f>IFERROR(VLOOKUP(category_assignment_2[[#This Row],[category_id]],#REF!,3,FALSE),"")</f>
        <v/>
      </c>
      <c r="C1360" s="23" t="str">
        <f>IFERROR(VLOOKUP(category_assignment_2[[#This Row],[abbreviation_id]],abbreviation[],ColumnLanguage+1,FALSE),"")</f>
        <v/>
      </c>
      <c r="D1360" s="23"/>
      <c r="E1360" s="23"/>
      <c r="F1360" s="23"/>
      <c r="G1360" s="23"/>
      <c r="H1360" s="23"/>
      <c r="I1360" s="23"/>
      <c r="J1360" s="23"/>
      <c r="K1360" s="23"/>
    </row>
    <row r="1361" spans="1:11" x14ac:dyDescent="0.25">
      <c r="A1361" s="4" t="str">
        <f>IFERROR(category_assignment_2[[#This Row],[category_assignment_id]],"")</f>
        <v/>
      </c>
      <c r="B1361" s="23" t="str">
        <f>IFERROR(VLOOKUP(category_assignment_2[[#This Row],[category_id]],#REF!,3,FALSE),"")</f>
        <v/>
      </c>
      <c r="C1361" s="23" t="str">
        <f>IFERROR(VLOOKUP(category_assignment_2[[#This Row],[abbreviation_id]],abbreviation[],ColumnLanguage+1,FALSE),"")</f>
        <v/>
      </c>
      <c r="D1361" s="23"/>
      <c r="E1361" s="23"/>
      <c r="F1361" s="23"/>
      <c r="G1361" s="23"/>
      <c r="H1361" s="23"/>
      <c r="I1361" s="23"/>
      <c r="J1361" s="23"/>
      <c r="K1361" s="23"/>
    </row>
    <row r="1362" spans="1:11" x14ac:dyDescent="0.25">
      <c r="A1362" s="4" t="str">
        <f>IFERROR(category_assignment_2[[#This Row],[category_assignment_id]],"")</f>
        <v/>
      </c>
      <c r="B1362" s="23" t="str">
        <f>IFERROR(VLOOKUP(category_assignment_2[[#This Row],[category_id]],#REF!,3,FALSE),"")</f>
        <v/>
      </c>
      <c r="C1362" s="23" t="str">
        <f>IFERROR(VLOOKUP(category_assignment_2[[#This Row],[abbreviation_id]],abbreviation[],ColumnLanguage+1,FALSE),"")</f>
        <v/>
      </c>
      <c r="D1362" s="23"/>
      <c r="E1362" s="23"/>
      <c r="F1362" s="23"/>
      <c r="G1362" s="23"/>
      <c r="H1362" s="23"/>
      <c r="I1362" s="23"/>
      <c r="J1362" s="23"/>
      <c r="K1362" s="23"/>
    </row>
    <row r="1363" spans="1:11" x14ac:dyDescent="0.25">
      <c r="A1363" s="4" t="str">
        <f>IFERROR(category_assignment_2[[#This Row],[category_assignment_id]],"")</f>
        <v/>
      </c>
      <c r="B1363" s="23" t="str">
        <f>IFERROR(VLOOKUP(category_assignment_2[[#This Row],[category_id]],#REF!,3,FALSE),"")</f>
        <v/>
      </c>
      <c r="C1363" s="23" t="str">
        <f>IFERROR(VLOOKUP(category_assignment_2[[#This Row],[abbreviation_id]],abbreviation[],ColumnLanguage+1,FALSE),"")</f>
        <v/>
      </c>
      <c r="D1363" s="23"/>
      <c r="E1363" s="23"/>
      <c r="F1363" s="23"/>
      <c r="G1363" s="23"/>
      <c r="H1363" s="23"/>
      <c r="I1363" s="23"/>
      <c r="J1363" s="23"/>
      <c r="K1363" s="23"/>
    </row>
    <row r="1364" spans="1:11" x14ac:dyDescent="0.25">
      <c r="A1364" s="4" t="str">
        <f>IFERROR(category_assignment_2[[#This Row],[category_assignment_id]],"")</f>
        <v/>
      </c>
      <c r="B1364" s="23" t="str">
        <f>IFERROR(VLOOKUP(category_assignment_2[[#This Row],[category_id]],#REF!,3,FALSE),"")</f>
        <v/>
      </c>
      <c r="C1364" s="23" t="str">
        <f>IFERROR(VLOOKUP(category_assignment_2[[#This Row],[abbreviation_id]],abbreviation[],ColumnLanguage+1,FALSE),"")</f>
        <v/>
      </c>
      <c r="D1364" s="23"/>
      <c r="E1364" s="23"/>
      <c r="F1364" s="23"/>
      <c r="G1364" s="23"/>
      <c r="H1364" s="23"/>
      <c r="I1364" s="23"/>
      <c r="J1364" s="23"/>
      <c r="K1364" s="23"/>
    </row>
    <row r="1365" spans="1:11" x14ac:dyDescent="0.25">
      <c r="A1365" s="4" t="str">
        <f>IFERROR(category_assignment_2[[#This Row],[category_assignment_id]],"")</f>
        <v/>
      </c>
      <c r="B1365" s="23" t="str">
        <f>IFERROR(VLOOKUP(category_assignment_2[[#This Row],[category_id]],#REF!,3,FALSE),"")</f>
        <v/>
      </c>
      <c r="C1365" s="23" t="str">
        <f>IFERROR(VLOOKUP(category_assignment_2[[#This Row],[abbreviation_id]],abbreviation[],ColumnLanguage+1,FALSE),"")</f>
        <v/>
      </c>
      <c r="D1365" s="23"/>
      <c r="E1365" s="23"/>
      <c r="F1365" s="23"/>
      <c r="G1365" s="23"/>
      <c r="H1365" s="23"/>
      <c r="I1365" s="23"/>
      <c r="J1365" s="23"/>
      <c r="K1365" s="23"/>
    </row>
    <row r="1366" spans="1:11" x14ac:dyDescent="0.25">
      <c r="A1366" s="4" t="str">
        <f>IFERROR(category_assignment_2[[#This Row],[category_assignment_id]],"")</f>
        <v/>
      </c>
      <c r="B1366" s="23" t="str">
        <f>IFERROR(VLOOKUP(category_assignment_2[[#This Row],[category_id]],#REF!,3,FALSE),"")</f>
        <v/>
      </c>
      <c r="C1366" s="23" t="str">
        <f>IFERROR(VLOOKUP(category_assignment_2[[#This Row],[abbreviation_id]],abbreviation[],ColumnLanguage+1,FALSE),"")</f>
        <v/>
      </c>
      <c r="D1366" s="23"/>
      <c r="E1366" s="23"/>
      <c r="F1366" s="23"/>
      <c r="G1366" s="23"/>
      <c r="H1366" s="23"/>
      <c r="I1366" s="23"/>
      <c r="J1366" s="23"/>
      <c r="K1366" s="23"/>
    </row>
    <row r="1367" spans="1:11" x14ac:dyDescent="0.25">
      <c r="A1367" s="4" t="str">
        <f>IFERROR(category_assignment_2[[#This Row],[category_assignment_id]],"")</f>
        <v/>
      </c>
      <c r="B1367" s="23" t="str">
        <f>IFERROR(VLOOKUP(category_assignment_2[[#This Row],[category_id]],#REF!,3,FALSE),"")</f>
        <v/>
      </c>
      <c r="C1367" s="23" t="str">
        <f>IFERROR(VLOOKUP(category_assignment_2[[#This Row],[abbreviation_id]],abbreviation[],ColumnLanguage+1,FALSE),"")</f>
        <v/>
      </c>
      <c r="D1367" s="23"/>
      <c r="E1367" s="23"/>
      <c r="F1367" s="23"/>
      <c r="G1367" s="23"/>
      <c r="H1367" s="23"/>
      <c r="I1367" s="23"/>
      <c r="J1367" s="23"/>
      <c r="K1367" s="23"/>
    </row>
    <row r="1368" spans="1:11" x14ac:dyDescent="0.25">
      <c r="A1368" s="4" t="str">
        <f>IFERROR(category_assignment_2[[#This Row],[category_assignment_id]],"")</f>
        <v/>
      </c>
      <c r="B1368" s="23" t="str">
        <f>IFERROR(VLOOKUP(category_assignment_2[[#This Row],[category_id]],#REF!,3,FALSE),"")</f>
        <v/>
      </c>
      <c r="C1368" s="23" t="str">
        <f>IFERROR(VLOOKUP(category_assignment_2[[#This Row],[abbreviation_id]],abbreviation[],ColumnLanguage+1,FALSE),"")</f>
        <v/>
      </c>
      <c r="D1368" s="23"/>
      <c r="E1368" s="23"/>
      <c r="F1368" s="23"/>
      <c r="G1368" s="23"/>
      <c r="H1368" s="23"/>
      <c r="I1368" s="23"/>
      <c r="J1368" s="23"/>
      <c r="K1368" s="23"/>
    </row>
    <row r="1369" spans="1:11" x14ac:dyDescent="0.25">
      <c r="A1369" s="4" t="str">
        <f>IFERROR(category_assignment_2[[#This Row],[category_assignment_id]],"")</f>
        <v/>
      </c>
      <c r="B1369" s="23" t="str">
        <f>IFERROR(VLOOKUP(category_assignment_2[[#This Row],[category_id]],#REF!,3,FALSE),"")</f>
        <v/>
      </c>
      <c r="C1369" s="23" t="str">
        <f>IFERROR(VLOOKUP(category_assignment_2[[#This Row],[abbreviation_id]],abbreviation[],ColumnLanguage+1,FALSE),"")</f>
        <v/>
      </c>
      <c r="D1369" s="23"/>
      <c r="E1369" s="23"/>
      <c r="F1369" s="23"/>
      <c r="G1369" s="23"/>
      <c r="H1369" s="23"/>
      <c r="I1369" s="23"/>
      <c r="J1369" s="23"/>
      <c r="K1369" s="23"/>
    </row>
    <row r="1370" spans="1:11" x14ac:dyDescent="0.25">
      <c r="A1370" s="4" t="str">
        <f>IFERROR(category_assignment_2[[#This Row],[category_assignment_id]],"")</f>
        <v/>
      </c>
      <c r="B1370" s="23" t="str">
        <f>IFERROR(VLOOKUP(category_assignment_2[[#This Row],[category_id]],#REF!,3,FALSE),"")</f>
        <v/>
      </c>
      <c r="C1370" s="23" t="str">
        <f>IFERROR(VLOOKUP(category_assignment_2[[#This Row],[abbreviation_id]],abbreviation[],ColumnLanguage+1,FALSE),"")</f>
        <v/>
      </c>
      <c r="D1370" s="23"/>
      <c r="E1370" s="23"/>
      <c r="F1370" s="23"/>
      <c r="G1370" s="23"/>
      <c r="H1370" s="23"/>
      <c r="I1370" s="23"/>
      <c r="J1370" s="23"/>
      <c r="K1370" s="23"/>
    </row>
    <row r="1371" spans="1:11" x14ac:dyDescent="0.25">
      <c r="A1371" s="4" t="str">
        <f>IFERROR(category_assignment_2[[#This Row],[category_assignment_id]],"")</f>
        <v/>
      </c>
      <c r="B1371" s="23" t="str">
        <f>IFERROR(VLOOKUP(category_assignment_2[[#This Row],[category_id]],#REF!,3,FALSE),"")</f>
        <v/>
      </c>
      <c r="C1371" s="23" t="str">
        <f>IFERROR(VLOOKUP(category_assignment_2[[#This Row],[abbreviation_id]],abbreviation[],ColumnLanguage+1,FALSE),"")</f>
        <v/>
      </c>
      <c r="D1371" s="23"/>
      <c r="E1371" s="23"/>
      <c r="F1371" s="23"/>
      <c r="G1371" s="23"/>
      <c r="H1371" s="23"/>
      <c r="I1371" s="23"/>
      <c r="J1371" s="23"/>
      <c r="K1371" s="23"/>
    </row>
    <row r="1372" spans="1:11" x14ac:dyDescent="0.25">
      <c r="A1372" s="4" t="str">
        <f>IFERROR(category_assignment_2[[#This Row],[category_assignment_id]],"")</f>
        <v/>
      </c>
      <c r="B1372" s="23" t="str">
        <f>IFERROR(VLOOKUP(category_assignment_2[[#This Row],[category_id]],#REF!,3,FALSE),"")</f>
        <v/>
      </c>
      <c r="C1372" s="23" t="str">
        <f>IFERROR(VLOOKUP(category_assignment_2[[#This Row],[abbreviation_id]],abbreviation[],ColumnLanguage+1,FALSE),"")</f>
        <v/>
      </c>
      <c r="D1372" s="23"/>
      <c r="E1372" s="23"/>
      <c r="F1372" s="23"/>
      <c r="G1372" s="23"/>
      <c r="H1372" s="23"/>
      <c r="I1372" s="23"/>
      <c r="J1372" s="23"/>
      <c r="K1372" s="23"/>
    </row>
    <row r="1373" spans="1:11" x14ac:dyDescent="0.25">
      <c r="A1373" s="4" t="str">
        <f>IFERROR(category_assignment_2[[#This Row],[category_assignment_id]],"")</f>
        <v/>
      </c>
      <c r="B1373" s="23" t="str">
        <f>IFERROR(VLOOKUP(category_assignment_2[[#This Row],[category_id]],#REF!,3,FALSE),"")</f>
        <v/>
      </c>
      <c r="C1373" s="23" t="str">
        <f>IFERROR(VLOOKUP(category_assignment_2[[#This Row],[abbreviation_id]],abbreviation[],ColumnLanguage+1,FALSE),"")</f>
        <v/>
      </c>
      <c r="D1373" s="23"/>
      <c r="E1373" s="23"/>
      <c r="F1373" s="23"/>
      <c r="G1373" s="23"/>
      <c r="H1373" s="23"/>
      <c r="I1373" s="23"/>
      <c r="J1373" s="23"/>
      <c r="K1373" s="23"/>
    </row>
    <row r="1374" spans="1:11" x14ac:dyDescent="0.25">
      <c r="A1374" s="4" t="str">
        <f>IFERROR(category_assignment_2[[#This Row],[category_assignment_id]],"")</f>
        <v/>
      </c>
      <c r="B1374" s="23" t="str">
        <f>IFERROR(VLOOKUP(category_assignment_2[[#This Row],[category_id]],#REF!,3,FALSE),"")</f>
        <v/>
      </c>
      <c r="C1374" s="23" t="str">
        <f>IFERROR(VLOOKUP(category_assignment_2[[#This Row],[abbreviation_id]],abbreviation[],ColumnLanguage+1,FALSE),"")</f>
        <v/>
      </c>
      <c r="D1374" s="23"/>
      <c r="E1374" s="23"/>
      <c r="F1374" s="23"/>
      <c r="G1374" s="23"/>
      <c r="H1374" s="23"/>
      <c r="I1374" s="23"/>
      <c r="J1374" s="23"/>
      <c r="K1374" s="23"/>
    </row>
    <row r="1375" spans="1:11" x14ac:dyDescent="0.25">
      <c r="A1375" s="4" t="str">
        <f>IFERROR(category_assignment_2[[#This Row],[category_assignment_id]],"")</f>
        <v/>
      </c>
      <c r="B1375" s="23" t="str">
        <f>IFERROR(VLOOKUP(category_assignment_2[[#This Row],[category_id]],#REF!,3,FALSE),"")</f>
        <v/>
      </c>
      <c r="C1375" s="23" t="str">
        <f>IFERROR(VLOOKUP(category_assignment_2[[#This Row],[abbreviation_id]],abbreviation[],ColumnLanguage+1,FALSE),"")</f>
        <v/>
      </c>
      <c r="D1375" s="23"/>
      <c r="E1375" s="23"/>
      <c r="F1375" s="23"/>
      <c r="G1375" s="23"/>
      <c r="H1375" s="23"/>
      <c r="I1375" s="23"/>
      <c r="J1375" s="23"/>
      <c r="K1375" s="23"/>
    </row>
    <row r="1376" spans="1:11" x14ac:dyDescent="0.25">
      <c r="A1376" s="4" t="str">
        <f>IFERROR(category_assignment_2[[#This Row],[category_assignment_id]],"")</f>
        <v/>
      </c>
      <c r="B1376" s="23" t="str">
        <f>IFERROR(VLOOKUP(category_assignment_2[[#This Row],[category_id]],#REF!,3,FALSE),"")</f>
        <v/>
      </c>
      <c r="C1376" s="23" t="str">
        <f>IFERROR(VLOOKUP(category_assignment_2[[#This Row],[abbreviation_id]],abbreviation[],ColumnLanguage+1,FALSE),"")</f>
        <v/>
      </c>
      <c r="D1376" s="23"/>
      <c r="E1376" s="23"/>
      <c r="F1376" s="23"/>
      <c r="G1376" s="23"/>
      <c r="H1376" s="23"/>
      <c r="I1376" s="23"/>
      <c r="J1376" s="23"/>
      <c r="K1376" s="23"/>
    </row>
    <row r="1377" spans="1:11" x14ac:dyDescent="0.25">
      <c r="A1377" s="4" t="str">
        <f>IFERROR(category_assignment_2[[#This Row],[category_assignment_id]],"")</f>
        <v/>
      </c>
      <c r="B1377" s="23" t="str">
        <f>IFERROR(VLOOKUP(category_assignment_2[[#This Row],[category_id]],#REF!,3,FALSE),"")</f>
        <v/>
      </c>
      <c r="C1377" s="23" t="str">
        <f>IFERROR(VLOOKUP(category_assignment_2[[#This Row],[abbreviation_id]],abbreviation[],ColumnLanguage+1,FALSE),"")</f>
        <v/>
      </c>
      <c r="D1377" s="23"/>
      <c r="E1377" s="23"/>
      <c r="F1377" s="23"/>
      <c r="G1377" s="23"/>
      <c r="H1377" s="23"/>
      <c r="I1377" s="23"/>
      <c r="J1377" s="23"/>
      <c r="K1377" s="23"/>
    </row>
    <row r="1378" spans="1:11" x14ac:dyDescent="0.25">
      <c r="A1378" s="4" t="str">
        <f>IFERROR(category_assignment_2[[#This Row],[category_assignment_id]],"")</f>
        <v/>
      </c>
      <c r="B1378" s="23" t="str">
        <f>IFERROR(VLOOKUP(category_assignment_2[[#This Row],[category_id]],#REF!,3,FALSE),"")</f>
        <v/>
      </c>
      <c r="C1378" s="23" t="str">
        <f>IFERROR(VLOOKUP(category_assignment_2[[#This Row],[abbreviation_id]],abbreviation[],ColumnLanguage+1,FALSE),"")</f>
        <v/>
      </c>
      <c r="D1378" s="23"/>
      <c r="E1378" s="23"/>
      <c r="F1378" s="23"/>
      <c r="G1378" s="23"/>
      <c r="H1378" s="23"/>
      <c r="I1378" s="23"/>
      <c r="J1378" s="23"/>
      <c r="K1378" s="23"/>
    </row>
    <row r="1379" spans="1:11" x14ac:dyDescent="0.25">
      <c r="A1379" s="4" t="str">
        <f>IFERROR(category_assignment_2[[#This Row],[category_assignment_id]],"")</f>
        <v/>
      </c>
      <c r="B1379" s="23" t="str">
        <f>IFERROR(VLOOKUP(category_assignment_2[[#This Row],[category_id]],#REF!,3,FALSE),"")</f>
        <v/>
      </c>
      <c r="C1379" s="23" t="str">
        <f>IFERROR(VLOOKUP(category_assignment_2[[#This Row],[abbreviation_id]],abbreviation[],ColumnLanguage+1,FALSE),"")</f>
        <v/>
      </c>
      <c r="D1379" s="23"/>
      <c r="E1379" s="23"/>
      <c r="F1379" s="23"/>
      <c r="G1379" s="23"/>
      <c r="H1379" s="23"/>
      <c r="I1379" s="23"/>
      <c r="J1379" s="23"/>
      <c r="K1379" s="23"/>
    </row>
    <row r="1380" spans="1:11" x14ac:dyDescent="0.25">
      <c r="A1380" s="4" t="str">
        <f>IFERROR(category_assignment_2[[#This Row],[category_assignment_id]],"")</f>
        <v/>
      </c>
      <c r="B1380" s="23" t="str">
        <f>IFERROR(VLOOKUP(category_assignment_2[[#This Row],[category_id]],#REF!,3,FALSE),"")</f>
        <v/>
      </c>
      <c r="C1380" s="23" t="str">
        <f>IFERROR(VLOOKUP(category_assignment_2[[#This Row],[abbreviation_id]],abbreviation[],ColumnLanguage+1,FALSE),"")</f>
        <v/>
      </c>
      <c r="D1380" s="23"/>
      <c r="E1380" s="23"/>
      <c r="F1380" s="23"/>
      <c r="G1380" s="23"/>
      <c r="H1380" s="23"/>
      <c r="I1380" s="23"/>
      <c r="J1380" s="23"/>
      <c r="K1380" s="23"/>
    </row>
    <row r="1381" spans="1:11" x14ac:dyDescent="0.25">
      <c r="A1381" s="4" t="str">
        <f>IFERROR(category_assignment_2[[#This Row],[category_assignment_id]],"")</f>
        <v/>
      </c>
      <c r="B1381" s="23" t="str">
        <f>IFERROR(VLOOKUP(category_assignment_2[[#This Row],[category_id]],#REF!,3,FALSE),"")</f>
        <v/>
      </c>
      <c r="C1381" s="23" t="str">
        <f>IFERROR(VLOOKUP(category_assignment_2[[#This Row],[abbreviation_id]],abbreviation[],ColumnLanguage+1,FALSE),"")</f>
        <v/>
      </c>
      <c r="D1381" s="23"/>
      <c r="E1381" s="23"/>
      <c r="F1381" s="23"/>
      <c r="G1381" s="23"/>
      <c r="H1381" s="23"/>
      <c r="I1381" s="23"/>
      <c r="J1381" s="23"/>
      <c r="K1381" s="23"/>
    </row>
    <row r="1382" spans="1:11" x14ac:dyDescent="0.25">
      <c r="A1382" s="4" t="str">
        <f>IFERROR(category_assignment_2[[#This Row],[category_assignment_id]],"")</f>
        <v/>
      </c>
      <c r="B1382" s="23" t="str">
        <f>IFERROR(VLOOKUP(category_assignment_2[[#This Row],[category_id]],#REF!,3,FALSE),"")</f>
        <v/>
      </c>
      <c r="C1382" s="23" t="str">
        <f>IFERROR(VLOOKUP(category_assignment_2[[#This Row],[abbreviation_id]],abbreviation[],ColumnLanguage+1,FALSE),"")</f>
        <v/>
      </c>
      <c r="D1382" s="23"/>
      <c r="E1382" s="23"/>
      <c r="F1382" s="23"/>
      <c r="G1382" s="23"/>
      <c r="H1382" s="23"/>
      <c r="I1382" s="23"/>
      <c r="J1382" s="23"/>
      <c r="K1382" s="23"/>
    </row>
    <row r="1383" spans="1:11" x14ac:dyDescent="0.25">
      <c r="A1383" s="4" t="str">
        <f>IFERROR(category_assignment_2[[#This Row],[category_assignment_id]],"")</f>
        <v/>
      </c>
      <c r="B1383" s="23" t="str">
        <f>IFERROR(VLOOKUP(category_assignment_2[[#This Row],[category_id]],#REF!,3,FALSE),"")</f>
        <v/>
      </c>
      <c r="C1383" s="23" t="str">
        <f>IFERROR(VLOOKUP(category_assignment_2[[#This Row],[abbreviation_id]],abbreviation[],ColumnLanguage+1,FALSE),"")</f>
        <v/>
      </c>
      <c r="D1383" s="23"/>
      <c r="E1383" s="23"/>
      <c r="F1383" s="23"/>
      <c r="G1383" s="23"/>
      <c r="H1383" s="23"/>
      <c r="I1383" s="23"/>
      <c r="J1383" s="23"/>
      <c r="K1383" s="23"/>
    </row>
    <row r="1384" spans="1:11" x14ac:dyDescent="0.25">
      <c r="A1384" s="4" t="str">
        <f>IFERROR(category_assignment_2[[#This Row],[category_assignment_id]],"")</f>
        <v/>
      </c>
      <c r="B1384" s="23" t="str">
        <f>IFERROR(VLOOKUP(category_assignment_2[[#This Row],[category_id]],#REF!,3,FALSE),"")</f>
        <v/>
      </c>
      <c r="C1384" s="23" t="str">
        <f>IFERROR(VLOOKUP(category_assignment_2[[#This Row],[abbreviation_id]],abbreviation[],ColumnLanguage+1,FALSE),"")</f>
        <v/>
      </c>
    </row>
    <row r="1385" spans="1:11" x14ac:dyDescent="0.25">
      <c r="A1385" s="4" t="str">
        <f>IFERROR(category_assignment_2[[#This Row],[category_assignment_id]],"")</f>
        <v/>
      </c>
      <c r="B1385" s="23" t="str">
        <f>IFERROR(VLOOKUP(category_assignment_2[[#This Row],[category_id]],#REF!,3,FALSE),"")</f>
        <v/>
      </c>
      <c r="C1385" s="23" t="str">
        <f>IFERROR(VLOOKUP(category_assignment_2[[#This Row],[abbreviation_id]],abbreviation[],ColumnLanguage+1,FALSE),"")</f>
        <v/>
      </c>
    </row>
    <row r="1386" spans="1:11" x14ac:dyDescent="0.25">
      <c r="A1386" s="4" t="str">
        <f>IFERROR(category_assignment_2[[#This Row],[category_assignment_id]],"")</f>
        <v/>
      </c>
      <c r="B1386" s="23" t="str">
        <f>IFERROR(VLOOKUP(category_assignment_2[[#This Row],[category_id]],#REF!,3,FALSE),"")</f>
        <v/>
      </c>
      <c r="C1386" s="23" t="str">
        <f>IFERROR(VLOOKUP(category_assignment_2[[#This Row],[abbreviation_id]],abbreviation[],ColumnLanguage+1,FALSE),"")</f>
        <v/>
      </c>
    </row>
    <row r="1387" spans="1:11" x14ac:dyDescent="0.25">
      <c r="A1387" s="4" t="str">
        <f>IFERROR(category_assignment_2[[#This Row],[category_assignment_id]],"")</f>
        <v/>
      </c>
      <c r="B1387" s="23" t="str">
        <f>IFERROR(VLOOKUP(category_assignment_2[[#This Row],[category_id]],#REF!,3,FALSE),"")</f>
        <v/>
      </c>
      <c r="C1387" s="23" t="str">
        <f>IFERROR(VLOOKUP(category_assignment_2[[#This Row],[abbreviation_id]],abbreviation[],ColumnLanguage+1,FALSE),"")</f>
        <v/>
      </c>
    </row>
    <row r="1388" spans="1:11" x14ac:dyDescent="0.25">
      <c r="A1388" s="4" t="str">
        <f>IFERROR(category_assignment_2[[#This Row],[category_assignment_id]],"")</f>
        <v/>
      </c>
      <c r="B1388" s="23" t="str">
        <f>IFERROR(VLOOKUP(category_assignment_2[[#This Row],[category_id]],#REF!,3,FALSE),"")</f>
        <v/>
      </c>
      <c r="C1388" s="23" t="str">
        <f>IFERROR(VLOOKUP(category_assignment_2[[#This Row],[abbreviation_id]],abbreviation[],ColumnLanguage+1,FALSE),"")</f>
        <v/>
      </c>
    </row>
    <row r="1389" spans="1:11" x14ac:dyDescent="0.25">
      <c r="A1389" s="4" t="str">
        <f>IFERROR(category_assignment_2[[#This Row],[category_assignment_id]],"")</f>
        <v/>
      </c>
      <c r="B1389" s="23" t="str">
        <f>IFERROR(VLOOKUP(category_assignment_2[[#This Row],[category_id]],#REF!,3,FALSE),"")</f>
        <v/>
      </c>
      <c r="C1389" s="23" t="str">
        <f>IFERROR(VLOOKUP(category_assignment_2[[#This Row],[abbreviation_id]],abbreviation[],ColumnLanguage+1,FALSE),"")</f>
        <v/>
      </c>
    </row>
    <row r="1390" spans="1:11" x14ac:dyDescent="0.25">
      <c r="A1390" s="4" t="str">
        <f>IFERROR(category_assignment_2[[#This Row],[category_assignment_id]],"")</f>
        <v/>
      </c>
      <c r="B1390" s="23" t="str">
        <f>IFERROR(VLOOKUP(category_assignment_2[[#This Row],[category_id]],#REF!,3,FALSE),"")</f>
        <v/>
      </c>
      <c r="C1390" s="23" t="str">
        <f>IFERROR(VLOOKUP(category_assignment_2[[#This Row],[abbreviation_id]],abbreviation[],ColumnLanguage+1,FALSE),"")</f>
        <v/>
      </c>
    </row>
    <row r="1391" spans="1:11" x14ac:dyDescent="0.25">
      <c r="A1391" s="4" t="str">
        <f>IFERROR(category_assignment_2[[#This Row],[category_assignment_id]],"")</f>
        <v/>
      </c>
      <c r="B1391" s="23" t="str">
        <f>IFERROR(VLOOKUP(category_assignment_2[[#This Row],[category_id]],#REF!,3,FALSE),"")</f>
        <v/>
      </c>
      <c r="C1391" s="23" t="str">
        <f>IFERROR(VLOOKUP(category_assignment_2[[#This Row],[abbreviation_id]],abbreviation[],ColumnLanguage+1,FALSE),"")</f>
        <v/>
      </c>
    </row>
    <row r="1392" spans="1:11" x14ac:dyDescent="0.25">
      <c r="A1392" s="4" t="str">
        <f>IFERROR(category_assignment_2[[#This Row],[category_assignment_id]],"")</f>
        <v/>
      </c>
      <c r="B1392" s="23" t="str">
        <f>IFERROR(VLOOKUP(category_assignment_2[[#This Row],[category_id]],#REF!,3,FALSE),"")</f>
        <v/>
      </c>
      <c r="C1392" s="23" t="str">
        <f>IFERROR(VLOOKUP(category_assignment_2[[#This Row],[abbreviation_id]],abbreviation[],ColumnLanguage+1,FALSE),"")</f>
        <v/>
      </c>
      <c r="D1392" s="22"/>
      <c r="E1392" s="22"/>
      <c r="F1392" s="22"/>
      <c r="G1392" s="22"/>
      <c r="H1392" s="22"/>
      <c r="I1392" s="22"/>
      <c r="J1392" s="22"/>
      <c r="K1392" s="22"/>
    </row>
    <row r="1393" spans="1:11" x14ac:dyDescent="0.25">
      <c r="A1393" s="4" t="str">
        <f>IFERROR(category_assignment_2[[#This Row],[category_assignment_id]],"")</f>
        <v/>
      </c>
      <c r="B1393" s="23" t="str">
        <f>IFERROR(VLOOKUP(category_assignment_2[[#This Row],[category_id]],#REF!,3,FALSE),"")</f>
        <v/>
      </c>
      <c r="C1393" s="23" t="str">
        <f>IFERROR(VLOOKUP(category_assignment_2[[#This Row],[abbreviation_id]],abbreviation[],ColumnLanguage+1,FALSE),"")</f>
        <v/>
      </c>
    </row>
    <row r="1394" spans="1:11" x14ac:dyDescent="0.25">
      <c r="A1394" s="4" t="str">
        <f>IFERROR(category_assignment_2[[#This Row],[category_assignment_id]],"")</f>
        <v/>
      </c>
      <c r="B1394" s="23" t="str">
        <f>IFERROR(VLOOKUP(category_assignment_2[[#This Row],[category_id]],#REF!,3,FALSE),"")</f>
        <v/>
      </c>
      <c r="C1394" s="23" t="str">
        <f>IFERROR(VLOOKUP(category_assignment_2[[#This Row],[abbreviation_id]],abbreviation[],ColumnLanguage+1,FALSE),"")</f>
        <v/>
      </c>
    </row>
    <row r="1395" spans="1:11" x14ac:dyDescent="0.25">
      <c r="A1395" s="4" t="str">
        <f>IFERROR(category_assignment_2[[#This Row],[category_assignment_id]],"")</f>
        <v/>
      </c>
      <c r="B1395" s="23" t="str">
        <f>IFERROR(VLOOKUP(category_assignment_2[[#This Row],[category_id]],#REF!,3,FALSE),"")</f>
        <v/>
      </c>
      <c r="C1395" s="23" t="str">
        <f>IFERROR(VLOOKUP(category_assignment_2[[#This Row],[abbreviation_id]],abbreviation[],ColumnLanguage+1,FALSE),"")</f>
        <v/>
      </c>
      <c r="D1395" s="22"/>
      <c r="E1395" s="22"/>
      <c r="F1395" s="22"/>
      <c r="G1395" s="22"/>
      <c r="H1395" s="22"/>
      <c r="I1395" s="22"/>
      <c r="J1395" s="22"/>
      <c r="K1395" s="22"/>
    </row>
    <row r="1396" spans="1:11" x14ac:dyDescent="0.25">
      <c r="A1396" s="4" t="str">
        <f>IFERROR(category_assignment_2[[#This Row],[category_assignment_id]],"")</f>
        <v/>
      </c>
      <c r="B1396" s="23" t="str">
        <f>IFERROR(VLOOKUP(category_assignment_2[[#This Row],[category_id]],#REF!,3,FALSE),"")</f>
        <v/>
      </c>
      <c r="C1396" s="23" t="str">
        <f>IFERROR(VLOOKUP(category_assignment_2[[#This Row],[abbreviation_id]],abbreviation[],ColumnLanguage+1,FALSE),"")</f>
        <v/>
      </c>
    </row>
    <row r="1397" spans="1:11" x14ac:dyDescent="0.25">
      <c r="A1397" s="4" t="str">
        <f>IFERROR(category_assignment_2[[#This Row],[category_assignment_id]],"")</f>
        <v/>
      </c>
      <c r="B1397" s="23" t="str">
        <f>IFERROR(VLOOKUP(category_assignment_2[[#This Row],[category_id]],#REF!,3,FALSE),"")</f>
        <v/>
      </c>
      <c r="C1397" s="23" t="str">
        <f>IFERROR(VLOOKUP(category_assignment_2[[#This Row],[abbreviation_id]],abbreviation[],ColumnLanguage+1,FALSE),"")</f>
        <v/>
      </c>
    </row>
    <row r="1398" spans="1:11" x14ac:dyDescent="0.25">
      <c r="A1398" s="4" t="str">
        <f>IFERROR(category_assignment_2[[#This Row],[category_assignment_id]],"")</f>
        <v/>
      </c>
      <c r="B1398" s="23" t="str">
        <f>IFERROR(VLOOKUP(category_assignment_2[[#This Row],[category_id]],#REF!,3,FALSE),"")</f>
        <v/>
      </c>
      <c r="C1398" s="23" t="str">
        <f>IFERROR(VLOOKUP(category_assignment_2[[#This Row],[abbreviation_id]],abbreviation[],ColumnLanguage+1,FALSE),"")</f>
        <v/>
      </c>
    </row>
    <row r="1399" spans="1:11" x14ac:dyDescent="0.25">
      <c r="A1399" s="4" t="str">
        <f>IFERROR(category_assignment_2[[#This Row],[category_assignment_id]],"")</f>
        <v/>
      </c>
      <c r="B1399" s="23" t="str">
        <f>IFERROR(VLOOKUP(category_assignment_2[[#This Row],[category_id]],#REF!,3,FALSE),"")</f>
        <v/>
      </c>
      <c r="C1399" s="23" t="str">
        <f>IFERROR(VLOOKUP(category_assignment_2[[#This Row],[abbreviation_id]],abbreviation[],ColumnLanguage+1,FALSE),"")</f>
        <v/>
      </c>
    </row>
    <row r="1400" spans="1:11" x14ac:dyDescent="0.25">
      <c r="A1400" s="4" t="str">
        <f>IFERROR(category_assignment_2[[#This Row],[category_assignment_id]],"")</f>
        <v/>
      </c>
      <c r="B1400" s="23" t="str">
        <f>IFERROR(VLOOKUP(category_assignment_2[[#This Row],[category_id]],#REF!,3,FALSE),"")</f>
        <v/>
      </c>
      <c r="C1400" s="23" t="str">
        <f>IFERROR(VLOOKUP(category_assignment_2[[#This Row],[abbreviation_id]],abbreviation[],ColumnLanguage+1,FALSE),"")</f>
        <v/>
      </c>
    </row>
    <row r="1401" spans="1:11" x14ac:dyDescent="0.25">
      <c r="A1401" s="4" t="str">
        <f>IFERROR(category_assignment_2[[#This Row],[category_assignment_id]],"")</f>
        <v/>
      </c>
      <c r="B1401" s="23" t="str">
        <f>IFERROR(VLOOKUP(category_assignment_2[[#This Row],[category_id]],#REF!,3,FALSE),"")</f>
        <v/>
      </c>
      <c r="C1401" s="23" t="str">
        <f>IFERROR(VLOOKUP(category_assignment_2[[#This Row],[abbreviation_id]],abbreviation[],ColumnLanguage+1,FALSE),"")</f>
        <v/>
      </c>
    </row>
    <row r="1402" spans="1:11" x14ac:dyDescent="0.25">
      <c r="A1402" s="4" t="str">
        <f>IFERROR(category_assignment_2[[#This Row],[category_assignment_id]],"")</f>
        <v/>
      </c>
      <c r="B1402" s="23" t="str">
        <f>IFERROR(VLOOKUP(category_assignment_2[[#This Row],[category_id]],#REF!,3,FALSE),"")</f>
        <v/>
      </c>
      <c r="C1402" s="23" t="str">
        <f>IFERROR(VLOOKUP(category_assignment_2[[#This Row],[abbreviation_id]],abbreviation[],ColumnLanguage+1,FALSE),"")</f>
        <v/>
      </c>
    </row>
    <row r="1403" spans="1:11" x14ac:dyDescent="0.25">
      <c r="A1403" s="4" t="str">
        <f>IFERROR(category_assignment_2[[#This Row],[category_assignment_id]],"")</f>
        <v/>
      </c>
      <c r="B1403" s="23" t="str">
        <f>IFERROR(VLOOKUP(category_assignment_2[[#This Row],[category_id]],#REF!,3,FALSE),"")</f>
        <v/>
      </c>
      <c r="C1403" s="23" t="str">
        <f>IFERROR(VLOOKUP(category_assignment_2[[#This Row],[abbreviation_id]],abbreviation[],ColumnLanguage+1,FALSE),"")</f>
        <v/>
      </c>
    </row>
    <row r="1404" spans="1:11" x14ac:dyDescent="0.25">
      <c r="A1404" s="4" t="str">
        <f>IFERROR(category_assignment_2[[#This Row],[category_assignment_id]],"")</f>
        <v/>
      </c>
      <c r="B1404" s="23" t="str">
        <f>IFERROR(VLOOKUP(category_assignment_2[[#This Row],[category_id]],#REF!,3,FALSE),"")</f>
        <v/>
      </c>
      <c r="C1404" s="23" t="str">
        <f>IFERROR(VLOOKUP(category_assignment_2[[#This Row],[abbreviation_id]],abbreviation[],ColumnLanguage+1,FALSE),"")</f>
        <v/>
      </c>
    </row>
    <row r="1405" spans="1:11" x14ac:dyDescent="0.25">
      <c r="A1405" s="4" t="str">
        <f>IFERROR(category_assignment_2[[#This Row],[category_assignment_id]],"")</f>
        <v/>
      </c>
      <c r="B1405" s="23" t="str">
        <f>IFERROR(VLOOKUP(category_assignment_2[[#This Row],[category_id]],#REF!,3,FALSE),"")</f>
        <v/>
      </c>
      <c r="C1405" s="23" t="str">
        <f>IFERROR(VLOOKUP(category_assignment_2[[#This Row],[abbreviation_id]],abbreviation[],ColumnLanguage+1,FALSE),"")</f>
        <v/>
      </c>
    </row>
    <row r="1406" spans="1:11" x14ac:dyDescent="0.25">
      <c r="A1406" s="4" t="str">
        <f>IFERROR(category_assignment_2[[#This Row],[category_assignment_id]],"")</f>
        <v/>
      </c>
      <c r="B1406" s="23" t="str">
        <f>IFERROR(VLOOKUP(category_assignment_2[[#This Row],[category_id]],#REF!,3,FALSE),"")</f>
        <v/>
      </c>
      <c r="C1406" s="23" t="str">
        <f>IFERROR(VLOOKUP(category_assignment_2[[#This Row],[abbreviation_id]],abbreviation[],ColumnLanguage+1,FALSE),"")</f>
        <v/>
      </c>
    </row>
    <row r="1407" spans="1:11" x14ac:dyDescent="0.25">
      <c r="A1407" s="4" t="str">
        <f>IFERROR(category_assignment_2[[#This Row],[category_assignment_id]],"")</f>
        <v/>
      </c>
      <c r="B1407" s="23" t="str">
        <f>IFERROR(VLOOKUP(category_assignment_2[[#This Row],[category_id]],#REF!,3,FALSE),"")</f>
        <v/>
      </c>
      <c r="C1407" s="23" t="str">
        <f>IFERROR(VLOOKUP(category_assignment_2[[#This Row],[abbreviation_id]],abbreviation[],ColumnLanguage+1,FALSE),"")</f>
        <v/>
      </c>
    </row>
    <row r="1408" spans="1:11" x14ac:dyDescent="0.25">
      <c r="A1408" s="4" t="str">
        <f>IFERROR(category_assignment_2[[#This Row],[category_assignment_id]],"")</f>
        <v/>
      </c>
      <c r="B1408" s="23" t="str">
        <f>IFERROR(VLOOKUP(category_assignment_2[[#This Row],[category_id]],#REF!,3,FALSE),"")</f>
        <v/>
      </c>
      <c r="C1408" s="23" t="str">
        <f>IFERROR(VLOOKUP(category_assignment_2[[#This Row],[abbreviation_id]],abbreviation[],ColumnLanguage+1,FALSE),"")</f>
        <v/>
      </c>
      <c r="D1408" s="22"/>
      <c r="E1408" s="22"/>
      <c r="F1408" s="22"/>
      <c r="G1408" s="22"/>
      <c r="H1408" s="22"/>
      <c r="I1408" s="22"/>
      <c r="J1408" s="22"/>
      <c r="K1408" s="22"/>
    </row>
    <row r="1409" spans="1:11" x14ac:dyDescent="0.25">
      <c r="A1409" s="4" t="str">
        <f>IFERROR(category_assignment_2[[#This Row],[category_assignment_id]],"")</f>
        <v/>
      </c>
      <c r="B1409" s="23" t="str">
        <f>IFERROR(VLOOKUP(category_assignment_2[[#This Row],[category_id]],#REF!,3,FALSE),"")</f>
        <v/>
      </c>
      <c r="C1409" s="23" t="str">
        <f>IFERROR(VLOOKUP(category_assignment_2[[#This Row],[abbreviation_id]],abbreviation[],ColumnLanguage+1,FALSE),"")</f>
        <v/>
      </c>
      <c r="D1409" s="22"/>
      <c r="E1409" s="22"/>
      <c r="F1409" s="22"/>
      <c r="G1409" s="22"/>
      <c r="H1409" s="22"/>
      <c r="I1409" s="22"/>
      <c r="J1409" s="22"/>
      <c r="K1409" s="22"/>
    </row>
    <row r="1410" spans="1:11" x14ac:dyDescent="0.25">
      <c r="A1410" s="4" t="str">
        <f>IFERROR(category_assignment_2[[#This Row],[category_assignment_id]],"")</f>
        <v/>
      </c>
      <c r="B1410" s="23" t="str">
        <f>IFERROR(VLOOKUP(category_assignment_2[[#This Row],[category_id]],#REF!,3,FALSE),"")</f>
        <v/>
      </c>
      <c r="C1410" s="23" t="str">
        <f>IFERROR(VLOOKUP(category_assignment_2[[#This Row],[abbreviation_id]],abbreviation[],ColumnLanguage+1,FALSE),"")</f>
        <v/>
      </c>
    </row>
    <row r="1411" spans="1:11" x14ac:dyDescent="0.25">
      <c r="A1411" s="4" t="str">
        <f>IFERROR(category_assignment_2[[#This Row],[category_assignment_id]],"")</f>
        <v/>
      </c>
      <c r="B1411" s="23" t="str">
        <f>IFERROR(VLOOKUP(category_assignment_2[[#This Row],[category_id]],#REF!,3,FALSE),"")</f>
        <v/>
      </c>
      <c r="C1411" s="23" t="str">
        <f>IFERROR(VLOOKUP(category_assignment_2[[#This Row],[abbreviation_id]],abbreviation[],ColumnLanguage+1,FALSE),"")</f>
        <v/>
      </c>
      <c r="D1411" s="22"/>
      <c r="E1411" s="22"/>
      <c r="F1411" s="22"/>
      <c r="G1411" s="22"/>
      <c r="H1411" s="22"/>
      <c r="I1411" s="22"/>
      <c r="J1411" s="22"/>
      <c r="K1411" s="22"/>
    </row>
    <row r="1412" spans="1:11" x14ac:dyDescent="0.25">
      <c r="A1412" s="4" t="str">
        <f>IFERROR(category_assignment_2[[#This Row],[category_assignment_id]],"")</f>
        <v/>
      </c>
      <c r="B1412" s="23" t="str">
        <f>IFERROR(VLOOKUP(category_assignment_2[[#This Row],[category_id]],#REF!,3,FALSE),"")</f>
        <v/>
      </c>
      <c r="C1412" s="23" t="str">
        <f>IFERROR(VLOOKUP(category_assignment_2[[#This Row],[abbreviation_id]],abbreviation[],ColumnLanguage+1,FALSE),"")</f>
        <v/>
      </c>
    </row>
    <row r="1413" spans="1:11" x14ac:dyDescent="0.25">
      <c r="A1413" s="4" t="str">
        <f>IFERROR(category_assignment_2[[#This Row],[category_assignment_id]],"")</f>
        <v/>
      </c>
      <c r="B1413" s="23" t="str">
        <f>IFERROR(VLOOKUP(category_assignment_2[[#This Row],[category_id]],#REF!,3,FALSE),"")</f>
        <v/>
      </c>
      <c r="C1413" s="23" t="str">
        <f>IFERROR(VLOOKUP(category_assignment_2[[#This Row],[abbreviation_id]],abbreviation[],ColumnLanguage+1,FALSE),"")</f>
        <v/>
      </c>
      <c r="D1413" s="22"/>
      <c r="E1413" s="22"/>
      <c r="F1413" s="22"/>
      <c r="G1413" s="22"/>
      <c r="H1413" s="22"/>
      <c r="I1413" s="22"/>
      <c r="J1413" s="22"/>
      <c r="K1413" s="22"/>
    </row>
    <row r="1414" spans="1:11" x14ac:dyDescent="0.25">
      <c r="A1414" s="4" t="str">
        <f>IFERROR(category_assignment_2[[#This Row],[category_assignment_id]],"")</f>
        <v/>
      </c>
      <c r="B1414" s="23" t="str">
        <f>IFERROR(VLOOKUP(category_assignment_2[[#This Row],[category_id]],#REF!,3,FALSE),"")</f>
        <v/>
      </c>
      <c r="C1414" s="23" t="str">
        <f>IFERROR(VLOOKUP(category_assignment_2[[#This Row],[abbreviation_id]],abbreviation[],ColumnLanguage+1,FALSE),"")</f>
        <v/>
      </c>
    </row>
    <row r="1415" spans="1:11" x14ac:dyDescent="0.25">
      <c r="A1415" s="4" t="str">
        <f>IFERROR(category_assignment_2[[#This Row],[category_assignment_id]],"")</f>
        <v/>
      </c>
      <c r="B1415" s="23" t="str">
        <f>IFERROR(VLOOKUP(category_assignment_2[[#This Row],[category_id]],#REF!,3,FALSE),"")</f>
        <v/>
      </c>
      <c r="C1415" s="23" t="str">
        <f>IFERROR(VLOOKUP(category_assignment_2[[#This Row],[abbreviation_id]],abbreviation[],ColumnLanguage+1,FALSE),"")</f>
        <v/>
      </c>
      <c r="D1415" s="22"/>
      <c r="E1415" s="22"/>
      <c r="F1415" s="22"/>
      <c r="G1415" s="22"/>
      <c r="H1415" s="22"/>
      <c r="I1415" s="22"/>
      <c r="J1415" s="22"/>
      <c r="K1415" s="22"/>
    </row>
    <row r="1416" spans="1:11" x14ac:dyDescent="0.25">
      <c r="A1416" s="4" t="str">
        <f>IFERROR(category_assignment_2[[#This Row],[category_assignment_id]],"")</f>
        <v/>
      </c>
      <c r="B1416" s="23" t="str">
        <f>IFERROR(VLOOKUP(category_assignment_2[[#This Row],[category_id]],#REF!,3,FALSE),"")</f>
        <v/>
      </c>
      <c r="C1416" s="23" t="str">
        <f>IFERROR(VLOOKUP(category_assignment_2[[#This Row],[abbreviation_id]],abbreviation[],ColumnLanguage+1,FALSE),"")</f>
        <v/>
      </c>
    </row>
    <row r="1417" spans="1:11" x14ac:dyDescent="0.25">
      <c r="A1417" s="4" t="str">
        <f>IFERROR(category_assignment_2[[#This Row],[category_assignment_id]],"")</f>
        <v/>
      </c>
      <c r="B1417" s="23" t="str">
        <f>IFERROR(VLOOKUP(category_assignment_2[[#This Row],[category_id]],#REF!,3,FALSE),"")</f>
        <v/>
      </c>
      <c r="C1417" s="23" t="str">
        <f>IFERROR(VLOOKUP(category_assignment_2[[#This Row],[abbreviation_id]],abbreviation[],ColumnLanguage+1,FALSE),"")</f>
        <v/>
      </c>
      <c r="D1417" s="22"/>
      <c r="E1417" s="22"/>
      <c r="F1417" s="22"/>
      <c r="G1417" s="22"/>
      <c r="H1417" s="22"/>
      <c r="I1417" s="22"/>
      <c r="J1417" s="22"/>
      <c r="K1417" s="22"/>
    </row>
    <row r="1418" spans="1:11" x14ac:dyDescent="0.25">
      <c r="A1418" s="4" t="str">
        <f>IFERROR(category_assignment_2[[#This Row],[category_assignment_id]],"")</f>
        <v/>
      </c>
      <c r="B1418" s="23" t="str">
        <f>IFERROR(VLOOKUP(category_assignment_2[[#This Row],[category_id]],#REF!,3,FALSE),"")</f>
        <v/>
      </c>
      <c r="C1418" s="23" t="str">
        <f>IFERROR(VLOOKUP(category_assignment_2[[#This Row],[abbreviation_id]],abbreviation[],ColumnLanguage+1,FALSE),"")</f>
        <v/>
      </c>
      <c r="D1418" s="22"/>
      <c r="E1418" s="22"/>
      <c r="F1418" s="22"/>
      <c r="G1418" s="22"/>
      <c r="H1418" s="22"/>
      <c r="I1418" s="22"/>
      <c r="J1418" s="22"/>
      <c r="K1418" s="22"/>
    </row>
    <row r="1419" spans="1:11" x14ac:dyDescent="0.25">
      <c r="A1419" s="4" t="str">
        <f>IFERROR(category_assignment_2[[#This Row],[category_assignment_id]],"")</f>
        <v/>
      </c>
      <c r="B1419" s="23" t="str">
        <f>IFERROR(VLOOKUP(category_assignment_2[[#This Row],[category_id]],#REF!,3,FALSE),"")</f>
        <v/>
      </c>
      <c r="C1419" s="23" t="str">
        <f>IFERROR(VLOOKUP(category_assignment_2[[#This Row],[abbreviation_id]],abbreviation[],ColumnLanguage+1,FALSE),"")</f>
        <v/>
      </c>
    </row>
    <row r="1420" spans="1:11" x14ac:dyDescent="0.25">
      <c r="A1420" s="4" t="str">
        <f>IFERROR(category_assignment_2[[#This Row],[category_assignment_id]],"")</f>
        <v/>
      </c>
      <c r="B1420" s="23" t="str">
        <f>IFERROR(VLOOKUP(category_assignment_2[[#This Row],[category_id]],#REF!,3,FALSE),"")</f>
        <v/>
      </c>
      <c r="C1420" s="23" t="str">
        <f>IFERROR(VLOOKUP(category_assignment_2[[#This Row],[abbreviation_id]],abbreviation[],ColumnLanguage+1,FALSE),"")</f>
        <v/>
      </c>
    </row>
    <row r="1421" spans="1:11" x14ac:dyDescent="0.25">
      <c r="A1421" s="4" t="str">
        <f>IFERROR(category_assignment_2[[#This Row],[category_assignment_id]],"")</f>
        <v/>
      </c>
      <c r="B1421" s="23" t="str">
        <f>IFERROR(VLOOKUP(category_assignment_2[[#This Row],[category_id]],#REF!,3,FALSE),"")</f>
        <v/>
      </c>
      <c r="C1421" s="23" t="str">
        <f>IFERROR(VLOOKUP(category_assignment_2[[#This Row],[abbreviation_id]],abbreviation[],ColumnLanguage+1,FALSE),"")</f>
        <v/>
      </c>
    </row>
    <row r="1422" spans="1:11" x14ac:dyDescent="0.25">
      <c r="A1422" s="4" t="str">
        <f>IFERROR(category_assignment_2[[#This Row],[category_assignment_id]],"")</f>
        <v/>
      </c>
      <c r="B1422" s="23" t="str">
        <f>IFERROR(VLOOKUP(category_assignment_2[[#This Row],[category_id]],#REF!,3,FALSE),"")</f>
        <v/>
      </c>
      <c r="C1422" s="23" t="str">
        <f>IFERROR(VLOOKUP(category_assignment_2[[#This Row],[abbreviation_id]],abbreviation[],ColumnLanguage+1,FALSE),"")</f>
        <v/>
      </c>
    </row>
    <row r="1423" spans="1:11" x14ac:dyDescent="0.25">
      <c r="A1423" s="4" t="str">
        <f>IFERROR(category_assignment_2[[#This Row],[category_assignment_id]],"")</f>
        <v/>
      </c>
      <c r="B1423" s="23" t="str">
        <f>IFERROR(VLOOKUP(category_assignment_2[[#This Row],[category_id]],#REF!,3,FALSE),"")</f>
        <v/>
      </c>
      <c r="C1423" s="23" t="str">
        <f>IFERROR(VLOOKUP(category_assignment_2[[#This Row],[abbreviation_id]],abbreviation[],ColumnLanguage+1,FALSE),"")</f>
        <v/>
      </c>
    </row>
    <row r="1424" spans="1:11" x14ac:dyDescent="0.25">
      <c r="A1424" s="4" t="str">
        <f>IFERROR(category_assignment_2[[#This Row],[category_assignment_id]],"")</f>
        <v/>
      </c>
      <c r="B1424" s="23" t="str">
        <f>IFERROR(VLOOKUP(category_assignment_2[[#This Row],[category_id]],#REF!,3,FALSE),"")</f>
        <v/>
      </c>
      <c r="C1424" s="23" t="str">
        <f>IFERROR(VLOOKUP(category_assignment_2[[#This Row],[abbreviation_id]],abbreviation[],ColumnLanguage+1,FALSE),"")</f>
        <v/>
      </c>
    </row>
    <row r="1425" spans="1:11" x14ac:dyDescent="0.25">
      <c r="A1425" s="4" t="str">
        <f>IFERROR(category_assignment_2[[#This Row],[category_assignment_id]],"")</f>
        <v/>
      </c>
      <c r="B1425" s="23" t="str">
        <f>IFERROR(VLOOKUP(category_assignment_2[[#This Row],[category_id]],#REF!,3,FALSE),"")</f>
        <v/>
      </c>
      <c r="C1425" s="23" t="str">
        <f>IFERROR(VLOOKUP(category_assignment_2[[#This Row],[abbreviation_id]],abbreviation[],ColumnLanguage+1,FALSE),"")</f>
        <v/>
      </c>
    </row>
    <row r="1426" spans="1:11" x14ac:dyDescent="0.25">
      <c r="A1426" s="4" t="str">
        <f>IFERROR(category_assignment_2[[#This Row],[category_assignment_id]],"")</f>
        <v/>
      </c>
      <c r="B1426" s="23" t="str">
        <f>IFERROR(VLOOKUP(category_assignment_2[[#This Row],[category_id]],#REF!,3,FALSE),"")</f>
        <v/>
      </c>
      <c r="C1426" s="23" t="str">
        <f>IFERROR(VLOOKUP(category_assignment_2[[#This Row],[abbreviation_id]],abbreviation[],ColumnLanguage+1,FALSE),"")</f>
        <v/>
      </c>
    </row>
    <row r="1427" spans="1:11" x14ac:dyDescent="0.25">
      <c r="A1427" s="4" t="str">
        <f>IFERROR(category_assignment_2[[#This Row],[category_assignment_id]],"")</f>
        <v/>
      </c>
      <c r="B1427" s="23" t="str">
        <f>IFERROR(VLOOKUP(category_assignment_2[[#This Row],[category_id]],#REF!,3,FALSE),"")</f>
        <v/>
      </c>
      <c r="C1427" s="23" t="str">
        <f>IFERROR(VLOOKUP(category_assignment_2[[#This Row],[abbreviation_id]],abbreviation[],ColumnLanguage+1,FALSE),"")</f>
        <v/>
      </c>
    </row>
    <row r="1428" spans="1:11" x14ac:dyDescent="0.25">
      <c r="A1428" s="4" t="str">
        <f>IFERROR(category_assignment_2[[#This Row],[category_assignment_id]],"")</f>
        <v/>
      </c>
      <c r="B1428" s="23" t="str">
        <f>IFERROR(VLOOKUP(category_assignment_2[[#This Row],[category_id]],#REF!,3,FALSE),"")</f>
        <v/>
      </c>
      <c r="C1428" s="23" t="str">
        <f>IFERROR(VLOOKUP(category_assignment_2[[#This Row],[abbreviation_id]],abbreviation[],ColumnLanguage+1,FALSE),"")</f>
        <v/>
      </c>
      <c r="D1428" s="22"/>
      <c r="E1428" s="22"/>
      <c r="F1428" s="22"/>
      <c r="G1428" s="22"/>
      <c r="H1428" s="22"/>
      <c r="I1428" s="22"/>
      <c r="J1428" s="22"/>
      <c r="K1428" s="22"/>
    </row>
    <row r="1429" spans="1:11" x14ac:dyDescent="0.25">
      <c r="A1429" s="4" t="str">
        <f>IFERROR(category_assignment_2[[#This Row],[category_assignment_id]],"")</f>
        <v/>
      </c>
      <c r="B1429" s="23" t="str">
        <f>IFERROR(VLOOKUP(category_assignment_2[[#This Row],[category_id]],#REF!,3,FALSE),"")</f>
        <v/>
      </c>
      <c r="C1429" s="23" t="str">
        <f>IFERROR(VLOOKUP(category_assignment_2[[#This Row],[abbreviation_id]],abbreviation[],ColumnLanguage+1,FALSE),"")</f>
        <v/>
      </c>
      <c r="D1429" s="22"/>
      <c r="E1429" s="22"/>
      <c r="F1429" s="22"/>
      <c r="G1429" s="22"/>
      <c r="H1429" s="22"/>
      <c r="I1429" s="22"/>
      <c r="J1429" s="22"/>
      <c r="K1429" s="22"/>
    </row>
    <row r="1430" spans="1:11" x14ac:dyDescent="0.25">
      <c r="A1430" s="4" t="str">
        <f>IFERROR(category_assignment_2[[#This Row],[category_assignment_id]],"")</f>
        <v/>
      </c>
      <c r="B1430" s="23" t="str">
        <f>IFERROR(VLOOKUP(category_assignment_2[[#This Row],[category_id]],#REF!,3,FALSE),"")</f>
        <v/>
      </c>
      <c r="C1430" s="23" t="str">
        <f>IFERROR(VLOOKUP(category_assignment_2[[#This Row],[abbreviation_id]],abbreviation[],ColumnLanguage+1,FALSE),"")</f>
        <v/>
      </c>
    </row>
    <row r="1431" spans="1:11" x14ac:dyDescent="0.25">
      <c r="A1431" s="4" t="str">
        <f>IFERROR(category_assignment_2[[#This Row],[category_assignment_id]],"")</f>
        <v/>
      </c>
      <c r="B1431" s="23" t="str">
        <f>IFERROR(VLOOKUP(category_assignment_2[[#This Row],[category_id]],#REF!,3,FALSE),"")</f>
        <v/>
      </c>
      <c r="C1431" s="23" t="str">
        <f>IFERROR(VLOOKUP(category_assignment_2[[#This Row],[abbreviation_id]],abbreviation[],ColumnLanguage+1,FALSE),"")</f>
        <v/>
      </c>
    </row>
    <row r="1432" spans="1:11" x14ac:dyDescent="0.25">
      <c r="A1432" s="4" t="str">
        <f>IFERROR(category_assignment_2[[#This Row],[category_assignment_id]],"")</f>
        <v/>
      </c>
      <c r="B1432" s="23" t="str">
        <f>IFERROR(VLOOKUP(category_assignment_2[[#This Row],[category_id]],#REF!,3,FALSE),"")</f>
        <v/>
      </c>
      <c r="C1432" s="23" t="str">
        <f>IFERROR(VLOOKUP(category_assignment_2[[#This Row],[abbreviation_id]],abbreviation[],ColumnLanguage+1,FALSE),"")</f>
        <v/>
      </c>
    </row>
    <row r="1433" spans="1:11" x14ac:dyDescent="0.25">
      <c r="A1433" s="4" t="str">
        <f>IFERROR(category_assignment_2[[#This Row],[category_assignment_id]],"")</f>
        <v/>
      </c>
      <c r="B1433" s="23" t="str">
        <f>IFERROR(VLOOKUP(category_assignment_2[[#This Row],[category_id]],#REF!,3,FALSE),"")</f>
        <v/>
      </c>
      <c r="C1433" s="23" t="str">
        <f>IFERROR(VLOOKUP(category_assignment_2[[#This Row],[abbreviation_id]],abbreviation[],ColumnLanguage+1,FALSE),"")</f>
        <v/>
      </c>
      <c r="D1433" s="22"/>
      <c r="E1433" s="22"/>
      <c r="F1433" s="22"/>
      <c r="G1433" s="22"/>
      <c r="H1433" s="22"/>
      <c r="I1433" s="22"/>
      <c r="J1433" s="22"/>
      <c r="K1433" s="22"/>
    </row>
    <row r="1434" spans="1:11" x14ac:dyDescent="0.25">
      <c r="A1434" s="4" t="str">
        <f>IFERROR(category_assignment_2[[#This Row],[category_assignment_id]],"")</f>
        <v/>
      </c>
      <c r="B1434" s="23" t="str">
        <f>IFERROR(VLOOKUP(category_assignment_2[[#This Row],[category_id]],#REF!,3,FALSE),"")</f>
        <v/>
      </c>
      <c r="C1434" s="23" t="str">
        <f>IFERROR(VLOOKUP(category_assignment_2[[#This Row],[abbreviation_id]],abbreviation[],ColumnLanguage+1,FALSE),"")</f>
        <v/>
      </c>
    </row>
    <row r="1435" spans="1:11" x14ac:dyDescent="0.25">
      <c r="A1435" s="4" t="str">
        <f>IFERROR(category_assignment_2[[#This Row],[category_assignment_id]],"")</f>
        <v/>
      </c>
      <c r="B1435" s="23" t="str">
        <f>IFERROR(VLOOKUP(category_assignment_2[[#This Row],[category_id]],#REF!,3,FALSE),"")</f>
        <v/>
      </c>
      <c r="C1435" s="23" t="str">
        <f>IFERROR(VLOOKUP(category_assignment_2[[#This Row],[abbreviation_id]],abbreviation[],ColumnLanguage+1,FALSE),"")</f>
        <v/>
      </c>
      <c r="D1435" s="22"/>
      <c r="E1435" s="22"/>
      <c r="F1435" s="22"/>
      <c r="G1435" s="22"/>
      <c r="H1435" s="22"/>
      <c r="I1435" s="22"/>
      <c r="J1435" s="22"/>
      <c r="K1435" s="22"/>
    </row>
    <row r="1436" spans="1:11" x14ac:dyDescent="0.25">
      <c r="A1436" s="4" t="str">
        <f>IFERROR(category_assignment_2[[#This Row],[category_assignment_id]],"")</f>
        <v/>
      </c>
      <c r="B1436" s="23" t="str">
        <f>IFERROR(VLOOKUP(category_assignment_2[[#This Row],[category_id]],#REF!,3,FALSE),"")</f>
        <v/>
      </c>
      <c r="C1436" s="23" t="str">
        <f>IFERROR(VLOOKUP(category_assignment_2[[#This Row],[abbreviation_id]],abbreviation[],ColumnLanguage+1,FALSE),"")</f>
        <v/>
      </c>
    </row>
    <row r="1437" spans="1:11" x14ac:dyDescent="0.25">
      <c r="A1437" s="4" t="str">
        <f>IFERROR(category_assignment_2[[#This Row],[category_assignment_id]],"")</f>
        <v/>
      </c>
      <c r="B1437" s="23" t="str">
        <f>IFERROR(VLOOKUP(category_assignment_2[[#This Row],[category_id]],#REF!,3,FALSE),"")</f>
        <v/>
      </c>
      <c r="C1437" s="23" t="str">
        <f>IFERROR(VLOOKUP(category_assignment_2[[#This Row],[abbreviation_id]],abbreviation[],ColumnLanguage+1,FALSE),"")</f>
        <v/>
      </c>
      <c r="D1437" s="22"/>
      <c r="E1437" s="22"/>
      <c r="F1437" s="22"/>
      <c r="G1437" s="22"/>
      <c r="H1437" s="22"/>
      <c r="I1437" s="22"/>
      <c r="J1437" s="22"/>
      <c r="K1437" s="22"/>
    </row>
    <row r="1438" spans="1:11" x14ac:dyDescent="0.25">
      <c r="A1438" s="4" t="str">
        <f>IFERROR(category_assignment_2[[#This Row],[category_assignment_id]],"")</f>
        <v/>
      </c>
      <c r="B1438" s="23" t="str">
        <f>IFERROR(VLOOKUP(category_assignment_2[[#This Row],[category_id]],#REF!,3,FALSE),"")</f>
        <v/>
      </c>
      <c r="C1438" s="23" t="str">
        <f>IFERROR(VLOOKUP(category_assignment_2[[#This Row],[abbreviation_id]],abbreviation[],ColumnLanguage+1,FALSE),"")</f>
        <v/>
      </c>
    </row>
    <row r="1439" spans="1:11" x14ac:dyDescent="0.25">
      <c r="A1439" s="4" t="str">
        <f>IFERROR(category_assignment_2[[#This Row],[category_assignment_id]],"")</f>
        <v/>
      </c>
      <c r="B1439" s="23" t="str">
        <f>IFERROR(VLOOKUP(category_assignment_2[[#This Row],[category_id]],#REF!,3,FALSE),"")</f>
        <v/>
      </c>
      <c r="C1439" s="23" t="str">
        <f>IFERROR(VLOOKUP(category_assignment_2[[#This Row],[abbreviation_id]],abbreviation[],ColumnLanguage+1,FALSE),"")</f>
        <v/>
      </c>
    </row>
    <row r="1440" spans="1:11" x14ac:dyDescent="0.25">
      <c r="A1440" s="4" t="str">
        <f>IFERROR(category_assignment_2[[#This Row],[category_assignment_id]],"")</f>
        <v/>
      </c>
      <c r="B1440" s="23" t="str">
        <f>IFERROR(VLOOKUP(category_assignment_2[[#This Row],[category_id]],#REF!,3,FALSE),"")</f>
        <v/>
      </c>
      <c r="C1440" s="23" t="str">
        <f>IFERROR(VLOOKUP(category_assignment_2[[#This Row],[abbreviation_id]],abbreviation[],ColumnLanguage+1,FALSE),"")</f>
        <v/>
      </c>
    </row>
    <row r="1441" spans="1:11" x14ac:dyDescent="0.25">
      <c r="A1441" s="4" t="str">
        <f>IFERROR(category_assignment_2[[#This Row],[category_assignment_id]],"")</f>
        <v/>
      </c>
      <c r="B1441" s="23" t="str">
        <f>IFERROR(VLOOKUP(category_assignment_2[[#This Row],[category_id]],#REF!,3,FALSE),"")</f>
        <v/>
      </c>
      <c r="C1441" s="23" t="str">
        <f>IFERROR(VLOOKUP(category_assignment_2[[#This Row],[abbreviation_id]],abbreviation[],ColumnLanguage+1,FALSE),"")</f>
        <v/>
      </c>
    </row>
    <row r="1442" spans="1:11" x14ac:dyDescent="0.25">
      <c r="A1442" s="4" t="str">
        <f>IFERROR(category_assignment_2[[#This Row],[category_assignment_id]],"")</f>
        <v/>
      </c>
      <c r="B1442" s="23" t="str">
        <f>IFERROR(VLOOKUP(category_assignment_2[[#This Row],[category_id]],#REF!,3,FALSE),"")</f>
        <v/>
      </c>
      <c r="C1442" s="23" t="str">
        <f>IFERROR(VLOOKUP(category_assignment_2[[#This Row],[abbreviation_id]],abbreviation[],ColumnLanguage+1,FALSE),"")</f>
        <v/>
      </c>
    </row>
    <row r="1443" spans="1:11" x14ac:dyDescent="0.25">
      <c r="A1443" s="4" t="str">
        <f>IFERROR(category_assignment_2[[#This Row],[category_assignment_id]],"")</f>
        <v/>
      </c>
      <c r="B1443" s="23" t="str">
        <f>IFERROR(VLOOKUP(category_assignment_2[[#This Row],[category_id]],#REF!,3,FALSE),"")</f>
        <v/>
      </c>
      <c r="C1443" s="23" t="str">
        <f>IFERROR(VLOOKUP(category_assignment_2[[#This Row],[abbreviation_id]],abbreviation[],ColumnLanguage+1,FALSE),"")</f>
        <v/>
      </c>
    </row>
    <row r="1444" spans="1:11" x14ac:dyDescent="0.25">
      <c r="A1444" s="4" t="str">
        <f>IFERROR(category_assignment_2[[#This Row],[category_assignment_id]],"")</f>
        <v/>
      </c>
      <c r="B1444" s="23" t="str">
        <f>IFERROR(VLOOKUP(category_assignment_2[[#This Row],[category_id]],#REF!,3,FALSE),"")</f>
        <v/>
      </c>
      <c r="C1444" s="23" t="str">
        <f>IFERROR(VLOOKUP(category_assignment_2[[#This Row],[abbreviation_id]],abbreviation[],ColumnLanguage+1,FALSE),"")</f>
        <v/>
      </c>
    </row>
    <row r="1445" spans="1:11" x14ac:dyDescent="0.25">
      <c r="A1445" s="4" t="str">
        <f>IFERROR(category_assignment_2[[#This Row],[category_assignment_id]],"")</f>
        <v/>
      </c>
      <c r="B1445" s="23" t="str">
        <f>IFERROR(VLOOKUP(category_assignment_2[[#This Row],[category_id]],#REF!,3,FALSE),"")</f>
        <v/>
      </c>
      <c r="C1445" s="23" t="str">
        <f>IFERROR(VLOOKUP(category_assignment_2[[#This Row],[abbreviation_id]],abbreviation[],ColumnLanguage+1,FALSE),"")</f>
        <v/>
      </c>
    </row>
    <row r="1446" spans="1:11" x14ac:dyDescent="0.25">
      <c r="A1446" s="4" t="str">
        <f>IFERROR(category_assignment_2[[#This Row],[category_assignment_id]],"")</f>
        <v/>
      </c>
      <c r="B1446" s="23" t="str">
        <f>IFERROR(VLOOKUP(category_assignment_2[[#This Row],[category_id]],#REF!,3,FALSE),"")</f>
        <v/>
      </c>
      <c r="C1446" s="23" t="str">
        <f>IFERROR(VLOOKUP(category_assignment_2[[#This Row],[abbreviation_id]],abbreviation[],ColumnLanguage+1,FALSE),"")</f>
        <v/>
      </c>
    </row>
    <row r="1447" spans="1:11" x14ac:dyDescent="0.25">
      <c r="A1447" s="4" t="str">
        <f>IFERROR(category_assignment_2[[#This Row],[category_assignment_id]],"")</f>
        <v/>
      </c>
      <c r="B1447" s="23" t="str">
        <f>IFERROR(VLOOKUP(category_assignment_2[[#This Row],[category_id]],#REF!,3,FALSE),"")</f>
        <v/>
      </c>
      <c r="C1447" s="23" t="str">
        <f>IFERROR(VLOOKUP(category_assignment_2[[#This Row],[abbreviation_id]],abbreviation[],ColumnLanguage+1,FALSE),"")</f>
        <v/>
      </c>
    </row>
    <row r="1448" spans="1:11" x14ac:dyDescent="0.25">
      <c r="A1448" s="4" t="str">
        <f>IFERROR(category_assignment_2[[#This Row],[category_assignment_id]],"")</f>
        <v/>
      </c>
      <c r="B1448" s="23" t="str">
        <f>IFERROR(VLOOKUP(category_assignment_2[[#This Row],[category_id]],#REF!,3,FALSE),"")</f>
        <v/>
      </c>
      <c r="C1448" s="23" t="str">
        <f>IFERROR(VLOOKUP(category_assignment_2[[#This Row],[abbreviation_id]],abbreviation[],ColumnLanguage+1,FALSE),"")</f>
        <v/>
      </c>
    </row>
    <row r="1449" spans="1:11" x14ac:dyDescent="0.25">
      <c r="A1449" s="4" t="str">
        <f>IFERROR(category_assignment_2[[#This Row],[category_assignment_id]],"")</f>
        <v/>
      </c>
      <c r="B1449" s="23" t="str">
        <f>IFERROR(VLOOKUP(category_assignment_2[[#This Row],[category_id]],#REF!,3,FALSE),"")</f>
        <v/>
      </c>
      <c r="C1449" s="23" t="str">
        <f>IFERROR(VLOOKUP(category_assignment_2[[#This Row],[abbreviation_id]],abbreviation[],ColumnLanguage+1,FALSE),"")</f>
        <v/>
      </c>
      <c r="D1449" s="22"/>
      <c r="E1449" s="22"/>
      <c r="F1449" s="22"/>
      <c r="G1449" s="22"/>
      <c r="H1449" s="22"/>
      <c r="I1449" s="22"/>
      <c r="J1449" s="22"/>
      <c r="K1449" s="22"/>
    </row>
    <row r="1450" spans="1:11" x14ac:dyDescent="0.25">
      <c r="A1450" s="4" t="str">
        <f>IFERROR(category_assignment_2[[#This Row],[category_assignment_id]],"")</f>
        <v/>
      </c>
      <c r="B1450" s="23" t="str">
        <f>IFERROR(VLOOKUP(category_assignment_2[[#This Row],[category_id]],#REF!,3,FALSE),"")</f>
        <v/>
      </c>
      <c r="C1450" s="23" t="str">
        <f>IFERROR(VLOOKUP(category_assignment_2[[#This Row],[abbreviation_id]],abbreviation[],ColumnLanguage+1,FALSE),"")</f>
        <v/>
      </c>
    </row>
    <row r="1451" spans="1:11" x14ac:dyDescent="0.25">
      <c r="A1451" s="4" t="str">
        <f>IFERROR(category_assignment_2[[#This Row],[category_assignment_id]],"")</f>
        <v/>
      </c>
      <c r="B1451" s="23" t="str">
        <f>IFERROR(VLOOKUP(category_assignment_2[[#This Row],[category_id]],#REF!,3,FALSE),"")</f>
        <v/>
      </c>
      <c r="C1451" s="23" t="str">
        <f>IFERROR(VLOOKUP(category_assignment_2[[#This Row],[abbreviation_id]],abbreviation[],ColumnLanguage+1,FALSE),"")</f>
        <v/>
      </c>
    </row>
    <row r="1452" spans="1:11" x14ac:dyDescent="0.25">
      <c r="A1452" s="4" t="str">
        <f>IFERROR(category_assignment_2[[#This Row],[category_assignment_id]],"")</f>
        <v/>
      </c>
      <c r="B1452" s="23" t="str">
        <f>IFERROR(VLOOKUP(category_assignment_2[[#This Row],[category_id]],#REF!,3,FALSE),"")</f>
        <v/>
      </c>
      <c r="C1452" s="23" t="str">
        <f>IFERROR(VLOOKUP(category_assignment_2[[#This Row],[abbreviation_id]],abbreviation[],ColumnLanguage+1,FALSE),"")</f>
        <v/>
      </c>
      <c r="D1452" s="22"/>
      <c r="E1452" s="22"/>
      <c r="F1452" s="22"/>
      <c r="G1452" s="22"/>
      <c r="H1452" s="22"/>
      <c r="I1452" s="22"/>
      <c r="J1452" s="22"/>
      <c r="K1452" s="22"/>
    </row>
    <row r="1453" spans="1:11" x14ac:dyDescent="0.25">
      <c r="A1453" s="4" t="str">
        <f>IFERROR(category_assignment_2[[#This Row],[category_assignment_id]],"")</f>
        <v/>
      </c>
      <c r="B1453" s="23" t="str">
        <f>IFERROR(VLOOKUP(category_assignment_2[[#This Row],[category_id]],#REF!,3,FALSE),"")</f>
        <v/>
      </c>
      <c r="C1453" s="23" t="str">
        <f>IFERROR(VLOOKUP(category_assignment_2[[#This Row],[abbreviation_id]],abbreviation[],ColumnLanguage+1,FALSE),"")</f>
        <v/>
      </c>
    </row>
    <row r="1454" spans="1:11" x14ac:dyDescent="0.25">
      <c r="A1454" s="4" t="str">
        <f>IFERROR(category_assignment_2[[#This Row],[category_assignment_id]],"")</f>
        <v/>
      </c>
      <c r="B1454" s="23" t="str">
        <f>IFERROR(VLOOKUP(category_assignment_2[[#This Row],[category_id]],#REF!,3,FALSE),"")</f>
        <v/>
      </c>
      <c r="C1454" s="23" t="str">
        <f>IFERROR(VLOOKUP(category_assignment_2[[#This Row],[abbreviation_id]],abbreviation[],ColumnLanguage+1,FALSE),"")</f>
        <v/>
      </c>
    </row>
    <row r="1455" spans="1:11" x14ac:dyDescent="0.25">
      <c r="A1455" s="4" t="str">
        <f>IFERROR(category_assignment_2[[#This Row],[category_assignment_id]],"")</f>
        <v/>
      </c>
      <c r="B1455" s="23" t="str">
        <f>IFERROR(VLOOKUP(category_assignment_2[[#This Row],[category_id]],#REF!,3,FALSE),"")</f>
        <v/>
      </c>
      <c r="C1455" s="23" t="str">
        <f>IFERROR(VLOOKUP(category_assignment_2[[#This Row],[abbreviation_id]],abbreviation[],ColumnLanguage+1,FALSE),"")</f>
        <v/>
      </c>
    </row>
    <row r="1456" spans="1:11" x14ac:dyDescent="0.25">
      <c r="A1456" s="4" t="str">
        <f>IFERROR(category_assignment_2[[#This Row],[category_assignment_id]],"")</f>
        <v/>
      </c>
      <c r="B1456" s="23" t="str">
        <f>IFERROR(VLOOKUP(category_assignment_2[[#This Row],[category_id]],#REF!,3,FALSE),"")</f>
        <v/>
      </c>
      <c r="C1456" s="23" t="str">
        <f>IFERROR(VLOOKUP(category_assignment_2[[#This Row],[abbreviation_id]],abbreviation[],ColumnLanguage+1,FALSE),"")</f>
        <v/>
      </c>
    </row>
    <row r="1457" spans="1:11" x14ac:dyDescent="0.25">
      <c r="A1457" s="4" t="str">
        <f>IFERROR(category_assignment_2[[#This Row],[category_assignment_id]],"")</f>
        <v/>
      </c>
      <c r="B1457" s="23" t="str">
        <f>IFERROR(VLOOKUP(category_assignment_2[[#This Row],[category_id]],#REF!,3,FALSE),"")</f>
        <v/>
      </c>
      <c r="C1457" s="23" t="str">
        <f>IFERROR(VLOOKUP(category_assignment_2[[#This Row],[abbreviation_id]],abbreviation[],ColumnLanguage+1,FALSE),"")</f>
        <v/>
      </c>
    </row>
    <row r="1458" spans="1:11" x14ac:dyDescent="0.25">
      <c r="A1458" s="4" t="str">
        <f>IFERROR(category_assignment_2[[#This Row],[category_assignment_id]],"")</f>
        <v/>
      </c>
      <c r="B1458" s="23" t="str">
        <f>IFERROR(VLOOKUP(category_assignment_2[[#This Row],[category_id]],#REF!,3,FALSE),"")</f>
        <v/>
      </c>
      <c r="C1458" s="23" t="str">
        <f>IFERROR(VLOOKUP(category_assignment_2[[#This Row],[abbreviation_id]],abbreviation[],ColumnLanguage+1,FALSE),"")</f>
        <v/>
      </c>
    </row>
    <row r="1459" spans="1:11" x14ac:dyDescent="0.25">
      <c r="A1459" s="4" t="str">
        <f>IFERROR(category_assignment_2[[#This Row],[category_assignment_id]],"")</f>
        <v/>
      </c>
      <c r="B1459" s="23" t="str">
        <f>IFERROR(VLOOKUP(category_assignment_2[[#This Row],[category_id]],#REF!,3,FALSE),"")</f>
        <v/>
      </c>
      <c r="C1459" s="23" t="str">
        <f>IFERROR(VLOOKUP(category_assignment_2[[#This Row],[abbreviation_id]],abbreviation[],ColumnLanguage+1,FALSE),"")</f>
        <v/>
      </c>
    </row>
    <row r="1460" spans="1:11" x14ac:dyDescent="0.25">
      <c r="A1460" s="4" t="str">
        <f>IFERROR(category_assignment_2[[#This Row],[category_assignment_id]],"")</f>
        <v/>
      </c>
      <c r="B1460" s="23" t="str">
        <f>IFERROR(VLOOKUP(category_assignment_2[[#This Row],[category_id]],#REF!,3,FALSE),"")</f>
        <v/>
      </c>
      <c r="C1460" s="23" t="str">
        <f>IFERROR(VLOOKUP(category_assignment_2[[#This Row],[abbreviation_id]],abbreviation[],ColumnLanguage+1,FALSE),"")</f>
        <v/>
      </c>
      <c r="D1460" s="23"/>
      <c r="E1460" s="23"/>
      <c r="F1460" s="23"/>
      <c r="G1460" s="23"/>
      <c r="H1460" s="23"/>
      <c r="I1460" s="23"/>
      <c r="J1460" s="23"/>
      <c r="K1460" s="23"/>
    </row>
    <row r="1461" spans="1:11" x14ac:dyDescent="0.25">
      <c r="A1461" s="4" t="str">
        <f>IFERROR(category_assignment_2[[#This Row],[category_assignment_id]],"")</f>
        <v/>
      </c>
      <c r="B1461" s="23" t="str">
        <f>IFERROR(VLOOKUP(category_assignment_2[[#This Row],[category_id]],#REF!,3,FALSE),"")</f>
        <v/>
      </c>
      <c r="C1461" s="23" t="str">
        <f>IFERROR(VLOOKUP(category_assignment_2[[#This Row],[abbreviation_id]],abbreviation[],ColumnLanguage+1,FALSE),"")</f>
        <v/>
      </c>
      <c r="D1461" s="23"/>
      <c r="E1461" s="23"/>
      <c r="F1461" s="23"/>
      <c r="G1461" s="23"/>
      <c r="H1461" s="23"/>
      <c r="I1461" s="23"/>
      <c r="J1461" s="23"/>
      <c r="K1461" s="23"/>
    </row>
    <row r="1462" spans="1:11" x14ac:dyDescent="0.25">
      <c r="A1462" s="4" t="str">
        <f>IFERROR(category_assignment_2[[#This Row],[category_assignment_id]],"")</f>
        <v/>
      </c>
      <c r="B1462" s="23" t="str">
        <f>IFERROR(VLOOKUP(category_assignment_2[[#This Row],[category_id]],#REF!,3,FALSE),"")</f>
        <v/>
      </c>
      <c r="C1462" s="23" t="str">
        <f>IFERROR(VLOOKUP(category_assignment_2[[#This Row],[abbreviation_id]],abbreviation[],ColumnLanguage+1,FALSE),"")</f>
        <v/>
      </c>
      <c r="D1462" s="23"/>
      <c r="E1462" s="23"/>
      <c r="F1462" s="23"/>
      <c r="G1462" s="23"/>
      <c r="H1462" s="23"/>
      <c r="I1462" s="23"/>
      <c r="J1462" s="23"/>
      <c r="K1462" s="23"/>
    </row>
    <row r="1463" spans="1:11" x14ac:dyDescent="0.25">
      <c r="A1463" s="4" t="str">
        <f>IFERROR(category_assignment_2[[#This Row],[category_assignment_id]],"")</f>
        <v/>
      </c>
      <c r="B1463" s="23" t="str">
        <f>IFERROR(VLOOKUP(category_assignment_2[[#This Row],[category_id]],#REF!,3,FALSE),"")</f>
        <v/>
      </c>
      <c r="C1463" s="23" t="str">
        <f>IFERROR(VLOOKUP(category_assignment_2[[#This Row],[abbreviation_id]],abbreviation[],ColumnLanguage+1,FALSE),"")</f>
        <v/>
      </c>
      <c r="D1463" s="23"/>
      <c r="E1463" s="23"/>
      <c r="F1463" s="23"/>
      <c r="G1463" s="23"/>
      <c r="H1463" s="23"/>
      <c r="I1463" s="23"/>
      <c r="J1463" s="23"/>
      <c r="K1463" s="23"/>
    </row>
    <row r="1464" spans="1:11" x14ac:dyDescent="0.25">
      <c r="A1464" s="4" t="str">
        <f>IFERROR(category_assignment_2[[#This Row],[category_assignment_id]],"")</f>
        <v/>
      </c>
      <c r="B1464" s="23" t="str">
        <f>IFERROR(VLOOKUP(category_assignment_2[[#This Row],[category_id]],#REF!,3,FALSE),"")</f>
        <v/>
      </c>
      <c r="C1464" s="23" t="str">
        <f>IFERROR(VLOOKUP(category_assignment_2[[#This Row],[abbreviation_id]],abbreviation[],ColumnLanguage+1,FALSE),"")</f>
        <v/>
      </c>
      <c r="D1464" s="22"/>
      <c r="E1464" s="22"/>
      <c r="F1464" s="22"/>
      <c r="G1464" s="22"/>
      <c r="H1464" s="22"/>
      <c r="I1464" s="22"/>
      <c r="J1464" s="22"/>
      <c r="K1464" s="22"/>
    </row>
    <row r="1465" spans="1:11" x14ac:dyDescent="0.25">
      <c r="A1465" s="4" t="str">
        <f>IFERROR(category_assignment_2[[#This Row],[category_assignment_id]],"")</f>
        <v/>
      </c>
      <c r="B1465" s="23" t="str">
        <f>IFERROR(VLOOKUP(category_assignment_2[[#This Row],[category_id]],#REF!,3,FALSE),"")</f>
        <v/>
      </c>
      <c r="C1465" s="23" t="str">
        <f>IFERROR(VLOOKUP(category_assignment_2[[#This Row],[abbreviation_id]],abbreviation[],ColumnLanguage+1,FALSE),"")</f>
        <v/>
      </c>
    </row>
    <row r="1466" spans="1:11" x14ac:dyDescent="0.25">
      <c r="A1466" s="4" t="str">
        <f>IFERROR(category_assignment_2[[#This Row],[category_assignment_id]],"")</f>
        <v/>
      </c>
      <c r="B1466" s="23" t="str">
        <f>IFERROR(VLOOKUP(category_assignment_2[[#This Row],[category_id]],#REF!,3,FALSE),"")</f>
        <v/>
      </c>
      <c r="C1466" s="23" t="str">
        <f>IFERROR(VLOOKUP(category_assignment_2[[#This Row],[abbreviation_id]],abbreviation[],ColumnLanguage+1,FALSE),"")</f>
        <v/>
      </c>
    </row>
    <row r="1467" spans="1:11" x14ac:dyDescent="0.25">
      <c r="A1467" s="4" t="str">
        <f>IFERROR(category_assignment_2[[#This Row],[category_assignment_id]],"")</f>
        <v/>
      </c>
      <c r="B1467" s="23" t="str">
        <f>IFERROR(VLOOKUP(category_assignment_2[[#This Row],[category_id]],#REF!,3,FALSE),"")</f>
        <v/>
      </c>
      <c r="C1467" s="23" t="str">
        <f>IFERROR(VLOOKUP(category_assignment_2[[#This Row],[abbreviation_id]],abbreviation[],ColumnLanguage+1,FALSE),"")</f>
        <v/>
      </c>
      <c r="D1467" s="22"/>
      <c r="E1467" s="22"/>
      <c r="F1467" s="22"/>
      <c r="G1467" s="22"/>
      <c r="H1467" s="22"/>
      <c r="I1467" s="22"/>
      <c r="J1467" s="22"/>
      <c r="K1467" s="22"/>
    </row>
    <row r="1468" spans="1:11" x14ac:dyDescent="0.25">
      <c r="A1468" s="4" t="str">
        <f>IFERROR(category_assignment_2[[#This Row],[category_assignment_id]],"")</f>
        <v/>
      </c>
      <c r="B1468" s="23" t="str">
        <f>IFERROR(VLOOKUP(category_assignment_2[[#This Row],[category_id]],#REF!,3,FALSE),"")</f>
        <v/>
      </c>
      <c r="C1468" s="23" t="str">
        <f>IFERROR(VLOOKUP(category_assignment_2[[#This Row],[abbreviation_id]],abbreviation[],ColumnLanguage+1,FALSE),"")</f>
        <v/>
      </c>
    </row>
    <row r="1469" spans="1:11" x14ac:dyDescent="0.25">
      <c r="A1469" s="4" t="str">
        <f>IFERROR(category_assignment_2[[#This Row],[category_assignment_id]],"")</f>
        <v/>
      </c>
      <c r="B1469" s="23" t="str">
        <f>IFERROR(VLOOKUP(category_assignment_2[[#This Row],[category_id]],#REF!,3,FALSE),"")</f>
        <v/>
      </c>
      <c r="C1469" s="23" t="str">
        <f>IFERROR(VLOOKUP(category_assignment_2[[#This Row],[abbreviation_id]],abbreviation[],ColumnLanguage+1,FALSE),"")</f>
        <v/>
      </c>
    </row>
    <row r="1470" spans="1:11" x14ac:dyDescent="0.25">
      <c r="A1470" s="4" t="str">
        <f>IFERROR(category_assignment_2[[#This Row],[category_assignment_id]],"")</f>
        <v/>
      </c>
      <c r="B1470" s="23" t="str">
        <f>IFERROR(VLOOKUP(category_assignment_2[[#This Row],[category_id]],#REF!,3,FALSE),"")</f>
        <v/>
      </c>
      <c r="C1470" s="23" t="str">
        <f>IFERROR(VLOOKUP(category_assignment_2[[#This Row],[abbreviation_id]],abbreviation[],ColumnLanguage+1,FALSE),"")</f>
        <v/>
      </c>
    </row>
    <row r="1471" spans="1:11" x14ac:dyDescent="0.25">
      <c r="A1471" s="4" t="str">
        <f>IFERROR(category_assignment_2[[#This Row],[category_assignment_id]],"")</f>
        <v/>
      </c>
      <c r="B1471" s="23" t="str">
        <f>IFERROR(VLOOKUP(category_assignment_2[[#This Row],[category_id]],#REF!,3,FALSE),"")</f>
        <v/>
      </c>
      <c r="C1471" s="23" t="str">
        <f>IFERROR(VLOOKUP(category_assignment_2[[#This Row],[abbreviation_id]],abbreviation[],ColumnLanguage+1,FALSE),"")</f>
        <v/>
      </c>
    </row>
    <row r="1472" spans="1:11" x14ac:dyDescent="0.25">
      <c r="A1472" s="4" t="str">
        <f>IFERROR(category_assignment_2[[#This Row],[category_assignment_id]],"")</f>
        <v/>
      </c>
      <c r="B1472" s="23" t="str">
        <f>IFERROR(VLOOKUP(category_assignment_2[[#This Row],[category_id]],#REF!,3,FALSE),"")</f>
        <v/>
      </c>
      <c r="C1472" s="23" t="str">
        <f>IFERROR(VLOOKUP(category_assignment_2[[#This Row],[abbreviation_id]],abbreviation[],ColumnLanguage+1,FALSE),"")</f>
        <v/>
      </c>
    </row>
    <row r="1473" spans="1:11" x14ac:dyDescent="0.25">
      <c r="A1473" s="4" t="str">
        <f>IFERROR(category_assignment_2[[#This Row],[category_assignment_id]],"")</f>
        <v/>
      </c>
      <c r="B1473" s="23" t="str">
        <f>IFERROR(VLOOKUP(category_assignment_2[[#This Row],[category_id]],#REF!,3,FALSE),"")</f>
        <v/>
      </c>
      <c r="C1473" s="23" t="str">
        <f>IFERROR(VLOOKUP(category_assignment_2[[#This Row],[abbreviation_id]],abbreviation[],ColumnLanguage+1,FALSE),"")</f>
        <v/>
      </c>
    </row>
    <row r="1474" spans="1:11" x14ac:dyDescent="0.25">
      <c r="A1474" s="4" t="str">
        <f>IFERROR(category_assignment_2[[#This Row],[category_assignment_id]],"")</f>
        <v/>
      </c>
      <c r="B1474" s="23" t="str">
        <f>IFERROR(VLOOKUP(category_assignment_2[[#This Row],[category_id]],#REF!,3,FALSE),"")</f>
        <v/>
      </c>
      <c r="C1474" s="23" t="str">
        <f>IFERROR(VLOOKUP(category_assignment_2[[#This Row],[abbreviation_id]],abbreviation[],ColumnLanguage+1,FALSE),"")</f>
        <v/>
      </c>
      <c r="D1474" s="22"/>
      <c r="E1474" s="22"/>
      <c r="F1474" s="22"/>
      <c r="G1474" s="22"/>
      <c r="H1474" s="22"/>
      <c r="I1474" s="22"/>
      <c r="J1474" s="22"/>
      <c r="K1474" s="22"/>
    </row>
    <row r="1475" spans="1:11" x14ac:dyDescent="0.25">
      <c r="A1475" s="4" t="str">
        <f>IFERROR(category_assignment_2[[#This Row],[category_assignment_id]],"")</f>
        <v/>
      </c>
      <c r="B1475" s="23" t="str">
        <f>IFERROR(VLOOKUP(category_assignment_2[[#This Row],[category_id]],#REF!,3,FALSE),"")</f>
        <v/>
      </c>
      <c r="C1475" s="23" t="str">
        <f>IFERROR(VLOOKUP(category_assignment_2[[#This Row],[abbreviation_id]],abbreviation[],ColumnLanguage+1,FALSE),"")</f>
        <v/>
      </c>
    </row>
    <row r="1476" spans="1:11" x14ac:dyDescent="0.25">
      <c r="A1476" s="4" t="str">
        <f>IFERROR(category_assignment_2[[#This Row],[category_assignment_id]],"")</f>
        <v/>
      </c>
      <c r="B1476" s="23" t="str">
        <f>IFERROR(VLOOKUP(category_assignment_2[[#This Row],[category_id]],#REF!,3,FALSE),"")</f>
        <v/>
      </c>
      <c r="C1476" s="23" t="str">
        <f>IFERROR(VLOOKUP(category_assignment_2[[#This Row],[abbreviation_id]],abbreviation[],ColumnLanguage+1,FALSE),"")</f>
        <v/>
      </c>
      <c r="D1476" s="22"/>
      <c r="E1476" s="22"/>
      <c r="F1476" s="22"/>
      <c r="G1476" s="22"/>
      <c r="H1476" s="22"/>
      <c r="I1476" s="22"/>
      <c r="J1476" s="22"/>
      <c r="K1476" s="22"/>
    </row>
    <row r="1477" spans="1:11" x14ac:dyDescent="0.25">
      <c r="A1477" s="4" t="str">
        <f>IFERROR(category_assignment_2[[#This Row],[category_assignment_id]],"")</f>
        <v/>
      </c>
      <c r="B1477" s="23" t="str">
        <f>IFERROR(VLOOKUP(category_assignment_2[[#This Row],[category_id]],#REF!,3,FALSE),"")</f>
        <v/>
      </c>
      <c r="C1477" s="23" t="str">
        <f>IFERROR(VLOOKUP(category_assignment_2[[#This Row],[abbreviation_id]],abbreviation[],ColumnLanguage+1,FALSE),"")</f>
        <v/>
      </c>
    </row>
    <row r="1478" spans="1:11" x14ac:dyDescent="0.25">
      <c r="A1478" s="4" t="str">
        <f>IFERROR(category_assignment_2[[#This Row],[category_assignment_id]],"")</f>
        <v/>
      </c>
      <c r="B1478" s="23" t="str">
        <f>IFERROR(VLOOKUP(category_assignment_2[[#This Row],[category_id]],#REF!,3,FALSE),"")</f>
        <v/>
      </c>
      <c r="C1478" s="23" t="str">
        <f>IFERROR(VLOOKUP(category_assignment_2[[#This Row],[abbreviation_id]],abbreviation[],ColumnLanguage+1,FALSE),"")</f>
        <v/>
      </c>
    </row>
    <row r="1479" spans="1:11" x14ac:dyDescent="0.25">
      <c r="A1479" s="4" t="str">
        <f>IFERROR(category_assignment_2[[#This Row],[category_assignment_id]],"")</f>
        <v/>
      </c>
      <c r="B1479" s="23" t="str">
        <f>IFERROR(VLOOKUP(category_assignment_2[[#This Row],[category_id]],#REF!,3,FALSE),"")</f>
        <v/>
      </c>
      <c r="C1479" s="23" t="str">
        <f>IFERROR(VLOOKUP(category_assignment_2[[#This Row],[abbreviation_id]],abbreviation[],ColumnLanguage+1,FALSE),"")</f>
        <v/>
      </c>
    </row>
    <row r="1480" spans="1:11" x14ac:dyDescent="0.25">
      <c r="A1480" s="4" t="str">
        <f>IFERROR(category_assignment_2[[#This Row],[category_assignment_id]],"")</f>
        <v/>
      </c>
      <c r="B1480" s="23" t="str">
        <f>IFERROR(VLOOKUP(category_assignment_2[[#This Row],[category_id]],#REF!,3,FALSE),"")</f>
        <v/>
      </c>
      <c r="C1480" s="23" t="str">
        <f>IFERROR(VLOOKUP(category_assignment_2[[#This Row],[abbreviation_id]],abbreviation[],ColumnLanguage+1,FALSE),"")</f>
        <v/>
      </c>
      <c r="D1480" s="22"/>
      <c r="E1480" s="22"/>
      <c r="F1480" s="22"/>
      <c r="G1480" s="22"/>
      <c r="H1480" s="22"/>
      <c r="I1480" s="22"/>
      <c r="J1480" s="22"/>
      <c r="K1480" s="22"/>
    </row>
    <row r="1481" spans="1:11" x14ac:dyDescent="0.25">
      <c r="A1481" s="4" t="str">
        <f>IFERROR(category_assignment_2[[#This Row],[category_assignment_id]],"")</f>
        <v/>
      </c>
      <c r="B1481" s="23" t="str">
        <f>IFERROR(VLOOKUP(category_assignment_2[[#This Row],[category_id]],#REF!,3,FALSE),"")</f>
        <v/>
      </c>
      <c r="C1481" s="23" t="str">
        <f>IFERROR(VLOOKUP(category_assignment_2[[#This Row],[abbreviation_id]],abbreviation[],ColumnLanguage+1,FALSE),"")</f>
        <v/>
      </c>
    </row>
    <row r="1482" spans="1:11" x14ac:dyDescent="0.25">
      <c r="A1482" s="4" t="str">
        <f>IFERROR(category_assignment_2[[#This Row],[category_assignment_id]],"")</f>
        <v/>
      </c>
      <c r="B1482" s="23" t="str">
        <f>IFERROR(VLOOKUP(category_assignment_2[[#This Row],[category_id]],#REF!,3,FALSE),"")</f>
        <v/>
      </c>
      <c r="C1482" s="23" t="str">
        <f>IFERROR(VLOOKUP(category_assignment_2[[#This Row],[abbreviation_id]],abbreviation[],ColumnLanguage+1,FALSE),"")</f>
        <v/>
      </c>
      <c r="D1482" s="22"/>
      <c r="E1482" s="22"/>
      <c r="F1482" s="22"/>
      <c r="G1482" s="22"/>
      <c r="H1482" s="22"/>
      <c r="I1482" s="22"/>
      <c r="J1482" s="22"/>
      <c r="K1482" s="22"/>
    </row>
    <row r="1483" spans="1:11" x14ac:dyDescent="0.25">
      <c r="A1483" s="4" t="str">
        <f>IFERROR(category_assignment_2[[#This Row],[category_assignment_id]],"")</f>
        <v/>
      </c>
      <c r="B1483" s="23" t="str">
        <f>IFERROR(VLOOKUP(category_assignment_2[[#This Row],[category_id]],#REF!,3,FALSE),"")</f>
        <v/>
      </c>
      <c r="C1483" s="23" t="str">
        <f>IFERROR(VLOOKUP(category_assignment_2[[#This Row],[abbreviation_id]],abbreviation[],ColumnLanguage+1,FALSE),"")</f>
        <v/>
      </c>
    </row>
    <row r="1484" spans="1:11" x14ac:dyDescent="0.25">
      <c r="A1484" s="4" t="str">
        <f>IFERROR(category_assignment_2[[#This Row],[category_assignment_id]],"")</f>
        <v/>
      </c>
      <c r="B1484" s="23" t="str">
        <f>IFERROR(VLOOKUP(category_assignment_2[[#This Row],[category_id]],#REF!,3,FALSE),"")</f>
        <v/>
      </c>
      <c r="C1484" s="23" t="str">
        <f>IFERROR(VLOOKUP(category_assignment_2[[#This Row],[abbreviation_id]],abbreviation[],ColumnLanguage+1,FALSE),"")</f>
        <v/>
      </c>
    </row>
    <row r="1485" spans="1:11" x14ac:dyDescent="0.25">
      <c r="A1485" s="4" t="str">
        <f>IFERROR(category_assignment_2[[#This Row],[category_assignment_id]],"")</f>
        <v/>
      </c>
      <c r="B1485" s="23" t="str">
        <f>IFERROR(VLOOKUP(category_assignment_2[[#This Row],[category_id]],#REF!,3,FALSE),"")</f>
        <v/>
      </c>
      <c r="C1485" s="23" t="str">
        <f>IFERROR(VLOOKUP(category_assignment_2[[#This Row],[abbreviation_id]],abbreviation[],ColumnLanguage+1,FALSE),"")</f>
        <v/>
      </c>
    </row>
    <row r="1486" spans="1:11" x14ac:dyDescent="0.25">
      <c r="A1486" s="4" t="str">
        <f>IFERROR(category_assignment_2[[#This Row],[category_assignment_id]],"")</f>
        <v/>
      </c>
      <c r="B1486" s="23" t="str">
        <f>IFERROR(VLOOKUP(category_assignment_2[[#This Row],[category_id]],#REF!,3,FALSE),"")</f>
        <v/>
      </c>
      <c r="C1486" s="23" t="str">
        <f>IFERROR(VLOOKUP(category_assignment_2[[#This Row],[abbreviation_id]],abbreviation[],ColumnLanguage+1,FALSE),"")</f>
        <v/>
      </c>
    </row>
    <row r="1487" spans="1:11" x14ac:dyDescent="0.25">
      <c r="A1487" s="4" t="str">
        <f>IFERROR(category_assignment_2[[#This Row],[category_assignment_id]],"")</f>
        <v/>
      </c>
      <c r="B1487" s="23" t="str">
        <f>IFERROR(VLOOKUP(category_assignment_2[[#This Row],[category_id]],#REF!,3,FALSE),"")</f>
        <v/>
      </c>
      <c r="C1487" s="23" t="str">
        <f>IFERROR(VLOOKUP(category_assignment_2[[#This Row],[abbreviation_id]],abbreviation[],ColumnLanguage+1,FALSE),"")</f>
        <v/>
      </c>
    </row>
    <row r="1488" spans="1:11" x14ac:dyDescent="0.25">
      <c r="A1488" s="4" t="str">
        <f>IFERROR(category_assignment_2[[#This Row],[category_assignment_id]],"")</f>
        <v/>
      </c>
      <c r="B1488" s="23" t="str">
        <f>IFERROR(VLOOKUP(category_assignment_2[[#This Row],[category_id]],#REF!,3,FALSE),"")</f>
        <v/>
      </c>
      <c r="C1488" s="23" t="str">
        <f>IFERROR(VLOOKUP(category_assignment_2[[#This Row],[abbreviation_id]],abbreviation[],ColumnLanguage+1,FALSE),"")</f>
        <v/>
      </c>
    </row>
    <row r="1489" spans="1:11" x14ac:dyDescent="0.25">
      <c r="A1489" s="4" t="str">
        <f>IFERROR(category_assignment_2[[#This Row],[category_assignment_id]],"")</f>
        <v/>
      </c>
      <c r="B1489" s="23" t="str">
        <f>IFERROR(VLOOKUP(category_assignment_2[[#This Row],[category_id]],#REF!,3,FALSE),"")</f>
        <v/>
      </c>
      <c r="C1489" s="23" t="str">
        <f>IFERROR(VLOOKUP(category_assignment_2[[#This Row],[abbreviation_id]],abbreviation[],ColumnLanguage+1,FALSE),"")</f>
        <v/>
      </c>
    </row>
    <row r="1490" spans="1:11" x14ac:dyDescent="0.25">
      <c r="A1490" s="4" t="str">
        <f>IFERROR(category_assignment_2[[#This Row],[category_assignment_id]],"")</f>
        <v/>
      </c>
      <c r="B1490" s="23" t="str">
        <f>IFERROR(VLOOKUP(category_assignment_2[[#This Row],[category_id]],#REF!,3,FALSE),"")</f>
        <v/>
      </c>
      <c r="C1490" s="23" t="str">
        <f>IFERROR(VLOOKUP(category_assignment_2[[#This Row],[abbreviation_id]],abbreviation[],ColumnLanguage+1,FALSE),"")</f>
        <v/>
      </c>
    </row>
    <row r="1491" spans="1:11" x14ac:dyDescent="0.25">
      <c r="A1491" s="4" t="str">
        <f>IFERROR(category_assignment_2[[#This Row],[category_assignment_id]],"")</f>
        <v/>
      </c>
      <c r="B1491" s="23" t="str">
        <f>IFERROR(VLOOKUP(category_assignment_2[[#This Row],[category_id]],#REF!,3,FALSE),"")</f>
        <v/>
      </c>
      <c r="C1491" s="23" t="str">
        <f>IFERROR(VLOOKUP(category_assignment_2[[#This Row],[abbreviation_id]],abbreviation[],ColumnLanguage+1,FALSE),"")</f>
        <v/>
      </c>
    </row>
    <row r="1492" spans="1:11" x14ac:dyDescent="0.25">
      <c r="A1492" s="4" t="str">
        <f>IFERROR(category_assignment_2[[#This Row],[category_assignment_id]],"")</f>
        <v/>
      </c>
      <c r="B1492" s="23" t="str">
        <f>IFERROR(VLOOKUP(category_assignment_2[[#This Row],[category_id]],#REF!,3,FALSE),"")</f>
        <v/>
      </c>
      <c r="C1492" s="23" t="str">
        <f>IFERROR(VLOOKUP(category_assignment_2[[#This Row],[abbreviation_id]],abbreviation[],ColumnLanguage+1,FALSE),"")</f>
        <v/>
      </c>
    </row>
    <row r="1493" spans="1:11" x14ac:dyDescent="0.25">
      <c r="A1493" s="4" t="str">
        <f>IFERROR(category_assignment_2[[#This Row],[category_assignment_id]],"")</f>
        <v/>
      </c>
      <c r="B1493" s="23" t="str">
        <f>IFERROR(VLOOKUP(category_assignment_2[[#This Row],[category_id]],#REF!,3,FALSE),"")</f>
        <v/>
      </c>
      <c r="C1493" s="23" t="str">
        <f>IFERROR(VLOOKUP(category_assignment_2[[#This Row],[abbreviation_id]],abbreviation[],ColumnLanguage+1,FALSE),"")</f>
        <v/>
      </c>
      <c r="D1493" s="22"/>
      <c r="E1493" s="22"/>
      <c r="F1493" s="22"/>
      <c r="G1493" s="22"/>
      <c r="H1493" s="22"/>
      <c r="I1493" s="22"/>
      <c r="J1493" s="22"/>
      <c r="K1493" s="22"/>
    </row>
    <row r="1494" spans="1:11" x14ac:dyDescent="0.25">
      <c r="A1494" s="4" t="str">
        <f>IFERROR(category_assignment_2[[#This Row],[category_assignment_id]],"")</f>
        <v/>
      </c>
      <c r="B1494" s="23" t="str">
        <f>IFERROR(VLOOKUP(category_assignment_2[[#This Row],[category_id]],#REF!,3,FALSE),"")</f>
        <v/>
      </c>
      <c r="C1494" s="23" t="str">
        <f>IFERROR(VLOOKUP(category_assignment_2[[#This Row],[abbreviation_id]],abbreviation[],ColumnLanguage+1,FALSE),"")</f>
        <v/>
      </c>
    </row>
    <row r="1495" spans="1:11" x14ac:dyDescent="0.25">
      <c r="A1495" s="4" t="str">
        <f>IFERROR(category_assignment_2[[#This Row],[category_assignment_id]],"")</f>
        <v/>
      </c>
      <c r="B1495" s="23" t="str">
        <f>IFERROR(VLOOKUP(category_assignment_2[[#This Row],[category_id]],#REF!,3,FALSE),"")</f>
        <v/>
      </c>
      <c r="C1495" s="23" t="str">
        <f>IFERROR(VLOOKUP(category_assignment_2[[#This Row],[abbreviation_id]],abbreviation[],ColumnLanguage+1,FALSE),"")</f>
        <v/>
      </c>
    </row>
    <row r="1496" spans="1:11" x14ac:dyDescent="0.25">
      <c r="A1496" s="4" t="str">
        <f>IFERROR(category_assignment_2[[#This Row],[category_assignment_id]],"")</f>
        <v/>
      </c>
      <c r="B1496" s="23" t="str">
        <f>IFERROR(VLOOKUP(category_assignment_2[[#This Row],[category_id]],#REF!,3,FALSE),"")</f>
        <v/>
      </c>
      <c r="C1496" s="23" t="str">
        <f>IFERROR(VLOOKUP(category_assignment_2[[#This Row],[abbreviation_id]],abbreviation[],ColumnLanguage+1,FALSE),"")</f>
        <v/>
      </c>
    </row>
    <row r="1497" spans="1:11" x14ac:dyDescent="0.25">
      <c r="A1497" s="4" t="str">
        <f>IFERROR(category_assignment_2[[#This Row],[category_assignment_id]],"")</f>
        <v/>
      </c>
      <c r="B1497" s="23" t="str">
        <f>IFERROR(VLOOKUP(category_assignment_2[[#This Row],[category_id]],#REF!,3,FALSE),"")</f>
        <v/>
      </c>
      <c r="C1497" s="23" t="str">
        <f>IFERROR(VLOOKUP(category_assignment_2[[#This Row],[abbreviation_id]],abbreviation[],ColumnLanguage+1,FALSE),"")</f>
        <v/>
      </c>
    </row>
    <row r="1498" spans="1:11" x14ac:dyDescent="0.25">
      <c r="A1498" s="4" t="str">
        <f>IFERROR(category_assignment_2[[#This Row],[category_assignment_id]],"")</f>
        <v/>
      </c>
      <c r="B1498" s="23" t="str">
        <f>IFERROR(VLOOKUP(category_assignment_2[[#This Row],[category_id]],#REF!,3,FALSE),"")</f>
        <v/>
      </c>
      <c r="C1498" s="23" t="str">
        <f>IFERROR(VLOOKUP(category_assignment_2[[#This Row],[abbreviation_id]],abbreviation[],ColumnLanguage+1,FALSE),"")</f>
        <v/>
      </c>
    </row>
    <row r="1499" spans="1:11" x14ac:dyDescent="0.25">
      <c r="A1499" s="4" t="str">
        <f>IFERROR(category_assignment_2[[#This Row],[category_assignment_id]],"")</f>
        <v/>
      </c>
      <c r="B1499" s="23" t="str">
        <f>IFERROR(VLOOKUP(category_assignment_2[[#This Row],[category_id]],#REF!,3,FALSE),"")</f>
        <v/>
      </c>
      <c r="C1499" s="23" t="str">
        <f>IFERROR(VLOOKUP(category_assignment_2[[#This Row],[abbreviation_id]],abbreviation[],ColumnLanguage+1,FALSE),"")</f>
        <v/>
      </c>
    </row>
  </sheetData>
  <dataValidations count="1">
    <dataValidation type="list" allowBlank="1" showInputMessage="1" showErrorMessage="1" sqref="B106:B113 B2:B92">
      <formula1>category_name_german</formula1>
    </dataValidation>
  </dataValidations>
  <pageMargins left="0.7" right="0.7" top="0.78740157499999996" bottom="0.78740157499999996" header="0.3" footer="0.3"/>
  <pageSetup paperSize="9" orientation="portrait" r:id="rId1"/>
  <tableParts count="2"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N1499"/>
  <sheetViews>
    <sheetView zoomScaleNormal="100" workbookViewId="0">
      <selection activeCell="G21" sqref="G21"/>
    </sheetView>
  </sheetViews>
  <sheetFormatPr baseColWidth="10" defaultRowHeight="15" x14ac:dyDescent="0.25"/>
  <cols>
    <col min="1" max="1" width="20.28515625" bestFit="1" customWidth="1"/>
    <col min="2" max="2" width="22.85546875" bestFit="1" customWidth="1"/>
    <col min="3" max="3" width="25.7109375" customWidth="1"/>
    <col min="5" max="5" width="20.28515625" customWidth="1"/>
    <col min="6" max="6" width="11.85546875" customWidth="1"/>
    <col min="7" max="7" width="13.28515625" customWidth="1"/>
    <col min="8" max="8" width="11.42578125" customWidth="1"/>
    <col min="9" max="9" width="13.28515625" hidden="1" customWidth="1"/>
    <col min="10" max="11" width="0" hidden="1" customWidth="1"/>
    <col min="12" max="12" width="16.140625" hidden="1" customWidth="1"/>
    <col min="14" max="14" width="11.5703125" customWidth="1"/>
  </cols>
  <sheetData>
    <row r="1" spans="1:14" x14ac:dyDescent="0.25">
      <c r="A1" t="s">
        <v>21</v>
      </c>
      <c r="B1" t="s">
        <v>22</v>
      </c>
      <c r="C1" t="s">
        <v>23</v>
      </c>
      <c r="E1" s="27" t="s">
        <v>21</v>
      </c>
      <c r="F1" s="28" t="s">
        <v>24</v>
      </c>
      <c r="G1" s="28" t="s">
        <v>25</v>
      </c>
      <c r="H1" s="5"/>
      <c r="I1" t="s">
        <v>13</v>
      </c>
      <c r="J1" t="s">
        <v>26</v>
      </c>
      <c r="K1" t="s">
        <v>27</v>
      </c>
      <c r="L1" t="s">
        <v>28</v>
      </c>
      <c r="N1" s="2"/>
    </row>
    <row r="2" spans="1:14" x14ac:dyDescent="0.25">
      <c r="A2" s="2">
        <v>1</v>
      </c>
      <c r="B2" s="2" t="str">
        <f>IFERROR(VLOOKUP(parent_children_2[[#This Row],[parent_id]],abbreviation[],3,FALSE),"")</f>
        <v>chiller</v>
      </c>
      <c r="C2" s="2" t="str">
        <f>IFERROR(VLOOKUP(parent_children_2[[#This Row],[children_id]],abbreviation[],ColumnLanguage+1,FALSE),"")</f>
        <v>Deckeninduktionsgerät</v>
      </c>
      <c r="E2" s="18">
        <v>1</v>
      </c>
      <c r="F2" s="18">
        <v>12</v>
      </c>
      <c r="G2" s="18">
        <v>31</v>
      </c>
      <c r="H2" s="5"/>
      <c r="I2" t="s">
        <v>2</v>
      </c>
      <c r="L2" t="e">
        <f>IF(Tabelle2[[#This Row],[System]]&lt;&gt;"",VLOOKUP(Tabelle2[[#This Row],[System]],parent_children[[parent]:[children]],2,0))</f>
        <v>#N/A</v>
      </c>
      <c r="N2" s="2"/>
    </row>
    <row r="3" spans="1:14" x14ac:dyDescent="0.25">
      <c r="A3" s="2">
        <f>IFERROR(parent_children_2[[#This Row],[parent_children_id]],"")</f>
        <v>2</v>
      </c>
      <c r="B3" s="2" t="str">
        <f>IFERROR(VLOOKUP(parent_children_2[[#This Row],[parent_id]],abbreviation[],3,FALSE),"")</f>
        <v>chiller</v>
      </c>
      <c r="C3" s="2" t="str">
        <f>IFERROR(VLOOKUP(parent_children_2[[#This Row],[children_id]],abbreviation[],ColumnLanguage+1,FALSE),"")</f>
        <v>Brennwertkessel</v>
      </c>
      <c r="E3" s="18">
        <v>2</v>
      </c>
      <c r="F3" s="18">
        <v>12</v>
      </c>
      <c r="G3" s="18">
        <v>32</v>
      </c>
      <c r="H3" s="5"/>
      <c r="I3" s="2" t="s">
        <v>1</v>
      </c>
      <c r="K3" t="e">
        <v>#NAME?</v>
      </c>
      <c r="L3" s="2" t="e">
        <f>IF(Tabelle2[[#This Row],[System]]&lt;&gt;"",VLOOKUP(Tabelle2[[#This Row],[System]],parent_children[[parent]:[children]],2,0))</f>
        <v>#N/A</v>
      </c>
      <c r="N3" s="2"/>
    </row>
    <row r="4" spans="1:14" x14ac:dyDescent="0.25">
      <c r="A4" s="2">
        <f>IFERROR(parent_children_2[[#This Row],[parent_children_id]],"")</f>
        <v>3</v>
      </c>
      <c r="B4" s="2" t="str">
        <f>IFERROR(VLOOKUP(parent_children_2[[#This Row],[parent_id]],abbreviation[],3,FALSE),"")</f>
        <v>chiller</v>
      </c>
      <c r="C4" s="1" t="str">
        <f>IFERROR(VLOOKUP(parent_children_2[[#This Row],[children_id]],abbreviation[],ColumnLanguage+1,FALSE),"")</f>
        <v>Festbrennstoffkessel</v>
      </c>
      <c r="E4" s="18">
        <v>3</v>
      </c>
      <c r="F4" s="18">
        <v>12</v>
      </c>
      <c r="G4" s="18">
        <v>33</v>
      </c>
      <c r="H4" s="5"/>
      <c r="I4" s="2" t="s">
        <v>0</v>
      </c>
      <c r="L4" s="2" t="e">
        <f>IF(Tabelle2[[#This Row],[System]]&lt;&gt;"",VLOOKUP(Tabelle2[[#This Row],[System]],parent_children[[parent]:[children]],2,0))</f>
        <v>#N/A</v>
      </c>
      <c r="N4" s="2"/>
    </row>
    <row r="5" spans="1:14" x14ac:dyDescent="0.25">
      <c r="A5" s="2">
        <f>IFERROR(parent_children_2[[#This Row],[parent_children_id]],"")</f>
        <v>4</v>
      </c>
      <c r="B5" s="2" t="str">
        <f>IFERROR(VLOOKUP(parent_children_2[[#This Row],[parent_id]],abbreviation[],3,FALSE),"")</f>
        <v>building management system</v>
      </c>
      <c r="C5" s="1" t="str">
        <f>IFERROR(VLOOKUP(parent_children_2[[#This Row],[children_id]],abbreviation[],ColumnLanguage+1,FALSE),"")</f>
        <v>Öl-befeuert</v>
      </c>
      <c r="E5" s="18">
        <v>4</v>
      </c>
      <c r="F5" s="18">
        <v>11</v>
      </c>
      <c r="G5" s="18">
        <v>36</v>
      </c>
      <c r="H5" s="5"/>
      <c r="K5" t="s">
        <v>29</v>
      </c>
      <c r="L5" s="2" t="b">
        <f>IF(Tabelle2[[#This Row],[System]]&lt;&gt;"",VLOOKUP(Tabelle2[[#This Row],[System]],parent_children[[parent]:[children]],2,0))</f>
        <v>0</v>
      </c>
      <c r="N5" s="2"/>
    </row>
    <row r="6" spans="1:14" x14ac:dyDescent="0.25">
      <c r="A6" s="2">
        <f>IFERROR(parent_children_2[[#This Row],[parent_children_id]],"")</f>
        <v>5</v>
      </c>
      <c r="B6" s="2" t="str">
        <f>IFERROR(VLOOKUP(parent_children_2[[#This Row],[parent_id]],abbreviation[],3,FALSE),"")</f>
        <v>building management system</v>
      </c>
      <c r="C6" s="1" t="str">
        <f>IFERROR(VLOOKUP(parent_children_2[[#This Row],[children_id]],abbreviation[],ColumnLanguage+1,FALSE),"")</f>
        <v>Absorption</v>
      </c>
      <c r="E6" s="18">
        <v>5</v>
      </c>
      <c r="F6" s="18">
        <v>11</v>
      </c>
      <c r="G6" s="18">
        <v>37</v>
      </c>
      <c r="H6" s="5"/>
      <c r="K6" t="s">
        <v>29</v>
      </c>
      <c r="L6" s="2" t="b">
        <f>IF(Tabelle2[[#This Row],[System]]&lt;&gt;"",VLOOKUP(Tabelle2[[#This Row],[System]],parent_children[[parent]:[children]],2,0))</f>
        <v>0</v>
      </c>
      <c r="N6" s="2"/>
    </row>
    <row r="7" spans="1:14" x14ac:dyDescent="0.25">
      <c r="A7" s="2">
        <f>IFERROR(parent_children_2[[#This Row],[parent_children_id]],"")</f>
        <v>6</v>
      </c>
      <c r="B7" s="2" t="str">
        <f>IFERROR(VLOOKUP(parent_children_2[[#This Row],[parent_id]],abbreviation[],3,FALSE),"")</f>
        <v>solar thermal energy</v>
      </c>
      <c r="C7" s="1" t="str">
        <f>IFERROR(VLOOKUP(parent_children_2[[#This Row],[children_id]],abbreviation[],ColumnLanguage+1,FALSE),"")</f>
        <v>Kompression</v>
      </c>
      <c r="E7" s="18">
        <v>6</v>
      </c>
      <c r="F7" s="18">
        <v>19</v>
      </c>
      <c r="G7" s="18">
        <v>38</v>
      </c>
      <c r="H7" s="5"/>
      <c r="K7" t="s">
        <v>29</v>
      </c>
      <c r="L7" s="2" t="b">
        <f>IF(Tabelle2[[#This Row],[System]]&lt;&gt;"",VLOOKUP(Tabelle2[[#This Row],[System]],parent_children[[parent]:[children]],2,0))</f>
        <v>0</v>
      </c>
      <c r="N7" s="2"/>
    </row>
    <row r="8" spans="1:14" x14ac:dyDescent="0.25">
      <c r="A8" s="2">
        <f>IFERROR(parent_children_2[[#This Row],[parent_children_id]],"")</f>
        <v>7</v>
      </c>
      <c r="B8" s="2" t="str">
        <f>IFERROR(VLOOKUP(parent_children_2[[#This Row],[parent_id]],abbreviation[],3,FALSE),"")</f>
        <v>solar thermal energy</v>
      </c>
      <c r="C8" s="1" t="str">
        <f>IFERROR(VLOOKUP(parent_children_2[[#This Row],[children_id]],abbreviation[],ColumnLanguage+1,FALSE),"")</f>
        <v>Kältespeicher</v>
      </c>
      <c r="E8" s="18">
        <v>7</v>
      </c>
      <c r="F8" s="18">
        <v>19</v>
      </c>
      <c r="G8" s="18">
        <v>39</v>
      </c>
      <c r="H8" s="5"/>
      <c r="K8" t="s">
        <v>29</v>
      </c>
      <c r="L8" s="2" t="b">
        <f>IF(Tabelle2[[#This Row],[System]]&lt;&gt;"",VLOOKUP(Tabelle2[[#This Row],[System]],parent_children[[parent]:[children]],2,0))</f>
        <v>0</v>
      </c>
      <c r="N8" s="2"/>
    </row>
    <row r="9" spans="1:14" x14ac:dyDescent="0.25">
      <c r="A9" s="2">
        <f>IFERROR(parent_children_2[[#This Row],[parent_children_id]],"")</f>
        <v>8</v>
      </c>
      <c r="B9" s="2" t="str">
        <f>IFERROR(VLOOKUP(parent_children_2[[#This Row],[parent_id]],abbreviation[],3,FALSE),"")</f>
        <v>solar thermal energy</v>
      </c>
      <c r="C9" s="1" t="str">
        <f>IFERROR(VLOOKUP(parent_children_2[[#This Row],[children_id]],abbreviation[],ColumnLanguage+1,FALSE),"")</f>
        <v>Kombispeicher</v>
      </c>
      <c r="E9" s="18">
        <v>8</v>
      </c>
      <c r="F9" s="18">
        <v>19</v>
      </c>
      <c r="G9" s="18">
        <v>40</v>
      </c>
      <c r="H9" s="5"/>
      <c r="K9" t="s">
        <v>29</v>
      </c>
      <c r="L9" s="2" t="b">
        <f>IF(Tabelle2[[#This Row],[System]]&lt;&gt;"",VLOOKUP(Tabelle2[[#This Row],[System]],parent_children[[parent]:[children]],2,0))</f>
        <v>0</v>
      </c>
      <c r="N9" s="2"/>
    </row>
    <row r="10" spans="1:14" x14ac:dyDescent="0.25">
      <c r="A10" s="2">
        <f>IFERROR(parent_children_2[[#This Row],[parent_children_id]],"")</f>
        <v>9</v>
      </c>
      <c r="B10" s="2" t="str">
        <f>IFERROR(VLOOKUP(parent_children_2[[#This Row],[parent_id]],abbreviation[],3,FALSE),"")</f>
        <v>solar thermal energy</v>
      </c>
      <c r="C10" s="1" t="str">
        <f>IFERROR(VLOOKUP(parent_children_2[[#This Row],[children_id]],abbreviation[],ColumnLanguage+1,FALSE),"")</f>
        <v>Wärmespeicher</v>
      </c>
      <c r="E10" s="18">
        <v>9</v>
      </c>
      <c r="F10" s="18">
        <v>19</v>
      </c>
      <c r="G10" s="18">
        <v>41</v>
      </c>
      <c r="H10" s="5"/>
      <c r="K10" t="s">
        <v>29</v>
      </c>
      <c r="L10" s="2" t="b">
        <f>IF(Tabelle2[[#This Row],[System]]&lt;&gt;"",VLOOKUP(Tabelle2[[#This Row],[System]],parent_children[[parent]:[children]],2,0))</f>
        <v>0</v>
      </c>
      <c r="N10" s="2"/>
    </row>
    <row r="11" spans="1:14" x14ac:dyDescent="0.25">
      <c r="A11" s="2">
        <f>IFERROR(parent_children_2[[#This Row],[parent_children_id]],"")</f>
        <v>10</v>
      </c>
      <c r="B11" s="2" t="str">
        <f>IFERROR(VLOOKUP(parent_children_2[[#This Row],[parent_id]],abbreviation[],3,FALSE),"")</f>
        <v>sub-distribution system</v>
      </c>
      <c r="C11" s="1" t="str">
        <f>IFERROR(VLOOKUP(parent_children_2[[#This Row],[children_id]],abbreviation[],ColumnLanguage+1,FALSE),"")</f>
        <v>Warmwasser (TW)</v>
      </c>
      <c r="E11" s="18">
        <v>10</v>
      </c>
      <c r="F11" s="18">
        <v>22</v>
      </c>
      <c r="G11" s="18">
        <v>42</v>
      </c>
      <c r="H11" s="5"/>
      <c r="K11" t="s">
        <v>29</v>
      </c>
      <c r="L11" s="2" t="b">
        <f>IF(Tabelle2[[#This Row],[System]]&lt;&gt;"",VLOOKUP(Tabelle2[[#This Row],[System]],parent_children[[parent]:[children]],2,0))</f>
        <v>0</v>
      </c>
      <c r="N11" s="2"/>
    </row>
    <row r="12" spans="1:14" x14ac:dyDescent="0.25">
      <c r="A12" s="2">
        <f>IFERROR(parent_children_2[[#This Row],[parent_children_id]],"")</f>
        <v>11</v>
      </c>
      <c r="B12" s="2" t="str">
        <f>IFERROR(VLOOKUP(parent_children_2[[#This Row],[parent_id]],abbreviation[],3,FALSE),"")</f>
        <v>sub-distribution system</v>
      </c>
      <c r="C12" s="1" t="str">
        <f>IFERROR(VLOOKUP(parent_children_2[[#This Row],[children_id]],abbreviation[],ColumnLanguage+1,FALSE),"")</f>
        <v>Hochtemperatur</v>
      </c>
      <c r="E12" s="18">
        <v>11</v>
      </c>
      <c r="F12" s="18">
        <v>22</v>
      </c>
      <c r="G12" s="18">
        <v>43</v>
      </c>
      <c r="H12" s="5"/>
      <c r="K12" t="s">
        <v>29</v>
      </c>
      <c r="L12" s="2" t="b">
        <f>IF(Tabelle2[[#This Row],[System]]&lt;&gt;"",VLOOKUP(Tabelle2[[#This Row],[System]],parent_children[[parent]:[children]],2,0))</f>
        <v>0</v>
      </c>
      <c r="N12" s="2"/>
    </row>
    <row r="13" spans="1:14" x14ac:dyDescent="0.25">
      <c r="A13" s="2">
        <f>IFERROR(parent_children_2[[#This Row],[parent_children_id]],"")</f>
        <v>12</v>
      </c>
      <c r="B13" s="2" t="str">
        <f>IFERROR(VLOOKUP(parent_children_2[[#This Row],[parent_id]],abbreviation[],3,FALSE),"")</f>
        <v>sub-distribution system</v>
      </c>
      <c r="C13" s="1" t="str">
        <f>IFERROR(VLOOKUP(parent_children_2[[#This Row],[children_id]],abbreviation[],ColumnLanguage+1,FALSE),"")</f>
        <v>Kälte</v>
      </c>
      <c r="E13" s="18">
        <v>12</v>
      </c>
      <c r="F13" s="18">
        <v>22</v>
      </c>
      <c r="G13" s="18">
        <v>44</v>
      </c>
      <c r="H13" s="5"/>
      <c r="K13" t="s">
        <v>29</v>
      </c>
      <c r="L13" s="2" t="b">
        <f>IF(Tabelle2[[#This Row],[System]]&lt;&gt;"",VLOOKUP(Tabelle2[[#This Row],[System]],parent_children[[parent]:[children]],2,0))</f>
        <v>0</v>
      </c>
      <c r="N13" s="2"/>
    </row>
    <row r="14" spans="1:14" x14ac:dyDescent="0.25">
      <c r="A14" s="2">
        <f>IFERROR(parent_children_2[[#This Row],[parent_children_id]],"")</f>
        <v>13</v>
      </c>
      <c r="B14" s="2" t="str">
        <f>IFERROR(VLOOKUP(parent_children_2[[#This Row],[parent_id]],abbreviation[],3,FALSE),"")</f>
        <v>storage</v>
      </c>
      <c r="C14" s="1" t="str">
        <f>IFERROR(VLOOKUP(parent_children_2[[#This Row],[children_id]],abbreviation[],ColumnLanguage+1,FALSE),"")</f>
        <v>Warmwasser (TW)</v>
      </c>
      <c r="E14" s="18">
        <v>13</v>
      </c>
      <c r="F14" s="18">
        <v>20</v>
      </c>
      <c r="G14" s="18">
        <v>42</v>
      </c>
      <c r="H14" s="5"/>
      <c r="K14" t="s">
        <v>29</v>
      </c>
      <c r="L14" s="2" t="b">
        <f>IF(Tabelle2[[#This Row],[System]]&lt;&gt;"",VLOOKUP(Tabelle2[[#This Row],[System]],parent_children[[parent]:[children]],2,0))</f>
        <v>0</v>
      </c>
      <c r="N14" s="2"/>
    </row>
    <row r="15" spans="1:14" x14ac:dyDescent="0.25">
      <c r="A15" s="2">
        <f>IFERROR(parent_children_2[[#This Row],[parent_children_id]],"")</f>
        <v>14</v>
      </c>
      <c r="B15" s="2" t="str">
        <f>IFERROR(VLOOKUP(parent_children_2[[#This Row],[parent_id]],abbreviation[],3,FALSE),"")</f>
        <v>storage</v>
      </c>
      <c r="C15" s="1" t="str">
        <f>IFERROR(VLOOKUP(parent_children_2[[#This Row],[children_id]],abbreviation[],ColumnLanguage+1,FALSE),"")</f>
        <v>Hochtemperatur</v>
      </c>
      <c r="E15" s="18">
        <v>14</v>
      </c>
      <c r="F15" s="18">
        <v>20</v>
      </c>
      <c r="G15" s="18">
        <v>43</v>
      </c>
      <c r="H15" s="5"/>
      <c r="K15" t="s">
        <v>29</v>
      </c>
      <c r="L15" s="2" t="b">
        <f>IF(Tabelle2[[#This Row],[System]]&lt;&gt;"",VLOOKUP(Tabelle2[[#This Row],[System]],parent_children[[parent]:[children]],2,0))</f>
        <v>0</v>
      </c>
      <c r="N15" s="2"/>
    </row>
    <row r="16" spans="1:14" x14ac:dyDescent="0.25">
      <c r="A16" s="2">
        <f>IFERROR(parent_children_2[[#This Row],[parent_children_id]],"")</f>
        <v>15</v>
      </c>
      <c r="B16" s="2" t="str">
        <f>IFERROR(VLOOKUP(parent_children_2[[#This Row],[parent_id]],abbreviation[],3,FALSE),"")</f>
        <v>storage</v>
      </c>
      <c r="C16" s="1" t="str">
        <f>IFERROR(VLOOKUP(parent_children_2[[#This Row],[children_id]],abbreviation[],ColumnLanguage+1,FALSE),"")</f>
        <v>Kälte</v>
      </c>
      <c r="E16" s="18">
        <v>15</v>
      </c>
      <c r="F16" s="18">
        <v>20</v>
      </c>
      <c r="G16" s="18">
        <v>44</v>
      </c>
      <c r="H16" s="5"/>
      <c r="K16" t="s">
        <v>29</v>
      </c>
      <c r="L16" s="2" t="b">
        <f>IF(Tabelle2[[#This Row],[System]]&lt;&gt;"",VLOOKUP(Tabelle2[[#This Row],[System]],parent_children[[parent]:[children]],2,0))</f>
        <v>0</v>
      </c>
      <c r="N16" s="2"/>
    </row>
    <row r="17" spans="1:14" x14ac:dyDescent="0.25">
      <c r="A17" s="2">
        <f>IFERROR(parent_children_2[[#This Row],[parent_children_id]],"")</f>
        <v>16</v>
      </c>
      <c r="B17" s="2" t="str">
        <f>IFERROR(VLOOKUP(parent_children_2[[#This Row],[parent_id]],abbreviation[],3,FALSE),"")</f>
        <v>distributor</v>
      </c>
      <c r="C17" s="1" t="str">
        <f>IFERROR(VLOOKUP(parent_children_2[[#This Row],[children_id]],abbreviation[],ColumnLanguage+1,FALSE),"")</f>
        <v>Warmwasser (TW)</v>
      </c>
      <c r="E17" s="18">
        <v>16</v>
      </c>
      <c r="F17" s="18">
        <v>23</v>
      </c>
      <c r="G17" s="18">
        <v>42</v>
      </c>
      <c r="H17" s="5"/>
      <c r="K17" t="s">
        <v>29</v>
      </c>
      <c r="L17" s="2" t="b">
        <f>IF(Tabelle2[[#This Row],[System]]&lt;&gt;"",VLOOKUP(Tabelle2[[#This Row],[System]],parent_children[[parent]:[children]],2,0))</f>
        <v>0</v>
      </c>
      <c r="N17" s="2"/>
    </row>
    <row r="18" spans="1:14" x14ac:dyDescent="0.25">
      <c r="A18" s="2">
        <f>IFERROR(parent_children_2[[#This Row],[parent_children_id]],"")</f>
        <v>17</v>
      </c>
      <c r="B18" s="2" t="str">
        <f>IFERROR(VLOOKUP(parent_children_2[[#This Row],[parent_id]],abbreviation[],3,FALSE),"")</f>
        <v>distributor</v>
      </c>
      <c r="C18" s="1" t="str">
        <f>IFERROR(VLOOKUP(parent_children_2[[#This Row],[children_id]],abbreviation[],ColumnLanguage+1,FALSE),"")</f>
        <v>Hochtemperatur</v>
      </c>
      <c r="E18" s="18">
        <v>17</v>
      </c>
      <c r="F18" s="18">
        <v>23</v>
      </c>
      <c r="G18" s="18">
        <v>43</v>
      </c>
      <c r="H18" s="5"/>
      <c r="K18" t="s">
        <v>29</v>
      </c>
      <c r="L18" s="2" t="b">
        <f>IF(Tabelle2[[#This Row],[System]]&lt;&gt;"",VLOOKUP(Tabelle2[[#This Row],[System]],parent_children[[parent]:[children]],2,0))</f>
        <v>0</v>
      </c>
      <c r="N18" s="2"/>
    </row>
    <row r="19" spans="1:14" x14ac:dyDescent="0.25">
      <c r="A19" s="2">
        <f>IFERROR(parent_children_2[[#This Row],[parent_children_id]],"")</f>
        <v>18</v>
      </c>
      <c r="B19" s="2" t="str">
        <f>IFERROR(VLOOKUP(parent_children_2[[#This Row],[parent_id]],abbreviation[],3,FALSE),"")</f>
        <v>distributor</v>
      </c>
      <c r="C19" s="1" t="str">
        <f>IFERROR(VLOOKUP(parent_children_2[[#This Row],[children_id]],abbreviation[],ColumnLanguage+1,FALSE),"")</f>
        <v>Kälte</v>
      </c>
      <c r="E19" s="18">
        <v>18</v>
      </c>
      <c r="F19" s="18">
        <v>23</v>
      </c>
      <c r="G19" s="18">
        <v>44</v>
      </c>
      <c r="H19" s="5"/>
      <c r="K19" t="s">
        <v>29</v>
      </c>
      <c r="L19" s="2" t="b">
        <f>IF(Tabelle2[[#This Row],[System]]&lt;&gt;"",VLOOKUP(Tabelle2[[#This Row],[System]],parent_children[[parent]:[children]],2,0))</f>
        <v>0</v>
      </c>
      <c r="N19" s="2"/>
    </row>
    <row r="20" spans="1:14" x14ac:dyDescent="0.25">
      <c r="A20" s="2">
        <f>IFERROR(parent_children_2[[#This Row],[parent_children_id]],"")</f>
        <v>19</v>
      </c>
      <c r="B20" s="2" t="str">
        <f>IFERROR(VLOOKUP(parent_children_2[[#This Row],[parent_id]],abbreviation[],3,FALSE),"")</f>
        <v>sub-distributor</v>
      </c>
      <c r="C20" s="1" t="str">
        <f>IFERROR(VLOOKUP(parent_children_2[[#This Row],[children_id]],abbreviation[],ColumnLanguage+1,FALSE),"")</f>
        <v>Warmwasser (TW)</v>
      </c>
      <c r="E20" s="18">
        <v>19</v>
      </c>
      <c r="F20" s="18">
        <v>21</v>
      </c>
      <c r="G20" s="18">
        <v>42</v>
      </c>
      <c r="H20" s="5"/>
      <c r="K20" t="s">
        <v>29</v>
      </c>
      <c r="L20" s="2" t="b">
        <f>IF(Tabelle2[[#This Row],[System]]&lt;&gt;"",VLOOKUP(Tabelle2[[#This Row],[System]],parent_children[[parent]:[children]],2,0))</f>
        <v>0</v>
      </c>
      <c r="N20" s="2"/>
    </row>
    <row r="21" spans="1:14" x14ac:dyDescent="0.25">
      <c r="A21" s="2">
        <f>IFERROR(parent_children_2[[#This Row],[parent_children_id]],"")</f>
        <v>20</v>
      </c>
      <c r="B21" s="2" t="str">
        <f>IFERROR(VLOOKUP(parent_children_2[[#This Row],[parent_id]],abbreviation[],3,FALSE),"")</f>
        <v>sub-distributor</v>
      </c>
      <c r="C21" s="1" t="str">
        <f>IFERROR(VLOOKUP(parent_children_2[[#This Row],[children_id]],abbreviation[],ColumnLanguage+1,FALSE),"")</f>
        <v>Hochtemperatur</v>
      </c>
      <c r="E21" s="18">
        <v>20</v>
      </c>
      <c r="F21" s="18">
        <v>21</v>
      </c>
      <c r="G21" s="18">
        <v>43</v>
      </c>
      <c r="H21" s="5"/>
      <c r="K21" t="s">
        <v>29</v>
      </c>
      <c r="L21" s="2" t="b">
        <f>IF(Tabelle2[[#This Row],[System]]&lt;&gt;"",VLOOKUP(Tabelle2[[#This Row],[System]],parent_children[[parent]:[children]],2,0))</f>
        <v>0</v>
      </c>
      <c r="N21" s="2"/>
    </row>
    <row r="22" spans="1:14" x14ac:dyDescent="0.25">
      <c r="A22" s="2">
        <f>IFERROR(parent_children_2[[#This Row],[parent_children_id]],"")</f>
        <v>21</v>
      </c>
      <c r="B22" s="2" t="str">
        <f>IFERROR(VLOOKUP(parent_children_2[[#This Row],[parent_id]],abbreviation[],3,FALSE),"")</f>
        <v>sub-distributor</v>
      </c>
      <c r="C22" s="1" t="str">
        <f>IFERROR(VLOOKUP(parent_children_2[[#This Row],[children_id]],abbreviation[],ColumnLanguage+1,FALSE),"")</f>
        <v>Kälte</v>
      </c>
      <c r="E22" s="18">
        <v>21</v>
      </c>
      <c r="F22" s="18">
        <v>21</v>
      </c>
      <c r="G22" s="18">
        <v>44</v>
      </c>
      <c r="H22" s="5"/>
      <c r="K22" t="s">
        <v>29</v>
      </c>
      <c r="L22" s="2" t="b">
        <f>IF(Tabelle2[[#This Row],[System]]&lt;&gt;"",VLOOKUP(Tabelle2[[#This Row],[System]],parent_children[[parent]:[children]],2,0))</f>
        <v>0</v>
      </c>
      <c r="N22" s="2"/>
    </row>
    <row r="23" spans="1:14" x14ac:dyDescent="0.25">
      <c r="A23" s="2">
        <f>IFERROR(parent_children_2[[#This Row],[parent_children_id]],"")</f>
        <v>22</v>
      </c>
      <c r="B23" s="2" t="str">
        <f>IFERROR(VLOOKUP(parent_children_2[[#This Row],[parent_id]],abbreviation[],3,FALSE),"")</f>
        <v>distribution system</v>
      </c>
      <c r="C23" s="1" t="str">
        <f>IFERROR(VLOOKUP(parent_children_2[[#This Row],[children_id]],abbreviation[],ColumnLanguage+1,FALSE),"")</f>
        <v>Niedertemperatur</v>
      </c>
      <c r="E23" s="18">
        <v>22</v>
      </c>
      <c r="F23" s="18">
        <v>24</v>
      </c>
      <c r="G23" s="18">
        <v>45</v>
      </c>
      <c r="H23" s="5"/>
      <c r="K23" t="s">
        <v>29</v>
      </c>
      <c r="L23" s="2" t="b">
        <f>IF(Tabelle2[[#This Row],[System]]&lt;&gt;"",VLOOKUP(Tabelle2[[#This Row],[System]],parent_children[[parent]:[children]],2,0))</f>
        <v>0</v>
      </c>
      <c r="N23" s="2"/>
    </row>
    <row r="24" spans="1:14" x14ac:dyDescent="0.25">
      <c r="A24" s="2">
        <f>IFERROR(parent_children_2[[#This Row],[parent_children_id]],"")</f>
        <v>23</v>
      </c>
      <c r="B24" s="2" t="str">
        <f>IFERROR(VLOOKUP(parent_children_2[[#This Row],[parent_id]],abbreviation[],3,FALSE),"")</f>
        <v>distribution system</v>
      </c>
      <c r="C24" s="1" t="str">
        <f>IFERROR(VLOOKUP(parent_children_2[[#This Row],[children_id]],abbreviation[],ColumnLanguage+1,FALSE),"")</f>
        <v>Verdampfer</v>
      </c>
      <c r="E24" s="18">
        <v>23</v>
      </c>
      <c r="F24" s="18">
        <v>24</v>
      </c>
      <c r="G24" s="18">
        <v>46</v>
      </c>
      <c r="H24" s="5"/>
      <c r="K24" t="s">
        <v>29</v>
      </c>
      <c r="L24" s="2" t="b">
        <f>IF(Tabelle2[[#This Row],[System]]&lt;&gt;"",VLOOKUP(Tabelle2[[#This Row],[System]],parent_children[[parent]:[children]],2,0))</f>
        <v>0</v>
      </c>
      <c r="N24" s="2"/>
    </row>
    <row r="25" spans="1:14" x14ac:dyDescent="0.25">
      <c r="A25" s="2">
        <f>IFERROR(parent_children_2[[#This Row],[parent_children_id]],"")</f>
        <v>24</v>
      </c>
      <c r="B25" s="2" t="str">
        <f>IFERROR(VLOOKUP(parent_children_2[[#This Row],[parent_id]],abbreviation[],3,FALSE),"")</f>
        <v>distribution system</v>
      </c>
      <c r="C25" s="1" t="str">
        <f>IFERROR(VLOOKUP(parent_children_2[[#This Row],[children_id]],abbreviation[],ColumnLanguage+1,FALSE),"")</f>
        <v>Verdichter</v>
      </c>
      <c r="E25" s="18">
        <v>24</v>
      </c>
      <c r="F25" s="18">
        <v>24</v>
      </c>
      <c r="G25" s="18">
        <v>47</v>
      </c>
      <c r="H25" s="5"/>
      <c r="K25" t="s">
        <v>29</v>
      </c>
      <c r="L25" s="2" t="b">
        <f>IF(Tabelle2[[#This Row],[System]]&lt;&gt;"",VLOOKUP(Tabelle2[[#This Row],[System]],parent_children[[parent]:[children]],2,0))</f>
        <v>0</v>
      </c>
      <c r="N25" s="2"/>
    </row>
    <row r="26" spans="1:14" x14ac:dyDescent="0.25">
      <c r="A26" s="2">
        <f>IFERROR(parent_children_2[[#This Row],[parent_children_id]],"")</f>
        <v>25</v>
      </c>
      <c r="B26" s="2" t="str">
        <f>IFERROR(VLOOKUP(parent_children_2[[#This Row],[parent_id]],abbreviation[],3,FALSE),"")</f>
        <v>t-piece</v>
      </c>
      <c r="C26" s="1" t="str">
        <f>IFERROR(VLOOKUP(parent_children_2[[#This Row],[children_id]],abbreviation[],ColumnLanguage+1,FALSE),"")</f>
        <v>Steuerung</v>
      </c>
      <c r="E26" s="18">
        <v>25</v>
      </c>
      <c r="F26" s="18">
        <v>67</v>
      </c>
      <c r="G26" s="18">
        <v>75</v>
      </c>
      <c r="H26" s="5"/>
      <c r="N26" s="2"/>
    </row>
    <row r="27" spans="1:14" x14ac:dyDescent="0.25">
      <c r="A27" s="2">
        <f>IFERROR(parent_children_2[[#This Row],[parent_children_id]],"")</f>
        <v>26</v>
      </c>
      <c r="B27" s="2" t="str">
        <f>IFERROR(VLOOKUP(parent_children_2[[#This Row],[parent_id]],abbreviation[],3,FALSE),"")</f>
        <v>t-piece</v>
      </c>
      <c r="C27" s="2" t="str">
        <f>IFERROR(VLOOKUP(parent_children_2[[#This Row],[children_id]],abbreviation[],ColumnLanguage+1,FALSE),"")</f>
        <v>Absperr</v>
      </c>
      <c r="E27" s="18">
        <v>26</v>
      </c>
      <c r="F27" s="18">
        <v>67</v>
      </c>
      <c r="G27" s="18">
        <v>76</v>
      </c>
      <c r="H27" s="5"/>
      <c r="N27" s="2"/>
    </row>
    <row r="28" spans="1:14" x14ac:dyDescent="0.25">
      <c r="A28" s="2">
        <f>IFERROR(parent_children_2[[#This Row],[parent_children_id]],"")</f>
        <v>27</v>
      </c>
      <c r="B28" s="2" t="str">
        <f>IFERROR(VLOOKUP(parent_children_2[[#This Row],[parent_id]],abbreviation[],3,FALSE),"")</f>
        <v>t-piece</v>
      </c>
      <c r="C28" s="2" t="str">
        <f>IFERROR(VLOOKUP(parent_children_2[[#This Row],[children_id]],abbreviation[],ColumnLanguage+1,FALSE),"")</f>
        <v>Misch</v>
      </c>
      <c r="E28" s="18">
        <v>27</v>
      </c>
      <c r="F28" s="18">
        <v>67</v>
      </c>
      <c r="G28" s="18">
        <v>77</v>
      </c>
      <c r="H28" s="5"/>
      <c r="N28" s="2"/>
    </row>
    <row r="29" spans="1:14" x14ac:dyDescent="0.25">
      <c r="A29" s="2">
        <f>IFERROR(parent_children_2[[#This Row],[parent_children_id]],"")</f>
        <v>28</v>
      </c>
      <c r="B29" s="2" t="str">
        <f>IFERROR(VLOOKUP(parent_children_2[[#This Row],[parent_id]],abbreviation[],3,FALSE),"")</f>
        <v>t-piece</v>
      </c>
      <c r="C29" s="2" t="str">
        <f>IFERROR(VLOOKUP(parent_children_2[[#This Row],[children_id]],abbreviation[],ColumnLanguage+1,FALSE),"")</f>
        <v>Regel</v>
      </c>
      <c r="E29" s="18">
        <v>28</v>
      </c>
      <c r="F29" s="18">
        <v>67</v>
      </c>
      <c r="G29" s="18">
        <v>78</v>
      </c>
      <c r="H29" s="5"/>
      <c r="N29" s="2"/>
    </row>
    <row r="30" spans="1:14" x14ac:dyDescent="0.25">
      <c r="A30" s="2">
        <f>IFERROR(parent_children_2[[#This Row],[parent_children_id]],"")</f>
        <v>29</v>
      </c>
      <c r="B30" s="2" t="str">
        <f>IFERROR(VLOOKUP(parent_children_2[[#This Row],[parent_id]],abbreviation[],3,FALSE),"")</f>
        <v>t-piece</v>
      </c>
      <c r="C30" s="2" t="str">
        <f>IFERROR(VLOOKUP(parent_children_2[[#This Row],[children_id]],abbreviation[],ColumnLanguage+1,FALSE),"")</f>
        <v>Umschalt</v>
      </c>
      <c r="E30" s="18">
        <v>29</v>
      </c>
      <c r="F30" s="18">
        <v>67</v>
      </c>
      <c r="G30" s="18">
        <v>79</v>
      </c>
      <c r="H30" s="5"/>
      <c r="N30" s="2"/>
    </row>
    <row r="31" spans="1:14" x14ac:dyDescent="0.25">
      <c r="A31" s="2">
        <f>IFERROR(parent_children_2[[#This Row],[parent_children_id]],"")</f>
        <v>30</v>
      </c>
      <c r="B31" s="2" t="str">
        <f>IFERROR(VLOOKUP(parent_children_2[[#This Row],[parent_id]],abbreviation[],3,FALSE),"")</f>
        <v>heating registers</v>
      </c>
      <c r="C31" s="2" t="str">
        <f>IFERROR(VLOOKUP(parent_children_2[[#This Row],[children_id]],abbreviation[],ColumnLanguage+1,FALSE),"")</f>
        <v>Steuerung</v>
      </c>
      <c r="E31" s="18">
        <v>30</v>
      </c>
      <c r="F31" s="18">
        <v>57</v>
      </c>
      <c r="G31" s="18">
        <v>75</v>
      </c>
      <c r="H31" s="5"/>
      <c r="N31" s="2"/>
    </row>
    <row r="32" spans="1:14" x14ac:dyDescent="0.25">
      <c r="A32" s="2">
        <f>IFERROR(parent_children_2[[#This Row],[parent_children_id]],"")</f>
        <v>31</v>
      </c>
      <c r="B32" s="2" t="str">
        <f>IFERROR(VLOOKUP(parent_children_2[[#This Row],[parent_id]],abbreviation[],3,FALSE),"")</f>
        <v>heating registers</v>
      </c>
      <c r="C32" s="2" t="str">
        <f>IFERROR(VLOOKUP(parent_children_2[[#This Row],[children_id]],abbreviation[],ColumnLanguage+1,FALSE),"")</f>
        <v>Verteil</v>
      </c>
      <c r="E32" s="18">
        <v>31</v>
      </c>
      <c r="F32" s="18">
        <v>57</v>
      </c>
      <c r="G32" s="18">
        <v>80</v>
      </c>
      <c r="H32" s="5"/>
      <c r="N32" s="2"/>
    </row>
    <row r="33" spans="1:14" x14ac:dyDescent="0.25">
      <c r="A33" s="2">
        <f>IFERROR(parent_children_2[[#This Row],[parent_children_id]],"")</f>
        <v>32</v>
      </c>
      <c r="B33" s="2" t="str">
        <f>IFERROR(VLOOKUP(parent_children_2[[#This Row],[parent_id]],abbreviation[],3,FALSE),"")</f>
        <v>heating registers</v>
      </c>
      <c r="C33" s="2" t="str">
        <f>IFERROR(VLOOKUP(parent_children_2[[#This Row],[children_id]],abbreviation[],ColumnLanguage+1,FALSE),"")</f>
        <v>Absperr</v>
      </c>
      <c r="E33" s="18">
        <v>32</v>
      </c>
      <c r="F33" s="18">
        <v>57</v>
      </c>
      <c r="G33" s="18">
        <v>76</v>
      </c>
      <c r="H33" s="5"/>
      <c r="N33" s="2"/>
    </row>
    <row r="34" spans="1:14" x14ac:dyDescent="0.25">
      <c r="A34" s="2">
        <f>IFERROR(parent_children_2[[#This Row],[parent_children_id]],"")</f>
        <v>33</v>
      </c>
      <c r="B34" s="2" t="str">
        <f>IFERROR(VLOOKUP(parent_children_2[[#This Row],[parent_id]],abbreviation[],3,FALSE),"")</f>
        <v>heating registers</v>
      </c>
      <c r="C34" s="2" t="str">
        <f>IFERROR(VLOOKUP(parent_children_2[[#This Row],[children_id]],abbreviation[],ColumnLanguage+1,FALSE),"")</f>
        <v>Misch</v>
      </c>
      <c r="E34" s="18">
        <v>33</v>
      </c>
      <c r="F34" s="18">
        <v>57</v>
      </c>
      <c r="G34" s="18">
        <v>77</v>
      </c>
      <c r="H34" s="5"/>
      <c r="N34" s="2"/>
    </row>
    <row r="35" spans="1:14" x14ac:dyDescent="0.25">
      <c r="A35" s="2">
        <f>IFERROR(parent_children_2[[#This Row],[parent_children_id]],"")</f>
        <v>34</v>
      </c>
      <c r="B35" s="2" t="str">
        <f>IFERROR(VLOOKUP(parent_children_2[[#This Row],[parent_id]],abbreviation[],3,FALSE),"")</f>
        <v>heating registers</v>
      </c>
      <c r="C35" s="2" t="str">
        <f>IFERROR(VLOOKUP(parent_children_2[[#This Row],[children_id]],abbreviation[],ColumnLanguage+1,FALSE),"")</f>
        <v>Regel</v>
      </c>
      <c r="E35" s="18">
        <v>34</v>
      </c>
      <c r="F35" s="18">
        <v>57</v>
      </c>
      <c r="G35" s="18">
        <v>78</v>
      </c>
      <c r="H35" s="5"/>
      <c r="N35" s="2"/>
    </row>
    <row r="36" spans="1:14" x14ac:dyDescent="0.25">
      <c r="A36" s="2">
        <f>IFERROR(parent_children_2[[#This Row],[parent_children_id]],"")</f>
        <v>35</v>
      </c>
      <c r="B36" s="2" t="str">
        <f>IFERROR(VLOOKUP(parent_children_2[[#This Row],[parent_id]],abbreviation[],3,FALSE),"")</f>
        <v>heating registers</v>
      </c>
      <c r="C36" s="2" t="str">
        <f>IFERROR(VLOOKUP(parent_children_2[[#This Row],[children_id]],abbreviation[],ColumnLanguage+1,FALSE),"")</f>
        <v>Umschalt</v>
      </c>
      <c r="E36" s="18">
        <v>35</v>
      </c>
      <c r="F36" s="18">
        <v>57</v>
      </c>
      <c r="G36" s="18">
        <v>79</v>
      </c>
      <c r="H36" s="5"/>
      <c r="N36" s="2"/>
    </row>
    <row r="37" spans="1:14" x14ac:dyDescent="0.25">
      <c r="A37" s="2">
        <f>IFERROR(parent_children_2[[#This Row],[parent_children_id]],"")</f>
        <v>36</v>
      </c>
      <c r="B37" s="2" t="str">
        <f>IFERROR(VLOOKUP(parent_children_2[[#This Row],[parent_id]],abbreviation[],3,FALSE),"")</f>
        <v>switches</v>
      </c>
      <c r="C37" s="2" t="str">
        <f>IFERROR(VLOOKUP(parent_children_2[[#This Row],[children_id]],abbreviation[],ColumnLanguage+1,FALSE),"")</f>
        <v>Brandschutz</v>
      </c>
      <c r="E37" s="18">
        <v>36</v>
      </c>
      <c r="F37" s="18">
        <v>65</v>
      </c>
      <c r="G37" s="18">
        <v>81</v>
      </c>
      <c r="H37" s="5"/>
      <c r="N37" s="2"/>
    </row>
    <row r="38" spans="1:14" x14ac:dyDescent="0.25">
      <c r="A38" s="2">
        <f>IFERROR(parent_children_2[[#This Row],[parent_children_id]],"")</f>
        <v>37</v>
      </c>
      <c r="B38" s="2" t="str">
        <f>IFERROR(VLOOKUP(parent_children_2[[#This Row],[parent_id]],abbreviation[],3,FALSE),"")</f>
        <v>switches</v>
      </c>
      <c r="C38" s="2" t="str">
        <f>IFERROR(VLOOKUP(parent_children_2[[#This Row],[children_id]],abbreviation[],ColumnLanguage+1,FALSE),"")</f>
        <v>Absolute Feuchte</v>
      </c>
      <c r="E38" s="18">
        <v>37</v>
      </c>
      <c r="F38" s="18">
        <v>65</v>
      </c>
      <c r="G38" s="18">
        <v>82</v>
      </c>
      <c r="H38" s="5"/>
      <c r="N38" s="2"/>
    </row>
    <row r="39" spans="1:14" x14ac:dyDescent="0.25">
      <c r="A39" s="2">
        <f>IFERROR(parent_children_2[[#This Row],[parent_children_id]],"")</f>
        <v>38</v>
      </c>
      <c r="B39" s="2" t="str">
        <f>IFERROR(VLOOKUP(parent_children_2[[#This Row],[parent_id]],abbreviation[],3,FALSE),"")</f>
        <v>switches</v>
      </c>
      <c r="C39" s="2" t="str">
        <f>IFERROR(VLOOKUP(parent_children_2[[#This Row],[children_id]],abbreviation[],ColumnLanguage+1,FALSE),"")</f>
        <v>Beleuchtungsstärke</v>
      </c>
      <c r="E39" s="18">
        <v>38</v>
      </c>
      <c r="F39" s="18">
        <v>65</v>
      </c>
      <c r="G39" s="18">
        <v>83</v>
      </c>
      <c r="H39" s="5"/>
      <c r="N39" s="2"/>
    </row>
    <row r="40" spans="1:14" x14ac:dyDescent="0.25">
      <c r="A40" s="2">
        <f>IFERROR(parent_children_2[[#This Row],[parent_children_id]],"")</f>
        <v>39</v>
      </c>
      <c r="B40" s="2" t="str">
        <f>IFERROR(VLOOKUP(parent_children_2[[#This Row],[parent_id]],abbreviation[],3,FALSE),"")</f>
        <v>switches</v>
      </c>
      <c r="C40" s="2" t="str">
        <f>IFERROR(VLOOKUP(parent_children_2[[#This Row],[children_id]],abbreviation[],ColumnLanguage+1,FALSE),"")</f>
        <v>Druck</v>
      </c>
      <c r="E40" s="18">
        <v>39</v>
      </c>
      <c r="F40" s="18">
        <v>65</v>
      </c>
      <c r="G40" s="18">
        <v>84</v>
      </c>
      <c r="H40" s="5"/>
      <c r="N40" s="2"/>
    </row>
    <row r="41" spans="1:14" x14ac:dyDescent="0.25">
      <c r="A41" s="2">
        <f>IFERROR(parent_children_2[[#This Row],[parent_children_id]],"")</f>
        <v>40</v>
      </c>
      <c r="B41" s="2" t="str">
        <f>IFERROR(VLOOKUP(parent_children_2[[#This Row],[parent_id]],abbreviation[],3,FALSE),"")</f>
        <v>switches</v>
      </c>
      <c r="C41" s="2" t="str">
        <f>IFERROR(VLOOKUP(parent_children_2[[#This Row],[children_id]],abbreviation[],ColumnLanguage+1,FALSE),"")</f>
        <v>Druckdifferenz</v>
      </c>
      <c r="E41" s="18">
        <v>40</v>
      </c>
      <c r="F41" s="18">
        <v>65</v>
      </c>
      <c r="G41" s="18">
        <v>85</v>
      </c>
      <c r="H41" s="5"/>
      <c r="N41" s="2"/>
    </row>
    <row r="42" spans="1:14" x14ac:dyDescent="0.25">
      <c r="A42" s="2">
        <f>IFERROR(parent_children_2[[#This Row],[parent_children_id]],"")</f>
        <v>41</v>
      </c>
      <c r="B42" s="2" t="str">
        <f>IFERROR(VLOOKUP(parent_children_2[[#This Row],[parent_id]],abbreviation[],3,FALSE),"")</f>
        <v>switches</v>
      </c>
      <c r="C42" s="2" t="str">
        <f>IFERROR(VLOOKUP(parent_children_2[[#This Row],[children_id]],abbreviation[],ColumnLanguage+1,FALSE),"")</f>
        <v>Elektrische Leistung</v>
      </c>
      <c r="E42" s="18">
        <v>41</v>
      </c>
      <c r="F42" s="18">
        <v>65</v>
      </c>
      <c r="G42" s="18">
        <v>86</v>
      </c>
      <c r="H42" s="5"/>
      <c r="N42" s="2"/>
    </row>
    <row r="43" spans="1:14" x14ac:dyDescent="0.25">
      <c r="A43" s="2">
        <f>IFERROR(parent_children_2[[#This Row],[parent_children_id]],"")</f>
        <v>42</v>
      </c>
      <c r="B43" s="2" t="str">
        <f>IFERROR(VLOOKUP(parent_children_2[[#This Row],[parent_id]],abbreviation[],3,FALSE),"")</f>
        <v>switches</v>
      </c>
      <c r="C43" s="2" t="str">
        <f>IFERROR(VLOOKUP(parent_children_2[[#This Row],[children_id]],abbreviation[],ColumnLanguage+1,FALSE),"")</f>
        <v>Frostschutz</v>
      </c>
      <c r="E43" s="18">
        <v>42</v>
      </c>
      <c r="F43" s="18">
        <v>65</v>
      </c>
      <c r="G43" s="18">
        <v>87</v>
      </c>
      <c r="H43" s="5"/>
      <c r="N43" s="2"/>
    </row>
    <row r="44" spans="1:14" x14ac:dyDescent="0.25">
      <c r="A44" s="2">
        <f>IFERROR(parent_children_2[[#This Row],[parent_children_id]],"")</f>
        <v>43</v>
      </c>
      <c r="B44" s="2" t="str">
        <f>IFERROR(VLOOKUP(parent_children_2[[#This Row],[parent_id]],abbreviation[],3,FALSE),"")</f>
        <v>switches</v>
      </c>
      <c r="C44" s="2" t="str">
        <f>IFERROR(VLOOKUP(parent_children_2[[#This Row],[children_id]],abbreviation[],ColumnLanguage+1,FALSE),"")</f>
        <v>Globalstrahlung</v>
      </c>
      <c r="E44" s="18">
        <v>43</v>
      </c>
      <c r="F44" s="18">
        <v>65</v>
      </c>
      <c r="G44" s="18">
        <v>88</v>
      </c>
      <c r="H44" s="5"/>
      <c r="N44" s="2"/>
    </row>
    <row r="45" spans="1:14" x14ac:dyDescent="0.25">
      <c r="A45" s="2">
        <f>IFERROR(parent_children_2[[#This Row],[parent_children_id]],"")</f>
        <v>44</v>
      </c>
      <c r="B45" s="2" t="str">
        <f>IFERROR(VLOOKUP(parent_children_2[[#This Row],[parent_id]],abbreviation[],3,FALSE),"")</f>
        <v>switches</v>
      </c>
      <c r="C45" s="2" t="str">
        <f>IFERROR(VLOOKUP(parent_children_2[[#This Row],[children_id]],abbreviation[],ColumnLanguage+1,FALSE),"")</f>
        <v>Heizleistung</v>
      </c>
      <c r="E45" s="18">
        <v>44</v>
      </c>
      <c r="F45" s="18">
        <v>65</v>
      </c>
      <c r="G45" s="18">
        <v>89</v>
      </c>
      <c r="H45" s="5"/>
      <c r="N45" s="2"/>
    </row>
    <row r="46" spans="1:14" x14ac:dyDescent="0.25">
      <c r="A46" s="2">
        <f>IFERROR(parent_children_2[[#This Row],[parent_children_id]],"")</f>
        <v>45</v>
      </c>
      <c r="B46" s="2" t="str">
        <f>IFERROR(VLOOKUP(parent_children_2[[#This Row],[parent_id]],abbreviation[],3,FALSE),"")</f>
        <v>switches</v>
      </c>
      <c r="C46" s="2" t="str">
        <f>IFERROR(VLOOKUP(parent_children_2[[#This Row],[children_id]],abbreviation[],ColumnLanguage+1,FALSE),"")</f>
        <v>Heiz-/Kühlleistung</v>
      </c>
      <c r="E46" s="18">
        <v>45</v>
      </c>
      <c r="F46" s="18">
        <v>65</v>
      </c>
      <c r="G46" s="18">
        <v>154</v>
      </c>
      <c r="H46" s="5"/>
      <c r="N46" s="2"/>
    </row>
    <row r="47" spans="1:14" x14ac:dyDescent="0.25">
      <c r="A47" s="2">
        <f>IFERROR(parent_children_2[[#This Row],[parent_children_id]],"")</f>
        <v>46</v>
      </c>
      <c r="B47" s="2" t="str">
        <f>IFERROR(VLOOKUP(parent_children_2[[#This Row],[parent_id]],abbreviation[],3,FALSE),"")</f>
        <v>switches</v>
      </c>
      <c r="C47" s="2" t="str">
        <f>IFERROR(VLOOKUP(parent_children_2[[#This Row],[children_id]],abbreviation[],ColumnLanguage+1,FALSE),"")</f>
        <v>Kohlenstoffdioxid (CO2)</v>
      </c>
      <c r="E47" s="18">
        <v>46</v>
      </c>
      <c r="F47" s="18">
        <v>65</v>
      </c>
      <c r="G47" s="18">
        <v>155</v>
      </c>
      <c r="H47" s="5"/>
      <c r="N47" s="2"/>
    </row>
    <row r="48" spans="1:14" x14ac:dyDescent="0.25">
      <c r="A48" s="2">
        <f>IFERROR(parent_children_2[[#This Row],[parent_children_id]],"")</f>
        <v>47</v>
      </c>
      <c r="B48" s="2" t="str">
        <f>IFERROR(VLOOKUP(parent_children_2[[#This Row],[parent_id]],abbreviation[],3,FALSE),"")</f>
        <v>switches</v>
      </c>
      <c r="C48" s="2" t="str">
        <f>IFERROR(VLOOKUP(parent_children_2[[#This Row],[children_id]],abbreviation[],ColumnLanguage+1,FALSE),"")</f>
        <v>Kältemenge</v>
      </c>
      <c r="E48" s="18">
        <v>47</v>
      </c>
      <c r="F48" s="18">
        <v>65</v>
      </c>
      <c r="G48" s="18">
        <v>90</v>
      </c>
      <c r="H48" s="5"/>
      <c r="N48" s="2"/>
    </row>
    <row r="49" spans="1:14" x14ac:dyDescent="0.25">
      <c r="A49" s="2">
        <f>IFERROR(parent_children_2[[#This Row],[parent_children_id]],"")</f>
        <v>48</v>
      </c>
      <c r="B49" s="2" t="str">
        <f>IFERROR(VLOOKUP(parent_children_2[[#This Row],[parent_id]],abbreviation[],3,FALSE),"")</f>
        <v>switches</v>
      </c>
      <c r="C49" s="2" t="str">
        <f>IFERROR(VLOOKUP(parent_children_2[[#This Row],[children_id]],abbreviation[],ColumnLanguage+1,FALSE),"")</f>
        <v>Kühlleistung</v>
      </c>
      <c r="E49" s="18">
        <v>48</v>
      </c>
      <c r="F49" s="18">
        <v>65</v>
      </c>
      <c r="G49" s="18">
        <v>91</v>
      </c>
      <c r="H49" s="5"/>
      <c r="N49" s="2"/>
    </row>
    <row r="50" spans="1:14" x14ac:dyDescent="0.25">
      <c r="A50" s="2">
        <f>IFERROR(parent_children_2[[#This Row],[parent_children_id]],"")</f>
        <v>49</v>
      </c>
      <c r="B50" s="2" t="str">
        <f>IFERROR(VLOOKUP(parent_children_2[[#This Row],[parent_id]],abbreviation[],3,FALSE),"")</f>
        <v>switches</v>
      </c>
      <c r="C50" s="2" t="str">
        <f>IFERROR(VLOOKUP(parent_children_2[[#This Row],[children_id]],abbreviation[],ColumnLanguage+1,FALSE),"")</f>
        <v>Massenstrom</v>
      </c>
      <c r="E50" s="18">
        <v>49</v>
      </c>
      <c r="F50" s="18">
        <v>65</v>
      </c>
      <c r="G50" s="18">
        <v>92</v>
      </c>
      <c r="H50" s="5"/>
      <c r="N50" s="2"/>
    </row>
    <row r="51" spans="1:14" x14ac:dyDescent="0.25">
      <c r="A51" s="2">
        <f>IFERROR(parent_children_2[[#This Row],[parent_children_id]],"")</f>
        <v>50</v>
      </c>
      <c r="B51" s="2" t="str">
        <f>IFERROR(VLOOKUP(parent_children_2[[#This Row],[parent_id]],abbreviation[],3,FALSE),"")</f>
        <v>switches</v>
      </c>
      <c r="C51" s="2" t="str">
        <f>IFERROR(VLOOKUP(parent_children_2[[#This Row],[children_id]],abbreviation[],ColumnLanguage+1,FALSE),"")</f>
        <v>Präsenz</v>
      </c>
      <c r="E51" s="18">
        <v>50</v>
      </c>
      <c r="F51" s="18">
        <v>65</v>
      </c>
      <c r="G51" s="18">
        <v>93</v>
      </c>
      <c r="H51" s="5"/>
      <c r="N51" s="2"/>
    </row>
    <row r="52" spans="1:14" x14ac:dyDescent="0.25">
      <c r="A52" s="2">
        <f>IFERROR(parent_children_2[[#This Row],[parent_children_id]],"")</f>
        <v>51</v>
      </c>
      <c r="B52" s="2" t="str">
        <f>IFERROR(VLOOKUP(parent_children_2[[#This Row],[parent_id]],abbreviation[],3,FALSE),"")</f>
        <v>switches</v>
      </c>
      <c r="C52" s="2" t="str">
        <f>IFERROR(VLOOKUP(parent_children_2[[#This Row],[children_id]],abbreviation[],ColumnLanguage+1,FALSE),"")</f>
        <v>Rauch</v>
      </c>
      <c r="E52" s="18">
        <v>51</v>
      </c>
      <c r="F52" s="18">
        <v>65</v>
      </c>
      <c r="G52" s="18">
        <v>94</v>
      </c>
      <c r="H52" s="5"/>
      <c r="N52" s="2"/>
    </row>
    <row r="53" spans="1:14" x14ac:dyDescent="0.25">
      <c r="A53" s="2">
        <f>IFERROR(parent_children_2[[#This Row],[parent_children_id]],"")</f>
        <v>52</v>
      </c>
      <c r="B53" s="2" t="str">
        <f>IFERROR(VLOOKUP(parent_children_2[[#This Row],[parent_id]],abbreviation[],3,FALSE),"")</f>
        <v>switches</v>
      </c>
      <c r="C53" s="2" t="str">
        <f>IFERROR(VLOOKUP(parent_children_2[[#This Row],[children_id]],abbreviation[],ColumnLanguage+1,FALSE),"")</f>
        <v>Regen</v>
      </c>
      <c r="E53" s="18">
        <v>52</v>
      </c>
      <c r="F53" s="18">
        <v>65</v>
      </c>
      <c r="G53" s="18">
        <v>95</v>
      </c>
      <c r="H53" s="5"/>
      <c r="N53" s="2"/>
    </row>
    <row r="54" spans="1:14" x14ac:dyDescent="0.25">
      <c r="A54" s="2">
        <f>IFERROR(parent_children_2[[#This Row],[parent_children_id]],"")</f>
        <v>53</v>
      </c>
      <c r="B54" s="2" t="str">
        <f>IFERROR(VLOOKUP(parent_children_2[[#This Row],[parent_id]],abbreviation[],3,FALSE),"")</f>
        <v>switches</v>
      </c>
      <c r="C54" s="2" t="str">
        <f>IFERROR(VLOOKUP(parent_children_2[[#This Row],[children_id]],abbreviation[],ColumnLanguage+1,FALSE),"")</f>
        <v>Relative Feuchte</v>
      </c>
      <c r="E54" s="18">
        <v>53</v>
      </c>
      <c r="F54" s="18">
        <v>65</v>
      </c>
      <c r="G54" s="18">
        <v>96</v>
      </c>
      <c r="H54" s="5"/>
      <c r="N54" s="2"/>
    </row>
    <row r="55" spans="1:14" x14ac:dyDescent="0.25">
      <c r="A55" s="2">
        <f>IFERROR(parent_children_2[[#This Row],[parent_children_id]],"")</f>
        <v>54</v>
      </c>
      <c r="B55" s="2" t="str">
        <f>IFERROR(VLOOKUP(parent_children_2[[#This Row],[parent_id]],abbreviation[],3,FALSE),"")</f>
        <v>switches</v>
      </c>
      <c r="C55" s="2" t="str">
        <f>IFERROR(VLOOKUP(parent_children_2[[#This Row],[children_id]],abbreviation[],ColumnLanguage+1,FALSE),"")</f>
        <v>Elektrische Energie</v>
      </c>
      <c r="E55" s="18">
        <v>54</v>
      </c>
      <c r="F55" s="18">
        <v>65</v>
      </c>
      <c r="G55" s="18">
        <v>97</v>
      </c>
      <c r="H55" s="5"/>
      <c r="N55" s="2"/>
    </row>
    <row r="56" spans="1:14" x14ac:dyDescent="0.25">
      <c r="A56" s="2">
        <f>IFERROR(parent_children_2[[#This Row],[parent_children_id]],"")</f>
        <v>55</v>
      </c>
      <c r="B56" s="2" t="str">
        <f>IFERROR(VLOOKUP(parent_children_2[[#This Row],[parent_id]],abbreviation[],3,FALSE),"")</f>
        <v>switches</v>
      </c>
      <c r="C56" s="2" t="str">
        <f>IFERROR(VLOOKUP(parent_children_2[[#This Row],[children_id]],abbreviation[],ColumnLanguage+1,FALSE),"")</f>
        <v>Temperatur</v>
      </c>
      <c r="E56" s="18">
        <v>55</v>
      </c>
      <c r="F56" s="18">
        <v>65</v>
      </c>
      <c r="G56" s="18">
        <v>98</v>
      </c>
      <c r="H56" s="5"/>
      <c r="N56" s="2"/>
    </row>
    <row r="57" spans="1:14" x14ac:dyDescent="0.25">
      <c r="A57" s="2">
        <f>IFERROR(parent_children_2[[#This Row],[parent_children_id]],"")</f>
        <v>56</v>
      </c>
      <c r="B57" s="2" t="str">
        <f>IFERROR(VLOOKUP(parent_children_2[[#This Row],[parent_id]],abbreviation[],3,FALSE),"")</f>
        <v>switches</v>
      </c>
      <c r="C57" s="2" t="str">
        <f>IFERROR(VLOOKUP(parent_children_2[[#This Row],[children_id]],abbreviation[],ColumnLanguage+1,FALSE),"")</f>
        <v>Temperaturdifferenz</v>
      </c>
      <c r="E57" s="18">
        <v>56</v>
      </c>
      <c r="F57" s="18">
        <v>65</v>
      </c>
      <c r="G57" s="18">
        <v>99</v>
      </c>
      <c r="H57" s="5"/>
      <c r="N57" s="2"/>
    </row>
    <row r="58" spans="1:14" x14ac:dyDescent="0.25">
      <c r="A58" s="2">
        <f>IFERROR(parent_children_2[[#This Row],[parent_children_id]],"")</f>
        <v>57</v>
      </c>
      <c r="B58" s="2" t="str">
        <f>IFERROR(VLOOKUP(parent_children_2[[#This Row],[parent_id]],abbreviation[],3,FALSE),"")</f>
        <v>switches</v>
      </c>
      <c r="C58" s="2" t="str">
        <f>IFERROR(VLOOKUP(parent_children_2[[#This Row],[children_id]],abbreviation[],ColumnLanguage+1,FALSE),"")</f>
        <v>Volumenstrom</v>
      </c>
      <c r="E58" s="18">
        <v>57</v>
      </c>
      <c r="F58" s="18">
        <v>65</v>
      </c>
      <c r="G58" s="18">
        <v>100</v>
      </c>
      <c r="H58" s="5"/>
      <c r="N58" s="2"/>
    </row>
    <row r="59" spans="1:14" x14ac:dyDescent="0.25">
      <c r="A59" s="2">
        <f>IFERROR(parent_children_2[[#This Row],[parent_children_id]],"")</f>
        <v>58</v>
      </c>
      <c r="B59" s="2" t="str">
        <f>IFERROR(VLOOKUP(parent_children_2[[#This Row],[parent_id]],abbreviation[],3,FALSE),"")</f>
        <v>switches</v>
      </c>
      <c r="C59" s="2" t="str">
        <f>IFERROR(VLOOKUP(parent_children_2[[#This Row],[children_id]],abbreviation[],ColumnLanguage+1,FALSE),"")</f>
        <v>Wärmemenge</v>
      </c>
      <c r="E59" s="18">
        <v>58</v>
      </c>
      <c r="F59" s="18">
        <v>65</v>
      </c>
      <c r="G59" s="18">
        <v>101</v>
      </c>
      <c r="H59" s="5"/>
      <c r="N59" s="2"/>
    </row>
    <row r="60" spans="1:14" x14ac:dyDescent="0.25">
      <c r="A60" s="2">
        <f>IFERROR(parent_children_2[[#This Row],[parent_children_id]],"")</f>
        <v>59</v>
      </c>
      <c r="B60" s="2" t="str">
        <f>IFERROR(VLOOKUP(parent_children_2[[#This Row],[parent_id]],abbreviation[],3,FALSE),"")</f>
        <v>pump</v>
      </c>
      <c r="C60" s="2" t="str">
        <f>IFERROR(VLOOKUP(parent_children_2[[#This Row],[children_id]],abbreviation[],ColumnLanguage+1,FALSE),"")</f>
        <v>Wind</v>
      </c>
      <c r="E60" s="18">
        <v>59</v>
      </c>
      <c r="F60" s="18">
        <v>64</v>
      </c>
      <c r="G60" s="18">
        <v>102</v>
      </c>
      <c r="H60" s="5"/>
      <c r="N60" s="2"/>
    </row>
    <row r="61" spans="1:14" x14ac:dyDescent="0.25">
      <c r="A61" s="2">
        <f>IFERROR(parent_children_2[[#This Row],[parent_children_id]],"")</f>
        <v>60</v>
      </c>
      <c r="B61" s="2" t="str">
        <f>IFERROR(VLOOKUP(parent_children_2[[#This Row],[parent_id]],abbreviation[],3,FALSE),"")</f>
        <v>pump</v>
      </c>
      <c r="C61" s="2" t="str">
        <f>IFERROR(VLOOKUP(parent_children_2[[#This Row],[children_id]],abbreviation[],ColumnLanguage+1,FALSE),"")</f>
        <v>Not Aus</v>
      </c>
      <c r="E61" s="18">
        <v>60</v>
      </c>
      <c r="F61" s="18">
        <v>64</v>
      </c>
      <c r="G61" s="18">
        <v>103</v>
      </c>
      <c r="H61" s="5"/>
      <c r="N61" s="2"/>
    </row>
    <row r="62" spans="1:14" x14ac:dyDescent="0.25">
      <c r="A62" s="2">
        <f>IFERROR(parent_children_2[[#This Row],[parent_children_id]],"")</f>
        <v>61</v>
      </c>
      <c r="B62" s="2" t="str">
        <f>IFERROR(VLOOKUP(parent_children_2[[#This Row],[parent_id]],abbreviation[],3,FALSE),"")</f>
        <v>heat exchanger</v>
      </c>
      <c r="C62" s="2" t="str">
        <f>IFERROR(VLOOKUP(parent_children_2[[#This Row],[children_id]],abbreviation[],ColumnLanguage+1,FALSE),"")</f>
        <v>Öl</v>
      </c>
      <c r="E62" s="18">
        <v>61</v>
      </c>
      <c r="F62" s="18">
        <v>26</v>
      </c>
      <c r="G62" s="18">
        <v>109</v>
      </c>
      <c r="H62" s="5"/>
      <c r="N62" s="2"/>
    </row>
    <row r="63" spans="1:14" x14ac:dyDescent="0.25">
      <c r="A63" s="2">
        <f>IFERROR(parent_children_2[[#This Row],[parent_children_id]],"")</f>
        <v>62</v>
      </c>
      <c r="B63" s="2" t="str">
        <f>IFERROR(VLOOKUP(parent_children_2[[#This Row],[parent_id]],abbreviation[],3,FALSE),"")</f>
        <v>heat exchanger</v>
      </c>
      <c r="C63" s="2" t="str">
        <f>IFERROR(VLOOKUP(parent_children_2[[#This Row],[children_id]],abbreviation[],ColumnLanguage+1,FALSE),"")</f>
        <v>Ab</v>
      </c>
      <c r="E63" s="18">
        <v>62</v>
      </c>
      <c r="F63" s="18">
        <v>26</v>
      </c>
      <c r="G63" s="18">
        <v>110</v>
      </c>
      <c r="H63" s="5"/>
      <c r="N63" s="2"/>
    </row>
    <row r="64" spans="1:14" x14ac:dyDescent="0.25">
      <c r="A64" s="2">
        <f>IFERROR(parent_children_2[[#This Row],[parent_children_id]],"")</f>
        <v>63</v>
      </c>
      <c r="B64" s="2" t="str">
        <f>IFERROR(VLOOKUP(parent_children_2[[#This Row],[parent_id]],abbreviation[],3,FALSE),"")</f>
        <v>heat exchanger</v>
      </c>
      <c r="C64" s="2" t="str">
        <f>IFERROR(VLOOKUP(parent_children_2[[#This Row],[children_id]],abbreviation[],ColumnLanguage+1,FALSE),"")</f>
        <v>Hochtemperatur</v>
      </c>
      <c r="E64" s="18">
        <v>63</v>
      </c>
      <c r="F64" s="18">
        <v>26</v>
      </c>
      <c r="G64" s="18">
        <v>43</v>
      </c>
      <c r="H64" s="5"/>
      <c r="N64" s="2"/>
    </row>
    <row r="65" spans="1:14" x14ac:dyDescent="0.25">
      <c r="A65" s="2">
        <f>IFERROR(parent_children_2[[#This Row],[parent_children_id]],"")</f>
        <v>64</v>
      </c>
      <c r="B65" s="2" t="str">
        <f>IFERROR(VLOOKUP(parent_children_2[[#This Row],[parent_id]],abbreviation[],3,FALSE),"")</f>
        <v>heat exchanger</v>
      </c>
      <c r="C65" s="2" t="str">
        <f>IFERROR(VLOOKUP(parent_children_2[[#This Row],[children_id]],abbreviation[],ColumnLanguage+1,FALSE),"")</f>
        <v>Heiz/Heiß</v>
      </c>
      <c r="E65" s="18">
        <v>64</v>
      </c>
      <c r="F65" s="18">
        <v>26</v>
      </c>
      <c r="G65" s="18">
        <v>111</v>
      </c>
      <c r="H65" s="5"/>
      <c r="N65" s="2"/>
    </row>
    <row r="66" spans="1:14" x14ac:dyDescent="0.25">
      <c r="A66" s="2">
        <f>IFERROR(parent_children_2[[#This Row],[parent_children_id]],"")</f>
        <v>65</v>
      </c>
      <c r="B66" s="2" t="str">
        <f>IFERROR(VLOOKUP(parent_children_2[[#This Row],[parent_id]],abbreviation[],3,FALSE),"")</f>
        <v>heat exchanger</v>
      </c>
      <c r="C66" s="2" t="str">
        <f>IFERROR(VLOOKUP(parent_children_2[[#This Row],[children_id]],abbreviation[],ColumnLanguage+1,FALSE),"")</f>
        <v>Absperr</v>
      </c>
      <c r="E66" s="18">
        <v>65</v>
      </c>
      <c r="F66" s="18">
        <v>26</v>
      </c>
      <c r="G66" s="18">
        <v>76</v>
      </c>
      <c r="H66" s="5"/>
      <c r="N66" s="2"/>
    </row>
    <row r="67" spans="1:14" x14ac:dyDescent="0.25">
      <c r="A67" s="2">
        <f>IFERROR(parent_children_2[[#This Row],[parent_children_id]],"")</f>
        <v>66</v>
      </c>
      <c r="B67" s="2" t="str">
        <f>IFERROR(VLOOKUP(parent_children_2[[#This Row],[parent_id]],abbreviation[],3,FALSE),"")</f>
        <v>heat exchanger</v>
      </c>
      <c r="C67" s="2" t="str">
        <f>IFERROR(VLOOKUP(parent_children_2[[#This Row],[children_id]],abbreviation[],ColumnLanguage+1,FALSE),"")</f>
        <v>Kälte</v>
      </c>
      <c r="E67" s="18">
        <v>66</v>
      </c>
      <c r="F67" s="18">
        <v>26</v>
      </c>
      <c r="G67" s="18">
        <v>44</v>
      </c>
      <c r="H67" s="5"/>
      <c r="N67" s="2"/>
    </row>
    <row r="68" spans="1:14" x14ac:dyDescent="0.25">
      <c r="A68" s="2">
        <f>IFERROR(parent_children_2[[#This Row],[parent_children_id]],"")</f>
        <v>67</v>
      </c>
      <c r="B68" s="2" t="str">
        <f>IFERROR(VLOOKUP(parent_children_2[[#This Row],[parent_id]],abbreviation[],3,FALSE),"")</f>
        <v>heat exchanger</v>
      </c>
      <c r="C68" s="2" t="str">
        <f>IFERROR(VLOOKUP(parent_children_2[[#This Row],[children_id]],abbreviation[],ColumnLanguage+1,FALSE),"")</f>
        <v>Kühl</v>
      </c>
      <c r="E68" s="18">
        <v>67</v>
      </c>
      <c r="F68" s="18">
        <v>26</v>
      </c>
      <c r="G68" s="18">
        <v>112</v>
      </c>
      <c r="H68" s="5"/>
      <c r="N68" s="2"/>
    </row>
    <row r="69" spans="1:14" x14ac:dyDescent="0.25">
      <c r="A69" s="2">
        <f>IFERROR(parent_children_2[[#This Row],[parent_children_id]],"")</f>
        <v>68</v>
      </c>
      <c r="B69" s="2" t="str">
        <f>IFERROR(VLOOKUP(parent_children_2[[#This Row],[parent_id]],abbreviation[],3,FALSE),"")</f>
        <v>heat exchanger</v>
      </c>
      <c r="C69" s="2" t="str">
        <f>IFERROR(VLOOKUP(parent_children_2[[#This Row],[children_id]],abbreviation[],ColumnLanguage+1,FALSE),"")</f>
        <v>Primär</v>
      </c>
      <c r="E69" s="18">
        <v>68</v>
      </c>
      <c r="F69" s="18">
        <v>26</v>
      </c>
      <c r="G69" s="18">
        <v>113</v>
      </c>
      <c r="H69" s="5"/>
      <c r="N69" s="2"/>
    </row>
    <row r="70" spans="1:14" x14ac:dyDescent="0.25">
      <c r="A70" s="2">
        <f>IFERROR(parent_children_2[[#This Row],[parent_children_id]],"")</f>
        <v>69</v>
      </c>
      <c r="B70" s="2" t="str">
        <f>IFERROR(VLOOKUP(parent_children_2[[#This Row],[parent_id]],abbreviation[],3,FALSE),"")</f>
        <v>heat exchanger</v>
      </c>
      <c r="C70" s="2" t="str">
        <f>IFERROR(VLOOKUP(parent_children_2[[#This Row],[children_id]],abbreviation[],ColumnLanguage+1,FALSE),"")</f>
        <v>Sekundär</v>
      </c>
      <c r="E70" s="18">
        <v>69</v>
      </c>
      <c r="F70" s="18">
        <v>26</v>
      </c>
      <c r="G70" s="18">
        <v>114</v>
      </c>
      <c r="H70" s="5"/>
      <c r="N70" s="2"/>
    </row>
    <row r="71" spans="1:14" x14ac:dyDescent="0.25">
      <c r="A71" s="2">
        <f>IFERROR(parent_children_2[[#This Row],[parent_children_id]],"")</f>
        <v>70</v>
      </c>
      <c r="B71" s="2" t="str">
        <f>IFERROR(VLOOKUP(parent_children_2[[#This Row],[parent_id]],abbreviation[],3,FALSE),"")</f>
        <v>heat exchanger</v>
      </c>
      <c r="C71" s="2" t="str">
        <f>IFERROR(VLOOKUP(parent_children_2[[#This Row],[children_id]],abbreviation[],ColumnLanguage+1,FALSE),"")</f>
        <v>Trinkwasser, kalt</v>
      </c>
      <c r="E71" s="18">
        <v>70</v>
      </c>
      <c r="F71" s="18">
        <v>26</v>
      </c>
      <c r="G71" s="18">
        <v>115</v>
      </c>
      <c r="H71" s="5"/>
      <c r="N71" s="2"/>
    </row>
    <row r="72" spans="1:14" x14ac:dyDescent="0.25">
      <c r="A72" s="2">
        <f>IFERROR(parent_children_2[[#This Row],[parent_children_id]],"")</f>
        <v>71</v>
      </c>
      <c r="B72" s="2" t="str">
        <f>IFERROR(VLOOKUP(parent_children_2[[#This Row],[parent_id]],abbreviation[],3,FALSE),"")</f>
        <v>heat exchanger</v>
      </c>
      <c r="C72" s="2" t="str">
        <f>IFERROR(VLOOKUP(parent_children_2[[#This Row],[children_id]],abbreviation[],ColumnLanguage+1,FALSE),"")</f>
        <v>Nichttrinkwasser</v>
      </c>
      <c r="E72" s="18">
        <v>71</v>
      </c>
      <c r="F72" s="18">
        <v>26</v>
      </c>
      <c r="G72" s="18">
        <v>118</v>
      </c>
      <c r="H72" s="5"/>
      <c r="N72" s="2"/>
    </row>
    <row r="73" spans="1:14" x14ac:dyDescent="0.25">
      <c r="A73" s="2">
        <f>IFERROR(parent_children_2[[#This Row],[parent_children_id]],"")</f>
        <v>72</v>
      </c>
      <c r="B73" s="2" t="str">
        <f>IFERROR(VLOOKUP(parent_children_2[[#This Row],[parent_id]],abbreviation[],3,FALSE),"")</f>
        <v>heat exchanger</v>
      </c>
      <c r="C73" s="2" t="str">
        <f>IFERROR(VLOOKUP(parent_children_2[[#This Row],[children_id]],abbreviation[],ColumnLanguage+1,FALSE),"")</f>
        <v>Zu</v>
      </c>
      <c r="E73" s="18">
        <v>72</v>
      </c>
      <c r="F73" s="18">
        <v>26</v>
      </c>
      <c r="G73" s="18">
        <v>119</v>
      </c>
      <c r="H73" s="5"/>
      <c r="N73" s="2"/>
    </row>
    <row r="74" spans="1:14" x14ac:dyDescent="0.25">
      <c r="A74" s="2">
        <f>IFERROR(parent_children_2[[#This Row],[parent_children_id]],"")</f>
        <v>73</v>
      </c>
      <c r="B74" s="2" t="str">
        <f>IFERROR(VLOOKUP(parent_children_2[[#This Row],[parent_id]],abbreviation[],3,FALSE),"")</f>
        <v>cooling tower</v>
      </c>
      <c r="C74" s="2" t="str">
        <f>IFERROR(VLOOKUP(parent_children_2[[#This Row],[children_id]],abbreviation[],ColumnLanguage+1,FALSE),"")</f>
        <v>Öl</v>
      </c>
      <c r="E74" s="18">
        <v>73</v>
      </c>
      <c r="F74" s="18">
        <v>14</v>
      </c>
      <c r="G74" s="18">
        <v>109</v>
      </c>
      <c r="H74" s="5"/>
      <c r="N74" s="2"/>
    </row>
    <row r="75" spans="1:14" x14ac:dyDescent="0.25">
      <c r="A75" s="2">
        <f>IFERROR(parent_children_2[[#This Row],[parent_children_id]],"")</f>
        <v>74</v>
      </c>
      <c r="B75" s="2" t="str">
        <f>IFERROR(VLOOKUP(parent_children_2[[#This Row],[parent_id]],abbreviation[],3,FALSE),"")</f>
        <v>cooling tower</v>
      </c>
      <c r="C75" s="2" t="str">
        <f>IFERROR(VLOOKUP(parent_children_2[[#This Row],[children_id]],abbreviation[],ColumnLanguage+1,FALSE),"")</f>
        <v>Zu und Ab</v>
      </c>
      <c r="E75" s="18">
        <v>74</v>
      </c>
      <c r="F75" s="18">
        <v>14</v>
      </c>
      <c r="G75" s="18">
        <v>120</v>
      </c>
      <c r="H75" s="5"/>
      <c r="N75" s="2"/>
    </row>
    <row r="76" spans="1:14" x14ac:dyDescent="0.25">
      <c r="A76" s="2">
        <f>IFERROR(parent_children_2[[#This Row],[parent_children_id]],"")</f>
        <v>75</v>
      </c>
      <c r="B76" s="2" t="str">
        <f>IFERROR(VLOOKUP(parent_children_2[[#This Row],[parent_id]],abbreviation[],3,FALSE),"")</f>
        <v>cooling tower</v>
      </c>
      <c r="C76" s="2" t="str">
        <f>IFERROR(VLOOKUP(parent_children_2[[#This Row],[children_id]],abbreviation[],ColumnLanguage+1,FALSE),"")</f>
        <v>Fort</v>
      </c>
      <c r="E76" s="18">
        <v>75</v>
      </c>
      <c r="F76" s="18">
        <v>14</v>
      </c>
      <c r="G76" s="18">
        <v>121</v>
      </c>
      <c r="H76" s="5"/>
      <c r="N76" s="2"/>
    </row>
    <row r="77" spans="1:14" x14ac:dyDescent="0.25">
      <c r="A77" s="2">
        <f>IFERROR(parent_children_2[[#This Row],[parent_children_id]],"")</f>
        <v>76</v>
      </c>
      <c r="B77" s="2" t="str">
        <f>IFERROR(VLOOKUP(parent_children_2[[#This Row],[parent_id]],abbreviation[],3,FALSE),"")</f>
        <v>cooling tower</v>
      </c>
      <c r="C77" s="2" t="str">
        <f>IFERROR(VLOOKUP(parent_children_2[[#This Row],[children_id]],abbreviation[],ColumnLanguage+1,FALSE),"")</f>
        <v>Absperr</v>
      </c>
      <c r="E77" s="18">
        <v>76</v>
      </c>
      <c r="F77" s="18">
        <v>14</v>
      </c>
      <c r="G77" s="18">
        <v>76</v>
      </c>
      <c r="H77" s="5"/>
      <c r="N77" s="2"/>
    </row>
    <row r="78" spans="1:14" x14ac:dyDescent="0.25">
      <c r="A78" s="2">
        <f>IFERROR(parent_children_2[[#This Row],[parent_children_id]],"")</f>
        <v>77</v>
      </c>
      <c r="B78" s="2" t="str">
        <f>IFERROR(VLOOKUP(parent_children_2[[#This Row],[parent_id]],abbreviation[],3,FALSE),"")</f>
        <v>cooling tower</v>
      </c>
      <c r="C78" s="2" t="str">
        <f>IFERROR(VLOOKUP(parent_children_2[[#This Row],[children_id]],abbreviation[],ColumnLanguage+1,FALSE),"")</f>
        <v>Kühl</v>
      </c>
      <c r="E78" s="18">
        <v>77</v>
      </c>
      <c r="F78" s="18">
        <v>14</v>
      </c>
      <c r="G78" s="18">
        <v>112</v>
      </c>
      <c r="H78" s="5"/>
      <c r="N78" s="2"/>
    </row>
    <row r="79" spans="1:14" x14ac:dyDescent="0.25">
      <c r="A79" s="2">
        <f>IFERROR(parent_children_2[[#This Row],[parent_children_id]],"")</f>
        <v>78</v>
      </c>
      <c r="B79" s="2" t="str">
        <f>IFERROR(VLOOKUP(parent_children_2[[#This Row],[parent_id]],abbreviation[],3,FALSE),"")</f>
        <v>cooling tower</v>
      </c>
      <c r="C79" s="2" t="str">
        <f>IFERROR(VLOOKUP(parent_children_2[[#This Row],[children_id]],abbreviation[],ColumnLanguage+1,FALSE),"")</f>
        <v>Frisch/Außen</v>
      </c>
      <c r="E79" s="18">
        <v>78</v>
      </c>
      <c r="F79" s="18">
        <v>14</v>
      </c>
      <c r="G79" s="18">
        <v>122</v>
      </c>
      <c r="H79" s="5"/>
      <c r="N79" s="2"/>
    </row>
    <row r="80" spans="1:14" x14ac:dyDescent="0.25">
      <c r="A80" s="2">
        <f>IFERROR(parent_children_2[[#This Row],[parent_children_id]],"")</f>
        <v>79</v>
      </c>
      <c r="B80" s="2" t="str">
        <f>IFERROR(VLOOKUP(parent_children_2[[#This Row],[parent_id]],abbreviation[],3,FALSE),"")</f>
        <v>cooling tower</v>
      </c>
      <c r="C80" s="2" t="str">
        <f>IFERROR(VLOOKUP(parent_children_2[[#This Row],[children_id]],abbreviation[],ColumnLanguage+1,FALSE),"")</f>
        <v>Primär</v>
      </c>
      <c r="E80" s="18">
        <v>79</v>
      </c>
      <c r="F80" s="18">
        <v>14</v>
      </c>
      <c r="G80" s="18">
        <v>113</v>
      </c>
      <c r="H80" s="5"/>
      <c r="N80" s="2"/>
    </row>
    <row r="81" spans="1:14" x14ac:dyDescent="0.25">
      <c r="A81" s="2">
        <f>IFERROR(parent_children_2[[#This Row],[parent_children_id]],"")</f>
        <v>80</v>
      </c>
      <c r="B81" s="2" t="str">
        <f>IFERROR(VLOOKUP(parent_children_2[[#This Row],[parent_id]],abbreviation[],3,FALSE),"")</f>
        <v>cooling tower</v>
      </c>
      <c r="C81" s="2" t="str">
        <f>IFERROR(VLOOKUP(parent_children_2[[#This Row],[children_id]],abbreviation[],ColumnLanguage+1,FALSE),"")</f>
        <v>Raum/Innen</v>
      </c>
      <c r="E81" s="18">
        <v>80</v>
      </c>
      <c r="F81" s="18">
        <v>14</v>
      </c>
      <c r="G81" s="18">
        <v>123</v>
      </c>
      <c r="H81" s="5"/>
      <c r="N81" s="2"/>
    </row>
    <row r="82" spans="1:14" x14ac:dyDescent="0.25">
      <c r="A82" s="2">
        <f>IFERROR(parent_children_2[[#This Row],[parent_children_id]],"")</f>
        <v>81</v>
      </c>
      <c r="B82" s="2" t="str">
        <f>IFERROR(VLOOKUP(parent_children_2[[#This Row],[parent_id]],abbreviation[],3,FALSE),"")</f>
        <v>cooling tower</v>
      </c>
      <c r="C82" s="2" t="str">
        <f>IFERROR(VLOOKUP(parent_children_2[[#This Row],[children_id]],abbreviation[],ColumnLanguage+1,FALSE),"")</f>
        <v>Nichttrinkwasser</v>
      </c>
      <c r="E82" s="18">
        <v>81</v>
      </c>
      <c r="F82" s="18">
        <v>14</v>
      </c>
      <c r="G82" s="18">
        <v>118</v>
      </c>
      <c r="H82" s="5"/>
      <c r="N82" s="2"/>
    </row>
    <row r="83" spans="1:14" x14ac:dyDescent="0.25">
      <c r="A83" s="2">
        <f>IFERROR(parent_children_2[[#This Row],[parent_children_id]],"")</f>
        <v>82</v>
      </c>
      <c r="B83" s="2" t="str">
        <f>IFERROR(VLOOKUP(parent_children_2[[#This Row],[parent_id]],abbreviation[],3,FALSE),"")</f>
        <v>cooling tower</v>
      </c>
      <c r="C83" s="2" t="str">
        <f>IFERROR(VLOOKUP(parent_children_2[[#This Row],[children_id]],abbreviation[],ColumnLanguage+1,FALSE),"")</f>
        <v>Zu</v>
      </c>
      <c r="E83" s="18">
        <v>82</v>
      </c>
      <c r="F83" s="18">
        <v>14</v>
      </c>
      <c r="G83" s="18">
        <v>119</v>
      </c>
      <c r="H83" s="5"/>
      <c r="N83" s="2"/>
    </row>
    <row r="84" spans="1:14" x14ac:dyDescent="0.25">
      <c r="A84" s="2">
        <f>IFERROR(parent_children_2[[#This Row],[parent_children_id]],"")</f>
        <v>83</v>
      </c>
      <c r="B84" s="2" t="str">
        <f>IFERROR(VLOOKUP(parent_children_2[[#This Row],[parent_id]],abbreviation[],3,FALSE),"")</f>
        <v>bypass</v>
      </c>
      <c r="C84" s="2" t="str">
        <f>IFERROR(VLOOKUP(parent_children_2[[#This Row],[children_id]],abbreviation[],ColumnLanguage+1,FALSE),"")</f>
        <v>Öl</v>
      </c>
      <c r="E84" s="18">
        <v>83</v>
      </c>
      <c r="F84" s="18">
        <v>105</v>
      </c>
      <c r="G84" s="18">
        <v>109</v>
      </c>
      <c r="H84" s="5"/>
      <c r="N84" s="2"/>
    </row>
    <row r="85" spans="1:14" x14ac:dyDescent="0.25">
      <c r="A85" s="2">
        <f>IFERROR(parent_children_2[[#This Row],[parent_children_id]],"")</f>
        <v>84</v>
      </c>
      <c r="B85" s="2" t="str">
        <f>IFERROR(VLOOKUP(parent_children_2[[#This Row],[parent_id]],abbreviation[],3,FALSE),"")</f>
        <v>bypass</v>
      </c>
      <c r="C85" s="2" t="str">
        <f>IFERROR(VLOOKUP(parent_children_2[[#This Row],[children_id]],abbreviation[],ColumnLanguage+1,FALSE),"")</f>
        <v>Zu und Ab</v>
      </c>
      <c r="E85" s="18">
        <v>84</v>
      </c>
      <c r="F85" s="18">
        <v>105</v>
      </c>
      <c r="G85" s="18">
        <v>120</v>
      </c>
      <c r="H85" s="5"/>
      <c r="N85" s="2"/>
    </row>
    <row r="86" spans="1:14" x14ac:dyDescent="0.25">
      <c r="A86" s="2">
        <f>IFERROR(parent_children_2[[#This Row],[parent_children_id]],"")</f>
        <v>85</v>
      </c>
      <c r="B86" s="2" t="str">
        <f>IFERROR(VLOOKUP(parent_children_2[[#This Row],[parent_id]],abbreviation[],3,FALSE),"")</f>
        <v>bypass</v>
      </c>
      <c r="C86" s="2" t="str">
        <f>IFERROR(VLOOKUP(parent_children_2[[#This Row],[children_id]],abbreviation[],ColumnLanguage+1,FALSE),"")</f>
        <v>Fort</v>
      </c>
      <c r="E86" s="18">
        <v>85</v>
      </c>
      <c r="F86" s="18">
        <v>105</v>
      </c>
      <c r="G86" s="18">
        <v>121</v>
      </c>
      <c r="H86" s="5"/>
      <c r="N86" s="2"/>
    </row>
    <row r="87" spans="1:14" x14ac:dyDescent="0.25">
      <c r="A87" s="2">
        <f>IFERROR(parent_children_2[[#This Row],[parent_children_id]],"")</f>
        <v>86</v>
      </c>
      <c r="B87" s="2" t="str">
        <f>IFERROR(VLOOKUP(parent_children_2[[#This Row],[parent_id]],abbreviation[],3,FALSE),"")</f>
        <v>bypass</v>
      </c>
      <c r="C87" s="2" t="str">
        <f>IFERROR(VLOOKUP(parent_children_2[[#This Row],[children_id]],abbreviation[],ColumnLanguage+1,FALSE),"")</f>
        <v>Absperr</v>
      </c>
      <c r="E87" s="18">
        <v>86</v>
      </c>
      <c r="F87" s="18">
        <v>105</v>
      </c>
      <c r="G87" s="18">
        <v>76</v>
      </c>
      <c r="H87" s="5"/>
      <c r="N87" s="2"/>
    </row>
    <row r="88" spans="1:14" x14ac:dyDescent="0.25">
      <c r="A88" s="2">
        <f>IFERROR(parent_children_2[[#This Row],[parent_children_id]],"")</f>
        <v>87</v>
      </c>
      <c r="B88" s="2" t="str">
        <f>IFERROR(VLOOKUP(parent_children_2[[#This Row],[parent_id]],abbreviation[],3,FALSE),"")</f>
        <v>bypass</v>
      </c>
      <c r="C88" s="2" t="str">
        <f>IFERROR(VLOOKUP(parent_children_2[[#This Row],[children_id]],abbreviation[],ColumnLanguage+1,FALSE),"")</f>
        <v>Kühl</v>
      </c>
      <c r="E88" s="18">
        <v>87</v>
      </c>
      <c r="F88" s="18">
        <v>105</v>
      </c>
      <c r="G88" s="18">
        <v>112</v>
      </c>
      <c r="H88" s="5"/>
      <c r="N88" s="2"/>
    </row>
    <row r="89" spans="1:14" x14ac:dyDescent="0.25">
      <c r="A89" s="2">
        <f>IFERROR(parent_children_2[[#This Row],[parent_children_id]],"")</f>
        <v>88</v>
      </c>
      <c r="B89" s="2" t="str">
        <f>IFERROR(VLOOKUP(parent_children_2[[#This Row],[parent_id]],abbreviation[],3,FALSE),"")</f>
        <v>bypass</v>
      </c>
      <c r="C89" s="2" t="str">
        <f>IFERROR(VLOOKUP(parent_children_2[[#This Row],[children_id]],abbreviation[],ColumnLanguage+1,FALSE),"")</f>
        <v>Frisch/Außen</v>
      </c>
      <c r="E89" s="18">
        <v>88</v>
      </c>
      <c r="F89" s="18">
        <v>105</v>
      </c>
      <c r="G89" s="18">
        <v>122</v>
      </c>
      <c r="H89" s="5"/>
      <c r="N89" s="2"/>
    </row>
    <row r="90" spans="1:14" x14ac:dyDescent="0.25">
      <c r="A90" s="2">
        <f>IFERROR(parent_children_2[[#This Row],[parent_children_id]],"")</f>
        <v>89</v>
      </c>
      <c r="B90" s="2" t="str">
        <f>IFERROR(VLOOKUP(parent_children_2[[#This Row],[parent_id]],abbreviation[],3,FALSE),"")</f>
        <v>bypass</v>
      </c>
      <c r="C90" s="2" t="str">
        <f>IFERROR(VLOOKUP(parent_children_2[[#This Row],[children_id]],abbreviation[],ColumnLanguage+1,FALSE),"")</f>
        <v>Primär</v>
      </c>
      <c r="E90" s="18">
        <v>89</v>
      </c>
      <c r="F90" s="18">
        <v>105</v>
      </c>
      <c r="G90" s="18">
        <v>113</v>
      </c>
      <c r="H90" s="5"/>
      <c r="N90" s="2"/>
    </row>
    <row r="91" spans="1:14" x14ac:dyDescent="0.25">
      <c r="A91" s="2">
        <f>IFERROR(parent_children_2[[#This Row],[parent_children_id]],"")</f>
        <v>90</v>
      </c>
      <c r="B91" s="2" t="str">
        <f>IFERROR(VLOOKUP(parent_children_2[[#This Row],[parent_id]],abbreviation[],3,FALSE),"")</f>
        <v>bypass</v>
      </c>
      <c r="C91" s="2" t="str">
        <f>IFERROR(VLOOKUP(parent_children_2[[#This Row],[children_id]],abbreviation[],ColumnLanguage+1,FALSE),"")</f>
        <v>Raum/Innen</v>
      </c>
      <c r="E91" s="18">
        <v>90</v>
      </c>
      <c r="F91" s="18">
        <v>105</v>
      </c>
      <c r="G91" s="18">
        <v>123</v>
      </c>
      <c r="H91" s="5"/>
      <c r="N91" s="2"/>
    </row>
    <row r="92" spans="1:14" x14ac:dyDescent="0.25">
      <c r="A92" s="2">
        <f>IFERROR(parent_children_2[[#This Row],[parent_children_id]],"")</f>
        <v>91</v>
      </c>
      <c r="B92" s="2" t="str">
        <f>IFERROR(VLOOKUP(parent_children_2[[#This Row],[parent_id]],abbreviation[],3,FALSE),"")</f>
        <v>bypass</v>
      </c>
      <c r="C92" s="2" t="str">
        <f>IFERROR(VLOOKUP(parent_children_2[[#This Row],[children_id]],abbreviation[],ColumnLanguage+1,FALSE),"")</f>
        <v>Nichttrinkwasser</v>
      </c>
      <c r="E92" s="18">
        <v>91</v>
      </c>
      <c r="F92" s="18">
        <v>105</v>
      </c>
      <c r="G92" s="18">
        <v>118</v>
      </c>
      <c r="H92" s="5"/>
      <c r="N92" s="2"/>
    </row>
    <row r="93" spans="1:14" x14ac:dyDescent="0.25">
      <c r="A93" s="2">
        <f>IFERROR(parent_children_2[[#This Row],[parent_children_id]],"")</f>
        <v>92</v>
      </c>
      <c r="B93" s="2" t="str">
        <f>IFERROR(VLOOKUP(parent_children_2[[#This Row],[parent_id]],abbreviation[],3,FALSE),"")</f>
        <v>bypass</v>
      </c>
      <c r="C93" s="2" t="str">
        <f>IFERROR(VLOOKUP(parent_children_2[[#This Row],[children_id]],abbreviation[],ColumnLanguage+1,FALSE),"")</f>
        <v>Zu</v>
      </c>
      <c r="E93" s="18">
        <v>92</v>
      </c>
      <c r="F93" s="18">
        <v>105</v>
      </c>
      <c r="G93" s="18">
        <v>119</v>
      </c>
      <c r="H93" s="5"/>
      <c r="N93" s="2"/>
    </row>
    <row r="94" spans="1:14" x14ac:dyDescent="0.25">
      <c r="A94" s="2">
        <f>IFERROR(parent_children_2[[#This Row],[parent_children_id]],"")</f>
        <v>93</v>
      </c>
      <c r="B94" s="2" t="str">
        <f>IFERROR(VLOOKUP(parent_children_2[[#This Row],[parent_id]],abbreviation[],3,FALSE),"")</f>
        <v>valve</v>
      </c>
      <c r="C94" s="2" t="str">
        <f>IFERROR(VLOOKUP(parent_children_2[[#This Row],[children_id]],abbreviation[],ColumnLanguage+1,FALSE),"")</f>
        <v>Öl</v>
      </c>
      <c r="E94" s="18">
        <v>93</v>
      </c>
      <c r="F94" s="18">
        <v>68</v>
      </c>
      <c r="G94" s="18">
        <v>109</v>
      </c>
      <c r="H94" s="5"/>
      <c r="N94" s="2"/>
    </row>
    <row r="95" spans="1:14" x14ac:dyDescent="0.25">
      <c r="A95" s="2">
        <f>IFERROR(parent_children_2[[#This Row],[parent_children_id]],"")</f>
        <v>94</v>
      </c>
      <c r="B95" s="2" t="str">
        <f>IFERROR(VLOOKUP(parent_children_2[[#This Row],[parent_id]],abbreviation[],3,FALSE),"")</f>
        <v>valve</v>
      </c>
      <c r="C95" s="2" t="str">
        <f>IFERROR(VLOOKUP(parent_children_2[[#This Row],[children_id]],abbreviation[],ColumnLanguage+1,FALSE),"")</f>
        <v>Zu und Ab</v>
      </c>
      <c r="E95" s="18">
        <v>94</v>
      </c>
      <c r="F95" s="18">
        <v>68</v>
      </c>
      <c r="G95" s="18">
        <v>120</v>
      </c>
      <c r="H95" s="5"/>
      <c r="N95" s="2"/>
    </row>
    <row r="96" spans="1:14" x14ac:dyDescent="0.25">
      <c r="A96" s="2">
        <f>IFERROR(parent_children_2[[#This Row],[parent_children_id]],"")</f>
        <v>95</v>
      </c>
      <c r="B96" s="2" t="str">
        <f>IFERROR(VLOOKUP(parent_children_2[[#This Row],[parent_id]],abbreviation[],3,FALSE),"")</f>
        <v>valve</v>
      </c>
      <c r="C96" s="2" t="str">
        <f>IFERROR(VLOOKUP(parent_children_2[[#This Row],[children_id]],abbreviation[],ColumnLanguage+1,FALSE),"")</f>
        <v>Fortluft Einzelraum</v>
      </c>
      <c r="E96" s="18">
        <v>95</v>
      </c>
      <c r="F96" s="18">
        <v>68</v>
      </c>
      <c r="G96" s="18">
        <v>133</v>
      </c>
      <c r="H96" s="5"/>
      <c r="N96" s="2"/>
    </row>
    <row r="97" spans="1:14" x14ac:dyDescent="0.25">
      <c r="A97" s="2">
        <f>IFERROR(parent_children_2[[#This Row],[parent_children_id]],"")</f>
        <v>96</v>
      </c>
      <c r="B97" s="2" t="str">
        <f>IFERROR(VLOOKUP(parent_children_2[[#This Row],[parent_id]],abbreviation[],3,FALSE),"")</f>
        <v>valve</v>
      </c>
      <c r="C97" s="2" t="str">
        <f>IFERROR(VLOOKUP(parent_children_2[[#This Row],[children_id]],abbreviation[],ColumnLanguage+1,FALSE),"")</f>
        <v>Fort</v>
      </c>
      <c r="E97" s="18">
        <v>96</v>
      </c>
      <c r="F97" s="18">
        <v>68</v>
      </c>
      <c r="G97" s="18">
        <v>121</v>
      </c>
      <c r="H97" s="5"/>
      <c r="N97" s="2"/>
    </row>
    <row r="98" spans="1:14" x14ac:dyDescent="0.25">
      <c r="A98" s="2">
        <f>IFERROR(parent_children_2[[#This Row],[parent_children_id]],"")</f>
        <v>97</v>
      </c>
      <c r="B98" s="2" t="str">
        <f>IFERROR(VLOOKUP(parent_children_2[[#This Row],[parent_id]],abbreviation[],3,FALSE),"")</f>
        <v>valve</v>
      </c>
      <c r="C98" s="2" t="str">
        <f>IFERROR(VLOOKUP(parent_children_2[[#This Row],[children_id]],abbreviation[],ColumnLanguage+1,FALSE),"")</f>
        <v>Absperr</v>
      </c>
      <c r="E98" s="18">
        <v>97</v>
      </c>
      <c r="F98" s="18">
        <v>68</v>
      </c>
      <c r="G98" s="18">
        <v>76</v>
      </c>
      <c r="H98" s="5"/>
      <c r="N98" s="2"/>
    </row>
    <row r="99" spans="1:14" x14ac:dyDescent="0.25">
      <c r="A99" s="2">
        <f>IFERROR(parent_children_2[[#This Row],[parent_children_id]],"")</f>
        <v>98</v>
      </c>
      <c r="B99" s="2" t="str">
        <f>IFERROR(VLOOKUP(parent_children_2[[#This Row],[parent_id]],abbreviation[],3,FALSE),"")</f>
        <v>valve</v>
      </c>
      <c r="C99" s="2" t="str">
        <f>IFERROR(VLOOKUP(parent_children_2[[#This Row],[children_id]],abbreviation[],ColumnLanguage+1,FALSE),"")</f>
        <v>Kühl</v>
      </c>
      <c r="E99" s="18">
        <v>98</v>
      </c>
      <c r="F99" s="18">
        <v>68</v>
      </c>
      <c r="G99" s="18">
        <v>112</v>
      </c>
      <c r="H99" s="5"/>
      <c r="N99" s="2"/>
    </row>
    <row r="100" spans="1:14" x14ac:dyDescent="0.25">
      <c r="A100" s="2">
        <f>IFERROR(parent_children_2[[#This Row],[parent_children_id]],"")</f>
        <v>99</v>
      </c>
      <c r="B100" s="2" t="str">
        <f>IFERROR(VLOOKUP(parent_children_2[[#This Row],[parent_id]],abbreviation[],3,FALSE),"")</f>
        <v>valve</v>
      </c>
      <c r="C100" s="2" t="str">
        <f>IFERROR(VLOOKUP(parent_children_2[[#This Row],[children_id]],abbreviation[],ColumnLanguage+1,FALSE),"")</f>
        <v>Frisch/Außen</v>
      </c>
      <c r="E100" s="18">
        <v>99</v>
      </c>
      <c r="F100" s="18">
        <v>68</v>
      </c>
      <c r="G100" s="18">
        <v>122</v>
      </c>
      <c r="H100" s="5"/>
      <c r="N100" s="2"/>
    </row>
    <row r="101" spans="1:14" x14ac:dyDescent="0.25">
      <c r="A101" s="2">
        <f>IFERROR(parent_children_2[[#This Row],[parent_children_id]],"")</f>
        <v>100</v>
      </c>
      <c r="B101" s="2" t="str">
        <f>IFERROR(VLOOKUP(parent_children_2[[#This Row],[parent_id]],abbreviation[],3,FALSE),"")</f>
        <v>valve</v>
      </c>
      <c r="C101" s="2" t="str">
        <f>IFERROR(VLOOKUP(parent_children_2[[#This Row],[children_id]],abbreviation[],ColumnLanguage+1,FALSE),"")</f>
        <v>Primär</v>
      </c>
      <c r="E101" s="18">
        <v>100</v>
      </c>
      <c r="F101" s="18">
        <v>68</v>
      </c>
      <c r="G101" s="18">
        <v>113</v>
      </c>
      <c r="H101" s="5"/>
      <c r="N101" s="2"/>
    </row>
    <row r="102" spans="1:14" x14ac:dyDescent="0.25">
      <c r="A102" s="4">
        <f>IFERROR(parent_children_2[[#This Row],[parent_children_id]],"")</f>
        <v>101</v>
      </c>
      <c r="B102" s="4" t="str">
        <f>IFERROR(VLOOKUP(parent_children_2[[#This Row],[parent_id]],abbreviation[],3,FALSE),"")</f>
        <v>valve</v>
      </c>
      <c r="C102" s="4" t="str">
        <f>IFERROR(VLOOKUP(parent_children_2[[#This Row],[children_id]],abbreviation[],ColumnLanguage+1,FALSE),"")</f>
        <v>Raum/Innen</v>
      </c>
      <c r="E102" s="18">
        <v>101</v>
      </c>
      <c r="F102" s="18">
        <v>68</v>
      </c>
      <c r="G102" s="18">
        <v>123</v>
      </c>
      <c r="H102" s="5"/>
      <c r="I102" t="s">
        <v>608</v>
      </c>
      <c r="J102" t="s">
        <v>608</v>
      </c>
      <c r="K102" t="s">
        <v>608</v>
      </c>
      <c r="N102" s="2"/>
    </row>
    <row r="103" spans="1:14" x14ac:dyDescent="0.25">
      <c r="A103" s="4">
        <f>IFERROR(parent_children_2[[#This Row],[parent_children_id]],"")</f>
        <v>102</v>
      </c>
      <c r="B103" s="4" t="str">
        <f>IFERROR(VLOOKUP(parent_children_2[[#This Row],[parent_id]],abbreviation[],3,FALSE),"")</f>
        <v>valve</v>
      </c>
      <c r="C103" s="4" t="str">
        <f>IFERROR(VLOOKUP(parent_children_2[[#This Row],[children_id]],abbreviation[],ColumnLanguage+1,FALSE),"")</f>
        <v>Nichttrinkwasser</v>
      </c>
      <c r="E103" s="18">
        <v>102</v>
      </c>
      <c r="F103" s="18">
        <v>68</v>
      </c>
      <c r="G103" s="18">
        <v>118</v>
      </c>
      <c r="H103" s="5"/>
      <c r="N103" s="2"/>
    </row>
    <row r="104" spans="1:14" x14ac:dyDescent="0.25">
      <c r="A104" s="4">
        <f>IFERROR(parent_children_2[[#This Row],[parent_children_id]],"")</f>
        <v>103</v>
      </c>
      <c r="B104" s="4" t="str">
        <f>IFERROR(VLOOKUP(parent_children_2[[#This Row],[parent_id]],abbreviation[],3,FALSE),"")</f>
        <v>valve</v>
      </c>
      <c r="C104" s="4" t="str">
        <f>IFERROR(VLOOKUP(parent_children_2[[#This Row],[children_id]],abbreviation[],ColumnLanguage+1,FALSE),"")</f>
        <v>Zu</v>
      </c>
      <c r="E104" s="18">
        <v>103</v>
      </c>
      <c r="F104" s="18">
        <v>68</v>
      </c>
      <c r="G104" s="18">
        <v>119</v>
      </c>
      <c r="H104" s="5"/>
      <c r="N104" s="2"/>
    </row>
    <row r="105" spans="1:14" x14ac:dyDescent="0.25">
      <c r="A105" s="4">
        <f>IFERROR(parent_children_2[[#This Row],[parent_children_id]],"")</f>
        <v>104</v>
      </c>
      <c r="B105" s="4" t="str">
        <f>IFERROR(VLOOKUP(parent_children_2[[#This Row],[parent_id]],abbreviation[],3,FALSE),"")</f>
        <v>free cooling</v>
      </c>
      <c r="C105" s="4" t="str">
        <f>IFERROR(VLOOKUP(parent_children_2[[#This Row],[children_id]],abbreviation[],ColumnLanguage+1,FALSE),"")</f>
        <v>Öl</v>
      </c>
      <c r="E105" s="18">
        <v>104</v>
      </c>
      <c r="F105" s="18">
        <v>7</v>
      </c>
      <c r="G105" s="18">
        <v>109</v>
      </c>
      <c r="H105" s="5"/>
      <c r="N105" s="2"/>
    </row>
    <row r="106" spans="1:14" x14ac:dyDescent="0.25">
      <c r="A106" s="4">
        <f>IFERROR(parent_children_2[[#This Row],[parent_children_id]],"")</f>
        <v>105</v>
      </c>
      <c r="B106" s="4" t="str">
        <f>IFERROR(VLOOKUP(parent_children_2[[#This Row],[parent_id]],abbreviation[],3,FALSE),"")</f>
        <v>free cooling</v>
      </c>
      <c r="C106" s="4" t="str">
        <f>IFERROR(VLOOKUP(parent_children_2[[#This Row],[children_id]],abbreviation[],ColumnLanguage+1,FALSE),"")</f>
        <v>Zu und Ab</v>
      </c>
      <c r="E106" s="18">
        <v>105</v>
      </c>
      <c r="F106" s="18">
        <v>7</v>
      </c>
      <c r="G106" s="18">
        <v>120</v>
      </c>
      <c r="H106" s="5"/>
      <c r="N106" s="2"/>
    </row>
    <row r="107" spans="1:14" x14ac:dyDescent="0.25">
      <c r="A107" s="4">
        <f>IFERROR(parent_children_2[[#This Row],[parent_children_id]],"")</f>
        <v>106</v>
      </c>
      <c r="B107" s="4" t="str">
        <f>IFERROR(VLOOKUP(parent_children_2[[#This Row],[parent_id]],abbreviation[],3,FALSE),"")</f>
        <v>free cooling</v>
      </c>
      <c r="C107" s="4" t="str">
        <f>IFERROR(VLOOKUP(parent_children_2[[#This Row],[children_id]],abbreviation[],ColumnLanguage+1,FALSE),"")</f>
        <v>Fort</v>
      </c>
      <c r="E107" s="18">
        <v>106</v>
      </c>
      <c r="F107" s="18">
        <v>7</v>
      </c>
      <c r="G107" s="18">
        <v>121</v>
      </c>
      <c r="H107" s="5"/>
      <c r="N107" s="2"/>
    </row>
    <row r="108" spans="1:14" x14ac:dyDescent="0.25">
      <c r="A108" s="4">
        <f>IFERROR(parent_children_2[[#This Row],[parent_children_id]],"")</f>
        <v>107</v>
      </c>
      <c r="B108" s="4" t="str">
        <f>IFERROR(VLOOKUP(parent_children_2[[#This Row],[parent_id]],abbreviation[],3,FALSE),"")</f>
        <v>free cooling</v>
      </c>
      <c r="C108" s="4" t="str">
        <f>IFERROR(VLOOKUP(parent_children_2[[#This Row],[children_id]],abbreviation[],ColumnLanguage+1,FALSE),"")</f>
        <v>Absperr</v>
      </c>
      <c r="E108" s="18">
        <v>107</v>
      </c>
      <c r="F108" s="18">
        <v>7</v>
      </c>
      <c r="G108" s="18">
        <v>76</v>
      </c>
      <c r="H108" s="5"/>
      <c r="N108" s="2"/>
    </row>
    <row r="109" spans="1:14" x14ac:dyDescent="0.25">
      <c r="A109" s="4">
        <f>IFERROR(parent_children_2[[#This Row],[parent_children_id]],"")</f>
        <v>108</v>
      </c>
      <c r="B109" s="4" t="str">
        <f>IFERROR(VLOOKUP(parent_children_2[[#This Row],[parent_id]],abbreviation[],3,FALSE),"")</f>
        <v>free cooling</v>
      </c>
      <c r="C109" s="4" t="str">
        <f>IFERROR(VLOOKUP(parent_children_2[[#This Row],[children_id]],abbreviation[],ColumnLanguage+1,FALSE),"")</f>
        <v>Kühl</v>
      </c>
      <c r="E109" s="18">
        <v>108</v>
      </c>
      <c r="F109" s="18">
        <v>7</v>
      </c>
      <c r="G109" s="18">
        <v>112</v>
      </c>
      <c r="H109" s="5"/>
      <c r="N109" s="2"/>
    </row>
    <row r="110" spans="1:14" x14ac:dyDescent="0.25">
      <c r="A110" s="4">
        <f>IFERROR(parent_children_2[[#This Row],[parent_children_id]],"")</f>
        <v>109</v>
      </c>
      <c r="B110" s="4" t="str">
        <f>IFERROR(VLOOKUP(parent_children_2[[#This Row],[parent_id]],abbreviation[],3,FALSE),"")</f>
        <v>free cooling</v>
      </c>
      <c r="C110" s="4" t="str">
        <f>IFERROR(VLOOKUP(parent_children_2[[#This Row],[children_id]],abbreviation[],ColumnLanguage+1,FALSE),"")</f>
        <v>Frisch/Außen</v>
      </c>
      <c r="E110" s="18">
        <v>109</v>
      </c>
      <c r="F110" s="18">
        <v>7</v>
      </c>
      <c r="G110" s="18">
        <v>122</v>
      </c>
      <c r="H110" s="5"/>
      <c r="N110" s="2"/>
    </row>
    <row r="111" spans="1:14" x14ac:dyDescent="0.25">
      <c r="A111" s="4">
        <f>IFERROR(parent_children_2[[#This Row],[parent_children_id]],"")</f>
        <v>110</v>
      </c>
      <c r="B111" s="4" t="str">
        <f>IFERROR(VLOOKUP(parent_children_2[[#This Row],[parent_id]],abbreviation[],3,FALSE),"")</f>
        <v>free cooling</v>
      </c>
      <c r="C111" s="4" t="str">
        <f>IFERROR(VLOOKUP(parent_children_2[[#This Row],[children_id]],abbreviation[],ColumnLanguage+1,FALSE),"")</f>
        <v>Primär</v>
      </c>
      <c r="E111" s="18">
        <v>110</v>
      </c>
      <c r="F111" s="18">
        <v>7</v>
      </c>
      <c r="G111" s="18">
        <v>113</v>
      </c>
      <c r="H111" s="5"/>
      <c r="N111" s="2"/>
    </row>
    <row r="112" spans="1:14" x14ac:dyDescent="0.25">
      <c r="A112" s="4">
        <f>IFERROR(parent_children_2[[#This Row],[parent_children_id]],"")</f>
        <v>111</v>
      </c>
      <c r="B112" s="4" t="str">
        <f>IFERROR(VLOOKUP(parent_children_2[[#This Row],[parent_id]],abbreviation[],3,FALSE),"")</f>
        <v>free cooling</v>
      </c>
      <c r="C112" s="4" t="str">
        <f>IFERROR(VLOOKUP(parent_children_2[[#This Row],[children_id]],abbreviation[],ColumnLanguage+1,FALSE),"")</f>
        <v>Raum/Innen</v>
      </c>
      <c r="E112" s="18">
        <v>111</v>
      </c>
      <c r="F112" s="18">
        <v>7</v>
      </c>
      <c r="G112" s="18">
        <v>123</v>
      </c>
      <c r="H112" s="5"/>
      <c r="N112" s="2"/>
    </row>
    <row r="113" spans="1:14" x14ac:dyDescent="0.25">
      <c r="A113" s="4">
        <f>IFERROR(parent_children_2[[#This Row],[parent_children_id]],"")</f>
        <v>112</v>
      </c>
      <c r="B113" s="4" t="str">
        <f>IFERROR(VLOOKUP(parent_children_2[[#This Row],[parent_id]],abbreviation[],3,FALSE),"")</f>
        <v>free cooling</v>
      </c>
      <c r="C113" s="4" t="str">
        <f>IFERROR(VLOOKUP(parent_children_2[[#This Row],[children_id]],abbreviation[],ColumnLanguage+1,FALSE),"")</f>
        <v>Nichttrinkwasser</v>
      </c>
      <c r="E113" s="18">
        <v>112</v>
      </c>
      <c r="F113" s="18">
        <v>7</v>
      </c>
      <c r="G113" s="18">
        <v>118</v>
      </c>
      <c r="H113" s="5"/>
      <c r="N113" s="2"/>
    </row>
    <row r="114" spans="1:14" x14ac:dyDescent="0.25">
      <c r="A114" s="4">
        <f>IFERROR(parent_children_2[[#This Row],[parent_children_id]],"")</f>
        <v>113</v>
      </c>
      <c r="B114" s="4" t="str">
        <f>IFERROR(VLOOKUP(parent_children_2[[#This Row],[parent_id]],abbreviation[],3,FALSE),"")</f>
        <v>free cooling</v>
      </c>
      <c r="C114" s="4" t="str">
        <f>IFERROR(VLOOKUP(parent_children_2[[#This Row],[children_id]],abbreviation[],ColumnLanguage+1,FALSE),"")</f>
        <v>Zu</v>
      </c>
      <c r="E114" s="18">
        <v>113</v>
      </c>
      <c r="F114" s="18">
        <v>7</v>
      </c>
      <c r="G114" s="18">
        <v>119</v>
      </c>
      <c r="H114" s="5"/>
      <c r="N114" s="2"/>
    </row>
    <row r="115" spans="1:14" x14ac:dyDescent="0.25">
      <c r="A115" s="4">
        <f>IFERROR(parent_children_2[[#This Row],[parent_children_id]],"")</f>
        <v>114</v>
      </c>
      <c r="B115" s="4" t="str">
        <f>IFERROR(VLOOKUP(parent_children_2[[#This Row],[parent_id]],abbreviation[],3,FALSE),"")</f>
        <v>status message</v>
      </c>
      <c r="C115" s="4" t="str">
        <f>IFERROR(VLOOKUP(parent_children_2[[#This Row],[children_id]],abbreviation[],ColumnLanguage+1,FALSE),"")</f>
        <v>Brandschutz</v>
      </c>
      <c r="E115" s="18">
        <v>114</v>
      </c>
      <c r="F115" s="18">
        <v>145</v>
      </c>
      <c r="G115" s="18">
        <v>81</v>
      </c>
      <c r="H115" s="5"/>
      <c r="N115" s="2"/>
    </row>
    <row r="116" spans="1:14" x14ac:dyDescent="0.25">
      <c r="A116" s="4">
        <f>IFERROR(parent_children_2[[#This Row],[parent_children_id]],"")</f>
        <v>115</v>
      </c>
      <c r="B116" s="4" t="str">
        <f>IFERROR(VLOOKUP(parent_children_2[[#This Row],[parent_id]],abbreviation[],3,FALSE),"")</f>
        <v>status message</v>
      </c>
      <c r="C116" s="4" t="str">
        <f>IFERROR(VLOOKUP(parent_children_2[[#This Row],[children_id]],abbreviation[],ColumnLanguage+1,FALSE),"")</f>
        <v>Absolute Feuchte</v>
      </c>
      <c r="E116" s="18">
        <v>115</v>
      </c>
      <c r="F116" s="18">
        <v>145</v>
      </c>
      <c r="G116" s="18">
        <v>82</v>
      </c>
      <c r="H116" s="5"/>
      <c r="N116" s="2"/>
    </row>
    <row r="117" spans="1:14" x14ac:dyDescent="0.25">
      <c r="A117" s="4">
        <f>IFERROR(parent_children_2[[#This Row],[parent_children_id]],"")</f>
        <v>116</v>
      </c>
      <c r="B117" s="4" t="str">
        <f>IFERROR(VLOOKUP(parent_children_2[[#This Row],[parent_id]],abbreviation[],3,FALSE),"")</f>
        <v>status message</v>
      </c>
      <c r="C117" s="4" t="str">
        <f>IFERROR(VLOOKUP(parent_children_2[[#This Row],[children_id]],abbreviation[],ColumnLanguage+1,FALSE),"")</f>
        <v>Störung</v>
      </c>
      <c r="E117" s="18">
        <v>116</v>
      </c>
      <c r="F117" s="18">
        <v>145</v>
      </c>
      <c r="G117" s="18">
        <v>149</v>
      </c>
      <c r="H117" s="5"/>
      <c r="N117" s="2"/>
    </row>
    <row r="118" spans="1:14" x14ac:dyDescent="0.25">
      <c r="A118" s="4">
        <f>IFERROR(parent_children_2[[#This Row],[parent_children_id]],"")</f>
        <v>117</v>
      </c>
      <c r="B118" s="4" t="str">
        <f>IFERROR(VLOOKUP(parent_children_2[[#This Row],[parent_id]],abbreviation[],3,FALSE),"")</f>
        <v>status message</v>
      </c>
      <c r="C118" s="4" t="str">
        <f>IFERROR(VLOOKUP(parent_children_2[[#This Row],[children_id]],abbreviation[],ColumnLanguage+1,FALSE),"")</f>
        <v>Betriebszeit/-stunden</v>
      </c>
      <c r="E118" s="18">
        <v>117</v>
      </c>
      <c r="F118" s="18">
        <v>145</v>
      </c>
      <c r="G118" s="18">
        <v>150</v>
      </c>
      <c r="H118" s="5"/>
      <c r="N118" s="2"/>
    </row>
    <row r="119" spans="1:14" x14ac:dyDescent="0.25">
      <c r="A119" s="4">
        <f>IFERROR(parent_children_2[[#This Row],[parent_children_id]],"")</f>
        <v>118</v>
      </c>
      <c r="B119" s="4" t="str">
        <f>IFERROR(VLOOKUP(parent_children_2[[#This Row],[parent_id]],abbreviation[],3,FALSE),"")</f>
        <v>status message</v>
      </c>
      <c r="C119" s="4" t="str">
        <f>IFERROR(VLOOKUP(parent_children_2[[#This Row],[children_id]],abbreviation[],ColumnLanguage+1,FALSE),"")</f>
        <v>Beleuchtungsstärke</v>
      </c>
      <c r="E119" s="18">
        <v>118</v>
      </c>
      <c r="F119" s="18">
        <v>145</v>
      </c>
      <c r="G119" s="18">
        <v>83</v>
      </c>
      <c r="H119" s="5"/>
      <c r="N119" s="2"/>
    </row>
    <row r="120" spans="1:14" x14ac:dyDescent="0.25">
      <c r="A120" s="4">
        <f>IFERROR(parent_children_2[[#This Row],[parent_children_id]],"")</f>
        <v>119</v>
      </c>
      <c r="B120" s="4" t="str">
        <f>IFERROR(VLOOKUP(parent_children_2[[#This Row],[parent_id]],abbreviation[],3,FALSE),"")</f>
        <v>status message</v>
      </c>
      <c r="C120" s="4" t="str">
        <f>IFERROR(VLOOKUP(parent_children_2[[#This Row],[children_id]],abbreviation[],ColumnLanguage+1,FALSE),"")</f>
        <v>Druck</v>
      </c>
      <c r="E120" s="18">
        <v>119</v>
      </c>
      <c r="F120" s="18">
        <v>145</v>
      </c>
      <c r="G120" s="18">
        <v>84</v>
      </c>
      <c r="H120" s="5"/>
      <c r="N120" s="2"/>
    </row>
    <row r="121" spans="1:14" x14ac:dyDescent="0.25">
      <c r="A121" s="4">
        <f>IFERROR(parent_children_2[[#This Row],[parent_children_id]],"")</f>
        <v>120</v>
      </c>
      <c r="B121" s="4" t="str">
        <f>IFERROR(VLOOKUP(parent_children_2[[#This Row],[parent_id]],abbreviation[],3,FALSE),"")</f>
        <v>status message</v>
      </c>
      <c r="C121" s="4" t="str">
        <f>IFERROR(VLOOKUP(parent_children_2[[#This Row],[children_id]],abbreviation[],ColumnLanguage+1,FALSE),"")</f>
        <v>Druckdifferenz</v>
      </c>
      <c r="E121" s="18">
        <v>120</v>
      </c>
      <c r="F121" s="18">
        <v>145</v>
      </c>
      <c r="G121" s="18">
        <v>85</v>
      </c>
      <c r="H121" s="5"/>
      <c r="N121" s="2"/>
    </row>
    <row r="122" spans="1:14" x14ac:dyDescent="0.25">
      <c r="A122" s="4">
        <f>IFERROR(parent_children_2[[#This Row],[parent_children_id]],"")</f>
        <v>121</v>
      </c>
      <c r="B122" s="4" t="str">
        <f>IFERROR(VLOOKUP(parent_children_2[[#This Row],[parent_id]],abbreviation[],3,FALSE),"")</f>
        <v>status message</v>
      </c>
      <c r="C122" s="4" t="str">
        <f>IFERROR(VLOOKUP(parent_children_2[[#This Row],[children_id]],abbreviation[],ColumnLanguage+1,FALSE),"")</f>
        <v>Drehzahl</v>
      </c>
      <c r="E122" s="18">
        <v>121</v>
      </c>
      <c r="F122" s="18">
        <v>145</v>
      </c>
      <c r="G122" s="18">
        <v>151</v>
      </c>
      <c r="H122" s="5"/>
      <c r="N122" s="2"/>
    </row>
    <row r="123" spans="1:14" x14ac:dyDescent="0.25">
      <c r="A123" s="4">
        <f>IFERROR(parent_children_2[[#This Row],[parent_children_id]],"")</f>
        <v>122</v>
      </c>
      <c r="B123" s="4" t="str">
        <f>IFERROR(VLOOKUP(parent_children_2[[#This Row],[parent_id]],abbreviation[],3,FALSE),"")</f>
        <v>status message</v>
      </c>
      <c r="C123" s="4" t="str">
        <f>IFERROR(VLOOKUP(parent_children_2[[#This Row],[children_id]],abbreviation[],ColumnLanguage+1,FALSE),"")</f>
        <v>Förderhöhe</v>
      </c>
      <c r="E123" s="18">
        <v>122</v>
      </c>
      <c r="F123" s="18">
        <v>145</v>
      </c>
      <c r="G123" s="18">
        <v>152</v>
      </c>
      <c r="H123" s="5"/>
      <c r="N123" s="2"/>
    </row>
    <row r="124" spans="1:14" x14ac:dyDescent="0.25">
      <c r="A124" s="4">
        <f>IFERROR(parent_children_2[[#This Row],[parent_children_id]],"")</f>
        <v>123</v>
      </c>
      <c r="B124" s="4" t="str">
        <f>IFERROR(VLOOKUP(parent_children_2[[#This Row],[parent_id]],abbreviation[],3,FALSE),"")</f>
        <v>status message</v>
      </c>
      <c r="C124" s="4" t="str">
        <f>IFERROR(VLOOKUP(parent_children_2[[#This Row],[children_id]],abbreviation[],ColumnLanguage+1,FALSE),"")</f>
        <v>Frostschutz</v>
      </c>
      <c r="E124" s="18">
        <v>123</v>
      </c>
      <c r="F124" s="18">
        <v>145</v>
      </c>
      <c r="G124" s="18">
        <v>87</v>
      </c>
      <c r="H124" s="5"/>
      <c r="N124" s="2"/>
    </row>
    <row r="125" spans="1:14" x14ac:dyDescent="0.25">
      <c r="A125" s="4">
        <f>IFERROR(parent_children_2[[#This Row],[parent_children_id]],"")</f>
        <v>124</v>
      </c>
      <c r="B125" s="4" t="str">
        <f>IFERROR(VLOOKUP(parent_children_2[[#This Row],[parent_id]],abbreviation[],3,FALSE),"")</f>
        <v>status message</v>
      </c>
      <c r="C125" s="4" t="str">
        <f>IFERROR(VLOOKUP(parent_children_2[[#This Row],[children_id]],abbreviation[],ColumnLanguage+1,FALSE),"")</f>
        <v>Globalstrahlung</v>
      </c>
      <c r="E125" s="18">
        <v>124</v>
      </c>
      <c r="F125" s="18">
        <v>145</v>
      </c>
      <c r="G125" s="18">
        <v>88</v>
      </c>
      <c r="H125" s="5"/>
      <c r="N125" s="2"/>
    </row>
    <row r="126" spans="1:14" x14ac:dyDescent="0.25">
      <c r="A126" s="4">
        <f>IFERROR(parent_children_2[[#This Row],[parent_children_id]],"")</f>
        <v>125</v>
      </c>
      <c r="B126" s="4" t="str">
        <f>IFERROR(VLOOKUP(parent_children_2[[#This Row],[parent_id]],abbreviation[],3,FALSE),"")</f>
        <v>status message</v>
      </c>
      <c r="C126" s="4" t="str">
        <f>IFERROR(VLOOKUP(parent_children_2[[#This Row],[children_id]],abbreviation[],ColumnLanguage+1,FALSE),"")</f>
        <v>Füllstand</v>
      </c>
      <c r="E126" s="18">
        <v>125</v>
      </c>
      <c r="F126" s="18">
        <v>145</v>
      </c>
      <c r="G126" s="18">
        <v>153</v>
      </c>
      <c r="H126" s="5"/>
      <c r="N126" s="2"/>
    </row>
    <row r="127" spans="1:14" x14ac:dyDescent="0.25">
      <c r="A127" s="4">
        <f>IFERROR(parent_children_2[[#This Row],[parent_children_id]],"")</f>
        <v>126</v>
      </c>
      <c r="B127" s="4" t="str">
        <f>IFERROR(VLOOKUP(parent_children_2[[#This Row],[parent_id]],abbreviation[],3,FALSE),"")</f>
        <v>status message</v>
      </c>
      <c r="C127" s="4" t="str">
        <f>IFERROR(VLOOKUP(parent_children_2[[#This Row],[children_id]],abbreviation[],ColumnLanguage+1,FALSE),"")</f>
        <v>Heizleistung</v>
      </c>
      <c r="E127" s="18">
        <v>126</v>
      </c>
      <c r="F127" s="18">
        <v>145</v>
      </c>
      <c r="G127" s="18">
        <v>89</v>
      </c>
      <c r="H127" s="5"/>
      <c r="N127" s="2"/>
    </row>
    <row r="128" spans="1:14" x14ac:dyDescent="0.25">
      <c r="A128" s="4">
        <f>IFERROR(parent_children_2[[#This Row],[parent_children_id]],"")</f>
        <v>127</v>
      </c>
      <c r="B128" s="4" t="str">
        <f>IFERROR(VLOOKUP(parent_children_2[[#This Row],[parent_id]],abbreviation[],3,FALSE),"")</f>
        <v>status message</v>
      </c>
      <c r="C128" s="4" t="str">
        <f>IFERROR(VLOOKUP(parent_children_2[[#This Row],[children_id]],abbreviation[],ColumnLanguage+1,FALSE),"")</f>
        <v>Heiz-/Kühlleistung</v>
      </c>
      <c r="E128" s="18">
        <v>127</v>
      </c>
      <c r="F128" s="18">
        <v>145</v>
      </c>
      <c r="G128" s="18">
        <v>154</v>
      </c>
      <c r="H128" s="5"/>
      <c r="N128" s="2"/>
    </row>
    <row r="129" spans="1:14" x14ac:dyDescent="0.25">
      <c r="A129" s="4">
        <f>IFERROR(parent_children_2[[#This Row],[parent_children_id]],"")</f>
        <v>128</v>
      </c>
      <c r="B129" s="4" t="str">
        <f>IFERROR(VLOOKUP(parent_children_2[[#This Row],[parent_id]],abbreviation[],3,FALSE),"")</f>
        <v>status message</v>
      </c>
      <c r="C129" s="4" t="str">
        <f>IFERROR(VLOOKUP(parent_children_2[[#This Row],[children_id]],abbreviation[],ColumnLanguage+1,FALSE),"")</f>
        <v>Kohlenstoffdioxid (CO2)</v>
      </c>
      <c r="E129" s="18">
        <v>128</v>
      </c>
      <c r="F129" s="18">
        <v>145</v>
      </c>
      <c r="G129" s="18">
        <v>155</v>
      </c>
      <c r="H129" s="5"/>
      <c r="N129" s="2"/>
    </row>
    <row r="130" spans="1:14" x14ac:dyDescent="0.25">
      <c r="A130" s="4">
        <f>IFERROR(parent_children_2[[#This Row],[parent_children_id]],"")</f>
        <v>129</v>
      </c>
      <c r="B130" s="4" t="str">
        <f>IFERROR(VLOOKUP(parent_children_2[[#This Row],[parent_id]],abbreviation[],3,FALSE),"")</f>
        <v>status message</v>
      </c>
      <c r="C130" s="4" t="str">
        <f>IFERROR(VLOOKUP(parent_children_2[[#This Row],[children_id]],abbreviation[],ColumnLanguage+1,FALSE),"")</f>
        <v>Kältemenge</v>
      </c>
      <c r="E130" s="18">
        <v>129</v>
      </c>
      <c r="F130" s="18">
        <v>145</v>
      </c>
      <c r="G130" s="18">
        <v>90</v>
      </c>
      <c r="H130" s="5"/>
      <c r="N130" s="2"/>
    </row>
    <row r="131" spans="1:14" x14ac:dyDescent="0.25">
      <c r="A131" s="4">
        <f>IFERROR(parent_children_2[[#This Row],[parent_children_id]],"")</f>
        <v>130</v>
      </c>
      <c r="B131" s="4" t="str">
        <f>IFERROR(VLOOKUP(parent_children_2[[#This Row],[parent_id]],abbreviation[],3,FALSE),"")</f>
        <v>status message</v>
      </c>
      <c r="C131" s="4" t="str">
        <f>IFERROR(VLOOKUP(parent_children_2[[#This Row],[children_id]],abbreviation[],ColumnLanguage+1,FALSE),"")</f>
        <v>Kühlleistung</v>
      </c>
      <c r="E131" s="18">
        <v>130</v>
      </c>
      <c r="F131" s="18">
        <v>145</v>
      </c>
      <c r="G131" s="18">
        <v>91</v>
      </c>
      <c r="H131" s="5"/>
      <c r="N131" s="2"/>
    </row>
    <row r="132" spans="1:14" x14ac:dyDescent="0.25">
      <c r="A132" s="4">
        <f>IFERROR(parent_children_2[[#This Row],[parent_children_id]],"")</f>
        <v>131</v>
      </c>
      <c r="B132" s="4" t="str">
        <f>IFERROR(VLOOKUP(parent_children_2[[#This Row],[parent_id]],abbreviation[],3,FALSE),"")</f>
        <v>status message</v>
      </c>
      <c r="C132" s="4" t="str">
        <f>IFERROR(VLOOKUP(parent_children_2[[#This Row],[children_id]],abbreviation[],ColumnLanguage+1,FALSE),"")</f>
        <v>Kohlenstoffmonoxid (CO)</v>
      </c>
      <c r="E132" s="18">
        <v>131</v>
      </c>
      <c r="F132" s="18">
        <v>145</v>
      </c>
      <c r="G132" s="18">
        <v>156</v>
      </c>
      <c r="H132" s="5"/>
      <c r="N132" s="2"/>
    </row>
    <row r="133" spans="1:14" x14ac:dyDescent="0.25">
      <c r="A133" s="4">
        <f>IFERROR(parent_children_2[[#This Row],[parent_children_id]],"")</f>
        <v>132</v>
      </c>
      <c r="B133" s="4" t="str">
        <f>IFERROR(VLOOKUP(parent_children_2[[#This Row],[parent_id]],abbreviation[],3,FALSE),"")</f>
        <v>status message</v>
      </c>
      <c r="C133" s="4" t="str">
        <f>IFERROR(VLOOKUP(parent_children_2[[#This Row],[children_id]],abbreviation[],ColumnLanguage+1,FALSE),"")</f>
        <v>Massenstrom</v>
      </c>
      <c r="E133" s="18">
        <v>132</v>
      </c>
      <c r="F133" s="18">
        <v>145</v>
      </c>
      <c r="G133" s="18">
        <v>92</v>
      </c>
      <c r="H133" s="5"/>
      <c r="N133" s="2"/>
    </row>
    <row r="134" spans="1:14" x14ac:dyDescent="0.25">
      <c r="A134" s="4">
        <f>IFERROR(parent_children_2[[#This Row],[parent_children_id]],"")</f>
        <v>133</v>
      </c>
      <c r="B134" s="4" t="str">
        <f>IFERROR(VLOOKUP(parent_children_2[[#This Row],[parent_id]],abbreviation[],3,FALSE),"")</f>
        <v>status message</v>
      </c>
      <c r="C134" s="4" t="str">
        <f>IFERROR(VLOOKUP(parent_children_2[[#This Row],[children_id]],abbreviation[],ColumnLanguage+1,FALSE),"")</f>
        <v>Position</v>
      </c>
      <c r="E134" s="18">
        <v>133</v>
      </c>
      <c r="F134" s="18">
        <v>145</v>
      </c>
      <c r="G134" s="18">
        <v>157</v>
      </c>
      <c r="H134" s="5"/>
      <c r="N134" s="2"/>
    </row>
    <row r="135" spans="1:14" x14ac:dyDescent="0.25">
      <c r="A135" s="4">
        <f>IFERROR(parent_children_2[[#This Row],[parent_children_id]],"")</f>
        <v>134</v>
      </c>
      <c r="B135" s="4" t="str">
        <f>IFERROR(VLOOKUP(parent_children_2[[#This Row],[parent_id]],abbreviation[],3,FALSE),"")</f>
        <v>status message</v>
      </c>
      <c r="C135" s="4" t="str">
        <f>IFERROR(VLOOKUP(parent_children_2[[#This Row],[children_id]],abbreviation[],ColumnLanguage+1,FALSE),"")</f>
        <v>Rauch</v>
      </c>
      <c r="E135" s="18">
        <v>134</v>
      </c>
      <c r="F135" s="18">
        <v>145</v>
      </c>
      <c r="G135" s="18">
        <v>94</v>
      </c>
      <c r="H135" s="5"/>
      <c r="N135" s="2"/>
    </row>
    <row r="136" spans="1:14" x14ac:dyDescent="0.25">
      <c r="A136" s="4">
        <f>IFERROR(parent_children_2[[#This Row],[parent_children_id]],"")</f>
        <v>135</v>
      </c>
      <c r="B136" s="4" t="str">
        <f>IFERROR(VLOOKUP(parent_children_2[[#This Row],[parent_id]],abbreviation[],3,FALSE),"")</f>
        <v>status message</v>
      </c>
      <c r="C136" s="4" t="str">
        <f>IFERROR(VLOOKUP(parent_children_2[[#This Row],[children_id]],abbreviation[],ColumnLanguage+1,FALSE),"")</f>
        <v>Regen</v>
      </c>
      <c r="E136" s="18">
        <v>135</v>
      </c>
      <c r="F136" s="18">
        <v>145</v>
      </c>
      <c r="G136" s="18">
        <v>95</v>
      </c>
      <c r="H136" s="5"/>
      <c r="N136" s="2"/>
    </row>
    <row r="137" spans="1:14" x14ac:dyDescent="0.25">
      <c r="A137" s="4">
        <f>IFERROR(parent_children_2[[#This Row],[parent_children_id]],"")</f>
        <v>136</v>
      </c>
      <c r="B137" s="4" t="str">
        <f>IFERROR(VLOOKUP(parent_children_2[[#This Row],[parent_id]],abbreviation[],3,FALSE),"")</f>
        <v>status message</v>
      </c>
      <c r="C137" s="4" t="str">
        <f>IFERROR(VLOOKUP(parent_children_2[[#This Row],[children_id]],abbreviation[],ColumnLanguage+1,FALSE),"")</f>
        <v>Relative Feuchte</v>
      </c>
      <c r="E137" s="18">
        <v>136</v>
      </c>
      <c r="F137" s="18">
        <v>145</v>
      </c>
      <c r="G137" s="18">
        <v>96</v>
      </c>
      <c r="H137" s="5"/>
      <c r="N137" s="2"/>
    </row>
    <row r="138" spans="1:14" x14ac:dyDescent="0.25">
      <c r="A138" s="4">
        <f>IFERROR(parent_children_2[[#This Row],[parent_children_id]],"")</f>
        <v>137</v>
      </c>
      <c r="B138" s="4" t="str">
        <f>IFERROR(VLOOKUP(parent_children_2[[#This Row],[parent_id]],abbreviation[],3,FALSE),"")</f>
        <v>status message</v>
      </c>
      <c r="C138" s="4" t="str">
        <f>IFERROR(VLOOKUP(parent_children_2[[#This Row],[children_id]],abbreviation[],ColumnLanguage+1,FALSE),"")</f>
        <v>Elektrische Energie</v>
      </c>
      <c r="E138" s="18">
        <v>137</v>
      </c>
      <c r="F138" s="18">
        <v>145</v>
      </c>
      <c r="G138" s="18">
        <v>97</v>
      </c>
      <c r="H138" s="5"/>
      <c r="N138" s="2"/>
    </row>
    <row r="139" spans="1:14" x14ac:dyDescent="0.25">
      <c r="A139" s="4">
        <f>IFERROR(parent_children_2[[#This Row],[parent_children_id]],"")</f>
        <v>138</v>
      </c>
      <c r="B139" s="4" t="str">
        <f>IFERROR(VLOOKUP(parent_children_2[[#This Row],[parent_id]],abbreviation[],3,FALSE),"")</f>
        <v>status message</v>
      </c>
      <c r="C139" s="4" t="str">
        <f>IFERROR(VLOOKUP(parent_children_2[[#This Row],[children_id]],abbreviation[],ColumnLanguage+1,FALSE),"")</f>
        <v>Temperatur</v>
      </c>
      <c r="E139" s="18">
        <v>138</v>
      </c>
      <c r="F139" s="18">
        <v>145</v>
      </c>
      <c r="G139" s="18">
        <v>98</v>
      </c>
      <c r="H139" s="5"/>
      <c r="N139" s="2"/>
    </row>
    <row r="140" spans="1:14" x14ac:dyDescent="0.25">
      <c r="A140" s="4">
        <f>IFERROR(parent_children_2[[#This Row],[parent_children_id]],"")</f>
        <v>139</v>
      </c>
      <c r="B140" s="4" t="str">
        <f>IFERROR(VLOOKUP(parent_children_2[[#This Row],[parent_id]],abbreviation[],3,FALSE),"")</f>
        <v>status message</v>
      </c>
      <c r="C140" s="4" t="str">
        <f>IFERROR(VLOOKUP(parent_children_2[[#This Row],[children_id]],abbreviation[],ColumnLanguage+1,FALSE),"")</f>
        <v>Temperaturdifferenz</v>
      </c>
      <c r="E140" s="18">
        <v>139</v>
      </c>
      <c r="F140" s="18">
        <v>145</v>
      </c>
      <c r="G140" s="18">
        <v>99</v>
      </c>
      <c r="H140" s="5"/>
      <c r="N140" s="2"/>
    </row>
    <row r="141" spans="1:14" x14ac:dyDescent="0.25">
      <c r="A141" s="4">
        <f>IFERROR(parent_children_2[[#This Row],[parent_children_id]],"")</f>
        <v>140</v>
      </c>
      <c r="B141" s="4" t="str">
        <f>IFERROR(VLOOKUP(parent_children_2[[#This Row],[parent_id]],abbreviation[],3,FALSE),"")</f>
        <v>status message</v>
      </c>
      <c r="C141" s="4" t="str">
        <f>IFERROR(VLOOKUP(parent_children_2[[#This Row],[children_id]],abbreviation[],ColumnLanguage+1,FALSE),"")</f>
        <v>Volumenstrom</v>
      </c>
      <c r="E141" s="18">
        <v>140</v>
      </c>
      <c r="F141" s="18">
        <v>145</v>
      </c>
      <c r="G141" s="18">
        <v>100</v>
      </c>
      <c r="H141" s="5"/>
      <c r="N141" s="2"/>
    </row>
    <row r="142" spans="1:14" x14ac:dyDescent="0.25">
      <c r="A142" s="4">
        <f>IFERROR(parent_children_2[[#This Row],[parent_children_id]],"")</f>
        <v>141</v>
      </c>
      <c r="B142" s="4" t="str">
        <f>IFERROR(VLOOKUP(parent_children_2[[#This Row],[parent_id]],abbreviation[],3,FALSE),"")</f>
        <v>status message</v>
      </c>
      <c r="C142" s="4" t="str">
        <f>IFERROR(VLOOKUP(parent_children_2[[#This Row],[children_id]],abbreviation[],ColumnLanguage+1,FALSE),"")</f>
        <v>Wärmemenge</v>
      </c>
      <c r="E142" s="18">
        <v>141</v>
      </c>
      <c r="F142" s="18">
        <v>145</v>
      </c>
      <c r="G142" s="18">
        <v>101</v>
      </c>
      <c r="H142" s="5"/>
      <c r="N142" s="2"/>
    </row>
    <row r="143" spans="1:14" x14ac:dyDescent="0.25">
      <c r="A143" s="4">
        <f>IFERROR(parent_children_2[[#This Row],[parent_children_id]],"")</f>
        <v>142</v>
      </c>
      <c r="B143" s="4" t="str">
        <f>IFERROR(VLOOKUP(parent_children_2[[#This Row],[parent_id]],abbreviation[],3,FALSE),"")</f>
        <v>switching command</v>
      </c>
      <c r="C143" s="4" t="str">
        <f>IFERROR(VLOOKUP(parent_children_2[[#This Row],[children_id]],abbreviation[],ColumnLanguage+1,FALSE),"")</f>
        <v>Brandschutz</v>
      </c>
      <c r="E143" s="18">
        <v>142</v>
      </c>
      <c r="F143" s="18">
        <v>147</v>
      </c>
      <c r="G143" s="18">
        <v>81</v>
      </c>
      <c r="H143" s="5"/>
      <c r="N143" s="2"/>
    </row>
    <row r="144" spans="1:14" x14ac:dyDescent="0.25">
      <c r="A144" s="4">
        <f>IFERROR(parent_children_2[[#This Row],[parent_children_id]],"")</f>
        <v>143</v>
      </c>
      <c r="B144" s="4" t="str">
        <f>IFERROR(VLOOKUP(parent_children_2[[#This Row],[parent_id]],abbreviation[],3,FALSE),"")</f>
        <v>switching command</v>
      </c>
      <c r="C144" s="4" t="str">
        <f>IFERROR(VLOOKUP(parent_children_2[[#This Row],[children_id]],abbreviation[],ColumnLanguage+1,FALSE),"")</f>
        <v>Absolute Feuchte</v>
      </c>
      <c r="E144" s="18">
        <v>143</v>
      </c>
      <c r="F144" s="18">
        <v>147</v>
      </c>
      <c r="G144" s="18">
        <v>82</v>
      </c>
      <c r="H144" s="5"/>
      <c r="N144" s="2"/>
    </row>
    <row r="145" spans="1:14" x14ac:dyDescent="0.25">
      <c r="A145" s="4">
        <f>IFERROR(parent_children_2[[#This Row],[parent_children_id]],"")</f>
        <v>144</v>
      </c>
      <c r="B145" s="4" t="str">
        <f>IFERROR(VLOOKUP(parent_children_2[[#This Row],[parent_id]],abbreviation[],3,FALSE),"")</f>
        <v>switching command</v>
      </c>
      <c r="C145" s="4" t="str">
        <f>IFERROR(VLOOKUP(parent_children_2[[#This Row],[children_id]],abbreviation[],ColumnLanguage+1,FALSE),"")</f>
        <v>Betriebszeit/-stunden</v>
      </c>
      <c r="E145" s="18">
        <v>144</v>
      </c>
      <c r="F145" s="18">
        <v>147</v>
      </c>
      <c r="G145" s="18">
        <v>150</v>
      </c>
      <c r="H145" s="5"/>
      <c r="N145" s="2"/>
    </row>
    <row r="146" spans="1:14" x14ac:dyDescent="0.25">
      <c r="A146" s="4">
        <f>IFERROR(parent_children_2[[#This Row],[parent_children_id]],"")</f>
        <v>145</v>
      </c>
      <c r="B146" s="4" t="str">
        <f>IFERROR(VLOOKUP(parent_children_2[[#This Row],[parent_id]],abbreviation[],3,FALSE),"")</f>
        <v>switching command</v>
      </c>
      <c r="C146" s="4" t="str">
        <f>IFERROR(VLOOKUP(parent_children_2[[#This Row],[children_id]],abbreviation[],ColumnLanguage+1,FALSE),"")</f>
        <v>Beleuchtungsstärke</v>
      </c>
      <c r="E146" s="18">
        <v>145</v>
      </c>
      <c r="F146" s="18">
        <v>147</v>
      </c>
      <c r="G146" s="18">
        <v>83</v>
      </c>
      <c r="H146" s="5"/>
      <c r="N146" s="2"/>
    </row>
    <row r="147" spans="1:14" x14ac:dyDescent="0.25">
      <c r="A147" s="4">
        <f>IFERROR(parent_children_2[[#This Row],[parent_children_id]],"")</f>
        <v>146</v>
      </c>
      <c r="B147" s="4" t="str">
        <f>IFERROR(VLOOKUP(parent_children_2[[#This Row],[parent_id]],abbreviation[],3,FALSE),"")</f>
        <v>switching command</v>
      </c>
      <c r="C147" s="4" t="str">
        <f>IFERROR(VLOOKUP(parent_children_2[[#This Row],[children_id]],abbreviation[],ColumnLanguage+1,FALSE),"")</f>
        <v>Druck</v>
      </c>
      <c r="E147" s="18">
        <v>146</v>
      </c>
      <c r="F147" s="18">
        <v>147</v>
      </c>
      <c r="G147" s="18">
        <v>84</v>
      </c>
      <c r="H147" s="5"/>
      <c r="N147" s="2"/>
    </row>
    <row r="148" spans="1:14" x14ac:dyDescent="0.25">
      <c r="A148" s="4">
        <f>IFERROR(parent_children_2[[#This Row],[parent_children_id]],"")</f>
        <v>147</v>
      </c>
      <c r="B148" s="4" t="str">
        <f>IFERROR(VLOOKUP(parent_children_2[[#This Row],[parent_id]],abbreviation[],3,FALSE),"")</f>
        <v>switching command</v>
      </c>
      <c r="C148" s="4" t="str">
        <f>IFERROR(VLOOKUP(parent_children_2[[#This Row],[children_id]],abbreviation[],ColumnLanguage+1,FALSE),"")</f>
        <v>Druckdifferenz</v>
      </c>
      <c r="E148" s="18">
        <v>147</v>
      </c>
      <c r="F148" s="18">
        <v>147</v>
      </c>
      <c r="G148" s="18">
        <v>85</v>
      </c>
      <c r="H148" s="5"/>
      <c r="N148" s="2"/>
    </row>
    <row r="149" spans="1:14" x14ac:dyDescent="0.25">
      <c r="A149" s="4">
        <f>IFERROR(parent_children_2[[#This Row],[parent_children_id]],"")</f>
        <v>148</v>
      </c>
      <c r="B149" s="4" t="str">
        <f>IFERROR(VLOOKUP(parent_children_2[[#This Row],[parent_id]],abbreviation[],3,FALSE),"")</f>
        <v>switching command</v>
      </c>
      <c r="C149" s="4" t="str">
        <f>IFERROR(VLOOKUP(parent_children_2[[#This Row],[children_id]],abbreviation[],ColumnLanguage+1,FALSE),"")</f>
        <v>Drehzahl</v>
      </c>
      <c r="E149" s="18">
        <v>148</v>
      </c>
      <c r="F149" s="18">
        <v>147</v>
      </c>
      <c r="G149" s="18">
        <v>151</v>
      </c>
      <c r="H149" s="5"/>
      <c r="N149" s="2"/>
    </row>
    <row r="150" spans="1:14" x14ac:dyDescent="0.25">
      <c r="A150" s="4">
        <f>IFERROR(parent_children_2[[#This Row],[parent_children_id]],"")</f>
        <v>149</v>
      </c>
      <c r="B150" s="4" t="str">
        <f>IFERROR(VLOOKUP(parent_children_2[[#This Row],[parent_id]],abbreviation[],3,FALSE),"")</f>
        <v>switching command</v>
      </c>
      <c r="C150" s="4" t="str">
        <f>IFERROR(VLOOKUP(parent_children_2[[#This Row],[children_id]],abbreviation[],ColumnLanguage+1,FALSE),"")</f>
        <v>Förderhöhe</v>
      </c>
      <c r="E150" s="18">
        <v>149</v>
      </c>
      <c r="F150" s="18">
        <v>147</v>
      </c>
      <c r="G150" s="18">
        <v>152</v>
      </c>
      <c r="H150" s="5"/>
      <c r="N150" s="2"/>
    </row>
    <row r="151" spans="1:14" x14ac:dyDescent="0.25">
      <c r="A151" s="4">
        <f>IFERROR(parent_children_2[[#This Row],[parent_children_id]],"")</f>
        <v>150</v>
      </c>
      <c r="B151" s="4" t="str">
        <f>IFERROR(VLOOKUP(parent_children_2[[#This Row],[parent_id]],abbreviation[],3,FALSE),"")</f>
        <v>switching command</v>
      </c>
      <c r="C151" s="4" t="str">
        <f>IFERROR(VLOOKUP(parent_children_2[[#This Row],[children_id]],abbreviation[],ColumnLanguage+1,FALSE),"")</f>
        <v>Globalstrahlung</v>
      </c>
      <c r="E151" s="18">
        <v>150</v>
      </c>
      <c r="F151" s="18">
        <v>147</v>
      </c>
      <c r="G151" s="18">
        <v>88</v>
      </c>
      <c r="H151" s="5"/>
      <c r="N151" s="2"/>
    </row>
    <row r="152" spans="1:14" x14ac:dyDescent="0.25">
      <c r="A152" s="4">
        <f>IFERROR(parent_children_2[[#This Row],[parent_children_id]],"")</f>
        <v>151</v>
      </c>
      <c r="B152" s="4" t="str">
        <f>IFERROR(VLOOKUP(parent_children_2[[#This Row],[parent_id]],abbreviation[],3,FALSE),"")</f>
        <v>switching command</v>
      </c>
      <c r="C152" s="4" t="str">
        <f>IFERROR(VLOOKUP(parent_children_2[[#This Row],[children_id]],abbreviation[],ColumnLanguage+1,FALSE),"")</f>
        <v>Füllstand</v>
      </c>
      <c r="E152" s="18">
        <v>151</v>
      </c>
      <c r="F152" s="18">
        <v>147</v>
      </c>
      <c r="G152" s="18">
        <v>153</v>
      </c>
      <c r="H152" s="5"/>
      <c r="N152" s="2"/>
    </row>
    <row r="153" spans="1:14" x14ac:dyDescent="0.25">
      <c r="A153" s="4">
        <f>IFERROR(parent_children_2[[#This Row],[parent_children_id]],"")</f>
        <v>152</v>
      </c>
      <c r="B153" s="4" t="str">
        <f>IFERROR(VLOOKUP(parent_children_2[[#This Row],[parent_id]],abbreviation[],3,FALSE),"")</f>
        <v>switching command</v>
      </c>
      <c r="C153" s="4" t="str">
        <f>IFERROR(VLOOKUP(parent_children_2[[#This Row],[children_id]],abbreviation[],ColumnLanguage+1,FALSE),"")</f>
        <v>Heizleistung</v>
      </c>
      <c r="E153" s="18">
        <v>152</v>
      </c>
      <c r="F153" s="18">
        <v>147</v>
      </c>
      <c r="G153" s="18">
        <v>89</v>
      </c>
      <c r="H153" s="5"/>
      <c r="N153" s="2"/>
    </row>
    <row r="154" spans="1:14" x14ac:dyDescent="0.25">
      <c r="A154" s="4">
        <f>IFERROR(parent_children_2[[#This Row],[parent_children_id]],"")</f>
        <v>153</v>
      </c>
      <c r="B154" s="4" t="str">
        <f>IFERROR(VLOOKUP(parent_children_2[[#This Row],[parent_id]],abbreviation[],3,FALSE),"")</f>
        <v>switching command</v>
      </c>
      <c r="C154" s="4" t="str">
        <f>IFERROR(VLOOKUP(parent_children_2[[#This Row],[children_id]],abbreviation[],ColumnLanguage+1,FALSE),"")</f>
        <v>Heiz-/Kühlleistung</v>
      </c>
      <c r="E154" s="18">
        <v>153</v>
      </c>
      <c r="F154" s="18">
        <v>147</v>
      </c>
      <c r="G154" s="18">
        <v>154</v>
      </c>
      <c r="H154" s="5"/>
      <c r="N154" s="2"/>
    </row>
    <row r="155" spans="1:14" x14ac:dyDescent="0.25">
      <c r="A155" s="4">
        <f>IFERROR(parent_children_2[[#This Row],[parent_children_id]],"")</f>
        <v>154</v>
      </c>
      <c r="B155" s="4" t="str">
        <f>IFERROR(VLOOKUP(parent_children_2[[#This Row],[parent_id]],abbreviation[],3,FALSE),"")</f>
        <v>switching command</v>
      </c>
      <c r="C155" s="4" t="str">
        <f>IFERROR(VLOOKUP(parent_children_2[[#This Row],[children_id]],abbreviation[],ColumnLanguage+1,FALSE),"")</f>
        <v>Kohlenstoffdioxid (CO2)</v>
      </c>
      <c r="E155" s="18">
        <v>154</v>
      </c>
      <c r="F155" s="18">
        <v>147</v>
      </c>
      <c r="G155" s="18">
        <v>155</v>
      </c>
      <c r="H155" s="5"/>
      <c r="N155" s="2"/>
    </row>
    <row r="156" spans="1:14" x14ac:dyDescent="0.25">
      <c r="A156" s="4">
        <f>IFERROR(parent_children_2[[#This Row],[parent_children_id]],"")</f>
        <v>155</v>
      </c>
      <c r="B156" s="4" t="str">
        <f>IFERROR(VLOOKUP(parent_children_2[[#This Row],[parent_id]],abbreviation[],3,FALSE),"")</f>
        <v>switching command</v>
      </c>
      <c r="C156" s="4" t="str">
        <f>IFERROR(VLOOKUP(parent_children_2[[#This Row],[children_id]],abbreviation[],ColumnLanguage+1,FALSE),"")</f>
        <v>Kältemenge</v>
      </c>
      <c r="E156" s="18">
        <v>155</v>
      </c>
      <c r="F156" s="18">
        <v>147</v>
      </c>
      <c r="G156" s="18">
        <v>90</v>
      </c>
      <c r="H156" s="5"/>
      <c r="N156" s="2"/>
    </row>
    <row r="157" spans="1:14" x14ac:dyDescent="0.25">
      <c r="A157" s="4">
        <f>IFERROR(parent_children_2[[#This Row],[parent_children_id]],"")</f>
        <v>156</v>
      </c>
      <c r="B157" s="4" t="str">
        <f>IFERROR(VLOOKUP(parent_children_2[[#This Row],[parent_id]],abbreviation[],3,FALSE),"")</f>
        <v>switching command</v>
      </c>
      <c r="C157" s="4" t="str">
        <f>IFERROR(VLOOKUP(parent_children_2[[#This Row],[children_id]],abbreviation[],ColumnLanguage+1,FALSE),"")</f>
        <v>Kühlleistung</v>
      </c>
      <c r="E157" s="18">
        <v>156</v>
      </c>
      <c r="F157" s="18">
        <v>147</v>
      </c>
      <c r="G157" s="18">
        <v>91</v>
      </c>
      <c r="H157" s="5"/>
      <c r="N157" s="2"/>
    </row>
    <row r="158" spans="1:14" x14ac:dyDescent="0.25">
      <c r="A158" s="4">
        <f>IFERROR(parent_children_2[[#This Row],[parent_children_id]],"")</f>
        <v>157</v>
      </c>
      <c r="B158" s="4" t="str">
        <f>IFERROR(VLOOKUP(parent_children_2[[#This Row],[parent_id]],abbreviation[],3,FALSE),"")</f>
        <v>switching command</v>
      </c>
      <c r="C158" s="4" t="str">
        <f>IFERROR(VLOOKUP(parent_children_2[[#This Row],[children_id]],abbreviation[],ColumnLanguage+1,FALSE),"")</f>
        <v>Luftqualität</v>
      </c>
      <c r="E158" s="18">
        <v>157</v>
      </c>
      <c r="F158" s="18">
        <v>147</v>
      </c>
      <c r="G158" s="18">
        <v>158</v>
      </c>
      <c r="H158" s="5"/>
      <c r="N158" s="2"/>
    </row>
    <row r="159" spans="1:14" x14ac:dyDescent="0.25">
      <c r="A159" s="4">
        <f>IFERROR(parent_children_2[[#This Row],[parent_children_id]],"")</f>
        <v>158</v>
      </c>
      <c r="B159" s="4" t="str">
        <f>IFERROR(VLOOKUP(parent_children_2[[#This Row],[parent_id]],abbreviation[],3,FALSE),"")</f>
        <v>switching command</v>
      </c>
      <c r="C159" s="4" t="str">
        <f>IFERROR(VLOOKUP(parent_children_2[[#This Row],[children_id]],abbreviation[],ColumnLanguage+1,FALSE),"")</f>
        <v>Kohlenstoffmonoxid (CO)</v>
      </c>
      <c r="E159" s="18">
        <v>158</v>
      </c>
      <c r="F159" s="18">
        <v>147</v>
      </c>
      <c r="G159" s="18">
        <v>156</v>
      </c>
      <c r="H159" s="5"/>
      <c r="N159" s="2"/>
    </row>
    <row r="160" spans="1:14" x14ac:dyDescent="0.25">
      <c r="A160" s="4">
        <f>IFERROR(parent_children_2[[#This Row],[parent_children_id]],"")</f>
        <v>159</v>
      </c>
      <c r="B160" s="4" t="str">
        <f>IFERROR(VLOOKUP(parent_children_2[[#This Row],[parent_id]],abbreviation[],3,FALSE),"")</f>
        <v>switching command</v>
      </c>
      <c r="C160" s="4" t="str">
        <f>IFERROR(VLOOKUP(parent_children_2[[#This Row],[children_id]],abbreviation[],ColumnLanguage+1,FALSE),"")</f>
        <v>Regen</v>
      </c>
      <c r="E160" s="18">
        <v>159</v>
      </c>
      <c r="F160" s="18">
        <v>147</v>
      </c>
      <c r="G160" s="18">
        <v>95</v>
      </c>
      <c r="H160" s="5"/>
      <c r="N160" s="2"/>
    </row>
    <row r="161" spans="1:14" x14ac:dyDescent="0.25">
      <c r="A161" s="4">
        <f>IFERROR(parent_children_2[[#This Row],[parent_children_id]],"")</f>
        <v>160</v>
      </c>
      <c r="B161" s="4" t="str">
        <f>IFERROR(VLOOKUP(parent_children_2[[#This Row],[parent_id]],abbreviation[],3,FALSE),"")</f>
        <v>switching command</v>
      </c>
      <c r="C161" s="4" t="str">
        <f>IFERROR(VLOOKUP(parent_children_2[[#This Row],[children_id]],abbreviation[],ColumnLanguage+1,FALSE),"")</f>
        <v>Relative Feuchte</v>
      </c>
      <c r="E161" s="18">
        <v>160</v>
      </c>
      <c r="F161" s="18">
        <v>147</v>
      </c>
      <c r="G161" s="18">
        <v>96</v>
      </c>
      <c r="H161" s="5"/>
      <c r="N161" s="2"/>
    </row>
    <row r="162" spans="1:14" x14ac:dyDescent="0.25">
      <c r="A162" s="4">
        <f>IFERROR(parent_children_2[[#This Row],[parent_children_id]],"")</f>
        <v>161</v>
      </c>
      <c r="B162" s="4" t="str">
        <f>IFERROR(VLOOKUP(parent_children_2[[#This Row],[parent_id]],abbreviation[],3,FALSE),"")</f>
        <v>switching command</v>
      </c>
      <c r="C162" s="4" t="str">
        <f>IFERROR(VLOOKUP(parent_children_2[[#This Row],[children_id]],abbreviation[],ColumnLanguage+1,FALSE),"")</f>
        <v>Elektrische Energie</v>
      </c>
      <c r="E162" s="18">
        <v>161</v>
      </c>
      <c r="F162" s="18">
        <v>147</v>
      </c>
      <c r="G162" s="18">
        <v>97</v>
      </c>
      <c r="H162" s="5"/>
      <c r="N162" s="2"/>
    </row>
    <row r="163" spans="1:14" x14ac:dyDescent="0.25">
      <c r="A163" s="4">
        <f>IFERROR(parent_children_2[[#This Row],[parent_children_id]],"")</f>
        <v>162</v>
      </c>
      <c r="B163" s="4" t="str">
        <f>IFERROR(VLOOKUP(parent_children_2[[#This Row],[parent_id]],abbreviation[],3,FALSE),"")</f>
        <v>switching command</v>
      </c>
      <c r="C163" s="4" t="str">
        <f>IFERROR(VLOOKUP(parent_children_2[[#This Row],[children_id]],abbreviation[],ColumnLanguage+1,FALSE),"")</f>
        <v>Temperatur</v>
      </c>
      <c r="E163" s="18">
        <v>162</v>
      </c>
      <c r="F163" s="18">
        <v>147</v>
      </c>
      <c r="G163" s="18">
        <v>98</v>
      </c>
      <c r="H163" s="5"/>
      <c r="N163" s="2"/>
    </row>
    <row r="164" spans="1:14" x14ac:dyDescent="0.25">
      <c r="A164" s="4">
        <f>IFERROR(parent_children_2[[#This Row],[parent_children_id]],"")</f>
        <v>163</v>
      </c>
      <c r="B164" s="4" t="str">
        <f>IFERROR(VLOOKUP(parent_children_2[[#This Row],[parent_id]],abbreviation[],3,FALSE),"")</f>
        <v>switching command</v>
      </c>
      <c r="C164" s="4" t="str">
        <f>IFERROR(VLOOKUP(parent_children_2[[#This Row],[children_id]],abbreviation[],ColumnLanguage+1,FALSE),"")</f>
        <v>Temperaturdifferenz</v>
      </c>
      <c r="E164" s="18">
        <v>163</v>
      </c>
      <c r="F164" s="18">
        <v>147</v>
      </c>
      <c r="G164" s="18">
        <v>99</v>
      </c>
      <c r="H164" s="5"/>
      <c r="N164" s="2"/>
    </row>
    <row r="165" spans="1:14" x14ac:dyDescent="0.25">
      <c r="A165" s="4">
        <f>IFERROR(parent_children_2[[#This Row],[parent_children_id]],"")</f>
        <v>164</v>
      </c>
      <c r="B165" s="4" t="str">
        <f>IFERROR(VLOOKUP(parent_children_2[[#This Row],[parent_id]],abbreviation[],3,FALSE),"")</f>
        <v>switching command</v>
      </c>
      <c r="C165" s="4" t="str">
        <f>IFERROR(VLOOKUP(parent_children_2[[#This Row],[children_id]],abbreviation[],ColumnLanguage+1,FALSE),"")</f>
        <v>Volumenstrom</v>
      </c>
      <c r="E165" s="18">
        <v>164</v>
      </c>
      <c r="F165" s="18">
        <v>147</v>
      </c>
      <c r="G165" s="18">
        <v>100</v>
      </c>
      <c r="H165" s="5"/>
      <c r="N165" s="2"/>
    </row>
    <row r="166" spans="1:14" x14ac:dyDescent="0.25">
      <c r="A166" s="4">
        <f>IFERROR(parent_children_2[[#This Row],[parent_children_id]],"")</f>
        <v>165</v>
      </c>
      <c r="B166" s="4" t="str">
        <f>IFERROR(VLOOKUP(parent_children_2[[#This Row],[parent_id]],abbreviation[],3,FALSE),"")</f>
        <v>measured value</v>
      </c>
      <c r="C166" s="4" t="str">
        <f>IFERROR(VLOOKUP(parent_children_2[[#This Row],[children_id]],abbreviation[],ColumnLanguage+1,FALSE),"")</f>
        <v>Modus</v>
      </c>
      <c r="E166" s="18">
        <v>165</v>
      </c>
      <c r="F166" s="18">
        <v>146</v>
      </c>
      <c r="G166" s="18">
        <v>159</v>
      </c>
      <c r="H166" s="5"/>
      <c r="N166" s="2"/>
    </row>
    <row r="167" spans="1:14" x14ac:dyDescent="0.25">
      <c r="A167" s="4">
        <f>IFERROR(parent_children_2[[#This Row],[parent_children_id]],"")</f>
        <v>166</v>
      </c>
      <c r="B167" s="4" t="str">
        <f>IFERROR(VLOOKUP(parent_children_2[[#This Row],[parent_id]],abbreviation[],3,FALSE),"")</f>
        <v>measured value</v>
      </c>
      <c r="C167" s="4" t="str">
        <f>IFERROR(VLOOKUP(parent_children_2[[#This Row],[children_id]],abbreviation[],ColumnLanguage+1,FALSE),"")</f>
        <v>Ersatzbetrieb</v>
      </c>
      <c r="E167" s="18">
        <v>166</v>
      </c>
      <c r="F167" s="18">
        <v>146</v>
      </c>
      <c r="G167" s="18">
        <v>160</v>
      </c>
      <c r="H167" s="5"/>
      <c r="N167" s="2"/>
    </row>
    <row r="168" spans="1:14" x14ac:dyDescent="0.25">
      <c r="A168" s="4">
        <f>IFERROR(parent_children_2[[#This Row],[parent_children_id]],"")</f>
        <v>167</v>
      </c>
      <c r="B168" s="4" t="str">
        <f>IFERROR(VLOOKUP(parent_children_2[[#This Row],[parent_id]],abbreviation[],3,FALSE),"")</f>
        <v>measured value</v>
      </c>
      <c r="C168" s="4" t="str">
        <f>IFERROR(VLOOKUP(parent_children_2[[#This Row],[children_id]],abbreviation[],ColumnLanguage+1,FALSE),"")</f>
        <v>Freigabe</v>
      </c>
      <c r="E168" s="18">
        <v>167</v>
      </c>
      <c r="F168" s="18">
        <v>146</v>
      </c>
      <c r="G168" s="18">
        <v>161</v>
      </c>
      <c r="H168" s="5"/>
      <c r="N168" s="2"/>
    </row>
    <row r="169" spans="1:14" x14ac:dyDescent="0.25">
      <c r="A169" s="4">
        <f>IFERROR(parent_children_2[[#This Row],[parent_children_id]],"")</f>
        <v>168</v>
      </c>
      <c r="B169" s="4" t="str">
        <f>IFERROR(VLOOKUP(parent_children_2[[#This Row],[parent_id]],abbreviation[],3,FALSE),"")</f>
        <v>measured value</v>
      </c>
      <c r="C169" s="4" t="str">
        <f>IFERROR(VLOOKUP(parent_children_2[[#This Row],[children_id]],abbreviation[],ColumnLanguage+1,FALSE),"")</f>
        <v>Luftqualität</v>
      </c>
      <c r="E169" s="18">
        <v>168</v>
      </c>
      <c r="F169" s="18">
        <v>146</v>
      </c>
      <c r="G169" s="18">
        <v>158</v>
      </c>
      <c r="H169" s="5"/>
      <c r="N169" s="2"/>
    </row>
    <row r="170" spans="1:14" x14ac:dyDescent="0.25">
      <c r="A170" s="4">
        <f>IFERROR(parent_children_2[[#This Row],[parent_children_id]],"")</f>
        <v>169</v>
      </c>
      <c r="B170" s="4" t="str">
        <f>IFERROR(VLOOKUP(parent_children_2[[#This Row],[parent_id]],abbreviation[],3,FALSE),"")</f>
        <v>measured value</v>
      </c>
      <c r="C170" s="4" t="str">
        <f>IFERROR(VLOOKUP(parent_children_2[[#This Row],[children_id]],abbreviation[],ColumnLanguage+1,FALSE),"")</f>
        <v>geschlossen/schließen</v>
      </c>
      <c r="E170" s="18">
        <v>169</v>
      </c>
      <c r="F170" s="18">
        <v>146</v>
      </c>
      <c r="G170" s="18">
        <v>162</v>
      </c>
      <c r="H170" s="5"/>
      <c r="N170" s="2"/>
    </row>
    <row r="171" spans="1:14" x14ac:dyDescent="0.25">
      <c r="A171" s="4">
        <f>IFERROR(parent_children_2[[#This Row],[parent_children_id]],"")</f>
        <v>170</v>
      </c>
      <c r="B171" s="4" t="str">
        <f>IFERROR(VLOOKUP(parent_children_2[[#This Row],[parent_id]],abbreviation[],3,FALSE),"")</f>
        <v>measured value</v>
      </c>
      <c r="C171" s="4" t="str">
        <f>IFERROR(VLOOKUP(parent_children_2[[#This Row],[children_id]],abbreviation[],ColumnLanguage+1,FALSE),"")</f>
        <v>Netzbetrieb</v>
      </c>
      <c r="E171" s="18">
        <v>170</v>
      </c>
      <c r="F171" s="18">
        <v>146</v>
      </c>
      <c r="G171" s="18">
        <v>163</v>
      </c>
      <c r="H171" s="5"/>
      <c r="N171" s="2"/>
    </row>
    <row r="172" spans="1:14" x14ac:dyDescent="0.25">
      <c r="A172" s="4">
        <f>IFERROR(parent_children_2[[#This Row],[parent_children_id]],"")</f>
        <v>171</v>
      </c>
      <c r="B172" s="4" t="str">
        <f>IFERROR(VLOOKUP(parent_children_2[[#This Row],[parent_id]],abbreviation[],3,FALSE),"")</f>
        <v>alarm</v>
      </c>
      <c r="C172" s="4" t="str">
        <f>IFERROR(VLOOKUP(parent_children_2[[#This Row],[children_id]],abbreviation[],ColumnLanguage+1,FALSE),"")</f>
        <v>Modus</v>
      </c>
      <c r="E172" s="18">
        <v>171</v>
      </c>
      <c r="F172" s="18">
        <v>144</v>
      </c>
      <c r="G172" s="18">
        <v>159</v>
      </c>
      <c r="H172" s="5"/>
      <c r="N172" s="2"/>
    </row>
    <row r="173" spans="1:14" x14ac:dyDescent="0.25">
      <c r="A173" s="4">
        <f>IFERROR(parent_children_2[[#This Row],[parent_children_id]],"")</f>
        <v>172</v>
      </c>
      <c r="B173" s="4" t="str">
        <f>IFERROR(VLOOKUP(parent_children_2[[#This Row],[parent_id]],abbreviation[],3,FALSE),"")</f>
        <v>alarm</v>
      </c>
      <c r="C173" s="4" t="str">
        <f>IFERROR(VLOOKUP(parent_children_2[[#This Row],[children_id]],abbreviation[],ColumnLanguage+1,FALSE),"")</f>
        <v>Ersatzbetrieb</v>
      </c>
      <c r="E173" s="18">
        <v>172</v>
      </c>
      <c r="F173" s="18">
        <v>144</v>
      </c>
      <c r="G173" s="18">
        <v>160</v>
      </c>
      <c r="H173" s="5"/>
      <c r="N173" s="2"/>
    </row>
    <row r="174" spans="1:14" x14ac:dyDescent="0.25">
      <c r="A174" s="4">
        <f>IFERROR(parent_children_2[[#This Row],[parent_children_id]],"")</f>
        <v>173</v>
      </c>
      <c r="B174" s="4" t="str">
        <f>IFERROR(VLOOKUP(parent_children_2[[#This Row],[parent_id]],abbreviation[],3,FALSE),"")</f>
        <v>alarm</v>
      </c>
      <c r="C174" s="4" t="str">
        <f>IFERROR(VLOOKUP(parent_children_2[[#This Row],[children_id]],abbreviation[],ColumnLanguage+1,FALSE),"")</f>
        <v>Freigabe</v>
      </c>
      <c r="E174" s="18">
        <v>173</v>
      </c>
      <c r="F174" s="18">
        <v>144</v>
      </c>
      <c r="G174" s="18">
        <v>161</v>
      </c>
      <c r="H174" s="5"/>
      <c r="N174" s="2"/>
    </row>
    <row r="175" spans="1:14" x14ac:dyDescent="0.25">
      <c r="A175" s="4">
        <f>IFERROR(parent_children_2[[#This Row],[parent_children_id]],"")</f>
        <v>174</v>
      </c>
      <c r="B175" s="4" t="str">
        <f>IFERROR(VLOOKUP(parent_children_2[[#This Row],[parent_id]],abbreviation[],3,FALSE),"")</f>
        <v>alarm</v>
      </c>
      <c r="C175" s="4" t="str">
        <f>IFERROR(VLOOKUP(parent_children_2[[#This Row],[children_id]],abbreviation[],ColumnLanguage+1,FALSE),"")</f>
        <v>Luftqualität</v>
      </c>
      <c r="E175" s="18">
        <v>174</v>
      </c>
      <c r="F175" s="18">
        <v>144</v>
      </c>
      <c r="G175" s="18">
        <v>158</v>
      </c>
      <c r="H175" s="5"/>
      <c r="N175" s="2"/>
    </row>
    <row r="176" spans="1:14" x14ac:dyDescent="0.25">
      <c r="A176" s="4">
        <f>IFERROR(parent_children_2[[#This Row],[parent_children_id]],"")</f>
        <v>175</v>
      </c>
      <c r="B176" s="4" t="str">
        <f>IFERROR(VLOOKUP(parent_children_2[[#This Row],[parent_id]],abbreviation[],3,FALSE),"")</f>
        <v>alarm</v>
      </c>
      <c r="C176" s="4" t="str">
        <f>IFERROR(VLOOKUP(parent_children_2[[#This Row],[children_id]],abbreviation[],ColumnLanguage+1,FALSE),"")</f>
        <v>geschlossen/schließen</v>
      </c>
      <c r="E176" s="18">
        <v>175</v>
      </c>
      <c r="F176" s="18">
        <v>144</v>
      </c>
      <c r="G176" s="18">
        <v>162</v>
      </c>
      <c r="H176" s="5"/>
      <c r="N176" s="2"/>
    </row>
    <row r="177" spans="1:14" x14ac:dyDescent="0.25">
      <c r="A177" s="4">
        <f>IFERROR(parent_children_2[[#This Row],[parent_children_id]],"")</f>
        <v>176</v>
      </c>
      <c r="B177" s="4" t="str">
        <f>IFERROR(VLOOKUP(parent_children_2[[#This Row],[parent_id]],abbreviation[],3,FALSE),"")</f>
        <v>alarm</v>
      </c>
      <c r="C177" s="4" t="str">
        <f>IFERROR(VLOOKUP(parent_children_2[[#This Row],[children_id]],abbreviation[],ColumnLanguage+1,FALSE),"")</f>
        <v>Netzbetrieb</v>
      </c>
      <c r="E177" s="18">
        <v>176</v>
      </c>
      <c r="F177" s="18">
        <v>144</v>
      </c>
      <c r="G177" s="18">
        <v>163</v>
      </c>
      <c r="H177" s="5"/>
      <c r="N177" s="2"/>
    </row>
    <row r="178" spans="1:14" x14ac:dyDescent="0.25">
      <c r="A178" s="4">
        <f>IFERROR(parent_children_2[[#This Row],[parent_children_id]],"")</f>
        <v>177</v>
      </c>
      <c r="B178" s="4" t="str">
        <f>IFERROR(VLOOKUP(parent_children_2[[#This Row],[parent_id]],abbreviation[],3,FALSE),"")</f>
        <v>alarm</v>
      </c>
      <c r="C178" s="4" t="str">
        <f>IFERROR(VLOOKUP(parent_children_2[[#This Row],[children_id]],abbreviation[],ColumnLanguage+1,FALSE),"")</f>
        <v>Kohlenstoffmonoxid (CO)</v>
      </c>
      <c r="E178" s="18">
        <v>177</v>
      </c>
      <c r="F178" s="18">
        <v>144</v>
      </c>
      <c r="G178" s="18">
        <v>156</v>
      </c>
      <c r="H178" s="5"/>
      <c r="N178" s="2"/>
    </row>
    <row r="179" spans="1:14" x14ac:dyDescent="0.25">
      <c r="A179" s="4">
        <f>IFERROR(parent_children_2[[#This Row],[parent_children_id]],"")</f>
        <v>178</v>
      </c>
      <c r="B179" s="4" t="str">
        <f>IFERROR(VLOOKUP(parent_children_2[[#This Row],[parent_id]],abbreviation[],3,FALSE),"")</f>
        <v>positioning command</v>
      </c>
      <c r="C179" s="4" t="str">
        <f>IFERROR(VLOOKUP(parent_children_2[[#This Row],[children_id]],abbreviation[],ColumnLanguage+1,FALSE),"")</f>
        <v>Brandschutz</v>
      </c>
      <c r="E179" s="18">
        <v>178</v>
      </c>
      <c r="F179" s="18">
        <v>148</v>
      </c>
      <c r="G179" s="18">
        <v>81</v>
      </c>
      <c r="H179" s="5"/>
      <c r="N179" s="2"/>
    </row>
    <row r="180" spans="1:14" x14ac:dyDescent="0.25">
      <c r="A180" s="4">
        <f>IFERROR(parent_children_2[[#This Row],[parent_children_id]],"")</f>
        <v>179</v>
      </c>
      <c r="B180" s="4" t="str">
        <f>IFERROR(VLOOKUP(parent_children_2[[#This Row],[parent_id]],abbreviation[],3,FALSE),"")</f>
        <v>positioning command</v>
      </c>
      <c r="C180" s="4" t="str">
        <f>IFERROR(VLOOKUP(parent_children_2[[#This Row],[children_id]],abbreviation[],ColumnLanguage+1,FALSE),"")</f>
        <v>Absolute Feuchte</v>
      </c>
      <c r="E180" s="18">
        <v>179</v>
      </c>
      <c r="F180" s="18">
        <v>148</v>
      </c>
      <c r="G180" s="18">
        <v>82</v>
      </c>
      <c r="H180" s="5"/>
      <c r="N180" s="2"/>
    </row>
    <row r="181" spans="1:14" x14ac:dyDescent="0.25">
      <c r="A181" s="4">
        <f>IFERROR(parent_children_2[[#This Row],[parent_children_id]],"")</f>
        <v>180</v>
      </c>
      <c r="B181" s="4" t="str">
        <f>IFERROR(VLOOKUP(parent_children_2[[#This Row],[parent_id]],abbreviation[],3,FALSE),"")</f>
        <v>positioning command</v>
      </c>
      <c r="C181" s="4" t="str">
        <f>IFERROR(VLOOKUP(parent_children_2[[#This Row],[children_id]],abbreviation[],ColumnLanguage+1,FALSE),"")</f>
        <v>Beleuchtungsstärke</v>
      </c>
      <c r="E181" s="18">
        <v>180</v>
      </c>
      <c r="F181" s="18">
        <v>148</v>
      </c>
      <c r="G181" s="18">
        <v>83</v>
      </c>
      <c r="H181" s="5"/>
      <c r="N181" s="2"/>
    </row>
    <row r="182" spans="1:14" x14ac:dyDescent="0.25">
      <c r="A182" s="4">
        <f>IFERROR(parent_children_2[[#This Row],[parent_children_id]],"")</f>
        <v>181</v>
      </c>
      <c r="B182" s="4" t="str">
        <f>IFERROR(VLOOKUP(parent_children_2[[#This Row],[parent_id]],abbreviation[],3,FALSE),"")</f>
        <v>positioning command</v>
      </c>
      <c r="C182" s="4" t="str">
        <f>IFERROR(VLOOKUP(parent_children_2[[#This Row],[children_id]],abbreviation[],ColumnLanguage+1,FALSE),"")</f>
        <v>Druck</v>
      </c>
      <c r="E182" s="18">
        <v>181</v>
      </c>
      <c r="F182" s="18">
        <v>148</v>
      </c>
      <c r="G182" s="18">
        <v>84</v>
      </c>
      <c r="H182" s="5"/>
      <c r="N182" s="2"/>
    </row>
    <row r="183" spans="1:14" x14ac:dyDescent="0.25">
      <c r="A183" s="4">
        <f>IFERROR(parent_children_2[[#This Row],[parent_children_id]],"")</f>
        <v>182</v>
      </c>
      <c r="B183" s="4" t="str">
        <f>IFERROR(VLOOKUP(parent_children_2[[#This Row],[parent_id]],abbreviation[],3,FALSE),"")</f>
        <v>positioning command</v>
      </c>
      <c r="C183" s="4" t="str">
        <f>IFERROR(VLOOKUP(parent_children_2[[#This Row],[children_id]],abbreviation[],ColumnLanguage+1,FALSE),"")</f>
        <v>Druckdifferenz</v>
      </c>
      <c r="E183" s="18">
        <v>182</v>
      </c>
      <c r="F183" s="18">
        <v>148</v>
      </c>
      <c r="G183" s="18">
        <v>85</v>
      </c>
      <c r="H183" s="5"/>
      <c r="N183" s="2"/>
    </row>
    <row r="184" spans="1:14" x14ac:dyDescent="0.25">
      <c r="A184" s="4">
        <f>IFERROR(parent_children_2[[#This Row],[parent_children_id]],"")</f>
        <v>183</v>
      </c>
      <c r="B184" s="4" t="str">
        <f>IFERROR(VLOOKUP(parent_children_2[[#This Row],[parent_id]],abbreviation[],3,FALSE),"")</f>
        <v>positioning command</v>
      </c>
      <c r="C184" s="4" t="str">
        <f>IFERROR(VLOOKUP(parent_children_2[[#This Row],[children_id]],abbreviation[],ColumnLanguage+1,FALSE),"")</f>
        <v>Elektrische Leistung</v>
      </c>
      <c r="E184" s="18">
        <v>183</v>
      </c>
      <c r="F184" s="18">
        <v>148</v>
      </c>
      <c r="G184" s="18">
        <v>86</v>
      </c>
      <c r="H184" s="5"/>
      <c r="N184" s="2"/>
    </row>
    <row r="185" spans="1:14" x14ac:dyDescent="0.25">
      <c r="A185" s="4">
        <f>IFERROR(parent_children_2[[#This Row],[parent_children_id]],"")</f>
        <v>184</v>
      </c>
      <c r="B185" s="4" t="str">
        <f>IFERROR(VLOOKUP(parent_children_2[[#This Row],[parent_id]],abbreviation[],3,FALSE),"")</f>
        <v>positioning command</v>
      </c>
      <c r="C185" s="4" t="str">
        <f>IFERROR(VLOOKUP(parent_children_2[[#This Row],[children_id]],abbreviation[],ColumnLanguage+1,FALSE),"")</f>
        <v>Förderhöhe</v>
      </c>
      <c r="E185" s="18">
        <v>184</v>
      </c>
      <c r="F185" s="18">
        <v>148</v>
      </c>
      <c r="G185" s="18">
        <v>152</v>
      </c>
      <c r="H185" s="5"/>
      <c r="N185" s="2"/>
    </row>
    <row r="186" spans="1:14" x14ac:dyDescent="0.25">
      <c r="A186" s="4">
        <f>IFERROR(parent_children_2[[#This Row],[parent_children_id]],"")</f>
        <v>185</v>
      </c>
      <c r="B186" s="4" t="str">
        <f>IFERROR(VLOOKUP(parent_children_2[[#This Row],[parent_id]],abbreviation[],3,FALSE),"")</f>
        <v>positioning command</v>
      </c>
      <c r="C186" s="4" t="str">
        <f>IFERROR(VLOOKUP(parent_children_2[[#This Row],[children_id]],abbreviation[],ColumnLanguage+1,FALSE),"")</f>
        <v>Freie Kühlung</v>
      </c>
      <c r="E186" s="18">
        <v>185</v>
      </c>
      <c r="F186" s="18">
        <v>148</v>
      </c>
      <c r="G186" s="18">
        <v>7</v>
      </c>
      <c r="H186" s="5"/>
      <c r="N186" s="2"/>
    </row>
    <row r="187" spans="1:14" x14ac:dyDescent="0.25">
      <c r="A187" s="4">
        <f>IFERROR(parent_children_2[[#This Row],[parent_children_id]],"")</f>
        <v>186</v>
      </c>
      <c r="B187" s="4" t="str">
        <f>IFERROR(VLOOKUP(parent_children_2[[#This Row],[parent_id]],abbreviation[],3,FALSE),"")</f>
        <v>positioning command</v>
      </c>
      <c r="C187" s="4" t="str">
        <f>IFERROR(VLOOKUP(parent_children_2[[#This Row],[children_id]],abbreviation[],ColumnLanguage+1,FALSE),"")</f>
        <v>Frostschutz</v>
      </c>
      <c r="E187" s="18">
        <v>186</v>
      </c>
      <c r="F187" s="18">
        <v>148</v>
      </c>
      <c r="G187" s="18">
        <v>87</v>
      </c>
      <c r="H187" s="5"/>
      <c r="N187" s="2"/>
    </row>
    <row r="188" spans="1:14" x14ac:dyDescent="0.25">
      <c r="A188" s="4">
        <f>IFERROR(parent_children_2[[#This Row],[parent_children_id]],"")</f>
        <v>187</v>
      </c>
      <c r="B188" s="4" t="str">
        <f>IFERROR(VLOOKUP(parent_children_2[[#This Row],[parent_id]],abbreviation[],3,FALSE),"")</f>
        <v>positioning command</v>
      </c>
      <c r="C188" s="4" t="str">
        <f>IFERROR(VLOOKUP(parent_children_2[[#This Row],[children_id]],abbreviation[],ColumnLanguage+1,FALSE),"")</f>
        <v>Globalstrahlung</v>
      </c>
      <c r="E188" s="18">
        <v>187</v>
      </c>
      <c r="F188" s="18">
        <v>148</v>
      </c>
      <c r="G188" s="18">
        <v>88</v>
      </c>
      <c r="H188" s="5"/>
      <c r="N188" s="2"/>
    </row>
    <row r="189" spans="1:14" x14ac:dyDescent="0.25">
      <c r="A189" s="4">
        <f>IFERROR(parent_children_2[[#This Row],[parent_children_id]],"")</f>
        <v>188</v>
      </c>
      <c r="B189" s="4" t="str">
        <f>IFERROR(VLOOKUP(parent_children_2[[#This Row],[parent_id]],abbreviation[],3,FALSE),"")</f>
        <v>positioning command</v>
      </c>
      <c r="C189" s="4" t="str">
        <f>IFERROR(VLOOKUP(parent_children_2[[#This Row],[children_id]],abbreviation[],ColumnLanguage+1,FALSE),"")</f>
        <v>Füllstand</v>
      </c>
      <c r="E189" s="18">
        <v>188</v>
      </c>
      <c r="F189" s="18">
        <v>148</v>
      </c>
      <c r="G189" s="18">
        <v>153</v>
      </c>
      <c r="H189" s="5"/>
      <c r="N189" s="2"/>
    </row>
    <row r="190" spans="1:14" x14ac:dyDescent="0.25">
      <c r="A190" s="4">
        <f>IFERROR(parent_children_2[[#This Row],[parent_children_id]],"")</f>
        <v>189</v>
      </c>
      <c r="B190" s="4" t="str">
        <f>IFERROR(VLOOKUP(parent_children_2[[#This Row],[parent_id]],abbreviation[],3,FALSE),"")</f>
        <v>positioning command</v>
      </c>
      <c r="C190" s="4" t="str">
        <f>IFERROR(VLOOKUP(parent_children_2[[#This Row],[children_id]],abbreviation[],ColumnLanguage+1,FALSE),"")</f>
        <v>Heizleistung</v>
      </c>
      <c r="E190" s="18">
        <v>189</v>
      </c>
      <c r="F190" s="18">
        <v>148</v>
      </c>
      <c r="G190" s="18">
        <v>89</v>
      </c>
      <c r="H190" s="5"/>
      <c r="N190" s="2"/>
    </row>
    <row r="191" spans="1:14" x14ac:dyDescent="0.25">
      <c r="A191" s="4">
        <f>IFERROR(parent_children_2[[#This Row],[parent_children_id]],"")</f>
        <v>190</v>
      </c>
      <c r="B191" s="4" t="str">
        <f>IFERROR(VLOOKUP(parent_children_2[[#This Row],[parent_id]],abbreviation[],3,FALSE),"")</f>
        <v>positioning command</v>
      </c>
      <c r="C191" s="4" t="str">
        <f>IFERROR(VLOOKUP(parent_children_2[[#This Row],[children_id]],abbreviation[],ColumnLanguage+1,FALSE),"")</f>
        <v>Heiz-/Kühlleistung</v>
      </c>
      <c r="E191" s="18">
        <v>190</v>
      </c>
      <c r="F191" s="18">
        <v>148</v>
      </c>
      <c r="G191" s="18">
        <v>154</v>
      </c>
      <c r="H191" s="5"/>
      <c r="N191" s="2"/>
    </row>
    <row r="192" spans="1:14" x14ac:dyDescent="0.25">
      <c r="A192" s="4">
        <f>IFERROR(parent_children_2[[#This Row],[parent_children_id]],"")</f>
        <v>191</v>
      </c>
      <c r="B192" s="4" t="str">
        <f>IFERROR(VLOOKUP(parent_children_2[[#This Row],[parent_id]],abbreviation[],3,FALSE),"")</f>
        <v>positioning command</v>
      </c>
      <c r="C192" s="4" t="str">
        <f>IFERROR(VLOOKUP(parent_children_2[[#This Row],[children_id]],abbreviation[],ColumnLanguage+1,FALSE),"")</f>
        <v>Kohlenstoffdioxid (CO2)</v>
      </c>
      <c r="E192" s="18">
        <v>191</v>
      </c>
      <c r="F192" s="18">
        <v>148</v>
      </c>
      <c r="G192" s="18">
        <v>155</v>
      </c>
      <c r="H192" s="5"/>
      <c r="N192" s="2"/>
    </row>
    <row r="193" spans="1:14" x14ac:dyDescent="0.25">
      <c r="A193" s="4">
        <f>IFERROR(parent_children_2[[#This Row],[parent_children_id]],"")</f>
        <v>192</v>
      </c>
      <c r="B193" s="4" t="str">
        <f>IFERROR(VLOOKUP(parent_children_2[[#This Row],[parent_id]],abbreviation[],3,FALSE),"")</f>
        <v>positioning command</v>
      </c>
      <c r="C193" s="4" t="str">
        <f>IFERROR(VLOOKUP(parent_children_2[[#This Row],[children_id]],abbreviation[],ColumnLanguage+1,FALSE),"")</f>
        <v>Kältemenge</v>
      </c>
      <c r="E193" s="18">
        <v>192</v>
      </c>
      <c r="F193" s="18">
        <v>148</v>
      </c>
      <c r="G193" s="18">
        <v>90</v>
      </c>
      <c r="H193" s="5"/>
      <c r="N193" s="2"/>
    </row>
    <row r="194" spans="1:14" x14ac:dyDescent="0.25">
      <c r="A194" s="4">
        <f>IFERROR(parent_children_2[[#This Row],[parent_children_id]],"")</f>
        <v>193</v>
      </c>
      <c r="B194" s="4" t="str">
        <f>IFERROR(VLOOKUP(parent_children_2[[#This Row],[parent_id]],abbreviation[],3,FALSE),"")</f>
        <v>positioning command</v>
      </c>
      <c r="C194" s="4" t="str">
        <f>IFERROR(VLOOKUP(parent_children_2[[#This Row],[children_id]],abbreviation[],ColumnLanguage+1,FALSE),"")</f>
        <v>Kühlleistung</v>
      </c>
      <c r="E194" s="18">
        <v>193</v>
      </c>
      <c r="F194" s="18">
        <v>148</v>
      </c>
      <c r="G194" s="18">
        <v>91</v>
      </c>
      <c r="H194" s="5"/>
      <c r="N194" s="2"/>
    </row>
    <row r="195" spans="1:14" x14ac:dyDescent="0.25">
      <c r="A195" s="4">
        <f>IFERROR(parent_children_2[[#This Row],[parent_children_id]],"")</f>
        <v>194</v>
      </c>
      <c r="B195" s="4" t="str">
        <f>IFERROR(VLOOKUP(parent_children_2[[#This Row],[parent_id]],abbreviation[],3,FALSE),"")</f>
        <v>positioning command</v>
      </c>
      <c r="C195" s="4" t="str">
        <f>IFERROR(VLOOKUP(parent_children_2[[#This Row],[children_id]],abbreviation[],ColumnLanguage+1,FALSE),"")</f>
        <v>Luftqualität</v>
      </c>
      <c r="E195" s="18">
        <v>194</v>
      </c>
      <c r="F195" s="18">
        <v>148</v>
      </c>
      <c r="G195" s="18">
        <v>158</v>
      </c>
      <c r="H195" s="5"/>
      <c r="N195" s="2"/>
    </row>
    <row r="196" spans="1:14" x14ac:dyDescent="0.25">
      <c r="A196" s="4">
        <f>IFERROR(parent_children_2[[#This Row],[parent_children_id]],"")</f>
        <v>195</v>
      </c>
      <c r="B196" s="4" t="str">
        <f>IFERROR(VLOOKUP(parent_children_2[[#This Row],[parent_id]],abbreviation[],3,FALSE),"")</f>
        <v>positioning command</v>
      </c>
      <c r="C196" s="4" t="str">
        <f>IFERROR(VLOOKUP(parent_children_2[[#This Row],[children_id]],abbreviation[],ColumnLanguage+1,FALSE),"")</f>
        <v>Wind</v>
      </c>
      <c r="E196" s="18">
        <v>195</v>
      </c>
      <c r="F196" s="18">
        <v>148</v>
      </c>
      <c r="G196" s="18">
        <v>102</v>
      </c>
      <c r="H196" s="5"/>
      <c r="N196" s="2"/>
    </row>
    <row r="197" spans="1:14" x14ac:dyDescent="0.25">
      <c r="A197" s="4">
        <f>IFERROR(parent_children_2[[#This Row],[parent_children_id]],"")</f>
        <v>196</v>
      </c>
      <c r="B197" s="4" t="str">
        <f>IFERROR(VLOOKUP(parent_children_2[[#This Row],[parent_id]],abbreviation[],3,FALSE),"")</f>
        <v>positioning command</v>
      </c>
      <c r="C197" s="4" t="str">
        <f>IFERROR(VLOOKUP(parent_children_2[[#This Row],[children_id]],abbreviation[],ColumnLanguage+1,FALSE),"")</f>
        <v>Massenstrom</v>
      </c>
      <c r="E197" s="18">
        <v>196</v>
      </c>
      <c r="F197" s="18">
        <v>148</v>
      </c>
      <c r="G197" s="18">
        <v>92</v>
      </c>
      <c r="H197" s="5"/>
      <c r="N197" s="2"/>
    </row>
    <row r="198" spans="1:14" x14ac:dyDescent="0.25">
      <c r="A198" s="4">
        <f>IFERROR(parent_children_2[[#This Row],[parent_children_id]],"")</f>
        <v>197</v>
      </c>
      <c r="B198" s="4" t="str">
        <f>IFERROR(VLOOKUP(parent_children_2[[#This Row],[parent_id]],abbreviation[],3,FALSE),"")</f>
        <v>positioning command</v>
      </c>
      <c r="C198" s="4" t="str">
        <f>IFERROR(VLOOKUP(parent_children_2[[#This Row],[children_id]],abbreviation[],ColumnLanguage+1,FALSE),"")</f>
        <v>Präsenz</v>
      </c>
      <c r="E198" s="18">
        <v>197</v>
      </c>
      <c r="F198" s="18">
        <v>148</v>
      </c>
      <c r="G198" s="18">
        <v>93</v>
      </c>
      <c r="H198" s="5"/>
      <c r="N198" s="2"/>
    </row>
    <row r="199" spans="1:14" x14ac:dyDescent="0.25">
      <c r="A199" s="4">
        <f>IFERROR(parent_children_2[[#This Row],[parent_children_id]],"")</f>
        <v>198</v>
      </c>
      <c r="B199" s="4" t="str">
        <f>IFERROR(VLOOKUP(parent_children_2[[#This Row],[parent_id]],abbreviation[],3,FALSE),"")</f>
        <v>positioning command</v>
      </c>
      <c r="C199" s="4" t="str">
        <f>IFERROR(VLOOKUP(parent_children_2[[#This Row],[children_id]],abbreviation[],ColumnLanguage+1,FALSE),"")</f>
        <v>Rauch</v>
      </c>
      <c r="E199" s="18">
        <v>198</v>
      </c>
      <c r="F199" s="18">
        <v>148</v>
      </c>
      <c r="G199" s="18">
        <v>94</v>
      </c>
      <c r="H199" s="5"/>
      <c r="N199" s="2"/>
    </row>
    <row r="200" spans="1:14" x14ac:dyDescent="0.25">
      <c r="A200" s="4">
        <f>IFERROR(parent_children_2[[#This Row],[parent_children_id]],"")</f>
        <v>199</v>
      </c>
      <c r="B200" s="4" t="str">
        <f>IFERROR(VLOOKUP(parent_children_2[[#This Row],[parent_id]],abbreviation[],3,FALSE),"")</f>
        <v>positioning command</v>
      </c>
      <c r="C200" s="4" t="str">
        <f>IFERROR(VLOOKUP(parent_children_2[[#This Row],[children_id]],abbreviation[],ColumnLanguage+1,FALSE),"")</f>
        <v>Regen</v>
      </c>
      <c r="E200" s="18">
        <v>199</v>
      </c>
      <c r="F200" s="18">
        <v>148</v>
      </c>
      <c r="G200" s="18">
        <v>95</v>
      </c>
      <c r="H200" s="5"/>
      <c r="N200" s="2"/>
    </row>
    <row r="201" spans="1:14" x14ac:dyDescent="0.25">
      <c r="A201" s="4">
        <f>IFERROR(parent_children_2[[#This Row],[parent_children_id]],"")</f>
        <v>200</v>
      </c>
      <c r="B201" s="4" t="str">
        <f>IFERROR(VLOOKUP(parent_children_2[[#This Row],[parent_id]],abbreviation[],3,FALSE),"")</f>
        <v>positioning command</v>
      </c>
      <c r="C201" s="4" t="str">
        <f>IFERROR(VLOOKUP(parent_children_2[[#This Row],[children_id]],abbreviation[],ColumnLanguage+1,FALSE),"")</f>
        <v>offen/öffnen</v>
      </c>
      <c r="E201" s="18">
        <v>200</v>
      </c>
      <c r="F201" s="18">
        <v>148</v>
      </c>
      <c r="G201" s="18">
        <v>164</v>
      </c>
      <c r="H201" s="5"/>
      <c r="N201" s="2"/>
    </row>
    <row r="202" spans="1:14" x14ac:dyDescent="0.25">
      <c r="A202" s="4">
        <f>IFERROR(parent_children_2[[#This Row],[parent_children_id]],"")</f>
        <v>201</v>
      </c>
      <c r="B202" s="4" t="str">
        <f>IFERROR(VLOOKUP(parent_children_2[[#This Row],[parent_id]],abbreviation[],3,FALSE),"")</f>
        <v>positioning command</v>
      </c>
      <c r="C202" s="4" t="str">
        <f>IFERROR(VLOOKUP(parent_children_2[[#This Row],[children_id]],abbreviation[],ColumnLanguage+1,FALSE),"")</f>
        <v>Relative Feuchte</v>
      </c>
      <c r="E202" s="18">
        <v>201</v>
      </c>
      <c r="F202" s="18">
        <v>148</v>
      </c>
      <c r="G202" s="18">
        <v>96</v>
      </c>
      <c r="H202" s="5"/>
      <c r="N202" s="2"/>
    </row>
    <row r="203" spans="1:14" x14ac:dyDescent="0.25">
      <c r="A203" s="4">
        <f>IFERROR(parent_children_2[[#This Row],[parent_children_id]],"")</f>
        <v>202</v>
      </c>
      <c r="B203" s="4" t="str">
        <f>IFERROR(VLOOKUP(parent_children_2[[#This Row],[parent_id]],abbreviation[],3,FALSE),"")</f>
        <v>positioning command</v>
      </c>
      <c r="C203" s="4" t="str">
        <f>IFERROR(VLOOKUP(parent_children_2[[#This Row],[children_id]],abbreviation[],ColumnLanguage+1,FALSE),"")</f>
        <v>Elektrische Energie</v>
      </c>
      <c r="E203" s="18">
        <v>202</v>
      </c>
      <c r="F203" s="18">
        <v>148</v>
      </c>
      <c r="G203" s="18">
        <v>97</v>
      </c>
      <c r="H203" s="5"/>
      <c r="N203" s="2"/>
    </row>
    <row r="204" spans="1:14" x14ac:dyDescent="0.25">
      <c r="A204" s="4">
        <f>IFERROR(parent_children_2[[#This Row],[parent_children_id]],"")</f>
        <v>203</v>
      </c>
      <c r="B204" s="4" t="str">
        <f>IFERROR(VLOOKUP(parent_children_2[[#This Row],[parent_id]],abbreviation[],3,FALSE),"")</f>
        <v>positioning command</v>
      </c>
      <c r="C204" s="4" t="str">
        <f>IFERROR(VLOOKUP(parent_children_2[[#This Row],[children_id]],abbreviation[],ColumnLanguage+1,FALSE),"")</f>
        <v>Temperatur</v>
      </c>
      <c r="E204" s="18">
        <v>203</v>
      </c>
      <c r="F204" s="18">
        <v>148</v>
      </c>
      <c r="G204" s="18">
        <v>98</v>
      </c>
      <c r="H204" s="5"/>
      <c r="N204" s="2"/>
    </row>
    <row r="205" spans="1:14" x14ac:dyDescent="0.25">
      <c r="A205" s="4">
        <f>IFERROR(parent_children_2[[#This Row],[parent_children_id]],"")</f>
        <v>204</v>
      </c>
      <c r="B205" s="4" t="str">
        <f>IFERROR(VLOOKUP(parent_children_2[[#This Row],[parent_id]],abbreviation[],3,FALSE),"")</f>
        <v>positioning command</v>
      </c>
      <c r="C205" s="4" t="str">
        <f>IFERROR(VLOOKUP(parent_children_2[[#This Row],[children_id]],abbreviation[],ColumnLanguage+1,FALSE),"")</f>
        <v>Temperaturdifferenz</v>
      </c>
      <c r="E205" s="18">
        <v>204</v>
      </c>
      <c r="F205" s="18">
        <v>148</v>
      </c>
      <c r="G205" s="18">
        <v>99</v>
      </c>
      <c r="H205" s="5"/>
      <c r="N205" s="2"/>
    </row>
    <row r="206" spans="1:14" x14ac:dyDescent="0.25">
      <c r="A206" s="4">
        <f>IFERROR(parent_children_2[[#This Row],[parent_children_id]],"")</f>
        <v>205</v>
      </c>
      <c r="B206" s="4" t="str">
        <f>IFERROR(VLOOKUP(parent_children_2[[#This Row],[parent_id]],abbreviation[],3,FALSE),"")</f>
        <v>positioning command</v>
      </c>
      <c r="C206" s="4" t="str">
        <f>IFERROR(VLOOKUP(parent_children_2[[#This Row],[children_id]],abbreviation[],ColumnLanguage+1,FALSE),"")</f>
        <v>Volumenstrom</v>
      </c>
      <c r="E206" s="18">
        <v>205</v>
      </c>
      <c r="F206" s="18">
        <v>148</v>
      </c>
      <c r="G206" s="18">
        <v>100</v>
      </c>
      <c r="H206" s="5"/>
      <c r="N206" s="2"/>
    </row>
    <row r="207" spans="1:14" x14ac:dyDescent="0.25">
      <c r="A207" s="4">
        <f>IFERROR(parent_children_2[[#This Row],[parent_children_id]],"")</f>
        <v>206</v>
      </c>
      <c r="B207" s="4" t="str">
        <f>IFERROR(VLOOKUP(parent_children_2[[#This Row],[parent_id]],abbreviation[],3,FALSE),"")</f>
        <v>positioning command</v>
      </c>
      <c r="C207" s="4" t="str">
        <f>IFERROR(VLOOKUP(parent_children_2[[#This Row],[children_id]],abbreviation[],ColumnLanguage+1,FALSE),"")</f>
        <v>Reparaturschalter</v>
      </c>
      <c r="E207" s="18">
        <v>206</v>
      </c>
      <c r="F207" s="18">
        <v>148</v>
      </c>
      <c r="G207" s="18">
        <v>165</v>
      </c>
      <c r="H207" s="5"/>
      <c r="N207" s="2"/>
    </row>
    <row r="208" spans="1:14" x14ac:dyDescent="0.25">
      <c r="A208" s="4" t="str">
        <f>IFERROR(parent_children_2[[#This Row],[parent_children_id]],"")</f>
        <v/>
      </c>
      <c r="B208" s="4" t="str">
        <f>IFERROR(VLOOKUP(parent_children_2[[#This Row],[parent_id]],abbreviation[],3,FALSE),"")</f>
        <v/>
      </c>
      <c r="C208" s="4" t="str">
        <f>IFERROR(VLOOKUP(parent_children_2[[#This Row],[children_id]],abbreviation[],ColumnLanguage+1,FALSE),"")</f>
        <v/>
      </c>
      <c r="E208" s="18"/>
      <c r="F208" s="18"/>
      <c r="G208" s="18"/>
      <c r="H208" s="5"/>
    </row>
    <row r="209" spans="1:7" x14ac:dyDescent="0.25">
      <c r="A209" s="4" t="str">
        <f>IFERROR(parent_children_2[[#This Row],[parent_children_id]],"")</f>
        <v/>
      </c>
      <c r="B209" s="4" t="str">
        <f>IFERROR(VLOOKUP(parent_children_2[[#This Row],[parent_id]],abbreviation[],3,FALSE),"")</f>
        <v/>
      </c>
      <c r="C209" s="4" t="str">
        <f>IFERROR(VLOOKUP(parent_children_2[[#This Row],[children_id]],abbreviation[],ColumnLanguage+1,FALSE),"")</f>
        <v/>
      </c>
      <c r="E209" s="18"/>
      <c r="F209" s="18"/>
      <c r="G209" s="18"/>
    </row>
    <row r="210" spans="1:7" x14ac:dyDescent="0.25">
      <c r="A210" s="4" t="str">
        <f>IFERROR(parent_children_2[[#This Row],[parent_children_id]],"")</f>
        <v/>
      </c>
      <c r="B210" s="4" t="str">
        <f>IFERROR(VLOOKUP(parent_children_2[[#This Row],[parent_id]],abbreviation[],3,FALSE),"")</f>
        <v/>
      </c>
      <c r="C210" s="4" t="str">
        <f>IFERROR(VLOOKUP(parent_children_2[[#This Row],[children_id]],abbreviation[],ColumnLanguage+1,FALSE),"")</f>
        <v/>
      </c>
      <c r="E210" s="18"/>
      <c r="F210" s="18"/>
      <c r="G210" s="18"/>
    </row>
    <row r="211" spans="1:7" x14ac:dyDescent="0.25">
      <c r="A211" s="4" t="str">
        <f>IFERROR(parent_children_2[[#This Row],[parent_children_id]],"")</f>
        <v/>
      </c>
      <c r="B211" s="4" t="str">
        <f>IFERROR(VLOOKUP(parent_children_2[[#This Row],[parent_id]],abbreviation[],3,FALSE),"")</f>
        <v/>
      </c>
      <c r="C211" s="4" t="str">
        <f>IFERROR(VLOOKUP(parent_children_2[[#This Row],[children_id]],abbreviation[],ColumnLanguage+1,FALSE),"")</f>
        <v/>
      </c>
      <c r="E211" s="18"/>
      <c r="F211" s="18"/>
      <c r="G211" s="18"/>
    </row>
    <row r="212" spans="1:7" x14ac:dyDescent="0.25">
      <c r="A212" s="4" t="str">
        <f>IFERROR(parent_children_2[[#This Row],[parent_children_id]],"")</f>
        <v/>
      </c>
      <c r="B212" s="4" t="str">
        <f>IFERROR(VLOOKUP(parent_children_2[[#This Row],[parent_id]],abbreviation[],3,FALSE),"")</f>
        <v/>
      </c>
      <c r="C212" s="4" t="str">
        <f>IFERROR(VLOOKUP(parent_children_2[[#This Row],[children_id]],abbreviation[],ColumnLanguage+1,FALSE),"")</f>
        <v/>
      </c>
      <c r="E212" s="18"/>
      <c r="F212" s="18"/>
      <c r="G212" s="18"/>
    </row>
    <row r="213" spans="1:7" x14ac:dyDescent="0.25">
      <c r="A213" s="4" t="str">
        <f>IFERROR(parent_children_2[[#This Row],[parent_children_id]],"")</f>
        <v/>
      </c>
      <c r="B213" s="4" t="str">
        <f>IFERROR(VLOOKUP(parent_children_2[[#This Row],[parent_id]],abbreviation[],3,FALSE),"")</f>
        <v/>
      </c>
      <c r="C213" s="4" t="str">
        <f>IFERROR(VLOOKUP(parent_children_2[[#This Row],[children_id]],abbreviation[],ColumnLanguage+1,FALSE),"")</f>
        <v/>
      </c>
      <c r="E213" s="18"/>
      <c r="F213" s="18"/>
      <c r="G213" s="18"/>
    </row>
    <row r="214" spans="1:7" x14ac:dyDescent="0.25">
      <c r="A214" s="4" t="str">
        <f>IFERROR(parent_children_2[[#This Row],[parent_children_id]],"")</f>
        <v/>
      </c>
      <c r="B214" s="4" t="str">
        <f>IFERROR(VLOOKUP(parent_children_2[[#This Row],[parent_id]],abbreviation[],3,FALSE),"")</f>
        <v/>
      </c>
      <c r="C214" s="4" t="str">
        <f>IFERROR(VLOOKUP(parent_children_2[[#This Row],[children_id]],abbreviation[],ColumnLanguage+1,FALSE),"")</f>
        <v/>
      </c>
      <c r="E214" s="18"/>
      <c r="F214" s="18"/>
      <c r="G214" s="18"/>
    </row>
    <row r="215" spans="1:7" x14ac:dyDescent="0.25">
      <c r="A215" s="4" t="str">
        <f>IFERROR(parent_children_2[[#This Row],[parent_children_id]],"")</f>
        <v/>
      </c>
      <c r="B215" s="4" t="str">
        <f>IFERROR(VLOOKUP(parent_children_2[[#This Row],[parent_id]],abbreviation[],3,FALSE),"")</f>
        <v/>
      </c>
      <c r="C215" s="4" t="str">
        <f>IFERROR(VLOOKUP(parent_children_2[[#This Row],[children_id]],abbreviation[],ColumnLanguage+1,FALSE),"")</f>
        <v/>
      </c>
      <c r="E215" s="18"/>
      <c r="F215" s="18"/>
      <c r="G215" s="18"/>
    </row>
    <row r="216" spans="1:7" x14ac:dyDescent="0.25">
      <c r="A216" s="4" t="str">
        <f>IFERROR(parent_children_2[[#This Row],[parent_children_id]],"")</f>
        <v/>
      </c>
      <c r="B216" s="4" t="str">
        <f>IFERROR(VLOOKUP(parent_children_2[[#This Row],[parent_id]],abbreviation[],3,FALSE),"")</f>
        <v/>
      </c>
      <c r="C216" s="4" t="str">
        <f>IFERROR(VLOOKUP(parent_children_2[[#This Row],[children_id]],abbreviation[],ColumnLanguage+1,FALSE),"")</f>
        <v/>
      </c>
      <c r="E216" s="18"/>
      <c r="F216" s="18"/>
      <c r="G216" s="18"/>
    </row>
    <row r="217" spans="1:7" x14ac:dyDescent="0.25">
      <c r="A217" s="4" t="str">
        <f>IFERROR(parent_children_2[[#This Row],[parent_children_id]],"")</f>
        <v/>
      </c>
      <c r="B217" s="4" t="str">
        <f>IFERROR(VLOOKUP(parent_children_2[[#This Row],[parent_id]],abbreviation[],3,FALSE),"")</f>
        <v/>
      </c>
      <c r="C217" s="4" t="str">
        <f>IFERROR(VLOOKUP(parent_children_2[[#This Row],[children_id]],abbreviation[],ColumnLanguage+1,FALSE),"")</f>
        <v/>
      </c>
      <c r="E217" s="18"/>
      <c r="F217" s="18"/>
      <c r="G217" s="18"/>
    </row>
    <row r="218" spans="1:7" x14ac:dyDescent="0.25">
      <c r="A218" s="4" t="str">
        <f>IFERROR(parent_children_2[[#This Row],[parent_children_id]],"")</f>
        <v/>
      </c>
      <c r="B218" s="4" t="str">
        <f>IFERROR(VLOOKUP(parent_children_2[[#This Row],[parent_id]],abbreviation[],3,FALSE),"")</f>
        <v/>
      </c>
      <c r="C218" s="4" t="str">
        <f>IFERROR(VLOOKUP(parent_children_2[[#This Row],[children_id]],abbreviation[],ColumnLanguage+1,FALSE),"")</f>
        <v/>
      </c>
      <c r="E218" s="18"/>
      <c r="F218" s="18"/>
      <c r="G218" s="18"/>
    </row>
    <row r="219" spans="1:7" x14ac:dyDescent="0.25">
      <c r="A219" s="4" t="str">
        <f>IFERROR(parent_children_2[[#This Row],[parent_children_id]],"")</f>
        <v/>
      </c>
      <c r="B219" s="4" t="str">
        <f>IFERROR(VLOOKUP(parent_children_2[[#This Row],[parent_id]],abbreviation[],3,FALSE),"")</f>
        <v/>
      </c>
      <c r="C219" s="4" t="str">
        <f>IFERROR(VLOOKUP(parent_children_2[[#This Row],[children_id]],abbreviation[],ColumnLanguage+1,FALSE),"")</f>
        <v/>
      </c>
      <c r="E219" s="18"/>
      <c r="F219" s="18"/>
      <c r="G219" s="18"/>
    </row>
    <row r="220" spans="1:7" x14ac:dyDescent="0.25">
      <c r="A220" s="4" t="str">
        <f>IFERROR(parent_children_2[[#This Row],[parent_children_id]],"")</f>
        <v/>
      </c>
      <c r="B220" s="4" t="str">
        <f>IFERROR(VLOOKUP(parent_children_2[[#This Row],[parent_id]],abbreviation[],3,FALSE),"")</f>
        <v/>
      </c>
      <c r="C220" s="4" t="str">
        <f>IFERROR(VLOOKUP(parent_children_2[[#This Row],[children_id]],abbreviation[],ColumnLanguage+1,FALSE),"")</f>
        <v/>
      </c>
      <c r="E220" s="18"/>
      <c r="F220" s="18"/>
      <c r="G220" s="18"/>
    </row>
    <row r="221" spans="1:7" x14ac:dyDescent="0.25">
      <c r="A221" s="4" t="str">
        <f>IFERROR(parent_children_2[[#This Row],[parent_children_id]],"")</f>
        <v/>
      </c>
      <c r="B221" s="4" t="str">
        <f>IFERROR(VLOOKUP(parent_children_2[[#This Row],[parent_id]],abbreviation[],3,FALSE),"")</f>
        <v/>
      </c>
      <c r="C221" s="4" t="str">
        <f>IFERROR(VLOOKUP(parent_children_2[[#This Row],[children_id]],abbreviation[],ColumnLanguage+1,FALSE),"")</f>
        <v/>
      </c>
      <c r="E221" s="18"/>
      <c r="F221" s="18"/>
      <c r="G221" s="18"/>
    </row>
    <row r="222" spans="1:7" x14ac:dyDescent="0.25">
      <c r="A222" s="4" t="str">
        <f>IFERROR(parent_children_2[[#This Row],[parent_children_id]],"")</f>
        <v/>
      </c>
      <c r="B222" s="4" t="str">
        <f>IFERROR(VLOOKUP(parent_children_2[[#This Row],[parent_id]],abbreviation[],3,FALSE),"")</f>
        <v/>
      </c>
      <c r="C222" s="4" t="str">
        <f>IFERROR(VLOOKUP(parent_children_2[[#This Row],[children_id]],abbreviation[],ColumnLanguage+1,FALSE),"")</f>
        <v/>
      </c>
      <c r="E222" s="18"/>
      <c r="F222" s="18"/>
      <c r="G222" s="18"/>
    </row>
    <row r="223" spans="1:7" x14ac:dyDescent="0.25">
      <c r="A223" s="4" t="str">
        <f>IFERROR(parent_children_2[[#This Row],[parent_children_id]],"")</f>
        <v/>
      </c>
      <c r="B223" s="4" t="str">
        <f>IFERROR(VLOOKUP(parent_children_2[[#This Row],[parent_id]],abbreviation[],3,FALSE),"")</f>
        <v/>
      </c>
      <c r="C223" s="4" t="str">
        <f>IFERROR(VLOOKUP(parent_children_2[[#This Row],[children_id]],abbreviation[],ColumnLanguage+1,FALSE),"")</f>
        <v/>
      </c>
      <c r="E223" s="18"/>
      <c r="F223" s="18"/>
      <c r="G223" s="18"/>
    </row>
    <row r="224" spans="1:7" x14ac:dyDescent="0.25">
      <c r="A224" s="4" t="str">
        <f>IFERROR(parent_children_2[[#This Row],[parent_children_id]],"")</f>
        <v/>
      </c>
      <c r="B224" s="4" t="str">
        <f>IFERROR(VLOOKUP(parent_children_2[[#This Row],[parent_id]],abbreviation[],3,FALSE),"")</f>
        <v/>
      </c>
      <c r="C224" s="4" t="str">
        <f>IFERROR(VLOOKUP(parent_children_2[[#This Row],[children_id]],abbreviation[],ColumnLanguage+1,FALSE),"")</f>
        <v/>
      </c>
      <c r="E224" s="18"/>
      <c r="F224" s="18"/>
      <c r="G224" s="18"/>
    </row>
    <row r="225" spans="1:7" x14ac:dyDescent="0.25">
      <c r="A225" s="4" t="str">
        <f>IFERROR(parent_children_2[[#This Row],[parent_children_id]],"")</f>
        <v/>
      </c>
      <c r="B225" s="4" t="str">
        <f>IFERROR(VLOOKUP(parent_children_2[[#This Row],[parent_id]],abbreviation[],3,FALSE),"")</f>
        <v/>
      </c>
      <c r="C225" s="4" t="str">
        <f>IFERROR(VLOOKUP(parent_children_2[[#This Row],[children_id]],abbreviation[],ColumnLanguage+1,FALSE),"")</f>
        <v/>
      </c>
      <c r="E225" s="18"/>
      <c r="F225" s="18"/>
      <c r="G225" s="18"/>
    </row>
    <row r="226" spans="1:7" x14ac:dyDescent="0.25">
      <c r="A226" s="4" t="str">
        <f>IFERROR(parent_children_2[[#This Row],[parent_children_id]],"")</f>
        <v/>
      </c>
      <c r="B226" s="4" t="str">
        <f>IFERROR(VLOOKUP(parent_children_2[[#This Row],[parent_id]],abbreviation[],3,FALSE),"")</f>
        <v/>
      </c>
      <c r="C226" s="4" t="str">
        <f>IFERROR(VLOOKUP(parent_children_2[[#This Row],[children_id]],abbreviation[],ColumnLanguage+1,FALSE),"")</f>
        <v/>
      </c>
      <c r="E226" s="18"/>
      <c r="F226" s="18"/>
      <c r="G226" s="18"/>
    </row>
    <row r="227" spans="1:7" x14ac:dyDescent="0.25">
      <c r="A227" s="4" t="str">
        <f>IFERROR(parent_children_2[[#This Row],[parent_children_id]],"")</f>
        <v/>
      </c>
      <c r="B227" s="4" t="str">
        <f>IFERROR(VLOOKUP(parent_children_2[[#This Row],[parent_id]],abbreviation[],3,FALSE),"")</f>
        <v/>
      </c>
      <c r="C227" s="4" t="str">
        <f>IFERROR(VLOOKUP(parent_children_2[[#This Row],[children_id]],abbreviation[],ColumnLanguage+1,FALSE),"")</f>
        <v/>
      </c>
      <c r="E227" s="18"/>
      <c r="F227" s="18"/>
      <c r="G227" s="18"/>
    </row>
    <row r="228" spans="1:7" x14ac:dyDescent="0.25">
      <c r="A228" s="4" t="str">
        <f>IFERROR(parent_children_2[[#This Row],[parent_children_id]],"")</f>
        <v/>
      </c>
      <c r="B228" s="4" t="str">
        <f>IFERROR(VLOOKUP(parent_children_2[[#This Row],[parent_id]],abbreviation[],3,FALSE),"")</f>
        <v/>
      </c>
      <c r="C228" s="4" t="str">
        <f>IFERROR(VLOOKUP(parent_children_2[[#This Row],[children_id]],abbreviation[],ColumnLanguage+1,FALSE),"")</f>
        <v/>
      </c>
      <c r="E228" s="18"/>
      <c r="F228" s="18"/>
      <c r="G228" s="18"/>
    </row>
    <row r="229" spans="1:7" x14ac:dyDescent="0.25">
      <c r="A229" s="4" t="str">
        <f>IFERROR(parent_children_2[[#This Row],[parent_children_id]],"")</f>
        <v/>
      </c>
      <c r="B229" s="4" t="str">
        <f>IFERROR(VLOOKUP(parent_children_2[[#This Row],[parent_id]],abbreviation[],3,FALSE),"")</f>
        <v/>
      </c>
      <c r="C229" s="4" t="str">
        <f>IFERROR(VLOOKUP(parent_children_2[[#This Row],[children_id]],abbreviation[],ColumnLanguage+1,FALSE),"")</f>
        <v/>
      </c>
      <c r="E229" s="18"/>
      <c r="F229" s="18"/>
      <c r="G229" s="18"/>
    </row>
    <row r="230" spans="1:7" x14ac:dyDescent="0.25">
      <c r="A230" s="4" t="str">
        <f>IFERROR(parent_children_2[[#This Row],[parent_children_id]],"")</f>
        <v/>
      </c>
      <c r="B230" s="4" t="str">
        <f>IFERROR(VLOOKUP(parent_children_2[[#This Row],[parent_id]],abbreviation[],3,FALSE),"")</f>
        <v/>
      </c>
      <c r="C230" s="4" t="str">
        <f>IFERROR(VLOOKUP(parent_children_2[[#This Row],[children_id]],abbreviation[],ColumnLanguage+1,FALSE),"")</f>
        <v/>
      </c>
      <c r="E230" s="18"/>
      <c r="F230" s="18"/>
      <c r="G230" s="18"/>
    </row>
    <row r="231" spans="1:7" x14ac:dyDescent="0.25">
      <c r="A231" s="4" t="str">
        <f>IFERROR(parent_children_2[[#This Row],[parent_children_id]],"")</f>
        <v/>
      </c>
      <c r="B231" s="4" t="str">
        <f>IFERROR(VLOOKUP(parent_children_2[[#This Row],[parent_id]],abbreviation[],3,FALSE),"")</f>
        <v/>
      </c>
      <c r="C231" s="4" t="str">
        <f>IFERROR(VLOOKUP(parent_children_2[[#This Row],[children_id]],abbreviation[],ColumnLanguage+1,FALSE),"")</f>
        <v/>
      </c>
      <c r="E231" s="18"/>
      <c r="F231" s="18"/>
      <c r="G231" s="18"/>
    </row>
    <row r="232" spans="1:7" x14ac:dyDescent="0.25">
      <c r="A232" s="4" t="str">
        <f>IFERROR(parent_children_2[[#This Row],[parent_children_id]],"")</f>
        <v/>
      </c>
      <c r="B232" s="4" t="str">
        <f>IFERROR(VLOOKUP(parent_children_2[[#This Row],[parent_id]],abbreviation[],3,FALSE),"")</f>
        <v/>
      </c>
      <c r="C232" s="4" t="str">
        <f>IFERROR(VLOOKUP(parent_children_2[[#This Row],[children_id]],abbreviation[],ColumnLanguage+1,FALSE),"")</f>
        <v/>
      </c>
      <c r="E232" s="18"/>
      <c r="F232" s="18"/>
      <c r="G232" s="18"/>
    </row>
    <row r="233" spans="1:7" x14ac:dyDescent="0.25">
      <c r="A233" s="4" t="str">
        <f>IFERROR(parent_children_2[[#This Row],[parent_children_id]],"")</f>
        <v/>
      </c>
      <c r="B233" s="4" t="str">
        <f>IFERROR(VLOOKUP(parent_children_2[[#This Row],[parent_id]],abbreviation[],3,FALSE),"")</f>
        <v/>
      </c>
      <c r="C233" s="4" t="str">
        <f>IFERROR(VLOOKUP(parent_children_2[[#This Row],[children_id]],abbreviation[],ColumnLanguage+1,FALSE),"")</f>
        <v/>
      </c>
      <c r="E233" s="18"/>
      <c r="F233" s="18"/>
      <c r="G233" s="18"/>
    </row>
    <row r="234" spans="1:7" x14ac:dyDescent="0.25">
      <c r="A234" s="4" t="str">
        <f>IFERROR(parent_children_2[[#This Row],[parent_children_id]],"")</f>
        <v/>
      </c>
      <c r="B234" s="4" t="str">
        <f>IFERROR(VLOOKUP(parent_children_2[[#This Row],[parent_id]],abbreviation[],3,FALSE),"")</f>
        <v/>
      </c>
      <c r="C234" s="4" t="str">
        <f>IFERROR(VLOOKUP(parent_children_2[[#This Row],[children_id]],abbreviation[],ColumnLanguage+1,FALSE),"")</f>
        <v/>
      </c>
      <c r="E234" s="18"/>
      <c r="F234" s="18"/>
      <c r="G234" s="18"/>
    </row>
    <row r="235" spans="1:7" x14ac:dyDescent="0.25">
      <c r="A235" s="4" t="str">
        <f>IFERROR(parent_children_2[[#This Row],[parent_children_id]],"")</f>
        <v/>
      </c>
      <c r="B235" s="4" t="str">
        <f>IFERROR(VLOOKUP(parent_children_2[[#This Row],[parent_id]],abbreviation[],3,FALSE),"")</f>
        <v/>
      </c>
      <c r="C235" s="4" t="str">
        <f>IFERROR(VLOOKUP(parent_children_2[[#This Row],[children_id]],abbreviation[],ColumnLanguage+1,FALSE),"")</f>
        <v/>
      </c>
      <c r="E235" s="18"/>
      <c r="F235" s="18"/>
      <c r="G235" s="18"/>
    </row>
    <row r="236" spans="1:7" x14ac:dyDescent="0.25">
      <c r="A236" s="4" t="str">
        <f>IFERROR(parent_children_2[[#This Row],[parent_children_id]],"")</f>
        <v/>
      </c>
      <c r="B236" s="4" t="str">
        <f>IFERROR(VLOOKUP(parent_children_2[[#This Row],[parent_id]],abbreviation[],3,FALSE),"")</f>
        <v/>
      </c>
      <c r="C236" s="4" t="str">
        <f>IFERROR(VLOOKUP(parent_children_2[[#This Row],[children_id]],abbreviation[],ColumnLanguage+1,FALSE),"")</f>
        <v/>
      </c>
      <c r="E236" s="18"/>
      <c r="F236" s="18"/>
      <c r="G236" s="18"/>
    </row>
    <row r="237" spans="1:7" x14ac:dyDescent="0.25">
      <c r="A237" s="4" t="str">
        <f>IFERROR(parent_children_2[[#This Row],[parent_children_id]],"")</f>
        <v/>
      </c>
      <c r="B237" s="4" t="str">
        <f>IFERROR(VLOOKUP(parent_children_2[[#This Row],[parent_id]],abbreviation[],3,FALSE),"")</f>
        <v/>
      </c>
      <c r="C237" s="4" t="str">
        <f>IFERROR(VLOOKUP(parent_children_2[[#This Row],[children_id]],abbreviation[],ColumnLanguage+1,FALSE),"")</f>
        <v/>
      </c>
      <c r="E237" s="18"/>
      <c r="F237" s="18"/>
      <c r="G237" s="18"/>
    </row>
    <row r="238" spans="1:7" x14ac:dyDescent="0.25">
      <c r="A238" s="4" t="str">
        <f>IFERROR(parent_children_2[[#This Row],[parent_children_id]],"")</f>
        <v/>
      </c>
      <c r="B238" s="4" t="str">
        <f>IFERROR(VLOOKUP(parent_children_2[[#This Row],[parent_id]],abbreviation[],3,FALSE),"")</f>
        <v/>
      </c>
      <c r="C238" s="4" t="str">
        <f>IFERROR(VLOOKUP(parent_children_2[[#This Row],[children_id]],abbreviation[],ColumnLanguage+1,FALSE),"")</f>
        <v/>
      </c>
      <c r="E238" s="18"/>
      <c r="F238" s="18"/>
      <c r="G238" s="18"/>
    </row>
    <row r="239" spans="1:7" x14ac:dyDescent="0.25">
      <c r="A239" s="4" t="str">
        <f>IFERROR(parent_children_2[[#This Row],[parent_children_id]],"")</f>
        <v/>
      </c>
      <c r="B239" s="4" t="str">
        <f>IFERROR(VLOOKUP(parent_children_2[[#This Row],[parent_id]],abbreviation[],3,FALSE),"")</f>
        <v/>
      </c>
      <c r="C239" s="4" t="str">
        <f>IFERROR(VLOOKUP(parent_children_2[[#This Row],[children_id]],abbreviation[],ColumnLanguage+1,FALSE),"")</f>
        <v/>
      </c>
      <c r="E239" s="18"/>
      <c r="F239" s="18"/>
      <c r="G239" s="18"/>
    </row>
    <row r="240" spans="1:7" x14ac:dyDescent="0.25">
      <c r="A240" s="4" t="str">
        <f>IFERROR(parent_children_2[[#This Row],[parent_children_id]],"")</f>
        <v/>
      </c>
      <c r="B240" s="4" t="str">
        <f>IFERROR(VLOOKUP(parent_children_2[[#This Row],[parent_id]],abbreviation[],3,FALSE),"")</f>
        <v/>
      </c>
      <c r="C240" s="4" t="str">
        <f>IFERROR(VLOOKUP(parent_children_2[[#This Row],[children_id]],abbreviation[],ColumnLanguage+1,FALSE),"")</f>
        <v/>
      </c>
      <c r="E240" s="18"/>
      <c r="F240" s="18"/>
      <c r="G240" s="18"/>
    </row>
    <row r="241" spans="1:7" x14ac:dyDescent="0.25">
      <c r="A241" s="4" t="str">
        <f>IFERROR(parent_children_2[[#This Row],[parent_children_id]],"")</f>
        <v/>
      </c>
      <c r="B241" s="4" t="str">
        <f>IFERROR(VLOOKUP(parent_children_2[[#This Row],[parent_id]],abbreviation[],3,FALSE),"")</f>
        <v/>
      </c>
      <c r="C241" s="4" t="str">
        <f>IFERROR(VLOOKUP(parent_children_2[[#This Row],[children_id]],abbreviation[],ColumnLanguage+1,FALSE),"")</f>
        <v/>
      </c>
      <c r="E241" s="18"/>
      <c r="F241" s="18"/>
      <c r="G241" s="18"/>
    </row>
    <row r="242" spans="1:7" x14ac:dyDescent="0.25">
      <c r="A242" s="4" t="str">
        <f>IFERROR(parent_children_2[[#This Row],[parent_children_id]],"")</f>
        <v/>
      </c>
      <c r="B242" s="4" t="str">
        <f>IFERROR(VLOOKUP(parent_children_2[[#This Row],[parent_id]],abbreviation[],3,FALSE),"")</f>
        <v/>
      </c>
      <c r="C242" s="4" t="str">
        <f>IFERROR(VLOOKUP(parent_children_2[[#This Row],[children_id]],abbreviation[],ColumnLanguage+1,FALSE),"")</f>
        <v/>
      </c>
      <c r="E242" s="18"/>
      <c r="F242" s="18"/>
      <c r="G242" s="18"/>
    </row>
    <row r="243" spans="1:7" x14ac:dyDescent="0.25">
      <c r="A243" s="4" t="str">
        <f>IFERROR(parent_children_2[[#This Row],[parent_children_id]],"")</f>
        <v/>
      </c>
      <c r="B243" s="4" t="str">
        <f>IFERROR(VLOOKUP(parent_children_2[[#This Row],[parent_id]],abbreviation[],3,FALSE),"")</f>
        <v/>
      </c>
      <c r="C243" s="4" t="str">
        <f>IFERROR(VLOOKUP(parent_children_2[[#This Row],[children_id]],abbreviation[],ColumnLanguage+1,FALSE),"")</f>
        <v/>
      </c>
      <c r="E243" s="18"/>
      <c r="F243" s="18"/>
      <c r="G243" s="18"/>
    </row>
    <row r="244" spans="1:7" x14ac:dyDescent="0.25">
      <c r="A244" s="4" t="str">
        <f>IFERROR(parent_children_2[[#This Row],[parent_children_id]],"")</f>
        <v/>
      </c>
      <c r="B244" s="4" t="str">
        <f>IFERROR(VLOOKUP(parent_children_2[[#This Row],[parent_id]],abbreviation[],3,FALSE),"")</f>
        <v/>
      </c>
      <c r="C244" s="4" t="str">
        <f>IFERROR(VLOOKUP(parent_children_2[[#This Row],[children_id]],abbreviation[],ColumnLanguage+1,FALSE),"")</f>
        <v/>
      </c>
      <c r="E244" s="18"/>
      <c r="F244" s="18"/>
      <c r="G244" s="18"/>
    </row>
    <row r="245" spans="1:7" x14ac:dyDescent="0.25">
      <c r="A245" s="4" t="str">
        <f>IFERROR(parent_children_2[[#This Row],[parent_children_id]],"")</f>
        <v/>
      </c>
      <c r="B245" s="4" t="str">
        <f>IFERROR(VLOOKUP(parent_children_2[[#This Row],[parent_id]],abbreviation[],3,FALSE),"")</f>
        <v/>
      </c>
      <c r="C245" s="4" t="str">
        <f>IFERROR(VLOOKUP(parent_children_2[[#This Row],[children_id]],abbreviation[],ColumnLanguage+1,FALSE),"")</f>
        <v/>
      </c>
      <c r="E245" s="18"/>
      <c r="F245" s="18"/>
      <c r="G245" s="18"/>
    </row>
    <row r="246" spans="1:7" x14ac:dyDescent="0.25">
      <c r="A246" s="4" t="str">
        <f>IFERROR(parent_children_2[[#This Row],[parent_children_id]],"")</f>
        <v/>
      </c>
      <c r="B246" s="4" t="str">
        <f>IFERROR(VLOOKUP(parent_children_2[[#This Row],[parent_id]],abbreviation[],3,FALSE),"")</f>
        <v/>
      </c>
      <c r="C246" s="4" t="str">
        <f>IFERROR(VLOOKUP(parent_children_2[[#This Row],[children_id]],abbreviation[],ColumnLanguage+1,FALSE),"")</f>
        <v/>
      </c>
      <c r="E246" s="18"/>
      <c r="F246" s="18"/>
      <c r="G246" s="18"/>
    </row>
    <row r="247" spans="1:7" x14ac:dyDescent="0.25">
      <c r="A247" s="4" t="str">
        <f>IFERROR(parent_children_2[[#This Row],[parent_children_id]],"")</f>
        <v/>
      </c>
      <c r="B247" s="4" t="str">
        <f>IFERROR(VLOOKUP(parent_children_2[[#This Row],[parent_id]],abbreviation[],3,FALSE),"")</f>
        <v/>
      </c>
      <c r="C247" s="4" t="str">
        <f>IFERROR(VLOOKUP(parent_children_2[[#This Row],[children_id]],abbreviation[],ColumnLanguage+1,FALSE),"")</f>
        <v/>
      </c>
      <c r="E247" s="18"/>
      <c r="F247" s="18"/>
      <c r="G247" s="18"/>
    </row>
    <row r="248" spans="1:7" x14ac:dyDescent="0.25">
      <c r="A248" s="4" t="str">
        <f>IFERROR(parent_children_2[[#This Row],[parent_children_id]],"")</f>
        <v/>
      </c>
      <c r="B248" s="4" t="str">
        <f>IFERROR(VLOOKUP(parent_children_2[[#This Row],[parent_id]],abbreviation[],3,FALSE),"")</f>
        <v/>
      </c>
      <c r="C248" s="4" t="str">
        <f>IFERROR(VLOOKUP(parent_children_2[[#This Row],[children_id]],abbreviation[],ColumnLanguage+1,FALSE),"")</f>
        <v/>
      </c>
      <c r="E248" s="18"/>
      <c r="F248" s="18"/>
      <c r="G248" s="18"/>
    </row>
    <row r="249" spans="1:7" x14ac:dyDescent="0.25">
      <c r="A249" s="4" t="str">
        <f>IFERROR(parent_children_2[[#This Row],[parent_children_id]],"")</f>
        <v/>
      </c>
      <c r="B249" s="4" t="str">
        <f>IFERROR(VLOOKUP(parent_children_2[[#This Row],[parent_id]],abbreviation[],3,FALSE),"")</f>
        <v/>
      </c>
      <c r="C249" s="4" t="str">
        <f>IFERROR(VLOOKUP(parent_children_2[[#This Row],[children_id]],abbreviation[],ColumnLanguage+1,FALSE),"")</f>
        <v/>
      </c>
      <c r="E249" s="18"/>
      <c r="F249" s="18"/>
      <c r="G249" s="18"/>
    </row>
    <row r="250" spans="1:7" x14ac:dyDescent="0.25">
      <c r="A250" s="4" t="str">
        <f>IFERROR(parent_children_2[[#This Row],[parent_children_id]],"")</f>
        <v/>
      </c>
      <c r="B250" s="4" t="str">
        <f>IFERROR(VLOOKUP(parent_children_2[[#This Row],[parent_id]],abbreviation[],3,FALSE),"")</f>
        <v/>
      </c>
      <c r="C250" s="4" t="str">
        <f>IFERROR(VLOOKUP(parent_children_2[[#This Row],[children_id]],abbreviation[],ColumnLanguage+1,FALSE),"")</f>
        <v/>
      </c>
      <c r="E250" s="18"/>
      <c r="F250" s="18"/>
      <c r="G250" s="18"/>
    </row>
    <row r="251" spans="1:7" x14ac:dyDescent="0.25">
      <c r="A251" s="4" t="str">
        <f>IFERROR(parent_children_2[[#This Row],[parent_children_id]],"")</f>
        <v/>
      </c>
      <c r="B251" s="4" t="str">
        <f>IFERROR(VLOOKUP(parent_children_2[[#This Row],[parent_id]],abbreviation[],3,FALSE),"")</f>
        <v/>
      </c>
      <c r="C251" s="4" t="str">
        <f>IFERROR(VLOOKUP(parent_children_2[[#This Row],[children_id]],abbreviation[],ColumnLanguage+1,FALSE),"")</f>
        <v/>
      </c>
      <c r="E251" s="18"/>
      <c r="F251" s="18"/>
      <c r="G251" s="18"/>
    </row>
    <row r="252" spans="1:7" x14ac:dyDescent="0.25">
      <c r="A252" s="4" t="str">
        <f>IFERROR(parent_children_2[[#This Row],[parent_children_id]],"")</f>
        <v/>
      </c>
      <c r="B252" s="4" t="str">
        <f>IFERROR(VLOOKUP(parent_children_2[[#This Row],[parent_id]],abbreviation[],3,FALSE),"")</f>
        <v/>
      </c>
      <c r="C252" s="4" t="str">
        <f>IFERROR(VLOOKUP(parent_children_2[[#This Row],[children_id]],abbreviation[],ColumnLanguage+1,FALSE),"")</f>
        <v/>
      </c>
      <c r="E252" s="18"/>
      <c r="F252" s="18"/>
      <c r="G252" s="18"/>
    </row>
    <row r="253" spans="1:7" x14ac:dyDescent="0.25">
      <c r="A253" s="4" t="str">
        <f>IFERROR(parent_children_2[[#This Row],[parent_children_id]],"")</f>
        <v/>
      </c>
      <c r="B253" s="4" t="str">
        <f>IFERROR(VLOOKUP(parent_children_2[[#This Row],[parent_id]],abbreviation[],3,FALSE),"")</f>
        <v/>
      </c>
      <c r="C253" s="4" t="str">
        <f>IFERROR(VLOOKUP(parent_children_2[[#This Row],[children_id]],abbreviation[],ColumnLanguage+1,FALSE),"")</f>
        <v/>
      </c>
      <c r="E253" s="18"/>
      <c r="F253" s="18"/>
      <c r="G253" s="18"/>
    </row>
    <row r="254" spans="1:7" x14ac:dyDescent="0.25">
      <c r="A254" s="4" t="str">
        <f>IFERROR(parent_children_2[[#This Row],[parent_children_id]],"")</f>
        <v/>
      </c>
      <c r="B254" s="4" t="str">
        <f>IFERROR(VLOOKUP(parent_children_2[[#This Row],[parent_id]],abbreviation[],3,FALSE),"")</f>
        <v/>
      </c>
      <c r="C254" s="4" t="str">
        <f>IFERROR(VLOOKUP(parent_children_2[[#This Row],[children_id]],abbreviation[],ColumnLanguage+1,FALSE),"")</f>
        <v/>
      </c>
      <c r="E254" s="18"/>
      <c r="F254" s="18"/>
      <c r="G254" s="18"/>
    </row>
    <row r="255" spans="1:7" x14ac:dyDescent="0.25">
      <c r="A255" s="4" t="str">
        <f>IFERROR(parent_children_2[[#This Row],[parent_children_id]],"")</f>
        <v/>
      </c>
      <c r="B255" s="4" t="str">
        <f>IFERROR(VLOOKUP(parent_children_2[[#This Row],[parent_id]],abbreviation[],3,FALSE),"")</f>
        <v/>
      </c>
      <c r="C255" s="4" t="str">
        <f>IFERROR(VLOOKUP(parent_children_2[[#This Row],[children_id]],abbreviation[],ColumnLanguage+1,FALSE),"")</f>
        <v/>
      </c>
      <c r="E255" s="18"/>
      <c r="F255" s="18"/>
      <c r="G255" s="18"/>
    </row>
    <row r="256" spans="1:7" x14ac:dyDescent="0.25">
      <c r="A256" s="4" t="str">
        <f>IFERROR(parent_children_2[[#This Row],[parent_children_id]],"")</f>
        <v/>
      </c>
      <c r="B256" s="4" t="str">
        <f>IFERROR(VLOOKUP(parent_children_2[[#This Row],[parent_id]],abbreviation[],3,FALSE),"")</f>
        <v/>
      </c>
      <c r="C256" s="4" t="str">
        <f>IFERROR(VLOOKUP(parent_children_2[[#This Row],[children_id]],abbreviation[],ColumnLanguage+1,FALSE),"")</f>
        <v/>
      </c>
      <c r="E256" s="18"/>
      <c r="F256" s="18"/>
      <c r="G256" s="18"/>
    </row>
    <row r="257" spans="1:7" x14ac:dyDescent="0.25">
      <c r="A257" s="4" t="str">
        <f>IFERROR(parent_children_2[[#This Row],[parent_children_id]],"")</f>
        <v/>
      </c>
      <c r="B257" s="4" t="str">
        <f>IFERROR(VLOOKUP(parent_children_2[[#This Row],[parent_id]],abbreviation[],3,FALSE),"")</f>
        <v/>
      </c>
      <c r="C257" s="4" t="str">
        <f>IFERROR(VLOOKUP(parent_children_2[[#This Row],[children_id]],abbreviation[],ColumnLanguage+1,FALSE),"")</f>
        <v/>
      </c>
      <c r="E257" s="18"/>
      <c r="F257" s="18"/>
      <c r="G257" s="18"/>
    </row>
    <row r="258" spans="1:7" x14ac:dyDescent="0.25">
      <c r="A258" s="4" t="str">
        <f>IFERROR(parent_children_2[[#This Row],[parent_children_id]],"")</f>
        <v/>
      </c>
      <c r="B258" s="4" t="str">
        <f>IFERROR(VLOOKUP(parent_children_2[[#This Row],[parent_id]],abbreviation[],3,FALSE),"")</f>
        <v/>
      </c>
      <c r="C258" s="4" t="str">
        <f>IFERROR(VLOOKUP(parent_children_2[[#This Row],[children_id]],abbreviation[],ColumnLanguage+1,FALSE),"")</f>
        <v/>
      </c>
      <c r="E258" s="18"/>
      <c r="F258" s="18"/>
      <c r="G258" s="18"/>
    </row>
    <row r="259" spans="1:7" x14ac:dyDescent="0.25">
      <c r="A259" s="4" t="str">
        <f>IFERROR(parent_children_2[[#This Row],[parent_children_id]],"")</f>
        <v/>
      </c>
      <c r="B259" s="4" t="str">
        <f>IFERROR(VLOOKUP(parent_children_2[[#This Row],[parent_id]],abbreviation[],3,FALSE),"")</f>
        <v/>
      </c>
      <c r="C259" s="4" t="str">
        <f>IFERROR(VLOOKUP(parent_children_2[[#This Row],[children_id]],abbreviation[],ColumnLanguage+1,FALSE),"")</f>
        <v/>
      </c>
      <c r="E259" s="18"/>
      <c r="F259" s="18"/>
      <c r="G259" s="18"/>
    </row>
    <row r="260" spans="1:7" x14ac:dyDescent="0.25">
      <c r="A260" s="4" t="str">
        <f>IFERROR(parent_children_2[[#This Row],[parent_children_id]],"")</f>
        <v/>
      </c>
      <c r="B260" s="4" t="str">
        <f>IFERROR(VLOOKUP(parent_children_2[[#This Row],[parent_id]],abbreviation[],3,FALSE),"")</f>
        <v/>
      </c>
      <c r="C260" s="4" t="str">
        <f>IFERROR(VLOOKUP(parent_children_2[[#This Row],[children_id]],abbreviation[],ColumnLanguage+1,FALSE),"")</f>
        <v/>
      </c>
      <c r="E260" s="18"/>
      <c r="F260" s="18"/>
      <c r="G260" s="18"/>
    </row>
    <row r="261" spans="1:7" x14ac:dyDescent="0.25">
      <c r="A261" s="4" t="str">
        <f>IFERROR(parent_children_2[[#This Row],[parent_children_id]],"")</f>
        <v/>
      </c>
      <c r="B261" s="4" t="str">
        <f>IFERROR(VLOOKUP(parent_children_2[[#This Row],[parent_id]],abbreviation[],3,FALSE),"")</f>
        <v/>
      </c>
      <c r="C261" s="4" t="str">
        <f>IFERROR(VLOOKUP(parent_children_2[[#This Row],[children_id]],abbreviation[],ColumnLanguage+1,FALSE),"")</f>
        <v/>
      </c>
      <c r="E261" s="18"/>
      <c r="F261" s="18"/>
      <c r="G261" s="18"/>
    </row>
    <row r="262" spans="1:7" x14ac:dyDescent="0.25">
      <c r="A262" s="4" t="str">
        <f>IFERROR(parent_children_2[[#This Row],[parent_children_id]],"")</f>
        <v/>
      </c>
      <c r="B262" s="4" t="str">
        <f>IFERROR(VLOOKUP(parent_children_2[[#This Row],[parent_id]],abbreviation[],3,FALSE),"")</f>
        <v/>
      </c>
      <c r="C262" s="4" t="str">
        <f>IFERROR(VLOOKUP(parent_children_2[[#This Row],[children_id]],abbreviation[],ColumnLanguage+1,FALSE),"")</f>
        <v/>
      </c>
      <c r="E262" s="18"/>
      <c r="F262" s="18"/>
      <c r="G262" s="18"/>
    </row>
    <row r="263" spans="1:7" x14ac:dyDescent="0.25">
      <c r="A263" s="4" t="str">
        <f>IFERROR(parent_children_2[[#This Row],[parent_children_id]],"")</f>
        <v/>
      </c>
      <c r="B263" s="4" t="str">
        <f>IFERROR(VLOOKUP(parent_children_2[[#This Row],[parent_id]],abbreviation[],3,FALSE),"")</f>
        <v/>
      </c>
      <c r="C263" s="4" t="str">
        <f>IFERROR(VLOOKUP(parent_children_2[[#This Row],[children_id]],abbreviation[],ColumnLanguage+1,FALSE),"")</f>
        <v/>
      </c>
      <c r="E263" s="18"/>
      <c r="F263" s="18"/>
      <c r="G263" s="18"/>
    </row>
    <row r="264" spans="1:7" x14ac:dyDescent="0.25">
      <c r="A264" s="4" t="str">
        <f>IFERROR(parent_children_2[[#This Row],[parent_children_id]],"")</f>
        <v/>
      </c>
      <c r="B264" s="4" t="str">
        <f>IFERROR(VLOOKUP(parent_children_2[[#This Row],[parent_id]],abbreviation[],3,FALSE),"")</f>
        <v/>
      </c>
      <c r="C264" s="4" t="str">
        <f>IFERROR(VLOOKUP(parent_children_2[[#This Row],[children_id]],abbreviation[],ColumnLanguage+1,FALSE),"")</f>
        <v/>
      </c>
      <c r="E264" s="18"/>
      <c r="F264" s="18"/>
      <c r="G264" s="18"/>
    </row>
    <row r="265" spans="1:7" x14ac:dyDescent="0.25">
      <c r="A265" s="4" t="str">
        <f>IFERROR(parent_children_2[[#This Row],[parent_children_id]],"")</f>
        <v/>
      </c>
      <c r="B265" s="4" t="str">
        <f>IFERROR(VLOOKUP(parent_children_2[[#This Row],[parent_id]],abbreviation[],3,FALSE),"")</f>
        <v/>
      </c>
      <c r="C265" s="4" t="str">
        <f>IFERROR(VLOOKUP(parent_children_2[[#This Row],[children_id]],abbreviation[],ColumnLanguage+1,FALSE),"")</f>
        <v/>
      </c>
      <c r="E265" s="18"/>
      <c r="F265" s="18"/>
      <c r="G265" s="18"/>
    </row>
    <row r="266" spans="1:7" x14ac:dyDescent="0.25">
      <c r="A266" s="4" t="str">
        <f>IFERROR(parent_children_2[[#This Row],[parent_children_id]],"")</f>
        <v/>
      </c>
      <c r="B266" s="4" t="str">
        <f>IFERROR(VLOOKUP(parent_children_2[[#This Row],[parent_id]],abbreviation[],3,FALSE),"")</f>
        <v/>
      </c>
      <c r="C266" s="4" t="str">
        <f>IFERROR(VLOOKUP(parent_children_2[[#This Row],[children_id]],abbreviation[],ColumnLanguage+1,FALSE),"")</f>
        <v/>
      </c>
      <c r="E266" s="18"/>
      <c r="F266" s="18"/>
      <c r="G266" s="18"/>
    </row>
    <row r="267" spans="1:7" x14ac:dyDescent="0.25">
      <c r="A267" s="4" t="str">
        <f>IFERROR(parent_children_2[[#This Row],[parent_children_id]],"")</f>
        <v/>
      </c>
      <c r="B267" s="4" t="str">
        <f>IFERROR(VLOOKUP(parent_children_2[[#This Row],[parent_id]],abbreviation[],3,FALSE),"")</f>
        <v/>
      </c>
      <c r="C267" s="4" t="str">
        <f>IFERROR(VLOOKUP(parent_children_2[[#This Row],[children_id]],abbreviation[],ColumnLanguage+1,FALSE),"")</f>
        <v/>
      </c>
      <c r="E267" s="18"/>
      <c r="F267" s="18"/>
      <c r="G267" s="18"/>
    </row>
    <row r="268" spans="1:7" x14ac:dyDescent="0.25">
      <c r="A268" s="4" t="str">
        <f>IFERROR(parent_children_2[[#This Row],[parent_children_id]],"")</f>
        <v/>
      </c>
      <c r="B268" s="4" t="str">
        <f>IFERROR(VLOOKUP(parent_children_2[[#This Row],[parent_id]],abbreviation[],3,FALSE),"")</f>
        <v/>
      </c>
      <c r="C268" s="4" t="str">
        <f>IFERROR(VLOOKUP(parent_children_2[[#This Row],[children_id]],abbreviation[],ColumnLanguage+1,FALSE),"")</f>
        <v/>
      </c>
      <c r="E268" s="18"/>
      <c r="F268" s="18"/>
      <c r="G268" s="18"/>
    </row>
    <row r="269" spans="1:7" x14ac:dyDescent="0.25">
      <c r="A269" s="4" t="str">
        <f>IFERROR(parent_children_2[[#This Row],[parent_children_id]],"")</f>
        <v/>
      </c>
      <c r="B269" s="4" t="str">
        <f>IFERROR(VLOOKUP(parent_children_2[[#This Row],[parent_id]],abbreviation[],3,FALSE),"")</f>
        <v/>
      </c>
      <c r="C269" s="4" t="str">
        <f>IFERROR(VLOOKUP(parent_children_2[[#This Row],[children_id]],abbreviation[],ColumnLanguage+1,FALSE),"")</f>
        <v/>
      </c>
      <c r="E269" s="18"/>
      <c r="F269" s="18"/>
      <c r="G269" s="18"/>
    </row>
    <row r="270" spans="1:7" x14ac:dyDescent="0.25">
      <c r="A270" s="4" t="str">
        <f>IFERROR(parent_children_2[[#This Row],[parent_children_id]],"")</f>
        <v/>
      </c>
      <c r="B270" s="4" t="str">
        <f>IFERROR(VLOOKUP(parent_children_2[[#This Row],[parent_id]],abbreviation[],3,FALSE),"")</f>
        <v/>
      </c>
      <c r="C270" s="4" t="str">
        <f>IFERROR(VLOOKUP(parent_children_2[[#This Row],[children_id]],abbreviation[],ColumnLanguage+1,FALSE),"")</f>
        <v/>
      </c>
      <c r="E270" s="18"/>
      <c r="F270" s="18"/>
      <c r="G270" s="18"/>
    </row>
    <row r="271" spans="1:7" x14ac:dyDescent="0.25">
      <c r="A271" s="4" t="str">
        <f>IFERROR(parent_children_2[[#This Row],[parent_children_id]],"")</f>
        <v/>
      </c>
      <c r="B271" s="4" t="str">
        <f>IFERROR(VLOOKUP(parent_children_2[[#This Row],[parent_id]],abbreviation[],3,FALSE),"")</f>
        <v/>
      </c>
      <c r="C271" s="4" t="str">
        <f>IFERROR(VLOOKUP(parent_children_2[[#This Row],[children_id]],abbreviation[],ColumnLanguage+1,FALSE),"")</f>
        <v/>
      </c>
      <c r="E271" s="18"/>
      <c r="F271" s="18"/>
      <c r="G271" s="18"/>
    </row>
    <row r="272" spans="1:7" x14ac:dyDescent="0.25">
      <c r="A272" s="4" t="str">
        <f>IFERROR(parent_children_2[[#This Row],[parent_children_id]],"")</f>
        <v/>
      </c>
      <c r="B272" s="4" t="str">
        <f>IFERROR(VLOOKUP(parent_children_2[[#This Row],[parent_id]],abbreviation[],3,FALSE),"")</f>
        <v/>
      </c>
      <c r="C272" s="4" t="str">
        <f>IFERROR(VLOOKUP(parent_children_2[[#This Row],[children_id]],abbreviation[],ColumnLanguage+1,FALSE),"")</f>
        <v/>
      </c>
      <c r="E272" s="18"/>
      <c r="F272" s="18"/>
      <c r="G272" s="18"/>
    </row>
    <row r="273" spans="1:7" x14ac:dyDescent="0.25">
      <c r="A273" s="4" t="str">
        <f>IFERROR(parent_children_2[[#This Row],[parent_children_id]],"")</f>
        <v/>
      </c>
      <c r="B273" s="4" t="str">
        <f>IFERROR(VLOOKUP(parent_children_2[[#This Row],[parent_id]],abbreviation[],3,FALSE),"")</f>
        <v/>
      </c>
      <c r="C273" s="4" t="str">
        <f>IFERROR(VLOOKUP(parent_children_2[[#This Row],[children_id]],abbreviation[],ColumnLanguage+1,FALSE),"")</f>
        <v/>
      </c>
      <c r="E273" s="18"/>
      <c r="F273" s="18"/>
      <c r="G273" s="18"/>
    </row>
    <row r="274" spans="1:7" x14ac:dyDescent="0.25">
      <c r="A274" s="4" t="str">
        <f>IFERROR(parent_children_2[[#This Row],[parent_children_id]],"")</f>
        <v/>
      </c>
      <c r="B274" s="4" t="str">
        <f>IFERROR(VLOOKUP(parent_children_2[[#This Row],[parent_id]],abbreviation[],3,FALSE),"")</f>
        <v/>
      </c>
      <c r="C274" s="4" t="str">
        <f>IFERROR(VLOOKUP(parent_children_2[[#This Row],[children_id]],abbreviation[],ColumnLanguage+1,FALSE),"")</f>
        <v/>
      </c>
      <c r="E274" s="18"/>
      <c r="F274" s="18"/>
      <c r="G274" s="18"/>
    </row>
    <row r="275" spans="1:7" x14ac:dyDescent="0.25">
      <c r="A275" s="4" t="str">
        <f>IFERROR(parent_children_2[[#This Row],[parent_children_id]],"")</f>
        <v/>
      </c>
      <c r="B275" s="4" t="str">
        <f>IFERROR(VLOOKUP(parent_children_2[[#This Row],[parent_id]],abbreviation[],3,FALSE),"")</f>
        <v/>
      </c>
      <c r="C275" s="4" t="str">
        <f>IFERROR(VLOOKUP(parent_children_2[[#This Row],[children_id]],abbreviation[],ColumnLanguage+1,FALSE),"")</f>
        <v/>
      </c>
      <c r="E275" s="18"/>
      <c r="F275" s="18"/>
      <c r="G275" s="18"/>
    </row>
    <row r="276" spans="1:7" x14ac:dyDescent="0.25">
      <c r="A276" s="4" t="str">
        <f>IFERROR(parent_children_2[[#This Row],[parent_children_id]],"")</f>
        <v/>
      </c>
      <c r="B276" s="4" t="str">
        <f>IFERROR(VLOOKUP(parent_children_2[[#This Row],[parent_id]],abbreviation[],3,FALSE),"")</f>
        <v/>
      </c>
      <c r="C276" s="4" t="str">
        <f>IFERROR(VLOOKUP(parent_children_2[[#This Row],[children_id]],abbreviation[],ColumnLanguage+1,FALSE),"")</f>
        <v/>
      </c>
      <c r="E276" s="18"/>
      <c r="F276" s="18"/>
      <c r="G276" s="18"/>
    </row>
    <row r="277" spans="1:7" x14ac:dyDescent="0.25">
      <c r="A277" s="4" t="str">
        <f>IFERROR(parent_children_2[[#This Row],[parent_children_id]],"")</f>
        <v/>
      </c>
      <c r="B277" s="4" t="str">
        <f>IFERROR(VLOOKUP(parent_children_2[[#This Row],[parent_id]],abbreviation[],3,FALSE),"")</f>
        <v/>
      </c>
      <c r="C277" s="4" t="str">
        <f>IFERROR(VLOOKUP(parent_children_2[[#This Row],[children_id]],abbreviation[],ColumnLanguage+1,FALSE),"")</f>
        <v/>
      </c>
      <c r="E277" s="18"/>
      <c r="F277" s="18"/>
      <c r="G277" s="18"/>
    </row>
    <row r="278" spans="1:7" x14ac:dyDescent="0.25">
      <c r="A278" s="4" t="str">
        <f>IFERROR(parent_children_2[[#This Row],[parent_children_id]],"")</f>
        <v/>
      </c>
      <c r="B278" s="4" t="str">
        <f>IFERROR(VLOOKUP(parent_children_2[[#This Row],[parent_id]],abbreviation[],3,FALSE),"")</f>
        <v/>
      </c>
      <c r="C278" s="4" t="str">
        <f>IFERROR(VLOOKUP(parent_children_2[[#This Row],[children_id]],abbreviation[],ColumnLanguage+1,FALSE),"")</f>
        <v/>
      </c>
      <c r="E278" s="18"/>
      <c r="F278" s="18"/>
      <c r="G278" s="18"/>
    </row>
    <row r="279" spans="1:7" x14ac:dyDescent="0.25">
      <c r="A279" s="4" t="str">
        <f>IFERROR(parent_children_2[[#This Row],[parent_children_id]],"")</f>
        <v/>
      </c>
      <c r="B279" s="4" t="str">
        <f>IFERROR(VLOOKUP(parent_children_2[[#This Row],[parent_id]],abbreviation[],3,FALSE),"")</f>
        <v/>
      </c>
      <c r="C279" s="4" t="str">
        <f>IFERROR(VLOOKUP(parent_children_2[[#This Row],[children_id]],abbreviation[],ColumnLanguage+1,FALSE),"")</f>
        <v/>
      </c>
      <c r="E279" s="18"/>
      <c r="F279" s="18"/>
      <c r="G279" s="18"/>
    </row>
    <row r="280" spans="1:7" x14ac:dyDescent="0.25">
      <c r="A280" s="4" t="str">
        <f>IFERROR(parent_children_2[[#This Row],[parent_children_id]],"")</f>
        <v/>
      </c>
      <c r="B280" s="4" t="str">
        <f>IFERROR(VLOOKUP(parent_children_2[[#This Row],[parent_id]],abbreviation[],3,FALSE),"")</f>
        <v/>
      </c>
      <c r="C280" s="4" t="str">
        <f>IFERROR(VLOOKUP(parent_children_2[[#This Row],[children_id]],abbreviation[],ColumnLanguage+1,FALSE),"")</f>
        <v/>
      </c>
      <c r="E280" s="18"/>
      <c r="F280" s="18"/>
      <c r="G280" s="18"/>
    </row>
    <row r="281" spans="1:7" x14ac:dyDescent="0.25">
      <c r="A281" s="4" t="str">
        <f>IFERROR(parent_children_2[[#This Row],[parent_children_id]],"")</f>
        <v/>
      </c>
      <c r="B281" s="4" t="str">
        <f>IFERROR(VLOOKUP(parent_children_2[[#This Row],[parent_id]],abbreviation[],3,FALSE),"")</f>
        <v/>
      </c>
      <c r="C281" s="4" t="str">
        <f>IFERROR(VLOOKUP(parent_children_2[[#This Row],[children_id]],abbreviation[],ColumnLanguage+1,FALSE),"")</f>
        <v/>
      </c>
      <c r="E281" s="18"/>
      <c r="F281" s="18"/>
      <c r="G281" s="18"/>
    </row>
    <row r="282" spans="1:7" x14ac:dyDescent="0.25">
      <c r="A282" s="4" t="str">
        <f>IFERROR(parent_children_2[[#This Row],[parent_children_id]],"")</f>
        <v/>
      </c>
      <c r="B282" s="4" t="str">
        <f>IFERROR(VLOOKUP(parent_children_2[[#This Row],[parent_id]],abbreviation[],3,FALSE),"")</f>
        <v/>
      </c>
      <c r="C282" s="4" t="str">
        <f>IFERROR(VLOOKUP(parent_children_2[[#This Row],[children_id]],abbreviation[],ColumnLanguage+1,FALSE),"")</f>
        <v/>
      </c>
      <c r="E282" s="18"/>
      <c r="F282" s="18"/>
      <c r="G282" s="18"/>
    </row>
    <row r="283" spans="1:7" x14ac:dyDescent="0.25">
      <c r="A283" s="4" t="str">
        <f>IFERROR(parent_children_2[[#This Row],[parent_children_id]],"")</f>
        <v/>
      </c>
      <c r="B283" s="4" t="str">
        <f>IFERROR(VLOOKUP(parent_children_2[[#This Row],[parent_id]],abbreviation[],3,FALSE),"")</f>
        <v/>
      </c>
      <c r="C283" s="4" t="str">
        <f>IFERROR(VLOOKUP(parent_children_2[[#This Row],[children_id]],abbreviation[],ColumnLanguage+1,FALSE),"")</f>
        <v/>
      </c>
      <c r="E283" s="18"/>
      <c r="F283" s="18"/>
      <c r="G283" s="18"/>
    </row>
    <row r="284" spans="1:7" x14ac:dyDescent="0.25">
      <c r="A284" s="4" t="str">
        <f>IFERROR(parent_children_2[[#This Row],[parent_children_id]],"")</f>
        <v/>
      </c>
      <c r="B284" s="4" t="str">
        <f>IFERROR(VLOOKUP(parent_children_2[[#This Row],[parent_id]],abbreviation[],3,FALSE),"")</f>
        <v/>
      </c>
      <c r="C284" s="4" t="str">
        <f>IFERROR(VLOOKUP(parent_children_2[[#This Row],[children_id]],abbreviation[],ColumnLanguage+1,FALSE),"")</f>
        <v/>
      </c>
      <c r="E284" s="18"/>
      <c r="F284" s="18"/>
      <c r="G284" s="18"/>
    </row>
    <row r="285" spans="1:7" x14ac:dyDescent="0.25">
      <c r="A285" s="4" t="str">
        <f>IFERROR(parent_children_2[[#This Row],[parent_children_id]],"")</f>
        <v/>
      </c>
      <c r="B285" s="4" t="str">
        <f>IFERROR(VLOOKUP(parent_children_2[[#This Row],[parent_id]],abbreviation[],3,FALSE),"")</f>
        <v/>
      </c>
      <c r="C285" s="4" t="str">
        <f>IFERROR(VLOOKUP(parent_children_2[[#This Row],[children_id]],abbreviation[],ColumnLanguage+1,FALSE),"")</f>
        <v/>
      </c>
      <c r="E285" s="18"/>
      <c r="F285" s="18"/>
      <c r="G285" s="18"/>
    </row>
    <row r="286" spans="1:7" x14ac:dyDescent="0.25">
      <c r="A286" s="4" t="str">
        <f>IFERROR(parent_children_2[[#This Row],[parent_children_id]],"")</f>
        <v/>
      </c>
      <c r="B286" s="4" t="str">
        <f>IFERROR(VLOOKUP(parent_children_2[[#This Row],[parent_id]],abbreviation[],3,FALSE),"")</f>
        <v/>
      </c>
      <c r="C286" s="4" t="str">
        <f>IFERROR(VLOOKUP(parent_children_2[[#This Row],[children_id]],abbreviation[],ColumnLanguage+1,FALSE),"")</f>
        <v/>
      </c>
      <c r="E286" s="18"/>
      <c r="F286" s="18"/>
      <c r="G286" s="18"/>
    </row>
    <row r="287" spans="1:7" x14ac:dyDescent="0.25">
      <c r="A287" s="4" t="str">
        <f>IFERROR(parent_children_2[[#This Row],[parent_children_id]],"")</f>
        <v/>
      </c>
      <c r="B287" s="4" t="str">
        <f>IFERROR(VLOOKUP(parent_children_2[[#This Row],[parent_id]],abbreviation[],3,FALSE),"")</f>
        <v/>
      </c>
      <c r="C287" s="4" t="str">
        <f>IFERROR(VLOOKUP(parent_children_2[[#This Row],[children_id]],abbreviation[],ColumnLanguage+1,FALSE),"")</f>
        <v/>
      </c>
      <c r="E287" s="18"/>
      <c r="F287" s="18"/>
      <c r="G287" s="18"/>
    </row>
    <row r="288" spans="1:7" x14ac:dyDescent="0.25">
      <c r="A288" s="4" t="str">
        <f>IFERROR(parent_children_2[[#This Row],[parent_children_id]],"")</f>
        <v/>
      </c>
      <c r="B288" s="4" t="str">
        <f>IFERROR(VLOOKUP(parent_children_2[[#This Row],[parent_id]],abbreviation[],3,FALSE),"")</f>
        <v/>
      </c>
      <c r="C288" s="4" t="str">
        <f>IFERROR(VLOOKUP(parent_children_2[[#This Row],[children_id]],abbreviation[],ColumnLanguage+1,FALSE),"")</f>
        <v/>
      </c>
      <c r="E288" s="18"/>
      <c r="F288" s="18"/>
      <c r="G288" s="18"/>
    </row>
    <row r="289" spans="1:7" x14ac:dyDescent="0.25">
      <c r="A289" s="4" t="str">
        <f>IFERROR(parent_children_2[[#This Row],[parent_children_id]],"")</f>
        <v/>
      </c>
      <c r="B289" s="4" t="str">
        <f>IFERROR(VLOOKUP(parent_children_2[[#This Row],[parent_id]],abbreviation[],3,FALSE),"")</f>
        <v/>
      </c>
      <c r="C289" s="4" t="str">
        <f>IFERROR(VLOOKUP(parent_children_2[[#This Row],[children_id]],abbreviation[],ColumnLanguage+1,FALSE),"")</f>
        <v/>
      </c>
      <c r="E289" s="18"/>
      <c r="F289" s="18"/>
      <c r="G289" s="18"/>
    </row>
    <row r="290" spans="1:7" x14ac:dyDescent="0.25">
      <c r="A290" s="4" t="str">
        <f>IFERROR(parent_children_2[[#This Row],[parent_children_id]],"")</f>
        <v/>
      </c>
      <c r="B290" s="4" t="str">
        <f>IFERROR(VLOOKUP(parent_children_2[[#This Row],[parent_id]],abbreviation[],3,FALSE),"")</f>
        <v/>
      </c>
      <c r="C290" s="4" t="str">
        <f>IFERROR(VLOOKUP(parent_children_2[[#This Row],[children_id]],abbreviation[],ColumnLanguage+1,FALSE),"")</f>
        <v/>
      </c>
      <c r="E290" s="18"/>
      <c r="F290" s="18"/>
      <c r="G290" s="18"/>
    </row>
    <row r="291" spans="1:7" x14ac:dyDescent="0.25">
      <c r="A291" s="4" t="str">
        <f>IFERROR(parent_children_2[[#This Row],[parent_children_id]],"")</f>
        <v/>
      </c>
      <c r="B291" s="4" t="str">
        <f>IFERROR(VLOOKUP(parent_children_2[[#This Row],[parent_id]],abbreviation[],3,FALSE),"")</f>
        <v/>
      </c>
      <c r="C291" s="4" t="str">
        <f>IFERROR(VLOOKUP(parent_children_2[[#This Row],[children_id]],abbreviation[],ColumnLanguage+1,FALSE),"")</f>
        <v/>
      </c>
      <c r="E291" s="18"/>
      <c r="F291" s="18"/>
      <c r="G291" s="18"/>
    </row>
    <row r="292" spans="1:7" x14ac:dyDescent="0.25">
      <c r="A292" s="4" t="str">
        <f>IFERROR(parent_children_2[[#This Row],[parent_children_id]],"")</f>
        <v/>
      </c>
      <c r="B292" s="4" t="str">
        <f>IFERROR(VLOOKUP(parent_children_2[[#This Row],[parent_id]],abbreviation[],3,FALSE),"")</f>
        <v/>
      </c>
      <c r="C292" s="4" t="str">
        <f>IFERROR(VLOOKUP(parent_children_2[[#This Row],[children_id]],abbreviation[],ColumnLanguage+1,FALSE),"")</f>
        <v/>
      </c>
      <c r="E292" s="18"/>
      <c r="F292" s="18"/>
      <c r="G292" s="18"/>
    </row>
    <row r="293" spans="1:7" x14ac:dyDescent="0.25">
      <c r="A293" s="4" t="str">
        <f>IFERROR(parent_children_2[[#This Row],[parent_children_id]],"")</f>
        <v/>
      </c>
      <c r="B293" s="4" t="str">
        <f>IFERROR(VLOOKUP(parent_children_2[[#This Row],[parent_id]],abbreviation[],3,FALSE),"")</f>
        <v/>
      </c>
      <c r="C293" s="4" t="str">
        <f>IFERROR(VLOOKUP(parent_children_2[[#This Row],[children_id]],abbreviation[],ColumnLanguage+1,FALSE),"")</f>
        <v/>
      </c>
      <c r="E293" s="18"/>
      <c r="F293" s="18"/>
      <c r="G293" s="18"/>
    </row>
    <row r="294" spans="1:7" x14ac:dyDescent="0.25">
      <c r="A294" s="4" t="str">
        <f>IFERROR(parent_children_2[[#This Row],[parent_children_id]],"")</f>
        <v/>
      </c>
      <c r="B294" s="4" t="str">
        <f>IFERROR(VLOOKUP(parent_children_2[[#This Row],[parent_id]],abbreviation[],3,FALSE),"")</f>
        <v/>
      </c>
      <c r="C294" s="4" t="str">
        <f>IFERROR(VLOOKUP(parent_children_2[[#This Row],[children_id]],abbreviation[],ColumnLanguage+1,FALSE),"")</f>
        <v/>
      </c>
      <c r="E294" s="18"/>
      <c r="F294" s="18"/>
      <c r="G294" s="18"/>
    </row>
    <row r="295" spans="1:7" x14ac:dyDescent="0.25">
      <c r="A295" s="4" t="str">
        <f>IFERROR(parent_children_2[[#This Row],[parent_children_id]],"")</f>
        <v/>
      </c>
      <c r="B295" s="4" t="str">
        <f>IFERROR(VLOOKUP(parent_children_2[[#This Row],[parent_id]],abbreviation[],3,FALSE),"")</f>
        <v/>
      </c>
      <c r="C295" s="4" t="str">
        <f>IFERROR(VLOOKUP(parent_children_2[[#This Row],[children_id]],abbreviation[],ColumnLanguage+1,FALSE),"")</f>
        <v/>
      </c>
      <c r="E295" s="18"/>
      <c r="F295" s="18"/>
      <c r="G295" s="18"/>
    </row>
    <row r="296" spans="1:7" x14ac:dyDescent="0.25">
      <c r="A296" s="4" t="str">
        <f>IFERROR(parent_children_2[[#This Row],[parent_children_id]],"")</f>
        <v/>
      </c>
      <c r="B296" s="4" t="str">
        <f>IFERROR(VLOOKUP(parent_children_2[[#This Row],[parent_id]],abbreviation[],3,FALSE),"")</f>
        <v/>
      </c>
      <c r="C296" s="4" t="str">
        <f>IFERROR(VLOOKUP(parent_children_2[[#This Row],[children_id]],abbreviation[],ColumnLanguage+1,FALSE),"")</f>
        <v/>
      </c>
      <c r="E296" s="18"/>
      <c r="F296" s="18"/>
      <c r="G296" s="18"/>
    </row>
    <row r="297" spans="1:7" x14ac:dyDescent="0.25">
      <c r="A297" s="4" t="str">
        <f>IFERROR(parent_children_2[[#This Row],[parent_children_id]],"")</f>
        <v/>
      </c>
      <c r="B297" s="4" t="str">
        <f>IFERROR(VLOOKUP(parent_children_2[[#This Row],[parent_id]],abbreviation[],3,FALSE),"")</f>
        <v/>
      </c>
      <c r="C297" s="4" t="str">
        <f>IFERROR(VLOOKUP(parent_children_2[[#This Row],[children_id]],abbreviation[],ColumnLanguage+1,FALSE),"")</f>
        <v/>
      </c>
      <c r="E297" s="19"/>
      <c r="F297" s="19"/>
      <c r="G297" s="19"/>
    </row>
    <row r="298" spans="1:7" x14ac:dyDescent="0.25">
      <c r="A298" s="4" t="str">
        <f>IFERROR(parent_children_2[[#This Row],[parent_children_id]],"")</f>
        <v/>
      </c>
      <c r="B298" s="4" t="str">
        <f>IFERROR(VLOOKUP(parent_children_2[[#This Row],[parent_id]],abbreviation[],3,FALSE),"")</f>
        <v/>
      </c>
      <c r="C298" s="4" t="str">
        <f>IFERROR(VLOOKUP(parent_children_2[[#This Row],[children_id]],abbreviation[],ColumnLanguage+1,FALSE),"")</f>
        <v/>
      </c>
      <c r="E298" s="19"/>
      <c r="F298" s="19"/>
      <c r="G298" s="19"/>
    </row>
    <row r="299" spans="1:7" x14ac:dyDescent="0.25">
      <c r="A299" s="4" t="str">
        <f>IFERROR(parent_children_2[[#This Row],[parent_children_id]],"")</f>
        <v/>
      </c>
      <c r="B299" s="4" t="str">
        <f>IFERROR(VLOOKUP(parent_children_2[[#This Row],[parent_id]],abbreviation[],3,FALSE),"")</f>
        <v/>
      </c>
      <c r="C299" s="4" t="str">
        <f>IFERROR(VLOOKUP(parent_children_2[[#This Row],[children_id]],abbreviation[],ColumnLanguage+1,FALSE),"")</f>
        <v/>
      </c>
      <c r="E299" s="19"/>
      <c r="F299" s="19"/>
      <c r="G299" s="19"/>
    </row>
    <row r="300" spans="1:7" x14ac:dyDescent="0.25">
      <c r="A300" s="4" t="str">
        <f>IFERROR(parent_children_2[[#This Row],[parent_children_id]],"")</f>
        <v/>
      </c>
      <c r="B300" s="4" t="str">
        <f>IFERROR(VLOOKUP(parent_children_2[[#This Row],[parent_id]],abbreviation[],3,FALSE),"")</f>
        <v/>
      </c>
      <c r="C300" s="4" t="str">
        <f>IFERROR(VLOOKUP(parent_children_2[[#This Row],[children_id]],abbreviation[],ColumnLanguage+1,FALSE),"")</f>
        <v/>
      </c>
      <c r="E300" s="19"/>
      <c r="F300" s="19"/>
      <c r="G300" s="19"/>
    </row>
    <row r="301" spans="1:7" x14ac:dyDescent="0.25">
      <c r="A301" s="4" t="str">
        <f>IFERROR(parent_children_2[[#This Row],[parent_children_id]],"")</f>
        <v/>
      </c>
      <c r="B301" s="4" t="str">
        <f>IFERROR(VLOOKUP(parent_children_2[[#This Row],[parent_id]],abbreviation[],3,FALSE),"")</f>
        <v/>
      </c>
      <c r="C301" s="4" t="str">
        <f>IFERROR(VLOOKUP(parent_children_2[[#This Row],[children_id]],abbreviation[],ColumnLanguage+1,FALSE),"")</f>
        <v/>
      </c>
      <c r="E301" s="19"/>
      <c r="F301" s="19"/>
      <c r="G301" s="19"/>
    </row>
    <row r="302" spans="1:7" x14ac:dyDescent="0.25">
      <c r="A302" s="4" t="str">
        <f>IFERROR(parent_children_2[[#This Row],[parent_children_id]],"")</f>
        <v/>
      </c>
      <c r="B302" s="4" t="str">
        <f>IFERROR(VLOOKUP(parent_children_2[[#This Row],[parent_id]],abbreviation[],3,FALSE),"")</f>
        <v/>
      </c>
      <c r="C302" s="4" t="str">
        <f>IFERROR(VLOOKUP(parent_children_2[[#This Row],[children_id]],abbreviation[],ColumnLanguage+1,FALSE),"")</f>
        <v/>
      </c>
      <c r="E302" s="19"/>
      <c r="F302" s="19"/>
      <c r="G302" s="19"/>
    </row>
    <row r="303" spans="1:7" x14ac:dyDescent="0.25">
      <c r="A303" s="4" t="str">
        <f>IFERROR(parent_children_2[[#This Row],[parent_children_id]],"")</f>
        <v/>
      </c>
      <c r="B303" s="4" t="str">
        <f>IFERROR(VLOOKUP(parent_children_2[[#This Row],[parent_id]],abbreviation[],3,FALSE),"")</f>
        <v/>
      </c>
      <c r="C303" s="4" t="str">
        <f>IFERROR(VLOOKUP(parent_children_2[[#This Row],[children_id]],abbreviation[],ColumnLanguage+1,FALSE),"")</f>
        <v/>
      </c>
      <c r="E303" s="19"/>
      <c r="F303" s="19"/>
      <c r="G303" s="19"/>
    </row>
    <row r="304" spans="1:7" x14ac:dyDescent="0.25">
      <c r="A304" s="4" t="str">
        <f>IFERROR(parent_children_2[[#This Row],[parent_children_id]],"")</f>
        <v/>
      </c>
      <c r="B304" s="4" t="str">
        <f>IFERROR(VLOOKUP(parent_children_2[[#This Row],[parent_id]],abbreviation[],3,FALSE),"")</f>
        <v/>
      </c>
      <c r="C304" s="4" t="str">
        <f>IFERROR(VLOOKUP(parent_children_2[[#This Row],[children_id]],abbreviation[],ColumnLanguage+1,FALSE),"")</f>
        <v/>
      </c>
      <c r="E304" s="19"/>
      <c r="F304" s="19"/>
      <c r="G304" s="19"/>
    </row>
    <row r="305" spans="1:7" x14ac:dyDescent="0.25">
      <c r="A305" s="4" t="str">
        <f>IFERROR(parent_children_2[[#This Row],[parent_children_id]],"")</f>
        <v/>
      </c>
      <c r="B305" s="4" t="str">
        <f>IFERROR(VLOOKUP(parent_children_2[[#This Row],[parent_id]],abbreviation[],3,FALSE),"")</f>
        <v/>
      </c>
      <c r="C305" s="4" t="str">
        <f>IFERROR(VLOOKUP(parent_children_2[[#This Row],[children_id]],abbreviation[],ColumnLanguage+1,FALSE),"")</f>
        <v/>
      </c>
      <c r="E305" s="19"/>
      <c r="F305" s="19"/>
      <c r="G305" s="19"/>
    </row>
    <row r="306" spans="1:7" x14ac:dyDescent="0.25">
      <c r="A306" s="4" t="str">
        <f>IFERROR(parent_children_2[[#This Row],[parent_children_id]],"")</f>
        <v/>
      </c>
      <c r="B306" s="4" t="str">
        <f>IFERROR(VLOOKUP(parent_children_2[[#This Row],[parent_id]],abbreviation[],3,FALSE),"")</f>
        <v/>
      </c>
      <c r="C306" s="4" t="str">
        <f>IFERROR(VLOOKUP(parent_children_2[[#This Row],[children_id]],abbreviation[],ColumnLanguage+1,FALSE),"")</f>
        <v/>
      </c>
      <c r="E306" s="19"/>
      <c r="F306" s="19"/>
      <c r="G306" s="19"/>
    </row>
    <row r="307" spans="1:7" x14ac:dyDescent="0.25">
      <c r="A307" s="4" t="str">
        <f>IFERROR(parent_children_2[[#This Row],[parent_children_id]],"")</f>
        <v/>
      </c>
      <c r="B307" s="4" t="str">
        <f>IFERROR(VLOOKUP(parent_children_2[[#This Row],[parent_id]],abbreviation[],3,FALSE),"")</f>
        <v/>
      </c>
      <c r="C307" s="4" t="str">
        <f>IFERROR(VLOOKUP(parent_children_2[[#This Row],[children_id]],abbreviation[],ColumnLanguage+1,FALSE),"")</f>
        <v/>
      </c>
      <c r="E307" s="19"/>
      <c r="F307" s="19"/>
      <c r="G307" s="19"/>
    </row>
    <row r="308" spans="1:7" x14ac:dyDescent="0.25">
      <c r="A308" s="4" t="str">
        <f>IFERROR(parent_children_2[[#This Row],[parent_children_id]],"")</f>
        <v/>
      </c>
      <c r="B308" s="4" t="str">
        <f>IFERROR(VLOOKUP(parent_children_2[[#This Row],[parent_id]],abbreviation[],3,FALSE),"")</f>
        <v/>
      </c>
      <c r="C308" s="4" t="str">
        <f>IFERROR(VLOOKUP(parent_children_2[[#This Row],[children_id]],abbreviation[],ColumnLanguage+1,FALSE),"")</f>
        <v/>
      </c>
      <c r="E308" s="19"/>
      <c r="F308" s="19"/>
      <c r="G308" s="19"/>
    </row>
    <row r="309" spans="1:7" x14ac:dyDescent="0.25">
      <c r="A309" s="4" t="str">
        <f>IFERROR(parent_children_2[[#This Row],[parent_children_id]],"")</f>
        <v/>
      </c>
      <c r="B309" s="4" t="str">
        <f>IFERROR(VLOOKUP(parent_children_2[[#This Row],[parent_id]],abbreviation[],3,FALSE),"")</f>
        <v/>
      </c>
      <c r="C309" s="4" t="str">
        <f>IFERROR(VLOOKUP(parent_children_2[[#This Row],[children_id]],abbreviation[],ColumnLanguage+1,FALSE),"")</f>
        <v/>
      </c>
      <c r="E309" s="19"/>
      <c r="F309" s="19"/>
      <c r="G309" s="19"/>
    </row>
    <row r="310" spans="1:7" x14ac:dyDescent="0.25">
      <c r="A310" s="4" t="str">
        <f>IFERROR(parent_children_2[[#This Row],[parent_children_id]],"")</f>
        <v/>
      </c>
      <c r="B310" s="4" t="str">
        <f>IFERROR(VLOOKUP(parent_children_2[[#This Row],[parent_id]],abbreviation[],3,FALSE),"")</f>
        <v/>
      </c>
      <c r="C310" s="4" t="str">
        <f>IFERROR(VLOOKUP(parent_children_2[[#This Row],[children_id]],abbreviation[],ColumnLanguage+1,FALSE),"")</f>
        <v/>
      </c>
      <c r="E310" s="19"/>
      <c r="F310" s="19"/>
      <c r="G310" s="19"/>
    </row>
    <row r="311" spans="1:7" x14ac:dyDescent="0.25">
      <c r="A311" s="4" t="str">
        <f>IFERROR(parent_children_2[[#This Row],[parent_children_id]],"")</f>
        <v/>
      </c>
      <c r="B311" s="4" t="str">
        <f>IFERROR(VLOOKUP(parent_children_2[[#This Row],[parent_id]],abbreviation[],3,FALSE),"")</f>
        <v/>
      </c>
      <c r="C311" s="4" t="str">
        <f>IFERROR(VLOOKUP(parent_children_2[[#This Row],[children_id]],abbreviation[],ColumnLanguage+1,FALSE),"")</f>
        <v/>
      </c>
      <c r="E311" s="19"/>
      <c r="F311" s="19"/>
      <c r="G311" s="19"/>
    </row>
    <row r="312" spans="1:7" x14ac:dyDescent="0.25">
      <c r="A312" s="4" t="str">
        <f>IFERROR(parent_children_2[[#This Row],[parent_children_id]],"")</f>
        <v/>
      </c>
      <c r="B312" s="4" t="str">
        <f>IFERROR(VLOOKUP(parent_children_2[[#This Row],[parent_id]],abbreviation[],3,FALSE),"")</f>
        <v/>
      </c>
      <c r="C312" s="4" t="str">
        <f>IFERROR(VLOOKUP(parent_children_2[[#This Row],[children_id]],abbreviation[],ColumnLanguage+1,FALSE),"")</f>
        <v/>
      </c>
      <c r="E312" s="19"/>
      <c r="F312" s="19"/>
      <c r="G312" s="19"/>
    </row>
    <row r="313" spans="1:7" x14ac:dyDescent="0.25">
      <c r="A313" s="4" t="str">
        <f>IFERROR(parent_children_2[[#This Row],[parent_children_id]],"")</f>
        <v/>
      </c>
      <c r="B313" s="4" t="str">
        <f>IFERROR(VLOOKUP(parent_children_2[[#This Row],[parent_id]],abbreviation[],3,FALSE),"")</f>
        <v/>
      </c>
      <c r="C313" s="4" t="str">
        <f>IFERROR(VLOOKUP(parent_children_2[[#This Row],[children_id]],abbreviation[],ColumnLanguage+1,FALSE),"")</f>
        <v/>
      </c>
      <c r="E313" s="18"/>
      <c r="F313" s="18"/>
      <c r="G313" s="18"/>
    </row>
    <row r="314" spans="1:7" x14ac:dyDescent="0.25">
      <c r="A314" s="4" t="str">
        <f>IFERROR(parent_children_2[[#This Row],[parent_children_id]],"")</f>
        <v/>
      </c>
      <c r="B314" s="4" t="str">
        <f>IFERROR(VLOOKUP(parent_children_2[[#This Row],[parent_id]],abbreviation[],3,FALSE),"")</f>
        <v/>
      </c>
      <c r="C314" s="4" t="str">
        <f>IFERROR(VLOOKUP(parent_children_2[[#This Row],[children_id]],abbreviation[],ColumnLanguage+1,FALSE),"")</f>
        <v/>
      </c>
      <c r="E314" s="18"/>
      <c r="F314" s="18"/>
      <c r="G314" s="18"/>
    </row>
    <row r="315" spans="1:7" x14ac:dyDescent="0.25">
      <c r="A315" s="4" t="str">
        <f>IFERROR(parent_children_2[[#This Row],[parent_children_id]],"")</f>
        <v/>
      </c>
      <c r="B315" s="4" t="str">
        <f>IFERROR(VLOOKUP(parent_children_2[[#This Row],[parent_id]],abbreviation[],3,FALSE),"")</f>
        <v/>
      </c>
      <c r="C315" s="4" t="str">
        <f>IFERROR(VLOOKUP(parent_children_2[[#This Row],[children_id]],abbreviation[],ColumnLanguage+1,FALSE),"")</f>
        <v/>
      </c>
      <c r="E315" s="18"/>
      <c r="F315" s="18"/>
      <c r="G315" s="18"/>
    </row>
    <row r="316" spans="1:7" x14ac:dyDescent="0.25">
      <c r="A316" s="4" t="str">
        <f>IFERROR(parent_children_2[[#This Row],[parent_children_id]],"")</f>
        <v/>
      </c>
      <c r="B316" s="4" t="str">
        <f>IFERROR(VLOOKUP(parent_children_2[[#This Row],[parent_id]],abbreviation[],3,FALSE),"")</f>
        <v/>
      </c>
      <c r="C316" s="4" t="str">
        <f>IFERROR(VLOOKUP(parent_children_2[[#This Row],[children_id]],abbreviation[],ColumnLanguage+1,FALSE),"")</f>
        <v/>
      </c>
      <c r="E316" s="18"/>
      <c r="F316" s="18"/>
      <c r="G316" s="18"/>
    </row>
    <row r="317" spans="1:7" x14ac:dyDescent="0.25">
      <c r="A317" s="4" t="str">
        <f>IFERROR(parent_children_2[[#This Row],[parent_children_id]],"")</f>
        <v/>
      </c>
      <c r="B317" s="4" t="str">
        <f>IFERROR(VLOOKUP(parent_children_2[[#This Row],[parent_id]],abbreviation[],3,FALSE),"")</f>
        <v/>
      </c>
      <c r="C317" s="4" t="str">
        <f>IFERROR(VLOOKUP(parent_children_2[[#This Row],[children_id]],abbreviation[],ColumnLanguage+1,FALSE),"")</f>
        <v/>
      </c>
      <c r="E317" s="18"/>
      <c r="F317" s="18"/>
      <c r="G317" s="18"/>
    </row>
    <row r="318" spans="1:7" x14ac:dyDescent="0.25">
      <c r="A318" s="4" t="str">
        <f>IFERROR(parent_children_2[[#This Row],[parent_children_id]],"")</f>
        <v/>
      </c>
      <c r="B318" s="4" t="str">
        <f>IFERROR(VLOOKUP(parent_children_2[[#This Row],[parent_id]],abbreviation[],3,FALSE),"")</f>
        <v/>
      </c>
      <c r="C318" s="4" t="str">
        <f>IFERROR(VLOOKUP(parent_children_2[[#This Row],[children_id]],abbreviation[],ColumnLanguage+1,FALSE),"")</f>
        <v/>
      </c>
      <c r="E318" s="18"/>
      <c r="F318" s="18"/>
      <c r="G318" s="18"/>
    </row>
    <row r="319" spans="1:7" x14ac:dyDescent="0.25">
      <c r="A319" s="4" t="str">
        <f>IFERROR(parent_children_2[[#This Row],[parent_children_id]],"")</f>
        <v/>
      </c>
      <c r="B319" s="4" t="str">
        <f>IFERROR(VLOOKUP(parent_children_2[[#This Row],[parent_id]],abbreviation[],3,FALSE),"")</f>
        <v/>
      </c>
      <c r="C319" s="4" t="str">
        <f>IFERROR(VLOOKUP(parent_children_2[[#This Row],[children_id]],abbreviation[],ColumnLanguage+1,FALSE),"")</f>
        <v/>
      </c>
      <c r="E319" s="18"/>
      <c r="F319" s="18"/>
      <c r="G319" s="18"/>
    </row>
    <row r="320" spans="1:7" x14ac:dyDescent="0.25">
      <c r="A320" s="4" t="str">
        <f>IFERROR(parent_children_2[[#This Row],[parent_children_id]],"")</f>
        <v/>
      </c>
      <c r="B320" s="4" t="str">
        <f>IFERROR(VLOOKUP(parent_children_2[[#This Row],[parent_id]],abbreviation[],3,FALSE),"")</f>
        <v/>
      </c>
      <c r="C320" s="4" t="str">
        <f>IFERROR(VLOOKUP(parent_children_2[[#This Row],[children_id]],abbreviation[],ColumnLanguage+1,FALSE),"")</f>
        <v/>
      </c>
      <c r="E320" s="18"/>
      <c r="F320" s="18"/>
      <c r="G320" s="18"/>
    </row>
    <row r="321" spans="1:7" x14ac:dyDescent="0.25">
      <c r="A321" s="4" t="str">
        <f>IFERROR(parent_children_2[[#This Row],[parent_children_id]],"")</f>
        <v/>
      </c>
      <c r="B321" s="4" t="str">
        <f>IFERROR(VLOOKUP(parent_children_2[[#This Row],[parent_id]],abbreviation[],3,FALSE),"")</f>
        <v/>
      </c>
      <c r="C321" s="4" t="str">
        <f>IFERROR(VLOOKUP(parent_children_2[[#This Row],[children_id]],abbreviation[],ColumnLanguage+1,FALSE),"")</f>
        <v/>
      </c>
      <c r="E321" s="18"/>
      <c r="F321" s="18"/>
      <c r="G321" s="18"/>
    </row>
    <row r="322" spans="1:7" x14ac:dyDescent="0.25">
      <c r="A322" s="4" t="str">
        <f>IFERROR(parent_children_2[[#This Row],[parent_children_id]],"")</f>
        <v/>
      </c>
      <c r="B322" s="4" t="str">
        <f>IFERROR(VLOOKUP(parent_children_2[[#This Row],[parent_id]],abbreviation[],3,FALSE),"")</f>
        <v/>
      </c>
      <c r="C322" s="4" t="str">
        <f>IFERROR(VLOOKUP(parent_children_2[[#This Row],[children_id]],abbreviation[],ColumnLanguage+1,FALSE),"")</f>
        <v/>
      </c>
      <c r="E322" s="18"/>
      <c r="F322" s="18"/>
      <c r="G322" s="18"/>
    </row>
    <row r="323" spans="1:7" x14ac:dyDescent="0.25">
      <c r="A323" s="4" t="str">
        <f>IFERROR(parent_children_2[[#This Row],[parent_children_id]],"")</f>
        <v/>
      </c>
      <c r="B323" s="4" t="str">
        <f>IFERROR(VLOOKUP(parent_children_2[[#This Row],[parent_id]],abbreviation[],3,FALSE),"")</f>
        <v/>
      </c>
      <c r="C323" s="4" t="str">
        <f>IFERROR(VLOOKUP(parent_children_2[[#This Row],[children_id]],abbreviation[],ColumnLanguage+1,FALSE),"")</f>
        <v/>
      </c>
      <c r="E323" s="18"/>
      <c r="F323" s="18"/>
      <c r="G323" s="18"/>
    </row>
    <row r="324" spans="1:7" x14ac:dyDescent="0.25">
      <c r="A324" s="4" t="str">
        <f>IFERROR(parent_children_2[[#This Row],[parent_children_id]],"")</f>
        <v/>
      </c>
      <c r="B324" s="4" t="str">
        <f>IFERROR(VLOOKUP(parent_children_2[[#This Row],[parent_id]],abbreviation[],3,FALSE),"")</f>
        <v/>
      </c>
      <c r="C324" s="4" t="str">
        <f>IFERROR(VLOOKUP(parent_children_2[[#This Row],[children_id]],abbreviation[],ColumnLanguage+1,FALSE),"")</f>
        <v/>
      </c>
      <c r="E324" s="18"/>
      <c r="F324" s="18"/>
      <c r="G324" s="18"/>
    </row>
    <row r="325" spans="1:7" x14ac:dyDescent="0.25">
      <c r="A325" s="4" t="str">
        <f>IFERROR(parent_children_2[[#This Row],[parent_children_id]],"")</f>
        <v/>
      </c>
      <c r="B325" s="4" t="str">
        <f>IFERROR(VLOOKUP(parent_children_2[[#This Row],[parent_id]],abbreviation[],3,FALSE),"")</f>
        <v/>
      </c>
      <c r="C325" s="4" t="str">
        <f>IFERROR(VLOOKUP(parent_children_2[[#This Row],[children_id]],abbreviation[],ColumnLanguage+1,FALSE),"")</f>
        <v/>
      </c>
      <c r="E325" s="18"/>
      <c r="F325" s="18"/>
      <c r="G325" s="18"/>
    </row>
    <row r="326" spans="1:7" x14ac:dyDescent="0.25">
      <c r="A326" s="4" t="str">
        <f>IFERROR(parent_children_2[[#This Row],[parent_children_id]],"")</f>
        <v/>
      </c>
      <c r="B326" s="4" t="str">
        <f>IFERROR(VLOOKUP(parent_children_2[[#This Row],[parent_id]],abbreviation[],3,FALSE),"")</f>
        <v/>
      </c>
      <c r="C326" s="4" t="str">
        <f>IFERROR(VLOOKUP(parent_children_2[[#This Row],[children_id]],abbreviation[],ColumnLanguage+1,FALSE),"")</f>
        <v/>
      </c>
      <c r="E326" s="18"/>
      <c r="F326" s="18"/>
      <c r="G326" s="18"/>
    </row>
    <row r="327" spans="1:7" x14ac:dyDescent="0.25">
      <c r="A327" s="4" t="str">
        <f>IFERROR(parent_children_2[[#This Row],[parent_children_id]],"")</f>
        <v/>
      </c>
      <c r="B327" s="4" t="str">
        <f>IFERROR(VLOOKUP(parent_children_2[[#This Row],[parent_id]],abbreviation[],3,FALSE),"")</f>
        <v/>
      </c>
      <c r="C327" s="4" t="str">
        <f>IFERROR(VLOOKUP(parent_children_2[[#This Row],[children_id]],abbreviation[],ColumnLanguage+1,FALSE),"")</f>
        <v/>
      </c>
      <c r="E327" s="18"/>
      <c r="F327" s="18"/>
      <c r="G327" s="18"/>
    </row>
    <row r="328" spans="1:7" x14ac:dyDescent="0.25">
      <c r="A328" s="4" t="str">
        <f>IFERROR(parent_children_2[[#This Row],[parent_children_id]],"")</f>
        <v/>
      </c>
      <c r="B328" s="4" t="str">
        <f>IFERROR(VLOOKUP(parent_children_2[[#This Row],[parent_id]],abbreviation[],3,FALSE),"")</f>
        <v/>
      </c>
      <c r="C328" s="4" t="str">
        <f>IFERROR(VLOOKUP(parent_children_2[[#This Row],[children_id]],abbreviation[],ColumnLanguage+1,FALSE),"")</f>
        <v/>
      </c>
      <c r="E328" s="18"/>
      <c r="F328" s="18"/>
      <c r="G328" s="18"/>
    </row>
    <row r="329" spans="1:7" x14ac:dyDescent="0.25">
      <c r="A329" s="4" t="str">
        <f>IFERROR(parent_children_2[[#This Row],[parent_children_id]],"")</f>
        <v/>
      </c>
      <c r="B329" s="4" t="str">
        <f>IFERROR(VLOOKUP(parent_children_2[[#This Row],[parent_id]],abbreviation[],3,FALSE),"")</f>
        <v/>
      </c>
      <c r="C329" s="4" t="str">
        <f>IFERROR(VLOOKUP(parent_children_2[[#This Row],[children_id]],abbreviation[],ColumnLanguage+1,FALSE),"")</f>
        <v/>
      </c>
      <c r="E329" s="5"/>
      <c r="F329" s="5"/>
      <c r="G329" s="5"/>
    </row>
    <row r="330" spans="1:7" x14ac:dyDescent="0.25">
      <c r="A330" s="4" t="str">
        <f>IFERROR(parent_children_2[[#This Row],[parent_children_id]],"")</f>
        <v/>
      </c>
      <c r="B330" s="4" t="str">
        <f>IFERROR(VLOOKUP(parent_children_2[[#This Row],[parent_id]],abbreviation[],3,FALSE),"")</f>
        <v/>
      </c>
      <c r="C330" s="4" t="str">
        <f>IFERROR(VLOOKUP(parent_children_2[[#This Row],[children_id]],abbreviation[],ColumnLanguage+1,FALSE),"")</f>
        <v/>
      </c>
    </row>
    <row r="331" spans="1:7" x14ac:dyDescent="0.25">
      <c r="A331" s="4" t="str">
        <f>IFERROR(parent_children_2[[#This Row],[parent_children_id]],"")</f>
        <v/>
      </c>
      <c r="B331" s="4" t="str">
        <f>IFERROR(VLOOKUP(parent_children_2[[#This Row],[parent_id]],abbreviation[],3,FALSE),"")</f>
        <v/>
      </c>
      <c r="C331" s="4" t="str">
        <f>IFERROR(VLOOKUP(parent_children_2[[#This Row],[children_id]],abbreviation[],ColumnLanguage+1,FALSE),"")</f>
        <v/>
      </c>
    </row>
    <row r="332" spans="1:7" x14ac:dyDescent="0.25">
      <c r="A332" s="4" t="str">
        <f>IFERROR(parent_children_2[[#This Row],[parent_children_id]],"")</f>
        <v/>
      </c>
      <c r="B332" s="4" t="str">
        <f>IFERROR(VLOOKUP(parent_children_2[[#This Row],[parent_id]],abbreviation[],3,FALSE),"")</f>
        <v/>
      </c>
      <c r="C332" s="4" t="str">
        <f>IFERROR(VLOOKUP(parent_children_2[[#This Row],[children_id]],abbreviation[],ColumnLanguage+1,FALSE),"")</f>
        <v/>
      </c>
    </row>
    <row r="333" spans="1:7" x14ac:dyDescent="0.25">
      <c r="A333" s="4" t="str">
        <f>IFERROR(parent_children_2[[#This Row],[parent_children_id]],"")</f>
        <v/>
      </c>
      <c r="B333" s="4" t="str">
        <f>IFERROR(VLOOKUP(parent_children_2[[#This Row],[parent_id]],abbreviation[],3,FALSE),"")</f>
        <v/>
      </c>
      <c r="C333" s="4" t="str">
        <f>IFERROR(VLOOKUP(parent_children_2[[#This Row],[children_id]],abbreviation[],ColumnLanguage+1,FALSE),"")</f>
        <v/>
      </c>
    </row>
    <row r="334" spans="1:7" x14ac:dyDescent="0.25">
      <c r="A334" s="4" t="str">
        <f>IFERROR(parent_children_2[[#This Row],[parent_children_id]],"")</f>
        <v/>
      </c>
      <c r="B334" s="4" t="str">
        <f>IFERROR(VLOOKUP(parent_children_2[[#This Row],[parent_id]],abbreviation[],3,FALSE),"")</f>
        <v/>
      </c>
      <c r="C334" s="4" t="str">
        <f>IFERROR(VLOOKUP(parent_children_2[[#This Row],[children_id]],abbreviation[],ColumnLanguage+1,FALSE),"")</f>
        <v/>
      </c>
    </row>
    <row r="335" spans="1:7" x14ac:dyDescent="0.25">
      <c r="A335" s="4" t="str">
        <f>IFERROR(parent_children_2[[#This Row],[parent_children_id]],"")</f>
        <v/>
      </c>
      <c r="B335" s="4" t="str">
        <f>IFERROR(VLOOKUP(parent_children_2[[#This Row],[parent_id]],abbreviation[],3,FALSE),"")</f>
        <v/>
      </c>
      <c r="C335" s="4" t="str">
        <f>IFERROR(VLOOKUP(parent_children_2[[#This Row],[children_id]],abbreviation[],ColumnLanguage+1,FALSE),"")</f>
        <v/>
      </c>
    </row>
    <row r="336" spans="1:7" x14ac:dyDescent="0.25">
      <c r="A336" s="4" t="str">
        <f>IFERROR(parent_children_2[[#This Row],[parent_children_id]],"")</f>
        <v/>
      </c>
      <c r="B336" s="4" t="str">
        <f>IFERROR(VLOOKUP(parent_children_2[[#This Row],[parent_id]],abbreviation[],3,FALSE),"")</f>
        <v/>
      </c>
      <c r="C336" s="4" t="str">
        <f>IFERROR(VLOOKUP(parent_children_2[[#This Row],[children_id]],abbreviation[],ColumnLanguage+1,FALSE),"")</f>
        <v/>
      </c>
    </row>
    <row r="337" spans="1:3" x14ac:dyDescent="0.25">
      <c r="A337" s="4" t="str">
        <f>IFERROR(parent_children_2[[#This Row],[parent_children_id]],"")</f>
        <v/>
      </c>
      <c r="B337" s="4" t="str">
        <f>IFERROR(VLOOKUP(parent_children_2[[#This Row],[parent_id]],abbreviation[],3,FALSE),"")</f>
        <v/>
      </c>
      <c r="C337" s="4" t="str">
        <f>IFERROR(VLOOKUP(parent_children_2[[#This Row],[children_id]],abbreviation[],ColumnLanguage+1,FALSE),"")</f>
        <v/>
      </c>
    </row>
    <row r="338" spans="1:3" x14ac:dyDescent="0.25">
      <c r="A338" s="4" t="str">
        <f>IFERROR(parent_children_2[[#This Row],[parent_children_id]],"")</f>
        <v/>
      </c>
      <c r="B338" s="4" t="str">
        <f>IFERROR(VLOOKUP(parent_children_2[[#This Row],[parent_id]],abbreviation[],3,FALSE),"")</f>
        <v/>
      </c>
      <c r="C338" s="4" t="str">
        <f>IFERROR(VLOOKUP(parent_children_2[[#This Row],[children_id]],abbreviation[],ColumnLanguage+1,FALSE),"")</f>
        <v/>
      </c>
    </row>
    <row r="339" spans="1:3" x14ac:dyDescent="0.25">
      <c r="A339" s="4" t="str">
        <f>IFERROR(parent_children_2[[#This Row],[parent_children_id]],"")</f>
        <v/>
      </c>
      <c r="B339" s="4" t="str">
        <f>IFERROR(VLOOKUP(parent_children_2[[#This Row],[parent_id]],abbreviation[],3,FALSE),"")</f>
        <v/>
      </c>
      <c r="C339" s="4" t="str">
        <f>IFERROR(VLOOKUP(parent_children_2[[#This Row],[children_id]],abbreviation[],ColumnLanguage+1,FALSE),"")</f>
        <v/>
      </c>
    </row>
    <row r="340" spans="1:3" x14ac:dyDescent="0.25">
      <c r="A340" s="4" t="str">
        <f>IFERROR(parent_children_2[[#This Row],[parent_children_id]],"")</f>
        <v/>
      </c>
      <c r="B340" s="4" t="str">
        <f>IFERROR(VLOOKUP(parent_children_2[[#This Row],[parent_id]],abbreviation[],3,FALSE),"")</f>
        <v/>
      </c>
      <c r="C340" s="4" t="str">
        <f>IFERROR(VLOOKUP(parent_children_2[[#This Row],[children_id]],abbreviation[],ColumnLanguage+1,FALSE),"")</f>
        <v/>
      </c>
    </row>
    <row r="341" spans="1:3" x14ac:dyDescent="0.25">
      <c r="A341" s="4" t="str">
        <f>IFERROR(parent_children_2[[#This Row],[parent_children_id]],"")</f>
        <v/>
      </c>
      <c r="B341" s="4" t="str">
        <f>IFERROR(VLOOKUP(parent_children_2[[#This Row],[parent_id]],abbreviation[],3,FALSE),"")</f>
        <v/>
      </c>
      <c r="C341" s="4" t="str">
        <f>IFERROR(VLOOKUP(parent_children_2[[#This Row],[children_id]],abbreviation[],ColumnLanguage+1,FALSE),"")</f>
        <v/>
      </c>
    </row>
    <row r="342" spans="1:3" x14ac:dyDescent="0.25">
      <c r="A342" s="4" t="str">
        <f>IFERROR(parent_children_2[[#This Row],[parent_children_id]],"")</f>
        <v/>
      </c>
      <c r="B342" s="4" t="str">
        <f>IFERROR(VLOOKUP(parent_children_2[[#This Row],[parent_id]],abbreviation[],3,FALSE),"")</f>
        <v/>
      </c>
      <c r="C342" s="4" t="str">
        <f>IFERROR(VLOOKUP(parent_children_2[[#This Row],[children_id]],abbreviation[],ColumnLanguage+1,FALSE),"")</f>
        <v/>
      </c>
    </row>
    <row r="343" spans="1:3" x14ac:dyDescent="0.25">
      <c r="A343" s="4" t="str">
        <f>IFERROR(parent_children_2[[#This Row],[parent_children_id]],"")</f>
        <v/>
      </c>
      <c r="B343" s="4" t="str">
        <f>IFERROR(VLOOKUP(parent_children_2[[#This Row],[parent_id]],abbreviation[],3,FALSE),"")</f>
        <v/>
      </c>
      <c r="C343" s="4" t="str">
        <f>IFERROR(VLOOKUP(parent_children_2[[#This Row],[children_id]],abbreviation[],ColumnLanguage+1,FALSE),"")</f>
        <v/>
      </c>
    </row>
    <row r="344" spans="1:3" x14ac:dyDescent="0.25">
      <c r="A344" s="4" t="str">
        <f>IFERROR(parent_children_2[[#This Row],[parent_children_id]],"")</f>
        <v/>
      </c>
      <c r="B344" s="4" t="str">
        <f>IFERROR(VLOOKUP(parent_children_2[[#This Row],[parent_id]],abbreviation[],3,FALSE),"")</f>
        <v/>
      </c>
      <c r="C344" s="4" t="str">
        <f>IFERROR(VLOOKUP(parent_children_2[[#This Row],[children_id]],abbreviation[],ColumnLanguage+1,FALSE),"")</f>
        <v/>
      </c>
    </row>
    <row r="345" spans="1:3" x14ac:dyDescent="0.25">
      <c r="A345" s="4" t="str">
        <f>IFERROR(parent_children_2[[#This Row],[parent_children_id]],"")</f>
        <v/>
      </c>
      <c r="B345" s="4" t="str">
        <f>IFERROR(VLOOKUP(parent_children_2[[#This Row],[parent_id]],abbreviation[],3,FALSE),"")</f>
        <v/>
      </c>
      <c r="C345" s="4" t="str">
        <f>IFERROR(VLOOKUP(parent_children_2[[#This Row],[children_id]],abbreviation[],ColumnLanguage+1,FALSE),"")</f>
        <v/>
      </c>
    </row>
    <row r="346" spans="1:3" x14ac:dyDescent="0.25">
      <c r="A346" s="4" t="str">
        <f>IFERROR(parent_children_2[[#This Row],[parent_children_id]],"")</f>
        <v/>
      </c>
      <c r="B346" s="4" t="str">
        <f>IFERROR(VLOOKUP(parent_children_2[[#This Row],[parent_id]],abbreviation[],3,FALSE),"")</f>
        <v/>
      </c>
      <c r="C346" s="4" t="str">
        <f>IFERROR(VLOOKUP(parent_children_2[[#This Row],[children_id]],abbreviation[],ColumnLanguage+1,FALSE),"")</f>
        <v/>
      </c>
    </row>
    <row r="347" spans="1:3" x14ac:dyDescent="0.25">
      <c r="A347" s="4" t="str">
        <f>IFERROR(parent_children_2[[#This Row],[parent_children_id]],"")</f>
        <v/>
      </c>
      <c r="B347" s="4" t="str">
        <f>IFERROR(VLOOKUP(parent_children_2[[#This Row],[parent_id]],abbreviation[],3,FALSE),"")</f>
        <v/>
      </c>
      <c r="C347" s="4" t="str">
        <f>IFERROR(VLOOKUP(parent_children_2[[#This Row],[children_id]],abbreviation[],ColumnLanguage+1,FALSE),"")</f>
        <v/>
      </c>
    </row>
    <row r="348" spans="1:3" x14ac:dyDescent="0.25">
      <c r="A348" s="4" t="str">
        <f>IFERROR(parent_children_2[[#This Row],[parent_children_id]],"")</f>
        <v/>
      </c>
      <c r="B348" s="4" t="str">
        <f>IFERROR(VLOOKUP(parent_children_2[[#This Row],[parent_id]],abbreviation[],3,FALSE),"")</f>
        <v/>
      </c>
      <c r="C348" s="4" t="str">
        <f>IFERROR(VLOOKUP(parent_children_2[[#This Row],[children_id]],abbreviation[],ColumnLanguage+1,FALSE),"")</f>
        <v/>
      </c>
    </row>
    <row r="349" spans="1:3" x14ac:dyDescent="0.25">
      <c r="A349" s="4" t="str">
        <f>IFERROR(parent_children_2[[#This Row],[parent_children_id]],"")</f>
        <v/>
      </c>
      <c r="B349" s="4" t="str">
        <f>IFERROR(VLOOKUP(parent_children_2[[#This Row],[parent_id]],abbreviation[],3,FALSE),"")</f>
        <v/>
      </c>
      <c r="C349" s="4" t="str">
        <f>IFERROR(VLOOKUP(parent_children_2[[#This Row],[children_id]],abbreviation[],ColumnLanguage+1,FALSE),"")</f>
        <v/>
      </c>
    </row>
    <row r="350" spans="1:3" x14ac:dyDescent="0.25">
      <c r="A350" s="4" t="str">
        <f>IFERROR(parent_children_2[[#This Row],[parent_children_id]],"")</f>
        <v/>
      </c>
      <c r="B350" s="4" t="str">
        <f>IFERROR(VLOOKUP(parent_children_2[[#This Row],[parent_id]],abbreviation[],3,FALSE),"")</f>
        <v/>
      </c>
      <c r="C350" s="4" t="str">
        <f>IFERROR(VLOOKUP(parent_children_2[[#This Row],[children_id]],abbreviation[],ColumnLanguage+1,FALSE),"")</f>
        <v/>
      </c>
    </row>
    <row r="351" spans="1:3" x14ac:dyDescent="0.25">
      <c r="A351" s="4" t="str">
        <f>IFERROR(parent_children_2[[#This Row],[parent_children_id]],"")</f>
        <v/>
      </c>
      <c r="B351" s="4" t="str">
        <f>IFERROR(VLOOKUP(parent_children_2[[#This Row],[parent_id]],abbreviation[],3,FALSE),"")</f>
        <v/>
      </c>
      <c r="C351" s="4" t="str">
        <f>IFERROR(VLOOKUP(parent_children_2[[#This Row],[children_id]],abbreviation[],ColumnLanguage+1,FALSE),"")</f>
        <v/>
      </c>
    </row>
    <row r="352" spans="1:3" x14ac:dyDescent="0.25">
      <c r="A352" s="4" t="str">
        <f>IFERROR(parent_children_2[[#This Row],[parent_children_id]],"")</f>
        <v/>
      </c>
      <c r="B352" s="4" t="str">
        <f>IFERROR(VLOOKUP(parent_children_2[[#This Row],[parent_id]],abbreviation[],3,FALSE),"")</f>
        <v/>
      </c>
      <c r="C352" s="4" t="str">
        <f>IFERROR(VLOOKUP(parent_children_2[[#This Row],[children_id]],abbreviation[],ColumnLanguage+1,FALSE),"")</f>
        <v/>
      </c>
    </row>
    <row r="353" spans="1:3" x14ac:dyDescent="0.25">
      <c r="A353" s="4" t="str">
        <f>IFERROR(parent_children_2[[#This Row],[parent_children_id]],"")</f>
        <v/>
      </c>
      <c r="B353" s="4" t="str">
        <f>IFERROR(VLOOKUP(parent_children_2[[#This Row],[parent_id]],abbreviation[],3,FALSE),"")</f>
        <v/>
      </c>
      <c r="C353" s="4" t="str">
        <f>IFERROR(VLOOKUP(parent_children_2[[#This Row],[children_id]],abbreviation[],ColumnLanguage+1,FALSE),"")</f>
        <v/>
      </c>
    </row>
    <row r="354" spans="1:3" x14ac:dyDescent="0.25">
      <c r="A354" s="4" t="str">
        <f>IFERROR(parent_children_2[[#This Row],[parent_children_id]],"")</f>
        <v/>
      </c>
      <c r="B354" s="4" t="str">
        <f>IFERROR(VLOOKUP(parent_children_2[[#This Row],[parent_id]],abbreviation[],3,FALSE),"")</f>
        <v/>
      </c>
      <c r="C354" s="4" t="str">
        <f>IFERROR(VLOOKUP(parent_children_2[[#This Row],[children_id]],abbreviation[],ColumnLanguage+1,FALSE),"")</f>
        <v/>
      </c>
    </row>
    <row r="355" spans="1:3" x14ac:dyDescent="0.25">
      <c r="A355" s="4" t="str">
        <f>IFERROR(parent_children_2[[#This Row],[parent_children_id]],"")</f>
        <v/>
      </c>
      <c r="B355" s="4" t="str">
        <f>IFERROR(VLOOKUP(parent_children_2[[#This Row],[parent_id]],abbreviation[],3,FALSE),"")</f>
        <v/>
      </c>
      <c r="C355" s="4" t="str">
        <f>IFERROR(VLOOKUP(parent_children_2[[#This Row],[children_id]],abbreviation[],ColumnLanguage+1,FALSE),"")</f>
        <v/>
      </c>
    </row>
    <row r="356" spans="1:3" x14ac:dyDescent="0.25">
      <c r="A356" s="4" t="str">
        <f>IFERROR(parent_children_2[[#This Row],[parent_children_id]],"")</f>
        <v/>
      </c>
      <c r="B356" s="4" t="str">
        <f>IFERROR(VLOOKUP(parent_children_2[[#This Row],[parent_id]],abbreviation[],3,FALSE),"")</f>
        <v/>
      </c>
      <c r="C356" s="4" t="str">
        <f>IFERROR(VLOOKUP(parent_children_2[[#This Row],[children_id]],abbreviation[],ColumnLanguage+1,FALSE),"")</f>
        <v/>
      </c>
    </row>
    <row r="357" spans="1:3" x14ac:dyDescent="0.25">
      <c r="A357" s="4" t="str">
        <f>IFERROR(parent_children_2[[#This Row],[parent_children_id]],"")</f>
        <v/>
      </c>
      <c r="B357" s="4" t="str">
        <f>IFERROR(VLOOKUP(parent_children_2[[#This Row],[parent_id]],abbreviation[],3,FALSE),"")</f>
        <v/>
      </c>
      <c r="C357" s="4" t="str">
        <f>IFERROR(VLOOKUP(parent_children_2[[#This Row],[children_id]],abbreviation[],ColumnLanguage+1,FALSE),"")</f>
        <v/>
      </c>
    </row>
    <row r="358" spans="1:3" x14ac:dyDescent="0.25">
      <c r="A358" s="4" t="str">
        <f>IFERROR(parent_children_2[[#This Row],[parent_children_id]],"")</f>
        <v/>
      </c>
      <c r="B358" s="4" t="str">
        <f>IFERROR(VLOOKUP(parent_children_2[[#This Row],[parent_id]],abbreviation[],3,FALSE),"")</f>
        <v/>
      </c>
      <c r="C358" s="4" t="str">
        <f>IFERROR(VLOOKUP(parent_children_2[[#This Row],[children_id]],abbreviation[],ColumnLanguage+1,FALSE),"")</f>
        <v/>
      </c>
    </row>
    <row r="359" spans="1:3" x14ac:dyDescent="0.25">
      <c r="A359" s="4" t="str">
        <f>IFERROR(parent_children_2[[#This Row],[parent_children_id]],"")</f>
        <v/>
      </c>
      <c r="B359" s="4" t="str">
        <f>IFERROR(VLOOKUP(parent_children_2[[#This Row],[parent_id]],abbreviation[],3,FALSE),"")</f>
        <v/>
      </c>
      <c r="C359" s="4" t="str">
        <f>IFERROR(VLOOKUP(parent_children_2[[#This Row],[children_id]],abbreviation[],ColumnLanguage+1,FALSE),"")</f>
        <v/>
      </c>
    </row>
    <row r="360" spans="1:3" x14ac:dyDescent="0.25">
      <c r="A360" s="4" t="str">
        <f>IFERROR(parent_children_2[[#This Row],[parent_children_id]],"")</f>
        <v/>
      </c>
      <c r="B360" s="4" t="str">
        <f>IFERROR(VLOOKUP(parent_children_2[[#This Row],[parent_id]],abbreviation[],3,FALSE),"")</f>
        <v/>
      </c>
      <c r="C360" s="4" t="str">
        <f>IFERROR(VLOOKUP(parent_children_2[[#This Row],[children_id]],abbreviation[],ColumnLanguage+1,FALSE),"")</f>
        <v/>
      </c>
    </row>
    <row r="361" spans="1:3" x14ac:dyDescent="0.25">
      <c r="A361" s="4" t="str">
        <f>IFERROR(parent_children_2[[#This Row],[parent_children_id]],"")</f>
        <v/>
      </c>
      <c r="B361" s="4" t="str">
        <f>IFERROR(VLOOKUP(parent_children_2[[#This Row],[parent_id]],abbreviation[],3,FALSE),"")</f>
        <v/>
      </c>
      <c r="C361" s="4" t="str">
        <f>IFERROR(VLOOKUP(parent_children_2[[#This Row],[children_id]],abbreviation[],ColumnLanguage+1,FALSE),"")</f>
        <v/>
      </c>
    </row>
    <row r="362" spans="1:3" x14ac:dyDescent="0.25">
      <c r="A362" s="4" t="str">
        <f>IFERROR(parent_children_2[[#This Row],[parent_children_id]],"")</f>
        <v/>
      </c>
      <c r="B362" s="4" t="str">
        <f>IFERROR(VLOOKUP(parent_children_2[[#This Row],[parent_id]],abbreviation[],3,FALSE),"")</f>
        <v/>
      </c>
      <c r="C362" s="4" t="str">
        <f>IFERROR(VLOOKUP(parent_children_2[[#This Row],[children_id]],abbreviation[],ColumnLanguage+1,FALSE),"")</f>
        <v/>
      </c>
    </row>
    <row r="363" spans="1:3" x14ac:dyDescent="0.25">
      <c r="A363" s="4" t="str">
        <f>IFERROR(parent_children_2[[#This Row],[parent_children_id]],"")</f>
        <v/>
      </c>
      <c r="B363" s="4" t="str">
        <f>IFERROR(VLOOKUP(parent_children_2[[#This Row],[parent_id]],abbreviation[],3,FALSE),"")</f>
        <v/>
      </c>
      <c r="C363" s="4" t="str">
        <f>IFERROR(VLOOKUP(parent_children_2[[#This Row],[children_id]],abbreviation[],ColumnLanguage+1,FALSE),"")</f>
        <v/>
      </c>
    </row>
    <row r="364" spans="1:3" x14ac:dyDescent="0.25">
      <c r="A364" s="4" t="str">
        <f>IFERROR(parent_children_2[[#This Row],[parent_children_id]],"")</f>
        <v/>
      </c>
      <c r="B364" s="4" t="str">
        <f>IFERROR(VLOOKUP(parent_children_2[[#This Row],[parent_id]],abbreviation[],3,FALSE),"")</f>
        <v/>
      </c>
      <c r="C364" s="4" t="str">
        <f>IFERROR(VLOOKUP(parent_children_2[[#This Row],[children_id]],abbreviation[],ColumnLanguage+1,FALSE),"")</f>
        <v/>
      </c>
    </row>
    <row r="365" spans="1:3" x14ac:dyDescent="0.25">
      <c r="A365" s="4" t="str">
        <f>IFERROR(parent_children_2[[#This Row],[parent_children_id]],"")</f>
        <v/>
      </c>
      <c r="B365" s="4" t="str">
        <f>IFERROR(VLOOKUP(parent_children_2[[#This Row],[parent_id]],abbreviation[],3,FALSE),"")</f>
        <v/>
      </c>
      <c r="C365" s="4" t="str">
        <f>IFERROR(VLOOKUP(parent_children_2[[#This Row],[children_id]],abbreviation[],ColumnLanguage+1,FALSE),"")</f>
        <v/>
      </c>
    </row>
    <row r="366" spans="1:3" x14ac:dyDescent="0.25">
      <c r="A366" s="4" t="str">
        <f>IFERROR(parent_children_2[[#This Row],[parent_children_id]],"")</f>
        <v/>
      </c>
      <c r="B366" s="4" t="str">
        <f>IFERROR(VLOOKUP(parent_children_2[[#This Row],[parent_id]],abbreviation[],3,FALSE),"")</f>
        <v/>
      </c>
      <c r="C366" s="4" t="str">
        <f>IFERROR(VLOOKUP(parent_children_2[[#This Row],[children_id]],abbreviation[],ColumnLanguage+1,FALSE),"")</f>
        <v/>
      </c>
    </row>
    <row r="367" spans="1:3" x14ac:dyDescent="0.25">
      <c r="A367" s="4" t="str">
        <f>IFERROR(parent_children_2[[#This Row],[parent_children_id]],"")</f>
        <v/>
      </c>
      <c r="B367" s="4" t="str">
        <f>IFERROR(VLOOKUP(parent_children_2[[#This Row],[parent_id]],abbreviation[],3,FALSE),"")</f>
        <v/>
      </c>
      <c r="C367" s="4" t="str">
        <f>IFERROR(VLOOKUP(parent_children_2[[#This Row],[children_id]],abbreviation[],ColumnLanguage+1,FALSE),"")</f>
        <v/>
      </c>
    </row>
    <row r="368" spans="1:3" x14ac:dyDescent="0.25">
      <c r="A368" s="4" t="str">
        <f>IFERROR(parent_children_2[[#This Row],[parent_children_id]],"")</f>
        <v/>
      </c>
      <c r="B368" s="4" t="str">
        <f>IFERROR(VLOOKUP(parent_children_2[[#This Row],[parent_id]],abbreviation[],3,FALSE),"")</f>
        <v/>
      </c>
      <c r="C368" s="4" t="str">
        <f>IFERROR(VLOOKUP(parent_children_2[[#This Row],[children_id]],abbreviation[],ColumnLanguage+1,FALSE),"")</f>
        <v/>
      </c>
    </row>
    <row r="369" spans="1:3" x14ac:dyDescent="0.25">
      <c r="A369" s="4" t="str">
        <f>IFERROR(parent_children_2[[#This Row],[parent_children_id]],"")</f>
        <v/>
      </c>
      <c r="B369" s="4" t="str">
        <f>IFERROR(VLOOKUP(parent_children_2[[#This Row],[parent_id]],abbreviation[],3,FALSE),"")</f>
        <v/>
      </c>
      <c r="C369" s="4" t="str">
        <f>IFERROR(VLOOKUP(parent_children_2[[#This Row],[children_id]],abbreviation[],ColumnLanguage+1,FALSE),"")</f>
        <v/>
      </c>
    </row>
    <row r="370" spans="1:3" x14ac:dyDescent="0.25">
      <c r="A370" s="4" t="str">
        <f>IFERROR(parent_children_2[[#This Row],[parent_children_id]],"")</f>
        <v/>
      </c>
      <c r="B370" s="4" t="str">
        <f>IFERROR(VLOOKUP(parent_children_2[[#This Row],[parent_id]],abbreviation[],3,FALSE),"")</f>
        <v/>
      </c>
      <c r="C370" s="4" t="str">
        <f>IFERROR(VLOOKUP(parent_children_2[[#This Row],[children_id]],abbreviation[],ColumnLanguage+1,FALSE),"")</f>
        <v/>
      </c>
    </row>
    <row r="371" spans="1:3" x14ac:dyDescent="0.25">
      <c r="A371" s="4" t="str">
        <f>IFERROR(parent_children_2[[#This Row],[parent_children_id]],"")</f>
        <v/>
      </c>
      <c r="B371" s="4" t="str">
        <f>IFERROR(VLOOKUP(parent_children_2[[#This Row],[parent_id]],abbreviation[],3,FALSE),"")</f>
        <v/>
      </c>
      <c r="C371" s="4" t="str">
        <f>IFERROR(VLOOKUP(parent_children_2[[#This Row],[children_id]],abbreviation[],ColumnLanguage+1,FALSE),"")</f>
        <v/>
      </c>
    </row>
    <row r="372" spans="1:3" x14ac:dyDescent="0.25">
      <c r="A372" s="4" t="str">
        <f>IFERROR(parent_children_2[[#This Row],[parent_children_id]],"")</f>
        <v/>
      </c>
      <c r="B372" s="4" t="str">
        <f>IFERROR(VLOOKUP(parent_children_2[[#This Row],[parent_id]],abbreviation[],3,FALSE),"")</f>
        <v/>
      </c>
      <c r="C372" s="4" t="str">
        <f>IFERROR(VLOOKUP(parent_children_2[[#This Row],[children_id]],abbreviation[],ColumnLanguage+1,FALSE),"")</f>
        <v/>
      </c>
    </row>
    <row r="373" spans="1:3" x14ac:dyDescent="0.25">
      <c r="A373" s="4" t="str">
        <f>IFERROR(parent_children_2[[#This Row],[parent_children_id]],"")</f>
        <v/>
      </c>
      <c r="B373" s="4" t="str">
        <f>IFERROR(VLOOKUP(parent_children_2[[#This Row],[parent_id]],abbreviation[],3,FALSE),"")</f>
        <v/>
      </c>
      <c r="C373" s="4" t="str">
        <f>IFERROR(VLOOKUP(parent_children_2[[#This Row],[children_id]],abbreviation[],ColumnLanguage+1,FALSE),"")</f>
        <v/>
      </c>
    </row>
    <row r="374" spans="1:3" x14ac:dyDescent="0.25">
      <c r="A374" s="4" t="str">
        <f>IFERROR(parent_children_2[[#This Row],[parent_children_id]],"")</f>
        <v/>
      </c>
      <c r="B374" s="4" t="str">
        <f>IFERROR(VLOOKUP(parent_children_2[[#This Row],[parent_id]],abbreviation[],3,FALSE),"")</f>
        <v/>
      </c>
      <c r="C374" s="4" t="str">
        <f>IFERROR(VLOOKUP(parent_children_2[[#This Row],[children_id]],abbreviation[],ColumnLanguage+1,FALSE),"")</f>
        <v/>
      </c>
    </row>
    <row r="375" spans="1:3" x14ac:dyDescent="0.25">
      <c r="A375" s="4" t="str">
        <f>IFERROR(parent_children_2[[#This Row],[parent_children_id]],"")</f>
        <v/>
      </c>
      <c r="B375" s="4" t="str">
        <f>IFERROR(VLOOKUP(parent_children_2[[#This Row],[parent_id]],abbreviation[],3,FALSE),"")</f>
        <v/>
      </c>
      <c r="C375" s="4" t="str">
        <f>IFERROR(VLOOKUP(parent_children_2[[#This Row],[children_id]],abbreviation[],ColumnLanguage+1,FALSE),"")</f>
        <v/>
      </c>
    </row>
    <row r="376" spans="1:3" x14ac:dyDescent="0.25">
      <c r="A376" s="4" t="str">
        <f>IFERROR(parent_children_2[[#This Row],[parent_children_id]],"")</f>
        <v/>
      </c>
      <c r="B376" s="4" t="str">
        <f>IFERROR(VLOOKUP(parent_children_2[[#This Row],[parent_id]],abbreviation[],3,FALSE),"")</f>
        <v/>
      </c>
      <c r="C376" s="4" t="str">
        <f>IFERROR(VLOOKUP(parent_children_2[[#This Row],[children_id]],abbreviation[],ColumnLanguage+1,FALSE),"")</f>
        <v/>
      </c>
    </row>
    <row r="377" spans="1:3" x14ac:dyDescent="0.25">
      <c r="A377" s="4" t="str">
        <f>IFERROR(parent_children_2[[#This Row],[parent_children_id]],"")</f>
        <v/>
      </c>
      <c r="B377" s="4" t="str">
        <f>IFERROR(VLOOKUP(parent_children_2[[#This Row],[parent_id]],abbreviation[],3,FALSE),"")</f>
        <v/>
      </c>
      <c r="C377" s="4" t="str">
        <f>IFERROR(VLOOKUP(parent_children_2[[#This Row],[children_id]],abbreviation[],ColumnLanguage+1,FALSE),"")</f>
        <v/>
      </c>
    </row>
    <row r="378" spans="1:3" x14ac:dyDescent="0.25">
      <c r="A378" s="4" t="str">
        <f>IFERROR(parent_children_2[[#This Row],[parent_children_id]],"")</f>
        <v/>
      </c>
      <c r="B378" s="4" t="str">
        <f>IFERROR(VLOOKUP(parent_children_2[[#This Row],[parent_id]],abbreviation[],3,FALSE),"")</f>
        <v/>
      </c>
      <c r="C378" s="4" t="str">
        <f>IFERROR(VLOOKUP(parent_children_2[[#This Row],[children_id]],abbreviation[],ColumnLanguage+1,FALSE),"")</f>
        <v/>
      </c>
    </row>
    <row r="379" spans="1:3" x14ac:dyDescent="0.25">
      <c r="A379" s="4" t="str">
        <f>IFERROR(parent_children_2[[#This Row],[parent_children_id]],"")</f>
        <v/>
      </c>
      <c r="B379" s="4" t="str">
        <f>IFERROR(VLOOKUP(parent_children_2[[#This Row],[parent_id]],abbreviation[],3,FALSE),"")</f>
        <v/>
      </c>
      <c r="C379" s="4" t="str">
        <f>IFERROR(VLOOKUP(parent_children_2[[#This Row],[children_id]],abbreviation[],ColumnLanguage+1,FALSE),"")</f>
        <v/>
      </c>
    </row>
    <row r="380" spans="1:3" x14ac:dyDescent="0.25">
      <c r="A380" s="4" t="str">
        <f>IFERROR(parent_children_2[[#This Row],[parent_children_id]],"")</f>
        <v/>
      </c>
      <c r="B380" s="4" t="str">
        <f>IFERROR(VLOOKUP(parent_children_2[[#This Row],[parent_id]],abbreviation[],3,FALSE),"")</f>
        <v/>
      </c>
      <c r="C380" s="4" t="str">
        <f>IFERROR(VLOOKUP(parent_children_2[[#This Row],[children_id]],abbreviation[],ColumnLanguage+1,FALSE),"")</f>
        <v/>
      </c>
    </row>
    <row r="381" spans="1:3" x14ac:dyDescent="0.25">
      <c r="A381" s="4" t="str">
        <f>IFERROR(parent_children_2[[#This Row],[parent_children_id]],"")</f>
        <v/>
      </c>
      <c r="B381" s="4" t="str">
        <f>IFERROR(VLOOKUP(parent_children_2[[#This Row],[parent_id]],abbreviation[],3,FALSE),"")</f>
        <v/>
      </c>
      <c r="C381" s="4" t="str">
        <f>IFERROR(VLOOKUP(parent_children_2[[#This Row],[children_id]],abbreviation[],ColumnLanguage+1,FALSE),"")</f>
        <v/>
      </c>
    </row>
    <row r="382" spans="1:3" x14ac:dyDescent="0.25">
      <c r="A382" s="4" t="str">
        <f>IFERROR(parent_children_2[[#This Row],[parent_children_id]],"")</f>
        <v/>
      </c>
      <c r="B382" s="4" t="str">
        <f>IFERROR(VLOOKUP(parent_children_2[[#This Row],[parent_id]],abbreviation[],3,FALSE),"")</f>
        <v/>
      </c>
      <c r="C382" s="4" t="str">
        <f>IFERROR(VLOOKUP(parent_children_2[[#This Row],[children_id]],abbreviation[],ColumnLanguage+1,FALSE),"")</f>
        <v/>
      </c>
    </row>
    <row r="383" spans="1:3" x14ac:dyDescent="0.25">
      <c r="A383" s="4" t="str">
        <f>IFERROR(parent_children_2[[#This Row],[parent_children_id]],"")</f>
        <v/>
      </c>
      <c r="B383" s="4" t="str">
        <f>IFERROR(VLOOKUP(parent_children_2[[#This Row],[parent_id]],abbreviation[],3,FALSE),"")</f>
        <v/>
      </c>
      <c r="C383" s="4" t="str">
        <f>IFERROR(VLOOKUP(parent_children_2[[#This Row],[children_id]],abbreviation[],ColumnLanguage+1,FALSE),"")</f>
        <v/>
      </c>
    </row>
    <row r="384" spans="1:3" x14ac:dyDescent="0.25">
      <c r="A384" s="4" t="str">
        <f>IFERROR(parent_children_2[[#This Row],[parent_children_id]],"")</f>
        <v/>
      </c>
      <c r="B384" s="4" t="str">
        <f>IFERROR(VLOOKUP(parent_children_2[[#This Row],[parent_id]],abbreviation[],3,FALSE),"")</f>
        <v/>
      </c>
      <c r="C384" s="4" t="str">
        <f>IFERROR(VLOOKUP(parent_children_2[[#This Row],[children_id]],abbreviation[],ColumnLanguage+1,FALSE),"")</f>
        <v/>
      </c>
    </row>
    <row r="385" spans="1:3" x14ac:dyDescent="0.25">
      <c r="A385" s="4" t="str">
        <f>IFERROR(parent_children_2[[#This Row],[parent_children_id]],"")</f>
        <v/>
      </c>
      <c r="B385" s="4" t="str">
        <f>IFERROR(VLOOKUP(parent_children_2[[#This Row],[parent_id]],abbreviation[],3,FALSE),"")</f>
        <v/>
      </c>
      <c r="C385" s="4" t="str">
        <f>IFERROR(VLOOKUP(parent_children_2[[#This Row],[children_id]],abbreviation[],ColumnLanguage+1,FALSE),"")</f>
        <v/>
      </c>
    </row>
    <row r="386" spans="1:3" x14ac:dyDescent="0.25">
      <c r="A386" s="4" t="str">
        <f>IFERROR(parent_children_2[[#This Row],[parent_children_id]],"")</f>
        <v/>
      </c>
      <c r="B386" s="4" t="str">
        <f>IFERROR(VLOOKUP(parent_children_2[[#This Row],[parent_id]],abbreviation[],3,FALSE),"")</f>
        <v/>
      </c>
      <c r="C386" s="4" t="str">
        <f>IFERROR(VLOOKUP(parent_children_2[[#This Row],[children_id]],abbreviation[],ColumnLanguage+1,FALSE),"")</f>
        <v/>
      </c>
    </row>
    <row r="387" spans="1:3" x14ac:dyDescent="0.25">
      <c r="A387" s="4" t="str">
        <f>IFERROR(parent_children_2[[#This Row],[parent_children_id]],"")</f>
        <v/>
      </c>
      <c r="B387" s="4" t="str">
        <f>IFERROR(VLOOKUP(parent_children_2[[#This Row],[parent_id]],abbreviation[],3,FALSE),"")</f>
        <v/>
      </c>
      <c r="C387" s="4" t="str">
        <f>IFERROR(VLOOKUP(parent_children_2[[#This Row],[children_id]],abbreviation[],ColumnLanguage+1,FALSE),"")</f>
        <v/>
      </c>
    </row>
    <row r="388" spans="1:3" x14ac:dyDescent="0.25">
      <c r="A388" s="4" t="str">
        <f>IFERROR(parent_children_2[[#This Row],[parent_children_id]],"")</f>
        <v/>
      </c>
      <c r="B388" s="4" t="str">
        <f>IFERROR(VLOOKUP(parent_children_2[[#This Row],[parent_id]],abbreviation[],3,FALSE),"")</f>
        <v/>
      </c>
      <c r="C388" s="4" t="str">
        <f>IFERROR(VLOOKUP(parent_children_2[[#This Row],[children_id]],abbreviation[],ColumnLanguage+1,FALSE),"")</f>
        <v/>
      </c>
    </row>
    <row r="389" spans="1:3" x14ac:dyDescent="0.25">
      <c r="A389" s="4" t="str">
        <f>IFERROR(parent_children_2[[#This Row],[parent_children_id]],"")</f>
        <v/>
      </c>
      <c r="B389" s="4" t="str">
        <f>IFERROR(VLOOKUP(parent_children_2[[#This Row],[parent_id]],abbreviation[],3,FALSE),"")</f>
        <v/>
      </c>
      <c r="C389" s="4" t="str">
        <f>IFERROR(VLOOKUP(parent_children_2[[#This Row],[children_id]],abbreviation[],ColumnLanguage+1,FALSE),"")</f>
        <v/>
      </c>
    </row>
    <row r="390" spans="1:3" x14ac:dyDescent="0.25">
      <c r="A390" s="4" t="str">
        <f>IFERROR(parent_children_2[[#This Row],[parent_children_id]],"")</f>
        <v/>
      </c>
      <c r="B390" s="4" t="str">
        <f>IFERROR(VLOOKUP(parent_children_2[[#This Row],[parent_id]],abbreviation[],3,FALSE),"")</f>
        <v/>
      </c>
      <c r="C390" s="4" t="str">
        <f>IFERROR(VLOOKUP(parent_children_2[[#This Row],[children_id]],abbreviation[],ColumnLanguage+1,FALSE),"")</f>
        <v/>
      </c>
    </row>
    <row r="391" spans="1:3" x14ac:dyDescent="0.25">
      <c r="A391" s="4" t="str">
        <f>IFERROR(parent_children_2[[#This Row],[parent_children_id]],"")</f>
        <v/>
      </c>
      <c r="B391" s="4" t="str">
        <f>IFERROR(VLOOKUP(parent_children_2[[#This Row],[parent_id]],abbreviation[],3,FALSE),"")</f>
        <v/>
      </c>
      <c r="C391" s="4" t="str">
        <f>IFERROR(VLOOKUP(parent_children_2[[#This Row],[children_id]],abbreviation[],ColumnLanguage+1,FALSE),"")</f>
        <v/>
      </c>
    </row>
    <row r="392" spans="1:3" x14ac:dyDescent="0.25">
      <c r="A392" s="4" t="str">
        <f>IFERROR(parent_children_2[[#This Row],[parent_children_id]],"")</f>
        <v/>
      </c>
      <c r="B392" s="4" t="str">
        <f>IFERROR(VLOOKUP(parent_children_2[[#This Row],[parent_id]],abbreviation[],3,FALSE),"")</f>
        <v/>
      </c>
      <c r="C392" s="4" t="str">
        <f>IFERROR(VLOOKUP(parent_children_2[[#This Row],[children_id]],abbreviation[],ColumnLanguage+1,FALSE),"")</f>
        <v/>
      </c>
    </row>
    <row r="393" spans="1:3" x14ac:dyDescent="0.25">
      <c r="A393" s="4" t="str">
        <f>IFERROR(parent_children_2[[#This Row],[parent_children_id]],"")</f>
        <v/>
      </c>
      <c r="B393" s="4" t="str">
        <f>IFERROR(VLOOKUP(parent_children_2[[#This Row],[parent_id]],abbreviation[],3,FALSE),"")</f>
        <v/>
      </c>
      <c r="C393" s="4" t="str">
        <f>IFERROR(VLOOKUP(parent_children_2[[#This Row],[children_id]],abbreviation[],ColumnLanguage+1,FALSE),"")</f>
        <v/>
      </c>
    </row>
    <row r="394" spans="1:3" x14ac:dyDescent="0.25">
      <c r="A394" s="4" t="str">
        <f>IFERROR(parent_children_2[[#This Row],[parent_children_id]],"")</f>
        <v/>
      </c>
      <c r="B394" s="4" t="str">
        <f>IFERROR(VLOOKUP(parent_children_2[[#This Row],[parent_id]],abbreviation[],3,FALSE),"")</f>
        <v/>
      </c>
      <c r="C394" s="4" t="str">
        <f>IFERROR(VLOOKUP(parent_children_2[[#This Row],[children_id]],abbreviation[],ColumnLanguage+1,FALSE),"")</f>
        <v/>
      </c>
    </row>
    <row r="395" spans="1:3" x14ac:dyDescent="0.25">
      <c r="A395" s="4" t="str">
        <f>IFERROR(parent_children_2[[#This Row],[parent_children_id]],"")</f>
        <v/>
      </c>
      <c r="B395" s="4" t="str">
        <f>IFERROR(VLOOKUP(parent_children_2[[#This Row],[parent_id]],abbreviation[],3,FALSE),"")</f>
        <v/>
      </c>
      <c r="C395" s="4" t="str">
        <f>IFERROR(VLOOKUP(parent_children_2[[#This Row],[children_id]],abbreviation[],ColumnLanguage+1,FALSE),"")</f>
        <v/>
      </c>
    </row>
    <row r="396" spans="1:3" x14ac:dyDescent="0.25">
      <c r="A396" s="4" t="str">
        <f>IFERROR(parent_children_2[[#This Row],[parent_children_id]],"")</f>
        <v/>
      </c>
      <c r="B396" s="4" t="str">
        <f>IFERROR(VLOOKUP(parent_children_2[[#This Row],[parent_id]],abbreviation[],3,FALSE),"")</f>
        <v/>
      </c>
      <c r="C396" s="4" t="str">
        <f>IFERROR(VLOOKUP(parent_children_2[[#This Row],[children_id]],abbreviation[],ColumnLanguage+1,FALSE),"")</f>
        <v/>
      </c>
    </row>
    <row r="397" spans="1:3" x14ac:dyDescent="0.25">
      <c r="A397" s="4" t="str">
        <f>IFERROR(parent_children_2[[#This Row],[parent_children_id]],"")</f>
        <v/>
      </c>
      <c r="B397" s="4" t="str">
        <f>IFERROR(VLOOKUP(parent_children_2[[#This Row],[parent_id]],abbreviation[],3,FALSE),"")</f>
        <v/>
      </c>
      <c r="C397" s="4" t="str">
        <f>IFERROR(VLOOKUP(parent_children_2[[#This Row],[children_id]],abbreviation[],ColumnLanguage+1,FALSE),"")</f>
        <v/>
      </c>
    </row>
    <row r="398" spans="1:3" x14ac:dyDescent="0.25">
      <c r="A398" s="4" t="str">
        <f>IFERROR(parent_children_2[[#This Row],[parent_children_id]],"")</f>
        <v/>
      </c>
      <c r="B398" s="4" t="str">
        <f>IFERROR(VLOOKUP(parent_children_2[[#This Row],[parent_id]],abbreviation[],3,FALSE),"")</f>
        <v/>
      </c>
      <c r="C398" s="4" t="str">
        <f>IFERROR(VLOOKUP(parent_children_2[[#This Row],[children_id]],abbreviation[],ColumnLanguage+1,FALSE),"")</f>
        <v/>
      </c>
    </row>
    <row r="399" spans="1:3" x14ac:dyDescent="0.25">
      <c r="A399" s="4" t="str">
        <f>IFERROR(parent_children_2[[#This Row],[parent_children_id]],"")</f>
        <v/>
      </c>
      <c r="B399" s="4" t="str">
        <f>IFERROR(VLOOKUP(parent_children_2[[#This Row],[parent_id]],abbreviation[],3,FALSE),"")</f>
        <v/>
      </c>
      <c r="C399" s="4" t="str">
        <f>IFERROR(VLOOKUP(parent_children_2[[#This Row],[children_id]],abbreviation[],ColumnLanguage+1,FALSE),"")</f>
        <v/>
      </c>
    </row>
    <row r="400" spans="1:3" x14ac:dyDescent="0.25">
      <c r="A400" s="4" t="str">
        <f>IFERROR(parent_children_2[[#This Row],[parent_children_id]],"")</f>
        <v/>
      </c>
      <c r="B400" s="4" t="str">
        <f>IFERROR(VLOOKUP(parent_children_2[[#This Row],[parent_id]],abbreviation[],3,FALSE),"")</f>
        <v/>
      </c>
      <c r="C400" s="4" t="str">
        <f>IFERROR(VLOOKUP(parent_children_2[[#This Row],[children_id]],abbreviation[],ColumnLanguage+1,FALSE),"")</f>
        <v/>
      </c>
    </row>
    <row r="401" spans="1:3" x14ac:dyDescent="0.25">
      <c r="A401" s="4" t="str">
        <f>IFERROR(parent_children_2[[#This Row],[parent_children_id]],"")</f>
        <v/>
      </c>
      <c r="B401" s="4" t="str">
        <f>IFERROR(VLOOKUP(parent_children_2[[#This Row],[parent_id]],abbreviation[],3,FALSE),"")</f>
        <v/>
      </c>
      <c r="C401" s="4" t="str">
        <f>IFERROR(VLOOKUP(parent_children_2[[#This Row],[children_id]],abbreviation[],ColumnLanguage+1,FALSE),"")</f>
        <v/>
      </c>
    </row>
    <row r="402" spans="1:3" x14ac:dyDescent="0.25">
      <c r="A402" s="4" t="str">
        <f>IFERROR(parent_children_2[[#This Row],[parent_children_id]],"")</f>
        <v/>
      </c>
      <c r="B402" s="4" t="str">
        <f>IFERROR(VLOOKUP(parent_children_2[[#This Row],[parent_id]],abbreviation[],3,FALSE),"")</f>
        <v/>
      </c>
      <c r="C402" s="4" t="str">
        <f>IFERROR(VLOOKUP(parent_children_2[[#This Row],[children_id]],abbreviation[],ColumnLanguage+1,FALSE),"")</f>
        <v/>
      </c>
    </row>
    <row r="403" spans="1:3" x14ac:dyDescent="0.25">
      <c r="A403" s="4" t="str">
        <f>IFERROR(parent_children_2[[#This Row],[parent_children_id]],"")</f>
        <v/>
      </c>
      <c r="B403" s="4" t="str">
        <f>IFERROR(VLOOKUP(parent_children_2[[#This Row],[parent_id]],abbreviation[],3,FALSE),"")</f>
        <v/>
      </c>
      <c r="C403" s="4" t="str">
        <f>IFERROR(VLOOKUP(parent_children_2[[#This Row],[children_id]],abbreviation[],ColumnLanguage+1,FALSE),"")</f>
        <v/>
      </c>
    </row>
    <row r="404" spans="1:3" x14ac:dyDescent="0.25">
      <c r="A404" s="4" t="str">
        <f>IFERROR(parent_children_2[[#This Row],[parent_children_id]],"")</f>
        <v/>
      </c>
      <c r="B404" s="4" t="str">
        <f>IFERROR(VLOOKUP(parent_children_2[[#This Row],[parent_id]],abbreviation[],3,FALSE),"")</f>
        <v/>
      </c>
      <c r="C404" s="4" t="str">
        <f>IFERROR(VLOOKUP(parent_children_2[[#This Row],[children_id]],abbreviation[],ColumnLanguage+1,FALSE),"")</f>
        <v/>
      </c>
    </row>
    <row r="405" spans="1:3" x14ac:dyDescent="0.25">
      <c r="A405" s="4" t="str">
        <f>IFERROR(parent_children_2[[#This Row],[parent_children_id]],"")</f>
        <v/>
      </c>
      <c r="B405" s="4" t="str">
        <f>IFERROR(VLOOKUP(parent_children_2[[#This Row],[parent_id]],abbreviation[],3,FALSE),"")</f>
        <v/>
      </c>
      <c r="C405" s="4" t="str">
        <f>IFERROR(VLOOKUP(parent_children_2[[#This Row],[children_id]],abbreviation[],ColumnLanguage+1,FALSE),"")</f>
        <v/>
      </c>
    </row>
    <row r="406" spans="1:3" x14ac:dyDescent="0.25">
      <c r="A406" s="4" t="str">
        <f>IFERROR(parent_children_2[[#This Row],[parent_children_id]],"")</f>
        <v/>
      </c>
      <c r="B406" s="4" t="str">
        <f>IFERROR(VLOOKUP(parent_children_2[[#This Row],[parent_id]],abbreviation[],3,FALSE),"")</f>
        <v/>
      </c>
      <c r="C406" s="4" t="str">
        <f>IFERROR(VLOOKUP(parent_children_2[[#This Row],[children_id]],abbreviation[],ColumnLanguage+1,FALSE),"")</f>
        <v/>
      </c>
    </row>
    <row r="407" spans="1:3" x14ac:dyDescent="0.25">
      <c r="A407" s="4" t="str">
        <f>IFERROR(parent_children_2[[#This Row],[parent_children_id]],"")</f>
        <v/>
      </c>
      <c r="B407" s="4" t="str">
        <f>IFERROR(VLOOKUP(parent_children_2[[#This Row],[parent_id]],abbreviation[],3,FALSE),"")</f>
        <v/>
      </c>
      <c r="C407" s="4" t="str">
        <f>IFERROR(VLOOKUP(parent_children_2[[#This Row],[children_id]],abbreviation[],ColumnLanguage+1,FALSE),"")</f>
        <v/>
      </c>
    </row>
    <row r="408" spans="1:3" x14ac:dyDescent="0.25">
      <c r="A408" s="4" t="str">
        <f>IFERROR(parent_children_2[[#This Row],[parent_children_id]],"")</f>
        <v/>
      </c>
      <c r="B408" s="4" t="str">
        <f>IFERROR(VLOOKUP(parent_children_2[[#This Row],[parent_id]],abbreviation[],3,FALSE),"")</f>
        <v/>
      </c>
      <c r="C408" s="4" t="str">
        <f>IFERROR(VLOOKUP(parent_children_2[[#This Row],[children_id]],abbreviation[],ColumnLanguage+1,FALSE),"")</f>
        <v/>
      </c>
    </row>
    <row r="409" spans="1:3" x14ac:dyDescent="0.25">
      <c r="A409" s="4" t="str">
        <f>IFERROR(parent_children_2[[#This Row],[parent_children_id]],"")</f>
        <v/>
      </c>
      <c r="B409" s="4" t="str">
        <f>IFERROR(VLOOKUP(parent_children_2[[#This Row],[parent_id]],abbreviation[],3,FALSE),"")</f>
        <v/>
      </c>
      <c r="C409" s="4" t="str">
        <f>IFERROR(VLOOKUP(parent_children_2[[#This Row],[children_id]],abbreviation[],ColumnLanguage+1,FALSE),"")</f>
        <v/>
      </c>
    </row>
    <row r="410" spans="1:3" x14ac:dyDescent="0.25">
      <c r="A410" s="4" t="str">
        <f>IFERROR(parent_children_2[[#This Row],[parent_children_id]],"")</f>
        <v/>
      </c>
      <c r="B410" s="4" t="str">
        <f>IFERROR(VLOOKUP(parent_children_2[[#This Row],[parent_id]],abbreviation[],3,FALSE),"")</f>
        <v/>
      </c>
      <c r="C410" s="4" t="str">
        <f>IFERROR(VLOOKUP(parent_children_2[[#This Row],[children_id]],abbreviation[],ColumnLanguage+1,FALSE),"")</f>
        <v/>
      </c>
    </row>
    <row r="411" spans="1:3" x14ac:dyDescent="0.25">
      <c r="A411" s="4" t="str">
        <f>IFERROR(parent_children_2[[#This Row],[parent_children_id]],"")</f>
        <v/>
      </c>
      <c r="B411" s="4" t="str">
        <f>IFERROR(VLOOKUP(parent_children_2[[#This Row],[parent_id]],abbreviation[],3,FALSE),"")</f>
        <v/>
      </c>
      <c r="C411" s="4" t="str">
        <f>IFERROR(VLOOKUP(parent_children_2[[#This Row],[children_id]],abbreviation[],ColumnLanguage+1,FALSE),"")</f>
        <v/>
      </c>
    </row>
    <row r="412" spans="1:3" x14ac:dyDescent="0.25">
      <c r="A412" s="4" t="str">
        <f>IFERROR(parent_children_2[[#This Row],[parent_children_id]],"")</f>
        <v/>
      </c>
      <c r="B412" s="4" t="str">
        <f>IFERROR(VLOOKUP(parent_children_2[[#This Row],[parent_id]],abbreviation[],3,FALSE),"")</f>
        <v/>
      </c>
      <c r="C412" s="4" t="str">
        <f>IFERROR(VLOOKUP(parent_children_2[[#This Row],[children_id]],abbreviation[],ColumnLanguage+1,FALSE),"")</f>
        <v/>
      </c>
    </row>
    <row r="413" spans="1:3" x14ac:dyDescent="0.25">
      <c r="A413" s="4" t="str">
        <f>IFERROR(parent_children_2[[#This Row],[parent_children_id]],"")</f>
        <v/>
      </c>
      <c r="B413" s="4" t="str">
        <f>IFERROR(VLOOKUP(parent_children_2[[#This Row],[parent_id]],abbreviation[],3,FALSE),"")</f>
        <v/>
      </c>
      <c r="C413" s="4" t="str">
        <f>IFERROR(VLOOKUP(parent_children_2[[#This Row],[children_id]],abbreviation[],ColumnLanguage+1,FALSE),"")</f>
        <v/>
      </c>
    </row>
    <row r="414" spans="1:3" x14ac:dyDescent="0.25">
      <c r="A414" s="4" t="str">
        <f>IFERROR(parent_children_2[[#This Row],[parent_children_id]],"")</f>
        <v/>
      </c>
      <c r="B414" s="4" t="str">
        <f>IFERROR(VLOOKUP(parent_children_2[[#This Row],[parent_id]],abbreviation[],3,FALSE),"")</f>
        <v/>
      </c>
      <c r="C414" s="4" t="str">
        <f>IFERROR(VLOOKUP(parent_children_2[[#This Row],[children_id]],abbreviation[],ColumnLanguage+1,FALSE),"")</f>
        <v/>
      </c>
    </row>
    <row r="415" spans="1:3" x14ac:dyDescent="0.25">
      <c r="A415" s="4" t="str">
        <f>IFERROR(parent_children_2[[#This Row],[parent_children_id]],"")</f>
        <v/>
      </c>
      <c r="B415" s="4" t="str">
        <f>IFERROR(VLOOKUP(parent_children_2[[#This Row],[parent_id]],abbreviation[],3,FALSE),"")</f>
        <v/>
      </c>
      <c r="C415" s="4" t="str">
        <f>IFERROR(VLOOKUP(parent_children_2[[#This Row],[children_id]],abbreviation[],ColumnLanguage+1,FALSE),"")</f>
        <v/>
      </c>
    </row>
    <row r="416" spans="1:3" x14ac:dyDescent="0.25">
      <c r="A416" s="4" t="str">
        <f>IFERROR(parent_children_2[[#This Row],[parent_children_id]],"")</f>
        <v/>
      </c>
      <c r="B416" s="4" t="str">
        <f>IFERROR(VLOOKUP(parent_children_2[[#This Row],[parent_id]],abbreviation[],3,FALSE),"")</f>
        <v/>
      </c>
      <c r="C416" s="4" t="str">
        <f>IFERROR(VLOOKUP(parent_children_2[[#This Row],[children_id]],abbreviation[],ColumnLanguage+1,FALSE),"")</f>
        <v/>
      </c>
    </row>
    <row r="417" spans="1:3" x14ac:dyDescent="0.25">
      <c r="A417" s="4" t="str">
        <f>IFERROR(parent_children_2[[#This Row],[parent_children_id]],"")</f>
        <v/>
      </c>
      <c r="B417" s="4" t="str">
        <f>IFERROR(VLOOKUP(parent_children_2[[#This Row],[parent_id]],abbreviation[],3,FALSE),"")</f>
        <v/>
      </c>
      <c r="C417" s="4" t="str">
        <f>IFERROR(VLOOKUP(parent_children_2[[#This Row],[children_id]],abbreviation[],ColumnLanguage+1,FALSE),"")</f>
        <v/>
      </c>
    </row>
    <row r="418" spans="1:3" x14ac:dyDescent="0.25">
      <c r="A418" s="4" t="str">
        <f>IFERROR(parent_children_2[[#This Row],[parent_children_id]],"")</f>
        <v/>
      </c>
      <c r="B418" s="4" t="str">
        <f>IFERROR(VLOOKUP(parent_children_2[[#This Row],[parent_id]],abbreviation[],3,FALSE),"")</f>
        <v/>
      </c>
      <c r="C418" s="4" t="str">
        <f>IFERROR(VLOOKUP(parent_children_2[[#This Row],[children_id]],abbreviation[],ColumnLanguage+1,FALSE),"")</f>
        <v/>
      </c>
    </row>
    <row r="419" spans="1:3" x14ac:dyDescent="0.25">
      <c r="A419" s="4" t="str">
        <f>IFERROR(parent_children_2[[#This Row],[parent_children_id]],"")</f>
        <v/>
      </c>
      <c r="B419" s="4" t="str">
        <f>IFERROR(VLOOKUP(parent_children_2[[#This Row],[parent_id]],abbreviation[],3,FALSE),"")</f>
        <v/>
      </c>
      <c r="C419" s="4" t="str">
        <f>IFERROR(VLOOKUP(parent_children_2[[#This Row],[children_id]],abbreviation[],ColumnLanguage+1,FALSE),"")</f>
        <v/>
      </c>
    </row>
    <row r="420" spans="1:3" x14ac:dyDescent="0.25">
      <c r="A420" s="4" t="str">
        <f>IFERROR(parent_children_2[[#This Row],[parent_children_id]],"")</f>
        <v/>
      </c>
      <c r="B420" s="4" t="str">
        <f>IFERROR(VLOOKUP(parent_children_2[[#This Row],[parent_id]],abbreviation[],3,FALSE),"")</f>
        <v/>
      </c>
      <c r="C420" s="4" t="str">
        <f>IFERROR(VLOOKUP(parent_children_2[[#This Row],[children_id]],abbreviation[],ColumnLanguage+1,FALSE),"")</f>
        <v/>
      </c>
    </row>
    <row r="421" spans="1:3" x14ac:dyDescent="0.25">
      <c r="A421" s="4" t="str">
        <f>IFERROR(parent_children_2[[#This Row],[parent_children_id]],"")</f>
        <v/>
      </c>
      <c r="B421" s="4" t="str">
        <f>IFERROR(VLOOKUP(parent_children_2[[#This Row],[parent_id]],abbreviation[],3,FALSE),"")</f>
        <v/>
      </c>
      <c r="C421" s="4" t="str">
        <f>IFERROR(VLOOKUP(parent_children_2[[#This Row],[children_id]],abbreviation[],ColumnLanguage+1,FALSE),"")</f>
        <v/>
      </c>
    </row>
    <row r="422" spans="1:3" x14ac:dyDescent="0.25">
      <c r="A422" s="4" t="str">
        <f>IFERROR(parent_children_2[[#This Row],[parent_children_id]],"")</f>
        <v/>
      </c>
      <c r="B422" s="4" t="str">
        <f>IFERROR(VLOOKUP(parent_children_2[[#This Row],[parent_id]],abbreviation[],3,FALSE),"")</f>
        <v/>
      </c>
      <c r="C422" s="4" t="str">
        <f>IFERROR(VLOOKUP(parent_children_2[[#This Row],[children_id]],abbreviation[],ColumnLanguage+1,FALSE),"")</f>
        <v/>
      </c>
    </row>
    <row r="423" spans="1:3" x14ac:dyDescent="0.25">
      <c r="A423" s="4" t="str">
        <f>IFERROR(parent_children_2[[#This Row],[parent_children_id]],"")</f>
        <v/>
      </c>
      <c r="B423" s="4" t="str">
        <f>IFERROR(VLOOKUP(parent_children_2[[#This Row],[parent_id]],abbreviation[],3,FALSE),"")</f>
        <v/>
      </c>
      <c r="C423" s="4" t="str">
        <f>IFERROR(VLOOKUP(parent_children_2[[#This Row],[children_id]],abbreviation[],ColumnLanguage+1,FALSE),"")</f>
        <v/>
      </c>
    </row>
    <row r="424" spans="1:3" x14ac:dyDescent="0.25">
      <c r="A424" s="4" t="str">
        <f>IFERROR(parent_children_2[[#This Row],[parent_children_id]],"")</f>
        <v/>
      </c>
      <c r="B424" s="4" t="str">
        <f>IFERROR(VLOOKUP(parent_children_2[[#This Row],[parent_id]],abbreviation[],3,FALSE),"")</f>
        <v/>
      </c>
      <c r="C424" s="4" t="str">
        <f>IFERROR(VLOOKUP(parent_children_2[[#This Row],[children_id]],abbreviation[],ColumnLanguage+1,FALSE),"")</f>
        <v/>
      </c>
    </row>
    <row r="425" spans="1:3" x14ac:dyDescent="0.25">
      <c r="A425" s="4" t="str">
        <f>IFERROR(parent_children_2[[#This Row],[parent_children_id]],"")</f>
        <v/>
      </c>
      <c r="B425" s="4" t="str">
        <f>IFERROR(VLOOKUP(parent_children_2[[#This Row],[parent_id]],abbreviation[],3,FALSE),"")</f>
        <v/>
      </c>
      <c r="C425" s="4" t="str">
        <f>IFERROR(VLOOKUP(parent_children_2[[#This Row],[children_id]],abbreviation[],ColumnLanguage+1,FALSE),"")</f>
        <v/>
      </c>
    </row>
    <row r="426" spans="1:3" x14ac:dyDescent="0.25">
      <c r="A426" s="4" t="str">
        <f>IFERROR(parent_children_2[[#This Row],[parent_children_id]],"")</f>
        <v/>
      </c>
      <c r="B426" s="4" t="str">
        <f>IFERROR(VLOOKUP(parent_children_2[[#This Row],[parent_id]],abbreviation[],3,FALSE),"")</f>
        <v/>
      </c>
      <c r="C426" s="4" t="str">
        <f>IFERROR(VLOOKUP(parent_children_2[[#This Row],[children_id]],abbreviation[],ColumnLanguage+1,FALSE),"")</f>
        <v/>
      </c>
    </row>
    <row r="427" spans="1:3" x14ac:dyDescent="0.25">
      <c r="A427" s="4" t="str">
        <f>IFERROR(parent_children_2[[#This Row],[parent_children_id]],"")</f>
        <v/>
      </c>
      <c r="B427" s="4" t="str">
        <f>IFERROR(VLOOKUP(parent_children_2[[#This Row],[parent_id]],abbreviation[],3,FALSE),"")</f>
        <v/>
      </c>
      <c r="C427" s="4" t="str">
        <f>IFERROR(VLOOKUP(parent_children_2[[#This Row],[children_id]],abbreviation[],ColumnLanguage+1,FALSE),"")</f>
        <v/>
      </c>
    </row>
    <row r="428" spans="1:3" x14ac:dyDescent="0.25">
      <c r="A428" s="4" t="str">
        <f>IFERROR(parent_children_2[[#This Row],[parent_children_id]],"")</f>
        <v/>
      </c>
      <c r="B428" s="4" t="str">
        <f>IFERROR(VLOOKUP(parent_children_2[[#This Row],[parent_id]],abbreviation[],3,FALSE),"")</f>
        <v/>
      </c>
      <c r="C428" s="4" t="str">
        <f>IFERROR(VLOOKUP(parent_children_2[[#This Row],[children_id]],abbreviation[],ColumnLanguage+1,FALSE),"")</f>
        <v/>
      </c>
    </row>
    <row r="429" spans="1:3" x14ac:dyDescent="0.25">
      <c r="A429" s="4" t="str">
        <f>IFERROR(parent_children_2[[#This Row],[parent_children_id]],"")</f>
        <v/>
      </c>
      <c r="B429" s="4" t="str">
        <f>IFERROR(VLOOKUP(parent_children_2[[#This Row],[parent_id]],abbreviation[],3,FALSE),"")</f>
        <v/>
      </c>
      <c r="C429" s="4" t="str">
        <f>IFERROR(VLOOKUP(parent_children_2[[#This Row],[children_id]],abbreviation[],ColumnLanguage+1,FALSE),"")</f>
        <v/>
      </c>
    </row>
    <row r="430" spans="1:3" x14ac:dyDescent="0.25">
      <c r="A430" s="4" t="str">
        <f>IFERROR(parent_children_2[[#This Row],[parent_children_id]],"")</f>
        <v/>
      </c>
      <c r="B430" s="4" t="str">
        <f>IFERROR(VLOOKUP(parent_children_2[[#This Row],[parent_id]],abbreviation[],3,FALSE),"")</f>
        <v/>
      </c>
      <c r="C430" s="4" t="str">
        <f>IFERROR(VLOOKUP(parent_children_2[[#This Row],[children_id]],abbreviation[],ColumnLanguage+1,FALSE),"")</f>
        <v/>
      </c>
    </row>
    <row r="431" spans="1:3" x14ac:dyDescent="0.25">
      <c r="A431" s="4" t="str">
        <f>IFERROR(parent_children_2[[#This Row],[parent_children_id]],"")</f>
        <v/>
      </c>
      <c r="B431" s="4" t="str">
        <f>IFERROR(VLOOKUP(parent_children_2[[#This Row],[parent_id]],abbreviation[],3,FALSE),"")</f>
        <v/>
      </c>
      <c r="C431" s="4" t="str">
        <f>IFERROR(VLOOKUP(parent_children_2[[#This Row],[children_id]],abbreviation[],ColumnLanguage+1,FALSE),"")</f>
        <v/>
      </c>
    </row>
    <row r="432" spans="1:3" x14ac:dyDescent="0.25">
      <c r="A432" s="4" t="str">
        <f>IFERROR(parent_children_2[[#This Row],[parent_children_id]],"")</f>
        <v/>
      </c>
      <c r="B432" s="4" t="str">
        <f>IFERROR(VLOOKUP(parent_children_2[[#This Row],[parent_id]],abbreviation[],3,FALSE),"")</f>
        <v/>
      </c>
      <c r="C432" s="4" t="str">
        <f>IFERROR(VLOOKUP(parent_children_2[[#This Row],[children_id]],abbreviation[],ColumnLanguage+1,FALSE),"")</f>
        <v/>
      </c>
    </row>
    <row r="433" spans="1:3" x14ac:dyDescent="0.25">
      <c r="A433" s="4" t="str">
        <f>IFERROR(parent_children_2[[#This Row],[parent_children_id]],"")</f>
        <v/>
      </c>
      <c r="B433" s="4" t="str">
        <f>IFERROR(VLOOKUP(parent_children_2[[#This Row],[parent_id]],abbreviation[],3,FALSE),"")</f>
        <v/>
      </c>
      <c r="C433" s="4" t="str">
        <f>IFERROR(VLOOKUP(parent_children_2[[#This Row],[children_id]],abbreviation[],ColumnLanguage+1,FALSE),"")</f>
        <v/>
      </c>
    </row>
    <row r="434" spans="1:3" x14ac:dyDescent="0.25">
      <c r="A434" s="4" t="str">
        <f>IFERROR(parent_children_2[[#This Row],[parent_children_id]],"")</f>
        <v/>
      </c>
      <c r="B434" s="4" t="str">
        <f>IFERROR(VLOOKUP(parent_children_2[[#This Row],[parent_id]],abbreviation[],3,FALSE),"")</f>
        <v/>
      </c>
      <c r="C434" s="4" t="str">
        <f>IFERROR(VLOOKUP(parent_children_2[[#This Row],[children_id]],abbreviation[],ColumnLanguage+1,FALSE),"")</f>
        <v/>
      </c>
    </row>
    <row r="435" spans="1:3" x14ac:dyDescent="0.25">
      <c r="A435" s="4" t="str">
        <f>IFERROR(parent_children_2[[#This Row],[parent_children_id]],"")</f>
        <v/>
      </c>
      <c r="B435" s="4" t="str">
        <f>IFERROR(VLOOKUP(parent_children_2[[#This Row],[parent_id]],abbreviation[],3,FALSE),"")</f>
        <v/>
      </c>
      <c r="C435" s="4" t="str">
        <f>IFERROR(VLOOKUP(parent_children_2[[#This Row],[children_id]],abbreviation[],ColumnLanguage+1,FALSE),"")</f>
        <v/>
      </c>
    </row>
    <row r="436" spans="1:3" x14ac:dyDescent="0.25">
      <c r="A436" s="4" t="str">
        <f>IFERROR(parent_children_2[[#This Row],[parent_children_id]],"")</f>
        <v/>
      </c>
      <c r="B436" s="4" t="str">
        <f>IFERROR(VLOOKUP(parent_children_2[[#This Row],[parent_id]],abbreviation[],3,FALSE),"")</f>
        <v/>
      </c>
      <c r="C436" s="4" t="str">
        <f>IFERROR(VLOOKUP(parent_children_2[[#This Row],[children_id]],abbreviation[],ColumnLanguage+1,FALSE),"")</f>
        <v/>
      </c>
    </row>
    <row r="437" spans="1:3" x14ac:dyDescent="0.25">
      <c r="A437" s="4" t="str">
        <f>IFERROR(parent_children_2[[#This Row],[parent_children_id]],"")</f>
        <v/>
      </c>
      <c r="B437" s="4" t="str">
        <f>IFERROR(VLOOKUP(parent_children_2[[#This Row],[parent_id]],abbreviation[],3,FALSE),"")</f>
        <v/>
      </c>
      <c r="C437" s="4" t="str">
        <f>IFERROR(VLOOKUP(parent_children_2[[#This Row],[children_id]],abbreviation[],ColumnLanguage+1,FALSE),"")</f>
        <v/>
      </c>
    </row>
    <row r="438" spans="1:3" x14ac:dyDescent="0.25">
      <c r="A438" s="4" t="str">
        <f>IFERROR(parent_children_2[[#This Row],[parent_children_id]],"")</f>
        <v/>
      </c>
      <c r="B438" s="4" t="str">
        <f>IFERROR(VLOOKUP(parent_children_2[[#This Row],[parent_id]],abbreviation[],3,FALSE),"")</f>
        <v/>
      </c>
      <c r="C438" s="4" t="str">
        <f>IFERROR(VLOOKUP(parent_children_2[[#This Row],[children_id]],abbreviation[],ColumnLanguage+1,FALSE),"")</f>
        <v/>
      </c>
    </row>
    <row r="439" spans="1:3" x14ac:dyDescent="0.25">
      <c r="A439" s="4" t="str">
        <f>IFERROR(parent_children_2[[#This Row],[parent_children_id]],"")</f>
        <v/>
      </c>
      <c r="B439" s="4" t="str">
        <f>IFERROR(VLOOKUP(parent_children_2[[#This Row],[parent_id]],abbreviation[],3,FALSE),"")</f>
        <v/>
      </c>
      <c r="C439" s="4" t="str">
        <f>IFERROR(VLOOKUP(parent_children_2[[#This Row],[children_id]],abbreviation[],ColumnLanguage+1,FALSE),"")</f>
        <v/>
      </c>
    </row>
    <row r="440" spans="1:3" x14ac:dyDescent="0.25">
      <c r="A440" s="4" t="str">
        <f>IFERROR(parent_children_2[[#This Row],[parent_children_id]],"")</f>
        <v/>
      </c>
      <c r="B440" s="4" t="str">
        <f>IFERROR(VLOOKUP(parent_children_2[[#This Row],[parent_id]],abbreviation[],3,FALSE),"")</f>
        <v/>
      </c>
      <c r="C440" s="4" t="str">
        <f>IFERROR(VLOOKUP(parent_children_2[[#This Row],[children_id]],abbreviation[],ColumnLanguage+1,FALSE),"")</f>
        <v/>
      </c>
    </row>
    <row r="441" spans="1:3" x14ac:dyDescent="0.25">
      <c r="A441" s="4" t="str">
        <f>IFERROR(parent_children_2[[#This Row],[parent_children_id]],"")</f>
        <v/>
      </c>
      <c r="B441" s="4" t="str">
        <f>IFERROR(VLOOKUP(parent_children_2[[#This Row],[parent_id]],abbreviation[],3,FALSE),"")</f>
        <v/>
      </c>
      <c r="C441" s="4" t="str">
        <f>IFERROR(VLOOKUP(parent_children_2[[#This Row],[children_id]],abbreviation[],ColumnLanguage+1,FALSE),"")</f>
        <v/>
      </c>
    </row>
    <row r="442" spans="1:3" x14ac:dyDescent="0.25">
      <c r="A442" s="4" t="str">
        <f>IFERROR(parent_children_2[[#This Row],[parent_children_id]],"")</f>
        <v/>
      </c>
      <c r="B442" s="4" t="str">
        <f>IFERROR(VLOOKUP(parent_children_2[[#This Row],[parent_id]],abbreviation[],3,FALSE),"")</f>
        <v/>
      </c>
      <c r="C442" s="4" t="str">
        <f>IFERROR(VLOOKUP(parent_children_2[[#This Row],[children_id]],abbreviation[],ColumnLanguage+1,FALSE),"")</f>
        <v/>
      </c>
    </row>
    <row r="443" spans="1:3" x14ac:dyDescent="0.25">
      <c r="A443" s="4" t="str">
        <f>IFERROR(parent_children_2[[#This Row],[parent_children_id]],"")</f>
        <v/>
      </c>
      <c r="B443" s="4" t="str">
        <f>IFERROR(VLOOKUP(parent_children_2[[#This Row],[parent_id]],abbreviation[],3,FALSE),"")</f>
        <v/>
      </c>
      <c r="C443" s="4" t="str">
        <f>IFERROR(VLOOKUP(parent_children_2[[#This Row],[children_id]],abbreviation[],ColumnLanguage+1,FALSE),"")</f>
        <v/>
      </c>
    </row>
    <row r="444" spans="1:3" x14ac:dyDescent="0.25">
      <c r="A444" s="4" t="str">
        <f>IFERROR(parent_children_2[[#This Row],[parent_children_id]],"")</f>
        <v/>
      </c>
      <c r="B444" s="4" t="str">
        <f>IFERROR(VLOOKUP(parent_children_2[[#This Row],[parent_id]],abbreviation[],3,FALSE),"")</f>
        <v/>
      </c>
      <c r="C444" s="4" t="str">
        <f>IFERROR(VLOOKUP(parent_children_2[[#This Row],[children_id]],abbreviation[],ColumnLanguage+1,FALSE),"")</f>
        <v/>
      </c>
    </row>
    <row r="445" spans="1:3" x14ac:dyDescent="0.25">
      <c r="A445" s="4" t="str">
        <f>IFERROR(parent_children_2[[#This Row],[parent_children_id]],"")</f>
        <v/>
      </c>
      <c r="B445" s="4" t="str">
        <f>IFERROR(VLOOKUP(parent_children_2[[#This Row],[parent_id]],abbreviation[],3,FALSE),"")</f>
        <v/>
      </c>
      <c r="C445" s="4" t="str">
        <f>IFERROR(VLOOKUP(parent_children_2[[#This Row],[children_id]],abbreviation[],ColumnLanguage+1,FALSE),"")</f>
        <v/>
      </c>
    </row>
    <row r="446" spans="1:3" x14ac:dyDescent="0.25">
      <c r="A446" s="4" t="str">
        <f>IFERROR(parent_children_2[[#This Row],[parent_children_id]],"")</f>
        <v/>
      </c>
      <c r="B446" s="4" t="str">
        <f>IFERROR(VLOOKUP(parent_children_2[[#This Row],[parent_id]],abbreviation[],3,FALSE),"")</f>
        <v/>
      </c>
      <c r="C446" s="4" t="str">
        <f>IFERROR(VLOOKUP(parent_children_2[[#This Row],[children_id]],abbreviation[],ColumnLanguage+1,FALSE),"")</f>
        <v/>
      </c>
    </row>
    <row r="447" spans="1:3" x14ac:dyDescent="0.25">
      <c r="A447" s="4" t="str">
        <f>IFERROR(parent_children_2[[#This Row],[parent_children_id]],"")</f>
        <v/>
      </c>
      <c r="B447" s="4" t="str">
        <f>IFERROR(VLOOKUP(parent_children_2[[#This Row],[parent_id]],abbreviation[],3,FALSE),"")</f>
        <v/>
      </c>
      <c r="C447" s="4" t="str">
        <f>IFERROR(VLOOKUP(parent_children_2[[#This Row],[children_id]],abbreviation[],ColumnLanguage+1,FALSE),"")</f>
        <v/>
      </c>
    </row>
    <row r="448" spans="1:3" x14ac:dyDescent="0.25">
      <c r="A448" s="4" t="str">
        <f>IFERROR(parent_children_2[[#This Row],[parent_children_id]],"")</f>
        <v/>
      </c>
      <c r="B448" s="4" t="str">
        <f>IFERROR(VLOOKUP(parent_children_2[[#This Row],[parent_id]],abbreviation[],3,FALSE),"")</f>
        <v/>
      </c>
      <c r="C448" s="4" t="str">
        <f>IFERROR(VLOOKUP(parent_children_2[[#This Row],[children_id]],abbreviation[],ColumnLanguage+1,FALSE),"")</f>
        <v/>
      </c>
    </row>
    <row r="449" spans="1:3" x14ac:dyDescent="0.25">
      <c r="A449" s="4" t="str">
        <f>IFERROR(parent_children_2[[#This Row],[parent_children_id]],"")</f>
        <v/>
      </c>
      <c r="B449" s="4" t="str">
        <f>IFERROR(VLOOKUP(parent_children_2[[#This Row],[parent_id]],abbreviation[],3,FALSE),"")</f>
        <v/>
      </c>
      <c r="C449" s="4" t="str">
        <f>IFERROR(VLOOKUP(parent_children_2[[#This Row],[children_id]],abbreviation[],ColumnLanguage+1,FALSE),"")</f>
        <v/>
      </c>
    </row>
    <row r="450" spans="1:3" x14ac:dyDescent="0.25">
      <c r="A450" s="4" t="str">
        <f>IFERROR(parent_children_2[[#This Row],[parent_children_id]],"")</f>
        <v/>
      </c>
      <c r="B450" s="4" t="str">
        <f>IFERROR(VLOOKUP(parent_children_2[[#This Row],[parent_id]],abbreviation[],3,FALSE),"")</f>
        <v/>
      </c>
      <c r="C450" s="4" t="str">
        <f>IFERROR(VLOOKUP(parent_children_2[[#This Row],[children_id]],abbreviation[],ColumnLanguage+1,FALSE),"")</f>
        <v/>
      </c>
    </row>
    <row r="451" spans="1:3" x14ac:dyDescent="0.25">
      <c r="A451" s="4" t="str">
        <f>IFERROR(parent_children_2[[#This Row],[parent_children_id]],"")</f>
        <v/>
      </c>
      <c r="B451" s="4" t="str">
        <f>IFERROR(VLOOKUP(parent_children_2[[#This Row],[parent_id]],abbreviation[],3,FALSE),"")</f>
        <v/>
      </c>
      <c r="C451" s="4" t="str">
        <f>IFERROR(VLOOKUP(parent_children_2[[#This Row],[children_id]],abbreviation[],ColumnLanguage+1,FALSE),"")</f>
        <v/>
      </c>
    </row>
    <row r="452" spans="1:3" x14ac:dyDescent="0.25">
      <c r="A452" s="4" t="str">
        <f>IFERROR(parent_children_2[[#This Row],[parent_children_id]],"")</f>
        <v/>
      </c>
      <c r="B452" s="4" t="str">
        <f>IFERROR(VLOOKUP(parent_children_2[[#This Row],[parent_id]],abbreviation[],3,FALSE),"")</f>
        <v/>
      </c>
      <c r="C452" s="4" t="str">
        <f>IFERROR(VLOOKUP(parent_children_2[[#This Row],[children_id]],abbreviation[],ColumnLanguage+1,FALSE),"")</f>
        <v/>
      </c>
    </row>
    <row r="453" spans="1:3" x14ac:dyDescent="0.25">
      <c r="A453" s="4" t="str">
        <f>IFERROR(parent_children_2[[#This Row],[parent_children_id]],"")</f>
        <v/>
      </c>
      <c r="B453" s="4" t="str">
        <f>IFERROR(VLOOKUP(parent_children_2[[#This Row],[parent_id]],abbreviation[],3,FALSE),"")</f>
        <v/>
      </c>
      <c r="C453" s="4" t="str">
        <f>IFERROR(VLOOKUP(parent_children_2[[#This Row],[children_id]],abbreviation[],ColumnLanguage+1,FALSE),"")</f>
        <v/>
      </c>
    </row>
    <row r="454" spans="1:3" x14ac:dyDescent="0.25">
      <c r="A454" s="4" t="str">
        <f>IFERROR(parent_children_2[[#This Row],[parent_children_id]],"")</f>
        <v/>
      </c>
      <c r="B454" s="4" t="str">
        <f>IFERROR(VLOOKUP(parent_children_2[[#This Row],[parent_id]],abbreviation[],3,FALSE),"")</f>
        <v/>
      </c>
      <c r="C454" s="4" t="str">
        <f>IFERROR(VLOOKUP(parent_children_2[[#This Row],[children_id]],abbreviation[],ColumnLanguage+1,FALSE),"")</f>
        <v/>
      </c>
    </row>
    <row r="455" spans="1:3" x14ac:dyDescent="0.25">
      <c r="A455" s="4" t="str">
        <f>IFERROR(parent_children_2[[#This Row],[parent_children_id]],"")</f>
        <v/>
      </c>
      <c r="B455" s="4" t="str">
        <f>IFERROR(VLOOKUP(parent_children_2[[#This Row],[parent_id]],abbreviation[],3,FALSE),"")</f>
        <v/>
      </c>
      <c r="C455" s="4" t="str">
        <f>IFERROR(VLOOKUP(parent_children_2[[#This Row],[children_id]],abbreviation[],ColumnLanguage+1,FALSE),"")</f>
        <v/>
      </c>
    </row>
    <row r="456" spans="1:3" x14ac:dyDescent="0.25">
      <c r="A456" s="4" t="str">
        <f>IFERROR(parent_children_2[[#This Row],[parent_children_id]],"")</f>
        <v/>
      </c>
      <c r="B456" s="4" t="str">
        <f>IFERROR(VLOOKUP(parent_children_2[[#This Row],[parent_id]],abbreviation[],3,FALSE),"")</f>
        <v/>
      </c>
      <c r="C456" s="4" t="str">
        <f>IFERROR(VLOOKUP(parent_children_2[[#This Row],[children_id]],abbreviation[],ColumnLanguage+1,FALSE),"")</f>
        <v/>
      </c>
    </row>
    <row r="457" spans="1:3" x14ac:dyDescent="0.25">
      <c r="A457" s="4" t="str">
        <f>IFERROR(parent_children_2[[#This Row],[parent_children_id]],"")</f>
        <v/>
      </c>
      <c r="B457" s="4" t="str">
        <f>IFERROR(VLOOKUP(parent_children_2[[#This Row],[parent_id]],abbreviation[],3,FALSE),"")</f>
        <v/>
      </c>
      <c r="C457" s="4" t="str">
        <f>IFERROR(VLOOKUP(parent_children_2[[#This Row],[children_id]],abbreviation[],ColumnLanguage+1,FALSE),"")</f>
        <v/>
      </c>
    </row>
    <row r="458" spans="1:3" x14ac:dyDescent="0.25">
      <c r="A458" s="4" t="str">
        <f>IFERROR(parent_children_2[[#This Row],[parent_children_id]],"")</f>
        <v/>
      </c>
      <c r="B458" s="4" t="str">
        <f>IFERROR(VLOOKUP(parent_children_2[[#This Row],[parent_id]],abbreviation[],3,FALSE),"")</f>
        <v/>
      </c>
      <c r="C458" s="4" t="str">
        <f>IFERROR(VLOOKUP(parent_children_2[[#This Row],[children_id]],abbreviation[],ColumnLanguage+1,FALSE),"")</f>
        <v/>
      </c>
    </row>
    <row r="459" spans="1:3" x14ac:dyDescent="0.25">
      <c r="A459" s="4" t="str">
        <f>IFERROR(parent_children_2[[#This Row],[parent_children_id]],"")</f>
        <v/>
      </c>
      <c r="B459" s="4" t="str">
        <f>IFERROR(VLOOKUP(parent_children_2[[#This Row],[parent_id]],abbreviation[],3,FALSE),"")</f>
        <v/>
      </c>
      <c r="C459" s="4" t="str">
        <f>IFERROR(VLOOKUP(parent_children_2[[#This Row],[children_id]],abbreviation[],ColumnLanguage+1,FALSE),"")</f>
        <v/>
      </c>
    </row>
    <row r="460" spans="1:3" x14ac:dyDescent="0.25">
      <c r="A460" s="4" t="str">
        <f>IFERROR(parent_children_2[[#This Row],[parent_children_id]],"")</f>
        <v/>
      </c>
      <c r="B460" s="4" t="str">
        <f>IFERROR(VLOOKUP(parent_children_2[[#This Row],[parent_id]],abbreviation[],3,FALSE),"")</f>
        <v/>
      </c>
      <c r="C460" s="4" t="str">
        <f>IFERROR(VLOOKUP(parent_children_2[[#This Row],[children_id]],abbreviation[],ColumnLanguage+1,FALSE),"")</f>
        <v/>
      </c>
    </row>
    <row r="461" spans="1:3" x14ac:dyDescent="0.25">
      <c r="A461" s="4" t="str">
        <f>IFERROR(parent_children_2[[#This Row],[parent_children_id]],"")</f>
        <v/>
      </c>
      <c r="B461" s="4" t="str">
        <f>IFERROR(VLOOKUP(parent_children_2[[#This Row],[parent_id]],abbreviation[],3,FALSE),"")</f>
        <v/>
      </c>
      <c r="C461" s="4" t="str">
        <f>IFERROR(VLOOKUP(parent_children_2[[#This Row],[children_id]],abbreviation[],ColumnLanguage+1,FALSE),"")</f>
        <v/>
      </c>
    </row>
    <row r="462" spans="1:3" x14ac:dyDescent="0.25">
      <c r="A462" s="4" t="str">
        <f>IFERROR(parent_children_2[[#This Row],[parent_children_id]],"")</f>
        <v/>
      </c>
      <c r="B462" s="4" t="str">
        <f>IFERROR(VLOOKUP(parent_children_2[[#This Row],[parent_id]],abbreviation[],3,FALSE),"")</f>
        <v/>
      </c>
      <c r="C462" s="4" t="str">
        <f>IFERROR(VLOOKUP(parent_children_2[[#This Row],[children_id]],abbreviation[],ColumnLanguage+1,FALSE),"")</f>
        <v/>
      </c>
    </row>
    <row r="463" spans="1:3" x14ac:dyDescent="0.25">
      <c r="A463" s="4" t="str">
        <f>IFERROR(parent_children_2[[#This Row],[parent_children_id]],"")</f>
        <v/>
      </c>
      <c r="B463" s="4" t="str">
        <f>IFERROR(VLOOKUP(parent_children_2[[#This Row],[parent_id]],abbreviation[],3,FALSE),"")</f>
        <v/>
      </c>
      <c r="C463" s="4" t="str">
        <f>IFERROR(VLOOKUP(parent_children_2[[#This Row],[children_id]],abbreviation[],ColumnLanguage+1,FALSE),"")</f>
        <v/>
      </c>
    </row>
    <row r="464" spans="1:3" x14ac:dyDescent="0.25">
      <c r="A464" s="4" t="str">
        <f>IFERROR(parent_children_2[[#This Row],[parent_children_id]],"")</f>
        <v/>
      </c>
      <c r="B464" s="4" t="str">
        <f>IFERROR(VLOOKUP(parent_children_2[[#This Row],[parent_id]],abbreviation[],3,FALSE),"")</f>
        <v/>
      </c>
      <c r="C464" s="4" t="str">
        <f>IFERROR(VLOOKUP(parent_children_2[[#This Row],[children_id]],abbreviation[],ColumnLanguage+1,FALSE),"")</f>
        <v/>
      </c>
    </row>
    <row r="465" spans="1:3" x14ac:dyDescent="0.25">
      <c r="A465" s="4" t="str">
        <f>IFERROR(parent_children_2[[#This Row],[parent_children_id]],"")</f>
        <v/>
      </c>
      <c r="B465" s="4" t="str">
        <f>IFERROR(VLOOKUP(parent_children_2[[#This Row],[parent_id]],abbreviation[],3,FALSE),"")</f>
        <v/>
      </c>
      <c r="C465" s="4" t="str">
        <f>IFERROR(VLOOKUP(parent_children_2[[#This Row],[children_id]],abbreviation[],ColumnLanguage+1,FALSE),"")</f>
        <v/>
      </c>
    </row>
    <row r="466" spans="1:3" x14ac:dyDescent="0.25">
      <c r="A466" s="4" t="str">
        <f>IFERROR(parent_children_2[[#This Row],[parent_children_id]],"")</f>
        <v/>
      </c>
      <c r="B466" s="4" t="str">
        <f>IFERROR(VLOOKUP(parent_children_2[[#This Row],[parent_id]],abbreviation[],3,FALSE),"")</f>
        <v/>
      </c>
      <c r="C466" s="4" t="str">
        <f>IFERROR(VLOOKUP(parent_children_2[[#This Row],[children_id]],abbreviation[],ColumnLanguage+1,FALSE),"")</f>
        <v/>
      </c>
    </row>
    <row r="467" spans="1:3" x14ac:dyDescent="0.25">
      <c r="A467" s="4" t="str">
        <f>IFERROR(parent_children_2[[#This Row],[parent_children_id]],"")</f>
        <v/>
      </c>
      <c r="B467" s="4" t="str">
        <f>IFERROR(VLOOKUP(parent_children_2[[#This Row],[parent_id]],abbreviation[],3,FALSE),"")</f>
        <v/>
      </c>
      <c r="C467" s="4" t="str">
        <f>IFERROR(VLOOKUP(parent_children_2[[#This Row],[children_id]],abbreviation[],ColumnLanguage+1,FALSE),"")</f>
        <v/>
      </c>
    </row>
    <row r="468" spans="1:3" x14ac:dyDescent="0.25">
      <c r="A468" s="4" t="str">
        <f>IFERROR(parent_children_2[[#This Row],[parent_children_id]],"")</f>
        <v/>
      </c>
      <c r="B468" s="4" t="str">
        <f>IFERROR(VLOOKUP(parent_children_2[[#This Row],[parent_id]],abbreviation[],3,FALSE),"")</f>
        <v/>
      </c>
      <c r="C468" s="4" t="str">
        <f>IFERROR(VLOOKUP(parent_children_2[[#This Row],[children_id]],abbreviation[],ColumnLanguage+1,FALSE),"")</f>
        <v/>
      </c>
    </row>
    <row r="469" spans="1:3" x14ac:dyDescent="0.25">
      <c r="A469" s="4" t="str">
        <f>IFERROR(parent_children_2[[#This Row],[parent_children_id]],"")</f>
        <v/>
      </c>
      <c r="B469" s="4" t="str">
        <f>IFERROR(VLOOKUP(parent_children_2[[#This Row],[parent_id]],abbreviation[],3,FALSE),"")</f>
        <v/>
      </c>
      <c r="C469" s="4" t="str">
        <f>IFERROR(VLOOKUP(parent_children_2[[#This Row],[children_id]],abbreviation[],ColumnLanguage+1,FALSE),"")</f>
        <v/>
      </c>
    </row>
    <row r="470" spans="1:3" x14ac:dyDescent="0.25">
      <c r="A470" s="4" t="str">
        <f>IFERROR(parent_children_2[[#This Row],[parent_children_id]],"")</f>
        <v/>
      </c>
      <c r="B470" s="4" t="str">
        <f>IFERROR(VLOOKUP(parent_children_2[[#This Row],[parent_id]],abbreviation[],3,FALSE),"")</f>
        <v/>
      </c>
      <c r="C470" s="4" t="str">
        <f>IFERROR(VLOOKUP(parent_children_2[[#This Row],[children_id]],abbreviation[],ColumnLanguage+1,FALSE),"")</f>
        <v/>
      </c>
    </row>
    <row r="471" spans="1:3" x14ac:dyDescent="0.25">
      <c r="A471" s="4" t="str">
        <f>IFERROR(parent_children_2[[#This Row],[parent_children_id]],"")</f>
        <v/>
      </c>
      <c r="B471" s="4" t="str">
        <f>IFERROR(VLOOKUP(parent_children_2[[#This Row],[parent_id]],abbreviation[],3,FALSE),"")</f>
        <v/>
      </c>
      <c r="C471" s="4" t="str">
        <f>IFERROR(VLOOKUP(parent_children_2[[#This Row],[children_id]],abbreviation[],ColumnLanguage+1,FALSE),"")</f>
        <v/>
      </c>
    </row>
    <row r="472" spans="1:3" x14ac:dyDescent="0.25">
      <c r="A472" s="4" t="str">
        <f>IFERROR(parent_children_2[[#This Row],[parent_children_id]],"")</f>
        <v/>
      </c>
      <c r="B472" s="4" t="str">
        <f>IFERROR(VLOOKUP(parent_children_2[[#This Row],[parent_id]],abbreviation[],3,FALSE),"")</f>
        <v/>
      </c>
      <c r="C472" s="4" t="str">
        <f>IFERROR(VLOOKUP(parent_children_2[[#This Row],[children_id]],abbreviation[],ColumnLanguage+1,FALSE),"")</f>
        <v/>
      </c>
    </row>
    <row r="473" spans="1:3" x14ac:dyDescent="0.25">
      <c r="A473" s="4" t="str">
        <f>IFERROR(parent_children_2[[#This Row],[parent_children_id]],"")</f>
        <v/>
      </c>
      <c r="B473" s="4" t="str">
        <f>IFERROR(VLOOKUP(parent_children_2[[#This Row],[parent_id]],abbreviation[],3,FALSE),"")</f>
        <v/>
      </c>
      <c r="C473" s="4" t="str">
        <f>IFERROR(VLOOKUP(parent_children_2[[#This Row],[children_id]],abbreviation[],ColumnLanguage+1,FALSE),"")</f>
        <v/>
      </c>
    </row>
    <row r="474" spans="1:3" x14ac:dyDescent="0.25">
      <c r="A474" s="4" t="str">
        <f>IFERROR(parent_children_2[[#This Row],[parent_children_id]],"")</f>
        <v/>
      </c>
      <c r="B474" s="4" t="str">
        <f>IFERROR(VLOOKUP(parent_children_2[[#This Row],[parent_id]],abbreviation[],3,FALSE),"")</f>
        <v/>
      </c>
      <c r="C474" s="4" t="str">
        <f>IFERROR(VLOOKUP(parent_children_2[[#This Row],[children_id]],abbreviation[],ColumnLanguage+1,FALSE),"")</f>
        <v/>
      </c>
    </row>
    <row r="475" spans="1:3" x14ac:dyDescent="0.25">
      <c r="A475" s="4" t="str">
        <f>IFERROR(parent_children_2[[#This Row],[parent_children_id]],"")</f>
        <v/>
      </c>
      <c r="B475" s="4" t="str">
        <f>IFERROR(VLOOKUP(parent_children_2[[#This Row],[parent_id]],abbreviation[],3,FALSE),"")</f>
        <v/>
      </c>
      <c r="C475" s="4" t="str">
        <f>IFERROR(VLOOKUP(parent_children_2[[#This Row],[children_id]],abbreviation[],ColumnLanguage+1,FALSE),"")</f>
        <v/>
      </c>
    </row>
    <row r="476" spans="1:3" x14ac:dyDescent="0.25">
      <c r="A476" s="4" t="str">
        <f>IFERROR(parent_children_2[[#This Row],[parent_children_id]],"")</f>
        <v/>
      </c>
      <c r="B476" s="4" t="str">
        <f>IFERROR(VLOOKUP(parent_children_2[[#This Row],[parent_id]],abbreviation[],3,FALSE),"")</f>
        <v/>
      </c>
      <c r="C476" s="4" t="str">
        <f>IFERROR(VLOOKUP(parent_children_2[[#This Row],[children_id]],abbreviation[],ColumnLanguage+1,FALSE),"")</f>
        <v/>
      </c>
    </row>
    <row r="477" spans="1:3" x14ac:dyDescent="0.25">
      <c r="A477" s="4" t="str">
        <f>IFERROR(parent_children_2[[#This Row],[parent_children_id]],"")</f>
        <v/>
      </c>
      <c r="B477" s="4" t="str">
        <f>IFERROR(VLOOKUP(parent_children_2[[#This Row],[parent_id]],abbreviation[],3,FALSE),"")</f>
        <v/>
      </c>
      <c r="C477" s="4" t="str">
        <f>IFERROR(VLOOKUP(parent_children_2[[#This Row],[children_id]],abbreviation[],ColumnLanguage+1,FALSE),"")</f>
        <v/>
      </c>
    </row>
    <row r="478" spans="1:3" x14ac:dyDescent="0.25">
      <c r="A478" s="4" t="str">
        <f>IFERROR(parent_children_2[[#This Row],[parent_children_id]],"")</f>
        <v/>
      </c>
      <c r="B478" s="4" t="str">
        <f>IFERROR(VLOOKUP(parent_children_2[[#This Row],[parent_id]],abbreviation[],3,FALSE),"")</f>
        <v/>
      </c>
      <c r="C478" s="4" t="str">
        <f>IFERROR(VLOOKUP(parent_children_2[[#This Row],[children_id]],abbreviation[],ColumnLanguage+1,FALSE),"")</f>
        <v/>
      </c>
    </row>
    <row r="479" spans="1:3" x14ac:dyDescent="0.25">
      <c r="A479" s="4" t="str">
        <f>IFERROR(parent_children_2[[#This Row],[parent_children_id]],"")</f>
        <v/>
      </c>
      <c r="B479" s="4" t="str">
        <f>IFERROR(VLOOKUP(parent_children_2[[#This Row],[parent_id]],abbreviation[],3,FALSE),"")</f>
        <v/>
      </c>
      <c r="C479" s="4" t="str">
        <f>IFERROR(VLOOKUP(parent_children_2[[#This Row],[children_id]],abbreviation[],ColumnLanguage+1,FALSE),"")</f>
        <v/>
      </c>
    </row>
    <row r="480" spans="1:3" x14ac:dyDescent="0.25">
      <c r="A480" s="4" t="str">
        <f>IFERROR(parent_children_2[[#This Row],[parent_children_id]],"")</f>
        <v/>
      </c>
      <c r="B480" s="4" t="str">
        <f>IFERROR(VLOOKUP(parent_children_2[[#This Row],[parent_id]],abbreviation[],3,FALSE),"")</f>
        <v/>
      </c>
      <c r="C480" s="4" t="str">
        <f>IFERROR(VLOOKUP(parent_children_2[[#This Row],[children_id]],abbreviation[],ColumnLanguage+1,FALSE),"")</f>
        <v/>
      </c>
    </row>
    <row r="481" spans="1:3" x14ac:dyDescent="0.25">
      <c r="A481" s="4" t="str">
        <f>IFERROR(parent_children_2[[#This Row],[parent_children_id]],"")</f>
        <v/>
      </c>
      <c r="B481" s="4" t="str">
        <f>IFERROR(VLOOKUP(parent_children_2[[#This Row],[parent_id]],abbreviation[],3,FALSE),"")</f>
        <v/>
      </c>
      <c r="C481" s="4" t="str">
        <f>IFERROR(VLOOKUP(parent_children_2[[#This Row],[children_id]],abbreviation[],ColumnLanguage+1,FALSE),"")</f>
        <v/>
      </c>
    </row>
    <row r="482" spans="1:3" x14ac:dyDescent="0.25">
      <c r="A482" s="4" t="str">
        <f>IFERROR(parent_children_2[[#This Row],[parent_children_id]],"")</f>
        <v/>
      </c>
      <c r="B482" s="4" t="str">
        <f>IFERROR(VLOOKUP(parent_children_2[[#This Row],[parent_id]],abbreviation[],3,FALSE),"")</f>
        <v/>
      </c>
      <c r="C482" s="4" t="str">
        <f>IFERROR(VLOOKUP(parent_children_2[[#This Row],[children_id]],abbreviation[],ColumnLanguage+1,FALSE),"")</f>
        <v/>
      </c>
    </row>
    <row r="483" spans="1:3" x14ac:dyDescent="0.25">
      <c r="A483" s="4" t="str">
        <f>IFERROR(parent_children_2[[#This Row],[parent_children_id]],"")</f>
        <v/>
      </c>
      <c r="B483" s="4" t="str">
        <f>IFERROR(VLOOKUP(parent_children_2[[#This Row],[parent_id]],abbreviation[],3,FALSE),"")</f>
        <v/>
      </c>
      <c r="C483" s="4" t="str">
        <f>IFERROR(VLOOKUP(parent_children_2[[#This Row],[children_id]],abbreviation[],ColumnLanguage+1,FALSE),"")</f>
        <v/>
      </c>
    </row>
    <row r="484" spans="1:3" x14ac:dyDescent="0.25">
      <c r="A484" s="4" t="str">
        <f>IFERROR(parent_children_2[[#This Row],[parent_children_id]],"")</f>
        <v/>
      </c>
      <c r="B484" s="4" t="str">
        <f>IFERROR(VLOOKUP(parent_children_2[[#This Row],[parent_id]],abbreviation[],3,FALSE),"")</f>
        <v/>
      </c>
      <c r="C484" s="4" t="str">
        <f>IFERROR(VLOOKUP(parent_children_2[[#This Row],[children_id]],abbreviation[],ColumnLanguage+1,FALSE),"")</f>
        <v/>
      </c>
    </row>
    <row r="485" spans="1:3" x14ac:dyDescent="0.25">
      <c r="A485" s="4" t="str">
        <f>IFERROR(parent_children_2[[#This Row],[parent_children_id]],"")</f>
        <v/>
      </c>
      <c r="B485" s="4" t="str">
        <f>IFERROR(VLOOKUP(parent_children_2[[#This Row],[parent_id]],abbreviation[],3,FALSE),"")</f>
        <v/>
      </c>
      <c r="C485" s="4" t="str">
        <f>IFERROR(VLOOKUP(parent_children_2[[#This Row],[children_id]],abbreviation[],ColumnLanguage+1,FALSE),"")</f>
        <v/>
      </c>
    </row>
    <row r="486" spans="1:3" x14ac:dyDescent="0.25">
      <c r="A486" s="4" t="str">
        <f>IFERROR(parent_children_2[[#This Row],[parent_children_id]],"")</f>
        <v/>
      </c>
      <c r="B486" s="4" t="str">
        <f>IFERROR(VLOOKUP(parent_children_2[[#This Row],[parent_id]],abbreviation[],3,FALSE),"")</f>
        <v/>
      </c>
      <c r="C486" s="4" t="str">
        <f>IFERROR(VLOOKUP(parent_children_2[[#This Row],[children_id]],abbreviation[],ColumnLanguage+1,FALSE),"")</f>
        <v/>
      </c>
    </row>
    <row r="487" spans="1:3" x14ac:dyDescent="0.25">
      <c r="A487" s="4" t="str">
        <f>IFERROR(parent_children_2[[#This Row],[parent_children_id]],"")</f>
        <v/>
      </c>
      <c r="B487" s="4" t="str">
        <f>IFERROR(VLOOKUP(parent_children_2[[#This Row],[parent_id]],abbreviation[],3,FALSE),"")</f>
        <v/>
      </c>
      <c r="C487" s="4" t="str">
        <f>IFERROR(VLOOKUP(parent_children_2[[#This Row],[children_id]],abbreviation[],ColumnLanguage+1,FALSE),"")</f>
        <v/>
      </c>
    </row>
    <row r="488" spans="1:3" x14ac:dyDescent="0.25">
      <c r="A488" s="4" t="str">
        <f>IFERROR(parent_children_2[[#This Row],[parent_children_id]],"")</f>
        <v/>
      </c>
      <c r="B488" s="4" t="str">
        <f>IFERROR(VLOOKUP(parent_children_2[[#This Row],[parent_id]],abbreviation[],3,FALSE),"")</f>
        <v/>
      </c>
      <c r="C488" s="4" t="str">
        <f>IFERROR(VLOOKUP(parent_children_2[[#This Row],[children_id]],abbreviation[],ColumnLanguage+1,FALSE),"")</f>
        <v/>
      </c>
    </row>
    <row r="489" spans="1:3" x14ac:dyDescent="0.25">
      <c r="A489" s="4" t="str">
        <f>IFERROR(parent_children_2[[#This Row],[parent_children_id]],"")</f>
        <v/>
      </c>
      <c r="B489" s="4" t="str">
        <f>IFERROR(VLOOKUP(parent_children_2[[#This Row],[parent_id]],abbreviation[],3,FALSE),"")</f>
        <v/>
      </c>
      <c r="C489" s="4" t="str">
        <f>IFERROR(VLOOKUP(parent_children_2[[#This Row],[children_id]],abbreviation[],ColumnLanguage+1,FALSE),"")</f>
        <v/>
      </c>
    </row>
    <row r="490" spans="1:3" x14ac:dyDescent="0.25">
      <c r="A490" s="4" t="str">
        <f>IFERROR(parent_children_2[[#This Row],[parent_children_id]],"")</f>
        <v/>
      </c>
      <c r="B490" s="4" t="str">
        <f>IFERROR(VLOOKUP(parent_children_2[[#This Row],[parent_id]],abbreviation[],3,FALSE),"")</f>
        <v/>
      </c>
      <c r="C490" s="4" t="str">
        <f>IFERROR(VLOOKUP(parent_children_2[[#This Row],[children_id]],abbreviation[],ColumnLanguage+1,FALSE),"")</f>
        <v/>
      </c>
    </row>
    <row r="491" spans="1:3" x14ac:dyDescent="0.25">
      <c r="A491" s="4" t="str">
        <f>IFERROR(parent_children_2[[#This Row],[parent_children_id]],"")</f>
        <v/>
      </c>
      <c r="B491" s="4" t="str">
        <f>IFERROR(VLOOKUP(parent_children_2[[#This Row],[parent_id]],abbreviation[],3,FALSE),"")</f>
        <v/>
      </c>
      <c r="C491" s="4" t="str">
        <f>IFERROR(VLOOKUP(parent_children_2[[#This Row],[children_id]],abbreviation[],ColumnLanguage+1,FALSE),"")</f>
        <v/>
      </c>
    </row>
    <row r="492" spans="1:3" x14ac:dyDescent="0.25">
      <c r="A492" s="4" t="str">
        <f>IFERROR(parent_children_2[[#This Row],[parent_children_id]],"")</f>
        <v/>
      </c>
      <c r="B492" s="4" t="str">
        <f>IFERROR(VLOOKUP(parent_children_2[[#This Row],[parent_id]],abbreviation[],3,FALSE),"")</f>
        <v/>
      </c>
      <c r="C492" s="4" t="str">
        <f>IFERROR(VLOOKUP(parent_children_2[[#This Row],[children_id]],abbreviation[],ColumnLanguage+1,FALSE),"")</f>
        <v/>
      </c>
    </row>
    <row r="493" spans="1:3" x14ac:dyDescent="0.25">
      <c r="A493" s="4" t="str">
        <f>IFERROR(parent_children_2[[#This Row],[parent_children_id]],"")</f>
        <v/>
      </c>
      <c r="B493" s="4" t="str">
        <f>IFERROR(VLOOKUP(parent_children_2[[#This Row],[parent_id]],abbreviation[],3,FALSE),"")</f>
        <v/>
      </c>
      <c r="C493" s="4" t="str">
        <f>IFERROR(VLOOKUP(parent_children_2[[#This Row],[children_id]],abbreviation[],ColumnLanguage+1,FALSE),"")</f>
        <v/>
      </c>
    </row>
    <row r="494" spans="1:3" x14ac:dyDescent="0.25">
      <c r="A494" s="4" t="str">
        <f>IFERROR(parent_children_2[[#This Row],[parent_children_id]],"")</f>
        <v/>
      </c>
      <c r="B494" s="4" t="str">
        <f>IFERROR(VLOOKUP(parent_children_2[[#This Row],[parent_id]],abbreviation[],3,FALSE),"")</f>
        <v/>
      </c>
      <c r="C494" s="4" t="str">
        <f>IFERROR(VLOOKUP(parent_children_2[[#This Row],[children_id]],abbreviation[],ColumnLanguage+1,FALSE),"")</f>
        <v/>
      </c>
    </row>
    <row r="495" spans="1:3" x14ac:dyDescent="0.25">
      <c r="A495" s="4" t="str">
        <f>IFERROR(parent_children_2[[#This Row],[parent_children_id]],"")</f>
        <v/>
      </c>
      <c r="B495" s="4" t="str">
        <f>IFERROR(VLOOKUP(parent_children_2[[#This Row],[parent_id]],abbreviation[],3,FALSE),"")</f>
        <v/>
      </c>
      <c r="C495" s="4" t="str">
        <f>IFERROR(VLOOKUP(parent_children_2[[#This Row],[children_id]],abbreviation[],ColumnLanguage+1,FALSE),"")</f>
        <v/>
      </c>
    </row>
    <row r="496" spans="1:3" x14ac:dyDescent="0.25">
      <c r="A496" s="4" t="str">
        <f>IFERROR(parent_children_2[[#This Row],[parent_children_id]],"")</f>
        <v/>
      </c>
      <c r="B496" s="4" t="str">
        <f>IFERROR(VLOOKUP(parent_children_2[[#This Row],[parent_id]],abbreviation[],3,FALSE),"")</f>
        <v/>
      </c>
      <c r="C496" s="4" t="str">
        <f>IFERROR(VLOOKUP(parent_children_2[[#This Row],[children_id]],abbreviation[],ColumnLanguage+1,FALSE),"")</f>
        <v/>
      </c>
    </row>
    <row r="497" spans="1:3" x14ac:dyDescent="0.25">
      <c r="A497" s="4" t="str">
        <f>IFERROR(parent_children_2[[#This Row],[parent_children_id]],"")</f>
        <v/>
      </c>
      <c r="B497" s="4" t="str">
        <f>IFERROR(VLOOKUP(parent_children_2[[#This Row],[parent_id]],abbreviation[],3,FALSE),"")</f>
        <v/>
      </c>
      <c r="C497" s="4" t="str">
        <f>IFERROR(VLOOKUP(parent_children_2[[#This Row],[children_id]],abbreviation[],ColumnLanguage+1,FALSE),"")</f>
        <v/>
      </c>
    </row>
    <row r="498" spans="1:3" x14ac:dyDescent="0.25">
      <c r="A498" s="4" t="str">
        <f>IFERROR(parent_children_2[[#This Row],[parent_children_id]],"")</f>
        <v/>
      </c>
      <c r="B498" s="4" t="str">
        <f>IFERROR(VLOOKUP(parent_children_2[[#This Row],[parent_id]],abbreviation[],3,FALSE),"")</f>
        <v/>
      </c>
      <c r="C498" s="4" t="str">
        <f>IFERROR(VLOOKUP(parent_children_2[[#This Row],[children_id]],abbreviation[],ColumnLanguage+1,FALSE),"")</f>
        <v/>
      </c>
    </row>
    <row r="499" spans="1:3" x14ac:dyDescent="0.25">
      <c r="A499" s="4" t="str">
        <f>IFERROR(parent_children_2[[#This Row],[parent_children_id]],"")</f>
        <v/>
      </c>
      <c r="B499" s="4" t="str">
        <f>IFERROR(VLOOKUP(parent_children_2[[#This Row],[parent_id]],abbreviation[],3,FALSE),"")</f>
        <v/>
      </c>
      <c r="C499" s="4" t="str">
        <f>IFERROR(VLOOKUP(parent_children_2[[#This Row],[children_id]],abbreviation[],ColumnLanguage+1,FALSE),"")</f>
        <v/>
      </c>
    </row>
    <row r="500" spans="1:3" x14ac:dyDescent="0.25">
      <c r="A500" s="4" t="str">
        <f>IFERROR(parent_children_2[[#This Row],[parent_children_id]],"")</f>
        <v/>
      </c>
      <c r="B500" s="4" t="str">
        <f>IFERROR(VLOOKUP(parent_children_2[[#This Row],[parent_id]],abbreviation[],3,FALSE),"")</f>
        <v/>
      </c>
      <c r="C500" s="4" t="str">
        <f>IFERROR(VLOOKUP(parent_children_2[[#This Row],[children_id]],abbreviation[],ColumnLanguage+1,FALSE),"")</f>
        <v/>
      </c>
    </row>
    <row r="501" spans="1:3" x14ac:dyDescent="0.25">
      <c r="A501" s="4" t="str">
        <f>IFERROR(parent_children_2[[#This Row],[parent_children_id]],"")</f>
        <v/>
      </c>
      <c r="B501" s="4" t="str">
        <f>IFERROR(VLOOKUP(parent_children_2[[#This Row],[parent_id]],abbreviation[],3,FALSE),"")</f>
        <v/>
      </c>
      <c r="C501" s="4" t="str">
        <f>IFERROR(VLOOKUP(parent_children_2[[#This Row],[children_id]],abbreviation[],ColumnLanguage+1,FALSE),"")</f>
        <v/>
      </c>
    </row>
    <row r="502" spans="1:3" x14ac:dyDescent="0.25">
      <c r="A502" s="4" t="str">
        <f>IFERROR(parent_children_2[[#This Row],[parent_children_id]],"")</f>
        <v/>
      </c>
      <c r="B502" s="4" t="str">
        <f>IFERROR(VLOOKUP(parent_children_2[[#This Row],[parent_id]],abbreviation[],3,FALSE),"")</f>
        <v/>
      </c>
      <c r="C502" s="4" t="str">
        <f>IFERROR(VLOOKUP(parent_children_2[[#This Row],[children_id]],abbreviation[],ColumnLanguage+1,FALSE),"")</f>
        <v/>
      </c>
    </row>
    <row r="503" spans="1:3" x14ac:dyDescent="0.25">
      <c r="A503" s="4" t="str">
        <f>IFERROR(parent_children_2[[#This Row],[parent_children_id]],"")</f>
        <v/>
      </c>
      <c r="B503" s="4" t="str">
        <f>IFERROR(VLOOKUP(parent_children_2[[#This Row],[parent_id]],abbreviation[],3,FALSE),"")</f>
        <v/>
      </c>
      <c r="C503" s="4" t="str">
        <f>IFERROR(VLOOKUP(parent_children_2[[#This Row],[children_id]],abbreviation[],ColumnLanguage+1,FALSE),"")</f>
        <v/>
      </c>
    </row>
    <row r="504" spans="1:3" x14ac:dyDescent="0.25">
      <c r="A504" s="4" t="str">
        <f>IFERROR(parent_children_2[[#This Row],[parent_children_id]],"")</f>
        <v/>
      </c>
      <c r="B504" s="4" t="str">
        <f>IFERROR(VLOOKUP(parent_children_2[[#This Row],[parent_id]],abbreviation[],3,FALSE),"")</f>
        <v/>
      </c>
      <c r="C504" s="4" t="str">
        <f>IFERROR(VLOOKUP(parent_children_2[[#This Row],[children_id]],abbreviation[],ColumnLanguage+1,FALSE),"")</f>
        <v/>
      </c>
    </row>
    <row r="505" spans="1:3" x14ac:dyDescent="0.25">
      <c r="A505" s="4" t="str">
        <f>IFERROR(parent_children_2[[#This Row],[parent_children_id]],"")</f>
        <v/>
      </c>
      <c r="B505" s="4" t="str">
        <f>IFERROR(VLOOKUP(parent_children_2[[#This Row],[parent_id]],abbreviation[],3,FALSE),"")</f>
        <v/>
      </c>
      <c r="C505" s="4" t="str">
        <f>IFERROR(VLOOKUP(parent_children_2[[#This Row],[children_id]],abbreviation[],ColumnLanguage+1,FALSE),"")</f>
        <v/>
      </c>
    </row>
    <row r="506" spans="1:3" x14ac:dyDescent="0.25">
      <c r="A506" s="4" t="str">
        <f>IFERROR(parent_children_2[[#This Row],[parent_children_id]],"")</f>
        <v/>
      </c>
      <c r="B506" s="4" t="str">
        <f>IFERROR(VLOOKUP(parent_children_2[[#This Row],[parent_id]],abbreviation[],3,FALSE),"")</f>
        <v/>
      </c>
      <c r="C506" s="4" t="str">
        <f>IFERROR(VLOOKUP(parent_children_2[[#This Row],[children_id]],abbreviation[],ColumnLanguage+1,FALSE),"")</f>
        <v/>
      </c>
    </row>
    <row r="507" spans="1:3" x14ac:dyDescent="0.25">
      <c r="A507" s="4" t="str">
        <f>IFERROR(parent_children_2[[#This Row],[parent_children_id]],"")</f>
        <v/>
      </c>
      <c r="B507" s="4" t="str">
        <f>IFERROR(VLOOKUP(parent_children_2[[#This Row],[parent_id]],abbreviation[],3,FALSE),"")</f>
        <v/>
      </c>
      <c r="C507" s="4" t="str">
        <f>IFERROR(VLOOKUP(parent_children_2[[#This Row],[children_id]],abbreviation[],ColumnLanguage+1,FALSE),"")</f>
        <v/>
      </c>
    </row>
    <row r="508" spans="1:3" x14ac:dyDescent="0.25">
      <c r="A508" s="4" t="str">
        <f>IFERROR(parent_children_2[[#This Row],[parent_children_id]],"")</f>
        <v/>
      </c>
      <c r="B508" s="4" t="str">
        <f>IFERROR(VLOOKUP(parent_children_2[[#This Row],[parent_id]],abbreviation[],3,FALSE),"")</f>
        <v/>
      </c>
      <c r="C508" s="4" t="str">
        <f>IFERROR(VLOOKUP(parent_children_2[[#This Row],[children_id]],abbreviation[],ColumnLanguage+1,FALSE),"")</f>
        <v/>
      </c>
    </row>
    <row r="509" spans="1:3" x14ac:dyDescent="0.25">
      <c r="A509" s="4" t="str">
        <f>IFERROR(parent_children_2[[#This Row],[parent_children_id]],"")</f>
        <v/>
      </c>
      <c r="B509" s="4" t="str">
        <f>IFERROR(VLOOKUP(parent_children_2[[#This Row],[parent_id]],abbreviation[],3,FALSE),"")</f>
        <v/>
      </c>
      <c r="C509" s="4" t="str">
        <f>IFERROR(VLOOKUP(parent_children_2[[#This Row],[children_id]],abbreviation[],ColumnLanguage+1,FALSE),"")</f>
        <v/>
      </c>
    </row>
    <row r="510" spans="1:3" x14ac:dyDescent="0.25">
      <c r="A510" s="4" t="str">
        <f>IFERROR(parent_children_2[[#This Row],[parent_children_id]],"")</f>
        <v/>
      </c>
      <c r="B510" s="4" t="str">
        <f>IFERROR(VLOOKUP(parent_children_2[[#This Row],[parent_id]],abbreviation[],3,FALSE),"")</f>
        <v/>
      </c>
      <c r="C510" s="4" t="str">
        <f>IFERROR(VLOOKUP(parent_children_2[[#This Row],[children_id]],abbreviation[],ColumnLanguage+1,FALSE),"")</f>
        <v/>
      </c>
    </row>
    <row r="511" spans="1:3" x14ac:dyDescent="0.25">
      <c r="A511" s="4" t="str">
        <f>IFERROR(parent_children_2[[#This Row],[parent_children_id]],"")</f>
        <v/>
      </c>
      <c r="B511" s="4" t="str">
        <f>IFERROR(VLOOKUP(parent_children_2[[#This Row],[parent_id]],abbreviation[],3,FALSE),"")</f>
        <v/>
      </c>
      <c r="C511" s="4" t="str">
        <f>IFERROR(VLOOKUP(parent_children_2[[#This Row],[children_id]],abbreviation[],ColumnLanguage+1,FALSE),"")</f>
        <v/>
      </c>
    </row>
    <row r="512" spans="1:3" x14ac:dyDescent="0.25">
      <c r="A512" s="4" t="str">
        <f>IFERROR(parent_children_2[[#This Row],[parent_children_id]],"")</f>
        <v/>
      </c>
      <c r="B512" s="4" t="str">
        <f>IFERROR(VLOOKUP(parent_children_2[[#This Row],[parent_id]],abbreviation[],3,FALSE),"")</f>
        <v/>
      </c>
      <c r="C512" s="4" t="str">
        <f>IFERROR(VLOOKUP(parent_children_2[[#This Row],[children_id]],abbreviation[],ColumnLanguage+1,FALSE),"")</f>
        <v/>
      </c>
    </row>
    <row r="513" spans="1:3" x14ac:dyDescent="0.25">
      <c r="A513" s="4" t="str">
        <f>IFERROR(parent_children_2[[#This Row],[parent_children_id]],"")</f>
        <v/>
      </c>
      <c r="B513" s="4" t="str">
        <f>IFERROR(VLOOKUP(parent_children_2[[#This Row],[parent_id]],abbreviation[],3,FALSE),"")</f>
        <v/>
      </c>
      <c r="C513" s="4" t="str">
        <f>IFERROR(VLOOKUP(parent_children_2[[#This Row],[children_id]],abbreviation[],ColumnLanguage+1,FALSE),"")</f>
        <v/>
      </c>
    </row>
    <row r="514" spans="1:3" x14ac:dyDescent="0.25">
      <c r="A514" s="4" t="str">
        <f>IFERROR(parent_children_2[[#This Row],[parent_children_id]],"")</f>
        <v/>
      </c>
      <c r="B514" s="4" t="str">
        <f>IFERROR(VLOOKUP(parent_children_2[[#This Row],[parent_id]],abbreviation[],3,FALSE),"")</f>
        <v/>
      </c>
      <c r="C514" s="4" t="str">
        <f>IFERROR(VLOOKUP(parent_children_2[[#This Row],[children_id]],abbreviation[],ColumnLanguage+1,FALSE),"")</f>
        <v/>
      </c>
    </row>
    <row r="515" spans="1:3" x14ac:dyDescent="0.25">
      <c r="A515" s="4" t="str">
        <f>IFERROR(parent_children_2[[#This Row],[parent_children_id]],"")</f>
        <v/>
      </c>
      <c r="B515" s="4" t="str">
        <f>IFERROR(VLOOKUP(parent_children_2[[#This Row],[parent_id]],abbreviation[],3,FALSE),"")</f>
        <v/>
      </c>
      <c r="C515" s="4" t="str">
        <f>IFERROR(VLOOKUP(parent_children_2[[#This Row],[children_id]],abbreviation[],ColumnLanguage+1,FALSE),"")</f>
        <v/>
      </c>
    </row>
    <row r="516" spans="1:3" x14ac:dyDescent="0.25">
      <c r="A516" s="4" t="str">
        <f>IFERROR(parent_children_2[[#This Row],[parent_children_id]],"")</f>
        <v/>
      </c>
      <c r="B516" s="4" t="str">
        <f>IFERROR(VLOOKUP(parent_children_2[[#This Row],[parent_id]],abbreviation[],3,FALSE),"")</f>
        <v/>
      </c>
      <c r="C516" s="4" t="str">
        <f>IFERROR(VLOOKUP(parent_children_2[[#This Row],[children_id]],abbreviation[],ColumnLanguage+1,FALSE),"")</f>
        <v/>
      </c>
    </row>
    <row r="517" spans="1:3" x14ac:dyDescent="0.25">
      <c r="A517" s="4" t="str">
        <f>IFERROR(parent_children_2[[#This Row],[parent_children_id]],"")</f>
        <v/>
      </c>
      <c r="B517" s="4" t="str">
        <f>IFERROR(VLOOKUP(parent_children_2[[#This Row],[parent_id]],abbreviation[],3,FALSE),"")</f>
        <v/>
      </c>
      <c r="C517" s="4" t="str">
        <f>IFERROR(VLOOKUP(parent_children_2[[#This Row],[children_id]],abbreviation[],ColumnLanguage+1,FALSE),"")</f>
        <v/>
      </c>
    </row>
    <row r="518" spans="1:3" x14ac:dyDescent="0.25">
      <c r="A518" s="4" t="str">
        <f>IFERROR(parent_children_2[[#This Row],[parent_children_id]],"")</f>
        <v/>
      </c>
      <c r="B518" s="4" t="str">
        <f>IFERROR(VLOOKUP(parent_children_2[[#This Row],[parent_id]],abbreviation[],3,FALSE),"")</f>
        <v/>
      </c>
      <c r="C518" s="4" t="str">
        <f>IFERROR(VLOOKUP(parent_children_2[[#This Row],[children_id]],abbreviation[],ColumnLanguage+1,FALSE),"")</f>
        <v/>
      </c>
    </row>
    <row r="519" spans="1:3" x14ac:dyDescent="0.25">
      <c r="A519" s="4" t="str">
        <f>IFERROR(parent_children_2[[#This Row],[parent_children_id]],"")</f>
        <v/>
      </c>
      <c r="B519" s="4" t="str">
        <f>IFERROR(VLOOKUP(parent_children_2[[#This Row],[parent_id]],abbreviation[],3,FALSE),"")</f>
        <v/>
      </c>
      <c r="C519" s="4" t="str">
        <f>IFERROR(VLOOKUP(parent_children_2[[#This Row],[children_id]],abbreviation[],ColumnLanguage+1,FALSE),"")</f>
        <v/>
      </c>
    </row>
    <row r="520" spans="1:3" x14ac:dyDescent="0.25">
      <c r="A520" s="4" t="str">
        <f>IFERROR(parent_children_2[[#This Row],[parent_children_id]],"")</f>
        <v/>
      </c>
      <c r="B520" s="4" t="str">
        <f>IFERROR(VLOOKUP(parent_children_2[[#This Row],[parent_id]],abbreviation[],3,FALSE),"")</f>
        <v/>
      </c>
      <c r="C520" s="4" t="str">
        <f>IFERROR(VLOOKUP(parent_children_2[[#This Row],[children_id]],abbreviation[],ColumnLanguage+1,FALSE),"")</f>
        <v/>
      </c>
    </row>
    <row r="521" spans="1:3" x14ac:dyDescent="0.25">
      <c r="A521" s="4" t="str">
        <f>IFERROR(parent_children_2[[#This Row],[parent_children_id]],"")</f>
        <v/>
      </c>
      <c r="B521" s="4" t="str">
        <f>IFERROR(VLOOKUP(parent_children_2[[#This Row],[parent_id]],abbreviation[],3,FALSE),"")</f>
        <v/>
      </c>
      <c r="C521" s="4" t="str">
        <f>IFERROR(VLOOKUP(parent_children_2[[#This Row],[children_id]],abbreviation[],ColumnLanguage+1,FALSE),"")</f>
        <v/>
      </c>
    </row>
    <row r="522" spans="1:3" x14ac:dyDescent="0.25">
      <c r="A522" s="4" t="str">
        <f>IFERROR(parent_children_2[[#This Row],[parent_children_id]],"")</f>
        <v/>
      </c>
      <c r="B522" s="4" t="str">
        <f>IFERROR(VLOOKUP(parent_children_2[[#This Row],[parent_id]],abbreviation[],3,FALSE),"")</f>
        <v/>
      </c>
      <c r="C522" s="4" t="str">
        <f>IFERROR(VLOOKUP(parent_children_2[[#This Row],[children_id]],abbreviation[],ColumnLanguage+1,FALSE),"")</f>
        <v/>
      </c>
    </row>
    <row r="523" spans="1:3" x14ac:dyDescent="0.25">
      <c r="A523" s="4" t="str">
        <f>IFERROR(parent_children_2[[#This Row],[parent_children_id]],"")</f>
        <v/>
      </c>
      <c r="B523" s="4" t="str">
        <f>IFERROR(VLOOKUP(parent_children_2[[#This Row],[parent_id]],abbreviation[],3,FALSE),"")</f>
        <v/>
      </c>
      <c r="C523" s="4" t="str">
        <f>IFERROR(VLOOKUP(parent_children_2[[#This Row],[children_id]],abbreviation[],ColumnLanguage+1,FALSE),"")</f>
        <v/>
      </c>
    </row>
    <row r="524" spans="1:3" x14ac:dyDescent="0.25">
      <c r="A524" s="4" t="str">
        <f>IFERROR(parent_children_2[[#This Row],[parent_children_id]],"")</f>
        <v/>
      </c>
      <c r="B524" s="4" t="str">
        <f>IFERROR(VLOOKUP(parent_children_2[[#This Row],[parent_id]],abbreviation[],3,FALSE),"")</f>
        <v/>
      </c>
      <c r="C524" s="4" t="str">
        <f>IFERROR(VLOOKUP(parent_children_2[[#This Row],[children_id]],abbreviation[],ColumnLanguage+1,FALSE),"")</f>
        <v/>
      </c>
    </row>
    <row r="525" spans="1:3" x14ac:dyDescent="0.25">
      <c r="A525" s="4" t="str">
        <f>IFERROR(parent_children_2[[#This Row],[parent_children_id]],"")</f>
        <v/>
      </c>
      <c r="B525" s="4" t="str">
        <f>IFERROR(VLOOKUP(parent_children_2[[#This Row],[parent_id]],abbreviation[],3,FALSE),"")</f>
        <v/>
      </c>
      <c r="C525" s="4" t="str">
        <f>IFERROR(VLOOKUP(parent_children_2[[#This Row],[children_id]],abbreviation[],ColumnLanguage+1,FALSE),"")</f>
        <v/>
      </c>
    </row>
    <row r="526" spans="1:3" x14ac:dyDescent="0.25">
      <c r="A526" s="4" t="str">
        <f>IFERROR(parent_children_2[[#This Row],[parent_children_id]],"")</f>
        <v/>
      </c>
      <c r="B526" s="4" t="str">
        <f>IFERROR(VLOOKUP(parent_children_2[[#This Row],[parent_id]],abbreviation[],3,FALSE),"")</f>
        <v/>
      </c>
      <c r="C526" s="4" t="str">
        <f>IFERROR(VLOOKUP(parent_children_2[[#This Row],[children_id]],abbreviation[],ColumnLanguage+1,FALSE),"")</f>
        <v/>
      </c>
    </row>
    <row r="527" spans="1:3" x14ac:dyDescent="0.25">
      <c r="A527" s="4" t="str">
        <f>IFERROR(parent_children_2[[#This Row],[parent_children_id]],"")</f>
        <v/>
      </c>
      <c r="B527" s="4" t="str">
        <f>IFERROR(VLOOKUP(parent_children_2[[#This Row],[parent_id]],abbreviation[],3,FALSE),"")</f>
        <v/>
      </c>
      <c r="C527" s="4" t="str">
        <f>IFERROR(VLOOKUP(parent_children_2[[#This Row],[children_id]],abbreviation[],ColumnLanguage+1,FALSE),"")</f>
        <v/>
      </c>
    </row>
    <row r="528" spans="1:3" x14ac:dyDescent="0.25">
      <c r="A528" s="4" t="str">
        <f>IFERROR(parent_children_2[[#This Row],[parent_children_id]],"")</f>
        <v/>
      </c>
      <c r="B528" s="4" t="str">
        <f>IFERROR(VLOOKUP(parent_children_2[[#This Row],[parent_id]],abbreviation[],3,FALSE),"")</f>
        <v/>
      </c>
      <c r="C528" s="4" t="str">
        <f>IFERROR(VLOOKUP(parent_children_2[[#This Row],[children_id]],abbreviation[],ColumnLanguage+1,FALSE),"")</f>
        <v/>
      </c>
    </row>
    <row r="529" spans="1:3" x14ac:dyDescent="0.25">
      <c r="A529" s="4" t="str">
        <f>IFERROR(parent_children_2[[#This Row],[parent_children_id]],"")</f>
        <v/>
      </c>
      <c r="B529" s="4" t="str">
        <f>IFERROR(VLOOKUP(parent_children_2[[#This Row],[parent_id]],abbreviation[],3,FALSE),"")</f>
        <v/>
      </c>
      <c r="C529" s="4" t="str">
        <f>IFERROR(VLOOKUP(parent_children_2[[#This Row],[children_id]],abbreviation[],ColumnLanguage+1,FALSE),"")</f>
        <v/>
      </c>
    </row>
    <row r="530" spans="1:3" x14ac:dyDescent="0.25">
      <c r="A530" s="4" t="str">
        <f>IFERROR(parent_children_2[[#This Row],[parent_children_id]],"")</f>
        <v/>
      </c>
      <c r="B530" s="4" t="str">
        <f>IFERROR(VLOOKUP(parent_children_2[[#This Row],[parent_id]],abbreviation[],3,FALSE),"")</f>
        <v/>
      </c>
      <c r="C530" s="4" t="str">
        <f>IFERROR(VLOOKUP(parent_children_2[[#This Row],[children_id]],abbreviation[],ColumnLanguage+1,FALSE),"")</f>
        <v/>
      </c>
    </row>
    <row r="531" spans="1:3" x14ac:dyDescent="0.25">
      <c r="A531" s="4" t="str">
        <f>IFERROR(parent_children_2[[#This Row],[parent_children_id]],"")</f>
        <v/>
      </c>
      <c r="B531" s="4" t="str">
        <f>IFERROR(VLOOKUP(parent_children_2[[#This Row],[parent_id]],abbreviation[],3,FALSE),"")</f>
        <v/>
      </c>
      <c r="C531" s="4" t="str">
        <f>IFERROR(VLOOKUP(parent_children_2[[#This Row],[children_id]],abbreviation[],ColumnLanguage+1,FALSE),"")</f>
        <v/>
      </c>
    </row>
    <row r="532" spans="1:3" x14ac:dyDescent="0.25">
      <c r="A532" s="4" t="str">
        <f>IFERROR(parent_children_2[[#This Row],[parent_children_id]],"")</f>
        <v/>
      </c>
      <c r="B532" s="4" t="str">
        <f>IFERROR(VLOOKUP(parent_children_2[[#This Row],[parent_id]],abbreviation[],3,FALSE),"")</f>
        <v/>
      </c>
      <c r="C532" s="4" t="str">
        <f>IFERROR(VLOOKUP(parent_children_2[[#This Row],[children_id]],abbreviation[],ColumnLanguage+1,FALSE),"")</f>
        <v/>
      </c>
    </row>
    <row r="533" spans="1:3" x14ac:dyDescent="0.25">
      <c r="A533" s="4" t="str">
        <f>IFERROR(parent_children_2[[#This Row],[parent_children_id]],"")</f>
        <v/>
      </c>
      <c r="B533" s="4" t="str">
        <f>IFERROR(VLOOKUP(parent_children_2[[#This Row],[parent_id]],abbreviation[],3,FALSE),"")</f>
        <v/>
      </c>
      <c r="C533" s="4" t="str">
        <f>IFERROR(VLOOKUP(parent_children_2[[#This Row],[children_id]],abbreviation[],ColumnLanguage+1,FALSE),"")</f>
        <v/>
      </c>
    </row>
    <row r="534" spans="1:3" x14ac:dyDescent="0.25">
      <c r="A534" s="4" t="str">
        <f>IFERROR(parent_children_2[[#This Row],[parent_children_id]],"")</f>
        <v/>
      </c>
      <c r="B534" s="4" t="str">
        <f>IFERROR(VLOOKUP(parent_children_2[[#This Row],[parent_id]],abbreviation[],3,FALSE),"")</f>
        <v/>
      </c>
      <c r="C534" s="4" t="str">
        <f>IFERROR(VLOOKUP(parent_children_2[[#This Row],[children_id]],abbreviation[],ColumnLanguage+1,FALSE),"")</f>
        <v/>
      </c>
    </row>
    <row r="535" spans="1:3" x14ac:dyDescent="0.25">
      <c r="A535" s="4" t="str">
        <f>IFERROR(parent_children_2[[#This Row],[parent_children_id]],"")</f>
        <v/>
      </c>
      <c r="B535" s="4" t="str">
        <f>IFERROR(VLOOKUP(parent_children_2[[#This Row],[parent_id]],abbreviation[],3,FALSE),"")</f>
        <v/>
      </c>
      <c r="C535" s="4" t="str">
        <f>IFERROR(VLOOKUP(parent_children_2[[#This Row],[children_id]],abbreviation[],ColumnLanguage+1,FALSE),"")</f>
        <v/>
      </c>
    </row>
    <row r="536" spans="1:3" x14ac:dyDescent="0.25">
      <c r="A536" s="4" t="str">
        <f>IFERROR(parent_children_2[[#This Row],[parent_children_id]],"")</f>
        <v/>
      </c>
      <c r="B536" s="4" t="str">
        <f>IFERROR(VLOOKUP(parent_children_2[[#This Row],[parent_id]],abbreviation[],3,FALSE),"")</f>
        <v/>
      </c>
      <c r="C536" s="4" t="str">
        <f>IFERROR(VLOOKUP(parent_children_2[[#This Row],[children_id]],abbreviation[],ColumnLanguage+1,FALSE),"")</f>
        <v/>
      </c>
    </row>
    <row r="537" spans="1:3" x14ac:dyDescent="0.25">
      <c r="A537" s="4" t="str">
        <f>IFERROR(parent_children_2[[#This Row],[parent_children_id]],"")</f>
        <v/>
      </c>
      <c r="B537" s="4" t="str">
        <f>IFERROR(VLOOKUP(parent_children_2[[#This Row],[parent_id]],abbreviation[],3,FALSE),"")</f>
        <v/>
      </c>
      <c r="C537" s="4" t="str">
        <f>IFERROR(VLOOKUP(parent_children_2[[#This Row],[children_id]],abbreviation[],ColumnLanguage+1,FALSE),"")</f>
        <v/>
      </c>
    </row>
    <row r="538" spans="1:3" x14ac:dyDescent="0.25">
      <c r="A538" s="4" t="str">
        <f>IFERROR(parent_children_2[[#This Row],[parent_children_id]],"")</f>
        <v/>
      </c>
      <c r="B538" s="4" t="str">
        <f>IFERROR(VLOOKUP(parent_children_2[[#This Row],[parent_id]],abbreviation[],3,FALSE),"")</f>
        <v/>
      </c>
      <c r="C538" s="4" t="str">
        <f>IFERROR(VLOOKUP(parent_children_2[[#This Row],[children_id]],abbreviation[],ColumnLanguage+1,FALSE),"")</f>
        <v/>
      </c>
    </row>
    <row r="539" spans="1:3" x14ac:dyDescent="0.25">
      <c r="A539" s="4" t="str">
        <f>IFERROR(parent_children_2[[#This Row],[parent_children_id]],"")</f>
        <v/>
      </c>
      <c r="B539" s="4" t="str">
        <f>IFERROR(VLOOKUP(parent_children_2[[#This Row],[parent_id]],abbreviation[],3,FALSE),"")</f>
        <v/>
      </c>
      <c r="C539" s="4" t="str">
        <f>IFERROR(VLOOKUP(parent_children_2[[#This Row],[children_id]],abbreviation[],ColumnLanguage+1,FALSE),"")</f>
        <v/>
      </c>
    </row>
    <row r="540" spans="1:3" x14ac:dyDescent="0.25">
      <c r="A540" s="4" t="str">
        <f>IFERROR(parent_children_2[[#This Row],[parent_children_id]],"")</f>
        <v/>
      </c>
      <c r="B540" s="4" t="str">
        <f>IFERROR(VLOOKUP(parent_children_2[[#This Row],[parent_id]],abbreviation[],3,FALSE),"")</f>
        <v/>
      </c>
      <c r="C540" s="4" t="str">
        <f>IFERROR(VLOOKUP(parent_children_2[[#This Row],[children_id]],abbreviation[],ColumnLanguage+1,FALSE),"")</f>
        <v/>
      </c>
    </row>
    <row r="541" spans="1:3" x14ac:dyDescent="0.25">
      <c r="A541" s="4" t="str">
        <f>IFERROR(parent_children_2[[#This Row],[parent_children_id]],"")</f>
        <v/>
      </c>
      <c r="B541" s="4" t="str">
        <f>IFERROR(VLOOKUP(parent_children_2[[#This Row],[parent_id]],abbreviation[],3,FALSE),"")</f>
        <v/>
      </c>
      <c r="C541" s="4" t="str">
        <f>IFERROR(VLOOKUP(parent_children_2[[#This Row],[children_id]],abbreviation[],ColumnLanguage+1,FALSE),"")</f>
        <v/>
      </c>
    </row>
    <row r="542" spans="1:3" x14ac:dyDescent="0.25">
      <c r="A542" s="4" t="str">
        <f>IFERROR(parent_children_2[[#This Row],[parent_children_id]],"")</f>
        <v/>
      </c>
      <c r="B542" s="4" t="str">
        <f>IFERROR(VLOOKUP(parent_children_2[[#This Row],[parent_id]],abbreviation[],3,FALSE),"")</f>
        <v/>
      </c>
      <c r="C542" s="4" t="str">
        <f>IFERROR(VLOOKUP(parent_children_2[[#This Row],[children_id]],abbreviation[],ColumnLanguage+1,FALSE),"")</f>
        <v/>
      </c>
    </row>
    <row r="543" spans="1:3" x14ac:dyDescent="0.25">
      <c r="A543" s="4" t="str">
        <f>IFERROR(parent_children_2[[#This Row],[parent_children_id]],"")</f>
        <v/>
      </c>
      <c r="B543" s="4" t="str">
        <f>IFERROR(VLOOKUP(parent_children_2[[#This Row],[parent_id]],abbreviation[],3,FALSE),"")</f>
        <v/>
      </c>
      <c r="C543" s="4" t="str">
        <f>IFERROR(VLOOKUP(parent_children_2[[#This Row],[children_id]],abbreviation[],ColumnLanguage+1,FALSE),"")</f>
        <v/>
      </c>
    </row>
    <row r="544" spans="1:3" x14ac:dyDescent="0.25">
      <c r="A544" s="4" t="str">
        <f>IFERROR(parent_children_2[[#This Row],[parent_children_id]],"")</f>
        <v/>
      </c>
      <c r="B544" s="4" t="str">
        <f>IFERROR(VLOOKUP(parent_children_2[[#This Row],[parent_id]],abbreviation[],3,FALSE),"")</f>
        <v/>
      </c>
      <c r="C544" s="4" t="str">
        <f>IFERROR(VLOOKUP(parent_children_2[[#This Row],[children_id]],abbreviation[],ColumnLanguage+1,FALSE),"")</f>
        <v/>
      </c>
    </row>
    <row r="545" spans="1:3" x14ac:dyDescent="0.25">
      <c r="A545" s="4" t="str">
        <f>IFERROR(parent_children_2[[#This Row],[parent_children_id]],"")</f>
        <v/>
      </c>
      <c r="B545" s="4" t="str">
        <f>IFERROR(VLOOKUP(parent_children_2[[#This Row],[parent_id]],abbreviation[],3,FALSE),"")</f>
        <v/>
      </c>
      <c r="C545" s="4" t="str">
        <f>IFERROR(VLOOKUP(parent_children_2[[#This Row],[children_id]],abbreviation[],ColumnLanguage+1,FALSE),"")</f>
        <v/>
      </c>
    </row>
    <row r="546" spans="1:3" x14ac:dyDescent="0.25">
      <c r="A546" s="4" t="str">
        <f>IFERROR(parent_children_2[[#This Row],[parent_children_id]],"")</f>
        <v/>
      </c>
      <c r="B546" s="4" t="str">
        <f>IFERROR(VLOOKUP(parent_children_2[[#This Row],[parent_id]],abbreviation[],3,FALSE),"")</f>
        <v/>
      </c>
      <c r="C546" s="4" t="str">
        <f>IFERROR(VLOOKUP(parent_children_2[[#This Row],[children_id]],abbreviation[],ColumnLanguage+1,FALSE),"")</f>
        <v/>
      </c>
    </row>
    <row r="547" spans="1:3" x14ac:dyDescent="0.25">
      <c r="A547" s="4" t="str">
        <f>IFERROR(parent_children_2[[#This Row],[parent_children_id]],"")</f>
        <v/>
      </c>
      <c r="B547" s="4" t="str">
        <f>IFERROR(VLOOKUP(parent_children_2[[#This Row],[parent_id]],abbreviation[],3,FALSE),"")</f>
        <v/>
      </c>
      <c r="C547" s="4" t="str">
        <f>IFERROR(VLOOKUP(parent_children_2[[#This Row],[children_id]],abbreviation[],ColumnLanguage+1,FALSE),"")</f>
        <v/>
      </c>
    </row>
    <row r="548" spans="1:3" x14ac:dyDescent="0.25">
      <c r="A548" s="4" t="str">
        <f>IFERROR(parent_children_2[[#This Row],[parent_children_id]],"")</f>
        <v/>
      </c>
      <c r="B548" s="4" t="str">
        <f>IFERROR(VLOOKUP(parent_children_2[[#This Row],[parent_id]],abbreviation[],3,FALSE),"")</f>
        <v/>
      </c>
      <c r="C548" s="4" t="str">
        <f>IFERROR(VLOOKUP(parent_children_2[[#This Row],[children_id]],abbreviation[],ColumnLanguage+1,FALSE),"")</f>
        <v/>
      </c>
    </row>
    <row r="549" spans="1:3" x14ac:dyDescent="0.25">
      <c r="A549" s="4" t="str">
        <f>IFERROR(parent_children_2[[#This Row],[parent_children_id]],"")</f>
        <v/>
      </c>
      <c r="B549" s="4" t="str">
        <f>IFERROR(VLOOKUP(parent_children_2[[#This Row],[parent_id]],abbreviation[],3,FALSE),"")</f>
        <v/>
      </c>
      <c r="C549" s="4" t="str">
        <f>IFERROR(VLOOKUP(parent_children_2[[#This Row],[children_id]],abbreviation[],ColumnLanguage+1,FALSE),"")</f>
        <v/>
      </c>
    </row>
    <row r="550" spans="1:3" x14ac:dyDescent="0.25">
      <c r="A550" s="4" t="str">
        <f>IFERROR(parent_children_2[[#This Row],[parent_children_id]],"")</f>
        <v/>
      </c>
      <c r="B550" s="4" t="str">
        <f>IFERROR(VLOOKUP(parent_children_2[[#This Row],[parent_id]],abbreviation[],3,FALSE),"")</f>
        <v/>
      </c>
      <c r="C550" s="4" t="str">
        <f>IFERROR(VLOOKUP(parent_children_2[[#This Row],[children_id]],abbreviation[],ColumnLanguage+1,FALSE),"")</f>
        <v/>
      </c>
    </row>
    <row r="551" spans="1:3" x14ac:dyDescent="0.25">
      <c r="A551" s="4" t="str">
        <f>IFERROR(parent_children_2[[#This Row],[parent_children_id]],"")</f>
        <v/>
      </c>
      <c r="B551" s="4" t="str">
        <f>IFERROR(VLOOKUP(parent_children_2[[#This Row],[parent_id]],abbreviation[],3,FALSE),"")</f>
        <v/>
      </c>
      <c r="C551" s="4" t="str">
        <f>IFERROR(VLOOKUP(parent_children_2[[#This Row],[children_id]],abbreviation[],ColumnLanguage+1,FALSE),"")</f>
        <v/>
      </c>
    </row>
    <row r="552" spans="1:3" x14ac:dyDescent="0.25">
      <c r="A552" s="4" t="str">
        <f>IFERROR(parent_children_2[[#This Row],[parent_children_id]],"")</f>
        <v/>
      </c>
      <c r="B552" s="4" t="str">
        <f>IFERROR(VLOOKUP(parent_children_2[[#This Row],[parent_id]],abbreviation[],3,FALSE),"")</f>
        <v/>
      </c>
      <c r="C552" s="4" t="str">
        <f>IFERROR(VLOOKUP(parent_children_2[[#This Row],[children_id]],abbreviation[],ColumnLanguage+1,FALSE),"")</f>
        <v/>
      </c>
    </row>
    <row r="553" spans="1:3" x14ac:dyDescent="0.25">
      <c r="A553" s="4" t="str">
        <f>IFERROR(parent_children_2[[#This Row],[parent_children_id]],"")</f>
        <v/>
      </c>
      <c r="B553" s="4" t="str">
        <f>IFERROR(VLOOKUP(parent_children_2[[#This Row],[parent_id]],abbreviation[],3,FALSE),"")</f>
        <v/>
      </c>
      <c r="C553" s="4" t="str">
        <f>IFERROR(VLOOKUP(parent_children_2[[#This Row],[children_id]],abbreviation[],ColumnLanguage+1,FALSE),"")</f>
        <v/>
      </c>
    </row>
    <row r="554" spans="1:3" x14ac:dyDescent="0.25">
      <c r="A554" s="4" t="str">
        <f>IFERROR(parent_children_2[[#This Row],[parent_children_id]],"")</f>
        <v/>
      </c>
      <c r="B554" s="4" t="str">
        <f>IFERROR(VLOOKUP(parent_children_2[[#This Row],[parent_id]],abbreviation[],3,FALSE),"")</f>
        <v/>
      </c>
      <c r="C554" s="4" t="str">
        <f>IFERROR(VLOOKUP(parent_children_2[[#This Row],[children_id]],abbreviation[],ColumnLanguage+1,FALSE),"")</f>
        <v/>
      </c>
    </row>
    <row r="555" spans="1:3" x14ac:dyDescent="0.25">
      <c r="A555" s="4" t="str">
        <f>IFERROR(parent_children_2[[#This Row],[parent_children_id]],"")</f>
        <v/>
      </c>
      <c r="B555" s="4" t="str">
        <f>IFERROR(VLOOKUP(parent_children_2[[#This Row],[parent_id]],abbreviation[],3,FALSE),"")</f>
        <v/>
      </c>
      <c r="C555" s="4" t="str">
        <f>IFERROR(VLOOKUP(parent_children_2[[#This Row],[children_id]],abbreviation[],ColumnLanguage+1,FALSE),"")</f>
        <v/>
      </c>
    </row>
    <row r="556" spans="1:3" x14ac:dyDescent="0.25">
      <c r="A556" s="4" t="str">
        <f>IFERROR(parent_children_2[[#This Row],[parent_children_id]],"")</f>
        <v/>
      </c>
      <c r="B556" s="4" t="str">
        <f>IFERROR(VLOOKUP(parent_children_2[[#This Row],[parent_id]],abbreviation[],3,FALSE),"")</f>
        <v/>
      </c>
      <c r="C556" s="4" t="str">
        <f>IFERROR(VLOOKUP(parent_children_2[[#This Row],[children_id]],abbreviation[],ColumnLanguage+1,FALSE),"")</f>
        <v/>
      </c>
    </row>
    <row r="557" spans="1:3" x14ac:dyDescent="0.25">
      <c r="A557" s="4" t="str">
        <f>IFERROR(parent_children_2[[#This Row],[parent_children_id]],"")</f>
        <v/>
      </c>
      <c r="B557" s="4" t="str">
        <f>IFERROR(VLOOKUP(parent_children_2[[#This Row],[parent_id]],abbreviation[],3,FALSE),"")</f>
        <v/>
      </c>
      <c r="C557" s="4" t="str">
        <f>IFERROR(VLOOKUP(parent_children_2[[#This Row],[children_id]],abbreviation[],ColumnLanguage+1,FALSE),"")</f>
        <v/>
      </c>
    </row>
    <row r="558" spans="1:3" x14ac:dyDescent="0.25">
      <c r="A558" s="4" t="str">
        <f>IFERROR(parent_children_2[[#This Row],[parent_children_id]],"")</f>
        <v/>
      </c>
      <c r="B558" s="4" t="str">
        <f>IFERROR(VLOOKUP(parent_children_2[[#This Row],[parent_id]],abbreviation[],3,FALSE),"")</f>
        <v/>
      </c>
      <c r="C558" s="4" t="str">
        <f>IFERROR(VLOOKUP(parent_children_2[[#This Row],[children_id]],abbreviation[],ColumnLanguage+1,FALSE),"")</f>
        <v/>
      </c>
    </row>
    <row r="559" spans="1:3" x14ac:dyDescent="0.25">
      <c r="A559" s="4" t="str">
        <f>IFERROR(parent_children_2[[#This Row],[parent_children_id]],"")</f>
        <v/>
      </c>
      <c r="B559" s="4" t="str">
        <f>IFERROR(VLOOKUP(parent_children_2[[#This Row],[parent_id]],abbreviation[],3,FALSE),"")</f>
        <v/>
      </c>
      <c r="C559" s="4" t="str">
        <f>IFERROR(VLOOKUP(parent_children_2[[#This Row],[children_id]],abbreviation[],ColumnLanguage+1,FALSE),"")</f>
        <v/>
      </c>
    </row>
    <row r="560" spans="1:3" x14ac:dyDescent="0.25">
      <c r="A560" s="4" t="str">
        <f>IFERROR(parent_children_2[[#This Row],[parent_children_id]],"")</f>
        <v/>
      </c>
      <c r="B560" s="4" t="str">
        <f>IFERROR(VLOOKUP(parent_children_2[[#This Row],[parent_id]],abbreviation[],3,FALSE),"")</f>
        <v/>
      </c>
      <c r="C560" s="4" t="str">
        <f>IFERROR(VLOOKUP(parent_children_2[[#This Row],[children_id]],abbreviation[],ColumnLanguage+1,FALSE),"")</f>
        <v/>
      </c>
    </row>
    <row r="561" spans="1:3" x14ac:dyDescent="0.25">
      <c r="A561" s="4" t="str">
        <f>IFERROR(parent_children_2[[#This Row],[parent_children_id]],"")</f>
        <v/>
      </c>
      <c r="B561" s="4" t="str">
        <f>IFERROR(VLOOKUP(parent_children_2[[#This Row],[parent_id]],abbreviation[],3,FALSE),"")</f>
        <v/>
      </c>
      <c r="C561" s="4" t="str">
        <f>IFERROR(VLOOKUP(parent_children_2[[#This Row],[children_id]],abbreviation[],ColumnLanguage+1,FALSE),"")</f>
        <v/>
      </c>
    </row>
    <row r="562" spans="1:3" x14ac:dyDescent="0.25">
      <c r="A562" s="4" t="str">
        <f>IFERROR(parent_children_2[[#This Row],[parent_children_id]],"")</f>
        <v/>
      </c>
      <c r="B562" s="4" t="str">
        <f>IFERROR(VLOOKUP(parent_children_2[[#This Row],[parent_id]],abbreviation[],3,FALSE),"")</f>
        <v/>
      </c>
      <c r="C562" s="4" t="str">
        <f>IFERROR(VLOOKUP(parent_children_2[[#This Row],[children_id]],abbreviation[],ColumnLanguage+1,FALSE),"")</f>
        <v/>
      </c>
    </row>
    <row r="563" spans="1:3" x14ac:dyDescent="0.25">
      <c r="A563" s="4" t="str">
        <f>IFERROR(parent_children_2[[#This Row],[parent_children_id]],"")</f>
        <v/>
      </c>
      <c r="B563" s="4" t="str">
        <f>IFERROR(VLOOKUP(parent_children_2[[#This Row],[parent_id]],abbreviation[],3,FALSE),"")</f>
        <v/>
      </c>
      <c r="C563" s="4" t="str">
        <f>IFERROR(VLOOKUP(parent_children_2[[#This Row],[children_id]],abbreviation[],ColumnLanguage+1,FALSE),"")</f>
        <v/>
      </c>
    </row>
    <row r="564" spans="1:3" x14ac:dyDescent="0.25">
      <c r="A564" s="4" t="str">
        <f>IFERROR(parent_children_2[[#This Row],[parent_children_id]],"")</f>
        <v/>
      </c>
      <c r="B564" s="4" t="str">
        <f>IFERROR(VLOOKUP(parent_children_2[[#This Row],[parent_id]],abbreviation[],3,FALSE),"")</f>
        <v/>
      </c>
      <c r="C564" s="4" t="str">
        <f>IFERROR(VLOOKUP(parent_children_2[[#This Row],[children_id]],abbreviation[],ColumnLanguage+1,FALSE),"")</f>
        <v/>
      </c>
    </row>
    <row r="565" spans="1:3" x14ac:dyDescent="0.25">
      <c r="A565" s="4" t="str">
        <f>IFERROR(parent_children_2[[#This Row],[parent_children_id]],"")</f>
        <v/>
      </c>
      <c r="B565" s="4" t="str">
        <f>IFERROR(VLOOKUP(parent_children_2[[#This Row],[parent_id]],abbreviation[],3,FALSE),"")</f>
        <v/>
      </c>
      <c r="C565" s="4" t="str">
        <f>IFERROR(VLOOKUP(parent_children_2[[#This Row],[children_id]],abbreviation[],ColumnLanguage+1,FALSE),"")</f>
        <v/>
      </c>
    </row>
    <row r="566" spans="1:3" x14ac:dyDescent="0.25">
      <c r="A566" s="4" t="str">
        <f>IFERROR(parent_children_2[[#This Row],[parent_children_id]],"")</f>
        <v/>
      </c>
      <c r="B566" s="4" t="str">
        <f>IFERROR(VLOOKUP(parent_children_2[[#This Row],[parent_id]],abbreviation[],3,FALSE),"")</f>
        <v/>
      </c>
      <c r="C566" s="4" t="str">
        <f>IFERROR(VLOOKUP(parent_children_2[[#This Row],[children_id]],abbreviation[],ColumnLanguage+1,FALSE),"")</f>
        <v/>
      </c>
    </row>
    <row r="567" spans="1:3" x14ac:dyDescent="0.25">
      <c r="A567" s="4" t="str">
        <f>IFERROR(parent_children_2[[#This Row],[parent_children_id]],"")</f>
        <v/>
      </c>
      <c r="B567" s="4" t="str">
        <f>IFERROR(VLOOKUP(parent_children_2[[#This Row],[parent_id]],abbreviation[],3,FALSE),"")</f>
        <v/>
      </c>
      <c r="C567" s="4" t="str">
        <f>IFERROR(VLOOKUP(parent_children_2[[#This Row],[children_id]],abbreviation[],ColumnLanguage+1,FALSE),"")</f>
        <v/>
      </c>
    </row>
    <row r="568" spans="1:3" x14ac:dyDescent="0.25">
      <c r="A568" s="4" t="str">
        <f>IFERROR(parent_children_2[[#This Row],[parent_children_id]],"")</f>
        <v/>
      </c>
      <c r="B568" s="4" t="str">
        <f>IFERROR(VLOOKUP(parent_children_2[[#This Row],[parent_id]],abbreviation[],3,FALSE),"")</f>
        <v/>
      </c>
      <c r="C568" s="4" t="str">
        <f>IFERROR(VLOOKUP(parent_children_2[[#This Row],[children_id]],abbreviation[],ColumnLanguage+1,FALSE),"")</f>
        <v/>
      </c>
    </row>
    <row r="569" spans="1:3" x14ac:dyDescent="0.25">
      <c r="A569" s="4" t="str">
        <f>IFERROR(parent_children_2[[#This Row],[parent_children_id]],"")</f>
        <v/>
      </c>
      <c r="B569" s="4" t="str">
        <f>IFERROR(VLOOKUP(parent_children_2[[#This Row],[parent_id]],abbreviation[],3,FALSE),"")</f>
        <v/>
      </c>
      <c r="C569" s="4" t="str">
        <f>IFERROR(VLOOKUP(parent_children_2[[#This Row],[children_id]],abbreviation[],ColumnLanguage+1,FALSE),"")</f>
        <v/>
      </c>
    </row>
    <row r="570" spans="1:3" x14ac:dyDescent="0.25">
      <c r="A570" s="4" t="str">
        <f>IFERROR(parent_children_2[[#This Row],[parent_children_id]],"")</f>
        <v/>
      </c>
      <c r="B570" s="4" t="str">
        <f>IFERROR(VLOOKUP(parent_children_2[[#This Row],[parent_id]],abbreviation[],3,FALSE),"")</f>
        <v/>
      </c>
      <c r="C570" s="4" t="str">
        <f>IFERROR(VLOOKUP(parent_children_2[[#This Row],[children_id]],abbreviation[],ColumnLanguage+1,FALSE),"")</f>
        <v/>
      </c>
    </row>
    <row r="571" spans="1:3" x14ac:dyDescent="0.25">
      <c r="A571" s="4" t="str">
        <f>IFERROR(parent_children_2[[#This Row],[parent_children_id]],"")</f>
        <v/>
      </c>
      <c r="B571" s="4" t="str">
        <f>IFERROR(VLOOKUP(parent_children_2[[#This Row],[parent_id]],abbreviation[],3,FALSE),"")</f>
        <v/>
      </c>
      <c r="C571" s="4" t="str">
        <f>IFERROR(VLOOKUP(parent_children_2[[#This Row],[children_id]],abbreviation[],ColumnLanguage+1,FALSE),"")</f>
        <v/>
      </c>
    </row>
    <row r="572" spans="1:3" x14ac:dyDescent="0.25">
      <c r="A572" s="4" t="str">
        <f>IFERROR(parent_children_2[[#This Row],[parent_children_id]],"")</f>
        <v/>
      </c>
      <c r="B572" s="4" t="str">
        <f>IFERROR(VLOOKUP(parent_children_2[[#This Row],[parent_id]],abbreviation[],3,FALSE),"")</f>
        <v/>
      </c>
      <c r="C572" s="4" t="str">
        <f>IFERROR(VLOOKUP(parent_children_2[[#This Row],[children_id]],abbreviation[],ColumnLanguage+1,FALSE),"")</f>
        <v/>
      </c>
    </row>
    <row r="573" spans="1:3" x14ac:dyDescent="0.25">
      <c r="A573" s="4" t="str">
        <f>IFERROR(parent_children_2[[#This Row],[parent_children_id]],"")</f>
        <v/>
      </c>
      <c r="B573" s="4" t="str">
        <f>IFERROR(VLOOKUP(parent_children_2[[#This Row],[parent_id]],abbreviation[],3,FALSE),"")</f>
        <v/>
      </c>
      <c r="C573" s="4" t="str">
        <f>IFERROR(VLOOKUP(parent_children_2[[#This Row],[children_id]],abbreviation[],ColumnLanguage+1,FALSE),"")</f>
        <v/>
      </c>
    </row>
    <row r="574" spans="1:3" x14ac:dyDescent="0.25">
      <c r="A574" s="4" t="str">
        <f>IFERROR(parent_children_2[[#This Row],[parent_children_id]],"")</f>
        <v/>
      </c>
      <c r="B574" s="4" t="str">
        <f>IFERROR(VLOOKUP(parent_children_2[[#This Row],[parent_id]],abbreviation[],3,FALSE),"")</f>
        <v/>
      </c>
      <c r="C574" s="4" t="str">
        <f>IFERROR(VLOOKUP(parent_children_2[[#This Row],[children_id]],abbreviation[],ColumnLanguage+1,FALSE),"")</f>
        <v/>
      </c>
    </row>
    <row r="575" spans="1:3" x14ac:dyDescent="0.25">
      <c r="A575" s="4" t="str">
        <f>IFERROR(parent_children_2[[#This Row],[parent_children_id]],"")</f>
        <v/>
      </c>
      <c r="B575" s="4" t="str">
        <f>IFERROR(VLOOKUP(parent_children_2[[#This Row],[parent_id]],abbreviation[],3,FALSE),"")</f>
        <v/>
      </c>
      <c r="C575" s="4" t="str">
        <f>IFERROR(VLOOKUP(parent_children_2[[#This Row],[children_id]],abbreviation[],ColumnLanguage+1,FALSE),"")</f>
        <v/>
      </c>
    </row>
    <row r="576" spans="1:3" x14ac:dyDescent="0.25">
      <c r="A576" s="4" t="str">
        <f>IFERROR(parent_children_2[[#This Row],[parent_children_id]],"")</f>
        <v/>
      </c>
      <c r="B576" s="4" t="str">
        <f>IFERROR(VLOOKUP(parent_children_2[[#This Row],[parent_id]],abbreviation[],3,FALSE),"")</f>
        <v/>
      </c>
      <c r="C576" s="4" t="str">
        <f>IFERROR(VLOOKUP(parent_children_2[[#This Row],[children_id]],abbreviation[],ColumnLanguage+1,FALSE),"")</f>
        <v/>
      </c>
    </row>
    <row r="577" spans="1:3" x14ac:dyDescent="0.25">
      <c r="A577" s="4" t="str">
        <f>IFERROR(parent_children_2[[#This Row],[parent_children_id]],"")</f>
        <v/>
      </c>
      <c r="B577" s="4" t="str">
        <f>IFERROR(VLOOKUP(parent_children_2[[#This Row],[parent_id]],abbreviation[],3,FALSE),"")</f>
        <v/>
      </c>
      <c r="C577" s="4" t="str">
        <f>IFERROR(VLOOKUP(parent_children_2[[#This Row],[children_id]],abbreviation[],ColumnLanguage+1,FALSE),"")</f>
        <v/>
      </c>
    </row>
    <row r="578" spans="1:3" x14ac:dyDescent="0.25">
      <c r="A578" s="4" t="str">
        <f>IFERROR(parent_children_2[[#This Row],[parent_children_id]],"")</f>
        <v/>
      </c>
      <c r="B578" s="4" t="str">
        <f>IFERROR(VLOOKUP(parent_children_2[[#This Row],[parent_id]],abbreviation[],3,FALSE),"")</f>
        <v/>
      </c>
      <c r="C578" s="4" t="str">
        <f>IFERROR(VLOOKUP(parent_children_2[[#This Row],[children_id]],abbreviation[],ColumnLanguage+1,FALSE),"")</f>
        <v/>
      </c>
    </row>
    <row r="579" spans="1:3" x14ac:dyDescent="0.25">
      <c r="A579" s="4" t="str">
        <f>IFERROR(parent_children_2[[#This Row],[parent_children_id]],"")</f>
        <v/>
      </c>
      <c r="B579" s="4" t="str">
        <f>IFERROR(VLOOKUP(parent_children_2[[#This Row],[parent_id]],abbreviation[],3,FALSE),"")</f>
        <v/>
      </c>
      <c r="C579" s="4" t="str">
        <f>IFERROR(VLOOKUP(parent_children_2[[#This Row],[children_id]],abbreviation[],ColumnLanguage+1,FALSE),"")</f>
        <v/>
      </c>
    </row>
    <row r="580" spans="1:3" x14ac:dyDescent="0.25">
      <c r="A580" s="4" t="str">
        <f>IFERROR(parent_children_2[[#This Row],[parent_children_id]],"")</f>
        <v/>
      </c>
      <c r="B580" s="4" t="str">
        <f>IFERROR(VLOOKUP(parent_children_2[[#This Row],[parent_id]],abbreviation[],3,FALSE),"")</f>
        <v/>
      </c>
      <c r="C580" s="4" t="str">
        <f>IFERROR(VLOOKUP(parent_children_2[[#This Row],[children_id]],abbreviation[],ColumnLanguage+1,FALSE),"")</f>
        <v/>
      </c>
    </row>
    <row r="581" spans="1:3" x14ac:dyDescent="0.25">
      <c r="A581" s="4" t="str">
        <f>IFERROR(parent_children_2[[#This Row],[parent_children_id]],"")</f>
        <v/>
      </c>
      <c r="B581" s="4" t="str">
        <f>IFERROR(VLOOKUP(parent_children_2[[#This Row],[parent_id]],abbreviation[],3,FALSE),"")</f>
        <v/>
      </c>
      <c r="C581" s="4" t="str">
        <f>IFERROR(VLOOKUP(parent_children_2[[#This Row],[children_id]],abbreviation[],ColumnLanguage+1,FALSE),"")</f>
        <v/>
      </c>
    </row>
    <row r="582" spans="1:3" x14ac:dyDescent="0.25">
      <c r="A582" s="4" t="str">
        <f>IFERROR(parent_children_2[[#This Row],[parent_children_id]],"")</f>
        <v/>
      </c>
      <c r="B582" s="4" t="str">
        <f>IFERROR(VLOOKUP(parent_children_2[[#This Row],[parent_id]],abbreviation[],3,FALSE),"")</f>
        <v/>
      </c>
      <c r="C582" s="4" t="str">
        <f>IFERROR(VLOOKUP(parent_children_2[[#This Row],[children_id]],abbreviation[],ColumnLanguage+1,FALSE),"")</f>
        <v/>
      </c>
    </row>
    <row r="583" spans="1:3" x14ac:dyDescent="0.25">
      <c r="A583" s="4" t="str">
        <f>IFERROR(parent_children_2[[#This Row],[parent_children_id]],"")</f>
        <v/>
      </c>
      <c r="B583" s="4" t="str">
        <f>IFERROR(VLOOKUP(parent_children_2[[#This Row],[parent_id]],abbreviation[],3,FALSE),"")</f>
        <v/>
      </c>
      <c r="C583" s="4" t="str">
        <f>IFERROR(VLOOKUP(parent_children_2[[#This Row],[children_id]],abbreviation[],ColumnLanguage+1,FALSE),"")</f>
        <v/>
      </c>
    </row>
    <row r="584" spans="1:3" x14ac:dyDescent="0.25">
      <c r="A584" s="4" t="str">
        <f>IFERROR(parent_children_2[[#This Row],[parent_children_id]],"")</f>
        <v/>
      </c>
      <c r="B584" s="4" t="str">
        <f>IFERROR(VLOOKUP(parent_children_2[[#This Row],[parent_id]],abbreviation[],3,FALSE),"")</f>
        <v/>
      </c>
      <c r="C584" s="4" t="str">
        <f>IFERROR(VLOOKUP(parent_children_2[[#This Row],[children_id]],abbreviation[],ColumnLanguage+1,FALSE),"")</f>
        <v/>
      </c>
    </row>
    <row r="585" spans="1:3" x14ac:dyDescent="0.25">
      <c r="A585" s="4" t="str">
        <f>IFERROR(parent_children_2[[#This Row],[parent_children_id]],"")</f>
        <v/>
      </c>
      <c r="B585" s="4" t="str">
        <f>IFERROR(VLOOKUP(parent_children_2[[#This Row],[parent_id]],abbreviation[],3,FALSE),"")</f>
        <v/>
      </c>
      <c r="C585" s="4" t="str">
        <f>IFERROR(VLOOKUP(parent_children_2[[#This Row],[children_id]],abbreviation[],ColumnLanguage+1,FALSE),"")</f>
        <v/>
      </c>
    </row>
    <row r="586" spans="1:3" x14ac:dyDescent="0.25">
      <c r="A586" s="4" t="str">
        <f>IFERROR(parent_children_2[[#This Row],[parent_children_id]],"")</f>
        <v/>
      </c>
      <c r="B586" s="4" t="str">
        <f>IFERROR(VLOOKUP(parent_children_2[[#This Row],[parent_id]],abbreviation[],3,FALSE),"")</f>
        <v/>
      </c>
      <c r="C586" s="4" t="str">
        <f>IFERROR(VLOOKUP(parent_children_2[[#This Row],[children_id]],abbreviation[],ColumnLanguage+1,FALSE),"")</f>
        <v/>
      </c>
    </row>
    <row r="587" spans="1:3" x14ac:dyDescent="0.25">
      <c r="A587" s="4" t="str">
        <f>IFERROR(parent_children_2[[#This Row],[parent_children_id]],"")</f>
        <v/>
      </c>
      <c r="B587" s="4" t="str">
        <f>IFERROR(VLOOKUP(parent_children_2[[#This Row],[parent_id]],abbreviation[],3,FALSE),"")</f>
        <v/>
      </c>
      <c r="C587" s="4" t="str">
        <f>IFERROR(VLOOKUP(parent_children_2[[#This Row],[children_id]],abbreviation[],ColumnLanguage+1,FALSE),"")</f>
        <v/>
      </c>
    </row>
    <row r="588" spans="1:3" x14ac:dyDescent="0.25">
      <c r="A588" s="4" t="str">
        <f>IFERROR(parent_children_2[[#This Row],[parent_children_id]],"")</f>
        <v/>
      </c>
      <c r="B588" s="4" t="str">
        <f>IFERROR(VLOOKUP(parent_children_2[[#This Row],[parent_id]],abbreviation[],3,FALSE),"")</f>
        <v/>
      </c>
      <c r="C588" s="4" t="str">
        <f>IFERROR(VLOOKUP(parent_children_2[[#This Row],[children_id]],abbreviation[],ColumnLanguage+1,FALSE),"")</f>
        <v/>
      </c>
    </row>
    <row r="589" spans="1:3" x14ac:dyDescent="0.25">
      <c r="A589" s="4" t="str">
        <f>IFERROR(parent_children_2[[#This Row],[parent_children_id]],"")</f>
        <v/>
      </c>
      <c r="B589" s="4" t="str">
        <f>IFERROR(VLOOKUP(parent_children_2[[#This Row],[parent_id]],abbreviation[],3,FALSE),"")</f>
        <v/>
      </c>
      <c r="C589" s="4" t="str">
        <f>IFERROR(VLOOKUP(parent_children_2[[#This Row],[children_id]],abbreviation[],ColumnLanguage+1,FALSE),"")</f>
        <v/>
      </c>
    </row>
    <row r="590" spans="1:3" x14ac:dyDescent="0.25">
      <c r="A590" s="4" t="str">
        <f>IFERROR(parent_children_2[[#This Row],[parent_children_id]],"")</f>
        <v/>
      </c>
      <c r="B590" s="4" t="str">
        <f>IFERROR(VLOOKUP(parent_children_2[[#This Row],[parent_id]],abbreviation[],3,FALSE),"")</f>
        <v/>
      </c>
      <c r="C590" s="4" t="str">
        <f>IFERROR(VLOOKUP(parent_children_2[[#This Row],[children_id]],abbreviation[],ColumnLanguage+1,FALSE),"")</f>
        <v/>
      </c>
    </row>
    <row r="591" spans="1:3" x14ac:dyDescent="0.25">
      <c r="A591" s="4" t="str">
        <f>IFERROR(parent_children_2[[#This Row],[parent_children_id]],"")</f>
        <v/>
      </c>
      <c r="B591" s="4" t="str">
        <f>IFERROR(VLOOKUP(parent_children_2[[#This Row],[parent_id]],abbreviation[],3,FALSE),"")</f>
        <v/>
      </c>
      <c r="C591" s="4" t="str">
        <f>IFERROR(VLOOKUP(parent_children_2[[#This Row],[children_id]],abbreviation[],ColumnLanguage+1,FALSE),"")</f>
        <v/>
      </c>
    </row>
    <row r="592" spans="1:3" x14ac:dyDescent="0.25">
      <c r="A592" s="4" t="str">
        <f>IFERROR(parent_children_2[[#This Row],[parent_children_id]],"")</f>
        <v/>
      </c>
      <c r="B592" s="4" t="str">
        <f>IFERROR(VLOOKUP(parent_children_2[[#This Row],[parent_id]],abbreviation[],3,FALSE),"")</f>
        <v/>
      </c>
      <c r="C592" s="4" t="str">
        <f>IFERROR(VLOOKUP(parent_children_2[[#This Row],[children_id]],abbreviation[],ColumnLanguage+1,FALSE),"")</f>
        <v/>
      </c>
    </row>
    <row r="593" spans="1:3" x14ac:dyDescent="0.25">
      <c r="A593" s="4" t="str">
        <f>IFERROR(parent_children_2[[#This Row],[parent_children_id]],"")</f>
        <v/>
      </c>
      <c r="B593" s="4" t="str">
        <f>IFERROR(VLOOKUP(parent_children_2[[#This Row],[parent_id]],abbreviation[],3,FALSE),"")</f>
        <v/>
      </c>
      <c r="C593" s="4" t="str">
        <f>IFERROR(VLOOKUP(parent_children_2[[#This Row],[children_id]],abbreviation[],ColumnLanguage+1,FALSE),"")</f>
        <v/>
      </c>
    </row>
    <row r="594" spans="1:3" x14ac:dyDescent="0.25">
      <c r="A594" s="4" t="str">
        <f>IFERROR(parent_children_2[[#This Row],[parent_children_id]],"")</f>
        <v/>
      </c>
      <c r="B594" s="4" t="str">
        <f>IFERROR(VLOOKUP(parent_children_2[[#This Row],[parent_id]],abbreviation[],3,FALSE),"")</f>
        <v/>
      </c>
      <c r="C594" s="4" t="str">
        <f>IFERROR(VLOOKUP(parent_children_2[[#This Row],[children_id]],abbreviation[],ColumnLanguage+1,FALSE),"")</f>
        <v/>
      </c>
    </row>
    <row r="595" spans="1:3" x14ac:dyDescent="0.25">
      <c r="A595" s="4" t="str">
        <f>IFERROR(parent_children_2[[#This Row],[parent_children_id]],"")</f>
        <v/>
      </c>
      <c r="B595" s="4" t="str">
        <f>IFERROR(VLOOKUP(parent_children_2[[#This Row],[parent_id]],abbreviation[],3,FALSE),"")</f>
        <v/>
      </c>
      <c r="C595" s="4" t="str">
        <f>IFERROR(VLOOKUP(parent_children_2[[#This Row],[children_id]],abbreviation[],ColumnLanguage+1,FALSE),"")</f>
        <v/>
      </c>
    </row>
    <row r="596" spans="1:3" x14ac:dyDescent="0.25">
      <c r="A596" s="4" t="str">
        <f>IFERROR(parent_children_2[[#This Row],[parent_children_id]],"")</f>
        <v/>
      </c>
      <c r="B596" s="4" t="str">
        <f>IFERROR(VLOOKUP(parent_children_2[[#This Row],[parent_id]],abbreviation[],3,FALSE),"")</f>
        <v/>
      </c>
      <c r="C596" s="4" t="str">
        <f>IFERROR(VLOOKUP(parent_children_2[[#This Row],[children_id]],abbreviation[],ColumnLanguage+1,FALSE),"")</f>
        <v/>
      </c>
    </row>
    <row r="597" spans="1:3" x14ac:dyDescent="0.25">
      <c r="A597" s="4" t="str">
        <f>IFERROR(parent_children_2[[#This Row],[parent_children_id]],"")</f>
        <v/>
      </c>
      <c r="B597" s="4" t="str">
        <f>IFERROR(VLOOKUP(parent_children_2[[#This Row],[parent_id]],abbreviation[],3,FALSE),"")</f>
        <v/>
      </c>
      <c r="C597" s="4" t="str">
        <f>IFERROR(VLOOKUP(parent_children_2[[#This Row],[children_id]],abbreviation[],ColumnLanguage+1,FALSE),"")</f>
        <v/>
      </c>
    </row>
    <row r="598" spans="1:3" x14ac:dyDescent="0.25">
      <c r="A598" s="4" t="str">
        <f>IFERROR(parent_children_2[[#This Row],[parent_children_id]],"")</f>
        <v/>
      </c>
      <c r="B598" s="4" t="str">
        <f>IFERROR(VLOOKUP(parent_children_2[[#This Row],[parent_id]],abbreviation[],3,FALSE),"")</f>
        <v/>
      </c>
      <c r="C598" s="4" t="str">
        <f>IFERROR(VLOOKUP(parent_children_2[[#This Row],[children_id]],abbreviation[],ColumnLanguage+1,FALSE),"")</f>
        <v/>
      </c>
    </row>
    <row r="599" spans="1:3" x14ac:dyDescent="0.25">
      <c r="A599" s="4" t="str">
        <f>IFERROR(parent_children_2[[#This Row],[parent_children_id]],"")</f>
        <v/>
      </c>
      <c r="B599" s="4" t="str">
        <f>IFERROR(VLOOKUP(parent_children_2[[#This Row],[parent_id]],abbreviation[],3,FALSE),"")</f>
        <v/>
      </c>
      <c r="C599" s="4" t="str">
        <f>IFERROR(VLOOKUP(parent_children_2[[#This Row],[children_id]],abbreviation[],ColumnLanguage+1,FALSE),"")</f>
        <v/>
      </c>
    </row>
    <row r="600" spans="1:3" x14ac:dyDescent="0.25">
      <c r="A600" s="4" t="str">
        <f>IFERROR(parent_children_2[[#This Row],[parent_children_id]],"")</f>
        <v/>
      </c>
      <c r="B600" s="4" t="str">
        <f>IFERROR(VLOOKUP(parent_children_2[[#This Row],[parent_id]],abbreviation[],3,FALSE),"")</f>
        <v/>
      </c>
      <c r="C600" s="4" t="str">
        <f>IFERROR(VLOOKUP(parent_children_2[[#This Row],[children_id]],abbreviation[],ColumnLanguage+1,FALSE),"")</f>
        <v/>
      </c>
    </row>
    <row r="601" spans="1:3" x14ac:dyDescent="0.25">
      <c r="A601" s="4" t="str">
        <f>IFERROR(parent_children_2[[#This Row],[parent_children_id]],"")</f>
        <v/>
      </c>
      <c r="B601" s="4" t="str">
        <f>IFERROR(VLOOKUP(parent_children_2[[#This Row],[parent_id]],abbreviation[],3,FALSE),"")</f>
        <v/>
      </c>
      <c r="C601" s="4" t="str">
        <f>IFERROR(VLOOKUP(parent_children_2[[#This Row],[children_id]],abbreviation[],ColumnLanguage+1,FALSE),"")</f>
        <v/>
      </c>
    </row>
    <row r="602" spans="1:3" x14ac:dyDescent="0.25">
      <c r="A602" s="4" t="str">
        <f>IFERROR(parent_children_2[[#This Row],[parent_children_id]],"")</f>
        <v/>
      </c>
      <c r="B602" s="4" t="str">
        <f>IFERROR(VLOOKUP(parent_children_2[[#This Row],[parent_id]],abbreviation[],3,FALSE),"")</f>
        <v/>
      </c>
      <c r="C602" s="4" t="str">
        <f>IFERROR(VLOOKUP(parent_children_2[[#This Row],[children_id]],abbreviation[],ColumnLanguage+1,FALSE),"")</f>
        <v/>
      </c>
    </row>
    <row r="603" spans="1:3" x14ac:dyDescent="0.25">
      <c r="A603" s="4" t="str">
        <f>IFERROR(parent_children_2[[#This Row],[parent_children_id]],"")</f>
        <v/>
      </c>
      <c r="B603" s="4" t="str">
        <f>IFERROR(VLOOKUP(parent_children_2[[#This Row],[parent_id]],abbreviation[],3,FALSE),"")</f>
        <v/>
      </c>
      <c r="C603" s="4" t="str">
        <f>IFERROR(VLOOKUP(parent_children_2[[#This Row],[children_id]],abbreviation[],ColumnLanguage+1,FALSE),"")</f>
        <v/>
      </c>
    </row>
    <row r="604" spans="1:3" x14ac:dyDescent="0.25">
      <c r="A604" s="4" t="str">
        <f>IFERROR(parent_children_2[[#This Row],[parent_children_id]],"")</f>
        <v/>
      </c>
      <c r="B604" s="4" t="str">
        <f>IFERROR(VLOOKUP(parent_children_2[[#This Row],[parent_id]],abbreviation[],3,FALSE),"")</f>
        <v/>
      </c>
      <c r="C604" s="4" t="str">
        <f>IFERROR(VLOOKUP(parent_children_2[[#This Row],[children_id]],abbreviation[],ColumnLanguage+1,FALSE),"")</f>
        <v/>
      </c>
    </row>
    <row r="605" spans="1:3" x14ac:dyDescent="0.25">
      <c r="A605" s="4" t="str">
        <f>IFERROR(parent_children_2[[#This Row],[parent_children_id]],"")</f>
        <v/>
      </c>
      <c r="B605" s="4" t="str">
        <f>IFERROR(VLOOKUP(parent_children_2[[#This Row],[parent_id]],abbreviation[],3,FALSE),"")</f>
        <v/>
      </c>
      <c r="C605" s="4" t="str">
        <f>IFERROR(VLOOKUP(parent_children_2[[#This Row],[children_id]],abbreviation[],ColumnLanguage+1,FALSE),"")</f>
        <v/>
      </c>
    </row>
    <row r="606" spans="1:3" x14ac:dyDescent="0.25">
      <c r="A606" s="4" t="str">
        <f>IFERROR(parent_children_2[[#This Row],[parent_children_id]],"")</f>
        <v/>
      </c>
      <c r="B606" s="4" t="str">
        <f>IFERROR(VLOOKUP(parent_children_2[[#This Row],[parent_id]],abbreviation[],3,FALSE),"")</f>
        <v/>
      </c>
      <c r="C606" s="4" t="str">
        <f>IFERROR(VLOOKUP(parent_children_2[[#This Row],[children_id]],abbreviation[],ColumnLanguage+1,FALSE),"")</f>
        <v/>
      </c>
    </row>
    <row r="607" spans="1:3" x14ac:dyDescent="0.25">
      <c r="A607" s="4" t="str">
        <f>IFERROR(parent_children_2[[#This Row],[parent_children_id]],"")</f>
        <v/>
      </c>
      <c r="B607" s="4" t="str">
        <f>IFERROR(VLOOKUP(parent_children_2[[#This Row],[parent_id]],abbreviation[],3,FALSE),"")</f>
        <v/>
      </c>
      <c r="C607" s="4" t="str">
        <f>IFERROR(VLOOKUP(parent_children_2[[#This Row],[children_id]],abbreviation[],ColumnLanguage+1,FALSE),"")</f>
        <v/>
      </c>
    </row>
    <row r="608" spans="1:3" x14ac:dyDescent="0.25">
      <c r="A608" s="4" t="str">
        <f>IFERROR(parent_children_2[[#This Row],[parent_children_id]],"")</f>
        <v/>
      </c>
      <c r="B608" s="4" t="str">
        <f>IFERROR(VLOOKUP(parent_children_2[[#This Row],[parent_id]],abbreviation[],3,FALSE),"")</f>
        <v/>
      </c>
      <c r="C608" s="4" t="str">
        <f>IFERROR(VLOOKUP(parent_children_2[[#This Row],[children_id]],abbreviation[],ColumnLanguage+1,FALSE),"")</f>
        <v/>
      </c>
    </row>
    <row r="609" spans="1:3" x14ac:dyDescent="0.25">
      <c r="A609" s="4" t="str">
        <f>IFERROR(parent_children_2[[#This Row],[parent_children_id]],"")</f>
        <v/>
      </c>
      <c r="B609" s="4" t="str">
        <f>IFERROR(VLOOKUP(parent_children_2[[#This Row],[parent_id]],abbreviation[],3,FALSE),"")</f>
        <v/>
      </c>
      <c r="C609" s="4" t="str">
        <f>IFERROR(VLOOKUP(parent_children_2[[#This Row],[children_id]],abbreviation[],ColumnLanguage+1,FALSE),"")</f>
        <v/>
      </c>
    </row>
    <row r="610" spans="1:3" x14ac:dyDescent="0.25">
      <c r="A610" s="4" t="str">
        <f>IFERROR(parent_children_2[[#This Row],[parent_children_id]],"")</f>
        <v/>
      </c>
      <c r="B610" s="4" t="str">
        <f>IFERROR(VLOOKUP(parent_children_2[[#This Row],[parent_id]],abbreviation[],3,FALSE),"")</f>
        <v/>
      </c>
      <c r="C610" s="4" t="str">
        <f>IFERROR(VLOOKUP(parent_children_2[[#This Row],[children_id]],abbreviation[],ColumnLanguage+1,FALSE),"")</f>
        <v/>
      </c>
    </row>
    <row r="611" spans="1:3" x14ac:dyDescent="0.25">
      <c r="A611" s="4" t="str">
        <f>IFERROR(parent_children_2[[#This Row],[parent_children_id]],"")</f>
        <v/>
      </c>
      <c r="B611" s="4" t="str">
        <f>IFERROR(VLOOKUP(parent_children_2[[#This Row],[parent_id]],abbreviation[],3,FALSE),"")</f>
        <v/>
      </c>
      <c r="C611" s="4" t="str">
        <f>IFERROR(VLOOKUP(parent_children_2[[#This Row],[children_id]],abbreviation[],ColumnLanguage+1,FALSE),"")</f>
        <v/>
      </c>
    </row>
    <row r="612" spans="1:3" x14ac:dyDescent="0.25">
      <c r="A612" s="4" t="str">
        <f>IFERROR(parent_children_2[[#This Row],[parent_children_id]],"")</f>
        <v/>
      </c>
      <c r="B612" s="4" t="str">
        <f>IFERROR(VLOOKUP(parent_children_2[[#This Row],[parent_id]],abbreviation[],3,FALSE),"")</f>
        <v/>
      </c>
      <c r="C612" s="4" t="str">
        <f>IFERROR(VLOOKUP(parent_children_2[[#This Row],[children_id]],abbreviation[],ColumnLanguage+1,FALSE),"")</f>
        <v/>
      </c>
    </row>
    <row r="613" spans="1:3" x14ac:dyDescent="0.25">
      <c r="A613" s="4" t="str">
        <f>IFERROR(parent_children_2[[#This Row],[parent_children_id]],"")</f>
        <v/>
      </c>
      <c r="B613" s="4" t="str">
        <f>IFERROR(VLOOKUP(parent_children_2[[#This Row],[parent_id]],abbreviation[],3,FALSE),"")</f>
        <v/>
      </c>
      <c r="C613" s="4" t="str">
        <f>IFERROR(VLOOKUP(parent_children_2[[#This Row],[children_id]],abbreviation[],ColumnLanguage+1,FALSE),"")</f>
        <v/>
      </c>
    </row>
    <row r="614" spans="1:3" x14ac:dyDescent="0.25">
      <c r="A614" s="4" t="str">
        <f>IFERROR(parent_children_2[[#This Row],[parent_children_id]],"")</f>
        <v/>
      </c>
      <c r="B614" s="4" t="str">
        <f>IFERROR(VLOOKUP(parent_children_2[[#This Row],[parent_id]],abbreviation[],3,FALSE),"")</f>
        <v/>
      </c>
      <c r="C614" s="4" t="str">
        <f>IFERROR(VLOOKUP(parent_children_2[[#This Row],[children_id]],abbreviation[],ColumnLanguage+1,FALSE),"")</f>
        <v/>
      </c>
    </row>
    <row r="615" spans="1:3" x14ac:dyDescent="0.25">
      <c r="A615" s="4" t="str">
        <f>IFERROR(parent_children_2[[#This Row],[parent_children_id]],"")</f>
        <v/>
      </c>
      <c r="B615" s="4" t="str">
        <f>IFERROR(VLOOKUP(parent_children_2[[#This Row],[parent_id]],abbreviation[],3,FALSE),"")</f>
        <v/>
      </c>
      <c r="C615" s="4" t="str">
        <f>IFERROR(VLOOKUP(parent_children_2[[#This Row],[children_id]],abbreviation[],ColumnLanguage+1,FALSE),"")</f>
        <v/>
      </c>
    </row>
    <row r="616" spans="1:3" x14ac:dyDescent="0.25">
      <c r="A616" s="4" t="str">
        <f>IFERROR(parent_children_2[[#This Row],[parent_children_id]],"")</f>
        <v/>
      </c>
      <c r="B616" s="4" t="str">
        <f>IFERROR(VLOOKUP(parent_children_2[[#This Row],[parent_id]],abbreviation[],3,FALSE),"")</f>
        <v/>
      </c>
      <c r="C616" s="4" t="str">
        <f>IFERROR(VLOOKUP(parent_children_2[[#This Row],[children_id]],abbreviation[],ColumnLanguage+1,FALSE),"")</f>
        <v/>
      </c>
    </row>
    <row r="617" spans="1:3" x14ac:dyDescent="0.25">
      <c r="A617" s="4" t="str">
        <f>IFERROR(parent_children_2[[#This Row],[parent_children_id]],"")</f>
        <v/>
      </c>
      <c r="B617" s="4" t="str">
        <f>IFERROR(VLOOKUP(parent_children_2[[#This Row],[parent_id]],abbreviation[],3,FALSE),"")</f>
        <v/>
      </c>
      <c r="C617" s="4" t="str">
        <f>IFERROR(VLOOKUP(parent_children_2[[#This Row],[children_id]],abbreviation[],ColumnLanguage+1,FALSE),"")</f>
        <v/>
      </c>
    </row>
    <row r="618" spans="1:3" x14ac:dyDescent="0.25">
      <c r="A618" s="4" t="str">
        <f>IFERROR(parent_children_2[[#This Row],[parent_children_id]],"")</f>
        <v/>
      </c>
      <c r="B618" s="4" t="str">
        <f>IFERROR(VLOOKUP(parent_children_2[[#This Row],[parent_id]],abbreviation[],3,FALSE),"")</f>
        <v/>
      </c>
      <c r="C618" s="4" t="str">
        <f>IFERROR(VLOOKUP(parent_children_2[[#This Row],[children_id]],abbreviation[],ColumnLanguage+1,FALSE),"")</f>
        <v/>
      </c>
    </row>
    <row r="619" spans="1:3" x14ac:dyDescent="0.25">
      <c r="A619" s="4" t="str">
        <f>IFERROR(parent_children_2[[#This Row],[parent_children_id]],"")</f>
        <v/>
      </c>
      <c r="B619" s="4" t="str">
        <f>IFERROR(VLOOKUP(parent_children_2[[#This Row],[parent_id]],abbreviation[],3,FALSE),"")</f>
        <v/>
      </c>
      <c r="C619" s="4" t="str">
        <f>IFERROR(VLOOKUP(parent_children_2[[#This Row],[children_id]],abbreviation[],ColumnLanguage+1,FALSE),"")</f>
        <v/>
      </c>
    </row>
    <row r="620" spans="1:3" x14ac:dyDescent="0.25">
      <c r="A620" s="4" t="str">
        <f>IFERROR(parent_children_2[[#This Row],[parent_children_id]],"")</f>
        <v/>
      </c>
      <c r="B620" s="4" t="str">
        <f>IFERROR(VLOOKUP(parent_children_2[[#This Row],[parent_id]],abbreviation[],3,FALSE),"")</f>
        <v/>
      </c>
      <c r="C620" s="4" t="str">
        <f>IFERROR(VLOOKUP(parent_children_2[[#This Row],[children_id]],abbreviation[],ColumnLanguage+1,FALSE),"")</f>
        <v/>
      </c>
    </row>
    <row r="621" spans="1:3" x14ac:dyDescent="0.25">
      <c r="A621" s="4" t="str">
        <f>IFERROR(parent_children_2[[#This Row],[parent_children_id]],"")</f>
        <v/>
      </c>
      <c r="B621" s="4" t="str">
        <f>IFERROR(VLOOKUP(parent_children_2[[#This Row],[parent_id]],abbreviation[],3,FALSE),"")</f>
        <v/>
      </c>
      <c r="C621" s="4" t="str">
        <f>IFERROR(VLOOKUP(parent_children_2[[#This Row],[children_id]],abbreviation[],ColumnLanguage+1,FALSE),"")</f>
        <v/>
      </c>
    </row>
    <row r="622" spans="1:3" x14ac:dyDescent="0.25">
      <c r="A622" s="4" t="str">
        <f>IFERROR(parent_children_2[[#This Row],[parent_children_id]],"")</f>
        <v/>
      </c>
      <c r="B622" s="4" t="str">
        <f>IFERROR(VLOOKUP(parent_children_2[[#This Row],[parent_id]],abbreviation[],3,FALSE),"")</f>
        <v/>
      </c>
      <c r="C622" s="4" t="str">
        <f>IFERROR(VLOOKUP(parent_children_2[[#This Row],[children_id]],abbreviation[],ColumnLanguage+1,FALSE),"")</f>
        <v/>
      </c>
    </row>
    <row r="623" spans="1:3" x14ac:dyDescent="0.25">
      <c r="A623" s="4" t="str">
        <f>IFERROR(parent_children_2[[#This Row],[parent_children_id]],"")</f>
        <v/>
      </c>
      <c r="B623" s="4" t="str">
        <f>IFERROR(VLOOKUP(parent_children_2[[#This Row],[parent_id]],abbreviation[],3,FALSE),"")</f>
        <v/>
      </c>
      <c r="C623" s="4" t="str">
        <f>IFERROR(VLOOKUP(parent_children_2[[#This Row],[children_id]],abbreviation[],ColumnLanguage+1,FALSE),"")</f>
        <v/>
      </c>
    </row>
    <row r="624" spans="1:3" x14ac:dyDescent="0.25">
      <c r="A624" s="4" t="str">
        <f>IFERROR(parent_children_2[[#This Row],[parent_children_id]],"")</f>
        <v/>
      </c>
      <c r="B624" s="4" t="str">
        <f>IFERROR(VLOOKUP(parent_children_2[[#This Row],[parent_id]],abbreviation[],3,FALSE),"")</f>
        <v/>
      </c>
      <c r="C624" s="4" t="str">
        <f>IFERROR(VLOOKUP(parent_children_2[[#This Row],[children_id]],abbreviation[],ColumnLanguage+1,FALSE),"")</f>
        <v/>
      </c>
    </row>
    <row r="625" spans="1:3" x14ac:dyDescent="0.25">
      <c r="A625" s="4" t="str">
        <f>IFERROR(parent_children_2[[#This Row],[parent_children_id]],"")</f>
        <v/>
      </c>
      <c r="B625" s="4" t="str">
        <f>IFERROR(VLOOKUP(parent_children_2[[#This Row],[parent_id]],abbreviation[],3,FALSE),"")</f>
        <v/>
      </c>
      <c r="C625" s="4" t="str">
        <f>IFERROR(VLOOKUP(parent_children_2[[#This Row],[children_id]],abbreviation[],ColumnLanguage+1,FALSE),"")</f>
        <v/>
      </c>
    </row>
    <row r="626" spans="1:3" x14ac:dyDescent="0.25">
      <c r="A626" s="4" t="str">
        <f>IFERROR(parent_children_2[[#This Row],[parent_children_id]],"")</f>
        <v/>
      </c>
      <c r="B626" s="4" t="str">
        <f>IFERROR(VLOOKUP(parent_children_2[[#This Row],[parent_id]],abbreviation[],3,FALSE),"")</f>
        <v/>
      </c>
      <c r="C626" s="4" t="str">
        <f>IFERROR(VLOOKUP(parent_children_2[[#This Row],[children_id]],abbreviation[],ColumnLanguage+1,FALSE),"")</f>
        <v/>
      </c>
    </row>
    <row r="627" spans="1:3" x14ac:dyDescent="0.25">
      <c r="A627" s="4" t="str">
        <f>IFERROR(parent_children_2[[#This Row],[parent_children_id]],"")</f>
        <v/>
      </c>
      <c r="B627" s="4" t="str">
        <f>IFERROR(VLOOKUP(parent_children_2[[#This Row],[parent_id]],abbreviation[],3,FALSE),"")</f>
        <v/>
      </c>
      <c r="C627" s="4" t="str">
        <f>IFERROR(VLOOKUP(parent_children_2[[#This Row],[children_id]],abbreviation[],ColumnLanguage+1,FALSE),"")</f>
        <v/>
      </c>
    </row>
    <row r="628" spans="1:3" x14ac:dyDescent="0.25">
      <c r="A628" s="4" t="str">
        <f>IFERROR(parent_children_2[[#This Row],[parent_children_id]],"")</f>
        <v/>
      </c>
      <c r="B628" s="4" t="str">
        <f>IFERROR(VLOOKUP(parent_children_2[[#This Row],[parent_id]],abbreviation[],3,FALSE),"")</f>
        <v/>
      </c>
      <c r="C628" s="4" t="str">
        <f>IFERROR(VLOOKUP(parent_children_2[[#This Row],[children_id]],abbreviation[],ColumnLanguage+1,FALSE),"")</f>
        <v/>
      </c>
    </row>
    <row r="629" spans="1:3" x14ac:dyDescent="0.25">
      <c r="A629" s="4" t="str">
        <f>IFERROR(parent_children_2[[#This Row],[parent_children_id]],"")</f>
        <v/>
      </c>
      <c r="B629" s="4" t="str">
        <f>IFERROR(VLOOKUP(parent_children_2[[#This Row],[parent_id]],abbreviation[],3,FALSE),"")</f>
        <v/>
      </c>
      <c r="C629" s="4" t="str">
        <f>IFERROR(VLOOKUP(parent_children_2[[#This Row],[children_id]],abbreviation[],ColumnLanguage+1,FALSE),"")</f>
        <v/>
      </c>
    </row>
    <row r="630" spans="1:3" x14ac:dyDescent="0.25">
      <c r="A630" s="4" t="str">
        <f>IFERROR(parent_children_2[[#This Row],[parent_children_id]],"")</f>
        <v/>
      </c>
      <c r="B630" s="4" t="str">
        <f>IFERROR(VLOOKUP(parent_children_2[[#This Row],[parent_id]],abbreviation[],3,FALSE),"")</f>
        <v/>
      </c>
      <c r="C630" s="4" t="str">
        <f>IFERROR(VLOOKUP(parent_children_2[[#This Row],[children_id]],abbreviation[],ColumnLanguage+1,FALSE),"")</f>
        <v/>
      </c>
    </row>
    <row r="631" spans="1:3" x14ac:dyDescent="0.25">
      <c r="A631" s="4" t="str">
        <f>IFERROR(parent_children_2[[#This Row],[parent_children_id]],"")</f>
        <v/>
      </c>
      <c r="B631" s="4" t="str">
        <f>IFERROR(VLOOKUP(parent_children_2[[#This Row],[parent_id]],abbreviation[],3,FALSE),"")</f>
        <v/>
      </c>
      <c r="C631" s="4" t="str">
        <f>IFERROR(VLOOKUP(parent_children_2[[#This Row],[children_id]],abbreviation[],ColumnLanguage+1,FALSE),"")</f>
        <v/>
      </c>
    </row>
    <row r="632" spans="1:3" x14ac:dyDescent="0.25">
      <c r="A632" s="4" t="str">
        <f>IFERROR(parent_children_2[[#This Row],[parent_children_id]],"")</f>
        <v/>
      </c>
      <c r="B632" s="4" t="str">
        <f>IFERROR(VLOOKUP(parent_children_2[[#This Row],[parent_id]],abbreviation[],3,FALSE),"")</f>
        <v/>
      </c>
      <c r="C632" s="4" t="str">
        <f>IFERROR(VLOOKUP(parent_children_2[[#This Row],[children_id]],abbreviation[],ColumnLanguage+1,FALSE),"")</f>
        <v/>
      </c>
    </row>
    <row r="633" spans="1:3" x14ac:dyDescent="0.25">
      <c r="A633" s="4" t="str">
        <f>IFERROR(parent_children_2[[#This Row],[parent_children_id]],"")</f>
        <v/>
      </c>
      <c r="B633" s="4" t="str">
        <f>IFERROR(VLOOKUP(parent_children_2[[#This Row],[parent_id]],abbreviation[],3,FALSE),"")</f>
        <v/>
      </c>
      <c r="C633" s="4" t="str">
        <f>IFERROR(VLOOKUP(parent_children_2[[#This Row],[children_id]],abbreviation[],ColumnLanguage+1,FALSE),"")</f>
        <v/>
      </c>
    </row>
    <row r="634" spans="1:3" x14ac:dyDescent="0.25">
      <c r="A634" s="4" t="str">
        <f>IFERROR(parent_children_2[[#This Row],[parent_children_id]],"")</f>
        <v/>
      </c>
      <c r="B634" s="4" t="str">
        <f>IFERROR(VLOOKUP(parent_children_2[[#This Row],[parent_id]],abbreviation[],3,FALSE),"")</f>
        <v/>
      </c>
      <c r="C634" s="4" t="str">
        <f>IFERROR(VLOOKUP(parent_children_2[[#This Row],[children_id]],abbreviation[],ColumnLanguage+1,FALSE),"")</f>
        <v/>
      </c>
    </row>
    <row r="635" spans="1:3" x14ac:dyDescent="0.25">
      <c r="A635" s="4" t="str">
        <f>IFERROR(parent_children_2[[#This Row],[parent_children_id]],"")</f>
        <v/>
      </c>
      <c r="B635" s="4" t="str">
        <f>IFERROR(VLOOKUP(parent_children_2[[#This Row],[parent_id]],abbreviation[],3,FALSE),"")</f>
        <v/>
      </c>
      <c r="C635" s="4" t="str">
        <f>IFERROR(VLOOKUP(parent_children_2[[#This Row],[children_id]],abbreviation[],ColumnLanguage+1,FALSE),"")</f>
        <v/>
      </c>
    </row>
    <row r="636" spans="1:3" x14ac:dyDescent="0.25">
      <c r="A636" s="4" t="str">
        <f>IFERROR(parent_children_2[[#This Row],[parent_children_id]],"")</f>
        <v/>
      </c>
      <c r="B636" s="4" t="str">
        <f>IFERROR(VLOOKUP(parent_children_2[[#This Row],[parent_id]],abbreviation[],3,FALSE),"")</f>
        <v/>
      </c>
      <c r="C636" s="4" t="str">
        <f>IFERROR(VLOOKUP(parent_children_2[[#This Row],[children_id]],abbreviation[],ColumnLanguage+1,FALSE),"")</f>
        <v/>
      </c>
    </row>
    <row r="637" spans="1:3" x14ac:dyDescent="0.25">
      <c r="A637" s="4" t="str">
        <f>IFERROR(parent_children_2[[#This Row],[parent_children_id]],"")</f>
        <v/>
      </c>
      <c r="B637" s="4" t="str">
        <f>IFERROR(VLOOKUP(parent_children_2[[#This Row],[parent_id]],abbreviation[],3,FALSE),"")</f>
        <v/>
      </c>
      <c r="C637" s="4" t="str">
        <f>IFERROR(VLOOKUP(parent_children_2[[#This Row],[children_id]],abbreviation[],ColumnLanguage+1,FALSE),"")</f>
        <v/>
      </c>
    </row>
    <row r="638" spans="1:3" x14ac:dyDescent="0.25">
      <c r="A638" s="4" t="str">
        <f>IFERROR(parent_children_2[[#This Row],[parent_children_id]],"")</f>
        <v/>
      </c>
      <c r="B638" s="4" t="str">
        <f>IFERROR(VLOOKUP(parent_children_2[[#This Row],[parent_id]],abbreviation[],3,FALSE),"")</f>
        <v/>
      </c>
      <c r="C638" s="4" t="str">
        <f>IFERROR(VLOOKUP(parent_children_2[[#This Row],[children_id]],abbreviation[],ColumnLanguage+1,FALSE),"")</f>
        <v/>
      </c>
    </row>
    <row r="639" spans="1:3" x14ac:dyDescent="0.25">
      <c r="A639" s="4" t="str">
        <f>IFERROR(parent_children_2[[#This Row],[parent_children_id]],"")</f>
        <v/>
      </c>
      <c r="B639" s="4" t="str">
        <f>IFERROR(VLOOKUP(parent_children_2[[#This Row],[parent_id]],abbreviation[],3,FALSE),"")</f>
        <v/>
      </c>
      <c r="C639" s="4" t="str">
        <f>IFERROR(VLOOKUP(parent_children_2[[#This Row],[children_id]],abbreviation[],ColumnLanguage+1,FALSE),"")</f>
        <v/>
      </c>
    </row>
    <row r="640" spans="1:3" x14ac:dyDescent="0.25">
      <c r="A640" s="4" t="str">
        <f>IFERROR(parent_children_2[[#This Row],[parent_children_id]],"")</f>
        <v/>
      </c>
      <c r="B640" s="4" t="str">
        <f>IFERROR(VLOOKUP(parent_children_2[[#This Row],[parent_id]],abbreviation[],3,FALSE),"")</f>
        <v/>
      </c>
      <c r="C640" s="4" t="str">
        <f>IFERROR(VLOOKUP(parent_children_2[[#This Row],[children_id]],abbreviation[],ColumnLanguage+1,FALSE),"")</f>
        <v/>
      </c>
    </row>
    <row r="641" spans="1:3" x14ac:dyDescent="0.25">
      <c r="A641" s="4" t="str">
        <f>IFERROR(parent_children_2[[#This Row],[parent_children_id]],"")</f>
        <v/>
      </c>
      <c r="B641" s="4" t="str">
        <f>IFERROR(VLOOKUP(parent_children_2[[#This Row],[parent_id]],abbreviation[],3,FALSE),"")</f>
        <v/>
      </c>
      <c r="C641" s="4" t="str">
        <f>IFERROR(VLOOKUP(parent_children_2[[#This Row],[children_id]],abbreviation[],ColumnLanguage+1,FALSE),"")</f>
        <v/>
      </c>
    </row>
    <row r="642" spans="1:3" x14ac:dyDescent="0.25">
      <c r="A642" s="4" t="str">
        <f>IFERROR(parent_children_2[[#This Row],[parent_children_id]],"")</f>
        <v/>
      </c>
      <c r="B642" s="4" t="str">
        <f>IFERROR(VLOOKUP(parent_children_2[[#This Row],[parent_id]],abbreviation[],3,FALSE),"")</f>
        <v/>
      </c>
      <c r="C642" s="4" t="str">
        <f>IFERROR(VLOOKUP(parent_children_2[[#This Row],[children_id]],abbreviation[],ColumnLanguage+1,FALSE),"")</f>
        <v/>
      </c>
    </row>
    <row r="643" spans="1:3" x14ac:dyDescent="0.25">
      <c r="A643" s="4" t="str">
        <f>IFERROR(parent_children_2[[#This Row],[parent_children_id]],"")</f>
        <v/>
      </c>
      <c r="B643" s="4" t="str">
        <f>IFERROR(VLOOKUP(parent_children_2[[#This Row],[parent_id]],abbreviation[],3,FALSE),"")</f>
        <v/>
      </c>
      <c r="C643" s="4" t="str">
        <f>IFERROR(VLOOKUP(parent_children_2[[#This Row],[children_id]],abbreviation[],ColumnLanguage+1,FALSE),"")</f>
        <v/>
      </c>
    </row>
    <row r="644" spans="1:3" x14ac:dyDescent="0.25">
      <c r="A644" s="4" t="str">
        <f>IFERROR(parent_children_2[[#This Row],[parent_children_id]],"")</f>
        <v/>
      </c>
      <c r="B644" s="4" t="str">
        <f>IFERROR(VLOOKUP(parent_children_2[[#This Row],[parent_id]],abbreviation[],3,FALSE),"")</f>
        <v/>
      </c>
      <c r="C644" s="4" t="str">
        <f>IFERROR(VLOOKUP(parent_children_2[[#This Row],[children_id]],abbreviation[],ColumnLanguage+1,FALSE),"")</f>
        <v/>
      </c>
    </row>
    <row r="645" spans="1:3" x14ac:dyDescent="0.25">
      <c r="A645" s="4" t="str">
        <f>IFERROR(parent_children_2[[#This Row],[parent_children_id]],"")</f>
        <v/>
      </c>
      <c r="B645" s="4" t="str">
        <f>IFERROR(VLOOKUP(parent_children_2[[#This Row],[parent_id]],abbreviation[],3,FALSE),"")</f>
        <v/>
      </c>
      <c r="C645" s="4" t="str">
        <f>IFERROR(VLOOKUP(parent_children_2[[#This Row],[children_id]],abbreviation[],ColumnLanguage+1,FALSE),"")</f>
        <v/>
      </c>
    </row>
    <row r="646" spans="1:3" x14ac:dyDescent="0.25">
      <c r="A646" s="4" t="str">
        <f>IFERROR(parent_children_2[[#This Row],[parent_children_id]],"")</f>
        <v/>
      </c>
      <c r="B646" s="4" t="str">
        <f>IFERROR(VLOOKUP(parent_children_2[[#This Row],[parent_id]],abbreviation[],3,FALSE),"")</f>
        <v/>
      </c>
      <c r="C646" s="4" t="str">
        <f>IFERROR(VLOOKUP(parent_children_2[[#This Row],[children_id]],abbreviation[],ColumnLanguage+1,FALSE),"")</f>
        <v/>
      </c>
    </row>
    <row r="647" spans="1:3" x14ac:dyDescent="0.25">
      <c r="A647" s="4" t="str">
        <f>IFERROR(parent_children_2[[#This Row],[parent_children_id]],"")</f>
        <v/>
      </c>
      <c r="B647" s="4" t="str">
        <f>IFERROR(VLOOKUP(parent_children_2[[#This Row],[parent_id]],abbreviation[],3,FALSE),"")</f>
        <v/>
      </c>
      <c r="C647" s="4" t="str">
        <f>IFERROR(VLOOKUP(parent_children_2[[#This Row],[children_id]],abbreviation[],ColumnLanguage+1,FALSE),"")</f>
        <v/>
      </c>
    </row>
    <row r="648" spans="1:3" x14ac:dyDescent="0.25">
      <c r="A648" s="4" t="str">
        <f>IFERROR(parent_children_2[[#This Row],[parent_children_id]],"")</f>
        <v/>
      </c>
      <c r="B648" s="4" t="str">
        <f>IFERROR(VLOOKUP(parent_children_2[[#This Row],[parent_id]],abbreviation[],3,FALSE),"")</f>
        <v/>
      </c>
      <c r="C648" s="4" t="str">
        <f>IFERROR(VLOOKUP(parent_children_2[[#This Row],[children_id]],abbreviation[],ColumnLanguage+1,FALSE),"")</f>
        <v/>
      </c>
    </row>
    <row r="649" spans="1:3" x14ac:dyDescent="0.25">
      <c r="A649" s="4" t="str">
        <f>IFERROR(parent_children_2[[#This Row],[parent_children_id]],"")</f>
        <v/>
      </c>
      <c r="B649" s="4" t="str">
        <f>IFERROR(VLOOKUP(parent_children_2[[#This Row],[parent_id]],abbreviation[],3,FALSE),"")</f>
        <v/>
      </c>
      <c r="C649" s="4" t="str">
        <f>IFERROR(VLOOKUP(parent_children_2[[#This Row],[children_id]],abbreviation[],ColumnLanguage+1,FALSE),"")</f>
        <v/>
      </c>
    </row>
    <row r="650" spans="1:3" x14ac:dyDescent="0.25">
      <c r="A650" s="4" t="str">
        <f>IFERROR(parent_children_2[[#This Row],[parent_children_id]],"")</f>
        <v/>
      </c>
      <c r="B650" s="4" t="str">
        <f>IFERROR(VLOOKUP(parent_children_2[[#This Row],[parent_id]],abbreviation[],3,FALSE),"")</f>
        <v/>
      </c>
      <c r="C650" s="4" t="str">
        <f>IFERROR(VLOOKUP(parent_children_2[[#This Row],[children_id]],abbreviation[],ColumnLanguage+1,FALSE),"")</f>
        <v/>
      </c>
    </row>
    <row r="651" spans="1:3" x14ac:dyDescent="0.25">
      <c r="A651" s="4" t="str">
        <f>IFERROR(parent_children_2[[#This Row],[parent_children_id]],"")</f>
        <v/>
      </c>
      <c r="B651" s="4" t="str">
        <f>IFERROR(VLOOKUP(parent_children_2[[#This Row],[parent_id]],abbreviation[],3,FALSE),"")</f>
        <v/>
      </c>
      <c r="C651" s="4" t="str">
        <f>IFERROR(VLOOKUP(parent_children_2[[#This Row],[children_id]],abbreviation[],ColumnLanguage+1,FALSE),"")</f>
        <v/>
      </c>
    </row>
    <row r="652" spans="1:3" x14ac:dyDescent="0.25">
      <c r="A652" s="4" t="str">
        <f>IFERROR(parent_children_2[[#This Row],[parent_children_id]],"")</f>
        <v/>
      </c>
      <c r="B652" s="4" t="str">
        <f>IFERROR(VLOOKUP(parent_children_2[[#This Row],[parent_id]],abbreviation[],3,FALSE),"")</f>
        <v/>
      </c>
      <c r="C652" s="4" t="str">
        <f>IFERROR(VLOOKUP(parent_children_2[[#This Row],[children_id]],abbreviation[],ColumnLanguage+1,FALSE),"")</f>
        <v/>
      </c>
    </row>
    <row r="653" spans="1:3" x14ac:dyDescent="0.25">
      <c r="A653" s="4" t="str">
        <f>IFERROR(parent_children_2[[#This Row],[parent_children_id]],"")</f>
        <v/>
      </c>
      <c r="B653" s="4" t="str">
        <f>IFERROR(VLOOKUP(parent_children_2[[#This Row],[parent_id]],abbreviation[],3,FALSE),"")</f>
        <v/>
      </c>
      <c r="C653" s="4" t="str">
        <f>IFERROR(VLOOKUP(parent_children_2[[#This Row],[children_id]],abbreviation[],ColumnLanguage+1,FALSE),"")</f>
        <v/>
      </c>
    </row>
    <row r="654" spans="1:3" x14ac:dyDescent="0.25">
      <c r="A654" s="4" t="str">
        <f>IFERROR(parent_children_2[[#This Row],[parent_children_id]],"")</f>
        <v/>
      </c>
      <c r="B654" s="4" t="str">
        <f>IFERROR(VLOOKUP(parent_children_2[[#This Row],[parent_id]],abbreviation[],3,FALSE),"")</f>
        <v/>
      </c>
      <c r="C654" s="4" t="str">
        <f>IFERROR(VLOOKUP(parent_children_2[[#This Row],[children_id]],abbreviation[],ColumnLanguage+1,FALSE),"")</f>
        <v/>
      </c>
    </row>
    <row r="655" spans="1:3" x14ac:dyDescent="0.25">
      <c r="A655" s="4" t="str">
        <f>IFERROR(parent_children_2[[#This Row],[parent_children_id]],"")</f>
        <v/>
      </c>
      <c r="B655" s="4" t="str">
        <f>IFERROR(VLOOKUP(parent_children_2[[#This Row],[parent_id]],abbreviation[],3,FALSE),"")</f>
        <v/>
      </c>
      <c r="C655" s="4" t="str">
        <f>IFERROR(VLOOKUP(parent_children_2[[#This Row],[children_id]],abbreviation[],ColumnLanguage+1,FALSE),"")</f>
        <v/>
      </c>
    </row>
    <row r="656" spans="1:3" x14ac:dyDescent="0.25">
      <c r="A656" s="4" t="str">
        <f>IFERROR(parent_children_2[[#This Row],[parent_children_id]],"")</f>
        <v/>
      </c>
      <c r="B656" s="4" t="str">
        <f>IFERROR(VLOOKUP(parent_children_2[[#This Row],[parent_id]],abbreviation[],3,FALSE),"")</f>
        <v/>
      </c>
      <c r="C656" s="4" t="str">
        <f>IFERROR(VLOOKUP(parent_children_2[[#This Row],[children_id]],abbreviation[],ColumnLanguage+1,FALSE),"")</f>
        <v/>
      </c>
    </row>
    <row r="657" spans="1:3" x14ac:dyDescent="0.25">
      <c r="A657" s="4" t="str">
        <f>IFERROR(parent_children_2[[#This Row],[parent_children_id]],"")</f>
        <v/>
      </c>
      <c r="B657" s="4" t="str">
        <f>IFERROR(VLOOKUP(parent_children_2[[#This Row],[parent_id]],abbreviation[],3,FALSE),"")</f>
        <v/>
      </c>
      <c r="C657" s="4" t="str">
        <f>IFERROR(VLOOKUP(parent_children_2[[#This Row],[children_id]],abbreviation[],ColumnLanguage+1,FALSE),"")</f>
        <v/>
      </c>
    </row>
    <row r="658" spans="1:3" x14ac:dyDescent="0.25">
      <c r="A658" s="4" t="str">
        <f>IFERROR(parent_children_2[[#This Row],[parent_children_id]],"")</f>
        <v/>
      </c>
      <c r="B658" s="4" t="str">
        <f>IFERROR(VLOOKUP(parent_children_2[[#This Row],[parent_id]],abbreviation[],3,FALSE),"")</f>
        <v/>
      </c>
      <c r="C658" s="4" t="str">
        <f>IFERROR(VLOOKUP(parent_children_2[[#This Row],[children_id]],abbreviation[],ColumnLanguage+1,FALSE),"")</f>
        <v/>
      </c>
    </row>
    <row r="659" spans="1:3" x14ac:dyDescent="0.25">
      <c r="A659" s="4" t="str">
        <f>IFERROR(parent_children_2[[#This Row],[parent_children_id]],"")</f>
        <v/>
      </c>
      <c r="B659" s="4" t="str">
        <f>IFERROR(VLOOKUP(parent_children_2[[#This Row],[parent_id]],abbreviation[],3,FALSE),"")</f>
        <v/>
      </c>
      <c r="C659" s="4" t="str">
        <f>IFERROR(VLOOKUP(parent_children_2[[#This Row],[children_id]],abbreviation[],ColumnLanguage+1,FALSE),"")</f>
        <v/>
      </c>
    </row>
    <row r="660" spans="1:3" x14ac:dyDescent="0.25">
      <c r="A660" s="4" t="str">
        <f>IFERROR(parent_children_2[[#This Row],[parent_children_id]],"")</f>
        <v/>
      </c>
      <c r="B660" s="4" t="str">
        <f>IFERROR(VLOOKUP(parent_children_2[[#This Row],[parent_id]],abbreviation[],3,FALSE),"")</f>
        <v/>
      </c>
      <c r="C660" s="4" t="str">
        <f>IFERROR(VLOOKUP(parent_children_2[[#This Row],[children_id]],abbreviation[],ColumnLanguage+1,FALSE),"")</f>
        <v/>
      </c>
    </row>
    <row r="661" spans="1:3" x14ac:dyDescent="0.25">
      <c r="A661" s="4" t="str">
        <f>IFERROR(parent_children_2[[#This Row],[parent_children_id]],"")</f>
        <v/>
      </c>
      <c r="B661" s="4" t="str">
        <f>IFERROR(VLOOKUP(parent_children_2[[#This Row],[parent_id]],abbreviation[],3,FALSE),"")</f>
        <v/>
      </c>
      <c r="C661" s="4" t="str">
        <f>IFERROR(VLOOKUP(parent_children_2[[#This Row],[children_id]],abbreviation[],ColumnLanguage+1,FALSE),"")</f>
        <v/>
      </c>
    </row>
    <row r="662" spans="1:3" x14ac:dyDescent="0.25">
      <c r="A662" s="4" t="str">
        <f>IFERROR(parent_children_2[[#This Row],[parent_children_id]],"")</f>
        <v/>
      </c>
      <c r="B662" s="4" t="str">
        <f>IFERROR(VLOOKUP(parent_children_2[[#This Row],[parent_id]],abbreviation[],3,FALSE),"")</f>
        <v/>
      </c>
      <c r="C662" s="4" t="str">
        <f>IFERROR(VLOOKUP(parent_children_2[[#This Row],[children_id]],abbreviation[],ColumnLanguage+1,FALSE),"")</f>
        <v/>
      </c>
    </row>
    <row r="663" spans="1:3" x14ac:dyDescent="0.25">
      <c r="A663" s="4" t="str">
        <f>IFERROR(parent_children_2[[#This Row],[parent_children_id]],"")</f>
        <v/>
      </c>
      <c r="B663" s="4" t="str">
        <f>IFERROR(VLOOKUP(parent_children_2[[#This Row],[parent_id]],abbreviation[],3,FALSE),"")</f>
        <v/>
      </c>
      <c r="C663" s="4" t="str">
        <f>IFERROR(VLOOKUP(parent_children_2[[#This Row],[children_id]],abbreviation[],ColumnLanguage+1,FALSE),"")</f>
        <v/>
      </c>
    </row>
    <row r="664" spans="1:3" x14ac:dyDescent="0.25">
      <c r="A664" s="4" t="str">
        <f>IFERROR(parent_children_2[[#This Row],[parent_children_id]],"")</f>
        <v/>
      </c>
      <c r="B664" s="4" t="str">
        <f>IFERROR(VLOOKUP(parent_children_2[[#This Row],[parent_id]],abbreviation[],3,FALSE),"")</f>
        <v/>
      </c>
      <c r="C664" s="4" t="str">
        <f>IFERROR(VLOOKUP(parent_children_2[[#This Row],[children_id]],abbreviation[],ColumnLanguage+1,FALSE),"")</f>
        <v/>
      </c>
    </row>
    <row r="665" spans="1:3" x14ac:dyDescent="0.25">
      <c r="A665" s="4" t="str">
        <f>IFERROR(parent_children_2[[#This Row],[parent_children_id]],"")</f>
        <v/>
      </c>
      <c r="B665" s="4" t="str">
        <f>IFERROR(VLOOKUP(parent_children_2[[#This Row],[parent_id]],abbreviation[],3,FALSE),"")</f>
        <v/>
      </c>
      <c r="C665" s="4" t="str">
        <f>IFERROR(VLOOKUP(parent_children_2[[#This Row],[children_id]],abbreviation[],ColumnLanguage+1,FALSE),"")</f>
        <v/>
      </c>
    </row>
    <row r="666" spans="1:3" x14ac:dyDescent="0.25">
      <c r="A666" s="4" t="str">
        <f>IFERROR(parent_children_2[[#This Row],[parent_children_id]],"")</f>
        <v/>
      </c>
      <c r="B666" s="4" t="str">
        <f>IFERROR(VLOOKUP(parent_children_2[[#This Row],[parent_id]],abbreviation[],3,FALSE),"")</f>
        <v/>
      </c>
      <c r="C666" s="4" t="str">
        <f>IFERROR(VLOOKUP(parent_children_2[[#This Row],[children_id]],abbreviation[],ColumnLanguage+1,FALSE),"")</f>
        <v/>
      </c>
    </row>
    <row r="667" spans="1:3" x14ac:dyDescent="0.25">
      <c r="A667" s="4" t="str">
        <f>IFERROR(parent_children_2[[#This Row],[parent_children_id]],"")</f>
        <v/>
      </c>
      <c r="B667" s="4" t="str">
        <f>IFERROR(VLOOKUP(parent_children_2[[#This Row],[parent_id]],abbreviation[],3,FALSE),"")</f>
        <v/>
      </c>
      <c r="C667" s="4" t="str">
        <f>IFERROR(VLOOKUP(parent_children_2[[#This Row],[children_id]],abbreviation[],ColumnLanguage+1,FALSE),"")</f>
        <v/>
      </c>
    </row>
    <row r="668" spans="1:3" x14ac:dyDescent="0.25">
      <c r="A668" s="4" t="str">
        <f>IFERROR(parent_children_2[[#This Row],[parent_children_id]],"")</f>
        <v/>
      </c>
      <c r="B668" s="4" t="str">
        <f>IFERROR(VLOOKUP(parent_children_2[[#This Row],[parent_id]],abbreviation[],3,FALSE),"")</f>
        <v/>
      </c>
      <c r="C668" s="4" t="str">
        <f>IFERROR(VLOOKUP(parent_children_2[[#This Row],[children_id]],abbreviation[],ColumnLanguage+1,FALSE),"")</f>
        <v/>
      </c>
    </row>
    <row r="669" spans="1:3" x14ac:dyDescent="0.25">
      <c r="A669" s="4" t="str">
        <f>IFERROR(parent_children_2[[#This Row],[parent_children_id]],"")</f>
        <v/>
      </c>
      <c r="B669" s="4" t="str">
        <f>IFERROR(VLOOKUP(parent_children_2[[#This Row],[parent_id]],abbreviation[],3,FALSE),"")</f>
        <v/>
      </c>
      <c r="C669" s="4" t="str">
        <f>IFERROR(VLOOKUP(parent_children_2[[#This Row],[children_id]],abbreviation[],ColumnLanguage+1,FALSE),"")</f>
        <v/>
      </c>
    </row>
    <row r="670" spans="1:3" x14ac:dyDescent="0.25">
      <c r="A670" s="4" t="str">
        <f>IFERROR(parent_children_2[[#This Row],[parent_children_id]],"")</f>
        <v/>
      </c>
      <c r="B670" s="4" t="str">
        <f>IFERROR(VLOOKUP(parent_children_2[[#This Row],[parent_id]],abbreviation[],3,FALSE),"")</f>
        <v/>
      </c>
      <c r="C670" s="4" t="str">
        <f>IFERROR(VLOOKUP(parent_children_2[[#This Row],[children_id]],abbreviation[],ColumnLanguage+1,FALSE),"")</f>
        <v/>
      </c>
    </row>
    <row r="671" spans="1:3" x14ac:dyDescent="0.25">
      <c r="A671" s="4" t="str">
        <f>IFERROR(parent_children_2[[#This Row],[parent_children_id]],"")</f>
        <v/>
      </c>
      <c r="B671" s="4" t="str">
        <f>IFERROR(VLOOKUP(parent_children_2[[#This Row],[parent_id]],abbreviation[],3,FALSE),"")</f>
        <v/>
      </c>
      <c r="C671" s="4" t="str">
        <f>IFERROR(VLOOKUP(parent_children_2[[#This Row],[children_id]],abbreviation[],ColumnLanguage+1,FALSE),"")</f>
        <v/>
      </c>
    </row>
    <row r="672" spans="1:3" x14ac:dyDescent="0.25">
      <c r="A672" s="4" t="str">
        <f>IFERROR(parent_children_2[[#This Row],[parent_children_id]],"")</f>
        <v/>
      </c>
      <c r="B672" s="4" t="str">
        <f>IFERROR(VLOOKUP(parent_children_2[[#This Row],[parent_id]],abbreviation[],3,FALSE),"")</f>
        <v/>
      </c>
      <c r="C672" s="4" t="str">
        <f>IFERROR(VLOOKUP(parent_children_2[[#This Row],[children_id]],abbreviation[],ColumnLanguage+1,FALSE),"")</f>
        <v/>
      </c>
    </row>
    <row r="673" spans="1:3" x14ac:dyDescent="0.25">
      <c r="A673" s="4" t="str">
        <f>IFERROR(parent_children_2[[#This Row],[parent_children_id]],"")</f>
        <v/>
      </c>
      <c r="B673" s="4" t="str">
        <f>IFERROR(VLOOKUP(parent_children_2[[#This Row],[parent_id]],abbreviation[],3,FALSE),"")</f>
        <v/>
      </c>
      <c r="C673" s="4" t="str">
        <f>IFERROR(VLOOKUP(parent_children_2[[#This Row],[children_id]],abbreviation[],ColumnLanguage+1,FALSE),"")</f>
        <v/>
      </c>
    </row>
    <row r="674" spans="1:3" x14ac:dyDescent="0.25">
      <c r="A674" s="4" t="str">
        <f>IFERROR(parent_children_2[[#This Row],[parent_children_id]],"")</f>
        <v/>
      </c>
      <c r="B674" s="4" t="str">
        <f>IFERROR(VLOOKUP(parent_children_2[[#This Row],[parent_id]],abbreviation[],3,FALSE),"")</f>
        <v/>
      </c>
      <c r="C674" s="4" t="str">
        <f>IFERROR(VLOOKUP(parent_children_2[[#This Row],[children_id]],abbreviation[],ColumnLanguage+1,FALSE),"")</f>
        <v/>
      </c>
    </row>
    <row r="675" spans="1:3" x14ac:dyDescent="0.25">
      <c r="A675" s="4" t="str">
        <f>IFERROR(parent_children_2[[#This Row],[parent_children_id]],"")</f>
        <v/>
      </c>
      <c r="B675" s="4" t="str">
        <f>IFERROR(VLOOKUP(parent_children_2[[#This Row],[parent_id]],abbreviation[],3,FALSE),"")</f>
        <v/>
      </c>
      <c r="C675" s="4" t="str">
        <f>IFERROR(VLOOKUP(parent_children_2[[#This Row],[children_id]],abbreviation[],ColumnLanguage+1,FALSE),"")</f>
        <v/>
      </c>
    </row>
    <row r="676" spans="1:3" x14ac:dyDescent="0.25">
      <c r="A676" s="4" t="str">
        <f>IFERROR(parent_children_2[[#This Row],[parent_children_id]],"")</f>
        <v/>
      </c>
      <c r="B676" s="4" t="str">
        <f>IFERROR(VLOOKUP(parent_children_2[[#This Row],[parent_id]],abbreviation[],3,FALSE),"")</f>
        <v/>
      </c>
      <c r="C676" s="4" t="str">
        <f>IFERROR(VLOOKUP(parent_children_2[[#This Row],[children_id]],abbreviation[],ColumnLanguage+1,FALSE),"")</f>
        <v/>
      </c>
    </row>
    <row r="677" spans="1:3" x14ac:dyDescent="0.25">
      <c r="A677" s="4" t="str">
        <f>IFERROR(parent_children_2[[#This Row],[parent_children_id]],"")</f>
        <v/>
      </c>
      <c r="B677" s="4" t="str">
        <f>IFERROR(VLOOKUP(parent_children_2[[#This Row],[parent_id]],abbreviation[],3,FALSE),"")</f>
        <v/>
      </c>
      <c r="C677" s="4" t="str">
        <f>IFERROR(VLOOKUP(parent_children_2[[#This Row],[children_id]],abbreviation[],ColumnLanguage+1,FALSE),"")</f>
        <v/>
      </c>
    </row>
    <row r="678" spans="1:3" x14ac:dyDescent="0.25">
      <c r="A678" s="4" t="str">
        <f>IFERROR(parent_children_2[[#This Row],[parent_children_id]],"")</f>
        <v/>
      </c>
      <c r="B678" s="4" t="str">
        <f>IFERROR(VLOOKUP(parent_children_2[[#This Row],[parent_id]],abbreviation[],3,FALSE),"")</f>
        <v/>
      </c>
      <c r="C678" s="4" t="str">
        <f>IFERROR(VLOOKUP(parent_children_2[[#This Row],[children_id]],abbreviation[],ColumnLanguage+1,FALSE),"")</f>
        <v/>
      </c>
    </row>
    <row r="679" spans="1:3" x14ac:dyDescent="0.25">
      <c r="A679" s="4" t="str">
        <f>IFERROR(parent_children_2[[#This Row],[parent_children_id]],"")</f>
        <v/>
      </c>
      <c r="B679" s="4" t="str">
        <f>IFERROR(VLOOKUP(parent_children_2[[#This Row],[parent_id]],abbreviation[],3,FALSE),"")</f>
        <v/>
      </c>
      <c r="C679" s="4" t="str">
        <f>IFERROR(VLOOKUP(parent_children_2[[#This Row],[children_id]],abbreviation[],ColumnLanguage+1,FALSE),"")</f>
        <v/>
      </c>
    </row>
    <row r="680" spans="1:3" x14ac:dyDescent="0.25">
      <c r="A680" s="4" t="str">
        <f>IFERROR(parent_children_2[[#This Row],[parent_children_id]],"")</f>
        <v/>
      </c>
      <c r="B680" s="4" t="str">
        <f>IFERROR(VLOOKUP(parent_children_2[[#This Row],[parent_id]],abbreviation[],3,FALSE),"")</f>
        <v/>
      </c>
      <c r="C680" s="4" t="str">
        <f>IFERROR(VLOOKUP(parent_children_2[[#This Row],[children_id]],abbreviation[],ColumnLanguage+1,FALSE),"")</f>
        <v/>
      </c>
    </row>
    <row r="681" spans="1:3" x14ac:dyDescent="0.25">
      <c r="A681" s="4" t="str">
        <f>IFERROR(parent_children_2[[#This Row],[parent_children_id]],"")</f>
        <v/>
      </c>
      <c r="B681" s="4" t="str">
        <f>IFERROR(VLOOKUP(parent_children_2[[#This Row],[parent_id]],abbreviation[],3,FALSE),"")</f>
        <v/>
      </c>
      <c r="C681" s="4" t="str">
        <f>IFERROR(VLOOKUP(parent_children_2[[#This Row],[children_id]],abbreviation[],ColumnLanguage+1,FALSE),"")</f>
        <v/>
      </c>
    </row>
    <row r="682" spans="1:3" x14ac:dyDescent="0.25">
      <c r="A682" s="4" t="str">
        <f>IFERROR(parent_children_2[[#This Row],[parent_children_id]],"")</f>
        <v/>
      </c>
      <c r="B682" s="4" t="str">
        <f>IFERROR(VLOOKUP(parent_children_2[[#This Row],[parent_id]],abbreviation[],3,FALSE),"")</f>
        <v/>
      </c>
      <c r="C682" s="4" t="str">
        <f>IFERROR(VLOOKUP(parent_children_2[[#This Row],[children_id]],abbreviation[],ColumnLanguage+1,FALSE),"")</f>
        <v/>
      </c>
    </row>
    <row r="683" spans="1:3" x14ac:dyDescent="0.25">
      <c r="A683" s="4" t="str">
        <f>IFERROR(parent_children_2[[#This Row],[parent_children_id]],"")</f>
        <v/>
      </c>
      <c r="B683" s="4" t="str">
        <f>IFERROR(VLOOKUP(parent_children_2[[#This Row],[parent_id]],abbreviation[],3,FALSE),"")</f>
        <v/>
      </c>
      <c r="C683" s="4" t="str">
        <f>IFERROR(VLOOKUP(parent_children_2[[#This Row],[children_id]],abbreviation[],ColumnLanguage+1,FALSE),"")</f>
        <v/>
      </c>
    </row>
    <row r="684" spans="1:3" x14ac:dyDescent="0.25">
      <c r="A684" s="4" t="str">
        <f>IFERROR(parent_children_2[[#This Row],[parent_children_id]],"")</f>
        <v/>
      </c>
      <c r="B684" s="4" t="str">
        <f>IFERROR(VLOOKUP(parent_children_2[[#This Row],[parent_id]],abbreviation[],3,FALSE),"")</f>
        <v/>
      </c>
      <c r="C684" s="4" t="str">
        <f>IFERROR(VLOOKUP(parent_children_2[[#This Row],[children_id]],abbreviation[],ColumnLanguage+1,FALSE),"")</f>
        <v/>
      </c>
    </row>
    <row r="685" spans="1:3" x14ac:dyDescent="0.25">
      <c r="A685" s="4" t="str">
        <f>IFERROR(parent_children_2[[#This Row],[parent_children_id]],"")</f>
        <v/>
      </c>
      <c r="B685" s="4" t="str">
        <f>IFERROR(VLOOKUP(parent_children_2[[#This Row],[parent_id]],abbreviation[],3,FALSE),"")</f>
        <v/>
      </c>
      <c r="C685" s="4" t="str">
        <f>IFERROR(VLOOKUP(parent_children_2[[#This Row],[children_id]],abbreviation[],ColumnLanguage+1,FALSE),"")</f>
        <v/>
      </c>
    </row>
    <row r="686" spans="1:3" x14ac:dyDescent="0.25">
      <c r="A686" s="4" t="str">
        <f>IFERROR(parent_children_2[[#This Row],[parent_children_id]],"")</f>
        <v/>
      </c>
      <c r="B686" s="4" t="str">
        <f>IFERROR(VLOOKUP(parent_children_2[[#This Row],[parent_id]],abbreviation[],3,FALSE),"")</f>
        <v/>
      </c>
      <c r="C686" s="4" t="str">
        <f>IFERROR(VLOOKUP(parent_children_2[[#This Row],[children_id]],abbreviation[],ColumnLanguage+1,FALSE),"")</f>
        <v/>
      </c>
    </row>
    <row r="687" spans="1:3" x14ac:dyDescent="0.25">
      <c r="A687" s="4" t="str">
        <f>IFERROR(parent_children_2[[#This Row],[parent_children_id]],"")</f>
        <v/>
      </c>
      <c r="B687" s="4" t="str">
        <f>IFERROR(VLOOKUP(parent_children_2[[#This Row],[parent_id]],abbreviation[],3,FALSE),"")</f>
        <v/>
      </c>
      <c r="C687" s="4" t="str">
        <f>IFERROR(VLOOKUP(parent_children_2[[#This Row],[children_id]],abbreviation[],ColumnLanguage+1,FALSE),"")</f>
        <v/>
      </c>
    </row>
    <row r="688" spans="1:3" x14ac:dyDescent="0.25">
      <c r="A688" s="4" t="str">
        <f>IFERROR(parent_children_2[[#This Row],[parent_children_id]],"")</f>
        <v/>
      </c>
      <c r="B688" s="4" t="str">
        <f>IFERROR(VLOOKUP(parent_children_2[[#This Row],[parent_id]],abbreviation[],3,FALSE),"")</f>
        <v/>
      </c>
      <c r="C688" s="4" t="str">
        <f>IFERROR(VLOOKUP(parent_children_2[[#This Row],[children_id]],abbreviation[],ColumnLanguage+1,FALSE),"")</f>
        <v/>
      </c>
    </row>
    <row r="689" spans="1:3" x14ac:dyDescent="0.25">
      <c r="A689" s="4" t="str">
        <f>IFERROR(parent_children_2[[#This Row],[parent_children_id]],"")</f>
        <v/>
      </c>
      <c r="B689" s="4" t="str">
        <f>IFERROR(VLOOKUP(parent_children_2[[#This Row],[parent_id]],abbreviation[],3,FALSE),"")</f>
        <v/>
      </c>
      <c r="C689" s="4" t="str">
        <f>IFERROR(VLOOKUP(parent_children_2[[#This Row],[children_id]],abbreviation[],ColumnLanguage+1,FALSE),"")</f>
        <v/>
      </c>
    </row>
    <row r="690" spans="1:3" x14ac:dyDescent="0.25">
      <c r="A690" s="4" t="str">
        <f>IFERROR(parent_children_2[[#This Row],[parent_children_id]],"")</f>
        <v/>
      </c>
      <c r="B690" s="4" t="str">
        <f>IFERROR(VLOOKUP(parent_children_2[[#This Row],[parent_id]],abbreviation[],3,FALSE),"")</f>
        <v/>
      </c>
      <c r="C690" s="4" t="str">
        <f>IFERROR(VLOOKUP(parent_children_2[[#This Row],[children_id]],abbreviation[],ColumnLanguage+1,FALSE),"")</f>
        <v/>
      </c>
    </row>
    <row r="691" spans="1:3" x14ac:dyDescent="0.25">
      <c r="A691" s="4" t="str">
        <f>IFERROR(parent_children_2[[#This Row],[parent_children_id]],"")</f>
        <v/>
      </c>
      <c r="B691" s="4" t="str">
        <f>IFERROR(VLOOKUP(parent_children_2[[#This Row],[parent_id]],abbreviation[],3,FALSE),"")</f>
        <v/>
      </c>
      <c r="C691" s="4" t="str">
        <f>IFERROR(VLOOKUP(parent_children_2[[#This Row],[children_id]],abbreviation[],ColumnLanguage+1,FALSE),"")</f>
        <v/>
      </c>
    </row>
    <row r="692" spans="1:3" x14ac:dyDescent="0.25">
      <c r="A692" s="4" t="str">
        <f>IFERROR(parent_children_2[[#This Row],[parent_children_id]],"")</f>
        <v/>
      </c>
      <c r="B692" s="4" t="str">
        <f>IFERROR(VLOOKUP(parent_children_2[[#This Row],[parent_id]],abbreviation[],3,FALSE),"")</f>
        <v/>
      </c>
      <c r="C692" s="4" t="str">
        <f>IFERROR(VLOOKUP(parent_children_2[[#This Row],[children_id]],abbreviation[],ColumnLanguage+1,FALSE),"")</f>
        <v/>
      </c>
    </row>
    <row r="693" spans="1:3" x14ac:dyDescent="0.25">
      <c r="A693" s="4" t="str">
        <f>IFERROR(parent_children_2[[#This Row],[parent_children_id]],"")</f>
        <v/>
      </c>
      <c r="B693" s="4" t="str">
        <f>IFERROR(VLOOKUP(parent_children_2[[#This Row],[parent_id]],abbreviation[],3,FALSE),"")</f>
        <v/>
      </c>
      <c r="C693" s="4" t="str">
        <f>IFERROR(VLOOKUP(parent_children_2[[#This Row],[children_id]],abbreviation[],ColumnLanguage+1,FALSE),"")</f>
        <v/>
      </c>
    </row>
    <row r="694" spans="1:3" x14ac:dyDescent="0.25">
      <c r="A694" s="4" t="str">
        <f>IFERROR(parent_children_2[[#This Row],[parent_children_id]],"")</f>
        <v/>
      </c>
      <c r="B694" s="4" t="str">
        <f>IFERROR(VLOOKUP(parent_children_2[[#This Row],[parent_id]],abbreviation[],3,FALSE),"")</f>
        <v/>
      </c>
      <c r="C694" s="4" t="str">
        <f>IFERROR(VLOOKUP(parent_children_2[[#This Row],[children_id]],abbreviation[],ColumnLanguage+1,FALSE),"")</f>
        <v/>
      </c>
    </row>
    <row r="695" spans="1:3" x14ac:dyDescent="0.25">
      <c r="A695" s="4" t="str">
        <f>IFERROR(parent_children_2[[#This Row],[parent_children_id]],"")</f>
        <v/>
      </c>
      <c r="B695" s="4" t="str">
        <f>IFERROR(VLOOKUP(parent_children_2[[#This Row],[parent_id]],abbreviation[],3,FALSE),"")</f>
        <v/>
      </c>
      <c r="C695" s="4" t="str">
        <f>IFERROR(VLOOKUP(parent_children_2[[#This Row],[children_id]],abbreviation[],ColumnLanguage+1,FALSE),"")</f>
        <v/>
      </c>
    </row>
    <row r="696" spans="1:3" x14ac:dyDescent="0.25">
      <c r="A696" s="4" t="str">
        <f>IFERROR(parent_children_2[[#This Row],[parent_children_id]],"")</f>
        <v/>
      </c>
      <c r="B696" s="4" t="str">
        <f>IFERROR(VLOOKUP(parent_children_2[[#This Row],[parent_id]],abbreviation[],3,FALSE),"")</f>
        <v/>
      </c>
      <c r="C696" s="4" t="str">
        <f>IFERROR(VLOOKUP(parent_children_2[[#This Row],[children_id]],abbreviation[],ColumnLanguage+1,FALSE),"")</f>
        <v/>
      </c>
    </row>
    <row r="697" spans="1:3" x14ac:dyDescent="0.25">
      <c r="A697" s="4" t="str">
        <f>IFERROR(parent_children_2[[#This Row],[parent_children_id]],"")</f>
        <v/>
      </c>
      <c r="B697" s="4" t="str">
        <f>IFERROR(VLOOKUP(parent_children_2[[#This Row],[parent_id]],abbreviation[],3,FALSE),"")</f>
        <v/>
      </c>
      <c r="C697" s="4" t="str">
        <f>IFERROR(VLOOKUP(parent_children_2[[#This Row],[children_id]],abbreviation[],ColumnLanguage+1,FALSE),"")</f>
        <v/>
      </c>
    </row>
    <row r="698" spans="1:3" x14ac:dyDescent="0.25">
      <c r="A698" s="4" t="str">
        <f>IFERROR(parent_children_2[[#This Row],[parent_children_id]],"")</f>
        <v/>
      </c>
      <c r="B698" s="4" t="str">
        <f>IFERROR(VLOOKUP(parent_children_2[[#This Row],[parent_id]],abbreviation[],3,FALSE),"")</f>
        <v/>
      </c>
      <c r="C698" s="4" t="str">
        <f>IFERROR(VLOOKUP(parent_children_2[[#This Row],[children_id]],abbreviation[],ColumnLanguage+1,FALSE),"")</f>
        <v/>
      </c>
    </row>
    <row r="699" spans="1:3" x14ac:dyDescent="0.25">
      <c r="A699" s="4" t="str">
        <f>IFERROR(parent_children_2[[#This Row],[parent_children_id]],"")</f>
        <v/>
      </c>
      <c r="B699" s="4" t="str">
        <f>IFERROR(VLOOKUP(parent_children_2[[#This Row],[parent_id]],abbreviation[],3,FALSE),"")</f>
        <v/>
      </c>
      <c r="C699" s="4" t="str">
        <f>IFERROR(VLOOKUP(parent_children_2[[#This Row],[children_id]],abbreviation[],ColumnLanguage+1,FALSE),"")</f>
        <v/>
      </c>
    </row>
    <row r="700" spans="1:3" x14ac:dyDescent="0.25">
      <c r="A700" s="4" t="str">
        <f>IFERROR(parent_children_2[[#This Row],[parent_children_id]],"")</f>
        <v/>
      </c>
      <c r="B700" s="4" t="str">
        <f>IFERROR(VLOOKUP(parent_children_2[[#This Row],[parent_id]],abbreviation[],3,FALSE),"")</f>
        <v/>
      </c>
      <c r="C700" s="4" t="str">
        <f>IFERROR(VLOOKUP(parent_children_2[[#This Row],[children_id]],abbreviation[],ColumnLanguage+1,FALSE),"")</f>
        <v/>
      </c>
    </row>
    <row r="701" spans="1:3" x14ac:dyDescent="0.25">
      <c r="A701" s="4" t="str">
        <f>IFERROR(parent_children_2[[#This Row],[parent_children_id]],"")</f>
        <v/>
      </c>
      <c r="B701" s="4" t="str">
        <f>IFERROR(VLOOKUP(parent_children_2[[#This Row],[parent_id]],abbreviation[],3,FALSE),"")</f>
        <v/>
      </c>
      <c r="C701" s="4" t="str">
        <f>IFERROR(VLOOKUP(parent_children_2[[#This Row],[children_id]],abbreviation[],ColumnLanguage+1,FALSE),"")</f>
        <v/>
      </c>
    </row>
    <row r="702" spans="1:3" x14ac:dyDescent="0.25">
      <c r="A702" s="4" t="str">
        <f>IFERROR(parent_children_2[[#This Row],[parent_children_id]],"")</f>
        <v/>
      </c>
      <c r="B702" s="4" t="str">
        <f>IFERROR(VLOOKUP(parent_children_2[[#This Row],[parent_id]],abbreviation[],3,FALSE),"")</f>
        <v/>
      </c>
      <c r="C702" s="4" t="str">
        <f>IFERROR(VLOOKUP(parent_children_2[[#This Row],[children_id]],abbreviation[],ColumnLanguage+1,FALSE),"")</f>
        <v/>
      </c>
    </row>
    <row r="703" spans="1:3" x14ac:dyDescent="0.25">
      <c r="A703" s="4" t="str">
        <f>IFERROR(parent_children_2[[#This Row],[parent_children_id]],"")</f>
        <v/>
      </c>
      <c r="B703" s="4" t="str">
        <f>IFERROR(VLOOKUP(parent_children_2[[#This Row],[parent_id]],abbreviation[],3,FALSE),"")</f>
        <v/>
      </c>
      <c r="C703" s="4" t="str">
        <f>IFERROR(VLOOKUP(parent_children_2[[#This Row],[children_id]],abbreviation[],ColumnLanguage+1,FALSE),"")</f>
        <v/>
      </c>
    </row>
    <row r="704" spans="1:3" x14ac:dyDescent="0.25">
      <c r="A704" s="4" t="str">
        <f>IFERROR(parent_children_2[[#This Row],[parent_children_id]],"")</f>
        <v/>
      </c>
      <c r="B704" s="4" t="str">
        <f>IFERROR(VLOOKUP(parent_children_2[[#This Row],[parent_id]],abbreviation[],3,FALSE),"")</f>
        <v/>
      </c>
      <c r="C704" s="4" t="str">
        <f>IFERROR(VLOOKUP(parent_children_2[[#This Row],[children_id]],abbreviation[],ColumnLanguage+1,FALSE),"")</f>
        <v/>
      </c>
    </row>
    <row r="705" spans="1:3" x14ac:dyDescent="0.25">
      <c r="A705" s="4" t="str">
        <f>IFERROR(parent_children_2[[#This Row],[parent_children_id]],"")</f>
        <v/>
      </c>
      <c r="B705" s="4" t="str">
        <f>IFERROR(VLOOKUP(parent_children_2[[#This Row],[parent_id]],abbreviation[],3,FALSE),"")</f>
        <v/>
      </c>
      <c r="C705" s="4" t="str">
        <f>IFERROR(VLOOKUP(parent_children_2[[#This Row],[children_id]],abbreviation[],ColumnLanguage+1,FALSE),"")</f>
        <v/>
      </c>
    </row>
    <row r="706" spans="1:3" x14ac:dyDescent="0.25">
      <c r="A706" s="4" t="str">
        <f>IFERROR(parent_children_2[[#This Row],[parent_children_id]],"")</f>
        <v/>
      </c>
      <c r="B706" s="4" t="str">
        <f>IFERROR(VLOOKUP(parent_children_2[[#This Row],[parent_id]],abbreviation[],3,FALSE),"")</f>
        <v/>
      </c>
      <c r="C706" s="4" t="str">
        <f>IFERROR(VLOOKUP(parent_children_2[[#This Row],[children_id]],abbreviation[],ColumnLanguage+1,FALSE),"")</f>
        <v/>
      </c>
    </row>
    <row r="707" spans="1:3" x14ac:dyDescent="0.25">
      <c r="A707" s="4" t="str">
        <f>IFERROR(parent_children_2[[#This Row],[parent_children_id]],"")</f>
        <v/>
      </c>
      <c r="B707" s="4" t="str">
        <f>IFERROR(VLOOKUP(parent_children_2[[#This Row],[parent_id]],abbreviation[],3,FALSE),"")</f>
        <v/>
      </c>
      <c r="C707" s="4" t="str">
        <f>IFERROR(VLOOKUP(parent_children_2[[#This Row],[children_id]],abbreviation[],ColumnLanguage+1,FALSE),"")</f>
        <v/>
      </c>
    </row>
    <row r="708" spans="1:3" x14ac:dyDescent="0.25">
      <c r="A708" s="4" t="str">
        <f>IFERROR(parent_children_2[[#This Row],[parent_children_id]],"")</f>
        <v/>
      </c>
      <c r="B708" s="4" t="str">
        <f>IFERROR(VLOOKUP(parent_children_2[[#This Row],[parent_id]],abbreviation[],3,FALSE),"")</f>
        <v/>
      </c>
      <c r="C708" s="4" t="str">
        <f>IFERROR(VLOOKUP(parent_children_2[[#This Row],[children_id]],abbreviation[],ColumnLanguage+1,FALSE),"")</f>
        <v/>
      </c>
    </row>
    <row r="709" spans="1:3" x14ac:dyDescent="0.25">
      <c r="A709" s="4" t="str">
        <f>IFERROR(parent_children_2[[#This Row],[parent_children_id]],"")</f>
        <v/>
      </c>
      <c r="B709" s="4" t="str">
        <f>IFERROR(VLOOKUP(parent_children_2[[#This Row],[parent_id]],abbreviation[],3,FALSE),"")</f>
        <v/>
      </c>
      <c r="C709" s="4" t="str">
        <f>IFERROR(VLOOKUP(parent_children_2[[#This Row],[children_id]],abbreviation[],ColumnLanguage+1,FALSE),"")</f>
        <v/>
      </c>
    </row>
    <row r="710" spans="1:3" x14ac:dyDescent="0.25">
      <c r="A710" s="4" t="str">
        <f>IFERROR(parent_children_2[[#This Row],[parent_children_id]],"")</f>
        <v/>
      </c>
      <c r="B710" s="4" t="str">
        <f>IFERROR(VLOOKUP(parent_children_2[[#This Row],[parent_id]],abbreviation[],3,FALSE),"")</f>
        <v/>
      </c>
      <c r="C710" s="4" t="str">
        <f>IFERROR(VLOOKUP(parent_children_2[[#This Row],[children_id]],abbreviation[],ColumnLanguage+1,FALSE),"")</f>
        <v/>
      </c>
    </row>
    <row r="711" spans="1:3" x14ac:dyDescent="0.25">
      <c r="A711" s="4" t="str">
        <f>IFERROR(parent_children_2[[#This Row],[parent_children_id]],"")</f>
        <v/>
      </c>
      <c r="B711" s="4" t="str">
        <f>IFERROR(VLOOKUP(parent_children_2[[#This Row],[parent_id]],abbreviation[],3,FALSE),"")</f>
        <v/>
      </c>
      <c r="C711" s="4" t="str">
        <f>IFERROR(VLOOKUP(parent_children_2[[#This Row],[children_id]],abbreviation[],ColumnLanguage+1,FALSE),"")</f>
        <v/>
      </c>
    </row>
    <row r="712" spans="1:3" x14ac:dyDescent="0.25">
      <c r="A712" s="4" t="str">
        <f>IFERROR(parent_children_2[[#This Row],[parent_children_id]],"")</f>
        <v/>
      </c>
      <c r="B712" s="4" t="str">
        <f>IFERROR(VLOOKUP(parent_children_2[[#This Row],[parent_id]],abbreviation[],3,FALSE),"")</f>
        <v/>
      </c>
      <c r="C712" s="4" t="str">
        <f>IFERROR(VLOOKUP(parent_children_2[[#This Row],[children_id]],abbreviation[],ColumnLanguage+1,FALSE),"")</f>
        <v/>
      </c>
    </row>
    <row r="713" spans="1:3" x14ac:dyDescent="0.25">
      <c r="A713" s="4" t="str">
        <f>IFERROR(parent_children_2[[#This Row],[parent_children_id]],"")</f>
        <v/>
      </c>
      <c r="B713" s="4" t="str">
        <f>IFERROR(VLOOKUP(parent_children_2[[#This Row],[parent_id]],abbreviation[],3,FALSE),"")</f>
        <v/>
      </c>
      <c r="C713" s="4" t="str">
        <f>IFERROR(VLOOKUP(parent_children_2[[#This Row],[children_id]],abbreviation[],ColumnLanguage+1,FALSE),"")</f>
        <v/>
      </c>
    </row>
    <row r="714" spans="1:3" x14ac:dyDescent="0.25">
      <c r="A714" s="4" t="str">
        <f>IFERROR(parent_children_2[[#This Row],[parent_children_id]],"")</f>
        <v/>
      </c>
      <c r="B714" s="4" t="str">
        <f>IFERROR(VLOOKUP(parent_children_2[[#This Row],[parent_id]],abbreviation[],3,FALSE),"")</f>
        <v/>
      </c>
      <c r="C714" s="4" t="str">
        <f>IFERROR(VLOOKUP(parent_children_2[[#This Row],[children_id]],abbreviation[],ColumnLanguage+1,FALSE),"")</f>
        <v/>
      </c>
    </row>
    <row r="715" spans="1:3" x14ac:dyDescent="0.25">
      <c r="A715" s="4" t="str">
        <f>IFERROR(parent_children_2[[#This Row],[parent_children_id]],"")</f>
        <v/>
      </c>
      <c r="B715" s="4" t="str">
        <f>IFERROR(VLOOKUP(parent_children_2[[#This Row],[parent_id]],abbreviation[],3,FALSE),"")</f>
        <v/>
      </c>
      <c r="C715" s="4" t="str">
        <f>IFERROR(VLOOKUP(parent_children_2[[#This Row],[children_id]],abbreviation[],ColumnLanguage+1,FALSE),"")</f>
        <v/>
      </c>
    </row>
    <row r="716" spans="1:3" x14ac:dyDescent="0.25">
      <c r="A716" s="4" t="str">
        <f>IFERROR(parent_children_2[[#This Row],[parent_children_id]],"")</f>
        <v/>
      </c>
      <c r="B716" s="4" t="str">
        <f>IFERROR(VLOOKUP(parent_children_2[[#This Row],[parent_id]],abbreviation[],3,FALSE),"")</f>
        <v/>
      </c>
      <c r="C716" s="4" t="str">
        <f>IFERROR(VLOOKUP(parent_children_2[[#This Row],[children_id]],abbreviation[],ColumnLanguage+1,FALSE),"")</f>
        <v/>
      </c>
    </row>
    <row r="717" spans="1:3" x14ac:dyDescent="0.25">
      <c r="A717" s="4" t="str">
        <f>IFERROR(parent_children_2[[#This Row],[parent_children_id]],"")</f>
        <v/>
      </c>
      <c r="B717" s="4" t="str">
        <f>IFERROR(VLOOKUP(parent_children_2[[#This Row],[parent_id]],abbreviation[],3,FALSE),"")</f>
        <v/>
      </c>
      <c r="C717" s="4" t="str">
        <f>IFERROR(VLOOKUP(parent_children_2[[#This Row],[children_id]],abbreviation[],ColumnLanguage+1,FALSE),"")</f>
        <v/>
      </c>
    </row>
    <row r="718" spans="1:3" x14ac:dyDescent="0.25">
      <c r="A718" s="4" t="str">
        <f>IFERROR(parent_children_2[[#This Row],[parent_children_id]],"")</f>
        <v/>
      </c>
      <c r="B718" s="4" t="str">
        <f>IFERROR(VLOOKUP(parent_children_2[[#This Row],[parent_id]],abbreviation[],3,FALSE),"")</f>
        <v/>
      </c>
      <c r="C718" s="4" t="str">
        <f>IFERROR(VLOOKUP(parent_children_2[[#This Row],[children_id]],abbreviation[],ColumnLanguage+1,FALSE),"")</f>
        <v/>
      </c>
    </row>
    <row r="719" spans="1:3" x14ac:dyDescent="0.25">
      <c r="A719" s="4" t="str">
        <f>IFERROR(parent_children_2[[#This Row],[parent_children_id]],"")</f>
        <v/>
      </c>
      <c r="B719" s="4" t="str">
        <f>IFERROR(VLOOKUP(parent_children_2[[#This Row],[parent_id]],abbreviation[],3,FALSE),"")</f>
        <v/>
      </c>
      <c r="C719" s="4" t="str">
        <f>IFERROR(VLOOKUP(parent_children_2[[#This Row],[children_id]],abbreviation[],ColumnLanguage+1,FALSE),"")</f>
        <v/>
      </c>
    </row>
    <row r="720" spans="1:3" x14ac:dyDescent="0.25">
      <c r="A720" s="4" t="str">
        <f>IFERROR(parent_children_2[[#This Row],[parent_children_id]],"")</f>
        <v/>
      </c>
      <c r="B720" s="4" t="str">
        <f>IFERROR(VLOOKUP(parent_children_2[[#This Row],[parent_id]],abbreviation[],3,FALSE),"")</f>
        <v/>
      </c>
      <c r="C720" s="4" t="str">
        <f>IFERROR(VLOOKUP(parent_children_2[[#This Row],[children_id]],abbreviation[],ColumnLanguage+1,FALSE),"")</f>
        <v/>
      </c>
    </row>
    <row r="721" spans="1:3" x14ac:dyDescent="0.25">
      <c r="A721" s="4" t="str">
        <f>IFERROR(parent_children_2[[#This Row],[parent_children_id]],"")</f>
        <v/>
      </c>
      <c r="B721" s="4" t="str">
        <f>IFERROR(VLOOKUP(parent_children_2[[#This Row],[parent_id]],abbreviation[],3,FALSE),"")</f>
        <v/>
      </c>
      <c r="C721" s="4" t="str">
        <f>IFERROR(VLOOKUP(parent_children_2[[#This Row],[children_id]],abbreviation[],ColumnLanguage+1,FALSE),"")</f>
        <v/>
      </c>
    </row>
    <row r="722" spans="1:3" x14ac:dyDescent="0.25">
      <c r="A722" s="4" t="str">
        <f>IFERROR(parent_children_2[[#This Row],[parent_children_id]],"")</f>
        <v/>
      </c>
      <c r="B722" s="4" t="str">
        <f>IFERROR(VLOOKUP(parent_children_2[[#This Row],[parent_id]],abbreviation[],3,FALSE),"")</f>
        <v/>
      </c>
      <c r="C722" s="4" t="str">
        <f>IFERROR(VLOOKUP(parent_children_2[[#This Row],[children_id]],abbreviation[],ColumnLanguage+1,FALSE),"")</f>
        <v/>
      </c>
    </row>
    <row r="723" spans="1:3" x14ac:dyDescent="0.25">
      <c r="A723" s="4" t="str">
        <f>IFERROR(parent_children_2[[#This Row],[parent_children_id]],"")</f>
        <v/>
      </c>
      <c r="B723" s="4" t="str">
        <f>IFERROR(VLOOKUP(parent_children_2[[#This Row],[parent_id]],abbreviation[],3,FALSE),"")</f>
        <v/>
      </c>
      <c r="C723" s="4" t="str">
        <f>IFERROR(VLOOKUP(parent_children_2[[#This Row],[children_id]],abbreviation[],ColumnLanguage+1,FALSE),"")</f>
        <v/>
      </c>
    </row>
    <row r="724" spans="1:3" x14ac:dyDescent="0.25">
      <c r="A724" s="4" t="str">
        <f>IFERROR(parent_children_2[[#This Row],[parent_children_id]],"")</f>
        <v/>
      </c>
      <c r="B724" s="4" t="str">
        <f>IFERROR(VLOOKUP(parent_children_2[[#This Row],[parent_id]],abbreviation[],3,FALSE),"")</f>
        <v/>
      </c>
      <c r="C724" s="4" t="str">
        <f>IFERROR(VLOOKUP(parent_children_2[[#This Row],[children_id]],abbreviation[],ColumnLanguage+1,FALSE),"")</f>
        <v/>
      </c>
    </row>
    <row r="725" spans="1:3" x14ac:dyDescent="0.25">
      <c r="A725" s="4" t="str">
        <f>IFERROR(parent_children_2[[#This Row],[parent_children_id]],"")</f>
        <v/>
      </c>
      <c r="B725" s="4" t="str">
        <f>IFERROR(VLOOKUP(parent_children_2[[#This Row],[parent_id]],abbreviation[],3,FALSE),"")</f>
        <v/>
      </c>
      <c r="C725" s="4" t="str">
        <f>IFERROR(VLOOKUP(parent_children_2[[#This Row],[children_id]],abbreviation[],ColumnLanguage+1,FALSE),"")</f>
        <v/>
      </c>
    </row>
    <row r="726" spans="1:3" x14ac:dyDescent="0.25">
      <c r="A726" s="4" t="str">
        <f>IFERROR(parent_children_2[[#This Row],[parent_children_id]],"")</f>
        <v/>
      </c>
      <c r="B726" s="4" t="str">
        <f>IFERROR(VLOOKUP(parent_children_2[[#This Row],[parent_id]],abbreviation[],3,FALSE),"")</f>
        <v/>
      </c>
      <c r="C726" s="4" t="str">
        <f>IFERROR(VLOOKUP(parent_children_2[[#This Row],[children_id]],abbreviation[],ColumnLanguage+1,FALSE),"")</f>
        <v/>
      </c>
    </row>
    <row r="727" spans="1:3" x14ac:dyDescent="0.25">
      <c r="A727" s="4" t="str">
        <f>IFERROR(parent_children_2[[#This Row],[parent_children_id]],"")</f>
        <v/>
      </c>
      <c r="B727" s="4" t="str">
        <f>IFERROR(VLOOKUP(parent_children_2[[#This Row],[parent_id]],abbreviation[],3,FALSE),"")</f>
        <v/>
      </c>
      <c r="C727" s="4" t="str">
        <f>IFERROR(VLOOKUP(parent_children_2[[#This Row],[children_id]],abbreviation[],ColumnLanguage+1,FALSE),"")</f>
        <v/>
      </c>
    </row>
    <row r="728" spans="1:3" x14ac:dyDescent="0.25">
      <c r="A728" s="4" t="str">
        <f>IFERROR(parent_children_2[[#This Row],[parent_children_id]],"")</f>
        <v/>
      </c>
      <c r="B728" s="4" t="str">
        <f>IFERROR(VLOOKUP(parent_children_2[[#This Row],[parent_id]],abbreviation[],3,FALSE),"")</f>
        <v/>
      </c>
      <c r="C728" s="4" t="str">
        <f>IFERROR(VLOOKUP(parent_children_2[[#This Row],[children_id]],abbreviation[],ColumnLanguage+1,FALSE),"")</f>
        <v/>
      </c>
    </row>
    <row r="729" spans="1:3" x14ac:dyDescent="0.25">
      <c r="A729" s="4" t="str">
        <f>IFERROR(parent_children_2[[#This Row],[parent_children_id]],"")</f>
        <v/>
      </c>
      <c r="B729" s="4" t="str">
        <f>IFERROR(VLOOKUP(parent_children_2[[#This Row],[parent_id]],abbreviation[],3,FALSE),"")</f>
        <v/>
      </c>
      <c r="C729" s="4" t="str">
        <f>IFERROR(VLOOKUP(parent_children_2[[#This Row],[children_id]],abbreviation[],ColumnLanguage+1,FALSE),"")</f>
        <v/>
      </c>
    </row>
    <row r="730" spans="1:3" x14ac:dyDescent="0.25">
      <c r="A730" s="4" t="str">
        <f>IFERROR(parent_children_2[[#This Row],[parent_children_id]],"")</f>
        <v/>
      </c>
      <c r="B730" s="4" t="str">
        <f>IFERROR(VLOOKUP(parent_children_2[[#This Row],[parent_id]],abbreviation[],3,FALSE),"")</f>
        <v/>
      </c>
      <c r="C730" s="4" t="str">
        <f>IFERROR(VLOOKUP(parent_children_2[[#This Row],[children_id]],abbreviation[],ColumnLanguage+1,FALSE),"")</f>
        <v/>
      </c>
    </row>
    <row r="731" spans="1:3" x14ac:dyDescent="0.25">
      <c r="A731" s="4" t="str">
        <f>IFERROR(parent_children_2[[#This Row],[parent_children_id]],"")</f>
        <v/>
      </c>
      <c r="B731" s="4" t="str">
        <f>IFERROR(VLOOKUP(parent_children_2[[#This Row],[parent_id]],abbreviation[],3,FALSE),"")</f>
        <v/>
      </c>
      <c r="C731" s="4" t="str">
        <f>IFERROR(VLOOKUP(parent_children_2[[#This Row],[children_id]],abbreviation[],ColumnLanguage+1,FALSE),"")</f>
        <v/>
      </c>
    </row>
    <row r="732" spans="1:3" x14ac:dyDescent="0.25">
      <c r="A732" s="4" t="str">
        <f>IFERROR(parent_children_2[[#This Row],[parent_children_id]],"")</f>
        <v/>
      </c>
      <c r="B732" s="4" t="str">
        <f>IFERROR(VLOOKUP(parent_children_2[[#This Row],[parent_id]],abbreviation[],3,FALSE),"")</f>
        <v/>
      </c>
      <c r="C732" s="4" t="str">
        <f>IFERROR(VLOOKUP(parent_children_2[[#This Row],[children_id]],abbreviation[],ColumnLanguage+1,FALSE),"")</f>
        <v/>
      </c>
    </row>
    <row r="733" spans="1:3" x14ac:dyDescent="0.25">
      <c r="A733" s="4" t="str">
        <f>IFERROR(parent_children_2[[#This Row],[parent_children_id]],"")</f>
        <v/>
      </c>
      <c r="B733" s="4" t="str">
        <f>IFERROR(VLOOKUP(parent_children_2[[#This Row],[parent_id]],abbreviation[],3,FALSE),"")</f>
        <v/>
      </c>
      <c r="C733" s="4" t="str">
        <f>IFERROR(VLOOKUP(parent_children_2[[#This Row],[children_id]],abbreviation[],ColumnLanguage+1,FALSE),"")</f>
        <v/>
      </c>
    </row>
    <row r="734" spans="1:3" x14ac:dyDescent="0.25">
      <c r="A734" s="4" t="str">
        <f>IFERROR(parent_children_2[[#This Row],[parent_children_id]],"")</f>
        <v/>
      </c>
      <c r="B734" s="4" t="str">
        <f>IFERROR(VLOOKUP(parent_children_2[[#This Row],[parent_id]],abbreviation[],3,FALSE),"")</f>
        <v/>
      </c>
      <c r="C734" s="4" t="str">
        <f>IFERROR(VLOOKUP(parent_children_2[[#This Row],[children_id]],abbreviation[],ColumnLanguage+1,FALSE),"")</f>
        <v/>
      </c>
    </row>
    <row r="735" spans="1:3" x14ac:dyDescent="0.25">
      <c r="A735" s="4" t="str">
        <f>IFERROR(parent_children_2[[#This Row],[parent_children_id]],"")</f>
        <v/>
      </c>
      <c r="B735" s="4" t="str">
        <f>IFERROR(VLOOKUP(parent_children_2[[#This Row],[parent_id]],abbreviation[],3,FALSE),"")</f>
        <v/>
      </c>
      <c r="C735" s="4" t="str">
        <f>IFERROR(VLOOKUP(parent_children_2[[#This Row],[children_id]],abbreviation[],ColumnLanguage+1,FALSE),"")</f>
        <v/>
      </c>
    </row>
    <row r="736" spans="1:3" x14ac:dyDescent="0.25">
      <c r="A736" s="4" t="str">
        <f>IFERROR(parent_children_2[[#This Row],[parent_children_id]],"")</f>
        <v/>
      </c>
      <c r="B736" s="4" t="str">
        <f>IFERROR(VLOOKUP(parent_children_2[[#This Row],[parent_id]],abbreviation[],3,FALSE),"")</f>
        <v/>
      </c>
      <c r="C736" s="4" t="str">
        <f>IFERROR(VLOOKUP(parent_children_2[[#This Row],[children_id]],abbreviation[],ColumnLanguage+1,FALSE),"")</f>
        <v/>
      </c>
    </row>
    <row r="737" spans="1:3" x14ac:dyDescent="0.25">
      <c r="A737" s="4" t="str">
        <f>IFERROR(parent_children_2[[#This Row],[parent_children_id]],"")</f>
        <v/>
      </c>
      <c r="B737" s="4" t="str">
        <f>IFERROR(VLOOKUP(parent_children_2[[#This Row],[parent_id]],abbreviation[],3,FALSE),"")</f>
        <v/>
      </c>
      <c r="C737" s="4" t="str">
        <f>IFERROR(VLOOKUP(parent_children_2[[#This Row],[children_id]],abbreviation[],ColumnLanguage+1,FALSE),"")</f>
        <v/>
      </c>
    </row>
    <row r="738" spans="1:3" x14ac:dyDescent="0.25">
      <c r="A738" s="4" t="str">
        <f>IFERROR(parent_children_2[[#This Row],[parent_children_id]],"")</f>
        <v/>
      </c>
      <c r="B738" s="4" t="str">
        <f>IFERROR(VLOOKUP(parent_children_2[[#This Row],[parent_id]],abbreviation[],3,FALSE),"")</f>
        <v/>
      </c>
      <c r="C738" s="4" t="str">
        <f>IFERROR(VLOOKUP(parent_children_2[[#This Row],[children_id]],abbreviation[],ColumnLanguage+1,FALSE),"")</f>
        <v/>
      </c>
    </row>
    <row r="739" spans="1:3" x14ac:dyDescent="0.25">
      <c r="A739" s="4" t="str">
        <f>IFERROR(parent_children_2[[#This Row],[parent_children_id]],"")</f>
        <v/>
      </c>
      <c r="B739" s="4" t="str">
        <f>IFERROR(VLOOKUP(parent_children_2[[#This Row],[parent_id]],abbreviation[],3,FALSE),"")</f>
        <v/>
      </c>
      <c r="C739" s="4" t="str">
        <f>IFERROR(VLOOKUP(parent_children_2[[#This Row],[children_id]],abbreviation[],ColumnLanguage+1,FALSE),"")</f>
        <v/>
      </c>
    </row>
    <row r="740" spans="1:3" x14ac:dyDescent="0.25">
      <c r="A740" s="4" t="str">
        <f>IFERROR(parent_children_2[[#This Row],[parent_children_id]],"")</f>
        <v/>
      </c>
      <c r="B740" s="4" t="str">
        <f>IFERROR(VLOOKUP(parent_children_2[[#This Row],[parent_id]],abbreviation[],3,FALSE),"")</f>
        <v/>
      </c>
      <c r="C740" s="4" t="str">
        <f>IFERROR(VLOOKUP(parent_children_2[[#This Row],[children_id]],abbreviation[],ColumnLanguage+1,FALSE),"")</f>
        <v/>
      </c>
    </row>
    <row r="741" spans="1:3" x14ac:dyDescent="0.25">
      <c r="A741" s="4" t="str">
        <f>IFERROR(parent_children_2[[#This Row],[parent_children_id]],"")</f>
        <v/>
      </c>
      <c r="B741" s="4" t="str">
        <f>IFERROR(VLOOKUP(parent_children_2[[#This Row],[parent_id]],abbreviation[],3,FALSE),"")</f>
        <v/>
      </c>
      <c r="C741" s="4" t="str">
        <f>IFERROR(VLOOKUP(parent_children_2[[#This Row],[children_id]],abbreviation[],ColumnLanguage+1,FALSE),"")</f>
        <v/>
      </c>
    </row>
    <row r="742" spans="1:3" x14ac:dyDescent="0.25">
      <c r="A742" s="4" t="str">
        <f>IFERROR(parent_children_2[[#This Row],[parent_children_id]],"")</f>
        <v/>
      </c>
      <c r="B742" s="4" t="str">
        <f>IFERROR(VLOOKUP(parent_children_2[[#This Row],[parent_id]],abbreviation[],3,FALSE),"")</f>
        <v/>
      </c>
      <c r="C742" s="4" t="str">
        <f>IFERROR(VLOOKUP(parent_children_2[[#This Row],[children_id]],abbreviation[],ColumnLanguage+1,FALSE),"")</f>
        <v/>
      </c>
    </row>
    <row r="743" spans="1:3" x14ac:dyDescent="0.25">
      <c r="A743" s="4" t="str">
        <f>IFERROR(parent_children_2[[#This Row],[parent_children_id]],"")</f>
        <v/>
      </c>
      <c r="B743" s="4" t="str">
        <f>IFERROR(VLOOKUP(parent_children_2[[#This Row],[parent_id]],abbreviation[],3,FALSE),"")</f>
        <v/>
      </c>
      <c r="C743" s="4" t="str">
        <f>IFERROR(VLOOKUP(parent_children_2[[#This Row],[children_id]],abbreviation[],ColumnLanguage+1,FALSE),"")</f>
        <v/>
      </c>
    </row>
    <row r="744" spans="1:3" x14ac:dyDescent="0.25">
      <c r="A744" s="4" t="str">
        <f>IFERROR(parent_children_2[[#This Row],[parent_children_id]],"")</f>
        <v/>
      </c>
      <c r="B744" s="4" t="str">
        <f>IFERROR(VLOOKUP(parent_children_2[[#This Row],[parent_id]],abbreviation[],3,FALSE),"")</f>
        <v/>
      </c>
      <c r="C744" s="4" t="str">
        <f>IFERROR(VLOOKUP(parent_children_2[[#This Row],[children_id]],abbreviation[],ColumnLanguage+1,FALSE),"")</f>
        <v/>
      </c>
    </row>
    <row r="745" spans="1:3" x14ac:dyDescent="0.25">
      <c r="A745" s="4" t="str">
        <f>IFERROR(parent_children_2[[#This Row],[parent_children_id]],"")</f>
        <v/>
      </c>
      <c r="B745" s="4" t="str">
        <f>IFERROR(VLOOKUP(parent_children_2[[#This Row],[parent_id]],abbreviation[],3,FALSE),"")</f>
        <v/>
      </c>
      <c r="C745" s="4" t="str">
        <f>IFERROR(VLOOKUP(parent_children_2[[#This Row],[children_id]],abbreviation[],ColumnLanguage+1,FALSE),"")</f>
        <v/>
      </c>
    </row>
    <row r="746" spans="1:3" x14ac:dyDescent="0.25">
      <c r="A746" s="4" t="str">
        <f>IFERROR(parent_children_2[[#This Row],[parent_children_id]],"")</f>
        <v/>
      </c>
      <c r="B746" s="4" t="str">
        <f>IFERROR(VLOOKUP(parent_children_2[[#This Row],[parent_id]],abbreviation[],3,FALSE),"")</f>
        <v/>
      </c>
      <c r="C746" s="4" t="str">
        <f>IFERROR(VLOOKUP(parent_children_2[[#This Row],[children_id]],abbreviation[],ColumnLanguage+1,FALSE),"")</f>
        <v/>
      </c>
    </row>
    <row r="747" spans="1:3" x14ac:dyDescent="0.25">
      <c r="A747" s="4" t="str">
        <f>IFERROR(parent_children_2[[#This Row],[parent_children_id]],"")</f>
        <v/>
      </c>
      <c r="B747" s="4" t="str">
        <f>IFERROR(VLOOKUP(parent_children_2[[#This Row],[parent_id]],abbreviation[],3,FALSE),"")</f>
        <v/>
      </c>
      <c r="C747" s="4" t="str">
        <f>IFERROR(VLOOKUP(parent_children_2[[#This Row],[children_id]],abbreviation[],ColumnLanguage+1,FALSE),"")</f>
        <v/>
      </c>
    </row>
    <row r="748" spans="1:3" x14ac:dyDescent="0.25">
      <c r="A748" s="4" t="str">
        <f>IFERROR(parent_children_2[[#This Row],[parent_children_id]],"")</f>
        <v/>
      </c>
      <c r="B748" s="4" t="str">
        <f>IFERROR(VLOOKUP(parent_children_2[[#This Row],[parent_id]],abbreviation[],3,FALSE),"")</f>
        <v/>
      </c>
      <c r="C748" s="4" t="str">
        <f>IFERROR(VLOOKUP(parent_children_2[[#This Row],[children_id]],abbreviation[],ColumnLanguage+1,FALSE),"")</f>
        <v/>
      </c>
    </row>
    <row r="749" spans="1:3" x14ac:dyDescent="0.25">
      <c r="A749" s="4" t="str">
        <f>IFERROR(parent_children_2[[#This Row],[parent_children_id]],"")</f>
        <v/>
      </c>
      <c r="B749" s="4" t="str">
        <f>IFERROR(VLOOKUP(parent_children_2[[#This Row],[parent_id]],abbreviation[],3,FALSE),"")</f>
        <v/>
      </c>
      <c r="C749" s="4" t="str">
        <f>IFERROR(VLOOKUP(parent_children_2[[#This Row],[children_id]],abbreviation[],ColumnLanguage+1,FALSE),"")</f>
        <v/>
      </c>
    </row>
    <row r="750" spans="1:3" x14ac:dyDescent="0.25">
      <c r="A750" s="4" t="str">
        <f>IFERROR(parent_children_2[[#This Row],[parent_children_id]],"")</f>
        <v/>
      </c>
      <c r="B750" s="4" t="str">
        <f>IFERROR(VLOOKUP(parent_children_2[[#This Row],[parent_id]],abbreviation[],3,FALSE),"")</f>
        <v/>
      </c>
      <c r="C750" s="4" t="str">
        <f>IFERROR(VLOOKUP(parent_children_2[[#This Row],[children_id]],abbreviation[],ColumnLanguage+1,FALSE),"")</f>
        <v/>
      </c>
    </row>
    <row r="751" spans="1:3" x14ac:dyDescent="0.25">
      <c r="A751" s="4" t="str">
        <f>IFERROR(parent_children_2[[#This Row],[parent_children_id]],"")</f>
        <v/>
      </c>
      <c r="B751" s="4" t="str">
        <f>IFERROR(VLOOKUP(parent_children_2[[#This Row],[parent_id]],abbreviation[],3,FALSE),"")</f>
        <v/>
      </c>
      <c r="C751" s="4" t="str">
        <f>IFERROR(VLOOKUP(parent_children_2[[#This Row],[children_id]],abbreviation[],ColumnLanguage+1,FALSE),"")</f>
        <v/>
      </c>
    </row>
    <row r="752" spans="1:3" x14ac:dyDescent="0.25">
      <c r="A752" s="4" t="str">
        <f>IFERROR(parent_children_2[[#This Row],[parent_children_id]],"")</f>
        <v/>
      </c>
      <c r="B752" s="4" t="str">
        <f>IFERROR(VLOOKUP(parent_children_2[[#This Row],[parent_id]],abbreviation[],3,FALSE),"")</f>
        <v/>
      </c>
      <c r="C752" s="4" t="str">
        <f>IFERROR(VLOOKUP(parent_children_2[[#This Row],[children_id]],abbreviation[],ColumnLanguage+1,FALSE),"")</f>
        <v/>
      </c>
    </row>
    <row r="753" spans="1:3" x14ac:dyDescent="0.25">
      <c r="A753" s="4" t="str">
        <f>IFERROR(parent_children_2[[#This Row],[parent_children_id]],"")</f>
        <v/>
      </c>
      <c r="B753" s="4" t="str">
        <f>IFERROR(VLOOKUP(parent_children_2[[#This Row],[parent_id]],abbreviation[],3,FALSE),"")</f>
        <v/>
      </c>
      <c r="C753" s="4" t="str">
        <f>IFERROR(VLOOKUP(parent_children_2[[#This Row],[children_id]],abbreviation[],ColumnLanguage+1,FALSE),"")</f>
        <v/>
      </c>
    </row>
    <row r="754" spans="1:3" x14ac:dyDescent="0.25">
      <c r="A754" s="4" t="str">
        <f>IFERROR(parent_children_2[[#This Row],[parent_children_id]],"")</f>
        <v/>
      </c>
      <c r="B754" s="4" t="str">
        <f>IFERROR(VLOOKUP(parent_children_2[[#This Row],[parent_id]],abbreviation[],3,FALSE),"")</f>
        <v/>
      </c>
      <c r="C754" s="4" t="str">
        <f>IFERROR(VLOOKUP(parent_children_2[[#This Row],[children_id]],abbreviation[],ColumnLanguage+1,FALSE),"")</f>
        <v/>
      </c>
    </row>
    <row r="755" spans="1:3" x14ac:dyDescent="0.25">
      <c r="A755" s="4" t="str">
        <f>IFERROR(parent_children_2[[#This Row],[parent_children_id]],"")</f>
        <v/>
      </c>
      <c r="B755" s="4" t="str">
        <f>IFERROR(VLOOKUP(parent_children_2[[#This Row],[parent_id]],abbreviation[],3,FALSE),"")</f>
        <v/>
      </c>
      <c r="C755" s="4" t="str">
        <f>IFERROR(VLOOKUP(parent_children_2[[#This Row],[children_id]],abbreviation[],ColumnLanguage+1,FALSE),"")</f>
        <v/>
      </c>
    </row>
    <row r="756" spans="1:3" x14ac:dyDescent="0.25">
      <c r="A756" s="4" t="str">
        <f>IFERROR(parent_children_2[[#This Row],[parent_children_id]],"")</f>
        <v/>
      </c>
      <c r="B756" s="4" t="str">
        <f>IFERROR(VLOOKUP(parent_children_2[[#This Row],[parent_id]],abbreviation[],3,FALSE),"")</f>
        <v/>
      </c>
      <c r="C756" s="4" t="str">
        <f>IFERROR(VLOOKUP(parent_children_2[[#This Row],[children_id]],abbreviation[],ColumnLanguage+1,FALSE),"")</f>
        <v/>
      </c>
    </row>
    <row r="757" spans="1:3" x14ac:dyDescent="0.25">
      <c r="A757" s="4" t="str">
        <f>IFERROR(parent_children_2[[#This Row],[parent_children_id]],"")</f>
        <v/>
      </c>
      <c r="B757" s="4" t="str">
        <f>IFERROR(VLOOKUP(parent_children_2[[#This Row],[parent_id]],abbreviation[],3,FALSE),"")</f>
        <v/>
      </c>
      <c r="C757" s="4" t="str">
        <f>IFERROR(VLOOKUP(parent_children_2[[#This Row],[children_id]],abbreviation[],ColumnLanguage+1,FALSE),"")</f>
        <v/>
      </c>
    </row>
    <row r="758" spans="1:3" x14ac:dyDescent="0.25">
      <c r="A758" s="4" t="str">
        <f>IFERROR(parent_children_2[[#This Row],[parent_children_id]],"")</f>
        <v/>
      </c>
      <c r="B758" s="4" t="str">
        <f>IFERROR(VLOOKUP(parent_children_2[[#This Row],[parent_id]],abbreviation[],3,FALSE),"")</f>
        <v/>
      </c>
      <c r="C758" s="4" t="str">
        <f>IFERROR(VLOOKUP(parent_children_2[[#This Row],[children_id]],abbreviation[],ColumnLanguage+1,FALSE),"")</f>
        <v/>
      </c>
    </row>
    <row r="759" spans="1:3" x14ac:dyDescent="0.25">
      <c r="A759" s="4" t="str">
        <f>IFERROR(parent_children_2[[#This Row],[parent_children_id]],"")</f>
        <v/>
      </c>
      <c r="B759" s="4" t="str">
        <f>IFERROR(VLOOKUP(parent_children_2[[#This Row],[parent_id]],abbreviation[],3,FALSE),"")</f>
        <v/>
      </c>
      <c r="C759" s="4" t="str">
        <f>IFERROR(VLOOKUP(parent_children_2[[#This Row],[children_id]],abbreviation[],ColumnLanguage+1,FALSE),"")</f>
        <v/>
      </c>
    </row>
    <row r="760" spans="1:3" x14ac:dyDescent="0.25">
      <c r="A760" s="4" t="str">
        <f>IFERROR(parent_children_2[[#This Row],[parent_children_id]],"")</f>
        <v/>
      </c>
      <c r="B760" s="4" t="str">
        <f>IFERROR(VLOOKUP(parent_children_2[[#This Row],[parent_id]],abbreviation[],3,FALSE),"")</f>
        <v/>
      </c>
      <c r="C760" s="4" t="str">
        <f>IFERROR(VLOOKUP(parent_children_2[[#This Row],[children_id]],abbreviation[],ColumnLanguage+1,FALSE),"")</f>
        <v/>
      </c>
    </row>
    <row r="761" spans="1:3" x14ac:dyDescent="0.25">
      <c r="A761" s="4" t="str">
        <f>IFERROR(parent_children_2[[#This Row],[parent_children_id]],"")</f>
        <v/>
      </c>
      <c r="B761" s="4" t="str">
        <f>IFERROR(VLOOKUP(parent_children_2[[#This Row],[parent_id]],abbreviation[],3,FALSE),"")</f>
        <v/>
      </c>
      <c r="C761" s="4" t="str">
        <f>IFERROR(VLOOKUP(parent_children_2[[#This Row],[children_id]],abbreviation[],ColumnLanguage+1,FALSE),"")</f>
        <v/>
      </c>
    </row>
    <row r="762" spans="1:3" x14ac:dyDescent="0.25">
      <c r="A762" s="4" t="str">
        <f>IFERROR(parent_children_2[[#This Row],[parent_children_id]],"")</f>
        <v/>
      </c>
      <c r="B762" s="4" t="str">
        <f>IFERROR(VLOOKUP(parent_children_2[[#This Row],[parent_id]],abbreviation[],3,FALSE),"")</f>
        <v/>
      </c>
      <c r="C762" s="4" t="str">
        <f>IFERROR(VLOOKUP(parent_children_2[[#This Row],[children_id]],abbreviation[],ColumnLanguage+1,FALSE),"")</f>
        <v/>
      </c>
    </row>
    <row r="763" spans="1:3" x14ac:dyDescent="0.25">
      <c r="A763" s="4" t="str">
        <f>IFERROR(parent_children_2[[#This Row],[parent_children_id]],"")</f>
        <v/>
      </c>
      <c r="B763" s="4" t="str">
        <f>IFERROR(VLOOKUP(parent_children_2[[#This Row],[parent_id]],abbreviation[],3,FALSE),"")</f>
        <v/>
      </c>
      <c r="C763" s="4" t="str">
        <f>IFERROR(VLOOKUP(parent_children_2[[#This Row],[children_id]],abbreviation[],ColumnLanguage+1,FALSE),"")</f>
        <v/>
      </c>
    </row>
    <row r="764" spans="1:3" x14ac:dyDescent="0.25">
      <c r="A764" s="4" t="str">
        <f>IFERROR(parent_children_2[[#This Row],[parent_children_id]],"")</f>
        <v/>
      </c>
      <c r="B764" s="4" t="str">
        <f>IFERROR(VLOOKUP(parent_children_2[[#This Row],[parent_id]],abbreviation[],3,FALSE),"")</f>
        <v/>
      </c>
      <c r="C764" s="4" t="str">
        <f>IFERROR(VLOOKUP(parent_children_2[[#This Row],[children_id]],abbreviation[],ColumnLanguage+1,FALSE),"")</f>
        <v/>
      </c>
    </row>
    <row r="765" spans="1:3" x14ac:dyDescent="0.25">
      <c r="A765" s="4" t="str">
        <f>IFERROR(parent_children_2[[#This Row],[parent_children_id]],"")</f>
        <v/>
      </c>
      <c r="B765" s="4" t="str">
        <f>IFERROR(VLOOKUP(parent_children_2[[#This Row],[parent_id]],abbreviation[],3,FALSE),"")</f>
        <v/>
      </c>
      <c r="C765" s="4" t="str">
        <f>IFERROR(VLOOKUP(parent_children_2[[#This Row],[children_id]],abbreviation[],ColumnLanguage+1,FALSE),"")</f>
        <v/>
      </c>
    </row>
    <row r="766" spans="1:3" x14ac:dyDescent="0.25">
      <c r="A766" s="4" t="str">
        <f>IFERROR(parent_children_2[[#This Row],[parent_children_id]],"")</f>
        <v/>
      </c>
      <c r="B766" s="4" t="str">
        <f>IFERROR(VLOOKUP(parent_children_2[[#This Row],[parent_id]],abbreviation[],3,FALSE),"")</f>
        <v/>
      </c>
      <c r="C766" s="4" t="str">
        <f>IFERROR(VLOOKUP(parent_children_2[[#This Row],[children_id]],abbreviation[],ColumnLanguage+1,FALSE),"")</f>
        <v/>
      </c>
    </row>
    <row r="767" spans="1:3" x14ac:dyDescent="0.25">
      <c r="A767" s="4" t="str">
        <f>IFERROR(parent_children_2[[#This Row],[parent_children_id]],"")</f>
        <v/>
      </c>
      <c r="B767" s="4" t="str">
        <f>IFERROR(VLOOKUP(parent_children_2[[#This Row],[parent_id]],abbreviation[],3,FALSE),"")</f>
        <v/>
      </c>
      <c r="C767" s="4" t="str">
        <f>IFERROR(VLOOKUP(parent_children_2[[#This Row],[children_id]],abbreviation[],ColumnLanguage+1,FALSE),"")</f>
        <v/>
      </c>
    </row>
    <row r="768" spans="1:3" x14ac:dyDescent="0.25">
      <c r="A768" s="4" t="str">
        <f>IFERROR(parent_children_2[[#This Row],[parent_children_id]],"")</f>
        <v/>
      </c>
      <c r="B768" s="4" t="str">
        <f>IFERROR(VLOOKUP(parent_children_2[[#This Row],[parent_id]],abbreviation[],3,FALSE),"")</f>
        <v/>
      </c>
      <c r="C768" s="4" t="str">
        <f>IFERROR(VLOOKUP(parent_children_2[[#This Row],[children_id]],abbreviation[],ColumnLanguage+1,FALSE),"")</f>
        <v/>
      </c>
    </row>
    <row r="769" spans="1:3" x14ac:dyDescent="0.25">
      <c r="A769" s="4" t="str">
        <f>IFERROR(parent_children_2[[#This Row],[parent_children_id]],"")</f>
        <v/>
      </c>
      <c r="B769" s="4" t="str">
        <f>IFERROR(VLOOKUP(parent_children_2[[#This Row],[parent_id]],abbreviation[],3,FALSE),"")</f>
        <v/>
      </c>
      <c r="C769" s="4" t="str">
        <f>IFERROR(VLOOKUP(parent_children_2[[#This Row],[children_id]],abbreviation[],ColumnLanguage+1,FALSE),"")</f>
        <v/>
      </c>
    </row>
    <row r="770" spans="1:3" x14ac:dyDescent="0.25">
      <c r="A770" s="4" t="str">
        <f>IFERROR(parent_children_2[[#This Row],[parent_children_id]],"")</f>
        <v/>
      </c>
      <c r="B770" s="4" t="str">
        <f>IFERROR(VLOOKUP(parent_children_2[[#This Row],[parent_id]],abbreviation[],3,FALSE),"")</f>
        <v/>
      </c>
      <c r="C770" s="4" t="str">
        <f>IFERROR(VLOOKUP(parent_children_2[[#This Row],[children_id]],abbreviation[],ColumnLanguage+1,FALSE),"")</f>
        <v/>
      </c>
    </row>
    <row r="771" spans="1:3" x14ac:dyDescent="0.25">
      <c r="A771" s="4" t="str">
        <f>IFERROR(parent_children_2[[#This Row],[parent_children_id]],"")</f>
        <v/>
      </c>
      <c r="B771" s="4" t="str">
        <f>IFERROR(VLOOKUP(parent_children_2[[#This Row],[parent_id]],abbreviation[],3,FALSE),"")</f>
        <v/>
      </c>
      <c r="C771" s="4" t="str">
        <f>IFERROR(VLOOKUP(parent_children_2[[#This Row],[children_id]],abbreviation[],ColumnLanguage+1,FALSE),"")</f>
        <v/>
      </c>
    </row>
    <row r="772" spans="1:3" x14ac:dyDescent="0.25">
      <c r="A772" s="4" t="str">
        <f>IFERROR(parent_children_2[[#This Row],[parent_children_id]],"")</f>
        <v/>
      </c>
      <c r="B772" s="4" t="str">
        <f>IFERROR(VLOOKUP(parent_children_2[[#This Row],[parent_id]],abbreviation[],3,FALSE),"")</f>
        <v/>
      </c>
      <c r="C772" s="4" t="str">
        <f>IFERROR(VLOOKUP(parent_children_2[[#This Row],[children_id]],abbreviation[],ColumnLanguage+1,FALSE),"")</f>
        <v/>
      </c>
    </row>
    <row r="773" spans="1:3" x14ac:dyDescent="0.25">
      <c r="A773" s="4" t="str">
        <f>IFERROR(parent_children_2[[#This Row],[parent_children_id]],"")</f>
        <v/>
      </c>
      <c r="B773" s="4" t="str">
        <f>IFERROR(VLOOKUP(parent_children_2[[#This Row],[parent_id]],abbreviation[],3,FALSE),"")</f>
        <v/>
      </c>
      <c r="C773" s="4" t="str">
        <f>IFERROR(VLOOKUP(parent_children_2[[#This Row],[children_id]],abbreviation[],ColumnLanguage+1,FALSE),"")</f>
        <v/>
      </c>
    </row>
    <row r="774" spans="1:3" x14ac:dyDescent="0.25">
      <c r="A774" s="4" t="str">
        <f>IFERROR(parent_children_2[[#This Row],[parent_children_id]],"")</f>
        <v/>
      </c>
      <c r="B774" s="4" t="str">
        <f>IFERROR(VLOOKUP(parent_children_2[[#This Row],[parent_id]],abbreviation[],3,FALSE),"")</f>
        <v/>
      </c>
      <c r="C774" s="4" t="str">
        <f>IFERROR(VLOOKUP(parent_children_2[[#This Row],[children_id]],abbreviation[],ColumnLanguage+1,FALSE),"")</f>
        <v/>
      </c>
    </row>
    <row r="775" spans="1:3" x14ac:dyDescent="0.25">
      <c r="A775" s="4" t="str">
        <f>IFERROR(parent_children_2[[#This Row],[parent_children_id]],"")</f>
        <v/>
      </c>
      <c r="B775" s="4" t="str">
        <f>IFERROR(VLOOKUP(parent_children_2[[#This Row],[parent_id]],abbreviation[],3,FALSE),"")</f>
        <v/>
      </c>
      <c r="C775" s="4" t="str">
        <f>IFERROR(VLOOKUP(parent_children_2[[#This Row],[children_id]],abbreviation[],ColumnLanguage+1,FALSE),"")</f>
        <v/>
      </c>
    </row>
    <row r="776" spans="1:3" x14ac:dyDescent="0.25">
      <c r="A776" s="4" t="str">
        <f>IFERROR(parent_children_2[[#This Row],[parent_children_id]],"")</f>
        <v/>
      </c>
      <c r="B776" s="4" t="str">
        <f>IFERROR(VLOOKUP(parent_children_2[[#This Row],[parent_id]],abbreviation[],3,FALSE),"")</f>
        <v/>
      </c>
      <c r="C776" s="4" t="str">
        <f>IFERROR(VLOOKUP(parent_children_2[[#This Row],[children_id]],abbreviation[],ColumnLanguage+1,FALSE),"")</f>
        <v/>
      </c>
    </row>
    <row r="777" spans="1:3" x14ac:dyDescent="0.25">
      <c r="A777" s="4" t="str">
        <f>IFERROR(parent_children_2[[#This Row],[parent_children_id]],"")</f>
        <v/>
      </c>
      <c r="B777" s="4" t="str">
        <f>IFERROR(VLOOKUP(parent_children_2[[#This Row],[parent_id]],abbreviation[],3,FALSE),"")</f>
        <v/>
      </c>
      <c r="C777" s="4" t="str">
        <f>IFERROR(VLOOKUP(parent_children_2[[#This Row],[children_id]],abbreviation[],ColumnLanguage+1,FALSE),"")</f>
        <v/>
      </c>
    </row>
    <row r="778" spans="1:3" x14ac:dyDescent="0.25">
      <c r="A778" s="4" t="str">
        <f>IFERROR(parent_children_2[[#This Row],[parent_children_id]],"")</f>
        <v/>
      </c>
      <c r="B778" s="4" t="str">
        <f>IFERROR(VLOOKUP(parent_children_2[[#This Row],[parent_id]],abbreviation[],3,FALSE),"")</f>
        <v/>
      </c>
      <c r="C778" s="4" t="str">
        <f>IFERROR(VLOOKUP(parent_children_2[[#This Row],[children_id]],abbreviation[],ColumnLanguage+1,FALSE),"")</f>
        <v/>
      </c>
    </row>
    <row r="779" spans="1:3" x14ac:dyDescent="0.25">
      <c r="A779" s="4" t="str">
        <f>IFERROR(parent_children_2[[#This Row],[parent_children_id]],"")</f>
        <v/>
      </c>
      <c r="B779" s="4" t="str">
        <f>IFERROR(VLOOKUP(parent_children_2[[#This Row],[parent_id]],abbreviation[],3,FALSE),"")</f>
        <v/>
      </c>
      <c r="C779" s="4" t="str">
        <f>IFERROR(VLOOKUP(parent_children_2[[#This Row],[children_id]],abbreviation[],ColumnLanguage+1,FALSE),"")</f>
        <v/>
      </c>
    </row>
    <row r="780" spans="1:3" x14ac:dyDescent="0.25">
      <c r="A780" s="4" t="str">
        <f>IFERROR(parent_children_2[[#This Row],[parent_children_id]],"")</f>
        <v/>
      </c>
      <c r="B780" s="4" t="str">
        <f>IFERROR(VLOOKUP(parent_children_2[[#This Row],[parent_id]],abbreviation[],3,FALSE),"")</f>
        <v/>
      </c>
      <c r="C780" s="4" t="str">
        <f>IFERROR(VLOOKUP(parent_children_2[[#This Row],[children_id]],abbreviation[],ColumnLanguage+1,FALSE),"")</f>
        <v/>
      </c>
    </row>
    <row r="781" spans="1:3" x14ac:dyDescent="0.25">
      <c r="A781" s="4" t="str">
        <f>IFERROR(parent_children_2[[#This Row],[parent_children_id]],"")</f>
        <v/>
      </c>
      <c r="B781" s="4" t="str">
        <f>IFERROR(VLOOKUP(parent_children_2[[#This Row],[parent_id]],abbreviation[],3,FALSE),"")</f>
        <v/>
      </c>
      <c r="C781" s="4" t="str">
        <f>IFERROR(VLOOKUP(parent_children_2[[#This Row],[children_id]],abbreviation[],ColumnLanguage+1,FALSE),"")</f>
        <v/>
      </c>
    </row>
    <row r="782" spans="1:3" x14ac:dyDescent="0.25">
      <c r="A782" s="4" t="str">
        <f>IFERROR(parent_children_2[[#This Row],[parent_children_id]],"")</f>
        <v/>
      </c>
      <c r="B782" s="4" t="str">
        <f>IFERROR(VLOOKUP(parent_children_2[[#This Row],[parent_id]],abbreviation[],3,FALSE),"")</f>
        <v/>
      </c>
      <c r="C782" s="4" t="str">
        <f>IFERROR(VLOOKUP(parent_children_2[[#This Row],[children_id]],abbreviation[],ColumnLanguage+1,FALSE),"")</f>
        <v/>
      </c>
    </row>
    <row r="783" spans="1:3" x14ac:dyDescent="0.25">
      <c r="A783" s="4" t="str">
        <f>IFERROR(parent_children_2[[#This Row],[parent_children_id]],"")</f>
        <v/>
      </c>
      <c r="B783" s="4" t="str">
        <f>IFERROR(VLOOKUP(parent_children_2[[#This Row],[parent_id]],abbreviation[],3,FALSE),"")</f>
        <v/>
      </c>
      <c r="C783" s="4" t="str">
        <f>IFERROR(VLOOKUP(parent_children_2[[#This Row],[children_id]],abbreviation[],ColumnLanguage+1,FALSE),"")</f>
        <v/>
      </c>
    </row>
    <row r="784" spans="1:3" x14ac:dyDescent="0.25">
      <c r="A784" s="4" t="str">
        <f>IFERROR(parent_children_2[[#This Row],[parent_children_id]],"")</f>
        <v/>
      </c>
      <c r="B784" s="4" t="str">
        <f>IFERROR(VLOOKUP(parent_children_2[[#This Row],[parent_id]],abbreviation[],3,FALSE),"")</f>
        <v/>
      </c>
      <c r="C784" s="4" t="str">
        <f>IFERROR(VLOOKUP(parent_children_2[[#This Row],[children_id]],abbreviation[],ColumnLanguage+1,FALSE),"")</f>
        <v/>
      </c>
    </row>
    <row r="785" spans="1:3" x14ac:dyDescent="0.25">
      <c r="A785" s="4" t="str">
        <f>IFERROR(parent_children_2[[#This Row],[parent_children_id]],"")</f>
        <v/>
      </c>
      <c r="B785" s="4" t="str">
        <f>IFERROR(VLOOKUP(parent_children_2[[#This Row],[parent_id]],abbreviation[],3,FALSE),"")</f>
        <v/>
      </c>
      <c r="C785" s="4" t="str">
        <f>IFERROR(VLOOKUP(parent_children_2[[#This Row],[children_id]],abbreviation[],ColumnLanguage+1,FALSE),"")</f>
        <v/>
      </c>
    </row>
    <row r="786" spans="1:3" x14ac:dyDescent="0.25">
      <c r="A786" s="4" t="str">
        <f>IFERROR(parent_children_2[[#This Row],[parent_children_id]],"")</f>
        <v/>
      </c>
      <c r="B786" s="4" t="str">
        <f>IFERROR(VLOOKUP(parent_children_2[[#This Row],[parent_id]],abbreviation[],3,FALSE),"")</f>
        <v/>
      </c>
      <c r="C786" s="4" t="str">
        <f>IFERROR(VLOOKUP(parent_children_2[[#This Row],[children_id]],abbreviation[],ColumnLanguage+1,FALSE),"")</f>
        <v/>
      </c>
    </row>
    <row r="787" spans="1:3" x14ac:dyDescent="0.25">
      <c r="A787" s="4" t="str">
        <f>IFERROR(parent_children_2[[#This Row],[parent_children_id]],"")</f>
        <v/>
      </c>
      <c r="B787" s="4" t="str">
        <f>IFERROR(VLOOKUP(parent_children_2[[#This Row],[parent_id]],abbreviation[],3,FALSE),"")</f>
        <v/>
      </c>
      <c r="C787" s="4" t="str">
        <f>IFERROR(VLOOKUP(parent_children_2[[#This Row],[children_id]],abbreviation[],ColumnLanguage+1,FALSE),"")</f>
        <v/>
      </c>
    </row>
    <row r="788" spans="1:3" x14ac:dyDescent="0.25">
      <c r="A788" s="4" t="str">
        <f>IFERROR(parent_children_2[[#This Row],[parent_children_id]],"")</f>
        <v/>
      </c>
      <c r="B788" s="4" t="str">
        <f>IFERROR(VLOOKUP(parent_children_2[[#This Row],[parent_id]],abbreviation[],3,FALSE),"")</f>
        <v/>
      </c>
      <c r="C788" s="4" t="str">
        <f>IFERROR(VLOOKUP(parent_children_2[[#This Row],[children_id]],abbreviation[],ColumnLanguage+1,FALSE),"")</f>
        <v/>
      </c>
    </row>
    <row r="789" spans="1:3" x14ac:dyDescent="0.25">
      <c r="A789" s="4" t="str">
        <f>IFERROR(parent_children_2[[#This Row],[parent_children_id]],"")</f>
        <v/>
      </c>
      <c r="B789" s="4" t="str">
        <f>IFERROR(VLOOKUP(parent_children_2[[#This Row],[parent_id]],abbreviation[],3,FALSE),"")</f>
        <v/>
      </c>
      <c r="C789" s="4" t="str">
        <f>IFERROR(VLOOKUP(parent_children_2[[#This Row],[children_id]],abbreviation[],ColumnLanguage+1,FALSE),"")</f>
        <v/>
      </c>
    </row>
    <row r="790" spans="1:3" x14ac:dyDescent="0.25">
      <c r="A790" s="4" t="str">
        <f>IFERROR(parent_children_2[[#This Row],[parent_children_id]],"")</f>
        <v/>
      </c>
      <c r="B790" s="4" t="str">
        <f>IFERROR(VLOOKUP(parent_children_2[[#This Row],[parent_id]],abbreviation[],3,FALSE),"")</f>
        <v/>
      </c>
      <c r="C790" s="4" t="str">
        <f>IFERROR(VLOOKUP(parent_children_2[[#This Row],[children_id]],abbreviation[],ColumnLanguage+1,FALSE),"")</f>
        <v/>
      </c>
    </row>
    <row r="791" spans="1:3" x14ac:dyDescent="0.25">
      <c r="A791" s="4" t="str">
        <f>IFERROR(parent_children_2[[#This Row],[parent_children_id]],"")</f>
        <v/>
      </c>
      <c r="B791" s="4" t="str">
        <f>IFERROR(VLOOKUP(parent_children_2[[#This Row],[parent_id]],abbreviation[],3,FALSE),"")</f>
        <v/>
      </c>
      <c r="C791" s="4" t="str">
        <f>IFERROR(VLOOKUP(parent_children_2[[#This Row],[children_id]],abbreviation[],ColumnLanguage+1,FALSE),"")</f>
        <v/>
      </c>
    </row>
    <row r="792" spans="1:3" x14ac:dyDescent="0.25">
      <c r="A792" s="4" t="str">
        <f>IFERROR(parent_children_2[[#This Row],[parent_children_id]],"")</f>
        <v/>
      </c>
      <c r="B792" s="4" t="str">
        <f>IFERROR(VLOOKUP(parent_children_2[[#This Row],[parent_id]],abbreviation[],3,FALSE),"")</f>
        <v/>
      </c>
      <c r="C792" s="4" t="str">
        <f>IFERROR(VLOOKUP(parent_children_2[[#This Row],[children_id]],abbreviation[],ColumnLanguage+1,FALSE),"")</f>
        <v/>
      </c>
    </row>
    <row r="793" spans="1:3" x14ac:dyDescent="0.25">
      <c r="A793" s="4" t="str">
        <f>IFERROR(parent_children_2[[#This Row],[parent_children_id]],"")</f>
        <v/>
      </c>
      <c r="B793" s="4" t="str">
        <f>IFERROR(VLOOKUP(parent_children_2[[#This Row],[parent_id]],abbreviation[],3,FALSE),"")</f>
        <v/>
      </c>
      <c r="C793" s="4" t="str">
        <f>IFERROR(VLOOKUP(parent_children_2[[#This Row],[children_id]],abbreviation[],ColumnLanguage+1,FALSE),"")</f>
        <v/>
      </c>
    </row>
    <row r="794" spans="1:3" x14ac:dyDescent="0.25">
      <c r="A794" s="4" t="str">
        <f>IFERROR(parent_children_2[[#This Row],[parent_children_id]],"")</f>
        <v/>
      </c>
      <c r="B794" s="4" t="str">
        <f>IFERROR(VLOOKUP(parent_children_2[[#This Row],[parent_id]],abbreviation[],3,FALSE),"")</f>
        <v/>
      </c>
      <c r="C794" s="4" t="str">
        <f>IFERROR(VLOOKUP(parent_children_2[[#This Row],[children_id]],abbreviation[],ColumnLanguage+1,FALSE),"")</f>
        <v/>
      </c>
    </row>
    <row r="795" spans="1:3" x14ac:dyDescent="0.25">
      <c r="A795" s="4" t="str">
        <f>IFERROR(parent_children_2[[#This Row],[parent_children_id]],"")</f>
        <v/>
      </c>
      <c r="B795" s="4" t="str">
        <f>IFERROR(VLOOKUP(parent_children_2[[#This Row],[parent_id]],abbreviation[],3,FALSE),"")</f>
        <v/>
      </c>
      <c r="C795" s="4" t="str">
        <f>IFERROR(VLOOKUP(parent_children_2[[#This Row],[children_id]],abbreviation[],ColumnLanguage+1,FALSE),"")</f>
        <v/>
      </c>
    </row>
    <row r="796" spans="1:3" x14ac:dyDescent="0.25">
      <c r="A796" s="4" t="str">
        <f>IFERROR(parent_children_2[[#This Row],[parent_children_id]],"")</f>
        <v/>
      </c>
      <c r="B796" s="4" t="str">
        <f>IFERROR(VLOOKUP(parent_children_2[[#This Row],[parent_id]],abbreviation[],3,FALSE),"")</f>
        <v/>
      </c>
      <c r="C796" s="4" t="str">
        <f>IFERROR(VLOOKUP(parent_children_2[[#This Row],[children_id]],abbreviation[],ColumnLanguage+1,FALSE),"")</f>
        <v/>
      </c>
    </row>
    <row r="797" spans="1:3" x14ac:dyDescent="0.25">
      <c r="A797" s="4" t="str">
        <f>IFERROR(parent_children_2[[#This Row],[parent_children_id]],"")</f>
        <v/>
      </c>
      <c r="B797" s="4" t="str">
        <f>IFERROR(VLOOKUP(parent_children_2[[#This Row],[parent_id]],abbreviation[],3,FALSE),"")</f>
        <v/>
      </c>
      <c r="C797" s="4" t="str">
        <f>IFERROR(VLOOKUP(parent_children_2[[#This Row],[children_id]],abbreviation[],ColumnLanguage+1,FALSE),"")</f>
        <v/>
      </c>
    </row>
    <row r="798" spans="1:3" x14ac:dyDescent="0.25">
      <c r="A798" s="4" t="str">
        <f>IFERROR(parent_children_2[[#This Row],[parent_children_id]],"")</f>
        <v/>
      </c>
      <c r="B798" s="4" t="str">
        <f>IFERROR(VLOOKUP(parent_children_2[[#This Row],[parent_id]],abbreviation[],3,FALSE),"")</f>
        <v/>
      </c>
      <c r="C798" s="4" t="str">
        <f>IFERROR(VLOOKUP(parent_children_2[[#This Row],[children_id]],abbreviation[],ColumnLanguage+1,FALSE),"")</f>
        <v/>
      </c>
    </row>
    <row r="799" spans="1:3" x14ac:dyDescent="0.25">
      <c r="A799" s="4" t="str">
        <f>IFERROR(parent_children_2[[#This Row],[parent_children_id]],"")</f>
        <v/>
      </c>
      <c r="B799" s="4" t="str">
        <f>IFERROR(VLOOKUP(parent_children_2[[#This Row],[parent_id]],abbreviation[],3,FALSE),"")</f>
        <v/>
      </c>
      <c r="C799" s="4" t="str">
        <f>IFERROR(VLOOKUP(parent_children_2[[#This Row],[children_id]],abbreviation[],ColumnLanguage+1,FALSE),"")</f>
        <v/>
      </c>
    </row>
    <row r="800" spans="1:3" x14ac:dyDescent="0.25">
      <c r="A800" s="4" t="str">
        <f>IFERROR(parent_children_2[[#This Row],[parent_children_id]],"")</f>
        <v/>
      </c>
      <c r="B800" s="4" t="str">
        <f>IFERROR(VLOOKUP(parent_children_2[[#This Row],[parent_id]],abbreviation[],3,FALSE),"")</f>
        <v/>
      </c>
      <c r="C800" s="4" t="str">
        <f>IFERROR(VLOOKUP(parent_children_2[[#This Row],[children_id]],abbreviation[],ColumnLanguage+1,FALSE),"")</f>
        <v/>
      </c>
    </row>
    <row r="801" spans="1:3" x14ac:dyDescent="0.25">
      <c r="A801" s="4" t="str">
        <f>IFERROR(parent_children_2[[#This Row],[parent_children_id]],"")</f>
        <v/>
      </c>
      <c r="B801" s="4" t="str">
        <f>IFERROR(VLOOKUP(parent_children_2[[#This Row],[parent_id]],abbreviation[],3,FALSE),"")</f>
        <v/>
      </c>
      <c r="C801" s="4" t="str">
        <f>IFERROR(VLOOKUP(parent_children_2[[#This Row],[children_id]],abbreviation[],ColumnLanguage+1,FALSE),"")</f>
        <v/>
      </c>
    </row>
    <row r="802" spans="1:3" x14ac:dyDescent="0.25">
      <c r="A802" s="4" t="str">
        <f>IFERROR(parent_children_2[[#This Row],[parent_children_id]],"")</f>
        <v/>
      </c>
      <c r="B802" s="4" t="str">
        <f>IFERROR(VLOOKUP(parent_children_2[[#This Row],[parent_id]],abbreviation[],3,FALSE),"")</f>
        <v/>
      </c>
      <c r="C802" s="4" t="str">
        <f>IFERROR(VLOOKUP(parent_children_2[[#This Row],[children_id]],abbreviation[],ColumnLanguage+1,FALSE),"")</f>
        <v/>
      </c>
    </row>
    <row r="803" spans="1:3" x14ac:dyDescent="0.25">
      <c r="A803" s="4" t="str">
        <f>IFERROR(parent_children_2[[#This Row],[parent_children_id]],"")</f>
        <v/>
      </c>
      <c r="B803" s="4" t="str">
        <f>IFERROR(VLOOKUP(parent_children_2[[#This Row],[parent_id]],abbreviation[],3,FALSE),"")</f>
        <v/>
      </c>
      <c r="C803" s="4" t="str">
        <f>IFERROR(VLOOKUP(parent_children_2[[#This Row],[children_id]],abbreviation[],ColumnLanguage+1,FALSE),"")</f>
        <v/>
      </c>
    </row>
    <row r="804" spans="1:3" x14ac:dyDescent="0.25">
      <c r="A804" s="4" t="str">
        <f>IFERROR(parent_children_2[[#This Row],[parent_children_id]],"")</f>
        <v/>
      </c>
      <c r="B804" s="4" t="str">
        <f>IFERROR(VLOOKUP(parent_children_2[[#This Row],[parent_id]],abbreviation[],3,FALSE),"")</f>
        <v/>
      </c>
      <c r="C804" s="4" t="str">
        <f>IFERROR(VLOOKUP(parent_children_2[[#This Row],[children_id]],abbreviation[],ColumnLanguage+1,FALSE),"")</f>
        <v/>
      </c>
    </row>
    <row r="805" spans="1:3" x14ac:dyDescent="0.25">
      <c r="A805" s="4" t="str">
        <f>IFERROR(parent_children_2[[#This Row],[parent_children_id]],"")</f>
        <v/>
      </c>
      <c r="B805" s="4" t="str">
        <f>IFERROR(VLOOKUP(parent_children_2[[#This Row],[parent_id]],abbreviation[],3,FALSE),"")</f>
        <v/>
      </c>
      <c r="C805" s="4" t="str">
        <f>IFERROR(VLOOKUP(parent_children_2[[#This Row],[children_id]],abbreviation[],ColumnLanguage+1,FALSE),"")</f>
        <v/>
      </c>
    </row>
    <row r="806" spans="1:3" x14ac:dyDescent="0.25">
      <c r="A806" s="4" t="str">
        <f>IFERROR(parent_children_2[[#This Row],[parent_children_id]],"")</f>
        <v/>
      </c>
      <c r="B806" s="4" t="str">
        <f>IFERROR(VLOOKUP(parent_children_2[[#This Row],[parent_id]],abbreviation[],3,FALSE),"")</f>
        <v/>
      </c>
      <c r="C806" s="4" t="str">
        <f>IFERROR(VLOOKUP(parent_children_2[[#This Row],[children_id]],abbreviation[],ColumnLanguage+1,FALSE),"")</f>
        <v/>
      </c>
    </row>
    <row r="807" spans="1:3" x14ac:dyDescent="0.25">
      <c r="A807" s="4" t="str">
        <f>IFERROR(parent_children_2[[#This Row],[parent_children_id]],"")</f>
        <v/>
      </c>
      <c r="B807" s="4" t="str">
        <f>IFERROR(VLOOKUP(parent_children_2[[#This Row],[parent_id]],abbreviation[],3,FALSE),"")</f>
        <v/>
      </c>
      <c r="C807" s="4" t="str">
        <f>IFERROR(VLOOKUP(parent_children_2[[#This Row],[children_id]],abbreviation[],ColumnLanguage+1,FALSE),"")</f>
        <v/>
      </c>
    </row>
    <row r="808" spans="1:3" x14ac:dyDescent="0.25">
      <c r="A808" s="4" t="str">
        <f>IFERROR(parent_children_2[[#This Row],[parent_children_id]],"")</f>
        <v/>
      </c>
      <c r="B808" s="4" t="str">
        <f>IFERROR(VLOOKUP(parent_children_2[[#This Row],[parent_id]],abbreviation[],3,FALSE),"")</f>
        <v/>
      </c>
      <c r="C808" s="4" t="str">
        <f>IFERROR(VLOOKUP(parent_children_2[[#This Row],[children_id]],abbreviation[],ColumnLanguage+1,FALSE),"")</f>
        <v/>
      </c>
    </row>
    <row r="809" spans="1:3" x14ac:dyDescent="0.25">
      <c r="A809" s="4" t="str">
        <f>IFERROR(parent_children_2[[#This Row],[parent_children_id]],"")</f>
        <v/>
      </c>
      <c r="B809" s="4" t="str">
        <f>IFERROR(VLOOKUP(parent_children_2[[#This Row],[parent_id]],abbreviation[],3,FALSE),"")</f>
        <v/>
      </c>
      <c r="C809" s="4" t="str">
        <f>IFERROR(VLOOKUP(parent_children_2[[#This Row],[children_id]],abbreviation[],ColumnLanguage+1,FALSE),"")</f>
        <v/>
      </c>
    </row>
    <row r="810" spans="1:3" x14ac:dyDescent="0.25">
      <c r="A810" s="4" t="str">
        <f>IFERROR(parent_children_2[[#This Row],[parent_children_id]],"")</f>
        <v/>
      </c>
      <c r="B810" s="4" t="str">
        <f>IFERROR(VLOOKUP(parent_children_2[[#This Row],[parent_id]],abbreviation[],3,FALSE),"")</f>
        <v/>
      </c>
      <c r="C810" s="4" t="str">
        <f>IFERROR(VLOOKUP(parent_children_2[[#This Row],[children_id]],abbreviation[],ColumnLanguage+1,FALSE),"")</f>
        <v/>
      </c>
    </row>
    <row r="811" spans="1:3" x14ac:dyDescent="0.25">
      <c r="A811" s="4" t="str">
        <f>IFERROR(parent_children_2[[#This Row],[parent_children_id]],"")</f>
        <v/>
      </c>
      <c r="B811" s="4" t="str">
        <f>IFERROR(VLOOKUP(parent_children_2[[#This Row],[parent_id]],abbreviation[],3,FALSE),"")</f>
        <v/>
      </c>
      <c r="C811" s="4" t="str">
        <f>IFERROR(VLOOKUP(parent_children_2[[#This Row],[children_id]],abbreviation[],ColumnLanguage+1,FALSE),"")</f>
        <v/>
      </c>
    </row>
    <row r="812" spans="1:3" x14ac:dyDescent="0.25">
      <c r="A812" s="4" t="str">
        <f>IFERROR(parent_children_2[[#This Row],[parent_children_id]],"")</f>
        <v/>
      </c>
      <c r="B812" s="4" t="str">
        <f>IFERROR(VLOOKUP(parent_children_2[[#This Row],[parent_id]],abbreviation[],3,FALSE),"")</f>
        <v/>
      </c>
      <c r="C812" s="4" t="str">
        <f>IFERROR(VLOOKUP(parent_children_2[[#This Row],[children_id]],abbreviation[],ColumnLanguage+1,FALSE),"")</f>
        <v/>
      </c>
    </row>
    <row r="813" spans="1:3" x14ac:dyDescent="0.25">
      <c r="A813" s="4" t="str">
        <f>IFERROR(parent_children_2[[#This Row],[parent_children_id]],"")</f>
        <v/>
      </c>
      <c r="B813" s="4" t="str">
        <f>IFERROR(VLOOKUP(parent_children_2[[#This Row],[parent_id]],abbreviation[],3,FALSE),"")</f>
        <v/>
      </c>
      <c r="C813" s="4" t="str">
        <f>IFERROR(VLOOKUP(parent_children_2[[#This Row],[children_id]],abbreviation[],ColumnLanguage+1,FALSE),"")</f>
        <v/>
      </c>
    </row>
    <row r="814" spans="1:3" x14ac:dyDescent="0.25">
      <c r="A814" s="4" t="str">
        <f>IFERROR(parent_children_2[[#This Row],[parent_children_id]],"")</f>
        <v/>
      </c>
      <c r="B814" s="4" t="str">
        <f>IFERROR(VLOOKUP(parent_children_2[[#This Row],[parent_id]],abbreviation[],3,FALSE),"")</f>
        <v/>
      </c>
      <c r="C814" s="4" t="str">
        <f>IFERROR(VLOOKUP(parent_children_2[[#This Row],[children_id]],abbreviation[],ColumnLanguage+1,FALSE),"")</f>
        <v/>
      </c>
    </row>
    <row r="815" spans="1:3" x14ac:dyDescent="0.25">
      <c r="A815" s="4" t="str">
        <f>IFERROR(parent_children_2[[#This Row],[parent_children_id]],"")</f>
        <v/>
      </c>
      <c r="B815" s="4" t="str">
        <f>IFERROR(VLOOKUP(parent_children_2[[#This Row],[parent_id]],abbreviation[],3,FALSE),"")</f>
        <v/>
      </c>
      <c r="C815" s="4" t="str">
        <f>IFERROR(VLOOKUP(parent_children_2[[#This Row],[children_id]],abbreviation[],ColumnLanguage+1,FALSE),"")</f>
        <v/>
      </c>
    </row>
    <row r="816" spans="1:3" x14ac:dyDescent="0.25">
      <c r="A816" s="4" t="str">
        <f>IFERROR(parent_children_2[[#This Row],[parent_children_id]],"")</f>
        <v/>
      </c>
      <c r="B816" s="4" t="str">
        <f>IFERROR(VLOOKUP(parent_children_2[[#This Row],[parent_id]],abbreviation[],3,FALSE),"")</f>
        <v/>
      </c>
      <c r="C816" s="4" t="str">
        <f>IFERROR(VLOOKUP(parent_children_2[[#This Row],[children_id]],abbreviation[],ColumnLanguage+1,FALSE),"")</f>
        <v/>
      </c>
    </row>
    <row r="817" spans="1:3" x14ac:dyDescent="0.25">
      <c r="A817" s="4" t="str">
        <f>IFERROR(parent_children_2[[#This Row],[parent_children_id]],"")</f>
        <v/>
      </c>
      <c r="B817" s="4" t="str">
        <f>IFERROR(VLOOKUP(parent_children_2[[#This Row],[parent_id]],abbreviation[],3,FALSE),"")</f>
        <v/>
      </c>
      <c r="C817" s="4" t="str">
        <f>IFERROR(VLOOKUP(parent_children_2[[#This Row],[children_id]],abbreviation[],ColumnLanguage+1,FALSE),"")</f>
        <v/>
      </c>
    </row>
    <row r="818" spans="1:3" x14ac:dyDescent="0.25">
      <c r="A818" s="4" t="str">
        <f>IFERROR(parent_children_2[[#This Row],[parent_children_id]],"")</f>
        <v/>
      </c>
      <c r="B818" s="4" t="str">
        <f>IFERROR(VLOOKUP(parent_children_2[[#This Row],[parent_id]],abbreviation[],3,FALSE),"")</f>
        <v/>
      </c>
      <c r="C818" s="4" t="str">
        <f>IFERROR(VLOOKUP(parent_children_2[[#This Row],[children_id]],abbreviation[],ColumnLanguage+1,FALSE),"")</f>
        <v/>
      </c>
    </row>
    <row r="819" spans="1:3" x14ac:dyDescent="0.25">
      <c r="A819" s="4" t="str">
        <f>IFERROR(parent_children_2[[#This Row],[parent_children_id]],"")</f>
        <v/>
      </c>
      <c r="B819" s="4" t="str">
        <f>IFERROR(VLOOKUP(parent_children_2[[#This Row],[parent_id]],abbreviation[],3,FALSE),"")</f>
        <v/>
      </c>
      <c r="C819" s="4" t="str">
        <f>IFERROR(VLOOKUP(parent_children_2[[#This Row],[children_id]],abbreviation[],ColumnLanguage+1,FALSE),"")</f>
        <v/>
      </c>
    </row>
    <row r="820" spans="1:3" x14ac:dyDescent="0.25">
      <c r="A820" s="4" t="str">
        <f>IFERROR(parent_children_2[[#This Row],[parent_children_id]],"")</f>
        <v/>
      </c>
      <c r="B820" s="4" t="str">
        <f>IFERROR(VLOOKUP(parent_children_2[[#This Row],[parent_id]],abbreviation[],3,FALSE),"")</f>
        <v/>
      </c>
      <c r="C820" s="4" t="str">
        <f>IFERROR(VLOOKUP(parent_children_2[[#This Row],[children_id]],abbreviation[],ColumnLanguage+1,FALSE),"")</f>
        <v/>
      </c>
    </row>
    <row r="821" spans="1:3" x14ac:dyDescent="0.25">
      <c r="A821" s="4" t="str">
        <f>IFERROR(parent_children_2[[#This Row],[parent_children_id]],"")</f>
        <v/>
      </c>
      <c r="B821" s="4" t="str">
        <f>IFERROR(VLOOKUP(parent_children_2[[#This Row],[parent_id]],abbreviation[],3,FALSE),"")</f>
        <v/>
      </c>
      <c r="C821" s="4" t="str">
        <f>IFERROR(VLOOKUP(parent_children_2[[#This Row],[children_id]],abbreviation[],ColumnLanguage+1,FALSE),"")</f>
        <v/>
      </c>
    </row>
    <row r="822" spans="1:3" x14ac:dyDescent="0.25">
      <c r="A822" s="4" t="str">
        <f>IFERROR(parent_children_2[[#This Row],[parent_children_id]],"")</f>
        <v/>
      </c>
      <c r="B822" s="4" t="str">
        <f>IFERROR(VLOOKUP(parent_children_2[[#This Row],[parent_id]],abbreviation[],3,FALSE),"")</f>
        <v/>
      </c>
      <c r="C822" s="4" t="str">
        <f>IFERROR(VLOOKUP(parent_children_2[[#This Row],[children_id]],abbreviation[],ColumnLanguage+1,FALSE),"")</f>
        <v/>
      </c>
    </row>
    <row r="823" spans="1:3" x14ac:dyDescent="0.25">
      <c r="A823" s="4" t="str">
        <f>IFERROR(parent_children_2[[#This Row],[parent_children_id]],"")</f>
        <v/>
      </c>
      <c r="B823" s="4" t="str">
        <f>IFERROR(VLOOKUP(parent_children_2[[#This Row],[parent_id]],abbreviation[],3,FALSE),"")</f>
        <v/>
      </c>
      <c r="C823" s="4" t="str">
        <f>IFERROR(VLOOKUP(parent_children_2[[#This Row],[children_id]],abbreviation[],ColumnLanguage+1,FALSE),"")</f>
        <v/>
      </c>
    </row>
    <row r="824" spans="1:3" x14ac:dyDescent="0.25">
      <c r="A824" s="4" t="str">
        <f>IFERROR(parent_children_2[[#This Row],[parent_children_id]],"")</f>
        <v/>
      </c>
      <c r="B824" s="4" t="str">
        <f>IFERROR(VLOOKUP(parent_children_2[[#This Row],[parent_id]],abbreviation[],3,FALSE),"")</f>
        <v/>
      </c>
      <c r="C824" s="4" t="str">
        <f>IFERROR(VLOOKUP(parent_children_2[[#This Row],[children_id]],abbreviation[],ColumnLanguage+1,FALSE),"")</f>
        <v/>
      </c>
    </row>
    <row r="825" spans="1:3" x14ac:dyDescent="0.25">
      <c r="A825" s="4" t="str">
        <f>IFERROR(parent_children_2[[#This Row],[parent_children_id]],"")</f>
        <v/>
      </c>
      <c r="B825" s="4" t="str">
        <f>IFERROR(VLOOKUP(parent_children_2[[#This Row],[parent_id]],abbreviation[],3,FALSE),"")</f>
        <v/>
      </c>
      <c r="C825" s="4" t="str">
        <f>IFERROR(VLOOKUP(parent_children_2[[#This Row],[children_id]],abbreviation[],ColumnLanguage+1,FALSE),"")</f>
        <v/>
      </c>
    </row>
    <row r="826" spans="1:3" x14ac:dyDescent="0.25">
      <c r="A826" s="4" t="str">
        <f>IFERROR(parent_children_2[[#This Row],[parent_children_id]],"")</f>
        <v/>
      </c>
      <c r="B826" s="4" t="str">
        <f>IFERROR(VLOOKUP(parent_children_2[[#This Row],[parent_id]],abbreviation[],3,FALSE),"")</f>
        <v/>
      </c>
      <c r="C826" s="4" t="str">
        <f>IFERROR(VLOOKUP(parent_children_2[[#This Row],[children_id]],abbreviation[],ColumnLanguage+1,FALSE),"")</f>
        <v/>
      </c>
    </row>
    <row r="827" spans="1:3" x14ac:dyDescent="0.25">
      <c r="A827" s="4" t="str">
        <f>IFERROR(parent_children_2[[#This Row],[parent_children_id]],"")</f>
        <v/>
      </c>
      <c r="B827" s="4" t="str">
        <f>IFERROR(VLOOKUP(parent_children_2[[#This Row],[parent_id]],abbreviation[],3,FALSE),"")</f>
        <v/>
      </c>
      <c r="C827" s="4" t="str">
        <f>IFERROR(VLOOKUP(parent_children_2[[#This Row],[children_id]],abbreviation[],ColumnLanguage+1,FALSE),"")</f>
        <v/>
      </c>
    </row>
    <row r="828" spans="1:3" x14ac:dyDescent="0.25">
      <c r="A828" s="4" t="str">
        <f>IFERROR(parent_children_2[[#This Row],[parent_children_id]],"")</f>
        <v/>
      </c>
      <c r="B828" s="4" t="str">
        <f>IFERROR(VLOOKUP(parent_children_2[[#This Row],[parent_id]],abbreviation[],3,FALSE),"")</f>
        <v/>
      </c>
      <c r="C828" s="4" t="str">
        <f>IFERROR(VLOOKUP(parent_children_2[[#This Row],[children_id]],abbreviation[],ColumnLanguage+1,FALSE),"")</f>
        <v/>
      </c>
    </row>
    <row r="829" spans="1:3" x14ac:dyDescent="0.25">
      <c r="A829" s="4" t="str">
        <f>IFERROR(parent_children_2[[#This Row],[parent_children_id]],"")</f>
        <v/>
      </c>
      <c r="B829" s="4" t="str">
        <f>IFERROR(VLOOKUP(parent_children_2[[#This Row],[parent_id]],abbreviation[],3,FALSE),"")</f>
        <v/>
      </c>
      <c r="C829" s="4" t="str">
        <f>IFERROR(VLOOKUP(parent_children_2[[#This Row],[children_id]],abbreviation[],ColumnLanguage+1,FALSE),"")</f>
        <v/>
      </c>
    </row>
    <row r="830" spans="1:3" x14ac:dyDescent="0.25">
      <c r="A830" s="4" t="str">
        <f>IFERROR(parent_children_2[[#This Row],[parent_children_id]],"")</f>
        <v/>
      </c>
      <c r="B830" s="4" t="str">
        <f>IFERROR(VLOOKUP(parent_children_2[[#This Row],[parent_id]],abbreviation[],3,FALSE),"")</f>
        <v/>
      </c>
      <c r="C830" s="4" t="str">
        <f>IFERROR(VLOOKUP(parent_children_2[[#This Row],[children_id]],abbreviation[],ColumnLanguage+1,FALSE),"")</f>
        <v/>
      </c>
    </row>
    <row r="831" spans="1:3" x14ac:dyDescent="0.25">
      <c r="A831" s="4" t="str">
        <f>IFERROR(parent_children_2[[#This Row],[parent_children_id]],"")</f>
        <v/>
      </c>
      <c r="B831" s="4" t="str">
        <f>IFERROR(VLOOKUP(parent_children_2[[#This Row],[parent_id]],abbreviation[],3,FALSE),"")</f>
        <v/>
      </c>
      <c r="C831" s="4" t="str">
        <f>IFERROR(VLOOKUP(parent_children_2[[#This Row],[children_id]],abbreviation[],ColumnLanguage+1,FALSE),"")</f>
        <v/>
      </c>
    </row>
    <row r="832" spans="1:3" x14ac:dyDescent="0.25">
      <c r="A832" s="4" t="str">
        <f>IFERROR(parent_children_2[[#This Row],[parent_children_id]],"")</f>
        <v/>
      </c>
      <c r="B832" s="4" t="str">
        <f>IFERROR(VLOOKUP(parent_children_2[[#This Row],[parent_id]],abbreviation[],3,FALSE),"")</f>
        <v/>
      </c>
      <c r="C832" s="4" t="str">
        <f>IFERROR(VLOOKUP(parent_children_2[[#This Row],[children_id]],abbreviation[],ColumnLanguage+1,FALSE),"")</f>
        <v/>
      </c>
    </row>
    <row r="833" spans="1:3" x14ac:dyDescent="0.25">
      <c r="A833" s="4" t="str">
        <f>IFERROR(parent_children_2[[#This Row],[parent_children_id]],"")</f>
        <v/>
      </c>
      <c r="B833" s="4" t="str">
        <f>IFERROR(VLOOKUP(parent_children_2[[#This Row],[parent_id]],abbreviation[],3,FALSE),"")</f>
        <v/>
      </c>
      <c r="C833" s="4" t="str">
        <f>IFERROR(VLOOKUP(parent_children_2[[#This Row],[children_id]],abbreviation[],ColumnLanguage+1,FALSE),"")</f>
        <v/>
      </c>
    </row>
    <row r="834" spans="1:3" x14ac:dyDescent="0.25">
      <c r="A834" s="4" t="str">
        <f>IFERROR(parent_children_2[[#This Row],[parent_children_id]],"")</f>
        <v/>
      </c>
      <c r="B834" s="4" t="str">
        <f>IFERROR(VLOOKUP(parent_children_2[[#This Row],[parent_id]],abbreviation[],3,FALSE),"")</f>
        <v/>
      </c>
      <c r="C834" s="4" t="str">
        <f>IFERROR(VLOOKUP(parent_children_2[[#This Row],[children_id]],abbreviation[],ColumnLanguage+1,FALSE),"")</f>
        <v/>
      </c>
    </row>
    <row r="835" spans="1:3" x14ac:dyDescent="0.25">
      <c r="A835" s="4" t="str">
        <f>IFERROR(parent_children_2[[#This Row],[parent_children_id]],"")</f>
        <v/>
      </c>
      <c r="B835" s="4" t="str">
        <f>IFERROR(VLOOKUP(parent_children_2[[#This Row],[parent_id]],abbreviation[],3,FALSE),"")</f>
        <v/>
      </c>
      <c r="C835" s="4" t="str">
        <f>IFERROR(VLOOKUP(parent_children_2[[#This Row],[children_id]],abbreviation[],ColumnLanguage+1,FALSE),"")</f>
        <v/>
      </c>
    </row>
    <row r="836" spans="1:3" x14ac:dyDescent="0.25">
      <c r="A836" s="4" t="str">
        <f>IFERROR(parent_children_2[[#This Row],[parent_children_id]],"")</f>
        <v/>
      </c>
      <c r="B836" s="4" t="str">
        <f>IFERROR(VLOOKUP(parent_children_2[[#This Row],[parent_id]],abbreviation[],3,FALSE),"")</f>
        <v/>
      </c>
      <c r="C836" s="4" t="str">
        <f>IFERROR(VLOOKUP(parent_children_2[[#This Row],[children_id]],abbreviation[],ColumnLanguage+1,FALSE),"")</f>
        <v/>
      </c>
    </row>
    <row r="837" spans="1:3" x14ac:dyDescent="0.25">
      <c r="A837" s="4" t="str">
        <f>IFERROR(parent_children_2[[#This Row],[parent_children_id]],"")</f>
        <v/>
      </c>
      <c r="B837" s="4" t="str">
        <f>IFERROR(VLOOKUP(parent_children_2[[#This Row],[parent_id]],abbreviation[],3,FALSE),"")</f>
        <v/>
      </c>
      <c r="C837" s="4" t="str">
        <f>IFERROR(VLOOKUP(parent_children_2[[#This Row],[children_id]],abbreviation[],ColumnLanguage+1,FALSE),"")</f>
        <v/>
      </c>
    </row>
    <row r="838" spans="1:3" x14ac:dyDescent="0.25">
      <c r="A838" s="4" t="str">
        <f>IFERROR(parent_children_2[[#This Row],[parent_children_id]],"")</f>
        <v/>
      </c>
      <c r="B838" s="4" t="str">
        <f>IFERROR(VLOOKUP(parent_children_2[[#This Row],[parent_id]],abbreviation[],3,FALSE),"")</f>
        <v/>
      </c>
      <c r="C838" s="4" t="str">
        <f>IFERROR(VLOOKUP(parent_children_2[[#This Row],[children_id]],abbreviation[],ColumnLanguage+1,FALSE),"")</f>
        <v/>
      </c>
    </row>
    <row r="839" spans="1:3" x14ac:dyDescent="0.25">
      <c r="A839" s="4" t="str">
        <f>IFERROR(parent_children_2[[#This Row],[parent_children_id]],"")</f>
        <v/>
      </c>
      <c r="B839" s="4" t="str">
        <f>IFERROR(VLOOKUP(parent_children_2[[#This Row],[parent_id]],abbreviation[],3,FALSE),"")</f>
        <v/>
      </c>
      <c r="C839" s="4" t="str">
        <f>IFERROR(VLOOKUP(parent_children_2[[#This Row],[children_id]],abbreviation[],ColumnLanguage+1,FALSE),"")</f>
        <v/>
      </c>
    </row>
    <row r="840" spans="1:3" x14ac:dyDescent="0.25">
      <c r="A840" s="4" t="str">
        <f>IFERROR(parent_children_2[[#This Row],[parent_children_id]],"")</f>
        <v/>
      </c>
      <c r="B840" s="4" t="str">
        <f>IFERROR(VLOOKUP(parent_children_2[[#This Row],[parent_id]],abbreviation[],3,FALSE),"")</f>
        <v/>
      </c>
      <c r="C840" s="4" t="str">
        <f>IFERROR(VLOOKUP(parent_children_2[[#This Row],[children_id]],abbreviation[],ColumnLanguage+1,FALSE),"")</f>
        <v/>
      </c>
    </row>
    <row r="841" spans="1:3" x14ac:dyDescent="0.25">
      <c r="A841" s="4" t="str">
        <f>IFERROR(parent_children_2[[#This Row],[parent_children_id]],"")</f>
        <v/>
      </c>
      <c r="B841" s="4" t="str">
        <f>IFERROR(VLOOKUP(parent_children_2[[#This Row],[parent_id]],abbreviation[],3,FALSE),"")</f>
        <v/>
      </c>
      <c r="C841" s="4" t="str">
        <f>IFERROR(VLOOKUP(parent_children_2[[#This Row],[children_id]],abbreviation[],ColumnLanguage+1,FALSE),"")</f>
        <v/>
      </c>
    </row>
    <row r="842" spans="1:3" x14ac:dyDescent="0.25">
      <c r="A842" s="4" t="str">
        <f>IFERROR(parent_children_2[[#This Row],[parent_children_id]],"")</f>
        <v/>
      </c>
      <c r="B842" s="4" t="str">
        <f>IFERROR(VLOOKUP(parent_children_2[[#This Row],[parent_id]],abbreviation[],3,FALSE),"")</f>
        <v/>
      </c>
      <c r="C842" s="4" t="str">
        <f>IFERROR(VLOOKUP(parent_children_2[[#This Row],[children_id]],abbreviation[],ColumnLanguage+1,FALSE),"")</f>
        <v/>
      </c>
    </row>
    <row r="843" spans="1:3" x14ac:dyDescent="0.25">
      <c r="A843" s="4" t="str">
        <f>IFERROR(parent_children_2[[#This Row],[parent_children_id]],"")</f>
        <v/>
      </c>
      <c r="B843" s="4" t="str">
        <f>IFERROR(VLOOKUP(parent_children_2[[#This Row],[parent_id]],abbreviation[],3,FALSE),"")</f>
        <v/>
      </c>
      <c r="C843" s="4" t="str">
        <f>IFERROR(VLOOKUP(parent_children_2[[#This Row],[children_id]],abbreviation[],ColumnLanguage+1,FALSE),"")</f>
        <v/>
      </c>
    </row>
    <row r="844" spans="1:3" x14ac:dyDescent="0.25">
      <c r="A844" s="4" t="str">
        <f>IFERROR(parent_children_2[[#This Row],[parent_children_id]],"")</f>
        <v/>
      </c>
      <c r="B844" s="4" t="str">
        <f>IFERROR(VLOOKUP(parent_children_2[[#This Row],[parent_id]],abbreviation[],3,FALSE),"")</f>
        <v/>
      </c>
      <c r="C844" s="4" t="str">
        <f>IFERROR(VLOOKUP(parent_children_2[[#This Row],[children_id]],abbreviation[],ColumnLanguage+1,FALSE),"")</f>
        <v/>
      </c>
    </row>
    <row r="845" spans="1:3" x14ac:dyDescent="0.25">
      <c r="A845" s="4" t="str">
        <f>IFERROR(parent_children_2[[#This Row],[parent_children_id]],"")</f>
        <v/>
      </c>
      <c r="B845" s="4" t="str">
        <f>IFERROR(VLOOKUP(parent_children_2[[#This Row],[parent_id]],abbreviation[],3,FALSE),"")</f>
        <v/>
      </c>
      <c r="C845" s="4" t="str">
        <f>IFERROR(VLOOKUP(parent_children_2[[#This Row],[children_id]],abbreviation[],ColumnLanguage+1,FALSE),"")</f>
        <v/>
      </c>
    </row>
    <row r="846" spans="1:3" x14ac:dyDescent="0.25">
      <c r="A846" s="4" t="str">
        <f>IFERROR(parent_children_2[[#This Row],[parent_children_id]],"")</f>
        <v/>
      </c>
      <c r="B846" s="4" t="str">
        <f>IFERROR(VLOOKUP(parent_children_2[[#This Row],[parent_id]],abbreviation[],3,FALSE),"")</f>
        <v/>
      </c>
      <c r="C846" s="4" t="str">
        <f>IFERROR(VLOOKUP(parent_children_2[[#This Row],[children_id]],abbreviation[],ColumnLanguage+1,FALSE),"")</f>
        <v/>
      </c>
    </row>
    <row r="847" spans="1:3" x14ac:dyDescent="0.25">
      <c r="A847" s="4" t="str">
        <f>IFERROR(parent_children_2[[#This Row],[parent_children_id]],"")</f>
        <v/>
      </c>
      <c r="B847" s="4" t="str">
        <f>IFERROR(VLOOKUP(parent_children_2[[#This Row],[parent_id]],abbreviation[],3,FALSE),"")</f>
        <v/>
      </c>
      <c r="C847" s="4" t="str">
        <f>IFERROR(VLOOKUP(parent_children_2[[#This Row],[children_id]],abbreviation[],ColumnLanguage+1,FALSE),"")</f>
        <v/>
      </c>
    </row>
    <row r="848" spans="1:3" x14ac:dyDescent="0.25">
      <c r="A848" s="4" t="str">
        <f>IFERROR(parent_children_2[[#This Row],[parent_children_id]],"")</f>
        <v/>
      </c>
      <c r="B848" s="4" t="str">
        <f>IFERROR(VLOOKUP(parent_children_2[[#This Row],[parent_id]],abbreviation[],3,FALSE),"")</f>
        <v/>
      </c>
      <c r="C848" s="4" t="str">
        <f>IFERROR(VLOOKUP(parent_children_2[[#This Row],[children_id]],abbreviation[],ColumnLanguage+1,FALSE),"")</f>
        <v/>
      </c>
    </row>
    <row r="849" spans="1:3" x14ac:dyDescent="0.25">
      <c r="A849" s="4" t="str">
        <f>IFERROR(parent_children_2[[#This Row],[parent_children_id]],"")</f>
        <v/>
      </c>
      <c r="B849" s="4" t="str">
        <f>IFERROR(VLOOKUP(parent_children_2[[#This Row],[parent_id]],abbreviation[],3,FALSE),"")</f>
        <v/>
      </c>
      <c r="C849" s="4" t="str">
        <f>IFERROR(VLOOKUP(parent_children_2[[#This Row],[children_id]],abbreviation[],ColumnLanguage+1,FALSE),"")</f>
        <v/>
      </c>
    </row>
    <row r="850" spans="1:3" x14ac:dyDescent="0.25">
      <c r="A850" s="4" t="str">
        <f>IFERROR(parent_children_2[[#This Row],[parent_children_id]],"")</f>
        <v/>
      </c>
      <c r="B850" s="4" t="str">
        <f>IFERROR(VLOOKUP(parent_children_2[[#This Row],[parent_id]],abbreviation[],3,FALSE),"")</f>
        <v/>
      </c>
      <c r="C850" s="4" t="str">
        <f>IFERROR(VLOOKUP(parent_children_2[[#This Row],[children_id]],abbreviation[],ColumnLanguage+1,FALSE),"")</f>
        <v/>
      </c>
    </row>
    <row r="851" spans="1:3" x14ac:dyDescent="0.25">
      <c r="A851" s="4" t="str">
        <f>IFERROR(parent_children_2[[#This Row],[parent_children_id]],"")</f>
        <v/>
      </c>
      <c r="B851" s="4" t="str">
        <f>IFERROR(VLOOKUP(parent_children_2[[#This Row],[parent_id]],abbreviation[],3,FALSE),"")</f>
        <v/>
      </c>
      <c r="C851" s="4" t="str">
        <f>IFERROR(VLOOKUP(parent_children_2[[#This Row],[children_id]],abbreviation[],ColumnLanguage+1,FALSE),"")</f>
        <v/>
      </c>
    </row>
    <row r="852" spans="1:3" x14ac:dyDescent="0.25">
      <c r="A852" s="4" t="str">
        <f>IFERROR(parent_children_2[[#This Row],[parent_children_id]],"")</f>
        <v/>
      </c>
      <c r="B852" s="4" t="str">
        <f>IFERROR(VLOOKUP(parent_children_2[[#This Row],[parent_id]],abbreviation[],3,FALSE),"")</f>
        <v/>
      </c>
      <c r="C852" s="4" t="str">
        <f>IFERROR(VLOOKUP(parent_children_2[[#This Row],[children_id]],abbreviation[],ColumnLanguage+1,FALSE),"")</f>
        <v/>
      </c>
    </row>
    <row r="853" spans="1:3" x14ac:dyDescent="0.25">
      <c r="A853" s="4" t="str">
        <f>IFERROR(parent_children_2[[#This Row],[parent_children_id]],"")</f>
        <v/>
      </c>
      <c r="B853" s="4" t="str">
        <f>IFERROR(VLOOKUP(parent_children_2[[#This Row],[parent_id]],abbreviation[],3,FALSE),"")</f>
        <v/>
      </c>
      <c r="C853" s="4" t="str">
        <f>IFERROR(VLOOKUP(parent_children_2[[#This Row],[children_id]],abbreviation[],ColumnLanguage+1,FALSE),"")</f>
        <v/>
      </c>
    </row>
    <row r="854" spans="1:3" x14ac:dyDescent="0.25">
      <c r="A854" s="4" t="str">
        <f>IFERROR(parent_children_2[[#This Row],[parent_children_id]],"")</f>
        <v/>
      </c>
      <c r="B854" s="4" t="str">
        <f>IFERROR(VLOOKUP(parent_children_2[[#This Row],[parent_id]],abbreviation[],3,FALSE),"")</f>
        <v/>
      </c>
      <c r="C854" s="4" t="str">
        <f>IFERROR(VLOOKUP(parent_children_2[[#This Row],[children_id]],abbreviation[],ColumnLanguage+1,FALSE),"")</f>
        <v/>
      </c>
    </row>
    <row r="855" spans="1:3" x14ac:dyDescent="0.25">
      <c r="A855" s="4" t="str">
        <f>IFERROR(parent_children_2[[#This Row],[parent_children_id]],"")</f>
        <v/>
      </c>
      <c r="B855" s="4" t="str">
        <f>IFERROR(VLOOKUP(parent_children_2[[#This Row],[parent_id]],abbreviation[],3,FALSE),"")</f>
        <v/>
      </c>
      <c r="C855" s="4" t="str">
        <f>IFERROR(VLOOKUP(parent_children_2[[#This Row],[children_id]],abbreviation[],ColumnLanguage+1,FALSE),"")</f>
        <v/>
      </c>
    </row>
    <row r="856" spans="1:3" x14ac:dyDescent="0.25">
      <c r="A856" s="4" t="str">
        <f>IFERROR(parent_children_2[[#This Row],[parent_children_id]],"")</f>
        <v/>
      </c>
      <c r="B856" s="4" t="str">
        <f>IFERROR(VLOOKUP(parent_children_2[[#This Row],[parent_id]],abbreviation[],3,FALSE),"")</f>
        <v/>
      </c>
      <c r="C856" s="4" t="str">
        <f>IFERROR(VLOOKUP(parent_children_2[[#This Row],[children_id]],abbreviation[],ColumnLanguage+1,FALSE),"")</f>
        <v/>
      </c>
    </row>
    <row r="857" spans="1:3" x14ac:dyDescent="0.25">
      <c r="A857" s="4" t="str">
        <f>IFERROR(parent_children_2[[#This Row],[parent_children_id]],"")</f>
        <v/>
      </c>
      <c r="B857" s="4" t="str">
        <f>IFERROR(VLOOKUP(parent_children_2[[#This Row],[parent_id]],abbreviation[],3,FALSE),"")</f>
        <v/>
      </c>
      <c r="C857" s="4" t="str">
        <f>IFERROR(VLOOKUP(parent_children_2[[#This Row],[children_id]],abbreviation[],ColumnLanguage+1,FALSE),"")</f>
        <v/>
      </c>
    </row>
    <row r="858" spans="1:3" x14ac:dyDescent="0.25">
      <c r="A858" s="4" t="str">
        <f>IFERROR(parent_children_2[[#This Row],[parent_children_id]],"")</f>
        <v/>
      </c>
      <c r="B858" s="4" t="str">
        <f>IFERROR(VLOOKUP(parent_children_2[[#This Row],[parent_id]],abbreviation[],3,FALSE),"")</f>
        <v/>
      </c>
      <c r="C858" s="4" t="str">
        <f>IFERROR(VLOOKUP(parent_children_2[[#This Row],[children_id]],abbreviation[],ColumnLanguage+1,FALSE),"")</f>
        <v/>
      </c>
    </row>
    <row r="859" spans="1:3" x14ac:dyDescent="0.25">
      <c r="A859" s="4" t="str">
        <f>IFERROR(parent_children_2[[#This Row],[parent_children_id]],"")</f>
        <v/>
      </c>
      <c r="B859" s="4" t="str">
        <f>IFERROR(VLOOKUP(parent_children_2[[#This Row],[parent_id]],abbreviation[],3,FALSE),"")</f>
        <v/>
      </c>
      <c r="C859" s="4" t="str">
        <f>IFERROR(VLOOKUP(parent_children_2[[#This Row],[children_id]],abbreviation[],ColumnLanguage+1,FALSE),"")</f>
        <v/>
      </c>
    </row>
    <row r="860" spans="1:3" x14ac:dyDescent="0.25">
      <c r="A860" s="4" t="str">
        <f>IFERROR(parent_children_2[[#This Row],[parent_children_id]],"")</f>
        <v/>
      </c>
      <c r="B860" s="4" t="str">
        <f>IFERROR(VLOOKUP(parent_children_2[[#This Row],[parent_id]],abbreviation[],3,FALSE),"")</f>
        <v/>
      </c>
      <c r="C860" s="4" t="str">
        <f>IFERROR(VLOOKUP(parent_children_2[[#This Row],[children_id]],abbreviation[],ColumnLanguage+1,FALSE),"")</f>
        <v/>
      </c>
    </row>
    <row r="861" spans="1:3" x14ac:dyDescent="0.25">
      <c r="A861" s="4" t="str">
        <f>IFERROR(parent_children_2[[#This Row],[parent_children_id]],"")</f>
        <v/>
      </c>
      <c r="B861" s="4" t="str">
        <f>IFERROR(VLOOKUP(parent_children_2[[#This Row],[parent_id]],abbreviation[],3,FALSE),"")</f>
        <v/>
      </c>
      <c r="C861" s="4" t="str">
        <f>IFERROR(VLOOKUP(parent_children_2[[#This Row],[children_id]],abbreviation[],ColumnLanguage+1,FALSE),"")</f>
        <v/>
      </c>
    </row>
    <row r="862" spans="1:3" x14ac:dyDescent="0.25">
      <c r="A862" s="4" t="str">
        <f>IFERROR(parent_children_2[[#This Row],[parent_children_id]],"")</f>
        <v/>
      </c>
      <c r="B862" s="4" t="str">
        <f>IFERROR(VLOOKUP(parent_children_2[[#This Row],[parent_id]],abbreviation[],3,FALSE),"")</f>
        <v/>
      </c>
      <c r="C862" s="4" t="str">
        <f>IFERROR(VLOOKUP(parent_children_2[[#This Row],[children_id]],abbreviation[],ColumnLanguage+1,FALSE),"")</f>
        <v/>
      </c>
    </row>
    <row r="863" spans="1:3" x14ac:dyDescent="0.25">
      <c r="A863" s="4" t="str">
        <f>IFERROR(parent_children_2[[#This Row],[parent_children_id]],"")</f>
        <v/>
      </c>
      <c r="B863" s="4" t="str">
        <f>IFERROR(VLOOKUP(parent_children_2[[#This Row],[parent_id]],abbreviation[],3,FALSE),"")</f>
        <v/>
      </c>
      <c r="C863" s="4" t="str">
        <f>IFERROR(VLOOKUP(parent_children_2[[#This Row],[children_id]],abbreviation[],ColumnLanguage+1,FALSE),"")</f>
        <v/>
      </c>
    </row>
    <row r="864" spans="1:3" x14ac:dyDescent="0.25">
      <c r="A864" s="4" t="str">
        <f>IFERROR(parent_children_2[[#This Row],[parent_children_id]],"")</f>
        <v/>
      </c>
      <c r="B864" s="4" t="str">
        <f>IFERROR(VLOOKUP(parent_children_2[[#This Row],[parent_id]],abbreviation[],3,FALSE),"")</f>
        <v/>
      </c>
      <c r="C864" s="4" t="str">
        <f>IFERROR(VLOOKUP(parent_children_2[[#This Row],[children_id]],abbreviation[],ColumnLanguage+1,FALSE),"")</f>
        <v/>
      </c>
    </row>
    <row r="865" spans="1:3" x14ac:dyDescent="0.25">
      <c r="A865" s="4" t="str">
        <f>IFERROR(parent_children_2[[#This Row],[parent_children_id]],"")</f>
        <v/>
      </c>
      <c r="B865" s="4" t="str">
        <f>IFERROR(VLOOKUP(parent_children_2[[#This Row],[parent_id]],abbreviation[],3,FALSE),"")</f>
        <v/>
      </c>
      <c r="C865" s="4" t="str">
        <f>IFERROR(VLOOKUP(parent_children_2[[#This Row],[children_id]],abbreviation[],ColumnLanguage+1,FALSE),"")</f>
        <v/>
      </c>
    </row>
    <row r="866" spans="1:3" x14ac:dyDescent="0.25">
      <c r="A866" s="4" t="str">
        <f>IFERROR(parent_children_2[[#This Row],[parent_children_id]],"")</f>
        <v/>
      </c>
      <c r="B866" s="4" t="str">
        <f>IFERROR(VLOOKUP(parent_children_2[[#This Row],[parent_id]],abbreviation[],3,FALSE),"")</f>
        <v/>
      </c>
      <c r="C866" s="4" t="str">
        <f>IFERROR(VLOOKUP(parent_children_2[[#This Row],[children_id]],abbreviation[],ColumnLanguage+1,FALSE),"")</f>
        <v/>
      </c>
    </row>
    <row r="867" spans="1:3" x14ac:dyDescent="0.25">
      <c r="A867" s="4" t="str">
        <f>IFERROR(parent_children_2[[#This Row],[parent_children_id]],"")</f>
        <v/>
      </c>
      <c r="B867" s="4" t="str">
        <f>IFERROR(VLOOKUP(parent_children_2[[#This Row],[parent_id]],abbreviation[],3,FALSE),"")</f>
        <v/>
      </c>
      <c r="C867" s="4" t="str">
        <f>IFERROR(VLOOKUP(parent_children_2[[#This Row],[children_id]],abbreviation[],ColumnLanguage+1,FALSE),"")</f>
        <v/>
      </c>
    </row>
    <row r="868" spans="1:3" x14ac:dyDescent="0.25">
      <c r="A868" s="4" t="str">
        <f>IFERROR(parent_children_2[[#This Row],[parent_children_id]],"")</f>
        <v/>
      </c>
      <c r="B868" s="4" t="str">
        <f>IFERROR(VLOOKUP(parent_children_2[[#This Row],[parent_id]],abbreviation[],3,FALSE),"")</f>
        <v/>
      </c>
      <c r="C868" s="4" t="str">
        <f>IFERROR(VLOOKUP(parent_children_2[[#This Row],[children_id]],abbreviation[],ColumnLanguage+1,FALSE),"")</f>
        <v/>
      </c>
    </row>
    <row r="869" spans="1:3" x14ac:dyDescent="0.25">
      <c r="A869" s="4" t="str">
        <f>IFERROR(parent_children_2[[#This Row],[parent_children_id]],"")</f>
        <v/>
      </c>
      <c r="B869" s="4" t="str">
        <f>IFERROR(VLOOKUP(parent_children_2[[#This Row],[parent_id]],abbreviation[],3,FALSE),"")</f>
        <v/>
      </c>
      <c r="C869" s="4" t="str">
        <f>IFERROR(VLOOKUP(parent_children_2[[#This Row],[children_id]],abbreviation[],ColumnLanguage+1,FALSE),"")</f>
        <v/>
      </c>
    </row>
    <row r="870" spans="1:3" x14ac:dyDescent="0.25">
      <c r="A870" s="4" t="str">
        <f>IFERROR(parent_children_2[[#This Row],[parent_children_id]],"")</f>
        <v/>
      </c>
      <c r="B870" s="4" t="str">
        <f>IFERROR(VLOOKUP(parent_children_2[[#This Row],[parent_id]],abbreviation[],3,FALSE),"")</f>
        <v/>
      </c>
      <c r="C870" s="4" t="str">
        <f>IFERROR(VLOOKUP(parent_children_2[[#This Row],[children_id]],abbreviation[],ColumnLanguage+1,FALSE),"")</f>
        <v/>
      </c>
    </row>
    <row r="871" spans="1:3" x14ac:dyDescent="0.25">
      <c r="A871" s="4" t="str">
        <f>IFERROR(parent_children_2[[#This Row],[parent_children_id]],"")</f>
        <v/>
      </c>
      <c r="B871" s="4" t="str">
        <f>IFERROR(VLOOKUP(parent_children_2[[#This Row],[parent_id]],abbreviation[],3,FALSE),"")</f>
        <v/>
      </c>
      <c r="C871" s="4" t="str">
        <f>IFERROR(VLOOKUP(parent_children_2[[#This Row],[children_id]],abbreviation[],ColumnLanguage+1,FALSE),"")</f>
        <v/>
      </c>
    </row>
    <row r="872" spans="1:3" x14ac:dyDescent="0.25">
      <c r="A872" s="4" t="str">
        <f>IFERROR(parent_children_2[[#This Row],[parent_children_id]],"")</f>
        <v/>
      </c>
      <c r="B872" s="4" t="str">
        <f>IFERROR(VLOOKUP(parent_children_2[[#This Row],[parent_id]],abbreviation[],3,FALSE),"")</f>
        <v/>
      </c>
      <c r="C872" s="4" t="str">
        <f>IFERROR(VLOOKUP(parent_children_2[[#This Row],[children_id]],abbreviation[],ColumnLanguage+1,FALSE),"")</f>
        <v/>
      </c>
    </row>
    <row r="873" spans="1:3" x14ac:dyDescent="0.25">
      <c r="A873" s="4" t="str">
        <f>IFERROR(parent_children_2[[#This Row],[parent_children_id]],"")</f>
        <v/>
      </c>
      <c r="B873" s="4" t="str">
        <f>IFERROR(VLOOKUP(parent_children_2[[#This Row],[parent_id]],abbreviation[],3,FALSE),"")</f>
        <v/>
      </c>
      <c r="C873" s="4" t="str">
        <f>IFERROR(VLOOKUP(parent_children_2[[#This Row],[children_id]],abbreviation[],ColumnLanguage+1,FALSE),"")</f>
        <v/>
      </c>
    </row>
    <row r="874" spans="1:3" x14ac:dyDescent="0.25">
      <c r="A874" s="4" t="str">
        <f>IFERROR(parent_children_2[[#This Row],[parent_children_id]],"")</f>
        <v/>
      </c>
      <c r="B874" s="4" t="str">
        <f>IFERROR(VLOOKUP(parent_children_2[[#This Row],[parent_id]],abbreviation[],3,FALSE),"")</f>
        <v/>
      </c>
      <c r="C874" s="4" t="str">
        <f>IFERROR(VLOOKUP(parent_children_2[[#This Row],[children_id]],abbreviation[],ColumnLanguage+1,FALSE),"")</f>
        <v/>
      </c>
    </row>
    <row r="875" spans="1:3" x14ac:dyDescent="0.25">
      <c r="A875" s="4" t="str">
        <f>IFERROR(parent_children_2[[#This Row],[parent_children_id]],"")</f>
        <v/>
      </c>
      <c r="B875" s="4" t="str">
        <f>IFERROR(VLOOKUP(parent_children_2[[#This Row],[parent_id]],abbreviation[],3,FALSE),"")</f>
        <v/>
      </c>
      <c r="C875" s="4" t="str">
        <f>IFERROR(VLOOKUP(parent_children_2[[#This Row],[children_id]],abbreviation[],ColumnLanguage+1,FALSE),"")</f>
        <v/>
      </c>
    </row>
    <row r="876" spans="1:3" x14ac:dyDescent="0.25">
      <c r="A876" s="4" t="str">
        <f>IFERROR(parent_children_2[[#This Row],[parent_children_id]],"")</f>
        <v/>
      </c>
      <c r="B876" s="4" t="str">
        <f>IFERROR(VLOOKUP(parent_children_2[[#This Row],[parent_id]],abbreviation[],3,FALSE),"")</f>
        <v/>
      </c>
      <c r="C876" s="4" t="str">
        <f>IFERROR(VLOOKUP(parent_children_2[[#This Row],[children_id]],abbreviation[],ColumnLanguage+1,FALSE),"")</f>
        <v/>
      </c>
    </row>
    <row r="877" spans="1:3" x14ac:dyDescent="0.25">
      <c r="A877" s="4" t="str">
        <f>IFERROR(parent_children_2[[#This Row],[parent_children_id]],"")</f>
        <v/>
      </c>
      <c r="B877" s="4" t="str">
        <f>IFERROR(VLOOKUP(parent_children_2[[#This Row],[parent_id]],abbreviation[],3,FALSE),"")</f>
        <v/>
      </c>
      <c r="C877" s="4" t="str">
        <f>IFERROR(VLOOKUP(parent_children_2[[#This Row],[children_id]],abbreviation[],ColumnLanguage+1,FALSE),"")</f>
        <v/>
      </c>
    </row>
    <row r="878" spans="1:3" x14ac:dyDescent="0.25">
      <c r="A878" s="4" t="str">
        <f>IFERROR(parent_children_2[[#This Row],[parent_children_id]],"")</f>
        <v/>
      </c>
      <c r="B878" s="4" t="str">
        <f>IFERROR(VLOOKUP(parent_children_2[[#This Row],[parent_id]],abbreviation[],3,FALSE),"")</f>
        <v/>
      </c>
      <c r="C878" s="4" t="str">
        <f>IFERROR(VLOOKUP(parent_children_2[[#This Row],[children_id]],abbreviation[],ColumnLanguage+1,FALSE),"")</f>
        <v/>
      </c>
    </row>
    <row r="879" spans="1:3" x14ac:dyDescent="0.25">
      <c r="A879" s="4" t="str">
        <f>IFERROR(parent_children_2[[#This Row],[parent_children_id]],"")</f>
        <v/>
      </c>
      <c r="B879" s="4" t="str">
        <f>IFERROR(VLOOKUP(parent_children_2[[#This Row],[parent_id]],abbreviation[],3,FALSE),"")</f>
        <v/>
      </c>
      <c r="C879" s="4" t="str">
        <f>IFERROR(VLOOKUP(parent_children_2[[#This Row],[children_id]],abbreviation[],ColumnLanguage+1,FALSE),"")</f>
        <v/>
      </c>
    </row>
    <row r="880" spans="1:3" x14ac:dyDescent="0.25">
      <c r="A880" s="4" t="str">
        <f>IFERROR(parent_children_2[[#This Row],[parent_children_id]],"")</f>
        <v/>
      </c>
      <c r="B880" s="4" t="str">
        <f>IFERROR(VLOOKUP(parent_children_2[[#This Row],[parent_id]],abbreviation[],3,FALSE),"")</f>
        <v/>
      </c>
      <c r="C880" s="4" t="str">
        <f>IFERROR(VLOOKUP(parent_children_2[[#This Row],[children_id]],abbreviation[],ColumnLanguage+1,FALSE),"")</f>
        <v/>
      </c>
    </row>
    <row r="881" spans="1:3" x14ac:dyDescent="0.25">
      <c r="A881" s="4" t="str">
        <f>IFERROR(parent_children_2[[#This Row],[parent_children_id]],"")</f>
        <v/>
      </c>
      <c r="B881" s="4" t="str">
        <f>IFERROR(VLOOKUP(parent_children_2[[#This Row],[parent_id]],abbreviation[],3,FALSE),"")</f>
        <v/>
      </c>
      <c r="C881" s="4" t="str">
        <f>IFERROR(VLOOKUP(parent_children_2[[#This Row],[children_id]],abbreviation[],ColumnLanguage+1,FALSE),"")</f>
        <v/>
      </c>
    </row>
    <row r="882" spans="1:3" x14ac:dyDescent="0.25">
      <c r="A882" s="4" t="str">
        <f>IFERROR(parent_children_2[[#This Row],[parent_children_id]],"")</f>
        <v/>
      </c>
      <c r="B882" s="4" t="str">
        <f>IFERROR(VLOOKUP(parent_children_2[[#This Row],[parent_id]],abbreviation[],3,FALSE),"")</f>
        <v/>
      </c>
      <c r="C882" s="4" t="str">
        <f>IFERROR(VLOOKUP(parent_children_2[[#This Row],[children_id]],abbreviation[],ColumnLanguage+1,FALSE),"")</f>
        <v/>
      </c>
    </row>
    <row r="883" spans="1:3" x14ac:dyDescent="0.25">
      <c r="A883" s="4" t="str">
        <f>IFERROR(parent_children_2[[#This Row],[parent_children_id]],"")</f>
        <v/>
      </c>
      <c r="B883" s="4" t="str">
        <f>IFERROR(VLOOKUP(parent_children_2[[#This Row],[parent_id]],abbreviation[],3,FALSE),"")</f>
        <v/>
      </c>
      <c r="C883" s="4" t="str">
        <f>IFERROR(VLOOKUP(parent_children_2[[#This Row],[children_id]],abbreviation[],ColumnLanguage+1,FALSE),"")</f>
        <v/>
      </c>
    </row>
    <row r="884" spans="1:3" x14ac:dyDescent="0.25">
      <c r="A884" s="4" t="str">
        <f>IFERROR(parent_children_2[[#This Row],[parent_children_id]],"")</f>
        <v/>
      </c>
      <c r="B884" s="4" t="str">
        <f>IFERROR(VLOOKUP(parent_children_2[[#This Row],[parent_id]],abbreviation[],3,FALSE),"")</f>
        <v/>
      </c>
      <c r="C884" s="4" t="str">
        <f>IFERROR(VLOOKUP(parent_children_2[[#This Row],[children_id]],abbreviation[],ColumnLanguage+1,FALSE),"")</f>
        <v/>
      </c>
    </row>
    <row r="885" spans="1:3" x14ac:dyDescent="0.25">
      <c r="A885" s="4" t="str">
        <f>IFERROR(parent_children_2[[#This Row],[parent_children_id]],"")</f>
        <v/>
      </c>
      <c r="B885" s="4" t="str">
        <f>IFERROR(VLOOKUP(parent_children_2[[#This Row],[parent_id]],abbreviation[],3,FALSE),"")</f>
        <v/>
      </c>
      <c r="C885" s="4" t="str">
        <f>IFERROR(VLOOKUP(parent_children_2[[#This Row],[children_id]],abbreviation[],ColumnLanguage+1,FALSE),"")</f>
        <v/>
      </c>
    </row>
    <row r="886" spans="1:3" x14ac:dyDescent="0.25">
      <c r="A886" s="4" t="str">
        <f>IFERROR(parent_children_2[[#This Row],[parent_children_id]],"")</f>
        <v/>
      </c>
      <c r="B886" s="4" t="str">
        <f>IFERROR(VLOOKUP(parent_children_2[[#This Row],[parent_id]],abbreviation[],3,FALSE),"")</f>
        <v/>
      </c>
      <c r="C886" s="4" t="str">
        <f>IFERROR(VLOOKUP(parent_children_2[[#This Row],[children_id]],abbreviation[],ColumnLanguage+1,FALSE),"")</f>
        <v/>
      </c>
    </row>
    <row r="887" spans="1:3" x14ac:dyDescent="0.25">
      <c r="A887" s="4" t="str">
        <f>IFERROR(parent_children_2[[#This Row],[parent_children_id]],"")</f>
        <v/>
      </c>
      <c r="B887" s="4" t="str">
        <f>IFERROR(VLOOKUP(parent_children_2[[#This Row],[parent_id]],abbreviation[],3,FALSE),"")</f>
        <v/>
      </c>
      <c r="C887" s="4" t="str">
        <f>IFERROR(VLOOKUP(parent_children_2[[#This Row],[children_id]],abbreviation[],ColumnLanguage+1,FALSE),"")</f>
        <v/>
      </c>
    </row>
    <row r="888" spans="1:3" x14ac:dyDescent="0.25">
      <c r="A888" s="4" t="str">
        <f>IFERROR(parent_children_2[[#This Row],[parent_children_id]],"")</f>
        <v/>
      </c>
      <c r="B888" s="4" t="str">
        <f>IFERROR(VLOOKUP(parent_children_2[[#This Row],[parent_id]],abbreviation[],3,FALSE),"")</f>
        <v/>
      </c>
      <c r="C888" s="4" t="str">
        <f>IFERROR(VLOOKUP(parent_children_2[[#This Row],[children_id]],abbreviation[],ColumnLanguage+1,FALSE),"")</f>
        <v/>
      </c>
    </row>
    <row r="889" spans="1:3" x14ac:dyDescent="0.25">
      <c r="A889" s="4" t="str">
        <f>IFERROR(parent_children_2[[#This Row],[parent_children_id]],"")</f>
        <v/>
      </c>
      <c r="B889" s="4" t="str">
        <f>IFERROR(VLOOKUP(parent_children_2[[#This Row],[parent_id]],abbreviation[],3,FALSE),"")</f>
        <v/>
      </c>
      <c r="C889" s="4" t="str">
        <f>IFERROR(VLOOKUP(parent_children_2[[#This Row],[children_id]],abbreviation[],ColumnLanguage+1,FALSE),"")</f>
        <v/>
      </c>
    </row>
    <row r="890" spans="1:3" x14ac:dyDescent="0.25">
      <c r="A890" s="4" t="str">
        <f>IFERROR(parent_children_2[[#This Row],[parent_children_id]],"")</f>
        <v/>
      </c>
      <c r="B890" s="4" t="str">
        <f>IFERROR(VLOOKUP(parent_children_2[[#This Row],[parent_id]],abbreviation[],3,FALSE),"")</f>
        <v/>
      </c>
      <c r="C890" s="4" t="str">
        <f>IFERROR(VLOOKUP(parent_children_2[[#This Row],[children_id]],abbreviation[],ColumnLanguage+1,FALSE),"")</f>
        <v/>
      </c>
    </row>
    <row r="891" spans="1:3" x14ac:dyDescent="0.25">
      <c r="A891" s="4" t="str">
        <f>IFERROR(parent_children_2[[#This Row],[parent_children_id]],"")</f>
        <v/>
      </c>
      <c r="B891" s="4" t="str">
        <f>IFERROR(VLOOKUP(parent_children_2[[#This Row],[parent_id]],abbreviation[],3,FALSE),"")</f>
        <v/>
      </c>
      <c r="C891" s="4" t="str">
        <f>IFERROR(VLOOKUP(parent_children_2[[#This Row],[children_id]],abbreviation[],ColumnLanguage+1,FALSE),"")</f>
        <v/>
      </c>
    </row>
    <row r="892" spans="1:3" x14ac:dyDescent="0.25">
      <c r="A892" s="4" t="str">
        <f>IFERROR(parent_children_2[[#This Row],[parent_children_id]],"")</f>
        <v/>
      </c>
      <c r="B892" s="4" t="str">
        <f>IFERROR(VLOOKUP(parent_children_2[[#This Row],[parent_id]],abbreviation[],3,FALSE),"")</f>
        <v/>
      </c>
      <c r="C892" s="4" t="str">
        <f>IFERROR(VLOOKUP(parent_children_2[[#This Row],[children_id]],abbreviation[],ColumnLanguage+1,FALSE),"")</f>
        <v/>
      </c>
    </row>
    <row r="893" spans="1:3" x14ac:dyDescent="0.25">
      <c r="A893" s="4" t="str">
        <f>IFERROR(parent_children_2[[#This Row],[parent_children_id]],"")</f>
        <v/>
      </c>
      <c r="B893" s="4" t="str">
        <f>IFERROR(VLOOKUP(parent_children_2[[#This Row],[parent_id]],abbreviation[],3,FALSE),"")</f>
        <v/>
      </c>
      <c r="C893" s="4" t="str">
        <f>IFERROR(VLOOKUP(parent_children_2[[#This Row],[children_id]],abbreviation[],ColumnLanguage+1,FALSE),"")</f>
        <v/>
      </c>
    </row>
    <row r="894" spans="1:3" x14ac:dyDescent="0.25">
      <c r="A894" s="4" t="str">
        <f>IFERROR(parent_children_2[[#This Row],[parent_children_id]],"")</f>
        <v/>
      </c>
      <c r="B894" s="4" t="str">
        <f>IFERROR(VLOOKUP(parent_children_2[[#This Row],[parent_id]],abbreviation[],3,FALSE),"")</f>
        <v/>
      </c>
      <c r="C894" s="4" t="str">
        <f>IFERROR(VLOOKUP(parent_children_2[[#This Row],[children_id]],abbreviation[],ColumnLanguage+1,FALSE),"")</f>
        <v/>
      </c>
    </row>
    <row r="895" spans="1:3" x14ac:dyDescent="0.25">
      <c r="A895" s="4" t="str">
        <f>IFERROR(parent_children_2[[#This Row],[parent_children_id]],"")</f>
        <v/>
      </c>
      <c r="B895" s="4" t="str">
        <f>IFERROR(VLOOKUP(parent_children_2[[#This Row],[parent_id]],abbreviation[],3,FALSE),"")</f>
        <v/>
      </c>
      <c r="C895" s="4" t="str">
        <f>IFERROR(VLOOKUP(parent_children_2[[#This Row],[children_id]],abbreviation[],ColumnLanguage+1,FALSE),"")</f>
        <v/>
      </c>
    </row>
    <row r="896" spans="1:3" x14ac:dyDescent="0.25">
      <c r="A896" s="4" t="str">
        <f>IFERROR(parent_children_2[[#This Row],[parent_children_id]],"")</f>
        <v/>
      </c>
      <c r="B896" s="4" t="str">
        <f>IFERROR(VLOOKUP(parent_children_2[[#This Row],[parent_id]],abbreviation[],3,FALSE),"")</f>
        <v/>
      </c>
      <c r="C896" s="4" t="str">
        <f>IFERROR(VLOOKUP(parent_children_2[[#This Row],[children_id]],abbreviation[],ColumnLanguage+1,FALSE),"")</f>
        <v/>
      </c>
    </row>
    <row r="897" spans="1:3" x14ac:dyDescent="0.25">
      <c r="A897" s="4" t="str">
        <f>IFERROR(parent_children_2[[#This Row],[parent_children_id]],"")</f>
        <v/>
      </c>
      <c r="B897" s="4" t="str">
        <f>IFERROR(VLOOKUP(parent_children_2[[#This Row],[parent_id]],abbreviation[],3,FALSE),"")</f>
        <v/>
      </c>
      <c r="C897" s="4" t="str">
        <f>IFERROR(VLOOKUP(parent_children_2[[#This Row],[children_id]],abbreviation[],ColumnLanguage+1,FALSE),"")</f>
        <v/>
      </c>
    </row>
    <row r="898" spans="1:3" x14ac:dyDescent="0.25">
      <c r="A898" s="4" t="str">
        <f>IFERROR(parent_children_2[[#This Row],[parent_children_id]],"")</f>
        <v/>
      </c>
      <c r="B898" s="4" t="str">
        <f>IFERROR(VLOOKUP(parent_children_2[[#This Row],[parent_id]],abbreviation[],3,FALSE),"")</f>
        <v/>
      </c>
      <c r="C898" s="4" t="str">
        <f>IFERROR(VLOOKUP(parent_children_2[[#This Row],[children_id]],abbreviation[],ColumnLanguage+1,FALSE),"")</f>
        <v/>
      </c>
    </row>
    <row r="899" spans="1:3" x14ac:dyDescent="0.25">
      <c r="A899" s="4" t="str">
        <f>IFERROR(parent_children_2[[#This Row],[parent_children_id]],"")</f>
        <v/>
      </c>
      <c r="B899" s="4" t="str">
        <f>IFERROR(VLOOKUP(parent_children_2[[#This Row],[parent_id]],abbreviation[],3,FALSE),"")</f>
        <v/>
      </c>
      <c r="C899" s="4" t="str">
        <f>IFERROR(VLOOKUP(parent_children_2[[#This Row],[children_id]],abbreviation[],ColumnLanguage+1,FALSE),"")</f>
        <v/>
      </c>
    </row>
    <row r="900" spans="1:3" x14ac:dyDescent="0.25">
      <c r="A900" s="4" t="str">
        <f>IFERROR(parent_children_2[[#This Row],[parent_children_id]],"")</f>
        <v/>
      </c>
      <c r="B900" s="4" t="str">
        <f>IFERROR(VLOOKUP(parent_children_2[[#This Row],[parent_id]],abbreviation[],3,FALSE),"")</f>
        <v/>
      </c>
      <c r="C900" s="4" t="str">
        <f>IFERROR(VLOOKUP(parent_children_2[[#This Row],[children_id]],abbreviation[],ColumnLanguage+1,FALSE),"")</f>
        <v/>
      </c>
    </row>
    <row r="901" spans="1:3" x14ac:dyDescent="0.25">
      <c r="A901" s="4" t="str">
        <f>IFERROR(parent_children_2[[#This Row],[parent_children_id]],"")</f>
        <v/>
      </c>
      <c r="B901" s="4" t="str">
        <f>IFERROR(VLOOKUP(parent_children_2[[#This Row],[parent_id]],abbreviation[],3,FALSE),"")</f>
        <v/>
      </c>
      <c r="C901" s="4" t="str">
        <f>IFERROR(VLOOKUP(parent_children_2[[#This Row],[children_id]],abbreviation[],ColumnLanguage+1,FALSE),"")</f>
        <v/>
      </c>
    </row>
    <row r="902" spans="1:3" x14ac:dyDescent="0.25">
      <c r="A902" s="4" t="str">
        <f>IFERROR(parent_children_2[[#This Row],[parent_children_id]],"")</f>
        <v/>
      </c>
      <c r="B902" s="4" t="str">
        <f>IFERROR(VLOOKUP(parent_children_2[[#This Row],[parent_id]],abbreviation[],3,FALSE),"")</f>
        <v/>
      </c>
      <c r="C902" s="4" t="str">
        <f>IFERROR(VLOOKUP(parent_children_2[[#This Row],[children_id]],abbreviation[],ColumnLanguage+1,FALSE),"")</f>
        <v/>
      </c>
    </row>
    <row r="903" spans="1:3" x14ac:dyDescent="0.25">
      <c r="A903" s="4" t="str">
        <f>IFERROR(parent_children_2[[#This Row],[parent_children_id]],"")</f>
        <v/>
      </c>
      <c r="B903" s="4" t="str">
        <f>IFERROR(VLOOKUP(parent_children_2[[#This Row],[parent_id]],abbreviation[],3,FALSE),"")</f>
        <v/>
      </c>
      <c r="C903" s="4" t="str">
        <f>IFERROR(VLOOKUP(parent_children_2[[#This Row],[children_id]],abbreviation[],ColumnLanguage+1,FALSE),"")</f>
        <v/>
      </c>
    </row>
    <row r="904" spans="1:3" x14ac:dyDescent="0.25">
      <c r="A904" s="4" t="str">
        <f>IFERROR(parent_children_2[[#This Row],[parent_children_id]],"")</f>
        <v/>
      </c>
      <c r="B904" s="4" t="str">
        <f>IFERROR(VLOOKUP(parent_children_2[[#This Row],[parent_id]],abbreviation[],3,FALSE),"")</f>
        <v/>
      </c>
      <c r="C904" s="4" t="str">
        <f>IFERROR(VLOOKUP(parent_children_2[[#This Row],[children_id]],abbreviation[],ColumnLanguage+1,FALSE),"")</f>
        <v/>
      </c>
    </row>
    <row r="905" spans="1:3" x14ac:dyDescent="0.25">
      <c r="A905" s="4" t="str">
        <f>IFERROR(parent_children_2[[#This Row],[parent_children_id]],"")</f>
        <v/>
      </c>
      <c r="B905" s="4" t="str">
        <f>IFERROR(VLOOKUP(parent_children_2[[#This Row],[parent_id]],abbreviation[],3,FALSE),"")</f>
        <v/>
      </c>
      <c r="C905" s="4" t="str">
        <f>IFERROR(VLOOKUP(parent_children_2[[#This Row],[children_id]],abbreviation[],ColumnLanguage+1,FALSE),"")</f>
        <v/>
      </c>
    </row>
    <row r="906" spans="1:3" x14ac:dyDescent="0.25">
      <c r="A906" s="4" t="str">
        <f>IFERROR(parent_children_2[[#This Row],[parent_children_id]],"")</f>
        <v/>
      </c>
      <c r="B906" s="4" t="str">
        <f>IFERROR(VLOOKUP(parent_children_2[[#This Row],[parent_id]],abbreviation[],3,FALSE),"")</f>
        <v/>
      </c>
      <c r="C906" s="4" t="str">
        <f>IFERROR(VLOOKUP(parent_children_2[[#This Row],[children_id]],abbreviation[],ColumnLanguage+1,FALSE),"")</f>
        <v/>
      </c>
    </row>
    <row r="907" spans="1:3" x14ac:dyDescent="0.25">
      <c r="A907" s="4" t="str">
        <f>IFERROR(parent_children_2[[#This Row],[parent_children_id]],"")</f>
        <v/>
      </c>
      <c r="B907" s="4" t="str">
        <f>IFERROR(VLOOKUP(parent_children_2[[#This Row],[parent_id]],abbreviation[],3,FALSE),"")</f>
        <v/>
      </c>
      <c r="C907" s="4" t="str">
        <f>IFERROR(VLOOKUP(parent_children_2[[#This Row],[children_id]],abbreviation[],ColumnLanguage+1,FALSE),"")</f>
        <v/>
      </c>
    </row>
    <row r="908" spans="1:3" x14ac:dyDescent="0.25">
      <c r="A908" s="4" t="str">
        <f>IFERROR(parent_children_2[[#This Row],[parent_children_id]],"")</f>
        <v/>
      </c>
      <c r="B908" s="4" t="str">
        <f>IFERROR(VLOOKUP(parent_children_2[[#This Row],[parent_id]],abbreviation[],3,FALSE),"")</f>
        <v/>
      </c>
      <c r="C908" s="4" t="str">
        <f>IFERROR(VLOOKUP(parent_children_2[[#This Row],[children_id]],abbreviation[],ColumnLanguage+1,FALSE),"")</f>
        <v/>
      </c>
    </row>
    <row r="909" spans="1:3" x14ac:dyDescent="0.25">
      <c r="A909" s="4" t="str">
        <f>IFERROR(parent_children_2[[#This Row],[parent_children_id]],"")</f>
        <v/>
      </c>
      <c r="B909" s="4" t="str">
        <f>IFERROR(VLOOKUP(parent_children_2[[#This Row],[parent_id]],abbreviation[],3,FALSE),"")</f>
        <v/>
      </c>
      <c r="C909" s="4" t="str">
        <f>IFERROR(VLOOKUP(parent_children_2[[#This Row],[children_id]],abbreviation[],ColumnLanguage+1,FALSE),"")</f>
        <v/>
      </c>
    </row>
    <row r="910" spans="1:3" x14ac:dyDescent="0.25">
      <c r="A910" s="4" t="str">
        <f>IFERROR(parent_children_2[[#This Row],[parent_children_id]],"")</f>
        <v/>
      </c>
      <c r="B910" s="4" t="str">
        <f>IFERROR(VLOOKUP(parent_children_2[[#This Row],[parent_id]],abbreviation[],3,FALSE),"")</f>
        <v/>
      </c>
      <c r="C910" s="4" t="str">
        <f>IFERROR(VLOOKUP(parent_children_2[[#This Row],[children_id]],abbreviation[],ColumnLanguage+1,FALSE),"")</f>
        <v/>
      </c>
    </row>
    <row r="911" spans="1:3" x14ac:dyDescent="0.25">
      <c r="A911" s="4" t="str">
        <f>IFERROR(parent_children_2[[#This Row],[parent_children_id]],"")</f>
        <v/>
      </c>
      <c r="B911" s="4" t="str">
        <f>IFERROR(VLOOKUP(parent_children_2[[#This Row],[parent_id]],abbreviation[],3,FALSE),"")</f>
        <v/>
      </c>
      <c r="C911" s="4" t="str">
        <f>IFERROR(VLOOKUP(parent_children_2[[#This Row],[children_id]],abbreviation[],ColumnLanguage+1,FALSE),"")</f>
        <v/>
      </c>
    </row>
    <row r="912" spans="1:3" x14ac:dyDescent="0.25">
      <c r="A912" s="4" t="str">
        <f>IFERROR(parent_children_2[[#This Row],[parent_children_id]],"")</f>
        <v/>
      </c>
      <c r="B912" s="4" t="str">
        <f>IFERROR(VLOOKUP(parent_children_2[[#This Row],[parent_id]],abbreviation[],3,FALSE),"")</f>
        <v/>
      </c>
      <c r="C912" s="4" t="str">
        <f>IFERROR(VLOOKUP(parent_children_2[[#This Row],[children_id]],abbreviation[],ColumnLanguage+1,FALSE),"")</f>
        <v/>
      </c>
    </row>
    <row r="913" spans="1:3" x14ac:dyDescent="0.25">
      <c r="A913" s="4" t="str">
        <f>IFERROR(parent_children_2[[#This Row],[parent_children_id]],"")</f>
        <v/>
      </c>
      <c r="B913" s="4" t="str">
        <f>IFERROR(VLOOKUP(parent_children_2[[#This Row],[parent_id]],abbreviation[],3,FALSE),"")</f>
        <v/>
      </c>
      <c r="C913" s="4" t="str">
        <f>IFERROR(VLOOKUP(parent_children_2[[#This Row],[children_id]],abbreviation[],ColumnLanguage+1,FALSE),"")</f>
        <v/>
      </c>
    </row>
    <row r="914" spans="1:3" x14ac:dyDescent="0.25">
      <c r="A914" s="4" t="str">
        <f>IFERROR(parent_children_2[[#This Row],[parent_children_id]],"")</f>
        <v/>
      </c>
      <c r="B914" s="4" t="str">
        <f>IFERROR(VLOOKUP(parent_children_2[[#This Row],[parent_id]],abbreviation[],3,FALSE),"")</f>
        <v/>
      </c>
      <c r="C914" s="4" t="str">
        <f>IFERROR(VLOOKUP(parent_children_2[[#This Row],[children_id]],abbreviation[],ColumnLanguage+1,FALSE),"")</f>
        <v/>
      </c>
    </row>
    <row r="915" spans="1:3" x14ac:dyDescent="0.25">
      <c r="A915" s="4" t="str">
        <f>IFERROR(parent_children_2[[#This Row],[parent_children_id]],"")</f>
        <v/>
      </c>
      <c r="B915" s="4" t="str">
        <f>IFERROR(VLOOKUP(parent_children_2[[#This Row],[parent_id]],abbreviation[],3,FALSE),"")</f>
        <v/>
      </c>
      <c r="C915" s="4" t="str">
        <f>IFERROR(VLOOKUP(parent_children_2[[#This Row],[children_id]],abbreviation[],ColumnLanguage+1,FALSE),"")</f>
        <v/>
      </c>
    </row>
    <row r="916" spans="1:3" x14ac:dyDescent="0.25">
      <c r="A916" s="4" t="str">
        <f>IFERROR(parent_children_2[[#This Row],[parent_children_id]],"")</f>
        <v/>
      </c>
      <c r="B916" s="4" t="str">
        <f>IFERROR(VLOOKUP(parent_children_2[[#This Row],[parent_id]],abbreviation[],3,FALSE),"")</f>
        <v/>
      </c>
      <c r="C916" s="4" t="str">
        <f>IFERROR(VLOOKUP(parent_children_2[[#This Row],[children_id]],abbreviation[],ColumnLanguage+1,FALSE),"")</f>
        <v/>
      </c>
    </row>
    <row r="917" spans="1:3" x14ac:dyDescent="0.25">
      <c r="A917" s="4" t="str">
        <f>IFERROR(parent_children_2[[#This Row],[parent_children_id]],"")</f>
        <v/>
      </c>
      <c r="B917" s="4" t="str">
        <f>IFERROR(VLOOKUP(parent_children_2[[#This Row],[parent_id]],abbreviation[],3,FALSE),"")</f>
        <v/>
      </c>
      <c r="C917" s="4" t="str">
        <f>IFERROR(VLOOKUP(parent_children_2[[#This Row],[children_id]],abbreviation[],ColumnLanguage+1,FALSE),"")</f>
        <v/>
      </c>
    </row>
    <row r="918" spans="1:3" x14ac:dyDescent="0.25">
      <c r="A918" s="4" t="str">
        <f>IFERROR(parent_children_2[[#This Row],[parent_children_id]],"")</f>
        <v/>
      </c>
      <c r="B918" s="4" t="str">
        <f>IFERROR(VLOOKUP(parent_children_2[[#This Row],[parent_id]],abbreviation[],3,FALSE),"")</f>
        <v/>
      </c>
      <c r="C918" s="4" t="str">
        <f>IFERROR(VLOOKUP(parent_children_2[[#This Row],[children_id]],abbreviation[],ColumnLanguage+1,FALSE),"")</f>
        <v/>
      </c>
    </row>
    <row r="919" spans="1:3" x14ac:dyDescent="0.25">
      <c r="A919" s="4" t="str">
        <f>IFERROR(parent_children_2[[#This Row],[parent_children_id]],"")</f>
        <v/>
      </c>
      <c r="B919" s="4" t="str">
        <f>IFERROR(VLOOKUP(parent_children_2[[#This Row],[parent_id]],abbreviation[],3,FALSE),"")</f>
        <v/>
      </c>
      <c r="C919" s="4" t="str">
        <f>IFERROR(VLOOKUP(parent_children_2[[#This Row],[children_id]],abbreviation[],ColumnLanguage+1,FALSE),"")</f>
        <v/>
      </c>
    </row>
    <row r="920" spans="1:3" x14ac:dyDescent="0.25">
      <c r="A920" s="4" t="str">
        <f>IFERROR(parent_children_2[[#This Row],[parent_children_id]],"")</f>
        <v/>
      </c>
      <c r="B920" s="4" t="str">
        <f>IFERROR(VLOOKUP(parent_children_2[[#This Row],[parent_id]],abbreviation[],3,FALSE),"")</f>
        <v/>
      </c>
      <c r="C920" s="4" t="str">
        <f>IFERROR(VLOOKUP(parent_children_2[[#This Row],[children_id]],abbreviation[],ColumnLanguage+1,FALSE),"")</f>
        <v/>
      </c>
    </row>
    <row r="921" spans="1:3" x14ac:dyDescent="0.25">
      <c r="A921" s="4" t="str">
        <f>IFERROR(parent_children_2[[#This Row],[parent_children_id]],"")</f>
        <v/>
      </c>
      <c r="B921" s="4" t="str">
        <f>IFERROR(VLOOKUP(parent_children_2[[#This Row],[parent_id]],abbreviation[],3,FALSE),"")</f>
        <v/>
      </c>
      <c r="C921" s="4" t="str">
        <f>IFERROR(VLOOKUP(parent_children_2[[#This Row],[children_id]],abbreviation[],ColumnLanguage+1,FALSE),"")</f>
        <v/>
      </c>
    </row>
    <row r="922" spans="1:3" x14ac:dyDescent="0.25">
      <c r="A922" s="4" t="str">
        <f>IFERROR(parent_children_2[[#This Row],[parent_children_id]],"")</f>
        <v/>
      </c>
      <c r="B922" s="4" t="str">
        <f>IFERROR(VLOOKUP(parent_children_2[[#This Row],[parent_id]],abbreviation[],3,FALSE),"")</f>
        <v/>
      </c>
      <c r="C922" s="4" t="str">
        <f>IFERROR(VLOOKUP(parent_children_2[[#This Row],[children_id]],abbreviation[],ColumnLanguage+1,FALSE),"")</f>
        <v/>
      </c>
    </row>
    <row r="923" spans="1:3" x14ac:dyDescent="0.25">
      <c r="A923" s="4" t="str">
        <f>IFERROR(parent_children_2[[#This Row],[parent_children_id]],"")</f>
        <v/>
      </c>
      <c r="B923" s="4" t="str">
        <f>IFERROR(VLOOKUP(parent_children_2[[#This Row],[parent_id]],abbreviation[],3,FALSE),"")</f>
        <v/>
      </c>
      <c r="C923" s="4" t="str">
        <f>IFERROR(VLOOKUP(parent_children_2[[#This Row],[children_id]],abbreviation[],ColumnLanguage+1,FALSE),"")</f>
        <v/>
      </c>
    </row>
    <row r="924" spans="1:3" x14ac:dyDescent="0.25">
      <c r="A924" s="4" t="str">
        <f>IFERROR(parent_children_2[[#This Row],[parent_children_id]],"")</f>
        <v/>
      </c>
      <c r="B924" s="4" t="str">
        <f>IFERROR(VLOOKUP(parent_children_2[[#This Row],[parent_id]],abbreviation[],3,FALSE),"")</f>
        <v/>
      </c>
      <c r="C924" s="4" t="str">
        <f>IFERROR(VLOOKUP(parent_children_2[[#This Row],[children_id]],abbreviation[],ColumnLanguage+1,FALSE),"")</f>
        <v/>
      </c>
    </row>
    <row r="925" spans="1:3" x14ac:dyDescent="0.25">
      <c r="A925" s="4" t="str">
        <f>IFERROR(parent_children_2[[#This Row],[parent_children_id]],"")</f>
        <v/>
      </c>
      <c r="B925" s="4" t="str">
        <f>IFERROR(VLOOKUP(parent_children_2[[#This Row],[parent_id]],abbreviation[],3,FALSE),"")</f>
        <v/>
      </c>
      <c r="C925" s="4" t="str">
        <f>IFERROR(VLOOKUP(parent_children_2[[#This Row],[children_id]],abbreviation[],ColumnLanguage+1,FALSE),"")</f>
        <v/>
      </c>
    </row>
    <row r="926" spans="1:3" x14ac:dyDescent="0.25">
      <c r="A926" s="4" t="str">
        <f>IFERROR(parent_children_2[[#This Row],[parent_children_id]],"")</f>
        <v/>
      </c>
      <c r="B926" s="4" t="str">
        <f>IFERROR(VLOOKUP(parent_children_2[[#This Row],[parent_id]],abbreviation[],3,FALSE),"")</f>
        <v/>
      </c>
      <c r="C926" s="4" t="str">
        <f>IFERROR(VLOOKUP(parent_children_2[[#This Row],[children_id]],abbreviation[],ColumnLanguage+1,FALSE),"")</f>
        <v/>
      </c>
    </row>
    <row r="927" spans="1:3" x14ac:dyDescent="0.25">
      <c r="A927" s="4" t="str">
        <f>IFERROR(parent_children_2[[#This Row],[parent_children_id]],"")</f>
        <v/>
      </c>
      <c r="B927" s="4" t="str">
        <f>IFERROR(VLOOKUP(parent_children_2[[#This Row],[parent_id]],abbreviation[],3,FALSE),"")</f>
        <v/>
      </c>
      <c r="C927" s="4" t="str">
        <f>IFERROR(VLOOKUP(parent_children_2[[#This Row],[children_id]],abbreviation[],ColumnLanguage+1,FALSE),"")</f>
        <v/>
      </c>
    </row>
    <row r="928" spans="1:3" x14ac:dyDescent="0.25">
      <c r="A928" s="4" t="str">
        <f>IFERROR(parent_children_2[[#This Row],[parent_children_id]],"")</f>
        <v/>
      </c>
      <c r="B928" s="4" t="str">
        <f>IFERROR(VLOOKUP(parent_children_2[[#This Row],[parent_id]],abbreviation[],3,FALSE),"")</f>
        <v/>
      </c>
      <c r="C928" s="4" t="str">
        <f>IFERROR(VLOOKUP(parent_children_2[[#This Row],[children_id]],abbreviation[],ColumnLanguage+1,FALSE),"")</f>
        <v/>
      </c>
    </row>
    <row r="929" spans="1:3" x14ac:dyDescent="0.25">
      <c r="A929" s="4" t="str">
        <f>IFERROR(parent_children_2[[#This Row],[parent_children_id]],"")</f>
        <v/>
      </c>
      <c r="B929" s="4" t="str">
        <f>IFERROR(VLOOKUP(parent_children_2[[#This Row],[parent_id]],abbreviation[],3,FALSE),"")</f>
        <v/>
      </c>
      <c r="C929" s="4" t="str">
        <f>IFERROR(VLOOKUP(parent_children_2[[#This Row],[children_id]],abbreviation[],ColumnLanguage+1,FALSE),"")</f>
        <v/>
      </c>
    </row>
    <row r="930" spans="1:3" x14ac:dyDescent="0.25">
      <c r="A930" s="4" t="str">
        <f>IFERROR(parent_children_2[[#This Row],[parent_children_id]],"")</f>
        <v/>
      </c>
      <c r="B930" s="4" t="str">
        <f>IFERROR(VLOOKUP(parent_children_2[[#This Row],[parent_id]],abbreviation[],3,FALSE),"")</f>
        <v/>
      </c>
      <c r="C930" s="4" t="str">
        <f>IFERROR(VLOOKUP(parent_children_2[[#This Row],[children_id]],abbreviation[],ColumnLanguage+1,FALSE),"")</f>
        <v/>
      </c>
    </row>
    <row r="931" spans="1:3" x14ac:dyDescent="0.25">
      <c r="A931" s="4" t="str">
        <f>IFERROR(parent_children_2[[#This Row],[parent_children_id]],"")</f>
        <v/>
      </c>
      <c r="B931" s="4" t="str">
        <f>IFERROR(VLOOKUP(parent_children_2[[#This Row],[parent_id]],abbreviation[],3,FALSE),"")</f>
        <v/>
      </c>
      <c r="C931" s="4" t="str">
        <f>IFERROR(VLOOKUP(parent_children_2[[#This Row],[children_id]],abbreviation[],ColumnLanguage+1,FALSE),"")</f>
        <v/>
      </c>
    </row>
    <row r="932" spans="1:3" x14ac:dyDescent="0.25">
      <c r="A932" s="4" t="str">
        <f>IFERROR(parent_children_2[[#This Row],[parent_children_id]],"")</f>
        <v/>
      </c>
      <c r="B932" s="4" t="str">
        <f>IFERROR(VLOOKUP(parent_children_2[[#This Row],[parent_id]],abbreviation[],3,FALSE),"")</f>
        <v/>
      </c>
      <c r="C932" s="4" t="str">
        <f>IFERROR(VLOOKUP(parent_children_2[[#This Row],[children_id]],abbreviation[],ColumnLanguage+1,FALSE),"")</f>
        <v/>
      </c>
    </row>
    <row r="933" spans="1:3" x14ac:dyDescent="0.25">
      <c r="A933" s="4" t="str">
        <f>IFERROR(parent_children_2[[#This Row],[parent_children_id]],"")</f>
        <v/>
      </c>
      <c r="B933" s="4" t="str">
        <f>IFERROR(VLOOKUP(parent_children_2[[#This Row],[parent_id]],abbreviation[],3,FALSE),"")</f>
        <v/>
      </c>
      <c r="C933" s="4" t="str">
        <f>IFERROR(VLOOKUP(parent_children_2[[#This Row],[children_id]],abbreviation[],ColumnLanguage+1,FALSE),"")</f>
        <v/>
      </c>
    </row>
    <row r="934" spans="1:3" x14ac:dyDescent="0.25">
      <c r="A934" s="4" t="str">
        <f>IFERROR(parent_children_2[[#This Row],[parent_children_id]],"")</f>
        <v/>
      </c>
      <c r="B934" s="4" t="str">
        <f>IFERROR(VLOOKUP(parent_children_2[[#This Row],[parent_id]],abbreviation[],3,FALSE),"")</f>
        <v/>
      </c>
      <c r="C934" s="4" t="str">
        <f>IFERROR(VLOOKUP(parent_children_2[[#This Row],[children_id]],abbreviation[],ColumnLanguage+1,FALSE),"")</f>
        <v/>
      </c>
    </row>
    <row r="935" spans="1:3" x14ac:dyDescent="0.25">
      <c r="A935" s="4" t="str">
        <f>IFERROR(parent_children_2[[#This Row],[parent_children_id]],"")</f>
        <v/>
      </c>
      <c r="B935" s="4" t="str">
        <f>IFERROR(VLOOKUP(parent_children_2[[#This Row],[parent_id]],abbreviation[],3,FALSE),"")</f>
        <v/>
      </c>
      <c r="C935" s="4" t="str">
        <f>IFERROR(VLOOKUP(parent_children_2[[#This Row],[children_id]],abbreviation[],ColumnLanguage+1,FALSE),"")</f>
        <v/>
      </c>
    </row>
    <row r="936" spans="1:3" x14ac:dyDescent="0.25">
      <c r="A936" s="4" t="str">
        <f>IFERROR(parent_children_2[[#This Row],[parent_children_id]],"")</f>
        <v/>
      </c>
      <c r="B936" s="4" t="str">
        <f>IFERROR(VLOOKUP(parent_children_2[[#This Row],[parent_id]],abbreviation[],3,FALSE),"")</f>
        <v/>
      </c>
      <c r="C936" s="4" t="str">
        <f>IFERROR(VLOOKUP(parent_children_2[[#This Row],[children_id]],abbreviation[],ColumnLanguage+1,FALSE),"")</f>
        <v/>
      </c>
    </row>
    <row r="937" spans="1:3" x14ac:dyDescent="0.25">
      <c r="A937" s="4" t="str">
        <f>IFERROR(parent_children_2[[#This Row],[parent_children_id]],"")</f>
        <v/>
      </c>
      <c r="B937" s="4" t="str">
        <f>IFERROR(VLOOKUP(parent_children_2[[#This Row],[parent_id]],abbreviation[],3,FALSE),"")</f>
        <v/>
      </c>
      <c r="C937" s="4" t="str">
        <f>IFERROR(VLOOKUP(parent_children_2[[#This Row],[children_id]],abbreviation[],ColumnLanguage+1,FALSE),"")</f>
        <v/>
      </c>
    </row>
    <row r="938" spans="1:3" x14ac:dyDescent="0.25">
      <c r="A938" s="4" t="str">
        <f>IFERROR(parent_children_2[[#This Row],[parent_children_id]],"")</f>
        <v/>
      </c>
      <c r="B938" s="4" t="str">
        <f>IFERROR(VLOOKUP(parent_children_2[[#This Row],[parent_id]],abbreviation[],3,FALSE),"")</f>
        <v/>
      </c>
      <c r="C938" s="4" t="str">
        <f>IFERROR(VLOOKUP(parent_children_2[[#This Row],[children_id]],abbreviation[],ColumnLanguage+1,FALSE),"")</f>
        <v/>
      </c>
    </row>
    <row r="939" spans="1:3" x14ac:dyDescent="0.25">
      <c r="A939" s="4" t="str">
        <f>IFERROR(parent_children_2[[#This Row],[parent_children_id]],"")</f>
        <v/>
      </c>
      <c r="B939" s="4" t="str">
        <f>IFERROR(VLOOKUP(parent_children_2[[#This Row],[parent_id]],abbreviation[],3,FALSE),"")</f>
        <v/>
      </c>
      <c r="C939" s="4" t="str">
        <f>IFERROR(VLOOKUP(parent_children_2[[#This Row],[children_id]],abbreviation[],ColumnLanguage+1,FALSE),"")</f>
        <v/>
      </c>
    </row>
    <row r="940" spans="1:3" x14ac:dyDescent="0.25">
      <c r="A940" s="4" t="str">
        <f>IFERROR(parent_children_2[[#This Row],[parent_children_id]],"")</f>
        <v/>
      </c>
      <c r="B940" s="4" t="str">
        <f>IFERROR(VLOOKUP(parent_children_2[[#This Row],[parent_id]],abbreviation[],3,FALSE),"")</f>
        <v/>
      </c>
      <c r="C940" s="4" t="str">
        <f>IFERROR(VLOOKUP(parent_children_2[[#This Row],[children_id]],abbreviation[],ColumnLanguage+1,FALSE),"")</f>
        <v/>
      </c>
    </row>
    <row r="941" spans="1:3" x14ac:dyDescent="0.25">
      <c r="A941" s="4" t="str">
        <f>IFERROR(parent_children_2[[#This Row],[parent_children_id]],"")</f>
        <v/>
      </c>
      <c r="B941" s="4" t="str">
        <f>IFERROR(VLOOKUP(parent_children_2[[#This Row],[parent_id]],abbreviation[],3,FALSE),"")</f>
        <v/>
      </c>
      <c r="C941" s="4" t="str">
        <f>IFERROR(VLOOKUP(parent_children_2[[#This Row],[children_id]],abbreviation[],ColumnLanguage+1,FALSE),"")</f>
        <v/>
      </c>
    </row>
    <row r="942" spans="1:3" x14ac:dyDescent="0.25">
      <c r="A942" s="4" t="str">
        <f>IFERROR(parent_children_2[[#This Row],[parent_children_id]],"")</f>
        <v/>
      </c>
      <c r="B942" s="4" t="str">
        <f>IFERROR(VLOOKUP(parent_children_2[[#This Row],[parent_id]],abbreviation[],3,FALSE),"")</f>
        <v/>
      </c>
      <c r="C942" s="4" t="str">
        <f>IFERROR(VLOOKUP(parent_children_2[[#This Row],[children_id]],abbreviation[],ColumnLanguage+1,FALSE),"")</f>
        <v/>
      </c>
    </row>
    <row r="943" spans="1:3" x14ac:dyDescent="0.25">
      <c r="A943" s="4" t="str">
        <f>IFERROR(parent_children_2[[#This Row],[parent_children_id]],"")</f>
        <v/>
      </c>
      <c r="B943" s="4" t="str">
        <f>IFERROR(VLOOKUP(parent_children_2[[#This Row],[parent_id]],abbreviation[],3,FALSE),"")</f>
        <v/>
      </c>
      <c r="C943" s="4" t="str">
        <f>IFERROR(VLOOKUP(parent_children_2[[#This Row],[children_id]],abbreviation[],ColumnLanguage+1,FALSE),"")</f>
        <v/>
      </c>
    </row>
    <row r="944" spans="1:3" x14ac:dyDescent="0.25">
      <c r="A944" s="4" t="str">
        <f>IFERROR(parent_children_2[[#This Row],[parent_children_id]],"")</f>
        <v/>
      </c>
      <c r="B944" s="4" t="str">
        <f>IFERROR(VLOOKUP(parent_children_2[[#This Row],[parent_id]],abbreviation[],3,FALSE),"")</f>
        <v/>
      </c>
      <c r="C944" s="4" t="str">
        <f>IFERROR(VLOOKUP(parent_children_2[[#This Row],[children_id]],abbreviation[],ColumnLanguage+1,FALSE),"")</f>
        <v/>
      </c>
    </row>
    <row r="945" spans="1:3" x14ac:dyDescent="0.25">
      <c r="A945" s="4" t="str">
        <f>IFERROR(parent_children_2[[#This Row],[parent_children_id]],"")</f>
        <v/>
      </c>
      <c r="B945" s="4" t="str">
        <f>IFERROR(VLOOKUP(parent_children_2[[#This Row],[parent_id]],abbreviation[],3,FALSE),"")</f>
        <v/>
      </c>
      <c r="C945" s="4" t="str">
        <f>IFERROR(VLOOKUP(parent_children_2[[#This Row],[children_id]],abbreviation[],ColumnLanguage+1,FALSE),"")</f>
        <v/>
      </c>
    </row>
    <row r="946" spans="1:3" x14ac:dyDescent="0.25">
      <c r="A946" s="4" t="str">
        <f>IFERROR(parent_children_2[[#This Row],[parent_children_id]],"")</f>
        <v/>
      </c>
      <c r="B946" s="4" t="str">
        <f>IFERROR(VLOOKUP(parent_children_2[[#This Row],[parent_id]],abbreviation[],3,FALSE),"")</f>
        <v/>
      </c>
      <c r="C946" s="4" t="str">
        <f>IFERROR(VLOOKUP(parent_children_2[[#This Row],[children_id]],abbreviation[],ColumnLanguage+1,FALSE),"")</f>
        <v/>
      </c>
    </row>
    <row r="947" spans="1:3" x14ac:dyDescent="0.25">
      <c r="A947" s="4" t="str">
        <f>IFERROR(parent_children_2[[#This Row],[parent_children_id]],"")</f>
        <v/>
      </c>
      <c r="B947" s="4" t="str">
        <f>IFERROR(VLOOKUP(parent_children_2[[#This Row],[parent_id]],abbreviation[],3,FALSE),"")</f>
        <v/>
      </c>
      <c r="C947" s="4" t="str">
        <f>IFERROR(VLOOKUP(parent_children_2[[#This Row],[children_id]],abbreviation[],ColumnLanguage+1,FALSE),"")</f>
        <v/>
      </c>
    </row>
    <row r="948" spans="1:3" x14ac:dyDescent="0.25">
      <c r="A948" s="4" t="str">
        <f>IFERROR(parent_children_2[[#This Row],[parent_children_id]],"")</f>
        <v/>
      </c>
      <c r="B948" s="4" t="str">
        <f>IFERROR(VLOOKUP(parent_children_2[[#This Row],[parent_id]],abbreviation[],3,FALSE),"")</f>
        <v/>
      </c>
      <c r="C948" s="4" t="str">
        <f>IFERROR(VLOOKUP(parent_children_2[[#This Row],[children_id]],abbreviation[],ColumnLanguage+1,FALSE),"")</f>
        <v/>
      </c>
    </row>
    <row r="949" spans="1:3" x14ac:dyDescent="0.25">
      <c r="A949" s="4" t="str">
        <f>IFERROR(parent_children_2[[#This Row],[parent_children_id]],"")</f>
        <v/>
      </c>
      <c r="B949" s="4" t="str">
        <f>IFERROR(VLOOKUP(parent_children_2[[#This Row],[parent_id]],abbreviation[],3,FALSE),"")</f>
        <v/>
      </c>
      <c r="C949" s="4" t="str">
        <f>IFERROR(VLOOKUP(parent_children_2[[#This Row],[children_id]],abbreviation[],ColumnLanguage+1,FALSE),"")</f>
        <v/>
      </c>
    </row>
    <row r="950" spans="1:3" x14ac:dyDescent="0.25">
      <c r="A950" s="4" t="str">
        <f>IFERROR(parent_children_2[[#This Row],[parent_children_id]],"")</f>
        <v/>
      </c>
      <c r="B950" s="4" t="str">
        <f>IFERROR(VLOOKUP(parent_children_2[[#This Row],[parent_id]],abbreviation[],3,FALSE),"")</f>
        <v/>
      </c>
      <c r="C950" s="4" t="str">
        <f>IFERROR(VLOOKUP(parent_children_2[[#This Row],[children_id]],abbreviation[],ColumnLanguage+1,FALSE),"")</f>
        <v/>
      </c>
    </row>
    <row r="951" spans="1:3" x14ac:dyDescent="0.25">
      <c r="A951" s="4" t="str">
        <f>IFERROR(parent_children_2[[#This Row],[parent_children_id]],"")</f>
        <v/>
      </c>
      <c r="B951" s="4" t="str">
        <f>IFERROR(VLOOKUP(parent_children_2[[#This Row],[parent_id]],abbreviation[],3,FALSE),"")</f>
        <v/>
      </c>
      <c r="C951" s="4" t="str">
        <f>IFERROR(VLOOKUP(parent_children_2[[#This Row],[children_id]],abbreviation[],ColumnLanguage+1,FALSE),"")</f>
        <v/>
      </c>
    </row>
    <row r="952" spans="1:3" x14ac:dyDescent="0.25">
      <c r="A952" s="4" t="str">
        <f>IFERROR(parent_children_2[[#This Row],[parent_children_id]],"")</f>
        <v/>
      </c>
      <c r="B952" s="4" t="str">
        <f>IFERROR(VLOOKUP(parent_children_2[[#This Row],[parent_id]],abbreviation[],3,FALSE),"")</f>
        <v/>
      </c>
      <c r="C952" s="4" t="str">
        <f>IFERROR(VLOOKUP(parent_children_2[[#This Row],[children_id]],abbreviation[],ColumnLanguage+1,FALSE),"")</f>
        <v/>
      </c>
    </row>
    <row r="953" spans="1:3" x14ac:dyDescent="0.25">
      <c r="A953" s="4" t="str">
        <f>IFERROR(parent_children_2[[#This Row],[parent_children_id]],"")</f>
        <v/>
      </c>
      <c r="B953" s="4" t="str">
        <f>IFERROR(VLOOKUP(parent_children_2[[#This Row],[parent_id]],abbreviation[],3,FALSE),"")</f>
        <v/>
      </c>
      <c r="C953" s="4" t="str">
        <f>IFERROR(VLOOKUP(parent_children_2[[#This Row],[children_id]],abbreviation[],ColumnLanguage+1,FALSE),"")</f>
        <v/>
      </c>
    </row>
    <row r="954" spans="1:3" x14ac:dyDescent="0.25">
      <c r="A954" s="4" t="str">
        <f>IFERROR(parent_children_2[[#This Row],[parent_children_id]],"")</f>
        <v/>
      </c>
      <c r="B954" s="4" t="str">
        <f>IFERROR(VLOOKUP(parent_children_2[[#This Row],[parent_id]],abbreviation[],3,FALSE),"")</f>
        <v/>
      </c>
      <c r="C954" s="4" t="str">
        <f>IFERROR(VLOOKUP(parent_children_2[[#This Row],[children_id]],abbreviation[],ColumnLanguage+1,FALSE),"")</f>
        <v/>
      </c>
    </row>
    <row r="955" spans="1:3" x14ac:dyDescent="0.25">
      <c r="A955" s="4" t="str">
        <f>IFERROR(parent_children_2[[#This Row],[parent_children_id]],"")</f>
        <v/>
      </c>
      <c r="B955" s="4" t="str">
        <f>IFERROR(VLOOKUP(parent_children_2[[#This Row],[parent_id]],abbreviation[],3,FALSE),"")</f>
        <v/>
      </c>
      <c r="C955" s="4" t="str">
        <f>IFERROR(VLOOKUP(parent_children_2[[#This Row],[children_id]],abbreviation[],ColumnLanguage+1,FALSE),"")</f>
        <v/>
      </c>
    </row>
    <row r="956" spans="1:3" x14ac:dyDescent="0.25">
      <c r="A956" s="4" t="str">
        <f>IFERROR(parent_children_2[[#This Row],[parent_children_id]],"")</f>
        <v/>
      </c>
      <c r="B956" s="4" t="str">
        <f>IFERROR(VLOOKUP(parent_children_2[[#This Row],[parent_id]],abbreviation[],3,FALSE),"")</f>
        <v/>
      </c>
      <c r="C956" s="4" t="str">
        <f>IFERROR(VLOOKUP(parent_children_2[[#This Row],[children_id]],abbreviation[],ColumnLanguage+1,FALSE),"")</f>
        <v/>
      </c>
    </row>
    <row r="957" spans="1:3" x14ac:dyDescent="0.25">
      <c r="A957" s="4" t="str">
        <f>IFERROR(parent_children_2[[#This Row],[parent_children_id]],"")</f>
        <v/>
      </c>
      <c r="B957" s="4" t="str">
        <f>IFERROR(VLOOKUP(parent_children_2[[#This Row],[parent_id]],abbreviation[],3,FALSE),"")</f>
        <v/>
      </c>
      <c r="C957" s="4" t="str">
        <f>IFERROR(VLOOKUP(parent_children_2[[#This Row],[children_id]],abbreviation[],ColumnLanguage+1,FALSE),"")</f>
        <v/>
      </c>
    </row>
    <row r="958" spans="1:3" x14ac:dyDescent="0.25">
      <c r="A958" s="4" t="str">
        <f>IFERROR(parent_children_2[[#This Row],[parent_children_id]],"")</f>
        <v/>
      </c>
      <c r="B958" s="4" t="str">
        <f>IFERROR(VLOOKUP(parent_children_2[[#This Row],[parent_id]],abbreviation[],3,FALSE),"")</f>
        <v/>
      </c>
      <c r="C958" s="4" t="str">
        <f>IFERROR(VLOOKUP(parent_children_2[[#This Row],[children_id]],abbreviation[],ColumnLanguage+1,FALSE),"")</f>
        <v/>
      </c>
    </row>
    <row r="959" spans="1:3" x14ac:dyDescent="0.25">
      <c r="A959" s="4" t="str">
        <f>IFERROR(parent_children_2[[#This Row],[parent_children_id]],"")</f>
        <v/>
      </c>
      <c r="B959" s="4" t="str">
        <f>IFERROR(VLOOKUP(parent_children_2[[#This Row],[parent_id]],abbreviation[],3,FALSE),"")</f>
        <v/>
      </c>
      <c r="C959" s="4" t="str">
        <f>IFERROR(VLOOKUP(parent_children_2[[#This Row],[children_id]],abbreviation[],ColumnLanguage+1,FALSE),"")</f>
        <v/>
      </c>
    </row>
    <row r="960" spans="1:3" x14ac:dyDescent="0.25">
      <c r="A960" s="4" t="str">
        <f>IFERROR(parent_children_2[[#This Row],[parent_children_id]],"")</f>
        <v/>
      </c>
      <c r="B960" s="4" t="str">
        <f>IFERROR(VLOOKUP(parent_children_2[[#This Row],[parent_id]],abbreviation[],3,FALSE),"")</f>
        <v/>
      </c>
      <c r="C960" s="4" t="str">
        <f>IFERROR(VLOOKUP(parent_children_2[[#This Row],[children_id]],abbreviation[],ColumnLanguage+1,FALSE),"")</f>
        <v/>
      </c>
    </row>
    <row r="961" spans="1:3" x14ac:dyDescent="0.25">
      <c r="A961" s="4" t="str">
        <f>IFERROR(parent_children_2[[#This Row],[parent_children_id]],"")</f>
        <v/>
      </c>
      <c r="B961" s="4" t="str">
        <f>IFERROR(VLOOKUP(parent_children_2[[#This Row],[parent_id]],abbreviation[],3,FALSE),"")</f>
        <v/>
      </c>
      <c r="C961" s="4" t="str">
        <f>IFERROR(VLOOKUP(parent_children_2[[#This Row],[children_id]],abbreviation[],ColumnLanguage+1,FALSE),"")</f>
        <v/>
      </c>
    </row>
    <row r="962" spans="1:3" x14ac:dyDescent="0.25">
      <c r="A962" s="4" t="str">
        <f>IFERROR(parent_children_2[[#This Row],[parent_children_id]],"")</f>
        <v/>
      </c>
      <c r="B962" s="4" t="str">
        <f>IFERROR(VLOOKUP(parent_children_2[[#This Row],[parent_id]],abbreviation[],3,FALSE),"")</f>
        <v/>
      </c>
      <c r="C962" s="4" t="str">
        <f>IFERROR(VLOOKUP(parent_children_2[[#This Row],[children_id]],abbreviation[],ColumnLanguage+1,FALSE),"")</f>
        <v/>
      </c>
    </row>
    <row r="963" spans="1:3" x14ac:dyDescent="0.25">
      <c r="A963" s="4" t="str">
        <f>IFERROR(parent_children_2[[#This Row],[parent_children_id]],"")</f>
        <v/>
      </c>
      <c r="B963" s="4" t="str">
        <f>IFERROR(VLOOKUP(parent_children_2[[#This Row],[parent_id]],abbreviation[],3,FALSE),"")</f>
        <v/>
      </c>
      <c r="C963" s="4" t="str">
        <f>IFERROR(VLOOKUP(parent_children_2[[#This Row],[children_id]],abbreviation[],ColumnLanguage+1,FALSE),"")</f>
        <v/>
      </c>
    </row>
    <row r="964" spans="1:3" x14ac:dyDescent="0.25">
      <c r="A964" s="4" t="str">
        <f>IFERROR(parent_children_2[[#This Row],[parent_children_id]],"")</f>
        <v/>
      </c>
      <c r="B964" s="4" t="str">
        <f>IFERROR(VLOOKUP(parent_children_2[[#This Row],[parent_id]],abbreviation[],3,FALSE),"")</f>
        <v/>
      </c>
      <c r="C964" s="4" t="str">
        <f>IFERROR(VLOOKUP(parent_children_2[[#This Row],[children_id]],abbreviation[],ColumnLanguage+1,FALSE),"")</f>
        <v/>
      </c>
    </row>
    <row r="965" spans="1:3" x14ac:dyDescent="0.25">
      <c r="A965" s="4" t="str">
        <f>IFERROR(parent_children_2[[#This Row],[parent_children_id]],"")</f>
        <v/>
      </c>
      <c r="B965" s="4" t="str">
        <f>IFERROR(VLOOKUP(parent_children_2[[#This Row],[parent_id]],abbreviation[],3,FALSE),"")</f>
        <v/>
      </c>
      <c r="C965" s="4" t="str">
        <f>IFERROR(VLOOKUP(parent_children_2[[#This Row],[children_id]],abbreviation[],ColumnLanguage+1,FALSE),"")</f>
        <v/>
      </c>
    </row>
    <row r="966" spans="1:3" x14ac:dyDescent="0.25">
      <c r="A966" s="4" t="str">
        <f>IFERROR(parent_children_2[[#This Row],[parent_children_id]],"")</f>
        <v/>
      </c>
      <c r="B966" s="4" t="str">
        <f>IFERROR(VLOOKUP(parent_children_2[[#This Row],[parent_id]],abbreviation[],3,FALSE),"")</f>
        <v/>
      </c>
      <c r="C966" s="4" t="str">
        <f>IFERROR(VLOOKUP(parent_children_2[[#This Row],[children_id]],abbreviation[],ColumnLanguage+1,FALSE),"")</f>
        <v/>
      </c>
    </row>
    <row r="967" spans="1:3" x14ac:dyDescent="0.25">
      <c r="A967" s="4" t="str">
        <f>IFERROR(parent_children_2[[#This Row],[parent_children_id]],"")</f>
        <v/>
      </c>
      <c r="B967" s="4" t="str">
        <f>IFERROR(VLOOKUP(parent_children_2[[#This Row],[parent_id]],abbreviation[],3,FALSE),"")</f>
        <v/>
      </c>
      <c r="C967" s="4" t="str">
        <f>IFERROR(VLOOKUP(parent_children_2[[#This Row],[children_id]],abbreviation[],ColumnLanguage+1,FALSE),"")</f>
        <v/>
      </c>
    </row>
    <row r="968" spans="1:3" x14ac:dyDescent="0.25">
      <c r="A968" s="4" t="str">
        <f>IFERROR(parent_children_2[[#This Row],[parent_children_id]],"")</f>
        <v/>
      </c>
      <c r="B968" s="4" t="str">
        <f>IFERROR(VLOOKUP(parent_children_2[[#This Row],[parent_id]],abbreviation[],3,FALSE),"")</f>
        <v/>
      </c>
      <c r="C968" s="4" t="str">
        <f>IFERROR(VLOOKUP(parent_children_2[[#This Row],[children_id]],abbreviation[],ColumnLanguage+1,FALSE),"")</f>
        <v/>
      </c>
    </row>
    <row r="969" spans="1:3" x14ac:dyDescent="0.25">
      <c r="A969" s="4" t="str">
        <f>IFERROR(parent_children_2[[#This Row],[parent_children_id]],"")</f>
        <v/>
      </c>
      <c r="B969" s="4" t="str">
        <f>IFERROR(VLOOKUP(parent_children_2[[#This Row],[parent_id]],abbreviation[],3,FALSE),"")</f>
        <v/>
      </c>
      <c r="C969" s="4" t="str">
        <f>IFERROR(VLOOKUP(parent_children_2[[#This Row],[children_id]],abbreviation[],ColumnLanguage+1,FALSE),"")</f>
        <v/>
      </c>
    </row>
    <row r="970" spans="1:3" x14ac:dyDescent="0.25">
      <c r="A970" s="4" t="str">
        <f>IFERROR(parent_children_2[[#This Row],[parent_children_id]],"")</f>
        <v/>
      </c>
      <c r="B970" s="4" t="str">
        <f>IFERROR(VLOOKUP(parent_children_2[[#This Row],[parent_id]],abbreviation[],3,FALSE),"")</f>
        <v/>
      </c>
      <c r="C970" s="4" t="str">
        <f>IFERROR(VLOOKUP(parent_children_2[[#This Row],[children_id]],abbreviation[],ColumnLanguage+1,FALSE),"")</f>
        <v/>
      </c>
    </row>
    <row r="971" spans="1:3" x14ac:dyDescent="0.25">
      <c r="A971" s="4" t="str">
        <f>IFERROR(parent_children_2[[#This Row],[parent_children_id]],"")</f>
        <v/>
      </c>
      <c r="B971" s="4" t="str">
        <f>IFERROR(VLOOKUP(parent_children_2[[#This Row],[parent_id]],abbreviation[],3,FALSE),"")</f>
        <v/>
      </c>
      <c r="C971" s="4" t="str">
        <f>IFERROR(VLOOKUP(parent_children_2[[#This Row],[children_id]],abbreviation[],ColumnLanguage+1,FALSE),"")</f>
        <v/>
      </c>
    </row>
    <row r="972" spans="1:3" x14ac:dyDescent="0.25">
      <c r="A972" s="4" t="str">
        <f>IFERROR(parent_children_2[[#This Row],[parent_children_id]],"")</f>
        <v/>
      </c>
      <c r="B972" s="4" t="str">
        <f>IFERROR(VLOOKUP(parent_children_2[[#This Row],[parent_id]],abbreviation[],3,FALSE),"")</f>
        <v/>
      </c>
      <c r="C972" s="4" t="str">
        <f>IFERROR(VLOOKUP(parent_children_2[[#This Row],[children_id]],abbreviation[],ColumnLanguage+1,FALSE),"")</f>
        <v/>
      </c>
    </row>
    <row r="973" spans="1:3" x14ac:dyDescent="0.25">
      <c r="A973" s="4" t="str">
        <f>IFERROR(parent_children_2[[#This Row],[parent_children_id]],"")</f>
        <v/>
      </c>
      <c r="B973" s="4" t="str">
        <f>IFERROR(VLOOKUP(parent_children_2[[#This Row],[parent_id]],abbreviation[],3,FALSE),"")</f>
        <v/>
      </c>
      <c r="C973" s="4" t="str">
        <f>IFERROR(VLOOKUP(parent_children_2[[#This Row],[children_id]],abbreviation[],ColumnLanguage+1,FALSE),"")</f>
        <v/>
      </c>
    </row>
    <row r="974" spans="1:3" x14ac:dyDescent="0.25">
      <c r="A974" s="4" t="str">
        <f>IFERROR(parent_children_2[[#This Row],[parent_children_id]],"")</f>
        <v/>
      </c>
      <c r="B974" s="4" t="str">
        <f>IFERROR(VLOOKUP(parent_children_2[[#This Row],[parent_id]],abbreviation[],3,FALSE),"")</f>
        <v/>
      </c>
      <c r="C974" s="4" t="str">
        <f>IFERROR(VLOOKUP(parent_children_2[[#This Row],[children_id]],abbreviation[],ColumnLanguage+1,FALSE),"")</f>
        <v/>
      </c>
    </row>
    <row r="975" spans="1:3" x14ac:dyDescent="0.25">
      <c r="A975" s="4" t="str">
        <f>IFERROR(parent_children_2[[#This Row],[parent_children_id]],"")</f>
        <v/>
      </c>
      <c r="B975" s="4" t="str">
        <f>IFERROR(VLOOKUP(parent_children_2[[#This Row],[parent_id]],abbreviation[],3,FALSE),"")</f>
        <v/>
      </c>
      <c r="C975" s="4" t="str">
        <f>IFERROR(VLOOKUP(parent_children_2[[#This Row],[children_id]],abbreviation[],ColumnLanguage+1,FALSE),"")</f>
        <v/>
      </c>
    </row>
    <row r="976" spans="1:3" x14ac:dyDescent="0.25">
      <c r="A976" s="4" t="str">
        <f>IFERROR(parent_children_2[[#This Row],[parent_children_id]],"")</f>
        <v/>
      </c>
      <c r="B976" s="4" t="str">
        <f>IFERROR(VLOOKUP(parent_children_2[[#This Row],[parent_id]],abbreviation[],3,FALSE),"")</f>
        <v/>
      </c>
      <c r="C976" s="4" t="str">
        <f>IFERROR(VLOOKUP(parent_children_2[[#This Row],[children_id]],abbreviation[],ColumnLanguage+1,FALSE),"")</f>
        <v/>
      </c>
    </row>
    <row r="977" spans="1:3" x14ac:dyDescent="0.25">
      <c r="A977" s="4" t="str">
        <f>IFERROR(parent_children_2[[#This Row],[parent_children_id]],"")</f>
        <v/>
      </c>
      <c r="B977" s="4" t="str">
        <f>IFERROR(VLOOKUP(parent_children_2[[#This Row],[parent_id]],abbreviation[],3,FALSE),"")</f>
        <v/>
      </c>
      <c r="C977" s="4" t="str">
        <f>IFERROR(VLOOKUP(parent_children_2[[#This Row],[children_id]],abbreviation[],ColumnLanguage+1,FALSE),"")</f>
        <v/>
      </c>
    </row>
    <row r="978" spans="1:3" x14ac:dyDescent="0.25">
      <c r="A978" s="4" t="str">
        <f>IFERROR(parent_children_2[[#This Row],[parent_children_id]],"")</f>
        <v/>
      </c>
      <c r="B978" s="4" t="str">
        <f>IFERROR(VLOOKUP(parent_children_2[[#This Row],[parent_id]],abbreviation[],3,FALSE),"")</f>
        <v/>
      </c>
      <c r="C978" s="4" t="str">
        <f>IFERROR(VLOOKUP(parent_children_2[[#This Row],[children_id]],abbreviation[],ColumnLanguage+1,FALSE),"")</f>
        <v/>
      </c>
    </row>
    <row r="979" spans="1:3" x14ac:dyDescent="0.25">
      <c r="A979" s="4" t="str">
        <f>IFERROR(parent_children_2[[#This Row],[parent_children_id]],"")</f>
        <v/>
      </c>
      <c r="B979" s="4" t="str">
        <f>IFERROR(VLOOKUP(parent_children_2[[#This Row],[parent_id]],abbreviation[],3,FALSE),"")</f>
        <v/>
      </c>
      <c r="C979" s="4" t="str">
        <f>IFERROR(VLOOKUP(parent_children_2[[#This Row],[children_id]],abbreviation[],ColumnLanguage+1,FALSE),"")</f>
        <v/>
      </c>
    </row>
    <row r="980" spans="1:3" x14ac:dyDescent="0.25">
      <c r="A980" s="4" t="str">
        <f>IFERROR(parent_children_2[[#This Row],[parent_children_id]],"")</f>
        <v/>
      </c>
      <c r="B980" s="4" t="str">
        <f>IFERROR(VLOOKUP(parent_children_2[[#This Row],[parent_id]],abbreviation[],3,FALSE),"")</f>
        <v/>
      </c>
      <c r="C980" s="4" t="str">
        <f>IFERROR(VLOOKUP(parent_children_2[[#This Row],[children_id]],abbreviation[],ColumnLanguage+1,FALSE),"")</f>
        <v/>
      </c>
    </row>
    <row r="981" spans="1:3" x14ac:dyDescent="0.25">
      <c r="A981" s="4" t="str">
        <f>IFERROR(parent_children_2[[#This Row],[parent_children_id]],"")</f>
        <v/>
      </c>
      <c r="B981" s="4" t="str">
        <f>IFERROR(VLOOKUP(parent_children_2[[#This Row],[parent_id]],abbreviation[],3,FALSE),"")</f>
        <v/>
      </c>
      <c r="C981" s="4" t="str">
        <f>IFERROR(VLOOKUP(parent_children_2[[#This Row],[children_id]],abbreviation[],ColumnLanguage+1,FALSE),"")</f>
        <v/>
      </c>
    </row>
    <row r="982" spans="1:3" x14ac:dyDescent="0.25">
      <c r="A982" s="4" t="str">
        <f>IFERROR(parent_children_2[[#This Row],[parent_children_id]],"")</f>
        <v/>
      </c>
      <c r="B982" s="4" t="str">
        <f>IFERROR(VLOOKUP(parent_children_2[[#This Row],[parent_id]],abbreviation[],3,FALSE),"")</f>
        <v/>
      </c>
      <c r="C982" s="4" t="str">
        <f>IFERROR(VLOOKUP(parent_children_2[[#This Row],[children_id]],abbreviation[],ColumnLanguage+1,FALSE),"")</f>
        <v/>
      </c>
    </row>
    <row r="983" spans="1:3" x14ac:dyDescent="0.25">
      <c r="A983" s="4" t="str">
        <f>IFERROR(parent_children_2[[#This Row],[parent_children_id]],"")</f>
        <v/>
      </c>
      <c r="B983" s="4" t="str">
        <f>IFERROR(VLOOKUP(parent_children_2[[#This Row],[parent_id]],abbreviation[],3,FALSE),"")</f>
        <v/>
      </c>
      <c r="C983" s="4" t="str">
        <f>IFERROR(VLOOKUP(parent_children_2[[#This Row],[children_id]],abbreviation[],ColumnLanguage+1,FALSE),"")</f>
        <v/>
      </c>
    </row>
    <row r="984" spans="1:3" x14ac:dyDescent="0.25">
      <c r="A984" s="4" t="str">
        <f>IFERROR(parent_children_2[[#This Row],[parent_children_id]],"")</f>
        <v/>
      </c>
      <c r="B984" s="4" t="str">
        <f>IFERROR(VLOOKUP(parent_children_2[[#This Row],[parent_id]],abbreviation[],3,FALSE),"")</f>
        <v/>
      </c>
      <c r="C984" s="4" t="str">
        <f>IFERROR(VLOOKUP(parent_children_2[[#This Row],[children_id]],abbreviation[],ColumnLanguage+1,FALSE),"")</f>
        <v/>
      </c>
    </row>
    <row r="985" spans="1:3" x14ac:dyDescent="0.25">
      <c r="A985" s="4" t="str">
        <f>IFERROR(parent_children_2[[#This Row],[parent_children_id]],"")</f>
        <v/>
      </c>
      <c r="B985" s="4" t="str">
        <f>IFERROR(VLOOKUP(parent_children_2[[#This Row],[parent_id]],abbreviation[],3,FALSE),"")</f>
        <v/>
      </c>
      <c r="C985" s="4" t="str">
        <f>IFERROR(VLOOKUP(parent_children_2[[#This Row],[children_id]],abbreviation[],ColumnLanguage+1,FALSE),"")</f>
        <v/>
      </c>
    </row>
    <row r="986" spans="1:3" x14ac:dyDescent="0.25">
      <c r="A986" s="4" t="str">
        <f>IFERROR(parent_children_2[[#This Row],[parent_children_id]],"")</f>
        <v/>
      </c>
      <c r="B986" s="4" t="str">
        <f>IFERROR(VLOOKUP(parent_children_2[[#This Row],[parent_id]],abbreviation[],3,FALSE),"")</f>
        <v/>
      </c>
      <c r="C986" s="4" t="str">
        <f>IFERROR(VLOOKUP(parent_children_2[[#This Row],[children_id]],abbreviation[],ColumnLanguage+1,FALSE),"")</f>
        <v/>
      </c>
    </row>
    <row r="987" spans="1:3" x14ac:dyDescent="0.25">
      <c r="A987" s="4" t="str">
        <f>IFERROR(parent_children_2[[#This Row],[parent_children_id]],"")</f>
        <v/>
      </c>
      <c r="B987" s="4" t="str">
        <f>IFERROR(VLOOKUP(parent_children_2[[#This Row],[parent_id]],abbreviation[],3,FALSE),"")</f>
        <v/>
      </c>
      <c r="C987" s="4" t="str">
        <f>IFERROR(VLOOKUP(parent_children_2[[#This Row],[children_id]],abbreviation[],ColumnLanguage+1,FALSE),"")</f>
        <v/>
      </c>
    </row>
    <row r="988" spans="1:3" x14ac:dyDescent="0.25">
      <c r="A988" s="4" t="str">
        <f>IFERROR(parent_children_2[[#This Row],[parent_children_id]],"")</f>
        <v/>
      </c>
      <c r="B988" s="4" t="str">
        <f>IFERROR(VLOOKUP(parent_children_2[[#This Row],[parent_id]],abbreviation[],3,FALSE),"")</f>
        <v/>
      </c>
      <c r="C988" s="4" t="str">
        <f>IFERROR(VLOOKUP(parent_children_2[[#This Row],[children_id]],abbreviation[],ColumnLanguage+1,FALSE),"")</f>
        <v/>
      </c>
    </row>
    <row r="989" spans="1:3" x14ac:dyDescent="0.25">
      <c r="A989" s="4" t="str">
        <f>IFERROR(parent_children_2[[#This Row],[parent_children_id]],"")</f>
        <v/>
      </c>
      <c r="B989" s="4" t="str">
        <f>IFERROR(VLOOKUP(parent_children_2[[#This Row],[parent_id]],abbreviation[],3,FALSE),"")</f>
        <v/>
      </c>
      <c r="C989" s="4" t="str">
        <f>IFERROR(VLOOKUP(parent_children_2[[#This Row],[children_id]],abbreviation[],ColumnLanguage+1,FALSE),"")</f>
        <v/>
      </c>
    </row>
    <row r="990" spans="1:3" x14ac:dyDescent="0.25">
      <c r="A990" s="4" t="str">
        <f>IFERROR(parent_children_2[[#This Row],[parent_children_id]],"")</f>
        <v/>
      </c>
      <c r="B990" s="4" t="str">
        <f>IFERROR(VLOOKUP(parent_children_2[[#This Row],[parent_id]],abbreviation[],3,FALSE),"")</f>
        <v/>
      </c>
      <c r="C990" s="4" t="str">
        <f>IFERROR(VLOOKUP(parent_children_2[[#This Row],[children_id]],abbreviation[],ColumnLanguage+1,FALSE),"")</f>
        <v/>
      </c>
    </row>
    <row r="991" spans="1:3" x14ac:dyDescent="0.25">
      <c r="A991" s="4" t="str">
        <f>IFERROR(parent_children_2[[#This Row],[parent_children_id]],"")</f>
        <v/>
      </c>
      <c r="B991" s="4" t="str">
        <f>IFERROR(VLOOKUP(parent_children_2[[#This Row],[parent_id]],abbreviation[],3,FALSE),"")</f>
        <v/>
      </c>
      <c r="C991" s="4" t="str">
        <f>IFERROR(VLOOKUP(parent_children_2[[#This Row],[children_id]],abbreviation[],ColumnLanguage+1,FALSE),"")</f>
        <v/>
      </c>
    </row>
    <row r="992" spans="1:3" x14ac:dyDescent="0.25">
      <c r="A992" s="4" t="str">
        <f>IFERROR(parent_children_2[[#This Row],[parent_children_id]],"")</f>
        <v/>
      </c>
      <c r="B992" s="4" t="str">
        <f>IFERROR(VLOOKUP(parent_children_2[[#This Row],[parent_id]],abbreviation[],3,FALSE),"")</f>
        <v/>
      </c>
      <c r="C992" s="4" t="str">
        <f>IFERROR(VLOOKUP(parent_children_2[[#This Row],[children_id]],abbreviation[],ColumnLanguage+1,FALSE),"")</f>
        <v/>
      </c>
    </row>
    <row r="993" spans="1:3" x14ac:dyDescent="0.25">
      <c r="A993" s="4" t="str">
        <f>IFERROR(parent_children_2[[#This Row],[parent_children_id]],"")</f>
        <v/>
      </c>
      <c r="B993" s="4" t="str">
        <f>IFERROR(VLOOKUP(parent_children_2[[#This Row],[parent_id]],abbreviation[],3,FALSE),"")</f>
        <v/>
      </c>
      <c r="C993" s="4" t="str">
        <f>IFERROR(VLOOKUP(parent_children_2[[#This Row],[children_id]],abbreviation[],ColumnLanguage+1,FALSE),"")</f>
        <v/>
      </c>
    </row>
    <row r="994" spans="1:3" x14ac:dyDescent="0.25">
      <c r="A994" s="4" t="str">
        <f>IFERROR(parent_children_2[[#This Row],[parent_children_id]],"")</f>
        <v/>
      </c>
      <c r="B994" s="4" t="str">
        <f>IFERROR(VLOOKUP(parent_children_2[[#This Row],[parent_id]],abbreviation[],3,FALSE),"")</f>
        <v/>
      </c>
      <c r="C994" s="4" t="str">
        <f>IFERROR(VLOOKUP(parent_children_2[[#This Row],[children_id]],abbreviation[],ColumnLanguage+1,FALSE),"")</f>
        <v/>
      </c>
    </row>
    <row r="995" spans="1:3" x14ac:dyDescent="0.25">
      <c r="A995" s="4" t="str">
        <f>IFERROR(parent_children_2[[#This Row],[parent_children_id]],"")</f>
        <v/>
      </c>
      <c r="B995" s="4" t="str">
        <f>IFERROR(VLOOKUP(parent_children_2[[#This Row],[parent_id]],abbreviation[],3,FALSE),"")</f>
        <v/>
      </c>
      <c r="C995" s="4" t="str">
        <f>IFERROR(VLOOKUP(parent_children_2[[#This Row],[children_id]],abbreviation[],ColumnLanguage+1,FALSE),"")</f>
        <v/>
      </c>
    </row>
    <row r="996" spans="1:3" x14ac:dyDescent="0.25">
      <c r="A996" s="4" t="str">
        <f>IFERROR(parent_children_2[[#This Row],[parent_children_id]],"")</f>
        <v/>
      </c>
      <c r="B996" s="4" t="str">
        <f>IFERROR(VLOOKUP(parent_children_2[[#This Row],[parent_id]],abbreviation[],3,FALSE),"")</f>
        <v/>
      </c>
      <c r="C996" s="4" t="str">
        <f>IFERROR(VLOOKUP(parent_children_2[[#This Row],[children_id]],abbreviation[],ColumnLanguage+1,FALSE),"")</f>
        <v/>
      </c>
    </row>
    <row r="997" spans="1:3" x14ac:dyDescent="0.25">
      <c r="A997" s="4" t="str">
        <f>IFERROR(parent_children_2[[#This Row],[parent_children_id]],"")</f>
        <v/>
      </c>
      <c r="B997" s="4" t="str">
        <f>IFERROR(VLOOKUP(parent_children_2[[#This Row],[parent_id]],abbreviation[],3,FALSE),"")</f>
        <v/>
      </c>
      <c r="C997" s="4" t="str">
        <f>IFERROR(VLOOKUP(parent_children_2[[#This Row],[children_id]],abbreviation[],ColumnLanguage+1,FALSE),"")</f>
        <v/>
      </c>
    </row>
    <row r="998" spans="1:3" x14ac:dyDescent="0.25">
      <c r="A998" s="4" t="str">
        <f>IFERROR(parent_children_2[[#This Row],[parent_children_id]],"")</f>
        <v/>
      </c>
      <c r="B998" s="4" t="str">
        <f>IFERROR(VLOOKUP(parent_children_2[[#This Row],[parent_id]],abbreviation[],3,FALSE),"")</f>
        <v/>
      </c>
      <c r="C998" s="4" t="str">
        <f>IFERROR(VLOOKUP(parent_children_2[[#This Row],[children_id]],abbreviation[],ColumnLanguage+1,FALSE),"")</f>
        <v/>
      </c>
    </row>
    <row r="999" spans="1:3" x14ac:dyDescent="0.25">
      <c r="A999" s="4" t="str">
        <f>IFERROR(parent_children_2[[#This Row],[parent_children_id]],"")</f>
        <v/>
      </c>
      <c r="B999" s="4" t="str">
        <f>IFERROR(VLOOKUP(parent_children_2[[#This Row],[parent_id]],abbreviation[],3,FALSE),"")</f>
        <v/>
      </c>
      <c r="C999" s="4" t="str">
        <f>IFERROR(VLOOKUP(parent_children_2[[#This Row],[children_id]],abbreviation[],ColumnLanguage+1,FALSE),"")</f>
        <v/>
      </c>
    </row>
    <row r="1000" spans="1:3" x14ac:dyDescent="0.25">
      <c r="A1000" s="4" t="str">
        <f>IFERROR(parent_children_2[[#This Row],[parent_children_id]],"")</f>
        <v/>
      </c>
      <c r="B1000" s="4" t="str">
        <f>IFERROR(VLOOKUP(parent_children_2[[#This Row],[parent_id]],abbreviation[],3,FALSE),"")</f>
        <v/>
      </c>
      <c r="C1000" s="4" t="str">
        <f>IFERROR(VLOOKUP(parent_children_2[[#This Row],[children_id]],abbreviation[],ColumnLanguage+1,FALSE),"")</f>
        <v/>
      </c>
    </row>
    <row r="1001" spans="1:3" x14ac:dyDescent="0.25">
      <c r="A1001" s="4" t="str">
        <f>IFERROR(parent_children_2[[#This Row],[parent_children_id]],"")</f>
        <v/>
      </c>
      <c r="B1001" s="4" t="str">
        <f>IFERROR(VLOOKUP(parent_children_2[[#This Row],[parent_id]],abbreviation[],3,FALSE),"")</f>
        <v/>
      </c>
      <c r="C1001" s="4" t="str">
        <f>IFERROR(VLOOKUP(parent_children_2[[#This Row],[children_id]],abbreviation[],ColumnLanguage+1,FALSE),"")</f>
        <v/>
      </c>
    </row>
    <row r="1002" spans="1:3" x14ac:dyDescent="0.25">
      <c r="A1002" s="4" t="str">
        <f>IFERROR(parent_children_2[[#This Row],[parent_children_id]],"")</f>
        <v/>
      </c>
      <c r="B1002" s="4" t="str">
        <f>IFERROR(VLOOKUP(parent_children_2[[#This Row],[parent_id]],abbreviation[],3,FALSE),"")</f>
        <v/>
      </c>
      <c r="C1002" s="4" t="str">
        <f>IFERROR(VLOOKUP(parent_children_2[[#This Row],[children_id]],abbreviation[],ColumnLanguage+1,FALSE),"")</f>
        <v/>
      </c>
    </row>
    <row r="1003" spans="1:3" x14ac:dyDescent="0.25">
      <c r="A1003" s="4" t="str">
        <f>IFERROR(parent_children_2[[#This Row],[parent_children_id]],"")</f>
        <v/>
      </c>
      <c r="B1003" s="4" t="str">
        <f>IFERROR(VLOOKUP(parent_children_2[[#This Row],[parent_id]],abbreviation[],3,FALSE),"")</f>
        <v/>
      </c>
      <c r="C1003" s="4" t="str">
        <f>IFERROR(VLOOKUP(parent_children_2[[#This Row],[children_id]],abbreviation[],ColumnLanguage+1,FALSE),"")</f>
        <v/>
      </c>
    </row>
    <row r="1004" spans="1:3" x14ac:dyDescent="0.25">
      <c r="A1004" s="4" t="str">
        <f>IFERROR(parent_children_2[[#This Row],[parent_children_id]],"")</f>
        <v/>
      </c>
      <c r="B1004" s="4" t="str">
        <f>IFERROR(VLOOKUP(parent_children_2[[#This Row],[parent_id]],abbreviation[],3,FALSE),"")</f>
        <v/>
      </c>
      <c r="C1004" s="4" t="str">
        <f>IFERROR(VLOOKUP(parent_children_2[[#This Row],[children_id]],abbreviation[],ColumnLanguage+1,FALSE),"")</f>
        <v/>
      </c>
    </row>
    <row r="1005" spans="1:3" x14ac:dyDescent="0.25">
      <c r="A1005" s="4" t="str">
        <f>IFERROR(parent_children_2[[#This Row],[parent_children_id]],"")</f>
        <v/>
      </c>
      <c r="B1005" s="4" t="str">
        <f>IFERROR(VLOOKUP(parent_children_2[[#This Row],[parent_id]],abbreviation[],3,FALSE),"")</f>
        <v/>
      </c>
      <c r="C1005" s="4" t="str">
        <f>IFERROR(VLOOKUP(parent_children_2[[#This Row],[children_id]],abbreviation[],ColumnLanguage+1,FALSE),"")</f>
        <v/>
      </c>
    </row>
    <row r="1006" spans="1:3" x14ac:dyDescent="0.25">
      <c r="A1006" s="4" t="str">
        <f>IFERROR(parent_children_2[[#This Row],[parent_children_id]],"")</f>
        <v/>
      </c>
      <c r="B1006" s="4" t="str">
        <f>IFERROR(VLOOKUP(parent_children_2[[#This Row],[parent_id]],abbreviation[],3,FALSE),"")</f>
        <v/>
      </c>
      <c r="C1006" s="4" t="str">
        <f>IFERROR(VLOOKUP(parent_children_2[[#This Row],[children_id]],abbreviation[],ColumnLanguage+1,FALSE),"")</f>
        <v/>
      </c>
    </row>
    <row r="1007" spans="1:3" x14ac:dyDescent="0.25">
      <c r="A1007" s="4" t="str">
        <f>IFERROR(parent_children_2[[#This Row],[parent_children_id]],"")</f>
        <v/>
      </c>
      <c r="B1007" s="4" t="str">
        <f>IFERROR(VLOOKUP(parent_children_2[[#This Row],[parent_id]],abbreviation[],3,FALSE),"")</f>
        <v/>
      </c>
      <c r="C1007" s="4" t="str">
        <f>IFERROR(VLOOKUP(parent_children_2[[#This Row],[children_id]],abbreviation[],ColumnLanguage+1,FALSE),"")</f>
        <v/>
      </c>
    </row>
    <row r="1008" spans="1:3" x14ac:dyDescent="0.25">
      <c r="A1008" s="4" t="str">
        <f>IFERROR(parent_children_2[[#This Row],[parent_children_id]],"")</f>
        <v/>
      </c>
      <c r="B1008" s="4" t="str">
        <f>IFERROR(VLOOKUP(parent_children_2[[#This Row],[parent_id]],abbreviation[],3,FALSE),"")</f>
        <v/>
      </c>
      <c r="C1008" s="4" t="str">
        <f>IFERROR(VLOOKUP(parent_children_2[[#This Row],[children_id]],abbreviation[],ColumnLanguage+1,FALSE),"")</f>
        <v/>
      </c>
    </row>
    <row r="1009" spans="1:3" x14ac:dyDescent="0.25">
      <c r="A1009" s="4" t="str">
        <f>IFERROR(parent_children_2[[#This Row],[parent_children_id]],"")</f>
        <v/>
      </c>
      <c r="B1009" s="4" t="str">
        <f>IFERROR(VLOOKUP(parent_children_2[[#This Row],[parent_id]],abbreviation[],3,FALSE),"")</f>
        <v/>
      </c>
      <c r="C1009" s="4" t="str">
        <f>IFERROR(VLOOKUP(parent_children_2[[#This Row],[children_id]],abbreviation[],ColumnLanguage+1,FALSE),"")</f>
        <v/>
      </c>
    </row>
    <row r="1010" spans="1:3" x14ac:dyDescent="0.25">
      <c r="A1010" s="4" t="str">
        <f>IFERROR(parent_children_2[[#This Row],[parent_children_id]],"")</f>
        <v/>
      </c>
      <c r="B1010" s="4" t="str">
        <f>IFERROR(VLOOKUP(parent_children_2[[#This Row],[parent_id]],abbreviation[],3,FALSE),"")</f>
        <v/>
      </c>
      <c r="C1010" s="4" t="str">
        <f>IFERROR(VLOOKUP(parent_children_2[[#This Row],[children_id]],abbreviation[],ColumnLanguage+1,FALSE),"")</f>
        <v/>
      </c>
    </row>
    <row r="1011" spans="1:3" x14ac:dyDescent="0.25">
      <c r="A1011" s="4" t="str">
        <f>IFERROR(parent_children_2[[#This Row],[parent_children_id]],"")</f>
        <v/>
      </c>
      <c r="B1011" s="4" t="str">
        <f>IFERROR(VLOOKUP(parent_children_2[[#This Row],[parent_id]],abbreviation[],3,FALSE),"")</f>
        <v/>
      </c>
      <c r="C1011" s="4" t="str">
        <f>IFERROR(VLOOKUP(parent_children_2[[#This Row],[children_id]],abbreviation[],ColumnLanguage+1,FALSE),"")</f>
        <v/>
      </c>
    </row>
    <row r="1012" spans="1:3" x14ac:dyDescent="0.25">
      <c r="A1012" s="4" t="str">
        <f>IFERROR(parent_children_2[[#This Row],[parent_children_id]],"")</f>
        <v/>
      </c>
      <c r="B1012" s="4" t="str">
        <f>IFERROR(VLOOKUP(parent_children_2[[#This Row],[parent_id]],abbreviation[],3,FALSE),"")</f>
        <v/>
      </c>
      <c r="C1012" s="4" t="str">
        <f>IFERROR(VLOOKUP(parent_children_2[[#This Row],[children_id]],abbreviation[],ColumnLanguage+1,FALSE),"")</f>
        <v/>
      </c>
    </row>
    <row r="1013" spans="1:3" x14ac:dyDescent="0.25">
      <c r="A1013" s="4" t="str">
        <f>IFERROR(parent_children_2[[#This Row],[parent_children_id]],"")</f>
        <v/>
      </c>
      <c r="B1013" s="4" t="str">
        <f>IFERROR(VLOOKUP(parent_children_2[[#This Row],[parent_id]],abbreviation[],3,FALSE),"")</f>
        <v/>
      </c>
      <c r="C1013" s="4" t="str">
        <f>IFERROR(VLOOKUP(parent_children_2[[#This Row],[children_id]],abbreviation[],ColumnLanguage+1,FALSE),"")</f>
        <v/>
      </c>
    </row>
    <row r="1014" spans="1:3" x14ac:dyDescent="0.25">
      <c r="A1014" s="4" t="str">
        <f>IFERROR(parent_children_2[[#This Row],[parent_children_id]],"")</f>
        <v/>
      </c>
      <c r="B1014" s="4" t="str">
        <f>IFERROR(VLOOKUP(parent_children_2[[#This Row],[parent_id]],abbreviation[],3,FALSE),"")</f>
        <v/>
      </c>
      <c r="C1014" s="4" t="str">
        <f>IFERROR(VLOOKUP(parent_children_2[[#This Row],[children_id]],abbreviation[],ColumnLanguage+1,FALSE),"")</f>
        <v/>
      </c>
    </row>
    <row r="1015" spans="1:3" x14ac:dyDescent="0.25">
      <c r="A1015" s="4" t="str">
        <f>IFERROR(parent_children_2[[#This Row],[parent_children_id]],"")</f>
        <v/>
      </c>
      <c r="B1015" s="4" t="str">
        <f>IFERROR(VLOOKUP(parent_children_2[[#This Row],[parent_id]],abbreviation[],3,FALSE),"")</f>
        <v/>
      </c>
      <c r="C1015" s="4" t="str">
        <f>IFERROR(VLOOKUP(parent_children_2[[#This Row],[children_id]],abbreviation[],ColumnLanguage+1,FALSE),"")</f>
        <v/>
      </c>
    </row>
    <row r="1016" spans="1:3" x14ac:dyDescent="0.25">
      <c r="A1016" s="4" t="str">
        <f>IFERROR(parent_children_2[[#This Row],[parent_children_id]],"")</f>
        <v/>
      </c>
      <c r="B1016" s="4" t="str">
        <f>IFERROR(VLOOKUP(parent_children_2[[#This Row],[parent_id]],abbreviation[],3,FALSE),"")</f>
        <v/>
      </c>
      <c r="C1016" s="4" t="str">
        <f>IFERROR(VLOOKUP(parent_children_2[[#This Row],[children_id]],abbreviation[],ColumnLanguage+1,FALSE),"")</f>
        <v/>
      </c>
    </row>
    <row r="1017" spans="1:3" x14ac:dyDescent="0.25">
      <c r="A1017" s="4" t="str">
        <f>IFERROR(parent_children_2[[#This Row],[parent_children_id]],"")</f>
        <v/>
      </c>
      <c r="B1017" s="4" t="str">
        <f>IFERROR(VLOOKUP(parent_children_2[[#This Row],[parent_id]],abbreviation[],3,FALSE),"")</f>
        <v/>
      </c>
      <c r="C1017" s="4" t="str">
        <f>IFERROR(VLOOKUP(parent_children_2[[#This Row],[children_id]],abbreviation[],ColumnLanguage+1,FALSE),"")</f>
        <v/>
      </c>
    </row>
    <row r="1018" spans="1:3" x14ac:dyDescent="0.25">
      <c r="A1018" s="4" t="str">
        <f>IFERROR(parent_children_2[[#This Row],[parent_children_id]],"")</f>
        <v/>
      </c>
      <c r="B1018" s="4" t="str">
        <f>IFERROR(VLOOKUP(parent_children_2[[#This Row],[parent_id]],abbreviation[],3,FALSE),"")</f>
        <v/>
      </c>
      <c r="C1018" s="4" t="str">
        <f>IFERROR(VLOOKUP(parent_children_2[[#This Row],[children_id]],abbreviation[],ColumnLanguage+1,FALSE),"")</f>
        <v/>
      </c>
    </row>
    <row r="1019" spans="1:3" x14ac:dyDescent="0.25">
      <c r="A1019" s="4" t="str">
        <f>IFERROR(parent_children_2[[#This Row],[parent_children_id]],"")</f>
        <v/>
      </c>
      <c r="B1019" s="4" t="str">
        <f>IFERROR(VLOOKUP(parent_children_2[[#This Row],[parent_id]],abbreviation[],3,FALSE),"")</f>
        <v/>
      </c>
      <c r="C1019" s="4" t="str">
        <f>IFERROR(VLOOKUP(parent_children_2[[#This Row],[children_id]],abbreviation[],ColumnLanguage+1,FALSE),"")</f>
        <v/>
      </c>
    </row>
    <row r="1020" spans="1:3" x14ac:dyDescent="0.25">
      <c r="A1020" s="4" t="str">
        <f>IFERROR(parent_children_2[[#This Row],[parent_children_id]],"")</f>
        <v/>
      </c>
      <c r="B1020" s="4" t="str">
        <f>IFERROR(VLOOKUP(parent_children_2[[#This Row],[parent_id]],abbreviation[],3,FALSE),"")</f>
        <v/>
      </c>
      <c r="C1020" s="4" t="str">
        <f>IFERROR(VLOOKUP(parent_children_2[[#This Row],[children_id]],abbreviation[],ColumnLanguage+1,FALSE),"")</f>
        <v/>
      </c>
    </row>
    <row r="1021" spans="1:3" x14ac:dyDescent="0.25">
      <c r="A1021" s="4" t="str">
        <f>IFERROR(parent_children_2[[#This Row],[parent_children_id]],"")</f>
        <v/>
      </c>
      <c r="B1021" s="4" t="str">
        <f>IFERROR(VLOOKUP(parent_children_2[[#This Row],[parent_id]],abbreviation[],3,FALSE),"")</f>
        <v/>
      </c>
      <c r="C1021" s="4" t="str">
        <f>IFERROR(VLOOKUP(parent_children_2[[#This Row],[children_id]],abbreviation[],ColumnLanguage+1,FALSE),"")</f>
        <v/>
      </c>
    </row>
    <row r="1022" spans="1:3" x14ac:dyDescent="0.25">
      <c r="A1022" s="4" t="str">
        <f>IFERROR(parent_children_2[[#This Row],[parent_children_id]],"")</f>
        <v/>
      </c>
      <c r="B1022" s="4" t="str">
        <f>IFERROR(VLOOKUP(parent_children_2[[#This Row],[parent_id]],abbreviation[],3,FALSE),"")</f>
        <v/>
      </c>
      <c r="C1022" s="4" t="str">
        <f>IFERROR(VLOOKUP(parent_children_2[[#This Row],[children_id]],abbreviation[],ColumnLanguage+1,FALSE),"")</f>
        <v/>
      </c>
    </row>
    <row r="1023" spans="1:3" x14ac:dyDescent="0.25">
      <c r="A1023" s="4" t="str">
        <f>IFERROR(parent_children_2[[#This Row],[parent_children_id]],"")</f>
        <v/>
      </c>
      <c r="B1023" s="4" t="str">
        <f>IFERROR(VLOOKUP(parent_children_2[[#This Row],[parent_id]],abbreviation[],3,FALSE),"")</f>
        <v/>
      </c>
      <c r="C1023" s="4" t="str">
        <f>IFERROR(VLOOKUP(parent_children_2[[#This Row],[children_id]],abbreviation[],ColumnLanguage+1,FALSE),"")</f>
        <v/>
      </c>
    </row>
    <row r="1024" spans="1:3" x14ac:dyDescent="0.25">
      <c r="A1024" s="4" t="str">
        <f>IFERROR(parent_children_2[[#This Row],[parent_children_id]],"")</f>
        <v/>
      </c>
      <c r="B1024" s="4" t="str">
        <f>IFERROR(VLOOKUP(parent_children_2[[#This Row],[parent_id]],abbreviation[],3,FALSE),"")</f>
        <v/>
      </c>
      <c r="C1024" s="4" t="str">
        <f>IFERROR(VLOOKUP(parent_children_2[[#This Row],[children_id]],abbreviation[],ColumnLanguage+1,FALSE),"")</f>
        <v/>
      </c>
    </row>
    <row r="1025" spans="1:3" x14ac:dyDescent="0.25">
      <c r="A1025" s="4" t="str">
        <f>IFERROR(parent_children_2[[#This Row],[parent_children_id]],"")</f>
        <v/>
      </c>
      <c r="B1025" s="4" t="str">
        <f>IFERROR(VLOOKUP(parent_children_2[[#This Row],[parent_id]],abbreviation[],3,FALSE),"")</f>
        <v/>
      </c>
      <c r="C1025" s="4" t="str">
        <f>IFERROR(VLOOKUP(parent_children_2[[#This Row],[children_id]],abbreviation[],ColumnLanguage+1,FALSE),"")</f>
        <v/>
      </c>
    </row>
    <row r="1026" spans="1:3" x14ac:dyDescent="0.25">
      <c r="A1026" s="4" t="str">
        <f>IFERROR(parent_children_2[[#This Row],[parent_children_id]],"")</f>
        <v/>
      </c>
      <c r="B1026" s="4" t="str">
        <f>IFERROR(VLOOKUP(parent_children_2[[#This Row],[parent_id]],abbreviation[],3,FALSE),"")</f>
        <v/>
      </c>
      <c r="C1026" s="4" t="str">
        <f>IFERROR(VLOOKUP(parent_children_2[[#This Row],[children_id]],abbreviation[],ColumnLanguage+1,FALSE),"")</f>
        <v/>
      </c>
    </row>
    <row r="1027" spans="1:3" x14ac:dyDescent="0.25">
      <c r="A1027" s="4" t="str">
        <f>IFERROR(parent_children_2[[#This Row],[parent_children_id]],"")</f>
        <v/>
      </c>
      <c r="B1027" s="4" t="str">
        <f>IFERROR(VLOOKUP(parent_children_2[[#This Row],[parent_id]],abbreviation[],3,FALSE),"")</f>
        <v/>
      </c>
      <c r="C1027" s="4" t="str">
        <f>IFERROR(VLOOKUP(parent_children_2[[#This Row],[children_id]],abbreviation[],ColumnLanguage+1,FALSE),"")</f>
        <v/>
      </c>
    </row>
    <row r="1028" spans="1:3" x14ac:dyDescent="0.25">
      <c r="A1028" s="4" t="str">
        <f>IFERROR(parent_children_2[[#This Row],[parent_children_id]],"")</f>
        <v/>
      </c>
      <c r="B1028" s="4" t="str">
        <f>IFERROR(VLOOKUP(parent_children_2[[#This Row],[parent_id]],abbreviation[],3,FALSE),"")</f>
        <v/>
      </c>
      <c r="C1028" s="4" t="str">
        <f>IFERROR(VLOOKUP(parent_children_2[[#This Row],[children_id]],abbreviation[],ColumnLanguage+1,FALSE),"")</f>
        <v/>
      </c>
    </row>
    <row r="1029" spans="1:3" x14ac:dyDescent="0.25">
      <c r="A1029" s="4" t="str">
        <f>IFERROR(parent_children_2[[#This Row],[parent_children_id]],"")</f>
        <v/>
      </c>
      <c r="B1029" s="4" t="str">
        <f>IFERROR(VLOOKUP(parent_children_2[[#This Row],[parent_id]],abbreviation[],3,FALSE),"")</f>
        <v/>
      </c>
      <c r="C1029" s="4" t="str">
        <f>IFERROR(VLOOKUP(parent_children_2[[#This Row],[children_id]],abbreviation[],ColumnLanguage+1,FALSE),"")</f>
        <v/>
      </c>
    </row>
    <row r="1030" spans="1:3" x14ac:dyDescent="0.25">
      <c r="A1030" s="4" t="str">
        <f>IFERROR(parent_children_2[[#This Row],[parent_children_id]],"")</f>
        <v/>
      </c>
      <c r="B1030" s="4" t="str">
        <f>IFERROR(VLOOKUP(parent_children_2[[#This Row],[parent_id]],abbreviation[],3,FALSE),"")</f>
        <v/>
      </c>
      <c r="C1030" s="4" t="str">
        <f>IFERROR(VLOOKUP(parent_children_2[[#This Row],[children_id]],abbreviation[],ColumnLanguage+1,FALSE),"")</f>
        <v/>
      </c>
    </row>
    <row r="1031" spans="1:3" x14ac:dyDescent="0.25">
      <c r="A1031" s="4" t="str">
        <f>IFERROR(parent_children_2[[#This Row],[parent_children_id]],"")</f>
        <v/>
      </c>
      <c r="B1031" s="4" t="str">
        <f>IFERROR(VLOOKUP(parent_children_2[[#This Row],[parent_id]],abbreviation[],3,FALSE),"")</f>
        <v/>
      </c>
      <c r="C1031" s="4" t="str">
        <f>IFERROR(VLOOKUP(parent_children_2[[#This Row],[children_id]],abbreviation[],ColumnLanguage+1,FALSE),"")</f>
        <v/>
      </c>
    </row>
    <row r="1032" spans="1:3" x14ac:dyDescent="0.25">
      <c r="A1032" s="4" t="str">
        <f>IFERROR(parent_children_2[[#This Row],[parent_children_id]],"")</f>
        <v/>
      </c>
      <c r="B1032" s="4" t="str">
        <f>IFERROR(VLOOKUP(parent_children_2[[#This Row],[parent_id]],abbreviation[],3,FALSE),"")</f>
        <v/>
      </c>
      <c r="C1032" s="4" t="str">
        <f>IFERROR(VLOOKUP(parent_children_2[[#This Row],[children_id]],abbreviation[],ColumnLanguage+1,FALSE),"")</f>
        <v/>
      </c>
    </row>
    <row r="1033" spans="1:3" x14ac:dyDescent="0.25">
      <c r="A1033" s="4" t="str">
        <f>IFERROR(parent_children_2[[#This Row],[parent_children_id]],"")</f>
        <v/>
      </c>
      <c r="B1033" s="4" t="str">
        <f>IFERROR(VLOOKUP(parent_children_2[[#This Row],[parent_id]],abbreviation[],3,FALSE),"")</f>
        <v/>
      </c>
      <c r="C1033" s="4" t="str">
        <f>IFERROR(VLOOKUP(parent_children_2[[#This Row],[children_id]],abbreviation[],ColumnLanguage+1,FALSE),"")</f>
        <v/>
      </c>
    </row>
    <row r="1034" spans="1:3" x14ac:dyDescent="0.25">
      <c r="A1034" s="4" t="str">
        <f>IFERROR(parent_children_2[[#This Row],[parent_children_id]],"")</f>
        <v/>
      </c>
      <c r="B1034" s="4" t="str">
        <f>IFERROR(VLOOKUP(parent_children_2[[#This Row],[parent_id]],abbreviation[],3,FALSE),"")</f>
        <v/>
      </c>
      <c r="C1034" s="4" t="str">
        <f>IFERROR(VLOOKUP(parent_children_2[[#This Row],[children_id]],abbreviation[],ColumnLanguage+1,FALSE),"")</f>
        <v/>
      </c>
    </row>
    <row r="1035" spans="1:3" x14ac:dyDescent="0.25">
      <c r="A1035" s="4" t="str">
        <f>IFERROR(parent_children_2[[#This Row],[parent_children_id]],"")</f>
        <v/>
      </c>
      <c r="B1035" s="4" t="str">
        <f>IFERROR(VLOOKUP(parent_children_2[[#This Row],[parent_id]],abbreviation[],3,FALSE),"")</f>
        <v/>
      </c>
      <c r="C1035" s="4" t="str">
        <f>IFERROR(VLOOKUP(parent_children_2[[#This Row],[children_id]],abbreviation[],ColumnLanguage+1,FALSE),"")</f>
        <v/>
      </c>
    </row>
    <row r="1036" spans="1:3" x14ac:dyDescent="0.25">
      <c r="A1036" s="4" t="str">
        <f>IFERROR(parent_children_2[[#This Row],[parent_children_id]],"")</f>
        <v/>
      </c>
      <c r="B1036" s="4" t="str">
        <f>IFERROR(VLOOKUP(parent_children_2[[#This Row],[parent_id]],abbreviation[],3,FALSE),"")</f>
        <v/>
      </c>
      <c r="C1036" s="4" t="str">
        <f>IFERROR(VLOOKUP(parent_children_2[[#This Row],[children_id]],abbreviation[],ColumnLanguage+1,FALSE),"")</f>
        <v/>
      </c>
    </row>
    <row r="1037" spans="1:3" x14ac:dyDescent="0.25">
      <c r="A1037" s="4" t="str">
        <f>IFERROR(parent_children_2[[#This Row],[parent_children_id]],"")</f>
        <v/>
      </c>
      <c r="B1037" s="4" t="str">
        <f>IFERROR(VLOOKUP(parent_children_2[[#This Row],[parent_id]],abbreviation[],3,FALSE),"")</f>
        <v/>
      </c>
      <c r="C1037" s="4" t="str">
        <f>IFERROR(VLOOKUP(parent_children_2[[#This Row],[children_id]],abbreviation[],ColumnLanguage+1,FALSE),"")</f>
        <v/>
      </c>
    </row>
    <row r="1038" spans="1:3" x14ac:dyDescent="0.25">
      <c r="A1038" s="4" t="str">
        <f>IFERROR(parent_children_2[[#This Row],[parent_children_id]],"")</f>
        <v/>
      </c>
      <c r="B1038" s="4" t="str">
        <f>IFERROR(VLOOKUP(parent_children_2[[#This Row],[parent_id]],abbreviation[],3,FALSE),"")</f>
        <v/>
      </c>
      <c r="C1038" s="4" t="str">
        <f>IFERROR(VLOOKUP(parent_children_2[[#This Row],[children_id]],abbreviation[],ColumnLanguage+1,FALSE),"")</f>
        <v/>
      </c>
    </row>
    <row r="1039" spans="1:3" x14ac:dyDescent="0.25">
      <c r="A1039" s="4" t="str">
        <f>IFERROR(parent_children_2[[#This Row],[parent_children_id]],"")</f>
        <v/>
      </c>
      <c r="B1039" s="4" t="str">
        <f>IFERROR(VLOOKUP(parent_children_2[[#This Row],[parent_id]],abbreviation[],3,FALSE),"")</f>
        <v/>
      </c>
      <c r="C1039" s="4" t="str">
        <f>IFERROR(VLOOKUP(parent_children_2[[#This Row],[children_id]],abbreviation[],ColumnLanguage+1,FALSE),"")</f>
        <v/>
      </c>
    </row>
    <row r="1040" spans="1:3" x14ac:dyDescent="0.25">
      <c r="A1040" s="4" t="str">
        <f>IFERROR(parent_children_2[[#This Row],[parent_children_id]],"")</f>
        <v/>
      </c>
      <c r="B1040" s="4" t="str">
        <f>IFERROR(VLOOKUP(parent_children_2[[#This Row],[parent_id]],abbreviation[],3,FALSE),"")</f>
        <v/>
      </c>
      <c r="C1040" s="4" t="str">
        <f>IFERROR(VLOOKUP(parent_children_2[[#This Row],[children_id]],abbreviation[],ColumnLanguage+1,FALSE),"")</f>
        <v/>
      </c>
    </row>
    <row r="1041" spans="1:3" x14ac:dyDescent="0.25">
      <c r="A1041" s="4" t="str">
        <f>IFERROR(parent_children_2[[#This Row],[parent_children_id]],"")</f>
        <v/>
      </c>
      <c r="B1041" s="4" t="str">
        <f>IFERROR(VLOOKUP(parent_children_2[[#This Row],[parent_id]],abbreviation[],3,FALSE),"")</f>
        <v/>
      </c>
      <c r="C1041" s="4" t="str">
        <f>IFERROR(VLOOKUP(parent_children_2[[#This Row],[children_id]],abbreviation[],ColumnLanguage+1,FALSE),"")</f>
        <v/>
      </c>
    </row>
    <row r="1042" spans="1:3" x14ac:dyDescent="0.25">
      <c r="A1042" s="4" t="str">
        <f>IFERROR(parent_children_2[[#This Row],[parent_children_id]],"")</f>
        <v/>
      </c>
      <c r="B1042" s="4" t="str">
        <f>IFERROR(VLOOKUP(parent_children_2[[#This Row],[parent_id]],abbreviation[],3,FALSE),"")</f>
        <v/>
      </c>
      <c r="C1042" s="4" t="str">
        <f>IFERROR(VLOOKUP(parent_children_2[[#This Row],[children_id]],abbreviation[],ColumnLanguage+1,FALSE),"")</f>
        <v/>
      </c>
    </row>
    <row r="1043" spans="1:3" x14ac:dyDescent="0.25">
      <c r="A1043" s="4" t="str">
        <f>IFERROR(parent_children_2[[#This Row],[parent_children_id]],"")</f>
        <v/>
      </c>
      <c r="B1043" s="4" t="str">
        <f>IFERROR(VLOOKUP(parent_children_2[[#This Row],[parent_id]],abbreviation[],3,FALSE),"")</f>
        <v/>
      </c>
      <c r="C1043" s="4" t="str">
        <f>IFERROR(VLOOKUP(parent_children_2[[#This Row],[children_id]],abbreviation[],ColumnLanguage+1,FALSE),"")</f>
        <v/>
      </c>
    </row>
    <row r="1044" spans="1:3" x14ac:dyDescent="0.25">
      <c r="A1044" s="4" t="str">
        <f>IFERROR(parent_children_2[[#This Row],[parent_children_id]],"")</f>
        <v/>
      </c>
      <c r="B1044" s="4" t="str">
        <f>IFERROR(VLOOKUP(parent_children_2[[#This Row],[parent_id]],abbreviation[],3,FALSE),"")</f>
        <v/>
      </c>
      <c r="C1044" s="4" t="str">
        <f>IFERROR(VLOOKUP(parent_children_2[[#This Row],[children_id]],abbreviation[],ColumnLanguage+1,FALSE),"")</f>
        <v/>
      </c>
    </row>
    <row r="1045" spans="1:3" x14ac:dyDescent="0.25">
      <c r="A1045" s="4" t="str">
        <f>IFERROR(parent_children_2[[#This Row],[parent_children_id]],"")</f>
        <v/>
      </c>
      <c r="B1045" s="4" t="str">
        <f>IFERROR(VLOOKUP(parent_children_2[[#This Row],[parent_id]],abbreviation[],3,FALSE),"")</f>
        <v/>
      </c>
      <c r="C1045" s="4" t="str">
        <f>IFERROR(VLOOKUP(parent_children_2[[#This Row],[children_id]],abbreviation[],ColumnLanguage+1,FALSE),"")</f>
        <v/>
      </c>
    </row>
    <row r="1046" spans="1:3" x14ac:dyDescent="0.25">
      <c r="A1046" s="4" t="str">
        <f>IFERROR(parent_children_2[[#This Row],[parent_children_id]],"")</f>
        <v/>
      </c>
      <c r="B1046" s="4" t="str">
        <f>IFERROR(VLOOKUP(parent_children_2[[#This Row],[parent_id]],abbreviation[],3,FALSE),"")</f>
        <v/>
      </c>
      <c r="C1046" s="4" t="str">
        <f>IFERROR(VLOOKUP(parent_children_2[[#This Row],[children_id]],abbreviation[],ColumnLanguage+1,FALSE),"")</f>
        <v/>
      </c>
    </row>
    <row r="1047" spans="1:3" x14ac:dyDescent="0.25">
      <c r="A1047" s="4" t="str">
        <f>IFERROR(parent_children_2[[#This Row],[parent_children_id]],"")</f>
        <v/>
      </c>
      <c r="B1047" s="4" t="str">
        <f>IFERROR(VLOOKUP(parent_children_2[[#This Row],[parent_id]],abbreviation[],3,FALSE),"")</f>
        <v/>
      </c>
      <c r="C1047" s="4" t="str">
        <f>IFERROR(VLOOKUP(parent_children_2[[#This Row],[children_id]],abbreviation[],ColumnLanguage+1,FALSE),"")</f>
        <v/>
      </c>
    </row>
    <row r="1048" spans="1:3" x14ac:dyDescent="0.25">
      <c r="A1048" s="4" t="str">
        <f>IFERROR(parent_children_2[[#This Row],[parent_children_id]],"")</f>
        <v/>
      </c>
      <c r="B1048" s="4" t="str">
        <f>IFERROR(VLOOKUP(parent_children_2[[#This Row],[parent_id]],abbreviation[],3,FALSE),"")</f>
        <v/>
      </c>
      <c r="C1048" s="4" t="str">
        <f>IFERROR(VLOOKUP(parent_children_2[[#This Row],[children_id]],abbreviation[],ColumnLanguage+1,FALSE),"")</f>
        <v/>
      </c>
    </row>
    <row r="1049" spans="1:3" x14ac:dyDescent="0.25">
      <c r="A1049" s="4" t="str">
        <f>IFERROR(parent_children_2[[#This Row],[parent_children_id]],"")</f>
        <v/>
      </c>
      <c r="B1049" s="4" t="str">
        <f>IFERROR(VLOOKUP(parent_children_2[[#This Row],[parent_id]],abbreviation[],3,FALSE),"")</f>
        <v/>
      </c>
      <c r="C1049" s="4" t="str">
        <f>IFERROR(VLOOKUP(parent_children_2[[#This Row],[children_id]],abbreviation[],ColumnLanguage+1,FALSE),"")</f>
        <v/>
      </c>
    </row>
    <row r="1050" spans="1:3" x14ac:dyDescent="0.25">
      <c r="A1050" s="4" t="str">
        <f>IFERROR(parent_children_2[[#This Row],[parent_children_id]],"")</f>
        <v/>
      </c>
      <c r="B1050" s="4" t="str">
        <f>IFERROR(VLOOKUP(parent_children_2[[#This Row],[parent_id]],abbreviation[],3,FALSE),"")</f>
        <v/>
      </c>
      <c r="C1050" s="4" t="str">
        <f>IFERROR(VLOOKUP(parent_children_2[[#This Row],[children_id]],abbreviation[],ColumnLanguage+1,FALSE),"")</f>
        <v/>
      </c>
    </row>
    <row r="1051" spans="1:3" x14ac:dyDescent="0.25">
      <c r="A1051" s="4" t="str">
        <f>IFERROR(parent_children_2[[#This Row],[parent_children_id]],"")</f>
        <v/>
      </c>
      <c r="B1051" s="4" t="str">
        <f>IFERROR(VLOOKUP(parent_children_2[[#This Row],[parent_id]],abbreviation[],3,FALSE),"")</f>
        <v/>
      </c>
      <c r="C1051" s="4" t="str">
        <f>IFERROR(VLOOKUP(parent_children_2[[#This Row],[children_id]],abbreviation[],ColumnLanguage+1,FALSE),"")</f>
        <v/>
      </c>
    </row>
    <row r="1052" spans="1:3" x14ac:dyDescent="0.25">
      <c r="A1052" s="4" t="str">
        <f>IFERROR(parent_children_2[[#This Row],[parent_children_id]],"")</f>
        <v/>
      </c>
      <c r="B1052" s="4" t="str">
        <f>IFERROR(VLOOKUP(parent_children_2[[#This Row],[parent_id]],abbreviation[],3,FALSE),"")</f>
        <v/>
      </c>
      <c r="C1052" s="4" t="str">
        <f>IFERROR(VLOOKUP(parent_children_2[[#This Row],[children_id]],abbreviation[],ColumnLanguage+1,FALSE),"")</f>
        <v/>
      </c>
    </row>
    <row r="1053" spans="1:3" x14ac:dyDescent="0.25">
      <c r="A1053" s="4" t="str">
        <f>IFERROR(parent_children_2[[#This Row],[parent_children_id]],"")</f>
        <v/>
      </c>
      <c r="B1053" s="4" t="str">
        <f>IFERROR(VLOOKUP(parent_children_2[[#This Row],[parent_id]],abbreviation[],3,FALSE),"")</f>
        <v/>
      </c>
      <c r="C1053" s="4" t="str">
        <f>IFERROR(VLOOKUP(parent_children_2[[#This Row],[children_id]],abbreviation[],ColumnLanguage+1,FALSE),"")</f>
        <v/>
      </c>
    </row>
    <row r="1054" spans="1:3" x14ac:dyDescent="0.25">
      <c r="A1054" s="4" t="str">
        <f>IFERROR(parent_children_2[[#This Row],[parent_children_id]],"")</f>
        <v/>
      </c>
      <c r="B1054" s="4" t="str">
        <f>IFERROR(VLOOKUP(parent_children_2[[#This Row],[parent_id]],abbreviation[],3,FALSE),"")</f>
        <v/>
      </c>
      <c r="C1054" s="4" t="str">
        <f>IFERROR(VLOOKUP(parent_children_2[[#This Row],[children_id]],abbreviation[],ColumnLanguage+1,FALSE),"")</f>
        <v/>
      </c>
    </row>
    <row r="1055" spans="1:3" x14ac:dyDescent="0.25">
      <c r="A1055" s="4" t="str">
        <f>IFERROR(parent_children_2[[#This Row],[parent_children_id]],"")</f>
        <v/>
      </c>
      <c r="B1055" s="4" t="str">
        <f>IFERROR(VLOOKUP(parent_children_2[[#This Row],[parent_id]],abbreviation[],3,FALSE),"")</f>
        <v/>
      </c>
      <c r="C1055" s="4" t="str">
        <f>IFERROR(VLOOKUP(parent_children_2[[#This Row],[children_id]],abbreviation[],ColumnLanguage+1,FALSE),"")</f>
        <v/>
      </c>
    </row>
    <row r="1056" spans="1:3" x14ac:dyDescent="0.25">
      <c r="A1056" s="4" t="str">
        <f>IFERROR(parent_children_2[[#This Row],[parent_children_id]],"")</f>
        <v/>
      </c>
      <c r="B1056" s="4" t="str">
        <f>IFERROR(VLOOKUP(parent_children_2[[#This Row],[parent_id]],abbreviation[],3,FALSE),"")</f>
        <v/>
      </c>
      <c r="C1056" s="4" t="str">
        <f>IFERROR(VLOOKUP(parent_children_2[[#This Row],[children_id]],abbreviation[],ColumnLanguage+1,FALSE),"")</f>
        <v/>
      </c>
    </row>
    <row r="1057" spans="1:3" x14ac:dyDescent="0.25">
      <c r="A1057" s="4" t="str">
        <f>IFERROR(parent_children_2[[#This Row],[parent_children_id]],"")</f>
        <v/>
      </c>
      <c r="B1057" s="4" t="str">
        <f>IFERROR(VLOOKUP(parent_children_2[[#This Row],[parent_id]],abbreviation[],3,FALSE),"")</f>
        <v/>
      </c>
      <c r="C1057" s="4" t="str">
        <f>IFERROR(VLOOKUP(parent_children_2[[#This Row],[children_id]],abbreviation[],ColumnLanguage+1,FALSE),"")</f>
        <v/>
      </c>
    </row>
    <row r="1058" spans="1:3" x14ac:dyDescent="0.25">
      <c r="A1058" s="4" t="str">
        <f>IFERROR(parent_children_2[[#This Row],[parent_children_id]],"")</f>
        <v/>
      </c>
      <c r="B1058" s="4" t="str">
        <f>IFERROR(VLOOKUP(parent_children_2[[#This Row],[parent_id]],abbreviation[],3,FALSE),"")</f>
        <v/>
      </c>
      <c r="C1058" s="4" t="str">
        <f>IFERROR(VLOOKUP(parent_children_2[[#This Row],[children_id]],abbreviation[],ColumnLanguage+1,FALSE),"")</f>
        <v/>
      </c>
    </row>
    <row r="1059" spans="1:3" x14ac:dyDescent="0.25">
      <c r="A1059" s="4" t="str">
        <f>IFERROR(parent_children_2[[#This Row],[parent_children_id]],"")</f>
        <v/>
      </c>
      <c r="B1059" s="4" t="str">
        <f>IFERROR(VLOOKUP(parent_children_2[[#This Row],[parent_id]],abbreviation[],3,FALSE),"")</f>
        <v/>
      </c>
      <c r="C1059" s="4" t="str">
        <f>IFERROR(VLOOKUP(parent_children_2[[#This Row],[children_id]],abbreviation[],ColumnLanguage+1,FALSE),"")</f>
        <v/>
      </c>
    </row>
    <row r="1060" spans="1:3" x14ac:dyDescent="0.25">
      <c r="A1060" s="4" t="str">
        <f>IFERROR(parent_children_2[[#This Row],[parent_children_id]],"")</f>
        <v/>
      </c>
      <c r="B1060" s="4" t="str">
        <f>IFERROR(VLOOKUP(parent_children_2[[#This Row],[parent_id]],abbreviation[],3,FALSE),"")</f>
        <v/>
      </c>
      <c r="C1060" s="4" t="str">
        <f>IFERROR(VLOOKUP(parent_children_2[[#This Row],[children_id]],abbreviation[],ColumnLanguage+1,FALSE),"")</f>
        <v/>
      </c>
    </row>
    <row r="1061" spans="1:3" x14ac:dyDescent="0.25">
      <c r="A1061" s="4" t="str">
        <f>IFERROR(parent_children_2[[#This Row],[parent_children_id]],"")</f>
        <v/>
      </c>
      <c r="B1061" s="4" t="str">
        <f>IFERROR(VLOOKUP(parent_children_2[[#This Row],[parent_id]],abbreviation[],3,FALSE),"")</f>
        <v/>
      </c>
      <c r="C1061" s="4" t="str">
        <f>IFERROR(VLOOKUP(parent_children_2[[#This Row],[children_id]],abbreviation[],ColumnLanguage+1,FALSE),"")</f>
        <v/>
      </c>
    </row>
    <row r="1062" spans="1:3" x14ac:dyDescent="0.25">
      <c r="A1062" s="4" t="str">
        <f>IFERROR(parent_children_2[[#This Row],[parent_children_id]],"")</f>
        <v/>
      </c>
      <c r="B1062" s="4" t="str">
        <f>IFERROR(VLOOKUP(parent_children_2[[#This Row],[parent_id]],abbreviation[],3,FALSE),"")</f>
        <v/>
      </c>
      <c r="C1062" s="4" t="str">
        <f>IFERROR(VLOOKUP(parent_children_2[[#This Row],[children_id]],abbreviation[],ColumnLanguage+1,FALSE),"")</f>
        <v/>
      </c>
    </row>
    <row r="1063" spans="1:3" x14ac:dyDescent="0.25">
      <c r="A1063" s="4" t="str">
        <f>IFERROR(parent_children_2[[#This Row],[parent_children_id]],"")</f>
        <v/>
      </c>
      <c r="B1063" s="4" t="str">
        <f>IFERROR(VLOOKUP(parent_children_2[[#This Row],[parent_id]],abbreviation[],3,FALSE),"")</f>
        <v/>
      </c>
      <c r="C1063" s="4" t="str">
        <f>IFERROR(VLOOKUP(parent_children_2[[#This Row],[children_id]],abbreviation[],ColumnLanguage+1,FALSE),"")</f>
        <v/>
      </c>
    </row>
    <row r="1064" spans="1:3" x14ac:dyDescent="0.25">
      <c r="A1064" s="4" t="str">
        <f>IFERROR(parent_children_2[[#This Row],[parent_children_id]],"")</f>
        <v/>
      </c>
      <c r="B1064" s="4" t="str">
        <f>IFERROR(VLOOKUP(parent_children_2[[#This Row],[parent_id]],abbreviation[],3,FALSE),"")</f>
        <v/>
      </c>
      <c r="C1064" s="4" t="str">
        <f>IFERROR(VLOOKUP(parent_children_2[[#This Row],[children_id]],abbreviation[],ColumnLanguage+1,FALSE),"")</f>
        <v/>
      </c>
    </row>
    <row r="1065" spans="1:3" x14ac:dyDescent="0.25">
      <c r="A1065" s="4" t="str">
        <f>IFERROR(parent_children_2[[#This Row],[parent_children_id]],"")</f>
        <v/>
      </c>
      <c r="B1065" s="4" t="str">
        <f>IFERROR(VLOOKUP(parent_children_2[[#This Row],[parent_id]],abbreviation[],3,FALSE),"")</f>
        <v/>
      </c>
      <c r="C1065" s="4" t="str">
        <f>IFERROR(VLOOKUP(parent_children_2[[#This Row],[children_id]],abbreviation[],ColumnLanguage+1,FALSE),"")</f>
        <v/>
      </c>
    </row>
    <row r="1066" spans="1:3" x14ac:dyDescent="0.25">
      <c r="A1066" s="4" t="str">
        <f>IFERROR(parent_children_2[[#This Row],[parent_children_id]],"")</f>
        <v/>
      </c>
      <c r="B1066" s="4" t="str">
        <f>IFERROR(VLOOKUP(parent_children_2[[#This Row],[parent_id]],abbreviation[],3,FALSE),"")</f>
        <v/>
      </c>
      <c r="C1066" s="4" t="str">
        <f>IFERROR(VLOOKUP(parent_children_2[[#This Row],[children_id]],abbreviation[],ColumnLanguage+1,FALSE),"")</f>
        <v/>
      </c>
    </row>
    <row r="1067" spans="1:3" x14ac:dyDescent="0.25">
      <c r="A1067" s="4" t="str">
        <f>IFERROR(parent_children_2[[#This Row],[parent_children_id]],"")</f>
        <v/>
      </c>
      <c r="B1067" s="4" t="str">
        <f>IFERROR(VLOOKUP(parent_children_2[[#This Row],[parent_id]],abbreviation[],3,FALSE),"")</f>
        <v/>
      </c>
      <c r="C1067" s="4" t="str">
        <f>IFERROR(VLOOKUP(parent_children_2[[#This Row],[children_id]],abbreviation[],ColumnLanguage+1,FALSE),"")</f>
        <v/>
      </c>
    </row>
    <row r="1068" spans="1:3" x14ac:dyDescent="0.25">
      <c r="A1068" s="4" t="str">
        <f>IFERROR(parent_children_2[[#This Row],[parent_children_id]],"")</f>
        <v/>
      </c>
      <c r="B1068" s="4" t="str">
        <f>IFERROR(VLOOKUP(parent_children_2[[#This Row],[parent_id]],abbreviation[],3,FALSE),"")</f>
        <v/>
      </c>
      <c r="C1068" s="4" t="str">
        <f>IFERROR(VLOOKUP(parent_children_2[[#This Row],[children_id]],abbreviation[],ColumnLanguage+1,FALSE),"")</f>
        <v/>
      </c>
    </row>
    <row r="1069" spans="1:3" x14ac:dyDescent="0.25">
      <c r="A1069" s="4" t="str">
        <f>IFERROR(parent_children_2[[#This Row],[parent_children_id]],"")</f>
        <v/>
      </c>
      <c r="B1069" s="4" t="str">
        <f>IFERROR(VLOOKUP(parent_children_2[[#This Row],[parent_id]],abbreviation[],3,FALSE),"")</f>
        <v/>
      </c>
      <c r="C1069" s="4" t="str">
        <f>IFERROR(VLOOKUP(parent_children_2[[#This Row],[children_id]],abbreviation[],ColumnLanguage+1,FALSE),"")</f>
        <v/>
      </c>
    </row>
    <row r="1070" spans="1:3" x14ac:dyDescent="0.25">
      <c r="A1070" s="4" t="str">
        <f>IFERROR(parent_children_2[[#This Row],[parent_children_id]],"")</f>
        <v/>
      </c>
      <c r="B1070" s="4" t="str">
        <f>IFERROR(VLOOKUP(parent_children_2[[#This Row],[parent_id]],abbreviation[],3,FALSE),"")</f>
        <v/>
      </c>
      <c r="C1070" s="4" t="str">
        <f>IFERROR(VLOOKUP(parent_children_2[[#This Row],[children_id]],abbreviation[],ColumnLanguage+1,FALSE),"")</f>
        <v/>
      </c>
    </row>
    <row r="1071" spans="1:3" x14ac:dyDescent="0.25">
      <c r="A1071" s="4" t="str">
        <f>IFERROR(parent_children_2[[#This Row],[parent_children_id]],"")</f>
        <v/>
      </c>
      <c r="B1071" s="4" t="str">
        <f>IFERROR(VLOOKUP(parent_children_2[[#This Row],[parent_id]],abbreviation[],3,FALSE),"")</f>
        <v/>
      </c>
      <c r="C1071" s="4" t="str">
        <f>IFERROR(VLOOKUP(parent_children_2[[#This Row],[children_id]],abbreviation[],ColumnLanguage+1,FALSE),"")</f>
        <v/>
      </c>
    </row>
    <row r="1072" spans="1:3" x14ac:dyDescent="0.25">
      <c r="A1072" s="4" t="str">
        <f>IFERROR(parent_children_2[[#This Row],[parent_children_id]],"")</f>
        <v/>
      </c>
      <c r="B1072" s="4" t="str">
        <f>IFERROR(VLOOKUP(parent_children_2[[#This Row],[parent_id]],abbreviation[],3,FALSE),"")</f>
        <v/>
      </c>
      <c r="C1072" s="4" t="str">
        <f>IFERROR(VLOOKUP(parent_children_2[[#This Row],[children_id]],abbreviation[],ColumnLanguage+1,FALSE),"")</f>
        <v/>
      </c>
    </row>
    <row r="1073" spans="1:3" x14ac:dyDescent="0.25">
      <c r="A1073" s="4" t="str">
        <f>IFERROR(parent_children_2[[#This Row],[parent_children_id]],"")</f>
        <v/>
      </c>
      <c r="B1073" s="4" t="str">
        <f>IFERROR(VLOOKUP(parent_children_2[[#This Row],[parent_id]],abbreviation[],3,FALSE),"")</f>
        <v/>
      </c>
      <c r="C1073" s="4" t="str">
        <f>IFERROR(VLOOKUP(parent_children_2[[#This Row],[children_id]],abbreviation[],ColumnLanguage+1,FALSE),"")</f>
        <v/>
      </c>
    </row>
    <row r="1074" spans="1:3" x14ac:dyDescent="0.25">
      <c r="A1074" s="4" t="str">
        <f>IFERROR(parent_children_2[[#This Row],[parent_children_id]],"")</f>
        <v/>
      </c>
      <c r="B1074" s="4" t="str">
        <f>IFERROR(VLOOKUP(parent_children_2[[#This Row],[parent_id]],abbreviation[],3,FALSE),"")</f>
        <v/>
      </c>
      <c r="C1074" s="4" t="str">
        <f>IFERROR(VLOOKUP(parent_children_2[[#This Row],[children_id]],abbreviation[],ColumnLanguage+1,FALSE),"")</f>
        <v/>
      </c>
    </row>
    <row r="1075" spans="1:3" x14ac:dyDescent="0.25">
      <c r="A1075" s="4" t="str">
        <f>IFERROR(parent_children_2[[#This Row],[parent_children_id]],"")</f>
        <v/>
      </c>
      <c r="B1075" s="4" t="str">
        <f>IFERROR(VLOOKUP(parent_children_2[[#This Row],[parent_id]],abbreviation[],3,FALSE),"")</f>
        <v/>
      </c>
      <c r="C1075" s="4" t="str">
        <f>IFERROR(VLOOKUP(parent_children_2[[#This Row],[children_id]],abbreviation[],ColumnLanguage+1,FALSE),"")</f>
        <v/>
      </c>
    </row>
    <row r="1076" spans="1:3" x14ac:dyDescent="0.25">
      <c r="A1076" s="4" t="str">
        <f>IFERROR(parent_children_2[[#This Row],[parent_children_id]],"")</f>
        <v/>
      </c>
      <c r="B1076" s="4" t="str">
        <f>IFERROR(VLOOKUP(parent_children_2[[#This Row],[parent_id]],abbreviation[],3,FALSE),"")</f>
        <v/>
      </c>
      <c r="C1076" s="4" t="str">
        <f>IFERROR(VLOOKUP(parent_children_2[[#This Row],[children_id]],abbreviation[],ColumnLanguage+1,FALSE),"")</f>
        <v/>
      </c>
    </row>
    <row r="1077" spans="1:3" x14ac:dyDescent="0.25">
      <c r="A1077" s="4" t="str">
        <f>IFERROR(parent_children_2[[#This Row],[parent_children_id]],"")</f>
        <v/>
      </c>
      <c r="B1077" s="4" t="str">
        <f>IFERROR(VLOOKUP(parent_children_2[[#This Row],[parent_id]],abbreviation[],3,FALSE),"")</f>
        <v/>
      </c>
      <c r="C1077" s="4" t="str">
        <f>IFERROR(VLOOKUP(parent_children_2[[#This Row],[children_id]],abbreviation[],ColumnLanguage+1,FALSE),"")</f>
        <v/>
      </c>
    </row>
    <row r="1078" spans="1:3" x14ac:dyDescent="0.25">
      <c r="A1078" s="4" t="str">
        <f>IFERROR(parent_children_2[[#This Row],[parent_children_id]],"")</f>
        <v/>
      </c>
      <c r="B1078" s="4" t="str">
        <f>IFERROR(VLOOKUP(parent_children_2[[#This Row],[parent_id]],abbreviation[],3,FALSE),"")</f>
        <v/>
      </c>
      <c r="C1078" s="4" t="str">
        <f>IFERROR(VLOOKUP(parent_children_2[[#This Row],[children_id]],abbreviation[],ColumnLanguage+1,FALSE),"")</f>
        <v/>
      </c>
    </row>
    <row r="1079" spans="1:3" x14ac:dyDescent="0.25">
      <c r="A1079" s="4" t="str">
        <f>IFERROR(parent_children_2[[#This Row],[parent_children_id]],"")</f>
        <v/>
      </c>
      <c r="B1079" s="4" t="str">
        <f>IFERROR(VLOOKUP(parent_children_2[[#This Row],[parent_id]],abbreviation[],3,FALSE),"")</f>
        <v/>
      </c>
      <c r="C1079" s="4" t="str">
        <f>IFERROR(VLOOKUP(parent_children_2[[#This Row],[children_id]],abbreviation[],ColumnLanguage+1,FALSE),"")</f>
        <v/>
      </c>
    </row>
    <row r="1080" spans="1:3" x14ac:dyDescent="0.25">
      <c r="A1080" s="4" t="str">
        <f>IFERROR(parent_children_2[[#This Row],[parent_children_id]],"")</f>
        <v/>
      </c>
      <c r="B1080" s="4" t="str">
        <f>IFERROR(VLOOKUP(parent_children_2[[#This Row],[parent_id]],abbreviation[],3,FALSE),"")</f>
        <v/>
      </c>
      <c r="C1080" s="4" t="str">
        <f>IFERROR(VLOOKUP(parent_children_2[[#This Row],[children_id]],abbreviation[],ColumnLanguage+1,FALSE),"")</f>
        <v/>
      </c>
    </row>
    <row r="1081" spans="1:3" x14ac:dyDescent="0.25">
      <c r="A1081" s="4" t="str">
        <f>IFERROR(parent_children_2[[#This Row],[parent_children_id]],"")</f>
        <v/>
      </c>
      <c r="B1081" s="4" t="str">
        <f>IFERROR(VLOOKUP(parent_children_2[[#This Row],[parent_id]],abbreviation[],3,FALSE),"")</f>
        <v/>
      </c>
      <c r="C1081" s="4" t="str">
        <f>IFERROR(VLOOKUP(parent_children_2[[#This Row],[children_id]],abbreviation[],ColumnLanguage+1,FALSE),"")</f>
        <v/>
      </c>
    </row>
    <row r="1082" spans="1:3" x14ac:dyDescent="0.25">
      <c r="A1082" s="4" t="str">
        <f>IFERROR(parent_children_2[[#This Row],[parent_children_id]],"")</f>
        <v/>
      </c>
      <c r="B1082" s="4" t="str">
        <f>IFERROR(VLOOKUP(parent_children_2[[#This Row],[parent_id]],abbreviation[],3,FALSE),"")</f>
        <v/>
      </c>
      <c r="C1082" s="4" t="str">
        <f>IFERROR(VLOOKUP(parent_children_2[[#This Row],[children_id]],abbreviation[],ColumnLanguage+1,FALSE),"")</f>
        <v/>
      </c>
    </row>
    <row r="1083" spans="1:3" x14ac:dyDescent="0.25">
      <c r="A1083" s="4" t="str">
        <f>IFERROR(parent_children_2[[#This Row],[parent_children_id]],"")</f>
        <v/>
      </c>
      <c r="B1083" s="4" t="str">
        <f>IFERROR(VLOOKUP(parent_children_2[[#This Row],[parent_id]],abbreviation[],3,FALSE),"")</f>
        <v/>
      </c>
      <c r="C1083" s="4" t="str">
        <f>IFERROR(VLOOKUP(parent_children_2[[#This Row],[children_id]],abbreviation[],ColumnLanguage+1,FALSE),"")</f>
        <v/>
      </c>
    </row>
    <row r="1084" spans="1:3" x14ac:dyDescent="0.25">
      <c r="A1084" s="4" t="str">
        <f>IFERROR(parent_children_2[[#This Row],[parent_children_id]],"")</f>
        <v/>
      </c>
      <c r="B1084" s="4" t="str">
        <f>IFERROR(VLOOKUP(parent_children_2[[#This Row],[parent_id]],abbreviation[],3,FALSE),"")</f>
        <v/>
      </c>
      <c r="C1084" s="4" t="str">
        <f>IFERROR(VLOOKUP(parent_children_2[[#This Row],[children_id]],abbreviation[],ColumnLanguage+1,FALSE),"")</f>
        <v/>
      </c>
    </row>
    <row r="1085" spans="1:3" x14ac:dyDescent="0.25">
      <c r="A1085" s="4" t="str">
        <f>IFERROR(parent_children_2[[#This Row],[parent_children_id]],"")</f>
        <v/>
      </c>
      <c r="B1085" s="4" t="str">
        <f>IFERROR(VLOOKUP(parent_children_2[[#This Row],[parent_id]],abbreviation[],3,FALSE),"")</f>
        <v/>
      </c>
      <c r="C1085" s="4" t="str">
        <f>IFERROR(VLOOKUP(parent_children_2[[#This Row],[children_id]],abbreviation[],ColumnLanguage+1,FALSE),"")</f>
        <v/>
      </c>
    </row>
    <row r="1086" spans="1:3" x14ac:dyDescent="0.25">
      <c r="A1086" s="4" t="str">
        <f>IFERROR(parent_children_2[[#This Row],[parent_children_id]],"")</f>
        <v/>
      </c>
      <c r="B1086" s="4" t="str">
        <f>IFERROR(VLOOKUP(parent_children_2[[#This Row],[parent_id]],abbreviation[],3,FALSE),"")</f>
        <v/>
      </c>
      <c r="C1086" s="4" t="str">
        <f>IFERROR(VLOOKUP(parent_children_2[[#This Row],[children_id]],abbreviation[],ColumnLanguage+1,FALSE),"")</f>
        <v/>
      </c>
    </row>
    <row r="1087" spans="1:3" x14ac:dyDescent="0.25">
      <c r="A1087" s="4" t="str">
        <f>IFERROR(parent_children_2[[#This Row],[parent_children_id]],"")</f>
        <v/>
      </c>
      <c r="B1087" s="4" t="str">
        <f>IFERROR(VLOOKUP(parent_children_2[[#This Row],[parent_id]],abbreviation[],3,FALSE),"")</f>
        <v/>
      </c>
      <c r="C1087" s="4" t="str">
        <f>IFERROR(VLOOKUP(parent_children_2[[#This Row],[children_id]],abbreviation[],ColumnLanguage+1,FALSE),"")</f>
        <v/>
      </c>
    </row>
    <row r="1088" spans="1:3" x14ac:dyDescent="0.25">
      <c r="A1088" s="4" t="str">
        <f>IFERROR(parent_children_2[[#This Row],[parent_children_id]],"")</f>
        <v/>
      </c>
      <c r="B1088" s="4" t="str">
        <f>IFERROR(VLOOKUP(parent_children_2[[#This Row],[parent_id]],abbreviation[],3,FALSE),"")</f>
        <v/>
      </c>
      <c r="C1088" s="4" t="str">
        <f>IFERROR(VLOOKUP(parent_children_2[[#This Row],[children_id]],abbreviation[],ColumnLanguage+1,FALSE),"")</f>
        <v/>
      </c>
    </row>
    <row r="1089" spans="1:3" x14ac:dyDescent="0.25">
      <c r="A1089" s="4" t="str">
        <f>IFERROR(parent_children_2[[#This Row],[parent_children_id]],"")</f>
        <v/>
      </c>
      <c r="B1089" s="4" t="str">
        <f>IFERROR(VLOOKUP(parent_children_2[[#This Row],[parent_id]],abbreviation[],3,FALSE),"")</f>
        <v/>
      </c>
      <c r="C1089" s="4" t="str">
        <f>IFERROR(VLOOKUP(parent_children_2[[#This Row],[children_id]],abbreviation[],ColumnLanguage+1,FALSE),"")</f>
        <v/>
      </c>
    </row>
    <row r="1090" spans="1:3" x14ac:dyDescent="0.25">
      <c r="A1090" s="4" t="str">
        <f>IFERROR(parent_children_2[[#This Row],[parent_children_id]],"")</f>
        <v/>
      </c>
      <c r="B1090" s="4" t="str">
        <f>IFERROR(VLOOKUP(parent_children_2[[#This Row],[parent_id]],abbreviation[],3,FALSE),"")</f>
        <v/>
      </c>
      <c r="C1090" s="4" t="str">
        <f>IFERROR(VLOOKUP(parent_children_2[[#This Row],[children_id]],abbreviation[],ColumnLanguage+1,FALSE),"")</f>
        <v/>
      </c>
    </row>
    <row r="1091" spans="1:3" x14ac:dyDescent="0.25">
      <c r="A1091" s="4" t="str">
        <f>IFERROR(parent_children_2[[#This Row],[parent_children_id]],"")</f>
        <v/>
      </c>
      <c r="B1091" s="4" t="str">
        <f>IFERROR(VLOOKUP(parent_children_2[[#This Row],[parent_id]],abbreviation[],3,FALSE),"")</f>
        <v/>
      </c>
      <c r="C1091" s="4" t="str">
        <f>IFERROR(VLOOKUP(parent_children_2[[#This Row],[children_id]],abbreviation[],ColumnLanguage+1,FALSE),"")</f>
        <v/>
      </c>
    </row>
    <row r="1092" spans="1:3" x14ac:dyDescent="0.25">
      <c r="A1092" s="4" t="str">
        <f>IFERROR(parent_children_2[[#This Row],[parent_children_id]],"")</f>
        <v/>
      </c>
      <c r="B1092" s="4" t="str">
        <f>IFERROR(VLOOKUP(parent_children_2[[#This Row],[parent_id]],abbreviation[],3,FALSE),"")</f>
        <v/>
      </c>
      <c r="C1092" s="4" t="str">
        <f>IFERROR(VLOOKUP(parent_children_2[[#This Row],[children_id]],abbreviation[],ColumnLanguage+1,FALSE),"")</f>
        <v/>
      </c>
    </row>
    <row r="1093" spans="1:3" x14ac:dyDescent="0.25">
      <c r="A1093" s="4" t="str">
        <f>IFERROR(parent_children_2[[#This Row],[parent_children_id]],"")</f>
        <v/>
      </c>
      <c r="B1093" s="4" t="str">
        <f>IFERROR(VLOOKUP(parent_children_2[[#This Row],[parent_id]],abbreviation[],3,FALSE),"")</f>
        <v/>
      </c>
      <c r="C1093" s="4" t="str">
        <f>IFERROR(VLOOKUP(parent_children_2[[#This Row],[children_id]],abbreviation[],ColumnLanguage+1,FALSE),"")</f>
        <v/>
      </c>
    </row>
    <row r="1094" spans="1:3" x14ac:dyDescent="0.25">
      <c r="A1094" s="4" t="str">
        <f>IFERROR(parent_children_2[[#This Row],[parent_children_id]],"")</f>
        <v/>
      </c>
      <c r="B1094" s="4" t="str">
        <f>IFERROR(VLOOKUP(parent_children_2[[#This Row],[parent_id]],abbreviation[],3,FALSE),"")</f>
        <v/>
      </c>
      <c r="C1094" s="4" t="str">
        <f>IFERROR(VLOOKUP(parent_children_2[[#This Row],[children_id]],abbreviation[],ColumnLanguage+1,FALSE),"")</f>
        <v/>
      </c>
    </row>
    <row r="1095" spans="1:3" x14ac:dyDescent="0.25">
      <c r="A1095" s="4" t="str">
        <f>IFERROR(parent_children_2[[#This Row],[parent_children_id]],"")</f>
        <v/>
      </c>
      <c r="B1095" s="4" t="str">
        <f>IFERROR(VLOOKUP(parent_children_2[[#This Row],[parent_id]],abbreviation[],3,FALSE),"")</f>
        <v/>
      </c>
      <c r="C1095" s="4" t="str">
        <f>IFERROR(VLOOKUP(parent_children_2[[#This Row],[children_id]],abbreviation[],ColumnLanguage+1,FALSE),"")</f>
        <v/>
      </c>
    </row>
    <row r="1096" spans="1:3" x14ac:dyDescent="0.25">
      <c r="A1096" s="4" t="str">
        <f>IFERROR(parent_children_2[[#This Row],[parent_children_id]],"")</f>
        <v/>
      </c>
      <c r="B1096" s="4" t="str">
        <f>IFERROR(VLOOKUP(parent_children_2[[#This Row],[parent_id]],abbreviation[],3,FALSE),"")</f>
        <v/>
      </c>
      <c r="C1096" s="4" t="str">
        <f>IFERROR(VLOOKUP(parent_children_2[[#This Row],[children_id]],abbreviation[],ColumnLanguage+1,FALSE),"")</f>
        <v/>
      </c>
    </row>
    <row r="1097" spans="1:3" x14ac:dyDescent="0.25">
      <c r="A1097" s="4" t="str">
        <f>IFERROR(parent_children_2[[#This Row],[parent_children_id]],"")</f>
        <v/>
      </c>
      <c r="B1097" s="4" t="str">
        <f>IFERROR(VLOOKUP(parent_children_2[[#This Row],[parent_id]],abbreviation[],3,FALSE),"")</f>
        <v/>
      </c>
      <c r="C1097" s="4" t="str">
        <f>IFERROR(VLOOKUP(parent_children_2[[#This Row],[children_id]],abbreviation[],ColumnLanguage+1,FALSE),"")</f>
        <v/>
      </c>
    </row>
    <row r="1098" spans="1:3" x14ac:dyDescent="0.25">
      <c r="A1098" s="4" t="str">
        <f>IFERROR(parent_children_2[[#This Row],[parent_children_id]],"")</f>
        <v/>
      </c>
      <c r="B1098" s="4" t="str">
        <f>IFERROR(VLOOKUP(parent_children_2[[#This Row],[parent_id]],abbreviation[],3,FALSE),"")</f>
        <v/>
      </c>
      <c r="C1098" s="4" t="str">
        <f>IFERROR(VLOOKUP(parent_children_2[[#This Row],[children_id]],abbreviation[],ColumnLanguage+1,FALSE),"")</f>
        <v/>
      </c>
    </row>
    <row r="1099" spans="1:3" x14ac:dyDescent="0.25">
      <c r="A1099" s="4" t="str">
        <f>IFERROR(parent_children_2[[#This Row],[parent_children_id]],"")</f>
        <v/>
      </c>
      <c r="B1099" s="4" t="str">
        <f>IFERROR(VLOOKUP(parent_children_2[[#This Row],[parent_id]],abbreviation[],3,FALSE),"")</f>
        <v/>
      </c>
      <c r="C1099" s="4" t="str">
        <f>IFERROR(VLOOKUP(parent_children_2[[#This Row],[children_id]],abbreviation[],ColumnLanguage+1,FALSE),"")</f>
        <v/>
      </c>
    </row>
    <row r="1100" spans="1:3" x14ac:dyDescent="0.25">
      <c r="A1100" s="4" t="str">
        <f>IFERROR(parent_children_2[[#This Row],[parent_children_id]],"")</f>
        <v/>
      </c>
      <c r="B1100" s="4" t="str">
        <f>IFERROR(VLOOKUP(parent_children_2[[#This Row],[parent_id]],abbreviation[],3,FALSE),"")</f>
        <v/>
      </c>
      <c r="C1100" s="4" t="str">
        <f>IFERROR(VLOOKUP(parent_children_2[[#This Row],[children_id]],abbreviation[],ColumnLanguage+1,FALSE),"")</f>
        <v/>
      </c>
    </row>
    <row r="1101" spans="1:3" x14ac:dyDescent="0.25">
      <c r="A1101" s="4" t="str">
        <f>IFERROR(parent_children_2[[#This Row],[parent_children_id]],"")</f>
        <v/>
      </c>
      <c r="B1101" s="4" t="str">
        <f>IFERROR(VLOOKUP(parent_children_2[[#This Row],[parent_id]],abbreviation[],3,FALSE),"")</f>
        <v/>
      </c>
      <c r="C1101" s="4" t="str">
        <f>IFERROR(VLOOKUP(parent_children_2[[#This Row],[children_id]],abbreviation[],ColumnLanguage+1,FALSE),"")</f>
        <v/>
      </c>
    </row>
    <row r="1102" spans="1:3" x14ac:dyDescent="0.25">
      <c r="A1102" s="4" t="str">
        <f>IFERROR(parent_children_2[[#This Row],[parent_children_id]],"")</f>
        <v/>
      </c>
      <c r="B1102" s="4" t="str">
        <f>IFERROR(VLOOKUP(parent_children_2[[#This Row],[parent_id]],abbreviation[],3,FALSE),"")</f>
        <v/>
      </c>
      <c r="C1102" s="4" t="str">
        <f>IFERROR(VLOOKUP(parent_children_2[[#This Row],[children_id]],abbreviation[],ColumnLanguage+1,FALSE),"")</f>
        <v/>
      </c>
    </row>
    <row r="1103" spans="1:3" x14ac:dyDescent="0.25">
      <c r="A1103" s="4" t="str">
        <f>IFERROR(parent_children_2[[#This Row],[parent_children_id]],"")</f>
        <v/>
      </c>
      <c r="B1103" s="4" t="str">
        <f>IFERROR(VLOOKUP(parent_children_2[[#This Row],[parent_id]],abbreviation[],3,FALSE),"")</f>
        <v/>
      </c>
      <c r="C1103" s="4" t="str">
        <f>IFERROR(VLOOKUP(parent_children_2[[#This Row],[children_id]],abbreviation[],ColumnLanguage+1,FALSE),"")</f>
        <v/>
      </c>
    </row>
    <row r="1104" spans="1:3" x14ac:dyDescent="0.25">
      <c r="A1104" s="4" t="str">
        <f>IFERROR(parent_children_2[[#This Row],[parent_children_id]],"")</f>
        <v/>
      </c>
      <c r="B1104" s="4" t="str">
        <f>IFERROR(VLOOKUP(parent_children_2[[#This Row],[parent_id]],abbreviation[],3,FALSE),"")</f>
        <v/>
      </c>
      <c r="C1104" s="4" t="str">
        <f>IFERROR(VLOOKUP(parent_children_2[[#This Row],[children_id]],abbreviation[],ColumnLanguage+1,FALSE),"")</f>
        <v/>
      </c>
    </row>
    <row r="1105" spans="1:3" x14ac:dyDescent="0.25">
      <c r="A1105" s="4" t="str">
        <f>IFERROR(parent_children_2[[#This Row],[parent_children_id]],"")</f>
        <v/>
      </c>
      <c r="B1105" s="4" t="str">
        <f>IFERROR(VLOOKUP(parent_children_2[[#This Row],[parent_id]],abbreviation[],3,FALSE),"")</f>
        <v/>
      </c>
      <c r="C1105" s="4" t="str">
        <f>IFERROR(VLOOKUP(parent_children_2[[#This Row],[children_id]],abbreviation[],ColumnLanguage+1,FALSE),"")</f>
        <v/>
      </c>
    </row>
    <row r="1106" spans="1:3" x14ac:dyDescent="0.25">
      <c r="A1106" s="4" t="str">
        <f>IFERROR(parent_children_2[[#This Row],[parent_children_id]],"")</f>
        <v/>
      </c>
      <c r="B1106" s="4" t="str">
        <f>IFERROR(VLOOKUP(parent_children_2[[#This Row],[parent_id]],abbreviation[],3,FALSE),"")</f>
        <v/>
      </c>
      <c r="C1106" s="4" t="str">
        <f>IFERROR(VLOOKUP(parent_children_2[[#This Row],[children_id]],abbreviation[],ColumnLanguage+1,FALSE),"")</f>
        <v/>
      </c>
    </row>
    <row r="1107" spans="1:3" x14ac:dyDescent="0.25">
      <c r="A1107" s="4" t="str">
        <f>IFERROR(parent_children_2[[#This Row],[parent_children_id]],"")</f>
        <v/>
      </c>
      <c r="B1107" s="4" t="str">
        <f>IFERROR(VLOOKUP(parent_children_2[[#This Row],[parent_id]],abbreviation[],3,FALSE),"")</f>
        <v/>
      </c>
      <c r="C1107" s="4" t="str">
        <f>IFERROR(VLOOKUP(parent_children_2[[#This Row],[children_id]],abbreviation[],ColumnLanguage+1,FALSE),"")</f>
        <v/>
      </c>
    </row>
    <row r="1108" spans="1:3" x14ac:dyDescent="0.25">
      <c r="A1108" s="4" t="str">
        <f>IFERROR(parent_children_2[[#This Row],[parent_children_id]],"")</f>
        <v/>
      </c>
      <c r="B1108" s="4" t="str">
        <f>IFERROR(VLOOKUP(parent_children_2[[#This Row],[parent_id]],abbreviation[],3,FALSE),"")</f>
        <v/>
      </c>
      <c r="C1108" s="4" t="str">
        <f>IFERROR(VLOOKUP(parent_children_2[[#This Row],[children_id]],abbreviation[],ColumnLanguage+1,FALSE),"")</f>
        <v/>
      </c>
    </row>
    <row r="1109" spans="1:3" x14ac:dyDescent="0.25">
      <c r="A1109" s="4" t="str">
        <f>IFERROR(parent_children_2[[#This Row],[parent_children_id]],"")</f>
        <v/>
      </c>
      <c r="B1109" s="4" t="str">
        <f>IFERROR(VLOOKUP(parent_children_2[[#This Row],[parent_id]],abbreviation[],3,FALSE),"")</f>
        <v/>
      </c>
      <c r="C1109" s="4" t="str">
        <f>IFERROR(VLOOKUP(parent_children_2[[#This Row],[children_id]],abbreviation[],ColumnLanguage+1,FALSE),"")</f>
        <v/>
      </c>
    </row>
    <row r="1110" spans="1:3" x14ac:dyDescent="0.25">
      <c r="A1110" s="4" t="str">
        <f>IFERROR(parent_children_2[[#This Row],[parent_children_id]],"")</f>
        <v/>
      </c>
      <c r="B1110" s="4" t="str">
        <f>IFERROR(VLOOKUP(parent_children_2[[#This Row],[parent_id]],abbreviation[],3,FALSE),"")</f>
        <v/>
      </c>
      <c r="C1110" s="4" t="str">
        <f>IFERROR(VLOOKUP(parent_children_2[[#This Row],[children_id]],abbreviation[],ColumnLanguage+1,FALSE),"")</f>
        <v/>
      </c>
    </row>
    <row r="1111" spans="1:3" x14ac:dyDescent="0.25">
      <c r="A1111" s="4" t="str">
        <f>IFERROR(parent_children_2[[#This Row],[parent_children_id]],"")</f>
        <v/>
      </c>
      <c r="B1111" s="4" t="str">
        <f>IFERROR(VLOOKUP(parent_children_2[[#This Row],[parent_id]],abbreviation[],3,FALSE),"")</f>
        <v/>
      </c>
      <c r="C1111" s="4" t="str">
        <f>IFERROR(VLOOKUP(parent_children_2[[#This Row],[children_id]],abbreviation[],ColumnLanguage+1,FALSE),"")</f>
        <v/>
      </c>
    </row>
    <row r="1112" spans="1:3" x14ac:dyDescent="0.25">
      <c r="A1112" s="4" t="str">
        <f>IFERROR(parent_children_2[[#This Row],[parent_children_id]],"")</f>
        <v/>
      </c>
      <c r="B1112" s="4" t="str">
        <f>IFERROR(VLOOKUP(parent_children_2[[#This Row],[parent_id]],abbreviation[],3,FALSE),"")</f>
        <v/>
      </c>
      <c r="C1112" s="4" t="str">
        <f>IFERROR(VLOOKUP(parent_children_2[[#This Row],[children_id]],abbreviation[],ColumnLanguage+1,FALSE),"")</f>
        <v/>
      </c>
    </row>
    <row r="1113" spans="1:3" x14ac:dyDescent="0.25">
      <c r="A1113" s="4" t="str">
        <f>IFERROR(parent_children_2[[#This Row],[parent_children_id]],"")</f>
        <v/>
      </c>
      <c r="B1113" s="4" t="str">
        <f>IFERROR(VLOOKUP(parent_children_2[[#This Row],[parent_id]],abbreviation[],3,FALSE),"")</f>
        <v/>
      </c>
      <c r="C1113" s="4" t="str">
        <f>IFERROR(VLOOKUP(parent_children_2[[#This Row],[children_id]],abbreviation[],ColumnLanguage+1,FALSE),"")</f>
        <v/>
      </c>
    </row>
    <row r="1114" spans="1:3" x14ac:dyDescent="0.25">
      <c r="A1114" s="4" t="str">
        <f>IFERROR(parent_children_2[[#This Row],[parent_children_id]],"")</f>
        <v/>
      </c>
      <c r="B1114" s="4" t="str">
        <f>IFERROR(VLOOKUP(parent_children_2[[#This Row],[parent_id]],abbreviation[],3,FALSE),"")</f>
        <v/>
      </c>
      <c r="C1114" s="4" t="str">
        <f>IFERROR(VLOOKUP(parent_children_2[[#This Row],[children_id]],abbreviation[],ColumnLanguage+1,FALSE),"")</f>
        <v/>
      </c>
    </row>
    <row r="1115" spans="1:3" x14ac:dyDescent="0.25">
      <c r="A1115" s="4" t="str">
        <f>IFERROR(parent_children_2[[#This Row],[parent_children_id]],"")</f>
        <v/>
      </c>
      <c r="B1115" s="4" t="str">
        <f>IFERROR(VLOOKUP(parent_children_2[[#This Row],[parent_id]],abbreviation[],3,FALSE),"")</f>
        <v/>
      </c>
      <c r="C1115" s="4" t="str">
        <f>IFERROR(VLOOKUP(parent_children_2[[#This Row],[children_id]],abbreviation[],ColumnLanguage+1,FALSE),"")</f>
        <v/>
      </c>
    </row>
    <row r="1116" spans="1:3" x14ac:dyDescent="0.25">
      <c r="A1116" s="4" t="str">
        <f>IFERROR(parent_children_2[[#This Row],[parent_children_id]],"")</f>
        <v/>
      </c>
      <c r="B1116" s="4" t="str">
        <f>IFERROR(VLOOKUP(parent_children_2[[#This Row],[parent_id]],abbreviation[],3,FALSE),"")</f>
        <v/>
      </c>
      <c r="C1116" s="4" t="str">
        <f>IFERROR(VLOOKUP(parent_children_2[[#This Row],[children_id]],abbreviation[],ColumnLanguage+1,FALSE),"")</f>
        <v/>
      </c>
    </row>
    <row r="1117" spans="1:3" x14ac:dyDescent="0.25">
      <c r="A1117" s="4" t="str">
        <f>IFERROR(parent_children_2[[#This Row],[parent_children_id]],"")</f>
        <v/>
      </c>
      <c r="B1117" s="4" t="str">
        <f>IFERROR(VLOOKUP(parent_children_2[[#This Row],[parent_id]],abbreviation[],3,FALSE),"")</f>
        <v/>
      </c>
      <c r="C1117" s="4" t="str">
        <f>IFERROR(VLOOKUP(parent_children_2[[#This Row],[children_id]],abbreviation[],ColumnLanguage+1,FALSE),"")</f>
        <v/>
      </c>
    </row>
    <row r="1118" spans="1:3" x14ac:dyDescent="0.25">
      <c r="A1118" s="4" t="str">
        <f>IFERROR(parent_children_2[[#This Row],[parent_children_id]],"")</f>
        <v/>
      </c>
      <c r="B1118" s="4" t="str">
        <f>IFERROR(VLOOKUP(parent_children_2[[#This Row],[parent_id]],abbreviation[],3,FALSE),"")</f>
        <v/>
      </c>
      <c r="C1118" s="4" t="str">
        <f>IFERROR(VLOOKUP(parent_children_2[[#This Row],[children_id]],abbreviation[],ColumnLanguage+1,FALSE),"")</f>
        <v/>
      </c>
    </row>
    <row r="1119" spans="1:3" x14ac:dyDescent="0.25">
      <c r="A1119" s="4" t="str">
        <f>IFERROR(parent_children_2[[#This Row],[parent_children_id]],"")</f>
        <v/>
      </c>
      <c r="B1119" s="4" t="str">
        <f>IFERROR(VLOOKUP(parent_children_2[[#This Row],[parent_id]],abbreviation[],3,FALSE),"")</f>
        <v/>
      </c>
      <c r="C1119" s="4" t="str">
        <f>IFERROR(VLOOKUP(parent_children_2[[#This Row],[children_id]],abbreviation[],ColumnLanguage+1,FALSE),"")</f>
        <v/>
      </c>
    </row>
    <row r="1120" spans="1:3" x14ac:dyDescent="0.25">
      <c r="A1120" s="4" t="str">
        <f>IFERROR(parent_children_2[[#This Row],[parent_children_id]],"")</f>
        <v/>
      </c>
      <c r="B1120" s="4" t="str">
        <f>IFERROR(VLOOKUP(parent_children_2[[#This Row],[parent_id]],abbreviation[],3,FALSE),"")</f>
        <v/>
      </c>
      <c r="C1120" s="4" t="str">
        <f>IFERROR(VLOOKUP(parent_children_2[[#This Row],[children_id]],abbreviation[],ColumnLanguage+1,FALSE),"")</f>
        <v/>
      </c>
    </row>
    <row r="1121" spans="1:3" x14ac:dyDescent="0.25">
      <c r="A1121" s="4" t="str">
        <f>IFERROR(parent_children_2[[#This Row],[parent_children_id]],"")</f>
        <v/>
      </c>
      <c r="B1121" s="4" t="str">
        <f>IFERROR(VLOOKUP(parent_children_2[[#This Row],[parent_id]],abbreviation[],3,FALSE),"")</f>
        <v/>
      </c>
      <c r="C1121" s="4" t="str">
        <f>IFERROR(VLOOKUP(parent_children_2[[#This Row],[children_id]],abbreviation[],ColumnLanguage+1,FALSE),"")</f>
        <v/>
      </c>
    </row>
    <row r="1122" spans="1:3" x14ac:dyDescent="0.25">
      <c r="A1122" s="4" t="str">
        <f>IFERROR(parent_children_2[[#This Row],[parent_children_id]],"")</f>
        <v/>
      </c>
      <c r="B1122" s="4" t="str">
        <f>IFERROR(VLOOKUP(parent_children_2[[#This Row],[parent_id]],abbreviation[],3,FALSE),"")</f>
        <v/>
      </c>
      <c r="C1122" s="4" t="str">
        <f>IFERROR(VLOOKUP(parent_children_2[[#This Row],[children_id]],abbreviation[],ColumnLanguage+1,FALSE),"")</f>
        <v/>
      </c>
    </row>
    <row r="1123" spans="1:3" x14ac:dyDescent="0.25">
      <c r="A1123" s="4" t="str">
        <f>IFERROR(parent_children_2[[#This Row],[parent_children_id]],"")</f>
        <v/>
      </c>
      <c r="B1123" s="4" t="str">
        <f>IFERROR(VLOOKUP(parent_children_2[[#This Row],[parent_id]],abbreviation[],3,FALSE),"")</f>
        <v/>
      </c>
      <c r="C1123" s="4" t="str">
        <f>IFERROR(VLOOKUP(parent_children_2[[#This Row],[children_id]],abbreviation[],ColumnLanguage+1,FALSE),"")</f>
        <v/>
      </c>
    </row>
    <row r="1124" spans="1:3" x14ac:dyDescent="0.25">
      <c r="A1124" s="4" t="str">
        <f>IFERROR(parent_children_2[[#This Row],[parent_children_id]],"")</f>
        <v/>
      </c>
      <c r="B1124" s="4" t="str">
        <f>IFERROR(VLOOKUP(parent_children_2[[#This Row],[parent_id]],abbreviation[],3,FALSE),"")</f>
        <v/>
      </c>
      <c r="C1124" s="4" t="str">
        <f>IFERROR(VLOOKUP(parent_children_2[[#This Row],[children_id]],abbreviation[],ColumnLanguage+1,FALSE),"")</f>
        <v/>
      </c>
    </row>
    <row r="1125" spans="1:3" x14ac:dyDescent="0.25">
      <c r="A1125" s="4" t="str">
        <f>IFERROR(parent_children_2[[#This Row],[parent_children_id]],"")</f>
        <v/>
      </c>
      <c r="B1125" s="4" t="str">
        <f>IFERROR(VLOOKUP(parent_children_2[[#This Row],[parent_id]],abbreviation[],3,FALSE),"")</f>
        <v/>
      </c>
      <c r="C1125" s="4" t="str">
        <f>IFERROR(VLOOKUP(parent_children_2[[#This Row],[children_id]],abbreviation[],ColumnLanguage+1,FALSE),"")</f>
        <v/>
      </c>
    </row>
    <row r="1126" spans="1:3" x14ac:dyDescent="0.25">
      <c r="A1126" s="4" t="str">
        <f>IFERROR(parent_children_2[[#This Row],[parent_children_id]],"")</f>
        <v/>
      </c>
      <c r="B1126" s="4" t="str">
        <f>IFERROR(VLOOKUP(parent_children_2[[#This Row],[parent_id]],abbreviation[],3,FALSE),"")</f>
        <v/>
      </c>
      <c r="C1126" s="4" t="str">
        <f>IFERROR(VLOOKUP(parent_children_2[[#This Row],[children_id]],abbreviation[],ColumnLanguage+1,FALSE),"")</f>
        <v/>
      </c>
    </row>
    <row r="1127" spans="1:3" x14ac:dyDescent="0.25">
      <c r="A1127" s="4" t="str">
        <f>IFERROR(parent_children_2[[#This Row],[parent_children_id]],"")</f>
        <v/>
      </c>
      <c r="B1127" s="4" t="str">
        <f>IFERROR(VLOOKUP(parent_children_2[[#This Row],[parent_id]],abbreviation[],3,FALSE),"")</f>
        <v/>
      </c>
      <c r="C1127" s="4" t="str">
        <f>IFERROR(VLOOKUP(parent_children_2[[#This Row],[children_id]],abbreviation[],ColumnLanguage+1,FALSE),"")</f>
        <v/>
      </c>
    </row>
    <row r="1128" spans="1:3" x14ac:dyDescent="0.25">
      <c r="A1128" s="4" t="str">
        <f>IFERROR(parent_children_2[[#This Row],[parent_children_id]],"")</f>
        <v/>
      </c>
      <c r="B1128" s="4" t="str">
        <f>IFERROR(VLOOKUP(parent_children_2[[#This Row],[parent_id]],abbreviation[],3,FALSE),"")</f>
        <v/>
      </c>
      <c r="C1128" s="4" t="str">
        <f>IFERROR(VLOOKUP(parent_children_2[[#This Row],[children_id]],abbreviation[],ColumnLanguage+1,FALSE),"")</f>
        <v/>
      </c>
    </row>
    <row r="1129" spans="1:3" x14ac:dyDescent="0.25">
      <c r="A1129" s="4" t="str">
        <f>IFERROR(parent_children_2[[#This Row],[parent_children_id]],"")</f>
        <v/>
      </c>
      <c r="B1129" s="4" t="str">
        <f>IFERROR(VLOOKUP(parent_children_2[[#This Row],[parent_id]],abbreviation[],3,FALSE),"")</f>
        <v/>
      </c>
      <c r="C1129" s="4" t="str">
        <f>IFERROR(VLOOKUP(parent_children_2[[#This Row],[children_id]],abbreviation[],ColumnLanguage+1,FALSE),"")</f>
        <v/>
      </c>
    </row>
    <row r="1130" spans="1:3" x14ac:dyDescent="0.25">
      <c r="A1130" s="4" t="str">
        <f>IFERROR(parent_children_2[[#This Row],[parent_children_id]],"")</f>
        <v/>
      </c>
      <c r="B1130" s="4" t="str">
        <f>IFERROR(VLOOKUP(parent_children_2[[#This Row],[parent_id]],abbreviation[],3,FALSE),"")</f>
        <v/>
      </c>
      <c r="C1130" s="4" t="str">
        <f>IFERROR(VLOOKUP(parent_children_2[[#This Row],[children_id]],abbreviation[],ColumnLanguage+1,FALSE),"")</f>
        <v/>
      </c>
    </row>
    <row r="1131" spans="1:3" x14ac:dyDescent="0.25">
      <c r="A1131" s="4" t="str">
        <f>IFERROR(parent_children_2[[#This Row],[parent_children_id]],"")</f>
        <v/>
      </c>
      <c r="B1131" s="4" t="str">
        <f>IFERROR(VLOOKUP(parent_children_2[[#This Row],[parent_id]],abbreviation[],3,FALSE),"")</f>
        <v/>
      </c>
      <c r="C1131" s="4" t="str">
        <f>IFERROR(VLOOKUP(parent_children_2[[#This Row],[children_id]],abbreviation[],ColumnLanguage+1,FALSE),"")</f>
        <v/>
      </c>
    </row>
    <row r="1132" spans="1:3" x14ac:dyDescent="0.25">
      <c r="A1132" s="4" t="str">
        <f>IFERROR(parent_children_2[[#This Row],[parent_children_id]],"")</f>
        <v/>
      </c>
      <c r="B1132" s="4" t="str">
        <f>IFERROR(VLOOKUP(parent_children_2[[#This Row],[parent_id]],abbreviation[],3,FALSE),"")</f>
        <v/>
      </c>
      <c r="C1132" s="4" t="str">
        <f>IFERROR(VLOOKUP(parent_children_2[[#This Row],[children_id]],abbreviation[],ColumnLanguage+1,FALSE),"")</f>
        <v/>
      </c>
    </row>
    <row r="1133" spans="1:3" x14ac:dyDescent="0.25">
      <c r="A1133" s="4" t="str">
        <f>IFERROR(parent_children_2[[#This Row],[parent_children_id]],"")</f>
        <v/>
      </c>
      <c r="B1133" s="4" t="str">
        <f>IFERROR(VLOOKUP(parent_children_2[[#This Row],[parent_id]],abbreviation[],3,FALSE),"")</f>
        <v/>
      </c>
      <c r="C1133" s="4" t="str">
        <f>IFERROR(VLOOKUP(parent_children_2[[#This Row],[children_id]],abbreviation[],ColumnLanguage+1,FALSE),"")</f>
        <v/>
      </c>
    </row>
    <row r="1134" spans="1:3" x14ac:dyDescent="0.25">
      <c r="A1134" s="4" t="str">
        <f>IFERROR(parent_children_2[[#This Row],[parent_children_id]],"")</f>
        <v/>
      </c>
      <c r="B1134" s="4" t="str">
        <f>IFERROR(VLOOKUP(parent_children_2[[#This Row],[parent_id]],abbreviation[],3,FALSE),"")</f>
        <v/>
      </c>
      <c r="C1134" s="4" t="str">
        <f>IFERROR(VLOOKUP(parent_children_2[[#This Row],[children_id]],abbreviation[],ColumnLanguage+1,FALSE),"")</f>
        <v/>
      </c>
    </row>
    <row r="1135" spans="1:3" x14ac:dyDescent="0.25">
      <c r="A1135" s="4" t="str">
        <f>IFERROR(parent_children_2[[#This Row],[parent_children_id]],"")</f>
        <v/>
      </c>
      <c r="B1135" s="4" t="str">
        <f>IFERROR(VLOOKUP(parent_children_2[[#This Row],[parent_id]],abbreviation[],3,FALSE),"")</f>
        <v/>
      </c>
      <c r="C1135" s="4" t="str">
        <f>IFERROR(VLOOKUP(parent_children_2[[#This Row],[children_id]],abbreviation[],ColumnLanguage+1,FALSE),"")</f>
        <v/>
      </c>
    </row>
    <row r="1136" spans="1:3" x14ac:dyDescent="0.25">
      <c r="A1136" s="4" t="str">
        <f>IFERROR(parent_children_2[[#This Row],[parent_children_id]],"")</f>
        <v/>
      </c>
      <c r="B1136" s="4" t="str">
        <f>IFERROR(VLOOKUP(parent_children_2[[#This Row],[parent_id]],abbreviation[],3,FALSE),"")</f>
        <v/>
      </c>
      <c r="C1136" s="4" t="str">
        <f>IFERROR(VLOOKUP(parent_children_2[[#This Row],[children_id]],abbreviation[],ColumnLanguage+1,FALSE),"")</f>
        <v/>
      </c>
    </row>
    <row r="1137" spans="1:3" x14ac:dyDescent="0.25">
      <c r="A1137" s="4" t="str">
        <f>IFERROR(parent_children_2[[#This Row],[parent_children_id]],"")</f>
        <v/>
      </c>
      <c r="B1137" s="4" t="str">
        <f>IFERROR(VLOOKUP(parent_children_2[[#This Row],[parent_id]],abbreviation[],3,FALSE),"")</f>
        <v/>
      </c>
      <c r="C1137" s="4" t="str">
        <f>IFERROR(VLOOKUP(parent_children_2[[#This Row],[children_id]],abbreviation[],ColumnLanguage+1,FALSE),"")</f>
        <v/>
      </c>
    </row>
    <row r="1138" spans="1:3" x14ac:dyDescent="0.25">
      <c r="A1138" s="4" t="str">
        <f>IFERROR(parent_children_2[[#This Row],[parent_children_id]],"")</f>
        <v/>
      </c>
      <c r="B1138" s="4" t="str">
        <f>IFERROR(VLOOKUP(parent_children_2[[#This Row],[parent_id]],abbreviation[],3,FALSE),"")</f>
        <v/>
      </c>
      <c r="C1138" s="4" t="str">
        <f>IFERROR(VLOOKUP(parent_children_2[[#This Row],[children_id]],abbreviation[],ColumnLanguage+1,FALSE),"")</f>
        <v/>
      </c>
    </row>
    <row r="1139" spans="1:3" x14ac:dyDescent="0.25">
      <c r="A1139" s="4" t="str">
        <f>IFERROR(parent_children_2[[#This Row],[parent_children_id]],"")</f>
        <v/>
      </c>
      <c r="B1139" s="4" t="str">
        <f>IFERROR(VLOOKUP(parent_children_2[[#This Row],[parent_id]],abbreviation[],3,FALSE),"")</f>
        <v/>
      </c>
      <c r="C1139" s="4" t="str">
        <f>IFERROR(VLOOKUP(parent_children_2[[#This Row],[children_id]],abbreviation[],ColumnLanguage+1,FALSE),"")</f>
        <v/>
      </c>
    </row>
    <row r="1140" spans="1:3" x14ac:dyDescent="0.25">
      <c r="A1140" s="4" t="str">
        <f>IFERROR(parent_children_2[[#This Row],[parent_children_id]],"")</f>
        <v/>
      </c>
      <c r="B1140" s="4" t="str">
        <f>IFERROR(VLOOKUP(parent_children_2[[#This Row],[parent_id]],abbreviation[],3,FALSE),"")</f>
        <v/>
      </c>
      <c r="C1140" s="4" t="str">
        <f>IFERROR(VLOOKUP(parent_children_2[[#This Row],[children_id]],abbreviation[],ColumnLanguage+1,FALSE),"")</f>
        <v/>
      </c>
    </row>
    <row r="1141" spans="1:3" x14ac:dyDescent="0.25">
      <c r="A1141" s="4" t="str">
        <f>IFERROR(parent_children_2[[#This Row],[parent_children_id]],"")</f>
        <v/>
      </c>
      <c r="B1141" s="4" t="str">
        <f>IFERROR(VLOOKUP(parent_children_2[[#This Row],[parent_id]],abbreviation[],3,FALSE),"")</f>
        <v/>
      </c>
      <c r="C1141" s="4" t="str">
        <f>IFERROR(VLOOKUP(parent_children_2[[#This Row],[children_id]],abbreviation[],ColumnLanguage+1,FALSE),"")</f>
        <v/>
      </c>
    </row>
    <row r="1142" spans="1:3" x14ac:dyDescent="0.25">
      <c r="A1142" s="4" t="str">
        <f>IFERROR(parent_children_2[[#This Row],[parent_children_id]],"")</f>
        <v/>
      </c>
      <c r="B1142" s="4" t="str">
        <f>IFERROR(VLOOKUP(parent_children_2[[#This Row],[parent_id]],abbreviation[],3,FALSE),"")</f>
        <v/>
      </c>
      <c r="C1142" s="4" t="str">
        <f>IFERROR(VLOOKUP(parent_children_2[[#This Row],[children_id]],abbreviation[],ColumnLanguage+1,FALSE),"")</f>
        <v/>
      </c>
    </row>
    <row r="1143" spans="1:3" x14ac:dyDescent="0.25">
      <c r="A1143" s="4" t="str">
        <f>IFERROR(parent_children_2[[#This Row],[parent_children_id]],"")</f>
        <v/>
      </c>
      <c r="B1143" s="4" t="str">
        <f>IFERROR(VLOOKUP(parent_children_2[[#This Row],[parent_id]],abbreviation[],3,FALSE),"")</f>
        <v/>
      </c>
      <c r="C1143" s="4" t="str">
        <f>IFERROR(VLOOKUP(parent_children_2[[#This Row],[children_id]],abbreviation[],ColumnLanguage+1,FALSE),"")</f>
        <v/>
      </c>
    </row>
    <row r="1144" spans="1:3" x14ac:dyDescent="0.25">
      <c r="A1144" s="4" t="str">
        <f>IFERROR(parent_children_2[[#This Row],[parent_children_id]],"")</f>
        <v/>
      </c>
      <c r="B1144" s="4" t="str">
        <f>IFERROR(VLOOKUP(parent_children_2[[#This Row],[parent_id]],abbreviation[],3,FALSE),"")</f>
        <v/>
      </c>
      <c r="C1144" s="4" t="str">
        <f>IFERROR(VLOOKUP(parent_children_2[[#This Row],[children_id]],abbreviation[],ColumnLanguage+1,FALSE),"")</f>
        <v/>
      </c>
    </row>
    <row r="1145" spans="1:3" x14ac:dyDescent="0.25">
      <c r="A1145" s="4" t="str">
        <f>IFERROR(parent_children_2[[#This Row],[parent_children_id]],"")</f>
        <v/>
      </c>
      <c r="B1145" s="4" t="str">
        <f>IFERROR(VLOOKUP(parent_children_2[[#This Row],[parent_id]],abbreviation[],3,FALSE),"")</f>
        <v/>
      </c>
      <c r="C1145" s="4" t="str">
        <f>IFERROR(VLOOKUP(parent_children_2[[#This Row],[children_id]],abbreviation[],ColumnLanguage+1,FALSE),"")</f>
        <v/>
      </c>
    </row>
    <row r="1146" spans="1:3" x14ac:dyDescent="0.25">
      <c r="A1146" s="4" t="str">
        <f>IFERROR(parent_children_2[[#This Row],[parent_children_id]],"")</f>
        <v/>
      </c>
      <c r="B1146" s="4" t="str">
        <f>IFERROR(VLOOKUP(parent_children_2[[#This Row],[parent_id]],abbreviation[],3,FALSE),"")</f>
        <v/>
      </c>
      <c r="C1146" s="4" t="str">
        <f>IFERROR(VLOOKUP(parent_children_2[[#This Row],[children_id]],abbreviation[],ColumnLanguage+1,FALSE),"")</f>
        <v/>
      </c>
    </row>
    <row r="1147" spans="1:3" x14ac:dyDescent="0.25">
      <c r="A1147" s="4" t="str">
        <f>IFERROR(parent_children_2[[#This Row],[parent_children_id]],"")</f>
        <v/>
      </c>
      <c r="B1147" s="4" t="str">
        <f>IFERROR(VLOOKUP(parent_children_2[[#This Row],[parent_id]],abbreviation[],3,FALSE),"")</f>
        <v/>
      </c>
      <c r="C1147" s="4" t="str">
        <f>IFERROR(VLOOKUP(parent_children_2[[#This Row],[children_id]],abbreviation[],ColumnLanguage+1,FALSE),"")</f>
        <v/>
      </c>
    </row>
    <row r="1148" spans="1:3" x14ac:dyDescent="0.25">
      <c r="A1148" s="4" t="str">
        <f>IFERROR(parent_children_2[[#This Row],[parent_children_id]],"")</f>
        <v/>
      </c>
      <c r="B1148" s="4" t="str">
        <f>IFERROR(VLOOKUP(parent_children_2[[#This Row],[parent_id]],abbreviation[],3,FALSE),"")</f>
        <v/>
      </c>
      <c r="C1148" s="4" t="str">
        <f>IFERROR(VLOOKUP(parent_children_2[[#This Row],[children_id]],abbreviation[],ColumnLanguage+1,FALSE),"")</f>
        <v/>
      </c>
    </row>
    <row r="1149" spans="1:3" x14ac:dyDescent="0.25">
      <c r="A1149" s="4" t="str">
        <f>IFERROR(parent_children_2[[#This Row],[parent_children_id]],"")</f>
        <v/>
      </c>
      <c r="B1149" s="4" t="str">
        <f>IFERROR(VLOOKUP(parent_children_2[[#This Row],[parent_id]],abbreviation[],3,FALSE),"")</f>
        <v/>
      </c>
      <c r="C1149" s="4" t="str">
        <f>IFERROR(VLOOKUP(parent_children_2[[#This Row],[children_id]],abbreviation[],ColumnLanguage+1,FALSE),"")</f>
        <v/>
      </c>
    </row>
    <row r="1150" spans="1:3" x14ac:dyDescent="0.25">
      <c r="A1150" s="4" t="str">
        <f>IFERROR(parent_children_2[[#This Row],[parent_children_id]],"")</f>
        <v/>
      </c>
      <c r="B1150" s="4" t="str">
        <f>IFERROR(VLOOKUP(parent_children_2[[#This Row],[parent_id]],abbreviation[],3,FALSE),"")</f>
        <v/>
      </c>
      <c r="C1150" s="4" t="str">
        <f>IFERROR(VLOOKUP(parent_children_2[[#This Row],[children_id]],abbreviation[],ColumnLanguage+1,FALSE),"")</f>
        <v/>
      </c>
    </row>
    <row r="1151" spans="1:3" x14ac:dyDescent="0.25">
      <c r="A1151" s="4" t="str">
        <f>IFERROR(parent_children_2[[#This Row],[parent_children_id]],"")</f>
        <v/>
      </c>
      <c r="B1151" s="4" t="str">
        <f>IFERROR(VLOOKUP(parent_children_2[[#This Row],[parent_id]],abbreviation[],3,FALSE),"")</f>
        <v/>
      </c>
      <c r="C1151" s="4" t="str">
        <f>IFERROR(VLOOKUP(parent_children_2[[#This Row],[children_id]],abbreviation[],ColumnLanguage+1,FALSE),"")</f>
        <v/>
      </c>
    </row>
    <row r="1152" spans="1:3" x14ac:dyDescent="0.25">
      <c r="A1152" s="4" t="str">
        <f>IFERROR(parent_children_2[[#This Row],[parent_children_id]],"")</f>
        <v/>
      </c>
      <c r="B1152" s="4" t="str">
        <f>IFERROR(VLOOKUP(parent_children_2[[#This Row],[parent_id]],abbreviation[],3,FALSE),"")</f>
        <v/>
      </c>
      <c r="C1152" s="4" t="str">
        <f>IFERROR(VLOOKUP(parent_children_2[[#This Row],[children_id]],abbreviation[],ColumnLanguage+1,FALSE),"")</f>
        <v/>
      </c>
    </row>
    <row r="1153" spans="1:3" x14ac:dyDescent="0.25">
      <c r="A1153" s="4" t="str">
        <f>IFERROR(parent_children_2[[#This Row],[parent_children_id]],"")</f>
        <v/>
      </c>
      <c r="B1153" s="4" t="str">
        <f>IFERROR(VLOOKUP(parent_children_2[[#This Row],[parent_id]],abbreviation[],3,FALSE),"")</f>
        <v/>
      </c>
      <c r="C1153" s="4" t="str">
        <f>IFERROR(VLOOKUP(parent_children_2[[#This Row],[children_id]],abbreviation[],ColumnLanguage+1,FALSE),"")</f>
        <v/>
      </c>
    </row>
    <row r="1154" spans="1:3" x14ac:dyDescent="0.25">
      <c r="A1154" s="4" t="str">
        <f>IFERROR(parent_children_2[[#This Row],[parent_children_id]],"")</f>
        <v/>
      </c>
      <c r="B1154" s="4" t="str">
        <f>IFERROR(VLOOKUP(parent_children_2[[#This Row],[parent_id]],abbreviation[],3,FALSE),"")</f>
        <v/>
      </c>
      <c r="C1154" s="4" t="str">
        <f>IFERROR(VLOOKUP(parent_children_2[[#This Row],[children_id]],abbreviation[],ColumnLanguage+1,FALSE),"")</f>
        <v/>
      </c>
    </row>
    <row r="1155" spans="1:3" x14ac:dyDescent="0.25">
      <c r="A1155" s="4" t="str">
        <f>IFERROR(parent_children_2[[#This Row],[parent_children_id]],"")</f>
        <v/>
      </c>
      <c r="B1155" s="4" t="str">
        <f>IFERROR(VLOOKUP(parent_children_2[[#This Row],[parent_id]],abbreviation[],3,FALSE),"")</f>
        <v/>
      </c>
      <c r="C1155" s="4" t="str">
        <f>IFERROR(VLOOKUP(parent_children_2[[#This Row],[children_id]],abbreviation[],ColumnLanguage+1,FALSE),"")</f>
        <v/>
      </c>
    </row>
    <row r="1156" spans="1:3" x14ac:dyDescent="0.25">
      <c r="A1156" s="4" t="str">
        <f>IFERROR(parent_children_2[[#This Row],[parent_children_id]],"")</f>
        <v/>
      </c>
      <c r="B1156" s="4" t="str">
        <f>IFERROR(VLOOKUP(parent_children_2[[#This Row],[parent_id]],abbreviation[],3,FALSE),"")</f>
        <v/>
      </c>
      <c r="C1156" s="4" t="str">
        <f>IFERROR(VLOOKUP(parent_children_2[[#This Row],[children_id]],abbreviation[],ColumnLanguage+1,FALSE),"")</f>
        <v/>
      </c>
    </row>
    <row r="1157" spans="1:3" x14ac:dyDescent="0.25">
      <c r="A1157" s="4" t="str">
        <f>IFERROR(parent_children_2[[#This Row],[parent_children_id]],"")</f>
        <v/>
      </c>
      <c r="B1157" s="4" t="str">
        <f>IFERROR(VLOOKUP(parent_children_2[[#This Row],[parent_id]],abbreviation[],3,FALSE),"")</f>
        <v/>
      </c>
      <c r="C1157" s="4" t="str">
        <f>IFERROR(VLOOKUP(parent_children_2[[#This Row],[children_id]],abbreviation[],ColumnLanguage+1,FALSE),"")</f>
        <v/>
      </c>
    </row>
    <row r="1158" spans="1:3" x14ac:dyDescent="0.25">
      <c r="A1158" s="4" t="str">
        <f>IFERROR(parent_children_2[[#This Row],[parent_children_id]],"")</f>
        <v/>
      </c>
      <c r="B1158" s="4" t="str">
        <f>IFERROR(VLOOKUP(parent_children_2[[#This Row],[parent_id]],abbreviation[],3,FALSE),"")</f>
        <v/>
      </c>
      <c r="C1158" s="4" t="str">
        <f>IFERROR(VLOOKUP(parent_children_2[[#This Row],[children_id]],abbreviation[],ColumnLanguage+1,FALSE),"")</f>
        <v/>
      </c>
    </row>
    <row r="1159" spans="1:3" x14ac:dyDescent="0.25">
      <c r="A1159" s="4" t="str">
        <f>IFERROR(parent_children_2[[#This Row],[parent_children_id]],"")</f>
        <v/>
      </c>
      <c r="B1159" s="4" t="str">
        <f>IFERROR(VLOOKUP(parent_children_2[[#This Row],[parent_id]],abbreviation[],3,FALSE),"")</f>
        <v/>
      </c>
      <c r="C1159" s="4" t="str">
        <f>IFERROR(VLOOKUP(parent_children_2[[#This Row],[children_id]],abbreviation[],ColumnLanguage+1,FALSE),"")</f>
        <v/>
      </c>
    </row>
    <row r="1160" spans="1:3" x14ac:dyDescent="0.25">
      <c r="A1160" s="4" t="str">
        <f>IFERROR(parent_children_2[[#This Row],[parent_children_id]],"")</f>
        <v/>
      </c>
      <c r="B1160" s="4" t="str">
        <f>IFERROR(VLOOKUP(parent_children_2[[#This Row],[parent_id]],abbreviation[],3,FALSE),"")</f>
        <v/>
      </c>
      <c r="C1160" s="4" t="str">
        <f>IFERROR(VLOOKUP(parent_children_2[[#This Row],[children_id]],abbreviation[],ColumnLanguage+1,FALSE),"")</f>
        <v/>
      </c>
    </row>
    <row r="1161" spans="1:3" x14ac:dyDescent="0.25">
      <c r="A1161" s="4" t="str">
        <f>IFERROR(parent_children_2[[#This Row],[parent_children_id]],"")</f>
        <v/>
      </c>
      <c r="B1161" s="4" t="str">
        <f>IFERROR(VLOOKUP(parent_children_2[[#This Row],[parent_id]],abbreviation[],3,FALSE),"")</f>
        <v/>
      </c>
      <c r="C1161" s="4" t="str">
        <f>IFERROR(VLOOKUP(parent_children_2[[#This Row],[children_id]],abbreviation[],ColumnLanguage+1,FALSE),"")</f>
        <v/>
      </c>
    </row>
    <row r="1162" spans="1:3" x14ac:dyDescent="0.25">
      <c r="A1162" s="4" t="str">
        <f>IFERROR(parent_children_2[[#This Row],[parent_children_id]],"")</f>
        <v/>
      </c>
      <c r="B1162" s="4" t="str">
        <f>IFERROR(VLOOKUP(parent_children_2[[#This Row],[parent_id]],abbreviation[],3,FALSE),"")</f>
        <v/>
      </c>
      <c r="C1162" s="4" t="str">
        <f>IFERROR(VLOOKUP(parent_children_2[[#This Row],[children_id]],abbreviation[],ColumnLanguage+1,FALSE),"")</f>
        <v/>
      </c>
    </row>
    <row r="1163" spans="1:3" x14ac:dyDescent="0.25">
      <c r="A1163" s="4" t="str">
        <f>IFERROR(parent_children_2[[#This Row],[parent_children_id]],"")</f>
        <v/>
      </c>
      <c r="B1163" s="4" t="str">
        <f>IFERROR(VLOOKUP(parent_children_2[[#This Row],[parent_id]],abbreviation[],3,FALSE),"")</f>
        <v/>
      </c>
      <c r="C1163" s="4" t="str">
        <f>IFERROR(VLOOKUP(parent_children_2[[#This Row],[children_id]],abbreviation[],ColumnLanguage+1,FALSE),"")</f>
        <v/>
      </c>
    </row>
    <row r="1164" spans="1:3" x14ac:dyDescent="0.25">
      <c r="A1164" s="4" t="str">
        <f>IFERROR(parent_children_2[[#This Row],[parent_children_id]],"")</f>
        <v/>
      </c>
      <c r="B1164" s="4" t="str">
        <f>IFERROR(VLOOKUP(parent_children_2[[#This Row],[parent_id]],abbreviation[],3,FALSE),"")</f>
        <v/>
      </c>
      <c r="C1164" s="4" t="str">
        <f>IFERROR(VLOOKUP(parent_children_2[[#This Row],[children_id]],abbreviation[],ColumnLanguage+1,FALSE),"")</f>
        <v/>
      </c>
    </row>
    <row r="1165" spans="1:3" x14ac:dyDescent="0.25">
      <c r="A1165" s="4" t="str">
        <f>IFERROR(parent_children_2[[#This Row],[parent_children_id]],"")</f>
        <v/>
      </c>
      <c r="B1165" s="4" t="str">
        <f>IFERROR(VLOOKUP(parent_children_2[[#This Row],[parent_id]],abbreviation[],3,FALSE),"")</f>
        <v/>
      </c>
      <c r="C1165" s="4" t="str">
        <f>IFERROR(VLOOKUP(parent_children_2[[#This Row],[children_id]],abbreviation[],ColumnLanguage+1,FALSE),"")</f>
        <v/>
      </c>
    </row>
    <row r="1166" spans="1:3" x14ac:dyDescent="0.25">
      <c r="A1166" s="4" t="str">
        <f>IFERROR(parent_children_2[[#This Row],[parent_children_id]],"")</f>
        <v/>
      </c>
      <c r="B1166" s="4" t="str">
        <f>IFERROR(VLOOKUP(parent_children_2[[#This Row],[parent_id]],abbreviation[],3,FALSE),"")</f>
        <v/>
      </c>
      <c r="C1166" s="4" t="str">
        <f>IFERROR(VLOOKUP(parent_children_2[[#This Row],[children_id]],abbreviation[],ColumnLanguage+1,FALSE),"")</f>
        <v/>
      </c>
    </row>
    <row r="1167" spans="1:3" x14ac:dyDescent="0.25">
      <c r="A1167" s="4" t="str">
        <f>IFERROR(parent_children_2[[#This Row],[parent_children_id]],"")</f>
        <v/>
      </c>
      <c r="B1167" s="4" t="str">
        <f>IFERROR(VLOOKUP(parent_children_2[[#This Row],[parent_id]],abbreviation[],3,FALSE),"")</f>
        <v/>
      </c>
      <c r="C1167" s="4" t="str">
        <f>IFERROR(VLOOKUP(parent_children_2[[#This Row],[children_id]],abbreviation[],ColumnLanguage+1,FALSE),"")</f>
        <v/>
      </c>
    </row>
    <row r="1168" spans="1:3" x14ac:dyDescent="0.25">
      <c r="A1168" s="4" t="str">
        <f>IFERROR(parent_children_2[[#This Row],[parent_children_id]],"")</f>
        <v/>
      </c>
      <c r="B1168" s="4" t="str">
        <f>IFERROR(VLOOKUP(parent_children_2[[#This Row],[parent_id]],abbreviation[],3,FALSE),"")</f>
        <v/>
      </c>
      <c r="C1168" s="4" t="str">
        <f>IFERROR(VLOOKUP(parent_children_2[[#This Row],[children_id]],abbreviation[],ColumnLanguage+1,FALSE),"")</f>
        <v/>
      </c>
    </row>
    <row r="1169" spans="1:3" x14ac:dyDescent="0.25">
      <c r="A1169" s="4" t="str">
        <f>IFERROR(parent_children_2[[#This Row],[parent_children_id]],"")</f>
        <v/>
      </c>
      <c r="B1169" s="4" t="str">
        <f>IFERROR(VLOOKUP(parent_children_2[[#This Row],[parent_id]],abbreviation[],3,FALSE),"")</f>
        <v/>
      </c>
      <c r="C1169" s="4" t="str">
        <f>IFERROR(VLOOKUP(parent_children_2[[#This Row],[children_id]],abbreviation[],ColumnLanguage+1,FALSE),"")</f>
        <v/>
      </c>
    </row>
    <row r="1170" spans="1:3" x14ac:dyDescent="0.25">
      <c r="A1170" s="4" t="str">
        <f>IFERROR(parent_children_2[[#This Row],[parent_children_id]],"")</f>
        <v/>
      </c>
      <c r="B1170" s="4" t="str">
        <f>IFERROR(VLOOKUP(parent_children_2[[#This Row],[parent_id]],abbreviation[],3,FALSE),"")</f>
        <v/>
      </c>
      <c r="C1170" s="4" t="str">
        <f>IFERROR(VLOOKUP(parent_children_2[[#This Row],[children_id]],abbreviation[],ColumnLanguage+1,FALSE),"")</f>
        <v/>
      </c>
    </row>
    <row r="1171" spans="1:3" x14ac:dyDescent="0.25">
      <c r="A1171" s="4" t="str">
        <f>IFERROR(parent_children_2[[#This Row],[parent_children_id]],"")</f>
        <v/>
      </c>
      <c r="B1171" s="4" t="str">
        <f>IFERROR(VLOOKUP(parent_children_2[[#This Row],[parent_id]],abbreviation[],3,FALSE),"")</f>
        <v/>
      </c>
      <c r="C1171" s="4" t="str">
        <f>IFERROR(VLOOKUP(parent_children_2[[#This Row],[children_id]],abbreviation[],ColumnLanguage+1,FALSE),"")</f>
        <v/>
      </c>
    </row>
    <row r="1172" spans="1:3" x14ac:dyDescent="0.25">
      <c r="A1172" s="4" t="str">
        <f>IFERROR(parent_children_2[[#This Row],[parent_children_id]],"")</f>
        <v/>
      </c>
      <c r="B1172" s="4" t="str">
        <f>IFERROR(VLOOKUP(parent_children_2[[#This Row],[parent_id]],abbreviation[],3,FALSE),"")</f>
        <v/>
      </c>
      <c r="C1172" s="4" t="str">
        <f>IFERROR(VLOOKUP(parent_children_2[[#This Row],[children_id]],abbreviation[],ColumnLanguage+1,FALSE),"")</f>
        <v/>
      </c>
    </row>
    <row r="1173" spans="1:3" x14ac:dyDescent="0.25">
      <c r="A1173" s="4" t="str">
        <f>IFERROR(parent_children_2[[#This Row],[parent_children_id]],"")</f>
        <v/>
      </c>
      <c r="B1173" s="4" t="str">
        <f>IFERROR(VLOOKUP(parent_children_2[[#This Row],[parent_id]],abbreviation[],3,FALSE),"")</f>
        <v/>
      </c>
      <c r="C1173" s="4" t="str">
        <f>IFERROR(VLOOKUP(parent_children_2[[#This Row],[children_id]],abbreviation[],ColumnLanguage+1,FALSE),"")</f>
        <v/>
      </c>
    </row>
    <row r="1174" spans="1:3" x14ac:dyDescent="0.25">
      <c r="A1174" s="4" t="str">
        <f>IFERROR(parent_children_2[[#This Row],[parent_children_id]],"")</f>
        <v/>
      </c>
      <c r="B1174" s="4" t="str">
        <f>IFERROR(VLOOKUP(parent_children_2[[#This Row],[parent_id]],abbreviation[],3,FALSE),"")</f>
        <v/>
      </c>
      <c r="C1174" s="4" t="str">
        <f>IFERROR(VLOOKUP(parent_children_2[[#This Row],[children_id]],abbreviation[],ColumnLanguage+1,FALSE),"")</f>
        <v/>
      </c>
    </row>
    <row r="1175" spans="1:3" x14ac:dyDescent="0.25">
      <c r="A1175" s="4" t="str">
        <f>IFERROR(parent_children_2[[#This Row],[parent_children_id]],"")</f>
        <v/>
      </c>
      <c r="B1175" s="4" t="str">
        <f>IFERROR(VLOOKUP(parent_children_2[[#This Row],[parent_id]],abbreviation[],3,FALSE),"")</f>
        <v/>
      </c>
      <c r="C1175" s="4" t="str">
        <f>IFERROR(VLOOKUP(parent_children_2[[#This Row],[children_id]],abbreviation[],ColumnLanguage+1,FALSE),"")</f>
        <v/>
      </c>
    </row>
    <row r="1176" spans="1:3" x14ac:dyDescent="0.25">
      <c r="A1176" s="4" t="str">
        <f>IFERROR(parent_children_2[[#This Row],[parent_children_id]],"")</f>
        <v/>
      </c>
      <c r="B1176" s="4" t="str">
        <f>IFERROR(VLOOKUP(parent_children_2[[#This Row],[parent_id]],abbreviation[],3,FALSE),"")</f>
        <v/>
      </c>
      <c r="C1176" s="4" t="str">
        <f>IFERROR(VLOOKUP(parent_children_2[[#This Row],[children_id]],abbreviation[],ColumnLanguage+1,FALSE),"")</f>
        <v/>
      </c>
    </row>
    <row r="1177" spans="1:3" x14ac:dyDescent="0.25">
      <c r="A1177" s="4" t="str">
        <f>IFERROR(parent_children_2[[#This Row],[parent_children_id]],"")</f>
        <v/>
      </c>
      <c r="B1177" s="4" t="str">
        <f>IFERROR(VLOOKUP(parent_children_2[[#This Row],[parent_id]],abbreviation[],3,FALSE),"")</f>
        <v/>
      </c>
      <c r="C1177" s="4" t="str">
        <f>IFERROR(VLOOKUP(parent_children_2[[#This Row],[children_id]],abbreviation[],ColumnLanguage+1,FALSE),"")</f>
        <v/>
      </c>
    </row>
    <row r="1178" spans="1:3" x14ac:dyDescent="0.25">
      <c r="A1178" s="4" t="str">
        <f>IFERROR(parent_children_2[[#This Row],[parent_children_id]],"")</f>
        <v/>
      </c>
      <c r="B1178" s="4" t="str">
        <f>IFERROR(VLOOKUP(parent_children_2[[#This Row],[parent_id]],abbreviation[],3,FALSE),"")</f>
        <v/>
      </c>
      <c r="C1178" s="4" t="str">
        <f>IFERROR(VLOOKUP(parent_children_2[[#This Row],[children_id]],abbreviation[],ColumnLanguage+1,FALSE),"")</f>
        <v/>
      </c>
    </row>
    <row r="1179" spans="1:3" x14ac:dyDescent="0.25">
      <c r="A1179" s="4" t="str">
        <f>IFERROR(parent_children_2[[#This Row],[parent_children_id]],"")</f>
        <v/>
      </c>
      <c r="B1179" s="4" t="str">
        <f>IFERROR(VLOOKUP(parent_children_2[[#This Row],[parent_id]],abbreviation[],3,FALSE),"")</f>
        <v/>
      </c>
      <c r="C1179" s="4" t="str">
        <f>IFERROR(VLOOKUP(parent_children_2[[#This Row],[children_id]],abbreviation[],ColumnLanguage+1,FALSE),"")</f>
        <v/>
      </c>
    </row>
    <row r="1180" spans="1:3" x14ac:dyDescent="0.25">
      <c r="A1180" s="4" t="str">
        <f>IFERROR(parent_children_2[[#This Row],[parent_children_id]],"")</f>
        <v/>
      </c>
      <c r="B1180" s="4" t="str">
        <f>IFERROR(VLOOKUP(parent_children_2[[#This Row],[parent_id]],abbreviation[],3,FALSE),"")</f>
        <v/>
      </c>
      <c r="C1180" s="4" t="str">
        <f>IFERROR(VLOOKUP(parent_children_2[[#This Row],[children_id]],abbreviation[],ColumnLanguage+1,FALSE),"")</f>
        <v/>
      </c>
    </row>
    <row r="1181" spans="1:3" x14ac:dyDescent="0.25">
      <c r="A1181" s="4" t="str">
        <f>IFERROR(parent_children_2[[#This Row],[parent_children_id]],"")</f>
        <v/>
      </c>
      <c r="B1181" s="4" t="str">
        <f>IFERROR(VLOOKUP(parent_children_2[[#This Row],[parent_id]],abbreviation[],3,FALSE),"")</f>
        <v/>
      </c>
      <c r="C1181" s="4" t="str">
        <f>IFERROR(VLOOKUP(parent_children_2[[#This Row],[children_id]],abbreviation[],ColumnLanguage+1,FALSE),"")</f>
        <v/>
      </c>
    </row>
    <row r="1182" spans="1:3" x14ac:dyDescent="0.25">
      <c r="A1182" s="4" t="str">
        <f>IFERROR(parent_children_2[[#This Row],[parent_children_id]],"")</f>
        <v/>
      </c>
      <c r="B1182" s="4" t="str">
        <f>IFERROR(VLOOKUP(parent_children_2[[#This Row],[parent_id]],abbreviation[],3,FALSE),"")</f>
        <v/>
      </c>
      <c r="C1182" s="4" t="str">
        <f>IFERROR(VLOOKUP(parent_children_2[[#This Row],[children_id]],abbreviation[],ColumnLanguage+1,FALSE),"")</f>
        <v/>
      </c>
    </row>
    <row r="1183" spans="1:3" x14ac:dyDescent="0.25">
      <c r="A1183" s="4" t="str">
        <f>IFERROR(parent_children_2[[#This Row],[parent_children_id]],"")</f>
        <v/>
      </c>
      <c r="B1183" s="4" t="str">
        <f>IFERROR(VLOOKUP(parent_children_2[[#This Row],[parent_id]],abbreviation[],3,FALSE),"")</f>
        <v/>
      </c>
      <c r="C1183" s="4" t="str">
        <f>IFERROR(VLOOKUP(parent_children_2[[#This Row],[children_id]],abbreviation[],ColumnLanguage+1,FALSE),"")</f>
        <v/>
      </c>
    </row>
    <row r="1184" spans="1:3" x14ac:dyDescent="0.25">
      <c r="A1184" s="4" t="str">
        <f>IFERROR(parent_children_2[[#This Row],[parent_children_id]],"")</f>
        <v/>
      </c>
      <c r="B1184" s="4" t="str">
        <f>IFERROR(VLOOKUP(parent_children_2[[#This Row],[parent_id]],abbreviation[],3,FALSE),"")</f>
        <v/>
      </c>
      <c r="C1184" s="4" t="str">
        <f>IFERROR(VLOOKUP(parent_children_2[[#This Row],[children_id]],abbreviation[],ColumnLanguage+1,FALSE),"")</f>
        <v/>
      </c>
    </row>
    <row r="1185" spans="1:3" x14ac:dyDescent="0.25">
      <c r="A1185" s="4" t="str">
        <f>IFERROR(parent_children_2[[#This Row],[parent_children_id]],"")</f>
        <v/>
      </c>
      <c r="B1185" s="4" t="str">
        <f>IFERROR(VLOOKUP(parent_children_2[[#This Row],[parent_id]],abbreviation[],3,FALSE),"")</f>
        <v/>
      </c>
      <c r="C1185" s="4" t="str">
        <f>IFERROR(VLOOKUP(parent_children_2[[#This Row],[children_id]],abbreviation[],ColumnLanguage+1,FALSE),"")</f>
        <v/>
      </c>
    </row>
    <row r="1186" spans="1:3" x14ac:dyDescent="0.25">
      <c r="A1186" s="4" t="str">
        <f>IFERROR(parent_children_2[[#This Row],[parent_children_id]],"")</f>
        <v/>
      </c>
      <c r="B1186" s="4" t="str">
        <f>IFERROR(VLOOKUP(parent_children_2[[#This Row],[parent_id]],abbreviation[],3,FALSE),"")</f>
        <v/>
      </c>
      <c r="C1186" s="4" t="str">
        <f>IFERROR(VLOOKUP(parent_children_2[[#This Row],[children_id]],abbreviation[],ColumnLanguage+1,FALSE),"")</f>
        <v/>
      </c>
    </row>
    <row r="1187" spans="1:3" x14ac:dyDescent="0.25">
      <c r="A1187" s="4" t="str">
        <f>IFERROR(parent_children_2[[#This Row],[parent_children_id]],"")</f>
        <v/>
      </c>
      <c r="B1187" s="4" t="str">
        <f>IFERROR(VLOOKUP(parent_children_2[[#This Row],[parent_id]],abbreviation[],3,FALSE),"")</f>
        <v/>
      </c>
      <c r="C1187" s="4" t="str">
        <f>IFERROR(VLOOKUP(parent_children_2[[#This Row],[children_id]],abbreviation[],ColumnLanguage+1,FALSE),"")</f>
        <v/>
      </c>
    </row>
    <row r="1188" spans="1:3" x14ac:dyDescent="0.25">
      <c r="A1188" s="4" t="str">
        <f>IFERROR(parent_children_2[[#This Row],[parent_children_id]],"")</f>
        <v/>
      </c>
      <c r="B1188" s="4" t="str">
        <f>IFERROR(VLOOKUP(parent_children_2[[#This Row],[parent_id]],abbreviation[],3,FALSE),"")</f>
        <v/>
      </c>
      <c r="C1188" s="4" t="str">
        <f>IFERROR(VLOOKUP(parent_children_2[[#This Row],[children_id]],abbreviation[],ColumnLanguage+1,FALSE),"")</f>
        <v/>
      </c>
    </row>
    <row r="1189" spans="1:3" x14ac:dyDescent="0.25">
      <c r="A1189" s="4" t="str">
        <f>IFERROR(parent_children_2[[#This Row],[parent_children_id]],"")</f>
        <v/>
      </c>
      <c r="B1189" s="4" t="str">
        <f>IFERROR(VLOOKUP(parent_children_2[[#This Row],[parent_id]],abbreviation[],3,FALSE),"")</f>
        <v/>
      </c>
      <c r="C1189" s="4" t="str">
        <f>IFERROR(VLOOKUP(parent_children_2[[#This Row],[children_id]],abbreviation[],ColumnLanguage+1,FALSE),"")</f>
        <v/>
      </c>
    </row>
    <row r="1190" spans="1:3" x14ac:dyDescent="0.25">
      <c r="A1190" s="4" t="str">
        <f>IFERROR(parent_children_2[[#This Row],[parent_children_id]],"")</f>
        <v/>
      </c>
      <c r="B1190" s="4" t="str">
        <f>IFERROR(VLOOKUP(parent_children_2[[#This Row],[parent_id]],abbreviation[],3,FALSE),"")</f>
        <v/>
      </c>
      <c r="C1190" s="4" t="str">
        <f>IFERROR(VLOOKUP(parent_children_2[[#This Row],[children_id]],abbreviation[],ColumnLanguage+1,FALSE),"")</f>
        <v/>
      </c>
    </row>
    <row r="1191" spans="1:3" x14ac:dyDescent="0.25">
      <c r="A1191" s="4" t="str">
        <f>IFERROR(parent_children_2[[#This Row],[parent_children_id]],"")</f>
        <v/>
      </c>
      <c r="B1191" s="4" t="str">
        <f>IFERROR(VLOOKUP(parent_children_2[[#This Row],[parent_id]],abbreviation[],3,FALSE),"")</f>
        <v/>
      </c>
      <c r="C1191" s="4" t="str">
        <f>IFERROR(VLOOKUP(parent_children_2[[#This Row],[children_id]],abbreviation[],ColumnLanguage+1,FALSE),"")</f>
        <v/>
      </c>
    </row>
    <row r="1192" spans="1:3" x14ac:dyDescent="0.25">
      <c r="A1192" s="4" t="str">
        <f>IFERROR(parent_children_2[[#This Row],[parent_children_id]],"")</f>
        <v/>
      </c>
      <c r="B1192" s="4" t="str">
        <f>IFERROR(VLOOKUP(parent_children_2[[#This Row],[parent_id]],abbreviation[],3,FALSE),"")</f>
        <v/>
      </c>
      <c r="C1192" s="4" t="str">
        <f>IFERROR(VLOOKUP(parent_children_2[[#This Row],[children_id]],abbreviation[],ColumnLanguage+1,FALSE),"")</f>
        <v/>
      </c>
    </row>
    <row r="1193" spans="1:3" x14ac:dyDescent="0.25">
      <c r="A1193" s="4" t="str">
        <f>IFERROR(parent_children_2[[#This Row],[parent_children_id]],"")</f>
        <v/>
      </c>
      <c r="B1193" s="4" t="str">
        <f>IFERROR(VLOOKUP(parent_children_2[[#This Row],[parent_id]],abbreviation[],3,FALSE),"")</f>
        <v/>
      </c>
      <c r="C1193" s="4" t="str">
        <f>IFERROR(VLOOKUP(parent_children_2[[#This Row],[children_id]],abbreviation[],ColumnLanguage+1,FALSE),"")</f>
        <v/>
      </c>
    </row>
    <row r="1194" spans="1:3" x14ac:dyDescent="0.25">
      <c r="A1194" s="4" t="str">
        <f>IFERROR(parent_children_2[[#This Row],[parent_children_id]],"")</f>
        <v/>
      </c>
      <c r="B1194" s="4" t="str">
        <f>IFERROR(VLOOKUP(parent_children_2[[#This Row],[parent_id]],abbreviation[],3,FALSE),"")</f>
        <v/>
      </c>
      <c r="C1194" s="4" t="str">
        <f>IFERROR(VLOOKUP(parent_children_2[[#This Row],[children_id]],abbreviation[],ColumnLanguage+1,FALSE),"")</f>
        <v/>
      </c>
    </row>
    <row r="1195" spans="1:3" x14ac:dyDescent="0.25">
      <c r="A1195" s="4" t="str">
        <f>IFERROR(parent_children_2[[#This Row],[parent_children_id]],"")</f>
        <v/>
      </c>
      <c r="B1195" s="4" t="str">
        <f>IFERROR(VLOOKUP(parent_children_2[[#This Row],[parent_id]],abbreviation[],3,FALSE),"")</f>
        <v/>
      </c>
      <c r="C1195" s="4" t="str">
        <f>IFERROR(VLOOKUP(parent_children_2[[#This Row],[children_id]],abbreviation[],ColumnLanguage+1,FALSE),"")</f>
        <v/>
      </c>
    </row>
    <row r="1196" spans="1:3" x14ac:dyDescent="0.25">
      <c r="A1196" s="4" t="str">
        <f>IFERROR(parent_children_2[[#This Row],[parent_children_id]],"")</f>
        <v/>
      </c>
      <c r="B1196" s="4" t="str">
        <f>IFERROR(VLOOKUP(parent_children_2[[#This Row],[parent_id]],abbreviation[],3,FALSE),"")</f>
        <v/>
      </c>
      <c r="C1196" s="4" t="str">
        <f>IFERROR(VLOOKUP(parent_children_2[[#This Row],[children_id]],abbreviation[],ColumnLanguage+1,FALSE),"")</f>
        <v/>
      </c>
    </row>
    <row r="1197" spans="1:3" x14ac:dyDescent="0.25">
      <c r="A1197" s="4" t="str">
        <f>IFERROR(parent_children_2[[#This Row],[parent_children_id]],"")</f>
        <v/>
      </c>
      <c r="B1197" s="4" t="str">
        <f>IFERROR(VLOOKUP(parent_children_2[[#This Row],[parent_id]],abbreviation[],3,FALSE),"")</f>
        <v/>
      </c>
      <c r="C1197" s="4" t="str">
        <f>IFERROR(VLOOKUP(parent_children_2[[#This Row],[children_id]],abbreviation[],ColumnLanguage+1,FALSE),"")</f>
        <v/>
      </c>
    </row>
    <row r="1198" spans="1:3" x14ac:dyDescent="0.25">
      <c r="A1198" s="4" t="str">
        <f>IFERROR(parent_children_2[[#This Row],[parent_children_id]],"")</f>
        <v/>
      </c>
      <c r="B1198" s="4" t="str">
        <f>IFERROR(VLOOKUP(parent_children_2[[#This Row],[parent_id]],abbreviation[],3,FALSE),"")</f>
        <v/>
      </c>
      <c r="C1198" s="4" t="str">
        <f>IFERROR(VLOOKUP(parent_children_2[[#This Row],[children_id]],abbreviation[],ColumnLanguage+1,FALSE),"")</f>
        <v/>
      </c>
    </row>
    <row r="1199" spans="1:3" x14ac:dyDescent="0.25">
      <c r="A1199" s="4" t="str">
        <f>IFERROR(parent_children_2[[#This Row],[parent_children_id]],"")</f>
        <v/>
      </c>
      <c r="B1199" s="4" t="str">
        <f>IFERROR(VLOOKUP(parent_children_2[[#This Row],[parent_id]],abbreviation[],3,FALSE),"")</f>
        <v/>
      </c>
      <c r="C1199" s="4" t="str">
        <f>IFERROR(VLOOKUP(parent_children_2[[#This Row],[children_id]],abbreviation[],ColumnLanguage+1,FALSE),"")</f>
        <v/>
      </c>
    </row>
    <row r="1200" spans="1:3" x14ac:dyDescent="0.25">
      <c r="A1200" s="4" t="str">
        <f>IFERROR(parent_children_2[[#This Row],[parent_children_id]],"")</f>
        <v/>
      </c>
      <c r="B1200" s="4" t="str">
        <f>IFERROR(VLOOKUP(parent_children_2[[#This Row],[parent_id]],abbreviation[],3,FALSE),"")</f>
        <v/>
      </c>
      <c r="C1200" s="4" t="str">
        <f>IFERROR(VLOOKUP(parent_children_2[[#This Row],[children_id]],abbreviation[],ColumnLanguage+1,FALSE),"")</f>
        <v/>
      </c>
    </row>
    <row r="1201" spans="1:3" x14ac:dyDescent="0.25">
      <c r="A1201" s="4" t="str">
        <f>IFERROR(parent_children_2[[#This Row],[parent_children_id]],"")</f>
        <v/>
      </c>
      <c r="B1201" s="4" t="str">
        <f>IFERROR(VLOOKUP(parent_children_2[[#This Row],[parent_id]],abbreviation[],3,FALSE),"")</f>
        <v/>
      </c>
      <c r="C1201" s="4" t="str">
        <f>IFERROR(VLOOKUP(parent_children_2[[#This Row],[children_id]],abbreviation[],ColumnLanguage+1,FALSE),"")</f>
        <v/>
      </c>
    </row>
    <row r="1202" spans="1:3" x14ac:dyDescent="0.25">
      <c r="A1202" s="4" t="str">
        <f>IFERROR(parent_children_2[[#This Row],[parent_children_id]],"")</f>
        <v/>
      </c>
      <c r="B1202" s="4" t="str">
        <f>IFERROR(VLOOKUP(parent_children_2[[#This Row],[parent_id]],abbreviation[],3,FALSE),"")</f>
        <v/>
      </c>
      <c r="C1202" s="4" t="str">
        <f>IFERROR(VLOOKUP(parent_children_2[[#This Row],[children_id]],abbreviation[],ColumnLanguage+1,FALSE),"")</f>
        <v/>
      </c>
    </row>
    <row r="1203" spans="1:3" x14ac:dyDescent="0.25">
      <c r="A1203" s="4" t="str">
        <f>IFERROR(parent_children_2[[#This Row],[parent_children_id]],"")</f>
        <v/>
      </c>
      <c r="B1203" s="4" t="str">
        <f>IFERROR(VLOOKUP(parent_children_2[[#This Row],[parent_id]],abbreviation[],3,FALSE),"")</f>
        <v/>
      </c>
      <c r="C1203" s="4" t="str">
        <f>IFERROR(VLOOKUP(parent_children_2[[#This Row],[children_id]],abbreviation[],ColumnLanguage+1,FALSE),"")</f>
        <v/>
      </c>
    </row>
    <row r="1204" spans="1:3" x14ac:dyDescent="0.25">
      <c r="A1204" s="4" t="str">
        <f>IFERROR(parent_children_2[[#This Row],[parent_children_id]],"")</f>
        <v/>
      </c>
      <c r="B1204" s="4" t="str">
        <f>IFERROR(VLOOKUP(parent_children_2[[#This Row],[parent_id]],abbreviation[],3,FALSE),"")</f>
        <v/>
      </c>
      <c r="C1204" s="4" t="str">
        <f>IFERROR(VLOOKUP(parent_children_2[[#This Row],[children_id]],abbreviation[],ColumnLanguage+1,FALSE),"")</f>
        <v/>
      </c>
    </row>
    <row r="1205" spans="1:3" x14ac:dyDescent="0.25">
      <c r="A1205" s="4" t="str">
        <f>IFERROR(parent_children_2[[#This Row],[parent_children_id]],"")</f>
        <v/>
      </c>
      <c r="B1205" s="4" t="str">
        <f>IFERROR(VLOOKUP(parent_children_2[[#This Row],[parent_id]],abbreviation[],3,FALSE),"")</f>
        <v/>
      </c>
      <c r="C1205" s="4" t="str">
        <f>IFERROR(VLOOKUP(parent_children_2[[#This Row],[children_id]],abbreviation[],ColumnLanguage+1,FALSE),"")</f>
        <v/>
      </c>
    </row>
    <row r="1206" spans="1:3" x14ac:dyDescent="0.25">
      <c r="A1206" s="4" t="str">
        <f>IFERROR(parent_children_2[[#This Row],[parent_children_id]],"")</f>
        <v/>
      </c>
      <c r="B1206" s="4" t="str">
        <f>IFERROR(VLOOKUP(parent_children_2[[#This Row],[parent_id]],abbreviation[],3,FALSE),"")</f>
        <v/>
      </c>
      <c r="C1206" s="4" t="str">
        <f>IFERROR(VLOOKUP(parent_children_2[[#This Row],[children_id]],abbreviation[],ColumnLanguage+1,FALSE),"")</f>
        <v/>
      </c>
    </row>
    <row r="1207" spans="1:3" x14ac:dyDescent="0.25">
      <c r="A1207" s="4" t="str">
        <f>IFERROR(parent_children_2[[#This Row],[parent_children_id]],"")</f>
        <v/>
      </c>
      <c r="B1207" s="4" t="str">
        <f>IFERROR(VLOOKUP(parent_children_2[[#This Row],[parent_id]],abbreviation[],3,FALSE),"")</f>
        <v/>
      </c>
      <c r="C1207" s="4" t="str">
        <f>IFERROR(VLOOKUP(parent_children_2[[#This Row],[children_id]],abbreviation[],ColumnLanguage+1,FALSE),"")</f>
        <v/>
      </c>
    </row>
    <row r="1208" spans="1:3" x14ac:dyDescent="0.25">
      <c r="A1208" s="4" t="str">
        <f>IFERROR(parent_children_2[[#This Row],[parent_children_id]],"")</f>
        <v/>
      </c>
      <c r="B1208" s="4" t="str">
        <f>IFERROR(VLOOKUP(parent_children_2[[#This Row],[parent_id]],abbreviation[],3,FALSE),"")</f>
        <v/>
      </c>
      <c r="C1208" s="4" t="str">
        <f>IFERROR(VLOOKUP(parent_children_2[[#This Row],[children_id]],abbreviation[],ColumnLanguage+1,FALSE),"")</f>
        <v/>
      </c>
    </row>
    <row r="1209" spans="1:3" x14ac:dyDescent="0.25">
      <c r="A1209" s="4" t="str">
        <f>IFERROR(parent_children_2[[#This Row],[parent_children_id]],"")</f>
        <v/>
      </c>
      <c r="B1209" s="4" t="str">
        <f>IFERROR(VLOOKUP(parent_children_2[[#This Row],[parent_id]],abbreviation[],3,FALSE),"")</f>
        <v/>
      </c>
      <c r="C1209" s="4" t="str">
        <f>IFERROR(VLOOKUP(parent_children_2[[#This Row],[children_id]],abbreviation[],ColumnLanguage+1,FALSE),"")</f>
        <v/>
      </c>
    </row>
    <row r="1210" spans="1:3" x14ac:dyDescent="0.25">
      <c r="A1210" s="4" t="str">
        <f>IFERROR(parent_children_2[[#This Row],[parent_children_id]],"")</f>
        <v/>
      </c>
      <c r="B1210" s="4" t="str">
        <f>IFERROR(VLOOKUP(parent_children_2[[#This Row],[parent_id]],abbreviation[],3,FALSE),"")</f>
        <v/>
      </c>
      <c r="C1210" s="4" t="str">
        <f>IFERROR(VLOOKUP(parent_children_2[[#This Row],[children_id]],abbreviation[],ColumnLanguage+1,FALSE),"")</f>
        <v/>
      </c>
    </row>
    <row r="1211" spans="1:3" x14ac:dyDescent="0.25">
      <c r="A1211" s="4" t="str">
        <f>IFERROR(parent_children_2[[#This Row],[parent_children_id]],"")</f>
        <v/>
      </c>
      <c r="B1211" s="4" t="str">
        <f>IFERROR(VLOOKUP(parent_children_2[[#This Row],[parent_id]],abbreviation[],3,FALSE),"")</f>
        <v/>
      </c>
      <c r="C1211" s="4" t="str">
        <f>IFERROR(VLOOKUP(parent_children_2[[#This Row],[children_id]],abbreviation[],ColumnLanguage+1,FALSE),"")</f>
        <v/>
      </c>
    </row>
    <row r="1212" spans="1:3" x14ac:dyDescent="0.25">
      <c r="A1212" s="4" t="str">
        <f>IFERROR(parent_children_2[[#This Row],[parent_children_id]],"")</f>
        <v/>
      </c>
      <c r="B1212" s="4" t="str">
        <f>IFERROR(VLOOKUP(parent_children_2[[#This Row],[parent_id]],abbreviation[],3,FALSE),"")</f>
        <v/>
      </c>
      <c r="C1212" s="4" t="str">
        <f>IFERROR(VLOOKUP(parent_children_2[[#This Row],[children_id]],abbreviation[],ColumnLanguage+1,FALSE),"")</f>
        <v/>
      </c>
    </row>
    <row r="1213" spans="1:3" x14ac:dyDescent="0.25">
      <c r="A1213" s="4" t="str">
        <f>IFERROR(parent_children_2[[#This Row],[parent_children_id]],"")</f>
        <v/>
      </c>
      <c r="B1213" s="4" t="str">
        <f>IFERROR(VLOOKUP(parent_children_2[[#This Row],[parent_id]],abbreviation[],3,FALSE),"")</f>
        <v/>
      </c>
      <c r="C1213" s="4" t="str">
        <f>IFERROR(VLOOKUP(parent_children_2[[#This Row],[children_id]],abbreviation[],ColumnLanguage+1,FALSE),"")</f>
        <v/>
      </c>
    </row>
    <row r="1214" spans="1:3" x14ac:dyDescent="0.25">
      <c r="A1214" s="4" t="str">
        <f>IFERROR(parent_children_2[[#This Row],[parent_children_id]],"")</f>
        <v/>
      </c>
      <c r="B1214" s="4" t="str">
        <f>IFERROR(VLOOKUP(parent_children_2[[#This Row],[parent_id]],abbreviation[],3,FALSE),"")</f>
        <v/>
      </c>
      <c r="C1214" s="4" t="str">
        <f>IFERROR(VLOOKUP(parent_children_2[[#This Row],[children_id]],abbreviation[],ColumnLanguage+1,FALSE),"")</f>
        <v/>
      </c>
    </row>
    <row r="1215" spans="1:3" x14ac:dyDescent="0.25">
      <c r="A1215" s="4" t="str">
        <f>IFERROR(parent_children_2[[#This Row],[parent_children_id]],"")</f>
        <v/>
      </c>
      <c r="B1215" s="4" t="str">
        <f>IFERROR(VLOOKUP(parent_children_2[[#This Row],[parent_id]],abbreviation[],3,FALSE),"")</f>
        <v/>
      </c>
      <c r="C1215" s="4" t="str">
        <f>IFERROR(VLOOKUP(parent_children_2[[#This Row],[children_id]],abbreviation[],ColumnLanguage+1,FALSE),"")</f>
        <v/>
      </c>
    </row>
    <row r="1216" spans="1:3" x14ac:dyDescent="0.25">
      <c r="A1216" s="4" t="str">
        <f>IFERROR(parent_children_2[[#This Row],[parent_children_id]],"")</f>
        <v/>
      </c>
      <c r="B1216" s="4" t="str">
        <f>IFERROR(VLOOKUP(parent_children_2[[#This Row],[parent_id]],abbreviation[],3,FALSE),"")</f>
        <v/>
      </c>
      <c r="C1216" s="4" t="str">
        <f>IFERROR(VLOOKUP(parent_children_2[[#This Row],[children_id]],abbreviation[],ColumnLanguage+1,FALSE),"")</f>
        <v/>
      </c>
    </row>
    <row r="1217" spans="1:3" x14ac:dyDescent="0.25">
      <c r="A1217" s="4" t="str">
        <f>IFERROR(parent_children_2[[#This Row],[parent_children_id]],"")</f>
        <v/>
      </c>
      <c r="B1217" s="4" t="str">
        <f>IFERROR(VLOOKUP(parent_children_2[[#This Row],[parent_id]],abbreviation[],3,FALSE),"")</f>
        <v/>
      </c>
      <c r="C1217" s="4" t="str">
        <f>IFERROR(VLOOKUP(parent_children_2[[#This Row],[children_id]],abbreviation[],ColumnLanguage+1,FALSE),"")</f>
        <v/>
      </c>
    </row>
    <row r="1218" spans="1:3" x14ac:dyDescent="0.25">
      <c r="A1218" s="4" t="str">
        <f>IFERROR(parent_children_2[[#This Row],[parent_children_id]],"")</f>
        <v/>
      </c>
      <c r="B1218" s="4" t="str">
        <f>IFERROR(VLOOKUP(parent_children_2[[#This Row],[parent_id]],abbreviation[],3,FALSE),"")</f>
        <v/>
      </c>
      <c r="C1218" s="4" t="str">
        <f>IFERROR(VLOOKUP(parent_children_2[[#This Row],[children_id]],abbreviation[],ColumnLanguage+1,FALSE),"")</f>
        <v/>
      </c>
    </row>
    <row r="1219" spans="1:3" x14ac:dyDescent="0.25">
      <c r="A1219" s="4" t="str">
        <f>IFERROR(parent_children_2[[#This Row],[parent_children_id]],"")</f>
        <v/>
      </c>
      <c r="B1219" s="4" t="str">
        <f>IFERROR(VLOOKUP(parent_children_2[[#This Row],[parent_id]],abbreviation[],3,FALSE),"")</f>
        <v/>
      </c>
      <c r="C1219" s="4" t="str">
        <f>IFERROR(VLOOKUP(parent_children_2[[#This Row],[children_id]],abbreviation[],ColumnLanguage+1,FALSE),"")</f>
        <v/>
      </c>
    </row>
    <row r="1220" spans="1:3" x14ac:dyDescent="0.25">
      <c r="A1220" s="4" t="str">
        <f>IFERROR(parent_children_2[[#This Row],[parent_children_id]],"")</f>
        <v/>
      </c>
      <c r="B1220" s="4" t="str">
        <f>IFERROR(VLOOKUP(parent_children_2[[#This Row],[parent_id]],abbreviation[],3,FALSE),"")</f>
        <v/>
      </c>
      <c r="C1220" s="4" t="str">
        <f>IFERROR(VLOOKUP(parent_children_2[[#This Row],[children_id]],abbreviation[],ColumnLanguage+1,FALSE),"")</f>
        <v/>
      </c>
    </row>
    <row r="1221" spans="1:3" x14ac:dyDescent="0.25">
      <c r="A1221" s="4" t="str">
        <f>IFERROR(parent_children_2[[#This Row],[parent_children_id]],"")</f>
        <v/>
      </c>
      <c r="B1221" s="4" t="str">
        <f>IFERROR(VLOOKUP(parent_children_2[[#This Row],[parent_id]],abbreviation[],3,FALSE),"")</f>
        <v/>
      </c>
      <c r="C1221" s="4" t="str">
        <f>IFERROR(VLOOKUP(parent_children_2[[#This Row],[children_id]],abbreviation[],ColumnLanguage+1,FALSE),"")</f>
        <v/>
      </c>
    </row>
    <row r="1222" spans="1:3" x14ac:dyDescent="0.25">
      <c r="A1222" s="4" t="str">
        <f>IFERROR(parent_children_2[[#This Row],[parent_children_id]],"")</f>
        <v/>
      </c>
      <c r="B1222" s="4" t="str">
        <f>IFERROR(VLOOKUP(parent_children_2[[#This Row],[parent_id]],abbreviation[],3,FALSE),"")</f>
        <v/>
      </c>
      <c r="C1222" s="4" t="str">
        <f>IFERROR(VLOOKUP(parent_children_2[[#This Row],[children_id]],abbreviation[],ColumnLanguage+1,FALSE),"")</f>
        <v/>
      </c>
    </row>
    <row r="1223" spans="1:3" x14ac:dyDescent="0.25">
      <c r="A1223" s="4" t="str">
        <f>IFERROR(parent_children_2[[#This Row],[parent_children_id]],"")</f>
        <v/>
      </c>
      <c r="B1223" s="4" t="str">
        <f>IFERROR(VLOOKUP(parent_children_2[[#This Row],[parent_id]],abbreviation[],3,FALSE),"")</f>
        <v/>
      </c>
      <c r="C1223" s="4" t="str">
        <f>IFERROR(VLOOKUP(parent_children_2[[#This Row],[children_id]],abbreviation[],ColumnLanguage+1,FALSE),"")</f>
        <v/>
      </c>
    </row>
    <row r="1224" spans="1:3" x14ac:dyDescent="0.25">
      <c r="A1224" s="4" t="str">
        <f>IFERROR(parent_children_2[[#This Row],[parent_children_id]],"")</f>
        <v/>
      </c>
      <c r="B1224" s="4" t="str">
        <f>IFERROR(VLOOKUP(parent_children_2[[#This Row],[parent_id]],abbreviation[],3,FALSE),"")</f>
        <v/>
      </c>
      <c r="C1224" s="4" t="str">
        <f>IFERROR(VLOOKUP(parent_children_2[[#This Row],[children_id]],abbreviation[],ColumnLanguage+1,FALSE),"")</f>
        <v/>
      </c>
    </row>
    <row r="1225" spans="1:3" x14ac:dyDescent="0.25">
      <c r="A1225" s="4" t="str">
        <f>IFERROR(parent_children_2[[#This Row],[parent_children_id]],"")</f>
        <v/>
      </c>
      <c r="B1225" s="4" t="str">
        <f>IFERROR(VLOOKUP(parent_children_2[[#This Row],[parent_id]],abbreviation[],3,FALSE),"")</f>
        <v/>
      </c>
      <c r="C1225" s="4" t="str">
        <f>IFERROR(VLOOKUP(parent_children_2[[#This Row],[children_id]],abbreviation[],ColumnLanguage+1,FALSE),"")</f>
        <v/>
      </c>
    </row>
    <row r="1226" spans="1:3" x14ac:dyDescent="0.25">
      <c r="A1226" s="4" t="str">
        <f>IFERROR(parent_children_2[[#This Row],[parent_children_id]],"")</f>
        <v/>
      </c>
      <c r="B1226" s="4" t="str">
        <f>IFERROR(VLOOKUP(parent_children_2[[#This Row],[parent_id]],abbreviation[],3,FALSE),"")</f>
        <v/>
      </c>
      <c r="C1226" s="4" t="str">
        <f>IFERROR(VLOOKUP(parent_children_2[[#This Row],[children_id]],abbreviation[],ColumnLanguage+1,FALSE),"")</f>
        <v/>
      </c>
    </row>
    <row r="1227" spans="1:3" x14ac:dyDescent="0.25">
      <c r="A1227" s="4" t="str">
        <f>IFERROR(parent_children_2[[#This Row],[parent_children_id]],"")</f>
        <v/>
      </c>
      <c r="B1227" s="4" t="str">
        <f>IFERROR(VLOOKUP(parent_children_2[[#This Row],[parent_id]],abbreviation[],3,FALSE),"")</f>
        <v/>
      </c>
      <c r="C1227" s="4" t="str">
        <f>IFERROR(VLOOKUP(parent_children_2[[#This Row],[children_id]],abbreviation[],ColumnLanguage+1,FALSE),"")</f>
        <v/>
      </c>
    </row>
    <row r="1228" spans="1:3" x14ac:dyDescent="0.25">
      <c r="A1228" s="4" t="str">
        <f>IFERROR(parent_children_2[[#This Row],[parent_children_id]],"")</f>
        <v/>
      </c>
      <c r="B1228" s="4" t="str">
        <f>IFERROR(VLOOKUP(parent_children_2[[#This Row],[parent_id]],abbreviation[],3,FALSE),"")</f>
        <v/>
      </c>
      <c r="C1228" s="4" t="str">
        <f>IFERROR(VLOOKUP(parent_children_2[[#This Row],[children_id]],abbreviation[],ColumnLanguage+1,FALSE),"")</f>
        <v/>
      </c>
    </row>
    <row r="1229" spans="1:3" x14ac:dyDescent="0.25">
      <c r="A1229" s="4" t="str">
        <f>IFERROR(parent_children_2[[#This Row],[parent_children_id]],"")</f>
        <v/>
      </c>
      <c r="B1229" s="4" t="str">
        <f>IFERROR(VLOOKUP(parent_children_2[[#This Row],[parent_id]],abbreviation[],3,FALSE),"")</f>
        <v/>
      </c>
      <c r="C1229" s="4" t="str">
        <f>IFERROR(VLOOKUP(parent_children_2[[#This Row],[children_id]],abbreviation[],ColumnLanguage+1,FALSE),"")</f>
        <v/>
      </c>
    </row>
    <row r="1230" spans="1:3" x14ac:dyDescent="0.25">
      <c r="A1230" s="4" t="str">
        <f>IFERROR(parent_children_2[[#This Row],[parent_children_id]],"")</f>
        <v/>
      </c>
      <c r="B1230" s="4" t="str">
        <f>IFERROR(VLOOKUP(parent_children_2[[#This Row],[parent_id]],abbreviation[],3,FALSE),"")</f>
        <v/>
      </c>
      <c r="C1230" s="4" t="str">
        <f>IFERROR(VLOOKUP(parent_children_2[[#This Row],[children_id]],abbreviation[],ColumnLanguage+1,FALSE),"")</f>
        <v/>
      </c>
    </row>
    <row r="1231" spans="1:3" x14ac:dyDescent="0.25">
      <c r="A1231" s="4" t="str">
        <f>IFERROR(parent_children_2[[#This Row],[parent_children_id]],"")</f>
        <v/>
      </c>
      <c r="B1231" s="4" t="str">
        <f>IFERROR(VLOOKUP(parent_children_2[[#This Row],[parent_id]],abbreviation[],3,FALSE),"")</f>
        <v/>
      </c>
      <c r="C1231" s="4" t="str">
        <f>IFERROR(VLOOKUP(parent_children_2[[#This Row],[children_id]],abbreviation[],ColumnLanguage+1,FALSE),"")</f>
        <v/>
      </c>
    </row>
    <row r="1232" spans="1:3" x14ac:dyDescent="0.25">
      <c r="A1232" s="4" t="str">
        <f>IFERROR(parent_children_2[[#This Row],[parent_children_id]],"")</f>
        <v/>
      </c>
      <c r="B1232" s="4" t="str">
        <f>IFERROR(VLOOKUP(parent_children_2[[#This Row],[parent_id]],abbreviation[],3,FALSE),"")</f>
        <v/>
      </c>
      <c r="C1232" s="4" t="str">
        <f>IFERROR(VLOOKUP(parent_children_2[[#This Row],[children_id]],abbreviation[],ColumnLanguage+1,FALSE),"")</f>
        <v/>
      </c>
    </row>
    <row r="1233" spans="1:3" x14ac:dyDescent="0.25">
      <c r="A1233" s="4" t="str">
        <f>IFERROR(parent_children_2[[#This Row],[parent_children_id]],"")</f>
        <v/>
      </c>
      <c r="B1233" s="4" t="str">
        <f>IFERROR(VLOOKUP(parent_children_2[[#This Row],[parent_id]],abbreviation[],3,FALSE),"")</f>
        <v/>
      </c>
      <c r="C1233" s="4" t="str">
        <f>IFERROR(VLOOKUP(parent_children_2[[#This Row],[children_id]],abbreviation[],ColumnLanguage+1,FALSE),"")</f>
        <v/>
      </c>
    </row>
    <row r="1234" spans="1:3" x14ac:dyDescent="0.25">
      <c r="A1234" s="4" t="str">
        <f>IFERROR(parent_children_2[[#This Row],[parent_children_id]],"")</f>
        <v/>
      </c>
      <c r="B1234" s="4" t="str">
        <f>IFERROR(VLOOKUP(parent_children_2[[#This Row],[parent_id]],abbreviation[],3,FALSE),"")</f>
        <v/>
      </c>
      <c r="C1234" s="4" t="str">
        <f>IFERROR(VLOOKUP(parent_children_2[[#This Row],[children_id]],abbreviation[],ColumnLanguage+1,FALSE),"")</f>
        <v/>
      </c>
    </row>
    <row r="1235" spans="1:3" x14ac:dyDescent="0.25">
      <c r="A1235" s="4" t="str">
        <f>IFERROR(parent_children_2[[#This Row],[parent_children_id]],"")</f>
        <v/>
      </c>
      <c r="B1235" s="4" t="str">
        <f>IFERROR(VLOOKUP(parent_children_2[[#This Row],[parent_id]],abbreviation[],3,FALSE),"")</f>
        <v/>
      </c>
      <c r="C1235" s="4" t="str">
        <f>IFERROR(VLOOKUP(parent_children_2[[#This Row],[children_id]],abbreviation[],ColumnLanguage+1,FALSE),"")</f>
        <v/>
      </c>
    </row>
    <row r="1236" spans="1:3" x14ac:dyDescent="0.25">
      <c r="A1236" s="4" t="str">
        <f>IFERROR(parent_children_2[[#This Row],[parent_children_id]],"")</f>
        <v/>
      </c>
      <c r="B1236" s="4" t="str">
        <f>IFERROR(VLOOKUP(parent_children_2[[#This Row],[parent_id]],abbreviation[],3,FALSE),"")</f>
        <v/>
      </c>
      <c r="C1236" s="4" t="str">
        <f>IFERROR(VLOOKUP(parent_children_2[[#This Row],[children_id]],abbreviation[],ColumnLanguage+1,FALSE),"")</f>
        <v/>
      </c>
    </row>
    <row r="1237" spans="1:3" x14ac:dyDescent="0.25">
      <c r="A1237" s="4" t="str">
        <f>IFERROR(parent_children_2[[#This Row],[parent_children_id]],"")</f>
        <v/>
      </c>
      <c r="B1237" s="4" t="str">
        <f>IFERROR(VLOOKUP(parent_children_2[[#This Row],[parent_id]],abbreviation[],3,FALSE),"")</f>
        <v/>
      </c>
      <c r="C1237" s="4" t="str">
        <f>IFERROR(VLOOKUP(parent_children_2[[#This Row],[children_id]],abbreviation[],ColumnLanguage+1,FALSE),"")</f>
        <v/>
      </c>
    </row>
    <row r="1238" spans="1:3" x14ac:dyDescent="0.25">
      <c r="A1238" s="4" t="str">
        <f>IFERROR(parent_children_2[[#This Row],[parent_children_id]],"")</f>
        <v/>
      </c>
      <c r="B1238" s="4" t="str">
        <f>IFERROR(VLOOKUP(parent_children_2[[#This Row],[parent_id]],abbreviation[],3,FALSE),"")</f>
        <v/>
      </c>
      <c r="C1238" s="4" t="str">
        <f>IFERROR(VLOOKUP(parent_children_2[[#This Row],[children_id]],abbreviation[],ColumnLanguage+1,FALSE),"")</f>
        <v/>
      </c>
    </row>
    <row r="1239" spans="1:3" x14ac:dyDescent="0.25">
      <c r="A1239" s="4" t="str">
        <f>IFERROR(parent_children_2[[#This Row],[parent_children_id]],"")</f>
        <v/>
      </c>
      <c r="B1239" s="4" t="str">
        <f>IFERROR(VLOOKUP(parent_children_2[[#This Row],[parent_id]],abbreviation[],3,FALSE),"")</f>
        <v/>
      </c>
      <c r="C1239" s="4" t="str">
        <f>IFERROR(VLOOKUP(parent_children_2[[#This Row],[children_id]],abbreviation[],ColumnLanguage+1,FALSE),"")</f>
        <v/>
      </c>
    </row>
    <row r="1240" spans="1:3" x14ac:dyDescent="0.25">
      <c r="A1240" s="4" t="str">
        <f>IFERROR(parent_children_2[[#This Row],[parent_children_id]],"")</f>
        <v/>
      </c>
      <c r="B1240" s="4" t="str">
        <f>IFERROR(VLOOKUP(parent_children_2[[#This Row],[parent_id]],abbreviation[],3,FALSE),"")</f>
        <v/>
      </c>
      <c r="C1240" s="4" t="str">
        <f>IFERROR(VLOOKUP(parent_children_2[[#This Row],[children_id]],abbreviation[],ColumnLanguage+1,FALSE),"")</f>
        <v/>
      </c>
    </row>
    <row r="1241" spans="1:3" x14ac:dyDescent="0.25">
      <c r="A1241" s="4" t="str">
        <f>IFERROR(parent_children_2[[#This Row],[parent_children_id]],"")</f>
        <v/>
      </c>
      <c r="B1241" s="4" t="str">
        <f>IFERROR(VLOOKUP(parent_children_2[[#This Row],[parent_id]],abbreviation[],3,FALSE),"")</f>
        <v/>
      </c>
      <c r="C1241" s="4" t="str">
        <f>IFERROR(VLOOKUP(parent_children_2[[#This Row],[children_id]],abbreviation[],ColumnLanguage+1,FALSE),"")</f>
        <v/>
      </c>
    </row>
    <row r="1242" spans="1:3" x14ac:dyDescent="0.25">
      <c r="A1242" s="4" t="str">
        <f>IFERROR(parent_children_2[[#This Row],[parent_children_id]],"")</f>
        <v/>
      </c>
      <c r="B1242" s="4" t="str">
        <f>IFERROR(VLOOKUP(parent_children_2[[#This Row],[parent_id]],abbreviation[],3,FALSE),"")</f>
        <v/>
      </c>
      <c r="C1242" s="4" t="str">
        <f>IFERROR(VLOOKUP(parent_children_2[[#This Row],[children_id]],abbreviation[],ColumnLanguage+1,FALSE),"")</f>
        <v/>
      </c>
    </row>
    <row r="1243" spans="1:3" x14ac:dyDescent="0.25">
      <c r="A1243" s="4" t="str">
        <f>IFERROR(parent_children_2[[#This Row],[parent_children_id]],"")</f>
        <v/>
      </c>
      <c r="B1243" s="4" t="str">
        <f>IFERROR(VLOOKUP(parent_children_2[[#This Row],[parent_id]],abbreviation[],3,FALSE),"")</f>
        <v/>
      </c>
      <c r="C1243" s="4" t="str">
        <f>IFERROR(VLOOKUP(parent_children_2[[#This Row],[children_id]],abbreviation[],ColumnLanguage+1,FALSE),"")</f>
        <v/>
      </c>
    </row>
    <row r="1244" spans="1:3" x14ac:dyDescent="0.25">
      <c r="A1244" s="4" t="str">
        <f>IFERROR(parent_children_2[[#This Row],[parent_children_id]],"")</f>
        <v/>
      </c>
      <c r="B1244" s="4" t="str">
        <f>IFERROR(VLOOKUP(parent_children_2[[#This Row],[parent_id]],abbreviation[],3,FALSE),"")</f>
        <v/>
      </c>
      <c r="C1244" s="4" t="str">
        <f>IFERROR(VLOOKUP(parent_children_2[[#This Row],[children_id]],abbreviation[],ColumnLanguage+1,FALSE),"")</f>
        <v/>
      </c>
    </row>
    <row r="1245" spans="1:3" x14ac:dyDescent="0.25">
      <c r="A1245" s="4" t="str">
        <f>IFERROR(parent_children_2[[#This Row],[parent_children_id]],"")</f>
        <v/>
      </c>
      <c r="B1245" s="4" t="str">
        <f>IFERROR(VLOOKUP(parent_children_2[[#This Row],[parent_id]],abbreviation[],3,FALSE),"")</f>
        <v/>
      </c>
      <c r="C1245" s="4" t="str">
        <f>IFERROR(VLOOKUP(parent_children_2[[#This Row],[children_id]],abbreviation[],ColumnLanguage+1,FALSE),"")</f>
        <v/>
      </c>
    </row>
    <row r="1246" spans="1:3" x14ac:dyDescent="0.25">
      <c r="A1246" s="4" t="str">
        <f>IFERROR(parent_children_2[[#This Row],[parent_children_id]],"")</f>
        <v/>
      </c>
      <c r="B1246" s="4" t="str">
        <f>IFERROR(VLOOKUP(parent_children_2[[#This Row],[parent_id]],abbreviation[],3,FALSE),"")</f>
        <v/>
      </c>
      <c r="C1246" s="4" t="str">
        <f>IFERROR(VLOOKUP(parent_children_2[[#This Row],[children_id]],abbreviation[],ColumnLanguage+1,FALSE),"")</f>
        <v/>
      </c>
    </row>
    <row r="1247" spans="1:3" x14ac:dyDescent="0.25">
      <c r="A1247" s="4" t="str">
        <f>IFERROR(parent_children_2[[#This Row],[parent_children_id]],"")</f>
        <v/>
      </c>
      <c r="B1247" s="4" t="str">
        <f>IFERROR(VLOOKUP(parent_children_2[[#This Row],[parent_id]],abbreviation[],3,FALSE),"")</f>
        <v/>
      </c>
      <c r="C1247" s="4" t="str">
        <f>IFERROR(VLOOKUP(parent_children_2[[#This Row],[children_id]],abbreviation[],ColumnLanguage+1,FALSE),"")</f>
        <v/>
      </c>
    </row>
    <row r="1248" spans="1:3" x14ac:dyDescent="0.25">
      <c r="A1248" s="4" t="str">
        <f>IFERROR(parent_children_2[[#This Row],[parent_children_id]],"")</f>
        <v/>
      </c>
      <c r="B1248" s="4" t="str">
        <f>IFERROR(VLOOKUP(parent_children_2[[#This Row],[parent_id]],abbreviation[],3,FALSE),"")</f>
        <v/>
      </c>
      <c r="C1248" s="4" t="str">
        <f>IFERROR(VLOOKUP(parent_children_2[[#This Row],[children_id]],abbreviation[],ColumnLanguage+1,FALSE),"")</f>
        <v/>
      </c>
    </row>
    <row r="1249" spans="1:3" x14ac:dyDescent="0.25">
      <c r="A1249" s="4" t="str">
        <f>IFERROR(parent_children_2[[#This Row],[parent_children_id]],"")</f>
        <v/>
      </c>
      <c r="B1249" s="4" t="str">
        <f>IFERROR(VLOOKUP(parent_children_2[[#This Row],[parent_id]],abbreviation[],3,FALSE),"")</f>
        <v/>
      </c>
      <c r="C1249" s="4" t="str">
        <f>IFERROR(VLOOKUP(parent_children_2[[#This Row],[children_id]],abbreviation[],ColumnLanguage+1,FALSE),"")</f>
        <v/>
      </c>
    </row>
    <row r="1250" spans="1:3" x14ac:dyDescent="0.25">
      <c r="A1250" s="4" t="str">
        <f>IFERROR(parent_children_2[[#This Row],[parent_children_id]],"")</f>
        <v/>
      </c>
      <c r="B1250" s="4" t="str">
        <f>IFERROR(VLOOKUP(parent_children_2[[#This Row],[parent_id]],abbreviation[],3,FALSE),"")</f>
        <v/>
      </c>
      <c r="C1250" s="4" t="str">
        <f>IFERROR(VLOOKUP(parent_children_2[[#This Row],[children_id]],abbreviation[],ColumnLanguage+1,FALSE),"")</f>
        <v/>
      </c>
    </row>
    <row r="1251" spans="1:3" x14ac:dyDescent="0.25">
      <c r="A1251" s="4" t="str">
        <f>IFERROR(parent_children_2[[#This Row],[parent_children_id]],"")</f>
        <v/>
      </c>
      <c r="B1251" s="4" t="str">
        <f>IFERROR(VLOOKUP(parent_children_2[[#This Row],[parent_id]],abbreviation[],3,FALSE),"")</f>
        <v/>
      </c>
      <c r="C1251" s="4" t="str">
        <f>IFERROR(VLOOKUP(parent_children_2[[#This Row],[children_id]],abbreviation[],ColumnLanguage+1,FALSE),"")</f>
        <v/>
      </c>
    </row>
    <row r="1252" spans="1:3" x14ac:dyDescent="0.25">
      <c r="A1252" s="4" t="str">
        <f>IFERROR(parent_children_2[[#This Row],[parent_children_id]],"")</f>
        <v/>
      </c>
      <c r="B1252" s="4" t="str">
        <f>IFERROR(VLOOKUP(parent_children_2[[#This Row],[parent_id]],abbreviation[],3,FALSE),"")</f>
        <v/>
      </c>
      <c r="C1252" s="4" t="str">
        <f>IFERROR(VLOOKUP(parent_children_2[[#This Row],[children_id]],abbreviation[],ColumnLanguage+1,FALSE),"")</f>
        <v/>
      </c>
    </row>
    <row r="1253" spans="1:3" x14ac:dyDescent="0.25">
      <c r="A1253" s="4" t="str">
        <f>IFERROR(parent_children_2[[#This Row],[parent_children_id]],"")</f>
        <v/>
      </c>
      <c r="B1253" s="4" t="str">
        <f>IFERROR(VLOOKUP(parent_children_2[[#This Row],[parent_id]],abbreviation[],3,FALSE),"")</f>
        <v/>
      </c>
      <c r="C1253" s="4" t="str">
        <f>IFERROR(VLOOKUP(parent_children_2[[#This Row],[children_id]],abbreviation[],ColumnLanguage+1,FALSE),"")</f>
        <v/>
      </c>
    </row>
    <row r="1254" spans="1:3" x14ac:dyDescent="0.25">
      <c r="A1254" s="4" t="str">
        <f>IFERROR(parent_children_2[[#This Row],[parent_children_id]],"")</f>
        <v/>
      </c>
      <c r="B1254" s="4" t="str">
        <f>IFERROR(VLOOKUP(parent_children_2[[#This Row],[parent_id]],abbreviation[],3,FALSE),"")</f>
        <v/>
      </c>
      <c r="C1254" s="4" t="str">
        <f>IFERROR(VLOOKUP(parent_children_2[[#This Row],[children_id]],abbreviation[],ColumnLanguage+1,FALSE),"")</f>
        <v/>
      </c>
    </row>
    <row r="1255" spans="1:3" x14ac:dyDescent="0.25">
      <c r="A1255" s="4" t="str">
        <f>IFERROR(parent_children_2[[#This Row],[parent_children_id]],"")</f>
        <v/>
      </c>
      <c r="B1255" s="4" t="str">
        <f>IFERROR(VLOOKUP(parent_children_2[[#This Row],[parent_id]],abbreviation[],3,FALSE),"")</f>
        <v/>
      </c>
      <c r="C1255" s="4" t="str">
        <f>IFERROR(VLOOKUP(parent_children_2[[#This Row],[children_id]],abbreviation[],ColumnLanguage+1,FALSE),"")</f>
        <v/>
      </c>
    </row>
    <row r="1256" spans="1:3" x14ac:dyDescent="0.25">
      <c r="A1256" s="4" t="str">
        <f>IFERROR(parent_children_2[[#This Row],[parent_children_id]],"")</f>
        <v/>
      </c>
      <c r="B1256" s="4" t="str">
        <f>IFERROR(VLOOKUP(parent_children_2[[#This Row],[parent_id]],abbreviation[],3,FALSE),"")</f>
        <v/>
      </c>
      <c r="C1256" s="4" t="str">
        <f>IFERROR(VLOOKUP(parent_children_2[[#This Row],[children_id]],abbreviation[],ColumnLanguage+1,FALSE),"")</f>
        <v/>
      </c>
    </row>
    <row r="1257" spans="1:3" x14ac:dyDescent="0.25">
      <c r="A1257" s="4" t="str">
        <f>IFERROR(parent_children_2[[#This Row],[parent_children_id]],"")</f>
        <v/>
      </c>
      <c r="B1257" s="4" t="str">
        <f>IFERROR(VLOOKUP(parent_children_2[[#This Row],[parent_id]],abbreviation[],3,FALSE),"")</f>
        <v/>
      </c>
      <c r="C1257" s="4" t="str">
        <f>IFERROR(VLOOKUP(parent_children_2[[#This Row],[children_id]],abbreviation[],ColumnLanguage+1,FALSE),"")</f>
        <v/>
      </c>
    </row>
    <row r="1258" spans="1:3" x14ac:dyDescent="0.25">
      <c r="A1258" s="4" t="str">
        <f>IFERROR(parent_children_2[[#This Row],[parent_children_id]],"")</f>
        <v/>
      </c>
      <c r="B1258" s="4" t="str">
        <f>IFERROR(VLOOKUP(parent_children_2[[#This Row],[parent_id]],abbreviation[],3,FALSE),"")</f>
        <v/>
      </c>
      <c r="C1258" s="4" t="str">
        <f>IFERROR(VLOOKUP(parent_children_2[[#This Row],[children_id]],abbreviation[],ColumnLanguage+1,FALSE),"")</f>
        <v/>
      </c>
    </row>
    <row r="1259" spans="1:3" x14ac:dyDescent="0.25">
      <c r="A1259" s="4" t="str">
        <f>IFERROR(parent_children_2[[#This Row],[parent_children_id]],"")</f>
        <v/>
      </c>
      <c r="B1259" s="4" t="str">
        <f>IFERROR(VLOOKUP(parent_children_2[[#This Row],[parent_id]],abbreviation[],3,FALSE),"")</f>
        <v/>
      </c>
      <c r="C1259" s="4" t="str">
        <f>IFERROR(VLOOKUP(parent_children_2[[#This Row],[children_id]],abbreviation[],ColumnLanguage+1,FALSE),"")</f>
        <v/>
      </c>
    </row>
    <row r="1260" spans="1:3" x14ac:dyDescent="0.25">
      <c r="A1260" s="4" t="str">
        <f>IFERROR(parent_children_2[[#This Row],[parent_children_id]],"")</f>
        <v/>
      </c>
      <c r="B1260" s="4" t="str">
        <f>IFERROR(VLOOKUP(parent_children_2[[#This Row],[parent_id]],abbreviation[],3,FALSE),"")</f>
        <v/>
      </c>
      <c r="C1260" s="4" t="str">
        <f>IFERROR(VLOOKUP(parent_children_2[[#This Row],[children_id]],abbreviation[],ColumnLanguage+1,FALSE),"")</f>
        <v/>
      </c>
    </row>
    <row r="1261" spans="1:3" x14ac:dyDescent="0.25">
      <c r="A1261" s="4" t="str">
        <f>IFERROR(parent_children_2[[#This Row],[parent_children_id]],"")</f>
        <v/>
      </c>
      <c r="B1261" s="4" t="str">
        <f>IFERROR(VLOOKUP(parent_children_2[[#This Row],[parent_id]],abbreviation[],3,FALSE),"")</f>
        <v/>
      </c>
      <c r="C1261" s="4" t="str">
        <f>IFERROR(VLOOKUP(parent_children_2[[#This Row],[children_id]],abbreviation[],ColumnLanguage+1,FALSE),"")</f>
        <v/>
      </c>
    </row>
    <row r="1262" spans="1:3" x14ac:dyDescent="0.25">
      <c r="A1262" s="4" t="str">
        <f>IFERROR(parent_children_2[[#This Row],[parent_children_id]],"")</f>
        <v/>
      </c>
      <c r="B1262" s="4" t="str">
        <f>IFERROR(VLOOKUP(parent_children_2[[#This Row],[parent_id]],abbreviation[],3,FALSE),"")</f>
        <v/>
      </c>
      <c r="C1262" s="4" t="str">
        <f>IFERROR(VLOOKUP(parent_children_2[[#This Row],[children_id]],abbreviation[],ColumnLanguage+1,FALSE),"")</f>
        <v/>
      </c>
    </row>
    <row r="1263" spans="1:3" x14ac:dyDescent="0.25">
      <c r="A1263" s="4" t="str">
        <f>IFERROR(parent_children_2[[#This Row],[parent_children_id]],"")</f>
        <v/>
      </c>
      <c r="B1263" s="4" t="str">
        <f>IFERROR(VLOOKUP(parent_children_2[[#This Row],[parent_id]],abbreviation[],3,FALSE),"")</f>
        <v/>
      </c>
      <c r="C1263" s="4" t="str">
        <f>IFERROR(VLOOKUP(parent_children_2[[#This Row],[children_id]],abbreviation[],ColumnLanguage+1,FALSE),"")</f>
        <v/>
      </c>
    </row>
    <row r="1264" spans="1:3" x14ac:dyDescent="0.25">
      <c r="A1264" s="4" t="str">
        <f>IFERROR(parent_children_2[[#This Row],[parent_children_id]],"")</f>
        <v/>
      </c>
      <c r="B1264" s="4" t="str">
        <f>IFERROR(VLOOKUP(parent_children_2[[#This Row],[parent_id]],abbreviation[],3,FALSE),"")</f>
        <v/>
      </c>
      <c r="C1264" s="4" t="str">
        <f>IFERROR(VLOOKUP(parent_children_2[[#This Row],[children_id]],abbreviation[],ColumnLanguage+1,FALSE),"")</f>
        <v/>
      </c>
    </row>
    <row r="1265" spans="1:3" x14ac:dyDescent="0.25">
      <c r="A1265" s="4" t="str">
        <f>IFERROR(parent_children_2[[#This Row],[parent_children_id]],"")</f>
        <v/>
      </c>
      <c r="B1265" s="4" t="str">
        <f>IFERROR(VLOOKUP(parent_children_2[[#This Row],[parent_id]],abbreviation[],3,FALSE),"")</f>
        <v/>
      </c>
      <c r="C1265" s="4" t="str">
        <f>IFERROR(VLOOKUP(parent_children_2[[#This Row],[children_id]],abbreviation[],ColumnLanguage+1,FALSE),"")</f>
        <v/>
      </c>
    </row>
    <row r="1266" spans="1:3" x14ac:dyDescent="0.25">
      <c r="A1266" s="4" t="str">
        <f>IFERROR(parent_children_2[[#This Row],[parent_children_id]],"")</f>
        <v/>
      </c>
      <c r="B1266" s="4" t="str">
        <f>IFERROR(VLOOKUP(parent_children_2[[#This Row],[parent_id]],abbreviation[],3,FALSE),"")</f>
        <v/>
      </c>
      <c r="C1266" s="4" t="str">
        <f>IFERROR(VLOOKUP(parent_children_2[[#This Row],[children_id]],abbreviation[],ColumnLanguage+1,FALSE),"")</f>
        <v/>
      </c>
    </row>
    <row r="1267" spans="1:3" x14ac:dyDescent="0.25">
      <c r="A1267" s="4" t="str">
        <f>IFERROR(parent_children_2[[#This Row],[parent_children_id]],"")</f>
        <v/>
      </c>
      <c r="B1267" s="4" t="str">
        <f>IFERROR(VLOOKUP(parent_children_2[[#This Row],[parent_id]],abbreviation[],3,FALSE),"")</f>
        <v/>
      </c>
      <c r="C1267" s="4" t="str">
        <f>IFERROR(VLOOKUP(parent_children_2[[#This Row],[children_id]],abbreviation[],ColumnLanguage+1,FALSE),"")</f>
        <v/>
      </c>
    </row>
    <row r="1268" spans="1:3" x14ac:dyDescent="0.25">
      <c r="A1268" s="4" t="str">
        <f>IFERROR(parent_children_2[[#This Row],[parent_children_id]],"")</f>
        <v/>
      </c>
      <c r="B1268" s="4" t="str">
        <f>IFERROR(VLOOKUP(parent_children_2[[#This Row],[parent_id]],abbreviation[],3,FALSE),"")</f>
        <v/>
      </c>
      <c r="C1268" s="4" t="str">
        <f>IFERROR(VLOOKUP(parent_children_2[[#This Row],[children_id]],abbreviation[],ColumnLanguage+1,FALSE),"")</f>
        <v/>
      </c>
    </row>
    <row r="1269" spans="1:3" x14ac:dyDescent="0.25">
      <c r="A1269" s="4" t="str">
        <f>IFERROR(parent_children_2[[#This Row],[parent_children_id]],"")</f>
        <v/>
      </c>
      <c r="B1269" s="4" t="str">
        <f>IFERROR(VLOOKUP(parent_children_2[[#This Row],[parent_id]],abbreviation[],3,FALSE),"")</f>
        <v/>
      </c>
      <c r="C1269" s="4" t="str">
        <f>IFERROR(VLOOKUP(parent_children_2[[#This Row],[children_id]],abbreviation[],ColumnLanguage+1,FALSE),"")</f>
        <v/>
      </c>
    </row>
    <row r="1270" spans="1:3" x14ac:dyDescent="0.25">
      <c r="A1270" s="4" t="str">
        <f>IFERROR(parent_children_2[[#This Row],[parent_children_id]],"")</f>
        <v/>
      </c>
      <c r="B1270" s="4" t="str">
        <f>IFERROR(VLOOKUP(parent_children_2[[#This Row],[parent_id]],abbreviation[],3,FALSE),"")</f>
        <v/>
      </c>
      <c r="C1270" s="4" t="str">
        <f>IFERROR(VLOOKUP(parent_children_2[[#This Row],[children_id]],abbreviation[],ColumnLanguage+1,FALSE),"")</f>
        <v/>
      </c>
    </row>
    <row r="1271" spans="1:3" x14ac:dyDescent="0.25">
      <c r="A1271" s="4" t="str">
        <f>IFERROR(parent_children_2[[#This Row],[parent_children_id]],"")</f>
        <v/>
      </c>
      <c r="B1271" s="4" t="str">
        <f>IFERROR(VLOOKUP(parent_children_2[[#This Row],[parent_id]],abbreviation[],3,FALSE),"")</f>
        <v/>
      </c>
      <c r="C1271" s="4" t="str">
        <f>IFERROR(VLOOKUP(parent_children_2[[#This Row],[children_id]],abbreviation[],ColumnLanguage+1,FALSE),"")</f>
        <v/>
      </c>
    </row>
    <row r="1272" spans="1:3" x14ac:dyDescent="0.25">
      <c r="A1272" s="4" t="str">
        <f>IFERROR(parent_children_2[[#This Row],[parent_children_id]],"")</f>
        <v/>
      </c>
      <c r="B1272" s="4" t="str">
        <f>IFERROR(VLOOKUP(parent_children_2[[#This Row],[parent_id]],abbreviation[],3,FALSE),"")</f>
        <v/>
      </c>
      <c r="C1272" s="4" t="str">
        <f>IFERROR(VLOOKUP(parent_children_2[[#This Row],[children_id]],abbreviation[],ColumnLanguage+1,FALSE),"")</f>
        <v/>
      </c>
    </row>
    <row r="1273" spans="1:3" x14ac:dyDescent="0.25">
      <c r="A1273" s="4" t="str">
        <f>IFERROR(parent_children_2[[#This Row],[parent_children_id]],"")</f>
        <v/>
      </c>
      <c r="B1273" s="4" t="str">
        <f>IFERROR(VLOOKUP(parent_children_2[[#This Row],[parent_id]],abbreviation[],3,FALSE),"")</f>
        <v/>
      </c>
      <c r="C1273" s="4" t="str">
        <f>IFERROR(VLOOKUP(parent_children_2[[#This Row],[children_id]],abbreviation[],ColumnLanguage+1,FALSE),"")</f>
        <v/>
      </c>
    </row>
    <row r="1274" spans="1:3" x14ac:dyDescent="0.25">
      <c r="A1274" s="4" t="str">
        <f>IFERROR(parent_children_2[[#This Row],[parent_children_id]],"")</f>
        <v/>
      </c>
      <c r="B1274" s="4" t="str">
        <f>IFERROR(VLOOKUP(parent_children_2[[#This Row],[parent_id]],abbreviation[],3,FALSE),"")</f>
        <v/>
      </c>
      <c r="C1274" s="4" t="str">
        <f>IFERROR(VLOOKUP(parent_children_2[[#This Row],[children_id]],abbreviation[],ColumnLanguage+1,FALSE),"")</f>
        <v/>
      </c>
    </row>
    <row r="1275" spans="1:3" x14ac:dyDescent="0.25">
      <c r="A1275" s="4" t="str">
        <f>IFERROR(parent_children_2[[#This Row],[parent_children_id]],"")</f>
        <v/>
      </c>
      <c r="B1275" s="4" t="str">
        <f>IFERROR(VLOOKUP(parent_children_2[[#This Row],[parent_id]],abbreviation[],3,FALSE),"")</f>
        <v/>
      </c>
      <c r="C1275" s="4" t="str">
        <f>IFERROR(VLOOKUP(parent_children_2[[#This Row],[children_id]],abbreviation[],ColumnLanguage+1,FALSE),"")</f>
        <v/>
      </c>
    </row>
    <row r="1276" spans="1:3" x14ac:dyDescent="0.25">
      <c r="A1276" s="4" t="str">
        <f>IFERROR(parent_children_2[[#This Row],[parent_children_id]],"")</f>
        <v/>
      </c>
      <c r="B1276" s="4" t="str">
        <f>IFERROR(VLOOKUP(parent_children_2[[#This Row],[parent_id]],abbreviation[],3,FALSE),"")</f>
        <v/>
      </c>
      <c r="C1276" s="4" t="str">
        <f>IFERROR(VLOOKUP(parent_children_2[[#This Row],[children_id]],abbreviation[],ColumnLanguage+1,FALSE),"")</f>
        <v/>
      </c>
    </row>
    <row r="1277" spans="1:3" x14ac:dyDescent="0.25">
      <c r="A1277" s="4" t="str">
        <f>IFERROR(parent_children_2[[#This Row],[parent_children_id]],"")</f>
        <v/>
      </c>
      <c r="B1277" s="4" t="str">
        <f>IFERROR(VLOOKUP(parent_children_2[[#This Row],[parent_id]],abbreviation[],3,FALSE),"")</f>
        <v/>
      </c>
      <c r="C1277" s="4" t="str">
        <f>IFERROR(VLOOKUP(parent_children_2[[#This Row],[children_id]],abbreviation[],ColumnLanguage+1,FALSE),"")</f>
        <v/>
      </c>
    </row>
    <row r="1278" spans="1:3" x14ac:dyDescent="0.25">
      <c r="A1278" s="4" t="str">
        <f>IFERROR(parent_children_2[[#This Row],[parent_children_id]],"")</f>
        <v/>
      </c>
      <c r="B1278" s="4" t="str">
        <f>IFERROR(VLOOKUP(parent_children_2[[#This Row],[parent_id]],abbreviation[],3,FALSE),"")</f>
        <v/>
      </c>
      <c r="C1278" s="4" t="str">
        <f>IFERROR(VLOOKUP(parent_children_2[[#This Row],[children_id]],abbreviation[],ColumnLanguage+1,FALSE),"")</f>
        <v/>
      </c>
    </row>
    <row r="1279" spans="1:3" x14ac:dyDescent="0.25">
      <c r="A1279" s="4" t="str">
        <f>IFERROR(parent_children_2[[#This Row],[parent_children_id]],"")</f>
        <v/>
      </c>
      <c r="B1279" s="4" t="str">
        <f>IFERROR(VLOOKUP(parent_children_2[[#This Row],[parent_id]],abbreviation[],3,FALSE),"")</f>
        <v/>
      </c>
      <c r="C1279" s="4" t="str">
        <f>IFERROR(VLOOKUP(parent_children_2[[#This Row],[children_id]],abbreviation[],ColumnLanguage+1,FALSE),"")</f>
        <v/>
      </c>
    </row>
    <row r="1280" spans="1:3" x14ac:dyDescent="0.25">
      <c r="A1280" s="4" t="str">
        <f>IFERROR(parent_children_2[[#This Row],[parent_children_id]],"")</f>
        <v/>
      </c>
      <c r="B1280" s="4" t="str">
        <f>IFERROR(VLOOKUP(parent_children_2[[#This Row],[parent_id]],abbreviation[],3,FALSE),"")</f>
        <v/>
      </c>
      <c r="C1280" s="4" t="str">
        <f>IFERROR(VLOOKUP(parent_children_2[[#This Row],[children_id]],abbreviation[],ColumnLanguage+1,FALSE),"")</f>
        <v/>
      </c>
    </row>
    <row r="1281" spans="1:3" x14ac:dyDescent="0.25">
      <c r="A1281" s="4" t="str">
        <f>IFERROR(parent_children_2[[#This Row],[parent_children_id]],"")</f>
        <v/>
      </c>
      <c r="B1281" s="4" t="str">
        <f>IFERROR(VLOOKUP(parent_children_2[[#This Row],[parent_id]],abbreviation[],3,FALSE),"")</f>
        <v/>
      </c>
      <c r="C1281" s="4" t="str">
        <f>IFERROR(VLOOKUP(parent_children_2[[#This Row],[children_id]],abbreviation[],ColumnLanguage+1,FALSE),"")</f>
        <v/>
      </c>
    </row>
    <row r="1282" spans="1:3" x14ac:dyDescent="0.25">
      <c r="A1282" s="4" t="str">
        <f>IFERROR(parent_children_2[[#This Row],[parent_children_id]],"")</f>
        <v/>
      </c>
      <c r="B1282" s="4" t="str">
        <f>IFERROR(VLOOKUP(parent_children_2[[#This Row],[parent_id]],abbreviation[],3,FALSE),"")</f>
        <v/>
      </c>
      <c r="C1282" s="4" t="str">
        <f>IFERROR(VLOOKUP(parent_children_2[[#This Row],[children_id]],abbreviation[],ColumnLanguage+1,FALSE),"")</f>
        <v/>
      </c>
    </row>
    <row r="1283" spans="1:3" x14ac:dyDescent="0.25">
      <c r="A1283" s="4" t="str">
        <f>IFERROR(parent_children_2[[#This Row],[parent_children_id]],"")</f>
        <v/>
      </c>
      <c r="B1283" s="4" t="str">
        <f>IFERROR(VLOOKUP(parent_children_2[[#This Row],[parent_id]],abbreviation[],3,FALSE),"")</f>
        <v/>
      </c>
      <c r="C1283" s="4" t="str">
        <f>IFERROR(VLOOKUP(parent_children_2[[#This Row],[children_id]],abbreviation[],ColumnLanguage+1,FALSE),"")</f>
        <v/>
      </c>
    </row>
    <row r="1284" spans="1:3" x14ac:dyDescent="0.25">
      <c r="A1284" s="4" t="str">
        <f>IFERROR(parent_children_2[[#This Row],[parent_children_id]],"")</f>
        <v/>
      </c>
      <c r="B1284" s="4" t="str">
        <f>IFERROR(VLOOKUP(parent_children_2[[#This Row],[parent_id]],abbreviation[],3,FALSE),"")</f>
        <v/>
      </c>
      <c r="C1284" s="4" t="str">
        <f>IFERROR(VLOOKUP(parent_children_2[[#This Row],[children_id]],abbreviation[],ColumnLanguage+1,FALSE),"")</f>
        <v/>
      </c>
    </row>
    <row r="1285" spans="1:3" x14ac:dyDescent="0.25">
      <c r="A1285" s="4" t="str">
        <f>IFERROR(parent_children_2[[#This Row],[parent_children_id]],"")</f>
        <v/>
      </c>
      <c r="B1285" s="4" t="str">
        <f>IFERROR(VLOOKUP(parent_children_2[[#This Row],[parent_id]],abbreviation[],3,FALSE),"")</f>
        <v/>
      </c>
      <c r="C1285" s="4" t="str">
        <f>IFERROR(VLOOKUP(parent_children_2[[#This Row],[children_id]],abbreviation[],ColumnLanguage+1,FALSE),"")</f>
        <v/>
      </c>
    </row>
    <row r="1286" spans="1:3" x14ac:dyDescent="0.25">
      <c r="A1286" s="4" t="str">
        <f>IFERROR(parent_children_2[[#This Row],[parent_children_id]],"")</f>
        <v/>
      </c>
      <c r="B1286" s="4" t="str">
        <f>IFERROR(VLOOKUP(parent_children_2[[#This Row],[parent_id]],abbreviation[],3,FALSE),"")</f>
        <v/>
      </c>
      <c r="C1286" s="4" t="str">
        <f>IFERROR(VLOOKUP(parent_children_2[[#This Row],[children_id]],abbreviation[],ColumnLanguage+1,FALSE),"")</f>
        <v/>
      </c>
    </row>
    <row r="1287" spans="1:3" x14ac:dyDescent="0.25">
      <c r="A1287" s="4" t="str">
        <f>IFERROR(parent_children_2[[#This Row],[parent_children_id]],"")</f>
        <v/>
      </c>
      <c r="B1287" s="4" t="str">
        <f>IFERROR(VLOOKUP(parent_children_2[[#This Row],[parent_id]],abbreviation[],3,FALSE),"")</f>
        <v/>
      </c>
      <c r="C1287" s="4" t="str">
        <f>IFERROR(VLOOKUP(parent_children_2[[#This Row],[children_id]],abbreviation[],ColumnLanguage+1,FALSE),"")</f>
        <v/>
      </c>
    </row>
    <row r="1288" spans="1:3" x14ac:dyDescent="0.25">
      <c r="A1288" s="4" t="str">
        <f>IFERROR(parent_children_2[[#This Row],[parent_children_id]],"")</f>
        <v/>
      </c>
      <c r="B1288" s="4" t="str">
        <f>IFERROR(VLOOKUP(parent_children_2[[#This Row],[parent_id]],abbreviation[],3,FALSE),"")</f>
        <v/>
      </c>
      <c r="C1288" s="4" t="str">
        <f>IFERROR(VLOOKUP(parent_children_2[[#This Row],[children_id]],abbreviation[],ColumnLanguage+1,FALSE),"")</f>
        <v/>
      </c>
    </row>
    <row r="1289" spans="1:3" x14ac:dyDescent="0.25">
      <c r="A1289" s="4" t="str">
        <f>IFERROR(parent_children_2[[#This Row],[parent_children_id]],"")</f>
        <v/>
      </c>
      <c r="B1289" s="4" t="str">
        <f>IFERROR(VLOOKUP(parent_children_2[[#This Row],[parent_id]],abbreviation[],3,FALSE),"")</f>
        <v/>
      </c>
      <c r="C1289" s="4" t="str">
        <f>IFERROR(VLOOKUP(parent_children_2[[#This Row],[children_id]],abbreviation[],ColumnLanguage+1,FALSE),"")</f>
        <v/>
      </c>
    </row>
    <row r="1290" spans="1:3" x14ac:dyDescent="0.25">
      <c r="A1290" s="4" t="str">
        <f>IFERROR(parent_children_2[[#This Row],[parent_children_id]],"")</f>
        <v/>
      </c>
      <c r="B1290" s="4" t="str">
        <f>IFERROR(VLOOKUP(parent_children_2[[#This Row],[parent_id]],abbreviation[],3,FALSE),"")</f>
        <v/>
      </c>
      <c r="C1290" s="4" t="str">
        <f>IFERROR(VLOOKUP(parent_children_2[[#This Row],[children_id]],abbreviation[],ColumnLanguage+1,FALSE),"")</f>
        <v/>
      </c>
    </row>
    <row r="1291" spans="1:3" x14ac:dyDescent="0.25">
      <c r="A1291" s="4" t="str">
        <f>IFERROR(parent_children_2[[#This Row],[parent_children_id]],"")</f>
        <v/>
      </c>
      <c r="B1291" s="4" t="str">
        <f>IFERROR(VLOOKUP(parent_children_2[[#This Row],[parent_id]],abbreviation[],3,FALSE),"")</f>
        <v/>
      </c>
      <c r="C1291" s="4" t="str">
        <f>IFERROR(VLOOKUP(parent_children_2[[#This Row],[children_id]],abbreviation[],ColumnLanguage+1,FALSE),"")</f>
        <v/>
      </c>
    </row>
    <row r="1292" spans="1:3" x14ac:dyDescent="0.25">
      <c r="A1292" s="4" t="str">
        <f>IFERROR(parent_children_2[[#This Row],[parent_children_id]],"")</f>
        <v/>
      </c>
      <c r="B1292" s="4" t="str">
        <f>IFERROR(VLOOKUP(parent_children_2[[#This Row],[parent_id]],abbreviation[],3,FALSE),"")</f>
        <v/>
      </c>
      <c r="C1292" s="4" t="str">
        <f>IFERROR(VLOOKUP(parent_children_2[[#This Row],[children_id]],abbreviation[],ColumnLanguage+1,FALSE),"")</f>
        <v/>
      </c>
    </row>
    <row r="1293" spans="1:3" x14ac:dyDescent="0.25">
      <c r="A1293" s="4" t="str">
        <f>IFERROR(parent_children_2[[#This Row],[parent_children_id]],"")</f>
        <v/>
      </c>
      <c r="B1293" s="4" t="str">
        <f>IFERROR(VLOOKUP(parent_children_2[[#This Row],[parent_id]],abbreviation[],3,FALSE),"")</f>
        <v/>
      </c>
      <c r="C1293" s="4" t="str">
        <f>IFERROR(VLOOKUP(parent_children_2[[#This Row],[children_id]],abbreviation[],ColumnLanguage+1,FALSE),"")</f>
        <v/>
      </c>
    </row>
    <row r="1294" spans="1:3" x14ac:dyDescent="0.25">
      <c r="A1294" s="4" t="str">
        <f>IFERROR(parent_children_2[[#This Row],[parent_children_id]],"")</f>
        <v/>
      </c>
      <c r="B1294" s="4" t="str">
        <f>IFERROR(VLOOKUP(parent_children_2[[#This Row],[parent_id]],abbreviation[],3,FALSE),"")</f>
        <v/>
      </c>
      <c r="C1294" s="4" t="str">
        <f>IFERROR(VLOOKUP(parent_children_2[[#This Row],[children_id]],abbreviation[],ColumnLanguage+1,FALSE),"")</f>
        <v/>
      </c>
    </row>
    <row r="1295" spans="1:3" x14ac:dyDescent="0.25">
      <c r="A1295" s="4" t="str">
        <f>IFERROR(parent_children_2[[#This Row],[parent_children_id]],"")</f>
        <v/>
      </c>
      <c r="B1295" s="4" t="str">
        <f>IFERROR(VLOOKUP(parent_children_2[[#This Row],[parent_id]],abbreviation[],3,FALSE),"")</f>
        <v/>
      </c>
      <c r="C1295" s="4" t="str">
        <f>IFERROR(VLOOKUP(parent_children_2[[#This Row],[children_id]],abbreviation[],ColumnLanguage+1,FALSE),"")</f>
        <v/>
      </c>
    </row>
    <row r="1296" spans="1:3" x14ac:dyDescent="0.25">
      <c r="A1296" s="4" t="str">
        <f>IFERROR(parent_children_2[[#This Row],[parent_children_id]],"")</f>
        <v/>
      </c>
      <c r="B1296" s="4" t="str">
        <f>IFERROR(VLOOKUP(parent_children_2[[#This Row],[parent_id]],abbreviation[],3,FALSE),"")</f>
        <v/>
      </c>
      <c r="C1296" s="4" t="str">
        <f>IFERROR(VLOOKUP(parent_children_2[[#This Row],[children_id]],abbreviation[],ColumnLanguage+1,FALSE),"")</f>
        <v/>
      </c>
    </row>
    <row r="1297" spans="1:3" x14ac:dyDescent="0.25">
      <c r="A1297" s="4" t="str">
        <f>IFERROR(parent_children_2[[#This Row],[parent_children_id]],"")</f>
        <v/>
      </c>
      <c r="B1297" s="4" t="str">
        <f>IFERROR(VLOOKUP(parent_children_2[[#This Row],[parent_id]],abbreviation[],3,FALSE),"")</f>
        <v/>
      </c>
      <c r="C1297" s="4" t="str">
        <f>IFERROR(VLOOKUP(parent_children_2[[#This Row],[children_id]],abbreviation[],ColumnLanguage+1,FALSE),"")</f>
        <v/>
      </c>
    </row>
    <row r="1298" spans="1:3" x14ac:dyDescent="0.25">
      <c r="A1298" s="4" t="str">
        <f>IFERROR(parent_children_2[[#This Row],[parent_children_id]],"")</f>
        <v/>
      </c>
      <c r="B1298" s="4" t="str">
        <f>IFERROR(VLOOKUP(parent_children_2[[#This Row],[parent_id]],abbreviation[],3,FALSE),"")</f>
        <v/>
      </c>
      <c r="C1298" s="4" t="str">
        <f>IFERROR(VLOOKUP(parent_children_2[[#This Row],[children_id]],abbreviation[],ColumnLanguage+1,FALSE),"")</f>
        <v/>
      </c>
    </row>
    <row r="1299" spans="1:3" x14ac:dyDescent="0.25">
      <c r="A1299" s="4" t="str">
        <f>IFERROR(parent_children_2[[#This Row],[parent_children_id]],"")</f>
        <v/>
      </c>
      <c r="B1299" s="4" t="str">
        <f>IFERROR(VLOOKUP(parent_children_2[[#This Row],[parent_id]],abbreviation[],3,FALSE),"")</f>
        <v/>
      </c>
      <c r="C1299" s="4" t="str">
        <f>IFERROR(VLOOKUP(parent_children_2[[#This Row],[children_id]],abbreviation[],ColumnLanguage+1,FALSE),"")</f>
        <v/>
      </c>
    </row>
    <row r="1300" spans="1:3" x14ac:dyDescent="0.25">
      <c r="A1300" s="4" t="str">
        <f>IFERROR(parent_children_2[[#This Row],[parent_children_id]],"")</f>
        <v/>
      </c>
      <c r="B1300" s="4" t="str">
        <f>IFERROR(VLOOKUP(parent_children_2[[#This Row],[parent_id]],abbreviation[],3,FALSE),"")</f>
        <v/>
      </c>
      <c r="C1300" s="4" t="str">
        <f>IFERROR(VLOOKUP(parent_children_2[[#This Row],[children_id]],abbreviation[],ColumnLanguage+1,FALSE),"")</f>
        <v/>
      </c>
    </row>
    <row r="1301" spans="1:3" x14ac:dyDescent="0.25">
      <c r="A1301" s="4" t="str">
        <f>IFERROR(parent_children_2[[#This Row],[parent_children_id]],"")</f>
        <v/>
      </c>
      <c r="B1301" s="4" t="str">
        <f>IFERROR(VLOOKUP(parent_children_2[[#This Row],[parent_id]],abbreviation[],3,FALSE),"")</f>
        <v/>
      </c>
      <c r="C1301" s="4" t="str">
        <f>IFERROR(VLOOKUP(parent_children_2[[#This Row],[children_id]],abbreviation[],ColumnLanguage+1,FALSE),"")</f>
        <v/>
      </c>
    </row>
    <row r="1302" spans="1:3" x14ac:dyDescent="0.25">
      <c r="A1302" s="4" t="str">
        <f>IFERROR(parent_children_2[[#This Row],[parent_children_id]],"")</f>
        <v/>
      </c>
      <c r="B1302" s="4" t="str">
        <f>IFERROR(VLOOKUP(parent_children_2[[#This Row],[parent_id]],abbreviation[],3,FALSE),"")</f>
        <v/>
      </c>
      <c r="C1302" s="4" t="str">
        <f>IFERROR(VLOOKUP(parent_children_2[[#This Row],[children_id]],abbreviation[],ColumnLanguage+1,FALSE),"")</f>
        <v/>
      </c>
    </row>
    <row r="1303" spans="1:3" x14ac:dyDescent="0.25">
      <c r="A1303" s="4" t="str">
        <f>IFERROR(parent_children_2[[#This Row],[parent_children_id]],"")</f>
        <v/>
      </c>
      <c r="B1303" s="4" t="str">
        <f>IFERROR(VLOOKUP(parent_children_2[[#This Row],[parent_id]],abbreviation[],3,FALSE),"")</f>
        <v/>
      </c>
      <c r="C1303" s="4" t="str">
        <f>IFERROR(VLOOKUP(parent_children_2[[#This Row],[children_id]],abbreviation[],ColumnLanguage+1,FALSE),"")</f>
        <v/>
      </c>
    </row>
    <row r="1304" spans="1:3" x14ac:dyDescent="0.25">
      <c r="A1304" s="4" t="str">
        <f>IFERROR(parent_children_2[[#This Row],[parent_children_id]],"")</f>
        <v/>
      </c>
      <c r="B1304" s="4" t="str">
        <f>IFERROR(VLOOKUP(parent_children_2[[#This Row],[parent_id]],abbreviation[],3,FALSE),"")</f>
        <v/>
      </c>
      <c r="C1304" s="4" t="str">
        <f>IFERROR(VLOOKUP(parent_children_2[[#This Row],[children_id]],abbreviation[],ColumnLanguage+1,FALSE),"")</f>
        <v/>
      </c>
    </row>
    <row r="1305" spans="1:3" x14ac:dyDescent="0.25">
      <c r="A1305" s="4" t="str">
        <f>IFERROR(parent_children_2[[#This Row],[parent_children_id]],"")</f>
        <v/>
      </c>
      <c r="B1305" s="4" t="str">
        <f>IFERROR(VLOOKUP(parent_children_2[[#This Row],[parent_id]],abbreviation[],3,FALSE),"")</f>
        <v/>
      </c>
      <c r="C1305" s="4" t="str">
        <f>IFERROR(VLOOKUP(parent_children_2[[#This Row],[children_id]],abbreviation[],ColumnLanguage+1,FALSE),"")</f>
        <v/>
      </c>
    </row>
    <row r="1306" spans="1:3" x14ac:dyDescent="0.25">
      <c r="A1306" s="4" t="str">
        <f>IFERROR(parent_children_2[[#This Row],[parent_children_id]],"")</f>
        <v/>
      </c>
      <c r="B1306" s="4" t="str">
        <f>IFERROR(VLOOKUP(parent_children_2[[#This Row],[parent_id]],abbreviation[],3,FALSE),"")</f>
        <v/>
      </c>
      <c r="C1306" s="4" t="str">
        <f>IFERROR(VLOOKUP(parent_children_2[[#This Row],[children_id]],abbreviation[],ColumnLanguage+1,FALSE),"")</f>
        <v/>
      </c>
    </row>
    <row r="1307" spans="1:3" x14ac:dyDescent="0.25">
      <c r="A1307" s="4" t="str">
        <f>IFERROR(parent_children_2[[#This Row],[parent_children_id]],"")</f>
        <v/>
      </c>
      <c r="B1307" s="4" t="str">
        <f>IFERROR(VLOOKUP(parent_children_2[[#This Row],[parent_id]],abbreviation[],3,FALSE),"")</f>
        <v/>
      </c>
      <c r="C1307" s="4" t="str">
        <f>IFERROR(VLOOKUP(parent_children_2[[#This Row],[children_id]],abbreviation[],ColumnLanguage+1,FALSE),"")</f>
        <v/>
      </c>
    </row>
    <row r="1308" spans="1:3" x14ac:dyDescent="0.25">
      <c r="A1308" s="4" t="str">
        <f>IFERROR(parent_children_2[[#This Row],[parent_children_id]],"")</f>
        <v/>
      </c>
      <c r="B1308" s="4" t="str">
        <f>IFERROR(VLOOKUP(parent_children_2[[#This Row],[parent_id]],abbreviation[],3,FALSE),"")</f>
        <v/>
      </c>
      <c r="C1308" s="4" t="str">
        <f>IFERROR(VLOOKUP(parent_children_2[[#This Row],[children_id]],abbreviation[],ColumnLanguage+1,FALSE),"")</f>
        <v/>
      </c>
    </row>
    <row r="1309" spans="1:3" x14ac:dyDescent="0.25">
      <c r="A1309" s="4" t="str">
        <f>IFERROR(parent_children_2[[#This Row],[parent_children_id]],"")</f>
        <v/>
      </c>
      <c r="B1309" s="4" t="str">
        <f>IFERROR(VLOOKUP(parent_children_2[[#This Row],[parent_id]],abbreviation[],3,FALSE),"")</f>
        <v/>
      </c>
      <c r="C1309" s="4" t="str">
        <f>IFERROR(VLOOKUP(parent_children_2[[#This Row],[children_id]],abbreviation[],ColumnLanguage+1,FALSE),"")</f>
        <v/>
      </c>
    </row>
    <row r="1310" spans="1:3" x14ac:dyDescent="0.25">
      <c r="A1310" s="4" t="str">
        <f>IFERROR(parent_children_2[[#This Row],[parent_children_id]],"")</f>
        <v/>
      </c>
      <c r="B1310" s="4" t="str">
        <f>IFERROR(VLOOKUP(parent_children_2[[#This Row],[parent_id]],abbreviation[],3,FALSE),"")</f>
        <v/>
      </c>
      <c r="C1310" s="4" t="str">
        <f>IFERROR(VLOOKUP(parent_children_2[[#This Row],[children_id]],abbreviation[],ColumnLanguage+1,FALSE),"")</f>
        <v/>
      </c>
    </row>
    <row r="1311" spans="1:3" x14ac:dyDescent="0.25">
      <c r="A1311" s="4" t="str">
        <f>IFERROR(parent_children_2[[#This Row],[parent_children_id]],"")</f>
        <v/>
      </c>
      <c r="B1311" s="4" t="str">
        <f>IFERROR(VLOOKUP(parent_children_2[[#This Row],[parent_id]],abbreviation[],3,FALSE),"")</f>
        <v/>
      </c>
      <c r="C1311" s="4" t="str">
        <f>IFERROR(VLOOKUP(parent_children_2[[#This Row],[children_id]],abbreviation[],ColumnLanguage+1,FALSE),"")</f>
        <v/>
      </c>
    </row>
    <row r="1312" spans="1:3" x14ac:dyDescent="0.25">
      <c r="A1312" s="4" t="str">
        <f>IFERROR(parent_children_2[[#This Row],[parent_children_id]],"")</f>
        <v/>
      </c>
      <c r="B1312" s="4" t="str">
        <f>IFERROR(VLOOKUP(parent_children_2[[#This Row],[parent_id]],abbreviation[],3,FALSE),"")</f>
        <v/>
      </c>
      <c r="C1312" s="4" t="str">
        <f>IFERROR(VLOOKUP(parent_children_2[[#This Row],[children_id]],abbreviation[],ColumnLanguage+1,FALSE),"")</f>
        <v/>
      </c>
    </row>
    <row r="1313" spans="1:3" x14ac:dyDescent="0.25">
      <c r="A1313" s="4" t="str">
        <f>IFERROR(parent_children_2[[#This Row],[parent_children_id]],"")</f>
        <v/>
      </c>
      <c r="B1313" s="4" t="str">
        <f>IFERROR(VLOOKUP(parent_children_2[[#This Row],[parent_id]],abbreviation[],3,FALSE),"")</f>
        <v/>
      </c>
      <c r="C1313" s="4" t="str">
        <f>IFERROR(VLOOKUP(parent_children_2[[#This Row],[children_id]],abbreviation[],ColumnLanguage+1,FALSE),"")</f>
        <v/>
      </c>
    </row>
    <row r="1314" spans="1:3" x14ac:dyDescent="0.25">
      <c r="A1314" s="4" t="str">
        <f>IFERROR(parent_children_2[[#This Row],[parent_children_id]],"")</f>
        <v/>
      </c>
      <c r="B1314" s="4" t="str">
        <f>IFERROR(VLOOKUP(parent_children_2[[#This Row],[parent_id]],abbreviation[],3,FALSE),"")</f>
        <v/>
      </c>
      <c r="C1314" s="4" t="str">
        <f>IFERROR(VLOOKUP(parent_children_2[[#This Row],[children_id]],abbreviation[],ColumnLanguage+1,FALSE),"")</f>
        <v/>
      </c>
    </row>
    <row r="1315" spans="1:3" x14ac:dyDescent="0.25">
      <c r="A1315" s="4" t="str">
        <f>IFERROR(parent_children_2[[#This Row],[parent_children_id]],"")</f>
        <v/>
      </c>
      <c r="B1315" s="4" t="str">
        <f>IFERROR(VLOOKUP(parent_children_2[[#This Row],[parent_id]],abbreviation[],3,FALSE),"")</f>
        <v/>
      </c>
      <c r="C1315" s="4" t="str">
        <f>IFERROR(VLOOKUP(parent_children_2[[#This Row],[children_id]],abbreviation[],ColumnLanguage+1,FALSE),"")</f>
        <v/>
      </c>
    </row>
    <row r="1316" spans="1:3" x14ac:dyDescent="0.25">
      <c r="A1316" s="4" t="str">
        <f>IFERROR(parent_children_2[[#This Row],[parent_children_id]],"")</f>
        <v/>
      </c>
      <c r="B1316" s="4" t="str">
        <f>IFERROR(VLOOKUP(parent_children_2[[#This Row],[parent_id]],abbreviation[],3,FALSE),"")</f>
        <v/>
      </c>
      <c r="C1316" s="4" t="str">
        <f>IFERROR(VLOOKUP(parent_children_2[[#This Row],[children_id]],abbreviation[],ColumnLanguage+1,FALSE),"")</f>
        <v/>
      </c>
    </row>
    <row r="1317" spans="1:3" x14ac:dyDescent="0.25">
      <c r="A1317" s="4" t="str">
        <f>IFERROR(parent_children_2[[#This Row],[parent_children_id]],"")</f>
        <v/>
      </c>
      <c r="B1317" s="4" t="str">
        <f>IFERROR(VLOOKUP(parent_children_2[[#This Row],[parent_id]],abbreviation[],3,FALSE),"")</f>
        <v/>
      </c>
      <c r="C1317" s="4" t="str">
        <f>IFERROR(VLOOKUP(parent_children_2[[#This Row],[children_id]],abbreviation[],ColumnLanguage+1,FALSE),"")</f>
        <v/>
      </c>
    </row>
    <row r="1318" spans="1:3" x14ac:dyDescent="0.25">
      <c r="A1318" s="4" t="str">
        <f>IFERROR(parent_children_2[[#This Row],[parent_children_id]],"")</f>
        <v/>
      </c>
      <c r="B1318" s="4" t="str">
        <f>IFERROR(VLOOKUP(parent_children_2[[#This Row],[parent_id]],abbreviation[],3,FALSE),"")</f>
        <v/>
      </c>
      <c r="C1318" s="4" t="str">
        <f>IFERROR(VLOOKUP(parent_children_2[[#This Row],[children_id]],abbreviation[],ColumnLanguage+1,FALSE),"")</f>
        <v/>
      </c>
    </row>
    <row r="1319" spans="1:3" x14ac:dyDescent="0.25">
      <c r="A1319" s="4" t="str">
        <f>IFERROR(parent_children_2[[#This Row],[parent_children_id]],"")</f>
        <v/>
      </c>
      <c r="B1319" s="4" t="str">
        <f>IFERROR(VLOOKUP(parent_children_2[[#This Row],[parent_id]],abbreviation[],3,FALSE),"")</f>
        <v/>
      </c>
      <c r="C1319" s="4" t="str">
        <f>IFERROR(VLOOKUP(parent_children_2[[#This Row],[children_id]],abbreviation[],ColumnLanguage+1,FALSE),"")</f>
        <v/>
      </c>
    </row>
    <row r="1320" spans="1:3" x14ac:dyDescent="0.25">
      <c r="A1320" s="4" t="str">
        <f>IFERROR(parent_children_2[[#This Row],[parent_children_id]],"")</f>
        <v/>
      </c>
      <c r="B1320" s="4" t="str">
        <f>IFERROR(VLOOKUP(parent_children_2[[#This Row],[parent_id]],abbreviation[],3,FALSE),"")</f>
        <v/>
      </c>
      <c r="C1320" s="4" t="str">
        <f>IFERROR(VLOOKUP(parent_children_2[[#This Row],[children_id]],abbreviation[],ColumnLanguage+1,FALSE),"")</f>
        <v/>
      </c>
    </row>
    <row r="1321" spans="1:3" x14ac:dyDescent="0.25">
      <c r="A1321" s="4" t="str">
        <f>IFERROR(parent_children_2[[#This Row],[parent_children_id]],"")</f>
        <v/>
      </c>
      <c r="B1321" s="4" t="str">
        <f>IFERROR(VLOOKUP(parent_children_2[[#This Row],[parent_id]],abbreviation[],3,FALSE),"")</f>
        <v/>
      </c>
      <c r="C1321" s="4" t="str">
        <f>IFERROR(VLOOKUP(parent_children_2[[#This Row],[children_id]],abbreviation[],ColumnLanguage+1,FALSE),"")</f>
        <v/>
      </c>
    </row>
    <row r="1322" spans="1:3" x14ac:dyDescent="0.25">
      <c r="A1322" s="4" t="str">
        <f>IFERROR(parent_children_2[[#This Row],[parent_children_id]],"")</f>
        <v/>
      </c>
      <c r="B1322" s="4" t="str">
        <f>IFERROR(VLOOKUP(parent_children_2[[#This Row],[parent_id]],abbreviation[],3,FALSE),"")</f>
        <v/>
      </c>
      <c r="C1322" s="4" t="str">
        <f>IFERROR(VLOOKUP(parent_children_2[[#This Row],[children_id]],abbreviation[],ColumnLanguage+1,FALSE),"")</f>
        <v/>
      </c>
    </row>
    <row r="1323" spans="1:3" x14ac:dyDescent="0.25">
      <c r="A1323" s="4" t="str">
        <f>IFERROR(parent_children_2[[#This Row],[parent_children_id]],"")</f>
        <v/>
      </c>
      <c r="B1323" s="4" t="str">
        <f>IFERROR(VLOOKUP(parent_children_2[[#This Row],[parent_id]],abbreviation[],3,FALSE),"")</f>
        <v/>
      </c>
      <c r="C1323" s="4" t="str">
        <f>IFERROR(VLOOKUP(parent_children_2[[#This Row],[children_id]],abbreviation[],ColumnLanguage+1,FALSE),"")</f>
        <v/>
      </c>
    </row>
    <row r="1324" spans="1:3" x14ac:dyDescent="0.25">
      <c r="A1324" s="4" t="str">
        <f>IFERROR(parent_children_2[[#This Row],[parent_children_id]],"")</f>
        <v/>
      </c>
      <c r="B1324" s="4" t="str">
        <f>IFERROR(VLOOKUP(parent_children_2[[#This Row],[parent_id]],abbreviation[],3,FALSE),"")</f>
        <v/>
      </c>
      <c r="C1324" s="4" t="str">
        <f>IFERROR(VLOOKUP(parent_children_2[[#This Row],[children_id]],abbreviation[],ColumnLanguage+1,FALSE),"")</f>
        <v/>
      </c>
    </row>
    <row r="1325" spans="1:3" x14ac:dyDescent="0.25">
      <c r="A1325" s="4" t="str">
        <f>IFERROR(parent_children_2[[#This Row],[parent_children_id]],"")</f>
        <v/>
      </c>
      <c r="B1325" s="4" t="str">
        <f>IFERROR(VLOOKUP(parent_children_2[[#This Row],[parent_id]],abbreviation[],3,FALSE),"")</f>
        <v/>
      </c>
      <c r="C1325" s="4" t="str">
        <f>IFERROR(VLOOKUP(parent_children_2[[#This Row],[children_id]],abbreviation[],ColumnLanguage+1,FALSE),"")</f>
        <v/>
      </c>
    </row>
    <row r="1326" spans="1:3" x14ac:dyDescent="0.25">
      <c r="A1326" s="4" t="str">
        <f>IFERROR(parent_children_2[[#This Row],[parent_children_id]],"")</f>
        <v/>
      </c>
      <c r="B1326" s="4" t="str">
        <f>IFERROR(VLOOKUP(parent_children_2[[#This Row],[parent_id]],abbreviation[],3,FALSE),"")</f>
        <v/>
      </c>
      <c r="C1326" s="4" t="str">
        <f>IFERROR(VLOOKUP(parent_children_2[[#This Row],[children_id]],abbreviation[],ColumnLanguage+1,FALSE),"")</f>
        <v/>
      </c>
    </row>
    <row r="1327" spans="1:3" x14ac:dyDescent="0.25">
      <c r="A1327" s="4" t="str">
        <f>IFERROR(parent_children_2[[#This Row],[parent_children_id]],"")</f>
        <v/>
      </c>
      <c r="B1327" s="4" t="str">
        <f>IFERROR(VLOOKUP(parent_children_2[[#This Row],[parent_id]],abbreviation[],3,FALSE),"")</f>
        <v/>
      </c>
      <c r="C1327" s="4" t="str">
        <f>IFERROR(VLOOKUP(parent_children_2[[#This Row],[children_id]],abbreviation[],ColumnLanguage+1,FALSE),"")</f>
        <v/>
      </c>
    </row>
    <row r="1328" spans="1:3" x14ac:dyDescent="0.25">
      <c r="A1328" s="4" t="str">
        <f>IFERROR(parent_children_2[[#This Row],[parent_children_id]],"")</f>
        <v/>
      </c>
      <c r="B1328" s="4" t="str">
        <f>IFERROR(VLOOKUP(parent_children_2[[#This Row],[parent_id]],abbreviation[],3,FALSE),"")</f>
        <v/>
      </c>
      <c r="C1328" s="4" t="str">
        <f>IFERROR(VLOOKUP(parent_children_2[[#This Row],[children_id]],abbreviation[],ColumnLanguage+1,FALSE),"")</f>
        <v/>
      </c>
    </row>
    <row r="1329" spans="1:3" x14ac:dyDescent="0.25">
      <c r="A1329" s="4" t="str">
        <f>IFERROR(parent_children_2[[#This Row],[parent_children_id]],"")</f>
        <v/>
      </c>
      <c r="B1329" s="4" t="str">
        <f>IFERROR(VLOOKUP(parent_children_2[[#This Row],[parent_id]],abbreviation[],3,FALSE),"")</f>
        <v/>
      </c>
      <c r="C1329" s="4" t="str">
        <f>IFERROR(VLOOKUP(parent_children_2[[#This Row],[children_id]],abbreviation[],ColumnLanguage+1,FALSE),"")</f>
        <v/>
      </c>
    </row>
    <row r="1330" spans="1:3" x14ac:dyDescent="0.25">
      <c r="A1330" s="4" t="str">
        <f>IFERROR(parent_children_2[[#This Row],[parent_children_id]],"")</f>
        <v/>
      </c>
      <c r="B1330" s="4" t="str">
        <f>IFERROR(VLOOKUP(parent_children_2[[#This Row],[parent_id]],abbreviation[],3,FALSE),"")</f>
        <v/>
      </c>
      <c r="C1330" s="4" t="str">
        <f>IFERROR(VLOOKUP(parent_children_2[[#This Row],[children_id]],abbreviation[],ColumnLanguage+1,FALSE),"")</f>
        <v/>
      </c>
    </row>
    <row r="1331" spans="1:3" x14ac:dyDescent="0.25">
      <c r="A1331" s="4" t="str">
        <f>IFERROR(parent_children_2[[#This Row],[parent_children_id]],"")</f>
        <v/>
      </c>
      <c r="B1331" s="4" t="str">
        <f>IFERROR(VLOOKUP(parent_children_2[[#This Row],[parent_id]],abbreviation[],3,FALSE),"")</f>
        <v/>
      </c>
      <c r="C1331" s="4" t="str">
        <f>IFERROR(VLOOKUP(parent_children_2[[#This Row],[children_id]],abbreviation[],ColumnLanguage+1,FALSE),"")</f>
        <v/>
      </c>
    </row>
    <row r="1332" spans="1:3" x14ac:dyDescent="0.25">
      <c r="A1332" s="4" t="str">
        <f>IFERROR(parent_children_2[[#This Row],[parent_children_id]],"")</f>
        <v/>
      </c>
      <c r="B1332" s="4" t="str">
        <f>IFERROR(VLOOKUP(parent_children_2[[#This Row],[parent_id]],abbreviation[],3,FALSE),"")</f>
        <v/>
      </c>
      <c r="C1332" s="4" t="str">
        <f>IFERROR(VLOOKUP(parent_children_2[[#This Row],[children_id]],abbreviation[],ColumnLanguage+1,FALSE),"")</f>
        <v/>
      </c>
    </row>
    <row r="1333" spans="1:3" x14ac:dyDescent="0.25">
      <c r="A1333" s="4" t="str">
        <f>IFERROR(parent_children_2[[#This Row],[parent_children_id]],"")</f>
        <v/>
      </c>
      <c r="B1333" s="4" t="str">
        <f>IFERROR(VLOOKUP(parent_children_2[[#This Row],[parent_id]],abbreviation[],3,FALSE),"")</f>
        <v/>
      </c>
      <c r="C1333" s="4" t="str">
        <f>IFERROR(VLOOKUP(parent_children_2[[#This Row],[children_id]],abbreviation[],ColumnLanguage+1,FALSE),"")</f>
        <v/>
      </c>
    </row>
    <row r="1334" spans="1:3" x14ac:dyDescent="0.25">
      <c r="A1334" s="4" t="str">
        <f>IFERROR(parent_children_2[[#This Row],[parent_children_id]],"")</f>
        <v/>
      </c>
      <c r="B1334" s="4" t="str">
        <f>IFERROR(VLOOKUP(parent_children_2[[#This Row],[parent_id]],abbreviation[],3,FALSE),"")</f>
        <v/>
      </c>
      <c r="C1334" s="4" t="str">
        <f>IFERROR(VLOOKUP(parent_children_2[[#This Row],[children_id]],abbreviation[],ColumnLanguage+1,FALSE),"")</f>
        <v/>
      </c>
    </row>
    <row r="1335" spans="1:3" x14ac:dyDescent="0.25">
      <c r="A1335" s="4" t="str">
        <f>IFERROR(parent_children_2[[#This Row],[parent_children_id]],"")</f>
        <v/>
      </c>
      <c r="B1335" s="4" t="str">
        <f>IFERROR(VLOOKUP(parent_children_2[[#This Row],[parent_id]],abbreviation[],3,FALSE),"")</f>
        <v/>
      </c>
      <c r="C1335" s="4" t="str">
        <f>IFERROR(VLOOKUP(parent_children_2[[#This Row],[children_id]],abbreviation[],ColumnLanguage+1,FALSE),"")</f>
        <v/>
      </c>
    </row>
    <row r="1336" spans="1:3" x14ac:dyDescent="0.25">
      <c r="A1336" s="4" t="str">
        <f>IFERROR(parent_children_2[[#This Row],[parent_children_id]],"")</f>
        <v/>
      </c>
      <c r="B1336" s="4" t="str">
        <f>IFERROR(VLOOKUP(parent_children_2[[#This Row],[parent_id]],abbreviation[],3,FALSE),"")</f>
        <v/>
      </c>
      <c r="C1336" s="4" t="str">
        <f>IFERROR(VLOOKUP(parent_children_2[[#This Row],[children_id]],abbreviation[],ColumnLanguage+1,FALSE),"")</f>
        <v/>
      </c>
    </row>
    <row r="1337" spans="1:3" x14ac:dyDescent="0.25">
      <c r="A1337" s="4" t="str">
        <f>IFERROR(parent_children_2[[#This Row],[parent_children_id]],"")</f>
        <v/>
      </c>
      <c r="B1337" s="4" t="str">
        <f>IFERROR(VLOOKUP(parent_children_2[[#This Row],[parent_id]],abbreviation[],3,FALSE),"")</f>
        <v/>
      </c>
      <c r="C1337" s="4" t="str">
        <f>IFERROR(VLOOKUP(parent_children_2[[#This Row],[children_id]],abbreviation[],ColumnLanguage+1,FALSE),"")</f>
        <v/>
      </c>
    </row>
    <row r="1338" spans="1:3" x14ac:dyDescent="0.25">
      <c r="A1338" s="4" t="str">
        <f>IFERROR(parent_children_2[[#This Row],[parent_children_id]],"")</f>
        <v/>
      </c>
      <c r="B1338" s="4" t="str">
        <f>IFERROR(VLOOKUP(parent_children_2[[#This Row],[parent_id]],abbreviation[],3,FALSE),"")</f>
        <v/>
      </c>
      <c r="C1338" s="4" t="str">
        <f>IFERROR(VLOOKUP(parent_children_2[[#This Row],[children_id]],abbreviation[],ColumnLanguage+1,FALSE),"")</f>
        <v/>
      </c>
    </row>
    <row r="1339" spans="1:3" x14ac:dyDescent="0.25">
      <c r="A1339" s="4" t="str">
        <f>IFERROR(parent_children_2[[#This Row],[parent_children_id]],"")</f>
        <v/>
      </c>
      <c r="B1339" s="4" t="str">
        <f>IFERROR(VLOOKUP(parent_children_2[[#This Row],[parent_id]],abbreviation[],3,FALSE),"")</f>
        <v/>
      </c>
      <c r="C1339" s="4" t="str">
        <f>IFERROR(VLOOKUP(parent_children_2[[#This Row],[children_id]],abbreviation[],ColumnLanguage+1,FALSE),"")</f>
        <v/>
      </c>
    </row>
    <row r="1340" spans="1:3" x14ac:dyDescent="0.25">
      <c r="A1340" s="4" t="str">
        <f>IFERROR(parent_children_2[[#This Row],[parent_children_id]],"")</f>
        <v/>
      </c>
      <c r="B1340" s="4" t="str">
        <f>IFERROR(VLOOKUP(parent_children_2[[#This Row],[parent_id]],abbreviation[],3,FALSE),"")</f>
        <v/>
      </c>
      <c r="C1340" s="4" t="str">
        <f>IFERROR(VLOOKUP(parent_children_2[[#This Row],[children_id]],abbreviation[],ColumnLanguage+1,FALSE),"")</f>
        <v/>
      </c>
    </row>
    <row r="1341" spans="1:3" x14ac:dyDescent="0.25">
      <c r="A1341" s="4" t="str">
        <f>IFERROR(parent_children_2[[#This Row],[parent_children_id]],"")</f>
        <v/>
      </c>
      <c r="B1341" s="4" t="str">
        <f>IFERROR(VLOOKUP(parent_children_2[[#This Row],[parent_id]],abbreviation[],3,FALSE),"")</f>
        <v/>
      </c>
      <c r="C1341" s="4" t="str">
        <f>IFERROR(VLOOKUP(parent_children_2[[#This Row],[children_id]],abbreviation[],ColumnLanguage+1,FALSE),"")</f>
        <v/>
      </c>
    </row>
    <row r="1342" spans="1:3" x14ac:dyDescent="0.25">
      <c r="A1342" s="4" t="str">
        <f>IFERROR(parent_children_2[[#This Row],[parent_children_id]],"")</f>
        <v/>
      </c>
      <c r="B1342" s="4" t="str">
        <f>IFERROR(VLOOKUP(parent_children_2[[#This Row],[parent_id]],abbreviation[],3,FALSE),"")</f>
        <v/>
      </c>
      <c r="C1342" s="4" t="str">
        <f>IFERROR(VLOOKUP(parent_children_2[[#This Row],[children_id]],abbreviation[],ColumnLanguage+1,FALSE),"")</f>
        <v/>
      </c>
    </row>
    <row r="1343" spans="1:3" x14ac:dyDescent="0.25">
      <c r="A1343" s="4" t="str">
        <f>IFERROR(parent_children_2[[#This Row],[parent_children_id]],"")</f>
        <v/>
      </c>
      <c r="B1343" s="4" t="str">
        <f>IFERROR(VLOOKUP(parent_children_2[[#This Row],[parent_id]],abbreviation[],3,FALSE),"")</f>
        <v/>
      </c>
      <c r="C1343" s="4" t="str">
        <f>IFERROR(VLOOKUP(parent_children_2[[#This Row],[children_id]],abbreviation[],ColumnLanguage+1,FALSE),"")</f>
        <v/>
      </c>
    </row>
    <row r="1344" spans="1:3" x14ac:dyDescent="0.25">
      <c r="A1344" s="4" t="str">
        <f>IFERROR(parent_children_2[[#This Row],[parent_children_id]],"")</f>
        <v/>
      </c>
      <c r="B1344" s="4" t="str">
        <f>IFERROR(VLOOKUP(parent_children_2[[#This Row],[parent_id]],abbreviation[],3,FALSE),"")</f>
        <v/>
      </c>
      <c r="C1344" s="4" t="str">
        <f>IFERROR(VLOOKUP(parent_children_2[[#This Row],[children_id]],abbreviation[],ColumnLanguage+1,FALSE),"")</f>
        <v/>
      </c>
    </row>
    <row r="1345" spans="1:3" x14ac:dyDescent="0.25">
      <c r="A1345" s="4" t="str">
        <f>IFERROR(parent_children_2[[#This Row],[parent_children_id]],"")</f>
        <v/>
      </c>
      <c r="B1345" s="4" t="str">
        <f>IFERROR(VLOOKUP(parent_children_2[[#This Row],[parent_id]],abbreviation[],3,FALSE),"")</f>
        <v/>
      </c>
      <c r="C1345" s="4" t="str">
        <f>IFERROR(VLOOKUP(parent_children_2[[#This Row],[children_id]],abbreviation[],ColumnLanguage+1,FALSE),"")</f>
        <v/>
      </c>
    </row>
    <row r="1346" spans="1:3" x14ac:dyDescent="0.25">
      <c r="A1346" s="4" t="str">
        <f>IFERROR(parent_children_2[[#This Row],[parent_children_id]],"")</f>
        <v/>
      </c>
      <c r="B1346" s="4" t="str">
        <f>IFERROR(VLOOKUP(parent_children_2[[#This Row],[parent_id]],abbreviation[],3,FALSE),"")</f>
        <v/>
      </c>
      <c r="C1346" s="4" t="str">
        <f>IFERROR(VLOOKUP(parent_children_2[[#This Row],[children_id]],abbreviation[],ColumnLanguage+1,FALSE),"")</f>
        <v/>
      </c>
    </row>
    <row r="1347" spans="1:3" x14ac:dyDescent="0.25">
      <c r="A1347" s="4" t="str">
        <f>IFERROR(parent_children_2[[#This Row],[parent_children_id]],"")</f>
        <v/>
      </c>
      <c r="B1347" s="4" t="str">
        <f>IFERROR(VLOOKUP(parent_children_2[[#This Row],[parent_id]],abbreviation[],3,FALSE),"")</f>
        <v/>
      </c>
      <c r="C1347" s="4" t="str">
        <f>IFERROR(VLOOKUP(parent_children_2[[#This Row],[children_id]],abbreviation[],ColumnLanguage+1,FALSE),"")</f>
        <v/>
      </c>
    </row>
    <row r="1348" spans="1:3" x14ac:dyDescent="0.25">
      <c r="A1348" s="4" t="str">
        <f>IFERROR(parent_children_2[[#This Row],[parent_children_id]],"")</f>
        <v/>
      </c>
      <c r="B1348" s="4" t="str">
        <f>IFERROR(VLOOKUP(parent_children_2[[#This Row],[parent_id]],abbreviation[],3,FALSE),"")</f>
        <v/>
      </c>
      <c r="C1348" s="4" t="str">
        <f>IFERROR(VLOOKUP(parent_children_2[[#This Row],[children_id]],abbreviation[],ColumnLanguage+1,FALSE),"")</f>
        <v/>
      </c>
    </row>
    <row r="1349" spans="1:3" x14ac:dyDescent="0.25">
      <c r="A1349" s="4" t="str">
        <f>IFERROR(parent_children_2[[#This Row],[parent_children_id]],"")</f>
        <v/>
      </c>
      <c r="B1349" s="4" t="str">
        <f>IFERROR(VLOOKUP(parent_children_2[[#This Row],[parent_id]],abbreviation[],3,FALSE),"")</f>
        <v/>
      </c>
      <c r="C1349" s="4" t="str">
        <f>IFERROR(VLOOKUP(parent_children_2[[#This Row],[children_id]],abbreviation[],ColumnLanguage+1,FALSE),"")</f>
        <v/>
      </c>
    </row>
    <row r="1350" spans="1:3" x14ac:dyDescent="0.25">
      <c r="A1350" s="4" t="str">
        <f>IFERROR(parent_children_2[[#This Row],[parent_children_id]],"")</f>
        <v/>
      </c>
      <c r="B1350" s="4" t="str">
        <f>IFERROR(VLOOKUP(parent_children_2[[#This Row],[parent_id]],abbreviation[],3,FALSE),"")</f>
        <v/>
      </c>
      <c r="C1350" s="4" t="str">
        <f>IFERROR(VLOOKUP(parent_children_2[[#This Row],[children_id]],abbreviation[],ColumnLanguage+1,FALSE),"")</f>
        <v/>
      </c>
    </row>
    <row r="1351" spans="1:3" x14ac:dyDescent="0.25">
      <c r="A1351" s="4" t="str">
        <f>IFERROR(parent_children_2[[#This Row],[parent_children_id]],"")</f>
        <v/>
      </c>
      <c r="B1351" s="4" t="str">
        <f>IFERROR(VLOOKUP(parent_children_2[[#This Row],[parent_id]],abbreviation[],3,FALSE),"")</f>
        <v/>
      </c>
      <c r="C1351" s="4" t="str">
        <f>IFERROR(VLOOKUP(parent_children_2[[#This Row],[children_id]],abbreviation[],ColumnLanguage+1,FALSE),"")</f>
        <v/>
      </c>
    </row>
    <row r="1352" spans="1:3" x14ac:dyDescent="0.25">
      <c r="A1352" s="4" t="str">
        <f>IFERROR(parent_children_2[[#This Row],[parent_children_id]],"")</f>
        <v/>
      </c>
      <c r="B1352" s="4" t="str">
        <f>IFERROR(VLOOKUP(parent_children_2[[#This Row],[parent_id]],abbreviation[],3,FALSE),"")</f>
        <v/>
      </c>
      <c r="C1352" s="4" t="str">
        <f>IFERROR(VLOOKUP(parent_children_2[[#This Row],[children_id]],abbreviation[],ColumnLanguage+1,FALSE),"")</f>
        <v/>
      </c>
    </row>
    <row r="1353" spans="1:3" x14ac:dyDescent="0.25">
      <c r="A1353" s="4" t="str">
        <f>IFERROR(parent_children_2[[#This Row],[parent_children_id]],"")</f>
        <v/>
      </c>
      <c r="B1353" s="4" t="str">
        <f>IFERROR(VLOOKUP(parent_children_2[[#This Row],[parent_id]],abbreviation[],3,FALSE),"")</f>
        <v/>
      </c>
      <c r="C1353" s="4" t="str">
        <f>IFERROR(VLOOKUP(parent_children_2[[#This Row],[children_id]],abbreviation[],ColumnLanguage+1,FALSE),"")</f>
        <v/>
      </c>
    </row>
    <row r="1354" spans="1:3" x14ac:dyDescent="0.25">
      <c r="A1354" s="4" t="str">
        <f>IFERROR(parent_children_2[[#This Row],[parent_children_id]],"")</f>
        <v/>
      </c>
      <c r="B1354" s="4" t="str">
        <f>IFERROR(VLOOKUP(parent_children_2[[#This Row],[parent_id]],abbreviation[],3,FALSE),"")</f>
        <v/>
      </c>
      <c r="C1354" s="4" t="str">
        <f>IFERROR(VLOOKUP(parent_children_2[[#This Row],[children_id]],abbreviation[],ColumnLanguage+1,FALSE),"")</f>
        <v/>
      </c>
    </row>
    <row r="1355" spans="1:3" x14ac:dyDescent="0.25">
      <c r="A1355" s="4" t="str">
        <f>IFERROR(parent_children_2[[#This Row],[parent_children_id]],"")</f>
        <v/>
      </c>
      <c r="B1355" s="4" t="str">
        <f>IFERROR(VLOOKUP(parent_children_2[[#This Row],[parent_id]],abbreviation[],3,FALSE),"")</f>
        <v/>
      </c>
      <c r="C1355" s="4" t="str">
        <f>IFERROR(VLOOKUP(parent_children_2[[#This Row],[children_id]],abbreviation[],ColumnLanguage+1,FALSE),"")</f>
        <v/>
      </c>
    </row>
    <row r="1356" spans="1:3" x14ac:dyDescent="0.25">
      <c r="A1356" s="4" t="str">
        <f>IFERROR(parent_children_2[[#This Row],[parent_children_id]],"")</f>
        <v/>
      </c>
      <c r="B1356" s="4" t="str">
        <f>IFERROR(VLOOKUP(parent_children_2[[#This Row],[parent_id]],abbreviation[],3,FALSE),"")</f>
        <v/>
      </c>
      <c r="C1356" s="4" t="str">
        <f>IFERROR(VLOOKUP(parent_children_2[[#This Row],[children_id]],abbreviation[],ColumnLanguage+1,FALSE),"")</f>
        <v/>
      </c>
    </row>
    <row r="1357" spans="1:3" x14ac:dyDescent="0.25">
      <c r="A1357" s="4" t="str">
        <f>IFERROR(parent_children_2[[#This Row],[parent_children_id]],"")</f>
        <v/>
      </c>
      <c r="B1357" s="4" t="str">
        <f>IFERROR(VLOOKUP(parent_children_2[[#This Row],[parent_id]],abbreviation[],3,FALSE),"")</f>
        <v/>
      </c>
      <c r="C1357" s="4" t="str">
        <f>IFERROR(VLOOKUP(parent_children_2[[#This Row],[children_id]],abbreviation[],ColumnLanguage+1,FALSE),"")</f>
        <v/>
      </c>
    </row>
    <row r="1358" spans="1:3" x14ac:dyDescent="0.25">
      <c r="A1358" s="4" t="str">
        <f>IFERROR(parent_children_2[[#This Row],[parent_children_id]],"")</f>
        <v/>
      </c>
      <c r="B1358" s="4" t="str">
        <f>IFERROR(VLOOKUP(parent_children_2[[#This Row],[parent_id]],abbreviation[],3,FALSE),"")</f>
        <v/>
      </c>
      <c r="C1358" s="4" t="str">
        <f>IFERROR(VLOOKUP(parent_children_2[[#This Row],[children_id]],abbreviation[],ColumnLanguage+1,FALSE),"")</f>
        <v/>
      </c>
    </row>
    <row r="1359" spans="1:3" x14ac:dyDescent="0.25">
      <c r="A1359" s="4" t="str">
        <f>IFERROR(parent_children_2[[#This Row],[parent_children_id]],"")</f>
        <v/>
      </c>
      <c r="B1359" s="4" t="str">
        <f>IFERROR(VLOOKUP(parent_children_2[[#This Row],[parent_id]],abbreviation[],3,FALSE),"")</f>
        <v/>
      </c>
      <c r="C1359" s="4" t="str">
        <f>IFERROR(VLOOKUP(parent_children_2[[#This Row],[children_id]],abbreviation[],ColumnLanguage+1,FALSE),"")</f>
        <v/>
      </c>
    </row>
    <row r="1360" spans="1:3" x14ac:dyDescent="0.25">
      <c r="A1360" s="4" t="str">
        <f>IFERROR(parent_children_2[[#This Row],[parent_children_id]],"")</f>
        <v/>
      </c>
      <c r="B1360" s="4" t="str">
        <f>IFERROR(VLOOKUP(parent_children_2[[#This Row],[parent_id]],abbreviation[],3,FALSE),"")</f>
        <v/>
      </c>
      <c r="C1360" s="4" t="str">
        <f>IFERROR(VLOOKUP(parent_children_2[[#This Row],[children_id]],abbreviation[],ColumnLanguage+1,FALSE),"")</f>
        <v/>
      </c>
    </row>
    <row r="1361" spans="1:3" x14ac:dyDescent="0.25">
      <c r="A1361" s="4" t="str">
        <f>IFERROR(parent_children_2[[#This Row],[parent_children_id]],"")</f>
        <v/>
      </c>
      <c r="B1361" s="4" t="str">
        <f>IFERROR(VLOOKUP(parent_children_2[[#This Row],[parent_id]],abbreviation[],3,FALSE),"")</f>
        <v/>
      </c>
      <c r="C1361" s="4" t="str">
        <f>IFERROR(VLOOKUP(parent_children_2[[#This Row],[children_id]],abbreviation[],ColumnLanguage+1,FALSE),"")</f>
        <v/>
      </c>
    </row>
    <row r="1362" spans="1:3" x14ac:dyDescent="0.25">
      <c r="A1362" s="4" t="str">
        <f>IFERROR(parent_children_2[[#This Row],[parent_children_id]],"")</f>
        <v/>
      </c>
      <c r="B1362" s="4" t="str">
        <f>IFERROR(VLOOKUP(parent_children_2[[#This Row],[parent_id]],abbreviation[],3,FALSE),"")</f>
        <v/>
      </c>
      <c r="C1362" s="4" t="str">
        <f>IFERROR(VLOOKUP(parent_children_2[[#This Row],[children_id]],abbreviation[],ColumnLanguage+1,FALSE),"")</f>
        <v/>
      </c>
    </row>
    <row r="1363" spans="1:3" x14ac:dyDescent="0.25">
      <c r="A1363" s="4" t="str">
        <f>IFERROR(parent_children_2[[#This Row],[parent_children_id]],"")</f>
        <v/>
      </c>
      <c r="B1363" s="4" t="str">
        <f>IFERROR(VLOOKUP(parent_children_2[[#This Row],[parent_id]],abbreviation[],3,FALSE),"")</f>
        <v/>
      </c>
      <c r="C1363" s="4" t="str">
        <f>IFERROR(VLOOKUP(parent_children_2[[#This Row],[children_id]],abbreviation[],ColumnLanguage+1,FALSE),"")</f>
        <v/>
      </c>
    </row>
    <row r="1364" spans="1:3" x14ac:dyDescent="0.25">
      <c r="A1364" s="4" t="str">
        <f>IFERROR(parent_children_2[[#This Row],[parent_children_id]],"")</f>
        <v/>
      </c>
      <c r="B1364" s="4" t="str">
        <f>IFERROR(VLOOKUP(parent_children_2[[#This Row],[parent_id]],abbreviation[],3,FALSE),"")</f>
        <v/>
      </c>
      <c r="C1364" s="4" t="str">
        <f>IFERROR(VLOOKUP(parent_children_2[[#This Row],[children_id]],abbreviation[],ColumnLanguage+1,FALSE),"")</f>
        <v/>
      </c>
    </row>
    <row r="1365" spans="1:3" x14ac:dyDescent="0.25">
      <c r="A1365" s="4" t="str">
        <f>IFERROR(parent_children_2[[#This Row],[parent_children_id]],"")</f>
        <v/>
      </c>
      <c r="B1365" s="4" t="str">
        <f>IFERROR(VLOOKUP(parent_children_2[[#This Row],[parent_id]],abbreviation[],3,FALSE),"")</f>
        <v/>
      </c>
      <c r="C1365" s="4" t="str">
        <f>IFERROR(VLOOKUP(parent_children_2[[#This Row],[children_id]],abbreviation[],ColumnLanguage+1,FALSE),"")</f>
        <v/>
      </c>
    </row>
    <row r="1366" spans="1:3" x14ac:dyDescent="0.25">
      <c r="A1366" s="4" t="str">
        <f>IFERROR(parent_children_2[[#This Row],[parent_children_id]],"")</f>
        <v/>
      </c>
      <c r="B1366" s="4" t="str">
        <f>IFERROR(VLOOKUP(parent_children_2[[#This Row],[parent_id]],abbreviation[],3,FALSE),"")</f>
        <v/>
      </c>
      <c r="C1366" s="4" t="str">
        <f>IFERROR(VLOOKUP(parent_children_2[[#This Row],[children_id]],abbreviation[],ColumnLanguage+1,FALSE),"")</f>
        <v/>
      </c>
    </row>
    <row r="1367" spans="1:3" x14ac:dyDescent="0.25">
      <c r="A1367" s="4" t="str">
        <f>IFERROR(parent_children_2[[#This Row],[parent_children_id]],"")</f>
        <v/>
      </c>
      <c r="B1367" s="4" t="str">
        <f>IFERROR(VLOOKUP(parent_children_2[[#This Row],[parent_id]],abbreviation[],3,FALSE),"")</f>
        <v/>
      </c>
      <c r="C1367" s="4" t="str">
        <f>IFERROR(VLOOKUP(parent_children_2[[#This Row],[children_id]],abbreviation[],ColumnLanguage+1,FALSE),"")</f>
        <v/>
      </c>
    </row>
    <row r="1368" spans="1:3" x14ac:dyDescent="0.25">
      <c r="A1368" s="4" t="str">
        <f>IFERROR(parent_children_2[[#This Row],[parent_children_id]],"")</f>
        <v/>
      </c>
      <c r="B1368" s="4" t="str">
        <f>IFERROR(VLOOKUP(parent_children_2[[#This Row],[parent_id]],abbreviation[],3,FALSE),"")</f>
        <v/>
      </c>
      <c r="C1368" s="4" t="str">
        <f>IFERROR(VLOOKUP(parent_children_2[[#This Row],[children_id]],abbreviation[],ColumnLanguage+1,FALSE),"")</f>
        <v/>
      </c>
    </row>
    <row r="1369" spans="1:3" x14ac:dyDescent="0.25">
      <c r="A1369" s="4" t="str">
        <f>IFERROR(parent_children_2[[#This Row],[parent_children_id]],"")</f>
        <v/>
      </c>
      <c r="B1369" s="4" t="str">
        <f>IFERROR(VLOOKUP(parent_children_2[[#This Row],[parent_id]],abbreviation[],3,FALSE),"")</f>
        <v/>
      </c>
      <c r="C1369" s="4" t="str">
        <f>IFERROR(VLOOKUP(parent_children_2[[#This Row],[children_id]],abbreviation[],ColumnLanguage+1,FALSE),"")</f>
        <v/>
      </c>
    </row>
    <row r="1370" spans="1:3" x14ac:dyDescent="0.25">
      <c r="A1370" s="4" t="str">
        <f>IFERROR(parent_children_2[[#This Row],[parent_children_id]],"")</f>
        <v/>
      </c>
      <c r="B1370" s="4" t="str">
        <f>IFERROR(VLOOKUP(parent_children_2[[#This Row],[parent_id]],abbreviation[],3,FALSE),"")</f>
        <v/>
      </c>
      <c r="C1370" s="4" t="str">
        <f>IFERROR(VLOOKUP(parent_children_2[[#This Row],[children_id]],abbreviation[],ColumnLanguage+1,FALSE),"")</f>
        <v/>
      </c>
    </row>
    <row r="1371" spans="1:3" x14ac:dyDescent="0.25">
      <c r="A1371" s="4" t="str">
        <f>IFERROR(parent_children_2[[#This Row],[parent_children_id]],"")</f>
        <v/>
      </c>
      <c r="B1371" s="4" t="str">
        <f>IFERROR(VLOOKUP(parent_children_2[[#This Row],[parent_id]],abbreviation[],3,FALSE),"")</f>
        <v/>
      </c>
      <c r="C1371" s="4" t="str">
        <f>IFERROR(VLOOKUP(parent_children_2[[#This Row],[children_id]],abbreviation[],ColumnLanguage+1,FALSE),"")</f>
        <v/>
      </c>
    </row>
    <row r="1372" spans="1:3" x14ac:dyDescent="0.25">
      <c r="A1372" s="4" t="str">
        <f>IFERROR(parent_children_2[[#This Row],[parent_children_id]],"")</f>
        <v/>
      </c>
      <c r="B1372" s="4" t="str">
        <f>IFERROR(VLOOKUP(parent_children_2[[#This Row],[parent_id]],abbreviation[],3,FALSE),"")</f>
        <v/>
      </c>
      <c r="C1372" s="4" t="str">
        <f>IFERROR(VLOOKUP(parent_children_2[[#This Row],[children_id]],abbreviation[],ColumnLanguage+1,FALSE),"")</f>
        <v/>
      </c>
    </row>
    <row r="1373" spans="1:3" x14ac:dyDescent="0.25">
      <c r="A1373" s="4" t="str">
        <f>IFERROR(parent_children_2[[#This Row],[parent_children_id]],"")</f>
        <v/>
      </c>
      <c r="B1373" s="4" t="str">
        <f>IFERROR(VLOOKUP(parent_children_2[[#This Row],[parent_id]],abbreviation[],3,FALSE),"")</f>
        <v/>
      </c>
      <c r="C1373" s="4" t="str">
        <f>IFERROR(VLOOKUP(parent_children_2[[#This Row],[children_id]],abbreviation[],ColumnLanguage+1,FALSE),"")</f>
        <v/>
      </c>
    </row>
    <row r="1374" spans="1:3" x14ac:dyDescent="0.25">
      <c r="A1374" s="4" t="str">
        <f>IFERROR(parent_children_2[[#This Row],[parent_children_id]],"")</f>
        <v/>
      </c>
      <c r="B1374" s="4" t="str">
        <f>IFERROR(VLOOKUP(parent_children_2[[#This Row],[parent_id]],abbreviation[],3,FALSE),"")</f>
        <v/>
      </c>
      <c r="C1374" s="4" t="str">
        <f>IFERROR(VLOOKUP(parent_children_2[[#This Row],[children_id]],abbreviation[],ColumnLanguage+1,FALSE),"")</f>
        <v/>
      </c>
    </row>
    <row r="1375" spans="1:3" x14ac:dyDescent="0.25">
      <c r="A1375" s="4" t="str">
        <f>IFERROR(parent_children_2[[#This Row],[parent_children_id]],"")</f>
        <v/>
      </c>
      <c r="B1375" s="4" t="str">
        <f>IFERROR(VLOOKUP(parent_children_2[[#This Row],[parent_id]],abbreviation[],3,FALSE),"")</f>
        <v/>
      </c>
      <c r="C1375" s="4" t="str">
        <f>IFERROR(VLOOKUP(parent_children_2[[#This Row],[children_id]],abbreviation[],ColumnLanguage+1,FALSE),"")</f>
        <v/>
      </c>
    </row>
    <row r="1376" spans="1:3" x14ac:dyDescent="0.25">
      <c r="A1376" s="4" t="str">
        <f>IFERROR(parent_children_2[[#This Row],[parent_children_id]],"")</f>
        <v/>
      </c>
      <c r="B1376" s="4" t="str">
        <f>IFERROR(VLOOKUP(parent_children_2[[#This Row],[parent_id]],abbreviation[],3,FALSE),"")</f>
        <v/>
      </c>
      <c r="C1376" s="4" t="str">
        <f>IFERROR(VLOOKUP(parent_children_2[[#This Row],[children_id]],abbreviation[],ColumnLanguage+1,FALSE),"")</f>
        <v/>
      </c>
    </row>
    <row r="1377" spans="1:3" x14ac:dyDescent="0.25">
      <c r="A1377" s="4" t="str">
        <f>IFERROR(parent_children_2[[#This Row],[parent_children_id]],"")</f>
        <v/>
      </c>
      <c r="B1377" s="4" t="str">
        <f>IFERROR(VLOOKUP(parent_children_2[[#This Row],[parent_id]],abbreviation[],3,FALSE),"")</f>
        <v/>
      </c>
      <c r="C1377" s="4" t="str">
        <f>IFERROR(VLOOKUP(parent_children_2[[#This Row],[children_id]],abbreviation[],ColumnLanguage+1,FALSE),"")</f>
        <v/>
      </c>
    </row>
    <row r="1378" spans="1:3" x14ac:dyDescent="0.25">
      <c r="A1378" s="4" t="str">
        <f>IFERROR(parent_children_2[[#This Row],[parent_children_id]],"")</f>
        <v/>
      </c>
      <c r="B1378" s="4" t="str">
        <f>IFERROR(VLOOKUP(parent_children_2[[#This Row],[parent_id]],abbreviation[],3,FALSE),"")</f>
        <v/>
      </c>
      <c r="C1378" s="4" t="str">
        <f>IFERROR(VLOOKUP(parent_children_2[[#This Row],[children_id]],abbreviation[],ColumnLanguage+1,FALSE),"")</f>
        <v/>
      </c>
    </row>
    <row r="1379" spans="1:3" x14ac:dyDescent="0.25">
      <c r="A1379" s="4" t="str">
        <f>IFERROR(parent_children_2[[#This Row],[parent_children_id]],"")</f>
        <v/>
      </c>
      <c r="B1379" s="4" t="str">
        <f>IFERROR(VLOOKUP(parent_children_2[[#This Row],[parent_id]],abbreviation[],3,FALSE),"")</f>
        <v/>
      </c>
      <c r="C1379" s="4" t="str">
        <f>IFERROR(VLOOKUP(parent_children_2[[#This Row],[children_id]],abbreviation[],ColumnLanguage+1,FALSE),"")</f>
        <v/>
      </c>
    </row>
    <row r="1380" spans="1:3" x14ac:dyDescent="0.25">
      <c r="A1380" s="4" t="str">
        <f>IFERROR(parent_children_2[[#This Row],[parent_children_id]],"")</f>
        <v/>
      </c>
      <c r="B1380" s="4" t="str">
        <f>IFERROR(VLOOKUP(parent_children_2[[#This Row],[parent_id]],abbreviation[],3,FALSE),"")</f>
        <v/>
      </c>
      <c r="C1380" s="4" t="str">
        <f>IFERROR(VLOOKUP(parent_children_2[[#This Row],[children_id]],abbreviation[],ColumnLanguage+1,FALSE),"")</f>
        <v/>
      </c>
    </row>
    <row r="1381" spans="1:3" x14ac:dyDescent="0.25">
      <c r="A1381" s="4" t="str">
        <f>IFERROR(parent_children_2[[#This Row],[parent_children_id]],"")</f>
        <v/>
      </c>
      <c r="B1381" s="4" t="str">
        <f>IFERROR(VLOOKUP(parent_children_2[[#This Row],[parent_id]],abbreviation[],3,FALSE),"")</f>
        <v/>
      </c>
      <c r="C1381" s="4" t="str">
        <f>IFERROR(VLOOKUP(parent_children_2[[#This Row],[children_id]],abbreviation[],ColumnLanguage+1,FALSE),"")</f>
        <v/>
      </c>
    </row>
    <row r="1382" spans="1:3" x14ac:dyDescent="0.25">
      <c r="A1382" s="4" t="str">
        <f>IFERROR(parent_children_2[[#This Row],[parent_children_id]],"")</f>
        <v/>
      </c>
      <c r="B1382" s="4" t="str">
        <f>IFERROR(VLOOKUP(parent_children_2[[#This Row],[parent_id]],abbreviation[],3,FALSE),"")</f>
        <v/>
      </c>
      <c r="C1382" s="4" t="str">
        <f>IFERROR(VLOOKUP(parent_children_2[[#This Row],[children_id]],abbreviation[],ColumnLanguage+1,FALSE),"")</f>
        <v/>
      </c>
    </row>
    <row r="1383" spans="1:3" x14ac:dyDescent="0.25">
      <c r="A1383" s="4" t="str">
        <f>IFERROR(parent_children_2[[#This Row],[parent_children_id]],"")</f>
        <v/>
      </c>
      <c r="B1383" s="4" t="str">
        <f>IFERROR(VLOOKUP(parent_children_2[[#This Row],[parent_id]],abbreviation[],3,FALSE),"")</f>
        <v/>
      </c>
      <c r="C1383" s="4" t="str">
        <f>IFERROR(VLOOKUP(parent_children_2[[#This Row],[children_id]],abbreviation[],ColumnLanguage+1,FALSE),"")</f>
        <v/>
      </c>
    </row>
    <row r="1384" spans="1:3" x14ac:dyDescent="0.25">
      <c r="A1384" s="4" t="str">
        <f>IFERROR(parent_children_2[[#This Row],[parent_children_id]],"")</f>
        <v/>
      </c>
      <c r="B1384" s="4" t="str">
        <f>IFERROR(VLOOKUP(parent_children_2[[#This Row],[parent_id]],abbreviation[],3,FALSE),"")</f>
        <v/>
      </c>
      <c r="C1384" s="4" t="str">
        <f>IFERROR(VLOOKUP(parent_children_2[[#This Row],[children_id]],abbreviation[],ColumnLanguage+1,FALSE),"")</f>
        <v/>
      </c>
    </row>
    <row r="1385" spans="1:3" x14ac:dyDescent="0.25">
      <c r="A1385" s="4" t="str">
        <f>IFERROR(parent_children_2[[#This Row],[parent_children_id]],"")</f>
        <v/>
      </c>
      <c r="B1385" s="4" t="str">
        <f>IFERROR(VLOOKUP(parent_children_2[[#This Row],[parent_id]],abbreviation[],3,FALSE),"")</f>
        <v/>
      </c>
      <c r="C1385" s="4" t="str">
        <f>IFERROR(VLOOKUP(parent_children_2[[#This Row],[children_id]],abbreviation[],ColumnLanguage+1,FALSE),"")</f>
        <v/>
      </c>
    </row>
    <row r="1386" spans="1:3" x14ac:dyDescent="0.25">
      <c r="A1386" s="4" t="str">
        <f>IFERROR(parent_children_2[[#This Row],[parent_children_id]],"")</f>
        <v/>
      </c>
      <c r="B1386" s="4" t="str">
        <f>IFERROR(VLOOKUP(parent_children_2[[#This Row],[parent_id]],abbreviation[],3,FALSE),"")</f>
        <v/>
      </c>
      <c r="C1386" s="4" t="str">
        <f>IFERROR(VLOOKUP(parent_children_2[[#This Row],[children_id]],abbreviation[],ColumnLanguage+1,FALSE),"")</f>
        <v/>
      </c>
    </row>
    <row r="1387" spans="1:3" x14ac:dyDescent="0.25">
      <c r="A1387" s="4" t="str">
        <f>IFERROR(parent_children_2[[#This Row],[parent_children_id]],"")</f>
        <v/>
      </c>
      <c r="B1387" s="4" t="str">
        <f>IFERROR(VLOOKUP(parent_children_2[[#This Row],[parent_id]],abbreviation[],3,FALSE),"")</f>
        <v/>
      </c>
      <c r="C1387" s="4" t="str">
        <f>IFERROR(VLOOKUP(parent_children_2[[#This Row],[children_id]],abbreviation[],ColumnLanguage+1,FALSE),"")</f>
        <v/>
      </c>
    </row>
    <row r="1388" spans="1:3" x14ac:dyDescent="0.25">
      <c r="A1388" s="4" t="str">
        <f>IFERROR(parent_children_2[[#This Row],[parent_children_id]],"")</f>
        <v/>
      </c>
      <c r="B1388" s="4" t="str">
        <f>IFERROR(VLOOKUP(parent_children_2[[#This Row],[parent_id]],abbreviation[],3,FALSE),"")</f>
        <v/>
      </c>
      <c r="C1388" s="4" t="str">
        <f>IFERROR(VLOOKUP(parent_children_2[[#This Row],[children_id]],abbreviation[],ColumnLanguage+1,FALSE),"")</f>
        <v/>
      </c>
    </row>
    <row r="1389" spans="1:3" x14ac:dyDescent="0.25">
      <c r="A1389" s="4" t="str">
        <f>IFERROR(parent_children_2[[#This Row],[parent_children_id]],"")</f>
        <v/>
      </c>
      <c r="B1389" s="4" t="str">
        <f>IFERROR(VLOOKUP(parent_children_2[[#This Row],[parent_id]],abbreviation[],3,FALSE),"")</f>
        <v/>
      </c>
      <c r="C1389" s="4" t="str">
        <f>IFERROR(VLOOKUP(parent_children_2[[#This Row],[children_id]],abbreviation[],ColumnLanguage+1,FALSE),"")</f>
        <v/>
      </c>
    </row>
    <row r="1390" spans="1:3" x14ac:dyDescent="0.25">
      <c r="A1390" s="4" t="str">
        <f>IFERROR(parent_children_2[[#This Row],[parent_children_id]],"")</f>
        <v/>
      </c>
      <c r="B1390" s="4" t="str">
        <f>IFERROR(VLOOKUP(parent_children_2[[#This Row],[parent_id]],abbreviation[],3,FALSE),"")</f>
        <v/>
      </c>
      <c r="C1390" s="4" t="str">
        <f>IFERROR(VLOOKUP(parent_children_2[[#This Row],[children_id]],abbreviation[],ColumnLanguage+1,FALSE),"")</f>
        <v/>
      </c>
    </row>
    <row r="1391" spans="1:3" x14ac:dyDescent="0.25">
      <c r="A1391" s="4" t="str">
        <f>IFERROR(parent_children_2[[#This Row],[parent_children_id]],"")</f>
        <v/>
      </c>
      <c r="B1391" s="4" t="str">
        <f>IFERROR(VLOOKUP(parent_children_2[[#This Row],[parent_id]],abbreviation[],3,FALSE),"")</f>
        <v/>
      </c>
      <c r="C1391" s="4" t="str">
        <f>IFERROR(VLOOKUP(parent_children_2[[#This Row],[children_id]],abbreviation[],ColumnLanguage+1,FALSE),"")</f>
        <v/>
      </c>
    </row>
    <row r="1392" spans="1:3" x14ac:dyDescent="0.25">
      <c r="A1392" s="4" t="str">
        <f>IFERROR(parent_children_2[[#This Row],[parent_children_id]],"")</f>
        <v/>
      </c>
      <c r="B1392" s="4" t="str">
        <f>IFERROR(VLOOKUP(parent_children_2[[#This Row],[parent_id]],abbreviation[],3,FALSE),"")</f>
        <v/>
      </c>
      <c r="C1392" s="4" t="str">
        <f>IFERROR(VLOOKUP(parent_children_2[[#This Row],[children_id]],abbreviation[],ColumnLanguage+1,FALSE),"")</f>
        <v/>
      </c>
    </row>
    <row r="1393" spans="1:3" x14ac:dyDescent="0.25">
      <c r="A1393" s="4" t="str">
        <f>IFERROR(parent_children_2[[#This Row],[parent_children_id]],"")</f>
        <v/>
      </c>
      <c r="B1393" s="4" t="str">
        <f>IFERROR(VLOOKUP(parent_children_2[[#This Row],[parent_id]],abbreviation[],3,FALSE),"")</f>
        <v/>
      </c>
      <c r="C1393" s="4" t="str">
        <f>IFERROR(VLOOKUP(parent_children_2[[#This Row],[children_id]],abbreviation[],ColumnLanguage+1,FALSE),"")</f>
        <v/>
      </c>
    </row>
    <row r="1394" spans="1:3" x14ac:dyDescent="0.25">
      <c r="A1394" s="4" t="str">
        <f>IFERROR(parent_children_2[[#This Row],[parent_children_id]],"")</f>
        <v/>
      </c>
      <c r="B1394" s="4" t="str">
        <f>IFERROR(VLOOKUP(parent_children_2[[#This Row],[parent_id]],abbreviation[],3,FALSE),"")</f>
        <v/>
      </c>
      <c r="C1394" s="4" t="str">
        <f>IFERROR(VLOOKUP(parent_children_2[[#This Row],[children_id]],abbreviation[],ColumnLanguage+1,FALSE),"")</f>
        <v/>
      </c>
    </row>
    <row r="1395" spans="1:3" x14ac:dyDescent="0.25">
      <c r="A1395" s="4" t="str">
        <f>IFERROR(parent_children_2[[#This Row],[parent_children_id]],"")</f>
        <v/>
      </c>
      <c r="B1395" s="4" t="str">
        <f>IFERROR(VLOOKUP(parent_children_2[[#This Row],[parent_id]],abbreviation[],3,FALSE),"")</f>
        <v/>
      </c>
      <c r="C1395" s="4" t="str">
        <f>IFERROR(VLOOKUP(parent_children_2[[#This Row],[children_id]],abbreviation[],ColumnLanguage+1,FALSE),"")</f>
        <v/>
      </c>
    </row>
    <row r="1396" spans="1:3" x14ac:dyDescent="0.25">
      <c r="A1396" s="4" t="str">
        <f>IFERROR(parent_children_2[[#This Row],[parent_children_id]],"")</f>
        <v/>
      </c>
      <c r="B1396" s="4" t="str">
        <f>IFERROR(VLOOKUP(parent_children_2[[#This Row],[parent_id]],abbreviation[],3,FALSE),"")</f>
        <v/>
      </c>
      <c r="C1396" s="4" t="str">
        <f>IFERROR(VLOOKUP(parent_children_2[[#This Row],[children_id]],abbreviation[],ColumnLanguage+1,FALSE),"")</f>
        <v/>
      </c>
    </row>
    <row r="1397" spans="1:3" x14ac:dyDescent="0.25">
      <c r="A1397" s="4" t="str">
        <f>IFERROR(parent_children_2[[#This Row],[parent_children_id]],"")</f>
        <v/>
      </c>
      <c r="B1397" s="4" t="str">
        <f>IFERROR(VLOOKUP(parent_children_2[[#This Row],[parent_id]],abbreviation[],3,FALSE),"")</f>
        <v/>
      </c>
      <c r="C1397" s="4" t="str">
        <f>IFERROR(VLOOKUP(parent_children_2[[#This Row],[children_id]],abbreviation[],ColumnLanguage+1,FALSE),"")</f>
        <v/>
      </c>
    </row>
    <row r="1398" spans="1:3" x14ac:dyDescent="0.25">
      <c r="A1398" s="4" t="str">
        <f>IFERROR(parent_children_2[[#This Row],[parent_children_id]],"")</f>
        <v/>
      </c>
      <c r="B1398" s="4" t="str">
        <f>IFERROR(VLOOKUP(parent_children_2[[#This Row],[parent_id]],abbreviation[],3,FALSE),"")</f>
        <v/>
      </c>
      <c r="C1398" s="4" t="str">
        <f>IFERROR(VLOOKUP(parent_children_2[[#This Row],[children_id]],abbreviation[],ColumnLanguage+1,FALSE),"")</f>
        <v/>
      </c>
    </row>
    <row r="1399" spans="1:3" x14ac:dyDescent="0.25">
      <c r="A1399" s="4" t="str">
        <f>IFERROR(parent_children_2[[#This Row],[parent_children_id]],"")</f>
        <v/>
      </c>
      <c r="B1399" s="4" t="str">
        <f>IFERROR(VLOOKUP(parent_children_2[[#This Row],[parent_id]],abbreviation[],3,FALSE),"")</f>
        <v/>
      </c>
      <c r="C1399" s="4" t="str">
        <f>IFERROR(VLOOKUP(parent_children_2[[#This Row],[children_id]],abbreviation[],ColumnLanguage+1,FALSE),"")</f>
        <v/>
      </c>
    </row>
    <row r="1400" spans="1:3" x14ac:dyDescent="0.25">
      <c r="A1400" s="4" t="str">
        <f>IFERROR(parent_children_2[[#This Row],[parent_children_id]],"")</f>
        <v/>
      </c>
      <c r="B1400" s="4" t="str">
        <f>IFERROR(VLOOKUP(parent_children_2[[#This Row],[parent_id]],abbreviation[],3,FALSE),"")</f>
        <v/>
      </c>
      <c r="C1400" s="4" t="str">
        <f>IFERROR(VLOOKUP(parent_children_2[[#This Row],[children_id]],abbreviation[],ColumnLanguage+1,FALSE),"")</f>
        <v/>
      </c>
    </row>
    <row r="1401" spans="1:3" x14ac:dyDescent="0.25">
      <c r="A1401" s="4" t="str">
        <f>IFERROR(parent_children_2[[#This Row],[parent_children_id]],"")</f>
        <v/>
      </c>
      <c r="B1401" s="4" t="str">
        <f>IFERROR(VLOOKUP(parent_children_2[[#This Row],[parent_id]],abbreviation[],3,FALSE),"")</f>
        <v/>
      </c>
      <c r="C1401" s="4" t="str">
        <f>IFERROR(VLOOKUP(parent_children_2[[#This Row],[children_id]],abbreviation[],ColumnLanguage+1,FALSE),"")</f>
        <v/>
      </c>
    </row>
    <row r="1402" spans="1:3" x14ac:dyDescent="0.25">
      <c r="A1402" s="4" t="str">
        <f>IFERROR(parent_children_2[[#This Row],[parent_children_id]],"")</f>
        <v/>
      </c>
      <c r="B1402" s="4" t="str">
        <f>IFERROR(VLOOKUP(parent_children_2[[#This Row],[parent_id]],abbreviation[],3,FALSE),"")</f>
        <v/>
      </c>
      <c r="C1402" s="4" t="str">
        <f>IFERROR(VLOOKUP(parent_children_2[[#This Row],[children_id]],abbreviation[],ColumnLanguage+1,FALSE),"")</f>
        <v/>
      </c>
    </row>
    <row r="1403" spans="1:3" x14ac:dyDescent="0.25">
      <c r="A1403" s="4" t="str">
        <f>IFERROR(parent_children_2[[#This Row],[parent_children_id]],"")</f>
        <v/>
      </c>
      <c r="B1403" s="4" t="str">
        <f>IFERROR(VLOOKUP(parent_children_2[[#This Row],[parent_id]],abbreviation[],3,FALSE),"")</f>
        <v/>
      </c>
      <c r="C1403" s="4" t="str">
        <f>IFERROR(VLOOKUP(parent_children_2[[#This Row],[children_id]],abbreviation[],ColumnLanguage+1,FALSE),"")</f>
        <v/>
      </c>
    </row>
    <row r="1404" spans="1:3" x14ac:dyDescent="0.25">
      <c r="A1404" s="4" t="str">
        <f>IFERROR(parent_children_2[[#This Row],[parent_children_id]],"")</f>
        <v/>
      </c>
      <c r="B1404" s="4" t="str">
        <f>IFERROR(VLOOKUP(parent_children_2[[#This Row],[parent_id]],abbreviation[],3,FALSE),"")</f>
        <v/>
      </c>
      <c r="C1404" s="4" t="str">
        <f>IFERROR(VLOOKUP(parent_children_2[[#This Row],[children_id]],abbreviation[],ColumnLanguage+1,FALSE),"")</f>
        <v/>
      </c>
    </row>
    <row r="1405" spans="1:3" x14ac:dyDescent="0.25">
      <c r="A1405" s="4" t="str">
        <f>IFERROR(parent_children_2[[#This Row],[parent_children_id]],"")</f>
        <v/>
      </c>
      <c r="B1405" s="4" t="str">
        <f>IFERROR(VLOOKUP(parent_children_2[[#This Row],[parent_id]],abbreviation[],3,FALSE),"")</f>
        <v/>
      </c>
      <c r="C1405" s="4" t="str">
        <f>IFERROR(VLOOKUP(parent_children_2[[#This Row],[children_id]],abbreviation[],ColumnLanguage+1,FALSE),"")</f>
        <v/>
      </c>
    </row>
    <row r="1406" spans="1:3" x14ac:dyDescent="0.25">
      <c r="A1406" s="4" t="str">
        <f>IFERROR(parent_children_2[[#This Row],[parent_children_id]],"")</f>
        <v/>
      </c>
      <c r="B1406" s="4" t="str">
        <f>IFERROR(VLOOKUP(parent_children_2[[#This Row],[parent_id]],abbreviation[],3,FALSE),"")</f>
        <v/>
      </c>
      <c r="C1406" s="4" t="str">
        <f>IFERROR(VLOOKUP(parent_children_2[[#This Row],[children_id]],abbreviation[],ColumnLanguage+1,FALSE),"")</f>
        <v/>
      </c>
    </row>
    <row r="1407" spans="1:3" x14ac:dyDescent="0.25">
      <c r="A1407" s="4" t="str">
        <f>IFERROR(parent_children_2[[#This Row],[parent_children_id]],"")</f>
        <v/>
      </c>
      <c r="B1407" s="4" t="str">
        <f>IFERROR(VLOOKUP(parent_children_2[[#This Row],[parent_id]],abbreviation[],3,FALSE),"")</f>
        <v/>
      </c>
      <c r="C1407" s="4" t="str">
        <f>IFERROR(VLOOKUP(parent_children_2[[#This Row],[children_id]],abbreviation[],ColumnLanguage+1,FALSE),"")</f>
        <v/>
      </c>
    </row>
    <row r="1408" spans="1:3" x14ac:dyDescent="0.25">
      <c r="A1408" s="4" t="str">
        <f>IFERROR(parent_children_2[[#This Row],[parent_children_id]],"")</f>
        <v/>
      </c>
      <c r="B1408" s="4" t="str">
        <f>IFERROR(VLOOKUP(parent_children_2[[#This Row],[parent_id]],abbreviation[],3,FALSE),"")</f>
        <v/>
      </c>
      <c r="C1408" s="4" t="str">
        <f>IFERROR(VLOOKUP(parent_children_2[[#This Row],[children_id]],abbreviation[],ColumnLanguage+1,FALSE),"")</f>
        <v/>
      </c>
    </row>
    <row r="1409" spans="1:3" x14ac:dyDescent="0.25">
      <c r="A1409" s="4" t="str">
        <f>IFERROR(parent_children_2[[#This Row],[parent_children_id]],"")</f>
        <v/>
      </c>
      <c r="B1409" s="4" t="str">
        <f>IFERROR(VLOOKUP(parent_children_2[[#This Row],[parent_id]],abbreviation[],3,FALSE),"")</f>
        <v/>
      </c>
      <c r="C1409" s="4" t="str">
        <f>IFERROR(VLOOKUP(parent_children_2[[#This Row],[children_id]],abbreviation[],ColumnLanguage+1,FALSE),"")</f>
        <v/>
      </c>
    </row>
    <row r="1410" spans="1:3" x14ac:dyDescent="0.25">
      <c r="A1410" s="4" t="str">
        <f>IFERROR(parent_children_2[[#This Row],[parent_children_id]],"")</f>
        <v/>
      </c>
      <c r="B1410" s="4" t="str">
        <f>IFERROR(VLOOKUP(parent_children_2[[#This Row],[parent_id]],abbreviation[],3,FALSE),"")</f>
        <v/>
      </c>
      <c r="C1410" s="4" t="str">
        <f>IFERROR(VLOOKUP(parent_children_2[[#This Row],[children_id]],abbreviation[],ColumnLanguage+1,FALSE),"")</f>
        <v/>
      </c>
    </row>
    <row r="1411" spans="1:3" x14ac:dyDescent="0.25">
      <c r="A1411" s="4" t="str">
        <f>IFERROR(parent_children_2[[#This Row],[parent_children_id]],"")</f>
        <v/>
      </c>
      <c r="B1411" s="4" t="str">
        <f>IFERROR(VLOOKUP(parent_children_2[[#This Row],[parent_id]],abbreviation[],3,FALSE),"")</f>
        <v/>
      </c>
      <c r="C1411" s="4" t="str">
        <f>IFERROR(VLOOKUP(parent_children_2[[#This Row],[children_id]],abbreviation[],ColumnLanguage+1,FALSE),"")</f>
        <v/>
      </c>
    </row>
    <row r="1412" spans="1:3" x14ac:dyDescent="0.25">
      <c r="A1412" s="4" t="str">
        <f>IFERROR(parent_children_2[[#This Row],[parent_children_id]],"")</f>
        <v/>
      </c>
      <c r="B1412" s="4" t="str">
        <f>IFERROR(VLOOKUP(parent_children_2[[#This Row],[parent_id]],abbreviation[],3,FALSE),"")</f>
        <v/>
      </c>
      <c r="C1412" s="4" t="str">
        <f>IFERROR(VLOOKUP(parent_children_2[[#This Row],[children_id]],abbreviation[],ColumnLanguage+1,FALSE),"")</f>
        <v/>
      </c>
    </row>
    <row r="1413" spans="1:3" x14ac:dyDescent="0.25">
      <c r="A1413" s="4" t="str">
        <f>IFERROR(parent_children_2[[#This Row],[parent_children_id]],"")</f>
        <v/>
      </c>
      <c r="B1413" s="4" t="str">
        <f>IFERROR(VLOOKUP(parent_children_2[[#This Row],[parent_id]],abbreviation[],3,FALSE),"")</f>
        <v/>
      </c>
      <c r="C1413" s="4" t="str">
        <f>IFERROR(VLOOKUP(parent_children_2[[#This Row],[children_id]],abbreviation[],ColumnLanguage+1,FALSE),"")</f>
        <v/>
      </c>
    </row>
    <row r="1414" spans="1:3" x14ac:dyDescent="0.25">
      <c r="A1414" s="4" t="str">
        <f>IFERROR(parent_children_2[[#This Row],[parent_children_id]],"")</f>
        <v/>
      </c>
      <c r="B1414" s="4" t="str">
        <f>IFERROR(VLOOKUP(parent_children_2[[#This Row],[parent_id]],abbreviation[],3,FALSE),"")</f>
        <v/>
      </c>
      <c r="C1414" s="4" t="str">
        <f>IFERROR(VLOOKUP(parent_children_2[[#This Row],[children_id]],abbreviation[],ColumnLanguage+1,FALSE),"")</f>
        <v/>
      </c>
    </row>
    <row r="1415" spans="1:3" x14ac:dyDescent="0.25">
      <c r="A1415" s="4" t="str">
        <f>IFERROR(parent_children_2[[#This Row],[parent_children_id]],"")</f>
        <v/>
      </c>
      <c r="B1415" s="4" t="str">
        <f>IFERROR(VLOOKUP(parent_children_2[[#This Row],[parent_id]],abbreviation[],3,FALSE),"")</f>
        <v/>
      </c>
      <c r="C1415" s="4" t="str">
        <f>IFERROR(VLOOKUP(parent_children_2[[#This Row],[children_id]],abbreviation[],ColumnLanguage+1,FALSE),"")</f>
        <v/>
      </c>
    </row>
    <row r="1416" spans="1:3" x14ac:dyDescent="0.25">
      <c r="A1416" s="4" t="str">
        <f>IFERROR(parent_children_2[[#This Row],[parent_children_id]],"")</f>
        <v/>
      </c>
      <c r="B1416" s="4" t="str">
        <f>IFERROR(VLOOKUP(parent_children_2[[#This Row],[parent_id]],abbreviation[],3,FALSE),"")</f>
        <v/>
      </c>
      <c r="C1416" s="4" t="str">
        <f>IFERROR(VLOOKUP(parent_children_2[[#This Row],[children_id]],abbreviation[],ColumnLanguage+1,FALSE),"")</f>
        <v/>
      </c>
    </row>
    <row r="1417" spans="1:3" x14ac:dyDescent="0.25">
      <c r="A1417" s="4" t="str">
        <f>IFERROR(parent_children_2[[#This Row],[parent_children_id]],"")</f>
        <v/>
      </c>
      <c r="B1417" s="4" t="str">
        <f>IFERROR(VLOOKUP(parent_children_2[[#This Row],[parent_id]],abbreviation[],3,FALSE),"")</f>
        <v/>
      </c>
      <c r="C1417" s="4" t="str">
        <f>IFERROR(VLOOKUP(parent_children_2[[#This Row],[children_id]],abbreviation[],ColumnLanguage+1,FALSE),"")</f>
        <v/>
      </c>
    </row>
    <row r="1418" spans="1:3" x14ac:dyDescent="0.25">
      <c r="A1418" s="4" t="str">
        <f>IFERROR(parent_children_2[[#This Row],[parent_children_id]],"")</f>
        <v/>
      </c>
      <c r="B1418" s="4" t="str">
        <f>IFERROR(VLOOKUP(parent_children_2[[#This Row],[parent_id]],abbreviation[],3,FALSE),"")</f>
        <v/>
      </c>
      <c r="C1418" s="4" t="str">
        <f>IFERROR(VLOOKUP(parent_children_2[[#This Row],[children_id]],abbreviation[],ColumnLanguage+1,FALSE),"")</f>
        <v/>
      </c>
    </row>
    <row r="1419" spans="1:3" x14ac:dyDescent="0.25">
      <c r="A1419" s="4" t="str">
        <f>IFERROR(parent_children_2[[#This Row],[parent_children_id]],"")</f>
        <v/>
      </c>
      <c r="B1419" s="4" t="str">
        <f>IFERROR(VLOOKUP(parent_children_2[[#This Row],[parent_id]],abbreviation[],3,FALSE),"")</f>
        <v/>
      </c>
      <c r="C1419" s="4" t="str">
        <f>IFERROR(VLOOKUP(parent_children_2[[#This Row],[children_id]],abbreviation[],ColumnLanguage+1,FALSE),"")</f>
        <v/>
      </c>
    </row>
    <row r="1420" spans="1:3" x14ac:dyDescent="0.25">
      <c r="A1420" s="4" t="str">
        <f>IFERROR(parent_children_2[[#This Row],[parent_children_id]],"")</f>
        <v/>
      </c>
      <c r="B1420" s="4" t="str">
        <f>IFERROR(VLOOKUP(parent_children_2[[#This Row],[parent_id]],abbreviation[],3,FALSE),"")</f>
        <v/>
      </c>
      <c r="C1420" s="4" t="str">
        <f>IFERROR(VLOOKUP(parent_children_2[[#This Row],[children_id]],abbreviation[],ColumnLanguage+1,FALSE),"")</f>
        <v/>
      </c>
    </row>
    <row r="1421" spans="1:3" x14ac:dyDescent="0.25">
      <c r="A1421" s="4" t="str">
        <f>IFERROR(parent_children_2[[#This Row],[parent_children_id]],"")</f>
        <v/>
      </c>
      <c r="B1421" s="4" t="str">
        <f>IFERROR(VLOOKUP(parent_children_2[[#This Row],[parent_id]],abbreviation[],3,FALSE),"")</f>
        <v/>
      </c>
      <c r="C1421" s="4" t="str">
        <f>IFERROR(VLOOKUP(parent_children_2[[#This Row],[children_id]],abbreviation[],ColumnLanguage+1,FALSE),"")</f>
        <v/>
      </c>
    </row>
    <row r="1422" spans="1:3" x14ac:dyDescent="0.25">
      <c r="A1422" s="4" t="str">
        <f>IFERROR(parent_children_2[[#This Row],[parent_children_id]],"")</f>
        <v/>
      </c>
      <c r="B1422" s="4" t="str">
        <f>IFERROR(VLOOKUP(parent_children_2[[#This Row],[parent_id]],abbreviation[],3,FALSE),"")</f>
        <v/>
      </c>
      <c r="C1422" s="4" t="str">
        <f>IFERROR(VLOOKUP(parent_children_2[[#This Row],[children_id]],abbreviation[],ColumnLanguage+1,FALSE),"")</f>
        <v/>
      </c>
    </row>
    <row r="1423" spans="1:3" x14ac:dyDescent="0.25">
      <c r="A1423" s="4" t="str">
        <f>IFERROR(parent_children_2[[#This Row],[parent_children_id]],"")</f>
        <v/>
      </c>
      <c r="B1423" s="4" t="str">
        <f>IFERROR(VLOOKUP(parent_children_2[[#This Row],[parent_id]],abbreviation[],3,FALSE),"")</f>
        <v/>
      </c>
      <c r="C1423" s="4" t="str">
        <f>IFERROR(VLOOKUP(parent_children_2[[#This Row],[children_id]],abbreviation[],ColumnLanguage+1,FALSE),"")</f>
        <v/>
      </c>
    </row>
    <row r="1424" spans="1:3" x14ac:dyDescent="0.25">
      <c r="A1424" s="4" t="str">
        <f>IFERROR(parent_children_2[[#This Row],[parent_children_id]],"")</f>
        <v/>
      </c>
      <c r="B1424" s="4" t="str">
        <f>IFERROR(VLOOKUP(parent_children_2[[#This Row],[parent_id]],abbreviation[],3,FALSE),"")</f>
        <v/>
      </c>
      <c r="C1424" s="4" t="str">
        <f>IFERROR(VLOOKUP(parent_children_2[[#This Row],[children_id]],abbreviation[],ColumnLanguage+1,FALSE),"")</f>
        <v/>
      </c>
    </row>
    <row r="1425" spans="1:3" x14ac:dyDescent="0.25">
      <c r="A1425" s="4" t="str">
        <f>IFERROR(parent_children_2[[#This Row],[parent_children_id]],"")</f>
        <v/>
      </c>
      <c r="B1425" s="4" t="str">
        <f>IFERROR(VLOOKUP(parent_children_2[[#This Row],[parent_id]],abbreviation[],3,FALSE),"")</f>
        <v/>
      </c>
      <c r="C1425" s="4" t="str">
        <f>IFERROR(VLOOKUP(parent_children_2[[#This Row],[children_id]],abbreviation[],ColumnLanguage+1,FALSE),"")</f>
        <v/>
      </c>
    </row>
    <row r="1426" spans="1:3" x14ac:dyDescent="0.25">
      <c r="A1426" s="4" t="str">
        <f>IFERROR(parent_children_2[[#This Row],[parent_children_id]],"")</f>
        <v/>
      </c>
      <c r="B1426" s="4" t="str">
        <f>IFERROR(VLOOKUP(parent_children_2[[#This Row],[parent_id]],abbreviation[],3,FALSE),"")</f>
        <v/>
      </c>
      <c r="C1426" s="4" t="str">
        <f>IFERROR(VLOOKUP(parent_children_2[[#This Row],[children_id]],abbreviation[],ColumnLanguage+1,FALSE),"")</f>
        <v/>
      </c>
    </row>
    <row r="1427" spans="1:3" x14ac:dyDescent="0.25">
      <c r="A1427" s="4" t="str">
        <f>IFERROR(parent_children_2[[#This Row],[parent_children_id]],"")</f>
        <v/>
      </c>
      <c r="B1427" s="4" t="str">
        <f>IFERROR(VLOOKUP(parent_children_2[[#This Row],[parent_id]],abbreviation[],3,FALSE),"")</f>
        <v/>
      </c>
      <c r="C1427" s="4" t="str">
        <f>IFERROR(VLOOKUP(parent_children_2[[#This Row],[children_id]],abbreviation[],ColumnLanguage+1,FALSE),"")</f>
        <v/>
      </c>
    </row>
    <row r="1428" spans="1:3" x14ac:dyDescent="0.25">
      <c r="A1428" s="4" t="str">
        <f>IFERROR(parent_children_2[[#This Row],[parent_children_id]],"")</f>
        <v/>
      </c>
      <c r="B1428" s="4" t="str">
        <f>IFERROR(VLOOKUP(parent_children_2[[#This Row],[parent_id]],abbreviation[],3,FALSE),"")</f>
        <v/>
      </c>
      <c r="C1428" s="4" t="str">
        <f>IFERROR(VLOOKUP(parent_children_2[[#This Row],[children_id]],abbreviation[],ColumnLanguage+1,FALSE),"")</f>
        <v/>
      </c>
    </row>
    <row r="1429" spans="1:3" x14ac:dyDescent="0.25">
      <c r="A1429" s="4" t="str">
        <f>IFERROR(parent_children_2[[#This Row],[parent_children_id]],"")</f>
        <v/>
      </c>
      <c r="B1429" s="4" t="str">
        <f>IFERROR(VLOOKUP(parent_children_2[[#This Row],[parent_id]],abbreviation[],3,FALSE),"")</f>
        <v/>
      </c>
      <c r="C1429" s="4" t="str">
        <f>IFERROR(VLOOKUP(parent_children_2[[#This Row],[children_id]],abbreviation[],ColumnLanguage+1,FALSE),"")</f>
        <v/>
      </c>
    </row>
    <row r="1430" spans="1:3" x14ac:dyDescent="0.25">
      <c r="A1430" s="4" t="str">
        <f>IFERROR(parent_children_2[[#This Row],[parent_children_id]],"")</f>
        <v/>
      </c>
      <c r="B1430" s="4" t="str">
        <f>IFERROR(VLOOKUP(parent_children_2[[#This Row],[parent_id]],abbreviation[],3,FALSE),"")</f>
        <v/>
      </c>
      <c r="C1430" s="4" t="str">
        <f>IFERROR(VLOOKUP(parent_children_2[[#This Row],[children_id]],abbreviation[],ColumnLanguage+1,FALSE),"")</f>
        <v/>
      </c>
    </row>
    <row r="1431" spans="1:3" x14ac:dyDescent="0.25">
      <c r="A1431" s="4" t="str">
        <f>IFERROR(parent_children_2[[#This Row],[parent_children_id]],"")</f>
        <v/>
      </c>
      <c r="B1431" s="4" t="str">
        <f>IFERROR(VLOOKUP(parent_children_2[[#This Row],[parent_id]],abbreviation[],3,FALSE),"")</f>
        <v/>
      </c>
      <c r="C1431" s="4" t="str">
        <f>IFERROR(VLOOKUP(parent_children_2[[#This Row],[children_id]],abbreviation[],ColumnLanguage+1,FALSE),"")</f>
        <v/>
      </c>
    </row>
    <row r="1432" spans="1:3" x14ac:dyDescent="0.25">
      <c r="A1432" s="4" t="str">
        <f>IFERROR(parent_children_2[[#This Row],[parent_children_id]],"")</f>
        <v/>
      </c>
      <c r="B1432" s="4" t="str">
        <f>IFERROR(VLOOKUP(parent_children_2[[#This Row],[parent_id]],abbreviation[],3,FALSE),"")</f>
        <v/>
      </c>
      <c r="C1432" s="4" t="str">
        <f>IFERROR(VLOOKUP(parent_children_2[[#This Row],[children_id]],abbreviation[],ColumnLanguage+1,FALSE),"")</f>
        <v/>
      </c>
    </row>
    <row r="1433" spans="1:3" x14ac:dyDescent="0.25">
      <c r="A1433" s="4" t="str">
        <f>IFERROR(parent_children_2[[#This Row],[parent_children_id]],"")</f>
        <v/>
      </c>
      <c r="B1433" s="4" t="str">
        <f>IFERROR(VLOOKUP(parent_children_2[[#This Row],[parent_id]],abbreviation[],3,FALSE),"")</f>
        <v/>
      </c>
      <c r="C1433" s="4" t="str">
        <f>IFERROR(VLOOKUP(parent_children_2[[#This Row],[children_id]],abbreviation[],ColumnLanguage+1,FALSE),"")</f>
        <v/>
      </c>
    </row>
    <row r="1434" spans="1:3" x14ac:dyDescent="0.25">
      <c r="A1434" s="4" t="str">
        <f>IFERROR(parent_children_2[[#This Row],[parent_children_id]],"")</f>
        <v/>
      </c>
      <c r="B1434" s="4" t="str">
        <f>IFERROR(VLOOKUP(parent_children_2[[#This Row],[parent_id]],abbreviation[],3,FALSE),"")</f>
        <v/>
      </c>
      <c r="C1434" s="4" t="str">
        <f>IFERROR(VLOOKUP(parent_children_2[[#This Row],[children_id]],abbreviation[],ColumnLanguage+1,FALSE),"")</f>
        <v/>
      </c>
    </row>
    <row r="1435" spans="1:3" x14ac:dyDescent="0.25">
      <c r="A1435" s="4" t="str">
        <f>IFERROR(parent_children_2[[#This Row],[parent_children_id]],"")</f>
        <v/>
      </c>
      <c r="B1435" s="4" t="str">
        <f>IFERROR(VLOOKUP(parent_children_2[[#This Row],[parent_id]],abbreviation[],3,FALSE),"")</f>
        <v/>
      </c>
      <c r="C1435" s="4" t="str">
        <f>IFERROR(VLOOKUP(parent_children_2[[#This Row],[children_id]],abbreviation[],ColumnLanguage+1,FALSE),"")</f>
        <v/>
      </c>
    </row>
    <row r="1436" spans="1:3" x14ac:dyDescent="0.25">
      <c r="A1436" s="4" t="str">
        <f>IFERROR(parent_children_2[[#This Row],[parent_children_id]],"")</f>
        <v/>
      </c>
      <c r="B1436" s="4" t="str">
        <f>IFERROR(VLOOKUP(parent_children_2[[#This Row],[parent_id]],abbreviation[],3,FALSE),"")</f>
        <v/>
      </c>
      <c r="C1436" s="4" t="str">
        <f>IFERROR(VLOOKUP(parent_children_2[[#This Row],[children_id]],abbreviation[],ColumnLanguage+1,FALSE),"")</f>
        <v/>
      </c>
    </row>
    <row r="1437" spans="1:3" x14ac:dyDescent="0.25">
      <c r="A1437" s="4" t="str">
        <f>IFERROR(parent_children_2[[#This Row],[parent_children_id]],"")</f>
        <v/>
      </c>
      <c r="B1437" s="4" t="str">
        <f>IFERROR(VLOOKUP(parent_children_2[[#This Row],[parent_id]],abbreviation[],3,FALSE),"")</f>
        <v/>
      </c>
      <c r="C1437" s="4" t="str">
        <f>IFERROR(VLOOKUP(parent_children_2[[#This Row],[children_id]],abbreviation[],ColumnLanguage+1,FALSE),"")</f>
        <v/>
      </c>
    </row>
    <row r="1438" spans="1:3" x14ac:dyDescent="0.25">
      <c r="A1438" s="4" t="str">
        <f>IFERROR(parent_children_2[[#This Row],[parent_children_id]],"")</f>
        <v/>
      </c>
      <c r="B1438" s="4" t="str">
        <f>IFERROR(VLOOKUP(parent_children_2[[#This Row],[parent_id]],abbreviation[],3,FALSE),"")</f>
        <v/>
      </c>
      <c r="C1438" s="4" t="str">
        <f>IFERROR(VLOOKUP(parent_children_2[[#This Row],[children_id]],abbreviation[],ColumnLanguage+1,FALSE),"")</f>
        <v/>
      </c>
    </row>
    <row r="1439" spans="1:3" x14ac:dyDescent="0.25">
      <c r="A1439" s="4" t="str">
        <f>IFERROR(parent_children_2[[#This Row],[parent_children_id]],"")</f>
        <v/>
      </c>
      <c r="B1439" s="4" t="str">
        <f>IFERROR(VLOOKUP(parent_children_2[[#This Row],[parent_id]],abbreviation[],3,FALSE),"")</f>
        <v/>
      </c>
      <c r="C1439" s="4" t="str">
        <f>IFERROR(VLOOKUP(parent_children_2[[#This Row],[children_id]],abbreviation[],ColumnLanguage+1,FALSE),"")</f>
        <v/>
      </c>
    </row>
    <row r="1440" spans="1:3" x14ac:dyDescent="0.25">
      <c r="A1440" s="4" t="str">
        <f>IFERROR(parent_children_2[[#This Row],[parent_children_id]],"")</f>
        <v/>
      </c>
      <c r="B1440" s="4" t="str">
        <f>IFERROR(VLOOKUP(parent_children_2[[#This Row],[parent_id]],abbreviation[],3,FALSE),"")</f>
        <v/>
      </c>
      <c r="C1440" s="4" t="str">
        <f>IFERROR(VLOOKUP(parent_children_2[[#This Row],[children_id]],abbreviation[],ColumnLanguage+1,FALSE),"")</f>
        <v/>
      </c>
    </row>
    <row r="1441" spans="1:3" x14ac:dyDescent="0.25">
      <c r="A1441" s="4" t="str">
        <f>IFERROR(parent_children_2[[#This Row],[parent_children_id]],"")</f>
        <v/>
      </c>
      <c r="B1441" s="4" t="str">
        <f>IFERROR(VLOOKUP(parent_children_2[[#This Row],[parent_id]],abbreviation[],3,FALSE),"")</f>
        <v/>
      </c>
      <c r="C1441" s="4" t="str">
        <f>IFERROR(VLOOKUP(parent_children_2[[#This Row],[children_id]],abbreviation[],ColumnLanguage+1,FALSE),"")</f>
        <v/>
      </c>
    </row>
    <row r="1442" spans="1:3" x14ac:dyDescent="0.25">
      <c r="A1442" s="4" t="str">
        <f>IFERROR(parent_children_2[[#This Row],[parent_children_id]],"")</f>
        <v/>
      </c>
      <c r="B1442" s="4" t="str">
        <f>IFERROR(VLOOKUP(parent_children_2[[#This Row],[parent_id]],abbreviation[],3,FALSE),"")</f>
        <v/>
      </c>
      <c r="C1442" s="4" t="str">
        <f>IFERROR(VLOOKUP(parent_children_2[[#This Row],[children_id]],abbreviation[],ColumnLanguage+1,FALSE),"")</f>
        <v/>
      </c>
    </row>
    <row r="1443" spans="1:3" x14ac:dyDescent="0.25">
      <c r="A1443" s="4" t="str">
        <f>IFERROR(parent_children_2[[#This Row],[parent_children_id]],"")</f>
        <v/>
      </c>
      <c r="B1443" s="4" t="str">
        <f>IFERROR(VLOOKUP(parent_children_2[[#This Row],[parent_id]],abbreviation[],3,FALSE),"")</f>
        <v/>
      </c>
      <c r="C1443" s="4" t="str">
        <f>IFERROR(VLOOKUP(parent_children_2[[#This Row],[children_id]],abbreviation[],ColumnLanguage+1,FALSE),"")</f>
        <v/>
      </c>
    </row>
    <row r="1444" spans="1:3" x14ac:dyDescent="0.25">
      <c r="A1444" s="4" t="str">
        <f>IFERROR(parent_children_2[[#This Row],[parent_children_id]],"")</f>
        <v/>
      </c>
      <c r="B1444" s="4" t="str">
        <f>IFERROR(VLOOKUP(parent_children_2[[#This Row],[parent_id]],abbreviation[],3,FALSE),"")</f>
        <v/>
      </c>
      <c r="C1444" s="4" t="str">
        <f>IFERROR(VLOOKUP(parent_children_2[[#This Row],[children_id]],abbreviation[],ColumnLanguage+1,FALSE),"")</f>
        <v/>
      </c>
    </row>
    <row r="1445" spans="1:3" x14ac:dyDescent="0.25">
      <c r="A1445" s="4" t="str">
        <f>IFERROR(parent_children_2[[#This Row],[parent_children_id]],"")</f>
        <v/>
      </c>
      <c r="B1445" s="4" t="str">
        <f>IFERROR(VLOOKUP(parent_children_2[[#This Row],[parent_id]],abbreviation[],3,FALSE),"")</f>
        <v/>
      </c>
      <c r="C1445" s="4" t="str">
        <f>IFERROR(VLOOKUP(parent_children_2[[#This Row],[children_id]],abbreviation[],ColumnLanguage+1,FALSE),"")</f>
        <v/>
      </c>
    </row>
    <row r="1446" spans="1:3" x14ac:dyDescent="0.25">
      <c r="A1446" s="4" t="str">
        <f>IFERROR(parent_children_2[[#This Row],[parent_children_id]],"")</f>
        <v/>
      </c>
      <c r="B1446" s="4" t="str">
        <f>IFERROR(VLOOKUP(parent_children_2[[#This Row],[parent_id]],abbreviation[],3,FALSE),"")</f>
        <v/>
      </c>
      <c r="C1446" s="4" t="str">
        <f>IFERROR(VLOOKUP(parent_children_2[[#This Row],[children_id]],abbreviation[],ColumnLanguage+1,FALSE),"")</f>
        <v/>
      </c>
    </row>
    <row r="1447" spans="1:3" x14ac:dyDescent="0.25">
      <c r="A1447" s="4" t="str">
        <f>IFERROR(parent_children_2[[#This Row],[parent_children_id]],"")</f>
        <v/>
      </c>
      <c r="B1447" s="4" t="str">
        <f>IFERROR(VLOOKUP(parent_children_2[[#This Row],[parent_id]],abbreviation[],3,FALSE),"")</f>
        <v/>
      </c>
      <c r="C1447" s="4" t="str">
        <f>IFERROR(VLOOKUP(parent_children_2[[#This Row],[children_id]],abbreviation[],ColumnLanguage+1,FALSE),"")</f>
        <v/>
      </c>
    </row>
    <row r="1448" spans="1:3" x14ac:dyDescent="0.25">
      <c r="A1448" s="4" t="str">
        <f>IFERROR(parent_children_2[[#This Row],[parent_children_id]],"")</f>
        <v/>
      </c>
      <c r="B1448" s="4" t="str">
        <f>IFERROR(VLOOKUP(parent_children_2[[#This Row],[parent_id]],abbreviation[],3,FALSE),"")</f>
        <v/>
      </c>
      <c r="C1448" s="4" t="str">
        <f>IFERROR(VLOOKUP(parent_children_2[[#This Row],[children_id]],abbreviation[],ColumnLanguage+1,FALSE),"")</f>
        <v/>
      </c>
    </row>
    <row r="1449" spans="1:3" x14ac:dyDescent="0.25">
      <c r="A1449" s="4" t="str">
        <f>IFERROR(parent_children_2[[#This Row],[parent_children_id]],"")</f>
        <v/>
      </c>
      <c r="B1449" s="4" t="str">
        <f>IFERROR(VLOOKUP(parent_children_2[[#This Row],[parent_id]],abbreviation[],3,FALSE),"")</f>
        <v/>
      </c>
      <c r="C1449" s="4" t="str">
        <f>IFERROR(VLOOKUP(parent_children_2[[#This Row],[children_id]],abbreviation[],ColumnLanguage+1,FALSE),"")</f>
        <v/>
      </c>
    </row>
    <row r="1450" spans="1:3" x14ac:dyDescent="0.25">
      <c r="A1450" s="4" t="str">
        <f>IFERROR(parent_children_2[[#This Row],[parent_children_id]],"")</f>
        <v/>
      </c>
      <c r="B1450" s="4" t="str">
        <f>IFERROR(VLOOKUP(parent_children_2[[#This Row],[parent_id]],abbreviation[],3,FALSE),"")</f>
        <v/>
      </c>
      <c r="C1450" s="4" t="str">
        <f>IFERROR(VLOOKUP(parent_children_2[[#This Row],[children_id]],abbreviation[],ColumnLanguage+1,FALSE),"")</f>
        <v/>
      </c>
    </row>
    <row r="1451" spans="1:3" x14ac:dyDescent="0.25">
      <c r="A1451" s="4" t="str">
        <f>IFERROR(parent_children_2[[#This Row],[parent_children_id]],"")</f>
        <v/>
      </c>
      <c r="B1451" s="4" t="str">
        <f>IFERROR(VLOOKUP(parent_children_2[[#This Row],[parent_id]],abbreviation[],3,FALSE),"")</f>
        <v/>
      </c>
      <c r="C1451" s="4" t="str">
        <f>IFERROR(VLOOKUP(parent_children_2[[#This Row],[children_id]],abbreviation[],ColumnLanguage+1,FALSE),"")</f>
        <v/>
      </c>
    </row>
    <row r="1452" spans="1:3" x14ac:dyDescent="0.25">
      <c r="A1452" s="4" t="str">
        <f>IFERROR(parent_children_2[[#This Row],[parent_children_id]],"")</f>
        <v/>
      </c>
      <c r="B1452" s="4" t="str">
        <f>IFERROR(VLOOKUP(parent_children_2[[#This Row],[parent_id]],abbreviation[],3,FALSE),"")</f>
        <v/>
      </c>
      <c r="C1452" s="4" t="str">
        <f>IFERROR(VLOOKUP(parent_children_2[[#This Row],[children_id]],abbreviation[],ColumnLanguage+1,FALSE),"")</f>
        <v/>
      </c>
    </row>
    <row r="1453" spans="1:3" x14ac:dyDescent="0.25">
      <c r="A1453" s="4" t="str">
        <f>IFERROR(parent_children_2[[#This Row],[parent_children_id]],"")</f>
        <v/>
      </c>
      <c r="B1453" s="4" t="str">
        <f>IFERROR(VLOOKUP(parent_children_2[[#This Row],[parent_id]],abbreviation[],3,FALSE),"")</f>
        <v/>
      </c>
      <c r="C1453" s="4" t="str">
        <f>IFERROR(VLOOKUP(parent_children_2[[#This Row],[children_id]],abbreviation[],ColumnLanguage+1,FALSE),"")</f>
        <v/>
      </c>
    </row>
    <row r="1454" spans="1:3" x14ac:dyDescent="0.25">
      <c r="A1454" s="4" t="str">
        <f>IFERROR(parent_children_2[[#This Row],[parent_children_id]],"")</f>
        <v/>
      </c>
      <c r="B1454" s="4" t="str">
        <f>IFERROR(VLOOKUP(parent_children_2[[#This Row],[parent_id]],abbreviation[],3,FALSE),"")</f>
        <v/>
      </c>
      <c r="C1454" s="4" t="str">
        <f>IFERROR(VLOOKUP(parent_children_2[[#This Row],[children_id]],abbreviation[],ColumnLanguage+1,FALSE),"")</f>
        <v/>
      </c>
    </row>
    <row r="1455" spans="1:3" x14ac:dyDescent="0.25">
      <c r="A1455" s="4" t="str">
        <f>IFERROR(parent_children_2[[#This Row],[parent_children_id]],"")</f>
        <v/>
      </c>
      <c r="B1455" s="4" t="str">
        <f>IFERROR(VLOOKUP(parent_children_2[[#This Row],[parent_id]],abbreviation[],3,FALSE),"")</f>
        <v/>
      </c>
      <c r="C1455" s="4" t="str">
        <f>IFERROR(VLOOKUP(parent_children_2[[#This Row],[children_id]],abbreviation[],ColumnLanguage+1,FALSE),"")</f>
        <v/>
      </c>
    </row>
    <row r="1456" spans="1:3" x14ac:dyDescent="0.25">
      <c r="A1456" s="4" t="str">
        <f>IFERROR(parent_children_2[[#This Row],[parent_children_id]],"")</f>
        <v/>
      </c>
      <c r="B1456" s="4" t="str">
        <f>IFERROR(VLOOKUP(parent_children_2[[#This Row],[parent_id]],abbreviation[],3,FALSE),"")</f>
        <v/>
      </c>
      <c r="C1456" s="4" t="str">
        <f>IFERROR(VLOOKUP(parent_children_2[[#This Row],[children_id]],abbreviation[],ColumnLanguage+1,FALSE),"")</f>
        <v/>
      </c>
    </row>
    <row r="1457" spans="1:3" x14ac:dyDescent="0.25">
      <c r="A1457" s="4" t="str">
        <f>IFERROR(parent_children_2[[#This Row],[parent_children_id]],"")</f>
        <v/>
      </c>
      <c r="B1457" s="4" t="str">
        <f>IFERROR(VLOOKUP(parent_children_2[[#This Row],[parent_id]],abbreviation[],3,FALSE),"")</f>
        <v/>
      </c>
      <c r="C1457" s="4" t="str">
        <f>IFERROR(VLOOKUP(parent_children_2[[#This Row],[children_id]],abbreviation[],ColumnLanguage+1,FALSE),"")</f>
        <v/>
      </c>
    </row>
    <row r="1458" spans="1:3" x14ac:dyDescent="0.25">
      <c r="A1458" s="4" t="str">
        <f>IFERROR(parent_children_2[[#This Row],[parent_children_id]],"")</f>
        <v/>
      </c>
      <c r="B1458" s="4" t="str">
        <f>IFERROR(VLOOKUP(parent_children_2[[#This Row],[parent_id]],abbreviation[],3,FALSE),"")</f>
        <v/>
      </c>
      <c r="C1458" s="4" t="str">
        <f>IFERROR(VLOOKUP(parent_children_2[[#This Row],[children_id]],abbreviation[],ColumnLanguage+1,FALSE),"")</f>
        <v/>
      </c>
    </row>
    <row r="1459" spans="1:3" x14ac:dyDescent="0.25">
      <c r="A1459" s="4" t="str">
        <f>IFERROR(parent_children_2[[#This Row],[parent_children_id]],"")</f>
        <v/>
      </c>
      <c r="B1459" s="4" t="str">
        <f>IFERROR(VLOOKUP(parent_children_2[[#This Row],[parent_id]],abbreviation[],3,FALSE),"")</f>
        <v/>
      </c>
      <c r="C1459" s="4" t="str">
        <f>IFERROR(VLOOKUP(parent_children_2[[#This Row],[children_id]],abbreviation[],ColumnLanguage+1,FALSE),"")</f>
        <v/>
      </c>
    </row>
    <row r="1460" spans="1:3" x14ac:dyDescent="0.25">
      <c r="A1460" s="4" t="str">
        <f>IFERROR(parent_children_2[[#This Row],[parent_children_id]],"")</f>
        <v/>
      </c>
      <c r="B1460" s="4" t="str">
        <f>IFERROR(VLOOKUP(parent_children_2[[#This Row],[parent_id]],abbreviation[],3,FALSE),"")</f>
        <v/>
      </c>
      <c r="C1460" s="4" t="str">
        <f>IFERROR(VLOOKUP(parent_children_2[[#This Row],[children_id]],abbreviation[],ColumnLanguage+1,FALSE),"")</f>
        <v/>
      </c>
    </row>
    <row r="1461" spans="1:3" x14ac:dyDescent="0.25">
      <c r="A1461" s="4" t="str">
        <f>IFERROR(parent_children_2[[#This Row],[parent_children_id]],"")</f>
        <v/>
      </c>
      <c r="B1461" s="4" t="str">
        <f>IFERROR(VLOOKUP(parent_children_2[[#This Row],[parent_id]],abbreviation[],3,FALSE),"")</f>
        <v/>
      </c>
      <c r="C1461" s="4" t="str">
        <f>IFERROR(VLOOKUP(parent_children_2[[#This Row],[children_id]],abbreviation[],ColumnLanguage+1,FALSE),"")</f>
        <v/>
      </c>
    </row>
    <row r="1462" spans="1:3" x14ac:dyDescent="0.25">
      <c r="A1462" s="4" t="str">
        <f>IFERROR(parent_children_2[[#This Row],[parent_children_id]],"")</f>
        <v/>
      </c>
      <c r="B1462" s="4" t="str">
        <f>IFERROR(VLOOKUP(parent_children_2[[#This Row],[parent_id]],abbreviation[],3,FALSE),"")</f>
        <v/>
      </c>
      <c r="C1462" s="4" t="str">
        <f>IFERROR(VLOOKUP(parent_children_2[[#This Row],[children_id]],abbreviation[],ColumnLanguage+1,FALSE),"")</f>
        <v/>
      </c>
    </row>
    <row r="1463" spans="1:3" x14ac:dyDescent="0.25">
      <c r="A1463" s="4" t="str">
        <f>IFERROR(parent_children_2[[#This Row],[parent_children_id]],"")</f>
        <v/>
      </c>
      <c r="B1463" s="4" t="str">
        <f>IFERROR(VLOOKUP(parent_children_2[[#This Row],[parent_id]],abbreviation[],3,FALSE),"")</f>
        <v/>
      </c>
      <c r="C1463" s="4" t="str">
        <f>IFERROR(VLOOKUP(parent_children_2[[#This Row],[children_id]],abbreviation[],ColumnLanguage+1,FALSE),"")</f>
        <v/>
      </c>
    </row>
    <row r="1464" spans="1:3" x14ac:dyDescent="0.25">
      <c r="A1464" s="4" t="str">
        <f>IFERROR(parent_children_2[[#This Row],[parent_children_id]],"")</f>
        <v/>
      </c>
      <c r="B1464" s="4" t="str">
        <f>IFERROR(VLOOKUP(parent_children_2[[#This Row],[parent_id]],abbreviation[],3,FALSE),"")</f>
        <v/>
      </c>
      <c r="C1464" s="4" t="str">
        <f>IFERROR(VLOOKUP(parent_children_2[[#This Row],[children_id]],abbreviation[],ColumnLanguage+1,FALSE),"")</f>
        <v/>
      </c>
    </row>
    <row r="1465" spans="1:3" x14ac:dyDescent="0.25">
      <c r="A1465" s="4" t="str">
        <f>IFERROR(parent_children_2[[#This Row],[parent_children_id]],"")</f>
        <v/>
      </c>
      <c r="B1465" s="4" t="str">
        <f>IFERROR(VLOOKUP(parent_children_2[[#This Row],[parent_id]],abbreviation[],3,FALSE),"")</f>
        <v/>
      </c>
      <c r="C1465" s="4" t="str">
        <f>IFERROR(VLOOKUP(parent_children_2[[#This Row],[children_id]],abbreviation[],ColumnLanguage+1,FALSE),"")</f>
        <v/>
      </c>
    </row>
    <row r="1466" spans="1:3" x14ac:dyDescent="0.25">
      <c r="A1466" s="4" t="str">
        <f>IFERROR(parent_children_2[[#This Row],[parent_children_id]],"")</f>
        <v/>
      </c>
      <c r="B1466" s="4" t="str">
        <f>IFERROR(VLOOKUP(parent_children_2[[#This Row],[parent_id]],abbreviation[],3,FALSE),"")</f>
        <v/>
      </c>
      <c r="C1466" s="4" t="str">
        <f>IFERROR(VLOOKUP(parent_children_2[[#This Row],[children_id]],abbreviation[],ColumnLanguage+1,FALSE),"")</f>
        <v/>
      </c>
    </row>
    <row r="1467" spans="1:3" x14ac:dyDescent="0.25">
      <c r="A1467" s="4" t="str">
        <f>IFERROR(parent_children_2[[#This Row],[parent_children_id]],"")</f>
        <v/>
      </c>
      <c r="B1467" s="4" t="str">
        <f>IFERROR(VLOOKUP(parent_children_2[[#This Row],[parent_id]],abbreviation[],3,FALSE),"")</f>
        <v/>
      </c>
      <c r="C1467" s="4" t="str">
        <f>IFERROR(VLOOKUP(parent_children_2[[#This Row],[children_id]],abbreviation[],ColumnLanguage+1,FALSE),"")</f>
        <v/>
      </c>
    </row>
    <row r="1468" spans="1:3" x14ac:dyDescent="0.25">
      <c r="A1468" s="4" t="str">
        <f>IFERROR(parent_children_2[[#This Row],[parent_children_id]],"")</f>
        <v/>
      </c>
      <c r="B1468" s="4" t="str">
        <f>IFERROR(VLOOKUP(parent_children_2[[#This Row],[parent_id]],abbreviation[],3,FALSE),"")</f>
        <v/>
      </c>
      <c r="C1468" s="4" t="str">
        <f>IFERROR(VLOOKUP(parent_children_2[[#This Row],[children_id]],abbreviation[],ColumnLanguage+1,FALSE),"")</f>
        <v/>
      </c>
    </row>
    <row r="1469" spans="1:3" x14ac:dyDescent="0.25">
      <c r="A1469" s="4" t="str">
        <f>IFERROR(parent_children_2[[#This Row],[parent_children_id]],"")</f>
        <v/>
      </c>
      <c r="B1469" s="4" t="str">
        <f>IFERROR(VLOOKUP(parent_children_2[[#This Row],[parent_id]],abbreviation[],3,FALSE),"")</f>
        <v/>
      </c>
      <c r="C1469" s="4" t="str">
        <f>IFERROR(VLOOKUP(parent_children_2[[#This Row],[children_id]],abbreviation[],ColumnLanguage+1,FALSE),"")</f>
        <v/>
      </c>
    </row>
    <row r="1470" spans="1:3" x14ac:dyDescent="0.25">
      <c r="A1470" s="4" t="str">
        <f>IFERROR(parent_children_2[[#This Row],[parent_children_id]],"")</f>
        <v/>
      </c>
      <c r="B1470" s="4" t="str">
        <f>IFERROR(VLOOKUP(parent_children_2[[#This Row],[parent_id]],abbreviation[],3,FALSE),"")</f>
        <v/>
      </c>
      <c r="C1470" s="4" t="str">
        <f>IFERROR(VLOOKUP(parent_children_2[[#This Row],[children_id]],abbreviation[],ColumnLanguage+1,FALSE),"")</f>
        <v/>
      </c>
    </row>
    <row r="1471" spans="1:3" x14ac:dyDescent="0.25">
      <c r="A1471" s="4" t="str">
        <f>IFERROR(parent_children_2[[#This Row],[parent_children_id]],"")</f>
        <v/>
      </c>
      <c r="B1471" s="4" t="str">
        <f>IFERROR(VLOOKUP(parent_children_2[[#This Row],[parent_id]],abbreviation[],3,FALSE),"")</f>
        <v/>
      </c>
      <c r="C1471" s="4" t="str">
        <f>IFERROR(VLOOKUP(parent_children_2[[#This Row],[children_id]],abbreviation[],ColumnLanguage+1,FALSE),"")</f>
        <v/>
      </c>
    </row>
    <row r="1472" spans="1:3" x14ac:dyDescent="0.25">
      <c r="A1472" s="4" t="str">
        <f>IFERROR(parent_children_2[[#This Row],[parent_children_id]],"")</f>
        <v/>
      </c>
      <c r="B1472" s="4" t="str">
        <f>IFERROR(VLOOKUP(parent_children_2[[#This Row],[parent_id]],abbreviation[],3,FALSE),"")</f>
        <v/>
      </c>
      <c r="C1472" s="4" t="str">
        <f>IFERROR(VLOOKUP(parent_children_2[[#This Row],[children_id]],abbreviation[],ColumnLanguage+1,FALSE),"")</f>
        <v/>
      </c>
    </row>
    <row r="1473" spans="1:3" x14ac:dyDescent="0.25">
      <c r="A1473" s="4" t="str">
        <f>IFERROR(parent_children_2[[#This Row],[parent_children_id]],"")</f>
        <v/>
      </c>
      <c r="B1473" s="4" t="str">
        <f>IFERROR(VLOOKUP(parent_children_2[[#This Row],[parent_id]],abbreviation[],3,FALSE),"")</f>
        <v/>
      </c>
      <c r="C1473" s="4" t="str">
        <f>IFERROR(VLOOKUP(parent_children_2[[#This Row],[children_id]],abbreviation[],ColumnLanguage+1,FALSE),"")</f>
        <v/>
      </c>
    </row>
    <row r="1474" spans="1:3" x14ac:dyDescent="0.25">
      <c r="A1474" s="4" t="str">
        <f>IFERROR(parent_children_2[[#This Row],[parent_children_id]],"")</f>
        <v/>
      </c>
      <c r="B1474" s="4" t="str">
        <f>IFERROR(VLOOKUP(parent_children_2[[#This Row],[parent_id]],abbreviation[],3,FALSE),"")</f>
        <v/>
      </c>
      <c r="C1474" s="4" t="str">
        <f>IFERROR(VLOOKUP(parent_children_2[[#This Row],[children_id]],abbreviation[],ColumnLanguage+1,FALSE),"")</f>
        <v/>
      </c>
    </row>
    <row r="1475" spans="1:3" x14ac:dyDescent="0.25">
      <c r="A1475" s="4" t="str">
        <f>IFERROR(parent_children_2[[#This Row],[parent_children_id]],"")</f>
        <v/>
      </c>
      <c r="B1475" s="4" t="str">
        <f>IFERROR(VLOOKUP(parent_children_2[[#This Row],[parent_id]],abbreviation[],3,FALSE),"")</f>
        <v/>
      </c>
      <c r="C1475" s="4" t="str">
        <f>IFERROR(VLOOKUP(parent_children_2[[#This Row],[children_id]],abbreviation[],ColumnLanguage+1,FALSE),"")</f>
        <v/>
      </c>
    </row>
    <row r="1476" spans="1:3" x14ac:dyDescent="0.25">
      <c r="A1476" s="4" t="str">
        <f>IFERROR(parent_children_2[[#This Row],[parent_children_id]],"")</f>
        <v/>
      </c>
      <c r="B1476" s="4" t="str">
        <f>IFERROR(VLOOKUP(parent_children_2[[#This Row],[parent_id]],abbreviation[],3,FALSE),"")</f>
        <v/>
      </c>
      <c r="C1476" s="4" t="str">
        <f>IFERROR(VLOOKUP(parent_children_2[[#This Row],[children_id]],abbreviation[],ColumnLanguage+1,FALSE),"")</f>
        <v/>
      </c>
    </row>
    <row r="1477" spans="1:3" x14ac:dyDescent="0.25">
      <c r="A1477" s="4" t="str">
        <f>IFERROR(parent_children_2[[#This Row],[parent_children_id]],"")</f>
        <v/>
      </c>
      <c r="B1477" s="4" t="str">
        <f>IFERROR(VLOOKUP(parent_children_2[[#This Row],[parent_id]],abbreviation[],3,FALSE),"")</f>
        <v/>
      </c>
      <c r="C1477" s="4" t="str">
        <f>IFERROR(VLOOKUP(parent_children_2[[#This Row],[children_id]],abbreviation[],ColumnLanguage+1,FALSE),"")</f>
        <v/>
      </c>
    </row>
    <row r="1478" spans="1:3" x14ac:dyDescent="0.25">
      <c r="A1478" s="4" t="str">
        <f>IFERROR(parent_children_2[[#This Row],[parent_children_id]],"")</f>
        <v/>
      </c>
      <c r="B1478" s="4" t="str">
        <f>IFERROR(VLOOKUP(parent_children_2[[#This Row],[parent_id]],abbreviation[],3,FALSE),"")</f>
        <v/>
      </c>
      <c r="C1478" s="4" t="str">
        <f>IFERROR(VLOOKUP(parent_children_2[[#This Row],[children_id]],abbreviation[],ColumnLanguage+1,FALSE),"")</f>
        <v/>
      </c>
    </row>
    <row r="1479" spans="1:3" x14ac:dyDescent="0.25">
      <c r="A1479" s="4" t="str">
        <f>IFERROR(parent_children_2[[#This Row],[parent_children_id]],"")</f>
        <v/>
      </c>
      <c r="B1479" s="4" t="str">
        <f>IFERROR(VLOOKUP(parent_children_2[[#This Row],[parent_id]],abbreviation[],3,FALSE),"")</f>
        <v/>
      </c>
      <c r="C1479" s="4" t="str">
        <f>IFERROR(VLOOKUP(parent_children_2[[#This Row],[children_id]],abbreviation[],ColumnLanguage+1,FALSE),"")</f>
        <v/>
      </c>
    </row>
    <row r="1480" spans="1:3" x14ac:dyDescent="0.25">
      <c r="A1480" s="4" t="str">
        <f>IFERROR(parent_children_2[[#This Row],[parent_children_id]],"")</f>
        <v/>
      </c>
      <c r="B1480" s="4" t="str">
        <f>IFERROR(VLOOKUP(parent_children_2[[#This Row],[parent_id]],abbreviation[],3,FALSE),"")</f>
        <v/>
      </c>
      <c r="C1480" s="4" t="str">
        <f>IFERROR(VLOOKUP(parent_children_2[[#This Row],[children_id]],abbreviation[],ColumnLanguage+1,FALSE),"")</f>
        <v/>
      </c>
    </row>
    <row r="1481" spans="1:3" x14ac:dyDescent="0.25">
      <c r="A1481" s="4" t="str">
        <f>IFERROR(parent_children_2[[#This Row],[parent_children_id]],"")</f>
        <v/>
      </c>
      <c r="B1481" s="4" t="str">
        <f>IFERROR(VLOOKUP(parent_children_2[[#This Row],[parent_id]],abbreviation[],3,FALSE),"")</f>
        <v/>
      </c>
      <c r="C1481" s="4" t="str">
        <f>IFERROR(VLOOKUP(parent_children_2[[#This Row],[children_id]],abbreviation[],ColumnLanguage+1,FALSE),"")</f>
        <v/>
      </c>
    </row>
    <row r="1482" spans="1:3" x14ac:dyDescent="0.25">
      <c r="A1482" s="4" t="str">
        <f>IFERROR(parent_children_2[[#This Row],[parent_children_id]],"")</f>
        <v/>
      </c>
      <c r="B1482" s="4" t="str">
        <f>IFERROR(VLOOKUP(parent_children_2[[#This Row],[parent_id]],abbreviation[],3,FALSE),"")</f>
        <v/>
      </c>
      <c r="C1482" s="4" t="str">
        <f>IFERROR(VLOOKUP(parent_children_2[[#This Row],[children_id]],abbreviation[],ColumnLanguage+1,FALSE),"")</f>
        <v/>
      </c>
    </row>
    <row r="1483" spans="1:3" x14ac:dyDescent="0.25">
      <c r="A1483" s="4" t="str">
        <f>IFERROR(parent_children_2[[#This Row],[parent_children_id]],"")</f>
        <v/>
      </c>
      <c r="B1483" s="4" t="str">
        <f>IFERROR(VLOOKUP(parent_children_2[[#This Row],[parent_id]],abbreviation[],3,FALSE),"")</f>
        <v/>
      </c>
      <c r="C1483" s="4" t="str">
        <f>IFERROR(VLOOKUP(parent_children_2[[#This Row],[children_id]],abbreviation[],ColumnLanguage+1,FALSE),"")</f>
        <v/>
      </c>
    </row>
    <row r="1484" spans="1:3" x14ac:dyDescent="0.25">
      <c r="A1484" s="4" t="str">
        <f>IFERROR(parent_children_2[[#This Row],[parent_children_id]],"")</f>
        <v/>
      </c>
      <c r="B1484" s="4" t="str">
        <f>IFERROR(VLOOKUP(parent_children_2[[#This Row],[parent_id]],abbreviation[],3,FALSE),"")</f>
        <v/>
      </c>
      <c r="C1484" s="4" t="str">
        <f>IFERROR(VLOOKUP(parent_children_2[[#This Row],[children_id]],abbreviation[],ColumnLanguage+1,FALSE),"")</f>
        <v/>
      </c>
    </row>
    <row r="1485" spans="1:3" x14ac:dyDescent="0.25">
      <c r="A1485" s="4" t="str">
        <f>IFERROR(parent_children_2[[#This Row],[parent_children_id]],"")</f>
        <v/>
      </c>
      <c r="B1485" s="4" t="str">
        <f>IFERROR(VLOOKUP(parent_children_2[[#This Row],[parent_id]],abbreviation[],3,FALSE),"")</f>
        <v/>
      </c>
      <c r="C1485" s="4" t="str">
        <f>IFERROR(VLOOKUP(parent_children_2[[#This Row],[children_id]],abbreviation[],ColumnLanguage+1,FALSE),"")</f>
        <v/>
      </c>
    </row>
    <row r="1486" spans="1:3" x14ac:dyDescent="0.25">
      <c r="A1486" s="4" t="str">
        <f>IFERROR(parent_children_2[[#This Row],[parent_children_id]],"")</f>
        <v/>
      </c>
      <c r="B1486" s="4" t="str">
        <f>IFERROR(VLOOKUP(parent_children_2[[#This Row],[parent_id]],abbreviation[],3,FALSE),"")</f>
        <v/>
      </c>
      <c r="C1486" s="4" t="str">
        <f>IFERROR(VLOOKUP(parent_children_2[[#This Row],[children_id]],abbreviation[],ColumnLanguage+1,FALSE),"")</f>
        <v/>
      </c>
    </row>
    <row r="1487" spans="1:3" x14ac:dyDescent="0.25">
      <c r="A1487" s="4" t="str">
        <f>IFERROR(parent_children_2[[#This Row],[parent_children_id]],"")</f>
        <v/>
      </c>
      <c r="B1487" s="4" t="str">
        <f>IFERROR(VLOOKUP(parent_children_2[[#This Row],[parent_id]],abbreviation[],3,FALSE),"")</f>
        <v/>
      </c>
      <c r="C1487" s="4" t="str">
        <f>IFERROR(VLOOKUP(parent_children_2[[#This Row],[children_id]],abbreviation[],ColumnLanguage+1,FALSE),"")</f>
        <v/>
      </c>
    </row>
    <row r="1488" spans="1:3" x14ac:dyDescent="0.25">
      <c r="A1488" s="4" t="str">
        <f>IFERROR(parent_children_2[[#This Row],[parent_children_id]],"")</f>
        <v/>
      </c>
      <c r="B1488" s="4" t="str">
        <f>IFERROR(VLOOKUP(parent_children_2[[#This Row],[parent_id]],abbreviation[],3,FALSE),"")</f>
        <v/>
      </c>
      <c r="C1488" s="4" t="str">
        <f>IFERROR(VLOOKUP(parent_children_2[[#This Row],[children_id]],abbreviation[],ColumnLanguage+1,FALSE),"")</f>
        <v/>
      </c>
    </row>
    <row r="1489" spans="1:3" x14ac:dyDescent="0.25">
      <c r="A1489" s="4" t="str">
        <f>IFERROR(parent_children_2[[#This Row],[parent_children_id]],"")</f>
        <v/>
      </c>
      <c r="B1489" s="4" t="str">
        <f>IFERROR(VLOOKUP(parent_children_2[[#This Row],[parent_id]],abbreviation[],3,FALSE),"")</f>
        <v/>
      </c>
      <c r="C1489" s="4" t="str">
        <f>IFERROR(VLOOKUP(parent_children_2[[#This Row],[children_id]],abbreviation[],ColumnLanguage+1,FALSE),"")</f>
        <v/>
      </c>
    </row>
    <row r="1490" spans="1:3" x14ac:dyDescent="0.25">
      <c r="A1490" s="4" t="str">
        <f>IFERROR(parent_children_2[[#This Row],[parent_children_id]],"")</f>
        <v/>
      </c>
      <c r="B1490" s="4" t="str">
        <f>IFERROR(VLOOKUP(parent_children_2[[#This Row],[parent_id]],abbreviation[],3,FALSE),"")</f>
        <v/>
      </c>
      <c r="C1490" s="4" t="str">
        <f>IFERROR(VLOOKUP(parent_children_2[[#This Row],[children_id]],abbreviation[],ColumnLanguage+1,FALSE),"")</f>
        <v/>
      </c>
    </row>
    <row r="1491" spans="1:3" x14ac:dyDescent="0.25">
      <c r="A1491" s="4" t="str">
        <f>IFERROR(parent_children_2[[#This Row],[parent_children_id]],"")</f>
        <v/>
      </c>
      <c r="B1491" s="4" t="str">
        <f>IFERROR(VLOOKUP(parent_children_2[[#This Row],[parent_id]],abbreviation[],3,FALSE),"")</f>
        <v/>
      </c>
      <c r="C1491" s="4" t="str">
        <f>IFERROR(VLOOKUP(parent_children_2[[#This Row],[children_id]],abbreviation[],ColumnLanguage+1,FALSE),"")</f>
        <v/>
      </c>
    </row>
    <row r="1492" spans="1:3" x14ac:dyDescent="0.25">
      <c r="A1492" s="4" t="str">
        <f>IFERROR(parent_children_2[[#This Row],[parent_children_id]],"")</f>
        <v/>
      </c>
      <c r="B1492" s="4" t="str">
        <f>IFERROR(VLOOKUP(parent_children_2[[#This Row],[parent_id]],abbreviation[],3,FALSE),"")</f>
        <v/>
      </c>
      <c r="C1492" s="4" t="str">
        <f>IFERROR(VLOOKUP(parent_children_2[[#This Row],[children_id]],abbreviation[],ColumnLanguage+1,FALSE),"")</f>
        <v/>
      </c>
    </row>
    <row r="1493" spans="1:3" x14ac:dyDescent="0.25">
      <c r="A1493" s="4" t="str">
        <f>IFERROR(parent_children_2[[#This Row],[parent_children_id]],"")</f>
        <v/>
      </c>
      <c r="B1493" s="4" t="str">
        <f>IFERROR(VLOOKUP(parent_children_2[[#This Row],[parent_id]],abbreviation[],3,FALSE),"")</f>
        <v/>
      </c>
      <c r="C1493" s="4" t="str">
        <f>IFERROR(VLOOKUP(parent_children_2[[#This Row],[children_id]],abbreviation[],ColumnLanguage+1,FALSE),"")</f>
        <v/>
      </c>
    </row>
    <row r="1494" spans="1:3" x14ac:dyDescent="0.25">
      <c r="A1494" s="4" t="str">
        <f>IFERROR(parent_children_2[[#This Row],[parent_children_id]],"")</f>
        <v/>
      </c>
      <c r="B1494" s="4" t="str">
        <f>IFERROR(VLOOKUP(parent_children_2[[#This Row],[parent_id]],abbreviation[],3,FALSE),"")</f>
        <v/>
      </c>
      <c r="C1494" s="4" t="str">
        <f>IFERROR(VLOOKUP(parent_children_2[[#This Row],[children_id]],abbreviation[],ColumnLanguage+1,FALSE),"")</f>
        <v/>
      </c>
    </row>
    <row r="1495" spans="1:3" x14ac:dyDescent="0.25">
      <c r="A1495" s="4" t="str">
        <f>IFERROR(parent_children_2[[#This Row],[parent_children_id]],"")</f>
        <v/>
      </c>
      <c r="B1495" s="4" t="str">
        <f>IFERROR(VLOOKUP(parent_children_2[[#This Row],[parent_id]],abbreviation[],3,FALSE),"")</f>
        <v/>
      </c>
      <c r="C1495" s="4" t="str">
        <f>IFERROR(VLOOKUP(parent_children_2[[#This Row],[children_id]],abbreviation[],ColumnLanguage+1,FALSE),"")</f>
        <v/>
      </c>
    </row>
    <row r="1496" spans="1:3" x14ac:dyDescent="0.25">
      <c r="A1496" s="4" t="str">
        <f>IFERROR(parent_children_2[[#This Row],[parent_children_id]],"")</f>
        <v/>
      </c>
      <c r="B1496" s="4" t="str">
        <f>IFERROR(VLOOKUP(parent_children_2[[#This Row],[parent_id]],abbreviation[],3,FALSE),"")</f>
        <v/>
      </c>
      <c r="C1496" s="4" t="str">
        <f>IFERROR(VLOOKUP(parent_children_2[[#This Row],[children_id]],abbreviation[],ColumnLanguage+1,FALSE),"")</f>
        <v/>
      </c>
    </row>
    <row r="1497" spans="1:3" x14ac:dyDescent="0.25">
      <c r="A1497" s="4" t="str">
        <f>IFERROR(parent_children_2[[#This Row],[parent_children_id]],"")</f>
        <v/>
      </c>
      <c r="B1497" s="4" t="str">
        <f>IFERROR(VLOOKUP(parent_children_2[[#This Row],[parent_id]],abbreviation[],3,FALSE),"")</f>
        <v/>
      </c>
      <c r="C1497" s="4" t="str">
        <f>IFERROR(VLOOKUP(parent_children_2[[#This Row],[children_id]],abbreviation[],ColumnLanguage+1,FALSE),"")</f>
        <v/>
      </c>
    </row>
    <row r="1498" spans="1:3" x14ac:dyDescent="0.25">
      <c r="A1498" s="4" t="str">
        <f>IFERROR(parent_children_2[[#This Row],[parent_children_id]],"")</f>
        <v/>
      </c>
      <c r="B1498" s="4" t="str">
        <f>IFERROR(VLOOKUP(parent_children_2[[#This Row],[parent_id]],abbreviation[],3,FALSE),"")</f>
        <v/>
      </c>
      <c r="C1498" s="4" t="str">
        <f>IFERROR(VLOOKUP(parent_children_2[[#This Row],[children_id]],abbreviation[],ColumnLanguage+1,FALSE),"")</f>
        <v/>
      </c>
    </row>
    <row r="1499" spans="1:3" x14ac:dyDescent="0.25">
      <c r="A1499" s="4" t="str">
        <f>IFERROR(parent_children_2[[#This Row],[parent_children_id]],"")</f>
        <v/>
      </c>
      <c r="B1499" s="4" t="str">
        <f>IFERROR(VLOOKUP(parent_children_2[[#This Row],[parent_id]],abbreviation[],3,FALSE),"")</f>
        <v/>
      </c>
      <c r="C1499" s="4" t="str">
        <f>IFERROR(VLOOKUP(parent_children_2[[#This Row],[children_id]],abbreviation[],ColumnLanguage+1,FALSE),"")</f>
        <v/>
      </c>
    </row>
  </sheetData>
  <dataValidations count="1">
    <dataValidation type="list" allowBlank="1" showInputMessage="1" showErrorMessage="1" sqref="I2:I4 B2:B207">
      <formula1>description_german</formula1>
    </dataValidation>
  </dataValidations>
  <pageMargins left="0.7" right="0.7" top="0.78740157499999996" bottom="0.78740157499999996" header="0.3" footer="0.3"/>
  <tableParts count="3">
    <tablePart r:id="rId1"/>
    <tablePart r:id="rId2"/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C3"/>
  <sheetViews>
    <sheetView workbookViewId="0"/>
  </sheetViews>
  <sheetFormatPr baseColWidth="10" defaultRowHeight="15" x14ac:dyDescent="0.25"/>
  <sheetData>
    <row r="3" spans="3:3" x14ac:dyDescent="0.25">
      <c r="C3" s="2" t="s">
        <v>441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4"/>
  <dimension ref="A1:G11"/>
  <sheetViews>
    <sheetView workbookViewId="0">
      <selection activeCell="G18" sqref="G18"/>
    </sheetView>
  </sheetViews>
  <sheetFormatPr baseColWidth="10" defaultRowHeight="15" x14ac:dyDescent="0.25"/>
  <cols>
    <col min="1" max="1" width="13.140625" bestFit="1" customWidth="1"/>
    <col min="2" max="2" width="43.42578125" style="2" bestFit="1" customWidth="1"/>
    <col min="3" max="3" width="18.140625" style="2" bestFit="1" customWidth="1"/>
    <col min="4" max="4" width="14" style="2" bestFit="1" customWidth="1"/>
    <col min="5" max="5" width="18.5703125" style="2" bestFit="1" customWidth="1"/>
    <col min="6" max="6" width="19.5703125" style="2" bestFit="1" customWidth="1"/>
    <col min="7" max="7" width="29.42578125" style="2" customWidth="1"/>
  </cols>
  <sheetData>
    <row r="1" spans="1:7" x14ac:dyDescent="0.25">
      <c r="A1" s="4" t="s">
        <v>877</v>
      </c>
      <c r="B1" s="4" t="s">
        <v>878</v>
      </c>
      <c r="C1" s="4" t="s">
        <v>879</v>
      </c>
      <c r="D1" s="4" t="s">
        <v>919</v>
      </c>
      <c r="E1" s="4" t="s">
        <v>880</v>
      </c>
      <c r="F1" s="4" t="s">
        <v>881</v>
      </c>
      <c r="G1" s="4" t="s">
        <v>17</v>
      </c>
    </row>
    <row r="2" spans="1:7" x14ac:dyDescent="0.25">
      <c r="A2" s="4">
        <v>1</v>
      </c>
      <c r="B2" s="4" t="s">
        <v>29</v>
      </c>
      <c r="C2" s="4" t="s">
        <v>29</v>
      </c>
      <c r="D2" s="4">
        <v>0</v>
      </c>
      <c r="E2" s="4" t="s">
        <v>882</v>
      </c>
      <c r="F2" s="4" t="s">
        <v>779</v>
      </c>
      <c r="G2" s="4" t="s">
        <v>29</v>
      </c>
    </row>
    <row r="3" spans="1:7" x14ac:dyDescent="0.25">
      <c r="A3" s="4">
        <v>3</v>
      </c>
      <c r="B3" s="4" t="s">
        <v>887</v>
      </c>
      <c r="C3" s="4" t="s">
        <v>169</v>
      </c>
      <c r="D3" s="4">
        <v>1</v>
      </c>
      <c r="E3" s="4" t="s">
        <v>29</v>
      </c>
      <c r="F3" s="4" t="s">
        <v>29</v>
      </c>
      <c r="G3" s="4" t="s">
        <v>29</v>
      </c>
    </row>
    <row r="4" spans="1:7" x14ac:dyDescent="0.25">
      <c r="A4" s="4">
        <v>5</v>
      </c>
      <c r="B4" s="4" t="s">
        <v>876</v>
      </c>
      <c r="C4" s="4" t="s">
        <v>888</v>
      </c>
      <c r="D4" s="4">
        <v>1</v>
      </c>
      <c r="E4" s="4" t="s">
        <v>29</v>
      </c>
      <c r="F4" s="4" t="s">
        <v>29</v>
      </c>
      <c r="G4" s="4" t="s">
        <v>29</v>
      </c>
    </row>
    <row r="5" spans="1:7" x14ac:dyDescent="0.25">
      <c r="A5" s="4">
        <v>6</v>
      </c>
      <c r="B5" s="4" t="s">
        <v>843</v>
      </c>
      <c r="C5" s="4" t="s">
        <v>846</v>
      </c>
      <c r="D5" s="4">
        <v>2</v>
      </c>
      <c r="E5" s="4" t="s">
        <v>29</v>
      </c>
      <c r="F5" s="4" t="s">
        <v>29</v>
      </c>
      <c r="G5" s="4" t="s">
        <v>898</v>
      </c>
    </row>
    <row r="6" spans="1:7" x14ac:dyDescent="0.25">
      <c r="A6" s="4">
        <v>7</v>
      </c>
      <c r="B6" s="4" t="s">
        <v>899</v>
      </c>
      <c r="C6" s="4" t="s">
        <v>840</v>
      </c>
      <c r="D6" s="4">
        <v>2</v>
      </c>
      <c r="E6" s="4" t="s">
        <v>29</v>
      </c>
      <c r="F6" s="4" t="s">
        <v>29</v>
      </c>
      <c r="G6" s="4" t="s">
        <v>898</v>
      </c>
    </row>
    <row r="7" spans="1:7" x14ac:dyDescent="0.25">
      <c r="A7" s="4">
        <v>8</v>
      </c>
      <c r="B7" s="4" t="s">
        <v>29</v>
      </c>
      <c r="C7" s="4" t="s">
        <v>29</v>
      </c>
      <c r="D7" s="4">
        <v>0</v>
      </c>
      <c r="E7" s="4" t="s">
        <v>269</v>
      </c>
      <c r="F7" s="4" t="s">
        <v>900</v>
      </c>
      <c r="G7" s="4" t="s">
        <v>898</v>
      </c>
    </row>
    <row r="8" spans="1:7" x14ac:dyDescent="0.25">
      <c r="A8" s="4">
        <v>9</v>
      </c>
      <c r="B8" s="4" t="s">
        <v>29</v>
      </c>
      <c r="C8" s="4" t="s">
        <v>29</v>
      </c>
      <c r="D8" s="4">
        <v>0</v>
      </c>
      <c r="E8" s="4" t="s">
        <v>265</v>
      </c>
      <c r="F8" s="4" t="s">
        <v>269</v>
      </c>
      <c r="G8" s="4" t="s">
        <v>904</v>
      </c>
    </row>
    <row r="9" spans="1:7" x14ac:dyDescent="0.25">
      <c r="A9" s="4">
        <v>10</v>
      </c>
      <c r="B9" s="4" t="s">
        <v>29</v>
      </c>
      <c r="C9" s="4" t="s">
        <v>29</v>
      </c>
      <c r="D9" s="4">
        <v>0</v>
      </c>
      <c r="E9" s="4" t="s">
        <v>370</v>
      </c>
      <c r="F9" s="4" t="s">
        <v>905</v>
      </c>
      <c r="G9" s="4" t="s">
        <v>29</v>
      </c>
    </row>
    <row r="10" spans="1:7" x14ac:dyDescent="0.25">
      <c r="A10" s="4">
        <v>11</v>
      </c>
      <c r="B10" s="4" t="s">
        <v>219</v>
      </c>
      <c r="C10" s="4" t="s">
        <v>917</v>
      </c>
      <c r="D10" s="4">
        <v>1</v>
      </c>
      <c r="E10" s="4" t="s">
        <v>29</v>
      </c>
      <c r="F10" s="4" t="s">
        <v>29</v>
      </c>
      <c r="G10" s="4" t="s">
        <v>29</v>
      </c>
    </row>
    <row r="11" spans="1:7" x14ac:dyDescent="0.25">
      <c r="A11" s="4">
        <v>12</v>
      </c>
      <c r="B11" s="4" t="s">
        <v>300</v>
      </c>
      <c r="C11" s="4" t="s">
        <v>918</v>
      </c>
      <c r="D11" s="4">
        <v>1</v>
      </c>
      <c r="E11" s="4" t="s">
        <v>29</v>
      </c>
      <c r="F11" s="4" t="s">
        <v>29</v>
      </c>
      <c r="G11" s="4" t="s">
        <v>29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AJ1000"/>
  <sheetViews>
    <sheetView workbookViewId="0">
      <selection activeCell="C34" sqref="C34"/>
    </sheetView>
  </sheetViews>
  <sheetFormatPr baseColWidth="10" defaultRowHeight="15" x14ac:dyDescent="0.25"/>
  <cols>
    <col min="1" max="1" width="30.28515625" bestFit="1" customWidth="1"/>
    <col min="2" max="2" width="30" bestFit="1" customWidth="1"/>
    <col min="3" max="6" width="30" style="2" customWidth="1"/>
    <col min="7" max="7" width="18.140625" bestFit="1" customWidth="1"/>
    <col min="8" max="8" width="29.85546875" style="2" bestFit="1" customWidth="1"/>
    <col min="9" max="9" width="39.85546875" bestFit="1" customWidth="1"/>
    <col min="10" max="10" width="25.5703125" bestFit="1" customWidth="1"/>
    <col min="11" max="11" width="17" bestFit="1" customWidth="1"/>
    <col min="12" max="12" width="19.140625" bestFit="1" customWidth="1"/>
    <col min="13" max="13" width="18.85546875" bestFit="1" customWidth="1"/>
    <col min="14" max="14" width="16.42578125" bestFit="1" customWidth="1"/>
    <col min="15" max="15" width="16.28515625" bestFit="1" customWidth="1"/>
    <col min="16" max="16" width="21.28515625" bestFit="1" customWidth="1"/>
    <col min="17" max="17" width="16.5703125" bestFit="1" customWidth="1"/>
    <col min="20" max="20" width="25.7109375" bestFit="1" customWidth="1"/>
    <col min="22" max="22" width="19.5703125" bestFit="1" customWidth="1"/>
    <col min="23" max="23" width="17.28515625" bestFit="1" customWidth="1"/>
    <col min="24" max="24" width="13.85546875" customWidth="1"/>
    <col min="25" max="25" width="20" bestFit="1" customWidth="1"/>
    <col min="26" max="26" width="17.28515625" bestFit="1" customWidth="1"/>
    <col min="27" max="28" width="25.7109375" bestFit="1" customWidth="1"/>
    <col min="29" max="30" width="24.140625" bestFit="1" customWidth="1"/>
    <col min="31" max="31" width="25.7109375" bestFit="1" customWidth="1"/>
    <col min="33" max="33" width="16.7109375" bestFit="1" customWidth="1"/>
  </cols>
  <sheetData>
    <row r="1" spans="1:36" x14ac:dyDescent="0.25">
      <c r="A1" t="s">
        <v>13</v>
      </c>
      <c r="B1" t="s">
        <v>513</v>
      </c>
      <c r="C1" s="2" t="s">
        <v>526</v>
      </c>
      <c r="D1" s="2" t="s">
        <v>15</v>
      </c>
      <c r="E1" s="2" t="s">
        <v>516</v>
      </c>
      <c r="F1" s="2" t="s">
        <v>518</v>
      </c>
      <c r="G1" t="s">
        <v>552</v>
      </c>
      <c r="H1" s="3" t="s">
        <v>839</v>
      </c>
      <c r="I1" t="s">
        <v>520</v>
      </c>
      <c r="J1" t="s">
        <v>576</v>
      </c>
      <c r="K1" t="s">
        <v>840</v>
      </c>
      <c r="L1" t="s">
        <v>583</v>
      </c>
      <c r="M1" t="s">
        <v>586</v>
      </c>
      <c r="N1" t="s">
        <v>584</v>
      </c>
      <c r="O1" t="s">
        <v>587</v>
      </c>
      <c r="P1" t="s">
        <v>585</v>
      </c>
      <c r="Q1" t="s">
        <v>588</v>
      </c>
      <c r="R1" t="s">
        <v>632</v>
      </c>
      <c r="S1" t="s">
        <v>846</v>
      </c>
      <c r="T1" t="s">
        <v>631</v>
      </c>
      <c r="U1" t="s">
        <v>630</v>
      </c>
      <c r="V1" t="s">
        <v>590</v>
      </c>
      <c r="W1" t="s">
        <v>578</v>
      </c>
      <c r="X1" t="s">
        <v>665</v>
      </c>
      <c r="Y1" t="s">
        <v>633</v>
      </c>
      <c r="Z1" t="s">
        <v>572</v>
      </c>
      <c r="AA1" t="s">
        <v>733</v>
      </c>
      <c r="AB1" t="s">
        <v>736</v>
      </c>
      <c r="AC1" t="s">
        <v>734</v>
      </c>
      <c r="AD1" t="s">
        <v>844</v>
      </c>
      <c r="AE1" t="s">
        <v>906</v>
      </c>
    </row>
    <row r="2" spans="1:36" x14ac:dyDescent="0.25">
      <c r="A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Anlage</v>
      </c>
      <c r="B2" s="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Bediengerät</v>
      </c>
      <c r="C2" s="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" s="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>Bypass</v>
      </c>
      <c r="E2" s="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>Bypass</v>
      </c>
      <c r="F2" s="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>Austritt</v>
      </c>
      <c r="G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>Alarm</v>
      </c>
      <c r="H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>Aufsummiert/Kumuliert</v>
      </c>
      <c r="I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>Analoger Ausgang (AA)</v>
      </c>
      <c r="J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>Brennwertkessel</v>
      </c>
      <c r="K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>Absorption</v>
      </c>
      <c r="L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>Kältespeicher</v>
      </c>
      <c r="M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>Hochtemperatur</v>
      </c>
      <c r="N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>Hochtemperatur</v>
      </c>
      <c r="O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>Hochtemperatur</v>
      </c>
      <c r="P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>Hochtemperatur</v>
      </c>
      <c r="Q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>Verdampfer</v>
      </c>
      <c r="R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>Absperr</v>
      </c>
      <c r="S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>Absperr</v>
      </c>
      <c r="T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Absolute Feuchte</v>
      </c>
      <c r="U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>Not Aus</v>
      </c>
      <c r="V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>Ab</v>
      </c>
      <c r="W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>Ab</v>
      </c>
      <c r="X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>Ab</v>
      </c>
      <c r="Y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>Ab</v>
      </c>
      <c r="Z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>Ab</v>
      </c>
      <c r="AA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Absolute Feuchte</v>
      </c>
      <c r="AB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Absolute Feuchte</v>
      </c>
      <c r="AC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>Ersatzbetrieb</v>
      </c>
      <c r="AD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>Ersatzbetrieb</v>
      </c>
      <c r="AE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Absolute Feuchte</v>
      </c>
    </row>
    <row r="3" spans="1:36" x14ac:dyDescent="0.25">
      <c r="A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Betonkerntemperierung</v>
      </c>
      <c r="B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Befeuchter</v>
      </c>
      <c r="C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>Filter</v>
      </c>
      <c r="E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>Mitte</v>
      </c>
      <c r="F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>Eintritt</v>
      </c>
      <c r="G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>Betriebsmeldung</v>
      </c>
      <c r="H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>erhöhen</v>
      </c>
      <c r="I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>Analoger Eingang (AE)</v>
      </c>
      <c r="J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>Festbrennstoffkessel</v>
      </c>
      <c r="K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>Kompression</v>
      </c>
      <c r="L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>Kombispeicher</v>
      </c>
      <c r="M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>Kälte</v>
      </c>
      <c r="N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>Kälte</v>
      </c>
      <c r="O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>Kälte</v>
      </c>
      <c r="P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>Kälte</v>
      </c>
      <c r="Q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>Verdichter</v>
      </c>
      <c r="R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>Misch</v>
      </c>
      <c r="S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>Brandschutz</v>
      </c>
      <c r="T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Beleuchtungsstärke</v>
      </c>
      <c r="U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>Reparatur</v>
      </c>
      <c r="V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>Heiz/Heiß</v>
      </c>
      <c r="W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>Fort</v>
      </c>
      <c r="X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>Fort</v>
      </c>
      <c r="Y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>Fort</v>
      </c>
      <c r="Z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>Fort</v>
      </c>
      <c r="AA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Beleuchtungsstärke</v>
      </c>
      <c r="AB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Beleuchtungsstärke</v>
      </c>
      <c r="AC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>Freigabe</v>
      </c>
      <c r="AD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>Freigabe</v>
      </c>
      <c r="AE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Beleuchtungsstärke</v>
      </c>
      <c r="AG3" s="2"/>
      <c r="AH3" s="2"/>
    </row>
    <row r="4" spans="1:36" x14ac:dyDescent="0.25">
      <c r="A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Blockheizkraftwerk (BHKW)</v>
      </c>
      <c r="B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Betonkerntemperierung</v>
      </c>
      <c r="C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>Gas</v>
      </c>
      <c r="E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>nach Wärmerückgewinnung</v>
      </c>
      <c r="F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>Primär</v>
      </c>
      <c r="G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>Messwert</v>
      </c>
      <c r="H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>Grenzwert</v>
      </c>
      <c r="I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>Digitaler Ausgang (DA/BA)</v>
      </c>
      <c r="J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>Niedertemperaturkessel</v>
      </c>
      <c r="K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>Wärmespeicher</v>
      </c>
      <c r="M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>Niedertemperatur</v>
      </c>
      <c r="N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>Niedertemperatur</v>
      </c>
      <c r="O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>Niedertemperatur</v>
      </c>
      <c r="P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>Niedertemperatur</v>
      </c>
      <c r="Q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>Verflüssiger</v>
      </c>
      <c r="R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>Regel</v>
      </c>
      <c r="S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>Misch</v>
      </c>
      <c r="T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Druck</v>
      </c>
      <c r="U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>Kälte</v>
      </c>
      <c r="W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>Frisch/Außen</v>
      </c>
      <c r="X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>Frisch/Außen</v>
      </c>
      <c r="Y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>Frequenzumformer</v>
      </c>
      <c r="Z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>Frisch/Außen</v>
      </c>
      <c r="AA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Betriebszeit/-stunden</v>
      </c>
      <c r="AB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Drehzahl</v>
      </c>
      <c r="AC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>geschlossen/schließen</v>
      </c>
      <c r="AD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>geschlossen/schließen</v>
      </c>
      <c r="AE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Druck</v>
      </c>
      <c r="AG4" s="2"/>
      <c r="AH4" s="2"/>
    </row>
    <row r="5" spans="1:36" x14ac:dyDescent="0.25">
      <c r="A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Deckeninduktionsgerät</v>
      </c>
      <c r="B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Deckenheizung</v>
      </c>
      <c r="C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>Glykol</v>
      </c>
      <c r="E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>Oben</v>
      </c>
      <c r="F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>Sekundär</v>
      </c>
      <c r="G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>Schaltbefehl</v>
      </c>
      <c r="H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>Grenzwert maximal</v>
      </c>
      <c r="I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>Digitaler Eingang (DE/BE)</v>
      </c>
      <c r="J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>Warmwasser (TW)</v>
      </c>
      <c r="M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>Umschalt</v>
      </c>
      <c r="S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>Regel</v>
      </c>
      <c r="T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Druckdifferenz</v>
      </c>
      <c r="U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>Kühl</v>
      </c>
      <c r="W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>Misch</v>
      </c>
      <c r="X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>Misch</v>
      </c>
      <c r="Y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>Frisch/Außen</v>
      </c>
      <c r="Z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>Misch</v>
      </c>
      <c r="AA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Drehzahl</v>
      </c>
      <c r="AB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Druck</v>
      </c>
      <c r="AC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>Modus</v>
      </c>
      <c r="AD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>Modus</v>
      </c>
      <c r="AE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Druckdifferenz</v>
      </c>
      <c r="AG5" s="2" t="s">
        <v>845</v>
      </c>
      <c r="AH5" s="2" t="str">
        <f>SUBSTITUTE(SUBSTITUTE(SUBSTITUTE(AG5,"-","")," ",""),"/","")</f>
        <v>subdistributorabc</v>
      </c>
      <c r="AI5" s="3"/>
      <c r="AJ5" s="3"/>
    </row>
    <row r="6" spans="1:36" x14ac:dyDescent="0.25">
      <c r="A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Fernkälte</v>
      </c>
      <c r="B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Deckenheizung und -kühlung</v>
      </c>
      <c r="C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>Hydraulische Weiche</v>
      </c>
      <c r="E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>Rücklauf (RL)</v>
      </c>
      <c r="F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>Stellbefehl</v>
      </c>
      <c r="H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>Grenzwert minimal</v>
      </c>
      <c r="I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>Simulierter Analoger Ausgang</v>
      </c>
      <c r="J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>Verteil</v>
      </c>
      <c r="S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>Umschalt</v>
      </c>
      <c r="T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Elektrische Energie</v>
      </c>
      <c r="U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>Misch</v>
      </c>
      <c r="W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>Primär</v>
      </c>
      <c r="X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>Primär</v>
      </c>
      <c r="Y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>Misch</v>
      </c>
      <c r="Z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>Primär</v>
      </c>
      <c r="AA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Druck</v>
      </c>
      <c r="AB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Druckdifferenz</v>
      </c>
      <c r="AC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>Netzbetrieb</v>
      </c>
      <c r="AD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>Netzbetrieb</v>
      </c>
      <c r="AE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Elektrische Energie</v>
      </c>
      <c r="AG6" s="2"/>
      <c r="AH6" s="2"/>
      <c r="AI6" s="3"/>
      <c r="AJ6" s="3"/>
    </row>
    <row r="7" spans="1:36" x14ac:dyDescent="0.25">
      <c r="A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Fernwärme</v>
      </c>
      <c r="B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Deckenkühlung</v>
      </c>
      <c r="C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>Luft</v>
      </c>
      <c r="E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>Unten</v>
      </c>
      <c r="F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>Störung</v>
      </c>
      <c r="H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>halten</v>
      </c>
      <c r="I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>Simulierter Analoger Eingang</v>
      </c>
      <c r="J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>Verteil</v>
      </c>
      <c r="T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Elektrische Leistung</v>
      </c>
      <c r="U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>Niedertemperatur</v>
      </c>
      <c r="W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>Raum/Innen</v>
      </c>
      <c r="X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>Raum/Innen</v>
      </c>
      <c r="Y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>Primär</v>
      </c>
      <c r="Z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>Raum/Innen</v>
      </c>
      <c r="AA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Druckdifferenz</v>
      </c>
      <c r="AB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Elektrische Energie</v>
      </c>
      <c r="AC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>offen/öffnen</v>
      </c>
      <c r="AD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>offen/öffnen</v>
      </c>
      <c r="AE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Elektrische Leistung</v>
      </c>
      <c r="AG7" s="2" t="str">
        <f>CONCATENATE("view_parent_children[",VLOOKUP(Language1,languages[[language]:[column_children]],4),"]")</f>
        <v>view_parent_children[parent_german]</v>
      </c>
      <c r="AH7" s="3"/>
      <c r="AI7" s="3"/>
      <c r="AJ7" s="3"/>
    </row>
    <row r="8" spans="1:36" x14ac:dyDescent="0.25">
      <c r="A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Freie Kühlung</v>
      </c>
      <c r="B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Elektroheizung</v>
      </c>
      <c r="C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>Öl</v>
      </c>
      <c r="E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>vor Wärmerückgewinnung</v>
      </c>
      <c r="F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>Maximum</v>
      </c>
      <c r="I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>Simulierter Digitaler Ausgang</v>
      </c>
      <c r="J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Frostschutz</v>
      </c>
      <c r="U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>Primär</v>
      </c>
      <c r="W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>Sekundär</v>
      </c>
      <c r="X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>Sekundär</v>
      </c>
      <c r="Y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>Raum/Innen</v>
      </c>
      <c r="Z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>Sekundär</v>
      </c>
      <c r="AA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Elektrische Energie</v>
      </c>
      <c r="AB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Elektrische Leistung</v>
      </c>
      <c r="AC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>Position</v>
      </c>
      <c r="AE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Frostschutz</v>
      </c>
      <c r="AG8" s="2"/>
      <c r="AH8" s="3"/>
      <c r="AI8" s="3"/>
      <c r="AJ8" s="3"/>
    </row>
    <row r="9" spans="1:36" x14ac:dyDescent="0.25">
      <c r="A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Fußbodenheizung</v>
      </c>
      <c r="B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Erdwärmesonden</v>
      </c>
      <c r="C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>Speicher</v>
      </c>
      <c r="E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>Vorlauf (VL)</v>
      </c>
      <c r="F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>Minimum</v>
      </c>
      <c r="I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 xml:space="preserve">Simulierter Digitaler Eingang </v>
      </c>
      <c r="J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Globalstrahlung</v>
      </c>
      <c r="U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>Sekundär</v>
      </c>
      <c r="W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>Um</v>
      </c>
      <c r="X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>Um</v>
      </c>
      <c r="Y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>Sekundär</v>
      </c>
      <c r="Z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>Um</v>
      </c>
      <c r="AA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Elektrische Leistung</v>
      </c>
      <c r="AB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Förderhöhe</v>
      </c>
      <c r="AC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Füllstand</v>
      </c>
      <c r="AG9" s="2"/>
      <c r="AH9" s="3"/>
      <c r="AI9" s="3"/>
      <c r="AJ9" s="3"/>
    </row>
    <row r="10" spans="1:36" x14ac:dyDescent="0.25">
      <c r="A1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Gas</v>
      </c>
      <c r="B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Gaskühler</v>
      </c>
      <c r="C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>Ventilator</v>
      </c>
      <c r="E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>Mittelwert</v>
      </c>
      <c r="I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>Virtueller Analoger Ausgang (VAA)</v>
      </c>
      <c r="J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Heizleistung</v>
      </c>
      <c r="U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>Trinkwasser, kalt</v>
      </c>
      <c r="W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>Zu</v>
      </c>
      <c r="X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>Zu</v>
      </c>
      <c r="Y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>Um</v>
      </c>
      <c r="Z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>Zu</v>
      </c>
      <c r="AA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Förderhöhe</v>
      </c>
      <c r="AB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Füllstand</v>
      </c>
      <c r="AC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Gas</v>
      </c>
      <c r="AG10" s="2"/>
      <c r="AH10" s="3"/>
      <c r="AI10" s="3"/>
      <c r="AJ10" s="3"/>
    </row>
    <row r="11" spans="1:36" x14ac:dyDescent="0.25">
      <c r="A1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Gaskühler</v>
      </c>
      <c r="B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Heiz- und Kühlregister</v>
      </c>
      <c r="C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>Wasser</v>
      </c>
      <c r="E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>reduzieren</v>
      </c>
      <c r="I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>Virtueller Analoger Eingang (VAE)</v>
      </c>
      <c r="J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Kältemenge</v>
      </c>
      <c r="U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>Trinkwasser, warm</v>
      </c>
      <c r="W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>Zu und Ab</v>
      </c>
      <c r="X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>Zu und Ab</v>
      </c>
      <c r="Y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>Zu</v>
      </c>
      <c r="Z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>Zu und Ab</v>
      </c>
      <c r="AA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Füllstand</v>
      </c>
      <c r="AB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Heiz-/Kühlleistung</v>
      </c>
      <c r="AC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Globalstrahlung</v>
      </c>
      <c r="AG11" s="2"/>
      <c r="AH11" s="3"/>
      <c r="AI11" s="3"/>
      <c r="AJ11" s="3"/>
    </row>
    <row r="12" spans="1:36" x14ac:dyDescent="0.25">
      <c r="A1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Gebäudeautomationssystem</v>
      </c>
      <c r="B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Heizregister</v>
      </c>
      <c r="C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>Sollwert</v>
      </c>
      <c r="I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>Virtueller Digitaler Ausgang (VDA/VBA)</v>
      </c>
      <c r="J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Kohlenstoffdioxid (CO2)</v>
      </c>
      <c r="U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>Zu</v>
      </c>
      <c r="W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>Zu und Ab</v>
      </c>
      <c r="Z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Globalstrahlung</v>
      </c>
      <c r="AB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Heizleistung</v>
      </c>
      <c r="AC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Heiz-/Kühlleistung</v>
      </c>
      <c r="AG12" s="2"/>
    </row>
    <row r="13" spans="1:36" x14ac:dyDescent="0.25">
      <c r="A1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Gebäudemanagementsystem</v>
      </c>
      <c r="B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Klappe</v>
      </c>
      <c r="C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>Sommer</v>
      </c>
      <c r="I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>Virtueller Digitaler Eingang (VDE/VBE)</v>
      </c>
      <c r="J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Kohlenstoffmonoxid (CO)</v>
      </c>
      <c r="U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>Zu und Ab</v>
      </c>
      <c r="W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Heiz-/Kühlleistung</v>
      </c>
      <c r="AB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Kältemenge</v>
      </c>
      <c r="AC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Heizleistung</v>
      </c>
      <c r="AG13" s="2"/>
    </row>
    <row r="14" spans="1:36" x14ac:dyDescent="0.25">
      <c r="A1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Geothermiefeld</v>
      </c>
      <c r="B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Kompressor</v>
      </c>
      <c r="C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>Winter</v>
      </c>
      <c r="I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Kühlleistung</v>
      </c>
      <c r="U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Heizleistung</v>
      </c>
      <c r="AB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Kohlenstoffdioxid (CO2)</v>
      </c>
      <c r="AC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Kältemenge</v>
      </c>
      <c r="AG14" s="2"/>
    </row>
    <row r="15" spans="1:36" x14ac:dyDescent="0.25">
      <c r="A1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Kältemaschine</v>
      </c>
      <c r="B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Kühlregister</v>
      </c>
      <c r="C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Massenstrom</v>
      </c>
      <c r="U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Kältemenge</v>
      </c>
      <c r="AB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Kohlenstoffmonoxid (CO)</v>
      </c>
      <c r="AC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Kohlenstoffdioxid (CO2)</v>
      </c>
      <c r="AG15" s="2"/>
    </row>
    <row r="16" spans="1:36" x14ac:dyDescent="0.25">
      <c r="A1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Kessel</v>
      </c>
      <c r="B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Kühlturm</v>
      </c>
      <c r="C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Präsenz</v>
      </c>
      <c r="U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Kohlenstoffdioxid (CO2)</v>
      </c>
      <c r="AB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Kühlleistung</v>
      </c>
      <c r="AC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Kohlenstoffmonoxid (CO)</v>
      </c>
      <c r="AG16" s="2"/>
    </row>
    <row r="17" spans="1:33" x14ac:dyDescent="0.25">
      <c r="A1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Kühlturm</v>
      </c>
      <c r="B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Nacherhitzer</v>
      </c>
      <c r="C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Rauch</v>
      </c>
      <c r="U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Kohlenstoffmonoxid (CO)</v>
      </c>
      <c r="AB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Massenstrom</v>
      </c>
      <c r="AC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Kühlleistung</v>
      </c>
      <c r="AG17" s="2"/>
    </row>
    <row r="18" spans="1:33" x14ac:dyDescent="0.25">
      <c r="A1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Luft</v>
      </c>
      <c r="B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Nacherhitzer und -kühler</v>
      </c>
      <c r="C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Regen</v>
      </c>
      <c r="U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Kühlleistung</v>
      </c>
      <c r="AB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Modus</v>
      </c>
      <c r="AC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Massenstrom</v>
      </c>
      <c r="AG18" s="2"/>
    </row>
    <row r="19" spans="1:33" x14ac:dyDescent="0.25">
      <c r="A1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Lüftungsmaschine</v>
      </c>
      <c r="B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Nachkühler</v>
      </c>
      <c r="C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Relative Feuchte</v>
      </c>
      <c r="U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Luftqualität</v>
      </c>
      <c r="AB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Position</v>
      </c>
      <c r="AC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Modus</v>
      </c>
      <c r="AG19" s="2" t="str">
        <f>IFERROR(INDEX(parent_children[children],_xlfn.AGGREGATE(15,6,ROW(parent_children[parent])/(parent_children[parent]=#REF!)-1,ROW()-ROW(#REF!))),"")</f>
        <v/>
      </c>
    </row>
    <row r="20" spans="1:33" x14ac:dyDescent="0.25">
      <c r="A2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Photovoltaik</v>
      </c>
      <c r="B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Pumpe</v>
      </c>
      <c r="C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Temperatur</v>
      </c>
      <c r="U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Massenstrom</v>
      </c>
      <c r="AB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Relative Feuchte</v>
      </c>
      <c r="AC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Not Aus</v>
      </c>
      <c r="AG20" s="2" t="str">
        <f>IFERROR(INDEX(parent_children[children],_xlfn.AGGREGATE(15,6,ROW(parent_children[parent])/(parent_children[parent]=#REF!)-1,ROW()-ROW(#REF!))),"")</f>
        <v/>
      </c>
    </row>
    <row r="21" spans="1:33" x14ac:dyDescent="0.25">
      <c r="A2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Raumautomation</v>
      </c>
      <c r="B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Schalter</v>
      </c>
      <c r="C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Temperaturdifferenz</v>
      </c>
      <c r="U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Position</v>
      </c>
      <c r="AB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Temperatur</v>
      </c>
      <c r="AC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Präsenz</v>
      </c>
      <c r="AG21" s="2" t="str">
        <f>IFERROR(INDEX(parent_children[children],_xlfn.AGGREGATE(15,6,ROW(parent_children[parent])/(parent_children[parent]=#REF!)-1,ROW()-ROW(#REF!))),"")</f>
        <v/>
      </c>
    </row>
    <row r="22" spans="1:33" x14ac:dyDescent="0.25">
      <c r="A2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Rückkühlung</v>
      </c>
      <c r="B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Sensor</v>
      </c>
      <c r="C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Volumenstrom</v>
      </c>
      <c r="U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Präsenz</v>
      </c>
      <c r="AB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Temperaturdifferenz</v>
      </c>
      <c r="AC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Rauch</v>
      </c>
      <c r="AG22" s="2" t="str">
        <f>IFERROR(INDEX(parent_children[children],_xlfn.AGGREGATE(15,6,ROW(parent_children[parent])/(parent_children[parent]=#REF!)-1,ROW()-ROW(#REF!))),"")</f>
        <v/>
      </c>
    </row>
    <row r="23" spans="1:33" x14ac:dyDescent="0.25">
      <c r="A2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Solarthermie</v>
      </c>
      <c r="B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Steuerung</v>
      </c>
      <c r="C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Wärmemenge</v>
      </c>
      <c r="U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Regen</v>
      </c>
      <c r="AB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Volumenstrom</v>
      </c>
      <c r="AC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Regen</v>
      </c>
      <c r="AG23" s="2" t="str">
        <f>IFERROR(INDEX(parent_children[children],_xlfn.AGGREGATE(15,6,ROW(parent_children[parent])/(parent_children[parent]=#REF!)-1,ROW()-ROW(#REF!))),"")</f>
        <v/>
      </c>
    </row>
    <row r="24" spans="1:33" x14ac:dyDescent="0.25">
      <c r="A2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Speicher</v>
      </c>
      <c r="B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T-Stück</v>
      </c>
      <c r="C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Wind</v>
      </c>
      <c r="U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Relative Feuchte</v>
      </c>
      <c r="AB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Wärmemenge</v>
      </c>
      <c r="AC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Relative Feuchte</v>
      </c>
      <c r="AG24" s="2" t="str">
        <f>IFERROR(INDEX(parent_children[children],_xlfn.AGGREGATE(15,6,ROW(parent_children[parent])/(parent_children[parent]=#REF!)-1,ROW()-ROW(#REF!))),"")</f>
        <v/>
      </c>
    </row>
    <row r="25" spans="1:33" x14ac:dyDescent="0.25">
      <c r="A2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Unterverteiler</v>
      </c>
      <c r="B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Unterverteiler</v>
      </c>
      <c r="C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Temperatur</v>
      </c>
      <c r="AB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Reparaturschalter</v>
      </c>
      <c r="AG25" s="2" t="str">
        <f>IFERROR(INDEX(parent_children[children],_xlfn.AGGREGATE(15,6,ROW(parent_children[parent])/(parent_children[parent]=#REF!)-1,ROW()-ROW(#REF!))),"")</f>
        <v/>
      </c>
    </row>
    <row r="26" spans="1:33" x14ac:dyDescent="0.25">
      <c r="A2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Unterverteilsystem</v>
      </c>
      <c r="B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Ventil</v>
      </c>
      <c r="C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Temperaturdifferenz</v>
      </c>
      <c r="AB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Temperatur</v>
      </c>
    </row>
    <row r="27" spans="1:33" x14ac:dyDescent="0.25">
      <c r="A2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Verteiler</v>
      </c>
      <c r="B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Ventilator</v>
      </c>
      <c r="C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Volumenstrom</v>
      </c>
      <c r="AB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Temperaturdifferenz</v>
      </c>
    </row>
    <row r="28" spans="1:33" x14ac:dyDescent="0.25">
      <c r="A2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Verteilsystem</v>
      </c>
      <c r="B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Verteiler</v>
      </c>
      <c r="C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Wärmemenge</v>
      </c>
      <c r="AB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Volumenstrom</v>
      </c>
    </row>
    <row r="29" spans="1:33" x14ac:dyDescent="0.25">
      <c r="A2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Wärmepumpe</v>
      </c>
      <c r="B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Volumenstromregler</v>
      </c>
      <c r="C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Wind</v>
      </c>
      <c r="AB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Wärmemenge</v>
      </c>
    </row>
    <row r="30" spans="1:33" x14ac:dyDescent="0.25">
      <c r="A3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Wärmeübertrager</v>
      </c>
      <c r="B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Vorerhitzer</v>
      </c>
      <c r="C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Wartungsmeldung</v>
      </c>
    </row>
    <row r="31" spans="1:33" x14ac:dyDescent="0.25">
      <c r="A3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Wasser</v>
      </c>
      <c r="B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Vorerhitzer und -kühler</v>
      </c>
      <c r="C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2" spans="1:33" x14ac:dyDescent="0.25">
      <c r="A3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Vorkühler</v>
      </c>
      <c r="C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3" spans="1:31" x14ac:dyDescent="0.25">
      <c r="A3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Wärmerückgewinnung</v>
      </c>
      <c r="C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4" spans="1:31" x14ac:dyDescent="0.25">
      <c r="A3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Wärmeübertrager</v>
      </c>
      <c r="C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5" spans="1:31" x14ac:dyDescent="0.25">
      <c r="A3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6" spans="1:31" x14ac:dyDescent="0.25">
      <c r="A3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7" spans="1:31" x14ac:dyDescent="0.25">
      <c r="A3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8" spans="1:31" x14ac:dyDescent="0.25">
      <c r="A3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9" spans="1:31" x14ac:dyDescent="0.25">
      <c r="A3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0" spans="1:31" x14ac:dyDescent="0.25">
      <c r="A4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1" spans="1:31" x14ac:dyDescent="0.25">
      <c r="A4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2" spans="1:31" x14ac:dyDescent="0.25">
      <c r="A4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3" spans="1:31" x14ac:dyDescent="0.25">
      <c r="A4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4" spans="1:31" x14ac:dyDescent="0.25">
      <c r="A4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5" spans="1:31" x14ac:dyDescent="0.25">
      <c r="A4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6" spans="1:31" x14ac:dyDescent="0.25">
      <c r="A4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7" spans="1:31" x14ac:dyDescent="0.25">
      <c r="A4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8" spans="1:31" x14ac:dyDescent="0.25">
      <c r="A4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9" spans="1:31" x14ac:dyDescent="0.25">
      <c r="A4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0" spans="1:31" x14ac:dyDescent="0.25">
      <c r="A5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1" spans="1:31" x14ac:dyDescent="0.25">
      <c r="A5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2" spans="1:31" x14ac:dyDescent="0.25">
      <c r="A5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3" spans="1:31" x14ac:dyDescent="0.25">
      <c r="A5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4" spans="1:31" x14ac:dyDescent="0.25">
      <c r="A5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5" spans="1:31" x14ac:dyDescent="0.25">
      <c r="A5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6" spans="1:31" x14ac:dyDescent="0.25">
      <c r="A5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7" spans="1:31" x14ac:dyDescent="0.25">
      <c r="A5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8" spans="1:31" x14ac:dyDescent="0.25">
      <c r="A5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9" spans="1:31" x14ac:dyDescent="0.25">
      <c r="A5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0" spans="1:31" x14ac:dyDescent="0.25">
      <c r="A6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1" spans="1:31" x14ac:dyDescent="0.25">
      <c r="A6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2" spans="1:31" x14ac:dyDescent="0.25">
      <c r="A6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3" spans="1:31" x14ac:dyDescent="0.25">
      <c r="A6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4" spans="1:31" x14ac:dyDescent="0.25">
      <c r="A6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5" spans="1:31" x14ac:dyDescent="0.25">
      <c r="A6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6" spans="1:31" x14ac:dyDescent="0.25">
      <c r="A6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7" spans="1:31" x14ac:dyDescent="0.25">
      <c r="A6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8" spans="1:31" x14ac:dyDescent="0.25">
      <c r="A6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9" spans="1:31" x14ac:dyDescent="0.25">
      <c r="A6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0" spans="1:31" x14ac:dyDescent="0.25">
      <c r="A7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1" spans="1:31" x14ac:dyDescent="0.25">
      <c r="A7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2" spans="1:31" x14ac:dyDescent="0.25">
      <c r="A7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3" spans="1:31" x14ac:dyDescent="0.25">
      <c r="A7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4" spans="1:31" x14ac:dyDescent="0.25">
      <c r="A7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5" spans="1:31" x14ac:dyDescent="0.25">
      <c r="A7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6" spans="1:31" x14ac:dyDescent="0.25">
      <c r="A7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7" spans="1:31" x14ac:dyDescent="0.25">
      <c r="A7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8" spans="1:31" x14ac:dyDescent="0.25">
      <c r="A7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9" spans="1:31" x14ac:dyDescent="0.25">
      <c r="A7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0" spans="1:31" x14ac:dyDescent="0.25">
      <c r="A8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1" spans="1:31" x14ac:dyDescent="0.25">
      <c r="A8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2" spans="1:31" x14ac:dyDescent="0.25">
      <c r="A8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3" spans="1:31" x14ac:dyDescent="0.25">
      <c r="A8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4" spans="1:31" x14ac:dyDescent="0.25">
      <c r="A8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5" spans="1:31" x14ac:dyDescent="0.25">
      <c r="A8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6" spans="1:31" x14ac:dyDescent="0.25">
      <c r="A8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7" spans="1:31" x14ac:dyDescent="0.25">
      <c r="A8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8" spans="1:31" x14ac:dyDescent="0.25">
      <c r="A8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9" spans="1:31" x14ac:dyDescent="0.25">
      <c r="A8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0" spans="1:31" x14ac:dyDescent="0.25">
      <c r="A9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1" spans="1:31" x14ac:dyDescent="0.25">
      <c r="A9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2" spans="1:31" x14ac:dyDescent="0.25">
      <c r="A9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3" spans="1:31" x14ac:dyDescent="0.25">
      <c r="A9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4" spans="1:31" x14ac:dyDescent="0.25">
      <c r="A9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5" spans="1:31" x14ac:dyDescent="0.25">
      <c r="A9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6" spans="1:31" x14ac:dyDescent="0.25">
      <c r="A9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7" spans="1:31" x14ac:dyDescent="0.25">
      <c r="A9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8" spans="1:31" x14ac:dyDescent="0.25">
      <c r="A9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9" spans="1:31" x14ac:dyDescent="0.25">
      <c r="A9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00" spans="1:31" x14ac:dyDescent="0.25">
      <c r="A10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01" spans="1:31" x14ac:dyDescent="0.25">
      <c r="A10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02" spans="1:31" x14ac:dyDescent="0.25">
      <c r="A10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03" spans="1:31" x14ac:dyDescent="0.25">
      <c r="A10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04" spans="1:31" x14ac:dyDescent="0.25">
      <c r="A10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05" spans="1:31" x14ac:dyDescent="0.25">
      <c r="A10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06" spans="1:31" x14ac:dyDescent="0.25">
      <c r="A10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07" spans="1:31" x14ac:dyDescent="0.25">
      <c r="A10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08" spans="1:31" x14ac:dyDescent="0.25">
      <c r="A10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09" spans="1:31" x14ac:dyDescent="0.25">
      <c r="A10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10" spans="1:31" x14ac:dyDescent="0.25">
      <c r="A11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11" spans="1:31" x14ac:dyDescent="0.25">
      <c r="A11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12" spans="1:31" x14ac:dyDescent="0.25">
      <c r="A11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13" spans="1:31" x14ac:dyDescent="0.25">
      <c r="A11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14" spans="1:31" x14ac:dyDescent="0.25">
      <c r="A11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15" spans="1:31" x14ac:dyDescent="0.25">
      <c r="A11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16" spans="1:31" x14ac:dyDescent="0.25">
      <c r="A11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17" spans="1:31" x14ac:dyDescent="0.25">
      <c r="A11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18" spans="1:31" x14ac:dyDescent="0.25">
      <c r="A11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19" spans="1:31" x14ac:dyDescent="0.25">
      <c r="A11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20" spans="1:31" x14ac:dyDescent="0.25">
      <c r="A12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21" spans="1:31" x14ac:dyDescent="0.25">
      <c r="A12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22" spans="1:31" x14ac:dyDescent="0.25">
      <c r="A12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23" spans="1:31" x14ac:dyDescent="0.25">
      <c r="A12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24" spans="1:31" x14ac:dyDescent="0.25">
      <c r="A12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25" spans="1:31" x14ac:dyDescent="0.25">
      <c r="A12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26" spans="1:31" x14ac:dyDescent="0.25">
      <c r="A12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27" spans="1:31" x14ac:dyDescent="0.25">
      <c r="A12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28" spans="1:31" x14ac:dyDescent="0.25">
      <c r="A12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29" spans="1:31" x14ac:dyDescent="0.25">
      <c r="A12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30" spans="1:31" x14ac:dyDescent="0.25">
      <c r="A13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31" spans="1:31" x14ac:dyDescent="0.25">
      <c r="A13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32" spans="1:31" x14ac:dyDescent="0.25">
      <c r="A13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33" spans="1:31" x14ac:dyDescent="0.25">
      <c r="A13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34" spans="1:31" x14ac:dyDescent="0.25">
      <c r="A13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35" spans="1:31" x14ac:dyDescent="0.25">
      <c r="A13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36" spans="1:31" x14ac:dyDescent="0.25">
      <c r="A13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37" spans="1:31" x14ac:dyDescent="0.25">
      <c r="A13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38" spans="1:31" x14ac:dyDescent="0.25">
      <c r="A13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39" spans="1:31" x14ac:dyDescent="0.25">
      <c r="A13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40" spans="1:31" x14ac:dyDescent="0.25">
      <c r="A14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41" spans="1:31" x14ac:dyDescent="0.25">
      <c r="A14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42" spans="1:31" x14ac:dyDescent="0.25">
      <c r="A14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43" spans="1:31" x14ac:dyDescent="0.25">
      <c r="A14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44" spans="1:31" x14ac:dyDescent="0.25">
      <c r="A14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45" spans="1:31" x14ac:dyDescent="0.25">
      <c r="A14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46" spans="1:31" x14ac:dyDescent="0.25">
      <c r="A14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47" spans="1:31" x14ac:dyDescent="0.25">
      <c r="A14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48" spans="1:31" x14ac:dyDescent="0.25">
      <c r="A14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49" spans="1:31" x14ac:dyDescent="0.25">
      <c r="A14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50" spans="1:31" x14ac:dyDescent="0.25">
      <c r="A15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51" spans="1:31" x14ac:dyDescent="0.25">
      <c r="A15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52" spans="1:31" x14ac:dyDescent="0.25">
      <c r="A15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53" spans="1:31" x14ac:dyDescent="0.25">
      <c r="A15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54" spans="1:31" x14ac:dyDescent="0.25">
      <c r="A15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55" spans="1:31" x14ac:dyDescent="0.25">
      <c r="A15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56" spans="1:31" x14ac:dyDescent="0.25">
      <c r="A15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57" spans="1:31" x14ac:dyDescent="0.25">
      <c r="A15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58" spans="1:31" x14ac:dyDescent="0.25">
      <c r="A15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59" spans="1:31" x14ac:dyDescent="0.25">
      <c r="A15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60" spans="1:31" x14ac:dyDescent="0.25">
      <c r="A16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61" spans="1:31" x14ac:dyDescent="0.25">
      <c r="A16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62" spans="1:31" x14ac:dyDescent="0.25">
      <c r="A16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63" spans="1:31" x14ac:dyDescent="0.25">
      <c r="A16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64" spans="1:31" x14ac:dyDescent="0.25">
      <c r="A16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65" spans="1:31" x14ac:dyDescent="0.25">
      <c r="A16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66" spans="1:31" x14ac:dyDescent="0.25">
      <c r="A16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67" spans="1:31" x14ac:dyDescent="0.25">
      <c r="A16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68" spans="1:31" x14ac:dyDescent="0.25">
      <c r="A16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69" spans="1:31" x14ac:dyDescent="0.25">
      <c r="A16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70" spans="1:31" x14ac:dyDescent="0.25">
      <c r="A17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71" spans="1:31" x14ac:dyDescent="0.25">
      <c r="A17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72" spans="1:31" x14ac:dyDescent="0.25">
      <c r="A17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73" spans="1:31" x14ac:dyDescent="0.25">
      <c r="A17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74" spans="1:31" x14ac:dyDescent="0.25">
      <c r="A17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75" spans="1:31" x14ac:dyDescent="0.25">
      <c r="A17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76" spans="1:31" x14ac:dyDescent="0.25">
      <c r="A17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77" spans="1:31" x14ac:dyDescent="0.25">
      <c r="A17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78" spans="1:31" x14ac:dyDescent="0.25">
      <c r="A17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79" spans="1:31" x14ac:dyDescent="0.25">
      <c r="A17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80" spans="1:31" x14ac:dyDescent="0.25">
      <c r="A18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81" spans="1:31" x14ac:dyDescent="0.25">
      <c r="A18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82" spans="1:31" x14ac:dyDescent="0.25">
      <c r="A18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83" spans="1:31" x14ac:dyDescent="0.25">
      <c r="A18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84" spans="1:31" x14ac:dyDescent="0.25">
      <c r="A18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85" spans="1:31" x14ac:dyDescent="0.25">
      <c r="A18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86" spans="1:31" x14ac:dyDescent="0.25">
      <c r="A18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87" spans="1:31" x14ac:dyDescent="0.25">
      <c r="A18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88" spans="1:31" x14ac:dyDescent="0.25">
      <c r="A18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89" spans="1:31" x14ac:dyDescent="0.25">
      <c r="A18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90" spans="1:31" x14ac:dyDescent="0.25">
      <c r="A19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91" spans="1:31" x14ac:dyDescent="0.25">
      <c r="A19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92" spans="1:31" x14ac:dyDescent="0.25">
      <c r="A19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93" spans="1:31" x14ac:dyDescent="0.25">
      <c r="A19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94" spans="1:31" x14ac:dyDescent="0.25">
      <c r="A19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95" spans="1:31" x14ac:dyDescent="0.25">
      <c r="A19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96" spans="1:31" x14ac:dyDescent="0.25">
      <c r="A19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97" spans="1:31" x14ac:dyDescent="0.25">
      <c r="A19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98" spans="1:31" x14ac:dyDescent="0.25">
      <c r="A19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99" spans="1:31" x14ac:dyDescent="0.25">
      <c r="A19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00" spans="1:31" x14ac:dyDescent="0.25">
      <c r="A20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01" spans="1:31" x14ac:dyDescent="0.25">
      <c r="A20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02" spans="1:31" x14ac:dyDescent="0.25">
      <c r="A20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03" spans="1:31" x14ac:dyDescent="0.25">
      <c r="A20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04" spans="1:31" x14ac:dyDescent="0.25">
      <c r="A20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05" spans="1:31" x14ac:dyDescent="0.25">
      <c r="A20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06" spans="1:31" x14ac:dyDescent="0.25">
      <c r="A20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07" spans="1:31" x14ac:dyDescent="0.25">
      <c r="A20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08" spans="1:31" x14ac:dyDescent="0.25">
      <c r="A20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09" spans="1:31" x14ac:dyDescent="0.25">
      <c r="A20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10" spans="1:31" x14ac:dyDescent="0.25">
      <c r="A21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11" spans="1:31" x14ac:dyDescent="0.25">
      <c r="A21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12" spans="1:31" x14ac:dyDescent="0.25">
      <c r="A21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13" spans="1:31" x14ac:dyDescent="0.25">
      <c r="A21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14" spans="1:31" x14ac:dyDescent="0.25">
      <c r="A21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15" spans="1:31" x14ac:dyDescent="0.25">
      <c r="A21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16" spans="1:31" x14ac:dyDescent="0.25">
      <c r="A21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17" spans="1:31" x14ac:dyDescent="0.25">
      <c r="A21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18" spans="1:31" x14ac:dyDescent="0.25">
      <c r="A21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19" spans="1:31" x14ac:dyDescent="0.25">
      <c r="A21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20" spans="1:31" x14ac:dyDescent="0.25">
      <c r="A22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21" spans="1:31" x14ac:dyDescent="0.25">
      <c r="A22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22" spans="1:31" x14ac:dyDescent="0.25">
      <c r="A22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23" spans="1:31" x14ac:dyDescent="0.25">
      <c r="A22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24" spans="1:31" x14ac:dyDescent="0.25">
      <c r="A22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25" spans="1:31" x14ac:dyDescent="0.25">
      <c r="A22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26" spans="1:31" x14ac:dyDescent="0.25">
      <c r="A22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27" spans="1:31" x14ac:dyDescent="0.25">
      <c r="A22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28" spans="1:31" x14ac:dyDescent="0.25">
      <c r="A22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29" spans="1:31" x14ac:dyDescent="0.25">
      <c r="A22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30" spans="1:31" x14ac:dyDescent="0.25">
      <c r="A23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31" spans="1:31" x14ac:dyDescent="0.25">
      <c r="A23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32" spans="1:31" x14ac:dyDescent="0.25">
      <c r="A23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33" spans="1:31" x14ac:dyDescent="0.25">
      <c r="A23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34" spans="1:31" x14ac:dyDescent="0.25">
      <c r="A23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35" spans="1:31" x14ac:dyDescent="0.25">
      <c r="A23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36" spans="1:31" x14ac:dyDescent="0.25">
      <c r="A23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37" spans="1:31" x14ac:dyDescent="0.25">
      <c r="A23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38" spans="1:31" x14ac:dyDescent="0.25">
      <c r="A23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39" spans="1:31" x14ac:dyDescent="0.25">
      <c r="A23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40" spans="1:31" x14ac:dyDescent="0.25">
      <c r="A24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41" spans="1:31" x14ac:dyDescent="0.25">
      <c r="A24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42" spans="1:31" x14ac:dyDescent="0.25">
      <c r="A24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43" spans="1:31" x14ac:dyDescent="0.25">
      <c r="A24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44" spans="1:31" x14ac:dyDescent="0.25">
      <c r="A24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45" spans="1:31" x14ac:dyDescent="0.25">
      <c r="A24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46" spans="1:31" x14ac:dyDescent="0.25">
      <c r="A24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47" spans="1:31" x14ac:dyDescent="0.25">
      <c r="A24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48" spans="1:31" x14ac:dyDescent="0.25">
      <c r="A24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49" spans="1:31" x14ac:dyDescent="0.25">
      <c r="A24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50" spans="1:31" x14ac:dyDescent="0.25">
      <c r="A25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51" spans="1:31" x14ac:dyDescent="0.25">
      <c r="A25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52" spans="1:31" x14ac:dyDescent="0.25">
      <c r="A25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53" spans="1:31" x14ac:dyDescent="0.25">
      <c r="A25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54" spans="1:31" x14ac:dyDescent="0.25">
      <c r="A25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55" spans="1:31" x14ac:dyDescent="0.25">
      <c r="A25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56" spans="1:31" x14ac:dyDescent="0.25">
      <c r="A25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57" spans="1:31" x14ac:dyDescent="0.25">
      <c r="A25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58" spans="1:31" x14ac:dyDescent="0.25">
      <c r="A25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59" spans="1:31" x14ac:dyDescent="0.25">
      <c r="A25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60" spans="1:31" x14ac:dyDescent="0.25">
      <c r="A26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61" spans="1:31" x14ac:dyDescent="0.25">
      <c r="A26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62" spans="1:31" x14ac:dyDescent="0.25">
      <c r="A26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63" spans="1:31" x14ac:dyDescent="0.25">
      <c r="A26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64" spans="1:31" x14ac:dyDescent="0.25">
      <c r="A26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65" spans="1:31" x14ac:dyDescent="0.25">
      <c r="A26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66" spans="1:31" x14ac:dyDescent="0.25">
      <c r="A26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67" spans="1:31" x14ac:dyDescent="0.25">
      <c r="A26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68" spans="1:31" x14ac:dyDescent="0.25">
      <c r="A26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69" spans="1:31" x14ac:dyDescent="0.25">
      <c r="A26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70" spans="1:31" x14ac:dyDescent="0.25">
      <c r="A27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71" spans="1:31" x14ac:dyDescent="0.25">
      <c r="A27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72" spans="1:31" x14ac:dyDescent="0.25">
      <c r="A27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73" spans="1:31" x14ac:dyDescent="0.25">
      <c r="A27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74" spans="1:31" x14ac:dyDescent="0.25">
      <c r="A27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75" spans="1:31" x14ac:dyDescent="0.25">
      <c r="A27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76" spans="1:31" x14ac:dyDescent="0.25">
      <c r="A27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77" spans="1:31" x14ac:dyDescent="0.25">
      <c r="A27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78" spans="1:31" x14ac:dyDescent="0.25">
      <c r="A27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79" spans="1:31" x14ac:dyDescent="0.25">
      <c r="A27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80" spans="1:31" x14ac:dyDescent="0.25">
      <c r="A28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81" spans="1:31" x14ac:dyDescent="0.25">
      <c r="A28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82" spans="1:31" x14ac:dyDescent="0.25">
      <c r="A28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83" spans="1:31" x14ac:dyDescent="0.25">
      <c r="A28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84" spans="1:31" x14ac:dyDescent="0.25">
      <c r="A28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85" spans="1:31" x14ac:dyDescent="0.25">
      <c r="A28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86" spans="1:31" x14ac:dyDescent="0.25">
      <c r="A28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87" spans="1:31" x14ac:dyDescent="0.25">
      <c r="A28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88" spans="1:31" x14ac:dyDescent="0.25">
      <c r="A28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89" spans="1:31" x14ac:dyDescent="0.25">
      <c r="A28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90" spans="1:31" x14ac:dyDescent="0.25">
      <c r="A29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91" spans="1:31" x14ac:dyDescent="0.25">
      <c r="A29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92" spans="1:31" x14ac:dyDescent="0.25">
      <c r="A29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93" spans="1:31" x14ac:dyDescent="0.25">
      <c r="A29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94" spans="1:31" x14ac:dyDescent="0.25">
      <c r="A29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95" spans="1:31" x14ac:dyDescent="0.25">
      <c r="A29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96" spans="1:31" x14ac:dyDescent="0.25">
      <c r="A29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97" spans="1:31" x14ac:dyDescent="0.25">
      <c r="A29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98" spans="1:31" x14ac:dyDescent="0.25">
      <c r="A29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99" spans="1:31" x14ac:dyDescent="0.25">
      <c r="A29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00" spans="1:31" x14ac:dyDescent="0.25">
      <c r="A30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01" spans="1:31" x14ac:dyDescent="0.25">
      <c r="A30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02" spans="1:31" x14ac:dyDescent="0.25">
      <c r="A30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03" spans="1:31" x14ac:dyDescent="0.25">
      <c r="A30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04" spans="1:31" x14ac:dyDescent="0.25">
      <c r="A30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05" spans="1:31" x14ac:dyDescent="0.25">
      <c r="A30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06" spans="1:31" x14ac:dyDescent="0.25">
      <c r="A30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07" spans="1:31" x14ac:dyDescent="0.25">
      <c r="A30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08" spans="1:31" x14ac:dyDescent="0.25">
      <c r="A30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09" spans="1:31" x14ac:dyDescent="0.25">
      <c r="A30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10" spans="1:31" x14ac:dyDescent="0.25">
      <c r="A31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11" spans="1:31" x14ac:dyDescent="0.25">
      <c r="A31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12" spans="1:31" x14ac:dyDescent="0.25">
      <c r="A31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13" spans="1:31" x14ac:dyDescent="0.25">
      <c r="A31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14" spans="1:31" x14ac:dyDescent="0.25">
      <c r="A31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15" spans="1:31" x14ac:dyDescent="0.25">
      <c r="A31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16" spans="1:31" x14ac:dyDescent="0.25">
      <c r="A31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17" spans="1:31" x14ac:dyDescent="0.25">
      <c r="A31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18" spans="1:31" x14ac:dyDescent="0.25">
      <c r="A31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19" spans="1:31" x14ac:dyDescent="0.25">
      <c r="A31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20" spans="1:31" x14ac:dyDescent="0.25">
      <c r="A32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21" spans="1:31" x14ac:dyDescent="0.25">
      <c r="A32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22" spans="1:31" x14ac:dyDescent="0.25">
      <c r="A32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23" spans="1:31" x14ac:dyDescent="0.25">
      <c r="A32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24" spans="1:31" x14ac:dyDescent="0.25">
      <c r="A32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25" spans="1:31" x14ac:dyDescent="0.25">
      <c r="A32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26" spans="1:31" x14ac:dyDescent="0.25">
      <c r="A32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27" spans="1:31" x14ac:dyDescent="0.25">
      <c r="A32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28" spans="1:31" x14ac:dyDescent="0.25">
      <c r="A32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29" spans="1:31" x14ac:dyDescent="0.25">
      <c r="A32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30" spans="1:31" x14ac:dyDescent="0.25">
      <c r="A33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31" spans="1:31" x14ac:dyDescent="0.25">
      <c r="A33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32" spans="1:31" x14ac:dyDescent="0.25">
      <c r="A33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33" spans="1:31" x14ac:dyDescent="0.25">
      <c r="A33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34" spans="1:31" x14ac:dyDescent="0.25">
      <c r="A33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35" spans="1:31" x14ac:dyDescent="0.25">
      <c r="A33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36" spans="1:31" x14ac:dyDescent="0.25">
      <c r="A33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37" spans="1:31" x14ac:dyDescent="0.25">
      <c r="A33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38" spans="1:31" x14ac:dyDescent="0.25">
      <c r="A33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39" spans="1:31" x14ac:dyDescent="0.25">
      <c r="A33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40" spans="1:31" x14ac:dyDescent="0.25">
      <c r="A34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41" spans="1:31" x14ac:dyDescent="0.25">
      <c r="A34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42" spans="1:31" x14ac:dyDescent="0.25">
      <c r="A34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43" spans="1:31" x14ac:dyDescent="0.25">
      <c r="A34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44" spans="1:31" x14ac:dyDescent="0.25">
      <c r="A34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45" spans="1:31" x14ac:dyDescent="0.25">
      <c r="A34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46" spans="1:31" x14ac:dyDescent="0.25">
      <c r="A34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47" spans="1:31" x14ac:dyDescent="0.25">
      <c r="A34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48" spans="1:31" x14ac:dyDescent="0.25">
      <c r="A34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49" spans="1:31" x14ac:dyDescent="0.25">
      <c r="A34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50" spans="1:31" x14ac:dyDescent="0.25">
      <c r="A35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51" spans="1:31" x14ac:dyDescent="0.25">
      <c r="A35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52" spans="1:31" x14ac:dyDescent="0.25">
      <c r="A35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53" spans="1:31" x14ac:dyDescent="0.25">
      <c r="A35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54" spans="1:31" x14ac:dyDescent="0.25">
      <c r="A35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55" spans="1:31" x14ac:dyDescent="0.25">
      <c r="A35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56" spans="1:31" x14ac:dyDescent="0.25">
      <c r="A35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57" spans="1:31" x14ac:dyDescent="0.25">
      <c r="A35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58" spans="1:31" x14ac:dyDescent="0.25">
      <c r="A35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59" spans="1:31" x14ac:dyDescent="0.25">
      <c r="A35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60" spans="1:31" x14ac:dyDescent="0.25">
      <c r="A36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61" spans="1:31" x14ac:dyDescent="0.25">
      <c r="A36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62" spans="1:31" x14ac:dyDescent="0.25">
      <c r="A36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63" spans="1:31" x14ac:dyDescent="0.25">
      <c r="A36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64" spans="1:31" x14ac:dyDescent="0.25">
      <c r="A36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65" spans="1:31" x14ac:dyDescent="0.25">
      <c r="A36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66" spans="1:31" x14ac:dyDescent="0.25">
      <c r="A36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67" spans="1:31" x14ac:dyDescent="0.25">
      <c r="A36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68" spans="1:31" x14ac:dyDescent="0.25">
      <c r="A36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69" spans="1:31" x14ac:dyDescent="0.25">
      <c r="A36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70" spans="1:31" x14ac:dyDescent="0.25">
      <c r="A37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71" spans="1:31" x14ac:dyDescent="0.25">
      <c r="A37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72" spans="1:31" x14ac:dyDescent="0.25">
      <c r="A37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73" spans="1:31" x14ac:dyDescent="0.25">
      <c r="A37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74" spans="1:31" x14ac:dyDescent="0.25">
      <c r="A37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75" spans="1:31" x14ac:dyDescent="0.25">
      <c r="A37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76" spans="1:31" x14ac:dyDescent="0.25">
      <c r="A37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77" spans="1:31" x14ac:dyDescent="0.25">
      <c r="A37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78" spans="1:31" x14ac:dyDescent="0.25">
      <c r="A37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79" spans="1:31" x14ac:dyDescent="0.25">
      <c r="A37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80" spans="1:31" x14ac:dyDescent="0.25">
      <c r="A38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81" spans="1:31" x14ac:dyDescent="0.25">
      <c r="A38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82" spans="1:31" x14ac:dyDescent="0.25">
      <c r="A38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83" spans="1:31" x14ac:dyDescent="0.25">
      <c r="A38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84" spans="1:31" x14ac:dyDescent="0.25">
      <c r="A38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85" spans="1:31" x14ac:dyDescent="0.25">
      <c r="A38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86" spans="1:31" x14ac:dyDescent="0.25">
      <c r="A38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87" spans="1:31" x14ac:dyDescent="0.25">
      <c r="A38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88" spans="1:31" x14ac:dyDescent="0.25">
      <c r="A38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89" spans="1:31" x14ac:dyDescent="0.25">
      <c r="A38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90" spans="1:31" x14ac:dyDescent="0.25">
      <c r="A39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91" spans="1:31" x14ac:dyDescent="0.25">
      <c r="A39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92" spans="1:31" x14ac:dyDescent="0.25">
      <c r="A39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93" spans="1:31" x14ac:dyDescent="0.25">
      <c r="A39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94" spans="1:31" x14ac:dyDescent="0.25">
      <c r="A39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95" spans="1:31" x14ac:dyDescent="0.25">
      <c r="A39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96" spans="1:31" x14ac:dyDescent="0.25">
      <c r="A39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97" spans="1:31" x14ac:dyDescent="0.25">
      <c r="A39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98" spans="1:31" x14ac:dyDescent="0.25">
      <c r="A39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99" spans="1:31" x14ac:dyDescent="0.25">
      <c r="A39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00" spans="1:31" x14ac:dyDescent="0.25">
      <c r="A40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01" spans="1:31" x14ac:dyDescent="0.25">
      <c r="A40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02" spans="1:31" x14ac:dyDescent="0.25">
      <c r="A40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03" spans="1:31" x14ac:dyDescent="0.25">
      <c r="A40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04" spans="1:31" x14ac:dyDescent="0.25">
      <c r="A40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05" spans="1:31" x14ac:dyDescent="0.25">
      <c r="A40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06" spans="1:31" x14ac:dyDescent="0.25">
      <c r="A40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07" spans="1:31" x14ac:dyDescent="0.25">
      <c r="A40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08" spans="1:31" x14ac:dyDescent="0.25">
      <c r="A40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09" spans="1:31" x14ac:dyDescent="0.25">
      <c r="A40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10" spans="1:31" x14ac:dyDescent="0.25">
      <c r="A41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11" spans="1:31" x14ac:dyDescent="0.25">
      <c r="A41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12" spans="1:31" x14ac:dyDescent="0.25">
      <c r="A41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13" spans="1:31" x14ac:dyDescent="0.25">
      <c r="A41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14" spans="1:31" x14ac:dyDescent="0.25">
      <c r="A41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15" spans="1:31" x14ac:dyDescent="0.25">
      <c r="A41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16" spans="1:31" x14ac:dyDescent="0.25">
      <c r="A41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17" spans="1:31" x14ac:dyDescent="0.25">
      <c r="A41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18" spans="1:31" x14ac:dyDescent="0.25">
      <c r="A41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19" spans="1:31" x14ac:dyDescent="0.25">
      <c r="A41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20" spans="1:31" x14ac:dyDescent="0.25">
      <c r="A42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21" spans="1:31" x14ac:dyDescent="0.25">
      <c r="A42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22" spans="1:31" x14ac:dyDescent="0.25">
      <c r="A42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23" spans="1:31" x14ac:dyDescent="0.25">
      <c r="A42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24" spans="1:31" x14ac:dyDescent="0.25">
      <c r="A42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25" spans="1:31" x14ac:dyDescent="0.25">
      <c r="A42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26" spans="1:31" x14ac:dyDescent="0.25">
      <c r="A42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27" spans="1:31" x14ac:dyDescent="0.25">
      <c r="A42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28" spans="1:31" x14ac:dyDescent="0.25">
      <c r="A42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29" spans="1:31" x14ac:dyDescent="0.25">
      <c r="A42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30" spans="1:31" x14ac:dyDescent="0.25">
      <c r="A43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31" spans="1:31" x14ac:dyDescent="0.25">
      <c r="A43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32" spans="1:31" x14ac:dyDescent="0.25">
      <c r="A43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33" spans="1:31" x14ac:dyDescent="0.25">
      <c r="A43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34" spans="1:31" x14ac:dyDescent="0.25">
      <c r="A43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35" spans="1:31" x14ac:dyDescent="0.25">
      <c r="A43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36" spans="1:31" x14ac:dyDescent="0.25">
      <c r="A43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37" spans="1:31" x14ac:dyDescent="0.25">
      <c r="A43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38" spans="1:31" x14ac:dyDescent="0.25">
      <c r="A43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39" spans="1:31" x14ac:dyDescent="0.25">
      <c r="A43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40" spans="1:31" x14ac:dyDescent="0.25">
      <c r="A44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41" spans="1:31" x14ac:dyDescent="0.25">
      <c r="A44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42" spans="1:31" x14ac:dyDescent="0.25">
      <c r="A44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43" spans="1:31" x14ac:dyDescent="0.25">
      <c r="A44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44" spans="1:31" x14ac:dyDescent="0.25">
      <c r="A44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45" spans="1:31" x14ac:dyDescent="0.25">
      <c r="A44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46" spans="1:31" x14ac:dyDescent="0.25">
      <c r="A44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47" spans="1:31" x14ac:dyDescent="0.25">
      <c r="A44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48" spans="1:31" x14ac:dyDescent="0.25">
      <c r="A44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49" spans="1:31" x14ac:dyDescent="0.25">
      <c r="A44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50" spans="1:31" x14ac:dyDescent="0.25">
      <c r="A45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51" spans="1:31" x14ac:dyDescent="0.25">
      <c r="A45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52" spans="1:31" x14ac:dyDescent="0.25">
      <c r="A45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53" spans="1:31" x14ac:dyDescent="0.25">
      <c r="A45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54" spans="1:31" x14ac:dyDescent="0.25">
      <c r="A45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55" spans="1:31" x14ac:dyDescent="0.25">
      <c r="A45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56" spans="1:31" x14ac:dyDescent="0.25">
      <c r="A45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57" spans="1:31" x14ac:dyDescent="0.25">
      <c r="A45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58" spans="1:31" x14ac:dyDescent="0.25">
      <c r="A45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59" spans="1:31" x14ac:dyDescent="0.25">
      <c r="A45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60" spans="1:31" x14ac:dyDescent="0.25">
      <c r="A46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61" spans="1:31" x14ac:dyDescent="0.25">
      <c r="A46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62" spans="1:31" x14ac:dyDescent="0.25">
      <c r="A46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63" spans="1:31" x14ac:dyDescent="0.25">
      <c r="A46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64" spans="1:31" x14ac:dyDescent="0.25">
      <c r="A46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65" spans="1:31" x14ac:dyDescent="0.25">
      <c r="A46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66" spans="1:31" x14ac:dyDescent="0.25">
      <c r="A46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67" spans="1:31" x14ac:dyDescent="0.25">
      <c r="A46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68" spans="1:31" x14ac:dyDescent="0.25">
      <c r="A46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69" spans="1:31" x14ac:dyDescent="0.25">
      <c r="A46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70" spans="1:31" x14ac:dyDescent="0.25">
      <c r="A47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71" spans="1:31" x14ac:dyDescent="0.25">
      <c r="A47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72" spans="1:31" x14ac:dyDescent="0.25">
      <c r="A47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73" spans="1:31" x14ac:dyDescent="0.25">
      <c r="A47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74" spans="1:31" x14ac:dyDescent="0.25">
      <c r="A47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75" spans="1:31" x14ac:dyDescent="0.25">
      <c r="A47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76" spans="1:31" x14ac:dyDescent="0.25">
      <c r="A47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77" spans="1:31" x14ac:dyDescent="0.25">
      <c r="A47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78" spans="1:31" x14ac:dyDescent="0.25">
      <c r="A47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79" spans="1:31" x14ac:dyDescent="0.25">
      <c r="A47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80" spans="1:31" x14ac:dyDescent="0.25">
      <c r="A48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81" spans="1:31" x14ac:dyDescent="0.25">
      <c r="A48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82" spans="1:31" x14ac:dyDescent="0.25">
      <c r="A48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83" spans="1:31" x14ac:dyDescent="0.25">
      <c r="A48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84" spans="1:31" x14ac:dyDescent="0.25">
      <c r="A48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85" spans="1:31" x14ac:dyDescent="0.25">
      <c r="A48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86" spans="1:31" x14ac:dyDescent="0.25">
      <c r="A48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87" spans="1:31" x14ac:dyDescent="0.25">
      <c r="A48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88" spans="1:31" x14ac:dyDescent="0.25">
      <c r="A48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89" spans="1:31" x14ac:dyDescent="0.25">
      <c r="A48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90" spans="1:31" x14ac:dyDescent="0.25">
      <c r="A49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91" spans="1:31" x14ac:dyDescent="0.25">
      <c r="A49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92" spans="1:31" x14ac:dyDescent="0.25">
      <c r="A49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93" spans="1:31" x14ac:dyDescent="0.25">
      <c r="A49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94" spans="1:31" x14ac:dyDescent="0.25">
      <c r="A49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95" spans="1:31" x14ac:dyDescent="0.25">
      <c r="A49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96" spans="1:31" x14ac:dyDescent="0.25">
      <c r="A49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97" spans="1:31" x14ac:dyDescent="0.25">
      <c r="A49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98" spans="1:31" x14ac:dyDescent="0.25">
      <c r="A49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99" spans="1:31" x14ac:dyDescent="0.25">
      <c r="A49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00" spans="1:31" x14ac:dyDescent="0.25">
      <c r="A50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01" spans="1:31" x14ac:dyDescent="0.25">
      <c r="A50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02" spans="1:31" x14ac:dyDescent="0.25">
      <c r="A50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03" spans="1:31" x14ac:dyDescent="0.25">
      <c r="A50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04" spans="1:31" x14ac:dyDescent="0.25">
      <c r="A50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05" spans="1:31" x14ac:dyDescent="0.25">
      <c r="A50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06" spans="1:31" x14ac:dyDescent="0.25">
      <c r="A50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07" spans="1:31" x14ac:dyDescent="0.25">
      <c r="A50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08" spans="1:31" x14ac:dyDescent="0.25">
      <c r="A50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09" spans="1:31" x14ac:dyDescent="0.25">
      <c r="A50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10" spans="1:31" x14ac:dyDescent="0.25">
      <c r="A51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11" spans="1:31" x14ac:dyDescent="0.25">
      <c r="A51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12" spans="1:31" x14ac:dyDescent="0.25">
      <c r="A51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13" spans="1:31" x14ac:dyDescent="0.25">
      <c r="A51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14" spans="1:31" x14ac:dyDescent="0.25">
      <c r="A51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15" spans="1:31" x14ac:dyDescent="0.25">
      <c r="A51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16" spans="1:31" x14ac:dyDescent="0.25">
      <c r="A51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17" spans="1:31" x14ac:dyDescent="0.25">
      <c r="A51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18" spans="1:31" x14ac:dyDescent="0.25">
      <c r="A51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19" spans="1:31" x14ac:dyDescent="0.25">
      <c r="A51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20" spans="1:31" x14ac:dyDescent="0.25">
      <c r="A52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21" spans="1:31" x14ac:dyDescent="0.25">
      <c r="A52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22" spans="1:31" x14ac:dyDescent="0.25">
      <c r="A52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23" spans="1:31" x14ac:dyDescent="0.25">
      <c r="A52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24" spans="1:31" x14ac:dyDescent="0.25">
      <c r="A52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25" spans="1:31" x14ac:dyDescent="0.25">
      <c r="A52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26" spans="1:31" x14ac:dyDescent="0.25">
      <c r="A52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27" spans="1:31" x14ac:dyDescent="0.25">
      <c r="A52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28" spans="1:31" x14ac:dyDescent="0.25">
      <c r="A52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29" spans="1:31" x14ac:dyDescent="0.25">
      <c r="A52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30" spans="1:31" x14ac:dyDescent="0.25">
      <c r="A53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31" spans="1:31" x14ac:dyDescent="0.25">
      <c r="A53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32" spans="1:31" x14ac:dyDescent="0.25">
      <c r="A53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33" spans="1:31" x14ac:dyDescent="0.25">
      <c r="A53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34" spans="1:31" x14ac:dyDescent="0.25">
      <c r="A53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35" spans="1:31" x14ac:dyDescent="0.25">
      <c r="A53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36" spans="1:31" x14ac:dyDescent="0.25">
      <c r="A53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37" spans="1:31" x14ac:dyDescent="0.25">
      <c r="A53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38" spans="1:31" x14ac:dyDescent="0.25">
      <c r="A53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39" spans="1:31" x14ac:dyDescent="0.25">
      <c r="A53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40" spans="1:31" x14ac:dyDescent="0.25">
      <c r="A54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41" spans="1:31" x14ac:dyDescent="0.25">
      <c r="A54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42" spans="1:31" x14ac:dyDescent="0.25">
      <c r="A54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43" spans="1:31" x14ac:dyDescent="0.25">
      <c r="A54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44" spans="1:31" x14ac:dyDescent="0.25">
      <c r="A54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45" spans="1:31" x14ac:dyDescent="0.25">
      <c r="A54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46" spans="1:31" x14ac:dyDescent="0.25">
      <c r="A54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47" spans="1:31" x14ac:dyDescent="0.25">
      <c r="A54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48" spans="1:31" x14ac:dyDescent="0.25">
      <c r="A54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49" spans="1:31" x14ac:dyDescent="0.25">
      <c r="A54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50" spans="1:31" x14ac:dyDescent="0.25">
      <c r="A55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51" spans="1:31" x14ac:dyDescent="0.25">
      <c r="A55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52" spans="1:31" x14ac:dyDescent="0.25">
      <c r="A55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53" spans="1:31" x14ac:dyDescent="0.25">
      <c r="A55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54" spans="1:31" x14ac:dyDescent="0.25">
      <c r="A55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55" spans="1:31" x14ac:dyDescent="0.25">
      <c r="A55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56" spans="1:31" x14ac:dyDescent="0.25">
      <c r="A55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57" spans="1:31" x14ac:dyDescent="0.25">
      <c r="A55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58" spans="1:31" x14ac:dyDescent="0.25">
      <c r="A55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59" spans="1:31" x14ac:dyDescent="0.25">
      <c r="A55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60" spans="1:31" x14ac:dyDescent="0.25">
      <c r="A56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61" spans="1:31" x14ac:dyDescent="0.25">
      <c r="A56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62" spans="1:31" x14ac:dyDescent="0.25">
      <c r="A56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63" spans="1:31" x14ac:dyDescent="0.25">
      <c r="A56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64" spans="1:31" x14ac:dyDescent="0.25">
      <c r="A56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65" spans="1:31" x14ac:dyDescent="0.25">
      <c r="A56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66" spans="1:31" x14ac:dyDescent="0.25">
      <c r="A56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67" spans="1:31" x14ac:dyDescent="0.25">
      <c r="A56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68" spans="1:31" x14ac:dyDescent="0.25">
      <c r="A56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69" spans="1:31" x14ac:dyDescent="0.25">
      <c r="A56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70" spans="1:31" x14ac:dyDescent="0.25">
      <c r="A57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71" spans="1:31" x14ac:dyDescent="0.25">
      <c r="A57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72" spans="1:31" x14ac:dyDescent="0.25">
      <c r="A57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73" spans="1:31" x14ac:dyDescent="0.25">
      <c r="A57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74" spans="1:31" x14ac:dyDescent="0.25">
      <c r="A57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75" spans="1:31" x14ac:dyDescent="0.25">
      <c r="A57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76" spans="1:31" x14ac:dyDescent="0.25">
      <c r="A57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77" spans="1:31" x14ac:dyDescent="0.25">
      <c r="A57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78" spans="1:31" x14ac:dyDescent="0.25">
      <c r="A57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79" spans="1:31" x14ac:dyDescent="0.25">
      <c r="A57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80" spans="1:31" x14ac:dyDescent="0.25">
      <c r="A58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81" spans="1:31" x14ac:dyDescent="0.25">
      <c r="A58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82" spans="1:31" x14ac:dyDescent="0.25">
      <c r="A58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83" spans="1:31" x14ac:dyDescent="0.25">
      <c r="A58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84" spans="1:31" x14ac:dyDescent="0.25">
      <c r="A58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85" spans="1:31" x14ac:dyDescent="0.25">
      <c r="A58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86" spans="1:31" x14ac:dyDescent="0.25">
      <c r="A58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87" spans="1:31" x14ac:dyDescent="0.25">
      <c r="A58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88" spans="1:31" x14ac:dyDescent="0.25">
      <c r="A58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89" spans="1:31" x14ac:dyDescent="0.25">
      <c r="A58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90" spans="1:31" x14ac:dyDescent="0.25">
      <c r="A59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91" spans="1:31" x14ac:dyDescent="0.25">
      <c r="A59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92" spans="1:31" x14ac:dyDescent="0.25">
      <c r="A59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93" spans="1:31" x14ac:dyDescent="0.25">
      <c r="A59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94" spans="1:31" x14ac:dyDescent="0.25">
      <c r="A59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95" spans="1:31" x14ac:dyDescent="0.25">
      <c r="A59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96" spans="1:31" x14ac:dyDescent="0.25">
      <c r="A59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97" spans="1:31" x14ac:dyDescent="0.25">
      <c r="A59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98" spans="1:31" x14ac:dyDescent="0.25">
      <c r="A59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99" spans="1:31" x14ac:dyDescent="0.25">
      <c r="A59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00" spans="1:31" x14ac:dyDescent="0.25">
      <c r="A60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01" spans="1:31" x14ac:dyDescent="0.25">
      <c r="A60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02" spans="1:31" x14ac:dyDescent="0.25">
      <c r="A60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03" spans="1:31" x14ac:dyDescent="0.25">
      <c r="A60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04" spans="1:31" x14ac:dyDescent="0.25">
      <c r="A60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05" spans="1:31" x14ac:dyDescent="0.25">
      <c r="A60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06" spans="1:31" x14ac:dyDescent="0.25">
      <c r="A60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07" spans="1:31" x14ac:dyDescent="0.25">
      <c r="A60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08" spans="1:31" x14ac:dyDescent="0.25">
      <c r="A60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09" spans="1:31" x14ac:dyDescent="0.25">
      <c r="A60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10" spans="1:31" x14ac:dyDescent="0.25">
      <c r="A61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11" spans="1:31" x14ac:dyDescent="0.25">
      <c r="A61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12" spans="1:31" x14ac:dyDescent="0.25">
      <c r="A61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13" spans="1:31" x14ac:dyDescent="0.25">
      <c r="A61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14" spans="1:31" x14ac:dyDescent="0.25">
      <c r="A61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15" spans="1:31" x14ac:dyDescent="0.25">
      <c r="A61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16" spans="1:31" x14ac:dyDescent="0.25">
      <c r="A61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17" spans="1:31" x14ac:dyDescent="0.25">
      <c r="A61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18" spans="1:31" x14ac:dyDescent="0.25">
      <c r="A61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19" spans="1:31" x14ac:dyDescent="0.25">
      <c r="A61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20" spans="1:31" x14ac:dyDescent="0.25">
      <c r="A62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21" spans="1:31" x14ac:dyDescent="0.25">
      <c r="A62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22" spans="1:31" x14ac:dyDescent="0.25">
      <c r="A62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23" spans="1:31" x14ac:dyDescent="0.25">
      <c r="A62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24" spans="1:31" x14ac:dyDescent="0.25">
      <c r="A62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25" spans="1:31" x14ac:dyDescent="0.25">
      <c r="A62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26" spans="1:31" x14ac:dyDescent="0.25">
      <c r="A62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27" spans="1:31" x14ac:dyDescent="0.25">
      <c r="A62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28" spans="1:31" x14ac:dyDescent="0.25">
      <c r="A62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29" spans="1:31" x14ac:dyDescent="0.25">
      <c r="A62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30" spans="1:31" x14ac:dyDescent="0.25">
      <c r="A63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31" spans="1:31" x14ac:dyDescent="0.25">
      <c r="A63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32" spans="1:31" x14ac:dyDescent="0.25">
      <c r="A63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33" spans="1:31" x14ac:dyDescent="0.25">
      <c r="A63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34" spans="1:31" x14ac:dyDescent="0.25">
      <c r="A63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35" spans="1:31" x14ac:dyDescent="0.25">
      <c r="A63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36" spans="1:31" x14ac:dyDescent="0.25">
      <c r="A63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37" spans="1:31" x14ac:dyDescent="0.25">
      <c r="A63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38" spans="1:31" x14ac:dyDescent="0.25">
      <c r="A63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39" spans="1:31" x14ac:dyDescent="0.25">
      <c r="A63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40" spans="1:31" x14ac:dyDescent="0.25">
      <c r="A64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41" spans="1:31" x14ac:dyDescent="0.25">
      <c r="A64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42" spans="1:31" x14ac:dyDescent="0.25">
      <c r="A64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43" spans="1:31" x14ac:dyDescent="0.25">
      <c r="A64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44" spans="1:31" x14ac:dyDescent="0.25">
      <c r="A64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45" spans="1:31" x14ac:dyDescent="0.25">
      <c r="A64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46" spans="1:31" x14ac:dyDescent="0.25">
      <c r="A64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47" spans="1:31" x14ac:dyDescent="0.25">
      <c r="A64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48" spans="1:31" x14ac:dyDescent="0.25">
      <c r="A64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49" spans="1:31" x14ac:dyDescent="0.25">
      <c r="A64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50" spans="1:31" x14ac:dyDescent="0.25">
      <c r="A65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51" spans="1:31" x14ac:dyDescent="0.25">
      <c r="A65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52" spans="1:31" x14ac:dyDescent="0.25">
      <c r="A65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53" spans="1:31" x14ac:dyDescent="0.25">
      <c r="A65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54" spans="1:31" x14ac:dyDescent="0.25">
      <c r="A65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55" spans="1:31" x14ac:dyDescent="0.25">
      <c r="A65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56" spans="1:31" x14ac:dyDescent="0.25">
      <c r="A65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57" spans="1:31" x14ac:dyDescent="0.25">
      <c r="A65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58" spans="1:31" x14ac:dyDescent="0.25">
      <c r="A65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59" spans="1:31" x14ac:dyDescent="0.25">
      <c r="A65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60" spans="1:31" x14ac:dyDescent="0.25">
      <c r="A66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61" spans="1:31" x14ac:dyDescent="0.25">
      <c r="A66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62" spans="1:31" x14ac:dyDescent="0.25">
      <c r="A66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63" spans="1:31" x14ac:dyDescent="0.25">
      <c r="A66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64" spans="1:31" x14ac:dyDescent="0.25">
      <c r="A66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65" spans="1:31" x14ac:dyDescent="0.25">
      <c r="A66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66" spans="1:31" x14ac:dyDescent="0.25">
      <c r="A66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67" spans="1:31" x14ac:dyDescent="0.25">
      <c r="A66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68" spans="1:31" x14ac:dyDescent="0.25">
      <c r="A66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69" spans="1:31" x14ac:dyDescent="0.25">
      <c r="A66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70" spans="1:31" x14ac:dyDescent="0.25">
      <c r="A67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71" spans="1:31" x14ac:dyDescent="0.25">
      <c r="A67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72" spans="1:31" x14ac:dyDescent="0.25">
      <c r="A67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73" spans="1:31" x14ac:dyDescent="0.25">
      <c r="A67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74" spans="1:31" x14ac:dyDescent="0.25">
      <c r="A67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75" spans="1:31" x14ac:dyDescent="0.25">
      <c r="A67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76" spans="1:31" x14ac:dyDescent="0.25">
      <c r="A67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77" spans="1:31" x14ac:dyDescent="0.25">
      <c r="A67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78" spans="1:31" x14ac:dyDescent="0.25">
      <c r="A67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79" spans="1:31" x14ac:dyDescent="0.25">
      <c r="A67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80" spans="1:31" x14ac:dyDescent="0.25">
      <c r="A68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81" spans="1:31" x14ac:dyDescent="0.25">
      <c r="A68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82" spans="1:31" x14ac:dyDescent="0.25">
      <c r="A68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83" spans="1:31" x14ac:dyDescent="0.25">
      <c r="A68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84" spans="1:31" x14ac:dyDescent="0.25">
      <c r="A68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85" spans="1:31" x14ac:dyDescent="0.25">
      <c r="A68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86" spans="1:31" x14ac:dyDescent="0.25">
      <c r="A68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87" spans="1:31" x14ac:dyDescent="0.25">
      <c r="A68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88" spans="1:31" x14ac:dyDescent="0.25">
      <c r="A68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89" spans="1:31" x14ac:dyDescent="0.25">
      <c r="A68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90" spans="1:31" x14ac:dyDescent="0.25">
      <c r="A69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91" spans="1:31" x14ac:dyDescent="0.25">
      <c r="A69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92" spans="1:31" x14ac:dyDescent="0.25">
      <c r="A69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93" spans="1:31" x14ac:dyDescent="0.25">
      <c r="A69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94" spans="1:31" x14ac:dyDescent="0.25">
      <c r="A69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95" spans="1:31" x14ac:dyDescent="0.25">
      <c r="A69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96" spans="1:31" x14ac:dyDescent="0.25">
      <c r="A69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97" spans="1:31" x14ac:dyDescent="0.25">
      <c r="A69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98" spans="1:31" x14ac:dyDescent="0.25">
      <c r="A69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99" spans="1:31" x14ac:dyDescent="0.25">
      <c r="A69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00" spans="1:31" x14ac:dyDescent="0.25">
      <c r="A70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01" spans="1:31" x14ac:dyDescent="0.25">
      <c r="A70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02" spans="1:31" x14ac:dyDescent="0.25">
      <c r="A70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03" spans="1:31" x14ac:dyDescent="0.25">
      <c r="A70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04" spans="1:31" x14ac:dyDescent="0.25">
      <c r="A70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05" spans="1:31" x14ac:dyDescent="0.25">
      <c r="A70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06" spans="1:31" x14ac:dyDescent="0.25">
      <c r="A70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07" spans="1:31" x14ac:dyDescent="0.25">
      <c r="A70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08" spans="1:31" x14ac:dyDescent="0.25">
      <c r="A70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09" spans="1:31" x14ac:dyDescent="0.25">
      <c r="A70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10" spans="1:31" x14ac:dyDescent="0.25">
      <c r="A71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11" spans="1:31" x14ac:dyDescent="0.25">
      <c r="A71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12" spans="1:31" x14ac:dyDescent="0.25">
      <c r="A71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13" spans="1:31" x14ac:dyDescent="0.25">
      <c r="A71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14" spans="1:31" x14ac:dyDescent="0.25">
      <c r="A71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15" spans="1:31" x14ac:dyDescent="0.25">
      <c r="A71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16" spans="1:31" x14ac:dyDescent="0.25">
      <c r="A71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17" spans="1:31" x14ac:dyDescent="0.25">
      <c r="A71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18" spans="1:31" x14ac:dyDescent="0.25">
      <c r="A71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19" spans="1:31" x14ac:dyDescent="0.25">
      <c r="A71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20" spans="1:31" x14ac:dyDescent="0.25">
      <c r="A72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21" spans="1:31" x14ac:dyDescent="0.25">
      <c r="A72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22" spans="1:31" x14ac:dyDescent="0.25">
      <c r="A72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23" spans="1:31" x14ac:dyDescent="0.25">
      <c r="A72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24" spans="1:31" x14ac:dyDescent="0.25">
      <c r="A72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25" spans="1:31" x14ac:dyDescent="0.25">
      <c r="A72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26" spans="1:31" x14ac:dyDescent="0.25">
      <c r="A72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27" spans="1:31" x14ac:dyDescent="0.25">
      <c r="A72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28" spans="1:31" x14ac:dyDescent="0.25">
      <c r="A72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29" spans="1:31" x14ac:dyDescent="0.25">
      <c r="A72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30" spans="1:31" x14ac:dyDescent="0.25">
      <c r="A73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31" spans="1:31" x14ac:dyDescent="0.25">
      <c r="A73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32" spans="1:31" x14ac:dyDescent="0.25">
      <c r="A73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33" spans="1:31" x14ac:dyDescent="0.25">
      <c r="A73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34" spans="1:31" x14ac:dyDescent="0.25">
      <c r="A73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35" spans="1:31" x14ac:dyDescent="0.25">
      <c r="A73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36" spans="1:31" x14ac:dyDescent="0.25">
      <c r="A73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37" spans="1:31" x14ac:dyDescent="0.25">
      <c r="A73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38" spans="1:31" x14ac:dyDescent="0.25">
      <c r="A73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39" spans="1:31" x14ac:dyDescent="0.25">
      <c r="A73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40" spans="1:31" x14ac:dyDescent="0.25">
      <c r="A74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41" spans="1:31" x14ac:dyDescent="0.25">
      <c r="A74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42" spans="1:31" x14ac:dyDescent="0.25">
      <c r="A74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43" spans="1:31" x14ac:dyDescent="0.25">
      <c r="A74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44" spans="1:31" x14ac:dyDescent="0.25">
      <c r="A74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45" spans="1:31" x14ac:dyDescent="0.25">
      <c r="A74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46" spans="1:31" x14ac:dyDescent="0.25">
      <c r="A74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47" spans="1:31" x14ac:dyDescent="0.25">
      <c r="A74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48" spans="1:31" x14ac:dyDescent="0.25">
      <c r="A74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49" spans="1:31" x14ac:dyDescent="0.25">
      <c r="A74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50" spans="1:31" x14ac:dyDescent="0.25">
      <c r="A75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51" spans="1:31" x14ac:dyDescent="0.25">
      <c r="A75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52" spans="1:31" x14ac:dyDescent="0.25">
      <c r="A75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53" spans="1:31" x14ac:dyDescent="0.25">
      <c r="A75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54" spans="1:31" x14ac:dyDescent="0.25">
      <c r="A75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55" spans="1:31" x14ac:dyDescent="0.25">
      <c r="A75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56" spans="1:31" x14ac:dyDescent="0.25">
      <c r="A75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57" spans="1:31" x14ac:dyDescent="0.25">
      <c r="A75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58" spans="1:31" x14ac:dyDescent="0.25">
      <c r="A75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59" spans="1:31" x14ac:dyDescent="0.25">
      <c r="A75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60" spans="1:31" x14ac:dyDescent="0.25">
      <c r="A76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61" spans="1:31" x14ac:dyDescent="0.25">
      <c r="A76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62" spans="1:31" x14ac:dyDescent="0.25">
      <c r="A76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63" spans="1:31" x14ac:dyDescent="0.25">
      <c r="A76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64" spans="1:31" x14ac:dyDescent="0.25">
      <c r="A76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65" spans="1:31" x14ac:dyDescent="0.25">
      <c r="A76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66" spans="1:31" x14ac:dyDescent="0.25">
      <c r="A76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67" spans="1:31" x14ac:dyDescent="0.25">
      <c r="A76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68" spans="1:31" x14ac:dyDescent="0.25">
      <c r="A76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69" spans="1:31" x14ac:dyDescent="0.25">
      <c r="A76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70" spans="1:31" x14ac:dyDescent="0.25">
      <c r="A77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71" spans="1:31" x14ac:dyDescent="0.25">
      <c r="A77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72" spans="1:31" x14ac:dyDescent="0.25">
      <c r="A77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73" spans="1:31" x14ac:dyDescent="0.25">
      <c r="A77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74" spans="1:31" x14ac:dyDescent="0.25">
      <c r="A77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75" spans="1:31" x14ac:dyDescent="0.25">
      <c r="A77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76" spans="1:31" x14ac:dyDescent="0.25">
      <c r="A77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77" spans="1:31" x14ac:dyDescent="0.25">
      <c r="A77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78" spans="1:31" x14ac:dyDescent="0.25">
      <c r="A77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79" spans="1:31" x14ac:dyDescent="0.25">
      <c r="A77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80" spans="1:31" x14ac:dyDescent="0.25">
      <c r="A78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81" spans="1:31" x14ac:dyDescent="0.25">
      <c r="A78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82" spans="1:31" x14ac:dyDescent="0.25">
      <c r="A78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83" spans="1:31" x14ac:dyDescent="0.25">
      <c r="A78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84" spans="1:31" x14ac:dyDescent="0.25">
      <c r="A78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85" spans="1:31" x14ac:dyDescent="0.25">
      <c r="A78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86" spans="1:31" x14ac:dyDescent="0.25">
      <c r="A78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87" spans="1:31" x14ac:dyDescent="0.25">
      <c r="A78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88" spans="1:31" x14ac:dyDescent="0.25">
      <c r="A78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89" spans="1:31" x14ac:dyDescent="0.25">
      <c r="A78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90" spans="1:31" x14ac:dyDescent="0.25">
      <c r="A79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91" spans="1:31" x14ac:dyDescent="0.25">
      <c r="A79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92" spans="1:31" x14ac:dyDescent="0.25">
      <c r="A79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93" spans="1:31" x14ac:dyDescent="0.25">
      <c r="A79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94" spans="1:31" x14ac:dyDescent="0.25">
      <c r="A79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95" spans="1:31" x14ac:dyDescent="0.25">
      <c r="A79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96" spans="1:31" x14ac:dyDescent="0.25">
      <c r="A79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97" spans="1:31" x14ac:dyDescent="0.25">
      <c r="A79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98" spans="1:31" x14ac:dyDescent="0.25">
      <c r="A79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99" spans="1:31" x14ac:dyDescent="0.25">
      <c r="A79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00" spans="1:31" x14ac:dyDescent="0.25">
      <c r="A80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01" spans="1:31" x14ac:dyDescent="0.25">
      <c r="A80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02" spans="1:31" x14ac:dyDescent="0.25">
      <c r="A80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03" spans="1:31" x14ac:dyDescent="0.25">
      <c r="A80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04" spans="1:31" x14ac:dyDescent="0.25">
      <c r="A80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05" spans="1:31" x14ac:dyDescent="0.25">
      <c r="A80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06" spans="1:31" x14ac:dyDescent="0.25">
      <c r="A80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07" spans="1:31" x14ac:dyDescent="0.25">
      <c r="A80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08" spans="1:31" x14ac:dyDescent="0.25">
      <c r="A80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09" spans="1:31" x14ac:dyDescent="0.25">
      <c r="A80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10" spans="1:31" x14ac:dyDescent="0.25">
      <c r="A81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11" spans="1:31" x14ac:dyDescent="0.25">
      <c r="A81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12" spans="1:31" x14ac:dyDescent="0.25">
      <c r="A81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13" spans="1:31" x14ac:dyDescent="0.25">
      <c r="A81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14" spans="1:31" x14ac:dyDescent="0.25">
      <c r="A81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15" spans="1:31" x14ac:dyDescent="0.25">
      <c r="A81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16" spans="1:31" x14ac:dyDescent="0.25">
      <c r="A81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17" spans="1:31" x14ac:dyDescent="0.25">
      <c r="A81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18" spans="1:31" x14ac:dyDescent="0.25">
      <c r="A81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19" spans="1:31" x14ac:dyDescent="0.25">
      <c r="A81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20" spans="1:31" x14ac:dyDescent="0.25">
      <c r="A82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21" spans="1:31" x14ac:dyDescent="0.25">
      <c r="A82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22" spans="1:31" x14ac:dyDescent="0.25">
      <c r="A82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23" spans="1:31" x14ac:dyDescent="0.25">
      <c r="A82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24" spans="1:31" x14ac:dyDescent="0.25">
      <c r="A82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25" spans="1:31" x14ac:dyDescent="0.25">
      <c r="A82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26" spans="1:31" x14ac:dyDescent="0.25">
      <c r="A82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27" spans="1:31" x14ac:dyDescent="0.25">
      <c r="A82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28" spans="1:31" x14ac:dyDescent="0.25">
      <c r="A82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29" spans="1:31" x14ac:dyDescent="0.25">
      <c r="A82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30" spans="1:31" x14ac:dyDescent="0.25">
      <c r="A83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31" spans="1:31" x14ac:dyDescent="0.25">
      <c r="A83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32" spans="1:31" x14ac:dyDescent="0.25">
      <c r="A83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33" spans="1:31" x14ac:dyDescent="0.25">
      <c r="A83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34" spans="1:31" x14ac:dyDescent="0.25">
      <c r="A83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35" spans="1:31" x14ac:dyDescent="0.25">
      <c r="A83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36" spans="1:31" x14ac:dyDescent="0.25">
      <c r="A83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37" spans="1:31" x14ac:dyDescent="0.25">
      <c r="A83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38" spans="1:31" x14ac:dyDescent="0.25">
      <c r="A83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39" spans="1:31" x14ac:dyDescent="0.25">
      <c r="A83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40" spans="1:31" x14ac:dyDescent="0.25">
      <c r="A84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41" spans="1:31" x14ac:dyDescent="0.25">
      <c r="A84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42" spans="1:31" x14ac:dyDescent="0.25">
      <c r="A84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43" spans="1:31" x14ac:dyDescent="0.25">
      <c r="A84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44" spans="1:31" x14ac:dyDescent="0.25">
      <c r="A84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45" spans="1:31" x14ac:dyDescent="0.25">
      <c r="A84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46" spans="1:31" x14ac:dyDescent="0.25">
      <c r="A84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47" spans="1:31" x14ac:dyDescent="0.25">
      <c r="A84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48" spans="1:31" x14ac:dyDescent="0.25">
      <c r="A84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49" spans="1:31" x14ac:dyDescent="0.25">
      <c r="A84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50" spans="1:31" x14ac:dyDescent="0.25">
      <c r="A85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51" spans="1:31" x14ac:dyDescent="0.25">
      <c r="A85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52" spans="1:31" x14ac:dyDescent="0.25">
      <c r="A85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53" spans="1:31" x14ac:dyDescent="0.25">
      <c r="A85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54" spans="1:31" x14ac:dyDescent="0.25">
      <c r="A85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55" spans="1:31" x14ac:dyDescent="0.25">
      <c r="A85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56" spans="1:31" x14ac:dyDescent="0.25">
      <c r="A85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57" spans="1:31" x14ac:dyDescent="0.25">
      <c r="A85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58" spans="1:31" x14ac:dyDescent="0.25">
      <c r="A85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59" spans="1:31" x14ac:dyDescent="0.25">
      <c r="A85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60" spans="1:31" x14ac:dyDescent="0.25">
      <c r="A86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61" spans="1:31" x14ac:dyDescent="0.25">
      <c r="A86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62" spans="1:31" x14ac:dyDescent="0.25">
      <c r="A86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63" spans="1:31" x14ac:dyDescent="0.25">
      <c r="A86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64" spans="1:31" x14ac:dyDescent="0.25">
      <c r="A86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65" spans="1:31" x14ac:dyDescent="0.25">
      <c r="A86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66" spans="1:31" x14ac:dyDescent="0.25">
      <c r="A86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67" spans="1:31" x14ac:dyDescent="0.25">
      <c r="A86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68" spans="1:31" x14ac:dyDescent="0.25">
      <c r="A86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69" spans="1:31" x14ac:dyDescent="0.25">
      <c r="A86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70" spans="1:31" x14ac:dyDescent="0.25">
      <c r="A87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71" spans="1:31" x14ac:dyDescent="0.25">
      <c r="A87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72" spans="1:31" x14ac:dyDescent="0.25">
      <c r="A87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73" spans="1:31" x14ac:dyDescent="0.25">
      <c r="A87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74" spans="1:31" x14ac:dyDescent="0.25">
      <c r="A87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75" spans="1:31" x14ac:dyDescent="0.25">
      <c r="A87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76" spans="1:31" x14ac:dyDescent="0.25">
      <c r="A87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77" spans="1:31" x14ac:dyDescent="0.25">
      <c r="A87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78" spans="1:31" x14ac:dyDescent="0.25">
      <c r="A87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79" spans="1:31" x14ac:dyDescent="0.25">
      <c r="A87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80" spans="1:31" x14ac:dyDescent="0.25">
      <c r="A88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81" spans="1:31" x14ac:dyDescent="0.25">
      <c r="A88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82" spans="1:31" x14ac:dyDescent="0.25">
      <c r="A88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83" spans="1:31" x14ac:dyDescent="0.25">
      <c r="A88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84" spans="1:31" x14ac:dyDescent="0.25">
      <c r="A88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85" spans="1:31" x14ac:dyDescent="0.25">
      <c r="A88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86" spans="1:31" x14ac:dyDescent="0.25">
      <c r="A88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87" spans="1:31" x14ac:dyDescent="0.25">
      <c r="A88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88" spans="1:31" x14ac:dyDescent="0.25">
      <c r="A88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89" spans="1:31" x14ac:dyDescent="0.25">
      <c r="A88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90" spans="1:31" x14ac:dyDescent="0.25">
      <c r="A89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91" spans="1:31" x14ac:dyDescent="0.25">
      <c r="A89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92" spans="1:31" x14ac:dyDescent="0.25">
      <c r="A89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93" spans="1:31" x14ac:dyDescent="0.25">
      <c r="A89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94" spans="1:31" x14ac:dyDescent="0.25">
      <c r="A89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95" spans="1:31" x14ac:dyDescent="0.25">
      <c r="A89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96" spans="1:31" x14ac:dyDescent="0.25">
      <c r="A89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97" spans="1:31" x14ac:dyDescent="0.25">
      <c r="A89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98" spans="1:31" x14ac:dyDescent="0.25">
      <c r="A89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99" spans="1:31" x14ac:dyDescent="0.25">
      <c r="A89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00" spans="1:31" x14ac:dyDescent="0.25">
      <c r="A90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01" spans="1:31" x14ac:dyDescent="0.25">
      <c r="A90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02" spans="1:31" x14ac:dyDescent="0.25">
      <c r="A90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03" spans="1:31" x14ac:dyDescent="0.25">
      <c r="A90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04" spans="1:31" x14ac:dyDescent="0.25">
      <c r="A90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05" spans="1:31" x14ac:dyDescent="0.25">
      <c r="A90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06" spans="1:31" x14ac:dyDescent="0.25">
      <c r="A90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07" spans="1:31" x14ac:dyDescent="0.25">
      <c r="A90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08" spans="1:31" x14ac:dyDescent="0.25">
      <c r="A90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09" spans="1:31" x14ac:dyDescent="0.25">
      <c r="A90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10" spans="1:31" x14ac:dyDescent="0.25">
      <c r="A91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11" spans="1:31" x14ac:dyDescent="0.25">
      <c r="A91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12" spans="1:31" x14ac:dyDescent="0.25">
      <c r="A91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13" spans="1:31" x14ac:dyDescent="0.25">
      <c r="A91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14" spans="1:31" x14ac:dyDescent="0.25">
      <c r="A91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15" spans="1:31" x14ac:dyDescent="0.25">
      <c r="A91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16" spans="1:31" x14ac:dyDescent="0.25">
      <c r="A91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17" spans="1:31" x14ac:dyDescent="0.25">
      <c r="A91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18" spans="1:31" x14ac:dyDescent="0.25">
      <c r="A91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19" spans="1:31" x14ac:dyDescent="0.25">
      <c r="A91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20" spans="1:31" x14ac:dyDescent="0.25">
      <c r="A92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21" spans="1:31" x14ac:dyDescent="0.25">
      <c r="A92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22" spans="1:31" x14ac:dyDescent="0.25">
      <c r="A92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23" spans="1:31" x14ac:dyDescent="0.25">
      <c r="A92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24" spans="1:31" x14ac:dyDescent="0.25">
      <c r="A92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25" spans="1:31" x14ac:dyDescent="0.25">
      <c r="A92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26" spans="1:31" x14ac:dyDescent="0.25">
      <c r="A92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27" spans="1:31" x14ac:dyDescent="0.25">
      <c r="A92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28" spans="1:31" x14ac:dyDescent="0.25">
      <c r="A92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29" spans="1:31" x14ac:dyDescent="0.25">
      <c r="A92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30" spans="1:31" x14ac:dyDescent="0.25">
      <c r="A93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31" spans="1:31" x14ac:dyDescent="0.25">
      <c r="A93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32" spans="1:31" x14ac:dyDescent="0.25">
      <c r="A93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33" spans="1:31" x14ac:dyDescent="0.25">
      <c r="A93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34" spans="1:31" x14ac:dyDescent="0.25">
      <c r="A93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35" spans="1:31" x14ac:dyDescent="0.25">
      <c r="A93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36" spans="1:31" x14ac:dyDescent="0.25">
      <c r="A93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37" spans="1:31" x14ac:dyDescent="0.25">
      <c r="A93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38" spans="1:31" x14ac:dyDescent="0.25">
      <c r="A93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39" spans="1:31" x14ac:dyDescent="0.25">
      <c r="A93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40" spans="1:31" x14ac:dyDescent="0.25">
      <c r="A94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41" spans="1:31" x14ac:dyDescent="0.25">
      <c r="A94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42" spans="1:31" x14ac:dyDescent="0.25">
      <c r="A94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43" spans="1:31" x14ac:dyDescent="0.25">
      <c r="A94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44" spans="1:31" x14ac:dyDescent="0.25">
      <c r="A94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45" spans="1:31" x14ac:dyDescent="0.25">
      <c r="A94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46" spans="1:31" x14ac:dyDescent="0.25">
      <c r="A94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47" spans="1:31" x14ac:dyDescent="0.25">
      <c r="A94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48" spans="1:31" x14ac:dyDescent="0.25">
      <c r="A94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49" spans="1:31" x14ac:dyDescent="0.25">
      <c r="A94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50" spans="1:31" x14ac:dyDescent="0.25">
      <c r="A95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51" spans="1:31" x14ac:dyDescent="0.25">
      <c r="A95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52" spans="1:31" x14ac:dyDescent="0.25">
      <c r="A95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53" spans="1:31" x14ac:dyDescent="0.25">
      <c r="A95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54" spans="1:31" x14ac:dyDescent="0.25">
      <c r="A95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55" spans="1:31" x14ac:dyDescent="0.25">
      <c r="A95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56" spans="1:31" x14ac:dyDescent="0.25">
      <c r="A95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57" spans="1:31" x14ac:dyDescent="0.25">
      <c r="A95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58" spans="1:31" x14ac:dyDescent="0.25">
      <c r="A95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59" spans="1:31" x14ac:dyDescent="0.25">
      <c r="A95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60" spans="1:31" x14ac:dyDescent="0.25">
      <c r="A96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61" spans="1:31" x14ac:dyDescent="0.25">
      <c r="A96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62" spans="1:31" x14ac:dyDescent="0.25">
      <c r="A96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63" spans="1:31" x14ac:dyDescent="0.25">
      <c r="A96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64" spans="1:31" x14ac:dyDescent="0.25">
      <c r="A96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65" spans="1:31" x14ac:dyDescent="0.25">
      <c r="A96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66" spans="1:31" x14ac:dyDescent="0.25">
      <c r="A96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67" spans="1:31" x14ac:dyDescent="0.25">
      <c r="A96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68" spans="1:31" x14ac:dyDescent="0.25">
      <c r="A96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69" spans="1:31" x14ac:dyDescent="0.25">
      <c r="A96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70" spans="1:31" x14ac:dyDescent="0.25">
      <c r="A97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71" spans="1:31" x14ac:dyDescent="0.25">
      <c r="A97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72" spans="1:31" x14ac:dyDescent="0.25">
      <c r="A97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73" spans="1:31" x14ac:dyDescent="0.25">
      <c r="A97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74" spans="1:31" x14ac:dyDescent="0.25">
      <c r="A97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75" spans="1:31" x14ac:dyDescent="0.25">
      <c r="A97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76" spans="1:31" x14ac:dyDescent="0.25">
      <c r="A97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77" spans="1:31" x14ac:dyDescent="0.25">
      <c r="A97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78" spans="1:31" x14ac:dyDescent="0.25">
      <c r="A97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79" spans="1:31" x14ac:dyDescent="0.25">
      <c r="A97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80" spans="1:31" x14ac:dyDescent="0.25">
      <c r="A98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81" spans="1:31" x14ac:dyDescent="0.25">
      <c r="A98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82" spans="1:31" x14ac:dyDescent="0.25">
      <c r="A98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83" spans="1:31" x14ac:dyDescent="0.25">
      <c r="A98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84" spans="1:31" x14ac:dyDescent="0.25">
      <c r="A98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85" spans="1:31" x14ac:dyDescent="0.25">
      <c r="A98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86" spans="1:31" x14ac:dyDescent="0.25">
      <c r="A98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87" spans="1:31" x14ac:dyDescent="0.25">
      <c r="A98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88" spans="1:31" x14ac:dyDescent="0.25">
      <c r="A98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89" spans="1:31" x14ac:dyDescent="0.25">
      <c r="A98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90" spans="1:31" x14ac:dyDescent="0.25">
      <c r="A99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91" spans="1:31" x14ac:dyDescent="0.25">
      <c r="A99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92" spans="1:31" x14ac:dyDescent="0.25">
      <c r="A99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93" spans="1:31" x14ac:dyDescent="0.25">
      <c r="A99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94" spans="1:31" x14ac:dyDescent="0.25">
      <c r="A99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95" spans="1:31" x14ac:dyDescent="0.25">
      <c r="A99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96" spans="1:31" x14ac:dyDescent="0.25">
      <c r="A99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97" spans="1:31" x14ac:dyDescent="0.25">
      <c r="A99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98" spans="1:31" x14ac:dyDescent="0.25">
      <c r="A99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99" spans="1:31" x14ac:dyDescent="0.25">
      <c r="A99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000" spans="1:31" x14ac:dyDescent="0.25">
      <c r="A100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0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0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0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0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0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0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0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0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</sheetData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F83578F-B5E5-4909-84C6-63ED96964B6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14</vt:i4>
      </vt:variant>
    </vt:vector>
  </HeadingPairs>
  <TitlesOfParts>
    <vt:vector size="25" baseType="lpstr">
      <vt:lpstr>BUDO Key</vt:lpstr>
      <vt:lpstr>Save</vt:lpstr>
      <vt:lpstr>translation</vt:lpstr>
      <vt:lpstr>abbreviation</vt:lpstr>
      <vt:lpstr>view_ca</vt:lpstr>
      <vt:lpstr>view_pc</vt:lpstr>
      <vt:lpstr>view_cat</vt:lpstr>
      <vt:lpstr>category_assignment</vt:lpstr>
      <vt:lpstr>parent_children</vt:lpstr>
      <vt:lpstr>changes</vt:lpstr>
      <vt:lpstr>total</vt:lpstr>
      <vt:lpstr>ColumnAbbreviation</vt:lpstr>
      <vt:lpstr>ColumnCategory</vt:lpstr>
      <vt:lpstr>ColumnLanguage</vt:lpstr>
      <vt:lpstr>ColumnLanguageCategory</vt:lpstr>
      <vt:lpstr>ColumnSQL</vt:lpstr>
      <vt:lpstr>Language1</vt:lpstr>
      <vt:lpstr>NumberDataPoints</vt:lpstr>
      <vt:lpstr>SeparatorBUDO</vt:lpstr>
      <vt:lpstr>SeperatorCategories</vt:lpstr>
      <vt:lpstr>SeperatorSpecification</vt:lpstr>
      <vt:lpstr>SepSpec</vt:lpstr>
      <vt:lpstr>Sprache</vt:lpstr>
      <vt:lpstr>Standard</vt:lpstr>
      <vt:lpstr>TabelleColumnSQL</vt:lpstr>
    </vt:vector>
  </TitlesOfParts>
  <Company>E.ON Energy Research Center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Stinner, Florian</dc:creator>
  <cp:lastModifiedBy>Stinner, Florian</cp:lastModifiedBy>
  <dcterms:created xsi:type="dcterms:W3CDTF">2018-07-25T09:39:27Z</dcterms:created>
  <dcterms:modified xsi:type="dcterms:W3CDTF">2019-02-18T22:31:18Z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c8b960bc-c401-4c6f-ab32-4f036eca2411</vt:lpwstr>
  </property>
</Properties>
</file>